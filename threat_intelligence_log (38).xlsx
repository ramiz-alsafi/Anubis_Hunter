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Dashboard" sheetId="1" state="visible" r:id="rId1"/>
    <sheet xmlns:r="http://schemas.openxmlformats.org/officeDocument/2006/relationships" name="Threat Intelligence" sheetId="2" state="visible" r:id="rId2"/>
    <sheet xmlns:r="http://schemas.openxmlformats.org/officeDocument/2006/relationships" name="PowerBI_Export" sheetId="3" state="visible" r:id="rId3"/>
  </sheets>
  <definedNames>
    <definedName name="_xlnm._FilterDatabase" localSheetId="1" hidden="1">'Threat Intelligence'!$A$1:$AD$2187</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E94560"/>
      <sz val="10"/>
    </font>
    <font>
      <color rgb="00D0D0D0"/>
      <sz val="9"/>
    </font>
    <font>
      <b val="1"/>
      <color rgb="00E94560"/>
      <sz val="14"/>
    </font>
    <font>
      <i val="1"/>
      <color rgb="00888888"/>
      <sz val="10"/>
    </font>
    <font>
      <b val="1"/>
      <color rgb="00FFFFFF"/>
      <sz val="10"/>
    </font>
    <font>
      <b val="1"/>
      <color rgb="00FF4444"/>
      <sz val="10"/>
    </font>
    <font>
      <color rgb="00FFFFFF"/>
      <sz val="10"/>
    </font>
    <font>
      <b val="1"/>
      <color rgb="00FFAA00"/>
      <sz val="10"/>
    </font>
    <font>
      <b val="1"/>
      <color rgb="00FFAA44"/>
      <sz val="10"/>
    </font>
    <font>
      <b val="1"/>
      <color rgb="00FFFFFF"/>
      <sz val="9"/>
    </font>
    <font>
      <color rgb="00FFFFFF"/>
      <sz val="9"/>
    </font>
    <font>
      <color rgb="00CCCCCC"/>
      <sz val="9"/>
    </font>
    <font>
      <b val="1"/>
      <color rgb="00E94560"/>
      <sz val="12"/>
    </font>
    <font>
      <b val="1"/>
      <color rgb="00FFFFFF"/>
      <sz val="14"/>
    </font>
    <font>
      <i val="1"/>
      <color rgb="00AAAAAA"/>
      <sz val="8"/>
    </font>
  </fonts>
  <fills count="42">
    <fill>
      <patternFill/>
    </fill>
    <fill>
      <patternFill patternType="gray125"/>
    </fill>
    <fill>
      <patternFill patternType="solid">
        <fgColor rgb="001A1A2E"/>
      </patternFill>
    </fill>
    <fill>
      <patternFill patternType="solid">
        <fgColor rgb="004A4000"/>
      </patternFill>
    </fill>
    <fill>
      <patternFill patternType="solid">
        <fgColor rgb="008B4000"/>
      </patternFill>
    </fill>
    <fill>
      <patternFill patternType="solid">
        <fgColor rgb="008B0000"/>
      </patternFill>
    </fill>
    <fill>
      <patternFill patternType="solid">
        <fgColor rgb="001A3A1A"/>
      </patternFill>
    </fill>
    <fill>
      <patternFill patternType="solid">
        <fgColor rgb="000F0F1A"/>
      </patternFill>
    </fill>
    <fill>
      <patternFill patternType="solid">
        <fgColor rgb="00E94560"/>
      </patternFill>
    </fill>
    <fill>
      <patternFill patternType="solid">
        <fgColor rgb="00935116"/>
      </patternFill>
    </fill>
    <fill>
      <patternFill patternType="solid">
        <fgColor rgb="006E2F1A"/>
      </patternFill>
    </fill>
    <fill>
      <patternFill patternType="solid">
        <fgColor rgb="002471A3"/>
      </patternFill>
    </fill>
    <fill>
      <patternFill patternType="solid">
        <fgColor rgb="000D3B6E"/>
      </patternFill>
    </fill>
    <fill>
      <patternFill patternType="solid">
        <fgColor rgb="007B241C"/>
      </patternFill>
    </fill>
    <fill>
      <patternFill patternType="solid">
        <fgColor rgb="00641E16"/>
      </patternFill>
    </fill>
    <fill>
      <patternFill patternType="solid">
        <fgColor rgb="002C3E50"/>
      </patternFill>
    </fill>
    <fill>
      <patternFill patternType="solid">
        <fgColor rgb="000E6655"/>
      </patternFill>
    </fill>
    <fill>
      <patternFill patternType="solid">
        <fgColor rgb="001B4F72"/>
      </patternFill>
    </fill>
    <fill>
      <patternFill patternType="solid">
        <fgColor rgb="007D3C98"/>
      </patternFill>
    </fill>
    <fill>
      <patternFill patternType="solid">
        <fgColor rgb="00C0392B"/>
      </patternFill>
    </fill>
    <fill>
      <patternFill patternType="solid">
        <fgColor rgb="000F4C81"/>
      </patternFill>
    </fill>
    <fill>
      <patternFill patternType="solid">
        <fgColor rgb="002E4057"/>
      </patternFill>
    </fill>
    <fill>
      <patternFill patternType="solid">
        <fgColor rgb="001E8449"/>
      </patternFill>
    </fill>
    <fill>
      <patternFill patternType="solid">
        <fgColor rgb="006C3483"/>
      </patternFill>
    </fill>
    <fill>
      <patternFill patternType="solid">
        <fgColor rgb="001A4F8A"/>
      </patternFill>
    </fill>
    <fill>
      <patternFill patternType="solid">
        <fgColor rgb="00148F77"/>
      </patternFill>
    </fill>
    <fill>
      <patternFill patternType="solid">
        <fgColor rgb="0021618C"/>
      </patternFill>
    </fill>
    <fill>
      <patternFill patternType="solid">
        <fgColor rgb="00784212"/>
      </patternFill>
    </fill>
    <fill>
      <patternFill patternType="solid">
        <fgColor rgb="005B2C6F"/>
      </patternFill>
    </fill>
    <fill>
      <patternFill patternType="solid">
        <fgColor rgb="00283747"/>
      </patternFill>
    </fill>
    <fill>
      <patternFill patternType="solid">
        <fgColor rgb="004A235A"/>
      </patternFill>
    </fill>
    <fill>
      <patternFill patternType="solid">
        <fgColor rgb="001F618D"/>
      </patternFill>
    </fill>
    <fill>
      <patternFill patternType="solid">
        <fgColor rgb="00154360"/>
      </patternFill>
    </fill>
    <fill>
      <patternFill patternType="solid">
        <fgColor rgb="000B3D91"/>
      </patternFill>
    </fill>
    <fill>
      <patternFill patternType="solid">
        <fgColor rgb="00E67E22"/>
      </patternFill>
    </fill>
    <fill>
      <patternFill patternType="solid">
        <fgColor rgb="00F1C40F"/>
      </patternFill>
    </fill>
    <fill>
      <patternFill patternType="solid">
        <fgColor rgb="0027AE60"/>
      </patternFill>
    </fill>
    <fill>
      <patternFill patternType="solid">
        <fgColor rgb="003498DB"/>
      </patternFill>
    </fill>
    <fill>
      <patternFill patternType="solid">
        <fgColor rgb="00111122"/>
      </patternFill>
    </fill>
    <fill>
      <patternFill patternType="solid">
        <fgColor rgb="001A5276"/>
      </patternFill>
    </fill>
    <fill>
      <patternFill patternType="solid">
        <fgColor rgb="007D6608"/>
      </patternFill>
    </fill>
    <fill>
      <patternFill patternType="solid">
        <fgColor rgb="001F497D"/>
      </patternFill>
    </fill>
  </fills>
  <borders count="7">
    <border>
      <left/>
      <right/>
      <top/>
      <bottom/>
      <diagonal/>
    </border>
    <border>
      <bottom style="thin">
        <color rgb="00E94560"/>
      </bottom>
    </border>
    <border>
      <right style="thin">
        <color rgb="00333333"/>
      </right>
      <bottom style="medium">
        <color rgb="00FFFFFF"/>
      </bottom>
    </border>
    <border>
      <right style="thin">
        <color rgb="001A1A2E"/>
      </right>
      <bottom style="thin">
        <color rgb="001A1A2E"/>
      </bottom>
    </border>
    <border>
      <top style="medium">
        <color rgb="00FFFFFF"/>
      </top>
    </border>
    <border>
      <left style="medium">
        <color rgb="000A0A14"/>
      </left>
      <right style="medium">
        <color rgb="000A0A14"/>
      </right>
      <top style="medium">
        <color rgb="000A0A14"/>
      </top>
      <bottom style="medium">
        <color rgb="000A0A14"/>
      </bottom>
    </border>
    <border>
      <left style="thin">
        <color rgb="000A0A14"/>
      </left>
      <right style="thin">
        <color rgb="000A0A14"/>
      </right>
      <top style="thin">
        <color rgb="000A0A14"/>
      </top>
      <bottom style="thin">
        <color rgb="000A0A14"/>
      </bottom>
    </border>
  </borders>
  <cellStyleXfs count="1">
    <xf numFmtId="0" fontId="0" fillId="0" borderId="0"/>
  </cellStyleXfs>
  <cellXfs count="193">
    <xf numFmtId="0" fontId="0" fillId="0" borderId="0" pivotButton="0" quotePrefix="0" xfId="0"/>
    <xf numFmtId="0" fontId="3" fillId="2" borderId="0" applyAlignment="1" pivotButton="0" quotePrefix="0" xfId="0">
      <alignment horizontal="center" vertical="center"/>
    </xf>
    <xf numFmtId="0" fontId="4" fillId="7" borderId="0" applyAlignment="1" pivotButton="0" quotePrefix="0" xfId="0">
      <alignment horizontal="center"/>
    </xf>
    <xf numFmtId="0" fontId="10" fillId="8" borderId="0" applyAlignment="1" pivotButton="0" quotePrefix="0" xfId="0">
      <alignment horizontal="center" vertical="center"/>
    </xf>
    <xf numFmtId="0" fontId="5" fillId="8" borderId="2" applyAlignment="1" pivotButton="0" quotePrefix="0" xfId="0">
      <alignment horizontal="center"/>
    </xf>
    <xf numFmtId="0" fontId="10" fillId="19" borderId="0" applyAlignment="1" pivotButton="0" quotePrefix="0" xfId="0">
      <alignment horizontal="center" vertical="center"/>
    </xf>
    <xf numFmtId="0" fontId="11" fillId="2" borderId="0" applyAlignment="1" pivotButton="0" quotePrefix="0" xfId="0">
      <alignment horizontal="center"/>
    </xf>
    <xf numFmtId="0" fontId="5" fillId="9" borderId="3" applyAlignment="1" pivotButton="0" quotePrefix="0" xfId="0">
      <alignment horizontal="left" vertical="center"/>
    </xf>
    <xf numFmtId="0" fontId="5" fillId="9" borderId="3" applyAlignment="1" pivotButton="0" quotePrefix="0" xfId="0">
      <alignment horizontal="center" vertical="center"/>
    </xf>
    <xf numFmtId="0" fontId="6" fillId="9" borderId="3" applyAlignment="1" pivotButton="0" quotePrefix="0" xfId="0">
      <alignment horizontal="center" vertical="center"/>
    </xf>
    <xf numFmtId="0" fontId="7" fillId="9" borderId="3" applyAlignment="1" pivotButton="0" quotePrefix="0" xfId="0">
      <alignment horizontal="center" vertical="center"/>
    </xf>
    <xf numFmtId="0" fontId="8" fillId="9" borderId="3" applyAlignment="1" pivotButton="0" quotePrefix="0" xfId="0">
      <alignment horizontal="center" vertical="center"/>
    </xf>
    <xf numFmtId="0" fontId="9" fillId="9" borderId="3" applyAlignment="1" pivotButton="0" quotePrefix="0" xfId="0">
      <alignment horizontal="center" vertical="center"/>
    </xf>
    <xf numFmtId="0" fontId="10" fillId="34" borderId="0" applyAlignment="1" pivotButton="0" quotePrefix="0" xfId="0">
      <alignment horizontal="center" vertical="center"/>
    </xf>
    <xf numFmtId="0" fontId="5" fillId="10" borderId="3" applyAlignment="1" pivotButton="0" quotePrefix="0" xfId="0">
      <alignment horizontal="left" vertical="center"/>
    </xf>
    <xf numFmtId="0" fontId="5" fillId="10" borderId="3" applyAlignment="1" pivotButton="0" quotePrefix="0" xfId="0">
      <alignment horizontal="center" vertical="center"/>
    </xf>
    <xf numFmtId="0" fontId="6" fillId="10" borderId="3" applyAlignment="1" pivotButton="0" quotePrefix="0" xfId="0">
      <alignment horizontal="center" vertical="center"/>
    </xf>
    <xf numFmtId="0" fontId="7" fillId="10" borderId="3" applyAlignment="1" pivotButton="0" quotePrefix="0" xfId="0">
      <alignment horizontal="center" vertical="center"/>
    </xf>
    <xf numFmtId="0" fontId="8" fillId="10" borderId="3" applyAlignment="1" pivotButton="0" quotePrefix="0" xfId="0">
      <alignment horizontal="center" vertical="center"/>
    </xf>
    <xf numFmtId="0" fontId="9" fillId="10" borderId="3" applyAlignment="1" pivotButton="0" quotePrefix="0" xfId="0">
      <alignment horizontal="center" vertical="center"/>
    </xf>
    <xf numFmtId="0" fontId="10" fillId="35" borderId="0" applyAlignment="1" pivotButton="0" quotePrefix="0" xfId="0">
      <alignment horizontal="center" vertical="center"/>
    </xf>
    <xf numFmtId="0" fontId="5" fillId="11" borderId="3" applyAlignment="1" pivotButton="0" quotePrefix="0" xfId="0">
      <alignment horizontal="left" vertical="center"/>
    </xf>
    <xf numFmtId="0" fontId="5" fillId="11" borderId="3" applyAlignment="1" pivotButton="0" quotePrefix="0" xfId="0">
      <alignment horizontal="center" vertical="center"/>
    </xf>
    <xf numFmtId="0" fontId="6" fillId="11" borderId="3" applyAlignment="1" pivotButton="0" quotePrefix="0" xfId="0">
      <alignment horizontal="center" vertical="center"/>
    </xf>
    <xf numFmtId="0" fontId="7" fillId="11" borderId="3" applyAlignment="1" pivotButton="0" quotePrefix="0" xfId="0">
      <alignment horizontal="center" vertical="center"/>
    </xf>
    <xf numFmtId="0" fontId="8" fillId="11" borderId="3" applyAlignment="1" pivotButton="0" quotePrefix="0" xfId="0">
      <alignment horizontal="center" vertical="center"/>
    </xf>
    <xf numFmtId="0" fontId="9" fillId="11" borderId="3" applyAlignment="1" pivotButton="0" quotePrefix="0" xfId="0">
      <alignment horizontal="center" vertical="center"/>
    </xf>
    <xf numFmtId="0" fontId="10" fillId="36" borderId="0" applyAlignment="1" pivotButton="0" quotePrefix="0" xfId="0">
      <alignment horizontal="center" vertical="center"/>
    </xf>
    <xf numFmtId="0" fontId="5" fillId="12" borderId="3" applyAlignment="1" pivotButton="0" quotePrefix="0" xfId="0">
      <alignment horizontal="left" vertical="center"/>
    </xf>
    <xf numFmtId="0" fontId="5" fillId="12" borderId="3" applyAlignment="1" pivotButton="0" quotePrefix="0" xfId="0">
      <alignment horizontal="center" vertical="center"/>
    </xf>
    <xf numFmtId="0" fontId="6" fillId="12" borderId="3" applyAlignment="1" pivotButton="0" quotePrefix="0" xfId="0">
      <alignment horizontal="center" vertical="center"/>
    </xf>
    <xf numFmtId="0" fontId="7" fillId="12" borderId="3" applyAlignment="1" pivotButton="0" quotePrefix="0" xfId="0">
      <alignment horizontal="center" vertical="center"/>
    </xf>
    <xf numFmtId="0" fontId="8" fillId="12" borderId="3" applyAlignment="1" pivotButton="0" quotePrefix="0" xfId="0">
      <alignment horizontal="center" vertical="center"/>
    </xf>
    <xf numFmtId="0" fontId="9" fillId="12" borderId="3" applyAlignment="1" pivotButton="0" quotePrefix="0" xfId="0">
      <alignment horizontal="center" vertical="center"/>
    </xf>
    <xf numFmtId="0" fontId="10" fillId="8" borderId="0" applyAlignment="1" pivotButton="0" quotePrefix="0" xfId="0">
      <alignment horizontal="center"/>
    </xf>
    <xf numFmtId="0" fontId="5" fillId="13" borderId="3" applyAlignment="1" pivotButton="0" quotePrefix="0" xfId="0">
      <alignment horizontal="left" vertical="center"/>
    </xf>
    <xf numFmtId="0" fontId="5" fillId="13" borderId="3" applyAlignment="1" pivotButton="0" quotePrefix="0" xfId="0">
      <alignment horizontal="center" vertical="center"/>
    </xf>
    <xf numFmtId="0" fontId="6" fillId="13" borderId="3" applyAlignment="1" pivotButton="0" quotePrefix="0" xfId="0">
      <alignment horizontal="center" vertical="center"/>
    </xf>
    <xf numFmtId="0" fontId="7" fillId="13" borderId="3" applyAlignment="1" pivotButton="0" quotePrefix="0" xfId="0">
      <alignment horizontal="center" vertical="center"/>
    </xf>
    <xf numFmtId="0" fontId="8" fillId="13" borderId="3" applyAlignment="1" pivotButton="0" quotePrefix="0" xfId="0">
      <alignment horizontal="center" vertical="center"/>
    </xf>
    <xf numFmtId="0" fontId="9" fillId="13" borderId="3" applyAlignment="1" pivotButton="0" quotePrefix="0" xfId="0">
      <alignment horizontal="center" vertical="center"/>
    </xf>
    <xf numFmtId="0" fontId="10" fillId="34" borderId="0" applyAlignment="1" pivotButton="0" quotePrefix="0" xfId="0">
      <alignment horizontal="center"/>
    </xf>
    <xf numFmtId="0" fontId="5" fillId="14" borderId="3" applyAlignment="1" pivotButton="0" quotePrefix="0" xfId="0">
      <alignment horizontal="left" vertical="center"/>
    </xf>
    <xf numFmtId="0" fontId="5" fillId="14" borderId="3" applyAlignment="1" pivotButton="0" quotePrefix="0" xfId="0">
      <alignment horizontal="center" vertical="center"/>
    </xf>
    <xf numFmtId="0" fontId="6" fillId="14" borderId="3" applyAlignment="1" pivotButton="0" quotePrefix="0" xfId="0">
      <alignment horizontal="center" vertical="center"/>
    </xf>
    <xf numFmtId="0" fontId="7" fillId="14" borderId="3" applyAlignment="1" pivotButton="0" quotePrefix="0" xfId="0">
      <alignment horizontal="center" vertical="center"/>
    </xf>
    <xf numFmtId="0" fontId="8" fillId="14" borderId="3" applyAlignment="1" pivotButton="0" quotePrefix="0" xfId="0">
      <alignment horizontal="center" vertical="center"/>
    </xf>
    <xf numFmtId="0" fontId="9" fillId="14" borderId="3" applyAlignment="1" pivotButton="0" quotePrefix="0" xfId="0">
      <alignment horizontal="center" vertical="center"/>
    </xf>
    <xf numFmtId="0" fontId="10" fillId="37" borderId="0" applyAlignment="1" pivotButton="0" quotePrefix="0" xfId="0">
      <alignment horizontal="center"/>
    </xf>
    <xf numFmtId="0" fontId="5" fillId="15" borderId="3" applyAlignment="1" pivotButton="0" quotePrefix="0" xfId="0">
      <alignment horizontal="left" vertical="center"/>
    </xf>
    <xf numFmtId="0" fontId="5" fillId="15" borderId="3" applyAlignment="1" pivotButton="0" quotePrefix="0" xfId="0">
      <alignment horizontal="center" vertical="center"/>
    </xf>
    <xf numFmtId="0" fontId="6" fillId="15" borderId="3" applyAlignment="1" pivotButton="0" quotePrefix="0" xfId="0">
      <alignment horizontal="center" vertical="center"/>
    </xf>
    <xf numFmtId="0" fontId="7" fillId="15" borderId="3" applyAlignment="1" pivotButton="0" quotePrefix="0" xfId="0">
      <alignment horizontal="center" vertical="center"/>
    </xf>
    <xf numFmtId="0" fontId="8" fillId="15" borderId="3" applyAlignment="1" pivotButton="0" quotePrefix="0" xfId="0">
      <alignment horizontal="center" vertical="center"/>
    </xf>
    <xf numFmtId="0" fontId="9" fillId="15" borderId="3" applyAlignment="1" pivotButton="0" quotePrefix="0" xfId="0">
      <alignment horizontal="center" vertical="center"/>
    </xf>
    <xf numFmtId="0" fontId="10" fillId="36" borderId="0" applyAlignment="1" pivotButton="0" quotePrefix="0" xfId="0">
      <alignment horizontal="center"/>
    </xf>
    <xf numFmtId="0" fontId="5" fillId="16" borderId="3" applyAlignment="1" pivotButton="0" quotePrefix="0" xfId="0">
      <alignment horizontal="left" vertical="center"/>
    </xf>
    <xf numFmtId="0" fontId="5" fillId="16" borderId="3" applyAlignment="1" pivotButton="0" quotePrefix="0" xfId="0">
      <alignment horizontal="center" vertical="center"/>
    </xf>
    <xf numFmtId="0" fontId="6" fillId="16" borderId="3" applyAlignment="1" pivotButton="0" quotePrefix="0" xfId="0">
      <alignment horizontal="center" vertical="center"/>
    </xf>
    <xf numFmtId="0" fontId="7" fillId="16" borderId="3" applyAlignment="1" pivotButton="0" quotePrefix="0" xfId="0">
      <alignment horizontal="center" vertical="center"/>
    </xf>
    <xf numFmtId="0" fontId="8" fillId="16" borderId="3" applyAlignment="1" pivotButton="0" quotePrefix="0" xfId="0">
      <alignment horizontal="center" vertical="center"/>
    </xf>
    <xf numFmtId="0" fontId="9" fillId="16" borderId="3" applyAlignment="1" pivotButton="0" quotePrefix="0" xfId="0">
      <alignment horizontal="center" vertical="center"/>
    </xf>
    <xf numFmtId="0" fontId="5" fillId="17" borderId="3" applyAlignment="1" pivotButton="0" quotePrefix="0" xfId="0">
      <alignment horizontal="left" vertical="center"/>
    </xf>
    <xf numFmtId="0" fontId="5" fillId="17" borderId="3" applyAlignment="1" pivotButton="0" quotePrefix="0" xfId="0">
      <alignment horizontal="center" vertical="center"/>
    </xf>
    <xf numFmtId="0" fontId="6" fillId="17" borderId="3" applyAlignment="1" pivotButton="0" quotePrefix="0" xfId="0">
      <alignment horizontal="center" vertical="center"/>
    </xf>
    <xf numFmtId="0" fontId="7" fillId="17" borderId="3" applyAlignment="1" pivotButton="0" quotePrefix="0" xfId="0">
      <alignment horizontal="center" vertical="center"/>
    </xf>
    <xf numFmtId="0" fontId="8" fillId="17" borderId="3" applyAlignment="1" pivotButton="0" quotePrefix="0" xfId="0">
      <alignment horizontal="center" vertical="center"/>
    </xf>
    <xf numFmtId="0" fontId="9" fillId="17" borderId="3" applyAlignment="1" pivotButton="0" quotePrefix="0" xfId="0">
      <alignment horizontal="center" vertical="center"/>
    </xf>
    <xf numFmtId="0" fontId="12" fillId="38" borderId="0" applyAlignment="1" pivotButton="0" quotePrefix="0" xfId="0">
      <alignment horizontal="left"/>
    </xf>
    <xf numFmtId="0" fontId="12" fillId="38" borderId="0" applyAlignment="1" pivotButton="0" quotePrefix="0" xfId="0">
      <alignment horizontal="center"/>
    </xf>
    <xf numFmtId="0" fontId="5" fillId="18" borderId="3" applyAlignment="1" pivotButton="0" quotePrefix="0" xfId="0">
      <alignment horizontal="left" vertical="center"/>
    </xf>
    <xf numFmtId="0" fontId="5" fillId="18" borderId="3" applyAlignment="1" pivotButton="0" quotePrefix="0" xfId="0">
      <alignment horizontal="center" vertical="center"/>
    </xf>
    <xf numFmtId="0" fontId="6" fillId="18" borderId="3" applyAlignment="1" pivotButton="0" quotePrefix="0" xfId="0">
      <alignment horizontal="center" vertical="center"/>
    </xf>
    <xf numFmtId="0" fontId="7" fillId="18" borderId="3" applyAlignment="1" pivotButton="0" quotePrefix="0" xfId="0">
      <alignment horizontal="center" vertical="center"/>
    </xf>
    <xf numFmtId="0" fontId="8" fillId="18" borderId="3" applyAlignment="1" pivotButton="0" quotePrefix="0" xfId="0">
      <alignment horizontal="center" vertical="center"/>
    </xf>
    <xf numFmtId="0" fontId="9" fillId="18" borderId="3" applyAlignment="1" pivotButton="0" quotePrefix="0" xfId="0">
      <alignment horizontal="center" vertical="center"/>
    </xf>
    <xf numFmtId="0" fontId="5" fillId="19" borderId="3" applyAlignment="1" pivotButton="0" quotePrefix="0" xfId="0">
      <alignment horizontal="left" vertical="center"/>
    </xf>
    <xf numFmtId="0" fontId="5" fillId="19" borderId="3" applyAlignment="1" pivotButton="0" quotePrefix="0" xfId="0">
      <alignment horizontal="center" vertical="center"/>
    </xf>
    <xf numFmtId="0" fontId="6" fillId="19" borderId="3" applyAlignment="1" pivotButton="0" quotePrefix="0" xfId="0">
      <alignment horizontal="center" vertical="center"/>
    </xf>
    <xf numFmtId="0" fontId="7" fillId="19" borderId="3" applyAlignment="1" pivotButton="0" quotePrefix="0" xfId="0">
      <alignment horizontal="center" vertical="center"/>
    </xf>
    <xf numFmtId="0" fontId="8" fillId="19" borderId="3" applyAlignment="1" pivotButton="0" quotePrefix="0" xfId="0">
      <alignment horizontal="center" vertical="center"/>
    </xf>
    <xf numFmtId="0" fontId="9" fillId="19" borderId="3" applyAlignment="1" pivotButton="0" quotePrefix="0" xfId="0">
      <alignment horizontal="center" vertical="center"/>
    </xf>
    <xf numFmtId="0" fontId="5" fillId="20" borderId="3" applyAlignment="1" pivotButton="0" quotePrefix="0" xfId="0">
      <alignment horizontal="left" vertical="center"/>
    </xf>
    <xf numFmtId="0" fontId="5" fillId="20" borderId="3" applyAlignment="1" pivotButton="0" quotePrefix="0" xfId="0">
      <alignment horizontal="center" vertical="center"/>
    </xf>
    <xf numFmtId="0" fontId="6" fillId="20" borderId="3" applyAlignment="1" pivotButton="0" quotePrefix="0" xfId="0">
      <alignment horizontal="center" vertical="center"/>
    </xf>
    <xf numFmtId="0" fontId="7" fillId="20" borderId="3" applyAlignment="1" pivotButton="0" quotePrefix="0" xfId="0">
      <alignment horizontal="center" vertical="center"/>
    </xf>
    <xf numFmtId="0" fontId="8" fillId="20" borderId="3" applyAlignment="1" pivotButton="0" quotePrefix="0" xfId="0">
      <alignment horizontal="center" vertical="center"/>
    </xf>
    <xf numFmtId="0" fontId="9" fillId="20" borderId="3" applyAlignment="1" pivotButton="0" quotePrefix="0" xfId="0">
      <alignment horizontal="center" vertical="center"/>
    </xf>
    <xf numFmtId="0" fontId="5" fillId="21" borderId="3" applyAlignment="1" pivotButton="0" quotePrefix="0" xfId="0">
      <alignment horizontal="left" vertical="center"/>
    </xf>
    <xf numFmtId="0" fontId="5" fillId="21" borderId="3" applyAlignment="1" pivotButton="0" quotePrefix="0" xfId="0">
      <alignment horizontal="center" vertical="center"/>
    </xf>
    <xf numFmtId="0" fontId="6" fillId="21" borderId="3" applyAlignment="1" pivotButton="0" quotePrefix="0" xfId="0">
      <alignment horizontal="center" vertical="center"/>
    </xf>
    <xf numFmtId="0" fontId="7" fillId="21" borderId="3" applyAlignment="1" pivotButton="0" quotePrefix="0" xfId="0">
      <alignment horizontal="center" vertical="center"/>
    </xf>
    <xf numFmtId="0" fontId="8" fillId="21" borderId="3" applyAlignment="1" pivotButton="0" quotePrefix="0" xfId="0">
      <alignment horizontal="center" vertical="center"/>
    </xf>
    <xf numFmtId="0" fontId="9" fillId="21" borderId="3" applyAlignment="1" pivotButton="0" quotePrefix="0" xfId="0">
      <alignment horizontal="center" vertical="center"/>
    </xf>
    <xf numFmtId="0" fontId="5" fillId="22" borderId="3" applyAlignment="1" pivotButton="0" quotePrefix="0" xfId="0">
      <alignment horizontal="left" vertical="center"/>
    </xf>
    <xf numFmtId="0" fontId="5" fillId="22" borderId="3" applyAlignment="1" pivotButton="0" quotePrefix="0" xfId="0">
      <alignment horizontal="center" vertical="center"/>
    </xf>
    <xf numFmtId="0" fontId="6" fillId="22" borderId="3" applyAlignment="1" pivotButton="0" quotePrefix="0" xfId="0">
      <alignment horizontal="center" vertical="center"/>
    </xf>
    <xf numFmtId="0" fontId="7" fillId="22" borderId="3" applyAlignment="1" pivotButton="0" quotePrefix="0" xfId="0">
      <alignment horizontal="center" vertical="center"/>
    </xf>
    <xf numFmtId="0" fontId="8" fillId="22" borderId="3" applyAlignment="1" pivotButton="0" quotePrefix="0" xfId="0">
      <alignment horizontal="center" vertical="center"/>
    </xf>
    <xf numFmtId="0" fontId="9" fillId="22" borderId="3" applyAlignment="1" pivotButton="0" quotePrefix="0" xfId="0">
      <alignment horizontal="center" vertical="center"/>
    </xf>
    <xf numFmtId="0" fontId="5" fillId="23" borderId="3" applyAlignment="1" pivotButton="0" quotePrefix="0" xfId="0">
      <alignment horizontal="left" vertical="center"/>
    </xf>
    <xf numFmtId="0" fontId="5" fillId="23" borderId="3" applyAlignment="1" pivotButton="0" quotePrefix="0" xfId="0">
      <alignment horizontal="center" vertical="center"/>
    </xf>
    <xf numFmtId="0" fontId="6" fillId="23" borderId="3" applyAlignment="1" pivotButton="0" quotePrefix="0" xfId="0">
      <alignment horizontal="center" vertical="center"/>
    </xf>
    <xf numFmtId="0" fontId="7" fillId="23" borderId="3" applyAlignment="1" pivotButton="0" quotePrefix="0" xfId="0">
      <alignment horizontal="center" vertical="center"/>
    </xf>
    <xf numFmtId="0" fontId="8" fillId="23" borderId="3" applyAlignment="1" pivotButton="0" quotePrefix="0" xfId="0">
      <alignment horizontal="center" vertical="center"/>
    </xf>
    <xf numFmtId="0" fontId="9" fillId="23" borderId="3" applyAlignment="1" pivotButton="0" quotePrefix="0" xfId="0">
      <alignment horizontal="center" vertical="center"/>
    </xf>
    <xf numFmtId="0" fontId="5" fillId="24" borderId="3" applyAlignment="1" pivotButton="0" quotePrefix="0" xfId="0">
      <alignment horizontal="left" vertical="center"/>
    </xf>
    <xf numFmtId="0" fontId="5" fillId="24" borderId="3" applyAlignment="1" pivotButton="0" quotePrefix="0" xfId="0">
      <alignment horizontal="center" vertical="center"/>
    </xf>
    <xf numFmtId="0" fontId="6" fillId="24" borderId="3" applyAlignment="1" pivotButton="0" quotePrefix="0" xfId="0">
      <alignment horizontal="center" vertical="center"/>
    </xf>
    <xf numFmtId="0" fontId="7" fillId="24" borderId="3" applyAlignment="1" pivotButton="0" quotePrefix="0" xfId="0">
      <alignment horizontal="center" vertical="center"/>
    </xf>
    <xf numFmtId="0" fontId="8" fillId="24" borderId="3" applyAlignment="1" pivotButton="0" quotePrefix="0" xfId="0">
      <alignment horizontal="center" vertical="center"/>
    </xf>
    <xf numFmtId="0" fontId="9" fillId="24" borderId="3" applyAlignment="1" pivotButton="0" quotePrefix="0" xfId="0">
      <alignment horizontal="center" vertical="center"/>
    </xf>
    <xf numFmtId="0" fontId="5" fillId="25" borderId="3" applyAlignment="1" pivotButton="0" quotePrefix="0" xfId="0">
      <alignment horizontal="left" vertical="center"/>
    </xf>
    <xf numFmtId="0" fontId="5" fillId="25" borderId="3" applyAlignment="1" pivotButton="0" quotePrefix="0" xfId="0">
      <alignment horizontal="center" vertical="center"/>
    </xf>
    <xf numFmtId="0" fontId="6" fillId="25" borderId="3" applyAlignment="1" pivotButton="0" quotePrefix="0" xfId="0">
      <alignment horizontal="center" vertical="center"/>
    </xf>
    <xf numFmtId="0" fontId="7" fillId="25" borderId="3" applyAlignment="1" pivotButton="0" quotePrefix="0" xfId="0">
      <alignment horizontal="center" vertical="center"/>
    </xf>
    <xf numFmtId="0" fontId="8" fillId="25" borderId="3" applyAlignment="1" pivotButton="0" quotePrefix="0" xfId="0">
      <alignment horizontal="center" vertical="center"/>
    </xf>
    <xf numFmtId="0" fontId="9" fillId="25" borderId="3" applyAlignment="1" pivotButton="0" quotePrefix="0" xfId="0">
      <alignment horizontal="center" vertical="center"/>
    </xf>
    <xf numFmtId="0" fontId="5" fillId="26" borderId="3" applyAlignment="1" pivotButton="0" quotePrefix="0" xfId="0">
      <alignment horizontal="left" vertical="center"/>
    </xf>
    <xf numFmtId="0" fontId="5" fillId="26" borderId="3" applyAlignment="1" pivotButton="0" quotePrefix="0" xfId="0">
      <alignment horizontal="center" vertical="center"/>
    </xf>
    <xf numFmtId="0" fontId="6" fillId="26" borderId="3" applyAlignment="1" pivotButton="0" quotePrefix="0" xfId="0">
      <alignment horizontal="center" vertical="center"/>
    </xf>
    <xf numFmtId="0" fontId="7" fillId="26" borderId="3" applyAlignment="1" pivotButton="0" quotePrefix="0" xfId="0">
      <alignment horizontal="center" vertical="center"/>
    </xf>
    <xf numFmtId="0" fontId="8" fillId="26" borderId="3" applyAlignment="1" pivotButton="0" quotePrefix="0" xfId="0">
      <alignment horizontal="center" vertical="center"/>
    </xf>
    <xf numFmtId="0" fontId="9" fillId="26" borderId="3" applyAlignment="1" pivotButton="0" quotePrefix="0" xfId="0">
      <alignment horizontal="center" vertical="center"/>
    </xf>
    <xf numFmtId="0" fontId="5" fillId="27" borderId="3" applyAlignment="1" pivotButton="0" quotePrefix="0" xfId="0">
      <alignment horizontal="left" vertical="center"/>
    </xf>
    <xf numFmtId="0" fontId="5" fillId="27" borderId="3" applyAlignment="1" pivotButton="0" quotePrefix="0" xfId="0">
      <alignment horizontal="center" vertical="center"/>
    </xf>
    <xf numFmtId="0" fontId="6" fillId="27" borderId="3" applyAlignment="1" pivotButton="0" quotePrefix="0" xfId="0">
      <alignment horizontal="center" vertical="center"/>
    </xf>
    <xf numFmtId="0" fontId="7" fillId="27" borderId="3" applyAlignment="1" pivotButton="0" quotePrefix="0" xfId="0">
      <alignment horizontal="center" vertical="center"/>
    </xf>
    <xf numFmtId="0" fontId="8" fillId="27" borderId="3" applyAlignment="1" pivotButton="0" quotePrefix="0" xfId="0">
      <alignment horizontal="center" vertical="center"/>
    </xf>
    <xf numFmtId="0" fontId="9" fillId="27" borderId="3" applyAlignment="1" pivotButton="0" quotePrefix="0" xfId="0">
      <alignment horizontal="center" vertical="center"/>
    </xf>
    <xf numFmtId="0" fontId="5" fillId="28" borderId="3" applyAlignment="1" pivotButton="0" quotePrefix="0" xfId="0">
      <alignment horizontal="left" vertical="center"/>
    </xf>
    <xf numFmtId="0" fontId="5" fillId="28" borderId="3" applyAlignment="1" pivotButton="0" quotePrefix="0" xfId="0">
      <alignment horizontal="center" vertical="center"/>
    </xf>
    <xf numFmtId="0" fontId="6" fillId="28" borderId="3" applyAlignment="1" pivotButton="0" quotePrefix="0" xfId="0">
      <alignment horizontal="center" vertical="center"/>
    </xf>
    <xf numFmtId="0" fontId="7" fillId="28" borderId="3" applyAlignment="1" pivotButton="0" quotePrefix="0" xfId="0">
      <alignment horizontal="center" vertical="center"/>
    </xf>
    <xf numFmtId="0" fontId="8" fillId="28" borderId="3" applyAlignment="1" pivotButton="0" quotePrefix="0" xfId="0">
      <alignment horizontal="center" vertical="center"/>
    </xf>
    <xf numFmtId="0" fontId="9" fillId="28" borderId="3" applyAlignment="1" pivotButton="0" quotePrefix="0" xfId="0">
      <alignment horizontal="center" vertical="center"/>
    </xf>
    <xf numFmtId="0" fontId="5" fillId="29" borderId="3" applyAlignment="1" pivotButton="0" quotePrefix="0" xfId="0">
      <alignment horizontal="left" vertical="center"/>
    </xf>
    <xf numFmtId="0" fontId="5" fillId="29" borderId="3" applyAlignment="1" pivotButton="0" quotePrefix="0" xfId="0">
      <alignment horizontal="center" vertical="center"/>
    </xf>
    <xf numFmtId="0" fontId="6" fillId="29" borderId="3" applyAlignment="1" pivotButton="0" quotePrefix="0" xfId="0">
      <alignment horizontal="center" vertical="center"/>
    </xf>
    <xf numFmtId="0" fontId="7" fillId="29" borderId="3" applyAlignment="1" pivotButton="0" quotePrefix="0" xfId="0">
      <alignment horizontal="center" vertical="center"/>
    </xf>
    <xf numFmtId="0" fontId="8" fillId="29" borderId="3" applyAlignment="1" pivotButton="0" quotePrefix="0" xfId="0">
      <alignment horizontal="center" vertical="center"/>
    </xf>
    <xf numFmtId="0" fontId="9" fillId="29" borderId="3" applyAlignment="1" pivotButton="0" quotePrefix="0" xfId="0">
      <alignment horizontal="center" vertical="center"/>
    </xf>
    <xf numFmtId="0" fontId="5" fillId="30" borderId="3" applyAlignment="1" pivotButton="0" quotePrefix="0" xfId="0">
      <alignment horizontal="left" vertical="center"/>
    </xf>
    <xf numFmtId="0" fontId="5" fillId="30" borderId="3" applyAlignment="1" pivotButton="0" quotePrefix="0" xfId="0">
      <alignment horizontal="center" vertical="center"/>
    </xf>
    <xf numFmtId="0" fontId="6" fillId="30" borderId="3" applyAlignment="1" pivotButton="0" quotePrefix="0" xfId="0">
      <alignment horizontal="center" vertical="center"/>
    </xf>
    <xf numFmtId="0" fontId="7" fillId="30" borderId="3" applyAlignment="1" pivotButton="0" quotePrefix="0" xfId="0">
      <alignment horizontal="center" vertical="center"/>
    </xf>
    <xf numFmtId="0" fontId="8" fillId="30" borderId="3" applyAlignment="1" pivotButton="0" quotePrefix="0" xfId="0">
      <alignment horizontal="center" vertical="center"/>
    </xf>
    <xf numFmtId="0" fontId="9" fillId="30" borderId="3" applyAlignment="1" pivotButton="0" quotePrefix="0" xfId="0">
      <alignment horizontal="center" vertical="center"/>
    </xf>
    <xf numFmtId="0" fontId="5" fillId="31" borderId="3" applyAlignment="1" pivotButton="0" quotePrefix="0" xfId="0">
      <alignment horizontal="left" vertical="center"/>
    </xf>
    <xf numFmtId="0" fontId="5" fillId="31" borderId="3" applyAlignment="1" pivotButton="0" quotePrefix="0" xfId="0">
      <alignment horizontal="center" vertical="center"/>
    </xf>
    <xf numFmtId="0" fontId="6" fillId="31" borderId="3" applyAlignment="1" pivotButton="0" quotePrefix="0" xfId="0">
      <alignment horizontal="center" vertical="center"/>
    </xf>
    <xf numFmtId="0" fontId="7" fillId="31" borderId="3" applyAlignment="1" pivotButton="0" quotePrefix="0" xfId="0">
      <alignment horizontal="center" vertical="center"/>
    </xf>
    <xf numFmtId="0" fontId="8" fillId="31" borderId="3" applyAlignment="1" pivotButton="0" quotePrefix="0" xfId="0">
      <alignment horizontal="center" vertical="center"/>
    </xf>
    <xf numFmtId="0" fontId="9" fillId="31" borderId="3" applyAlignment="1" pivotButton="0" quotePrefix="0" xfId="0">
      <alignment horizontal="center" vertical="center"/>
    </xf>
    <xf numFmtId="0" fontId="5" fillId="32" borderId="3" applyAlignment="1" pivotButton="0" quotePrefix="0" xfId="0">
      <alignment horizontal="left" vertical="center"/>
    </xf>
    <xf numFmtId="0" fontId="5" fillId="32" borderId="3" applyAlignment="1" pivotButton="0" quotePrefix="0" xfId="0">
      <alignment horizontal="center" vertical="center"/>
    </xf>
    <xf numFmtId="0" fontId="6" fillId="32" borderId="3" applyAlignment="1" pivotButton="0" quotePrefix="0" xfId="0">
      <alignment horizontal="center" vertical="center"/>
    </xf>
    <xf numFmtId="0" fontId="7" fillId="32" borderId="3" applyAlignment="1" pivotButton="0" quotePrefix="0" xfId="0">
      <alignment horizontal="center" vertical="center"/>
    </xf>
    <xf numFmtId="0" fontId="8" fillId="32" borderId="3" applyAlignment="1" pivotButton="0" quotePrefix="0" xfId="0">
      <alignment horizontal="center" vertical="center"/>
    </xf>
    <xf numFmtId="0" fontId="9" fillId="32" borderId="3" applyAlignment="1" pivotButton="0" quotePrefix="0" xfId="0">
      <alignment horizontal="center" vertical="center"/>
    </xf>
    <xf numFmtId="0" fontId="5" fillId="33" borderId="3" applyAlignment="1" pivotButton="0" quotePrefix="0" xfId="0">
      <alignment horizontal="left" vertical="center"/>
    </xf>
    <xf numFmtId="0" fontId="5" fillId="33" borderId="3" applyAlignment="1" pivotButton="0" quotePrefix="0" xfId="0">
      <alignment horizontal="center" vertical="center"/>
    </xf>
    <xf numFmtId="0" fontId="6" fillId="33" borderId="3" applyAlignment="1" pivotButton="0" quotePrefix="0" xfId="0">
      <alignment horizontal="center" vertical="center"/>
    </xf>
    <xf numFmtId="0" fontId="7" fillId="33" borderId="3" applyAlignment="1" pivotButton="0" quotePrefix="0" xfId="0">
      <alignment horizontal="center" vertical="center"/>
    </xf>
    <xf numFmtId="0" fontId="8" fillId="33" borderId="3" applyAlignment="1" pivotButton="0" quotePrefix="0" xfId="0">
      <alignment horizontal="center" vertical="center"/>
    </xf>
    <xf numFmtId="0" fontId="9" fillId="33" borderId="3" applyAlignment="1" pivotButton="0" quotePrefix="0" xfId="0">
      <alignment horizontal="center" vertical="center"/>
    </xf>
    <xf numFmtId="0" fontId="5" fillId="8" borderId="4" applyAlignment="1" pivotButton="0" quotePrefix="0" xfId="0">
      <alignment horizontal="left" vertical="center"/>
    </xf>
    <xf numFmtId="0" fontId="5" fillId="8" borderId="4" applyAlignment="1" pivotButton="0" quotePrefix="0" xfId="0">
      <alignment horizontal="center" vertical="center"/>
    </xf>
    <xf numFmtId="0" fontId="13" fillId="2" borderId="0" applyAlignment="1" pivotButton="0" quotePrefix="0" xfId="0">
      <alignment horizontal="center"/>
    </xf>
    <xf numFmtId="0" fontId="10" fillId="8" borderId="0" applyAlignment="1" pivotButton="0" quotePrefix="0" xfId="0">
      <alignment horizontal="center" vertical="center" wrapText="1"/>
    </xf>
    <xf numFmtId="0" fontId="5" fillId="15" borderId="0" applyAlignment="1" pivotButton="0" quotePrefix="0" xfId="0">
      <alignment horizontal="center" vertical="center" wrapText="1"/>
    </xf>
    <xf numFmtId="0" fontId="10" fillId="15" borderId="0" applyAlignment="1" pivotButton="0" quotePrefix="0" xfId="0">
      <alignment horizontal="center"/>
    </xf>
    <xf numFmtId="0" fontId="10" fillId="15" borderId="0" applyAlignment="1" pivotButton="0" quotePrefix="0" xfId="0">
      <alignment horizontal="center" vertical="center" wrapText="1"/>
    </xf>
    <xf numFmtId="1" fontId="14" fillId="39" borderId="5" applyAlignment="1" pivotButton="0" quotePrefix="0" xfId="0">
      <alignment horizontal="center" vertical="center"/>
    </xf>
    <xf numFmtId="1" fontId="14" fillId="40" borderId="5" applyAlignment="1" pivotButton="0" quotePrefix="0" xfId="0">
      <alignment horizontal="center" vertical="center"/>
    </xf>
    <xf numFmtId="0" fontId="10" fillId="39" borderId="6" applyAlignment="1" pivotButton="0" quotePrefix="0" xfId="0">
      <alignment horizontal="center" vertical="center" wrapText="1"/>
    </xf>
    <xf numFmtId="0" fontId="10" fillId="40" borderId="6" applyAlignment="1" pivotButton="0" quotePrefix="0" xfId="0">
      <alignment horizontal="center" vertical="center" wrapText="1"/>
    </xf>
    <xf numFmtId="0" fontId="10" fillId="40" borderId="0" applyAlignment="1" pivotButton="0" quotePrefix="0" xfId="0">
      <alignment horizontal="center"/>
    </xf>
    <xf numFmtId="1" fontId="14" fillId="27" borderId="5" applyAlignment="1" pivotButton="0" quotePrefix="0" xfId="0">
      <alignment horizontal="center" vertical="center"/>
    </xf>
    <xf numFmtId="0" fontId="10" fillId="27" borderId="6" applyAlignment="1" pivotButton="0" quotePrefix="0" xfId="0">
      <alignment horizontal="center" vertical="center" wrapText="1"/>
    </xf>
    <xf numFmtId="0" fontId="10" fillId="27" borderId="0" applyAlignment="1" pivotButton="0" quotePrefix="0" xfId="0">
      <alignment horizontal="center"/>
    </xf>
    <xf numFmtId="1" fontId="14" fillId="13" borderId="5" applyAlignment="1" pivotButton="0" quotePrefix="0" xfId="0">
      <alignment horizontal="center" vertical="center"/>
    </xf>
    <xf numFmtId="0" fontId="10" fillId="13" borderId="6" applyAlignment="1" pivotButton="0" quotePrefix="0" xfId="0">
      <alignment horizontal="center" vertical="center" wrapText="1"/>
    </xf>
    <xf numFmtId="0" fontId="10" fillId="13" borderId="0" applyAlignment="1" pivotButton="0" quotePrefix="0" xfId="0">
      <alignment horizontal="center"/>
    </xf>
    <xf numFmtId="0" fontId="10" fillId="39" borderId="0" applyAlignment="1" pivotButton="0" quotePrefix="0" xfId="0">
      <alignment horizontal="center"/>
    </xf>
    <xf numFmtId="0" fontId="15" fillId="38" borderId="0" applyAlignment="1" pivotButton="0" quotePrefix="0" xfId="0">
      <alignment horizontal="center"/>
    </xf>
    <xf numFmtId="0" fontId="1" fillId="2" borderId="1" applyAlignment="1" pivotButton="0" quotePrefix="0" xfId="0">
      <alignment horizontal="center" vertical="center"/>
    </xf>
    <xf numFmtId="0" fontId="2" fillId="3" borderId="0" applyAlignment="1" pivotButton="0" quotePrefix="0" xfId="0">
      <alignment vertical="top"/>
    </xf>
    <xf numFmtId="0" fontId="2" fillId="4" borderId="0" applyAlignment="1" pivotButton="0" quotePrefix="0" xfId="0">
      <alignment vertical="top"/>
    </xf>
    <xf numFmtId="0" fontId="2" fillId="5" borderId="0" applyAlignment="1" pivotButton="0" quotePrefix="0" xfId="0">
      <alignment vertical="top"/>
    </xf>
    <xf numFmtId="0" fontId="2" fillId="6" borderId="0" applyAlignment="1" pivotButton="0" quotePrefix="0" xfId="0">
      <alignment vertical="top"/>
    </xf>
    <xf numFmtId="0" fontId="2" fillId="2" borderId="0" applyAlignment="1" pivotButton="0" quotePrefix="0" xfId="0">
      <alignment vertical="top"/>
    </xf>
    <xf numFmtId="0" fontId="5" fillId="41"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Threats by Risk Level</a:t>
            </a:r>
          </a:p>
        </rich>
      </tx>
    </title>
    <plotArea>
      <barChart>
        <barDir val="col"/>
        <grouping val="clustered"/>
        <ser>
          <idx val="0"/>
          <order val="0"/>
          <tx>
            <strRef>
              <f>'📊 Dashboard'!K2</f>
            </strRef>
          </tx>
          <spPr>
            <a:ln xmlns:a="http://schemas.openxmlformats.org/drawingml/2006/main">
              <a:prstDash val="solid"/>
            </a:ln>
          </spPr>
          <dPt>
            <idx val="0"/>
            <spPr>
              <a:solidFill xmlns:a="http://schemas.openxmlformats.org/drawingml/2006/main">
                <a:srgbClr val="C0392B"/>
              </a:solidFill>
              <a:ln xmlns:a="http://schemas.openxmlformats.org/drawingml/2006/main">
                <a:solidFill>
                  <a:srgbClr val="C0392B"/>
                </a:solidFill>
                <a:prstDash val="solid"/>
              </a:ln>
            </spPr>
          </dPt>
          <dPt>
            <idx val="1"/>
            <spPr>
              <a:solidFill xmlns:a="http://schemas.openxmlformats.org/drawingml/2006/main">
                <a:srgbClr val="E67E22"/>
              </a:solidFill>
              <a:ln xmlns:a="http://schemas.openxmlformats.org/drawingml/2006/main">
                <a:solidFill>
                  <a:srgbClr val="E67E22"/>
                </a:solidFill>
                <a:prstDash val="solid"/>
              </a:ln>
            </spPr>
          </dPt>
          <dPt>
            <idx val="2"/>
            <spPr>
              <a:solidFill xmlns:a="http://schemas.openxmlformats.org/drawingml/2006/main">
                <a:srgbClr val="F1C40F"/>
              </a:solidFill>
              <a:ln xmlns:a="http://schemas.openxmlformats.org/drawingml/2006/main">
                <a:solidFill>
                  <a:srgbClr val="F1C40F"/>
                </a:solidFill>
                <a:prstDash val="solid"/>
              </a:ln>
            </spPr>
          </dPt>
          <dPt>
            <idx val="3"/>
            <spPr>
              <a:solidFill xmlns:a="http://schemas.openxmlformats.org/drawingml/2006/main">
                <a:srgbClr val="27AE60"/>
              </a:solidFill>
              <a:ln xmlns:a="http://schemas.openxmlformats.org/drawingml/2006/main">
                <a:solidFill>
                  <a:srgbClr val="27AE60"/>
                </a:solidFill>
                <a:prstDash val="solid"/>
              </a:ln>
            </spPr>
          </dPt>
          <dLbls>
            <dLblPos val="outEnd"/>
            <showVal val="1"/>
          </dLbls>
          <cat>
            <numRef>
              <f>'📊 Dashboard'!$J$3:$J$6</f>
            </numRef>
          </cat>
          <val>
            <numRef>
              <f>'📊 Dashboard'!$K$3:$K$6</f>
            </numRef>
          </val>
        </ser>
        <gapWidth val="150"/>
        <overlap val="0"/>
        <axId val="10"/>
        <axId val="100"/>
      </barChart>
      <catAx>
        <axId val="10"/>
        <scaling>
          <orientation val="minMax"/>
        </scaling>
        <axPos val="l"/>
        <title>
          <tx>
            <rich>
              <a:bodyPr xmlns:a="http://schemas.openxmlformats.org/drawingml/2006/main"/>
              <a:p xmlns:a="http://schemas.openxmlformats.org/drawingml/2006/main">
                <a:pPr>
                  <a:defRPr/>
                </a:pPr>
                <a:r>
                  <a:t>Risk Level</a:t>
                </a:r>
              </a:p>
            </rich>
          </tx>
        </title>
        <majorTickMark val="none"/>
        <minorTickMark val="none"/>
        <crossAx val="100"/>
        <lblOffset val="100"/>
      </catAx>
      <valAx>
        <axId val="100"/>
        <scaling>
          <orientation val="minMax"/>
        </scaling>
        <axPos val="l"/>
        <title>
          <tx>
            <rich>
              <a:bodyPr xmlns:a="http://schemas.openxmlformats.org/drawingml/2006/main"/>
              <a:p xmlns:a="http://schemas.openxmlformats.org/drawingml/2006/main">
                <a:pPr>
                  <a:defRPr/>
                </a:pPr>
                <a:r>
                  <a:t>Count</a:t>
                </a:r>
              </a:p>
            </rich>
          </tx>
        </title>
        <numFmt formatCode="0" sourceLinked="0"/>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Threats by Priority</a:t>
            </a:r>
          </a:p>
        </rich>
      </tx>
    </title>
    <plotArea>
      <barChart>
        <barDir val="col"/>
        <grouping val="clustered"/>
        <ser>
          <idx val="0"/>
          <order val="0"/>
          <tx>
            <strRef>
              <f>'📊 Dashboard'!K7</f>
            </strRef>
          </tx>
          <spPr>
            <a:ln xmlns:a="http://schemas.openxmlformats.org/drawingml/2006/main">
              <a:prstDash val="solid"/>
            </a:ln>
          </spPr>
          <dPt>
            <idx val="0"/>
            <spPr>
              <a:solidFill xmlns:a="http://schemas.openxmlformats.org/drawingml/2006/main">
                <a:srgbClr val="E94560"/>
              </a:solidFill>
              <a:ln xmlns:a="http://schemas.openxmlformats.org/drawingml/2006/main">
                <a:solidFill>
                  <a:srgbClr val="E94560"/>
                </a:solidFill>
                <a:prstDash val="solid"/>
              </a:ln>
            </spPr>
          </dPt>
          <dPt>
            <idx val="1"/>
            <spPr>
              <a:solidFill xmlns:a="http://schemas.openxmlformats.org/drawingml/2006/main">
                <a:srgbClr val="E67E22"/>
              </a:solidFill>
              <a:ln xmlns:a="http://schemas.openxmlformats.org/drawingml/2006/main">
                <a:solidFill>
                  <a:srgbClr val="E67E22"/>
                </a:solidFill>
                <a:prstDash val="solid"/>
              </a:ln>
            </spPr>
          </dPt>
          <dPt>
            <idx val="2"/>
            <spPr>
              <a:solidFill xmlns:a="http://schemas.openxmlformats.org/drawingml/2006/main">
                <a:srgbClr val="3498DB"/>
              </a:solidFill>
              <a:ln xmlns:a="http://schemas.openxmlformats.org/drawingml/2006/main">
                <a:solidFill>
                  <a:srgbClr val="3498DB"/>
                </a:solidFill>
                <a:prstDash val="solid"/>
              </a:ln>
            </spPr>
          </dPt>
          <dPt>
            <idx val="3"/>
            <spPr>
              <a:solidFill xmlns:a="http://schemas.openxmlformats.org/drawingml/2006/main">
                <a:srgbClr val="27AE60"/>
              </a:solidFill>
              <a:ln xmlns:a="http://schemas.openxmlformats.org/drawingml/2006/main">
                <a:solidFill>
                  <a:srgbClr val="27AE60"/>
                </a:solidFill>
                <a:prstDash val="solid"/>
              </a:ln>
            </spPr>
          </dPt>
          <dLbls>
            <dLblPos val="ctr"/>
            <showVal val="1"/>
          </dLbls>
          <cat>
            <numRef>
              <f>'📊 Dashboard'!$J$8:$J$11</f>
            </numRef>
          </cat>
          <val>
            <numRef>
              <f>'📊 Dashboard'!$K$8:$K$11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title>
          <tx>
            <rich>
              <a:bodyPr xmlns:a="http://schemas.openxmlformats.org/drawingml/2006/main"/>
              <a:p xmlns:a="http://schemas.openxmlformats.org/drawingml/2006/main">
                <a:pPr>
                  <a:defRPr/>
                </a:pPr>
                <a:r>
                  <a:t>Count</a:t>
                </a:r>
              </a:p>
            </rich>
          </tx>
        </title>
        <numFmt formatCode="0" sourceLinked="0"/>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Threat Type Distribution (Top 8)</a:t>
            </a:r>
          </a:p>
        </rich>
      </tx>
    </title>
    <plotArea>
      <doughnutChart>
        <varyColors val="1"/>
        <ser>
          <idx val="0"/>
          <order val="0"/>
          <tx>
            <strRef>
              <f>'📊 Dashboard'!K12</f>
            </strRef>
          </tx>
          <spPr>
            <a:ln xmlns:a="http://schemas.openxmlformats.org/drawingml/2006/main">
              <a:prstDash val="solid"/>
            </a:ln>
          </spPr>
          <dPt>
            <idx val="0"/>
            <spPr>
              <a:solidFill xmlns:a="http://schemas.openxmlformats.org/drawingml/2006/main">
                <a:srgbClr val="E94560"/>
              </a:solidFill>
              <a:ln xmlns:a="http://schemas.openxmlformats.org/drawingml/2006/main">
                <a:solidFill>
                  <a:srgbClr val="1A1A2E"/>
                </a:solidFill>
                <a:prstDash val="solid"/>
              </a:ln>
            </spPr>
          </dPt>
          <dPt>
            <idx val="1"/>
            <spPr>
              <a:solidFill xmlns:a="http://schemas.openxmlformats.org/drawingml/2006/main">
                <a:srgbClr val="3498DB"/>
              </a:solidFill>
              <a:ln xmlns:a="http://schemas.openxmlformats.org/drawingml/2006/main">
                <a:solidFill>
                  <a:srgbClr val="1A1A2E"/>
                </a:solidFill>
                <a:prstDash val="solid"/>
              </a:ln>
            </spPr>
          </dPt>
          <dPt>
            <idx val="2"/>
            <spPr>
              <a:solidFill xmlns:a="http://schemas.openxmlformats.org/drawingml/2006/main">
                <a:srgbClr val="E67E22"/>
              </a:solidFill>
              <a:ln xmlns:a="http://schemas.openxmlformats.org/drawingml/2006/main">
                <a:solidFill>
                  <a:srgbClr val="1A1A2E"/>
                </a:solidFill>
                <a:prstDash val="solid"/>
              </a:ln>
            </spPr>
          </dPt>
          <dPt>
            <idx val="3"/>
            <spPr>
              <a:solidFill xmlns:a="http://schemas.openxmlformats.org/drawingml/2006/main">
                <a:srgbClr val="9B59B6"/>
              </a:solidFill>
              <a:ln xmlns:a="http://schemas.openxmlformats.org/drawingml/2006/main">
                <a:solidFill>
                  <a:srgbClr val="1A1A2E"/>
                </a:solidFill>
                <a:prstDash val="solid"/>
              </a:ln>
            </spPr>
          </dPt>
          <dPt>
            <idx val="4"/>
            <spPr>
              <a:solidFill xmlns:a="http://schemas.openxmlformats.org/drawingml/2006/main">
                <a:srgbClr val="1ABC9C"/>
              </a:solidFill>
              <a:ln xmlns:a="http://schemas.openxmlformats.org/drawingml/2006/main">
                <a:solidFill>
                  <a:srgbClr val="1A1A2E"/>
                </a:solidFill>
                <a:prstDash val="solid"/>
              </a:ln>
            </spPr>
          </dPt>
          <dPt>
            <idx val="5"/>
            <spPr>
              <a:solidFill xmlns:a="http://schemas.openxmlformats.org/drawingml/2006/main">
                <a:srgbClr val="F39C12"/>
              </a:solidFill>
              <a:ln xmlns:a="http://schemas.openxmlformats.org/drawingml/2006/main">
                <a:solidFill>
                  <a:srgbClr val="1A1A2E"/>
                </a:solidFill>
                <a:prstDash val="solid"/>
              </a:ln>
            </spPr>
          </dPt>
          <dPt>
            <idx val="6"/>
            <spPr>
              <a:solidFill xmlns:a="http://schemas.openxmlformats.org/drawingml/2006/main">
                <a:srgbClr val="2ECC71"/>
              </a:solidFill>
              <a:ln xmlns:a="http://schemas.openxmlformats.org/drawingml/2006/main">
                <a:solidFill>
                  <a:srgbClr val="1A1A2E"/>
                </a:solidFill>
                <a:prstDash val="solid"/>
              </a:ln>
            </spPr>
          </dPt>
          <dPt>
            <idx val="7"/>
            <spPr>
              <a:solidFill xmlns:a="http://schemas.openxmlformats.org/drawingml/2006/main">
                <a:srgbClr val="E74C3C"/>
              </a:solidFill>
              <a:ln xmlns:a="http://schemas.openxmlformats.org/drawingml/2006/main">
                <a:solidFill>
                  <a:srgbClr val="1A1A2E"/>
                </a:solidFill>
                <a:prstDash val="solid"/>
              </a:ln>
            </spPr>
          </dPt>
          <dLbls>
            <showVal val="0"/>
            <showPercent val="1"/>
          </dLbls>
          <cat>
            <numRef>
              <f>'📊 Dashboard'!$J$13:$J$20</f>
            </numRef>
          </cat>
          <val>
            <numRef>
              <f>'📊 Dashboard'!$K$13:$K$20</f>
            </numRef>
          </val>
        </ser>
        <firstSliceAng val="0"/>
        <holeSize val="40"/>
      </doughnut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12</col>
      <colOff>0</colOff>
      <row>1</row>
      <rowOff>0</rowOff>
    </from>
    <ext cx="50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12</col>
      <colOff>0</colOff>
      <row>12</row>
      <rowOff>0</rowOff>
    </from>
    <ext cx="504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21</col>
      <colOff>0</colOff>
      <row>1</row>
      <rowOff>0</rowOff>
    </from>
    <ext cx="5760000" cy="64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E94560"/>
    <outlinePr summaryBelow="1" summaryRight="1"/>
    <pageSetUpPr/>
  </sheetPr>
  <dimension ref="A1:K39"/>
  <sheetViews>
    <sheetView workbookViewId="0">
      <pane ySplit="3" topLeftCell="A4" activePane="bottomLeft" state="frozen"/>
      <selection pane="bottomLeft" activeCell="A1" sqref="A1"/>
    </sheetView>
  </sheetViews>
  <sheetFormatPr baseColWidth="8" defaultRowHeight="15"/>
  <cols>
    <col width="22" customWidth="1" min="1" max="1"/>
    <col width="20" customWidth="1" min="2" max="2"/>
    <col width="20" customWidth="1" min="3" max="3"/>
    <col width="20" customWidth="1" min="4" max="4"/>
    <col width="14" customWidth="1" min="5" max="5"/>
    <col width="14" customWidth="1" min="6" max="6"/>
    <col width="16" customWidth="1" min="7" max="7"/>
    <col width="16" customWidth="1" min="8" max="8"/>
    <col width="16" customWidth="1" min="9" max="9"/>
    <col width="12" customWidth="1" min="10" max="10"/>
    <col width="10" customWidth="1" min="11" max="11"/>
    <col width="10" customWidth="1" min="12" max="12"/>
  </cols>
  <sheetData>
    <row r="1" ht="30" customHeight="1">
      <c r="A1" s="1" t="inlineStr">
        <is>
          <t>Anubis v6.1 — Threat Intelligence Dashboard</t>
        </is>
      </c>
    </row>
    <row r="2">
      <c r="A2" s="2" t="inlineStr">
        <is>
          <t>Generated: 2026-02-26 00:15  |  By Ramiz Alsafi</t>
        </is>
      </c>
      <c r="J2" s="3" t="inlineStr">
        <is>
          <t>Risk Level</t>
        </is>
      </c>
      <c r="K2" s="3" t="inlineStr">
        <is>
          <t>Count</t>
        </is>
      </c>
    </row>
    <row r="3" ht="22" customHeight="1">
      <c r="A3" s="4" t="inlineStr">
        <is>
          <t>Threat Type</t>
        </is>
      </c>
      <c r="B3" s="4" t="inlineStr">
        <is>
          <t>Total</t>
        </is>
      </c>
      <c r="C3" s="4" t="inlineStr">
        <is>
          <t>P1 (Urgent)</t>
        </is>
      </c>
      <c r="D3" s="4" t="inlineStr">
        <is>
          <t>P2 (High)</t>
        </is>
      </c>
      <c r="E3" s="4" t="inlineStr">
        <is>
          <t>KEV Active</t>
        </is>
      </c>
      <c r="F3" s="4" t="inlineStr">
        <is>
          <t>Critical</t>
        </is>
      </c>
      <c r="G3" s="4" t="inlineStr">
        <is>
          <t>High</t>
        </is>
      </c>
      <c r="J3" s="5" t="inlineStr">
        <is>
          <t>CRITICAL</t>
        </is>
      </c>
      <c r="K3" s="6">
        <f>COUNTIF('Threat Intelligence'!$H:$H,"CRITICAL")</f>
        <v/>
      </c>
    </row>
    <row r="4" ht="18" customHeight="1">
      <c r="A4" s="7" t="inlineStr">
        <is>
          <t>ABUSE_IP</t>
        </is>
      </c>
      <c r="B4" s="8">
        <f>COUNTIF('Threat Intelligence'!$A:$A,A4)</f>
        <v/>
      </c>
      <c r="C4" s="9">
        <f>COUNTIFS('Threat Intelligence'!$A:$A,A4,'Threat Intelligence'!$Q:$Q,"P1")</f>
        <v/>
      </c>
      <c r="D4" s="10">
        <f>COUNTIFS('Threat Intelligence'!$A:$A,A4,'Threat Intelligence'!$Q:$Q,"P2")</f>
        <v/>
      </c>
      <c r="E4" s="11">
        <f>COUNTIFS('Threat Intelligence'!$A:$A,A4,'Threat Intelligence'!$J:$J,"YES")</f>
        <v/>
      </c>
      <c r="F4" s="9">
        <f>COUNTIFS('Threat Intelligence'!$A:$A,A4,'Threat Intelligence'!$E:$E,"CRITICAL")</f>
        <v/>
      </c>
      <c r="G4" s="12">
        <f>COUNTIFS('Threat Intelligence'!$A:$A,A4,'Threat Intelligence'!$E:$E,"HIGH")</f>
        <v/>
      </c>
      <c r="J4" s="13" t="inlineStr">
        <is>
          <t>HIGH</t>
        </is>
      </c>
      <c r="K4" s="6">
        <f>COUNTIF('Threat Intelligence'!$H:$H,"HIGH")</f>
        <v/>
      </c>
    </row>
    <row r="5" ht="18" customHeight="1">
      <c r="A5" s="14" t="inlineStr">
        <is>
          <t>BLOCKLIST_DE</t>
        </is>
      </c>
      <c r="B5" s="15">
        <f>COUNTIF('Threat Intelligence'!$A:$A,A5)</f>
        <v/>
      </c>
      <c r="C5" s="16">
        <f>COUNTIFS('Threat Intelligence'!$A:$A,A5,'Threat Intelligence'!$Q:$Q,"P1")</f>
        <v/>
      </c>
      <c r="D5" s="17">
        <f>COUNTIFS('Threat Intelligence'!$A:$A,A5,'Threat Intelligence'!$Q:$Q,"P2")</f>
        <v/>
      </c>
      <c r="E5" s="18">
        <f>COUNTIFS('Threat Intelligence'!$A:$A,A5,'Threat Intelligence'!$J:$J,"YES")</f>
        <v/>
      </c>
      <c r="F5" s="16">
        <f>COUNTIFS('Threat Intelligence'!$A:$A,A5,'Threat Intelligence'!$E:$E,"CRITICAL")</f>
        <v/>
      </c>
      <c r="G5" s="19">
        <f>COUNTIFS('Threat Intelligence'!$A:$A,A5,'Threat Intelligence'!$E:$E,"HIGH")</f>
        <v/>
      </c>
      <c r="J5" s="20" t="inlineStr">
        <is>
          <t>MEDIUM</t>
        </is>
      </c>
      <c r="K5" s="6">
        <f>COUNTIF('Threat Intelligence'!$H:$H,"MEDIUM")</f>
        <v/>
      </c>
    </row>
    <row r="6" ht="18" customHeight="1">
      <c r="A6" s="21" t="inlineStr">
        <is>
          <t>CENSYS_EXPOSED</t>
        </is>
      </c>
      <c r="B6" s="22">
        <f>COUNTIF('Threat Intelligence'!$A:$A,A6)</f>
        <v/>
      </c>
      <c r="C6" s="23">
        <f>COUNTIFS('Threat Intelligence'!$A:$A,A6,'Threat Intelligence'!$Q:$Q,"P1")</f>
        <v/>
      </c>
      <c r="D6" s="24">
        <f>COUNTIFS('Threat Intelligence'!$A:$A,A6,'Threat Intelligence'!$Q:$Q,"P2")</f>
        <v/>
      </c>
      <c r="E6" s="25">
        <f>COUNTIFS('Threat Intelligence'!$A:$A,A6,'Threat Intelligence'!$J:$J,"YES")</f>
        <v/>
      </c>
      <c r="F6" s="23">
        <f>COUNTIFS('Threat Intelligence'!$A:$A,A6,'Threat Intelligence'!$E:$E,"CRITICAL")</f>
        <v/>
      </c>
      <c r="G6" s="26">
        <f>COUNTIFS('Threat Intelligence'!$A:$A,A6,'Threat Intelligence'!$E:$E,"HIGH")</f>
        <v/>
      </c>
      <c r="J6" s="27" t="inlineStr">
        <is>
          <t>LOW</t>
        </is>
      </c>
      <c r="K6" s="6">
        <f>COUNTIF('Threat Intelligence'!$H:$H,"LOW")</f>
        <v/>
      </c>
    </row>
    <row r="7" ht="18" customHeight="1">
      <c r="A7" s="28" t="inlineStr">
        <is>
          <t>CVE</t>
        </is>
      </c>
      <c r="B7" s="29">
        <f>COUNTIF('Threat Intelligence'!$A:$A,A7)</f>
        <v/>
      </c>
      <c r="C7" s="30">
        <f>COUNTIFS('Threat Intelligence'!$A:$A,A7,'Threat Intelligence'!$Q:$Q,"P1")</f>
        <v/>
      </c>
      <c r="D7" s="31">
        <f>COUNTIFS('Threat Intelligence'!$A:$A,A7,'Threat Intelligence'!$Q:$Q,"P2")</f>
        <v/>
      </c>
      <c r="E7" s="32">
        <f>COUNTIFS('Threat Intelligence'!$A:$A,A7,'Threat Intelligence'!$J:$J,"YES")</f>
        <v/>
      </c>
      <c r="F7" s="30">
        <f>COUNTIFS('Threat Intelligence'!$A:$A,A7,'Threat Intelligence'!$E:$E,"CRITICAL")</f>
        <v/>
      </c>
      <c r="G7" s="33">
        <f>COUNTIFS('Threat Intelligence'!$A:$A,A7,'Threat Intelligence'!$E:$E,"HIGH")</f>
        <v/>
      </c>
      <c r="J7" s="3" t="inlineStr">
        <is>
          <t>Priority</t>
        </is>
      </c>
      <c r="K7" s="3" t="inlineStr">
        <is>
          <t>Count</t>
        </is>
      </c>
    </row>
    <row r="8" ht="18" customHeight="1">
      <c r="A8" s="7" t="inlineStr">
        <is>
          <t>EMERGING_THREAT_IP</t>
        </is>
      </c>
      <c r="B8" s="8">
        <f>COUNTIF('Threat Intelligence'!$A:$A,A8)</f>
        <v/>
      </c>
      <c r="C8" s="9">
        <f>COUNTIFS('Threat Intelligence'!$A:$A,A8,'Threat Intelligence'!$Q:$Q,"P1")</f>
        <v/>
      </c>
      <c r="D8" s="10">
        <f>COUNTIFS('Threat Intelligence'!$A:$A,A8,'Threat Intelligence'!$Q:$Q,"P2")</f>
        <v/>
      </c>
      <c r="E8" s="11">
        <f>COUNTIFS('Threat Intelligence'!$A:$A,A8,'Threat Intelligence'!$J:$J,"YES")</f>
        <v/>
      </c>
      <c r="F8" s="9">
        <f>COUNTIFS('Threat Intelligence'!$A:$A,A8,'Threat Intelligence'!$E:$E,"CRITICAL")</f>
        <v/>
      </c>
      <c r="G8" s="12">
        <f>COUNTIFS('Threat Intelligence'!$A:$A,A8,'Threat Intelligence'!$E:$E,"HIGH")</f>
        <v/>
      </c>
      <c r="J8" s="34" t="inlineStr">
        <is>
          <t>P1</t>
        </is>
      </c>
      <c r="K8" s="6">
        <f>COUNTIF('Threat Intelligence'!$Q:$Q,"P1")</f>
        <v/>
      </c>
    </row>
    <row r="9" ht="18" customHeight="1">
      <c r="A9" s="35" t="inlineStr">
        <is>
          <t>EXPLOIT</t>
        </is>
      </c>
      <c r="B9" s="36">
        <f>COUNTIF('Threat Intelligence'!$A:$A,A9)</f>
        <v/>
      </c>
      <c r="C9" s="37">
        <f>COUNTIFS('Threat Intelligence'!$A:$A,A9,'Threat Intelligence'!$Q:$Q,"P1")</f>
        <v/>
      </c>
      <c r="D9" s="38">
        <f>COUNTIFS('Threat Intelligence'!$A:$A,A9,'Threat Intelligence'!$Q:$Q,"P2")</f>
        <v/>
      </c>
      <c r="E9" s="39">
        <f>COUNTIFS('Threat Intelligence'!$A:$A,A9,'Threat Intelligence'!$J:$J,"YES")</f>
        <v/>
      </c>
      <c r="F9" s="37">
        <f>COUNTIFS('Threat Intelligence'!$A:$A,A9,'Threat Intelligence'!$E:$E,"CRITICAL")</f>
        <v/>
      </c>
      <c r="G9" s="40">
        <f>COUNTIFS('Threat Intelligence'!$A:$A,A9,'Threat Intelligence'!$E:$E,"HIGH")</f>
        <v/>
      </c>
      <c r="J9" s="41" t="inlineStr">
        <is>
          <t>P2</t>
        </is>
      </c>
      <c r="K9" s="6">
        <f>COUNTIF('Threat Intelligence'!$Q:$Q,"P2")</f>
        <v/>
      </c>
    </row>
    <row r="10" ht="18" customHeight="1">
      <c r="A10" s="42" t="inlineStr">
        <is>
          <t>FEODO_C2</t>
        </is>
      </c>
      <c r="B10" s="43">
        <f>COUNTIF('Threat Intelligence'!$A:$A,A10)</f>
        <v/>
      </c>
      <c r="C10" s="44">
        <f>COUNTIFS('Threat Intelligence'!$A:$A,A10,'Threat Intelligence'!$Q:$Q,"P1")</f>
        <v/>
      </c>
      <c r="D10" s="45">
        <f>COUNTIFS('Threat Intelligence'!$A:$A,A10,'Threat Intelligence'!$Q:$Q,"P2")</f>
        <v/>
      </c>
      <c r="E10" s="46">
        <f>COUNTIFS('Threat Intelligence'!$A:$A,A10,'Threat Intelligence'!$J:$J,"YES")</f>
        <v/>
      </c>
      <c r="F10" s="44">
        <f>COUNTIFS('Threat Intelligence'!$A:$A,A10,'Threat Intelligence'!$E:$E,"CRITICAL")</f>
        <v/>
      </c>
      <c r="G10" s="47">
        <f>COUNTIFS('Threat Intelligence'!$A:$A,A10,'Threat Intelligence'!$E:$E,"HIGH")</f>
        <v/>
      </c>
      <c r="J10" s="48" t="inlineStr">
        <is>
          <t>P3</t>
        </is>
      </c>
      <c r="K10" s="6">
        <f>COUNTIF('Threat Intelligence'!$Q:$Q,"P3")</f>
        <v/>
      </c>
    </row>
    <row r="11" ht="18" customHeight="1">
      <c r="A11" s="49" t="inlineStr">
        <is>
          <t>FIREHOL_THREAT</t>
        </is>
      </c>
      <c r="B11" s="50">
        <f>COUNTIF('Threat Intelligence'!$A:$A,A11)</f>
        <v/>
      </c>
      <c r="C11" s="51">
        <f>COUNTIFS('Threat Intelligence'!$A:$A,A11,'Threat Intelligence'!$Q:$Q,"P1")</f>
        <v/>
      </c>
      <c r="D11" s="52">
        <f>COUNTIFS('Threat Intelligence'!$A:$A,A11,'Threat Intelligence'!$Q:$Q,"P2")</f>
        <v/>
      </c>
      <c r="E11" s="53">
        <f>COUNTIFS('Threat Intelligence'!$A:$A,A11,'Threat Intelligence'!$J:$J,"YES")</f>
        <v/>
      </c>
      <c r="F11" s="51">
        <f>COUNTIFS('Threat Intelligence'!$A:$A,A11,'Threat Intelligence'!$E:$E,"CRITICAL")</f>
        <v/>
      </c>
      <c r="G11" s="54">
        <f>COUNTIFS('Threat Intelligence'!$A:$A,A11,'Threat Intelligence'!$E:$E,"HIGH")</f>
        <v/>
      </c>
      <c r="J11" s="55" t="inlineStr">
        <is>
          <t>P4</t>
        </is>
      </c>
      <c r="K11" s="6">
        <f>COUNTIF('Threat Intelligence'!$Q:$Q,"P4")</f>
        <v/>
      </c>
    </row>
    <row r="12" ht="18" customHeight="1">
      <c r="A12" s="56" t="inlineStr">
        <is>
          <t>FIREWALL_ADVISORY</t>
        </is>
      </c>
      <c r="B12" s="57">
        <f>COUNTIF('Threat Intelligence'!$A:$A,A12)</f>
        <v/>
      </c>
      <c r="C12" s="58">
        <f>COUNTIFS('Threat Intelligence'!$A:$A,A12,'Threat Intelligence'!$Q:$Q,"P1")</f>
        <v/>
      </c>
      <c r="D12" s="59">
        <f>COUNTIFS('Threat Intelligence'!$A:$A,A12,'Threat Intelligence'!$Q:$Q,"P2")</f>
        <v/>
      </c>
      <c r="E12" s="60">
        <f>COUNTIFS('Threat Intelligence'!$A:$A,A12,'Threat Intelligence'!$J:$J,"YES")</f>
        <v/>
      </c>
      <c r="F12" s="58">
        <f>COUNTIFS('Threat Intelligence'!$A:$A,A12,'Threat Intelligence'!$E:$E,"CRITICAL")</f>
        <v/>
      </c>
      <c r="G12" s="61">
        <f>COUNTIFS('Threat Intelligence'!$A:$A,A12,'Threat Intelligence'!$E:$E,"HIGH")</f>
        <v/>
      </c>
      <c r="J12" s="3" t="inlineStr">
        <is>
          <t>Threat Type</t>
        </is>
      </c>
      <c r="K12" s="3" t="inlineStr">
        <is>
          <t>Count</t>
        </is>
      </c>
    </row>
    <row r="13" ht="18" customHeight="1">
      <c r="A13" s="62" t="inlineStr">
        <is>
          <t>GH_ADVISORY</t>
        </is>
      </c>
      <c r="B13" s="63">
        <f>COUNTIF('Threat Intelligence'!$A:$A,A13)</f>
        <v/>
      </c>
      <c r="C13" s="64">
        <f>COUNTIFS('Threat Intelligence'!$A:$A,A13,'Threat Intelligence'!$Q:$Q,"P1")</f>
        <v/>
      </c>
      <c r="D13" s="65">
        <f>COUNTIFS('Threat Intelligence'!$A:$A,A13,'Threat Intelligence'!$Q:$Q,"P2")</f>
        <v/>
      </c>
      <c r="E13" s="66">
        <f>COUNTIFS('Threat Intelligence'!$A:$A,A13,'Threat Intelligence'!$J:$J,"YES")</f>
        <v/>
      </c>
      <c r="F13" s="64">
        <f>COUNTIFS('Threat Intelligence'!$A:$A,A13,'Threat Intelligence'!$E:$E,"CRITICAL")</f>
        <v/>
      </c>
      <c r="G13" s="67">
        <f>COUNTIFS('Threat Intelligence'!$A:$A,A13,'Threat Intelligence'!$E:$E,"HIGH")</f>
        <v/>
      </c>
      <c r="J13" s="68">
        <f>A4</f>
        <v/>
      </c>
      <c r="K13" s="69">
        <f>B4</f>
        <v/>
      </c>
    </row>
    <row r="14" ht="18" customHeight="1">
      <c r="A14" s="70" t="inlineStr">
        <is>
          <t>MAL_URL</t>
        </is>
      </c>
      <c r="B14" s="71">
        <f>COUNTIF('Threat Intelligence'!$A:$A,A14)</f>
        <v/>
      </c>
      <c r="C14" s="72">
        <f>COUNTIFS('Threat Intelligence'!$A:$A,A14,'Threat Intelligence'!$Q:$Q,"P1")</f>
        <v/>
      </c>
      <c r="D14" s="73">
        <f>COUNTIFS('Threat Intelligence'!$A:$A,A14,'Threat Intelligence'!$Q:$Q,"P2")</f>
        <v/>
      </c>
      <c r="E14" s="74">
        <f>COUNTIFS('Threat Intelligence'!$A:$A,A14,'Threat Intelligence'!$J:$J,"YES")</f>
        <v/>
      </c>
      <c r="F14" s="72">
        <f>COUNTIFS('Threat Intelligence'!$A:$A,A14,'Threat Intelligence'!$E:$E,"CRITICAL")</f>
        <v/>
      </c>
      <c r="G14" s="75">
        <f>COUNTIFS('Threat Intelligence'!$A:$A,A14,'Threat Intelligence'!$E:$E,"HIGH")</f>
        <v/>
      </c>
      <c r="J14" s="68">
        <f>A5</f>
        <v/>
      </c>
      <c r="K14" s="69">
        <f>B5</f>
        <v/>
      </c>
    </row>
    <row r="15" ht="18" customHeight="1">
      <c r="A15" s="76" t="inlineStr">
        <is>
          <t>MSF_MODULE</t>
        </is>
      </c>
      <c r="B15" s="77">
        <f>COUNTIF('Threat Intelligence'!$A:$A,A15)</f>
        <v/>
      </c>
      <c r="C15" s="78">
        <f>COUNTIFS('Threat Intelligence'!$A:$A,A15,'Threat Intelligence'!$Q:$Q,"P1")</f>
        <v/>
      </c>
      <c r="D15" s="79">
        <f>COUNTIFS('Threat Intelligence'!$A:$A,A15,'Threat Intelligence'!$Q:$Q,"P2")</f>
        <v/>
      </c>
      <c r="E15" s="80">
        <f>COUNTIFS('Threat Intelligence'!$A:$A,A15,'Threat Intelligence'!$J:$J,"YES")</f>
        <v/>
      </c>
      <c r="F15" s="78">
        <f>COUNTIFS('Threat Intelligence'!$A:$A,A15,'Threat Intelligence'!$E:$E,"CRITICAL")</f>
        <v/>
      </c>
      <c r="G15" s="81">
        <f>COUNTIFS('Threat Intelligence'!$A:$A,A15,'Threat Intelligence'!$E:$E,"HIGH")</f>
        <v/>
      </c>
      <c r="J15" s="68">
        <f>A6</f>
        <v/>
      </c>
      <c r="K15" s="69">
        <f>B6</f>
        <v/>
      </c>
    </row>
    <row r="16" ht="18" customHeight="1">
      <c r="A16" s="82" t="inlineStr">
        <is>
          <t>MSRC_UPDATE</t>
        </is>
      </c>
      <c r="B16" s="83">
        <f>COUNTIF('Threat Intelligence'!$A:$A,A16)</f>
        <v/>
      </c>
      <c r="C16" s="84">
        <f>COUNTIFS('Threat Intelligence'!$A:$A,A16,'Threat Intelligence'!$Q:$Q,"P1")</f>
        <v/>
      </c>
      <c r="D16" s="85">
        <f>COUNTIFS('Threat Intelligence'!$A:$A,A16,'Threat Intelligence'!$Q:$Q,"P2")</f>
        <v/>
      </c>
      <c r="E16" s="86">
        <f>COUNTIFS('Threat Intelligence'!$A:$A,A16,'Threat Intelligence'!$J:$J,"YES")</f>
        <v/>
      </c>
      <c r="F16" s="84">
        <f>COUNTIFS('Threat Intelligence'!$A:$A,A16,'Threat Intelligence'!$E:$E,"CRITICAL")</f>
        <v/>
      </c>
      <c r="G16" s="87">
        <f>COUNTIFS('Threat Intelligence'!$A:$A,A16,'Threat Intelligence'!$E:$E,"HIGH")</f>
        <v/>
      </c>
      <c r="J16" s="68">
        <f>A7</f>
        <v/>
      </c>
      <c r="K16" s="69">
        <f>B7</f>
        <v/>
      </c>
    </row>
    <row r="17" ht="18" customHeight="1">
      <c r="A17" s="88" t="inlineStr">
        <is>
          <t>NEWS_ALERT</t>
        </is>
      </c>
      <c r="B17" s="89">
        <f>COUNTIF('Threat Intelligence'!$A:$A,A17)</f>
        <v/>
      </c>
      <c r="C17" s="90">
        <f>COUNTIFS('Threat Intelligence'!$A:$A,A17,'Threat Intelligence'!$Q:$Q,"P1")</f>
        <v/>
      </c>
      <c r="D17" s="91">
        <f>COUNTIFS('Threat Intelligence'!$A:$A,A17,'Threat Intelligence'!$Q:$Q,"P2")</f>
        <v/>
      </c>
      <c r="E17" s="92">
        <f>COUNTIFS('Threat Intelligence'!$A:$A,A17,'Threat Intelligence'!$J:$J,"YES")</f>
        <v/>
      </c>
      <c r="F17" s="90">
        <f>COUNTIFS('Threat Intelligence'!$A:$A,A17,'Threat Intelligence'!$E:$E,"CRITICAL")</f>
        <v/>
      </c>
      <c r="G17" s="93">
        <f>COUNTIFS('Threat Intelligence'!$A:$A,A17,'Threat Intelligence'!$E:$E,"HIGH")</f>
        <v/>
      </c>
      <c r="J17" s="68">
        <f>A8</f>
        <v/>
      </c>
      <c r="K17" s="69">
        <f>B8</f>
        <v/>
      </c>
    </row>
    <row r="18" ht="18" customHeight="1">
      <c r="A18" s="94" t="inlineStr">
        <is>
          <t>OTX_PULSE</t>
        </is>
      </c>
      <c r="B18" s="95">
        <f>COUNTIF('Threat Intelligence'!$A:$A,A18)</f>
        <v/>
      </c>
      <c r="C18" s="96">
        <f>COUNTIFS('Threat Intelligence'!$A:$A,A18,'Threat Intelligence'!$Q:$Q,"P1")</f>
        <v/>
      </c>
      <c r="D18" s="97">
        <f>COUNTIFS('Threat Intelligence'!$A:$A,A18,'Threat Intelligence'!$Q:$Q,"P2")</f>
        <v/>
      </c>
      <c r="E18" s="98">
        <f>COUNTIFS('Threat Intelligence'!$A:$A,A18,'Threat Intelligence'!$J:$J,"YES")</f>
        <v/>
      </c>
      <c r="F18" s="96">
        <f>COUNTIFS('Threat Intelligence'!$A:$A,A18,'Threat Intelligence'!$E:$E,"CRITICAL")</f>
        <v/>
      </c>
      <c r="G18" s="99">
        <f>COUNTIFS('Threat Intelligence'!$A:$A,A18,'Threat Intelligence'!$E:$E,"HIGH")</f>
        <v/>
      </c>
      <c r="J18" s="68">
        <f>A9</f>
        <v/>
      </c>
      <c r="K18" s="69">
        <f>B9</f>
        <v/>
      </c>
    </row>
    <row r="19" ht="18" customHeight="1">
      <c r="A19" s="49" t="inlineStr">
        <is>
          <t>PATCH_TUESDAY</t>
        </is>
      </c>
      <c r="B19" s="50">
        <f>COUNTIF('Threat Intelligence'!$A:$A,A19)</f>
        <v/>
      </c>
      <c r="C19" s="51">
        <f>COUNTIFS('Threat Intelligence'!$A:$A,A19,'Threat Intelligence'!$Q:$Q,"P1")</f>
        <v/>
      </c>
      <c r="D19" s="52">
        <f>COUNTIFS('Threat Intelligence'!$A:$A,A19,'Threat Intelligence'!$Q:$Q,"P2")</f>
        <v/>
      </c>
      <c r="E19" s="53">
        <f>COUNTIFS('Threat Intelligence'!$A:$A,A19,'Threat Intelligence'!$J:$J,"YES")</f>
        <v/>
      </c>
      <c r="F19" s="51">
        <f>COUNTIFS('Threat Intelligence'!$A:$A,A19,'Threat Intelligence'!$E:$E,"CRITICAL")</f>
        <v/>
      </c>
      <c r="G19" s="54">
        <f>COUNTIFS('Threat Intelligence'!$A:$A,A19,'Threat Intelligence'!$E:$E,"HIGH")</f>
        <v/>
      </c>
      <c r="J19" s="68">
        <f>A10</f>
        <v/>
      </c>
      <c r="K19" s="69">
        <f>B10</f>
        <v/>
      </c>
    </row>
    <row r="20" ht="18" customHeight="1">
      <c r="A20" s="100" t="inlineStr">
        <is>
          <t>PHISH</t>
        </is>
      </c>
      <c r="B20" s="101">
        <f>COUNTIF('Threat Intelligence'!$A:$A,A20)</f>
        <v/>
      </c>
      <c r="C20" s="102">
        <f>COUNTIFS('Threat Intelligence'!$A:$A,A20,'Threat Intelligence'!$Q:$Q,"P1")</f>
        <v/>
      </c>
      <c r="D20" s="103">
        <f>COUNTIFS('Threat Intelligence'!$A:$A,A20,'Threat Intelligence'!$Q:$Q,"P2")</f>
        <v/>
      </c>
      <c r="E20" s="104">
        <f>COUNTIFS('Threat Intelligence'!$A:$A,A20,'Threat Intelligence'!$J:$J,"YES")</f>
        <v/>
      </c>
      <c r="F20" s="102">
        <f>COUNTIFS('Threat Intelligence'!$A:$A,A20,'Threat Intelligence'!$E:$E,"CRITICAL")</f>
        <v/>
      </c>
      <c r="G20" s="105">
        <f>COUNTIFS('Threat Intelligence'!$A:$A,A20,'Threat Intelligence'!$E:$E,"HIGH")</f>
        <v/>
      </c>
      <c r="J20" s="68">
        <f>A11</f>
        <v/>
      </c>
      <c r="K20" s="69">
        <f>B11</f>
        <v/>
      </c>
    </row>
    <row r="21" ht="18" customHeight="1">
      <c r="A21" s="106" t="inlineStr">
        <is>
          <t>REDHAT_CVE</t>
        </is>
      </c>
      <c r="B21" s="107">
        <f>COUNTIF('Threat Intelligence'!$A:$A,A21)</f>
        <v/>
      </c>
      <c r="C21" s="108">
        <f>COUNTIFS('Threat Intelligence'!$A:$A,A21,'Threat Intelligence'!$Q:$Q,"P1")</f>
        <v/>
      </c>
      <c r="D21" s="109">
        <f>COUNTIFS('Threat Intelligence'!$A:$A,A21,'Threat Intelligence'!$Q:$Q,"P2")</f>
        <v/>
      </c>
      <c r="E21" s="110">
        <f>COUNTIFS('Threat Intelligence'!$A:$A,A21,'Threat Intelligence'!$J:$J,"YES")</f>
        <v/>
      </c>
      <c r="F21" s="108">
        <f>COUNTIFS('Threat Intelligence'!$A:$A,A21,'Threat Intelligence'!$E:$E,"CRITICAL")</f>
        <v/>
      </c>
      <c r="G21" s="111">
        <f>COUNTIFS('Threat Intelligence'!$A:$A,A21,'Threat Intelligence'!$E:$E,"HIGH")</f>
        <v/>
      </c>
    </row>
    <row r="22" ht="18" customHeight="1">
      <c r="A22" s="112" t="inlineStr">
        <is>
          <t>SANS_ISC</t>
        </is>
      </c>
      <c r="B22" s="113">
        <f>COUNTIF('Threat Intelligence'!$A:$A,A22)</f>
        <v/>
      </c>
      <c r="C22" s="114">
        <f>COUNTIFS('Threat Intelligence'!$A:$A,A22,'Threat Intelligence'!$Q:$Q,"P1")</f>
        <v/>
      </c>
      <c r="D22" s="115">
        <f>COUNTIFS('Threat Intelligence'!$A:$A,A22,'Threat Intelligence'!$Q:$Q,"P2")</f>
        <v/>
      </c>
      <c r="E22" s="116">
        <f>COUNTIFS('Threat Intelligence'!$A:$A,A22,'Threat Intelligence'!$J:$J,"YES")</f>
        <v/>
      </c>
      <c r="F22" s="114">
        <f>COUNTIFS('Threat Intelligence'!$A:$A,A22,'Threat Intelligence'!$E:$E,"CRITICAL")</f>
        <v/>
      </c>
      <c r="G22" s="117">
        <f>COUNTIFS('Threat Intelligence'!$A:$A,A22,'Threat Intelligence'!$E:$E,"HIGH")</f>
        <v/>
      </c>
    </row>
    <row r="23" ht="18" customHeight="1">
      <c r="A23" s="118" t="inlineStr">
        <is>
          <t>SHODAN_VULN</t>
        </is>
      </c>
      <c r="B23" s="119">
        <f>COUNTIF('Threat Intelligence'!$A:$A,A23)</f>
        <v/>
      </c>
      <c r="C23" s="120">
        <f>COUNTIFS('Threat Intelligence'!$A:$A,A23,'Threat Intelligence'!$Q:$Q,"P1")</f>
        <v/>
      </c>
      <c r="D23" s="121">
        <f>COUNTIFS('Threat Intelligence'!$A:$A,A23,'Threat Intelligence'!$Q:$Q,"P2")</f>
        <v/>
      </c>
      <c r="E23" s="122">
        <f>COUNTIFS('Threat Intelligence'!$A:$A,A23,'Threat Intelligence'!$J:$J,"YES")</f>
        <v/>
      </c>
      <c r="F23" s="120">
        <f>COUNTIFS('Threat Intelligence'!$A:$A,A23,'Threat Intelligence'!$E:$E,"CRITICAL")</f>
        <v/>
      </c>
      <c r="G23" s="123">
        <f>COUNTIFS('Threat Intelligence'!$A:$A,A23,'Threat Intelligence'!$E:$E,"HIGH")</f>
        <v/>
      </c>
    </row>
    <row r="24" ht="18" customHeight="1">
      <c r="A24" s="124" t="inlineStr">
        <is>
          <t>TALOS_IP</t>
        </is>
      </c>
      <c r="B24" s="125">
        <f>COUNTIF('Threat Intelligence'!$A:$A,A24)</f>
        <v/>
      </c>
      <c r="C24" s="126">
        <f>COUNTIFS('Threat Intelligence'!$A:$A,A24,'Threat Intelligence'!$Q:$Q,"P1")</f>
        <v/>
      </c>
      <c r="D24" s="127">
        <f>COUNTIFS('Threat Intelligence'!$A:$A,A24,'Threat Intelligence'!$Q:$Q,"P2")</f>
        <v/>
      </c>
      <c r="E24" s="128">
        <f>COUNTIFS('Threat Intelligence'!$A:$A,A24,'Threat Intelligence'!$J:$J,"YES")</f>
        <v/>
      </c>
      <c r="F24" s="126">
        <f>COUNTIFS('Threat Intelligence'!$A:$A,A24,'Threat Intelligence'!$E:$E,"CRITICAL")</f>
        <v/>
      </c>
      <c r="G24" s="129">
        <f>COUNTIFS('Threat Intelligence'!$A:$A,A24,'Threat Intelligence'!$E:$E,"HIGH")</f>
        <v/>
      </c>
    </row>
    <row r="25" ht="18" customHeight="1">
      <c r="A25" s="130" t="inlineStr">
        <is>
          <t>THREATFOX_IOC</t>
        </is>
      </c>
      <c r="B25" s="131">
        <f>COUNTIF('Threat Intelligence'!$A:$A,A25)</f>
        <v/>
      </c>
      <c r="C25" s="132">
        <f>COUNTIFS('Threat Intelligence'!$A:$A,A25,'Threat Intelligence'!$Q:$Q,"P1")</f>
        <v/>
      </c>
      <c r="D25" s="133">
        <f>COUNTIFS('Threat Intelligence'!$A:$A,A25,'Threat Intelligence'!$Q:$Q,"P2")</f>
        <v/>
      </c>
      <c r="E25" s="134">
        <f>COUNTIFS('Threat Intelligence'!$A:$A,A25,'Threat Intelligence'!$J:$J,"YES")</f>
        <v/>
      </c>
      <c r="F25" s="132">
        <f>COUNTIFS('Threat Intelligence'!$A:$A,A25,'Threat Intelligence'!$E:$E,"CRITICAL")</f>
        <v/>
      </c>
      <c r="G25" s="135">
        <f>COUNTIFS('Threat Intelligence'!$A:$A,A25,'Threat Intelligence'!$E:$E,"HIGH")</f>
        <v/>
      </c>
    </row>
    <row r="26" ht="18" customHeight="1">
      <c r="A26" s="136" t="inlineStr">
        <is>
          <t>THREATMINER</t>
        </is>
      </c>
      <c r="B26" s="137">
        <f>COUNTIF('Threat Intelligence'!$A:$A,A26)</f>
        <v/>
      </c>
      <c r="C26" s="138">
        <f>COUNTIFS('Threat Intelligence'!$A:$A,A26,'Threat Intelligence'!$Q:$Q,"P1")</f>
        <v/>
      </c>
      <c r="D26" s="139">
        <f>COUNTIFS('Threat Intelligence'!$A:$A,A26,'Threat Intelligence'!$Q:$Q,"P2")</f>
        <v/>
      </c>
      <c r="E26" s="140">
        <f>COUNTIFS('Threat Intelligence'!$A:$A,A26,'Threat Intelligence'!$J:$J,"YES")</f>
        <v/>
      </c>
      <c r="F26" s="138">
        <f>COUNTIFS('Threat Intelligence'!$A:$A,A26,'Threat Intelligence'!$E:$E,"CRITICAL")</f>
        <v/>
      </c>
      <c r="G26" s="141">
        <f>COUNTIFS('Threat Intelligence'!$A:$A,A26,'Threat Intelligence'!$E:$E,"HIGH")</f>
        <v/>
      </c>
    </row>
    <row r="27" ht="18" customHeight="1">
      <c r="A27" s="142" t="inlineStr">
        <is>
          <t>TOR_EXIT</t>
        </is>
      </c>
      <c r="B27" s="143">
        <f>COUNTIF('Threat Intelligence'!$A:$A,A27)</f>
        <v/>
      </c>
      <c r="C27" s="144">
        <f>COUNTIFS('Threat Intelligence'!$A:$A,A27,'Threat Intelligence'!$Q:$Q,"P1")</f>
        <v/>
      </c>
      <c r="D27" s="145">
        <f>COUNTIFS('Threat Intelligence'!$A:$A,A27,'Threat Intelligence'!$Q:$Q,"P2")</f>
        <v/>
      </c>
      <c r="E27" s="146">
        <f>COUNTIFS('Threat Intelligence'!$A:$A,A27,'Threat Intelligence'!$J:$J,"YES")</f>
        <v/>
      </c>
      <c r="F27" s="144">
        <f>COUNTIFS('Threat Intelligence'!$A:$A,A27,'Threat Intelligence'!$E:$E,"CRITICAL")</f>
        <v/>
      </c>
      <c r="G27" s="147">
        <f>COUNTIFS('Threat Intelligence'!$A:$A,A27,'Threat Intelligence'!$E:$E,"HIGH")</f>
        <v/>
      </c>
    </row>
    <row r="28" ht="18" customHeight="1">
      <c r="A28" s="148" t="inlineStr">
        <is>
          <t>UBUNTU_SEC</t>
        </is>
      </c>
      <c r="B28" s="149">
        <f>COUNTIF('Threat Intelligence'!$A:$A,A28)</f>
        <v/>
      </c>
      <c r="C28" s="150">
        <f>COUNTIFS('Threat Intelligence'!$A:$A,A28,'Threat Intelligence'!$Q:$Q,"P1")</f>
        <v/>
      </c>
      <c r="D28" s="151">
        <f>COUNTIFS('Threat Intelligence'!$A:$A,A28,'Threat Intelligence'!$Q:$Q,"P2")</f>
        <v/>
      </c>
      <c r="E28" s="152">
        <f>COUNTIFS('Threat Intelligence'!$A:$A,A28,'Threat Intelligence'!$J:$J,"YES")</f>
        <v/>
      </c>
      <c r="F28" s="150">
        <f>COUNTIFS('Threat Intelligence'!$A:$A,A28,'Threat Intelligence'!$E:$E,"CRITICAL")</f>
        <v/>
      </c>
      <c r="G28" s="153">
        <f>COUNTIFS('Threat Intelligence'!$A:$A,A28,'Threat Intelligence'!$E:$E,"HIGH")</f>
        <v/>
      </c>
    </row>
    <row r="29" ht="18" customHeight="1">
      <c r="A29" s="154" t="inlineStr">
        <is>
          <t>VULNCHECK_KEV</t>
        </is>
      </c>
      <c r="B29" s="155">
        <f>COUNTIF('Threat Intelligence'!$A:$A,A29)</f>
        <v/>
      </c>
      <c r="C29" s="156">
        <f>COUNTIFS('Threat Intelligence'!$A:$A,A29,'Threat Intelligence'!$Q:$Q,"P1")</f>
        <v/>
      </c>
      <c r="D29" s="157">
        <f>COUNTIFS('Threat Intelligence'!$A:$A,A29,'Threat Intelligence'!$Q:$Q,"P2")</f>
        <v/>
      </c>
      <c r="E29" s="158">
        <f>COUNTIFS('Threat Intelligence'!$A:$A,A29,'Threat Intelligence'!$J:$J,"YES")</f>
        <v/>
      </c>
      <c r="F29" s="156">
        <f>COUNTIFS('Threat Intelligence'!$A:$A,A29,'Threat Intelligence'!$E:$E,"CRITICAL")</f>
        <v/>
      </c>
      <c r="G29" s="159">
        <f>COUNTIFS('Threat Intelligence'!$A:$A,A29,'Threat Intelligence'!$E:$E,"HIGH")</f>
        <v/>
      </c>
    </row>
    <row r="30" ht="18" customHeight="1">
      <c r="A30" s="160" t="inlineStr">
        <is>
          <t>ZDI_ADVISORY</t>
        </is>
      </c>
      <c r="B30" s="161">
        <f>COUNTIF('Threat Intelligence'!$A:$A,A30)</f>
        <v/>
      </c>
      <c r="C30" s="162">
        <f>COUNTIFS('Threat Intelligence'!$A:$A,A30,'Threat Intelligence'!$Q:$Q,"P1")</f>
        <v/>
      </c>
      <c r="D30" s="163">
        <f>COUNTIFS('Threat Intelligence'!$A:$A,A30,'Threat Intelligence'!$Q:$Q,"P2")</f>
        <v/>
      </c>
      <c r="E30" s="164">
        <f>COUNTIFS('Threat Intelligence'!$A:$A,A30,'Threat Intelligence'!$J:$J,"YES")</f>
        <v/>
      </c>
      <c r="F30" s="162">
        <f>COUNTIFS('Threat Intelligence'!$A:$A,A30,'Threat Intelligence'!$E:$E,"CRITICAL")</f>
        <v/>
      </c>
      <c r="G30" s="165">
        <f>COUNTIFS('Threat Intelligence'!$A:$A,A30,'Threat Intelligence'!$E:$E,"HIGH")</f>
        <v/>
      </c>
    </row>
    <row r="31" ht="20" customHeight="1">
      <c r="A31" s="166" t="inlineStr">
        <is>
          <t>TOTAL</t>
        </is>
      </c>
      <c r="B31" s="167">
        <f>SUM(B4:B30)</f>
        <v/>
      </c>
      <c r="C31" s="167">
        <f>SUM(C4:C30)</f>
        <v/>
      </c>
      <c r="D31" s="167">
        <f>SUM(D4:D30)</f>
        <v/>
      </c>
      <c r="E31" s="167">
        <f>SUM(E4:E30)</f>
        <v/>
      </c>
      <c r="F31" s="167">
        <f>SUM(F4:F30)</f>
        <v/>
      </c>
      <c r="G31" s="167">
        <f>SUM(G4:G30)</f>
        <v/>
      </c>
    </row>
    <row r="33" ht="22" customHeight="1">
      <c r="A33" s="168" t="inlineStr">
        <is>
          <t>🔥  RISK HEATMAP  ─  Likelihood × Impact</t>
        </is>
      </c>
      <c r="F33" s="168" t="inlineStr">
        <is>
          <t>📐  RISK MATRIX  ─  Score = Likelihood × Impact</t>
        </is>
      </c>
    </row>
    <row r="34" ht="30" customHeight="1">
      <c r="A34" s="169" t="inlineStr">
        <is>
          <t>Likelihood / Impact</t>
        </is>
      </c>
      <c r="B34" s="170" t="inlineStr">
        <is>
          <t>Low Impact (1)</t>
        </is>
      </c>
      <c r="C34" s="170" t="inlineStr">
        <is>
          <t>Med Impact (2)</t>
        </is>
      </c>
      <c r="D34" s="170" t="inlineStr">
        <is>
          <t>High Impact (3)</t>
        </is>
      </c>
      <c r="F34" s="171" t="inlineStr"/>
      <c r="G34" s="171" t="inlineStr">
        <is>
          <t>Impact 1</t>
        </is>
      </c>
      <c r="H34" s="171" t="inlineStr">
        <is>
          <t>Impact 2</t>
        </is>
      </c>
      <c r="I34" s="171" t="inlineStr">
        <is>
          <t>Impact 3</t>
        </is>
      </c>
      <c r="J34" s="171" t="inlineStr">
        <is>
          <t>Zone</t>
        </is>
      </c>
    </row>
    <row r="35" ht="38" customHeight="1">
      <c r="A35" s="172" t="inlineStr">
        <is>
          <t>Low Likelihood (1)</t>
        </is>
      </c>
      <c r="B35" s="173">
        <f>COUNTIFS('Threat Intelligence'!$F:$F,1,'Threat Intelligence'!$G:$G,1)</f>
        <v/>
      </c>
      <c r="C35" s="173">
        <f>COUNTIFS('Threat Intelligence'!$F:$F,1,'Threat Intelligence'!$G:$G,2)</f>
        <v/>
      </c>
      <c r="D35" s="174">
        <f>COUNTIFS('Threat Intelligence'!$F:$F,1,'Threat Intelligence'!$G:$G,3)</f>
        <v/>
      </c>
      <c r="F35" s="171" t="inlineStr">
        <is>
          <t>L=1 (Low)</t>
        </is>
      </c>
      <c r="G35" s="175" t="inlineStr">
        <is>
          <t>L1×I1=1  (LOW)</t>
        </is>
      </c>
      <c r="H35" s="175" t="inlineStr">
        <is>
          <t>L1×I2=2  (LOW)</t>
        </is>
      </c>
      <c r="I35" s="176" t="inlineStr">
        <is>
          <t>L1×I3=3  (MEDIUM)</t>
        </is>
      </c>
      <c r="J35" s="177" t="inlineStr">
        <is>
          <t>MEDIUM</t>
        </is>
      </c>
    </row>
    <row r="36" ht="38" customHeight="1">
      <c r="A36" s="172" t="inlineStr">
        <is>
          <t>Med Likelihood (2)</t>
        </is>
      </c>
      <c r="B36" s="173">
        <f>COUNTIFS('Threat Intelligence'!$F:$F,2,'Threat Intelligence'!$G:$G,1)</f>
        <v/>
      </c>
      <c r="C36" s="174">
        <f>COUNTIFS('Threat Intelligence'!$F:$F,2,'Threat Intelligence'!$G:$G,2)</f>
        <v/>
      </c>
      <c r="D36" s="178">
        <f>COUNTIFS('Threat Intelligence'!$F:$F,2,'Threat Intelligence'!$G:$G,3)</f>
        <v/>
      </c>
      <c r="F36" s="171" t="inlineStr">
        <is>
          <t>L=2 (Med)</t>
        </is>
      </c>
      <c r="G36" s="175" t="inlineStr">
        <is>
          <t>L2×I1=2  (LOW)</t>
        </is>
      </c>
      <c r="H36" s="176" t="inlineStr">
        <is>
          <t>L2×I2=4  (MEDIUM)</t>
        </is>
      </c>
      <c r="I36" s="179" t="inlineStr">
        <is>
          <t>L2×I3=6  (HIGH)</t>
        </is>
      </c>
      <c r="J36" s="180" t="inlineStr">
        <is>
          <t>HIGH</t>
        </is>
      </c>
    </row>
    <row r="37" ht="38" customHeight="1">
      <c r="A37" s="172" t="inlineStr">
        <is>
          <t>High Likelihood (3)</t>
        </is>
      </c>
      <c r="B37" s="174">
        <f>COUNTIFS('Threat Intelligence'!$F:$F,3,'Threat Intelligence'!$G:$G,1)</f>
        <v/>
      </c>
      <c r="C37" s="178">
        <f>COUNTIFS('Threat Intelligence'!$F:$F,3,'Threat Intelligence'!$G:$G,2)</f>
        <v/>
      </c>
      <c r="D37" s="181">
        <f>COUNTIFS('Threat Intelligence'!$F:$F,3,'Threat Intelligence'!$G:$G,3)</f>
        <v/>
      </c>
      <c r="F37" s="171" t="inlineStr">
        <is>
          <t>L=3 (High)</t>
        </is>
      </c>
      <c r="G37" s="176" t="inlineStr">
        <is>
          <t>L3×I1=3  (MEDIUM)</t>
        </is>
      </c>
      <c r="H37" s="179" t="inlineStr">
        <is>
          <t>L3×I2=6  (HIGH)</t>
        </is>
      </c>
      <c r="I37" s="182" t="inlineStr">
        <is>
          <t>L3×I3=9  (CRITICAL)</t>
        </is>
      </c>
      <c r="J37" s="183" t="inlineStr">
        <is>
          <t>CRITICAL</t>
        </is>
      </c>
    </row>
    <row r="39">
      <c r="A39" s="184" t="inlineStr">
        <is>
          <t>🟢 LOW</t>
        </is>
      </c>
      <c r="B39" s="177" t="inlineStr">
        <is>
          <t>🟡 MEDIUM</t>
        </is>
      </c>
      <c r="C39" s="180" t="inlineStr">
        <is>
          <t>🟠 HIGH</t>
        </is>
      </c>
      <c r="D39" s="183" t="inlineStr">
        <is>
          <t>🔴 CRITICAL</t>
        </is>
      </c>
      <c r="F39" s="185" t="inlineStr">
        <is>
          <t>Risk Score = Likelihood (1-3) × Impact (1-3)  →  Max 9 = CRITICAL</t>
        </is>
      </c>
    </row>
  </sheetData>
  <mergeCells count="5">
    <mergeCell ref="A1:G1"/>
    <mergeCell ref="F39:J39"/>
    <mergeCell ref="A2:G2"/>
    <mergeCell ref="F33:J33"/>
    <mergeCell ref="A33:D33"/>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D2187"/>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55" customWidth="1" min="3" max="3"/>
    <col width="7" customWidth="1" min="4" max="4"/>
    <col width="11" customWidth="1" min="5" max="5"/>
    <col width="11" customWidth="1" min="6" max="6"/>
    <col width="8" customWidth="1" min="7" max="7"/>
    <col width="12" customWidth="1" min="8" max="8"/>
    <col width="12" customWidth="1" min="9" max="9"/>
    <col width="10" customWidth="1" min="10" max="10"/>
    <col width="35" customWidth="1" min="11" max="11"/>
    <col width="18" customWidth="1" min="12" max="12"/>
    <col width="16" customWidth="1" min="13" max="13"/>
    <col width="40" customWidth="1" min="14" max="14"/>
    <col width="40" customWidth="1" min="15" max="15"/>
    <col width="35" customWidth="1" min="16" max="16"/>
    <col width="22" customWidth="1" min="17" max="17"/>
    <col width="55" customWidth="1" min="18" max="18"/>
    <col width="35" customWidth="1" min="19" max="19"/>
    <col width="22" customWidth="1" min="20" max="20"/>
    <col width="15" customWidth="1" min="21" max="21"/>
    <col width="40" customWidth="1" min="22" max="22"/>
    <col width="12" customWidth="1" min="23" max="23"/>
    <col width="16" customWidth="1" min="24" max="24"/>
    <col width="55" customWidth="1" min="25" max="25"/>
    <col width="13" customWidth="1" min="26" max="26"/>
    <col width="20" customWidth="1" min="27" max="27"/>
    <col width="40" customWidth="1" min="28" max="28"/>
    <col width="17" customWidth="1" min="29" max="29"/>
    <col width="60" customWidth="1" min="30" max="30"/>
  </cols>
  <sheetData>
    <row r="1">
      <c r="A1" s="186" t="inlineStr">
        <is>
          <t>Type</t>
        </is>
      </c>
      <c r="B1" s="186" t="inlineStr">
        <is>
          <t>ID</t>
        </is>
      </c>
      <c r="C1" s="186" t="inlineStr">
        <is>
          <t>Description</t>
        </is>
      </c>
      <c r="D1" s="186" t="inlineStr">
        <is>
          <t>CVSS</t>
        </is>
      </c>
      <c r="E1" s="186" t="inlineStr">
        <is>
          <t>Severity</t>
        </is>
      </c>
      <c r="F1" s="186" t="inlineStr">
        <is>
          <t>Likelihood</t>
        </is>
      </c>
      <c r="G1" s="186" t="inlineStr">
        <is>
          <t>Impact</t>
        </is>
      </c>
      <c r="H1" s="186" t="inlineStr">
        <is>
          <t>Risk_Level</t>
        </is>
      </c>
      <c r="I1" s="186" t="inlineStr">
        <is>
          <t>Final_Score</t>
        </is>
      </c>
      <c r="J1" s="186" t="inlineStr">
        <is>
          <t>CISA_KEV</t>
        </is>
      </c>
      <c r="K1" s="186" t="inlineStr">
        <is>
          <t>Link</t>
        </is>
      </c>
      <c r="L1" s="186" t="inlineStr">
        <is>
          <t>Timestamp</t>
        </is>
      </c>
      <c r="M1" s="186" t="inlineStr">
        <is>
          <t>Patch_Available</t>
        </is>
      </c>
      <c r="N1" s="186" t="inlineStr">
        <is>
          <t>Patch_Links</t>
        </is>
      </c>
      <c r="O1" s="186" t="inlineStr">
        <is>
          <t>Workarounds</t>
        </is>
      </c>
      <c r="P1" s="186" t="inlineStr">
        <is>
          <t>Affected_Products</t>
        </is>
      </c>
      <c r="Q1" s="186" t="inlineStr">
        <is>
          <t>Remediation_Priority</t>
        </is>
      </c>
      <c r="R1" s="186" t="inlineStr">
        <is>
          <t>Remediation_Steps</t>
        </is>
      </c>
      <c r="S1" s="186" t="inlineStr">
        <is>
          <t>GreyNoise_Context</t>
        </is>
      </c>
      <c r="T1" s="186" t="inlineStr">
        <is>
          <t>EPSS_Score</t>
        </is>
      </c>
      <c r="U1" s="186" t="inlineStr">
        <is>
          <t>EPSS_Percentile</t>
        </is>
      </c>
      <c r="V1" s="186" t="inlineStr">
        <is>
          <t>MITRE_Techniques</t>
        </is>
      </c>
      <c r="W1" s="186" t="inlineStr">
        <is>
          <t>Source_Count</t>
        </is>
      </c>
      <c r="X1" s="186" t="inlineStr">
        <is>
          <t>Confidence_Score</t>
        </is>
      </c>
      <c r="Y1" s="186" t="inlineStr">
        <is>
          <t>Exploit_Status</t>
        </is>
      </c>
      <c r="Z1" s="186" t="inlineStr">
        <is>
          <t>Fix_Available</t>
        </is>
      </c>
      <c r="AA1" s="186" t="inlineStr">
        <is>
          <t>Intel_URL</t>
        </is>
      </c>
      <c r="AB1" s="186" t="inlineStr">
        <is>
          <t>ZDI_Advisory</t>
        </is>
      </c>
      <c r="AC1" s="186" t="inlineStr">
        <is>
          <t>AttackerKB_Score</t>
        </is>
      </c>
      <c r="AD1" s="186" t="inlineStr">
        <is>
          <t>News_Coverage</t>
        </is>
      </c>
    </row>
    <row r="2">
      <c r="A2" s="187" t="inlineStr">
        <is>
          <t>CVE</t>
        </is>
      </c>
      <c r="B2" s="187" t="inlineStr">
        <is>
          <t>CVE-2019-25326</t>
        </is>
      </c>
      <c r="C2" s="187" t="inlineStr">
        <is>
          <t>ipPulse 1.92 contains a denial of service vulnerability that allows local attackers to crash the application by providing an oversized input in the Enter Key field. Attackers can generate a 256-byte buffer of repeated 'A' characters to trigger an application crash when pasting the malicious content.</t>
        </is>
      </c>
      <c r="D2" s="187" t="n">
        <v>6.2</v>
      </c>
      <c r="E2" s="187" t="inlineStr">
        <is>
          <t>MEDIUM</t>
        </is>
      </c>
      <c r="F2" s="187" t="n">
        <v>2</v>
      </c>
      <c r="G2" s="187" t="n">
        <v>2</v>
      </c>
      <c r="H2" s="187" t="inlineStr">
        <is>
          <t>MEDIUM</t>
        </is>
      </c>
      <c r="I2" s="187" t="n">
        <v>10.2</v>
      </c>
      <c r="J2" s="187" t="inlineStr">
        <is>
          <t>NO</t>
        </is>
      </c>
      <c r="K2" s="187" t="inlineStr">
        <is>
          <t>https://nvd.nist.gov/vuln/detail/CVE-2019-25326</t>
        </is>
      </c>
      <c r="L2" s="187" t="inlineStr">
        <is>
          <t>2026-02-26 00:15</t>
        </is>
      </c>
      <c r="M2" s="187" t="inlineStr">
        <is>
          <t>CHECK_VENDOR</t>
        </is>
      </c>
      <c r="N2" s="187" t="inlineStr">
        <is>
          <t>See NVD references</t>
        </is>
      </c>
      <c r="O2" s="187" t="inlineStr">
        <is>
          <t>Apply vendor patches</t>
        </is>
      </c>
      <c r="P2" s="187" t="inlineStr">
        <is>
          <t>nwpsw ippulse *</t>
        </is>
      </c>
      <c r="Q2" s="187" t="inlineStr">
        <is>
          <t>P4</t>
        </is>
      </c>
      <c r="R2" s="187" t="inlineStr">
        <is>
          <t>📅 Schedule patch deployment within 30 days | 🔍 Monitor for exploitation attempts</t>
        </is>
      </c>
      <c r="S2" s="187" t="inlineStr">
        <is>
          <t>CVE - IP enrichment n/a</t>
        </is>
      </c>
      <c r="T2" s="187" t="n">
        <v>0.0001</v>
      </c>
      <c r="U2" s="187" t="n">
        <v>0.0199</v>
      </c>
      <c r="V2" s="187" t="inlineStr">
        <is>
          <t>T1203:Exploitation for Client Execution | T1499:Endpoint Denial of Service</t>
        </is>
      </c>
      <c r="W2" s="187" t="n">
        <v>1</v>
      </c>
      <c r="X2" s="187" t="inlineStr">
        <is>
          <t>LOW (40%)</t>
        </is>
      </c>
      <c r="Y2" s="187" t="inlineStr">
        <is>
          <t>UNLIKELY</t>
        </is>
      </c>
      <c r="Z2" s="187" t="inlineStr">
        <is>
          <t>CHECK_VENDOR</t>
        </is>
      </c>
      <c r="AA2" s="187" t="inlineStr">
        <is>
          <t>https://nvd.nist.gov/vuln/detail/CVE-2019-25326</t>
        </is>
      </c>
      <c r="AB2" s="187" t="inlineStr">
        <is>
          <t>NONE</t>
        </is>
      </c>
      <c r="AC2" s="187" t="n">
        <v>0</v>
      </c>
      <c r="AD2" s="187" t="inlineStr"/>
    </row>
    <row r="3">
      <c r="A3" s="188" t="inlineStr">
        <is>
          <t>CVE</t>
        </is>
      </c>
      <c r="B3" s="188" t="inlineStr">
        <is>
          <t>CVE-2019-25349</t>
        </is>
      </c>
      <c r="C3" s="188" t="inlineStr">
        <is>
          <t>ScadaApp for iOS 1.1.4.0 contains a denial of service vulnerability that allows attackers to crash the application by inputting an oversized buffer in the Servername field. Attackers can paste a 257-character buffer during login to trigger an application crash on iOS devices.</t>
        </is>
      </c>
      <c r="D3" s="188" t="n">
        <v>7.5</v>
      </c>
      <c r="E3" s="188" t="inlineStr">
        <is>
          <t>HIGH</t>
        </is>
      </c>
      <c r="F3" s="188" t="n">
        <v>2</v>
      </c>
      <c r="G3" s="188" t="n">
        <v>3</v>
      </c>
      <c r="H3" s="188" t="inlineStr">
        <is>
          <t>HIGH</t>
        </is>
      </c>
      <c r="I3" s="188" t="n">
        <v>13.5</v>
      </c>
      <c r="J3" s="188" t="inlineStr">
        <is>
          <t>NO</t>
        </is>
      </c>
      <c r="K3" s="188" t="inlineStr">
        <is>
          <t>https://nvd.nist.gov/vuln/detail/CVE-2019-25349</t>
        </is>
      </c>
      <c r="L3" s="188" t="inlineStr">
        <is>
          <t>2026-02-26 00:15</t>
        </is>
      </c>
      <c r="M3" s="188" t="inlineStr">
        <is>
          <t>CHECK_VENDOR</t>
        </is>
      </c>
      <c r="N3" s="188" t="inlineStr">
        <is>
          <t>See NVD references</t>
        </is>
      </c>
      <c r="O3" s="188" t="inlineStr">
        <is>
          <t>Apply vendor patches</t>
        </is>
      </c>
      <c r="P3" s="188" t="inlineStr">
        <is>
          <t>See CVE details</t>
        </is>
      </c>
      <c r="Q3" s="188" t="inlineStr">
        <is>
          <t>P2</t>
        </is>
      </c>
      <c r="R3" s="188" t="inlineStr">
        <is>
          <t>🚨 URGENT: Apply vendor patches immediately | 🔒 Isolate affected systems if patch unavailable | 🛡️ Enable additional monitoring/IDS rules</t>
        </is>
      </c>
      <c r="S3" s="188" t="inlineStr">
        <is>
          <t>CVE - IP enrichment n/a</t>
        </is>
      </c>
      <c r="T3" s="188" t="n">
        <v>0</v>
      </c>
      <c r="U3" s="188" t="n">
        <v>0</v>
      </c>
      <c r="V3" s="188" t="inlineStr">
        <is>
          <t>T1203:Exploitation for Client Execution | T1499:Endpoint Denial of Service</t>
        </is>
      </c>
      <c r="W3" s="188" t="n">
        <v>2</v>
      </c>
      <c r="X3" s="188" t="inlineStr">
        <is>
          <t>HIGH (72%)</t>
        </is>
      </c>
      <c r="Y3" s="188" t="inlineStr">
        <is>
          <t>POSSIBLE</t>
        </is>
      </c>
      <c r="Z3" s="188" t="inlineStr">
        <is>
          <t>CHECK_VENDOR</t>
        </is>
      </c>
      <c r="AA3" s="188" t="inlineStr">
        <is>
          <t>https://nvd.nist.gov/vuln/detail/CVE-2019-25349</t>
        </is>
      </c>
      <c r="AB3" s="188" t="inlineStr">
        <is>
          <t>NONE</t>
        </is>
      </c>
      <c r="AC3" s="188" t="n">
        <v>3.75</v>
      </c>
      <c r="AD3" s="188" t="inlineStr"/>
    </row>
    <row r="4">
      <c r="A4" s="188" t="inlineStr">
        <is>
          <t>CVE</t>
        </is>
      </c>
      <c r="B4" s="188" t="inlineStr">
        <is>
          <t>CVE-2019-25350</t>
        </is>
      </c>
      <c r="C4" s="188" t="inlineStr">
        <is>
          <t>XMedia Recode 3.4.8.6 contains a denial of service vulnerability that allows attackers to crash the application by loading a specially crafted .m3u playlist file. Attackers can create a malicious .m3u file with an oversized buffer to trigger an application crash when the file is opened.</t>
        </is>
      </c>
      <c r="D4" s="188" t="n">
        <v>7.5</v>
      </c>
      <c r="E4" s="188" t="inlineStr">
        <is>
          <t>HIGH</t>
        </is>
      </c>
      <c r="F4" s="188" t="n">
        <v>2</v>
      </c>
      <c r="G4" s="188" t="n">
        <v>3</v>
      </c>
      <c r="H4" s="188" t="inlineStr">
        <is>
          <t>HIGH</t>
        </is>
      </c>
      <c r="I4" s="188" t="n">
        <v>13.5</v>
      </c>
      <c r="J4" s="188" t="inlineStr">
        <is>
          <t>NO</t>
        </is>
      </c>
      <c r="K4" s="188" t="inlineStr">
        <is>
          <t>https://nvd.nist.gov/vuln/detail/CVE-2019-25350</t>
        </is>
      </c>
      <c r="L4" s="188" t="inlineStr">
        <is>
          <t>2026-02-26 00:15</t>
        </is>
      </c>
      <c r="M4" s="188" t="inlineStr">
        <is>
          <t>CHECK_VENDOR</t>
        </is>
      </c>
      <c r="N4" s="188" t="inlineStr">
        <is>
          <t>See NVD references</t>
        </is>
      </c>
      <c r="O4" s="188" t="inlineStr">
        <is>
          <t>Apply vendor patches</t>
        </is>
      </c>
      <c r="P4" s="188" t="inlineStr">
        <is>
          <t>See CVE details</t>
        </is>
      </c>
      <c r="Q4" s="188" t="inlineStr">
        <is>
          <t>P3</t>
        </is>
      </c>
      <c r="R4" s="188" t="inlineStr">
        <is>
          <t>🚨 URGENT: Apply vendor patches immediately | 🔒 Isolate affected systems if patch unavailable | 🛡️ Enable additional monitoring/IDS rules</t>
        </is>
      </c>
      <c r="S4" s="188" t="inlineStr">
        <is>
          <t>CVE - IP enrichment n/a</t>
        </is>
      </c>
      <c r="T4" s="188" t="n">
        <v>0</v>
      </c>
      <c r="U4" s="188" t="n">
        <v>0</v>
      </c>
      <c r="V4" s="188" t="inlineStr">
        <is>
          <t>T1499:Endpoint Denial of Service</t>
        </is>
      </c>
      <c r="W4" s="188" t="n">
        <v>1</v>
      </c>
      <c r="X4" s="188" t="inlineStr">
        <is>
          <t>LOW (40%)</t>
        </is>
      </c>
      <c r="Y4" s="188" t="inlineStr">
        <is>
          <t>UNLIKELY</t>
        </is>
      </c>
      <c r="Z4" s="188" t="inlineStr">
        <is>
          <t>CHECK_VENDOR</t>
        </is>
      </c>
      <c r="AA4" s="188" t="inlineStr">
        <is>
          <t>https://nvd.nist.gov/vuln/detail/CVE-2019-25350</t>
        </is>
      </c>
      <c r="AB4" s="188" t="inlineStr">
        <is>
          <t>NONE</t>
        </is>
      </c>
      <c r="AC4" s="188" t="n">
        <v>0</v>
      </c>
      <c r="AD4" s="188" t="inlineStr"/>
    </row>
    <row r="5">
      <c r="A5" s="188" t="inlineStr">
        <is>
          <t>CVE</t>
        </is>
      </c>
      <c r="B5" s="188" t="inlineStr">
        <is>
          <t>CVE-2019-25351</t>
        </is>
      </c>
      <c r="C5" s="188" t="inlineStr">
        <is>
          <t>Centova Cast 3.2.11 contains a file download vulnerability that allows authenticated attackers to retrieve arbitrary system files through the server.copyfile API endpoint. Attackers can exploit the vulnerability by supplying crafted parameters to download sensitive files like /etc/passwd using curl and wget requests.</t>
        </is>
      </c>
      <c r="D5" s="188" t="n">
        <v>8.800000000000001</v>
      </c>
      <c r="E5" s="188" t="inlineStr">
        <is>
          <t>HIGH</t>
        </is>
      </c>
      <c r="F5" s="188" t="n">
        <v>2</v>
      </c>
      <c r="G5" s="188" t="n">
        <v>3</v>
      </c>
      <c r="H5" s="188" t="inlineStr">
        <is>
          <t>HIGH</t>
        </is>
      </c>
      <c r="I5" s="188" t="n">
        <v>14.8</v>
      </c>
      <c r="J5" s="188" t="inlineStr">
        <is>
          <t>NO</t>
        </is>
      </c>
      <c r="K5" s="188" t="inlineStr">
        <is>
          <t>https://nvd.nist.gov/vuln/detail/CVE-2019-25351</t>
        </is>
      </c>
      <c r="L5" s="188" t="inlineStr">
        <is>
          <t>2026-02-26 00:15</t>
        </is>
      </c>
      <c r="M5" s="188" t="inlineStr">
        <is>
          <t>CHECK_VENDOR</t>
        </is>
      </c>
      <c r="N5" s="188" t="inlineStr">
        <is>
          <t>See NVD references</t>
        </is>
      </c>
      <c r="O5" s="188" t="inlineStr">
        <is>
          <t>Apply vendor patches</t>
        </is>
      </c>
      <c r="P5" s="188" t="inlineStr">
        <is>
          <t>See CVE details</t>
        </is>
      </c>
      <c r="Q5" s="188" t="inlineStr">
        <is>
          <t>P3</t>
        </is>
      </c>
      <c r="R5" s="188" t="inlineStr">
        <is>
          <t>🚨 URGENT: Apply vendor patches immediately | 🔒 Isolate affected systems if patch unavailable | 🛡️ Enable additional monitoring/IDS rules</t>
        </is>
      </c>
      <c r="S5" s="188" t="inlineStr">
        <is>
          <t>CVE - IP enrichment n/a</t>
        </is>
      </c>
      <c r="T5" s="188" t="n">
        <v>0.0005</v>
      </c>
      <c r="U5" s="188" t="n">
        <v>0.1573</v>
      </c>
      <c r="V5" s="188" t="inlineStr">
        <is>
          <t>T1190:Exploit Public-Facing Application</t>
        </is>
      </c>
      <c r="W5" s="188" t="n">
        <v>1</v>
      </c>
      <c r="X5" s="188" t="inlineStr">
        <is>
          <t>LOW (40%)</t>
        </is>
      </c>
      <c r="Y5" s="188" t="inlineStr">
        <is>
          <t>UNLIKELY</t>
        </is>
      </c>
      <c r="Z5" s="188" t="inlineStr">
        <is>
          <t>CHECK_VENDOR</t>
        </is>
      </c>
      <c r="AA5" s="188" t="inlineStr">
        <is>
          <t>https://nvd.nist.gov/vuln/detail/CVE-2019-25351</t>
        </is>
      </c>
      <c r="AB5" s="188" t="inlineStr">
        <is>
          <t>NONE</t>
        </is>
      </c>
      <c r="AC5" s="188" t="n">
        <v>0</v>
      </c>
      <c r="AD5" s="188" t="inlineStr"/>
    </row>
    <row r="6">
      <c r="A6" s="188" t="inlineStr">
        <is>
          <t>CVE</t>
        </is>
      </c>
      <c r="B6" s="188" t="inlineStr">
        <is>
          <t>CVE-2019-25352</t>
        </is>
      </c>
      <c r="C6" s="188" t="inlineStr">
        <is>
          <t>Crystal Live HTTP Server 6.01 contains a directory traversal vulnerability that allows remote attackers to access system files by manipulating URL path segments. Attackers can use multiple '../' sequences to navigate outside the web root and retrieve sensitive configuration files like Windows system files.</t>
        </is>
      </c>
      <c r="D6" s="188" t="n">
        <v>7.5</v>
      </c>
      <c r="E6" s="188" t="inlineStr">
        <is>
          <t>HIGH</t>
        </is>
      </c>
      <c r="F6" s="188" t="n">
        <v>2</v>
      </c>
      <c r="G6" s="188" t="n">
        <v>3</v>
      </c>
      <c r="H6" s="188" t="inlineStr">
        <is>
          <t>HIGH</t>
        </is>
      </c>
      <c r="I6" s="188" t="n">
        <v>13.5</v>
      </c>
      <c r="J6" s="188" t="inlineStr">
        <is>
          <t>NO</t>
        </is>
      </c>
      <c r="K6" s="188" t="inlineStr">
        <is>
          <t>https://nvd.nist.gov/vuln/detail/CVE-2019-25352</t>
        </is>
      </c>
      <c r="L6" s="188" t="inlineStr">
        <is>
          <t>2026-02-26 00:15</t>
        </is>
      </c>
      <c r="M6" s="188" t="inlineStr">
        <is>
          <t>CHECK_VENDOR</t>
        </is>
      </c>
      <c r="N6" s="188" t="inlineStr">
        <is>
          <t>See NVD references</t>
        </is>
      </c>
      <c r="O6" s="188" t="inlineStr">
        <is>
          <t>Apply vendor patches</t>
        </is>
      </c>
      <c r="P6" s="188" t="inlineStr">
        <is>
          <t>See CVE details</t>
        </is>
      </c>
      <c r="Q6" s="188" t="inlineStr">
        <is>
          <t>P2</t>
        </is>
      </c>
      <c r="R6" s="188" t="inlineStr">
        <is>
          <t>🚨 URGENT: Apply vendor patches immediately | 🔒 Isolate affected systems if patch unavailable | 🛡️ Enable additional monitoring/IDS rules</t>
        </is>
      </c>
      <c r="S6" s="188" t="inlineStr">
        <is>
          <t>CVE - IP enrichment n/a</t>
        </is>
      </c>
      <c r="T6" s="188" t="n">
        <v>0</v>
      </c>
      <c r="U6" s="188" t="n">
        <v>0</v>
      </c>
      <c r="V6" s="188" t="inlineStr">
        <is>
          <t>T1083:File and Directory Discovery</t>
        </is>
      </c>
      <c r="W6" s="188" t="n">
        <v>2</v>
      </c>
      <c r="X6" s="188" t="inlineStr">
        <is>
          <t>HIGH (72%)</t>
        </is>
      </c>
      <c r="Y6" s="188" t="inlineStr">
        <is>
          <t>POSSIBLE</t>
        </is>
      </c>
      <c r="Z6" s="188" t="inlineStr">
        <is>
          <t>CHECK_VENDOR</t>
        </is>
      </c>
      <c r="AA6" s="188" t="inlineStr">
        <is>
          <t>https://nvd.nist.gov/vuln/detail/CVE-2019-25352</t>
        </is>
      </c>
      <c r="AB6" s="188" t="inlineStr">
        <is>
          <t>NONE</t>
        </is>
      </c>
      <c r="AC6" s="188" t="n">
        <v>3.75</v>
      </c>
      <c r="AD6" s="188" t="inlineStr"/>
    </row>
    <row r="7">
      <c r="A7" s="188" t="inlineStr">
        <is>
          <t>CVE</t>
        </is>
      </c>
      <c r="B7" s="188" t="inlineStr">
        <is>
          <t>CVE-2019-25353</t>
        </is>
      </c>
      <c r="C7" s="188" t="inlineStr">
        <is>
          <t>Foscam Video Management System 1.1.4.9 contains a denial of service vulnerability in the username input field that allows attackers to crash the application. Attackers can overwrite the username with a 520-byte buffer of repeated 'A' characters to trigger an application crash during device login.</t>
        </is>
      </c>
      <c r="D7" s="188" t="n">
        <v>7.5</v>
      </c>
      <c r="E7" s="188" t="inlineStr">
        <is>
          <t>HIGH</t>
        </is>
      </c>
      <c r="F7" s="188" t="n">
        <v>2</v>
      </c>
      <c r="G7" s="188" t="n">
        <v>3</v>
      </c>
      <c r="H7" s="188" t="inlineStr">
        <is>
          <t>HIGH</t>
        </is>
      </c>
      <c r="I7" s="188" t="n">
        <v>13.5</v>
      </c>
      <c r="J7" s="188" t="inlineStr">
        <is>
          <t>NO</t>
        </is>
      </c>
      <c r="K7" s="188" t="inlineStr">
        <is>
          <t>https://nvd.nist.gov/vuln/detail/CVE-2019-25353</t>
        </is>
      </c>
      <c r="L7" s="188" t="inlineStr">
        <is>
          <t>2026-02-26 00:15</t>
        </is>
      </c>
      <c r="M7" s="188" t="inlineStr">
        <is>
          <t>CHECK_VENDOR</t>
        </is>
      </c>
      <c r="N7" s="188" t="inlineStr">
        <is>
          <t>See NVD references</t>
        </is>
      </c>
      <c r="O7" s="188" t="inlineStr">
        <is>
          <t>Apply vendor patches</t>
        </is>
      </c>
      <c r="P7" s="188" t="inlineStr">
        <is>
          <t>See CVE details</t>
        </is>
      </c>
      <c r="Q7" s="188" t="inlineStr">
        <is>
          <t>P3</t>
        </is>
      </c>
      <c r="R7" s="188" t="inlineStr">
        <is>
          <t>🚨 URGENT: Apply vendor patches immediately | 🔒 Isolate affected systems if patch unavailable | 🛡️ Enable additional monitoring/IDS rules</t>
        </is>
      </c>
      <c r="S7" s="188" t="inlineStr">
        <is>
          <t>CVE - IP enrichment n/a</t>
        </is>
      </c>
      <c r="T7" s="188" t="n">
        <v>0</v>
      </c>
      <c r="U7" s="188" t="n">
        <v>0</v>
      </c>
      <c r="V7" s="188" t="inlineStr">
        <is>
          <t>T1203:Exploitation for Client Execution | T1499:Endpoint Denial of Service</t>
        </is>
      </c>
      <c r="W7" s="188" t="n">
        <v>1</v>
      </c>
      <c r="X7" s="188" t="inlineStr">
        <is>
          <t>LOW (40%)</t>
        </is>
      </c>
      <c r="Y7" s="188" t="inlineStr">
        <is>
          <t>UNLIKELY</t>
        </is>
      </c>
      <c r="Z7" s="188" t="inlineStr">
        <is>
          <t>CHECK_VENDOR</t>
        </is>
      </c>
      <c r="AA7" s="188" t="inlineStr">
        <is>
          <t>https://nvd.nist.gov/vuln/detail/CVE-2019-25353</t>
        </is>
      </c>
      <c r="AB7" s="188" t="inlineStr">
        <is>
          <t>NONE</t>
        </is>
      </c>
      <c r="AC7" s="188" t="n">
        <v>0</v>
      </c>
      <c r="AD7" s="188" t="inlineStr"/>
    </row>
    <row r="8">
      <c r="A8" s="188" t="inlineStr">
        <is>
          <t>CVE</t>
        </is>
      </c>
      <c r="B8" s="188" t="inlineStr">
        <is>
          <t>CVE-2019-25354</t>
        </is>
      </c>
      <c r="C8" s="188" t="inlineStr">
        <is>
          <t>iSmartViewPro 1.3.34 contains a denial of service vulnerability that allows attackers to crash the application by overflowing the camera ID input field. Attackers can paste a 257-character buffer into the camera DID and password fields to trigger an application crash on iOS devices.</t>
        </is>
      </c>
      <c r="D8" s="188" t="n">
        <v>7.5</v>
      </c>
      <c r="E8" s="188" t="inlineStr">
        <is>
          <t>HIGH</t>
        </is>
      </c>
      <c r="F8" s="188" t="n">
        <v>2</v>
      </c>
      <c r="G8" s="188" t="n">
        <v>3</v>
      </c>
      <c r="H8" s="188" t="inlineStr">
        <is>
          <t>HIGH</t>
        </is>
      </c>
      <c r="I8" s="188" t="n">
        <v>13.5</v>
      </c>
      <c r="J8" s="188" t="inlineStr">
        <is>
          <t>NO</t>
        </is>
      </c>
      <c r="K8" s="188" t="inlineStr">
        <is>
          <t>https://nvd.nist.gov/vuln/detail/CVE-2019-25354</t>
        </is>
      </c>
      <c r="L8" s="188" t="inlineStr">
        <is>
          <t>2026-02-26 00:15</t>
        </is>
      </c>
      <c r="M8" s="188" t="inlineStr">
        <is>
          <t>CHECK_VENDOR</t>
        </is>
      </c>
      <c r="N8" s="188" t="inlineStr">
        <is>
          <t>See NVD references</t>
        </is>
      </c>
      <c r="O8" s="188" t="inlineStr">
        <is>
          <t>Apply vendor patches</t>
        </is>
      </c>
      <c r="P8" s="188" t="inlineStr">
        <is>
          <t>See CVE details</t>
        </is>
      </c>
      <c r="Q8" s="188" t="inlineStr">
        <is>
          <t>P2</t>
        </is>
      </c>
      <c r="R8" s="188" t="inlineStr">
        <is>
          <t>🚨 URGENT: Apply vendor patches immediately | 🔒 Isolate affected systems if patch unavailable | 🛡️ Enable additional monitoring/IDS rules</t>
        </is>
      </c>
      <c r="S8" s="188" t="inlineStr">
        <is>
          <t>CVE - IP enrichment n/a</t>
        </is>
      </c>
      <c r="T8" s="188" t="n">
        <v>0</v>
      </c>
      <c r="U8" s="188" t="n">
        <v>0</v>
      </c>
      <c r="V8" s="188" t="inlineStr">
        <is>
          <t>T1203:Exploitation for Client Execution | T1499:Endpoint Denial of Service</t>
        </is>
      </c>
      <c r="W8" s="188" t="n">
        <v>2</v>
      </c>
      <c r="X8" s="188" t="inlineStr">
        <is>
          <t>HIGH (72%)</t>
        </is>
      </c>
      <c r="Y8" s="188" t="inlineStr">
        <is>
          <t>POSSIBLE</t>
        </is>
      </c>
      <c r="Z8" s="188" t="inlineStr">
        <is>
          <t>CHECK_VENDOR</t>
        </is>
      </c>
      <c r="AA8" s="188" t="inlineStr">
        <is>
          <t>https://nvd.nist.gov/vuln/detail/CVE-2019-25354</t>
        </is>
      </c>
      <c r="AB8" s="188" t="inlineStr">
        <is>
          <t>NONE</t>
        </is>
      </c>
      <c r="AC8" s="188" t="n">
        <v>3.75</v>
      </c>
      <c r="AD8" s="188" t="inlineStr"/>
    </row>
    <row r="9">
      <c r="A9" s="188" t="inlineStr">
        <is>
          <t>CVE</t>
        </is>
      </c>
      <c r="B9" s="188" t="inlineStr">
        <is>
          <t>CVE-2019-25355</t>
        </is>
      </c>
      <c r="C9" s="188" t="inlineStr">
        <is>
          <t>gSOAP 2.8 contains a directory traversal vulnerability that allows unauthenticated attackers to access system files by manipulating HTTP path traversal techniques. Attackers can retrieve sensitive files like /etc/passwd by sending crafted GET requests with multiple '../' directory traversal sequences.</t>
        </is>
      </c>
      <c r="D9" s="188" t="n">
        <v>7.5</v>
      </c>
      <c r="E9" s="188" t="inlineStr">
        <is>
          <t>HIGH</t>
        </is>
      </c>
      <c r="F9" s="188" t="n">
        <v>2</v>
      </c>
      <c r="G9" s="188" t="n">
        <v>3</v>
      </c>
      <c r="H9" s="188" t="inlineStr">
        <is>
          <t>HIGH</t>
        </is>
      </c>
      <c r="I9" s="188" t="n">
        <v>13.5</v>
      </c>
      <c r="J9" s="188" t="inlineStr">
        <is>
          <t>NO</t>
        </is>
      </c>
      <c r="K9" s="188" t="inlineStr">
        <is>
          <t>https://nvd.nist.gov/vuln/detail/CVE-2019-25355</t>
        </is>
      </c>
      <c r="L9" s="188" t="inlineStr">
        <is>
          <t>2026-02-26 00:15</t>
        </is>
      </c>
      <c r="M9" s="188" t="inlineStr">
        <is>
          <t>CHECK_VENDOR</t>
        </is>
      </c>
      <c r="N9" s="188" t="inlineStr">
        <is>
          <t>See NVD references</t>
        </is>
      </c>
      <c r="O9" s="188" t="inlineStr">
        <is>
          <t>Apply vendor patches</t>
        </is>
      </c>
      <c r="P9" s="188" t="inlineStr">
        <is>
          <t>See CVE details</t>
        </is>
      </c>
      <c r="Q9" s="188" t="inlineStr">
        <is>
          <t>P2</t>
        </is>
      </c>
      <c r="R9" s="188" t="inlineStr">
        <is>
          <t>🚨 URGENT: Apply vendor patches immediately | 🔒 Isolate affected systems if patch unavailable | 🛡️ Enable additional monitoring/IDS rules</t>
        </is>
      </c>
      <c r="S9" s="188" t="inlineStr">
        <is>
          <t>CVE - IP enrichment n/a</t>
        </is>
      </c>
      <c r="T9" s="188" t="n">
        <v>0</v>
      </c>
      <c r="U9" s="188" t="n">
        <v>0</v>
      </c>
      <c r="V9" s="188" t="inlineStr">
        <is>
          <t>T1083:File and Directory Discovery</t>
        </is>
      </c>
      <c r="W9" s="188" t="n">
        <v>2</v>
      </c>
      <c r="X9" s="188" t="inlineStr">
        <is>
          <t>HIGH (72%)</t>
        </is>
      </c>
      <c r="Y9" s="188" t="inlineStr">
        <is>
          <t>POSSIBLE</t>
        </is>
      </c>
      <c r="Z9" s="188" t="inlineStr">
        <is>
          <t>CHECK_VENDOR</t>
        </is>
      </c>
      <c r="AA9" s="188" t="inlineStr">
        <is>
          <t>https://nvd.nist.gov/vuln/detail/CVE-2019-25355</t>
        </is>
      </c>
      <c r="AB9" s="188" t="inlineStr">
        <is>
          <t>NONE</t>
        </is>
      </c>
      <c r="AC9" s="188" t="n">
        <v>3.75</v>
      </c>
      <c r="AD9" s="188" t="inlineStr"/>
    </row>
    <row r="10">
      <c r="A10" s="187" t="inlineStr">
        <is>
          <t>CVE</t>
        </is>
      </c>
      <c r="B10" s="187" t="inlineStr">
        <is>
          <t>CVE-2019-25356</t>
        </is>
      </c>
      <c r="C10" s="187" t="inlineStr">
        <is>
          <t>Bematech (formerly Logic Controls, now Elgin) MP-4200 TH printer contains a cross-site scripting vulnerability in the admin configuration page. Attackers can inject malicious scripts via crafted POST requests with malformed 'admin' and 'person' parameters, allowing execution of arbitrary JavaScript in the context of an authenticated user's browser session.</t>
        </is>
      </c>
      <c r="D10" s="187" t="n">
        <v>6.1</v>
      </c>
      <c r="E10" s="187" t="inlineStr">
        <is>
          <t>MEDIUM</t>
        </is>
      </c>
      <c r="F10" s="187" t="n">
        <v>2</v>
      </c>
      <c r="G10" s="187" t="n">
        <v>2</v>
      </c>
      <c r="H10" s="187" t="inlineStr">
        <is>
          <t>MEDIUM</t>
        </is>
      </c>
      <c r="I10" s="187" t="n">
        <v>10.1</v>
      </c>
      <c r="J10" s="187" t="inlineStr">
        <is>
          <t>NO</t>
        </is>
      </c>
      <c r="K10" s="187" t="inlineStr">
        <is>
          <t>https://nvd.nist.gov/vuln/detail/CVE-2019-25356</t>
        </is>
      </c>
      <c r="L10" s="187" t="inlineStr">
        <is>
          <t>2026-02-26 00:15</t>
        </is>
      </c>
      <c r="M10" s="187" t="inlineStr">
        <is>
          <t>CHECK_VENDOR</t>
        </is>
      </c>
      <c r="N10" s="187" t="inlineStr">
        <is>
          <t>See NVD references</t>
        </is>
      </c>
      <c r="O10" s="187" t="inlineStr">
        <is>
          <t>Apply vendor patches</t>
        </is>
      </c>
      <c r="P10" s="187" t="inlineStr">
        <is>
          <t>See CVE details</t>
        </is>
      </c>
      <c r="Q10" s="187" t="inlineStr">
        <is>
          <t>P4</t>
        </is>
      </c>
      <c r="R10" s="187" t="inlineStr">
        <is>
          <t>📅 Schedule patch deployment within 30 days | 🔍 Monitor for exploitation attempts</t>
        </is>
      </c>
      <c r="S10" s="187" t="inlineStr">
        <is>
          <t>CVE - IP enrichment n/a</t>
        </is>
      </c>
      <c r="T10" s="187" t="n">
        <v>0.0004</v>
      </c>
      <c r="U10" s="187" t="n">
        <v>0.1135</v>
      </c>
      <c r="V10" s="187" t="inlineStr">
        <is>
          <t>T1189:Drive-by Compromise</t>
        </is>
      </c>
      <c r="W10" s="187" t="n">
        <v>1</v>
      </c>
      <c r="X10" s="187" t="inlineStr">
        <is>
          <t>LOW (40%)</t>
        </is>
      </c>
      <c r="Y10" s="187" t="inlineStr">
        <is>
          <t>UNLIKELY</t>
        </is>
      </c>
      <c r="Z10" s="187" t="inlineStr">
        <is>
          <t>CHECK_VENDOR</t>
        </is>
      </c>
      <c r="AA10" s="187" t="inlineStr">
        <is>
          <t>https://nvd.nist.gov/vuln/detail/CVE-2019-25356</t>
        </is>
      </c>
      <c r="AB10" s="187" t="inlineStr">
        <is>
          <t>NONE</t>
        </is>
      </c>
      <c r="AC10" s="187" t="n">
        <v>0</v>
      </c>
      <c r="AD10" s="187" t="inlineStr"/>
    </row>
    <row r="11">
      <c r="A11" s="188" t="inlineStr">
        <is>
          <t>CVE</t>
        </is>
      </c>
      <c r="B11" s="188" t="inlineStr">
        <is>
          <t>CVE-2019-25357</t>
        </is>
      </c>
      <c r="C11" s="188" t="inlineStr">
        <is>
          <t>Control Center PRO 6.2.9 contains a stack-based buffer overflow vulnerability in the user creation module's username field that allows attackers to overwrite Structured Exception Handler (SEH). Attackers can craft a malicious payload exceeding 664 bytes to inject shellcode and potentially execute arbitrary code on vulnerable Windows systems.</t>
        </is>
      </c>
      <c r="D11" s="188" t="n">
        <v>8.4</v>
      </c>
      <c r="E11" s="188" t="inlineStr">
        <is>
          <t>HIGH</t>
        </is>
      </c>
      <c r="F11" s="188" t="n">
        <v>2</v>
      </c>
      <c r="G11" s="188" t="n">
        <v>3</v>
      </c>
      <c r="H11" s="188" t="inlineStr">
        <is>
          <t>HIGH</t>
        </is>
      </c>
      <c r="I11" s="188" t="n">
        <v>14.4</v>
      </c>
      <c r="J11" s="188" t="inlineStr">
        <is>
          <t>NO</t>
        </is>
      </c>
      <c r="K11" s="188" t="inlineStr">
        <is>
          <t>https://nvd.nist.gov/vuln/detail/CVE-2019-25357</t>
        </is>
      </c>
      <c r="L11" s="188" t="inlineStr">
        <is>
          <t>2026-02-26 00:15</t>
        </is>
      </c>
      <c r="M11" s="188" t="inlineStr">
        <is>
          <t>CHECK_VENDOR</t>
        </is>
      </c>
      <c r="N11" s="188" t="inlineStr">
        <is>
          <t>See NVD references</t>
        </is>
      </c>
      <c r="O11" s="188" t="inlineStr">
        <is>
          <t>Apply vendor patches</t>
        </is>
      </c>
      <c r="P11" s="188" t="inlineStr">
        <is>
          <t>See CVE details</t>
        </is>
      </c>
      <c r="Q11" s="188" t="inlineStr">
        <is>
          <t>P3</t>
        </is>
      </c>
      <c r="R11" s="188" t="inlineStr">
        <is>
          <t>🚨 URGENT: Apply vendor patches immediately | 🔒 Isolate affected systems if patch unavailable | 🛡️ Enable additional monitoring/IDS rules</t>
        </is>
      </c>
      <c r="S11" s="188" t="inlineStr">
        <is>
          <t>CVE - IP enrichment n/a</t>
        </is>
      </c>
      <c r="T11" s="188" t="n">
        <v>0</v>
      </c>
      <c r="U11" s="188" t="n">
        <v>0</v>
      </c>
      <c r="V11" s="188" t="inlineStr">
        <is>
          <t>T1190:Exploit Public-Facing Application | T1203:Exploitation for Client Execution</t>
        </is>
      </c>
      <c r="W11" s="188" t="n">
        <v>1</v>
      </c>
      <c r="X11" s="188" t="inlineStr">
        <is>
          <t>LOW (40%)</t>
        </is>
      </c>
      <c r="Y11" s="188" t="inlineStr">
        <is>
          <t>UNLIKELY</t>
        </is>
      </c>
      <c r="Z11" s="188" t="inlineStr">
        <is>
          <t>CHECK_VENDOR</t>
        </is>
      </c>
      <c r="AA11" s="188" t="inlineStr">
        <is>
          <t>https://nvd.nist.gov/vuln/detail/CVE-2019-25357</t>
        </is>
      </c>
      <c r="AB11" s="188" t="inlineStr">
        <is>
          <t>NONE</t>
        </is>
      </c>
      <c r="AC11" s="188" t="n">
        <v>0</v>
      </c>
      <c r="AD11" s="188" t="inlineStr"/>
    </row>
    <row r="12">
      <c r="A12" s="188" t="inlineStr">
        <is>
          <t>CVE</t>
        </is>
      </c>
      <c r="B12" s="188" t="inlineStr">
        <is>
          <t>CVE-2019-25358</t>
        </is>
      </c>
      <c r="C12" s="188" t="inlineStr">
        <is>
          <t>FileOptimizer 14.00.2524 contains a denial of service vulnerability that allows attackers to crash the application by manipulating the FileOptimizer32.ini configuration file. Attackers can overwrite the TempDirectory parameter with a 5000-character buffer to cause the application to crash when opening options.</t>
        </is>
      </c>
      <c r="D12" s="188" t="n">
        <v>7.5</v>
      </c>
      <c r="E12" s="188" t="inlineStr">
        <is>
          <t>HIGH</t>
        </is>
      </c>
      <c r="F12" s="188" t="n">
        <v>2</v>
      </c>
      <c r="G12" s="188" t="n">
        <v>3</v>
      </c>
      <c r="H12" s="188" t="inlineStr">
        <is>
          <t>HIGH</t>
        </is>
      </c>
      <c r="I12" s="188" t="n">
        <v>13.5</v>
      </c>
      <c r="J12" s="188" t="inlineStr">
        <is>
          <t>NO</t>
        </is>
      </c>
      <c r="K12" s="188" t="inlineStr">
        <is>
          <t>https://nvd.nist.gov/vuln/detail/CVE-2019-25358</t>
        </is>
      </c>
      <c r="L12" s="188" t="inlineStr">
        <is>
          <t>2026-02-26 00:15</t>
        </is>
      </c>
      <c r="M12" s="188" t="inlineStr">
        <is>
          <t>CHECK_VENDOR</t>
        </is>
      </c>
      <c r="N12" s="188" t="inlineStr">
        <is>
          <t>See NVD references</t>
        </is>
      </c>
      <c r="O12" s="188" t="inlineStr">
        <is>
          <t>Apply vendor patches</t>
        </is>
      </c>
      <c r="P12" s="188" t="inlineStr">
        <is>
          <t>See CVE details</t>
        </is>
      </c>
      <c r="Q12" s="188" t="inlineStr">
        <is>
          <t>P3</t>
        </is>
      </c>
      <c r="R12" s="188" t="inlineStr">
        <is>
          <t>🚨 URGENT: Apply vendor patches immediately | 🔒 Isolate affected systems if patch unavailable | 🛡️ Enable additional monitoring/IDS rules</t>
        </is>
      </c>
      <c r="S12" s="188" t="inlineStr">
        <is>
          <t>CVE - IP enrichment n/a</t>
        </is>
      </c>
      <c r="T12" s="188" t="n">
        <v>0</v>
      </c>
      <c r="U12" s="188" t="n">
        <v>0</v>
      </c>
      <c r="V12" s="188" t="inlineStr">
        <is>
          <t>T1499:Endpoint Denial of Service</t>
        </is>
      </c>
      <c r="W12" s="188" t="n">
        <v>1</v>
      </c>
      <c r="X12" s="188" t="inlineStr">
        <is>
          <t>LOW (40%)</t>
        </is>
      </c>
      <c r="Y12" s="188" t="inlineStr">
        <is>
          <t>UNLIKELY</t>
        </is>
      </c>
      <c r="Z12" s="188" t="inlineStr">
        <is>
          <t>CHECK_VENDOR</t>
        </is>
      </c>
      <c r="AA12" s="188" t="inlineStr">
        <is>
          <t>https://nvd.nist.gov/vuln/detail/CVE-2019-25358</t>
        </is>
      </c>
      <c r="AB12" s="188" t="inlineStr">
        <is>
          <t>NONE</t>
        </is>
      </c>
      <c r="AC12" s="188" t="n">
        <v>0</v>
      </c>
      <c r="AD12" s="188" t="inlineStr"/>
    </row>
    <row r="13">
      <c r="A13" s="188" t="inlineStr">
        <is>
          <t>CVE</t>
        </is>
      </c>
      <c r="B13" s="188" t="inlineStr">
        <is>
          <t>CVE-2019-25359</t>
        </is>
      </c>
      <c r="C13" s="188" t="inlineStr">
        <is>
          <t>SD.NET RIM versions before 4.7.3c contain a SQL injection vulnerability that allows attackers to inject malicious SQL statements through POST parameters 'idtyp' and 'idgremium'. Attackers can exploit this vulnerability by crafting specially formed POST requests to the /vorlagen/ endpoint, enabling unauthorized database manipulation and potential information disclosure.</t>
        </is>
      </c>
      <c r="D13" s="188" t="n">
        <v>8.199999999999999</v>
      </c>
      <c r="E13" s="188" t="inlineStr">
        <is>
          <t>HIGH</t>
        </is>
      </c>
      <c r="F13" s="188" t="n">
        <v>2</v>
      </c>
      <c r="G13" s="188" t="n">
        <v>3</v>
      </c>
      <c r="H13" s="188" t="inlineStr">
        <is>
          <t>HIGH</t>
        </is>
      </c>
      <c r="I13" s="188" t="n">
        <v>14.2</v>
      </c>
      <c r="J13" s="188" t="inlineStr">
        <is>
          <t>NO</t>
        </is>
      </c>
      <c r="K13" s="188" t="inlineStr">
        <is>
          <t>https://nvd.nist.gov/vuln/detail/CVE-2019-25359</t>
        </is>
      </c>
      <c r="L13" s="188" t="inlineStr">
        <is>
          <t>2026-02-26 00:15</t>
        </is>
      </c>
      <c r="M13" s="188" t="inlineStr">
        <is>
          <t>CHECK_VENDOR</t>
        </is>
      </c>
      <c r="N13" s="188" t="inlineStr">
        <is>
          <t>See NVD references</t>
        </is>
      </c>
      <c r="O13" s="188" t="inlineStr">
        <is>
          <t>Apply vendor patches</t>
        </is>
      </c>
      <c r="P13" s="188" t="inlineStr">
        <is>
          <t>See CVE details</t>
        </is>
      </c>
      <c r="Q13" s="188" t="inlineStr">
        <is>
          <t>P3</t>
        </is>
      </c>
      <c r="R13" s="188" t="inlineStr">
        <is>
          <t>🚨 URGENT: Apply vendor patches immediately | 🔒 Isolate affected systems if patch unavailable | 🛡️ Enable additional monitoring/IDS rules</t>
        </is>
      </c>
      <c r="S13" s="188" t="inlineStr">
        <is>
          <t>CVE - IP enrichment n/a</t>
        </is>
      </c>
      <c r="T13" s="188" t="n">
        <v>0</v>
      </c>
      <c r="U13" s="188" t="n">
        <v>0</v>
      </c>
      <c r="V13" s="188" t="inlineStr">
        <is>
          <t>T1185:Browser Session Hijacking | T1190:Exploit Public-Facing Application | T1213:Data from Information Repositories</t>
        </is>
      </c>
      <c r="W13" s="188" t="n">
        <v>1</v>
      </c>
      <c r="X13" s="188" t="inlineStr">
        <is>
          <t>LOW (40%)</t>
        </is>
      </c>
      <c r="Y13" s="188" t="inlineStr">
        <is>
          <t>UNLIKELY</t>
        </is>
      </c>
      <c r="Z13" s="188" t="inlineStr">
        <is>
          <t>CHECK_VENDOR</t>
        </is>
      </c>
      <c r="AA13" s="188" t="inlineStr">
        <is>
          <t>https://nvd.nist.gov/vuln/detail/CVE-2019-25359</t>
        </is>
      </c>
      <c r="AB13" s="188" t="inlineStr">
        <is>
          <t>NONE</t>
        </is>
      </c>
      <c r="AC13" s="188" t="n">
        <v>0</v>
      </c>
      <c r="AD13" s="188" t="inlineStr"/>
    </row>
    <row r="14">
      <c r="A14" s="189" t="inlineStr">
        <is>
          <t>CVE</t>
        </is>
      </c>
      <c r="B14" s="189" t="inlineStr">
        <is>
          <t>CVE-2019-25360</t>
        </is>
      </c>
      <c r="C14" s="189" t="inlineStr">
        <is>
          <t>Aida64 Engineer 6.10.5200 contains a buffer overflow vulnerability in the CSV logging configuration that allows attackers to execute malicious code by crafting a specially designed payload. Attackers can exploit the vulnerability by creating a malformed log file with carefully constructed SEH (Structured Exception Handler) overwrite techniques to achieve remote code execution.</t>
        </is>
      </c>
      <c r="D14" s="189" t="n">
        <v>9.800000000000001</v>
      </c>
      <c r="E14" s="189" t="inlineStr">
        <is>
          <t>CRITICAL</t>
        </is>
      </c>
      <c r="F14" s="189" t="n">
        <v>3</v>
      </c>
      <c r="G14" s="189" t="n">
        <v>3</v>
      </c>
      <c r="H14" s="189" t="inlineStr">
        <is>
          <t>CRITICAL</t>
        </is>
      </c>
      <c r="I14" s="189" t="n">
        <v>18.8</v>
      </c>
      <c r="J14" s="189" t="inlineStr">
        <is>
          <t>NO</t>
        </is>
      </c>
      <c r="K14" s="189" t="inlineStr">
        <is>
          <t>https://nvd.nist.gov/vuln/detail/CVE-2019-25360</t>
        </is>
      </c>
      <c r="L14" s="189" t="inlineStr">
        <is>
          <t>2026-02-26 00:15</t>
        </is>
      </c>
      <c r="M14" s="189" t="inlineStr">
        <is>
          <t>CHECK_VENDOR</t>
        </is>
      </c>
      <c r="N14" s="189" t="inlineStr">
        <is>
          <t>See NVD references</t>
        </is>
      </c>
      <c r="O14" s="189" t="inlineStr">
        <is>
          <t>Apply vendor patches</t>
        </is>
      </c>
      <c r="P14" s="189" t="inlineStr">
        <is>
          <t>See CVE details</t>
        </is>
      </c>
      <c r="Q14" s="189" t="inlineStr">
        <is>
          <t>P2</t>
        </is>
      </c>
      <c r="R14" s="189" t="inlineStr">
        <is>
          <t>🚨 URGENT: Apply vendor patches immediately | 🔒 Isolate affected systems if patch unavailable | 🛡️ Enable additional monitoring/IDS rules</t>
        </is>
      </c>
      <c r="S14" s="189" t="inlineStr">
        <is>
          <t>CVE - IP enrichment n/a</t>
        </is>
      </c>
      <c r="T14" s="189" t="n">
        <v>0.0024</v>
      </c>
      <c r="U14" s="189" t="n">
        <v>0.4617</v>
      </c>
      <c r="V14" s="189" t="inlineStr">
        <is>
          <t>T1190:Exploit Public-Facing Application | T1210:Exploitation of Remote Services | T1203:Exploitation for Client Execution</t>
        </is>
      </c>
      <c r="W14" s="189" t="n">
        <v>2</v>
      </c>
      <c r="X14" s="189" t="inlineStr">
        <is>
          <t>HIGH (72%)</t>
        </is>
      </c>
      <c r="Y14" s="189" t="inlineStr">
        <is>
          <t>CONFIRMED</t>
        </is>
      </c>
      <c r="Z14" s="189" t="inlineStr">
        <is>
          <t>CHECK_VENDOR</t>
        </is>
      </c>
      <c r="AA14" s="189" t="inlineStr">
        <is>
          <t>https://nvd.nist.gov/vuln/detail/CVE-2019-25360</t>
        </is>
      </c>
      <c r="AB14" s="189" t="inlineStr">
        <is>
          <t>NONE</t>
        </is>
      </c>
      <c r="AC14" s="189" t="n">
        <v>4.9</v>
      </c>
      <c r="AD14" s="189" t="inlineStr"/>
    </row>
    <row r="15">
      <c r="A15" s="189" t="inlineStr">
        <is>
          <t>CVE</t>
        </is>
      </c>
      <c r="B15" s="189" t="inlineStr">
        <is>
          <t>CVE-2019-25361</t>
        </is>
      </c>
      <c r="C15" s="189" t="inlineStr">
        <is>
          <t>Ayukov NFTP client 1.71 contains a buffer overflow vulnerability in the SYST command handling that allows remote attackers to execute arbitrary code. Attackers can send a specially crafted SYST command with oversized payload to trigger a buffer overflow and execute a bind shell on port 5150.</t>
        </is>
      </c>
      <c r="D15" s="189" t="n">
        <v>9.800000000000001</v>
      </c>
      <c r="E15" s="189" t="inlineStr">
        <is>
          <t>CRITICAL</t>
        </is>
      </c>
      <c r="F15" s="189" t="n">
        <v>3</v>
      </c>
      <c r="G15" s="189" t="n">
        <v>3</v>
      </c>
      <c r="H15" s="189" t="inlineStr">
        <is>
          <t>CRITICAL</t>
        </is>
      </c>
      <c r="I15" s="189" t="n">
        <v>18.8</v>
      </c>
      <c r="J15" s="189" t="inlineStr">
        <is>
          <t>NO</t>
        </is>
      </c>
      <c r="K15" s="189" t="inlineStr">
        <is>
          <t>https://nvd.nist.gov/vuln/detail/CVE-2019-25361</t>
        </is>
      </c>
      <c r="L15" s="189" t="inlineStr">
        <is>
          <t>2026-02-26 00:15</t>
        </is>
      </c>
      <c r="M15" s="189" t="inlineStr">
        <is>
          <t>CHECK_VENDOR</t>
        </is>
      </c>
      <c r="N15" s="189" t="inlineStr">
        <is>
          <t>See NVD references</t>
        </is>
      </c>
      <c r="O15" s="189" t="inlineStr">
        <is>
          <t>Apply vendor patches</t>
        </is>
      </c>
      <c r="P15" s="189" t="inlineStr">
        <is>
          <t>See CVE details</t>
        </is>
      </c>
      <c r="Q15" s="189" t="inlineStr">
        <is>
          <t>P2</t>
        </is>
      </c>
      <c r="R15" s="189" t="inlineStr">
        <is>
          <t>🚨 URGENT: Apply vendor patches immediately | 🔒 Isolate affected systems if patch unavailable | 🛡️ Enable additional monitoring/IDS rules</t>
        </is>
      </c>
      <c r="S15" s="189" t="inlineStr">
        <is>
          <t>CVE - IP enrichment n/a</t>
        </is>
      </c>
      <c r="T15" s="189" t="n">
        <v>0.0023</v>
      </c>
      <c r="U15" s="189" t="n">
        <v>0.4594</v>
      </c>
      <c r="V15" s="189" t="inlineStr">
        <is>
          <t>T1190:Exploit Public-Facing Application | T1203:Exploitation for Client Execution</t>
        </is>
      </c>
      <c r="W15" s="189" t="n">
        <v>2</v>
      </c>
      <c r="X15" s="189" t="inlineStr">
        <is>
          <t>HIGH (72%)</t>
        </is>
      </c>
      <c r="Y15" s="189" t="inlineStr">
        <is>
          <t>CONFIRMED</t>
        </is>
      </c>
      <c r="Z15" s="189" t="inlineStr">
        <is>
          <t>CHECK_VENDOR</t>
        </is>
      </c>
      <c r="AA15" s="189" t="inlineStr">
        <is>
          <t>https://nvd.nist.gov/vuln/detail/CVE-2019-25361</t>
        </is>
      </c>
      <c r="AB15" s="189" t="inlineStr">
        <is>
          <t>NONE</t>
        </is>
      </c>
      <c r="AC15" s="189" t="n">
        <v>4.9</v>
      </c>
      <c r="AD15" s="189" t="inlineStr"/>
    </row>
    <row r="16">
      <c r="A16" s="189" t="inlineStr">
        <is>
          <t>CVE</t>
        </is>
      </c>
      <c r="B16" s="189" t="inlineStr">
        <is>
          <t>CVE-2019-25362</t>
        </is>
      </c>
      <c r="C16" s="189" t="inlineStr">
        <is>
          <t>WMV to AVI MPEG DVD WMV Convertor 4.6.1217 contains a buffer overflow vulnerability that allows attackers to execute arbitrary code by overwriting the license name and license code fields. Attackers can craft a malicious payload of 6000 bytes to trigger a bind shell on port 4444 by exploiting a stack-based buffer overflow in the application's input handling.</t>
        </is>
      </c>
      <c r="D16" s="189" t="n">
        <v>9.800000000000001</v>
      </c>
      <c r="E16" s="189" t="inlineStr">
        <is>
          <t>CRITICAL</t>
        </is>
      </c>
      <c r="F16" s="189" t="n">
        <v>2</v>
      </c>
      <c r="G16" s="189" t="n">
        <v>3</v>
      </c>
      <c r="H16" s="189" t="inlineStr">
        <is>
          <t>HIGH</t>
        </is>
      </c>
      <c r="I16" s="189" t="n">
        <v>15.8</v>
      </c>
      <c r="J16" s="189" t="inlineStr">
        <is>
          <t>NO</t>
        </is>
      </c>
      <c r="K16" s="189" t="inlineStr">
        <is>
          <t>https://nvd.nist.gov/vuln/detail/CVE-2019-25362</t>
        </is>
      </c>
      <c r="L16" s="189" t="inlineStr">
        <is>
          <t>2026-02-26 00:15</t>
        </is>
      </c>
      <c r="M16" s="189" t="inlineStr">
        <is>
          <t>CHECK_VENDOR</t>
        </is>
      </c>
      <c r="N16" s="189" t="inlineStr">
        <is>
          <t>See NVD references</t>
        </is>
      </c>
      <c r="O16" s="189" t="inlineStr">
        <is>
          <t>Apply vendor patches</t>
        </is>
      </c>
      <c r="P16" s="189" t="inlineStr">
        <is>
          <t>See CVE details</t>
        </is>
      </c>
      <c r="Q16" s="189" t="inlineStr">
        <is>
          <t>P3</t>
        </is>
      </c>
      <c r="R16" s="189" t="inlineStr">
        <is>
          <t>🚨 URGENT: Apply vendor patches immediately | 🔒 Isolate affected systems if patch unavailable | 🛡️ Enable additional monitoring/IDS rules</t>
        </is>
      </c>
      <c r="S16" s="189" t="inlineStr">
        <is>
          <t>CVE - IP enrichment n/a</t>
        </is>
      </c>
      <c r="T16" s="189" t="n">
        <v>0</v>
      </c>
      <c r="U16" s="189" t="n">
        <v>0</v>
      </c>
      <c r="V16" s="189" t="inlineStr">
        <is>
          <t>T1203:Exploitation for Client Execution</t>
        </is>
      </c>
      <c r="W16" s="189" t="n">
        <v>1</v>
      </c>
      <c r="X16" s="189" t="inlineStr">
        <is>
          <t>LOW (40%)</t>
        </is>
      </c>
      <c r="Y16" s="189" t="inlineStr">
        <is>
          <t>UNLIKELY</t>
        </is>
      </c>
      <c r="Z16" s="189" t="inlineStr">
        <is>
          <t>CHECK_VENDOR</t>
        </is>
      </c>
      <c r="AA16" s="189" t="inlineStr">
        <is>
          <t>https://nvd.nist.gov/vuln/detail/CVE-2019-25362</t>
        </is>
      </c>
      <c r="AB16" s="189" t="inlineStr">
        <is>
          <t>NONE</t>
        </is>
      </c>
      <c r="AC16" s="189" t="n">
        <v>0</v>
      </c>
      <c r="AD16" s="189" t="inlineStr"/>
    </row>
    <row r="17">
      <c r="A17" s="188" t="inlineStr">
        <is>
          <t>CVE</t>
        </is>
      </c>
      <c r="B17" s="188" t="inlineStr">
        <is>
          <t>CVE-2019-25363</t>
        </is>
      </c>
      <c r="C17" s="188" t="inlineStr">
        <is>
          <t>WMV to AVI MPEG DVD WMV Convertor 4.6.1217 contains a buffer overflow vulnerability that allows attackers to crash the application by providing an oversized license input. Attackers can generate a 6000-byte payload and paste it into the 'License Name and License Code' field to trigger an application crash.</t>
        </is>
      </c>
      <c r="D17" s="188" t="n">
        <v>7.5</v>
      </c>
      <c r="E17" s="188" t="inlineStr">
        <is>
          <t>HIGH</t>
        </is>
      </c>
      <c r="F17" s="188" t="n">
        <v>2</v>
      </c>
      <c r="G17" s="188" t="n">
        <v>3</v>
      </c>
      <c r="H17" s="188" t="inlineStr">
        <is>
          <t>HIGH</t>
        </is>
      </c>
      <c r="I17" s="188" t="n">
        <v>13.5</v>
      </c>
      <c r="J17" s="188" t="inlineStr">
        <is>
          <t>NO</t>
        </is>
      </c>
      <c r="K17" s="188" t="inlineStr">
        <is>
          <t>https://nvd.nist.gov/vuln/detail/CVE-2019-25363</t>
        </is>
      </c>
      <c r="L17" s="188" t="inlineStr">
        <is>
          <t>2026-02-26 00:15</t>
        </is>
      </c>
      <c r="M17" s="188" t="inlineStr">
        <is>
          <t>CHECK_VENDOR</t>
        </is>
      </c>
      <c r="N17" s="188" t="inlineStr">
        <is>
          <t>See NVD references</t>
        </is>
      </c>
      <c r="O17" s="188" t="inlineStr">
        <is>
          <t>Apply vendor patches</t>
        </is>
      </c>
      <c r="P17" s="188" t="inlineStr">
        <is>
          <t>See CVE details</t>
        </is>
      </c>
      <c r="Q17" s="188" t="inlineStr">
        <is>
          <t>P2</t>
        </is>
      </c>
      <c r="R17" s="188" t="inlineStr">
        <is>
          <t>🚨 URGENT: Apply vendor patches immediately | 🔒 Isolate affected systems if patch unavailable | 🛡️ Enable additional monitoring/IDS rules</t>
        </is>
      </c>
      <c r="S17" s="188" t="inlineStr">
        <is>
          <t>CVE - IP enrichment n/a</t>
        </is>
      </c>
      <c r="T17" s="188" t="n">
        <v>0</v>
      </c>
      <c r="U17" s="188" t="n">
        <v>0</v>
      </c>
      <c r="V17" s="188" t="inlineStr">
        <is>
          <t>T1190:Exploit Public-Facing Application | T1203:Exploitation for Client Execution</t>
        </is>
      </c>
      <c r="W17" s="188" t="n">
        <v>2</v>
      </c>
      <c r="X17" s="188" t="inlineStr">
        <is>
          <t>HIGH (72%)</t>
        </is>
      </c>
      <c r="Y17" s="188" t="inlineStr">
        <is>
          <t>POSSIBLE</t>
        </is>
      </c>
      <c r="Z17" s="188" t="inlineStr">
        <is>
          <t>CHECK_VENDOR</t>
        </is>
      </c>
      <c r="AA17" s="188" t="inlineStr">
        <is>
          <t>https://nvd.nist.gov/vuln/detail/CVE-2019-25363</t>
        </is>
      </c>
      <c r="AB17" s="188" t="inlineStr">
        <is>
          <t>NONE</t>
        </is>
      </c>
      <c r="AC17" s="188" t="n">
        <v>3.75</v>
      </c>
      <c r="AD17" s="188" t="inlineStr"/>
    </row>
    <row r="18">
      <c r="A18" s="189" t="inlineStr">
        <is>
          <t>CVE</t>
        </is>
      </c>
      <c r="B18" s="189" t="inlineStr">
        <is>
          <t>CVE-2019-25364</t>
        </is>
      </c>
      <c r="C18" s="189" t="inlineStr">
        <is>
          <t>MailCarrier 2.51 contains a buffer overflow vulnerability in the POP3 USER command that allows remote attackers to execute arbitrary code. Attackers can send a crafted oversized buffer to the POP3 service, overwriting memory and potentially gaining remote system access.</t>
        </is>
      </c>
      <c r="D18" s="189" t="n">
        <v>9.800000000000001</v>
      </c>
      <c r="E18" s="189" t="inlineStr">
        <is>
          <t>CRITICAL</t>
        </is>
      </c>
      <c r="F18" s="189" t="n">
        <v>2</v>
      </c>
      <c r="G18" s="189" t="n">
        <v>3</v>
      </c>
      <c r="H18" s="189" t="inlineStr">
        <is>
          <t>HIGH</t>
        </is>
      </c>
      <c r="I18" s="189" t="n">
        <v>15.8</v>
      </c>
      <c r="J18" s="189" t="inlineStr">
        <is>
          <t>NO</t>
        </is>
      </c>
      <c r="K18" s="189" t="inlineStr">
        <is>
          <t>https://nvd.nist.gov/vuln/detail/CVE-2019-25364</t>
        </is>
      </c>
      <c r="L18" s="189" t="inlineStr">
        <is>
          <t>2026-02-26 00:15</t>
        </is>
      </c>
      <c r="M18" s="189" t="inlineStr">
        <is>
          <t>CHECK_VENDOR</t>
        </is>
      </c>
      <c r="N18" s="189" t="inlineStr">
        <is>
          <t>See NVD references</t>
        </is>
      </c>
      <c r="O18" s="189" t="inlineStr">
        <is>
          <t>Apply vendor patches</t>
        </is>
      </c>
      <c r="P18" s="189" t="inlineStr">
        <is>
          <t>tabslab mailcarrier 2.51</t>
        </is>
      </c>
      <c r="Q18" s="189" t="inlineStr">
        <is>
          <t>P3</t>
        </is>
      </c>
      <c r="R18" s="189" t="inlineStr">
        <is>
          <t>🚨 URGENT: Apply vendor patches immediately | 🔒 Isolate affected systems if patch unavailable | 🛡️ Enable additional monitoring/IDS rules</t>
        </is>
      </c>
      <c r="S18" s="189" t="inlineStr">
        <is>
          <t>CVE - IP enrichment n/a</t>
        </is>
      </c>
      <c r="T18" s="189" t="n">
        <v>0</v>
      </c>
      <c r="U18" s="189" t="n">
        <v>0</v>
      </c>
      <c r="V18" s="189" t="inlineStr">
        <is>
          <t>T1190:Exploit Public-Facing Application | T1203:Exploitation for Client Execution</t>
        </is>
      </c>
      <c r="W18" s="189" t="n">
        <v>1</v>
      </c>
      <c r="X18" s="189" t="inlineStr">
        <is>
          <t>LOW (40%)</t>
        </is>
      </c>
      <c r="Y18" s="189" t="inlineStr">
        <is>
          <t>UNLIKELY</t>
        </is>
      </c>
      <c r="Z18" s="189" t="inlineStr">
        <is>
          <t>CHECK_VENDOR</t>
        </is>
      </c>
      <c r="AA18" s="189" t="inlineStr">
        <is>
          <t>https://nvd.nist.gov/vuln/detail/CVE-2019-25364</t>
        </is>
      </c>
      <c r="AB18" s="189" t="inlineStr">
        <is>
          <t>NONE</t>
        </is>
      </c>
      <c r="AC18" s="189" t="n">
        <v>0</v>
      </c>
      <c r="AD18" s="189" t="inlineStr"/>
    </row>
    <row r="19">
      <c r="A19" s="189" t="inlineStr">
        <is>
          <t>CVE</t>
        </is>
      </c>
      <c r="B19" s="189" t="inlineStr">
        <is>
          <t>CVE-2019-25365</t>
        </is>
      </c>
      <c r="C19" s="189" t="inlineStr">
        <is>
          <t>ChaosPro 2.0 contains a buffer overflow vulnerability in the configuration file path handling that allows attackers to execute arbitrary code by overwriting the Structured Exception Handler. Attackers can craft a malicious configuration file with carefully constructed payload to overwrite memory and gain remote code execution on vulnerable Windows XP systems.</t>
        </is>
      </c>
      <c r="D19" s="189" t="n">
        <v>9.800000000000001</v>
      </c>
      <c r="E19" s="189" t="inlineStr">
        <is>
          <t>CRITICAL</t>
        </is>
      </c>
      <c r="F19" s="189" t="n">
        <v>3</v>
      </c>
      <c r="G19" s="189" t="n">
        <v>3</v>
      </c>
      <c r="H19" s="189" t="inlineStr">
        <is>
          <t>CRITICAL</t>
        </is>
      </c>
      <c r="I19" s="189" t="n">
        <v>18.8</v>
      </c>
      <c r="J19" s="189" t="inlineStr">
        <is>
          <t>NO</t>
        </is>
      </c>
      <c r="K19" s="189" t="inlineStr">
        <is>
          <t>https://nvd.nist.gov/vuln/detail/CVE-2019-25365</t>
        </is>
      </c>
      <c r="L19" s="189" t="inlineStr">
        <is>
          <t>2026-02-26 00:15</t>
        </is>
      </c>
      <c r="M19" s="189" t="inlineStr">
        <is>
          <t>CHECK_VENDOR</t>
        </is>
      </c>
      <c r="N19" s="189" t="inlineStr">
        <is>
          <t>See NVD references</t>
        </is>
      </c>
      <c r="O19" s="189" t="inlineStr">
        <is>
          <t>Apply vendor patches</t>
        </is>
      </c>
      <c r="P19" s="189" t="inlineStr">
        <is>
          <t>See CVE details</t>
        </is>
      </c>
      <c r="Q19" s="189" t="inlineStr">
        <is>
          <t>P2</t>
        </is>
      </c>
      <c r="R19" s="189" t="inlineStr">
        <is>
          <t>🚨 URGENT: Apply vendor patches immediately | 🔒 Isolate affected systems if patch unavailable | 🛡️ Enable additional monitoring/IDS rules</t>
        </is>
      </c>
      <c r="S19" s="189" t="inlineStr">
        <is>
          <t>CVE - IP enrichment n/a</t>
        </is>
      </c>
      <c r="T19" s="189" t="n">
        <v>0</v>
      </c>
      <c r="U19" s="189" t="n">
        <v>0</v>
      </c>
      <c r="V19" s="189" t="inlineStr">
        <is>
          <t>T1190:Exploit Public-Facing Application | T1210:Exploitation of Remote Services | T1203:Exploitation for Client Execution</t>
        </is>
      </c>
      <c r="W19" s="189" t="n">
        <v>2</v>
      </c>
      <c r="X19" s="189" t="inlineStr">
        <is>
          <t>HIGH (72%)</t>
        </is>
      </c>
      <c r="Y19" s="189" t="inlineStr">
        <is>
          <t>CONFIRMED</t>
        </is>
      </c>
      <c r="Z19" s="189" t="inlineStr">
        <is>
          <t>CHECK_VENDOR</t>
        </is>
      </c>
      <c r="AA19" s="189" t="inlineStr">
        <is>
          <t>https://nvd.nist.gov/vuln/detail/CVE-2019-25365</t>
        </is>
      </c>
      <c r="AB19" s="189" t="inlineStr">
        <is>
          <t>NONE</t>
        </is>
      </c>
      <c r="AC19" s="189" t="n">
        <v>4.9</v>
      </c>
      <c r="AD19" s="189" t="inlineStr"/>
    </row>
    <row r="20">
      <c r="A20" s="187" t="inlineStr">
        <is>
          <t>CVE</t>
        </is>
      </c>
      <c r="B20" s="187" t="inlineStr">
        <is>
          <t>CVE-2019-25396</t>
        </is>
      </c>
      <c r="C20" s="187" t="inlineStr">
        <is>
          <t>IPFire 2.21 Core Update 127 contains a reflected cross-site scripting vulnerability in the updatexlrator.cgi script that allows attackers to inject malicious scripts through POST parameters. Attackers can submit crafted requests with script payloads in the MAX_DISK_USAGE or MAX_DOWNLOAD_RATE parameters to execute arbitrary JavaScript in users' browsers.</t>
        </is>
      </c>
      <c r="D20" s="187" t="n">
        <v>6.1</v>
      </c>
      <c r="E20" s="187" t="inlineStr">
        <is>
          <t>MEDIUM</t>
        </is>
      </c>
      <c r="F20" s="187" t="n">
        <v>2</v>
      </c>
      <c r="G20" s="187" t="n">
        <v>2</v>
      </c>
      <c r="H20" s="187" t="inlineStr">
        <is>
          <t>MEDIUM</t>
        </is>
      </c>
      <c r="I20" s="187" t="n">
        <v>10.1</v>
      </c>
      <c r="J20" s="187" t="inlineStr">
        <is>
          <t>NO</t>
        </is>
      </c>
      <c r="K20" s="187" t="inlineStr">
        <is>
          <t>https://nvd.nist.gov/vuln/detail/CVE-2019-25396</t>
        </is>
      </c>
      <c r="L20" s="187" t="inlineStr">
        <is>
          <t>2026-02-26 00:15</t>
        </is>
      </c>
      <c r="M20" s="187" t="inlineStr">
        <is>
          <t>CHECK_VENDOR</t>
        </is>
      </c>
      <c r="N20" s="187" t="inlineStr">
        <is>
          <t>See NVD references</t>
        </is>
      </c>
      <c r="O20" s="187" t="inlineStr">
        <is>
          <t>Apply vendor patches</t>
        </is>
      </c>
      <c r="P20" s="187" t="inlineStr">
        <is>
          <t>See CVE details</t>
        </is>
      </c>
      <c r="Q20" s="187" t="inlineStr">
        <is>
          <t>P4</t>
        </is>
      </c>
      <c r="R20" s="187" t="inlineStr">
        <is>
          <t>📅 Schedule patch deployment within 30 days | 🔍 Monitor for exploitation attempts</t>
        </is>
      </c>
      <c r="S20" s="187" t="inlineStr">
        <is>
          <t>CVE - IP enrichment n/a</t>
        </is>
      </c>
      <c r="T20" s="187" t="n">
        <v>0</v>
      </c>
      <c r="U20" s="187" t="n">
        <v>0</v>
      </c>
      <c r="V20" s="187" t="inlineStr">
        <is>
          <t>T1189:Drive-by Compromise</t>
        </is>
      </c>
      <c r="W20" s="187" t="n">
        <v>1</v>
      </c>
      <c r="X20" s="187" t="inlineStr">
        <is>
          <t>LOW (40%)</t>
        </is>
      </c>
      <c r="Y20" s="187" t="inlineStr">
        <is>
          <t>UNLIKELY</t>
        </is>
      </c>
      <c r="Z20" s="187" t="inlineStr">
        <is>
          <t>CHECK_VENDOR</t>
        </is>
      </c>
      <c r="AA20" s="187" t="inlineStr">
        <is>
          <t>https://nvd.nist.gov/vuln/detail/CVE-2019-25396</t>
        </is>
      </c>
      <c r="AB20" s="187" t="inlineStr">
        <is>
          <t>NONE</t>
        </is>
      </c>
      <c r="AC20" s="187" t="n">
        <v>0</v>
      </c>
      <c r="AD20" s="187" t="inlineStr"/>
    </row>
    <row r="21">
      <c r="A21" s="187" t="inlineStr">
        <is>
          <t>CVE</t>
        </is>
      </c>
      <c r="B21" s="187" t="inlineStr">
        <is>
          <t>CVE-2019-25397</t>
        </is>
      </c>
      <c r="C21" s="187" t="inlineStr">
        <is>
          <t>IPFire 2.21 Core Update 127 contains multiple reflected cross-site scripting vulnerabilities in the hosts.cgi script that allow attackers to inject malicious scripts through unvalidated parameters. Attackers can submit POST requests with script payloads in the KEY1, IP, HOST, or DOM parameters to execute arbitrary JavaScript in users' browsers.</t>
        </is>
      </c>
      <c r="D21" s="187" t="n">
        <v>6.1</v>
      </c>
      <c r="E21" s="187" t="inlineStr">
        <is>
          <t>MEDIUM</t>
        </is>
      </c>
      <c r="F21" s="187" t="n">
        <v>2</v>
      </c>
      <c r="G21" s="187" t="n">
        <v>2</v>
      </c>
      <c r="H21" s="187" t="inlineStr">
        <is>
          <t>MEDIUM</t>
        </is>
      </c>
      <c r="I21" s="187" t="n">
        <v>10.1</v>
      </c>
      <c r="J21" s="187" t="inlineStr">
        <is>
          <t>NO</t>
        </is>
      </c>
      <c r="K21" s="187" t="inlineStr">
        <is>
          <t>https://nvd.nist.gov/vuln/detail/CVE-2019-25397</t>
        </is>
      </c>
      <c r="L21" s="187" t="inlineStr">
        <is>
          <t>2026-02-26 00:15</t>
        </is>
      </c>
      <c r="M21" s="187" t="inlineStr">
        <is>
          <t>CHECK_VENDOR</t>
        </is>
      </c>
      <c r="N21" s="187" t="inlineStr">
        <is>
          <t>See NVD references</t>
        </is>
      </c>
      <c r="O21" s="187" t="inlineStr">
        <is>
          <t>Apply vendor patches</t>
        </is>
      </c>
      <c r="P21" s="187" t="inlineStr">
        <is>
          <t>See CVE details</t>
        </is>
      </c>
      <c r="Q21" s="187" t="inlineStr">
        <is>
          <t>P4</t>
        </is>
      </c>
      <c r="R21" s="187" t="inlineStr">
        <is>
          <t>📅 Schedule patch deployment within 30 days | 🔍 Monitor for exploitation attempts</t>
        </is>
      </c>
      <c r="S21" s="187" t="inlineStr">
        <is>
          <t>CVE - IP enrichment n/a</t>
        </is>
      </c>
      <c r="T21" s="187" t="n">
        <v>0</v>
      </c>
      <c r="U21" s="187" t="n">
        <v>0</v>
      </c>
      <c r="V21" s="187" t="inlineStr">
        <is>
          <t>T1189:Drive-by Compromise</t>
        </is>
      </c>
      <c r="W21" s="187" t="n">
        <v>1</v>
      </c>
      <c r="X21" s="187" t="inlineStr">
        <is>
          <t>LOW (40%)</t>
        </is>
      </c>
      <c r="Y21" s="187" t="inlineStr">
        <is>
          <t>UNLIKELY</t>
        </is>
      </c>
      <c r="Z21" s="187" t="inlineStr">
        <is>
          <t>CHECK_VENDOR</t>
        </is>
      </c>
      <c r="AA21" s="187" t="inlineStr">
        <is>
          <t>https://nvd.nist.gov/vuln/detail/CVE-2019-25397</t>
        </is>
      </c>
      <c r="AB21" s="187" t="inlineStr">
        <is>
          <t>NONE</t>
        </is>
      </c>
      <c r="AC21" s="187" t="n">
        <v>0</v>
      </c>
      <c r="AD21" s="187" t="inlineStr"/>
    </row>
    <row r="22">
      <c r="A22" s="187" t="inlineStr">
        <is>
          <t>CVE</t>
        </is>
      </c>
      <c r="B22" s="187" t="inlineStr">
        <is>
          <t>CVE-2019-25398</t>
        </is>
      </c>
      <c r="C22" s="187" t="inlineStr">
        <is>
          <t>IPFire 2.21 Core Update 127 contains multiple cross-site scripting vulnerabilities in the ovpnmain.cgi script that allow attackers to inject malicious scripts through VPN configuration parameters. Attackers can submit POST requests with script payloads in parameters like VPN_IP, DMTU, ccdname, ccdsubnet, DOVPN_SUBNET, DHCP_DOMAIN, DHCP_DNS, DHCP_WINS, ROUTES_PUSH, FRAGMENT, KEEPALIVE_1, and KEEPALIVE_2 to execute arbitrary JavaScript in administrator browsers.</t>
        </is>
      </c>
      <c r="D22" s="187" t="n">
        <v>6.1</v>
      </c>
      <c r="E22" s="187" t="inlineStr">
        <is>
          <t>MEDIUM</t>
        </is>
      </c>
      <c r="F22" s="187" t="n">
        <v>2</v>
      </c>
      <c r="G22" s="187" t="n">
        <v>2</v>
      </c>
      <c r="H22" s="187" t="inlineStr">
        <is>
          <t>MEDIUM</t>
        </is>
      </c>
      <c r="I22" s="187" t="n">
        <v>10.1</v>
      </c>
      <c r="J22" s="187" t="inlineStr">
        <is>
          <t>NO</t>
        </is>
      </c>
      <c r="K22" s="187" t="inlineStr">
        <is>
          <t>https://nvd.nist.gov/vuln/detail/CVE-2019-25398</t>
        </is>
      </c>
      <c r="L22" s="187" t="inlineStr">
        <is>
          <t>2026-02-26 00:15</t>
        </is>
      </c>
      <c r="M22" s="187" t="inlineStr">
        <is>
          <t>CHECK_VENDOR</t>
        </is>
      </c>
      <c r="N22" s="187" t="inlineStr">
        <is>
          <t>See NVD references</t>
        </is>
      </c>
      <c r="O22" s="187" t="inlineStr">
        <is>
          <t>Apply vendor patches</t>
        </is>
      </c>
      <c r="P22" s="187" t="inlineStr">
        <is>
          <t>See CVE details</t>
        </is>
      </c>
      <c r="Q22" s="187" t="inlineStr">
        <is>
          <t>P4</t>
        </is>
      </c>
      <c r="R22" s="187" t="inlineStr">
        <is>
          <t>📅 Schedule patch deployment within 30 days | 🔍 Monitor for exploitation attempts</t>
        </is>
      </c>
      <c r="S22" s="187" t="inlineStr">
        <is>
          <t>CVE - IP enrichment n/a</t>
        </is>
      </c>
      <c r="T22" s="187" t="n">
        <v>0.0003</v>
      </c>
      <c r="U22" s="187" t="n">
        <v>0.0944</v>
      </c>
      <c r="V22" s="187" t="inlineStr">
        <is>
          <t>T1189:Drive-by Compromise | T1133:External Remote Services</t>
        </is>
      </c>
      <c r="W22" s="187" t="n">
        <v>1</v>
      </c>
      <c r="X22" s="187" t="inlineStr">
        <is>
          <t>LOW (40%)</t>
        </is>
      </c>
      <c r="Y22" s="187" t="inlineStr">
        <is>
          <t>UNLIKELY</t>
        </is>
      </c>
      <c r="Z22" s="187" t="inlineStr">
        <is>
          <t>CHECK_VENDOR</t>
        </is>
      </c>
      <c r="AA22" s="187" t="inlineStr">
        <is>
          <t>https://nvd.nist.gov/vuln/detail/CVE-2019-25398</t>
        </is>
      </c>
      <c r="AB22" s="187" t="inlineStr">
        <is>
          <t>NONE</t>
        </is>
      </c>
      <c r="AC22" s="187" t="n">
        <v>0</v>
      </c>
      <c r="AD22" s="187" t="inlineStr"/>
    </row>
    <row r="23">
      <c r="A23" s="187" t="inlineStr">
        <is>
          <t>CVE</t>
        </is>
      </c>
      <c r="B23" s="187" t="inlineStr">
        <is>
          <t>CVE-2019-25399</t>
        </is>
      </c>
      <c r="C23" s="187" t="inlineStr">
        <is>
          <t>IPFire 2.21 Core Update 127 contains multiple stored cross-site scripting vulnerabilities in the extrahd.cgi script that allow attackers to inject malicious scripts through the FS, PATH, and UUID parameters. Attackers can submit POST requests with script payloads in these parameters to execute arbitrary JavaScript in the context of authenticated administrator sessions.</t>
        </is>
      </c>
      <c r="D23" s="187" t="n">
        <v>6.4</v>
      </c>
      <c r="E23" s="187" t="inlineStr">
        <is>
          <t>MEDIUM</t>
        </is>
      </c>
      <c r="F23" s="187" t="n">
        <v>2</v>
      </c>
      <c r="G23" s="187" t="n">
        <v>2</v>
      </c>
      <c r="H23" s="187" t="inlineStr">
        <is>
          <t>MEDIUM</t>
        </is>
      </c>
      <c r="I23" s="187" t="n">
        <v>10.4</v>
      </c>
      <c r="J23" s="187" t="inlineStr">
        <is>
          <t>NO</t>
        </is>
      </c>
      <c r="K23" s="187" t="inlineStr">
        <is>
          <t>https://nvd.nist.gov/vuln/detail/CVE-2019-25399</t>
        </is>
      </c>
      <c r="L23" s="187" t="inlineStr">
        <is>
          <t>2026-02-26 00:15</t>
        </is>
      </c>
      <c r="M23" s="187" t="inlineStr">
        <is>
          <t>CHECK_VENDOR</t>
        </is>
      </c>
      <c r="N23" s="187" t="inlineStr">
        <is>
          <t>See NVD references</t>
        </is>
      </c>
      <c r="O23" s="187" t="inlineStr">
        <is>
          <t>Apply vendor patches</t>
        </is>
      </c>
      <c r="P23" s="187" t="inlineStr">
        <is>
          <t>See CVE details</t>
        </is>
      </c>
      <c r="Q23" s="187" t="inlineStr">
        <is>
          <t>P4</t>
        </is>
      </c>
      <c r="R23" s="187" t="inlineStr">
        <is>
          <t>📅 Schedule patch deployment within 30 days | 🔍 Monitor for exploitation attempts</t>
        </is>
      </c>
      <c r="S23" s="187" t="inlineStr">
        <is>
          <t>CVE - IP enrichment n/a</t>
        </is>
      </c>
      <c r="T23" s="187" t="n">
        <v>0.0003</v>
      </c>
      <c r="U23" s="187" t="n">
        <v>0.09719999999999999</v>
      </c>
      <c r="V23" s="187" t="inlineStr">
        <is>
          <t>T1189:Drive-by Compromise</t>
        </is>
      </c>
      <c r="W23" s="187" t="n">
        <v>1</v>
      </c>
      <c r="X23" s="187" t="inlineStr">
        <is>
          <t>LOW (40%)</t>
        </is>
      </c>
      <c r="Y23" s="187" t="inlineStr">
        <is>
          <t>UNLIKELY</t>
        </is>
      </c>
      <c r="Z23" s="187" t="inlineStr">
        <is>
          <t>CHECK_VENDOR</t>
        </is>
      </c>
      <c r="AA23" s="187" t="inlineStr">
        <is>
          <t>https://nvd.nist.gov/vuln/detail/CVE-2019-25399</t>
        </is>
      </c>
      <c r="AB23" s="187" t="inlineStr">
        <is>
          <t>NONE</t>
        </is>
      </c>
      <c r="AC23" s="187" t="n">
        <v>0</v>
      </c>
      <c r="AD23" s="187" t="inlineStr"/>
    </row>
    <row r="24">
      <c r="A24" s="187" t="inlineStr">
        <is>
          <t>CVE</t>
        </is>
      </c>
      <c r="B24" s="187" t="inlineStr">
        <is>
          <t>CVE-2019-25400</t>
        </is>
      </c>
      <c r="C24" s="187" t="inlineStr">
        <is>
          <t>IPFire 2.21 Core Update 127 contains multiple reflected cross-site scripting vulnerabilities in the fwhosts.cgi script that allow attackers to inject malicious scripts through multiple parameters including HOSTNAME, IP, SUBNET, NETREMARK, HOSTREMARK, newhost, grp_name, remark, SRV_NAME, SRV_PORT, SRVGRP_NAME, SRVGRP_REMARK, and updatesrvgrp. Attackers can submit POST requests with script payloads in these parameters to execute arbitrary JavaScript in the context of authenticated users' browsers.</t>
        </is>
      </c>
      <c r="D24" s="187" t="n">
        <v>5.4</v>
      </c>
      <c r="E24" s="187" t="inlineStr">
        <is>
          <t>MEDIUM</t>
        </is>
      </c>
      <c r="F24" s="187" t="n">
        <v>2</v>
      </c>
      <c r="G24" s="187" t="n">
        <v>2</v>
      </c>
      <c r="H24" s="187" t="inlineStr">
        <is>
          <t>MEDIUM</t>
        </is>
      </c>
      <c r="I24" s="187" t="n">
        <v>9.4</v>
      </c>
      <c r="J24" s="187" t="inlineStr">
        <is>
          <t>NO</t>
        </is>
      </c>
      <c r="K24" s="187" t="inlineStr">
        <is>
          <t>https://nvd.nist.gov/vuln/detail/CVE-2019-25400</t>
        </is>
      </c>
      <c r="L24" s="187" t="inlineStr">
        <is>
          <t>2026-02-26 00:15</t>
        </is>
      </c>
      <c r="M24" s="187" t="inlineStr">
        <is>
          <t>CHECK_VENDOR</t>
        </is>
      </c>
      <c r="N24" s="187" t="inlineStr">
        <is>
          <t>See NVD references</t>
        </is>
      </c>
      <c r="O24" s="187" t="inlineStr">
        <is>
          <t>Apply vendor patches</t>
        </is>
      </c>
      <c r="P24" s="187" t="inlineStr">
        <is>
          <t>See CVE details</t>
        </is>
      </c>
      <c r="Q24" s="187" t="inlineStr">
        <is>
          <t>P4</t>
        </is>
      </c>
      <c r="R24" s="187" t="inlineStr">
        <is>
          <t>📅 Schedule patch deployment within 30 days | 🔍 Monitor for exploitation attempts</t>
        </is>
      </c>
      <c r="S24" s="187" t="inlineStr">
        <is>
          <t>CVE - IP enrichment n/a</t>
        </is>
      </c>
      <c r="T24" s="187" t="n">
        <v>0</v>
      </c>
      <c r="U24" s="187" t="n">
        <v>0</v>
      </c>
      <c r="V24" s="187" t="inlineStr">
        <is>
          <t>T1189:Drive-by Compromise</t>
        </is>
      </c>
      <c r="W24" s="187" t="n">
        <v>1</v>
      </c>
      <c r="X24" s="187" t="inlineStr">
        <is>
          <t>LOW (40%)</t>
        </is>
      </c>
      <c r="Y24" s="187" t="inlineStr">
        <is>
          <t>UNLIKELY</t>
        </is>
      </c>
      <c r="Z24" s="187" t="inlineStr">
        <is>
          <t>CHECK_VENDOR</t>
        </is>
      </c>
      <c r="AA24" s="187" t="inlineStr">
        <is>
          <t>https://nvd.nist.gov/vuln/detail/CVE-2019-25400</t>
        </is>
      </c>
      <c r="AB24" s="187" t="inlineStr">
        <is>
          <t>NONE</t>
        </is>
      </c>
      <c r="AC24" s="187" t="n">
        <v>0</v>
      </c>
      <c r="AD24" s="187" t="inlineStr"/>
    </row>
    <row r="25">
      <c r="A25" s="188" t="inlineStr">
        <is>
          <t>CVE</t>
        </is>
      </c>
      <c r="B25" s="188" t="inlineStr">
        <is>
          <t>CVE-2019-25401</t>
        </is>
      </c>
      <c r="C25" s="188" t="inlineStr">
        <is>
          <t>Bematech (formerly Logic Controls, now Elgin) MP-4200 TH printer contains a denial of service vulnerability in the admin configuration page. Remote attackers can send crafted POST requests with malformed 'admin' and 'person' parameters to crash the printer's web service, causing a denial of service condition.</t>
        </is>
      </c>
      <c r="D25" s="188" t="n">
        <v>7.5</v>
      </c>
      <c r="E25" s="188" t="inlineStr">
        <is>
          <t>HIGH</t>
        </is>
      </c>
      <c r="F25" s="188" t="n">
        <v>2</v>
      </c>
      <c r="G25" s="188" t="n">
        <v>3</v>
      </c>
      <c r="H25" s="188" t="inlineStr">
        <is>
          <t>HIGH</t>
        </is>
      </c>
      <c r="I25" s="188" t="n">
        <v>13.5</v>
      </c>
      <c r="J25" s="188" t="inlineStr">
        <is>
          <t>NO</t>
        </is>
      </c>
      <c r="K25" s="188" t="inlineStr">
        <is>
          <t>https://nvd.nist.gov/vuln/detail/CVE-2019-25401</t>
        </is>
      </c>
      <c r="L25" s="188" t="inlineStr">
        <is>
          <t>2026-02-26 00:15</t>
        </is>
      </c>
      <c r="M25" s="188" t="inlineStr">
        <is>
          <t>CHECK_VENDOR</t>
        </is>
      </c>
      <c r="N25" s="188" t="inlineStr">
        <is>
          <t>See NVD references</t>
        </is>
      </c>
      <c r="O25" s="188" t="inlineStr">
        <is>
          <t>Apply vendor patches</t>
        </is>
      </c>
      <c r="P25" s="188" t="inlineStr">
        <is>
          <t>See CVE details</t>
        </is>
      </c>
      <c r="Q25" s="188" t="inlineStr">
        <is>
          <t>P2</t>
        </is>
      </c>
      <c r="R25" s="188" t="inlineStr">
        <is>
          <t>🚨 URGENT: Apply vendor patches immediately | 🔒 Isolate affected systems if patch unavailable | 🛡️ Enable additional monitoring/IDS rules</t>
        </is>
      </c>
      <c r="S25" s="188" t="inlineStr">
        <is>
          <t>CVE - IP enrichment n/a</t>
        </is>
      </c>
      <c r="T25" s="188" t="n">
        <v>0</v>
      </c>
      <c r="U25" s="188" t="n">
        <v>0</v>
      </c>
      <c r="V25" s="188" t="inlineStr">
        <is>
          <t>T1499:Endpoint Denial of Service</t>
        </is>
      </c>
      <c r="W25" s="188" t="n">
        <v>2</v>
      </c>
      <c r="X25" s="188" t="inlineStr">
        <is>
          <t>HIGH (72%)</t>
        </is>
      </c>
      <c r="Y25" s="188" t="inlineStr">
        <is>
          <t>POSSIBLE</t>
        </is>
      </c>
      <c r="Z25" s="188" t="inlineStr">
        <is>
          <t>CHECK_VENDOR</t>
        </is>
      </c>
      <c r="AA25" s="188" t="inlineStr">
        <is>
          <t>https://nvd.nist.gov/vuln/detail/CVE-2019-25401</t>
        </is>
      </c>
      <c r="AB25" s="188" t="inlineStr">
        <is>
          <t>NONE</t>
        </is>
      </c>
      <c r="AC25" s="188" t="n">
        <v>3.75</v>
      </c>
      <c r="AD25" s="188" t="inlineStr"/>
    </row>
    <row r="26">
      <c r="A26" s="187" t="inlineStr">
        <is>
          <t>CVE</t>
        </is>
      </c>
      <c r="B26" s="187" t="inlineStr">
        <is>
          <t>CVE-2026-24743</t>
        </is>
      </c>
      <c r="C26" s="187" t="inlineStr">
        <is>
          <t>InvoicePlane is a self-hosted open source application for managing invoices, clients, and payments. A Stored Cross-Site Scripting (XSS) vulnerability occurs in the upload Invoice Logo functions of InvoicePlane version 1.7.0. The Upload Invoice Logo function allows the application to upload svg files. Although administrator privileges are required to exploit it, this is still considered a critical vulnerability as it can cause actions such as unauthorized modification of application data, creatio</t>
        </is>
      </c>
      <c r="D26" s="187" t="n">
        <v>5.7</v>
      </c>
      <c r="E26" s="187" t="inlineStr">
        <is>
          <t>MEDIUM</t>
        </is>
      </c>
      <c r="F26" s="187" t="n">
        <v>2</v>
      </c>
      <c r="G26" s="187" t="n">
        <v>2</v>
      </c>
      <c r="H26" s="187" t="inlineStr">
        <is>
          <t>MEDIUM</t>
        </is>
      </c>
      <c r="I26" s="187" t="n">
        <v>9.699999999999999</v>
      </c>
      <c r="J26" s="187" t="inlineStr">
        <is>
          <t>NO</t>
        </is>
      </c>
      <c r="K26" s="187" t="inlineStr">
        <is>
          <t>https://nvd.nist.gov/vuln/detail/CVE-2026-24743</t>
        </is>
      </c>
      <c r="L26" s="187" t="inlineStr">
        <is>
          <t>2026-02-26 00:15</t>
        </is>
      </c>
      <c r="M26" s="187" t="inlineStr">
        <is>
          <t>YES</t>
        </is>
      </c>
      <c r="N26" s="187" t="inlineStr">
        <is>
          <t>https://github.com/InvoicePlane/InvoicePlane/commit/93622f2df88a860d89bfee56012cabb2942061d6 | https://github.com/InvoicePlane/InvoicePlane/security/advisories/GHSA-485m-4725-2428</t>
        </is>
      </c>
      <c r="O26" s="187" t="inlineStr">
        <is>
          <t>https://github.com/InvoicePlane/InvoicePlane/security/advisories/GHSA-485m-4725-2428</t>
        </is>
      </c>
      <c r="P26" s="187" t="inlineStr">
        <is>
          <t>invoiceplane invoiceplane 1.7.0</t>
        </is>
      </c>
      <c r="Q26" s="187" t="inlineStr">
        <is>
          <t>P4</t>
        </is>
      </c>
      <c r="R26" s="187" t="inlineStr">
        <is>
          <t>📅 Schedule patch deployment within 30 days | 🔍 Monitor for exploitation attempts</t>
        </is>
      </c>
      <c r="S26" s="187" t="inlineStr">
        <is>
          <t>CVE - IP enrichment n/a</t>
        </is>
      </c>
      <c r="T26" s="187" t="n">
        <v>0.0003</v>
      </c>
      <c r="U26" s="187" t="n">
        <v>0.098</v>
      </c>
      <c r="V26" s="187" t="inlineStr">
        <is>
          <t>T1189:Drive-by Compromise | T1190:Exploit Public-Facing Application | T1543:Create or Modify System Process</t>
        </is>
      </c>
      <c r="W26" s="187" t="n">
        <v>1</v>
      </c>
      <c r="X26" s="187" t="inlineStr">
        <is>
          <t>LOW (40%)</t>
        </is>
      </c>
      <c r="Y26" s="187" t="inlineStr">
        <is>
          <t>UNLIKELY</t>
        </is>
      </c>
      <c r="Z26" s="187" t="inlineStr">
        <is>
          <t>PATCH_AVAILABLE</t>
        </is>
      </c>
      <c r="AA26" s="187" t="inlineStr">
        <is>
          <t>https://nvd.nist.gov/vuln/detail/CVE-2026-24743</t>
        </is>
      </c>
      <c r="AB26" s="187" t="inlineStr">
        <is>
          <t>NONE</t>
        </is>
      </c>
      <c r="AC26" s="187" t="n">
        <v>0</v>
      </c>
      <c r="AD26" s="187" t="inlineStr"/>
    </row>
    <row r="27">
      <c r="A27" s="187" t="inlineStr">
        <is>
          <t>CVE</t>
        </is>
      </c>
      <c r="B27" s="187" t="inlineStr">
        <is>
          <t>CVE-2026-24744</t>
        </is>
      </c>
      <c r="C27" s="187" t="inlineStr">
        <is>
          <t>InvoicePlane is a self-hosted open source application for managing invoices, clients, and payments. A Stored Cross-Site Scripting (XSS) vulnerability occurs in the Edit Invoices functions of InvoicePlane version 1.7.0. When editing invoices, the application does not validate user input at the `invoice_number` parameter. Although administrator privileges are required to exploit it, this is still considered a critical vulnerability as it can cause actions such as unauthorized modification of appli</t>
        </is>
      </c>
      <c r="D27" s="187" t="n">
        <v>5.7</v>
      </c>
      <c r="E27" s="187" t="inlineStr">
        <is>
          <t>MEDIUM</t>
        </is>
      </c>
      <c r="F27" s="187" t="n">
        <v>2</v>
      </c>
      <c r="G27" s="187" t="n">
        <v>2</v>
      </c>
      <c r="H27" s="187" t="inlineStr">
        <is>
          <t>MEDIUM</t>
        </is>
      </c>
      <c r="I27" s="187" t="n">
        <v>9.699999999999999</v>
      </c>
      <c r="J27" s="187" t="inlineStr">
        <is>
          <t>NO</t>
        </is>
      </c>
      <c r="K27" s="187" t="inlineStr">
        <is>
          <t>https://nvd.nist.gov/vuln/detail/CVE-2026-24744</t>
        </is>
      </c>
      <c r="L27" s="187" t="inlineStr">
        <is>
          <t>2026-02-26 00:15</t>
        </is>
      </c>
      <c r="M27" s="187" t="inlineStr">
        <is>
          <t>YES</t>
        </is>
      </c>
      <c r="N27" s="187" t="inlineStr">
        <is>
          <t>https://github.com/InvoicePlane/InvoicePlane/commit/93622f2df88a860d89bfee56012cabb2942061d6 | https://github.com/InvoicePlane/InvoicePlane/security/advisories/GHSA-5mxx-553h-m62w</t>
        </is>
      </c>
      <c r="O27" s="187" t="inlineStr">
        <is>
          <t>https://github.com/InvoicePlane/InvoicePlane/security/advisories/GHSA-5mxx-553h-m62w</t>
        </is>
      </c>
      <c r="P27" s="187" t="inlineStr">
        <is>
          <t>invoiceplane invoiceplane 1.7.0</t>
        </is>
      </c>
      <c r="Q27" s="187" t="inlineStr">
        <is>
          <t>P4</t>
        </is>
      </c>
      <c r="R27" s="187" t="inlineStr">
        <is>
          <t>📅 Schedule patch deployment within 30 days | 🔍 Monitor for exploitation attempts</t>
        </is>
      </c>
      <c r="S27" s="187" t="inlineStr">
        <is>
          <t>CVE - IP enrichment n/a</t>
        </is>
      </c>
      <c r="T27" s="187" t="n">
        <v>0.0003</v>
      </c>
      <c r="U27" s="187" t="n">
        <v>0.098</v>
      </c>
      <c r="V27" s="187" t="inlineStr">
        <is>
          <t>T1189:Drive-by Compromise | T1190:Exploit Public-Facing Application | T1543:Create or Modify System Process</t>
        </is>
      </c>
      <c r="W27" s="187" t="n">
        <v>1</v>
      </c>
      <c r="X27" s="187" t="inlineStr">
        <is>
          <t>LOW (40%)</t>
        </is>
      </c>
      <c r="Y27" s="187" t="inlineStr">
        <is>
          <t>UNLIKELY</t>
        </is>
      </c>
      <c r="Z27" s="187" t="inlineStr">
        <is>
          <t>PATCH_AVAILABLE</t>
        </is>
      </c>
      <c r="AA27" s="187" t="inlineStr">
        <is>
          <t>https://nvd.nist.gov/vuln/detail/CVE-2026-24744</t>
        </is>
      </c>
      <c r="AB27" s="187" t="inlineStr">
        <is>
          <t>NONE</t>
        </is>
      </c>
      <c r="AC27" s="187" t="n">
        <v>0</v>
      </c>
      <c r="AD27" s="187" t="inlineStr"/>
    </row>
    <row r="28">
      <c r="A28" s="189" t="inlineStr">
        <is>
          <t>CVE</t>
        </is>
      </c>
      <c r="B28" s="189" t="inlineStr">
        <is>
          <t>CVE-2026-27174</t>
        </is>
      </c>
      <c r="C28" s="189" t="inlineStr">
        <is>
          <t>MajorDoMo (aka Major Domestic Module) allows unauthenticated remote code execution via the admin panel's PHP console feature. An include order bug in modules/panel.class.php causes execution to continue past a redirect() call that lacks an exit statement, allowing unauthenticated requests to reach the ajax handler in inc_panel_ajax.php. The console handler within that file passes user-supplied input from GET parameters (via register_globals) directly to eval() without any authentication check. A</t>
        </is>
      </c>
      <c r="D28" s="189" t="n">
        <v>9.800000000000001</v>
      </c>
      <c r="E28" s="189" t="inlineStr">
        <is>
          <t>CRITICAL</t>
        </is>
      </c>
      <c r="F28" s="189" t="n">
        <v>2</v>
      </c>
      <c r="G28" s="189" t="n">
        <v>3</v>
      </c>
      <c r="H28" s="189" t="inlineStr">
        <is>
          <t>HIGH</t>
        </is>
      </c>
      <c r="I28" s="189" t="n">
        <v>15.8</v>
      </c>
      <c r="J28" s="189" t="inlineStr">
        <is>
          <t>NO</t>
        </is>
      </c>
      <c r="K28" s="189" t="inlineStr">
        <is>
          <t>https://nvd.nist.gov/vuln/detail/CVE-2026-27174</t>
        </is>
      </c>
      <c r="L28" s="189" t="inlineStr">
        <is>
          <t>2026-02-26 00:15</t>
        </is>
      </c>
      <c r="M28" s="189" t="inlineStr">
        <is>
          <t>CHECK_VENDOR</t>
        </is>
      </c>
      <c r="N28" s="189" t="inlineStr">
        <is>
          <t>See NVD references</t>
        </is>
      </c>
      <c r="O28" s="189" t="inlineStr">
        <is>
          <t>Apply vendor patches</t>
        </is>
      </c>
      <c r="P28" s="189" t="inlineStr">
        <is>
          <t>mjdm majordomo -</t>
        </is>
      </c>
      <c r="Q28" s="189" t="inlineStr">
        <is>
          <t>P3</t>
        </is>
      </c>
      <c r="R28" s="189" t="inlineStr">
        <is>
          <t>🚨 URGENT: Apply vendor patches immediately | 🔒 Isolate affected systems if patch unavailable | 🛡️ Enable additional monitoring/IDS rules</t>
        </is>
      </c>
      <c r="S28" s="189" t="inlineStr">
        <is>
          <t>CVE - IP enrichment n/a</t>
        </is>
      </c>
      <c r="T28" s="189" t="n">
        <v>0</v>
      </c>
      <c r="U28" s="189" t="n">
        <v>0</v>
      </c>
      <c r="V28" s="189" t="inlineStr">
        <is>
          <t>T1059:Command and Scripting Interpreter | T1190:Exploit Public-Facing Application | T1210:Exploitation of Remote Services</t>
        </is>
      </c>
      <c r="W28" s="189" t="n">
        <v>1</v>
      </c>
      <c r="X28" s="189" t="inlineStr">
        <is>
          <t>LOW (40%)</t>
        </is>
      </c>
      <c r="Y28" s="189" t="inlineStr">
        <is>
          <t>UNLIKELY</t>
        </is>
      </c>
      <c r="Z28" s="189" t="inlineStr">
        <is>
          <t>CHECK_VENDOR</t>
        </is>
      </c>
      <c r="AA28" s="189" t="inlineStr">
        <is>
          <t>https://nvd.nist.gov/vuln/detail/CVE-2026-27174</t>
        </is>
      </c>
      <c r="AB28" s="189" t="inlineStr">
        <is>
          <t>NONE</t>
        </is>
      </c>
      <c r="AC28" s="189" t="n">
        <v>0</v>
      </c>
      <c r="AD28" s="189" t="inlineStr"/>
    </row>
    <row r="29">
      <c r="A29" s="189" t="inlineStr">
        <is>
          <t>CVE</t>
        </is>
      </c>
      <c r="B29" s="189" t="inlineStr">
        <is>
          <t>CVE-2026-27175</t>
        </is>
      </c>
      <c r="C29" s="189" t="inlineStr">
        <is>
          <t>MajorDoMo (aka Major Domestic Module) is vulnerable to unauthenticated OS command injection via rc/index.php. The $param variable from user input is interpolated into a command string within double quotes without sanitization via escapeshellarg(). The command is inserted into a database queue by safe_exec(), which performs no sanitization. The cycle_execs.php script, which is web-accessible without authentication, retrieves queued commands and passes them directly to exec(). An attacker can expl</t>
        </is>
      </c>
      <c r="D29" s="189" t="n">
        <v>9.800000000000001</v>
      </c>
      <c r="E29" s="189" t="inlineStr">
        <is>
          <t>CRITICAL</t>
        </is>
      </c>
      <c r="F29" s="189" t="n">
        <v>2</v>
      </c>
      <c r="G29" s="189" t="n">
        <v>3</v>
      </c>
      <c r="H29" s="189" t="inlineStr">
        <is>
          <t>HIGH</t>
        </is>
      </c>
      <c r="I29" s="189" t="n">
        <v>15.8</v>
      </c>
      <c r="J29" s="189" t="inlineStr">
        <is>
          <t>NO</t>
        </is>
      </c>
      <c r="K29" s="189" t="inlineStr">
        <is>
          <t>https://nvd.nist.gov/vuln/detail/CVE-2026-27175</t>
        </is>
      </c>
      <c r="L29" s="189" t="inlineStr">
        <is>
          <t>2026-02-26 00:15</t>
        </is>
      </c>
      <c r="M29" s="189" t="inlineStr">
        <is>
          <t>CHECK_VENDOR</t>
        </is>
      </c>
      <c r="N29" s="189" t="inlineStr">
        <is>
          <t>See NVD references</t>
        </is>
      </c>
      <c r="O29" s="189" t="inlineStr">
        <is>
          <t>Apply vendor patches</t>
        </is>
      </c>
      <c r="P29" s="189" t="inlineStr">
        <is>
          <t>mjdm majordomo -</t>
        </is>
      </c>
      <c r="Q29" s="189" t="inlineStr">
        <is>
          <t>P3</t>
        </is>
      </c>
      <c r="R29" s="189" t="inlineStr">
        <is>
          <t>🚨 URGENT: Apply vendor patches immediately | 🔒 Isolate affected systems if patch unavailable | 🛡️ Enable additional monitoring/IDS rules</t>
        </is>
      </c>
      <c r="S29" s="189" t="inlineStr">
        <is>
          <t>CVE - IP enrichment n/a</t>
        </is>
      </c>
      <c r="T29" s="189" t="n">
        <v>0</v>
      </c>
      <c r="U29" s="189" t="n">
        <v>0</v>
      </c>
      <c r="V29" s="189" t="inlineStr">
        <is>
          <t>T1059:Command and Scripting Interpreter | T1190:Exploit Public-Facing Application | T1210:Exploitation of Remote Services</t>
        </is>
      </c>
      <c r="W29" s="189" t="n">
        <v>1</v>
      </c>
      <c r="X29" s="189" t="inlineStr">
        <is>
          <t>LOW (40%)</t>
        </is>
      </c>
      <c r="Y29" s="189" t="inlineStr">
        <is>
          <t>UNLIKELY</t>
        </is>
      </c>
      <c r="Z29" s="189" t="inlineStr">
        <is>
          <t>CHECK_VENDOR</t>
        </is>
      </c>
      <c r="AA29" s="189" t="inlineStr">
        <is>
          <t>https://nvd.nist.gov/vuln/detail/CVE-2026-27175</t>
        </is>
      </c>
      <c r="AB29" s="189" t="inlineStr">
        <is>
          <t>NONE</t>
        </is>
      </c>
      <c r="AC29" s="189" t="n">
        <v>0</v>
      </c>
      <c r="AD29" s="189" t="inlineStr"/>
    </row>
    <row r="30">
      <c r="A30" s="187" t="inlineStr">
        <is>
          <t>CVE</t>
        </is>
      </c>
      <c r="B30" s="187" t="inlineStr">
        <is>
          <t>CVE-2026-27176</t>
        </is>
      </c>
      <c r="C30" s="187" t="inlineStr">
        <is>
          <t>MajorDoMo (aka Major Domestic Module) contains a reflected cross-site scripting (XSS) vulnerability in command.php. The $qry parameter is rendered directly into the HTML page without sanitization via htmlspecialchars(), both in an input field value attribute and in a paragraph element. An attacker can inject arbitrary JavaScript by crafting a URL with malicious content in the qry parameter.</t>
        </is>
      </c>
      <c r="D30" s="187" t="n">
        <v>6.1</v>
      </c>
      <c r="E30" s="187" t="inlineStr">
        <is>
          <t>MEDIUM</t>
        </is>
      </c>
      <c r="F30" s="187" t="n">
        <v>2</v>
      </c>
      <c r="G30" s="187" t="n">
        <v>2</v>
      </c>
      <c r="H30" s="187" t="inlineStr">
        <is>
          <t>MEDIUM</t>
        </is>
      </c>
      <c r="I30" s="187" t="n">
        <v>10.1</v>
      </c>
      <c r="J30" s="187" t="inlineStr">
        <is>
          <t>NO</t>
        </is>
      </c>
      <c r="K30" s="187" t="inlineStr">
        <is>
          <t>https://nvd.nist.gov/vuln/detail/CVE-2026-27176</t>
        </is>
      </c>
      <c r="L30" s="187" t="inlineStr">
        <is>
          <t>2026-02-26 00:15</t>
        </is>
      </c>
      <c r="M30" s="187" t="inlineStr">
        <is>
          <t>CHECK_VENDOR</t>
        </is>
      </c>
      <c r="N30" s="187" t="inlineStr">
        <is>
          <t>See NVD references</t>
        </is>
      </c>
      <c r="O30" s="187" t="inlineStr">
        <is>
          <t>Apply vendor patches</t>
        </is>
      </c>
      <c r="P30" s="187" t="inlineStr">
        <is>
          <t>mjdm majordomo -</t>
        </is>
      </c>
      <c r="Q30" s="187" t="inlineStr">
        <is>
          <t>P4</t>
        </is>
      </c>
      <c r="R30" s="187" t="inlineStr">
        <is>
          <t>📅 Schedule patch deployment within 30 days | 🔍 Monitor for exploitation attempts</t>
        </is>
      </c>
      <c r="S30" s="187" t="inlineStr">
        <is>
          <t>CVE - IP enrichment n/a</t>
        </is>
      </c>
      <c r="T30" s="187" t="n">
        <v>0</v>
      </c>
      <c r="U30" s="187" t="n">
        <v>0</v>
      </c>
      <c r="V30" s="187" t="inlineStr">
        <is>
          <t>T1189:Drive-by Compromise</t>
        </is>
      </c>
      <c r="W30" s="187" t="n">
        <v>1</v>
      </c>
      <c r="X30" s="187" t="inlineStr">
        <is>
          <t>LOW (40%)</t>
        </is>
      </c>
      <c r="Y30" s="187" t="inlineStr">
        <is>
          <t>UNLIKELY</t>
        </is>
      </c>
      <c r="Z30" s="187" t="inlineStr">
        <is>
          <t>CHECK_VENDOR</t>
        </is>
      </c>
      <c r="AA30" s="187" t="inlineStr">
        <is>
          <t>https://nvd.nist.gov/vuln/detail/CVE-2026-27176</t>
        </is>
      </c>
      <c r="AB30" s="187" t="inlineStr">
        <is>
          <t>NONE</t>
        </is>
      </c>
      <c r="AC30" s="187" t="n">
        <v>0</v>
      </c>
      <c r="AD30" s="187" t="inlineStr"/>
    </row>
    <row r="31">
      <c r="A31" s="188" t="inlineStr">
        <is>
          <t>CVE</t>
        </is>
      </c>
      <c r="B31" s="188" t="inlineStr">
        <is>
          <t>CVE-2026-27177</t>
        </is>
      </c>
      <c r="C31" s="188" t="inlineStr">
        <is>
          <t>MajorDoMo (aka Major Domestic Module) contains a stored cross-site scripting (XSS) vulnerability via the /objects/?op=set endpoint, which is intentionally unauthenticated for IoT device integration. User-supplied property values are stored raw in the database without sanitization. When an administrator views the property editor in the admin panel, the stored values are rendered without escaping in both a paragraph tag (SOURCE field) and a textarea element (VALUE field). The XSS fires on page loa</t>
        </is>
      </c>
      <c r="D31" s="188" t="n">
        <v>7.2</v>
      </c>
      <c r="E31" s="188" t="inlineStr">
        <is>
          <t>HIGH</t>
        </is>
      </c>
      <c r="F31" s="188" t="n">
        <v>2</v>
      </c>
      <c r="G31" s="188" t="n">
        <v>3</v>
      </c>
      <c r="H31" s="188" t="inlineStr">
        <is>
          <t>HIGH</t>
        </is>
      </c>
      <c r="I31" s="188" t="n">
        <v>13.2</v>
      </c>
      <c r="J31" s="188" t="inlineStr">
        <is>
          <t>NO</t>
        </is>
      </c>
      <c r="K31" s="188" t="inlineStr">
        <is>
          <t>https://nvd.nist.gov/vuln/detail/CVE-2026-27177</t>
        </is>
      </c>
      <c r="L31" s="188" t="inlineStr">
        <is>
          <t>2026-02-26 00:15</t>
        </is>
      </c>
      <c r="M31" s="188" t="inlineStr">
        <is>
          <t>CHECK_VENDOR</t>
        </is>
      </c>
      <c r="N31" s="188" t="inlineStr">
        <is>
          <t>See NVD references</t>
        </is>
      </c>
      <c r="O31" s="188" t="inlineStr">
        <is>
          <t>Apply vendor patches</t>
        </is>
      </c>
      <c r="P31" s="188" t="inlineStr">
        <is>
          <t>mjdm majordomo -</t>
        </is>
      </c>
      <c r="Q31" s="188" t="inlineStr">
        <is>
          <t>P3</t>
        </is>
      </c>
      <c r="R31" s="188" t="inlineStr">
        <is>
          <t>🚨 URGENT: Apply vendor patches immediately | 🔒 Isolate affected systems if patch unavailable | 🛡️ Enable additional monitoring/IDS rules</t>
        </is>
      </c>
      <c r="S31" s="188" t="inlineStr">
        <is>
          <t>CVE - IP enrichment n/a</t>
        </is>
      </c>
      <c r="T31" s="188" t="n">
        <v>0</v>
      </c>
      <c r="U31" s="188" t="n">
        <v>0</v>
      </c>
      <c r="V31" s="188" t="inlineStr">
        <is>
          <t>T1189:Drive-by Compromise | T1190:Exploit Public-Facing Application</t>
        </is>
      </c>
      <c r="W31" s="188" t="n">
        <v>1</v>
      </c>
      <c r="X31" s="188" t="inlineStr">
        <is>
          <t>LOW (40%)</t>
        </is>
      </c>
      <c r="Y31" s="188" t="inlineStr">
        <is>
          <t>UNLIKELY</t>
        </is>
      </c>
      <c r="Z31" s="188" t="inlineStr">
        <is>
          <t>CHECK_VENDOR</t>
        </is>
      </c>
      <c r="AA31" s="188" t="inlineStr">
        <is>
          <t>https://nvd.nist.gov/vuln/detail/CVE-2026-27177</t>
        </is>
      </c>
      <c r="AB31" s="188" t="inlineStr">
        <is>
          <t>NONE</t>
        </is>
      </c>
      <c r="AC31" s="188" t="n">
        <v>0</v>
      </c>
      <c r="AD31" s="188" t="inlineStr"/>
    </row>
    <row r="32">
      <c r="A32" s="188" t="inlineStr">
        <is>
          <t>CVE</t>
        </is>
      </c>
      <c r="B32" s="188" t="inlineStr">
        <is>
          <t>CVE-2026-27178</t>
        </is>
      </c>
      <c r="C32" s="188" t="inlineStr">
        <is>
          <t>MajorDoMo (aka Major Domestic Module) contains a stored cross-site scripting (XSS) vulnerability through method parameter injection into the shoutbox. The /objects/?method= endpoint allows unauthenticated execution of stored methods with attacker-controlled parameters. Default methods such as ThisComputer.VolumeLevelChanged pass the user-supplied VALUE parameter directly into the say() function, which stores the message raw in the shouts database table without escaping. The shoutbox widget rende</t>
        </is>
      </c>
      <c r="D32" s="188" t="n">
        <v>7.2</v>
      </c>
      <c r="E32" s="188" t="inlineStr">
        <is>
          <t>HIGH</t>
        </is>
      </c>
      <c r="F32" s="188" t="n">
        <v>2</v>
      </c>
      <c r="G32" s="188" t="n">
        <v>3</v>
      </c>
      <c r="H32" s="188" t="inlineStr">
        <is>
          <t>HIGH</t>
        </is>
      </c>
      <c r="I32" s="188" t="n">
        <v>13.2</v>
      </c>
      <c r="J32" s="188" t="inlineStr">
        <is>
          <t>NO</t>
        </is>
      </c>
      <c r="K32" s="188" t="inlineStr">
        <is>
          <t>https://nvd.nist.gov/vuln/detail/CVE-2026-27178</t>
        </is>
      </c>
      <c r="L32" s="188" t="inlineStr">
        <is>
          <t>2026-02-26 00:15</t>
        </is>
      </c>
      <c r="M32" s="188" t="inlineStr">
        <is>
          <t>CHECK_VENDOR</t>
        </is>
      </c>
      <c r="N32" s="188" t="inlineStr">
        <is>
          <t>See NVD references</t>
        </is>
      </c>
      <c r="O32" s="188" t="inlineStr">
        <is>
          <t>Apply vendor patches</t>
        </is>
      </c>
      <c r="P32" s="188" t="inlineStr">
        <is>
          <t>mjdm majordomo -</t>
        </is>
      </c>
      <c r="Q32" s="188" t="inlineStr">
        <is>
          <t>P2</t>
        </is>
      </c>
      <c r="R32" s="188" t="inlineStr">
        <is>
          <t>🚨 URGENT: Apply vendor patches immediately | 🔒 Isolate affected systems if patch unavailable | 🛡️ Enable additional monitoring/IDS rules</t>
        </is>
      </c>
      <c r="S32" s="188" t="inlineStr">
        <is>
          <t>CVE - IP enrichment n/a</t>
        </is>
      </c>
      <c r="T32" s="188" t="n">
        <v>0</v>
      </c>
      <c r="U32" s="188" t="n">
        <v>0</v>
      </c>
      <c r="V32" s="188" t="inlineStr">
        <is>
          <t>T1189:Drive-by Compromise</t>
        </is>
      </c>
      <c r="W32" s="188" t="n">
        <v>2</v>
      </c>
      <c r="X32" s="188" t="inlineStr">
        <is>
          <t>HIGH (72%)</t>
        </is>
      </c>
      <c r="Y32" s="188" t="inlineStr">
        <is>
          <t>POSSIBLE</t>
        </is>
      </c>
      <c r="Z32" s="188" t="inlineStr">
        <is>
          <t>CHECK_VENDOR</t>
        </is>
      </c>
      <c r="AA32" s="188" t="inlineStr">
        <is>
          <t>https://nvd.nist.gov/vuln/detail/CVE-2026-27178</t>
        </is>
      </c>
      <c r="AB32" s="188" t="inlineStr">
        <is>
          <t>NONE</t>
        </is>
      </c>
      <c r="AC32" s="188" t="n">
        <v>3.6</v>
      </c>
      <c r="AD32" s="188" t="inlineStr"/>
    </row>
    <row r="33">
      <c r="A33" s="188" t="inlineStr">
        <is>
          <t>CVE</t>
        </is>
      </c>
      <c r="B33" s="188" t="inlineStr">
        <is>
          <t>CVE-2026-27179</t>
        </is>
      </c>
      <c r="C33" s="188" t="inlineStr">
        <is>
          <t xml:space="preserve">MajorDoMo (aka Major Domestic Module) contains an unauthenticated SQL injection vulnerability in the commands module. The commands_search.inc.php file directly interpolates the $_GET['parent'] parameter into multiple SQL queries without sanitization or parameterized queries. The commands module is loadable without authentication via the /objects/?module=commands endpoint, which includes arbitrary modules by name and calls their usual() method. Time-based blind SQL injection is exploitable using </t>
        </is>
      </c>
      <c r="D33" s="188" t="n">
        <v>8.199999999999999</v>
      </c>
      <c r="E33" s="188" t="inlineStr">
        <is>
          <t>HIGH</t>
        </is>
      </c>
      <c r="F33" s="188" t="n">
        <v>2</v>
      </c>
      <c r="G33" s="188" t="n">
        <v>3</v>
      </c>
      <c r="H33" s="188" t="inlineStr">
        <is>
          <t>HIGH</t>
        </is>
      </c>
      <c r="I33" s="188" t="n">
        <v>14.2</v>
      </c>
      <c r="J33" s="188" t="inlineStr">
        <is>
          <t>NO</t>
        </is>
      </c>
      <c r="K33" s="188" t="inlineStr">
        <is>
          <t>https://nvd.nist.gov/vuln/detail/CVE-2026-27179</t>
        </is>
      </c>
      <c r="L33" s="188" t="inlineStr">
        <is>
          <t>2026-02-26 00:15</t>
        </is>
      </c>
      <c r="M33" s="188" t="inlineStr">
        <is>
          <t>CHECK_VENDOR</t>
        </is>
      </c>
      <c r="N33" s="188" t="inlineStr">
        <is>
          <t>See NVD references</t>
        </is>
      </c>
      <c r="O33" s="188" t="inlineStr">
        <is>
          <t>Apply vendor patches</t>
        </is>
      </c>
      <c r="P33" s="188" t="inlineStr">
        <is>
          <t>mjdm majordomo -</t>
        </is>
      </c>
      <c r="Q33" s="188" t="inlineStr">
        <is>
          <t>P3</t>
        </is>
      </c>
      <c r="R33" s="188" t="inlineStr">
        <is>
          <t>🚨 URGENT: Apply vendor patches immediately | 🔒 Isolate affected systems if patch unavailable | 🛡️ Enable additional monitoring/IDS rules</t>
        </is>
      </c>
      <c r="S33" s="188" t="inlineStr">
        <is>
          <t>CVE - IP enrichment n/a</t>
        </is>
      </c>
      <c r="T33" s="188" t="n">
        <v>0</v>
      </c>
      <c r="U33" s="188" t="n">
        <v>0</v>
      </c>
      <c r="V33" s="188" t="inlineStr">
        <is>
          <t>T1190:Exploit Public-Facing Application | T1552:Unsecured Credentials</t>
        </is>
      </c>
      <c r="W33" s="188" t="n">
        <v>1</v>
      </c>
      <c r="X33" s="188" t="inlineStr">
        <is>
          <t>LOW (40%)</t>
        </is>
      </c>
      <c r="Y33" s="188" t="inlineStr">
        <is>
          <t>UNLIKELY</t>
        </is>
      </c>
      <c r="Z33" s="188" t="inlineStr">
        <is>
          <t>CHECK_VENDOR</t>
        </is>
      </c>
      <c r="AA33" s="188" t="inlineStr">
        <is>
          <t>https://nvd.nist.gov/vuln/detail/CVE-2026-27179</t>
        </is>
      </c>
      <c r="AB33" s="188" t="inlineStr">
        <is>
          <t>NONE</t>
        </is>
      </c>
      <c r="AC33" s="188" t="n">
        <v>0</v>
      </c>
      <c r="AD33" s="188" t="inlineStr"/>
    </row>
    <row r="34">
      <c r="A34" s="189" t="inlineStr">
        <is>
          <t>CVE</t>
        </is>
      </c>
      <c r="B34" s="189" t="inlineStr">
        <is>
          <t>CVE-2026-27180</t>
        </is>
      </c>
      <c r="C34" s="189" t="inlineStr">
        <is>
          <t>MajorDoMo (aka Major Domestic Module) is vulnerable to unauthenticated remote code execution through supply chain compromise via update URL poisoning. The saverestore module exposes its admin() method through the /objects/?module=saverestore endpoint without authentication because it uses gr('mode') (which reads directly from $_REQUEST) instead of the framework's $this-&gt;mode. An attacker can poison the system update URL via the auto_update_settings mode handler, then trigger the force_update han</t>
        </is>
      </c>
      <c r="D34" s="189" t="n">
        <v>9.800000000000001</v>
      </c>
      <c r="E34" s="189" t="inlineStr">
        <is>
          <t>CRITICAL</t>
        </is>
      </c>
      <c r="F34" s="189" t="n">
        <v>3</v>
      </c>
      <c r="G34" s="189" t="n">
        <v>3</v>
      </c>
      <c r="H34" s="189" t="inlineStr">
        <is>
          <t>CRITICAL</t>
        </is>
      </c>
      <c r="I34" s="189" t="n">
        <v>18.8</v>
      </c>
      <c r="J34" s="189" t="inlineStr">
        <is>
          <t>NO</t>
        </is>
      </c>
      <c r="K34" s="189" t="inlineStr">
        <is>
          <t>https://nvd.nist.gov/vuln/detail/CVE-2026-27180</t>
        </is>
      </c>
      <c r="L34" s="189" t="inlineStr">
        <is>
          <t>2026-02-26 00:15</t>
        </is>
      </c>
      <c r="M34" s="189" t="inlineStr">
        <is>
          <t>CHECK_VENDOR</t>
        </is>
      </c>
      <c r="N34" s="189" t="inlineStr">
        <is>
          <t>See NVD references</t>
        </is>
      </c>
      <c r="O34" s="189" t="inlineStr">
        <is>
          <t>Apply vendor patches</t>
        </is>
      </c>
      <c r="P34" s="189" t="inlineStr">
        <is>
          <t>mjdm majordomo -</t>
        </is>
      </c>
      <c r="Q34" s="189" t="inlineStr">
        <is>
          <t>P2</t>
        </is>
      </c>
      <c r="R34" s="189" t="inlineStr">
        <is>
          <t>🚨 URGENT: Apply vendor patches immediately | 🔒 Isolate affected systems if patch unavailable | 🛡️ Enable additional monitoring/IDS rules</t>
        </is>
      </c>
      <c r="S34" s="189" t="inlineStr">
        <is>
          <t>CVE - IP enrichment n/a</t>
        </is>
      </c>
      <c r="T34" s="189" t="n">
        <v>0</v>
      </c>
      <c r="U34" s="189" t="n">
        <v>0</v>
      </c>
      <c r="V34" s="189" t="inlineStr">
        <is>
          <t>T1190:Exploit Public-Facing Application | T1210:Exploitation of Remote Services</t>
        </is>
      </c>
      <c r="W34" s="189" t="n">
        <v>2</v>
      </c>
      <c r="X34" s="189" t="inlineStr">
        <is>
          <t>HIGH (72%)</t>
        </is>
      </c>
      <c r="Y34" s="189" t="inlineStr">
        <is>
          <t>CONFIRMED</t>
        </is>
      </c>
      <c r="Z34" s="189" t="inlineStr">
        <is>
          <t>CHECK_VENDOR</t>
        </is>
      </c>
      <c r="AA34" s="189" t="inlineStr">
        <is>
          <t>https://nvd.nist.gov/vuln/detail/CVE-2026-27180</t>
        </is>
      </c>
      <c r="AB34" s="189" t="inlineStr">
        <is>
          <t>NONE</t>
        </is>
      </c>
      <c r="AC34" s="189" t="n">
        <v>4.9</v>
      </c>
      <c r="AD34" s="189" t="inlineStr"/>
    </row>
    <row r="35">
      <c r="A35" s="188" t="inlineStr">
        <is>
          <t>CVE</t>
        </is>
      </c>
      <c r="B35" s="188" t="inlineStr">
        <is>
          <t>CVE-2026-27181</t>
        </is>
      </c>
      <c r="C35" s="188" t="inlineStr">
        <is>
          <t>MajorDoMo (aka Major Domestic Module) allows unauthenticated arbitrary module uninstallation through the market module. The market module's admin() method reads gr('mode') from $_REQUEST and assigns it to $this-&gt;mode at the start of execution, making all mode-gated code paths reachable without authentication via the /objects/?module=market endpoint. The uninstall mode handler calls uninstallPlugin(), which deletes module records from the database, executes the module's uninstall() method via eva</t>
        </is>
      </c>
      <c r="D35" s="188" t="n">
        <v>7.5</v>
      </c>
      <c r="E35" s="188" t="inlineStr">
        <is>
          <t>HIGH</t>
        </is>
      </c>
      <c r="F35" s="188" t="n">
        <v>2</v>
      </c>
      <c r="G35" s="188" t="n">
        <v>3</v>
      </c>
      <c r="H35" s="188" t="inlineStr">
        <is>
          <t>HIGH</t>
        </is>
      </c>
      <c r="I35" s="188" t="n">
        <v>13.5</v>
      </c>
      <c r="J35" s="188" t="inlineStr">
        <is>
          <t>NO</t>
        </is>
      </c>
      <c r="K35" s="188" t="inlineStr">
        <is>
          <t>https://nvd.nist.gov/vuln/detail/CVE-2026-27181</t>
        </is>
      </c>
      <c r="L35" s="188" t="inlineStr">
        <is>
          <t>2026-02-26 00:15</t>
        </is>
      </c>
      <c r="M35" s="188" t="inlineStr">
        <is>
          <t>CHECK_VENDOR</t>
        </is>
      </c>
      <c r="N35" s="188" t="inlineStr">
        <is>
          <t>See NVD references</t>
        </is>
      </c>
      <c r="O35" s="188" t="inlineStr">
        <is>
          <t>Apply vendor patches</t>
        </is>
      </c>
      <c r="P35" s="188" t="inlineStr">
        <is>
          <t>mjdm majordomo -</t>
        </is>
      </c>
      <c r="Q35" s="188" t="inlineStr">
        <is>
          <t>P2</t>
        </is>
      </c>
      <c r="R35" s="188" t="inlineStr">
        <is>
          <t>🚨 URGENT: Apply vendor patches immediately | 🔒 Isolate affected systems if patch unavailable | 🛡️ Enable additional monitoring/IDS rules</t>
        </is>
      </c>
      <c r="S35" s="188" t="inlineStr">
        <is>
          <t>CVE - IP enrichment n/a</t>
        </is>
      </c>
      <c r="T35" s="188" t="n">
        <v>0</v>
      </c>
      <c r="U35" s="188" t="n">
        <v>0</v>
      </c>
      <c r="V35" s="188" t="inlineStr">
        <is>
          <t>T1190:Exploit Public-Facing Application</t>
        </is>
      </c>
      <c r="W35" s="188" t="n">
        <v>2</v>
      </c>
      <c r="X35" s="188" t="inlineStr">
        <is>
          <t>HIGH (72%)</t>
        </is>
      </c>
      <c r="Y35" s="188" t="inlineStr">
        <is>
          <t>POSSIBLE</t>
        </is>
      </c>
      <c r="Z35" s="188" t="inlineStr">
        <is>
          <t>CHECK_VENDOR</t>
        </is>
      </c>
      <c r="AA35" s="188" t="inlineStr">
        <is>
          <t>https://nvd.nist.gov/vuln/detail/CVE-2026-27181</t>
        </is>
      </c>
      <c r="AB35" s="188" t="inlineStr">
        <is>
          <t>NONE</t>
        </is>
      </c>
      <c r="AC35" s="188" t="n">
        <v>3.75</v>
      </c>
      <c r="AD35" s="188" t="inlineStr"/>
    </row>
    <row r="36">
      <c r="A36" s="188" t="inlineStr">
        <is>
          <t>CVE</t>
        </is>
      </c>
      <c r="B36" s="188" t="inlineStr">
        <is>
          <t>CVE-2026-27182</t>
        </is>
      </c>
      <c r="C36" s="188" t="inlineStr">
        <is>
          <t>Saturn Remote Mouse Server contains a command injection vulnerability that allows unauthenticated attackers to execute arbitrary commands by sending specially crafted UDP JSON frames to port 27000. Attackers on the local network can send malformed packets with unsanitized command data that the service forwards directly to OS execution functions, enabling remote code execution under the service account.</t>
        </is>
      </c>
      <c r="D36" s="188" t="n">
        <v>8.4</v>
      </c>
      <c r="E36" s="188" t="inlineStr">
        <is>
          <t>HIGH</t>
        </is>
      </c>
      <c r="F36" s="188" t="n">
        <v>3</v>
      </c>
      <c r="G36" s="188" t="n">
        <v>3</v>
      </c>
      <c r="H36" s="188" t="inlineStr">
        <is>
          <t>CRITICAL</t>
        </is>
      </c>
      <c r="I36" s="188" t="n">
        <v>17.4</v>
      </c>
      <c r="J36" s="188" t="inlineStr">
        <is>
          <t>NO</t>
        </is>
      </c>
      <c r="K36" s="188" t="inlineStr">
        <is>
          <t>https://nvd.nist.gov/vuln/detail/CVE-2026-27182</t>
        </is>
      </c>
      <c r="L36" s="188" t="inlineStr">
        <is>
          <t>2026-02-26 00:15</t>
        </is>
      </c>
      <c r="M36" s="188" t="inlineStr">
        <is>
          <t>CHECK_VENDOR</t>
        </is>
      </c>
      <c r="N36" s="188" t="inlineStr">
        <is>
          <t>See NVD references</t>
        </is>
      </c>
      <c r="O36" s="188" t="inlineStr">
        <is>
          <t>Apply vendor patches</t>
        </is>
      </c>
      <c r="P36" s="188" t="inlineStr">
        <is>
          <t>See CVE details</t>
        </is>
      </c>
      <c r="Q36" s="188" t="inlineStr">
        <is>
          <t>P2</t>
        </is>
      </c>
      <c r="R36" s="188" t="inlineStr">
        <is>
          <t>🚨 URGENT: Apply vendor patches immediately | 🔒 Isolate affected systems if patch unavailable | 🛡️ Enable additional monitoring/IDS rules</t>
        </is>
      </c>
      <c r="S36" s="188" t="inlineStr">
        <is>
          <t>CVE - IP enrichment n/a</t>
        </is>
      </c>
      <c r="T36" s="188" t="n">
        <v>0</v>
      </c>
      <c r="U36" s="188" t="n">
        <v>0</v>
      </c>
      <c r="V36" s="188" t="inlineStr">
        <is>
          <t>T1078:Valid Accounts | T1190:Exploit Public-Facing Application | T1210:Exploitation of Remote Services</t>
        </is>
      </c>
      <c r="W36" s="188" t="n">
        <v>2</v>
      </c>
      <c r="X36" s="188" t="inlineStr">
        <is>
          <t>HIGH (72%)</t>
        </is>
      </c>
      <c r="Y36" s="188" t="inlineStr">
        <is>
          <t>CONFIRMED</t>
        </is>
      </c>
      <c r="Z36" s="188" t="inlineStr">
        <is>
          <t>CHECK_VENDOR</t>
        </is>
      </c>
      <c r="AA36" s="188" t="inlineStr">
        <is>
          <t>https://nvd.nist.gov/vuln/detail/CVE-2026-27182</t>
        </is>
      </c>
      <c r="AB36" s="188" t="inlineStr">
        <is>
          <t>NONE</t>
        </is>
      </c>
      <c r="AC36" s="188" t="n">
        <v>4.2</v>
      </c>
      <c r="AD36" s="188" t="inlineStr"/>
    </row>
    <row r="37">
      <c r="A37" s="188" t="inlineStr">
        <is>
          <t>CVE</t>
        </is>
      </c>
      <c r="B37" s="188" t="inlineStr">
        <is>
          <t>CVE-2026-2648</t>
        </is>
      </c>
      <c r="C37" s="188" t="inlineStr">
        <is>
          <t>Heap buffer overflow in PDFium in Google Chrome prior to 145.0.7632.109 allowed a remote attacker to perform an out of bounds memory write via a crafted PDF file. (Chromium security severity: High)</t>
        </is>
      </c>
      <c r="D37" s="188" t="n">
        <v>8.800000000000001</v>
      </c>
      <c r="E37" s="188" t="inlineStr">
        <is>
          <t>HIGH</t>
        </is>
      </c>
      <c r="F37" s="188" t="n">
        <v>3</v>
      </c>
      <c r="G37" s="188" t="n">
        <v>3</v>
      </c>
      <c r="H37" s="188" t="inlineStr">
        <is>
          <t>CRITICAL</t>
        </is>
      </c>
      <c r="I37" s="188" t="n">
        <v>17.8</v>
      </c>
      <c r="J37" s="188" t="inlineStr">
        <is>
          <t>NO</t>
        </is>
      </c>
      <c r="K37" s="188" t="inlineStr">
        <is>
          <t>https://nvd.nist.gov/vuln/detail/CVE-2026-2648</t>
        </is>
      </c>
      <c r="L37" s="188" t="inlineStr">
        <is>
          <t>2026-02-26 00:15</t>
        </is>
      </c>
      <c r="M37" s="188" t="inlineStr">
        <is>
          <t>CHECK_VENDOR</t>
        </is>
      </c>
      <c r="N37" s="188" t="inlineStr">
        <is>
          <t>See NVD references</t>
        </is>
      </c>
      <c r="O37" s="188" t="inlineStr">
        <is>
          <t>Apply vendor patches</t>
        </is>
      </c>
      <c r="P37" s="188" t="inlineStr">
        <is>
          <t>google chrome *</t>
        </is>
      </c>
      <c r="Q37" s="188" t="inlineStr">
        <is>
          <t>P2</t>
        </is>
      </c>
      <c r="R37" s="188" t="inlineStr">
        <is>
          <t>🚨 URGENT: Apply vendor patches immediately | 🔒 Isolate affected systems if patch unavailable | 🛡️ Enable additional monitoring/IDS rules</t>
        </is>
      </c>
      <c r="S37" s="188" t="inlineStr">
        <is>
          <t>CVE - IP enrichment n/a</t>
        </is>
      </c>
      <c r="T37" s="188" t="n">
        <v>0.0009</v>
      </c>
      <c r="U37" s="188" t="n">
        <v>0.2596</v>
      </c>
      <c r="V37" s="188" t="inlineStr">
        <is>
          <t>T1203:Exploitation for Client Execution</t>
        </is>
      </c>
      <c r="W37" s="188" t="n">
        <v>2</v>
      </c>
      <c r="X37" s="188" t="inlineStr">
        <is>
          <t>HIGH (72%)</t>
        </is>
      </c>
      <c r="Y37" s="188" t="inlineStr">
        <is>
          <t>CONFIRMED</t>
        </is>
      </c>
      <c r="Z37" s="188" t="inlineStr">
        <is>
          <t>CHECK_VENDOR</t>
        </is>
      </c>
      <c r="AA37" s="188" t="inlineStr">
        <is>
          <t>https://nvd.nist.gov/vuln/detail/CVE-2026-2648</t>
        </is>
      </c>
      <c r="AB37" s="188" t="inlineStr">
        <is>
          <t>NONE</t>
        </is>
      </c>
      <c r="AC37" s="188" t="n">
        <v>4.4</v>
      </c>
      <c r="AD37" s="188" t="inlineStr"/>
    </row>
    <row r="38">
      <c r="A38" s="188" t="inlineStr">
        <is>
          <t>CVE</t>
        </is>
      </c>
      <c r="B38" s="188" t="inlineStr">
        <is>
          <t>CVE-2026-2649</t>
        </is>
      </c>
      <c r="C38" s="188" t="inlineStr">
        <is>
          <t>Integer overflow in V8 in Google Chrome prior to 145.0.7632.109 allowed a remote attacker to potentially exploit heap corruption via a crafted HTML page. (Chromium security severity: High)</t>
        </is>
      </c>
      <c r="D38" s="188" t="n">
        <v>8.800000000000001</v>
      </c>
      <c r="E38" s="188" t="inlineStr">
        <is>
          <t>HIGH</t>
        </is>
      </c>
      <c r="F38" s="188" t="n">
        <v>2</v>
      </c>
      <c r="G38" s="188" t="n">
        <v>3</v>
      </c>
      <c r="H38" s="188" t="inlineStr">
        <is>
          <t>HIGH</t>
        </is>
      </c>
      <c r="I38" s="188" t="n">
        <v>14.8</v>
      </c>
      <c r="J38" s="188" t="inlineStr">
        <is>
          <t>NO</t>
        </is>
      </c>
      <c r="K38" s="188" t="inlineStr">
        <is>
          <t>https://nvd.nist.gov/vuln/detail/CVE-2026-2649</t>
        </is>
      </c>
      <c r="L38" s="188" t="inlineStr">
        <is>
          <t>2026-02-26 00:15</t>
        </is>
      </c>
      <c r="M38" s="188" t="inlineStr">
        <is>
          <t>CHECK_VENDOR</t>
        </is>
      </c>
      <c r="N38" s="188" t="inlineStr">
        <is>
          <t>See NVD references</t>
        </is>
      </c>
      <c r="O38" s="188" t="inlineStr">
        <is>
          <t>Apply vendor patches</t>
        </is>
      </c>
      <c r="P38" s="188" t="inlineStr">
        <is>
          <t>google chrome *</t>
        </is>
      </c>
      <c r="Q38" s="188" t="inlineStr">
        <is>
          <t>P3</t>
        </is>
      </c>
      <c r="R38" s="188" t="inlineStr">
        <is>
          <t>🚨 URGENT: Apply vendor patches immediately | 🔒 Isolate affected systems if patch unavailable | 🛡️ Enable additional monitoring/IDS rules</t>
        </is>
      </c>
      <c r="S38" s="188" t="inlineStr">
        <is>
          <t>CVE - IP enrichment n/a</t>
        </is>
      </c>
      <c r="T38" s="188" t="n">
        <v>0</v>
      </c>
      <c r="U38" s="188" t="n">
        <v>0</v>
      </c>
      <c r="V38" s="188" t="inlineStr">
        <is>
          <t>T1203:Exploitation for Client Execution</t>
        </is>
      </c>
      <c r="W38" s="188" t="n">
        <v>1</v>
      </c>
      <c r="X38" s="188" t="inlineStr">
        <is>
          <t>LOW (40%)</t>
        </is>
      </c>
      <c r="Y38" s="188" t="inlineStr">
        <is>
          <t>UNLIKELY</t>
        </is>
      </c>
      <c r="Z38" s="188" t="inlineStr">
        <is>
          <t>CHECK_VENDOR</t>
        </is>
      </c>
      <c r="AA38" s="188" t="inlineStr">
        <is>
          <t>https://nvd.nist.gov/vuln/detail/CVE-2026-2649</t>
        </is>
      </c>
      <c r="AB38" s="188" t="inlineStr">
        <is>
          <t>NONE</t>
        </is>
      </c>
      <c r="AC38" s="188" t="n">
        <v>0</v>
      </c>
      <c r="AD38" s="188" t="inlineStr"/>
    </row>
    <row r="39">
      <c r="A39" s="188" t="inlineStr">
        <is>
          <t>CVE</t>
        </is>
      </c>
      <c r="B39" s="188" t="inlineStr">
        <is>
          <t>CVE-2026-2650</t>
        </is>
      </c>
      <c r="C39" s="188" t="inlineStr">
        <is>
          <t>Heap buffer overflow in Media in Google Chrome prior to 145.0.7632.109 allowed a remote attacker to potentially exploit heap corruption via a crafted HTML page. (Chromium security severity: Medium)</t>
        </is>
      </c>
      <c r="D39" s="188" t="n">
        <v>8.800000000000001</v>
      </c>
      <c r="E39" s="188" t="inlineStr">
        <is>
          <t>HIGH</t>
        </is>
      </c>
      <c r="F39" s="188" t="n">
        <v>3</v>
      </c>
      <c r="G39" s="188" t="n">
        <v>3</v>
      </c>
      <c r="H39" s="188" t="inlineStr">
        <is>
          <t>CRITICAL</t>
        </is>
      </c>
      <c r="I39" s="188" t="n">
        <v>17.8</v>
      </c>
      <c r="J39" s="188" t="inlineStr">
        <is>
          <t>NO</t>
        </is>
      </c>
      <c r="K39" s="188" t="inlineStr">
        <is>
          <t>https://nvd.nist.gov/vuln/detail/CVE-2026-2650</t>
        </is>
      </c>
      <c r="L39" s="188" t="inlineStr">
        <is>
          <t>2026-02-26 00:15</t>
        </is>
      </c>
      <c r="M39" s="188" t="inlineStr">
        <is>
          <t>CHECK_VENDOR</t>
        </is>
      </c>
      <c r="N39" s="188" t="inlineStr">
        <is>
          <t>See NVD references</t>
        </is>
      </c>
      <c r="O39" s="188" t="inlineStr">
        <is>
          <t>Apply vendor patches</t>
        </is>
      </c>
      <c r="P39" s="188" t="inlineStr">
        <is>
          <t>google chrome *</t>
        </is>
      </c>
      <c r="Q39" s="188" t="inlineStr">
        <is>
          <t>P2</t>
        </is>
      </c>
      <c r="R39" s="188" t="inlineStr">
        <is>
          <t>🚨 URGENT: Apply vendor patches immediately | 🔒 Isolate affected systems if patch unavailable | 🛡️ Enable additional monitoring/IDS rules</t>
        </is>
      </c>
      <c r="S39" s="188" t="inlineStr">
        <is>
          <t>CVE - IP enrichment n/a</t>
        </is>
      </c>
      <c r="T39" s="188" t="n">
        <v>0</v>
      </c>
      <c r="U39" s="188" t="n">
        <v>0</v>
      </c>
      <c r="V39" s="188" t="inlineStr">
        <is>
          <t>T1203:Exploitation for Client Execution</t>
        </is>
      </c>
      <c r="W39" s="188" t="n">
        <v>2</v>
      </c>
      <c r="X39" s="188" t="inlineStr">
        <is>
          <t>HIGH (72%)</t>
        </is>
      </c>
      <c r="Y39" s="188" t="inlineStr">
        <is>
          <t>CONFIRMED</t>
        </is>
      </c>
      <c r="Z39" s="188" t="inlineStr">
        <is>
          <t>CHECK_VENDOR</t>
        </is>
      </c>
      <c r="AA39" s="188" t="inlineStr">
        <is>
          <t>https://nvd.nist.gov/vuln/detail/CVE-2026-2650</t>
        </is>
      </c>
      <c r="AB39" s="188" t="inlineStr">
        <is>
          <t>NONE</t>
        </is>
      </c>
      <c r="AC39" s="188" t="n">
        <v>4.4</v>
      </c>
      <c r="AD39" s="188" t="inlineStr"/>
    </row>
    <row r="40">
      <c r="A40" s="187" t="inlineStr">
        <is>
          <t>CVE</t>
        </is>
      </c>
      <c r="B40" s="187" t="inlineStr">
        <is>
          <t>CVE-2026-2669</t>
        </is>
      </c>
      <c r="C40" s="187" t="inlineStr">
        <is>
          <t>A vulnerability was determined in Rongzhitong Visual Integrated Command and Dispatch Platform up to 20260206. This impacts an unknown function of the file /dm/dispatch/user/delete of the component User Handler. This manipulation of the argument ID causes improper access controls. Remote exploitation of the attack is possible. The exploit has been publicly disclosed and may be utilized. The vendor was contacted early about this disclosure but did not respond in any way.</t>
        </is>
      </c>
      <c r="D40" s="187" t="n">
        <v>6.5</v>
      </c>
      <c r="E40" s="187" t="inlineStr">
        <is>
          <t>MEDIUM</t>
        </is>
      </c>
      <c r="F40" s="187" t="n">
        <v>2</v>
      </c>
      <c r="G40" s="187" t="n">
        <v>2</v>
      </c>
      <c r="H40" s="187" t="inlineStr">
        <is>
          <t>MEDIUM</t>
        </is>
      </c>
      <c r="I40" s="187" t="n">
        <v>10.5</v>
      </c>
      <c r="J40" s="187" t="inlineStr">
        <is>
          <t>NO</t>
        </is>
      </c>
      <c r="K40" s="187" t="inlineStr">
        <is>
          <t>https://nvd.nist.gov/vuln/detail/CVE-2026-2669</t>
        </is>
      </c>
      <c r="L40" s="187" t="inlineStr">
        <is>
          <t>2026-02-26 00:15</t>
        </is>
      </c>
      <c r="M40" s="187" t="inlineStr">
        <is>
          <t>CHECK_VENDOR</t>
        </is>
      </c>
      <c r="N40" s="187" t="inlineStr">
        <is>
          <t>See NVD references</t>
        </is>
      </c>
      <c r="O40" s="187" t="inlineStr">
        <is>
          <t>Apply vendor patches</t>
        </is>
      </c>
      <c r="P40" s="187" t="inlineStr">
        <is>
          <t>See CVE details</t>
        </is>
      </c>
      <c r="Q40" s="187" t="inlineStr">
        <is>
          <t>P4</t>
        </is>
      </c>
      <c r="R40" s="187" t="inlineStr">
        <is>
          <t>📅 Schedule patch deployment within 30 days | 🔍 Monitor for exploitation attempts</t>
        </is>
      </c>
      <c r="S40" s="187" t="inlineStr">
        <is>
          <t>CVE - IP enrichment n/a</t>
        </is>
      </c>
      <c r="T40" s="187" t="n">
        <v>0.0005</v>
      </c>
      <c r="U40" s="187" t="n">
        <v>0.1539</v>
      </c>
      <c r="V40" s="187" t="inlineStr">
        <is>
          <t>T1190:Exploit Public-Facing Application</t>
        </is>
      </c>
      <c r="W40" s="187" t="n">
        <v>1</v>
      </c>
      <c r="X40" s="187" t="inlineStr">
        <is>
          <t>LOW (40%)</t>
        </is>
      </c>
      <c r="Y40" s="187" t="inlineStr">
        <is>
          <t>UNLIKELY</t>
        </is>
      </c>
      <c r="Z40" s="187" t="inlineStr">
        <is>
          <t>CHECK_VENDOR</t>
        </is>
      </c>
      <c r="AA40" s="187" t="inlineStr">
        <is>
          <t>https://nvd.nist.gov/vuln/detail/CVE-2026-2669</t>
        </is>
      </c>
      <c r="AB40" s="187" t="inlineStr">
        <is>
          <t>NONE</t>
        </is>
      </c>
      <c r="AC40" s="187" t="n">
        <v>0</v>
      </c>
      <c r="AD40" s="187" t="inlineStr"/>
    </row>
    <row r="41">
      <c r="A41" s="188" t="inlineStr">
        <is>
          <t>CVE</t>
        </is>
      </c>
      <c r="B41" s="188" t="inlineStr">
        <is>
          <t>CVE-2026-2670</t>
        </is>
      </c>
      <c r="C41" s="188" t="inlineStr">
        <is>
          <t>A vulnerability was identified in Advantech WISE-6610 1.2.1_20251110. Affected is an unknown function of the file /cgi-bin/luci/admin/openvpn_apply of the component Background Management. Such manipulation of the argument delete_file leads to os command injection. The attack can be executed remotely. The exploit is publicly available and might be used. The vendor was contacted early about this disclosure but did not respond in any way.</t>
        </is>
      </c>
      <c r="D41" s="188" t="n">
        <v>7.2</v>
      </c>
      <c r="E41" s="188" t="inlineStr">
        <is>
          <t>HIGH</t>
        </is>
      </c>
      <c r="F41" s="188" t="n">
        <v>2</v>
      </c>
      <c r="G41" s="188" t="n">
        <v>3</v>
      </c>
      <c r="H41" s="188" t="inlineStr">
        <is>
          <t>HIGH</t>
        </is>
      </c>
      <c r="I41" s="188" t="n">
        <v>13.2</v>
      </c>
      <c r="J41" s="188" t="inlineStr">
        <is>
          <t>NO</t>
        </is>
      </c>
      <c r="K41" s="188" t="inlineStr">
        <is>
          <t>https://nvd.nist.gov/vuln/detail/CVE-2026-2670</t>
        </is>
      </c>
      <c r="L41" s="188" t="inlineStr">
        <is>
          <t>2026-02-26 00:15</t>
        </is>
      </c>
      <c r="M41" s="188" t="inlineStr">
        <is>
          <t>CHECK_VENDOR</t>
        </is>
      </c>
      <c r="N41" s="188" t="inlineStr">
        <is>
          <t>See NVD references</t>
        </is>
      </c>
      <c r="O41" s="188" t="inlineStr">
        <is>
          <t>Apply vendor patches</t>
        </is>
      </c>
      <c r="P41" s="188" t="inlineStr">
        <is>
          <t>See CVE details</t>
        </is>
      </c>
      <c r="Q41" s="188" t="inlineStr">
        <is>
          <t>P2</t>
        </is>
      </c>
      <c r="R41" s="188" t="inlineStr">
        <is>
          <t>🚨 URGENT: Apply vendor patches immediately | 🔒 Isolate affected systems if patch unavailable | 🛡️ Enable additional monitoring/IDS rules</t>
        </is>
      </c>
      <c r="S41" s="188" t="inlineStr">
        <is>
          <t>CVE - IP enrichment n/a</t>
        </is>
      </c>
      <c r="T41" s="188" t="n">
        <v>0.0017</v>
      </c>
      <c r="U41" s="188" t="n">
        <v>0.3864</v>
      </c>
      <c r="V41" s="188" t="inlineStr">
        <is>
          <t>T1059:Command and Scripting Interpreter | T1133:External Remote Services</t>
        </is>
      </c>
      <c r="W41" s="188" t="n">
        <v>2</v>
      </c>
      <c r="X41" s="188" t="inlineStr">
        <is>
          <t>HIGH (72%)</t>
        </is>
      </c>
      <c r="Y41" s="188" t="inlineStr">
        <is>
          <t>POSSIBLE</t>
        </is>
      </c>
      <c r="Z41" s="188" t="inlineStr">
        <is>
          <t>CHECK_VENDOR</t>
        </is>
      </c>
      <c r="AA41" s="188" t="inlineStr">
        <is>
          <t>https://nvd.nist.gov/vuln/detail/CVE-2026-2670</t>
        </is>
      </c>
      <c r="AB41" s="188" t="inlineStr">
        <is>
          <t>NONE</t>
        </is>
      </c>
      <c r="AC41" s="188" t="n">
        <v>3.6</v>
      </c>
      <c r="AD41" s="188" t="inlineStr"/>
    </row>
    <row r="42">
      <c r="A42" s="187" t="inlineStr">
        <is>
          <t>CVE</t>
        </is>
      </c>
      <c r="B42" s="187" t="inlineStr">
        <is>
          <t>CVE-2026-2672</t>
        </is>
      </c>
      <c r="C42" s="187" t="inlineStr">
        <is>
          <t>A security flaw has been discovered in Tsinghua Unigroup Electronic Archives System 3.2.210802(62532). Affected by this vulnerability is the function Download of the file /Search/Subject/downLoad. Performing a manipulation of the argument path results in path traversal. The attack is possible to be carried out remotely. The exploit has been released to the public and may be used for attacks. The vendor was contacted early about this disclosure but did not respond in any way.</t>
        </is>
      </c>
      <c r="D42" s="187" t="n">
        <v>4.3</v>
      </c>
      <c r="E42" s="187" t="inlineStr">
        <is>
          <t>MEDIUM</t>
        </is>
      </c>
      <c r="F42" s="187" t="n">
        <v>2</v>
      </c>
      <c r="G42" s="187" t="n">
        <v>2</v>
      </c>
      <c r="H42" s="187" t="inlineStr">
        <is>
          <t>MEDIUM</t>
        </is>
      </c>
      <c r="I42" s="187" t="n">
        <v>8.300000000000001</v>
      </c>
      <c r="J42" s="187" t="inlineStr">
        <is>
          <t>NO</t>
        </is>
      </c>
      <c r="K42" s="187" t="inlineStr">
        <is>
          <t>https://nvd.nist.gov/vuln/detail/CVE-2026-2672</t>
        </is>
      </c>
      <c r="L42" s="187" t="inlineStr">
        <is>
          <t>2026-02-26 00:15</t>
        </is>
      </c>
      <c r="M42" s="187" t="inlineStr">
        <is>
          <t>CHECK_VENDOR</t>
        </is>
      </c>
      <c r="N42" s="187" t="inlineStr">
        <is>
          <t>See NVD references</t>
        </is>
      </c>
      <c r="O42" s="187" t="inlineStr">
        <is>
          <t>Apply vendor patches</t>
        </is>
      </c>
      <c r="P42" s="187" t="inlineStr">
        <is>
          <t>See CVE details</t>
        </is>
      </c>
      <c r="Q42" s="187" t="inlineStr">
        <is>
          <t>P4</t>
        </is>
      </c>
      <c r="R42" s="187" t="inlineStr">
        <is>
          <t>📅 Schedule patch deployment within 30 days | 🔍 Monitor for exploitation attempts</t>
        </is>
      </c>
      <c r="S42" s="187" t="inlineStr">
        <is>
          <t>CVE - IP enrichment n/a</t>
        </is>
      </c>
      <c r="T42" s="187" t="n">
        <v>0.0005</v>
      </c>
      <c r="U42" s="187" t="n">
        <v>0.161</v>
      </c>
      <c r="V42" s="187" t="inlineStr">
        <is>
          <t>T1083:File and Directory Discovery</t>
        </is>
      </c>
      <c r="W42" s="187" t="n">
        <v>1</v>
      </c>
      <c r="X42" s="187" t="inlineStr">
        <is>
          <t>LOW (40%)</t>
        </is>
      </c>
      <c r="Y42" s="187" t="inlineStr">
        <is>
          <t>UNLIKELY</t>
        </is>
      </c>
      <c r="Z42" s="187" t="inlineStr">
        <is>
          <t>CHECK_VENDOR</t>
        </is>
      </c>
      <c r="AA42" s="187" t="inlineStr">
        <is>
          <t>https://nvd.nist.gov/vuln/detail/CVE-2026-2672</t>
        </is>
      </c>
      <c r="AB42" s="187" t="inlineStr">
        <is>
          <t>NONE</t>
        </is>
      </c>
      <c r="AC42" s="187" t="n">
        <v>0</v>
      </c>
      <c r="AD42" s="187" t="inlineStr"/>
    </row>
    <row r="43">
      <c r="A43" s="187" t="inlineStr">
        <is>
          <t>CVE</t>
        </is>
      </c>
      <c r="B43" s="187" t="inlineStr">
        <is>
          <t>CVE-2025-12811</t>
        </is>
      </c>
      <c r="C43" s="187" t="inlineStr">
        <is>
          <t>Improper Inconsistent Interpretation of
HTTP Requests ('HTTP Request Smuggling') in Delinea Inc. Cloud Suite and
Privileged Access Service.
If you're not using the latest Server Suite agents, this fix requires that you upgrade to Server Suite 2023.1 (agent 6.0.1) or later.  *  If you cannot upgrade to Release 2023.1 (agent version 6.0.1) or later, you can choose one of the following versions:
  *  Server Suite release 2023.0.5 (agent version 6.0.0-158)
  *  Server Suite release 2022.1.10 (ag</t>
        </is>
      </c>
      <c r="D43" s="187" t="n">
        <v>5</v>
      </c>
      <c r="E43" s="187" t="inlineStr">
        <is>
          <t>MEDIUM</t>
        </is>
      </c>
      <c r="F43" s="187" t="n">
        <v>2</v>
      </c>
      <c r="G43" s="187" t="n">
        <v>2</v>
      </c>
      <c r="H43" s="187" t="inlineStr">
        <is>
          <t>MEDIUM</t>
        </is>
      </c>
      <c r="I43" s="187" t="n">
        <v>9</v>
      </c>
      <c r="J43" s="187" t="inlineStr">
        <is>
          <t>NO</t>
        </is>
      </c>
      <c r="K43" s="187" t="inlineStr">
        <is>
          <t>https://nvd.nist.gov/vuln/detail/CVE-2025-12811</t>
        </is>
      </c>
      <c r="L43" s="187" t="inlineStr">
        <is>
          <t>2026-02-26 00:15</t>
        </is>
      </c>
      <c r="M43" s="187" t="inlineStr">
        <is>
          <t>CHECK_VENDOR</t>
        </is>
      </c>
      <c r="N43" s="187" t="inlineStr">
        <is>
          <t>See NVD references</t>
        </is>
      </c>
      <c r="O43" s="187" t="inlineStr">
        <is>
          <t>Apply vendor patches</t>
        </is>
      </c>
      <c r="P43" s="187" t="inlineStr">
        <is>
          <t>See CVE details</t>
        </is>
      </c>
      <c r="Q43" s="187" t="inlineStr">
        <is>
          <t>P4</t>
        </is>
      </c>
      <c r="R43" s="187" t="inlineStr">
        <is>
          <t>📅 Schedule patch deployment within 30 days | 🔍 Monitor for exploitation attempts</t>
        </is>
      </c>
      <c r="S43" s="187" t="inlineStr">
        <is>
          <t>CVE - IP enrichment n/a</t>
        </is>
      </c>
      <c r="T43" s="187" t="n">
        <v>0</v>
      </c>
      <c r="U43" s="187" t="n">
        <v>0</v>
      </c>
      <c r="V43" s="187" t="inlineStr">
        <is>
          <t>T1190:Exploit Public-Facing Application</t>
        </is>
      </c>
      <c r="W43" s="187" t="n">
        <v>1</v>
      </c>
      <c r="X43" s="187" t="inlineStr">
        <is>
          <t>LOW (40%)</t>
        </is>
      </c>
      <c r="Y43" s="187" t="inlineStr">
        <is>
          <t>UNLIKELY</t>
        </is>
      </c>
      <c r="Z43" s="187" t="inlineStr">
        <is>
          <t>CHECK_VENDOR</t>
        </is>
      </c>
      <c r="AA43" s="187" t="inlineStr">
        <is>
          <t>https://nvd.nist.gov/vuln/detail/CVE-2025-12811</t>
        </is>
      </c>
      <c r="AB43" s="187" t="inlineStr">
        <is>
          <t>NONE</t>
        </is>
      </c>
      <c r="AC43" s="187" t="n">
        <v>0</v>
      </c>
      <c r="AD43" s="187" t="inlineStr"/>
    </row>
    <row r="44">
      <c r="A44" s="187" t="inlineStr">
        <is>
          <t>CVE</t>
        </is>
      </c>
      <c r="B44" s="187" t="inlineStr">
        <is>
          <t>CVE-2025-12812</t>
        </is>
      </c>
      <c r="C44" s="187" t="inlineStr">
        <is>
          <t>Improper Neutralization of Special Elements used in an SQL Command
('SQL Injection') in Delinea Inc. Cloud Suite and Privileged Access Service.
Remediation: This issue is fixed in Cloud Suite: 25.1</t>
        </is>
      </c>
      <c r="D44" s="187" t="n">
        <v>5</v>
      </c>
      <c r="E44" s="187" t="inlineStr">
        <is>
          <t>MEDIUM</t>
        </is>
      </c>
      <c r="F44" s="187" t="n">
        <v>2</v>
      </c>
      <c r="G44" s="187" t="n">
        <v>2</v>
      </c>
      <c r="H44" s="187" t="inlineStr">
        <is>
          <t>MEDIUM</t>
        </is>
      </c>
      <c r="I44" s="187" t="n">
        <v>9</v>
      </c>
      <c r="J44" s="187" t="inlineStr">
        <is>
          <t>NO</t>
        </is>
      </c>
      <c r="K44" s="187" t="inlineStr">
        <is>
          <t>https://nvd.nist.gov/vuln/detail/CVE-2025-12812</t>
        </is>
      </c>
      <c r="L44" s="187" t="inlineStr">
        <is>
          <t>2026-02-26 00:15</t>
        </is>
      </c>
      <c r="M44" s="187" t="inlineStr">
        <is>
          <t>CHECK_VENDOR</t>
        </is>
      </c>
      <c r="N44" s="187" t="inlineStr">
        <is>
          <t>See NVD references</t>
        </is>
      </c>
      <c r="O44" s="187" t="inlineStr">
        <is>
          <t>Apply vendor patches</t>
        </is>
      </c>
      <c r="P44" s="187" t="inlineStr">
        <is>
          <t>See CVE details</t>
        </is>
      </c>
      <c r="Q44" s="187" t="inlineStr">
        <is>
          <t>P4</t>
        </is>
      </c>
      <c r="R44" s="187" t="inlineStr">
        <is>
          <t>📅 Schedule patch deployment within 30 days | 🔍 Monitor for exploitation attempts</t>
        </is>
      </c>
      <c r="S44" s="187" t="inlineStr">
        <is>
          <t>CVE - IP enrichment n/a</t>
        </is>
      </c>
      <c r="T44" s="187" t="n">
        <v>0</v>
      </c>
      <c r="U44" s="187" t="n">
        <v>0</v>
      </c>
      <c r="V44" s="187" t="inlineStr">
        <is>
          <t>T1190:Exploit Public-Facing Application</t>
        </is>
      </c>
      <c r="W44" s="187" t="n">
        <v>1</v>
      </c>
      <c r="X44" s="187" t="inlineStr">
        <is>
          <t>LOW (40%)</t>
        </is>
      </c>
      <c r="Y44" s="187" t="inlineStr">
        <is>
          <t>UNLIKELY</t>
        </is>
      </c>
      <c r="Z44" s="187" t="inlineStr">
        <is>
          <t>CHECK_VENDOR</t>
        </is>
      </c>
      <c r="AA44" s="187" t="inlineStr">
        <is>
          <t>https://nvd.nist.gov/vuln/detail/CVE-2025-12812</t>
        </is>
      </c>
      <c r="AB44" s="187" t="inlineStr">
        <is>
          <t>NONE</t>
        </is>
      </c>
      <c r="AC44" s="187" t="n">
        <v>0</v>
      </c>
      <c r="AD44" s="187" t="inlineStr"/>
    </row>
    <row r="45">
      <c r="A45" s="187" t="inlineStr">
        <is>
          <t>CVE</t>
        </is>
      </c>
      <c r="B45" s="187" t="inlineStr">
        <is>
          <t>CVE-2025-15581</t>
        </is>
      </c>
      <c r="C45" s="187" t="inlineStr">
        <is>
          <t>Orthanc versions before 1.12.10 are affected by an authorisation logic flaw in the application's HTTP Basic Authentication implementation. 
Successful exploitation could result in Privilege Escalation, potentially allowing full administrative access.</t>
        </is>
      </c>
      <c r="D45" s="187" t="n">
        <v>5</v>
      </c>
      <c r="E45" s="187" t="inlineStr">
        <is>
          <t>MEDIUM</t>
        </is>
      </c>
      <c r="F45" s="187" t="n">
        <v>2</v>
      </c>
      <c r="G45" s="187" t="n">
        <v>2</v>
      </c>
      <c r="H45" s="187" t="inlineStr">
        <is>
          <t>MEDIUM</t>
        </is>
      </c>
      <c r="I45" s="187" t="n">
        <v>9</v>
      </c>
      <c r="J45" s="187" t="inlineStr">
        <is>
          <t>NO</t>
        </is>
      </c>
      <c r="K45" s="187" t="inlineStr">
        <is>
          <t>https://nvd.nist.gov/vuln/detail/CVE-2025-15581</t>
        </is>
      </c>
      <c r="L45" s="187" t="inlineStr">
        <is>
          <t>2026-02-26 00:15</t>
        </is>
      </c>
      <c r="M45" s="187" t="inlineStr">
        <is>
          <t>CHECK_VENDOR</t>
        </is>
      </c>
      <c r="N45" s="187" t="inlineStr">
        <is>
          <t>See NVD references</t>
        </is>
      </c>
      <c r="O45" s="187" t="inlineStr">
        <is>
          <t>Apply vendor patches</t>
        </is>
      </c>
      <c r="P45" s="187" t="inlineStr">
        <is>
          <t>See CVE details</t>
        </is>
      </c>
      <c r="Q45" s="187" t="inlineStr">
        <is>
          <t>P4</t>
        </is>
      </c>
      <c r="R45" s="187" t="inlineStr">
        <is>
          <t>📅 Schedule patch deployment within 30 days | 🔍 Monitor for exploitation attempts</t>
        </is>
      </c>
      <c r="S45" s="187" t="inlineStr">
        <is>
          <t>CVE - IP enrichment n/a</t>
        </is>
      </c>
      <c r="T45" s="187" t="n">
        <v>0</v>
      </c>
      <c r="U45" s="187" t="n">
        <v>0</v>
      </c>
      <c r="V45" s="187" t="inlineStr">
        <is>
          <t>T1078:Valid Accounts | T1110:Brute Force | T1068:Exploitation for Privilege Escalation</t>
        </is>
      </c>
      <c r="W45" s="187" t="n">
        <v>1</v>
      </c>
      <c r="X45" s="187" t="inlineStr">
        <is>
          <t>LOW (40%)</t>
        </is>
      </c>
      <c r="Y45" s="187" t="inlineStr">
        <is>
          <t>UNLIKELY</t>
        </is>
      </c>
      <c r="Z45" s="187" t="inlineStr">
        <is>
          <t>CHECK_VENDOR</t>
        </is>
      </c>
      <c r="AA45" s="187" t="inlineStr">
        <is>
          <t>https://nvd.nist.gov/vuln/detail/CVE-2025-15581</t>
        </is>
      </c>
      <c r="AB45" s="187" t="inlineStr">
        <is>
          <t>NONE</t>
        </is>
      </c>
      <c r="AC45" s="187" t="n">
        <v>0</v>
      </c>
      <c r="AD45" s="187" t="inlineStr"/>
    </row>
    <row r="46">
      <c r="A46" s="187" t="inlineStr">
        <is>
          <t>CVE</t>
        </is>
      </c>
      <c r="B46" s="187" t="inlineStr">
        <is>
          <t>CVE-2026-24745</t>
        </is>
      </c>
      <c r="C46" s="187" t="inlineStr">
        <is>
          <t>InvoicePlane is a self-hosted open source application for managing invoices, clients, and payments. A Stored Cross-Site Scripting (XSS) vulnerability occurs in the upload Login Logo functions of InvoicePlane version 1.7.0. In the Upload Login Logo, the application allows uploading svg files. Although administrator privileges are required to exploit it, this is still considered a critical vulnerability as it can cause actions such as unauthorized modification of application data, creation of pers</t>
        </is>
      </c>
      <c r="D46" s="187" t="n">
        <v>5.7</v>
      </c>
      <c r="E46" s="187" t="inlineStr">
        <is>
          <t>MEDIUM</t>
        </is>
      </c>
      <c r="F46" s="187" t="n">
        <v>2</v>
      </c>
      <c r="G46" s="187" t="n">
        <v>2</v>
      </c>
      <c r="H46" s="187" t="inlineStr">
        <is>
          <t>MEDIUM</t>
        </is>
      </c>
      <c r="I46" s="187" t="n">
        <v>9.699999999999999</v>
      </c>
      <c r="J46" s="187" t="inlineStr">
        <is>
          <t>NO</t>
        </is>
      </c>
      <c r="K46" s="187" t="inlineStr">
        <is>
          <t>https://nvd.nist.gov/vuln/detail/CVE-2026-24745</t>
        </is>
      </c>
      <c r="L46" s="187" t="inlineStr">
        <is>
          <t>2026-02-26 00:15</t>
        </is>
      </c>
      <c r="M46" s="187" t="inlineStr">
        <is>
          <t>YES</t>
        </is>
      </c>
      <c r="N46" s="187" t="inlineStr">
        <is>
          <t>https://github.com/InvoicePlane/InvoicePlane/commit/93622f2df88a860d89bfee56012cabb2942061d6 | https://github.com/InvoicePlane/InvoicePlane/security/advisories/GHSA-r9rq-f946-6x54</t>
        </is>
      </c>
      <c r="O46" s="187" t="inlineStr">
        <is>
          <t>https://github.com/InvoicePlane/InvoicePlane/security/advisories/GHSA-r9rq-f946-6x54</t>
        </is>
      </c>
      <c r="P46" s="187" t="inlineStr">
        <is>
          <t>invoiceplane invoiceplane 1.7.0</t>
        </is>
      </c>
      <c r="Q46" s="187" t="inlineStr">
        <is>
          <t>P4</t>
        </is>
      </c>
      <c r="R46" s="187" t="inlineStr">
        <is>
          <t>📅 Schedule patch deployment within 30 days | 🔍 Monitor for exploitation attempts</t>
        </is>
      </c>
      <c r="S46" s="187" t="inlineStr">
        <is>
          <t>CVE - IP enrichment n/a</t>
        </is>
      </c>
      <c r="T46" s="187" t="n">
        <v>0</v>
      </c>
      <c r="U46" s="187" t="n">
        <v>0</v>
      </c>
      <c r="V46" s="187" t="inlineStr">
        <is>
          <t>T1189:Drive-by Compromise | T1190:Exploit Public-Facing Application | T1543:Create or Modify System Process</t>
        </is>
      </c>
      <c r="W46" s="187" t="n">
        <v>1</v>
      </c>
      <c r="X46" s="187" t="inlineStr">
        <is>
          <t>LOW (40%)</t>
        </is>
      </c>
      <c r="Y46" s="187" t="inlineStr">
        <is>
          <t>UNLIKELY</t>
        </is>
      </c>
      <c r="Z46" s="187" t="inlineStr">
        <is>
          <t>PATCH_AVAILABLE</t>
        </is>
      </c>
      <c r="AA46" s="187" t="inlineStr">
        <is>
          <t>https://nvd.nist.gov/vuln/detail/CVE-2026-24745</t>
        </is>
      </c>
      <c r="AB46" s="187" t="inlineStr">
        <is>
          <t>NONE</t>
        </is>
      </c>
      <c r="AC46" s="187" t="n">
        <v>0</v>
      </c>
      <c r="AD46" s="187" t="inlineStr"/>
    </row>
    <row r="47">
      <c r="A47" s="189" t="inlineStr">
        <is>
          <t>CVE</t>
        </is>
      </c>
      <c r="B47" s="189" t="inlineStr">
        <is>
          <t>CVE-2026-25548</t>
        </is>
      </c>
      <c r="C47" s="189" t="inlineStr">
        <is>
          <t>InvoicePlane is a self-hosted open source application for managing invoices, clients, and payments. A critical Remote Code Execution (RCE) vulnerability exists in InvoicePlane 1.7.0 through a chained Local File Inclusion (LFI) and Log Poisoning attack. An authenticated administrator can execute arbitrary system commands on the server by manipulating the `public_invoice_template` setting to include poisoned log files containing PHP code. Version 1.7.1 patches the issue.</t>
        </is>
      </c>
      <c r="D47" s="189" t="n">
        <v>9.1</v>
      </c>
      <c r="E47" s="189" t="inlineStr">
        <is>
          <t>CRITICAL</t>
        </is>
      </c>
      <c r="F47" s="189" t="n">
        <v>2</v>
      </c>
      <c r="G47" s="189" t="n">
        <v>3</v>
      </c>
      <c r="H47" s="189" t="inlineStr">
        <is>
          <t>HIGH</t>
        </is>
      </c>
      <c r="I47" s="189" t="n">
        <v>15.1</v>
      </c>
      <c r="J47" s="189" t="inlineStr">
        <is>
          <t>NO</t>
        </is>
      </c>
      <c r="K47" s="189" t="inlineStr">
        <is>
          <t>https://nvd.nist.gov/vuln/detail/CVE-2026-25548</t>
        </is>
      </c>
      <c r="L47" s="189" t="inlineStr">
        <is>
          <t>2026-02-26 00:15</t>
        </is>
      </c>
      <c r="M47" s="189" t="inlineStr">
        <is>
          <t>YES</t>
        </is>
      </c>
      <c r="N47" s="189" t="inlineStr">
        <is>
          <t>https://github.com/InvoicePlane/InvoicePlane/commit/93622f2df88a860d89bfee56012cabb2942061d6 | https://github.com/InvoicePlane/InvoicePlane/security/advisories/GHSA-g6rw-m9mf-33ch</t>
        </is>
      </c>
      <c r="O47" s="189" t="inlineStr">
        <is>
          <t>Apply vendor patches</t>
        </is>
      </c>
      <c r="P47" s="189" t="inlineStr">
        <is>
          <t>invoiceplane invoiceplane *</t>
        </is>
      </c>
      <c r="Q47" s="189" t="inlineStr">
        <is>
          <t>P3</t>
        </is>
      </c>
      <c r="R47" s="189" t="inlineStr">
        <is>
          <t>🚨 URGENT: Apply vendor patches immediately | 🔒 Isolate affected systems if patch unavailable | 🛡️ Enable additional monitoring/IDS rules</t>
        </is>
      </c>
      <c r="S47" s="189" t="inlineStr">
        <is>
          <t>CVE - IP enrichment n/a</t>
        </is>
      </c>
      <c r="T47" s="189" t="n">
        <v>0.0038</v>
      </c>
      <c r="U47" s="189" t="n">
        <v>0.5885</v>
      </c>
      <c r="V47" s="189" t="inlineStr">
        <is>
          <t>T1059:Command and Scripting Interpreter | T1190:Exploit Public-Facing Application | T1210:Exploitation of Remote Services</t>
        </is>
      </c>
      <c r="W47" s="189" t="n">
        <v>1</v>
      </c>
      <c r="X47" s="189" t="inlineStr">
        <is>
          <t>LOW (40%)</t>
        </is>
      </c>
      <c r="Y47" s="189" t="inlineStr">
        <is>
          <t>UNLIKELY</t>
        </is>
      </c>
      <c r="Z47" s="189" t="inlineStr">
        <is>
          <t>PATCH_AVAILABLE</t>
        </is>
      </c>
      <c r="AA47" s="189" t="inlineStr">
        <is>
          <t>https://nvd.nist.gov/vuln/detail/CVE-2026-25548</t>
        </is>
      </c>
      <c r="AB47" s="189" t="inlineStr">
        <is>
          <t>NONE</t>
        </is>
      </c>
      <c r="AC47" s="189" t="n">
        <v>0</v>
      </c>
      <c r="AD47" s="189" t="inlineStr"/>
    </row>
    <row r="48">
      <c r="A48" s="187" t="inlineStr">
        <is>
          <t>CVE</t>
        </is>
      </c>
      <c r="B48" s="187" t="inlineStr">
        <is>
          <t>CVE-2026-25594</t>
        </is>
      </c>
      <c r="C48" s="187" t="inlineStr">
        <is>
          <t>InvoicePlane is a self-hosted open source application for managing invoices, clients, and payments. A Stored Cross-Site Scripting (XSS) vulnerability exists in InvoicePlane 1.7.0 via the Family Name field. The `family_name` value is rendered without HTML encoding inside the family dropdown on the product form. When an administrator creates a family with a malicious name, the payload executes in the browser of any administrator who visits the product form. Version 1.7.1 patches the issue.</t>
        </is>
      </c>
      <c r="D48" s="187" t="n">
        <v>4.8</v>
      </c>
      <c r="E48" s="187" t="inlineStr">
        <is>
          <t>MEDIUM</t>
        </is>
      </c>
      <c r="F48" s="187" t="n">
        <v>2</v>
      </c>
      <c r="G48" s="187" t="n">
        <v>2</v>
      </c>
      <c r="H48" s="187" t="inlineStr">
        <is>
          <t>MEDIUM</t>
        </is>
      </c>
      <c r="I48" s="187" t="n">
        <v>8.800000000000001</v>
      </c>
      <c r="J48" s="187" t="inlineStr">
        <is>
          <t>NO</t>
        </is>
      </c>
      <c r="K48" s="187" t="inlineStr">
        <is>
          <t>https://nvd.nist.gov/vuln/detail/CVE-2026-25594</t>
        </is>
      </c>
      <c r="L48" s="187" t="inlineStr">
        <is>
          <t>2026-02-26 00:15</t>
        </is>
      </c>
      <c r="M48" s="187" t="inlineStr">
        <is>
          <t>YES</t>
        </is>
      </c>
      <c r="N48" s="187" t="inlineStr">
        <is>
          <t>https://github.com/InvoicePlane/InvoicePlane/commit/93622f2df88a860d89bfee56012cabb2942061d6 | https://github.com/InvoicePlane/InvoicePlane/security/advisories/GHSA-wrr7-2f27-8h94</t>
        </is>
      </c>
      <c r="O48" s="187" t="inlineStr">
        <is>
          <t>Apply vendor patches</t>
        </is>
      </c>
      <c r="P48" s="187" t="inlineStr">
        <is>
          <t>invoiceplane invoiceplane *</t>
        </is>
      </c>
      <c r="Q48" s="187" t="inlineStr">
        <is>
          <t>P4</t>
        </is>
      </c>
      <c r="R48" s="187" t="inlineStr">
        <is>
          <t>📅 Schedule patch deployment within 30 days | 🔍 Monitor for exploitation attempts</t>
        </is>
      </c>
      <c r="S48" s="187" t="inlineStr">
        <is>
          <t>CVE - IP enrichment n/a</t>
        </is>
      </c>
      <c r="T48" s="187" t="n">
        <v>0</v>
      </c>
      <c r="U48" s="187" t="n">
        <v>0</v>
      </c>
      <c r="V48" s="187" t="inlineStr">
        <is>
          <t>T1189:Drive-by Compromise | T1190:Exploit Public-Facing Application</t>
        </is>
      </c>
      <c r="W48" s="187" t="n">
        <v>1</v>
      </c>
      <c r="X48" s="187" t="inlineStr">
        <is>
          <t>LOW (40%)</t>
        </is>
      </c>
      <c r="Y48" s="187" t="inlineStr">
        <is>
          <t>UNLIKELY</t>
        </is>
      </c>
      <c r="Z48" s="187" t="inlineStr">
        <is>
          <t>PATCH_AVAILABLE</t>
        </is>
      </c>
      <c r="AA48" s="187" t="inlineStr">
        <is>
          <t>https://nvd.nist.gov/vuln/detail/CVE-2026-25594</t>
        </is>
      </c>
      <c r="AB48" s="187" t="inlineStr">
        <is>
          <t>NONE</t>
        </is>
      </c>
      <c r="AC48" s="187" t="n">
        <v>0</v>
      </c>
      <c r="AD48" s="187" t="inlineStr"/>
    </row>
    <row r="49">
      <c r="A49" s="187" t="inlineStr">
        <is>
          <t>CVE</t>
        </is>
      </c>
      <c r="B49" s="187" t="inlineStr">
        <is>
          <t>CVE-2026-25595</t>
        </is>
      </c>
      <c r="C49" s="187" t="inlineStr">
        <is>
          <t>InvoicePlane is a self-hosted open source application for managing invoices, clients, and payments. A Stored Cross-Site Scripting (XSS) vulnerability exists in InvoicePlane 1.7.0 via the Invoice Number field. An authenticated administrator can inject malicious JavaScript that executes when any administrator views the affected invoice or visits the dashboard. Version 1.7.1 patches the issue.</t>
        </is>
      </c>
      <c r="D49" s="187" t="n">
        <v>4.8</v>
      </c>
      <c r="E49" s="187" t="inlineStr">
        <is>
          <t>MEDIUM</t>
        </is>
      </c>
      <c r="F49" s="187" t="n">
        <v>2</v>
      </c>
      <c r="G49" s="187" t="n">
        <v>2</v>
      </c>
      <c r="H49" s="187" t="inlineStr">
        <is>
          <t>MEDIUM</t>
        </is>
      </c>
      <c r="I49" s="187" t="n">
        <v>8.800000000000001</v>
      </c>
      <c r="J49" s="187" t="inlineStr">
        <is>
          <t>NO</t>
        </is>
      </c>
      <c r="K49" s="187" t="inlineStr">
        <is>
          <t>https://nvd.nist.gov/vuln/detail/CVE-2026-25595</t>
        </is>
      </c>
      <c r="L49" s="187" t="inlineStr">
        <is>
          <t>2026-02-26 00:15</t>
        </is>
      </c>
      <c r="M49" s="187" t="inlineStr">
        <is>
          <t>YES</t>
        </is>
      </c>
      <c r="N49" s="187" t="inlineStr">
        <is>
          <t>https://github.com/InvoicePlane/InvoicePlane/commit/93622f2df88a860d89bfee56012cabb2942061d6 | https://github.com/InvoicePlane/InvoicePlane/security/advisories/GHSA-xxvr-2564-6jg6</t>
        </is>
      </c>
      <c r="O49" s="187" t="inlineStr">
        <is>
          <t>Apply vendor patches</t>
        </is>
      </c>
      <c r="P49" s="187" t="inlineStr">
        <is>
          <t>invoiceplane invoiceplane *</t>
        </is>
      </c>
      <c r="Q49" s="187" t="inlineStr">
        <is>
          <t>P4</t>
        </is>
      </c>
      <c r="R49" s="187" t="inlineStr">
        <is>
          <t>📅 Schedule patch deployment within 30 days | 🔍 Monitor for exploitation attempts</t>
        </is>
      </c>
      <c r="S49" s="187" t="inlineStr">
        <is>
          <t>CVE - IP enrichment n/a</t>
        </is>
      </c>
      <c r="T49" s="187" t="n">
        <v>0</v>
      </c>
      <c r="U49" s="187" t="n">
        <v>0</v>
      </c>
      <c r="V49" s="187" t="inlineStr">
        <is>
          <t>T1189:Drive-by Compromise | T1190:Exploit Public-Facing Application</t>
        </is>
      </c>
      <c r="W49" s="187" t="n">
        <v>1</v>
      </c>
      <c r="X49" s="187" t="inlineStr">
        <is>
          <t>LOW (40%)</t>
        </is>
      </c>
      <c r="Y49" s="187" t="inlineStr">
        <is>
          <t>UNLIKELY</t>
        </is>
      </c>
      <c r="Z49" s="187" t="inlineStr">
        <is>
          <t>PATCH_AVAILABLE</t>
        </is>
      </c>
      <c r="AA49" s="187" t="inlineStr">
        <is>
          <t>https://nvd.nist.gov/vuln/detail/CVE-2026-25595</t>
        </is>
      </c>
      <c r="AB49" s="187" t="inlineStr">
        <is>
          <t>NONE</t>
        </is>
      </c>
      <c r="AC49" s="187" t="n">
        <v>0</v>
      </c>
      <c r="AD49" s="187" t="inlineStr"/>
    </row>
    <row r="50">
      <c r="A50" s="187" t="inlineStr">
        <is>
          <t>CVE</t>
        </is>
      </c>
      <c r="B50" s="187" t="inlineStr">
        <is>
          <t>CVE-2026-25596</t>
        </is>
      </c>
      <c r="C50" s="187" t="inlineStr">
        <is>
          <t>InvoicePlane is a self-hosted open source application for managing invoices, clients, and payments. A Stored Cross-Site Scripting (XSS) vulnerability exists in InvoicePlane 1.7.0 via the Product Unit Name fields. An authenticated administrator can inject malicious JavaScript that executes when any administrator views an invoice containing a product with the malicious unit. Version 1.7.1 patches the issue.</t>
        </is>
      </c>
      <c r="D50" s="187" t="n">
        <v>4.8</v>
      </c>
      <c r="E50" s="187" t="inlineStr">
        <is>
          <t>MEDIUM</t>
        </is>
      </c>
      <c r="F50" s="187" t="n">
        <v>2</v>
      </c>
      <c r="G50" s="187" t="n">
        <v>2</v>
      </c>
      <c r="H50" s="187" t="inlineStr">
        <is>
          <t>MEDIUM</t>
        </is>
      </c>
      <c r="I50" s="187" t="n">
        <v>8.800000000000001</v>
      </c>
      <c r="J50" s="187" t="inlineStr">
        <is>
          <t>NO</t>
        </is>
      </c>
      <c r="K50" s="187" t="inlineStr">
        <is>
          <t>https://nvd.nist.gov/vuln/detail/CVE-2026-25596</t>
        </is>
      </c>
      <c r="L50" s="187" t="inlineStr">
        <is>
          <t>2026-02-26 00:15</t>
        </is>
      </c>
      <c r="M50" s="187" t="inlineStr">
        <is>
          <t>YES</t>
        </is>
      </c>
      <c r="N50" s="187" t="inlineStr">
        <is>
          <t>https://github.com/InvoicePlane/InvoicePlane/commit/93622f2df88a860d89bfee56012cabb2942061d6 | https://github.com/InvoicePlane/InvoicePlane/security/advisories/GHSA-3wjq-822q-98f4</t>
        </is>
      </c>
      <c r="O50" s="187" t="inlineStr">
        <is>
          <t>Apply vendor patches</t>
        </is>
      </c>
      <c r="P50" s="187" t="inlineStr">
        <is>
          <t>invoiceplane invoiceplane *</t>
        </is>
      </c>
      <c r="Q50" s="187" t="inlineStr">
        <is>
          <t>P4</t>
        </is>
      </c>
      <c r="R50" s="187" t="inlineStr">
        <is>
          <t>📅 Schedule patch deployment within 30 days | 🔍 Monitor for exploitation attempts</t>
        </is>
      </c>
      <c r="S50" s="187" t="inlineStr">
        <is>
          <t>CVE - IP enrichment n/a</t>
        </is>
      </c>
      <c r="T50" s="187" t="n">
        <v>0</v>
      </c>
      <c r="U50" s="187" t="n">
        <v>0</v>
      </c>
      <c r="V50" s="187" t="inlineStr">
        <is>
          <t>T1189:Drive-by Compromise | T1190:Exploit Public-Facing Application</t>
        </is>
      </c>
      <c r="W50" s="187" t="n">
        <v>1</v>
      </c>
      <c r="X50" s="187" t="inlineStr">
        <is>
          <t>LOW (40%)</t>
        </is>
      </c>
      <c r="Y50" s="187" t="inlineStr">
        <is>
          <t>UNLIKELY</t>
        </is>
      </c>
      <c r="Z50" s="187" t="inlineStr">
        <is>
          <t>PATCH_AVAILABLE</t>
        </is>
      </c>
      <c r="AA50" s="187" t="inlineStr">
        <is>
          <t>https://nvd.nist.gov/vuln/detail/CVE-2026-25596</t>
        </is>
      </c>
      <c r="AB50" s="187" t="inlineStr">
        <is>
          <t>NONE</t>
        </is>
      </c>
      <c r="AC50" s="187" t="n">
        <v>0</v>
      </c>
      <c r="AD50" s="187" t="inlineStr"/>
    </row>
    <row r="51">
      <c r="A51" s="187" t="inlineStr">
        <is>
          <t>CVE</t>
        </is>
      </c>
      <c r="B51" s="187" t="inlineStr">
        <is>
          <t>CVE-2026-26270</t>
        </is>
      </c>
      <c r="C51" s="187" t="inlineStr">
        <is>
          <t>InvoicePlane is a self-hosted open source application for managing invoices, clients, and payments. A Stored Cross-Site Scripting (XSS) vulnerability exists in InvoicePlane (latest version) that allows an authenticated user with permissions to manage Invoice Groups to inject malicious JavaScript into the "Identifier Format" field. This script executes when any user views the invoice list or the main dashboard. Version 1.7.1 patches the issue.</t>
        </is>
      </c>
      <c r="D51" s="187" t="n">
        <v>5.4</v>
      </c>
      <c r="E51" s="187" t="inlineStr">
        <is>
          <t>MEDIUM</t>
        </is>
      </c>
      <c r="F51" s="187" t="n">
        <v>2</v>
      </c>
      <c r="G51" s="187" t="n">
        <v>2</v>
      </c>
      <c r="H51" s="187" t="inlineStr">
        <is>
          <t>MEDIUM</t>
        </is>
      </c>
      <c r="I51" s="187" t="n">
        <v>9.4</v>
      </c>
      <c r="J51" s="187" t="inlineStr">
        <is>
          <t>NO</t>
        </is>
      </c>
      <c r="K51" s="187" t="inlineStr">
        <is>
          <t>https://nvd.nist.gov/vuln/detail/CVE-2026-26270</t>
        </is>
      </c>
      <c r="L51" s="187" t="inlineStr">
        <is>
          <t>2026-02-26 00:15</t>
        </is>
      </c>
      <c r="M51" s="187" t="inlineStr">
        <is>
          <t>YES</t>
        </is>
      </c>
      <c r="N51" s="187" t="inlineStr">
        <is>
          <t>https://github.com/InvoicePlane/InvoicePlane/commit/93622f2df88a860d89bfee56012cabb2942061d6 | https://github.com/InvoicePlane/InvoicePlane/security/advisories/GHSA-432m-jv69-qp5j</t>
        </is>
      </c>
      <c r="O51" s="187" t="inlineStr">
        <is>
          <t>Apply vendor patches</t>
        </is>
      </c>
      <c r="P51" s="187" t="inlineStr">
        <is>
          <t>invoiceplane invoiceplane 1.7.0</t>
        </is>
      </c>
      <c r="Q51" s="187" t="inlineStr">
        <is>
          <t>P4</t>
        </is>
      </c>
      <c r="R51" s="187" t="inlineStr">
        <is>
          <t>📅 Schedule patch deployment within 30 days | 🔍 Monitor for exploitation attempts</t>
        </is>
      </c>
      <c r="S51" s="187" t="inlineStr">
        <is>
          <t>CVE - IP enrichment n/a</t>
        </is>
      </c>
      <c r="T51" s="187" t="n">
        <v>0</v>
      </c>
      <c r="U51" s="187" t="n">
        <v>0</v>
      </c>
      <c r="V51" s="187" t="inlineStr">
        <is>
          <t>T1189:Drive-by Compromise | T1190:Exploit Public-Facing Application</t>
        </is>
      </c>
      <c r="W51" s="187" t="n">
        <v>1</v>
      </c>
      <c r="X51" s="187" t="inlineStr">
        <is>
          <t>LOW (40%)</t>
        </is>
      </c>
      <c r="Y51" s="187" t="inlineStr">
        <is>
          <t>UNLIKELY</t>
        </is>
      </c>
      <c r="Z51" s="187" t="inlineStr">
        <is>
          <t>PATCH_AVAILABLE</t>
        </is>
      </c>
      <c r="AA51" s="187" t="inlineStr">
        <is>
          <t>https://nvd.nist.gov/vuln/detail/CVE-2026-26270</t>
        </is>
      </c>
      <c r="AB51" s="187" t="inlineStr">
        <is>
          <t>NONE</t>
        </is>
      </c>
      <c r="AC51" s="187" t="n">
        <v>0</v>
      </c>
      <c r="AD51" s="187" t="inlineStr"/>
    </row>
    <row r="52">
      <c r="A52" s="187" t="inlineStr">
        <is>
          <t>CVE</t>
        </is>
      </c>
      <c r="B52" s="187" t="inlineStr">
        <is>
          <t>CVE-2026-26281</t>
        </is>
      </c>
      <c r="C52" s="187" t="inlineStr">
        <is>
          <t>InvoicePlane is a self-hosted open source application for managing invoices, clients, and payments. A stored cross-site scripting (XSS) vulnerability in the Sumex invoice view allows an authenticated user with client and invoice management privileges to execute arbitrary JavaScript in the browser of any user viewing the invoice. This can lead to session hijacking, data theft, or other malicious actions on behalf of the victim user. Version 1.7.1 patches the issue.</t>
        </is>
      </c>
      <c r="D52" s="187" t="n">
        <v>4.4</v>
      </c>
      <c r="E52" s="187" t="inlineStr">
        <is>
          <t>MEDIUM</t>
        </is>
      </c>
      <c r="F52" s="187" t="n">
        <v>2</v>
      </c>
      <c r="G52" s="187" t="n">
        <v>2</v>
      </c>
      <c r="H52" s="187" t="inlineStr">
        <is>
          <t>MEDIUM</t>
        </is>
      </c>
      <c r="I52" s="187" t="n">
        <v>8.4</v>
      </c>
      <c r="J52" s="187" t="inlineStr">
        <is>
          <t>NO</t>
        </is>
      </c>
      <c r="K52" s="187" t="inlineStr">
        <is>
          <t>https://nvd.nist.gov/vuln/detail/CVE-2026-26281</t>
        </is>
      </c>
      <c r="L52" s="187" t="inlineStr">
        <is>
          <t>2026-02-26 00:15</t>
        </is>
      </c>
      <c r="M52" s="187" t="inlineStr">
        <is>
          <t>YES</t>
        </is>
      </c>
      <c r="N52" s="187" t="inlineStr">
        <is>
          <t>https://github.com/InvoicePlane/InvoicePlane/commit/93622f2df88a860d89bfee56012cabb2942061d6 | https://github.com/InvoicePlane/InvoicePlane/security/advisories/GHSA-ccpx-2v5c-cc24</t>
        </is>
      </c>
      <c r="O52" s="187" t="inlineStr">
        <is>
          <t>Apply vendor patches</t>
        </is>
      </c>
      <c r="P52" s="187" t="inlineStr">
        <is>
          <t>invoiceplane invoiceplane 1.7.0</t>
        </is>
      </c>
      <c r="Q52" s="187" t="inlineStr">
        <is>
          <t>P4</t>
        </is>
      </c>
      <c r="R52" s="187" t="inlineStr">
        <is>
          <t>📅 Schedule patch deployment within 30 days | 🔍 Monitor for exploitation attempts</t>
        </is>
      </c>
      <c r="S52" s="187" t="inlineStr">
        <is>
          <t>CVE - IP enrichment n/a</t>
        </is>
      </c>
      <c r="T52" s="187" t="n">
        <v>0</v>
      </c>
      <c r="U52" s="187" t="n">
        <v>0</v>
      </c>
      <c r="V52" s="187" t="inlineStr">
        <is>
          <t>T1189:Drive-by Compromise | T1190:Exploit Public-Facing Application</t>
        </is>
      </c>
      <c r="W52" s="187" t="n">
        <v>1</v>
      </c>
      <c r="X52" s="187" t="inlineStr">
        <is>
          <t>LOW (40%)</t>
        </is>
      </c>
      <c r="Y52" s="187" t="inlineStr">
        <is>
          <t>UNLIKELY</t>
        </is>
      </c>
      <c r="Z52" s="187" t="inlineStr">
        <is>
          <t>PATCH_AVAILABLE</t>
        </is>
      </c>
      <c r="AA52" s="187" t="inlineStr">
        <is>
          <t>https://nvd.nist.gov/vuln/detail/CVE-2026-26281</t>
        </is>
      </c>
      <c r="AB52" s="187" t="inlineStr">
        <is>
          <t>NONE</t>
        </is>
      </c>
      <c r="AC52" s="187" t="n">
        <v>0</v>
      </c>
      <c r="AD52" s="187" t="inlineStr"/>
    </row>
    <row r="53">
      <c r="A53" s="187" t="inlineStr">
        <is>
          <t>CVE</t>
        </is>
      </c>
      <c r="B53" s="187" t="inlineStr">
        <is>
          <t>CVE-2026-2676</t>
        </is>
      </c>
      <c r="C53" s="187" t="inlineStr">
        <is>
          <t>A weakness has been identified in GoogTech sms-ssm up to e8534c766fd13f5f94c01dab475d75f286918a8d. Affected by this issue is the function preHandle of the file LoginInterceptor.java of the component API Interface. Executing a manipulation can lead to improper authorization. The attack may be performed from remote. The exploit has been made available to the public and could be used for attacks. This product utilizes a rolling release system for continuous delivery, and as such, version informatio</t>
        </is>
      </c>
      <c r="D53" s="187" t="n">
        <v>6.3</v>
      </c>
      <c r="E53" s="187" t="inlineStr">
        <is>
          <t>MEDIUM</t>
        </is>
      </c>
      <c r="F53" s="187" t="n">
        <v>2</v>
      </c>
      <c r="G53" s="187" t="n">
        <v>2</v>
      </c>
      <c r="H53" s="187" t="inlineStr">
        <is>
          <t>MEDIUM</t>
        </is>
      </c>
      <c r="I53" s="187" t="n">
        <v>10.3</v>
      </c>
      <c r="J53" s="187" t="inlineStr">
        <is>
          <t>NO</t>
        </is>
      </c>
      <c r="K53" s="187" t="inlineStr">
        <is>
          <t>https://nvd.nist.gov/vuln/detail/CVE-2026-2676</t>
        </is>
      </c>
      <c r="L53" s="187" t="inlineStr">
        <is>
          <t>2026-02-26 00:15</t>
        </is>
      </c>
      <c r="M53" s="187" t="inlineStr">
        <is>
          <t>CHECK_VENDOR</t>
        </is>
      </c>
      <c r="N53" s="187" t="inlineStr">
        <is>
          <t>See NVD references</t>
        </is>
      </c>
      <c r="O53" s="187" t="inlineStr">
        <is>
          <t>Apply vendor patches</t>
        </is>
      </c>
      <c r="P53" s="187" t="inlineStr">
        <is>
          <t>See CVE details</t>
        </is>
      </c>
      <c r="Q53" s="187" t="inlineStr">
        <is>
          <t>P4</t>
        </is>
      </c>
      <c r="R53" s="187" t="inlineStr">
        <is>
          <t>📅 Schedule patch deployment within 30 days | 🔍 Monitor for exploitation attempts</t>
        </is>
      </c>
      <c r="S53" s="187" t="inlineStr">
        <is>
          <t>CVE - IP enrichment n/a</t>
        </is>
      </c>
      <c r="T53" s="187" t="n">
        <v>0.0002</v>
      </c>
      <c r="U53" s="187" t="n">
        <v>0.0324</v>
      </c>
      <c r="V53" s="187" t="inlineStr">
        <is>
          <t>T1190:Exploit Public-Facing Application</t>
        </is>
      </c>
      <c r="W53" s="187" t="n">
        <v>1</v>
      </c>
      <c r="X53" s="187" t="inlineStr">
        <is>
          <t>LOW (40%)</t>
        </is>
      </c>
      <c r="Y53" s="187" t="inlineStr">
        <is>
          <t>UNLIKELY</t>
        </is>
      </c>
      <c r="Z53" s="187" t="inlineStr">
        <is>
          <t>CHECK_VENDOR</t>
        </is>
      </c>
      <c r="AA53" s="187" t="inlineStr">
        <is>
          <t>https://nvd.nist.gov/vuln/detail/CVE-2026-2676</t>
        </is>
      </c>
      <c r="AB53" s="187" t="inlineStr">
        <is>
          <t>NONE</t>
        </is>
      </c>
      <c r="AC53" s="187" t="n">
        <v>0</v>
      </c>
      <c r="AD53" s="187" t="inlineStr"/>
    </row>
    <row r="54">
      <c r="A54" s="187" t="inlineStr">
        <is>
          <t>CVE</t>
        </is>
      </c>
      <c r="B54" s="187" t="inlineStr">
        <is>
          <t>CVE-2026-2682</t>
        </is>
      </c>
      <c r="C54" s="187" t="inlineStr">
        <is>
          <t>A vulnerability has been found in Tsinghua Unigroup Electronic Archives System up to 3.2.210802(62532). Impacted is an unknown function of the file /mine/PublicReport/prinReport.html?token=java. Such manipulation of the argument comid leads to sql injection. The attack can be launched remotely. The exploit has been disclosed to the public and may be used. The vendor was contacted early about this disclosure but did not respond in any way.</t>
        </is>
      </c>
      <c r="D54" s="187" t="n">
        <v>6.3</v>
      </c>
      <c r="E54" s="187" t="inlineStr">
        <is>
          <t>MEDIUM</t>
        </is>
      </c>
      <c r="F54" s="187" t="n">
        <v>2</v>
      </c>
      <c r="G54" s="187" t="n">
        <v>2</v>
      </c>
      <c r="H54" s="187" t="inlineStr">
        <is>
          <t>MEDIUM</t>
        </is>
      </c>
      <c r="I54" s="187" t="n">
        <v>10.3</v>
      </c>
      <c r="J54" s="187" t="inlineStr">
        <is>
          <t>NO</t>
        </is>
      </c>
      <c r="K54" s="187" t="inlineStr">
        <is>
          <t>https://nvd.nist.gov/vuln/detail/CVE-2026-2682</t>
        </is>
      </c>
      <c r="L54" s="187" t="inlineStr">
        <is>
          <t>2026-02-26 00:15</t>
        </is>
      </c>
      <c r="M54" s="187" t="inlineStr">
        <is>
          <t>CHECK_VENDOR</t>
        </is>
      </c>
      <c r="N54" s="187" t="inlineStr">
        <is>
          <t>See NVD references</t>
        </is>
      </c>
      <c r="O54" s="187" t="inlineStr">
        <is>
          <t>Apply vendor patches</t>
        </is>
      </c>
      <c r="P54" s="187" t="inlineStr">
        <is>
          <t>See CVE details</t>
        </is>
      </c>
      <c r="Q54" s="187" t="inlineStr">
        <is>
          <t>P4</t>
        </is>
      </c>
      <c r="R54" s="187" t="inlineStr">
        <is>
          <t>📅 Schedule patch deployment within 30 days | 🔍 Monitor for exploitation attempts</t>
        </is>
      </c>
      <c r="S54" s="187" t="inlineStr">
        <is>
          <t>CVE - IP enrichment n/a</t>
        </is>
      </c>
      <c r="T54" s="187" t="n">
        <v>0</v>
      </c>
      <c r="U54" s="187" t="n">
        <v>0</v>
      </c>
      <c r="V54" s="187" t="inlineStr">
        <is>
          <t>T1190:Exploit Public-Facing Application</t>
        </is>
      </c>
      <c r="W54" s="187" t="n">
        <v>1</v>
      </c>
      <c r="X54" s="187" t="inlineStr">
        <is>
          <t>LOW (40%)</t>
        </is>
      </c>
      <c r="Y54" s="187" t="inlineStr">
        <is>
          <t>UNLIKELY</t>
        </is>
      </c>
      <c r="Z54" s="187" t="inlineStr">
        <is>
          <t>CHECK_VENDOR</t>
        </is>
      </c>
      <c r="AA54" s="187" t="inlineStr">
        <is>
          <t>https://nvd.nist.gov/vuln/detail/CVE-2026-2682</t>
        </is>
      </c>
      <c r="AB54" s="187" t="inlineStr">
        <is>
          <t>NONE</t>
        </is>
      </c>
      <c r="AC54" s="187" t="n">
        <v>0</v>
      </c>
      <c r="AD54" s="187" t="inlineStr"/>
    </row>
    <row r="55">
      <c r="A55" s="187" t="inlineStr">
        <is>
          <t>CVE</t>
        </is>
      </c>
      <c r="B55" s="187" t="inlineStr">
        <is>
          <t>CVE-2026-2683</t>
        </is>
      </c>
      <c r="C55" s="187" t="inlineStr">
        <is>
          <t>A vulnerability was found in Tsinghua Unigroup Electronic Archives System 3.2.210802(62532). The affected element is an unknown function of the file /Using/Subject/downLoad.html. Performing a manipulation of the argument path results in path traversal. The attack may be initiated remotely. The exploit has been made public and could be used. The vendor was contacted early about this disclosure but did not respond in any way.</t>
        </is>
      </c>
      <c r="D55" s="187" t="n">
        <v>4.3</v>
      </c>
      <c r="E55" s="187" t="inlineStr">
        <is>
          <t>MEDIUM</t>
        </is>
      </c>
      <c r="F55" s="187" t="n">
        <v>2</v>
      </c>
      <c r="G55" s="187" t="n">
        <v>2</v>
      </c>
      <c r="H55" s="187" t="inlineStr">
        <is>
          <t>MEDIUM</t>
        </is>
      </c>
      <c r="I55" s="187" t="n">
        <v>8.300000000000001</v>
      </c>
      <c r="J55" s="187" t="inlineStr">
        <is>
          <t>NO</t>
        </is>
      </c>
      <c r="K55" s="187" t="inlineStr">
        <is>
          <t>https://nvd.nist.gov/vuln/detail/CVE-2026-2683</t>
        </is>
      </c>
      <c r="L55" s="187" t="inlineStr">
        <is>
          <t>2026-02-26 00:15</t>
        </is>
      </c>
      <c r="M55" s="187" t="inlineStr">
        <is>
          <t>CHECK_VENDOR</t>
        </is>
      </c>
      <c r="N55" s="187" t="inlineStr">
        <is>
          <t>See NVD references</t>
        </is>
      </c>
      <c r="O55" s="187" t="inlineStr">
        <is>
          <t>Apply vendor patches</t>
        </is>
      </c>
      <c r="P55" s="187" t="inlineStr">
        <is>
          <t>See CVE details</t>
        </is>
      </c>
      <c r="Q55" s="187" t="inlineStr">
        <is>
          <t>P4</t>
        </is>
      </c>
      <c r="R55" s="187" t="inlineStr">
        <is>
          <t>📅 Schedule patch deployment within 30 days | 🔍 Monitor for exploitation attempts</t>
        </is>
      </c>
      <c r="S55" s="187" t="inlineStr">
        <is>
          <t>CVE - IP enrichment n/a</t>
        </is>
      </c>
      <c r="T55" s="187" t="n">
        <v>0</v>
      </c>
      <c r="U55" s="187" t="n">
        <v>0</v>
      </c>
      <c r="V55" s="187" t="inlineStr">
        <is>
          <t>T1083:File and Directory Discovery</t>
        </is>
      </c>
      <c r="W55" s="187" t="n">
        <v>1</v>
      </c>
      <c r="X55" s="187" t="inlineStr">
        <is>
          <t>LOW (40%)</t>
        </is>
      </c>
      <c r="Y55" s="187" t="inlineStr">
        <is>
          <t>UNLIKELY</t>
        </is>
      </c>
      <c r="Z55" s="187" t="inlineStr">
        <is>
          <t>CHECK_VENDOR</t>
        </is>
      </c>
      <c r="AA55" s="187" t="inlineStr">
        <is>
          <t>https://nvd.nist.gov/vuln/detail/CVE-2026-2683</t>
        </is>
      </c>
      <c r="AB55" s="187" t="inlineStr">
        <is>
          <t>NONE</t>
        </is>
      </c>
      <c r="AC55" s="187" t="n">
        <v>0</v>
      </c>
      <c r="AD55" s="187" t="inlineStr"/>
    </row>
    <row r="56">
      <c r="A56" s="187" t="inlineStr">
        <is>
          <t>CVE</t>
        </is>
      </c>
      <c r="B56" s="187" t="inlineStr">
        <is>
          <t>CVE-2025-15585</t>
        </is>
      </c>
      <c r="C56" s="187" t="inlineStr">
        <is>
          <t>Fileflows versions before 25.05.2 are affected by an authenticated SQL injection vulnerability in the library-file search function. Successful exploitation requires the system to use MySQL as the underlying database and could result in privilege escalation or data exfiltration.</t>
        </is>
      </c>
      <c r="D56" s="187" t="n">
        <v>5</v>
      </c>
      <c r="E56" s="187" t="inlineStr">
        <is>
          <t>MEDIUM</t>
        </is>
      </c>
      <c r="F56" s="187" t="n">
        <v>2</v>
      </c>
      <c r="G56" s="187" t="n">
        <v>2</v>
      </c>
      <c r="H56" s="187" t="inlineStr">
        <is>
          <t>MEDIUM</t>
        </is>
      </c>
      <c r="I56" s="187" t="n">
        <v>9</v>
      </c>
      <c r="J56" s="187" t="inlineStr">
        <is>
          <t>NO</t>
        </is>
      </c>
      <c r="K56" s="187" t="inlineStr">
        <is>
          <t>https://nvd.nist.gov/vuln/detail/CVE-2025-15585</t>
        </is>
      </c>
      <c r="L56" s="187" t="inlineStr">
        <is>
          <t>2026-02-26 00:15</t>
        </is>
      </c>
      <c r="M56" s="187" t="inlineStr">
        <is>
          <t>CHECK_VENDOR</t>
        </is>
      </c>
      <c r="N56" s="187" t="inlineStr">
        <is>
          <t>See NVD references</t>
        </is>
      </c>
      <c r="O56" s="187" t="inlineStr">
        <is>
          <t>Apply vendor patches</t>
        </is>
      </c>
      <c r="P56" s="187" t="inlineStr">
        <is>
          <t>See CVE details</t>
        </is>
      </c>
      <c r="Q56" s="187" t="inlineStr">
        <is>
          <t>P4</t>
        </is>
      </c>
      <c r="R56" s="187" t="inlineStr">
        <is>
          <t>📅 Schedule patch deployment within 30 days | 🔍 Monitor for exploitation attempts</t>
        </is>
      </c>
      <c r="S56" s="187" t="inlineStr">
        <is>
          <t>CVE - IP enrichment n/a</t>
        </is>
      </c>
      <c r="T56" s="187" t="n">
        <v>0</v>
      </c>
      <c r="U56" s="187" t="n">
        <v>0</v>
      </c>
      <c r="V56" s="187" t="inlineStr">
        <is>
          <t>T1190:Exploit Public-Facing Application | T1068:Exploitation for Privilege Escalation | T1041:Exfiltration Over C2 Channel</t>
        </is>
      </c>
      <c r="W56" s="187" t="n">
        <v>1</v>
      </c>
      <c r="X56" s="187" t="inlineStr">
        <is>
          <t>LOW (40%)</t>
        </is>
      </c>
      <c r="Y56" s="187" t="inlineStr">
        <is>
          <t>UNLIKELY</t>
        </is>
      </c>
      <c r="Z56" s="187" t="inlineStr">
        <is>
          <t>CHECK_VENDOR</t>
        </is>
      </c>
      <c r="AA56" s="187" t="inlineStr">
        <is>
          <t>https://nvd.nist.gov/vuln/detail/CVE-2025-15585</t>
        </is>
      </c>
      <c r="AB56" s="187" t="inlineStr">
        <is>
          <t>NONE</t>
        </is>
      </c>
      <c r="AC56" s="187" t="n">
        <v>0</v>
      </c>
      <c r="AD56" s="187" t="inlineStr"/>
    </row>
    <row r="57">
      <c r="A57" s="187" t="inlineStr">
        <is>
          <t>CVE</t>
        </is>
      </c>
      <c r="B57" s="187" t="inlineStr">
        <is>
          <t>CVE-2026-24126</t>
        </is>
      </c>
      <c r="C57" s="187" t="inlineStr">
        <is>
          <t>Weblate is a web based localization tool. Prior to 5.16.0, the SSH management console did not validate the passed input while adding the SSH host key, which could lead to an argument injection to `ssh-add`. Version 5.16.0 fixes the issue. As a workaround, properly limit access to the management console.</t>
        </is>
      </c>
      <c r="D57" s="187" t="n">
        <v>6.6</v>
      </c>
      <c r="E57" s="187" t="inlineStr">
        <is>
          <t>MEDIUM</t>
        </is>
      </c>
      <c r="F57" s="187" t="n">
        <v>2</v>
      </c>
      <c r="G57" s="187" t="n">
        <v>2</v>
      </c>
      <c r="H57" s="187" t="inlineStr">
        <is>
          <t>MEDIUM</t>
        </is>
      </c>
      <c r="I57" s="187" t="n">
        <v>10.6</v>
      </c>
      <c r="J57" s="187" t="inlineStr">
        <is>
          <t>NO</t>
        </is>
      </c>
      <c r="K57" s="187" t="inlineStr">
        <is>
          <t>https://nvd.nist.gov/vuln/detail/CVE-2026-24126</t>
        </is>
      </c>
      <c r="L57" s="187" t="inlineStr">
        <is>
          <t>2026-02-26 00:15</t>
        </is>
      </c>
      <c r="M57" s="187" t="inlineStr">
        <is>
          <t>YES</t>
        </is>
      </c>
      <c r="N57" s="187" t="inlineStr">
        <is>
          <t>https://github.com/WeblateOrg/weblate/commit/78773cc141ce0a97900c11341e6cf856451395fd | https://github.com/WeblateOrg/weblate/security/advisories/GHSA-33fm-6gp7-4p47</t>
        </is>
      </c>
      <c r="O57" s="187" t="inlineStr">
        <is>
          <t>Apply vendor patches</t>
        </is>
      </c>
      <c r="P57" s="187" t="inlineStr">
        <is>
          <t>weblate weblate *</t>
        </is>
      </c>
      <c r="Q57" s="187" t="inlineStr">
        <is>
          <t>P4</t>
        </is>
      </c>
      <c r="R57" s="187" t="inlineStr">
        <is>
          <t>📅 Schedule patch deployment within 30 days | 🔍 Monitor for exploitation attempts</t>
        </is>
      </c>
      <c r="S57" s="187" t="inlineStr">
        <is>
          <t>CVE - IP enrichment n/a</t>
        </is>
      </c>
      <c r="T57" s="187" t="n">
        <v>0</v>
      </c>
      <c r="U57" s="187" t="n">
        <v>0</v>
      </c>
      <c r="V57" s="187" t="inlineStr">
        <is>
          <t>T1190:Exploit Public-Facing Application</t>
        </is>
      </c>
      <c r="W57" s="187" t="n">
        <v>1</v>
      </c>
      <c r="X57" s="187" t="inlineStr">
        <is>
          <t>LOW (40%)</t>
        </is>
      </c>
      <c r="Y57" s="187" t="inlineStr">
        <is>
          <t>UNLIKELY</t>
        </is>
      </c>
      <c r="Z57" s="187" t="inlineStr">
        <is>
          <t>PATCH_AVAILABLE</t>
        </is>
      </c>
      <c r="AA57" s="187" t="inlineStr">
        <is>
          <t>https://nvd.nist.gov/vuln/detail/CVE-2026-24126</t>
        </is>
      </c>
      <c r="AB57" s="187" t="inlineStr">
        <is>
          <t>NONE</t>
        </is>
      </c>
      <c r="AC57" s="187" t="n">
        <v>0</v>
      </c>
      <c r="AD57" s="187" t="inlineStr"/>
    </row>
    <row r="58">
      <c r="A58" s="188" t="inlineStr">
        <is>
          <t>CVE</t>
        </is>
      </c>
      <c r="B58" s="188" t="inlineStr">
        <is>
          <t>CVE-2026-25926</t>
        </is>
      </c>
      <c r="C58" s="188" t="inlineStr">
        <is>
          <t>Notepad++ is a free and open-source source code editor. An Unsafe Search Path vulnerability (CWE-426) exists in versions prior to 8.9.2 when launching Windows Explorer without an absolute executable path. This may allow execution of a malicious explorer.exe if an attacker can control the process working directory. Under certain conditions, this could lead to arbitrary code execution in the context of the running application. Version 8.9.2 patches the issue.</t>
        </is>
      </c>
      <c r="D58" s="188" t="n">
        <v>7.3</v>
      </c>
      <c r="E58" s="188" t="inlineStr">
        <is>
          <t>HIGH</t>
        </is>
      </c>
      <c r="F58" s="188" t="n">
        <v>2</v>
      </c>
      <c r="G58" s="188" t="n">
        <v>3</v>
      </c>
      <c r="H58" s="188" t="inlineStr">
        <is>
          <t>HIGH</t>
        </is>
      </c>
      <c r="I58" s="188" t="n">
        <v>13.3</v>
      </c>
      <c r="J58" s="188" t="inlineStr">
        <is>
          <t>NO</t>
        </is>
      </c>
      <c r="K58" s="188" t="inlineStr">
        <is>
          <t>https://nvd.nist.gov/vuln/detail/CVE-2026-25926</t>
        </is>
      </c>
      <c r="L58" s="188" t="inlineStr">
        <is>
          <t>2026-02-26 00:15</t>
        </is>
      </c>
      <c r="M58" s="188" t="inlineStr">
        <is>
          <t>YES</t>
        </is>
      </c>
      <c r="N58" s="188" t="inlineStr">
        <is>
          <t>https://github.com/notepad-plus-plus/notepad-plus-plus/security/advisories/GHSA-rjvm-fcxw-2jxq</t>
        </is>
      </c>
      <c r="O58" s="188" t="inlineStr">
        <is>
          <t>Apply vendor patches</t>
        </is>
      </c>
      <c r="P58" s="188" t="inlineStr">
        <is>
          <t>notepad-plus-plus notepad\+\+ *</t>
        </is>
      </c>
      <c r="Q58" s="188" t="inlineStr">
        <is>
          <t>P2</t>
        </is>
      </c>
      <c r="R58" s="188" t="inlineStr">
        <is>
          <t>🚨 URGENT: Apply vendor patches immediately | 🔒 Isolate affected systems if patch unavailable | 🛡️ Enable additional monitoring/IDS rules</t>
        </is>
      </c>
      <c r="S58" s="188" t="inlineStr">
        <is>
          <t>CVE - IP enrichment n/a</t>
        </is>
      </c>
      <c r="T58" s="188" t="n">
        <v>0</v>
      </c>
      <c r="U58" s="188" t="n">
        <v>0</v>
      </c>
      <c r="V58" s="188" t="inlineStr">
        <is>
          <t>T1190:Exploit Public-Facing Application | T1203:Exploitation for Client Execution</t>
        </is>
      </c>
      <c r="W58" s="188" t="n">
        <v>2</v>
      </c>
      <c r="X58" s="188" t="inlineStr">
        <is>
          <t>HIGH (72%)</t>
        </is>
      </c>
      <c r="Y58" s="188" t="inlineStr">
        <is>
          <t>POSSIBLE</t>
        </is>
      </c>
      <c r="Z58" s="188" t="inlineStr">
        <is>
          <t>PATCH_AVAILABLE</t>
        </is>
      </c>
      <c r="AA58" s="188" t="inlineStr">
        <is>
          <t>https://nvd.nist.gov/vuln/detail/CVE-2026-25926</t>
        </is>
      </c>
      <c r="AB58" s="188" t="inlineStr">
        <is>
          <t>NONE</t>
        </is>
      </c>
      <c r="AC58" s="188" t="n">
        <v>3.65</v>
      </c>
      <c r="AD58" s="188" t="inlineStr"/>
    </row>
    <row r="59">
      <c r="A59" s="188" t="inlineStr">
        <is>
          <t>CVE</t>
        </is>
      </c>
      <c r="B59" s="188" t="inlineStr">
        <is>
          <t>CVE-2026-2684</t>
        </is>
      </c>
      <c r="C59" s="188" t="inlineStr">
        <is>
          <t>A vulnerability was determined in Tsinghua Unigroup Electronic Archives System up to 3.2.210802(62532). The impacted element is an unknown function of the file /Archive/ErecordManage/uploadFile.html. Executing a manipulation of the argument File can lead to unrestricted upload. The attack may be launched remotely. The exploit has been publicly disclosed and may be utilized. The vendor was contacted early about this disclosure but did not respond in any way.</t>
        </is>
      </c>
      <c r="D59" s="188" t="n">
        <v>7.3</v>
      </c>
      <c r="E59" s="188" t="inlineStr">
        <is>
          <t>HIGH</t>
        </is>
      </c>
      <c r="F59" s="188" t="n">
        <v>2</v>
      </c>
      <c r="G59" s="188" t="n">
        <v>3</v>
      </c>
      <c r="H59" s="188" t="inlineStr">
        <is>
          <t>HIGH</t>
        </is>
      </c>
      <c r="I59" s="188" t="n">
        <v>13.3</v>
      </c>
      <c r="J59" s="188" t="inlineStr">
        <is>
          <t>NO</t>
        </is>
      </c>
      <c r="K59" s="188" t="inlineStr">
        <is>
          <t>https://nvd.nist.gov/vuln/detail/CVE-2026-2684</t>
        </is>
      </c>
      <c r="L59" s="188" t="inlineStr">
        <is>
          <t>2026-02-26 00:15</t>
        </is>
      </c>
      <c r="M59" s="188" t="inlineStr">
        <is>
          <t>CHECK_VENDOR</t>
        </is>
      </c>
      <c r="N59" s="188" t="inlineStr">
        <is>
          <t>See NVD references</t>
        </is>
      </c>
      <c r="O59" s="188" t="inlineStr">
        <is>
          <t>Apply vendor patches</t>
        </is>
      </c>
      <c r="P59" s="188" t="inlineStr">
        <is>
          <t>See CVE details</t>
        </is>
      </c>
      <c r="Q59" s="188" t="inlineStr">
        <is>
          <t>P2</t>
        </is>
      </c>
      <c r="R59" s="188" t="inlineStr">
        <is>
          <t>🚨 URGENT: Apply vendor patches immediately | 🔒 Isolate affected systems if patch unavailable | 🛡️ Enable additional monitoring/IDS rules</t>
        </is>
      </c>
      <c r="S59" s="188" t="inlineStr">
        <is>
          <t>CVE - IP enrichment n/a</t>
        </is>
      </c>
      <c r="T59" s="188" t="n">
        <v>0</v>
      </c>
      <c r="U59" s="188" t="n">
        <v>0</v>
      </c>
      <c r="V59" s="188" t="inlineStr">
        <is>
          <t>T1190:Exploit Public-Facing Application</t>
        </is>
      </c>
      <c r="W59" s="188" t="n">
        <v>2</v>
      </c>
      <c r="X59" s="188" t="inlineStr">
        <is>
          <t>HIGH (72%)</t>
        </is>
      </c>
      <c r="Y59" s="188" t="inlineStr">
        <is>
          <t>POSSIBLE</t>
        </is>
      </c>
      <c r="Z59" s="188" t="inlineStr">
        <is>
          <t>CHECK_VENDOR</t>
        </is>
      </c>
      <c r="AA59" s="188" t="inlineStr">
        <is>
          <t>https://nvd.nist.gov/vuln/detail/CVE-2026-2684</t>
        </is>
      </c>
      <c r="AB59" s="188" t="inlineStr">
        <is>
          <t>NONE</t>
        </is>
      </c>
      <c r="AC59" s="188" t="n">
        <v>3.65</v>
      </c>
      <c r="AD59" s="188" t="inlineStr"/>
    </row>
    <row r="60">
      <c r="A60" s="189" t="inlineStr">
        <is>
          <t>CVE</t>
        </is>
      </c>
      <c r="B60" s="189" t="inlineStr">
        <is>
          <t>CVE-2026-2686</t>
        </is>
      </c>
      <c r="C60" s="189" t="inlineStr">
        <is>
          <t>A security vulnerability has been detected in SECCN Dingcheng G10 3.1.0.181203. This impacts the function qq of the file /cgi-bin/session_login.cgi. The manipulation of the argument User leads to os command injection. The attack is possible to be carried out remotely. The exploit has been disclosed publicly and may be used.</t>
        </is>
      </c>
      <c r="D60" s="189" t="n">
        <v>9.800000000000001</v>
      </c>
      <c r="E60" s="189" t="inlineStr">
        <is>
          <t>CRITICAL</t>
        </is>
      </c>
      <c r="F60" s="189" t="n">
        <v>3</v>
      </c>
      <c r="G60" s="189" t="n">
        <v>3</v>
      </c>
      <c r="H60" s="189" t="inlineStr">
        <is>
          <t>CRITICAL</t>
        </is>
      </c>
      <c r="I60" s="189" t="n">
        <v>18.8</v>
      </c>
      <c r="J60" s="189" t="inlineStr">
        <is>
          <t>NO</t>
        </is>
      </c>
      <c r="K60" s="189" t="inlineStr">
        <is>
          <t>https://nvd.nist.gov/vuln/detail/CVE-2026-2686</t>
        </is>
      </c>
      <c r="L60" s="189" t="inlineStr">
        <is>
          <t>2026-02-26 00:15</t>
        </is>
      </c>
      <c r="M60" s="189" t="inlineStr">
        <is>
          <t>CHECK_VENDOR</t>
        </is>
      </c>
      <c r="N60" s="189" t="inlineStr">
        <is>
          <t>See NVD references</t>
        </is>
      </c>
      <c r="O60" s="189" t="inlineStr">
        <is>
          <t>Apply vendor patches</t>
        </is>
      </c>
      <c r="P60" s="189" t="inlineStr">
        <is>
          <t>See CVE details</t>
        </is>
      </c>
      <c r="Q60" s="189" t="inlineStr">
        <is>
          <t>P2</t>
        </is>
      </c>
      <c r="R60" s="189" t="inlineStr">
        <is>
          <t>🚨 URGENT: Apply vendor patches immediately | 🔒 Isolate affected systems if patch unavailable | 🛡️ Enable additional monitoring/IDS rules</t>
        </is>
      </c>
      <c r="S60" s="189" t="inlineStr">
        <is>
          <t>CVE - IP enrichment n/a</t>
        </is>
      </c>
      <c r="T60" s="189" t="n">
        <v>0</v>
      </c>
      <c r="U60" s="189" t="n">
        <v>0</v>
      </c>
      <c r="V60" s="189" t="inlineStr">
        <is>
          <t>T1059:Command and Scripting Interpreter</t>
        </is>
      </c>
      <c r="W60" s="189" t="n">
        <v>2</v>
      </c>
      <c r="X60" s="189" t="inlineStr">
        <is>
          <t>HIGH (72%)</t>
        </is>
      </c>
      <c r="Y60" s="189" t="inlineStr">
        <is>
          <t>CONFIRMED</t>
        </is>
      </c>
      <c r="Z60" s="189" t="inlineStr">
        <is>
          <t>CHECK_VENDOR</t>
        </is>
      </c>
      <c r="AA60" s="189" t="inlineStr">
        <is>
          <t>https://nvd.nist.gov/vuln/detail/CVE-2026-2686</t>
        </is>
      </c>
      <c r="AB60" s="189" t="inlineStr">
        <is>
          <t>NONE</t>
        </is>
      </c>
      <c r="AC60" s="189" t="n">
        <v>4.9</v>
      </c>
      <c r="AD60" s="189" t="inlineStr"/>
    </row>
    <row r="61">
      <c r="A61" s="187" t="inlineStr">
        <is>
          <t>CVE</t>
        </is>
      </c>
      <c r="B61" s="187" t="inlineStr">
        <is>
          <t>CVE-2025-11706</t>
        </is>
      </c>
      <c r="C61" s="187" t="inlineStr">
        <is>
          <t>The Aruba HiSpeed Cache plugin for WordPress is vulnerable to Reflected Cross-Site Scripting via the dbstatus parameter in all versions up to, and including, 3.0.2 due to insufficient input sanitization and output escaping. This makes it possible for unauthenticated attackers to inject arbitrary web scripts in pages that execute if they can successfully trick a user into performing an action such as clicking on a link.</t>
        </is>
      </c>
      <c r="D61" s="187" t="n">
        <v>6.1</v>
      </c>
      <c r="E61" s="187" t="inlineStr">
        <is>
          <t>MEDIUM</t>
        </is>
      </c>
      <c r="F61" s="187" t="n">
        <v>2</v>
      </c>
      <c r="G61" s="187" t="n">
        <v>2</v>
      </c>
      <c r="H61" s="187" t="inlineStr">
        <is>
          <t>MEDIUM</t>
        </is>
      </c>
      <c r="I61" s="187" t="n">
        <v>10.1</v>
      </c>
      <c r="J61" s="187" t="inlineStr">
        <is>
          <t>NO</t>
        </is>
      </c>
      <c r="K61" s="187" t="inlineStr">
        <is>
          <t>https://nvd.nist.gov/vuln/detail/CVE-2025-11706</t>
        </is>
      </c>
      <c r="L61" s="187" t="inlineStr">
        <is>
          <t>2026-02-26 00:15</t>
        </is>
      </c>
      <c r="M61" s="187" t="inlineStr">
        <is>
          <t>CHECK_VENDOR</t>
        </is>
      </c>
      <c r="N61" s="187" t="inlineStr">
        <is>
          <t>See NVD references</t>
        </is>
      </c>
      <c r="O61" s="187" t="inlineStr">
        <is>
          <t>Apply vendor patches</t>
        </is>
      </c>
      <c r="P61" s="187" t="inlineStr">
        <is>
          <t>See CVE details</t>
        </is>
      </c>
      <c r="Q61" s="187" t="inlineStr">
        <is>
          <t>P4</t>
        </is>
      </c>
      <c r="R61" s="187" t="inlineStr">
        <is>
          <t>📅 Schedule patch deployment within 30 days | 🔍 Monitor for exploitation attempts</t>
        </is>
      </c>
      <c r="S61" s="187" t="inlineStr">
        <is>
          <t>CVE - IP enrichment n/a</t>
        </is>
      </c>
      <c r="T61" s="187" t="n">
        <v>0</v>
      </c>
      <c r="U61" s="187" t="n">
        <v>0</v>
      </c>
      <c r="V61" s="187" t="inlineStr">
        <is>
          <t>T1189:Drive-by Compromise</t>
        </is>
      </c>
      <c r="W61" s="187" t="n">
        <v>1</v>
      </c>
      <c r="X61" s="187" t="inlineStr">
        <is>
          <t>LOW (40%)</t>
        </is>
      </c>
      <c r="Y61" s="187" t="inlineStr">
        <is>
          <t>UNLIKELY</t>
        </is>
      </c>
      <c r="Z61" s="187" t="inlineStr">
        <is>
          <t>CHECK_VENDOR</t>
        </is>
      </c>
      <c r="AA61" s="187" t="inlineStr">
        <is>
          <t>https://nvd.nist.gov/vuln/detail/CVE-2025-11706</t>
        </is>
      </c>
      <c r="AB61" s="187" t="inlineStr">
        <is>
          <t>NONE</t>
        </is>
      </c>
      <c r="AC61" s="187" t="n">
        <v>0</v>
      </c>
      <c r="AD61" s="187" t="inlineStr"/>
    </row>
    <row r="62">
      <c r="A62" s="187" t="inlineStr">
        <is>
          <t>CVE</t>
        </is>
      </c>
      <c r="B62" s="187" t="inlineStr">
        <is>
          <t>CVE-2025-11725</t>
        </is>
      </c>
      <c r="C62" s="187" t="inlineStr">
        <is>
          <t>The Aruba HiSpeed Cache plugin for WordPress is vulnerable to unauthorized modification of data due to a missing capability checks on the multiple functions in all versions up to, and including, 3.0.2. This makes it possible for unauthenticated attackers to modify plugin's configuration settings, enable or disable features, as well as enable/disable WordPress cron jobs or debug mode</t>
        </is>
      </c>
      <c r="D62" s="187" t="n">
        <v>6.5</v>
      </c>
      <c r="E62" s="187" t="inlineStr">
        <is>
          <t>MEDIUM</t>
        </is>
      </c>
      <c r="F62" s="187" t="n">
        <v>2</v>
      </c>
      <c r="G62" s="187" t="n">
        <v>2</v>
      </c>
      <c r="H62" s="187" t="inlineStr">
        <is>
          <t>MEDIUM</t>
        </is>
      </c>
      <c r="I62" s="187" t="n">
        <v>10.5</v>
      </c>
      <c r="J62" s="187" t="inlineStr">
        <is>
          <t>NO</t>
        </is>
      </c>
      <c r="K62" s="187" t="inlineStr">
        <is>
          <t>https://nvd.nist.gov/vuln/detail/CVE-2025-11725</t>
        </is>
      </c>
      <c r="L62" s="187" t="inlineStr">
        <is>
          <t>2026-02-26 00:15</t>
        </is>
      </c>
      <c r="M62" s="187" t="inlineStr">
        <is>
          <t>CHECK_VENDOR</t>
        </is>
      </c>
      <c r="N62" s="187" t="inlineStr">
        <is>
          <t>See NVD references</t>
        </is>
      </c>
      <c r="O62" s="187" t="inlineStr">
        <is>
          <t>Apply vendor patches</t>
        </is>
      </c>
      <c r="P62" s="187" t="inlineStr">
        <is>
          <t>See CVE details</t>
        </is>
      </c>
      <c r="Q62" s="187" t="inlineStr">
        <is>
          <t>P4</t>
        </is>
      </c>
      <c r="R62" s="187" t="inlineStr">
        <is>
          <t>📅 Schedule patch deployment within 30 days | 🔍 Monitor for exploitation attempts</t>
        </is>
      </c>
      <c r="S62" s="187" t="inlineStr">
        <is>
          <t>CVE - IP enrichment n/a</t>
        </is>
      </c>
      <c r="T62" s="187" t="n">
        <v>0</v>
      </c>
      <c r="U62" s="187" t="n">
        <v>0</v>
      </c>
      <c r="V62" s="187" t="inlineStr">
        <is>
          <t>T1190:Exploit Public-Facing Application</t>
        </is>
      </c>
      <c r="W62" s="187" t="n">
        <v>1</v>
      </c>
      <c r="X62" s="187" t="inlineStr">
        <is>
          <t>LOW (40%)</t>
        </is>
      </c>
      <c r="Y62" s="187" t="inlineStr">
        <is>
          <t>UNLIKELY</t>
        </is>
      </c>
      <c r="Z62" s="187" t="inlineStr">
        <is>
          <t>CHECK_VENDOR</t>
        </is>
      </c>
      <c r="AA62" s="187" t="inlineStr">
        <is>
          <t>https://nvd.nist.gov/vuln/detail/CVE-2025-11725</t>
        </is>
      </c>
      <c r="AB62" s="187" t="inlineStr">
        <is>
          <t>NONE</t>
        </is>
      </c>
      <c r="AC62" s="187" t="n">
        <v>0</v>
      </c>
      <c r="AD62" s="187" t="inlineStr"/>
    </row>
    <row r="63">
      <c r="A63" s="188" t="inlineStr">
        <is>
          <t>CVE</t>
        </is>
      </c>
      <c r="B63" s="188" t="inlineStr">
        <is>
          <t>CVE-2025-11754</t>
        </is>
      </c>
      <c r="C63" s="188" t="inlineStr">
        <is>
          <t>The GDPR Cookie Consent plugin for WordPress is vulnerable to unauthorized access of data due to a missing capability check on the 'gdpr/v1/settings' REST API endpoint in all versions up to, and including, 4.1.2. This makes it possible for unauthenticated attackers to retrieve sensitive plugin settings including API tokens, email addresses, account IDs, and site keys.</t>
        </is>
      </c>
      <c r="D63" s="188" t="n">
        <v>7.5</v>
      </c>
      <c r="E63" s="188" t="inlineStr">
        <is>
          <t>HIGH</t>
        </is>
      </c>
      <c r="F63" s="188" t="n">
        <v>2</v>
      </c>
      <c r="G63" s="188" t="n">
        <v>3</v>
      </c>
      <c r="H63" s="188" t="inlineStr">
        <is>
          <t>HIGH</t>
        </is>
      </c>
      <c r="I63" s="188" t="n">
        <v>13.5</v>
      </c>
      <c r="J63" s="188" t="inlineStr">
        <is>
          <t>NO</t>
        </is>
      </c>
      <c r="K63" s="188" t="inlineStr">
        <is>
          <t>https://nvd.nist.gov/vuln/detail/CVE-2025-11754</t>
        </is>
      </c>
      <c r="L63" s="188" t="inlineStr">
        <is>
          <t>2026-02-26 00:15</t>
        </is>
      </c>
      <c r="M63" s="188" t="inlineStr">
        <is>
          <t>CHECK_VENDOR</t>
        </is>
      </c>
      <c r="N63" s="188" t="inlineStr">
        <is>
          <t>See NVD references</t>
        </is>
      </c>
      <c r="O63" s="188" t="inlineStr">
        <is>
          <t>Apply vendor patches</t>
        </is>
      </c>
      <c r="P63" s="188" t="inlineStr">
        <is>
          <t>See CVE details</t>
        </is>
      </c>
      <c r="Q63" s="188" t="inlineStr">
        <is>
          <t>P2</t>
        </is>
      </c>
      <c r="R63" s="188" t="inlineStr">
        <is>
          <t>🚨 URGENT: Apply vendor patches immediately | 🔒 Isolate affected systems if patch unavailable | 🛡️ Enable additional monitoring/IDS rules</t>
        </is>
      </c>
      <c r="S63" s="188" t="inlineStr">
        <is>
          <t>CVE - IP enrichment n/a</t>
        </is>
      </c>
      <c r="T63" s="188" t="n">
        <v>0</v>
      </c>
      <c r="U63" s="188" t="n">
        <v>0</v>
      </c>
      <c r="V63" s="188" t="inlineStr">
        <is>
          <t>T1190:Exploit Public-Facing Application</t>
        </is>
      </c>
      <c r="W63" s="188" t="n">
        <v>2</v>
      </c>
      <c r="X63" s="188" t="inlineStr">
        <is>
          <t>HIGH (72%)</t>
        </is>
      </c>
      <c r="Y63" s="188" t="inlineStr">
        <is>
          <t>POSSIBLE</t>
        </is>
      </c>
      <c r="Z63" s="188" t="inlineStr">
        <is>
          <t>CHECK_VENDOR</t>
        </is>
      </c>
      <c r="AA63" s="188" t="inlineStr">
        <is>
          <t>https://nvd.nist.gov/vuln/detail/CVE-2025-11754</t>
        </is>
      </c>
      <c r="AB63" s="188" t="inlineStr">
        <is>
          <t>NONE</t>
        </is>
      </c>
      <c r="AC63" s="188" t="n">
        <v>3.75</v>
      </c>
      <c r="AD63" s="188" t="inlineStr"/>
    </row>
    <row r="64">
      <c r="A64" s="187" t="inlineStr">
        <is>
          <t>CVE</t>
        </is>
      </c>
      <c r="B64" s="187" t="inlineStr">
        <is>
          <t>CVE-2025-12027</t>
        </is>
      </c>
      <c r="C64" s="187" t="inlineStr">
        <is>
          <t>The Mesmerize Companion plugin for WordPress is vulnerable to unauthorized access and modification of data due to a missing capability check on the "openPageInCustomizer" and "openPageInDefaultEditor" functions in all versions up to, and including, 1.6.158. This makes it possible for authenticated attackers - with subscriber level access and above, on websites with the Mesmerize theme activated -  to mark arbitrary pages as maintainable, wrap their content in custom sections, change page templat</t>
        </is>
      </c>
      <c r="D64" s="187" t="n">
        <v>4.3</v>
      </c>
      <c r="E64" s="187" t="inlineStr">
        <is>
          <t>MEDIUM</t>
        </is>
      </c>
      <c r="F64" s="187" t="n">
        <v>2</v>
      </c>
      <c r="G64" s="187" t="n">
        <v>2</v>
      </c>
      <c r="H64" s="187" t="inlineStr">
        <is>
          <t>MEDIUM</t>
        </is>
      </c>
      <c r="I64" s="187" t="n">
        <v>8.300000000000001</v>
      </c>
      <c r="J64" s="187" t="inlineStr">
        <is>
          <t>NO</t>
        </is>
      </c>
      <c r="K64" s="187" t="inlineStr">
        <is>
          <t>https://nvd.nist.gov/vuln/detail/CVE-2025-12027</t>
        </is>
      </c>
      <c r="L64" s="187" t="inlineStr">
        <is>
          <t>2026-02-26 00:15</t>
        </is>
      </c>
      <c r="M64" s="187" t="inlineStr">
        <is>
          <t>CHECK_VENDOR</t>
        </is>
      </c>
      <c r="N64" s="187" t="inlineStr">
        <is>
          <t>See NVD references</t>
        </is>
      </c>
      <c r="O64" s="187" t="inlineStr">
        <is>
          <t>Apply vendor patches</t>
        </is>
      </c>
      <c r="P64" s="187" t="inlineStr">
        <is>
          <t>See CVE details</t>
        </is>
      </c>
      <c r="Q64" s="187" t="inlineStr">
        <is>
          <t>P4</t>
        </is>
      </c>
      <c r="R64" s="187" t="inlineStr">
        <is>
          <t>📅 Schedule patch deployment within 30 days | 🔍 Monitor for exploitation attempts</t>
        </is>
      </c>
      <c r="S64" s="187" t="inlineStr">
        <is>
          <t>CVE - IP enrichment n/a</t>
        </is>
      </c>
      <c r="T64" s="187" t="n">
        <v>0</v>
      </c>
      <c r="U64" s="187" t="n">
        <v>0</v>
      </c>
      <c r="V64" s="187" t="inlineStr">
        <is>
          <t>T1190:Exploit Public-Facing Application</t>
        </is>
      </c>
      <c r="W64" s="187" t="n">
        <v>1</v>
      </c>
      <c r="X64" s="187" t="inlineStr">
        <is>
          <t>LOW (40%)</t>
        </is>
      </c>
      <c r="Y64" s="187" t="inlineStr">
        <is>
          <t>UNLIKELY</t>
        </is>
      </c>
      <c r="Z64" s="187" t="inlineStr">
        <is>
          <t>CHECK_VENDOR</t>
        </is>
      </c>
      <c r="AA64" s="187" t="inlineStr">
        <is>
          <t>https://nvd.nist.gov/vuln/detail/CVE-2025-12027</t>
        </is>
      </c>
      <c r="AB64" s="187" t="inlineStr">
        <is>
          <t>NONE</t>
        </is>
      </c>
      <c r="AC64" s="187" t="n">
        <v>0</v>
      </c>
      <c r="AD64" s="187" t="inlineStr"/>
    </row>
    <row r="65">
      <c r="A65" s="187" t="inlineStr">
        <is>
          <t>CVE</t>
        </is>
      </c>
      <c r="B65" s="187" t="inlineStr">
        <is>
          <t>CVE-2025-12081</t>
        </is>
      </c>
      <c r="C65" s="187" t="inlineStr">
        <is>
          <t>The ACF Photo Gallery Field plugin for WordPress is vulnerable to unauthorized modification of data due to a missing capability check on the "acf_photo_gallery_edit_save" function in all versions up to, and including, 3.0. This makes it possible for authenticated attackers, with subscriber level access and above, to modify the title, caption, and custom metadata of arbitrary media attachments.</t>
        </is>
      </c>
      <c r="D65" s="187" t="n">
        <v>4.3</v>
      </c>
      <c r="E65" s="187" t="inlineStr">
        <is>
          <t>MEDIUM</t>
        </is>
      </c>
      <c r="F65" s="187" t="n">
        <v>2</v>
      </c>
      <c r="G65" s="187" t="n">
        <v>2</v>
      </c>
      <c r="H65" s="187" t="inlineStr">
        <is>
          <t>MEDIUM</t>
        </is>
      </c>
      <c r="I65" s="187" t="n">
        <v>8.300000000000001</v>
      </c>
      <c r="J65" s="187" t="inlineStr">
        <is>
          <t>NO</t>
        </is>
      </c>
      <c r="K65" s="187" t="inlineStr">
        <is>
          <t>https://nvd.nist.gov/vuln/detail/CVE-2025-12081</t>
        </is>
      </c>
      <c r="L65" s="187" t="inlineStr">
        <is>
          <t>2026-02-26 00:15</t>
        </is>
      </c>
      <c r="M65" s="187" t="inlineStr">
        <is>
          <t>CHECK_VENDOR</t>
        </is>
      </c>
      <c r="N65" s="187" t="inlineStr">
        <is>
          <t>See NVD references</t>
        </is>
      </c>
      <c r="O65" s="187" t="inlineStr">
        <is>
          <t>Apply vendor patches</t>
        </is>
      </c>
      <c r="P65" s="187" t="inlineStr">
        <is>
          <t>See CVE details</t>
        </is>
      </c>
      <c r="Q65" s="187" t="inlineStr">
        <is>
          <t>P4</t>
        </is>
      </c>
      <c r="R65" s="187" t="inlineStr">
        <is>
          <t>📅 Schedule patch deployment within 30 days | 🔍 Monitor for exploitation attempts</t>
        </is>
      </c>
      <c r="S65" s="187" t="inlineStr">
        <is>
          <t>CVE - IP enrichment n/a</t>
        </is>
      </c>
      <c r="T65" s="187" t="n">
        <v>0</v>
      </c>
      <c r="U65" s="187" t="n">
        <v>0</v>
      </c>
      <c r="V65" s="187" t="inlineStr">
        <is>
          <t>T1190:Exploit Public-Facing Application</t>
        </is>
      </c>
      <c r="W65" s="187" t="n">
        <v>1</v>
      </c>
      <c r="X65" s="187" t="inlineStr">
        <is>
          <t>LOW (40%)</t>
        </is>
      </c>
      <c r="Y65" s="187" t="inlineStr">
        <is>
          <t>UNLIKELY</t>
        </is>
      </c>
      <c r="Z65" s="187" t="inlineStr">
        <is>
          <t>CHECK_VENDOR</t>
        </is>
      </c>
      <c r="AA65" s="187" t="inlineStr">
        <is>
          <t>https://nvd.nist.gov/vuln/detail/CVE-2025-12081</t>
        </is>
      </c>
      <c r="AB65" s="187" t="inlineStr">
        <is>
          <t>NONE</t>
        </is>
      </c>
      <c r="AC65" s="187" t="n">
        <v>0</v>
      </c>
      <c r="AD65" s="187" t="inlineStr"/>
    </row>
    <row r="66">
      <c r="A66" s="187" t="inlineStr">
        <is>
          <t>CVE</t>
        </is>
      </c>
      <c r="B66" s="187" t="inlineStr">
        <is>
          <t>CVE-2025-12116</t>
        </is>
      </c>
      <c r="C66" s="187" t="inlineStr">
        <is>
          <t>The Drift theme for WordPress is vulnerable to Stored Cross-Site Scripting via the post title in all versions up to, and including, 1.5.0 due to insufficient input sanitization and output escaping. This makes it possible for authenticated attackers, with Contributor-level access and above, to inject arbitrary web scripts in pages that will execute whenever a user accesses an injected page.</t>
        </is>
      </c>
      <c r="D66" s="187" t="n">
        <v>6.4</v>
      </c>
      <c r="E66" s="187" t="inlineStr">
        <is>
          <t>MEDIUM</t>
        </is>
      </c>
      <c r="F66" s="187" t="n">
        <v>2</v>
      </c>
      <c r="G66" s="187" t="n">
        <v>2</v>
      </c>
      <c r="H66" s="187" t="inlineStr">
        <is>
          <t>MEDIUM</t>
        </is>
      </c>
      <c r="I66" s="187" t="n">
        <v>10.4</v>
      </c>
      <c r="J66" s="187" t="inlineStr">
        <is>
          <t>NO</t>
        </is>
      </c>
      <c r="K66" s="187" t="inlineStr">
        <is>
          <t>https://nvd.nist.gov/vuln/detail/CVE-2025-12116</t>
        </is>
      </c>
      <c r="L66" s="187" t="inlineStr">
        <is>
          <t>2026-02-26 00:15</t>
        </is>
      </c>
      <c r="M66" s="187" t="inlineStr">
        <is>
          <t>CHECK_VENDOR</t>
        </is>
      </c>
      <c r="N66" s="187" t="inlineStr">
        <is>
          <t>See NVD references</t>
        </is>
      </c>
      <c r="O66" s="187" t="inlineStr">
        <is>
          <t>Apply vendor patches</t>
        </is>
      </c>
      <c r="P66" s="187" t="inlineStr">
        <is>
          <t>See CVE details</t>
        </is>
      </c>
      <c r="Q66" s="187" t="inlineStr">
        <is>
          <t>P4</t>
        </is>
      </c>
      <c r="R66" s="187" t="inlineStr">
        <is>
          <t>📅 Schedule patch deployment within 30 days | 🔍 Monitor for exploitation attempts</t>
        </is>
      </c>
      <c r="S66" s="187" t="inlineStr">
        <is>
          <t>CVE - IP enrichment n/a</t>
        </is>
      </c>
      <c r="T66" s="187" t="n">
        <v>0</v>
      </c>
      <c r="U66" s="187" t="n">
        <v>0</v>
      </c>
      <c r="V66" s="187" t="inlineStr">
        <is>
          <t>T1189:Drive-by Compromise</t>
        </is>
      </c>
      <c r="W66" s="187" t="n">
        <v>1</v>
      </c>
      <c r="X66" s="187" t="inlineStr">
        <is>
          <t>LOW (40%)</t>
        </is>
      </c>
      <c r="Y66" s="187" t="inlineStr">
        <is>
          <t>UNLIKELY</t>
        </is>
      </c>
      <c r="Z66" s="187" t="inlineStr">
        <is>
          <t>CHECK_VENDOR</t>
        </is>
      </c>
      <c r="AA66" s="187" t="inlineStr">
        <is>
          <t>https://nvd.nist.gov/vuln/detail/CVE-2025-12116</t>
        </is>
      </c>
      <c r="AB66" s="187" t="inlineStr">
        <is>
          <t>NONE</t>
        </is>
      </c>
      <c r="AC66" s="187" t="n">
        <v>0</v>
      </c>
      <c r="AD66" s="187" t="inlineStr"/>
    </row>
    <row r="67">
      <c r="A67" s="187" t="inlineStr">
        <is>
          <t>CVE</t>
        </is>
      </c>
      <c r="B67" s="187" t="inlineStr">
        <is>
          <t>CVE-2025-12117</t>
        </is>
      </c>
      <c r="C67" s="187" t="inlineStr">
        <is>
          <t>The Renden theme for WordPress is vulnerable to Stored Cross-Site Scripting via the post title in all versions up to, and including, 1.8.1 due to insufficient input sanitization and output escaping. This makes it possible for authenticated attackers, with Contributor-level access and above, to inject arbitrary web scripts in pages that will execute whenever a user accesses an injected page.</t>
        </is>
      </c>
      <c r="D67" s="187" t="n">
        <v>6.4</v>
      </c>
      <c r="E67" s="187" t="inlineStr">
        <is>
          <t>MEDIUM</t>
        </is>
      </c>
      <c r="F67" s="187" t="n">
        <v>2</v>
      </c>
      <c r="G67" s="187" t="n">
        <v>2</v>
      </c>
      <c r="H67" s="187" t="inlineStr">
        <is>
          <t>MEDIUM</t>
        </is>
      </c>
      <c r="I67" s="187" t="n">
        <v>10.4</v>
      </c>
      <c r="J67" s="187" t="inlineStr">
        <is>
          <t>NO</t>
        </is>
      </c>
      <c r="K67" s="187" t="inlineStr">
        <is>
          <t>https://nvd.nist.gov/vuln/detail/CVE-2025-12117</t>
        </is>
      </c>
      <c r="L67" s="187" t="inlineStr">
        <is>
          <t>2026-02-26 00:15</t>
        </is>
      </c>
      <c r="M67" s="187" t="inlineStr">
        <is>
          <t>CHECK_VENDOR</t>
        </is>
      </c>
      <c r="N67" s="187" t="inlineStr">
        <is>
          <t>See NVD references</t>
        </is>
      </c>
      <c r="O67" s="187" t="inlineStr">
        <is>
          <t>Apply vendor patches</t>
        </is>
      </c>
      <c r="P67" s="187" t="inlineStr">
        <is>
          <t>See CVE details</t>
        </is>
      </c>
      <c r="Q67" s="187" t="inlineStr">
        <is>
          <t>P4</t>
        </is>
      </c>
      <c r="R67" s="187" t="inlineStr">
        <is>
          <t>📅 Schedule patch deployment within 30 days | 🔍 Monitor for exploitation attempts</t>
        </is>
      </c>
      <c r="S67" s="187" t="inlineStr">
        <is>
          <t>CVE - IP enrichment n/a</t>
        </is>
      </c>
      <c r="T67" s="187" t="n">
        <v>0</v>
      </c>
      <c r="U67" s="187" t="n">
        <v>0</v>
      </c>
      <c r="V67" s="187" t="inlineStr">
        <is>
          <t>T1189:Drive-by Compromise</t>
        </is>
      </c>
      <c r="W67" s="187" t="n">
        <v>1</v>
      </c>
      <c r="X67" s="187" t="inlineStr">
        <is>
          <t>LOW (40%)</t>
        </is>
      </c>
      <c r="Y67" s="187" t="inlineStr">
        <is>
          <t>UNLIKELY</t>
        </is>
      </c>
      <c r="Z67" s="187" t="inlineStr">
        <is>
          <t>CHECK_VENDOR</t>
        </is>
      </c>
      <c r="AA67" s="187" t="inlineStr">
        <is>
          <t>https://nvd.nist.gov/vuln/detail/CVE-2025-12117</t>
        </is>
      </c>
      <c r="AB67" s="187" t="inlineStr">
        <is>
          <t>NONE</t>
        </is>
      </c>
      <c r="AC67" s="187" t="n">
        <v>0</v>
      </c>
      <c r="AD67" s="187" t="inlineStr"/>
    </row>
    <row r="68">
      <c r="A68" s="187" t="inlineStr">
        <is>
          <t>CVE</t>
        </is>
      </c>
      <c r="B68" s="187" t="inlineStr">
        <is>
          <t>CVE-2025-12172</t>
        </is>
      </c>
      <c r="C68" s="187" t="inlineStr">
        <is>
          <t>The Mailchimp List Subscribe Form plugin for WordPress is vulnerable to Cross-Site Request Forgery in all versions up to, and including, 2.0.0. This is due to missing or incorrect nonce validation on the mailchimp_sf_change_list_if_necessary() function. This makes it possible for unauthenticated attackers to change Mailchimp lists via a forged request granted they can trick a site administrator into performing an action such as clicking on a link.</t>
        </is>
      </c>
      <c r="D68" s="187" t="n">
        <v>4.3</v>
      </c>
      <c r="E68" s="187" t="inlineStr">
        <is>
          <t>MEDIUM</t>
        </is>
      </c>
      <c r="F68" s="187" t="n">
        <v>2</v>
      </c>
      <c r="G68" s="187" t="n">
        <v>2</v>
      </c>
      <c r="H68" s="187" t="inlineStr">
        <is>
          <t>MEDIUM</t>
        </is>
      </c>
      <c r="I68" s="187" t="n">
        <v>8.300000000000001</v>
      </c>
      <c r="J68" s="187" t="inlineStr">
        <is>
          <t>NO</t>
        </is>
      </c>
      <c r="K68" s="187" t="inlineStr">
        <is>
          <t>https://nvd.nist.gov/vuln/detail/CVE-2025-12172</t>
        </is>
      </c>
      <c r="L68" s="187" t="inlineStr">
        <is>
          <t>2026-02-26 00:15</t>
        </is>
      </c>
      <c r="M68" s="187" t="inlineStr">
        <is>
          <t>CHECK_VENDOR</t>
        </is>
      </c>
      <c r="N68" s="187" t="inlineStr">
        <is>
          <t>See NVD references</t>
        </is>
      </c>
      <c r="O68" s="187" t="inlineStr">
        <is>
          <t>Apply vendor patches</t>
        </is>
      </c>
      <c r="P68" s="187" t="inlineStr">
        <is>
          <t>See CVE details</t>
        </is>
      </c>
      <c r="Q68" s="187" t="inlineStr">
        <is>
          <t>P4</t>
        </is>
      </c>
      <c r="R68" s="187" t="inlineStr">
        <is>
          <t>📅 Schedule patch deployment within 30 days | 🔍 Monitor for exploitation attempts</t>
        </is>
      </c>
      <c r="S68" s="187" t="inlineStr">
        <is>
          <t>CVE - IP enrichment n/a</t>
        </is>
      </c>
      <c r="T68" s="187" t="n">
        <v>0.0001</v>
      </c>
      <c r="U68" s="187" t="n">
        <v>0.0238</v>
      </c>
      <c r="V68" s="187" t="inlineStr">
        <is>
          <t>T1185:Browser Session Hijacking</t>
        </is>
      </c>
      <c r="W68" s="187" t="n">
        <v>1</v>
      </c>
      <c r="X68" s="187" t="inlineStr">
        <is>
          <t>LOW (40%)</t>
        </is>
      </c>
      <c r="Y68" s="187" t="inlineStr">
        <is>
          <t>UNLIKELY</t>
        </is>
      </c>
      <c r="Z68" s="187" t="inlineStr">
        <is>
          <t>CHECK_VENDOR</t>
        </is>
      </c>
      <c r="AA68" s="187" t="inlineStr">
        <is>
          <t>https://nvd.nist.gov/vuln/detail/CVE-2025-12172</t>
        </is>
      </c>
      <c r="AB68" s="187" t="inlineStr">
        <is>
          <t>NONE</t>
        </is>
      </c>
      <c r="AC68" s="187" t="n">
        <v>0</v>
      </c>
      <c r="AD68" s="187" t="inlineStr"/>
    </row>
    <row r="69">
      <c r="A69" s="187" t="inlineStr">
        <is>
          <t>CVE</t>
        </is>
      </c>
      <c r="B69" s="187" t="inlineStr">
        <is>
          <t>CVE-2025-12375</t>
        </is>
      </c>
      <c r="C69" s="187" t="inlineStr">
        <is>
          <t>The Printful Integration for WooCommerce plugin for WordPress is vulnerable to Server-Side Request Forgery in all versions up to, and including, 2.2.11 via the advanced size chart REST API endpoint. This is due to insufficient validation of user-supplied URLs before passing them to the download_url() function. This makes it possible for authenticated attackers, with Contributor-level access and above, to make web requests to arbitrary locations originating from the web application which can be u</t>
        </is>
      </c>
      <c r="D69" s="187" t="n">
        <v>6.4</v>
      </c>
      <c r="E69" s="187" t="inlineStr">
        <is>
          <t>MEDIUM</t>
        </is>
      </c>
      <c r="F69" s="187" t="n">
        <v>2</v>
      </c>
      <c r="G69" s="187" t="n">
        <v>2</v>
      </c>
      <c r="H69" s="187" t="inlineStr">
        <is>
          <t>MEDIUM</t>
        </is>
      </c>
      <c r="I69" s="187" t="n">
        <v>10.4</v>
      </c>
      <c r="J69" s="187" t="inlineStr">
        <is>
          <t>NO</t>
        </is>
      </c>
      <c r="K69" s="187" t="inlineStr">
        <is>
          <t>https://nvd.nist.gov/vuln/detail/CVE-2025-12375</t>
        </is>
      </c>
      <c r="L69" s="187" t="inlineStr">
        <is>
          <t>2026-02-26 00:15</t>
        </is>
      </c>
      <c r="M69" s="187" t="inlineStr">
        <is>
          <t>CHECK_VENDOR</t>
        </is>
      </c>
      <c r="N69" s="187" t="inlineStr">
        <is>
          <t>See NVD references</t>
        </is>
      </c>
      <c r="O69" s="187" t="inlineStr">
        <is>
          <t>Apply vendor patches</t>
        </is>
      </c>
      <c r="P69" s="187" t="inlineStr">
        <is>
          <t>See CVE details</t>
        </is>
      </c>
      <c r="Q69" s="187" t="inlineStr">
        <is>
          <t>P4</t>
        </is>
      </c>
      <c r="R69" s="187" t="inlineStr">
        <is>
          <t>📅 Schedule patch deployment within 30 days | 🔍 Monitor for exploitation attempts</t>
        </is>
      </c>
      <c r="S69" s="187" t="inlineStr">
        <is>
          <t>CVE - IP enrichment n/a</t>
        </is>
      </c>
      <c r="T69" s="187" t="n">
        <v>0</v>
      </c>
      <c r="U69" s="187" t="n">
        <v>0</v>
      </c>
      <c r="V69" s="187" t="inlineStr">
        <is>
          <t>T1090:Proxy | T1190:Exploit Public-Facing Application</t>
        </is>
      </c>
      <c r="W69" s="187" t="n">
        <v>1</v>
      </c>
      <c r="X69" s="187" t="inlineStr">
        <is>
          <t>LOW (40%)</t>
        </is>
      </c>
      <c r="Y69" s="187" t="inlineStr">
        <is>
          <t>UNLIKELY</t>
        </is>
      </c>
      <c r="Z69" s="187" t="inlineStr">
        <is>
          <t>CHECK_VENDOR</t>
        </is>
      </c>
      <c r="AA69" s="187" t="inlineStr">
        <is>
          <t>https://nvd.nist.gov/vuln/detail/CVE-2025-12375</t>
        </is>
      </c>
      <c r="AB69" s="187" t="inlineStr">
        <is>
          <t>NONE</t>
        </is>
      </c>
      <c r="AC69" s="187" t="n">
        <v>0</v>
      </c>
      <c r="AD69" s="187" t="inlineStr"/>
    </row>
    <row r="70">
      <c r="A70" s="187" t="inlineStr">
        <is>
          <t>CVE</t>
        </is>
      </c>
      <c r="B70" s="187" t="inlineStr">
        <is>
          <t>CVE-2025-12448</t>
        </is>
      </c>
      <c r="C70" s="187" t="inlineStr">
        <is>
          <t>The Smartsupp – live chat, AI shopping assistant and chatbots plugin for WordPress is vulnerable to Stored Cross-Site Scripting via the 'code' parameter in all versions up to, and including, 3.9.1 due to insufficient input sanitization and output escaping. This makes it possible for authenticated attackers, with Subscriber-level access and above, to inject arbitrary web scripts in pages that will execute whenever a user accesses an injected page.</t>
        </is>
      </c>
      <c r="D70" s="187" t="n">
        <v>6.4</v>
      </c>
      <c r="E70" s="187" t="inlineStr">
        <is>
          <t>MEDIUM</t>
        </is>
      </c>
      <c r="F70" s="187" t="n">
        <v>2</v>
      </c>
      <c r="G70" s="187" t="n">
        <v>2</v>
      </c>
      <c r="H70" s="187" t="inlineStr">
        <is>
          <t>MEDIUM</t>
        </is>
      </c>
      <c r="I70" s="187" t="n">
        <v>10.4</v>
      </c>
      <c r="J70" s="187" t="inlineStr">
        <is>
          <t>NO</t>
        </is>
      </c>
      <c r="K70" s="187" t="inlineStr">
        <is>
          <t>https://nvd.nist.gov/vuln/detail/CVE-2025-12448</t>
        </is>
      </c>
      <c r="L70" s="187" t="inlineStr">
        <is>
          <t>2026-02-26 00:15</t>
        </is>
      </c>
      <c r="M70" s="187" t="inlineStr">
        <is>
          <t>CHECK_VENDOR</t>
        </is>
      </c>
      <c r="N70" s="187" t="inlineStr">
        <is>
          <t>See NVD references</t>
        </is>
      </c>
      <c r="O70" s="187" t="inlineStr">
        <is>
          <t>Apply vendor patches</t>
        </is>
      </c>
      <c r="P70" s="187" t="inlineStr">
        <is>
          <t>See CVE details</t>
        </is>
      </c>
      <c r="Q70" s="187" t="inlineStr">
        <is>
          <t>P4</t>
        </is>
      </c>
      <c r="R70" s="187" t="inlineStr">
        <is>
          <t>📅 Schedule patch deployment within 30 days | 🔍 Monitor for exploitation attempts</t>
        </is>
      </c>
      <c r="S70" s="187" t="inlineStr">
        <is>
          <t>CVE - IP enrichment n/a</t>
        </is>
      </c>
      <c r="T70" s="187" t="n">
        <v>0</v>
      </c>
      <c r="U70" s="187" t="n">
        <v>0</v>
      </c>
      <c r="V70" s="187" t="inlineStr">
        <is>
          <t>T1189:Drive-by Compromise</t>
        </is>
      </c>
      <c r="W70" s="187" t="n">
        <v>1</v>
      </c>
      <c r="X70" s="187" t="inlineStr">
        <is>
          <t>LOW (40%)</t>
        </is>
      </c>
      <c r="Y70" s="187" t="inlineStr">
        <is>
          <t>UNLIKELY</t>
        </is>
      </c>
      <c r="Z70" s="187" t="inlineStr">
        <is>
          <t>CHECK_VENDOR</t>
        </is>
      </c>
      <c r="AA70" s="187" t="inlineStr">
        <is>
          <t>https://nvd.nist.gov/vuln/detail/CVE-2025-12448</t>
        </is>
      </c>
      <c r="AB70" s="187" t="inlineStr">
        <is>
          <t>NONE</t>
        </is>
      </c>
      <c r="AC70" s="187" t="n">
        <v>0</v>
      </c>
      <c r="AD70" s="187" t="inlineStr"/>
    </row>
    <row r="71">
      <c r="A71" s="187" t="inlineStr">
        <is>
          <t>CVE</t>
        </is>
      </c>
      <c r="B71" s="187" t="inlineStr">
        <is>
          <t>CVE-2025-12451</t>
        </is>
      </c>
      <c r="C71" s="187" t="inlineStr">
        <is>
          <t>The Easy SVG Support plugin for WordPress is vulnerable to Stored Cross-Site Scripting via SVG file uploads in all versions up to, and including, 4.0 due to insufficient input sanitization and output escaping. This makes it possible for authenticated attackers, with Author-level access and above, to inject arbitrary web scripts in pages that will execute whenever a user accesses the SVG file.</t>
        </is>
      </c>
      <c r="D71" s="187" t="n">
        <v>6.1</v>
      </c>
      <c r="E71" s="187" t="inlineStr">
        <is>
          <t>MEDIUM</t>
        </is>
      </c>
      <c r="F71" s="187" t="n">
        <v>2</v>
      </c>
      <c r="G71" s="187" t="n">
        <v>2</v>
      </c>
      <c r="H71" s="187" t="inlineStr">
        <is>
          <t>MEDIUM</t>
        </is>
      </c>
      <c r="I71" s="187" t="n">
        <v>10.1</v>
      </c>
      <c r="J71" s="187" t="inlineStr">
        <is>
          <t>NO</t>
        </is>
      </c>
      <c r="K71" s="187" t="inlineStr">
        <is>
          <t>https://nvd.nist.gov/vuln/detail/CVE-2025-12451</t>
        </is>
      </c>
      <c r="L71" s="187" t="inlineStr">
        <is>
          <t>2026-02-26 00:15</t>
        </is>
      </c>
      <c r="M71" s="187" t="inlineStr">
        <is>
          <t>CHECK_VENDOR</t>
        </is>
      </c>
      <c r="N71" s="187" t="inlineStr">
        <is>
          <t>See NVD references</t>
        </is>
      </c>
      <c r="O71" s="187" t="inlineStr">
        <is>
          <t>Apply vendor patches</t>
        </is>
      </c>
      <c r="P71" s="187" t="inlineStr">
        <is>
          <t>See CVE details</t>
        </is>
      </c>
      <c r="Q71" s="187" t="inlineStr">
        <is>
          <t>P4</t>
        </is>
      </c>
      <c r="R71" s="187" t="inlineStr">
        <is>
          <t>📅 Schedule patch deployment within 30 days | 🔍 Monitor for exploitation attempts</t>
        </is>
      </c>
      <c r="S71" s="187" t="inlineStr">
        <is>
          <t>CVE - IP enrichment n/a</t>
        </is>
      </c>
      <c r="T71" s="187" t="n">
        <v>0</v>
      </c>
      <c r="U71" s="187" t="n">
        <v>0</v>
      </c>
      <c r="V71" s="187" t="inlineStr">
        <is>
          <t>T1189:Drive-by Compromise</t>
        </is>
      </c>
      <c r="W71" s="187" t="n">
        <v>1</v>
      </c>
      <c r="X71" s="187" t="inlineStr">
        <is>
          <t>LOW (40%)</t>
        </is>
      </c>
      <c r="Y71" s="187" t="inlineStr">
        <is>
          <t>UNLIKELY</t>
        </is>
      </c>
      <c r="Z71" s="187" t="inlineStr">
        <is>
          <t>CHECK_VENDOR</t>
        </is>
      </c>
      <c r="AA71" s="187" t="inlineStr">
        <is>
          <t>https://nvd.nist.gov/vuln/detail/CVE-2025-12451</t>
        </is>
      </c>
      <c r="AB71" s="187" t="inlineStr">
        <is>
          <t>NONE</t>
        </is>
      </c>
      <c r="AC71" s="187" t="n">
        <v>0</v>
      </c>
      <c r="AD71" s="187" t="inlineStr"/>
    </row>
    <row r="72">
      <c r="A72" s="187" t="inlineStr">
        <is>
          <t>CVE</t>
        </is>
      </c>
      <c r="B72" s="187" t="inlineStr">
        <is>
          <t>CVE-2025-12500</t>
        </is>
      </c>
      <c r="C72" s="187" t="inlineStr">
        <is>
          <t>The Checkout Field Manager (Checkout Manager) for WooCommerce plugin for WordPress is vulnerable to unauthenticated limited file upload in all versions up to, and including, 7.8.1. This is due to the plugin not properly verifying that a user is authorized to perform file upload actions via the "ajax_checkout_attachment_upload" function. This makes it possible for unauthenticated attackers to upload files to the server, though file types are limited to WordPress's default allowed MIME types (imag</t>
        </is>
      </c>
      <c r="D72" s="187" t="n">
        <v>5.3</v>
      </c>
      <c r="E72" s="187" t="inlineStr">
        <is>
          <t>MEDIUM</t>
        </is>
      </c>
      <c r="F72" s="187" t="n">
        <v>2</v>
      </c>
      <c r="G72" s="187" t="n">
        <v>2</v>
      </c>
      <c r="H72" s="187" t="inlineStr">
        <is>
          <t>MEDIUM</t>
        </is>
      </c>
      <c r="I72" s="187" t="n">
        <v>9.300000000000001</v>
      </c>
      <c r="J72" s="187" t="inlineStr">
        <is>
          <t>NO</t>
        </is>
      </c>
      <c r="K72" s="187" t="inlineStr">
        <is>
          <t>https://nvd.nist.gov/vuln/detail/CVE-2025-12500</t>
        </is>
      </c>
      <c r="L72" s="187" t="inlineStr">
        <is>
          <t>2026-02-26 00:15</t>
        </is>
      </c>
      <c r="M72" s="187" t="inlineStr">
        <is>
          <t>CHECK_VENDOR</t>
        </is>
      </c>
      <c r="N72" s="187" t="inlineStr">
        <is>
          <t>See NVD references</t>
        </is>
      </c>
      <c r="O72" s="187" t="inlineStr">
        <is>
          <t>Apply vendor patches</t>
        </is>
      </c>
      <c r="P72" s="187" t="inlineStr">
        <is>
          <t>See CVE details</t>
        </is>
      </c>
      <c r="Q72" s="187" t="inlineStr">
        <is>
          <t>P4</t>
        </is>
      </c>
      <c r="R72" s="187" t="inlineStr">
        <is>
          <t>📅 Schedule patch deployment within 30 days | 🔍 Monitor for exploitation attempts</t>
        </is>
      </c>
      <c r="S72" s="187" t="inlineStr">
        <is>
          <t>CVE - IP enrichment n/a</t>
        </is>
      </c>
      <c r="T72" s="187" t="n">
        <v>0.0007</v>
      </c>
      <c r="U72" s="187" t="n">
        <v>0.212</v>
      </c>
      <c r="V72" s="187" t="inlineStr">
        <is>
          <t>T1190:Exploit Public-Facing Application</t>
        </is>
      </c>
      <c r="W72" s="187" t="n">
        <v>1</v>
      </c>
      <c r="X72" s="187" t="inlineStr">
        <is>
          <t>LOW (40%)</t>
        </is>
      </c>
      <c r="Y72" s="187" t="inlineStr">
        <is>
          <t>UNLIKELY</t>
        </is>
      </c>
      <c r="Z72" s="187" t="inlineStr">
        <is>
          <t>CHECK_VENDOR</t>
        </is>
      </c>
      <c r="AA72" s="187" t="inlineStr">
        <is>
          <t>https://nvd.nist.gov/vuln/detail/CVE-2025-12500</t>
        </is>
      </c>
      <c r="AB72" s="187" t="inlineStr">
        <is>
          <t>NONE</t>
        </is>
      </c>
      <c r="AC72" s="187" t="n">
        <v>0</v>
      </c>
      <c r="AD72" s="187" t="inlineStr"/>
    </row>
    <row r="73">
      <c r="A73" s="188" t="inlineStr">
        <is>
          <t>CVE</t>
        </is>
      </c>
      <c r="B73" s="188" t="inlineStr">
        <is>
          <t>CVE-2025-12707</t>
        </is>
      </c>
      <c r="C73" s="188" t="inlineStr">
        <is>
          <t>The Library Management System plugin for WordPress is vulnerable to SQL Injection via the 'bid' parameter in all versions up to, and including, 3.2.1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73" s="188" t="n">
        <v>7.5</v>
      </c>
      <c r="E73" s="188" t="inlineStr">
        <is>
          <t>HIGH</t>
        </is>
      </c>
      <c r="F73" s="188" t="n">
        <v>2</v>
      </c>
      <c r="G73" s="188" t="n">
        <v>3</v>
      </c>
      <c r="H73" s="188" t="inlineStr">
        <is>
          <t>HIGH</t>
        </is>
      </c>
      <c r="I73" s="188" t="n">
        <v>13.5</v>
      </c>
      <c r="J73" s="188" t="inlineStr">
        <is>
          <t>NO</t>
        </is>
      </c>
      <c r="K73" s="188" t="inlineStr">
        <is>
          <t>https://nvd.nist.gov/vuln/detail/CVE-2025-12707</t>
        </is>
      </c>
      <c r="L73" s="188" t="inlineStr">
        <is>
          <t>2026-02-26 00:15</t>
        </is>
      </c>
      <c r="M73" s="188" t="inlineStr">
        <is>
          <t>CHECK_VENDOR</t>
        </is>
      </c>
      <c r="N73" s="188" t="inlineStr">
        <is>
          <t>See NVD references</t>
        </is>
      </c>
      <c r="O73" s="188" t="inlineStr">
        <is>
          <t>Apply vendor patches</t>
        </is>
      </c>
      <c r="P73" s="188" t="inlineStr">
        <is>
          <t>See CVE details</t>
        </is>
      </c>
      <c r="Q73" s="188" t="inlineStr">
        <is>
          <t>P2</t>
        </is>
      </c>
      <c r="R73" s="188" t="inlineStr">
        <is>
          <t>🚨 URGENT: Apply vendor patches immediately | 🔒 Isolate affected systems if patch unavailable | 🛡️ Enable additional monitoring/IDS rules</t>
        </is>
      </c>
      <c r="S73" s="188" t="inlineStr">
        <is>
          <t>CVE - IP enrichment n/a</t>
        </is>
      </c>
      <c r="T73" s="188" t="n">
        <v>0</v>
      </c>
      <c r="U73" s="188" t="n">
        <v>0</v>
      </c>
      <c r="V73" s="188" t="inlineStr">
        <is>
          <t>T1190:Exploit Public-Facing Application</t>
        </is>
      </c>
      <c r="W73" s="188" t="n">
        <v>2</v>
      </c>
      <c r="X73" s="188" t="inlineStr">
        <is>
          <t>HIGH (72%)</t>
        </is>
      </c>
      <c r="Y73" s="188" t="inlineStr">
        <is>
          <t>POSSIBLE</t>
        </is>
      </c>
      <c r="Z73" s="188" t="inlineStr">
        <is>
          <t>CHECK_VENDOR</t>
        </is>
      </c>
      <c r="AA73" s="188" t="inlineStr">
        <is>
          <t>https://nvd.nist.gov/vuln/detail/CVE-2025-12707</t>
        </is>
      </c>
      <c r="AB73" s="188" t="inlineStr">
        <is>
          <t>NONE</t>
        </is>
      </c>
      <c r="AC73" s="188" t="n">
        <v>3.75</v>
      </c>
      <c r="AD73" s="188" t="inlineStr"/>
    </row>
    <row r="74">
      <c r="A74" s="188" t="inlineStr">
        <is>
          <t>CVE</t>
        </is>
      </c>
      <c r="B74" s="188" t="inlineStr">
        <is>
          <t>CVE-2025-12821</t>
        </is>
      </c>
      <c r="C74" s="188" t="inlineStr">
        <is>
          <t>The NewsBlogger theme for WordPress is vulnerable to Cross-Site Request Forgery in versions 0.2.5.6  to 0.2.6.1. This is due to missing or incorrect nonce validation on the newsblogger_install_and_activate_plugin() function. This makes it possible for unauthenticated attackers to upload arbitrary files and achieve remote code execution via a forged request granted they can trick a site administrator into performing an action such as clicking on a link. This is due to a reverted fix of CVE-2025-1</t>
        </is>
      </c>
      <c r="D74" s="188" t="n">
        <v>8.800000000000001</v>
      </c>
      <c r="E74" s="188" t="inlineStr">
        <is>
          <t>HIGH</t>
        </is>
      </c>
      <c r="F74" s="188" t="n">
        <v>2</v>
      </c>
      <c r="G74" s="188" t="n">
        <v>3</v>
      </c>
      <c r="H74" s="188" t="inlineStr">
        <is>
          <t>HIGH</t>
        </is>
      </c>
      <c r="I74" s="188" t="n">
        <v>14.8</v>
      </c>
      <c r="J74" s="188" t="inlineStr">
        <is>
          <t>NO</t>
        </is>
      </c>
      <c r="K74" s="188" t="inlineStr">
        <is>
          <t>https://nvd.nist.gov/vuln/detail/CVE-2025-12821</t>
        </is>
      </c>
      <c r="L74" s="188" t="inlineStr">
        <is>
          <t>2026-02-26 00:15</t>
        </is>
      </c>
      <c r="M74" s="188" t="inlineStr">
        <is>
          <t>CHECK_VENDOR</t>
        </is>
      </c>
      <c r="N74" s="188" t="inlineStr">
        <is>
          <t>See NVD references</t>
        </is>
      </c>
      <c r="O74" s="188" t="inlineStr">
        <is>
          <t>Apply vendor patches</t>
        </is>
      </c>
      <c r="P74" s="188" t="inlineStr">
        <is>
          <t>See CVE details</t>
        </is>
      </c>
      <c r="Q74" s="188" t="inlineStr">
        <is>
          <t>P3</t>
        </is>
      </c>
      <c r="R74" s="188" t="inlineStr">
        <is>
          <t>🚨 URGENT: Apply vendor patches immediately | 🔒 Isolate affected systems if patch unavailable | 🛡️ Enable additional monitoring/IDS rules</t>
        </is>
      </c>
      <c r="S74" s="188" t="inlineStr">
        <is>
          <t>CVE - IP enrichment n/a</t>
        </is>
      </c>
      <c r="T74" s="188" t="n">
        <v>0</v>
      </c>
      <c r="U74" s="188" t="n">
        <v>0</v>
      </c>
      <c r="V74" s="188" t="inlineStr">
        <is>
          <t>T1185:Browser Session Hijacking | T1190:Exploit Public-Facing Application | T1210:Exploitation of Remote Services</t>
        </is>
      </c>
      <c r="W74" s="188" t="n">
        <v>1</v>
      </c>
      <c r="X74" s="188" t="inlineStr">
        <is>
          <t>LOW (40%)</t>
        </is>
      </c>
      <c r="Y74" s="188" t="inlineStr">
        <is>
          <t>UNLIKELY</t>
        </is>
      </c>
      <c r="Z74" s="188" t="inlineStr">
        <is>
          <t>CHECK_VENDOR</t>
        </is>
      </c>
      <c r="AA74" s="188" t="inlineStr">
        <is>
          <t>https://nvd.nist.gov/vuln/detail/CVE-2025-12821</t>
        </is>
      </c>
      <c r="AB74" s="188" t="inlineStr">
        <is>
          <t>NONE</t>
        </is>
      </c>
      <c r="AC74" s="188" t="n">
        <v>0</v>
      </c>
      <c r="AD74" s="188" t="inlineStr"/>
    </row>
    <row r="75">
      <c r="A75" s="188" t="inlineStr">
        <is>
          <t>CVE</t>
        </is>
      </c>
      <c r="B75" s="188" t="inlineStr">
        <is>
          <t>CVE-2025-12845</t>
        </is>
      </c>
      <c r="C75" s="188" t="inlineStr">
        <is>
          <t>The Tablesome Table – Contact Form DB – WPForms, CF7, Gravity, Forminator, Fluent plugin for WordPress is vulnerable to unauthorized access of data that leads to privilege escalation due to a missing capability check on the get_table_data() function in versions 0.5.4 to 1.2.1. This makes it possible for authenticated attackers, with Subscriber-level access and above, to retrieve plugin table data that can expose email log information. Attackers can leverage this on sites where the table log is e</t>
        </is>
      </c>
      <c r="D75" s="188" t="n">
        <v>8.800000000000001</v>
      </c>
      <c r="E75" s="188" t="inlineStr">
        <is>
          <t>HIGH</t>
        </is>
      </c>
      <c r="F75" s="188" t="n">
        <v>2</v>
      </c>
      <c r="G75" s="188" t="n">
        <v>3</v>
      </c>
      <c r="H75" s="188" t="inlineStr">
        <is>
          <t>HIGH</t>
        </is>
      </c>
      <c r="I75" s="188" t="n">
        <v>14.8</v>
      </c>
      <c r="J75" s="188" t="inlineStr">
        <is>
          <t>NO</t>
        </is>
      </c>
      <c r="K75" s="188" t="inlineStr">
        <is>
          <t>https://nvd.nist.gov/vuln/detail/CVE-2025-12845</t>
        </is>
      </c>
      <c r="L75" s="188" t="inlineStr">
        <is>
          <t>2026-02-26 00:15</t>
        </is>
      </c>
      <c r="M75" s="188" t="inlineStr">
        <is>
          <t>CHECK_VENDOR</t>
        </is>
      </c>
      <c r="N75" s="188" t="inlineStr">
        <is>
          <t>See NVD references</t>
        </is>
      </c>
      <c r="O75" s="188" t="inlineStr">
        <is>
          <t>Apply vendor patches</t>
        </is>
      </c>
      <c r="P75" s="188" t="inlineStr">
        <is>
          <t>See CVE details</t>
        </is>
      </c>
      <c r="Q75" s="188" t="inlineStr">
        <is>
          <t>P3</t>
        </is>
      </c>
      <c r="R75" s="188" t="inlineStr">
        <is>
          <t>🚨 URGENT: Apply vendor patches immediately | 🔒 Isolate affected systems if patch unavailable | 🛡️ Enable additional monitoring/IDS rules</t>
        </is>
      </c>
      <c r="S75" s="188" t="inlineStr">
        <is>
          <t>CVE - IP enrichment n/a</t>
        </is>
      </c>
      <c r="T75" s="188" t="n">
        <v>0</v>
      </c>
      <c r="U75" s="188" t="n">
        <v>0</v>
      </c>
      <c r="V75" s="188" t="inlineStr">
        <is>
          <t>T1068:Exploitation for Privilege Escalation</t>
        </is>
      </c>
      <c r="W75" s="188" t="n">
        <v>1</v>
      </c>
      <c r="X75" s="188" t="inlineStr">
        <is>
          <t>LOW (40%)</t>
        </is>
      </c>
      <c r="Y75" s="188" t="inlineStr">
        <is>
          <t>UNLIKELY</t>
        </is>
      </c>
      <c r="Z75" s="188" t="inlineStr">
        <is>
          <t>CHECK_VENDOR</t>
        </is>
      </c>
      <c r="AA75" s="188" t="inlineStr">
        <is>
          <t>https://nvd.nist.gov/vuln/detail/CVE-2025-12845</t>
        </is>
      </c>
      <c r="AB75" s="188" t="inlineStr">
        <is>
          <t>NONE</t>
        </is>
      </c>
      <c r="AC75" s="188" t="n">
        <v>0</v>
      </c>
      <c r="AD75" s="188" t="inlineStr"/>
    </row>
    <row r="76">
      <c r="A76" s="189" t="inlineStr">
        <is>
          <t>CVE</t>
        </is>
      </c>
      <c r="B76" s="189" t="inlineStr">
        <is>
          <t>CVE-2025-12882</t>
        </is>
      </c>
      <c r="C76" s="189" t="inlineStr">
        <is>
          <t>The Clasifico Listing plugin for WordPress is vulnerable to privilege escalation in versions up to, and including, 2.0. This is due to the plugin allowing users who are registering new accounts to set their own role by supplying the 'listing_user_role' parameter. This makes it possible for unauthenticated attackers to gain elevated privileges by registering an account with the administrator role.</t>
        </is>
      </c>
      <c r="D76" s="189" t="n">
        <v>9.800000000000001</v>
      </c>
      <c r="E76" s="189" t="inlineStr">
        <is>
          <t>CRITICAL</t>
        </is>
      </c>
      <c r="F76" s="189" t="n">
        <v>2</v>
      </c>
      <c r="G76" s="189" t="n">
        <v>3</v>
      </c>
      <c r="H76" s="189" t="inlineStr">
        <is>
          <t>HIGH</t>
        </is>
      </c>
      <c r="I76" s="189" t="n">
        <v>15.8</v>
      </c>
      <c r="J76" s="189" t="inlineStr">
        <is>
          <t>NO</t>
        </is>
      </c>
      <c r="K76" s="189" t="inlineStr">
        <is>
          <t>https://nvd.nist.gov/vuln/detail/CVE-2025-12882</t>
        </is>
      </c>
      <c r="L76" s="189" t="inlineStr">
        <is>
          <t>2026-02-26 00:15</t>
        </is>
      </c>
      <c r="M76" s="189" t="inlineStr">
        <is>
          <t>CHECK_VENDOR</t>
        </is>
      </c>
      <c r="N76" s="189" t="inlineStr">
        <is>
          <t>See NVD references</t>
        </is>
      </c>
      <c r="O76" s="189" t="inlineStr">
        <is>
          <t>Apply vendor patches</t>
        </is>
      </c>
      <c r="P76" s="189" t="inlineStr">
        <is>
          <t>See CVE details</t>
        </is>
      </c>
      <c r="Q76" s="189" t="inlineStr">
        <is>
          <t>P3</t>
        </is>
      </c>
      <c r="R76" s="189" t="inlineStr">
        <is>
          <t>🚨 URGENT: Apply vendor patches immediately | 🔒 Isolate affected systems if patch unavailable | 🛡️ Enable additional monitoring/IDS rules</t>
        </is>
      </c>
      <c r="S76" s="189" t="inlineStr">
        <is>
          <t>CVE - IP enrichment n/a</t>
        </is>
      </c>
      <c r="T76" s="189" t="n">
        <v>0</v>
      </c>
      <c r="U76" s="189" t="n">
        <v>0</v>
      </c>
      <c r="V76" s="189" t="inlineStr">
        <is>
          <t>T1068:Exploitation for Privilege Escalation</t>
        </is>
      </c>
      <c r="W76" s="189" t="n">
        <v>1</v>
      </c>
      <c r="X76" s="189" t="inlineStr">
        <is>
          <t>LOW (40%)</t>
        </is>
      </c>
      <c r="Y76" s="189" t="inlineStr">
        <is>
          <t>UNLIKELY</t>
        </is>
      </c>
      <c r="Z76" s="189" t="inlineStr">
        <is>
          <t>CHECK_VENDOR</t>
        </is>
      </c>
      <c r="AA76" s="189" t="inlineStr">
        <is>
          <t>https://nvd.nist.gov/vuln/detail/CVE-2025-12882</t>
        </is>
      </c>
      <c r="AB76" s="189" t="inlineStr">
        <is>
          <t>NONE</t>
        </is>
      </c>
      <c r="AC76" s="189" t="n">
        <v>0</v>
      </c>
      <c r="AD76" s="189" t="inlineStr"/>
    </row>
    <row r="77">
      <c r="A77" s="187" t="inlineStr">
        <is>
          <t>CVE</t>
        </is>
      </c>
      <c r="B77" s="187" t="inlineStr">
        <is>
          <t>CVE-2025-12884</t>
        </is>
      </c>
      <c r="C77" s="187" t="inlineStr">
        <is>
          <t>The Advanced Ads – Ad Manager &amp; AdSense plugin for WordPress is vulnerable to authorization bypass in versions up to, and including, 2.0.14. This is due to the plugin not properly verifying that a user is authorized to perform an action in the `placement_update_item()` function. This makes it possible for authenticated attackers, with subscriber-level access and above, to update ad placements, allowing them to change which ad or ad group a placement serves.</t>
        </is>
      </c>
      <c r="D77" s="187" t="n">
        <v>4.3</v>
      </c>
      <c r="E77" s="187" t="inlineStr">
        <is>
          <t>MEDIUM</t>
        </is>
      </c>
      <c r="F77" s="187" t="n">
        <v>2</v>
      </c>
      <c r="G77" s="187" t="n">
        <v>2</v>
      </c>
      <c r="H77" s="187" t="inlineStr">
        <is>
          <t>MEDIUM</t>
        </is>
      </c>
      <c r="I77" s="187" t="n">
        <v>8.300000000000001</v>
      </c>
      <c r="J77" s="187" t="inlineStr">
        <is>
          <t>NO</t>
        </is>
      </c>
      <c r="K77" s="187" t="inlineStr">
        <is>
          <t>https://nvd.nist.gov/vuln/detail/CVE-2025-12884</t>
        </is>
      </c>
      <c r="L77" s="187" t="inlineStr">
        <is>
          <t>2026-02-26 00:15</t>
        </is>
      </c>
      <c r="M77" s="187" t="inlineStr">
        <is>
          <t>CHECK_VENDOR</t>
        </is>
      </c>
      <c r="N77" s="187" t="inlineStr">
        <is>
          <t>See NVD references</t>
        </is>
      </c>
      <c r="O77" s="187" t="inlineStr">
        <is>
          <t>Apply vendor patches</t>
        </is>
      </c>
      <c r="P77" s="187" t="inlineStr">
        <is>
          <t>See CVE details</t>
        </is>
      </c>
      <c r="Q77" s="187" t="inlineStr">
        <is>
          <t>P4</t>
        </is>
      </c>
      <c r="R77" s="187" t="inlineStr">
        <is>
          <t>📅 Schedule patch deployment within 30 days | 🔍 Monitor for exploitation attempts</t>
        </is>
      </c>
      <c r="S77" s="187" t="inlineStr">
        <is>
          <t>CVE - IP enrichment n/a</t>
        </is>
      </c>
      <c r="T77" s="187" t="n">
        <v>0</v>
      </c>
      <c r="U77" s="187" t="n">
        <v>0</v>
      </c>
      <c r="V77" s="187" t="inlineStr">
        <is>
          <t>T1190:Exploit Public-Facing Application</t>
        </is>
      </c>
      <c r="W77" s="187" t="n">
        <v>1</v>
      </c>
      <c r="X77" s="187" t="inlineStr">
        <is>
          <t>LOW (40%)</t>
        </is>
      </c>
      <c r="Y77" s="187" t="inlineStr">
        <is>
          <t>UNLIKELY</t>
        </is>
      </c>
      <c r="Z77" s="187" t="inlineStr">
        <is>
          <t>CHECK_VENDOR</t>
        </is>
      </c>
      <c r="AA77" s="187" t="inlineStr">
        <is>
          <t>https://nvd.nist.gov/vuln/detail/CVE-2025-12884</t>
        </is>
      </c>
      <c r="AB77" s="187" t="inlineStr">
        <is>
          <t>NONE</t>
        </is>
      </c>
      <c r="AC77" s="187" t="n">
        <v>0</v>
      </c>
      <c r="AD77" s="187" t="inlineStr"/>
    </row>
    <row r="78">
      <c r="A78" s="188" t="inlineStr">
        <is>
          <t>CVE</t>
        </is>
      </c>
      <c r="B78" s="188" t="inlineStr">
        <is>
          <t>CVE-2025-12975</t>
        </is>
      </c>
      <c r="C78" s="188" t="inlineStr">
        <is>
          <t>The CTX Feed – WooCommerce Product Feed Manager plugin for WordPress is vulnerable to unauthorized arbitrary plugin installation due to a missing capability check on the woo_feed_plugin_installing() function in all versions up to, and including, 6.6.11. This makes it possible for authenticated attackers, with Shop Manager-level access and above, to install arbitrary plugins which can be leveraged to achieve remote code execution.</t>
        </is>
      </c>
      <c r="D78" s="188" t="n">
        <v>7.2</v>
      </c>
      <c r="E78" s="188" t="inlineStr">
        <is>
          <t>HIGH</t>
        </is>
      </c>
      <c r="F78" s="188" t="n">
        <v>2</v>
      </c>
      <c r="G78" s="188" t="n">
        <v>3</v>
      </c>
      <c r="H78" s="188" t="inlineStr">
        <is>
          <t>HIGH</t>
        </is>
      </c>
      <c r="I78" s="188" t="n">
        <v>13.2</v>
      </c>
      <c r="J78" s="188" t="inlineStr">
        <is>
          <t>NO</t>
        </is>
      </c>
      <c r="K78" s="188" t="inlineStr">
        <is>
          <t>https://nvd.nist.gov/vuln/detail/CVE-2025-12975</t>
        </is>
      </c>
      <c r="L78" s="188" t="inlineStr">
        <is>
          <t>2026-02-26 00:15</t>
        </is>
      </c>
      <c r="M78" s="188" t="inlineStr">
        <is>
          <t>CHECK_VENDOR</t>
        </is>
      </c>
      <c r="N78" s="188" t="inlineStr">
        <is>
          <t>See NVD references</t>
        </is>
      </c>
      <c r="O78" s="188" t="inlineStr">
        <is>
          <t>Apply vendor patches</t>
        </is>
      </c>
      <c r="P78" s="188" t="inlineStr">
        <is>
          <t>See CVE details</t>
        </is>
      </c>
      <c r="Q78" s="188" t="inlineStr">
        <is>
          <t>P3</t>
        </is>
      </c>
      <c r="R78" s="188" t="inlineStr">
        <is>
          <t>🚨 URGENT: Apply vendor patches immediately | 🔒 Isolate affected systems if patch unavailable | 🛡️ Enable additional monitoring/IDS rules</t>
        </is>
      </c>
      <c r="S78" s="188" t="inlineStr">
        <is>
          <t>CVE - IP enrichment n/a</t>
        </is>
      </c>
      <c r="T78" s="188" t="n">
        <v>0</v>
      </c>
      <c r="U78" s="188" t="n">
        <v>0</v>
      </c>
      <c r="V78" s="188" t="inlineStr">
        <is>
          <t>T1190:Exploit Public-Facing Application | T1210:Exploitation of Remote Services</t>
        </is>
      </c>
      <c r="W78" s="188" t="n">
        <v>1</v>
      </c>
      <c r="X78" s="188" t="inlineStr">
        <is>
          <t>LOW (40%)</t>
        </is>
      </c>
      <c r="Y78" s="188" t="inlineStr">
        <is>
          <t>UNLIKELY</t>
        </is>
      </c>
      <c r="Z78" s="188" t="inlineStr">
        <is>
          <t>CHECK_VENDOR</t>
        </is>
      </c>
      <c r="AA78" s="188" t="inlineStr">
        <is>
          <t>https://nvd.nist.gov/vuln/detail/CVE-2025-12975</t>
        </is>
      </c>
      <c r="AB78" s="188" t="inlineStr">
        <is>
          <t>NONE</t>
        </is>
      </c>
      <c r="AC78" s="188" t="n">
        <v>0</v>
      </c>
      <c r="AD78" s="188" t="inlineStr"/>
    </row>
    <row r="79">
      <c r="A79" s="187" t="inlineStr">
        <is>
          <t>CVE</t>
        </is>
      </c>
      <c r="B79" s="187" t="inlineStr">
        <is>
          <t>CVE-2025-13048</t>
        </is>
      </c>
      <c r="C79" s="187" t="inlineStr">
        <is>
          <t>The StatCounter – Free Real Time Visitor Stats plugin for WordPress is vulnerable to Stored Cross-Site Scripting via the user's Nickname in all versions up to, and including, 2.1.0 due to insufficient input sanitization and output escaping. This makes it possible for authenticated attackers, with Contributor-level access and above, to inject arbitrary web scripts in pages that will execute whenever a user accesses an injected page.</t>
        </is>
      </c>
      <c r="D79" s="187" t="n">
        <v>6.4</v>
      </c>
      <c r="E79" s="187" t="inlineStr">
        <is>
          <t>MEDIUM</t>
        </is>
      </c>
      <c r="F79" s="187" t="n">
        <v>2</v>
      </c>
      <c r="G79" s="187" t="n">
        <v>2</v>
      </c>
      <c r="H79" s="187" t="inlineStr">
        <is>
          <t>MEDIUM</t>
        </is>
      </c>
      <c r="I79" s="187" t="n">
        <v>10.4</v>
      </c>
      <c r="J79" s="187" t="inlineStr">
        <is>
          <t>NO</t>
        </is>
      </c>
      <c r="K79" s="187" t="inlineStr">
        <is>
          <t>https://nvd.nist.gov/vuln/detail/CVE-2025-13048</t>
        </is>
      </c>
      <c r="L79" s="187" t="inlineStr">
        <is>
          <t>2026-02-26 00:15</t>
        </is>
      </c>
      <c r="M79" s="187" t="inlineStr">
        <is>
          <t>CHECK_VENDOR</t>
        </is>
      </c>
      <c r="N79" s="187" t="inlineStr">
        <is>
          <t>See NVD references</t>
        </is>
      </c>
      <c r="O79" s="187" t="inlineStr">
        <is>
          <t>Apply vendor patches</t>
        </is>
      </c>
      <c r="P79" s="187" t="inlineStr">
        <is>
          <t>See CVE details</t>
        </is>
      </c>
      <c r="Q79" s="187" t="inlineStr">
        <is>
          <t>P4</t>
        </is>
      </c>
      <c r="R79" s="187" t="inlineStr">
        <is>
          <t>📅 Schedule patch deployment within 30 days | 🔍 Monitor for exploitation attempts</t>
        </is>
      </c>
      <c r="S79" s="187" t="inlineStr">
        <is>
          <t>CVE - IP enrichment n/a</t>
        </is>
      </c>
      <c r="T79" s="187" t="n">
        <v>0</v>
      </c>
      <c r="U79" s="187" t="n">
        <v>0</v>
      </c>
      <c r="V79" s="187" t="inlineStr">
        <is>
          <t>T1189:Drive-by Compromise</t>
        </is>
      </c>
      <c r="W79" s="187" t="n">
        <v>1</v>
      </c>
      <c r="X79" s="187" t="inlineStr">
        <is>
          <t>LOW (40%)</t>
        </is>
      </c>
      <c r="Y79" s="187" t="inlineStr">
        <is>
          <t>UNLIKELY</t>
        </is>
      </c>
      <c r="Z79" s="187" t="inlineStr">
        <is>
          <t>CHECK_VENDOR</t>
        </is>
      </c>
      <c r="AA79" s="187" t="inlineStr">
        <is>
          <t>https://nvd.nist.gov/vuln/detail/CVE-2025-13048</t>
        </is>
      </c>
      <c r="AB79" s="187" t="inlineStr">
        <is>
          <t>NONE</t>
        </is>
      </c>
      <c r="AC79" s="187" t="n">
        <v>0</v>
      </c>
      <c r="AD79" s="187" t="inlineStr"/>
    </row>
    <row r="80">
      <c r="A80" s="187" t="inlineStr">
        <is>
          <t>CVE</t>
        </is>
      </c>
      <c r="B80" s="187" t="inlineStr">
        <is>
          <t>CVE-2025-13079</t>
        </is>
      </c>
      <c r="C80" s="187" t="inlineStr">
        <is>
          <t>The Popup Builder – Create highly converting, mobile friendly marketing popups. plugin for WordPress is vulnerable to authorization bypass in all versions up to, and including, 4.4.2. This is due to the plugin generating predictable unsubscribe tokens using deterministic data. This makes it possible for unauthenticated attackers to unsubscribe arbitrary subscribers from mailing lists via brute-forcing the unsubscribe token, granted they know the victim's email address</t>
        </is>
      </c>
      <c r="D80" s="187" t="n">
        <v>5.3</v>
      </c>
      <c r="E80" s="187" t="inlineStr">
        <is>
          <t>MEDIUM</t>
        </is>
      </c>
      <c r="F80" s="187" t="n">
        <v>2</v>
      </c>
      <c r="G80" s="187" t="n">
        <v>2</v>
      </c>
      <c r="H80" s="187" t="inlineStr">
        <is>
          <t>MEDIUM</t>
        </is>
      </c>
      <c r="I80" s="187" t="n">
        <v>9.300000000000001</v>
      </c>
      <c r="J80" s="187" t="inlineStr">
        <is>
          <t>NO</t>
        </is>
      </c>
      <c r="K80" s="187" t="inlineStr">
        <is>
          <t>https://nvd.nist.gov/vuln/detail/CVE-2025-13079</t>
        </is>
      </c>
      <c r="L80" s="187" t="inlineStr">
        <is>
          <t>2026-02-26 00:15</t>
        </is>
      </c>
      <c r="M80" s="187" t="inlineStr">
        <is>
          <t>CHECK_VENDOR</t>
        </is>
      </c>
      <c r="N80" s="187" t="inlineStr">
        <is>
          <t>See NVD references</t>
        </is>
      </c>
      <c r="O80" s="187" t="inlineStr">
        <is>
          <t>Apply vendor patches</t>
        </is>
      </c>
      <c r="P80" s="187" t="inlineStr">
        <is>
          <t>See CVE details</t>
        </is>
      </c>
      <c r="Q80" s="187" t="inlineStr">
        <is>
          <t>P4</t>
        </is>
      </c>
      <c r="R80" s="187" t="inlineStr">
        <is>
          <t>📅 Schedule patch deployment within 30 days | 🔍 Monitor for exploitation attempts</t>
        </is>
      </c>
      <c r="S80" s="187" t="inlineStr">
        <is>
          <t>CVE - IP enrichment n/a</t>
        </is>
      </c>
      <c r="T80" s="187" t="n">
        <v>0</v>
      </c>
      <c r="U80" s="187" t="n">
        <v>0</v>
      </c>
      <c r="V80" s="187" t="inlineStr">
        <is>
          <t>T1190:Exploit Public-Facing Application</t>
        </is>
      </c>
      <c r="W80" s="187" t="n">
        <v>1</v>
      </c>
      <c r="X80" s="187" t="inlineStr">
        <is>
          <t>LOW (40%)</t>
        </is>
      </c>
      <c r="Y80" s="187" t="inlineStr">
        <is>
          <t>UNLIKELY</t>
        </is>
      </c>
      <c r="Z80" s="187" t="inlineStr">
        <is>
          <t>CHECK_VENDOR</t>
        </is>
      </c>
      <c r="AA80" s="187" t="inlineStr">
        <is>
          <t>https://nvd.nist.gov/vuln/detail/CVE-2025-13079</t>
        </is>
      </c>
      <c r="AB80" s="187" t="inlineStr">
        <is>
          <t>NONE</t>
        </is>
      </c>
      <c r="AC80" s="187" t="n">
        <v>0</v>
      </c>
      <c r="AD80" s="187" t="inlineStr"/>
    </row>
    <row r="81">
      <c r="A81" s="187" t="inlineStr">
        <is>
          <t>CVE</t>
        </is>
      </c>
      <c r="B81" s="187" t="inlineStr">
        <is>
          <t>CVE-2025-13091</t>
        </is>
      </c>
      <c r="C81" s="187" t="inlineStr">
        <is>
          <t>The Shopire theme for WordPress is vulnerable to unauthorized modification of data due to a missing capability check on the shopire_admin_install_plugin() function in all versions up to, and including, 1.0.57. This makes it possible for authenticated attackers, with Subscriber-level access and above, to install the 'fable-extra' plugin.</t>
        </is>
      </c>
      <c r="D81" s="187" t="n">
        <v>4.3</v>
      </c>
      <c r="E81" s="187" t="inlineStr">
        <is>
          <t>MEDIUM</t>
        </is>
      </c>
      <c r="F81" s="187" t="n">
        <v>2</v>
      </c>
      <c r="G81" s="187" t="n">
        <v>2</v>
      </c>
      <c r="H81" s="187" t="inlineStr">
        <is>
          <t>MEDIUM</t>
        </is>
      </c>
      <c r="I81" s="187" t="n">
        <v>8.300000000000001</v>
      </c>
      <c r="J81" s="187" t="inlineStr">
        <is>
          <t>NO</t>
        </is>
      </c>
      <c r="K81" s="187" t="inlineStr">
        <is>
          <t>https://nvd.nist.gov/vuln/detail/CVE-2025-13091</t>
        </is>
      </c>
      <c r="L81" s="187" t="inlineStr">
        <is>
          <t>2026-02-26 00:15</t>
        </is>
      </c>
      <c r="M81" s="187" t="inlineStr">
        <is>
          <t>CHECK_VENDOR</t>
        </is>
      </c>
      <c r="N81" s="187" t="inlineStr">
        <is>
          <t>See NVD references</t>
        </is>
      </c>
      <c r="O81" s="187" t="inlineStr">
        <is>
          <t>Apply vendor patches</t>
        </is>
      </c>
      <c r="P81" s="187" t="inlineStr">
        <is>
          <t>See CVE details</t>
        </is>
      </c>
      <c r="Q81" s="187" t="inlineStr">
        <is>
          <t>P4</t>
        </is>
      </c>
      <c r="R81" s="187" t="inlineStr">
        <is>
          <t>📅 Schedule patch deployment within 30 days | 🔍 Monitor for exploitation attempts</t>
        </is>
      </c>
      <c r="S81" s="187" t="inlineStr">
        <is>
          <t>CVE - IP enrichment n/a</t>
        </is>
      </c>
      <c r="T81" s="187" t="n">
        <v>0.0004</v>
      </c>
      <c r="U81" s="187" t="n">
        <v>0.1133</v>
      </c>
      <c r="V81" s="187" t="inlineStr">
        <is>
          <t>T1190:Exploit Public-Facing Application</t>
        </is>
      </c>
      <c r="W81" s="187" t="n">
        <v>1</v>
      </c>
      <c r="X81" s="187" t="inlineStr">
        <is>
          <t>LOW (40%)</t>
        </is>
      </c>
      <c r="Y81" s="187" t="inlineStr">
        <is>
          <t>UNLIKELY</t>
        </is>
      </c>
      <c r="Z81" s="187" t="inlineStr">
        <is>
          <t>CHECK_VENDOR</t>
        </is>
      </c>
      <c r="AA81" s="187" t="inlineStr">
        <is>
          <t>https://nvd.nist.gov/vuln/detail/CVE-2025-13091</t>
        </is>
      </c>
      <c r="AB81" s="187" t="inlineStr">
        <is>
          <t>NONE</t>
        </is>
      </c>
      <c r="AC81" s="187" t="n">
        <v>0</v>
      </c>
      <c r="AD81" s="187" t="inlineStr"/>
    </row>
    <row r="82">
      <c r="A82" s="187" t="inlineStr">
        <is>
          <t>CVE</t>
        </is>
      </c>
      <c r="B82" s="187" t="inlineStr">
        <is>
          <t>CVE-2025-13113</t>
        </is>
      </c>
      <c r="C82" s="187" t="inlineStr">
        <is>
          <t xml:space="preserve">The Web Accessibility by accessiBe plugin for WordPress is vulnerable to Sensitive Information Exposure in all versions up to, and including, 2.11. This is due to the `accessibe_render_js_in_footer()` function logging the complete plugin options array to the browser console on public pages, without restricting output to privileged users or checking for debug mode. This makes it possible for unauthenticated attackers to view sensitive configuration data, including email addresses, accessiBe user </t>
        </is>
      </c>
      <c r="D82" s="187" t="n">
        <v>5.3</v>
      </c>
      <c r="E82" s="187" t="inlineStr">
        <is>
          <t>MEDIUM</t>
        </is>
      </c>
      <c r="F82" s="187" t="n">
        <v>2</v>
      </c>
      <c r="G82" s="187" t="n">
        <v>2</v>
      </c>
      <c r="H82" s="187" t="inlineStr">
        <is>
          <t>MEDIUM</t>
        </is>
      </c>
      <c r="I82" s="187" t="n">
        <v>9.300000000000001</v>
      </c>
      <c r="J82" s="187" t="inlineStr">
        <is>
          <t>NO</t>
        </is>
      </c>
      <c r="K82" s="187" t="inlineStr">
        <is>
          <t>https://nvd.nist.gov/vuln/detail/CVE-2025-13113</t>
        </is>
      </c>
      <c r="L82" s="187" t="inlineStr">
        <is>
          <t>2026-02-26 00:15</t>
        </is>
      </c>
      <c r="M82" s="187" t="inlineStr">
        <is>
          <t>CHECK_VENDOR</t>
        </is>
      </c>
      <c r="N82" s="187" t="inlineStr">
        <is>
          <t>See NVD references</t>
        </is>
      </c>
      <c r="O82" s="187" t="inlineStr">
        <is>
          <t>Apply vendor patches</t>
        </is>
      </c>
      <c r="P82" s="187" t="inlineStr">
        <is>
          <t>See CVE details</t>
        </is>
      </c>
      <c r="Q82" s="187" t="inlineStr">
        <is>
          <t>P4</t>
        </is>
      </c>
      <c r="R82" s="187" t="inlineStr">
        <is>
          <t>📅 Schedule patch deployment within 30 days | 🔍 Monitor for exploitation attempts</t>
        </is>
      </c>
      <c r="S82" s="187" t="inlineStr">
        <is>
          <t>CVE - IP enrichment n/a</t>
        </is>
      </c>
      <c r="T82" s="187" t="n">
        <v>0.0004</v>
      </c>
      <c r="U82" s="187" t="n">
        <v>0.1213</v>
      </c>
      <c r="V82" s="187" t="inlineStr">
        <is>
          <t>T1213:Data from Information Repositories</t>
        </is>
      </c>
      <c r="W82" s="187" t="n">
        <v>1</v>
      </c>
      <c r="X82" s="187" t="inlineStr">
        <is>
          <t>LOW (40%)</t>
        </is>
      </c>
      <c r="Y82" s="187" t="inlineStr">
        <is>
          <t>UNLIKELY</t>
        </is>
      </c>
      <c r="Z82" s="187" t="inlineStr">
        <is>
          <t>CHECK_VENDOR</t>
        </is>
      </c>
      <c r="AA82" s="187" t="inlineStr">
        <is>
          <t>https://nvd.nist.gov/vuln/detail/CVE-2025-13113</t>
        </is>
      </c>
      <c r="AB82" s="187" t="inlineStr">
        <is>
          <t>NONE</t>
        </is>
      </c>
      <c r="AC82" s="187" t="n">
        <v>0</v>
      </c>
      <c r="AD82" s="187" t="inlineStr"/>
    </row>
    <row r="83">
      <c r="A83" s="187" t="inlineStr">
        <is>
          <t>CVE</t>
        </is>
      </c>
      <c r="B83" s="187" t="inlineStr">
        <is>
          <t>CVE-2025-13413</t>
        </is>
      </c>
      <c r="C83" s="187" t="inlineStr">
        <is>
          <t>The Country Blocker for AdSense plugin for WordPress is vulnerable to Cross-Site Request Forgery in all versions up to, and including, 1.0. This is due to missing nonce validation on the CBFA_guardar_cbfa() function. This makes it possible for unauthenticated attackers to update the plugin's settings via a forged request granted they can trick a site administrator into performing an action such as clicking on a link.</t>
        </is>
      </c>
      <c r="D83" s="187" t="n">
        <v>4.3</v>
      </c>
      <c r="E83" s="187" t="inlineStr">
        <is>
          <t>MEDIUM</t>
        </is>
      </c>
      <c r="F83" s="187" t="n">
        <v>2</v>
      </c>
      <c r="G83" s="187" t="n">
        <v>2</v>
      </c>
      <c r="H83" s="187" t="inlineStr">
        <is>
          <t>MEDIUM</t>
        </is>
      </c>
      <c r="I83" s="187" t="n">
        <v>8.300000000000001</v>
      </c>
      <c r="J83" s="187" t="inlineStr">
        <is>
          <t>NO</t>
        </is>
      </c>
      <c r="K83" s="187" t="inlineStr">
        <is>
          <t>https://nvd.nist.gov/vuln/detail/CVE-2025-13413</t>
        </is>
      </c>
      <c r="L83" s="187" t="inlineStr">
        <is>
          <t>2026-02-26 00:15</t>
        </is>
      </c>
      <c r="M83" s="187" t="inlineStr">
        <is>
          <t>CHECK_VENDOR</t>
        </is>
      </c>
      <c r="N83" s="187" t="inlineStr">
        <is>
          <t>See NVD references</t>
        </is>
      </c>
      <c r="O83" s="187" t="inlineStr">
        <is>
          <t>Apply vendor patches</t>
        </is>
      </c>
      <c r="P83" s="187" t="inlineStr">
        <is>
          <t>See CVE details</t>
        </is>
      </c>
      <c r="Q83" s="187" t="inlineStr">
        <is>
          <t>P4</t>
        </is>
      </c>
      <c r="R83" s="187" t="inlineStr">
        <is>
          <t>📅 Schedule patch deployment within 30 days | 🔍 Monitor for exploitation attempts</t>
        </is>
      </c>
      <c r="S83" s="187" t="inlineStr">
        <is>
          <t>CVE - IP enrichment n/a</t>
        </is>
      </c>
      <c r="T83" s="187" t="n">
        <v>0.0001</v>
      </c>
      <c r="U83" s="187" t="n">
        <v>0.0182</v>
      </c>
      <c r="V83" s="187" t="inlineStr">
        <is>
          <t>T1185:Browser Session Hijacking</t>
        </is>
      </c>
      <c r="W83" s="187" t="n">
        <v>1</v>
      </c>
      <c r="X83" s="187" t="inlineStr">
        <is>
          <t>LOW (40%)</t>
        </is>
      </c>
      <c r="Y83" s="187" t="inlineStr">
        <is>
          <t>UNLIKELY</t>
        </is>
      </c>
      <c r="Z83" s="187" t="inlineStr">
        <is>
          <t>CHECK_VENDOR</t>
        </is>
      </c>
      <c r="AA83" s="187" t="inlineStr">
        <is>
          <t>https://nvd.nist.gov/vuln/detail/CVE-2025-13413</t>
        </is>
      </c>
      <c r="AB83" s="187" t="inlineStr">
        <is>
          <t>NONE</t>
        </is>
      </c>
      <c r="AC83" s="187" t="n">
        <v>0</v>
      </c>
      <c r="AD83" s="187" t="inlineStr"/>
    </row>
    <row r="84">
      <c r="A84" s="187" t="inlineStr">
        <is>
          <t>CVE</t>
        </is>
      </c>
      <c r="B84" s="187" t="inlineStr">
        <is>
          <t>CVE-2025-13438</t>
        </is>
      </c>
      <c r="C84" s="187" t="inlineStr">
        <is>
          <t>The Page Title, Description &amp; Open Graph Updater plugin for WordPress is vulnerable to Cross-Site Request Forgery in all versions up to, and including, 1.02. This is due to missing nonce validation on multiple AJAX actions including dieno_update_page_title. This makes it possible for unauthenticated attackers to update page titles and metadata via a forged request granted they can trick a site administrator into performing an action such as clicking on a link.</t>
        </is>
      </c>
      <c r="D84" s="187" t="n">
        <v>4.3</v>
      </c>
      <c r="E84" s="187" t="inlineStr">
        <is>
          <t>MEDIUM</t>
        </is>
      </c>
      <c r="F84" s="187" t="n">
        <v>2</v>
      </c>
      <c r="G84" s="187" t="n">
        <v>2</v>
      </c>
      <c r="H84" s="187" t="inlineStr">
        <is>
          <t>MEDIUM</t>
        </is>
      </c>
      <c r="I84" s="187" t="n">
        <v>8.300000000000001</v>
      </c>
      <c r="J84" s="187" t="inlineStr">
        <is>
          <t>NO</t>
        </is>
      </c>
      <c r="K84" s="187" t="inlineStr">
        <is>
          <t>https://nvd.nist.gov/vuln/detail/CVE-2025-13438</t>
        </is>
      </c>
      <c r="L84" s="187" t="inlineStr">
        <is>
          <t>2026-02-26 00:15</t>
        </is>
      </c>
      <c r="M84" s="187" t="inlineStr">
        <is>
          <t>CHECK_VENDOR</t>
        </is>
      </c>
      <c r="N84" s="187" t="inlineStr">
        <is>
          <t>See NVD references</t>
        </is>
      </c>
      <c r="O84" s="187" t="inlineStr">
        <is>
          <t>Apply vendor patches</t>
        </is>
      </c>
      <c r="P84" s="187" t="inlineStr">
        <is>
          <t>See CVE details</t>
        </is>
      </c>
      <c r="Q84" s="187" t="inlineStr">
        <is>
          <t>P4</t>
        </is>
      </c>
      <c r="R84" s="187" t="inlineStr">
        <is>
          <t>📅 Schedule patch deployment within 30 days | 🔍 Monitor for exploitation attempts</t>
        </is>
      </c>
      <c r="S84" s="187" t="inlineStr">
        <is>
          <t>CVE - IP enrichment n/a</t>
        </is>
      </c>
      <c r="T84" s="187" t="n">
        <v>0</v>
      </c>
      <c r="U84" s="187" t="n">
        <v>0</v>
      </c>
      <c r="V84" s="187" t="inlineStr">
        <is>
          <t>T1185:Browser Session Hijacking</t>
        </is>
      </c>
      <c r="W84" s="187" t="n">
        <v>1</v>
      </c>
      <c r="X84" s="187" t="inlineStr">
        <is>
          <t>LOW (40%)</t>
        </is>
      </c>
      <c r="Y84" s="187" t="inlineStr">
        <is>
          <t>UNLIKELY</t>
        </is>
      </c>
      <c r="Z84" s="187" t="inlineStr">
        <is>
          <t>CHECK_VENDOR</t>
        </is>
      </c>
      <c r="AA84" s="187" t="inlineStr">
        <is>
          <t>https://nvd.nist.gov/vuln/detail/CVE-2025-13438</t>
        </is>
      </c>
      <c r="AB84" s="187" t="inlineStr">
        <is>
          <t>NONE</t>
        </is>
      </c>
      <c r="AC84" s="187" t="n">
        <v>0</v>
      </c>
      <c r="AD84" s="187" t="inlineStr"/>
    </row>
    <row r="85">
      <c r="A85" s="189" t="inlineStr">
        <is>
          <t>CVE</t>
        </is>
      </c>
      <c r="B85" s="189" t="inlineStr">
        <is>
          <t>CVE-2025-13563</t>
        </is>
      </c>
      <c r="C85" s="189" t="inlineStr">
        <is>
          <t>The Lizza LMS Pro plugin for WordPress is vulnerable to Privilege Escalation in all versions up to, and including, 1.0.3. This is due to the 'lizza_lms_pro_register_user_front_end' function not restricting what user roles a user can register with. This makes it possible for unauthenticated attackers to supply the 'administrator' role during registration and gain administrator access to the site.</t>
        </is>
      </c>
      <c r="D85" s="189" t="n">
        <v>9.800000000000001</v>
      </c>
      <c r="E85" s="189" t="inlineStr">
        <is>
          <t>CRITICAL</t>
        </is>
      </c>
      <c r="F85" s="189" t="n">
        <v>2</v>
      </c>
      <c r="G85" s="189" t="n">
        <v>3</v>
      </c>
      <c r="H85" s="189" t="inlineStr">
        <is>
          <t>HIGH</t>
        </is>
      </c>
      <c r="I85" s="189" t="n">
        <v>15.8</v>
      </c>
      <c r="J85" s="189" t="inlineStr">
        <is>
          <t>NO</t>
        </is>
      </c>
      <c r="K85" s="189" t="inlineStr">
        <is>
          <t>https://nvd.nist.gov/vuln/detail/CVE-2025-13563</t>
        </is>
      </c>
      <c r="L85" s="189" t="inlineStr">
        <is>
          <t>2026-02-26 00:15</t>
        </is>
      </c>
      <c r="M85" s="189" t="inlineStr">
        <is>
          <t>CHECK_VENDOR</t>
        </is>
      </c>
      <c r="N85" s="189" t="inlineStr">
        <is>
          <t>See NVD references</t>
        </is>
      </c>
      <c r="O85" s="189" t="inlineStr">
        <is>
          <t>Apply vendor patches</t>
        </is>
      </c>
      <c r="P85" s="189" t="inlineStr">
        <is>
          <t>See CVE details</t>
        </is>
      </c>
      <c r="Q85" s="189" t="inlineStr">
        <is>
          <t>P3</t>
        </is>
      </c>
      <c r="R85" s="189" t="inlineStr">
        <is>
          <t>🚨 URGENT: Apply vendor patches immediately | 🔒 Isolate affected systems if patch unavailable | 🛡️ Enable additional monitoring/IDS rules</t>
        </is>
      </c>
      <c r="S85" s="189" t="inlineStr">
        <is>
          <t>CVE - IP enrichment n/a</t>
        </is>
      </c>
      <c r="T85" s="189" t="n">
        <v>0</v>
      </c>
      <c r="U85" s="189" t="n">
        <v>0</v>
      </c>
      <c r="V85" s="189" t="inlineStr">
        <is>
          <t>T1068:Exploitation for Privilege Escalation</t>
        </is>
      </c>
      <c r="W85" s="189" t="n">
        <v>1</v>
      </c>
      <c r="X85" s="189" t="inlineStr">
        <is>
          <t>LOW (40%)</t>
        </is>
      </c>
      <c r="Y85" s="189" t="inlineStr">
        <is>
          <t>UNLIKELY</t>
        </is>
      </c>
      <c r="Z85" s="189" t="inlineStr">
        <is>
          <t>CHECK_VENDOR</t>
        </is>
      </c>
      <c r="AA85" s="189" t="inlineStr">
        <is>
          <t>https://nvd.nist.gov/vuln/detail/CVE-2025-13563</t>
        </is>
      </c>
      <c r="AB85" s="189" t="inlineStr">
        <is>
          <t>NONE</t>
        </is>
      </c>
      <c r="AC85" s="189" t="n">
        <v>0</v>
      </c>
      <c r="AD85" s="189" t="inlineStr"/>
    </row>
    <row r="86">
      <c r="A86" s="187" t="inlineStr">
        <is>
          <t>CVE</t>
        </is>
      </c>
      <c r="B86" s="187" t="inlineStr">
        <is>
          <t>CVE-2025-13587</t>
        </is>
      </c>
      <c r="C86" s="187" t="inlineStr">
        <is>
          <t>The Two Factor (2FA) Authentication via Email plugin for WordPress is vulnerable to Two-Factor Authentication Bypass in versions up to, and including, 1.9.8. This is because the SS88_2FAVE::wp_login() method only enforces the 2FA requirement if the 'token' HTTP GET parameter is undefined, which makes it possible to bypass two-factor authentication by supplying any value in the 'token' parameter during login, including an empty one.</t>
        </is>
      </c>
      <c r="D86" s="187" t="n">
        <v>6.5</v>
      </c>
      <c r="E86" s="187" t="inlineStr">
        <is>
          <t>MEDIUM</t>
        </is>
      </c>
      <c r="F86" s="187" t="n">
        <v>2</v>
      </c>
      <c r="G86" s="187" t="n">
        <v>2</v>
      </c>
      <c r="H86" s="187" t="inlineStr">
        <is>
          <t>MEDIUM</t>
        </is>
      </c>
      <c r="I86" s="187" t="n">
        <v>10.5</v>
      </c>
      <c r="J86" s="187" t="inlineStr">
        <is>
          <t>NO</t>
        </is>
      </c>
      <c r="K86" s="187" t="inlineStr">
        <is>
          <t>https://nvd.nist.gov/vuln/detail/CVE-2025-13587</t>
        </is>
      </c>
      <c r="L86" s="187" t="inlineStr">
        <is>
          <t>2026-02-26 00:15</t>
        </is>
      </c>
      <c r="M86" s="187" t="inlineStr">
        <is>
          <t>CHECK_VENDOR</t>
        </is>
      </c>
      <c r="N86" s="187" t="inlineStr">
        <is>
          <t>See NVD references</t>
        </is>
      </c>
      <c r="O86" s="187" t="inlineStr">
        <is>
          <t>Apply vendor patches</t>
        </is>
      </c>
      <c r="P86" s="187" t="inlineStr">
        <is>
          <t>See CVE details</t>
        </is>
      </c>
      <c r="Q86" s="187" t="inlineStr">
        <is>
          <t>P4</t>
        </is>
      </c>
      <c r="R86" s="187" t="inlineStr">
        <is>
          <t>📅 Schedule patch deployment within 30 days | 🔍 Monitor for exploitation attempts</t>
        </is>
      </c>
      <c r="S86" s="187" t="inlineStr">
        <is>
          <t>CVE - IP enrichment n/a</t>
        </is>
      </c>
      <c r="T86" s="187" t="n">
        <v>0.001</v>
      </c>
      <c r="U86" s="187" t="n">
        <v>0.2851</v>
      </c>
      <c r="V86" s="187" t="inlineStr">
        <is>
          <t>T1190:Exploit Public-Facing Application | T1078:Valid Accounts</t>
        </is>
      </c>
      <c r="W86" s="187" t="n">
        <v>1</v>
      </c>
      <c r="X86" s="187" t="inlineStr">
        <is>
          <t>LOW (40%)</t>
        </is>
      </c>
      <c r="Y86" s="187" t="inlineStr">
        <is>
          <t>UNLIKELY</t>
        </is>
      </c>
      <c r="Z86" s="187" t="inlineStr">
        <is>
          <t>CHECK_VENDOR</t>
        </is>
      </c>
      <c r="AA86" s="187" t="inlineStr">
        <is>
          <t>https://nvd.nist.gov/vuln/detail/CVE-2025-13587</t>
        </is>
      </c>
      <c r="AB86" s="187" t="inlineStr">
        <is>
          <t>NONE</t>
        </is>
      </c>
      <c r="AC86" s="187" t="n">
        <v>0</v>
      </c>
      <c r="AD86" s="187" t="inlineStr"/>
    </row>
    <row r="87">
      <c r="A87" s="188" t="inlineStr">
        <is>
          <t>CVE</t>
        </is>
      </c>
      <c r="B87" s="188" t="inlineStr">
        <is>
          <t>CVE-2025-13603</t>
        </is>
      </c>
      <c r="C87" s="188" t="inlineStr">
        <is>
          <t>The WP AUDIO GALLERY plugin for WordPress is vulnerable to Unauthorized Arbitrary File Read in all versions up to, and including, 2.0. This is due to insufficient capability checks and lack of nonce verification on the "wpag_htaccess_callback" function This makes it possible for authenticated attackers, with subscriber-level access and above, to overwrite the site's .htaccess file with arbitrary content, which can lead to arbitrary file read on the server under certain configurations.</t>
        </is>
      </c>
      <c r="D87" s="188" t="n">
        <v>8.800000000000001</v>
      </c>
      <c r="E87" s="188" t="inlineStr">
        <is>
          <t>HIGH</t>
        </is>
      </c>
      <c r="F87" s="188" t="n">
        <v>2</v>
      </c>
      <c r="G87" s="188" t="n">
        <v>3</v>
      </c>
      <c r="H87" s="188" t="inlineStr">
        <is>
          <t>HIGH</t>
        </is>
      </c>
      <c r="I87" s="188" t="n">
        <v>14.8</v>
      </c>
      <c r="J87" s="188" t="inlineStr">
        <is>
          <t>NO</t>
        </is>
      </c>
      <c r="K87" s="188" t="inlineStr">
        <is>
          <t>https://nvd.nist.gov/vuln/detail/CVE-2025-13603</t>
        </is>
      </c>
      <c r="L87" s="188" t="inlineStr">
        <is>
          <t>2026-02-26 00:15</t>
        </is>
      </c>
      <c r="M87" s="188" t="inlineStr">
        <is>
          <t>CHECK_VENDOR</t>
        </is>
      </c>
      <c r="N87" s="188" t="inlineStr">
        <is>
          <t>See NVD references</t>
        </is>
      </c>
      <c r="O87" s="188" t="inlineStr">
        <is>
          <t>Apply vendor patches</t>
        </is>
      </c>
      <c r="P87" s="188" t="inlineStr">
        <is>
          <t>See CVE details</t>
        </is>
      </c>
      <c r="Q87" s="188" t="inlineStr">
        <is>
          <t>P3</t>
        </is>
      </c>
      <c r="R87" s="188" t="inlineStr">
        <is>
          <t>🚨 URGENT: Apply vendor patches immediately | 🔒 Isolate affected systems if patch unavailable | 🛡️ Enable additional monitoring/IDS rules</t>
        </is>
      </c>
      <c r="S87" s="188" t="inlineStr">
        <is>
          <t>CVE - IP enrichment n/a</t>
        </is>
      </c>
      <c r="T87" s="188" t="n">
        <v>0</v>
      </c>
      <c r="U87" s="188" t="n">
        <v>0</v>
      </c>
      <c r="V87" s="188" t="inlineStr">
        <is>
          <t>T1190:Exploit Public-Facing Application</t>
        </is>
      </c>
      <c r="W87" s="188" t="n">
        <v>1</v>
      </c>
      <c r="X87" s="188" t="inlineStr">
        <is>
          <t>LOW (40%)</t>
        </is>
      </c>
      <c r="Y87" s="188" t="inlineStr">
        <is>
          <t>UNLIKELY</t>
        </is>
      </c>
      <c r="Z87" s="188" t="inlineStr">
        <is>
          <t>CHECK_VENDOR</t>
        </is>
      </c>
      <c r="AA87" s="188" t="inlineStr">
        <is>
          <t>https://nvd.nist.gov/vuln/detail/CVE-2025-13603</t>
        </is>
      </c>
      <c r="AB87" s="188" t="inlineStr">
        <is>
          <t>NONE</t>
        </is>
      </c>
      <c r="AC87" s="188" t="n">
        <v>0</v>
      </c>
      <c r="AD87" s="188" t="inlineStr"/>
    </row>
    <row r="88">
      <c r="A88" s="187" t="inlineStr">
        <is>
          <t>CVE</t>
        </is>
      </c>
      <c r="B88" s="187" t="inlineStr">
        <is>
          <t>CVE-2025-13612</t>
        </is>
      </c>
      <c r="C88" s="187" t="inlineStr">
        <is>
          <t>The Album and Image Gallery plus Lightbox plugin for WordPress is vulnerable to Stored Cross-Site Scripting via the plugin's `aigpl-gallery-album` shortcode in all versions up to, and including, 2.1.7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88" s="187" t="n">
        <v>6.4</v>
      </c>
      <c r="E88" s="187" t="inlineStr">
        <is>
          <t>MEDIUM</t>
        </is>
      </c>
      <c r="F88" s="187" t="n">
        <v>2</v>
      </c>
      <c r="G88" s="187" t="n">
        <v>2</v>
      </c>
      <c r="H88" s="187" t="inlineStr">
        <is>
          <t>MEDIUM</t>
        </is>
      </c>
      <c r="I88" s="187" t="n">
        <v>10.4</v>
      </c>
      <c r="J88" s="187" t="inlineStr">
        <is>
          <t>NO</t>
        </is>
      </c>
      <c r="K88" s="187" t="inlineStr">
        <is>
          <t>https://nvd.nist.gov/vuln/detail/CVE-2025-13612</t>
        </is>
      </c>
      <c r="L88" s="187" t="inlineStr">
        <is>
          <t>2026-02-26 00:15</t>
        </is>
      </c>
      <c r="M88" s="187" t="inlineStr">
        <is>
          <t>CHECK_VENDOR</t>
        </is>
      </c>
      <c r="N88" s="187" t="inlineStr">
        <is>
          <t>See NVD references</t>
        </is>
      </c>
      <c r="O88" s="187" t="inlineStr">
        <is>
          <t>Apply vendor patches</t>
        </is>
      </c>
      <c r="P88" s="187" t="inlineStr">
        <is>
          <t>See CVE details</t>
        </is>
      </c>
      <c r="Q88" s="187" t="inlineStr">
        <is>
          <t>P4</t>
        </is>
      </c>
      <c r="R88" s="187" t="inlineStr">
        <is>
          <t>📅 Schedule patch deployment within 30 days | 🔍 Monitor for exploitation attempts</t>
        </is>
      </c>
      <c r="S88" s="187" t="inlineStr">
        <is>
          <t>CVE - IP enrichment n/a</t>
        </is>
      </c>
      <c r="T88" s="187" t="n">
        <v>0</v>
      </c>
      <c r="U88" s="187" t="n">
        <v>0</v>
      </c>
      <c r="V88" s="187" t="inlineStr">
        <is>
          <t>T1189:Drive-by Compromise</t>
        </is>
      </c>
      <c r="W88" s="187" t="n">
        <v>1</v>
      </c>
      <c r="X88" s="187" t="inlineStr">
        <is>
          <t>LOW (40%)</t>
        </is>
      </c>
      <c r="Y88" s="187" t="inlineStr">
        <is>
          <t>UNLIKELY</t>
        </is>
      </c>
      <c r="Z88" s="187" t="inlineStr">
        <is>
          <t>CHECK_VENDOR</t>
        </is>
      </c>
      <c r="AA88" s="187" t="inlineStr">
        <is>
          <t>https://nvd.nist.gov/vuln/detail/CVE-2025-13612</t>
        </is>
      </c>
      <c r="AB88" s="187" t="inlineStr">
        <is>
          <t>NONE</t>
        </is>
      </c>
      <c r="AC88" s="187" t="n">
        <v>0</v>
      </c>
      <c r="AD88" s="187" t="inlineStr"/>
    </row>
    <row r="89">
      <c r="A89" s="187" t="inlineStr">
        <is>
          <t>CVE</t>
        </is>
      </c>
      <c r="B89" s="187" t="inlineStr">
        <is>
          <t>CVE-2025-13617</t>
        </is>
      </c>
      <c r="C89" s="187" t="inlineStr">
        <is>
          <t>The Apollo13 Framework Extensions plugin for WordPress is vulnerable to Stored Cross-Site Scripting via the ‘a13_alt_link’ parameter in all versions up to, and including, 1.9.8 due to insufficient input sanitization and output escaping. This makes it possible for authenticated attackers, with Contributor-level access and above, to inject arbitrary web scripts in pages that will execute whenever a user accesses an injected page.</t>
        </is>
      </c>
      <c r="D89" s="187" t="n">
        <v>6.4</v>
      </c>
      <c r="E89" s="187" t="inlineStr">
        <is>
          <t>MEDIUM</t>
        </is>
      </c>
      <c r="F89" s="187" t="n">
        <v>2</v>
      </c>
      <c r="G89" s="187" t="n">
        <v>2</v>
      </c>
      <c r="H89" s="187" t="inlineStr">
        <is>
          <t>MEDIUM</t>
        </is>
      </c>
      <c r="I89" s="187" t="n">
        <v>10.4</v>
      </c>
      <c r="J89" s="187" t="inlineStr">
        <is>
          <t>NO</t>
        </is>
      </c>
      <c r="K89" s="187" t="inlineStr">
        <is>
          <t>https://nvd.nist.gov/vuln/detail/CVE-2025-13617</t>
        </is>
      </c>
      <c r="L89" s="187" t="inlineStr">
        <is>
          <t>2026-02-26 00:15</t>
        </is>
      </c>
      <c r="M89" s="187" t="inlineStr">
        <is>
          <t>CHECK_VENDOR</t>
        </is>
      </c>
      <c r="N89" s="187" t="inlineStr">
        <is>
          <t>See NVD references</t>
        </is>
      </c>
      <c r="O89" s="187" t="inlineStr">
        <is>
          <t>Apply vendor patches</t>
        </is>
      </c>
      <c r="P89" s="187" t="inlineStr">
        <is>
          <t>See CVE details</t>
        </is>
      </c>
      <c r="Q89" s="187" t="inlineStr">
        <is>
          <t>P4</t>
        </is>
      </c>
      <c r="R89" s="187" t="inlineStr">
        <is>
          <t>📅 Schedule patch deployment within 30 days | 🔍 Monitor for exploitation attempts</t>
        </is>
      </c>
      <c r="S89" s="187" t="inlineStr">
        <is>
          <t>CVE - IP enrichment n/a</t>
        </is>
      </c>
      <c r="T89" s="187" t="n">
        <v>0</v>
      </c>
      <c r="U89" s="187" t="n">
        <v>0</v>
      </c>
      <c r="V89" s="187" t="inlineStr">
        <is>
          <t>T1189:Drive-by Compromise</t>
        </is>
      </c>
      <c r="W89" s="187" t="n">
        <v>1</v>
      </c>
      <c r="X89" s="187" t="inlineStr">
        <is>
          <t>LOW (40%)</t>
        </is>
      </c>
      <c r="Y89" s="187" t="inlineStr">
        <is>
          <t>UNLIKELY</t>
        </is>
      </c>
      <c r="Z89" s="187" t="inlineStr">
        <is>
          <t>CHECK_VENDOR</t>
        </is>
      </c>
      <c r="AA89" s="187" t="inlineStr">
        <is>
          <t>https://nvd.nist.gov/vuln/detail/CVE-2025-13617</t>
        </is>
      </c>
      <c r="AB89" s="187" t="inlineStr">
        <is>
          <t>NONE</t>
        </is>
      </c>
      <c r="AC89" s="187" t="n">
        <v>0</v>
      </c>
      <c r="AD89" s="187" t="inlineStr"/>
    </row>
    <row r="90">
      <c r="A90" s="187" t="inlineStr">
        <is>
          <t>CVE</t>
        </is>
      </c>
      <c r="B90" s="187" t="inlineStr">
        <is>
          <t>CVE-2025-13732</t>
        </is>
      </c>
      <c r="C90" s="187" t="inlineStr">
        <is>
          <t xml:space="preserve">The s2Member – Excellent for All Kinds of Memberships, Content Restriction Paywalls &amp; Member Access Subscriptions plugin for WordPress is vulnerable to Stored Cross-Site Scripting via the plugin's 's2Eot' shortcode in all versions up to, and including, 251005 due to insufficient input sanitization and output escaping. This makes it possible for authenticated attackers, with Contributor-level access and above, to inject arbitrary web scripts in pages that will execute whenever a user accesses an </t>
        </is>
      </c>
      <c r="D90" s="187" t="n">
        <v>6.4</v>
      </c>
      <c r="E90" s="187" t="inlineStr">
        <is>
          <t>MEDIUM</t>
        </is>
      </c>
      <c r="F90" s="187" t="n">
        <v>2</v>
      </c>
      <c r="G90" s="187" t="n">
        <v>2</v>
      </c>
      <c r="H90" s="187" t="inlineStr">
        <is>
          <t>MEDIUM</t>
        </is>
      </c>
      <c r="I90" s="187" t="n">
        <v>10.4</v>
      </c>
      <c r="J90" s="187" t="inlineStr">
        <is>
          <t>NO</t>
        </is>
      </c>
      <c r="K90" s="187" t="inlineStr">
        <is>
          <t>https://nvd.nist.gov/vuln/detail/CVE-2025-13732</t>
        </is>
      </c>
      <c r="L90" s="187" t="inlineStr">
        <is>
          <t>2026-02-26 00:15</t>
        </is>
      </c>
      <c r="M90" s="187" t="inlineStr">
        <is>
          <t>CHECK_VENDOR</t>
        </is>
      </c>
      <c r="N90" s="187" t="inlineStr">
        <is>
          <t>See NVD references</t>
        </is>
      </c>
      <c r="O90" s="187" t="inlineStr">
        <is>
          <t>Apply vendor patches</t>
        </is>
      </c>
      <c r="P90" s="187" t="inlineStr">
        <is>
          <t>See CVE details</t>
        </is>
      </c>
      <c r="Q90" s="187" t="inlineStr">
        <is>
          <t>P4</t>
        </is>
      </c>
      <c r="R90" s="187" t="inlineStr">
        <is>
          <t>📅 Schedule patch deployment within 30 days | 🔍 Monitor for exploitation attempts</t>
        </is>
      </c>
      <c r="S90" s="187" t="inlineStr">
        <is>
          <t>CVE - IP enrichment n/a</t>
        </is>
      </c>
      <c r="T90" s="187" t="n">
        <v>0</v>
      </c>
      <c r="U90" s="187" t="n">
        <v>0</v>
      </c>
      <c r="V90" s="187" t="inlineStr">
        <is>
          <t>T1189:Drive-by Compromise</t>
        </is>
      </c>
      <c r="W90" s="187" t="n">
        <v>1</v>
      </c>
      <c r="X90" s="187" t="inlineStr">
        <is>
          <t>LOW (40%)</t>
        </is>
      </c>
      <c r="Y90" s="187" t="inlineStr">
        <is>
          <t>UNLIKELY</t>
        </is>
      </c>
      <c r="Z90" s="187" t="inlineStr">
        <is>
          <t>CHECK_VENDOR</t>
        </is>
      </c>
      <c r="AA90" s="187" t="inlineStr">
        <is>
          <t>https://nvd.nist.gov/vuln/detail/CVE-2025-13732</t>
        </is>
      </c>
      <c r="AB90" s="187" t="inlineStr">
        <is>
          <t>NONE</t>
        </is>
      </c>
      <c r="AC90" s="187" t="n">
        <v>0</v>
      </c>
      <c r="AD90" s="187" t="inlineStr"/>
    </row>
    <row r="91">
      <c r="A91" s="187" t="inlineStr">
        <is>
          <t>CVE</t>
        </is>
      </c>
      <c r="B91" s="187" t="inlineStr">
        <is>
          <t>CVE-2025-13738</t>
        </is>
      </c>
      <c r="C91" s="187" t="inlineStr">
        <is>
          <t>The Easy Table of Contents plugin for WordPress is vulnerable to Stored Cross-Site Scripting via the plugin's `ez-toc` shortcode in all versions up to, and including, 2.0.78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91" s="187" t="n">
        <v>6.4</v>
      </c>
      <c r="E91" s="187" t="inlineStr">
        <is>
          <t>MEDIUM</t>
        </is>
      </c>
      <c r="F91" s="187" t="n">
        <v>2</v>
      </c>
      <c r="G91" s="187" t="n">
        <v>2</v>
      </c>
      <c r="H91" s="187" t="inlineStr">
        <is>
          <t>MEDIUM</t>
        </is>
      </c>
      <c r="I91" s="187" t="n">
        <v>10.4</v>
      </c>
      <c r="J91" s="187" t="inlineStr">
        <is>
          <t>NO</t>
        </is>
      </c>
      <c r="K91" s="187" t="inlineStr">
        <is>
          <t>https://nvd.nist.gov/vuln/detail/CVE-2025-13738</t>
        </is>
      </c>
      <c r="L91" s="187" t="inlineStr">
        <is>
          <t>2026-02-26 00:15</t>
        </is>
      </c>
      <c r="M91" s="187" t="inlineStr">
        <is>
          <t>CHECK_VENDOR</t>
        </is>
      </c>
      <c r="N91" s="187" t="inlineStr">
        <is>
          <t>See NVD references</t>
        </is>
      </c>
      <c r="O91" s="187" t="inlineStr">
        <is>
          <t>Apply vendor patches</t>
        </is>
      </c>
      <c r="P91" s="187" t="inlineStr">
        <is>
          <t>See CVE details</t>
        </is>
      </c>
      <c r="Q91" s="187" t="inlineStr">
        <is>
          <t>P4</t>
        </is>
      </c>
      <c r="R91" s="187" t="inlineStr">
        <is>
          <t>📅 Schedule patch deployment within 30 days | 🔍 Monitor for exploitation attempts</t>
        </is>
      </c>
      <c r="S91" s="187" t="inlineStr">
        <is>
          <t>CVE - IP enrichment n/a</t>
        </is>
      </c>
      <c r="T91" s="187" t="n">
        <v>0</v>
      </c>
      <c r="U91" s="187" t="n">
        <v>0</v>
      </c>
      <c r="V91" s="187" t="inlineStr">
        <is>
          <t>T1189:Drive-by Compromise</t>
        </is>
      </c>
      <c r="W91" s="187" t="n">
        <v>1</v>
      </c>
      <c r="X91" s="187" t="inlineStr">
        <is>
          <t>LOW (40%)</t>
        </is>
      </c>
      <c r="Y91" s="187" t="inlineStr">
        <is>
          <t>UNLIKELY</t>
        </is>
      </c>
      <c r="Z91" s="187" t="inlineStr">
        <is>
          <t>CHECK_VENDOR</t>
        </is>
      </c>
      <c r="AA91" s="187" t="inlineStr">
        <is>
          <t>https://nvd.nist.gov/vuln/detail/CVE-2025-13738</t>
        </is>
      </c>
      <c r="AB91" s="187" t="inlineStr">
        <is>
          <t>NONE</t>
        </is>
      </c>
      <c r="AC91" s="187" t="n">
        <v>0</v>
      </c>
      <c r="AD91" s="187" t="inlineStr"/>
    </row>
    <row r="92">
      <c r="A92" s="187" t="inlineStr">
        <is>
          <t>CVE</t>
        </is>
      </c>
      <c r="B92" s="187" t="inlineStr">
        <is>
          <t>CVE-2025-13842</t>
        </is>
      </c>
      <c r="C92" s="187" t="inlineStr">
        <is>
          <t xml:space="preserve">The Breadcrumb NavXT plugin for WordPress is vulnerable to authorization bypass through user-controlled key in versions up to and including 7.5.0. This is due to the Gutenberg block renderer trusting the $_REQUEST['post_id'] parameter without verification in the includes/blocks/build/breadcrumb-trail/render.php file. This makes it possible for unauthenticated attackers to enumerate and view breadcrumb trails for draft or private posts by manipulating the post_id parameter, revealing post titles </t>
        </is>
      </c>
      <c r="D92" s="187" t="n">
        <v>5.3</v>
      </c>
      <c r="E92" s="187" t="inlineStr">
        <is>
          <t>MEDIUM</t>
        </is>
      </c>
      <c r="F92" s="187" t="n">
        <v>2</v>
      </c>
      <c r="G92" s="187" t="n">
        <v>2</v>
      </c>
      <c r="H92" s="187" t="inlineStr">
        <is>
          <t>MEDIUM</t>
        </is>
      </c>
      <c r="I92" s="187" t="n">
        <v>9.300000000000001</v>
      </c>
      <c r="J92" s="187" t="inlineStr">
        <is>
          <t>NO</t>
        </is>
      </c>
      <c r="K92" s="187" t="inlineStr">
        <is>
          <t>https://nvd.nist.gov/vuln/detail/CVE-2025-13842</t>
        </is>
      </c>
      <c r="L92" s="187" t="inlineStr">
        <is>
          <t>2026-02-26 00:15</t>
        </is>
      </c>
      <c r="M92" s="187" t="inlineStr">
        <is>
          <t>CHECK_VENDOR</t>
        </is>
      </c>
      <c r="N92" s="187" t="inlineStr">
        <is>
          <t>See NVD references</t>
        </is>
      </c>
      <c r="O92" s="187" t="inlineStr">
        <is>
          <t>Apply vendor patches</t>
        </is>
      </c>
      <c r="P92" s="187" t="inlineStr">
        <is>
          <t>See CVE details</t>
        </is>
      </c>
      <c r="Q92" s="187" t="inlineStr">
        <is>
          <t>P4</t>
        </is>
      </c>
      <c r="R92" s="187" t="inlineStr">
        <is>
          <t>📅 Schedule patch deployment within 30 days | 🔍 Monitor for exploitation attempts</t>
        </is>
      </c>
      <c r="S92" s="187" t="inlineStr">
        <is>
          <t>CVE - IP enrichment n/a</t>
        </is>
      </c>
      <c r="T92" s="187" t="n">
        <v>0</v>
      </c>
      <c r="U92" s="187" t="n">
        <v>0</v>
      </c>
      <c r="V92" s="187" t="inlineStr">
        <is>
          <t>T1190:Exploit Public-Facing Application</t>
        </is>
      </c>
      <c r="W92" s="187" t="n">
        <v>1</v>
      </c>
      <c r="X92" s="187" t="inlineStr">
        <is>
          <t>LOW (40%)</t>
        </is>
      </c>
      <c r="Y92" s="187" t="inlineStr">
        <is>
          <t>UNLIKELY</t>
        </is>
      </c>
      <c r="Z92" s="187" t="inlineStr">
        <is>
          <t>CHECK_VENDOR</t>
        </is>
      </c>
      <c r="AA92" s="187" t="inlineStr">
        <is>
          <t>https://nvd.nist.gov/vuln/detail/CVE-2025-13842</t>
        </is>
      </c>
      <c r="AB92" s="187" t="inlineStr">
        <is>
          <t>NONE</t>
        </is>
      </c>
      <c r="AC92" s="187" t="n">
        <v>0</v>
      </c>
      <c r="AD92" s="187" t="inlineStr"/>
    </row>
    <row r="93">
      <c r="A93" s="189" t="inlineStr">
        <is>
          <t>CVE</t>
        </is>
      </c>
      <c r="B93" s="189" t="inlineStr">
        <is>
          <t>CVE-2025-13851</t>
        </is>
      </c>
      <c r="C93" s="189" t="inlineStr">
        <is>
          <t>The Buyent Classified plugin for WordPress (bundled with Buyent theme) is vulnerable to privilege escalation via user registration in all versions up to, and including, 1.0.7. This is due to the plugin not validating or restricting the user role during registration via the REST API endpoint. This makes it possible for unauthenticated attackers to register accounts with arbitrary roles, including administrator, by manipulating the _buyent_classified_user_type parameter during the registration pro</t>
        </is>
      </c>
      <c r="D93" s="189" t="n">
        <v>9.800000000000001</v>
      </c>
      <c r="E93" s="189" t="inlineStr">
        <is>
          <t>CRITICAL</t>
        </is>
      </c>
      <c r="F93" s="189" t="n">
        <v>2</v>
      </c>
      <c r="G93" s="189" t="n">
        <v>3</v>
      </c>
      <c r="H93" s="189" t="inlineStr">
        <is>
          <t>HIGH</t>
        </is>
      </c>
      <c r="I93" s="189" t="n">
        <v>15.8</v>
      </c>
      <c r="J93" s="189" t="inlineStr">
        <is>
          <t>NO</t>
        </is>
      </c>
      <c r="K93" s="189" t="inlineStr">
        <is>
          <t>https://nvd.nist.gov/vuln/detail/CVE-2025-13851</t>
        </is>
      </c>
      <c r="L93" s="189" t="inlineStr">
        <is>
          <t>2026-02-26 00:15</t>
        </is>
      </c>
      <c r="M93" s="189" t="inlineStr">
        <is>
          <t>CHECK_VENDOR</t>
        </is>
      </c>
      <c r="N93" s="189" t="inlineStr">
        <is>
          <t>See NVD references</t>
        </is>
      </c>
      <c r="O93" s="189" t="inlineStr">
        <is>
          <t>Apply vendor patches</t>
        </is>
      </c>
      <c r="P93" s="189" t="inlineStr">
        <is>
          <t>See CVE details</t>
        </is>
      </c>
      <c r="Q93" s="189" t="inlineStr">
        <is>
          <t>P3</t>
        </is>
      </c>
      <c r="R93" s="189" t="inlineStr">
        <is>
          <t>🚨 URGENT: Apply vendor patches immediately | 🔒 Isolate affected systems if patch unavailable | 🛡️ Enable additional monitoring/IDS rules</t>
        </is>
      </c>
      <c r="S93" s="189" t="inlineStr">
        <is>
          <t>CVE - IP enrichment n/a</t>
        </is>
      </c>
      <c r="T93" s="189" t="n">
        <v>0</v>
      </c>
      <c r="U93" s="189" t="n">
        <v>0</v>
      </c>
      <c r="V93" s="189" t="inlineStr">
        <is>
          <t>T1068:Exploitation for Privilege Escalation</t>
        </is>
      </c>
      <c r="W93" s="189" t="n">
        <v>1</v>
      </c>
      <c r="X93" s="189" t="inlineStr">
        <is>
          <t>LOW (40%)</t>
        </is>
      </c>
      <c r="Y93" s="189" t="inlineStr">
        <is>
          <t>UNLIKELY</t>
        </is>
      </c>
      <c r="Z93" s="189" t="inlineStr">
        <is>
          <t>CHECK_VENDOR</t>
        </is>
      </c>
      <c r="AA93" s="189" t="inlineStr">
        <is>
          <t>https://nvd.nist.gov/vuln/detail/CVE-2025-13851</t>
        </is>
      </c>
      <c r="AB93" s="189" t="inlineStr">
        <is>
          <t>NONE</t>
        </is>
      </c>
      <c r="AC93" s="189" t="n">
        <v>0</v>
      </c>
      <c r="AD93" s="189" t="inlineStr"/>
    </row>
    <row r="94">
      <c r="A94" s="187" t="inlineStr">
        <is>
          <t>CVE</t>
        </is>
      </c>
      <c r="B94" s="187" t="inlineStr">
        <is>
          <t>CVE-2025-13864</t>
        </is>
      </c>
      <c r="C94" s="187" t="inlineStr">
        <is>
          <t>The Breeze - WordPress Cache Plugin plugin for WordPress is vulnerable to unauthorized cache clearing in all versions up to, and including, 2.2.21. This is due to the REST API endpoint `/wp-json/breeze/v1/clear-all-cache` being registered with `permission_callback =&gt; '__return_true'` and authentication being disabled by default when the API is enabled. This makes it possible for unauthenticated attackers to clear all site caches (page cache, Varnish, and Cloudflare) via a simple POST request, gr</t>
        </is>
      </c>
      <c r="D94" s="187" t="n">
        <v>5.3</v>
      </c>
      <c r="E94" s="187" t="inlineStr">
        <is>
          <t>MEDIUM</t>
        </is>
      </c>
      <c r="F94" s="187" t="n">
        <v>2</v>
      </c>
      <c r="G94" s="187" t="n">
        <v>2</v>
      </c>
      <c r="H94" s="187" t="inlineStr">
        <is>
          <t>MEDIUM</t>
        </is>
      </c>
      <c r="I94" s="187" t="n">
        <v>9.300000000000001</v>
      </c>
      <c r="J94" s="187" t="inlineStr">
        <is>
          <t>NO</t>
        </is>
      </c>
      <c r="K94" s="187" t="inlineStr">
        <is>
          <t>https://nvd.nist.gov/vuln/detail/CVE-2025-13864</t>
        </is>
      </c>
      <c r="L94" s="187" t="inlineStr">
        <is>
          <t>2026-02-26 00:15</t>
        </is>
      </c>
      <c r="M94" s="187" t="inlineStr">
        <is>
          <t>CHECK_VENDOR</t>
        </is>
      </c>
      <c r="N94" s="187" t="inlineStr">
        <is>
          <t>See NVD references</t>
        </is>
      </c>
      <c r="O94" s="187" t="inlineStr">
        <is>
          <t>Apply vendor patches</t>
        </is>
      </c>
      <c r="P94" s="187" t="inlineStr">
        <is>
          <t>See CVE details</t>
        </is>
      </c>
      <c r="Q94" s="187" t="inlineStr">
        <is>
          <t>P4</t>
        </is>
      </c>
      <c r="R94" s="187" t="inlineStr">
        <is>
          <t>📅 Schedule patch deployment within 30 days | 🔍 Monitor for exploitation attempts</t>
        </is>
      </c>
      <c r="S94" s="187" t="inlineStr">
        <is>
          <t>CVE - IP enrichment n/a</t>
        </is>
      </c>
      <c r="T94" s="187" t="n">
        <v>0</v>
      </c>
      <c r="U94" s="187" t="n">
        <v>0</v>
      </c>
      <c r="V94" s="187" t="inlineStr">
        <is>
          <t>T1190:Exploit Public-Facing Application</t>
        </is>
      </c>
      <c r="W94" s="187" t="n">
        <v>1</v>
      </c>
      <c r="X94" s="187" t="inlineStr">
        <is>
          <t>LOW (40%)</t>
        </is>
      </c>
      <c r="Y94" s="187" t="inlineStr">
        <is>
          <t>UNLIKELY</t>
        </is>
      </c>
      <c r="Z94" s="187" t="inlineStr">
        <is>
          <t>CHECK_VENDOR</t>
        </is>
      </c>
      <c r="AA94" s="187" t="inlineStr">
        <is>
          <t>https://nvd.nist.gov/vuln/detail/CVE-2025-13864</t>
        </is>
      </c>
      <c r="AB94" s="187" t="inlineStr">
        <is>
          <t>NONE</t>
        </is>
      </c>
      <c r="AC94" s="187" t="n">
        <v>0</v>
      </c>
      <c r="AD94" s="187" t="inlineStr"/>
    </row>
    <row r="95">
      <c r="A95" s="187" t="inlineStr">
        <is>
          <t>CVE</t>
        </is>
      </c>
      <c r="B95" s="187" t="inlineStr">
        <is>
          <t>CVE-2025-13930</t>
        </is>
      </c>
      <c r="C95" s="187" t="inlineStr">
        <is>
          <t>The Checkout Field Manager (Checkout Manager) for WooCommerce plugin for WordPress is vulnerable to authorization bypass in versions up to, and including, 7.8.5. This is due to the plugin not properly verifying that a user is authorized to delete an attachment combined with flawed guest order ownership validation. This makes it possible for unauthenticated attackers to delete attachments associated with guest orders using only the publicly available wooccm_upload nonce and attachment ID.</t>
        </is>
      </c>
      <c r="D95" s="187" t="n">
        <v>5.3</v>
      </c>
      <c r="E95" s="187" t="inlineStr">
        <is>
          <t>MEDIUM</t>
        </is>
      </c>
      <c r="F95" s="187" t="n">
        <v>2</v>
      </c>
      <c r="G95" s="187" t="n">
        <v>2</v>
      </c>
      <c r="H95" s="187" t="inlineStr">
        <is>
          <t>MEDIUM</t>
        </is>
      </c>
      <c r="I95" s="187" t="n">
        <v>9.300000000000001</v>
      </c>
      <c r="J95" s="187" t="inlineStr">
        <is>
          <t>NO</t>
        </is>
      </c>
      <c r="K95" s="187" t="inlineStr">
        <is>
          <t>https://nvd.nist.gov/vuln/detail/CVE-2025-13930</t>
        </is>
      </c>
      <c r="L95" s="187" t="inlineStr">
        <is>
          <t>2026-02-26 00:15</t>
        </is>
      </c>
      <c r="M95" s="187" t="inlineStr">
        <is>
          <t>CHECK_VENDOR</t>
        </is>
      </c>
      <c r="N95" s="187" t="inlineStr">
        <is>
          <t>See NVD references</t>
        </is>
      </c>
      <c r="O95" s="187" t="inlineStr">
        <is>
          <t>Apply vendor patches</t>
        </is>
      </c>
      <c r="P95" s="187" t="inlineStr">
        <is>
          <t>See CVE details</t>
        </is>
      </c>
      <c r="Q95" s="187" t="inlineStr">
        <is>
          <t>P4</t>
        </is>
      </c>
      <c r="R95" s="187" t="inlineStr">
        <is>
          <t>📅 Schedule patch deployment within 30 days | 🔍 Monitor for exploitation attempts</t>
        </is>
      </c>
      <c r="S95" s="187" t="inlineStr">
        <is>
          <t>CVE - IP enrichment n/a</t>
        </is>
      </c>
      <c r="T95" s="187" t="n">
        <v>0.0005999999999999999</v>
      </c>
      <c r="U95" s="187" t="n">
        <v>0.184</v>
      </c>
      <c r="V95" s="187" t="inlineStr">
        <is>
          <t>T1190:Exploit Public-Facing Application</t>
        </is>
      </c>
      <c r="W95" s="187" t="n">
        <v>1</v>
      </c>
      <c r="X95" s="187" t="inlineStr">
        <is>
          <t>LOW (40%)</t>
        </is>
      </c>
      <c r="Y95" s="187" t="inlineStr">
        <is>
          <t>UNLIKELY</t>
        </is>
      </c>
      <c r="Z95" s="187" t="inlineStr">
        <is>
          <t>CHECK_VENDOR</t>
        </is>
      </c>
      <c r="AA95" s="187" t="inlineStr">
        <is>
          <t>https://nvd.nist.gov/vuln/detail/CVE-2025-13930</t>
        </is>
      </c>
      <c r="AB95" s="187" t="inlineStr">
        <is>
          <t>NONE</t>
        </is>
      </c>
      <c r="AC95" s="187" t="n">
        <v>0</v>
      </c>
      <c r="AD95" s="187" t="inlineStr"/>
    </row>
    <row r="96">
      <c r="A96" s="187" t="inlineStr">
        <is>
          <t>CVE</t>
        </is>
      </c>
      <c r="B96" s="187" t="inlineStr">
        <is>
          <t>CVE-2025-14076</t>
        </is>
      </c>
      <c r="C96" s="187" t="inlineStr">
        <is>
          <t>The iXML – Google XML sitemap generator plugin for WordPress is vulnerable to Reflected Cross-Site Scripting via the 'iXML_email' parameter in all versions up to, and including, 0.6 due to insufficient input sanitization and output escaping. This makes it possible for unauthenticated attackers to inject arbitrary web scripts in pages that execute if they can successfully trick a user into performing an action such as clicking on a link.</t>
        </is>
      </c>
      <c r="D96" s="187" t="n">
        <v>6.1</v>
      </c>
      <c r="E96" s="187" t="inlineStr">
        <is>
          <t>MEDIUM</t>
        </is>
      </c>
      <c r="F96" s="187" t="n">
        <v>2</v>
      </c>
      <c r="G96" s="187" t="n">
        <v>2</v>
      </c>
      <c r="H96" s="187" t="inlineStr">
        <is>
          <t>MEDIUM</t>
        </is>
      </c>
      <c r="I96" s="187" t="n">
        <v>10.1</v>
      </c>
      <c r="J96" s="187" t="inlineStr">
        <is>
          <t>NO</t>
        </is>
      </c>
      <c r="K96" s="187" t="inlineStr">
        <is>
          <t>https://nvd.nist.gov/vuln/detail/CVE-2025-14076</t>
        </is>
      </c>
      <c r="L96" s="187" t="inlineStr">
        <is>
          <t>2026-02-26 00:15</t>
        </is>
      </c>
      <c r="M96" s="187" t="inlineStr">
        <is>
          <t>CHECK_VENDOR</t>
        </is>
      </c>
      <c r="N96" s="187" t="inlineStr">
        <is>
          <t>See NVD references</t>
        </is>
      </c>
      <c r="O96" s="187" t="inlineStr">
        <is>
          <t>Apply vendor patches</t>
        </is>
      </c>
      <c r="P96" s="187" t="inlineStr">
        <is>
          <t>See CVE details</t>
        </is>
      </c>
      <c r="Q96" s="187" t="inlineStr">
        <is>
          <t>P4</t>
        </is>
      </c>
      <c r="R96" s="187" t="inlineStr">
        <is>
          <t>📅 Schedule patch deployment within 30 days | 🔍 Monitor for exploitation attempts</t>
        </is>
      </c>
      <c r="S96" s="187" t="inlineStr">
        <is>
          <t>CVE - IP enrichment n/a</t>
        </is>
      </c>
      <c r="T96" s="187" t="n">
        <v>0</v>
      </c>
      <c r="U96" s="187" t="n">
        <v>0</v>
      </c>
      <c r="V96" s="187" t="inlineStr">
        <is>
          <t>T1189:Drive-by Compromise</t>
        </is>
      </c>
      <c r="W96" s="187" t="n">
        <v>1</v>
      </c>
      <c r="X96" s="187" t="inlineStr">
        <is>
          <t>LOW (40%)</t>
        </is>
      </c>
      <c r="Y96" s="187" t="inlineStr">
        <is>
          <t>UNLIKELY</t>
        </is>
      </c>
      <c r="Z96" s="187" t="inlineStr">
        <is>
          <t>CHECK_VENDOR</t>
        </is>
      </c>
      <c r="AA96" s="187" t="inlineStr">
        <is>
          <t>https://nvd.nist.gov/vuln/detail/CVE-2025-14076</t>
        </is>
      </c>
      <c r="AB96" s="187" t="inlineStr">
        <is>
          <t>NONE</t>
        </is>
      </c>
      <c r="AC96" s="187" t="n">
        <v>0</v>
      </c>
      <c r="AD96" s="187" t="inlineStr"/>
    </row>
    <row r="97">
      <c r="A97" s="187" t="inlineStr">
        <is>
          <t>CVE</t>
        </is>
      </c>
      <c r="B97" s="187" t="inlineStr">
        <is>
          <t>CVE-2025-14167</t>
        </is>
      </c>
      <c r="C97" s="187" t="inlineStr">
        <is>
          <t>The Remove Post Type Slug plugin for WordPress is vulnerable to Cross-Site Request Forgery in all versions up to, and including, 1.0.2. This is due to incorrect nonce validation logic that uses OR (||) instead of AND (&amp;&amp;), causing the validation to fail when the nonce field is not empty OR when verification fails, rather than when it's empty AND verification fails. This makes it possible for unauthenticated attackers to modify the plugin's post type slug removal settings via a forged request gra</t>
        </is>
      </c>
      <c r="D97" s="187" t="n">
        <v>4.3</v>
      </c>
      <c r="E97" s="187" t="inlineStr">
        <is>
          <t>MEDIUM</t>
        </is>
      </c>
      <c r="F97" s="187" t="n">
        <v>2</v>
      </c>
      <c r="G97" s="187" t="n">
        <v>2</v>
      </c>
      <c r="H97" s="187" t="inlineStr">
        <is>
          <t>MEDIUM</t>
        </is>
      </c>
      <c r="I97" s="187" t="n">
        <v>8.300000000000001</v>
      </c>
      <c r="J97" s="187" t="inlineStr">
        <is>
          <t>NO</t>
        </is>
      </c>
      <c r="K97" s="187" t="inlineStr">
        <is>
          <t>https://nvd.nist.gov/vuln/detail/CVE-2025-14167</t>
        </is>
      </c>
      <c r="L97" s="187" t="inlineStr">
        <is>
          <t>2026-02-26 00:15</t>
        </is>
      </c>
      <c r="M97" s="187" t="inlineStr">
        <is>
          <t>CHECK_VENDOR</t>
        </is>
      </c>
      <c r="N97" s="187" t="inlineStr">
        <is>
          <t>See NVD references</t>
        </is>
      </c>
      <c r="O97" s="187" t="inlineStr">
        <is>
          <t>Apply vendor patches</t>
        </is>
      </c>
      <c r="P97" s="187" t="inlineStr">
        <is>
          <t>See CVE details</t>
        </is>
      </c>
      <c r="Q97" s="187" t="inlineStr">
        <is>
          <t>P4</t>
        </is>
      </c>
      <c r="R97" s="187" t="inlineStr">
        <is>
          <t>📅 Schedule patch deployment within 30 days | 🔍 Monitor for exploitation attempts</t>
        </is>
      </c>
      <c r="S97" s="187" t="inlineStr">
        <is>
          <t>CVE - IP enrichment n/a</t>
        </is>
      </c>
      <c r="T97" s="187" t="n">
        <v>0</v>
      </c>
      <c r="U97" s="187" t="n">
        <v>0</v>
      </c>
      <c r="V97" s="187" t="inlineStr">
        <is>
          <t>T1185:Browser Session Hijacking</t>
        </is>
      </c>
      <c r="W97" s="187" t="n">
        <v>1</v>
      </c>
      <c r="X97" s="187" t="inlineStr">
        <is>
          <t>LOW (40%)</t>
        </is>
      </c>
      <c r="Y97" s="187" t="inlineStr">
        <is>
          <t>UNLIKELY</t>
        </is>
      </c>
      <c r="Z97" s="187" t="inlineStr">
        <is>
          <t>CHECK_VENDOR</t>
        </is>
      </c>
      <c r="AA97" s="187" t="inlineStr">
        <is>
          <t>https://nvd.nist.gov/vuln/detail/CVE-2025-14167</t>
        </is>
      </c>
      <c r="AB97" s="187" t="inlineStr">
        <is>
          <t>NONE</t>
        </is>
      </c>
      <c r="AC97" s="187" t="n">
        <v>0</v>
      </c>
      <c r="AD97" s="187" t="inlineStr"/>
    </row>
    <row r="98">
      <c r="A98" s="190" t="inlineStr">
        <is>
          <t>CVE</t>
        </is>
      </c>
      <c r="B98" s="190" t="inlineStr">
        <is>
          <t>CVE-2025-14270</t>
        </is>
      </c>
      <c r="C98" s="190" t="inlineStr">
        <is>
          <t>The OneClick Chat to Order plugin for WordPress is vulnerable to authorization bypass in versions up to, and including, 1.0.9. This is due to the plugin not properly verifying that a user is authorized to perform an action in the wa_order_number_save_number_field function. This makes it possible for authenticated attackers, with Editor-level access and above, to modify WhatsApp phone numbers used by the plugin, redirecting customer orders and messages to attacker-controlled phone numbers.</t>
        </is>
      </c>
      <c r="D98" s="190" t="n">
        <v>2.7</v>
      </c>
      <c r="E98" s="190" t="inlineStr">
        <is>
          <t>LOW</t>
        </is>
      </c>
      <c r="F98" s="190" t="n">
        <v>2</v>
      </c>
      <c r="G98" s="190" t="n">
        <v>1</v>
      </c>
      <c r="H98" s="190" t="inlineStr">
        <is>
          <t>LOW</t>
        </is>
      </c>
      <c r="I98" s="190" t="n">
        <v>4.7</v>
      </c>
      <c r="J98" s="190" t="inlineStr">
        <is>
          <t>NO</t>
        </is>
      </c>
      <c r="K98" s="190" t="inlineStr">
        <is>
          <t>https://nvd.nist.gov/vuln/detail/CVE-2025-14270</t>
        </is>
      </c>
      <c r="L98" s="190" t="inlineStr">
        <is>
          <t>2026-02-26 00:15</t>
        </is>
      </c>
      <c r="M98" s="190" t="inlineStr">
        <is>
          <t>CHECK_VENDOR</t>
        </is>
      </c>
      <c r="N98" s="190" t="inlineStr">
        <is>
          <t>See NVD references</t>
        </is>
      </c>
      <c r="O98" s="190" t="inlineStr">
        <is>
          <t>Apply vendor patches</t>
        </is>
      </c>
      <c r="P98" s="190" t="inlineStr">
        <is>
          <t>See CVE details</t>
        </is>
      </c>
      <c r="Q98" s="190" t="inlineStr">
        <is>
          <t>P4</t>
        </is>
      </c>
      <c r="R98" s="190" t="inlineStr">
        <is>
          <t>📅 Schedule patch deployment within 30 days | 🔍 Monitor for exploitation attempts</t>
        </is>
      </c>
      <c r="S98" s="190" t="inlineStr">
        <is>
          <t>CVE - IP enrichment n/a</t>
        </is>
      </c>
      <c r="T98" s="190" t="n">
        <v>0</v>
      </c>
      <c r="U98" s="190" t="n">
        <v>0</v>
      </c>
      <c r="V98" s="190" t="inlineStr">
        <is>
          <t>T1190:Exploit Public-Facing Application</t>
        </is>
      </c>
      <c r="W98" s="190" t="n">
        <v>1</v>
      </c>
      <c r="X98" s="190" t="inlineStr">
        <is>
          <t>LOW (40%)</t>
        </is>
      </c>
      <c r="Y98" s="190" t="inlineStr">
        <is>
          <t>UNLIKELY</t>
        </is>
      </c>
      <c r="Z98" s="190" t="inlineStr">
        <is>
          <t>CHECK_VENDOR</t>
        </is>
      </c>
      <c r="AA98" s="190" t="inlineStr">
        <is>
          <t>https://nvd.nist.gov/vuln/detail/CVE-2025-14270</t>
        </is>
      </c>
      <c r="AB98" s="190" t="inlineStr">
        <is>
          <t>NONE</t>
        </is>
      </c>
      <c r="AC98" s="190" t="n">
        <v>0</v>
      </c>
      <c r="AD98" s="190" t="inlineStr"/>
    </row>
    <row r="99">
      <c r="A99" s="187" t="inlineStr">
        <is>
          <t>CVE</t>
        </is>
      </c>
      <c r="B99" s="187" t="inlineStr">
        <is>
          <t>CVE-2025-14294</t>
        </is>
      </c>
      <c r="C99" s="187" t="inlineStr">
        <is>
          <t>The Razorpay for WooCommerce plugin for WordPress is vulnerable to unauthorized modification of data due to a missing capability check on the getCouponList() function in all versions up to, and including, 4.7.8. This is due to the checkAuthCredentials() permission callback always returning true, providing no actual authentication. This makes it possible for unauthenticated attackers to modify the billing and shipping contact information (email and phone) of any WooCommerce order by knowing or gu</t>
        </is>
      </c>
      <c r="D99" s="187" t="n">
        <v>5.3</v>
      </c>
      <c r="E99" s="187" t="inlineStr">
        <is>
          <t>MEDIUM</t>
        </is>
      </c>
      <c r="F99" s="187" t="n">
        <v>2</v>
      </c>
      <c r="G99" s="187" t="n">
        <v>2</v>
      </c>
      <c r="H99" s="187" t="inlineStr">
        <is>
          <t>MEDIUM</t>
        </is>
      </c>
      <c r="I99" s="187" t="n">
        <v>9.300000000000001</v>
      </c>
      <c r="J99" s="187" t="inlineStr">
        <is>
          <t>NO</t>
        </is>
      </c>
      <c r="K99" s="187" t="inlineStr">
        <is>
          <t>https://nvd.nist.gov/vuln/detail/CVE-2025-14294</t>
        </is>
      </c>
      <c r="L99" s="187" t="inlineStr">
        <is>
          <t>2026-02-26 00:15</t>
        </is>
      </c>
      <c r="M99" s="187" t="inlineStr">
        <is>
          <t>CHECK_VENDOR</t>
        </is>
      </c>
      <c r="N99" s="187" t="inlineStr">
        <is>
          <t>See NVD references</t>
        </is>
      </c>
      <c r="O99" s="187" t="inlineStr">
        <is>
          <t>Apply vendor patches</t>
        </is>
      </c>
      <c r="P99" s="187" t="inlineStr">
        <is>
          <t>See CVE details</t>
        </is>
      </c>
      <c r="Q99" s="187" t="inlineStr">
        <is>
          <t>P4</t>
        </is>
      </c>
      <c r="R99" s="187" t="inlineStr">
        <is>
          <t>📅 Schedule patch deployment within 30 days | 🔍 Monitor for exploitation attempts</t>
        </is>
      </c>
      <c r="S99" s="187" t="inlineStr">
        <is>
          <t>CVE - IP enrichment n/a</t>
        </is>
      </c>
      <c r="T99" s="187" t="n">
        <v>0</v>
      </c>
      <c r="U99" s="187" t="n">
        <v>0</v>
      </c>
      <c r="V99" s="187" t="inlineStr">
        <is>
          <t>T1078:Valid Accounts | T1190:Exploit Public-Facing Application | T1552:Unsecured Credentials</t>
        </is>
      </c>
      <c r="W99" s="187" t="n">
        <v>1</v>
      </c>
      <c r="X99" s="187" t="inlineStr">
        <is>
          <t>LOW (40%)</t>
        </is>
      </c>
      <c r="Y99" s="187" t="inlineStr">
        <is>
          <t>UNLIKELY</t>
        </is>
      </c>
      <c r="Z99" s="187" t="inlineStr">
        <is>
          <t>CHECK_VENDOR</t>
        </is>
      </c>
      <c r="AA99" s="187" t="inlineStr">
        <is>
          <t>https://nvd.nist.gov/vuln/detail/CVE-2025-14294</t>
        </is>
      </c>
      <c r="AB99" s="187" t="inlineStr">
        <is>
          <t>NONE</t>
        </is>
      </c>
      <c r="AC99" s="187" t="n">
        <v>0</v>
      </c>
      <c r="AD99" s="187" t="inlineStr"/>
    </row>
    <row r="100">
      <c r="A100" s="187" t="inlineStr">
        <is>
          <t>CVE</t>
        </is>
      </c>
      <c r="B100" s="187" t="inlineStr">
        <is>
          <t>CVE-2025-14342</t>
        </is>
      </c>
      <c r="C100" s="187" t="inlineStr">
        <is>
          <t>The SEO Plugin by Squirrly SEO plugin for WordPress is vulnerable to unauthorized modification of data due to a missing capability check on the sq_ajax_uninstall function in all versions up to, and including, 12.4.14. This makes it possible for authenticated attackers, with Subscriber-level access and above, to disconnect the site from Squirrly's cloud service.</t>
        </is>
      </c>
      <c r="D100" s="187" t="n">
        <v>4.3</v>
      </c>
      <c r="E100" s="187" t="inlineStr">
        <is>
          <t>MEDIUM</t>
        </is>
      </c>
      <c r="F100" s="187" t="n">
        <v>2</v>
      </c>
      <c r="G100" s="187" t="n">
        <v>2</v>
      </c>
      <c r="H100" s="187" t="inlineStr">
        <is>
          <t>MEDIUM</t>
        </is>
      </c>
      <c r="I100" s="187" t="n">
        <v>8.300000000000001</v>
      </c>
      <c r="J100" s="187" t="inlineStr">
        <is>
          <t>NO</t>
        </is>
      </c>
      <c r="K100" s="187" t="inlineStr">
        <is>
          <t>https://nvd.nist.gov/vuln/detail/CVE-2025-14342</t>
        </is>
      </c>
      <c r="L100" s="187" t="inlineStr">
        <is>
          <t>2026-02-26 00:15</t>
        </is>
      </c>
      <c r="M100" s="187" t="inlineStr">
        <is>
          <t>CHECK_VENDOR</t>
        </is>
      </c>
      <c r="N100" s="187" t="inlineStr">
        <is>
          <t>See NVD references</t>
        </is>
      </c>
      <c r="O100" s="187" t="inlineStr">
        <is>
          <t>Apply vendor patches</t>
        </is>
      </c>
      <c r="P100" s="187" t="inlineStr">
        <is>
          <t>See CVE details</t>
        </is>
      </c>
      <c r="Q100" s="187" t="inlineStr">
        <is>
          <t>P4</t>
        </is>
      </c>
      <c r="R100" s="187" t="inlineStr">
        <is>
          <t>📅 Schedule patch deployment within 30 days | 🔍 Monitor for exploitation attempts</t>
        </is>
      </c>
      <c r="S100" s="187" t="inlineStr">
        <is>
          <t>CVE - IP enrichment n/a</t>
        </is>
      </c>
      <c r="T100" s="187" t="n">
        <v>0</v>
      </c>
      <c r="U100" s="187" t="n">
        <v>0</v>
      </c>
      <c r="V100" s="187" t="inlineStr">
        <is>
          <t>T1190:Exploit Public-Facing Application</t>
        </is>
      </c>
      <c r="W100" s="187" t="n">
        <v>1</v>
      </c>
      <c r="X100" s="187" t="inlineStr">
        <is>
          <t>LOW (40%)</t>
        </is>
      </c>
      <c r="Y100" s="187" t="inlineStr">
        <is>
          <t>UNLIKELY</t>
        </is>
      </c>
      <c r="Z100" s="187" t="inlineStr">
        <is>
          <t>CHECK_VENDOR</t>
        </is>
      </c>
      <c r="AA100" s="187" t="inlineStr">
        <is>
          <t>https://nvd.nist.gov/vuln/detail/CVE-2025-14342</t>
        </is>
      </c>
      <c r="AB100" s="187" t="inlineStr">
        <is>
          <t>NONE</t>
        </is>
      </c>
      <c r="AC100" s="187" t="n">
        <v>0</v>
      </c>
      <c r="AD100" s="187" t="inlineStr"/>
    </row>
    <row r="101">
      <c r="A101" s="187" t="inlineStr">
        <is>
          <t>CVE</t>
        </is>
      </c>
      <c r="B101" s="187" t="inlineStr">
        <is>
          <t>CVE-2025-14357</t>
        </is>
      </c>
      <c r="C101" s="187" t="inlineStr">
        <is>
          <t>The Mega Store Woocommerce theme for WordPress is vulnerable to unauthorized modification of data due to a missing capability check on the setup_widgets() function in core/includes/importer/whizzie.php in all versions up to, and including, 5.9. This makes it possible for authenticated attackers, with Subscriber-level access and above, to create arbitrary pages and modify site settings.</t>
        </is>
      </c>
      <c r="D101" s="187" t="n">
        <v>5.3</v>
      </c>
      <c r="E101" s="187" t="inlineStr">
        <is>
          <t>MEDIUM</t>
        </is>
      </c>
      <c r="F101" s="187" t="n">
        <v>2</v>
      </c>
      <c r="G101" s="187" t="n">
        <v>2</v>
      </c>
      <c r="H101" s="187" t="inlineStr">
        <is>
          <t>MEDIUM</t>
        </is>
      </c>
      <c r="I101" s="187" t="n">
        <v>9.300000000000001</v>
      </c>
      <c r="J101" s="187" t="inlineStr">
        <is>
          <t>NO</t>
        </is>
      </c>
      <c r="K101" s="187" t="inlineStr">
        <is>
          <t>https://nvd.nist.gov/vuln/detail/CVE-2025-14357</t>
        </is>
      </c>
      <c r="L101" s="187" t="inlineStr">
        <is>
          <t>2026-02-26 00:15</t>
        </is>
      </c>
      <c r="M101" s="187" t="inlineStr">
        <is>
          <t>CHECK_VENDOR</t>
        </is>
      </c>
      <c r="N101" s="187" t="inlineStr">
        <is>
          <t>See NVD references</t>
        </is>
      </c>
      <c r="O101" s="187" t="inlineStr">
        <is>
          <t>Apply vendor patches</t>
        </is>
      </c>
      <c r="P101" s="187" t="inlineStr">
        <is>
          <t>See CVE details</t>
        </is>
      </c>
      <c r="Q101" s="187" t="inlineStr">
        <is>
          <t>P4</t>
        </is>
      </c>
      <c r="R101" s="187" t="inlineStr">
        <is>
          <t>📅 Schedule patch deployment within 30 days | 🔍 Monitor for exploitation attempts</t>
        </is>
      </c>
      <c r="S101" s="187" t="inlineStr">
        <is>
          <t>CVE - IP enrichment n/a</t>
        </is>
      </c>
      <c r="T101" s="187" t="n">
        <v>0.0003</v>
      </c>
      <c r="U101" s="187" t="n">
        <v>0.1</v>
      </c>
      <c r="V101" s="187" t="inlineStr">
        <is>
          <t>T1190:Exploit Public-Facing Application</t>
        </is>
      </c>
      <c r="W101" s="187" t="n">
        <v>1</v>
      </c>
      <c r="X101" s="187" t="inlineStr">
        <is>
          <t>LOW (40%)</t>
        </is>
      </c>
      <c r="Y101" s="187" t="inlineStr">
        <is>
          <t>UNLIKELY</t>
        </is>
      </c>
      <c r="Z101" s="187" t="inlineStr">
        <is>
          <t>CHECK_VENDOR</t>
        </is>
      </c>
      <c r="AA101" s="187" t="inlineStr">
        <is>
          <t>https://nvd.nist.gov/vuln/detail/CVE-2025-14357</t>
        </is>
      </c>
      <c r="AB101" s="187" t="inlineStr">
        <is>
          <t>NONE</t>
        </is>
      </c>
      <c r="AC101" s="187" t="n">
        <v>0</v>
      </c>
      <c r="AD101" s="187" t="inlineStr"/>
    </row>
    <row r="102">
      <c r="A102" s="187" t="inlineStr">
        <is>
          <t>CVE</t>
        </is>
      </c>
      <c r="B102" s="187" t="inlineStr">
        <is>
          <t>CVE-2025-14427</t>
        </is>
      </c>
      <c r="C102" s="187" t="inlineStr">
        <is>
          <t>The Shield Security: Blocks Bots, Protects Users, and Prevents Security Breaches plugin for WordPress is vulnerable to unauthorized modification of data due to a missing capability check on the `MfaEmailDisable` action in all versions up to, and including, 21.0.9. This makes it possible for authenticated attackers, with Subscriber-level access and above, to disable the global Email 2FA setting for the entire site.</t>
        </is>
      </c>
      <c r="D102" s="187" t="n">
        <v>4.3</v>
      </c>
      <c r="E102" s="187" t="inlineStr">
        <is>
          <t>MEDIUM</t>
        </is>
      </c>
      <c r="F102" s="187" t="n">
        <v>2</v>
      </c>
      <c r="G102" s="187" t="n">
        <v>2</v>
      </c>
      <c r="H102" s="187" t="inlineStr">
        <is>
          <t>MEDIUM</t>
        </is>
      </c>
      <c r="I102" s="187" t="n">
        <v>8.300000000000001</v>
      </c>
      <c r="J102" s="187" t="inlineStr">
        <is>
          <t>NO</t>
        </is>
      </c>
      <c r="K102" s="187" t="inlineStr">
        <is>
          <t>https://nvd.nist.gov/vuln/detail/CVE-2025-14427</t>
        </is>
      </c>
      <c r="L102" s="187" t="inlineStr">
        <is>
          <t>2026-02-26 00:15</t>
        </is>
      </c>
      <c r="M102" s="187" t="inlineStr">
        <is>
          <t>CHECK_VENDOR</t>
        </is>
      </c>
      <c r="N102" s="187" t="inlineStr">
        <is>
          <t>See NVD references</t>
        </is>
      </c>
      <c r="O102" s="187" t="inlineStr">
        <is>
          <t>Apply vendor patches</t>
        </is>
      </c>
      <c r="P102" s="187" t="inlineStr">
        <is>
          <t>See CVE details</t>
        </is>
      </c>
      <c r="Q102" s="187" t="inlineStr">
        <is>
          <t>P4</t>
        </is>
      </c>
      <c r="R102" s="187" t="inlineStr">
        <is>
          <t>📅 Schedule patch deployment within 30 days | 🔍 Monitor for exploitation attempts</t>
        </is>
      </c>
      <c r="S102" s="187" t="inlineStr">
        <is>
          <t>CVE - IP enrichment n/a</t>
        </is>
      </c>
      <c r="T102" s="187" t="n">
        <v>0</v>
      </c>
      <c r="U102" s="187" t="n">
        <v>0</v>
      </c>
      <c r="V102" s="187" t="inlineStr">
        <is>
          <t>T1190:Exploit Public-Facing Application</t>
        </is>
      </c>
      <c r="W102" s="187" t="n">
        <v>1</v>
      </c>
      <c r="X102" s="187" t="inlineStr">
        <is>
          <t>LOW (40%)</t>
        </is>
      </c>
      <c r="Y102" s="187" t="inlineStr">
        <is>
          <t>UNLIKELY</t>
        </is>
      </c>
      <c r="Z102" s="187" t="inlineStr">
        <is>
          <t>CHECK_VENDOR</t>
        </is>
      </c>
      <c r="AA102" s="187" t="inlineStr">
        <is>
          <t>https://nvd.nist.gov/vuln/detail/CVE-2025-14427</t>
        </is>
      </c>
      <c r="AB102" s="187" t="inlineStr">
        <is>
          <t>NONE</t>
        </is>
      </c>
      <c r="AC102" s="187" t="n">
        <v>0</v>
      </c>
      <c r="AD102" s="187" t="inlineStr"/>
    </row>
    <row r="103">
      <c r="A103" s="187" t="inlineStr">
        <is>
          <t>CVE</t>
        </is>
      </c>
      <c r="B103" s="187" t="inlineStr">
        <is>
          <t>CVE-2025-14445</t>
        </is>
      </c>
      <c r="C103" s="187" t="inlineStr">
        <is>
          <t>The Image Hotspot by DevVN plugin for WordPress is vulnerable to Stored Cross-Site Scripting via the 'hotspot_content' custom field meta in all versions up to, and including, 1.2.9 due to insufficient input sanitization and output escaping. This makes it possible for authenticated attackers, with author level access and above, to inject arbitrary web scripts in pages that will execute whenever a user accesses an injected page.</t>
        </is>
      </c>
      <c r="D103" s="187" t="n">
        <v>6.4</v>
      </c>
      <c r="E103" s="187" t="inlineStr">
        <is>
          <t>MEDIUM</t>
        </is>
      </c>
      <c r="F103" s="187" t="n">
        <v>2</v>
      </c>
      <c r="G103" s="187" t="n">
        <v>2</v>
      </c>
      <c r="H103" s="187" t="inlineStr">
        <is>
          <t>MEDIUM</t>
        </is>
      </c>
      <c r="I103" s="187" t="n">
        <v>10.4</v>
      </c>
      <c r="J103" s="187" t="inlineStr">
        <is>
          <t>NO</t>
        </is>
      </c>
      <c r="K103" s="187" t="inlineStr">
        <is>
          <t>https://nvd.nist.gov/vuln/detail/CVE-2025-14445</t>
        </is>
      </c>
      <c r="L103" s="187" t="inlineStr">
        <is>
          <t>2026-02-26 00:15</t>
        </is>
      </c>
      <c r="M103" s="187" t="inlineStr">
        <is>
          <t>CHECK_VENDOR</t>
        </is>
      </c>
      <c r="N103" s="187" t="inlineStr">
        <is>
          <t>See NVD references</t>
        </is>
      </c>
      <c r="O103" s="187" t="inlineStr">
        <is>
          <t>Apply vendor patches</t>
        </is>
      </c>
      <c r="P103" s="187" t="inlineStr">
        <is>
          <t>See CVE details</t>
        </is>
      </c>
      <c r="Q103" s="187" t="inlineStr">
        <is>
          <t>P4</t>
        </is>
      </c>
      <c r="R103" s="187" t="inlineStr">
        <is>
          <t>📅 Schedule patch deployment within 30 days | 🔍 Monitor for exploitation attempts</t>
        </is>
      </c>
      <c r="S103" s="187" t="inlineStr">
        <is>
          <t>CVE - IP enrichment n/a</t>
        </is>
      </c>
      <c r="T103" s="187" t="n">
        <v>0</v>
      </c>
      <c r="U103" s="187" t="n">
        <v>0</v>
      </c>
      <c r="V103" s="187" t="inlineStr">
        <is>
          <t>T1189:Drive-by Compromise</t>
        </is>
      </c>
      <c r="W103" s="187" t="n">
        <v>1</v>
      </c>
      <c r="X103" s="187" t="inlineStr">
        <is>
          <t>LOW (40%)</t>
        </is>
      </c>
      <c r="Y103" s="187" t="inlineStr">
        <is>
          <t>UNLIKELY</t>
        </is>
      </c>
      <c r="Z103" s="187" t="inlineStr">
        <is>
          <t>CHECK_VENDOR</t>
        </is>
      </c>
      <c r="AA103" s="187" t="inlineStr">
        <is>
          <t>https://nvd.nist.gov/vuln/detail/CVE-2025-14445</t>
        </is>
      </c>
      <c r="AB103" s="187" t="inlineStr">
        <is>
          <t>NONE</t>
        </is>
      </c>
      <c r="AC103" s="187" t="n">
        <v>0</v>
      </c>
      <c r="AD103" s="187" t="inlineStr"/>
    </row>
    <row r="104">
      <c r="A104" s="188" t="inlineStr">
        <is>
          <t>CVE</t>
        </is>
      </c>
      <c r="B104" s="188" t="inlineStr">
        <is>
          <t>CVE-2025-14452</t>
        </is>
      </c>
      <c r="C104" s="188" t="inlineStr">
        <is>
          <t>The WP Customer Reviews plugin for WordPress is vulnerable to Reflected Cross-Site Scripting via the 'wpcr3_fname' parameter in all versions up to, and including, 3.7.5 due to insufficient input sanitization and output escaping. This makes it possible for unauthenticated attackers to inject arbitrary web scripts in pages that execute if they can successfully trick a user into performing an action such as clicking on a link.</t>
        </is>
      </c>
      <c r="D104" s="188" t="n">
        <v>7.2</v>
      </c>
      <c r="E104" s="188" t="inlineStr">
        <is>
          <t>HIGH</t>
        </is>
      </c>
      <c r="F104" s="188" t="n">
        <v>2</v>
      </c>
      <c r="G104" s="188" t="n">
        <v>3</v>
      </c>
      <c r="H104" s="188" t="inlineStr">
        <is>
          <t>HIGH</t>
        </is>
      </c>
      <c r="I104" s="188" t="n">
        <v>13.2</v>
      </c>
      <c r="J104" s="188" t="inlineStr">
        <is>
          <t>NO</t>
        </is>
      </c>
      <c r="K104" s="188" t="inlineStr">
        <is>
          <t>https://nvd.nist.gov/vuln/detail/CVE-2025-14452</t>
        </is>
      </c>
      <c r="L104" s="188" t="inlineStr">
        <is>
          <t>2026-02-26 00:15</t>
        </is>
      </c>
      <c r="M104" s="188" t="inlineStr">
        <is>
          <t>CHECK_VENDOR</t>
        </is>
      </c>
      <c r="N104" s="188" t="inlineStr">
        <is>
          <t>See NVD references</t>
        </is>
      </c>
      <c r="O104" s="188" t="inlineStr">
        <is>
          <t>Apply vendor patches</t>
        </is>
      </c>
      <c r="P104" s="188" t="inlineStr">
        <is>
          <t>See CVE details</t>
        </is>
      </c>
      <c r="Q104" s="188" t="inlineStr">
        <is>
          <t>P3</t>
        </is>
      </c>
      <c r="R104" s="188" t="inlineStr">
        <is>
          <t>🚨 URGENT: Apply vendor patches immediately | 🔒 Isolate affected systems if patch unavailable | 🛡️ Enable additional monitoring/IDS rules</t>
        </is>
      </c>
      <c r="S104" s="188" t="inlineStr">
        <is>
          <t>CVE - IP enrichment n/a</t>
        </is>
      </c>
      <c r="T104" s="188" t="n">
        <v>0</v>
      </c>
      <c r="U104" s="188" t="n">
        <v>0</v>
      </c>
      <c r="V104" s="188" t="inlineStr">
        <is>
          <t>T1189:Drive-by Compromise</t>
        </is>
      </c>
      <c r="W104" s="188" t="n">
        <v>1</v>
      </c>
      <c r="X104" s="188" t="inlineStr">
        <is>
          <t>LOW (40%)</t>
        </is>
      </c>
      <c r="Y104" s="188" t="inlineStr">
        <is>
          <t>UNLIKELY</t>
        </is>
      </c>
      <c r="Z104" s="188" t="inlineStr">
        <is>
          <t>CHECK_VENDOR</t>
        </is>
      </c>
      <c r="AA104" s="188" t="inlineStr">
        <is>
          <t>https://nvd.nist.gov/vuln/detail/CVE-2025-14452</t>
        </is>
      </c>
      <c r="AB104" s="188" t="inlineStr">
        <is>
          <t>NONE</t>
        </is>
      </c>
      <c r="AC104" s="188" t="n">
        <v>0</v>
      </c>
      <c r="AD104" s="188" t="inlineStr"/>
    </row>
    <row r="105">
      <c r="A105" s="187" t="inlineStr">
        <is>
          <t>CVE</t>
        </is>
      </c>
      <c r="B105" s="187" t="inlineStr">
        <is>
          <t>CVE-2025-14851</t>
        </is>
      </c>
      <c r="C105" s="187" t="inlineStr">
        <is>
          <t>The YaMaps for WordPress plugin for WordPress is vulnerable to Stored Cross-Site Scripting via the `yamap` shortcode parameters in all versions up to, and including, 0.6.40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05" s="187" t="n">
        <v>6.4</v>
      </c>
      <c r="E105" s="187" t="inlineStr">
        <is>
          <t>MEDIUM</t>
        </is>
      </c>
      <c r="F105" s="187" t="n">
        <v>2</v>
      </c>
      <c r="G105" s="187" t="n">
        <v>2</v>
      </c>
      <c r="H105" s="187" t="inlineStr">
        <is>
          <t>MEDIUM</t>
        </is>
      </c>
      <c r="I105" s="187" t="n">
        <v>10.4</v>
      </c>
      <c r="J105" s="187" t="inlineStr">
        <is>
          <t>NO</t>
        </is>
      </c>
      <c r="K105" s="187" t="inlineStr">
        <is>
          <t>https://nvd.nist.gov/vuln/detail/CVE-2025-14851</t>
        </is>
      </c>
      <c r="L105" s="187" t="inlineStr">
        <is>
          <t>2026-02-26 00:15</t>
        </is>
      </c>
      <c r="M105" s="187" t="inlineStr">
        <is>
          <t>CHECK_VENDOR</t>
        </is>
      </c>
      <c r="N105" s="187" t="inlineStr">
        <is>
          <t>See NVD references</t>
        </is>
      </c>
      <c r="O105" s="187" t="inlineStr">
        <is>
          <t>Apply vendor patches</t>
        </is>
      </c>
      <c r="P105" s="187" t="inlineStr">
        <is>
          <t>See CVE details</t>
        </is>
      </c>
      <c r="Q105" s="187" t="inlineStr">
        <is>
          <t>P4</t>
        </is>
      </c>
      <c r="R105" s="187" t="inlineStr">
        <is>
          <t>📅 Schedule patch deployment within 30 days | 🔍 Monitor for exploitation attempts</t>
        </is>
      </c>
      <c r="S105" s="187" t="inlineStr">
        <is>
          <t>CVE - IP enrichment n/a</t>
        </is>
      </c>
      <c r="T105" s="187" t="n">
        <v>0</v>
      </c>
      <c r="U105" s="187" t="n">
        <v>0</v>
      </c>
      <c r="V105" s="187" t="inlineStr">
        <is>
          <t>T1189:Drive-by Compromise</t>
        </is>
      </c>
      <c r="W105" s="187" t="n">
        <v>1</v>
      </c>
      <c r="X105" s="187" t="inlineStr">
        <is>
          <t>LOW (40%)</t>
        </is>
      </c>
      <c r="Y105" s="187" t="inlineStr">
        <is>
          <t>UNLIKELY</t>
        </is>
      </c>
      <c r="Z105" s="187" t="inlineStr">
        <is>
          <t>CHECK_VENDOR</t>
        </is>
      </c>
      <c r="AA105" s="187" t="inlineStr">
        <is>
          <t>https://nvd.nist.gov/vuln/detail/CVE-2025-14851</t>
        </is>
      </c>
      <c r="AB105" s="187" t="inlineStr">
        <is>
          <t>NONE</t>
        </is>
      </c>
      <c r="AC105" s="187" t="n">
        <v>0</v>
      </c>
      <c r="AD105" s="187" t="inlineStr"/>
    </row>
    <row r="106">
      <c r="A106" s="187" t="inlineStr">
        <is>
          <t>CVE</t>
        </is>
      </c>
      <c r="B106" s="187" t="inlineStr">
        <is>
          <t>CVE-2025-14864</t>
        </is>
      </c>
      <c r="C106" s="187" t="inlineStr">
        <is>
          <t>The Virusdie - One-click website security plugin for WordPress is vulnerable to Sensitive Information Exposure in all versions up to, and including, 1.1.7. This is due to missing capability checks on the `vd_get_apikey` function which is hooked to `wp_ajax_virusdie_apikey`. This makes it possible for authenticated attackers, with Subscriber-level access and above, to retrieve the site's Virusdie API key, which could be used to access the site owner's Virusdie account and potentially compromise s</t>
        </is>
      </c>
      <c r="D106" s="187" t="n">
        <v>4.3</v>
      </c>
      <c r="E106" s="187" t="inlineStr">
        <is>
          <t>MEDIUM</t>
        </is>
      </c>
      <c r="F106" s="187" t="n">
        <v>2</v>
      </c>
      <c r="G106" s="187" t="n">
        <v>2</v>
      </c>
      <c r="H106" s="187" t="inlineStr">
        <is>
          <t>MEDIUM</t>
        </is>
      </c>
      <c r="I106" s="187" t="n">
        <v>8.300000000000001</v>
      </c>
      <c r="J106" s="187" t="inlineStr">
        <is>
          <t>NO</t>
        </is>
      </c>
      <c r="K106" s="187" t="inlineStr">
        <is>
          <t>https://nvd.nist.gov/vuln/detail/CVE-2025-14864</t>
        </is>
      </c>
      <c r="L106" s="187" t="inlineStr">
        <is>
          <t>2026-02-26 00:15</t>
        </is>
      </c>
      <c r="M106" s="187" t="inlineStr">
        <is>
          <t>CHECK_VENDOR</t>
        </is>
      </c>
      <c r="N106" s="187" t="inlineStr">
        <is>
          <t>See NVD references</t>
        </is>
      </c>
      <c r="O106" s="187" t="inlineStr">
        <is>
          <t>Apply vendor patches</t>
        </is>
      </c>
      <c r="P106" s="187" t="inlineStr">
        <is>
          <t>See CVE details</t>
        </is>
      </c>
      <c r="Q106" s="187" t="inlineStr">
        <is>
          <t>P4</t>
        </is>
      </c>
      <c r="R106" s="187" t="inlineStr">
        <is>
          <t>📅 Schedule patch deployment within 30 days | 🔍 Monitor for exploitation attempts</t>
        </is>
      </c>
      <c r="S106" s="187" t="inlineStr">
        <is>
          <t>CVE - IP enrichment n/a</t>
        </is>
      </c>
      <c r="T106" s="187" t="n">
        <v>0</v>
      </c>
      <c r="U106" s="187" t="n">
        <v>0</v>
      </c>
      <c r="V106" s="187" t="inlineStr">
        <is>
          <t>T1190:Exploit Public-Facing Application</t>
        </is>
      </c>
      <c r="W106" s="187" t="n">
        <v>1</v>
      </c>
      <c r="X106" s="187" t="inlineStr">
        <is>
          <t>LOW (40%)</t>
        </is>
      </c>
      <c r="Y106" s="187" t="inlineStr">
        <is>
          <t>UNLIKELY</t>
        </is>
      </c>
      <c r="Z106" s="187" t="inlineStr">
        <is>
          <t>CHECK_VENDOR</t>
        </is>
      </c>
      <c r="AA106" s="187" t="inlineStr">
        <is>
          <t>https://nvd.nist.gov/vuln/detail/CVE-2025-14864</t>
        </is>
      </c>
      <c r="AB106" s="187" t="inlineStr">
        <is>
          <t>NONE</t>
        </is>
      </c>
      <c r="AC106" s="187" t="n">
        <v>0</v>
      </c>
      <c r="AD106" s="187" t="inlineStr"/>
    </row>
    <row r="107">
      <c r="A107" s="187" t="inlineStr">
        <is>
          <t>CVE</t>
        </is>
      </c>
      <c r="B107" s="187" t="inlineStr">
        <is>
          <t>CVE-2025-14983</t>
        </is>
      </c>
      <c r="C107" s="187" t="inlineStr">
        <is>
          <t>The Advanced Custom Fields: Font Awesome Field plugin for WordPress is vulnerable to Cross-Site Scripting in all versions up to, and including, 5.0.1 due to insufficient input sanitization and output escaping. This makes it possible forauthenticated attackers, with Contributor-level access and above, to inject arbitrary web scripts that execute in a victim's browser.</t>
        </is>
      </c>
      <c r="D107" s="187" t="n">
        <v>6.4</v>
      </c>
      <c r="E107" s="187" t="inlineStr">
        <is>
          <t>MEDIUM</t>
        </is>
      </c>
      <c r="F107" s="187" t="n">
        <v>2</v>
      </c>
      <c r="G107" s="187" t="n">
        <v>2</v>
      </c>
      <c r="H107" s="187" t="inlineStr">
        <is>
          <t>MEDIUM</t>
        </is>
      </c>
      <c r="I107" s="187" t="n">
        <v>10.4</v>
      </c>
      <c r="J107" s="187" t="inlineStr">
        <is>
          <t>NO</t>
        </is>
      </c>
      <c r="K107" s="187" t="inlineStr">
        <is>
          <t>https://nvd.nist.gov/vuln/detail/CVE-2025-14983</t>
        </is>
      </c>
      <c r="L107" s="187" t="inlineStr">
        <is>
          <t>2026-02-26 00:15</t>
        </is>
      </c>
      <c r="M107" s="187" t="inlineStr">
        <is>
          <t>CHECK_VENDOR</t>
        </is>
      </c>
      <c r="N107" s="187" t="inlineStr">
        <is>
          <t>See NVD references</t>
        </is>
      </c>
      <c r="O107" s="187" t="inlineStr">
        <is>
          <t>Apply vendor patches</t>
        </is>
      </c>
      <c r="P107" s="187" t="inlineStr">
        <is>
          <t>See CVE details</t>
        </is>
      </c>
      <c r="Q107" s="187" t="inlineStr">
        <is>
          <t>P4</t>
        </is>
      </c>
      <c r="R107" s="187" t="inlineStr">
        <is>
          <t>📅 Schedule patch deployment within 30 days | 🔍 Monitor for exploitation attempts</t>
        </is>
      </c>
      <c r="S107" s="187" t="inlineStr">
        <is>
          <t>CVE - IP enrichment n/a</t>
        </is>
      </c>
      <c r="T107" s="187" t="n">
        <v>0</v>
      </c>
      <c r="U107" s="187" t="n">
        <v>0</v>
      </c>
      <c r="V107" s="187" t="inlineStr">
        <is>
          <t>T1189:Drive-by Compromise</t>
        </is>
      </c>
      <c r="W107" s="187" t="n">
        <v>1</v>
      </c>
      <c r="X107" s="187" t="inlineStr">
        <is>
          <t>LOW (40%)</t>
        </is>
      </c>
      <c r="Y107" s="187" t="inlineStr">
        <is>
          <t>UNLIKELY</t>
        </is>
      </c>
      <c r="Z107" s="187" t="inlineStr">
        <is>
          <t>CHECK_VENDOR</t>
        </is>
      </c>
      <c r="AA107" s="187" t="inlineStr">
        <is>
          <t>https://nvd.nist.gov/vuln/detail/CVE-2025-14983</t>
        </is>
      </c>
      <c r="AB107" s="187" t="inlineStr">
        <is>
          <t>NONE</t>
        </is>
      </c>
      <c r="AC107" s="187" t="n">
        <v>0</v>
      </c>
      <c r="AD107" s="187" t="inlineStr"/>
    </row>
    <row r="108">
      <c r="A108" s="188" t="inlineStr">
        <is>
          <t>CVE</t>
        </is>
      </c>
      <c r="B108" s="188" t="inlineStr">
        <is>
          <t>CVE-2025-15041</t>
        </is>
      </c>
      <c r="C108" s="188" t="inlineStr">
        <is>
          <t>The BackWPup – WordPress Backup &amp; Restore Plugin plugin for WordPress is vulnerable to unauthorized modification of data that can lead to privilege escalation due to a missing capability check on the save_site_option() function in all versions up to, and including, 5.6.2. This makes it possible for authenticated attackers, with level access and above, to update arbitrary options on the WordPress site. This can be leveraged to update the default role for registration to administrator and enable u</t>
        </is>
      </c>
      <c r="D108" s="188" t="n">
        <v>7.2</v>
      </c>
      <c r="E108" s="188" t="inlineStr">
        <is>
          <t>HIGH</t>
        </is>
      </c>
      <c r="F108" s="188" t="n">
        <v>2</v>
      </c>
      <c r="G108" s="188" t="n">
        <v>3</v>
      </c>
      <c r="H108" s="188" t="inlineStr">
        <is>
          <t>HIGH</t>
        </is>
      </c>
      <c r="I108" s="188" t="n">
        <v>13.2</v>
      </c>
      <c r="J108" s="188" t="inlineStr">
        <is>
          <t>NO</t>
        </is>
      </c>
      <c r="K108" s="188" t="inlineStr">
        <is>
          <t>https://nvd.nist.gov/vuln/detail/CVE-2025-15041</t>
        </is>
      </c>
      <c r="L108" s="188" t="inlineStr">
        <is>
          <t>2026-02-26 00:15</t>
        </is>
      </c>
      <c r="M108" s="188" t="inlineStr">
        <is>
          <t>CHECK_VENDOR</t>
        </is>
      </c>
      <c r="N108" s="188" t="inlineStr">
        <is>
          <t>See NVD references</t>
        </is>
      </c>
      <c r="O108" s="188" t="inlineStr">
        <is>
          <t>Apply vendor patches</t>
        </is>
      </c>
      <c r="P108" s="188" t="inlineStr">
        <is>
          <t>See CVE details</t>
        </is>
      </c>
      <c r="Q108" s="188" t="inlineStr">
        <is>
          <t>P3</t>
        </is>
      </c>
      <c r="R108" s="188" t="inlineStr">
        <is>
          <t>🚨 URGENT: Apply vendor patches immediately | 🔒 Isolate affected systems if patch unavailable | 🛡️ Enable additional monitoring/IDS rules</t>
        </is>
      </c>
      <c r="S108" s="188" t="inlineStr">
        <is>
          <t>CVE - IP enrichment n/a</t>
        </is>
      </c>
      <c r="T108" s="188" t="n">
        <v>0.0004</v>
      </c>
      <c r="U108" s="188" t="n">
        <v>0.1368</v>
      </c>
      <c r="V108" s="188" t="inlineStr">
        <is>
          <t>T1068:Exploitation for Privilege Escalation</t>
        </is>
      </c>
      <c r="W108" s="188" t="n">
        <v>1</v>
      </c>
      <c r="X108" s="188" t="inlineStr">
        <is>
          <t>LOW (40%)</t>
        </is>
      </c>
      <c r="Y108" s="188" t="inlineStr">
        <is>
          <t>UNLIKELY</t>
        </is>
      </c>
      <c r="Z108" s="188" t="inlineStr">
        <is>
          <t>CHECK_VENDOR</t>
        </is>
      </c>
      <c r="AA108" s="188" t="inlineStr">
        <is>
          <t>https://nvd.nist.gov/vuln/detail/CVE-2025-15041</t>
        </is>
      </c>
      <c r="AB108" s="188" t="inlineStr">
        <is>
          <t>NONE</t>
        </is>
      </c>
      <c r="AC108" s="188" t="n">
        <v>0</v>
      </c>
      <c r="AD108" s="188" t="inlineStr"/>
    </row>
    <row r="109">
      <c r="A109" s="187" t="inlineStr">
        <is>
          <t>CVE</t>
        </is>
      </c>
      <c r="B109" s="187" t="inlineStr">
        <is>
          <t>CVE-2025-15586</t>
        </is>
      </c>
      <c r="C109" s="187" t="inlineStr">
        <is>
          <t>OGP-Website installs prior git commit 52f865a4fba763594453068acf8fa9e3fc38d663 are affected by a type juggling flaw which if exploited can result in authentication bypass without knowledge of the victim account's password.</t>
        </is>
      </c>
      <c r="D109" s="187" t="n">
        <v>5</v>
      </c>
      <c r="E109" s="187" t="inlineStr">
        <is>
          <t>MEDIUM</t>
        </is>
      </c>
      <c r="F109" s="187" t="n">
        <v>2</v>
      </c>
      <c r="G109" s="187" t="n">
        <v>2</v>
      </c>
      <c r="H109" s="187" t="inlineStr">
        <is>
          <t>MEDIUM</t>
        </is>
      </c>
      <c r="I109" s="187" t="n">
        <v>9</v>
      </c>
      <c r="J109" s="187" t="inlineStr">
        <is>
          <t>NO</t>
        </is>
      </c>
      <c r="K109" s="187" t="inlineStr">
        <is>
          <t>https://nvd.nist.gov/vuln/detail/CVE-2025-15586</t>
        </is>
      </c>
      <c r="L109" s="187" t="inlineStr">
        <is>
          <t>2026-02-26 00:15</t>
        </is>
      </c>
      <c r="M109" s="187" t="inlineStr">
        <is>
          <t>CHECK_VENDOR</t>
        </is>
      </c>
      <c r="N109" s="187" t="inlineStr">
        <is>
          <t>See NVD references</t>
        </is>
      </c>
      <c r="O109" s="187" t="inlineStr">
        <is>
          <t>Apply vendor patches</t>
        </is>
      </c>
      <c r="P109" s="187" t="inlineStr">
        <is>
          <t>See CVE details</t>
        </is>
      </c>
      <c r="Q109" s="187" t="inlineStr">
        <is>
          <t>P4</t>
        </is>
      </c>
      <c r="R109" s="187" t="inlineStr">
        <is>
          <t>📅 Schedule patch deployment within 30 days | 🔍 Monitor for exploitation attempts</t>
        </is>
      </c>
      <c r="S109" s="187" t="inlineStr">
        <is>
          <t>CVE - IP enrichment n/a</t>
        </is>
      </c>
      <c r="T109" s="187" t="n">
        <v>0.0009</v>
      </c>
      <c r="U109" s="187" t="n">
        <v>0.2543</v>
      </c>
      <c r="V109" s="187" t="inlineStr">
        <is>
          <t>T1078:Valid Accounts | T1110:Brute Force</t>
        </is>
      </c>
      <c r="W109" s="187" t="n">
        <v>1</v>
      </c>
      <c r="X109" s="187" t="inlineStr">
        <is>
          <t>LOW (40%)</t>
        </is>
      </c>
      <c r="Y109" s="187" t="inlineStr">
        <is>
          <t>UNLIKELY</t>
        </is>
      </c>
      <c r="Z109" s="187" t="inlineStr">
        <is>
          <t>CHECK_VENDOR</t>
        </is>
      </c>
      <c r="AA109" s="187" t="inlineStr">
        <is>
          <t>https://nvd.nist.gov/vuln/detail/CVE-2025-15586</t>
        </is>
      </c>
      <c r="AB109" s="187" t="inlineStr">
        <is>
          <t>NONE</t>
        </is>
      </c>
      <c r="AC109" s="187" t="n">
        <v>0</v>
      </c>
      <c r="AD109" s="187" t="inlineStr"/>
    </row>
    <row r="110">
      <c r="A110" s="188" t="inlineStr">
        <is>
          <t>CVE</t>
        </is>
      </c>
      <c r="B110" s="188" t="inlineStr">
        <is>
          <t>CVE-2025-4521</t>
        </is>
      </c>
      <c r="C110" s="188" t="inlineStr">
        <is>
          <t>The IDonate – Blood Donation, Request And Donor Management System plugin for WordPress is vulnerable to Privilege Escalation due to a missing capability check on the idonate_donor_profile() function in versions 2.1.5 to 2.1.9. This makes it possible for authenticated attackers, with Subscriber-level access and above, to hijack any account by reassigning its email address (via the donor_id they supply) and then triggering a password reset, ultimately granting themselves full administrator privile</t>
        </is>
      </c>
      <c r="D110" s="188" t="n">
        <v>8.800000000000001</v>
      </c>
      <c r="E110" s="188" t="inlineStr">
        <is>
          <t>HIGH</t>
        </is>
      </c>
      <c r="F110" s="188" t="n">
        <v>2</v>
      </c>
      <c r="G110" s="188" t="n">
        <v>3</v>
      </c>
      <c r="H110" s="188" t="inlineStr">
        <is>
          <t>HIGH</t>
        </is>
      </c>
      <c r="I110" s="188" t="n">
        <v>14.8</v>
      </c>
      <c r="J110" s="188" t="inlineStr">
        <is>
          <t>NO</t>
        </is>
      </c>
      <c r="K110" s="188" t="inlineStr">
        <is>
          <t>https://nvd.nist.gov/vuln/detail/CVE-2025-4521</t>
        </is>
      </c>
      <c r="L110" s="188" t="inlineStr">
        <is>
          <t>2026-02-26 00:15</t>
        </is>
      </c>
      <c r="M110" s="188" t="inlineStr">
        <is>
          <t>CHECK_VENDOR</t>
        </is>
      </c>
      <c r="N110" s="188" t="inlineStr">
        <is>
          <t>See NVD references</t>
        </is>
      </c>
      <c r="O110" s="188" t="inlineStr">
        <is>
          <t>Apply vendor patches</t>
        </is>
      </c>
      <c r="P110" s="188" t="inlineStr">
        <is>
          <t>See CVE details</t>
        </is>
      </c>
      <c r="Q110" s="188" t="inlineStr">
        <is>
          <t>P3</t>
        </is>
      </c>
      <c r="R110" s="188" t="inlineStr">
        <is>
          <t>🚨 URGENT: Apply vendor patches immediately | 🔒 Isolate affected systems if patch unavailable | 🛡️ Enable additional monitoring/IDS rules</t>
        </is>
      </c>
      <c r="S110" s="188" t="inlineStr">
        <is>
          <t>CVE - IP enrichment n/a</t>
        </is>
      </c>
      <c r="T110" s="188" t="n">
        <v>0</v>
      </c>
      <c r="U110" s="188" t="n">
        <v>0</v>
      </c>
      <c r="V110" s="188" t="inlineStr">
        <is>
          <t>T1068:Exploitation for Privilege Escalation</t>
        </is>
      </c>
      <c r="W110" s="188" t="n">
        <v>1</v>
      </c>
      <c r="X110" s="188" t="inlineStr">
        <is>
          <t>LOW (40%)</t>
        </is>
      </c>
      <c r="Y110" s="188" t="inlineStr">
        <is>
          <t>UNLIKELY</t>
        </is>
      </c>
      <c r="Z110" s="188" t="inlineStr">
        <is>
          <t>CHECK_VENDOR</t>
        </is>
      </c>
      <c r="AA110" s="188" t="inlineStr">
        <is>
          <t>https://nvd.nist.gov/vuln/detail/CVE-2025-4521</t>
        </is>
      </c>
      <c r="AB110" s="188" t="inlineStr">
        <is>
          <t>NONE</t>
        </is>
      </c>
      <c r="AC110" s="188" t="n">
        <v>0</v>
      </c>
      <c r="AD110" s="188" t="inlineStr"/>
    </row>
    <row r="111">
      <c r="A111" s="188" t="inlineStr">
        <is>
          <t>CVE</t>
        </is>
      </c>
      <c r="B111" s="188" t="inlineStr">
        <is>
          <t>CVE-2025-4960</t>
        </is>
      </c>
      <c r="C111" s="188" t="inlineStr">
        <is>
          <t xml:space="preserve">The com.epson.InstallNavi.helper tool, deployed with the EPSON printer driver installer, contains a local privilege escalation vulnerability due to multiple flaws in its implementation. It fails to properly authenticate clients over the XPC protocol and does not correctly enforce macOS’s authorization model, exposing privileged functionality to untrusted users. Although it invokes the AuthorizationCopyRights API, it does so using overly permissive custom rights that it registers in the system’s </t>
        </is>
      </c>
      <c r="D111" s="188" t="n">
        <v>7.8</v>
      </c>
      <c r="E111" s="188" t="inlineStr">
        <is>
          <t>HIGH</t>
        </is>
      </c>
      <c r="F111" s="188" t="n">
        <v>2</v>
      </c>
      <c r="G111" s="188" t="n">
        <v>3</v>
      </c>
      <c r="H111" s="188" t="inlineStr">
        <is>
          <t>HIGH</t>
        </is>
      </c>
      <c r="I111" s="188" t="n">
        <v>13.8</v>
      </c>
      <c r="J111" s="188" t="inlineStr">
        <is>
          <t>NO</t>
        </is>
      </c>
      <c r="K111" s="188" t="inlineStr">
        <is>
          <t>https://nvd.nist.gov/vuln/detail/CVE-2025-4960</t>
        </is>
      </c>
      <c r="L111" s="188" t="inlineStr">
        <is>
          <t>2026-02-26 00:15</t>
        </is>
      </c>
      <c r="M111" s="188" t="inlineStr">
        <is>
          <t>CHECK_VENDOR</t>
        </is>
      </c>
      <c r="N111" s="188" t="inlineStr">
        <is>
          <t>See NVD references</t>
        </is>
      </c>
      <c r="O111" s="188" t="inlineStr">
        <is>
          <t>Apply vendor patches</t>
        </is>
      </c>
      <c r="P111" s="188" t="inlineStr">
        <is>
          <t>See CVE details</t>
        </is>
      </c>
      <c r="Q111" s="188" t="inlineStr">
        <is>
          <t>P3</t>
        </is>
      </c>
      <c r="R111" s="188" t="inlineStr">
        <is>
          <t>🚨 URGENT: Apply vendor patches immediately | 🔒 Isolate affected systems if patch unavailable | 🛡️ Enable additional monitoring/IDS rules</t>
        </is>
      </c>
      <c r="S111" s="188" t="inlineStr">
        <is>
          <t>CVE - IP enrichment n/a</t>
        </is>
      </c>
      <c r="T111" s="188" t="n">
        <v>0</v>
      </c>
      <c r="U111" s="188" t="n">
        <v>0</v>
      </c>
      <c r="V111" s="188" t="inlineStr">
        <is>
          <t>T1190:Exploit Public-Facing Application | T1068:Exploitation for Privilege Escalation | T1552:Unsecured Credentials</t>
        </is>
      </c>
      <c r="W111" s="188" t="n">
        <v>1</v>
      </c>
      <c r="X111" s="188" t="inlineStr">
        <is>
          <t>LOW (40%)</t>
        </is>
      </c>
      <c r="Y111" s="188" t="inlineStr">
        <is>
          <t>UNLIKELY</t>
        </is>
      </c>
      <c r="Z111" s="188" t="inlineStr">
        <is>
          <t>CHECK_VENDOR</t>
        </is>
      </c>
      <c r="AA111" s="188" t="inlineStr">
        <is>
          <t>https://nvd.nist.gov/vuln/detail/CVE-2025-4960</t>
        </is>
      </c>
      <c r="AB111" s="188" t="inlineStr">
        <is>
          <t>NONE</t>
        </is>
      </c>
      <c r="AC111" s="188" t="n">
        <v>0</v>
      </c>
      <c r="AD111" s="188" t="inlineStr"/>
    </row>
    <row r="112">
      <c r="A112" s="187" t="inlineStr">
        <is>
          <t>CVE</t>
        </is>
      </c>
      <c r="B112" s="187" t="inlineStr">
        <is>
          <t>CVE-2026-0549</t>
        </is>
      </c>
      <c r="C112" s="187" t="inlineStr">
        <is>
          <t>The Groups plugin for WordPress is vulnerable to Stored Cross-Site Scripting via the plugin's 'groups_group_info' shortcode in all versions up to, and including, 3.10.0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12" s="187" t="n">
        <v>6.4</v>
      </c>
      <c r="E112" s="187" t="inlineStr">
        <is>
          <t>MEDIUM</t>
        </is>
      </c>
      <c r="F112" s="187" t="n">
        <v>2</v>
      </c>
      <c r="G112" s="187" t="n">
        <v>2</v>
      </c>
      <c r="H112" s="187" t="inlineStr">
        <is>
          <t>MEDIUM</t>
        </is>
      </c>
      <c r="I112" s="187" t="n">
        <v>10.4</v>
      </c>
      <c r="J112" s="187" t="inlineStr">
        <is>
          <t>NO</t>
        </is>
      </c>
      <c r="K112" s="187" t="inlineStr">
        <is>
          <t>https://nvd.nist.gov/vuln/detail/CVE-2026-0549</t>
        </is>
      </c>
      <c r="L112" s="187" t="inlineStr">
        <is>
          <t>2026-02-26 00:15</t>
        </is>
      </c>
      <c r="M112" s="187" t="inlineStr">
        <is>
          <t>CHECK_VENDOR</t>
        </is>
      </c>
      <c r="N112" s="187" t="inlineStr">
        <is>
          <t>See NVD references</t>
        </is>
      </c>
      <c r="O112" s="187" t="inlineStr">
        <is>
          <t>Apply vendor patches</t>
        </is>
      </c>
      <c r="P112" s="187" t="inlineStr">
        <is>
          <t>See CVE details</t>
        </is>
      </c>
      <c r="Q112" s="187" t="inlineStr">
        <is>
          <t>P4</t>
        </is>
      </c>
      <c r="R112" s="187" t="inlineStr">
        <is>
          <t>📅 Schedule patch deployment within 30 days | 🔍 Monitor for exploitation attempts</t>
        </is>
      </c>
      <c r="S112" s="187" t="inlineStr">
        <is>
          <t>CVE - IP enrichment n/a</t>
        </is>
      </c>
      <c r="T112" s="187" t="n">
        <v>0</v>
      </c>
      <c r="U112" s="187" t="n">
        <v>0</v>
      </c>
      <c r="V112" s="187" t="inlineStr">
        <is>
          <t>T1189:Drive-by Compromise</t>
        </is>
      </c>
      <c r="W112" s="187" t="n">
        <v>1</v>
      </c>
      <c r="X112" s="187" t="inlineStr">
        <is>
          <t>LOW (40%)</t>
        </is>
      </c>
      <c r="Y112" s="187" t="inlineStr">
        <is>
          <t>UNLIKELY</t>
        </is>
      </c>
      <c r="Z112" s="187" t="inlineStr">
        <is>
          <t>CHECK_VENDOR</t>
        </is>
      </c>
      <c r="AA112" s="187" t="inlineStr">
        <is>
          <t>https://nvd.nist.gov/vuln/detail/CVE-2026-0549</t>
        </is>
      </c>
      <c r="AB112" s="187" t="inlineStr">
        <is>
          <t>NONE</t>
        </is>
      </c>
      <c r="AC112" s="187" t="n">
        <v>0</v>
      </c>
      <c r="AD112" s="187" t="inlineStr"/>
    </row>
    <row r="113">
      <c r="A113" s="187" t="inlineStr">
        <is>
          <t>CVE</t>
        </is>
      </c>
      <c r="B113" s="187" t="inlineStr">
        <is>
          <t>CVE-2026-0556</t>
        </is>
      </c>
      <c r="C113" s="187" t="inlineStr">
        <is>
          <t>The XO Event Calendar plugin for WordPress is vulnerable to Stored Cross-Site Scripting via the plugin's 'xo_event_field' shortcode in all versions up to, and including, 3.2.10 due to insufficient input sanitization and output escaping on user supplied attributes. This makes it possible for authenticated attackers, with contributor level access and above, to inject arbitrary web scripts in pages that will execute whenever a user accesses an injected page.</t>
        </is>
      </c>
      <c r="D113" s="187" t="n">
        <v>6.4</v>
      </c>
      <c r="E113" s="187" t="inlineStr">
        <is>
          <t>MEDIUM</t>
        </is>
      </c>
      <c r="F113" s="187" t="n">
        <v>2</v>
      </c>
      <c r="G113" s="187" t="n">
        <v>2</v>
      </c>
      <c r="H113" s="187" t="inlineStr">
        <is>
          <t>MEDIUM</t>
        </is>
      </c>
      <c r="I113" s="187" t="n">
        <v>10.4</v>
      </c>
      <c r="J113" s="187" t="inlineStr">
        <is>
          <t>NO</t>
        </is>
      </c>
      <c r="K113" s="187" t="inlineStr">
        <is>
          <t>https://nvd.nist.gov/vuln/detail/CVE-2026-0556</t>
        </is>
      </c>
      <c r="L113" s="187" t="inlineStr">
        <is>
          <t>2026-02-26 00:15</t>
        </is>
      </c>
      <c r="M113" s="187" t="inlineStr">
        <is>
          <t>CHECK_VENDOR</t>
        </is>
      </c>
      <c r="N113" s="187" t="inlineStr">
        <is>
          <t>See NVD references</t>
        </is>
      </c>
      <c r="O113" s="187" t="inlineStr">
        <is>
          <t>Apply vendor patches</t>
        </is>
      </c>
      <c r="P113" s="187" t="inlineStr">
        <is>
          <t>See CVE details</t>
        </is>
      </c>
      <c r="Q113" s="187" t="inlineStr">
        <is>
          <t>P4</t>
        </is>
      </c>
      <c r="R113" s="187" t="inlineStr">
        <is>
          <t>📅 Schedule patch deployment within 30 days | 🔍 Monitor for exploitation attempts</t>
        </is>
      </c>
      <c r="S113" s="187" t="inlineStr">
        <is>
          <t>CVE - IP enrichment n/a</t>
        </is>
      </c>
      <c r="T113" s="187" t="n">
        <v>0</v>
      </c>
      <c r="U113" s="187" t="n">
        <v>0</v>
      </c>
      <c r="V113" s="187" t="inlineStr">
        <is>
          <t>T1189:Drive-by Compromise</t>
        </is>
      </c>
      <c r="W113" s="187" t="n">
        <v>1</v>
      </c>
      <c r="X113" s="187" t="inlineStr">
        <is>
          <t>LOW (40%)</t>
        </is>
      </c>
      <c r="Y113" s="187" t="inlineStr">
        <is>
          <t>UNLIKELY</t>
        </is>
      </c>
      <c r="Z113" s="187" t="inlineStr">
        <is>
          <t>CHECK_VENDOR</t>
        </is>
      </c>
      <c r="AA113" s="187" t="inlineStr">
        <is>
          <t>https://nvd.nist.gov/vuln/detail/CVE-2026-0556</t>
        </is>
      </c>
      <c r="AB113" s="187" t="inlineStr">
        <is>
          <t>NONE</t>
        </is>
      </c>
      <c r="AC113" s="187" t="n">
        <v>0</v>
      </c>
      <c r="AD113" s="187" t="inlineStr"/>
    </row>
    <row r="114">
      <c r="A114" s="187" t="inlineStr">
        <is>
          <t>CVE</t>
        </is>
      </c>
      <c r="B114" s="187" t="inlineStr">
        <is>
          <t>CVE-2026-0561</t>
        </is>
      </c>
      <c r="C114" s="187" t="inlineStr">
        <is>
          <t>The Shield Security plugin for WordPress is vulnerable to Reflected Cross-Site Scripting via the 'message' parameter in all versions up to, and including, 21.0.8 due to insufficient input sanitization and output escaping. This makes it possible for unauthenticated attackers to inject arbitrary web scripts in pages that execute if they can successfully trick a user into performing an action such as clicking on a link.</t>
        </is>
      </c>
      <c r="D114" s="187" t="n">
        <v>6.1</v>
      </c>
      <c r="E114" s="187" t="inlineStr">
        <is>
          <t>MEDIUM</t>
        </is>
      </c>
      <c r="F114" s="187" t="n">
        <v>2</v>
      </c>
      <c r="G114" s="187" t="n">
        <v>2</v>
      </c>
      <c r="H114" s="187" t="inlineStr">
        <is>
          <t>MEDIUM</t>
        </is>
      </c>
      <c r="I114" s="187" t="n">
        <v>10.1</v>
      </c>
      <c r="J114" s="187" t="inlineStr">
        <is>
          <t>NO</t>
        </is>
      </c>
      <c r="K114" s="187" t="inlineStr">
        <is>
          <t>https://nvd.nist.gov/vuln/detail/CVE-2026-0561</t>
        </is>
      </c>
      <c r="L114" s="187" t="inlineStr">
        <is>
          <t>2026-02-26 00:15</t>
        </is>
      </c>
      <c r="M114" s="187" t="inlineStr">
        <is>
          <t>CHECK_VENDOR</t>
        </is>
      </c>
      <c r="N114" s="187" t="inlineStr">
        <is>
          <t>See NVD references</t>
        </is>
      </c>
      <c r="O114" s="187" t="inlineStr">
        <is>
          <t>Apply vendor patches</t>
        </is>
      </c>
      <c r="P114" s="187" t="inlineStr">
        <is>
          <t>See CVE details</t>
        </is>
      </c>
      <c r="Q114" s="187" t="inlineStr">
        <is>
          <t>P4</t>
        </is>
      </c>
      <c r="R114" s="187" t="inlineStr">
        <is>
          <t>📅 Schedule patch deployment within 30 days | 🔍 Monitor for exploitation attempts</t>
        </is>
      </c>
      <c r="S114" s="187" t="inlineStr">
        <is>
          <t>CVE - IP enrichment n/a</t>
        </is>
      </c>
      <c r="T114" s="187" t="n">
        <v>0.0007</v>
      </c>
      <c r="U114" s="187" t="n">
        <v>0.205</v>
      </c>
      <c r="V114" s="187" t="inlineStr">
        <is>
          <t>T1189:Drive-by Compromise</t>
        </is>
      </c>
      <c r="W114" s="187" t="n">
        <v>1</v>
      </c>
      <c r="X114" s="187" t="inlineStr">
        <is>
          <t>LOW (40%)</t>
        </is>
      </c>
      <c r="Y114" s="187" t="inlineStr">
        <is>
          <t>UNLIKELY</t>
        </is>
      </c>
      <c r="Z114" s="187" t="inlineStr">
        <is>
          <t>CHECK_VENDOR</t>
        </is>
      </c>
      <c r="AA114" s="187" t="inlineStr">
        <is>
          <t>https://nvd.nist.gov/vuln/detail/CVE-2026-0561</t>
        </is>
      </c>
      <c r="AB114" s="187" t="inlineStr">
        <is>
          <t>NONE</t>
        </is>
      </c>
      <c r="AC114" s="187" t="n">
        <v>0</v>
      </c>
      <c r="AD114" s="187" t="inlineStr"/>
    </row>
    <row r="115">
      <c r="A115" s="187" t="inlineStr">
        <is>
          <t>CVE</t>
        </is>
      </c>
      <c r="B115" s="187" t="inlineStr">
        <is>
          <t>CVE-2026-0722</t>
        </is>
      </c>
      <c r="C115" s="187" t="inlineStr">
        <is>
          <t>The Shield Security plugin for WordPress is vulnerable to Cross-Site Request Forgery in all versions up to, and including, 21.0.8. This is due to the plugin allowing nonce verification to be bypassed via user-supplied parameter in the 'isNonceVerifyRequired' function. This makes it possible for unauthenticated attackers to execute SQL injection attacks, extracting sensitive information from the database, via a forged request granted they can trick a site administrator into performing an action s</t>
        </is>
      </c>
      <c r="D115" s="187" t="n">
        <v>6.5</v>
      </c>
      <c r="E115" s="187" t="inlineStr">
        <is>
          <t>MEDIUM</t>
        </is>
      </c>
      <c r="F115" s="187" t="n">
        <v>2</v>
      </c>
      <c r="G115" s="187" t="n">
        <v>2</v>
      </c>
      <c r="H115" s="187" t="inlineStr">
        <is>
          <t>MEDIUM</t>
        </is>
      </c>
      <c r="I115" s="187" t="n">
        <v>10.5</v>
      </c>
      <c r="J115" s="187" t="inlineStr">
        <is>
          <t>NO</t>
        </is>
      </c>
      <c r="K115" s="187" t="inlineStr">
        <is>
          <t>https://nvd.nist.gov/vuln/detail/CVE-2026-0722</t>
        </is>
      </c>
      <c r="L115" s="187" t="inlineStr">
        <is>
          <t>2026-02-26 00:15</t>
        </is>
      </c>
      <c r="M115" s="187" t="inlineStr">
        <is>
          <t>CHECK_VENDOR</t>
        </is>
      </c>
      <c r="N115" s="187" t="inlineStr">
        <is>
          <t>See NVD references</t>
        </is>
      </c>
      <c r="O115" s="187" t="inlineStr">
        <is>
          <t>Apply vendor patches</t>
        </is>
      </c>
      <c r="P115" s="187" t="inlineStr">
        <is>
          <t>See CVE details</t>
        </is>
      </c>
      <c r="Q115" s="187" t="inlineStr">
        <is>
          <t>P4</t>
        </is>
      </c>
      <c r="R115" s="187" t="inlineStr">
        <is>
          <t>📅 Schedule patch deployment within 30 days | 🔍 Monitor for exploitation attempts</t>
        </is>
      </c>
      <c r="S115" s="187" t="inlineStr">
        <is>
          <t>CVE - IP enrichment n/a</t>
        </is>
      </c>
      <c r="T115" s="187" t="n">
        <v>0</v>
      </c>
      <c r="U115" s="187" t="n">
        <v>0</v>
      </c>
      <c r="V115" s="187" t="inlineStr">
        <is>
          <t>T1190:Exploit Public-Facing Application</t>
        </is>
      </c>
      <c r="W115" s="187" t="n">
        <v>1</v>
      </c>
      <c r="X115" s="187" t="inlineStr">
        <is>
          <t>LOW (40%)</t>
        </is>
      </c>
      <c r="Y115" s="187" t="inlineStr">
        <is>
          <t>UNLIKELY</t>
        </is>
      </c>
      <c r="Z115" s="187" t="inlineStr">
        <is>
          <t>CHECK_VENDOR</t>
        </is>
      </c>
      <c r="AA115" s="187" t="inlineStr">
        <is>
          <t>https://nvd.nist.gov/vuln/detail/CVE-2026-0722</t>
        </is>
      </c>
      <c r="AB115" s="187" t="inlineStr">
        <is>
          <t>NONE</t>
        </is>
      </c>
      <c r="AC115" s="187" t="n">
        <v>0</v>
      </c>
      <c r="AD115" s="187" t="inlineStr"/>
    </row>
    <row r="116">
      <c r="A116" s="188" t="inlineStr">
        <is>
          <t>CVE</t>
        </is>
      </c>
      <c r="B116" s="188" t="inlineStr">
        <is>
          <t>CVE-2026-0912</t>
        </is>
      </c>
      <c r="C116" s="188" t="inlineStr">
        <is>
          <t>The Toret Manager plugin for WordPress is vulnerable to unauthorized modification of data that can lead to privilege escalation due to a missing capability check on the 'trman_save_option' function and on the 'trman_save_option_items' in all versions up to, and including, 1.2.7. This makes it possible for authenticated attackers, with Subscriber-level access and above, to update arbitrary options on the WordPress site. This can be leveraged to update the default role for registration to administ</t>
        </is>
      </c>
      <c r="D116" s="188" t="n">
        <v>8.800000000000001</v>
      </c>
      <c r="E116" s="188" t="inlineStr">
        <is>
          <t>HIGH</t>
        </is>
      </c>
      <c r="F116" s="188" t="n">
        <v>2</v>
      </c>
      <c r="G116" s="188" t="n">
        <v>3</v>
      </c>
      <c r="H116" s="188" t="inlineStr">
        <is>
          <t>HIGH</t>
        </is>
      </c>
      <c r="I116" s="188" t="n">
        <v>14.8</v>
      </c>
      <c r="J116" s="188" t="inlineStr">
        <is>
          <t>NO</t>
        </is>
      </c>
      <c r="K116" s="188" t="inlineStr">
        <is>
          <t>https://nvd.nist.gov/vuln/detail/CVE-2026-0912</t>
        </is>
      </c>
      <c r="L116" s="188" t="inlineStr">
        <is>
          <t>2026-02-26 00:15</t>
        </is>
      </c>
      <c r="M116" s="188" t="inlineStr">
        <is>
          <t>CHECK_VENDOR</t>
        </is>
      </c>
      <c r="N116" s="188" t="inlineStr">
        <is>
          <t>See NVD references</t>
        </is>
      </c>
      <c r="O116" s="188" t="inlineStr">
        <is>
          <t>Apply vendor patches</t>
        </is>
      </c>
      <c r="P116" s="188" t="inlineStr">
        <is>
          <t>See CVE details</t>
        </is>
      </c>
      <c r="Q116" s="188" t="inlineStr">
        <is>
          <t>P3</t>
        </is>
      </c>
      <c r="R116" s="188" t="inlineStr">
        <is>
          <t>🚨 URGENT: Apply vendor patches immediately | 🔒 Isolate affected systems if patch unavailable | 🛡️ Enable additional monitoring/IDS rules</t>
        </is>
      </c>
      <c r="S116" s="188" t="inlineStr">
        <is>
          <t>CVE - IP enrichment n/a</t>
        </is>
      </c>
      <c r="T116" s="188" t="n">
        <v>0</v>
      </c>
      <c r="U116" s="188" t="n">
        <v>0</v>
      </c>
      <c r="V116" s="188" t="inlineStr">
        <is>
          <t>T1068:Exploitation for Privilege Escalation</t>
        </is>
      </c>
      <c r="W116" s="188" t="n">
        <v>1</v>
      </c>
      <c r="X116" s="188" t="inlineStr">
        <is>
          <t>LOW (40%)</t>
        </is>
      </c>
      <c r="Y116" s="188" t="inlineStr">
        <is>
          <t>UNLIKELY</t>
        </is>
      </c>
      <c r="Z116" s="188" t="inlineStr">
        <is>
          <t>CHECK_VENDOR</t>
        </is>
      </c>
      <c r="AA116" s="188" t="inlineStr">
        <is>
          <t>https://nvd.nist.gov/vuln/detail/CVE-2026-0912</t>
        </is>
      </c>
      <c r="AB116" s="188" t="inlineStr">
        <is>
          <t>NONE</t>
        </is>
      </c>
      <c r="AC116" s="188" t="n">
        <v>0</v>
      </c>
      <c r="AD116" s="188" t="inlineStr"/>
    </row>
    <row r="117">
      <c r="A117" s="189" t="inlineStr">
        <is>
          <t>CVE</t>
        </is>
      </c>
      <c r="B117" s="189" t="inlineStr">
        <is>
          <t>CVE-2026-0926</t>
        </is>
      </c>
      <c r="C117" s="189" t="inlineStr">
        <is>
          <t xml:space="preserve">The Prodigy Commerce plugin for WordPress is vulnerable to Local File Inclusion in all versions up to, and including, 3.2.9 via the 'parameters[template_name]' parameter. This makes it possible for unauthenticated attackers to include and read arbitrary files or execute arbitrary files on the server, allowing the execution of any PHP code in those files. This can be used to bypass access controls, obtain sensitive data, or achieve code execution in cases where images and other “safe” file types </t>
        </is>
      </c>
      <c r="D117" s="189" t="n">
        <v>9.800000000000001</v>
      </c>
      <c r="E117" s="189" t="inlineStr">
        <is>
          <t>CRITICAL</t>
        </is>
      </c>
      <c r="F117" s="189" t="n">
        <v>2</v>
      </c>
      <c r="G117" s="189" t="n">
        <v>3</v>
      </c>
      <c r="H117" s="189" t="inlineStr">
        <is>
          <t>HIGH</t>
        </is>
      </c>
      <c r="I117" s="189" t="n">
        <v>15.8</v>
      </c>
      <c r="J117" s="189" t="inlineStr">
        <is>
          <t>NO</t>
        </is>
      </c>
      <c r="K117" s="189" t="inlineStr">
        <is>
          <t>https://nvd.nist.gov/vuln/detail/CVE-2026-0926</t>
        </is>
      </c>
      <c r="L117" s="189" t="inlineStr">
        <is>
          <t>2026-02-26 00:15</t>
        </is>
      </c>
      <c r="M117" s="189" t="inlineStr">
        <is>
          <t>CHECK_VENDOR</t>
        </is>
      </c>
      <c r="N117" s="189" t="inlineStr">
        <is>
          <t>See NVD references</t>
        </is>
      </c>
      <c r="O117" s="189" t="inlineStr">
        <is>
          <t>Apply vendor patches</t>
        </is>
      </c>
      <c r="P117" s="189" t="inlineStr">
        <is>
          <t>See CVE details</t>
        </is>
      </c>
      <c r="Q117" s="189" t="inlineStr">
        <is>
          <t>P3</t>
        </is>
      </c>
      <c r="R117" s="189" t="inlineStr">
        <is>
          <t>🚨 URGENT: Apply vendor patches immediately | 🔒 Isolate affected systems if patch unavailable | 🛡️ Enable additional monitoring/IDS rules</t>
        </is>
      </c>
      <c r="S117" s="189" t="inlineStr">
        <is>
          <t>CVE - IP enrichment n/a</t>
        </is>
      </c>
      <c r="T117" s="189" t="n">
        <v>0</v>
      </c>
      <c r="U117" s="189" t="n">
        <v>0</v>
      </c>
      <c r="V117" s="189" t="inlineStr">
        <is>
          <t>T1190:Exploit Public-Facing Application</t>
        </is>
      </c>
      <c r="W117" s="189" t="n">
        <v>1</v>
      </c>
      <c r="X117" s="189" t="inlineStr">
        <is>
          <t>LOW (40%)</t>
        </is>
      </c>
      <c r="Y117" s="189" t="inlineStr">
        <is>
          <t>UNLIKELY</t>
        </is>
      </c>
      <c r="Z117" s="189" t="inlineStr">
        <is>
          <t>CHECK_VENDOR</t>
        </is>
      </c>
      <c r="AA117" s="189" t="inlineStr">
        <is>
          <t>https://nvd.nist.gov/vuln/detail/CVE-2026-0926</t>
        </is>
      </c>
      <c r="AB117" s="189" t="inlineStr">
        <is>
          <t>NONE</t>
        </is>
      </c>
      <c r="AC117" s="189" t="n">
        <v>0</v>
      </c>
      <c r="AD117" s="189" t="inlineStr"/>
    </row>
    <row r="118">
      <c r="A118" s="188" t="inlineStr">
        <is>
          <t>CVE</t>
        </is>
      </c>
      <c r="B118" s="188" t="inlineStr">
        <is>
          <t>CVE-2026-0974</t>
        </is>
      </c>
      <c r="C118" s="188" t="inlineStr">
        <is>
          <t>The Orderable – WordPress Restaurant Online Ordering System and Food Ordering Plugin plugin for WordPress is vulnerable to unauthorized plugin installation due to a missing capability check on the 'install_plugin' function in all versions up to, and including, 1.20.0. This makes it possible for authenticated attackers, with Subscriber-level access and above, to install arbitrary plugins, which can lead to Remote Code Execution.</t>
        </is>
      </c>
      <c r="D118" s="188" t="n">
        <v>8.800000000000001</v>
      </c>
      <c r="E118" s="188" t="inlineStr">
        <is>
          <t>HIGH</t>
        </is>
      </c>
      <c r="F118" s="188" t="n">
        <v>2</v>
      </c>
      <c r="G118" s="188" t="n">
        <v>3</v>
      </c>
      <c r="H118" s="188" t="inlineStr">
        <is>
          <t>HIGH</t>
        </is>
      </c>
      <c r="I118" s="188" t="n">
        <v>14.8</v>
      </c>
      <c r="J118" s="188" t="inlineStr">
        <is>
          <t>NO</t>
        </is>
      </c>
      <c r="K118" s="188" t="inlineStr">
        <is>
          <t>https://nvd.nist.gov/vuln/detail/CVE-2026-0974</t>
        </is>
      </c>
      <c r="L118" s="188" t="inlineStr">
        <is>
          <t>2026-02-26 00:15</t>
        </is>
      </c>
      <c r="M118" s="188" t="inlineStr">
        <is>
          <t>CHECK_VENDOR</t>
        </is>
      </c>
      <c r="N118" s="188" t="inlineStr">
        <is>
          <t>See NVD references</t>
        </is>
      </c>
      <c r="O118" s="188" t="inlineStr">
        <is>
          <t>Apply vendor patches</t>
        </is>
      </c>
      <c r="P118" s="188" t="inlineStr">
        <is>
          <t>See CVE details</t>
        </is>
      </c>
      <c r="Q118" s="188" t="inlineStr">
        <is>
          <t>P3</t>
        </is>
      </c>
      <c r="R118" s="188" t="inlineStr">
        <is>
          <t>🚨 URGENT: Apply vendor patches immediately | 🔒 Isolate affected systems if patch unavailable | 🛡️ Enable additional monitoring/IDS rules</t>
        </is>
      </c>
      <c r="S118" s="188" t="inlineStr">
        <is>
          <t>CVE - IP enrichment n/a</t>
        </is>
      </c>
      <c r="T118" s="188" t="n">
        <v>0.0024</v>
      </c>
      <c r="U118" s="188" t="n">
        <v>0.4675</v>
      </c>
      <c r="V118" s="188" t="inlineStr">
        <is>
          <t>T1190:Exploit Public-Facing Application | T1210:Exploitation of Remote Services</t>
        </is>
      </c>
      <c r="W118" s="188" t="n">
        <v>1</v>
      </c>
      <c r="X118" s="188" t="inlineStr">
        <is>
          <t>LOW (40%)</t>
        </is>
      </c>
      <c r="Y118" s="188" t="inlineStr">
        <is>
          <t>UNLIKELY</t>
        </is>
      </c>
      <c r="Z118" s="188" t="inlineStr">
        <is>
          <t>CHECK_VENDOR</t>
        </is>
      </c>
      <c r="AA118" s="188" t="inlineStr">
        <is>
          <t>https://nvd.nist.gov/vuln/detail/CVE-2026-0974</t>
        </is>
      </c>
      <c r="AB118" s="188" t="inlineStr">
        <is>
          <t>NONE</t>
        </is>
      </c>
      <c r="AC118" s="188" t="n">
        <v>0</v>
      </c>
      <c r="AD118" s="188" t="inlineStr"/>
    </row>
    <row r="119">
      <c r="A119" s="187" t="inlineStr">
        <is>
          <t>CVE</t>
        </is>
      </c>
      <c r="B119" s="187" t="inlineStr">
        <is>
          <t>CVE-2026-1043</t>
        </is>
      </c>
      <c r="C119" s="187" t="inlineStr">
        <is>
          <t>The PostmarkApp Email Integrator plugin for WordPress is vulnerable to Stored Cross-Site Scripting via the plugin settings in versions up to, and including, 2.4. This is due to insufficient input sanitization and output escaping on the pma_api_key and pma_sender_address parameters. This makes it possible for authenticated attackers, with Administrator-level access and above, to inject arbitrary web scripts in pages that will execute whenever a user accesses the settings page.</t>
        </is>
      </c>
      <c r="D119" s="187" t="n">
        <v>4.4</v>
      </c>
      <c r="E119" s="187" t="inlineStr">
        <is>
          <t>MEDIUM</t>
        </is>
      </c>
      <c r="F119" s="187" t="n">
        <v>2</v>
      </c>
      <c r="G119" s="187" t="n">
        <v>2</v>
      </c>
      <c r="H119" s="187" t="inlineStr">
        <is>
          <t>MEDIUM</t>
        </is>
      </c>
      <c r="I119" s="187" t="n">
        <v>8.4</v>
      </c>
      <c r="J119" s="187" t="inlineStr">
        <is>
          <t>NO</t>
        </is>
      </c>
      <c r="K119" s="187" t="inlineStr">
        <is>
          <t>https://nvd.nist.gov/vuln/detail/CVE-2026-1043</t>
        </is>
      </c>
      <c r="L119" s="187" t="inlineStr">
        <is>
          <t>2026-02-26 00:15</t>
        </is>
      </c>
      <c r="M119" s="187" t="inlineStr">
        <is>
          <t>CHECK_VENDOR</t>
        </is>
      </c>
      <c r="N119" s="187" t="inlineStr">
        <is>
          <t>See NVD references</t>
        </is>
      </c>
      <c r="O119" s="187" t="inlineStr">
        <is>
          <t>Apply vendor patches</t>
        </is>
      </c>
      <c r="P119" s="187" t="inlineStr">
        <is>
          <t>See CVE details</t>
        </is>
      </c>
      <c r="Q119" s="187" t="inlineStr">
        <is>
          <t>P4</t>
        </is>
      </c>
      <c r="R119" s="187" t="inlineStr">
        <is>
          <t>📅 Schedule patch deployment within 30 days | 🔍 Monitor for exploitation attempts</t>
        </is>
      </c>
      <c r="S119" s="187" t="inlineStr">
        <is>
          <t>CVE - IP enrichment n/a</t>
        </is>
      </c>
      <c r="T119" s="187" t="n">
        <v>0</v>
      </c>
      <c r="U119" s="187" t="n">
        <v>0</v>
      </c>
      <c r="V119" s="187" t="inlineStr">
        <is>
          <t>T1189:Drive-by Compromise</t>
        </is>
      </c>
      <c r="W119" s="187" t="n">
        <v>1</v>
      </c>
      <c r="X119" s="187" t="inlineStr">
        <is>
          <t>LOW (40%)</t>
        </is>
      </c>
      <c r="Y119" s="187" t="inlineStr">
        <is>
          <t>UNLIKELY</t>
        </is>
      </c>
      <c r="Z119" s="187" t="inlineStr">
        <is>
          <t>CHECK_VENDOR</t>
        </is>
      </c>
      <c r="AA119" s="187" t="inlineStr">
        <is>
          <t>https://nvd.nist.gov/vuln/detail/CVE-2026-1043</t>
        </is>
      </c>
      <c r="AB119" s="187" t="inlineStr">
        <is>
          <t>NONE</t>
        </is>
      </c>
      <c r="AC119" s="187" t="n">
        <v>0</v>
      </c>
      <c r="AD119" s="187" t="inlineStr"/>
    </row>
    <row r="120">
      <c r="A120" s="187" t="inlineStr">
        <is>
          <t>CVE</t>
        </is>
      </c>
      <c r="B120" s="187" t="inlineStr">
        <is>
          <t>CVE-2026-1044</t>
        </is>
      </c>
      <c r="C120" s="187" t="inlineStr">
        <is>
          <t xml:space="preserve">The Tennis Court Bookings plugin for WordPress is vulnerable to Stored Cross-Site Scripting via admin settings in all versions up to, and including, 1.2.7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t>
        </is>
      </c>
      <c r="D120" s="187" t="n">
        <v>4.4</v>
      </c>
      <c r="E120" s="187" t="inlineStr">
        <is>
          <t>MEDIUM</t>
        </is>
      </c>
      <c r="F120" s="187" t="n">
        <v>2</v>
      </c>
      <c r="G120" s="187" t="n">
        <v>2</v>
      </c>
      <c r="H120" s="187" t="inlineStr">
        <is>
          <t>MEDIUM</t>
        </is>
      </c>
      <c r="I120" s="187" t="n">
        <v>8.4</v>
      </c>
      <c r="J120" s="187" t="inlineStr">
        <is>
          <t>NO</t>
        </is>
      </c>
      <c r="K120" s="187" t="inlineStr">
        <is>
          <t>https://nvd.nist.gov/vuln/detail/CVE-2026-1044</t>
        </is>
      </c>
      <c r="L120" s="187" t="inlineStr">
        <is>
          <t>2026-02-26 00:15</t>
        </is>
      </c>
      <c r="M120" s="187" t="inlineStr">
        <is>
          <t>CHECK_VENDOR</t>
        </is>
      </c>
      <c r="N120" s="187" t="inlineStr">
        <is>
          <t>See NVD references</t>
        </is>
      </c>
      <c r="O120" s="187" t="inlineStr">
        <is>
          <t>Apply vendor patches</t>
        </is>
      </c>
      <c r="P120" s="187" t="inlineStr">
        <is>
          <t>See CVE details</t>
        </is>
      </c>
      <c r="Q120" s="187" t="inlineStr">
        <is>
          <t>P4</t>
        </is>
      </c>
      <c r="R120" s="187" t="inlineStr">
        <is>
          <t>📅 Schedule patch deployment within 30 days | 🔍 Monitor for exploitation attempts</t>
        </is>
      </c>
      <c r="S120" s="187" t="inlineStr">
        <is>
          <t>CVE - IP enrichment n/a</t>
        </is>
      </c>
      <c r="T120" s="187" t="n">
        <v>0</v>
      </c>
      <c r="U120" s="187" t="n">
        <v>0</v>
      </c>
      <c r="V120" s="187" t="inlineStr">
        <is>
          <t>T1189:Drive-by Compromise</t>
        </is>
      </c>
      <c r="W120" s="187" t="n">
        <v>1</v>
      </c>
      <c r="X120" s="187" t="inlineStr">
        <is>
          <t>LOW (40%)</t>
        </is>
      </c>
      <c r="Y120" s="187" t="inlineStr">
        <is>
          <t>UNLIKELY</t>
        </is>
      </c>
      <c r="Z120" s="187" t="inlineStr">
        <is>
          <t>CHECK_VENDOR</t>
        </is>
      </c>
      <c r="AA120" s="187" t="inlineStr">
        <is>
          <t>https://nvd.nist.gov/vuln/detail/CVE-2026-1044</t>
        </is>
      </c>
      <c r="AB120" s="187" t="inlineStr">
        <is>
          <t>NONE</t>
        </is>
      </c>
      <c r="AC120" s="187" t="n">
        <v>0</v>
      </c>
      <c r="AD120" s="187" t="inlineStr"/>
    </row>
    <row r="121">
      <c r="A121" s="187" t="inlineStr">
        <is>
          <t>CVE</t>
        </is>
      </c>
      <c r="B121" s="187" t="inlineStr">
        <is>
          <t>CVE-2026-1047</t>
        </is>
      </c>
      <c r="C121" s="187" t="inlineStr">
        <is>
          <t>The salavat counter Plugin plugin for WordPress is vulnerable to Stored Cross-Site Scripting via the 'image_url' parameter in all versions up to, and including, 0.9.5 due to insufficient input sanitization and output escaping. This makes it possible for authenticated attackers, with administrator-level access and above, to inject arbitrary web scripts in pages that will execute whenever a user accesses an injected page.</t>
        </is>
      </c>
      <c r="D121" s="187" t="n">
        <v>4.4</v>
      </c>
      <c r="E121" s="187" t="inlineStr">
        <is>
          <t>MEDIUM</t>
        </is>
      </c>
      <c r="F121" s="187" t="n">
        <v>2</v>
      </c>
      <c r="G121" s="187" t="n">
        <v>2</v>
      </c>
      <c r="H121" s="187" t="inlineStr">
        <is>
          <t>MEDIUM</t>
        </is>
      </c>
      <c r="I121" s="187" t="n">
        <v>8.4</v>
      </c>
      <c r="J121" s="187" t="inlineStr">
        <is>
          <t>NO</t>
        </is>
      </c>
      <c r="K121" s="187" t="inlineStr">
        <is>
          <t>https://nvd.nist.gov/vuln/detail/CVE-2026-1047</t>
        </is>
      </c>
      <c r="L121" s="187" t="inlineStr">
        <is>
          <t>2026-02-26 00:15</t>
        </is>
      </c>
      <c r="M121" s="187" t="inlineStr">
        <is>
          <t>CHECK_VENDOR</t>
        </is>
      </c>
      <c r="N121" s="187" t="inlineStr">
        <is>
          <t>See NVD references</t>
        </is>
      </c>
      <c r="O121" s="187" t="inlineStr">
        <is>
          <t>Apply vendor patches</t>
        </is>
      </c>
      <c r="P121" s="187" t="inlineStr">
        <is>
          <t>See CVE details</t>
        </is>
      </c>
      <c r="Q121" s="187" t="inlineStr">
        <is>
          <t>P4</t>
        </is>
      </c>
      <c r="R121" s="187" t="inlineStr">
        <is>
          <t>📅 Schedule patch deployment within 30 days | 🔍 Monitor for exploitation attempts</t>
        </is>
      </c>
      <c r="S121" s="187" t="inlineStr">
        <is>
          <t>CVE - IP enrichment n/a</t>
        </is>
      </c>
      <c r="T121" s="187" t="n">
        <v>0</v>
      </c>
      <c r="U121" s="187" t="n">
        <v>0</v>
      </c>
      <c r="V121" s="187" t="inlineStr">
        <is>
          <t>T1189:Drive-by Compromise</t>
        </is>
      </c>
      <c r="W121" s="187" t="n">
        <v>1</v>
      </c>
      <c r="X121" s="187" t="inlineStr">
        <is>
          <t>LOW (40%)</t>
        </is>
      </c>
      <c r="Y121" s="187" t="inlineStr">
        <is>
          <t>UNLIKELY</t>
        </is>
      </c>
      <c r="Z121" s="187" t="inlineStr">
        <is>
          <t>CHECK_VENDOR</t>
        </is>
      </c>
      <c r="AA121" s="187" t="inlineStr">
        <is>
          <t>https://nvd.nist.gov/vuln/detail/CVE-2026-1047</t>
        </is>
      </c>
      <c r="AB121" s="187" t="inlineStr">
        <is>
          <t>NONE</t>
        </is>
      </c>
      <c r="AC121" s="187" t="n">
        <v>0</v>
      </c>
      <c r="AD121" s="187" t="inlineStr"/>
    </row>
    <row r="122">
      <c r="A122" s="187" t="inlineStr">
        <is>
          <t>CVE</t>
        </is>
      </c>
      <c r="B122" s="187" t="inlineStr">
        <is>
          <t>CVE-2026-1055</t>
        </is>
      </c>
      <c r="C122" s="187" t="inlineStr">
        <is>
          <t>The TalkJS plugin for WordPress is vulnerable to Stored Cross-Site Scripting via admin settings in all versions up to, and including, 0.1.15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t>
        </is>
      </c>
      <c r="D122" s="187" t="n">
        <v>4.4</v>
      </c>
      <c r="E122" s="187" t="inlineStr">
        <is>
          <t>MEDIUM</t>
        </is>
      </c>
      <c r="F122" s="187" t="n">
        <v>2</v>
      </c>
      <c r="G122" s="187" t="n">
        <v>2</v>
      </c>
      <c r="H122" s="187" t="inlineStr">
        <is>
          <t>MEDIUM</t>
        </is>
      </c>
      <c r="I122" s="187" t="n">
        <v>8.4</v>
      </c>
      <c r="J122" s="187" t="inlineStr">
        <is>
          <t>NO</t>
        </is>
      </c>
      <c r="K122" s="187" t="inlineStr">
        <is>
          <t>https://nvd.nist.gov/vuln/detail/CVE-2026-1055</t>
        </is>
      </c>
      <c r="L122" s="187" t="inlineStr">
        <is>
          <t>2026-02-26 00:15</t>
        </is>
      </c>
      <c r="M122" s="187" t="inlineStr">
        <is>
          <t>CHECK_VENDOR</t>
        </is>
      </c>
      <c r="N122" s="187" t="inlineStr">
        <is>
          <t>See NVD references</t>
        </is>
      </c>
      <c r="O122" s="187" t="inlineStr">
        <is>
          <t>Apply vendor patches</t>
        </is>
      </c>
      <c r="P122" s="187" t="inlineStr">
        <is>
          <t>See CVE details</t>
        </is>
      </c>
      <c r="Q122" s="187" t="inlineStr">
        <is>
          <t>P4</t>
        </is>
      </c>
      <c r="R122" s="187" t="inlineStr">
        <is>
          <t>📅 Schedule patch deployment within 30 days | 🔍 Monitor for exploitation attempts</t>
        </is>
      </c>
      <c r="S122" s="187" t="inlineStr">
        <is>
          <t>CVE - IP enrichment n/a</t>
        </is>
      </c>
      <c r="T122" s="187" t="n">
        <v>0</v>
      </c>
      <c r="U122" s="187" t="n">
        <v>0</v>
      </c>
      <c r="V122" s="187" t="inlineStr">
        <is>
          <t>T1189:Drive-by Compromise</t>
        </is>
      </c>
      <c r="W122" s="187" t="n">
        <v>1</v>
      </c>
      <c r="X122" s="187" t="inlineStr">
        <is>
          <t>LOW (40%)</t>
        </is>
      </c>
      <c r="Y122" s="187" t="inlineStr">
        <is>
          <t>UNLIKELY</t>
        </is>
      </c>
      <c r="Z122" s="187" t="inlineStr">
        <is>
          <t>CHECK_VENDOR</t>
        </is>
      </c>
      <c r="AA122" s="187" t="inlineStr">
        <is>
          <t>https://nvd.nist.gov/vuln/detail/CVE-2026-1055</t>
        </is>
      </c>
      <c r="AB122" s="187" t="inlineStr">
        <is>
          <t>NONE</t>
        </is>
      </c>
      <c r="AC122" s="187" t="n">
        <v>0</v>
      </c>
      <c r="AD122" s="187" t="inlineStr"/>
    </row>
    <row r="123">
      <c r="A123" s="187" t="inlineStr">
        <is>
          <t>CVE</t>
        </is>
      </c>
      <c r="B123" s="187" t="inlineStr">
        <is>
          <t>CVE-2026-1373</t>
        </is>
      </c>
      <c r="C123" s="187" t="inlineStr">
        <is>
          <t>The Easy Author Image plugin for WordPress is vulnerable to Stored Cross-Site Scripting via the 'author_profile_picture_url' parameter in all versions up to, and including, 1.7 due to insufficient input sanitization and output escaping. This makes it possible for authenticated attackers, with Subscriber-level access and above, to inject arbitrary web scripts in pages that will execute whenever a user accesses an injected page.</t>
        </is>
      </c>
      <c r="D123" s="187" t="n">
        <v>6.4</v>
      </c>
      <c r="E123" s="187" t="inlineStr">
        <is>
          <t>MEDIUM</t>
        </is>
      </c>
      <c r="F123" s="187" t="n">
        <v>2</v>
      </c>
      <c r="G123" s="187" t="n">
        <v>2</v>
      </c>
      <c r="H123" s="187" t="inlineStr">
        <is>
          <t>MEDIUM</t>
        </is>
      </c>
      <c r="I123" s="187" t="n">
        <v>10.4</v>
      </c>
      <c r="J123" s="187" t="inlineStr">
        <is>
          <t>NO</t>
        </is>
      </c>
      <c r="K123" s="187" t="inlineStr">
        <is>
          <t>https://nvd.nist.gov/vuln/detail/CVE-2026-1373</t>
        </is>
      </c>
      <c r="L123" s="187" t="inlineStr">
        <is>
          <t>2026-02-26 00:15</t>
        </is>
      </c>
      <c r="M123" s="187" t="inlineStr">
        <is>
          <t>CHECK_VENDOR</t>
        </is>
      </c>
      <c r="N123" s="187" t="inlineStr">
        <is>
          <t>See NVD references</t>
        </is>
      </c>
      <c r="O123" s="187" t="inlineStr">
        <is>
          <t>Apply vendor patches</t>
        </is>
      </c>
      <c r="P123" s="187" t="inlineStr">
        <is>
          <t>See CVE details</t>
        </is>
      </c>
      <c r="Q123" s="187" t="inlineStr">
        <is>
          <t>P4</t>
        </is>
      </c>
      <c r="R123" s="187" t="inlineStr">
        <is>
          <t>📅 Schedule patch deployment within 30 days | 🔍 Monitor for exploitation attempts</t>
        </is>
      </c>
      <c r="S123" s="187" t="inlineStr">
        <is>
          <t>CVE - IP enrichment n/a</t>
        </is>
      </c>
      <c r="T123" s="187" t="n">
        <v>0</v>
      </c>
      <c r="U123" s="187" t="n">
        <v>0</v>
      </c>
      <c r="V123" s="187" t="inlineStr">
        <is>
          <t>T1189:Drive-by Compromise</t>
        </is>
      </c>
      <c r="W123" s="187" t="n">
        <v>1</v>
      </c>
      <c r="X123" s="187" t="inlineStr">
        <is>
          <t>LOW (40%)</t>
        </is>
      </c>
      <c r="Y123" s="187" t="inlineStr">
        <is>
          <t>UNLIKELY</t>
        </is>
      </c>
      <c r="Z123" s="187" t="inlineStr">
        <is>
          <t>CHECK_VENDOR</t>
        </is>
      </c>
      <c r="AA123" s="187" t="inlineStr">
        <is>
          <t>https://nvd.nist.gov/vuln/detail/CVE-2026-1373</t>
        </is>
      </c>
      <c r="AB123" s="187" t="inlineStr">
        <is>
          <t>NONE</t>
        </is>
      </c>
      <c r="AC123" s="187" t="n">
        <v>0</v>
      </c>
      <c r="AD123" s="187" t="inlineStr"/>
    </row>
    <row r="124">
      <c r="A124" s="189" t="inlineStr">
        <is>
          <t>CVE</t>
        </is>
      </c>
      <c r="B124" s="189" t="inlineStr">
        <is>
          <t>CVE-2026-1405</t>
        </is>
      </c>
      <c r="C124" s="189" t="inlineStr">
        <is>
          <t>The Slider Future plugin for WordPress is vulnerable to arbitrary file uploads due to missing file type validation in the 'slider_future_handle_image_upload' function in all versions up to, and including, 1.0.5. This makes it possible for unauthenticated attackers to upload arbitrary files on the affected site's server which may make remote code execution possible.</t>
        </is>
      </c>
      <c r="D124" s="189" t="n">
        <v>9.800000000000001</v>
      </c>
      <c r="E124" s="189" t="inlineStr">
        <is>
          <t>CRITICAL</t>
        </is>
      </c>
      <c r="F124" s="189" t="n">
        <v>2</v>
      </c>
      <c r="G124" s="189" t="n">
        <v>3</v>
      </c>
      <c r="H124" s="189" t="inlineStr">
        <is>
          <t>HIGH</t>
        </is>
      </c>
      <c r="I124" s="189" t="n">
        <v>15.8</v>
      </c>
      <c r="J124" s="189" t="inlineStr">
        <is>
          <t>NO</t>
        </is>
      </c>
      <c r="K124" s="189" t="inlineStr">
        <is>
          <t>https://nvd.nist.gov/vuln/detail/CVE-2026-1405</t>
        </is>
      </c>
      <c r="L124" s="189" t="inlineStr">
        <is>
          <t>2026-02-26 00:15</t>
        </is>
      </c>
      <c r="M124" s="189" t="inlineStr">
        <is>
          <t>CHECK_VENDOR</t>
        </is>
      </c>
      <c r="N124" s="189" t="inlineStr">
        <is>
          <t>See NVD references</t>
        </is>
      </c>
      <c r="O124" s="189" t="inlineStr">
        <is>
          <t>Apply vendor patches</t>
        </is>
      </c>
      <c r="P124" s="189" t="inlineStr">
        <is>
          <t>See CVE details</t>
        </is>
      </c>
      <c r="Q124" s="189" t="inlineStr">
        <is>
          <t>P3</t>
        </is>
      </c>
      <c r="R124" s="189" t="inlineStr">
        <is>
          <t>🚨 URGENT: Apply vendor patches immediately | 🔒 Isolate affected systems if patch unavailable | 🛡️ Enable additional monitoring/IDS rules</t>
        </is>
      </c>
      <c r="S124" s="189" t="inlineStr">
        <is>
          <t>CVE - IP enrichment n/a</t>
        </is>
      </c>
      <c r="T124" s="189" t="n">
        <v>0</v>
      </c>
      <c r="U124" s="189" t="n">
        <v>0</v>
      </c>
      <c r="V124" s="189" t="inlineStr">
        <is>
          <t>T1190:Exploit Public-Facing Application | T1210:Exploitation of Remote Services</t>
        </is>
      </c>
      <c r="W124" s="189" t="n">
        <v>1</v>
      </c>
      <c r="X124" s="189" t="inlineStr">
        <is>
          <t>LOW (40%)</t>
        </is>
      </c>
      <c r="Y124" s="189" t="inlineStr">
        <is>
          <t>UNLIKELY</t>
        </is>
      </c>
      <c r="Z124" s="189" t="inlineStr">
        <is>
          <t>CHECK_VENDOR</t>
        </is>
      </c>
      <c r="AA124" s="189" t="inlineStr">
        <is>
          <t>https://nvd.nist.gov/vuln/detail/CVE-2026-1405</t>
        </is>
      </c>
      <c r="AB124" s="189" t="inlineStr">
        <is>
          <t>NONE</t>
        </is>
      </c>
      <c r="AC124" s="189" t="n">
        <v>0</v>
      </c>
      <c r="AD124" s="189" t="inlineStr"/>
    </row>
    <row r="125">
      <c r="A125" s="187" t="inlineStr">
        <is>
          <t>CVE</t>
        </is>
      </c>
      <c r="B125" s="187" t="inlineStr">
        <is>
          <t>CVE-2026-1455</t>
        </is>
      </c>
      <c r="C125" s="187" t="inlineStr">
        <is>
          <t>The Whatsiplus Scheduled Notification for Woocommerce plugin for WordPress is vulnerable to Cross-Site Request Forgery in all versions up to, and including, 1.0.1. This is due to missing nonce validation on the 'wsnfw_save_users_settings' AJAX action. This makes it possible for unauthenticated attackers to modify plugin configuration settings via a forged request granted they can trick a site administrator into performing an action such as clicking on a link.</t>
        </is>
      </c>
      <c r="D125" s="187" t="n">
        <v>4.3</v>
      </c>
      <c r="E125" s="187" t="inlineStr">
        <is>
          <t>MEDIUM</t>
        </is>
      </c>
      <c r="F125" s="187" t="n">
        <v>2</v>
      </c>
      <c r="G125" s="187" t="n">
        <v>2</v>
      </c>
      <c r="H125" s="187" t="inlineStr">
        <is>
          <t>MEDIUM</t>
        </is>
      </c>
      <c r="I125" s="187" t="n">
        <v>8.300000000000001</v>
      </c>
      <c r="J125" s="187" t="inlineStr">
        <is>
          <t>NO</t>
        </is>
      </c>
      <c r="K125" s="187" t="inlineStr">
        <is>
          <t>https://nvd.nist.gov/vuln/detail/CVE-2026-1455</t>
        </is>
      </c>
      <c r="L125" s="187" t="inlineStr">
        <is>
          <t>2026-02-26 00:15</t>
        </is>
      </c>
      <c r="M125" s="187" t="inlineStr">
        <is>
          <t>CHECK_VENDOR</t>
        </is>
      </c>
      <c r="N125" s="187" t="inlineStr">
        <is>
          <t>See NVD references</t>
        </is>
      </c>
      <c r="O125" s="187" t="inlineStr">
        <is>
          <t>Apply vendor patches</t>
        </is>
      </c>
      <c r="P125" s="187" t="inlineStr">
        <is>
          <t>See CVE details</t>
        </is>
      </c>
      <c r="Q125" s="187" t="inlineStr">
        <is>
          <t>P4</t>
        </is>
      </c>
      <c r="R125" s="187" t="inlineStr">
        <is>
          <t>📅 Schedule patch deployment within 30 days | 🔍 Monitor for exploitation attempts</t>
        </is>
      </c>
      <c r="S125" s="187" t="inlineStr">
        <is>
          <t>CVE - IP enrichment n/a</t>
        </is>
      </c>
      <c r="T125" s="187" t="n">
        <v>0</v>
      </c>
      <c r="U125" s="187" t="n">
        <v>0</v>
      </c>
      <c r="V125" s="187" t="inlineStr">
        <is>
          <t>T1185:Browser Session Hijacking | T1190:Exploit Public-Facing Application</t>
        </is>
      </c>
      <c r="W125" s="187" t="n">
        <v>1</v>
      </c>
      <c r="X125" s="187" t="inlineStr">
        <is>
          <t>LOW (40%)</t>
        </is>
      </c>
      <c r="Y125" s="187" t="inlineStr">
        <is>
          <t>UNLIKELY</t>
        </is>
      </c>
      <c r="Z125" s="187" t="inlineStr">
        <is>
          <t>CHECK_VENDOR</t>
        </is>
      </c>
      <c r="AA125" s="187" t="inlineStr">
        <is>
          <t>https://nvd.nist.gov/vuln/detail/CVE-2026-1455</t>
        </is>
      </c>
      <c r="AB125" s="187" t="inlineStr">
        <is>
          <t>NONE</t>
        </is>
      </c>
      <c r="AC125" s="187" t="n">
        <v>0</v>
      </c>
      <c r="AD125" s="187" t="inlineStr"/>
    </row>
    <row r="126">
      <c r="A126" s="187" t="inlineStr">
        <is>
          <t>CVE</t>
        </is>
      </c>
      <c r="B126" s="187" t="inlineStr">
        <is>
          <t>CVE-2026-1646</t>
        </is>
      </c>
      <c r="C126" s="187" t="inlineStr">
        <is>
          <t>The Advance Block Extend plugin for WordPress is vulnerable to Stored Cross-Site Scripting via the TitleColor block attribute in the Latest Posts Gutenberg block in all versions up to, and including, 1.0.4 due to insufficient input sanitization and output escaping. This makes it possible for authenticated attackers, with Contributor-level access and above, to inject arbitrary web scripts in pages that will execute whenever a user accesses an injected page.</t>
        </is>
      </c>
      <c r="D126" s="187" t="n">
        <v>6.4</v>
      </c>
      <c r="E126" s="187" t="inlineStr">
        <is>
          <t>MEDIUM</t>
        </is>
      </c>
      <c r="F126" s="187" t="n">
        <v>2</v>
      </c>
      <c r="G126" s="187" t="n">
        <v>2</v>
      </c>
      <c r="H126" s="187" t="inlineStr">
        <is>
          <t>MEDIUM</t>
        </is>
      </c>
      <c r="I126" s="187" t="n">
        <v>10.4</v>
      </c>
      <c r="J126" s="187" t="inlineStr">
        <is>
          <t>NO</t>
        </is>
      </c>
      <c r="K126" s="187" t="inlineStr">
        <is>
          <t>https://nvd.nist.gov/vuln/detail/CVE-2026-1646</t>
        </is>
      </c>
      <c r="L126" s="187" t="inlineStr">
        <is>
          <t>2026-02-26 00:15</t>
        </is>
      </c>
      <c r="M126" s="187" t="inlineStr">
        <is>
          <t>CHECK_VENDOR</t>
        </is>
      </c>
      <c r="N126" s="187" t="inlineStr">
        <is>
          <t>See NVD references</t>
        </is>
      </c>
      <c r="O126" s="187" t="inlineStr">
        <is>
          <t>Apply vendor patches</t>
        </is>
      </c>
      <c r="P126" s="187" t="inlineStr">
        <is>
          <t>See CVE details</t>
        </is>
      </c>
      <c r="Q126" s="187" t="inlineStr">
        <is>
          <t>P4</t>
        </is>
      </c>
      <c r="R126" s="187" t="inlineStr">
        <is>
          <t>📅 Schedule patch deployment within 30 days | 🔍 Monitor for exploitation attempts</t>
        </is>
      </c>
      <c r="S126" s="187" t="inlineStr">
        <is>
          <t>CVE - IP enrichment n/a</t>
        </is>
      </c>
      <c r="T126" s="187" t="n">
        <v>0</v>
      </c>
      <c r="U126" s="187" t="n">
        <v>0</v>
      </c>
      <c r="V126" s="187" t="inlineStr">
        <is>
          <t>T1189:Drive-by Compromise</t>
        </is>
      </c>
      <c r="W126" s="187" t="n">
        <v>1</v>
      </c>
      <c r="X126" s="187" t="inlineStr">
        <is>
          <t>LOW (40%)</t>
        </is>
      </c>
      <c r="Y126" s="187" t="inlineStr">
        <is>
          <t>UNLIKELY</t>
        </is>
      </c>
      <c r="Z126" s="187" t="inlineStr">
        <is>
          <t>CHECK_VENDOR</t>
        </is>
      </c>
      <c r="AA126" s="187" t="inlineStr">
        <is>
          <t>https://nvd.nist.gov/vuln/detail/CVE-2026-1646</t>
        </is>
      </c>
      <c r="AB126" s="187" t="inlineStr">
        <is>
          <t>NONE</t>
        </is>
      </c>
      <c r="AC126" s="187" t="n">
        <v>0</v>
      </c>
      <c r="AD126" s="187" t="inlineStr"/>
    </row>
    <row r="127">
      <c r="A127" s="189" t="inlineStr">
        <is>
          <t>CVE</t>
        </is>
      </c>
      <c r="B127" s="189" t="inlineStr">
        <is>
          <t>CVE-2026-1994</t>
        </is>
      </c>
      <c r="C127" s="189" t="inlineStr">
        <is>
          <t>The s2Member plugin for WordPress is vulnerable to privilege escalation via account takeover in all versions up to, and including, 260127. This is due to the plugin not properly validating a user's identity prior to updating their password. This makes it possible for unauthenticated attackers to change arbitrary user's passwords, including administrators, and leverage that to gain access to their account.</t>
        </is>
      </c>
      <c r="D127" s="189" t="n">
        <v>9.800000000000001</v>
      </c>
      <c r="E127" s="189" t="inlineStr">
        <is>
          <t>CRITICAL</t>
        </is>
      </c>
      <c r="F127" s="189" t="n">
        <v>2</v>
      </c>
      <c r="G127" s="189" t="n">
        <v>3</v>
      </c>
      <c r="H127" s="189" t="inlineStr">
        <is>
          <t>HIGH</t>
        </is>
      </c>
      <c r="I127" s="189" t="n">
        <v>15.8</v>
      </c>
      <c r="J127" s="189" t="inlineStr">
        <is>
          <t>NO</t>
        </is>
      </c>
      <c r="K127" s="189" t="inlineStr">
        <is>
          <t>https://nvd.nist.gov/vuln/detail/CVE-2026-1994</t>
        </is>
      </c>
      <c r="L127" s="189" t="inlineStr">
        <is>
          <t>2026-02-26 00:15</t>
        </is>
      </c>
      <c r="M127" s="189" t="inlineStr">
        <is>
          <t>CHECK_VENDOR</t>
        </is>
      </c>
      <c r="N127" s="189" t="inlineStr">
        <is>
          <t>See NVD references</t>
        </is>
      </c>
      <c r="O127" s="189" t="inlineStr">
        <is>
          <t>Apply vendor patches</t>
        </is>
      </c>
      <c r="P127" s="189" t="inlineStr">
        <is>
          <t>See CVE details</t>
        </is>
      </c>
      <c r="Q127" s="189" t="inlineStr">
        <is>
          <t>P3</t>
        </is>
      </c>
      <c r="R127" s="189" t="inlineStr">
        <is>
          <t>🚨 URGENT: Apply vendor patches immediately | 🔒 Isolate affected systems if patch unavailable | 🛡️ Enable additional monitoring/IDS rules</t>
        </is>
      </c>
      <c r="S127" s="189" t="inlineStr">
        <is>
          <t>CVE - IP enrichment n/a</t>
        </is>
      </c>
      <c r="T127" s="189" t="n">
        <v>0.0007</v>
      </c>
      <c r="U127" s="189" t="n">
        <v>0.2101</v>
      </c>
      <c r="V127" s="189" t="inlineStr">
        <is>
          <t>T1068:Exploitation for Privilege Escalation</t>
        </is>
      </c>
      <c r="W127" s="189" t="n">
        <v>1</v>
      </c>
      <c r="X127" s="189" t="inlineStr">
        <is>
          <t>LOW (40%)</t>
        </is>
      </c>
      <c r="Y127" s="189" t="inlineStr">
        <is>
          <t>UNLIKELY</t>
        </is>
      </c>
      <c r="Z127" s="189" t="inlineStr">
        <is>
          <t>CHECK_VENDOR</t>
        </is>
      </c>
      <c r="AA127" s="189" t="inlineStr">
        <is>
          <t>https://nvd.nist.gov/vuln/detail/CVE-2026-1994</t>
        </is>
      </c>
      <c r="AB127" s="189" t="inlineStr">
        <is>
          <t>NONE</t>
        </is>
      </c>
      <c r="AC127" s="189" t="n">
        <v>0</v>
      </c>
      <c r="AD127" s="189" t="inlineStr"/>
    </row>
    <row r="128">
      <c r="A128" s="190" t="inlineStr">
        <is>
          <t>CVE</t>
        </is>
      </c>
      <c r="B128" s="190" t="inlineStr">
        <is>
          <t>CVE-2026-24764</t>
        </is>
      </c>
      <c r="C128" s="190" t="inlineStr">
        <is>
          <t>OpenClaw (formerly Clawdbot) is a personal AI assistant users run on their own devices. In versions 2026.2.2 and below, when the Slack integration is enabled, channel metadata (topic/description) can be incorporated into the model's system prompt. Prompt injection is a documented risk for LLM-driven systems. This issue increases the injection surface by allowing untrusted Slack channel metadata to be treated as higher-trust system input. This issue has been fixed in version 2026.2.3.</t>
        </is>
      </c>
      <c r="D128" s="190" t="n">
        <v>3.7</v>
      </c>
      <c r="E128" s="190" t="inlineStr">
        <is>
          <t>LOW</t>
        </is>
      </c>
      <c r="F128" s="190" t="n">
        <v>2</v>
      </c>
      <c r="G128" s="190" t="n">
        <v>1</v>
      </c>
      <c r="H128" s="190" t="inlineStr">
        <is>
          <t>LOW</t>
        </is>
      </c>
      <c r="I128" s="190" t="n">
        <v>5.7</v>
      </c>
      <c r="J128" s="190" t="inlineStr">
        <is>
          <t>NO</t>
        </is>
      </c>
      <c r="K128" s="190" t="inlineStr">
        <is>
          <t>https://nvd.nist.gov/vuln/detail/CVE-2026-24764</t>
        </is>
      </c>
      <c r="L128" s="190" t="inlineStr">
        <is>
          <t>2026-02-26 00:15</t>
        </is>
      </c>
      <c r="M128" s="190" t="inlineStr">
        <is>
          <t>YES</t>
        </is>
      </c>
      <c r="N128" s="190" t="inlineStr">
        <is>
          <t>https://github.com/openclaw/openclaw/commit/35eb40a7000b59085e9c638a80fd03917c7a095e | https://github.com/openclaw/openclaw/security/advisories/GHSA-782p-5fr5-7fj8</t>
        </is>
      </c>
      <c r="O128" s="190" t="inlineStr">
        <is>
          <t>Apply vendor patches</t>
        </is>
      </c>
      <c r="P128" s="190" t="inlineStr">
        <is>
          <t>openclaw openclaw *</t>
        </is>
      </c>
      <c r="Q128" s="190" t="inlineStr">
        <is>
          <t>P4</t>
        </is>
      </c>
      <c r="R128" s="190" t="inlineStr">
        <is>
          <t>📅 Schedule patch deployment within 30 days | 🔍 Monitor for exploitation attempts</t>
        </is>
      </c>
      <c r="S128" s="190" t="inlineStr">
        <is>
          <t>CVE - IP enrichment n/a</t>
        </is>
      </c>
      <c r="T128" s="190" t="n">
        <v>0.0003</v>
      </c>
      <c r="U128" s="190" t="n">
        <v>0.0832</v>
      </c>
      <c r="V128" s="190" t="inlineStr">
        <is>
          <t>T1190:Exploit Public-Facing Application</t>
        </is>
      </c>
      <c r="W128" s="190" t="n">
        <v>1</v>
      </c>
      <c r="X128" s="190" t="inlineStr">
        <is>
          <t>LOW (40%)</t>
        </is>
      </c>
      <c r="Y128" s="190" t="inlineStr">
        <is>
          <t>UNLIKELY</t>
        </is>
      </c>
      <c r="Z128" s="190" t="inlineStr">
        <is>
          <t>PATCH_AVAILABLE</t>
        </is>
      </c>
      <c r="AA128" s="190" t="inlineStr">
        <is>
          <t>https://nvd.nist.gov/vuln/detail/CVE-2026-24764</t>
        </is>
      </c>
      <c r="AB128" s="190" t="inlineStr">
        <is>
          <t>NONE</t>
        </is>
      </c>
      <c r="AC128" s="190" t="n">
        <v>0</v>
      </c>
      <c r="AD128" s="190" t="inlineStr"/>
    </row>
    <row r="129">
      <c r="A129" s="190" t="inlineStr">
        <is>
          <t>CVE</t>
        </is>
      </c>
      <c r="B129" s="190" t="inlineStr">
        <is>
          <t>CVE-2026-25120</t>
        </is>
      </c>
      <c r="C129" s="190" t="inlineStr">
        <is>
          <t>Gogs is an open source self-hosted Git service. In versions 0.13.4 and below, the DeleteComment API does not verify that the comment belongs to the repository specified in the URL. This allows a repository administrator to delete comments from any other repository by supplying arbitrary comment IDs, bypassing authorization controls. The DeleteComment function retrieves a comment by ID without verifying repository ownership and the Database function DeleteCommentByID performs no repository valida</t>
        </is>
      </c>
      <c r="D129" s="190" t="n">
        <v>2.7</v>
      </c>
      <c r="E129" s="190" t="inlineStr">
        <is>
          <t>LOW</t>
        </is>
      </c>
      <c r="F129" s="190" t="n">
        <v>2</v>
      </c>
      <c r="G129" s="190" t="n">
        <v>1</v>
      </c>
      <c r="H129" s="190" t="inlineStr">
        <is>
          <t>LOW</t>
        </is>
      </c>
      <c r="I129" s="190" t="n">
        <v>4.7</v>
      </c>
      <c r="J129" s="190" t="inlineStr">
        <is>
          <t>NO</t>
        </is>
      </c>
      <c r="K129" s="190" t="inlineStr">
        <is>
          <t>https://nvd.nist.gov/vuln/detail/CVE-2026-25120</t>
        </is>
      </c>
      <c r="L129" s="190" t="inlineStr">
        <is>
          <t>2026-02-26 00:15</t>
        </is>
      </c>
      <c r="M129" s="190" t="inlineStr">
        <is>
          <t>YES</t>
        </is>
      </c>
      <c r="N129" s="190" t="inlineStr">
        <is>
          <t>https://github.com/gogs/gogs/commit/1b226ca48dc8b3e95cc1c41229d72819c960a1b7 | https://github.com/gogs/gogs/security/advisories/GHSA-jj5m-h57j-5gv7</t>
        </is>
      </c>
      <c r="O129" s="190" t="inlineStr">
        <is>
          <t>Apply vendor patches</t>
        </is>
      </c>
      <c r="P129" s="190" t="inlineStr">
        <is>
          <t>gogs gogs *</t>
        </is>
      </c>
      <c r="Q129" s="190" t="inlineStr">
        <is>
          <t>P4</t>
        </is>
      </c>
      <c r="R129" s="190" t="inlineStr">
        <is>
          <t>📅 Schedule patch deployment within 30 days | 🔍 Monitor for exploitation attempts</t>
        </is>
      </c>
      <c r="S129" s="190" t="inlineStr">
        <is>
          <t>CVE - IP enrichment n/a</t>
        </is>
      </c>
      <c r="T129" s="190" t="n">
        <v>0</v>
      </c>
      <c r="U129" s="190" t="n">
        <v>0</v>
      </c>
      <c r="V129" s="190" t="inlineStr">
        <is>
          <t>T1190:Exploit Public-Facing Application</t>
        </is>
      </c>
      <c r="W129" s="190" t="n">
        <v>1</v>
      </c>
      <c r="X129" s="190" t="inlineStr">
        <is>
          <t>LOW (40%)</t>
        </is>
      </c>
      <c r="Y129" s="190" t="inlineStr">
        <is>
          <t>UNLIKELY</t>
        </is>
      </c>
      <c r="Z129" s="190" t="inlineStr">
        <is>
          <t>PATCH_AVAILABLE</t>
        </is>
      </c>
      <c r="AA129" s="190" t="inlineStr">
        <is>
          <t>https://nvd.nist.gov/vuln/detail/CVE-2026-25120</t>
        </is>
      </c>
      <c r="AB129" s="190" t="inlineStr">
        <is>
          <t>NONE</t>
        </is>
      </c>
      <c r="AC129" s="190" t="n">
        <v>0</v>
      </c>
      <c r="AD129" s="190" t="inlineStr"/>
    </row>
    <row r="130">
      <c r="A130" s="187" t="inlineStr">
        <is>
          <t>CVE</t>
        </is>
      </c>
      <c r="B130" s="187" t="inlineStr">
        <is>
          <t>CVE-2026-25229</t>
        </is>
      </c>
      <c r="C130" s="187" t="inlineStr">
        <is>
          <t>Gogs is an open source self-hosted Git service. Versions 0.13.4 and below have a broken access control vulnerability which allows authenticated users with write access to any repository to modify labels belonging to other repositories. The UpdateLabel function in the Web UI (internal/route/repo/issue.go) fails to verify that the label being modified belongs to the repository specified in the URL path, enabling cross-repository label tampering attacks. The vulnerability exists in the Web UI's lab</t>
        </is>
      </c>
      <c r="D130" s="187" t="n">
        <v>6.5</v>
      </c>
      <c r="E130" s="187" t="inlineStr">
        <is>
          <t>MEDIUM</t>
        </is>
      </c>
      <c r="F130" s="187" t="n">
        <v>2</v>
      </c>
      <c r="G130" s="187" t="n">
        <v>2</v>
      </c>
      <c r="H130" s="187" t="inlineStr">
        <is>
          <t>MEDIUM</t>
        </is>
      </c>
      <c r="I130" s="187" t="n">
        <v>10.5</v>
      </c>
      <c r="J130" s="187" t="inlineStr">
        <is>
          <t>NO</t>
        </is>
      </c>
      <c r="K130" s="187" t="inlineStr">
        <is>
          <t>https://nvd.nist.gov/vuln/detail/CVE-2026-25229</t>
        </is>
      </c>
      <c r="L130" s="187" t="inlineStr">
        <is>
          <t>2026-02-26 00:15</t>
        </is>
      </c>
      <c r="M130" s="187" t="inlineStr">
        <is>
          <t>YES</t>
        </is>
      </c>
      <c r="N130" s="187" t="inlineStr">
        <is>
          <t>https://github.com/gogs/gogs/commit/643a6d6353cb6a182a4e1f0720228727f30a3ad2 | https://github.com/gogs/gogs/security/advisories/GHSA-cv22-72px-f4gh</t>
        </is>
      </c>
      <c r="O130" s="187" t="inlineStr">
        <is>
          <t>https://github.com/gogs/gogs/security/advisories/GHSA-cv22-72px-f4gh</t>
        </is>
      </c>
      <c r="P130" s="187" t="inlineStr">
        <is>
          <t>gogs gogs *</t>
        </is>
      </c>
      <c r="Q130" s="187" t="inlineStr">
        <is>
          <t>P4</t>
        </is>
      </c>
      <c r="R130" s="187" t="inlineStr">
        <is>
          <t>📅 Schedule patch deployment within 30 days | 🔍 Monitor for exploitation attempts</t>
        </is>
      </c>
      <c r="S130" s="187" t="inlineStr">
        <is>
          <t>CVE - IP enrichment n/a</t>
        </is>
      </c>
      <c r="T130" s="187" t="n">
        <v>0</v>
      </c>
      <c r="U130" s="187" t="n">
        <v>0</v>
      </c>
      <c r="V130" s="187" t="inlineStr">
        <is>
          <t>T1190:Exploit Public-Facing Application</t>
        </is>
      </c>
      <c r="W130" s="187" t="n">
        <v>1</v>
      </c>
      <c r="X130" s="187" t="inlineStr">
        <is>
          <t>LOW (40%)</t>
        </is>
      </c>
      <c r="Y130" s="187" t="inlineStr">
        <is>
          <t>UNLIKELY</t>
        </is>
      </c>
      <c r="Z130" s="187" t="inlineStr">
        <is>
          <t>PATCH_AVAILABLE</t>
        </is>
      </c>
      <c r="AA130" s="187" t="inlineStr">
        <is>
          <t>https://nvd.nist.gov/vuln/detail/CVE-2026-25229</t>
        </is>
      </c>
      <c r="AB130" s="187" t="inlineStr">
        <is>
          <t>NONE</t>
        </is>
      </c>
      <c r="AC130" s="187" t="n">
        <v>0</v>
      </c>
      <c r="AD130" s="187" t="inlineStr"/>
    </row>
    <row r="131">
      <c r="A131" s="188" t="inlineStr">
        <is>
          <t>CVE</t>
        </is>
      </c>
      <c r="B131" s="188" t="inlineStr">
        <is>
          <t>CVE-2026-25232</t>
        </is>
      </c>
      <c r="C131" s="188" t="inlineStr">
        <is>
          <t xml:space="preserve">Gogs is an open source self-hosted Git service. Versions 0.13.4 and below have an access control bypass vulnerability which allows any repository collaborator with Write permissions to delete protected branches (including the default branch) by sending a direct POST request, completely bypassing the branch protection mechanism. This vulnerability in the DeleteBranchPost function eenables privilege escalation from Write to Admin level, allowing low-privilege users to perform dangerous operations </t>
        </is>
      </c>
      <c r="D131" s="188" t="n">
        <v>8.800000000000001</v>
      </c>
      <c r="E131" s="188" t="inlineStr">
        <is>
          <t>HIGH</t>
        </is>
      </c>
      <c r="F131" s="188" t="n">
        <v>2</v>
      </c>
      <c r="G131" s="188" t="n">
        <v>3</v>
      </c>
      <c r="H131" s="188" t="inlineStr">
        <is>
          <t>HIGH</t>
        </is>
      </c>
      <c r="I131" s="188" t="n">
        <v>14.8</v>
      </c>
      <c r="J131" s="188" t="inlineStr">
        <is>
          <t>NO</t>
        </is>
      </c>
      <c r="K131" s="188" t="inlineStr">
        <is>
          <t>https://nvd.nist.gov/vuln/detail/CVE-2026-25232</t>
        </is>
      </c>
      <c r="L131" s="188" t="inlineStr">
        <is>
          <t>2026-02-26 00:15</t>
        </is>
      </c>
      <c r="M131" s="188" t="inlineStr">
        <is>
          <t>YES</t>
        </is>
      </c>
      <c r="N131" s="188" t="inlineStr">
        <is>
          <t>https://github.com/gogs/gogs/commit/7b7e38c88007a7c482dbf31efff896185fd9b79c | https://github.com/gogs/gogs/security/advisories/GHSA-2c6v-8r3v-gh6p</t>
        </is>
      </c>
      <c r="O131" s="188" t="inlineStr">
        <is>
          <t>Apply vendor patches</t>
        </is>
      </c>
      <c r="P131" s="188" t="inlineStr">
        <is>
          <t>gogs gogs *</t>
        </is>
      </c>
      <c r="Q131" s="188" t="inlineStr">
        <is>
          <t>P3</t>
        </is>
      </c>
      <c r="R131" s="188" t="inlineStr">
        <is>
          <t>🚨 URGENT: Apply vendor patches immediately | 🔒 Isolate affected systems if patch unavailable | 🛡️ Enable additional monitoring/IDS rules</t>
        </is>
      </c>
      <c r="S131" s="188" t="inlineStr">
        <is>
          <t>CVE - IP enrichment n/a</t>
        </is>
      </c>
      <c r="T131" s="188" t="n">
        <v>0</v>
      </c>
      <c r="U131" s="188" t="n">
        <v>0</v>
      </c>
      <c r="V131" s="188" t="inlineStr">
        <is>
          <t>T1190:Exploit Public-Facing Application | T1068:Exploitation for Privilege Escalation</t>
        </is>
      </c>
      <c r="W131" s="188" t="n">
        <v>1</v>
      </c>
      <c r="X131" s="188" t="inlineStr">
        <is>
          <t>LOW (40%)</t>
        </is>
      </c>
      <c r="Y131" s="188" t="inlineStr">
        <is>
          <t>UNLIKELY</t>
        </is>
      </c>
      <c r="Z131" s="188" t="inlineStr">
        <is>
          <t>PATCH_AVAILABLE</t>
        </is>
      </c>
      <c r="AA131" s="188" t="inlineStr">
        <is>
          <t>https://nvd.nist.gov/vuln/detail/CVE-2026-25232</t>
        </is>
      </c>
      <c r="AB131" s="188" t="inlineStr">
        <is>
          <t>NONE</t>
        </is>
      </c>
      <c r="AC131" s="188" t="n">
        <v>0</v>
      </c>
      <c r="AD131" s="188" t="inlineStr"/>
    </row>
    <row r="132">
      <c r="A132" s="189" t="inlineStr">
        <is>
          <t>CVE</t>
        </is>
      </c>
      <c r="B132" s="189" t="inlineStr">
        <is>
          <t>CVE-2026-25242</t>
        </is>
      </c>
      <c r="C132" s="189" t="inlineStr">
        <is>
          <t>Gogs is an open source self-hosted Git service. Versions 0.13.4 and below expose unauthenticated file upload endpoints by default. When the global RequireSigninView setting is disabled (default), any remote user can upload arbitrary files to the server via /releases/attachments and /issues/attachments. This enables the instance to be abused as a public file host, potentially leading to disk exhaustion, content hosting, or delivery of malware. CSRF tokens do not mitigate this attack due to same-o</t>
        </is>
      </c>
      <c r="D132" s="189" t="n">
        <v>9.800000000000001</v>
      </c>
      <c r="E132" s="189" t="inlineStr">
        <is>
          <t>CRITICAL</t>
        </is>
      </c>
      <c r="F132" s="189" t="n">
        <v>2</v>
      </c>
      <c r="G132" s="189" t="n">
        <v>3</v>
      </c>
      <c r="H132" s="189" t="inlineStr">
        <is>
          <t>HIGH</t>
        </is>
      </c>
      <c r="I132" s="189" t="n">
        <v>15.8</v>
      </c>
      <c r="J132" s="189" t="inlineStr">
        <is>
          <t>NO</t>
        </is>
      </c>
      <c r="K132" s="189" t="inlineStr">
        <is>
          <t>https://nvd.nist.gov/vuln/detail/CVE-2026-25242</t>
        </is>
      </c>
      <c r="L132" s="189" t="inlineStr">
        <is>
          <t>2026-02-26 00:15</t>
        </is>
      </c>
      <c r="M132" s="189" t="inlineStr">
        <is>
          <t>YES</t>
        </is>
      </c>
      <c r="N132" s="189" t="inlineStr">
        <is>
          <t>https://github.com/gogs/gogs/commit/628216d5889fcb838c471f4754f09b935d9cd9f3 | https://github.com/gogs/gogs/security/advisories/GHSA-fc3h-92p8-h36f</t>
        </is>
      </c>
      <c r="O132" s="189" t="inlineStr">
        <is>
          <t>Apply vendor patches</t>
        </is>
      </c>
      <c r="P132" s="189" t="inlineStr">
        <is>
          <t>gogs gogs *</t>
        </is>
      </c>
      <c r="Q132" s="189" t="inlineStr">
        <is>
          <t>P3</t>
        </is>
      </c>
      <c r="R132" s="189" t="inlineStr">
        <is>
          <t>🚨 URGENT: Apply vendor patches immediately | 🔒 Isolate affected systems if patch unavailable | 🛡️ Enable additional monitoring/IDS rules</t>
        </is>
      </c>
      <c r="S132" s="189" t="inlineStr">
        <is>
          <t>CVE - IP enrichment n/a</t>
        </is>
      </c>
      <c r="T132" s="189" t="n">
        <v>0</v>
      </c>
      <c r="U132" s="189" t="n">
        <v>0</v>
      </c>
      <c r="V132" s="189" t="inlineStr">
        <is>
          <t>T1190:Exploit Public-Facing Application</t>
        </is>
      </c>
      <c r="W132" s="189" t="n">
        <v>1</v>
      </c>
      <c r="X132" s="189" t="inlineStr">
        <is>
          <t>LOW (40%)</t>
        </is>
      </c>
      <c r="Y132" s="189" t="inlineStr">
        <is>
          <t>UNLIKELY</t>
        </is>
      </c>
      <c r="Z132" s="189" t="inlineStr">
        <is>
          <t>PATCH_AVAILABLE</t>
        </is>
      </c>
      <c r="AA132" s="189" t="inlineStr">
        <is>
          <t>https://nvd.nist.gov/vuln/detail/CVE-2026-25242</t>
        </is>
      </c>
      <c r="AB132" s="189" t="inlineStr">
        <is>
          <t>NONE</t>
        </is>
      </c>
      <c r="AC132" s="189" t="n">
        <v>0</v>
      </c>
      <c r="AD132" s="189" t="inlineStr"/>
    </row>
    <row r="133">
      <c r="A133" s="188" t="inlineStr">
        <is>
          <t>CVE</t>
        </is>
      </c>
      <c r="B133" s="188" t="inlineStr">
        <is>
          <t>CVE-2026-25474</t>
        </is>
      </c>
      <c r="C133" s="188" t="inlineStr">
        <is>
          <t>OpenClaw is a personal AI assistant. In versions 2026.1.30 and below, if channels.telegram.webhookSecret is not set when in Telegram webhook mode, OpenClaw may accept webhook HTTP requests without verifying Telegram’s secret token header. In deployments where the webhook endpoint is reachable by an attacker, this can allow forged Telegram updates (for example spoofing message.from.id). If an attacker can reach the webhook endpoint, they may be able to send forged updates that are processed as if</t>
        </is>
      </c>
      <c r="D133" s="188" t="n">
        <v>7.5</v>
      </c>
      <c r="E133" s="188" t="inlineStr">
        <is>
          <t>HIGH</t>
        </is>
      </c>
      <c r="F133" s="188" t="n">
        <v>2</v>
      </c>
      <c r="G133" s="188" t="n">
        <v>3</v>
      </c>
      <c r="H133" s="188" t="inlineStr">
        <is>
          <t>HIGH</t>
        </is>
      </c>
      <c r="I133" s="188" t="n">
        <v>13.5</v>
      </c>
      <c r="J133" s="188" t="inlineStr">
        <is>
          <t>NO</t>
        </is>
      </c>
      <c r="K133" s="188" t="inlineStr">
        <is>
          <t>https://nvd.nist.gov/vuln/detail/CVE-2026-25474</t>
        </is>
      </c>
      <c r="L133" s="188" t="inlineStr">
        <is>
          <t>2026-02-26 00:15</t>
        </is>
      </c>
      <c r="M133" s="188" t="inlineStr">
        <is>
          <t>YES</t>
        </is>
      </c>
      <c r="N133" s="188" t="inlineStr">
        <is>
          <t>https://github.com/openclaw/openclaw/commit/3cbcba10cf30c2ffb898f0d8c7dfb929f15f8930 | https://github.com/openclaw/openclaw/commit/5643a934799dc523ec2ef18c007e1aa2c386b670 | https://github.com/openclaw/openclaw/commit/633fe8b9c17f02fcc68ecdb5ec212a5ace932f09</t>
        </is>
      </c>
      <c r="O133" s="188" t="inlineStr">
        <is>
          <t>Apply vendor patches</t>
        </is>
      </c>
      <c r="P133" s="188" t="inlineStr">
        <is>
          <t>openclaw openclaw *</t>
        </is>
      </c>
      <c r="Q133" s="188" t="inlineStr">
        <is>
          <t>P3</t>
        </is>
      </c>
      <c r="R133" s="188" t="inlineStr">
        <is>
          <t>🚨 URGENT: Apply vendor patches immediately | 🔒 Isolate affected systems if patch unavailable | 🛡️ Enable additional monitoring/IDS rules</t>
        </is>
      </c>
      <c r="S133" s="188" t="inlineStr">
        <is>
          <t>CVE - IP enrichment n/a</t>
        </is>
      </c>
      <c r="T133" s="188" t="n">
        <v>0</v>
      </c>
      <c r="U133" s="188" t="n">
        <v>0</v>
      </c>
      <c r="V133" s="188" t="inlineStr">
        <is>
          <t>T1190:Exploit Public-Facing Application</t>
        </is>
      </c>
      <c r="W133" s="188" t="n">
        <v>1</v>
      </c>
      <c r="X133" s="188" t="inlineStr">
        <is>
          <t>LOW (40%)</t>
        </is>
      </c>
      <c r="Y133" s="188" t="inlineStr">
        <is>
          <t>UNLIKELY</t>
        </is>
      </c>
      <c r="Z133" s="188" t="inlineStr">
        <is>
          <t>PATCH_AVAILABLE</t>
        </is>
      </c>
      <c r="AA133" s="188" t="inlineStr">
        <is>
          <t>https://nvd.nist.gov/vuln/detail/CVE-2026-25474</t>
        </is>
      </c>
      <c r="AB133" s="188" t="inlineStr">
        <is>
          <t>NONE</t>
        </is>
      </c>
      <c r="AC133" s="188" t="n">
        <v>0</v>
      </c>
      <c r="AD133" s="188" t="inlineStr"/>
    </row>
    <row r="134">
      <c r="A134" s="187" t="inlineStr">
        <is>
          <t>CVE</t>
        </is>
      </c>
      <c r="B134" s="187" t="inlineStr">
        <is>
          <t>CVE-2026-2282</t>
        </is>
      </c>
      <c r="C134" s="187" t="inlineStr">
        <is>
          <t>The Slidorion plugin for WordPress is vulnerable to Stored Cross-Site Scripting via admin settings in all versions up to, and including, 1.0.2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t>
        </is>
      </c>
      <c r="D134" s="187" t="n">
        <v>4.4</v>
      </c>
      <c r="E134" s="187" t="inlineStr">
        <is>
          <t>MEDIUM</t>
        </is>
      </c>
      <c r="F134" s="187" t="n">
        <v>2</v>
      </c>
      <c r="G134" s="187" t="n">
        <v>2</v>
      </c>
      <c r="H134" s="187" t="inlineStr">
        <is>
          <t>MEDIUM</t>
        </is>
      </c>
      <c r="I134" s="187" t="n">
        <v>8.4</v>
      </c>
      <c r="J134" s="187" t="inlineStr">
        <is>
          <t>NO</t>
        </is>
      </c>
      <c r="K134" s="187" t="inlineStr">
        <is>
          <t>https://nvd.nist.gov/vuln/detail/CVE-2026-2282</t>
        </is>
      </c>
      <c r="L134" s="187" t="inlineStr">
        <is>
          <t>2026-02-26 00:15</t>
        </is>
      </c>
      <c r="M134" s="187" t="inlineStr">
        <is>
          <t>CHECK_VENDOR</t>
        </is>
      </c>
      <c r="N134" s="187" t="inlineStr">
        <is>
          <t>See NVD references</t>
        </is>
      </c>
      <c r="O134" s="187" t="inlineStr">
        <is>
          <t>Apply vendor patches</t>
        </is>
      </c>
      <c r="P134" s="187" t="inlineStr">
        <is>
          <t>See CVE details</t>
        </is>
      </c>
      <c r="Q134" s="187" t="inlineStr">
        <is>
          <t>P4</t>
        </is>
      </c>
      <c r="R134" s="187" t="inlineStr">
        <is>
          <t>📅 Schedule patch deployment within 30 days | 🔍 Monitor for exploitation attempts</t>
        </is>
      </c>
      <c r="S134" s="187" t="inlineStr">
        <is>
          <t>CVE - IP enrichment n/a</t>
        </is>
      </c>
      <c r="T134" s="187" t="n">
        <v>0</v>
      </c>
      <c r="U134" s="187" t="n">
        <v>0</v>
      </c>
      <c r="V134" s="187" t="inlineStr">
        <is>
          <t>T1189:Drive-by Compromise</t>
        </is>
      </c>
      <c r="W134" s="187" t="n">
        <v>1</v>
      </c>
      <c r="X134" s="187" t="inlineStr">
        <is>
          <t>LOW (40%)</t>
        </is>
      </c>
      <c r="Y134" s="187" t="inlineStr">
        <is>
          <t>UNLIKELY</t>
        </is>
      </c>
      <c r="Z134" s="187" t="inlineStr">
        <is>
          <t>CHECK_VENDOR</t>
        </is>
      </c>
      <c r="AA134" s="187" t="inlineStr">
        <is>
          <t>https://nvd.nist.gov/vuln/detail/CVE-2026-2282</t>
        </is>
      </c>
      <c r="AB134" s="187" t="inlineStr">
        <is>
          <t>NONE</t>
        </is>
      </c>
      <c r="AC134" s="187" t="n">
        <v>0</v>
      </c>
      <c r="AD134" s="187" t="inlineStr"/>
    </row>
    <row r="135">
      <c r="A135" s="187" t="inlineStr">
        <is>
          <t>CVE</t>
        </is>
      </c>
      <c r="B135" s="187" t="inlineStr">
        <is>
          <t>CVE-2026-2284</t>
        </is>
      </c>
      <c r="C135" s="187" t="inlineStr">
        <is>
          <t>The News Element Elementor Blog Magazine plugin for WordPress is vulnerable to Missing Authorization in all versions up to, and including, 1.0.8. This is due to a missing capability check and nonce verification on the 'ne_clean_data' AJAX action. This makes it possible for authenticated attackers, with Subscriber-level access and above, to truncate 8 core WordPress database tables (posts, comments, terms, term_relationships, term_taxonomy, postmeta, commentmeta, termmeta) and delete the entire W</t>
        </is>
      </c>
      <c r="D135" s="187" t="n">
        <v>5.4</v>
      </c>
      <c r="E135" s="187" t="inlineStr">
        <is>
          <t>MEDIUM</t>
        </is>
      </c>
      <c r="F135" s="187" t="n">
        <v>2</v>
      </c>
      <c r="G135" s="187" t="n">
        <v>2</v>
      </c>
      <c r="H135" s="187" t="inlineStr">
        <is>
          <t>MEDIUM</t>
        </is>
      </c>
      <c r="I135" s="187" t="n">
        <v>9.4</v>
      </c>
      <c r="J135" s="187" t="inlineStr">
        <is>
          <t>NO</t>
        </is>
      </c>
      <c r="K135" s="187" t="inlineStr">
        <is>
          <t>https://nvd.nist.gov/vuln/detail/CVE-2026-2284</t>
        </is>
      </c>
      <c r="L135" s="187" t="inlineStr">
        <is>
          <t>2026-02-26 00:15</t>
        </is>
      </c>
      <c r="M135" s="187" t="inlineStr">
        <is>
          <t>CHECK_VENDOR</t>
        </is>
      </c>
      <c r="N135" s="187" t="inlineStr">
        <is>
          <t>See NVD references</t>
        </is>
      </c>
      <c r="O135" s="187" t="inlineStr">
        <is>
          <t>Apply vendor patches</t>
        </is>
      </c>
      <c r="P135" s="187" t="inlineStr">
        <is>
          <t>See CVE details</t>
        </is>
      </c>
      <c r="Q135" s="187" t="inlineStr">
        <is>
          <t>P4</t>
        </is>
      </c>
      <c r="R135" s="187" t="inlineStr">
        <is>
          <t>📅 Schedule patch deployment within 30 days | 🔍 Monitor for exploitation attempts</t>
        </is>
      </c>
      <c r="S135" s="187" t="inlineStr">
        <is>
          <t>CVE - IP enrichment n/a</t>
        </is>
      </c>
      <c r="T135" s="187" t="n">
        <v>0</v>
      </c>
      <c r="U135" s="187" t="n">
        <v>0</v>
      </c>
      <c r="V135" s="187" t="inlineStr">
        <is>
          <t>T1190:Exploit Public-Facing Application</t>
        </is>
      </c>
      <c r="W135" s="187" t="n">
        <v>1</v>
      </c>
      <c r="X135" s="187" t="inlineStr">
        <is>
          <t>LOW (40%)</t>
        </is>
      </c>
      <c r="Y135" s="187" t="inlineStr">
        <is>
          <t>UNLIKELY</t>
        </is>
      </c>
      <c r="Z135" s="187" t="inlineStr">
        <is>
          <t>CHECK_VENDOR</t>
        </is>
      </c>
      <c r="AA135" s="187" t="inlineStr">
        <is>
          <t>https://nvd.nist.gov/vuln/detail/CVE-2026-2284</t>
        </is>
      </c>
      <c r="AB135" s="187" t="inlineStr">
        <is>
          <t>NONE</t>
        </is>
      </c>
      <c r="AC135" s="187" t="n">
        <v>0</v>
      </c>
      <c r="AD135" s="187" t="inlineStr"/>
    </row>
    <row r="136">
      <c r="A136" s="187" t="inlineStr">
        <is>
          <t>CVE</t>
        </is>
      </c>
      <c r="B136" s="187" t="inlineStr">
        <is>
          <t>CVE-2026-2502</t>
        </is>
      </c>
      <c r="C136" s="187" t="inlineStr">
        <is>
          <t>The xmlrpc attacks blocker plugin for WordPress is vulnerable to Stored Cross-Site Scripting in versions up to, and including, 1.0, via the 'X-Forwarded-For' HTTP header. This is due to the plugin trusting and logging attacker-controlled IP header data and rendering debug log entries without output escaping. This makes it possible for unauthenticated attackers to inject arbitrary web scripts that execute when an administrator views the debug log page.</t>
        </is>
      </c>
      <c r="D136" s="187" t="n">
        <v>6.1</v>
      </c>
      <c r="E136" s="187" t="inlineStr">
        <is>
          <t>MEDIUM</t>
        </is>
      </c>
      <c r="F136" s="187" t="n">
        <v>2</v>
      </c>
      <c r="G136" s="187" t="n">
        <v>2</v>
      </c>
      <c r="H136" s="187" t="inlineStr">
        <is>
          <t>MEDIUM</t>
        </is>
      </c>
      <c r="I136" s="187" t="n">
        <v>10.1</v>
      </c>
      <c r="J136" s="187" t="inlineStr">
        <is>
          <t>NO</t>
        </is>
      </c>
      <c r="K136" s="187" t="inlineStr">
        <is>
          <t>https://nvd.nist.gov/vuln/detail/CVE-2026-2502</t>
        </is>
      </c>
      <c r="L136" s="187" t="inlineStr">
        <is>
          <t>2026-02-26 00:15</t>
        </is>
      </c>
      <c r="M136" s="187" t="inlineStr">
        <is>
          <t>CHECK_VENDOR</t>
        </is>
      </c>
      <c r="N136" s="187" t="inlineStr">
        <is>
          <t>See NVD references</t>
        </is>
      </c>
      <c r="O136" s="187" t="inlineStr">
        <is>
          <t>Apply vendor patches</t>
        </is>
      </c>
      <c r="P136" s="187" t="inlineStr">
        <is>
          <t>See CVE details</t>
        </is>
      </c>
      <c r="Q136" s="187" t="inlineStr">
        <is>
          <t>P4</t>
        </is>
      </c>
      <c r="R136" s="187" t="inlineStr">
        <is>
          <t>📅 Schedule patch deployment within 30 days | 🔍 Monitor for exploitation attempts</t>
        </is>
      </c>
      <c r="S136" s="187" t="inlineStr">
        <is>
          <t>CVE - IP enrichment n/a</t>
        </is>
      </c>
      <c r="T136" s="187" t="n">
        <v>0</v>
      </c>
      <c r="U136" s="187" t="n">
        <v>0</v>
      </c>
      <c r="V136" s="187" t="inlineStr">
        <is>
          <t>T1189:Drive-by Compromise</t>
        </is>
      </c>
      <c r="W136" s="187" t="n">
        <v>1</v>
      </c>
      <c r="X136" s="187" t="inlineStr">
        <is>
          <t>LOW (40%)</t>
        </is>
      </c>
      <c r="Y136" s="187" t="inlineStr">
        <is>
          <t>UNLIKELY</t>
        </is>
      </c>
      <c r="Z136" s="187" t="inlineStr">
        <is>
          <t>CHECK_VENDOR</t>
        </is>
      </c>
      <c r="AA136" s="187" t="inlineStr">
        <is>
          <t>https://nvd.nist.gov/vuln/detail/CVE-2026-2502</t>
        </is>
      </c>
      <c r="AB136" s="187" t="inlineStr">
        <is>
          <t>NONE</t>
        </is>
      </c>
      <c r="AC136" s="187" t="n">
        <v>0</v>
      </c>
      <c r="AD136" s="187" t="inlineStr"/>
    </row>
    <row r="137">
      <c r="A137" s="187" t="inlineStr">
        <is>
          <t>CVE</t>
        </is>
      </c>
      <c r="B137" s="187" t="inlineStr">
        <is>
          <t>CVE-2026-2504</t>
        </is>
      </c>
      <c r="C137" s="187" t="inlineStr">
        <is>
          <t>The Dealia – Request a quote plugin for WordPress is vulnerable to unauthorized modification of data due to missing capability checks on multiple AJAX handlers in all versions up to, and including, 1.0.6. The admin nonce (DEALIA_ADMIN_NONCE) is exposed to all users with edit_posts capability (Contributor+) via wp_localize_script() in PostsController.php, while the AJAX handlers in AdminSettingsController.php only verify the nonce without checking current_user_can('manage_options'). This makes it</t>
        </is>
      </c>
      <c r="D137" s="187" t="n">
        <v>4.3</v>
      </c>
      <c r="E137" s="187" t="inlineStr">
        <is>
          <t>MEDIUM</t>
        </is>
      </c>
      <c r="F137" s="187" t="n">
        <v>2</v>
      </c>
      <c r="G137" s="187" t="n">
        <v>2</v>
      </c>
      <c r="H137" s="187" t="inlineStr">
        <is>
          <t>MEDIUM</t>
        </is>
      </c>
      <c r="I137" s="187" t="n">
        <v>8.300000000000001</v>
      </c>
      <c r="J137" s="187" t="inlineStr">
        <is>
          <t>NO</t>
        </is>
      </c>
      <c r="K137" s="187" t="inlineStr">
        <is>
          <t>https://nvd.nist.gov/vuln/detail/CVE-2026-2504</t>
        </is>
      </c>
      <c r="L137" s="187" t="inlineStr">
        <is>
          <t>2026-02-26 00:15</t>
        </is>
      </c>
      <c r="M137" s="187" t="inlineStr">
        <is>
          <t>CHECK_VENDOR</t>
        </is>
      </c>
      <c r="N137" s="187" t="inlineStr">
        <is>
          <t>See NVD references</t>
        </is>
      </c>
      <c r="O137" s="187" t="inlineStr">
        <is>
          <t>Apply vendor patches</t>
        </is>
      </c>
      <c r="P137" s="187" t="inlineStr">
        <is>
          <t>See CVE details</t>
        </is>
      </c>
      <c r="Q137" s="187" t="inlineStr">
        <is>
          <t>P4</t>
        </is>
      </c>
      <c r="R137" s="187" t="inlineStr">
        <is>
          <t>📅 Schedule patch deployment within 30 days | 🔍 Monitor for exploitation attempts</t>
        </is>
      </c>
      <c r="S137" s="187" t="inlineStr">
        <is>
          <t>CVE - IP enrichment n/a</t>
        </is>
      </c>
      <c r="T137" s="187" t="n">
        <v>0</v>
      </c>
      <c r="U137" s="187" t="n">
        <v>0</v>
      </c>
      <c r="V137" s="187" t="inlineStr">
        <is>
          <t>T1190:Exploit Public-Facing Application</t>
        </is>
      </c>
      <c r="W137" s="187" t="n">
        <v>1</v>
      </c>
      <c r="X137" s="187" t="inlineStr">
        <is>
          <t>LOW (40%)</t>
        </is>
      </c>
      <c r="Y137" s="187" t="inlineStr">
        <is>
          <t>UNLIKELY</t>
        </is>
      </c>
      <c r="Z137" s="187" t="inlineStr">
        <is>
          <t>CHECK_VENDOR</t>
        </is>
      </c>
      <c r="AA137" s="187" t="inlineStr">
        <is>
          <t>https://nvd.nist.gov/vuln/detail/CVE-2026-2504</t>
        </is>
      </c>
      <c r="AB137" s="187" t="inlineStr">
        <is>
          <t>NONE</t>
        </is>
      </c>
      <c r="AC137" s="187" t="n">
        <v>0</v>
      </c>
      <c r="AD137" s="187" t="inlineStr"/>
    </row>
    <row r="138">
      <c r="A138" s="187" t="inlineStr">
        <is>
          <t>CVE</t>
        </is>
      </c>
      <c r="B138" s="187" t="inlineStr">
        <is>
          <t>CVE-2026-2681</t>
        </is>
      </c>
      <c r="C138" s="187" t="inlineStr">
        <is>
          <t>A flaw was found in the blst cryptographic library. This out-of-bounds stack write vulnerability, specifically in the blst_sha256_bcopy assembly routine, occurs due to a missing zero-length guard. A remote attacker can exploit this by providing a zero-length salt parameter to key generation functions, such as blst_keygen_v5(), if the application exposes this functionality. Successful exploitation leads to memory corruption and immediate process termination, resulting in a denial-of-service (DoS)</t>
        </is>
      </c>
      <c r="D138" s="187" t="n">
        <v>5.3</v>
      </c>
      <c r="E138" s="187" t="inlineStr">
        <is>
          <t>MEDIUM</t>
        </is>
      </c>
      <c r="F138" s="187" t="n">
        <v>2</v>
      </c>
      <c r="G138" s="187" t="n">
        <v>2</v>
      </c>
      <c r="H138" s="187" t="inlineStr">
        <is>
          <t>MEDIUM</t>
        </is>
      </c>
      <c r="I138" s="187" t="n">
        <v>9.300000000000001</v>
      </c>
      <c r="J138" s="187" t="inlineStr">
        <is>
          <t>NO</t>
        </is>
      </c>
      <c r="K138" s="187" t="inlineStr">
        <is>
          <t>https://nvd.nist.gov/vuln/detail/CVE-2026-2681</t>
        </is>
      </c>
      <c r="L138" s="187" t="inlineStr">
        <is>
          <t>2026-02-26 00:15</t>
        </is>
      </c>
      <c r="M138" s="187" t="inlineStr">
        <is>
          <t>CHECK_VENDOR</t>
        </is>
      </c>
      <c r="N138" s="187" t="inlineStr">
        <is>
          <t>See NVD references</t>
        </is>
      </c>
      <c r="O138" s="187" t="inlineStr">
        <is>
          <t>Apply vendor patches</t>
        </is>
      </c>
      <c r="P138" s="187" t="inlineStr">
        <is>
          <t>See CVE details</t>
        </is>
      </c>
      <c r="Q138" s="187" t="inlineStr">
        <is>
          <t>P4</t>
        </is>
      </c>
      <c r="R138" s="187" t="inlineStr">
        <is>
          <t>📅 Schedule patch deployment within 30 days | 🔍 Monitor for exploitation attempts</t>
        </is>
      </c>
      <c r="S138" s="187" t="inlineStr">
        <is>
          <t>CVE - IP enrichment n/a</t>
        </is>
      </c>
      <c r="T138" s="187" t="n">
        <v>0</v>
      </c>
      <c r="U138" s="187" t="n">
        <v>0</v>
      </c>
      <c r="V138" s="187" t="inlineStr">
        <is>
          <t>T1203:Exploitation for Client Execution | T1600:Weaken Encryption</t>
        </is>
      </c>
      <c r="W138" s="187" t="n">
        <v>1</v>
      </c>
      <c r="X138" s="187" t="inlineStr">
        <is>
          <t>LOW (40%)</t>
        </is>
      </c>
      <c r="Y138" s="187" t="inlineStr">
        <is>
          <t>UNLIKELY</t>
        </is>
      </c>
      <c r="Z138" s="187" t="inlineStr">
        <is>
          <t>CHECK_VENDOR</t>
        </is>
      </c>
      <c r="AA138" s="187" t="inlineStr">
        <is>
          <t>https://nvd.nist.gov/vuln/detail/CVE-2026-2681</t>
        </is>
      </c>
      <c r="AB138" s="187" t="inlineStr">
        <is>
          <t>NONE</t>
        </is>
      </c>
      <c r="AC138" s="187" t="n">
        <v>0</v>
      </c>
      <c r="AD138" s="187" t="inlineStr"/>
    </row>
    <row r="139">
      <c r="A139" s="188" t="inlineStr">
        <is>
          <t>CVE</t>
        </is>
      </c>
      <c r="B139" s="188" t="inlineStr">
        <is>
          <t>CVE-2026-2689</t>
        </is>
      </c>
      <c r="C139" s="188" t="inlineStr">
        <is>
          <t>A vulnerability was detected in itsourcecode Event Management System 1.0. Affected is an unknown function of the file /admin/manage_booking.php. The manipulation of the argument ID results in sql injection. The attack may be performed from remote. The exploit is now public and may be used.</t>
        </is>
      </c>
      <c r="D139" s="188" t="n">
        <v>7.3</v>
      </c>
      <c r="E139" s="188" t="inlineStr">
        <is>
          <t>HIGH</t>
        </is>
      </c>
      <c r="F139" s="188" t="n">
        <v>2</v>
      </c>
      <c r="G139" s="188" t="n">
        <v>3</v>
      </c>
      <c r="H139" s="188" t="inlineStr">
        <is>
          <t>HIGH</t>
        </is>
      </c>
      <c r="I139" s="188" t="n">
        <v>13.3</v>
      </c>
      <c r="J139" s="188" t="inlineStr">
        <is>
          <t>NO</t>
        </is>
      </c>
      <c r="K139" s="188" t="inlineStr">
        <is>
          <t>https://nvd.nist.gov/vuln/detail/CVE-2026-2689</t>
        </is>
      </c>
      <c r="L139" s="188" t="inlineStr">
        <is>
          <t>2026-02-26 00:15</t>
        </is>
      </c>
      <c r="M139" s="188" t="inlineStr">
        <is>
          <t>YES</t>
        </is>
      </c>
      <c r="N139" s="188" t="inlineStr">
        <is>
          <t>https://github.com/ltranquility/CVE/issues/38</t>
        </is>
      </c>
      <c r="O139" s="188" t="inlineStr">
        <is>
          <t>https://github.com/ltranquility/CVE/issues/38</t>
        </is>
      </c>
      <c r="P139" s="188" t="inlineStr">
        <is>
          <t>admerc event_management_system 1.0</t>
        </is>
      </c>
      <c r="Q139" s="188" t="inlineStr">
        <is>
          <t>P3</t>
        </is>
      </c>
      <c r="R139" s="188" t="inlineStr">
        <is>
          <t>🚨 URGENT: Apply vendor patches immediately | 🔒 Isolate affected systems if patch unavailable | 🛡️ Enable additional monitoring/IDS rules</t>
        </is>
      </c>
      <c r="S139" s="188" t="inlineStr">
        <is>
          <t>CVE - IP enrichment n/a</t>
        </is>
      </c>
      <c r="T139" s="188" t="n">
        <v>0.0003</v>
      </c>
      <c r="U139" s="188" t="n">
        <v>0.0999</v>
      </c>
      <c r="V139" s="188" t="inlineStr">
        <is>
          <t>T1190:Exploit Public-Facing Application</t>
        </is>
      </c>
      <c r="W139" s="188" t="n">
        <v>1</v>
      </c>
      <c r="X139" s="188" t="inlineStr">
        <is>
          <t>LOW (40%)</t>
        </is>
      </c>
      <c r="Y139" s="188" t="inlineStr">
        <is>
          <t>UNLIKELY</t>
        </is>
      </c>
      <c r="Z139" s="188" t="inlineStr">
        <is>
          <t>PATCH_AVAILABLE</t>
        </is>
      </c>
      <c r="AA139" s="188" t="inlineStr">
        <is>
          <t>https://nvd.nist.gov/vuln/detail/CVE-2026-2689</t>
        </is>
      </c>
      <c r="AB139" s="188" t="inlineStr">
        <is>
          <t>NONE</t>
        </is>
      </c>
      <c r="AC139" s="188" t="n">
        <v>0</v>
      </c>
      <c r="AD139" s="188" t="inlineStr"/>
    </row>
    <row r="140">
      <c r="A140" s="188" t="inlineStr">
        <is>
          <t>CVE</t>
        </is>
      </c>
      <c r="B140" s="188" t="inlineStr">
        <is>
          <t>CVE-2026-2690</t>
        </is>
      </c>
      <c r="C140" s="188" t="inlineStr">
        <is>
          <t>A flaw has been found in itsourcecode Event Management System 1.0. Affected by this vulnerability is an unknown functionality of the file /admin/ajax.php?action=login of the component Admin Login. This manipulation of the argument Username causes sql injection. It is possible to initiate the attack remotely. The exploit has been published and may be used.</t>
        </is>
      </c>
      <c r="D140" s="188" t="n">
        <v>7.3</v>
      </c>
      <c r="E140" s="188" t="inlineStr">
        <is>
          <t>HIGH</t>
        </is>
      </c>
      <c r="F140" s="188" t="n">
        <v>2</v>
      </c>
      <c r="G140" s="188" t="n">
        <v>3</v>
      </c>
      <c r="H140" s="188" t="inlineStr">
        <is>
          <t>HIGH</t>
        </is>
      </c>
      <c r="I140" s="188" t="n">
        <v>13.3</v>
      </c>
      <c r="J140" s="188" t="inlineStr">
        <is>
          <t>NO</t>
        </is>
      </c>
      <c r="K140" s="188" t="inlineStr">
        <is>
          <t>https://nvd.nist.gov/vuln/detail/CVE-2026-2690</t>
        </is>
      </c>
      <c r="L140" s="188" t="inlineStr">
        <is>
          <t>2026-02-26 00:15</t>
        </is>
      </c>
      <c r="M140" s="188" t="inlineStr">
        <is>
          <t>YES</t>
        </is>
      </c>
      <c r="N140" s="188" t="inlineStr">
        <is>
          <t>https://github.com/ltranquility/CVE/issues/39</t>
        </is>
      </c>
      <c r="O140" s="188" t="inlineStr">
        <is>
          <t>https://github.com/ltranquility/CVE/issues/39</t>
        </is>
      </c>
      <c r="P140" s="188" t="inlineStr">
        <is>
          <t>admerc event_management_system 1.0</t>
        </is>
      </c>
      <c r="Q140" s="188" t="inlineStr">
        <is>
          <t>P3</t>
        </is>
      </c>
      <c r="R140" s="188" t="inlineStr">
        <is>
          <t>🚨 URGENT: Apply vendor patches immediately | 🔒 Isolate affected systems if patch unavailable | 🛡️ Enable additional monitoring/IDS rules</t>
        </is>
      </c>
      <c r="S140" s="188" t="inlineStr">
        <is>
          <t>CVE - IP enrichment n/a</t>
        </is>
      </c>
      <c r="T140" s="188" t="n">
        <v>0</v>
      </c>
      <c r="U140" s="188" t="n">
        <v>0</v>
      </c>
      <c r="V140" s="188" t="inlineStr">
        <is>
          <t>T1190:Exploit Public-Facing Application</t>
        </is>
      </c>
      <c r="W140" s="188" t="n">
        <v>1</v>
      </c>
      <c r="X140" s="188" t="inlineStr">
        <is>
          <t>LOW (40%)</t>
        </is>
      </c>
      <c r="Y140" s="188" t="inlineStr">
        <is>
          <t>UNLIKELY</t>
        </is>
      </c>
      <c r="Z140" s="188" t="inlineStr">
        <is>
          <t>PATCH_AVAILABLE</t>
        </is>
      </c>
      <c r="AA140" s="188" t="inlineStr">
        <is>
          <t>https://nvd.nist.gov/vuln/detail/CVE-2026-2690</t>
        </is>
      </c>
      <c r="AB140" s="188" t="inlineStr">
        <is>
          <t>NONE</t>
        </is>
      </c>
      <c r="AC140" s="188" t="n">
        <v>0</v>
      </c>
      <c r="AD140" s="188" t="inlineStr"/>
    </row>
    <row r="141">
      <c r="A141" s="188" t="inlineStr">
        <is>
          <t>CVE</t>
        </is>
      </c>
      <c r="B141" s="188" t="inlineStr">
        <is>
          <t>CVE-2026-2691</t>
        </is>
      </c>
      <c r="C141" s="188" t="inlineStr">
        <is>
          <t>A vulnerability has been found in itsourcecode Event Management System 1.0. Affected by this issue is some unknown functionality of the file /admin/manage_register.php. Such manipulation of the argument ID leads to sql injection. It is possible to launch the attack remotely. The exploit has been disclosed to the public and may be used.</t>
        </is>
      </c>
      <c r="D141" s="188" t="n">
        <v>7.3</v>
      </c>
      <c r="E141" s="188" t="inlineStr">
        <is>
          <t>HIGH</t>
        </is>
      </c>
      <c r="F141" s="188" t="n">
        <v>2</v>
      </c>
      <c r="G141" s="188" t="n">
        <v>3</v>
      </c>
      <c r="H141" s="188" t="inlineStr">
        <is>
          <t>HIGH</t>
        </is>
      </c>
      <c r="I141" s="188" t="n">
        <v>13.3</v>
      </c>
      <c r="J141" s="188" t="inlineStr">
        <is>
          <t>NO</t>
        </is>
      </c>
      <c r="K141" s="188" t="inlineStr">
        <is>
          <t>https://nvd.nist.gov/vuln/detail/CVE-2026-2691</t>
        </is>
      </c>
      <c r="L141" s="188" t="inlineStr">
        <is>
          <t>2026-02-26 00:15</t>
        </is>
      </c>
      <c r="M141" s="188" t="inlineStr">
        <is>
          <t>YES</t>
        </is>
      </c>
      <c r="N141" s="188" t="inlineStr">
        <is>
          <t>https://github.com/ltranquility/CVE/issues/40</t>
        </is>
      </c>
      <c r="O141" s="188" t="inlineStr">
        <is>
          <t>https://github.com/ltranquility/CVE/issues/40</t>
        </is>
      </c>
      <c r="P141" s="188" t="inlineStr">
        <is>
          <t>admerc event_management_system 1.0</t>
        </is>
      </c>
      <c r="Q141" s="188" t="inlineStr">
        <is>
          <t>P3</t>
        </is>
      </c>
      <c r="R141" s="188" t="inlineStr">
        <is>
          <t>🚨 URGENT: Apply vendor patches immediately | 🔒 Isolate affected systems if patch unavailable | 🛡️ Enable additional monitoring/IDS rules</t>
        </is>
      </c>
      <c r="S141" s="188" t="inlineStr">
        <is>
          <t>CVE - IP enrichment n/a</t>
        </is>
      </c>
      <c r="T141" s="188" t="n">
        <v>0</v>
      </c>
      <c r="U141" s="188" t="n">
        <v>0</v>
      </c>
      <c r="V141" s="188" t="inlineStr">
        <is>
          <t>T1190:Exploit Public-Facing Application</t>
        </is>
      </c>
      <c r="W141" s="188" t="n">
        <v>1</v>
      </c>
      <c r="X141" s="188" t="inlineStr">
        <is>
          <t>LOW (40%)</t>
        </is>
      </c>
      <c r="Y141" s="188" t="inlineStr">
        <is>
          <t>UNLIKELY</t>
        </is>
      </c>
      <c r="Z141" s="188" t="inlineStr">
        <is>
          <t>PATCH_AVAILABLE</t>
        </is>
      </c>
      <c r="AA141" s="188" t="inlineStr">
        <is>
          <t>https://nvd.nist.gov/vuln/detail/CVE-2026-2691</t>
        </is>
      </c>
      <c r="AB141" s="188" t="inlineStr">
        <is>
          <t>NONE</t>
        </is>
      </c>
      <c r="AC141" s="188" t="n">
        <v>0</v>
      </c>
      <c r="AD141" s="188" t="inlineStr"/>
    </row>
    <row r="142">
      <c r="A142" s="187" t="inlineStr">
        <is>
          <t>CVE</t>
        </is>
      </c>
      <c r="B142" s="187" t="inlineStr">
        <is>
          <t>CVE-2026-2692</t>
        </is>
      </c>
      <c r="C142" s="187" t="inlineStr">
        <is>
          <t>A vulnerability was found in CoCoTeaNet CyreneAdmin up to 1.3.0. This affects an unknown part of the file /api/system/user/getAvatar of the component Image Handler. Performing a manipulation of the argument Avatar results in path traversal. The attack can be initiated remotely. The exploit has been made public and could be used.</t>
        </is>
      </c>
      <c r="D142" s="187" t="n">
        <v>4.3</v>
      </c>
      <c r="E142" s="187" t="inlineStr">
        <is>
          <t>MEDIUM</t>
        </is>
      </c>
      <c r="F142" s="187" t="n">
        <v>2</v>
      </c>
      <c r="G142" s="187" t="n">
        <v>2</v>
      </c>
      <c r="H142" s="187" t="inlineStr">
        <is>
          <t>MEDIUM</t>
        </is>
      </c>
      <c r="I142" s="187" t="n">
        <v>8.300000000000001</v>
      </c>
      <c r="J142" s="187" t="inlineStr">
        <is>
          <t>NO</t>
        </is>
      </c>
      <c r="K142" s="187" t="inlineStr">
        <is>
          <t>https://nvd.nist.gov/vuln/detail/CVE-2026-2692</t>
        </is>
      </c>
      <c r="L142" s="187" t="inlineStr">
        <is>
          <t>2026-02-26 00:15</t>
        </is>
      </c>
      <c r="M142" s="187" t="inlineStr">
        <is>
          <t>CHECK_VENDOR</t>
        </is>
      </c>
      <c r="N142" s="187" t="inlineStr">
        <is>
          <t>See NVD references</t>
        </is>
      </c>
      <c r="O142" s="187" t="inlineStr">
        <is>
          <t>Apply vendor patches</t>
        </is>
      </c>
      <c r="P142" s="187" t="inlineStr">
        <is>
          <t>cocoteanet cyreneadmin *</t>
        </is>
      </c>
      <c r="Q142" s="187" t="inlineStr">
        <is>
          <t>P4</t>
        </is>
      </c>
      <c r="R142" s="187" t="inlineStr">
        <is>
          <t>📅 Schedule patch deployment within 30 days | 🔍 Monitor for exploitation attempts</t>
        </is>
      </c>
      <c r="S142" s="187" t="inlineStr">
        <is>
          <t>CVE - IP enrichment n/a</t>
        </is>
      </c>
      <c r="T142" s="187" t="n">
        <v>0</v>
      </c>
      <c r="U142" s="187" t="n">
        <v>0</v>
      </c>
      <c r="V142" s="187" t="inlineStr">
        <is>
          <t>T1083:File and Directory Discovery</t>
        </is>
      </c>
      <c r="W142" s="187" t="n">
        <v>1</v>
      </c>
      <c r="X142" s="187" t="inlineStr">
        <is>
          <t>LOW (40%)</t>
        </is>
      </c>
      <c r="Y142" s="187" t="inlineStr">
        <is>
          <t>UNLIKELY</t>
        </is>
      </c>
      <c r="Z142" s="187" t="inlineStr">
        <is>
          <t>CHECK_VENDOR</t>
        </is>
      </c>
      <c r="AA142" s="187" t="inlineStr">
        <is>
          <t>https://nvd.nist.gov/vuln/detail/CVE-2026-2692</t>
        </is>
      </c>
      <c r="AB142" s="187" t="inlineStr">
        <is>
          <t>NONE</t>
        </is>
      </c>
      <c r="AC142" s="187" t="n">
        <v>0</v>
      </c>
      <c r="AD142" s="187" t="inlineStr"/>
    </row>
    <row r="143">
      <c r="A143" s="187" t="inlineStr">
        <is>
          <t>CVE</t>
        </is>
      </c>
      <c r="B143" s="187" t="inlineStr">
        <is>
          <t>CVE-2026-2693</t>
        </is>
      </c>
      <c r="C143" s="187" t="inlineStr">
        <is>
          <t>A vulnerability was determined in CoCoTeaNet CyreneAdmin up to 1.3.0. This vulnerability affects unknown code of the file /api/system/dashboard/getCount of the component System Info Endpoint. Executing a manipulation can lead to improper authorization. The attack can be launched remotely. The exploit has been publicly disclosed and may be utilized.</t>
        </is>
      </c>
      <c r="D143" s="187" t="n">
        <v>4.3</v>
      </c>
      <c r="E143" s="187" t="inlineStr">
        <is>
          <t>MEDIUM</t>
        </is>
      </c>
      <c r="F143" s="187" t="n">
        <v>2</v>
      </c>
      <c r="G143" s="187" t="n">
        <v>2</v>
      </c>
      <c r="H143" s="187" t="inlineStr">
        <is>
          <t>MEDIUM</t>
        </is>
      </c>
      <c r="I143" s="187" t="n">
        <v>8.300000000000001</v>
      </c>
      <c r="J143" s="187" t="inlineStr">
        <is>
          <t>NO</t>
        </is>
      </c>
      <c r="K143" s="187" t="inlineStr">
        <is>
          <t>https://nvd.nist.gov/vuln/detail/CVE-2026-2693</t>
        </is>
      </c>
      <c r="L143" s="187" t="inlineStr">
        <is>
          <t>2026-02-26 00:15</t>
        </is>
      </c>
      <c r="M143" s="187" t="inlineStr">
        <is>
          <t>CHECK_VENDOR</t>
        </is>
      </c>
      <c r="N143" s="187" t="inlineStr">
        <is>
          <t>See NVD references</t>
        </is>
      </c>
      <c r="O143" s="187" t="inlineStr">
        <is>
          <t>Apply vendor patches</t>
        </is>
      </c>
      <c r="P143" s="187" t="inlineStr">
        <is>
          <t>cocoteanet cyreneadmin *</t>
        </is>
      </c>
      <c r="Q143" s="187" t="inlineStr">
        <is>
          <t>P4</t>
        </is>
      </c>
      <c r="R143" s="187" t="inlineStr">
        <is>
          <t>📅 Schedule patch deployment within 30 days | 🔍 Monitor for exploitation attempts</t>
        </is>
      </c>
      <c r="S143" s="187" t="inlineStr">
        <is>
          <t>CVE - IP enrichment n/a</t>
        </is>
      </c>
      <c r="T143" s="187" t="n">
        <v>0</v>
      </c>
      <c r="U143" s="187" t="n">
        <v>0</v>
      </c>
      <c r="V143" s="187" t="inlineStr">
        <is>
          <t>T1190:Exploit Public-Facing Application</t>
        </is>
      </c>
      <c r="W143" s="187" t="n">
        <v>1</v>
      </c>
      <c r="X143" s="187" t="inlineStr">
        <is>
          <t>LOW (40%)</t>
        </is>
      </c>
      <c r="Y143" s="187" t="inlineStr">
        <is>
          <t>UNLIKELY</t>
        </is>
      </c>
      <c r="Z143" s="187" t="inlineStr">
        <is>
          <t>CHECK_VENDOR</t>
        </is>
      </c>
      <c r="AA143" s="187" t="inlineStr">
        <is>
          <t>https://nvd.nist.gov/vuln/detail/CVE-2026-2693</t>
        </is>
      </c>
      <c r="AB143" s="187" t="inlineStr">
        <is>
          <t>NONE</t>
        </is>
      </c>
      <c r="AC143" s="187" t="n">
        <v>0</v>
      </c>
      <c r="AD143" s="187" t="inlineStr"/>
    </row>
    <row r="144">
      <c r="A144" s="190" t="inlineStr">
        <is>
          <t>CVE</t>
        </is>
      </c>
      <c r="B144" s="190" t="inlineStr">
        <is>
          <t>CVE-2026-2702</t>
        </is>
      </c>
      <c r="C144" s="190" t="inlineStr">
        <is>
          <t>A security flaw has been discovered in Beetel 777VR1 up to 01.00.09. This issue affects some unknown processing of the component WPA2 PSK. Performing a manipulation results in hard-coded credentials. The attacker must have access to the local network to execute the attack. The complexity of an attack is rather high. The exploitability is assessed as difficult. The exploit has been released to the public and may be used for attacks. The vendor was contacted early about this disclosure but did not</t>
        </is>
      </c>
      <c r="D144" s="190" t="n">
        <v>3.1</v>
      </c>
      <c r="E144" s="190" t="inlineStr">
        <is>
          <t>LOW</t>
        </is>
      </c>
      <c r="F144" s="190" t="n">
        <v>2</v>
      </c>
      <c r="G144" s="190" t="n">
        <v>1</v>
      </c>
      <c r="H144" s="190" t="inlineStr">
        <is>
          <t>LOW</t>
        </is>
      </c>
      <c r="I144" s="190" t="n">
        <v>5.1</v>
      </c>
      <c r="J144" s="190" t="inlineStr">
        <is>
          <t>NO</t>
        </is>
      </c>
      <c r="K144" s="190" t="inlineStr">
        <is>
          <t>https://nvd.nist.gov/vuln/detail/CVE-2026-2702</t>
        </is>
      </c>
      <c r="L144" s="190" t="inlineStr">
        <is>
          <t>2026-02-26 00:15</t>
        </is>
      </c>
      <c r="M144" s="190" t="inlineStr">
        <is>
          <t>CHECK_VENDOR</t>
        </is>
      </c>
      <c r="N144" s="190" t="inlineStr">
        <is>
          <t>See NVD references</t>
        </is>
      </c>
      <c r="O144" s="190" t="inlineStr">
        <is>
          <t>Apply vendor patches</t>
        </is>
      </c>
      <c r="P144" s="190" t="inlineStr">
        <is>
          <t>See CVE details</t>
        </is>
      </c>
      <c r="Q144" s="190" t="inlineStr">
        <is>
          <t>P4</t>
        </is>
      </c>
      <c r="R144" s="190" t="inlineStr">
        <is>
          <t>📅 Schedule patch deployment within 30 days | 🔍 Monitor for exploitation attempts</t>
        </is>
      </c>
      <c r="S144" s="190" t="inlineStr">
        <is>
          <t>CVE - IP enrichment n/a</t>
        </is>
      </c>
      <c r="T144" s="190" t="n">
        <v>0</v>
      </c>
      <c r="U144" s="190" t="n">
        <v>0</v>
      </c>
      <c r="V144" s="190" t="inlineStr">
        <is>
          <t>T1552:Unsecured Credentials</t>
        </is>
      </c>
      <c r="W144" s="190" t="n">
        <v>1</v>
      </c>
      <c r="X144" s="190" t="inlineStr">
        <is>
          <t>LOW (40%)</t>
        </is>
      </c>
      <c r="Y144" s="190" t="inlineStr">
        <is>
          <t>UNLIKELY</t>
        </is>
      </c>
      <c r="Z144" s="190" t="inlineStr">
        <is>
          <t>CHECK_VENDOR</t>
        </is>
      </c>
      <c r="AA144" s="190" t="inlineStr">
        <is>
          <t>https://nvd.nist.gov/vuln/detail/CVE-2026-2702</t>
        </is>
      </c>
      <c r="AB144" s="190" t="inlineStr">
        <is>
          <t>NONE</t>
        </is>
      </c>
      <c r="AC144" s="190" t="n">
        <v>0</v>
      </c>
      <c r="AD144" s="190" t="inlineStr"/>
    </row>
    <row r="145">
      <c r="A145" s="190" t="inlineStr">
        <is>
          <t>CVE</t>
        </is>
      </c>
      <c r="B145" s="190" t="inlineStr">
        <is>
          <t>CVE-2026-2703</t>
        </is>
      </c>
      <c r="C145" s="190" t="inlineStr">
        <is>
          <t>A weakness has been identified in xlnt-community xlnt up to 1.6.1. Impacted is the function xlnt::detail::decode_base64 of the file source/detail/cryptography/base64.cpp of the component Encrypted XLSX File Parser. Executing a manipulation can lead to off-by-one. The attack requires local access. The exploit has been made available to the public and could be used for attacks. This patch is called f2d7bf494e5c52706843cf7eb9892821bffb0734. Applying a patch is advised to resolve this issue.</t>
        </is>
      </c>
      <c r="D145" s="190" t="n">
        <v>3.3</v>
      </c>
      <c r="E145" s="190" t="inlineStr">
        <is>
          <t>LOW</t>
        </is>
      </c>
      <c r="F145" s="190" t="n">
        <v>2</v>
      </c>
      <c r="G145" s="190" t="n">
        <v>1</v>
      </c>
      <c r="H145" s="190" t="inlineStr">
        <is>
          <t>LOW</t>
        </is>
      </c>
      <c r="I145" s="190" t="n">
        <v>5.3</v>
      </c>
      <c r="J145" s="190" t="inlineStr">
        <is>
          <t>NO</t>
        </is>
      </c>
      <c r="K145" s="190" t="inlineStr">
        <is>
          <t>https://nvd.nist.gov/vuln/detail/CVE-2026-2703</t>
        </is>
      </c>
      <c r="L145" s="190" t="inlineStr">
        <is>
          <t>2026-02-26 00:15</t>
        </is>
      </c>
      <c r="M145" s="190" t="inlineStr">
        <is>
          <t>CHECK_VENDOR</t>
        </is>
      </c>
      <c r="N145" s="190" t="inlineStr">
        <is>
          <t>See NVD references</t>
        </is>
      </c>
      <c r="O145" s="190" t="inlineStr">
        <is>
          <t>Apply vendor patches</t>
        </is>
      </c>
      <c r="P145" s="190" t="inlineStr">
        <is>
          <t>See CVE details</t>
        </is>
      </c>
      <c r="Q145" s="190" t="inlineStr">
        <is>
          <t>P4</t>
        </is>
      </c>
      <c r="R145" s="190" t="inlineStr">
        <is>
          <t>📅 Schedule patch deployment within 30 days | 🔍 Monitor for exploitation attempts</t>
        </is>
      </c>
      <c r="S145" s="190" t="inlineStr">
        <is>
          <t>CVE - IP enrichment n/a</t>
        </is>
      </c>
      <c r="T145" s="190" t="n">
        <v>0</v>
      </c>
      <c r="U145" s="190" t="n">
        <v>0</v>
      </c>
      <c r="V145" s="190" t="inlineStr">
        <is>
          <t>T1190:Exploit Public-Facing Application</t>
        </is>
      </c>
      <c r="W145" s="190" t="n">
        <v>1</v>
      </c>
      <c r="X145" s="190" t="inlineStr">
        <is>
          <t>LOW (40%)</t>
        </is>
      </c>
      <c r="Y145" s="190" t="inlineStr">
        <is>
          <t>UNLIKELY</t>
        </is>
      </c>
      <c r="Z145" s="190" t="inlineStr">
        <is>
          <t>CHECK_VENDOR</t>
        </is>
      </c>
      <c r="AA145" s="190" t="inlineStr">
        <is>
          <t>https://nvd.nist.gov/vuln/detail/CVE-2026-2703</t>
        </is>
      </c>
      <c r="AB145" s="190" t="inlineStr">
        <is>
          <t>NONE</t>
        </is>
      </c>
      <c r="AC145" s="190" t="n">
        <v>0</v>
      </c>
      <c r="AD145" s="190" t="inlineStr"/>
    </row>
    <row r="146">
      <c r="A146" s="187" t="inlineStr">
        <is>
          <t>CVE</t>
        </is>
      </c>
      <c r="B146" s="187" t="inlineStr">
        <is>
          <t>CVE-2026-2704</t>
        </is>
      </c>
      <c r="C146" s="187" t="inlineStr">
        <is>
          <t>A security vulnerability has been detected in Open Babel up to 3.1.1. The affected element is the function OpenBabel::transform3d::DescribeAsString of the file src/math/transform3d.cpp of the component CIF File Handler. The manipulation leads to out-of-bounds read. It is possible to initiate the attack remotely. The exploit has been disclosed publicly and may be used. The project was informed of the problem early through an issue report but has not responded yet.</t>
        </is>
      </c>
      <c r="D146" s="187" t="n">
        <v>4.3</v>
      </c>
      <c r="E146" s="187" t="inlineStr">
        <is>
          <t>MEDIUM</t>
        </is>
      </c>
      <c r="F146" s="187" t="n">
        <v>2</v>
      </c>
      <c r="G146" s="187" t="n">
        <v>2</v>
      </c>
      <c r="H146" s="187" t="inlineStr">
        <is>
          <t>MEDIUM</t>
        </is>
      </c>
      <c r="I146" s="187" t="n">
        <v>8.300000000000001</v>
      </c>
      <c r="J146" s="187" t="inlineStr">
        <is>
          <t>NO</t>
        </is>
      </c>
      <c r="K146" s="187" t="inlineStr">
        <is>
          <t>https://nvd.nist.gov/vuln/detail/CVE-2026-2704</t>
        </is>
      </c>
      <c r="L146" s="187" t="inlineStr">
        <is>
          <t>2026-02-26 00:15</t>
        </is>
      </c>
      <c r="M146" s="187" t="inlineStr">
        <is>
          <t>CHECK_VENDOR</t>
        </is>
      </c>
      <c r="N146" s="187" t="inlineStr">
        <is>
          <t>See NVD references</t>
        </is>
      </c>
      <c r="O146" s="187" t="inlineStr">
        <is>
          <t>Apply vendor patches</t>
        </is>
      </c>
      <c r="P146" s="187" t="inlineStr">
        <is>
          <t>openbabel open_babel *</t>
        </is>
      </c>
      <c r="Q146" s="187" t="inlineStr">
        <is>
          <t>P4</t>
        </is>
      </c>
      <c r="R146" s="187" t="inlineStr">
        <is>
          <t>📅 Schedule patch deployment within 30 days | 🔍 Monitor for exploitation attempts</t>
        </is>
      </c>
      <c r="S146" s="187" t="inlineStr">
        <is>
          <t>CVE - IP enrichment n/a</t>
        </is>
      </c>
      <c r="T146" s="187" t="n">
        <v>0</v>
      </c>
      <c r="U146" s="187" t="n">
        <v>0</v>
      </c>
      <c r="V146" s="187" t="inlineStr">
        <is>
          <t>T1203:Exploitation for Client Execution</t>
        </is>
      </c>
      <c r="W146" s="187" t="n">
        <v>1</v>
      </c>
      <c r="X146" s="187" t="inlineStr">
        <is>
          <t>LOW (40%)</t>
        </is>
      </c>
      <c r="Y146" s="187" t="inlineStr">
        <is>
          <t>UNLIKELY</t>
        </is>
      </c>
      <c r="Z146" s="187" t="inlineStr">
        <is>
          <t>CHECK_VENDOR</t>
        </is>
      </c>
      <c r="AA146" s="187" t="inlineStr">
        <is>
          <t>https://nvd.nist.gov/vuln/detail/CVE-2026-2704</t>
        </is>
      </c>
      <c r="AB146" s="187" t="inlineStr">
        <is>
          <t>NONE</t>
        </is>
      </c>
      <c r="AC146" s="187" t="n">
        <v>0</v>
      </c>
      <c r="AD146" s="187" t="inlineStr"/>
    </row>
    <row r="147">
      <c r="A147" s="187" t="inlineStr">
        <is>
          <t>CVE</t>
        </is>
      </c>
      <c r="B147" s="187" t="inlineStr">
        <is>
          <t>CVE-2026-2705</t>
        </is>
      </c>
      <c r="C147" s="187" t="inlineStr">
        <is>
          <t>A vulnerability was detected in Open Babel up to 3.1.1. The impacted element is the function OBAtom::SetFormalCharge in the library include/openbabel/atom.h of the component MOL2 File Handler. The manipulation results in out-of-bounds read. It is possible to launch the attack remotely. The exploit is now public and may be used. The project was informed of the problem early through an issue report but has not responded yet.</t>
        </is>
      </c>
      <c r="D147" s="187" t="n">
        <v>4.3</v>
      </c>
      <c r="E147" s="187" t="inlineStr">
        <is>
          <t>MEDIUM</t>
        </is>
      </c>
      <c r="F147" s="187" t="n">
        <v>2</v>
      </c>
      <c r="G147" s="187" t="n">
        <v>2</v>
      </c>
      <c r="H147" s="187" t="inlineStr">
        <is>
          <t>MEDIUM</t>
        </is>
      </c>
      <c r="I147" s="187" t="n">
        <v>8.300000000000001</v>
      </c>
      <c r="J147" s="187" t="inlineStr">
        <is>
          <t>NO</t>
        </is>
      </c>
      <c r="K147" s="187" t="inlineStr">
        <is>
          <t>https://nvd.nist.gov/vuln/detail/CVE-2026-2705</t>
        </is>
      </c>
      <c r="L147" s="187" t="inlineStr">
        <is>
          <t>2026-02-26 00:15</t>
        </is>
      </c>
      <c r="M147" s="187" t="inlineStr">
        <is>
          <t>CHECK_VENDOR</t>
        </is>
      </c>
      <c r="N147" s="187" t="inlineStr">
        <is>
          <t>See NVD references</t>
        </is>
      </c>
      <c r="O147" s="187" t="inlineStr">
        <is>
          <t>Apply vendor patches</t>
        </is>
      </c>
      <c r="P147" s="187" t="inlineStr">
        <is>
          <t>openbabel open_babel *</t>
        </is>
      </c>
      <c r="Q147" s="187" t="inlineStr">
        <is>
          <t>P4</t>
        </is>
      </c>
      <c r="R147" s="187" t="inlineStr">
        <is>
          <t>📅 Schedule patch deployment within 30 days | 🔍 Monitor for exploitation attempts</t>
        </is>
      </c>
      <c r="S147" s="187" t="inlineStr">
        <is>
          <t>CVE - IP enrichment n/a</t>
        </is>
      </c>
      <c r="T147" s="187" t="n">
        <v>0</v>
      </c>
      <c r="U147" s="187" t="n">
        <v>0</v>
      </c>
      <c r="V147" s="187" t="inlineStr">
        <is>
          <t>T1203:Exploitation for Client Execution</t>
        </is>
      </c>
      <c r="W147" s="187" t="n">
        <v>1</v>
      </c>
      <c r="X147" s="187" t="inlineStr">
        <is>
          <t>LOW (40%)</t>
        </is>
      </c>
      <c r="Y147" s="187" t="inlineStr">
        <is>
          <t>UNLIKELY</t>
        </is>
      </c>
      <c r="Z147" s="187" t="inlineStr">
        <is>
          <t>CHECK_VENDOR</t>
        </is>
      </c>
      <c r="AA147" s="187" t="inlineStr">
        <is>
          <t>https://nvd.nist.gov/vuln/detail/CVE-2026-2705</t>
        </is>
      </c>
      <c r="AB147" s="187" t="inlineStr">
        <is>
          <t>NONE</t>
        </is>
      </c>
      <c r="AC147" s="187" t="n">
        <v>0</v>
      </c>
      <c r="AD147" s="187" t="inlineStr"/>
    </row>
    <row r="148">
      <c r="A148" s="187" t="inlineStr">
        <is>
          <t>CVE</t>
        </is>
      </c>
      <c r="B148" s="187" t="inlineStr">
        <is>
          <t>CVE-2026-2706</t>
        </is>
      </c>
      <c r="C148" s="187" t="inlineStr">
        <is>
          <t>A flaw has been found in code-projects Patient Record Management System 1.0. This affects an unknown function of the file /fecalysis_not.php. This manipulation of the argument comp_id causes sql injection. The attack can be initiated remotely. The exploit has been published and may be used.</t>
        </is>
      </c>
      <c r="D148" s="187" t="n">
        <v>6.3</v>
      </c>
      <c r="E148" s="187" t="inlineStr">
        <is>
          <t>MEDIUM</t>
        </is>
      </c>
      <c r="F148" s="187" t="n">
        <v>2</v>
      </c>
      <c r="G148" s="187" t="n">
        <v>2</v>
      </c>
      <c r="H148" s="187" t="inlineStr">
        <is>
          <t>MEDIUM</t>
        </is>
      </c>
      <c r="I148" s="187" t="n">
        <v>10.3</v>
      </c>
      <c r="J148" s="187" t="inlineStr">
        <is>
          <t>NO</t>
        </is>
      </c>
      <c r="K148" s="187" t="inlineStr">
        <is>
          <t>https://nvd.nist.gov/vuln/detail/CVE-2026-2706</t>
        </is>
      </c>
      <c r="L148" s="187" t="inlineStr">
        <is>
          <t>2026-02-26 00:15</t>
        </is>
      </c>
      <c r="M148" s="187" t="inlineStr">
        <is>
          <t>CHECK_VENDOR</t>
        </is>
      </c>
      <c r="N148" s="187" t="inlineStr">
        <is>
          <t>See NVD references</t>
        </is>
      </c>
      <c r="O148" s="187" t="inlineStr">
        <is>
          <t>Apply vendor patches</t>
        </is>
      </c>
      <c r="P148" s="187" t="inlineStr">
        <is>
          <t>code-projects patient_record_management_system 1.0</t>
        </is>
      </c>
      <c r="Q148" s="187" t="inlineStr">
        <is>
          <t>P4</t>
        </is>
      </c>
      <c r="R148" s="187" t="inlineStr">
        <is>
          <t>📅 Schedule patch deployment within 30 days | 🔍 Monitor for exploitation attempts</t>
        </is>
      </c>
      <c r="S148" s="187" t="inlineStr">
        <is>
          <t>CVE - IP enrichment n/a</t>
        </is>
      </c>
      <c r="T148" s="187" t="n">
        <v>0.0003</v>
      </c>
      <c r="U148" s="187" t="n">
        <v>0.0718</v>
      </c>
      <c r="V148" s="187" t="inlineStr">
        <is>
          <t>T1190:Exploit Public-Facing Application</t>
        </is>
      </c>
      <c r="W148" s="187" t="n">
        <v>1</v>
      </c>
      <c r="X148" s="187" t="inlineStr">
        <is>
          <t>LOW (40%)</t>
        </is>
      </c>
      <c r="Y148" s="187" t="inlineStr">
        <is>
          <t>UNLIKELY</t>
        </is>
      </c>
      <c r="Z148" s="187" t="inlineStr">
        <is>
          <t>CHECK_VENDOR</t>
        </is>
      </c>
      <c r="AA148" s="187" t="inlineStr">
        <is>
          <t>https://nvd.nist.gov/vuln/detail/CVE-2026-2706</t>
        </is>
      </c>
      <c r="AB148" s="187" t="inlineStr">
        <is>
          <t>NONE</t>
        </is>
      </c>
      <c r="AC148" s="187" t="n">
        <v>0</v>
      </c>
      <c r="AD148" s="187" t="inlineStr"/>
    </row>
    <row r="149">
      <c r="A149" s="190" t="inlineStr">
        <is>
          <t>CVE</t>
        </is>
      </c>
      <c r="B149" s="190" t="inlineStr">
        <is>
          <t>CVE-2026-2709</t>
        </is>
      </c>
      <c r="C149" s="190" t="inlineStr">
        <is>
          <t>A flaw has been found in busy up to 2.5.5. The affected element is an unknown function of the file source-code/busy-master/src/server/app.js of the component Callback Handler. Executing a manipulation of the argument state can lead to open redirect. It is possible to launch the attack remotely. The exploit has been published and may be used. The project was informed of the problem early through an issue report but has not responded yet.</t>
        </is>
      </c>
      <c r="D149" s="190" t="n">
        <v>3.5</v>
      </c>
      <c r="E149" s="190" t="inlineStr">
        <is>
          <t>LOW</t>
        </is>
      </c>
      <c r="F149" s="190" t="n">
        <v>2</v>
      </c>
      <c r="G149" s="190" t="n">
        <v>1</v>
      </c>
      <c r="H149" s="190" t="inlineStr">
        <is>
          <t>LOW</t>
        </is>
      </c>
      <c r="I149" s="190" t="n">
        <v>5.5</v>
      </c>
      <c r="J149" s="190" t="inlineStr">
        <is>
          <t>NO</t>
        </is>
      </c>
      <c r="K149" s="190" t="inlineStr">
        <is>
          <t>https://nvd.nist.gov/vuln/detail/CVE-2026-2709</t>
        </is>
      </c>
      <c r="L149" s="190" t="inlineStr">
        <is>
          <t>2026-02-26 00:15</t>
        </is>
      </c>
      <c r="M149" s="190" t="inlineStr">
        <is>
          <t>CHECK_VENDOR</t>
        </is>
      </c>
      <c r="N149" s="190" t="inlineStr">
        <is>
          <t>See NVD references</t>
        </is>
      </c>
      <c r="O149" s="190" t="inlineStr">
        <is>
          <t>Apply vendor patches</t>
        </is>
      </c>
      <c r="P149" s="190" t="inlineStr">
        <is>
          <t>See CVE details</t>
        </is>
      </c>
      <c r="Q149" s="190" t="inlineStr">
        <is>
          <t>P4</t>
        </is>
      </c>
      <c r="R149" s="190" t="inlineStr">
        <is>
          <t>📅 Schedule patch deployment within 30 days | 🔍 Monitor for exploitation attempts</t>
        </is>
      </c>
      <c r="S149" s="190" t="inlineStr">
        <is>
          <t>CVE - IP enrichment n/a</t>
        </is>
      </c>
      <c r="T149" s="190" t="n">
        <v>0</v>
      </c>
      <c r="U149" s="190" t="n">
        <v>0</v>
      </c>
      <c r="V149" s="190" t="inlineStr">
        <is>
          <t>T1189:Drive-by Compromise | T1190:Exploit Public-Facing Application</t>
        </is>
      </c>
      <c r="W149" s="190" t="n">
        <v>1</v>
      </c>
      <c r="X149" s="190" t="inlineStr">
        <is>
          <t>LOW (40%)</t>
        </is>
      </c>
      <c r="Y149" s="190" t="inlineStr">
        <is>
          <t>UNLIKELY</t>
        </is>
      </c>
      <c r="Z149" s="190" t="inlineStr">
        <is>
          <t>CHECK_VENDOR</t>
        </is>
      </c>
      <c r="AA149" s="190" t="inlineStr">
        <is>
          <t>https://nvd.nist.gov/vuln/detail/CVE-2026-2709</t>
        </is>
      </c>
      <c r="AB149" s="190" t="inlineStr">
        <is>
          <t>NONE</t>
        </is>
      </c>
      <c r="AC149" s="190" t="n">
        <v>0</v>
      </c>
      <c r="AD149" s="190" t="inlineStr"/>
    </row>
    <row r="150">
      <c r="A150" s="188" t="inlineStr">
        <is>
          <t>CVE</t>
        </is>
      </c>
      <c r="B150" s="188" t="inlineStr">
        <is>
          <t>CVE-2026-2731</t>
        </is>
      </c>
      <c r="C150" s="188" t="inlineStr">
        <is>
          <t>Path traversal and content injection in JobRunnerBackground.aspx in DynamicWeb 8 (all) and 9 (&lt;9.19.7 and &lt;9.20.3) allows unauthenticated attackers to execute code via simple web requests</t>
        </is>
      </c>
      <c r="D150" s="188" t="n">
        <v>8.5</v>
      </c>
      <c r="E150" s="188" t="inlineStr">
        <is>
          <t>HIGH</t>
        </is>
      </c>
      <c r="F150" s="188" t="n">
        <v>2</v>
      </c>
      <c r="G150" s="188" t="n">
        <v>3</v>
      </c>
      <c r="H150" s="188" t="inlineStr">
        <is>
          <t>HIGH</t>
        </is>
      </c>
      <c r="I150" s="188" t="n">
        <v>14.5</v>
      </c>
      <c r="J150" s="188" t="inlineStr">
        <is>
          <t>NO</t>
        </is>
      </c>
      <c r="K150" s="188" t="inlineStr">
        <is>
          <t>https://nvd.nist.gov/vuln/detail/CVE-2026-2731</t>
        </is>
      </c>
      <c r="L150" s="188" t="inlineStr">
        <is>
          <t>2026-02-26 00:15</t>
        </is>
      </c>
      <c r="M150" s="188" t="inlineStr">
        <is>
          <t>CHECK_VENDOR</t>
        </is>
      </c>
      <c r="N150" s="188" t="inlineStr">
        <is>
          <t>See NVD references</t>
        </is>
      </c>
      <c r="O150" s="188" t="inlineStr">
        <is>
          <t>Apply vendor patches</t>
        </is>
      </c>
      <c r="P150" s="188" t="inlineStr">
        <is>
          <t>See CVE details</t>
        </is>
      </c>
      <c r="Q150" s="188" t="inlineStr">
        <is>
          <t>P3</t>
        </is>
      </c>
      <c r="R150" s="188" t="inlineStr">
        <is>
          <t>🚨 URGENT: Apply vendor patches immediately | 🔒 Isolate affected systems if patch unavailable | 🛡️ Enable additional monitoring/IDS rules</t>
        </is>
      </c>
      <c r="S150" s="188" t="inlineStr">
        <is>
          <t>CVE - IP enrichment n/a</t>
        </is>
      </c>
      <c r="T150" s="188" t="n">
        <v>0</v>
      </c>
      <c r="U150" s="188" t="n">
        <v>0</v>
      </c>
      <c r="V150" s="188" t="inlineStr">
        <is>
          <t>T1083:File and Directory Discovery</t>
        </is>
      </c>
      <c r="W150" s="188" t="n">
        <v>1</v>
      </c>
      <c r="X150" s="188" t="inlineStr">
        <is>
          <t>LOW (40%)</t>
        </is>
      </c>
      <c r="Y150" s="188" t="inlineStr">
        <is>
          <t>UNLIKELY</t>
        </is>
      </c>
      <c r="Z150" s="188" t="inlineStr">
        <is>
          <t>CHECK_VENDOR</t>
        </is>
      </c>
      <c r="AA150" s="188" t="inlineStr">
        <is>
          <t>https://nvd.nist.gov/vuln/detail/CVE-2026-2731</t>
        </is>
      </c>
      <c r="AB150" s="188" t="inlineStr">
        <is>
          <t>NONE</t>
        </is>
      </c>
      <c r="AC150" s="188" t="n">
        <v>0</v>
      </c>
      <c r="AD150" s="188" t="inlineStr"/>
    </row>
    <row r="151">
      <c r="A151" s="187" t="inlineStr">
        <is>
          <t>CVE</t>
        </is>
      </c>
      <c r="B151" s="187" t="inlineStr">
        <is>
          <t>CVE-2026-2711</t>
        </is>
      </c>
      <c r="C151" s="187" t="inlineStr">
        <is>
          <t>A vulnerability has been found in zhutoutoutousan worldquant-miner up to 1.0.9. The impacted element is an unknown function of the file worldquant-miner-master/agent-dify-api/core/helper/ssrf_proxy.py of the component URL Handler. The manipulation of the argument make_request leads to server-side request forgery. The attack can be initiated remotely. The attack's complexity is rated as high. The exploitability is regarded as difficult. The exploit has been disclosed to the public and may be used</t>
        </is>
      </c>
      <c r="D151" s="187" t="n">
        <v>5.6</v>
      </c>
      <c r="E151" s="187" t="inlineStr">
        <is>
          <t>MEDIUM</t>
        </is>
      </c>
      <c r="F151" s="187" t="n">
        <v>2</v>
      </c>
      <c r="G151" s="187" t="n">
        <v>2</v>
      </c>
      <c r="H151" s="187" t="inlineStr">
        <is>
          <t>MEDIUM</t>
        </is>
      </c>
      <c r="I151" s="187" t="n">
        <v>9.6</v>
      </c>
      <c r="J151" s="187" t="inlineStr">
        <is>
          <t>NO</t>
        </is>
      </c>
      <c r="K151" s="187" t="inlineStr">
        <is>
          <t>https://nvd.nist.gov/vuln/detail/CVE-2026-2711</t>
        </is>
      </c>
      <c r="L151" s="187" t="inlineStr">
        <is>
          <t>2026-02-26 00:15</t>
        </is>
      </c>
      <c r="M151" s="187" t="inlineStr">
        <is>
          <t>CHECK_VENDOR</t>
        </is>
      </c>
      <c r="N151" s="187" t="inlineStr">
        <is>
          <t>See NVD references</t>
        </is>
      </c>
      <c r="O151" s="187" t="inlineStr">
        <is>
          <t>Apply vendor patches</t>
        </is>
      </c>
      <c r="P151" s="187" t="inlineStr">
        <is>
          <t>See CVE details</t>
        </is>
      </c>
      <c r="Q151" s="187" t="inlineStr">
        <is>
          <t>P4</t>
        </is>
      </c>
      <c r="R151" s="187" t="inlineStr">
        <is>
          <t>📅 Schedule patch deployment within 30 days | 🔍 Monitor for exploitation attempts</t>
        </is>
      </c>
      <c r="S151" s="187" t="inlineStr">
        <is>
          <t>CVE - IP enrichment n/a</t>
        </is>
      </c>
      <c r="T151" s="187" t="n">
        <v>0</v>
      </c>
      <c r="U151" s="187" t="n">
        <v>0</v>
      </c>
      <c r="V151" s="187" t="inlineStr">
        <is>
          <t>T1090:Proxy</t>
        </is>
      </c>
      <c r="W151" s="187" t="n">
        <v>1</v>
      </c>
      <c r="X151" s="187" t="inlineStr">
        <is>
          <t>LOW (40%)</t>
        </is>
      </c>
      <c r="Y151" s="187" t="inlineStr">
        <is>
          <t>UNLIKELY</t>
        </is>
      </c>
      <c r="Z151" s="187" t="inlineStr">
        <is>
          <t>CHECK_VENDOR</t>
        </is>
      </c>
      <c r="AA151" s="187" t="inlineStr">
        <is>
          <t>https://nvd.nist.gov/vuln/detail/CVE-2026-2711</t>
        </is>
      </c>
      <c r="AB151" s="187" t="inlineStr">
        <is>
          <t>NONE</t>
        </is>
      </c>
      <c r="AC151" s="187" t="n">
        <v>0</v>
      </c>
      <c r="AD151" s="187" t="inlineStr"/>
    </row>
    <row r="152">
      <c r="A152" s="190" t="inlineStr">
        <is>
          <t>CVE</t>
        </is>
      </c>
      <c r="B152" s="190" t="inlineStr">
        <is>
          <t>CVE-2026-2733</t>
        </is>
      </c>
      <c r="C152" s="190" t="inlineStr">
        <is>
          <t>A flaw was identified in the Docker v2 authentication endpoint of Keycloak, where tokens continue to be issued even after a Docker registry client has been administratively disabled. This means that turning the client “Enabled” setting to OFF does not fully prevent access. As a result, previously valid credentials can still be used to obtain authentication tokens. This weakens administrative controls and could allow unintended access to container registry resources.</t>
        </is>
      </c>
      <c r="D152" s="190" t="n">
        <v>3.8</v>
      </c>
      <c r="E152" s="190" t="inlineStr">
        <is>
          <t>LOW</t>
        </is>
      </c>
      <c r="F152" s="190" t="n">
        <v>2</v>
      </c>
      <c r="G152" s="190" t="n">
        <v>1</v>
      </c>
      <c r="H152" s="190" t="inlineStr">
        <is>
          <t>LOW</t>
        </is>
      </c>
      <c r="I152" s="190" t="n">
        <v>5.8</v>
      </c>
      <c r="J152" s="190" t="inlineStr">
        <is>
          <t>NO</t>
        </is>
      </c>
      <c r="K152" s="190" t="inlineStr">
        <is>
          <t>https://nvd.nist.gov/vuln/detail/CVE-2026-2733</t>
        </is>
      </c>
      <c r="L152" s="190" t="inlineStr">
        <is>
          <t>2026-02-26 00:15</t>
        </is>
      </c>
      <c r="M152" s="190" t="inlineStr">
        <is>
          <t>CHECK_VENDOR</t>
        </is>
      </c>
      <c r="N152" s="190" t="inlineStr">
        <is>
          <t>See NVD references</t>
        </is>
      </c>
      <c r="O152" s="190" t="inlineStr">
        <is>
          <t>Apply vendor patches</t>
        </is>
      </c>
      <c r="P152" s="190" t="inlineStr">
        <is>
          <t>See CVE details</t>
        </is>
      </c>
      <c r="Q152" s="190" t="inlineStr">
        <is>
          <t>P4</t>
        </is>
      </c>
      <c r="R152" s="190" t="inlineStr">
        <is>
          <t>📅 Schedule patch deployment within 30 days | 🔍 Monitor for exploitation attempts</t>
        </is>
      </c>
      <c r="S152" s="190" t="inlineStr">
        <is>
          <t>CVE - IP enrichment n/a</t>
        </is>
      </c>
      <c r="T152" s="190" t="n">
        <v>0</v>
      </c>
      <c r="U152" s="190" t="n">
        <v>0</v>
      </c>
      <c r="V152" s="190" t="inlineStr">
        <is>
          <t>T1190:Exploit Public-Facing Application | T1552:Unsecured Credentials</t>
        </is>
      </c>
      <c r="W152" s="190" t="n">
        <v>1</v>
      </c>
      <c r="X152" s="190" t="inlineStr">
        <is>
          <t>LOW (40%)</t>
        </is>
      </c>
      <c r="Y152" s="190" t="inlineStr">
        <is>
          <t>UNLIKELY</t>
        </is>
      </c>
      <c r="Z152" s="190" t="inlineStr">
        <is>
          <t>CHECK_VENDOR</t>
        </is>
      </c>
      <c r="AA152" s="190" t="inlineStr">
        <is>
          <t>https://nvd.nist.gov/vuln/detail/CVE-2026-2733</t>
        </is>
      </c>
      <c r="AB152" s="190" t="inlineStr">
        <is>
          <t>NONE</t>
        </is>
      </c>
      <c r="AC152" s="190" t="n">
        <v>0</v>
      </c>
      <c r="AD152" s="190" t="inlineStr"/>
    </row>
    <row r="153">
      <c r="A153" s="187" t="inlineStr">
        <is>
          <t>CVE</t>
        </is>
      </c>
      <c r="B153" s="187" t="inlineStr">
        <is>
          <t>CVE-2025-40697</t>
        </is>
      </c>
      <c r="C153" s="187" t="inlineStr">
        <is>
          <t>Reflected Cross-Site Scripting (XSS) vulnerability in '/index.php' in Lewe WebMeasure, which allows remote attackers to execute arbitrary code through the 'page' parameter. This vulnerability can be exploited to steal sensitive user data, such as session cookies, or to perform actions on behalf of the user.</t>
        </is>
      </c>
      <c r="D153" s="187" t="n">
        <v>5</v>
      </c>
      <c r="E153" s="187" t="inlineStr">
        <is>
          <t>MEDIUM</t>
        </is>
      </c>
      <c r="F153" s="187" t="n">
        <v>2</v>
      </c>
      <c r="G153" s="187" t="n">
        <v>2</v>
      </c>
      <c r="H153" s="187" t="inlineStr">
        <is>
          <t>MEDIUM</t>
        </is>
      </c>
      <c r="I153" s="187" t="n">
        <v>9</v>
      </c>
      <c r="J153" s="187" t="inlineStr">
        <is>
          <t>NO</t>
        </is>
      </c>
      <c r="K153" s="187" t="inlineStr">
        <is>
          <t>https://nvd.nist.gov/vuln/detail/CVE-2025-40697</t>
        </is>
      </c>
      <c r="L153" s="187" t="inlineStr">
        <is>
          <t>2026-02-26 00:15</t>
        </is>
      </c>
      <c r="M153" s="187" t="inlineStr">
        <is>
          <t>CHECK_VENDOR</t>
        </is>
      </c>
      <c r="N153" s="187" t="inlineStr">
        <is>
          <t>See NVD references</t>
        </is>
      </c>
      <c r="O153" s="187" t="inlineStr">
        <is>
          <t>Apply vendor patches</t>
        </is>
      </c>
      <c r="P153" s="187" t="inlineStr">
        <is>
          <t>See CVE details</t>
        </is>
      </c>
      <c r="Q153" s="187" t="inlineStr">
        <is>
          <t>P4</t>
        </is>
      </c>
      <c r="R153" s="187" t="inlineStr">
        <is>
          <t>📅 Schedule patch deployment within 30 days | 🔍 Monitor for exploitation attempts</t>
        </is>
      </c>
      <c r="S153" s="187" t="inlineStr">
        <is>
          <t>CVE - IP enrichment n/a</t>
        </is>
      </c>
      <c r="T153" s="187" t="n">
        <v>0</v>
      </c>
      <c r="U153" s="187" t="n">
        <v>0</v>
      </c>
      <c r="V153" s="187" t="inlineStr">
        <is>
          <t>T1189:Drive-by Compromise | T1203:Exploitation for Client Execution</t>
        </is>
      </c>
      <c r="W153" s="187" t="n">
        <v>1</v>
      </c>
      <c r="X153" s="187" t="inlineStr">
        <is>
          <t>LOW (40%)</t>
        </is>
      </c>
      <c r="Y153" s="187" t="inlineStr">
        <is>
          <t>UNLIKELY</t>
        </is>
      </c>
      <c r="Z153" s="187" t="inlineStr">
        <is>
          <t>CHECK_VENDOR</t>
        </is>
      </c>
      <c r="AA153" s="187" t="inlineStr">
        <is>
          <t>https://nvd.nist.gov/vuln/detail/CVE-2025-40697</t>
        </is>
      </c>
      <c r="AB153" s="187" t="inlineStr">
        <is>
          <t>NONE</t>
        </is>
      </c>
      <c r="AC153" s="187" t="n">
        <v>0</v>
      </c>
      <c r="AD153" s="187" t="inlineStr"/>
    </row>
    <row r="154">
      <c r="A154" s="187" t="inlineStr">
        <is>
          <t>CVE</t>
        </is>
      </c>
      <c r="B154" s="187" t="inlineStr">
        <is>
          <t>CVE-2025-41023</t>
        </is>
      </c>
      <c r="C154" s="187" t="inlineStr">
        <is>
          <t>An authentication bypass vulnerability has been found in Thesamur's AutoGPT. This vulnerability allows an attacker to bypass authentication mechanisms. Once inside the web application, the attacker can use any of its features regardless of the authorisation method used.</t>
        </is>
      </c>
      <c r="D154" s="187" t="n">
        <v>5</v>
      </c>
      <c r="E154" s="187" t="inlineStr">
        <is>
          <t>MEDIUM</t>
        </is>
      </c>
      <c r="F154" s="187" t="n">
        <v>2</v>
      </c>
      <c r="G154" s="187" t="n">
        <v>2</v>
      </c>
      <c r="H154" s="187" t="inlineStr">
        <is>
          <t>MEDIUM</t>
        </is>
      </c>
      <c r="I154" s="187" t="n">
        <v>9</v>
      </c>
      <c r="J154" s="187" t="inlineStr">
        <is>
          <t>NO</t>
        </is>
      </c>
      <c r="K154" s="187" t="inlineStr">
        <is>
          <t>https://nvd.nist.gov/vuln/detail/CVE-2025-41023</t>
        </is>
      </c>
      <c r="L154" s="187" t="inlineStr">
        <is>
          <t>2026-02-26 00:15</t>
        </is>
      </c>
      <c r="M154" s="187" t="inlineStr">
        <is>
          <t>CHECK_VENDOR</t>
        </is>
      </c>
      <c r="N154" s="187" t="inlineStr">
        <is>
          <t>See NVD references</t>
        </is>
      </c>
      <c r="O154" s="187" t="inlineStr">
        <is>
          <t>Apply vendor patches</t>
        </is>
      </c>
      <c r="P154" s="187" t="inlineStr">
        <is>
          <t>See CVE details</t>
        </is>
      </c>
      <c r="Q154" s="187" t="inlineStr">
        <is>
          <t>P4</t>
        </is>
      </c>
      <c r="R154" s="187" t="inlineStr">
        <is>
          <t>📅 Schedule patch deployment within 30 days | 🔍 Monitor for exploitation attempts</t>
        </is>
      </c>
      <c r="S154" s="187" t="inlineStr">
        <is>
          <t>CVE - IP enrichment n/a</t>
        </is>
      </c>
      <c r="T154" s="187" t="n">
        <v>0</v>
      </c>
      <c r="U154" s="187" t="n">
        <v>0</v>
      </c>
      <c r="V154" s="187" t="inlineStr">
        <is>
          <t>T1078:Valid Accounts | T1110:Brute Force</t>
        </is>
      </c>
      <c r="W154" s="187" t="n">
        <v>1</v>
      </c>
      <c r="X154" s="187" t="inlineStr">
        <is>
          <t>LOW (40%)</t>
        </is>
      </c>
      <c r="Y154" s="187" t="inlineStr">
        <is>
          <t>UNLIKELY</t>
        </is>
      </c>
      <c r="Z154" s="187" t="inlineStr">
        <is>
          <t>CHECK_VENDOR</t>
        </is>
      </c>
      <c r="AA154" s="187" t="inlineStr">
        <is>
          <t>https://nvd.nist.gov/vuln/detail/CVE-2025-41023</t>
        </is>
      </c>
      <c r="AB154" s="187" t="inlineStr">
        <is>
          <t>NONE</t>
        </is>
      </c>
      <c r="AC154" s="187" t="n">
        <v>0</v>
      </c>
      <c r="AD154" s="187" t="inlineStr"/>
    </row>
    <row r="155">
      <c r="A155" s="187" t="inlineStr">
        <is>
          <t>CVE</t>
        </is>
      </c>
      <c r="B155" s="187" t="inlineStr">
        <is>
          <t>CVE-2026-22269</t>
        </is>
      </c>
      <c r="C155" s="187" t="inlineStr">
        <is>
          <t>Dell PowerProtect Data Manager, version(s) prior to 19.22, contain(s) an Improper Verification of Source of a Communication Channel vulnerability in the REST API. A high privileged attacker with remote access could potentially exploit this vulnerability, leading to protection mechanism bypass.</t>
        </is>
      </c>
      <c r="D155" s="187" t="n">
        <v>4.7</v>
      </c>
      <c r="E155" s="187" t="inlineStr">
        <is>
          <t>MEDIUM</t>
        </is>
      </c>
      <c r="F155" s="187" t="n">
        <v>2</v>
      </c>
      <c r="G155" s="187" t="n">
        <v>2</v>
      </c>
      <c r="H155" s="187" t="inlineStr">
        <is>
          <t>MEDIUM</t>
        </is>
      </c>
      <c r="I155" s="187" t="n">
        <v>8.699999999999999</v>
      </c>
      <c r="J155" s="187" t="inlineStr">
        <is>
          <t>NO</t>
        </is>
      </c>
      <c r="K155" s="187" t="inlineStr">
        <is>
          <t>https://nvd.nist.gov/vuln/detail/CVE-2026-22269</t>
        </is>
      </c>
      <c r="L155" s="187" t="inlineStr">
        <is>
          <t>2026-02-26 00:15</t>
        </is>
      </c>
      <c r="M155" s="187" t="inlineStr">
        <is>
          <t>YES</t>
        </is>
      </c>
      <c r="N155" s="187" t="inlineStr">
        <is>
          <t>https://www.dell.com/support/kbdoc/en-us/000429778/dsa-2026-046-security-update-for-dell-powerprotect-data-manager-multiple-vulnerabilities</t>
        </is>
      </c>
      <c r="O155" s="187" t="inlineStr">
        <is>
          <t>Apply vendor patches</t>
        </is>
      </c>
      <c r="P155" s="187" t="inlineStr">
        <is>
          <t>dell powerprotect_data_manager *</t>
        </is>
      </c>
      <c r="Q155" s="187" t="inlineStr">
        <is>
          <t>P4</t>
        </is>
      </c>
      <c r="R155" s="187" t="inlineStr">
        <is>
          <t>📅 Schedule patch deployment within 30 days | 🔍 Monitor for exploitation attempts</t>
        </is>
      </c>
      <c r="S155" s="187" t="inlineStr">
        <is>
          <t>CVE - IP enrichment n/a</t>
        </is>
      </c>
      <c r="T155" s="187" t="n">
        <v>0</v>
      </c>
      <c r="U155" s="187" t="n">
        <v>0</v>
      </c>
      <c r="V155" s="187" t="inlineStr">
        <is>
          <t>T1190:Exploit Public-Facing Application</t>
        </is>
      </c>
      <c r="W155" s="187" t="n">
        <v>1</v>
      </c>
      <c r="X155" s="187" t="inlineStr">
        <is>
          <t>LOW (40%)</t>
        </is>
      </c>
      <c r="Y155" s="187" t="inlineStr">
        <is>
          <t>UNLIKELY</t>
        </is>
      </c>
      <c r="Z155" s="187" t="inlineStr">
        <is>
          <t>PATCH_AVAILABLE</t>
        </is>
      </c>
      <c r="AA155" s="187" t="inlineStr">
        <is>
          <t>https://nvd.nist.gov/vuln/detail/CVE-2026-22269</t>
        </is>
      </c>
      <c r="AB155" s="187" t="inlineStr">
        <is>
          <t>NONE</t>
        </is>
      </c>
      <c r="AC155" s="187" t="n">
        <v>0</v>
      </c>
      <c r="AD155" s="187" t="inlineStr"/>
    </row>
    <row r="156">
      <c r="A156" s="188" t="inlineStr">
        <is>
          <t>CVE</t>
        </is>
      </c>
      <c r="B156" s="188" t="inlineStr">
        <is>
          <t>CVE-2026-22333</t>
        </is>
      </c>
      <c r="C156" s="188" t="inlineStr">
        <is>
          <t>Deserialization of Untrusted Data vulnerability in YITHEMES YITH WooCommerce Compare yith-woocommerce-compare allows Object Injection.This issue affects YITH WooCommerce Compare: from n/a through &lt;= 3.6.0.</t>
        </is>
      </c>
      <c r="D156" s="188" t="n">
        <v>7.2</v>
      </c>
      <c r="E156" s="188" t="inlineStr">
        <is>
          <t>HIGH</t>
        </is>
      </c>
      <c r="F156" s="188" t="n">
        <v>2</v>
      </c>
      <c r="G156" s="188" t="n">
        <v>3</v>
      </c>
      <c r="H156" s="188" t="inlineStr">
        <is>
          <t>HIGH</t>
        </is>
      </c>
      <c r="I156" s="188" t="n">
        <v>13.2</v>
      </c>
      <c r="J156" s="188" t="inlineStr">
        <is>
          <t>NO</t>
        </is>
      </c>
      <c r="K156" s="188" t="inlineStr">
        <is>
          <t>https://nvd.nist.gov/vuln/detail/CVE-2026-22333</t>
        </is>
      </c>
      <c r="L156" s="188" t="inlineStr">
        <is>
          <t>2026-02-26 00:15</t>
        </is>
      </c>
      <c r="M156" s="188" t="inlineStr">
        <is>
          <t>CHECK_VENDOR</t>
        </is>
      </c>
      <c r="N156" s="188" t="inlineStr">
        <is>
          <t>See NVD references</t>
        </is>
      </c>
      <c r="O156" s="188" t="inlineStr">
        <is>
          <t>Apply vendor patches</t>
        </is>
      </c>
      <c r="P156" s="188" t="inlineStr">
        <is>
          <t>See CVE details</t>
        </is>
      </c>
      <c r="Q156" s="188" t="inlineStr">
        <is>
          <t>P3</t>
        </is>
      </c>
      <c r="R156" s="188" t="inlineStr">
        <is>
          <t>🚨 URGENT: Apply vendor patches immediately | 🔒 Isolate affected systems if patch unavailable | 🛡️ Enable additional monitoring/IDS rules</t>
        </is>
      </c>
      <c r="S156" s="188" t="inlineStr">
        <is>
          <t>CVE - IP enrichment n/a</t>
        </is>
      </c>
      <c r="T156" s="188" t="n">
        <v>0.0005999999999999999</v>
      </c>
      <c r="U156" s="188" t="n">
        <v>0.1814</v>
      </c>
      <c r="V156" s="188" t="inlineStr">
        <is>
          <t>T1059:Command and Scripting Interpreter | T1190:Exploit Public-Facing Application</t>
        </is>
      </c>
      <c r="W156" s="188" t="n">
        <v>1</v>
      </c>
      <c r="X156" s="188" t="inlineStr">
        <is>
          <t>LOW (40%)</t>
        </is>
      </c>
      <c r="Y156" s="188" t="inlineStr">
        <is>
          <t>UNLIKELY</t>
        </is>
      </c>
      <c r="Z156" s="188" t="inlineStr">
        <is>
          <t>CHECK_VENDOR</t>
        </is>
      </c>
      <c r="AA156" s="188" t="inlineStr">
        <is>
          <t>https://nvd.nist.gov/vuln/detail/CVE-2026-22333</t>
        </is>
      </c>
      <c r="AB156" s="188" t="inlineStr">
        <is>
          <t>NONE</t>
        </is>
      </c>
      <c r="AC156" s="188" t="n">
        <v>0</v>
      </c>
      <c r="AD156" s="188" t="inlineStr"/>
    </row>
    <row r="157">
      <c r="A157" s="187" t="inlineStr">
        <is>
          <t>CVE</t>
        </is>
      </c>
      <c r="B157" s="187" t="inlineStr">
        <is>
          <t>CVE-2026-22422</t>
        </is>
      </c>
      <c r="C157" s="187" t="inlineStr">
        <is>
          <t>Improper Neutralization of Script-Related HTML Tags in a Web Page (Basic XSS) vulnerability in wpeverest Everest Forms everest-forms allows Code Injection.This issue affects Everest Forms: from n/a through &lt;= 3.4.1.</t>
        </is>
      </c>
      <c r="D157" s="187" t="n">
        <v>5.3</v>
      </c>
      <c r="E157" s="187" t="inlineStr">
        <is>
          <t>MEDIUM</t>
        </is>
      </c>
      <c r="F157" s="187" t="n">
        <v>2</v>
      </c>
      <c r="G157" s="187" t="n">
        <v>2</v>
      </c>
      <c r="H157" s="187" t="inlineStr">
        <is>
          <t>MEDIUM</t>
        </is>
      </c>
      <c r="I157" s="187" t="n">
        <v>9.300000000000001</v>
      </c>
      <c r="J157" s="187" t="inlineStr">
        <is>
          <t>NO</t>
        </is>
      </c>
      <c r="K157" s="187" t="inlineStr">
        <is>
          <t>https://nvd.nist.gov/vuln/detail/CVE-2026-22422</t>
        </is>
      </c>
      <c r="L157" s="187" t="inlineStr">
        <is>
          <t>2026-02-26 00:15</t>
        </is>
      </c>
      <c r="M157" s="187" t="inlineStr">
        <is>
          <t>CHECK_VENDOR</t>
        </is>
      </c>
      <c r="N157" s="187" t="inlineStr">
        <is>
          <t>See NVD references</t>
        </is>
      </c>
      <c r="O157" s="187" t="inlineStr">
        <is>
          <t>Apply vendor patches</t>
        </is>
      </c>
      <c r="P157" s="187" t="inlineStr">
        <is>
          <t>See CVE details</t>
        </is>
      </c>
      <c r="Q157" s="187" t="inlineStr">
        <is>
          <t>P4</t>
        </is>
      </c>
      <c r="R157" s="187" t="inlineStr">
        <is>
          <t>📅 Schedule patch deployment within 30 days | 🔍 Monitor for exploitation attempts</t>
        </is>
      </c>
      <c r="S157" s="187" t="inlineStr">
        <is>
          <t>CVE - IP enrichment n/a</t>
        </is>
      </c>
      <c r="T157" s="187" t="n">
        <v>0</v>
      </c>
      <c r="U157" s="187" t="n">
        <v>0</v>
      </c>
      <c r="V157" s="187" t="inlineStr">
        <is>
          <t>T1189:Drive-by Compromise</t>
        </is>
      </c>
      <c r="W157" s="187" t="n">
        <v>1</v>
      </c>
      <c r="X157" s="187" t="inlineStr">
        <is>
          <t>LOW (40%)</t>
        </is>
      </c>
      <c r="Y157" s="187" t="inlineStr">
        <is>
          <t>UNLIKELY</t>
        </is>
      </c>
      <c r="Z157" s="187" t="inlineStr">
        <is>
          <t>CHECK_VENDOR</t>
        </is>
      </c>
      <c r="AA157" s="187" t="inlineStr">
        <is>
          <t>https://nvd.nist.gov/vuln/detail/CVE-2026-22422</t>
        </is>
      </c>
      <c r="AB157" s="187" t="inlineStr">
        <is>
          <t>NONE</t>
        </is>
      </c>
      <c r="AC157" s="187" t="n">
        <v>0</v>
      </c>
      <c r="AD157" s="187" t="inlineStr"/>
    </row>
    <row r="158">
      <c r="A158" s="187" t="inlineStr">
        <is>
          <t>CVE</t>
        </is>
      </c>
      <c r="B158" s="187" t="inlineStr">
        <is>
          <t>CVE-2026-23541</t>
        </is>
      </c>
      <c r="C158" s="187" t="inlineStr">
        <is>
          <t>Missing Authorization vulnerability in WPFunnels Mail Mint mail-mint allows Accessing Functionality Not Properly Constrained by ACLs.This issue affects Mail Mint: from n/a through &lt;= 1.19.4.</t>
        </is>
      </c>
      <c r="D158" s="187" t="n">
        <v>5</v>
      </c>
      <c r="E158" s="187" t="inlineStr">
        <is>
          <t>MEDIUM</t>
        </is>
      </c>
      <c r="F158" s="187" t="n">
        <v>2</v>
      </c>
      <c r="G158" s="187" t="n">
        <v>2</v>
      </c>
      <c r="H158" s="187" t="inlineStr">
        <is>
          <t>MEDIUM</t>
        </is>
      </c>
      <c r="I158" s="187" t="n">
        <v>9</v>
      </c>
      <c r="J158" s="187" t="inlineStr">
        <is>
          <t>NO</t>
        </is>
      </c>
      <c r="K158" s="187" t="inlineStr">
        <is>
          <t>https://nvd.nist.gov/vuln/detail/CVE-2026-23541</t>
        </is>
      </c>
      <c r="L158" s="187" t="inlineStr">
        <is>
          <t>2026-02-26 00:15</t>
        </is>
      </c>
      <c r="M158" s="187" t="inlineStr">
        <is>
          <t>CHECK_VENDOR</t>
        </is>
      </c>
      <c r="N158" s="187" t="inlineStr">
        <is>
          <t>See NVD references</t>
        </is>
      </c>
      <c r="O158" s="187" t="inlineStr">
        <is>
          <t>Apply vendor patches</t>
        </is>
      </c>
      <c r="P158" s="187" t="inlineStr">
        <is>
          <t>See CVE details</t>
        </is>
      </c>
      <c r="Q158" s="187" t="inlineStr">
        <is>
          <t>P4</t>
        </is>
      </c>
      <c r="R158" s="187" t="inlineStr">
        <is>
          <t>📅 Schedule patch deployment within 30 days | 🔍 Monitor for exploitation attempts</t>
        </is>
      </c>
      <c r="S158" s="187" t="inlineStr">
        <is>
          <t>CVE - IP enrichment n/a</t>
        </is>
      </c>
      <c r="T158" s="187" t="n">
        <v>0</v>
      </c>
      <c r="U158" s="187" t="n">
        <v>0</v>
      </c>
      <c r="V158" s="187" t="inlineStr">
        <is>
          <t>T1190:Exploit Public-Facing Application</t>
        </is>
      </c>
      <c r="W158" s="187" t="n">
        <v>1</v>
      </c>
      <c r="X158" s="187" t="inlineStr">
        <is>
          <t>LOW (40%)</t>
        </is>
      </c>
      <c r="Y158" s="187" t="inlineStr">
        <is>
          <t>UNLIKELY</t>
        </is>
      </c>
      <c r="Z158" s="187" t="inlineStr">
        <is>
          <t>CHECK_VENDOR</t>
        </is>
      </c>
      <c r="AA158" s="187" t="inlineStr">
        <is>
          <t>https://nvd.nist.gov/vuln/detail/CVE-2026-23541</t>
        </is>
      </c>
      <c r="AB158" s="187" t="inlineStr">
        <is>
          <t>NONE</t>
        </is>
      </c>
      <c r="AC158" s="187" t="n">
        <v>0</v>
      </c>
      <c r="AD158" s="187" t="inlineStr"/>
    </row>
    <row r="159">
      <c r="A159" s="189" t="inlineStr">
        <is>
          <t>CVE</t>
        </is>
      </c>
      <c r="B159" s="189" t="inlineStr">
        <is>
          <t>CVE-2026-23542</t>
        </is>
      </c>
      <c r="C159" s="189" t="inlineStr">
        <is>
          <t>Deserialization of Untrusted Data vulnerability in ThemeGoods Grand Restaurant grandrestaurant allows Object Injection.This issue affects Grand Restaurant: from n/a through &lt;= 7.0.10.</t>
        </is>
      </c>
      <c r="D159" s="189" t="n">
        <v>9.800000000000001</v>
      </c>
      <c r="E159" s="189" t="inlineStr">
        <is>
          <t>CRITICAL</t>
        </is>
      </c>
      <c r="F159" s="189" t="n">
        <v>2</v>
      </c>
      <c r="G159" s="189" t="n">
        <v>3</v>
      </c>
      <c r="H159" s="189" t="inlineStr">
        <is>
          <t>HIGH</t>
        </is>
      </c>
      <c r="I159" s="189" t="n">
        <v>15.8</v>
      </c>
      <c r="J159" s="189" t="inlineStr">
        <is>
          <t>NO</t>
        </is>
      </c>
      <c r="K159" s="189" t="inlineStr">
        <is>
          <t>https://nvd.nist.gov/vuln/detail/CVE-2026-23542</t>
        </is>
      </c>
      <c r="L159" s="189" t="inlineStr">
        <is>
          <t>2026-02-26 00:15</t>
        </is>
      </c>
      <c r="M159" s="189" t="inlineStr">
        <is>
          <t>CHECK_VENDOR</t>
        </is>
      </c>
      <c r="N159" s="189" t="inlineStr">
        <is>
          <t>See NVD references</t>
        </is>
      </c>
      <c r="O159" s="189" t="inlineStr">
        <is>
          <t>Apply vendor patches</t>
        </is>
      </c>
      <c r="P159" s="189" t="inlineStr">
        <is>
          <t>See CVE details</t>
        </is>
      </c>
      <c r="Q159" s="189" t="inlineStr">
        <is>
          <t>P3</t>
        </is>
      </c>
      <c r="R159" s="189" t="inlineStr">
        <is>
          <t>🚨 URGENT: Apply vendor patches immediately | 🔒 Isolate affected systems if patch unavailable | 🛡️ Enable additional monitoring/IDS rules</t>
        </is>
      </c>
      <c r="S159" s="189" t="inlineStr">
        <is>
          <t>CVE - IP enrichment n/a</t>
        </is>
      </c>
      <c r="T159" s="189" t="n">
        <v>0</v>
      </c>
      <c r="U159" s="189" t="n">
        <v>0</v>
      </c>
      <c r="V159" s="189" t="inlineStr">
        <is>
          <t>T1059:Command and Scripting Interpreter</t>
        </is>
      </c>
      <c r="W159" s="189" t="n">
        <v>1</v>
      </c>
      <c r="X159" s="189" t="inlineStr">
        <is>
          <t>LOW (40%)</t>
        </is>
      </c>
      <c r="Y159" s="189" t="inlineStr">
        <is>
          <t>UNLIKELY</t>
        </is>
      </c>
      <c r="Z159" s="189" t="inlineStr">
        <is>
          <t>CHECK_VENDOR</t>
        </is>
      </c>
      <c r="AA159" s="189" t="inlineStr">
        <is>
          <t>https://nvd.nist.gov/vuln/detail/CVE-2026-23542</t>
        </is>
      </c>
      <c r="AB159" s="189" t="inlineStr">
        <is>
          <t>NONE</t>
        </is>
      </c>
      <c r="AC159" s="189" t="n">
        <v>0</v>
      </c>
      <c r="AD159" s="189" t="inlineStr"/>
    </row>
    <row r="160">
      <c r="A160" s="187" t="inlineStr">
        <is>
          <t>CVE</t>
        </is>
      </c>
      <c r="B160" s="187" t="inlineStr">
        <is>
          <t>CVE-2026-23543</t>
        </is>
      </c>
      <c r="C160" s="187" t="inlineStr">
        <is>
          <t>Missing Authorization vulnerability in WPDeveloper Essential Addons for Elementor essential-addons-for-elementor-lite allows Exploiting Incorrectly Configured Access Control Security Levels.This issue affects Essential Addons for Elementor: from n/a through &lt;= 6.5.5.</t>
        </is>
      </c>
      <c r="D160" s="187" t="n">
        <v>5</v>
      </c>
      <c r="E160" s="187" t="inlineStr">
        <is>
          <t>MEDIUM</t>
        </is>
      </c>
      <c r="F160" s="187" t="n">
        <v>2</v>
      </c>
      <c r="G160" s="187" t="n">
        <v>2</v>
      </c>
      <c r="H160" s="187" t="inlineStr">
        <is>
          <t>MEDIUM</t>
        </is>
      </c>
      <c r="I160" s="187" t="n">
        <v>9</v>
      </c>
      <c r="J160" s="187" t="inlineStr">
        <is>
          <t>NO</t>
        </is>
      </c>
      <c r="K160" s="187" t="inlineStr">
        <is>
          <t>https://nvd.nist.gov/vuln/detail/CVE-2026-23543</t>
        </is>
      </c>
      <c r="L160" s="187" t="inlineStr">
        <is>
          <t>2026-02-26 00:15</t>
        </is>
      </c>
      <c r="M160" s="187" t="inlineStr">
        <is>
          <t>CHECK_VENDOR</t>
        </is>
      </c>
      <c r="N160" s="187" t="inlineStr">
        <is>
          <t>See NVD references</t>
        </is>
      </c>
      <c r="O160" s="187" t="inlineStr">
        <is>
          <t>Apply vendor patches</t>
        </is>
      </c>
      <c r="P160" s="187" t="inlineStr">
        <is>
          <t>See CVE details</t>
        </is>
      </c>
      <c r="Q160" s="187" t="inlineStr">
        <is>
          <t>P4</t>
        </is>
      </c>
      <c r="R160" s="187" t="inlineStr">
        <is>
          <t>📅 Schedule patch deployment within 30 days | 🔍 Monitor for exploitation attempts</t>
        </is>
      </c>
      <c r="S160" s="187" t="inlineStr">
        <is>
          <t>CVE - IP enrichment n/a</t>
        </is>
      </c>
      <c r="T160" s="187" t="n">
        <v>0.0002</v>
      </c>
      <c r="U160" s="187" t="n">
        <v>0.0566</v>
      </c>
      <c r="V160" s="187" t="inlineStr">
        <is>
          <t>T1190:Exploit Public-Facing Application</t>
        </is>
      </c>
      <c r="W160" s="187" t="n">
        <v>1</v>
      </c>
      <c r="X160" s="187" t="inlineStr">
        <is>
          <t>LOW (40%)</t>
        </is>
      </c>
      <c r="Y160" s="187" t="inlineStr">
        <is>
          <t>UNLIKELY</t>
        </is>
      </c>
      <c r="Z160" s="187" t="inlineStr">
        <is>
          <t>CHECK_VENDOR</t>
        </is>
      </c>
      <c r="AA160" s="187" t="inlineStr">
        <is>
          <t>https://nvd.nist.gov/vuln/detail/CVE-2026-23543</t>
        </is>
      </c>
      <c r="AB160" s="187" t="inlineStr">
        <is>
          <t>NONE</t>
        </is>
      </c>
      <c r="AC160" s="187" t="n">
        <v>0</v>
      </c>
      <c r="AD160" s="187" t="inlineStr"/>
    </row>
    <row r="161">
      <c r="A161" s="188" t="inlineStr">
        <is>
          <t>CVE</t>
        </is>
      </c>
      <c r="B161" s="188" t="inlineStr">
        <is>
          <t>CVE-2026-23544</t>
        </is>
      </c>
      <c r="C161" s="188" t="inlineStr">
        <is>
          <t>Deserialization of Untrusted Data vulnerability in codetipi Valenti valenti allows Object Injection.This issue affects Valenti: from n/a through &lt;= 5.6.3.5.</t>
        </is>
      </c>
      <c r="D161" s="188" t="n">
        <v>8.800000000000001</v>
      </c>
      <c r="E161" s="188" t="inlineStr">
        <is>
          <t>HIGH</t>
        </is>
      </c>
      <c r="F161" s="188" t="n">
        <v>2</v>
      </c>
      <c r="G161" s="188" t="n">
        <v>3</v>
      </c>
      <c r="H161" s="188" t="inlineStr">
        <is>
          <t>HIGH</t>
        </is>
      </c>
      <c r="I161" s="188" t="n">
        <v>14.8</v>
      </c>
      <c r="J161" s="188" t="inlineStr">
        <is>
          <t>NO</t>
        </is>
      </c>
      <c r="K161" s="188" t="inlineStr">
        <is>
          <t>https://nvd.nist.gov/vuln/detail/CVE-2026-23544</t>
        </is>
      </c>
      <c r="L161" s="188" t="inlineStr">
        <is>
          <t>2026-02-26 00:15</t>
        </is>
      </c>
      <c r="M161" s="188" t="inlineStr">
        <is>
          <t>CHECK_VENDOR</t>
        </is>
      </c>
      <c r="N161" s="188" t="inlineStr">
        <is>
          <t>See NVD references</t>
        </is>
      </c>
      <c r="O161" s="188" t="inlineStr">
        <is>
          <t>Apply vendor patches</t>
        </is>
      </c>
      <c r="P161" s="188" t="inlineStr">
        <is>
          <t>See CVE details</t>
        </is>
      </c>
      <c r="Q161" s="188" t="inlineStr">
        <is>
          <t>P3</t>
        </is>
      </c>
      <c r="R161" s="188" t="inlineStr">
        <is>
          <t>🚨 URGENT: Apply vendor patches immediately | 🔒 Isolate affected systems if patch unavailable | 🛡️ Enable additional monitoring/IDS rules</t>
        </is>
      </c>
      <c r="S161" s="188" t="inlineStr">
        <is>
          <t>CVE - IP enrichment n/a</t>
        </is>
      </c>
      <c r="T161" s="188" t="n">
        <v>0</v>
      </c>
      <c r="U161" s="188" t="n">
        <v>0</v>
      </c>
      <c r="V161" s="188" t="inlineStr">
        <is>
          <t>T1059:Command and Scripting Interpreter</t>
        </is>
      </c>
      <c r="W161" s="188" t="n">
        <v>1</v>
      </c>
      <c r="X161" s="188" t="inlineStr">
        <is>
          <t>LOW (40%)</t>
        </is>
      </c>
      <c r="Y161" s="188" t="inlineStr">
        <is>
          <t>UNLIKELY</t>
        </is>
      </c>
      <c r="Z161" s="188" t="inlineStr">
        <is>
          <t>CHECK_VENDOR</t>
        </is>
      </c>
      <c r="AA161" s="188" t="inlineStr">
        <is>
          <t>https://nvd.nist.gov/vuln/detail/CVE-2026-23544</t>
        </is>
      </c>
      <c r="AB161" s="188" t="inlineStr">
        <is>
          <t>NONE</t>
        </is>
      </c>
      <c r="AC161" s="188" t="n">
        <v>0</v>
      </c>
      <c r="AD161" s="188" t="inlineStr"/>
    </row>
    <row r="162">
      <c r="A162" s="187" t="inlineStr">
        <is>
          <t>CVE</t>
        </is>
      </c>
      <c r="B162" s="187" t="inlineStr">
        <is>
          <t>CVE-2026-23545</t>
        </is>
      </c>
      <c r="C162" s="187" t="inlineStr">
        <is>
          <t>Missing Authorization vulnerability in Aruba.it Dev Aruba HiSpeed Cache aruba-hispeed-cache allows Exploiting Incorrectly Configured Access Control Security Levels.This issue affects Aruba HiSpeed Cache: from n/a through &lt;= 3.0.4.</t>
        </is>
      </c>
      <c r="D162" s="187" t="n">
        <v>5</v>
      </c>
      <c r="E162" s="187" t="inlineStr">
        <is>
          <t>MEDIUM</t>
        </is>
      </c>
      <c r="F162" s="187" t="n">
        <v>2</v>
      </c>
      <c r="G162" s="187" t="n">
        <v>2</v>
      </c>
      <c r="H162" s="187" t="inlineStr">
        <is>
          <t>MEDIUM</t>
        </is>
      </c>
      <c r="I162" s="187" t="n">
        <v>9</v>
      </c>
      <c r="J162" s="187" t="inlineStr">
        <is>
          <t>NO</t>
        </is>
      </c>
      <c r="K162" s="187" t="inlineStr">
        <is>
          <t>https://nvd.nist.gov/vuln/detail/CVE-2026-23545</t>
        </is>
      </c>
      <c r="L162" s="187" t="inlineStr">
        <is>
          <t>2026-02-26 00:15</t>
        </is>
      </c>
      <c r="M162" s="187" t="inlineStr">
        <is>
          <t>CHECK_VENDOR</t>
        </is>
      </c>
      <c r="N162" s="187" t="inlineStr">
        <is>
          <t>See NVD references</t>
        </is>
      </c>
      <c r="O162" s="187" t="inlineStr">
        <is>
          <t>Apply vendor patches</t>
        </is>
      </c>
      <c r="P162" s="187" t="inlineStr">
        <is>
          <t>See CVE details</t>
        </is>
      </c>
      <c r="Q162" s="187" t="inlineStr">
        <is>
          <t>P4</t>
        </is>
      </c>
      <c r="R162" s="187" t="inlineStr">
        <is>
          <t>📅 Schedule patch deployment within 30 days | 🔍 Monitor for exploitation attempts</t>
        </is>
      </c>
      <c r="S162" s="187" t="inlineStr">
        <is>
          <t>CVE - IP enrichment n/a</t>
        </is>
      </c>
      <c r="T162" s="187" t="n">
        <v>0</v>
      </c>
      <c r="U162" s="187" t="n">
        <v>0</v>
      </c>
      <c r="V162" s="187" t="inlineStr">
        <is>
          <t>T1190:Exploit Public-Facing Application</t>
        </is>
      </c>
      <c r="W162" s="187" t="n">
        <v>1</v>
      </c>
      <c r="X162" s="187" t="inlineStr">
        <is>
          <t>LOW (40%)</t>
        </is>
      </c>
      <c r="Y162" s="187" t="inlineStr">
        <is>
          <t>UNLIKELY</t>
        </is>
      </c>
      <c r="Z162" s="187" t="inlineStr">
        <is>
          <t>CHECK_VENDOR</t>
        </is>
      </c>
      <c r="AA162" s="187" t="inlineStr">
        <is>
          <t>https://nvd.nist.gov/vuln/detail/CVE-2026-23545</t>
        </is>
      </c>
      <c r="AB162" s="187" t="inlineStr">
        <is>
          <t>NONE</t>
        </is>
      </c>
      <c r="AC162" s="187" t="n">
        <v>0</v>
      </c>
      <c r="AD162" s="187" t="inlineStr"/>
    </row>
    <row r="163">
      <c r="A163" s="188" t="inlineStr">
        <is>
          <t>CVE</t>
        </is>
      </c>
      <c r="B163" s="188" t="inlineStr">
        <is>
          <t>CVE-2026-23547</t>
        </is>
      </c>
      <c r="C163" s="188" t="inlineStr">
        <is>
          <t>Missing Authorization vulnerability in cmsmasters CMSMasters Content Composer cmsmasters-content-composer allows Exploiting Incorrectly Configured Access Control Security Levels.This issue affects CMSMasters Content Composer: from n/a through &lt;= 2.5.8.</t>
        </is>
      </c>
      <c r="D163" s="188" t="n">
        <v>7.1</v>
      </c>
      <c r="E163" s="188" t="inlineStr">
        <is>
          <t>HIGH</t>
        </is>
      </c>
      <c r="F163" s="188" t="n">
        <v>2</v>
      </c>
      <c r="G163" s="188" t="n">
        <v>3</v>
      </c>
      <c r="H163" s="188" t="inlineStr">
        <is>
          <t>HIGH</t>
        </is>
      </c>
      <c r="I163" s="188" t="n">
        <v>13.1</v>
      </c>
      <c r="J163" s="188" t="inlineStr">
        <is>
          <t>NO</t>
        </is>
      </c>
      <c r="K163" s="188" t="inlineStr">
        <is>
          <t>https://nvd.nist.gov/vuln/detail/CVE-2026-23547</t>
        </is>
      </c>
      <c r="L163" s="188" t="inlineStr">
        <is>
          <t>2026-02-26 00:15</t>
        </is>
      </c>
      <c r="M163" s="188" t="inlineStr">
        <is>
          <t>CHECK_VENDOR</t>
        </is>
      </c>
      <c r="N163" s="188" t="inlineStr">
        <is>
          <t>See NVD references</t>
        </is>
      </c>
      <c r="O163" s="188" t="inlineStr">
        <is>
          <t>Apply vendor patches</t>
        </is>
      </c>
      <c r="P163" s="188" t="inlineStr">
        <is>
          <t>See CVE details</t>
        </is>
      </c>
      <c r="Q163" s="188" t="inlineStr">
        <is>
          <t>P3</t>
        </is>
      </c>
      <c r="R163" s="188" t="inlineStr">
        <is>
          <t>🚨 URGENT: Apply vendor patches immediately | 🔒 Isolate affected systems if patch unavailable | 🛡️ Enable additional monitoring/IDS rules</t>
        </is>
      </c>
      <c r="S163" s="188" t="inlineStr">
        <is>
          <t>CVE - IP enrichment n/a</t>
        </is>
      </c>
      <c r="T163" s="188" t="n">
        <v>0</v>
      </c>
      <c r="U163" s="188" t="n">
        <v>0</v>
      </c>
      <c r="V163" s="188" t="inlineStr">
        <is>
          <t>T1190:Exploit Public-Facing Application</t>
        </is>
      </c>
      <c r="W163" s="188" t="n">
        <v>1</v>
      </c>
      <c r="X163" s="188" t="inlineStr">
        <is>
          <t>LOW (40%)</t>
        </is>
      </c>
      <c r="Y163" s="188" t="inlineStr">
        <is>
          <t>UNLIKELY</t>
        </is>
      </c>
      <c r="Z163" s="188" t="inlineStr">
        <is>
          <t>CHECK_VENDOR</t>
        </is>
      </c>
      <c r="AA163" s="188" t="inlineStr">
        <is>
          <t>https://nvd.nist.gov/vuln/detail/CVE-2026-23547</t>
        </is>
      </c>
      <c r="AB163" s="188" t="inlineStr">
        <is>
          <t>NONE</t>
        </is>
      </c>
      <c r="AC163" s="188" t="n">
        <v>0</v>
      </c>
      <c r="AD163" s="188" t="inlineStr"/>
    </row>
    <row r="164">
      <c r="A164" s="187" t="inlineStr">
        <is>
          <t>CVE</t>
        </is>
      </c>
      <c r="B164" s="187" t="inlineStr">
        <is>
          <t>CVE-2026-23548</t>
        </is>
      </c>
      <c r="C164" s="187" t="inlineStr">
        <is>
          <t>Missing Authorization vulnerability in designinvento DirectoryPress directorypress allows Exploiting Incorrectly Configured Access Control Security Levels.This issue affects DirectoryPress: from n/a through &lt;= 3.6.25.</t>
        </is>
      </c>
      <c r="D164" s="187" t="n">
        <v>5</v>
      </c>
      <c r="E164" s="187" t="inlineStr">
        <is>
          <t>MEDIUM</t>
        </is>
      </c>
      <c r="F164" s="187" t="n">
        <v>2</v>
      </c>
      <c r="G164" s="187" t="n">
        <v>2</v>
      </c>
      <c r="H164" s="187" t="inlineStr">
        <is>
          <t>MEDIUM</t>
        </is>
      </c>
      <c r="I164" s="187" t="n">
        <v>9</v>
      </c>
      <c r="J164" s="187" t="inlineStr">
        <is>
          <t>NO</t>
        </is>
      </c>
      <c r="K164" s="187" t="inlineStr">
        <is>
          <t>https://nvd.nist.gov/vuln/detail/CVE-2026-23548</t>
        </is>
      </c>
      <c r="L164" s="187" t="inlineStr">
        <is>
          <t>2026-02-26 00:15</t>
        </is>
      </c>
      <c r="M164" s="187" t="inlineStr">
        <is>
          <t>CHECK_VENDOR</t>
        </is>
      </c>
      <c r="N164" s="187" t="inlineStr">
        <is>
          <t>See NVD references</t>
        </is>
      </c>
      <c r="O164" s="187" t="inlineStr">
        <is>
          <t>Apply vendor patches</t>
        </is>
      </c>
      <c r="P164" s="187" t="inlineStr">
        <is>
          <t>See CVE details</t>
        </is>
      </c>
      <c r="Q164" s="187" t="inlineStr">
        <is>
          <t>P4</t>
        </is>
      </c>
      <c r="R164" s="187" t="inlineStr">
        <is>
          <t>📅 Schedule patch deployment within 30 days | 🔍 Monitor for exploitation attempts</t>
        </is>
      </c>
      <c r="S164" s="187" t="inlineStr">
        <is>
          <t>CVE - IP enrichment n/a</t>
        </is>
      </c>
      <c r="T164" s="187" t="n">
        <v>0.0002</v>
      </c>
      <c r="U164" s="187" t="n">
        <v>0.0566</v>
      </c>
      <c r="V164" s="187" t="inlineStr">
        <is>
          <t>T1190:Exploit Public-Facing Application</t>
        </is>
      </c>
      <c r="W164" s="187" t="n">
        <v>1</v>
      </c>
      <c r="X164" s="187" t="inlineStr">
        <is>
          <t>LOW (40%)</t>
        </is>
      </c>
      <c r="Y164" s="187" t="inlineStr">
        <is>
          <t>UNLIKELY</t>
        </is>
      </c>
      <c r="Z164" s="187" t="inlineStr">
        <is>
          <t>CHECK_VENDOR</t>
        </is>
      </c>
      <c r="AA164" s="187" t="inlineStr">
        <is>
          <t>https://nvd.nist.gov/vuln/detail/CVE-2026-23548</t>
        </is>
      </c>
      <c r="AB164" s="187" t="inlineStr">
        <is>
          <t>NONE</t>
        </is>
      </c>
      <c r="AC164" s="187" t="n">
        <v>0</v>
      </c>
      <c r="AD164" s="187" t="inlineStr"/>
    </row>
    <row r="165">
      <c r="A165" s="189" t="inlineStr">
        <is>
          <t>CVE</t>
        </is>
      </c>
      <c r="B165" s="189" t="inlineStr">
        <is>
          <t>CVE-2026-23549</t>
        </is>
      </c>
      <c r="C165" s="189" t="inlineStr">
        <is>
          <t>Deserialization of Untrusted Data vulnerability in magepeopleteam WpEvently mage-eventpress allows Object Injection.This issue affects WpEvently: from n/a through &lt;= 5.1.1.</t>
        </is>
      </c>
      <c r="D165" s="189" t="n">
        <v>9.800000000000001</v>
      </c>
      <c r="E165" s="189" t="inlineStr">
        <is>
          <t>CRITICAL</t>
        </is>
      </c>
      <c r="F165" s="189" t="n">
        <v>2</v>
      </c>
      <c r="G165" s="189" t="n">
        <v>3</v>
      </c>
      <c r="H165" s="189" t="inlineStr">
        <is>
          <t>HIGH</t>
        </is>
      </c>
      <c r="I165" s="189" t="n">
        <v>15.8</v>
      </c>
      <c r="J165" s="189" t="inlineStr">
        <is>
          <t>NO</t>
        </is>
      </c>
      <c r="K165" s="189" t="inlineStr">
        <is>
          <t>https://nvd.nist.gov/vuln/detail/CVE-2026-23549</t>
        </is>
      </c>
      <c r="L165" s="189" t="inlineStr">
        <is>
          <t>2026-02-26 00:15</t>
        </is>
      </c>
      <c r="M165" s="189" t="inlineStr">
        <is>
          <t>CHECK_VENDOR</t>
        </is>
      </c>
      <c r="N165" s="189" t="inlineStr">
        <is>
          <t>See NVD references</t>
        </is>
      </c>
      <c r="O165" s="189" t="inlineStr">
        <is>
          <t>Apply vendor patches</t>
        </is>
      </c>
      <c r="P165" s="189" t="inlineStr">
        <is>
          <t>See CVE details</t>
        </is>
      </c>
      <c r="Q165" s="189" t="inlineStr">
        <is>
          <t>P3</t>
        </is>
      </c>
      <c r="R165" s="189" t="inlineStr">
        <is>
          <t>🚨 URGENT: Apply vendor patches immediately | 🔒 Isolate affected systems if patch unavailable | 🛡️ Enable additional monitoring/IDS rules</t>
        </is>
      </c>
      <c r="S165" s="189" t="inlineStr">
        <is>
          <t>CVE - IP enrichment n/a</t>
        </is>
      </c>
      <c r="T165" s="189" t="n">
        <v>0</v>
      </c>
      <c r="U165" s="189" t="n">
        <v>0</v>
      </c>
      <c r="V165" s="189" t="inlineStr">
        <is>
          <t>T1059:Command and Scripting Interpreter</t>
        </is>
      </c>
      <c r="W165" s="189" t="n">
        <v>1</v>
      </c>
      <c r="X165" s="189" t="inlineStr">
        <is>
          <t>LOW (40%)</t>
        </is>
      </c>
      <c r="Y165" s="189" t="inlineStr">
        <is>
          <t>UNLIKELY</t>
        </is>
      </c>
      <c r="Z165" s="189" t="inlineStr">
        <is>
          <t>CHECK_VENDOR</t>
        </is>
      </c>
      <c r="AA165" s="189" t="inlineStr">
        <is>
          <t>https://nvd.nist.gov/vuln/detail/CVE-2026-23549</t>
        </is>
      </c>
      <c r="AB165" s="189" t="inlineStr">
        <is>
          <t>NONE</t>
        </is>
      </c>
      <c r="AC165" s="189" t="n">
        <v>0</v>
      </c>
      <c r="AD165" s="189" t="inlineStr"/>
    </row>
    <row r="166">
      <c r="A166" s="187" t="inlineStr">
        <is>
          <t>CVE</t>
        </is>
      </c>
      <c r="B166" s="187" t="inlineStr">
        <is>
          <t>CVE-2026-23803</t>
        </is>
      </c>
      <c r="C166" s="187" t="inlineStr">
        <is>
          <t>Server-Side Request Forgery (SSRF) vulnerability in Burhan Nasir Smart Auto Upload Images smart-auto-upload-images allows Server Side Request Forgery.This issue affects Smart Auto Upload Images: from n/a through &lt;= 1.2.2.</t>
        </is>
      </c>
      <c r="D166" s="187" t="n">
        <v>6.4</v>
      </c>
      <c r="E166" s="187" t="inlineStr">
        <is>
          <t>MEDIUM</t>
        </is>
      </c>
      <c r="F166" s="187" t="n">
        <v>2</v>
      </c>
      <c r="G166" s="187" t="n">
        <v>2</v>
      </c>
      <c r="H166" s="187" t="inlineStr">
        <is>
          <t>MEDIUM</t>
        </is>
      </c>
      <c r="I166" s="187" t="n">
        <v>10.4</v>
      </c>
      <c r="J166" s="187" t="inlineStr">
        <is>
          <t>NO</t>
        </is>
      </c>
      <c r="K166" s="187" t="inlineStr">
        <is>
          <t>https://nvd.nist.gov/vuln/detail/CVE-2026-23803</t>
        </is>
      </c>
      <c r="L166" s="187" t="inlineStr">
        <is>
          <t>2026-02-26 00:15</t>
        </is>
      </c>
      <c r="M166" s="187" t="inlineStr">
        <is>
          <t>CHECK_VENDOR</t>
        </is>
      </c>
      <c r="N166" s="187" t="inlineStr">
        <is>
          <t>See NVD references</t>
        </is>
      </c>
      <c r="O166" s="187" t="inlineStr">
        <is>
          <t>Apply vendor patches</t>
        </is>
      </c>
      <c r="P166" s="187" t="inlineStr">
        <is>
          <t>See CVE details</t>
        </is>
      </c>
      <c r="Q166" s="187" t="inlineStr">
        <is>
          <t>P4</t>
        </is>
      </c>
      <c r="R166" s="187" t="inlineStr">
        <is>
          <t>📅 Schedule patch deployment within 30 days | 🔍 Monitor for exploitation attempts</t>
        </is>
      </c>
      <c r="S166" s="187" t="inlineStr">
        <is>
          <t>CVE - IP enrichment n/a</t>
        </is>
      </c>
      <c r="T166" s="187" t="n">
        <v>0.0003</v>
      </c>
      <c r="U166" s="187" t="n">
        <v>0.0774</v>
      </c>
      <c r="V166" s="187" t="inlineStr">
        <is>
          <t>T1090:Proxy</t>
        </is>
      </c>
      <c r="W166" s="187" t="n">
        <v>1</v>
      </c>
      <c r="X166" s="187" t="inlineStr">
        <is>
          <t>LOW (40%)</t>
        </is>
      </c>
      <c r="Y166" s="187" t="inlineStr">
        <is>
          <t>UNLIKELY</t>
        </is>
      </c>
      <c r="Z166" s="187" t="inlineStr">
        <is>
          <t>CHECK_VENDOR</t>
        </is>
      </c>
      <c r="AA166" s="187" t="inlineStr">
        <is>
          <t>https://nvd.nist.gov/vuln/detail/CVE-2026-23803</t>
        </is>
      </c>
      <c r="AB166" s="187" t="inlineStr">
        <is>
          <t>NONE</t>
        </is>
      </c>
      <c r="AC166" s="187" t="n">
        <v>0</v>
      </c>
      <c r="AD166" s="187" t="inlineStr"/>
    </row>
    <row r="167">
      <c r="A167" s="187" t="inlineStr">
        <is>
          <t>CVE</t>
        </is>
      </c>
      <c r="B167" s="187" t="inlineStr">
        <is>
          <t>CVE-2026-23804</t>
        </is>
      </c>
      <c r="C167" s="187" t="inlineStr">
        <is>
          <t>Missing Authorization vulnerability in BBR Plugins Better Business Reviews better-business-reviews allows Exploiting Incorrectly Configured Access Control Security Levels.This issue affects Better Business Reviews: from n/a through &lt;= 0.1.1.</t>
        </is>
      </c>
      <c r="D167" s="187" t="n">
        <v>5.4</v>
      </c>
      <c r="E167" s="187" t="inlineStr">
        <is>
          <t>MEDIUM</t>
        </is>
      </c>
      <c r="F167" s="187" t="n">
        <v>2</v>
      </c>
      <c r="G167" s="187" t="n">
        <v>2</v>
      </c>
      <c r="H167" s="187" t="inlineStr">
        <is>
          <t>MEDIUM</t>
        </is>
      </c>
      <c r="I167" s="187" t="n">
        <v>9.4</v>
      </c>
      <c r="J167" s="187" t="inlineStr">
        <is>
          <t>NO</t>
        </is>
      </c>
      <c r="K167" s="187" t="inlineStr">
        <is>
          <t>https://nvd.nist.gov/vuln/detail/CVE-2026-23804</t>
        </is>
      </c>
      <c r="L167" s="187" t="inlineStr">
        <is>
          <t>2026-02-26 00:15</t>
        </is>
      </c>
      <c r="M167" s="187" t="inlineStr">
        <is>
          <t>CHECK_VENDOR</t>
        </is>
      </c>
      <c r="N167" s="187" t="inlineStr">
        <is>
          <t>See NVD references</t>
        </is>
      </c>
      <c r="O167" s="187" t="inlineStr">
        <is>
          <t>Apply vendor patches</t>
        </is>
      </c>
      <c r="P167" s="187" t="inlineStr">
        <is>
          <t>See CVE details</t>
        </is>
      </c>
      <c r="Q167" s="187" t="inlineStr">
        <is>
          <t>P4</t>
        </is>
      </c>
      <c r="R167" s="187" t="inlineStr">
        <is>
          <t>📅 Schedule patch deployment within 30 days | 🔍 Monitor for exploitation attempts</t>
        </is>
      </c>
      <c r="S167" s="187" t="inlineStr">
        <is>
          <t>CVE - IP enrichment n/a</t>
        </is>
      </c>
      <c r="T167" s="187" t="n">
        <v>0</v>
      </c>
      <c r="U167" s="187" t="n">
        <v>0</v>
      </c>
      <c r="V167" s="187" t="inlineStr">
        <is>
          <t>T1190:Exploit Public-Facing Application</t>
        </is>
      </c>
      <c r="W167" s="187" t="n">
        <v>1</v>
      </c>
      <c r="X167" s="187" t="inlineStr">
        <is>
          <t>LOW (40%)</t>
        </is>
      </c>
      <c r="Y167" s="187" t="inlineStr">
        <is>
          <t>UNLIKELY</t>
        </is>
      </c>
      <c r="Z167" s="187" t="inlineStr">
        <is>
          <t>CHECK_VENDOR</t>
        </is>
      </c>
      <c r="AA167" s="187" t="inlineStr">
        <is>
          <t>https://nvd.nist.gov/vuln/detail/CVE-2026-23804</t>
        </is>
      </c>
      <c r="AB167" s="187" t="inlineStr">
        <is>
          <t>NONE</t>
        </is>
      </c>
      <c r="AC167" s="187" t="n">
        <v>0</v>
      </c>
      <c r="AD167" s="187" t="inlineStr"/>
    </row>
    <row r="168">
      <c r="A168" s="188" t="inlineStr">
        <is>
          <t>CVE</t>
        </is>
      </c>
      <c r="B168" s="188" t="inlineStr">
        <is>
          <t>CVE-2026-23805</t>
        </is>
      </c>
      <c r="C168" s="188" t="inlineStr">
        <is>
          <t>Improper Neutralization of Special Elements used in an SQL Command ('SQL Injection') vulnerability in Yoren Chang Media Search Enhanced media-search-enhanced allows SQL Injection.This issue affects Media Search Enhanced: from n/a through &lt;= 0.9.1.</t>
        </is>
      </c>
      <c r="D168" s="188" t="n">
        <v>7.6</v>
      </c>
      <c r="E168" s="188" t="inlineStr">
        <is>
          <t>HIGH</t>
        </is>
      </c>
      <c r="F168" s="188" t="n">
        <v>2</v>
      </c>
      <c r="G168" s="188" t="n">
        <v>3</v>
      </c>
      <c r="H168" s="188" t="inlineStr">
        <is>
          <t>HIGH</t>
        </is>
      </c>
      <c r="I168" s="188" t="n">
        <v>13.6</v>
      </c>
      <c r="J168" s="188" t="inlineStr">
        <is>
          <t>NO</t>
        </is>
      </c>
      <c r="K168" s="188" t="inlineStr">
        <is>
          <t>https://nvd.nist.gov/vuln/detail/CVE-2026-23805</t>
        </is>
      </c>
      <c r="L168" s="188" t="inlineStr">
        <is>
          <t>2026-02-26 00:15</t>
        </is>
      </c>
      <c r="M168" s="188" t="inlineStr">
        <is>
          <t>CHECK_VENDOR</t>
        </is>
      </c>
      <c r="N168" s="188" t="inlineStr">
        <is>
          <t>See NVD references</t>
        </is>
      </c>
      <c r="O168" s="188" t="inlineStr">
        <is>
          <t>Apply vendor patches</t>
        </is>
      </c>
      <c r="P168" s="188" t="inlineStr">
        <is>
          <t>See CVE details</t>
        </is>
      </c>
      <c r="Q168" s="188" t="inlineStr">
        <is>
          <t>P3</t>
        </is>
      </c>
      <c r="R168" s="188" t="inlineStr">
        <is>
          <t>🚨 URGENT: Apply vendor patches immediately | 🔒 Isolate affected systems if patch unavailable | 🛡️ Enable additional monitoring/IDS rules</t>
        </is>
      </c>
      <c r="S168" s="188" t="inlineStr">
        <is>
          <t>CVE - IP enrichment n/a</t>
        </is>
      </c>
      <c r="T168" s="188" t="n">
        <v>0</v>
      </c>
      <c r="U168" s="188" t="n">
        <v>0</v>
      </c>
      <c r="V168" s="188" t="inlineStr">
        <is>
          <t>T1190:Exploit Public-Facing Application</t>
        </is>
      </c>
      <c r="W168" s="188" t="n">
        <v>1</v>
      </c>
      <c r="X168" s="188" t="inlineStr">
        <is>
          <t>LOW (40%)</t>
        </is>
      </c>
      <c r="Y168" s="188" t="inlineStr">
        <is>
          <t>UNLIKELY</t>
        </is>
      </c>
      <c r="Z168" s="188" t="inlineStr">
        <is>
          <t>CHECK_VENDOR</t>
        </is>
      </c>
      <c r="AA168" s="188" t="inlineStr">
        <is>
          <t>https://nvd.nist.gov/vuln/detail/CVE-2026-23805</t>
        </is>
      </c>
      <c r="AB168" s="188" t="inlineStr">
        <is>
          <t>NONE</t>
        </is>
      </c>
      <c r="AC168" s="188" t="n">
        <v>0</v>
      </c>
      <c r="AD168" s="188" t="inlineStr"/>
    </row>
    <row r="169">
      <c r="A169" s="187" t="inlineStr">
        <is>
          <t>CVE</t>
        </is>
      </c>
      <c r="B169" s="187" t="inlineStr">
        <is>
          <t>CVE-2026-24375</t>
        </is>
      </c>
      <c r="C169" s="187" t="inlineStr">
        <is>
          <t>Missing Authorization vulnerability in WP Swings Ultimate Gift Cards For WooCommerce woo-gift-cards-lite allows Exploiting Incorrectly Configured Access Control Security Levels.This issue affects Ultimate Gift Cards For WooCommerce: from n/a through &lt;= 3.2.4.</t>
        </is>
      </c>
      <c r="D169" s="187" t="n">
        <v>5.3</v>
      </c>
      <c r="E169" s="187" t="inlineStr">
        <is>
          <t>MEDIUM</t>
        </is>
      </c>
      <c r="F169" s="187" t="n">
        <v>2</v>
      </c>
      <c r="G169" s="187" t="n">
        <v>2</v>
      </c>
      <c r="H169" s="187" t="inlineStr">
        <is>
          <t>MEDIUM</t>
        </is>
      </c>
      <c r="I169" s="187" t="n">
        <v>9.300000000000001</v>
      </c>
      <c r="J169" s="187" t="inlineStr">
        <is>
          <t>NO</t>
        </is>
      </c>
      <c r="K169" s="187" t="inlineStr">
        <is>
          <t>https://nvd.nist.gov/vuln/detail/CVE-2026-24375</t>
        </is>
      </c>
      <c r="L169" s="187" t="inlineStr">
        <is>
          <t>2026-02-26 00:15</t>
        </is>
      </c>
      <c r="M169" s="187" t="inlineStr">
        <is>
          <t>CHECK_VENDOR</t>
        </is>
      </c>
      <c r="N169" s="187" t="inlineStr">
        <is>
          <t>See NVD references</t>
        </is>
      </c>
      <c r="O169" s="187" t="inlineStr">
        <is>
          <t>Apply vendor patches</t>
        </is>
      </c>
      <c r="P169" s="187" t="inlineStr">
        <is>
          <t>See CVE details</t>
        </is>
      </c>
      <c r="Q169" s="187" t="inlineStr">
        <is>
          <t>P4</t>
        </is>
      </c>
      <c r="R169" s="187" t="inlineStr">
        <is>
          <t>📅 Schedule patch deployment within 30 days | 🔍 Monitor for exploitation attempts</t>
        </is>
      </c>
      <c r="S169" s="187" t="inlineStr">
        <is>
          <t>CVE - IP enrichment n/a</t>
        </is>
      </c>
      <c r="T169" s="187" t="n">
        <v>0</v>
      </c>
      <c r="U169" s="187" t="n">
        <v>0</v>
      </c>
      <c r="V169" s="187" t="inlineStr">
        <is>
          <t>T1190:Exploit Public-Facing Application</t>
        </is>
      </c>
      <c r="W169" s="187" t="n">
        <v>1</v>
      </c>
      <c r="X169" s="187" t="inlineStr">
        <is>
          <t>LOW (40%)</t>
        </is>
      </c>
      <c r="Y169" s="187" t="inlineStr">
        <is>
          <t>UNLIKELY</t>
        </is>
      </c>
      <c r="Z169" s="187" t="inlineStr">
        <is>
          <t>CHECK_VENDOR</t>
        </is>
      </c>
      <c r="AA169" s="187" t="inlineStr">
        <is>
          <t>https://nvd.nist.gov/vuln/detail/CVE-2026-24375</t>
        </is>
      </c>
      <c r="AB169" s="187" t="inlineStr">
        <is>
          <t>NONE</t>
        </is>
      </c>
      <c r="AC169" s="187" t="n">
        <v>0</v>
      </c>
      <c r="AD169" s="187" t="inlineStr"/>
    </row>
    <row r="170">
      <c r="A170" s="187" t="inlineStr">
        <is>
          <t>CVE</t>
        </is>
      </c>
      <c r="B170" s="187" t="inlineStr">
        <is>
          <t>CVE-2026-24392</t>
        </is>
      </c>
      <c r="C170" s="187" t="inlineStr">
        <is>
          <t>Improper Neutralization of Input During Web Page Generation ('Cross-site Scripting') vulnerability in Nabil Lemsieh HurryTimer hurrytimer allows Stored XSS.This issue affects HurryTimer: from n/a through &lt;= 2.14.2.</t>
        </is>
      </c>
      <c r="D170" s="187" t="n">
        <v>5.9</v>
      </c>
      <c r="E170" s="187" t="inlineStr">
        <is>
          <t>MEDIUM</t>
        </is>
      </c>
      <c r="F170" s="187" t="n">
        <v>2</v>
      </c>
      <c r="G170" s="187" t="n">
        <v>2</v>
      </c>
      <c r="H170" s="187" t="inlineStr">
        <is>
          <t>MEDIUM</t>
        </is>
      </c>
      <c r="I170" s="187" t="n">
        <v>9.9</v>
      </c>
      <c r="J170" s="187" t="inlineStr">
        <is>
          <t>NO</t>
        </is>
      </c>
      <c r="K170" s="187" t="inlineStr">
        <is>
          <t>https://nvd.nist.gov/vuln/detail/CVE-2026-24392</t>
        </is>
      </c>
      <c r="L170" s="187" t="inlineStr">
        <is>
          <t>2026-02-26 00:15</t>
        </is>
      </c>
      <c r="M170" s="187" t="inlineStr">
        <is>
          <t>CHECK_VENDOR</t>
        </is>
      </c>
      <c r="N170" s="187" t="inlineStr">
        <is>
          <t>See NVD references</t>
        </is>
      </c>
      <c r="O170" s="187" t="inlineStr">
        <is>
          <t>Apply vendor patches</t>
        </is>
      </c>
      <c r="P170" s="187" t="inlineStr">
        <is>
          <t>See CVE details</t>
        </is>
      </c>
      <c r="Q170" s="187" t="inlineStr">
        <is>
          <t>P4</t>
        </is>
      </c>
      <c r="R170" s="187" t="inlineStr">
        <is>
          <t>📅 Schedule patch deployment within 30 days | 🔍 Monitor for exploitation attempts</t>
        </is>
      </c>
      <c r="S170" s="187" t="inlineStr">
        <is>
          <t>CVE - IP enrichment n/a</t>
        </is>
      </c>
      <c r="T170" s="187" t="n">
        <v>0</v>
      </c>
      <c r="U170" s="187" t="n">
        <v>0</v>
      </c>
      <c r="V170" s="187" t="inlineStr">
        <is>
          <t>T1189:Drive-by Compromise</t>
        </is>
      </c>
      <c r="W170" s="187" t="n">
        <v>1</v>
      </c>
      <c r="X170" s="187" t="inlineStr">
        <is>
          <t>LOW (40%)</t>
        </is>
      </c>
      <c r="Y170" s="187" t="inlineStr">
        <is>
          <t>UNLIKELY</t>
        </is>
      </c>
      <c r="Z170" s="187" t="inlineStr">
        <is>
          <t>CHECK_VENDOR</t>
        </is>
      </c>
      <c r="AA170" s="187" t="inlineStr">
        <is>
          <t>https://nvd.nist.gov/vuln/detail/CVE-2026-24392</t>
        </is>
      </c>
      <c r="AB170" s="187" t="inlineStr">
        <is>
          <t>NONE</t>
        </is>
      </c>
      <c r="AC170" s="187" t="n">
        <v>0</v>
      </c>
      <c r="AD170" s="187" t="inlineStr"/>
    </row>
    <row r="171">
      <c r="A171" s="187" t="inlineStr">
        <is>
          <t>CVE</t>
        </is>
      </c>
      <c r="B171" s="187" t="inlineStr">
        <is>
          <t>CVE-2026-24999</t>
        </is>
      </c>
      <c r="C171" s="187" t="inlineStr">
        <is>
          <t>Missing Authorization vulnerability in Alma Alma alma-gateway-for-woocommerce allows Exploiting Incorrectly Configured Access Control Security Levels.This issue affects Alma: from n/a through &lt;= 5.16.1.</t>
        </is>
      </c>
      <c r="D171" s="187" t="n">
        <v>5.3</v>
      </c>
      <c r="E171" s="187" t="inlineStr">
        <is>
          <t>MEDIUM</t>
        </is>
      </c>
      <c r="F171" s="187" t="n">
        <v>2</v>
      </c>
      <c r="G171" s="187" t="n">
        <v>2</v>
      </c>
      <c r="H171" s="187" t="inlineStr">
        <is>
          <t>MEDIUM</t>
        </is>
      </c>
      <c r="I171" s="187" t="n">
        <v>9.300000000000001</v>
      </c>
      <c r="J171" s="187" t="inlineStr">
        <is>
          <t>NO</t>
        </is>
      </c>
      <c r="K171" s="187" t="inlineStr">
        <is>
          <t>https://nvd.nist.gov/vuln/detail/CVE-2026-24999</t>
        </is>
      </c>
      <c r="L171" s="187" t="inlineStr">
        <is>
          <t>2026-02-26 00:15</t>
        </is>
      </c>
      <c r="M171" s="187" t="inlineStr">
        <is>
          <t>CHECK_VENDOR</t>
        </is>
      </c>
      <c r="N171" s="187" t="inlineStr">
        <is>
          <t>See NVD references</t>
        </is>
      </c>
      <c r="O171" s="187" t="inlineStr">
        <is>
          <t>Apply vendor patches</t>
        </is>
      </c>
      <c r="P171" s="187" t="inlineStr">
        <is>
          <t>See CVE details</t>
        </is>
      </c>
      <c r="Q171" s="187" t="inlineStr">
        <is>
          <t>P4</t>
        </is>
      </c>
      <c r="R171" s="187" t="inlineStr">
        <is>
          <t>📅 Schedule patch deployment within 30 days | 🔍 Monitor for exploitation attempts</t>
        </is>
      </c>
      <c r="S171" s="187" t="inlineStr">
        <is>
          <t>CVE - IP enrichment n/a</t>
        </is>
      </c>
      <c r="T171" s="187" t="n">
        <v>0</v>
      </c>
      <c r="U171" s="187" t="n">
        <v>0</v>
      </c>
      <c r="V171" s="187" t="inlineStr">
        <is>
          <t>T1190:Exploit Public-Facing Application</t>
        </is>
      </c>
      <c r="W171" s="187" t="n">
        <v>1</v>
      </c>
      <c r="X171" s="187" t="inlineStr">
        <is>
          <t>LOW (40%)</t>
        </is>
      </c>
      <c r="Y171" s="187" t="inlineStr">
        <is>
          <t>UNLIKELY</t>
        </is>
      </c>
      <c r="Z171" s="187" t="inlineStr">
        <is>
          <t>CHECK_VENDOR</t>
        </is>
      </c>
      <c r="AA171" s="187" t="inlineStr">
        <is>
          <t>https://nvd.nist.gov/vuln/detail/CVE-2026-24999</t>
        </is>
      </c>
      <c r="AB171" s="187" t="inlineStr">
        <is>
          <t>NONE</t>
        </is>
      </c>
      <c r="AC171" s="187" t="n">
        <v>0</v>
      </c>
      <c r="AD171" s="187" t="inlineStr"/>
    </row>
    <row r="172">
      <c r="A172" s="187" t="inlineStr">
        <is>
          <t>CVE</t>
        </is>
      </c>
      <c r="B172" s="187" t="inlineStr">
        <is>
          <t>CVE-2026-25000</t>
        </is>
      </c>
      <c r="C172" s="187" t="inlineStr">
        <is>
          <t>Missing Authorization vulnerability in Kraft Plugins Wheel of Life wheel-of-life allows Exploiting Incorrectly Configured Access Control Security Levels.This issue affects Wheel of Life: from n/a through &lt;= 1.2.0.</t>
        </is>
      </c>
      <c r="D172" s="187" t="n">
        <v>5.3</v>
      </c>
      <c r="E172" s="187" t="inlineStr">
        <is>
          <t>MEDIUM</t>
        </is>
      </c>
      <c r="F172" s="187" t="n">
        <v>2</v>
      </c>
      <c r="G172" s="187" t="n">
        <v>2</v>
      </c>
      <c r="H172" s="187" t="inlineStr">
        <is>
          <t>MEDIUM</t>
        </is>
      </c>
      <c r="I172" s="187" t="n">
        <v>9.300000000000001</v>
      </c>
      <c r="J172" s="187" t="inlineStr">
        <is>
          <t>NO</t>
        </is>
      </c>
      <c r="K172" s="187" t="inlineStr">
        <is>
          <t>https://nvd.nist.gov/vuln/detail/CVE-2026-25000</t>
        </is>
      </c>
      <c r="L172" s="187" t="inlineStr">
        <is>
          <t>2026-02-26 00:15</t>
        </is>
      </c>
      <c r="M172" s="187" t="inlineStr">
        <is>
          <t>CHECK_VENDOR</t>
        </is>
      </c>
      <c r="N172" s="187" t="inlineStr">
        <is>
          <t>See NVD references</t>
        </is>
      </c>
      <c r="O172" s="187" t="inlineStr">
        <is>
          <t>Apply vendor patches</t>
        </is>
      </c>
      <c r="P172" s="187" t="inlineStr">
        <is>
          <t>See CVE details</t>
        </is>
      </c>
      <c r="Q172" s="187" t="inlineStr">
        <is>
          <t>P4</t>
        </is>
      </c>
      <c r="R172" s="187" t="inlineStr">
        <is>
          <t>📅 Schedule patch deployment within 30 days | 🔍 Monitor for exploitation attempts</t>
        </is>
      </c>
      <c r="S172" s="187" t="inlineStr">
        <is>
          <t>CVE - IP enrichment n/a</t>
        </is>
      </c>
      <c r="T172" s="187" t="n">
        <v>0</v>
      </c>
      <c r="U172" s="187" t="n">
        <v>0</v>
      </c>
      <c r="V172" s="187" t="inlineStr">
        <is>
          <t>T1190:Exploit Public-Facing Application</t>
        </is>
      </c>
      <c r="W172" s="187" t="n">
        <v>1</v>
      </c>
      <c r="X172" s="187" t="inlineStr">
        <is>
          <t>LOW (40%)</t>
        </is>
      </c>
      <c r="Y172" s="187" t="inlineStr">
        <is>
          <t>UNLIKELY</t>
        </is>
      </c>
      <c r="Z172" s="187" t="inlineStr">
        <is>
          <t>CHECK_VENDOR</t>
        </is>
      </c>
      <c r="AA172" s="187" t="inlineStr">
        <is>
          <t>https://nvd.nist.gov/vuln/detail/CVE-2026-25000</t>
        </is>
      </c>
      <c r="AB172" s="187" t="inlineStr">
        <is>
          <t>NONE</t>
        </is>
      </c>
      <c r="AC172" s="187" t="n">
        <v>0</v>
      </c>
      <c r="AD172" s="187" t="inlineStr"/>
    </row>
    <row r="173">
      <c r="A173" s="187" t="inlineStr">
        <is>
          <t>CVE</t>
        </is>
      </c>
      <c r="B173" s="187" t="inlineStr">
        <is>
          <t>CVE-2026-25003</t>
        </is>
      </c>
      <c r="C173" s="187" t="inlineStr">
        <is>
          <t>Missing Authorization vulnerability in madalin.ungureanu Client Portal client-portal allows Exploiting Incorrectly Configured Access Control Security Levels.This issue affects Client Portal: from n/a through &lt;= 1.2.1.</t>
        </is>
      </c>
      <c r="D173" s="187" t="n">
        <v>4.3</v>
      </c>
      <c r="E173" s="187" t="inlineStr">
        <is>
          <t>MEDIUM</t>
        </is>
      </c>
      <c r="F173" s="187" t="n">
        <v>2</v>
      </c>
      <c r="G173" s="187" t="n">
        <v>2</v>
      </c>
      <c r="H173" s="187" t="inlineStr">
        <is>
          <t>MEDIUM</t>
        </is>
      </c>
      <c r="I173" s="187" t="n">
        <v>8.300000000000001</v>
      </c>
      <c r="J173" s="187" t="inlineStr">
        <is>
          <t>NO</t>
        </is>
      </c>
      <c r="K173" s="187" t="inlineStr">
        <is>
          <t>https://nvd.nist.gov/vuln/detail/CVE-2026-25003</t>
        </is>
      </c>
      <c r="L173" s="187" t="inlineStr">
        <is>
          <t>2026-02-26 00:15</t>
        </is>
      </c>
      <c r="M173" s="187" t="inlineStr">
        <is>
          <t>CHECK_VENDOR</t>
        </is>
      </c>
      <c r="N173" s="187" t="inlineStr">
        <is>
          <t>See NVD references</t>
        </is>
      </c>
      <c r="O173" s="187" t="inlineStr">
        <is>
          <t>Apply vendor patches</t>
        </is>
      </c>
      <c r="P173" s="187" t="inlineStr">
        <is>
          <t>See CVE details</t>
        </is>
      </c>
      <c r="Q173" s="187" t="inlineStr">
        <is>
          <t>P4</t>
        </is>
      </c>
      <c r="R173" s="187" t="inlineStr">
        <is>
          <t>📅 Schedule patch deployment within 30 days | 🔍 Monitor for exploitation attempts</t>
        </is>
      </c>
      <c r="S173" s="187" t="inlineStr">
        <is>
          <t>CVE - IP enrichment n/a</t>
        </is>
      </c>
      <c r="T173" s="187" t="n">
        <v>0</v>
      </c>
      <c r="U173" s="187" t="n">
        <v>0</v>
      </c>
      <c r="V173" s="187" t="inlineStr">
        <is>
          <t>T1190:Exploit Public-Facing Application</t>
        </is>
      </c>
      <c r="W173" s="187" t="n">
        <v>1</v>
      </c>
      <c r="X173" s="187" t="inlineStr">
        <is>
          <t>LOW (40%)</t>
        </is>
      </c>
      <c r="Y173" s="187" t="inlineStr">
        <is>
          <t>UNLIKELY</t>
        </is>
      </c>
      <c r="Z173" s="187" t="inlineStr">
        <is>
          <t>CHECK_VENDOR</t>
        </is>
      </c>
      <c r="AA173" s="187" t="inlineStr">
        <is>
          <t>https://nvd.nist.gov/vuln/detail/CVE-2026-25003</t>
        </is>
      </c>
      <c r="AB173" s="187" t="inlineStr">
        <is>
          <t>NONE</t>
        </is>
      </c>
      <c r="AC173" s="187" t="n">
        <v>0</v>
      </c>
      <c r="AD173" s="187" t="inlineStr"/>
    </row>
    <row r="174">
      <c r="A174" s="187" t="inlineStr">
        <is>
          <t>CVE</t>
        </is>
      </c>
      <c r="B174" s="187" t="inlineStr">
        <is>
          <t>CVE-2026-25004</t>
        </is>
      </c>
      <c r="C174" s="187" t="inlineStr">
        <is>
          <t>Improper Neutralization of Input During Web Page Generation ('Cross-site Scripting') vulnerability in CreativeMindsSolutions CM Business Directory cm-business-directory allows Stored XSS.This issue affects CM Business Directory: from n/a through &lt;= 1.5.3.</t>
        </is>
      </c>
      <c r="D174" s="187" t="n">
        <v>5</v>
      </c>
      <c r="E174" s="187" t="inlineStr">
        <is>
          <t>MEDIUM</t>
        </is>
      </c>
      <c r="F174" s="187" t="n">
        <v>2</v>
      </c>
      <c r="G174" s="187" t="n">
        <v>2</v>
      </c>
      <c r="H174" s="187" t="inlineStr">
        <is>
          <t>MEDIUM</t>
        </is>
      </c>
      <c r="I174" s="187" t="n">
        <v>9</v>
      </c>
      <c r="J174" s="187" t="inlineStr">
        <is>
          <t>NO</t>
        </is>
      </c>
      <c r="K174" s="187" t="inlineStr">
        <is>
          <t>https://nvd.nist.gov/vuln/detail/CVE-2026-25004</t>
        </is>
      </c>
      <c r="L174" s="187" t="inlineStr">
        <is>
          <t>2026-02-26 00:15</t>
        </is>
      </c>
      <c r="M174" s="187" t="inlineStr">
        <is>
          <t>CHECK_VENDOR</t>
        </is>
      </c>
      <c r="N174" s="187" t="inlineStr">
        <is>
          <t>See NVD references</t>
        </is>
      </c>
      <c r="O174" s="187" t="inlineStr">
        <is>
          <t>Apply vendor patches</t>
        </is>
      </c>
      <c r="P174" s="187" t="inlineStr">
        <is>
          <t>See CVE details</t>
        </is>
      </c>
      <c r="Q174" s="187" t="inlineStr">
        <is>
          <t>P4</t>
        </is>
      </c>
      <c r="R174" s="187" t="inlineStr">
        <is>
          <t>📅 Schedule patch deployment within 30 days | 🔍 Monitor for exploitation attempts</t>
        </is>
      </c>
      <c r="S174" s="187" t="inlineStr">
        <is>
          <t>CVE - IP enrichment n/a</t>
        </is>
      </c>
      <c r="T174" s="187" t="n">
        <v>0</v>
      </c>
      <c r="U174" s="187" t="n">
        <v>0</v>
      </c>
      <c r="V174" s="187" t="inlineStr">
        <is>
          <t>T1189:Drive-by Compromise</t>
        </is>
      </c>
      <c r="W174" s="187" t="n">
        <v>1</v>
      </c>
      <c r="X174" s="187" t="inlineStr">
        <is>
          <t>LOW (40%)</t>
        </is>
      </c>
      <c r="Y174" s="187" t="inlineStr">
        <is>
          <t>UNLIKELY</t>
        </is>
      </c>
      <c r="Z174" s="187" t="inlineStr">
        <is>
          <t>CHECK_VENDOR</t>
        </is>
      </c>
      <c r="AA174" s="187" t="inlineStr">
        <is>
          <t>https://nvd.nist.gov/vuln/detail/CVE-2026-25004</t>
        </is>
      </c>
      <c r="AB174" s="187" t="inlineStr">
        <is>
          <t>NONE</t>
        </is>
      </c>
      <c r="AC174" s="187" t="n">
        <v>0</v>
      </c>
      <c r="AD174" s="187" t="inlineStr"/>
    </row>
    <row r="175">
      <c r="A175" s="187" t="inlineStr">
        <is>
          <t>CVE</t>
        </is>
      </c>
      <c r="B175" s="187" t="inlineStr">
        <is>
          <t>CVE-2026-25005</t>
        </is>
      </c>
      <c r="C175" s="187" t="inlineStr">
        <is>
          <t>Authorization Bypass Through User-Controlled Key vulnerability in N-Media Frontend File Manager nmedia-user-file-uploader allows Exploiting Incorrectly Configured Access Control Security Levels.This issue affects Frontend File Manager: from n/a through &lt;= 23.5.</t>
        </is>
      </c>
      <c r="D175" s="187" t="n">
        <v>5.3</v>
      </c>
      <c r="E175" s="187" t="inlineStr">
        <is>
          <t>MEDIUM</t>
        </is>
      </c>
      <c r="F175" s="187" t="n">
        <v>2</v>
      </c>
      <c r="G175" s="187" t="n">
        <v>2</v>
      </c>
      <c r="H175" s="187" t="inlineStr">
        <is>
          <t>MEDIUM</t>
        </is>
      </c>
      <c r="I175" s="187" t="n">
        <v>9.300000000000001</v>
      </c>
      <c r="J175" s="187" t="inlineStr">
        <is>
          <t>NO</t>
        </is>
      </c>
      <c r="K175" s="187" t="inlineStr">
        <is>
          <t>https://nvd.nist.gov/vuln/detail/CVE-2026-25005</t>
        </is>
      </c>
      <c r="L175" s="187" t="inlineStr">
        <is>
          <t>2026-02-26 00:15</t>
        </is>
      </c>
      <c r="M175" s="187" t="inlineStr">
        <is>
          <t>CHECK_VENDOR</t>
        </is>
      </c>
      <c r="N175" s="187" t="inlineStr">
        <is>
          <t>See NVD references</t>
        </is>
      </c>
      <c r="O175" s="187" t="inlineStr">
        <is>
          <t>Apply vendor patches</t>
        </is>
      </c>
      <c r="P175" s="187" t="inlineStr">
        <is>
          <t>See CVE details</t>
        </is>
      </c>
      <c r="Q175" s="187" t="inlineStr">
        <is>
          <t>P4</t>
        </is>
      </c>
      <c r="R175" s="187" t="inlineStr">
        <is>
          <t>📅 Schedule patch deployment within 30 days | 🔍 Monitor for exploitation attempts</t>
        </is>
      </c>
      <c r="S175" s="187" t="inlineStr">
        <is>
          <t>CVE - IP enrichment n/a</t>
        </is>
      </c>
      <c r="T175" s="187" t="n">
        <v>0</v>
      </c>
      <c r="U175" s="187" t="n">
        <v>0</v>
      </c>
      <c r="V175" s="187" t="inlineStr">
        <is>
          <t>T1190:Exploit Public-Facing Application</t>
        </is>
      </c>
      <c r="W175" s="187" t="n">
        <v>1</v>
      </c>
      <c r="X175" s="187" t="inlineStr">
        <is>
          <t>LOW (40%)</t>
        </is>
      </c>
      <c r="Y175" s="187" t="inlineStr">
        <is>
          <t>UNLIKELY</t>
        </is>
      </c>
      <c r="Z175" s="187" t="inlineStr">
        <is>
          <t>CHECK_VENDOR</t>
        </is>
      </c>
      <c r="AA175" s="187" t="inlineStr">
        <is>
          <t>https://nvd.nist.gov/vuln/detail/CVE-2026-25005</t>
        </is>
      </c>
      <c r="AB175" s="187" t="inlineStr">
        <is>
          <t>NONE</t>
        </is>
      </c>
      <c r="AC175" s="187" t="n">
        <v>0</v>
      </c>
      <c r="AD175" s="187" t="inlineStr"/>
    </row>
    <row r="176">
      <c r="A176" s="187" t="inlineStr">
        <is>
          <t>CVE</t>
        </is>
      </c>
      <c r="B176" s="187" t="inlineStr">
        <is>
          <t>CVE-2026-25006</t>
        </is>
      </c>
      <c r="C176" s="187" t="inlineStr">
        <is>
          <t>Improper Neutralization of Script-Related HTML Tags in a Web Page (Basic XSS) vulnerability in 8theme XStore xstore allows Code Injection.This issue affects XStore: from n/a through &lt;= 9.6.4.</t>
        </is>
      </c>
      <c r="D176" s="187" t="n">
        <v>5</v>
      </c>
      <c r="E176" s="187" t="inlineStr">
        <is>
          <t>MEDIUM</t>
        </is>
      </c>
      <c r="F176" s="187" t="n">
        <v>2</v>
      </c>
      <c r="G176" s="187" t="n">
        <v>2</v>
      </c>
      <c r="H176" s="187" t="inlineStr">
        <is>
          <t>MEDIUM</t>
        </is>
      </c>
      <c r="I176" s="187" t="n">
        <v>9</v>
      </c>
      <c r="J176" s="187" t="inlineStr">
        <is>
          <t>NO</t>
        </is>
      </c>
      <c r="K176" s="187" t="inlineStr">
        <is>
          <t>https://nvd.nist.gov/vuln/detail/CVE-2026-25006</t>
        </is>
      </c>
      <c r="L176" s="187" t="inlineStr">
        <is>
          <t>2026-02-26 00:15</t>
        </is>
      </c>
      <c r="M176" s="187" t="inlineStr">
        <is>
          <t>CHECK_VENDOR</t>
        </is>
      </c>
      <c r="N176" s="187" t="inlineStr">
        <is>
          <t>See NVD references</t>
        </is>
      </c>
      <c r="O176" s="187" t="inlineStr">
        <is>
          <t>Apply vendor patches</t>
        </is>
      </c>
      <c r="P176" s="187" t="inlineStr">
        <is>
          <t>See CVE details</t>
        </is>
      </c>
      <c r="Q176" s="187" t="inlineStr">
        <is>
          <t>P4</t>
        </is>
      </c>
      <c r="R176" s="187" t="inlineStr">
        <is>
          <t>📅 Schedule patch deployment within 30 days | 🔍 Monitor for exploitation attempts</t>
        </is>
      </c>
      <c r="S176" s="187" t="inlineStr">
        <is>
          <t>CVE - IP enrichment n/a</t>
        </is>
      </c>
      <c r="T176" s="187" t="n">
        <v>0</v>
      </c>
      <c r="U176" s="187" t="n">
        <v>0</v>
      </c>
      <c r="V176" s="187" t="inlineStr">
        <is>
          <t>T1189:Drive-by Compromise</t>
        </is>
      </c>
      <c r="W176" s="187" t="n">
        <v>1</v>
      </c>
      <c r="X176" s="187" t="inlineStr">
        <is>
          <t>LOW (40%)</t>
        </is>
      </c>
      <c r="Y176" s="187" t="inlineStr">
        <is>
          <t>UNLIKELY</t>
        </is>
      </c>
      <c r="Z176" s="187" t="inlineStr">
        <is>
          <t>CHECK_VENDOR</t>
        </is>
      </c>
      <c r="AA176" s="187" t="inlineStr">
        <is>
          <t>https://nvd.nist.gov/vuln/detail/CVE-2026-25006</t>
        </is>
      </c>
      <c r="AB176" s="187" t="inlineStr">
        <is>
          <t>NONE</t>
        </is>
      </c>
      <c r="AC176" s="187" t="n">
        <v>0</v>
      </c>
      <c r="AD176" s="187" t="inlineStr"/>
    </row>
    <row r="177">
      <c r="A177" s="187" t="inlineStr">
        <is>
          <t>CVE</t>
        </is>
      </c>
      <c r="B177" s="187" t="inlineStr">
        <is>
          <t>CVE-2026-25008</t>
        </is>
      </c>
      <c r="C177" s="187" t="inlineStr">
        <is>
          <t>Insertion of Sensitive Information Into Sent Data vulnerability in Shahjahan Jewel Ninja Tables ninja-tables allows Retrieve Embedded Sensitive Data.This issue affects Ninja Tables: from n/a through &lt;= 5.2.5.</t>
        </is>
      </c>
      <c r="D177" s="187" t="n">
        <v>4.3</v>
      </c>
      <c r="E177" s="187" t="inlineStr">
        <is>
          <t>MEDIUM</t>
        </is>
      </c>
      <c r="F177" s="187" t="n">
        <v>2</v>
      </c>
      <c r="G177" s="187" t="n">
        <v>2</v>
      </c>
      <c r="H177" s="187" t="inlineStr">
        <is>
          <t>MEDIUM</t>
        </is>
      </c>
      <c r="I177" s="187" t="n">
        <v>8.300000000000001</v>
      </c>
      <c r="J177" s="187" t="inlineStr">
        <is>
          <t>NO</t>
        </is>
      </c>
      <c r="K177" s="187" t="inlineStr">
        <is>
          <t>https://nvd.nist.gov/vuln/detail/CVE-2026-25008</t>
        </is>
      </c>
      <c r="L177" s="187" t="inlineStr">
        <is>
          <t>2026-02-26 00:15</t>
        </is>
      </c>
      <c r="M177" s="187" t="inlineStr">
        <is>
          <t>CHECK_VENDOR</t>
        </is>
      </c>
      <c r="N177" s="187" t="inlineStr">
        <is>
          <t>See NVD references</t>
        </is>
      </c>
      <c r="O177" s="187" t="inlineStr">
        <is>
          <t>Apply vendor patches</t>
        </is>
      </c>
      <c r="P177" s="187" t="inlineStr">
        <is>
          <t>See CVE details</t>
        </is>
      </c>
      <c r="Q177" s="187" t="inlineStr">
        <is>
          <t>P4</t>
        </is>
      </c>
      <c r="R177" s="187" t="inlineStr">
        <is>
          <t>📅 Schedule patch deployment within 30 days | 🔍 Monitor for exploitation attempts</t>
        </is>
      </c>
      <c r="S177" s="187" t="inlineStr">
        <is>
          <t>CVE - IP enrichment n/a</t>
        </is>
      </c>
      <c r="T177" s="187" t="n">
        <v>0</v>
      </c>
      <c r="U177" s="187" t="n">
        <v>0</v>
      </c>
      <c r="V177" s="187" t="inlineStr">
        <is>
          <t>T1190:Exploit Public-Facing Application</t>
        </is>
      </c>
      <c r="W177" s="187" t="n">
        <v>1</v>
      </c>
      <c r="X177" s="187" t="inlineStr">
        <is>
          <t>LOW (40%)</t>
        </is>
      </c>
      <c r="Y177" s="187" t="inlineStr">
        <is>
          <t>UNLIKELY</t>
        </is>
      </c>
      <c r="Z177" s="187" t="inlineStr">
        <is>
          <t>CHECK_VENDOR</t>
        </is>
      </c>
      <c r="AA177" s="187" t="inlineStr">
        <is>
          <t>https://nvd.nist.gov/vuln/detail/CVE-2026-25008</t>
        </is>
      </c>
      <c r="AB177" s="187" t="inlineStr">
        <is>
          <t>NONE</t>
        </is>
      </c>
      <c r="AC177" s="187" t="n">
        <v>0</v>
      </c>
      <c r="AD177" s="187" t="inlineStr"/>
    </row>
    <row r="178">
      <c r="A178" s="187" t="inlineStr">
        <is>
          <t>CVE</t>
        </is>
      </c>
      <c r="B178" s="187" t="inlineStr">
        <is>
          <t>CVE-2026-25305</t>
        </is>
      </c>
      <c r="C178" s="187" t="inlineStr">
        <is>
          <t>Improper Neutralization of Input During Web Page Generation ('Cross-site Scripting') vulnerability in 8theme XStore xstore allows DOM-Based XSS.This issue affects XStore: from n/a through &lt;= 9.6.4.</t>
        </is>
      </c>
      <c r="D178" s="187" t="n">
        <v>5</v>
      </c>
      <c r="E178" s="187" t="inlineStr">
        <is>
          <t>MEDIUM</t>
        </is>
      </c>
      <c r="F178" s="187" t="n">
        <v>2</v>
      </c>
      <c r="G178" s="187" t="n">
        <v>2</v>
      </c>
      <c r="H178" s="187" t="inlineStr">
        <is>
          <t>MEDIUM</t>
        </is>
      </c>
      <c r="I178" s="187" t="n">
        <v>9</v>
      </c>
      <c r="J178" s="187" t="inlineStr">
        <is>
          <t>NO</t>
        </is>
      </c>
      <c r="K178" s="187" t="inlineStr">
        <is>
          <t>https://nvd.nist.gov/vuln/detail/CVE-2026-25305</t>
        </is>
      </c>
      <c r="L178" s="187" t="inlineStr">
        <is>
          <t>2026-02-26 00:15</t>
        </is>
      </c>
      <c r="M178" s="187" t="inlineStr">
        <is>
          <t>CHECK_VENDOR</t>
        </is>
      </c>
      <c r="N178" s="187" t="inlineStr">
        <is>
          <t>See NVD references</t>
        </is>
      </c>
      <c r="O178" s="187" t="inlineStr">
        <is>
          <t>Apply vendor patches</t>
        </is>
      </c>
      <c r="P178" s="187" t="inlineStr">
        <is>
          <t>See CVE details</t>
        </is>
      </c>
      <c r="Q178" s="187" t="inlineStr">
        <is>
          <t>P4</t>
        </is>
      </c>
      <c r="R178" s="187" t="inlineStr">
        <is>
          <t>📅 Schedule patch deployment within 30 days | 🔍 Monitor for exploitation attempts</t>
        </is>
      </c>
      <c r="S178" s="187" t="inlineStr">
        <is>
          <t>CVE - IP enrichment n/a</t>
        </is>
      </c>
      <c r="T178" s="187" t="n">
        <v>0</v>
      </c>
      <c r="U178" s="187" t="n">
        <v>0</v>
      </c>
      <c r="V178" s="187" t="inlineStr">
        <is>
          <t>T1189:Drive-by Compromise</t>
        </is>
      </c>
      <c r="W178" s="187" t="n">
        <v>1</v>
      </c>
      <c r="X178" s="187" t="inlineStr">
        <is>
          <t>LOW (40%)</t>
        </is>
      </c>
      <c r="Y178" s="187" t="inlineStr">
        <is>
          <t>UNLIKELY</t>
        </is>
      </c>
      <c r="Z178" s="187" t="inlineStr">
        <is>
          <t>CHECK_VENDOR</t>
        </is>
      </c>
      <c r="AA178" s="187" t="inlineStr">
        <is>
          <t>https://nvd.nist.gov/vuln/detail/CVE-2026-25305</t>
        </is>
      </c>
      <c r="AB178" s="187" t="inlineStr">
        <is>
          <t>NONE</t>
        </is>
      </c>
      <c r="AC178" s="187" t="n">
        <v>0</v>
      </c>
      <c r="AD178" s="187" t="inlineStr"/>
    </row>
    <row r="179">
      <c r="A179" s="187" t="inlineStr">
        <is>
          <t>CVE</t>
        </is>
      </c>
      <c r="B179" s="187" t="inlineStr">
        <is>
          <t>CVE-2026-25307</t>
        </is>
      </c>
      <c r="C179" s="187" t="inlineStr">
        <is>
          <t>Improper Neutralization of Input During Web Page Generation ('Cross-site Scripting') vulnerability in 8theme XStore Core et-core-plugin allows DOM-Based XSS.This issue affects XStore Core: from n/a through &lt; 5.7.</t>
        </is>
      </c>
      <c r="D179" s="187" t="n">
        <v>6.5</v>
      </c>
      <c r="E179" s="187" t="inlineStr">
        <is>
          <t>MEDIUM</t>
        </is>
      </c>
      <c r="F179" s="187" t="n">
        <v>2</v>
      </c>
      <c r="G179" s="187" t="n">
        <v>2</v>
      </c>
      <c r="H179" s="187" t="inlineStr">
        <is>
          <t>MEDIUM</t>
        </is>
      </c>
      <c r="I179" s="187" t="n">
        <v>10.5</v>
      </c>
      <c r="J179" s="187" t="inlineStr">
        <is>
          <t>NO</t>
        </is>
      </c>
      <c r="K179" s="187" t="inlineStr">
        <is>
          <t>https://nvd.nist.gov/vuln/detail/CVE-2026-25307</t>
        </is>
      </c>
      <c r="L179" s="187" t="inlineStr">
        <is>
          <t>2026-02-26 00:15</t>
        </is>
      </c>
      <c r="M179" s="187" t="inlineStr">
        <is>
          <t>CHECK_VENDOR</t>
        </is>
      </c>
      <c r="N179" s="187" t="inlineStr">
        <is>
          <t>See NVD references</t>
        </is>
      </c>
      <c r="O179" s="187" t="inlineStr">
        <is>
          <t>Apply vendor patches</t>
        </is>
      </c>
      <c r="P179" s="187" t="inlineStr">
        <is>
          <t>See CVE details</t>
        </is>
      </c>
      <c r="Q179" s="187" t="inlineStr">
        <is>
          <t>P4</t>
        </is>
      </c>
      <c r="R179" s="187" t="inlineStr">
        <is>
          <t>📅 Schedule patch deployment within 30 days | 🔍 Monitor for exploitation attempts</t>
        </is>
      </c>
      <c r="S179" s="187" t="inlineStr">
        <is>
          <t>CVE - IP enrichment n/a</t>
        </is>
      </c>
      <c r="T179" s="187" t="n">
        <v>0.0003</v>
      </c>
      <c r="U179" s="187" t="n">
        <v>0.0961</v>
      </c>
      <c r="V179" s="187" t="inlineStr">
        <is>
          <t>T1189:Drive-by Compromise</t>
        </is>
      </c>
      <c r="W179" s="187" t="n">
        <v>1</v>
      </c>
      <c r="X179" s="187" t="inlineStr">
        <is>
          <t>LOW (40%)</t>
        </is>
      </c>
      <c r="Y179" s="187" t="inlineStr">
        <is>
          <t>UNLIKELY</t>
        </is>
      </c>
      <c r="Z179" s="187" t="inlineStr">
        <is>
          <t>CHECK_VENDOR</t>
        </is>
      </c>
      <c r="AA179" s="187" t="inlineStr">
        <is>
          <t>https://nvd.nist.gov/vuln/detail/CVE-2026-25307</t>
        </is>
      </c>
      <c r="AB179" s="187" t="inlineStr">
        <is>
          <t>NONE</t>
        </is>
      </c>
      <c r="AC179" s="187" t="n">
        <v>0</v>
      </c>
      <c r="AD179" s="187" t="inlineStr"/>
    </row>
    <row r="180">
      <c r="A180" s="187" t="inlineStr">
        <is>
          <t>CVE</t>
        </is>
      </c>
      <c r="B180" s="187" t="inlineStr">
        <is>
          <t>CVE-2026-25308</t>
        </is>
      </c>
      <c r="C180" s="187" t="inlineStr">
        <is>
          <t>Missing Authorization vulnerability in wp.insider Simple Membership simple-membership allows Exploiting Incorrectly Configured Access Control Security Levels.This issue affects Simple Membership: from n/a through &lt;= 4.6.9.</t>
        </is>
      </c>
      <c r="D180" s="187" t="n">
        <v>4.3</v>
      </c>
      <c r="E180" s="187" t="inlineStr">
        <is>
          <t>MEDIUM</t>
        </is>
      </c>
      <c r="F180" s="187" t="n">
        <v>2</v>
      </c>
      <c r="G180" s="187" t="n">
        <v>2</v>
      </c>
      <c r="H180" s="187" t="inlineStr">
        <is>
          <t>MEDIUM</t>
        </is>
      </c>
      <c r="I180" s="187" t="n">
        <v>8.300000000000001</v>
      </c>
      <c r="J180" s="187" t="inlineStr">
        <is>
          <t>NO</t>
        </is>
      </c>
      <c r="K180" s="187" t="inlineStr">
        <is>
          <t>https://nvd.nist.gov/vuln/detail/CVE-2026-25308</t>
        </is>
      </c>
      <c r="L180" s="187" t="inlineStr">
        <is>
          <t>2026-02-26 00:15</t>
        </is>
      </c>
      <c r="M180" s="187" t="inlineStr">
        <is>
          <t>CHECK_VENDOR</t>
        </is>
      </c>
      <c r="N180" s="187" t="inlineStr">
        <is>
          <t>See NVD references</t>
        </is>
      </c>
      <c r="O180" s="187" t="inlineStr">
        <is>
          <t>Apply vendor patches</t>
        </is>
      </c>
      <c r="P180" s="187" t="inlineStr">
        <is>
          <t>See CVE details</t>
        </is>
      </c>
      <c r="Q180" s="187" t="inlineStr">
        <is>
          <t>P4</t>
        </is>
      </c>
      <c r="R180" s="187" t="inlineStr">
        <is>
          <t>📅 Schedule patch deployment within 30 days | 🔍 Monitor for exploitation attempts</t>
        </is>
      </c>
      <c r="S180" s="187" t="inlineStr">
        <is>
          <t>CVE - IP enrichment n/a</t>
        </is>
      </c>
      <c r="T180" s="187" t="n">
        <v>0</v>
      </c>
      <c r="U180" s="187" t="n">
        <v>0</v>
      </c>
      <c r="V180" s="187" t="inlineStr">
        <is>
          <t>T1190:Exploit Public-Facing Application</t>
        </is>
      </c>
      <c r="W180" s="187" t="n">
        <v>1</v>
      </c>
      <c r="X180" s="187" t="inlineStr">
        <is>
          <t>LOW (40%)</t>
        </is>
      </c>
      <c r="Y180" s="187" t="inlineStr">
        <is>
          <t>UNLIKELY</t>
        </is>
      </c>
      <c r="Z180" s="187" t="inlineStr">
        <is>
          <t>CHECK_VENDOR</t>
        </is>
      </c>
      <c r="AA180" s="187" t="inlineStr">
        <is>
          <t>https://nvd.nist.gov/vuln/detail/CVE-2026-25308</t>
        </is>
      </c>
      <c r="AB180" s="187" t="inlineStr">
        <is>
          <t>NONE</t>
        </is>
      </c>
      <c r="AC180" s="187" t="n">
        <v>0</v>
      </c>
      <c r="AD180" s="187" t="inlineStr"/>
    </row>
    <row r="181">
      <c r="A181" s="187" t="inlineStr">
        <is>
          <t>CVE</t>
        </is>
      </c>
      <c r="B181" s="187" t="inlineStr">
        <is>
          <t>CVE-2026-25310</t>
        </is>
      </c>
      <c r="C181" s="187" t="inlineStr">
        <is>
          <t>Server-Side Request Forgery (SSRF) vulnerability in Alobaidi Extend Link extend-link allows Server Side Request Forgery.This issue affects Extend Link: from n/a through &lt;= 2.0.0.</t>
        </is>
      </c>
      <c r="D181" s="187" t="n">
        <v>4.9</v>
      </c>
      <c r="E181" s="187" t="inlineStr">
        <is>
          <t>MEDIUM</t>
        </is>
      </c>
      <c r="F181" s="187" t="n">
        <v>2</v>
      </c>
      <c r="G181" s="187" t="n">
        <v>2</v>
      </c>
      <c r="H181" s="187" t="inlineStr">
        <is>
          <t>MEDIUM</t>
        </is>
      </c>
      <c r="I181" s="187" t="n">
        <v>8.9</v>
      </c>
      <c r="J181" s="187" t="inlineStr">
        <is>
          <t>NO</t>
        </is>
      </c>
      <c r="K181" s="187" t="inlineStr">
        <is>
          <t>https://nvd.nist.gov/vuln/detail/CVE-2026-25310</t>
        </is>
      </c>
      <c r="L181" s="187" t="inlineStr">
        <is>
          <t>2026-02-26 00:15</t>
        </is>
      </c>
      <c r="M181" s="187" t="inlineStr">
        <is>
          <t>CHECK_VENDOR</t>
        </is>
      </c>
      <c r="N181" s="187" t="inlineStr">
        <is>
          <t>See NVD references</t>
        </is>
      </c>
      <c r="O181" s="187" t="inlineStr">
        <is>
          <t>Apply vendor patches</t>
        </is>
      </c>
      <c r="P181" s="187" t="inlineStr">
        <is>
          <t>See CVE details</t>
        </is>
      </c>
      <c r="Q181" s="187" t="inlineStr">
        <is>
          <t>P4</t>
        </is>
      </c>
      <c r="R181" s="187" t="inlineStr">
        <is>
          <t>📅 Schedule patch deployment within 30 days | 🔍 Monitor for exploitation attempts</t>
        </is>
      </c>
      <c r="S181" s="187" t="inlineStr">
        <is>
          <t>CVE - IP enrichment n/a</t>
        </is>
      </c>
      <c r="T181" s="187" t="n">
        <v>0</v>
      </c>
      <c r="U181" s="187" t="n">
        <v>0</v>
      </c>
      <c r="V181" s="187" t="inlineStr">
        <is>
          <t>T1090:Proxy</t>
        </is>
      </c>
      <c r="W181" s="187" t="n">
        <v>1</v>
      </c>
      <c r="X181" s="187" t="inlineStr">
        <is>
          <t>LOW (40%)</t>
        </is>
      </c>
      <c r="Y181" s="187" t="inlineStr">
        <is>
          <t>UNLIKELY</t>
        </is>
      </c>
      <c r="Z181" s="187" t="inlineStr">
        <is>
          <t>CHECK_VENDOR</t>
        </is>
      </c>
      <c r="AA181" s="187" t="inlineStr">
        <is>
          <t>https://nvd.nist.gov/vuln/detail/CVE-2026-25310</t>
        </is>
      </c>
      <c r="AB181" s="187" t="inlineStr">
        <is>
          <t>NONE</t>
        </is>
      </c>
      <c r="AC181" s="187" t="n">
        <v>0</v>
      </c>
      <c r="AD181" s="187" t="inlineStr"/>
    </row>
    <row r="182">
      <c r="A182" s="187" t="inlineStr">
        <is>
          <t>CVE</t>
        </is>
      </c>
      <c r="B182" s="187" t="inlineStr">
        <is>
          <t>CVE-2026-25311</t>
        </is>
      </c>
      <c r="C182" s="187" t="inlineStr">
        <is>
          <t>Missing Authorization vulnerability in 10up Autoshare for Twitter autoshare-for-twitter allows Exploiting Incorrectly Configured Access Control Security Levels.This issue affects Autoshare for Twitter: from n/a through &lt;= 2.3.1.</t>
        </is>
      </c>
      <c r="D182" s="187" t="n">
        <v>5.4</v>
      </c>
      <c r="E182" s="187" t="inlineStr">
        <is>
          <t>MEDIUM</t>
        </is>
      </c>
      <c r="F182" s="187" t="n">
        <v>2</v>
      </c>
      <c r="G182" s="187" t="n">
        <v>2</v>
      </c>
      <c r="H182" s="187" t="inlineStr">
        <is>
          <t>MEDIUM</t>
        </is>
      </c>
      <c r="I182" s="187" t="n">
        <v>9.4</v>
      </c>
      <c r="J182" s="187" t="inlineStr">
        <is>
          <t>NO</t>
        </is>
      </c>
      <c r="K182" s="187" t="inlineStr">
        <is>
          <t>https://nvd.nist.gov/vuln/detail/CVE-2026-25311</t>
        </is>
      </c>
      <c r="L182" s="187" t="inlineStr">
        <is>
          <t>2026-02-26 00:15</t>
        </is>
      </c>
      <c r="M182" s="187" t="inlineStr">
        <is>
          <t>CHECK_VENDOR</t>
        </is>
      </c>
      <c r="N182" s="187" t="inlineStr">
        <is>
          <t>See NVD references</t>
        </is>
      </c>
      <c r="O182" s="187" t="inlineStr">
        <is>
          <t>Apply vendor patches</t>
        </is>
      </c>
      <c r="P182" s="187" t="inlineStr">
        <is>
          <t>See CVE details</t>
        </is>
      </c>
      <c r="Q182" s="187" t="inlineStr">
        <is>
          <t>P4</t>
        </is>
      </c>
      <c r="R182" s="187" t="inlineStr">
        <is>
          <t>📅 Schedule patch deployment within 30 days | 🔍 Monitor for exploitation attempts</t>
        </is>
      </c>
      <c r="S182" s="187" t="inlineStr">
        <is>
          <t>CVE - IP enrichment n/a</t>
        </is>
      </c>
      <c r="T182" s="187" t="n">
        <v>0</v>
      </c>
      <c r="U182" s="187" t="n">
        <v>0</v>
      </c>
      <c r="V182" s="187" t="inlineStr">
        <is>
          <t>T1190:Exploit Public-Facing Application</t>
        </is>
      </c>
      <c r="W182" s="187" t="n">
        <v>1</v>
      </c>
      <c r="X182" s="187" t="inlineStr">
        <is>
          <t>LOW (40%)</t>
        </is>
      </c>
      <c r="Y182" s="187" t="inlineStr">
        <is>
          <t>UNLIKELY</t>
        </is>
      </c>
      <c r="Z182" s="187" t="inlineStr">
        <is>
          <t>CHECK_VENDOR</t>
        </is>
      </c>
      <c r="AA182" s="187" t="inlineStr">
        <is>
          <t>https://nvd.nist.gov/vuln/detail/CVE-2026-25311</t>
        </is>
      </c>
      <c r="AB182" s="187" t="inlineStr">
        <is>
          <t>NONE</t>
        </is>
      </c>
      <c r="AC182" s="187" t="n">
        <v>0</v>
      </c>
      <c r="AD182" s="187" t="inlineStr"/>
    </row>
    <row r="183">
      <c r="A183" s="187" t="inlineStr">
        <is>
          <t>CVE</t>
        </is>
      </c>
      <c r="B183" s="187" t="inlineStr">
        <is>
          <t>CVE-2026-25313</t>
        </is>
      </c>
      <c r="C183" s="187" t="inlineStr">
        <is>
          <t>Missing Authorization vulnerability in Shahjahan Jewel FluentForm fluentform allows Exploiting Incorrectly Configured Access Control Security Levels.This issue affects FluentForm: from n/a through &lt;= 6.1.14.</t>
        </is>
      </c>
      <c r="D183" s="187" t="n">
        <v>4.3</v>
      </c>
      <c r="E183" s="187" t="inlineStr">
        <is>
          <t>MEDIUM</t>
        </is>
      </c>
      <c r="F183" s="187" t="n">
        <v>2</v>
      </c>
      <c r="G183" s="187" t="n">
        <v>2</v>
      </c>
      <c r="H183" s="187" t="inlineStr">
        <is>
          <t>MEDIUM</t>
        </is>
      </c>
      <c r="I183" s="187" t="n">
        <v>8.300000000000001</v>
      </c>
      <c r="J183" s="187" t="inlineStr">
        <is>
          <t>NO</t>
        </is>
      </c>
      <c r="K183" s="187" t="inlineStr">
        <is>
          <t>https://nvd.nist.gov/vuln/detail/CVE-2026-25313</t>
        </is>
      </c>
      <c r="L183" s="187" t="inlineStr">
        <is>
          <t>2026-02-26 00:15</t>
        </is>
      </c>
      <c r="M183" s="187" t="inlineStr">
        <is>
          <t>CHECK_VENDOR</t>
        </is>
      </c>
      <c r="N183" s="187" t="inlineStr">
        <is>
          <t>See NVD references</t>
        </is>
      </c>
      <c r="O183" s="187" t="inlineStr">
        <is>
          <t>Apply vendor patches</t>
        </is>
      </c>
      <c r="P183" s="187" t="inlineStr">
        <is>
          <t>See CVE details</t>
        </is>
      </c>
      <c r="Q183" s="187" t="inlineStr">
        <is>
          <t>P4</t>
        </is>
      </c>
      <c r="R183" s="187" t="inlineStr">
        <is>
          <t>📅 Schedule patch deployment within 30 days | 🔍 Monitor for exploitation attempts</t>
        </is>
      </c>
      <c r="S183" s="187" t="inlineStr">
        <is>
          <t>CVE - IP enrichment n/a</t>
        </is>
      </c>
      <c r="T183" s="187" t="n">
        <v>0</v>
      </c>
      <c r="U183" s="187" t="n">
        <v>0</v>
      </c>
      <c r="V183" s="187" t="inlineStr">
        <is>
          <t>T1190:Exploit Public-Facing Application</t>
        </is>
      </c>
      <c r="W183" s="187" t="n">
        <v>1</v>
      </c>
      <c r="X183" s="187" t="inlineStr">
        <is>
          <t>LOW (40%)</t>
        </is>
      </c>
      <c r="Y183" s="187" t="inlineStr">
        <is>
          <t>UNLIKELY</t>
        </is>
      </c>
      <c r="Z183" s="187" t="inlineStr">
        <is>
          <t>CHECK_VENDOR</t>
        </is>
      </c>
      <c r="AA183" s="187" t="inlineStr">
        <is>
          <t>https://nvd.nist.gov/vuln/detail/CVE-2026-25313</t>
        </is>
      </c>
      <c r="AB183" s="187" t="inlineStr">
        <is>
          <t>NONE</t>
        </is>
      </c>
      <c r="AC183" s="187" t="n">
        <v>0</v>
      </c>
      <c r="AD183" s="187" t="inlineStr"/>
    </row>
    <row r="184">
      <c r="A184" s="187" t="inlineStr">
        <is>
          <t>CVE</t>
        </is>
      </c>
      <c r="B184" s="187" t="inlineStr">
        <is>
          <t>CVE-2026-25314</t>
        </is>
      </c>
      <c r="C184" s="187" t="inlineStr">
        <is>
          <t>Missing Authorization vulnerability in WP Messiah TOP Table Of Contents top-table-of-contents allows Exploiting Incorrectly Configured Access Control Security Levels.This issue affects TOP Table Of Contents: from n/a through &lt;= 1.3.31.</t>
        </is>
      </c>
      <c r="D184" s="187" t="n">
        <v>4.3</v>
      </c>
      <c r="E184" s="187" t="inlineStr">
        <is>
          <t>MEDIUM</t>
        </is>
      </c>
      <c r="F184" s="187" t="n">
        <v>2</v>
      </c>
      <c r="G184" s="187" t="n">
        <v>2</v>
      </c>
      <c r="H184" s="187" t="inlineStr">
        <is>
          <t>MEDIUM</t>
        </is>
      </c>
      <c r="I184" s="187" t="n">
        <v>8.300000000000001</v>
      </c>
      <c r="J184" s="187" t="inlineStr">
        <is>
          <t>NO</t>
        </is>
      </c>
      <c r="K184" s="187" t="inlineStr">
        <is>
          <t>https://nvd.nist.gov/vuln/detail/CVE-2026-25314</t>
        </is>
      </c>
      <c r="L184" s="187" t="inlineStr">
        <is>
          <t>2026-02-26 00:15</t>
        </is>
      </c>
      <c r="M184" s="187" t="inlineStr">
        <is>
          <t>CHECK_VENDOR</t>
        </is>
      </c>
      <c r="N184" s="187" t="inlineStr">
        <is>
          <t>See NVD references</t>
        </is>
      </c>
      <c r="O184" s="187" t="inlineStr">
        <is>
          <t>Apply vendor patches</t>
        </is>
      </c>
      <c r="P184" s="187" t="inlineStr">
        <is>
          <t>See CVE details</t>
        </is>
      </c>
      <c r="Q184" s="187" t="inlineStr">
        <is>
          <t>P4</t>
        </is>
      </c>
      <c r="R184" s="187" t="inlineStr">
        <is>
          <t>📅 Schedule patch deployment within 30 days | 🔍 Monitor for exploitation attempts</t>
        </is>
      </c>
      <c r="S184" s="187" t="inlineStr">
        <is>
          <t>CVE - IP enrichment n/a</t>
        </is>
      </c>
      <c r="T184" s="187" t="n">
        <v>0.0003</v>
      </c>
      <c r="U184" s="187" t="n">
        <v>0.08210000000000001</v>
      </c>
      <c r="V184" s="187" t="inlineStr">
        <is>
          <t>T1190:Exploit Public-Facing Application</t>
        </is>
      </c>
      <c r="W184" s="187" t="n">
        <v>1</v>
      </c>
      <c r="X184" s="187" t="inlineStr">
        <is>
          <t>LOW (40%)</t>
        </is>
      </c>
      <c r="Y184" s="187" t="inlineStr">
        <is>
          <t>UNLIKELY</t>
        </is>
      </c>
      <c r="Z184" s="187" t="inlineStr">
        <is>
          <t>CHECK_VENDOR</t>
        </is>
      </c>
      <c r="AA184" s="187" t="inlineStr">
        <is>
          <t>https://nvd.nist.gov/vuln/detail/CVE-2026-25314</t>
        </is>
      </c>
      <c r="AB184" s="187" t="inlineStr">
        <is>
          <t>NONE</t>
        </is>
      </c>
      <c r="AC184" s="187" t="n">
        <v>0</v>
      </c>
      <c r="AD184" s="187" t="inlineStr"/>
    </row>
    <row r="185">
      <c r="A185" s="187" t="inlineStr">
        <is>
          <t>CVE</t>
        </is>
      </c>
      <c r="B185" s="187" t="inlineStr">
        <is>
          <t>CVE-2026-25315</t>
        </is>
      </c>
      <c r="C185" s="187" t="inlineStr">
        <is>
          <t>Missing Authorization vulnerability in hcaptcha hCaptcha for WP hcaptcha-for-forms-and-more allows Exploiting Incorrectly Configured Access Control Security Levels.This issue affects hCaptcha for WP: from n/a through &lt;= 4.22.0.</t>
        </is>
      </c>
      <c r="D185" s="187" t="n">
        <v>5.3</v>
      </c>
      <c r="E185" s="187" t="inlineStr">
        <is>
          <t>MEDIUM</t>
        </is>
      </c>
      <c r="F185" s="187" t="n">
        <v>2</v>
      </c>
      <c r="G185" s="187" t="n">
        <v>2</v>
      </c>
      <c r="H185" s="187" t="inlineStr">
        <is>
          <t>MEDIUM</t>
        </is>
      </c>
      <c r="I185" s="187" t="n">
        <v>9.300000000000001</v>
      </c>
      <c r="J185" s="187" t="inlineStr">
        <is>
          <t>NO</t>
        </is>
      </c>
      <c r="K185" s="187" t="inlineStr">
        <is>
          <t>https://nvd.nist.gov/vuln/detail/CVE-2026-25315</t>
        </is>
      </c>
      <c r="L185" s="187" t="inlineStr">
        <is>
          <t>2026-02-26 00:15</t>
        </is>
      </c>
      <c r="M185" s="187" t="inlineStr">
        <is>
          <t>CHECK_VENDOR</t>
        </is>
      </c>
      <c r="N185" s="187" t="inlineStr">
        <is>
          <t>See NVD references</t>
        </is>
      </c>
      <c r="O185" s="187" t="inlineStr">
        <is>
          <t>Apply vendor patches</t>
        </is>
      </c>
      <c r="P185" s="187" t="inlineStr">
        <is>
          <t>See CVE details</t>
        </is>
      </c>
      <c r="Q185" s="187" t="inlineStr">
        <is>
          <t>P4</t>
        </is>
      </c>
      <c r="R185" s="187" t="inlineStr">
        <is>
          <t>📅 Schedule patch deployment within 30 days | 🔍 Monitor for exploitation attempts</t>
        </is>
      </c>
      <c r="S185" s="187" t="inlineStr">
        <is>
          <t>CVE - IP enrichment n/a</t>
        </is>
      </c>
      <c r="T185" s="187" t="n">
        <v>0</v>
      </c>
      <c r="U185" s="187" t="n">
        <v>0</v>
      </c>
      <c r="V185" s="187" t="inlineStr">
        <is>
          <t>T1190:Exploit Public-Facing Application</t>
        </is>
      </c>
      <c r="W185" s="187" t="n">
        <v>1</v>
      </c>
      <c r="X185" s="187" t="inlineStr">
        <is>
          <t>LOW (40%)</t>
        </is>
      </c>
      <c r="Y185" s="187" t="inlineStr">
        <is>
          <t>UNLIKELY</t>
        </is>
      </c>
      <c r="Z185" s="187" t="inlineStr">
        <is>
          <t>CHECK_VENDOR</t>
        </is>
      </c>
      <c r="AA185" s="187" t="inlineStr">
        <is>
          <t>https://nvd.nist.gov/vuln/detail/CVE-2026-25315</t>
        </is>
      </c>
      <c r="AB185" s="187" t="inlineStr">
        <is>
          <t>NONE</t>
        </is>
      </c>
      <c r="AC185" s="187" t="n">
        <v>0</v>
      </c>
      <c r="AD185" s="187" t="inlineStr"/>
    </row>
    <row r="186">
      <c r="A186" s="188" t="inlineStr">
        <is>
          <t>CVE</t>
        </is>
      </c>
      <c r="B186" s="188" t="inlineStr">
        <is>
          <t>CVE-2026-25316</t>
        </is>
      </c>
      <c r="C186" s="188" t="inlineStr">
        <is>
          <t>Deserialization of Untrusted Data vulnerability in Brainstorm Force CartFlows cartflows allows Object Injection.This issue affects CartFlows: from n/a through &lt;= 2.1.19.</t>
        </is>
      </c>
      <c r="D186" s="188" t="n">
        <v>7.2</v>
      </c>
      <c r="E186" s="188" t="inlineStr">
        <is>
          <t>HIGH</t>
        </is>
      </c>
      <c r="F186" s="188" t="n">
        <v>2</v>
      </c>
      <c r="G186" s="188" t="n">
        <v>3</v>
      </c>
      <c r="H186" s="188" t="inlineStr">
        <is>
          <t>HIGH</t>
        </is>
      </c>
      <c r="I186" s="188" t="n">
        <v>13.2</v>
      </c>
      <c r="J186" s="188" t="inlineStr">
        <is>
          <t>NO</t>
        </is>
      </c>
      <c r="K186" s="188" t="inlineStr">
        <is>
          <t>https://nvd.nist.gov/vuln/detail/CVE-2026-25316</t>
        </is>
      </c>
      <c r="L186" s="188" t="inlineStr">
        <is>
          <t>2026-02-26 00:15</t>
        </is>
      </c>
      <c r="M186" s="188" t="inlineStr">
        <is>
          <t>CHECK_VENDOR</t>
        </is>
      </c>
      <c r="N186" s="188" t="inlineStr">
        <is>
          <t>See NVD references</t>
        </is>
      </c>
      <c r="O186" s="188" t="inlineStr">
        <is>
          <t>Apply vendor patches</t>
        </is>
      </c>
      <c r="P186" s="188" t="inlineStr">
        <is>
          <t>See CVE details</t>
        </is>
      </c>
      <c r="Q186" s="188" t="inlineStr">
        <is>
          <t>P3</t>
        </is>
      </c>
      <c r="R186" s="188" t="inlineStr">
        <is>
          <t>🚨 URGENT: Apply vendor patches immediately | 🔒 Isolate affected systems if patch unavailable | 🛡️ Enable additional monitoring/IDS rules</t>
        </is>
      </c>
      <c r="S186" s="188" t="inlineStr">
        <is>
          <t>CVE - IP enrichment n/a</t>
        </is>
      </c>
      <c r="T186" s="188" t="n">
        <v>0</v>
      </c>
      <c r="U186" s="188" t="n">
        <v>0</v>
      </c>
      <c r="V186" s="188" t="inlineStr">
        <is>
          <t>T1059:Command and Scripting Interpreter | T1190:Exploit Public-Facing Application</t>
        </is>
      </c>
      <c r="W186" s="188" t="n">
        <v>1</v>
      </c>
      <c r="X186" s="188" t="inlineStr">
        <is>
          <t>LOW (40%)</t>
        </is>
      </c>
      <c r="Y186" s="188" t="inlineStr">
        <is>
          <t>UNLIKELY</t>
        </is>
      </c>
      <c r="Z186" s="188" t="inlineStr">
        <is>
          <t>CHECK_VENDOR</t>
        </is>
      </c>
      <c r="AA186" s="188" t="inlineStr">
        <is>
          <t>https://nvd.nist.gov/vuln/detail/CVE-2026-25316</t>
        </is>
      </c>
      <c r="AB186" s="188" t="inlineStr">
        <is>
          <t>NONE</t>
        </is>
      </c>
      <c r="AC186" s="188" t="n">
        <v>0</v>
      </c>
      <c r="AD186" s="188" t="inlineStr"/>
    </row>
    <row r="187">
      <c r="A187" s="187" t="inlineStr">
        <is>
          <t>CVE</t>
        </is>
      </c>
      <c r="B187" s="187" t="inlineStr">
        <is>
          <t>CVE-2026-25318</t>
        </is>
      </c>
      <c r="C187" s="187" t="inlineStr">
        <is>
          <t>Missing Authorization vulnerability in Wisernotify team WiserReview Product Reviews for WooCommerce wiser-review allows Exploiting Incorrectly Configured Access Control Security Levels.This issue affects WiserReview Product Reviews for WooCommerce: from n/a through &lt;= 2.9.</t>
        </is>
      </c>
      <c r="D187" s="187" t="n">
        <v>4.3</v>
      </c>
      <c r="E187" s="187" t="inlineStr">
        <is>
          <t>MEDIUM</t>
        </is>
      </c>
      <c r="F187" s="187" t="n">
        <v>2</v>
      </c>
      <c r="G187" s="187" t="n">
        <v>2</v>
      </c>
      <c r="H187" s="187" t="inlineStr">
        <is>
          <t>MEDIUM</t>
        </is>
      </c>
      <c r="I187" s="187" t="n">
        <v>8.300000000000001</v>
      </c>
      <c r="J187" s="187" t="inlineStr">
        <is>
          <t>NO</t>
        </is>
      </c>
      <c r="K187" s="187" t="inlineStr">
        <is>
          <t>https://nvd.nist.gov/vuln/detail/CVE-2026-25318</t>
        </is>
      </c>
      <c r="L187" s="187" t="inlineStr">
        <is>
          <t>2026-02-26 00:15</t>
        </is>
      </c>
      <c r="M187" s="187" t="inlineStr">
        <is>
          <t>CHECK_VENDOR</t>
        </is>
      </c>
      <c r="N187" s="187" t="inlineStr">
        <is>
          <t>See NVD references</t>
        </is>
      </c>
      <c r="O187" s="187" t="inlineStr">
        <is>
          <t>Apply vendor patches</t>
        </is>
      </c>
      <c r="P187" s="187" t="inlineStr">
        <is>
          <t>See CVE details</t>
        </is>
      </c>
      <c r="Q187" s="187" t="inlineStr">
        <is>
          <t>P4</t>
        </is>
      </c>
      <c r="R187" s="187" t="inlineStr">
        <is>
          <t>📅 Schedule patch deployment within 30 days | 🔍 Monitor for exploitation attempts</t>
        </is>
      </c>
      <c r="S187" s="187" t="inlineStr">
        <is>
          <t>CVE - IP enrichment n/a</t>
        </is>
      </c>
      <c r="T187" s="187" t="n">
        <v>0</v>
      </c>
      <c r="U187" s="187" t="n">
        <v>0</v>
      </c>
      <c r="V187" s="187" t="inlineStr">
        <is>
          <t>T1190:Exploit Public-Facing Application</t>
        </is>
      </c>
      <c r="W187" s="187" t="n">
        <v>1</v>
      </c>
      <c r="X187" s="187" t="inlineStr">
        <is>
          <t>LOW (40%)</t>
        </is>
      </c>
      <c r="Y187" s="187" t="inlineStr">
        <is>
          <t>UNLIKELY</t>
        </is>
      </c>
      <c r="Z187" s="187" t="inlineStr">
        <is>
          <t>CHECK_VENDOR</t>
        </is>
      </c>
      <c r="AA187" s="187" t="inlineStr">
        <is>
          <t>https://nvd.nist.gov/vuln/detail/CVE-2026-25318</t>
        </is>
      </c>
      <c r="AB187" s="187" t="inlineStr">
        <is>
          <t>NONE</t>
        </is>
      </c>
      <c r="AC187" s="187" t="n">
        <v>0</v>
      </c>
      <c r="AD187" s="187" t="inlineStr"/>
    </row>
    <row r="188">
      <c r="A188" s="187" t="inlineStr">
        <is>
          <t>CVE</t>
        </is>
      </c>
      <c r="B188" s="187" t="inlineStr">
        <is>
          <t>CVE-2026-25319</t>
        </is>
      </c>
      <c r="C188" s="187" t="inlineStr">
        <is>
          <t>Cross-Site Request Forgery (CSRF) vulnerability in wpzita Zita Elementor Site Library zita-site-library allows Cross Site Request Forgery.This issue affects Zita Elementor Site Library: from n/a through &lt;= 1.6.6.</t>
        </is>
      </c>
      <c r="D188" s="187" t="n">
        <v>4.3</v>
      </c>
      <c r="E188" s="187" t="inlineStr">
        <is>
          <t>MEDIUM</t>
        </is>
      </c>
      <c r="F188" s="187" t="n">
        <v>2</v>
      </c>
      <c r="G188" s="187" t="n">
        <v>2</v>
      </c>
      <c r="H188" s="187" t="inlineStr">
        <is>
          <t>MEDIUM</t>
        </is>
      </c>
      <c r="I188" s="187" t="n">
        <v>8.300000000000001</v>
      </c>
      <c r="J188" s="187" t="inlineStr">
        <is>
          <t>NO</t>
        </is>
      </c>
      <c r="K188" s="187" t="inlineStr">
        <is>
          <t>https://nvd.nist.gov/vuln/detail/CVE-2026-25319</t>
        </is>
      </c>
      <c r="L188" s="187" t="inlineStr">
        <is>
          <t>2026-02-26 00:15</t>
        </is>
      </c>
      <c r="M188" s="187" t="inlineStr">
        <is>
          <t>CHECK_VENDOR</t>
        </is>
      </c>
      <c r="N188" s="187" t="inlineStr">
        <is>
          <t>See NVD references</t>
        </is>
      </c>
      <c r="O188" s="187" t="inlineStr">
        <is>
          <t>Apply vendor patches</t>
        </is>
      </c>
      <c r="P188" s="187" t="inlineStr">
        <is>
          <t>See CVE details</t>
        </is>
      </c>
      <c r="Q188" s="187" t="inlineStr">
        <is>
          <t>P4</t>
        </is>
      </c>
      <c r="R188" s="187" t="inlineStr">
        <is>
          <t>📅 Schedule patch deployment within 30 days | 🔍 Monitor for exploitation attempts</t>
        </is>
      </c>
      <c r="S188" s="187" t="inlineStr">
        <is>
          <t>CVE - IP enrichment n/a</t>
        </is>
      </c>
      <c r="T188" s="187" t="n">
        <v>0</v>
      </c>
      <c r="U188" s="187" t="n">
        <v>0</v>
      </c>
      <c r="V188" s="187" t="inlineStr">
        <is>
          <t>T1185:Browser Session Hijacking</t>
        </is>
      </c>
      <c r="W188" s="187" t="n">
        <v>1</v>
      </c>
      <c r="X188" s="187" t="inlineStr">
        <is>
          <t>LOW (40%)</t>
        </is>
      </c>
      <c r="Y188" s="187" t="inlineStr">
        <is>
          <t>UNLIKELY</t>
        </is>
      </c>
      <c r="Z188" s="187" t="inlineStr">
        <is>
          <t>CHECK_VENDOR</t>
        </is>
      </c>
      <c r="AA188" s="187" t="inlineStr">
        <is>
          <t>https://nvd.nist.gov/vuln/detail/CVE-2026-25319</t>
        </is>
      </c>
      <c r="AB188" s="187" t="inlineStr">
        <is>
          <t>NONE</t>
        </is>
      </c>
      <c r="AC188" s="187" t="n">
        <v>0</v>
      </c>
      <c r="AD188" s="187" t="inlineStr"/>
    </row>
    <row r="189">
      <c r="A189" s="187" t="inlineStr">
        <is>
          <t>CVE</t>
        </is>
      </c>
      <c r="B189" s="187" t="inlineStr">
        <is>
          <t>CVE-2026-25320</t>
        </is>
      </c>
      <c r="C189" s="187" t="inlineStr">
        <is>
          <t>Missing Authorization vulnerability in Cool Plugins Elementor Contact Form DB sb-elementor-contact-form-db allows Exploiting Incorrectly Configured Access Control Security Levels.This issue affects Elementor Contact Form DB: from n/a through &lt;= 2.1.3.</t>
        </is>
      </c>
      <c r="D189" s="187" t="n">
        <v>5.3</v>
      </c>
      <c r="E189" s="187" t="inlineStr">
        <is>
          <t>MEDIUM</t>
        </is>
      </c>
      <c r="F189" s="187" t="n">
        <v>2</v>
      </c>
      <c r="G189" s="187" t="n">
        <v>2</v>
      </c>
      <c r="H189" s="187" t="inlineStr">
        <is>
          <t>MEDIUM</t>
        </is>
      </c>
      <c r="I189" s="187" t="n">
        <v>9.300000000000001</v>
      </c>
      <c r="J189" s="187" t="inlineStr">
        <is>
          <t>NO</t>
        </is>
      </c>
      <c r="K189" s="187" t="inlineStr">
        <is>
          <t>https://nvd.nist.gov/vuln/detail/CVE-2026-25320</t>
        </is>
      </c>
      <c r="L189" s="187" t="inlineStr">
        <is>
          <t>2026-02-26 00:15</t>
        </is>
      </c>
      <c r="M189" s="187" t="inlineStr">
        <is>
          <t>CHECK_VENDOR</t>
        </is>
      </c>
      <c r="N189" s="187" t="inlineStr">
        <is>
          <t>See NVD references</t>
        </is>
      </c>
      <c r="O189" s="187" t="inlineStr">
        <is>
          <t>Apply vendor patches</t>
        </is>
      </c>
      <c r="P189" s="187" t="inlineStr">
        <is>
          <t>See CVE details</t>
        </is>
      </c>
      <c r="Q189" s="187" t="inlineStr">
        <is>
          <t>P4</t>
        </is>
      </c>
      <c r="R189" s="187" t="inlineStr">
        <is>
          <t>📅 Schedule patch deployment within 30 days | 🔍 Monitor for exploitation attempts</t>
        </is>
      </c>
      <c r="S189" s="187" t="inlineStr">
        <is>
          <t>CVE - IP enrichment n/a</t>
        </is>
      </c>
      <c r="T189" s="187" t="n">
        <v>0</v>
      </c>
      <c r="U189" s="187" t="n">
        <v>0</v>
      </c>
      <c r="V189" s="187" t="inlineStr">
        <is>
          <t>T1190:Exploit Public-Facing Application</t>
        </is>
      </c>
      <c r="W189" s="187" t="n">
        <v>1</v>
      </c>
      <c r="X189" s="187" t="inlineStr">
        <is>
          <t>LOW (40%)</t>
        </is>
      </c>
      <c r="Y189" s="187" t="inlineStr">
        <is>
          <t>UNLIKELY</t>
        </is>
      </c>
      <c r="Z189" s="187" t="inlineStr">
        <is>
          <t>CHECK_VENDOR</t>
        </is>
      </c>
      <c r="AA189" s="187" t="inlineStr">
        <is>
          <t>https://nvd.nist.gov/vuln/detail/CVE-2026-25320</t>
        </is>
      </c>
      <c r="AB189" s="187" t="inlineStr">
        <is>
          <t>NONE</t>
        </is>
      </c>
      <c r="AC189" s="187" t="n">
        <v>0</v>
      </c>
      <c r="AD189" s="187" t="inlineStr"/>
    </row>
    <row r="190">
      <c r="A190" s="187" t="inlineStr">
        <is>
          <t>CVE</t>
        </is>
      </c>
      <c r="B190" s="187" t="inlineStr">
        <is>
          <t>CVE-2026-25321</t>
        </is>
      </c>
      <c r="C190" s="187" t="inlineStr">
        <is>
          <t>Missing Authorization vulnerability in PSM Plugins SupportCandy supportcandy allows Exploiting Incorrectly Configured Access Control Security Levels.This issue affects SupportCandy: from n/a through &lt;= 3.4.4.</t>
        </is>
      </c>
      <c r="D190" s="187" t="n">
        <v>5.3</v>
      </c>
      <c r="E190" s="187" t="inlineStr">
        <is>
          <t>MEDIUM</t>
        </is>
      </c>
      <c r="F190" s="187" t="n">
        <v>2</v>
      </c>
      <c r="G190" s="187" t="n">
        <v>2</v>
      </c>
      <c r="H190" s="187" t="inlineStr">
        <is>
          <t>MEDIUM</t>
        </is>
      </c>
      <c r="I190" s="187" t="n">
        <v>9.300000000000001</v>
      </c>
      <c r="J190" s="187" t="inlineStr">
        <is>
          <t>NO</t>
        </is>
      </c>
      <c r="K190" s="187" t="inlineStr">
        <is>
          <t>https://nvd.nist.gov/vuln/detail/CVE-2026-25321</t>
        </is>
      </c>
      <c r="L190" s="187" t="inlineStr">
        <is>
          <t>2026-02-26 00:15</t>
        </is>
      </c>
      <c r="M190" s="187" t="inlineStr">
        <is>
          <t>CHECK_VENDOR</t>
        </is>
      </c>
      <c r="N190" s="187" t="inlineStr">
        <is>
          <t>See NVD references</t>
        </is>
      </c>
      <c r="O190" s="187" t="inlineStr">
        <is>
          <t>Apply vendor patches</t>
        </is>
      </c>
      <c r="P190" s="187" t="inlineStr">
        <is>
          <t>See CVE details</t>
        </is>
      </c>
      <c r="Q190" s="187" t="inlineStr">
        <is>
          <t>P4</t>
        </is>
      </c>
      <c r="R190" s="187" t="inlineStr">
        <is>
          <t>📅 Schedule patch deployment within 30 days | 🔍 Monitor for exploitation attempts</t>
        </is>
      </c>
      <c r="S190" s="187" t="inlineStr">
        <is>
          <t>CVE - IP enrichment n/a</t>
        </is>
      </c>
      <c r="T190" s="187" t="n">
        <v>0</v>
      </c>
      <c r="U190" s="187" t="n">
        <v>0</v>
      </c>
      <c r="V190" s="187" t="inlineStr">
        <is>
          <t>T1190:Exploit Public-Facing Application</t>
        </is>
      </c>
      <c r="W190" s="187" t="n">
        <v>1</v>
      </c>
      <c r="X190" s="187" t="inlineStr">
        <is>
          <t>LOW (40%)</t>
        </is>
      </c>
      <c r="Y190" s="187" t="inlineStr">
        <is>
          <t>UNLIKELY</t>
        </is>
      </c>
      <c r="Z190" s="187" t="inlineStr">
        <is>
          <t>CHECK_VENDOR</t>
        </is>
      </c>
      <c r="AA190" s="187" t="inlineStr">
        <is>
          <t>https://nvd.nist.gov/vuln/detail/CVE-2026-25321</t>
        </is>
      </c>
      <c r="AB190" s="187" t="inlineStr">
        <is>
          <t>NONE</t>
        </is>
      </c>
      <c r="AC190" s="187" t="n">
        <v>0</v>
      </c>
      <c r="AD190" s="187" t="inlineStr"/>
    </row>
    <row r="191">
      <c r="A191" s="187" t="inlineStr">
        <is>
          <t>CVE</t>
        </is>
      </c>
      <c r="B191" s="187" t="inlineStr">
        <is>
          <t>CVE-2026-25322</t>
        </is>
      </c>
      <c r="C191" s="187" t="inlineStr">
        <is>
          <t>Cross-Site Request Forgery (CSRF) vulnerability in PublishPress PublishPress Revisions revisionary allows Cross Site Request Forgery.This issue affects PublishPress Revisions: from n/a through &lt;= 3.7.22.</t>
        </is>
      </c>
      <c r="D191" s="187" t="n">
        <v>5.4</v>
      </c>
      <c r="E191" s="187" t="inlineStr">
        <is>
          <t>MEDIUM</t>
        </is>
      </c>
      <c r="F191" s="187" t="n">
        <v>2</v>
      </c>
      <c r="G191" s="187" t="n">
        <v>2</v>
      </c>
      <c r="H191" s="187" t="inlineStr">
        <is>
          <t>MEDIUM</t>
        </is>
      </c>
      <c r="I191" s="187" t="n">
        <v>9.4</v>
      </c>
      <c r="J191" s="187" t="inlineStr">
        <is>
          <t>NO</t>
        </is>
      </c>
      <c r="K191" s="187" t="inlineStr">
        <is>
          <t>https://nvd.nist.gov/vuln/detail/CVE-2026-25322</t>
        </is>
      </c>
      <c r="L191" s="187" t="inlineStr">
        <is>
          <t>2026-02-26 00:15</t>
        </is>
      </c>
      <c r="M191" s="187" t="inlineStr">
        <is>
          <t>CHECK_VENDOR</t>
        </is>
      </c>
      <c r="N191" s="187" t="inlineStr">
        <is>
          <t>See NVD references</t>
        </is>
      </c>
      <c r="O191" s="187" t="inlineStr">
        <is>
          <t>Apply vendor patches</t>
        </is>
      </c>
      <c r="P191" s="187" t="inlineStr">
        <is>
          <t>See CVE details</t>
        </is>
      </c>
      <c r="Q191" s="187" t="inlineStr">
        <is>
          <t>P4</t>
        </is>
      </c>
      <c r="R191" s="187" t="inlineStr">
        <is>
          <t>📅 Schedule patch deployment within 30 days | 🔍 Monitor for exploitation attempts</t>
        </is>
      </c>
      <c r="S191" s="187" t="inlineStr">
        <is>
          <t>CVE - IP enrichment n/a</t>
        </is>
      </c>
      <c r="T191" s="187" t="n">
        <v>0</v>
      </c>
      <c r="U191" s="187" t="n">
        <v>0</v>
      </c>
      <c r="V191" s="187" t="inlineStr">
        <is>
          <t>T1185:Browser Session Hijacking</t>
        </is>
      </c>
      <c r="W191" s="187" t="n">
        <v>1</v>
      </c>
      <c r="X191" s="187" t="inlineStr">
        <is>
          <t>LOW (40%)</t>
        </is>
      </c>
      <c r="Y191" s="187" t="inlineStr">
        <is>
          <t>UNLIKELY</t>
        </is>
      </c>
      <c r="Z191" s="187" t="inlineStr">
        <is>
          <t>CHECK_VENDOR</t>
        </is>
      </c>
      <c r="AA191" s="187" t="inlineStr">
        <is>
          <t>https://nvd.nist.gov/vuln/detail/CVE-2026-25322</t>
        </is>
      </c>
      <c r="AB191" s="187" t="inlineStr">
        <is>
          <t>NONE</t>
        </is>
      </c>
      <c r="AC191" s="187" t="n">
        <v>0</v>
      </c>
      <c r="AD191" s="187" t="inlineStr"/>
    </row>
    <row r="192">
      <c r="A192" s="187" t="inlineStr">
        <is>
          <t>CVE</t>
        </is>
      </c>
      <c r="B192" s="187" t="inlineStr">
        <is>
          <t>CVE-2026-25323</t>
        </is>
      </c>
      <c r="C192" s="187" t="inlineStr">
        <is>
          <t>Missing Authorization vulnerability in MiKa OSM osm allows Exploiting Incorrectly Configured Access Control Security Levels.This issue affects OSM: from n/a through &lt;= 6.1.12.</t>
        </is>
      </c>
      <c r="D192" s="187" t="n">
        <v>5</v>
      </c>
      <c r="E192" s="187" t="inlineStr">
        <is>
          <t>MEDIUM</t>
        </is>
      </c>
      <c r="F192" s="187" t="n">
        <v>2</v>
      </c>
      <c r="G192" s="187" t="n">
        <v>2</v>
      </c>
      <c r="H192" s="187" t="inlineStr">
        <is>
          <t>MEDIUM</t>
        </is>
      </c>
      <c r="I192" s="187" t="n">
        <v>9</v>
      </c>
      <c r="J192" s="187" t="inlineStr">
        <is>
          <t>NO</t>
        </is>
      </c>
      <c r="K192" s="187" t="inlineStr">
        <is>
          <t>https://nvd.nist.gov/vuln/detail/CVE-2026-25323</t>
        </is>
      </c>
      <c r="L192" s="187" t="inlineStr">
        <is>
          <t>2026-02-26 00:15</t>
        </is>
      </c>
      <c r="M192" s="187" t="inlineStr">
        <is>
          <t>CHECK_VENDOR</t>
        </is>
      </c>
      <c r="N192" s="187" t="inlineStr">
        <is>
          <t>See NVD references</t>
        </is>
      </c>
      <c r="O192" s="187" t="inlineStr">
        <is>
          <t>Apply vendor patches</t>
        </is>
      </c>
      <c r="P192" s="187" t="inlineStr">
        <is>
          <t>See CVE details</t>
        </is>
      </c>
      <c r="Q192" s="187" t="inlineStr">
        <is>
          <t>P4</t>
        </is>
      </c>
      <c r="R192" s="187" t="inlineStr">
        <is>
          <t>📅 Schedule patch deployment within 30 days | 🔍 Monitor for exploitation attempts</t>
        </is>
      </c>
      <c r="S192" s="187" t="inlineStr">
        <is>
          <t>CVE - IP enrichment n/a</t>
        </is>
      </c>
      <c r="T192" s="187" t="n">
        <v>0</v>
      </c>
      <c r="U192" s="187" t="n">
        <v>0</v>
      </c>
      <c r="V192" s="187" t="inlineStr">
        <is>
          <t>T1190:Exploit Public-Facing Application</t>
        </is>
      </c>
      <c r="W192" s="187" t="n">
        <v>1</v>
      </c>
      <c r="X192" s="187" t="inlineStr">
        <is>
          <t>LOW (40%)</t>
        </is>
      </c>
      <c r="Y192" s="187" t="inlineStr">
        <is>
          <t>UNLIKELY</t>
        </is>
      </c>
      <c r="Z192" s="187" t="inlineStr">
        <is>
          <t>CHECK_VENDOR</t>
        </is>
      </c>
      <c r="AA192" s="187" t="inlineStr">
        <is>
          <t>https://nvd.nist.gov/vuln/detail/CVE-2026-25323</t>
        </is>
      </c>
      <c r="AB192" s="187" t="inlineStr">
        <is>
          <t>NONE</t>
        </is>
      </c>
      <c r="AC192" s="187" t="n">
        <v>0</v>
      </c>
      <c r="AD192" s="187" t="inlineStr"/>
    </row>
    <row r="193">
      <c r="A193" s="187" t="inlineStr">
        <is>
          <t>CVE</t>
        </is>
      </c>
      <c r="B193" s="187" t="inlineStr">
        <is>
          <t>CVE-2026-25324</t>
        </is>
      </c>
      <c r="C193" s="187" t="inlineStr">
        <is>
          <t>Authorization Bypass Through User-Controlled Key vulnerability in ExpressTech Systems Quiz And Survey Master quiz-master-next allows Exploiting Incorrectly Configured Access Control Security Levels.This issue affects Quiz And Survey Master: from n/a through &lt;= 10.3.4.</t>
        </is>
      </c>
      <c r="D193" s="187" t="n">
        <v>5.3</v>
      </c>
      <c r="E193" s="187" t="inlineStr">
        <is>
          <t>MEDIUM</t>
        </is>
      </c>
      <c r="F193" s="187" t="n">
        <v>2</v>
      </c>
      <c r="G193" s="187" t="n">
        <v>2</v>
      </c>
      <c r="H193" s="187" t="inlineStr">
        <is>
          <t>MEDIUM</t>
        </is>
      </c>
      <c r="I193" s="187" t="n">
        <v>9.300000000000001</v>
      </c>
      <c r="J193" s="187" t="inlineStr">
        <is>
          <t>NO</t>
        </is>
      </c>
      <c r="K193" s="187" t="inlineStr">
        <is>
          <t>https://nvd.nist.gov/vuln/detail/CVE-2026-25324</t>
        </is>
      </c>
      <c r="L193" s="187" t="inlineStr">
        <is>
          <t>2026-02-26 00:15</t>
        </is>
      </c>
      <c r="M193" s="187" t="inlineStr">
        <is>
          <t>CHECK_VENDOR</t>
        </is>
      </c>
      <c r="N193" s="187" t="inlineStr">
        <is>
          <t>See NVD references</t>
        </is>
      </c>
      <c r="O193" s="187" t="inlineStr">
        <is>
          <t>Apply vendor patches</t>
        </is>
      </c>
      <c r="P193" s="187" t="inlineStr">
        <is>
          <t>See CVE details</t>
        </is>
      </c>
      <c r="Q193" s="187" t="inlineStr">
        <is>
          <t>P4</t>
        </is>
      </c>
      <c r="R193" s="187" t="inlineStr">
        <is>
          <t>📅 Schedule patch deployment within 30 days | 🔍 Monitor for exploitation attempts</t>
        </is>
      </c>
      <c r="S193" s="187" t="inlineStr">
        <is>
          <t>CVE - IP enrichment n/a</t>
        </is>
      </c>
      <c r="T193" s="187" t="n">
        <v>0</v>
      </c>
      <c r="U193" s="187" t="n">
        <v>0</v>
      </c>
      <c r="V193" s="187" t="inlineStr">
        <is>
          <t>T1190:Exploit Public-Facing Application</t>
        </is>
      </c>
      <c r="W193" s="187" t="n">
        <v>1</v>
      </c>
      <c r="X193" s="187" t="inlineStr">
        <is>
          <t>LOW (40%)</t>
        </is>
      </c>
      <c r="Y193" s="187" t="inlineStr">
        <is>
          <t>UNLIKELY</t>
        </is>
      </c>
      <c r="Z193" s="187" t="inlineStr">
        <is>
          <t>CHECK_VENDOR</t>
        </is>
      </c>
      <c r="AA193" s="187" t="inlineStr">
        <is>
          <t>https://nvd.nist.gov/vuln/detail/CVE-2026-25324</t>
        </is>
      </c>
      <c r="AB193" s="187" t="inlineStr">
        <is>
          <t>NONE</t>
        </is>
      </c>
      <c r="AC193" s="187" t="n">
        <v>0</v>
      </c>
      <c r="AD193" s="187" t="inlineStr"/>
    </row>
    <row r="194">
      <c r="A194" s="187" t="inlineStr">
        <is>
          <t>CVE</t>
        </is>
      </c>
      <c r="B194" s="187" t="inlineStr">
        <is>
          <t>CVE-2026-25325</t>
        </is>
      </c>
      <c r="C194" s="187" t="inlineStr">
        <is>
          <t>Exposure of Sensitive System Information to an Unauthorized Control Sphere vulnerability in rtCamp rtMedia for WordPress, BuddyPress and bbPress buddypress-media allows Retrieve Embedded Sensitive Data.This issue affects rtMedia for WordPress, BuddyPress and bbPress: from n/a through &lt;= 4.7.8.</t>
        </is>
      </c>
      <c r="D194" s="187" t="n">
        <v>5.3</v>
      </c>
      <c r="E194" s="187" t="inlineStr">
        <is>
          <t>MEDIUM</t>
        </is>
      </c>
      <c r="F194" s="187" t="n">
        <v>2</v>
      </c>
      <c r="G194" s="187" t="n">
        <v>2</v>
      </c>
      <c r="H194" s="187" t="inlineStr">
        <is>
          <t>MEDIUM</t>
        </is>
      </c>
      <c r="I194" s="187" t="n">
        <v>9.300000000000001</v>
      </c>
      <c r="J194" s="187" t="inlineStr">
        <is>
          <t>NO</t>
        </is>
      </c>
      <c r="K194" s="187" t="inlineStr">
        <is>
          <t>https://nvd.nist.gov/vuln/detail/CVE-2026-25325</t>
        </is>
      </c>
      <c r="L194" s="187" t="inlineStr">
        <is>
          <t>2026-02-26 00:15</t>
        </is>
      </c>
      <c r="M194" s="187" t="inlineStr">
        <is>
          <t>CHECK_VENDOR</t>
        </is>
      </c>
      <c r="N194" s="187" t="inlineStr">
        <is>
          <t>See NVD references</t>
        </is>
      </c>
      <c r="O194" s="187" t="inlineStr">
        <is>
          <t>Apply vendor patches</t>
        </is>
      </c>
      <c r="P194" s="187" t="inlineStr">
        <is>
          <t>See CVE details</t>
        </is>
      </c>
      <c r="Q194" s="187" t="inlineStr">
        <is>
          <t>P4</t>
        </is>
      </c>
      <c r="R194" s="187" t="inlineStr">
        <is>
          <t>📅 Schedule patch deployment within 30 days | 🔍 Monitor for exploitation attempts</t>
        </is>
      </c>
      <c r="S194" s="187" t="inlineStr">
        <is>
          <t>CVE - IP enrichment n/a</t>
        </is>
      </c>
      <c r="T194" s="187" t="n">
        <v>0</v>
      </c>
      <c r="U194" s="187" t="n">
        <v>0</v>
      </c>
      <c r="V194" s="187" t="inlineStr">
        <is>
          <t>T1190:Exploit Public-Facing Application</t>
        </is>
      </c>
      <c r="W194" s="187" t="n">
        <v>1</v>
      </c>
      <c r="X194" s="187" t="inlineStr">
        <is>
          <t>LOW (40%)</t>
        </is>
      </c>
      <c r="Y194" s="187" t="inlineStr">
        <is>
          <t>UNLIKELY</t>
        </is>
      </c>
      <c r="Z194" s="187" t="inlineStr">
        <is>
          <t>CHECK_VENDOR</t>
        </is>
      </c>
      <c r="AA194" s="187" t="inlineStr">
        <is>
          <t>https://nvd.nist.gov/vuln/detail/CVE-2026-25325</t>
        </is>
      </c>
      <c r="AB194" s="187" t="inlineStr">
        <is>
          <t>NONE</t>
        </is>
      </c>
      <c r="AC194" s="187" t="n">
        <v>0</v>
      </c>
      <c r="AD194" s="187" t="inlineStr"/>
    </row>
    <row r="195">
      <c r="A195" s="188" t="inlineStr">
        <is>
          <t>CVE</t>
        </is>
      </c>
      <c r="B195" s="188" t="inlineStr">
        <is>
          <t>CVE-2026-25326</t>
        </is>
      </c>
      <c r="C195" s="188" t="inlineStr">
        <is>
          <t>Improper Control of Filename for Include/Require Statement in PHP Program ('PHP Remote File Inclusion') vulnerability in cmsmasters CMSMasters Content Composer cmsmasters-content-composer allows PHP Local File Inclusion.This issue affects CMSMasters Content Composer: from n/a through &lt;= 1.4.5.</t>
        </is>
      </c>
      <c r="D195" s="188" t="n">
        <v>7.5</v>
      </c>
      <c r="E195" s="188" t="inlineStr">
        <is>
          <t>HIGH</t>
        </is>
      </c>
      <c r="F195" s="188" t="n">
        <v>2</v>
      </c>
      <c r="G195" s="188" t="n">
        <v>3</v>
      </c>
      <c r="H195" s="188" t="inlineStr">
        <is>
          <t>HIGH</t>
        </is>
      </c>
      <c r="I195" s="188" t="n">
        <v>13.5</v>
      </c>
      <c r="J195" s="188" t="inlineStr">
        <is>
          <t>NO</t>
        </is>
      </c>
      <c r="K195" s="188" t="inlineStr">
        <is>
          <t>https://nvd.nist.gov/vuln/detail/CVE-2026-25326</t>
        </is>
      </c>
      <c r="L195" s="188" t="inlineStr">
        <is>
          <t>2026-02-26 00:15</t>
        </is>
      </c>
      <c r="M195" s="188" t="inlineStr">
        <is>
          <t>CHECK_VENDOR</t>
        </is>
      </c>
      <c r="N195" s="188" t="inlineStr">
        <is>
          <t>See NVD references</t>
        </is>
      </c>
      <c r="O195" s="188" t="inlineStr">
        <is>
          <t>Apply vendor patches</t>
        </is>
      </c>
      <c r="P195" s="188" t="inlineStr">
        <is>
          <t>See CVE details</t>
        </is>
      </c>
      <c r="Q195" s="188" t="inlineStr">
        <is>
          <t>P3</t>
        </is>
      </c>
      <c r="R195" s="188" t="inlineStr">
        <is>
          <t>🚨 URGENT: Apply vendor patches immediately | 🔒 Isolate affected systems if patch unavailable | 🛡️ Enable additional monitoring/IDS rules</t>
        </is>
      </c>
      <c r="S195" s="188" t="inlineStr">
        <is>
          <t>CVE - IP enrichment n/a</t>
        </is>
      </c>
      <c r="T195" s="188" t="n">
        <v>0</v>
      </c>
      <c r="U195" s="188" t="n">
        <v>0</v>
      </c>
      <c r="V195" s="188" t="inlineStr">
        <is>
          <t>T1190:Exploit Public-Facing Application</t>
        </is>
      </c>
      <c r="W195" s="188" t="n">
        <v>1</v>
      </c>
      <c r="X195" s="188" t="inlineStr">
        <is>
          <t>LOW (40%)</t>
        </is>
      </c>
      <c r="Y195" s="188" t="inlineStr">
        <is>
          <t>UNLIKELY</t>
        </is>
      </c>
      <c r="Z195" s="188" t="inlineStr">
        <is>
          <t>CHECK_VENDOR</t>
        </is>
      </c>
      <c r="AA195" s="188" t="inlineStr">
        <is>
          <t>https://nvd.nist.gov/vuln/detail/CVE-2026-25326</t>
        </is>
      </c>
      <c r="AB195" s="188" t="inlineStr">
        <is>
          <t>NONE</t>
        </is>
      </c>
      <c r="AC195" s="188" t="n">
        <v>0</v>
      </c>
      <c r="AD195" s="188" t="inlineStr"/>
    </row>
    <row r="196">
      <c r="A196" s="187" t="inlineStr">
        <is>
          <t>CVE</t>
        </is>
      </c>
      <c r="B196" s="187" t="inlineStr">
        <is>
          <t>CVE-2026-25329</t>
        </is>
      </c>
      <c r="C196" s="187" t="inlineStr">
        <is>
          <t>Missing Authorization vulnerability in ExpressTech Systems Quiz And Survey Master quiz-master-next allows Exploiting Incorrectly Configured Access Control Security Levels.This issue affects Quiz And Survey Master: from n/a through &lt;= 10.3.4.</t>
        </is>
      </c>
      <c r="D196" s="187" t="n">
        <v>5</v>
      </c>
      <c r="E196" s="187" t="inlineStr">
        <is>
          <t>MEDIUM</t>
        </is>
      </c>
      <c r="F196" s="187" t="n">
        <v>2</v>
      </c>
      <c r="G196" s="187" t="n">
        <v>2</v>
      </c>
      <c r="H196" s="187" t="inlineStr">
        <is>
          <t>MEDIUM</t>
        </is>
      </c>
      <c r="I196" s="187" t="n">
        <v>9</v>
      </c>
      <c r="J196" s="187" t="inlineStr">
        <is>
          <t>NO</t>
        </is>
      </c>
      <c r="K196" s="187" t="inlineStr">
        <is>
          <t>https://nvd.nist.gov/vuln/detail/CVE-2026-25329</t>
        </is>
      </c>
      <c r="L196" s="187" t="inlineStr">
        <is>
          <t>2026-02-26 00:15</t>
        </is>
      </c>
      <c r="M196" s="187" t="inlineStr">
        <is>
          <t>CHECK_VENDOR</t>
        </is>
      </c>
      <c r="N196" s="187" t="inlineStr">
        <is>
          <t>See NVD references</t>
        </is>
      </c>
      <c r="O196" s="187" t="inlineStr">
        <is>
          <t>Apply vendor patches</t>
        </is>
      </c>
      <c r="P196" s="187" t="inlineStr">
        <is>
          <t>See CVE details</t>
        </is>
      </c>
      <c r="Q196" s="187" t="inlineStr">
        <is>
          <t>P4</t>
        </is>
      </c>
      <c r="R196" s="187" t="inlineStr">
        <is>
          <t>📅 Schedule patch deployment within 30 days | 🔍 Monitor for exploitation attempts</t>
        </is>
      </c>
      <c r="S196" s="187" t="inlineStr">
        <is>
          <t>CVE - IP enrichment n/a</t>
        </is>
      </c>
      <c r="T196" s="187" t="n">
        <v>0</v>
      </c>
      <c r="U196" s="187" t="n">
        <v>0</v>
      </c>
      <c r="V196" s="187" t="inlineStr">
        <is>
          <t>T1190:Exploit Public-Facing Application</t>
        </is>
      </c>
      <c r="W196" s="187" t="n">
        <v>1</v>
      </c>
      <c r="X196" s="187" t="inlineStr">
        <is>
          <t>LOW (40%)</t>
        </is>
      </c>
      <c r="Y196" s="187" t="inlineStr">
        <is>
          <t>UNLIKELY</t>
        </is>
      </c>
      <c r="Z196" s="187" t="inlineStr">
        <is>
          <t>CHECK_VENDOR</t>
        </is>
      </c>
      <c r="AA196" s="187" t="inlineStr">
        <is>
          <t>https://nvd.nist.gov/vuln/detail/CVE-2026-25329</t>
        </is>
      </c>
      <c r="AB196" s="187" t="inlineStr">
        <is>
          <t>NONE</t>
        </is>
      </c>
      <c r="AC196" s="187" t="n">
        <v>0</v>
      </c>
      <c r="AD196" s="187" t="inlineStr"/>
    </row>
    <row r="197">
      <c r="A197" s="187" t="inlineStr">
        <is>
          <t>CVE</t>
        </is>
      </c>
      <c r="B197" s="187" t="inlineStr">
        <is>
          <t>CVE-2026-25330</t>
        </is>
      </c>
      <c r="C197" s="187" t="inlineStr">
        <is>
          <t>Missing Authorization vulnerability in PublishPress PublishPress Authors publishpress-authors allows Exploiting Incorrectly Configured Access Control Security Levels.This issue affects PublishPress Authors: from n/a through &lt;= 4.10.1.</t>
        </is>
      </c>
      <c r="D197" s="187" t="n">
        <v>4.3</v>
      </c>
      <c r="E197" s="187" t="inlineStr">
        <is>
          <t>MEDIUM</t>
        </is>
      </c>
      <c r="F197" s="187" t="n">
        <v>2</v>
      </c>
      <c r="G197" s="187" t="n">
        <v>2</v>
      </c>
      <c r="H197" s="187" t="inlineStr">
        <is>
          <t>MEDIUM</t>
        </is>
      </c>
      <c r="I197" s="187" t="n">
        <v>8.300000000000001</v>
      </c>
      <c r="J197" s="187" t="inlineStr">
        <is>
          <t>NO</t>
        </is>
      </c>
      <c r="K197" s="187" t="inlineStr">
        <is>
          <t>https://nvd.nist.gov/vuln/detail/CVE-2026-25330</t>
        </is>
      </c>
      <c r="L197" s="187" t="inlineStr">
        <is>
          <t>2026-02-26 00:15</t>
        </is>
      </c>
      <c r="M197" s="187" t="inlineStr">
        <is>
          <t>CHECK_VENDOR</t>
        </is>
      </c>
      <c r="N197" s="187" t="inlineStr">
        <is>
          <t>See NVD references</t>
        </is>
      </c>
      <c r="O197" s="187" t="inlineStr">
        <is>
          <t>Apply vendor patches</t>
        </is>
      </c>
      <c r="P197" s="187" t="inlineStr">
        <is>
          <t>See CVE details</t>
        </is>
      </c>
      <c r="Q197" s="187" t="inlineStr">
        <is>
          <t>P4</t>
        </is>
      </c>
      <c r="R197" s="187" t="inlineStr">
        <is>
          <t>📅 Schedule patch deployment within 30 days | 🔍 Monitor for exploitation attempts</t>
        </is>
      </c>
      <c r="S197" s="187" t="inlineStr">
        <is>
          <t>CVE - IP enrichment n/a</t>
        </is>
      </c>
      <c r="T197" s="187" t="n">
        <v>0</v>
      </c>
      <c r="U197" s="187" t="n">
        <v>0</v>
      </c>
      <c r="V197" s="187" t="inlineStr">
        <is>
          <t>T1190:Exploit Public-Facing Application</t>
        </is>
      </c>
      <c r="W197" s="187" t="n">
        <v>1</v>
      </c>
      <c r="X197" s="187" t="inlineStr">
        <is>
          <t>LOW (40%)</t>
        </is>
      </c>
      <c r="Y197" s="187" t="inlineStr">
        <is>
          <t>UNLIKELY</t>
        </is>
      </c>
      <c r="Z197" s="187" t="inlineStr">
        <is>
          <t>CHECK_VENDOR</t>
        </is>
      </c>
      <c r="AA197" s="187" t="inlineStr">
        <is>
          <t>https://nvd.nist.gov/vuln/detail/CVE-2026-25330</t>
        </is>
      </c>
      <c r="AB197" s="187" t="inlineStr">
        <is>
          <t>NONE</t>
        </is>
      </c>
      <c r="AC197" s="187" t="n">
        <v>0</v>
      </c>
      <c r="AD197" s="187" t="inlineStr"/>
    </row>
    <row r="198">
      <c r="A198" s="187" t="inlineStr">
        <is>
          <t>CVE</t>
        </is>
      </c>
      <c r="B198" s="187" t="inlineStr">
        <is>
          <t>CVE-2026-25331</t>
        </is>
      </c>
      <c r="C198" s="187" t="inlineStr">
        <is>
          <t>Improper Neutralization of Input During Web Page Generation ('Cross-site Scripting') vulnerability in Melapress WP Activity Log wp-security-audit-log allows DOM-Based XSS.This issue affects WP Activity Log: from n/a through &lt;= 5.5.4.</t>
        </is>
      </c>
      <c r="D198" s="187" t="n">
        <v>5</v>
      </c>
      <c r="E198" s="187" t="inlineStr">
        <is>
          <t>MEDIUM</t>
        </is>
      </c>
      <c r="F198" s="187" t="n">
        <v>2</v>
      </c>
      <c r="G198" s="187" t="n">
        <v>2</v>
      </c>
      <c r="H198" s="187" t="inlineStr">
        <is>
          <t>MEDIUM</t>
        </is>
      </c>
      <c r="I198" s="187" t="n">
        <v>9</v>
      </c>
      <c r="J198" s="187" t="inlineStr">
        <is>
          <t>NO</t>
        </is>
      </c>
      <c r="K198" s="187" t="inlineStr">
        <is>
          <t>https://nvd.nist.gov/vuln/detail/CVE-2026-25331</t>
        </is>
      </c>
      <c r="L198" s="187" t="inlineStr">
        <is>
          <t>2026-02-26 00:15</t>
        </is>
      </c>
      <c r="M198" s="187" t="inlineStr">
        <is>
          <t>CHECK_VENDOR</t>
        </is>
      </c>
      <c r="N198" s="187" t="inlineStr">
        <is>
          <t>See NVD references</t>
        </is>
      </c>
      <c r="O198" s="187" t="inlineStr">
        <is>
          <t>Apply vendor patches</t>
        </is>
      </c>
      <c r="P198" s="187" t="inlineStr">
        <is>
          <t>See CVE details</t>
        </is>
      </c>
      <c r="Q198" s="187" t="inlineStr">
        <is>
          <t>P4</t>
        </is>
      </c>
      <c r="R198" s="187" t="inlineStr">
        <is>
          <t>📅 Schedule patch deployment within 30 days | 🔍 Monitor for exploitation attempts</t>
        </is>
      </c>
      <c r="S198" s="187" t="inlineStr">
        <is>
          <t>CVE - IP enrichment n/a</t>
        </is>
      </c>
      <c r="T198" s="187" t="n">
        <v>0</v>
      </c>
      <c r="U198" s="187" t="n">
        <v>0</v>
      </c>
      <c r="V198" s="187" t="inlineStr">
        <is>
          <t>T1189:Drive-by Compromise</t>
        </is>
      </c>
      <c r="W198" s="187" t="n">
        <v>1</v>
      </c>
      <c r="X198" s="187" t="inlineStr">
        <is>
          <t>LOW (40%)</t>
        </is>
      </c>
      <c r="Y198" s="187" t="inlineStr">
        <is>
          <t>UNLIKELY</t>
        </is>
      </c>
      <c r="Z198" s="187" t="inlineStr">
        <is>
          <t>CHECK_VENDOR</t>
        </is>
      </c>
      <c r="AA198" s="187" t="inlineStr">
        <is>
          <t>https://nvd.nist.gov/vuln/detail/CVE-2026-25331</t>
        </is>
      </c>
      <c r="AB198" s="187" t="inlineStr">
        <is>
          <t>NONE</t>
        </is>
      </c>
      <c r="AC198" s="187" t="n">
        <v>0</v>
      </c>
      <c r="AD198" s="187" t="inlineStr"/>
    </row>
    <row r="199">
      <c r="A199" s="187" t="inlineStr">
        <is>
          <t>CVE</t>
        </is>
      </c>
      <c r="B199" s="187" t="inlineStr">
        <is>
          <t>CVE-2026-25332</t>
        </is>
      </c>
      <c r="C199" s="187" t="inlineStr">
        <is>
          <t>Missing Authorization vulnerability in Fahad Mahmood Endless Posts Navigation endless-posts-navigation allows Exploiting Incorrectly Configured Access Control Security Levels.This issue affects Endless Posts Navigation: from n/a through &lt;= 2.2.9.</t>
        </is>
      </c>
      <c r="D199" s="187" t="n">
        <v>5.3</v>
      </c>
      <c r="E199" s="187" t="inlineStr">
        <is>
          <t>MEDIUM</t>
        </is>
      </c>
      <c r="F199" s="187" t="n">
        <v>2</v>
      </c>
      <c r="G199" s="187" t="n">
        <v>2</v>
      </c>
      <c r="H199" s="187" t="inlineStr">
        <is>
          <t>MEDIUM</t>
        </is>
      </c>
      <c r="I199" s="187" t="n">
        <v>9.300000000000001</v>
      </c>
      <c r="J199" s="187" t="inlineStr">
        <is>
          <t>NO</t>
        </is>
      </c>
      <c r="K199" s="187" t="inlineStr">
        <is>
          <t>https://nvd.nist.gov/vuln/detail/CVE-2026-25332</t>
        </is>
      </c>
      <c r="L199" s="187" t="inlineStr">
        <is>
          <t>2026-02-26 00:15</t>
        </is>
      </c>
      <c r="M199" s="187" t="inlineStr">
        <is>
          <t>CHECK_VENDOR</t>
        </is>
      </c>
      <c r="N199" s="187" t="inlineStr">
        <is>
          <t>See NVD references</t>
        </is>
      </c>
      <c r="O199" s="187" t="inlineStr">
        <is>
          <t>Apply vendor patches</t>
        </is>
      </c>
      <c r="P199" s="187" t="inlineStr">
        <is>
          <t>See CVE details</t>
        </is>
      </c>
      <c r="Q199" s="187" t="inlineStr">
        <is>
          <t>P4</t>
        </is>
      </c>
      <c r="R199" s="187" t="inlineStr">
        <is>
          <t>📅 Schedule patch deployment within 30 days | 🔍 Monitor for exploitation attempts</t>
        </is>
      </c>
      <c r="S199" s="187" t="inlineStr">
        <is>
          <t>CVE - IP enrichment n/a</t>
        </is>
      </c>
      <c r="T199" s="187" t="n">
        <v>0.0004</v>
      </c>
      <c r="U199" s="187" t="n">
        <v>0.1078</v>
      </c>
      <c r="V199" s="187" t="inlineStr">
        <is>
          <t>T1190:Exploit Public-Facing Application</t>
        </is>
      </c>
      <c r="W199" s="187" t="n">
        <v>1</v>
      </c>
      <c r="X199" s="187" t="inlineStr">
        <is>
          <t>LOW (40%)</t>
        </is>
      </c>
      <c r="Y199" s="187" t="inlineStr">
        <is>
          <t>UNLIKELY</t>
        </is>
      </c>
      <c r="Z199" s="187" t="inlineStr">
        <is>
          <t>CHECK_VENDOR</t>
        </is>
      </c>
      <c r="AA199" s="187" t="inlineStr">
        <is>
          <t>https://nvd.nist.gov/vuln/detail/CVE-2026-25332</t>
        </is>
      </c>
      <c r="AB199" s="187" t="inlineStr">
        <is>
          <t>NONE</t>
        </is>
      </c>
      <c r="AC199" s="187" t="n">
        <v>0</v>
      </c>
      <c r="AD199" s="187" t="inlineStr"/>
    </row>
    <row r="200">
      <c r="A200" s="187" t="inlineStr">
        <is>
          <t>CVE</t>
        </is>
      </c>
      <c r="B200" s="187" t="inlineStr">
        <is>
          <t>CVE-2026-25333</t>
        </is>
      </c>
      <c r="C200" s="187" t="inlineStr">
        <is>
          <t>Missing Authorization vulnerability in peregrinethemes Shopwell shopwell allows Exploiting Incorrectly Configured Access Control Security Levels.This issue affects Shopwell: from n/a through &lt;= 1.0.11.</t>
        </is>
      </c>
      <c r="D200" s="187" t="n">
        <v>5.3</v>
      </c>
      <c r="E200" s="187" t="inlineStr">
        <is>
          <t>MEDIUM</t>
        </is>
      </c>
      <c r="F200" s="187" t="n">
        <v>2</v>
      </c>
      <c r="G200" s="187" t="n">
        <v>2</v>
      </c>
      <c r="H200" s="187" t="inlineStr">
        <is>
          <t>MEDIUM</t>
        </is>
      </c>
      <c r="I200" s="187" t="n">
        <v>9.300000000000001</v>
      </c>
      <c r="J200" s="187" t="inlineStr">
        <is>
          <t>NO</t>
        </is>
      </c>
      <c r="K200" s="187" t="inlineStr">
        <is>
          <t>https://nvd.nist.gov/vuln/detail/CVE-2026-25333</t>
        </is>
      </c>
      <c r="L200" s="187" t="inlineStr">
        <is>
          <t>2026-02-26 00:15</t>
        </is>
      </c>
      <c r="M200" s="187" t="inlineStr">
        <is>
          <t>CHECK_VENDOR</t>
        </is>
      </c>
      <c r="N200" s="187" t="inlineStr">
        <is>
          <t>See NVD references</t>
        </is>
      </c>
      <c r="O200" s="187" t="inlineStr">
        <is>
          <t>Apply vendor patches</t>
        </is>
      </c>
      <c r="P200" s="187" t="inlineStr">
        <is>
          <t>See CVE details</t>
        </is>
      </c>
      <c r="Q200" s="187" t="inlineStr">
        <is>
          <t>P4</t>
        </is>
      </c>
      <c r="R200" s="187" t="inlineStr">
        <is>
          <t>📅 Schedule patch deployment within 30 days | 🔍 Monitor for exploitation attempts</t>
        </is>
      </c>
      <c r="S200" s="187" t="inlineStr">
        <is>
          <t>CVE - IP enrichment n/a</t>
        </is>
      </c>
      <c r="T200" s="187" t="n">
        <v>0</v>
      </c>
      <c r="U200" s="187" t="n">
        <v>0</v>
      </c>
      <c r="V200" s="187" t="inlineStr">
        <is>
          <t>T1190:Exploit Public-Facing Application</t>
        </is>
      </c>
      <c r="W200" s="187" t="n">
        <v>1</v>
      </c>
      <c r="X200" s="187" t="inlineStr">
        <is>
          <t>LOW (40%)</t>
        </is>
      </c>
      <c r="Y200" s="187" t="inlineStr">
        <is>
          <t>UNLIKELY</t>
        </is>
      </c>
      <c r="Z200" s="187" t="inlineStr">
        <is>
          <t>CHECK_VENDOR</t>
        </is>
      </c>
      <c r="AA200" s="187" t="inlineStr">
        <is>
          <t>https://nvd.nist.gov/vuln/detail/CVE-2026-25333</t>
        </is>
      </c>
      <c r="AB200" s="187" t="inlineStr">
        <is>
          <t>NONE</t>
        </is>
      </c>
      <c r="AC200" s="187" t="n">
        <v>0</v>
      </c>
      <c r="AD200" s="187" t="inlineStr"/>
    </row>
    <row r="201">
      <c r="A201" s="187" t="inlineStr">
        <is>
          <t>CVE</t>
        </is>
      </c>
      <c r="B201" s="187" t="inlineStr">
        <is>
          <t>CVE-2026-25335</t>
        </is>
      </c>
      <c r="C201" s="187" t="inlineStr">
        <is>
          <t>Missing Authorization vulnerability in Ays Pro Secure Copy Content Protection and Content Locking secure-copy-content-protection allows Exploiting Incorrectly Configured Access Control Security Levels.This issue affects Secure Copy Content Protection and Content Locking: from n/a through &lt;= 5.0.0.</t>
        </is>
      </c>
      <c r="D201" s="187" t="n">
        <v>4.3</v>
      </c>
      <c r="E201" s="187" t="inlineStr">
        <is>
          <t>MEDIUM</t>
        </is>
      </c>
      <c r="F201" s="187" t="n">
        <v>2</v>
      </c>
      <c r="G201" s="187" t="n">
        <v>2</v>
      </c>
      <c r="H201" s="187" t="inlineStr">
        <is>
          <t>MEDIUM</t>
        </is>
      </c>
      <c r="I201" s="187" t="n">
        <v>8.300000000000001</v>
      </c>
      <c r="J201" s="187" t="inlineStr">
        <is>
          <t>NO</t>
        </is>
      </c>
      <c r="K201" s="187" t="inlineStr">
        <is>
          <t>https://nvd.nist.gov/vuln/detail/CVE-2026-25335</t>
        </is>
      </c>
      <c r="L201" s="187" t="inlineStr">
        <is>
          <t>2026-02-26 00:15</t>
        </is>
      </c>
      <c r="M201" s="187" t="inlineStr">
        <is>
          <t>CHECK_VENDOR</t>
        </is>
      </c>
      <c r="N201" s="187" t="inlineStr">
        <is>
          <t>See NVD references</t>
        </is>
      </c>
      <c r="O201" s="187" t="inlineStr">
        <is>
          <t>Apply vendor patches</t>
        </is>
      </c>
      <c r="P201" s="187" t="inlineStr">
        <is>
          <t>See CVE details</t>
        </is>
      </c>
      <c r="Q201" s="187" t="inlineStr">
        <is>
          <t>P4</t>
        </is>
      </c>
      <c r="R201" s="187" t="inlineStr">
        <is>
          <t>📅 Schedule patch deployment within 30 days | 🔍 Monitor for exploitation attempts</t>
        </is>
      </c>
      <c r="S201" s="187" t="inlineStr">
        <is>
          <t>CVE - IP enrichment n/a</t>
        </is>
      </c>
      <c r="T201" s="187" t="n">
        <v>0</v>
      </c>
      <c r="U201" s="187" t="n">
        <v>0</v>
      </c>
      <c r="V201" s="187" t="inlineStr">
        <is>
          <t>T1190:Exploit Public-Facing Application</t>
        </is>
      </c>
      <c r="W201" s="187" t="n">
        <v>1</v>
      </c>
      <c r="X201" s="187" t="inlineStr">
        <is>
          <t>LOW (40%)</t>
        </is>
      </c>
      <c r="Y201" s="187" t="inlineStr">
        <is>
          <t>UNLIKELY</t>
        </is>
      </c>
      <c r="Z201" s="187" t="inlineStr">
        <is>
          <t>CHECK_VENDOR</t>
        </is>
      </c>
      <c r="AA201" s="187" t="inlineStr">
        <is>
          <t>https://nvd.nist.gov/vuln/detail/CVE-2026-25335</t>
        </is>
      </c>
      <c r="AB201" s="187" t="inlineStr">
        <is>
          <t>NONE</t>
        </is>
      </c>
      <c r="AC201" s="187" t="n">
        <v>0</v>
      </c>
      <c r="AD201" s="187" t="inlineStr"/>
    </row>
    <row r="202">
      <c r="A202" s="187" t="inlineStr">
        <is>
          <t>CVE</t>
        </is>
      </c>
      <c r="B202" s="187" t="inlineStr">
        <is>
          <t>CVE-2026-25336</t>
        </is>
      </c>
      <c r="C202" s="187" t="inlineStr">
        <is>
          <t>Missing Authorization vulnerability in wpcoachify Coachify coachify allows Exploiting Incorrectly Configured Access Control Security Levels.This issue affects Coachify: from n/a through &lt;= 1.1.5.</t>
        </is>
      </c>
      <c r="D202" s="187" t="n">
        <v>5.3</v>
      </c>
      <c r="E202" s="187" t="inlineStr">
        <is>
          <t>MEDIUM</t>
        </is>
      </c>
      <c r="F202" s="187" t="n">
        <v>2</v>
      </c>
      <c r="G202" s="187" t="n">
        <v>2</v>
      </c>
      <c r="H202" s="187" t="inlineStr">
        <is>
          <t>MEDIUM</t>
        </is>
      </c>
      <c r="I202" s="187" t="n">
        <v>9.300000000000001</v>
      </c>
      <c r="J202" s="187" t="inlineStr">
        <is>
          <t>NO</t>
        </is>
      </c>
      <c r="K202" s="187" t="inlineStr">
        <is>
          <t>https://nvd.nist.gov/vuln/detail/CVE-2026-25336</t>
        </is>
      </c>
      <c r="L202" s="187" t="inlineStr">
        <is>
          <t>2026-02-26 00:15</t>
        </is>
      </c>
      <c r="M202" s="187" t="inlineStr">
        <is>
          <t>CHECK_VENDOR</t>
        </is>
      </c>
      <c r="N202" s="187" t="inlineStr">
        <is>
          <t>See NVD references</t>
        </is>
      </c>
      <c r="O202" s="187" t="inlineStr">
        <is>
          <t>Apply vendor patches</t>
        </is>
      </c>
      <c r="P202" s="187" t="inlineStr">
        <is>
          <t>See CVE details</t>
        </is>
      </c>
      <c r="Q202" s="187" t="inlineStr">
        <is>
          <t>P4</t>
        </is>
      </c>
      <c r="R202" s="187" t="inlineStr">
        <is>
          <t>📅 Schedule patch deployment within 30 days | 🔍 Monitor for exploitation attempts</t>
        </is>
      </c>
      <c r="S202" s="187" t="inlineStr">
        <is>
          <t>CVE - IP enrichment n/a</t>
        </is>
      </c>
      <c r="T202" s="187" t="n">
        <v>0</v>
      </c>
      <c r="U202" s="187" t="n">
        <v>0</v>
      </c>
      <c r="V202" s="187" t="inlineStr">
        <is>
          <t>T1190:Exploit Public-Facing Application</t>
        </is>
      </c>
      <c r="W202" s="187" t="n">
        <v>1</v>
      </c>
      <c r="X202" s="187" t="inlineStr">
        <is>
          <t>LOW (40%)</t>
        </is>
      </c>
      <c r="Y202" s="187" t="inlineStr">
        <is>
          <t>UNLIKELY</t>
        </is>
      </c>
      <c r="Z202" s="187" t="inlineStr">
        <is>
          <t>CHECK_VENDOR</t>
        </is>
      </c>
      <c r="AA202" s="187" t="inlineStr">
        <is>
          <t>https://nvd.nist.gov/vuln/detail/CVE-2026-25336</t>
        </is>
      </c>
      <c r="AB202" s="187" t="inlineStr">
        <is>
          <t>NONE</t>
        </is>
      </c>
      <c r="AC202" s="187" t="n">
        <v>0</v>
      </c>
      <c r="AD202" s="187" t="inlineStr"/>
    </row>
    <row r="203">
      <c r="A203" s="187" t="inlineStr">
        <is>
          <t>CVE</t>
        </is>
      </c>
      <c r="B203" s="187" t="inlineStr">
        <is>
          <t>CVE-2026-25337</t>
        </is>
      </c>
      <c r="C203" s="187" t="inlineStr">
        <is>
          <t>Cross-Site Request Forgery (CSRF) vulnerability in wpcoachify Coachify coachify allows Cross Site Request Forgery.This issue affects Coachify: from n/a through &lt;= 1.1.5.</t>
        </is>
      </c>
      <c r="D203" s="187" t="n">
        <v>5.4</v>
      </c>
      <c r="E203" s="187" t="inlineStr">
        <is>
          <t>MEDIUM</t>
        </is>
      </c>
      <c r="F203" s="187" t="n">
        <v>2</v>
      </c>
      <c r="G203" s="187" t="n">
        <v>2</v>
      </c>
      <c r="H203" s="187" t="inlineStr">
        <is>
          <t>MEDIUM</t>
        </is>
      </c>
      <c r="I203" s="187" t="n">
        <v>9.4</v>
      </c>
      <c r="J203" s="187" t="inlineStr">
        <is>
          <t>NO</t>
        </is>
      </c>
      <c r="K203" s="187" t="inlineStr">
        <is>
          <t>https://nvd.nist.gov/vuln/detail/CVE-2026-25337</t>
        </is>
      </c>
      <c r="L203" s="187" t="inlineStr">
        <is>
          <t>2026-02-26 00:15</t>
        </is>
      </c>
      <c r="M203" s="187" t="inlineStr">
        <is>
          <t>CHECK_VENDOR</t>
        </is>
      </c>
      <c r="N203" s="187" t="inlineStr">
        <is>
          <t>See NVD references</t>
        </is>
      </c>
      <c r="O203" s="187" t="inlineStr">
        <is>
          <t>Apply vendor patches</t>
        </is>
      </c>
      <c r="P203" s="187" t="inlineStr">
        <is>
          <t>See CVE details</t>
        </is>
      </c>
      <c r="Q203" s="187" t="inlineStr">
        <is>
          <t>P4</t>
        </is>
      </c>
      <c r="R203" s="187" t="inlineStr">
        <is>
          <t>📅 Schedule patch deployment within 30 days | 🔍 Monitor for exploitation attempts</t>
        </is>
      </c>
      <c r="S203" s="187" t="inlineStr">
        <is>
          <t>CVE - IP enrichment n/a</t>
        </is>
      </c>
      <c r="T203" s="187" t="n">
        <v>0</v>
      </c>
      <c r="U203" s="187" t="n">
        <v>0</v>
      </c>
      <c r="V203" s="187" t="inlineStr">
        <is>
          <t>T1185:Browser Session Hijacking</t>
        </is>
      </c>
      <c r="W203" s="187" t="n">
        <v>1</v>
      </c>
      <c r="X203" s="187" t="inlineStr">
        <is>
          <t>LOW (40%)</t>
        </is>
      </c>
      <c r="Y203" s="187" t="inlineStr">
        <is>
          <t>UNLIKELY</t>
        </is>
      </c>
      <c r="Z203" s="187" t="inlineStr">
        <is>
          <t>CHECK_VENDOR</t>
        </is>
      </c>
      <c r="AA203" s="187" t="inlineStr">
        <is>
          <t>https://nvd.nist.gov/vuln/detail/CVE-2026-25337</t>
        </is>
      </c>
      <c r="AB203" s="187" t="inlineStr">
        <is>
          <t>NONE</t>
        </is>
      </c>
      <c r="AC203" s="187" t="n">
        <v>0</v>
      </c>
      <c r="AD203" s="187" t="inlineStr"/>
    </row>
    <row r="204">
      <c r="A204" s="187" t="inlineStr">
        <is>
          <t>CVE</t>
        </is>
      </c>
      <c r="B204" s="187" t="inlineStr">
        <is>
          <t>CVE-2026-25338</t>
        </is>
      </c>
      <c r="C204" s="187" t="inlineStr">
        <is>
          <t>Missing Authorization vulnerability in Ays Pro AI ChatBot with ChatGPT and Content Generator by AYS ays-chatgpt-assistant allows Exploiting Incorrectly Configured Access Control Security Levels.This issue affects AI ChatBot with ChatGPT and Content Generator by AYS: from n/a through &lt;= 2.7.4.</t>
        </is>
      </c>
      <c r="D204" s="187" t="n">
        <v>5.3</v>
      </c>
      <c r="E204" s="187" t="inlineStr">
        <is>
          <t>MEDIUM</t>
        </is>
      </c>
      <c r="F204" s="187" t="n">
        <v>2</v>
      </c>
      <c r="G204" s="187" t="n">
        <v>2</v>
      </c>
      <c r="H204" s="187" t="inlineStr">
        <is>
          <t>MEDIUM</t>
        </is>
      </c>
      <c r="I204" s="187" t="n">
        <v>9.300000000000001</v>
      </c>
      <c r="J204" s="187" t="inlineStr">
        <is>
          <t>NO</t>
        </is>
      </c>
      <c r="K204" s="187" t="inlineStr">
        <is>
          <t>https://nvd.nist.gov/vuln/detail/CVE-2026-25338</t>
        </is>
      </c>
      <c r="L204" s="187" t="inlineStr">
        <is>
          <t>2026-02-26 00:15</t>
        </is>
      </c>
      <c r="M204" s="187" t="inlineStr">
        <is>
          <t>CHECK_VENDOR</t>
        </is>
      </c>
      <c r="N204" s="187" t="inlineStr">
        <is>
          <t>See NVD references</t>
        </is>
      </c>
      <c r="O204" s="187" t="inlineStr">
        <is>
          <t>Apply vendor patches</t>
        </is>
      </c>
      <c r="P204" s="187" t="inlineStr">
        <is>
          <t>See CVE details</t>
        </is>
      </c>
      <c r="Q204" s="187" t="inlineStr">
        <is>
          <t>P4</t>
        </is>
      </c>
      <c r="R204" s="187" t="inlineStr">
        <is>
          <t>📅 Schedule patch deployment within 30 days | 🔍 Monitor for exploitation attempts</t>
        </is>
      </c>
      <c r="S204" s="187" t="inlineStr">
        <is>
          <t>CVE - IP enrichment n/a</t>
        </is>
      </c>
      <c r="T204" s="187" t="n">
        <v>0.0004</v>
      </c>
      <c r="U204" s="187" t="n">
        <v>0.1078</v>
      </c>
      <c r="V204" s="187" t="inlineStr">
        <is>
          <t>T1190:Exploit Public-Facing Application</t>
        </is>
      </c>
      <c r="W204" s="187" t="n">
        <v>1</v>
      </c>
      <c r="X204" s="187" t="inlineStr">
        <is>
          <t>LOW (40%)</t>
        </is>
      </c>
      <c r="Y204" s="187" t="inlineStr">
        <is>
          <t>UNLIKELY</t>
        </is>
      </c>
      <c r="Z204" s="187" t="inlineStr">
        <is>
          <t>CHECK_VENDOR</t>
        </is>
      </c>
      <c r="AA204" s="187" t="inlineStr">
        <is>
          <t>https://nvd.nist.gov/vuln/detail/CVE-2026-25338</t>
        </is>
      </c>
      <c r="AB204" s="187" t="inlineStr">
        <is>
          <t>NONE</t>
        </is>
      </c>
      <c r="AC204" s="187" t="n">
        <v>0</v>
      </c>
      <c r="AD204" s="187" t="inlineStr"/>
    </row>
    <row r="205">
      <c r="A205" s="187" t="inlineStr">
        <is>
          <t>CVE</t>
        </is>
      </c>
      <c r="B205" s="187" t="inlineStr">
        <is>
          <t>CVE-2026-25343</t>
        </is>
      </c>
      <c r="C205" s="187" t="inlineStr">
        <is>
          <t>Improper Neutralization of Input During Web Page Generation ('Cross-site Scripting') vulnerability in VeronaLabs WP SMS wp-sms allows DOM-Based XSS.This issue affects WP SMS: from n/a through &lt;= 7.1.</t>
        </is>
      </c>
      <c r="D205" s="187" t="n">
        <v>5.9</v>
      </c>
      <c r="E205" s="187" t="inlineStr">
        <is>
          <t>MEDIUM</t>
        </is>
      </c>
      <c r="F205" s="187" t="n">
        <v>2</v>
      </c>
      <c r="G205" s="187" t="n">
        <v>2</v>
      </c>
      <c r="H205" s="187" t="inlineStr">
        <is>
          <t>MEDIUM</t>
        </is>
      </c>
      <c r="I205" s="187" t="n">
        <v>9.9</v>
      </c>
      <c r="J205" s="187" t="inlineStr">
        <is>
          <t>NO</t>
        </is>
      </c>
      <c r="K205" s="187" t="inlineStr">
        <is>
          <t>https://nvd.nist.gov/vuln/detail/CVE-2026-25343</t>
        </is>
      </c>
      <c r="L205" s="187" t="inlineStr">
        <is>
          <t>2026-02-26 00:15</t>
        </is>
      </c>
      <c r="M205" s="187" t="inlineStr">
        <is>
          <t>CHECK_VENDOR</t>
        </is>
      </c>
      <c r="N205" s="187" t="inlineStr">
        <is>
          <t>See NVD references</t>
        </is>
      </c>
      <c r="O205" s="187" t="inlineStr">
        <is>
          <t>Apply vendor patches</t>
        </is>
      </c>
      <c r="P205" s="187" t="inlineStr">
        <is>
          <t>See CVE details</t>
        </is>
      </c>
      <c r="Q205" s="187" t="inlineStr">
        <is>
          <t>P4</t>
        </is>
      </c>
      <c r="R205" s="187" t="inlineStr">
        <is>
          <t>📅 Schedule patch deployment within 30 days | 🔍 Monitor for exploitation attempts</t>
        </is>
      </c>
      <c r="S205" s="187" t="inlineStr">
        <is>
          <t>CVE - IP enrichment n/a</t>
        </is>
      </c>
      <c r="T205" s="187" t="n">
        <v>0</v>
      </c>
      <c r="U205" s="187" t="n">
        <v>0</v>
      </c>
      <c r="V205" s="187" t="inlineStr">
        <is>
          <t>T1189:Drive-by Compromise</t>
        </is>
      </c>
      <c r="W205" s="187" t="n">
        <v>1</v>
      </c>
      <c r="X205" s="187" t="inlineStr">
        <is>
          <t>LOW (40%)</t>
        </is>
      </c>
      <c r="Y205" s="187" t="inlineStr">
        <is>
          <t>UNLIKELY</t>
        </is>
      </c>
      <c r="Z205" s="187" t="inlineStr">
        <is>
          <t>CHECK_VENDOR</t>
        </is>
      </c>
      <c r="AA205" s="187" t="inlineStr">
        <is>
          <t>https://nvd.nist.gov/vuln/detail/CVE-2026-25343</t>
        </is>
      </c>
      <c r="AB205" s="187" t="inlineStr">
        <is>
          <t>NONE</t>
        </is>
      </c>
      <c r="AC205" s="187" t="n">
        <v>0</v>
      </c>
      <c r="AD205" s="187" t="inlineStr"/>
    </row>
    <row r="206">
      <c r="A206" s="187" t="inlineStr">
        <is>
          <t>CVE</t>
        </is>
      </c>
      <c r="B206" s="187" t="inlineStr">
        <is>
          <t>CVE-2026-25348</t>
        </is>
      </c>
      <c r="C206" s="187" t="inlineStr">
        <is>
          <t>Missing Authorization vulnerability in alttextai Download Alt Text AI alttext-ai allows Exploiting Incorrectly Configured Access Control Security Levels.This issue affects Download Alt Text AI: from n/a through &lt;= 1.10.15.</t>
        </is>
      </c>
      <c r="D206" s="187" t="n">
        <v>5.3</v>
      </c>
      <c r="E206" s="187" t="inlineStr">
        <is>
          <t>MEDIUM</t>
        </is>
      </c>
      <c r="F206" s="187" t="n">
        <v>2</v>
      </c>
      <c r="G206" s="187" t="n">
        <v>2</v>
      </c>
      <c r="H206" s="187" t="inlineStr">
        <is>
          <t>MEDIUM</t>
        </is>
      </c>
      <c r="I206" s="187" t="n">
        <v>9.300000000000001</v>
      </c>
      <c r="J206" s="187" t="inlineStr">
        <is>
          <t>NO</t>
        </is>
      </c>
      <c r="K206" s="187" t="inlineStr">
        <is>
          <t>https://nvd.nist.gov/vuln/detail/CVE-2026-25348</t>
        </is>
      </c>
      <c r="L206" s="187" t="inlineStr">
        <is>
          <t>2026-02-26 00:15</t>
        </is>
      </c>
      <c r="M206" s="187" t="inlineStr">
        <is>
          <t>CHECK_VENDOR</t>
        </is>
      </c>
      <c r="N206" s="187" t="inlineStr">
        <is>
          <t>See NVD references</t>
        </is>
      </c>
      <c r="O206" s="187" t="inlineStr">
        <is>
          <t>Apply vendor patches</t>
        </is>
      </c>
      <c r="P206" s="187" t="inlineStr">
        <is>
          <t>See CVE details</t>
        </is>
      </c>
      <c r="Q206" s="187" t="inlineStr">
        <is>
          <t>P4</t>
        </is>
      </c>
      <c r="R206" s="187" t="inlineStr">
        <is>
          <t>📅 Schedule patch deployment within 30 days | 🔍 Monitor for exploitation attempts</t>
        </is>
      </c>
      <c r="S206" s="187" t="inlineStr">
        <is>
          <t>CVE - IP enrichment n/a</t>
        </is>
      </c>
      <c r="T206" s="187" t="n">
        <v>0</v>
      </c>
      <c r="U206" s="187" t="n">
        <v>0</v>
      </c>
      <c r="V206" s="187" t="inlineStr">
        <is>
          <t>T1190:Exploit Public-Facing Application</t>
        </is>
      </c>
      <c r="W206" s="187" t="n">
        <v>1</v>
      </c>
      <c r="X206" s="187" t="inlineStr">
        <is>
          <t>LOW (40%)</t>
        </is>
      </c>
      <c r="Y206" s="187" t="inlineStr">
        <is>
          <t>UNLIKELY</t>
        </is>
      </c>
      <c r="Z206" s="187" t="inlineStr">
        <is>
          <t>CHECK_VENDOR</t>
        </is>
      </c>
      <c r="AA206" s="187" t="inlineStr">
        <is>
          <t>https://nvd.nist.gov/vuln/detail/CVE-2026-25348</t>
        </is>
      </c>
      <c r="AB206" s="187" t="inlineStr">
        <is>
          <t>NONE</t>
        </is>
      </c>
      <c r="AC206" s="187" t="n">
        <v>0</v>
      </c>
      <c r="AD206" s="187" t="inlineStr"/>
    </row>
    <row r="207">
      <c r="A207" s="187" t="inlineStr">
        <is>
          <t>CVE</t>
        </is>
      </c>
      <c r="B207" s="187" t="inlineStr">
        <is>
          <t>CVE-2026-25362</t>
        </is>
      </c>
      <c r="C207" s="187" t="inlineStr">
        <is>
          <t>Improper Neutralization of Input During Web Page Generation ('Cross-site Scripting') vulnerability in FooPlugins FooGallery foogallery allows Stored XSS.This issue affects FooGallery: from n/a through &lt;= 3.1.11.</t>
        </is>
      </c>
      <c r="D207" s="187" t="n">
        <v>5.9</v>
      </c>
      <c r="E207" s="187" t="inlineStr">
        <is>
          <t>MEDIUM</t>
        </is>
      </c>
      <c r="F207" s="187" t="n">
        <v>2</v>
      </c>
      <c r="G207" s="187" t="n">
        <v>2</v>
      </c>
      <c r="H207" s="187" t="inlineStr">
        <is>
          <t>MEDIUM</t>
        </is>
      </c>
      <c r="I207" s="187" t="n">
        <v>9.9</v>
      </c>
      <c r="J207" s="187" t="inlineStr">
        <is>
          <t>NO</t>
        </is>
      </c>
      <c r="K207" s="187" t="inlineStr">
        <is>
          <t>https://nvd.nist.gov/vuln/detail/CVE-2026-25362</t>
        </is>
      </c>
      <c r="L207" s="187" t="inlineStr">
        <is>
          <t>2026-02-26 00:15</t>
        </is>
      </c>
      <c r="M207" s="187" t="inlineStr">
        <is>
          <t>CHECK_VENDOR</t>
        </is>
      </c>
      <c r="N207" s="187" t="inlineStr">
        <is>
          <t>See NVD references</t>
        </is>
      </c>
      <c r="O207" s="187" t="inlineStr">
        <is>
          <t>Apply vendor patches</t>
        </is>
      </c>
      <c r="P207" s="187" t="inlineStr">
        <is>
          <t>See CVE details</t>
        </is>
      </c>
      <c r="Q207" s="187" t="inlineStr">
        <is>
          <t>P4</t>
        </is>
      </c>
      <c r="R207" s="187" t="inlineStr">
        <is>
          <t>📅 Schedule patch deployment within 30 days | 🔍 Monitor for exploitation attempts</t>
        </is>
      </c>
      <c r="S207" s="187" t="inlineStr">
        <is>
          <t>CVE - IP enrichment n/a</t>
        </is>
      </c>
      <c r="T207" s="187" t="n">
        <v>0</v>
      </c>
      <c r="U207" s="187" t="n">
        <v>0</v>
      </c>
      <c r="V207" s="187" t="inlineStr">
        <is>
          <t>T1189:Drive-by Compromise</t>
        </is>
      </c>
      <c r="W207" s="187" t="n">
        <v>1</v>
      </c>
      <c r="X207" s="187" t="inlineStr">
        <is>
          <t>LOW (40%)</t>
        </is>
      </c>
      <c r="Y207" s="187" t="inlineStr">
        <is>
          <t>UNLIKELY</t>
        </is>
      </c>
      <c r="Z207" s="187" t="inlineStr">
        <is>
          <t>CHECK_VENDOR</t>
        </is>
      </c>
      <c r="AA207" s="187" t="inlineStr">
        <is>
          <t>https://nvd.nist.gov/vuln/detail/CVE-2026-25362</t>
        </is>
      </c>
      <c r="AB207" s="187" t="inlineStr">
        <is>
          <t>NONE</t>
        </is>
      </c>
      <c r="AC207" s="187" t="n">
        <v>0</v>
      </c>
      <c r="AD207" s="187" t="inlineStr"/>
    </row>
    <row r="208">
      <c r="A208" s="187" t="inlineStr">
        <is>
          <t>CVE</t>
        </is>
      </c>
      <c r="B208" s="187" t="inlineStr">
        <is>
          <t>CVE-2026-25363</t>
        </is>
      </c>
      <c r="C208" s="187" t="inlineStr">
        <is>
          <t>Missing Authorization vulnerability in FooPlugins FooGallery foogallery allows Exploiting Incorrectly Configured Access Control Security Levels.This issue affects FooGallery: from n/a through &lt;= 3.1.11.</t>
        </is>
      </c>
      <c r="D208" s="187" t="n">
        <v>5</v>
      </c>
      <c r="E208" s="187" t="inlineStr">
        <is>
          <t>MEDIUM</t>
        </is>
      </c>
      <c r="F208" s="187" t="n">
        <v>2</v>
      </c>
      <c r="G208" s="187" t="n">
        <v>2</v>
      </c>
      <c r="H208" s="187" t="inlineStr">
        <is>
          <t>MEDIUM</t>
        </is>
      </c>
      <c r="I208" s="187" t="n">
        <v>9</v>
      </c>
      <c r="J208" s="187" t="inlineStr">
        <is>
          <t>NO</t>
        </is>
      </c>
      <c r="K208" s="187" t="inlineStr">
        <is>
          <t>https://nvd.nist.gov/vuln/detail/CVE-2026-25363</t>
        </is>
      </c>
      <c r="L208" s="187" t="inlineStr">
        <is>
          <t>2026-02-26 00:15</t>
        </is>
      </c>
      <c r="M208" s="187" t="inlineStr">
        <is>
          <t>CHECK_VENDOR</t>
        </is>
      </c>
      <c r="N208" s="187" t="inlineStr">
        <is>
          <t>See NVD references</t>
        </is>
      </c>
      <c r="O208" s="187" t="inlineStr">
        <is>
          <t>Apply vendor patches</t>
        </is>
      </c>
      <c r="P208" s="187" t="inlineStr">
        <is>
          <t>See CVE details</t>
        </is>
      </c>
      <c r="Q208" s="187" t="inlineStr">
        <is>
          <t>P4</t>
        </is>
      </c>
      <c r="R208" s="187" t="inlineStr">
        <is>
          <t>📅 Schedule patch deployment within 30 days | 🔍 Monitor for exploitation attempts</t>
        </is>
      </c>
      <c r="S208" s="187" t="inlineStr">
        <is>
          <t>CVE - IP enrichment n/a</t>
        </is>
      </c>
      <c r="T208" s="187" t="n">
        <v>0</v>
      </c>
      <c r="U208" s="187" t="n">
        <v>0</v>
      </c>
      <c r="V208" s="187" t="inlineStr">
        <is>
          <t>T1190:Exploit Public-Facing Application</t>
        </is>
      </c>
      <c r="W208" s="187" t="n">
        <v>1</v>
      </c>
      <c r="X208" s="187" t="inlineStr">
        <is>
          <t>LOW (40%)</t>
        </is>
      </c>
      <c r="Y208" s="187" t="inlineStr">
        <is>
          <t>UNLIKELY</t>
        </is>
      </c>
      <c r="Z208" s="187" t="inlineStr">
        <is>
          <t>CHECK_VENDOR</t>
        </is>
      </c>
      <c r="AA208" s="187" t="inlineStr">
        <is>
          <t>https://nvd.nist.gov/vuln/detail/CVE-2026-25363</t>
        </is>
      </c>
      <c r="AB208" s="187" t="inlineStr">
        <is>
          <t>NONE</t>
        </is>
      </c>
      <c r="AC208" s="187" t="n">
        <v>0</v>
      </c>
      <c r="AD208" s="187" t="inlineStr"/>
    </row>
    <row r="209">
      <c r="A209" s="187" t="inlineStr">
        <is>
          <t>CVE</t>
        </is>
      </c>
      <c r="B209" s="187" t="inlineStr">
        <is>
          <t>CVE-2026-25364</t>
        </is>
      </c>
      <c r="C209" s="187" t="inlineStr">
        <is>
          <t>Missing Authorization vulnerability in BoldGrid Client Invoicing by Sprout Invoices sprout-invoices allows Exploiting Incorrectly Configured Access Control Security Levels.This issue affects Client Invoicing by Sprout Invoices: from n/a through &lt;= 20.8.8.</t>
        </is>
      </c>
      <c r="D209" s="187" t="n">
        <v>5.3</v>
      </c>
      <c r="E209" s="187" t="inlineStr">
        <is>
          <t>MEDIUM</t>
        </is>
      </c>
      <c r="F209" s="187" t="n">
        <v>2</v>
      </c>
      <c r="G209" s="187" t="n">
        <v>2</v>
      </c>
      <c r="H209" s="187" t="inlineStr">
        <is>
          <t>MEDIUM</t>
        </is>
      </c>
      <c r="I209" s="187" t="n">
        <v>9.300000000000001</v>
      </c>
      <c r="J209" s="187" t="inlineStr">
        <is>
          <t>NO</t>
        </is>
      </c>
      <c r="K209" s="187" t="inlineStr">
        <is>
          <t>https://nvd.nist.gov/vuln/detail/CVE-2026-25364</t>
        </is>
      </c>
      <c r="L209" s="187" t="inlineStr">
        <is>
          <t>2026-02-26 00:15</t>
        </is>
      </c>
      <c r="M209" s="187" t="inlineStr">
        <is>
          <t>CHECK_VENDOR</t>
        </is>
      </c>
      <c r="N209" s="187" t="inlineStr">
        <is>
          <t>See NVD references</t>
        </is>
      </c>
      <c r="O209" s="187" t="inlineStr">
        <is>
          <t>Apply vendor patches</t>
        </is>
      </c>
      <c r="P209" s="187" t="inlineStr">
        <is>
          <t>See CVE details</t>
        </is>
      </c>
      <c r="Q209" s="187" t="inlineStr">
        <is>
          <t>P4</t>
        </is>
      </c>
      <c r="R209" s="187" t="inlineStr">
        <is>
          <t>📅 Schedule patch deployment within 30 days | 🔍 Monitor for exploitation attempts</t>
        </is>
      </c>
      <c r="S209" s="187" t="inlineStr">
        <is>
          <t>CVE - IP enrichment n/a</t>
        </is>
      </c>
      <c r="T209" s="187" t="n">
        <v>0</v>
      </c>
      <c r="U209" s="187" t="n">
        <v>0</v>
      </c>
      <c r="V209" s="187" t="inlineStr">
        <is>
          <t>T1190:Exploit Public-Facing Application</t>
        </is>
      </c>
      <c r="W209" s="187" t="n">
        <v>1</v>
      </c>
      <c r="X209" s="187" t="inlineStr">
        <is>
          <t>LOW (40%)</t>
        </is>
      </c>
      <c r="Y209" s="187" t="inlineStr">
        <is>
          <t>UNLIKELY</t>
        </is>
      </c>
      <c r="Z209" s="187" t="inlineStr">
        <is>
          <t>CHECK_VENDOR</t>
        </is>
      </c>
      <c r="AA209" s="187" t="inlineStr">
        <is>
          <t>https://nvd.nist.gov/vuln/detail/CVE-2026-25364</t>
        </is>
      </c>
      <c r="AB209" s="187" t="inlineStr">
        <is>
          <t>NONE</t>
        </is>
      </c>
      <c r="AC209" s="187" t="n">
        <v>0</v>
      </c>
      <c r="AD209" s="187" t="inlineStr"/>
    </row>
    <row r="210">
      <c r="A210" s="187" t="inlineStr">
        <is>
          <t>CVE</t>
        </is>
      </c>
      <c r="B210" s="187" t="inlineStr">
        <is>
          <t>CVE-2026-25367</t>
        </is>
      </c>
      <c r="C210" s="187" t="inlineStr">
        <is>
          <t>Missing Authorization vulnerability in NooTheme CitiLights noo-citilights allows Exploiting Incorrectly Configured Access Control Security Levels.This issue affects CitiLights: from n/a through &lt; 3.7.2.</t>
        </is>
      </c>
      <c r="D210" s="187" t="n">
        <v>5.3</v>
      </c>
      <c r="E210" s="187" t="inlineStr">
        <is>
          <t>MEDIUM</t>
        </is>
      </c>
      <c r="F210" s="187" t="n">
        <v>2</v>
      </c>
      <c r="G210" s="187" t="n">
        <v>2</v>
      </c>
      <c r="H210" s="187" t="inlineStr">
        <is>
          <t>MEDIUM</t>
        </is>
      </c>
      <c r="I210" s="187" t="n">
        <v>9.300000000000001</v>
      </c>
      <c r="J210" s="187" t="inlineStr">
        <is>
          <t>NO</t>
        </is>
      </c>
      <c r="K210" s="187" t="inlineStr">
        <is>
          <t>https://nvd.nist.gov/vuln/detail/CVE-2026-25367</t>
        </is>
      </c>
      <c r="L210" s="187" t="inlineStr">
        <is>
          <t>2026-02-26 00:15</t>
        </is>
      </c>
      <c r="M210" s="187" t="inlineStr">
        <is>
          <t>CHECK_VENDOR</t>
        </is>
      </c>
      <c r="N210" s="187" t="inlineStr">
        <is>
          <t>See NVD references</t>
        </is>
      </c>
      <c r="O210" s="187" t="inlineStr">
        <is>
          <t>Apply vendor patches</t>
        </is>
      </c>
      <c r="P210" s="187" t="inlineStr">
        <is>
          <t>See CVE details</t>
        </is>
      </c>
      <c r="Q210" s="187" t="inlineStr">
        <is>
          <t>P4</t>
        </is>
      </c>
      <c r="R210" s="187" t="inlineStr">
        <is>
          <t>📅 Schedule patch deployment within 30 days | 🔍 Monitor for exploitation attempts</t>
        </is>
      </c>
      <c r="S210" s="187" t="inlineStr">
        <is>
          <t>CVE - IP enrichment n/a</t>
        </is>
      </c>
      <c r="T210" s="187" t="n">
        <v>0</v>
      </c>
      <c r="U210" s="187" t="n">
        <v>0</v>
      </c>
      <c r="V210" s="187" t="inlineStr">
        <is>
          <t>T1190:Exploit Public-Facing Application</t>
        </is>
      </c>
      <c r="W210" s="187" t="n">
        <v>1</v>
      </c>
      <c r="X210" s="187" t="inlineStr">
        <is>
          <t>LOW (40%)</t>
        </is>
      </c>
      <c r="Y210" s="187" t="inlineStr">
        <is>
          <t>UNLIKELY</t>
        </is>
      </c>
      <c r="Z210" s="187" t="inlineStr">
        <is>
          <t>CHECK_VENDOR</t>
        </is>
      </c>
      <c r="AA210" s="187" t="inlineStr">
        <is>
          <t>https://nvd.nist.gov/vuln/detail/CVE-2026-25367</t>
        </is>
      </c>
      <c r="AB210" s="187" t="inlineStr">
        <is>
          <t>NONE</t>
        </is>
      </c>
      <c r="AC210" s="187" t="n">
        <v>0</v>
      </c>
      <c r="AD210" s="187" t="inlineStr"/>
    </row>
    <row r="211">
      <c r="A211" s="187" t="inlineStr">
        <is>
          <t>CVE</t>
        </is>
      </c>
      <c r="B211" s="187" t="inlineStr">
        <is>
          <t>CVE-2026-25368</t>
        </is>
      </c>
      <c r="C211" s="187" t="inlineStr">
        <is>
          <t>Missing Authorization vulnerability in codepeople Calculated Fields Form calculated-fields-form allows Exploiting Incorrectly Configured Access Control Security Levels.This issue affects Calculated Fields Form: from n/a through &lt;= 5.4.4.1.</t>
        </is>
      </c>
      <c r="D211" s="187" t="n">
        <v>6.5</v>
      </c>
      <c r="E211" s="187" t="inlineStr">
        <is>
          <t>MEDIUM</t>
        </is>
      </c>
      <c r="F211" s="187" t="n">
        <v>2</v>
      </c>
      <c r="G211" s="187" t="n">
        <v>2</v>
      </c>
      <c r="H211" s="187" t="inlineStr">
        <is>
          <t>MEDIUM</t>
        </is>
      </c>
      <c r="I211" s="187" t="n">
        <v>10.5</v>
      </c>
      <c r="J211" s="187" t="inlineStr">
        <is>
          <t>NO</t>
        </is>
      </c>
      <c r="K211" s="187" t="inlineStr">
        <is>
          <t>https://nvd.nist.gov/vuln/detail/CVE-2026-25368</t>
        </is>
      </c>
      <c r="L211" s="187" t="inlineStr">
        <is>
          <t>2026-02-26 00:15</t>
        </is>
      </c>
      <c r="M211" s="187" t="inlineStr">
        <is>
          <t>CHECK_VENDOR</t>
        </is>
      </c>
      <c r="N211" s="187" t="inlineStr">
        <is>
          <t>See NVD references</t>
        </is>
      </c>
      <c r="O211" s="187" t="inlineStr">
        <is>
          <t>Apply vendor patches</t>
        </is>
      </c>
      <c r="P211" s="187" t="inlineStr">
        <is>
          <t>See CVE details</t>
        </is>
      </c>
      <c r="Q211" s="187" t="inlineStr">
        <is>
          <t>P4</t>
        </is>
      </c>
      <c r="R211" s="187" t="inlineStr">
        <is>
          <t>📅 Schedule patch deployment within 30 days | 🔍 Monitor for exploitation attempts</t>
        </is>
      </c>
      <c r="S211" s="187" t="inlineStr">
        <is>
          <t>CVE - IP enrichment n/a</t>
        </is>
      </c>
      <c r="T211" s="187" t="n">
        <v>0.0003</v>
      </c>
      <c r="U211" s="187" t="n">
        <v>0.0887</v>
      </c>
      <c r="V211" s="187" t="inlineStr">
        <is>
          <t>T1190:Exploit Public-Facing Application</t>
        </is>
      </c>
      <c r="W211" s="187" t="n">
        <v>1</v>
      </c>
      <c r="X211" s="187" t="inlineStr">
        <is>
          <t>LOW (40%)</t>
        </is>
      </c>
      <c r="Y211" s="187" t="inlineStr">
        <is>
          <t>UNLIKELY</t>
        </is>
      </c>
      <c r="Z211" s="187" t="inlineStr">
        <is>
          <t>CHECK_VENDOR</t>
        </is>
      </c>
      <c r="AA211" s="187" t="inlineStr">
        <is>
          <t>https://nvd.nist.gov/vuln/detail/CVE-2026-25368</t>
        </is>
      </c>
      <c r="AB211" s="187" t="inlineStr">
        <is>
          <t>NONE</t>
        </is>
      </c>
      <c r="AC211" s="187" t="n">
        <v>0</v>
      </c>
      <c r="AD211" s="187" t="inlineStr"/>
    </row>
    <row r="212">
      <c r="A212" s="187" t="inlineStr">
        <is>
          <t>CVE</t>
        </is>
      </c>
      <c r="B212" s="187" t="inlineStr">
        <is>
          <t>CVE-2026-25370</t>
        </is>
      </c>
      <c r="C212" s="187" t="inlineStr">
        <is>
          <t>Missing Authorization vulnerability in AresIT WP Compress wp-compress-image-optimizer allows Exploiting Incorrectly Configured Access Control Security Levels.This issue affects WP Compress: from n/a through &lt;= 6.60.28.</t>
        </is>
      </c>
      <c r="D212" s="187" t="n">
        <v>5</v>
      </c>
      <c r="E212" s="187" t="inlineStr">
        <is>
          <t>MEDIUM</t>
        </is>
      </c>
      <c r="F212" s="187" t="n">
        <v>2</v>
      </c>
      <c r="G212" s="187" t="n">
        <v>2</v>
      </c>
      <c r="H212" s="187" t="inlineStr">
        <is>
          <t>MEDIUM</t>
        </is>
      </c>
      <c r="I212" s="187" t="n">
        <v>9</v>
      </c>
      <c r="J212" s="187" t="inlineStr">
        <is>
          <t>NO</t>
        </is>
      </c>
      <c r="K212" s="187" t="inlineStr">
        <is>
          <t>https://nvd.nist.gov/vuln/detail/CVE-2026-25370</t>
        </is>
      </c>
      <c r="L212" s="187" t="inlineStr">
        <is>
          <t>2026-02-26 00:15</t>
        </is>
      </c>
      <c r="M212" s="187" t="inlineStr">
        <is>
          <t>CHECK_VENDOR</t>
        </is>
      </c>
      <c r="N212" s="187" t="inlineStr">
        <is>
          <t>See NVD references</t>
        </is>
      </c>
      <c r="O212" s="187" t="inlineStr">
        <is>
          <t>Apply vendor patches</t>
        </is>
      </c>
      <c r="P212" s="187" t="inlineStr">
        <is>
          <t>See CVE details</t>
        </is>
      </c>
      <c r="Q212" s="187" t="inlineStr">
        <is>
          <t>P4</t>
        </is>
      </c>
      <c r="R212" s="187" t="inlineStr">
        <is>
          <t>📅 Schedule patch deployment within 30 days | 🔍 Monitor for exploitation attempts</t>
        </is>
      </c>
      <c r="S212" s="187" t="inlineStr">
        <is>
          <t>CVE - IP enrichment n/a</t>
        </is>
      </c>
      <c r="T212" s="187" t="n">
        <v>0</v>
      </c>
      <c r="U212" s="187" t="n">
        <v>0</v>
      </c>
      <c r="V212" s="187" t="inlineStr">
        <is>
          <t>T1190:Exploit Public-Facing Application</t>
        </is>
      </c>
      <c r="W212" s="187" t="n">
        <v>1</v>
      </c>
      <c r="X212" s="187" t="inlineStr">
        <is>
          <t>LOW (40%)</t>
        </is>
      </c>
      <c r="Y212" s="187" t="inlineStr">
        <is>
          <t>UNLIKELY</t>
        </is>
      </c>
      <c r="Z212" s="187" t="inlineStr">
        <is>
          <t>CHECK_VENDOR</t>
        </is>
      </c>
      <c r="AA212" s="187" t="inlineStr">
        <is>
          <t>https://nvd.nist.gov/vuln/detail/CVE-2026-25370</t>
        </is>
      </c>
      <c r="AB212" s="187" t="inlineStr">
        <is>
          <t>NONE</t>
        </is>
      </c>
      <c r="AC212" s="187" t="n">
        <v>0</v>
      </c>
      <c r="AD212" s="187" t="inlineStr"/>
    </row>
    <row r="213">
      <c r="A213" s="187" t="inlineStr">
        <is>
          <t>CVE</t>
        </is>
      </c>
      <c r="B213" s="187" t="inlineStr">
        <is>
          <t>CVE-2026-25372</t>
        </is>
      </c>
      <c r="C213" s="187" t="inlineStr">
        <is>
          <t>Missing Authorization vulnerability in Kodezen LLC Academy LMS academy allows Exploiting Incorrectly Configured Access Control Security Levels.This issue affects Academy LMS: from n/a through &lt;= 3.5.3.</t>
        </is>
      </c>
      <c r="D213" s="187" t="n">
        <v>6.5</v>
      </c>
      <c r="E213" s="187" t="inlineStr">
        <is>
          <t>MEDIUM</t>
        </is>
      </c>
      <c r="F213" s="187" t="n">
        <v>2</v>
      </c>
      <c r="G213" s="187" t="n">
        <v>2</v>
      </c>
      <c r="H213" s="187" t="inlineStr">
        <is>
          <t>MEDIUM</t>
        </is>
      </c>
      <c r="I213" s="187" t="n">
        <v>10.5</v>
      </c>
      <c r="J213" s="187" t="inlineStr">
        <is>
          <t>NO</t>
        </is>
      </c>
      <c r="K213" s="187" t="inlineStr">
        <is>
          <t>https://nvd.nist.gov/vuln/detail/CVE-2026-25372</t>
        </is>
      </c>
      <c r="L213" s="187" t="inlineStr">
        <is>
          <t>2026-02-26 00:15</t>
        </is>
      </c>
      <c r="M213" s="187" t="inlineStr">
        <is>
          <t>CHECK_VENDOR</t>
        </is>
      </c>
      <c r="N213" s="187" t="inlineStr">
        <is>
          <t>See NVD references</t>
        </is>
      </c>
      <c r="O213" s="187" t="inlineStr">
        <is>
          <t>Apply vendor patches</t>
        </is>
      </c>
      <c r="P213" s="187" t="inlineStr">
        <is>
          <t>See CVE details</t>
        </is>
      </c>
      <c r="Q213" s="187" t="inlineStr">
        <is>
          <t>P4</t>
        </is>
      </c>
      <c r="R213" s="187" t="inlineStr">
        <is>
          <t>📅 Schedule patch deployment within 30 days | 🔍 Monitor for exploitation attempts</t>
        </is>
      </c>
      <c r="S213" s="187" t="inlineStr">
        <is>
          <t>CVE - IP enrichment n/a</t>
        </is>
      </c>
      <c r="T213" s="187" t="n">
        <v>0</v>
      </c>
      <c r="U213" s="187" t="n">
        <v>0</v>
      </c>
      <c r="V213" s="187" t="inlineStr">
        <is>
          <t>T1190:Exploit Public-Facing Application</t>
        </is>
      </c>
      <c r="W213" s="187" t="n">
        <v>1</v>
      </c>
      <c r="X213" s="187" t="inlineStr">
        <is>
          <t>LOW (40%)</t>
        </is>
      </c>
      <c r="Y213" s="187" t="inlineStr">
        <is>
          <t>UNLIKELY</t>
        </is>
      </c>
      <c r="Z213" s="187" t="inlineStr">
        <is>
          <t>CHECK_VENDOR</t>
        </is>
      </c>
      <c r="AA213" s="187" t="inlineStr">
        <is>
          <t>https://nvd.nist.gov/vuln/detail/CVE-2026-25372</t>
        </is>
      </c>
      <c r="AB213" s="187" t="inlineStr">
        <is>
          <t>NONE</t>
        </is>
      </c>
      <c r="AC213" s="187" t="n">
        <v>0</v>
      </c>
      <c r="AD213" s="187" t="inlineStr"/>
    </row>
    <row r="214">
      <c r="A214" s="187" t="inlineStr">
        <is>
          <t>CVE</t>
        </is>
      </c>
      <c r="B214" s="187" t="inlineStr">
        <is>
          <t>CVE-2026-25374</t>
        </is>
      </c>
      <c r="C214" s="187" t="inlineStr">
        <is>
          <t>Missing Authorization vulnerability in raratheme Spa and Salon spa-and-salon allows Exploiting Incorrectly Configured Access Control Security Levels.This issue affects Spa and Salon: from n/a through &lt;= 1.3.2.</t>
        </is>
      </c>
      <c r="D214" s="187" t="n">
        <v>5.3</v>
      </c>
      <c r="E214" s="187" t="inlineStr">
        <is>
          <t>MEDIUM</t>
        </is>
      </c>
      <c r="F214" s="187" t="n">
        <v>2</v>
      </c>
      <c r="G214" s="187" t="n">
        <v>2</v>
      </c>
      <c r="H214" s="187" t="inlineStr">
        <is>
          <t>MEDIUM</t>
        </is>
      </c>
      <c r="I214" s="187" t="n">
        <v>9.300000000000001</v>
      </c>
      <c r="J214" s="187" t="inlineStr">
        <is>
          <t>NO</t>
        </is>
      </c>
      <c r="K214" s="187" t="inlineStr">
        <is>
          <t>https://nvd.nist.gov/vuln/detail/CVE-2026-25374</t>
        </is>
      </c>
      <c r="L214" s="187" t="inlineStr">
        <is>
          <t>2026-02-26 00:15</t>
        </is>
      </c>
      <c r="M214" s="187" t="inlineStr">
        <is>
          <t>CHECK_VENDOR</t>
        </is>
      </c>
      <c r="N214" s="187" t="inlineStr">
        <is>
          <t>See NVD references</t>
        </is>
      </c>
      <c r="O214" s="187" t="inlineStr">
        <is>
          <t>Apply vendor patches</t>
        </is>
      </c>
      <c r="P214" s="187" t="inlineStr">
        <is>
          <t>See CVE details</t>
        </is>
      </c>
      <c r="Q214" s="187" t="inlineStr">
        <is>
          <t>P4</t>
        </is>
      </c>
      <c r="R214" s="187" t="inlineStr">
        <is>
          <t>📅 Schedule patch deployment within 30 days | 🔍 Monitor for exploitation attempts</t>
        </is>
      </c>
      <c r="S214" s="187" t="inlineStr">
        <is>
          <t>CVE - IP enrichment n/a</t>
        </is>
      </c>
      <c r="T214" s="187" t="n">
        <v>0</v>
      </c>
      <c r="U214" s="187" t="n">
        <v>0</v>
      </c>
      <c r="V214" s="187" t="inlineStr">
        <is>
          <t>T1190:Exploit Public-Facing Application</t>
        </is>
      </c>
      <c r="W214" s="187" t="n">
        <v>1</v>
      </c>
      <c r="X214" s="187" t="inlineStr">
        <is>
          <t>LOW (40%)</t>
        </is>
      </c>
      <c r="Y214" s="187" t="inlineStr">
        <is>
          <t>UNLIKELY</t>
        </is>
      </c>
      <c r="Z214" s="187" t="inlineStr">
        <is>
          <t>CHECK_VENDOR</t>
        </is>
      </c>
      <c r="AA214" s="187" t="inlineStr">
        <is>
          <t>https://nvd.nist.gov/vuln/detail/CVE-2026-25374</t>
        </is>
      </c>
      <c r="AB214" s="187" t="inlineStr">
        <is>
          <t>NONE</t>
        </is>
      </c>
      <c r="AC214" s="187" t="n">
        <v>0</v>
      </c>
      <c r="AD214" s="187" t="inlineStr"/>
    </row>
    <row r="215">
      <c r="A215" s="187" t="inlineStr">
        <is>
          <t>CVE</t>
        </is>
      </c>
      <c r="B215" s="187" t="inlineStr">
        <is>
          <t>CVE-2026-25375</t>
        </is>
      </c>
      <c r="C215" s="187" t="inlineStr">
        <is>
          <t>Missing Authorization vulnerability in WP Chill Image Photo Gallery Final Tiles Grid final-tiles-grid-gallery-lite allows Exploiting Incorrectly Configured Access Control Security Levels.This issue affects Image Photo Gallery Final Tiles Grid: from n/a through &lt;= 3.6.10.</t>
        </is>
      </c>
      <c r="D215" s="187" t="n">
        <v>4.3</v>
      </c>
      <c r="E215" s="187" t="inlineStr">
        <is>
          <t>MEDIUM</t>
        </is>
      </c>
      <c r="F215" s="187" t="n">
        <v>2</v>
      </c>
      <c r="G215" s="187" t="n">
        <v>2</v>
      </c>
      <c r="H215" s="187" t="inlineStr">
        <is>
          <t>MEDIUM</t>
        </is>
      </c>
      <c r="I215" s="187" t="n">
        <v>8.300000000000001</v>
      </c>
      <c r="J215" s="187" t="inlineStr">
        <is>
          <t>NO</t>
        </is>
      </c>
      <c r="K215" s="187" t="inlineStr">
        <is>
          <t>https://nvd.nist.gov/vuln/detail/CVE-2026-25375</t>
        </is>
      </c>
      <c r="L215" s="187" t="inlineStr">
        <is>
          <t>2026-02-26 00:15</t>
        </is>
      </c>
      <c r="M215" s="187" t="inlineStr">
        <is>
          <t>CHECK_VENDOR</t>
        </is>
      </c>
      <c r="N215" s="187" t="inlineStr">
        <is>
          <t>See NVD references</t>
        </is>
      </c>
      <c r="O215" s="187" t="inlineStr">
        <is>
          <t>Apply vendor patches</t>
        </is>
      </c>
      <c r="P215" s="187" t="inlineStr">
        <is>
          <t>See CVE details</t>
        </is>
      </c>
      <c r="Q215" s="187" t="inlineStr">
        <is>
          <t>P4</t>
        </is>
      </c>
      <c r="R215" s="187" t="inlineStr">
        <is>
          <t>📅 Schedule patch deployment within 30 days | 🔍 Monitor for exploitation attempts</t>
        </is>
      </c>
      <c r="S215" s="187" t="inlineStr">
        <is>
          <t>CVE - IP enrichment n/a</t>
        </is>
      </c>
      <c r="T215" s="187" t="n">
        <v>0</v>
      </c>
      <c r="U215" s="187" t="n">
        <v>0</v>
      </c>
      <c r="V215" s="187" t="inlineStr">
        <is>
          <t>T1190:Exploit Public-Facing Application</t>
        </is>
      </c>
      <c r="W215" s="187" t="n">
        <v>1</v>
      </c>
      <c r="X215" s="187" t="inlineStr">
        <is>
          <t>LOW (40%)</t>
        </is>
      </c>
      <c r="Y215" s="187" t="inlineStr">
        <is>
          <t>UNLIKELY</t>
        </is>
      </c>
      <c r="Z215" s="187" t="inlineStr">
        <is>
          <t>CHECK_VENDOR</t>
        </is>
      </c>
      <c r="AA215" s="187" t="inlineStr">
        <is>
          <t>https://nvd.nist.gov/vuln/detail/CVE-2026-25375</t>
        </is>
      </c>
      <c r="AB215" s="187" t="inlineStr">
        <is>
          <t>NONE</t>
        </is>
      </c>
      <c r="AC215" s="187" t="n">
        <v>0</v>
      </c>
      <c r="AD215" s="187" t="inlineStr"/>
    </row>
    <row r="216">
      <c r="A216" s="188" t="inlineStr">
        <is>
          <t>CVE</t>
        </is>
      </c>
      <c r="B216" s="188" t="inlineStr">
        <is>
          <t>CVE-2026-25378</t>
        </is>
      </c>
      <c r="C216" s="188" t="inlineStr">
        <is>
          <t>Improper Neutralization of Special Elements used in an SQL Command ('SQL Injection') vulnerability in Nelio Software Nelio AB Testing nelio-ab-testing allows Blind SQL Injection.This issue affects Nelio AB Testing: from n/a through &lt;= 8.2.4.</t>
        </is>
      </c>
      <c r="D216" s="188" t="n">
        <v>7.6</v>
      </c>
      <c r="E216" s="188" t="inlineStr">
        <is>
          <t>HIGH</t>
        </is>
      </c>
      <c r="F216" s="188" t="n">
        <v>2</v>
      </c>
      <c r="G216" s="188" t="n">
        <v>3</v>
      </c>
      <c r="H216" s="188" t="inlineStr">
        <is>
          <t>HIGH</t>
        </is>
      </c>
      <c r="I216" s="188" t="n">
        <v>13.6</v>
      </c>
      <c r="J216" s="188" t="inlineStr">
        <is>
          <t>NO</t>
        </is>
      </c>
      <c r="K216" s="188" t="inlineStr">
        <is>
          <t>https://nvd.nist.gov/vuln/detail/CVE-2026-25378</t>
        </is>
      </c>
      <c r="L216" s="188" t="inlineStr">
        <is>
          <t>2026-02-26 00:15</t>
        </is>
      </c>
      <c r="M216" s="188" t="inlineStr">
        <is>
          <t>CHECK_VENDOR</t>
        </is>
      </c>
      <c r="N216" s="188" t="inlineStr">
        <is>
          <t>See NVD references</t>
        </is>
      </c>
      <c r="O216" s="188" t="inlineStr">
        <is>
          <t>Apply vendor patches</t>
        </is>
      </c>
      <c r="P216" s="188" t="inlineStr">
        <is>
          <t>See CVE details</t>
        </is>
      </c>
      <c r="Q216" s="188" t="inlineStr">
        <is>
          <t>P3</t>
        </is>
      </c>
      <c r="R216" s="188" t="inlineStr">
        <is>
          <t>🚨 URGENT: Apply vendor patches immediately | 🔒 Isolate affected systems if patch unavailable | 🛡️ Enable additional monitoring/IDS rules</t>
        </is>
      </c>
      <c r="S216" s="188" t="inlineStr">
        <is>
          <t>CVE - IP enrichment n/a</t>
        </is>
      </c>
      <c r="T216" s="188" t="n">
        <v>0</v>
      </c>
      <c r="U216" s="188" t="n">
        <v>0</v>
      </c>
      <c r="V216" s="188" t="inlineStr">
        <is>
          <t>T1190:Exploit Public-Facing Application</t>
        </is>
      </c>
      <c r="W216" s="188" t="n">
        <v>1</v>
      </c>
      <c r="X216" s="188" t="inlineStr">
        <is>
          <t>LOW (40%)</t>
        </is>
      </c>
      <c r="Y216" s="188" t="inlineStr">
        <is>
          <t>UNLIKELY</t>
        </is>
      </c>
      <c r="Z216" s="188" t="inlineStr">
        <is>
          <t>CHECK_VENDOR</t>
        </is>
      </c>
      <c r="AA216" s="188" t="inlineStr">
        <is>
          <t>https://nvd.nist.gov/vuln/detail/CVE-2026-25378</t>
        </is>
      </c>
      <c r="AB216" s="188" t="inlineStr">
        <is>
          <t>NONE</t>
        </is>
      </c>
      <c r="AC216" s="188" t="n">
        <v>0</v>
      </c>
      <c r="AD216" s="188" t="inlineStr"/>
    </row>
    <row r="217">
      <c r="A217" s="187" t="inlineStr">
        <is>
          <t>CVE</t>
        </is>
      </c>
      <c r="B217" s="187" t="inlineStr">
        <is>
          <t>CVE-2026-25384</t>
        </is>
      </c>
      <c r="C217" s="187" t="inlineStr">
        <is>
          <t>Missing Authorization vulnerability in WP Lab WP-Lister Lite for eBay wp-lister-for-ebay allows Exploiting Incorrectly Configured Access Control Security Levels.This issue affects WP-Lister Lite for eBay: from n/a through &lt;= 3.8.5.</t>
        </is>
      </c>
      <c r="D217" s="187" t="n">
        <v>5.3</v>
      </c>
      <c r="E217" s="187" t="inlineStr">
        <is>
          <t>MEDIUM</t>
        </is>
      </c>
      <c r="F217" s="187" t="n">
        <v>2</v>
      </c>
      <c r="G217" s="187" t="n">
        <v>2</v>
      </c>
      <c r="H217" s="187" t="inlineStr">
        <is>
          <t>MEDIUM</t>
        </is>
      </c>
      <c r="I217" s="187" t="n">
        <v>9.300000000000001</v>
      </c>
      <c r="J217" s="187" t="inlineStr">
        <is>
          <t>NO</t>
        </is>
      </c>
      <c r="K217" s="187" t="inlineStr">
        <is>
          <t>https://nvd.nist.gov/vuln/detail/CVE-2026-25384</t>
        </is>
      </c>
      <c r="L217" s="187" t="inlineStr">
        <is>
          <t>2026-02-26 00:15</t>
        </is>
      </c>
      <c r="M217" s="187" t="inlineStr">
        <is>
          <t>CHECK_VENDOR</t>
        </is>
      </c>
      <c r="N217" s="187" t="inlineStr">
        <is>
          <t>See NVD references</t>
        </is>
      </c>
      <c r="O217" s="187" t="inlineStr">
        <is>
          <t>Apply vendor patches</t>
        </is>
      </c>
      <c r="P217" s="187" t="inlineStr">
        <is>
          <t>See CVE details</t>
        </is>
      </c>
      <c r="Q217" s="187" t="inlineStr">
        <is>
          <t>P4</t>
        </is>
      </c>
      <c r="R217" s="187" t="inlineStr">
        <is>
          <t>📅 Schedule patch deployment within 30 days | 🔍 Monitor for exploitation attempts</t>
        </is>
      </c>
      <c r="S217" s="187" t="inlineStr">
        <is>
          <t>CVE - IP enrichment n/a</t>
        </is>
      </c>
      <c r="T217" s="187" t="n">
        <v>0</v>
      </c>
      <c r="U217" s="187" t="n">
        <v>0</v>
      </c>
      <c r="V217" s="187" t="inlineStr">
        <is>
          <t>T1190:Exploit Public-Facing Application</t>
        </is>
      </c>
      <c r="W217" s="187" t="n">
        <v>1</v>
      </c>
      <c r="X217" s="187" t="inlineStr">
        <is>
          <t>LOW (40%)</t>
        </is>
      </c>
      <c r="Y217" s="187" t="inlineStr">
        <is>
          <t>UNLIKELY</t>
        </is>
      </c>
      <c r="Z217" s="187" t="inlineStr">
        <is>
          <t>CHECK_VENDOR</t>
        </is>
      </c>
      <c r="AA217" s="187" t="inlineStr">
        <is>
          <t>https://nvd.nist.gov/vuln/detail/CVE-2026-25384</t>
        </is>
      </c>
      <c r="AB217" s="187" t="inlineStr">
        <is>
          <t>NONE</t>
        </is>
      </c>
      <c r="AC217" s="187" t="n">
        <v>0</v>
      </c>
      <c r="AD217" s="187" t="inlineStr"/>
    </row>
    <row r="218">
      <c r="A218" s="187" t="inlineStr">
        <is>
          <t>CVE</t>
        </is>
      </c>
      <c r="B218" s="187" t="inlineStr">
        <is>
          <t>CVE-2026-25385</t>
        </is>
      </c>
      <c r="C218" s="187" t="inlineStr">
        <is>
          <t>Server-Side Request Forgery (SSRF) vulnerability in KaizenCoders URL Shortify url-shortify allows Server Side Request Forgery.This issue affects URL Shortify: from n/a through &lt;= 1.12.3.</t>
        </is>
      </c>
      <c r="D218" s="187" t="n">
        <v>5.5</v>
      </c>
      <c r="E218" s="187" t="inlineStr">
        <is>
          <t>MEDIUM</t>
        </is>
      </c>
      <c r="F218" s="187" t="n">
        <v>2</v>
      </c>
      <c r="G218" s="187" t="n">
        <v>2</v>
      </c>
      <c r="H218" s="187" t="inlineStr">
        <is>
          <t>MEDIUM</t>
        </is>
      </c>
      <c r="I218" s="187" t="n">
        <v>9.5</v>
      </c>
      <c r="J218" s="187" t="inlineStr">
        <is>
          <t>NO</t>
        </is>
      </c>
      <c r="K218" s="187" t="inlineStr">
        <is>
          <t>https://nvd.nist.gov/vuln/detail/CVE-2026-25385</t>
        </is>
      </c>
      <c r="L218" s="187" t="inlineStr">
        <is>
          <t>2026-02-26 00:15</t>
        </is>
      </c>
      <c r="M218" s="187" t="inlineStr">
        <is>
          <t>CHECK_VENDOR</t>
        </is>
      </c>
      <c r="N218" s="187" t="inlineStr">
        <is>
          <t>See NVD references</t>
        </is>
      </c>
      <c r="O218" s="187" t="inlineStr">
        <is>
          <t>Apply vendor patches</t>
        </is>
      </c>
      <c r="P218" s="187" t="inlineStr">
        <is>
          <t>See CVE details</t>
        </is>
      </c>
      <c r="Q218" s="187" t="inlineStr">
        <is>
          <t>P4</t>
        </is>
      </c>
      <c r="R218" s="187" t="inlineStr">
        <is>
          <t>📅 Schedule patch deployment within 30 days | 🔍 Monitor for exploitation attempts</t>
        </is>
      </c>
      <c r="S218" s="187" t="inlineStr">
        <is>
          <t>CVE - IP enrichment n/a</t>
        </is>
      </c>
      <c r="T218" s="187" t="n">
        <v>0</v>
      </c>
      <c r="U218" s="187" t="n">
        <v>0</v>
      </c>
      <c r="V218" s="187" t="inlineStr">
        <is>
          <t>T1090:Proxy</t>
        </is>
      </c>
      <c r="W218" s="187" t="n">
        <v>1</v>
      </c>
      <c r="X218" s="187" t="inlineStr">
        <is>
          <t>LOW (40%)</t>
        </is>
      </c>
      <c r="Y218" s="187" t="inlineStr">
        <is>
          <t>UNLIKELY</t>
        </is>
      </c>
      <c r="Z218" s="187" t="inlineStr">
        <is>
          <t>CHECK_VENDOR</t>
        </is>
      </c>
      <c r="AA218" s="187" t="inlineStr">
        <is>
          <t>https://nvd.nist.gov/vuln/detail/CVE-2026-25385</t>
        </is>
      </c>
      <c r="AB218" s="187" t="inlineStr">
        <is>
          <t>NONE</t>
        </is>
      </c>
      <c r="AC218" s="187" t="n">
        <v>0</v>
      </c>
      <c r="AD218" s="187" t="inlineStr"/>
    </row>
    <row r="219">
      <c r="A219" s="187" t="inlineStr">
        <is>
          <t>CVE</t>
        </is>
      </c>
      <c r="B219" s="187" t="inlineStr">
        <is>
          <t>CVE-2026-25386</t>
        </is>
      </c>
      <c r="C219" s="187" t="inlineStr">
        <is>
          <t>Missing Authorization vulnerability in Elementor Ally pojo-accessibility allows Exploiting Incorrectly Configured Access Control Security Levels.This issue affects Ally: from n/a through &lt;= 4.0.2.</t>
        </is>
      </c>
      <c r="D219" s="187" t="n">
        <v>5.3</v>
      </c>
      <c r="E219" s="187" t="inlineStr">
        <is>
          <t>MEDIUM</t>
        </is>
      </c>
      <c r="F219" s="187" t="n">
        <v>2</v>
      </c>
      <c r="G219" s="187" t="n">
        <v>2</v>
      </c>
      <c r="H219" s="187" t="inlineStr">
        <is>
          <t>MEDIUM</t>
        </is>
      </c>
      <c r="I219" s="187" t="n">
        <v>9.300000000000001</v>
      </c>
      <c r="J219" s="187" t="inlineStr">
        <is>
          <t>NO</t>
        </is>
      </c>
      <c r="K219" s="187" t="inlineStr">
        <is>
          <t>https://nvd.nist.gov/vuln/detail/CVE-2026-25386</t>
        </is>
      </c>
      <c r="L219" s="187" t="inlineStr">
        <is>
          <t>2026-02-26 00:15</t>
        </is>
      </c>
      <c r="M219" s="187" t="inlineStr">
        <is>
          <t>CHECK_VENDOR</t>
        </is>
      </c>
      <c r="N219" s="187" t="inlineStr">
        <is>
          <t>See NVD references</t>
        </is>
      </c>
      <c r="O219" s="187" t="inlineStr">
        <is>
          <t>Apply vendor patches</t>
        </is>
      </c>
      <c r="P219" s="187" t="inlineStr">
        <is>
          <t>See CVE details</t>
        </is>
      </c>
      <c r="Q219" s="187" t="inlineStr">
        <is>
          <t>P4</t>
        </is>
      </c>
      <c r="R219" s="187" t="inlineStr">
        <is>
          <t>📅 Schedule patch deployment within 30 days | 🔍 Monitor for exploitation attempts</t>
        </is>
      </c>
      <c r="S219" s="187" t="inlineStr">
        <is>
          <t>CVE - IP enrichment n/a</t>
        </is>
      </c>
      <c r="T219" s="187" t="n">
        <v>0</v>
      </c>
      <c r="U219" s="187" t="n">
        <v>0</v>
      </c>
      <c r="V219" s="187" t="inlineStr">
        <is>
          <t>T1190:Exploit Public-Facing Application</t>
        </is>
      </c>
      <c r="W219" s="187" t="n">
        <v>1</v>
      </c>
      <c r="X219" s="187" t="inlineStr">
        <is>
          <t>LOW (40%)</t>
        </is>
      </c>
      <c r="Y219" s="187" t="inlineStr">
        <is>
          <t>UNLIKELY</t>
        </is>
      </c>
      <c r="Z219" s="187" t="inlineStr">
        <is>
          <t>CHECK_VENDOR</t>
        </is>
      </c>
      <c r="AA219" s="187" t="inlineStr">
        <is>
          <t>https://nvd.nist.gov/vuln/detail/CVE-2026-25386</t>
        </is>
      </c>
      <c r="AB219" s="187" t="inlineStr">
        <is>
          <t>NONE</t>
        </is>
      </c>
      <c r="AC219" s="187" t="n">
        <v>0</v>
      </c>
      <c r="AD219" s="187" t="inlineStr"/>
    </row>
    <row r="220">
      <c r="A220" s="187" t="inlineStr">
        <is>
          <t>CVE</t>
        </is>
      </c>
      <c r="B220" s="187" t="inlineStr">
        <is>
          <t>CVE-2026-25387</t>
        </is>
      </c>
      <c r="C220" s="187" t="inlineStr">
        <is>
          <t>Missing Authorization vulnerability in Elementor Image Optimizer by Elementor image-optimization allows Exploiting Incorrectly Configured Access Control Security Levels.This issue affects Image Optimizer by Elementor: from n/a through &lt;= 1.7.1.</t>
        </is>
      </c>
      <c r="D220" s="187" t="n">
        <v>5</v>
      </c>
      <c r="E220" s="187" t="inlineStr">
        <is>
          <t>MEDIUM</t>
        </is>
      </c>
      <c r="F220" s="187" t="n">
        <v>2</v>
      </c>
      <c r="G220" s="187" t="n">
        <v>2</v>
      </c>
      <c r="H220" s="187" t="inlineStr">
        <is>
          <t>MEDIUM</t>
        </is>
      </c>
      <c r="I220" s="187" t="n">
        <v>9</v>
      </c>
      <c r="J220" s="187" t="inlineStr">
        <is>
          <t>NO</t>
        </is>
      </c>
      <c r="K220" s="187" t="inlineStr">
        <is>
          <t>https://nvd.nist.gov/vuln/detail/CVE-2026-25387</t>
        </is>
      </c>
      <c r="L220" s="187" t="inlineStr">
        <is>
          <t>2026-02-26 00:15</t>
        </is>
      </c>
      <c r="M220" s="187" t="inlineStr">
        <is>
          <t>CHECK_VENDOR</t>
        </is>
      </c>
      <c r="N220" s="187" t="inlineStr">
        <is>
          <t>See NVD references</t>
        </is>
      </c>
      <c r="O220" s="187" t="inlineStr">
        <is>
          <t>Apply vendor patches</t>
        </is>
      </c>
      <c r="P220" s="187" t="inlineStr">
        <is>
          <t>See CVE details</t>
        </is>
      </c>
      <c r="Q220" s="187" t="inlineStr">
        <is>
          <t>P4</t>
        </is>
      </c>
      <c r="R220" s="187" t="inlineStr">
        <is>
          <t>📅 Schedule patch deployment within 30 days | 🔍 Monitor for exploitation attempts</t>
        </is>
      </c>
      <c r="S220" s="187" t="inlineStr">
        <is>
          <t>CVE - IP enrichment n/a</t>
        </is>
      </c>
      <c r="T220" s="187" t="n">
        <v>0</v>
      </c>
      <c r="U220" s="187" t="n">
        <v>0</v>
      </c>
      <c r="V220" s="187" t="inlineStr">
        <is>
          <t>T1190:Exploit Public-Facing Application</t>
        </is>
      </c>
      <c r="W220" s="187" t="n">
        <v>1</v>
      </c>
      <c r="X220" s="187" t="inlineStr">
        <is>
          <t>LOW (40%)</t>
        </is>
      </c>
      <c r="Y220" s="187" t="inlineStr">
        <is>
          <t>UNLIKELY</t>
        </is>
      </c>
      <c r="Z220" s="187" t="inlineStr">
        <is>
          <t>CHECK_VENDOR</t>
        </is>
      </c>
      <c r="AA220" s="187" t="inlineStr">
        <is>
          <t>https://nvd.nist.gov/vuln/detail/CVE-2026-25387</t>
        </is>
      </c>
      <c r="AB220" s="187" t="inlineStr">
        <is>
          <t>NONE</t>
        </is>
      </c>
      <c r="AC220" s="187" t="n">
        <v>0</v>
      </c>
      <c r="AD220" s="187" t="inlineStr"/>
    </row>
    <row r="221">
      <c r="A221" s="187" t="inlineStr">
        <is>
          <t>CVE</t>
        </is>
      </c>
      <c r="B221" s="187" t="inlineStr">
        <is>
          <t>CVE-2026-25388</t>
        </is>
      </c>
      <c r="C221" s="187" t="inlineStr">
        <is>
          <t>Missing Authorization vulnerability in scripteo Ads Pro ap-plugin-scripteo allows Exploiting Incorrectly Configured Access Control Security Levels.This issue affects Ads Pro: from n/a through &lt;= 5.0.</t>
        </is>
      </c>
      <c r="D221" s="187" t="n">
        <v>5.4</v>
      </c>
      <c r="E221" s="187" t="inlineStr">
        <is>
          <t>MEDIUM</t>
        </is>
      </c>
      <c r="F221" s="187" t="n">
        <v>2</v>
      </c>
      <c r="G221" s="187" t="n">
        <v>2</v>
      </c>
      <c r="H221" s="187" t="inlineStr">
        <is>
          <t>MEDIUM</t>
        </is>
      </c>
      <c r="I221" s="187" t="n">
        <v>9.4</v>
      </c>
      <c r="J221" s="187" t="inlineStr">
        <is>
          <t>NO</t>
        </is>
      </c>
      <c r="K221" s="187" t="inlineStr">
        <is>
          <t>https://nvd.nist.gov/vuln/detail/CVE-2026-25388</t>
        </is>
      </c>
      <c r="L221" s="187" t="inlineStr">
        <is>
          <t>2026-02-26 00:15</t>
        </is>
      </c>
      <c r="M221" s="187" t="inlineStr">
        <is>
          <t>CHECK_VENDOR</t>
        </is>
      </c>
      <c r="N221" s="187" t="inlineStr">
        <is>
          <t>See NVD references</t>
        </is>
      </c>
      <c r="O221" s="187" t="inlineStr">
        <is>
          <t>Apply vendor patches</t>
        </is>
      </c>
      <c r="P221" s="187" t="inlineStr">
        <is>
          <t>See CVE details</t>
        </is>
      </c>
      <c r="Q221" s="187" t="inlineStr">
        <is>
          <t>P4</t>
        </is>
      </c>
      <c r="R221" s="187" t="inlineStr">
        <is>
          <t>📅 Schedule patch deployment within 30 days | 🔍 Monitor for exploitation attempts</t>
        </is>
      </c>
      <c r="S221" s="187" t="inlineStr">
        <is>
          <t>CVE - IP enrichment n/a</t>
        </is>
      </c>
      <c r="T221" s="187" t="n">
        <v>0</v>
      </c>
      <c r="U221" s="187" t="n">
        <v>0</v>
      </c>
      <c r="V221" s="187" t="inlineStr">
        <is>
          <t>T1190:Exploit Public-Facing Application</t>
        </is>
      </c>
      <c r="W221" s="187" t="n">
        <v>1</v>
      </c>
      <c r="X221" s="187" t="inlineStr">
        <is>
          <t>LOW (40%)</t>
        </is>
      </c>
      <c r="Y221" s="187" t="inlineStr">
        <is>
          <t>UNLIKELY</t>
        </is>
      </c>
      <c r="Z221" s="187" t="inlineStr">
        <is>
          <t>CHECK_VENDOR</t>
        </is>
      </c>
      <c r="AA221" s="187" t="inlineStr">
        <is>
          <t>https://nvd.nist.gov/vuln/detail/CVE-2026-25388</t>
        </is>
      </c>
      <c r="AB221" s="187" t="inlineStr">
        <is>
          <t>NONE</t>
        </is>
      </c>
      <c r="AC221" s="187" t="n">
        <v>0</v>
      </c>
      <c r="AD221" s="187" t="inlineStr"/>
    </row>
    <row r="222">
      <c r="A222" s="187" t="inlineStr">
        <is>
          <t>CVE</t>
        </is>
      </c>
      <c r="B222" s="187" t="inlineStr">
        <is>
          <t>CVE-2026-25389</t>
        </is>
      </c>
      <c r="C222" s="187" t="inlineStr">
        <is>
          <t>Exposure of Sensitive System Information to an Unauthorized Control Sphere vulnerability in Metagauss EventPrime eventprime-event-calendar-management allows Retrieve Embedded Sensitive Data.This issue affects EventPrime: from n/a through &lt;= 4.2.8.3.</t>
        </is>
      </c>
      <c r="D222" s="187" t="n">
        <v>5</v>
      </c>
      <c r="E222" s="187" t="inlineStr">
        <is>
          <t>MEDIUM</t>
        </is>
      </c>
      <c r="F222" s="187" t="n">
        <v>2</v>
      </c>
      <c r="G222" s="187" t="n">
        <v>2</v>
      </c>
      <c r="H222" s="187" t="inlineStr">
        <is>
          <t>MEDIUM</t>
        </is>
      </c>
      <c r="I222" s="187" t="n">
        <v>9</v>
      </c>
      <c r="J222" s="187" t="inlineStr">
        <is>
          <t>NO</t>
        </is>
      </c>
      <c r="K222" s="187" t="inlineStr">
        <is>
          <t>https://nvd.nist.gov/vuln/detail/CVE-2026-25389</t>
        </is>
      </c>
      <c r="L222" s="187" t="inlineStr">
        <is>
          <t>2026-02-26 00:15</t>
        </is>
      </c>
      <c r="M222" s="187" t="inlineStr">
        <is>
          <t>CHECK_VENDOR</t>
        </is>
      </c>
      <c r="N222" s="187" t="inlineStr">
        <is>
          <t>See NVD references</t>
        </is>
      </c>
      <c r="O222" s="187" t="inlineStr">
        <is>
          <t>Apply vendor patches</t>
        </is>
      </c>
      <c r="P222" s="187" t="inlineStr">
        <is>
          <t>See CVE details</t>
        </is>
      </c>
      <c r="Q222" s="187" t="inlineStr">
        <is>
          <t>P4</t>
        </is>
      </c>
      <c r="R222" s="187" t="inlineStr">
        <is>
          <t>📅 Schedule patch deployment within 30 days | 🔍 Monitor for exploitation attempts</t>
        </is>
      </c>
      <c r="S222" s="187" t="inlineStr">
        <is>
          <t>CVE - IP enrichment n/a</t>
        </is>
      </c>
      <c r="T222" s="187" t="n">
        <v>0.0002</v>
      </c>
      <c r="U222" s="187" t="n">
        <v>0.0633</v>
      </c>
      <c r="V222" s="187" t="inlineStr">
        <is>
          <t>T1190:Exploit Public-Facing Application</t>
        </is>
      </c>
      <c r="W222" s="187" t="n">
        <v>1</v>
      </c>
      <c r="X222" s="187" t="inlineStr">
        <is>
          <t>LOW (40%)</t>
        </is>
      </c>
      <c r="Y222" s="187" t="inlineStr">
        <is>
          <t>UNLIKELY</t>
        </is>
      </c>
      <c r="Z222" s="187" t="inlineStr">
        <is>
          <t>CHECK_VENDOR</t>
        </is>
      </c>
      <c r="AA222" s="187" t="inlineStr">
        <is>
          <t>https://nvd.nist.gov/vuln/detail/CVE-2026-25389</t>
        </is>
      </c>
      <c r="AB222" s="187" t="inlineStr">
        <is>
          <t>NONE</t>
        </is>
      </c>
      <c r="AC222" s="187" t="n">
        <v>0</v>
      </c>
      <c r="AD222" s="187" t="inlineStr"/>
    </row>
    <row r="223">
      <c r="A223" s="187" t="inlineStr">
        <is>
          <t>CVE</t>
        </is>
      </c>
      <c r="B223" s="187" t="inlineStr">
        <is>
          <t>CVE-2026-25391</t>
        </is>
      </c>
      <c r="C223" s="187" t="inlineStr">
        <is>
          <t>Missing Authorization vulnerability in WP Grids WP Wand ai-content-generation allows Exploiting Incorrectly Configured Access Control Security Levels.This issue affects WP Wand: from n/a through &lt;= 1.3.07.</t>
        </is>
      </c>
      <c r="D223" s="187" t="n">
        <v>5.4</v>
      </c>
      <c r="E223" s="187" t="inlineStr">
        <is>
          <t>MEDIUM</t>
        </is>
      </c>
      <c r="F223" s="187" t="n">
        <v>2</v>
      </c>
      <c r="G223" s="187" t="n">
        <v>2</v>
      </c>
      <c r="H223" s="187" t="inlineStr">
        <is>
          <t>MEDIUM</t>
        </is>
      </c>
      <c r="I223" s="187" t="n">
        <v>9.4</v>
      </c>
      <c r="J223" s="187" t="inlineStr">
        <is>
          <t>NO</t>
        </is>
      </c>
      <c r="K223" s="187" t="inlineStr">
        <is>
          <t>https://nvd.nist.gov/vuln/detail/CVE-2026-25391</t>
        </is>
      </c>
      <c r="L223" s="187" t="inlineStr">
        <is>
          <t>2026-02-26 00:15</t>
        </is>
      </c>
      <c r="M223" s="187" t="inlineStr">
        <is>
          <t>CHECK_VENDOR</t>
        </is>
      </c>
      <c r="N223" s="187" t="inlineStr">
        <is>
          <t>See NVD references</t>
        </is>
      </c>
      <c r="O223" s="187" t="inlineStr">
        <is>
          <t>Apply vendor patches</t>
        </is>
      </c>
      <c r="P223" s="187" t="inlineStr">
        <is>
          <t>See CVE details</t>
        </is>
      </c>
      <c r="Q223" s="187" t="inlineStr">
        <is>
          <t>P4</t>
        </is>
      </c>
      <c r="R223" s="187" t="inlineStr">
        <is>
          <t>📅 Schedule patch deployment within 30 days | 🔍 Monitor for exploitation attempts</t>
        </is>
      </c>
      <c r="S223" s="187" t="inlineStr">
        <is>
          <t>CVE - IP enrichment n/a</t>
        </is>
      </c>
      <c r="T223" s="187" t="n">
        <v>0</v>
      </c>
      <c r="U223" s="187" t="n">
        <v>0</v>
      </c>
      <c r="V223" s="187" t="inlineStr">
        <is>
          <t>T1190:Exploit Public-Facing Application</t>
        </is>
      </c>
      <c r="W223" s="187" t="n">
        <v>1</v>
      </c>
      <c r="X223" s="187" t="inlineStr">
        <is>
          <t>LOW (40%)</t>
        </is>
      </c>
      <c r="Y223" s="187" t="inlineStr">
        <is>
          <t>UNLIKELY</t>
        </is>
      </c>
      <c r="Z223" s="187" t="inlineStr">
        <is>
          <t>CHECK_VENDOR</t>
        </is>
      </c>
      <c r="AA223" s="187" t="inlineStr">
        <is>
          <t>https://nvd.nist.gov/vuln/detail/CVE-2026-25391</t>
        </is>
      </c>
      <c r="AB223" s="187" t="inlineStr">
        <is>
          <t>NONE</t>
        </is>
      </c>
      <c r="AC223" s="187" t="n">
        <v>0</v>
      </c>
      <c r="AD223" s="187" t="inlineStr"/>
    </row>
    <row r="224">
      <c r="A224" s="187" t="inlineStr">
        <is>
          <t>CVE</t>
        </is>
      </c>
      <c r="B224" s="187" t="inlineStr">
        <is>
          <t>CVE-2026-25392</t>
        </is>
      </c>
      <c r="C224" s="187" t="inlineStr">
        <is>
          <t>URL Redirection to Untrusted Site ('Open Redirect') vulnerability in KaizenCoders Update URLs &amp;#8211; Quick and Easy way to search old links and replace them with new links in WordPress update-urls allows Phishing.This issue affects Update URLs &amp;#8211; Quick and Easy way to search old links and replace them with new links in WordPress: from n/a through &lt;= 1.4.0.</t>
        </is>
      </c>
      <c r="D224" s="187" t="n">
        <v>4.7</v>
      </c>
      <c r="E224" s="187" t="inlineStr">
        <is>
          <t>MEDIUM</t>
        </is>
      </c>
      <c r="F224" s="187" t="n">
        <v>2</v>
      </c>
      <c r="G224" s="187" t="n">
        <v>2</v>
      </c>
      <c r="H224" s="187" t="inlineStr">
        <is>
          <t>MEDIUM</t>
        </is>
      </c>
      <c r="I224" s="187" t="n">
        <v>8.699999999999999</v>
      </c>
      <c r="J224" s="187" t="inlineStr">
        <is>
          <t>NO</t>
        </is>
      </c>
      <c r="K224" s="187" t="inlineStr">
        <is>
          <t>https://nvd.nist.gov/vuln/detail/CVE-2026-25392</t>
        </is>
      </c>
      <c r="L224" s="187" t="inlineStr">
        <is>
          <t>2026-02-26 00:15</t>
        </is>
      </c>
      <c r="M224" s="187" t="inlineStr">
        <is>
          <t>CHECK_VENDOR</t>
        </is>
      </c>
      <c r="N224" s="187" t="inlineStr">
        <is>
          <t>See NVD references</t>
        </is>
      </c>
      <c r="O224" s="187" t="inlineStr">
        <is>
          <t>Apply vendor patches</t>
        </is>
      </c>
      <c r="P224" s="187" t="inlineStr">
        <is>
          <t>See CVE details</t>
        </is>
      </c>
      <c r="Q224" s="187" t="inlineStr">
        <is>
          <t>P4</t>
        </is>
      </c>
      <c r="R224" s="187" t="inlineStr">
        <is>
          <t>📅 Schedule patch deployment within 30 days | 🔍 Monitor for exploitation attempts</t>
        </is>
      </c>
      <c r="S224" s="187" t="inlineStr">
        <is>
          <t>CVE - IP enrichment n/a</t>
        </is>
      </c>
      <c r="T224" s="187" t="n">
        <v>0</v>
      </c>
      <c r="U224" s="187" t="n">
        <v>0</v>
      </c>
      <c r="V224" s="187" t="inlineStr">
        <is>
          <t>T1189:Drive-by Compromise | T1566:Phishing</t>
        </is>
      </c>
      <c r="W224" s="187" t="n">
        <v>1</v>
      </c>
      <c r="X224" s="187" t="inlineStr">
        <is>
          <t>LOW (40%)</t>
        </is>
      </c>
      <c r="Y224" s="187" t="inlineStr">
        <is>
          <t>UNLIKELY</t>
        </is>
      </c>
      <c r="Z224" s="187" t="inlineStr">
        <is>
          <t>CHECK_VENDOR</t>
        </is>
      </c>
      <c r="AA224" s="187" t="inlineStr">
        <is>
          <t>https://nvd.nist.gov/vuln/detail/CVE-2026-25392</t>
        </is>
      </c>
      <c r="AB224" s="187" t="inlineStr">
        <is>
          <t>NONE</t>
        </is>
      </c>
      <c r="AC224" s="187" t="n">
        <v>0</v>
      </c>
      <c r="AD224" s="187" t="inlineStr"/>
    </row>
    <row r="225">
      <c r="A225" s="187" t="inlineStr">
        <is>
          <t>CVE</t>
        </is>
      </c>
      <c r="B225" s="187" t="inlineStr">
        <is>
          <t>CVE-2026-25393</t>
        </is>
      </c>
      <c r="C225" s="187" t="inlineStr">
        <is>
          <t>Missing Authorization vulnerability in sparklewpthemes Hello FSE hello-fse allows Exploiting Incorrectly Configured Access Control Security Levels.This issue affects Hello FSE: from n/a through &lt;= 1.0.6.</t>
        </is>
      </c>
      <c r="D225" s="187" t="n">
        <v>4.3</v>
      </c>
      <c r="E225" s="187" t="inlineStr">
        <is>
          <t>MEDIUM</t>
        </is>
      </c>
      <c r="F225" s="187" t="n">
        <v>2</v>
      </c>
      <c r="G225" s="187" t="n">
        <v>2</v>
      </c>
      <c r="H225" s="187" t="inlineStr">
        <is>
          <t>MEDIUM</t>
        </is>
      </c>
      <c r="I225" s="187" t="n">
        <v>8.300000000000001</v>
      </c>
      <c r="J225" s="187" t="inlineStr">
        <is>
          <t>NO</t>
        </is>
      </c>
      <c r="K225" s="187" t="inlineStr">
        <is>
          <t>https://nvd.nist.gov/vuln/detail/CVE-2026-25393</t>
        </is>
      </c>
      <c r="L225" s="187" t="inlineStr">
        <is>
          <t>2026-02-26 00:15</t>
        </is>
      </c>
      <c r="M225" s="187" t="inlineStr">
        <is>
          <t>CHECK_VENDOR</t>
        </is>
      </c>
      <c r="N225" s="187" t="inlineStr">
        <is>
          <t>See NVD references</t>
        </is>
      </c>
      <c r="O225" s="187" t="inlineStr">
        <is>
          <t>Apply vendor patches</t>
        </is>
      </c>
      <c r="P225" s="187" t="inlineStr">
        <is>
          <t>See CVE details</t>
        </is>
      </c>
      <c r="Q225" s="187" t="inlineStr">
        <is>
          <t>P4</t>
        </is>
      </c>
      <c r="R225" s="187" t="inlineStr">
        <is>
          <t>📅 Schedule patch deployment within 30 days | 🔍 Monitor for exploitation attempts</t>
        </is>
      </c>
      <c r="S225" s="187" t="inlineStr">
        <is>
          <t>CVE - IP enrichment n/a</t>
        </is>
      </c>
      <c r="T225" s="187" t="n">
        <v>0</v>
      </c>
      <c r="U225" s="187" t="n">
        <v>0</v>
      </c>
      <c r="V225" s="187" t="inlineStr">
        <is>
          <t>T1190:Exploit Public-Facing Application</t>
        </is>
      </c>
      <c r="W225" s="187" t="n">
        <v>1</v>
      </c>
      <c r="X225" s="187" t="inlineStr">
        <is>
          <t>LOW (40%)</t>
        </is>
      </c>
      <c r="Y225" s="187" t="inlineStr">
        <is>
          <t>UNLIKELY</t>
        </is>
      </c>
      <c r="Z225" s="187" t="inlineStr">
        <is>
          <t>CHECK_VENDOR</t>
        </is>
      </c>
      <c r="AA225" s="187" t="inlineStr">
        <is>
          <t>https://nvd.nist.gov/vuln/detail/CVE-2026-25393</t>
        </is>
      </c>
      <c r="AB225" s="187" t="inlineStr">
        <is>
          <t>NONE</t>
        </is>
      </c>
      <c r="AC225" s="187" t="n">
        <v>0</v>
      </c>
      <c r="AD225" s="187" t="inlineStr"/>
    </row>
    <row r="226">
      <c r="A226" s="187" t="inlineStr">
        <is>
          <t>CVE</t>
        </is>
      </c>
      <c r="B226" s="187" t="inlineStr">
        <is>
          <t>CVE-2026-25394</t>
        </is>
      </c>
      <c r="C226" s="187" t="inlineStr">
        <is>
          <t>Missing Authorization vulnerability in sparklewpthemes Fitness FSE fitness-fse allows Exploiting Incorrectly Configured Access Control Security Levels.This issue affects Fitness FSE: from n/a through &lt;= 1.0.6.</t>
        </is>
      </c>
      <c r="D226" s="187" t="n">
        <v>4.3</v>
      </c>
      <c r="E226" s="187" t="inlineStr">
        <is>
          <t>MEDIUM</t>
        </is>
      </c>
      <c r="F226" s="187" t="n">
        <v>2</v>
      </c>
      <c r="G226" s="187" t="n">
        <v>2</v>
      </c>
      <c r="H226" s="187" t="inlineStr">
        <is>
          <t>MEDIUM</t>
        </is>
      </c>
      <c r="I226" s="187" t="n">
        <v>8.300000000000001</v>
      </c>
      <c r="J226" s="187" t="inlineStr">
        <is>
          <t>NO</t>
        </is>
      </c>
      <c r="K226" s="187" t="inlineStr">
        <is>
          <t>https://nvd.nist.gov/vuln/detail/CVE-2026-25394</t>
        </is>
      </c>
      <c r="L226" s="187" t="inlineStr">
        <is>
          <t>2026-02-26 00:15</t>
        </is>
      </c>
      <c r="M226" s="187" t="inlineStr">
        <is>
          <t>CHECK_VENDOR</t>
        </is>
      </c>
      <c r="N226" s="187" t="inlineStr">
        <is>
          <t>See NVD references</t>
        </is>
      </c>
      <c r="O226" s="187" t="inlineStr">
        <is>
          <t>Apply vendor patches</t>
        </is>
      </c>
      <c r="P226" s="187" t="inlineStr">
        <is>
          <t>See CVE details</t>
        </is>
      </c>
      <c r="Q226" s="187" t="inlineStr">
        <is>
          <t>P4</t>
        </is>
      </c>
      <c r="R226" s="187" t="inlineStr">
        <is>
          <t>📅 Schedule patch deployment within 30 days | 🔍 Monitor for exploitation attempts</t>
        </is>
      </c>
      <c r="S226" s="187" t="inlineStr">
        <is>
          <t>CVE - IP enrichment n/a</t>
        </is>
      </c>
      <c r="T226" s="187" t="n">
        <v>0</v>
      </c>
      <c r="U226" s="187" t="n">
        <v>0</v>
      </c>
      <c r="V226" s="187" t="inlineStr">
        <is>
          <t>T1190:Exploit Public-Facing Application</t>
        </is>
      </c>
      <c r="W226" s="187" t="n">
        <v>1</v>
      </c>
      <c r="X226" s="187" t="inlineStr">
        <is>
          <t>LOW (40%)</t>
        </is>
      </c>
      <c r="Y226" s="187" t="inlineStr">
        <is>
          <t>UNLIKELY</t>
        </is>
      </c>
      <c r="Z226" s="187" t="inlineStr">
        <is>
          <t>CHECK_VENDOR</t>
        </is>
      </c>
      <c r="AA226" s="187" t="inlineStr">
        <is>
          <t>https://nvd.nist.gov/vuln/detail/CVE-2026-25394</t>
        </is>
      </c>
      <c r="AB226" s="187" t="inlineStr">
        <is>
          <t>NONE</t>
        </is>
      </c>
      <c r="AC226" s="187" t="n">
        <v>0</v>
      </c>
      <c r="AD226" s="187" t="inlineStr"/>
    </row>
    <row r="227">
      <c r="A227" s="187" t="inlineStr">
        <is>
          <t>CVE</t>
        </is>
      </c>
      <c r="B227" s="187" t="inlineStr">
        <is>
          <t>CVE-2026-25395</t>
        </is>
      </c>
      <c r="C227" s="187" t="inlineStr">
        <is>
          <t>Missing Authorization vulnerability in ikreatethemes Business Roy business-roy allows Exploiting Incorrectly Configured Access Control Security Levels.This issue affects Business Roy: from n/a through &lt;= 1.1.4.</t>
        </is>
      </c>
      <c r="D227" s="187" t="n">
        <v>4.3</v>
      </c>
      <c r="E227" s="187" t="inlineStr">
        <is>
          <t>MEDIUM</t>
        </is>
      </c>
      <c r="F227" s="187" t="n">
        <v>2</v>
      </c>
      <c r="G227" s="187" t="n">
        <v>2</v>
      </c>
      <c r="H227" s="187" t="inlineStr">
        <is>
          <t>MEDIUM</t>
        </is>
      </c>
      <c r="I227" s="187" t="n">
        <v>8.300000000000001</v>
      </c>
      <c r="J227" s="187" t="inlineStr">
        <is>
          <t>NO</t>
        </is>
      </c>
      <c r="K227" s="187" t="inlineStr">
        <is>
          <t>https://nvd.nist.gov/vuln/detail/CVE-2026-25395</t>
        </is>
      </c>
      <c r="L227" s="187" t="inlineStr">
        <is>
          <t>2026-02-26 00:15</t>
        </is>
      </c>
      <c r="M227" s="187" t="inlineStr">
        <is>
          <t>CHECK_VENDOR</t>
        </is>
      </c>
      <c r="N227" s="187" t="inlineStr">
        <is>
          <t>See NVD references</t>
        </is>
      </c>
      <c r="O227" s="187" t="inlineStr">
        <is>
          <t>Apply vendor patches</t>
        </is>
      </c>
      <c r="P227" s="187" t="inlineStr">
        <is>
          <t>See CVE details</t>
        </is>
      </c>
      <c r="Q227" s="187" t="inlineStr">
        <is>
          <t>P4</t>
        </is>
      </c>
      <c r="R227" s="187" t="inlineStr">
        <is>
          <t>📅 Schedule patch deployment within 30 days | 🔍 Monitor for exploitation attempts</t>
        </is>
      </c>
      <c r="S227" s="187" t="inlineStr">
        <is>
          <t>CVE - IP enrichment n/a</t>
        </is>
      </c>
      <c r="T227" s="187" t="n">
        <v>0</v>
      </c>
      <c r="U227" s="187" t="n">
        <v>0</v>
      </c>
      <c r="V227" s="187" t="inlineStr">
        <is>
          <t>T1190:Exploit Public-Facing Application</t>
        </is>
      </c>
      <c r="W227" s="187" t="n">
        <v>1</v>
      </c>
      <c r="X227" s="187" t="inlineStr">
        <is>
          <t>LOW (40%)</t>
        </is>
      </c>
      <c r="Y227" s="187" t="inlineStr">
        <is>
          <t>UNLIKELY</t>
        </is>
      </c>
      <c r="Z227" s="187" t="inlineStr">
        <is>
          <t>CHECK_VENDOR</t>
        </is>
      </c>
      <c r="AA227" s="187" t="inlineStr">
        <is>
          <t>https://nvd.nist.gov/vuln/detail/CVE-2026-25395</t>
        </is>
      </c>
      <c r="AB227" s="187" t="inlineStr">
        <is>
          <t>NONE</t>
        </is>
      </c>
      <c r="AC227" s="187" t="n">
        <v>0</v>
      </c>
      <c r="AD227" s="187" t="inlineStr"/>
    </row>
    <row r="228">
      <c r="A228" s="187" t="inlineStr">
        <is>
          <t>CVE</t>
        </is>
      </c>
      <c r="B228" s="187" t="inlineStr">
        <is>
          <t>CVE-2026-25399</t>
        </is>
      </c>
      <c r="C228" s="187" t="inlineStr">
        <is>
          <t>Missing Authorization vulnerability in CryoutCreations Serious Slider cryout-serious-slider allows Exploiting Incorrectly Configured Access Control Security Levels.This issue affects Serious Slider: from n/a through &lt;= 1.2.7.</t>
        </is>
      </c>
      <c r="D228" s="187" t="n">
        <v>4.3</v>
      </c>
      <c r="E228" s="187" t="inlineStr">
        <is>
          <t>MEDIUM</t>
        </is>
      </c>
      <c r="F228" s="187" t="n">
        <v>2</v>
      </c>
      <c r="G228" s="187" t="n">
        <v>2</v>
      </c>
      <c r="H228" s="187" t="inlineStr">
        <is>
          <t>MEDIUM</t>
        </is>
      </c>
      <c r="I228" s="187" t="n">
        <v>8.300000000000001</v>
      </c>
      <c r="J228" s="187" t="inlineStr">
        <is>
          <t>NO</t>
        </is>
      </c>
      <c r="K228" s="187" t="inlineStr">
        <is>
          <t>https://nvd.nist.gov/vuln/detail/CVE-2026-25399</t>
        </is>
      </c>
      <c r="L228" s="187" t="inlineStr">
        <is>
          <t>2026-02-26 00:15</t>
        </is>
      </c>
      <c r="M228" s="187" t="inlineStr">
        <is>
          <t>CHECK_VENDOR</t>
        </is>
      </c>
      <c r="N228" s="187" t="inlineStr">
        <is>
          <t>See NVD references</t>
        </is>
      </c>
      <c r="O228" s="187" t="inlineStr">
        <is>
          <t>Apply vendor patches</t>
        </is>
      </c>
      <c r="P228" s="187" t="inlineStr">
        <is>
          <t>See CVE details</t>
        </is>
      </c>
      <c r="Q228" s="187" t="inlineStr">
        <is>
          <t>P4</t>
        </is>
      </c>
      <c r="R228" s="187" t="inlineStr">
        <is>
          <t>📅 Schedule patch deployment within 30 days | 🔍 Monitor for exploitation attempts</t>
        </is>
      </c>
      <c r="S228" s="187" t="inlineStr">
        <is>
          <t>CVE - IP enrichment n/a</t>
        </is>
      </c>
      <c r="T228" s="187" t="n">
        <v>0.0004</v>
      </c>
      <c r="U228" s="187" t="n">
        <v>0.1195</v>
      </c>
      <c r="V228" s="187" t="inlineStr">
        <is>
          <t>T1190:Exploit Public-Facing Application</t>
        </is>
      </c>
      <c r="W228" s="187" t="n">
        <v>1</v>
      </c>
      <c r="X228" s="187" t="inlineStr">
        <is>
          <t>LOW (40%)</t>
        </is>
      </c>
      <c r="Y228" s="187" t="inlineStr">
        <is>
          <t>UNLIKELY</t>
        </is>
      </c>
      <c r="Z228" s="187" t="inlineStr">
        <is>
          <t>CHECK_VENDOR</t>
        </is>
      </c>
      <c r="AA228" s="187" t="inlineStr">
        <is>
          <t>https://nvd.nist.gov/vuln/detail/CVE-2026-25399</t>
        </is>
      </c>
      <c r="AB228" s="187" t="inlineStr">
        <is>
          <t>NONE</t>
        </is>
      </c>
      <c r="AC228" s="187" t="n">
        <v>0</v>
      </c>
      <c r="AD228" s="187" t="inlineStr"/>
    </row>
    <row r="229">
      <c r="A229" s="187" t="inlineStr">
        <is>
          <t>CVE</t>
        </is>
      </c>
      <c r="B229" s="187" t="inlineStr">
        <is>
          <t>CVE-2026-25402</t>
        </is>
      </c>
      <c r="C229" s="187" t="inlineStr">
        <is>
          <t>Missing Authorization vulnerability in echoplugins Knowledge Base for Documentation, FAQs with AI Assistance echo-knowledge-base allows Exploiting Incorrectly Configured Access Control Security Levels.This issue affects Knowledge Base for Documentation, FAQs with AI Assistance: from n/a through &lt;= 16.011.0.</t>
        </is>
      </c>
      <c r="D229" s="187" t="n">
        <v>4.3</v>
      </c>
      <c r="E229" s="187" t="inlineStr">
        <is>
          <t>MEDIUM</t>
        </is>
      </c>
      <c r="F229" s="187" t="n">
        <v>2</v>
      </c>
      <c r="G229" s="187" t="n">
        <v>2</v>
      </c>
      <c r="H229" s="187" t="inlineStr">
        <is>
          <t>MEDIUM</t>
        </is>
      </c>
      <c r="I229" s="187" t="n">
        <v>8.300000000000001</v>
      </c>
      <c r="J229" s="187" t="inlineStr">
        <is>
          <t>NO</t>
        </is>
      </c>
      <c r="K229" s="187" t="inlineStr">
        <is>
          <t>https://nvd.nist.gov/vuln/detail/CVE-2026-25402</t>
        </is>
      </c>
      <c r="L229" s="187" t="inlineStr">
        <is>
          <t>2026-02-26 00:15</t>
        </is>
      </c>
      <c r="M229" s="187" t="inlineStr">
        <is>
          <t>CHECK_VENDOR</t>
        </is>
      </c>
      <c r="N229" s="187" t="inlineStr">
        <is>
          <t>See NVD references</t>
        </is>
      </c>
      <c r="O229" s="187" t="inlineStr">
        <is>
          <t>Apply vendor patches</t>
        </is>
      </c>
      <c r="P229" s="187" t="inlineStr">
        <is>
          <t>See CVE details</t>
        </is>
      </c>
      <c r="Q229" s="187" t="inlineStr">
        <is>
          <t>P4</t>
        </is>
      </c>
      <c r="R229" s="187" t="inlineStr">
        <is>
          <t>📅 Schedule patch deployment within 30 days | 🔍 Monitor for exploitation attempts</t>
        </is>
      </c>
      <c r="S229" s="187" t="inlineStr">
        <is>
          <t>CVE - IP enrichment n/a</t>
        </is>
      </c>
      <c r="T229" s="187" t="n">
        <v>0.0003</v>
      </c>
      <c r="U229" s="187" t="n">
        <v>0.08210000000000001</v>
      </c>
      <c r="V229" s="187" t="inlineStr">
        <is>
          <t>T1190:Exploit Public-Facing Application</t>
        </is>
      </c>
      <c r="W229" s="187" t="n">
        <v>1</v>
      </c>
      <c r="X229" s="187" t="inlineStr">
        <is>
          <t>LOW (40%)</t>
        </is>
      </c>
      <c r="Y229" s="187" t="inlineStr">
        <is>
          <t>UNLIKELY</t>
        </is>
      </c>
      <c r="Z229" s="187" t="inlineStr">
        <is>
          <t>CHECK_VENDOR</t>
        </is>
      </c>
      <c r="AA229" s="187" t="inlineStr">
        <is>
          <t>https://nvd.nist.gov/vuln/detail/CVE-2026-25402</t>
        </is>
      </c>
      <c r="AB229" s="187" t="inlineStr">
        <is>
          <t>NONE</t>
        </is>
      </c>
      <c r="AC229" s="187" t="n">
        <v>0</v>
      </c>
      <c r="AD229" s="187" t="inlineStr"/>
    </row>
    <row r="230">
      <c r="A230" s="187" t="inlineStr">
        <is>
          <t>CVE</t>
        </is>
      </c>
      <c r="B230" s="187" t="inlineStr">
        <is>
          <t>CVE-2026-25404</t>
        </is>
      </c>
      <c r="C230" s="187" t="inlineStr">
        <is>
          <t>Missing Authorization vulnerability in Automattic WP Job Manager wp-job-manager allows Exploiting Incorrectly Configured Access Control Security Levels.This issue affects WP Job Manager: from n/a through &lt;= 2.4.0.</t>
        </is>
      </c>
      <c r="D230" s="187" t="n">
        <v>5.3</v>
      </c>
      <c r="E230" s="187" t="inlineStr">
        <is>
          <t>MEDIUM</t>
        </is>
      </c>
      <c r="F230" s="187" t="n">
        <v>2</v>
      </c>
      <c r="G230" s="187" t="n">
        <v>2</v>
      </c>
      <c r="H230" s="187" t="inlineStr">
        <is>
          <t>MEDIUM</t>
        </is>
      </c>
      <c r="I230" s="187" t="n">
        <v>9.300000000000001</v>
      </c>
      <c r="J230" s="187" t="inlineStr">
        <is>
          <t>NO</t>
        </is>
      </c>
      <c r="K230" s="187" t="inlineStr">
        <is>
          <t>https://nvd.nist.gov/vuln/detail/CVE-2026-25404</t>
        </is>
      </c>
      <c r="L230" s="187" t="inlineStr">
        <is>
          <t>2026-02-26 00:15</t>
        </is>
      </c>
      <c r="M230" s="187" t="inlineStr">
        <is>
          <t>CHECK_VENDOR</t>
        </is>
      </c>
      <c r="N230" s="187" t="inlineStr">
        <is>
          <t>See NVD references</t>
        </is>
      </c>
      <c r="O230" s="187" t="inlineStr">
        <is>
          <t>Apply vendor patches</t>
        </is>
      </c>
      <c r="P230" s="187" t="inlineStr">
        <is>
          <t>See CVE details</t>
        </is>
      </c>
      <c r="Q230" s="187" t="inlineStr">
        <is>
          <t>P4</t>
        </is>
      </c>
      <c r="R230" s="187" t="inlineStr">
        <is>
          <t>📅 Schedule patch deployment within 30 days | 🔍 Monitor for exploitation attempts</t>
        </is>
      </c>
      <c r="S230" s="187" t="inlineStr">
        <is>
          <t>CVE - IP enrichment n/a</t>
        </is>
      </c>
      <c r="T230" s="187" t="n">
        <v>0</v>
      </c>
      <c r="U230" s="187" t="n">
        <v>0</v>
      </c>
      <c r="V230" s="187" t="inlineStr">
        <is>
          <t>T1190:Exploit Public-Facing Application</t>
        </is>
      </c>
      <c r="W230" s="187" t="n">
        <v>1</v>
      </c>
      <c r="X230" s="187" t="inlineStr">
        <is>
          <t>LOW (40%)</t>
        </is>
      </c>
      <c r="Y230" s="187" t="inlineStr">
        <is>
          <t>UNLIKELY</t>
        </is>
      </c>
      <c r="Z230" s="187" t="inlineStr">
        <is>
          <t>CHECK_VENDOR</t>
        </is>
      </c>
      <c r="AA230" s="187" t="inlineStr">
        <is>
          <t>https://nvd.nist.gov/vuln/detail/CVE-2026-25404</t>
        </is>
      </c>
      <c r="AB230" s="187" t="inlineStr">
        <is>
          <t>NONE</t>
        </is>
      </c>
      <c r="AC230" s="187" t="n">
        <v>0</v>
      </c>
      <c r="AD230" s="187" t="inlineStr"/>
    </row>
    <row r="231">
      <c r="A231" s="187" t="inlineStr">
        <is>
          <t>CVE</t>
        </is>
      </c>
      <c r="B231" s="187" t="inlineStr">
        <is>
          <t>CVE-2026-25407</t>
        </is>
      </c>
      <c r="C231" s="187" t="inlineStr">
        <is>
          <t>Missing Authorization vulnerability in cookiebot Cookiebot cookiebot allows Exploiting Incorrectly Configured Access Control Security Levels.This issue affects Cookiebot: from n/a through &lt;= 4.6.4.</t>
        </is>
      </c>
      <c r="D231" s="187" t="n">
        <v>4.3</v>
      </c>
      <c r="E231" s="187" t="inlineStr">
        <is>
          <t>MEDIUM</t>
        </is>
      </c>
      <c r="F231" s="187" t="n">
        <v>2</v>
      </c>
      <c r="G231" s="187" t="n">
        <v>2</v>
      </c>
      <c r="H231" s="187" t="inlineStr">
        <is>
          <t>MEDIUM</t>
        </is>
      </c>
      <c r="I231" s="187" t="n">
        <v>8.300000000000001</v>
      </c>
      <c r="J231" s="187" t="inlineStr">
        <is>
          <t>NO</t>
        </is>
      </c>
      <c r="K231" s="187" t="inlineStr">
        <is>
          <t>https://nvd.nist.gov/vuln/detail/CVE-2026-25407</t>
        </is>
      </c>
      <c r="L231" s="187" t="inlineStr">
        <is>
          <t>2026-02-26 00:15</t>
        </is>
      </c>
      <c r="M231" s="187" t="inlineStr">
        <is>
          <t>CHECK_VENDOR</t>
        </is>
      </c>
      <c r="N231" s="187" t="inlineStr">
        <is>
          <t>See NVD references</t>
        </is>
      </c>
      <c r="O231" s="187" t="inlineStr">
        <is>
          <t>Apply vendor patches</t>
        </is>
      </c>
      <c r="P231" s="187" t="inlineStr">
        <is>
          <t>See CVE details</t>
        </is>
      </c>
      <c r="Q231" s="187" t="inlineStr">
        <is>
          <t>P4</t>
        </is>
      </c>
      <c r="R231" s="187" t="inlineStr">
        <is>
          <t>📅 Schedule patch deployment within 30 days | 🔍 Monitor for exploitation attempts</t>
        </is>
      </c>
      <c r="S231" s="187" t="inlineStr">
        <is>
          <t>CVE - IP enrichment n/a</t>
        </is>
      </c>
      <c r="T231" s="187" t="n">
        <v>0</v>
      </c>
      <c r="U231" s="187" t="n">
        <v>0</v>
      </c>
      <c r="V231" s="187" t="inlineStr">
        <is>
          <t>T1190:Exploit Public-Facing Application</t>
        </is>
      </c>
      <c r="W231" s="187" t="n">
        <v>1</v>
      </c>
      <c r="X231" s="187" t="inlineStr">
        <is>
          <t>LOW (40%)</t>
        </is>
      </c>
      <c r="Y231" s="187" t="inlineStr">
        <is>
          <t>UNLIKELY</t>
        </is>
      </c>
      <c r="Z231" s="187" t="inlineStr">
        <is>
          <t>CHECK_VENDOR</t>
        </is>
      </c>
      <c r="AA231" s="187" t="inlineStr">
        <is>
          <t>https://nvd.nist.gov/vuln/detail/CVE-2026-25407</t>
        </is>
      </c>
      <c r="AB231" s="187" t="inlineStr">
        <is>
          <t>NONE</t>
        </is>
      </c>
      <c r="AC231" s="187" t="n">
        <v>0</v>
      </c>
      <c r="AD231" s="187" t="inlineStr"/>
    </row>
    <row r="232">
      <c r="A232" s="187" t="inlineStr">
        <is>
          <t>CVE</t>
        </is>
      </c>
      <c r="B232" s="187" t="inlineStr">
        <is>
          <t>CVE-2026-25408</t>
        </is>
      </c>
      <c r="C232" s="187" t="inlineStr">
        <is>
          <t>Missing Authorization vulnerability in PluginRx Broken Link Notifier broken-link-notifier allows Exploiting Incorrectly Configured Access Control Security Levels.This issue affects Broken Link Notifier: from n/a through &lt;= 1.3.5.</t>
        </is>
      </c>
      <c r="D232" s="187" t="n">
        <v>5.3</v>
      </c>
      <c r="E232" s="187" t="inlineStr">
        <is>
          <t>MEDIUM</t>
        </is>
      </c>
      <c r="F232" s="187" t="n">
        <v>2</v>
      </c>
      <c r="G232" s="187" t="n">
        <v>2</v>
      </c>
      <c r="H232" s="187" t="inlineStr">
        <is>
          <t>MEDIUM</t>
        </is>
      </c>
      <c r="I232" s="187" t="n">
        <v>9.300000000000001</v>
      </c>
      <c r="J232" s="187" t="inlineStr">
        <is>
          <t>NO</t>
        </is>
      </c>
      <c r="K232" s="187" t="inlineStr">
        <is>
          <t>https://nvd.nist.gov/vuln/detail/CVE-2026-25408</t>
        </is>
      </c>
      <c r="L232" s="187" t="inlineStr">
        <is>
          <t>2026-02-26 00:15</t>
        </is>
      </c>
      <c r="M232" s="187" t="inlineStr">
        <is>
          <t>CHECK_VENDOR</t>
        </is>
      </c>
      <c r="N232" s="187" t="inlineStr">
        <is>
          <t>See NVD references</t>
        </is>
      </c>
      <c r="O232" s="187" t="inlineStr">
        <is>
          <t>Apply vendor patches</t>
        </is>
      </c>
      <c r="P232" s="187" t="inlineStr">
        <is>
          <t>See CVE details</t>
        </is>
      </c>
      <c r="Q232" s="187" t="inlineStr">
        <is>
          <t>P4</t>
        </is>
      </c>
      <c r="R232" s="187" t="inlineStr">
        <is>
          <t>📅 Schedule patch deployment within 30 days | 🔍 Monitor for exploitation attempts</t>
        </is>
      </c>
      <c r="S232" s="187" t="inlineStr">
        <is>
          <t>CVE - IP enrichment n/a</t>
        </is>
      </c>
      <c r="T232" s="187" t="n">
        <v>0.0004</v>
      </c>
      <c r="U232" s="187" t="n">
        <v>0.1078</v>
      </c>
      <c r="V232" s="187" t="inlineStr">
        <is>
          <t>T1190:Exploit Public-Facing Application</t>
        </is>
      </c>
      <c r="W232" s="187" t="n">
        <v>1</v>
      </c>
      <c r="X232" s="187" t="inlineStr">
        <is>
          <t>LOW (40%)</t>
        </is>
      </c>
      <c r="Y232" s="187" t="inlineStr">
        <is>
          <t>UNLIKELY</t>
        </is>
      </c>
      <c r="Z232" s="187" t="inlineStr">
        <is>
          <t>CHECK_VENDOR</t>
        </is>
      </c>
      <c r="AA232" s="187" t="inlineStr">
        <is>
          <t>https://nvd.nist.gov/vuln/detail/CVE-2026-25408</t>
        </is>
      </c>
      <c r="AB232" s="187" t="inlineStr">
        <is>
          <t>NONE</t>
        </is>
      </c>
      <c r="AC232" s="187" t="n">
        <v>0</v>
      </c>
      <c r="AD232" s="187" t="inlineStr"/>
    </row>
    <row r="233">
      <c r="A233" s="187" t="inlineStr">
        <is>
          <t>CVE</t>
        </is>
      </c>
      <c r="B233" s="187" t="inlineStr">
        <is>
          <t>CVE-2026-25409</t>
        </is>
      </c>
      <c r="C233" s="187" t="inlineStr">
        <is>
          <t>Missing Authorization vulnerability in crgeary JAMstack Deployments wp-jamstack-deployments allows Exploiting Incorrectly Configured Access Control Security Levels.This issue affects JAMstack Deployments: from n/a through &lt;= 1.1.1.</t>
        </is>
      </c>
      <c r="D233" s="187" t="n">
        <v>4.3</v>
      </c>
      <c r="E233" s="187" t="inlineStr">
        <is>
          <t>MEDIUM</t>
        </is>
      </c>
      <c r="F233" s="187" t="n">
        <v>2</v>
      </c>
      <c r="G233" s="187" t="n">
        <v>2</v>
      </c>
      <c r="H233" s="187" t="inlineStr">
        <is>
          <t>MEDIUM</t>
        </is>
      </c>
      <c r="I233" s="187" t="n">
        <v>8.300000000000001</v>
      </c>
      <c r="J233" s="187" t="inlineStr">
        <is>
          <t>NO</t>
        </is>
      </c>
      <c r="K233" s="187" t="inlineStr">
        <is>
          <t>https://nvd.nist.gov/vuln/detail/CVE-2026-25409</t>
        </is>
      </c>
      <c r="L233" s="187" t="inlineStr">
        <is>
          <t>2026-02-26 00:15</t>
        </is>
      </c>
      <c r="M233" s="187" t="inlineStr">
        <is>
          <t>CHECK_VENDOR</t>
        </is>
      </c>
      <c r="N233" s="187" t="inlineStr">
        <is>
          <t>See NVD references</t>
        </is>
      </c>
      <c r="O233" s="187" t="inlineStr">
        <is>
          <t>Apply vendor patches</t>
        </is>
      </c>
      <c r="P233" s="187" t="inlineStr">
        <is>
          <t>See CVE details</t>
        </is>
      </c>
      <c r="Q233" s="187" t="inlineStr">
        <is>
          <t>P4</t>
        </is>
      </c>
      <c r="R233" s="187" t="inlineStr">
        <is>
          <t>📅 Schedule patch deployment within 30 days | 🔍 Monitor for exploitation attempts</t>
        </is>
      </c>
      <c r="S233" s="187" t="inlineStr">
        <is>
          <t>CVE - IP enrichment n/a</t>
        </is>
      </c>
      <c r="T233" s="187" t="n">
        <v>0</v>
      </c>
      <c r="U233" s="187" t="n">
        <v>0</v>
      </c>
      <c r="V233" s="187" t="inlineStr">
        <is>
          <t>T1190:Exploit Public-Facing Application</t>
        </is>
      </c>
      <c r="W233" s="187" t="n">
        <v>1</v>
      </c>
      <c r="X233" s="187" t="inlineStr">
        <is>
          <t>LOW (40%)</t>
        </is>
      </c>
      <c r="Y233" s="187" t="inlineStr">
        <is>
          <t>UNLIKELY</t>
        </is>
      </c>
      <c r="Z233" s="187" t="inlineStr">
        <is>
          <t>CHECK_VENDOR</t>
        </is>
      </c>
      <c r="AA233" s="187" t="inlineStr">
        <is>
          <t>https://nvd.nist.gov/vuln/detail/CVE-2026-25409</t>
        </is>
      </c>
      <c r="AB233" s="187" t="inlineStr">
        <is>
          <t>NONE</t>
        </is>
      </c>
      <c r="AC233" s="187" t="n">
        <v>0</v>
      </c>
      <c r="AD233" s="187" t="inlineStr"/>
    </row>
    <row r="234">
      <c r="A234" s="187" t="inlineStr">
        <is>
          <t>CVE</t>
        </is>
      </c>
      <c r="B234" s="187" t="inlineStr">
        <is>
          <t>CVE-2026-25410</t>
        </is>
      </c>
      <c r="C234" s="187" t="inlineStr">
        <is>
          <t>Missing Authorization vulnerability in tstephenson WP-CORS wp-cors allows Exploiting Incorrectly Configured Access Control Security Levels.This issue affects WP-CORS: from n/a through &lt;= 0.2.2.</t>
        </is>
      </c>
      <c r="D234" s="187" t="n">
        <v>4.3</v>
      </c>
      <c r="E234" s="187" t="inlineStr">
        <is>
          <t>MEDIUM</t>
        </is>
      </c>
      <c r="F234" s="187" t="n">
        <v>2</v>
      </c>
      <c r="G234" s="187" t="n">
        <v>2</v>
      </c>
      <c r="H234" s="187" t="inlineStr">
        <is>
          <t>MEDIUM</t>
        </is>
      </c>
      <c r="I234" s="187" t="n">
        <v>8.300000000000001</v>
      </c>
      <c r="J234" s="187" t="inlineStr">
        <is>
          <t>NO</t>
        </is>
      </c>
      <c r="K234" s="187" t="inlineStr">
        <is>
          <t>https://nvd.nist.gov/vuln/detail/CVE-2026-25410</t>
        </is>
      </c>
      <c r="L234" s="187" t="inlineStr">
        <is>
          <t>2026-02-26 00:15</t>
        </is>
      </c>
      <c r="M234" s="187" t="inlineStr">
        <is>
          <t>CHECK_VENDOR</t>
        </is>
      </c>
      <c r="N234" s="187" t="inlineStr">
        <is>
          <t>See NVD references</t>
        </is>
      </c>
      <c r="O234" s="187" t="inlineStr">
        <is>
          <t>Apply vendor patches</t>
        </is>
      </c>
      <c r="P234" s="187" t="inlineStr">
        <is>
          <t>See CVE details</t>
        </is>
      </c>
      <c r="Q234" s="187" t="inlineStr">
        <is>
          <t>P4</t>
        </is>
      </c>
      <c r="R234" s="187" t="inlineStr">
        <is>
          <t>📅 Schedule patch deployment within 30 days | 🔍 Monitor for exploitation attempts</t>
        </is>
      </c>
      <c r="S234" s="187" t="inlineStr">
        <is>
          <t>CVE - IP enrichment n/a</t>
        </is>
      </c>
      <c r="T234" s="187" t="n">
        <v>0</v>
      </c>
      <c r="U234" s="187" t="n">
        <v>0</v>
      </c>
      <c r="V234" s="187" t="inlineStr">
        <is>
          <t>T1190:Exploit Public-Facing Application</t>
        </is>
      </c>
      <c r="W234" s="187" t="n">
        <v>1</v>
      </c>
      <c r="X234" s="187" t="inlineStr">
        <is>
          <t>LOW (40%)</t>
        </is>
      </c>
      <c r="Y234" s="187" t="inlineStr">
        <is>
          <t>UNLIKELY</t>
        </is>
      </c>
      <c r="Z234" s="187" t="inlineStr">
        <is>
          <t>CHECK_VENDOR</t>
        </is>
      </c>
      <c r="AA234" s="187" t="inlineStr">
        <is>
          <t>https://nvd.nist.gov/vuln/detail/CVE-2026-25410</t>
        </is>
      </c>
      <c r="AB234" s="187" t="inlineStr">
        <is>
          <t>NONE</t>
        </is>
      </c>
      <c r="AC234" s="187" t="n">
        <v>0</v>
      </c>
      <c r="AD234" s="187" t="inlineStr"/>
    </row>
    <row r="235">
      <c r="A235" s="187" t="inlineStr">
        <is>
          <t>CVE</t>
        </is>
      </c>
      <c r="B235" s="187" t="inlineStr">
        <is>
          <t>CVE-2026-25411</t>
        </is>
      </c>
      <c r="C235" s="187" t="inlineStr">
        <is>
          <t>Cross-Site Request Forgery (CSRF) vulnerability in themastercut Revision Manager TMC revision-manager-tmc allows Cross Site Request Forgery.This issue affects Revision Manager TMC: from n/a through &lt;= 2.8.22.</t>
        </is>
      </c>
      <c r="D235" s="187" t="n">
        <v>4.3</v>
      </c>
      <c r="E235" s="187" t="inlineStr">
        <is>
          <t>MEDIUM</t>
        </is>
      </c>
      <c r="F235" s="187" t="n">
        <v>2</v>
      </c>
      <c r="G235" s="187" t="n">
        <v>2</v>
      </c>
      <c r="H235" s="187" t="inlineStr">
        <is>
          <t>MEDIUM</t>
        </is>
      </c>
      <c r="I235" s="187" t="n">
        <v>8.300000000000001</v>
      </c>
      <c r="J235" s="187" t="inlineStr">
        <is>
          <t>NO</t>
        </is>
      </c>
      <c r="K235" s="187" t="inlineStr">
        <is>
          <t>https://nvd.nist.gov/vuln/detail/CVE-2026-25411</t>
        </is>
      </c>
      <c r="L235" s="187" t="inlineStr">
        <is>
          <t>2026-02-26 00:15</t>
        </is>
      </c>
      <c r="M235" s="187" t="inlineStr">
        <is>
          <t>CHECK_VENDOR</t>
        </is>
      </c>
      <c r="N235" s="187" t="inlineStr">
        <is>
          <t>See NVD references</t>
        </is>
      </c>
      <c r="O235" s="187" t="inlineStr">
        <is>
          <t>Apply vendor patches</t>
        </is>
      </c>
      <c r="P235" s="187" t="inlineStr">
        <is>
          <t>See CVE details</t>
        </is>
      </c>
      <c r="Q235" s="187" t="inlineStr">
        <is>
          <t>P4</t>
        </is>
      </c>
      <c r="R235" s="187" t="inlineStr">
        <is>
          <t>📅 Schedule patch deployment within 30 days | 🔍 Monitor for exploitation attempts</t>
        </is>
      </c>
      <c r="S235" s="187" t="inlineStr">
        <is>
          <t>CVE - IP enrichment n/a</t>
        </is>
      </c>
      <c r="T235" s="187" t="n">
        <v>0.0002</v>
      </c>
      <c r="U235" s="187" t="n">
        <v>0.0318</v>
      </c>
      <c r="V235" s="187" t="inlineStr">
        <is>
          <t>T1185:Browser Session Hijacking</t>
        </is>
      </c>
      <c r="W235" s="187" t="n">
        <v>1</v>
      </c>
      <c r="X235" s="187" t="inlineStr">
        <is>
          <t>LOW (40%)</t>
        </is>
      </c>
      <c r="Y235" s="187" t="inlineStr">
        <is>
          <t>UNLIKELY</t>
        </is>
      </c>
      <c r="Z235" s="187" t="inlineStr">
        <is>
          <t>CHECK_VENDOR</t>
        </is>
      </c>
      <c r="AA235" s="187" t="inlineStr">
        <is>
          <t>https://nvd.nist.gov/vuln/detail/CVE-2026-25411</t>
        </is>
      </c>
      <c r="AB235" s="187" t="inlineStr">
        <is>
          <t>NONE</t>
        </is>
      </c>
      <c r="AC235" s="187" t="n">
        <v>0</v>
      </c>
      <c r="AD235" s="187" t="inlineStr"/>
    </row>
    <row r="236">
      <c r="A236" s="187" t="inlineStr">
        <is>
          <t>CVE</t>
        </is>
      </c>
      <c r="B236" s="187" t="inlineStr">
        <is>
          <t>CVE-2026-25412</t>
        </is>
      </c>
      <c r="C236" s="187" t="inlineStr">
        <is>
          <t>Rejected reason: This CVE ID has been rejected or withdrawn by its CVE Numbering Authority.</t>
        </is>
      </c>
      <c r="D236" s="187" t="n">
        <v>5</v>
      </c>
      <c r="E236" s="187" t="inlineStr">
        <is>
          <t>MEDIUM</t>
        </is>
      </c>
      <c r="F236" s="187" t="n">
        <v>2</v>
      </c>
      <c r="G236" s="187" t="n">
        <v>2</v>
      </c>
      <c r="H236" s="187" t="inlineStr">
        <is>
          <t>MEDIUM</t>
        </is>
      </c>
      <c r="I236" s="187" t="n">
        <v>9</v>
      </c>
      <c r="J236" s="187" t="inlineStr">
        <is>
          <t>NO</t>
        </is>
      </c>
      <c r="K236" s="187" t="inlineStr">
        <is>
          <t>https://nvd.nist.gov/vuln/detail/CVE-2026-25412</t>
        </is>
      </c>
      <c r="L236" s="187" t="inlineStr">
        <is>
          <t>2026-02-26 00:15</t>
        </is>
      </c>
      <c r="M236" s="187" t="inlineStr">
        <is>
          <t>CHECK_VENDOR</t>
        </is>
      </c>
      <c r="N236" s="187" t="inlineStr">
        <is>
          <t>See NVD references</t>
        </is>
      </c>
      <c r="O236" s="187" t="inlineStr">
        <is>
          <t>Apply vendor patches</t>
        </is>
      </c>
      <c r="P236" s="187" t="inlineStr">
        <is>
          <t>See CVE details</t>
        </is>
      </c>
      <c r="Q236" s="187" t="inlineStr">
        <is>
          <t>P4</t>
        </is>
      </c>
      <c r="R236" s="187" t="inlineStr">
        <is>
          <t>📅 Schedule patch deployment within 30 days | 🔍 Monitor for exploitation attempts</t>
        </is>
      </c>
      <c r="S236" s="187" t="inlineStr">
        <is>
          <t>CVE - IP enrichment n/a</t>
        </is>
      </c>
      <c r="T236" s="187" t="n">
        <v>0</v>
      </c>
      <c r="U236" s="187" t="n">
        <v>0</v>
      </c>
      <c r="V236" s="187" t="inlineStr">
        <is>
          <t>T1190:Exploit Public-Facing Application</t>
        </is>
      </c>
      <c r="W236" s="187" t="n">
        <v>1</v>
      </c>
      <c r="X236" s="187" t="inlineStr">
        <is>
          <t>LOW (40%)</t>
        </is>
      </c>
      <c r="Y236" s="187" t="inlineStr">
        <is>
          <t>UNLIKELY</t>
        </is>
      </c>
      <c r="Z236" s="187" t="inlineStr">
        <is>
          <t>CHECK_VENDOR</t>
        </is>
      </c>
      <c r="AA236" s="187" t="inlineStr">
        <is>
          <t>https://nvd.nist.gov/vuln/detail/CVE-2026-25412</t>
        </is>
      </c>
      <c r="AB236" s="187" t="inlineStr">
        <is>
          <t>NONE</t>
        </is>
      </c>
      <c r="AC236" s="187" t="n">
        <v>0</v>
      </c>
      <c r="AD236" s="187" t="inlineStr"/>
    </row>
    <row r="237">
      <c r="A237" s="187" t="inlineStr">
        <is>
          <t>CVE</t>
        </is>
      </c>
      <c r="B237" s="187" t="inlineStr">
        <is>
          <t>CVE-2026-25415</t>
        </is>
      </c>
      <c r="C237" s="187" t="inlineStr">
        <is>
          <t>Missing Authorization vulnerability in iqonicdesign WPBookit Pro wpbookit-pro allows Exploiting Incorrectly Configured Access Control Security Levels.This issue affects WPBookit Pro: from n/a through &lt;= 1.6.18.</t>
        </is>
      </c>
      <c r="D237" s="187" t="n">
        <v>5.3</v>
      </c>
      <c r="E237" s="187" t="inlineStr">
        <is>
          <t>MEDIUM</t>
        </is>
      </c>
      <c r="F237" s="187" t="n">
        <v>2</v>
      </c>
      <c r="G237" s="187" t="n">
        <v>2</v>
      </c>
      <c r="H237" s="187" t="inlineStr">
        <is>
          <t>MEDIUM</t>
        </is>
      </c>
      <c r="I237" s="187" t="n">
        <v>9.300000000000001</v>
      </c>
      <c r="J237" s="187" t="inlineStr">
        <is>
          <t>NO</t>
        </is>
      </c>
      <c r="K237" s="187" t="inlineStr">
        <is>
          <t>https://nvd.nist.gov/vuln/detail/CVE-2026-25415</t>
        </is>
      </c>
      <c r="L237" s="187" t="inlineStr">
        <is>
          <t>2026-02-26 00:15</t>
        </is>
      </c>
      <c r="M237" s="187" t="inlineStr">
        <is>
          <t>CHECK_VENDOR</t>
        </is>
      </c>
      <c r="N237" s="187" t="inlineStr">
        <is>
          <t>See NVD references</t>
        </is>
      </c>
      <c r="O237" s="187" t="inlineStr">
        <is>
          <t>Apply vendor patches</t>
        </is>
      </c>
      <c r="P237" s="187" t="inlineStr">
        <is>
          <t>See CVE details</t>
        </is>
      </c>
      <c r="Q237" s="187" t="inlineStr">
        <is>
          <t>P4</t>
        </is>
      </c>
      <c r="R237" s="187" t="inlineStr">
        <is>
          <t>📅 Schedule patch deployment within 30 days | 🔍 Monitor for exploitation attempts</t>
        </is>
      </c>
      <c r="S237" s="187" t="inlineStr">
        <is>
          <t>CVE - IP enrichment n/a</t>
        </is>
      </c>
      <c r="T237" s="187" t="n">
        <v>0</v>
      </c>
      <c r="U237" s="187" t="n">
        <v>0</v>
      </c>
      <c r="V237" s="187" t="inlineStr">
        <is>
          <t>T1190:Exploit Public-Facing Application</t>
        </is>
      </c>
      <c r="W237" s="187" t="n">
        <v>1</v>
      </c>
      <c r="X237" s="187" t="inlineStr">
        <is>
          <t>LOW (40%)</t>
        </is>
      </c>
      <c r="Y237" s="187" t="inlineStr">
        <is>
          <t>UNLIKELY</t>
        </is>
      </c>
      <c r="Z237" s="187" t="inlineStr">
        <is>
          <t>CHECK_VENDOR</t>
        </is>
      </c>
      <c r="AA237" s="187" t="inlineStr">
        <is>
          <t>https://nvd.nist.gov/vuln/detail/CVE-2026-25415</t>
        </is>
      </c>
      <c r="AB237" s="187" t="inlineStr">
        <is>
          <t>NONE</t>
        </is>
      </c>
      <c r="AC237" s="187" t="n">
        <v>0</v>
      </c>
      <c r="AD237" s="187" t="inlineStr"/>
    </row>
    <row r="238">
      <c r="A238" s="187" t="inlineStr">
        <is>
          <t>CVE</t>
        </is>
      </c>
      <c r="B238" s="187" t="inlineStr">
        <is>
          <t>CVE-2026-25416</t>
        </is>
      </c>
      <c r="C238" s="187" t="inlineStr">
        <is>
          <t>Missing Authorization vulnerability in blazethemes News Kit Elementor Addons news-kit-elementor-addons allows Exploiting Incorrectly Configured Access Control Security Levels.This issue affects News Kit Elementor Addons: from n/a through &lt;= 1.4.2.</t>
        </is>
      </c>
      <c r="D238" s="187" t="n">
        <v>4.3</v>
      </c>
      <c r="E238" s="187" t="inlineStr">
        <is>
          <t>MEDIUM</t>
        </is>
      </c>
      <c r="F238" s="187" t="n">
        <v>2</v>
      </c>
      <c r="G238" s="187" t="n">
        <v>2</v>
      </c>
      <c r="H238" s="187" t="inlineStr">
        <is>
          <t>MEDIUM</t>
        </is>
      </c>
      <c r="I238" s="187" t="n">
        <v>8.300000000000001</v>
      </c>
      <c r="J238" s="187" t="inlineStr">
        <is>
          <t>NO</t>
        </is>
      </c>
      <c r="K238" s="187" t="inlineStr">
        <is>
          <t>https://nvd.nist.gov/vuln/detail/CVE-2026-25416</t>
        </is>
      </c>
      <c r="L238" s="187" t="inlineStr">
        <is>
          <t>2026-02-26 00:15</t>
        </is>
      </c>
      <c r="M238" s="187" t="inlineStr">
        <is>
          <t>CHECK_VENDOR</t>
        </is>
      </c>
      <c r="N238" s="187" t="inlineStr">
        <is>
          <t>See NVD references</t>
        </is>
      </c>
      <c r="O238" s="187" t="inlineStr">
        <is>
          <t>Apply vendor patches</t>
        </is>
      </c>
      <c r="P238" s="187" t="inlineStr">
        <is>
          <t>See CVE details</t>
        </is>
      </c>
      <c r="Q238" s="187" t="inlineStr">
        <is>
          <t>P4</t>
        </is>
      </c>
      <c r="R238" s="187" t="inlineStr">
        <is>
          <t>📅 Schedule patch deployment within 30 days | 🔍 Monitor for exploitation attempts</t>
        </is>
      </c>
      <c r="S238" s="187" t="inlineStr">
        <is>
          <t>CVE - IP enrichment n/a</t>
        </is>
      </c>
      <c r="T238" s="187" t="n">
        <v>0</v>
      </c>
      <c r="U238" s="187" t="n">
        <v>0</v>
      </c>
      <c r="V238" s="187" t="inlineStr">
        <is>
          <t>T1190:Exploit Public-Facing Application</t>
        </is>
      </c>
      <c r="W238" s="187" t="n">
        <v>1</v>
      </c>
      <c r="X238" s="187" t="inlineStr">
        <is>
          <t>LOW (40%)</t>
        </is>
      </c>
      <c r="Y238" s="187" t="inlineStr">
        <is>
          <t>UNLIKELY</t>
        </is>
      </c>
      <c r="Z238" s="187" t="inlineStr">
        <is>
          <t>CHECK_VENDOR</t>
        </is>
      </c>
      <c r="AA238" s="187" t="inlineStr">
        <is>
          <t>https://nvd.nist.gov/vuln/detail/CVE-2026-25416</t>
        </is>
      </c>
      <c r="AB238" s="187" t="inlineStr">
        <is>
          <t>NONE</t>
        </is>
      </c>
      <c r="AC238" s="187" t="n">
        <v>0</v>
      </c>
      <c r="AD238" s="187" t="inlineStr"/>
    </row>
    <row r="239">
      <c r="A239" s="188" t="inlineStr">
        <is>
          <t>CVE</t>
        </is>
      </c>
      <c r="B239" s="188" t="inlineStr">
        <is>
          <t>CVE-2026-25418</t>
        </is>
      </c>
      <c r="C239" s="188" t="inlineStr">
        <is>
          <t>Improper Neutralization of Special Elements used in an SQL Command ('SQL Injection') vulnerability in bitpressadmin Bit Form bit-form allows SQL Injection.This issue affects Bit Form: from n/a through &lt;= 2.21.10.</t>
        </is>
      </c>
      <c r="D239" s="188" t="n">
        <v>7.6</v>
      </c>
      <c r="E239" s="188" t="inlineStr">
        <is>
          <t>HIGH</t>
        </is>
      </c>
      <c r="F239" s="188" t="n">
        <v>2</v>
      </c>
      <c r="G239" s="188" t="n">
        <v>3</v>
      </c>
      <c r="H239" s="188" t="inlineStr">
        <is>
          <t>HIGH</t>
        </is>
      </c>
      <c r="I239" s="188" t="n">
        <v>13.6</v>
      </c>
      <c r="J239" s="188" t="inlineStr">
        <is>
          <t>NO</t>
        </is>
      </c>
      <c r="K239" s="188" t="inlineStr">
        <is>
          <t>https://nvd.nist.gov/vuln/detail/CVE-2026-25418</t>
        </is>
      </c>
      <c r="L239" s="188" t="inlineStr">
        <is>
          <t>2026-02-26 00:15</t>
        </is>
      </c>
      <c r="M239" s="188" t="inlineStr">
        <is>
          <t>CHECK_VENDOR</t>
        </is>
      </c>
      <c r="N239" s="188" t="inlineStr">
        <is>
          <t>See NVD references</t>
        </is>
      </c>
      <c r="O239" s="188" t="inlineStr">
        <is>
          <t>Apply vendor patches</t>
        </is>
      </c>
      <c r="P239" s="188" t="inlineStr">
        <is>
          <t>See CVE details</t>
        </is>
      </c>
      <c r="Q239" s="188" t="inlineStr">
        <is>
          <t>P3</t>
        </is>
      </c>
      <c r="R239" s="188" t="inlineStr">
        <is>
          <t>🚨 URGENT: Apply vendor patches immediately | 🔒 Isolate affected systems if patch unavailable | 🛡️ Enable additional monitoring/IDS rules</t>
        </is>
      </c>
      <c r="S239" s="188" t="inlineStr">
        <is>
          <t>CVE - IP enrichment n/a</t>
        </is>
      </c>
      <c r="T239" s="188" t="n">
        <v>0</v>
      </c>
      <c r="U239" s="188" t="n">
        <v>0</v>
      </c>
      <c r="V239" s="188" t="inlineStr">
        <is>
          <t>T1190:Exploit Public-Facing Application</t>
        </is>
      </c>
      <c r="W239" s="188" t="n">
        <v>1</v>
      </c>
      <c r="X239" s="188" t="inlineStr">
        <is>
          <t>LOW (40%)</t>
        </is>
      </c>
      <c r="Y239" s="188" t="inlineStr">
        <is>
          <t>UNLIKELY</t>
        </is>
      </c>
      <c r="Z239" s="188" t="inlineStr">
        <is>
          <t>CHECK_VENDOR</t>
        </is>
      </c>
      <c r="AA239" s="188" t="inlineStr">
        <is>
          <t>https://nvd.nist.gov/vuln/detail/CVE-2026-25418</t>
        </is>
      </c>
      <c r="AB239" s="188" t="inlineStr">
        <is>
          <t>NONE</t>
        </is>
      </c>
      <c r="AC239" s="188" t="n">
        <v>0</v>
      </c>
      <c r="AD239" s="188" t="inlineStr"/>
    </row>
    <row r="240">
      <c r="A240" s="187" t="inlineStr">
        <is>
          <t>CVE</t>
        </is>
      </c>
      <c r="B240" s="187" t="inlineStr">
        <is>
          <t>CVE-2026-25419</t>
        </is>
      </c>
      <c r="C240" s="187" t="inlineStr">
        <is>
          <t>Missing Authorization vulnerability in flycart UpsellWP checkout-upsell-and-order-bumps allows Exploiting Incorrectly Configured Access Control Security Levels.This issue affects UpsellWP: from n/a through &lt;= 2.2.3.</t>
        </is>
      </c>
      <c r="D240" s="187" t="n">
        <v>4.3</v>
      </c>
      <c r="E240" s="187" t="inlineStr">
        <is>
          <t>MEDIUM</t>
        </is>
      </c>
      <c r="F240" s="187" t="n">
        <v>2</v>
      </c>
      <c r="G240" s="187" t="n">
        <v>2</v>
      </c>
      <c r="H240" s="187" t="inlineStr">
        <is>
          <t>MEDIUM</t>
        </is>
      </c>
      <c r="I240" s="187" t="n">
        <v>8.300000000000001</v>
      </c>
      <c r="J240" s="187" t="inlineStr">
        <is>
          <t>NO</t>
        </is>
      </c>
      <c r="K240" s="187" t="inlineStr">
        <is>
          <t>https://nvd.nist.gov/vuln/detail/CVE-2026-25419</t>
        </is>
      </c>
      <c r="L240" s="187" t="inlineStr">
        <is>
          <t>2026-02-26 00:15</t>
        </is>
      </c>
      <c r="M240" s="187" t="inlineStr">
        <is>
          <t>CHECK_VENDOR</t>
        </is>
      </c>
      <c r="N240" s="187" t="inlineStr">
        <is>
          <t>See NVD references</t>
        </is>
      </c>
      <c r="O240" s="187" t="inlineStr">
        <is>
          <t>Apply vendor patches</t>
        </is>
      </c>
      <c r="P240" s="187" t="inlineStr">
        <is>
          <t>See CVE details</t>
        </is>
      </c>
      <c r="Q240" s="187" t="inlineStr">
        <is>
          <t>P4</t>
        </is>
      </c>
      <c r="R240" s="187" t="inlineStr">
        <is>
          <t>📅 Schedule patch deployment within 30 days | 🔍 Monitor for exploitation attempts</t>
        </is>
      </c>
      <c r="S240" s="187" t="inlineStr">
        <is>
          <t>CVE - IP enrichment n/a</t>
        </is>
      </c>
      <c r="T240" s="187" t="n">
        <v>0</v>
      </c>
      <c r="U240" s="187" t="n">
        <v>0</v>
      </c>
      <c r="V240" s="187" t="inlineStr">
        <is>
          <t>T1190:Exploit Public-Facing Application</t>
        </is>
      </c>
      <c r="W240" s="187" t="n">
        <v>1</v>
      </c>
      <c r="X240" s="187" t="inlineStr">
        <is>
          <t>LOW (40%)</t>
        </is>
      </c>
      <c r="Y240" s="187" t="inlineStr">
        <is>
          <t>UNLIKELY</t>
        </is>
      </c>
      <c r="Z240" s="187" t="inlineStr">
        <is>
          <t>CHECK_VENDOR</t>
        </is>
      </c>
      <c r="AA240" s="187" t="inlineStr">
        <is>
          <t>https://nvd.nist.gov/vuln/detail/CVE-2026-25419</t>
        </is>
      </c>
      <c r="AB240" s="187" t="inlineStr">
        <is>
          <t>NONE</t>
        </is>
      </c>
      <c r="AC240" s="187" t="n">
        <v>0</v>
      </c>
      <c r="AD240" s="187" t="inlineStr"/>
    </row>
    <row r="241">
      <c r="A241" s="187" t="inlineStr">
        <is>
          <t>CVE</t>
        </is>
      </c>
      <c r="B241" s="187" t="inlineStr">
        <is>
          <t>CVE-2026-25420</t>
        </is>
      </c>
      <c r="C241" s="187" t="inlineStr">
        <is>
          <t>Missing Authorization vulnerability in MailerLite MailerLite official-mailerlite-sign-up-forms allows Exploiting Incorrectly Configured Access Control Security Levels.This issue affects MailerLite: from n/a through &lt;= 1.7.18.</t>
        </is>
      </c>
      <c r="D241" s="187" t="n">
        <v>4.3</v>
      </c>
      <c r="E241" s="187" t="inlineStr">
        <is>
          <t>MEDIUM</t>
        </is>
      </c>
      <c r="F241" s="187" t="n">
        <v>2</v>
      </c>
      <c r="G241" s="187" t="n">
        <v>2</v>
      </c>
      <c r="H241" s="187" t="inlineStr">
        <is>
          <t>MEDIUM</t>
        </is>
      </c>
      <c r="I241" s="187" t="n">
        <v>8.300000000000001</v>
      </c>
      <c r="J241" s="187" t="inlineStr">
        <is>
          <t>NO</t>
        </is>
      </c>
      <c r="K241" s="187" t="inlineStr">
        <is>
          <t>https://nvd.nist.gov/vuln/detail/CVE-2026-25420</t>
        </is>
      </c>
      <c r="L241" s="187" t="inlineStr">
        <is>
          <t>2026-02-26 00:15</t>
        </is>
      </c>
      <c r="M241" s="187" t="inlineStr">
        <is>
          <t>CHECK_VENDOR</t>
        </is>
      </c>
      <c r="N241" s="187" t="inlineStr">
        <is>
          <t>See NVD references</t>
        </is>
      </c>
      <c r="O241" s="187" t="inlineStr">
        <is>
          <t>Apply vendor patches</t>
        </is>
      </c>
      <c r="P241" s="187" t="inlineStr">
        <is>
          <t>See CVE details</t>
        </is>
      </c>
      <c r="Q241" s="187" t="inlineStr">
        <is>
          <t>P4</t>
        </is>
      </c>
      <c r="R241" s="187" t="inlineStr">
        <is>
          <t>📅 Schedule patch deployment within 30 days | 🔍 Monitor for exploitation attempts</t>
        </is>
      </c>
      <c r="S241" s="187" t="inlineStr">
        <is>
          <t>CVE - IP enrichment n/a</t>
        </is>
      </c>
      <c r="T241" s="187" t="n">
        <v>0</v>
      </c>
      <c r="U241" s="187" t="n">
        <v>0</v>
      </c>
      <c r="V241" s="187" t="inlineStr">
        <is>
          <t>T1190:Exploit Public-Facing Application</t>
        </is>
      </c>
      <c r="W241" s="187" t="n">
        <v>1</v>
      </c>
      <c r="X241" s="187" t="inlineStr">
        <is>
          <t>LOW (40%)</t>
        </is>
      </c>
      <c r="Y241" s="187" t="inlineStr">
        <is>
          <t>UNLIKELY</t>
        </is>
      </c>
      <c r="Z241" s="187" t="inlineStr">
        <is>
          <t>CHECK_VENDOR</t>
        </is>
      </c>
      <c r="AA241" s="187" t="inlineStr">
        <is>
          <t>https://nvd.nist.gov/vuln/detail/CVE-2026-25420</t>
        </is>
      </c>
      <c r="AB241" s="187" t="inlineStr">
        <is>
          <t>NONE</t>
        </is>
      </c>
      <c r="AC241" s="187" t="n">
        <v>0</v>
      </c>
      <c r="AD241" s="187" t="inlineStr"/>
    </row>
    <row r="242">
      <c r="A242" s="187" t="inlineStr">
        <is>
          <t>CVE</t>
        </is>
      </c>
      <c r="B242" s="187" t="inlineStr">
        <is>
          <t>CVE-2026-25422</t>
        </is>
      </c>
      <c r="C242" s="187" t="inlineStr">
        <is>
          <t>Cross-Site Request Forgery (CSRF) vulnerability in Themes4WP Popularis Extra popularis-extra allows Cross Site Request Forgery.This issue affects Popularis Extra: from n/a through &lt;= 1.2.10.</t>
        </is>
      </c>
      <c r="D242" s="187" t="n">
        <v>5</v>
      </c>
      <c r="E242" s="187" t="inlineStr">
        <is>
          <t>MEDIUM</t>
        </is>
      </c>
      <c r="F242" s="187" t="n">
        <v>2</v>
      </c>
      <c r="G242" s="187" t="n">
        <v>2</v>
      </c>
      <c r="H242" s="187" t="inlineStr">
        <is>
          <t>MEDIUM</t>
        </is>
      </c>
      <c r="I242" s="187" t="n">
        <v>9</v>
      </c>
      <c r="J242" s="187" t="inlineStr">
        <is>
          <t>NO</t>
        </is>
      </c>
      <c r="K242" s="187" t="inlineStr">
        <is>
          <t>https://nvd.nist.gov/vuln/detail/CVE-2026-25422</t>
        </is>
      </c>
      <c r="L242" s="187" t="inlineStr">
        <is>
          <t>2026-02-26 00:15</t>
        </is>
      </c>
      <c r="M242" s="187" t="inlineStr">
        <is>
          <t>CHECK_VENDOR</t>
        </is>
      </c>
      <c r="N242" s="187" t="inlineStr">
        <is>
          <t>See NVD references</t>
        </is>
      </c>
      <c r="O242" s="187" t="inlineStr">
        <is>
          <t>Apply vendor patches</t>
        </is>
      </c>
      <c r="P242" s="187" t="inlineStr">
        <is>
          <t>See CVE details</t>
        </is>
      </c>
      <c r="Q242" s="187" t="inlineStr">
        <is>
          <t>P4</t>
        </is>
      </c>
      <c r="R242" s="187" t="inlineStr">
        <is>
          <t>📅 Schedule patch deployment within 30 days | 🔍 Monitor for exploitation attempts</t>
        </is>
      </c>
      <c r="S242" s="187" t="inlineStr">
        <is>
          <t>CVE - IP enrichment n/a</t>
        </is>
      </c>
      <c r="T242" s="187" t="n">
        <v>0.0001</v>
      </c>
      <c r="U242" s="187" t="n">
        <v>0.0128</v>
      </c>
      <c r="V242" s="187" t="inlineStr">
        <is>
          <t>T1185:Browser Session Hijacking</t>
        </is>
      </c>
      <c r="W242" s="187" t="n">
        <v>1</v>
      </c>
      <c r="X242" s="187" t="inlineStr">
        <is>
          <t>LOW (40%)</t>
        </is>
      </c>
      <c r="Y242" s="187" t="inlineStr">
        <is>
          <t>UNLIKELY</t>
        </is>
      </c>
      <c r="Z242" s="187" t="inlineStr">
        <is>
          <t>CHECK_VENDOR</t>
        </is>
      </c>
      <c r="AA242" s="187" t="inlineStr">
        <is>
          <t>https://nvd.nist.gov/vuln/detail/CVE-2026-25422</t>
        </is>
      </c>
      <c r="AB242" s="187" t="inlineStr">
        <is>
          <t>NONE</t>
        </is>
      </c>
      <c r="AC242" s="187" t="n">
        <v>0</v>
      </c>
      <c r="AD242" s="187" t="inlineStr"/>
    </row>
    <row r="243">
      <c r="A243" s="190" t="inlineStr">
        <is>
          <t>CVE</t>
        </is>
      </c>
      <c r="B243" s="190" t="inlineStr">
        <is>
          <t>CVE-2026-25423</t>
        </is>
      </c>
      <c r="C243" s="190" t="inlineStr">
        <is>
          <t>Missing Authorization vulnerability in creativeinteractivemedia Real 3D FlipBook real3d-flipbook-lite allows Exploiting Incorrectly Configured Access Control Security Levels.This issue affects Real 3D FlipBook: from n/a through &lt;= 4.16.4.</t>
        </is>
      </c>
      <c r="D243" s="190" t="n">
        <v>3.8</v>
      </c>
      <c r="E243" s="190" t="inlineStr">
        <is>
          <t>LOW</t>
        </is>
      </c>
      <c r="F243" s="190" t="n">
        <v>2</v>
      </c>
      <c r="G243" s="190" t="n">
        <v>1</v>
      </c>
      <c r="H243" s="190" t="inlineStr">
        <is>
          <t>LOW</t>
        </is>
      </c>
      <c r="I243" s="190" t="n">
        <v>5.8</v>
      </c>
      <c r="J243" s="190" t="inlineStr">
        <is>
          <t>NO</t>
        </is>
      </c>
      <c r="K243" s="190" t="inlineStr">
        <is>
          <t>https://nvd.nist.gov/vuln/detail/CVE-2026-25423</t>
        </is>
      </c>
      <c r="L243" s="190" t="inlineStr">
        <is>
          <t>2026-02-26 00:15</t>
        </is>
      </c>
      <c r="M243" s="190" t="inlineStr">
        <is>
          <t>CHECK_VENDOR</t>
        </is>
      </c>
      <c r="N243" s="190" t="inlineStr">
        <is>
          <t>See NVD references</t>
        </is>
      </c>
      <c r="O243" s="190" t="inlineStr">
        <is>
          <t>Apply vendor patches</t>
        </is>
      </c>
      <c r="P243" s="190" t="inlineStr">
        <is>
          <t>See CVE details</t>
        </is>
      </c>
      <c r="Q243" s="190" t="inlineStr">
        <is>
          <t>P4</t>
        </is>
      </c>
      <c r="R243" s="190" t="inlineStr">
        <is>
          <t>📅 Schedule patch deployment within 30 days | 🔍 Monitor for exploitation attempts</t>
        </is>
      </c>
      <c r="S243" s="190" t="inlineStr">
        <is>
          <t>CVE - IP enrichment n/a</t>
        </is>
      </c>
      <c r="T243" s="190" t="n">
        <v>0</v>
      </c>
      <c r="U243" s="190" t="n">
        <v>0</v>
      </c>
      <c r="V243" s="190" t="inlineStr">
        <is>
          <t>T1190:Exploit Public-Facing Application</t>
        </is>
      </c>
      <c r="W243" s="190" t="n">
        <v>1</v>
      </c>
      <c r="X243" s="190" t="inlineStr">
        <is>
          <t>LOW (40%)</t>
        </is>
      </c>
      <c r="Y243" s="190" t="inlineStr">
        <is>
          <t>UNLIKELY</t>
        </is>
      </c>
      <c r="Z243" s="190" t="inlineStr">
        <is>
          <t>CHECK_VENDOR</t>
        </is>
      </c>
      <c r="AA243" s="190" t="inlineStr">
        <is>
          <t>https://nvd.nist.gov/vuln/detail/CVE-2026-25423</t>
        </is>
      </c>
      <c r="AB243" s="190" t="inlineStr">
        <is>
          <t>NONE</t>
        </is>
      </c>
      <c r="AC243" s="190" t="n">
        <v>0</v>
      </c>
      <c r="AD243" s="190" t="inlineStr"/>
    </row>
    <row r="244">
      <c r="A244" s="187" t="inlineStr">
        <is>
          <t>CVE</t>
        </is>
      </c>
      <c r="B244" s="187" t="inlineStr">
        <is>
          <t>CVE-2026-25428</t>
        </is>
      </c>
      <c r="C244" s="187" t="inlineStr">
        <is>
          <t>Server-Side Request Forgery (SSRF) vulnerability in totalsoft TS Poll poll-wp allows Server Side Request Forgery.This issue affects TS Poll: from n/a through &lt;= 2.5.5.</t>
        </is>
      </c>
      <c r="D244" s="187" t="n">
        <v>4.4</v>
      </c>
      <c r="E244" s="187" t="inlineStr">
        <is>
          <t>MEDIUM</t>
        </is>
      </c>
      <c r="F244" s="187" t="n">
        <v>2</v>
      </c>
      <c r="G244" s="187" t="n">
        <v>2</v>
      </c>
      <c r="H244" s="187" t="inlineStr">
        <is>
          <t>MEDIUM</t>
        </is>
      </c>
      <c r="I244" s="187" t="n">
        <v>8.4</v>
      </c>
      <c r="J244" s="187" t="inlineStr">
        <is>
          <t>NO</t>
        </is>
      </c>
      <c r="K244" s="187" t="inlineStr">
        <is>
          <t>https://nvd.nist.gov/vuln/detail/CVE-2026-25428</t>
        </is>
      </c>
      <c r="L244" s="187" t="inlineStr">
        <is>
          <t>2026-02-26 00:15</t>
        </is>
      </c>
      <c r="M244" s="187" t="inlineStr">
        <is>
          <t>CHECK_VENDOR</t>
        </is>
      </c>
      <c r="N244" s="187" t="inlineStr">
        <is>
          <t>See NVD references</t>
        </is>
      </c>
      <c r="O244" s="187" t="inlineStr">
        <is>
          <t>Apply vendor patches</t>
        </is>
      </c>
      <c r="P244" s="187" t="inlineStr">
        <is>
          <t>See CVE details</t>
        </is>
      </c>
      <c r="Q244" s="187" t="inlineStr">
        <is>
          <t>P4</t>
        </is>
      </c>
      <c r="R244" s="187" t="inlineStr">
        <is>
          <t>📅 Schedule patch deployment within 30 days | 🔍 Monitor for exploitation attempts</t>
        </is>
      </c>
      <c r="S244" s="187" t="inlineStr">
        <is>
          <t>CVE - IP enrichment n/a</t>
        </is>
      </c>
      <c r="T244" s="187" t="n">
        <v>0</v>
      </c>
      <c r="U244" s="187" t="n">
        <v>0</v>
      </c>
      <c r="V244" s="187" t="inlineStr">
        <is>
          <t>T1090:Proxy</t>
        </is>
      </c>
      <c r="W244" s="187" t="n">
        <v>1</v>
      </c>
      <c r="X244" s="187" t="inlineStr">
        <is>
          <t>LOW (40%)</t>
        </is>
      </c>
      <c r="Y244" s="187" t="inlineStr">
        <is>
          <t>UNLIKELY</t>
        </is>
      </c>
      <c r="Z244" s="187" t="inlineStr">
        <is>
          <t>CHECK_VENDOR</t>
        </is>
      </c>
      <c r="AA244" s="187" t="inlineStr">
        <is>
          <t>https://nvd.nist.gov/vuln/detail/CVE-2026-25428</t>
        </is>
      </c>
      <c r="AB244" s="187" t="inlineStr">
        <is>
          <t>NONE</t>
        </is>
      </c>
      <c r="AC244" s="187" t="n">
        <v>0</v>
      </c>
      <c r="AD244" s="187" t="inlineStr"/>
    </row>
    <row r="245">
      <c r="A245" s="187" t="inlineStr">
        <is>
          <t>CVE</t>
        </is>
      </c>
      <c r="B245" s="187" t="inlineStr">
        <is>
          <t>CVE-2026-25432</t>
        </is>
      </c>
      <c r="C245" s="187" t="inlineStr">
        <is>
          <t>Improper Neutralization of Input During Web Page Generation ('Cross-site Scripting') vulnerability in omnipressteam Omnipress omnipress allows Stored XSS.This issue affects Omnipress: from n/a through &lt;= 1.6.7.</t>
        </is>
      </c>
      <c r="D245" s="187" t="n">
        <v>6.5</v>
      </c>
      <c r="E245" s="187" t="inlineStr">
        <is>
          <t>MEDIUM</t>
        </is>
      </c>
      <c r="F245" s="187" t="n">
        <v>2</v>
      </c>
      <c r="G245" s="187" t="n">
        <v>2</v>
      </c>
      <c r="H245" s="187" t="inlineStr">
        <is>
          <t>MEDIUM</t>
        </is>
      </c>
      <c r="I245" s="187" t="n">
        <v>10.5</v>
      </c>
      <c r="J245" s="187" t="inlineStr">
        <is>
          <t>NO</t>
        </is>
      </c>
      <c r="K245" s="187" t="inlineStr">
        <is>
          <t>https://nvd.nist.gov/vuln/detail/CVE-2026-25432</t>
        </is>
      </c>
      <c r="L245" s="187" t="inlineStr">
        <is>
          <t>2026-02-26 00:15</t>
        </is>
      </c>
      <c r="M245" s="187" t="inlineStr">
        <is>
          <t>CHECK_VENDOR</t>
        </is>
      </c>
      <c r="N245" s="187" t="inlineStr">
        <is>
          <t>See NVD references</t>
        </is>
      </c>
      <c r="O245" s="187" t="inlineStr">
        <is>
          <t>Apply vendor patches</t>
        </is>
      </c>
      <c r="P245" s="187" t="inlineStr">
        <is>
          <t>See CVE details</t>
        </is>
      </c>
      <c r="Q245" s="187" t="inlineStr">
        <is>
          <t>P4</t>
        </is>
      </c>
      <c r="R245" s="187" t="inlineStr">
        <is>
          <t>📅 Schedule patch deployment within 30 days | 🔍 Monitor for exploitation attempts</t>
        </is>
      </c>
      <c r="S245" s="187" t="inlineStr">
        <is>
          <t>CVE - IP enrichment n/a</t>
        </is>
      </c>
      <c r="T245" s="187" t="n">
        <v>0</v>
      </c>
      <c r="U245" s="187" t="n">
        <v>0</v>
      </c>
      <c r="V245" s="187" t="inlineStr">
        <is>
          <t>T1189:Drive-by Compromise</t>
        </is>
      </c>
      <c r="W245" s="187" t="n">
        <v>1</v>
      </c>
      <c r="X245" s="187" t="inlineStr">
        <is>
          <t>LOW (40%)</t>
        </is>
      </c>
      <c r="Y245" s="187" t="inlineStr">
        <is>
          <t>UNLIKELY</t>
        </is>
      </c>
      <c r="Z245" s="187" t="inlineStr">
        <is>
          <t>CHECK_VENDOR</t>
        </is>
      </c>
      <c r="AA245" s="187" t="inlineStr">
        <is>
          <t>https://nvd.nist.gov/vuln/detail/CVE-2026-25432</t>
        </is>
      </c>
      <c r="AB245" s="187" t="inlineStr">
        <is>
          <t>NONE</t>
        </is>
      </c>
      <c r="AC245" s="187" t="n">
        <v>0</v>
      </c>
      <c r="AD245" s="187" t="inlineStr"/>
    </row>
    <row r="246">
      <c r="A246" s="187" t="inlineStr">
        <is>
          <t>CVE</t>
        </is>
      </c>
      <c r="B246" s="187" t="inlineStr">
        <is>
          <t>CVE-2026-25441</t>
        </is>
      </c>
      <c r="C246" s="187" t="inlineStr">
        <is>
          <t>Missing Authorization vulnerability in LeadConnector LeadConnector leadconnector allows Exploiting Incorrectly Configured Access Control Security Levels.This issue affects LeadConnector: from n/a through &lt;= 3.0.21.</t>
        </is>
      </c>
      <c r="D246" s="187" t="n">
        <v>5.3</v>
      </c>
      <c r="E246" s="187" t="inlineStr">
        <is>
          <t>MEDIUM</t>
        </is>
      </c>
      <c r="F246" s="187" t="n">
        <v>2</v>
      </c>
      <c r="G246" s="187" t="n">
        <v>2</v>
      </c>
      <c r="H246" s="187" t="inlineStr">
        <is>
          <t>MEDIUM</t>
        </is>
      </c>
      <c r="I246" s="187" t="n">
        <v>9.300000000000001</v>
      </c>
      <c r="J246" s="187" t="inlineStr">
        <is>
          <t>NO</t>
        </is>
      </c>
      <c r="K246" s="187" t="inlineStr">
        <is>
          <t>https://nvd.nist.gov/vuln/detail/CVE-2026-25441</t>
        </is>
      </c>
      <c r="L246" s="187" t="inlineStr">
        <is>
          <t>2026-02-26 00:15</t>
        </is>
      </c>
      <c r="M246" s="187" t="inlineStr">
        <is>
          <t>CHECK_VENDOR</t>
        </is>
      </c>
      <c r="N246" s="187" t="inlineStr">
        <is>
          <t>See NVD references</t>
        </is>
      </c>
      <c r="O246" s="187" t="inlineStr">
        <is>
          <t>Apply vendor patches</t>
        </is>
      </c>
      <c r="P246" s="187" t="inlineStr">
        <is>
          <t>See CVE details</t>
        </is>
      </c>
      <c r="Q246" s="187" t="inlineStr">
        <is>
          <t>P4</t>
        </is>
      </c>
      <c r="R246" s="187" t="inlineStr">
        <is>
          <t>📅 Schedule patch deployment within 30 days | 🔍 Monitor for exploitation attempts</t>
        </is>
      </c>
      <c r="S246" s="187" t="inlineStr">
        <is>
          <t>CVE - IP enrichment n/a</t>
        </is>
      </c>
      <c r="T246" s="187" t="n">
        <v>0</v>
      </c>
      <c r="U246" s="187" t="n">
        <v>0</v>
      </c>
      <c r="V246" s="187" t="inlineStr">
        <is>
          <t>T1190:Exploit Public-Facing Application</t>
        </is>
      </c>
      <c r="W246" s="187" t="n">
        <v>1</v>
      </c>
      <c r="X246" s="187" t="inlineStr">
        <is>
          <t>LOW (40%)</t>
        </is>
      </c>
      <c r="Y246" s="187" t="inlineStr">
        <is>
          <t>UNLIKELY</t>
        </is>
      </c>
      <c r="Z246" s="187" t="inlineStr">
        <is>
          <t>CHECK_VENDOR</t>
        </is>
      </c>
      <c r="AA246" s="187" t="inlineStr">
        <is>
          <t>https://nvd.nist.gov/vuln/detail/CVE-2026-25441</t>
        </is>
      </c>
      <c r="AB246" s="187" t="inlineStr">
        <is>
          <t>NONE</t>
        </is>
      </c>
      <c r="AC246" s="187" t="n">
        <v>0</v>
      </c>
      <c r="AD246" s="187" t="inlineStr"/>
    </row>
    <row r="247">
      <c r="A247" s="187" t="inlineStr">
        <is>
          <t>CVE</t>
        </is>
      </c>
      <c r="B247" s="187" t="inlineStr">
        <is>
          <t>CVE-2026-25451</t>
        </is>
      </c>
      <c r="C247" s="187" t="inlineStr">
        <is>
          <t>Improper Neutralization of Input During Web Page Generation ('Cross-site Scripting') vulnerability in boldthemes Bold Page Builder bold-page-builder allows Stored XSS.This issue affects Bold Page Builder: from n/a through &lt;= 5.6.4.</t>
        </is>
      </c>
      <c r="D247" s="187" t="n">
        <v>6.5</v>
      </c>
      <c r="E247" s="187" t="inlineStr">
        <is>
          <t>MEDIUM</t>
        </is>
      </c>
      <c r="F247" s="187" t="n">
        <v>2</v>
      </c>
      <c r="G247" s="187" t="n">
        <v>2</v>
      </c>
      <c r="H247" s="187" t="inlineStr">
        <is>
          <t>MEDIUM</t>
        </is>
      </c>
      <c r="I247" s="187" t="n">
        <v>10.5</v>
      </c>
      <c r="J247" s="187" t="inlineStr">
        <is>
          <t>NO</t>
        </is>
      </c>
      <c r="K247" s="187" t="inlineStr">
        <is>
          <t>https://nvd.nist.gov/vuln/detail/CVE-2026-25451</t>
        </is>
      </c>
      <c r="L247" s="187" t="inlineStr">
        <is>
          <t>2026-02-26 00:15</t>
        </is>
      </c>
      <c r="M247" s="187" t="inlineStr">
        <is>
          <t>CHECK_VENDOR</t>
        </is>
      </c>
      <c r="N247" s="187" t="inlineStr">
        <is>
          <t>See NVD references</t>
        </is>
      </c>
      <c r="O247" s="187" t="inlineStr">
        <is>
          <t>Apply vendor patches</t>
        </is>
      </c>
      <c r="P247" s="187" t="inlineStr">
        <is>
          <t>See CVE details</t>
        </is>
      </c>
      <c r="Q247" s="187" t="inlineStr">
        <is>
          <t>P4</t>
        </is>
      </c>
      <c r="R247" s="187" t="inlineStr">
        <is>
          <t>📅 Schedule patch deployment within 30 days | 🔍 Monitor for exploitation attempts</t>
        </is>
      </c>
      <c r="S247" s="187" t="inlineStr">
        <is>
          <t>CVE - IP enrichment n/a</t>
        </is>
      </c>
      <c r="T247" s="187" t="n">
        <v>0</v>
      </c>
      <c r="U247" s="187" t="n">
        <v>0</v>
      </c>
      <c r="V247" s="187" t="inlineStr">
        <is>
          <t>T1189:Drive-by Compromise</t>
        </is>
      </c>
      <c r="W247" s="187" t="n">
        <v>1</v>
      </c>
      <c r="X247" s="187" t="inlineStr">
        <is>
          <t>LOW (40%)</t>
        </is>
      </c>
      <c r="Y247" s="187" t="inlineStr">
        <is>
          <t>UNLIKELY</t>
        </is>
      </c>
      <c r="Z247" s="187" t="inlineStr">
        <is>
          <t>CHECK_VENDOR</t>
        </is>
      </c>
      <c r="AA247" s="187" t="inlineStr">
        <is>
          <t>https://nvd.nist.gov/vuln/detail/CVE-2026-25451</t>
        </is>
      </c>
      <c r="AB247" s="187" t="inlineStr">
        <is>
          <t>NONE</t>
        </is>
      </c>
      <c r="AC247" s="187" t="n">
        <v>0</v>
      </c>
      <c r="AD247" s="187" t="inlineStr"/>
    </row>
    <row r="248">
      <c r="A248" s="187" t="inlineStr">
        <is>
          <t>CVE</t>
        </is>
      </c>
      <c r="B248" s="187" t="inlineStr">
        <is>
          <t>CVE-2026-25453</t>
        </is>
      </c>
      <c r="C248" s="187" t="inlineStr">
        <is>
          <t>Improper Neutralization of Input During Web Page Generation ('Cross-site Scripting') vulnerability in mdempfle Advanced iFrame advanced-iframe allows DOM-Based XSS.This issue affects Advanced iFrame: from n/a through &lt;= 2025.10.</t>
        </is>
      </c>
      <c r="D248" s="187" t="n">
        <v>6.5</v>
      </c>
      <c r="E248" s="187" t="inlineStr">
        <is>
          <t>MEDIUM</t>
        </is>
      </c>
      <c r="F248" s="187" t="n">
        <v>2</v>
      </c>
      <c r="G248" s="187" t="n">
        <v>2</v>
      </c>
      <c r="H248" s="187" t="inlineStr">
        <is>
          <t>MEDIUM</t>
        </is>
      </c>
      <c r="I248" s="187" t="n">
        <v>10.5</v>
      </c>
      <c r="J248" s="187" t="inlineStr">
        <is>
          <t>NO</t>
        </is>
      </c>
      <c r="K248" s="187" t="inlineStr">
        <is>
          <t>https://nvd.nist.gov/vuln/detail/CVE-2026-25453</t>
        </is>
      </c>
      <c r="L248" s="187" t="inlineStr">
        <is>
          <t>2026-02-26 00:15</t>
        </is>
      </c>
      <c r="M248" s="187" t="inlineStr">
        <is>
          <t>CHECK_VENDOR</t>
        </is>
      </c>
      <c r="N248" s="187" t="inlineStr">
        <is>
          <t>See NVD references</t>
        </is>
      </c>
      <c r="O248" s="187" t="inlineStr">
        <is>
          <t>Apply vendor patches</t>
        </is>
      </c>
      <c r="P248" s="187" t="inlineStr">
        <is>
          <t>See CVE details</t>
        </is>
      </c>
      <c r="Q248" s="187" t="inlineStr">
        <is>
          <t>P4</t>
        </is>
      </c>
      <c r="R248" s="187" t="inlineStr">
        <is>
          <t>📅 Schedule patch deployment within 30 days | 🔍 Monitor for exploitation attempts</t>
        </is>
      </c>
      <c r="S248" s="187" t="inlineStr">
        <is>
          <t>CVE - IP enrichment n/a</t>
        </is>
      </c>
      <c r="T248" s="187" t="n">
        <v>0</v>
      </c>
      <c r="U248" s="187" t="n">
        <v>0</v>
      </c>
      <c r="V248" s="187" t="inlineStr">
        <is>
          <t>T1189:Drive-by Compromise</t>
        </is>
      </c>
      <c r="W248" s="187" t="n">
        <v>1</v>
      </c>
      <c r="X248" s="187" t="inlineStr">
        <is>
          <t>LOW (40%)</t>
        </is>
      </c>
      <c r="Y248" s="187" t="inlineStr">
        <is>
          <t>UNLIKELY</t>
        </is>
      </c>
      <c r="Z248" s="187" t="inlineStr">
        <is>
          <t>CHECK_VENDOR</t>
        </is>
      </c>
      <c r="AA248" s="187" t="inlineStr">
        <is>
          <t>https://nvd.nist.gov/vuln/detail/CVE-2026-25453</t>
        </is>
      </c>
      <c r="AB248" s="187" t="inlineStr">
        <is>
          <t>NONE</t>
        </is>
      </c>
      <c r="AC248" s="187" t="n">
        <v>0</v>
      </c>
      <c r="AD248" s="187" t="inlineStr"/>
    </row>
    <row r="249">
      <c r="A249" s="187" t="inlineStr">
        <is>
          <t>CVE</t>
        </is>
      </c>
      <c r="B249" s="187" t="inlineStr">
        <is>
          <t>CVE-2026-25459</t>
        </is>
      </c>
      <c r="C249" s="187" t="inlineStr">
        <is>
          <t>Missing Authorization vulnerability in uixthemes Sober sober allows Exploiting Incorrectly Configured Access Control Security Levels.This issue affects Sober: from n/a through &lt;= 3.5.12.</t>
        </is>
      </c>
      <c r="D249" s="187" t="n">
        <v>4.3</v>
      </c>
      <c r="E249" s="187" t="inlineStr">
        <is>
          <t>MEDIUM</t>
        </is>
      </c>
      <c r="F249" s="187" t="n">
        <v>2</v>
      </c>
      <c r="G249" s="187" t="n">
        <v>2</v>
      </c>
      <c r="H249" s="187" t="inlineStr">
        <is>
          <t>MEDIUM</t>
        </is>
      </c>
      <c r="I249" s="187" t="n">
        <v>8.300000000000001</v>
      </c>
      <c r="J249" s="187" t="inlineStr">
        <is>
          <t>NO</t>
        </is>
      </c>
      <c r="K249" s="187" t="inlineStr">
        <is>
          <t>https://nvd.nist.gov/vuln/detail/CVE-2026-25459</t>
        </is>
      </c>
      <c r="L249" s="187" t="inlineStr">
        <is>
          <t>2026-02-26 00:15</t>
        </is>
      </c>
      <c r="M249" s="187" t="inlineStr">
        <is>
          <t>CHECK_VENDOR</t>
        </is>
      </c>
      <c r="N249" s="187" t="inlineStr">
        <is>
          <t>See NVD references</t>
        </is>
      </c>
      <c r="O249" s="187" t="inlineStr">
        <is>
          <t>Apply vendor patches</t>
        </is>
      </c>
      <c r="P249" s="187" t="inlineStr">
        <is>
          <t>See CVE details</t>
        </is>
      </c>
      <c r="Q249" s="187" t="inlineStr">
        <is>
          <t>P4</t>
        </is>
      </c>
      <c r="R249" s="187" t="inlineStr">
        <is>
          <t>📅 Schedule patch deployment within 30 days | 🔍 Monitor for exploitation attempts</t>
        </is>
      </c>
      <c r="S249" s="187" t="inlineStr">
        <is>
          <t>CVE - IP enrichment n/a</t>
        </is>
      </c>
      <c r="T249" s="187" t="n">
        <v>0</v>
      </c>
      <c r="U249" s="187" t="n">
        <v>0</v>
      </c>
      <c r="V249" s="187" t="inlineStr">
        <is>
          <t>T1190:Exploit Public-Facing Application</t>
        </is>
      </c>
      <c r="W249" s="187" t="n">
        <v>1</v>
      </c>
      <c r="X249" s="187" t="inlineStr">
        <is>
          <t>LOW (40%)</t>
        </is>
      </c>
      <c r="Y249" s="187" t="inlineStr">
        <is>
          <t>UNLIKELY</t>
        </is>
      </c>
      <c r="Z249" s="187" t="inlineStr">
        <is>
          <t>CHECK_VENDOR</t>
        </is>
      </c>
      <c r="AA249" s="187" t="inlineStr">
        <is>
          <t>https://nvd.nist.gov/vuln/detail/CVE-2026-25459</t>
        </is>
      </c>
      <c r="AB249" s="187" t="inlineStr">
        <is>
          <t>NONE</t>
        </is>
      </c>
      <c r="AC249" s="187" t="n">
        <v>0</v>
      </c>
      <c r="AD249" s="187" t="inlineStr"/>
    </row>
    <row r="250">
      <c r="A250" s="187" t="inlineStr">
        <is>
          <t>CVE</t>
        </is>
      </c>
      <c r="B250" s="187" t="inlineStr">
        <is>
          <t>CVE-2026-25463</t>
        </is>
      </c>
      <c r="C250" s="187" t="inlineStr">
        <is>
          <t>Improper Neutralization of Input During Web Page Generation ('Cross-site Scripting') vulnerability in WpEstate Wpresidence Core wpresidence-core allows Stored XSS.This issue affects Wpresidence Core: from n/a through &lt;= 5.4.0.</t>
        </is>
      </c>
      <c r="D250" s="187" t="n">
        <v>6.5</v>
      </c>
      <c r="E250" s="187" t="inlineStr">
        <is>
          <t>MEDIUM</t>
        </is>
      </c>
      <c r="F250" s="187" t="n">
        <v>2</v>
      </c>
      <c r="G250" s="187" t="n">
        <v>2</v>
      </c>
      <c r="H250" s="187" t="inlineStr">
        <is>
          <t>MEDIUM</t>
        </is>
      </c>
      <c r="I250" s="187" t="n">
        <v>10.5</v>
      </c>
      <c r="J250" s="187" t="inlineStr">
        <is>
          <t>NO</t>
        </is>
      </c>
      <c r="K250" s="187" t="inlineStr">
        <is>
          <t>https://nvd.nist.gov/vuln/detail/CVE-2026-25463</t>
        </is>
      </c>
      <c r="L250" s="187" t="inlineStr">
        <is>
          <t>2026-02-26 00:15</t>
        </is>
      </c>
      <c r="M250" s="187" t="inlineStr">
        <is>
          <t>CHECK_VENDOR</t>
        </is>
      </c>
      <c r="N250" s="187" t="inlineStr">
        <is>
          <t>See NVD references</t>
        </is>
      </c>
      <c r="O250" s="187" t="inlineStr">
        <is>
          <t>Apply vendor patches</t>
        </is>
      </c>
      <c r="P250" s="187" t="inlineStr">
        <is>
          <t>See CVE details</t>
        </is>
      </c>
      <c r="Q250" s="187" t="inlineStr">
        <is>
          <t>P4</t>
        </is>
      </c>
      <c r="R250" s="187" t="inlineStr">
        <is>
          <t>📅 Schedule patch deployment within 30 days | 🔍 Monitor for exploitation attempts</t>
        </is>
      </c>
      <c r="S250" s="187" t="inlineStr">
        <is>
          <t>CVE - IP enrichment n/a</t>
        </is>
      </c>
      <c r="T250" s="187" t="n">
        <v>0.0003</v>
      </c>
      <c r="U250" s="187" t="n">
        <v>0.0961</v>
      </c>
      <c r="V250" s="187" t="inlineStr">
        <is>
          <t>T1189:Drive-by Compromise</t>
        </is>
      </c>
      <c r="W250" s="187" t="n">
        <v>1</v>
      </c>
      <c r="X250" s="187" t="inlineStr">
        <is>
          <t>LOW (40%)</t>
        </is>
      </c>
      <c r="Y250" s="187" t="inlineStr">
        <is>
          <t>UNLIKELY</t>
        </is>
      </c>
      <c r="Z250" s="187" t="inlineStr">
        <is>
          <t>CHECK_VENDOR</t>
        </is>
      </c>
      <c r="AA250" s="187" t="inlineStr">
        <is>
          <t>https://nvd.nist.gov/vuln/detail/CVE-2026-25463</t>
        </is>
      </c>
      <c r="AB250" s="187" t="inlineStr">
        <is>
          <t>NONE</t>
        </is>
      </c>
      <c r="AC250" s="187" t="n">
        <v>0</v>
      </c>
      <c r="AD250" s="187" t="inlineStr"/>
    </row>
    <row r="251">
      <c r="A251" s="187" t="inlineStr">
        <is>
          <t>CVE</t>
        </is>
      </c>
      <c r="B251" s="187" t="inlineStr">
        <is>
          <t>CVE-2026-25472</t>
        </is>
      </c>
      <c r="C251" s="187" t="inlineStr">
        <is>
          <t>Improper Neutralization of Input During Web Page Generation ('Cross-site Scripting') vulnerability in ThemeFusion Fusion Builder fusion-builder allows Stored XSS.This issue affects Fusion Builder: from n/a through &lt;= 3.14.3.</t>
        </is>
      </c>
      <c r="D251" s="187" t="n">
        <v>6.5</v>
      </c>
      <c r="E251" s="187" t="inlineStr">
        <is>
          <t>MEDIUM</t>
        </is>
      </c>
      <c r="F251" s="187" t="n">
        <v>2</v>
      </c>
      <c r="G251" s="187" t="n">
        <v>2</v>
      </c>
      <c r="H251" s="187" t="inlineStr">
        <is>
          <t>MEDIUM</t>
        </is>
      </c>
      <c r="I251" s="187" t="n">
        <v>10.5</v>
      </c>
      <c r="J251" s="187" t="inlineStr">
        <is>
          <t>NO</t>
        </is>
      </c>
      <c r="K251" s="187" t="inlineStr">
        <is>
          <t>https://nvd.nist.gov/vuln/detail/CVE-2026-25472</t>
        </is>
      </c>
      <c r="L251" s="187" t="inlineStr">
        <is>
          <t>2026-02-26 00:15</t>
        </is>
      </c>
      <c r="M251" s="187" t="inlineStr">
        <is>
          <t>CHECK_VENDOR</t>
        </is>
      </c>
      <c r="N251" s="187" t="inlineStr">
        <is>
          <t>See NVD references</t>
        </is>
      </c>
      <c r="O251" s="187" t="inlineStr">
        <is>
          <t>Apply vendor patches</t>
        </is>
      </c>
      <c r="P251" s="187" t="inlineStr">
        <is>
          <t>See CVE details</t>
        </is>
      </c>
      <c r="Q251" s="187" t="inlineStr">
        <is>
          <t>P4</t>
        </is>
      </c>
      <c r="R251" s="187" t="inlineStr">
        <is>
          <t>📅 Schedule patch deployment within 30 days | 🔍 Monitor for exploitation attempts</t>
        </is>
      </c>
      <c r="S251" s="187" t="inlineStr">
        <is>
          <t>CVE - IP enrichment n/a</t>
        </is>
      </c>
      <c r="T251" s="187" t="n">
        <v>0</v>
      </c>
      <c r="U251" s="187" t="n">
        <v>0</v>
      </c>
      <c r="V251" s="187" t="inlineStr">
        <is>
          <t>T1189:Drive-by Compromise</t>
        </is>
      </c>
      <c r="W251" s="187" t="n">
        <v>1</v>
      </c>
      <c r="X251" s="187" t="inlineStr">
        <is>
          <t>LOW (40%)</t>
        </is>
      </c>
      <c r="Y251" s="187" t="inlineStr">
        <is>
          <t>UNLIKELY</t>
        </is>
      </c>
      <c r="Z251" s="187" t="inlineStr">
        <is>
          <t>CHECK_VENDOR</t>
        </is>
      </c>
      <c r="AA251" s="187" t="inlineStr">
        <is>
          <t>https://nvd.nist.gov/vuln/detail/CVE-2026-25472</t>
        </is>
      </c>
      <c r="AB251" s="187" t="inlineStr">
        <is>
          <t>NONE</t>
        </is>
      </c>
      <c r="AC251" s="187" t="n">
        <v>0</v>
      </c>
      <c r="AD251" s="187" t="inlineStr"/>
    </row>
    <row r="252">
      <c r="A252" s="187" t="inlineStr">
        <is>
          <t>CVE</t>
        </is>
      </c>
      <c r="B252" s="187" t="inlineStr">
        <is>
          <t>CVE-2026-25473</t>
        </is>
      </c>
      <c r="C252" s="187" t="inlineStr">
        <is>
          <t>Missing Authorization vulnerability in AA-Team WZone woozone allows Exploiting Incorrectly Configured Access Control Security Levels.This issue affects WZone: from n/a through &lt;= 14.0.31.</t>
        </is>
      </c>
      <c r="D252" s="187" t="n">
        <v>5.4</v>
      </c>
      <c r="E252" s="187" t="inlineStr">
        <is>
          <t>MEDIUM</t>
        </is>
      </c>
      <c r="F252" s="187" t="n">
        <v>2</v>
      </c>
      <c r="G252" s="187" t="n">
        <v>2</v>
      </c>
      <c r="H252" s="187" t="inlineStr">
        <is>
          <t>MEDIUM</t>
        </is>
      </c>
      <c r="I252" s="187" t="n">
        <v>9.4</v>
      </c>
      <c r="J252" s="187" t="inlineStr">
        <is>
          <t>NO</t>
        </is>
      </c>
      <c r="K252" s="187" t="inlineStr">
        <is>
          <t>https://nvd.nist.gov/vuln/detail/CVE-2026-25473</t>
        </is>
      </c>
      <c r="L252" s="187" t="inlineStr">
        <is>
          <t>2026-02-26 00:15</t>
        </is>
      </c>
      <c r="M252" s="187" t="inlineStr">
        <is>
          <t>CHECK_VENDOR</t>
        </is>
      </c>
      <c r="N252" s="187" t="inlineStr">
        <is>
          <t>See NVD references</t>
        </is>
      </c>
      <c r="O252" s="187" t="inlineStr">
        <is>
          <t>Apply vendor patches</t>
        </is>
      </c>
      <c r="P252" s="187" t="inlineStr">
        <is>
          <t>See CVE details</t>
        </is>
      </c>
      <c r="Q252" s="187" t="inlineStr">
        <is>
          <t>P4</t>
        </is>
      </c>
      <c r="R252" s="187" t="inlineStr">
        <is>
          <t>📅 Schedule patch deployment within 30 days | 🔍 Monitor for exploitation attempts</t>
        </is>
      </c>
      <c r="S252" s="187" t="inlineStr">
        <is>
          <t>CVE - IP enrichment n/a</t>
        </is>
      </c>
      <c r="T252" s="187" t="n">
        <v>0.0004</v>
      </c>
      <c r="U252" s="187" t="n">
        <v>0.1195</v>
      </c>
      <c r="V252" s="187" t="inlineStr">
        <is>
          <t>T1190:Exploit Public-Facing Application</t>
        </is>
      </c>
      <c r="W252" s="187" t="n">
        <v>1</v>
      </c>
      <c r="X252" s="187" t="inlineStr">
        <is>
          <t>LOW (40%)</t>
        </is>
      </c>
      <c r="Y252" s="187" t="inlineStr">
        <is>
          <t>UNLIKELY</t>
        </is>
      </c>
      <c r="Z252" s="187" t="inlineStr">
        <is>
          <t>CHECK_VENDOR</t>
        </is>
      </c>
      <c r="AA252" s="187" t="inlineStr">
        <is>
          <t>https://nvd.nist.gov/vuln/detail/CVE-2026-25473</t>
        </is>
      </c>
      <c r="AB252" s="187" t="inlineStr">
        <is>
          <t>NONE</t>
        </is>
      </c>
      <c r="AC252" s="187" t="n">
        <v>0</v>
      </c>
      <c r="AD252" s="187" t="inlineStr"/>
    </row>
    <row r="253">
      <c r="A253" s="188" t="inlineStr">
        <is>
          <t>CVE</t>
        </is>
      </c>
      <c r="B253" s="188" t="inlineStr">
        <is>
          <t>CVE-2026-26358</t>
        </is>
      </c>
      <c r="C253" s="188" t="inlineStr">
        <is>
          <t>Dell Unisphere for PowerMax, version(s) 10.2, contain(s) a Missing Authorization vulnerability. A low privileged attacker with remote access could potentially exploit this vulnerability, leading to Unauthorized access.</t>
        </is>
      </c>
      <c r="D253" s="188" t="n">
        <v>8.800000000000001</v>
      </c>
      <c r="E253" s="188" t="inlineStr">
        <is>
          <t>HIGH</t>
        </is>
      </c>
      <c r="F253" s="188" t="n">
        <v>2</v>
      </c>
      <c r="G253" s="188" t="n">
        <v>3</v>
      </c>
      <c r="H253" s="188" t="inlineStr">
        <is>
          <t>HIGH</t>
        </is>
      </c>
      <c r="I253" s="188" t="n">
        <v>14.8</v>
      </c>
      <c r="J253" s="188" t="inlineStr">
        <is>
          <t>NO</t>
        </is>
      </c>
      <c r="K253" s="188" t="inlineStr">
        <is>
          <t>https://nvd.nist.gov/vuln/detail/CVE-2026-26358</t>
        </is>
      </c>
      <c r="L253" s="188" t="inlineStr">
        <is>
          <t>2026-02-26 00:15</t>
        </is>
      </c>
      <c r="M253" s="188" t="inlineStr">
        <is>
          <t>YES</t>
        </is>
      </c>
      <c r="N253" s="188" t="inlineStr">
        <is>
          <t>https://www.dell.com/support/kbdoc/en-us/000429268/dsa-2026-102-dell-unisphere-for-powermax-and-powermax-eem-security-update-for-multiple-vulnerabilities</t>
        </is>
      </c>
      <c r="O253" s="188" t="inlineStr">
        <is>
          <t>Apply vendor patches</t>
        </is>
      </c>
      <c r="P253" s="188" t="inlineStr">
        <is>
          <t>dell unisphere_for_powermax *</t>
        </is>
      </c>
      <c r="Q253" s="188" t="inlineStr">
        <is>
          <t>P3</t>
        </is>
      </c>
      <c r="R253" s="188" t="inlineStr">
        <is>
          <t>🚨 URGENT: Apply vendor patches immediately | 🔒 Isolate affected systems if patch unavailable | 🛡️ Enable additional monitoring/IDS rules</t>
        </is>
      </c>
      <c r="S253" s="188" t="inlineStr">
        <is>
          <t>CVE - IP enrichment n/a</t>
        </is>
      </c>
      <c r="T253" s="188" t="n">
        <v>0</v>
      </c>
      <c r="U253" s="188" t="n">
        <v>0</v>
      </c>
      <c r="V253" s="188" t="inlineStr">
        <is>
          <t>T1190:Exploit Public-Facing Application</t>
        </is>
      </c>
      <c r="W253" s="188" t="n">
        <v>1</v>
      </c>
      <c r="X253" s="188" t="inlineStr">
        <is>
          <t>LOW (40%)</t>
        </is>
      </c>
      <c r="Y253" s="188" t="inlineStr">
        <is>
          <t>UNLIKELY</t>
        </is>
      </c>
      <c r="Z253" s="188" t="inlineStr">
        <is>
          <t>PATCH_AVAILABLE</t>
        </is>
      </c>
      <c r="AA253" s="188" t="inlineStr">
        <is>
          <t>https://nvd.nist.gov/vuln/detail/CVE-2026-26358</t>
        </is>
      </c>
      <c r="AB253" s="188" t="inlineStr">
        <is>
          <t>NONE</t>
        </is>
      </c>
      <c r="AC253" s="188" t="n">
        <v>0</v>
      </c>
      <c r="AD253" s="188" t="inlineStr"/>
    </row>
    <row r="254">
      <c r="A254" s="188" t="inlineStr">
        <is>
          <t>CVE</t>
        </is>
      </c>
      <c r="B254" s="188" t="inlineStr">
        <is>
          <t>CVE-2026-26359</t>
        </is>
      </c>
      <c r="C254" s="188" t="inlineStr">
        <is>
          <t>Dell Unisphere for PowerMax, version(s) 10.2, contain(s) an External Control of File Name or Path vulnerability. A low privileged attacker with remote access could potentially exploit this vulnerability, leading to the ability to overwrite arbitrary files.</t>
        </is>
      </c>
      <c r="D254" s="188" t="n">
        <v>8.800000000000001</v>
      </c>
      <c r="E254" s="188" t="inlineStr">
        <is>
          <t>HIGH</t>
        </is>
      </c>
      <c r="F254" s="188" t="n">
        <v>2</v>
      </c>
      <c r="G254" s="188" t="n">
        <v>3</v>
      </c>
      <c r="H254" s="188" t="inlineStr">
        <is>
          <t>HIGH</t>
        </is>
      </c>
      <c r="I254" s="188" t="n">
        <v>14.8</v>
      </c>
      <c r="J254" s="188" t="inlineStr">
        <is>
          <t>NO</t>
        </is>
      </c>
      <c r="K254" s="188" t="inlineStr">
        <is>
          <t>https://nvd.nist.gov/vuln/detail/CVE-2026-26359</t>
        </is>
      </c>
      <c r="L254" s="188" t="inlineStr">
        <is>
          <t>2026-02-26 00:15</t>
        </is>
      </c>
      <c r="M254" s="188" t="inlineStr">
        <is>
          <t>YES</t>
        </is>
      </c>
      <c r="N254" s="188" t="inlineStr">
        <is>
          <t>https://www.dell.com/support/kbdoc/en-us/000429268/dsa-2026-102-dell-unisphere-for-powermax-and-powermax-eem-security-update-for-multiple-vulnerabilities</t>
        </is>
      </c>
      <c r="O254" s="188" t="inlineStr">
        <is>
          <t>Apply vendor patches</t>
        </is>
      </c>
      <c r="P254" s="188" t="inlineStr">
        <is>
          <t>dell unisphere_for_powermax *</t>
        </is>
      </c>
      <c r="Q254" s="188" t="inlineStr">
        <is>
          <t>P3</t>
        </is>
      </c>
      <c r="R254" s="188" t="inlineStr">
        <is>
          <t>🚨 URGENT: Apply vendor patches immediately | 🔒 Isolate affected systems if patch unavailable | 🛡️ Enable additional monitoring/IDS rules</t>
        </is>
      </c>
      <c r="S254" s="188" t="inlineStr">
        <is>
          <t>CVE - IP enrichment n/a</t>
        </is>
      </c>
      <c r="T254" s="188" t="n">
        <v>0</v>
      </c>
      <c r="U254" s="188" t="n">
        <v>0</v>
      </c>
      <c r="V254" s="188" t="inlineStr">
        <is>
          <t>T1190:Exploit Public-Facing Application</t>
        </is>
      </c>
      <c r="W254" s="188" t="n">
        <v>1</v>
      </c>
      <c r="X254" s="188" t="inlineStr">
        <is>
          <t>LOW (40%)</t>
        </is>
      </c>
      <c r="Y254" s="188" t="inlineStr">
        <is>
          <t>UNLIKELY</t>
        </is>
      </c>
      <c r="Z254" s="188" t="inlineStr">
        <is>
          <t>PATCH_AVAILABLE</t>
        </is>
      </c>
      <c r="AA254" s="188" t="inlineStr">
        <is>
          <t>https://nvd.nist.gov/vuln/detail/CVE-2026-26359</t>
        </is>
      </c>
      <c r="AB254" s="188" t="inlineStr">
        <is>
          <t>NONE</t>
        </is>
      </c>
      <c r="AC254" s="188" t="n">
        <v>0</v>
      </c>
      <c r="AD254" s="188" t="inlineStr"/>
    </row>
    <row r="255">
      <c r="A255" s="188" t="inlineStr">
        <is>
          <t>CVE</t>
        </is>
      </c>
      <c r="B255" s="188" t="inlineStr">
        <is>
          <t>CVE-2026-26360</t>
        </is>
      </c>
      <c r="C255" s="188" t="inlineStr">
        <is>
          <t>Dell Unisphere for PowerMax, version(s) 10.2, contain(s) an External Control of File Name or Path vulnerability. A low privileged attacker with remote access could potentially exploit this vulnerability to delete arbitrary files.</t>
        </is>
      </c>
      <c r="D255" s="188" t="n">
        <v>8.1</v>
      </c>
      <c r="E255" s="188" t="inlineStr">
        <is>
          <t>HIGH</t>
        </is>
      </c>
      <c r="F255" s="188" t="n">
        <v>2</v>
      </c>
      <c r="G255" s="188" t="n">
        <v>3</v>
      </c>
      <c r="H255" s="188" t="inlineStr">
        <is>
          <t>HIGH</t>
        </is>
      </c>
      <c r="I255" s="188" t="n">
        <v>14.1</v>
      </c>
      <c r="J255" s="188" t="inlineStr">
        <is>
          <t>NO</t>
        </is>
      </c>
      <c r="K255" s="188" t="inlineStr">
        <is>
          <t>https://nvd.nist.gov/vuln/detail/CVE-2026-26360</t>
        </is>
      </c>
      <c r="L255" s="188" t="inlineStr">
        <is>
          <t>2026-02-26 00:15</t>
        </is>
      </c>
      <c r="M255" s="188" t="inlineStr">
        <is>
          <t>YES</t>
        </is>
      </c>
      <c r="N255" s="188" t="inlineStr">
        <is>
          <t>https://www.dell.com/support/kbdoc/en-us/000429268/dsa-2026-102-dell-unisphere-for-powermax-and-powermax-eem-security-update-for-multiple-vulnerabilities</t>
        </is>
      </c>
      <c r="O255" s="188" t="inlineStr">
        <is>
          <t>Apply vendor patches</t>
        </is>
      </c>
      <c r="P255" s="188" t="inlineStr">
        <is>
          <t>dell unisphere_for_powermax *</t>
        </is>
      </c>
      <c r="Q255" s="188" t="inlineStr">
        <is>
          <t>P3</t>
        </is>
      </c>
      <c r="R255" s="188" t="inlineStr">
        <is>
          <t>🚨 URGENT: Apply vendor patches immediately | 🔒 Isolate affected systems if patch unavailable | 🛡️ Enable additional monitoring/IDS rules</t>
        </is>
      </c>
      <c r="S255" s="188" t="inlineStr">
        <is>
          <t>CVE - IP enrichment n/a</t>
        </is>
      </c>
      <c r="T255" s="188" t="n">
        <v>0.0005999999999999999</v>
      </c>
      <c r="U255" s="188" t="n">
        <v>0.1738</v>
      </c>
      <c r="V255" s="188" t="inlineStr">
        <is>
          <t>T1190:Exploit Public-Facing Application</t>
        </is>
      </c>
      <c r="W255" s="188" t="n">
        <v>1</v>
      </c>
      <c r="X255" s="188" t="inlineStr">
        <is>
          <t>LOW (40%)</t>
        </is>
      </c>
      <c r="Y255" s="188" t="inlineStr">
        <is>
          <t>UNLIKELY</t>
        </is>
      </c>
      <c r="Z255" s="188" t="inlineStr">
        <is>
          <t>PATCH_AVAILABLE</t>
        </is>
      </c>
      <c r="AA255" s="188" t="inlineStr">
        <is>
          <t>https://nvd.nist.gov/vuln/detail/CVE-2026-26360</t>
        </is>
      </c>
      <c r="AB255" s="188" t="inlineStr">
        <is>
          <t>NONE</t>
        </is>
      </c>
      <c r="AC255" s="188" t="n">
        <v>0</v>
      </c>
      <c r="AD255" s="188" t="inlineStr"/>
    </row>
    <row r="256">
      <c r="A256" s="187" t="inlineStr">
        <is>
          <t>CVE</t>
        </is>
      </c>
      <c r="B256" s="187" t="inlineStr">
        <is>
          <t>CVE-2026-26361</t>
        </is>
      </c>
      <c r="C256" s="187" t="inlineStr">
        <is>
          <t>Dell Unisphere for PowerMax, version(s) 10.2, contain(s) an External Control of File Name or Path vulnerability. A low privileged attacker with remote access could potentially exploit this vulnerability, leading to Information disclosure.</t>
        </is>
      </c>
      <c r="D256" s="187" t="n">
        <v>6.5</v>
      </c>
      <c r="E256" s="187" t="inlineStr">
        <is>
          <t>MEDIUM</t>
        </is>
      </c>
      <c r="F256" s="187" t="n">
        <v>2</v>
      </c>
      <c r="G256" s="187" t="n">
        <v>2</v>
      </c>
      <c r="H256" s="187" t="inlineStr">
        <is>
          <t>MEDIUM</t>
        </is>
      </c>
      <c r="I256" s="187" t="n">
        <v>10.5</v>
      </c>
      <c r="J256" s="187" t="inlineStr">
        <is>
          <t>NO</t>
        </is>
      </c>
      <c r="K256" s="187" t="inlineStr">
        <is>
          <t>https://nvd.nist.gov/vuln/detail/CVE-2026-26361</t>
        </is>
      </c>
      <c r="L256" s="187" t="inlineStr">
        <is>
          <t>2026-02-26 00:15</t>
        </is>
      </c>
      <c r="M256" s="187" t="inlineStr">
        <is>
          <t>YES</t>
        </is>
      </c>
      <c r="N256" s="187" t="inlineStr">
        <is>
          <t>https://www.dell.com/support/kbdoc/en-us/000429268/dsa-2026-102-dell-unisphere-for-powermax-and-powermax-eem-security-update-for-multiple-vulnerabilities</t>
        </is>
      </c>
      <c r="O256" s="187" t="inlineStr">
        <is>
          <t>Apply vendor patches</t>
        </is>
      </c>
      <c r="P256" s="187" t="inlineStr">
        <is>
          <t>dell unisphere_for_powermax *</t>
        </is>
      </c>
      <c r="Q256" s="187" t="inlineStr">
        <is>
          <t>P4</t>
        </is>
      </c>
      <c r="R256" s="187" t="inlineStr">
        <is>
          <t>📅 Schedule patch deployment within 30 days | 🔍 Monitor for exploitation attempts</t>
        </is>
      </c>
      <c r="S256" s="187" t="inlineStr">
        <is>
          <t>CVE - IP enrichment n/a</t>
        </is>
      </c>
      <c r="T256" s="187" t="n">
        <v>0</v>
      </c>
      <c r="U256" s="187" t="n">
        <v>0</v>
      </c>
      <c r="V256" s="187" t="inlineStr">
        <is>
          <t>T1213:Data from Information Repositories</t>
        </is>
      </c>
      <c r="W256" s="187" t="n">
        <v>1</v>
      </c>
      <c r="X256" s="187" t="inlineStr">
        <is>
          <t>LOW (40%)</t>
        </is>
      </c>
      <c r="Y256" s="187" t="inlineStr">
        <is>
          <t>UNLIKELY</t>
        </is>
      </c>
      <c r="Z256" s="187" t="inlineStr">
        <is>
          <t>PATCH_AVAILABLE</t>
        </is>
      </c>
      <c r="AA256" s="187" t="inlineStr">
        <is>
          <t>https://nvd.nist.gov/vuln/detail/CVE-2026-26361</t>
        </is>
      </c>
      <c r="AB256" s="187" t="inlineStr">
        <is>
          <t>NONE</t>
        </is>
      </c>
      <c r="AC256" s="187" t="n">
        <v>0</v>
      </c>
      <c r="AD256" s="187" t="inlineStr"/>
    </row>
    <row r="257">
      <c r="A257" s="188" t="inlineStr">
        <is>
          <t>CVE</t>
        </is>
      </c>
      <c r="B257" s="188" t="inlineStr">
        <is>
          <t>CVE-2026-26362</t>
        </is>
      </c>
      <c r="C257" s="188" t="inlineStr">
        <is>
          <t>Dell Unisphere for PowerMax, version(s) 10.2, contain(s) a Relative Path Traversal vulnerability. A low privileged attacker with remote access could potentially exploit this vulnerability, leading to unauthorized modification of critical system files.</t>
        </is>
      </c>
      <c r="D257" s="188" t="n">
        <v>8.1</v>
      </c>
      <c r="E257" s="188" t="inlineStr">
        <is>
          <t>HIGH</t>
        </is>
      </c>
      <c r="F257" s="188" t="n">
        <v>2</v>
      </c>
      <c r="G257" s="188" t="n">
        <v>3</v>
      </c>
      <c r="H257" s="188" t="inlineStr">
        <is>
          <t>HIGH</t>
        </is>
      </c>
      <c r="I257" s="188" t="n">
        <v>14.1</v>
      </c>
      <c r="J257" s="188" t="inlineStr">
        <is>
          <t>NO</t>
        </is>
      </c>
      <c r="K257" s="188" t="inlineStr">
        <is>
          <t>https://nvd.nist.gov/vuln/detail/CVE-2026-26362</t>
        </is>
      </c>
      <c r="L257" s="188" t="inlineStr">
        <is>
          <t>2026-02-26 00:15</t>
        </is>
      </c>
      <c r="M257" s="188" t="inlineStr">
        <is>
          <t>YES</t>
        </is>
      </c>
      <c r="N257" s="188" t="inlineStr">
        <is>
          <t>https://www.dell.com/support/kbdoc/en-us/000429268/dsa-2026-102-dell-unisphere-for-powermax-and-powermax-eem-security-update-for-multiple-vulnerabilities</t>
        </is>
      </c>
      <c r="O257" s="188" t="inlineStr">
        <is>
          <t>Apply vendor patches</t>
        </is>
      </c>
      <c r="P257" s="188" t="inlineStr">
        <is>
          <t>dell unisphere_for_powermax *</t>
        </is>
      </c>
      <c r="Q257" s="188" t="inlineStr">
        <is>
          <t>P3</t>
        </is>
      </c>
      <c r="R257" s="188" t="inlineStr">
        <is>
          <t>🚨 URGENT: Apply vendor patches immediately | 🔒 Isolate affected systems if patch unavailable | 🛡️ Enable additional monitoring/IDS rules</t>
        </is>
      </c>
      <c r="S257" s="188" t="inlineStr">
        <is>
          <t>CVE - IP enrichment n/a</t>
        </is>
      </c>
      <c r="T257" s="188" t="n">
        <v>0</v>
      </c>
      <c r="U257" s="188" t="n">
        <v>0</v>
      </c>
      <c r="V257" s="188" t="inlineStr">
        <is>
          <t>T1083:File and Directory Discovery</t>
        </is>
      </c>
      <c r="W257" s="188" t="n">
        <v>1</v>
      </c>
      <c r="X257" s="188" t="inlineStr">
        <is>
          <t>LOW (40%)</t>
        </is>
      </c>
      <c r="Y257" s="188" t="inlineStr">
        <is>
          <t>UNLIKELY</t>
        </is>
      </c>
      <c r="Z257" s="188" t="inlineStr">
        <is>
          <t>PATCH_AVAILABLE</t>
        </is>
      </c>
      <c r="AA257" s="188" t="inlineStr">
        <is>
          <t>https://nvd.nist.gov/vuln/detail/CVE-2026-26362</t>
        </is>
      </c>
      <c r="AB257" s="188" t="inlineStr">
        <is>
          <t>NONE</t>
        </is>
      </c>
      <c r="AC257" s="188" t="n">
        <v>0</v>
      </c>
      <c r="AD257" s="188" t="inlineStr"/>
    </row>
    <row r="258">
      <c r="A258" s="187" t="inlineStr">
        <is>
          <t>CVE</t>
        </is>
      </c>
      <c r="B258" s="187" t="inlineStr">
        <is>
          <t>CVE-2026-27042</t>
        </is>
      </c>
      <c r="C258" s="187" t="inlineStr">
        <is>
          <t>Missing Authorization vulnerability in WPDeveloper NotificationX notificationx allows Exploiting Incorrectly Configured Access Control Security Levels.This issue affects NotificationX: from n/a through &lt;= 3.2.1.</t>
        </is>
      </c>
      <c r="D258" s="187" t="n">
        <v>5.3</v>
      </c>
      <c r="E258" s="187" t="inlineStr">
        <is>
          <t>MEDIUM</t>
        </is>
      </c>
      <c r="F258" s="187" t="n">
        <v>2</v>
      </c>
      <c r="G258" s="187" t="n">
        <v>2</v>
      </c>
      <c r="H258" s="187" t="inlineStr">
        <is>
          <t>MEDIUM</t>
        </is>
      </c>
      <c r="I258" s="187" t="n">
        <v>9.300000000000001</v>
      </c>
      <c r="J258" s="187" t="inlineStr">
        <is>
          <t>NO</t>
        </is>
      </c>
      <c r="K258" s="187" t="inlineStr">
        <is>
          <t>https://nvd.nist.gov/vuln/detail/CVE-2026-27042</t>
        </is>
      </c>
      <c r="L258" s="187" t="inlineStr">
        <is>
          <t>2026-02-26 00:15</t>
        </is>
      </c>
      <c r="M258" s="187" t="inlineStr">
        <is>
          <t>CHECK_VENDOR</t>
        </is>
      </c>
      <c r="N258" s="187" t="inlineStr">
        <is>
          <t>See NVD references</t>
        </is>
      </c>
      <c r="O258" s="187" t="inlineStr">
        <is>
          <t>Apply vendor patches</t>
        </is>
      </c>
      <c r="P258" s="187" t="inlineStr">
        <is>
          <t>See CVE details</t>
        </is>
      </c>
      <c r="Q258" s="187" t="inlineStr">
        <is>
          <t>P4</t>
        </is>
      </c>
      <c r="R258" s="187" t="inlineStr">
        <is>
          <t>📅 Schedule patch deployment within 30 days | 🔍 Monitor for exploitation attempts</t>
        </is>
      </c>
      <c r="S258" s="187" t="inlineStr">
        <is>
          <t>CVE - IP enrichment n/a</t>
        </is>
      </c>
      <c r="T258" s="187" t="n">
        <v>0</v>
      </c>
      <c r="U258" s="187" t="n">
        <v>0</v>
      </c>
      <c r="V258" s="187" t="inlineStr">
        <is>
          <t>T1190:Exploit Public-Facing Application</t>
        </is>
      </c>
      <c r="W258" s="187" t="n">
        <v>1</v>
      </c>
      <c r="X258" s="187" t="inlineStr">
        <is>
          <t>LOW (40%)</t>
        </is>
      </c>
      <c r="Y258" s="187" t="inlineStr">
        <is>
          <t>UNLIKELY</t>
        </is>
      </c>
      <c r="Z258" s="187" t="inlineStr">
        <is>
          <t>CHECK_VENDOR</t>
        </is>
      </c>
      <c r="AA258" s="187" t="inlineStr">
        <is>
          <t>https://nvd.nist.gov/vuln/detail/CVE-2026-27042</t>
        </is>
      </c>
      <c r="AB258" s="187" t="inlineStr">
        <is>
          <t>NONE</t>
        </is>
      </c>
      <c r="AC258" s="187" t="n">
        <v>0</v>
      </c>
      <c r="AD258" s="187" t="inlineStr"/>
    </row>
    <row r="259">
      <c r="A259" s="187" t="inlineStr">
        <is>
          <t>CVE</t>
        </is>
      </c>
      <c r="B259" s="187" t="inlineStr">
        <is>
          <t>CVE-2026-27050</t>
        </is>
      </c>
      <c r="C259" s="187" t="inlineStr">
        <is>
          <t>Cross-Site Request Forgery (CSRF) vulnerability in ThimPress RealPress realpress allows Cross Site Request Forgery.This issue affects RealPress: from n/a through &lt;= 1.1.0.</t>
        </is>
      </c>
      <c r="D259" s="187" t="n">
        <v>5.4</v>
      </c>
      <c r="E259" s="187" t="inlineStr">
        <is>
          <t>MEDIUM</t>
        </is>
      </c>
      <c r="F259" s="187" t="n">
        <v>2</v>
      </c>
      <c r="G259" s="187" t="n">
        <v>2</v>
      </c>
      <c r="H259" s="187" t="inlineStr">
        <is>
          <t>MEDIUM</t>
        </is>
      </c>
      <c r="I259" s="187" t="n">
        <v>9.4</v>
      </c>
      <c r="J259" s="187" t="inlineStr">
        <is>
          <t>NO</t>
        </is>
      </c>
      <c r="K259" s="187" t="inlineStr">
        <is>
          <t>https://nvd.nist.gov/vuln/detail/CVE-2026-27050</t>
        </is>
      </c>
      <c r="L259" s="187" t="inlineStr">
        <is>
          <t>2026-02-26 00:15</t>
        </is>
      </c>
      <c r="M259" s="187" t="inlineStr">
        <is>
          <t>CHECK_VENDOR</t>
        </is>
      </c>
      <c r="N259" s="187" t="inlineStr">
        <is>
          <t>See NVD references</t>
        </is>
      </c>
      <c r="O259" s="187" t="inlineStr">
        <is>
          <t>Apply vendor patches</t>
        </is>
      </c>
      <c r="P259" s="187" t="inlineStr">
        <is>
          <t>See CVE details</t>
        </is>
      </c>
      <c r="Q259" s="187" t="inlineStr">
        <is>
          <t>P4</t>
        </is>
      </c>
      <c r="R259" s="187" t="inlineStr">
        <is>
          <t>📅 Schedule patch deployment within 30 days | 🔍 Monitor for exploitation attempts</t>
        </is>
      </c>
      <c r="S259" s="187" t="inlineStr">
        <is>
          <t>CVE - IP enrichment n/a</t>
        </is>
      </c>
      <c r="T259" s="187" t="n">
        <v>0</v>
      </c>
      <c r="U259" s="187" t="n">
        <v>0</v>
      </c>
      <c r="V259" s="187" t="inlineStr">
        <is>
          <t>T1185:Browser Session Hijacking</t>
        </is>
      </c>
      <c r="W259" s="187" t="n">
        <v>1</v>
      </c>
      <c r="X259" s="187" t="inlineStr">
        <is>
          <t>LOW (40%)</t>
        </is>
      </c>
      <c r="Y259" s="187" t="inlineStr">
        <is>
          <t>UNLIKELY</t>
        </is>
      </c>
      <c r="Z259" s="187" t="inlineStr">
        <is>
          <t>CHECK_VENDOR</t>
        </is>
      </c>
      <c r="AA259" s="187" t="inlineStr">
        <is>
          <t>https://nvd.nist.gov/vuln/detail/CVE-2026-27050</t>
        </is>
      </c>
      <c r="AB259" s="187" t="inlineStr">
        <is>
          <t>NONE</t>
        </is>
      </c>
      <c r="AC259" s="187" t="n">
        <v>0</v>
      </c>
      <c r="AD259" s="187" t="inlineStr"/>
    </row>
    <row r="260">
      <c r="A260" s="188" t="inlineStr">
        <is>
          <t>CVE</t>
        </is>
      </c>
      <c r="B260" s="188" t="inlineStr">
        <is>
          <t>CVE-2026-27052</t>
        </is>
      </c>
      <c r="C260" s="188" t="inlineStr">
        <is>
          <t>Improper Control of Filename for Include/Require Statement in PHP Program ('PHP Remote File Inclusion') vulnerability in villatheme Sales Countdown Timer for WooCommerce and WordPress sctv-sales-countdown-timer allows PHP Local File Inclusion.This issue affects Sales Countdown Timer for WooCommerce and WordPress: from n/a through &lt;= 1.1.8.1.</t>
        </is>
      </c>
      <c r="D260" s="188" t="n">
        <v>7.5</v>
      </c>
      <c r="E260" s="188" t="inlineStr">
        <is>
          <t>HIGH</t>
        </is>
      </c>
      <c r="F260" s="188" t="n">
        <v>2</v>
      </c>
      <c r="G260" s="188" t="n">
        <v>3</v>
      </c>
      <c r="H260" s="188" t="inlineStr">
        <is>
          <t>HIGH</t>
        </is>
      </c>
      <c r="I260" s="188" t="n">
        <v>13.5</v>
      </c>
      <c r="J260" s="188" t="inlineStr">
        <is>
          <t>NO</t>
        </is>
      </c>
      <c r="K260" s="188" t="inlineStr">
        <is>
          <t>https://nvd.nist.gov/vuln/detail/CVE-2026-27052</t>
        </is>
      </c>
      <c r="L260" s="188" t="inlineStr">
        <is>
          <t>2026-02-26 00:15</t>
        </is>
      </c>
      <c r="M260" s="188" t="inlineStr">
        <is>
          <t>CHECK_VENDOR</t>
        </is>
      </c>
      <c r="N260" s="188" t="inlineStr">
        <is>
          <t>See NVD references</t>
        </is>
      </c>
      <c r="O260" s="188" t="inlineStr">
        <is>
          <t>Apply vendor patches</t>
        </is>
      </c>
      <c r="P260" s="188" t="inlineStr">
        <is>
          <t>See CVE details</t>
        </is>
      </c>
      <c r="Q260" s="188" t="inlineStr">
        <is>
          <t>P3</t>
        </is>
      </c>
      <c r="R260" s="188" t="inlineStr">
        <is>
          <t>🚨 URGENT: Apply vendor patches immediately | 🔒 Isolate affected systems if patch unavailable | 🛡️ Enable additional monitoring/IDS rules</t>
        </is>
      </c>
      <c r="S260" s="188" t="inlineStr">
        <is>
          <t>CVE - IP enrichment n/a</t>
        </is>
      </c>
      <c r="T260" s="188" t="n">
        <v>0</v>
      </c>
      <c r="U260" s="188" t="n">
        <v>0</v>
      </c>
      <c r="V260" s="188" t="inlineStr">
        <is>
          <t>T1190:Exploit Public-Facing Application</t>
        </is>
      </c>
      <c r="W260" s="188" t="n">
        <v>1</v>
      </c>
      <c r="X260" s="188" t="inlineStr">
        <is>
          <t>LOW (40%)</t>
        </is>
      </c>
      <c r="Y260" s="188" t="inlineStr">
        <is>
          <t>UNLIKELY</t>
        </is>
      </c>
      <c r="Z260" s="188" t="inlineStr">
        <is>
          <t>CHECK_VENDOR</t>
        </is>
      </c>
      <c r="AA260" s="188" t="inlineStr">
        <is>
          <t>https://nvd.nist.gov/vuln/detail/CVE-2026-27052</t>
        </is>
      </c>
      <c r="AB260" s="188" t="inlineStr">
        <is>
          <t>NONE</t>
        </is>
      </c>
      <c r="AC260" s="188" t="n">
        <v>0</v>
      </c>
      <c r="AD260" s="188" t="inlineStr"/>
    </row>
    <row r="261">
      <c r="A261" s="187" t="inlineStr">
        <is>
          <t>CVE</t>
        </is>
      </c>
      <c r="B261" s="187" t="inlineStr">
        <is>
          <t>CVE-2026-27055</t>
        </is>
      </c>
      <c r="C261" s="187" t="inlineStr">
        <is>
          <t>Missing Authorization vulnerability in PenciDesign Penci AI SmartContent Creator penci-ai allows Exploiting Incorrectly Configured Access Control Security Levels.This issue affects Penci AI SmartContent Creator: from n/a through &lt;= 2.0.</t>
        </is>
      </c>
      <c r="D261" s="187" t="n">
        <v>4.3</v>
      </c>
      <c r="E261" s="187" t="inlineStr">
        <is>
          <t>MEDIUM</t>
        </is>
      </c>
      <c r="F261" s="187" t="n">
        <v>2</v>
      </c>
      <c r="G261" s="187" t="n">
        <v>2</v>
      </c>
      <c r="H261" s="187" t="inlineStr">
        <is>
          <t>MEDIUM</t>
        </is>
      </c>
      <c r="I261" s="187" t="n">
        <v>8.300000000000001</v>
      </c>
      <c r="J261" s="187" t="inlineStr">
        <is>
          <t>NO</t>
        </is>
      </c>
      <c r="K261" s="187" t="inlineStr">
        <is>
          <t>https://nvd.nist.gov/vuln/detail/CVE-2026-27055</t>
        </is>
      </c>
      <c r="L261" s="187" t="inlineStr">
        <is>
          <t>2026-02-26 00:15</t>
        </is>
      </c>
      <c r="M261" s="187" t="inlineStr">
        <is>
          <t>CHECK_VENDOR</t>
        </is>
      </c>
      <c r="N261" s="187" t="inlineStr">
        <is>
          <t>See NVD references</t>
        </is>
      </c>
      <c r="O261" s="187" t="inlineStr">
        <is>
          <t>Apply vendor patches</t>
        </is>
      </c>
      <c r="P261" s="187" t="inlineStr">
        <is>
          <t>See CVE details</t>
        </is>
      </c>
      <c r="Q261" s="187" t="inlineStr">
        <is>
          <t>P4</t>
        </is>
      </c>
      <c r="R261" s="187" t="inlineStr">
        <is>
          <t>📅 Schedule patch deployment within 30 days | 🔍 Monitor for exploitation attempts</t>
        </is>
      </c>
      <c r="S261" s="187" t="inlineStr">
        <is>
          <t>CVE - IP enrichment n/a</t>
        </is>
      </c>
      <c r="T261" s="187" t="n">
        <v>0</v>
      </c>
      <c r="U261" s="187" t="n">
        <v>0</v>
      </c>
      <c r="V261" s="187" t="inlineStr">
        <is>
          <t>T1190:Exploit Public-Facing Application</t>
        </is>
      </c>
      <c r="W261" s="187" t="n">
        <v>1</v>
      </c>
      <c r="X261" s="187" t="inlineStr">
        <is>
          <t>LOW (40%)</t>
        </is>
      </c>
      <c r="Y261" s="187" t="inlineStr">
        <is>
          <t>UNLIKELY</t>
        </is>
      </c>
      <c r="Z261" s="187" t="inlineStr">
        <is>
          <t>CHECK_VENDOR</t>
        </is>
      </c>
      <c r="AA261" s="187" t="inlineStr">
        <is>
          <t>https://nvd.nist.gov/vuln/detail/CVE-2026-27055</t>
        </is>
      </c>
      <c r="AB261" s="187" t="inlineStr">
        <is>
          <t>NONE</t>
        </is>
      </c>
      <c r="AC261" s="187" t="n">
        <v>0</v>
      </c>
      <c r="AD261" s="187" t="inlineStr"/>
    </row>
    <row r="262">
      <c r="A262" s="187" t="inlineStr">
        <is>
          <t>CVE</t>
        </is>
      </c>
      <c r="B262" s="187" t="inlineStr">
        <is>
          <t>CVE-2026-27056</t>
        </is>
      </c>
      <c r="C262" s="187" t="inlineStr">
        <is>
          <t>Missing Authorization vulnerability in StellarWP iThemes Sync ithemes-sync allows Exploiting Incorrectly Configured Access Control Security Levels.This issue affects iThemes Sync: from n/a through &lt;= 3.2.8.</t>
        </is>
      </c>
      <c r="D262" s="187" t="n">
        <v>4.3</v>
      </c>
      <c r="E262" s="187" t="inlineStr">
        <is>
          <t>MEDIUM</t>
        </is>
      </c>
      <c r="F262" s="187" t="n">
        <v>2</v>
      </c>
      <c r="G262" s="187" t="n">
        <v>2</v>
      </c>
      <c r="H262" s="187" t="inlineStr">
        <is>
          <t>MEDIUM</t>
        </is>
      </c>
      <c r="I262" s="187" t="n">
        <v>8.300000000000001</v>
      </c>
      <c r="J262" s="187" t="inlineStr">
        <is>
          <t>NO</t>
        </is>
      </c>
      <c r="K262" s="187" t="inlineStr">
        <is>
          <t>https://nvd.nist.gov/vuln/detail/CVE-2026-27056</t>
        </is>
      </c>
      <c r="L262" s="187" t="inlineStr">
        <is>
          <t>2026-02-26 00:15</t>
        </is>
      </c>
      <c r="M262" s="187" t="inlineStr">
        <is>
          <t>CHECK_VENDOR</t>
        </is>
      </c>
      <c r="N262" s="187" t="inlineStr">
        <is>
          <t>See NVD references</t>
        </is>
      </c>
      <c r="O262" s="187" t="inlineStr">
        <is>
          <t>Apply vendor patches</t>
        </is>
      </c>
      <c r="P262" s="187" t="inlineStr">
        <is>
          <t>See CVE details</t>
        </is>
      </c>
      <c r="Q262" s="187" t="inlineStr">
        <is>
          <t>P4</t>
        </is>
      </c>
      <c r="R262" s="187" t="inlineStr">
        <is>
          <t>📅 Schedule patch deployment within 30 days | 🔍 Monitor for exploitation attempts</t>
        </is>
      </c>
      <c r="S262" s="187" t="inlineStr">
        <is>
          <t>CVE - IP enrichment n/a</t>
        </is>
      </c>
      <c r="T262" s="187" t="n">
        <v>0.0003</v>
      </c>
      <c r="U262" s="187" t="n">
        <v>0.08210000000000001</v>
      </c>
      <c r="V262" s="187" t="inlineStr">
        <is>
          <t>T1190:Exploit Public-Facing Application</t>
        </is>
      </c>
      <c r="W262" s="187" t="n">
        <v>1</v>
      </c>
      <c r="X262" s="187" t="inlineStr">
        <is>
          <t>LOW (40%)</t>
        </is>
      </c>
      <c r="Y262" s="187" t="inlineStr">
        <is>
          <t>UNLIKELY</t>
        </is>
      </c>
      <c r="Z262" s="187" t="inlineStr">
        <is>
          <t>CHECK_VENDOR</t>
        </is>
      </c>
      <c r="AA262" s="187" t="inlineStr">
        <is>
          <t>https://nvd.nist.gov/vuln/detail/CVE-2026-27056</t>
        </is>
      </c>
      <c r="AB262" s="187" t="inlineStr">
        <is>
          <t>NONE</t>
        </is>
      </c>
      <c r="AC262" s="187" t="n">
        <v>0</v>
      </c>
      <c r="AD262" s="187" t="inlineStr"/>
    </row>
    <row r="263">
      <c r="A263" s="187" t="inlineStr">
        <is>
          <t>CVE</t>
        </is>
      </c>
      <c r="B263" s="187" t="inlineStr">
        <is>
          <t>CVE-2026-27057</t>
        </is>
      </c>
      <c r="C263" s="187" t="inlineStr">
        <is>
          <t>Improper Neutralization of Input During Web Page Generation ('Cross-site Scripting') vulnerability in PenciDesign Penci Filter Everything penci-filter-everything allows Stored XSS.This issue affects Penci Filter Everything: from n/a through &lt;= 1.7.</t>
        </is>
      </c>
      <c r="D263" s="187" t="n">
        <v>6.5</v>
      </c>
      <c r="E263" s="187" t="inlineStr">
        <is>
          <t>MEDIUM</t>
        </is>
      </c>
      <c r="F263" s="187" t="n">
        <v>2</v>
      </c>
      <c r="G263" s="187" t="n">
        <v>2</v>
      </c>
      <c r="H263" s="187" t="inlineStr">
        <is>
          <t>MEDIUM</t>
        </is>
      </c>
      <c r="I263" s="187" t="n">
        <v>10.5</v>
      </c>
      <c r="J263" s="187" t="inlineStr">
        <is>
          <t>NO</t>
        </is>
      </c>
      <c r="K263" s="187" t="inlineStr">
        <is>
          <t>https://nvd.nist.gov/vuln/detail/CVE-2026-27057</t>
        </is>
      </c>
      <c r="L263" s="187" t="inlineStr">
        <is>
          <t>2026-02-26 00:15</t>
        </is>
      </c>
      <c r="M263" s="187" t="inlineStr">
        <is>
          <t>CHECK_VENDOR</t>
        </is>
      </c>
      <c r="N263" s="187" t="inlineStr">
        <is>
          <t>See NVD references</t>
        </is>
      </c>
      <c r="O263" s="187" t="inlineStr">
        <is>
          <t>Apply vendor patches</t>
        </is>
      </c>
      <c r="P263" s="187" t="inlineStr">
        <is>
          <t>See CVE details</t>
        </is>
      </c>
      <c r="Q263" s="187" t="inlineStr">
        <is>
          <t>P4</t>
        </is>
      </c>
      <c r="R263" s="187" t="inlineStr">
        <is>
          <t>📅 Schedule patch deployment within 30 days | 🔍 Monitor for exploitation attempts</t>
        </is>
      </c>
      <c r="S263" s="187" t="inlineStr">
        <is>
          <t>CVE - IP enrichment n/a</t>
        </is>
      </c>
      <c r="T263" s="187" t="n">
        <v>0</v>
      </c>
      <c r="U263" s="187" t="n">
        <v>0</v>
      </c>
      <c r="V263" s="187" t="inlineStr">
        <is>
          <t>T1189:Drive-by Compromise</t>
        </is>
      </c>
      <c r="W263" s="187" t="n">
        <v>1</v>
      </c>
      <c r="X263" s="187" t="inlineStr">
        <is>
          <t>LOW (40%)</t>
        </is>
      </c>
      <c r="Y263" s="187" t="inlineStr">
        <is>
          <t>UNLIKELY</t>
        </is>
      </c>
      <c r="Z263" s="187" t="inlineStr">
        <is>
          <t>CHECK_VENDOR</t>
        </is>
      </c>
      <c r="AA263" s="187" t="inlineStr">
        <is>
          <t>https://nvd.nist.gov/vuln/detail/CVE-2026-27057</t>
        </is>
      </c>
      <c r="AB263" s="187" t="inlineStr">
        <is>
          <t>NONE</t>
        </is>
      </c>
      <c r="AC263" s="187" t="n">
        <v>0</v>
      </c>
      <c r="AD263" s="187" t="inlineStr"/>
    </row>
    <row r="264">
      <c r="A264" s="187" t="inlineStr">
        <is>
          <t>CVE</t>
        </is>
      </c>
      <c r="B264" s="187" t="inlineStr">
        <is>
          <t>CVE-2026-27058</t>
        </is>
      </c>
      <c r="C264" s="187" t="inlineStr">
        <is>
          <t>Improper Neutralization of Input During Web Page Generation ('Cross-site Scripting') vulnerability in PenciDesign Penci Podcast penci-podcast allows DOM-Based XSS.This issue affects Penci Podcast: from n/a through &lt;= 1.7.</t>
        </is>
      </c>
      <c r="D264" s="187" t="n">
        <v>6.5</v>
      </c>
      <c r="E264" s="187" t="inlineStr">
        <is>
          <t>MEDIUM</t>
        </is>
      </c>
      <c r="F264" s="187" t="n">
        <v>2</v>
      </c>
      <c r="G264" s="187" t="n">
        <v>2</v>
      </c>
      <c r="H264" s="187" t="inlineStr">
        <is>
          <t>MEDIUM</t>
        </is>
      </c>
      <c r="I264" s="187" t="n">
        <v>10.5</v>
      </c>
      <c r="J264" s="187" t="inlineStr">
        <is>
          <t>NO</t>
        </is>
      </c>
      <c r="K264" s="187" t="inlineStr">
        <is>
          <t>https://nvd.nist.gov/vuln/detail/CVE-2026-27058</t>
        </is>
      </c>
      <c r="L264" s="187" t="inlineStr">
        <is>
          <t>2026-02-26 00:15</t>
        </is>
      </c>
      <c r="M264" s="187" t="inlineStr">
        <is>
          <t>CHECK_VENDOR</t>
        </is>
      </c>
      <c r="N264" s="187" t="inlineStr">
        <is>
          <t>See NVD references</t>
        </is>
      </c>
      <c r="O264" s="187" t="inlineStr">
        <is>
          <t>Apply vendor patches</t>
        </is>
      </c>
      <c r="P264" s="187" t="inlineStr">
        <is>
          <t>See CVE details</t>
        </is>
      </c>
      <c r="Q264" s="187" t="inlineStr">
        <is>
          <t>P4</t>
        </is>
      </c>
      <c r="R264" s="187" t="inlineStr">
        <is>
          <t>📅 Schedule patch deployment within 30 days | 🔍 Monitor for exploitation attempts</t>
        </is>
      </c>
      <c r="S264" s="187" t="inlineStr">
        <is>
          <t>CVE - IP enrichment n/a</t>
        </is>
      </c>
      <c r="T264" s="187" t="n">
        <v>0</v>
      </c>
      <c r="U264" s="187" t="n">
        <v>0</v>
      </c>
      <c r="V264" s="187" t="inlineStr">
        <is>
          <t>T1189:Drive-by Compromise</t>
        </is>
      </c>
      <c r="W264" s="187" t="n">
        <v>1</v>
      </c>
      <c r="X264" s="187" t="inlineStr">
        <is>
          <t>LOW (40%)</t>
        </is>
      </c>
      <c r="Y264" s="187" t="inlineStr">
        <is>
          <t>UNLIKELY</t>
        </is>
      </c>
      <c r="Z264" s="187" t="inlineStr">
        <is>
          <t>CHECK_VENDOR</t>
        </is>
      </c>
      <c r="AA264" s="187" t="inlineStr">
        <is>
          <t>https://nvd.nist.gov/vuln/detail/CVE-2026-27058</t>
        </is>
      </c>
      <c r="AB264" s="187" t="inlineStr">
        <is>
          <t>NONE</t>
        </is>
      </c>
      <c r="AC264" s="187" t="n">
        <v>0</v>
      </c>
      <c r="AD264" s="187" t="inlineStr"/>
    </row>
    <row r="265">
      <c r="A265" s="187" t="inlineStr">
        <is>
          <t>CVE</t>
        </is>
      </c>
      <c r="B265" s="187" t="inlineStr">
        <is>
          <t>CVE-2026-27059</t>
        </is>
      </c>
      <c r="C265" s="187" t="inlineStr">
        <is>
          <t>Improper Neutralization of Input During Web Page Generation ('Cross-site Scripting') vulnerability in PenciDesign Penci Recipe penci-recipe allows DOM-Based XSS.This issue affects Penci Recipe: from n/a through &lt;= 4.1.</t>
        </is>
      </c>
      <c r="D265" s="187" t="n">
        <v>6.5</v>
      </c>
      <c r="E265" s="187" t="inlineStr">
        <is>
          <t>MEDIUM</t>
        </is>
      </c>
      <c r="F265" s="187" t="n">
        <v>2</v>
      </c>
      <c r="G265" s="187" t="n">
        <v>2</v>
      </c>
      <c r="H265" s="187" t="inlineStr">
        <is>
          <t>MEDIUM</t>
        </is>
      </c>
      <c r="I265" s="187" t="n">
        <v>10.5</v>
      </c>
      <c r="J265" s="187" t="inlineStr">
        <is>
          <t>NO</t>
        </is>
      </c>
      <c r="K265" s="187" t="inlineStr">
        <is>
          <t>https://nvd.nist.gov/vuln/detail/CVE-2026-27059</t>
        </is>
      </c>
      <c r="L265" s="187" t="inlineStr">
        <is>
          <t>2026-02-26 00:15</t>
        </is>
      </c>
      <c r="M265" s="187" t="inlineStr">
        <is>
          <t>CHECK_VENDOR</t>
        </is>
      </c>
      <c r="N265" s="187" t="inlineStr">
        <is>
          <t>See NVD references</t>
        </is>
      </c>
      <c r="O265" s="187" t="inlineStr">
        <is>
          <t>Apply vendor patches</t>
        </is>
      </c>
      <c r="P265" s="187" t="inlineStr">
        <is>
          <t>See CVE details</t>
        </is>
      </c>
      <c r="Q265" s="187" t="inlineStr">
        <is>
          <t>P4</t>
        </is>
      </c>
      <c r="R265" s="187" t="inlineStr">
        <is>
          <t>📅 Schedule patch deployment within 30 days | 🔍 Monitor for exploitation attempts</t>
        </is>
      </c>
      <c r="S265" s="187" t="inlineStr">
        <is>
          <t>CVE - IP enrichment n/a</t>
        </is>
      </c>
      <c r="T265" s="187" t="n">
        <v>0</v>
      </c>
      <c r="U265" s="187" t="n">
        <v>0</v>
      </c>
      <c r="V265" s="187" t="inlineStr">
        <is>
          <t>T1189:Drive-by Compromise</t>
        </is>
      </c>
      <c r="W265" s="187" t="n">
        <v>1</v>
      </c>
      <c r="X265" s="187" t="inlineStr">
        <is>
          <t>LOW (40%)</t>
        </is>
      </c>
      <c r="Y265" s="187" t="inlineStr">
        <is>
          <t>UNLIKELY</t>
        </is>
      </c>
      <c r="Z265" s="187" t="inlineStr">
        <is>
          <t>CHECK_VENDOR</t>
        </is>
      </c>
      <c r="AA265" s="187" t="inlineStr">
        <is>
          <t>https://nvd.nist.gov/vuln/detail/CVE-2026-27059</t>
        </is>
      </c>
      <c r="AB265" s="187" t="inlineStr">
        <is>
          <t>NONE</t>
        </is>
      </c>
      <c r="AC265" s="187" t="n">
        <v>0</v>
      </c>
      <c r="AD265" s="187" t="inlineStr"/>
    </row>
    <row r="266">
      <c r="A266" s="187" t="inlineStr">
        <is>
          <t>CVE</t>
        </is>
      </c>
      <c r="B266" s="187" t="inlineStr">
        <is>
          <t>CVE-2026-27066</t>
        </is>
      </c>
      <c r="C266" s="187" t="inlineStr">
        <is>
          <t>Missing Authorization vulnerability in PI Web Solution Live sales notification for WooCommerce live-sales-notifications-for-woocommerce allows Exploiting Incorrectly Configured Access Control Security Levels.This issue affects Live sales notification for WooCommerce: from n/a through &lt;= 2.3.46.</t>
        </is>
      </c>
      <c r="D266" s="187" t="n">
        <v>5.3</v>
      </c>
      <c r="E266" s="187" t="inlineStr">
        <is>
          <t>MEDIUM</t>
        </is>
      </c>
      <c r="F266" s="187" t="n">
        <v>2</v>
      </c>
      <c r="G266" s="187" t="n">
        <v>2</v>
      </c>
      <c r="H266" s="187" t="inlineStr">
        <is>
          <t>MEDIUM</t>
        </is>
      </c>
      <c r="I266" s="187" t="n">
        <v>9.300000000000001</v>
      </c>
      <c r="J266" s="187" t="inlineStr">
        <is>
          <t>NO</t>
        </is>
      </c>
      <c r="K266" s="187" t="inlineStr">
        <is>
          <t>https://nvd.nist.gov/vuln/detail/CVE-2026-27066</t>
        </is>
      </c>
      <c r="L266" s="187" t="inlineStr">
        <is>
          <t>2026-02-26 00:15</t>
        </is>
      </c>
      <c r="M266" s="187" t="inlineStr">
        <is>
          <t>CHECK_VENDOR</t>
        </is>
      </c>
      <c r="N266" s="187" t="inlineStr">
        <is>
          <t>See NVD references</t>
        </is>
      </c>
      <c r="O266" s="187" t="inlineStr">
        <is>
          <t>Apply vendor patches</t>
        </is>
      </c>
      <c r="P266" s="187" t="inlineStr">
        <is>
          <t>See CVE details</t>
        </is>
      </c>
      <c r="Q266" s="187" t="inlineStr">
        <is>
          <t>P4</t>
        </is>
      </c>
      <c r="R266" s="187" t="inlineStr">
        <is>
          <t>📅 Schedule patch deployment within 30 days | 🔍 Monitor for exploitation attempts</t>
        </is>
      </c>
      <c r="S266" s="187" t="inlineStr">
        <is>
          <t>CVE - IP enrichment n/a</t>
        </is>
      </c>
      <c r="T266" s="187" t="n">
        <v>0.0004</v>
      </c>
      <c r="U266" s="187" t="n">
        <v>0.1086</v>
      </c>
      <c r="V266" s="187" t="inlineStr">
        <is>
          <t>T1190:Exploit Public-Facing Application</t>
        </is>
      </c>
      <c r="W266" s="187" t="n">
        <v>1</v>
      </c>
      <c r="X266" s="187" t="inlineStr">
        <is>
          <t>LOW (40%)</t>
        </is>
      </c>
      <c r="Y266" s="187" t="inlineStr">
        <is>
          <t>UNLIKELY</t>
        </is>
      </c>
      <c r="Z266" s="187" t="inlineStr">
        <is>
          <t>CHECK_VENDOR</t>
        </is>
      </c>
      <c r="AA266" s="187" t="inlineStr">
        <is>
          <t>https://nvd.nist.gov/vuln/detail/CVE-2026-27066</t>
        </is>
      </c>
      <c r="AB266" s="187" t="inlineStr">
        <is>
          <t>NONE</t>
        </is>
      </c>
      <c r="AC266" s="187" t="n">
        <v>0</v>
      </c>
      <c r="AD266" s="187" t="inlineStr"/>
    </row>
    <row r="267">
      <c r="A267" s="187" t="inlineStr">
        <is>
          <t>CVE</t>
        </is>
      </c>
      <c r="B267" s="187" t="inlineStr">
        <is>
          <t>CVE-2026-27069</t>
        </is>
      </c>
      <c r="C267" s="187" t="inlineStr">
        <is>
          <t>Improper Neutralization of Input During Web Page Generation ('Cross-site Scripting') vulnerability in PenciDesign Soledad soledad allows DOM-Based XSS.This issue affects Soledad: from n/a through &lt;= 8.7.2.</t>
        </is>
      </c>
      <c r="D267" s="187" t="n">
        <v>6.5</v>
      </c>
      <c r="E267" s="187" t="inlineStr">
        <is>
          <t>MEDIUM</t>
        </is>
      </c>
      <c r="F267" s="187" t="n">
        <v>2</v>
      </c>
      <c r="G267" s="187" t="n">
        <v>2</v>
      </c>
      <c r="H267" s="187" t="inlineStr">
        <is>
          <t>MEDIUM</t>
        </is>
      </c>
      <c r="I267" s="187" t="n">
        <v>10.5</v>
      </c>
      <c r="J267" s="187" t="inlineStr">
        <is>
          <t>NO</t>
        </is>
      </c>
      <c r="K267" s="187" t="inlineStr">
        <is>
          <t>https://nvd.nist.gov/vuln/detail/CVE-2026-27069</t>
        </is>
      </c>
      <c r="L267" s="187" t="inlineStr">
        <is>
          <t>2026-02-26 00:15</t>
        </is>
      </c>
      <c r="M267" s="187" t="inlineStr">
        <is>
          <t>CHECK_VENDOR</t>
        </is>
      </c>
      <c r="N267" s="187" t="inlineStr">
        <is>
          <t>See NVD references</t>
        </is>
      </c>
      <c r="O267" s="187" t="inlineStr">
        <is>
          <t>Apply vendor patches</t>
        </is>
      </c>
      <c r="P267" s="187" t="inlineStr">
        <is>
          <t>See CVE details</t>
        </is>
      </c>
      <c r="Q267" s="187" t="inlineStr">
        <is>
          <t>P4</t>
        </is>
      </c>
      <c r="R267" s="187" t="inlineStr">
        <is>
          <t>📅 Schedule patch deployment within 30 days | 🔍 Monitor for exploitation attempts</t>
        </is>
      </c>
      <c r="S267" s="187" t="inlineStr">
        <is>
          <t>CVE - IP enrichment n/a</t>
        </is>
      </c>
      <c r="T267" s="187" t="n">
        <v>0</v>
      </c>
      <c r="U267" s="187" t="n">
        <v>0</v>
      </c>
      <c r="V267" s="187" t="inlineStr">
        <is>
          <t>T1189:Drive-by Compromise</t>
        </is>
      </c>
      <c r="W267" s="187" t="n">
        <v>1</v>
      </c>
      <c r="X267" s="187" t="inlineStr">
        <is>
          <t>LOW (40%)</t>
        </is>
      </c>
      <c r="Y267" s="187" t="inlineStr">
        <is>
          <t>UNLIKELY</t>
        </is>
      </c>
      <c r="Z267" s="187" t="inlineStr">
        <is>
          <t>CHECK_VENDOR</t>
        </is>
      </c>
      <c r="AA267" s="187" t="inlineStr">
        <is>
          <t>https://nvd.nist.gov/vuln/detail/CVE-2026-27069</t>
        </is>
      </c>
      <c r="AB267" s="187" t="inlineStr">
        <is>
          <t>NONE</t>
        </is>
      </c>
      <c r="AC267" s="187" t="n">
        <v>0</v>
      </c>
      <c r="AD267" s="187" t="inlineStr"/>
    </row>
    <row r="268">
      <c r="A268" s="187" t="inlineStr">
        <is>
          <t>CVE</t>
        </is>
      </c>
      <c r="B268" s="187" t="inlineStr">
        <is>
          <t>CVE-2026-27074</t>
        </is>
      </c>
      <c r="C268" s="187" t="inlineStr">
        <is>
          <t>Improper Neutralization of Input During Web Page Generation ('Cross-site Scripting') vulnerability in vaakash Shortcoder shortcoder allows Stored XSS.This issue affects Shortcoder: from n/a through &lt;= 6.5.1.</t>
        </is>
      </c>
      <c r="D268" s="187" t="n">
        <v>5</v>
      </c>
      <c r="E268" s="187" t="inlineStr">
        <is>
          <t>MEDIUM</t>
        </is>
      </c>
      <c r="F268" s="187" t="n">
        <v>2</v>
      </c>
      <c r="G268" s="187" t="n">
        <v>2</v>
      </c>
      <c r="H268" s="187" t="inlineStr">
        <is>
          <t>MEDIUM</t>
        </is>
      </c>
      <c r="I268" s="187" t="n">
        <v>9</v>
      </c>
      <c r="J268" s="187" t="inlineStr">
        <is>
          <t>NO</t>
        </is>
      </c>
      <c r="K268" s="187" t="inlineStr">
        <is>
          <t>https://nvd.nist.gov/vuln/detail/CVE-2026-27074</t>
        </is>
      </c>
      <c r="L268" s="187" t="inlineStr">
        <is>
          <t>2026-02-26 00:15</t>
        </is>
      </c>
      <c r="M268" s="187" t="inlineStr">
        <is>
          <t>CHECK_VENDOR</t>
        </is>
      </c>
      <c r="N268" s="187" t="inlineStr">
        <is>
          <t>See NVD references</t>
        </is>
      </c>
      <c r="O268" s="187" t="inlineStr">
        <is>
          <t>Apply vendor patches</t>
        </is>
      </c>
      <c r="P268" s="187" t="inlineStr">
        <is>
          <t>See CVE details</t>
        </is>
      </c>
      <c r="Q268" s="187" t="inlineStr">
        <is>
          <t>P4</t>
        </is>
      </c>
      <c r="R268" s="187" t="inlineStr">
        <is>
          <t>📅 Schedule patch deployment within 30 days | 🔍 Monitor for exploitation attempts</t>
        </is>
      </c>
      <c r="S268" s="187" t="inlineStr">
        <is>
          <t>CVE - IP enrichment n/a</t>
        </is>
      </c>
      <c r="T268" s="187" t="n">
        <v>0</v>
      </c>
      <c r="U268" s="187" t="n">
        <v>0</v>
      </c>
      <c r="V268" s="187" t="inlineStr">
        <is>
          <t>T1189:Drive-by Compromise</t>
        </is>
      </c>
      <c r="W268" s="187" t="n">
        <v>1</v>
      </c>
      <c r="X268" s="187" t="inlineStr">
        <is>
          <t>LOW (40%)</t>
        </is>
      </c>
      <c r="Y268" s="187" t="inlineStr">
        <is>
          <t>UNLIKELY</t>
        </is>
      </c>
      <c r="Z268" s="187" t="inlineStr">
        <is>
          <t>CHECK_VENDOR</t>
        </is>
      </c>
      <c r="AA268" s="187" t="inlineStr">
        <is>
          <t>https://nvd.nist.gov/vuln/detail/CVE-2026-27074</t>
        </is>
      </c>
      <c r="AB268" s="187" t="inlineStr">
        <is>
          <t>NONE</t>
        </is>
      </c>
      <c r="AC268" s="187" t="n">
        <v>0</v>
      </c>
      <c r="AD268" s="187" t="inlineStr"/>
    </row>
    <row r="269">
      <c r="A269" s="187" t="inlineStr">
        <is>
          <t>CVE</t>
        </is>
      </c>
      <c r="B269" s="187" t="inlineStr">
        <is>
          <t>CVE-2026-27090</t>
        </is>
      </c>
      <c r="C269" s="187" t="inlineStr">
        <is>
          <t>Cross-Site Request Forgery (CSRF) vulnerability in WP Moose Kenta Companion kenta-companion allows Cross Site Request Forgery.This issue affects Kenta Companion: from n/a through &lt;= 1.3.3.</t>
        </is>
      </c>
      <c r="D269" s="187" t="n">
        <v>4.3</v>
      </c>
      <c r="E269" s="187" t="inlineStr">
        <is>
          <t>MEDIUM</t>
        </is>
      </c>
      <c r="F269" s="187" t="n">
        <v>2</v>
      </c>
      <c r="G269" s="187" t="n">
        <v>2</v>
      </c>
      <c r="H269" s="187" t="inlineStr">
        <is>
          <t>MEDIUM</t>
        </is>
      </c>
      <c r="I269" s="187" t="n">
        <v>8.300000000000001</v>
      </c>
      <c r="J269" s="187" t="inlineStr">
        <is>
          <t>NO</t>
        </is>
      </c>
      <c r="K269" s="187" t="inlineStr">
        <is>
          <t>https://nvd.nist.gov/vuln/detail/CVE-2026-27090</t>
        </is>
      </c>
      <c r="L269" s="187" t="inlineStr">
        <is>
          <t>2026-02-26 00:15</t>
        </is>
      </c>
      <c r="M269" s="187" t="inlineStr">
        <is>
          <t>CHECK_VENDOR</t>
        </is>
      </c>
      <c r="N269" s="187" t="inlineStr">
        <is>
          <t>See NVD references</t>
        </is>
      </c>
      <c r="O269" s="187" t="inlineStr">
        <is>
          <t>Apply vendor patches</t>
        </is>
      </c>
      <c r="P269" s="187" t="inlineStr">
        <is>
          <t>See CVE details</t>
        </is>
      </c>
      <c r="Q269" s="187" t="inlineStr">
        <is>
          <t>P4</t>
        </is>
      </c>
      <c r="R269" s="187" t="inlineStr">
        <is>
          <t>📅 Schedule patch deployment within 30 days | 🔍 Monitor for exploitation attempts</t>
        </is>
      </c>
      <c r="S269" s="187" t="inlineStr">
        <is>
          <t>CVE - IP enrichment n/a</t>
        </is>
      </c>
      <c r="T269" s="187" t="n">
        <v>0.0002</v>
      </c>
      <c r="U269" s="187" t="n">
        <v>0.0318</v>
      </c>
      <c r="V269" s="187" t="inlineStr">
        <is>
          <t>T1185:Browser Session Hijacking</t>
        </is>
      </c>
      <c r="W269" s="187" t="n">
        <v>1</v>
      </c>
      <c r="X269" s="187" t="inlineStr">
        <is>
          <t>LOW (40%)</t>
        </is>
      </c>
      <c r="Y269" s="187" t="inlineStr">
        <is>
          <t>UNLIKELY</t>
        </is>
      </c>
      <c r="Z269" s="187" t="inlineStr">
        <is>
          <t>CHECK_VENDOR</t>
        </is>
      </c>
      <c r="AA269" s="187" t="inlineStr">
        <is>
          <t>https://nvd.nist.gov/vuln/detail/CVE-2026-27090</t>
        </is>
      </c>
      <c r="AB269" s="187" t="inlineStr">
        <is>
          <t>NONE</t>
        </is>
      </c>
      <c r="AC269" s="187" t="n">
        <v>0</v>
      </c>
      <c r="AD269" s="187" t="inlineStr"/>
    </row>
    <row r="270">
      <c r="A270" s="187" t="inlineStr">
        <is>
          <t>CVE</t>
        </is>
      </c>
      <c r="B270" s="187" t="inlineStr">
        <is>
          <t>CVE-2026-27092</t>
        </is>
      </c>
      <c r="C270" s="187" t="inlineStr">
        <is>
          <t>Missing Authorization vulnerability in Greg Winiarski WPAdverts wpadverts allows Exploiting Incorrectly Configured Access Control Security Levels.This issue affects WPAdverts: from n/a through &lt;= 2.2.11.</t>
        </is>
      </c>
      <c r="D270" s="187" t="n">
        <v>6.5</v>
      </c>
      <c r="E270" s="187" t="inlineStr">
        <is>
          <t>MEDIUM</t>
        </is>
      </c>
      <c r="F270" s="187" t="n">
        <v>2</v>
      </c>
      <c r="G270" s="187" t="n">
        <v>2</v>
      </c>
      <c r="H270" s="187" t="inlineStr">
        <is>
          <t>MEDIUM</t>
        </is>
      </c>
      <c r="I270" s="187" t="n">
        <v>10.5</v>
      </c>
      <c r="J270" s="187" t="inlineStr">
        <is>
          <t>NO</t>
        </is>
      </c>
      <c r="K270" s="187" t="inlineStr">
        <is>
          <t>https://nvd.nist.gov/vuln/detail/CVE-2026-27092</t>
        </is>
      </c>
      <c r="L270" s="187" t="inlineStr">
        <is>
          <t>2026-02-26 00:15</t>
        </is>
      </c>
      <c r="M270" s="187" t="inlineStr">
        <is>
          <t>CHECK_VENDOR</t>
        </is>
      </c>
      <c r="N270" s="187" t="inlineStr">
        <is>
          <t>See NVD references</t>
        </is>
      </c>
      <c r="O270" s="187" t="inlineStr">
        <is>
          <t>Apply vendor patches</t>
        </is>
      </c>
      <c r="P270" s="187" t="inlineStr">
        <is>
          <t>See CVE details</t>
        </is>
      </c>
      <c r="Q270" s="187" t="inlineStr">
        <is>
          <t>P4</t>
        </is>
      </c>
      <c r="R270" s="187" t="inlineStr">
        <is>
          <t>📅 Schedule patch deployment within 30 days | 🔍 Monitor for exploitation attempts</t>
        </is>
      </c>
      <c r="S270" s="187" t="inlineStr">
        <is>
          <t>CVE - IP enrichment n/a</t>
        </is>
      </c>
      <c r="T270" s="187" t="n">
        <v>0</v>
      </c>
      <c r="U270" s="187" t="n">
        <v>0</v>
      </c>
      <c r="V270" s="187" t="inlineStr">
        <is>
          <t>T1190:Exploit Public-Facing Application</t>
        </is>
      </c>
      <c r="W270" s="187" t="n">
        <v>1</v>
      </c>
      <c r="X270" s="187" t="inlineStr">
        <is>
          <t>LOW (40%)</t>
        </is>
      </c>
      <c r="Y270" s="187" t="inlineStr">
        <is>
          <t>UNLIKELY</t>
        </is>
      </c>
      <c r="Z270" s="187" t="inlineStr">
        <is>
          <t>CHECK_VENDOR</t>
        </is>
      </c>
      <c r="AA270" s="187" t="inlineStr">
        <is>
          <t>https://nvd.nist.gov/vuln/detail/CVE-2026-27092</t>
        </is>
      </c>
      <c r="AB270" s="187" t="inlineStr">
        <is>
          <t>NONE</t>
        </is>
      </c>
      <c r="AC270" s="187" t="n">
        <v>0</v>
      </c>
      <c r="AD270" s="187" t="inlineStr"/>
    </row>
    <row r="271">
      <c r="A271" s="187" t="inlineStr">
        <is>
          <t>CVE</t>
        </is>
      </c>
      <c r="B271" s="187" t="inlineStr">
        <is>
          <t>CVE-2026-27094</t>
        </is>
      </c>
      <c r="C271" s="187" t="inlineStr">
        <is>
          <t>Improper Neutralization of Input During Web Page Generation ('Cross-site Scripting') vulnerability in GoDaddy CoBlocks coblocks allows Stored XSS.This issue affects CoBlocks: from n/a through &lt;= 3.1.16.</t>
        </is>
      </c>
      <c r="D271" s="187" t="n">
        <v>6.5</v>
      </c>
      <c r="E271" s="187" t="inlineStr">
        <is>
          <t>MEDIUM</t>
        </is>
      </c>
      <c r="F271" s="187" t="n">
        <v>2</v>
      </c>
      <c r="G271" s="187" t="n">
        <v>2</v>
      </c>
      <c r="H271" s="187" t="inlineStr">
        <is>
          <t>MEDIUM</t>
        </is>
      </c>
      <c r="I271" s="187" t="n">
        <v>10.5</v>
      </c>
      <c r="J271" s="187" t="inlineStr">
        <is>
          <t>NO</t>
        </is>
      </c>
      <c r="K271" s="187" t="inlineStr">
        <is>
          <t>https://nvd.nist.gov/vuln/detail/CVE-2026-27094</t>
        </is>
      </c>
      <c r="L271" s="187" t="inlineStr">
        <is>
          <t>2026-02-26 00:15</t>
        </is>
      </c>
      <c r="M271" s="187" t="inlineStr">
        <is>
          <t>CHECK_VENDOR</t>
        </is>
      </c>
      <c r="N271" s="187" t="inlineStr">
        <is>
          <t>See NVD references</t>
        </is>
      </c>
      <c r="O271" s="187" t="inlineStr">
        <is>
          <t>Apply vendor patches</t>
        </is>
      </c>
      <c r="P271" s="187" t="inlineStr">
        <is>
          <t>See CVE details</t>
        </is>
      </c>
      <c r="Q271" s="187" t="inlineStr">
        <is>
          <t>P4</t>
        </is>
      </c>
      <c r="R271" s="187" t="inlineStr">
        <is>
          <t>📅 Schedule patch deployment within 30 days | 🔍 Monitor for exploitation attempts</t>
        </is>
      </c>
      <c r="S271" s="187" t="inlineStr">
        <is>
          <t>CVE - IP enrichment n/a</t>
        </is>
      </c>
      <c r="T271" s="187" t="n">
        <v>0</v>
      </c>
      <c r="U271" s="187" t="n">
        <v>0</v>
      </c>
      <c r="V271" s="187" t="inlineStr">
        <is>
          <t>T1189:Drive-by Compromise</t>
        </is>
      </c>
      <c r="W271" s="187" t="n">
        <v>1</v>
      </c>
      <c r="X271" s="187" t="inlineStr">
        <is>
          <t>LOW (40%)</t>
        </is>
      </c>
      <c r="Y271" s="187" t="inlineStr">
        <is>
          <t>UNLIKELY</t>
        </is>
      </c>
      <c r="Z271" s="187" t="inlineStr">
        <is>
          <t>CHECK_VENDOR</t>
        </is>
      </c>
      <c r="AA271" s="187" t="inlineStr">
        <is>
          <t>https://nvd.nist.gov/vuln/detail/CVE-2026-27094</t>
        </is>
      </c>
      <c r="AB271" s="187" t="inlineStr">
        <is>
          <t>NONE</t>
        </is>
      </c>
      <c r="AC271" s="187" t="n">
        <v>0</v>
      </c>
      <c r="AD271" s="187" t="inlineStr"/>
    </row>
    <row r="272">
      <c r="A272" s="187" t="inlineStr">
        <is>
          <t>CVE</t>
        </is>
      </c>
      <c r="B272" s="187" t="inlineStr">
        <is>
          <t>CVE-2026-2735</t>
        </is>
      </c>
      <c r="C272" s="187" t="inlineStr">
        <is>
          <t>Stored Cross-Site Scripting (XSS) in Alkacon's OpenCms v18.0, which occurs when user input is not properly validated when sending a POST request to ‘/blog/new-article/org.opencms.ugc.CmsUgcEditService.gwt’ using the ‘text’ parameter.</t>
        </is>
      </c>
      <c r="D272" s="187" t="n">
        <v>5.4</v>
      </c>
      <c r="E272" s="187" t="inlineStr">
        <is>
          <t>MEDIUM</t>
        </is>
      </c>
      <c r="F272" s="187" t="n">
        <v>2</v>
      </c>
      <c r="G272" s="187" t="n">
        <v>2</v>
      </c>
      <c r="H272" s="187" t="inlineStr">
        <is>
          <t>MEDIUM</t>
        </is>
      </c>
      <c r="I272" s="187" t="n">
        <v>9.4</v>
      </c>
      <c r="J272" s="187" t="inlineStr">
        <is>
          <t>NO</t>
        </is>
      </c>
      <c r="K272" s="187" t="inlineStr">
        <is>
          <t>https://nvd.nist.gov/vuln/detail/CVE-2026-2735</t>
        </is>
      </c>
      <c r="L272" s="187" t="inlineStr">
        <is>
          <t>2026-02-26 00:15</t>
        </is>
      </c>
      <c r="M272" s="187" t="inlineStr">
        <is>
          <t>CHECK_VENDOR</t>
        </is>
      </c>
      <c r="N272" s="187" t="inlineStr">
        <is>
          <t>See NVD references</t>
        </is>
      </c>
      <c r="O272" s="187" t="inlineStr">
        <is>
          <t>Apply vendor patches</t>
        </is>
      </c>
      <c r="P272" s="187" t="inlineStr">
        <is>
          <t>alkacon opencms 18.0.0</t>
        </is>
      </c>
      <c r="Q272" s="187" t="inlineStr">
        <is>
          <t>P4</t>
        </is>
      </c>
      <c r="R272" s="187" t="inlineStr">
        <is>
          <t>📅 Schedule patch deployment within 30 days | 🔍 Monitor for exploitation attempts</t>
        </is>
      </c>
      <c r="S272" s="187" t="inlineStr">
        <is>
          <t>CVE - IP enrichment n/a</t>
        </is>
      </c>
      <c r="T272" s="187" t="n">
        <v>0</v>
      </c>
      <c r="U272" s="187" t="n">
        <v>0</v>
      </c>
      <c r="V272" s="187" t="inlineStr">
        <is>
          <t>T1189:Drive-by Compromise</t>
        </is>
      </c>
      <c r="W272" s="187" t="n">
        <v>1</v>
      </c>
      <c r="X272" s="187" t="inlineStr">
        <is>
          <t>LOW (40%)</t>
        </is>
      </c>
      <c r="Y272" s="187" t="inlineStr">
        <is>
          <t>UNLIKELY</t>
        </is>
      </c>
      <c r="Z272" s="187" t="inlineStr">
        <is>
          <t>CHECK_VENDOR</t>
        </is>
      </c>
      <c r="AA272" s="187" t="inlineStr">
        <is>
          <t>https://nvd.nist.gov/vuln/detail/CVE-2026-2735</t>
        </is>
      </c>
      <c r="AB272" s="187" t="inlineStr">
        <is>
          <t>NONE</t>
        </is>
      </c>
      <c r="AC272" s="187" t="n">
        <v>0</v>
      </c>
      <c r="AD272" s="187" t="inlineStr"/>
    </row>
    <row r="273">
      <c r="A273" s="187" t="inlineStr">
        <is>
          <t>CVE</t>
        </is>
      </c>
      <c r="B273" s="187" t="inlineStr">
        <is>
          <t>CVE-2026-2736</t>
        </is>
      </c>
      <c r="C273" s="187" t="inlineStr">
        <is>
          <t>Reflected Cross-site Scripting (XSS) in Alkacon's OpenCms v18.0, which allows an attacker to execute JavaScript code in the victim's browser by sending the victim a malicious URL containing the ‘q’ parameter in ‘/search/index.html’. This vulnerability can be exploited to steal sensitive user information such as session cookies, or to perform actions while impersonating the user.</t>
        </is>
      </c>
      <c r="D273" s="187" t="n">
        <v>6.1</v>
      </c>
      <c r="E273" s="187" t="inlineStr">
        <is>
          <t>MEDIUM</t>
        </is>
      </c>
      <c r="F273" s="187" t="n">
        <v>2</v>
      </c>
      <c r="G273" s="187" t="n">
        <v>2</v>
      </c>
      <c r="H273" s="187" t="inlineStr">
        <is>
          <t>MEDIUM</t>
        </is>
      </c>
      <c r="I273" s="187" t="n">
        <v>10.1</v>
      </c>
      <c r="J273" s="187" t="inlineStr">
        <is>
          <t>NO</t>
        </is>
      </c>
      <c r="K273" s="187" t="inlineStr">
        <is>
          <t>https://nvd.nist.gov/vuln/detail/CVE-2026-2736</t>
        </is>
      </c>
      <c r="L273" s="187" t="inlineStr">
        <is>
          <t>2026-02-26 00:15</t>
        </is>
      </c>
      <c r="M273" s="187" t="inlineStr">
        <is>
          <t>CHECK_VENDOR</t>
        </is>
      </c>
      <c r="N273" s="187" t="inlineStr">
        <is>
          <t>See NVD references</t>
        </is>
      </c>
      <c r="O273" s="187" t="inlineStr">
        <is>
          <t>Apply vendor patches</t>
        </is>
      </c>
      <c r="P273" s="187" t="inlineStr">
        <is>
          <t>alkacon opencms 18.0.0</t>
        </is>
      </c>
      <c r="Q273" s="187" t="inlineStr">
        <is>
          <t>P4</t>
        </is>
      </c>
      <c r="R273" s="187" t="inlineStr">
        <is>
          <t>📅 Schedule patch deployment within 30 days | 🔍 Monitor for exploitation attempts</t>
        </is>
      </c>
      <c r="S273" s="187" t="inlineStr">
        <is>
          <t>CVE - IP enrichment n/a</t>
        </is>
      </c>
      <c r="T273" s="187" t="n">
        <v>0</v>
      </c>
      <c r="U273" s="187" t="n">
        <v>0</v>
      </c>
      <c r="V273" s="187" t="inlineStr">
        <is>
          <t>T1189:Drive-by Compromise</t>
        </is>
      </c>
      <c r="W273" s="187" t="n">
        <v>1</v>
      </c>
      <c r="X273" s="187" t="inlineStr">
        <is>
          <t>LOW (40%)</t>
        </is>
      </c>
      <c r="Y273" s="187" t="inlineStr">
        <is>
          <t>UNLIKELY</t>
        </is>
      </c>
      <c r="Z273" s="187" t="inlineStr">
        <is>
          <t>CHECK_VENDOR</t>
        </is>
      </c>
      <c r="AA273" s="187" t="inlineStr">
        <is>
          <t>https://nvd.nist.gov/vuln/detail/CVE-2026-2736</t>
        </is>
      </c>
      <c r="AB273" s="187" t="inlineStr">
        <is>
          <t>NONE</t>
        </is>
      </c>
      <c r="AC273" s="187" t="n">
        <v>0</v>
      </c>
      <c r="AD273" s="187" t="inlineStr"/>
    </row>
    <row r="274">
      <c r="A274" s="189" t="inlineStr">
        <is>
          <t>CVE</t>
        </is>
      </c>
      <c r="B274" s="189" t="inlineStr">
        <is>
          <t>CVE-2025-12107</t>
        </is>
      </c>
      <c r="C274" s="189" t="inlineStr">
        <is>
          <t>Due to the use of a vulnerable third-party Velocity template engine, a malicious actor with admin privilege may inject and execute arbitrary template syntax within server-side templates. 
 Successful exploitation of this vulnerability could allow a malicious actor with admin privilege to inject and execute arbitrary template code on the server, potentially leading to remote code execution, data manipulation, or unauthorized access to sensitive information.</t>
        </is>
      </c>
      <c r="D274" s="189" t="n">
        <v>10</v>
      </c>
      <c r="E274" s="189" t="inlineStr">
        <is>
          <t>CRITICAL</t>
        </is>
      </c>
      <c r="F274" s="189" t="n">
        <v>2</v>
      </c>
      <c r="G274" s="189" t="n">
        <v>3</v>
      </c>
      <c r="H274" s="189" t="inlineStr">
        <is>
          <t>HIGH</t>
        </is>
      </c>
      <c r="I274" s="189" t="n">
        <v>16</v>
      </c>
      <c r="J274" s="189" t="inlineStr">
        <is>
          <t>NO</t>
        </is>
      </c>
      <c r="K274" s="189" t="inlineStr">
        <is>
          <t>https://nvd.nist.gov/vuln/detail/CVE-2025-12107</t>
        </is>
      </c>
      <c r="L274" s="189" t="inlineStr">
        <is>
          <t>2026-02-26 00:15</t>
        </is>
      </c>
      <c r="M274" s="189" t="inlineStr">
        <is>
          <t>YES</t>
        </is>
      </c>
      <c r="N274" s="189" t="inlineStr">
        <is>
          <t>https://security.docs.wso2.com/en/latest/security-announcements/security-advisories/2026/WSO2-2025-4517/</t>
        </is>
      </c>
      <c r="O274" s="189" t="inlineStr">
        <is>
          <t>Apply vendor patches</t>
        </is>
      </c>
      <c r="P274" s="189" t="inlineStr">
        <is>
          <t>wso2 identity_server 5.11.0</t>
        </is>
      </c>
      <c r="Q274" s="189" t="inlineStr">
        <is>
          <t>P3</t>
        </is>
      </c>
      <c r="R274" s="189" t="inlineStr">
        <is>
          <t>🚨 URGENT: Apply vendor patches immediately | 🔒 Isolate affected systems if patch unavailable | 🛡️ Enable additional monitoring/IDS rules</t>
        </is>
      </c>
      <c r="S274" s="189" t="inlineStr">
        <is>
          <t>CVE - IP enrichment n/a</t>
        </is>
      </c>
      <c r="T274" s="189" t="n">
        <v>0</v>
      </c>
      <c r="U274" s="189" t="n">
        <v>0</v>
      </c>
      <c r="V274" s="189" t="inlineStr">
        <is>
          <t>T1190:Exploit Public-Facing Application | T1210:Exploitation of Remote Services</t>
        </is>
      </c>
      <c r="W274" s="189" t="n">
        <v>1</v>
      </c>
      <c r="X274" s="189" t="inlineStr">
        <is>
          <t>LOW (40%)</t>
        </is>
      </c>
      <c r="Y274" s="189" t="inlineStr">
        <is>
          <t>UNLIKELY</t>
        </is>
      </c>
      <c r="Z274" s="189" t="inlineStr">
        <is>
          <t>PATCH_AVAILABLE</t>
        </is>
      </c>
      <c r="AA274" s="189" t="inlineStr">
        <is>
          <t>https://nvd.nist.gov/vuln/detail/CVE-2025-12107</t>
        </is>
      </c>
      <c r="AB274" s="189" t="inlineStr">
        <is>
          <t>NONE</t>
        </is>
      </c>
      <c r="AC274" s="189" t="n">
        <v>0</v>
      </c>
      <c r="AD274" s="189" t="inlineStr"/>
    </row>
    <row r="275">
      <c r="A275" s="189" t="inlineStr">
        <is>
          <t>CVE</t>
        </is>
      </c>
      <c r="B275" s="189" t="inlineStr">
        <is>
          <t>CVE-2025-13590</t>
        </is>
      </c>
      <c r="C275" s="189" t="inlineStr">
        <is>
          <t>A malicious actor with administrative privileges can upload an arbitrary file to a user-controlled location within the deployment via a system REST API. Successful uploads may lead to remote code execution. 
 By leveraging the vulnerability, a malicious actor may perform Remote Code Execution by uploading a specially crafted payload.</t>
        </is>
      </c>
      <c r="D275" s="189" t="n">
        <v>9.1</v>
      </c>
      <c r="E275" s="189" t="inlineStr">
        <is>
          <t>CRITICAL</t>
        </is>
      </c>
      <c r="F275" s="189" t="n">
        <v>2</v>
      </c>
      <c r="G275" s="189" t="n">
        <v>3</v>
      </c>
      <c r="H275" s="189" t="inlineStr">
        <is>
          <t>HIGH</t>
        </is>
      </c>
      <c r="I275" s="189" t="n">
        <v>15.1</v>
      </c>
      <c r="J275" s="189" t="inlineStr">
        <is>
          <t>NO</t>
        </is>
      </c>
      <c r="K275" s="189" t="inlineStr">
        <is>
          <t>https://nvd.nist.gov/vuln/detail/CVE-2025-13590</t>
        </is>
      </c>
      <c r="L275" s="189" t="inlineStr">
        <is>
          <t>2026-02-26 00:15</t>
        </is>
      </c>
      <c r="M275" s="189" t="inlineStr">
        <is>
          <t>YES</t>
        </is>
      </c>
      <c r="N275" s="189" t="inlineStr">
        <is>
          <t>https://security.docs.wso2.com/en/latest/security-announcements/security-advisories/2026/WSO2-2025-4849/</t>
        </is>
      </c>
      <c r="O275" s="189" t="inlineStr">
        <is>
          <t>Apply vendor patches</t>
        </is>
      </c>
      <c r="P275" s="189" t="inlineStr">
        <is>
          <t>wso2 api_control_plane 4.6.0 | wso2 api_control_plane 4.5.0 | wso2 api_manager 4.2.0</t>
        </is>
      </c>
      <c r="Q275" s="189" t="inlineStr">
        <is>
          <t>P3</t>
        </is>
      </c>
      <c r="R275" s="189" t="inlineStr">
        <is>
          <t>🚨 URGENT: Apply vendor patches immediately | 🔒 Isolate affected systems if patch unavailable | 🛡️ Enable additional monitoring/IDS rules</t>
        </is>
      </c>
      <c r="S275" s="189" t="inlineStr">
        <is>
          <t>CVE - IP enrichment n/a</t>
        </is>
      </c>
      <c r="T275" s="189" t="n">
        <v>0</v>
      </c>
      <c r="U275" s="189" t="n">
        <v>0</v>
      </c>
      <c r="V275" s="189" t="inlineStr">
        <is>
          <t>T1190:Exploit Public-Facing Application | T1210:Exploitation of Remote Services</t>
        </is>
      </c>
      <c r="W275" s="189" t="n">
        <v>1</v>
      </c>
      <c r="X275" s="189" t="inlineStr">
        <is>
          <t>LOW (40%)</t>
        </is>
      </c>
      <c r="Y275" s="189" t="inlineStr">
        <is>
          <t>UNLIKELY</t>
        </is>
      </c>
      <c r="Z275" s="189" t="inlineStr">
        <is>
          <t>PATCH_AVAILABLE</t>
        </is>
      </c>
      <c r="AA275" s="189" t="inlineStr">
        <is>
          <t>https://nvd.nist.gov/vuln/detail/CVE-2025-13590</t>
        </is>
      </c>
      <c r="AB275" s="189" t="inlineStr">
        <is>
          <t>NONE</t>
        </is>
      </c>
      <c r="AC275" s="189" t="n">
        <v>0</v>
      </c>
      <c r="AD275" s="189" t="inlineStr"/>
    </row>
    <row r="276">
      <c r="A276" s="187" t="inlineStr">
        <is>
          <t>CVE</t>
        </is>
      </c>
      <c r="B276" s="187" t="inlineStr">
        <is>
          <t>CVE-2026-1219</t>
        </is>
      </c>
      <c r="C276" s="187" t="inlineStr">
        <is>
          <t>The MP3 Audio Player – Music Player, Podcast Player &amp; Radio by Sonaar plugin for WordPress is vulnerable to Insecure Direct Object Reference in versions 4.0 to 5.10 via the 'load_track_note_ajax' due to missing validation on a user controlled key. This makes it possible for unauthenticated attackers to view the contents of private posts.</t>
        </is>
      </c>
      <c r="D276" s="187" t="n">
        <v>5.3</v>
      </c>
      <c r="E276" s="187" t="inlineStr">
        <is>
          <t>MEDIUM</t>
        </is>
      </c>
      <c r="F276" s="187" t="n">
        <v>2</v>
      </c>
      <c r="G276" s="187" t="n">
        <v>2</v>
      </c>
      <c r="H276" s="187" t="inlineStr">
        <is>
          <t>MEDIUM</t>
        </is>
      </c>
      <c r="I276" s="187" t="n">
        <v>9.300000000000001</v>
      </c>
      <c r="J276" s="187" t="inlineStr">
        <is>
          <t>NO</t>
        </is>
      </c>
      <c r="K276" s="187" t="inlineStr">
        <is>
          <t>https://nvd.nist.gov/vuln/detail/CVE-2026-1219</t>
        </is>
      </c>
      <c r="L276" s="187" t="inlineStr">
        <is>
          <t>2026-02-26 00:15</t>
        </is>
      </c>
      <c r="M276" s="187" t="inlineStr">
        <is>
          <t>CHECK_VENDOR</t>
        </is>
      </c>
      <c r="N276" s="187" t="inlineStr">
        <is>
          <t>See NVD references</t>
        </is>
      </c>
      <c r="O276" s="187" t="inlineStr">
        <is>
          <t>Apply vendor patches</t>
        </is>
      </c>
      <c r="P276" s="187" t="inlineStr">
        <is>
          <t>See CVE details</t>
        </is>
      </c>
      <c r="Q276" s="187" t="inlineStr">
        <is>
          <t>P4</t>
        </is>
      </c>
      <c r="R276" s="187" t="inlineStr">
        <is>
          <t>📅 Schedule patch deployment within 30 days | 🔍 Monitor for exploitation attempts</t>
        </is>
      </c>
      <c r="S276" s="187" t="inlineStr">
        <is>
          <t>CVE - IP enrichment n/a</t>
        </is>
      </c>
      <c r="T276" s="187" t="n">
        <v>0.0003</v>
      </c>
      <c r="U276" s="187" t="n">
        <v>0.0769</v>
      </c>
      <c r="V276" s="187" t="inlineStr">
        <is>
          <t>T1190:Exploit Public-Facing Application</t>
        </is>
      </c>
      <c r="W276" s="187" t="n">
        <v>1</v>
      </c>
      <c r="X276" s="187" t="inlineStr">
        <is>
          <t>LOW (40%)</t>
        </is>
      </c>
      <c r="Y276" s="187" t="inlineStr">
        <is>
          <t>UNLIKELY</t>
        </is>
      </c>
      <c r="Z276" s="187" t="inlineStr">
        <is>
          <t>CHECK_VENDOR</t>
        </is>
      </c>
      <c r="AA276" s="187" t="inlineStr">
        <is>
          <t>https://nvd.nist.gov/vuln/detail/CVE-2026-1219</t>
        </is>
      </c>
      <c r="AB276" s="187" t="inlineStr">
        <is>
          <t>NONE</t>
        </is>
      </c>
      <c r="AC276" s="187" t="n">
        <v>0</v>
      </c>
      <c r="AD276" s="187" t="inlineStr"/>
    </row>
    <row r="277">
      <c r="A277" s="187" t="inlineStr">
        <is>
          <t>CVE</t>
        </is>
      </c>
      <c r="B277" s="187" t="inlineStr">
        <is>
          <t>CVE-2026-1461</t>
        </is>
      </c>
      <c r="C277" s="187" t="inlineStr">
        <is>
          <t>The Simple Membership plugin for WordPress is vulnerable to Improper Handling of Missing Values in all versions up to, and including, 4.7.0 via the Stripe webhook handler. This is due to the plugin only validating webhook signatures when the stripe-webhook-signing-secret setting is configured, which is empty by default. This makes it possible for unauthenticated attackers to forge Stripe webhook events to manipulate membership subscriptions, including reactivating expired memberships without pay</t>
        </is>
      </c>
      <c r="D277" s="187" t="n">
        <v>6.5</v>
      </c>
      <c r="E277" s="187" t="inlineStr">
        <is>
          <t>MEDIUM</t>
        </is>
      </c>
      <c r="F277" s="187" t="n">
        <v>2</v>
      </c>
      <c r="G277" s="187" t="n">
        <v>2</v>
      </c>
      <c r="H277" s="187" t="inlineStr">
        <is>
          <t>MEDIUM</t>
        </is>
      </c>
      <c r="I277" s="187" t="n">
        <v>10.5</v>
      </c>
      <c r="J277" s="187" t="inlineStr">
        <is>
          <t>NO</t>
        </is>
      </c>
      <c r="K277" s="187" t="inlineStr">
        <is>
          <t>https://nvd.nist.gov/vuln/detail/CVE-2026-1461</t>
        </is>
      </c>
      <c r="L277" s="187" t="inlineStr">
        <is>
          <t>2026-02-26 00:15</t>
        </is>
      </c>
      <c r="M277" s="187" t="inlineStr">
        <is>
          <t>CHECK_VENDOR</t>
        </is>
      </c>
      <c r="N277" s="187" t="inlineStr">
        <is>
          <t>See NVD references</t>
        </is>
      </c>
      <c r="O277" s="187" t="inlineStr">
        <is>
          <t>Apply vendor patches</t>
        </is>
      </c>
      <c r="P277" s="187" t="inlineStr">
        <is>
          <t>See CVE details</t>
        </is>
      </c>
      <c r="Q277" s="187" t="inlineStr">
        <is>
          <t>P4</t>
        </is>
      </c>
      <c r="R277" s="187" t="inlineStr">
        <is>
          <t>📅 Schedule patch deployment within 30 days | 🔍 Monitor for exploitation attempts</t>
        </is>
      </c>
      <c r="S277" s="187" t="inlineStr">
        <is>
          <t>CVE - IP enrichment n/a</t>
        </is>
      </c>
      <c r="T277" s="187" t="n">
        <v>0.0005</v>
      </c>
      <c r="U277" s="187" t="n">
        <v>0.1617</v>
      </c>
      <c r="V277" s="187" t="inlineStr">
        <is>
          <t>T1190:Exploit Public-Facing Application</t>
        </is>
      </c>
      <c r="W277" s="187" t="n">
        <v>1</v>
      </c>
      <c r="X277" s="187" t="inlineStr">
        <is>
          <t>LOW (40%)</t>
        </is>
      </c>
      <c r="Y277" s="187" t="inlineStr">
        <is>
          <t>UNLIKELY</t>
        </is>
      </c>
      <c r="Z277" s="187" t="inlineStr">
        <is>
          <t>CHECK_VENDOR</t>
        </is>
      </c>
      <c r="AA277" s="187" t="inlineStr">
        <is>
          <t>https://nvd.nist.gov/vuln/detail/CVE-2026-1461</t>
        </is>
      </c>
      <c r="AB277" s="187" t="inlineStr">
        <is>
          <t>NONE</t>
        </is>
      </c>
      <c r="AC277" s="187" t="n">
        <v>0</v>
      </c>
      <c r="AD277" s="187" t="inlineStr"/>
    </row>
    <row r="278">
      <c r="A278" s="187" t="inlineStr">
        <is>
          <t>CVE</t>
        </is>
      </c>
      <c r="B278" s="187" t="inlineStr">
        <is>
          <t>CVE-2026-22266</t>
        </is>
      </c>
      <c r="C278" s="187" t="inlineStr">
        <is>
          <t>Dell PowerProtect Data Manager, version(s) prior to 19.22, contain(s) an Improper Verification of Source of a Communication Channel vulnerability in the REST API. A high privileged attacker with remote access could potentially exploit this vulnerability, leading to protection mechanism bypass.</t>
        </is>
      </c>
      <c r="D278" s="187" t="n">
        <v>4.7</v>
      </c>
      <c r="E278" s="187" t="inlineStr">
        <is>
          <t>MEDIUM</t>
        </is>
      </c>
      <c r="F278" s="187" t="n">
        <v>2</v>
      </c>
      <c r="G278" s="187" t="n">
        <v>2</v>
      </c>
      <c r="H278" s="187" t="inlineStr">
        <is>
          <t>MEDIUM</t>
        </is>
      </c>
      <c r="I278" s="187" t="n">
        <v>8.699999999999999</v>
      </c>
      <c r="J278" s="187" t="inlineStr">
        <is>
          <t>NO</t>
        </is>
      </c>
      <c r="K278" s="187" t="inlineStr">
        <is>
          <t>https://nvd.nist.gov/vuln/detail/CVE-2026-22266</t>
        </is>
      </c>
      <c r="L278" s="187" t="inlineStr">
        <is>
          <t>2026-02-26 00:15</t>
        </is>
      </c>
      <c r="M278" s="187" t="inlineStr">
        <is>
          <t>YES</t>
        </is>
      </c>
      <c r="N278" s="187" t="inlineStr">
        <is>
          <t>https://www.dell.com/support/kbdoc/en-us/000429778/dsa-2026-046-security-update-for-dell-powerprotect-data-manager-multiple-vulnerabilities</t>
        </is>
      </c>
      <c r="O278" s="187" t="inlineStr">
        <is>
          <t>Apply vendor patches</t>
        </is>
      </c>
      <c r="P278" s="187" t="inlineStr">
        <is>
          <t>dell powerprotect_data_manager *</t>
        </is>
      </c>
      <c r="Q278" s="187" t="inlineStr">
        <is>
          <t>P4</t>
        </is>
      </c>
      <c r="R278" s="187" t="inlineStr">
        <is>
          <t>📅 Schedule patch deployment within 30 days | 🔍 Monitor for exploitation attempts</t>
        </is>
      </c>
      <c r="S278" s="187" t="inlineStr">
        <is>
          <t>CVE - IP enrichment n/a</t>
        </is>
      </c>
      <c r="T278" s="187" t="n">
        <v>0.0002</v>
      </c>
      <c r="U278" s="187" t="n">
        <v>0.0335</v>
      </c>
      <c r="V278" s="187" t="inlineStr">
        <is>
          <t>T1190:Exploit Public-Facing Application</t>
        </is>
      </c>
      <c r="W278" s="187" t="n">
        <v>1</v>
      </c>
      <c r="X278" s="187" t="inlineStr">
        <is>
          <t>LOW (40%)</t>
        </is>
      </c>
      <c r="Y278" s="187" t="inlineStr">
        <is>
          <t>UNLIKELY</t>
        </is>
      </c>
      <c r="Z278" s="187" t="inlineStr">
        <is>
          <t>PATCH_AVAILABLE</t>
        </is>
      </c>
      <c r="AA278" s="187" t="inlineStr">
        <is>
          <t>https://nvd.nist.gov/vuln/detail/CVE-2026-22266</t>
        </is>
      </c>
      <c r="AB278" s="187" t="inlineStr">
        <is>
          <t>NONE</t>
        </is>
      </c>
      <c r="AC278" s="187" t="n">
        <v>0</v>
      </c>
      <c r="AD278" s="187" t="inlineStr"/>
    </row>
    <row r="279">
      <c r="A279" s="188" t="inlineStr">
        <is>
          <t>CVE</t>
        </is>
      </c>
      <c r="B279" s="188" t="inlineStr">
        <is>
          <t>CVE-2026-22267</t>
        </is>
      </c>
      <c r="C279" s="188" t="inlineStr">
        <is>
          <t>Dell PowerProtect Data Manager, version(s) prior to 19.22, contain(s) an Incorrect Privilege Assignment vulnerability. A low privileged attacker with remote access could potentially exploit this vulnerability, leading to Elevation of privileges.</t>
        </is>
      </c>
      <c r="D279" s="188" t="n">
        <v>8.1</v>
      </c>
      <c r="E279" s="188" t="inlineStr">
        <is>
          <t>HIGH</t>
        </is>
      </c>
      <c r="F279" s="188" t="n">
        <v>2</v>
      </c>
      <c r="G279" s="188" t="n">
        <v>3</v>
      </c>
      <c r="H279" s="188" t="inlineStr">
        <is>
          <t>HIGH</t>
        </is>
      </c>
      <c r="I279" s="188" t="n">
        <v>14.1</v>
      </c>
      <c r="J279" s="188" t="inlineStr">
        <is>
          <t>NO</t>
        </is>
      </c>
      <c r="K279" s="188" t="inlineStr">
        <is>
          <t>https://nvd.nist.gov/vuln/detail/CVE-2026-22267</t>
        </is>
      </c>
      <c r="L279" s="188" t="inlineStr">
        <is>
          <t>2026-02-26 00:15</t>
        </is>
      </c>
      <c r="M279" s="188" t="inlineStr">
        <is>
          <t>YES</t>
        </is>
      </c>
      <c r="N279" s="188" t="inlineStr">
        <is>
          <t>https://www.dell.com/support/kbdoc/en-us/000429778/dsa-2026-046-security-update-for-dell-powerprotect-data-manager-multiple-vulnerabilities</t>
        </is>
      </c>
      <c r="O279" s="188" t="inlineStr">
        <is>
          <t>Apply vendor patches</t>
        </is>
      </c>
      <c r="P279" s="188" t="inlineStr">
        <is>
          <t>dell powerprotect_data_manager *</t>
        </is>
      </c>
      <c r="Q279" s="188" t="inlineStr">
        <is>
          <t>P3</t>
        </is>
      </c>
      <c r="R279" s="188" t="inlineStr">
        <is>
          <t>🚨 URGENT: Apply vendor patches immediately | 🔒 Isolate affected systems if patch unavailable | 🛡️ Enable additional monitoring/IDS rules</t>
        </is>
      </c>
      <c r="S279" s="188" t="inlineStr">
        <is>
          <t>CVE - IP enrichment n/a</t>
        </is>
      </c>
      <c r="T279" s="188" t="n">
        <v>0</v>
      </c>
      <c r="U279" s="188" t="n">
        <v>0</v>
      </c>
      <c r="V279" s="188" t="inlineStr">
        <is>
          <t>T1190:Exploit Public-Facing Application</t>
        </is>
      </c>
      <c r="W279" s="188" t="n">
        <v>1</v>
      </c>
      <c r="X279" s="188" t="inlineStr">
        <is>
          <t>LOW (40%)</t>
        </is>
      </c>
      <c r="Y279" s="188" t="inlineStr">
        <is>
          <t>UNLIKELY</t>
        </is>
      </c>
      <c r="Z279" s="188" t="inlineStr">
        <is>
          <t>PATCH_AVAILABLE</t>
        </is>
      </c>
      <c r="AA279" s="188" t="inlineStr">
        <is>
          <t>https://nvd.nist.gov/vuln/detail/CVE-2026-22267</t>
        </is>
      </c>
      <c r="AB279" s="188" t="inlineStr">
        <is>
          <t>NONE</t>
        </is>
      </c>
      <c r="AC279" s="188" t="n">
        <v>0</v>
      </c>
      <c r="AD279" s="188" t="inlineStr"/>
    </row>
    <row r="280">
      <c r="A280" s="187" t="inlineStr">
        <is>
          <t>CVE</t>
        </is>
      </c>
      <c r="B280" s="187" t="inlineStr">
        <is>
          <t>CVE-2026-22268</t>
        </is>
      </c>
      <c r="C280" s="187" t="inlineStr">
        <is>
          <t>Dell PowerProtect Data Manager, version(s) prior to 19.22, contain(s) an Incorrect Privilege Assignment vulnerability. A low privileged attacker with remote access could potentially exploit this vulnerability, leading to denial of service of a Dell Enterprise Support connection.</t>
        </is>
      </c>
      <c r="D280" s="187" t="n">
        <v>6.3</v>
      </c>
      <c r="E280" s="187" t="inlineStr">
        <is>
          <t>MEDIUM</t>
        </is>
      </c>
      <c r="F280" s="187" t="n">
        <v>2</v>
      </c>
      <c r="G280" s="187" t="n">
        <v>2</v>
      </c>
      <c r="H280" s="187" t="inlineStr">
        <is>
          <t>MEDIUM</t>
        </is>
      </c>
      <c r="I280" s="187" t="n">
        <v>10.3</v>
      </c>
      <c r="J280" s="187" t="inlineStr">
        <is>
          <t>NO</t>
        </is>
      </c>
      <c r="K280" s="187" t="inlineStr">
        <is>
          <t>https://nvd.nist.gov/vuln/detail/CVE-2026-22268</t>
        </is>
      </c>
      <c r="L280" s="187" t="inlineStr">
        <is>
          <t>2026-02-26 00:15</t>
        </is>
      </c>
      <c r="M280" s="187" t="inlineStr">
        <is>
          <t>YES</t>
        </is>
      </c>
      <c r="N280" s="187" t="inlineStr">
        <is>
          <t>https://www.dell.com/support/kbdoc/en-us/000429778/dsa-2026-046-security-update-for-dell-powerprotect-data-manager-multiple-vulnerabilities</t>
        </is>
      </c>
      <c r="O280" s="187" t="inlineStr">
        <is>
          <t>Apply vendor patches</t>
        </is>
      </c>
      <c r="P280" s="187" t="inlineStr">
        <is>
          <t>dell powerprotect_data_manager *</t>
        </is>
      </c>
      <c r="Q280" s="187" t="inlineStr">
        <is>
          <t>P4</t>
        </is>
      </c>
      <c r="R280" s="187" t="inlineStr">
        <is>
          <t>📅 Schedule patch deployment within 30 days | 🔍 Monitor for exploitation attempts</t>
        </is>
      </c>
      <c r="S280" s="187" t="inlineStr">
        <is>
          <t>CVE - IP enrichment n/a</t>
        </is>
      </c>
      <c r="T280" s="187" t="n">
        <v>0.0001</v>
      </c>
      <c r="U280" s="187" t="n">
        <v>0.0131</v>
      </c>
      <c r="V280" s="187" t="inlineStr">
        <is>
          <t>T1499:Endpoint Denial of Service</t>
        </is>
      </c>
      <c r="W280" s="187" t="n">
        <v>1</v>
      </c>
      <c r="X280" s="187" t="inlineStr">
        <is>
          <t>LOW (40%)</t>
        </is>
      </c>
      <c r="Y280" s="187" t="inlineStr">
        <is>
          <t>UNLIKELY</t>
        </is>
      </c>
      <c r="Z280" s="187" t="inlineStr">
        <is>
          <t>PATCH_AVAILABLE</t>
        </is>
      </c>
      <c r="AA280" s="187" t="inlineStr">
        <is>
          <t>https://nvd.nist.gov/vuln/detail/CVE-2026-22268</t>
        </is>
      </c>
      <c r="AB280" s="187" t="inlineStr">
        <is>
          <t>NONE</t>
        </is>
      </c>
      <c r="AC280" s="187" t="n">
        <v>0</v>
      </c>
      <c r="AD280" s="187" t="inlineStr"/>
    </row>
    <row r="281">
      <c r="A281" s="187" t="inlineStr">
        <is>
          <t>CVE</t>
        </is>
      </c>
      <c r="B281" s="187" t="inlineStr">
        <is>
          <t>CVE-2026-2716</t>
        </is>
      </c>
      <c r="C281" s="187" t="inlineStr">
        <is>
          <t>The Client Testimonial Slider plugin for WordPress is vulnerable to Stored Cross-Site Scripting via the 'Testimonial Heading' setting in all versions up to, and including, 2.0. This is due to insufficient input sanitization and output escaping. This makes it possible for authenticated attackers, with Administrator-level access and above, to inject arbitrary web scripts in pages that will execute whenever a user accesses an injected page. This only affects multi-site installations and installatio</t>
        </is>
      </c>
      <c r="D281" s="187" t="n">
        <v>4.4</v>
      </c>
      <c r="E281" s="187" t="inlineStr">
        <is>
          <t>MEDIUM</t>
        </is>
      </c>
      <c r="F281" s="187" t="n">
        <v>2</v>
      </c>
      <c r="G281" s="187" t="n">
        <v>2</v>
      </c>
      <c r="H281" s="187" t="inlineStr">
        <is>
          <t>MEDIUM</t>
        </is>
      </c>
      <c r="I281" s="187" t="n">
        <v>8.4</v>
      </c>
      <c r="J281" s="187" t="inlineStr">
        <is>
          <t>NO</t>
        </is>
      </c>
      <c r="K281" s="187" t="inlineStr">
        <is>
          <t>https://nvd.nist.gov/vuln/detail/CVE-2026-2716</t>
        </is>
      </c>
      <c r="L281" s="187" t="inlineStr">
        <is>
          <t>2026-02-26 00:15</t>
        </is>
      </c>
      <c r="M281" s="187" t="inlineStr">
        <is>
          <t>CHECK_VENDOR</t>
        </is>
      </c>
      <c r="N281" s="187" t="inlineStr">
        <is>
          <t>See NVD references</t>
        </is>
      </c>
      <c r="O281" s="187" t="inlineStr">
        <is>
          <t>Apply vendor patches</t>
        </is>
      </c>
      <c r="P281" s="187" t="inlineStr">
        <is>
          <t>See CVE details</t>
        </is>
      </c>
      <c r="Q281" s="187" t="inlineStr">
        <is>
          <t>P4</t>
        </is>
      </c>
      <c r="R281" s="187" t="inlineStr">
        <is>
          <t>📅 Schedule patch deployment within 30 days | 🔍 Monitor for exploitation attempts</t>
        </is>
      </c>
      <c r="S281" s="187" t="inlineStr">
        <is>
          <t>CVE - IP enrichment n/a</t>
        </is>
      </c>
      <c r="T281" s="187" t="n">
        <v>0</v>
      </c>
      <c r="U281" s="187" t="n">
        <v>0</v>
      </c>
      <c r="V281" s="187" t="inlineStr">
        <is>
          <t>T1189:Drive-by Compromise</t>
        </is>
      </c>
      <c r="W281" s="187" t="n">
        <v>1</v>
      </c>
      <c r="X281" s="187" t="inlineStr">
        <is>
          <t>LOW (40%)</t>
        </is>
      </c>
      <c r="Y281" s="187" t="inlineStr">
        <is>
          <t>UNLIKELY</t>
        </is>
      </c>
      <c r="Z281" s="187" t="inlineStr">
        <is>
          <t>CHECK_VENDOR</t>
        </is>
      </c>
      <c r="AA281" s="187" t="inlineStr">
        <is>
          <t>https://nvd.nist.gov/vuln/detail/CVE-2026-2716</t>
        </is>
      </c>
      <c r="AB281" s="187" t="inlineStr">
        <is>
          <t>NONE</t>
        </is>
      </c>
      <c r="AC281" s="187" t="n">
        <v>0</v>
      </c>
      <c r="AD281" s="187" t="inlineStr"/>
    </row>
    <row r="282">
      <c r="A282" s="187" t="inlineStr">
        <is>
          <t>CVE</t>
        </is>
      </c>
      <c r="B282" s="187" t="inlineStr">
        <is>
          <t>CVE-2026-2718</t>
        </is>
      </c>
      <c r="C282" s="187" t="inlineStr">
        <is>
          <t>The Dealia – Request a Quote plugin for WordPress is vulnerable to Stored Cross-Site Scripting via Gutenberg block attributes in all versions up to, and including, 1.0.6. This is due to the use of `wp_kses()` for output escaping within HTML attribute contexts where `esc_attr()` is required. This makes it possible for authenticated attackers, with Contributor-level access and above, to inject arbitrary web scripts in pages that will execute whenever a user accesses an injected page.</t>
        </is>
      </c>
      <c r="D282" s="187" t="n">
        <v>6.4</v>
      </c>
      <c r="E282" s="187" t="inlineStr">
        <is>
          <t>MEDIUM</t>
        </is>
      </c>
      <c r="F282" s="187" t="n">
        <v>2</v>
      </c>
      <c r="G282" s="187" t="n">
        <v>2</v>
      </c>
      <c r="H282" s="187" t="inlineStr">
        <is>
          <t>MEDIUM</t>
        </is>
      </c>
      <c r="I282" s="187" t="n">
        <v>10.4</v>
      </c>
      <c r="J282" s="187" t="inlineStr">
        <is>
          <t>NO</t>
        </is>
      </c>
      <c r="K282" s="187" t="inlineStr">
        <is>
          <t>https://nvd.nist.gov/vuln/detail/CVE-2026-2718</t>
        </is>
      </c>
      <c r="L282" s="187" t="inlineStr">
        <is>
          <t>2026-02-26 00:15</t>
        </is>
      </c>
      <c r="M282" s="187" t="inlineStr">
        <is>
          <t>CHECK_VENDOR</t>
        </is>
      </c>
      <c r="N282" s="187" t="inlineStr">
        <is>
          <t>See NVD references</t>
        </is>
      </c>
      <c r="O282" s="187" t="inlineStr">
        <is>
          <t>Apply vendor patches</t>
        </is>
      </c>
      <c r="P282" s="187" t="inlineStr">
        <is>
          <t>See CVE details</t>
        </is>
      </c>
      <c r="Q282" s="187" t="inlineStr">
        <is>
          <t>P4</t>
        </is>
      </c>
      <c r="R282" s="187" t="inlineStr">
        <is>
          <t>📅 Schedule patch deployment within 30 days | 🔍 Monitor for exploitation attempts</t>
        </is>
      </c>
      <c r="S282" s="187" t="inlineStr">
        <is>
          <t>CVE - IP enrichment n/a</t>
        </is>
      </c>
      <c r="T282" s="187" t="n">
        <v>0.0004</v>
      </c>
      <c r="U282" s="187" t="n">
        <v>0.1062</v>
      </c>
      <c r="V282" s="187" t="inlineStr">
        <is>
          <t>T1189:Drive-by Compromise</t>
        </is>
      </c>
      <c r="W282" s="187" t="n">
        <v>1</v>
      </c>
      <c r="X282" s="187" t="inlineStr">
        <is>
          <t>LOW (40%)</t>
        </is>
      </c>
      <c r="Y282" s="187" t="inlineStr">
        <is>
          <t>UNLIKELY</t>
        </is>
      </c>
      <c r="Z282" s="187" t="inlineStr">
        <is>
          <t>CHECK_VENDOR</t>
        </is>
      </c>
      <c r="AA282" s="187" t="inlineStr">
        <is>
          <t>https://nvd.nist.gov/vuln/detail/CVE-2026-2718</t>
        </is>
      </c>
      <c r="AB282" s="187" t="inlineStr">
        <is>
          <t>NONE</t>
        </is>
      </c>
      <c r="AC282" s="187" t="n">
        <v>0</v>
      </c>
      <c r="AD282" s="187" t="inlineStr"/>
    </row>
    <row r="283">
      <c r="A283" s="189" t="inlineStr">
        <is>
          <t>CVE</t>
        </is>
      </c>
      <c r="B283" s="189" t="inlineStr">
        <is>
          <t>CVE-2025-15559</t>
        </is>
      </c>
      <c r="C283" s="189" t="inlineStr">
        <is>
          <t>An unauthenticated attacker can inject OS commands when calling a server API endpoint in NesterSoft WorkTime. The server API call to generate and download the WorkTime client from the WorkTime server is vulnerable in the “guid” parameter. This allows an attacker to execute arbitrary commands on the WorkTime server as NT Authority\SYSTEM with the highest privileges. Attackers are able to access or manipulate sensitive data and take over the whole server.</t>
        </is>
      </c>
      <c r="D283" s="189" t="n">
        <v>9.800000000000001</v>
      </c>
      <c r="E283" s="189" t="inlineStr">
        <is>
          <t>CRITICAL</t>
        </is>
      </c>
      <c r="F283" s="189" t="n">
        <v>2</v>
      </c>
      <c r="G283" s="189" t="n">
        <v>3</v>
      </c>
      <c r="H283" s="189" t="inlineStr">
        <is>
          <t>HIGH</t>
        </is>
      </c>
      <c r="I283" s="189" t="n">
        <v>15.8</v>
      </c>
      <c r="J283" s="189" t="inlineStr">
        <is>
          <t>NO</t>
        </is>
      </c>
      <c r="K283" s="189" t="inlineStr">
        <is>
          <t>https://nvd.nist.gov/vuln/detail/CVE-2025-15559</t>
        </is>
      </c>
      <c r="L283" s="189" t="inlineStr">
        <is>
          <t>2026-02-26 00:15</t>
        </is>
      </c>
      <c r="M283" s="189" t="inlineStr">
        <is>
          <t>CHECK_VENDOR</t>
        </is>
      </c>
      <c r="N283" s="189" t="inlineStr">
        <is>
          <t>See NVD references</t>
        </is>
      </c>
      <c r="O283" s="189" t="inlineStr">
        <is>
          <t>Apply vendor patches</t>
        </is>
      </c>
      <c r="P283" s="189" t="inlineStr">
        <is>
          <t>See CVE details</t>
        </is>
      </c>
      <c r="Q283" s="189" t="inlineStr">
        <is>
          <t>P3</t>
        </is>
      </c>
      <c r="R283" s="189" t="inlineStr">
        <is>
          <t>🚨 URGENT: Apply vendor patches immediately | 🔒 Isolate affected systems if patch unavailable | 🛡️ Enable additional monitoring/IDS rules</t>
        </is>
      </c>
      <c r="S283" s="189" t="inlineStr">
        <is>
          <t>CVE - IP enrichment n/a</t>
        </is>
      </c>
      <c r="T283" s="189" t="n">
        <v>0</v>
      </c>
      <c r="U283" s="189" t="n">
        <v>0</v>
      </c>
      <c r="V283" s="189" t="inlineStr">
        <is>
          <t>T1059:Command and Scripting Interpreter</t>
        </is>
      </c>
      <c r="W283" s="189" t="n">
        <v>1</v>
      </c>
      <c r="X283" s="189" t="inlineStr">
        <is>
          <t>LOW (40%)</t>
        </is>
      </c>
      <c r="Y283" s="189" t="inlineStr">
        <is>
          <t>UNLIKELY</t>
        </is>
      </c>
      <c r="Z283" s="189" t="inlineStr">
        <is>
          <t>CHECK_VENDOR</t>
        </is>
      </c>
      <c r="AA283" s="189" t="inlineStr">
        <is>
          <t>https://nvd.nist.gov/vuln/detail/CVE-2025-15559</t>
        </is>
      </c>
      <c r="AB283" s="189" t="inlineStr">
        <is>
          <t>NONE</t>
        </is>
      </c>
      <c r="AC283" s="189" t="n">
        <v>0</v>
      </c>
      <c r="AD283" s="189" t="inlineStr"/>
    </row>
    <row r="284">
      <c r="A284" s="188" t="inlineStr">
        <is>
          <t>CVE</t>
        </is>
      </c>
      <c r="B284" s="188" t="inlineStr">
        <is>
          <t>CVE-2025-15560</t>
        </is>
      </c>
      <c r="C284" s="188" t="inlineStr">
        <is>
          <t>An authenticated attacker with minimal permissions can exploit a SQL injection in the WorkTime server "widget" API endpoint to inject SQL queries. If the Firebird backend is used, attackers are able to retrieve all data from the database backend. If the MSSQL backend is used the attacker can execute arbitrary SQL statements on the database backend and gain access to sensitive data.</t>
        </is>
      </c>
      <c r="D284" s="188" t="n">
        <v>8.800000000000001</v>
      </c>
      <c r="E284" s="188" t="inlineStr">
        <is>
          <t>HIGH</t>
        </is>
      </c>
      <c r="F284" s="188" t="n">
        <v>2</v>
      </c>
      <c r="G284" s="188" t="n">
        <v>3</v>
      </c>
      <c r="H284" s="188" t="inlineStr">
        <is>
          <t>HIGH</t>
        </is>
      </c>
      <c r="I284" s="188" t="n">
        <v>14.8</v>
      </c>
      <c r="J284" s="188" t="inlineStr">
        <is>
          <t>NO</t>
        </is>
      </c>
      <c r="K284" s="188" t="inlineStr">
        <is>
          <t>https://nvd.nist.gov/vuln/detail/CVE-2025-15560</t>
        </is>
      </c>
      <c r="L284" s="188" t="inlineStr">
        <is>
          <t>2026-02-26 00:15</t>
        </is>
      </c>
      <c r="M284" s="188" t="inlineStr">
        <is>
          <t>CHECK_VENDOR</t>
        </is>
      </c>
      <c r="N284" s="188" t="inlineStr">
        <is>
          <t>See NVD references</t>
        </is>
      </c>
      <c r="O284" s="188" t="inlineStr">
        <is>
          <t>Apply vendor patches</t>
        </is>
      </c>
      <c r="P284" s="188" t="inlineStr">
        <is>
          <t>See CVE details</t>
        </is>
      </c>
      <c r="Q284" s="188" t="inlineStr">
        <is>
          <t>P3</t>
        </is>
      </c>
      <c r="R284" s="188" t="inlineStr">
        <is>
          <t>🚨 URGENT: Apply vendor patches immediately | 🔒 Isolate affected systems if patch unavailable | 🛡️ Enable additional monitoring/IDS rules</t>
        </is>
      </c>
      <c r="S284" s="188" t="inlineStr">
        <is>
          <t>CVE - IP enrichment n/a</t>
        </is>
      </c>
      <c r="T284" s="188" t="n">
        <v>0</v>
      </c>
      <c r="U284" s="188" t="n">
        <v>0</v>
      </c>
      <c r="V284" s="188" t="inlineStr">
        <is>
          <t>T1190:Exploit Public-Facing Application</t>
        </is>
      </c>
      <c r="W284" s="188" t="n">
        <v>1</v>
      </c>
      <c r="X284" s="188" t="inlineStr">
        <is>
          <t>LOW (40%)</t>
        </is>
      </c>
      <c r="Y284" s="188" t="inlineStr">
        <is>
          <t>UNLIKELY</t>
        </is>
      </c>
      <c r="Z284" s="188" t="inlineStr">
        <is>
          <t>CHECK_VENDOR</t>
        </is>
      </c>
      <c r="AA284" s="188" t="inlineStr">
        <is>
          <t>https://nvd.nist.gov/vuln/detail/CVE-2025-15560</t>
        </is>
      </c>
      <c r="AB284" s="188" t="inlineStr">
        <is>
          <t>NONE</t>
        </is>
      </c>
      <c r="AC284" s="188" t="n">
        <v>0</v>
      </c>
      <c r="AD284" s="188" t="inlineStr"/>
    </row>
    <row r="285">
      <c r="A285" s="188" t="inlineStr">
        <is>
          <t>CVE</t>
        </is>
      </c>
      <c r="B285" s="188" t="inlineStr">
        <is>
          <t>CVE-2025-15561</t>
        </is>
      </c>
      <c r="C285" s="188" t="inlineStr">
        <is>
          <t>An attacker can exploit the update behavior of the WorkTime monitoring daemon to elevate privileges on the local system to NT Authority\SYSTEM. A malicious executable must be named  WTWatch.exe and dropped in the C:\ProgramData\wta\ClientExe directory, which is writable by "Everyone". The executable will then be run by the WorkTime monitoring daemon.</t>
        </is>
      </c>
      <c r="D285" s="188" t="n">
        <v>7.8</v>
      </c>
      <c r="E285" s="188" t="inlineStr">
        <is>
          <t>HIGH</t>
        </is>
      </c>
      <c r="F285" s="188" t="n">
        <v>2</v>
      </c>
      <c r="G285" s="188" t="n">
        <v>3</v>
      </c>
      <c r="H285" s="188" t="inlineStr">
        <is>
          <t>HIGH</t>
        </is>
      </c>
      <c r="I285" s="188" t="n">
        <v>13.8</v>
      </c>
      <c r="J285" s="188" t="inlineStr">
        <is>
          <t>NO</t>
        </is>
      </c>
      <c r="K285" s="188" t="inlineStr">
        <is>
          <t>https://nvd.nist.gov/vuln/detail/CVE-2025-15561</t>
        </is>
      </c>
      <c r="L285" s="188" t="inlineStr">
        <is>
          <t>2026-02-26 00:15</t>
        </is>
      </c>
      <c r="M285" s="188" t="inlineStr">
        <is>
          <t>CHECK_VENDOR</t>
        </is>
      </c>
      <c r="N285" s="188" t="inlineStr">
        <is>
          <t>See NVD references</t>
        </is>
      </c>
      <c r="O285" s="188" t="inlineStr">
        <is>
          <t>Apply vendor patches</t>
        </is>
      </c>
      <c r="P285" s="188" t="inlineStr">
        <is>
          <t>See CVE details</t>
        </is>
      </c>
      <c r="Q285" s="188" t="inlineStr">
        <is>
          <t>P3</t>
        </is>
      </c>
      <c r="R285" s="188" t="inlineStr">
        <is>
          <t>🚨 URGENT: Apply vendor patches immediately | 🔒 Isolate affected systems if patch unavailable | 🛡️ Enable additional monitoring/IDS rules</t>
        </is>
      </c>
      <c r="S285" s="188" t="inlineStr">
        <is>
          <t>CVE - IP enrichment n/a</t>
        </is>
      </c>
      <c r="T285" s="188" t="n">
        <v>0.0001</v>
      </c>
      <c r="U285" s="188" t="n">
        <v>0.0213</v>
      </c>
      <c r="V285" s="188" t="inlineStr">
        <is>
          <t>T1190:Exploit Public-Facing Application</t>
        </is>
      </c>
      <c r="W285" s="188" t="n">
        <v>1</v>
      </c>
      <c r="X285" s="188" t="inlineStr">
        <is>
          <t>LOW (40%)</t>
        </is>
      </c>
      <c r="Y285" s="188" t="inlineStr">
        <is>
          <t>UNLIKELY</t>
        </is>
      </c>
      <c r="Z285" s="188" t="inlineStr">
        <is>
          <t>CHECK_VENDOR</t>
        </is>
      </c>
      <c r="AA285" s="188" t="inlineStr">
        <is>
          <t>https://nvd.nist.gov/vuln/detail/CVE-2025-15561</t>
        </is>
      </c>
      <c r="AB285" s="188" t="inlineStr">
        <is>
          <t>NONE</t>
        </is>
      </c>
      <c r="AC285" s="188" t="n">
        <v>0</v>
      </c>
      <c r="AD285" s="188" t="inlineStr"/>
    </row>
    <row r="286">
      <c r="A286" s="187" t="inlineStr">
        <is>
          <t>CVE</t>
        </is>
      </c>
      <c r="B286" s="187" t="inlineStr">
        <is>
          <t>CVE-2025-15562</t>
        </is>
      </c>
      <c r="C286" s="187" t="inlineStr">
        <is>
          <t>The server API endpoint /report/internet/urls reflects received data into the HTML response without applying proper encoding or filtering. This allows an attacker to execute arbitrary JavaScript in the victim's browser if the victim opens a URL prepared by the attacker.</t>
        </is>
      </c>
      <c r="D286" s="187" t="n">
        <v>6.1</v>
      </c>
      <c r="E286" s="187" t="inlineStr">
        <is>
          <t>MEDIUM</t>
        </is>
      </c>
      <c r="F286" s="187" t="n">
        <v>2</v>
      </c>
      <c r="G286" s="187" t="n">
        <v>2</v>
      </c>
      <c r="H286" s="187" t="inlineStr">
        <is>
          <t>MEDIUM</t>
        </is>
      </c>
      <c r="I286" s="187" t="n">
        <v>10.1</v>
      </c>
      <c r="J286" s="187" t="inlineStr">
        <is>
          <t>NO</t>
        </is>
      </c>
      <c r="K286" s="187" t="inlineStr">
        <is>
          <t>https://nvd.nist.gov/vuln/detail/CVE-2025-15562</t>
        </is>
      </c>
      <c r="L286" s="187" t="inlineStr">
        <is>
          <t>2026-02-26 00:15</t>
        </is>
      </c>
      <c r="M286" s="187" t="inlineStr">
        <is>
          <t>CHECK_VENDOR</t>
        </is>
      </c>
      <c r="N286" s="187" t="inlineStr">
        <is>
          <t>See NVD references</t>
        </is>
      </c>
      <c r="O286" s="187" t="inlineStr">
        <is>
          <t>Apply vendor patches</t>
        </is>
      </c>
      <c r="P286" s="187" t="inlineStr">
        <is>
          <t>See CVE details</t>
        </is>
      </c>
      <c r="Q286" s="187" t="inlineStr">
        <is>
          <t>P4</t>
        </is>
      </c>
      <c r="R286" s="187" t="inlineStr">
        <is>
          <t>📅 Schedule patch deployment within 30 days | 🔍 Monitor for exploitation attempts</t>
        </is>
      </c>
      <c r="S286" s="187" t="inlineStr">
        <is>
          <t>CVE - IP enrichment n/a</t>
        </is>
      </c>
      <c r="T286" s="187" t="n">
        <v>0</v>
      </c>
      <c r="U286" s="187" t="n">
        <v>0</v>
      </c>
      <c r="V286" s="187" t="inlineStr">
        <is>
          <t>T1189:Drive-by Compromise</t>
        </is>
      </c>
      <c r="W286" s="187" t="n">
        <v>1</v>
      </c>
      <c r="X286" s="187" t="inlineStr">
        <is>
          <t>LOW (40%)</t>
        </is>
      </c>
      <c r="Y286" s="187" t="inlineStr">
        <is>
          <t>UNLIKELY</t>
        </is>
      </c>
      <c r="Z286" s="187" t="inlineStr">
        <is>
          <t>CHECK_VENDOR</t>
        </is>
      </c>
      <c r="AA286" s="187" t="inlineStr">
        <is>
          <t>https://nvd.nist.gov/vuln/detail/CVE-2025-15562</t>
        </is>
      </c>
      <c r="AB286" s="187" t="inlineStr">
        <is>
          <t>NONE</t>
        </is>
      </c>
      <c r="AC286" s="187" t="n">
        <v>0</v>
      </c>
      <c r="AD286" s="187" t="inlineStr"/>
    </row>
    <row r="287">
      <c r="A287" s="187" t="inlineStr">
        <is>
          <t>CVE</t>
        </is>
      </c>
      <c r="B287" s="187" t="inlineStr">
        <is>
          <t>CVE-2025-15563</t>
        </is>
      </c>
      <c r="C287" s="187" t="inlineStr">
        <is>
          <t>Any unauthenticated user can reset the WorkTime on-prem database configuration by sending a specific HTTP request to the WorkTime server. No authorization check is applied here.</t>
        </is>
      </c>
      <c r="D287" s="187" t="n">
        <v>5.3</v>
      </c>
      <c r="E287" s="187" t="inlineStr">
        <is>
          <t>MEDIUM</t>
        </is>
      </c>
      <c r="F287" s="187" t="n">
        <v>2</v>
      </c>
      <c r="G287" s="187" t="n">
        <v>2</v>
      </c>
      <c r="H287" s="187" t="inlineStr">
        <is>
          <t>MEDIUM</t>
        </is>
      </c>
      <c r="I287" s="187" t="n">
        <v>9.300000000000001</v>
      </c>
      <c r="J287" s="187" t="inlineStr">
        <is>
          <t>NO</t>
        </is>
      </c>
      <c r="K287" s="187" t="inlineStr">
        <is>
          <t>https://nvd.nist.gov/vuln/detail/CVE-2025-15563</t>
        </is>
      </c>
      <c r="L287" s="187" t="inlineStr">
        <is>
          <t>2026-02-26 00:15</t>
        </is>
      </c>
      <c r="M287" s="187" t="inlineStr">
        <is>
          <t>CHECK_VENDOR</t>
        </is>
      </c>
      <c r="N287" s="187" t="inlineStr">
        <is>
          <t>See NVD references</t>
        </is>
      </c>
      <c r="O287" s="187" t="inlineStr">
        <is>
          <t>Apply vendor patches</t>
        </is>
      </c>
      <c r="P287" s="187" t="inlineStr">
        <is>
          <t>See CVE details</t>
        </is>
      </c>
      <c r="Q287" s="187" t="inlineStr">
        <is>
          <t>P4</t>
        </is>
      </c>
      <c r="R287" s="187" t="inlineStr">
        <is>
          <t>📅 Schedule patch deployment within 30 days | 🔍 Monitor for exploitation attempts</t>
        </is>
      </c>
      <c r="S287" s="187" t="inlineStr">
        <is>
          <t>CVE - IP enrichment n/a</t>
        </is>
      </c>
      <c r="T287" s="187" t="n">
        <v>0</v>
      </c>
      <c r="U287" s="187" t="n">
        <v>0</v>
      </c>
      <c r="V287" s="187" t="inlineStr">
        <is>
          <t>T1190:Exploit Public-Facing Application</t>
        </is>
      </c>
      <c r="W287" s="187" t="n">
        <v>1</v>
      </c>
      <c r="X287" s="187" t="inlineStr">
        <is>
          <t>LOW (40%)</t>
        </is>
      </c>
      <c r="Y287" s="187" t="inlineStr">
        <is>
          <t>UNLIKELY</t>
        </is>
      </c>
      <c r="Z287" s="187" t="inlineStr">
        <is>
          <t>CHECK_VENDOR</t>
        </is>
      </c>
      <c r="AA287" s="187" t="inlineStr">
        <is>
          <t>https://nvd.nist.gov/vuln/detail/CVE-2025-15563</t>
        </is>
      </c>
      <c r="AB287" s="187" t="inlineStr">
        <is>
          <t>NONE</t>
        </is>
      </c>
      <c r="AC287" s="187" t="n">
        <v>0</v>
      </c>
      <c r="AD287" s="187" t="inlineStr"/>
    </row>
    <row r="288">
      <c r="A288" s="188" t="inlineStr">
        <is>
          <t>CVE</t>
        </is>
      </c>
      <c r="B288" s="188" t="inlineStr">
        <is>
          <t>CVE-2025-9062</t>
        </is>
      </c>
      <c r="C288" s="188" t="inlineStr">
        <is>
          <t>Authorization Bypass Through User-Controlled Key vulnerability in MeCODE Informatics and Engineering Services Ltd. Envanty allows Parameter Injection.This issue affects Envanty: before 1.0.6.  
NOTE: The vendor was contacted early about this disclosure but did not respond in any way. 
The vulnerability was learned to be remediated through reporter information and testing.</t>
        </is>
      </c>
      <c r="D288" s="188" t="n">
        <v>7.3</v>
      </c>
      <c r="E288" s="188" t="inlineStr">
        <is>
          <t>HIGH</t>
        </is>
      </c>
      <c r="F288" s="188" t="n">
        <v>2</v>
      </c>
      <c r="G288" s="188" t="n">
        <v>3</v>
      </c>
      <c r="H288" s="188" t="inlineStr">
        <is>
          <t>HIGH</t>
        </is>
      </c>
      <c r="I288" s="188" t="n">
        <v>13.3</v>
      </c>
      <c r="J288" s="188" t="inlineStr">
        <is>
          <t>NO</t>
        </is>
      </c>
      <c r="K288" s="188" t="inlineStr">
        <is>
          <t>https://nvd.nist.gov/vuln/detail/CVE-2025-9062</t>
        </is>
      </c>
      <c r="L288" s="188" t="inlineStr">
        <is>
          <t>2026-02-26 00:15</t>
        </is>
      </c>
      <c r="M288" s="188" t="inlineStr">
        <is>
          <t>CHECK_VENDOR</t>
        </is>
      </c>
      <c r="N288" s="188" t="inlineStr">
        <is>
          <t>See NVD references</t>
        </is>
      </c>
      <c r="O288" s="188" t="inlineStr">
        <is>
          <t>Apply vendor patches</t>
        </is>
      </c>
      <c r="P288" s="188" t="inlineStr">
        <is>
          <t>See CVE details</t>
        </is>
      </c>
      <c r="Q288" s="188" t="inlineStr">
        <is>
          <t>P3</t>
        </is>
      </c>
      <c r="R288" s="188" t="inlineStr">
        <is>
          <t>🚨 URGENT: Apply vendor patches immediately | 🔒 Isolate affected systems if patch unavailable | 🛡️ Enable additional monitoring/IDS rules</t>
        </is>
      </c>
      <c r="S288" s="188" t="inlineStr">
        <is>
          <t>CVE - IP enrichment n/a</t>
        </is>
      </c>
      <c r="T288" s="188" t="n">
        <v>0</v>
      </c>
      <c r="U288" s="188" t="n">
        <v>0</v>
      </c>
      <c r="V288" s="188" t="inlineStr">
        <is>
          <t>T1190:Exploit Public-Facing Application</t>
        </is>
      </c>
      <c r="W288" s="188" t="n">
        <v>1</v>
      </c>
      <c r="X288" s="188" t="inlineStr">
        <is>
          <t>LOW (40%)</t>
        </is>
      </c>
      <c r="Y288" s="188" t="inlineStr">
        <is>
          <t>UNLIKELY</t>
        </is>
      </c>
      <c r="Z288" s="188" t="inlineStr">
        <is>
          <t>CHECK_VENDOR</t>
        </is>
      </c>
      <c r="AA288" s="188" t="inlineStr">
        <is>
          <t>https://nvd.nist.gov/vuln/detail/CVE-2025-9062</t>
        </is>
      </c>
      <c r="AB288" s="188" t="inlineStr">
        <is>
          <t>NONE</t>
        </is>
      </c>
      <c r="AC288" s="188" t="n">
        <v>0</v>
      </c>
      <c r="AD288" s="188" t="inlineStr"/>
    </row>
    <row r="289">
      <c r="A289" s="189" t="inlineStr">
        <is>
          <t>CVE</t>
        </is>
      </c>
      <c r="B289" s="189" t="inlineStr">
        <is>
          <t>CVE-2025-8350</t>
        </is>
      </c>
      <c r="C289" s="189" t="inlineStr">
        <is>
          <t>Execution After Redirect (EAR), Missing Authentication for Critical Function vulnerability in Inrove Software and Internet Services BiEticaret CMS allows Authentication Bypass, HTTP Response Splitting.This issue affects BiEticaret CMS: from 2.1.13 through 19022026.
NOTE: The vendor was contacted early about this disclosure but did not respond in any way.</t>
        </is>
      </c>
      <c r="D289" s="189" t="n">
        <v>9.800000000000001</v>
      </c>
      <c r="E289" s="189" t="inlineStr">
        <is>
          <t>CRITICAL</t>
        </is>
      </c>
      <c r="F289" s="189" t="n">
        <v>2</v>
      </c>
      <c r="G289" s="189" t="n">
        <v>3</v>
      </c>
      <c r="H289" s="189" t="inlineStr">
        <is>
          <t>HIGH</t>
        </is>
      </c>
      <c r="I289" s="189" t="n">
        <v>15.8</v>
      </c>
      <c r="J289" s="189" t="inlineStr">
        <is>
          <t>NO</t>
        </is>
      </c>
      <c r="K289" s="189" t="inlineStr">
        <is>
          <t>https://nvd.nist.gov/vuln/detail/CVE-2025-8350</t>
        </is>
      </c>
      <c r="L289" s="189" t="inlineStr">
        <is>
          <t>2026-02-26 00:15</t>
        </is>
      </c>
      <c r="M289" s="189" t="inlineStr">
        <is>
          <t>CHECK_VENDOR</t>
        </is>
      </c>
      <c r="N289" s="189" t="inlineStr">
        <is>
          <t>See NVD references</t>
        </is>
      </c>
      <c r="O289" s="189" t="inlineStr">
        <is>
          <t>Apply vendor patches</t>
        </is>
      </c>
      <c r="P289" s="189" t="inlineStr">
        <is>
          <t>See CVE details</t>
        </is>
      </c>
      <c r="Q289" s="189" t="inlineStr">
        <is>
          <t>P3</t>
        </is>
      </c>
      <c r="R289" s="189" t="inlineStr">
        <is>
          <t>🚨 URGENT: Apply vendor patches immediately | 🔒 Isolate affected systems if patch unavailable | 🛡️ Enable additional monitoring/IDS rules</t>
        </is>
      </c>
      <c r="S289" s="189" t="inlineStr">
        <is>
          <t>CVE - IP enrichment n/a</t>
        </is>
      </c>
      <c r="T289" s="189" t="n">
        <v>0.0009</v>
      </c>
      <c r="U289" s="189" t="n">
        <v>0.25</v>
      </c>
      <c r="V289" s="189" t="inlineStr">
        <is>
          <t>T1078:Valid Accounts</t>
        </is>
      </c>
      <c r="W289" s="189" t="n">
        <v>1</v>
      </c>
      <c r="X289" s="189" t="inlineStr">
        <is>
          <t>LOW (40%)</t>
        </is>
      </c>
      <c r="Y289" s="189" t="inlineStr">
        <is>
          <t>UNLIKELY</t>
        </is>
      </c>
      <c r="Z289" s="189" t="inlineStr">
        <is>
          <t>CHECK_VENDOR</t>
        </is>
      </c>
      <c r="AA289" s="189" t="inlineStr">
        <is>
          <t>https://nvd.nist.gov/vuln/detail/CVE-2025-8350</t>
        </is>
      </c>
      <c r="AB289" s="189" t="inlineStr">
        <is>
          <t>NONE</t>
        </is>
      </c>
      <c r="AC289" s="189" t="n">
        <v>0</v>
      </c>
      <c r="AD289" s="189" t="inlineStr"/>
    </row>
    <row r="290">
      <c r="A290" s="189" t="inlineStr">
        <is>
          <t>CVE</t>
        </is>
      </c>
      <c r="B290" s="189" t="inlineStr">
        <is>
          <t>CVE-2025-9953</t>
        </is>
      </c>
      <c r="C290" s="189" t="inlineStr">
        <is>
          <t>Authorization Bypass Through User-Controlled SQL Primary Key vulnerability in DATABASE Software Training Consulting Ltd. Databank Accreditation Software allows SQL Injection.This issue affects Databank Accreditation Software: through 19022026.
NOTE: The vendor was contacted early about this disclosure but did not respond in any way.</t>
        </is>
      </c>
      <c r="D290" s="189" t="n">
        <v>9.800000000000001</v>
      </c>
      <c r="E290" s="189" t="inlineStr">
        <is>
          <t>CRITICAL</t>
        </is>
      </c>
      <c r="F290" s="189" t="n">
        <v>2</v>
      </c>
      <c r="G290" s="189" t="n">
        <v>3</v>
      </c>
      <c r="H290" s="189" t="inlineStr">
        <is>
          <t>HIGH</t>
        </is>
      </c>
      <c r="I290" s="189" t="n">
        <v>15.8</v>
      </c>
      <c r="J290" s="189" t="inlineStr">
        <is>
          <t>NO</t>
        </is>
      </c>
      <c r="K290" s="189" t="inlineStr">
        <is>
          <t>https://nvd.nist.gov/vuln/detail/CVE-2025-9953</t>
        </is>
      </c>
      <c r="L290" s="189" t="inlineStr">
        <is>
          <t>2026-02-26 00:15</t>
        </is>
      </c>
      <c r="M290" s="189" t="inlineStr">
        <is>
          <t>CHECK_VENDOR</t>
        </is>
      </c>
      <c r="N290" s="189" t="inlineStr">
        <is>
          <t>See NVD references</t>
        </is>
      </c>
      <c r="O290" s="189" t="inlineStr">
        <is>
          <t>Apply vendor patches</t>
        </is>
      </c>
      <c r="P290" s="189" t="inlineStr">
        <is>
          <t>See CVE details</t>
        </is>
      </c>
      <c r="Q290" s="189" t="inlineStr">
        <is>
          <t>P3</t>
        </is>
      </c>
      <c r="R290" s="189" t="inlineStr">
        <is>
          <t>🚨 URGENT: Apply vendor patches immediately | 🔒 Isolate affected systems if patch unavailable | 🛡️ Enable additional monitoring/IDS rules</t>
        </is>
      </c>
      <c r="S290" s="189" t="inlineStr">
        <is>
          <t>CVE - IP enrichment n/a</t>
        </is>
      </c>
      <c r="T290" s="189" t="n">
        <v>0</v>
      </c>
      <c r="U290" s="189" t="n">
        <v>0</v>
      </c>
      <c r="V290" s="189" t="inlineStr">
        <is>
          <t>T1190:Exploit Public-Facing Application</t>
        </is>
      </c>
      <c r="W290" s="189" t="n">
        <v>1</v>
      </c>
      <c r="X290" s="189" t="inlineStr">
        <is>
          <t>LOW (40%)</t>
        </is>
      </c>
      <c r="Y290" s="189" t="inlineStr">
        <is>
          <t>UNLIKELY</t>
        </is>
      </c>
      <c r="Z290" s="189" t="inlineStr">
        <is>
          <t>CHECK_VENDOR</t>
        </is>
      </c>
      <c r="AA290" s="189" t="inlineStr">
        <is>
          <t>https://nvd.nist.gov/vuln/detail/CVE-2025-9953</t>
        </is>
      </c>
      <c r="AB290" s="189" t="inlineStr">
        <is>
          <t>NONE</t>
        </is>
      </c>
      <c r="AC290" s="189" t="n">
        <v>0</v>
      </c>
      <c r="AD290" s="189" t="inlineStr"/>
    </row>
    <row r="291">
      <c r="A291" s="187" t="inlineStr">
        <is>
          <t>CVE</t>
        </is>
      </c>
      <c r="B291" s="187" t="inlineStr">
        <is>
          <t>CVE-2019-25402</t>
        </is>
      </c>
      <c r="C291" s="187" t="inlineStr">
        <is>
          <t>Comodo Dome Firewall 2.7.0 contains a reflected cross-site scripting vulnerability that allows unauthenticated attackers to inject malicious scripts by submitting crafted input to the username parameter. Attackers can send POST requests to the login endpoint with script payloads in the username field to execute arbitrary JavaScript in users' browsers.</t>
        </is>
      </c>
      <c r="D291" s="187" t="n">
        <v>6.1</v>
      </c>
      <c r="E291" s="187" t="inlineStr">
        <is>
          <t>MEDIUM</t>
        </is>
      </c>
      <c r="F291" s="187" t="n">
        <v>2</v>
      </c>
      <c r="G291" s="187" t="n">
        <v>2</v>
      </c>
      <c r="H291" s="187" t="inlineStr">
        <is>
          <t>MEDIUM</t>
        </is>
      </c>
      <c r="I291" s="187" t="n">
        <v>10.1</v>
      </c>
      <c r="J291" s="187" t="inlineStr">
        <is>
          <t>NO</t>
        </is>
      </c>
      <c r="K291" s="187" t="inlineStr">
        <is>
          <t>https://nvd.nist.gov/vuln/detail/CVE-2019-25402</t>
        </is>
      </c>
      <c r="L291" s="187" t="inlineStr">
        <is>
          <t>2026-02-26 00:15</t>
        </is>
      </c>
      <c r="M291" s="187" t="inlineStr">
        <is>
          <t>CHECK_VENDOR</t>
        </is>
      </c>
      <c r="N291" s="187" t="inlineStr">
        <is>
          <t>See NVD references</t>
        </is>
      </c>
      <c r="O291" s="187" t="inlineStr">
        <is>
          <t>Apply vendor patches</t>
        </is>
      </c>
      <c r="P291" s="187" t="inlineStr">
        <is>
          <t>comodo dome_firewall *</t>
        </is>
      </c>
      <c r="Q291" s="187" t="inlineStr">
        <is>
          <t>P4</t>
        </is>
      </c>
      <c r="R291" s="187" t="inlineStr">
        <is>
          <t>📅 Schedule patch deployment within 30 days | 🔍 Monitor for exploitation attempts</t>
        </is>
      </c>
      <c r="S291" s="187" t="inlineStr">
        <is>
          <t>CVE - IP enrichment n/a</t>
        </is>
      </c>
      <c r="T291" s="187" t="n">
        <v>0</v>
      </c>
      <c r="U291" s="187" t="n">
        <v>0</v>
      </c>
      <c r="V291" s="187" t="inlineStr">
        <is>
          <t>T1189:Drive-by Compromise | T1562:Impair Defenses</t>
        </is>
      </c>
      <c r="W291" s="187" t="n">
        <v>1</v>
      </c>
      <c r="X291" s="187" t="inlineStr">
        <is>
          <t>LOW (40%)</t>
        </is>
      </c>
      <c r="Y291" s="187" t="inlineStr">
        <is>
          <t>UNLIKELY</t>
        </is>
      </c>
      <c r="Z291" s="187" t="inlineStr">
        <is>
          <t>CHECK_VENDOR</t>
        </is>
      </c>
      <c r="AA291" s="187" t="inlineStr">
        <is>
          <t>https://nvd.nist.gov/vuln/detail/CVE-2019-25402</t>
        </is>
      </c>
      <c r="AB291" s="187" t="inlineStr">
        <is>
          <t>NONE</t>
        </is>
      </c>
      <c r="AC291" s="187" t="n">
        <v>0</v>
      </c>
      <c r="AD291" s="187" t="inlineStr"/>
    </row>
    <row r="292">
      <c r="A292" s="187" t="inlineStr">
        <is>
          <t>CVE</t>
        </is>
      </c>
      <c r="B292" s="187" t="inlineStr">
        <is>
          <t>CVE-2019-25403</t>
        </is>
      </c>
      <c r="C292" s="187" t="inlineStr">
        <is>
          <t>Comodo Dome Firewall 2.7.0 contains a stored cross-site scripting vulnerability that allows authenticated attackers to inject malicious scripts by submitting crafted input to the comment parameter. Attackers can inject JavaScript code through the admin_profiles endpoint that executes in the browsers of other users who view the affected page.</t>
        </is>
      </c>
      <c r="D292" s="187" t="n">
        <v>6.4</v>
      </c>
      <c r="E292" s="187" t="inlineStr">
        <is>
          <t>MEDIUM</t>
        </is>
      </c>
      <c r="F292" s="187" t="n">
        <v>2</v>
      </c>
      <c r="G292" s="187" t="n">
        <v>2</v>
      </c>
      <c r="H292" s="187" t="inlineStr">
        <is>
          <t>MEDIUM</t>
        </is>
      </c>
      <c r="I292" s="187" t="n">
        <v>10.4</v>
      </c>
      <c r="J292" s="187" t="inlineStr">
        <is>
          <t>NO</t>
        </is>
      </c>
      <c r="K292" s="187" t="inlineStr">
        <is>
          <t>https://nvd.nist.gov/vuln/detail/CVE-2019-25403</t>
        </is>
      </c>
      <c r="L292" s="187" t="inlineStr">
        <is>
          <t>2026-02-26 00:15</t>
        </is>
      </c>
      <c r="M292" s="187" t="inlineStr">
        <is>
          <t>CHECK_VENDOR</t>
        </is>
      </c>
      <c r="N292" s="187" t="inlineStr">
        <is>
          <t>See NVD references</t>
        </is>
      </c>
      <c r="O292" s="187" t="inlineStr">
        <is>
          <t>Apply vendor patches</t>
        </is>
      </c>
      <c r="P292" s="187" t="inlineStr">
        <is>
          <t>comodo dome_firewall 2.7.0</t>
        </is>
      </c>
      <c r="Q292" s="187" t="inlineStr">
        <is>
          <t>P4</t>
        </is>
      </c>
      <c r="R292" s="187" t="inlineStr">
        <is>
          <t>📅 Schedule patch deployment within 30 days | 🔍 Monitor for exploitation attempts</t>
        </is>
      </c>
      <c r="S292" s="187" t="inlineStr">
        <is>
          <t>CVE - IP enrichment n/a</t>
        </is>
      </c>
      <c r="T292" s="187" t="n">
        <v>0.0003</v>
      </c>
      <c r="U292" s="187" t="n">
        <v>0.08690000000000001</v>
      </c>
      <c r="V292" s="187" t="inlineStr">
        <is>
          <t>T1189:Drive-by Compromise | T1562:Impair Defenses</t>
        </is>
      </c>
      <c r="W292" s="187" t="n">
        <v>1</v>
      </c>
      <c r="X292" s="187" t="inlineStr">
        <is>
          <t>LOW (40%)</t>
        </is>
      </c>
      <c r="Y292" s="187" t="inlineStr">
        <is>
          <t>UNLIKELY</t>
        </is>
      </c>
      <c r="Z292" s="187" t="inlineStr">
        <is>
          <t>CHECK_VENDOR</t>
        </is>
      </c>
      <c r="AA292" s="187" t="inlineStr">
        <is>
          <t>https://nvd.nist.gov/vuln/detail/CVE-2019-25403</t>
        </is>
      </c>
      <c r="AB292" s="187" t="inlineStr">
        <is>
          <t>NONE</t>
        </is>
      </c>
      <c r="AC292" s="187" t="n">
        <v>0</v>
      </c>
      <c r="AD292" s="187" t="inlineStr"/>
    </row>
    <row r="293">
      <c r="A293" s="187" t="inlineStr">
        <is>
          <t>CVE</t>
        </is>
      </c>
      <c r="B293" s="187" t="inlineStr">
        <is>
          <t>CVE-2019-25404</t>
        </is>
      </c>
      <c r="C293" s="187" t="inlineStr">
        <is>
          <t>Comodo Dome Firewall 2.7.0 contains a stored cross-site scripting vulnerability that allows authenticated attackers to inject malicious scripts by submitting crafted input through admin management parameters. Attackers can inject script payloads in the admin_name, name, and surname parameters via POST requests to the /korugan/admins endpoint, which are stored and executed when administrators access the interface.</t>
        </is>
      </c>
      <c r="D293" s="187" t="n">
        <v>6.4</v>
      </c>
      <c r="E293" s="187" t="inlineStr">
        <is>
          <t>MEDIUM</t>
        </is>
      </c>
      <c r="F293" s="187" t="n">
        <v>2</v>
      </c>
      <c r="G293" s="187" t="n">
        <v>2</v>
      </c>
      <c r="H293" s="187" t="inlineStr">
        <is>
          <t>MEDIUM</t>
        </is>
      </c>
      <c r="I293" s="187" t="n">
        <v>10.4</v>
      </c>
      <c r="J293" s="187" t="inlineStr">
        <is>
          <t>NO</t>
        </is>
      </c>
      <c r="K293" s="187" t="inlineStr">
        <is>
          <t>https://nvd.nist.gov/vuln/detail/CVE-2019-25404</t>
        </is>
      </c>
      <c r="L293" s="187" t="inlineStr">
        <is>
          <t>2026-02-26 00:15</t>
        </is>
      </c>
      <c r="M293" s="187" t="inlineStr">
        <is>
          <t>CHECK_VENDOR</t>
        </is>
      </c>
      <c r="N293" s="187" t="inlineStr">
        <is>
          <t>See NVD references</t>
        </is>
      </c>
      <c r="O293" s="187" t="inlineStr">
        <is>
          <t>Apply vendor patches</t>
        </is>
      </c>
      <c r="P293" s="187" t="inlineStr">
        <is>
          <t>comodo dome_firewall *</t>
        </is>
      </c>
      <c r="Q293" s="187" t="inlineStr">
        <is>
          <t>P4</t>
        </is>
      </c>
      <c r="R293" s="187" t="inlineStr">
        <is>
          <t>📅 Schedule patch deployment within 30 days | 🔍 Monitor for exploitation attempts</t>
        </is>
      </c>
      <c r="S293" s="187" t="inlineStr">
        <is>
          <t>CVE - IP enrichment n/a</t>
        </is>
      </c>
      <c r="T293" s="187" t="n">
        <v>0</v>
      </c>
      <c r="U293" s="187" t="n">
        <v>0</v>
      </c>
      <c r="V293" s="187" t="inlineStr">
        <is>
          <t>T1189:Drive-by Compromise | T1562:Impair Defenses</t>
        </is>
      </c>
      <c r="W293" s="187" t="n">
        <v>1</v>
      </c>
      <c r="X293" s="187" t="inlineStr">
        <is>
          <t>LOW (40%)</t>
        </is>
      </c>
      <c r="Y293" s="187" t="inlineStr">
        <is>
          <t>UNLIKELY</t>
        </is>
      </c>
      <c r="Z293" s="187" t="inlineStr">
        <is>
          <t>CHECK_VENDOR</t>
        </is>
      </c>
      <c r="AA293" s="187" t="inlineStr">
        <is>
          <t>https://nvd.nist.gov/vuln/detail/CVE-2019-25404</t>
        </is>
      </c>
      <c r="AB293" s="187" t="inlineStr">
        <is>
          <t>NONE</t>
        </is>
      </c>
      <c r="AC293" s="187" t="n">
        <v>0</v>
      </c>
      <c r="AD293" s="187" t="inlineStr"/>
    </row>
    <row r="294">
      <c r="A294" s="188" t="inlineStr">
        <is>
          <t>CVE</t>
        </is>
      </c>
      <c r="B294" s="188" t="inlineStr">
        <is>
          <t>CVE-2019-25405</t>
        </is>
      </c>
      <c r="C294" s="188" t="inlineStr">
        <is>
          <t>Comodo Dome Firewall 2.7.0 contains a stored cross-site scripting vulnerability that allows attackers to inject malicious scripts by submitting crafted input to the newLicense parameter. Attackers can send POST requests to the license activation endpoint with script payloads in the newLicense field to execute arbitrary JavaScript in administrators' browsers.</t>
        </is>
      </c>
      <c r="D294" s="188" t="n">
        <v>7.2</v>
      </c>
      <c r="E294" s="188" t="inlineStr">
        <is>
          <t>HIGH</t>
        </is>
      </c>
      <c r="F294" s="188" t="n">
        <v>2</v>
      </c>
      <c r="G294" s="188" t="n">
        <v>3</v>
      </c>
      <c r="H294" s="188" t="inlineStr">
        <is>
          <t>HIGH</t>
        </is>
      </c>
      <c r="I294" s="188" t="n">
        <v>13.2</v>
      </c>
      <c r="J294" s="188" t="inlineStr">
        <is>
          <t>NO</t>
        </is>
      </c>
      <c r="K294" s="188" t="inlineStr">
        <is>
          <t>https://nvd.nist.gov/vuln/detail/CVE-2019-25405</t>
        </is>
      </c>
      <c r="L294" s="188" t="inlineStr">
        <is>
          <t>2026-02-26 00:15</t>
        </is>
      </c>
      <c r="M294" s="188" t="inlineStr">
        <is>
          <t>CHECK_VENDOR</t>
        </is>
      </c>
      <c r="N294" s="188" t="inlineStr">
        <is>
          <t>See NVD references</t>
        </is>
      </c>
      <c r="O294" s="188" t="inlineStr">
        <is>
          <t>Apply vendor patches</t>
        </is>
      </c>
      <c r="P294" s="188" t="inlineStr">
        <is>
          <t>comodo dome_firewall 2.7.0</t>
        </is>
      </c>
      <c r="Q294" s="188" t="inlineStr">
        <is>
          <t>P3</t>
        </is>
      </c>
      <c r="R294" s="188" t="inlineStr">
        <is>
          <t>🚨 URGENT: Apply vendor patches immediately | 🔒 Isolate affected systems if patch unavailable | 🛡️ Enable additional monitoring/IDS rules</t>
        </is>
      </c>
      <c r="S294" s="188" t="inlineStr">
        <is>
          <t>CVE - IP enrichment n/a</t>
        </is>
      </c>
      <c r="T294" s="188" t="n">
        <v>0.0003</v>
      </c>
      <c r="U294" s="188" t="n">
        <v>0.08690000000000001</v>
      </c>
      <c r="V294" s="188" t="inlineStr">
        <is>
          <t>T1189:Drive-by Compromise | T1562:Impair Defenses</t>
        </is>
      </c>
      <c r="W294" s="188" t="n">
        <v>1</v>
      </c>
      <c r="X294" s="188" t="inlineStr">
        <is>
          <t>LOW (40%)</t>
        </is>
      </c>
      <c r="Y294" s="188" t="inlineStr">
        <is>
          <t>UNLIKELY</t>
        </is>
      </c>
      <c r="Z294" s="188" t="inlineStr">
        <is>
          <t>CHECK_VENDOR</t>
        </is>
      </c>
      <c r="AA294" s="188" t="inlineStr">
        <is>
          <t>https://nvd.nist.gov/vuln/detail/CVE-2019-25405</t>
        </is>
      </c>
      <c r="AB294" s="188" t="inlineStr">
        <is>
          <t>NONE</t>
        </is>
      </c>
      <c r="AC294" s="188" t="n">
        <v>0</v>
      </c>
      <c r="AD294" s="188" t="inlineStr"/>
    </row>
    <row r="295">
      <c r="A295" s="187" t="inlineStr">
        <is>
          <t>CVE</t>
        </is>
      </c>
      <c r="B295" s="187" t="inlineStr">
        <is>
          <t>CVE-2019-25406</t>
        </is>
      </c>
      <c r="C295" s="187" t="inlineStr">
        <is>
          <t>Comodo Dome Firewall 2.7.0 contains a reflected cross-site scripting vulnerability that allows attackers to inject malicious scripts by manipulating the organization parameter. Attackers can send POST requests to the korugan/cmclient endpoint with script payloads in the organization parameter to execute arbitrary JavaScript in users' browsers.</t>
        </is>
      </c>
      <c r="D295" s="187" t="n">
        <v>6.1</v>
      </c>
      <c r="E295" s="187" t="inlineStr">
        <is>
          <t>MEDIUM</t>
        </is>
      </c>
      <c r="F295" s="187" t="n">
        <v>2</v>
      </c>
      <c r="G295" s="187" t="n">
        <v>2</v>
      </c>
      <c r="H295" s="187" t="inlineStr">
        <is>
          <t>MEDIUM</t>
        </is>
      </c>
      <c r="I295" s="187" t="n">
        <v>10.1</v>
      </c>
      <c r="J295" s="187" t="inlineStr">
        <is>
          <t>NO</t>
        </is>
      </c>
      <c r="K295" s="187" t="inlineStr">
        <is>
          <t>https://nvd.nist.gov/vuln/detail/CVE-2019-25406</t>
        </is>
      </c>
      <c r="L295" s="187" t="inlineStr">
        <is>
          <t>2026-02-26 00:15</t>
        </is>
      </c>
      <c r="M295" s="187" t="inlineStr">
        <is>
          <t>CHECK_VENDOR</t>
        </is>
      </c>
      <c r="N295" s="187" t="inlineStr">
        <is>
          <t>See NVD references</t>
        </is>
      </c>
      <c r="O295" s="187" t="inlineStr">
        <is>
          <t>Apply vendor patches</t>
        </is>
      </c>
      <c r="P295" s="187" t="inlineStr">
        <is>
          <t>comodo dome_firewall *</t>
        </is>
      </c>
      <c r="Q295" s="187" t="inlineStr">
        <is>
          <t>P4</t>
        </is>
      </c>
      <c r="R295" s="187" t="inlineStr">
        <is>
          <t>📅 Schedule patch deployment within 30 days | 🔍 Monitor for exploitation attempts</t>
        </is>
      </c>
      <c r="S295" s="187" t="inlineStr">
        <is>
          <t>CVE - IP enrichment n/a</t>
        </is>
      </c>
      <c r="T295" s="187" t="n">
        <v>0.0003</v>
      </c>
      <c r="U295" s="187" t="n">
        <v>0.0764</v>
      </c>
      <c r="V295" s="187" t="inlineStr">
        <is>
          <t>T1189:Drive-by Compromise | T1562:Impair Defenses</t>
        </is>
      </c>
      <c r="W295" s="187" t="n">
        <v>1</v>
      </c>
      <c r="X295" s="187" t="inlineStr">
        <is>
          <t>LOW (40%)</t>
        </is>
      </c>
      <c r="Y295" s="187" t="inlineStr">
        <is>
          <t>UNLIKELY</t>
        </is>
      </c>
      <c r="Z295" s="187" t="inlineStr">
        <is>
          <t>CHECK_VENDOR</t>
        </is>
      </c>
      <c r="AA295" s="187" t="inlineStr">
        <is>
          <t>https://nvd.nist.gov/vuln/detail/CVE-2019-25406</t>
        </is>
      </c>
      <c r="AB295" s="187" t="inlineStr">
        <is>
          <t>NONE</t>
        </is>
      </c>
      <c r="AC295" s="187" t="n">
        <v>0</v>
      </c>
      <c r="AD295" s="187" t="inlineStr"/>
    </row>
    <row r="296">
      <c r="A296" s="187" t="inlineStr">
        <is>
          <t>CVE</t>
        </is>
      </c>
      <c r="B296" s="187" t="inlineStr">
        <is>
          <t>CVE-2019-25407</t>
        </is>
      </c>
      <c r="C296" s="187" t="inlineStr">
        <is>
          <t>Comodo Dome Firewall 2.7.0 contains a reflected cross-site scripting vulnerability that allows attackers to inject malicious scripts by submitting crafted input to the backup schedule interface. Attackers can send POST requests to the backupschedule endpoint with JavaScript code in the BACKUP_RCPTTO parameter to execute arbitrary scripts in users' browsers.</t>
        </is>
      </c>
      <c r="D296" s="187" t="n">
        <v>6.1</v>
      </c>
      <c r="E296" s="187" t="inlineStr">
        <is>
          <t>MEDIUM</t>
        </is>
      </c>
      <c r="F296" s="187" t="n">
        <v>2</v>
      </c>
      <c r="G296" s="187" t="n">
        <v>2</v>
      </c>
      <c r="H296" s="187" t="inlineStr">
        <is>
          <t>MEDIUM</t>
        </is>
      </c>
      <c r="I296" s="187" t="n">
        <v>10.1</v>
      </c>
      <c r="J296" s="187" t="inlineStr">
        <is>
          <t>NO</t>
        </is>
      </c>
      <c r="K296" s="187" t="inlineStr">
        <is>
          <t>https://nvd.nist.gov/vuln/detail/CVE-2019-25407</t>
        </is>
      </c>
      <c r="L296" s="187" t="inlineStr">
        <is>
          <t>2026-02-26 00:15</t>
        </is>
      </c>
      <c r="M296" s="187" t="inlineStr">
        <is>
          <t>CHECK_VENDOR</t>
        </is>
      </c>
      <c r="N296" s="187" t="inlineStr">
        <is>
          <t>See NVD references</t>
        </is>
      </c>
      <c r="O296" s="187" t="inlineStr">
        <is>
          <t>Apply vendor patches</t>
        </is>
      </c>
      <c r="P296" s="187" t="inlineStr">
        <is>
          <t>comodo dome_firewall *</t>
        </is>
      </c>
      <c r="Q296" s="187" t="inlineStr">
        <is>
          <t>P4</t>
        </is>
      </c>
      <c r="R296" s="187" t="inlineStr">
        <is>
          <t>📅 Schedule patch deployment within 30 days | 🔍 Monitor for exploitation attempts</t>
        </is>
      </c>
      <c r="S296" s="187" t="inlineStr">
        <is>
          <t>CVE - IP enrichment n/a</t>
        </is>
      </c>
      <c r="T296" s="187" t="n">
        <v>0</v>
      </c>
      <c r="U296" s="187" t="n">
        <v>0</v>
      </c>
      <c r="V296" s="187" t="inlineStr">
        <is>
          <t>T1189:Drive-by Compromise | T1562:Impair Defenses</t>
        </is>
      </c>
      <c r="W296" s="187" t="n">
        <v>1</v>
      </c>
      <c r="X296" s="187" t="inlineStr">
        <is>
          <t>LOW (40%)</t>
        </is>
      </c>
      <c r="Y296" s="187" t="inlineStr">
        <is>
          <t>UNLIKELY</t>
        </is>
      </c>
      <c r="Z296" s="187" t="inlineStr">
        <is>
          <t>CHECK_VENDOR</t>
        </is>
      </c>
      <c r="AA296" s="187" t="inlineStr">
        <is>
          <t>https://nvd.nist.gov/vuln/detail/CVE-2019-25407</t>
        </is>
      </c>
      <c r="AB296" s="187" t="inlineStr">
        <is>
          <t>NONE</t>
        </is>
      </c>
      <c r="AC296" s="187" t="n">
        <v>0</v>
      </c>
      <c r="AD296" s="187" t="inlineStr"/>
    </row>
    <row r="297">
      <c r="A297" s="187" t="inlineStr">
        <is>
          <t>CVE</t>
        </is>
      </c>
      <c r="B297" s="187" t="inlineStr">
        <is>
          <t>CVE-2019-25408</t>
        </is>
      </c>
      <c r="C297" s="187" t="inlineStr">
        <is>
          <t>Comodo Dome Firewall 2.7.0 contains a reflected cross-site scripting vulnerability that allows attackers to inject malicious scripts by submitting crafted input to the netmask_addr parameter. Attackers can send POST requests to the netwizard2 endpoint with script payloads in the netmask_addr parameter to execute arbitrary JavaScript in users' browsers.</t>
        </is>
      </c>
      <c r="D297" s="187" t="n">
        <v>6.1</v>
      </c>
      <c r="E297" s="187" t="inlineStr">
        <is>
          <t>MEDIUM</t>
        </is>
      </c>
      <c r="F297" s="187" t="n">
        <v>2</v>
      </c>
      <c r="G297" s="187" t="n">
        <v>2</v>
      </c>
      <c r="H297" s="187" t="inlineStr">
        <is>
          <t>MEDIUM</t>
        </is>
      </c>
      <c r="I297" s="187" t="n">
        <v>10.1</v>
      </c>
      <c r="J297" s="187" t="inlineStr">
        <is>
          <t>NO</t>
        </is>
      </c>
      <c r="K297" s="187" t="inlineStr">
        <is>
          <t>https://nvd.nist.gov/vuln/detail/CVE-2019-25408</t>
        </is>
      </c>
      <c r="L297" s="187" t="inlineStr">
        <is>
          <t>2026-02-26 00:15</t>
        </is>
      </c>
      <c r="M297" s="187" t="inlineStr">
        <is>
          <t>CHECK_VENDOR</t>
        </is>
      </c>
      <c r="N297" s="187" t="inlineStr">
        <is>
          <t>See NVD references</t>
        </is>
      </c>
      <c r="O297" s="187" t="inlineStr">
        <is>
          <t>Apply vendor patches</t>
        </is>
      </c>
      <c r="P297" s="187" t="inlineStr">
        <is>
          <t>comodo dome_firewall 2.7.0</t>
        </is>
      </c>
      <c r="Q297" s="187" t="inlineStr">
        <is>
          <t>P4</t>
        </is>
      </c>
      <c r="R297" s="187" t="inlineStr">
        <is>
          <t>📅 Schedule patch deployment within 30 days | 🔍 Monitor for exploitation attempts</t>
        </is>
      </c>
      <c r="S297" s="187" t="inlineStr">
        <is>
          <t>CVE - IP enrichment n/a</t>
        </is>
      </c>
      <c r="T297" s="187" t="n">
        <v>0</v>
      </c>
      <c r="U297" s="187" t="n">
        <v>0</v>
      </c>
      <c r="V297" s="187" t="inlineStr">
        <is>
          <t>T1189:Drive-by Compromise | T1562:Impair Defenses</t>
        </is>
      </c>
      <c r="W297" s="187" t="n">
        <v>1</v>
      </c>
      <c r="X297" s="187" t="inlineStr">
        <is>
          <t>LOW (40%)</t>
        </is>
      </c>
      <c r="Y297" s="187" t="inlineStr">
        <is>
          <t>UNLIKELY</t>
        </is>
      </c>
      <c r="Z297" s="187" t="inlineStr">
        <is>
          <t>CHECK_VENDOR</t>
        </is>
      </c>
      <c r="AA297" s="187" t="inlineStr">
        <is>
          <t>https://nvd.nist.gov/vuln/detail/CVE-2019-25408</t>
        </is>
      </c>
      <c r="AB297" s="187" t="inlineStr">
        <is>
          <t>NONE</t>
        </is>
      </c>
      <c r="AC297" s="187" t="n">
        <v>0</v>
      </c>
      <c r="AD297" s="187" t="inlineStr"/>
    </row>
    <row r="298">
      <c r="A298" s="187" t="inlineStr">
        <is>
          <t>CVE</t>
        </is>
      </c>
      <c r="B298" s="187" t="inlineStr">
        <is>
          <t>CVE-2019-25409</t>
        </is>
      </c>
      <c r="C298" s="187" t="inlineStr">
        <is>
          <t>Comodo Dome Firewall 2.7.0 contains a reflected cross-site scripting vulnerability that allows attackers to inject malicious scripts by manipulating the destination parameter. Attackers can send POST requests to the routing endpoint with script payloads in the destination parameter to execute arbitrary JavaScript in users' browsers.</t>
        </is>
      </c>
      <c r="D298" s="187" t="n">
        <v>6.1</v>
      </c>
      <c r="E298" s="187" t="inlineStr">
        <is>
          <t>MEDIUM</t>
        </is>
      </c>
      <c r="F298" s="187" t="n">
        <v>2</v>
      </c>
      <c r="G298" s="187" t="n">
        <v>2</v>
      </c>
      <c r="H298" s="187" t="inlineStr">
        <is>
          <t>MEDIUM</t>
        </is>
      </c>
      <c r="I298" s="187" t="n">
        <v>10.1</v>
      </c>
      <c r="J298" s="187" t="inlineStr">
        <is>
          <t>NO</t>
        </is>
      </c>
      <c r="K298" s="187" t="inlineStr">
        <is>
          <t>https://nvd.nist.gov/vuln/detail/CVE-2019-25409</t>
        </is>
      </c>
      <c r="L298" s="187" t="inlineStr">
        <is>
          <t>2026-02-26 00:15</t>
        </is>
      </c>
      <c r="M298" s="187" t="inlineStr">
        <is>
          <t>CHECK_VENDOR</t>
        </is>
      </c>
      <c r="N298" s="187" t="inlineStr">
        <is>
          <t>See NVD references</t>
        </is>
      </c>
      <c r="O298" s="187" t="inlineStr">
        <is>
          <t>Apply vendor patches</t>
        </is>
      </c>
      <c r="P298" s="187" t="inlineStr">
        <is>
          <t>comodo dome_firewall *</t>
        </is>
      </c>
      <c r="Q298" s="187" t="inlineStr">
        <is>
          <t>P4</t>
        </is>
      </c>
      <c r="R298" s="187" t="inlineStr">
        <is>
          <t>📅 Schedule patch deployment within 30 days | 🔍 Monitor for exploitation attempts</t>
        </is>
      </c>
      <c r="S298" s="187" t="inlineStr">
        <is>
          <t>CVE - IP enrichment n/a</t>
        </is>
      </c>
      <c r="T298" s="187" t="n">
        <v>0</v>
      </c>
      <c r="U298" s="187" t="n">
        <v>0</v>
      </c>
      <c r="V298" s="187" t="inlineStr">
        <is>
          <t>T1189:Drive-by Compromise | T1562:Impair Defenses</t>
        </is>
      </c>
      <c r="W298" s="187" t="n">
        <v>1</v>
      </c>
      <c r="X298" s="187" t="inlineStr">
        <is>
          <t>LOW (40%)</t>
        </is>
      </c>
      <c r="Y298" s="187" t="inlineStr">
        <is>
          <t>UNLIKELY</t>
        </is>
      </c>
      <c r="Z298" s="187" t="inlineStr">
        <is>
          <t>CHECK_VENDOR</t>
        </is>
      </c>
      <c r="AA298" s="187" t="inlineStr">
        <is>
          <t>https://nvd.nist.gov/vuln/detail/CVE-2019-25409</t>
        </is>
      </c>
      <c r="AB298" s="187" t="inlineStr">
        <is>
          <t>NONE</t>
        </is>
      </c>
      <c r="AC298" s="187" t="n">
        <v>0</v>
      </c>
      <c r="AD298" s="187" t="inlineStr"/>
    </row>
    <row r="299">
      <c r="A299" s="187" t="inlineStr">
        <is>
          <t>CVE</t>
        </is>
      </c>
      <c r="B299" s="187" t="inlineStr">
        <is>
          <t>CVE-2019-25410</t>
        </is>
      </c>
      <c r="C299" s="187" t="inlineStr">
        <is>
          <t>Comodo Dome Firewall 2.7.0 contains a reflected cross-site scripting vulnerability that allows attackers to inject malicious scripts through the source and destination parameters. Attackers can submit POST requests to the policy routing endpoint with script payloads in these parameters to execute arbitrary JavaScript in users' browsers.</t>
        </is>
      </c>
      <c r="D299" s="187" t="n">
        <v>6.1</v>
      </c>
      <c r="E299" s="187" t="inlineStr">
        <is>
          <t>MEDIUM</t>
        </is>
      </c>
      <c r="F299" s="187" t="n">
        <v>2</v>
      </c>
      <c r="G299" s="187" t="n">
        <v>2</v>
      </c>
      <c r="H299" s="187" t="inlineStr">
        <is>
          <t>MEDIUM</t>
        </is>
      </c>
      <c r="I299" s="187" t="n">
        <v>10.1</v>
      </c>
      <c r="J299" s="187" t="inlineStr">
        <is>
          <t>NO</t>
        </is>
      </c>
      <c r="K299" s="187" t="inlineStr">
        <is>
          <t>https://nvd.nist.gov/vuln/detail/CVE-2019-25410</t>
        </is>
      </c>
      <c r="L299" s="187" t="inlineStr">
        <is>
          <t>2026-02-26 00:15</t>
        </is>
      </c>
      <c r="M299" s="187" t="inlineStr">
        <is>
          <t>CHECK_VENDOR</t>
        </is>
      </c>
      <c r="N299" s="187" t="inlineStr">
        <is>
          <t>See NVD references</t>
        </is>
      </c>
      <c r="O299" s="187" t="inlineStr">
        <is>
          <t>Apply vendor patches</t>
        </is>
      </c>
      <c r="P299" s="187" t="inlineStr">
        <is>
          <t>comodo dome_firewall 2.7.0</t>
        </is>
      </c>
      <c r="Q299" s="187" t="inlineStr">
        <is>
          <t>P4</t>
        </is>
      </c>
      <c r="R299" s="187" t="inlineStr">
        <is>
          <t>📅 Schedule patch deployment within 30 days | 🔍 Monitor for exploitation attempts</t>
        </is>
      </c>
      <c r="S299" s="187" t="inlineStr">
        <is>
          <t>CVE - IP enrichment n/a</t>
        </is>
      </c>
      <c r="T299" s="187" t="n">
        <v>0</v>
      </c>
      <c r="U299" s="187" t="n">
        <v>0</v>
      </c>
      <c r="V299" s="187" t="inlineStr">
        <is>
          <t>T1189:Drive-by Compromise | T1190:Exploit Public-Facing Application | T1562:Impair Defenses</t>
        </is>
      </c>
      <c r="W299" s="187" t="n">
        <v>1</v>
      </c>
      <c r="X299" s="187" t="inlineStr">
        <is>
          <t>LOW (40%)</t>
        </is>
      </c>
      <c r="Y299" s="187" t="inlineStr">
        <is>
          <t>UNLIKELY</t>
        </is>
      </c>
      <c r="Z299" s="187" t="inlineStr">
        <is>
          <t>CHECK_VENDOR</t>
        </is>
      </c>
      <c r="AA299" s="187" t="inlineStr">
        <is>
          <t>https://nvd.nist.gov/vuln/detail/CVE-2019-25410</t>
        </is>
      </c>
      <c r="AB299" s="187" t="inlineStr">
        <is>
          <t>NONE</t>
        </is>
      </c>
      <c r="AC299" s="187" t="n">
        <v>0</v>
      </c>
      <c r="AD299" s="187" t="inlineStr"/>
    </row>
    <row r="300">
      <c r="A300" s="187" t="inlineStr">
        <is>
          <t>CVE</t>
        </is>
      </c>
      <c r="B300" s="187" t="inlineStr">
        <is>
          <t>CVE-2019-25411</t>
        </is>
      </c>
      <c r="C300" s="187" t="inlineStr">
        <is>
          <t>Comodo Dome Firewall 2.7.0 contains a reflected cross-site scripting vulnerability that allows attackers to inject malicious scripts by manipulating the GATEWAY_GREEN parameter. Attackers can send POST requests to the DHCP configuration endpoint with script payloads to execute arbitrary JavaScript in administrator browsers.</t>
        </is>
      </c>
      <c r="D300" s="187" t="n">
        <v>6.1</v>
      </c>
      <c r="E300" s="187" t="inlineStr">
        <is>
          <t>MEDIUM</t>
        </is>
      </c>
      <c r="F300" s="187" t="n">
        <v>2</v>
      </c>
      <c r="G300" s="187" t="n">
        <v>2</v>
      </c>
      <c r="H300" s="187" t="inlineStr">
        <is>
          <t>MEDIUM</t>
        </is>
      </c>
      <c r="I300" s="187" t="n">
        <v>10.1</v>
      </c>
      <c r="J300" s="187" t="inlineStr">
        <is>
          <t>NO</t>
        </is>
      </c>
      <c r="K300" s="187" t="inlineStr">
        <is>
          <t>https://nvd.nist.gov/vuln/detail/CVE-2019-25411</t>
        </is>
      </c>
      <c r="L300" s="187" t="inlineStr">
        <is>
          <t>2026-02-26 00:15</t>
        </is>
      </c>
      <c r="M300" s="187" t="inlineStr">
        <is>
          <t>CHECK_VENDOR</t>
        </is>
      </c>
      <c r="N300" s="187" t="inlineStr">
        <is>
          <t>See NVD references</t>
        </is>
      </c>
      <c r="O300" s="187" t="inlineStr">
        <is>
          <t>Apply vendor patches</t>
        </is>
      </c>
      <c r="P300" s="187" t="inlineStr">
        <is>
          <t>comodo dome_firewall *</t>
        </is>
      </c>
      <c r="Q300" s="187" t="inlineStr">
        <is>
          <t>P4</t>
        </is>
      </c>
      <c r="R300" s="187" t="inlineStr">
        <is>
          <t>📅 Schedule patch deployment within 30 days | 🔍 Monitor for exploitation attempts</t>
        </is>
      </c>
      <c r="S300" s="187" t="inlineStr">
        <is>
          <t>CVE - IP enrichment n/a</t>
        </is>
      </c>
      <c r="T300" s="187" t="n">
        <v>0.0003</v>
      </c>
      <c r="U300" s="187" t="n">
        <v>0.0881</v>
      </c>
      <c r="V300" s="187" t="inlineStr">
        <is>
          <t>T1189:Drive-by Compromise | T1562:Impair Defenses</t>
        </is>
      </c>
      <c r="W300" s="187" t="n">
        <v>1</v>
      </c>
      <c r="X300" s="187" t="inlineStr">
        <is>
          <t>LOW (40%)</t>
        </is>
      </c>
      <c r="Y300" s="187" t="inlineStr">
        <is>
          <t>UNLIKELY</t>
        </is>
      </c>
      <c r="Z300" s="187" t="inlineStr">
        <is>
          <t>CHECK_VENDOR</t>
        </is>
      </c>
      <c r="AA300" s="187" t="inlineStr">
        <is>
          <t>https://nvd.nist.gov/vuln/detail/CVE-2019-25411</t>
        </is>
      </c>
      <c r="AB300" s="187" t="inlineStr">
        <is>
          <t>NONE</t>
        </is>
      </c>
      <c r="AC300" s="187" t="n">
        <v>0</v>
      </c>
      <c r="AD300" s="187" t="inlineStr"/>
    </row>
    <row r="301">
      <c r="A301" s="187" t="inlineStr">
        <is>
          <t>CVE</t>
        </is>
      </c>
      <c r="B301" s="187" t="inlineStr">
        <is>
          <t>CVE-2019-25412</t>
        </is>
      </c>
      <c r="C301" s="187" t="inlineStr">
        <is>
          <t>Comodo Dome Firewall 2.7.0 contains a reflected cross-site scripting vulnerability that allows attackers to inject malicious scripts by submitting unsanitized input through the NTP_SERVER_LIST parameter. Attackers can send POST requests to the /korugan/time endpoint with script payloads in the NTP_SERVER_LIST parameter to execute arbitrary JavaScript in users' browsers.</t>
        </is>
      </c>
      <c r="D301" s="187" t="n">
        <v>6.1</v>
      </c>
      <c r="E301" s="187" t="inlineStr">
        <is>
          <t>MEDIUM</t>
        </is>
      </c>
      <c r="F301" s="187" t="n">
        <v>2</v>
      </c>
      <c r="G301" s="187" t="n">
        <v>2</v>
      </c>
      <c r="H301" s="187" t="inlineStr">
        <is>
          <t>MEDIUM</t>
        </is>
      </c>
      <c r="I301" s="187" t="n">
        <v>10.1</v>
      </c>
      <c r="J301" s="187" t="inlineStr">
        <is>
          <t>NO</t>
        </is>
      </c>
      <c r="K301" s="187" t="inlineStr">
        <is>
          <t>https://nvd.nist.gov/vuln/detail/CVE-2019-25412</t>
        </is>
      </c>
      <c r="L301" s="187" t="inlineStr">
        <is>
          <t>2026-02-26 00:15</t>
        </is>
      </c>
      <c r="M301" s="187" t="inlineStr">
        <is>
          <t>CHECK_VENDOR</t>
        </is>
      </c>
      <c r="N301" s="187" t="inlineStr">
        <is>
          <t>See NVD references</t>
        </is>
      </c>
      <c r="O301" s="187" t="inlineStr">
        <is>
          <t>Apply vendor patches</t>
        </is>
      </c>
      <c r="P301" s="187" t="inlineStr">
        <is>
          <t>comodo dome_firewall 2.7.0</t>
        </is>
      </c>
      <c r="Q301" s="187" t="inlineStr">
        <is>
          <t>P4</t>
        </is>
      </c>
      <c r="R301" s="187" t="inlineStr">
        <is>
          <t>📅 Schedule patch deployment within 30 days | 🔍 Monitor for exploitation attempts</t>
        </is>
      </c>
      <c r="S301" s="187" t="inlineStr">
        <is>
          <t>CVE - IP enrichment n/a</t>
        </is>
      </c>
      <c r="T301" s="187" t="n">
        <v>0</v>
      </c>
      <c r="U301" s="187" t="n">
        <v>0</v>
      </c>
      <c r="V301" s="187" t="inlineStr">
        <is>
          <t>T1189:Drive-by Compromise | T1562:Impair Defenses</t>
        </is>
      </c>
      <c r="W301" s="187" t="n">
        <v>1</v>
      </c>
      <c r="X301" s="187" t="inlineStr">
        <is>
          <t>LOW (40%)</t>
        </is>
      </c>
      <c r="Y301" s="187" t="inlineStr">
        <is>
          <t>UNLIKELY</t>
        </is>
      </c>
      <c r="Z301" s="187" t="inlineStr">
        <is>
          <t>CHECK_VENDOR</t>
        </is>
      </c>
      <c r="AA301" s="187" t="inlineStr">
        <is>
          <t>https://nvd.nist.gov/vuln/detail/CVE-2019-25412</t>
        </is>
      </c>
      <c r="AB301" s="187" t="inlineStr">
        <is>
          <t>NONE</t>
        </is>
      </c>
      <c r="AC301" s="187" t="n">
        <v>0</v>
      </c>
      <c r="AD301" s="187" t="inlineStr"/>
    </row>
    <row r="302">
      <c r="A302" s="187" t="inlineStr">
        <is>
          <t>CVE</t>
        </is>
      </c>
      <c r="B302" s="187" t="inlineStr">
        <is>
          <t>CVE-2019-25413</t>
        </is>
      </c>
      <c r="C302" s="187" t="inlineStr">
        <is>
          <t>Comodo Dome Firewall 2.7.0 contains a reflected cross-site scripting vulnerability that allows unauthenticated attackers to inject malicious scripts by manipulating the ID parameter. Attackers can craft requests to the /manage/ips/rules/ endpoint with script payloads in the ID parameter to execute arbitrary JavaScript in victim browsers.</t>
        </is>
      </c>
      <c r="D302" s="187" t="n">
        <v>6.1</v>
      </c>
      <c r="E302" s="187" t="inlineStr">
        <is>
          <t>MEDIUM</t>
        </is>
      </c>
      <c r="F302" s="187" t="n">
        <v>2</v>
      </c>
      <c r="G302" s="187" t="n">
        <v>2</v>
      </c>
      <c r="H302" s="187" t="inlineStr">
        <is>
          <t>MEDIUM</t>
        </is>
      </c>
      <c r="I302" s="187" t="n">
        <v>10.1</v>
      </c>
      <c r="J302" s="187" t="inlineStr">
        <is>
          <t>NO</t>
        </is>
      </c>
      <c r="K302" s="187" t="inlineStr">
        <is>
          <t>https://nvd.nist.gov/vuln/detail/CVE-2019-25413</t>
        </is>
      </c>
      <c r="L302" s="187" t="inlineStr">
        <is>
          <t>2026-02-26 00:15</t>
        </is>
      </c>
      <c r="M302" s="187" t="inlineStr">
        <is>
          <t>CHECK_VENDOR</t>
        </is>
      </c>
      <c r="N302" s="187" t="inlineStr">
        <is>
          <t>See NVD references</t>
        </is>
      </c>
      <c r="O302" s="187" t="inlineStr">
        <is>
          <t>Apply vendor patches</t>
        </is>
      </c>
      <c r="P302" s="187" t="inlineStr">
        <is>
          <t>comodo dome_firewall *</t>
        </is>
      </c>
      <c r="Q302" s="187" t="inlineStr">
        <is>
          <t>P4</t>
        </is>
      </c>
      <c r="R302" s="187" t="inlineStr">
        <is>
          <t>📅 Schedule patch deployment within 30 days | 🔍 Monitor for exploitation attempts</t>
        </is>
      </c>
      <c r="S302" s="187" t="inlineStr">
        <is>
          <t>CVE - IP enrichment n/a</t>
        </is>
      </c>
      <c r="T302" s="187" t="n">
        <v>0</v>
      </c>
      <c r="U302" s="187" t="n">
        <v>0</v>
      </c>
      <c r="V302" s="187" t="inlineStr">
        <is>
          <t>T1189:Drive-by Compromise | T1562:Impair Defenses</t>
        </is>
      </c>
      <c r="W302" s="187" t="n">
        <v>1</v>
      </c>
      <c r="X302" s="187" t="inlineStr">
        <is>
          <t>LOW (40%)</t>
        </is>
      </c>
      <c r="Y302" s="187" t="inlineStr">
        <is>
          <t>UNLIKELY</t>
        </is>
      </c>
      <c r="Z302" s="187" t="inlineStr">
        <is>
          <t>CHECK_VENDOR</t>
        </is>
      </c>
      <c r="AA302" s="187" t="inlineStr">
        <is>
          <t>https://nvd.nist.gov/vuln/detail/CVE-2019-25413</t>
        </is>
      </c>
      <c r="AB302" s="187" t="inlineStr">
        <is>
          <t>NONE</t>
        </is>
      </c>
      <c r="AC302" s="187" t="n">
        <v>0</v>
      </c>
      <c r="AD302" s="187" t="inlineStr"/>
    </row>
    <row r="303">
      <c r="A303" s="187" t="inlineStr">
        <is>
          <t>CVE</t>
        </is>
      </c>
      <c r="B303" s="187" t="inlineStr">
        <is>
          <t>CVE-2019-25414</t>
        </is>
      </c>
      <c r="C303" s="187" t="inlineStr">
        <is>
          <t>Comodo Dome Firewall 2.7.0 contains a reflected cross-site scripting vulnerability that allows unauthenticated attackers to inject malicious scripts by manipulating the ID parameter. Attackers can craft requests to the /manage/ips/appid/ endpoint with script payloads in the ID parameter to execute arbitrary JavaScript in victim browsers.</t>
        </is>
      </c>
      <c r="D303" s="187" t="n">
        <v>6.1</v>
      </c>
      <c r="E303" s="187" t="inlineStr">
        <is>
          <t>MEDIUM</t>
        </is>
      </c>
      <c r="F303" s="187" t="n">
        <v>2</v>
      </c>
      <c r="G303" s="187" t="n">
        <v>2</v>
      </c>
      <c r="H303" s="187" t="inlineStr">
        <is>
          <t>MEDIUM</t>
        </is>
      </c>
      <c r="I303" s="187" t="n">
        <v>10.1</v>
      </c>
      <c r="J303" s="187" t="inlineStr">
        <is>
          <t>NO</t>
        </is>
      </c>
      <c r="K303" s="187" t="inlineStr">
        <is>
          <t>https://nvd.nist.gov/vuln/detail/CVE-2019-25414</t>
        </is>
      </c>
      <c r="L303" s="187" t="inlineStr">
        <is>
          <t>2026-02-26 00:15</t>
        </is>
      </c>
      <c r="M303" s="187" t="inlineStr">
        <is>
          <t>CHECK_VENDOR</t>
        </is>
      </c>
      <c r="N303" s="187" t="inlineStr">
        <is>
          <t>See NVD references</t>
        </is>
      </c>
      <c r="O303" s="187" t="inlineStr">
        <is>
          <t>Apply vendor patches</t>
        </is>
      </c>
      <c r="P303" s="187" t="inlineStr">
        <is>
          <t>comodo dome_firewall *</t>
        </is>
      </c>
      <c r="Q303" s="187" t="inlineStr">
        <is>
          <t>P4</t>
        </is>
      </c>
      <c r="R303" s="187" t="inlineStr">
        <is>
          <t>📅 Schedule patch deployment within 30 days | 🔍 Monitor for exploitation attempts</t>
        </is>
      </c>
      <c r="S303" s="187" t="inlineStr">
        <is>
          <t>CVE - IP enrichment n/a</t>
        </is>
      </c>
      <c r="T303" s="187" t="n">
        <v>0.0005999999999999999</v>
      </c>
      <c r="U303" s="187" t="n">
        <v>0.1961</v>
      </c>
      <c r="V303" s="187" t="inlineStr">
        <is>
          <t>T1189:Drive-by Compromise | T1562:Impair Defenses</t>
        </is>
      </c>
      <c r="W303" s="187" t="n">
        <v>1</v>
      </c>
      <c r="X303" s="187" t="inlineStr">
        <is>
          <t>LOW (40%)</t>
        </is>
      </c>
      <c r="Y303" s="187" t="inlineStr">
        <is>
          <t>UNLIKELY</t>
        </is>
      </c>
      <c r="Z303" s="187" t="inlineStr">
        <is>
          <t>CHECK_VENDOR</t>
        </is>
      </c>
      <c r="AA303" s="187" t="inlineStr">
        <is>
          <t>https://nvd.nist.gov/vuln/detail/CVE-2019-25414</t>
        </is>
      </c>
      <c r="AB303" s="187" t="inlineStr">
        <is>
          <t>NONE</t>
        </is>
      </c>
      <c r="AC303" s="187" t="n">
        <v>0</v>
      </c>
      <c r="AD303" s="187" t="inlineStr"/>
    </row>
    <row r="304">
      <c r="A304" s="187" t="inlineStr">
        <is>
          <t>CVE</t>
        </is>
      </c>
      <c r="B304" s="187" t="inlineStr">
        <is>
          <t>CVE-2019-25415</t>
        </is>
      </c>
      <c r="C304" s="187" t="inlineStr">
        <is>
          <t>Comodo Dome Firewall 2.7.0 contains a reflected cross-site scripting vulnerability that allows attackers to inject malicious scripts by submitting unsanitized input to the hotspot_permanent_users endpoint. Attackers can send POST requests with JavaScript payloads in the MACADDRESSES parameter to execute arbitrary scripts in users' browsers.</t>
        </is>
      </c>
      <c r="D304" s="187" t="n">
        <v>6.1</v>
      </c>
      <c r="E304" s="187" t="inlineStr">
        <is>
          <t>MEDIUM</t>
        </is>
      </c>
      <c r="F304" s="187" t="n">
        <v>2</v>
      </c>
      <c r="G304" s="187" t="n">
        <v>2</v>
      </c>
      <c r="H304" s="187" t="inlineStr">
        <is>
          <t>MEDIUM</t>
        </is>
      </c>
      <c r="I304" s="187" t="n">
        <v>10.1</v>
      </c>
      <c r="J304" s="187" t="inlineStr">
        <is>
          <t>NO</t>
        </is>
      </c>
      <c r="K304" s="187" t="inlineStr">
        <is>
          <t>https://nvd.nist.gov/vuln/detail/CVE-2019-25415</t>
        </is>
      </c>
      <c r="L304" s="187" t="inlineStr">
        <is>
          <t>2026-02-26 00:15</t>
        </is>
      </c>
      <c r="M304" s="187" t="inlineStr">
        <is>
          <t>CHECK_VENDOR</t>
        </is>
      </c>
      <c r="N304" s="187" t="inlineStr">
        <is>
          <t>See NVD references</t>
        </is>
      </c>
      <c r="O304" s="187" t="inlineStr">
        <is>
          <t>Apply vendor patches</t>
        </is>
      </c>
      <c r="P304" s="187" t="inlineStr">
        <is>
          <t>comodo dome_firewall 2.7.0</t>
        </is>
      </c>
      <c r="Q304" s="187" t="inlineStr">
        <is>
          <t>P4</t>
        </is>
      </c>
      <c r="R304" s="187" t="inlineStr">
        <is>
          <t>📅 Schedule patch deployment within 30 days | 🔍 Monitor for exploitation attempts</t>
        </is>
      </c>
      <c r="S304" s="187" t="inlineStr">
        <is>
          <t>CVE - IP enrichment n/a</t>
        </is>
      </c>
      <c r="T304" s="187" t="n">
        <v>0</v>
      </c>
      <c r="U304" s="187" t="n">
        <v>0</v>
      </c>
      <c r="V304" s="187" t="inlineStr">
        <is>
          <t>T1189:Drive-by Compromise | T1562:Impair Defenses</t>
        </is>
      </c>
      <c r="W304" s="187" t="n">
        <v>1</v>
      </c>
      <c r="X304" s="187" t="inlineStr">
        <is>
          <t>LOW (40%)</t>
        </is>
      </c>
      <c r="Y304" s="187" t="inlineStr">
        <is>
          <t>UNLIKELY</t>
        </is>
      </c>
      <c r="Z304" s="187" t="inlineStr">
        <is>
          <t>CHECK_VENDOR</t>
        </is>
      </c>
      <c r="AA304" s="187" t="inlineStr">
        <is>
          <t>https://nvd.nist.gov/vuln/detail/CVE-2019-25415</t>
        </is>
      </c>
      <c r="AB304" s="187" t="inlineStr">
        <is>
          <t>NONE</t>
        </is>
      </c>
      <c r="AC304" s="187" t="n">
        <v>0</v>
      </c>
      <c r="AD304" s="187" t="inlineStr"/>
    </row>
    <row r="305">
      <c r="A305" s="187" t="inlineStr">
        <is>
          <t>CVE</t>
        </is>
      </c>
      <c r="B305" s="187" t="inlineStr">
        <is>
          <t>CVE-2019-25416</t>
        </is>
      </c>
      <c r="C305" s="187" t="inlineStr">
        <is>
          <t>Comodo Dome Firewall 2.7.0 contains a reflected cross-site scripting vulnerability that allows attackers to inject malicious scripts by submitting crafted input through the device parameter. Attackers can send POST requests to the QoS devices management endpoint with script payloads in the device parameter to execute arbitrary JavaScript in users' browsers.</t>
        </is>
      </c>
      <c r="D305" s="187" t="n">
        <v>6.1</v>
      </c>
      <c r="E305" s="187" t="inlineStr">
        <is>
          <t>MEDIUM</t>
        </is>
      </c>
      <c r="F305" s="187" t="n">
        <v>2</v>
      </c>
      <c r="G305" s="187" t="n">
        <v>2</v>
      </c>
      <c r="H305" s="187" t="inlineStr">
        <is>
          <t>MEDIUM</t>
        </is>
      </c>
      <c r="I305" s="187" t="n">
        <v>10.1</v>
      </c>
      <c r="J305" s="187" t="inlineStr">
        <is>
          <t>NO</t>
        </is>
      </c>
      <c r="K305" s="187" t="inlineStr">
        <is>
          <t>https://nvd.nist.gov/vuln/detail/CVE-2019-25416</t>
        </is>
      </c>
      <c r="L305" s="187" t="inlineStr">
        <is>
          <t>2026-02-26 00:15</t>
        </is>
      </c>
      <c r="M305" s="187" t="inlineStr">
        <is>
          <t>CHECK_VENDOR</t>
        </is>
      </c>
      <c r="N305" s="187" t="inlineStr">
        <is>
          <t>See NVD references</t>
        </is>
      </c>
      <c r="O305" s="187" t="inlineStr">
        <is>
          <t>Apply vendor patches</t>
        </is>
      </c>
      <c r="P305" s="187" t="inlineStr">
        <is>
          <t>comodo dome_firewall *</t>
        </is>
      </c>
      <c r="Q305" s="187" t="inlineStr">
        <is>
          <t>P4</t>
        </is>
      </c>
      <c r="R305" s="187" t="inlineStr">
        <is>
          <t>📅 Schedule patch deployment within 30 days | 🔍 Monitor for exploitation attempts</t>
        </is>
      </c>
      <c r="S305" s="187" t="inlineStr">
        <is>
          <t>CVE - IP enrichment n/a</t>
        </is>
      </c>
      <c r="T305" s="187" t="n">
        <v>0</v>
      </c>
      <c r="U305" s="187" t="n">
        <v>0</v>
      </c>
      <c r="V305" s="187" t="inlineStr">
        <is>
          <t>T1189:Drive-by Compromise | T1562:Impair Defenses</t>
        </is>
      </c>
      <c r="W305" s="187" t="n">
        <v>1</v>
      </c>
      <c r="X305" s="187" t="inlineStr">
        <is>
          <t>LOW (40%)</t>
        </is>
      </c>
      <c r="Y305" s="187" t="inlineStr">
        <is>
          <t>UNLIKELY</t>
        </is>
      </c>
      <c r="Z305" s="187" t="inlineStr">
        <is>
          <t>CHECK_VENDOR</t>
        </is>
      </c>
      <c r="AA305" s="187" t="inlineStr">
        <is>
          <t>https://nvd.nist.gov/vuln/detail/CVE-2019-25416</t>
        </is>
      </c>
      <c r="AB305" s="187" t="inlineStr">
        <is>
          <t>NONE</t>
        </is>
      </c>
      <c r="AC305" s="187" t="n">
        <v>0</v>
      </c>
      <c r="AD305" s="187" t="inlineStr"/>
    </row>
    <row r="306">
      <c r="A306" s="187" t="inlineStr">
        <is>
          <t>CVE</t>
        </is>
      </c>
      <c r="B306" s="187" t="inlineStr">
        <is>
          <t>CVE-2019-25417</t>
        </is>
      </c>
      <c r="C306" s="187" t="inlineStr">
        <is>
          <t>Comodo Dome Firewall 2.7.0 contains a reflected cross-site scripting vulnerability that allows attackers to inject malicious scripts by submitting crafted input to the protocol parameter. Attackers can send POST requests to the QoS rules management endpoint with JavaScript payloads in the protocol parameter to execute arbitrary code in administrator browsers.</t>
        </is>
      </c>
      <c r="D306" s="187" t="n">
        <v>6.1</v>
      </c>
      <c r="E306" s="187" t="inlineStr">
        <is>
          <t>MEDIUM</t>
        </is>
      </c>
      <c r="F306" s="187" t="n">
        <v>2</v>
      </c>
      <c r="G306" s="187" t="n">
        <v>2</v>
      </c>
      <c r="H306" s="187" t="inlineStr">
        <is>
          <t>MEDIUM</t>
        </is>
      </c>
      <c r="I306" s="187" t="n">
        <v>10.1</v>
      </c>
      <c r="J306" s="187" t="inlineStr">
        <is>
          <t>NO</t>
        </is>
      </c>
      <c r="K306" s="187" t="inlineStr">
        <is>
          <t>https://nvd.nist.gov/vuln/detail/CVE-2019-25417</t>
        </is>
      </c>
      <c r="L306" s="187" t="inlineStr">
        <is>
          <t>2026-02-26 00:15</t>
        </is>
      </c>
      <c r="M306" s="187" t="inlineStr">
        <is>
          <t>CHECK_VENDOR</t>
        </is>
      </c>
      <c r="N306" s="187" t="inlineStr">
        <is>
          <t>See NVD references</t>
        </is>
      </c>
      <c r="O306" s="187" t="inlineStr">
        <is>
          <t>Apply vendor patches</t>
        </is>
      </c>
      <c r="P306" s="187" t="inlineStr">
        <is>
          <t>comodo dome_firewall *</t>
        </is>
      </c>
      <c r="Q306" s="187" t="inlineStr">
        <is>
          <t>P4</t>
        </is>
      </c>
      <c r="R306" s="187" t="inlineStr">
        <is>
          <t>📅 Schedule patch deployment within 30 days | 🔍 Monitor for exploitation attempts</t>
        </is>
      </c>
      <c r="S306" s="187" t="inlineStr">
        <is>
          <t>CVE - IP enrichment n/a</t>
        </is>
      </c>
      <c r="T306" s="187" t="n">
        <v>0.0004</v>
      </c>
      <c r="U306" s="187" t="n">
        <v>0.1036</v>
      </c>
      <c r="V306" s="187" t="inlineStr">
        <is>
          <t>T1189:Drive-by Compromise | T1203:Exploitation for Client Execution | T1562:Impair Defenses</t>
        </is>
      </c>
      <c r="W306" s="187" t="n">
        <v>1</v>
      </c>
      <c r="X306" s="187" t="inlineStr">
        <is>
          <t>LOW (40%)</t>
        </is>
      </c>
      <c r="Y306" s="187" t="inlineStr">
        <is>
          <t>UNLIKELY</t>
        </is>
      </c>
      <c r="Z306" s="187" t="inlineStr">
        <is>
          <t>CHECK_VENDOR</t>
        </is>
      </c>
      <c r="AA306" s="187" t="inlineStr">
        <is>
          <t>https://nvd.nist.gov/vuln/detail/CVE-2019-25417</t>
        </is>
      </c>
      <c r="AB306" s="187" t="inlineStr">
        <is>
          <t>NONE</t>
        </is>
      </c>
      <c r="AC306" s="187" t="n">
        <v>0</v>
      </c>
      <c r="AD306" s="187" t="inlineStr"/>
    </row>
    <row r="307">
      <c r="A307" s="187" t="inlineStr">
        <is>
          <t>CVE</t>
        </is>
      </c>
      <c r="B307" s="187" t="inlineStr">
        <is>
          <t>CVE-2019-25418</t>
        </is>
      </c>
      <c r="C307" s="187" t="inlineStr">
        <is>
          <t>Comodo Dome Firewall 2.7.0 contains a reflected cross-site scripting vulnerability that allows attackers to inject malicious scripts by submitting crafted input to the FWADDRESSES parameter. Attackers can send POST requests to the /korugan/fwgroups endpoint with script payloads to execute arbitrary JavaScript in users' browsers and steal session data.</t>
        </is>
      </c>
      <c r="D307" s="187" t="n">
        <v>6.1</v>
      </c>
      <c r="E307" s="187" t="inlineStr">
        <is>
          <t>MEDIUM</t>
        </is>
      </c>
      <c r="F307" s="187" t="n">
        <v>2</v>
      </c>
      <c r="G307" s="187" t="n">
        <v>2</v>
      </c>
      <c r="H307" s="187" t="inlineStr">
        <is>
          <t>MEDIUM</t>
        </is>
      </c>
      <c r="I307" s="187" t="n">
        <v>10.1</v>
      </c>
      <c r="J307" s="187" t="inlineStr">
        <is>
          <t>NO</t>
        </is>
      </c>
      <c r="K307" s="187" t="inlineStr">
        <is>
          <t>https://nvd.nist.gov/vuln/detail/CVE-2019-25418</t>
        </is>
      </c>
      <c r="L307" s="187" t="inlineStr">
        <is>
          <t>2026-02-26 00:15</t>
        </is>
      </c>
      <c r="M307" s="187" t="inlineStr">
        <is>
          <t>CHECK_VENDOR</t>
        </is>
      </c>
      <c r="N307" s="187" t="inlineStr">
        <is>
          <t>See NVD references</t>
        </is>
      </c>
      <c r="O307" s="187" t="inlineStr">
        <is>
          <t>Apply vendor patches</t>
        </is>
      </c>
      <c r="P307" s="187" t="inlineStr">
        <is>
          <t>comodo dome_firewall *</t>
        </is>
      </c>
      <c r="Q307" s="187" t="inlineStr">
        <is>
          <t>P4</t>
        </is>
      </c>
      <c r="R307" s="187" t="inlineStr">
        <is>
          <t>📅 Schedule patch deployment within 30 days | 🔍 Monitor for exploitation attempts</t>
        </is>
      </c>
      <c r="S307" s="187" t="inlineStr">
        <is>
          <t>CVE - IP enrichment n/a</t>
        </is>
      </c>
      <c r="T307" s="187" t="n">
        <v>0</v>
      </c>
      <c r="U307" s="187" t="n">
        <v>0</v>
      </c>
      <c r="V307" s="187" t="inlineStr">
        <is>
          <t>T1189:Drive-by Compromise | T1562:Impair Defenses</t>
        </is>
      </c>
      <c r="W307" s="187" t="n">
        <v>1</v>
      </c>
      <c r="X307" s="187" t="inlineStr">
        <is>
          <t>LOW (40%)</t>
        </is>
      </c>
      <c r="Y307" s="187" t="inlineStr">
        <is>
          <t>UNLIKELY</t>
        </is>
      </c>
      <c r="Z307" s="187" t="inlineStr">
        <is>
          <t>CHECK_VENDOR</t>
        </is>
      </c>
      <c r="AA307" s="187" t="inlineStr">
        <is>
          <t>https://nvd.nist.gov/vuln/detail/CVE-2019-25418</t>
        </is>
      </c>
      <c r="AB307" s="187" t="inlineStr">
        <is>
          <t>NONE</t>
        </is>
      </c>
      <c r="AC307" s="187" t="n">
        <v>0</v>
      </c>
      <c r="AD307" s="187" t="inlineStr"/>
    </row>
    <row r="308">
      <c r="A308" s="188" t="inlineStr">
        <is>
          <t>CVE</t>
        </is>
      </c>
      <c r="B308" s="188" t="inlineStr">
        <is>
          <t>CVE-2019-25419</t>
        </is>
      </c>
      <c r="C308" s="188" t="inlineStr">
        <is>
          <t>Comodo Dome Firewall 2.7.0 contains a stored cross-site scripting vulnerability that allows attackers to inject malicious scripts by submitting crafted input to the schedule endpoint. Attackers can submit POST requests with JavaScript payloads in the SCHNAME parameter to execute arbitrary code in administrators' browsers when the schedule page is accessed.</t>
        </is>
      </c>
      <c r="D308" s="188" t="n">
        <v>7.2</v>
      </c>
      <c r="E308" s="188" t="inlineStr">
        <is>
          <t>HIGH</t>
        </is>
      </c>
      <c r="F308" s="188" t="n">
        <v>2</v>
      </c>
      <c r="G308" s="188" t="n">
        <v>3</v>
      </c>
      <c r="H308" s="188" t="inlineStr">
        <is>
          <t>HIGH</t>
        </is>
      </c>
      <c r="I308" s="188" t="n">
        <v>13.2</v>
      </c>
      <c r="J308" s="188" t="inlineStr">
        <is>
          <t>NO</t>
        </is>
      </c>
      <c r="K308" s="188" t="inlineStr">
        <is>
          <t>https://nvd.nist.gov/vuln/detail/CVE-2019-25419</t>
        </is>
      </c>
      <c r="L308" s="188" t="inlineStr">
        <is>
          <t>2026-02-26 00:15</t>
        </is>
      </c>
      <c r="M308" s="188" t="inlineStr">
        <is>
          <t>CHECK_VENDOR</t>
        </is>
      </c>
      <c r="N308" s="188" t="inlineStr">
        <is>
          <t>See NVD references</t>
        </is>
      </c>
      <c r="O308" s="188" t="inlineStr">
        <is>
          <t>Apply vendor patches</t>
        </is>
      </c>
      <c r="P308" s="188" t="inlineStr">
        <is>
          <t>comodo dome_firewall *</t>
        </is>
      </c>
      <c r="Q308" s="188" t="inlineStr">
        <is>
          <t>P3</t>
        </is>
      </c>
      <c r="R308" s="188" t="inlineStr">
        <is>
          <t>🚨 URGENT: Apply vendor patches immediately | 🔒 Isolate affected systems if patch unavailable | 🛡️ Enable additional monitoring/IDS rules</t>
        </is>
      </c>
      <c r="S308" s="188" t="inlineStr">
        <is>
          <t>CVE - IP enrichment n/a</t>
        </is>
      </c>
      <c r="T308" s="188" t="n">
        <v>0</v>
      </c>
      <c r="U308" s="188" t="n">
        <v>0</v>
      </c>
      <c r="V308" s="188" t="inlineStr">
        <is>
          <t>T1189:Drive-by Compromise | T1203:Exploitation for Client Execution | T1562:Impair Defenses</t>
        </is>
      </c>
      <c r="W308" s="188" t="n">
        <v>1</v>
      </c>
      <c r="X308" s="188" t="inlineStr">
        <is>
          <t>LOW (40%)</t>
        </is>
      </c>
      <c r="Y308" s="188" t="inlineStr">
        <is>
          <t>UNLIKELY</t>
        </is>
      </c>
      <c r="Z308" s="188" t="inlineStr">
        <is>
          <t>CHECK_VENDOR</t>
        </is>
      </c>
      <c r="AA308" s="188" t="inlineStr">
        <is>
          <t>https://nvd.nist.gov/vuln/detail/CVE-2019-25419</t>
        </is>
      </c>
      <c r="AB308" s="188" t="inlineStr">
        <is>
          <t>NONE</t>
        </is>
      </c>
      <c r="AC308" s="188" t="n">
        <v>0</v>
      </c>
      <c r="AD308" s="188" t="inlineStr"/>
    </row>
    <row r="309">
      <c r="A309" s="187" t="inlineStr">
        <is>
          <t>CVE</t>
        </is>
      </c>
      <c r="B309" s="187" t="inlineStr">
        <is>
          <t>CVE-2019-25420</t>
        </is>
      </c>
      <c r="C309" s="187" t="inlineStr">
        <is>
          <t>Comodo Dome Firewall 2.7.0 contains a reflected cross-site scripting vulnerability that allows attackers to inject malicious scripts by submitting crafted input to the snat endpoint. Attackers can send POST requests with JavaScript payloads in the port or snat_to_ip parameters to execute arbitrary scripts in users' browsers.</t>
        </is>
      </c>
      <c r="D309" s="187" t="n">
        <v>6.1</v>
      </c>
      <c r="E309" s="187" t="inlineStr">
        <is>
          <t>MEDIUM</t>
        </is>
      </c>
      <c r="F309" s="187" t="n">
        <v>2</v>
      </c>
      <c r="G309" s="187" t="n">
        <v>2</v>
      </c>
      <c r="H309" s="187" t="inlineStr">
        <is>
          <t>MEDIUM</t>
        </is>
      </c>
      <c r="I309" s="187" t="n">
        <v>10.1</v>
      </c>
      <c r="J309" s="187" t="inlineStr">
        <is>
          <t>NO</t>
        </is>
      </c>
      <c r="K309" s="187" t="inlineStr">
        <is>
          <t>https://nvd.nist.gov/vuln/detail/CVE-2019-25420</t>
        </is>
      </c>
      <c r="L309" s="187" t="inlineStr">
        <is>
          <t>2026-02-26 00:15</t>
        </is>
      </c>
      <c r="M309" s="187" t="inlineStr">
        <is>
          <t>CHECK_VENDOR</t>
        </is>
      </c>
      <c r="N309" s="187" t="inlineStr">
        <is>
          <t>See NVD references</t>
        </is>
      </c>
      <c r="O309" s="187" t="inlineStr">
        <is>
          <t>Apply vendor patches</t>
        </is>
      </c>
      <c r="P309" s="187" t="inlineStr">
        <is>
          <t>comodo dome_firewall *</t>
        </is>
      </c>
      <c r="Q309" s="187" t="inlineStr">
        <is>
          <t>P4</t>
        </is>
      </c>
      <c r="R309" s="187" t="inlineStr">
        <is>
          <t>📅 Schedule patch deployment within 30 days | 🔍 Monitor for exploitation attempts</t>
        </is>
      </c>
      <c r="S309" s="187" t="inlineStr">
        <is>
          <t>CVE - IP enrichment n/a</t>
        </is>
      </c>
      <c r="T309" s="187" t="n">
        <v>0</v>
      </c>
      <c r="U309" s="187" t="n">
        <v>0</v>
      </c>
      <c r="V309" s="187" t="inlineStr">
        <is>
          <t>T1189:Drive-by Compromise | T1562:Impair Defenses</t>
        </is>
      </c>
      <c r="W309" s="187" t="n">
        <v>1</v>
      </c>
      <c r="X309" s="187" t="inlineStr">
        <is>
          <t>LOW (40%)</t>
        </is>
      </c>
      <c r="Y309" s="187" t="inlineStr">
        <is>
          <t>UNLIKELY</t>
        </is>
      </c>
      <c r="Z309" s="187" t="inlineStr">
        <is>
          <t>CHECK_VENDOR</t>
        </is>
      </c>
      <c r="AA309" s="187" t="inlineStr">
        <is>
          <t>https://nvd.nist.gov/vuln/detail/CVE-2019-25420</t>
        </is>
      </c>
      <c r="AB309" s="187" t="inlineStr">
        <is>
          <t>NONE</t>
        </is>
      </c>
      <c r="AC309" s="187" t="n">
        <v>0</v>
      </c>
      <c r="AD309" s="187" t="inlineStr"/>
    </row>
    <row r="310">
      <c r="A310" s="187" t="inlineStr">
        <is>
          <t>CVE</t>
        </is>
      </c>
      <c r="B310" s="187" t="inlineStr">
        <is>
          <t>CVE-2019-25421</t>
        </is>
      </c>
      <c r="C310" s="187" t="inlineStr">
        <is>
          <t>Comodo Dome Firewall 2.7.0 contains multiple cross-site scripting vulnerabilities that allow attackers to inject malicious scripts through the policyfw endpoint. Attackers can submit POST requests with JavaScript payloads in the mac, target, and remark parameters to execute arbitrary code in administrator browsers or store persistent scripts in the application.</t>
        </is>
      </c>
      <c r="D310" s="187" t="n">
        <v>6.1</v>
      </c>
      <c r="E310" s="187" t="inlineStr">
        <is>
          <t>MEDIUM</t>
        </is>
      </c>
      <c r="F310" s="187" t="n">
        <v>2</v>
      </c>
      <c r="G310" s="187" t="n">
        <v>2</v>
      </c>
      <c r="H310" s="187" t="inlineStr">
        <is>
          <t>MEDIUM</t>
        </is>
      </c>
      <c r="I310" s="187" t="n">
        <v>10.1</v>
      </c>
      <c r="J310" s="187" t="inlineStr">
        <is>
          <t>NO</t>
        </is>
      </c>
      <c r="K310" s="187" t="inlineStr">
        <is>
          <t>https://nvd.nist.gov/vuln/detail/CVE-2019-25421</t>
        </is>
      </c>
      <c r="L310" s="187" t="inlineStr">
        <is>
          <t>2026-02-26 00:15</t>
        </is>
      </c>
      <c r="M310" s="187" t="inlineStr">
        <is>
          <t>CHECK_VENDOR</t>
        </is>
      </c>
      <c r="N310" s="187" t="inlineStr">
        <is>
          <t>See NVD references</t>
        </is>
      </c>
      <c r="O310" s="187" t="inlineStr">
        <is>
          <t>Apply vendor patches</t>
        </is>
      </c>
      <c r="P310" s="187" t="inlineStr">
        <is>
          <t>comodo dome_firewall *</t>
        </is>
      </c>
      <c r="Q310" s="187" t="inlineStr">
        <is>
          <t>P4</t>
        </is>
      </c>
      <c r="R310" s="187" t="inlineStr">
        <is>
          <t>📅 Schedule patch deployment within 30 days | 🔍 Monitor for exploitation attempts</t>
        </is>
      </c>
      <c r="S310" s="187" t="inlineStr">
        <is>
          <t>CVE - IP enrichment n/a</t>
        </is>
      </c>
      <c r="T310" s="187" t="n">
        <v>0</v>
      </c>
      <c r="U310" s="187" t="n">
        <v>0</v>
      </c>
      <c r="V310" s="187" t="inlineStr">
        <is>
          <t>T1189:Drive-by Compromise | T1203:Exploitation for Client Execution | T1562:Impair Defenses</t>
        </is>
      </c>
      <c r="W310" s="187" t="n">
        <v>1</v>
      </c>
      <c r="X310" s="187" t="inlineStr">
        <is>
          <t>LOW (40%)</t>
        </is>
      </c>
      <c r="Y310" s="187" t="inlineStr">
        <is>
          <t>UNLIKELY</t>
        </is>
      </c>
      <c r="Z310" s="187" t="inlineStr">
        <is>
          <t>CHECK_VENDOR</t>
        </is>
      </c>
      <c r="AA310" s="187" t="inlineStr">
        <is>
          <t>https://nvd.nist.gov/vuln/detail/CVE-2019-25421</t>
        </is>
      </c>
      <c r="AB310" s="187" t="inlineStr">
        <is>
          <t>NONE</t>
        </is>
      </c>
      <c r="AC310" s="187" t="n">
        <v>0</v>
      </c>
      <c r="AD310" s="187" t="inlineStr"/>
    </row>
    <row r="311">
      <c r="A311" s="188" t="inlineStr">
        <is>
          <t>CVE</t>
        </is>
      </c>
      <c r="B311" s="188" t="inlineStr">
        <is>
          <t>CVE-2019-25422</t>
        </is>
      </c>
      <c r="C311" s="188" t="inlineStr">
        <is>
          <t>Comodo Dome Firewall 2.7.0 contains cross-site scripting vulnerabilities that allow attackers to inject malicious scripts through the vpnfw endpoint. Attackers can submit POST requests with script payloads in the target parameter for reflected XSS or the remark parameter for stored XSS to execute arbitrary JavaScript in administrator browsers.</t>
        </is>
      </c>
      <c r="D311" s="188" t="n">
        <v>7.2</v>
      </c>
      <c r="E311" s="188" t="inlineStr">
        <is>
          <t>HIGH</t>
        </is>
      </c>
      <c r="F311" s="188" t="n">
        <v>2</v>
      </c>
      <c r="G311" s="188" t="n">
        <v>3</v>
      </c>
      <c r="H311" s="188" t="inlineStr">
        <is>
          <t>HIGH</t>
        </is>
      </c>
      <c r="I311" s="188" t="n">
        <v>13.2</v>
      </c>
      <c r="J311" s="188" t="inlineStr">
        <is>
          <t>NO</t>
        </is>
      </c>
      <c r="K311" s="188" t="inlineStr">
        <is>
          <t>https://nvd.nist.gov/vuln/detail/CVE-2019-25422</t>
        </is>
      </c>
      <c r="L311" s="188" t="inlineStr">
        <is>
          <t>2026-02-26 00:15</t>
        </is>
      </c>
      <c r="M311" s="188" t="inlineStr">
        <is>
          <t>CHECK_VENDOR</t>
        </is>
      </c>
      <c r="N311" s="188" t="inlineStr">
        <is>
          <t>See NVD references</t>
        </is>
      </c>
      <c r="O311" s="188" t="inlineStr">
        <is>
          <t>Apply vendor patches</t>
        </is>
      </c>
      <c r="P311" s="188" t="inlineStr">
        <is>
          <t>comodo dome_firewall *</t>
        </is>
      </c>
      <c r="Q311" s="188" t="inlineStr">
        <is>
          <t>P3</t>
        </is>
      </c>
      <c r="R311" s="188" t="inlineStr">
        <is>
          <t>🚨 URGENT: Apply vendor patches immediately | 🔒 Isolate affected systems if patch unavailable | 🛡️ Enable additional monitoring/IDS rules</t>
        </is>
      </c>
      <c r="S311" s="188" t="inlineStr">
        <is>
          <t>CVE - IP enrichment n/a</t>
        </is>
      </c>
      <c r="T311" s="188" t="n">
        <v>0</v>
      </c>
      <c r="U311" s="188" t="n">
        <v>0</v>
      </c>
      <c r="V311" s="188" t="inlineStr">
        <is>
          <t>T1189:Drive-by Compromise | T1133:External Remote Services | T1562:Impair Defenses</t>
        </is>
      </c>
      <c r="W311" s="188" t="n">
        <v>1</v>
      </c>
      <c r="X311" s="188" t="inlineStr">
        <is>
          <t>LOW (40%)</t>
        </is>
      </c>
      <c r="Y311" s="188" t="inlineStr">
        <is>
          <t>UNLIKELY</t>
        </is>
      </c>
      <c r="Z311" s="188" t="inlineStr">
        <is>
          <t>CHECK_VENDOR</t>
        </is>
      </c>
      <c r="AA311" s="188" t="inlineStr">
        <is>
          <t>https://nvd.nist.gov/vuln/detail/CVE-2019-25422</t>
        </is>
      </c>
      <c r="AB311" s="188" t="inlineStr">
        <is>
          <t>NONE</t>
        </is>
      </c>
      <c r="AC311" s="188" t="n">
        <v>0</v>
      </c>
      <c r="AD311" s="188" t="inlineStr"/>
    </row>
    <row r="312">
      <c r="A312" s="187" t="inlineStr">
        <is>
          <t>CVE</t>
        </is>
      </c>
      <c r="B312" s="187" t="inlineStr">
        <is>
          <t>CVE-2019-25423</t>
        </is>
      </c>
      <c r="C312" s="187" t="inlineStr">
        <is>
          <t>Comodo Dome Firewall 2.7.0 contains multiple reflected cross-site scripting vulnerabilities in the /korugan/proxyconfig endpoint that allow attackers to inject malicious scripts through POST parameters. Attackers can submit crafted POST requests with JavaScript payloads in parameters like PROXY_PORT, VISIBLE_HOSTNAME, ADMIN_MAIL_ADDRESS, CACHE_MEM, MAX_SIZE, MIN_SIZE, and DST_NOCACHE to execute arbitrary scripts in administrator browsers.</t>
        </is>
      </c>
      <c r="D312" s="187" t="n">
        <v>6.1</v>
      </c>
      <c r="E312" s="187" t="inlineStr">
        <is>
          <t>MEDIUM</t>
        </is>
      </c>
      <c r="F312" s="187" t="n">
        <v>2</v>
      </c>
      <c r="G312" s="187" t="n">
        <v>2</v>
      </c>
      <c r="H312" s="187" t="inlineStr">
        <is>
          <t>MEDIUM</t>
        </is>
      </c>
      <c r="I312" s="187" t="n">
        <v>10.1</v>
      </c>
      <c r="J312" s="187" t="inlineStr">
        <is>
          <t>NO</t>
        </is>
      </c>
      <c r="K312" s="187" t="inlineStr">
        <is>
          <t>https://nvd.nist.gov/vuln/detail/CVE-2019-25423</t>
        </is>
      </c>
      <c r="L312" s="187" t="inlineStr">
        <is>
          <t>2026-02-26 00:15</t>
        </is>
      </c>
      <c r="M312" s="187" t="inlineStr">
        <is>
          <t>CHECK_VENDOR</t>
        </is>
      </c>
      <c r="N312" s="187" t="inlineStr">
        <is>
          <t>See NVD references</t>
        </is>
      </c>
      <c r="O312" s="187" t="inlineStr">
        <is>
          <t>Apply vendor patches</t>
        </is>
      </c>
      <c r="P312" s="187" t="inlineStr">
        <is>
          <t>comodo dome_firewall *</t>
        </is>
      </c>
      <c r="Q312" s="187" t="inlineStr">
        <is>
          <t>P4</t>
        </is>
      </c>
      <c r="R312" s="187" t="inlineStr">
        <is>
          <t>📅 Schedule patch deployment within 30 days | 🔍 Monitor for exploitation attempts</t>
        </is>
      </c>
      <c r="S312" s="187" t="inlineStr">
        <is>
          <t>CVE - IP enrichment n/a</t>
        </is>
      </c>
      <c r="T312" s="187" t="n">
        <v>0</v>
      </c>
      <c r="U312" s="187" t="n">
        <v>0</v>
      </c>
      <c r="V312" s="187" t="inlineStr">
        <is>
          <t>T1189:Drive-by Compromise | T1562:Impair Defenses</t>
        </is>
      </c>
      <c r="W312" s="187" t="n">
        <v>1</v>
      </c>
      <c r="X312" s="187" t="inlineStr">
        <is>
          <t>LOW (40%)</t>
        </is>
      </c>
      <c r="Y312" s="187" t="inlineStr">
        <is>
          <t>UNLIKELY</t>
        </is>
      </c>
      <c r="Z312" s="187" t="inlineStr">
        <is>
          <t>CHECK_VENDOR</t>
        </is>
      </c>
      <c r="AA312" s="187" t="inlineStr">
        <is>
          <t>https://nvd.nist.gov/vuln/detail/CVE-2019-25423</t>
        </is>
      </c>
      <c r="AB312" s="187" t="inlineStr">
        <is>
          <t>NONE</t>
        </is>
      </c>
      <c r="AC312" s="187" t="n">
        <v>0</v>
      </c>
      <c r="AD312" s="187" t="inlineStr"/>
    </row>
    <row r="313">
      <c r="A313" s="187" t="inlineStr">
        <is>
          <t>CVE</t>
        </is>
      </c>
      <c r="B313" s="187" t="inlineStr">
        <is>
          <t>CVE-2019-25424</t>
        </is>
      </c>
      <c r="C313" s="187" t="inlineStr">
        <is>
          <t>Comodo Dome Firewall 2.7.0 contains a reflected cross-site scripting vulnerability that allows attackers to inject malicious scripts by submitting unsanitized input to the EXCEPTIONSITELIST parameter. Attackers can craft POST requests to the https_exceptions endpoint with script payloads to execute arbitrary JavaScript in users' browsers and steal session data.</t>
        </is>
      </c>
      <c r="D313" s="187" t="n">
        <v>6.1</v>
      </c>
      <c r="E313" s="187" t="inlineStr">
        <is>
          <t>MEDIUM</t>
        </is>
      </c>
      <c r="F313" s="187" t="n">
        <v>2</v>
      </c>
      <c r="G313" s="187" t="n">
        <v>2</v>
      </c>
      <c r="H313" s="187" t="inlineStr">
        <is>
          <t>MEDIUM</t>
        </is>
      </c>
      <c r="I313" s="187" t="n">
        <v>10.1</v>
      </c>
      <c r="J313" s="187" t="inlineStr">
        <is>
          <t>NO</t>
        </is>
      </c>
      <c r="K313" s="187" t="inlineStr">
        <is>
          <t>https://nvd.nist.gov/vuln/detail/CVE-2019-25424</t>
        </is>
      </c>
      <c r="L313" s="187" t="inlineStr">
        <is>
          <t>2026-02-26 00:15</t>
        </is>
      </c>
      <c r="M313" s="187" t="inlineStr">
        <is>
          <t>CHECK_VENDOR</t>
        </is>
      </c>
      <c r="N313" s="187" t="inlineStr">
        <is>
          <t>See NVD references</t>
        </is>
      </c>
      <c r="O313" s="187" t="inlineStr">
        <is>
          <t>Apply vendor patches</t>
        </is>
      </c>
      <c r="P313" s="187" t="inlineStr">
        <is>
          <t>comodo dome_firewall 2.7.0</t>
        </is>
      </c>
      <c r="Q313" s="187" t="inlineStr">
        <is>
          <t>P4</t>
        </is>
      </c>
      <c r="R313" s="187" t="inlineStr">
        <is>
          <t>📅 Schedule patch deployment within 30 days | 🔍 Monitor for exploitation attempts</t>
        </is>
      </c>
      <c r="S313" s="187" t="inlineStr">
        <is>
          <t>CVE - IP enrichment n/a</t>
        </is>
      </c>
      <c r="T313" s="187" t="n">
        <v>0</v>
      </c>
      <c r="U313" s="187" t="n">
        <v>0</v>
      </c>
      <c r="V313" s="187" t="inlineStr">
        <is>
          <t>T1189:Drive-by Compromise | T1562:Impair Defenses</t>
        </is>
      </c>
      <c r="W313" s="187" t="n">
        <v>1</v>
      </c>
      <c r="X313" s="187" t="inlineStr">
        <is>
          <t>LOW (40%)</t>
        </is>
      </c>
      <c r="Y313" s="187" t="inlineStr">
        <is>
          <t>UNLIKELY</t>
        </is>
      </c>
      <c r="Z313" s="187" t="inlineStr">
        <is>
          <t>CHECK_VENDOR</t>
        </is>
      </c>
      <c r="AA313" s="187" t="inlineStr">
        <is>
          <t>https://nvd.nist.gov/vuln/detail/CVE-2019-25424</t>
        </is>
      </c>
      <c r="AB313" s="187" t="inlineStr">
        <is>
          <t>NONE</t>
        </is>
      </c>
      <c r="AC313" s="187" t="n">
        <v>0</v>
      </c>
      <c r="AD313" s="187" t="inlineStr"/>
    </row>
    <row r="314">
      <c r="A314" s="187" t="inlineStr">
        <is>
          <t>CVE</t>
        </is>
      </c>
      <c r="B314" s="187" t="inlineStr">
        <is>
          <t>CVE-2019-25425</t>
        </is>
      </c>
      <c r="C314" s="187" t="inlineStr">
        <is>
          <t>Comodo Dome Firewall 2.7.0 contains a reflected cross-site scripting vulnerability that allows attackers to inject malicious scripts by submitting crafted input to the VIRUS_ADMIN parameter. Attackers can send POST requests to the smtpconfig endpoint with script payloads to execute arbitrary JavaScript in the context of an administrator's browser session.</t>
        </is>
      </c>
      <c r="D314" s="187" t="n">
        <v>6.1</v>
      </c>
      <c r="E314" s="187" t="inlineStr">
        <is>
          <t>MEDIUM</t>
        </is>
      </c>
      <c r="F314" s="187" t="n">
        <v>2</v>
      </c>
      <c r="G314" s="187" t="n">
        <v>2</v>
      </c>
      <c r="H314" s="187" t="inlineStr">
        <is>
          <t>MEDIUM</t>
        </is>
      </c>
      <c r="I314" s="187" t="n">
        <v>10.1</v>
      </c>
      <c r="J314" s="187" t="inlineStr">
        <is>
          <t>NO</t>
        </is>
      </c>
      <c r="K314" s="187" t="inlineStr">
        <is>
          <t>https://nvd.nist.gov/vuln/detail/CVE-2019-25425</t>
        </is>
      </c>
      <c r="L314" s="187" t="inlineStr">
        <is>
          <t>2026-02-26 00:15</t>
        </is>
      </c>
      <c r="M314" s="187" t="inlineStr">
        <is>
          <t>CHECK_VENDOR</t>
        </is>
      </c>
      <c r="N314" s="187" t="inlineStr">
        <is>
          <t>See NVD references</t>
        </is>
      </c>
      <c r="O314" s="187" t="inlineStr">
        <is>
          <t>Apply vendor patches</t>
        </is>
      </c>
      <c r="P314" s="187" t="inlineStr">
        <is>
          <t>comodo dome_firewall *</t>
        </is>
      </c>
      <c r="Q314" s="187" t="inlineStr">
        <is>
          <t>P4</t>
        </is>
      </c>
      <c r="R314" s="187" t="inlineStr">
        <is>
          <t>📅 Schedule patch deployment within 30 days | 🔍 Monitor for exploitation attempts</t>
        </is>
      </c>
      <c r="S314" s="187" t="inlineStr">
        <is>
          <t>CVE - IP enrichment n/a</t>
        </is>
      </c>
      <c r="T314" s="187" t="n">
        <v>0</v>
      </c>
      <c r="U314" s="187" t="n">
        <v>0</v>
      </c>
      <c r="V314" s="187" t="inlineStr">
        <is>
          <t>T1189:Drive-by Compromise | T1562:Impair Defenses</t>
        </is>
      </c>
      <c r="W314" s="187" t="n">
        <v>1</v>
      </c>
      <c r="X314" s="187" t="inlineStr">
        <is>
          <t>LOW (40%)</t>
        </is>
      </c>
      <c r="Y314" s="187" t="inlineStr">
        <is>
          <t>UNLIKELY</t>
        </is>
      </c>
      <c r="Z314" s="187" t="inlineStr">
        <is>
          <t>CHECK_VENDOR</t>
        </is>
      </c>
      <c r="AA314" s="187" t="inlineStr">
        <is>
          <t>https://nvd.nist.gov/vuln/detail/CVE-2019-25425</t>
        </is>
      </c>
      <c r="AB314" s="187" t="inlineStr">
        <is>
          <t>NONE</t>
        </is>
      </c>
      <c r="AC314" s="187" t="n">
        <v>0</v>
      </c>
      <c r="AD314" s="187" t="inlineStr"/>
    </row>
    <row r="315">
      <c r="A315" s="187" t="inlineStr">
        <is>
          <t>CVE</t>
        </is>
      </c>
      <c r="B315" s="187" t="inlineStr">
        <is>
          <t>CVE-2019-25426</t>
        </is>
      </c>
      <c r="C315" s="187" t="inlineStr">
        <is>
          <t>Comodo Dome Firewall 2.7.0 contains a reflected cross-site scripting vulnerability that allows attackers to inject malicious scripts by submitting crafted input to the dnsmasq endpoint. Attackers can send POST requests with script payloads in the TRANSPARENT_SOURCE_BYPASS or TRANSPARENT_DESTINATION_BYPASS parameters to execute arbitrary JavaScript in users' browsers.</t>
        </is>
      </c>
      <c r="D315" s="187" t="n">
        <v>6.1</v>
      </c>
      <c r="E315" s="187" t="inlineStr">
        <is>
          <t>MEDIUM</t>
        </is>
      </c>
      <c r="F315" s="187" t="n">
        <v>2</v>
      </c>
      <c r="G315" s="187" t="n">
        <v>2</v>
      </c>
      <c r="H315" s="187" t="inlineStr">
        <is>
          <t>MEDIUM</t>
        </is>
      </c>
      <c r="I315" s="187" t="n">
        <v>10.1</v>
      </c>
      <c r="J315" s="187" t="inlineStr">
        <is>
          <t>NO</t>
        </is>
      </c>
      <c r="K315" s="187" t="inlineStr">
        <is>
          <t>https://nvd.nist.gov/vuln/detail/CVE-2019-25426</t>
        </is>
      </c>
      <c r="L315" s="187" t="inlineStr">
        <is>
          <t>2026-02-26 00:15</t>
        </is>
      </c>
      <c r="M315" s="187" t="inlineStr">
        <is>
          <t>CHECK_VENDOR</t>
        </is>
      </c>
      <c r="N315" s="187" t="inlineStr">
        <is>
          <t>See NVD references</t>
        </is>
      </c>
      <c r="O315" s="187" t="inlineStr">
        <is>
          <t>Apply vendor patches</t>
        </is>
      </c>
      <c r="P315" s="187" t="inlineStr">
        <is>
          <t>comodo dome_firewall *</t>
        </is>
      </c>
      <c r="Q315" s="187" t="inlineStr">
        <is>
          <t>P4</t>
        </is>
      </c>
      <c r="R315" s="187" t="inlineStr">
        <is>
          <t>📅 Schedule patch deployment within 30 days | 🔍 Monitor for exploitation attempts</t>
        </is>
      </c>
      <c r="S315" s="187" t="inlineStr">
        <is>
          <t>CVE - IP enrichment n/a</t>
        </is>
      </c>
      <c r="T315" s="187" t="n">
        <v>0</v>
      </c>
      <c r="U315" s="187" t="n">
        <v>0</v>
      </c>
      <c r="V315" s="187" t="inlineStr">
        <is>
          <t>T1189:Drive-by Compromise | T1190:Exploit Public-Facing Application | T1562:Impair Defenses</t>
        </is>
      </c>
      <c r="W315" s="187" t="n">
        <v>1</v>
      </c>
      <c r="X315" s="187" t="inlineStr">
        <is>
          <t>LOW (40%)</t>
        </is>
      </c>
      <c r="Y315" s="187" t="inlineStr">
        <is>
          <t>UNLIKELY</t>
        </is>
      </c>
      <c r="Z315" s="187" t="inlineStr">
        <is>
          <t>CHECK_VENDOR</t>
        </is>
      </c>
      <c r="AA315" s="187" t="inlineStr">
        <is>
          <t>https://nvd.nist.gov/vuln/detail/CVE-2019-25426</t>
        </is>
      </c>
      <c r="AB315" s="187" t="inlineStr">
        <is>
          <t>NONE</t>
        </is>
      </c>
      <c r="AC315" s="187" t="n">
        <v>0</v>
      </c>
      <c r="AD315" s="187" t="inlineStr"/>
    </row>
    <row r="316">
      <c r="A316" s="187" t="inlineStr">
        <is>
          <t>CVE</t>
        </is>
      </c>
      <c r="B316" s="187" t="inlineStr">
        <is>
          <t>CVE-2019-25427</t>
        </is>
      </c>
      <c r="C316" s="187" t="inlineStr">
        <is>
          <t>Comodo Dome Firewall 2.7.0 contains a reflected cross-site scripting vulnerability that allows attackers to inject malicious scripts by submitting crafted input to the antispyware endpoint. Attackers can send POST requests with JavaScript payloads in the DNSMASQ_WHITELIST or DNSMASQ_BLACKLIST parameters to execute arbitrary code in users' browsers.</t>
        </is>
      </c>
      <c r="D316" s="187" t="n">
        <v>6.1</v>
      </c>
      <c r="E316" s="187" t="inlineStr">
        <is>
          <t>MEDIUM</t>
        </is>
      </c>
      <c r="F316" s="187" t="n">
        <v>2</v>
      </c>
      <c r="G316" s="187" t="n">
        <v>2</v>
      </c>
      <c r="H316" s="187" t="inlineStr">
        <is>
          <t>MEDIUM</t>
        </is>
      </c>
      <c r="I316" s="187" t="n">
        <v>10.1</v>
      </c>
      <c r="J316" s="187" t="inlineStr">
        <is>
          <t>NO</t>
        </is>
      </c>
      <c r="K316" s="187" t="inlineStr">
        <is>
          <t>https://nvd.nist.gov/vuln/detail/CVE-2019-25427</t>
        </is>
      </c>
      <c r="L316" s="187" t="inlineStr">
        <is>
          <t>2026-02-26 00:15</t>
        </is>
      </c>
      <c r="M316" s="187" t="inlineStr">
        <is>
          <t>CHECK_VENDOR</t>
        </is>
      </c>
      <c r="N316" s="187" t="inlineStr">
        <is>
          <t>See NVD references</t>
        </is>
      </c>
      <c r="O316" s="187" t="inlineStr">
        <is>
          <t>Apply vendor patches</t>
        </is>
      </c>
      <c r="P316" s="187" t="inlineStr">
        <is>
          <t>comodo dome_firewall *</t>
        </is>
      </c>
      <c r="Q316" s="187" t="inlineStr">
        <is>
          <t>P4</t>
        </is>
      </c>
      <c r="R316" s="187" t="inlineStr">
        <is>
          <t>📅 Schedule patch deployment within 30 days | 🔍 Monitor for exploitation attempts</t>
        </is>
      </c>
      <c r="S316" s="187" t="inlineStr">
        <is>
          <t>CVE - IP enrichment n/a</t>
        </is>
      </c>
      <c r="T316" s="187" t="n">
        <v>0</v>
      </c>
      <c r="U316" s="187" t="n">
        <v>0</v>
      </c>
      <c r="V316" s="187" t="inlineStr">
        <is>
          <t>T1189:Drive-by Compromise | T1203:Exploitation for Client Execution | T1562:Impair Defenses</t>
        </is>
      </c>
      <c r="W316" s="187" t="n">
        <v>1</v>
      </c>
      <c r="X316" s="187" t="inlineStr">
        <is>
          <t>LOW (40%)</t>
        </is>
      </c>
      <c r="Y316" s="187" t="inlineStr">
        <is>
          <t>UNLIKELY</t>
        </is>
      </c>
      <c r="Z316" s="187" t="inlineStr">
        <is>
          <t>CHECK_VENDOR</t>
        </is>
      </c>
      <c r="AA316" s="187" t="inlineStr">
        <is>
          <t>https://nvd.nist.gov/vuln/detail/CVE-2019-25427</t>
        </is>
      </c>
      <c r="AB316" s="187" t="inlineStr">
        <is>
          <t>NONE</t>
        </is>
      </c>
      <c r="AC316" s="187" t="n">
        <v>0</v>
      </c>
      <c r="AD316" s="187" t="inlineStr"/>
    </row>
    <row r="317">
      <c r="A317" s="187" t="inlineStr">
        <is>
          <t>CVE</t>
        </is>
      </c>
      <c r="B317" s="187" t="inlineStr">
        <is>
          <t>CVE-2019-25428</t>
        </is>
      </c>
      <c r="C317" s="187" t="inlineStr">
        <is>
          <t>Comodo Dome Firewall 2.7.0 contains multiple reflected cross-site scripting vulnerabilities in the openvpn_users endpoint that allow attackers to inject malicious scripts through POST parameters. Attackers can submit crafted POST requests with script payloads in the username, remotenets, explicitroutes, static_ip, custom_dns, or custom_domain parameters to execute arbitrary JavaScript in users' browsers.</t>
        </is>
      </c>
      <c r="D317" s="187" t="n">
        <v>6.1</v>
      </c>
      <c r="E317" s="187" t="inlineStr">
        <is>
          <t>MEDIUM</t>
        </is>
      </c>
      <c r="F317" s="187" t="n">
        <v>2</v>
      </c>
      <c r="G317" s="187" t="n">
        <v>2</v>
      </c>
      <c r="H317" s="187" t="inlineStr">
        <is>
          <t>MEDIUM</t>
        </is>
      </c>
      <c r="I317" s="187" t="n">
        <v>10.1</v>
      </c>
      <c r="J317" s="187" t="inlineStr">
        <is>
          <t>NO</t>
        </is>
      </c>
      <c r="K317" s="187" t="inlineStr">
        <is>
          <t>https://nvd.nist.gov/vuln/detail/CVE-2019-25428</t>
        </is>
      </c>
      <c r="L317" s="187" t="inlineStr">
        <is>
          <t>2026-02-26 00:15</t>
        </is>
      </c>
      <c r="M317" s="187" t="inlineStr">
        <is>
          <t>CHECK_VENDOR</t>
        </is>
      </c>
      <c r="N317" s="187" t="inlineStr">
        <is>
          <t>See NVD references</t>
        </is>
      </c>
      <c r="O317" s="187" t="inlineStr">
        <is>
          <t>Apply vendor patches</t>
        </is>
      </c>
      <c r="P317" s="187" t="inlineStr">
        <is>
          <t>comodo dome_firewall 2.7.0</t>
        </is>
      </c>
      <c r="Q317" s="187" t="inlineStr">
        <is>
          <t>P4</t>
        </is>
      </c>
      <c r="R317" s="187" t="inlineStr">
        <is>
          <t>📅 Schedule patch deployment within 30 days | 🔍 Monitor for exploitation attempts</t>
        </is>
      </c>
      <c r="S317" s="187" t="inlineStr">
        <is>
          <t>CVE - IP enrichment n/a</t>
        </is>
      </c>
      <c r="T317" s="187" t="n">
        <v>0</v>
      </c>
      <c r="U317" s="187" t="n">
        <v>0</v>
      </c>
      <c r="V317" s="187" t="inlineStr">
        <is>
          <t>T1189:Drive-by Compromise | T1133:External Remote Services | T1562:Impair Defenses</t>
        </is>
      </c>
      <c r="W317" s="187" t="n">
        <v>1</v>
      </c>
      <c r="X317" s="187" t="inlineStr">
        <is>
          <t>LOW (40%)</t>
        </is>
      </c>
      <c r="Y317" s="187" t="inlineStr">
        <is>
          <t>UNLIKELY</t>
        </is>
      </c>
      <c r="Z317" s="187" t="inlineStr">
        <is>
          <t>CHECK_VENDOR</t>
        </is>
      </c>
      <c r="AA317" s="187" t="inlineStr">
        <is>
          <t>https://nvd.nist.gov/vuln/detail/CVE-2019-25428</t>
        </is>
      </c>
      <c r="AB317" s="187" t="inlineStr">
        <is>
          <t>NONE</t>
        </is>
      </c>
      <c r="AC317" s="187" t="n">
        <v>0</v>
      </c>
      <c r="AD317" s="187" t="inlineStr"/>
    </row>
    <row r="318">
      <c r="A318" s="187" t="inlineStr">
        <is>
          <t>CVE</t>
        </is>
      </c>
      <c r="B318" s="187" t="inlineStr">
        <is>
          <t>CVE-2019-25429</t>
        </is>
      </c>
      <c r="C318" s="187" t="inlineStr">
        <is>
          <t>Comodo Dome Firewall 2.7.0 contains a reflected cross-site scripting vulnerability that allows attackers to inject malicious scripts by submitting crafted input to the openvpn_advanced endpoint. Attackers can inject JavaScript code through the GLOBAL_NETWORKS and GLOBAL_DNS parameters via POST requests to execute arbitrary scripts in users' browsers.</t>
        </is>
      </c>
      <c r="D318" s="187" t="n">
        <v>6.1</v>
      </c>
      <c r="E318" s="187" t="inlineStr">
        <is>
          <t>MEDIUM</t>
        </is>
      </c>
      <c r="F318" s="187" t="n">
        <v>2</v>
      </c>
      <c r="G318" s="187" t="n">
        <v>2</v>
      </c>
      <c r="H318" s="187" t="inlineStr">
        <is>
          <t>MEDIUM</t>
        </is>
      </c>
      <c r="I318" s="187" t="n">
        <v>10.1</v>
      </c>
      <c r="J318" s="187" t="inlineStr">
        <is>
          <t>NO</t>
        </is>
      </c>
      <c r="K318" s="187" t="inlineStr">
        <is>
          <t>https://nvd.nist.gov/vuln/detail/CVE-2019-25429</t>
        </is>
      </c>
      <c r="L318" s="187" t="inlineStr">
        <is>
          <t>2026-02-26 00:15</t>
        </is>
      </c>
      <c r="M318" s="187" t="inlineStr">
        <is>
          <t>CHECK_VENDOR</t>
        </is>
      </c>
      <c r="N318" s="187" t="inlineStr">
        <is>
          <t>See NVD references</t>
        </is>
      </c>
      <c r="O318" s="187" t="inlineStr">
        <is>
          <t>Apply vendor patches</t>
        </is>
      </c>
      <c r="P318" s="187" t="inlineStr">
        <is>
          <t>comodo dome_firewall 2.7.0</t>
        </is>
      </c>
      <c r="Q318" s="187" t="inlineStr">
        <is>
          <t>P4</t>
        </is>
      </c>
      <c r="R318" s="187" t="inlineStr">
        <is>
          <t>📅 Schedule patch deployment within 30 days | 🔍 Monitor for exploitation attempts</t>
        </is>
      </c>
      <c r="S318" s="187" t="inlineStr">
        <is>
          <t>CVE - IP enrichment n/a</t>
        </is>
      </c>
      <c r="T318" s="187" t="n">
        <v>0</v>
      </c>
      <c r="U318" s="187" t="n">
        <v>0</v>
      </c>
      <c r="V318" s="187" t="inlineStr">
        <is>
          <t>T1189:Drive-by Compromise | T1133:External Remote Services | T1562:Impair Defenses</t>
        </is>
      </c>
      <c r="W318" s="187" t="n">
        <v>1</v>
      </c>
      <c r="X318" s="187" t="inlineStr">
        <is>
          <t>LOW (40%)</t>
        </is>
      </c>
      <c r="Y318" s="187" t="inlineStr">
        <is>
          <t>UNLIKELY</t>
        </is>
      </c>
      <c r="Z318" s="187" t="inlineStr">
        <is>
          <t>CHECK_VENDOR</t>
        </is>
      </c>
      <c r="AA318" s="187" t="inlineStr">
        <is>
          <t>https://nvd.nist.gov/vuln/detail/CVE-2019-25429</t>
        </is>
      </c>
      <c r="AB318" s="187" t="inlineStr">
        <is>
          <t>NONE</t>
        </is>
      </c>
      <c r="AC318" s="187" t="n">
        <v>0</v>
      </c>
      <c r="AD318" s="187" t="inlineStr"/>
    </row>
    <row r="319">
      <c r="A319" s="187" t="inlineStr">
        <is>
          <t>CVE</t>
        </is>
      </c>
      <c r="B319" s="187" t="inlineStr">
        <is>
          <t>CVE-2019-25430</t>
        </is>
      </c>
      <c r="C319" s="187" t="inlineStr">
        <is>
          <t>Comodo Dome Firewall 2.7.0 contains a reflected cross-site scripting vulnerability that allows unauthenticated attackers to inject malicious scripts by submitting crafted input to the username parameter. Attackers can send POST requests to the vpn_users endpoint with script payloads in the username field to execute arbitrary JavaScript in victim browsers.</t>
        </is>
      </c>
      <c r="D319" s="187" t="n">
        <v>6.1</v>
      </c>
      <c r="E319" s="187" t="inlineStr">
        <is>
          <t>MEDIUM</t>
        </is>
      </c>
      <c r="F319" s="187" t="n">
        <v>2</v>
      </c>
      <c r="G319" s="187" t="n">
        <v>2</v>
      </c>
      <c r="H319" s="187" t="inlineStr">
        <is>
          <t>MEDIUM</t>
        </is>
      </c>
      <c r="I319" s="187" t="n">
        <v>10.1</v>
      </c>
      <c r="J319" s="187" t="inlineStr">
        <is>
          <t>NO</t>
        </is>
      </c>
      <c r="K319" s="187" t="inlineStr">
        <is>
          <t>https://nvd.nist.gov/vuln/detail/CVE-2019-25430</t>
        </is>
      </c>
      <c r="L319" s="187" t="inlineStr">
        <is>
          <t>2026-02-26 00:15</t>
        </is>
      </c>
      <c r="M319" s="187" t="inlineStr">
        <is>
          <t>CHECK_VENDOR</t>
        </is>
      </c>
      <c r="N319" s="187" t="inlineStr">
        <is>
          <t>See NVD references</t>
        </is>
      </c>
      <c r="O319" s="187" t="inlineStr">
        <is>
          <t>Apply vendor patches</t>
        </is>
      </c>
      <c r="P319" s="187" t="inlineStr">
        <is>
          <t>comodo dome_firewall 2.7.0</t>
        </is>
      </c>
      <c r="Q319" s="187" t="inlineStr">
        <is>
          <t>P4</t>
        </is>
      </c>
      <c r="R319" s="187" t="inlineStr">
        <is>
          <t>📅 Schedule patch deployment within 30 days | 🔍 Monitor for exploitation attempts</t>
        </is>
      </c>
      <c r="S319" s="187" t="inlineStr">
        <is>
          <t>CVE - IP enrichment n/a</t>
        </is>
      </c>
      <c r="T319" s="187" t="n">
        <v>0</v>
      </c>
      <c r="U319" s="187" t="n">
        <v>0</v>
      </c>
      <c r="V319" s="187" t="inlineStr">
        <is>
          <t>T1189:Drive-by Compromise | T1133:External Remote Services | T1562:Impair Defenses</t>
        </is>
      </c>
      <c r="W319" s="187" t="n">
        <v>1</v>
      </c>
      <c r="X319" s="187" t="inlineStr">
        <is>
          <t>LOW (40%)</t>
        </is>
      </c>
      <c r="Y319" s="187" t="inlineStr">
        <is>
          <t>UNLIKELY</t>
        </is>
      </c>
      <c r="Z319" s="187" t="inlineStr">
        <is>
          <t>CHECK_VENDOR</t>
        </is>
      </c>
      <c r="AA319" s="187" t="inlineStr">
        <is>
          <t>https://nvd.nist.gov/vuln/detail/CVE-2019-25430</t>
        </is>
      </c>
      <c r="AB319" s="187" t="inlineStr">
        <is>
          <t>NONE</t>
        </is>
      </c>
      <c r="AC319" s="187" t="n">
        <v>0</v>
      </c>
      <c r="AD319" s="187" t="inlineStr"/>
    </row>
    <row r="320">
      <c r="A320" s="187" t="inlineStr">
        <is>
          <t>CVE</t>
        </is>
      </c>
      <c r="B320" s="187" t="inlineStr">
        <is>
          <t>CVE-2026-2744</t>
        </is>
      </c>
      <c r="C320" s="187" t="inlineStr">
        <is>
          <t>Rejected reason: This CVE ID has been rejected or withdrawn by its CVE Numbering Authority.</t>
        </is>
      </c>
      <c r="D320" s="187" t="n">
        <v>5</v>
      </c>
      <c r="E320" s="187" t="inlineStr">
        <is>
          <t>MEDIUM</t>
        </is>
      </c>
      <c r="F320" s="187" t="n">
        <v>2</v>
      </c>
      <c r="G320" s="187" t="n">
        <v>2</v>
      </c>
      <c r="H320" s="187" t="inlineStr">
        <is>
          <t>MEDIUM</t>
        </is>
      </c>
      <c r="I320" s="187" t="n">
        <v>9</v>
      </c>
      <c r="J320" s="187" t="inlineStr">
        <is>
          <t>NO</t>
        </is>
      </c>
      <c r="K320" s="187" t="inlineStr">
        <is>
          <t>https://nvd.nist.gov/vuln/detail/CVE-2026-2744</t>
        </is>
      </c>
      <c r="L320" s="187" t="inlineStr">
        <is>
          <t>2026-02-26 00:15</t>
        </is>
      </c>
      <c r="M320" s="187" t="inlineStr">
        <is>
          <t>CHECK_VENDOR</t>
        </is>
      </c>
      <c r="N320" s="187" t="inlineStr">
        <is>
          <t>See NVD references</t>
        </is>
      </c>
      <c r="O320" s="187" t="inlineStr">
        <is>
          <t>Apply vendor patches</t>
        </is>
      </c>
      <c r="P320" s="187" t="inlineStr">
        <is>
          <t>See CVE details</t>
        </is>
      </c>
      <c r="Q320" s="187" t="inlineStr">
        <is>
          <t>P4</t>
        </is>
      </c>
      <c r="R320" s="187" t="inlineStr">
        <is>
          <t>📅 Schedule patch deployment within 30 days | 🔍 Monitor for exploitation attempts</t>
        </is>
      </c>
      <c r="S320" s="187" t="inlineStr">
        <is>
          <t>CVE - IP enrichment n/a</t>
        </is>
      </c>
      <c r="T320" s="187" t="n">
        <v>0</v>
      </c>
      <c r="U320" s="187" t="n">
        <v>0</v>
      </c>
      <c r="V320" s="187" t="inlineStr">
        <is>
          <t>T1190:Exploit Public-Facing Application</t>
        </is>
      </c>
      <c r="W320" s="187" t="n">
        <v>1</v>
      </c>
      <c r="X320" s="187" t="inlineStr">
        <is>
          <t>LOW (40%)</t>
        </is>
      </c>
      <c r="Y320" s="187" t="inlineStr">
        <is>
          <t>UNLIKELY</t>
        </is>
      </c>
      <c r="Z320" s="187" t="inlineStr">
        <is>
          <t>CHECK_VENDOR</t>
        </is>
      </c>
      <c r="AA320" s="187" t="inlineStr">
        <is>
          <t>https://nvd.nist.gov/vuln/detail/CVE-2026-2744</t>
        </is>
      </c>
      <c r="AB320" s="187" t="inlineStr">
        <is>
          <t>NONE</t>
        </is>
      </c>
      <c r="AC320" s="187" t="n">
        <v>0</v>
      </c>
      <c r="AD320" s="187" t="inlineStr"/>
    </row>
    <row r="321">
      <c r="A321" s="189" t="inlineStr">
        <is>
          <t>CVE</t>
        </is>
      </c>
      <c r="B321" s="189" t="inlineStr">
        <is>
          <t>CVE-2025-55853</t>
        </is>
      </c>
      <c r="C321" s="189" t="inlineStr">
        <is>
          <t>SoftVision webPDF before 10.0.2 is vulnerable to Server-Side Request Forgery (SSRF). The PDF converter function does not check if internal or external resources are requested in the uploaded files and allows for protocols such as http:// and file:///. This allows an attacker to upload an XML or HTML file in the application, which when rendered to a PDF allows for internal port scanning and Local File Inclusion (LFI).</t>
        </is>
      </c>
      <c r="D321" s="189" t="n">
        <v>9.1</v>
      </c>
      <c r="E321" s="189" t="inlineStr">
        <is>
          <t>CRITICAL</t>
        </is>
      </c>
      <c r="F321" s="189" t="n">
        <v>2</v>
      </c>
      <c r="G321" s="189" t="n">
        <v>3</v>
      </c>
      <c r="H321" s="189" t="inlineStr">
        <is>
          <t>HIGH</t>
        </is>
      </c>
      <c r="I321" s="189" t="n">
        <v>15.1</v>
      </c>
      <c r="J321" s="189" t="inlineStr">
        <is>
          <t>NO</t>
        </is>
      </c>
      <c r="K321" s="189" t="inlineStr">
        <is>
          <t>https://nvd.nist.gov/vuln/detail/CVE-2025-55853</t>
        </is>
      </c>
      <c r="L321" s="189" t="inlineStr">
        <is>
          <t>2026-02-26 00:15</t>
        </is>
      </c>
      <c r="M321" s="189" t="inlineStr">
        <is>
          <t>CHECK_VENDOR</t>
        </is>
      </c>
      <c r="N321" s="189" t="inlineStr">
        <is>
          <t>See NVD references</t>
        </is>
      </c>
      <c r="O321" s="189" t="inlineStr">
        <is>
          <t>Apply vendor patches</t>
        </is>
      </c>
      <c r="P321" s="189" t="inlineStr">
        <is>
          <t>See CVE details</t>
        </is>
      </c>
      <c r="Q321" s="189" t="inlineStr">
        <is>
          <t>P3</t>
        </is>
      </c>
      <c r="R321" s="189" t="inlineStr">
        <is>
          <t>🚨 URGENT: Apply vendor patches immediately | 🔒 Isolate affected systems if patch unavailable | 🛡️ Enable additional monitoring/IDS rules</t>
        </is>
      </c>
      <c r="S321" s="189" t="inlineStr">
        <is>
          <t>CVE - IP enrichment n/a</t>
        </is>
      </c>
      <c r="T321" s="189" t="n">
        <v>0</v>
      </c>
      <c r="U321" s="189" t="n">
        <v>0</v>
      </c>
      <c r="V321" s="189" t="inlineStr">
        <is>
          <t>T1090:Proxy | T1190:Exploit Public-Facing Application</t>
        </is>
      </c>
      <c r="W321" s="189" t="n">
        <v>1</v>
      </c>
      <c r="X321" s="189" t="inlineStr">
        <is>
          <t>LOW (40%)</t>
        </is>
      </c>
      <c r="Y321" s="189" t="inlineStr">
        <is>
          <t>UNLIKELY</t>
        </is>
      </c>
      <c r="Z321" s="189" t="inlineStr">
        <is>
          <t>CHECK_VENDOR</t>
        </is>
      </c>
      <c r="AA321" s="189" t="inlineStr">
        <is>
          <t>https://nvd.nist.gov/vuln/detail/CVE-2025-55853</t>
        </is>
      </c>
      <c r="AB321" s="189" t="inlineStr">
        <is>
          <t>NONE</t>
        </is>
      </c>
      <c r="AC321" s="189" t="n">
        <v>0</v>
      </c>
      <c r="AD321" s="189" t="inlineStr"/>
    </row>
    <row r="322">
      <c r="A322" s="187" t="inlineStr">
        <is>
          <t>CVE</t>
        </is>
      </c>
      <c r="B322" s="187" t="inlineStr">
        <is>
          <t>CVE-2026-25527</t>
        </is>
      </c>
      <c r="C322" s="187" t="inlineStr">
        <is>
          <t>changedetection.io is a free open source web page change detection tool. In versions prior to 0.53.2, the `/static/ / ` route accepts `group=".."`, which causes `send_from_directory("static/..", filename)` to execute. This moves the base directory up to `/app/changedetectionio`, enabling unauthenticated local file read of application source files (e.g., `flask_app.py`). Version 0.53.2 fixes the issue.</t>
        </is>
      </c>
      <c r="D322" s="187" t="n">
        <v>5.3</v>
      </c>
      <c r="E322" s="187" t="inlineStr">
        <is>
          <t>MEDIUM</t>
        </is>
      </c>
      <c r="F322" s="187" t="n">
        <v>2</v>
      </c>
      <c r="G322" s="187" t="n">
        <v>2</v>
      </c>
      <c r="H322" s="187" t="inlineStr">
        <is>
          <t>MEDIUM</t>
        </is>
      </c>
      <c r="I322" s="187" t="n">
        <v>9.300000000000001</v>
      </c>
      <c r="J322" s="187" t="inlineStr">
        <is>
          <t>NO</t>
        </is>
      </c>
      <c r="K322" s="187" t="inlineStr">
        <is>
          <t>https://nvd.nist.gov/vuln/detail/CVE-2026-25527</t>
        </is>
      </c>
      <c r="L322" s="187" t="inlineStr">
        <is>
          <t>2026-02-26 00:15</t>
        </is>
      </c>
      <c r="M322" s="187" t="inlineStr">
        <is>
          <t>YES</t>
        </is>
      </c>
      <c r="N322" s="187" t="inlineStr">
        <is>
          <t>https://github.com/dgtlmoon/changedetection.io/commit/9d38b4517364831889b5b0d7b3465fd060403fd4 | https://github.com/dgtlmoon/changedetection.io/security/advisories/GHSA-9jj8-v89v-xjvw</t>
        </is>
      </c>
      <c r="O322" s="187" t="inlineStr">
        <is>
          <t>Apply vendor patches</t>
        </is>
      </c>
      <c r="P322" s="187" t="inlineStr">
        <is>
          <t>webtechnologies changedetection *</t>
        </is>
      </c>
      <c r="Q322" s="187" t="inlineStr">
        <is>
          <t>P4</t>
        </is>
      </c>
      <c r="R322" s="187" t="inlineStr">
        <is>
          <t>📅 Schedule patch deployment within 30 days | 🔍 Monitor for exploitation attempts</t>
        </is>
      </c>
      <c r="S322" s="187" t="inlineStr">
        <is>
          <t>CVE - IP enrichment n/a</t>
        </is>
      </c>
      <c r="T322" s="187" t="n">
        <v>0</v>
      </c>
      <c r="U322" s="187" t="n">
        <v>0</v>
      </c>
      <c r="V322" s="187" t="inlineStr">
        <is>
          <t>T1083:File and Directory Discovery | T1190:Exploit Public-Facing Application</t>
        </is>
      </c>
      <c r="W322" s="187" t="n">
        <v>1</v>
      </c>
      <c r="X322" s="187" t="inlineStr">
        <is>
          <t>LOW (40%)</t>
        </is>
      </c>
      <c r="Y322" s="187" t="inlineStr">
        <is>
          <t>UNLIKELY</t>
        </is>
      </c>
      <c r="Z322" s="187" t="inlineStr">
        <is>
          <t>PATCH_AVAILABLE</t>
        </is>
      </c>
      <c r="AA322" s="187" t="inlineStr">
        <is>
          <t>https://nvd.nist.gov/vuln/detail/CVE-2026-25527</t>
        </is>
      </c>
      <c r="AB322" s="187" t="inlineStr">
        <is>
          <t>NONE</t>
        </is>
      </c>
      <c r="AC322" s="187" t="n">
        <v>0</v>
      </c>
      <c r="AD322" s="187" t="inlineStr"/>
    </row>
    <row r="323">
      <c r="A323" s="188" t="inlineStr">
        <is>
          <t>CVE</t>
        </is>
      </c>
      <c r="B323" s="188" t="inlineStr">
        <is>
          <t>CVE-2026-25535</t>
        </is>
      </c>
      <c r="C323" s="188" t="inlineStr">
        <is>
          <t>jsPDF is a library to generate PDFs in JavaScript. Prior to 4.2.0, user control of the first argument of the `addImage` method results in denial of service. If given the possibility to pass unsanitized image data or URLs to the `addImage` method, a user can provide a harmful GIF file that results in out of memory errors and denial of service. Harmful GIF files have large width and/or height entries in their headers, which lead to excessive memory allocation. Other affected methods are: `html`. T</t>
        </is>
      </c>
      <c r="D323" s="188" t="n">
        <v>7.5</v>
      </c>
      <c r="E323" s="188" t="inlineStr">
        <is>
          <t>HIGH</t>
        </is>
      </c>
      <c r="F323" s="188" t="n">
        <v>2</v>
      </c>
      <c r="G323" s="188" t="n">
        <v>3</v>
      </c>
      <c r="H323" s="188" t="inlineStr">
        <is>
          <t>HIGH</t>
        </is>
      </c>
      <c r="I323" s="188" t="n">
        <v>13.5</v>
      </c>
      <c r="J323" s="188" t="inlineStr">
        <is>
          <t>NO</t>
        </is>
      </c>
      <c r="K323" s="188" t="inlineStr">
        <is>
          <t>https://nvd.nist.gov/vuln/detail/CVE-2026-25535</t>
        </is>
      </c>
      <c r="L323" s="188" t="inlineStr">
        <is>
          <t>2026-02-26 00:15</t>
        </is>
      </c>
      <c r="M323" s="188" t="inlineStr">
        <is>
          <t>YES</t>
        </is>
      </c>
      <c r="N323" s="188" t="inlineStr">
        <is>
          <t>https://github.com/parallax/jsPDF/commit/2e5e156e284d92c7d134bce97e6418756941d5e6 | https://github.com/parallax/jsPDF/security/advisories/GHSA-67pg-wm7f-q7fj</t>
        </is>
      </c>
      <c r="O323" s="188" t="inlineStr">
        <is>
          <t>Apply vendor patches</t>
        </is>
      </c>
      <c r="P323" s="188" t="inlineStr">
        <is>
          <t>parall jspdf *</t>
        </is>
      </c>
      <c r="Q323" s="188" t="inlineStr">
        <is>
          <t>P3</t>
        </is>
      </c>
      <c r="R323" s="188" t="inlineStr">
        <is>
          <t>🚨 URGENT: Apply vendor patches immediately | 🔒 Isolate affected systems if patch unavailable | 🛡️ Enable additional monitoring/IDS rules</t>
        </is>
      </c>
      <c r="S323" s="188" t="inlineStr">
        <is>
          <t>CVE - IP enrichment n/a</t>
        </is>
      </c>
      <c r="T323" s="188" t="n">
        <v>0</v>
      </c>
      <c r="U323" s="188" t="n">
        <v>0</v>
      </c>
      <c r="V323" s="188" t="inlineStr">
        <is>
          <t>T1499:Endpoint Denial of Service</t>
        </is>
      </c>
      <c r="W323" s="188" t="n">
        <v>1</v>
      </c>
      <c r="X323" s="188" t="inlineStr">
        <is>
          <t>LOW (40%)</t>
        </is>
      </c>
      <c r="Y323" s="188" t="inlineStr">
        <is>
          <t>UNLIKELY</t>
        </is>
      </c>
      <c r="Z323" s="188" t="inlineStr">
        <is>
          <t>PATCH_AVAILABLE</t>
        </is>
      </c>
      <c r="AA323" s="188" t="inlineStr">
        <is>
          <t>https://nvd.nist.gov/vuln/detail/CVE-2026-25535</t>
        </is>
      </c>
      <c r="AB323" s="188" t="inlineStr">
        <is>
          <t>NONE</t>
        </is>
      </c>
      <c r="AC323" s="188" t="n">
        <v>0</v>
      </c>
      <c r="AD323" s="188" t="inlineStr"/>
    </row>
    <row r="324">
      <c r="A324" s="188" t="inlineStr">
        <is>
          <t>CVE</t>
        </is>
      </c>
      <c r="B324" s="188" t="inlineStr">
        <is>
          <t>CVE-2026-25755</t>
        </is>
      </c>
      <c r="C324" s="188" t="inlineStr">
        <is>
          <t>jsPDF is a library to generate PDFs in JavaScript. Prior to 4.2.0, user control of the argument of the `addJS` method allows an attacker to inject arbitrary PDF objects into the generated document. By crafting a payload that escapes the JavaScript string delimiter, an attacker can execute malicious actions or alter the document structure, impacting any user who opens the generated PDF. The vulnerability has been fixed in jspdf@4.2.0. As a workaround, escape parentheses in user-provided JavaScrip</t>
        </is>
      </c>
      <c r="D324" s="188" t="n">
        <v>8.1</v>
      </c>
      <c r="E324" s="188" t="inlineStr">
        <is>
          <t>HIGH</t>
        </is>
      </c>
      <c r="F324" s="188" t="n">
        <v>2</v>
      </c>
      <c r="G324" s="188" t="n">
        <v>3</v>
      </c>
      <c r="H324" s="188" t="inlineStr">
        <is>
          <t>HIGH</t>
        </is>
      </c>
      <c r="I324" s="188" t="n">
        <v>14.1</v>
      </c>
      <c r="J324" s="188" t="inlineStr">
        <is>
          <t>NO</t>
        </is>
      </c>
      <c r="K324" s="188" t="inlineStr">
        <is>
          <t>https://nvd.nist.gov/vuln/detail/CVE-2026-25755</t>
        </is>
      </c>
      <c r="L324" s="188" t="inlineStr">
        <is>
          <t>2026-02-26 00:15</t>
        </is>
      </c>
      <c r="M324" s="188" t="inlineStr">
        <is>
          <t>YES</t>
        </is>
      </c>
      <c r="N324" s="188" t="inlineStr">
        <is>
          <t>https://github.com/ZeroXJacks/CVEs/blob/main/2026/CVE-2026-25755.md | https://github.com/parallax/jsPDF/commit/56b46d45b052346f5995b005a34af5dcdddd5437 | https://github.com/parallax/jsPDF/security/advisories/GHSA-9vjf-qc39-jprp</t>
        </is>
      </c>
      <c r="O324" s="188" t="inlineStr">
        <is>
          <t>https://github.com/ZeroXJacks/CVEs/blob/main/2026/CVE-2026-25755.md</t>
        </is>
      </c>
      <c r="P324" s="188" t="inlineStr">
        <is>
          <t>parall jspdf *</t>
        </is>
      </c>
      <c r="Q324" s="188" t="inlineStr">
        <is>
          <t>P3</t>
        </is>
      </c>
      <c r="R324" s="188" t="inlineStr">
        <is>
          <t>🚨 URGENT: Apply vendor patches immediately | 🔒 Isolate affected systems if patch unavailable | 🛡️ Enable additional monitoring/IDS rules</t>
        </is>
      </c>
      <c r="S324" s="188" t="inlineStr">
        <is>
          <t>CVE - IP enrichment n/a</t>
        </is>
      </c>
      <c r="T324" s="188" t="n">
        <v>0</v>
      </c>
      <c r="U324" s="188" t="n">
        <v>0</v>
      </c>
      <c r="V324" s="188" t="inlineStr">
        <is>
          <t>T1059:Command and Scripting Interpreter</t>
        </is>
      </c>
      <c r="W324" s="188" t="n">
        <v>1</v>
      </c>
      <c r="X324" s="188" t="inlineStr">
        <is>
          <t>LOW (40%)</t>
        </is>
      </c>
      <c r="Y324" s="188" t="inlineStr">
        <is>
          <t>UNLIKELY</t>
        </is>
      </c>
      <c r="Z324" s="188" t="inlineStr">
        <is>
          <t>PATCH_AVAILABLE</t>
        </is>
      </c>
      <c r="AA324" s="188" t="inlineStr">
        <is>
          <t>https://nvd.nist.gov/vuln/detail/CVE-2026-25755</t>
        </is>
      </c>
      <c r="AB324" s="188" t="inlineStr">
        <is>
          <t>NONE</t>
        </is>
      </c>
      <c r="AC324" s="188" t="n">
        <v>0</v>
      </c>
      <c r="AD324" s="188" t="inlineStr"/>
    </row>
    <row r="325">
      <c r="A325" s="187" t="inlineStr">
        <is>
          <t>CVE</t>
        </is>
      </c>
      <c r="B325" s="187" t="inlineStr">
        <is>
          <t>CVE-2025-71240</t>
        </is>
      </c>
      <c r="C325" s="187" t="inlineStr">
        <is>
          <t>SPIP before 4.2.15 allows Cross-Site Scripting (XSS) via crafted content in HTML code tags. The application does not properly verify JavaScript within code tags, allowing an attacker to inject malicious scripts that execute in a victim's browser.</t>
        </is>
      </c>
      <c r="D325" s="187" t="n">
        <v>5.4</v>
      </c>
      <c r="E325" s="187" t="inlineStr">
        <is>
          <t>MEDIUM</t>
        </is>
      </c>
      <c r="F325" s="187" t="n">
        <v>2</v>
      </c>
      <c r="G325" s="187" t="n">
        <v>2</v>
      </c>
      <c r="H325" s="187" t="inlineStr">
        <is>
          <t>MEDIUM</t>
        </is>
      </c>
      <c r="I325" s="187" t="n">
        <v>9.4</v>
      </c>
      <c r="J325" s="187" t="inlineStr">
        <is>
          <t>NO</t>
        </is>
      </c>
      <c r="K325" s="187" t="inlineStr">
        <is>
          <t>https://nvd.nist.gov/vuln/detail/CVE-2025-71240</t>
        </is>
      </c>
      <c r="L325" s="187" t="inlineStr">
        <is>
          <t>2026-02-26 00:15</t>
        </is>
      </c>
      <c r="M325" s="187" t="inlineStr">
        <is>
          <t>CHECK_VENDOR</t>
        </is>
      </c>
      <c r="N325" s="187" t="inlineStr">
        <is>
          <t>See NVD references</t>
        </is>
      </c>
      <c r="O325" s="187" t="inlineStr">
        <is>
          <t>Apply vendor patches</t>
        </is>
      </c>
      <c r="P325" s="187" t="inlineStr">
        <is>
          <t>spip spip *</t>
        </is>
      </c>
      <c r="Q325" s="187" t="inlineStr">
        <is>
          <t>P4</t>
        </is>
      </c>
      <c r="R325" s="187" t="inlineStr">
        <is>
          <t>📅 Schedule patch deployment within 30 days | 🔍 Monitor for exploitation attempts</t>
        </is>
      </c>
      <c r="S325" s="187" t="inlineStr">
        <is>
          <t>CVE - IP enrichment n/a</t>
        </is>
      </c>
      <c r="T325" s="187" t="n">
        <v>0</v>
      </c>
      <c r="U325" s="187" t="n">
        <v>0</v>
      </c>
      <c r="V325" s="187" t="inlineStr">
        <is>
          <t>T1189:Drive-by Compromise</t>
        </is>
      </c>
      <c r="W325" s="187" t="n">
        <v>1</v>
      </c>
      <c r="X325" s="187" t="inlineStr">
        <is>
          <t>LOW (40%)</t>
        </is>
      </c>
      <c r="Y325" s="187" t="inlineStr">
        <is>
          <t>UNLIKELY</t>
        </is>
      </c>
      <c r="Z325" s="187" t="inlineStr">
        <is>
          <t>CHECK_VENDOR</t>
        </is>
      </c>
      <c r="AA325" s="187" t="inlineStr">
        <is>
          <t>https://nvd.nist.gov/vuln/detail/CVE-2025-71240</t>
        </is>
      </c>
      <c r="AB325" s="187" t="inlineStr">
        <is>
          <t>NONE</t>
        </is>
      </c>
      <c r="AC325" s="187" t="n">
        <v>0</v>
      </c>
      <c r="AD325" s="187" t="inlineStr"/>
    </row>
    <row r="326">
      <c r="A326" s="187" t="inlineStr">
        <is>
          <t>CVE</t>
        </is>
      </c>
      <c r="B326" s="187" t="inlineStr">
        <is>
          <t>CVE-2025-71241</t>
        </is>
      </c>
      <c r="C326" s="187" t="inlineStr">
        <is>
          <t>SPIP before 4.3.6, 4.2.17, and 4.1.20 allows Cross-Site Scripting (XSS) in the private area. The content of the error message displayed by the 'transmettre' API is not properly sanitized, allowing an attacker to inject malicious scripts. This vulnerability is mitigated by the SPIP security screen.</t>
        </is>
      </c>
      <c r="D326" s="187" t="n">
        <v>5.4</v>
      </c>
      <c r="E326" s="187" t="inlineStr">
        <is>
          <t>MEDIUM</t>
        </is>
      </c>
      <c r="F326" s="187" t="n">
        <v>2</v>
      </c>
      <c r="G326" s="187" t="n">
        <v>2</v>
      </c>
      <c r="H326" s="187" t="inlineStr">
        <is>
          <t>MEDIUM</t>
        </is>
      </c>
      <c r="I326" s="187" t="n">
        <v>9.4</v>
      </c>
      <c r="J326" s="187" t="inlineStr">
        <is>
          <t>NO</t>
        </is>
      </c>
      <c r="K326" s="187" t="inlineStr">
        <is>
          <t>https://nvd.nist.gov/vuln/detail/CVE-2025-71241</t>
        </is>
      </c>
      <c r="L326" s="187" t="inlineStr">
        <is>
          <t>2026-02-26 00:15</t>
        </is>
      </c>
      <c r="M326" s="187" t="inlineStr">
        <is>
          <t>YES</t>
        </is>
      </c>
      <c r="N326" s="187" t="inlineStr">
        <is>
          <t>https://blog.spip.net/Mise-a-jour-de-securite-sortie-de-SPIP-4-3-6-SPIP-4-2-17-SPIP-4-1-20.html</t>
        </is>
      </c>
      <c r="O326" s="187" t="inlineStr">
        <is>
          <t>Apply vendor patches</t>
        </is>
      </c>
      <c r="P326" s="187" t="inlineStr">
        <is>
          <t>spip spip *</t>
        </is>
      </c>
      <c r="Q326" s="187" t="inlineStr">
        <is>
          <t>P4</t>
        </is>
      </c>
      <c r="R326" s="187" t="inlineStr">
        <is>
          <t>📅 Schedule patch deployment within 30 days | 🔍 Monitor for exploitation attempts</t>
        </is>
      </c>
      <c r="S326" s="187" t="inlineStr">
        <is>
          <t>CVE - IP enrichment n/a</t>
        </is>
      </c>
      <c r="T326" s="187" t="n">
        <v>0.0003</v>
      </c>
      <c r="U326" s="187" t="n">
        <v>0.08450000000000001</v>
      </c>
      <c r="V326" s="187" t="inlineStr">
        <is>
          <t>T1189:Drive-by Compromise</t>
        </is>
      </c>
      <c r="W326" s="187" t="n">
        <v>1</v>
      </c>
      <c r="X326" s="187" t="inlineStr">
        <is>
          <t>LOW (40%)</t>
        </is>
      </c>
      <c r="Y326" s="187" t="inlineStr">
        <is>
          <t>UNLIKELY</t>
        </is>
      </c>
      <c r="Z326" s="187" t="inlineStr">
        <is>
          <t>PATCH_AVAILABLE</t>
        </is>
      </c>
      <c r="AA326" s="187" t="inlineStr">
        <is>
          <t>https://nvd.nist.gov/vuln/detail/CVE-2025-71241</t>
        </is>
      </c>
      <c r="AB326" s="187" t="inlineStr">
        <is>
          <t>NONE</t>
        </is>
      </c>
      <c r="AC326" s="187" t="n">
        <v>0</v>
      </c>
      <c r="AD326" s="187" t="inlineStr"/>
    </row>
    <row r="327">
      <c r="A327" s="187" t="inlineStr">
        <is>
          <t>CVE</t>
        </is>
      </c>
      <c r="B327" s="187" t="inlineStr">
        <is>
          <t>CVE-2025-71242</t>
        </is>
      </c>
      <c r="C327" s="187" t="inlineStr">
        <is>
          <t>SPIP before 4.3.6, 4.2.17, and 4.1.20 allows unauthorized content disclosure in the private area. The application does not properly check authorization when displaying content of articles and sections (rubriques) in AJAX-loaded fragments, allowing an authenticated attacker to access restricted content. This vulnerability is not mitigated by the SPIP security screen.</t>
        </is>
      </c>
      <c r="D327" s="187" t="n">
        <v>4.3</v>
      </c>
      <c r="E327" s="187" t="inlineStr">
        <is>
          <t>MEDIUM</t>
        </is>
      </c>
      <c r="F327" s="187" t="n">
        <v>2</v>
      </c>
      <c r="G327" s="187" t="n">
        <v>2</v>
      </c>
      <c r="H327" s="187" t="inlineStr">
        <is>
          <t>MEDIUM</t>
        </is>
      </c>
      <c r="I327" s="187" t="n">
        <v>8.300000000000001</v>
      </c>
      <c r="J327" s="187" t="inlineStr">
        <is>
          <t>NO</t>
        </is>
      </c>
      <c r="K327" s="187" t="inlineStr">
        <is>
          <t>https://nvd.nist.gov/vuln/detail/CVE-2025-71242</t>
        </is>
      </c>
      <c r="L327" s="187" t="inlineStr">
        <is>
          <t>2026-02-26 00:15</t>
        </is>
      </c>
      <c r="M327" s="187" t="inlineStr">
        <is>
          <t>CHECK_VENDOR</t>
        </is>
      </c>
      <c r="N327" s="187" t="inlineStr">
        <is>
          <t>See NVD references</t>
        </is>
      </c>
      <c r="O327" s="187" t="inlineStr">
        <is>
          <t>Apply vendor patches</t>
        </is>
      </c>
      <c r="P327" s="187" t="inlineStr">
        <is>
          <t>spip spip *</t>
        </is>
      </c>
      <c r="Q327" s="187" t="inlineStr">
        <is>
          <t>P4</t>
        </is>
      </c>
      <c r="R327" s="187" t="inlineStr">
        <is>
          <t>📅 Schedule patch deployment within 30 days | 🔍 Monitor for exploitation attempts</t>
        </is>
      </c>
      <c r="S327" s="187" t="inlineStr">
        <is>
          <t>CVE - IP enrichment n/a</t>
        </is>
      </c>
      <c r="T327" s="187" t="n">
        <v>0</v>
      </c>
      <c r="U327" s="187" t="n">
        <v>0</v>
      </c>
      <c r="V327" s="187" t="inlineStr">
        <is>
          <t>T1190:Exploit Public-Facing Application</t>
        </is>
      </c>
      <c r="W327" s="187" t="n">
        <v>1</v>
      </c>
      <c r="X327" s="187" t="inlineStr">
        <is>
          <t>LOW (40%)</t>
        </is>
      </c>
      <c r="Y327" s="187" t="inlineStr">
        <is>
          <t>UNLIKELY</t>
        </is>
      </c>
      <c r="Z327" s="187" t="inlineStr">
        <is>
          <t>CHECK_VENDOR</t>
        </is>
      </c>
      <c r="AA327" s="187" t="inlineStr">
        <is>
          <t>https://nvd.nist.gov/vuln/detail/CVE-2025-71242</t>
        </is>
      </c>
      <c r="AB327" s="187" t="inlineStr">
        <is>
          <t>NONE</t>
        </is>
      </c>
      <c r="AC327" s="187" t="n">
        <v>0</v>
      </c>
      <c r="AD327" s="187" t="inlineStr"/>
    </row>
    <row r="328">
      <c r="A328" s="189" t="inlineStr">
        <is>
          <t>CVE</t>
        </is>
      </c>
      <c r="B328" s="189" t="inlineStr">
        <is>
          <t>CVE-2025-71243</t>
        </is>
      </c>
      <c r="C328" s="189" t="inlineStr">
        <is>
          <t>The 'Saisies pour formulaire' (Saisies) plugin for SPIP versions 5.4.0 through 5.11.0 contains a critical Remote Code Execution (RCE) vulnerability. An attacker can exploit this vulnerability to execute arbitrary code on the server. Users should immediately update to version 5.11.1 or later.</t>
        </is>
      </c>
      <c r="D328" s="189" t="n">
        <v>9.800000000000001</v>
      </c>
      <c r="E328" s="189" t="inlineStr">
        <is>
          <t>CRITICAL</t>
        </is>
      </c>
      <c r="F328" s="189" t="n">
        <v>2</v>
      </c>
      <c r="G328" s="189" t="n">
        <v>3</v>
      </c>
      <c r="H328" s="189" t="inlineStr">
        <is>
          <t>HIGH</t>
        </is>
      </c>
      <c r="I328" s="189" t="n">
        <v>15.8</v>
      </c>
      <c r="J328" s="189" t="inlineStr">
        <is>
          <t>NO</t>
        </is>
      </c>
      <c r="K328" s="189" t="inlineStr">
        <is>
          <t>https://nvd.nist.gov/vuln/detail/CVE-2025-71243</t>
        </is>
      </c>
      <c r="L328" s="189" t="inlineStr">
        <is>
          <t>2026-02-26 00:15</t>
        </is>
      </c>
      <c r="M328" s="189" t="inlineStr">
        <is>
          <t>CHECK_VENDOR</t>
        </is>
      </c>
      <c r="N328" s="189" t="inlineStr">
        <is>
          <t>See NVD references</t>
        </is>
      </c>
      <c r="O328" s="189" t="inlineStr">
        <is>
          <t>Apply vendor patches</t>
        </is>
      </c>
      <c r="P328" s="189" t="inlineStr">
        <is>
          <t>See CVE details</t>
        </is>
      </c>
      <c r="Q328" s="189" t="inlineStr">
        <is>
          <t>P3</t>
        </is>
      </c>
      <c r="R328" s="189" t="inlineStr">
        <is>
          <t>🚨 URGENT: Apply vendor patches immediately | 🔒 Isolate affected systems if patch unavailable | 🛡️ Enable additional monitoring/IDS rules</t>
        </is>
      </c>
      <c r="S328" s="189" t="inlineStr">
        <is>
          <t>CVE - IP enrichment n/a</t>
        </is>
      </c>
      <c r="T328" s="189" t="n">
        <v>0.0011</v>
      </c>
      <c r="U328" s="189" t="n">
        <v>0.2964</v>
      </c>
      <c r="V328" s="189" t="inlineStr">
        <is>
          <t>T1059:Command and Scripting Interpreter | T1190:Exploit Public-Facing Application | T1210:Exploitation of Remote Services</t>
        </is>
      </c>
      <c r="W328" s="189" t="n">
        <v>1</v>
      </c>
      <c r="X328" s="189" t="inlineStr">
        <is>
          <t>LOW (40%)</t>
        </is>
      </c>
      <c r="Y328" s="189" t="inlineStr">
        <is>
          <t>UNLIKELY</t>
        </is>
      </c>
      <c r="Z328" s="189" t="inlineStr">
        <is>
          <t>CHECK_VENDOR</t>
        </is>
      </c>
      <c r="AA328" s="189" t="inlineStr">
        <is>
          <t>https://nvd.nist.gov/vuln/detail/CVE-2025-71243</t>
        </is>
      </c>
      <c r="AB328" s="189" t="inlineStr">
        <is>
          <t>NONE</t>
        </is>
      </c>
      <c r="AC328" s="189" t="n">
        <v>0</v>
      </c>
      <c r="AD328" s="189" t="inlineStr"/>
    </row>
    <row r="329">
      <c r="A329" s="187" t="inlineStr">
        <is>
          <t>CVE</t>
        </is>
      </c>
      <c r="B329" s="187" t="inlineStr">
        <is>
          <t>CVE-2025-71244</t>
        </is>
      </c>
      <c r="C329" s="187" t="inlineStr">
        <is>
          <t>SPIP before 4.4.5 and 4.3.9 allows an Open Redirect via the login form when used in AJAX mode. An attacker can craft a malicious URL that, when visited by a victim, redirects them to an arbitrary external site after login. This vulnerability only affects sites where the login page has been overridden to function in AJAX mode. It is not mitigated by the SPIP security screen.</t>
        </is>
      </c>
      <c r="D329" s="187" t="n">
        <v>6.1</v>
      </c>
      <c r="E329" s="187" t="inlineStr">
        <is>
          <t>MEDIUM</t>
        </is>
      </c>
      <c r="F329" s="187" t="n">
        <v>2</v>
      </c>
      <c r="G329" s="187" t="n">
        <v>2</v>
      </c>
      <c r="H329" s="187" t="inlineStr">
        <is>
          <t>MEDIUM</t>
        </is>
      </c>
      <c r="I329" s="187" t="n">
        <v>10.1</v>
      </c>
      <c r="J329" s="187" t="inlineStr">
        <is>
          <t>NO</t>
        </is>
      </c>
      <c r="K329" s="187" t="inlineStr">
        <is>
          <t>https://nvd.nist.gov/vuln/detail/CVE-2025-71244</t>
        </is>
      </c>
      <c r="L329" s="187" t="inlineStr">
        <is>
          <t>2026-02-26 00:15</t>
        </is>
      </c>
      <c r="M329" s="187" t="inlineStr">
        <is>
          <t>CHECK_VENDOR</t>
        </is>
      </c>
      <c r="N329" s="187" t="inlineStr">
        <is>
          <t>See NVD references</t>
        </is>
      </c>
      <c r="O329" s="187" t="inlineStr">
        <is>
          <t>Apply vendor patches</t>
        </is>
      </c>
      <c r="P329" s="187" t="inlineStr">
        <is>
          <t>spip spip *</t>
        </is>
      </c>
      <c r="Q329" s="187" t="inlineStr">
        <is>
          <t>P4</t>
        </is>
      </c>
      <c r="R329" s="187" t="inlineStr">
        <is>
          <t>📅 Schedule patch deployment within 30 days | 🔍 Monitor for exploitation attempts</t>
        </is>
      </c>
      <c r="S329" s="187" t="inlineStr">
        <is>
          <t>CVE - IP enrichment n/a</t>
        </is>
      </c>
      <c r="T329" s="187" t="n">
        <v>0</v>
      </c>
      <c r="U329" s="187" t="n">
        <v>0</v>
      </c>
      <c r="V329" s="187" t="inlineStr">
        <is>
          <t>T1189:Drive-by Compromise</t>
        </is>
      </c>
      <c r="W329" s="187" t="n">
        <v>1</v>
      </c>
      <c r="X329" s="187" t="inlineStr">
        <is>
          <t>LOW (40%)</t>
        </is>
      </c>
      <c r="Y329" s="187" t="inlineStr">
        <is>
          <t>UNLIKELY</t>
        </is>
      </c>
      <c r="Z329" s="187" t="inlineStr">
        <is>
          <t>CHECK_VENDOR</t>
        </is>
      </c>
      <c r="AA329" s="187" t="inlineStr">
        <is>
          <t>https://nvd.nist.gov/vuln/detail/CVE-2025-71244</t>
        </is>
      </c>
      <c r="AB329" s="187" t="inlineStr">
        <is>
          <t>NONE</t>
        </is>
      </c>
      <c r="AC329" s="187" t="n">
        <v>0</v>
      </c>
      <c r="AD329" s="187" t="inlineStr"/>
    </row>
    <row r="330">
      <c r="A330" s="187" t="inlineStr">
        <is>
          <t>CVE</t>
        </is>
      </c>
      <c r="B330" s="187" t="inlineStr">
        <is>
          <t>CVE-2025-71245</t>
        </is>
      </c>
      <c r="C330" s="187" t="inlineStr">
        <is>
          <t>Rejected reason: This CVE ID has been rejected or withdrawn by its CVE Numbering Authority.</t>
        </is>
      </c>
      <c r="D330" s="187" t="n">
        <v>5</v>
      </c>
      <c r="E330" s="187" t="inlineStr">
        <is>
          <t>MEDIUM</t>
        </is>
      </c>
      <c r="F330" s="187" t="n">
        <v>2</v>
      </c>
      <c r="G330" s="187" t="n">
        <v>2</v>
      </c>
      <c r="H330" s="187" t="inlineStr">
        <is>
          <t>MEDIUM</t>
        </is>
      </c>
      <c r="I330" s="187" t="n">
        <v>9</v>
      </c>
      <c r="J330" s="187" t="inlineStr">
        <is>
          <t>NO</t>
        </is>
      </c>
      <c r="K330" s="187" t="inlineStr">
        <is>
          <t>https://nvd.nist.gov/vuln/detail/CVE-2025-71245</t>
        </is>
      </c>
      <c r="L330" s="187" t="inlineStr">
        <is>
          <t>2026-02-26 00:15</t>
        </is>
      </c>
      <c r="M330" s="187" t="inlineStr">
        <is>
          <t>CHECK_VENDOR</t>
        </is>
      </c>
      <c r="N330" s="187" t="inlineStr">
        <is>
          <t>See NVD references</t>
        </is>
      </c>
      <c r="O330" s="187" t="inlineStr">
        <is>
          <t>Apply vendor patches</t>
        </is>
      </c>
      <c r="P330" s="187" t="inlineStr">
        <is>
          <t>See CVE details</t>
        </is>
      </c>
      <c r="Q330" s="187" t="inlineStr">
        <is>
          <t>P4</t>
        </is>
      </c>
      <c r="R330" s="187" t="inlineStr">
        <is>
          <t>📅 Schedule patch deployment within 30 days | 🔍 Monitor for exploitation attempts</t>
        </is>
      </c>
      <c r="S330" s="187" t="inlineStr">
        <is>
          <t>CVE - IP enrichment n/a</t>
        </is>
      </c>
      <c r="T330" s="187" t="n">
        <v>0</v>
      </c>
      <c r="U330" s="187" t="n">
        <v>0</v>
      </c>
      <c r="V330" s="187" t="inlineStr">
        <is>
          <t>T1190:Exploit Public-Facing Application</t>
        </is>
      </c>
      <c r="W330" s="187" t="n">
        <v>1</v>
      </c>
      <c r="X330" s="187" t="inlineStr">
        <is>
          <t>LOW (40%)</t>
        </is>
      </c>
      <c r="Y330" s="187" t="inlineStr">
        <is>
          <t>UNLIKELY</t>
        </is>
      </c>
      <c r="Z330" s="187" t="inlineStr">
        <is>
          <t>CHECK_VENDOR</t>
        </is>
      </c>
      <c r="AA330" s="187" t="inlineStr">
        <is>
          <t>https://nvd.nist.gov/vuln/detail/CVE-2025-71245</t>
        </is>
      </c>
      <c r="AB330" s="187" t="inlineStr">
        <is>
          <t>NONE</t>
        </is>
      </c>
      <c r="AC330" s="187" t="n">
        <v>0</v>
      </c>
      <c r="AD330" s="187" t="inlineStr"/>
    </row>
    <row r="331">
      <c r="A331" s="187" t="inlineStr">
        <is>
          <t>CVE</t>
        </is>
      </c>
      <c r="B331" s="187" t="inlineStr">
        <is>
          <t>CVE-2025-71246</t>
        </is>
      </c>
      <c r="C331" s="187" t="inlineStr">
        <is>
          <t>Rejected reason: This CVE ID has been rejected or withdrawn by its CVE Numbering Authority.</t>
        </is>
      </c>
      <c r="D331" s="187" t="n">
        <v>5</v>
      </c>
      <c r="E331" s="187" t="inlineStr">
        <is>
          <t>MEDIUM</t>
        </is>
      </c>
      <c r="F331" s="187" t="n">
        <v>2</v>
      </c>
      <c r="G331" s="187" t="n">
        <v>2</v>
      </c>
      <c r="H331" s="187" t="inlineStr">
        <is>
          <t>MEDIUM</t>
        </is>
      </c>
      <c r="I331" s="187" t="n">
        <v>9</v>
      </c>
      <c r="J331" s="187" t="inlineStr">
        <is>
          <t>NO</t>
        </is>
      </c>
      <c r="K331" s="187" t="inlineStr">
        <is>
          <t>https://nvd.nist.gov/vuln/detail/CVE-2025-71246</t>
        </is>
      </c>
      <c r="L331" s="187" t="inlineStr">
        <is>
          <t>2026-02-26 00:15</t>
        </is>
      </c>
      <c r="M331" s="187" t="inlineStr">
        <is>
          <t>CHECK_VENDOR</t>
        </is>
      </c>
      <c r="N331" s="187" t="inlineStr">
        <is>
          <t>See NVD references</t>
        </is>
      </c>
      <c r="O331" s="187" t="inlineStr">
        <is>
          <t>Apply vendor patches</t>
        </is>
      </c>
      <c r="P331" s="187" t="inlineStr">
        <is>
          <t>See CVE details</t>
        </is>
      </c>
      <c r="Q331" s="187" t="inlineStr">
        <is>
          <t>P4</t>
        </is>
      </c>
      <c r="R331" s="187" t="inlineStr">
        <is>
          <t>📅 Schedule patch deployment within 30 days | 🔍 Monitor for exploitation attempts</t>
        </is>
      </c>
      <c r="S331" s="187" t="inlineStr">
        <is>
          <t>CVE - IP enrichment n/a</t>
        </is>
      </c>
      <c r="T331" s="187" t="n">
        <v>0</v>
      </c>
      <c r="U331" s="187" t="n">
        <v>0</v>
      </c>
      <c r="V331" s="187" t="inlineStr">
        <is>
          <t>T1190:Exploit Public-Facing Application</t>
        </is>
      </c>
      <c r="W331" s="187" t="n">
        <v>1</v>
      </c>
      <c r="X331" s="187" t="inlineStr">
        <is>
          <t>LOW (40%)</t>
        </is>
      </c>
      <c r="Y331" s="187" t="inlineStr">
        <is>
          <t>UNLIKELY</t>
        </is>
      </c>
      <c r="Z331" s="187" t="inlineStr">
        <is>
          <t>CHECK_VENDOR</t>
        </is>
      </c>
      <c r="AA331" s="187" t="inlineStr">
        <is>
          <t>https://nvd.nist.gov/vuln/detail/CVE-2025-71246</t>
        </is>
      </c>
      <c r="AB331" s="187" t="inlineStr">
        <is>
          <t>NONE</t>
        </is>
      </c>
      <c r="AC331" s="187" t="n">
        <v>0</v>
      </c>
      <c r="AD331" s="187" t="inlineStr"/>
    </row>
    <row r="332">
      <c r="A332" s="187" t="inlineStr">
        <is>
          <t>CVE</t>
        </is>
      </c>
      <c r="B332" s="187" t="inlineStr">
        <is>
          <t>CVE-2025-71247</t>
        </is>
      </c>
      <c r="C332" s="187" t="inlineStr">
        <is>
          <t>Rejected reason: This CVE ID has been rejected or withdrawn by its CVE Numbering Authority.</t>
        </is>
      </c>
      <c r="D332" s="187" t="n">
        <v>5</v>
      </c>
      <c r="E332" s="187" t="inlineStr">
        <is>
          <t>MEDIUM</t>
        </is>
      </c>
      <c r="F332" s="187" t="n">
        <v>2</v>
      </c>
      <c r="G332" s="187" t="n">
        <v>2</v>
      </c>
      <c r="H332" s="187" t="inlineStr">
        <is>
          <t>MEDIUM</t>
        </is>
      </c>
      <c r="I332" s="187" t="n">
        <v>9</v>
      </c>
      <c r="J332" s="187" t="inlineStr">
        <is>
          <t>NO</t>
        </is>
      </c>
      <c r="K332" s="187" t="inlineStr">
        <is>
          <t>https://nvd.nist.gov/vuln/detail/CVE-2025-71247</t>
        </is>
      </c>
      <c r="L332" s="187" t="inlineStr">
        <is>
          <t>2026-02-26 00:15</t>
        </is>
      </c>
      <c r="M332" s="187" t="inlineStr">
        <is>
          <t>CHECK_VENDOR</t>
        </is>
      </c>
      <c r="N332" s="187" t="inlineStr">
        <is>
          <t>See NVD references</t>
        </is>
      </c>
      <c r="O332" s="187" t="inlineStr">
        <is>
          <t>Apply vendor patches</t>
        </is>
      </c>
      <c r="P332" s="187" t="inlineStr">
        <is>
          <t>See CVE details</t>
        </is>
      </c>
      <c r="Q332" s="187" t="inlineStr">
        <is>
          <t>P4</t>
        </is>
      </c>
      <c r="R332" s="187" t="inlineStr">
        <is>
          <t>📅 Schedule patch deployment within 30 days | 🔍 Monitor for exploitation attempts</t>
        </is>
      </c>
      <c r="S332" s="187" t="inlineStr">
        <is>
          <t>CVE - IP enrichment n/a</t>
        </is>
      </c>
      <c r="T332" s="187" t="n">
        <v>0</v>
      </c>
      <c r="U332" s="187" t="n">
        <v>0</v>
      </c>
      <c r="V332" s="187" t="inlineStr">
        <is>
          <t>T1190:Exploit Public-Facing Application</t>
        </is>
      </c>
      <c r="W332" s="187" t="n">
        <v>1</v>
      </c>
      <c r="X332" s="187" t="inlineStr">
        <is>
          <t>LOW (40%)</t>
        </is>
      </c>
      <c r="Y332" s="187" t="inlineStr">
        <is>
          <t>UNLIKELY</t>
        </is>
      </c>
      <c r="Z332" s="187" t="inlineStr">
        <is>
          <t>CHECK_VENDOR</t>
        </is>
      </c>
      <c r="AA332" s="187" t="inlineStr">
        <is>
          <t>https://nvd.nist.gov/vuln/detail/CVE-2025-71247</t>
        </is>
      </c>
      <c r="AB332" s="187" t="inlineStr">
        <is>
          <t>NONE</t>
        </is>
      </c>
      <c r="AC332" s="187" t="n">
        <v>0</v>
      </c>
      <c r="AD332" s="187" t="inlineStr"/>
    </row>
    <row r="333">
      <c r="A333" s="187" t="inlineStr">
        <is>
          <t>CVE</t>
        </is>
      </c>
      <c r="B333" s="187" t="inlineStr">
        <is>
          <t>CVE-2025-71248</t>
        </is>
      </c>
      <c r="C333" s="187" t="inlineStr">
        <is>
          <t>Rejected reason: This CVE ID has been rejected or withdrawn by its CVE Numbering Authority.</t>
        </is>
      </c>
      <c r="D333" s="187" t="n">
        <v>5</v>
      </c>
      <c r="E333" s="187" t="inlineStr">
        <is>
          <t>MEDIUM</t>
        </is>
      </c>
      <c r="F333" s="187" t="n">
        <v>2</v>
      </c>
      <c r="G333" s="187" t="n">
        <v>2</v>
      </c>
      <c r="H333" s="187" t="inlineStr">
        <is>
          <t>MEDIUM</t>
        </is>
      </c>
      <c r="I333" s="187" t="n">
        <v>9</v>
      </c>
      <c r="J333" s="187" t="inlineStr">
        <is>
          <t>NO</t>
        </is>
      </c>
      <c r="K333" s="187" t="inlineStr">
        <is>
          <t>https://nvd.nist.gov/vuln/detail/CVE-2025-71248</t>
        </is>
      </c>
      <c r="L333" s="187" t="inlineStr">
        <is>
          <t>2026-02-26 00:15</t>
        </is>
      </c>
      <c r="M333" s="187" t="inlineStr">
        <is>
          <t>CHECK_VENDOR</t>
        </is>
      </c>
      <c r="N333" s="187" t="inlineStr">
        <is>
          <t>See NVD references</t>
        </is>
      </c>
      <c r="O333" s="187" t="inlineStr">
        <is>
          <t>Apply vendor patches</t>
        </is>
      </c>
      <c r="P333" s="187" t="inlineStr">
        <is>
          <t>See CVE details</t>
        </is>
      </c>
      <c r="Q333" s="187" t="inlineStr">
        <is>
          <t>P4</t>
        </is>
      </c>
      <c r="R333" s="187" t="inlineStr">
        <is>
          <t>📅 Schedule patch deployment within 30 days | 🔍 Monitor for exploitation attempts</t>
        </is>
      </c>
      <c r="S333" s="187" t="inlineStr">
        <is>
          <t>CVE - IP enrichment n/a</t>
        </is>
      </c>
      <c r="T333" s="187" t="n">
        <v>0</v>
      </c>
      <c r="U333" s="187" t="n">
        <v>0</v>
      </c>
      <c r="V333" s="187" t="inlineStr">
        <is>
          <t>T1190:Exploit Public-Facing Application</t>
        </is>
      </c>
      <c r="W333" s="187" t="n">
        <v>1</v>
      </c>
      <c r="X333" s="187" t="inlineStr">
        <is>
          <t>LOW (40%)</t>
        </is>
      </c>
      <c r="Y333" s="187" t="inlineStr">
        <is>
          <t>UNLIKELY</t>
        </is>
      </c>
      <c r="Z333" s="187" t="inlineStr">
        <is>
          <t>CHECK_VENDOR</t>
        </is>
      </c>
      <c r="AA333" s="187" t="inlineStr">
        <is>
          <t>https://nvd.nist.gov/vuln/detail/CVE-2025-71248</t>
        </is>
      </c>
      <c r="AB333" s="187" t="inlineStr">
        <is>
          <t>NONE</t>
        </is>
      </c>
      <c r="AC333" s="187" t="n">
        <v>0</v>
      </c>
      <c r="AD333" s="187" t="inlineStr"/>
    </row>
    <row r="334">
      <c r="A334" s="187" t="inlineStr">
        <is>
          <t>CVE</t>
        </is>
      </c>
      <c r="B334" s="187" t="inlineStr">
        <is>
          <t>CVE-2025-71249</t>
        </is>
      </c>
      <c r="C334" s="187" t="inlineStr">
        <is>
          <t>Rejected reason: This CVE ID has been rejected or withdrawn by its CVE Numbering Authority.</t>
        </is>
      </c>
      <c r="D334" s="187" t="n">
        <v>5</v>
      </c>
      <c r="E334" s="187" t="inlineStr">
        <is>
          <t>MEDIUM</t>
        </is>
      </c>
      <c r="F334" s="187" t="n">
        <v>2</v>
      </c>
      <c r="G334" s="187" t="n">
        <v>2</v>
      </c>
      <c r="H334" s="187" t="inlineStr">
        <is>
          <t>MEDIUM</t>
        </is>
      </c>
      <c r="I334" s="187" t="n">
        <v>9</v>
      </c>
      <c r="J334" s="187" t="inlineStr">
        <is>
          <t>NO</t>
        </is>
      </c>
      <c r="K334" s="187" t="inlineStr">
        <is>
          <t>https://nvd.nist.gov/vuln/detail/CVE-2025-71249</t>
        </is>
      </c>
      <c r="L334" s="187" t="inlineStr">
        <is>
          <t>2026-02-26 00:15</t>
        </is>
      </c>
      <c r="M334" s="187" t="inlineStr">
        <is>
          <t>CHECK_VENDOR</t>
        </is>
      </c>
      <c r="N334" s="187" t="inlineStr">
        <is>
          <t>See NVD references</t>
        </is>
      </c>
      <c r="O334" s="187" t="inlineStr">
        <is>
          <t>Apply vendor patches</t>
        </is>
      </c>
      <c r="P334" s="187" t="inlineStr">
        <is>
          <t>See CVE details</t>
        </is>
      </c>
      <c r="Q334" s="187" t="inlineStr">
        <is>
          <t>P4</t>
        </is>
      </c>
      <c r="R334" s="187" t="inlineStr">
        <is>
          <t>📅 Schedule patch deployment within 30 days | 🔍 Monitor for exploitation attempts</t>
        </is>
      </c>
      <c r="S334" s="187" t="inlineStr">
        <is>
          <t>CVE - IP enrichment n/a</t>
        </is>
      </c>
      <c r="T334" s="187" t="n">
        <v>0</v>
      </c>
      <c r="U334" s="187" t="n">
        <v>0</v>
      </c>
      <c r="V334" s="187" t="inlineStr">
        <is>
          <t>T1190:Exploit Public-Facing Application</t>
        </is>
      </c>
      <c r="W334" s="187" t="n">
        <v>1</v>
      </c>
      <c r="X334" s="187" t="inlineStr">
        <is>
          <t>LOW (40%)</t>
        </is>
      </c>
      <c r="Y334" s="187" t="inlineStr">
        <is>
          <t>UNLIKELY</t>
        </is>
      </c>
      <c r="Z334" s="187" t="inlineStr">
        <is>
          <t>CHECK_VENDOR</t>
        </is>
      </c>
      <c r="AA334" s="187" t="inlineStr">
        <is>
          <t>https://nvd.nist.gov/vuln/detail/CVE-2025-71249</t>
        </is>
      </c>
      <c r="AB334" s="187" t="inlineStr">
        <is>
          <t>NONE</t>
        </is>
      </c>
      <c r="AC334" s="187" t="n">
        <v>0</v>
      </c>
      <c r="AD334" s="187" t="inlineStr"/>
    </row>
    <row r="335">
      <c r="A335" s="187" t="inlineStr">
        <is>
          <t>CVE</t>
        </is>
      </c>
      <c r="B335" s="187" t="inlineStr">
        <is>
          <t>CVE-2025-71250</t>
        </is>
      </c>
      <c r="C335" s="187" t="inlineStr">
        <is>
          <t>Rejected reason: This CVE ID has been rejected or withdrawn by its CVE Numbering Authority.</t>
        </is>
      </c>
      <c r="D335" s="187" t="n">
        <v>5</v>
      </c>
      <c r="E335" s="187" t="inlineStr">
        <is>
          <t>MEDIUM</t>
        </is>
      </c>
      <c r="F335" s="187" t="n">
        <v>2</v>
      </c>
      <c r="G335" s="187" t="n">
        <v>2</v>
      </c>
      <c r="H335" s="187" t="inlineStr">
        <is>
          <t>MEDIUM</t>
        </is>
      </c>
      <c r="I335" s="187" t="n">
        <v>9</v>
      </c>
      <c r="J335" s="187" t="inlineStr">
        <is>
          <t>NO</t>
        </is>
      </c>
      <c r="K335" s="187" t="inlineStr">
        <is>
          <t>https://nvd.nist.gov/vuln/detail/CVE-2025-71250</t>
        </is>
      </c>
      <c r="L335" s="187" t="inlineStr">
        <is>
          <t>2026-02-26 00:15</t>
        </is>
      </c>
      <c r="M335" s="187" t="inlineStr">
        <is>
          <t>CHECK_VENDOR</t>
        </is>
      </c>
      <c r="N335" s="187" t="inlineStr">
        <is>
          <t>See NVD references</t>
        </is>
      </c>
      <c r="O335" s="187" t="inlineStr">
        <is>
          <t>Apply vendor patches</t>
        </is>
      </c>
      <c r="P335" s="187" t="inlineStr">
        <is>
          <t>See CVE details</t>
        </is>
      </c>
      <c r="Q335" s="187" t="inlineStr">
        <is>
          <t>P4</t>
        </is>
      </c>
      <c r="R335" s="187" t="inlineStr">
        <is>
          <t>📅 Schedule patch deployment within 30 days | 🔍 Monitor for exploitation attempts</t>
        </is>
      </c>
      <c r="S335" s="187" t="inlineStr">
        <is>
          <t>CVE - IP enrichment n/a</t>
        </is>
      </c>
      <c r="T335" s="187" t="n">
        <v>0</v>
      </c>
      <c r="U335" s="187" t="n">
        <v>0</v>
      </c>
      <c r="V335" s="187" t="inlineStr">
        <is>
          <t>T1190:Exploit Public-Facing Application</t>
        </is>
      </c>
      <c r="W335" s="187" t="n">
        <v>1</v>
      </c>
      <c r="X335" s="187" t="inlineStr">
        <is>
          <t>LOW (40%)</t>
        </is>
      </c>
      <c r="Y335" s="187" t="inlineStr">
        <is>
          <t>UNLIKELY</t>
        </is>
      </c>
      <c r="Z335" s="187" t="inlineStr">
        <is>
          <t>CHECK_VENDOR</t>
        </is>
      </c>
      <c r="AA335" s="187" t="inlineStr">
        <is>
          <t>https://nvd.nist.gov/vuln/detail/CVE-2025-71250</t>
        </is>
      </c>
      <c r="AB335" s="187" t="inlineStr">
        <is>
          <t>NONE</t>
        </is>
      </c>
      <c r="AC335" s="187" t="n">
        <v>0</v>
      </c>
      <c r="AD335" s="187" t="inlineStr"/>
    </row>
    <row r="336">
      <c r="A336" s="188" t="inlineStr">
        <is>
          <t>CVE</t>
        </is>
      </c>
      <c r="B336" s="188" t="inlineStr">
        <is>
          <t>CVE-2026-25738</t>
        </is>
      </c>
      <c r="C336" s="188" t="inlineStr">
        <is>
          <t>Indico is an event management system that uses Flask-Multipass, a multi-backend authentication system for Flask. Versions prior to 3.3.10 are vulnerable to server-side request forgery. Indico makes outgoing requests to user-provides URLs in various places. This is mostly intentional and part of Indico's functionality but is never intended to let users access "special" targets such as localhost or cloud metadata endpoints. Users should upgrade to version 3.3.10 to receive a patch. Those who do no</t>
        </is>
      </c>
      <c r="D336" s="188" t="n">
        <v>8.5</v>
      </c>
      <c r="E336" s="188" t="inlineStr">
        <is>
          <t>HIGH</t>
        </is>
      </c>
      <c r="F336" s="188" t="n">
        <v>2</v>
      </c>
      <c r="G336" s="188" t="n">
        <v>3</v>
      </c>
      <c r="H336" s="188" t="inlineStr">
        <is>
          <t>HIGH</t>
        </is>
      </c>
      <c r="I336" s="188" t="n">
        <v>14.5</v>
      </c>
      <c r="J336" s="188" t="inlineStr">
        <is>
          <t>NO</t>
        </is>
      </c>
      <c r="K336" s="188" t="inlineStr">
        <is>
          <t>https://nvd.nist.gov/vuln/detail/CVE-2026-25738</t>
        </is>
      </c>
      <c r="L336" s="188" t="inlineStr">
        <is>
          <t>2026-02-26 00:15</t>
        </is>
      </c>
      <c r="M336" s="188" t="inlineStr">
        <is>
          <t>CHECK_VENDOR</t>
        </is>
      </c>
      <c r="N336" s="188" t="inlineStr">
        <is>
          <t>See NVD references</t>
        </is>
      </c>
      <c r="O336" s="188" t="inlineStr">
        <is>
          <t>Apply vendor patches</t>
        </is>
      </c>
      <c r="P336" s="188" t="inlineStr">
        <is>
          <t>See CVE details</t>
        </is>
      </c>
      <c r="Q336" s="188" t="inlineStr">
        <is>
          <t>P1</t>
        </is>
      </c>
      <c r="R336" s="188" t="inlineStr">
        <is>
          <t>🚨 URGENT: Apply vendor patches immediately | 🔒 Isolate affected systems if patch unavailable | 🛡️ Enable additional monitoring/IDS rules</t>
        </is>
      </c>
      <c r="S336" s="188" t="inlineStr">
        <is>
          <t>CVE - IP enrichment n/a</t>
        </is>
      </c>
      <c r="T336" s="188" t="n">
        <v>0</v>
      </c>
      <c r="U336" s="188" t="n">
        <v>0</v>
      </c>
      <c r="V336" s="188" t="inlineStr">
        <is>
          <t>T1190:Exploit Public-Facing Application | T1090:Proxy</t>
        </is>
      </c>
      <c r="W336" s="188" t="n">
        <v>2</v>
      </c>
      <c r="X336" s="188" t="inlineStr">
        <is>
          <t>HIGH (72%)</t>
        </is>
      </c>
      <c r="Y336" s="188" t="inlineStr">
        <is>
          <t>HIGH</t>
        </is>
      </c>
      <c r="Z336" s="188" t="inlineStr">
        <is>
          <t>CHECK_VENDOR</t>
        </is>
      </c>
      <c r="AA336" s="188" t="inlineStr">
        <is>
          <t>https://nvd.nist.gov/vuln/detail/CVE-2026-25738</t>
        </is>
      </c>
      <c r="AB336" s="188" t="inlineStr">
        <is>
          <t>http://www.zerodayinitiative.com/advisories/ZDI-26-123/</t>
        </is>
      </c>
      <c r="AC336" s="188" t="n">
        <v>0</v>
      </c>
      <c r="AD336" s="188" t="inlineStr"/>
    </row>
    <row r="337">
      <c r="A337" s="187" t="inlineStr">
        <is>
          <t>CVE</t>
        </is>
      </c>
      <c r="B337" s="187" t="inlineStr">
        <is>
          <t>CVE-2026-25739</t>
        </is>
      </c>
      <c r="C337" s="187" t="inlineStr">
        <is>
          <t>Indico is an event management system that uses Flask-Multipass, a multi-backend authentication system for Flask. Versions prior to 3.3.10 are vulnerable to cross-site scripting when uploading certain file types as materials. Users should upgrade to version 3.3.10 to receive a patch. To apply the fix itself updating is sufficient, but to benefit from the strict Content Security Policy (CSP) Indico now applies by default for file downloads, update the webserver config in case one uses nginx with I</t>
        </is>
      </c>
      <c r="D337" s="187" t="n">
        <v>5.4</v>
      </c>
      <c r="E337" s="187" t="inlineStr">
        <is>
          <t>MEDIUM</t>
        </is>
      </c>
      <c r="F337" s="187" t="n">
        <v>2</v>
      </c>
      <c r="G337" s="187" t="n">
        <v>2</v>
      </c>
      <c r="H337" s="187" t="inlineStr">
        <is>
          <t>MEDIUM</t>
        </is>
      </c>
      <c r="I337" s="187" t="n">
        <v>9.4</v>
      </c>
      <c r="J337" s="187" t="inlineStr">
        <is>
          <t>NO</t>
        </is>
      </c>
      <c r="K337" s="187" t="inlineStr">
        <is>
          <t>https://nvd.nist.gov/vuln/detail/CVE-2026-25739</t>
        </is>
      </c>
      <c r="L337" s="187" t="inlineStr">
        <is>
          <t>2026-02-26 00:15</t>
        </is>
      </c>
      <c r="M337" s="187" t="inlineStr">
        <is>
          <t>CHECK_VENDOR</t>
        </is>
      </c>
      <c r="N337" s="187" t="inlineStr">
        <is>
          <t>See NVD references</t>
        </is>
      </c>
      <c r="O337" s="187" t="inlineStr">
        <is>
          <t>Apply vendor patches</t>
        </is>
      </c>
      <c r="P337" s="187" t="inlineStr">
        <is>
          <t>See CVE details</t>
        </is>
      </c>
      <c r="Q337" s="187" t="inlineStr">
        <is>
          <t>P1</t>
        </is>
      </c>
      <c r="R337" s="187" t="inlineStr">
        <is>
          <t>📅 Schedule patch deployment within 30 days | 🔍 Monitor for exploitation attempts</t>
        </is>
      </c>
      <c r="S337" s="187" t="inlineStr">
        <is>
          <t>CVE - IP enrichment n/a</t>
        </is>
      </c>
      <c r="T337" s="187" t="n">
        <v>0</v>
      </c>
      <c r="U337" s="187" t="n">
        <v>0</v>
      </c>
      <c r="V337" s="187" t="inlineStr">
        <is>
          <t>T1189:Drive-by Compromise</t>
        </is>
      </c>
      <c r="W337" s="187" t="n">
        <v>2</v>
      </c>
      <c r="X337" s="187" t="inlineStr">
        <is>
          <t>HIGH (72%)</t>
        </is>
      </c>
      <c r="Y337" s="187" t="inlineStr">
        <is>
          <t>HIGH</t>
        </is>
      </c>
      <c r="Z337" s="187" t="inlineStr">
        <is>
          <t>CHECK_VENDOR</t>
        </is>
      </c>
      <c r="AA337" s="187" t="inlineStr">
        <is>
          <t>https://nvd.nist.gov/vuln/detail/CVE-2026-25739</t>
        </is>
      </c>
      <c r="AB337" s="187" t="inlineStr">
        <is>
          <t>http://www.zerodayinitiative.com/advisories/ZDI-26-123/</t>
        </is>
      </c>
      <c r="AC337" s="187" t="n">
        <v>0</v>
      </c>
      <c r="AD337" s="187" t="inlineStr"/>
    </row>
    <row r="338">
      <c r="A338" s="187" t="inlineStr">
        <is>
          <t>CVE</t>
        </is>
      </c>
      <c r="B338" s="187" t="inlineStr">
        <is>
          <t>CVE-2026-25766</t>
        </is>
      </c>
      <c r="C338" s="187" t="inlineStr">
        <is>
          <t>Echo is a Go web framework. In versions 5.0.0 through 5.0.2 on Windows, Echo’s `middleware.Static` using the default filesystem allows path traversal via backslashes, enabling unauthenticated remote file read outside the static root. In `middleware/static.go`, the requested path is unescaped and normalized with `path.Clean` (URL semantics). `path.Clean` does not treat `\` as a path separator, so `..\` sequences remain in the cleaned path. The resulting path is then passed to `currentFS.Open(...)</t>
        </is>
      </c>
      <c r="D338" s="187" t="n">
        <v>5.3</v>
      </c>
      <c r="E338" s="187" t="inlineStr">
        <is>
          <t>MEDIUM</t>
        </is>
      </c>
      <c r="F338" s="187" t="n">
        <v>2</v>
      </c>
      <c r="G338" s="187" t="n">
        <v>2</v>
      </c>
      <c r="H338" s="187" t="inlineStr">
        <is>
          <t>MEDIUM</t>
        </is>
      </c>
      <c r="I338" s="187" t="n">
        <v>9.300000000000001</v>
      </c>
      <c r="J338" s="187" t="inlineStr">
        <is>
          <t>NO</t>
        </is>
      </c>
      <c r="K338" s="187" t="inlineStr">
        <is>
          <t>https://nvd.nist.gov/vuln/detail/CVE-2026-25766</t>
        </is>
      </c>
      <c r="L338" s="187" t="inlineStr">
        <is>
          <t>2026-02-26 00:15</t>
        </is>
      </c>
      <c r="M338" s="187" t="inlineStr">
        <is>
          <t>YES</t>
        </is>
      </c>
      <c r="N338" s="187" t="inlineStr">
        <is>
          <t>https://github.com/labstack/echo/commit/b1d443086ea27cf51345ec72a71e9b7e9d9ce5f1 | https://github.com/labstack/echo/pull/2891 | https://github.com/labstack/echo/security/advisories/GHSA-pgvm-wxw2-hrv9</t>
        </is>
      </c>
      <c r="O338" s="187" t="inlineStr">
        <is>
          <t>Apply vendor patches</t>
        </is>
      </c>
      <c r="P338" s="187" t="inlineStr">
        <is>
          <t>microsoft windows - | labstack echo *</t>
        </is>
      </c>
      <c r="Q338" s="187" t="inlineStr">
        <is>
          <t>P4</t>
        </is>
      </c>
      <c r="R338" s="187" t="inlineStr">
        <is>
          <t>📅 Schedule patch deployment within 30 days | 🔍 Monitor for exploitation attempts</t>
        </is>
      </c>
      <c r="S338" s="187" t="inlineStr">
        <is>
          <t>CVE - IP enrichment n/a</t>
        </is>
      </c>
      <c r="T338" s="187" t="n">
        <v>0</v>
      </c>
      <c r="U338" s="187" t="n">
        <v>0</v>
      </c>
      <c r="V338" s="187" t="inlineStr">
        <is>
          <t>T1083:File and Directory Discovery</t>
        </is>
      </c>
      <c r="W338" s="187" t="n">
        <v>1</v>
      </c>
      <c r="X338" s="187" t="inlineStr">
        <is>
          <t>LOW (40%)</t>
        </is>
      </c>
      <c r="Y338" s="187" t="inlineStr">
        <is>
          <t>UNLIKELY</t>
        </is>
      </c>
      <c r="Z338" s="187" t="inlineStr">
        <is>
          <t>PATCH_AVAILABLE</t>
        </is>
      </c>
      <c r="AA338" s="187" t="inlineStr">
        <is>
          <t>https://nvd.nist.gov/vuln/detail/CVE-2026-25766</t>
        </is>
      </c>
      <c r="AB338" s="187" t="inlineStr">
        <is>
          <t>NONE</t>
        </is>
      </c>
      <c r="AC338" s="187" t="n">
        <v>0</v>
      </c>
      <c r="AD338" s="187" t="inlineStr"/>
    </row>
    <row r="339">
      <c r="A339" s="188" t="inlineStr">
        <is>
          <t>CVE</t>
        </is>
      </c>
      <c r="B339" s="188" t="inlineStr">
        <is>
          <t>CVE-2026-25940</t>
        </is>
      </c>
      <c r="C339" s="188" t="inlineStr">
        <is>
          <t>jsPDF is a library to generate PDFs in JavaScript. Prior to 4.2.0, user control of properties and methods of the Acroform module allows users to inject arbitrary PDF objects, such as JavaScript actions. If given the possibility to pass unsanitized input to one of the following property, a user can inject arbitrary PDF objects, such as JavaScript actions, which are executed when the victim hovers over the radio option. The vulnerability has been fixed in jsPDF@4.2.0. As a workaround, sanitize use</t>
        </is>
      </c>
      <c r="D339" s="188" t="n">
        <v>8.1</v>
      </c>
      <c r="E339" s="188" t="inlineStr">
        <is>
          <t>HIGH</t>
        </is>
      </c>
      <c r="F339" s="188" t="n">
        <v>2</v>
      </c>
      <c r="G339" s="188" t="n">
        <v>3</v>
      </c>
      <c r="H339" s="188" t="inlineStr">
        <is>
          <t>HIGH</t>
        </is>
      </c>
      <c r="I339" s="188" t="n">
        <v>14.1</v>
      </c>
      <c r="J339" s="188" t="inlineStr">
        <is>
          <t>NO</t>
        </is>
      </c>
      <c r="K339" s="188" t="inlineStr">
        <is>
          <t>https://nvd.nist.gov/vuln/detail/CVE-2026-25940</t>
        </is>
      </c>
      <c r="L339" s="188" t="inlineStr">
        <is>
          <t>2026-02-26 00:15</t>
        </is>
      </c>
      <c r="M339" s="188" t="inlineStr">
        <is>
          <t>YES</t>
        </is>
      </c>
      <c r="N339" s="188" t="inlineStr">
        <is>
          <t>https://github.com/parallax/jsPDF/commit/71ad2dbfa6c7c189ab42b855b782620fa8a38375 | https://github.com/parallax/jsPDF/security/advisories/GHSA-p5xg-68wr-hm3m</t>
        </is>
      </c>
      <c r="O339" s="188" t="inlineStr">
        <is>
          <t>Apply vendor patches</t>
        </is>
      </c>
      <c r="P339" s="188" t="inlineStr">
        <is>
          <t>parall jspdf *</t>
        </is>
      </c>
      <c r="Q339" s="188" t="inlineStr">
        <is>
          <t>P3</t>
        </is>
      </c>
      <c r="R339" s="188" t="inlineStr">
        <is>
          <t>🚨 URGENT: Apply vendor patches immediately | 🔒 Isolate affected systems if patch unavailable | 🛡️ Enable additional monitoring/IDS rules</t>
        </is>
      </c>
      <c r="S339" s="188" t="inlineStr">
        <is>
          <t>CVE - IP enrichment n/a</t>
        </is>
      </c>
      <c r="T339" s="188" t="n">
        <v>0</v>
      </c>
      <c r="U339" s="188" t="n">
        <v>0</v>
      </c>
      <c r="V339" s="188" t="inlineStr">
        <is>
          <t>T1190:Exploit Public-Facing Application</t>
        </is>
      </c>
      <c r="W339" s="188" t="n">
        <v>1</v>
      </c>
      <c r="X339" s="188" t="inlineStr">
        <is>
          <t>LOW (40%)</t>
        </is>
      </c>
      <c r="Y339" s="188" t="inlineStr">
        <is>
          <t>UNLIKELY</t>
        </is>
      </c>
      <c r="Z339" s="188" t="inlineStr">
        <is>
          <t>PATCH_AVAILABLE</t>
        </is>
      </c>
      <c r="AA339" s="188" t="inlineStr">
        <is>
          <t>https://nvd.nist.gov/vuln/detail/CVE-2026-25940</t>
        </is>
      </c>
      <c r="AB339" s="188" t="inlineStr">
        <is>
          <t>NONE</t>
        </is>
      </c>
      <c r="AC339" s="188" t="n">
        <v>0</v>
      </c>
      <c r="AD339" s="188" t="inlineStr"/>
    </row>
    <row r="340">
      <c r="A340" s="187" t="inlineStr">
        <is>
          <t>CVE</t>
        </is>
      </c>
      <c r="B340" s="187" t="inlineStr">
        <is>
          <t>CVE-2026-26223</t>
        </is>
      </c>
      <c r="C340" s="187" t="inlineStr">
        <is>
          <t>SPIP before 4.4.8 allows cross-site scripting (XSS) in the private area via malicious iframe tags. The application does not properly sandbox or escape iframe content in the back-office, allowing an attacker to inject and execute malicious scripts. The fix adds a sandbox attribute to iframe tags in the private area. This vulnerability is not mitigated by the SPIP security screen.</t>
        </is>
      </c>
      <c r="D340" s="187" t="n">
        <v>5.4</v>
      </c>
      <c r="E340" s="187" t="inlineStr">
        <is>
          <t>MEDIUM</t>
        </is>
      </c>
      <c r="F340" s="187" t="n">
        <v>2</v>
      </c>
      <c r="G340" s="187" t="n">
        <v>2</v>
      </c>
      <c r="H340" s="187" t="inlineStr">
        <is>
          <t>MEDIUM</t>
        </is>
      </c>
      <c r="I340" s="187" t="n">
        <v>9.4</v>
      </c>
      <c r="J340" s="187" t="inlineStr">
        <is>
          <t>NO</t>
        </is>
      </c>
      <c r="K340" s="187" t="inlineStr">
        <is>
          <t>https://nvd.nist.gov/vuln/detail/CVE-2026-26223</t>
        </is>
      </c>
      <c r="L340" s="187" t="inlineStr">
        <is>
          <t>2026-02-26 00:15</t>
        </is>
      </c>
      <c r="M340" s="187" t="inlineStr">
        <is>
          <t>YES</t>
        </is>
      </c>
      <c r="N340" s="187" t="inlineStr">
        <is>
          <t>https://blog.spip.net/Mise-a-jour-de-securite-sortie-de-SPIP-4-4-8.html</t>
        </is>
      </c>
      <c r="O340" s="187" t="inlineStr">
        <is>
          <t>Apply vendor patches</t>
        </is>
      </c>
      <c r="P340" s="187" t="inlineStr">
        <is>
          <t>spip spip *</t>
        </is>
      </c>
      <c r="Q340" s="187" t="inlineStr">
        <is>
          <t>P4</t>
        </is>
      </c>
      <c r="R340" s="187" t="inlineStr">
        <is>
          <t>📅 Schedule patch deployment within 30 days | 🔍 Monitor for exploitation attempts</t>
        </is>
      </c>
      <c r="S340" s="187" t="inlineStr">
        <is>
          <t>CVE - IP enrichment n/a</t>
        </is>
      </c>
      <c r="T340" s="187" t="n">
        <v>0</v>
      </c>
      <c r="U340" s="187" t="n">
        <v>0</v>
      </c>
      <c r="V340" s="187" t="inlineStr">
        <is>
          <t>T1189:Drive-by Compromise</t>
        </is>
      </c>
      <c r="W340" s="187" t="n">
        <v>1</v>
      </c>
      <c r="X340" s="187" t="inlineStr">
        <is>
          <t>LOW (40%)</t>
        </is>
      </c>
      <c r="Y340" s="187" t="inlineStr">
        <is>
          <t>UNLIKELY</t>
        </is>
      </c>
      <c r="Z340" s="187" t="inlineStr">
        <is>
          <t>PATCH_AVAILABLE</t>
        </is>
      </c>
      <c r="AA340" s="187" t="inlineStr">
        <is>
          <t>https://nvd.nist.gov/vuln/detail/CVE-2026-26223</t>
        </is>
      </c>
      <c r="AB340" s="187" t="inlineStr">
        <is>
          <t>NONE</t>
        </is>
      </c>
      <c r="AC340" s="187" t="n">
        <v>0</v>
      </c>
      <c r="AD340" s="187" t="inlineStr"/>
    </row>
    <row r="341">
      <c r="A341" s="187" t="inlineStr">
        <is>
          <t>CVE</t>
        </is>
      </c>
      <c r="B341" s="187" t="inlineStr">
        <is>
          <t>CVE-2026-26345</t>
        </is>
      </c>
      <c r="C341" s="187" t="inlineStr">
        <is>
          <t>SPIP before 4.4.8 contains a stored cross-site scripting (XSS) vulnerability in the public area triggered in certain edge-case usage patterns. The echapper_html_suspect() function does not adequately sanitize user-controlled content, allowing authenticated users with content-editing privileges (e.g., author-level roles and above) to inject malicious scripts. The injected payload may be rendered across multiple pages within the framework and execute in the browser context of other users, includin</t>
        </is>
      </c>
      <c r="D341" s="187" t="n">
        <v>5.4</v>
      </c>
      <c r="E341" s="187" t="inlineStr">
        <is>
          <t>MEDIUM</t>
        </is>
      </c>
      <c r="F341" s="187" t="n">
        <v>2</v>
      </c>
      <c r="G341" s="187" t="n">
        <v>2</v>
      </c>
      <c r="H341" s="187" t="inlineStr">
        <is>
          <t>MEDIUM</t>
        </is>
      </c>
      <c r="I341" s="187" t="n">
        <v>9.4</v>
      </c>
      <c r="J341" s="187" t="inlineStr">
        <is>
          <t>NO</t>
        </is>
      </c>
      <c r="K341" s="187" t="inlineStr">
        <is>
          <t>https://nvd.nist.gov/vuln/detail/CVE-2026-26345</t>
        </is>
      </c>
      <c r="L341" s="187" t="inlineStr">
        <is>
          <t>2026-02-26 00:15</t>
        </is>
      </c>
      <c r="M341" s="187" t="inlineStr">
        <is>
          <t>YES</t>
        </is>
      </c>
      <c r="N341" s="187" t="inlineStr">
        <is>
          <t>https://blog.spip.net/Mise-a-jour-de-securite-sortie-de-SPIP-4-4-8.html</t>
        </is>
      </c>
      <c r="O341" s="187" t="inlineStr">
        <is>
          <t>Apply vendor patches</t>
        </is>
      </c>
      <c r="P341" s="187" t="inlineStr">
        <is>
          <t>spip spip *</t>
        </is>
      </c>
      <c r="Q341" s="187" t="inlineStr">
        <is>
          <t>P4</t>
        </is>
      </c>
      <c r="R341" s="187" t="inlineStr">
        <is>
          <t>📅 Schedule patch deployment within 30 days | 🔍 Monitor for exploitation attempts</t>
        </is>
      </c>
      <c r="S341" s="187" t="inlineStr">
        <is>
          <t>CVE - IP enrichment n/a</t>
        </is>
      </c>
      <c r="T341" s="187" t="n">
        <v>0</v>
      </c>
      <c r="U341" s="187" t="n">
        <v>0</v>
      </c>
      <c r="V341" s="187" t="inlineStr">
        <is>
          <t>T1189:Drive-by Compromise</t>
        </is>
      </c>
      <c r="W341" s="187" t="n">
        <v>1</v>
      </c>
      <c r="X341" s="187" t="inlineStr">
        <is>
          <t>LOW (40%)</t>
        </is>
      </c>
      <c r="Y341" s="187" t="inlineStr">
        <is>
          <t>UNLIKELY</t>
        </is>
      </c>
      <c r="Z341" s="187" t="inlineStr">
        <is>
          <t>PATCH_AVAILABLE</t>
        </is>
      </c>
      <c r="AA341" s="187" t="inlineStr">
        <is>
          <t>https://nvd.nist.gov/vuln/detail/CVE-2026-26345</t>
        </is>
      </c>
      <c r="AB341" s="187" t="inlineStr">
        <is>
          <t>NONE</t>
        </is>
      </c>
      <c r="AC341" s="187" t="n">
        <v>0</v>
      </c>
      <c r="AD341" s="187" t="inlineStr"/>
    </row>
    <row r="342">
      <c r="A342" s="188" t="inlineStr">
        <is>
          <t>CVE</t>
        </is>
      </c>
      <c r="B342" s="188" t="inlineStr">
        <is>
          <t>CVE-2026-2274</t>
        </is>
      </c>
      <c r="C342" s="188" t="inlineStr">
        <is>
          <t>A SSRF and Arbitrary File Read vulnerability in AppSheet Core in Google AppSheet prior to 2025-11-23 allows an authenticated remote attacker to read sensitive local files and access internal network resources via crafted requests to the production cluster.
This vulnerability was patched and no customer action is needed.</t>
        </is>
      </c>
      <c r="D342" s="188" t="n">
        <v>8.5</v>
      </c>
      <c r="E342" s="188" t="inlineStr">
        <is>
          <t>HIGH</t>
        </is>
      </c>
      <c r="F342" s="188" t="n">
        <v>2</v>
      </c>
      <c r="G342" s="188" t="n">
        <v>3</v>
      </c>
      <c r="H342" s="188" t="inlineStr">
        <is>
          <t>HIGH</t>
        </is>
      </c>
      <c r="I342" s="188" t="n">
        <v>14.5</v>
      </c>
      <c r="J342" s="188" t="inlineStr">
        <is>
          <t>NO</t>
        </is>
      </c>
      <c r="K342" s="188" t="inlineStr">
        <is>
          <t>https://nvd.nist.gov/vuln/detail/CVE-2026-2274</t>
        </is>
      </c>
      <c r="L342" s="188" t="inlineStr">
        <is>
          <t>2026-02-26 00:15</t>
        </is>
      </c>
      <c r="M342" s="188" t="inlineStr">
        <is>
          <t>CHECK_VENDOR</t>
        </is>
      </c>
      <c r="N342" s="188" t="inlineStr">
        <is>
          <t>See NVD references</t>
        </is>
      </c>
      <c r="O342" s="188" t="inlineStr">
        <is>
          <t>Apply vendor patches</t>
        </is>
      </c>
      <c r="P342" s="188" t="inlineStr">
        <is>
          <t>See CVE details</t>
        </is>
      </c>
      <c r="Q342" s="188" t="inlineStr">
        <is>
          <t>P3</t>
        </is>
      </c>
      <c r="R342" s="188" t="inlineStr">
        <is>
          <t>🚨 URGENT: Apply vendor patches immediately | 🔒 Isolate affected systems if patch unavailable | 🛡️ Enable additional monitoring/IDS rules</t>
        </is>
      </c>
      <c r="S342" s="188" t="inlineStr">
        <is>
          <t>CVE - IP enrichment n/a</t>
        </is>
      </c>
      <c r="T342" s="188" t="n">
        <v>0.0015</v>
      </c>
      <c r="U342" s="188" t="n">
        <v>0.3519</v>
      </c>
      <c r="V342" s="188" t="inlineStr">
        <is>
          <t>T1090:Proxy | T1190:Exploit Public-Facing Application</t>
        </is>
      </c>
      <c r="W342" s="188" t="n">
        <v>1</v>
      </c>
      <c r="X342" s="188" t="inlineStr">
        <is>
          <t>LOW (40%)</t>
        </is>
      </c>
      <c r="Y342" s="188" t="inlineStr">
        <is>
          <t>UNLIKELY</t>
        </is>
      </c>
      <c r="Z342" s="188" t="inlineStr">
        <is>
          <t>CHECK_VENDOR</t>
        </is>
      </c>
      <c r="AA342" s="188" t="inlineStr">
        <is>
          <t>https://nvd.nist.gov/vuln/detail/CVE-2026-2274</t>
        </is>
      </c>
      <c r="AB342" s="188" t="inlineStr">
        <is>
          <t>NONE</t>
        </is>
      </c>
      <c r="AC342" s="188" t="n">
        <v>0</v>
      </c>
      <c r="AD342" s="188" t="inlineStr"/>
    </row>
    <row r="343">
      <c r="A343" s="187" t="inlineStr">
        <is>
          <t>CVE</t>
        </is>
      </c>
      <c r="B343" s="187" t="inlineStr">
        <is>
          <t>CVE-2025-69674</t>
        </is>
      </c>
      <c r="C343" s="187" t="inlineStr">
        <is>
          <t>Buffer Overflow vulnerability in CDATA FD614GS3-R850 V3.2.7_P161006 (Build.0333.250211) allows an attacker to execute arbitrary code via the node_mac, node_opt, opt_param, and domainblk parameters of the mesh_node_config and domiainblk_config modules</t>
        </is>
      </c>
      <c r="D343" s="187" t="n">
        <v>6.4</v>
      </c>
      <c r="E343" s="187" t="inlineStr">
        <is>
          <t>MEDIUM</t>
        </is>
      </c>
      <c r="F343" s="187" t="n">
        <v>2</v>
      </c>
      <c r="G343" s="187" t="n">
        <v>2</v>
      </c>
      <c r="H343" s="187" t="inlineStr">
        <is>
          <t>MEDIUM</t>
        </is>
      </c>
      <c r="I343" s="187" t="n">
        <v>10.4</v>
      </c>
      <c r="J343" s="187" t="inlineStr">
        <is>
          <t>NO</t>
        </is>
      </c>
      <c r="K343" s="187" t="inlineStr">
        <is>
          <t>https://nvd.nist.gov/vuln/detail/CVE-2025-69674</t>
        </is>
      </c>
      <c r="L343" s="187" t="inlineStr">
        <is>
          <t>2026-02-26 00:15</t>
        </is>
      </c>
      <c r="M343" s="187" t="inlineStr">
        <is>
          <t>CHECK_VENDOR</t>
        </is>
      </c>
      <c r="N343" s="187" t="inlineStr">
        <is>
          <t>See NVD references</t>
        </is>
      </c>
      <c r="O343" s="187" t="inlineStr">
        <is>
          <t>Apply vendor patches</t>
        </is>
      </c>
      <c r="P343" s="187" t="inlineStr">
        <is>
          <t>See CVE details</t>
        </is>
      </c>
      <c r="Q343" s="187" t="inlineStr">
        <is>
          <t>P4</t>
        </is>
      </c>
      <c r="R343" s="187" t="inlineStr">
        <is>
          <t>📅 Schedule patch deployment within 30 days | 🔍 Monitor for exploitation attempts</t>
        </is>
      </c>
      <c r="S343" s="187" t="inlineStr">
        <is>
          <t>CVE - IP enrichment n/a</t>
        </is>
      </c>
      <c r="T343" s="187" t="n">
        <v>0</v>
      </c>
      <c r="U343" s="187" t="n">
        <v>0</v>
      </c>
      <c r="V343" s="187" t="inlineStr">
        <is>
          <t>T1203:Exploitation for Client Execution</t>
        </is>
      </c>
      <c r="W343" s="187" t="n">
        <v>1</v>
      </c>
      <c r="X343" s="187" t="inlineStr">
        <is>
          <t>LOW (40%)</t>
        </is>
      </c>
      <c r="Y343" s="187" t="inlineStr">
        <is>
          <t>UNLIKELY</t>
        </is>
      </c>
      <c r="Z343" s="187" t="inlineStr">
        <is>
          <t>CHECK_VENDOR</t>
        </is>
      </c>
      <c r="AA343" s="187" t="inlineStr">
        <is>
          <t>https://nvd.nist.gov/vuln/detail/CVE-2025-69674</t>
        </is>
      </c>
      <c r="AB343" s="187" t="inlineStr">
        <is>
          <t>NONE</t>
        </is>
      </c>
      <c r="AC343" s="187" t="n">
        <v>0</v>
      </c>
      <c r="AD343" s="187" t="inlineStr"/>
    </row>
    <row r="344">
      <c r="A344" s="187" t="inlineStr">
        <is>
          <t>CVE</t>
        </is>
      </c>
      <c r="B344" s="187" t="inlineStr">
        <is>
          <t>CVE-2025-69725</t>
        </is>
      </c>
      <c r="C344" s="187" t="inlineStr">
        <is>
          <t>An Open Redirect vulnerability in the go-chi/chi &gt;=5.2.2 RedirectSlashes function allows remote attackers to redirect victim users to malicious websites using the legitimate website domain.</t>
        </is>
      </c>
      <c r="D344" s="187" t="n">
        <v>4.7</v>
      </c>
      <c r="E344" s="187" t="inlineStr">
        <is>
          <t>MEDIUM</t>
        </is>
      </c>
      <c r="F344" s="187" t="n">
        <v>2</v>
      </c>
      <c r="G344" s="187" t="n">
        <v>2</v>
      </c>
      <c r="H344" s="187" t="inlineStr">
        <is>
          <t>MEDIUM</t>
        </is>
      </c>
      <c r="I344" s="187" t="n">
        <v>8.699999999999999</v>
      </c>
      <c r="J344" s="187" t="inlineStr">
        <is>
          <t>NO</t>
        </is>
      </c>
      <c r="K344" s="187" t="inlineStr">
        <is>
          <t>https://nvd.nist.gov/vuln/detail/CVE-2025-69725</t>
        </is>
      </c>
      <c r="L344" s="187" t="inlineStr">
        <is>
          <t>2026-02-26 00:15</t>
        </is>
      </c>
      <c r="M344" s="187" t="inlineStr">
        <is>
          <t>CHECK_VENDOR</t>
        </is>
      </c>
      <c r="N344" s="187" t="inlineStr">
        <is>
          <t>See NVD references</t>
        </is>
      </c>
      <c r="O344" s="187" t="inlineStr">
        <is>
          <t>Apply vendor patches</t>
        </is>
      </c>
      <c r="P344" s="187" t="inlineStr">
        <is>
          <t>See CVE details</t>
        </is>
      </c>
      <c r="Q344" s="187" t="inlineStr">
        <is>
          <t>P4</t>
        </is>
      </c>
      <c r="R344" s="187" t="inlineStr">
        <is>
          <t>📅 Schedule patch deployment within 30 days | 🔍 Monitor for exploitation attempts</t>
        </is>
      </c>
      <c r="S344" s="187" t="inlineStr">
        <is>
          <t>CVE - IP enrichment n/a</t>
        </is>
      </c>
      <c r="T344" s="187" t="n">
        <v>0.0004</v>
      </c>
      <c r="U344" s="187" t="n">
        <v>0.1136</v>
      </c>
      <c r="V344" s="187" t="inlineStr">
        <is>
          <t>T1189:Drive-by Compromise</t>
        </is>
      </c>
      <c r="W344" s="187" t="n">
        <v>1</v>
      </c>
      <c r="X344" s="187" t="inlineStr">
        <is>
          <t>LOW (40%)</t>
        </is>
      </c>
      <c r="Y344" s="187" t="inlineStr">
        <is>
          <t>UNLIKELY</t>
        </is>
      </c>
      <c r="Z344" s="187" t="inlineStr">
        <is>
          <t>CHECK_VENDOR</t>
        </is>
      </c>
      <c r="AA344" s="187" t="inlineStr">
        <is>
          <t>https://nvd.nist.gov/vuln/detail/CVE-2025-69725</t>
        </is>
      </c>
      <c r="AB344" s="187" t="inlineStr">
        <is>
          <t>NONE</t>
        </is>
      </c>
      <c r="AC344" s="187" t="n">
        <v>0</v>
      </c>
      <c r="AD344" s="187" t="inlineStr"/>
    </row>
    <row r="345">
      <c r="A345" s="188" t="inlineStr">
        <is>
          <t>CVE</t>
        </is>
      </c>
      <c r="B345" s="188" t="inlineStr">
        <is>
          <t>CVE-2026-1581</t>
        </is>
      </c>
      <c r="C345" s="188" t="inlineStr">
        <is>
          <t>The wpForo Forum plugin for WordPress is vulnerable to time-based SQL Injection via the 'wpfob' parameter in all versions up to, and including, 2.4.14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345" s="188" t="n">
        <v>7.5</v>
      </c>
      <c r="E345" s="188" t="inlineStr">
        <is>
          <t>HIGH</t>
        </is>
      </c>
      <c r="F345" s="188" t="n">
        <v>2</v>
      </c>
      <c r="G345" s="188" t="n">
        <v>3</v>
      </c>
      <c r="H345" s="188" t="inlineStr">
        <is>
          <t>HIGH</t>
        </is>
      </c>
      <c r="I345" s="188" t="n">
        <v>13.5</v>
      </c>
      <c r="J345" s="188" t="inlineStr">
        <is>
          <t>NO</t>
        </is>
      </c>
      <c r="K345" s="188" t="inlineStr">
        <is>
          <t>https://nvd.nist.gov/vuln/detail/CVE-2026-1581</t>
        </is>
      </c>
      <c r="L345" s="188" t="inlineStr">
        <is>
          <t>2026-02-26 00:15</t>
        </is>
      </c>
      <c r="M345" s="188" t="inlineStr">
        <is>
          <t>CHECK_VENDOR</t>
        </is>
      </c>
      <c r="N345" s="188" t="inlineStr">
        <is>
          <t>See NVD references</t>
        </is>
      </c>
      <c r="O345" s="188" t="inlineStr">
        <is>
          <t>Apply vendor patches</t>
        </is>
      </c>
      <c r="P345" s="188" t="inlineStr">
        <is>
          <t>See CVE details</t>
        </is>
      </c>
      <c r="Q345" s="188" t="inlineStr">
        <is>
          <t>P3</t>
        </is>
      </c>
      <c r="R345" s="188" t="inlineStr">
        <is>
          <t>🚨 URGENT: Apply vendor patches immediately | 🔒 Isolate affected systems if patch unavailable | 🛡️ Enable additional monitoring/IDS rules</t>
        </is>
      </c>
      <c r="S345" s="188" t="inlineStr">
        <is>
          <t>CVE - IP enrichment n/a</t>
        </is>
      </c>
      <c r="T345" s="188" t="n">
        <v>0.0009</v>
      </c>
      <c r="U345" s="188" t="n">
        <v>0.261</v>
      </c>
      <c r="V345" s="188" t="inlineStr">
        <is>
          <t>T1190:Exploit Public-Facing Application</t>
        </is>
      </c>
      <c r="W345" s="188" t="n">
        <v>1</v>
      </c>
      <c r="X345" s="188" t="inlineStr">
        <is>
          <t>LOW (40%)</t>
        </is>
      </c>
      <c r="Y345" s="188" t="inlineStr">
        <is>
          <t>UNLIKELY</t>
        </is>
      </c>
      <c r="Z345" s="188" t="inlineStr">
        <is>
          <t>CHECK_VENDOR</t>
        </is>
      </c>
      <c r="AA345" s="188" t="inlineStr">
        <is>
          <t>https://nvd.nist.gov/vuln/detail/CVE-2026-1581</t>
        </is>
      </c>
      <c r="AB345" s="188" t="inlineStr">
        <is>
          <t>NONE</t>
        </is>
      </c>
      <c r="AC345" s="188" t="n">
        <v>0</v>
      </c>
      <c r="AD345" s="188" t="inlineStr"/>
    </row>
    <row r="346">
      <c r="A346" s="189" t="inlineStr">
        <is>
          <t>CVE</t>
        </is>
      </c>
      <c r="B346" s="189" t="inlineStr">
        <is>
          <t>CVE-2026-24834</t>
        </is>
      </c>
      <c r="C346" s="189" t="inlineStr">
        <is>
          <t>Kata Containers is an open source project focusing on a standard implementation of lightweight Virtual Machines (VMs) that perform like containers. In versions prior to 3.27.0, an issue in Kata with Cloud Hypervisor allows a user of the container to modify the file system used by the Guest micro VM ultimately achieving arbitrary code execution as root in said VM. The current understanding is this doesn’t impact the security of the Host or of other containers / VMs running on that Host (note that</t>
        </is>
      </c>
      <c r="D346" s="189" t="n">
        <v>9.300000000000001</v>
      </c>
      <c r="E346" s="189" t="inlineStr">
        <is>
          <t>CRITICAL</t>
        </is>
      </c>
      <c r="F346" s="189" t="n">
        <v>2</v>
      </c>
      <c r="G346" s="189" t="n">
        <v>3</v>
      </c>
      <c r="H346" s="189" t="inlineStr">
        <is>
          <t>HIGH</t>
        </is>
      </c>
      <c r="I346" s="189" t="n">
        <v>15.3</v>
      </c>
      <c r="J346" s="189" t="inlineStr">
        <is>
          <t>NO</t>
        </is>
      </c>
      <c r="K346" s="189" t="inlineStr">
        <is>
          <t>https://nvd.nist.gov/vuln/detail/CVE-2026-24834</t>
        </is>
      </c>
      <c r="L346" s="189" t="inlineStr">
        <is>
          <t>2026-02-26 00:15</t>
        </is>
      </c>
      <c r="M346" s="189" t="inlineStr">
        <is>
          <t>YES</t>
        </is>
      </c>
      <c r="N346" s="189" t="inlineStr">
        <is>
          <t>https://github.com/kata-containers/kata-containers/commit/6a672503973bf7c687053e459bfff8a9652e16bf | https://github.com/kata-containers/kata-containers/security/advisories/GHSA-wwj6-vghv-5p64</t>
        </is>
      </c>
      <c r="O346" s="189" t="inlineStr">
        <is>
          <t>Apply vendor patches</t>
        </is>
      </c>
      <c r="P346" s="189" t="inlineStr">
        <is>
          <t>katacontainers kata_containers *</t>
        </is>
      </c>
      <c r="Q346" s="189" t="inlineStr">
        <is>
          <t>P3</t>
        </is>
      </c>
      <c r="R346" s="189" t="inlineStr">
        <is>
          <t>🚨 URGENT: Apply vendor patches immediately | 🔒 Isolate affected systems if patch unavailable | 🛡️ Enable additional monitoring/IDS rules</t>
        </is>
      </c>
      <c r="S346" s="189" t="inlineStr">
        <is>
          <t>CVE - IP enrichment n/a</t>
        </is>
      </c>
      <c r="T346" s="189" t="n">
        <v>0</v>
      </c>
      <c r="U346" s="189" t="n">
        <v>0</v>
      </c>
      <c r="V346" s="189" t="inlineStr">
        <is>
          <t>T1190:Exploit Public-Facing Application | T1203:Exploitation for Client Execution</t>
        </is>
      </c>
      <c r="W346" s="189" t="n">
        <v>1</v>
      </c>
      <c r="X346" s="189" t="inlineStr">
        <is>
          <t>LOW (40%)</t>
        </is>
      </c>
      <c r="Y346" s="189" t="inlineStr">
        <is>
          <t>UNLIKELY</t>
        </is>
      </c>
      <c r="Z346" s="189" t="inlineStr">
        <is>
          <t>PATCH_AVAILABLE</t>
        </is>
      </c>
      <c r="AA346" s="189" t="inlineStr">
        <is>
          <t>https://nvd.nist.gov/vuln/detail/CVE-2026-24834</t>
        </is>
      </c>
      <c r="AB346" s="189" t="inlineStr">
        <is>
          <t>NONE</t>
        </is>
      </c>
      <c r="AC346" s="189" t="n">
        <v>0</v>
      </c>
      <c r="AD346" s="189" t="inlineStr"/>
    </row>
    <row r="347">
      <c r="A347" s="188" t="inlineStr">
        <is>
          <t>CVE</t>
        </is>
      </c>
      <c r="B347" s="188" t="inlineStr">
        <is>
          <t>CVE-2026-25998</t>
        </is>
      </c>
      <c r="C347" s="188" t="inlineStr">
        <is>
          <t>strongMan is a management interface for strongSwan, an OpenSource IPsec-based VPN. When storing credentials in the database (private keys, EAP secrets), strongMan encrypts the corresponding database fields. So far it used AES in CTR mode with a global database key. Together with an initialization vector (IV), a key stream is generated to encrypt the data in the database fields. But because strongMan did not generate individual IVs, every database field was encrypted using the same key stream. An</t>
        </is>
      </c>
      <c r="D347" s="188" t="n">
        <v>7.5</v>
      </c>
      <c r="E347" s="188" t="inlineStr">
        <is>
          <t>HIGH</t>
        </is>
      </c>
      <c r="F347" s="188" t="n">
        <v>2</v>
      </c>
      <c r="G347" s="188" t="n">
        <v>3</v>
      </c>
      <c r="H347" s="188" t="inlineStr">
        <is>
          <t>HIGH</t>
        </is>
      </c>
      <c r="I347" s="188" t="n">
        <v>13.5</v>
      </c>
      <c r="J347" s="188" t="inlineStr">
        <is>
          <t>NO</t>
        </is>
      </c>
      <c r="K347" s="188" t="inlineStr">
        <is>
          <t>https://nvd.nist.gov/vuln/detail/CVE-2026-25998</t>
        </is>
      </c>
      <c r="L347" s="188" t="inlineStr">
        <is>
          <t>2026-02-26 00:15</t>
        </is>
      </c>
      <c r="M347" s="188" t="inlineStr">
        <is>
          <t>YES</t>
        </is>
      </c>
      <c r="N347" s="188" t="inlineStr">
        <is>
          <t>https://github.com/strongswan/strongMan/security/advisories/GHSA-88w4-jv97-c8xr</t>
        </is>
      </c>
      <c r="O347" s="188" t="inlineStr">
        <is>
          <t>Apply vendor patches</t>
        </is>
      </c>
      <c r="P347" s="188" t="inlineStr">
        <is>
          <t>strongswan strongman 0.1.0</t>
        </is>
      </c>
      <c r="Q347" s="188" t="inlineStr">
        <is>
          <t>P3</t>
        </is>
      </c>
      <c r="R347" s="188" t="inlineStr">
        <is>
          <t>🚨 URGENT: Apply vendor patches immediately | 🔒 Isolate affected systems if patch unavailable | 🛡️ Enable additional monitoring/IDS rules</t>
        </is>
      </c>
      <c r="S347" s="188" t="inlineStr">
        <is>
          <t>CVE - IP enrichment n/a</t>
        </is>
      </c>
      <c r="T347" s="188" t="n">
        <v>0</v>
      </c>
      <c r="U347" s="188" t="n">
        <v>0</v>
      </c>
      <c r="V347" s="188" t="inlineStr">
        <is>
          <t>T1190:Exploit Public-Facing Application | T1552:Unsecured Credentials | T1133:External Remote Services</t>
        </is>
      </c>
      <c r="W347" s="188" t="n">
        <v>1</v>
      </c>
      <c r="X347" s="188" t="inlineStr">
        <is>
          <t>LOW (40%)</t>
        </is>
      </c>
      <c r="Y347" s="188" t="inlineStr">
        <is>
          <t>UNLIKELY</t>
        </is>
      </c>
      <c r="Z347" s="188" t="inlineStr">
        <is>
          <t>PATCH_AVAILABLE</t>
        </is>
      </c>
      <c r="AA347" s="188" t="inlineStr">
        <is>
          <t>https://nvd.nist.gov/vuln/detail/CVE-2026-25998</t>
        </is>
      </c>
      <c r="AB347" s="188" t="inlineStr">
        <is>
          <t>NONE</t>
        </is>
      </c>
      <c r="AC347" s="188" t="n">
        <v>0</v>
      </c>
      <c r="AD347" s="188" t="inlineStr"/>
    </row>
    <row r="348">
      <c r="A348" s="188" t="inlineStr">
        <is>
          <t>CVE</t>
        </is>
      </c>
      <c r="B348" s="188" t="inlineStr">
        <is>
          <t>CVE-2026-26016</t>
        </is>
      </c>
      <c r="C348" s="188" t="inlineStr">
        <is>
          <t>Wings is the server control plane for Pterodactyl, a free, open-source game server management panel. Prior to version 1.12.1, a missing authorization check in multiple controllers allows any user with access to a node secret token to fetch information about any server on a Pterodactyl instance, even if that server is associated with a different node. This issue stems from missing logic to verify that the node requesting server data is the same node that the server is associated with. Any authent</t>
        </is>
      </c>
      <c r="D348" s="188" t="n">
        <v>8.1</v>
      </c>
      <c r="E348" s="188" t="inlineStr">
        <is>
          <t>HIGH</t>
        </is>
      </c>
      <c r="F348" s="188" t="n">
        <v>2</v>
      </c>
      <c r="G348" s="188" t="n">
        <v>3</v>
      </c>
      <c r="H348" s="188" t="inlineStr">
        <is>
          <t>HIGH</t>
        </is>
      </c>
      <c r="I348" s="188" t="n">
        <v>14.1</v>
      </c>
      <c r="J348" s="188" t="inlineStr">
        <is>
          <t>NO</t>
        </is>
      </c>
      <c r="K348" s="188" t="inlineStr">
        <is>
          <t>https://nvd.nist.gov/vuln/detail/CVE-2026-26016</t>
        </is>
      </c>
      <c r="L348" s="188" t="inlineStr">
        <is>
          <t>2026-02-26 00:15</t>
        </is>
      </c>
      <c r="M348" s="188" t="inlineStr">
        <is>
          <t>YES</t>
        </is>
      </c>
      <c r="N348" s="188" t="inlineStr">
        <is>
          <t>https://github.com/pterodactyl/panel/security/advisories/GHSA-g7vw-f8p5-c728</t>
        </is>
      </c>
      <c r="O348" s="188" t="inlineStr">
        <is>
          <t>Apply vendor patches</t>
        </is>
      </c>
      <c r="P348" s="188" t="inlineStr">
        <is>
          <t>pterodactyl panel *</t>
        </is>
      </c>
      <c r="Q348" s="188" t="inlineStr">
        <is>
          <t>P3</t>
        </is>
      </c>
      <c r="R348" s="188" t="inlineStr">
        <is>
          <t>🚨 URGENT: Apply vendor patches immediately | 🔒 Isolate affected systems if patch unavailable | 🛡️ Enable additional monitoring/IDS rules</t>
        </is>
      </c>
      <c r="S348" s="188" t="inlineStr">
        <is>
          <t>CVE - IP enrichment n/a</t>
        </is>
      </c>
      <c r="T348" s="188" t="n">
        <v>0</v>
      </c>
      <c r="U348" s="188" t="n">
        <v>0</v>
      </c>
      <c r="V348" s="188" t="inlineStr">
        <is>
          <t>T1190:Exploit Public-Facing Application</t>
        </is>
      </c>
      <c r="W348" s="188" t="n">
        <v>1</v>
      </c>
      <c r="X348" s="188" t="inlineStr">
        <is>
          <t>LOW (40%)</t>
        </is>
      </c>
      <c r="Y348" s="188" t="inlineStr">
        <is>
          <t>UNLIKELY</t>
        </is>
      </c>
      <c r="Z348" s="188" t="inlineStr">
        <is>
          <t>PATCH_AVAILABLE</t>
        </is>
      </c>
      <c r="AA348" s="188" t="inlineStr">
        <is>
          <t>https://nvd.nist.gov/vuln/detail/CVE-2026-26016</t>
        </is>
      </c>
      <c r="AB348" s="188" t="inlineStr">
        <is>
          <t>NONE</t>
        </is>
      </c>
      <c r="AC348" s="188" t="n">
        <v>0</v>
      </c>
      <c r="AD348" s="188" t="inlineStr"/>
    </row>
    <row r="349">
      <c r="A349" s="189" t="inlineStr">
        <is>
          <t>CVE</t>
        </is>
      </c>
      <c r="B349" s="189" t="inlineStr">
        <is>
          <t>CVE-2026-26030</t>
        </is>
      </c>
      <c r="C349" s="189" t="inlineStr">
        <is>
          <t>Semantic Kernel, Microsoft's semantic kernel Python SDK, has a remote code execution vulnerability in versions prior to 1.39.4, specifically within the `InMemoryVectorStore` filter functionality. The problem has been fixed in version `python-1.39.4`. Users should upgrade this version or higher. As a workaround, avoid using `InMemoryVectorStore` for production scenarios.</t>
        </is>
      </c>
      <c r="D349" s="189" t="n">
        <v>9.9</v>
      </c>
      <c r="E349" s="189" t="inlineStr">
        <is>
          <t>CRITICAL</t>
        </is>
      </c>
      <c r="F349" s="189" t="n">
        <v>2</v>
      </c>
      <c r="G349" s="189" t="n">
        <v>3</v>
      </c>
      <c r="H349" s="189" t="inlineStr">
        <is>
          <t>HIGH</t>
        </is>
      </c>
      <c r="I349" s="189" t="n">
        <v>15.9</v>
      </c>
      <c r="J349" s="189" t="inlineStr">
        <is>
          <t>NO</t>
        </is>
      </c>
      <c r="K349" s="189" t="inlineStr">
        <is>
          <t>https://nvd.nist.gov/vuln/detail/CVE-2026-26030</t>
        </is>
      </c>
      <c r="L349" s="189" t="inlineStr">
        <is>
          <t>2026-02-26 00:15</t>
        </is>
      </c>
      <c r="M349" s="189" t="inlineStr">
        <is>
          <t>CHECK_VENDOR</t>
        </is>
      </c>
      <c r="N349" s="189" t="inlineStr">
        <is>
          <t>See NVD references</t>
        </is>
      </c>
      <c r="O349" s="189" t="inlineStr">
        <is>
          <t>Apply vendor patches</t>
        </is>
      </c>
      <c r="P349" s="189" t="inlineStr">
        <is>
          <t>See CVE details</t>
        </is>
      </c>
      <c r="Q349" s="189" t="inlineStr">
        <is>
          <t>P3</t>
        </is>
      </c>
      <c r="R349" s="189" t="inlineStr">
        <is>
          <t>🚨 URGENT: Apply vendor patches immediately | 🔒 Isolate affected systems if patch unavailable | 🛡️ Enable additional monitoring/IDS rules</t>
        </is>
      </c>
      <c r="S349" s="189" t="inlineStr">
        <is>
          <t>CVE - IP enrichment n/a</t>
        </is>
      </c>
      <c r="T349" s="189" t="n">
        <v>0</v>
      </c>
      <c r="U349" s="189" t="n">
        <v>0</v>
      </c>
      <c r="V349" s="189" t="inlineStr">
        <is>
          <t>T1059:Command and Scripting Interpreter | T1190:Exploit Public-Facing Application | T1210:Exploitation of Remote Services</t>
        </is>
      </c>
      <c r="W349" s="189" t="n">
        <v>1</v>
      </c>
      <c r="X349" s="189" t="inlineStr">
        <is>
          <t>LOW (40%)</t>
        </is>
      </c>
      <c r="Y349" s="189" t="inlineStr">
        <is>
          <t>UNLIKELY</t>
        </is>
      </c>
      <c r="Z349" s="189" t="inlineStr">
        <is>
          <t>CHECK_VENDOR</t>
        </is>
      </c>
      <c r="AA349" s="189" t="inlineStr">
        <is>
          <t>https://nvd.nist.gov/vuln/detail/CVE-2026-26030</t>
        </is>
      </c>
      <c r="AB349" s="189" t="inlineStr">
        <is>
          <t>NONE</t>
        </is>
      </c>
      <c r="AC349" s="189" t="n">
        <v>0</v>
      </c>
      <c r="AD349" s="189" t="inlineStr"/>
    </row>
    <row r="350">
      <c r="A350" s="188" t="inlineStr">
        <is>
          <t>CVE</t>
        </is>
      </c>
      <c r="B350" s="188" t="inlineStr">
        <is>
          <t>CVE-2026-26336</t>
        </is>
      </c>
      <c r="C350" s="188" t="inlineStr">
        <is>
          <t>Hyland Alfresco allows unauthenticated attackers to read arbitrary files from protected directories (like WEB-INF) via the "/share/page/resource/" endpoint, thus leading to the disclosure of sensitive configuration files.</t>
        </is>
      </c>
      <c r="D350" s="188" t="n">
        <v>7.5</v>
      </c>
      <c r="E350" s="188" t="inlineStr">
        <is>
          <t>HIGH</t>
        </is>
      </c>
      <c r="F350" s="188" t="n">
        <v>2</v>
      </c>
      <c r="G350" s="188" t="n">
        <v>3</v>
      </c>
      <c r="H350" s="188" t="inlineStr">
        <is>
          <t>HIGH</t>
        </is>
      </c>
      <c r="I350" s="188" t="n">
        <v>13.5</v>
      </c>
      <c r="J350" s="188" t="inlineStr">
        <is>
          <t>NO</t>
        </is>
      </c>
      <c r="K350" s="188" t="inlineStr">
        <is>
          <t>https://nvd.nist.gov/vuln/detail/CVE-2026-26336</t>
        </is>
      </c>
      <c r="L350" s="188" t="inlineStr">
        <is>
          <t>2026-02-26 00:15</t>
        </is>
      </c>
      <c r="M350" s="188" t="inlineStr">
        <is>
          <t>CHECK_VENDOR</t>
        </is>
      </c>
      <c r="N350" s="188" t="inlineStr">
        <is>
          <t>See NVD references</t>
        </is>
      </c>
      <c r="O350" s="188" t="inlineStr">
        <is>
          <t>Apply vendor patches</t>
        </is>
      </c>
      <c r="P350" s="188" t="inlineStr">
        <is>
          <t>See CVE details</t>
        </is>
      </c>
      <c r="Q350" s="188" t="inlineStr">
        <is>
          <t>P3</t>
        </is>
      </c>
      <c r="R350" s="188" t="inlineStr">
        <is>
          <t>🚨 URGENT: Apply vendor patches immediately | 🔒 Isolate affected systems if patch unavailable | 🛡️ Enable additional monitoring/IDS rules</t>
        </is>
      </c>
      <c r="S350" s="188" t="inlineStr">
        <is>
          <t>CVE - IP enrichment n/a</t>
        </is>
      </c>
      <c r="T350" s="188" t="n">
        <v>0</v>
      </c>
      <c r="U350" s="188" t="n">
        <v>0</v>
      </c>
      <c r="V350" s="188" t="inlineStr">
        <is>
          <t>T1190:Exploit Public-Facing Application</t>
        </is>
      </c>
      <c r="W350" s="188" t="n">
        <v>1</v>
      </c>
      <c r="X350" s="188" t="inlineStr">
        <is>
          <t>LOW (40%)</t>
        </is>
      </c>
      <c r="Y350" s="188" t="inlineStr">
        <is>
          <t>UNLIKELY</t>
        </is>
      </c>
      <c r="Z350" s="188" t="inlineStr">
        <is>
          <t>CHECK_VENDOR</t>
        </is>
      </c>
      <c r="AA350" s="188" t="inlineStr">
        <is>
          <t>https://nvd.nist.gov/vuln/detail/CVE-2026-26336</t>
        </is>
      </c>
      <c r="AB350" s="188" t="inlineStr">
        <is>
          <t>NONE</t>
        </is>
      </c>
      <c r="AC350" s="188" t="n">
        <v>0</v>
      </c>
      <c r="AD350" s="188" t="inlineStr"/>
    </row>
    <row r="351">
      <c r="A351" s="188" t="inlineStr">
        <is>
          <t>CVE</t>
        </is>
      </c>
      <c r="B351" s="188" t="inlineStr">
        <is>
          <t>CVE-2026-2232</t>
        </is>
      </c>
      <c r="C351" s="188" t="inlineStr">
        <is>
          <t>The Product Table and List Builder for WooCommerce Lite plugin for WordPress is vulnerable to time-based SQL Injection via the 'search' parameter in all versions up to, and including, 4.6.2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351" s="188" t="n">
        <v>7.5</v>
      </c>
      <c r="E351" s="188" t="inlineStr">
        <is>
          <t>HIGH</t>
        </is>
      </c>
      <c r="F351" s="188" t="n">
        <v>2</v>
      </c>
      <c r="G351" s="188" t="n">
        <v>3</v>
      </c>
      <c r="H351" s="188" t="inlineStr">
        <is>
          <t>HIGH</t>
        </is>
      </c>
      <c r="I351" s="188" t="n">
        <v>13.5</v>
      </c>
      <c r="J351" s="188" t="inlineStr">
        <is>
          <t>NO</t>
        </is>
      </c>
      <c r="K351" s="188" t="inlineStr">
        <is>
          <t>https://nvd.nist.gov/vuln/detail/CVE-2026-2232</t>
        </is>
      </c>
      <c r="L351" s="188" t="inlineStr">
        <is>
          <t>2026-02-26 00:15</t>
        </is>
      </c>
      <c r="M351" s="188" t="inlineStr">
        <is>
          <t>CHECK_VENDOR</t>
        </is>
      </c>
      <c r="N351" s="188" t="inlineStr">
        <is>
          <t>See NVD references</t>
        </is>
      </c>
      <c r="O351" s="188" t="inlineStr">
        <is>
          <t>Apply vendor patches</t>
        </is>
      </c>
      <c r="P351" s="188" t="inlineStr">
        <is>
          <t>See CVE details</t>
        </is>
      </c>
      <c r="Q351" s="188" t="inlineStr">
        <is>
          <t>P3</t>
        </is>
      </c>
      <c r="R351" s="188" t="inlineStr">
        <is>
          <t>🚨 URGENT: Apply vendor patches immediately | 🔒 Isolate affected systems if patch unavailable | 🛡️ Enable additional monitoring/IDS rules</t>
        </is>
      </c>
      <c r="S351" s="188" t="inlineStr">
        <is>
          <t>CVE - IP enrichment n/a</t>
        </is>
      </c>
      <c r="T351" s="188" t="n">
        <v>0</v>
      </c>
      <c r="U351" s="188" t="n">
        <v>0</v>
      </c>
      <c r="V351" s="188" t="inlineStr">
        <is>
          <t>T1190:Exploit Public-Facing Application</t>
        </is>
      </c>
      <c r="W351" s="188" t="n">
        <v>1</v>
      </c>
      <c r="X351" s="188" t="inlineStr">
        <is>
          <t>LOW (40%)</t>
        </is>
      </c>
      <c r="Y351" s="188" t="inlineStr">
        <is>
          <t>UNLIKELY</t>
        </is>
      </c>
      <c r="Z351" s="188" t="inlineStr">
        <is>
          <t>CHECK_VENDOR</t>
        </is>
      </c>
      <c r="AA351" s="188" t="inlineStr">
        <is>
          <t>https://nvd.nist.gov/vuln/detail/CVE-2026-2232</t>
        </is>
      </c>
      <c r="AB351" s="188" t="inlineStr">
        <is>
          <t>NONE</t>
        </is>
      </c>
      <c r="AC351" s="188" t="n">
        <v>0</v>
      </c>
      <c r="AD351" s="188" t="inlineStr"/>
    </row>
    <row r="352">
      <c r="A352" s="187" t="inlineStr">
        <is>
          <t>CVE</t>
        </is>
      </c>
      <c r="B352" s="187" t="inlineStr">
        <is>
          <t>CVE-2026-23604</t>
        </is>
      </c>
      <c r="C352" s="187" t="inlineStr">
        <is>
          <t>GFI MailEssentials AI versions prior to 22.4 contain a stored cross-site scripting vulnerability in the Keyword Filtering rule creation workflow. An authenticated user can supply HTML/JavaScript in the ctl00$ContentPlaceHolder1$pv1$TXB_RuleName parameter to /MailEssentials/pages/MailSecurity/contentchecking.aspx, which is stored and later rendered in the management interface, allowing script execution in the context of a logged-in user.</t>
        </is>
      </c>
      <c r="D352" s="187" t="n">
        <v>5.4</v>
      </c>
      <c r="E352" s="187" t="inlineStr">
        <is>
          <t>MEDIUM</t>
        </is>
      </c>
      <c r="F352" s="187" t="n">
        <v>2</v>
      </c>
      <c r="G352" s="187" t="n">
        <v>2</v>
      </c>
      <c r="H352" s="187" t="inlineStr">
        <is>
          <t>MEDIUM</t>
        </is>
      </c>
      <c r="I352" s="187" t="n">
        <v>9.4</v>
      </c>
      <c r="J352" s="187" t="inlineStr">
        <is>
          <t>NO</t>
        </is>
      </c>
      <c r="K352" s="187" t="inlineStr">
        <is>
          <t>https://nvd.nist.gov/vuln/detail/CVE-2026-23604</t>
        </is>
      </c>
      <c r="L352" s="187" t="inlineStr">
        <is>
          <t>2026-02-26 00:15</t>
        </is>
      </c>
      <c r="M352" s="187" t="inlineStr">
        <is>
          <t>CHECK_VENDOR</t>
        </is>
      </c>
      <c r="N352" s="187" t="inlineStr">
        <is>
          <t>See NVD references</t>
        </is>
      </c>
      <c r="O352" s="187" t="inlineStr">
        <is>
          <t>Apply vendor patches</t>
        </is>
      </c>
      <c r="P352" s="187" t="inlineStr">
        <is>
          <t>gfi mailessentials *</t>
        </is>
      </c>
      <c r="Q352" s="187" t="inlineStr">
        <is>
          <t>P4</t>
        </is>
      </c>
      <c r="R352" s="187" t="inlineStr">
        <is>
          <t>📅 Schedule patch deployment within 30 days | 🔍 Monitor for exploitation attempts</t>
        </is>
      </c>
      <c r="S352" s="187" t="inlineStr">
        <is>
          <t>CVE - IP enrichment n/a</t>
        </is>
      </c>
      <c r="T352" s="187" t="n">
        <v>0</v>
      </c>
      <c r="U352" s="187" t="n">
        <v>0</v>
      </c>
      <c r="V352" s="187" t="inlineStr">
        <is>
          <t>T1189:Drive-by Compromise</t>
        </is>
      </c>
      <c r="W352" s="187" t="n">
        <v>1</v>
      </c>
      <c r="X352" s="187" t="inlineStr">
        <is>
          <t>LOW (40%)</t>
        </is>
      </c>
      <c r="Y352" s="187" t="inlineStr">
        <is>
          <t>UNLIKELY</t>
        </is>
      </c>
      <c r="Z352" s="187" t="inlineStr">
        <is>
          <t>CHECK_VENDOR</t>
        </is>
      </c>
      <c r="AA352" s="187" t="inlineStr">
        <is>
          <t>https://nvd.nist.gov/vuln/detail/CVE-2026-23604</t>
        </is>
      </c>
      <c r="AB352" s="187" t="inlineStr">
        <is>
          <t>NONE</t>
        </is>
      </c>
      <c r="AC352" s="187" t="n">
        <v>0</v>
      </c>
      <c r="AD352" s="187" t="inlineStr"/>
    </row>
    <row r="353">
      <c r="A353" s="187" t="inlineStr">
        <is>
          <t>CVE</t>
        </is>
      </c>
      <c r="B353" s="187" t="inlineStr">
        <is>
          <t>CVE-2026-23605</t>
        </is>
      </c>
      <c r="C353" s="187" t="inlineStr">
        <is>
          <t>GFI MailEssentials AI versions prior to 22.4 contain a stored cross-site scripting vulnerability in the Attachment Filtering rule creation workflow. An authenticated user can supply HTML/JavaScript in the ctl00$ContentPlaceHolder1$pv1$TXB_RuleName parameter to /MailEssentials/pages/MailSecurity/attachmentchecking.aspx, which is stored and later rendered in the management interface, allowing script execution in the context of a logged-in user.</t>
        </is>
      </c>
      <c r="D353" s="187" t="n">
        <v>5.4</v>
      </c>
      <c r="E353" s="187" t="inlineStr">
        <is>
          <t>MEDIUM</t>
        </is>
      </c>
      <c r="F353" s="187" t="n">
        <v>2</v>
      </c>
      <c r="G353" s="187" t="n">
        <v>2</v>
      </c>
      <c r="H353" s="187" t="inlineStr">
        <is>
          <t>MEDIUM</t>
        </is>
      </c>
      <c r="I353" s="187" t="n">
        <v>9.4</v>
      </c>
      <c r="J353" s="187" t="inlineStr">
        <is>
          <t>NO</t>
        </is>
      </c>
      <c r="K353" s="187" t="inlineStr">
        <is>
          <t>https://nvd.nist.gov/vuln/detail/CVE-2026-23605</t>
        </is>
      </c>
      <c r="L353" s="187" t="inlineStr">
        <is>
          <t>2026-02-26 00:15</t>
        </is>
      </c>
      <c r="M353" s="187" t="inlineStr">
        <is>
          <t>CHECK_VENDOR</t>
        </is>
      </c>
      <c r="N353" s="187" t="inlineStr">
        <is>
          <t>See NVD references</t>
        </is>
      </c>
      <c r="O353" s="187" t="inlineStr">
        <is>
          <t>Apply vendor patches</t>
        </is>
      </c>
      <c r="P353" s="187" t="inlineStr">
        <is>
          <t>gfi mailessentials *</t>
        </is>
      </c>
      <c r="Q353" s="187" t="inlineStr">
        <is>
          <t>P4</t>
        </is>
      </c>
      <c r="R353" s="187" t="inlineStr">
        <is>
          <t>📅 Schedule patch deployment within 30 days | 🔍 Monitor for exploitation attempts</t>
        </is>
      </c>
      <c r="S353" s="187" t="inlineStr">
        <is>
          <t>CVE - IP enrichment n/a</t>
        </is>
      </c>
      <c r="T353" s="187" t="n">
        <v>0</v>
      </c>
      <c r="U353" s="187" t="n">
        <v>0</v>
      </c>
      <c r="V353" s="187" t="inlineStr">
        <is>
          <t>T1189:Drive-by Compromise</t>
        </is>
      </c>
      <c r="W353" s="187" t="n">
        <v>1</v>
      </c>
      <c r="X353" s="187" t="inlineStr">
        <is>
          <t>LOW (40%)</t>
        </is>
      </c>
      <c r="Y353" s="187" t="inlineStr">
        <is>
          <t>UNLIKELY</t>
        </is>
      </c>
      <c r="Z353" s="187" t="inlineStr">
        <is>
          <t>CHECK_VENDOR</t>
        </is>
      </c>
      <c r="AA353" s="187" t="inlineStr">
        <is>
          <t>https://nvd.nist.gov/vuln/detail/CVE-2026-23605</t>
        </is>
      </c>
      <c r="AB353" s="187" t="inlineStr">
        <is>
          <t>NONE</t>
        </is>
      </c>
      <c r="AC353" s="187" t="n">
        <v>0</v>
      </c>
      <c r="AD353" s="187" t="inlineStr"/>
    </row>
    <row r="354">
      <c r="A354" s="187" t="inlineStr">
        <is>
          <t>CVE</t>
        </is>
      </c>
      <c r="B354" s="187" t="inlineStr">
        <is>
          <t>CVE-2026-23606</t>
        </is>
      </c>
      <c r="C354" s="187" t="inlineStr">
        <is>
          <t>GFI MailEssentials AI versions prior to 22.4 contain a stored cross-site scripting vulnerability in the Advanced Content Filtering rule creation workflow. An authenticated user can supply HTML/JavaScript in the ctl00$ContentPlaceHolder1$pv1$txtRuleName parameter to /MailEssentials/pages/MailSecurity/advancedfiltering.aspx, which is stored and later rendered in the management interface, allowing script execution in the context of a logged-in user.</t>
        </is>
      </c>
      <c r="D354" s="187" t="n">
        <v>5.4</v>
      </c>
      <c r="E354" s="187" t="inlineStr">
        <is>
          <t>MEDIUM</t>
        </is>
      </c>
      <c r="F354" s="187" t="n">
        <v>2</v>
      </c>
      <c r="G354" s="187" t="n">
        <v>2</v>
      </c>
      <c r="H354" s="187" t="inlineStr">
        <is>
          <t>MEDIUM</t>
        </is>
      </c>
      <c r="I354" s="187" t="n">
        <v>9.4</v>
      </c>
      <c r="J354" s="187" t="inlineStr">
        <is>
          <t>NO</t>
        </is>
      </c>
      <c r="K354" s="187" t="inlineStr">
        <is>
          <t>https://nvd.nist.gov/vuln/detail/CVE-2026-23606</t>
        </is>
      </c>
      <c r="L354" s="187" t="inlineStr">
        <is>
          <t>2026-02-26 00:15</t>
        </is>
      </c>
      <c r="M354" s="187" t="inlineStr">
        <is>
          <t>CHECK_VENDOR</t>
        </is>
      </c>
      <c r="N354" s="187" t="inlineStr">
        <is>
          <t>See NVD references</t>
        </is>
      </c>
      <c r="O354" s="187" t="inlineStr">
        <is>
          <t>Apply vendor patches</t>
        </is>
      </c>
      <c r="P354" s="187" t="inlineStr">
        <is>
          <t>gfi mailessentials *</t>
        </is>
      </c>
      <c r="Q354" s="187" t="inlineStr">
        <is>
          <t>P4</t>
        </is>
      </c>
      <c r="R354" s="187" t="inlineStr">
        <is>
          <t>📅 Schedule patch deployment within 30 days | 🔍 Monitor for exploitation attempts</t>
        </is>
      </c>
      <c r="S354" s="187" t="inlineStr">
        <is>
          <t>CVE - IP enrichment n/a</t>
        </is>
      </c>
      <c r="T354" s="187" t="n">
        <v>0</v>
      </c>
      <c r="U354" s="187" t="n">
        <v>0</v>
      </c>
      <c r="V354" s="187" t="inlineStr">
        <is>
          <t>T1189:Drive-by Compromise</t>
        </is>
      </c>
      <c r="W354" s="187" t="n">
        <v>1</v>
      </c>
      <c r="X354" s="187" t="inlineStr">
        <is>
          <t>LOW (40%)</t>
        </is>
      </c>
      <c r="Y354" s="187" t="inlineStr">
        <is>
          <t>UNLIKELY</t>
        </is>
      </c>
      <c r="Z354" s="187" t="inlineStr">
        <is>
          <t>CHECK_VENDOR</t>
        </is>
      </c>
      <c r="AA354" s="187" t="inlineStr">
        <is>
          <t>https://nvd.nist.gov/vuln/detail/CVE-2026-23606</t>
        </is>
      </c>
      <c r="AB354" s="187" t="inlineStr">
        <is>
          <t>NONE</t>
        </is>
      </c>
      <c r="AC354" s="187" t="n">
        <v>0</v>
      </c>
      <c r="AD354" s="187" t="inlineStr"/>
    </row>
    <row r="355">
      <c r="A355" s="187" t="inlineStr">
        <is>
          <t>CVE</t>
        </is>
      </c>
      <c r="B355" s="187" t="inlineStr">
        <is>
          <t>CVE-2026-23607</t>
        </is>
      </c>
      <c r="C355" s="187" t="inlineStr">
        <is>
          <t>GFI MailEssentials AI versions prior to 22.4 contain a stored cross-site scripting vulnerability in the Anti-Spam Whitelist management interface. An authenticated user can supply HTML/JavaScript in the ctl00$ContentPlaceHolder1$pv1$txtDescription parameter to /MailEssentials/pages/MailSecurity/Whitelist.aspx, which is stored and later rendered in the management interface, allowing script execution in the context of a logged-in user.</t>
        </is>
      </c>
      <c r="D355" s="187" t="n">
        <v>5.4</v>
      </c>
      <c r="E355" s="187" t="inlineStr">
        <is>
          <t>MEDIUM</t>
        </is>
      </c>
      <c r="F355" s="187" t="n">
        <v>2</v>
      </c>
      <c r="G355" s="187" t="n">
        <v>2</v>
      </c>
      <c r="H355" s="187" t="inlineStr">
        <is>
          <t>MEDIUM</t>
        </is>
      </c>
      <c r="I355" s="187" t="n">
        <v>9.4</v>
      </c>
      <c r="J355" s="187" t="inlineStr">
        <is>
          <t>NO</t>
        </is>
      </c>
      <c r="K355" s="187" t="inlineStr">
        <is>
          <t>https://nvd.nist.gov/vuln/detail/CVE-2026-23607</t>
        </is>
      </c>
      <c r="L355" s="187" t="inlineStr">
        <is>
          <t>2026-02-26 00:15</t>
        </is>
      </c>
      <c r="M355" s="187" t="inlineStr">
        <is>
          <t>CHECK_VENDOR</t>
        </is>
      </c>
      <c r="N355" s="187" t="inlineStr">
        <is>
          <t>See NVD references</t>
        </is>
      </c>
      <c r="O355" s="187" t="inlineStr">
        <is>
          <t>Apply vendor patches</t>
        </is>
      </c>
      <c r="P355" s="187" t="inlineStr">
        <is>
          <t>gfi mailessentials *</t>
        </is>
      </c>
      <c r="Q355" s="187" t="inlineStr">
        <is>
          <t>P4</t>
        </is>
      </c>
      <c r="R355" s="187" t="inlineStr">
        <is>
          <t>📅 Schedule patch deployment within 30 days | 🔍 Monitor for exploitation attempts</t>
        </is>
      </c>
      <c r="S355" s="187" t="inlineStr">
        <is>
          <t>CVE - IP enrichment n/a</t>
        </is>
      </c>
      <c r="T355" s="187" t="n">
        <v>0</v>
      </c>
      <c r="U355" s="187" t="n">
        <v>0</v>
      </c>
      <c r="V355" s="187" t="inlineStr">
        <is>
          <t>T1189:Drive-by Compromise</t>
        </is>
      </c>
      <c r="W355" s="187" t="n">
        <v>1</v>
      </c>
      <c r="X355" s="187" t="inlineStr">
        <is>
          <t>LOW (40%)</t>
        </is>
      </c>
      <c r="Y355" s="187" t="inlineStr">
        <is>
          <t>UNLIKELY</t>
        </is>
      </c>
      <c r="Z355" s="187" t="inlineStr">
        <is>
          <t>CHECK_VENDOR</t>
        </is>
      </c>
      <c r="AA355" s="187" t="inlineStr">
        <is>
          <t>https://nvd.nist.gov/vuln/detail/CVE-2026-23607</t>
        </is>
      </c>
      <c r="AB355" s="187" t="inlineStr">
        <is>
          <t>NONE</t>
        </is>
      </c>
      <c r="AC355" s="187" t="n">
        <v>0</v>
      </c>
      <c r="AD355" s="187" t="inlineStr"/>
    </row>
    <row r="356">
      <c r="A356" s="187" t="inlineStr">
        <is>
          <t>CVE</t>
        </is>
      </c>
      <c r="B356" s="187" t="inlineStr">
        <is>
          <t>CVE-2026-23608</t>
        </is>
      </c>
      <c r="C356" s="187" t="inlineStr">
        <is>
          <t>GFI MailEssentials AI versions prior to 22.4 contain a stored cross-site scripting vulnerability in the Mail Monitoring rule creation endpoint. An authenticated user can supply HTML/JavaScript in the JSON \"name\" field to /MailEssentials/pages/MailSecurity/MailMonitoring.aspx/Save, which is stored and later rendered in the management interface, allowing script execution in the context of a logged-in user.</t>
        </is>
      </c>
      <c r="D356" s="187" t="n">
        <v>5.4</v>
      </c>
      <c r="E356" s="187" t="inlineStr">
        <is>
          <t>MEDIUM</t>
        </is>
      </c>
      <c r="F356" s="187" t="n">
        <v>2</v>
      </c>
      <c r="G356" s="187" t="n">
        <v>2</v>
      </c>
      <c r="H356" s="187" t="inlineStr">
        <is>
          <t>MEDIUM</t>
        </is>
      </c>
      <c r="I356" s="187" t="n">
        <v>9.4</v>
      </c>
      <c r="J356" s="187" t="inlineStr">
        <is>
          <t>NO</t>
        </is>
      </c>
      <c r="K356" s="187" t="inlineStr">
        <is>
          <t>https://nvd.nist.gov/vuln/detail/CVE-2026-23608</t>
        </is>
      </c>
      <c r="L356" s="187" t="inlineStr">
        <is>
          <t>2026-02-26 00:15</t>
        </is>
      </c>
      <c r="M356" s="187" t="inlineStr">
        <is>
          <t>CHECK_VENDOR</t>
        </is>
      </c>
      <c r="N356" s="187" t="inlineStr">
        <is>
          <t>See NVD references</t>
        </is>
      </c>
      <c r="O356" s="187" t="inlineStr">
        <is>
          <t>Apply vendor patches</t>
        </is>
      </c>
      <c r="P356" s="187" t="inlineStr">
        <is>
          <t>gfi mailessentials *</t>
        </is>
      </c>
      <c r="Q356" s="187" t="inlineStr">
        <is>
          <t>P4</t>
        </is>
      </c>
      <c r="R356" s="187" t="inlineStr">
        <is>
          <t>📅 Schedule patch deployment within 30 days | 🔍 Monitor for exploitation attempts</t>
        </is>
      </c>
      <c r="S356" s="187" t="inlineStr">
        <is>
          <t>CVE - IP enrichment n/a</t>
        </is>
      </c>
      <c r="T356" s="187" t="n">
        <v>0</v>
      </c>
      <c r="U356" s="187" t="n">
        <v>0</v>
      </c>
      <c r="V356" s="187" t="inlineStr">
        <is>
          <t>T1189:Drive-by Compromise</t>
        </is>
      </c>
      <c r="W356" s="187" t="n">
        <v>1</v>
      </c>
      <c r="X356" s="187" t="inlineStr">
        <is>
          <t>LOW (40%)</t>
        </is>
      </c>
      <c r="Y356" s="187" t="inlineStr">
        <is>
          <t>UNLIKELY</t>
        </is>
      </c>
      <c r="Z356" s="187" t="inlineStr">
        <is>
          <t>CHECK_VENDOR</t>
        </is>
      </c>
      <c r="AA356" s="187" t="inlineStr">
        <is>
          <t>https://nvd.nist.gov/vuln/detail/CVE-2026-23608</t>
        </is>
      </c>
      <c r="AB356" s="187" t="inlineStr">
        <is>
          <t>NONE</t>
        </is>
      </c>
      <c r="AC356" s="187" t="n">
        <v>0</v>
      </c>
      <c r="AD356" s="187" t="inlineStr"/>
    </row>
    <row r="357">
      <c r="A357" s="187" t="inlineStr">
        <is>
          <t>CVE</t>
        </is>
      </c>
      <c r="B357" s="187" t="inlineStr">
        <is>
          <t>CVE-2026-23609</t>
        </is>
      </c>
      <c r="C357" s="187" t="inlineStr">
        <is>
          <t>GFI MailEssentials AI versions prior to 22.4 contain a stored cross-site scripting vulnerability in the Perimeter SMTP Servers configuration page. An authenticated user can supply HTML/JavaScript in the ctl00$ContentPlaceHolder1$pv3$txtDescription parameter to /MailEssentials/pages/MailSecurity/PerimeterSMTPServers.aspx, which is stored and later rendered in the management interface, allowing script execution in the context of a logged-in user.</t>
        </is>
      </c>
      <c r="D357" s="187" t="n">
        <v>5.4</v>
      </c>
      <c r="E357" s="187" t="inlineStr">
        <is>
          <t>MEDIUM</t>
        </is>
      </c>
      <c r="F357" s="187" t="n">
        <v>2</v>
      </c>
      <c r="G357" s="187" t="n">
        <v>2</v>
      </c>
      <c r="H357" s="187" t="inlineStr">
        <is>
          <t>MEDIUM</t>
        </is>
      </c>
      <c r="I357" s="187" t="n">
        <v>9.4</v>
      </c>
      <c r="J357" s="187" t="inlineStr">
        <is>
          <t>NO</t>
        </is>
      </c>
      <c r="K357" s="187" t="inlineStr">
        <is>
          <t>https://nvd.nist.gov/vuln/detail/CVE-2026-23609</t>
        </is>
      </c>
      <c r="L357" s="187" t="inlineStr">
        <is>
          <t>2026-02-26 00:15</t>
        </is>
      </c>
      <c r="M357" s="187" t="inlineStr">
        <is>
          <t>CHECK_VENDOR</t>
        </is>
      </c>
      <c r="N357" s="187" t="inlineStr">
        <is>
          <t>See NVD references</t>
        </is>
      </c>
      <c r="O357" s="187" t="inlineStr">
        <is>
          <t>Apply vendor patches</t>
        </is>
      </c>
      <c r="P357" s="187" t="inlineStr">
        <is>
          <t>gfi mailessentials *</t>
        </is>
      </c>
      <c r="Q357" s="187" t="inlineStr">
        <is>
          <t>P4</t>
        </is>
      </c>
      <c r="R357" s="187" t="inlineStr">
        <is>
          <t>📅 Schedule patch deployment within 30 days | 🔍 Monitor for exploitation attempts</t>
        </is>
      </c>
      <c r="S357" s="187" t="inlineStr">
        <is>
          <t>CVE - IP enrichment n/a</t>
        </is>
      </c>
      <c r="T357" s="187" t="n">
        <v>0</v>
      </c>
      <c r="U357" s="187" t="n">
        <v>0</v>
      </c>
      <c r="V357" s="187" t="inlineStr">
        <is>
          <t>T1189:Drive-by Compromise</t>
        </is>
      </c>
      <c r="W357" s="187" t="n">
        <v>1</v>
      </c>
      <c r="X357" s="187" t="inlineStr">
        <is>
          <t>LOW (40%)</t>
        </is>
      </c>
      <c r="Y357" s="187" t="inlineStr">
        <is>
          <t>UNLIKELY</t>
        </is>
      </c>
      <c r="Z357" s="187" t="inlineStr">
        <is>
          <t>CHECK_VENDOR</t>
        </is>
      </c>
      <c r="AA357" s="187" t="inlineStr">
        <is>
          <t>https://nvd.nist.gov/vuln/detail/CVE-2026-23609</t>
        </is>
      </c>
      <c r="AB357" s="187" t="inlineStr">
        <is>
          <t>NONE</t>
        </is>
      </c>
      <c r="AC357" s="187" t="n">
        <v>0</v>
      </c>
      <c r="AD357" s="187" t="inlineStr"/>
    </row>
    <row r="358">
      <c r="A358" s="187" t="inlineStr">
        <is>
          <t>CVE</t>
        </is>
      </c>
      <c r="B358" s="187" t="inlineStr">
        <is>
          <t>CVE-2026-23610</t>
        </is>
      </c>
      <c r="C358" s="187" t="inlineStr">
        <is>
          <t>GFI MailEssentials AI versions prior to 22.4 contain a stored cross-site scripting vulnerability in the POP2Exchange configuration endpoint. An authenticated user can supply HTML/JavaScript in the POP3 server login field within the JSON \"popServers\" payload to /MailEssentials/pages/MailSecurity/POP2Exchange.aspx/Save, which is stored and later rendered in the management interface, allowing script execution in the context of a logged-in user.</t>
        </is>
      </c>
      <c r="D358" s="187" t="n">
        <v>5.4</v>
      </c>
      <c r="E358" s="187" t="inlineStr">
        <is>
          <t>MEDIUM</t>
        </is>
      </c>
      <c r="F358" s="187" t="n">
        <v>2</v>
      </c>
      <c r="G358" s="187" t="n">
        <v>2</v>
      </c>
      <c r="H358" s="187" t="inlineStr">
        <is>
          <t>MEDIUM</t>
        </is>
      </c>
      <c r="I358" s="187" t="n">
        <v>9.4</v>
      </c>
      <c r="J358" s="187" t="inlineStr">
        <is>
          <t>NO</t>
        </is>
      </c>
      <c r="K358" s="187" t="inlineStr">
        <is>
          <t>https://nvd.nist.gov/vuln/detail/CVE-2026-23610</t>
        </is>
      </c>
      <c r="L358" s="187" t="inlineStr">
        <is>
          <t>2026-02-26 00:15</t>
        </is>
      </c>
      <c r="M358" s="187" t="inlineStr">
        <is>
          <t>CHECK_VENDOR</t>
        </is>
      </c>
      <c r="N358" s="187" t="inlineStr">
        <is>
          <t>See NVD references</t>
        </is>
      </c>
      <c r="O358" s="187" t="inlineStr">
        <is>
          <t>Apply vendor patches</t>
        </is>
      </c>
      <c r="P358" s="187" t="inlineStr">
        <is>
          <t>gfi mailessentials *</t>
        </is>
      </c>
      <c r="Q358" s="187" t="inlineStr">
        <is>
          <t>P4</t>
        </is>
      </c>
      <c r="R358" s="187" t="inlineStr">
        <is>
          <t>📅 Schedule patch deployment within 30 days | 🔍 Monitor for exploitation attempts</t>
        </is>
      </c>
      <c r="S358" s="187" t="inlineStr">
        <is>
          <t>CVE - IP enrichment n/a</t>
        </is>
      </c>
      <c r="T358" s="187" t="n">
        <v>0</v>
      </c>
      <c r="U358" s="187" t="n">
        <v>0</v>
      </c>
      <c r="V358" s="187" t="inlineStr">
        <is>
          <t>T1189:Drive-by Compromise</t>
        </is>
      </c>
      <c r="W358" s="187" t="n">
        <v>1</v>
      </c>
      <c r="X358" s="187" t="inlineStr">
        <is>
          <t>LOW (40%)</t>
        </is>
      </c>
      <c r="Y358" s="187" t="inlineStr">
        <is>
          <t>UNLIKELY</t>
        </is>
      </c>
      <c r="Z358" s="187" t="inlineStr">
        <is>
          <t>CHECK_VENDOR</t>
        </is>
      </c>
      <c r="AA358" s="187" t="inlineStr">
        <is>
          <t>https://nvd.nist.gov/vuln/detail/CVE-2026-23610</t>
        </is>
      </c>
      <c r="AB358" s="187" t="inlineStr">
        <is>
          <t>NONE</t>
        </is>
      </c>
      <c r="AC358" s="187" t="n">
        <v>0</v>
      </c>
      <c r="AD358" s="187" t="inlineStr"/>
    </row>
    <row r="359">
      <c r="A359" s="187" t="inlineStr">
        <is>
          <t>CVE</t>
        </is>
      </c>
      <c r="B359" s="187" t="inlineStr">
        <is>
          <t>CVE-2026-23611</t>
        </is>
      </c>
      <c r="C359" s="187" t="inlineStr">
        <is>
          <t>GFI MailEssentials AI versions prior to 22.4 contain a stored cross-site scripting vulnerability in the IP Blocklist management page. An authenticated user can supply HTML/JavaScript in the ctl00$ContentPlaceHolder1$pv1$txtIPDescription parameter to /MailEssentials/pages/MailSecurity/ipblocklist.aspx, which is stored and later rendered in the management interface, allowing script execution in the context of a logged-in user.</t>
        </is>
      </c>
      <c r="D359" s="187" t="n">
        <v>5.4</v>
      </c>
      <c r="E359" s="187" t="inlineStr">
        <is>
          <t>MEDIUM</t>
        </is>
      </c>
      <c r="F359" s="187" t="n">
        <v>2</v>
      </c>
      <c r="G359" s="187" t="n">
        <v>2</v>
      </c>
      <c r="H359" s="187" t="inlineStr">
        <is>
          <t>MEDIUM</t>
        </is>
      </c>
      <c r="I359" s="187" t="n">
        <v>9.4</v>
      </c>
      <c r="J359" s="187" t="inlineStr">
        <is>
          <t>NO</t>
        </is>
      </c>
      <c r="K359" s="187" t="inlineStr">
        <is>
          <t>https://nvd.nist.gov/vuln/detail/CVE-2026-23611</t>
        </is>
      </c>
      <c r="L359" s="187" t="inlineStr">
        <is>
          <t>2026-02-26 00:15</t>
        </is>
      </c>
      <c r="M359" s="187" t="inlineStr">
        <is>
          <t>CHECK_VENDOR</t>
        </is>
      </c>
      <c r="N359" s="187" t="inlineStr">
        <is>
          <t>See NVD references</t>
        </is>
      </c>
      <c r="O359" s="187" t="inlineStr">
        <is>
          <t>Apply vendor patches</t>
        </is>
      </c>
      <c r="P359" s="187" t="inlineStr">
        <is>
          <t>gfi mailessentials *</t>
        </is>
      </c>
      <c r="Q359" s="187" t="inlineStr">
        <is>
          <t>P4</t>
        </is>
      </c>
      <c r="R359" s="187" t="inlineStr">
        <is>
          <t>📅 Schedule patch deployment within 30 days | 🔍 Monitor for exploitation attempts</t>
        </is>
      </c>
      <c r="S359" s="187" t="inlineStr">
        <is>
          <t>CVE - IP enrichment n/a</t>
        </is>
      </c>
      <c r="T359" s="187" t="n">
        <v>0</v>
      </c>
      <c r="U359" s="187" t="n">
        <v>0</v>
      </c>
      <c r="V359" s="187" t="inlineStr">
        <is>
          <t>T1189:Drive-by Compromise</t>
        </is>
      </c>
      <c r="W359" s="187" t="n">
        <v>1</v>
      </c>
      <c r="X359" s="187" t="inlineStr">
        <is>
          <t>LOW (40%)</t>
        </is>
      </c>
      <c r="Y359" s="187" t="inlineStr">
        <is>
          <t>UNLIKELY</t>
        </is>
      </c>
      <c r="Z359" s="187" t="inlineStr">
        <is>
          <t>CHECK_VENDOR</t>
        </is>
      </c>
      <c r="AA359" s="187" t="inlineStr">
        <is>
          <t>https://nvd.nist.gov/vuln/detail/CVE-2026-23611</t>
        </is>
      </c>
      <c r="AB359" s="187" t="inlineStr">
        <is>
          <t>NONE</t>
        </is>
      </c>
      <c r="AC359" s="187" t="n">
        <v>0</v>
      </c>
      <c r="AD359" s="187" t="inlineStr"/>
    </row>
    <row r="360">
      <c r="A360" s="187" t="inlineStr">
        <is>
          <t>CVE</t>
        </is>
      </c>
      <c r="B360" s="187" t="inlineStr">
        <is>
          <t>CVE-2026-23612</t>
        </is>
      </c>
      <c r="C360" s="187" t="inlineStr">
        <is>
          <t>GFI MailEssentials AI versions prior to 22.4 contain a stored cross-site scripting vulnerability in the IP DNS Blocklist configuration page. An authenticated user can supply HTML/JavaScript in the ctl00$ContentPlaceHolder1$pv1$TXB_IPs parameter to /MailEssentials/pages/MailSecurity/ipdnsblocklist.aspx, which is stored and later rendered in the management interface, allowing script execution in the context of a logged-in user.</t>
        </is>
      </c>
      <c r="D360" s="187" t="n">
        <v>5.4</v>
      </c>
      <c r="E360" s="187" t="inlineStr">
        <is>
          <t>MEDIUM</t>
        </is>
      </c>
      <c r="F360" s="187" t="n">
        <v>2</v>
      </c>
      <c r="G360" s="187" t="n">
        <v>2</v>
      </c>
      <c r="H360" s="187" t="inlineStr">
        <is>
          <t>MEDIUM</t>
        </is>
      </c>
      <c r="I360" s="187" t="n">
        <v>9.4</v>
      </c>
      <c r="J360" s="187" t="inlineStr">
        <is>
          <t>NO</t>
        </is>
      </c>
      <c r="K360" s="187" t="inlineStr">
        <is>
          <t>https://nvd.nist.gov/vuln/detail/CVE-2026-23612</t>
        </is>
      </c>
      <c r="L360" s="187" t="inlineStr">
        <is>
          <t>2026-02-26 00:15</t>
        </is>
      </c>
      <c r="M360" s="187" t="inlineStr">
        <is>
          <t>CHECK_VENDOR</t>
        </is>
      </c>
      <c r="N360" s="187" t="inlineStr">
        <is>
          <t>See NVD references</t>
        </is>
      </c>
      <c r="O360" s="187" t="inlineStr">
        <is>
          <t>Apply vendor patches</t>
        </is>
      </c>
      <c r="P360" s="187" t="inlineStr">
        <is>
          <t>gfi mailessentials *</t>
        </is>
      </c>
      <c r="Q360" s="187" t="inlineStr">
        <is>
          <t>P4</t>
        </is>
      </c>
      <c r="R360" s="187" t="inlineStr">
        <is>
          <t>📅 Schedule patch deployment within 30 days | 🔍 Monitor for exploitation attempts</t>
        </is>
      </c>
      <c r="S360" s="187" t="inlineStr">
        <is>
          <t>CVE - IP enrichment n/a</t>
        </is>
      </c>
      <c r="T360" s="187" t="n">
        <v>0</v>
      </c>
      <c r="U360" s="187" t="n">
        <v>0</v>
      </c>
      <c r="V360" s="187" t="inlineStr">
        <is>
          <t>T1189:Drive-by Compromise</t>
        </is>
      </c>
      <c r="W360" s="187" t="n">
        <v>1</v>
      </c>
      <c r="X360" s="187" t="inlineStr">
        <is>
          <t>LOW (40%)</t>
        </is>
      </c>
      <c r="Y360" s="187" t="inlineStr">
        <is>
          <t>UNLIKELY</t>
        </is>
      </c>
      <c r="Z360" s="187" t="inlineStr">
        <is>
          <t>CHECK_VENDOR</t>
        </is>
      </c>
      <c r="AA360" s="187" t="inlineStr">
        <is>
          <t>https://nvd.nist.gov/vuln/detail/CVE-2026-23612</t>
        </is>
      </c>
      <c r="AB360" s="187" t="inlineStr">
        <is>
          <t>NONE</t>
        </is>
      </c>
      <c r="AC360" s="187" t="n">
        <v>0</v>
      </c>
      <c r="AD360" s="187" t="inlineStr"/>
    </row>
    <row r="361">
      <c r="A361" s="187" t="inlineStr">
        <is>
          <t>CVE</t>
        </is>
      </c>
      <c r="B361" s="187" t="inlineStr">
        <is>
          <t>CVE-2026-23613</t>
        </is>
      </c>
      <c r="C361" s="187" t="inlineStr">
        <is>
          <t>GFI MailEssentials AI versions prior to 22.4 contain a stored cross-site scripting vulnerability in the URI DNS Blocklist configuration page. An authenticated user can supply HTML/JavaScript in the ctl00$ContentPlaceHolder1$pv1$TXB_URIs parameter to /MailEssentials/pages/MailSecurity/uridnsblocklist.aspx, which is stored and later rendered in the management interface, allowing script execution in the context of a logged-in user.</t>
        </is>
      </c>
      <c r="D361" s="187" t="n">
        <v>5.4</v>
      </c>
      <c r="E361" s="187" t="inlineStr">
        <is>
          <t>MEDIUM</t>
        </is>
      </c>
      <c r="F361" s="187" t="n">
        <v>2</v>
      </c>
      <c r="G361" s="187" t="n">
        <v>2</v>
      </c>
      <c r="H361" s="187" t="inlineStr">
        <is>
          <t>MEDIUM</t>
        </is>
      </c>
      <c r="I361" s="187" t="n">
        <v>9.4</v>
      </c>
      <c r="J361" s="187" t="inlineStr">
        <is>
          <t>NO</t>
        </is>
      </c>
      <c r="K361" s="187" t="inlineStr">
        <is>
          <t>https://nvd.nist.gov/vuln/detail/CVE-2026-23613</t>
        </is>
      </c>
      <c r="L361" s="187" t="inlineStr">
        <is>
          <t>2026-02-26 00:15</t>
        </is>
      </c>
      <c r="M361" s="187" t="inlineStr">
        <is>
          <t>CHECK_VENDOR</t>
        </is>
      </c>
      <c r="N361" s="187" t="inlineStr">
        <is>
          <t>See NVD references</t>
        </is>
      </c>
      <c r="O361" s="187" t="inlineStr">
        <is>
          <t>Apply vendor patches</t>
        </is>
      </c>
      <c r="P361" s="187" t="inlineStr">
        <is>
          <t>gfi mailessentials *</t>
        </is>
      </c>
      <c r="Q361" s="187" t="inlineStr">
        <is>
          <t>P4</t>
        </is>
      </c>
      <c r="R361" s="187" t="inlineStr">
        <is>
          <t>📅 Schedule patch deployment within 30 days | 🔍 Monitor for exploitation attempts</t>
        </is>
      </c>
      <c r="S361" s="187" t="inlineStr">
        <is>
          <t>CVE - IP enrichment n/a</t>
        </is>
      </c>
      <c r="T361" s="187" t="n">
        <v>0</v>
      </c>
      <c r="U361" s="187" t="n">
        <v>0</v>
      </c>
      <c r="V361" s="187" t="inlineStr">
        <is>
          <t>T1189:Drive-by Compromise</t>
        </is>
      </c>
      <c r="W361" s="187" t="n">
        <v>1</v>
      </c>
      <c r="X361" s="187" t="inlineStr">
        <is>
          <t>LOW (40%)</t>
        </is>
      </c>
      <c r="Y361" s="187" t="inlineStr">
        <is>
          <t>UNLIKELY</t>
        </is>
      </c>
      <c r="Z361" s="187" t="inlineStr">
        <is>
          <t>CHECK_VENDOR</t>
        </is>
      </c>
      <c r="AA361" s="187" t="inlineStr">
        <is>
          <t>https://nvd.nist.gov/vuln/detail/CVE-2026-23613</t>
        </is>
      </c>
      <c r="AB361" s="187" t="inlineStr">
        <is>
          <t>NONE</t>
        </is>
      </c>
      <c r="AC361" s="187" t="n">
        <v>0</v>
      </c>
      <c r="AD361" s="187" t="inlineStr"/>
    </row>
    <row r="362">
      <c r="A362" s="187" t="inlineStr">
        <is>
          <t>CVE</t>
        </is>
      </c>
      <c r="B362" s="187" t="inlineStr">
        <is>
          <t>CVE-2026-23614</t>
        </is>
      </c>
      <c r="C362" s="187" t="inlineStr">
        <is>
          <t>GFI MailEssentials AI versions prior to 22.4 contain a stored cross-site scripting vulnerability in the Sender Policy Framework IP Exceptions interface. An authenticated user can supply HTML/JavaScript in the ctl00$ContentPlaceHolder1$pv2$txtIPDescription parameter to /MailEssentials/pages/MailSecurity/SenderPolicyFramework.aspx, which is stored and later rendered in the management interface, allowing script execution in the context of a logged-in user.</t>
        </is>
      </c>
      <c r="D362" s="187" t="n">
        <v>5.4</v>
      </c>
      <c r="E362" s="187" t="inlineStr">
        <is>
          <t>MEDIUM</t>
        </is>
      </c>
      <c r="F362" s="187" t="n">
        <v>2</v>
      </c>
      <c r="G362" s="187" t="n">
        <v>2</v>
      </c>
      <c r="H362" s="187" t="inlineStr">
        <is>
          <t>MEDIUM</t>
        </is>
      </c>
      <c r="I362" s="187" t="n">
        <v>9.4</v>
      </c>
      <c r="J362" s="187" t="inlineStr">
        <is>
          <t>NO</t>
        </is>
      </c>
      <c r="K362" s="187" t="inlineStr">
        <is>
          <t>https://nvd.nist.gov/vuln/detail/CVE-2026-23614</t>
        </is>
      </c>
      <c r="L362" s="187" t="inlineStr">
        <is>
          <t>2026-02-26 00:15</t>
        </is>
      </c>
      <c r="M362" s="187" t="inlineStr">
        <is>
          <t>CHECK_VENDOR</t>
        </is>
      </c>
      <c r="N362" s="187" t="inlineStr">
        <is>
          <t>See NVD references</t>
        </is>
      </c>
      <c r="O362" s="187" t="inlineStr">
        <is>
          <t>Apply vendor patches</t>
        </is>
      </c>
      <c r="P362" s="187" t="inlineStr">
        <is>
          <t>gfi mailessentials *</t>
        </is>
      </c>
      <c r="Q362" s="187" t="inlineStr">
        <is>
          <t>P4</t>
        </is>
      </c>
      <c r="R362" s="187" t="inlineStr">
        <is>
          <t>📅 Schedule patch deployment within 30 days | 🔍 Monitor for exploitation attempts</t>
        </is>
      </c>
      <c r="S362" s="187" t="inlineStr">
        <is>
          <t>CVE - IP enrichment n/a</t>
        </is>
      </c>
      <c r="T362" s="187" t="n">
        <v>0</v>
      </c>
      <c r="U362" s="187" t="n">
        <v>0</v>
      </c>
      <c r="V362" s="187" t="inlineStr">
        <is>
          <t>T1189:Drive-by Compromise</t>
        </is>
      </c>
      <c r="W362" s="187" t="n">
        <v>1</v>
      </c>
      <c r="X362" s="187" t="inlineStr">
        <is>
          <t>LOW (40%)</t>
        </is>
      </c>
      <c r="Y362" s="187" t="inlineStr">
        <is>
          <t>UNLIKELY</t>
        </is>
      </c>
      <c r="Z362" s="187" t="inlineStr">
        <is>
          <t>CHECK_VENDOR</t>
        </is>
      </c>
      <c r="AA362" s="187" t="inlineStr">
        <is>
          <t>https://nvd.nist.gov/vuln/detail/CVE-2026-23614</t>
        </is>
      </c>
      <c r="AB362" s="187" t="inlineStr">
        <is>
          <t>NONE</t>
        </is>
      </c>
      <c r="AC362" s="187" t="n">
        <v>0</v>
      </c>
      <c r="AD362" s="187" t="inlineStr"/>
    </row>
    <row r="363">
      <c r="A363" s="187" t="inlineStr">
        <is>
          <t>CVE</t>
        </is>
      </c>
      <c r="B363" s="187" t="inlineStr">
        <is>
          <t>CVE-2026-23615</t>
        </is>
      </c>
      <c r="C363" s="187" t="inlineStr">
        <is>
          <t>GFI MailEssentials AI versions prior to 22.4 contain a stored cross-site scripting vulnerability in the Sender Policy Framework Email Exceptions interface. An authenticated user can supply HTML/JavaScript in the ctl00$ContentPlaceHolder1$pv4$txtEmailDescription parameter to /MailEssentials/pages/MailSecurity/SenderPolicyFramework.aspx, which is stored and later rendered in the management interface, allowing script execution in the context of a logged-in user.</t>
        </is>
      </c>
      <c r="D363" s="187" t="n">
        <v>5.4</v>
      </c>
      <c r="E363" s="187" t="inlineStr">
        <is>
          <t>MEDIUM</t>
        </is>
      </c>
      <c r="F363" s="187" t="n">
        <v>2</v>
      </c>
      <c r="G363" s="187" t="n">
        <v>2</v>
      </c>
      <c r="H363" s="187" t="inlineStr">
        <is>
          <t>MEDIUM</t>
        </is>
      </c>
      <c r="I363" s="187" t="n">
        <v>9.4</v>
      </c>
      <c r="J363" s="187" t="inlineStr">
        <is>
          <t>NO</t>
        </is>
      </c>
      <c r="K363" s="187" t="inlineStr">
        <is>
          <t>https://nvd.nist.gov/vuln/detail/CVE-2026-23615</t>
        </is>
      </c>
      <c r="L363" s="187" t="inlineStr">
        <is>
          <t>2026-02-26 00:15</t>
        </is>
      </c>
      <c r="M363" s="187" t="inlineStr">
        <is>
          <t>CHECK_VENDOR</t>
        </is>
      </c>
      <c r="N363" s="187" t="inlineStr">
        <is>
          <t>See NVD references</t>
        </is>
      </c>
      <c r="O363" s="187" t="inlineStr">
        <is>
          <t>Apply vendor patches</t>
        </is>
      </c>
      <c r="P363" s="187" t="inlineStr">
        <is>
          <t>gfi mailessentials *</t>
        </is>
      </c>
      <c r="Q363" s="187" t="inlineStr">
        <is>
          <t>P4</t>
        </is>
      </c>
      <c r="R363" s="187" t="inlineStr">
        <is>
          <t>📅 Schedule patch deployment within 30 days | 🔍 Monitor for exploitation attempts</t>
        </is>
      </c>
      <c r="S363" s="187" t="inlineStr">
        <is>
          <t>CVE - IP enrichment n/a</t>
        </is>
      </c>
      <c r="T363" s="187" t="n">
        <v>0</v>
      </c>
      <c r="U363" s="187" t="n">
        <v>0</v>
      </c>
      <c r="V363" s="187" t="inlineStr">
        <is>
          <t>T1189:Drive-by Compromise</t>
        </is>
      </c>
      <c r="W363" s="187" t="n">
        <v>1</v>
      </c>
      <c r="X363" s="187" t="inlineStr">
        <is>
          <t>LOW (40%)</t>
        </is>
      </c>
      <c r="Y363" s="187" t="inlineStr">
        <is>
          <t>UNLIKELY</t>
        </is>
      </c>
      <c r="Z363" s="187" t="inlineStr">
        <is>
          <t>CHECK_VENDOR</t>
        </is>
      </c>
      <c r="AA363" s="187" t="inlineStr">
        <is>
          <t>https://nvd.nist.gov/vuln/detail/CVE-2026-23615</t>
        </is>
      </c>
      <c r="AB363" s="187" t="inlineStr">
        <is>
          <t>NONE</t>
        </is>
      </c>
      <c r="AC363" s="187" t="n">
        <v>0</v>
      </c>
      <c r="AD363" s="187" t="inlineStr"/>
    </row>
    <row r="364">
      <c r="A364" s="187" t="inlineStr">
        <is>
          <t>CVE</t>
        </is>
      </c>
      <c r="B364" s="187" t="inlineStr">
        <is>
          <t>CVE-2026-23616</t>
        </is>
      </c>
      <c r="C364" s="187" t="inlineStr">
        <is>
          <t>GFI MailEssentials AI versions prior to 22.4 contain a stored cross-site scripting vulnerability in the Anti-Spoofing configuration page. An authenticated user can supply HTML/JavaScript in the ctl00$ContentPlaceHolder1$AntiSpoofingGeneral1$TxtSmtpDesc parameter to /MailEssentials/pages/MailSecurity/AntiSpoofing.aspx, which is stored and later rendered in the management interface, allowing script execution in the context of a logged-in user.</t>
        </is>
      </c>
      <c r="D364" s="187" t="n">
        <v>5.4</v>
      </c>
      <c r="E364" s="187" t="inlineStr">
        <is>
          <t>MEDIUM</t>
        </is>
      </c>
      <c r="F364" s="187" t="n">
        <v>2</v>
      </c>
      <c r="G364" s="187" t="n">
        <v>2</v>
      </c>
      <c r="H364" s="187" t="inlineStr">
        <is>
          <t>MEDIUM</t>
        </is>
      </c>
      <c r="I364" s="187" t="n">
        <v>9.4</v>
      </c>
      <c r="J364" s="187" t="inlineStr">
        <is>
          <t>NO</t>
        </is>
      </c>
      <c r="K364" s="187" t="inlineStr">
        <is>
          <t>https://nvd.nist.gov/vuln/detail/CVE-2026-23616</t>
        </is>
      </c>
      <c r="L364" s="187" t="inlineStr">
        <is>
          <t>2026-02-26 00:15</t>
        </is>
      </c>
      <c r="M364" s="187" t="inlineStr">
        <is>
          <t>CHECK_VENDOR</t>
        </is>
      </c>
      <c r="N364" s="187" t="inlineStr">
        <is>
          <t>See NVD references</t>
        </is>
      </c>
      <c r="O364" s="187" t="inlineStr">
        <is>
          <t>Apply vendor patches</t>
        </is>
      </c>
      <c r="P364" s="187" t="inlineStr">
        <is>
          <t>gfi mailessentials *</t>
        </is>
      </c>
      <c r="Q364" s="187" t="inlineStr">
        <is>
          <t>P4</t>
        </is>
      </c>
      <c r="R364" s="187" t="inlineStr">
        <is>
          <t>📅 Schedule patch deployment within 30 days | 🔍 Monitor for exploitation attempts</t>
        </is>
      </c>
      <c r="S364" s="187" t="inlineStr">
        <is>
          <t>CVE - IP enrichment n/a</t>
        </is>
      </c>
      <c r="T364" s="187" t="n">
        <v>0</v>
      </c>
      <c r="U364" s="187" t="n">
        <v>0</v>
      </c>
      <c r="V364" s="187" t="inlineStr">
        <is>
          <t>T1189:Drive-by Compromise</t>
        </is>
      </c>
      <c r="W364" s="187" t="n">
        <v>1</v>
      </c>
      <c r="X364" s="187" t="inlineStr">
        <is>
          <t>LOW (40%)</t>
        </is>
      </c>
      <c r="Y364" s="187" t="inlineStr">
        <is>
          <t>UNLIKELY</t>
        </is>
      </c>
      <c r="Z364" s="187" t="inlineStr">
        <is>
          <t>CHECK_VENDOR</t>
        </is>
      </c>
      <c r="AA364" s="187" t="inlineStr">
        <is>
          <t>https://nvd.nist.gov/vuln/detail/CVE-2026-23616</t>
        </is>
      </c>
      <c r="AB364" s="187" t="inlineStr">
        <is>
          <t>NONE</t>
        </is>
      </c>
      <c r="AC364" s="187" t="n">
        <v>0</v>
      </c>
      <c r="AD364" s="187" t="inlineStr"/>
    </row>
    <row r="365">
      <c r="A365" s="187" t="inlineStr">
        <is>
          <t>CVE</t>
        </is>
      </c>
      <c r="B365" s="187" t="inlineStr">
        <is>
          <t>CVE-2026-23617</t>
        </is>
      </c>
      <c r="C365" s="187" t="inlineStr">
        <is>
          <t>GFI MailEssentials AI versions prior to 22.4 contain a stored cross-site scripting vulnerability in the Spam Keyword Checking (Body) conditions interface. An authenticated user can supply HTML/JavaScript in the ctl00$ContentPlaceHolder1$pvGeneral$TXB_Condition parameter to /MailEssentials/pages/MailSecurity/ASKeywordChecking.aspx, which is stored and later rendered in the management interface, allowing script execution in the context of a logged-in user.</t>
        </is>
      </c>
      <c r="D365" s="187" t="n">
        <v>5.4</v>
      </c>
      <c r="E365" s="187" t="inlineStr">
        <is>
          <t>MEDIUM</t>
        </is>
      </c>
      <c r="F365" s="187" t="n">
        <v>2</v>
      </c>
      <c r="G365" s="187" t="n">
        <v>2</v>
      </c>
      <c r="H365" s="187" t="inlineStr">
        <is>
          <t>MEDIUM</t>
        </is>
      </c>
      <c r="I365" s="187" t="n">
        <v>9.4</v>
      </c>
      <c r="J365" s="187" t="inlineStr">
        <is>
          <t>NO</t>
        </is>
      </c>
      <c r="K365" s="187" t="inlineStr">
        <is>
          <t>https://nvd.nist.gov/vuln/detail/CVE-2026-23617</t>
        </is>
      </c>
      <c r="L365" s="187" t="inlineStr">
        <is>
          <t>2026-02-26 00:15</t>
        </is>
      </c>
      <c r="M365" s="187" t="inlineStr">
        <is>
          <t>CHECK_VENDOR</t>
        </is>
      </c>
      <c r="N365" s="187" t="inlineStr">
        <is>
          <t>See NVD references</t>
        </is>
      </c>
      <c r="O365" s="187" t="inlineStr">
        <is>
          <t>Apply vendor patches</t>
        </is>
      </c>
      <c r="P365" s="187" t="inlineStr">
        <is>
          <t>gfi mailessentials *</t>
        </is>
      </c>
      <c r="Q365" s="187" t="inlineStr">
        <is>
          <t>P4</t>
        </is>
      </c>
      <c r="R365" s="187" t="inlineStr">
        <is>
          <t>📅 Schedule patch deployment within 30 days | 🔍 Monitor for exploitation attempts</t>
        </is>
      </c>
      <c r="S365" s="187" t="inlineStr">
        <is>
          <t>CVE - IP enrichment n/a</t>
        </is>
      </c>
      <c r="T365" s="187" t="n">
        <v>0</v>
      </c>
      <c r="U365" s="187" t="n">
        <v>0</v>
      </c>
      <c r="V365" s="187" t="inlineStr">
        <is>
          <t>T1189:Drive-by Compromise</t>
        </is>
      </c>
      <c r="W365" s="187" t="n">
        <v>1</v>
      </c>
      <c r="X365" s="187" t="inlineStr">
        <is>
          <t>LOW (40%)</t>
        </is>
      </c>
      <c r="Y365" s="187" t="inlineStr">
        <is>
          <t>UNLIKELY</t>
        </is>
      </c>
      <c r="Z365" s="187" t="inlineStr">
        <is>
          <t>CHECK_VENDOR</t>
        </is>
      </c>
      <c r="AA365" s="187" t="inlineStr">
        <is>
          <t>https://nvd.nist.gov/vuln/detail/CVE-2026-23617</t>
        </is>
      </c>
      <c r="AB365" s="187" t="inlineStr">
        <is>
          <t>NONE</t>
        </is>
      </c>
      <c r="AC365" s="187" t="n">
        <v>0</v>
      </c>
      <c r="AD365" s="187" t="inlineStr"/>
    </row>
    <row r="366">
      <c r="A366" s="187" t="inlineStr">
        <is>
          <t>CVE</t>
        </is>
      </c>
      <c r="B366" s="187" t="inlineStr">
        <is>
          <t>CVE-2026-23618</t>
        </is>
      </c>
      <c r="C366" s="187" t="inlineStr">
        <is>
          <t>GFI MailEssentials AI versions prior to 22.4 contain a stored cross-site scripting vulnerability in the Spam Keyword Checking (Subject) conditions interface. An authenticated user can supply HTML/JavaScript in the ctl00$ContentPlaceHolder1$pvSubject$TXB_SubjectCondition parameter to /MailEssentials/pages/MailSecurity/ASKeywordChecking.aspx, which is stored and later rendered in the management interface, allowing script execution in the context of a logged-in user.</t>
        </is>
      </c>
      <c r="D366" s="187" t="n">
        <v>5.4</v>
      </c>
      <c r="E366" s="187" t="inlineStr">
        <is>
          <t>MEDIUM</t>
        </is>
      </c>
      <c r="F366" s="187" t="n">
        <v>2</v>
      </c>
      <c r="G366" s="187" t="n">
        <v>2</v>
      </c>
      <c r="H366" s="187" t="inlineStr">
        <is>
          <t>MEDIUM</t>
        </is>
      </c>
      <c r="I366" s="187" t="n">
        <v>9.4</v>
      </c>
      <c r="J366" s="187" t="inlineStr">
        <is>
          <t>NO</t>
        </is>
      </c>
      <c r="K366" s="187" t="inlineStr">
        <is>
          <t>https://nvd.nist.gov/vuln/detail/CVE-2026-23618</t>
        </is>
      </c>
      <c r="L366" s="187" t="inlineStr">
        <is>
          <t>2026-02-26 00:15</t>
        </is>
      </c>
      <c r="M366" s="187" t="inlineStr">
        <is>
          <t>CHECK_VENDOR</t>
        </is>
      </c>
      <c r="N366" s="187" t="inlineStr">
        <is>
          <t>See NVD references</t>
        </is>
      </c>
      <c r="O366" s="187" t="inlineStr">
        <is>
          <t>Apply vendor patches</t>
        </is>
      </c>
      <c r="P366" s="187" t="inlineStr">
        <is>
          <t>gfi mailessentials *</t>
        </is>
      </c>
      <c r="Q366" s="187" t="inlineStr">
        <is>
          <t>P4</t>
        </is>
      </c>
      <c r="R366" s="187" t="inlineStr">
        <is>
          <t>📅 Schedule patch deployment within 30 days | 🔍 Monitor for exploitation attempts</t>
        </is>
      </c>
      <c r="S366" s="187" t="inlineStr">
        <is>
          <t>CVE - IP enrichment n/a</t>
        </is>
      </c>
      <c r="T366" s="187" t="n">
        <v>0</v>
      </c>
      <c r="U366" s="187" t="n">
        <v>0</v>
      </c>
      <c r="V366" s="187" t="inlineStr">
        <is>
          <t>T1189:Drive-by Compromise</t>
        </is>
      </c>
      <c r="W366" s="187" t="n">
        <v>1</v>
      </c>
      <c r="X366" s="187" t="inlineStr">
        <is>
          <t>LOW (40%)</t>
        </is>
      </c>
      <c r="Y366" s="187" t="inlineStr">
        <is>
          <t>UNLIKELY</t>
        </is>
      </c>
      <c r="Z366" s="187" t="inlineStr">
        <is>
          <t>CHECK_VENDOR</t>
        </is>
      </c>
      <c r="AA366" s="187" t="inlineStr">
        <is>
          <t>https://nvd.nist.gov/vuln/detail/CVE-2026-23618</t>
        </is>
      </c>
      <c r="AB366" s="187" t="inlineStr">
        <is>
          <t>NONE</t>
        </is>
      </c>
      <c r="AC366" s="187" t="n">
        <v>0</v>
      </c>
      <c r="AD366" s="187" t="inlineStr"/>
    </row>
    <row r="367">
      <c r="A367" s="187" t="inlineStr">
        <is>
          <t>CVE</t>
        </is>
      </c>
      <c r="B367" s="187" t="inlineStr">
        <is>
          <t>CVE-2026-23619</t>
        </is>
      </c>
      <c r="C367" s="187" t="inlineStr">
        <is>
          <t>GFI MailEssentials AI versions prior to 22.4 contain a stored cross-site scripting vulnerability in the Local Domains settings page. An authenticated user can supply HTML/JavaScript in the ctl00$ContentPlaceHolder1$Pv3$txtDescription parameter to /MailEssentials/pages/MailSecurity/general.aspx, which is stored and later rendered in the management interface, allowing script execution in the context of a logged-in user.</t>
        </is>
      </c>
      <c r="D367" s="187" t="n">
        <v>5.4</v>
      </c>
      <c r="E367" s="187" t="inlineStr">
        <is>
          <t>MEDIUM</t>
        </is>
      </c>
      <c r="F367" s="187" t="n">
        <v>2</v>
      </c>
      <c r="G367" s="187" t="n">
        <v>2</v>
      </c>
      <c r="H367" s="187" t="inlineStr">
        <is>
          <t>MEDIUM</t>
        </is>
      </c>
      <c r="I367" s="187" t="n">
        <v>9.4</v>
      </c>
      <c r="J367" s="187" t="inlineStr">
        <is>
          <t>NO</t>
        </is>
      </c>
      <c r="K367" s="187" t="inlineStr">
        <is>
          <t>https://nvd.nist.gov/vuln/detail/CVE-2026-23619</t>
        </is>
      </c>
      <c r="L367" s="187" t="inlineStr">
        <is>
          <t>2026-02-26 00:15</t>
        </is>
      </c>
      <c r="M367" s="187" t="inlineStr">
        <is>
          <t>CHECK_VENDOR</t>
        </is>
      </c>
      <c r="N367" s="187" t="inlineStr">
        <is>
          <t>See NVD references</t>
        </is>
      </c>
      <c r="O367" s="187" t="inlineStr">
        <is>
          <t>Apply vendor patches</t>
        </is>
      </c>
      <c r="P367" s="187" t="inlineStr">
        <is>
          <t>gfi mailessentials *</t>
        </is>
      </c>
      <c r="Q367" s="187" t="inlineStr">
        <is>
          <t>P4</t>
        </is>
      </c>
      <c r="R367" s="187" t="inlineStr">
        <is>
          <t>📅 Schedule patch deployment within 30 days | 🔍 Monitor for exploitation attempts</t>
        </is>
      </c>
      <c r="S367" s="187" t="inlineStr">
        <is>
          <t>CVE - IP enrichment n/a</t>
        </is>
      </c>
      <c r="T367" s="187" t="n">
        <v>0</v>
      </c>
      <c r="U367" s="187" t="n">
        <v>0</v>
      </c>
      <c r="V367" s="187" t="inlineStr">
        <is>
          <t>T1189:Drive-by Compromise</t>
        </is>
      </c>
      <c r="W367" s="187" t="n">
        <v>1</v>
      </c>
      <c r="X367" s="187" t="inlineStr">
        <is>
          <t>LOW (40%)</t>
        </is>
      </c>
      <c r="Y367" s="187" t="inlineStr">
        <is>
          <t>UNLIKELY</t>
        </is>
      </c>
      <c r="Z367" s="187" t="inlineStr">
        <is>
          <t>CHECK_VENDOR</t>
        </is>
      </c>
      <c r="AA367" s="187" t="inlineStr">
        <is>
          <t>https://nvd.nist.gov/vuln/detail/CVE-2026-23619</t>
        </is>
      </c>
      <c r="AB367" s="187" t="inlineStr">
        <is>
          <t>NONE</t>
        </is>
      </c>
      <c r="AC367" s="187" t="n">
        <v>0</v>
      </c>
      <c r="AD367" s="187" t="inlineStr"/>
    </row>
    <row r="368">
      <c r="A368" s="187" t="inlineStr">
        <is>
          <t>CVE</t>
        </is>
      </c>
      <c r="B368" s="187" t="inlineStr">
        <is>
          <t>CVE-2026-23620</t>
        </is>
      </c>
      <c r="C368" s="187" t="inlineStr">
        <is>
          <t>GFI MailEssentials AI versions prior to 22.4 contain an arbitrary file existence enumeration vulnerability in the ListServer.IsDBExist() web method exposed at /MailEssentials/pages/MailSecurity/ListServer.aspx/IsDBExist. An authenticated user can supply an unrestricted filesystem path via the JSON key \"path\", which is URL-decoded and passed to File.Exists(), allowing the attacker to determine whether arbitrary files exist on the server.</t>
        </is>
      </c>
      <c r="D368" s="187" t="n">
        <v>4.3</v>
      </c>
      <c r="E368" s="187" t="inlineStr">
        <is>
          <t>MEDIUM</t>
        </is>
      </c>
      <c r="F368" s="187" t="n">
        <v>2</v>
      </c>
      <c r="G368" s="187" t="n">
        <v>2</v>
      </c>
      <c r="H368" s="187" t="inlineStr">
        <is>
          <t>MEDIUM</t>
        </is>
      </c>
      <c r="I368" s="187" t="n">
        <v>8.300000000000001</v>
      </c>
      <c r="J368" s="187" t="inlineStr">
        <is>
          <t>NO</t>
        </is>
      </c>
      <c r="K368" s="187" t="inlineStr">
        <is>
          <t>https://nvd.nist.gov/vuln/detail/CVE-2026-23620</t>
        </is>
      </c>
      <c r="L368" s="187" t="inlineStr">
        <is>
          <t>2026-02-26 00:15</t>
        </is>
      </c>
      <c r="M368" s="187" t="inlineStr">
        <is>
          <t>CHECK_VENDOR</t>
        </is>
      </c>
      <c r="N368" s="187" t="inlineStr">
        <is>
          <t>See NVD references</t>
        </is>
      </c>
      <c r="O368" s="187" t="inlineStr">
        <is>
          <t>Apply vendor patches</t>
        </is>
      </c>
      <c r="P368" s="187" t="inlineStr">
        <is>
          <t>gfi mailessentials *</t>
        </is>
      </c>
      <c r="Q368" s="187" t="inlineStr">
        <is>
          <t>P4</t>
        </is>
      </c>
      <c r="R368" s="187" t="inlineStr">
        <is>
          <t>📅 Schedule patch deployment within 30 days | 🔍 Monitor for exploitation attempts</t>
        </is>
      </c>
      <c r="S368" s="187" t="inlineStr">
        <is>
          <t>CVE - IP enrichment n/a</t>
        </is>
      </c>
      <c r="T368" s="187" t="n">
        <v>0</v>
      </c>
      <c r="U368" s="187" t="n">
        <v>0</v>
      </c>
      <c r="V368" s="187" t="inlineStr">
        <is>
          <t>T1190:Exploit Public-Facing Application</t>
        </is>
      </c>
      <c r="W368" s="187" t="n">
        <v>1</v>
      </c>
      <c r="X368" s="187" t="inlineStr">
        <is>
          <t>LOW (40%)</t>
        </is>
      </c>
      <c r="Y368" s="187" t="inlineStr">
        <is>
          <t>UNLIKELY</t>
        </is>
      </c>
      <c r="Z368" s="187" t="inlineStr">
        <is>
          <t>CHECK_VENDOR</t>
        </is>
      </c>
      <c r="AA368" s="187" t="inlineStr">
        <is>
          <t>https://nvd.nist.gov/vuln/detail/CVE-2026-23620</t>
        </is>
      </c>
      <c r="AB368" s="187" t="inlineStr">
        <is>
          <t>NONE</t>
        </is>
      </c>
      <c r="AC368" s="187" t="n">
        <v>0</v>
      </c>
      <c r="AD368" s="187" t="inlineStr"/>
    </row>
    <row r="369">
      <c r="A369" s="188" t="inlineStr">
        <is>
          <t>CVE</t>
        </is>
      </c>
      <c r="B369" s="188" t="inlineStr">
        <is>
          <t>CVE-2026-26337</t>
        </is>
      </c>
      <c r="C369" s="188" t="inlineStr">
        <is>
          <t>Hyland Alfresco Transformation Service allows unauthenticated attackers to achieve both arbitrary file read and server-side request forgery through the absolute path traversal.</t>
        </is>
      </c>
      <c r="D369" s="188" t="n">
        <v>8.199999999999999</v>
      </c>
      <c r="E369" s="188" t="inlineStr">
        <is>
          <t>HIGH</t>
        </is>
      </c>
      <c r="F369" s="188" t="n">
        <v>2</v>
      </c>
      <c r="G369" s="188" t="n">
        <v>3</v>
      </c>
      <c r="H369" s="188" t="inlineStr">
        <is>
          <t>HIGH</t>
        </is>
      </c>
      <c r="I369" s="188" t="n">
        <v>14.2</v>
      </c>
      <c r="J369" s="188" t="inlineStr">
        <is>
          <t>NO</t>
        </is>
      </c>
      <c r="K369" s="188" t="inlineStr">
        <is>
          <t>https://nvd.nist.gov/vuln/detail/CVE-2026-26337</t>
        </is>
      </c>
      <c r="L369" s="188" t="inlineStr">
        <is>
          <t>2026-02-26 00:15</t>
        </is>
      </c>
      <c r="M369" s="188" t="inlineStr">
        <is>
          <t>CHECK_VENDOR</t>
        </is>
      </c>
      <c r="N369" s="188" t="inlineStr">
        <is>
          <t>See NVD references</t>
        </is>
      </c>
      <c r="O369" s="188" t="inlineStr">
        <is>
          <t>Apply vendor patches</t>
        </is>
      </c>
      <c r="P369" s="188" t="inlineStr">
        <is>
          <t>See CVE details</t>
        </is>
      </c>
      <c r="Q369" s="188" t="inlineStr">
        <is>
          <t>P3</t>
        </is>
      </c>
      <c r="R369" s="188" t="inlineStr">
        <is>
          <t>🚨 URGENT: Apply vendor patches immediately | 🔒 Isolate affected systems if patch unavailable | 🛡️ Enable additional monitoring/IDS rules</t>
        </is>
      </c>
      <c r="S369" s="188" t="inlineStr">
        <is>
          <t>CVE - IP enrichment n/a</t>
        </is>
      </c>
      <c r="T369" s="188" t="n">
        <v>0</v>
      </c>
      <c r="U369" s="188" t="n">
        <v>0</v>
      </c>
      <c r="V369" s="188" t="inlineStr">
        <is>
          <t>T1083:File and Directory Discovery</t>
        </is>
      </c>
      <c r="W369" s="188" t="n">
        <v>1</v>
      </c>
      <c r="X369" s="188" t="inlineStr">
        <is>
          <t>LOW (40%)</t>
        </is>
      </c>
      <c r="Y369" s="188" t="inlineStr">
        <is>
          <t>UNLIKELY</t>
        </is>
      </c>
      <c r="Z369" s="188" t="inlineStr">
        <is>
          <t>CHECK_VENDOR</t>
        </is>
      </c>
      <c r="AA369" s="188" t="inlineStr">
        <is>
          <t>https://nvd.nist.gov/vuln/detail/CVE-2026-26337</t>
        </is>
      </c>
      <c r="AB369" s="188" t="inlineStr">
        <is>
          <t>NONE</t>
        </is>
      </c>
      <c r="AC369" s="188" t="n">
        <v>0</v>
      </c>
      <c r="AD369" s="188" t="inlineStr"/>
    </row>
    <row r="370">
      <c r="A370" s="187" t="inlineStr">
        <is>
          <t>CVE</t>
        </is>
      </c>
      <c r="B370" s="187" t="inlineStr">
        <is>
          <t>CVE-2026-26338</t>
        </is>
      </c>
      <c r="C370" s="187" t="inlineStr">
        <is>
          <t>Hyland Alfresco Transformation Service allows unauthenticated attackers to achieve server-side request forgery (SSRF) through the document processing functionality.</t>
        </is>
      </c>
      <c r="D370" s="187" t="n">
        <v>6.5</v>
      </c>
      <c r="E370" s="187" t="inlineStr">
        <is>
          <t>MEDIUM</t>
        </is>
      </c>
      <c r="F370" s="187" t="n">
        <v>2</v>
      </c>
      <c r="G370" s="187" t="n">
        <v>2</v>
      </c>
      <c r="H370" s="187" t="inlineStr">
        <is>
          <t>MEDIUM</t>
        </is>
      </c>
      <c r="I370" s="187" t="n">
        <v>10.5</v>
      </c>
      <c r="J370" s="187" t="inlineStr">
        <is>
          <t>NO</t>
        </is>
      </c>
      <c r="K370" s="187" t="inlineStr">
        <is>
          <t>https://nvd.nist.gov/vuln/detail/CVE-2026-26338</t>
        </is>
      </c>
      <c r="L370" s="187" t="inlineStr">
        <is>
          <t>2026-02-26 00:15</t>
        </is>
      </c>
      <c r="M370" s="187" t="inlineStr">
        <is>
          <t>CHECK_VENDOR</t>
        </is>
      </c>
      <c r="N370" s="187" t="inlineStr">
        <is>
          <t>See NVD references</t>
        </is>
      </c>
      <c r="O370" s="187" t="inlineStr">
        <is>
          <t>Apply vendor patches</t>
        </is>
      </c>
      <c r="P370" s="187" t="inlineStr">
        <is>
          <t>See CVE details</t>
        </is>
      </c>
      <c r="Q370" s="187" t="inlineStr">
        <is>
          <t>P4</t>
        </is>
      </c>
      <c r="R370" s="187" t="inlineStr">
        <is>
          <t>📅 Schedule patch deployment within 30 days | 🔍 Monitor for exploitation attempts</t>
        </is>
      </c>
      <c r="S370" s="187" t="inlineStr">
        <is>
          <t>CVE - IP enrichment n/a</t>
        </is>
      </c>
      <c r="T370" s="187" t="n">
        <v>0</v>
      </c>
      <c r="U370" s="187" t="n">
        <v>0</v>
      </c>
      <c r="V370" s="187" t="inlineStr">
        <is>
          <t>T1090:Proxy</t>
        </is>
      </c>
      <c r="W370" s="187" t="n">
        <v>1</v>
      </c>
      <c r="X370" s="187" t="inlineStr">
        <is>
          <t>LOW (40%)</t>
        </is>
      </c>
      <c r="Y370" s="187" t="inlineStr">
        <is>
          <t>UNLIKELY</t>
        </is>
      </c>
      <c r="Z370" s="187" t="inlineStr">
        <is>
          <t>CHECK_VENDOR</t>
        </is>
      </c>
      <c r="AA370" s="187" t="inlineStr">
        <is>
          <t>https://nvd.nist.gov/vuln/detail/CVE-2026-26338</t>
        </is>
      </c>
      <c r="AB370" s="187" t="inlineStr">
        <is>
          <t>NONE</t>
        </is>
      </c>
      <c r="AC370" s="187" t="n">
        <v>0</v>
      </c>
      <c r="AD370" s="187" t="inlineStr"/>
    </row>
    <row r="371">
      <c r="A371" s="189" t="inlineStr">
        <is>
          <t>CVE</t>
        </is>
      </c>
      <c r="B371" s="189" t="inlineStr">
        <is>
          <t>CVE-2026-26339</t>
        </is>
      </c>
      <c r="C371" s="189" t="inlineStr">
        <is>
          <t>Hyland Alfresco Transformation Service allows unauthenticated attackers to achieve remote code execution through the argument injection vulnerability, which exists in the document processing functionality.</t>
        </is>
      </c>
      <c r="D371" s="189" t="n">
        <v>9.800000000000001</v>
      </c>
      <c r="E371" s="189" t="inlineStr">
        <is>
          <t>CRITICAL</t>
        </is>
      </c>
      <c r="F371" s="189" t="n">
        <v>2</v>
      </c>
      <c r="G371" s="189" t="n">
        <v>3</v>
      </c>
      <c r="H371" s="189" t="inlineStr">
        <is>
          <t>HIGH</t>
        </is>
      </c>
      <c r="I371" s="189" t="n">
        <v>15.8</v>
      </c>
      <c r="J371" s="189" t="inlineStr">
        <is>
          <t>NO</t>
        </is>
      </c>
      <c r="K371" s="189" t="inlineStr">
        <is>
          <t>https://nvd.nist.gov/vuln/detail/CVE-2026-26339</t>
        </is>
      </c>
      <c r="L371" s="189" t="inlineStr">
        <is>
          <t>2026-02-26 00:15</t>
        </is>
      </c>
      <c r="M371" s="189" t="inlineStr">
        <is>
          <t>CHECK_VENDOR</t>
        </is>
      </c>
      <c r="N371" s="189" t="inlineStr">
        <is>
          <t>See NVD references</t>
        </is>
      </c>
      <c r="O371" s="189" t="inlineStr">
        <is>
          <t>Apply vendor patches</t>
        </is>
      </c>
      <c r="P371" s="189" t="inlineStr">
        <is>
          <t>See CVE details</t>
        </is>
      </c>
      <c r="Q371" s="189" t="inlineStr">
        <is>
          <t>P3</t>
        </is>
      </c>
      <c r="R371" s="189" t="inlineStr">
        <is>
          <t>🚨 URGENT: Apply vendor patches immediately | 🔒 Isolate affected systems if patch unavailable | 🛡️ Enable additional monitoring/IDS rules</t>
        </is>
      </c>
      <c r="S371" s="189" t="inlineStr">
        <is>
          <t>CVE - IP enrichment n/a</t>
        </is>
      </c>
      <c r="T371" s="189" t="n">
        <v>0.0022</v>
      </c>
      <c r="U371" s="189" t="n">
        <v>0.4402</v>
      </c>
      <c r="V371" s="189" t="inlineStr">
        <is>
          <t>T1090:Proxy | T1190:Exploit Public-Facing Application | T1210:Exploitation of Remote Services</t>
        </is>
      </c>
      <c r="W371" s="189" t="n">
        <v>1</v>
      </c>
      <c r="X371" s="189" t="inlineStr">
        <is>
          <t>LOW (40%)</t>
        </is>
      </c>
      <c r="Y371" s="189" t="inlineStr">
        <is>
          <t>UNLIKELY</t>
        </is>
      </c>
      <c r="Z371" s="189" t="inlineStr">
        <is>
          <t>CHECK_VENDOR</t>
        </is>
      </c>
      <c r="AA371" s="189" t="inlineStr">
        <is>
          <t>https://nvd.nist.gov/vuln/detail/CVE-2026-26339</t>
        </is>
      </c>
      <c r="AB371" s="189" t="inlineStr">
        <is>
          <t>NONE</t>
        </is>
      </c>
      <c r="AC371" s="189" t="n">
        <v>0</v>
      </c>
      <c r="AD371" s="189" t="inlineStr"/>
    </row>
    <row r="372">
      <c r="A372" s="187" t="inlineStr">
        <is>
          <t>CVE</t>
        </is>
      </c>
      <c r="B372" s="187" t="inlineStr">
        <is>
          <t>CVE-2026-2243</t>
        </is>
      </c>
      <c r="C372" s="187" t="inlineStr">
        <is>
          <t>A flaw was found in QEMU. A specially crafted VMDK image could trigger an out-of-bounds read vulnerability, potentially leading to a 12-byte leak of sensitive information or a denial of service condition (DoS).</t>
        </is>
      </c>
      <c r="D372" s="187" t="n">
        <v>5.1</v>
      </c>
      <c r="E372" s="187" t="inlineStr">
        <is>
          <t>MEDIUM</t>
        </is>
      </c>
      <c r="F372" s="187" t="n">
        <v>2</v>
      </c>
      <c r="G372" s="187" t="n">
        <v>2</v>
      </c>
      <c r="H372" s="187" t="inlineStr">
        <is>
          <t>MEDIUM</t>
        </is>
      </c>
      <c r="I372" s="187" t="n">
        <v>9.1</v>
      </c>
      <c r="J372" s="187" t="inlineStr">
        <is>
          <t>NO</t>
        </is>
      </c>
      <c r="K372" s="187" t="inlineStr">
        <is>
          <t>https://nvd.nist.gov/vuln/detail/CVE-2026-2243</t>
        </is>
      </c>
      <c r="L372" s="187" t="inlineStr">
        <is>
          <t>2026-02-26 00:15</t>
        </is>
      </c>
      <c r="M372" s="187" t="inlineStr">
        <is>
          <t>CHECK_VENDOR</t>
        </is>
      </c>
      <c r="N372" s="187" t="inlineStr">
        <is>
          <t>See NVD references</t>
        </is>
      </c>
      <c r="O372" s="187" t="inlineStr">
        <is>
          <t>Apply vendor patches</t>
        </is>
      </c>
      <c r="P372" s="187" t="inlineStr">
        <is>
          <t>See CVE details</t>
        </is>
      </c>
      <c r="Q372" s="187" t="inlineStr">
        <is>
          <t>P4</t>
        </is>
      </c>
      <c r="R372" s="187" t="inlineStr">
        <is>
          <t>📅 Schedule patch deployment within 30 days | 🔍 Monitor for exploitation attempts</t>
        </is>
      </c>
      <c r="S372" s="187" t="inlineStr">
        <is>
          <t>CVE - IP enrichment n/a</t>
        </is>
      </c>
      <c r="T372" s="187" t="n">
        <v>0</v>
      </c>
      <c r="U372" s="187" t="n">
        <v>0</v>
      </c>
      <c r="V372" s="187" t="inlineStr">
        <is>
          <t>T1203:Exploitation for Client Execution | T1499:Endpoint Denial of Service</t>
        </is>
      </c>
      <c r="W372" s="187" t="n">
        <v>1</v>
      </c>
      <c r="X372" s="187" t="inlineStr">
        <is>
          <t>LOW (40%)</t>
        </is>
      </c>
      <c r="Y372" s="187" t="inlineStr">
        <is>
          <t>UNLIKELY</t>
        </is>
      </c>
      <c r="Z372" s="187" t="inlineStr">
        <is>
          <t>CHECK_VENDOR</t>
        </is>
      </c>
      <c r="AA372" s="187" t="inlineStr">
        <is>
          <t>https://nvd.nist.gov/vuln/detail/CVE-2026-2243</t>
        </is>
      </c>
      <c r="AB372" s="187" t="inlineStr">
        <is>
          <t>NONE</t>
        </is>
      </c>
      <c r="AC372" s="187" t="n">
        <v>0</v>
      </c>
      <c r="AD372" s="187" t="inlineStr"/>
    </row>
    <row r="373">
      <c r="A373" s="187" t="inlineStr">
        <is>
          <t>CVE</t>
        </is>
      </c>
      <c r="B373" s="187" t="inlineStr">
        <is>
          <t>CVE-2026-2409</t>
        </is>
      </c>
      <c r="C373" s="187" t="inlineStr">
        <is>
          <t>Improper Neutralization of Special Elements used in an SQL Command ('SQL Injection') vulnerability in Delinea Cloud Suite allows Argument Injection.This issue affects Cloud Suite: before 25.2 HF1.</t>
        </is>
      </c>
      <c r="D373" s="187" t="n">
        <v>5</v>
      </c>
      <c r="E373" s="187" t="inlineStr">
        <is>
          <t>MEDIUM</t>
        </is>
      </c>
      <c r="F373" s="187" t="n">
        <v>2</v>
      </c>
      <c r="G373" s="187" t="n">
        <v>2</v>
      </c>
      <c r="H373" s="187" t="inlineStr">
        <is>
          <t>MEDIUM</t>
        </is>
      </c>
      <c r="I373" s="187" t="n">
        <v>9</v>
      </c>
      <c r="J373" s="187" t="inlineStr">
        <is>
          <t>NO</t>
        </is>
      </c>
      <c r="K373" s="187" t="inlineStr">
        <is>
          <t>https://nvd.nist.gov/vuln/detail/CVE-2026-2409</t>
        </is>
      </c>
      <c r="L373" s="187" t="inlineStr">
        <is>
          <t>2026-02-26 00:15</t>
        </is>
      </c>
      <c r="M373" s="187" t="inlineStr">
        <is>
          <t>CHECK_VENDOR</t>
        </is>
      </c>
      <c r="N373" s="187" t="inlineStr">
        <is>
          <t>See NVD references</t>
        </is>
      </c>
      <c r="O373" s="187" t="inlineStr">
        <is>
          <t>Apply vendor patches</t>
        </is>
      </c>
      <c r="P373" s="187" t="inlineStr">
        <is>
          <t>See CVE details</t>
        </is>
      </c>
      <c r="Q373" s="187" t="inlineStr">
        <is>
          <t>P4</t>
        </is>
      </c>
      <c r="R373" s="187" t="inlineStr">
        <is>
          <t>📅 Schedule patch deployment within 30 days | 🔍 Monitor for exploitation attempts</t>
        </is>
      </c>
      <c r="S373" s="187" t="inlineStr">
        <is>
          <t>CVE - IP enrichment n/a</t>
        </is>
      </c>
      <c r="T373" s="187" t="n">
        <v>0</v>
      </c>
      <c r="U373" s="187" t="n">
        <v>0</v>
      </c>
      <c r="V373" s="187" t="inlineStr">
        <is>
          <t>T1190:Exploit Public-Facing Application</t>
        </is>
      </c>
      <c r="W373" s="187" t="n">
        <v>1</v>
      </c>
      <c r="X373" s="187" t="inlineStr">
        <is>
          <t>LOW (40%)</t>
        </is>
      </c>
      <c r="Y373" s="187" t="inlineStr">
        <is>
          <t>UNLIKELY</t>
        </is>
      </c>
      <c r="Z373" s="187" t="inlineStr">
        <is>
          <t>CHECK_VENDOR</t>
        </is>
      </c>
      <c r="AA373" s="187" t="inlineStr">
        <is>
          <t>https://nvd.nist.gov/vuln/detail/CVE-2026-2409</t>
        </is>
      </c>
      <c r="AB373" s="187" t="inlineStr">
        <is>
          <t>NONE</t>
        </is>
      </c>
      <c r="AC373" s="187" t="n">
        <v>0</v>
      </c>
      <c r="AD373" s="187" t="inlineStr"/>
    </row>
    <row r="374">
      <c r="A374" s="187" t="inlineStr">
        <is>
          <t>CVE</t>
        </is>
      </c>
      <c r="B374" s="187" t="inlineStr">
        <is>
          <t>CVE-2026-2817</t>
        </is>
      </c>
      <c r="C374" s="187" t="inlineStr">
        <is>
          <t>Use of insecure directory in Spring Data Geode snapshot import extracts archives into predictable, permissive directories under the system temp location. On shared hosts, a local user with basic privileges can access another user’s extracted snapshot contents, leading to unintended exposure of cache data.</t>
        </is>
      </c>
      <c r="D374" s="187" t="n">
        <v>4.4</v>
      </c>
      <c r="E374" s="187" t="inlineStr">
        <is>
          <t>MEDIUM</t>
        </is>
      </c>
      <c r="F374" s="187" t="n">
        <v>2</v>
      </c>
      <c r="G374" s="187" t="n">
        <v>2</v>
      </c>
      <c r="H374" s="187" t="inlineStr">
        <is>
          <t>MEDIUM</t>
        </is>
      </c>
      <c r="I374" s="187" t="n">
        <v>8.4</v>
      </c>
      <c r="J374" s="187" t="inlineStr">
        <is>
          <t>NO</t>
        </is>
      </c>
      <c r="K374" s="187" t="inlineStr">
        <is>
          <t>https://nvd.nist.gov/vuln/detail/CVE-2026-2817</t>
        </is>
      </c>
      <c r="L374" s="187" t="inlineStr">
        <is>
          <t>2026-02-26 00:15</t>
        </is>
      </c>
      <c r="M374" s="187" t="inlineStr">
        <is>
          <t>CHECK_VENDOR</t>
        </is>
      </c>
      <c r="N374" s="187" t="inlineStr">
        <is>
          <t>See NVD references</t>
        </is>
      </c>
      <c r="O374" s="187" t="inlineStr">
        <is>
          <t>Apply vendor patches</t>
        </is>
      </c>
      <c r="P374" s="187" t="inlineStr">
        <is>
          <t>See CVE details</t>
        </is>
      </c>
      <c r="Q374" s="187" t="inlineStr">
        <is>
          <t>P4</t>
        </is>
      </c>
      <c r="R374" s="187" t="inlineStr">
        <is>
          <t>📅 Schedule patch deployment within 30 days | 🔍 Monitor for exploitation attempts</t>
        </is>
      </c>
      <c r="S374" s="187" t="inlineStr">
        <is>
          <t>CVE - IP enrichment n/a</t>
        </is>
      </c>
      <c r="T374" s="187" t="n">
        <v>0</v>
      </c>
      <c r="U374" s="187" t="n">
        <v>0</v>
      </c>
      <c r="V374" s="187" t="inlineStr">
        <is>
          <t>T1190:Exploit Public-Facing Application</t>
        </is>
      </c>
      <c r="W374" s="187" t="n">
        <v>1</v>
      </c>
      <c r="X374" s="187" t="inlineStr">
        <is>
          <t>LOW (40%)</t>
        </is>
      </c>
      <c r="Y374" s="187" t="inlineStr">
        <is>
          <t>UNLIKELY</t>
        </is>
      </c>
      <c r="Z374" s="187" t="inlineStr">
        <is>
          <t>CHECK_VENDOR</t>
        </is>
      </c>
      <c r="AA374" s="187" t="inlineStr">
        <is>
          <t>https://nvd.nist.gov/vuln/detail/CVE-2026-2817</t>
        </is>
      </c>
      <c r="AB374" s="187" t="inlineStr">
        <is>
          <t>NONE</t>
        </is>
      </c>
      <c r="AC374" s="187" t="n">
        <v>0</v>
      </c>
      <c r="AD374" s="187" t="inlineStr"/>
    </row>
    <row r="375">
      <c r="A375" s="187" t="inlineStr">
        <is>
          <t>CVE</t>
        </is>
      </c>
      <c r="B375" s="187" t="inlineStr">
        <is>
          <t>CVE-2026-23621</t>
        </is>
      </c>
      <c r="C375" s="187" t="inlineStr">
        <is>
          <t>GFI MailEssentials AI versions prior to 22.4 contain an arbitrary directory existence enumeration vulnerability in the ListServer.IsPathExist() web method exposed at /MailEssentials/pages/MailSecurity/ListServer.aspx/IsPathExist. An authenticated user can supply an unrestricted filesystem path via the JSON key \"path\", which is URL-decoded and passed to Directory.Exists(), allowing the attacker to determine whether arbitrary directories exist on the server.</t>
        </is>
      </c>
      <c r="D375" s="187" t="n">
        <v>4.3</v>
      </c>
      <c r="E375" s="187" t="inlineStr">
        <is>
          <t>MEDIUM</t>
        </is>
      </c>
      <c r="F375" s="187" t="n">
        <v>2</v>
      </c>
      <c r="G375" s="187" t="n">
        <v>2</v>
      </c>
      <c r="H375" s="187" t="inlineStr">
        <is>
          <t>MEDIUM</t>
        </is>
      </c>
      <c r="I375" s="187" t="n">
        <v>8.300000000000001</v>
      </c>
      <c r="J375" s="187" t="inlineStr">
        <is>
          <t>NO</t>
        </is>
      </c>
      <c r="K375" s="187" t="inlineStr">
        <is>
          <t>https://nvd.nist.gov/vuln/detail/CVE-2026-23621</t>
        </is>
      </c>
      <c r="L375" s="187" t="inlineStr">
        <is>
          <t>2026-02-26 00:15</t>
        </is>
      </c>
      <c r="M375" s="187" t="inlineStr">
        <is>
          <t>CHECK_VENDOR</t>
        </is>
      </c>
      <c r="N375" s="187" t="inlineStr">
        <is>
          <t>See NVD references</t>
        </is>
      </c>
      <c r="O375" s="187" t="inlineStr">
        <is>
          <t>Apply vendor patches</t>
        </is>
      </c>
      <c r="P375" s="187" t="inlineStr">
        <is>
          <t>gfi mailessentials *</t>
        </is>
      </c>
      <c r="Q375" s="187" t="inlineStr">
        <is>
          <t>P4</t>
        </is>
      </c>
      <c r="R375" s="187" t="inlineStr">
        <is>
          <t>📅 Schedule patch deployment within 30 days | 🔍 Monitor for exploitation attempts</t>
        </is>
      </c>
      <c r="S375" s="187" t="inlineStr">
        <is>
          <t>CVE - IP enrichment n/a</t>
        </is>
      </c>
      <c r="T375" s="187" t="n">
        <v>0.0003</v>
      </c>
      <c r="U375" s="187" t="n">
        <v>0.0854</v>
      </c>
      <c r="V375" s="187" t="inlineStr">
        <is>
          <t>T1190:Exploit Public-Facing Application</t>
        </is>
      </c>
      <c r="W375" s="187" t="n">
        <v>1</v>
      </c>
      <c r="X375" s="187" t="inlineStr">
        <is>
          <t>LOW (40%)</t>
        </is>
      </c>
      <c r="Y375" s="187" t="inlineStr">
        <is>
          <t>UNLIKELY</t>
        </is>
      </c>
      <c r="Z375" s="187" t="inlineStr">
        <is>
          <t>CHECK_VENDOR</t>
        </is>
      </c>
      <c r="AA375" s="187" t="inlineStr">
        <is>
          <t>https://nvd.nist.gov/vuln/detail/CVE-2026-23621</t>
        </is>
      </c>
      <c r="AB375" s="187" t="inlineStr">
        <is>
          <t>NONE</t>
        </is>
      </c>
      <c r="AC375" s="187" t="n">
        <v>0</v>
      </c>
      <c r="AD375" s="187" t="inlineStr"/>
    </row>
    <row r="376">
      <c r="A376" s="187" t="inlineStr">
        <is>
          <t>CVE</t>
        </is>
      </c>
      <c r="B376" s="187" t="inlineStr">
        <is>
          <t>CVE-2026-26057</t>
        </is>
      </c>
      <c r="C376" s="187" t="inlineStr">
        <is>
          <t>Skill Scanner is a security scanner for AI Agent Skills that detects prompt injection, data exfiltration, and malicious code patterns. A vulnerability in the API Server of Skill Scanner could allow a unauthenticated, remote attacker to interact with the server API and either trigger a denial of service (DoS) condition or upload arbitrary files. This vulnerability is due to an erroneous binding to multiple interfaces. An attacker could exploit this vulnerability by sending API requests to a devic</t>
        </is>
      </c>
      <c r="D376" s="187" t="n">
        <v>6.5</v>
      </c>
      <c r="E376" s="187" t="inlineStr">
        <is>
          <t>MEDIUM</t>
        </is>
      </c>
      <c r="F376" s="187" t="n">
        <v>2</v>
      </c>
      <c r="G376" s="187" t="n">
        <v>2</v>
      </c>
      <c r="H376" s="187" t="inlineStr">
        <is>
          <t>MEDIUM</t>
        </is>
      </c>
      <c r="I376" s="187" t="n">
        <v>10.5</v>
      </c>
      <c r="J376" s="187" t="inlineStr">
        <is>
          <t>NO</t>
        </is>
      </c>
      <c r="K376" s="187" t="inlineStr">
        <is>
          <t>https://nvd.nist.gov/vuln/detail/CVE-2026-26057</t>
        </is>
      </c>
      <c r="L376" s="187" t="inlineStr">
        <is>
          <t>2026-02-26 00:15</t>
        </is>
      </c>
      <c r="M376" s="187" t="inlineStr">
        <is>
          <t>CHECK_VENDOR</t>
        </is>
      </c>
      <c r="N376" s="187" t="inlineStr">
        <is>
          <t>See NVD references</t>
        </is>
      </c>
      <c r="O376" s="187" t="inlineStr">
        <is>
          <t>Apply vendor patches</t>
        </is>
      </c>
      <c r="P376" s="187" t="inlineStr">
        <is>
          <t>See CVE details</t>
        </is>
      </c>
      <c r="Q376" s="187" t="inlineStr">
        <is>
          <t>P4</t>
        </is>
      </c>
      <c r="R376" s="187" t="inlineStr">
        <is>
          <t>📅 Schedule patch deployment within 30 days | 🔍 Monitor for exploitation attempts</t>
        </is>
      </c>
      <c r="S376" s="187" t="inlineStr">
        <is>
          <t>CVE - IP enrichment n/a</t>
        </is>
      </c>
      <c r="T376" s="187" t="n">
        <v>0</v>
      </c>
      <c r="U376" s="187" t="n">
        <v>0</v>
      </c>
      <c r="V376" s="187" t="inlineStr">
        <is>
          <t>T1190:Exploit Public-Facing Application | T1499:Endpoint Denial of Service | T1041:Exfiltration Over C2 Channel</t>
        </is>
      </c>
      <c r="W376" s="187" t="n">
        <v>1</v>
      </c>
      <c r="X376" s="187" t="inlineStr">
        <is>
          <t>LOW (40%)</t>
        </is>
      </c>
      <c r="Y376" s="187" t="inlineStr">
        <is>
          <t>UNLIKELY</t>
        </is>
      </c>
      <c r="Z376" s="187" t="inlineStr">
        <is>
          <t>CHECK_VENDOR</t>
        </is>
      </c>
      <c r="AA376" s="187" t="inlineStr">
        <is>
          <t>https://nvd.nist.gov/vuln/detail/CVE-2026-26057</t>
        </is>
      </c>
      <c r="AB376" s="187" t="inlineStr">
        <is>
          <t>NONE</t>
        </is>
      </c>
      <c r="AC376" s="187" t="n">
        <v>0</v>
      </c>
      <c r="AD376" s="187" t="inlineStr"/>
    </row>
    <row r="377">
      <c r="A377" s="187" t="inlineStr">
        <is>
          <t>CVE</t>
        </is>
      </c>
      <c r="B377" s="187" t="inlineStr">
        <is>
          <t>CVE-2026-26059</t>
        </is>
      </c>
      <c r="C377" s="187" t="inlineStr">
        <is>
          <t>ChurchCRM is an open-source church management system. In versions prior to 6.8.2, it was possible for an authenticated user with permission to edit groups to store a JavaScript payload that would execute when the group was viewed in the Group View. Version 6.8.2 fixes this issue.</t>
        </is>
      </c>
      <c r="D377" s="187" t="n">
        <v>5.4</v>
      </c>
      <c r="E377" s="187" t="inlineStr">
        <is>
          <t>MEDIUM</t>
        </is>
      </c>
      <c r="F377" s="187" t="n">
        <v>2</v>
      </c>
      <c r="G377" s="187" t="n">
        <v>2</v>
      </c>
      <c r="H377" s="187" t="inlineStr">
        <is>
          <t>MEDIUM</t>
        </is>
      </c>
      <c r="I377" s="187" t="n">
        <v>9.4</v>
      </c>
      <c r="J377" s="187" t="inlineStr">
        <is>
          <t>NO</t>
        </is>
      </c>
      <c r="K377" s="187" t="inlineStr">
        <is>
          <t>https://nvd.nist.gov/vuln/detail/CVE-2026-26059</t>
        </is>
      </c>
      <c r="L377" s="187" t="inlineStr">
        <is>
          <t>2026-02-26 00:15</t>
        </is>
      </c>
      <c r="M377" s="187" t="inlineStr">
        <is>
          <t>YES</t>
        </is>
      </c>
      <c r="N377" s="187" t="inlineStr">
        <is>
          <t>https://github.com/ChurchCRM/CRM/security/advisories/GHSA-3wp4-vpr7-47q6</t>
        </is>
      </c>
      <c r="O377" s="187" t="inlineStr">
        <is>
          <t>Apply vendor patches</t>
        </is>
      </c>
      <c r="P377" s="187" t="inlineStr">
        <is>
          <t>churchcrm churchcrm *</t>
        </is>
      </c>
      <c r="Q377" s="187" t="inlineStr">
        <is>
          <t>P4</t>
        </is>
      </c>
      <c r="R377" s="187" t="inlineStr">
        <is>
          <t>📅 Schedule patch deployment within 30 days | 🔍 Monitor for exploitation attempts</t>
        </is>
      </c>
      <c r="S377" s="187" t="inlineStr">
        <is>
          <t>CVE - IP enrichment n/a</t>
        </is>
      </c>
      <c r="T377" s="187" t="n">
        <v>0</v>
      </c>
      <c r="U377" s="187" t="n">
        <v>0</v>
      </c>
      <c r="V377" s="187" t="inlineStr">
        <is>
          <t>T1189:Drive-by Compromise | T1190:Exploit Public-Facing Application</t>
        </is>
      </c>
      <c r="W377" s="187" t="n">
        <v>1</v>
      </c>
      <c r="X377" s="187" t="inlineStr">
        <is>
          <t>LOW (40%)</t>
        </is>
      </c>
      <c r="Y377" s="187" t="inlineStr">
        <is>
          <t>UNLIKELY</t>
        </is>
      </c>
      <c r="Z377" s="187" t="inlineStr">
        <is>
          <t>PATCH_AVAILABLE</t>
        </is>
      </c>
      <c r="AA377" s="187" t="inlineStr">
        <is>
          <t>https://nvd.nist.gov/vuln/detail/CVE-2026-26059</t>
        </is>
      </c>
      <c r="AB377" s="187" t="inlineStr">
        <is>
          <t>NONE</t>
        </is>
      </c>
      <c r="AC377" s="187" t="n">
        <v>0</v>
      </c>
      <c r="AD377" s="187" t="inlineStr"/>
    </row>
    <row r="378">
      <c r="A378" s="187" t="inlineStr">
        <is>
          <t>CVE</t>
        </is>
      </c>
      <c r="B378" s="187" t="inlineStr">
        <is>
          <t>CVE-2026-27472</t>
        </is>
      </c>
      <c r="C378" s="187" t="inlineStr">
        <is>
          <t>SPIP before 4.4.9 allows Blind Server-Side Request Forgery (SSRF) via syndicated sites in the private area. When editing a syndicated site, the application does not verify that the syndication URL is a valid remote URL, allowing an authenticated attacker to make the server issue requests to arbitrary internal or external destinations. This vulnerability is not mitigated by the SPIP security screen.</t>
        </is>
      </c>
      <c r="D378" s="187" t="n">
        <v>4.3</v>
      </c>
      <c r="E378" s="187" t="inlineStr">
        <is>
          <t>MEDIUM</t>
        </is>
      </c>
      <c r="F378" s="187" t="n">
        <v>2</v>
      </c>
      <c r="G378" s="187" t="n">
        <v>2</v>
      </c>
      <c r="H378" s="187" t="inlineStr">
        <is>
          <t>MEDIUM</t>
        </is>
      </c>
      <c r="I378" s="187" t="n">
        <v>8.300000000000001</v>
      </c>
      <c r="J378" s="187" t="inlineStr">
        <is>
          <t>NO</t>
        </is>
      </c>
      <c r="K378" s="187" t="inlineStr">
        <is>
          <t>https://nvd.nist.gov/vuln/detail/CVE-2026-27472</t>
        </is>
      </c>
      <c r="L378" s="187" t="inlineStr">
        <is>
          <t>2026-02-26 00:15</t>
        </is>
      </c>
      <c r="M378" s="187" t="inlineStr">
        <is>
          <t>YES</t>
        </is>
      </c>
      <c r="N378" s="187" t="inlineStr">
        <is>
          <t>https://blog.spip.net/Mise-a-jour-de-securite-sortie-de-SPIP-4-4-9.html</t>
        </is>
      </c>
      <c r="O378" s="187" t="inlineStr">
        <is>
          <t>Apply vendor patches</t>
        </is>
      </c>
      <c r="P378" s="187" t="inlineStr">
        <is>
          <t>spip spip *</t>
        </is>
      </c>
      <c r="Q378" s="187" t="inlineStr">
        <is>
          <t>P4</t>
        </is>
      </c>
      <c r="R378" s="187" t="inlineStr">
        <is>
          <t>📅 Schedule patch deployment within 30 days | 🔍 Monitor for exploitation attempts</t>
        </is>
      </c>
      <c r="S378" s="187" t="inlineStr">
        <is>
          <t>CVE - IP enrichment n/a</t>
        </is>
      </c>
      <c r="T378" s="187" t="n">
        <v>0</v>
      </c>
      <c r="U378" s="187" t="n">
        <v>0</v>
      </c>
      <c r="V378" s="187" t="inlineStr">
        <is>
          <t>T1090:Proxy</t>
        </is>
      </c>
      <c r="W378" s="187" t="n">
        <v>1</v>
      </c>
      <c r="X378" s="187" t="inlineStr">
        <is>
          <t>LOW (40%)</t>
        </is>
      </c>
      <c r="Y378" s="187" t="inlineStr">
        <is>
          <t>UNLIKELY</t>
        </is>
      </c>
      <c r="Z378" s="187" t="inlineStr">
        <is>
          <t>PATCH_AVAILABLE</t>
        </is>
      </c>
      <c r="AA378" s="187" t="inlineStr">
        <is>
          <t>https://nvd.nist.gov/vuln/detail/CVE-2026-27472</t>
        </is>
      </c>
      <c r="AB378" s="187" t="inlineStr">
        <is>
          <t>NONE</t>
        </is>
      </c>
      <c r="AC378" s="187" t="n">
        <v>0</v>
      </c>
      <c r="AD378" s="187" t="inlineStr"/>
    </row>
    <row r="379">
      <c r="A379" s="187" t="inlineStr">
        <is>
          <t>CVE</t>
        </is>
      </c>
      <c r="B379" s="187" t="inlineStr">
        <is>
          <t>CVE-2026-27473</t>
        </is>
      </c>
      <c r="C379" s="187" t="inlineStr">
        <is>
          <t>SPIP before 4.4.9 allows Stored Cross-Site Scripting (XSS) via syndicated sites in the private area. The #URL_SYNDIC output is not properly sanitized on the private syndicated site page, allowing an attacker who can set a malicious syndication URL to inject persistent scripts that execute when other administrators view the syndicated site details.</t>
        </is>
      </c>
      <c r="D379" s="187" t="n">
        <v>6.4</v>
      </c>
      <c r="E379" s="187" t="inlineStr">
        <is>
          <t>MEDIUM</t>
        </is>
      </c>
      <c r="F379" s="187" t="n">
        <v>2</v>
      </c>
      <c r="G379" s="187" t="n">
        <v>2</v>
      </c>
      <c r="H379" s="187" t="inlineStr">
        <is>
          <t>MEDIUM</t>
        </is>
      </c>
      <c r="I379" s="187" t="n">
        <v>10.4</v>
      </c>
      <c r="J379" s="187" t="inlineStr">
        <is>
          <t>NO</t>
        </is>
      </c>
      <c r="K379" s="187" t="inlineStr">
        <is>
          <t>https://nvd.nist.gov/vuln/detail/CVE-2026-27473</t>
        </is>
      </c>
      <c r="L379" s="187" t="inlineStr">
        <is>
          <t>2026-02-26 00:15</t>
        </is>
      </c>
      <c r="M379" s="187" t="inlineStr">
        <is>
          <t>YES</t>
        </is>
      </c>
      <c r="N379" s="187" t="inlineStr">
        <is>
          <t>https://blog.spip.net/Mise-a-jour-de-securite-sortie-de-SPIP-4-4-9.html</t>
        </is>
      </c>
      <c r="O379" s="187" t="inlineStr">
        <is>
          <t>Apply vendor patches</t>
        </is>
      </c>
      <c r="P379" s="187" t="inlineStr">
        <is>
          <t>spip spip *</t>
        </is>
      </c>
      <c r="Q379" s="187" t="inlineStr">
        <is>
          <t>P4</t>
        </is>
      </c>
      <c r="R379" s="187" t="inlineStr">
        <is>
          <t>📅 Schedule patch deployment within 30 days | 🔍 Monitor for exploitation attempts</t>
        </is>
      </c>
      <c r="S379" s="187" t="inlineStr">
        <is>
          <t>CVE - IP enrichment n/a</t>
        </is>
      </c>
      <c r="T379" s="187" t="n">
        <v>0</v>
      </c>
      <c r="U379" s="187" t="n">
        <v>0</v>
      </c>
      <c r="V379" s="187" t="inlineStr">
        <is>
          <t>T1189:Drive-by Compromise</t>
        </is>
      </c>
      <c r="W379" s="187" t="n">
        <v>1</v>
      </c>
      <c r="X379" s="187" t="inlineStr">
        <is>
          <t>LOW (40%)</t>
        </is>
      </c>
      <c r="Y379" s="187" t="inlineStr">
        <is>
          <t>UNLIKELY</t>
        </is>
      </c>
      <c r="Z379" s="187" t="inlineStr">
        <is>
          <t>PATCH_AVAILABLE</t>
        </is>
      </c>
      <c r="AA379" s="187" t="inlineStr">
        <is>
          <t>https://nvd.nist.gov/vuln/detail/CVE-2026-27473</t>
        </is>
      </c>
      <c r="AB379" s="187" t="inlineStr">
        <is>
          <t>NONE</t>
        </is>
      </c>
      <c r="AC379" s="187" t="n">
        <v>0</v>
      </c>
      <c r="AD379" s="187" t="inlineStr"/>
    </row>
    <row r="380">
      <c r="A380" s="187" t="inlineStr">
        <is>
          <t>CVE</t>
        </is>
      </c>
      <c r="B380" s="187" t="inlineStr">
        <is>
          <t>CVE-2026-27474</t>
        </is>
      </c>
      <c r="C380" s="187" t="inlineStr">
        <is>
          <t>SPIP before 4.4.9 allows Cross-Site Scripting (XSS) in the private area, complementing an incomplete fix from SPIP 4.4.8. The echappe_anti_xss() function was not systematically applied to input, form, button, and anchor (a) HTML tags, allowing an attacker to inject malicious scripts through these elements. This vulnerability is not mitigated by the SPIP security screen.</t>
        </is>
      </c>
      <c r="D380" s="187" t="n">
        <v>5.4</v>
      </c>
      <c r="E380" s="187" t="inlineStr">
        <is>
          <t>MEDIUM</t>
        </is>
      </c>
      <c r="F380" s="187" t="n">
        <v>2</v>
      </c>
      <c r="G380" s="187" t="n">
        <v>2</v>
      </c>
      <c r="H380" s="187" t="inlineStr">
        <is>
          <t>MEDIUM</t>
        </is>
      </c>
      <c r="I380" s="187" t="n">
        <v>9.4</v>
      </c>
      <c r="J380" s="187" t="inlineStr">
        <is>
          <t>NO</t>
        </is>
      </c>
      <c r="K380" s="187" t="inlineStr">
        <is>
          <t>https://nvd.nist.gov/vuln/detail/CVE-2026-27474</t>
        </is>
      </c>
      <c r="L380" s="187" t="inlineStr">
        <is>
          <t>2026-02-26 00:15</t>
        </is>
      </c>
      <c r="M380" s="187" t="inlineStr">
        <is>
          <t>YES</t>
        </is>
      </c>
      <c r="N380" s="187" t="inlineStr">
        <is>
          <t>https://blog.spip.net/Mise-a-jour-de-securite-sortie-de-SPIP-4-4-9.html</t>
        </is>
      </c>
      <c r="O380" s="187" t="inlineStr">
        <is>
          <t>Apply vendor patches</t>
        </is>
      </c>
      <c r="P380" s="187" t="inlineStr">
        <is>
          <t>spip spip *</t>
        </is>
      </c>
      <c r="Q380" s="187" t="inlineStr">
        <is>
          <t>P4</t>
        </is>
      </c>
      <c r="R380" s="187" t="inlineStr">
        <is>
          <t>📅 Schedule patch deployment within 30 days | 🔍 Monitor for exploitation attempts</t>
        </is>
      </c>
      <c r="S380" s="187" t="inlineStr">
        <is>
          <t>CVE - IP enrichment n/a</t>
        </is>
      </c>
      <c r="T380" s="187" t="n">
        <v>0</v>
      </c>
      <c r="U380" s="187" t="n">
        <v>0</v>
      </c>
      <c r="V380" s="187" t="inlineStr">
        <is>
          <t>T1189:Drive-by Compromise</t>
        </is>
      </c>
      <c r="W380" s="187" t="n">
        <v>1</v>
      </c>
      <c r="X380" s="187" t="inlineStr">
        <is>
          <t>LOW (40%)</t>
        </is>
      </c>
      <c r="Y380" s="187" t="inlineStr">
        <is>
          <t>UNLIKELY</t>
        </is>
      </c>
      <c r="Z380" s="187" t="inlineStr">
        <is>
          <t>PATCH_AVAILABLE</t>
        </is>
      </c>
      <c r="AA380" s="187" t="inlineStr">
        <is>
          <t>https://nvd.nist.gov/vuln/detail/CVE-2026-27474</t>
        </is>
      </c>
      <c r="AB380" s="187" t="inlineStr">
        <is>
          <t>NONE</t>
        </is>
      </c>
      <c r="AC380" s="187" t="n">
        <v>0</v>
      </c>
      <c r="AD380" s="187" t="inlineStr"/>
    </row>
    <row r="381">
      <c r="A381" s="188" t="inlineStr">
        <is>
          <t>CVE</t>
        </is>
      </c>
      <c r="B381" s="188" t="inlineStr">
        <is>
          <t>CVE-2026-27475</t>
        </is>
      </c>
      <c r="C381" s="188" t="inlineStr">
        <is>
          <t>SPIP before 4.4.9 allows Insecure Deserialization in the public area through the table_valeur filter and the DATA iterator, which accept serialized data. An attacker who can place malicious serialized content (a pre-condition requiring prior access or another vulnerability) can trigger arbitrary object instantiation and potentially achieve code execution. The use of serialized data in these components has been deprecated and will be removed in SPIP 5. This vulnerability is not mitigated by the S</t>
        </is>
      </c>
      <c r="D381" s="188" t="n">
        <v>8.1</v>
      </c>
      <c r="E381" s="188" t="inlineStr">
        <is>
          <t>HIGH</t>
        </is>
      </c>
      <c r="F381" s="188" t="n">
        <v>2</v>
      </c>
      <c r="G381" s="188" t="n">
        <v>3</v>
      </c>
      <c r="H381" s="188" t="inlineStr">
        <is>
          <t>HIGH</t>
        </is>
      </c>
      <c r="I381" s="188" t="n">
        <v>14.1</v>
      </c>
      <c r="J381" s="188" t="inlineStr">
        <is>
          <t>NO</t>
        </is>
      </c>
      <c r="K381" s="188" t="inlineStr">
        <is>
          <t>https://nvd.nist.gov/vuln/detail/CVE-2026-27475</t>
        </is>
      </c>
      <c r="L381" s="188" t="inlineStr">
        <is>
          <t>2026-02-26 00:15</t>
        </is>
      </c>
      <c r="M381" s="188" t="inlineStr">
        <is>
          <t>YES</t>
        </is>
      </c>
      <c r="N381" s="188" t="inlineStr">
        <is>
          <t>https://blog.spip.net/Mise-a-jour-de-securite-sortie-de-SPIP-4-4-9.html</t>
        </is>
      </c>
      <c r="O381" s="188" t="inlineStr">
        <is>
          <t>Apply vendor patches</t>
        </is>
      </c>
      <c r="P381" s="188" t="inlineStr">
        <is>
          <t>spip spip *</t>
        </is>
      </c>
      <c r="Q381" s="188" t="inlineStr">
        <is>
          <t>P3</t>
        </is>
      </c>
      <c r="R381" s="188" t="inlineStr">
        <is>
          <t>🚨 URGENT: Apply vendor patches immediately | 🔒 Isolate affected systems if patch unavailable | 🛡️ Enable additional monitoring/IDS rules</t>
        </is>
      </c>
      <c r="S381" s="188" t="inlineStr">
        <is>
          <t>CVE - IP enrichment n/a</t>
        </is>
      </c>
      <c r="T381" s="188" t="n">
        <v>0</v>
      </c>
      <c r="U381" s="188" t="n">
        <v>0</v>
      </c>
      <c r="V381" s="188" t="inlineStr">
        <is>
          <t>T1059:Command and Scripting Interpreter</t>
        </is>
      </c>
      <c r="W381" s="188" t="n">
        <v>1</v>
      </c>
      <c r="X381" s="188" t="inlineStr">
        <is>
          <t>LOW (40%)</t>
        </is>
      </c>
      <c r="Y381" s="188" t="inlineStr">
        <is>
          <t>UNLIKELY</t>
        </is>
      </c>
      <c r="Z381" s="188" t="inlineStr">
        <is>
          <t>PATCH_AVAILABLE</t>
        </is>
      </c>
      <c r="AA381" s="188" t="inlineStr">
        <is>
          <t>https://nvd.nist.gov/vuln/detail/CVE-2026-27475</t>
        </is>
      </c>
      <c r="AB381" s="188" t="inlineStr">
        <is>
          <t>NONE</t>
        </is>
      </c>
      <c r="AC381" s="188" t="n">
        <v>0</v>
      </c>
      <c r="AD381" s="188" t="inlineStr"/>
    </row>
    <row r="382">
      <c r="A382" s="189" t="inlineStr">
        <is>
          <t>CVE</t>
        </is>
      </c>
      <c r="B382" s="189" t="inlineStr">
        <is>
          <t>CVE-2025-67304</t>
        </is>
      </c>
      <c r="C382" s="189" t="inlineStr">
        <is>
          <t>In Ruckus Network Director (RND) &lt; 4.5.0.54, the OVA appliance contains hardcoded credentials for the ruckus PostgreSQL database user. In the default configuration, the PostgreSQL service is accessible over the network on TCP port 5432. An attacker can use the hardcoded credentials to authenticate remotely, gaining superuser access to the database. This allows creation of administrative users for the web interface, extraction of password hashes, and execution of arbitrary OS commands.</t>
        </is>
      </c>
      <c r="D382" s="189" t="n">
        <v>9.800000000000001</v>
      </c>
      <c r="E382" s="189" t="inlineStr">
        <is>
          <t>CRITICAL</t>
        </is>
      </c>
      <c r="F382" s="189" t="n">
        <v>2</v>
      </c>
      <c r="G382" s="189" t="n">
        <v>3</v>
      </c>
      <c r="H382" s="189" t="inlineStr">
        <is>
          <t>HIGH</t>
        </is>
      </c>
      <c r="I382" s="189" t="n">
        <v>15.8</v>
      </c>
      <c r="J382" s="189" t="inlineStr">
        <is>
          <t>NO</t>
        </is>
      </c>
      <c r="K382" s="189" t="inlineStr">
        <is>
          <t>https://nvd.nist.gov/vuln/detail/CVE-2025-67304</t>
        </is>
      </c>
      <c r="L382" s="189" t="inlineStr">
        <is>
          <t>2026-02-26 00:15</t>
        </is>
      </c>
      <c r="M382" s="189" t="inlineStr">
        <is>
          <t>CHECK_VENDOR</t>
        </is>
      </c>
      <c r="N382" s="189" t="inlineStr">
        <is>
          <t>See NVD references</t>
        </is>
      </c>
      <c r="O382" s="189" t="inlineStr">
        <is>
          <t>Apply vendor patches</t>
        </is>
      </c>
      <c r="P382" s="189" t="inlineStr">
        <is>
          <t>See CVE details</t>
        </is>
      </c>
      <c r="Q382" s="189" t="inlineStr">
        <is>
          <t>P3</t>
        </is>
      </c>
      <c r="R382" s="189" t="inlineStr">
        <is>
          <t>🚨 URGENT: Apply vendor patches immediately | 🔒 Isolate affected systems if patch unavailable | 🛡️ Enable additional monitoring/IDS rules</t>
        </is>
      </c>
      <c r="S382" s="189" t="inlineStr">
        <is>
          <t>CVE - IP enrichment n/a</t>
        </is>
      </c>
      <c r="T382" s="189" t="n">
        <v>0.0009</v>
      </c>
      <c r="U382" s="189" t="n">
        <v>0.2526</v>
      </c>
      <c r="V382" s="189" t="inlineStr">
        <is>
          <t>T1552:Unsecured Credentials</t>
        </is>
      </c>
      <c r="W382" s="189" t="n">
        <v>1</v>
      </c>
      <c r="X382" s="189" t="inlineStr">
        <is>
          <t>LOW (40%)</t>
        </is>
      </c>
      <c r="Y382" s="189" t="inlineStr">
        <is>
          <t>UNLIKELY</t>
        </is>
      </c>
      <c r="Z382" s="189" t="inlineStr">
        <is>
          <t>CHECK_VENDOR</t>
        </is>
      </c>
      <c r="AA382" s="189" t="inlineStr">
        <is>
          <t>https://nvd.nist.gov/vuln/detail/CVE-2025-67304</t>
        </is>
      </c>
      <c r="AB382" s="189" t="inlineStr">
        <is>
          <t>NONE</t>
        </is>
      </c>
      <c r="AC382" s="189" t="n">
        <v>0</v>
      </c>
      <c r="AD382" s="189" t="inlineStr"/>
    </row>
    <row r="383">
      <c r="A383" s="188" t="inlineStr">
        <is>
          <t>CVE</t>
        </is>
      </c>
      <c r="B383" s="188" t="inlineStr">
        <is>
          <t>CVE-2026-26063</t>
        </is>
      </c>
      <c r="C383" s="188" t="inlineStr">
        <is>
          <t>CediPay is a crypto-to-fiat app for the Ghanaian market. A vulnerability in CediPay prior to version 1.2.3 allows attackers to bypass input validation in the transaction API. The issue has been fixed in version 1.2.3. If upgrading is not immediately possible, restrict API access to trusted networks or IP ranges; enforce strict input validation at the application layer; and/or monitor transaction logs for anomalies or suspicious activity. These mitigations reduce exposure but do not fully elimina</t>
        </is>
      </c>
      <c r="D383" s="188" t="n">
        <v>8.5</v>
      </c>
      <c r="E383" s="188" t="inlineStr">
        <is>
          <t>HIGH</t>
        </is>
      </c>
      <c r="F383" s="188" t="n">
        <v>2</v>
      </c>
      <c r="G383" s="188" t="n">
        <v>3</v>
      </c>
      <c r="H383" s="188" t="inlineStr">
        <is>
          <t>HIGH</t>
        </is>
      </c>
      <c r="I383" s="188" t="n">
        <v>14.5</v>
      </c>
      <c r="J383" s="188" t="inlineStr">
        <is>
          <t>NO</t>
        </is>
      </c>
      <c r="K383" s="188" t="inlineStr">
        <is>
          <t>https://nvd.nist.gov/vuln/detail/CVE-2026-26063</t>
        </is>
      </c>
      <c r="L383" s="188" t="inlineStr">
        <is>
          <t>2026-02-26 00:15</t>
        </is>
      </c>
      <c r="M383" s="188" t="inlineStr">
        <is>
          <t>CHECK_VENDOR</t>
        </is>
      </c>
      <c r="N383" s="188" t="inlineStr">
        <is>
          <t>See NVD references</t>
        </is>
      </c>
      <c r="O383" s="188" t="inlineStr">
        <is>
          <t>Apply vendor patches</t>
        </is>
      </c>
      <c r="P383" s="188" t="inlineStr">
        <is>
          <t>See CVE details</t>
        </is>
      </c>
      <c r="Q383" s="188" t="inlineStr">
        <is>
          <t>P3</t>
        </is>
      </c>
      <c r="R383" s="188" t="inlineStr">
        <is>
          <t>🚨 URGENT: Apply vendor patches immediately | 🔒 Isolate affected systems if patch unavailable | 🛡️ Enable additional monitoring/IDS rules</t>
        </is>
      </c>
      <c r="S383" s="188" t="inlineStr">
        <is>
          <t>CVE - IP enrichment n/a</t>
        </is>
      </c>
      <c r="T383" s="188" t="n">
        <v>0</v>
      </c>
      <c r="U383" s="188" t="n">
        <v>0</v>
      </c>
      <c r="V383" s="188" t="inlineStr">
        <is>
          <t>T1190:Exploit Public-Facing Application</t>
        </is>
      </c>
      <c r="W383" s="188" t="n">
        <v>1</v>
      </c>
      <c r="X383" s="188" t="inlineStr">
        <is>
          <t>LOW (40%)</t>
        </is>
      </c>
      <c r="Y383" s="188" t="inlineStr">
        <is>
          <t>UNLIKELY</t>
        </is>
      </c>
      <c r="Z383" s="188" t="inlineStr">
        <is>
          <t>CHECK_VENDOR</t>
        </is>
      </c>
      <c r="AA383" s="188" t="inlineStr">
        <is>
          <t>https://nvd.nist.gov/vuln/detail/CVE-2026-26063</t>
        </is>
      </c>
      <c r="AB383" s="188" t="inlineStr">
        <is>
          <t>NONE</t>
        </is>
      </c>
      <c r="AC383" s="188" t="n">
        <v>0</v>
      </c>
      <c r="AD383" s="188" t="inlineStr"/>
    </row>
    <row r="384">
      <c r="A384" s="187" t="inlineStr">
        <is>
          <t>CVE</t>
        </is>
      </c>
      <c r="B384" s="187" t="inlineStr">
        <is>
          <t>CVE-2026-26189</t>
        </is>
      </c>
      <c r="C384" s="187" t="inlineStr">
        <is>
          <t>Trivy Action runs Trivy as GitHub action to scan a Docker container image for vulnerabilities. A command injection vulnerability exists in `aquasecurity/trivy-action` versions 0.31.0 through 0.33.1 due to improper handling of action inputs when exporting environment variables. The action writes `export VAR= ` lines to `trivy_envs.txt` based on user-supplied inputs and subsequently sources this file in `entrypoint.sh`. Because input values are written without appropriate shell escaping, attacker-</t>
        </is>
      </c>
      <c r="D384" s="187" t="n">
        <v>5.9</v>
      </c>
      <c r="E384" s="187" t="inlineStr">
        <is>
          <t>MEDIUM</t>
        </is>
      </c>
      <c r="F384" s="187" t="n">
        <v>2</v>
      </c>
      <c r="G384" s="187" t="n">
        <v>2</v>
      </c>
      <c r="H384" s="187" t="inlineStr">
        <is>
          <t>MEDIUM</t>
        </is>
      </c>
      <c r="I384" s="187" t="n">
        <v>9.9</v>
      </c>
      <c r="J384" s="187" t="inlineStr">
        <is>
          <t>NO</t>
        </is>
      </c>
      <c r="K384" s="187" t="inlineStr">
        <is>
          <t>https://nvd.nist.gov/vuln/detail/CVE-2026-26189</t>
        </is>
      </c>
      <c r="L384" s="187" t="inlineStr">
        <is>
          <t>2026-02-26 00:15</t>
        </is>
      </c>
      <c r="M384" s="187" t="inlineStr">
        <is>
          <t>CHECK_VENDOR</t>
        </is>
      </c>
      <c r="N384" s="187" t="inlineStr">
        <is>
          <t>See NVD references</t>
        </is>
      </c>
      <c r="O384" s="187" t="inlineStr">
        <is>
          <t>Apply vendor patches</t>
        </is>
      </c>
      <c r="P384" s="187" t="inlineStr">
        <is>
          <t>See CVE details</t>
        </is>
      </c>
      <c r="Q384" s="187" t="inlineStr">
        <is>
          <t>P4</t>
        </is>
      </c>
      <c r="R384" s="187" t="inlineStr">
        <is>
          <t>📅 Schedule patch deployment within 30 days | 🔍 Monitor for exploitation attempts</t>
        </is>
      </c>
      <c r="S384" s="187" t="inlineStr">
        <is>
          <t>CVE - IP enrichment n/a</t>
        </is>
      </c>
      <c r="T384" s="187" t="n">
        <v>0</v>
      </c>
      <c r="U384" s="187" t="n">
        <v>0</v>
      </c>
      <c r="V384" s="187" t="inlineStr">
        <is>
          <t>T1059:Command and Scripting Interpreter | T1190:Exploit Public-Facing Application</t>
        </is>
      </c>
      <c r="W384" s="187" t="n">
        <v>1</v>
      </c>
      <c r="X384" s="187" t="inlineStr">
        <is>
          <t>LOW (40%)</t>
        </is>
      </c>
      <c r="Y384" s="187" t="inlineStr">
        <is>
          <t>UNLIKELY</t>
        </is>
      </c>
      <c r="Z384" s="187" t="inlineStr">
        <is>
          <t>CHECK_VENDOR</t>
        </is>
      </c>
      <c r="AA384" s="187" t="inlineStr">
        <is>
          <t>https://nvd.nist.gov/vuln/detail/CVE-2026-26189</t>
        </is>
      </c>
      <c r="AB384" s="187" t="inlineStr">
        <is>
          <t>NONE</t>
        </is>
      </c>
      <c r="AC384" s="187" t="n">
        <v>0</v>
      </c>
      <c r="AD384" s="187" t="inlineStr"/>
    </row>
    <row r="385">
      <c r="A385" s="188" t="inlineStr">
        <is>
          <t>CVE</t>
        </is>
      </c>
      <c r="B385" s="188" t="inlineStr">
        <is>
          <t>CVE-2026-26192</t>
        </is>
      </c>
      <c r="C385" s="188" t="inlineStr">
        <is>
          <t>Open WebUI is a self-hosted artificial intelligence platform designed to operate entirely offline. Prior to version 0.7.0, aanually modifying chat history allows setting the `html` property within document metadata. This causes the frontend to enter a code path that treats document contents as HTML, and render them in an iFrame when the citation is previewed. This allows stored XSS via a weaponized document payload in a chat. The payload also executes when the citation is viewed on a shared chat</t>
        </is>
      </c>
      <c r="D385" s="188" t="n">
        <v>7.3</v>
      </c>
      <c r="E385" s="188" t="inlineStr">
        <is>
          <t>HIGH</t>
        </is>
      </c>
      <c r="F385" s="188" t="n">
        <v>2</v>
      </c>
      <c r="G385" s="188" t="n">
        <v>3</v>
      </c>
      <c r="H385" s="188" t="inlineStr">
        <is>
          <t>HIGH</t>
        </is>
      </c>
      <c r="I385" s="188" t="n">
        <v>13.3</v>
      </c>
      <c r="J385" s="188" t="inlineStr">
        <is>
          <t>NO</t>
        </is>
      </c>
      <c r="K385" s="188" t="inlineStr">
        <is>
          <t>https://nvd.nist.gov/vuln/detail/CVE-2026-26192</t>
        </is>
      </c>
      <c r="L385" s="188" t="inlineStr">
        <is>
          <t>2026-02-26 00:15</t>
        </is>
      </c>
      <c r="M385" s="188" t="inlineStr">
        <is>
          <t>YES</t>
        </is>
      </c>
      <c r="N385" s="188" t="inlineStr">
        <is>
          <t>https://github.com/open-webui/open-webui/security/advisories/GHSA-xc8p-9rr6-97r2</t>
        </is>
      </c>
      <c r="O385" s="188" t="inlineStr">
        <is>
          <t>Apply vendor patches</t>
        </is>
      </c>
      <c r="P385" s="188" t="inlineStr">
        <is>
          <t>openwebui open_webui *</t>
        </is>
      </c>
      <c r="Q385" s="188" t="inlineStr">
        <is>
          <t>P3</t>
        </is>
      </c>
      <c r="R385" s="188" t="inlineStr">
        <is>
          <t>🚨 URGENT: Apply vendor patches immediately | 🔒 Isolate affected systems if patch unavailable | 🛡️ Enable additional monitoring/IDS rules</t>
        </is>
      </c>
      <c r="S385" s="188" t="inlineStr">
        <is>
          <t>CVE - IP enrichment n/a</t>
        </is>
      </c>
      <c r="T385" s="188" t="n">
        <v>0</v>
      </c>
      <c r="U385" s="188" t="n">
        <v>0</v>
      </c>
      <c r="V385" s="188" t="inlineStr">
        <is>
          <t>T1189:Drive-by Compromise</t>
        </is>
      </c>
      <c r="W385" s="188" t="n">
        <v>1</v>
      </c>
      <c r="X385" s="188" t="inlineStr">
        <is>
          <t>LOW (40%)</t>
        </is>
      </c>
      <c r="Y385" s="188" t="inlineStr">
        <is>
          <t>UNLIKELY</t>
        </is>
      </c>
      <c r="Z385" s="188" t="inlineStr">
        <is>
          <t>PATCH_AVAILABLE</t>
        </is>
      </c>
      <c r="AA385" s="188" t="inlineStr">
        <is>
          <t>https://nvd.nist.gov/vuln/detail/CVE-2026-26192</t>
        </is>
      </c>
      <c r="AB385" s="188" t="inlineStr">
        <is>
          <t>NONE</t>
        </is>
      </c>
      <c r="AC385" s="188" t="n">
        <v>0</v>
      </c>
      <c r="AD385" s="188" t="inlineStr"/>
    </row>
    <row r="386">
      <c r="A386" s="188" t="inlineStr">
        <is>
          <t>CVE</t>
        </is>
      </c>
      <c r="B386" s="188" t="inlineStr">
        <is>
          <t>CVE-2026-26193</t>
        </is>
      </c>
      <c r="C386" s="188" t="inlineStr">
        <is>
          <t>Open WebUI is a self-hosted artificial intelligence platform designed to operate entirely offline. Prior to version 0.6.44, aanually modifying chat history allows setting the `embeds` property on a response message, the content of which is loaded into an iFrame with a sandbox that has `allow-scripts` and `allow-same-origin` set, ignoring the "iframe Sandbox Allow Same Origin" configuration. This enables stored XSS on the affected chat. This also triggers when the chat is in the shared format. Th</t>
        </is>
      </c>
      <c r="D386" s="188" t="n">
        <v>7.3</v>
      </c>
      <c r="E386" s="188" t="inlineStr">
        <is>
          <t>HIGH</t>
        </is>
      </c>
      <c r="F386" s="188" t="n">
        <v>2</v>
      </c>
      <c r="G386" s="188" t="n">
        <v>3</v>
      </c>
      <c r="H386" s="188" t="inlineStr">
        <is>
          <t>HIGH</t>
        </is>
      </c>
      <c r="I386" s="188" t="n">
        <v>13.3</v>
      </c>
      <c r="J386" s="188" t="inlineStr">
        <is>
          <t>NO</t>
        </is>
      </c>
      <c r="K386" s="188" t="inlineStr">
        <is>
          <t>https://nvd.nist.gov/vuln/detail/CVE-2026-26193</t>
        </is>
      </c>
      <c r="L386" s="188" t="inlineStr">
        <is>
          <t>2026-02-26 00:15</t>
        </is>
      </c>
      <c r="M386" s="188" t="inlineStr">
        <is>
          <t>YES</t>
        </is>
      </c>
      <c r="N386" s="188" t="inlineStr">
        <is>
          <t>https://github.com/open-webui/open-webui/security/advisories/GHSA-vjm7-m4xh-7wrc</t>
        </is>
      </c>
      <c r="O386" s="188" t="inlineStr">
        <is>
          <t>Apply vendor patches</t>
        </is>
      </c>
      <c r="P386" s="188" t="inlineStr">
        <is>
          <t>openwebui open_webui *</t>
        </is>
      </c>
      <c r="Q386" s="188" t="inlineStr">
        <is>
          <t>P3</t>
        </is>
      </c>
      <c r="R386" s="188" t="inlineStr">
        <is>
          <t>🚨 URGENT: Apply vendor patches immediately | 🔒 Isolate affected systems if patch unavailable | 🛡️ Enable additional monitoring/IDS rules</t>
        </is>
      </c>
      <c r="S386" s="188" t="inlineStr">
        <is>
          <t>CVE - IP enrichment n/a</t>
        </is>
      </c>
      <c r="T386" s="188" t="n">
        <v>0.0003</v>
      </c>
      <c r="U386" s="188" t="n">
        <v>0.09229999999999999</v>
      </c>
      <c r="V386" s="188" t="inlineStr">
        <is>
          <t>T1189:Drive-by Compromise</t>
        </is>
      </c>
      <c r="W386" s="188" t="n">
        <v>1</v>
      </c>
      <c r="X386" s="188" t="inlineStr">
        <is>
          <t>LOW (40%)</t>
        </is>
      </c>
      <c r="Y386" s="188" t="inlineStr">
        <is>
          <t>UNLIKELY</t>
        </is>
      </c>
      <c r="Z386" s="188" t="inlineStr">
        <is>
          <t>PATCH_AVAILABLE</t>
        </is>
      </c>
      <c r="AA386" s="188" t="inlineStr">
        <is>
          <t>https://nvd.nist.gov/vuln/detail/CVE-2026-26193</t>
        </is>
      </c>
      <c r="AB386" s="188" t="inlineStr">
        <is>
          <t>NONE</t>
        </is>
      </c>
      <c r="AC386" s="188" t="n">
        <v>0</v>
      </c>
      <c r="AD386" s="188" t="inlineStr"/>
    </row>
    <row r="387">
      <c r="A387" s="188" t="inlineStr">
        <is>
          <t>CVE</t>
        </is>
      </c>
      <c r="B387" s="188" t="inlineStr">
        <is>
          <t>CVE-2026-26200</t>
        </is>
      </c>
      <c r="C387" s="188" t="inlineStr">
        <is>
          <t>HDF5 is software for managing data. Prior to version 1.14.4-2, an attacker who can control an `h5` file parsed by HDF5 can trigger a write-based heap buffer overflow condition. This can lead to a denial-of-service condition, and potentially further issues such as remote code execution depending on the practical exploitability of the heap overflow against modern operating systems. Real-world exploitability of this issue in terms of remote-code execution is currently unknown. Version 1.14.4-2 fixe</t>
        </is>
      </c>
      <c r="D387" s="188" t="n">
        <v>7.8</v>
      </c>
      <c r="E387" s="188" t="inlineStr">
        <is>
          <t>HIGH</t>
        </is>
      </c>
      <c r="F387" s="188" t="n">
        <v>2</v>
      </c>
      <c r="G387" s="188" t="n">
        <v>3</v>
      </c>
      <c r="H387" s="188" t="inlineStr">
        <is>
          <t>HIGH</t>
        </is>
      </c>
      <c r="I387" s="188" t="n">
        <v>13.8</v>
      </c>
      <c r="J387" s="188" t="inlineStr">
        <is>
          <t>NO</t>
        </is>
      </c>
      <c r="K387" s="188" t="inlineStr">
        <is>
          <t>https://nvd.nist.gov/vuln/detail/CVE-2026-26200</t>
        </is>
      </c>
      <c r="L387" s="188" t="inlineStr">
        <is>
          <t>2026-02-26 00:15</t>
        </is>
      </c>
      <c r="M387" s="188" t="inlineStr">
        <is>
          <t>CHECK_VENDOR</t>
        </is>
      </c>
      <c r="N387" s="188" t="inlineStr">
        <is>
          <t>See NVD references</t>
        </is>
      </c>
      <c r="O387" s="188" t="inlineStr">
        <is>
          <t>Apply vendor patches</t>
        </is>
      </c>
      <c r="P387" s="188" t="inlineStr">
        <is>
          <t>hdfgroup hdf5 *</t>
        </is>
      </c>
      <c r="Q387" s="188" t="inlineStr">
        <is>
          <t>P3</t>
        </is>
      </c>
      <c r="R387" s="188" t="inlineStr">
        <is>
          <t>🚨 URGENT: Apply vendor patches immediately | 🔒 Isolate affected systems if patch unavailable | 🛡️ Enable additional monitoring/IDS rules</t>
        </is>
      </c>
      <c r="S387" s="188" t="inlineStr">
        <is>
          <t>CVE - IP enrichment n/a</t>
        </is>
      </c>
      <c r="T387" s="188" t="n">
        <v>0</v>
      </c>
      <c r="U387" s="188" t="n">
        <v>0</v>
      </c>
      <c r="V387" s="188" t="inlineStr">
        <is>
          <t>T1203:Exploitation for Client Execution | T1190:Exploit Public-Facing Application | T1210:Exploitation of Remote Services</t>
        </is>
      </c>
      <c r="W387" s="188" t="n">
        <v>1</v>
      </c>
      <c r="X387" s="188" t="inlineStr">
        <is>
          <t>LOW (40%)</t>
        </is>
      </c>
      <c r="Y387" s="188" t="inlineStr">
        <is>
          <t>UNLIKELY</t>
        </is>
      </c>
      <c r="Z387" s="188" t="inlineStr">
        <is>
          <t>CHECK_VENDOR</t>
        </is>
      </c>
      <c r="AA387" s="188" t="inlineStr">
        <is>
          <t>https://nvd.nist.gov/vuln/detail/CVE-2026-26200</t>
        </is>
      </c>
      <c r="AB387" s="188" t="inlineStr">
        <is>
          <t>NONE</t>
        </is>
      </c>
      <c r="AC387" s="188" t="n">
        <v>0</v>
      </c>
      <c r="AD387" s="188" t="inlineStr"/>
    </row>
    <row r="388">
      <c r="A388" s="187" t="inlineStr">
        <is>
          <t>CVE</t>
        </is>
      </c>
      <c r="B388" s="187" t="inlineStr">
        <is>
          <t>CVE-2026-26201</t>
        </is>
      </c>
      <c r="C388" s="187" t="inlineStr">
        <is>
          <t>emp3r0r is a C2 designed by Linux users for Linux environments. Prior to version 3.21.2, multiple shared maps are accessed without consistent synchronization across goroutines. Under concurrent activity, Go runtime can trigger `fatal error: concurrent map read and map write`, causing C2 process crash (availability loss). Version 3.21.2 fixes this issue.</t>
        </is>
      </c>
      <c r="D388" s="187" t="n">
        <v>5</v>
      </c>
      <c r="E388" s="187" t="inlineStr">
        <is>
          <t>MEDIUM</t>
        </is>
      </c>
      <c r="F388" s="187" t="n">
        <v>2</v>
      </c>
      <c r="G388" s="187" t="n">
        <v>2</v>
      </c>
      <c r="H388" s="187" t="inlineStr">
        <is>
          <t>MEDIUM</t>
        </is>
      </c>
      <c r="I388" s="187" t="n">
        <v>9</v>
      </c>
      <c r="J388" s="187" t="inlineStr">
        <is>
          <t>NO</t>
        </is>
      </c>
      <c r="K388" s="187" t="inlineStr">
        <is>
          <t>https://nvd.nist.gov/vuln/detail/CVE-2026-26201</t>
        </is>
      </c>
      <c r="L388" s="187" t="inlineStr">
        <is>
          <t>2026-02-26 00:15</t>
        </is>
      </c>
      <c r="M388" s="187" t="inlineStr">
        <is>
          <t>CHECK_VENDOR</t>
        </is>
      </c>
      <c r="N388" s="187" t="inlineStr">
        <is>
          <t>See NVD references</t>
        </is>
      </c>
      <c r="O388" s="187" t="inlineStr">
        <is>
          <t>Apply vendor patches</t>
        </is>
      </c>
      <c r="P388" s="187" t="inlineStr">
        <is>
          <t>See CVE details</t>
        </is>
      </c>
      <c r="Q388" s="187" t="inlineStr">
        <is>
          <t>P4</t>
        </is>
      </c>
      <c r="R388" s="187" t="inlineStr">
        <is>
          <t>📅 Schedule patch deployment within 30 days | 🔍 Monitor for exploitation attempts</t>
        </is>
      </c>
      <c r="S388" s="187" t="inlineStr">
        <is>
          <t>CVE - IP enrichment n/a</t>
        </is>
      </c>
      <c r="T388" s="187" t="n">
        <v>0</v>
      </c>
      <c r="U388" s="187" t="n">
        <v>0</v>
      </c>
      <c r="V388" s="187" t="inlineStr">
        <is>
          <t>T1068:Exploitation for Privilege Escalation</t>
        </is>
      </c>
      <c r="W388" s="187" t="n">
        <v>1</v>
      </c>
      <c r="X388" s="187" t="inlineStr">
        <is>
          <t>LOW (40%)</t>
        </is>
      </c>
      <c r="Y388" s="187" t="inlineStr">
        <is>
          <t>UNLIKELY</t>
        </is>
      </c>
      <c r="Z388" s="187" t="inlineStr">
        <is>
          <t>CHECK_VENDOR</t>
        </is>
      </c>
      <c r="AA388" s="187" t="inlineStr">
        <is>
          <t>https://nvd.nist.gov/vuln/detail/CVE-2026-26201</t>
        </is>
      </c>
      <c r="AB388" s="187" t="inlineStr">
        <is>
          <t>NONE</t>
        </is>
      </c>
      <c r="AC388" s="187" t="n">
        <v>0</v>
      </c>
      <c r="AD388" s="187" t="inlineStr"/>
    </row>
    <row r="389">
      <c r="A389" s="188" t="inlineStr">
        <is>
          <t>CVE</t>
        </is>
      </c>
      <c r="B389" s="188" t="inlineStr">
        <is>
          <t>CVE-2026-26202</t>
        </is>
      </c>
      <c r="C389" s="188" t="inlineStr">
        <is>
          <t>Penpot is an open-source design tool for design and code collaboration. Prior to version 2.13.2, an authenticated user can read arbitrary files from the server by supplying a local file path (e.g. `/etc/passwd`) as a font data chunk in the `create-font-variant` RPC endpoint, resulting in the file contents being stored and retrievable as a "font" asset. This is an arbitrary file read vulnerability. Any authenticated user with team edit permissions can read arbitrary files accessible to the Penpot</t>
        </is>
      </c>
      <c r="D389" s="188" t="n">
        <v>7.5</v>
      </c>
      <c r="E389" s="188" t="inlineStr">
        <is>
          <t>HIGH</t>
        </is>
      </c>
      <c r="F389" s="188" t="n">
        <v>2</v>
      </c>
      <c r="G389" s="188" t="n">
        <v>3</v>
      </c>
      <c r="H389" s="188" t="inlineStr">
        <is>
          <t>HIGH</t>
        </is>
      </c>
      <c r="I389" s="188" t="n">
        <v>13.5</v>
      </c>
      <c r="J389" s="188" t="inlineStr">
        <is>
          <t>NO</t>
        </is>
      </c>
      <c r="K389" s="188" t="inlineStr">
        <is>
          <t>https://nvd.nist.gov/vuln/detail/CVE-2026-26202</t>
        </is>
      </c>
      <c r="L389" s="188" t="inlineStr">
        <is>
          <t>2026-02-26 00:15</t>
        </is>
      </c>
      <c r="M389" s="188" t="inlineStr">
        <is>
          <t>YES</t>
        </is>
      </c>
      <c r="N389" s="188" t="inlineStr">
        <is>
          <t>https://github.com/penpot/penpot/commit/06e5825c8a0209889966a4eb5152efd6ff108626</t>
        </is>
      </c>
      <c r="O389" s="188" t="inlineStr">
        <is>
          <t>Apply vendor patches</t>
        </is>
      </c>
      <c r="P389" s="188" t="inlineStr">
        <is>
          <t>kaleidos penpot *</t>
        </is>
      </c>
      <c r="Q389" s="188" t="inlineStr">
        <is>
          <t>P3</t>
        </is>
      </c>
      <c r="R389" s="188" t="inlineStr">
        <is>
          <t>🚨 URGENT: Apply vendor patches immediately | 🔒 Isolate affected systems if patch unavailable | 🛡️ Enable additional monitoring/IDS rules</t>
        </is>
      </c>
      <c r="S389" s="188" t="inlineStr">
        <is>
          <t>CVE - IP enrichment n/a</t>
        </is>
      </c>
      <c r="T389" s="188" t="n">
        <v>0</v>
      </c>
      <c r="U389" s="188" t="n">
        <v>0</v>
      </c>
      <c r="V389" s="188" t="inlineStr">
        <is>
          <t>T1083:File and Directory Discovery | T1190:Exploit Public-Facing Application | T1552:Unsecured Credentials</t>
        </is>
      </c>
      <c r="W389" s="188" t="n">
        <v>1</v>
      </c>
      <c r="X389" s="188" t="inlineStr">
        <is>
          <t>LOW (40%)</t>
        </is>
      </c>
      <c r="Y389" s="188" t="inlineStr">
        <is>
          <t>UNLIKELY</t>
        </is>
      </c>
      <c r="Z389" s="188" t="inlineStr">
        <is>
          <t>PATCH_AVAILABLE</t>
        </is>
      </c>
      <c r="AA389" s="188" t="inlineStr">
        <is>
          <t>https://nvd.nist.gov/vuln/detail/CVE-2026-26202</t>
        </is>
      </c>
      <c r="AB389" s="188" t="inlineStr">
        <is>
          <t>NONE</t>
        </is>
      </c>
      <c r="AC389" s="188" t="n">
        <v>0</v>
      </c>
      <c r="AD389" s="188" t="inlineStr"/>
    </row>
    <row r="390">
      <c r="A390" s="187" t="inlineStr">
        <is>
          <t>CVE</t>
        </is>
      </c>
      <c r="B390" s="187" t="inlineStr">
        <is>
          <t>CVE-2026-26203</t>
        </is>
      </c>
      <c r="C390" s="187" t="inlineStr">
        <is>
          <t>PJSIP is a free and open source multimedia communication library. Versions prior to 2.17 have a critical heap buffer underflow vulnerability in PJSIP's H.264 packetizer. The bug occurs when processing malformed H.264 bitstreams without NAL unit start codes, where the packetizer performs unchecked pointer arithmetic that can read from memory located before the allocated buffer. Version 2.17 contains a patch for the issue.</t>
        </is>
      </c>
      <c r="D390" s="187" t="n">
        <v>6.5</v>
      </c>
      <c r="E390" s="187" t="inlineStr">
        <is>
          <t>MEDIUM</t>
        </is>
      </c>
      <c r="F390" s="187" t="n">
        <v>2</v>
      </c>
      <c r="G390" s="187" t="n">
        <v>2</v>
      </c>
      <c r="H390" s="187" t="inlineStr">
        <is>
          <t>MEDIUM</t>
        </is>
      </c>
      <c r="I390" s="187" t="n">
        <v>10.5</v>
      </c>
      <c r="J390" s="187" t="inlineStr">
        <is>
          <t>NO</t>
        </is>
      </c>
      <c r="K390" s="187" t="inlineStr">
        <is>
          <t>https://nvd.nist.gov/vuln/detail/CVE-2026-26203</t>
        </is>
      </c>
      <c r="L390" s="187" t="inlineStr">
        <is>
          <t>2026-02-26 00:15</t>
        </is>
      </c>
      <c r="M390" s="187" t="inlineStr">
        <is>
          <t>YES</t>
        </is>
      </c>
      <c r="N390" s="187" t="inlineStr">
        <is>
          <t>https://github.com/pjsip/pjproject/commit/5aee54f09d4f91538d55279d7316591b28fded6c | https://github.com/pjsip/pjproject/security/advisories/GHSA-p965-mf7j-gwv8</t>
        </is>
      </c>
      <c r="O390" s="187" t="inlineStr">
        <is>
          <t>Apply vendor patches</t>
        </is>
      </c>
      <c r="P390" s="187" t="inlineStr">
        <is>
          <t>pjsip pjsip *</t>
        </is>
      </c>
      <c r="Q390" s="187" t="inlineStr">
        <is>
          <t>P4</t>
        </is>
      </c>
      <c r="R390" s="187" t="inlineStr">
        <is>
          <t>📅 Schedule patch deployment within 30 days | 🔍 Monitor for exploitation attempts</t>
        </is>
      </c>
      <c r="S390" s="187" t="inlineStr">
        <is>
          <t>CVE - IP enrichment n/a</t>
        </is>
      </c>
      <c r="T390" s="187" t="n">
        <v>0.0001</v>
      </c>
      <c r="U390" s="187" t="n">
        <v>0.0259</v>
      </c>
      <c r="V390" s="187" t="inlineStr">
        <is>
          <t>T1203:Exploitation for Client Execution | T1190:Exploit Public-Facing Application</t>
        </is>
      </c>
      <c r="W390" s="187" t="n">
        <v>1</v>
      </c>
      <c r="X390" s="187" t="inlineStr">
        <is>
          <t>LOW (40%)</t>
        </is>
      </c>
      <c r="Y390" s="187" t="inlineStr">
        <is>
          <t>UNLIKELY</t>
        </is>
      </c>
      <c r="Z390" s="187" t="inlineStr">
        <is>
          <t>PATCH_AVAILABLE</t>
        </is>
      </c>
      <c r="AA390" s="187" t="inlineStr">
        <is>
          <t>https://nvd.nist.gov/vuln/detail/CVE-2026-26203</t>
        </is>
      </c>
      <c r="AB390" s="187" t="inlineStr">
        <is>
          <t>NONE</t>
        </is>
      </c>
      <c r="AC390" s="187" t="n">
        <v>0</v>
      </c>
      <c r="AD390" s="187" t="inlineStr"/>
    </row>
    <row r="391">
      <c r="A391" s="188" t="inlineStr">
        <is>
          <t>CVE</t>
        </is>
      </c>
      <c r="B391" s="188" t="inlineStr">
        <is>
          <t>CVE-2026-26205</t>
        </is>
      </c>
      <c r="C391" s="188" t="inlineStr">
        <is>
          <t xml:space="preserve">opa-envoy-plugun is a plugin to enforce OPA policies with Envoy. Versions prior to 1.13.2-envoy-2 have a vulnerability in how the `input.parsed_path` field is constructed. HTTP request paths are treated as full URIs when parsed; interpreting leading path segments prefixed with double slashes (`//`) as authority components, and therefore dropping them from the parsed path. This creates a path interpretation mismatch between authorization policies and backend servers, enabling attackers to bypass </t>
        </is>
      </c>
      <c r="D391" s="188" t="n">
        <v>8.5</v>
      </c>
      <c r="E391" s="188" t="inlineStr">
        <is>
          <t>HIGH</t>
        </is>
      </c>
      <c r="F391" s="188" t="n">
        <v>2</v>
      </c>
      <c r="G391" s="188" t="n">
        <v>3</v>
      </c>
      <c r="H391" s="188" t="inlineStr">
        <is>
          <t>HIGH</t>
        </is>
      </c>
      <c r="I391" s="188" t="n">
        <v>14.5</v>
      </c>
      <c r="J391" s="188" t="inlineStr">
        <is>
          <t>NO</t>
        </is>
      </c>
      <c r="K391" s="188" t="inlineStr">
        <is>
          <t>https://nvd.nist.gov/vuln/detail/CVE-2026-26205</t>
        </is>
      </c>
      <c r="L391" s="188" t="inlineStr">
        <is>
          <t>2026-02-26 00:15</t>
        </is>
      </c>
      <c r="M391" s="188" t="inlineStr">
        <is>
          <t>CHECK_VENDOR</t>
        </is>
      </c>
      <c r="N391" s="188" t="inlineStr">
        <is>
          <t>See NVD references</t>
        </is>
      </c>
      <c r="O391" s="188" t="inlineStr">
        <is>
          <t>Apply vendor patches</t>
        </is>
      </c>
      <c r="P391" s="188" t="inlineStr">
        <is>
          <t>See CVE details</t>
        </is>
      </c>
      <c r="Q391" s="188" t="inlineStr">
        <is>
          <t>P3</t>
        </is>
      </c>
      <c r="R391" s="188" t="inlineStr">
        <is>
          <t>🚨 URGENT: Apply vendor patches immediately | 🔒 Isolate affected systems if patch unavailable | 🛡️ Enable additional monitoring/IDS rules</t>
        </is>
      </c>
      <c r="S391" s="188" t="inlineStr">
        <is>
          <t>CVE - IP enrichment n/a</t>
        </is>
      </c>
      <c r="T391" s="188" t="n">
        <v>0</v>
      </c>
      <c r="U391" s="188" t="n">
        <v>0</v>
      </c>
      <c r="V391" s="188" t="inlineStr">
        <is>
          <t>T1190:Exploit Public-Facing Application</t>
        </is>
      </c>
      <c r="W391" s="188" t="n">
        <v>1</v>
      </c>
      <c r="X391" s="188" t="inlineStr">
        <is>
          <t>LOW (40%)</t>
        </is>
      </c>
      <c r="Y391" s="188" t="inlineStr">
        <is>
          <t>UNLIKELY</t>
        </is>
      </c>
      <c r="Z391" s="188" t="inlineStr">
        <is>
          <t>CHECK_VENDOR</t>
        </is>
      </c>
      <c r="AA391" s="188" t="inlineStr">
        <is>
          <t>https://nvd.nist.gov/vuln/detail/CVE-2026-26205</t>
        </is>
      </c>
      <c r="AB391" s="188" t="inlineStr">
        <is>
          <t>NONE</t>
        </is>
      </c>
      <c r="AC391" s="188" t="n">
        <v>0</v>
      </c>
      <c r="AD391" s="188" t="inlineStr"/>
    </row>
    <row r="392">
      <c r="A392" s="188" t="inlineStr">
        <is>
          <t>CVE</t>
        </is>
      </c>
      <c r="B392" s="188" t="inlineStr">
        <is>
          <t>CVE-2026-26267</t>
        </is>
      </c>
      <c r="C392" s="188" t="inlineStr">
        <is>
          <t>soroban-sdk is a Rust SDK for Soroban contracts. Prior to versions 22.0.10, 23.5.2, and 25.1.1, the `#[contractimpl]` macro contains a bug in how it wires up function calls. `#[contractimpl]` generates code that uses `MyContract::value()` style calls even when it's processing the trait version. This means if an inherent function is also defined with the same name, the inherent function gets called instead of the trait function. This means the Wasm-exported entry point silently calls the wrong fu</t>
        </is>
      </c>
      <c r="D392" s="188" t="n">
        <v>7.5</v>
      </c>
      <c r="E392" s="188" t="inlineStr">
        <is>
          <t>HIGH</t>
        </is>
      </c>
      <c r="F392" s="188" t="n">
        <v>2</v>
      </c>
      <c r="G392" s="188" t="n">
        <v>3</v>
      </c>
      <c r="H392" s="188" t="inlineStr">
        <is>
          <t>HIGH</t>
        </is>
      </c>
      <c r="I392" s="188" t="n">
        <v>13.5</v>
      </c>
      <c r="J392" s="188" t="inlineStr">
        <is>
          <t>NO</t>
        </is>
      </c>
      <c r="K392" s="188" t="inlineStr">
        <is>
          <t>https://nvd.nist.gov/vuln/detail/CVE-2026-26267</t>
        </is>
      </c>
      <c r="L392" s="188" t="inlineStr">
        <is>
          <t>2026-02-26 00:15</t>
        </is>
      </c>
      <c r="M392" s="188" t="inlineStr">
        <is>
          <t>YES</t>
        </is>
      </c>
      <c r="N392" s="188" t="inlineStr">
        <is>
          <t>https://github.com/stellar/rs-soroban-sdk/commit/e92a3933e5f92dc09da3c740cf6a360d55709a2b | https://github.com/stellar/rs-soroban-sdk/pull/1729 | https://github.com/stellar/rs-soroban-sdk/pull/1730</t>
        </is>
      </c>
      <c r="O392" s="188" t="inlineStr">
        <is>
          <t>Apply vendor patches</t>
        </is>
      </c>
      <c r="P392" s="188" t="inlineStr">
        <is>
          <t>stellar rs-soroban-sdk *</t>
        </is>
      </c>
      <c r="Q392" s="188" t="inlineStr">
        <is>
          <t>P3</t>
        </is>
      </c>
      <c r="R392" s="188" t="inlineStr">
        <is>
          <t>🚨 URGENT: Apply vendor patches immediately | 🔒 Isolate affected systems if patch unavailable | 🛡️ Enable additional monitoring/IDS rules</t>
        </is>
      </c>
      <c r="S392" s="188" t="inlineStr">
        <is>
          <t>CVE - IP enrichment n/a</t>
        </is>
      </c>
      <c r="T392" s="188" t="n">
        <v>0</v>
      </c>
      <c r="U392" s="188" t="n">
        <v>0</v>
      </c>
      <c r="V392" s="188" t="inlineStr">
        <is>
          <t>T1190:Exploit Public-Facing Application</t>
        </is>
      </c>
      <c r="W392" s="188" t="n">
        <v>1</v>
      </c>
      <c r="X392" s="188" t="inlineStr">
        <is>
          <t>LOW (40%)</t>
        </is>
      </c>
      <c r="Y392" s="188" t="inlineStr">
        <is>
          <t>UNLIKELY</t>
        </is>
      </c>
      <c r="Z392" s="188" t="inlineStr">
        <is>
          <t>PATCH_AVAILABLE</t>
        </is>
      </c>
      <c r="AA392" s="188" t="inlineStr">
        <is>
          <t>https://nvd.nist.gov/vuln/detail/CVE-2026-26267</t>
        </is>
      </c>
      <c r="AB392" s="188" t="inlineStr">
        <is>
          <t>NONE</t>
        </is>
      </c>
      <c r="AC392" s="188" t="n">
        <v>0</v>
      </c>
      <c r="AD392" s="188" t="inlineStr"/>
    </row>
    <row r="393">
      <c r="A393" s="188" t="inlineStr">
        <is>
          <t>CVE</t>
        </is>
      </c>
      <c r="B393" s="188" t="inlineStr">
        <is>
          <t>CVE-2026-26278</t>
        </is>
      </c>
      <c r="C393" s="188" t="inlineStr">
        <is>
          <t>fast-xml-parser allows users to validate XML, parse XML to JS object, or build XML from JS object without C/C++ based libraries and no callback. In versions 4.1.3 through 5.3.5, the XML parser can be forced to do an unlimited amount of entity expansion. With a very small XML input, it’s possible to make the parser spend seconds or even minutes processing a single request, effectively freezing the application. Version 5.3.6 fixes the issue. As a workaround, avoid using DOCTYPE parsing by `process</t>
        </is>
      </c>
      <c r="D393" s="188" t="n">
        <v>7.5</v>
      </c>
      <c r="E393" s="188" t="inlineStr">
        <is>
          <t>HIGH</t>
        </is>
      </c>
      <c r="F393" s="188" t="n">
        <v>2</v>
      </c>
      <c r="G393" s="188" t="n">
        <v>3</v>
      </c>
      <c r="H393" s="188" t="inlineStr">
        <is>
          <t>HIGH</t>
        </is>
      </c>
      <c r="I393" s="188" t="n">
        <v>13.5</v>
      </c>
      <c r="J393" s="188" t="inlineStr">
        <is>
          <t>NO</t>
        </is>
      </c>
      <c r="K393" s="188" t="inlineStr">
        <is>
          <t>https://nvd.nist.gov/vuln/detail/CVE-2026-26278</t>
        </is>
      </c>
      <c r="L393" s="188" t="inlineStr">
        <is>
          <t>2026-02-26 00:15</t>
        </is>
      </c>
      <c r="M393" s="188" t="inlineStr">
        <is>
          <t>YES</t>
        </is>
      </c>
      <c r="N393" s="188" t="inlineStr">
        <is>
          <t>https://github.com/NaturalIntelligence/fast-xml-parser/commit/910dae5be2de2955e968558fadf6e8f74f117a77 | https://github.com/NaturalIntelligence/fast-xml-parser/security/advisories/GHSA-jmr7-xgp7-cmfj</t>
        </is>
      </c>
      <c r="O393" s="188" t="inlineStr">
        <is>
          <t>Apply vendor patches</t>
        </is>
      </c>
      <c r="P393" s="188" t="inlineStr">
        <is>
          <t>naturalintelligence fast-xml-parser *</t>
        </is>
      </c>
      <c r="Q393" s="188" t="inlineStr">
        <is>
          <t>P3</t>
        </is>
      </c>
      <c r="R393" s="188" t="inlineStr">
        <is>
          <t>🚨 URGENT: Apply vendor patches immediately | 🔒 Isolate affected systems if patch unavailable | 🛡️ Enable additional monitoring/IDS rules</t>
        </is>
      </c>
      <c r="S393" s="188" t="inlineStr">
        <is>
          <t>CVE - IP enrichment n/a</t>
        </is>
      </c>
      <c r="T393" s="188" t="n">
        <v>0.0005999999999999999</v>
      </c>
      <c r="U393" s="188" t="n">
        <v>0.1981</v>
      </c>
      <c r="V393" s="188" t="inlineStr">
        <is>
          <t>T1190:Exploit Public-Facing Application</t>
        </is>
      </c>
      <c r="W393" s="188" t="n">
        <v>1</v>
      </c>
      <c r="X393" s="188" t="inlineStr">
        <is>
          <t>LOW (40%)</t>
        </is>
      </c>
      <c r="Y393" s="188" t="inlineStr">
        <is>
          <t>UNLIKELY</t>
        </is>
      </c>
      <c r="Z393" s="188" t="inlineStr">
        <is>
          <t>PATCH_AVAILABLE</t>
        </is>
      </c>
      <c r="AA393" s="188" t="inlineStr">
        <is>
          <t>https://nvd.nist.gov/vuln/detail/CVE-2026-26278</t>
        </is>
      </c>
      <c r="AB393" s="188" t="inlineStr">
        <is>
          <t>NONE</t>
        </is>
      </c>
      <c r="AC393" s="188" t="n">
        <v>0</v>
      </c>
      <c r="AD393" s="188" t="inlineStr"/>
    </row>
    <row r="394">
      <c r="A394" s="188" t="inlineStr">
        <is>
          <t>CVE</t>
        </is>
      </c>
      <c r="B394" s="188" t="inlineStr">
        <is>
          <t>CVE-2026-26280</t>
        </is>
      </c>
      <c r="C394" s="188" t="inlineStr">
        <is>
          <t>systeminformation is a System and OS information library for node.js. In versions prior to 5.30.8, a command injection vulnerability in the `wifiNetworks()` function allows an attacker to execute arbitrary OS commands via an unsanitized network interface parameter in the retry code path. In `lib/wifi.js`, the `wifiNetworks()` function sanitizes the `iface` parameter on the initial call (line 437). However, when the initial scan returns empty results, a `setTimeout` retry (lines 440-441) calls `g</t>
        </is>
      </c>
      <c r="D394" s="188" t="n">
        <v>8.4</v>
      </c>
      <c r="E394" s="188" t="inlineStr">
        <is>
          <t>HIGH</t>
        </is>
      </c>
      <c r="F394" s="188" t="n">
        <v>2</v>
      </c>
      <c r="G394" s="188" t="n">
        <v>3</v>
      </c>
      <c r="H394" s="188" t="inlineStr">
        <is>
          <t>HIGH</t>
        </is>
      </c>
      <c r="I394" s="188" t="n">
        <v>14.4</v>
      </c>
      <c r="J394" s="188" t="inlineStr">
        <is>
          <t>NO</t>
        </is>
      </c>
      <c r="K394" s="188" t="inlineStr">
        <is>
          <t>https://nvd.nist.gov/vuln/detail/CVE-2026-26280</t>
        </is>
      </c>
      <c r="L394" s="188" t="inlineStr">
        <is>
          <t>2026-02-26 00:15</t>
        </is>
      </c>
      <c r="M394" s="188" t="inlineStr">
        <is>
          <t>YES</t>
        </is>
      </c>
      <c r="N394" s="188" t="inlineStr">
        <is>
          <t>https://github.com/sebhildebrandt/systeminformation/commit/22242aa56188f2bffcbd7d265a11e1ebb808b460 | https://github.com/sebhildebrandt/systeminformation/security/advisories/GHSA-9c88-49p5-5ggf</t>
        </is>
      </c>
      <c r="O394" s="188" t="inlineStr">
        <is>
          <t>Apply vendor patches</t>
        </is>
      </c>
      <c r="P394" s="188" t="inlineStr">
        <is>
          <t>systeminformation systeminformation *</t>
        </is>
      </c>
      <c r="Q394" s="188" t="inlineStr">
        <is>
          <t>P3</t>
        </is>
      </c>
      <c r="R394" s="188" t="inlineStr">
        <is>
          <t>🚨 URGENT: Apply vendor patches immediately | 🔒 Isolate affected systems if patch unavailable | 🛡️ Enable additional monitoring/IDS rules</t>
        </is>
      </c>
      <c r="S394" s="188" t="inlineStr">
        <is>
          <t>CVE - IP enrichment n/a</t>
        </is>
      </c>
      <c r="T394" s="188" t="n">
        <v>0</v>
      </c>
      <c r="U394" s="188" t="n">
        <v>0</v>
      </c>
      <c r="V394" s="188" t="inlineStr">
        <is>
          <t>T1059:Command and Scripting Interpreter</t>
        </is>
      </c>
      <c r="W394" s="188" t="n">
        <v>1</v>
      </c>
      <c r="X394" s="188" t="inlineStr">
        <is>
          <t>LOW (40%)</t>
        </is>
      </c>
      <c r="Y394" s="188" t="inlineStr">
        <is>
          <t>UNLIKELY</t>
        </is>
      </c>
      <c r="Z394" s="188" t="inlineStr">
        <is>
          <t>PATCH_AVAILABLE</t>
        </is>
      </c>
      <c r="AA394" s="188" t="inlineStr">
        <is>
          <t>https://nvd.nist.gov/vuln/detail/CVE-2026-26280</t>
        </is>
      </c>
      <c r="AB394" s="188" t="inlineStr">
        <is>
          <t>NONE</t>
        </is>
      </c>
      <c r="AC394" s="188" t="n">
        <v>0</v>
      </c>
      <c r="AD394" s="188" t="inlineStr"/>
    </row>
    <row r="395">
      <c r="A395" s="188" t="inlineStr">
        <is>
          <t>CVE</t>
        </is>
      </c>
      <c r="B395" s="188" t="inlineStr">
        <is>
          <t>CVE-2026-26318</t>
        </is>
      </c>
      <c r="C395" s="188" t="inlineStr">
        <is>
          <t>systeminformation is a System and OS information library for node.js. Versions prior to 5.31.0 are vulnerable to command injection via unsanitized `locate` output in `versions()`. Version 5.31.0 fixes the issue.</t>
        </is>
      </c>
      <c r="D395" s="188" t="n">
        <v>8.800000000000001</v>
      </c>
      <c r="E395" s="188" t="inlineStr">
        <is>
          <t>HIGH</t>
        </is>
      </c>
      <c r="F395" s="188" t="n">
        <v>2</v>
      </c>
      <c r="G395" s="188" t="n">
        <v>3</v>
      </c>
      <c r="H395" s="188" t="inlineStr">
        <is>
          <t>HIGH</t>
        </is>
      </c>
      <c r="I395" s="188" t="n">
        <v>14.8</v>
      </c>
      <c r="J395" s="188" t="inlineStr">
        <is>
          <t>NO</t>
        </is>
      </c>
      <c r="K395" s="188" t="inlineStr">
        <is>
          <t>https://nvd.nist.gov/vuln/detail/CVE-2026-26318</t>
        </is>
      </c>
      <c r="L395" s="188" t="inlineStr">
        <is>
          <t>2026-02-26 00:15</t>
        </is>
      </c>
      <c r="M395" s="188" t="inlineStr">
        <is>
          <t>YES</t>
        </is>
      </c>
      <c r="N395" s="188" t="inlineStr">
        <is>
          <t>https://github.com/sebhildebrandt/systeminformation/commit/b67d3715eec881038ccbaace2f2711419ac3e107 | https://github.com/sebhildebrandt/systeminformation/security/advisories/GHSA-5vv4-hvf7-2h46</t>
        </is>
      </c>
      <c r="O395" s="188" t="inlineStr">
        <is>
          <t>https://github.com/sebhildebrandt/systeminformation/security/advisories/GHSA-5vv4-hvf7-2h46</t>
        </is>
      </c>
      <c r="P395" s="188" t="inlineStr">
        <is>
          <t>systeminformation systeminformation *</t>
        </is>
      </c>
      <c r="Q395" s="188" t="inlineStr">
        <is>
          <t>P3</t>
        </is>
      </c>
      <c r="R395" s="188" t="inlineStr">
        <is>
          <t>🚨 URGENT: Apply vendor patches immediately | 🔒 Isolate affected systems if patch unavailable | 🛡️ Enable additional monitoring/IDS rules</t>
        </is>
      </c>
      <c r="S395" s="188" t="inlineStr">
        <is>
          <t>CVE - IP enrichment n/a</t>
        </is>
      </c>
      <c r="T395" s="188" t="n">
        <v>0</v>
      </c>
      <c r="U395" s="188" t="n">
        <v>0</v>
      </c>
      <c r="V395" s="188" t="inlineStr">
        <is>
          <t>T1059:Command and Scripting Interpreter</t>
        </is>
      </c>
      <c r="W395" s="188" t="n">
        <v>1</v>
      </c>
      <c r="X395" s="188" t="inlineStr">
        <is>
          <t>LOW (40%)</t>
        </is>
      </c>
      <c r="Y395" s="188" t="inlineStr">
        <is>
          <t>UNLIKELY</t>
        </is>
      </c>
      <c r="Z395" s="188" t="inlineStr">
        <is>
          <t>PATCH_AVAILABLE</t>
        </is>
      </c>
      <c r="AA395" s="188" t="inlineStr">
        <is>
          <t>https://nvd.nist.gov/vuln/detail/CVE-2026-26318</t>
        </is>
      </c>
      <c r="AB395" s="188" t="inlineStr">
        <is>
          <t>NONE</t>
        </is>
      </c>
      <c r="AC395" s="188" t="n">
        <v>0</v>
      </c>
      <c r="AD395" s="188" t="inlineStr"/>
    </row>
    <row r="396">
      <c r="A396" s="188" t="inlineStr">
        <is>
          <t>CVE</t>
        </is>
      </c>
      <c r="B396" s="188" t="inlineStr">
        <is>
          <t>CVE-2026-27013</t>
        </is>
      </c>
      <c r="C396" s="188" t="inlineStr">
        <is>
          <t>Fabric.js is a Javascript HTML5 canvas library. Prior to version 7.2.0, Fabric.js applies `escapeXml()` to text content during SVG export (`src/shapes/Text/TextSVGExportMixin.ts:186`) but fails to apply it to other user-controlled string values that are interpolated into SVG attribute markup. When attacker-controlled JSON is loaded via `loadFromJSON()` and later exported via `toSVG()`, the unescaped values break out of XML attributes and inject arbitrary SVG elements including event handlers. An</t>
        </is>
      </c>
      <c r="D396" s="188" t="n">
        <v>7.6</v>
      </c>
      <c r="E396" s="188" t="inlineStr">
        <is>
          <t>HIGH</t>
        </is>
      </c>
      <c r="F396" s="188" t="n">
        <v>2</v>
      </c>
      <c r="G396" s="188" t="n">
        <v>3</v>
      </c>
      <c r="H396" s="188" t="inlineStr">
        <is>
          <t>HIGH</t>
        </is>
      </c>
      <c r="I396" s="188" t="n">
        <v>13.6</v>
      </c>
      <c r="J396" s="188" t="inlineStr">
        <is>
          <t>NO</t>
        </is>
      </c>
      <c r="K396" s="188" t="inlineStr">
        <is>
          <t>https://nvd.nist.gov/vuln/detail/CVE-2026-27013</t>
        </is>
      </c>
      <c r="L396" s="188" t="inlineStr">
        <is>
          <t>2026-02-26 00:15</t>
        </is>
      </c>
      <c r="M396" s="188" t="inlineStr">
        <is>
          <t>YES</t>
        </is>
      </c>
      <c r="N396" s="188" t="inlineStr">
        <is>
          <t>https://github.com/fabricjs/fabric.js/commit/7e1a122defd8feefe4eb7eaf0c180d7b0aeb6fee | https://github.com/fabricjs/fabric.js/security/advisories/GHSA-hfvx-25r5-qc3w</t>
        </is>
      </c>
      <c r="O396" s="188" t="inlineStr">
        <is>
          <t>Apply vendor patches</t>
        </is>
      </c>
      <c r="P396" s="188" t="inlineStr">
        <is>
          <t>fabricjs fabric.js *</t>
        </is>
      </c>
      <c r="Q396" s="188" t="inlineStr">
        <is>
          <t>P3</t>
        </is>
      </c>
      <c r="R396" s="188" t="inlineStr">
        <is>
          <t>🚨 URGENT: Apply vendor patches immediately | 🔒 Isolate affected systems if patch unavailable | 🛡️ Enable additional monitoring/IDS rules</t>
        </is>
      </c>
      <c r="S396" s="188" t="inlineStr">
        <is>
          <t>CVE - IP enrichment n/a</t>
        </is>
      </c>
      <c r="T396" s="188" t="n">
        <v>0</v>
      </c>
      <c r="U396" s="188" t="n">
        <v>0</v>
      </c>
      <c r="V396" s="188" t="inlineStr">
        <is>
          <t>T1189:Drive-by Compromise</t>
        </is>
      </c>
      <c r="W396" s="188" t="n">
        <v>1</v>
      </c>
      <c r="X396" s="188" t="inlineStr">
        <is>
          <t>LOW (40%)</t>
        </is>
      </c>
      <c r="Y396" s="188" t="inlineStr">
        <is>
          <t>UNLIKELY</t>
        </is>
      </c>
      <c r="Z396" s="188" t="inlineStr">
        <is>
          <t>PATCH_AVAILABLE</t>
        </is>
      </c>
      <c r="AA396" s="188" t="inlineStr">
        <is>
          <t>https://nvd.nist.gov/vuln/detail/CVE-2026-27013</t>
        </is>
      </c>
      <c r="AB396" s="188" t="inlineStr">
        <is>
          <t>NONE</t>
        </is>
      </c>
      <c r="AC396" s="188" t="n">
        <v>0</v>
      </c>
      <c r="AD396" s="188" t="inlineStr"/>
    </row>
    <row r="397">
      <c r="A397" s="189" t="inlineStr">
        <is>
          <t>CVE</t>
        </is>
      </c>
      <c r="B397" s="189" t="inlineStr">
        <is>
          <t>CVE-2025-67305</t>
        </is>
      </c>
      <c r="C397" s="189" t="inlineStr">
        <is>
          <t>In RUCKUS Network Director (RND) &lt; 4.5.0.56, the OVA appliance contains hardcoded SSH keys for the postgres user. These keys are identical across all deployments, allowing an attacker with network access to authenticate via SSH without a password. Once authenticated, the attacker can access the PostgreSQL database with superuser privileges, create administrative users for the web interface, and potentially escalate privileges further.</t>
        </is>
      </c>
      <c r="D397" s="189" t="n">
        <v>9.800000000000001</v>
      </c>
      <c r="E397" s="189" t="inlineStr">
        <is>
          <t>CRITICAL</t>
        </is>
      </c>
      <c r="F397" s="189" t="n">
        <v>2</v>
      </c>
      <c r="G397" s="189" t="n">
        <v>3</v>
      </c>
      <c r="H397" s="189" t="inlineStr">
        <is>
          <t>HIGH</t>
        </is>
      </c>
      <c r="I397" s="189" t="n">
        <v>15.8</v>
      </c>
      <c r="J397" s="189" t="inlineStr">
        <is>
          <t>NO</t>
        </is>
      </c>
      <c r="K397" s="189" t="inlineStr">
        <is>
          <t>https://nvd.nist.gov/vuln/detail/CVE-2025-67305</t>
        </is>
      </c>
      <c r="L397" s="189" t="inlineStr">
        <is>
          <t>2026-02-26 00:15</t>
        </is>
      </c>
      <c r="M397" s="189" t="inlineStr">
        <is>
          <t>CHECK_VENDOR</t>
        </is>
      </c>
      <c r="N397" s="189" t="inlineStr">
        <is>
          <t>See NVD references</t>
        </is>
      </c>
      <c r="O397" s="189" t="inlineStr">
        <is>
          <t>Apply vendor patches</t>
        </is>
      </c>
      <c r="P397" s="189" t="inlineStr">
        <is>
          <t>See CVE details</t>
        </is>
      </c>
      <c r="Q397" s="189" t="inlineStr">
        <is>
          <t>P3</t>
        </is>
      </c>
      <c r="R397" s="189" t="inlineStr">
        <is>
          <t>🚨 URGENT: Apply vendor patches immediately | 🔒 Isolate affected systems if patch unavailable | 🛡️ Enable additional monitoring/IDS rules</t>
        </is>
      </c>
      <c r="S397" s="189" t="inlineStr">
        <is>
          <t>CVE - IP enrichment n/a</t>
        </is>
      </c>
      <c r="T397" s="189" t="n">
        <v>0</v>
      </c>
      <c r="U397" s="189" t="n">
        <v>0</v>
      </c>
      <c r="V397" s="189" t="inlineStr">
        <is>
          <t>T1552:Unsecured Credentials</t>
        </is>
      </c>
      <c r="W397" s="189" t="n">
        <v>1</v>
      </c>
      <c r="X397" s="189" t="inlineStr">
        <is>
          <t>LOW (40%)</t>
        </is>
      </c>
      <c r="Y397" s="189" t="inlineStr">
        <is>
          <t>UNLIKELY</t>
        </is>
      </c>
      <c r="Z397" s="189" t="inlineStr">
        <is>
          <t>CHECK_VENDOR</t>
        </is>
      </c>
      <c r="AA397" s="189" t="inlineStr">
        <is>
          <t>https://nvd.nist.gov/vuln/detail/CVE-2025-67305</t>
        </is>
      </c>
      <c r="AB397" s="189" t="inlineStr">
        <is>
          <t>NONE</t>
        </is>
      </c>
      <c r="AC397" s="189" t="n">
        <v>0</v>
      </c>
      <c r="AD397" s="189" t="inlineStr"/>
    </row>
    <row r="398">
      <c r="A398" s="187" t="inlineStr">
        <is>
          <t>CVE</t>
        </is>
      </c>
      <c r="B398" s="187" t="inlineStr">
        <is>
          <t>CVE-2026-26282</t>
        </is>
      </c>
      <c r="C398" s="187" t="inlineStr">
        <is>
          <t>NanaZip is an open source file archive Starting in version 5.0.1252.0 and prior to version 6.0.1630.0, NanaZip has an out-of-bounds heap read in `.NET Single File` bundle header parser due to missing bounds check. Opening a crafted file with NanaZip causes a crash or leaks heap data to the user. Version 6.0.1630.0 patches the issue.</t>
        </is>
      </c>
      <c r="D398" s="187" t="n">
        <v>6.6</v>
      </c>
      <c r="E398" s="187" t="inlineStr">
        <is>
          <t>MEDIUM</t>
        </is>
      </c>
      <c r="F398" s="187" t="n">
        <v>2</v>
      </c>
      <c r="G398" s="187" t="n">
        <v>2</v>
      </c>
      <c r="H398" s="187" t="inlineStr">
        <is>
          <t>MEDIUM</t>
        </is>
      </c>
      <c r="I398" s="187" t="n">
        <v>10.6</v>
      </c>
      <c r="J398" s="187" t="inlineStr">
        <is>
          <t>NO</t>
        </is>
      </c>
      <c r="K398" s="187" t="inlineStr">
        <is>
          <t>https://nvd.nist.gov/vuln/detail/CVE-2026-26282</t>
        </is>
      </c>
      <c r="L398" s="187" t="inlineStr">
        <is>
          <t>2026-02-26 00:15</t>
        </is>
      </c>
      <c r="M398" s="187" t="inlineStr">
        <is>
          <t>CHECK_VENDOR</t>
        </is>
      </c>
      <c r="N398" s="187" t="inlineStr">
        <is>
          <t>See NVD references</t>
        </is>
      </c>
      <c r="O398" s="187" t="inlineStr">
        <is>
          <t>Apply vendor patches</t>
        </is>
      </c>
      <c r="P398" s="187" t="inlineStr">
        <is>
          <t>m2team nanazip *</t>
        </is>
      </c>
      <c r="Q398" s="187" t="inlineStr">
        <is>
          <t>P4</t>
        </is>
      </c>
      <c r="R398" s="187" t="inlineStr">
        <is>
          <t>📅 Schedule patch deployment within 30 days | 🔍 Monitor for exploitation attempts</t>
        </is>
      </c>
      <c r="S398" s="187" t="inlineStr">
        <is>
          <t>CVE - IP enrichment n/a</t>
        </is>
      </c>
      <c r="T398" s="187" t="n">
        <v>0</v>
      </c>
      <c r="U398" s="187" t="n">
        <v>0</v>
      </c>
      <c r="V398" s="187" t="inlineStr">
        <is>
          <t>T1203:Exploitation for Client Execution | T1190:Exploit Public-Facing Application</t>
        </is>
      </c>
      <c r="W398" s="187" t="n">
        <v>1</v>
      </c>
      <c r="X398" s="187" t="inlineStr">
        <is>
          <t>LOW (40%)</t>
        </is>
      </c>
      <c r="Y398" s="187" t="inlineStr">
        <is>
          <t>UNLIKELY</t>
        </is>
      </c>
      <c r="Z398" s="187" t="inlineStr">
        <is>
          <t>CHECK_VENDOR</t>
        </is>
      </c>
      <c r="AA398" s="187" t="inlineStr">
        <is>
          <t>https://nvd.nist.gov/vuln/detail/CVE-2026-26282</t>
        </is>
      </c>
      <c r="AB398" s="187" t="inlineStr">
        <is>
          <t>NONE</t>
        </is>
      </c>
      <c r="AC398" s="187" t="n">
        <v>0</v>
      </c>
      <c r="AD398" s="187" t="inlineStr"/>
    </row>
    <row r="399">
      <c r="A399" s="188" t="inlineStr">
        <is>
          <t>CVE</t>
        </is>
      </c>
      <c r="B399" s="188" t="inlineStr">
        <is>
          <t>CVE-2026-26286</t>
        </is>
      </c>
      <c r="C399" s="188" t="inlineStr">
        <is>
          <t>SillyTavern is a locally installed user interface that allows users to interact with text generation large language models, image generation engines, and text-to-speech voice models. In versions prior to 1.16.0, a Server-Side Request Forgery (SSRF) vulnerability in the asset download endpoint allows authenticated users to make arbitrary HTTP requests from the server and read the full response body, enabling access to internal services, cloud metadata, and private network resources. The vulnerabi</t>
        </is>
      </c>
      <c r="D399" s="188" t="n">
        <v>8.5</v>
      </c>
      <c r="E399" s="188" t="inlineStr">
        <is>
          <t>HIGH</t>
        </is>
      </c>
      <c r="F399" s="188" t="n">
        <v>2</v>
      </c>
      <c r="G399" s="188" t="n">
        <v>3</v>
      </c>
      <c r="H399" s="188" t="inlineStr">
        <is>
          <t>HIGH</t>
        </is>
      </c>
      <c r="I399" s="188" t="n">
        <v>14.5</v>
      </c>
      <c r="J399" s="188" t="inlineStr">
        <is>
          <t>NO</t>
        </is>
      </c>
      <c r="K399" s="188" t="inlineStr">
        <is>
          <t>https://nvd.nist.gov/vuln/detail/CVE-2026-26286</t>
        </is>
      </c>
      <c r="L399" s="188" t="inlineStr">
        <is>
          <t>2026-02-26 00:15</t>
        </is>
      </c>
      <c r="M399" s="188" t="inlineStr">
        <is>
          <t>YES</t>
        </is>
      </c>
      <c r="N399" s="188" t="inlineStr">
        <is>
          <t>https://github.com/SillyTavern/SillyTavern/security/advisories/GHSA-cccp-94vg-j92r</t>
        </is>
      </c>
      <c r="O399" s="188" t="inlineStr">
        <is>
          <t>Apply vendor patches</t>
        </is>
      </c>
      <c r="P399" s="188" t="inlineStr">
        <is>
          <t>sillytavern sillytavern *</t>
        </is>
      </c>
      <c r="Q399" s="188" t="inlineStr">
        <is>
          <t>P3</t>
        </is>
      </c>
      <c r="R399" s="188" t="inlineStr">
        <is>
          <t>🚨 URGENT: Apply vendor patches immediately | 🔒 Isolate affected systems if patch unavailable | 🛡️ Enable additional monitoring/IDS rules</t>
        </is>
      </c>
      <c r="S399" s="188" t="inlineStr">
        <is>
          <t>CVE - IP enrichment n/a</t>
        </is>
      </c>
      <c r="T399" s="188" t="n">
        <v>0</v>
      </c>
      <c r="U399" s="188" t="n">
        <v>0</v>
      </c>
      <c r="V399" s="188" t="inlineStr">
        <is>
          <t>T1090:Proxy | T1190:Exploit Public-Facing Application</t>
        </is>
      </c>
      <c r="W399" s="188" t="n">
        <v>1</v>
      </c>
      <c r="X399" s="188" t="inlineStr">
        <is>
          <t>LOW (40%)</t>
        </is>
      </c>
      <c r="Y399" s="188" t="inlineStr">
        <is>
          <t>UNLIKELY</t>
        </is>
      </c>
      <c r="Z399" s="188" t="inlineStr">
        <is>
          <t>PATCH_AVAILABLE</t>
        </is>
      </c>
      <c r="AA399" s="188" t="inlineStr">
        <is>
          <t>https://nvd.nist.gov/vuln/detail/CVE-2026-26286</t>
        </is>
      </c>
      <c r="AB399" s="188" t="inlineStr">
        <is>
          <t>NONE</t>
        </is>
      </c>
      <c r="AC399" s="188" t="n">
        <v>0</v>
      </c>
      <c r="AD399" s="188" t="inlineStr"/>
    </row>
    <row r="400">
      <c r="A400" s="187" t="inlineStr">
        <is>
          <t>CVE</t>
        </is>
      </c>
      <c r="B400" s="187" t="inlineStr">
        <is>
          <t>CVE-2026-26312</t>
        </is>
      </c>
      <c r="C400" s="187" t="inlineStr">
        <is>
          <t xml:space="preserve">Stalwart is a mail and collaboration server. A denial-of-service vulnerability exists in Stalwart Mail Server versions 0.13.0 through 0.15.4 where accessing a specially crafted email containing malformed nested `message/rfc822` MIME parts via IMAP or JMAP causes excessive CPU and memory consumption, potentially leading to an out-of-memory condition and server crash. The malformed structure causes the `mail-parser` crate to produce cyclical references in its parsed representation, which Stalwart </t>
        </is>
      </c>
      <c r="D400" s="187" t="n">
        <v>6.5</v>
      </c>
      <c r="E400" s="187" t="inlineStr">
        <is>
          <t>MEDIUM</t>
        </is>
      </c>
      <c r="F400" s="187" t="n">
        <v>2</v>
      </c>
      <c r="G400" s="187" t="n">
        <v>2</v>
      </c>
      <c r="H400" s="187" t="inlineStr">
        <is>
          <t>MEDIUM</t>
        </is>
      </c>
      <c r="I400" s="187" t="n">
        <v>10.5</v>
      </c>
      <c r="J400" s="187" t="inlineStr">
        <is>
          <t>NO</t>
        </is>
      </c>
      <c r="K400" s="187" t="inlineStr">
        <is>
          <t>https://nvd.nist.gov/vuln/detail/CVE-2026-26312</t>
        </is>
      </c>
      <c r="L400" s="187" t="inlineStr">
        <is>
          <t>2026-02-26 00:15</t>
        </is>
      </c>
      <c r="M400" s="187" t="inlineStr">
        <is>
          <t>YES</t>
        </is>
      </c>
      <c r="N400" s="187" t="inlineStr">
        <is>
          <t>https://github.com/stalwartlabs/stalwart/security/advisories/GHSA-jm95-876q-c9gw</t>
        </is>
      </c>
      <c r="O400" s="187" t="inlineStr">
        <is>
          <t>Apply vendor patches</t>
        </is>
      </c>
      <c r="P400" s="187" t="inlineStr">
        <is>
          <t>stalw stalwart *</t>
        </is>
      </c>
      <c r="Q400" s="187" t="inlineStr">
        <is>
          <t>P4</t>
        </is>
      </c>
      <c r="R400" s="187" t="inlineStr">
        <is>
          <t>📅 Schedule patch deployment within 30 days | 🔍 Monitor for exploitation attempts</t>
        </is>
      </c>
      <c r="S400" s="187" t="inlineStr">
        <is>
          <t>CVE - IP enrichment n/a</t>
        </is>
      </c>
      <c r="T400" s="187" t="n">
        <v>0</v>
      </c>
      <c r="U400" s="187" t="n">
        <v>0</v>
      </c>
      <c r="V400" s="187" t="inlineStr">
        <is>
          <t>T1190:Exploit Public-Facing Application</t>
        </is>
      </c>
      <c r="W400" s="187" t="n">
        <v>1</v>
      </c>
      <c r="X400" s="187" t="inlineStr">
        <is>
          <t>LOW (40%)</t>
        </is>
      </c>
      <c r="Y400" s="187" t="inlineStr">
        <is>
          <t>UNLIKELY</t>
        </is>
      </c>
      <c r="Z400" s="187" t="inlineStr">
        <is>
          <t>PATCH_AVAILABLE</t>
        </is>
      </c>
      <c r="AA400" s="187" t="inlineStr">
        <is>
          <t>https://nvd.nist.gov/vuln/detail/CVE-2026-26312</t>
        </is>
      </c>
      <c r="AB400" s="187" t="inlineStr">
        <is>
          <t>NONE</t>
        </is>
      </c>
      <c r="AC400" s="187" t="n">
        <v>0</v>
      </c>
      <c r="AD400" s="187" t="inlineStr"/>
    </row>
    <row r="401">
      <c r="A401" s="188" t="inlineStr">
        <is>
          <t>CVE</t>
        </is>
      </c>
      <c r="B401" s="188" t="inlineStr">
        <is>
          <t>CVE-2026-26313</t>
        </is>
      </c>
      <c r="C401" s="188" t="inlineStr">
        <is>
          <t>go-ethereum (geth) is a golang execution layer implementation of the Ethereum protocol. Prior to version 1.17.0, an attacker can cause high memory usage by sending a specially-crafted p2p message. The issue is resolved in the v1.17.0 release.</t>
        </is>
      </c>
      <c r="D401" s="188" t="n">
        <v>7.5</v>
      </c>
      <c r="E401" s="188" t="inlineStr">
        <is>
          <t>HIGH</t>
        </is>
      </c>
      <c r="F401" s="188" t="n">
        <v>2</v>
      </c>
      <c r="G401" s="188" t="n">
        <v>3</v>
      </c>
      <c r="H401" s="188" t="inlineStr">
        <is>
          <t>HIGH</t>
        </is>
      </c>
      <c r="I401" s="188" t="n">
        <v>13.5</v>
      </c>
      <c r="J401" s="188" t="inlineStr">
        <is>
          <t>NO</t>
        </is>
      </c>
      <c r="K401" s="188" t="inlineStr">
        <is>
          <t>https://nvd.nist.gov/vuln/detail/CVE-2026-26313</t>
        </is>
      </c>
      <c r="L401" s="188" t="inlineStr">
        <is>
          <t>2026-02-26 00:15</t>
        </is>
      </c>
      <c r="M401" s="188" t="inlineStr">
        <is>
          <t>YES</t>
        </is>
      </c>
      <c r="N401" s="188" t="inlineStr">
        <is>
          <t>https://github.com/ethereum/go-ethereum/security/advisories/GHSA-689v-6xwf-5jf3</t>
        </is>
      </c>
      <c r="O401" s="188" t="inlineStr">
        <is>
          <t>Apply vendor patches</t>
        </is>
      </c>
      <c r="P401" s="188" t="inlineStr">
        <is>
          <t>ethereum go_ethereum *</t>
        </is>
      </c>
      <c r="Q401" s="188" t="inlineStr">
        <is>
          <t>P3</t>
        </is>
      </c>
      <c r="R401" s="188" t="inlineStr">
        <is>
          <t>🚨 URGENT: Apply vendor patches immediately | 🔒 Isolate affected systems if patch unavailable | 🛡️ Enable additional monitoring/IDS rules</t>
        </is>
      </c>
      <c r="S401" s="188" t="inlineStr">
        <is>
          <t>CVE - IP enrichment n/a</t>
        </is>
      </c>
      <c r="T401" s="188" t="n">
        <v>0</v>
      </c>
      <c r="U401" s="188" t="n">
        <v>0</v>
      </c>
      <c r="V401" s="188" t="inlineStr">
        <is>
          <t>T1190:Exploit Public-Facing Application</t>
        </is>
      </c>
      <c r="W401" s="188" t="n">
        <v>1</v>
      </c>
      <c r="X401" s="188" t="inlineStr">
        <is>
          <t>LOW (40%)</t>
        </is>
      </c>
      <c r="Y401" s="188" t="inlineStr">
        <is>
          <t>UNLIKELY</t>
        </is>
      </c>
      <c r="Z401" s="188" t="inlineStr">
        <is>
          <t>PATCH_AVAILABLE</t>
        </is>
      </c>
      <c r="AA401" s="188" t="inlineStr">
        <is>
          <t>https://nvd.nist.gov/vuln/detail/CVE-2026-26313</t>
        </is>
      </c>
      <c r="AB401" s="188" t="inlineStr">
        <is>
          <t>NONE</t>
        </is>
      </c>
      <c r="AC401" s="188" t="n">
        <v>0</v>
      </c>
      <c r="AD401" s="188" t="inlineStr"/>
    </row>
    <row r="402">
      <c r="A402" s="187" t="inlineStr">
        <is>
          <t>CVE</t>
        </is>
      </c>
      <c r="B402" s="187" t="inlineStr">
        <is>
          <t>CVE-2026-27014</t>
        </is>
      </c>
      <c r="C402" s="187" t="inlineStr">
        <is>
          <t>NanaZip is an open source file archive Starting in version 5.0.1252.0 and prior to version 6.0.1630.0, circular `NextOffset` chains cause an infinite loop, and deeply nested directories cause unbounded recursion (stack overflow) in the ROMFS archive parser. Version 6.0.1630.0 patches the issue.</t>
        </is>
      </c>
      <c r="D402" s="187" t="n">
        <v>5.5</v>
      </c>
      <c r="E402" s="187" t="inlineStr">
        <is>
          <t>MEDIUM</t>
        </is>
      </c>
      <c r="F402" s="187" t="n">
        <v>2</v>
      </c>
      <c r="G402" s="187" t="n">
        <v>2</v>
      </c>
      <c r="H402" s="187" t="inlineStr">
        <is>
          <t>MEDIUM</t>
        </is>
      </c>
      <c r="I402" s="187" t="n">
        <v>9.5</v>
      </c>
      <c r="J402" s="187" t="inlineStr">
        <is>
          <t>NO</t>
        </is>
      </c>
      <c r="K402" s="187" t="inlineStr">
        <is>
          <t>https://nvd.nist.gov/vuln/detail/CVE-2026-27014</t>
        </is>
      </c>
      <c r="L402" s="187" t="inlineStr">
        <is>
          <t>2026-02-26 00:15</t>
        </is>
      </c>
      <c r="M402" s="187" t="inlineStr">
        <is>
          <t>CHECK_VENDOR</t>
        </is>
      </c>
      <c r="N402" s="187" t="inlineStr">
        <is>
          <t>See NVD references</t>
        </is>
      </c>
      <c r="O402" s="187" t="inlineStr">
        <is>
          <t>Apply vendor patches</t>
        </is>
      </c>
      <c r="P402" s="187" t="inlineStr">
        <is>
          <t>m2team nanazip *</t>
        </is>
      </c>
      <c r="Q402" s="187" t="inlineStr">
        <is>
          <t>P4</t>
        </is>
      </c>
      <c r="R402" s="187" t="inlineStr">
        <is>
          <t>📅 Schedule patch deployment within 30 days | 🔍 Monitor for exploitation attempts</t>
        </is>
      </c>
      <c r="S402" s="187" t="inlineStr">
        <is>
          <t>CVE - IP enrichment n/a</t>
        </is>
      </c>
      <c r="T402" s="187" t="n">
        <v>0</v>
      </c>
      <c r="U402" s="187" t="n">
        <v>0</v>
      </c>
      <c r="V402" s="187" t="inlineStr">
        <is>
          <t>T1190:Exploit Public-Facing Application</t>
        </is>
      </c>
      <c r="W402" s="187" t="n">
        <v>1</v>
      </c>
      <c r="X402" s="187" t="inlineStr">
        <is>
          <t>LOW (40%)</t>
        </is>
      </c>
      <c r="Y402" s="187" t="inlineStr">
        <is>
          <t>UNLIKELY</t>
        </is>
      </c>
      <c r="Z402" s="187" t="inlineStr">
        <is>
          <t>CHECK_VENDOR</t>
        </is>
      </c>
      <c r="AA402" s="187" t="inlineStr">
        <is>
          <t>https://nvd.nist.gov/vuln/detail/CVE-2026-27014</t>
        </is>
      </c>
      <c r="AB402" s="187" t="inlineStr">
        <is>
          <t>NONE</t>
        </is>
      </c>
      <c r="AC402" s="187" t="n">
        <v>0</v>
      </c>
      <c r="AD402" s="187" t="inlineStr"/>
    </row>
    <row r="403">
      <c r="A403" s="188" t="inlineStr">
        <is>
          <t>CVE</t>
        </is>
      </c>
      <c r="B403" s="188" t="inlineStr">
        <is>
          <t>CVE-2026-27114</t>
        </is>
      </c>
      <c r="C403" s="188" t="inlineStr">
        <is>
          <t>NanaZip is an open source file archive Starting in version 5.0.1252.0 and prior to version 6.0.1630.0, circular `NextOffset` chains cause an infinite loop in the ROMFS archive parser. Version 6.0.1630.0 patches the issue.</t>
        </is>
      </c>
      <c r="D403" s="188" t="n">
        <v>7.5</v>
      </c>
      <c r="E403" s="188" t="inlineStr">
        <is>
          <t>HIGH</t>
        </is>
      </c>
      <c r="F403" s="188" t="n">
        <v>2</v>
      </c>
      <c r="G403" s="188" t="n">
        <v>3</v>
      </c>
      <c r="H403" s="188" t="inlineStr">
        <is>
          <t>HIGH</t>
        </is>
      </c>
      <c r="I403" s="188" t="n">
        <v>13.5</v>
      </c>
      <c r="J403" s="188" t="inlineStr">
        <is>
          <t>NO</t>
        </is>
      </c>
      <c r="K403" s="188" t="inlineStr">
        <is>
          <t>https://nvd.nist.gov/vuln/detail/CVE-2026-27114</t>
        </is>
      </c>
      <c r="L403" s="188" t="inlineStr">
        <is>
          <t>2026-02-26 00:15</t>
        </is>
      </c>
      <c r="M403" s="188" t="inlineStr">
        <is>
          <t>CHECK_VENDOR</t>
        </is>
      </c>
      <c r="N403" s="188" t="inlineStr">
        <is>
          <t>See NVD references</t>
        </is>
      </c>
      <c r="O403" s="188" t="inlineStr">
        <is>
          <t>Apply vendor patches</t>
        </is>
      </c>
      <c r="P403" s="188" t="inlineStr">
        <is>
          <t>m2team nanazip *</t>
        </is>
      </c>
      <c r="Q403" s="188" t="inlineStr">
        <is>
          <t>P3</t>
        </is>
      </c>
      <c r="R403" s="188" t="inlineStr">
        <is>
          <t>🚨 URGENT: Apply vendor patches immediately | 🔒 Isolate affected systems if patch unavailable | 🛡️ Enable additional monitoring/IDS rules</t>
        </is>
      </c>
      <c r="S403" s="188" t="inlineStr">
        <is>
          <t>CVE - IP enrichment n/a</t>
        </is>
      </c>
      <c r="T403" s="188" t="n">
        <v>0</v>
      </c>
      <c r="U403" s="188" t="n">
        <v>0</v>
      </c>
      <c r="V403" s="188" t="inlineStr">
        <is>
          <t>T1190:Exploit Public-Facing Application</t>
        </is>
      </c>
      <c r="W403" s="188" t="n">
        <v>1</v>
      </c>
      <c r="X403" s="188" t="inlineStr">
        <is>
          <t>LOW (40%)</t>
        </is>
      </c>
      <c r="Y403" s="188" t="inlineStr">
        <is>
          <t>UNLIKELY</t>
        </is>
      </c>
      <c r="Z403" s="188" t="inlineStr">
        <is>
          <t>CHECK_VENDOR</t>
        </is>
      </c>
      <c r="AA403" s="188" t="inlineStr">
        <is>
          <t>https://nvd.nist.gov/vuln/detail/CVE-2026-27114</t>
        </is>
      </c>
      <c r="AB403" s="188" t="inlineStr">
        <is>
          <t>NONE</t>
        </is>
      </c>
      <c r="AC403" s="188" t="n">
        <v>0</v>
      </c>
      <c r="AD403" s="188" t="inlineStr"/>
    </row>
    <row r="404">
      <c r="A404" s="188" t="inlineStr">
        <is>
          <t>CVE</t>
        </is>
      </c>
      <c r="B404" s="188" t="inlineStr">
        <is>
          <t>CVE-2026-27327</t>
        </is>
      </c>
      <c r="C404" s="188" t="inlineStr">
        <is>
          <t>Missing Authorization vulnerability in YayCommerce YayMail – WooCommerce Email Customizer yaymail allows Exploiting Incorrectly Configured Access Control Security Levels.This issue affects YayMail – WooCommerce Email Customizer: from n/a through &lt;= 4.3.2.</t>
        </is>
      </c>
      <c r="D404" s="188" t="n">
        <v>8.5</v>
      </c>
      <c r="E404" s="188" t="inlineStr">
        <is>
          <t>HIGH</t>
        </is>
      </c>
      <c r="F404" s="188" t="n">
        <v>2</v>
      </c>
      <c r="G404" s="188" t="n">
        <v>3</v>
      </c>
      <c r="H404" s="188" t="inlineStr">
        <is>
          <t>HIGH</t>
        </is>
      </c>
      <c r="I404" s="188" t="n">
        <v>14.5</v>
      </c>
      <c r="J404" s="188" t="inlineStr">
        <is>
          <t>NO</t>
        </is>
      </c>
      <c r="K404" s="188" t="inlineStr">
        <is>
          <t>https://nvd.nist.gov/vuln/detail/CVE-2026-27327</t>
        </is>
      </c>
      <c r="L404" s="188" t="inlineStr">
        <is>
          <t>2026-02-26 00:15</t>
        </is>
      </c>
      <c r="M404" s="188" t="inlineStr">
        <is>
          <t>CHECK_VENDOR</t>
        </is>
      </c>
      <c r="N404" s="188" t="inlineStr">
        <is>
          <t>See NVD references</t>
        </is>
      </c>
      <c r="O404" s="188" t="inlineStr">
        <is>
          <t>Apply vendor patches</t>
        </is>
      </c>
      <c r="P404" s="188" t="inlineStr">
        <is>
          <t>See CVE details</t>
        </is>
      </c>
      <c r="Q404" s="188" t="inlineStr">
        <is>
          <t>P3</t>
        </is>
      </c>
      <c r="R404" s="188" t="inlineStr">
        <is>
          <t>🚨 URGENT: Apply vendor patches immediately | 🔒 Isolate affected systems if patch unavailable | 🛡️ Enable additional monitoring/IDS rules</t>
        </is>
      </c>
      <c r="S404" s="188" t="inlineStr">
        <is>
          <t>CVE - IP enrichment n/a</t>
        </is>
      </c>
      <c r="T404" s="188" t="n">
        <v>0</v>
      </c>
      <c r="U404" s="188" t="n">
        <v>0</v>
      </c>
      <c r="V404" s="188" t="inlineStr">
        <is>
          <t>T1190:Exploit Public-Facing Application</t>
        </is>
      </c>
      <c r="W404" s="188" t="n">
        <v>1</v>
      </c>
      <c r="X404" s="188" t="inlineStr">
        <is>
          <t>LOW (40%)</t>
        </is>
      </c>
      <c r="Y404" s="188" t="inlineStr">
        <is>
          <t>UNLIKELY</t>
        </is>
      </c>
      <c r="Z404" s="188" t="inlineStr">
        <is>
          <t>CHECK_VENDOR</t>
        </is>
      </c>
      <c r="AA404" s="188" t="inlineStr">
        <is>
          <t>https://nvd.nist.gov/vuln/detail/CVE-2026-27327</t>
        </is>
      </c>
      <c r="AB404" s="188" t="inlineStr">
        <is>
          <t>NONE</t>
        </is>
      </c>
      <c r="AC404" s="188" t="n">
        <v>0</v>
      </c>
      <c r="AD404" s="188" t="inlineStr"/>
    </row>
    <row r="405">
      <c r="A405" s="187" t="inlineStr">
        <is>
          <t>CVE</t>
        </is>
      </c>
      <c r="B405" s="187" t="inlineStr">
        <is>
          <t>CVE-2026-27328</t>
        </is>
      </c>
      <c r="C405" s="187" t="inlineStr">
        <is>
          <t>Missing Authorization vulnerability in DevsBlink EduBlink edublink allows Exploiting Incorrectly Configured Access Control Security Levels.This issue affects EduBlink: from n/a through &lt;= 2.0.7.</t>
        </is>
      </c>
      <c r="D405" s="187" t="n">
        <v>5.3</v>
      </c>
      <c r="E405" s="187" t="inlineStr">
        <is>
          <t>MEDIUM</t>
        </is>
      </c>
      <c r="F405" s="187" t="n">
        <v>2</v>
      </c>
      <c r="G405" s="187" t="n">
        <v>2</v>
      </c>
      <c r="H405" s="187" t="inlineStr">
        <is>
          <t>MEDIUM</t>
        </is>
      </c>
      <c r="I405" s="187" t="n">
        <v>9.300000000000001</v>
      </c>
      <c r="J405" s="187" t="inlineStr">
        <is>
          <t>NO</t>
        </is>
      </c>
      <c r="K405" s="187" t="inlineStr">
        <is>
          <t>https://nvd.nist.gov/vuln/detail/CVE-2026-27328</t>
        </is>
      </c>
      <c r="L405" s="187" t="inlineStr">
        <is>
          <t>2026-02-26 00:15</t>
        </is>
      </c>
      <c r="M405" s="187" t="inlineStr">
        <is>
          <t>CHECK_VENDOR</t>
        </is>
      </c>
      <c r="N405" s="187" t="inlineStr">
        <is>
          <t>See NVD references</t>
        </is>
      </c>
      <c r="O405" s="187" t="inlineStr">
        <is>
          <t>Apply vendor patches</t>
        </is>
      </c>
      <c r="P405" s="187" t="inlineStr">
        <is>
          <t>See CVE details</t>
        </is>
      </c>
      <c r="Q405" s="187" t="inlineStr">
        <is>
          <t>P4</t>
        </is>
      </c>
      <c r="R405" s="187" t="inlineStr">
        <is>
          <t>📅 Schedule patch deployment within 30 days | 🔍 Monitor for exploitation attempts</t>
        </is>
      </c>
      <c r="S405" s="187" t="inlineStr">
        <is>
          <t>CVE - IP enrichment n/a</t>
        </is>
      </c>
      <c r="T405" s="187" t="n">
        <v>0</v>
      </c>
      <c r="U405" s="187" t="n">
        <v>0</v>
      </c>
      <c r="V405" s="187" t="inlineStr">
        <is>
          <t>T1190:Exploit Public-Facing Application</t>
        </is>
      </c>
      <c r="W405" s="187" t="n">
        <v>1</v>
      </c>
      <c r="X405" s="187" t="inlineStr">
        <is>
          <t>LOW (40%)</t>
        </is>
      </c>
      <c r="Y405" s="187" t="inlineStr">
        <is>
          <t>UNLIKELY</t>
        </is>
      </c>
      <c r="Z405" s="187" t="inlineStr">
        <is>
          <t>CHECK_VENDOR</t>
        </is>
      </c>
      <c r="AA405" s="187" t="inlineStr">
        <is>
          <t>https://nvd.nist.gov/vuln/detail/CVE-2026-27328</t>
        </is>
      </c>
      <c r="AB405" s="187" t="inlineStr">
        <is>
          <t>NONE</t>
        </is>
      </c>
      <c r="AC405" s="187" t="n">
        <v>0</v>
      </c>
      <c r="AD405" s="187" t="inlineStr"/>
    </row>
    <row r="406">
      <c r="A406" s="188" t="inlineStr">
        <is>
          <t>CVE</t>
        </is>
      </c>
      <c r="B406" s="188" t="inlineStr">
        <is>
          <t>CVE-2026-27343</t>
        </is>
      </c>
      <c r="C406" s="188" t="inlineStr">
        <is>
          <t>Improper Control of Filename for Include/Require Statement in PHP Program ('PHP Remote File Inclusion') vulnerability in VanKarWai Airtifact airtifact allows PHP Local File Inclusion.This issue affects Airtifact: from n/a through &lt;= 1.2.91.</t>
        </is>
      </c>
      <c r="D406" s="188" t="n">
        <v>7.5</v>
      </c>
      <c r="E406" s="188" t="inlineStr">
        <is>
          <t>HIGH</t>
        </is>
      </c>
      <c r="F406" s="188" t="n">
        <v>2</v>
      </c>
      <c r="G406" s="188" t="n">
        <v>3</v>
      </c>
      <c r="H406" s="188" t="inlineStr">
        <is>
          <t>HIGH</t>
        </is>
      </c>
      <c r="I406" s="188" t="n">
        <v>13.5</v>
      </c>
      <c r="J406" s="188" t="inlineStr">
        <is>
          <t>NO</t>
        </is>
      </c>
      <c r="K406" s="188" t="inlineStr">
        <is>
          <t>https://nvd.nist.gov/vuln/detail/CVE-2026-27343</t>
        </is>
      </c>
      <c r="L406" s="188" t="inlineStr">
        <is>
          <t>2026-02-26 00:15</t>
        </is>
      </c>
      <c r="M406" s="188" t="inlineStr">
        <is>
          <t>CHECK_VENDOR</t>
        </is>
      </c>
      <c r="N406" s="188" t="inlineStr">
        <is>
          <t>See NVD references</t>
        </is>
      </c>
      <c r="O406" s="188" t="inlineStr">
        <is>
          <t>Apply vendor patches</t>
        </is>
      </c>
      <c r="P406" s="188" t="inlineStr">
        <is>
          <t>See CVE details</t>
        </is>
      </c>
      <c r="Q406" s="188" t="inlineStr">
        <is>
          <t>P3</t>
        </is>
      </c>
      <c r="R406" s="188" t="inlineStr">
        <is>
          <t>🚨 URGENT: Apply vendor patches immediately | 🔒 Isolate affected systems if patch unavailable | 🛡️ Enable additional monitoring/IDS rules</t>
        </is>
      </c>
      <c r="S406" s="188" t="inlineStr">
        <is>
          <t>CVE - IP enrichment n/a</t>
        </is>
      </c>
      <c r="T406" s="188" t="n">
        <v>0</v>
      </c>
      <c r="U406" s="188" t="n">
        <v>0</v>
      </c>
      <c r="V406" s="188" t="inlineStr">
        <is>
          <t>T1190:Exploit Public-Facing Application</t>
        </is>
      </c>
      <c r="W406" s="188" t="n">
        <v>1</v>
      </c>
      <c r="X406" s="188" t="inlineStr">
        <is>
          <t>LOW (40%)</t>
        </is>
      </c>
      <c r="Y406" s="188" t="inlineStr">
        <is>
          <t>UNLIKELY</t>
        </is>
      </c>
      <c r="Z406" s="188" t="inlineStr">
        <is>
          <t>CHECK_VENDOR</t>
        </is>
      </c>
      <c r="AA406" s="188" t="inlineStr">
        <is>
          <t>https://nvd.nist.gov/vuln/detail/CVE-2026-27343</t>
        </is>
      </c>
      <c r="AB406" s="188" t="inlineStr">
        <is>
          <t>NONE</t>
        </is>
      </c>
      <c r="AC406" s="188" t="n">
        <v>0</v>
      </c>
      <c r="AD406" s="188" t="inlineStr"/>
    </row>
    <row r="407">
      <c r="A407" s="187" t="inlineStr">
        <is>
          <t>CVE</t>
        </is>
      </c>
      <c r="B407" s="187" t="inlineStr">
        <is>
          <t>CVE-2026-27360</t>
        </is>
      </c>
      <c r="C407" s="187" t="inlineStr">
        <is>
          <t>Improper Neutralization of Input During Web Page Generation ('Cross-site Scripting') vulnerability in 10Web Photo Gallery by 10Web photo-gallery allows Stored XSS.This issue affects Photo Gallery by 10Web: from n/a through &lt;= 1.8.37.</t>
        </is>
      </c>
      <c r="D407" s="187" t="n">
        <v>5.9</v>
      </c>
      <c r="E407" s="187" t="inlineStr">
        <is>
          <t>MEDIUM</t>
        </is>
      </c>
      <c r="F407" s="187" t="n">
        <v>2</v>
      </c>
      <c r="G407" s="187" t="n">
        <v>2</v>
      </c>
      <c r="H407" s="187" t="inlineStr">
        <is>
          <t>MEDIUM</t>
        </is>
      </c>
      <c r="I407" s="187" t="n">
        <v>9.9</v>
      </c>
      <c r="J407" s="187" t="inlineStr">
        <is>
          <t>NO</t>
        </is>
      </c>
      <c r="K407" s="187" t="inlineStr">
        <is>
          <t>https://nvd.nist.gov/vuln/detail/CVE-2026-27360</t>
        </is>
      </c>
      <c r="L407" s="187" t="inlineStr">
        <is>
          <t>2026-02-26 00:15</t>
        </is>
      </c>
      <c r="M407" s="187" t="inlineStr">
        <is>
          <t>CHECK_VENDOR</t>
        </is>
      </c>
      <c r="N407" s="187" t="inlineStr">
        <is>
          <t>See NVD references</t>
        </is>
      </c>
      <c r="O407" s="187" t="inlineStr">
        <is>
          <t>Apply vendor patches</t>
        </is>
      </c>
      <c r="P407" s="187" t="inlineStr">
        <is>
          <t>See CVE details</t>
        </is>
      </c>
      <c r="Q407" s="187" t="inlineStr">
        <is>
          <t>P4</t>
        </is>
      </c>
      <c r="R407" s="187" t="inlineStr">
        <is>
          <t>📅 Schedule patch deployment within 30 days | 🔍 Monitor for exploitation attempts</t>
        </is>
      </c>
      <c r="S407" s="187" t="inlineStr">
        <is>
          <t>CVE - IP enrichment n/a</t>
        </is>
      </c>
      <c r="T407" s="187" t="n">
        <v>0</v>
      </c>
      <c r="U407" s="187" t="n">
        <v>0</v>
      </c>
      <c r="V407" s="187" t="inlineStr">
        <is>
          <t>T1189:Drive-by Compromise</t>
        </is>
      </c>
      <c r="W407" s="187" t="n">
        <v>1</v>
      </c>
      <c r="X407" s="187" t="inlineStr">
        <is>
          <t>LOW (40%)</t>
        </is>
      </c>
      <c r="Y407" s="187" t="inlineStr">
        <is>
          <t>UNLIKELY</t>
        </is>
      </c>
      <c r="Z407" s="187" t="inlineStr">
        <is>
          <t>CHECK_VENDOR</t>
        </is>
      </c>
      <c r="AA407" s="187" t="inlineStr">
        <is>
          <t>https://nvd.nist.gov/vuln/detail/CVE-2026-27360</t>
        </is>
      </c>
      <c r="AB407" s="187" t="inlineStr">
        <is>
          <t>NONE</t>
        </is>
      </c>
      <c r="AC407" s="187" t="n">
        <v>0</v>
      </c>
      <c r="AD407" s="187" t="inlineStr"/>
    </row>
    <row r="408">
      <c r="A408" s="187" t="inlineStr">
        <is>
          <t>CVE</t>
        </is>
      </c>
      <c r="B408" s="187" t="inlineStr">
        <is>
          <t>CVE-2026-27368</t>
        </is>
      </c>
      <c r="C408" s="187" t="inlineStr">
        <is>
          <t>Missing Authorization vulnerability in SeedProd Coming Soon Page, Under Construction &amp; Maintenance Mode by SeedProd coming-soon allows Exploiting Incorrectly Configured Access Control Security Levels.This issue affects Coming Soon Page, Under Construction &amp; Maintenance Mode by SeedProd: from n/a through &lt;= 6.19.7.</t>
        </is>
      </c>
      <c r="D408" s="187" t="n">
        <v>5.3</v>
      </c>
      <c r="E408" s="187" t="inlineStr">
        <is>
          <t>MEDIUM</t>
        </is>
      </c>
      <c r="F408" s="187" t="n">
        <v>2</v>
      </c>
      <c r="G408" s="187" t="n">
        <v>2</v>
      </c>
      <c r="H408" s="187" t="inlineStr">
        <is>
          <t>MEDIUM</t>
        </is>
      </c>
      <c r="I408" s="187" t="n">
        <v>9.300000000000001</v>
      </c>
      <c r="J408" s="187" t="inlineStr">
        <is>
          <t>NO</t>
        </is>
      </c>
      <c r="K408" s="187" t="inlineStr">
        <is>
          <t>https://nvd.nist.gov/vuln/detail/CVE-2026-27368</t>
        </is>
      </c>
      <c r="L408" s="187" t="inlineStr">
        <is>
          <t>2026-02-26 00:15</t>
        </is>
      </c>
      <c r="M408" s="187" t="inlineStr">
        <is>
          <t>CHECK_VENDOR</t>
        </is>
      </c>
      <c r="N408" s="187" t="inlineStr">
        <is>
          <t>See NVD references</t>
        </is>
      </c>
      <c r="O408" s="187" t="inlineStr">
        <is>
          <t>Apply vendor patches</t>
        </is>
      </c>
      <c r="P408" s="187" t="inlineStr">
        <is>
          <t>See CVE details</t>
        </is>
      </c>
      <c r="Q408" s="187" t="inlineStr">
        <is>
          <t>P1</t>
        </is>
      </c>
      <c r="R408" s="187" t="inlineStr">
        <is>
          <t>📅 Schedule patch deployment within 30 days | 🔍 Monitor for exploitation attempts</t>
        </is>
      </c>
      <c r="S408" s="187" t="inlineStr">
        <is>
          <t>CVE - IP enrichment n/a</t>
        </is>
      </c>
      <c r="T408" s="187" t="n">
        <v>0</v>
      </c>
      <c r="U408" s="187" t="n">
        <v>0</v>
      </c>
      <c r="V408" s="187" t="inlineStr">
        <is>
          <t>T1190:Exploit Public-Facing Application</t>
        </is>
      </c>
      <c r="W408" s="187" t="n">
        <v>2</v>
      </c>
      <c r="X408" s="187" t="inlineStr">
        <is>
          <t>HIGH (72%)</t>
        </is>
      </c>
      <c r="Y408" s="187" t="inlineStr">
        <is>
          <t>HIGH</t>
        </is>
      </c>
      <c r="Z408" s="187" t="inlineStr">
        <is>
          <t>CHECK_VENDOR</t>
        </is>
      </c>
      <c r="AA408" s="187" t="inlineStr">
        <is>
          <t>https://nvd.nist.gov/vuln/detail/CVE-2026-27368</t>
        </is>
      </c>
      <c r="AB408" s="187" t="inlineStr">
        <is>
          <t>http://www.zerodayinitiative.com/advisories/ZDI-26-123/</t>
        </is>
      </c>
      <c r="AC408" s="187" t="n">
        <v>0</v>
      </c>
      <c r="AD408" s="187" t="inlineStr"/>
    </row>
    <row r="409">
      <c r="A409" s="187" t="inlineStr">
        <is>
          <t>CVE</t>
        </is>
      </c>
      <c r="B409" s="187" t="inlineStr">
        <is>
          <t>CVE-2026-27387</t>
        </is>
      </c>
      <c r="C409" s="187" t="inlineStr">
        <is>
          <t>Missing Authorization vulnerability in designinvento DirectoryPress directorypress allows Exploiting Incorrectly Configured Access Control Security Levels.This issue affects DirectoryPress: from n/a through &lt;= 3.6.26.</t>
        </is>
      </c>
      <c r="D409" s="187" t="n">
        <v>5.4</v>
      </c>
      <c r="E409" s="187" t="inlineStr">
        <is>
          <t>MEDIUM</t>
        </is>
      </c>
      <c r="F409" s="187" t="n">
        <v>2</v>
      </c>
      <c r="G409" s="187" t="n">
        <v>2</v>
      </c>
      <c r="H409" s="187" t="inlineStr">
        <is>
          <t>MEDIUM</t>
        </is>
      </c>
      <c r="I409" s="187" t="n">
        <v>9.4</v>
      </c>
      <c r="J409" s="187" t="inlineStr">
        <is>
          <t>NO</t>
        </is>
      </c>
      <c r="K409" s="187" t="inlineStr">
        <is>
          <t>https://nvd.nist.gov/vuln/detail/CVE-2026-27387</t>
        </is>
      </c>
      <c r="L409" s="187" t="inlineStr">
        <is>
          <t>2026-02-26 00:15</t>
        </is>
      </c>
      <c r="M409" s="187" t="inlineStr">
        <is>
          <t>CHECK_VENDOR</t>
        </is>
      </c>
      <c r="N409" s="187" t="inlineStr">
        <is>
          <t>See NVD references</t>
        </is>
      </c>
      <c r="O409" s="187" t="inlineStr">
        <is>
          <t>Apply vendor patches</t>
        </is>
      </c>
      <c r="P409" s="187" t="inlineStr">
        <is>
          <t>See CVE details</t>
        </is>
      </c>
      <c r="Q409" s="187" t="inlineStr">
        <is>
          <t>P4</t>
        </is>
      </c>
      <c r="R409" s="187" t="inlineStr">
        <is>
          <t>📅 Schedule patch deployment within 30 days | 🔍 Monitor for exploitation attempts</t>
        </is>
      </c>
      <c r="S409" s="187" t="inlineStr">
        <is>
          <t>CVE - IP enrichment n/a</t>
        </is>
      </c>
      <c r="T409" s="187" t="n">
        <v>0.0004</v>
      </c>
      <c r="U409" s="187" t="n">
        <v>0.1195</v>
      </c>
      <c r="V409" s="187" t="inlineStr">
        <is>
          <t>T1190:Exploit Public-Facing Application</t>
        </is>
      </c>
      <c r="W409" s="187" t="n">
        <v>1</v>
      </c>
      <c r="X409" s="187" t="inlineStr">
        <is>
          <t>LOW (40%)</t>
        </is>
      </c>
      <c r="Y409" s="187" t="inlineStr">
        <is>
          <t>UNLIKELY</t>
        </is>
      </c>
      <c r="Z409" s="187" t="inlineStr">
        <is>
          <t>CHECK_VENDOR</t>
        </is>
      </c>
      <c r="AA409" s="187" t="inlineStr">
        <is>
          <t>https://nvd.nist.gov/vuln/detail/CVE-2026-27387</t>
        </is>
      </c>
      <c r="AB409" s="187" t="inlineStr">
        <is>
          <t>NONE</t>
        </is>
      </c>
      <c r="AC409" s="187" t="n">
        <v>0</v>
      </c>
      <c r="AD409" s="187" t="inlineStr"/>
    </row>
    <row r="410">
      <c r="A410" s="187" t="inlineStr">
        <is>
          <t>CVE</t>
        </is>
      </c>
      <c r="B410" s="187" t="inlineStr">
        <is>
          <t>CVE-2026-27440</t>
        </is>
      </c>
      <c r="C410" s="187" t="inlineStr">
        <is>
          <t>Improper Neutralization of Input During Web Page Generation ('Cross-site Scripting') vulnerability in Saad Iqbal myCred mycred allows Stored XSS.This issue affects myCred: from n/a through &lt;= 2.9.7.6.</t>
        </is>
      </c>
      <c r="D410" s="187" t="n">
        <v>6.5</v>
      </c>
      <c r="E410" s="187" t="inlineStr">
        <is>
          <t>MEDIUM</t>
        </is>
      </c>
      <c r="F410" s="187" t="n">
        <v>2</v>
      </c>
      <c r="G410" s="187" t="n">
        <v>2</v>
      </c>
      <c r="H410" s="187" t="inlineStr">
        <is>
          <t>MEDIUM</t>
        </is>
      </c>
      <c r="I410" s="187" t="n">
        <v>10.5</v>
      </c>
      <c r="J410" s="187" t="inlineStr">
        <is>
          <t>NO</t>
        </is>
      </c>
      <c r="K410" s="187" t="inlineStr">
        <is>
          <t>https://nvd.nist.gov/vuln/detail/CVE-2026-27440</t>
        </is>
      </c>
      <c r="L410" s="187" t="inlineStr">
        <is>
          <t>2026-02-26 00:15</t>
        </is>
      </c>
      <c r="M410" s="187" t="inlineStr">
        <is>
          <t>CHECK_VENDOR</t>
        </is>
      </c>
      <c r="N410" s="187" t="inlineStr">
        <is>
          <t>See NVD references</t>
        </is>
      </c>
      <c r="O410" s="187" t="inlineStr">
        <is>
          <t>Apply vendor patches</t>
        </is>
      </c>
      <c r="P410" s="187" t="inlineStr">
        <is>
          <t>See CVE details</t>
        </is>
      </c>
      <c r="Q410" s="187" t="inlineStr">
        <is>
          <t>P4</t>
        </is>
      </c>
      <c r="R410" s="187" t="inlineStr">
        <is>
          <t>📅 Schedule patch deployment within 30 days | 🔍 Monitor for exploitation attempts</t>
        </is>
      </c>
      <c r="S410" s="187" t="inlineStr">
        <is>
          <t>CVE - IP enrichment n/a</t>
        </is>
      </c>
      <c r="T410" s="187" t="n">
        <v>0</v>
      </c>
      <c r="U410" s="187" t="n">
        <v>0</v>
      </c>
      <c r="V410" s="187" t="inlineStr">
        <is>
          <t>T1189:Drive-by Compromise</t>
        </is>
      </c>
      <c r="W410" s="187" t="n">
        <v>1</v>
      </c>
      <c r="X410" s="187" t="inlineStr">
        <is>
          <t>LOW (40%)</t>
        </is>
      </c>
      <c r="Y410" s="187" t="inlineStr">
        <is>
          <t>UNLIKELY</t>
        </is>
      </c>
      <c r="Z410" s="187" t="inlineStr">
        <is>
          <t>CHECK_VENDOR</t>
        </is>
      </c>
      <c r="AA410" s="187" t="inlineStr">
        <is>
          <t>https://nvd.nist.gov/vuln/detail/CVE-2026-27440</t>
        </is>
      </c>
      <c r="AB410" s="187" t="inlineStr">
        <is>
          <t>NONE</t>
        </is>
      </c>
      <c r="AC410" s="187" t="n">
        <v>0</v>
      </c>
      <c r="AD410" s="187" t="inlineStr"/>
    </row>
    <row r="411">
      <c r="A411" s="189" t="inlineStr">
        <is>
          <t>CVE</t>
        </is>
      </c>
      <c r="B411" s="189" t="inlineStr">
        <is>
          <t>CVE-2026-27476</t>
        </is>
      </c>
      <c r="C411" s="189" t="inlineStr">
        <is>
          <t>RustFly 2.0.0 contains a command injection vulnerability in its remote UI control mechanism that accepts hex-encoded instructions over UDP port 5005 without proper sanitization. Attackers can send crafted hex-encoded payloads containing system commands to execute arbitrary operations on the target system, including reverse shell establishment and command execution.</t>
        </is>
      </c>
      <c r="D411" s="189" t="n">
        <v>9.800000000000001</v>
      </c>
      <c r="E411" s="189" t="inlineStr">
        <is>
          <t>CRITICAL</t>
        </is>
      </c>
      <c r="F411" s="189" t="n">
        <v>2</v>
      </c>
      <c r="G411" s="189" t="n">
        <v>3</v>
      </c>
      <c r="H411" s="189" t="inlineStr">
        <is>
          <t>HIGH</t>
        </is>
      </c>
      <c r="I411" s="189" t="n">
        <v>15.8</v>
      </c>
      <c r="J411" s="189" t="inlineStr">
        <is>
          <t>NO</t>
        </is>
      </c>
      <c r="K411" s="189" t="inlineStr">
        <is>
          <t>https://nvd.nist.gov/vuln/detail/CVE-2026-27476</t>
        </is>
      </c>
      <c r="L411" s="189" t="inlineStr">
        <is>
          <t>2026-02-26 00:15</t>
        </is>
      </c>
      <c r="M411" s="189" t="inlineStr">
        <is>
          <t>CHECK_VENDOR</t>
        </is>
      </c>
      <c r="N411" s="189" t="inlineStr">
        <is>
          <t>See NVD references</t>
        </is>
      </c>
      <c r="O411" s="189" t="inlineStr">
        <is>
          <t>Apply vendor patches</t>
        </is>
      </c>
      <c r="P411" s="189" t="inlineStr">
        <is>
          <t>See CVE details</t>
        </is>
      </c>
      <c r="Q411" s="189" t="inlineStr">
        <is>
          <t>P3</t>
        </is>
      </c>
      <c r="R411" s="189" t="inlineStr">
        <is>
          <t>🚨 URGENT: Apply vendor patches immediately | 🔒 Isolate affected systems if patch unavailable | 🛡️ Enable additional monitoring/IDS rules</t>
        </is>
      </c>
      <c r="S411" s="189" t="inlineStr">
        <is>
          <t>CVE - IP enrichment n/a</t>
        </is>
      </c>
      <c r="T411" s="189" t="n">
        <v>0</v>
      </c>
      <c r="U411" s="189" t="n">
        <v>0</v>
      </c>
      <c r="V411" s="189" t="inlineStr">
        <is>
          <t>T1059:Command and Scripting Interpreter</t>
        </is>
      </c>
      <c r="W411" s="189" t="n">
        <v>1</v>
      </c>
      <c r="X411" s="189" t="inlineStr">
        <is>
          <t>LOW (40%)</t>
        </is>
      </c>
      <c r="Y411" s="189" t="inlineStr">
        <is>
          <t>UNLIKELY</t>
        </is>
      </c>
      <c r="Z411" s="189" t="inlineStr">
        <is>
          <t>CHECK_VENDOR</t>
        </is>
      </c>
      <c r="AA411" s="189" t="inlineStr">
        <is>
          <t>https://nvd.nist.gov/vuln/detail/CVE-2026-27476</t>
        </is>
      </c>
      <c r="AB411" s="189" t="inlineStr">
        <is>
          <t>NONE</t>
        </is>
      </c>
      <c r="AC411" s="189" t="n">
        <v>0</v>
      </c>
      <c r="AD411" s="189" t="inlineStr"/>
    </row>
    <row r="412">
      <c r="A412" s="187" t="inlineStr">
        <is>
          <t>CVE</t>
        </is>
      </c>
      <c r="B412" s="187" t="inlineStr">
        <is>
          <t>CVE-2026-2738</t>
        </is>
      </c>
      <c r="C412" s="187" t="inlineStr">
        <is>
          <t>Buffer overflow in ovpn‑dco‑win version 2.8.0 allows local attackers to cause a system crash by sending too large packets to the remote peer when the AEAD tag appears at the end of the encrypted packet</t>
        </is>
      </c>
      <c r="D412" s="187" t="n">
        <v>5</v>
      </c>
      <c r="E412" s="187" t="inlineStr">
        <is>
          <t>MEDIUM</t>
        </is>
      </c>
      <c r="F412" s="187" t="n">
        <v>2</v>
      </c>
      <c r="G412" s="187" t="n">
        <v>2</v>
      </c>
      <c r="H412" s="187" t="inlineStr">
        <is>
          <t>MEDIUM</t>
        </is>
      </c>
      <c r="I412" s="187" t="n">
        <v>9</v>
      </c>
      <c r="J412" s="187" t="inlineStr">
        <is>
          <t>NO</t>
        </is>
      </c>
      <c r="K412" s="187" t="inlineStr">
        <is>
          <t>https://nvd.nist.gov/vuln/detail/CVE-2026-2738</t>
        </is>
      </c>
      <c r="L412" s="187" t="inlineStr">
        <is>
          <t>2026-02-26 00:15</t>
        </is>
      </c>
      <c r="M412" s="187" t="inlineStr">
        <is>
          <t>CHECK_VENDOR</t>
        </is>
      </c>
      <c r="N412" s="187" t="inlineStr">
        <is>
          <t>See NVD references</t>
        </is>
      </c>
      <c r="O412" s="187" t="inlineStr">
        <is>
          <t>Apply vendor patches</t>
        </is>
      </c>
      <c r="P412" s="187" t="inlineStr">
        <is>
          <t>See CVE details</t>
        </is>
      </c>
      <c r="Q412" s="187" t="inlineStr">
        <is>
          <t>P4</t>
        </is>
      </c>
      <c r="R412" s="187" t="inlineStr">
        <is>
          <t>📅 Schedule patch deployment within 30 days | 🔍 Monitor for exploitation attempts</t>
        </is>
      </c>
      <c r="S412" s="187" t="inlineStr">
        <is>
          <t>CVE - IP enrichment n/a</t>
        </is>
      </c>
      <c r="T412" s="187" t="n">
        <v>0.0002</v>
      </c>
      <c r="U412" s="187" t="n">
        <v>0.0458</v>
      </c>
      <c r="V412" s="187" t="inlineStr">
        <is>
          <t>T1203:Exploitation for Client Execution | T1133:External Remote Services</t>
        </is>
      </c>
      <c r="W412" s="187" t="n">
        <v>1</v>
      </c>
      <c r="X412" s="187" t="inlineStr">
        <is>
          <t>LOW (40%)</t>
        </is>
      </c>
      <c r="Y412" s="187" t="inlineStr">
        <is>
          <t>UNLIKELY</t>
        </is>
      </c>
      <c r="Z412" s="187" t="inlineStr">
        <is>
          <t>CHECK_VENDOR</t>
        </is>
      </c>
      <c r="AA412" s="187" t="inlineStr">
        <is>
          <t>https://nvd.nist.gov/vuln/detail/CVE-2026-2738</t>
        </is>
      </c>
      <c r="AB412" s="187" t="inlineStr">
        <is>
          <t>NONE</t>
        </is>
      </c>
      <c r="AC412" s="187" t="n">
        <v>0</v>
      </c>
      <c r="AD412" s="187" t="inlineStr"/>
    </row>
    <row r="413">
      <c r="A413" s="188" t="inlineStr">
        <is>
          <t>CVE</t>
        </is>
      </c>
      <c r="B413" s="188" t="inlineStr">
        <is>
          <t>CVE-2026-26275</t>
        </is>
      </c>
      <c r="C413" s="188" t="inlineStr">
        <is>
          <t>httpsig-hyper is a hyper extension for http message signatures. An issue was discovered in `httpsig-hyper` prior to version 0.0.23 where Digest header verification could incorrectly succeed due to misuse of Rust's `matches!` macro. Specifically, the comparison `if matches!(digest, _expected_digest)` treated `_expected_digest` as a pattern binding rather than a value comparison, resulting in unconditional success of the match expression. As a consequence, digest verification could incorrectly ret</t>
        </is>
      </c>
      <c r="D413" s="188" t="n">
        <v>7.5</v>
      </c>
      <c r="E413" s="188" t="inlineStr">
        <is>
          <t>HIGH</t>
        </is>
      </c>
      <c r="F413" s="188" t="n">
        <v>2</v>
      </c>
      <c r="G413" s="188" t="n">
        <v>3</v>
      </c>
      <c r="H413" s="188" t="inlineStr">
        <is>
          <t>HIGH</t>
        </is>
      </c>
      <c r="I413" s="188" t="n">
        <v>13.5</v>
      </c>
      <c r="J413" s="188" t="inlineStr">
        <is>
          <t>NO</t>
        </is>
      </c>
      <c r="K413" s="188" t="inlineStr">
        <is>
          <t>https://nvd.nist.gov/vuln/detail/CVE-2026-26275</t>
        </is>
      </c>
      <c r="L413" s="188" t="inlineStr">
        <is>
          <t>2026-02-26 00:15</t>
        </is>
      </c>
      <c r="M413" s="188" t="inlineStr">
        <is>
          <t>CHECK_VENDOR</t>
        </is>
      </c>
      <c r="N413" s="188" t="inlineStr">
        <is>
          <t>See NVD references</t>
        </is>
      </c>
      <c r="O413" s="188" t="inlineStr">
        <is>
          <t>Apply vendor patches</t>
        </is>
      </c>
      <c r="P413" s="188" t="inlineStr">
        <is>
          <t>See CVE details</t>
        </is>
      </c>
      <c r="Q413" s="188" t="inlineStr">
        <is>
          <t>P3</t>
        </is>
      </c>
      <c r="R413" s="188" t="inlineStr">
        <is>
          <t>🚨 URGENT: Apply vendor patches immediately | 🔒 Isolate affected systems if patch unavailable | 🛡️ Enable additional monitoring/IDS rules</t>
        </is>
      </c>
      <c r="S413" s="188" t="inlineStr">
        <is>
          <t>CVE - IP enrichment n/a</t>
        </is>
      </c>
      <c r="T413" s="188" t="n">
        <v>0</v>
      </c>
      <c r="U413" s="188" t="n">
        <v>0</v>
      </c>
      <c r="V413" s="188" t="inlineStr">
        <is>
          <t>T1190:Exploit Public-Facing Application</t>
        </is>
      </c>
      <c r="W413" s="188" t="n">
        <v>1</v>
      </c>
      <c r="X413" s="188" t="inlineStr">
        <is>
          <t>LOW (40%)</t>
        </is>
      </c>
      <c r="Y413" s="188" t="inlineStr">
        <is>
          <t>UNLIKELY</t>
        </is>
      </c>
      <c r="Z413" s="188" t="inlineStr">
        <is>
          <t>CHECK_VENDOR</t>
        </is>
      </c>
      <c r="AA413" s="188" t="inlineStr">
        <is>
          <t>https://nvd.nist.gov/vuln/detail/CVE-2026-26275</t>
        </is>
      </c>
      <c r="AB413" s="188" t="inlineStr">
        <is>
          <t>NONE</t>
        </is>
      </c>
      <c r="AC413" s="188" t="n">
        <v>0</v>
      </c>
      <c r="AD413" s="188" t="inlineStr"/>
    </row>
    <row r="414">
      <c r="A414" s="188" t="inlineStr">
        <is>
          <t>CVE</t>
        </is>
      </c>
      <c r="B414" s="188" t="inlineStr">
        <is>
          <t>CVE-2026-26314</t>
        </is>
      </c>
      <c r="C414" s="188" t="inlineStr">
        <is>
          <t>go-ethereum (geth) is a golang execution layer implementation of the Ethereum protocol. Prior to version 1.16.9, a vulnerable node can be forced to shutdown/crash using a specially crafted message. The problem is resolved in the v1.16.9 and v1.17.0 releases of Geth.</t>
        </is>
      </c>
      <c r="D414" s="188" t="n">
        <v>7.5</v>
      </c>
      <c r="E414" s="188" t="inlineStr">
        <is>
          <t>HIGH</t>
        </is>
      </c>
      <c r="F414" s="188" t="n">
        <v>2</v>
      </c>
      <c r="G414" s="188" t="n">
        <v>3</v>
      </c>
      <c r="H414" s="188" t="inlineStr">
        <is>
          <t>HIGH</t>
        </is>
      </c>
      <c r="I414" s="188" t="n">
        <v>13.5</v>
      </c>
      <c r="J414" s="188" t="inlineStr">
        <is>
          <t>NO</t>
        </is>
      </c>
      <c r="K414" s="188" t="inlineStr">
        <is>
          <t>https://nvd.nist.gov/vuln/detail/CVE-2026-26314</t>
        </is>
      </c>
      <c r="L414" s="188" t="inlineStr">
        <is>
          <t>2026-02-26 00:15</t>
        </is>
      </c>
      <c r="M414" s="188" t="inlineStr">
        <is>
          <t>YES</t>
        </is>
      </c>
      <c r="N414" s="188" t="inlineStr">
        <is>
          <t>https://github.com/ethereum/go-ethereum/commit/895a8597cb16c02203e38707ed2d1da5c500fe60 | https://github.com/ethereum/go-ethereum/security/advisories/GHSA-2gjw-fg97-vg3r</t>
        </is>
      </c>
      <c r="O414" s="188" t="inlineStr">
        <is>
          <t>Apply vendor patches</t>
        </is>
      </c>
      <c r="P414" s="188" t="inlineStr">
        <is>
          <t>ethereum go_ethereum *</t>
        </is>
      </c>
      <c r="Q414" s="188" t="inlineStr">
        <is>
          <t>P3</t>
        </is>
      </c>
      <c r="R414" s="188" t="inlineStr">
        <is>
          <t>🚨 URGENT: Apply vendor patches immediately | 🔒 Isolate affected systems if patch unavailable | 🛡️ Enable additional monitoring/IDS rules</t>
        </is>
      </c>
      <c r="S414" s="188" t="inlineStr">
        <is>
          <t>CVE - IP enrichment n/a</t>
        </is>
      </c>
      <c r="T414" s="188" t="n">
        <v>0.0005999999999999999</v>
      </c>
      <c r="U414" s="188" t="n">
        <v>0.1921</v>
      </c>
      <c r="V414" s="188" t="inlineStr">
        <is>
          <t>T1190:Exploit Public-Facing Application</t>
        </is>
      </c>
      <c r="W414" s="188" t="n">
        <v>1</v>
      </c>
      <c r="X414" s="188" t="inlineStr">
        <is>
          <t>LOW (40%)</t>
        </is>
      </c>
      <c r="Y414" s="188" t="inlineStr">
        <is>
          <t>UNLIKELY</t>
        </is>
      </c>
      <c r="Z414" s="188" t="inlineStr">
        <is>
          <t>PATCH_AVAILABLE</t>
        </is>
      </c>
      <c r="AA414" s="188" t="inlineStr">
        <is>
          <t>https://nvd.nist.gov/vuln/detail/CVE-2026-26314</t>
        </is>
      </c>
      <c r="AB414" s="188" t="inlineStr">
        <is>
          <t>NONE</t>
        </is>
      </c>
      <c r="AC414" s="188" t="n">
        <v>0</v>
      </c>
      <c r="AD414" s="188" t="inlineStr"/>
    </row>
    <row r="415">
      <c r="A415" s="188" t="inlineStr">
        <is>
          <t>CVE</t>
        </is>
      </c>
      <c r="B415" s="188" t="inlineStr">
        <is>
          <t>CVE-2026-26315</t>
        </is>
      </c>
      <c r="C415" s="188" t="inlineStr">
        <is>
          <t>go-ethereum (Geth) is a golang execution layer implementation of the Ethereum protocol. Prior to version 1.16.9, through a flaw in the ECIES cryptography implementation, an attacker may be able to extract bits of the p2p node key. The issue is resolved in the v1.16.9 and v1.17.0 releases of Geth. Geth maintainers recommend rotating the node key after applying the upgrade, which can be done by removing the file ` /geth/nodekey` before starting Geth.</t>
        </is>
      </c>
      <c r="D415" s="188" t="n">
        <v>7.5</v>
      </c>
      <c r="E415" s="188" t="inlineStr">
        <is>
          <t>HIGH</t>
        </is>
      </c>
      <c r="F415" s="188" t="n">
        <v>2</v>
      </c>
      <c r="G415" s="188" t="n">
        <v>3</v>
      </c>
      <c r="H415" s="188" t="inlineStr">
        <is>
          <t>HIGH</t>
        </is>
      </c>
      <c r="I415" s="188" t="n">
        <v>13.5</v>
      </c>
      <c r="J415" s="188" t="inlineStr">
        <is>
          <t>NO</t>
        </is>
      </c>
      <c r="K415" s="188" t="inlineStr">
        <is>
          <t>https://nvd.nist.gov/vuln/detail/CVE-2026-26315</t>
        </is>
      </c>
      <c r="L415" s="188" t="inlineStr">
        <is>
          <t>2026-02-26 00:15</t>
        </is>
      </c>
      <c r="M415" s="188" t="inlineStr">
        <is>
          <t>YES</t>
        </is>
      </c>
      <c r="N415" s="188" t="inlineStr">
        <is>
          <t>https://github.com/ethereum/go-ethereum/security/advisories/GHSA-m6j8-rg6r-7mv8</t>
        </is>
      </c>
      <c r="O415" s="188" t="inlineStr">
        <is>
          <t>Apply vendor patches</t>
        </is>
      </c>
      <c r="P415" s="188" t="inlineStr">
        <is>
          <t>ethereum go_ethereum *</t>
        </is>
      </c>
      <c r="Q415" s="188" t="inlineStr">
        <is>
          <t>P3</t>
        </is>
      </c>
      <c r="R415" s="188" t="inlineStr">
        <is>
          <t>🚨 URGENT: Apply vendor patches immediately | 🔒 Isolate affected systems if patch unavailable | 🛡️ Enable additional monitoring/IDS rules</t>
        </is>
      </c>
      <c r="S415" s="188" t="inlineStr">
        <is>
          <t>CVE - IP enrichment n/a</t>
        </is>
      </c>
      <c r="T415" s="188" t="n">
        <v>0</v>
      </c>
      <c r="U415" s="188" t="n">
        <v>0</v>
      </c>
      <c r="V415" s="188" t="inlineStr">
        <is>
          <t>T1190:Exploit Public-Facing Application</t>
        </is>
      </c>
      <c r="W415" s="188" t="n">
        <v>1</v>
      </c>
      <c r="X415" s="188" t="inlineStr">
        <is>
          <t>LOW (40%)</t>
        </is>
      </c>
      <c r="Y415" s="188" t="inlineStr">
        <is>
          <t>UNLIKELY</t>
        </is>
      </c>
      <c r="Z415" s="188" t="inlineStr">
        <is>
          <t>PATCH_AVAILABLE</t>
        </is>
      </c>
      <c r="AA415" s="188" t="inlineStr">
        <is>
          <t>https://nvd.nist.gov/vuln/detail/CVE-2026-26315</t>
        </is>
      </c>
      <c r="AB415" s="188" t="inlineStr">
        <is>
          <t>NONE</t>
        </is>
      </c>
      <c r="AC415" s="188" t="n">
        <v>0</v>
      </c>
      <c r="AD415" s="188" t="inlineStr"/>
    </row>
    <row r="416">
      <c r="A416" s="188" t="inlineStr">
        <is>
          <t>CVE</t>
        </is>
      </c>
      <c r="B416" s="188" t="inlineStr">
        <is>
          <t>CVE-2026-26316</t>
        </is>
      </c>
      <c r="C416" s="188" t="inlineStr">
        <is>
          <t>OpenClaw is a personal AI assistant. Prior to 2026.2.13, the optional BlueBubbles iMessage channel plugin could accept webhook requests as authenticated based only on the TCP peer address being loopback (`127.0.0.1`, `::1`, `::ffff:127.0.0.1`) even when the configured webhook secret was missing or incorrect. This does not affect the default iMessage integration unless BlueBubbles is installed and enabled. Version 2026.2.13 contains a patch. Other mitigations include setting a non-empty BlueBubbl</t>
        </is>
      </c>
      <c r="D416" s="188" t="n">
        <v>7.5</v>
      </c>
      <c r="E416" s="188" t="inlineStr">
        <is>
          <t>HIGH</t>
        </is>
      </c>
      <c r="F416" s="188" t="n">
        <v>2</v>
      </c>
      <c r="G416" s="188" t="n">
        <v>3</v>
      </c>
      <c r="H416" s="188" t="inlineStr">
        <is>
          <t>HIGH</t>
        </is>
      </c>
      <c r="I416" s="188" t="n">
        <v>13.5</v>
      </c>
      <c r="J416" s="188" t="inlineStr">
        <is>
          <t>NO</t>
        </is>
      </c>
      <c r="K416" s="188" t="inlineStr">
        <is>
          <t>https://nvd.nist.gov/vuln/detail/CVE-2026-26316</t>
        </is>
      </c>
      <c r="L416" s="188" t="inlineStr">
        <is>
          <t>2026-02-26 00:15</t>
        </is>
      </c>
      <c r="M416" s="188" t="inlineStr">
        <is>
          <t>YES</t>
        </is>
      </c>
      <c r="N416" s="188" t="inlineStr">
        <is>
          <t>https://github.com/openclaw/openclaw/commit/743f4b28495cdeb0d5bf76f6ebf4af01f6a02e5a | https://github.com/openclaw/openclaw/commit/f836c385ffc746cb954e8ee409f99d079bfdcd2f | https://github.com/openclaw/openclaw/security/advisories/GHSA-pchc-86f6-8758</t>
        </is>
      </c>
      <c r="O416" s="188" t="inlineStr">
        <is>
          <t>Apply vendor patches</t>
        </is>
      </c>
      <c r="P416" s="188" t="inlineStr">
        <is>
          <t>openclaw openclaw *</t>
        </is>
      </c>
      <c r="Q416" s="188" t="inlineStr">
        <is>
          <t>P3</t>
        </is>
      </c>
      <c r="R416" s="188" t="inlineStr">
        <is>
          <t>🚨 URGENT: Apply vendor patches immediately | 🔒 Isolate affected systems if patch unavailable | 🛡️ Enable additional monitoring/IDS rules</t>
        </is>
      </c>
      <c r="S416" s="188" t="inlineStr">
        <is>
          <t>CVE - IP enrichment n/a</t>
        </is>
      </c>
      <c r="T416" s="188" t="n">
        <v>0</v>
      </c>
      <c r="U416" s="188" t="n">
        <v>0</v>
      </c>
      <c r="V416" s="188" t="inlineStr">
        <is>
          <t>T1190:Exploit Public-Facing Application</t>
        </is>
      </c>
      <c r="W416" s="188" t="n">
        <v>1</v>
      </c>
      <c r="X416" s="188" t="inlineStr">
        <is>
          <t>LOW (40%)</t>
        </is>
      </c>
      <c r="Y416" s="188" t="inlineStr">
        <is>
          <t>UNLIKELY</t>
        </is>
      </c>
      <c r="Z416" s="188" t="inlineStr">
        <is>
          <t>PATCH_AVAILABLE</t>
        </is>
      </c>
      <c r="AA416" s="188" t="inlineStr">
        <is>
          <t>https://nvd.nist.gov/vuln/detail/CVE-2026-26316</t>
        </is>
      </c>
      <c r="AB416" s="188" t="inlineStr">
        <is>
          <t>NONE</t>
        </is>
      </c>
      <c r="AC416" s="188" t="n">
        <v>0</v>
      </c>
      <c r="AD416" s="188" t="inlineStr"/>
    </row>
    <row r="417">
      <c r="A417" s="188" t="inlineStr">
        <is>
          <t>CVE</t>
        </is>
      </c>
      <c r="B417" s="188" t="inlineStr">
        <is>
          <t>CVE-2026-26317</t>
        </is>
      </c>
      <c r="C417" s="188" t="inlineStr">
        <is>
          <t xml:space="preserve">OpenClaw is a personal AI assistant. Prior to 2026.2.14, browser-facing localhost mutation routes accepted cross-origin browser requests without explicit Origin/Referer validation. Loopback binding reduces remote exposure but does not prevent browser-initiated requests from malicious origins. A malicious website can trigger unauthorized state changes against a victim's local OpenClaw browser control plane (for example opening tabs, starting/stopping the browser, mutating storage/cookies) if the </t>
        </is>
      </c>
      <c r="D417" s="188" t="n">
        <v>7.1</v>
      </c>
      <c r="E417" s="188" t="inlineStr">
        <is>
          <t>HIGH</t>
        </is>
      </c>
      <c r="F417" s="188" t="n">
        <v>2</v>
      </c>
      <c r="G417" s="188" t="n">
        <v>3</v>
      </c>
      <c r="H417" s="188" t="inlineStr">
        <is>
          <t>HIGH</t>
        </is>
      </c>
      <c r="I417" s="188" t="n">
        <v>13.1</v>
      </c>
      <c r="J417" s="188" t="inlineStr">
        <is>
          <t>NO</t>
        </is>
      </c>
      <c r="K417" s="188" t="inlineStr">
        <is>
          <t>https://nvd.nist.gov/vuln/detail/CVE-2026-26317</t>
        </is>
      </c>
      <c r="L417" s="188" t="inlineStr">
        <is>
          <t>2026-02-26 00:15</t>
        </is>
      </c>
      <c r="M417" s="188" t="inlineStr">
        <is>
          <t>CHECK_VENDOR</t>
        </is>
      </c>
      <c r="N417" s="188" t="inlineStr">
        <is>
          <t>See NVD references</t>
        </is>
      </c>
      <c r="O417" s="188" t="inlineStr">
        <is>
          <t>Apply vendor patches</t>
        </is>
      </c>
      <c r="P417" s="188" t="inlineStr">
        <is>
          <t>See CVE details</t>
        </is>
      </c>
      <c r="Q417" s="188" t="inlineStr">
        <is>
          <t>P3</t>
        </is>
      </c>
      <c r="R417" s="188" t="inlineStr">
        <is>
          <t>🚨 URGENT: Apply vendor patches immediately | 🔒 Isolate affected systems if patch unavailable | 🛡️ Enable additional monitoring/IDS rules</t>
        </is>
      </c>
      <c r="S417" s="188" t="inlineStr">
        <is>
          <t>CVE - IP enrichment n/a</t>
        </is>
      </c>
      <c r="T417" s="188" t="n">
        <v>0</v>
      </c>
      <c r="U417" s="188" t="n">
        <v>0</v>
      </c>
      <c r="V417" s="188" t="inlineStr">
        <is>
          <t>T1185:Browser Session Hijacking</t>
        </is>
      </c>
      <c r="W417" s="188" t="n">
        <v>1</v>
      </c>
      <c r="X417" s="188" t="inlineStr">
        <is>
          <t>LOW (40%)</t>
        </is>
      </c>
      <c r="Y417" s="188" t="inlineStr">
        <is>
          <t>UNLIKELY</t>
        </is>
      </c>
      <c r="Z417" s="188" t="inlineStr">
        <is>
          <t>CHECK_VENDOR</t>
        </is>
      </c>
      <c r="AA417" s="188" t="inlineStr">
        <is>
          <t>https://nvd.nist.gov/vuln/detail/CVE-2026-26317</t>
        </is>
      </c>
      <c r="AB417" s="188" t="inlineStr">
        <is>
          <t>NONE</t>
        </is>
      </c>
      <c r="AC417" s="188" t="n">
        <v>0</v>
      </c>
      <c r="AD417" s="188" t="inlineStr"/>
    </row>
    <row r="418">
      <c r="A418" s="187" t="inlineStr">
        <is>
          <t>CVE</t>
        </is>
      </c>
      <c r="B418" s="187" t="inlineStr">
        <is>
          <t>CVE-2026-26744</t>
        </is>
      </c>
      <c r="C418" s="187" t="inlineStr">
        <is>
          <t>A user enumeration vulnerability exists in FormaLMS 4.1.18 and below in the password recovery functionality accessible via the /lostpwd endpoint. The application returns different error messages for valid and invalid usernames allowing an unauthenticated attacker to determine which usernames are registered in the system through observable response discrepancy.</t>
        </is>
      </c>
      <c r="D418" s="187" t="n">
        <v>5.3</v>
      </c>
      <c r="E418" s="187" t="inlineStr">
        <is>
          <t>MEDIUM</t>
        </is>
      </c>
      <c r="F418" s="187" t="n">
        <v>2</v>
      </c>
      <c r="G418" s="187" t="n">
        <v>2</v>
      </c>
      <c r="H418" s="187" t="inlineStr">
        <is>
          <t>MEDIUM</t>
        </is>
      </c>
      <c r="I418" s="187" t="n">
        <v>9.300000000000001</v>
      </c>
      <c r="J418" s="187" t="inlineStr">
        <is>
          <t>NO</t>
        </is>
      </c>
      <c r="K418" s="187" t="inlineStr">
        <is>
          <t>https://nvd.nist.gov/vuln/detail/CVE-2026-26744</t>
        </is>
      </c>
      <c r="L418" s="187" t="inlineStr">
        <is>
          <t>2026-02-26 00:15</t>
        </is>
      </c>
      <c r="M418" s="187" t="inlineStr">
        <is>
          <t>CHECK_VENDOR</t>
        </is>
      </c>
      <c r="N418" s="187" t="inlineStr">
        <is>
          <t>See NVD references</t>
        </is>
      </c>
      <c r="O418" s="187" t="inlineStr">
        <is>
          <t>Apply vendor patches</t>
        </is>
      </c>
      <c r="P418" s="187" t="inlineStr">
        <is>
          <t>See CVE details</t>
        </is>
      </c>
      <c r="Q418" s="187" t="inlineStr">
        <is>
          <t>P4</t>
        </is>
      </c>
      <c r="R418" s="187" t="inlineStr">
        <is>
          <t>📅 Schedule patch deployment within 30 days | 🔍 Monitor for exploitation attempts</t>
        </is>
      </c>
      <c r="S418" s="187" t="inlineStr">
        <is>
          <t>CVE - IP enrichment n/a</t>
        </is>
      </c>
      <c r="T418" s="187" t="n">
        <v>0</v>
      </c>
      <c r="U418" s="187" t="n">
        <v>0</v>
      </c>
      <c r="V418" s="187" t="inlineStr">
        <is>
          <t>T1190:Exploit Public-Facing Application</t>
        </is>
      </c>
      <c r="W418" s="187" t="n">
        <v>1</v>
      </c>
      <c r="X418" s="187" t="inlineStr">
        <is>
          <t>LOW (40%)</t>
        </is>
      </c>
      <c r="Y418" s="187" t="inlineStr">
        <is>
          <t>UNLIKELY</t>
        </is>
      </c>
      <c r="Z418" s="187" t="inlineStr">
        <is>
          <t>CHECK_VENDOR</t>
        </is>
      </c>
      <c r="AA418" s="187" t="inlineStr">
        <is>
          <t>https://nvd.nist.gov/vuln/detail/CVE-2026-26744</t>
        </is>
      </c>
      <c r="AB418" s="187" t="inlineStr">
        <is>
          <t>NONE</t>
        </is>
      </c>
      <c r="AC418" s="187" t="n">
        <v>0</v>
      </c>
      <c r="AD418" s="187" t="inlineStr"/>
    </row>
    <row r="419">
      <c r="A419" s="187" t="inlineStr">
        <is>
          <t>CVE</t>
        </is>
      </c>
      <c r="B419" s="187" t="inlineStr">
        <is>
          <t>CVE-2025-13671</t>
        </is>
      </c>
      <c r="C419" s="187" t="inlineStr">
        <is>
          <t>Cross-Site Request Forgery (CSRF) vulnerability in OpenText™ Web Site Management Server allows Cross Site Request Forgery. The vulnerability could make a user, with active session inside the product, click on a page that contains this malicious HTML triggering to perform changes unconsciously.
This issue affects Web Site Management Server: 16.7.0, 16.7.1.</t>
        </is>
      </c>
      <c r="D419" s="187" t="n">
        <v>5</v>
      </c>
      <c r="E419" s="187" t="inlineStr">
        <is>
          <t>MEDIUM</t>
        </is>
      </c>
      <c r="F419" s="187" t="n">
        <v>2</v>
      </c>
      <c r="G419" s="187" t="n">
        <v>2</v>
      </c>
      <c r="H419" s="187" t="inlineStr">
        <is>
          <t>MEDIUM</t>
        </is>
      </c>
      <c r="I419" s="187" t="n">
        <v>9</v>
      </c>
      <c r="J419" s="187" t="inlineStr">
        <is>
          <t>NO</t>
        </is>
      </c>
      <c r="K419" s="187" t="inlineStr">
        <is>
          <t>https://nvd.nist.gov/vuln/detail/CVE-2025-13671</t>
        </is>
      </c>
      <c r="L419" s="187" t="inlineStr">
        <is>
          <t>2026-02-26 00:15</t>
        </is>
      </c>
      <c r="M419" s="187" t="inlineStr">
        <is>
          <t>CHECK_VENDOR</t>
        </is>
      </c>
      <c r="N419" s="187" t="inlineStr">
        <is>
          <t>See NVD references</t>
        </is>
      </c>
      <c r="O419" s="187" t="inlineStr">
        <is>
          <t>Apply vendor patches</t>
        </is>
      </c>
      <c r="P419" s="187" t="inlineStr">
        <is>
          <t>See CVE details</t>
        </is>
      </c>
      <c r="Q419" s="187" t="inlineStr">
        <is>
          <t>P4</t>
        </is>
      </c>
      <c r="R419" s="187" t="inlineStr">
        <is>
          <t>📅 Schedule patch deployment within 30 days | 🔍 Monitor for exploitation attempts</t>
        </is>
      </c>
      <c r="S419" s="187" t="inlineStr">
        <is>
          <t>CVE - IP enrichment n/a</t>
        </is>
      </c>
      <c r="T419" s="187" t="n">
        <v>0</v>
      </c>
      <c r="U419" s="187" t="n">
        <v>0</v>
      </c>
      <c r="V419" s="187" t="inlineStr">
        <is>
          <t>T1185:Browser Session Hijacking</t>
        </is>
      </c>
      <c r="W419" s="187" t="n">
        <v>1</v>
      </c>
      <c r="X419" s="187" t="inlineStr">
        <is>
          <t>LOW (40%)</t>
        </is>
      </c>
      <c r="Y419" s="187" t="inlineStr">
        <is>
          <t>UNLIKELY</t>
        </is>
      </c>
      <c r="Z419" s="187" t="inlineStr">
        <is>
          <t>CHECK_VENDOR</t>
        </is>
      </c>
      <c r="AA419" s="187" t="inlineStr">
        <is>
          <t>https://nvd.nist.gov/vuln/detail/CVE-2025-13671</t>
        </is>
      </c>
      <c r="AB419" s="187" t="inlineStr">
        <is>
          <t>NONE</t>
        </is>
      </c>
      <c r="AC419" s="187" t="n">
        <v>0</v>
      </c>
      <c r="AD419" s="187" t="inlineStr"/>
    </row>
    <row r="420">
      <c r="A420" s="187" t="inlineStr">
        <is>
          <t>CVE</t>
        </is>
      </c>
      <c r="B420" s="187" t="inlineStr">
        <is>
          <t>CVE-2025-13672</t>
        </is>
      </c>
      <c r="C420" s="187" t="inlineStr">
        <is>
          <t>Improper Neutralization of Input During Web Page Generation (XSS or 'Cross-site Scripting') vulnerability in OpenText™ Web Site Management Server allows Reflected XSS. The vulnerability could allow injecting malicious JavaScript inside URL parameters that was then rendered with the preview of the page, so that malicious scripts could be executed on the client side.
This issue affects Web Site Management Server: 16.7.0, 16.7.1.</t>
        </is>
      </c>
      <c r="D420" s="187" t="n">
        <v>5</v>
      </c>
      <c r="E420" s="187" t="inlineStr">
        <is>
          <t>MEDIUM</t>
        </is>
      </c>
      <c r="F420" s="187" t="n">
        <v>2</v>
      </c>
      <c r="G420" s="187" t="n">
        <v>2</v>
      </c>
      <c r="H420" s="187" t="inlineStr">
        <is>
          <t>MEDIUM</t>
        </is>
      </c>
      <c r="I420" s="187" t="n">
        <v>9</v>
      </c>
      <c r="J420" s="187" t="inlineStr">
        <is>
          <t>NO</t>
        </is>
      </c>
      <c r="K420" s="187" t="inlineStr">
        <is>
          <t>https://nvd.nist.gov/vuln/detail/CVE-2025-13672</t>
        </is>
      </c>
      <c r="L420" s="187" t="inlineStr">
        <is>
          <t>2026-02-26 00:15</t>
        </is>
      </c>
      <c r="M420" s="187" t="inlineStr">
        <is>
          <t>CHECK_VENDOR</t>
        </is>
      </c>
      <c r="N420" s="187" t="inlineStr">
        <is>
          <t>See NVD references</t>
        </is>
      </c>
      <c r="O420" s="187" t="inlineStr">
        <is>
          <t>Apply vendor patches</t>
        </is>
      </c>
      <c r="P420" s="187" t="inlineStr">
        <is>
          <t>See CVE details</t>
        </is>
      </c>
      <c r="Q420" s="187" t="inlineStr">
        <is>
          <t>P4</t>
        </is>
      </c>
      <c r="R420" s="187" t="inlineStr">
        <is>
          <t>📅 Schedule patch deployment within 30 days | 🔍 Monitor for exploitation attempts</t>
        </is>
      </c>
      <c r="S420" s="187" t="inlineStr">
        <is>
          <t>CVE - IP enrichment n/a</t>
        </is>
      </c>
      <c r="T420" s="187" t="n">
        <v>0</v>
      </c>
      <c r="U420" s="187" t="n">
        <v>0</v>
      </c>
      <c r="V420" s="187" t="inlineStr">
        <is>
          <t>T1189:Drive-by Compromise</t>
        </is>
      </c>
      <c r="W420" s="187" t="n">
        <v>1</v>
      </c>
      <c r="X420" s="187" t="inlineStr">
        <is>
          <t>LOW (40%)</t>
        </is>
      </c>
      <c r="Y420" s="187" t="inlineStr">
        <is>
          <t>UNLIKELY</t>
        </is>
      </c>
      <c r="Z420" s="187" t="inlineStr">
        <is>
          <t>CHECK_VENDOR</t>
        </is>
      </c>
      <c r="AA420" s="187" t="inlineStr">
        <is>
          <t>https://nvd.nist.gov/vuln/detail/CVE-2025-13672</t>
        </is>
      </c>
      <c r="AB420" s="187" t="inlineStr">
        <is>
          <t>NONE</t>
        </is>
      </c>
      <c r="AC420" s="187" t="n">
        <v>0</v>
      </c>
      <c r="AD420" s="187" t="inlineStr"/>
    </row>
    <row r="421">
      <c r="A421" s="187" t="inlineStr">
        <is>
          <t>CVE</t>
        </is>
      </c>
      <c r="B421" s="187" t="inlineStr">
        <is>
          <t>CVE-2025-8054</t>
        </is>
      </c>
      <c r="C421" s="187" t="inlineStr">
        <is>
          <t>Improper Limitation of a Pathname to a Restricted Directory ('Path Traversal') vulnerability in OpenText™ XM Fax allows Path Traversal. 
The vulnerability could allow an attacker to arbitrarily disclose content of files on the local filesystem. This issue affects XM Fax: 24.2.</t>
        </is>
      </c>
      <c r="D421" s="187" t="n">
        <v>5</v>
      </c>
      <c r="E421" s="187" t="inlineStr">
        <is>
          <t>MEDIUM</t>
        </is>
      </c>
      <c r="F421" s="187" t="n">
        <v>2</v>
      </c>
      <c r="G421" s="187" t="n">
        <v>2</v>
      </c>
      <c r="H421" s="187" t="inlineStr">
        <is>
          <t>MEDIUM</t>
        </is>
      </c>
      <c r="I421" s="187" t="n">
        <v>9</v>
      </c>
      <c r="J421" s="187" t="inlineStr">
        <is>
          <t>NO</t>
        </is>
      </c>
      <c r="K421" s="187" t="inlineStr">
        <is>
          <t>https://nvd.nist.gov/vuln/detail/CVE-2025-8054</t>
        </is>
      </c>
      <c r="L421" s="187" t="inlineStr">
        <is>
          <t>2026-02-26 00:15</t>
        </is>
      </c>
      <c r="M421" s="187" t="inlineStr">
        <is>
          <t>CHECK_VENDOR</t>
        </is>
      </c>
      <c r="N421" s="187" t="inlineStr">
        <is>
          <t>See NVD references</t>
        </is>
      </c>
      <c r="O421" s="187" t="inlineStr">
        <is>
          <t>Apply vendor patches</t>
        </is>
      </c>
      <c r="P421" s="187" t="inlineStr">
        <is>
          <t>See CVE details</t>
        </is>
      </c>
      <c r="Q421" s="187" t="inlineStr">
        <is>
          <t>P4</t>
        </is>
      </c>
      <c r="R421" s="187" t="inlineStr">
        <is>
          <t>📅 Schedule patch deployment within 30 days | 🔍 Monitor for exploitation attempts</t>
        </is>
      </c>
      <c r="S421" s="187" t="inlineStr">
        <is>
          <t>CVE - IP enrichment n/a</t>
        </is>
      </c>
      <c r="T421" s="187" t="n">
        <v>0</v>
      </c>
      <c r="U421" s="187" t="n">
        <v>0</v>
      </c>
      <c r="V421" s="187" t="inlineStr">
        <is>
          <t>T1083:File and Directory Discovery</t>
        </is>
      </c>
      <c r="W421" s="187" t="n">
        <v>1</v>
      </c>
      <c r="X421" s="187" t="inlineStr">
        <is>
          <t>LOW (40%)</t>
        </is>
      </c>
      <c r="Y421" s="187" t="inlineStr">
        <is>
          <t>UNLIKELY</t>
        </is>
      </c>
      <c r="Z421" s="187" t="inlineStr">
        <is>
          <t>CHECK_VENDOR</t>
        </is>
      </c>
      <c r="AA421" s="187" t="inlineStr">
        <is>
          <t>https://nvd.nist.gov/vuln/detail/CVE-2025-8054</t>
        </is>
      </c>
      <c r="AB421" s="187" t="inlineStr">
        <is>
          <t>NONE</t>
        </is>
      </c>
      <c r="AC421" s="187" t="n">
        <v>0</v>
      </c>
      <c r="AD421" s="187" t="inlineStr"/>
    </row>
    <row r="422">
      <c r="A422" s="187" t="inlineStr">
        <is>
          <t>CVE</t>
        </is>
      </c>
      <c r="B422" s="187" t="inlineStr">
        <is>
          <t>CVE-2025-8055</t>
        </is>
      </c>
      <c r="C422" s="187" t="inlineStr">
        <is>
          <t>Server-Side Request Forgery (SSRF) vulnerability in OpenText™ XM Fax allows Server Side Request Forgery. 
The vulnerability could allow an attacker to
perform blind SSRF to other systems accessible from the XM Fax server.
This issue affects XM Fax: 24.2.</t>
        </is>
      </c>
      <c r="D422" s="187" t="n">
        <v>5.3</v>
      </c>
      <c r="E422" s="187" t="inlineStr">
        <is>
          <t>MEDIUM</t>
        </is>
      </c>
      <c r="F422" s="187" t="n">
        <v>2</v>
      </c>
      <c r="G422" s="187" t="n">
        <v>2</v>
      </c>
      <c r="H422" s="187" t="inlineStr">
        <is>
          <t>MEDIUM</t>
        </is>
      </c>
      <c r="I422" s="187" t="n">
        <v>9.300000000000001</v>
      </c>
      <c r="J422" s="187" t="inlineStr">
        <is>
          <t>NO</t>
        </is>
      </c>
      <c r="K422" s="187" t="inlineStr">
        <is>
          <t>https://nvd.nist.gov/vuln/detail/CVE-2025-8055</t>
        </is>
      </c>
      <c r="L422" s="187" t="inlineStr">
        <is>
          <t>2026-02-26 00:15</t>
        </is>
      </c>
      <c r="M422" s="187" t="inlineStr">
        <is>
          <t>CHECK_VENDOR</t>
        </is>
      </c>
      <c r="N422" s="187" t="inlineStr">
        <is>
          <t>See NVD references</t>
        </is>
      </c>
      <c r="O422" s="187" t="inlineStr">
        <is>
          <t>Apply vendor patches</t>
        </is>
      </c>
      <c r="P422" s="187" t="inlineStr">
        <is>
          <t>See CVE details</t>
        </is>
      </c>
      <c r="Q422" s="187" t="inlineStr">
        <is>
          <t>P4</t>
        </is>
      </c>
      <c r="R422" s="187" t="inlineStr">
        <is>
          <t>📅 Schedule patch deployment within 30 days | 🔍 Monitor for exploitation attempts</t>
        </is>
      </c>
      <c r="S422" s="187" t="inlineStr">
        <is>
          <t>CVE - IP enrichment n/a</t>
        </is>
      </c>
      <c r="T422" s="187" t="n">
        <v>0</v>
      </c>
      <c r="U422" s="187" t="n">
        <v>0</v>
      </c>
      <c r="V422" s="187" t="inlineStr">
        <is>
          <t>T1090:Proxy</t>
        </is>
      </c>
      <c r="W422" s="187" t="n">
        <v>1</v>
      </c>
      <c r="X422" s="187" t="inlineStr">
        <is>
          <t>LOW (40%)</t>
        </is>
      </c>
      <c r="Y422" s="187" t="inlineStr">
        <is>
          <t>UNLIKELY</t>
        </is>
      </c>
      <c r="Z422" s="187" t="inlineStr">
        <is>
          <t>CHECK_VENDOR</t>
        </is>
      </c>
      <c r="AA422" s="187" t="inlineStr">
        <is>
          <t>https://nvd.nist.gov/vuln/detail/CVE-2025-8055</t>
        </is>
      </c>
      <c r="AB422" s="187" t="inlineStr">
        <is>
          <t>NONE</t>
        </is>
      </c>
      <c r="AC422" s="187" t="n">
        <v>0</v>
      </c>
      <c r="AD422" s="187" t="inlineStr"/>
    </row>
    <row r="423">
      <c r="A423" s="187" t="inlineStr">
        <is>
          <t>CVE</t>
        </is>
      </c>
      <c r="B423" s="187" t="inlineStr">
        <is>
          <t>CVE-2025-9208</t>
        </is>
      </c>
      <c r="C423" s="187" t="inlineStr">
        <is>
          <t>Improper Neutralization of Input During Web Page Generation (XSS or 'Cross-site Scripting') vulnerability in OpenText™ Web Site Management Server allows Stored XSS. The vulnerability could execute malicious scripts on the client side when the download query parameter is removed from the file URL, allowing attackers to compromise user sessions and data.
This issue affects Web Site Management Server: 16.7.X, 16.8, 16.8.1.</t>
        </is>
      </c>
      <c r="D423" s="187" t="n">
        <v>5</v>
      </c>
      <c r="E423" s="187" t="inlineStr">
        <is>
          <t>MEDIUM</t>
        </is>
      </c>
      <c r="F423" s="187" t="n">
        <v>2</v>
      </c>
      <c r="G423" s="187" t="n">
        <v>2</v>
      </c>
      <c r="H423" s="187" t="inlineStr">
        <is>
          <t>MEDIUM</t>
        </is>
      </c>
      <c r="I423" s="187" t="n">
        <v>9</v>
      </c>
      <c r="J423" s="187" t="inlineStr">
        <is>
          <t>NO</t>
        </is>
      </c>
      <c r="K423" s="187" t="inlineStr">
        <is>
          <t>https://nvd.nist.gov/vuln/detail/CVE-2025-9208</t>
        </is>
      </c>
      <c r="L423" s="187" t="inlineStr">
        <is>
          <t>2026-02-26 00:15</t>
        </is>
      </c>
      <c r="M423" s="187" t="inlineStr">
        <is>
          <t>CHECK_VENDOR</t>
        </is>
      </c>
      <c r="N423" s="187" t="inlineStr">
        <is>
          <t>See NVD references</t>
        </is>
      </c>
      <c r="O423" s="187" t="inlineStr">
        <is>
          <t>Apply vendor patches</t>
        </is>
      </c>
      <c r="P423" s="187" t="inlineStr">
        <is>
          <t>See CVE details</t>
        </is>
      </c>
      <c r="Q423" s="187" t="inlineStr">
        <is>
          <t>P4</t>
        </is>
      </c>
      <c r="R423" s="187" t="inlineStr">
        <is>
          <t>📅 Schedule patch deployment within 30 days | 🔍 Monitor for exploitation attempts</t>
        </is>
      </c>
      <c r="S423" s="187" t="inlineStr">
        <is>
          <t>CVE - IP enrichment n/a</t>
        </is>
      </c>
      <c r="T423" s="187" t="n">
        <v>0.0005</v>
      </c>
      <c r="U423" s="187" t="n">
        <v>0.1621</v>
      </c>
      <c r="V423" s="187" t="inlineStr">
        <is>
          <t>T1189:Drive-by Compromise</t>
        </is>
      </c>
      <c r="W423" s="187" t="n">
        <v>1</v>
      </c>
      <c r="X423" s="187" t="inlineStr">
        <is>
          <t>LOW (40%)</t>
        </is>
      </c>
      <c r="Y423" s="187" t="inlineStr">
        <is>
          <t>UNLIKELY</t>
        </is>
      </c>
      <c r="Z423" s="187" t="inlineStr">
        <is>
          <t>CHECK_VENDOR</t>
        </is>
      </c>
      <c r="AA423" s="187" t="inlineStr">
        <is>
          <t>https://nvd.nist.gov/vuln/detail/CVE-2025-9208</t>
        </is>
      </c>
      <c r="AB423" s="187" t="inlineStr">
        <is>
          <t>NONE</t>
        </is>
      </c>
      <c r="AC423" s="187" t="n">
        <v>0</v>
      </c>
      <c r="AD423" s="187" t="inlineStr"/>
    </row>
    <row r="424">
      <c r="A424" s="187" t="inlineStr">
        <is>
          <t>CVE</t>
        </is>
      </c>
      <c r="B424" s="187" t="inlineStr">
        <is>
          <t>CVE-2026-1658</t>
        </is>
      </c>
      <c r="C424" s="187" t="inlineStr">
        <is>
          <t>User Interface (UI) Misrepresentation of Critical Information vulnerability in OpenText™ Directory Services allows Cache Poisoning. 
The vulnerability could be exploited by a bad actor to inject manipulated text into the OpenText application, potentially misleading users.
This issue affects Directory Services: from 20.4.1 through 25.2.</t>
        </is>
      </c>
      <c r="D424" s="187" t="n">
        <v>5</v>
      </c>
      <c r="E424" s="187" t="inlineStr">
        <is>
          <t>MEDIUM</t>
        </is>
      </c>
      <c r="F424" s="187" t="n">
        <v>2</v>
      </c>
      <c r="G424" s="187" t="n">
        <v>2</v>
      </c>
      <c r="H424" s="187" t="inlineStr">
        <is>
          <t>MEDIUM</t>
        </is>
      </c>
      <c r="I424" s="187" t="n">
        <v>9</v>
      </c>
      <c r="J424" s="187" t="inlineStr">
        <is>
          <t>NO</t>
        </is>
      </c>
      <c r="K424" s="187" t="inlineStr">
        <is>
          <t>https://nvd.nist.gov/vuln/detail/CVE-2026-1658</t>
        </is>
      </c>
      <c r="L424" s="187" t="inlineStr">
        <is>
          <t>2026-02-26 00:15</t>
        </is>
      </c>
      <c r="M424" s="187" t="inlineStr">
        <is>
          <t>CHECK_VENDOR</t>
        </is>
      </c>
      <c r="N424" s="187" t="inlineStr">
        <is>
          <t>See NVD references</t>
        </is>
      </c>
      <c r="O424" s="187" t="inlineStr">
        <is>
          <t>Apply vendor patches</t>
        </is>
      </c>
      <c r="P424" s="187" t="inlineStr">
        <is>
          <t>See CVE details</t>
        </is>
      </c>
      <c r="Q424" s="187" t="inlineStr">
        <is>
          <t>P4</t>
        </is>
      </c>
      <c r="R424" s="187" t="inlineStr">
        <is>
          <t>📅 Schedule patch deployment within 30 days | 🔍 Monitor for exploitation attempts</t>
        </is>
      </c>
      <c r="S424" s="187" t="inlineStr">
        <is>
          <t>CVE - IP enrichment n/a</t>
        </is>
      </c>
      <c r="T424" s="187" t="n">
        <v>0</v>
      </c>
      <c r="U424" s="187" t="n">
        <v>0</v>
      </c>
      <c r="V424" s="187" t="inlineStr">
        <is>
          <t>T1190:Exploit Public-Facing Application</t>
        </is>
      </c>
      <c r="W424" s="187" t="n">
        <v>1</v>
      </c>
      <c r="X424" s="187" t="inlineStr">
        <is>
          <t>LOW (40%)</t>
        </is>
      </c>
      <c r="Y424" s="187" t="inlineStr">
        <is>
          <t>UNLIKELY</t>
        </is>
      </c>
      <c r="Z424" s="187" t="inlineStr">
        <is>
          <t>CHECK_VENDOR</t>
        </is>
      </c>
      <c r="AA424" s="187" t="inlineStr">
        <is>
          <t>https://nvd.nist.gov/vuln/detail/CVE-2026-1658</t>
        </is>
      </c>
      <c r="AB424" s="187" t="inlineStr">
        <is>
          <t>NONE</t>
        </is>
      </c>
      <c r="AC424" s="187" t="n">
        <v>0</v>
      </c>
      <c r="AD424" s="187" t="inlineStr"/>
    </row>
    <row r="425">
      <c r="A425" s="188" t="inlineStr">
        <is>
          <t>CVE</t>
        </is>
      </c>
      <c r="B425" s="188" t="inlineStr">
        <is>
          <t>CVE-2026-21535</t>
        </is>
      </c>
      <c r="C425" s="188" t="inlineStr">
        <is>
          <t>Improper access control in Microsoft Teams allows an unauthorized attacker to disclose information over a network.</t>
        </is>
      </c>
      <c r="D425" s="188" t="n">
        <v>8.199999999999999</v>
      </c>
      <c r="E425" s="188" t="inlineStr">
        <is>
          <t>HIGH</t>
        </is>
      </c>
      <c r="F425" s="188" t="n">
        <v>2</v>
      </c>
      <c r="G425" s="188" t="n">
        <v>3</v>
      </c>
      <c r="H425" s="188" t="inlineStr">
        <is>
          <t>HIGH</t>
        </is>
      </c>
      <c r="I425" s="188" t="n">
        <v>14.2</v>
      </c>
      <c r="J425" s="188" t="inlineStr">
        <is>
          <t>NO</t>
        </is>
      </c>
      <c r="K425" s="188" t="inlineStr">
        <is>
          <t>https://nvd.nist.gov/vuln/detail/CVE-2026-21535</t>
        </is>
      </c>
      <c r="L425" s="188" t="inlineStr">
        <is>
          <t>2026-02-26 00:15</t>
        </is>
      </c>
      <c r="M425" s="188" t="inlineStr">
        <is>
          <t>YES</t>
        </is>
      </c>
      <c r="N425" s="188" t="inlineStr">
        <is>
          <t>https://msrc.microsoft.com/update-guide/vulnerability/CVE-2026-21535</t>
        </is>
      </c>
      <c r="O425" s="188" t="inlineStr">
        <is>
          <t>Apply vendor patches</t>
        </is>
      </c>
      <c r="P425" s="188" t="inlineStr">
        <is>
          <t>microsoft teams -</t>
        </is>
      </c>
      <c r="Q425" s="188" t="inlineStr">
        <is>
          <t>P3</t>
        </is>
      </c>
      <c r="R425" s="188" t="inlineStr">
        <is>
          <t>🚨 URGENT: Apply vendor patches immediately | 🔒 Isolate affected systems if patch unavailable | 🛡️ Enable additional monitoring/IDS rules</t>
        </is>
      </c>
      <c r="S425" s="188" t="inlineStr">
        <is>
          <t>CVE - IP enrichment n/a</t>
        </is>
      </c>
      <c r="T425" s="188" t="n">
        <v>0</v>
      </c>
      <c r="U425" s="188" t="n">
        <v>0</v>
      </c>
      <c r="V425" s="188" t="inlineStr">
        <is>
          <t>T1190:Exploit Public-Facing Application</t>
        </is>
      </c>
      <c r="W425" s="188" t="n">
        <v>1</v>
      </c>
      <c r="X425" s="188" t="inlineStr">
        <is>
          <t>LOW (40%)</t>
        </is>
      </c>
      <c r="Y425" s="188" t="inlineStr">
        <is>
          <t>UNLIKELY</t>
        </is>
      </c>
      <c r="Z425" s="188" t="inlineStr">
        <is>
          <t>PATCH_AVAILABLE</t>
        </is>
      </c>
      <c r="AA425" s="188" t="inlineStr">
        <is>
          <t>https://nvd.nist.gov/vuln/detail/CVE-2026-21535</t>
        </is>
      </c>
      <c r="AB425" s="188" t="inlineStr">
        <is>
          <t>NONE</t>
        </is>
      </c>
      <c r="AC425" s="188" t="n">
        <v>0</v>
      </c>
      <c r="AD425" s="188" t="inlineStr"/>
    </row>
    <row r="426">
      <c r="A426" s="190" t="inlineStr">
        <is>
          <t>CVE</t>
        </is>
      </c>
      <c r="B426" s="190" t="inlineStr">
        <is>
          <t>CVE-2026-24122</t>
        </is>
      </c>
      <c r="C426" s="190" t="inlineStr">
        <is>
          <t>Cosign provides code signing and transparency for containers and binaries. In versions 3.0.4 and below, an issuing certificate with a validity that expires before the leaf certificate will be considered valid during verification even if the provided timestamp would mean the issuing certificate should be considered expired. When verifying artifact signatures using a certificate, Cosign first verifies the certificate chain using the leaf certificate's "not before" timestamp and later checks expiry</t>
        </is>
      </c>
      <c r="D426" s="190" t="n">
        <v>3.7</v>
      </c>
      <c r="E426" s="190" t="inlineStr">
        <is>
          <t>LOW</t>
        </is>
      </c>
      <c r="F426" s="190" t="n">
        <v>2</v>
      </c>
      <c r="G426" s="190" t="n">
        <v>1</v>
      </c>
      <c r="H426" s="190" t="inlineStr">
        <is>
          <t>LOW</t>
        </is>
      </c>
      <c r="I426" s="190" t="n">
        <v>5.7</v>
      </c>
      <c r="J426" s="190" t="inlineStr">
        <is>
          <t>NO</t>
        </is>
      </c>
      <c r="K426" s="190" t="inlineStr">
        <is>
          <t>https://nvd.nist.gov/vuln/detail/CVE-2026-24122</t>
        </is>
      </c>
      <c r="L426" s="190" t="inlineStr">
        <is>
          <t>2026-02-26 00:15</t>
        </is>
      </c>
      <c r="M426" s="190" t="inlineStr">
        <is>
          <t>YES</t>
        </is>
      </c>
      <c r="N426" s="190" t="inlineStr">
        <is>
          <t>https://github.com/sigstore/cosign/commit/3c9a7363f563db76d78e2de2cabd945450f3781e | https://github.com/sigstore/cosign/security/advisories/GHSA-wfqv-66vq-46rm</t>
        </is>
      </c>
      <c r="O426" s="190" t="inlineStr">
        <is>
          <t>Apply vendor patches</t>
        </is>
      </c>
      <c r="P426" s="190" t="inlineStr">
        <is>
          <t>sigstore cosign *</t>
        </is>
      </c>
      <c r="Q426" s="190" t="inlineStr">
        <is>
          <t>P4</t>
        </is>
      </c>
      <c r="R426" s="190" t="inlineStr">
        <is>
          <t>📅 Schedule patch deployment within 30 days | 🔍 Monitor for exploitation attempts</t>
        </is>
      </c>
      <c r="S426" s="190" t="inlineStr">
        <is>
          <t>CVE - IP enrichment n/a</t>
        </is>
      </c>
      <c r="T426" s="190" t="n">
        <v>0</v>
      </c>
      <c r="U426" s="190" t="n">
        <v>0</v>
      </c>
      <c r="V426" s="190" t="inlineStr">
        <is>
          <t>T1190:Exploit Public-Facing Application</t>
        </is>
      </c>
      <c r="W426" s="190" t="n">
        <v>1</v>
      </c>
      <c r="X426" s="190" t="inlineStr">
        <is>
          <t>LOW (40%)</t>
        </is>
      </c>
      <c r="Y426" s="190" t="inlineStr">
        <is>
          <t>UNLIKELY</t>
        </is>
      </c>
      <c r="Z426" s="190" t="inlineStr">
        <is>
          <t>PATCH_AVAILABLE</t>
        </is>
      </c>
      <c r="AA426" s="190" t="inlineStr">
        <is>
          <t>https://nvd.nist.gov/vuln/detail/CVE-2026-24122</t>
        </is>
      </c>
      <c r="AB426" s="190" t="inlineStr">
        <is>
          <t>NONE</t>
        </is>
      </c>
      <c r="AC426" s="190" t="n">
        <v>0</v>
      </c>
      <c r="AD426" s="190" t="inlineStr"/>
    </row>
    <row r="427">
      <c r="A427" s="188" t="inlineStr">
        <is>
          <t>CVE</t>
        </is>
      </c>
      <c r="B427" s="188" t="inlineStr">
        <is>
          <t>CVE-2026-26319</t>
        </is>
      </c>
      <c r="C427" s="188" t="inlineStr">
        <is>
          <t>OpenClaw is a personal AI assistant. Versions 2026.2.13 and below allow the optional @openclaw/voice-call plugin Telnyx webhook handler to accept unsigned inbound webhook requests when telnyx.publicKey is not configured, enabling unauthenticated callers to forge Telnyx events. Telnyx webhooks are expected to be authenticated via Ed25519 signature verification. In affected versions, TelnyxProvider.verifyWebhook() could effectively fail open when no Telnyx public key was configured, allowing arbit</t>
        </is>
      </c>
      <c r="D427" s="188" t="n">
        <v>7.5</v>
      </c>
      <c r="E427" s="188" t="inlineStr">
        <is>
          <t>HIGH</t>
        </is>
      </c>
      <c r="F427" s="188" t="n">
        <v>2</v>
      </c>
      <c r="G427" s="188" t="n">
        <v>3</v>
      </c>
      <c r="H427" s="188" t="inlineStr">
        <is>
          <t>HIGH</t>
        </is>
      </c>
      <c r="I427" s="188" t="n">
        <v>13.5</v>
      </c>
      <c r="J427" s="188" t="inlineStr">
        <is>
          <t>NO</t>
        </is>
      </c>
      <c r="K427" s="188" t="inlineStr">
        <is>
          <t>https://nvd.nist.gov/vuln/detail/CVE-2026-26319</t>
        </is>
      </c>
      <c r="L427" s="188" t="inlineStr">
        <is>
          <t>2026-02-26 00:15</t>
        </is>
      </c>
      <c r="M427" s="188" t="inlineStr">
        <is>
          <t>YES</t>
        </is>
      </c>
      <c r="N427" s="188" t="inlineStr">
        <is>
          <t>https://github.com/openclaw/openclaw/commit/29b587e73cbdc941caec573facd16e87d52f007b | https://github.com/openclaw/openclaw/commit/f47584fec86d6d73f2d483043a2ad0e7e3c50411 | https://github.com/openclaw/openclaw/security/advisories/GHSA-4hg8-92x6-h2f3</t>
        </is>
      </c>
      <c r="O427" s="188" t="inlineStr">
        <is>
          <t>https://github.com/openclaw/openclaw/security/advisories/GHSA-4hg8-92x6-h2f3</t>
        </is>
      </c>
      <c r="P427" s="188" t="inlineStr">
        <is>
          <t>openclaw openclaw *</t>
        </is>
      </c>
      <c r="Q427" s="188" t="inlineStr">
        <is>
          <t>P3</t>
        </is>
      </c>
      <c r="R427" s="188" t="inlineStr">
        <is>
          <t>🚨 URGENT: Apply vendor patches immediately | 🔒 Isolate affected systems if patch unavailable | 🛡️ Enable additional monitoring/IDS rules</t>
        </is>
      </c>
      <c r="S427" s="188" t="inlineStr">
        <is>
          <t>CVE - IP enrichment n/a</t>
        </is>
      </c>
      <c r="T427" s="188" t="n">
        <v>0.0004</v>
      </c>
      <c r="U427" s="188" t="n">
        <v>0.1238</v>
      </c>
      <c r="V427" s="188" t="inlineStr">
        <is>
          <t>T1078:Valid Accounts</t>
        </is>
      </c>
      <c r="W427" s="188" t="n">
        <v>1</v>
      </c>
      <c r="X427" s="188" t="inlineStr">
        <is>
          <t>LOW (40%)</t>
        </is>
      </c>
      <c r="Y427" s="188" t="inlineStr">
        <is>
          <t>UNLIKELY</t>
        </is>
      </c>
      <c r="Z427" s="188" t="inlineStr">
        <is>
          <t>PATCH_AVAILABLE</t>
        </is>
      </c>
      <c r="AA427" s="188" t="inlineStr">
        <is>
          <t>https://nvd.nist.gov/vuln/detail/CVE-2026-26319</t>
        </is>
      </c>
      <c r="AB427" s="188" t="inlineStr">
        <is>
          <t>NONE</t>
        </is>
      </c>
      <c r="AC427" s="188" t="n">
        <v>0</v>
      </c>
      <c r="AD427" s="188" t="inlineStr"/>
    </row>
    <row r="428">
      <c r="A428" s="187" t="inlineStr">
        <is>
          <t>CVE</t>
        </is>
      </c>
      <c r="B428" s="187" t="inlineStr">
        <is>
          <t>CVE-2026-26320</t>
        </is>
      </c>
      <c r="C428" s="187" t="inlineStr">
        <is>
          <t>OpenClaw is a personal AI assistant. OpenClaw macOS desktop client registers the `openclaw://` URL scheme. For `openclaw://agent` deep links without an unattended `key`, the app shows a confirmation dialog that previously displayed only the first 240 characters of the message, but executed the full message after the user clicked "Run." At the time of writing, the OpenClaw macOS desktop client is still in beta. In versions 2026.2.6 through 2026.2.13, an attacker could pad the message with whitesp</t>
        </is>
      </c>
      <c r="D428" s="187" t="n">
        <v>6.5</v>
      </c>
      <c r="E428" s="187" t="inlineStr">
        <is>
          <t>MEDIUM</t>
        </is>
      </c>
      <c r="F428" s="187" t="n">
        <v>2</v>
      </c>
      <c r="G428" s="187" t="n">
        <v>2</v>
      </c>
      <c r="H428" s="187" t="inlineStr">
        <is>
          <t>MEDIUM</t>
        </is>
      </c>
      <c r="I428" s="187" t="n">
        <v>10.5</v>
      </c>
      <c r="J428" s="187" t="inlineStr">
        <is>
          <t>NO</t>
        </is>
      </c>
      <c r="K428" s="187" t="inlineStr">
        <is>
          <t>https://nvd.nist.gov/vuln/detail/CVE-2026-26320</t>
        </is>
      </c>
      <c r="L428" s="187" t="inlineStr">
        <is>
          <t>2026-02-26 00:15</t>
        </is>
      </c>
      <c r="M428" s="187" t="inlineStr">
        <is>
          <t>YES</t>
        </is>
      </c>
      <c r="N428" s="187" t="inlineStr">
        <is>
          <t>https://github.com/openclaw/openclaw/commit/28d9dd7a772501ccc3f71457b4adfee79084fe6f | https://github.com/openclaw/openclaw/security/advisories/GHSA-7q2j-c4q5-rm27</t>
        </is>
      </c>
      <c r="O428" s="187" t="inlineStr">
        <is>
          <t>https://github.com/openclaw/openclaw/security/advisories/GHSA-7q2j-c4q5-rm27</t>
        </is>
      </c>
      <c r="P428" s="187" t="inlineStr">
        <is>
          <t>openclaw openclaw * | apple macos -</t>
        </is>
      </c>
      <c r="Q428" s="187" t="inlineStr">
        <is>
          <t>P4</t>
        </is>
      </c>
      <c r="R428" s="187" t="inlineStr">
        <is>
          <t>📅 Schedule patch deployment within 30 days | 🔍 Monitor for exploitation attempts</t>
        </is>
      </c>
      <c r="S428" s="187" t="inlineStr">
        <is>
          <t>CVE - IP enrichment n/a</t>
        </is>
      </c>
      <c r="T428" s="187" t="n">
        <v>0</v>
      </c>
      <c r="U428" s="187" t="n">
        <v>0</v>
      </c>
      <c r="V428" s="187" t="inlineStr">
        <is>
          <t>T1190:Exploit Public-Facing Application</t>
        </is>
      </c>
      <c r="W428" s="187" t="n">
        <v>1</v>
      </c>
      <c r="X428" s="187" t="inlineStr">
        <is>
          <t>LOW (40%)</t>
        </is>
      </c>
      <c r="Y428" s="187" t="inlineStr">
        <is>
          <t>UNLIKELY</t>
        </is>
      </c>
      <c r="Z428" s="187" t="inlineStr">
        <is>
          <t>PATCH_AVAILABLE</t>
        </is>
      </c>
      <c r="AA428" s="187" t="inlineStr">
        <is>
          <t>https://nvd.nist.gov/vuln/detail/CVE-2026-26320</t>
        </is>
      </c>
      <c r="AB428" s="187" t="inlineStr">
        <is>
          <t>NONE</t>
        </is>
      </c>
      <c r="AC428" s="187" t="n">
        <v>0</v>
      </c>
      <c r="AD428" s="187" t="inlineStr"/>
    </row>
    <row r="429">
      <c r="A429" s="188" t="inlineStr">
        <is>
          <t>CVE</t>
        </is>
      </c>
      <c r="B429" s="188" t="inlineStr">
        <is>
          <t>CVE-2026-26321</t>
        </is>
      </c>
      <c r="C429" s="188" t="inlineStr">
        <is>
          <t>OpenClaw is a personal AI assistant. Prior to OpenClaw version 2026.2.14, the Feishu extension previously allowed `sendMediaFeishu` to treat attacker-controlled `mediaUrl` values as local filesystem paths and read them directly. If an attacker can influence tool calls (directly or via prompt injection), they may be able to exfiltrate local files by supplying paths such as `/etc/passwd` as `mediaUrl`. Upgrade to OpenClaw `2026.2.14` or newer to receive a fix. The fix removes direct local file rea</t>
        </is>
      </c>
      <c r="D429" s="188" t="n">
        <v>7.5</v>
      </c>
      <c r="E429" s="188" t="inlineStr">
        <is>
          <t>HIGH</t>
        </is>
      </c>
      <c r="F429" s="188" t="n">
        <v>2</v>
      </c>
      <c r="G429" s="188" t="n">
        <v>3</v>
      </c>
      <c r="H429" s="188" t="inlineStr">
        <is>
          <t>HIGH</t>
        </is>
      </c>
      <c r="I429" s="188" t="n">
        <v>13.5</v>
      </c>
      <c r="J429" s="188" t="inlineStr">
        <is>
          <t>NO</t>
        </is>
      </c>
      <c r="K429" s="188" t="inlineStr">
        <is>
          <t>https://nvd.nist.gov/vuln/detail/CVE-2026-26321</t>
        </is>
      </c>
      <c r="L429" s="188" t="inlineStr">
        <is>
          <t>2026-02-26 00:15</t>
        </is>
      </c>
      <c r="M429" s="188" t="inlineStr">
        <is>
          <t>YES</t>
        </is>
      </c>
      <c r="N429" s="188" t="inlineStr">
        <is>
          <t>https://github.com/openclaw/openclaw/commit/5b4121d6011a48c71e747e3c18197f180b872c5d | https://github.com/openclaw/openclaw/security/advisories/GHSA-8jpq-5h99-ff5r</t>
        </is>
      </c>
      <c r="O429" s="188" t="inlineStr">
        <is>
          <t>Apply vendor patches</t>
        </is>
      </c>
      <c r="P429" s="188" t="inlineStr">
        <is>
          <t>openclaw openclaw *</t>
        </is>
      </c>
      <c r="Q429" s="188" t="inlineStr">
        <is>
          <t>P3</t>
        </is>
      </c>
      <c r="R429" s="188" t="inlineStr">
        <is>
          <t>🚨 URGENT: Apply vendor patches immediately | 🔒 Isolate affected systems if patch unavailable | 🛡️ Enable additional monitoring/IDS rules</t>
        </is>
      </c>
      <c r="S429" s="188" t="inlineStr">
        <is>
          <t>CVE - IP enrichment n/a</t>
        </is>
      </c>
      <c r="T429" s="188" t="n">
        <v>0</v>
      </c>
      <c r="U429" s="188" t="n">
        <v>0</v>
      </c>
      <c r="V429" s="188" t="inlineStr">
        <is>
          <t>T1083:File and Directory Discovery | T1190:Exploit Public-Facing Application</t>
        </is>
      </c>
      <c r="W429" s="188" t="n">
        <v>1</v>
      </c>
      <c r="X429" s="188" t="inlineStr">
        <is>
          <t>LOW (40%)</t>
        </is>
      </c>
      <c r="Y429" s="188" t="inlineStr">
        <is>
          <t>UNLIKELY</t>
        </is>
      </c>
      <c r="Z429" s="188" t="inlineStr">
        <is>
          <t>PATCH_AVAILABLE</t>
        </is>
      </c>
      <c r="AA429" s="188" t="inlineStr">
        <is>
          <t>https://nvd.nist.gov/vuln/detail/CVE-2026-26321</t>
        </is>
      </c>
      <c r="AB429" s="188" t="inlineStr">
        <is>
          <t>NONE</t>
        </is>
      </c>
      <c r="AC429" s="188" t="n">
        <v>0</v>
      </c>
      <c r="AD429" s="188" t="inlineStr"/>
    </row>
    <row r="430">
      <c r="A430" s="188" t="inlineStr">
        <is>
          <t>CVE</t>
        </is>
      </c>
      <c r="B430" s="188" t="inlineStr">
        <is>
          <t>CVE-2026-26322</t>
        </is>
      </c>
      <c r="C430" s="188" t="inlineStr">
        <is>
          <t xml:space="preserve">OpenClaw is a personal AI assistant. Prior to OpenClaw version 2026.2.14, the Gateway tool accepted a tool-supplied `gatewayUrl` without sufficient restrictions, which could cause the OpenClaw host to attempt outbound WebSocket connections to user-specified targets. This requires the ability to invoke tools that accept `gatewayUrl` overrides (directly or indirectly). In typical setups this is limited to authenticated operators, trusted automation, or environments where tool calls are exposed to </t>
        </is>
      </c>
      <c r="D430" s="188" t="n">
        <v>7.6</v>
      </c>
      <c r="E430" s="188" t="inlineStr">
        <is>
          <t>HIGH</t>
        </is>
      </c>
      <c r="F430" s="188" t="n">
        <v>2</v>
      </c>
      <c r="G430" s="188" t="n">
        <v>3</v>
      </c>
      <c r="H430" s="188" t="inlineStr">
        <is>
          <t>HIGH</t>
        </is>
      </c>
      <c r="I430" s="188" t="n">
        <v>13.6</v>
      </c>
      <c r="J430" s="188" t="inlineStr">
        <is>
          <t>NO</t>
        </is>
      </c>
      <c r="K430" s="188" t="inlineStr">
        <is>
          <t>https://nvd.nist.gov/vuln/detail/CVE-2026-26322</t>
        </is>
      </c>
      <c r="L430" s="188" t="inlineStr">
        <is>
          <t>2026-02-26 00:15</t>
        </is>
      </c>
      <c r="M430" s="188" t="inlineStr">
        <is>
          <t>YES</t>
        </is>
      </c>
      <c r="N430" s="188" t="inlineStr">
        <is>
          <t>https://github.com/openclaw/openclaw/commit/c5406e1d2434be2ef6eb4d26d8f1798d718713f4 | https://github.com/openclaw/openclaw/security/advisories/GHSA-g6q9-8fvw-f7rf</t>
        </is>
      </c>
      <c r="O430" s="188" t="inlineStr">
        <is>
          <t>Apply vendor patches</t>
        </is>
      </c>
      <c r="P430" s="188" t="inlineStr">
        <is>
          <t>openclaw openclaw *</t>
        </is>
      </c>
      <c r="Q430" s="188" t="inlineStr">
        <is>
          <t>P3</t>
        </is>
      </c>
      <c r="R430" s="188" t="inlineStr">
        <is>
          <t>🚨 URGENT: Apply vendor patches immediately | 🔒 Isolate affected systems if patch unavailable | 🛡️ Enable additional monitoring/IDS rules</t>
        </is>
      </c>
      <c r="S430" s="188" t="inlineStr">
        <is>
          <t>CVE - IP enrichment n/a</t>
        </is>
      </c>
      <c r="T430" s="188" t="n">
        <v>0</v>
      </c>
      <c r="U430" s="188" t="n">
        <v>0</v>
      </c>
      <c r="V430" s="188" t="inlineStr">
        <is>
          <t>T1090:Proxy | T1552:Unsecured Credentials</t>
        </is>
      </c>
      <c r="W430" s="188" t="n">
        <v>1</v>
      </c>
      <c r="X430" s="188" t="inlineStr">
        <is>
          <t>LOW (40%)</t>
        </is>
      </c>
      <c r="Y430" s="188" t="inlineStr">
        <is>
          <t>UNLIKELY</t>
        </is>
      </c>
      <c r="Z430" s="188" t="inlineStr">
        <is>
          <t>PATCH_AVAILABLE</t>
        </is>
      </c>
      <c r="AA430" s="188" t="inlineStr">
        <is>
          <t>https://nvd.nist.gov/vuln/detail/CVE-2026-26322</t>
        </is>
      </c>
      <c r="AB430" s="188" t="inlineStr">
        <is>
          <t>NONE</t>
        </is>
      </c>
      <c r="AC430" s="188" t="n">
        <v>0</v>
      </c>
      <c r="AD430" s="188" t="inlineStr"/>
    </row>
    <row r="431">
      <c r="A431" s="188" t="inlineStr">
        <is>
          <t>CVE</t>
        </is>
      </c>
      <c r="B431" s="188" t="inlineStr">
        <is>
          <t>CVE-2026-26323</t>
        </is>
      </c>
      <c r="C431" s="188" t="inlineStr">
        <is>
          <t>OpenClaw is a personal AI assistant. Versions 2026.1.8 through 2026.2.13 have a command injection in the maintainer/dev script `scripts/update-clawtributors.ts`. The issue affects contributors/maintainers (or CI) who run `bun scripts/update-clawtributors.ts` in a source checkout that contains a malicious commit author email (e.g. crafted `@users[.]noreply[.]github[.]com` values). Normal CLI usage is not affected (`npm i -g openclaw`): this script is not part of the shipped CLI and is not execute</t>
        </is>
      </c>
      <c r="D431" s="188" t="n">
        <v>8.800000000000001</v>
      </c>
      <c r="E431" s="188" t="inlineStr">
        <is>
          <t>HIGH</t>
        </is>
      </c>
      <c r="F431" s="188" t="n">
        <v>2</v>
      </c>
      <c r="G431" s="188" t="n">
        <v>3</v>
      </c>
      <c r="H431" s="188" t="inlineStr">
        <is>
          <t>HIGH</t>
        </is>
      </c>
      <c r="I431" s="188" t="n">
        <v>14.8</v>
      </c>
      <c r="J431" s="188" t="inlineStr">
        <is>
          <t>NO</t>
        </is>
      </c>
      <c r="K431" s="188" t="inlineStr">
        <is>
          <t>https://nvd.nist.gov/vuln/detail/CVE-2026-26323</t>
        </is>
      </c>
      <c r="L431" s="188" t="inlineStr">
        <is>
          <t>2026-02-26 00:15</t>
        </is>
      </c>
      <c r="M431" s="188" t="inlineStr">
        <is>
          <t>YES</t>
        </is>
      </c>
      <c r="N431" s="188" t="inlineStr">
        <is>
          <t>https://github.com/openclaw/openclaw/commit/a429380e337152746031d290432a4b93aa553d55 | https://github.com/openclaw/openclaw/security/advisories/GHSA-m7x8-2w3w-pr42</t>
        </is>
      </c>
      <c r="O431" s="188" t="inlineStr">
        <is>
          <t>Apply vendor patches</t>
        </is>
      </c>
      <c r="P431" s="188" t="inlineStr">
        <is>
          <t>openclaw openclaw *</t>
        </is>
      </c>
      <c r="Q431" s="188" t="inlineStr">
        <is>
          <t>P3</t>
        </is>
      </c>
      <c r="R431" s="188" t="inlineStr">
        <is>
          <t>🚨 URGENT: Apply vendor patches immediately | 🔒 Isolate affected systems if patch unavailable | 🛡️ Enable additional monitoring/IDS rules</t>
        </is>
      </c>
      <c r="S431" s="188" t="inlineStr">
        <is>
          <t>CVE - IP enrichment n/a</t>
        </is>
      </c>
      <c r="T431" s="188" t="n">
        <v>0</v>
      </c>
      <c r="U431" s="188" t="n">
        <v>0</v>
      </c>
      <c r="V431" s="188" t="inlineStr">
        <is>
          <t>T1059:Command and Scripting Interpreter | T1190:Exploit Public-Facing Application</t>
        </is>
      </c>
      <c r="W431" s="188" t="n">
        <v>1</v>
      </c>
      <c r="X431" s="188" t="inlineStr">
        <is>
          <t>LOW (40%)</t>
        </is>
      </c>
      <c r="Y431" s="188" t="inlineStr">
        <is>
          <t>UNLIKELY</t>
        </is>
      </c>
      <c r="Z431" s="188" t="inlineStr">
        <is>
          <t>PATCH_AVAILABLE</t>
        </is>
      </c>
      <c r="AA431" s="188" t="inlineStr">
        <is>
          <t>https://nvd.nist.gov/vuln/detail/CVE-2026-26323</t>
        </is>
      </c>
      <c r="AB431" s="188" t="inlineStr">
        <is>
          <t>NONE</t>
        </is>
      </c>
      <c r="AC431" s="188" t="n">
        <v>0</v>
      </c>
      <c r="AD431" s="188" t="inlineStr"/>
    </row>
    <row r="432">
      <c r="A432" s="188" t="inlineStr">
        <is>
          <t>CVE</t>
        </is>
      </c>
      <c r="B432" s="188" t="inlineStr">
        <is>
          <t>CVE-2026-26324</t>
        </is>
      </c>
      <c r="C432" s="188" t="inlineStr">
        <is>
          <t>OpenClaw is a personal AI assistant. Prior to version 2026.2.14, OpenClaw's SSRF protection could be bypassed using full-form IPv4-mapped IPv6 literals such as `0:0:0:0:0:ffff:7f00:1` (which is `127.0.0.1`). This could allow requests that should be blocked (loopback / private network / link-local metadata) to pass the SSRF guard. Version 2026.2.14 patches the issue.</t>
        </is>
      </c>
      <c r="D432" s="188" t="n">
        <v>7.5</v>
      </c>
      <c r="E432" s="188" t="inlineStr">
        <is>
          <t>HIGH</t>
        </is>
      </c>
      <c r="F432" s="188" t="n">
        <v>2</v>
      </c>
      <c r="G432" s="188" t="n">
        <v>3</v>
      </c>
      <c r="H432" s="188" t="inlineStr">
        <is>
          <t>HIGH</t>
        </is>
      </c>
      <c r="I432" s="188" t="n">
        <v>13.5</v>
      </c>
      <c r="J432" s="188" t="inlineStr">
        <is>
          <t>NO</t>
        </is>
      </c>
      <c r="K432" s="188" t="inlineStr">
        <is>
          <t>https://nvd.nist.gov/vuln/detail/CVE-2026-26324</t>
        </is>
      </c>
      <c r="L432" s="188" t="inlineStr">
        <is>
          <t>2026-02-26 00:15</t>
        </is>
      </c>
      <c r="M432" s="188" t="inlineStr">
        <is>
          <t>YES</t>
        </is>
      </c>
      <c r="N432" s="188" t="inlineStr">
        <is>
          <t>https://github.com/openclaw/openclaw/commit/c0c0e0f9aecb913e738742f73e091f2f72d39a19 | https://github.com/openclaw/openclaw/security/advisories/GHSA-jrvc-8ff5-2f9f</t>
        </is>
      </c>
      <c r="O432" s="188" t="inlineStr">
        <is>
          <t>Apply vendor patches</t>
        </is>
      </c>
      <c r="P432" s="188" t="inlineStr">
        <is>
          <t>openclaw openclaw *</t>
        </is>
      </c>
      <c r="Q432" s="188" t="inlineStr">
        <is>
          <t>P3</t>
        </is>
      </c>
      <c r="R432" s="188" t="inlineStr">
        <is>
          <t>🚨 URGENT: Apply vendor patches immediately | 🔒 Isolate affected systems if patch unavailable | 🛡️ Enable additional monitoring/IDS rules</t>
        </is>
      </c>
      <c r="S432" s="188" t="inlineStr">
        <is>
          <t>CVE - IP enrichment n/a</t>
        </is>
      </c>
      <c r="T432" s="188" t="n">
        <v>0</v>
      </c>
      <c r="U432" s="188" t="n">
        <v>0</v>
      </c>
      <c r="V432" s="188" t="inlineStr">
        <is>
          <t>T1090:Proxy</t>
        </is>
      </c>
      <c r="W432" s="188" t="n">
        <v>1</v>
      </c>
      <c r="X432" s="188" t="inlineStr">
        <is>
          <t>LOW (40%)</t>
        </is>
      </c>
      <c r="Y432" s="188" t="inlineStr">
        <is>
          <t>UNLIKELY</t>
        </is>
      </c>
      <c r="Z432" s="188" t="inlineStr">
        <is>
          <t>PATCH_AVAILABLE</t>
        </is>
      </c>
      <c r="AA432" s="188" t="inlineStr">
        <is>
          <t>https://nvd.nist.gov/vuln/detail/CVE-2026-26324</t>
        </is>
      </c>
      <c r="AB432" s="188" t="inlineStr">
        <is>
          <t>NONE</t>
        </is>
      </c>
      <c r="AC432" s="188" t="n">
        <v>0</v>
      </c>
      <c r="AD432" s="188" t="inlineStr"/>
    </row>
    <row r="433">
      <c r="A433" s="188" t="inlineStr">
        <is>
          <t>CVE</t>
        </is>
      </c>
      <c r="B433" s="188" t="inlineStr">
        <is>
          <t>CVE-2026-26325</t>
        </is>
      </c>
      <c r="C433" s="188" t="inlineStr">
        <is>
          <t>OpenClaw is a personal AI assistant. Prior to version 2026.2.14, a mismatch between `rawCommand` and `command[]` in the node host `system.run` handler could cause allowlist/approval evaluation to be performed on one command while executing a different argv. This only impacts deployments that use the node host / companion node execution path (`system.run` on a node), enable allowlist-based exec policy (`security=allowlist`) with approval prompting driven by allowlist misses (for example `ask=on-m</t>
        </is>
      </c>
      <c r="D433" s="188" t="n">
        <v>7.2</v>
      </c>
      <c r="E433" s="188" t="inlineStr">
        <is>
          <t>HIGH</t>
        </is>
      </c>
      <c r="F433" s="188" t="n">
        <v>2</v>
      </c>
      <c r="G433" s="188" t="n">
        <v>3</v>
      </c>
      <c r="H433" s="188" t="inlineStr">
        <is>
          <t>HIGH</t>
        </is>
      </c>
      <c r="I433" s="188" t="n">
        <v>13.2</v>
      </c>
      <c r="J433" s="188" t="inlineStr">
        <is>
          <t>NO</t>
        </is>
      </c>
      <c r="K433" s="188" t="inlineStr">
        <is>
          <t>https://nvd.nist.gov/vuln/detail/CVE-2026-26325</t>
        </is>
      </c>
      <c r="L433" s="188" t="inlineStr">
        <is>
          <t>2026-02-26 00:15</t>
        </is>
      </c>
      <c r="M433" s="188" t="inlineStr">
        <is>
          <t>YES</t>
        </is>
      </c>
      <c r="N433" s="188" t="inlineStr">
        <is>
          <t>https://github.com/openclaw/openclaw/commit/cb3290fca32593956638f161d9776266b90ab891 | https://github.com/openclaw/openclaw/security/advisories/GHSA-h3f9-mjwj-w476</t>
        </is>
      </c>
      <c r="O433" s="188" t="inlineStr">
        <is>
          <t>Apply vendor patches</t>
        </is>
      </c>
      <c r="P433" s="188" t="inlineStr">
        <is>
          <t>openclaw openclaw *</t>
        </is>
      </c>
      <c r="Q433" s="188" t="inlineStr">
        <is>
          <t>P3</t>
        </is>
      </c>
      <c r="R433" s="188" t="inlineStr">
        <is>
          <t>🚨 URGENT: Apply vendor patches immediately | 🔒 Isolate affected systems if patch unavailable | 🛡️ Enable additional monitoring/IDS rules</t>
        </is>
      </c>
      <c r="S433" s="188" t="inlineStr">
        <is>
          <t>CVE - IP enrichment n/a</t>
        </is>
      </c>
      <c r="T433" s="188" t="n">
        <v>0.0003</v>
      </c>
      <c r="U433" s="188" t="n">
        <v>0.0871</v>
      </c>
      <c r="V433" s="188" t="inlineStr">
        <is>
          <t>T1190:Exploit Public-Facing Application</t>
        </is>
      </c>
      <c r="W433" s="188" t="n">
        <v>1</v>
      </c>
      <c r="X433" s="188" t="inlineStr">
        <is>
          <t>LOW (40%)</t>
        </is>
      </c>
      <c r="Y433" s="188" t="inlineStr">
        <is>
          <t>UNLIKELY</t>
        </is>
      </c>
      <c r="Z433" s="188" t="inlineStr">
        <is>
          <t>PATCH_AVAILABLE</t>
        </is>
      </c>
      <c r="AA433" s="188" t="inlineStr">
        <is>
          <t>https://nvd.nist.gov/vuln/detail/CVE-2026-26325</t>
        </is>
      </c>
      <c r="AB433" s="188" t="inlineStr">
        <is>
          <t>NONE</t>
        </is>
      </c>
      <c r="AC433" s="188" t="n">
        <v>0</v>
      </c>
      <c r="AD433" s="188" t="inlineStr"/>
    </row>
    <row r="434">
      <c r="A434" s="187" t="inlineStr">
        <is>
          <t>CVE</t>
        </is>
      </c>
      <c r="B434" s="187" t="inlineStr">
        <is>
          <t>CVE-2026-26326</t>
        </is>
      </c>
      <c r="C434" s="187" t="inlineStr">
        <is>
          <t>OpenClaw is a personal AI assistant. Prior to version 2026.2.14, `skills.status` could disclose secrets to `operator.read` clients by returning raw resolved config values in `configChecks` for skill `requires.config` paths. Version 2026.2.14 stops including raw resolved config values in requirement checks (return only `{ path, satisfied }`) and narrows the Discord skill requirement to the token key. In addition to upgrading, users should rotate any Discord tokens that may have been exposed to re</t>
        </is>
      </c>
      <c r="D434" s="187" t="n">
        <v>4.3</v>
      </c>
      <c r="E434" s="187" t="inlineStr">
        <is>
          <t>MEDIUM</t>
        </is>
      </c>
      <c r="F434" s="187" t="n">
        <v>2</v>
      </c>
      <c r="G434" s="187" t="n">
        <v>2</v>
      </c>
      <c r="H434" s="187" t="inlineStr">
        <is>
          <t>MEDIUM</t>
        </is>
      </c>
      <c r="I434" s="187" t="n">
        <v>8.300000000000001</v>
      </c>
      <c r="J434" s="187" t="inlineStr">
        <is>
          <t>NO</t>
        </is>
      </c>
      <c r="K434" s="187" t="inlineStr">
        <is>
          <t>https://nvd.nist.gov/vuln/detail/CVE-2026-26326</t>
        </is>
      </c>
      <c r="L434" s="187" t="inlineStr">
        <is>
          <t>2026-02-26 00:15</t>
        </is>
      </c>
      <c r="M434" s="187" t="inlineStr">
        <is>
          <t>YES</t>
        </is>
      </c>
      <c r="N434" s="187" t="inlineStr">
        <is>
          <t>https://github.com/openclaw/openclaw/commit/d3428053d95eefbe10ecf04f92218ffcba55ae5a | https://github.com/openclaw/openclaw/commit/ebc68861a61067fc37f9298bded3eec9de0ba783 | https://github.com/openclaw/openclaw/security/advisories/GHSA-8mh7-phf8-xgfm</t>
        </is>
      </c>
      <c r="O434" s="187" t="inlineStr">
        <is>
          <t>Apply vendor patches</t>
        </is>
      </c>
      <c r="P434" s="187" t="inlineStr">
        <is>
          <t>openclaw openclaw *</t>
        </is>
      </c>
      <c r="Q434" s="187" t="inlineStr">
        <is>
          <t>P4</t>
        </is>
      </c>
      <c r="R434" s="187" t="inlineStr">
        <is>
          <t>📅 Schedule patch deployment within 30 days | 🔍 Monitor for exploitation attempts</t>
        </is>
      </c>
      <c r="S434" s="187" t="inlineStr">
        <is>
          <t>CVE - IP enrichment n/a</t>
        </is>
      </c>
      <c r="T434" s="187" t="n">
        <v>0.0001</v>
      </c>
      <c r="U434" s="187" t="n">
        <v>0.0105</v>
      </c>
      <c r="V434" s="187" t="inlineStr">
        <is>
          <t>T1213:Data from Information Repositories</t>
        </is>
      </c>
      <c r="W434" s="187" t="n">
        <v>1</v>
      </c>
      <c r="X434" s="187" t="inlineStr">
        <is>
          <t>LOW (40%)</t>
        </is>
      </c>
      <c r="Y434" s="187" t="inlineStr">
        <is>
          <t>UNLIKELY</t>
        </is>
      </c>
      <c r="Z434" s="187" t="inlineStr">
        <is>
          <t>PATCH_AVAILABLE</t>
        </is>
      </c>
      <c r="AA434" s="187" t="inlineStr">
        <is>
          <t>https://nvd.nist.gov/vuln/detail/CVE-2026-26326</t>
        </is>
      </c>
      <c r="AB434" s="187" t="inlineStr">
        <is>
          <t>NONE</t>
        </is>
      </c>
      <c r="AC434" s="187" t="n">
        <v>0</v>
      </c>
      <c r="AD434" s="187" t="inlineStr"/>
    </row>
    <row r="435">
      <c r="A435" s="187" t="inlineStr">
        <is>
          <t>CVE</t>
        </is>
      </c>
      <c r="B435" s="187" t="inlineStr">
        <is>
          <t>CVE-2026-26327</t>
        </is>
      </c>
      <c r="C435" s="187" t="inlineStr">
        <is>
          <t>OpenClaw is a personal AI assistant. Discovery beacons (Bonjour/mDNS and DNS-SD) include TXT records such as `lanHost`, `tailnetDns`, `gatewayPort`, and `gatewayTlsSha256`. TXT records are unauthenticated. Prior to version 2026.2.14, some clients treated TXT values as authoritative routing/pinning inputs. iOS and macOS used TXT-provided host hints (`lanHost`/`tailnetDns`) and ports (`gatewayPort`) to build the connection URL. iOS and Android allowed the discovery-provided TLS fingerprint (`gatew</t>
        </is>
      </c>
      <c r="D435" s="187" t="n">
        <v>6.5</v>
      </c>
      <c r="E435" s="187" t="inlineStr">
        <is>
          <t>MEDIUM</t>
        </is>
      </c>
      <c r="F435" s="187" t="n">
        <v>2</v>
      </c>
      <c r="G435" s="187" t="n">
        <v>2</v>
      </c>
      <c r="H435" s="187" t="inlineStr">
        <is>
          <t>MEDIUM</t>
        </is>
      </c>
      <c r="I435" s="187" t="n">
        <v>10.5</v>
      </c>
      <c r="J435" s="187" t="inlineStr">
        <is>
          <t>NO</t>
        </is>
      </c>
      <c r="K435" s="187" t="inlineStr">
        <is>
          <t>https://nvd.nist.gov/vuln/detail/CVE-2026-26327</t>
        </is>
      </c>
      <c r="L435" s="187" t="inlineStr">
        <is>
          <t>2026-02-26 00:15</t>
        </is>
      </c>
      <c r="M435" s="187" t="inlineStr">
        <is>
          <t>YES</t>
        </is>
      </c>
      <c r="N435" s="187" t="inlineStr">
        <is>
          <t>https://github.com/openclaw/openclaw/commit/d583782ee322a6faa1fe87ae52455e0d349de586 | https://github.com/openclaw/openclaw/security/advisories/GHSA-pv58-549p-qh99</t>
        </is>
      </c>
      <c r="O435" s="187" t="inlineStr">
        <is>
          <t>Apply vendor patches</t>
        </is>
      </c>
      <c r="P435" s="187" t="inlineStr">
        <is>
          <t>openclaw openclaw *</t>
        </is>
      </c>
      <c r="Q435" s="187" t="inlineStr">
        <is>
          <t>P4</t>
        </is>
      </c>
      <c r="R435" s="187" t="inlineStr">
        <is>
          <t>📅 Schedule patch deployment within 30 days | 🔍 Monitor for exploitation attempts</t>
        </is>
      </c>
      <c r="S435" s="187" t="inlineStr">
        <is>
          <t>CVE - IP enrichment n/a</t>
        </is>
      </c>
      <c r="T435" s="187" t="n">
        <v>0</v>
      </c>
      <c r="U435" s="187" t="n">
        <v>0</v>
      </c>
      <c r="V435" s="187" t="inlineStr">
        <is>
          <t>T1552:Unsecured Credentials</t>
        </is>
      </c>
      <c r="W435" s="187" t="n">
        <v>1</v>
      </c>
      <c r="X435" s="187" t="inlineStr">
        <is>
          <t>LOW (40%)</t>
        </is>
      </c>
      <c r="Y435" s="187" t="inlineStr">
        <is>
          <t>UNLIKELY</t>
        </is>
      </c>
      <c r="Z435" s="187" t="inlineStr">
        <is>
          <t>PATCH_AVAILABLE</t>
        </is>
      </c>
      <c r="AA435" s="187" t="inlineStr">
        <is>
          <t>https://nvd.nist.gov/vuln/detail/CVE-2026-26327</t>
        </is>
      </c>
      <c r="AB435" s="187" t="inlineStr">
        <is>
          <t>NONE</t>
        </is>
      </c>
      <c r="AC435" s="187" t="n">
        <v>0</v>
      </c>
      <c r="AD435" s="187" t="inlineStr"/>
    </row>
    <row r="436">
      <c r="A436" s="187" t="inlineStr">
        <is>
          <t>CVE</t>
        </is>
      </c>
      <c r="B436" s="187" t="inlineStr">
        <is>
          <t>CVE-2026-26952</t>
        </is>
      </c>
      <c r="C436" s="187" t="inlineStr">
        <is>
          <t xml:space="preserve">Pi-hole Admin Interface is a web interface for managing Pi-hole, a network-level ad and internet tracker blocking application. Versions 6.4 and below are vulnerable to stored HTML injection through the local DNS records configuration page, which allows an authenticated administrator to inject code that is stored in the Pi-hole configuration and rendered every time the DNS records table is viewed. The populateDataTable() function contains a data variable with the full DNS record value exactly as </t>
        </is>
      </c>
      <c r="D436" s="187" t="n">
        <v>5.4</v>
      </c>
      <c r="E436" s="187" t="inlineStr">
        <is>
          <t>MEDIUM</t>
        </is>
      </c>
      <c r="F436" s="187" t="n">
        <v>2</v>
      </c>
      <c r="G436" s="187" t="n">
        <v>2</v>
      </c>
      <c r="H436" s="187" t="inlineStr">
        <is>
          <t>MEDIUM</t>
        </is>
      </c>
      <c r="I436" s="187" t="n">
        <v>9.4</v>
      </c>
      <c r="J436" s="187" t="inlineStr">
        <is>
          <t>NO</t>
        </is>
      </c>
      <c r="K436" s="187" t="inlineStr">
        <is>
          <t>https://nvd.nist.gov/vuln/detail/CVE-2026-26952</t>
        </is>
      </c>
      <c r="L436" s="187" t="inlineStr">
        <is>
          <t>2026-02-26 00:15</t>
        </is>
      </c>
      <c r="M436" s="187" t="inlineStr">
        <is>
          <t>CHECK_VENDOR</t>
        </is>
      </c>
      <c r="N436" s="187" t="inlineStr">
        <is>
          <t>See NVD references</t>
        </is>
      </c>
      <c r="O436" s="187" t="inlineStr">
        <is>
          <t>Apply vendor patches</t>
        </is>
      </c>
      <c r="P436" s="187" t="inlineStr">
        <is>
          <t>See CVE details</t>
        </is>
      </c>
      <c r="Q436" s="187" t="inlineStr">
        <is>
          <t>P4</t>
        </is>
      </c>
      <c r="R436" s="187" t="inlineStr">
        <is>
          <t>📅 Schedule patch deployment within 30 days | 🔍 Monitor for exploitation attempts</t>
        </is>
      </c>
      <c r="S436" s="187" t="inlineStr">
        <is>
          <t>CVE - IP enrichment n/a</t>
        </is>
      </c>
      <c r="T436" s="187" t="n">
        <v>0.0005</v>
      </c>
      <c r="U436" s="187" t="n">
        <v>0.1435</v>
      </c>
      <c r="V436" s="187" t="inlineStr">
        <is>
          <t>T1190:Exploit Public-Facing Application</t>
        </is>
      </c>
      <c r="W436" s="187" t="n">
        <v>1</v>
      </c>
      <c r="X436" s="187" t="inlineStr">
        <is>
          <t>LOW (40%)</t>
        </is>
      </c>
      <c r="Y436" s="187" t="inlineStr">
        <is>
          <t>UNLIKELY</t>
        </is>
      </c>
      <c r="Z436" s="187" t="inlineStr">
        <is>
          <t>CHECK_VENDOR</t>
        </is>
      </c>
      <c r="AA436" s="187" t="inlineStr">
        <is>
          <t>https://nvd.nist.gov/vuln/detail/CVE-2026-26952</t>
        </is>
      </c>
      <c r="AB436" s="187" t="inlineStr">
        <is>
          <t>NONE</t>
        </is>
      </c>
      <c r="AC436" s="187" t="n">
        <v>0</v>
      </c>
      <c r="AD436" s="187" t="inlineStr"/>
    </row>
    <row r="437">
      <c r="A437" s="187" t="inlineStr">
        <is>
          <t>CVE</t>
        </is>
      </c>
      <c r="B437" s="187" t="inlineStr">
        <is>
          <t>CVE-2026-26953</t>
        </is>
      </c>
      <c r="C437" s="187" t="inlineStr">
        <is>
          <t>Pi-hole Admin Interface is a web interface for managing Pi-hole, a network-level ad and internet tracker blocking application.  Versions 6.0 and above have a Stored HTML Injection vulnerability in the active sessions table located on the API settings page, allowing an attacker with valid credentials to inject arbitrary HTML code that will be rendered in the browser of any administrator who visits the active sessions page. The rowCallback function contains the value data.x_forwarded_for, which is</t>
        </is>
      </c>
      <c r="D437" s="187" t="n">
        <v>5.4</v>
      </c>
      <c r="E437" s="187" t="inlineStr">
        <is>
          <t>MEDIUM</t>
        </is>
      </c>
      <c r="F437" s="187" t="n">
        <v>2</v>
      </c>
      <c r="G437" s="187" t="n">
        <v>2</v>
      </c>
      <c r="H437" s="187" t="inlineStr">
        <is>
          <t>MEDIUM</t>
        </is>
      </c>
      <c r="I437" s="187" t="n">
        <v>9.4</v>
      </c>
      <c r="J437" s="187" t="inlineStr">
        <is>
          <t>NO</t>
        </is>
      </c>
      <c r="K437" s="187" t="inlineStr">
        <is>
          <t>https://nvd.nist.gov/vuln/detail/CVE-2026-26953</t>
        </is>
      </c>
      <c r="L437" s="187" t="inlineStr">
        <is>
          <t>2026-02-26 00:15</t>
        </is>
      </c>
      <c r="M437" s="187" t="inlineStr">
        <is>
          <t>CHECK_VENDOR</t>
        </is>
      </c>
      <c r="N437" s="187" t="inlineStr">
        <is>
          <t>See NVD references</t>
        </is>
      </c>
      <c r="O437" s="187" t="inlineStr">
        <is>
          <t>Apply vendor patches</t>
        </is>
      </c>
      <c r="P437" s="187" t="inlineStr">
        <is>
          <t>See CVE details</t>
        </is>
      </c>
      <c r="Q437" s="187" t="inlineStr">
        <is>
          <t>P4</t>
        </is>
      </c>
      <c r="R437" s="187" t="inlineStr">
        <is>
          <t>📅 Schedule patch deployment within 30 days | 🔍 Monitor for exploitation attempts</t>
        </is>
      </c>
      <c r="S437" s="187" t="inlineStr">
        <is>
          <t>CVE - IP enrichment n/a</t>
        </is>
      </c>
      <c r="T437" s="187" t="n">
        <v>0</v>
      </c>
      <c r="U437" s="187" t="n">
        <v>0</v>
      </c>
      <c r="V437" s="187" t="inlineStr">
        <is>
          <t>T1552:Unsecured Credentials</t>
        </is>
      </c>
      <c r="W437" s="187" t="n">
        <v>1</v>
      </c>
      <c r="X437" s="187" t="inlineStr">
        <is>
          <t>LOW (40%)</t>
        </is>
      </c>
      <c r="Y437" s="187" t="inlineStr">
        <is>
          <t>UNLIKELY</t>
        </is>
      </c>
      <c r="Z437" s="187" t="inlineStr">
        <is>
          <t>CHECK_VENDOR</t>
        </is>
      </c>
      <c r="AA437" s="187" t="inlineStr">
        <is>
          <t>https://nvd.nist.gov/vuln/detail/CVE-2026-26953</t>
        </is>
      </c>
      <c r="AB437" s="187" t="inlineStr">
        <is>
          <t>NONE</t>
        </is>
      </c>
      <c r="AC437" s="187" t="n">
        <v>0</v>
      </c>
      <c r="AD437" s="187" t="inlineStr"/>
    </row>
    <row r="438">
      <c r="A438" s="187" t="inlineStr">
        <is>
          <t>CVE</t>
        </is>
      </c>
      <c r="B438" s="187" t="inlineStr">
        <is>
          <t>CVE-2026-26958</t>
        </is>
      </c>
      <c r="C438" s="187" t="inlineStr">
        <is>
          <t>filippo.io/edwards25519 is a Go library implementing the edwards25519 elliptic curve with APIs for building cryptographic primitives. In versions 1.1.0 and earlier, MultiScalarMult produces invalid results or undefined behavior if the receiver is not the identity point. If (*Point).MultiScalarMult is called on an initialized point that is not the identity point, it returns an incorrect result. If the method is called on an uninitialized point, the behavior is undefined. In particular, if the rec</t>
        </is>
      </c>
      <c r="D438" s="187" t="n">
        <v>5</v>
      </c>
      <c r="E438" s="187" t="inlineStr">
        <is>
          <t>MEDIUM</t>
        </is>
      </c>
      <c r="F438" s="187" t="n">
        <v>2</v>
      </c>
      <c r="G438" s="187" t="n">
        <v>2</v>
      </c>
      <c r="H438" s="187" t="inlineStr">
        <is>
          <t>MEDIUM</t>
        </is>
      </c>
      <c r="I438" s="187" t="n">
        <v>9</v>
      </c>
      <c r="J438" s="187" t="inlineStr">
        <is>
          <t>NO</t>
        </is>
      </c>
      <c r="K438" s="187" t="inlineStr">
        <is>
          <t>https://nvd.nist.gov/vuln/detail/CVE-2026-26958</t>
        </is>
      </c>
      <c r="L438" s="187" t="inlineStr">
        <is>
          <t>2026-02-26 00:15</t>
        </is>
      </c>
      <c r="M438" s="187" t="inlineStr">
        <is>
          <t>CHECK_VENDOR</t>
        </is>
      </c>
      <c r="N438" s="187" t="inlineStr">
        <is>
          <t>See NVD references</t>
        </is>
      </c>
      <c r="O438" s="187" t="inlineStr">
        <is>
          <t>Apply vendor patches</t>
        </is>
      </c>
      <c r="P438" s="187" t="inlineStr">
        <is>
          <t>See CVE details</t>
        </is>
      </c>
      <c r="Q438" s="187" t="inlineStr">
        <is>
          <t>P4</t>
        </is>
      </c>
      <c r="R438" s="187" t="inlineStr">
        <is>
          <t>📅 Schedule patch deployment within 30 days | 🔍 Monitor for exploitation attempts</t>
        </is>
      </c>
      <c r="S438" s="187" t="inlineStr">
        <is>
          <t>CVE - IP enrichment n/a</t>
        </is>
      </c>
      <c r="T438" s="187" t="n">
        <v>0.0005</v>
      </c>
      <c r="U438" s="187" t="n">
        <v>0.1624</v>
      </c>
      <c r="V438" s="187" t="inlineStr">
        <is>
          <t>T1600:Weaken Encryption</t>
        </is>
      </c>
      <c r="W438" s="187" t="n">
        <v>1</v>
      </c>
      <c r="X438" s="187" t="inlineStr">
        <is>
          <t>LOW (40%)</t>
        </is>
      </c>
      <c r="Y438" s="187" t="inlineStr">
        <is>
          <t>UNLIKELY</t>
        </is>
      </c>
      <c r="Z438" s="187" t="inlineStr">
        <is>
          <t>CHECK_VENDOR</t>
        </is>
      </c>
      <c r="AA438" s="187" t="inlineStr">
        <is>
          <t>https://nvd.nist.gov/vuln/detail/CVE-2026-26958</t>
        </is>
      </c>
      <c r="AB438" s="187" t="inlineStr">
        <is>
          <t>NONE</t>
        </is>
      </c>
      <c r="AC438" s="187" t="n">
        <v>0</v>
      </c>
      <c r="AD438" s="187" t="inlineStr"/>
    </row>
    <row r="439">
      <c r="A439" s="187" t="inlineStr">
        <is>
          <t>CVE</t>
        </is>
      </c>
      <c r="B439" s="187" t="inlineStr">
        <is>
          <t>CVE-2026-1292</t>
        </is>
      </c>
      <c r="C439" s="187" t="inlineStr">
        <is>
          <t>Tanium addressed an insertion of sensitive information into log file vulnerability in Trends.</t>
        </is>
      </c>
      <c r="D439" s="187" t="n">
        <v>6.5</v>
      </c>
      <c r="E439" s="187" t="inlineStr">
        <is>
          <t>MEDIUM</t>
        </is>
      </c>
      <c r="F439" s="187" t="n">
        <v>2</v>
      </c>
      <c r="G439" s="187" t="n">
        <v>2</v>
      </c>
      <c r="H439" s="187" t="inlineStr">
        <is>
          <t>MEDIUM</t>
        </is>
      </c>
      <c r="I439" s="187" t="n">
        <v>10.5</v>
      </c>
      <c r="J439" s="187" t="inlineStr">
        <is>
          <t>NO</t>
        </is>
      </c>
      <c r="K439" s="187" t="inlineStr">
        <is>
          <t>https://nvd.nist.gov/vuln/detail/CVE-2026-1292</t>
        </is>
      </c>
      <c r="L439" s="187" t="inlineStr">
        <is>
          <t>2026-02-26 00:15</t>
        </is>
      </c>
      <c r="M439" s="187" t="inlineStr">
        <is>
          <t>CHECK_VENDOR</t>
        </is>
      </c>
      <c r="N439" s="187" t="inlineStr">
        <is>
          <t>See NVD references</t>
        </is>
      </c>
      <c r="O439" s="187" t="inlineStr">
        <is>
          <t>Apply vendor patches</t>
        </is>
      </c>
      <c r="P439" s="187" t="inlineStr">
        <is>
          <t>See CVE details</t>
        </is>
      </c>
      <c r="Q439" s="187" t="inlineStr">
        <is>
          <t>P4</t>
        </is>
      </c>
      <c r="R439" s="187" t="inlineStr">
        <is>
          <t>📅 Schedule patch deployment within 30 days | 🔍 Monitor for exploitation attempts</t>
        </is>
      </c>
      <c r="S439" s="187" t="inlineStr">
        <is>
          <t>CVE - IP enrichment n/a</t>
        </is>
      </c>
      <c r="T439" s="187" t="n">
        <v>0</v>
      </c>
      <c r="U439" s="187" t="n">
        <v>0</v>
      </c>
      <c r="V439" s="187" t="inlineStr">
        <is>
          <t>T1190:Exploit Public-Facing Application</t>
        </is>
      </c>
      <c r="W439" s="187" t="n">
        <v>1</v>
      </c>
      <c r="X439" s="187" t="inlineStr">
        <is>
          <t>LOW (40%)</t>
        </is>
      </c>
      <c r="Y439" s="187" t="inlineStr">
        <is>
          <t>UNLIKELY</t>
        </is>
      </c>
      <c r="Z439" s="187" t="inlineStr">
        <is>
          <t>CHECK_VENDOR</t>
        </is>
      </c>
      <c r="AA439" s="187" t="inlineStr">
        <is>
          <t>https://nvd.nist.gov/vuln/detail/CVE-2026-1292</t>
        </is>
      </c>
      <c r="AB439" s="187" t="inlineStr">
        <is>
          <t>NONE</t>
        </is>
      </c>
      <c r="AC439" s="187" t="n">
        <v>0</v>
      </c>
      <c r="AD439" s="187" t="inlineStr"/>
    </row>
    <row r="440">
      <c r="A440" s="187" t="inlineStr">
        <is>
          <t>CVE</t>
        </is>
      </c>
      <c r="B440" s="187" t="inlineStr">
        <is>
          <t>CVE-2026-26328</t>
        </is>
      </c>
      <c r="C440" s="187" t="inlineStr">
        <is>
          <t>OpenClaw is a personal AI assistant. Prior to version 2026.2.14, under iMessage `groupPolicy=allowlist`, group authorization could be satisfied by sender identities coming from the DM pairing store, broadening DM trust into group contexts. Version 2026.2.14 fixes the issue.</t>
        </is>
      </c>
      <c r="D440" s="187" t="n">
        <v>6.5</v>
      </c>
      <c r="E440" s="187" t="inlineStr">
        <is>
          <t>MEDIUM</t>
        </is>
      </c>
      <c r="F440" s="187" t="n">
        <v>2</v>
      </c>
      <c r="G440" s="187" t="n">
        <v>2</v>
      </c>
      <c r="H440" s="187" t="inlineStr">
        <is>
          <t>MEDIUM</t>
        </is>
      </c>
      <c r="I440" s="187" t="n">
        <v>10.5</v>
      </c>
      <c r="J440" s="187" t="inlineStr">
        <is>
          <t>NO</t>
        </is>
      </c>
      <c r="K440" s="187" t="inlineStr">
        <is>
          <t>https://nvd.nist.gov/vuln/detail/CVE-2026-26328</t>
        </is>
      </c>
      <c r="L440" s="187" t="inlineStr">
        <is>
          <t>2026-02-26 00:15</t>
        </is>
      </c>
      <c r="M440" s="187" t="inlineStr">
        <is>
          <t>CHECK_VENDOR</t>
        </is>
      </c>
      <c r="N440" s="187" t="inlineStr">
        <is>
          <t>See NVD references</t>
        </is>
      </c>
      <c r="O440" s="187" t="inlineStr">
        <is>
          <t>Apply vendor patches</t>
        </is>
      </c>
      <c r="P440" s="187" t="inlineStr">
        <is>
          <t>See CVE details</t>
        </is>
      </c>
      <c r="Q440" s="187" t="inlineStr">
        <is>
          <t>P4</t>
        </is>
      </c>
      <c r="R440" s="187" t="inlineStr">
        <is>
          <t>📅 Schedule patch deployment within 30 days | 🔍 Monitor for exploitation attempts</t>
        </is>
      </c>
      <c r="S440" s="187" t="inlineStr">
        <is>
          <t>CVE - IP enrichment n/a</t>
        </is>
      </c>
      <c r="T440" s="187" t="n">
        <v>0</v>
      </c>
      <c r="U440" s="187" t="n">
        <v>0</v>
      </c>
      <c r="V440" s="187" t="inlineStr">
        <is>
          <t>T1190:Exploit Public-Facing Application</t>
        </is>
      </c>
      <c r="W440" s="187" t="n">
        <v>1</v>
      </c>
      <c r="X440" s="187" t="inlineStr">
        <is>
          <t>LOW (40%)</t>
        </is>
      </c>
      <c r="Y440" s="187" t="inlineStr">
        <is>
          <t>UNLIKELY</t>
        </is>
      </c>
      <c r="Z440" s="187" t="inlineStr">
        <is>
          <t>CHECK_VENDOR</t>
        </is>
      </c>
      <c r="AA440" s="187" t="inlineStr">
        <is>
          <t>https://nvd.nist.gov/vuln/detail/CVE-2026-26328</t>
        </is>
      </c>
      <c r="AB440" s="187" t="inlineStr">
        <is>
          <t>NONE</t>
        </is>
      </c>
      <c r="AC440" s="187" t="n">
        <v>0</v>
      </c>
      <c r="AD440" s="187" t="inlineStr"/>
    </row>
    <row r="441">
      <c r="A441" s="187" t="inlineStr">
        <is>
          <t>CVE</t>
        </is>
      </c>
      <c r="B441" s="187" t="inlineStr">
        <is>
          <t>CVE-2026-26329</t>
        </is>
      </c>
      <c r="C441" s="187" t="inlineStr">
        <is>
          <t>OpenClaw is a personal AI assistant. Prior to version 2026.2.14, authenticated attackers can read arbitrary files from the Gateway host by supplying absolute paths or path traversal sequences to the browser tool's `upload` action. The server passed these paths to Playwright's `setInputFiles()` APIs without restricting them to a safe root. An attacker must reach the Gateway HTTP surface (or otherwise invoke the same browser control hook endpoints); present valid Gateway auth (bearer token / passw</t>
        </is>
      </c>
      <c r="D441" s="187" t="n">
        <v>6.5</v>
      </c>
      <c r="E441" s="187" t="inlineStr">
        <is>
          <t>MEDIUM</t>
        </is>
      </c>
      <c r="F441" s="187" t="n">
        <v>2</v>
      </c>
      <c r="G441" s="187" t="n">
        <v>2</v>
      </c>
      <c r="H441" s="187" t="inlineStr">
        <is>
          <t>MEDIUM</t>
        </is>
      </c>
      <c r="I441" s="187" t="n">
        <v>10.5</v>
      </c>
      <c r="J441" s="187" t="inlineStr">
        <is>
          <t>NO</t>
        </is>
      </c>
      <c r="K441" s="187" t="inlineStr">
        <is>
          <t>https://nvd.nist.gov/vuln/detail/CVE-2026-26329</t>
        </is>
      </c>
      <c r="L441" s="187" t="inlineStr">
        <is>
          <t>2026-02-26 00:15</t>
        </is>
      </c>
      <c r="M441" s="187" t="inlineStr">
        <is>
          <t>YES</t>
        </is>
      </c>
      <c r="N441" s="187" t="inlineStr">
        <is>
          <t>https://github.com/openclaw/openclaw/commit/3aa94afcfd12104c683c9cad81faf434d0dadf87 | https://github.com/openclaw/openclaw/security/advisories/GHSA-cv7m-c9jx-vg7q</t>
        </is>
      </c>
      <c r="O441" s="187" t="inlineStr">
        <is>
          <t>Apply vendor patches</t>
        </is>
      </c>
      <c r="P441" s="187" t="inlineStr">
        <is>
          <t>openclaw openclaw *</t>
        </is>
      </c>
      <c r="Q441" s="187" t="inlineStr">
        <is>
          <t>P4</t>
        </is>
      </c>
      <c r="R441" s="187" t="inlineStr">
        <is>
          <t>📅 Schedule patch deployment within 30 days | 🔍 Monitor for exploitation attempts</t>
        </is>
      </c>
      <c r="S441" s="187" t="inlineStr">
        <is>
          <t>CVE - IP enrichment n/a</t>
        </is>
      </c>
      <c r="T441" s="187" t="n">
        <v>0</v>
      </c>
      <c r="U441" s="187" t="n">
        <v>0</v>
      </c>
      <c r="V441" s="187" t="inlineStr">
        <is>
          <t>T1083:File and Directory Discovery</t>
        </is>
      </c>
      <c r="W441" s="187" t="n">
        <v>1</v>
      </c>
      <c r="X441" s="187" t="inlineStr">
        <is>
          <t>LOW (40%)</t>
        </is>
      </c>
      <c r="Y441" s="187" t="inlineStr">
        <is>
          <t>UNLIKELY</t>
        </is>
      </c>
      <c r="Z441" s="187" t="inlineStr">
        <is>
          <t>PATCH_AVAILABLE</t>
        </is>
      </c>
      <c r="AA441" s="187" t="inlineStr">
        <is>
          <t>https://nvd.nist.gov/vuln/detail/CVE-2026-26329</t>
        </is>
      </c>
      <c r="AB441" s="187" t="inlineStr">
        <is>
          <t>NONE</t>
        </is>
      </c>
      <c r="AC441" s="187" t="n">
        <v>0</v>
      </c>
      <c r="AD441" s="187" t="inlineStr"/>
    </row>
    <row r="442">
      <c r="A442" s="188" t="inlineStr">
        <is>
          <t>CVE</t>
        </is>
      </c>
      <c r="B442" s="188" t="inlineStr">
        <is>
          <t>CVE-2026-26957</t>
        </is>
      </c>
      <c r="C442" s="188" t="inlineStr">
        <is>
          <t>Libredesk is a self-hosted customer support desk application. Versions prior to 1.0.2-0.20260215211005-727213631ce6 fail to validate destination URLs for webhooks, allowing an attacker posing as an authenticated "Application Admin" to force the server to make HTTP requests to arbitrary internal destinations. This could compromise the underlying cloud infrastructure or internal corporate network where the service is hosted. This issue has been fixed in version 1.0.2-0.20260215211005-727213631ce6.</t>
        </is>
      </c>
      <c r="D442" s="188" t="n">
        <v>8.5</v>
      </c>
      <c r="E442" s="188" t="inlineStr">
        <is>
          <t>HIGH</t>
        </is>
      </c>
      <c r="F442" s="188" t="n">
        <v>2</v>
      </c>
      <c r="G442" s="188" t="n">
        <v>3</v>
      </c>
      <c r="H442" s="188" t="inlineStr">
        <is>
          <t>HIGH</t>
        </is>
      </c>
      <c r="I442" s="188" t="n">
        <v>14.5</v>
      </c>
      <c r="J442" s="188" t="inlineStr">
        <is>
          <t>NO</t>
        </is>
      </c>
      <c r="K442" s="188" t="inlineStr">
        <is>
          <t>https://nvd.nist.gov/vuln/detail/CVE-2026-26957</t>
        </is>
      </c>
      <c r="L442" s="188" t="inlineStr">
        <is>
          <t>2026-02-26 00:15</t>
        </is>
      </c>
      <c r="M442" s="188" t="inlineStr">
        <is>
          <t>CHECK_VENDOR</t>
        </is>
      </c>
      <c r="N442" s="188" t="inlineStr">
        <is>
          <t>See NVD references</t>
        </is>
      </c>
      <c r="O442" s="188" t="inlineStr">
        <is>
          <t>Apply vendor patches</t>
        </is>
      </c>
      <c r="P442" s="188" t="inlineStr">
        <is>
          <t>See CVE details</t>
        </is>
      </c>
      <c r="Q442" s="188" t="inlineStr">
        <is>
          <t>P3</t>
        </is>
      </c>
      <c r="R442" s="188" t="inlineStr">
        <is>
          <t>🚨 URGENT: Apply vendor patches immediately | 🔒 Isolate affected systems if patch unavailable | 🛡️ Enable additional monitoring/IDS rules</t>
        </is>
      </c>
      <c r="S442" s="188" t="inlineStr">
        <is>
          <t>CVE - IP enrichment n/a</t>
        </is>
      </c>
      <c r="T442" s="188" t="n">
        <v>0</v>
      </c>
      <c r="U442" s="188" t="n">
        <v>0</v>
      </c>
      <c r="V442" s="188" t="inlineStr">
        <is>
          <t>T1190:Exploit Public-Facing Application</t>
        </is>
      </c>
      <c r="W442" s="188" t="n">
        <v>1</v>
      </c>
      <c r="X442" s="188" t="inlineStr">
        <is>
          <t>LOW (40%)</t>
        </is>
      </c>
      <c r="Y442" s="188" t="inlineStr">
        <is>
          <t>UNLIKELY</t>
        </is>
      </c>
      <c r="Z442" s="188" t="inlineStr">
        <is>
          <t>CHECK_VENDOR</t>
        </is>
      </c>
      <c r="AA442" s="188" t="inlineStr">
        <is>
          <t>https://nvd.nist.gov/vuln/detail/CVE-2026-26957</t>
        </is>
      </c>
      <c r="AB442" s="188" t="inlineStr">
        <is>
          <t>NONE</t>
        </is>
      </c>
      <c r="AC442" s="188" t="n">
        <v>0</v>
      </c>
      <c r="AD442" s="188" t="inlineStr"/>
    </row>
    <row r="443">
      <c r="A443" s="188" t="inlineStr">
        <is>
          <t>CVE</t>
        </is>
      </c>
      <c r="B443" s="188" t="inlineStr">
        <is>
          <t>CVE-2026-26959</t>
        </is>
      </c>
      <c r="C443" s="188" t="inlineStr">
        <is>
          <t>ADB Explorer is a fluent UI for ADB on Windows. Versions 0.9.26020 and below fail to validate the integrity or authenticity of the ADB binary path specified in the ManualAdbPath setting before executing it, allowing arbitrary code execution with the privileges of the current user. An attacker can exploit this by crafting a malicious App.txt settings file that points ManualAdbPath to an arbitrary executable, then convincing a victim to launch the application with a command-line argument directing</t>
        </is>
      </c>
      <c r="D443" s="188" t="n">
        <v>7.8</v>
      </c>
      <c r="E443" s="188" t="inlineStr">
        <is>
          <t>HIGH</t>
        </is>
      </c>
      <c r="F443" s="188" t="n">
        <v>2</v>
      </c>
      <c r="G443" s="188" t="n">
        <v>3</v>
      </c>
      <c r="H443" s="188" t="inlineStr">
        <is>
          <t>HIGH</t>
        </is>
      </c>
      <c r="I443" s="188" t="n">
        <v>13.8</v>
      </c>
      <c r="J443" s="188" t="inlineStr">
        <is>
          <t>NO</t>
        </is>
      </c>
      <c r="K443" s="188" t="inlineStr">
        <is>
          <t>https://nvd.nist.gov/vuln/detail/CVE-2026-26959</t>
        </is>
      </c>
      <c r="L443" s="188" t="inlineStr">
        <is>
          <t>2026-02-26 00:15</t>
        </is>
      </c>
      <c r="M443" s="188" t="inlineStr">
        <is>
          <t>CHECK_VENDOR</t>
        </is>
      </c>
      <c r="N443" s="188" t="inlineStr">
        <is>
          <t>See NVD references</t>
        </is>
      </c>
      <c r="O443" s="188" t="inlineStr">
        <is>
          <t>Apply vendor patches</t>
        </is>
      </c>
      <c r="P443" s="188" t="inlineStr">
        <is>
          <t>See CVE details</t>
        </is>
      </c>
      <c r="Q443" s="188" t="inlineStr">
        <is>
          <t>P3</t>
        </is>
      </c>
      <c r="R443" s="188" t="inlineStr">
        <is>
          <t>🚨 URGENT: Apply vendor patches immediately | 🔒 Isolate affected systems if patch unavailable | 🛡️ Enable additional monitoring/IDS rules</t>
        </is>
      </c>
      <c r="S443" s="188" t="inlineStr">
        <is>
          <t>CVE - IP enrichment n/a</t>
        </is>
      </c>
      <c r="T443" s="188" t="n">
        <v>0</v>
      </c>
      <c r="U443" s="188" t="n">
        <v>0</v>
      </c>
      <c r="V443" s="188" t="inlineStr">
        <is>
          <t>T1190:Exploit Public-Facing Application | T1203:Exploitation for Client Execution</t>
        </is>
      </c>
      <c r="W443" s="188" t="n">
        <v>1</v>
      </c>
      <c r="X443" s="188" t="inlineStr">
        <is>
          <t>LOW (40%)</t>
        </is>
      </c>
      <c r="Y443" s="188" t="inlineStr">
        <is>
          <t>UNLIKELY</t>
        </is>
      </c>
      <c r="Z443" s="188" t="inlineStr">
        <is>
          <t>CHECK_VENDOR</t>
        </is>
      </c>
      <c r="AA443" s="188" t="inlineStr">
        <is>
          <t>https://nvd.nist.gov/vuln/detail/CVE-2026-26959</t>
        </is>
      </c>
      <c r="AB443" s="188" t="inlineStr">
        <is>
          <t>NONE</t>
        </is>
      </c>
      <c r="AC443" s="188" t="n">
        <v>0</v>
      </c>
      <c r="AD443" s="188" t="inlineStr"/>
    </row>
    <row r="444">
      <c r="A444" s="187" t="inlineStr">
        <is>
          <t>CVE</t>
        </is>
      </c>
      <c r="B444" s="187" t="inlineStr">
        <is>
          <t>CVE-2026-26963</t>
        </is>
      </c>
      <c r="C444" s="187" t="inlineStr">
        <is>
          <t>Cilium is a networking, observability, and security solution with an eBPF-based dataplane. Versions 1.18.0 through 1.18.5 will incorrectly permit traffic from Pods on other nodes when Native Routing, WireGuard and Node Encryption are enabled. This issue has been fixed in version 1.18.6.</t>
        </is>
      </c>
      <c r="D444" s="187" t="n">
        <v>6.1</v>
      </c>
      <c r="E444" s="187" t="inlineStr">
        <is>
          <t>MEDIUM</t>
        </is>
      </c>
      <c r="F444" s="187" t="n">
        <v>2</v>
      </c>
      <c r="G444" s="187" t="n">
        <v>2</v>
      </c>
      <c r="H444" s="187" t="inlineStr">
        <is>
          <t>MEDIUM</t>
        </is>
      </c>
      <c r="I444" s="187" t="n">
        <v>10.1</v>
      </c>
      <c r="J444" s="187" t="inlineStr">
        <is>
          <t>NO</t>
        </is>
      </c>
      <c r="K444" s="187" t="inlineStr">
        <is>
          <t>https://nvd.nist.gov/vuln/detail/CVE-2026-26963</t>
        </is>
      </c>
      <c r="L444" s="187" t="inlineStr">
        <is>
          <t>2026-02-26 00:15</t>
        </is>
      </c>
      <c r="M444" s="187" t="inlineStr">
        <is>
          <t>YES</t>
        </is>
      </c>
      <c r="N444" s="187" t="inlineStr">
        <is>
          <t>https://github.com/cilium/cilium/commit/88e28e1e62c0b1a02c3f0fc22d888ac9eefbe885 | https://github.com/cilium/cilium/security/advisories/GHSA-5r23-prx4-mqg3</t>
        </is>
      </c>
      <c r="O444" s="187" t="inlineStr">
        <is>
          <t>Apply vendor patches</t>
        </is>
      </c>
      <c r="P444" s="187" t="inlineStr">
        <is>
          <t>cilium cilium *</t>
        </is>
      </c>
      <c r="Q444" s="187" t="inlineStr">
        <is>
          <t>P4</t>
        </is>
      </c>
      <c r="R444" s="187" t="inlineStr">
        <is>
          <t>📅 Schedule patch deployment within 30 days | 🔍 Monitor for exploitation attempts</t>
        </is>
      </c>
      <c r="S444" s="187" t="inlineStr">
        <is>
          <t>CVE - IP enrichment n/a</t>
        </is>
      </c>
      <c r="T444" s="187" t="n">
        <v>0</v>
      </c>
      <c r="U444" s="187" t="n">
        <v>0</v>
      </c>
      <c r="V444" s="187" t="inlineStr">
        <is>
          <t>T1190:Exploit Public-Facing Application</t>
        </is>
      </c>
      <c r="W444" s="187" t="n">
        <v>1</v>
      </c>
      <c r="X444" s="187" t="inlineStr">
        <is>
          <t>LOW (40%)</t>
        </is>
      </c>
      <c r="Y444" s="187" t="inlineStr">
        <is>
          <t>UNLIKELY</t>
        </is>
      </c>
      <c r="Z444" s="187" t="inlineStr">
        <is>
          <t>PATCH_AVAILABLE</t>
        </is>
      </c>
      <c r="AA444" s="187" t="inlineStr">
        <is>
          <t>https://nvd.nist.gov/vuln/detail/CVE-2026-26963</t>
        </is>
      </c>
      <c r="AB444" s="187" t="inlineStr">
        <is>
          <t>NONE</t>
        </is>
      </c>
      <c r="AC444" s="187" t="n">
        <v>0</v>
      </c>
      <c r="AD444" s="187" t="inlineStr"/>
    </row>
    <row r="445">
      <c r="A445" s="190" t="inlineStr">
        <is>
          <t>CVE</t>
        </is>
      </c>
      <c r="B445" s="190" t="inlineStr">
        <is>
          <t>CVE-2026-26964</t>
        </is>
      </c>
      <c r="C445" s="190" t="inlineStr">
        <is>
          <t>Windmill is an open-source developer platform for internal code: APIs, background jobs, workflows and UIs. Versions 1.634.6
 and below allow non-admin users to obtain Slack OAuth client secrets, which should only be accessible to workspace administrators. The GET /api/w/{workspace}/workspaces/get_settings endpoint returns the slack_oauth_client_secret to any authenticated workspace member, regardless of their admin status. It is expected behavior for non-admin users see a redacted version of wor</t>
        </is>
      </c>
      <c r="D445" s="190" t="n">
        <v>2.7</v>
      </c>
      <c r="E445" s="190" t="inlineStr">
        <is>
          <t>LOW</t>
        </is>
      </c>
      <c r="F445" s="190" t="n">
        <v>2</v>
      </c>
      <c r="G445" s="190" t="n">
        <v>1</v>
      </c>
      <c r="H445" s="190" t="inlineStr">
        <is>
          <t>LOW</t>
        </is>
      </c>
      <c r="I445" s="190" t="n">
        <v>4.7</v>
      </c>
      <c r="J445" s="190" t="inlineStr">
        <is>
          <t>NO</t>
        </is>
      </c>
      <c r="K445" s="190" t="inlineStr">
        <is>
          <t>https://nvd.nist.gov/vuln/detail/CVE-2026-26964</t>
        </is>
      </c>
      <c r="L445" s="190" t="inlineStr">
        <is>
          <t>2026-02-26 00:15</t>
        </is>
      </c>
      <c r="M445" s="190" t="inlineStr">
        <is>
          <t>CHECK_VENDOR</t>
        </is>
      </c>
      <c r="N445" s="190" t="inlineStr">
        <is>
          <t>See NVD references</t>
        </is>
      </c>
      <c r="O445" s="190" t="inlineStr">
        <is>
          <t>Apply vendor patches</t>
        </is>
      </c>
      <c r="P445" s="190" t="inlineStr">
        <is>
          <t>See CVE details</t>
        </is>
      </c>
      <c r="Q445" s="190" t="inlineStr">
        <is>
          <t>P1</t>
        </is>
      </c>
      <c r="R445" s="190" t="inlineStr">
        <is>
          <t>📅 Schedule patch deployment within 30 days | 🔍 Monitor for exploitation attempts</t>
        </is>
      </c>
      <c r="S445" s="190" t="inlineStr">
        <is>
          <t>CVE - IP enrichment n/a</t>
        </is>
      </c>
      <c r="T445" s="190" t="n">
        <v>0</v>
      </c>
      <c r="U445" s="190" t="n">
        <v>0</v>
      </c>
      <c r="V445" s="190" t="inlineStr">
        <is>
          <t>T1213:Data from Information Repositories | T1190:Exploit Public-Facing Application</t>
        </is>
      </c>
      <c r="W445" s="190" t="n">
        <v>2</v>
      </c>
      <c r="X445" s="190" t="inlineStr">
        <is>
          <t>HIGH (72%)</t>
        </is>
      </c>
      <c r="Y445" s="190" t="inlineStr">
        <is>
          <t>HIGH</t>
        </is>
      </c>
      <c r="Z445" s="190" t="inlineStr">
        <is>
          <t>CHECK_VENDOR</t>
        </is>
      </c>
      <c r="AA445" s="190" t="inlineStr">
        <is>
          <t>https://nvd.nist.gov/vuln/detail/CVE-2026-26964</t>
        </is>
      </c>
      <c r="AB445" s="190" t="inlineStr">
        <is>
          <t>http://www.zerodayinitiative.com/advisories/ZDI-26-123/</t>
        </is>
      </c>
      <c r="AC445" s="190" t="n">
        <v>0</v>
      </c>
      <c r="AD445" s="190" t="inlineStr"/>
    </row>
    <row r="446">
      <c r="A446" s="187" t="inlineStr">
        <is>
          <t>CVE</t>
        </is>
      </c>
      <c r="B446" s="187" t="inlineStr">
        <is>
          <t>CVE-2026-26972</t>
        </is>
      </c>
      <c r="C446" s="187" t="inlineStr">
        <is>
          <t>OpenClaw is a personal AI assistant. In versions 2026.1.12 through 2026.2.12, OpenClaw browser download helpers accepted an unsanitized output path. When invoked via the browser control gateway routes, this allowed path traversal to write downloads outside the intended OpenClaw temp downloads directory. This issue is not exposed via the AI agent tool schema (no `download` action). Exploitation requires authenticated CLI access or an authenticated gateway RPC token. Version 2026.2.13 fixes the is</t>
        </is>
      </c>
      <c r="D446" s="187" t="n">
        <v>6.7</v>
      </c>
      <c r="E446" s="187" t="inlineStr">
        <is>
          <t>MEDIUM</t>
        </is>
      </c>
      <c r="F446" s="187" t="n">
        <v>2</v>
      </c>
      <c r="G446" s="187" t="n">
        <v>2</v>
      </c>
      <c r="H446" s="187" t="inlineStr">
        <is>
          <t>MEDIUM</t>
        </is>
      </c>
      <c r="I446" s="187" t="n">
        <v>10.7</v>
      </c>
      <c r="J446" s="187" t="inlineStr">
        <is>
          <t>NO</t>
        </is>
      </c>
      <c r="K446" s="187" t="inlineStr">
        <is>
          <t>https://nvd.nist.gov/vuln/detail/CVE-2026-26972</t>
        </is>
      </c>
      <c r="L446" s="187" t="inlineStr">
        <is>
          <t>2026-02-26 00:15</t>
        </is>
      </c>
      <c r="M446" s="187" t="inlineStr">
        <is>
          <t>YES</t>
        </is>
      </c>
      <c r="N446" s="187" t="inlineStr">
        <is>
          <t>https://github.com/openclaw/openclaw/commit/7f0489e4731c8d965d78d6eac4a60312e46a9426 | https://github.com/openclaw/openclaw/security/advisories/GHSA-xwjm-j929-xq7c</t>
        </is>
      </c>
      <c r="O446" s="187" t="inlineStr">
        <is>
          <t>Apply vendor patches</t>
        </is>
      </c>
      <c r="P446" s="187" t="inlineStr">
        <is>
          <t>openclaw openclaw *</t>
        </is>
      </c>
      <c r="Q446" s="187" t="inlineStr">
        <is>
          <t>P4</t>
        </is>
      </c>
      <c r="R446" s="187" t="inlineStr">
        <is>
          <t>📅 Schedule patch deployment within 30 days | 🔍 Monitor for exploitation attempts</t>
        </is>
      </c>
      <c r="S446" s="187" t="inlineStr">
        <is>
          <t>CVE - IP enrichment n/a</t>
        </is>
      </c>
      <c r="T446" s="187" t="n">
        <v>0</v>
      </c>
      <c r="U446" s="187" t="n">
        <v>0</v>
      </c>
      <c r="V446" s="187" t="inlineStr">
        <is>
          <t>T1083:File and Directory Discovery</t>
        </is>
      </c>
      <c r="W446" s="187" t="n">
        <v>1</v>
      </c>
      <c r="X446" s="187" t="inlineStr">
        <is>
          <t>LOW (40%)</t>
        </is>
      </c>
      <c r="Y446" s="187" t="inlineStr">
        <is>
          <t>UNLIKELY</t>
        </is>
      </c>
      <c r="Z446" s="187" t="inlineStr">
        <is>
          <t>PATCH_AVAILABLE</t>
        </is>
      </c>
      <c r="AA446" s="187" t="inlineStr">
        <is>
          <t>https://nvd.nist.gov/vuln/detail/CVE-2026-26972</t>
        </is>
      </c>
      <c r="AB446" s="187" t="inlineStr">
        <is>
          <t>NONE</t>
        </is>
      </c>
      <c r="AC446" s="187" t="n">
        <v>0</v>
      </c>
      <c r="AD446" s="187" t="inlineStr"/>
    </row>
    <row r="447">
      <c r="A447" s="188" t="inlineStr">
        <is>
          <t>CVE</t>
        </is>
      </c>
      <c r="B447" s="188" t="inlineStr">
        <is>
          <t>CVE-2026-27001</t>
        </is>
      </c>
      <c r="C447" s="188" t="inlineStr">
        <is>
          <t>OpenClaw is a personal AI assistant. Prior to version 2026.2.15, OpenClaw embedded the current working directory (workspace path) into the agent system prompt without sanitization. If an attacker can cause OpenClaw to run inside a directory whose name contains control/format characters (for example newlines or Unicode bidi/zero-width markers), those characters could break the prompt structure and inject attacker-controlled instructions. Starting in version 2026.2.15, the workspace path is saniti</t>
        </is>
      </c>
      <c r="D447" s="188" t="n">
        <v>7.8</v>
      </c>
      <c r="E447" s="188" t="inlineStr">
        <is>
          <t>HIGH</t>
        </is>
      </c>
      <c r="F447" s="188" t="n">
        <v>2</v>
      </c>
      <c r="G447" s="188" t="n">
        <v>3</v>
      </c>
      <c r="H447" s="188" t="inlineStr">
        <is>
          <t>HIGH</t>
        </is>
      </c>
      <c r="I447" s="188" t="n">
        <v>13.8</v>
      </c>
      <c r="J447" s="188" t="inlineStr">
        <is>
          <t>NO</t>
        </is>
      </c>
      <c r="K447" s="188" t="inlineStr">
        <is>
          <t>https://nvd.nist.gov/vuln/detail/CVE-2026-27001</t>
        </is>
      </c>
      <c r="L447" s="188" t="inlineStr">
        <is>
          <t>2026-02-26 00:15</t>
        </is>
      </c>
      <c r="M447" s="188" t="inlineStr">
        <is>
          <t>YES</t>
        </is>
      </c>
      <c r="N447" s="188" t="inlineStr">
        <is>
          <t>https://github.com/openclaw/openclaw/commit/6254e96acf16e70ceccc8f9b2abecee44d606f79 | https://github.com/openclaw/openclaw/security/advisories/GHSA-2qj5-gwg2-xwc4</t>
        </is>
      </c>
      <c r="O447" s="188" t="inlineStr">
        <is>
          <t>Apply vendor patches</t>
        </is>
      </c>
      <c r="P447" s="188" t="inlineStr">
        <is>
          <t>openclaw openclaw *</t>
        </is>
      </c>
      <c r="Q447" s="188" t="inlineStr">
        <is>
          <t>P3</t>
        </is>
      </c>
      <c r="R447" s="188" t="inlineStr">
        <is>
          <t>🚨 URGENT: Apply vendor patches immediately | 🔒 Isolate affected systems if patch unavailable | 🛡️ Enable additional monitoring/IDS rules</t>
        </is>
      </c>
      <c r="S447" s="188" t="inlineStr">
        <is>
          <t>CVE - IP enrichment n/a</t>
        </is>
      </c>
      <c r="T447" s="188" t="n">
        <v>0</v>
      </c>
      <c r="U447" s="188" t="n">
        <v>0</v>
      </c>
      <c r="V447" s="188" t="inlineStr">
        <is>
          <t>T1059:Command and Scripting Interpreter</t>
        </is>
      </c>
      <c r="W447" s="188" t="n">
        <v>1</v>
      </c>
      <c r="X447" s="188" t="inlineStr">
        <is>
          <t>LOW (40%)</t>
        </is>
      </c>
      <c r="Y447" s="188" t="inlineStr">
        <is>
          <t>UNLIKELY</t>
        </is>
      </c>
      <c r="Z447" s="188" t="inlineStr">
        <is>
          <t>PATCH_AVAILABLE</t>
        </is>
      </c>
      <c r="AA447" s="188" t="inlineStr">
        <is>
          <t>https://nvd.nist.gov/vuln/detail/CVE-2026-27001</t>
        </is>
      </c>
      <c r="AB447" s="188" t="inlineStr">
        <is>
          <t>NONE</t>
        </is>
      </c>
      <c r="AC447" s="188" t="n">
        <v>0</v>
      </c>
      <c r="AD447" s="188" t="inlineStr"/>
    </row>
    <row r="448">
      <c r="A448" s="189" t="inlineStr">
        <is>
          <t>CVE</t>
        </is>
      </c>
      <c r="B448" s="189" t="inlineStr">
        <is>
          <t>CVE-2026-27002</t>
        </is>
      </c>
      <c r="C448" s="189" t="inlineStr">
        <is>
          <t>OpenClaw is a personal AI assistant. Prior to version 2026.2.15, a configuration injection issue in the Docker tool sandbox could allow dangerous Docker options (bind mounts, host networking, unconfined profiles) to be applied, enabling container escape or host data access. OpenClaw 2026.2.15 blocks dangerous sandbox Docker settings and includes runtime enforcement when building `docker create` args; config-schema validation for `network=host`, `seccompProfile=unconfined`, `apparmorProfile=uncon</t>
        </is>
      </c>
      <c r="D448" s="189" t="n">
        <v>9.800000000000001</v>
      </c>
      <c r="E448" s="189" t="inlineStr">
        <is>
          <t>CRITICAL</t>
        </is>
      </c>
      <c r="F448" s="189" t="n">
        <v>2</v>
      </c>
      <c r="G448" s="189" t="n">
        <v>3</v>
      </c>
      <c r="H448" s="189" t="inlineStr">
        <is>
          <t>HIGH</t>
        </is>
      </c>
      <c r="I448" s="189" t="n">
        <v>15.8</v>
      </c>
      <c r="J448" s="189" t="inlineStr">
        <is>
          <t>NO</t>
        </is>
      </c>
      <c r="K448" s="189" t="inlineStr">
        <is>
          <t>https://nvd.nist.gov/vuln/detail/CVE-2026-27002</t>
        </is>
      </c>
      <c r="L448" s="189" t="inlineStr">
        <is>
          <t>2026-02-26 00:15</t>
        </is>
      </c>
      <c r="M448" s="189" t="inlineStr">
        <is>
          <t>YES</t>
        </is>
      </c>
      <c r="N448" s="189" t="inlineStr">
        <is>
          <t>https://github.com/openclaw/openclaw/commit/887b209db47f1f9322fead241a1c0b043fd38339 | https://github.com/openclaw/openclaw/security/advisories/GHSA-w235-x559-36mg</t>
        </is>
      </c>
      <c r="O448" s="189" t="inlineStr">
        <is>
          <t>https://github.com/openclaw/openclaw/security/advisories/GHSA-w235-x559-36mg</t>
        </is>
      </c>
      <c r="P448" s="189" t="inlineStr">
        <is>
          <t>openclaw openclaw *</t>
        </is>
      </c>
      <c r="Q448" s="189" t="inlineStr">
        <is>
          <t>P3</t>
        </is>
      </c>
      <c r="R448" s="189" t="inlineStr">
        <is>
          <t>🚨 URGENT: Apply vendor patches immediately | 🔒 Isolate affected systems if patch unavailable | 🛡️ Enable additional monitoring/IDS rules</t>
        </is>
      </c>
      <c r="S448" s="189" t="inlineStr">
        <is>
          <t>CVE - IP enrichment n/a</t>
        </is>
      </c>
      <c r="T448" s="189" t="n">
        <v>0</v>
      </c>
      <c r="U448" s="189" t="n">
        <v>0</v>
      </c>
      <c r="V448" s="189" t="inlineStr">
        <is>
          <t>T1190:Exploit Public-Facing Application</t>
        </is>
      </c>
      <c r="W448" s="189" t="n">
        <v>1</v>
      </c>
      <c r="X448" s="189" t="inlineStr">
        <is>
          <t>LOW (40%)</t>
        </is>
      </c>
      <c r="Y448" s="189" t="inlineStr">
        <is>
          <t>UNLIKELY</t>
        </is>
      </c>
      <c r="Z448" s="189" t="inlineStr">
        <is>
          <t>PATCH_AVAILABLE</t>
        </is>
      </c>
      <c r="AA448" s="189" t="inlineStr">
        <is>
          <t>https://nvd.nist.gov/vuln/detail/CVE-2026-27002</t>
        </is>
      </c>
      <c r="AB448" s="189" t="inlineStr">
        <is>
          <t>NONE</t>
        </is>
      </c>
      <c r="AC448" s="189" t="n">
        <v>0</v>
      </c>
      <c r="AD448" s="189" t="inlineStr"/>
    </row>
    <row r="449">
      <c r="A449" s="187" t="inlineStr">
        <is>
          <t>CVE</t>
        </is>
      </c>
      <c r="B449" s="187" t="inlineStr">
        <is>
          <t>CVE-2026-27003</t>
        </is>
      </c>
      <c r="C449" s="187" t="inlineStr">
        <is>
          <t>OpenClaw is a personal AI assistant. Telegram bot tokens can appear in error messages and stack traces (for example, when request URLs include `https://api.telegram.org/bot /...`). Prior to version 2026.2.15, OpenClaw logged these strings without redaction, which could leak the bot token into logs, crash reports, CI output, or support bundles. Disclosure of a Telegram bot token allows an attacker to impersonate the bot and take over Bot API access. Users should upgrade to version 2026.2.15 to ob</t>
        </is>
      </c>
      <c r="D449" s="187" t="n">
        <v>5.5</v>
      </c>
      <c r="E449" s="187" t="inlineStr">
        <is>
          <t>MEDIUM</t>
        </is>
      </c>
      <c r="F449" s="187" t="n">
        <v>2</v>
      </c>
      <c r="G449" s="187" t="n">
        <v>2</v>
      </c>
      <c r="H449" s="187" t="inlineStr">
        <is>
          <t>MEDIUM</t>
        </is>
      </c>
      <c r="I449" s="187" t="n">
        <v>9.5</v>
      </c>
      <c r="J449" s="187" t="inlineStr">
        <is>
          <t>NO</t>
        </is>
      </c>
      <c r="K449" s="187" t="inlineStr">
        <is>
          <t>https://nvd.nist.gov/vuln/detail/CVE-2026-27003</t>
        </is>
      </c>
      <c r="L449" s="187" t="inlineStr">
        <is>
          <t>2026-02-26 00:15</t>
        </is>
      </c>
      <c r="M449" s="187" t="inlineStr">
        <is>
          <t>YES</t>
        </is>
      </c>
      <c r="N449" s="187" t="inlineStr">
        <is>
          <t>https://github.com/openclaw/openclaw/commit/cf69907015b659e5025efb735ee31bd05c4ee3d5 | https://github.com/openclaw/openclaw/security/advisories/GHSA-chf7-jq6g-qrwv</t>
        </is>
      </c>
      <c r="O449" s="187" t="inlineStr">
        <is>
          <t>Apply vendor patches</t>
        </is>
      </c>
      <c r="P449" s="187" t="inlineStr">
        <is>
          <t>openclaw openclaw *</t>
        </is>
      </c>
      <c r="Q449" s="187" t="inlineStr">
        <is>
          <t>P4</t>
        </is>
      </c>
      <c r="R449" s="187" t="inlineStr">
        <is>
          <t>📅 Schedule patch deployment within 30 days | 🔍 Monitor for exploitation attempts</t>
        </is>
      </c>
      <c r="S449" s="187" t="inlineStr">
        <is>
          <t>CVE - IP enrichment n/a</t>
        </is>
      </c>
      <c r="T449" s="187" t="n">
        <v>0</v>
      </c>
      <c r="U449" s="187" t="n">
        <v>0</v>
      </c>
      <c r="V449" s="187" t="inlineStr">
        <is>
          <t>T1190:Exploit Public-Facing Application</t>
        </is>
      </c>
      <c r="W449" s="187" t="n">
        <v>1</v>
      </c>
      <c r="X449" s="187" t="inlineStr">
        <is>
          <t>LOW (40%)</t>
        </is>
      </c>
      <c r="Y449" s="187" t="inlineStr">
        <is>
          <t>UNLIKELY</t>
        </is>
      </c>
      <c r="Z449" s="187" t="inlineStr">
        <is>
          <t>PATCH_AVAILABLE</t>
        </is>
      </c>
      <c r="AA449" s="187" t="inlineStr">
        <is>
          <t>https://nvd.nist.gov/vuln/detail/CVE-2026-27003</t>
        </is>
      </c>
      <c r="AB449" s="187" t="inlineStr">
        <is>
          <t>NONE</t>
        </is>
      </c>
      <c r="AC449" s="187" t="n">
        <v>0</v>
      </c>
      <c r="AD449" s="187" t="inlineStr"/>
    </row>
    <row r="450">
      <c r="A450" s="187" t="inlineStr">
        <is>
          <t>CVE</t>
        </is>
      </c>
      <c r="B450" s="187" t="inlineStr">
        <is>
          <t>CVE-2026-27004</t>
        </is>
      </c>
      <c r="C450" s="187" t="inlineStr">
        <is>
          <t>OpenClaw is a personal AI assistant. Prior to version 2026.2.15, in some shared-agent deployments, OpenClaw session tools (`sessions_list`, `sessions_history`, `sessions_send`) allowed broader session targeting than some operators intended. This is primarily a configuration/visibility-scoping issue in multi-user environments where peers are not equally trusted. In Telegram webhook mode, monitor startup also did not fall back to per-account `webhookSecret` when only the account-level secret was c</t>
        </is>
      </c>
      <c r="D450" s="187" t="n">
        <v>5.5</v>
      </c>
      <c r="E450" s="187" t="inlineStr">
        <is>
          <t>MEDIUM</t>
        </is>
      </c>
      <c r="F450" s="187" t="n">
        <v>2</v>
      </c>
      <c r="G450" s="187" t="n">
        <v>2</v>
      </c>
      <c r="H450" s="187" t="inlineStr">
        <is>
          <t>MEDIUM</t>
        </is>
      </c>
      <c r="I450" s="187" t="n">
        <v>9.5</v>
      </c>
      <c r="J450" s="187" t="inlineStr">
        <is>
          <t>NO</t>
        </is>
      </c>
      <c r="K450" s="187" t="inlineStr">
        <is>
          <t>https://nvd.nist.gov/vuln/detail/CVE-2026-27004</t>
        </is>
      </c>
      <c r="L450" s="187" t="inlineStr">
        <is>
          <t>2026-02-26 00:15</t>
        </is>
      </c>
      <c r="M450" s="187" t="inlineStr">
        <is>
          <t>YES</t>
        </is>
      </c>
      <c r="N450" s="187" t="inlineStr">
        <is>
          <t>https://github.com/openclaw/openclaw/commit/c6c53437f7da033b94a01d492e904974e7bda74c | https://github.com/openclaw/openclaw/security/advisories/GHSA-6hf3-mhgc-cm65</t>
        </is>
      </c>
      <c r="O450" s="187" t="inlineStr">
        <is>
          <t>https://github.com/openclaw/openclaw/security/advisories/GHSA-6hf3-mhgc-cm65</t>
        </is>
      </c>
      <c r="P450" s="187" t="inlineStr">
        <is>
          <t>openclaw openclaw *</t>
        </is>
      </c>
      <c r="Q450" s="187" t="inlineStr">
        <is>
          <t>P4</t>
        </is>
      </c>
      <c r="R450" s="187" t="inlineStr">
        <is>
          <t>📅 Schedule patch deployment within 30 days | 🔍 Monitor for exploitation attempts</t>
        </is>
      </c>
      <c r="S450" s="187" t="inlineStr">
        <is>
          <t>CVE - IP enrichment n/a</t>
        </is>
      </c>
      <c r="T450" s="187" t="n">
        <v>0.0001</v>
      </c>
      <c r="U450" s="187" t="n">
        <v>0.0051</v>
      </c>
      <c r="V450" s="187" t="inlineStr">
        <is>
          <t>T1190:Exploit Public-Facing Application</t>
        </is>
      </c>
      <c r="W450" s="187" t="n">
        <v>1</v>
      </c>
      <c r="X450" s="187" t="inlineStr">
        <is>
          <t>LOW (40%)</t>
        </is>
      </c>
      <c r="Y450" s="187" t="inlineStr">
        <is>
          <t>UNLIKELY</t>
        </is>
      </c>
      <c r="Z450" s="187" t="inlineStr">
        <is>
          <t>PATCH_AVAILABLE</t>
        </is>
      </c>
      <c r="AA450" s="187" t="inlineStr">
        <is>
          <t>https://nvd.nist.gov/vuln/detail/CVE-2026-27004</t>
        </is>
      </c>
      <c r="AB450" s="187" t="inlineStr">
        <is>
          <t>NONE</t>
        </is>
      </c>
      <c r="AC450" s="187" t="n">
        <v>0</v>
      </c>
      <c r="AD450" s="187" t="inlineStr"/>
    </row>
    <row r="451">
      <c r="A451" s="190" t="inlineStr">
        <is>
          <t>CVE</t>
        </is>
      </c>
      <c r="B451" s="190" t="inlineStr">
        <is>
          <t>CVE-2026-27007</t>
        </is>
      </c>
      <c r="C451" s="190" t="inlineStr">
        <is>
          <t>OpenClaw is a personal AI assistant. Prior to version 2026.2.15, `normalizeForHash` in `src/agents/sandbox/config-hash.ts` recursively sorted arrays that contained only primitive values. This made order-sensitive sandbox configuration arrays hash to the same value even when order changed. In OpenClaw sandbox flows, this hash is used to decide whether existing sandbox containers should be recreated. As a result, order-only config changes (for example Docker `dns` and `binds` array order) could be</t>
        </is>
      </c>
      <c r="D451" s="190" t="n">
        <v>3.3</v>
      </c>
      <c r="E451" s="190" t="inlineStr">
        <is>
          <t>LOW</t>
        </is>
      </c>
      <c r="F451" s="190" t="n">
        <v>2</v>
      </c>
      <c r="G451" s="190" t="n">
        <v>1</v>
      </c>
      <c r="H451" s="190" t="inlineStr">
        <is>
          <t>LOW</t>
        </is>
      </c>
      <c r="I451" s="190" t="n">
        <v>5.3</v>
      </c>
      <c r="J451" s="190" t="inlineStr">
        <is>
          <t>NO</t>
        </is>
      </c>
      <c r="K451" s="190" t="inlineStr">
        <is>
          <t>https://nvd.nist.gov/vuln/detail/CVE-2026-27007</t>
        </is>
      </c>
      <c r="L451" s="190" t="inlineStr">
        <is>
          <t>2026-02-26 00:15</t>
        </is>
      </c>
      <c r="M451" s="190" t="inlineStr">
        <is>
          <t>YES</t>
        </is>
      </c>
      <c r="N451" s="190" t="inlineStr">
        <is>
          <t>https://github.com/openclaw/openclaw/commit/41ded303b4f6dae5afa854531ff837c3276ad60b | https://github.com/openclaw/openclaw/security/advisories/GHSA-xxvh-5hwj-42pp</t>
        </is>
      </c>
      <c r="O451" s="190" t="inlineStr">
        <is>
          <t>Apply vendor patches</t>
        </is>
      </c>
      <c r="P451" s="190" t="inlineStr">
        <is>
          <t>openclaw openclaw *</t>
        </is>
      </c>
      <c r="Q451" s="190" t="inlineStr">
        <is>
          <t>P4</t>
        </is>
      </c>
      <c r="R451" s="190" t="inlineStr">
        <is>
          <t>📅 Schedule patch deployment within 30 days | 🔍 Monitor for exploitation attempts</t>
        </is>
      </c>
      <c r="S451" s="190" t="inlineStr">
        <is>
          <t>CVE - IP enrichment n/a</t>
        </is>
      </c>
      <c r="T451" s="190" t="n">
        <v>0</v>
      </c>
      <c r="U451" s="190" t="n">
        <v>0</v>
      </c>
      <c r="V451" s="190" t="inlineStr">
        <is>
          <t>T1190:Exploit Public-Facing Application</t>
        </is>
      </c>
      <c r="W451" s="190" t="n">
        <v>1</v>
      </c>
      <c r="X451" s="190" t="inlineStr">
        <is>
          <t>LOW (40%)</t>
        </is>
      </c>
      <c r="Y451" s="190" t="inlineStr">
        <is>
          <t>UNLIKELY</t>
        </is>
      </c>
      <c r="Z451" s="190" t="inlineStr">
        <is>
          <t>PATCH_AVAILABLE</t>
        </is>
      </c>
      <c r="AA451" s="190" t="inlineStr">
        <is>
          <t>https://nvd.nist.gov/vuln/detail/CVE-2026-27007</t>
        </is>
      </c>
      <c r="AB451" s="190" t="inlineStr">
        <is>
          <t>NONE</t>
        </is>
      </c>
      <c r="AC451" s="190" t="n">
        <v>0</v>
      </c>
      <c r="AD451" s="190" t="inlineStr"/>
    </row>
    <row r="452">
      <c r="A452" s="187" t="inlineStr">
        <is>
          <t>CVE</t>
        </is>
      </c>
      <c r="B452" s="187" t="inlineStr">
        <is>
          <t>CVE-2026-27008</t>
        </is>
      </c>
      <c r="C452" s="187" t="inlineStr">
        <is>
          <t>OpenClaw is a personal AI assistant. Prior to version 2026.2.15, a bug in `download` skill installation allowed `targetDir` values from skill frontmatter to resolve outside the per-skill tools directory if not strictly validated. In the admin-only `skills.install` flow, this could write files outside the intended install sandbox. Version 2026.2.15 contains a fix for the issue.</t>
        </is>
      </c>
      <c r="D452" s="187" t="n">
        <v>6.7</v>
      </c>
      <c r="E452" s="187" t="inlineStr">
        <is>
          <t>MEDIUM</t>
        </is>
      </c>
      <c r="F452" s="187" t="n">
        <v>2</v>
      </c>
      <c r="G452" s="187" t="n">
        <v>2</v>
      </c>
      <c r="H452" s="187" t="inlineStr">
        <is>
          <t>MEDIUM</t>
        </is>
      </c>
      <c r="I452" s="187" t="n">
        <v>10.7</v>
      </c>
      <c r="J452" s="187" t="inlineStr">
        <is>
          <t>NO</t>
        </is>
      </c>
      <c r="K452" s="187" t="inlineStr">
        <is>
          <t>https://nvd.nist.gov/vuln/detail/CVE-2026-27008</t>
        </is>
      </c>
      <c r="L452" s="187" t="inlineStr">
        <is>
          <t>2026-02-26 00:15</t>
        </is>
      </c>
      <c r="M452" s="187" t="inlineStr">
        <is>
          <t>YES</t>
        </is>
      </c>
      <c r="N452" s="187" t="inlineStr">
        <is>
          <t>https://github.com/openclaw/openclaw/commit/2363e1b0853a028e47f90dcc1066e3e9809d65f1 | https://github.com/openclaw/openclaw/commit/b6305e97256d67e439719faacf5af3de9727d6e1 | https://github.com/openclaw/openclaw/security/advisories/GHSA-h7f7-89mm-pqh6</t>
        </is>
      </c>
      <c r="O452" s="187" t="inlineStr">
        <is>
          <t>Apply vendor patches</t>
        </is>
      </c>
      <c r="P452" s="187" t="inlineStr">
        <is>
          <t>openclaw openclaw *</t>
        </is>
      </c>
      <c r="Q452" s="187" t="inlineStr">
        <is>
          <t>P4</t>
        </is>
      </c>
      <c r="R452" s="187" t="inlineStr">
        <is>
          <t>📅 Schedule patch deployment within 30 days | 🔍 Monitor for exploitation attempts</t>
        </is>
      </c>
      <c r="S452" s="187" t="inlineStr">
        <is>
          <t>CVE - IP enrichment n/a</t>
        </is>
      </c>
      <c r="T452" s="187" t="n">
        <v>0</v>
      </c>
      <c r="U452" s="187" t="n">
        <v>0</v>
      </c>
      <c r="V452" s="187" t="inlineStr">
        <is>
          <t>T1190:Exploit Public-Facing Application</t>
        </is>
      </c>
      <c r="W452" s="187" t="n">
        <v>1</v>
      </c>
      <c r="X452" s="187" t="inlineStr">
        <is>
          <t>LOW (40%)</t>
        </is>
      </c>
      <c r="Y452" s="187" t="inlineStr">
        <is>
          <t>UNLIKELY</t>
        </is>
      </c>
      <c r="Z452" s="187" t="inlineStr">
        <is>
          <t>PATCH_AVAILABLE</t>
        </is>
      </c>
      <c r="AA452" s="187" t="inlineStr">
        <is>
          <t>https://nvd.nist.gov/vuln/detail/CVE-2026-27008</t>
        </is>
      </c>
      <c r="AB452" s="187" t="inlineStr">
        <is>
          <t>NONE</t>
        </is>
      </c>
      <c r="AC452" s="187" t="n">
        <v>0</v>
      </c>
      <c r="AD452" s="187" t="inlineStr"/>
    </row>
    <row r="453">
      <c r="A453" s="187" t="inlineStr">
        <is>
          <t>CVE</t>
        </is>
      </c>
      <c r="B453" s="187" t="inlineStr">
        <is>
          <t>CVE-2026-27009</t>
        </is>
      </c>
      <c r="C453" s="187" t="inlineStr">
        <is>
          <t xml:space="preserve">OpenClaw is a personal AI assistant. Prior to version 2026.2.15, a atored XSS issue in the OpenClaw Control UI when rendering assistant identity (name/avatar) into an inline ` ` tag without script-context-safe escaping. A crafted value containing ` ` could break out of the script tag and execute attacker-controlled JavaScript in the Control UI origin. Version 2026.2.15 removed inline script injection and serve bootstrap config from a JSON endpoint and added a restrictive Content Security Policy </t>
        </is>
      </c>
      <c r="D453" s="187" t="n">
        <v>5.8</v>
      </c>
      <c r="E453" s="187" t="inlineStr">
        <is>
          <t>MEDIUM</t>
        </is>
      </c>
      <c r="F453" s="187" t="n">
        <v>2</v>
      </c>
      <c r="G453" s="187" t="n">
        <v>2</v>
      </c>
      <c r="H453" s="187" t="inlineStr">
        <is>
          <t>MEDIUM</t>
        </is>
      </c>
      <c r="I453" s="187" t="n">
        <v>9.800000000000001</v>
      </c>
      <c r="J453" s="187" t="inlineStr">
        <is>
          <t>NO</t>
        </is>
      </c>
      <c r="K453" s="187" t="inlineStr">
        <is>
          <t>https://nvd.nist.gov/vuln/detail/CVE-2026-27009</t>
        </is>
      </c>
      <c r="L453" s="187" t="inlineStr">
        <is>
          <t>2026-02-26 00:15</t>
        </is>
      </c>
      <c r="M453" s="187" t="inlineStr">
        <is>
          <t>YES</t>
        </is>
      </c>
      <c r="N453" s="187" t="inlineStr">
        <is>
          <t>https://github.com/openclaw/openclaw/commit/3b4096e02e7e335f99f5986ec1bd566e90b14a7e | https://github.com/openclaw/openclaw/commit/adc818db4a4b3b8d663e7674ef20436947514e1b | https://github.com/openclaw/openclaw/security/advisories/GHSA-37gc-85xm-2ww6</t>
        </is>
      </c>
      <c r="O453" s="187" t="inlineStr">
        <is>
          <t>Apply vendor patches</t>
        </is>
      </c>
      <c r="P453" s="187" t="inlineStr">
        <is>
          <t>openclaw openclaw *</t>
        </is>
      </c>
      <c r="Q453" s="187" t="inlineStr">
        <is>
          <t>P4</t>
        </is>
      </c>
      <c r="R453" s="187" t="inlineStr">
        <is>
          <t>📅 Schedule patch deployment within 30 days | 🔍 Monitor for exploitation attempts</t>
        </is>
      </c>
      <c r="S453" s="187" t="inlineStr">
        <is>
          <t>CVE - IP enrichment n/a</t>
        </is>
      </c>
      <c r="T453" s="187" t="n">
        <v>0</v>
      </c>
      <c r="U453" s="187" t="n">
        <v>0</v>
      </c>
      <c r="V453" s="187" t="inlineStr">
        <is>
          <t>T1189:Drive-by Compromise</t>
        </is>
      </c>
      <c r="W453" s="187" t="n">
        <v>1</v>
      </c>
      <c r="X453" s="187" t="inlineStr">
        <is>
          <t>LOW (40%)</t>
        </is>
      </c>
      <c r="Y453" s="187" t="inlineStr">
        <is>
          <t>UNLIKELY</t>
        </is>
      </c>
      <c r="Z453" s="187" t="inlineStr">
        <is>
          <t>PATCH_AVAILABLE</t>
        </is>
      </c>
      <c r="AA453" s="187" t="inlineStr">
        <is>
          <t>https://nvd.nist.gov/vuln/detail/CVE-2026-27009</t>
        </is>
      </c>
      <c r="AB453" s="187" t="inlineStr">
        <is>
          <t>NONE</t>
        </is>
      </c>
      <c r="AC453" s="187" t="n">
        <v>0</v>
      </c>
      <c r="AD453" s="187" t="inlineStr"/>
    </row>
    <row r="454">
      <c r="A454" s="187" t="inlineStr">
        <is>
          <t>CVE</t>
        </is>
      </c>
      <c r="B454" s="187" t="inlineStr">
        <is>
          <t>CVE-2026-2350</t>
        </is>
      </c>
      <c r="C454" s="187" t="inlineStr">
        <is>
          <t>Tanium addressed an insertion of sensitive information into log file vulnerability in Interact and TDS.</t>
        </is>
      </c>
      <c r="D454" s="187" t="n">
        <v>6.5</v>
      </c>
      <c r="E454" s="187" t="inlineStr">
        <is>
          <t>MEDIUM</t>
        </is>
      </c>
      <c r="F454" s="187" t="n">
        <v>2</v>
      </c>
      <c r="G454" s="187" t="n">
        <v>2</v>
      </c>
      <c r="H454" s="187" t="inlineStr">
        <is>
          <t>MEDIUM</t>
        </is>
      </c>
      <c r="I454" s="187" t="n">
        <v>10.5</v>
      </c>
      <c r="J454" s="187" t="inlineStr">
        <is>
          <t>NO</t>
        </is>
      </c>
      <c r="K454" s="187" t="inlineStr">
        <is>
          <t>https://nvd.nist.gov/vuln/detail/CVE-2026-2350</t>
        </is>
      </c>
      <c r="L454" s="187" t="inlineStr">
        <is>
          <t>2026-02-26 00:15</t>
        </is>
      </c>
      <c r="M454" s="187" t="inlineStr">
        <is>
          <t>CHECK_VENDOR</t>
        </is>
      </c>
      <c r="N454" s="187" t="inlineStr">
        <is>
          <t>See NVD references</t>
        </is>
      </c>
      <c r="O454" s="187" t="inlineStr">
        <is>
          <t>Apply vendor patches</t>
        </is>
      </c>
      <c r="P454" s="187" t="inlineStr">
        <is>
          <t>See CVE details</t>
        </is>
      </c>
      <c r="Q454" s="187" t="inlineStr">
        <is>
          <t>P4</t>
        </is>
      </c>
      <c r="R454" s="187" t="inlineStr">
        <is>
          <t>📅 Schedule patch deployment within 30 days | 🔍 Monitor for exploitation attempts</t>
        </is>
      </c>
      <c r="S454" s="187" t="inlineStr">
        <is>
          <t>CVE - IP enrichment n/a</t>
        </is>
      </c>
      <c r="T454" s="187" t="n">
        <v>0</v>
      </c>
      <c r="U454" s="187" t="n">
        <v>0</v>
      </c>
      <c r="V454" s="187" t="inlineStr">
        <is>
          <t>T1190:Exploit Public-Facing Application</t>
        </is>
      </c>
      <c r="W454" s="187" t="n">
        <v>1</v>
      </c>
      <c r="X454" s="187" t="inlineStr">
        <is>
          <t>LOW (40%)</t>
        </is>
      </c>
      <c r="Y454" s="187" t="inlineStr">
        <is>
          <t>UNLIKELY</t>
        </is>
      </c>
      <c r="Z454" s="187" t="inlineStr">
        <is>
          <t>CHECK_VENDOR</t>
        </is>
      </c>
      <c r="AA454" s="187" t="inlineStr">
        <is>
          <t>https://nvd.nist.gov/vuln/detail/CVE-2026-2350</t>
        </is>
      </c>
      <c r="AB454" s="187" t="inlineStr">
        <is>
          <t>NONE</t>
        </is>
      </c>
      <c r="AC454" s="187" t="n">
        <v>0</v>
      </c>
      <c r="AD454" s="187" t="inlineStr"/>
    </row>
    <row r="455">
      <c r="A455" s="187" t="inlineStr">
        <is>
          <t>CVE</t>
        </is>
      </c>
      <c r="B455" s="187" t="inlineStr">
        <is>
          <t>CVE-2026-2408</t>
        </is>
      </c>
      <c r="C455" s="187" t="inlineStr">
        <is>
          <t>Tanium addressed a use-after-free vulnerability in the Cloud Workloads Enforce client extension.</t>
        </is>
      </c>
      <c r="D455" s="187" t="n">
        <v>4.7</v>
      </c>
      <c r="E455" s="187" t="inlineStr">
        <is>
          <t>MEDIUM</t>
        </is>
      </c>
      <c r="F455" s="187" t="n">
        <v>2</v>
      </c>
      <c r="G455" s="187" t="n">
        <v>2</v>
      </c>
      <c r="H455" s="187" t="inlineStr">
        <is>
          <t>MEDIUM</t>
        </is>
      </c>
      <c r="I455" s="187" t="n">
        <v>8.699999999999999</v>
      </c>
      <c r="J455" s="187" t="inlineStr">
        <is>
          <t>NO</t>
        </is>
      </c>
      <c r="K455" s="187" t="inlineStr">
        <is>
          <t>https://nvd.nist.gov/vuln/detail/CVE-2026-2408</t>
        </is>
      </c>
      <c r="L455" s="187" t="inlineStr">
        <is>
          <t>2026-02-26 00:15</t>
        </is>
      </c>
      <c r="M455" s="187" t="inlineStr">
        <is>
          <t>CHECK_VENDOR</t>
        </is>
      </c>
      <c r="N455" s="187" t="inlineStr">
        <is>
          <t>See NVD references</t>
        </is>
      </c>
      <c r="O455" s="187" t="inlineStr">
        <is>
          <t>Apply vendor patches</t>
        </is>
      </c>
      <c r="P455" s="187" t="inlineStr">
        <is>
          <t>See CVE details</t>
        </is>
      </c>
      <c r="Q455" s="187" t="inlineStr">
        <is>
          <t>P4</t>
        </is>
      </c>
      <c r="R455" s="187" t="inlineStr">
        <is>
          <t>📅 Schedule patch deployment within 30 days | 🔍 Monitor for exploitation attempts</t>
        </is>
      </c>
      <c r="S455" s="187" t="inlineStr">
        <is>
          <t>CVE - IP enrichment n/a</t>
        </is>
      </c>
      <c r="T455" s="187" t="n">
        <v>0</v>
      </c>
      <c r="U455" s="187" t="n">
        <v>0</v>
      </c>
      <c r="V455" s="187" t="inlineStr">
        <is>
          <t>T1203:Exploitation for Client Execution | T1190:Exploit Public-Facing Application</t>
        </is>
      </c>
      <c r="W455" s="187" t="n">
        <v>1</v>
      </c>
      <c r="X455" s="187" t="inlineStr">
        <is>
          <t>LOW (40%)</t>
        </is>
      </c>
      <c r="Y455" s="187" t="inlineStr">
        <is>
          <t>UNLIKELY</t>
        </is>
      </c>
      <c r="Z455" s="187" t="inlineStr">
        <is>
          <t>CHECK_VENDOR</t>
        </is>
      </c>
      <c r="AA455" s="187" t="inlineStr">
        <is>
          <t>https://nvd.nist.gov/vuln/detail/CVE-2026-2408</t>
        </is>
      </c>
      <c r="AB455" s="187" t="inlineStr">
        <is>
          <t>NONE</t>
        </is>
      </c>
      <c r="AC455" s="187" t="n">
        <v>0</v>
      </c>
      <c r="AD455" s="187" t="inlineStr"/>
    </row>
    <row r="456">
      <c r="A456" s="187" t="inlineStr">
        <is>
          <t>CVE</t>
        </is>
      </c>
      <c r="B456" s="187" t="inlineStr">
        <is>
          <t>CVE-2026-2435</t>
        </is>
      </c>
      <c r="C456" s="187" t="inlineStr">
        <is>
          <t>Tanium addressed a SQL injection vulnerability in Asset.</t>
        </is>
      </c>
      <c r="D456" s="187" t="n">
        <v>6.3</v>
      </c>
      <c r="E456" s="187" t="inlineStr">
        <is>
          <t>MEDIUM</t>
        </is>
      </c>
      <c r="F456" s="187" t="n">
        <v>2</v>
      </c>
      <c r="G456" s="187" t="n">
        <v>2</v>
      </c>
      <c r="H456" s="187" t="inlineStr">
        <is>
          <t>MEDIUM</t>
        </is>
      </c>
      <c r="I456" s="187" t="n">
        <v>10.3</v>
      </c>
      <c r="J456" s="187" t="inlineStr">
        <is>
          <t>NO</t>
        </is>
      </c>
      <c r="K456" s="187" t="inlineStr">
        <is>
          <t>https://nvd.nist.gov/vuln/detail/CVE-2026-2435</t>
        </is>
      </c>
      <c r="L456" s="187" t="inlineStr">
        <is>
          <t>2026-02-26 00:15</t>
        </is>
      </c>
      <c r="M456" s="187" t="inlineStr">
        <is>
          <t>CHECK_VENDOR</t>
        </is>
      </c>
      <c r="N456" s="187" t="inlineStr">
        <is>
          <t>See NVD references</t>
        </is>
      </c>
      <c r="O456" s="187" t="inlineStr">
        <is>
          <t>Apply vendor patches</t>
        </is>
      </c>
      <c r="P456" s="187" t="inlineStr">
        <is>
          <t>See CVE details</t>
        </is>
      </c>
      <c r="Q456" s="187" t="inlineStr">
        <is>
          <t>P4</t>
        </is>
      </c>
      <c r="R456" s="187" t="inlineStr">
        <is>
          <t>📅 Schedule patch deployment within 30 days | 🔍 Monitor for exploitation attempts</t>
        </is>
      </c>
      <c r="S456" s="187" t="inlineStr">
        <is>
          <t>CVE - IP enrichment n/a</t>
        </is>
      </c>
      <c r="T456" s="187" t="n">
        <v>0</v>
      </c>
      <c r="U456" s="187" t="n">
        <v>0</v>
      </c>
      <c r="V456" s="187" t="inlineStr">
        <is>
          <t>T1190:Exploit Public-Facing Application</t>
        </is>
      </c>
      <c r="W456" s="187" t="n">
        <v>1</v>
      </c>
      <c r="X456" s="187" t="inlineStr">
        <is>
          <t>LOW (40%)</t>
        </is>
      </c>
      <c r="Y456" s="187" t="inlineStr">
        <is>
          <t>UNLIKELY</t>
        </is>
      </c>
      <c r="Z456" s="187" t="inlineStr">
        <is>
          <t>CHECK_VENDOR</t>
        </is>
      </c>
      <c r="AA456" s="187" t="inlineStr">
        <is>
          <t>https://nvd.nist.gov/vuln/detail/CVE-2026-2435</t>
        </is>
      </c>
      <c r="AB456" s="187" t="inlineStr">
        <is>
          <t>NONE</t>
        </is>
      </c>
      <c r="AC456" s="187" t="n">
        <v>0</v>
      </c>
      <c r="AD456" s="187" t="inlineStr"/>
    </row>
    <row r="457">
      <c r="A457" s="187" t="inlineStr">
        <is>
          <t>CVE</t>
        </is>
      </c>
      <c r="B457" s="187" t="inlineStr">
        <is>
          <t>CVE-2026-2605</t>
        </is>
      </c>
      <c r="C457" s="187" t="inlineStr">
        <is>
          <t>Tanium addressed an insertion of sensitive information into log file vulnerability in TanOS.</t>
        </is>
      </c>
      <c r="D457" s="187" t="n">
        <v>5.3</v>
      </c>
      <c r="E457" s="187" t="inlineStr">
        <is>
          <t>MEDIUM</t>
        </is>
      </c>
      <c r="F457" s="187" t="n">
        <v>2</v>
      </c>
      <c r="G457" s="187" t="n">
        <v>2</v>
      </c>
      <c r="H457" s="187" t="inlineStr">
        <is>
          <t>MEDIUM</t>
        </is>
      </c>
      <c r="I457" s="187" t="n">
        <v>9.300000000000001</v>
      </c>
      <c r="J457" s="187" t="inlineStr">
        <is>
          <t>NO</t>
        </is>
      </c>
      <c r="K457" s="187" t="inlineStr">
        <is>
          <t>https://nvd.nist.gov/vuln/detail/CVE-2026-2605</t>
        </is>
      </c>
      <c r="L457" s="187" t="inlineStr">
        <is>
          <t>2026-02-26 00:15</t>
        </is>
      </c>
      <c r="M457" s="187" t="inlineStr">
        <is>
          <t>YES</t>
        </is>
      </c>
      <c r="N457" s="187" t="inlineStr">
        <is>
          <t>https://security.tanium.com/TAN-2026-006</t>
        </is>
      </c>
      <c r="O457" s="187" t="inlineStr">
        <is>
          <t>Apply vendor patches</t>
        </is>
      </c>
      <c r="P457" s="187" t="inlineStr">
        <is>
          <t>tanium tanos *</t>
        </is>
      </c>
      <c r="Q457" s="187" t="inlineStr">
        <is>
          <t>P4</t>
        </is>
      </c>
      <c r="R457" s="187" t="inlineStr">
        <is>
          <t>📅 Schedule patch deployment within 30 days | 🔍 Monitor for exploitation attempts</t>
        </is>
      </c>
      <c r="S457" s="187" t="inlineStr">
        <is>
          <t>CVE - IP enrichment n/a</t>
        </is>
      </c>
      <c r="T457" s="187" t="n">
        <v>0.0004</v>
      </c>
      <c r="U457" s="187" t="n">
        <v>0.1052</v>
      </c>
      <c r="V457" s="187" t="inlineStr">
        <is>
          <t>T1190:Exploit Public-Facing Application</t>
        </is>
      </c>
      <c r="W457" s="187" t="n">
        <v>1</v>
      </c>
      <c r="X457" s="187" t="inlineStr">
        <is>
          <t>LOW (40%)</t>
        </is>
      </c>
      <c r="Y457" s="187" t="inlineStr">
        <is>
          <t>UNLIKELY</t>
        </is>
      </c>
      <c r="Z457" s="187" t="inlineStr">
        <is>
          <t>PATCH_AVAILABLE</t>
        </is>
      </c>
      <c r="AA457" s="187" t="inlineStr">
        <is>
          <t>https://nvd.nist.gov/vuln/detail/CVE-2026-2605</t>
        </is>
      </c>
      <c r="AB457" s="187" t="inlineStr">
        <is>
          <t>NONE</t>
        </is>
      </c>
      <c r="AC457" s="187" t="n">
        <v>0</v>
      </c>
      <c r="AD457" s="187" t="inlineStr"/>
    </row>
    <row r="458">
      <c r="A458" s="189" t="inlineStr">
        <is>
          <t>CVE</t>
        </is>
      </c>
      <c r="B458" s="189" t="inlineStr">
        <is>
          <t>CVE-2025-30410</t>
        </is>
      </c>
      <c r="C458" s="189" t="inlineStr">
        <is>
          <t>Sensitive data disclosure and manipulation due to missing authentication. The following products are affected: Acronis Cyber Protect Cloud Agent (Linux, macOS, Windows) before build 39870, Acronis Cyber Protect 16 (Linux, macOS, Windows) before build 39938, Acronis Cyber Protect 15 (Linux, macOS, Windows) before build 41800.</t>
        </is>
      </c>
      <c r="D458" s="189" t="n">
        <v>9.800000000000001</v>
      </c>
      <c r="E458" s="189" t="inlineStr">
        <is>
          <t>CRITICAL</t>
        </is>
      </c>
      <c r="F458" s="189" t="n">
        <v>2</v>
      </c>
      <c r="G458" s="189" t="n">
        <v>3</v>
      </c>
      <c r="H458" s="189" t="inlineStr">
        <is>
          <t>HIGH</t>
        </is>
      </c>
      <c r="I458" s="189" t="n">
        <v>15.8</v>
      </c>
      <c r="J458" s="189" t="inlineStr">
        <is>
          <t>NO</t>
        </is>
      </c>
      <c r="K458" s="189" t="inlineStr">
        <is>
          <t>https://nvd.nist.gov/vuln/detail/CVE-2025-30410</t>
        </is>
      </c>
      <c r="L458" s="189" t="inlineStr">
        <is>
          <t>2026-02-26 00:15</t>
        </is>
      </c>
      <c r="M458" s="189" t="inlineStr">
        <is>
          <t>CHECK_VENDOR</t>
        </is>
      </c>
      <c r="N458" s="189" t="inlineStr">
        <is>
          <t>See NVD references</t>
        </is>
      </c>
      <c r="O458" s="189" t="inlineStr">
        <is>
          <t>Apply vendor patches</t>
        </is>
      </c>
      <c r="P458" s="189" t="inlineStr">
        <is>
          <t>See CVE details</t>
        </is>
      </c>
      <c r="Q458" s="189" t="inlineStr">
        <is>
          <t>P3</t>
        </is>
      </c>
      <c r="R458" s="189" t="inlineStr">
        <is>
          <t>🚨 URGENT: Apply vendor patches immediately | 🔒 Isolate affected systems if patch unavailable | 🛡️ Enable additional monitoring/IDS rules</t>
        </is>
      </c>
      <c r="S458" s="189" t="inlineStr">
        <is>
          <t>CVE - IP enrichment n/a</t>
        </is>
      </c>
      <c r="T458" s="189" t="n">
        <v>0.0002</v>
      </c>
      <c r="U458" s="189" t="n">
        <v>0.0465</v>
      </c>
      <c r="V458" s="189" t="inlineStr">
        <is>
          <t>T1078:Valid Accounts</t>
        </is>
      </c>
      <c r="W458" s="189" t="n">
        <v>1</v>
      </c>
      <c r="X458" s="189" t="inlineStr">
        <is>
          <t>LOW (40%)</t>
        </is>
      </c>
      <c r="Y458" s="189" t="inlineStr">
        <is>
          <t>UNLIKELY</t>
        </is>
      </c>
      <c r="Z458" s="189" t="inlineStr">
        <is>
          <t>CHECK_VENDOR</t>
        </is>
      </c>
      <c r="AA458" s="189" t="inlineStr">
        <is>
          <t>https://nvd.nist.gov/vuln/detail/CVE-2025-30410</t>
        </is>
      </c>
      <c r="AB458" s="189" t="inlineStr">
        <is>
          <t>NONE</t>
        </is>
      </c>
      <c r="AC458" s="189" t="n">
        <v>0</v>
      </c>
      <c r="AD458" s="189" t="inlineStr"/>
    </row>
    <row r="459">
      <c r="A459" s="189" t="inlineStr">
        <is>
          <t>CVE</t>
        </is>
      </c>
      <c r="B459" s="189" t="inlineStr">
        <is>
          <t>CVE-2025-30411</t>
        </is>
      </c>
      <c r="C459" s="189" t="inlineStr">
        <is>
          <t>Sensitive data disclosure and manipulation due to improper authentication. The following products are affected: Acronis Cyber Protect 16 (Linux, Windows) before build 39938, Acronis Cyber Protect 15 (Linux, Windows) before build 41800.</t>
        </is>
      </c>
      <c r="D459" s="189" t="n">
        <v>10</v>
      </c>
      <c r="E459" s="189" t="inlineStr">
        <is>
          <t>CRITICAL</t>
        </is>
      </c>
      <c r="F459" s="189" t="n">
        <v>2</v>
      </c>
      <c r="G459" s="189" t="n">
        <v>3</v>
      </c>
      <c r="H459" s="189" t="inlineStr">
        <is>
          <t>HIGH</t>
        </is>
      </c>
      <c r="I459" s="189" t="n">
        <v>16</v>
      </c>
      <c r="J459" s="189" t="inlineStr">
        <is>
          <t>NO</t>
        </is>
      </c>
      <c r="K459" s="189" t="inlineStr">
        <is>
          <t>https://nvd.nist.gov/vuln/detail/CVE-2025-30411</t>
        </is>
      </c>
      <c r="L459" s="189" t="inlineStr">
        <is>
          <t>2026-02-26 00:15</t>
        </is>
      </c>
      <c r="M459" s="189" t="inlineStr">
        <is>
          <t>CHECK_VENDOR</t>
        </is>
      </c>
      <c r="N459" s="189" t="inlineStr">
        <is>
          <t>See NVD references</t>
        </is>
      </c>
      <c r="O459" s="189" t="inlineStr">
        <is>
          <t>Apply vendor patches</t>
        </is>
      </c>
      <c r="P459" s="189" t="inlineStr">
        <is>
          <t>See CVE details</t>
        </is>
      </c>
      <c r="Q459" s="189" t="inlineStr">
        <is>
          <t>P3</t>
        </is>
      </c>
      <c r="R459" s="189" t="inlineStr">
        <is>
          <t>🚨 URGENT: Apply vendor patches immediately | 🔒 Isolate affected systems if patch unavailable | 🛡️ Enable additional monitoring/IDS rules</t>
        </is>
      </c>
      <c r="S459" s="189" t="inlineStr">
        <is>
          <t>CVE - IP enrichment n/a</t>
        </is>
      </c>
      <c r="T459" s="189" t="n">
        <v>0</v>
      </c>
      <c r="U459" s="189" t="n">
        <v>0</v>
      </c>
      <c r="V459" s="189" t="inlineStr">
        <is>
          <t>T1190:Exploit Public-Facing Application</t>
        </is>
      </c>
      <c r="W459" s="189" t="n">
        <v>1</v>
      </c>
      <c r="X459" s="189" t="inlineStr">
        <is>
          <t>LOW (40%)</t>
        </is>
      </c>
      <c r="Y459" s="189" t="inlineStr">
        <is>
          <t>UNLIKELY</t>
        </is>
      </c>
      <c r="Z459" s="189" t="inlineStr">
        <is>
          <t>CHECK_VENDOR</t>
        </is>
      </c>
      <c r="AA459" s="189" t="inlineStr">
        <is>
          <t>https://nvd.nist.gov/vuln/detail/CVE-2025-30411</t>
        </is>
      </c>
      <c r="AB459" s="189" t="inlineStr">
        <is>
          <t>NONE</t>
        </is>
      </c>
      <c r="AC459" s="189" t="n">
        <v>0</v>
      </c>
      <c r="AD459" s="189" t="inlineStr"/>
    </row>
    <row r="460">
      <c r="A460" s="189" t="inlineStr">
        <is>
          <t>CVE</t>
        </is>
      </c>
      <c r="B460" s="189" t="inlineStr">
        <is>
          <t>CVE-2025-30412</t>
        </is>
      </c>
      <c r="C460" s="189" t="inlineStr">
        <is>
          <t>Sensitive data disclosure and manipulation due to improper authentication. The following products are affected: Acronis Cyber Protect 16 (Linux, Windows) before build 39938, Acronis Cyber Protect 15 (Linux, Windows) before build 41800.</t>
        </is>
      </c>
      <c r="D460" s="189" t="n">
        <v>10</v>
      </c>
      <c r="E460" s="189" t="inlineStr">
        <is>
          <t>CRITICAL</t>
        </is>
      </c>
      <c r="F460" s="189" t="n">
        <v>2</v>
      </c>
      <c r="G460" s="189" t="n">
        <v>3</v>
      </c>
      <c r="H460" s="189" t="inlineStr">
        <is>
          <t>HIGH</t>
        </is>
      </c>
      <c r="I460" s="189" t="n">
        <v>16</v>
      </c>
      <c r="J460" s="189" t="inlineStr">
        <is>
          <t>NO</t>
        </is>
      </c>
      <c r="K460" s="189" t="inlineStr">
        <is>
          <t>https://nvd.nist.gov/vuln/detail/CVE-2025-30412</t>
        </is>
      </c>
      <c r="L460" s="189" t="inlineStr">
        <is>
          <t>2026-02-26 00:15</t>
        </is>
      </c>
      <c r="M460" s="189" t="inlineStr">
        <is>
          <t>CHECK_VENDOR</t>
        </is>
      </c>
      <c r="N460" s="189" t="inlineStr">
        <is>
          <t>See NVD references</t>
        </is>
      </c>
      <c r="O460" s="189" t="inlineStr">
        <is>
          <t>Apply vendor patches</t>
        </is>
      </c>
      <c r="P460" s="189" t="inlineStr">
        <is>
          <t>See CVE details</t>
        </is>
      </c>
      <c r="Q460" s="189" t="inlineStr">
        <is>
          <t>P3</t>
        </is>
      </c>
      <c r="R460" s="189" t="inlineStr">
        <is>
          <t>🚨 URGENT: Apply vendor patches immediately | 🔒 Isolate affected systems if patch unavailable | 🛡️ Enable additional monitoring/IDS rules</t>
        </is>
      </c>
      <c r="S460" s="189" t="inlineStr">
        <is>
          <t>CVE - IP enrichment n/a</t>
        </is>
      </c>
      <c r="T460" s="189" t="n">
        <v>0</v>
      </c>
      <c r="U460" s="189" t="n">
        <v>0</v>
      </c>
      <c r="V460" s="189" t="inlineStr">
        <is>
          <t>T1190:Exploit Public-Facing Application</t>
        </is>
      </c>
      <c r="W460" s="189" t="n">
        <v>1</v>
      </c>
      <c r="X460" s="189" t="inlineStr">
        <is>
          <t>LOW (40%)</t>
        </is>
      </c>
      <c r="Y460" s="189" t="inlineStr">
        <is>
          <t>UNLIKELY</t>
        </is>
      </c>
      <c r="Z460" s="189" t="inlineStr">
        <is>
          <t>CHECK_VENDOR</t>
        </is>
      </c>
      <c r="AA460" s="189" t="inlineStr">
        <is>
          <t>https://nvd.nist.gov/vuln/detail/CVE-2025-30412</t>
        </is>
      </c>
      <c r="AB460" s="189" t="inlineStr">
        <is>
          <t>NONE</t>
        </is>
      </c>
      <c r="AC460" s="189" t="n">
        <v>0</v>
      </c>
      <c r="AD460" s="189" t="inlineStr"/>
    </row>
    <row r="461">
      <c r="A461" s="189" t="inlineStr">
        <is>
          <t>CVE</t>
        </is>
      </c>
      <c r="B461" s="189" t="inlineStr">
        <is>
          <t>CVE-2025-30416</t>
        </is>
      </c>
      <c r="C461" s="189" t="inlineStr">
        <is>
          <t>Sensitive data disclosure and manipulation due to missing authorization. The following products are affected: Acronis Cyber Protect 16 (Linux, Windows) before build 39938, Acronis Cyber Protect 15 (Linux, Windows) before build 41800.</t>
        </is>
      </c>
      <c r="D461" s="189" t="n">
        <v>10</v>
      </c>
      <c r="E461" s="189" t="inlineStr">
        <is>
          <t>CRITICAL</t>
        </is>
      </c>
      <c r="F461" s="189" t="n">
        <v>2</v>
      </c>
      <c r="G461" s="189" t="n">
        <v>3</v>
      </c>
      <c r="H461" s="189" t="inlineStr">
        <is>
          <t>HIGH</t>
        </is>
      </c>
      <c r="I461" s="189" t="n">
        <v>16</v>
      </c>
      <c r="J461" s="189" t="inlineStr">
        <is>
          <t>NO</t>
        </is>
      </c>
      <c r="K461" s="189" t="inlineStr">
        <is>
          <t>https://nvd.nist.gov/vuln/detail/CVE-2025-30416</t>
        </is>
      </c>
      <c r="L461" s="189" t="inlineStr">
        <is>
          <t>2026-02-26 00:15</t>
        </is>
      </c>
      <c r="M461" s="189" t="inlineStr">
        <is>
          <t>CHECK_VENDOR</t>
        </is>
      </c>
      <c r="N461" s="189" t="inlineStr">
        <is>
          <t>See NVD references</t>
        </is>
      </c>
      <c r="O461" s="189" t="inlineStr">
        <is>
          <t>Apply vendor patches</t>
        </is>
      </c>
      <c r="P461" s="189" t="inlineStr">
        <is>
          <t>See CVE details</t>
        </is>
      </c>
      <c r="Q461" s="189" t="inlineStr">
        <is>
          <t>P3</t>
        </is>
      </c>
      <c r="R461" s="189" t="inlineStr">
        <is>
          <t>🚨 URGENT: Apply vendor patches immediately | 🔒 Isolate affected systems if patch unavailable | 🛡️ Enable additional monitoring/IDS rules</t>
        </is>
      </c>
      <c r="S461" s="189" t="inlineStr">
        <is>
          <t>CVE - IP enrichment n/a</t>
        </is>
      </c>
      <c r="T461" s="189" t="n">
        <v>0</v>
      </c>
      <c r="U461" s="189" t="n">
        <v>0</v>
      </c>
      <c r="V461" s="189" t="inlineStr">
        <is>
          <t>T1190:Exploit Public-Facing Application</t>
        </is>
      </c>
      <c r="W461" s="189" t="n">
        <v>1</v>
      </c>
      <c r="X461" s="189" t="inlineStr">
        <is>
          <t>LOW (40%)</t>
        </is>
      </c>
      <c r="Y461" s="189" t="inlineStr">
        <is>
          <t>UNLIKELY</t>
        </is>
      </c>
      <c r="Z461" s="189" t="inlineStr">
        <is>
          <t>CHECK_VENDOR</t>
        </is>
      </c>
      <c r="AA461" s="189" t="inlineStr">
        <is>
          <t>https://nvd.nist.gov/vuln/detail/CVE-2025-30416</t>
        </is>
      </c>
      <c r="AB461" s="189" t="inlineStr">
        <is>
          <t>NONE</t>
        </is>
      </c>
      <c r="AC461" s="189" t="n">
        <v>0</v>
      </c>
      <c r="AD461" s="189" t="inlineStr"/>
    </row>
    <row r="462">
      <c r="A462" s="187" t="inlineStr">
        <is>
          <t>CVE</t>
        </is>
      </c>
      <c r="B462" s="187" t="inlineStr">
        <is>
          <t>CVE-2026-26967</t>
        </is>
      </c>
      <c r="C462" s="187" t="inlineStr">
        <is>
          <t>PJSIP is a free and open source multimedia communication library written in C. In versions 2.16 and below, there is a critical Heap-based Buffer Overflow vulnerability in PJSIP's H.264 unpacketizer. The bug occurs when processing malformed SRTP packets, where the unpacketizer reads a 2-byte NAL unit size field without validating that both bytes are within the payload buffer bounds. The vulnerability affects applications that receive video using H.264. A patch is available at https://github.com/p</t>
        </is>
      </c>
      <c r="D462" s="187" t="n">
        <v>5.3</v>
      </c>
      <c r="E462" s="187" t="inlineStr">
        <is>
          <t>MEDIUM</t>
        </is>
      </c>
      <c r="F462" s="187" t="n">
        <v>2</v>
      </c>
      <c r="G462" s="187" t="n">
        <v>2</v>
      </c>
      <c r="H462" s="187" t="inlineStr">
        <is>
          <t>MEDIUM</t>
        </is>
      </c>
      <c r="I462" s="187" t="n">
        <v>9.300000000000001</v>
      </c>
      <c r="J462" s="187" t="inlineStr">
        <is>
          <t>NO</t>
        </is>
      </c>
      <c r="K462" s="187" t="inlineStr">
        <is>
          <t>https://nvd.nist.gov/vuln/detail/CVE-2026-26967</t>
        </is>
      </c>
      <c r="L462" s="187" t="inlineStr">
        <is>
          <t>2026-02-26 00:15</t>
        </is>
      </c>
      <c r="M462" s="187" t="inlineStr">
        <is>
          <t>YES</t>
        </is>
      </c>
      <c r="N462" s="187" t="inlineStr">
        <is>
          <t>https://github.com/pjsip/pjproject/commit/f821c214e52b11bae11e4cd3c7f0864538fb5491 | https://github.com/pjsip/pjproject/security/advisories/GHSA-x2hc-6969-g8v6</t>
        </is>
      </c>
      <c r="O462" s="187" t="inlineStr">
        <is>
          <t>Apply vendor patches</t>
        </is>
      </c>
      <c r="P462" s="187" t="inlineStr">
        <is>
          <t>pjsip pjsip *</t>
        </is>
      </c>
      <c r="Q462" s="187" t="inlineStr">
        <is>
          <t>P4</t>
        </is>
      </c>
      <c r="R462" s="187" t="inlineStr">
        <is>
          <t>📅 Schedule patch deployment within 30 days | 🔍 Monitor for exploitation attempts</t>
        </is>
      </c>
      <c r="S462" s="187" t="inlineStr">
        <is>
          <t>CVE - IP enrichment n/a</t>
        </is>
      </c>
      <c r="T462" s="187" t="n">
        <v>0</v>
      </c>
      <c r="U462" s="187" t="n">
        <v>0</v>
      </c>
      <c r="V462" s="187" t="inlineStr">
        <is>
          <t>T1190:Exploit Public-Facing Application | T1203:Exploitation for Client Execution</t>
        </is>
      </c>
      <c r="W462" s="187" t="n">
        <v>1</v>
      </c>
      <c r="X462" s="187" t="inlineStr">
        <is>
          <t>LOW (40%)</t>
        </is>
      </c>
      <c r="Y462" s="187" t="inlineStr">
        <is>
          <t>UNLIKELY</t>
        </is>
      </c>
      <c r="Z462" s="187" t="inlineStr">
        <is>
          <t>PATCH_AVAILABLE</t>
        </is>
      </c>
      <c r="AA462" s="187" t="inlineStr">
        <is>
          <t>https://nvd.nist.gov/vuln/detail/CVE-2026-26967</t>
        </is>
      </c>
      <c r="AB462" s="187" t="inlineStr">
        <is>
          <t>NONE</t>
        </is>
      </c>
      <c r="AC462" s="187" t="n">
        <v>0</v>
      </c>
      <c r="AD462" s="187" t="inlineStr"/>
    </row>
    <row r="463">
      <c r="A463" s="187" t="inlineStr">
        <is>
          <t>CVE</t>
        </is>
      </c>
      <c r="B463" s="187" t="inlineStr">
        <is>
          <t>CVE-2026-26974</t>
        </is>
      </c>
      <c r="C463" s="187" t="inlineStr">
        <is>
          <t>Slyde is a program that creates animated presentations from XML. In versions 0.0.4 and below, Node.js automatically imports **/*.plugin.{js,mjs} files including those from node_modules, so any malicious package with a .plugin.js file can execute arbitrary code when installed or required. All projects using this loading behavior are affected, especially those installing untrusted packages. This issue has been fixed in version 0.0.5. To workaround this issue, users can audit and restrict which pac</t>
        </is>
      </c>
      <c r="D463" s="187" t="n">
        <v>5</v>
      </c>
      <c r="E463" s="187" t="inlineStr">
        <is>
          <t>MEDIUM</t>
        </is>
      </c>
      <c r="F463" s="187" t="n">
        <v>2</v>
      </c>
      <c r="G463" s="187" t="n">
        <v>2</v>
      </c>
      <c r="H463" s="187" t="inlineStr">
        <is>
          <t>MEDIUM</t>
        </is>
      </c>
      <c r="I463" s="187" t="n">
        <v>9</v>
      </c>
      <c r="J463" s="187" t="inlineStr">
        <is>
          <t>NO</t>
        </is>
      </c>
      <c r="K463" s="187" t="inlineStr">
        <is>
          <t>https://nvd.nist.gov/vuln/detail/CVE-2026-26974</t>
        </is>
      </c>
      <c r="L463" s="187" t="inlineStr">
        <is>
          <t>2026-02-26 00:15</t>
        </is>
      </c>
      <c r="M463" s="187" t="inlineStr">
        <is>
          <t>CHECK_VENDOR</t>
        </is>
      </c>
      <c r="N463" s="187" t="inlineStr">
        <is>
          <t>See NVD references</t>
        </is>
      </c>
      <c r="O463" s="187" t="inlineStr">
        <is>
          <t>Apply vendor patches</t>
        </is>
      </c>
      <c r="P463" s="187" t="inlineStr">
        <is>
          <t>See CVE details</t>
        </is>
      </c>
      <c r="Q463" s="187" t="inlineStr">
        <is>
          <t>P4</t>
        </is>
      </c>
      <c r="R463" s="187" t="inlineStr">
        <is>
          <t>📅 Schedule patch deployment within 30 days | 🔍 Monitor for exploitation attempts</t>
        </is>
      </c>
      <c r="S463" s="187" t="inlineStr">
        <is>
          <t>CVE - IP enrichment n/a</t>
        </is>
      </c>
      <c r="T463" s="187" t="n">
        <v>0</v>
      </c>
      <c r="U463" s="187" t="n">
        <v>0</v>
      </c>
      <c r="V463" s="187" t="inlineStr">
        <is>
          <t>T1203:Exploitation for Client Execution</t>
        </is>
      </c>
      <c r="W463" s="187" t="n">
        <v>1</v>
      </c>
      <c r="X463" s="187" t="inlineStr">
        <is>
          <t>LOW (40%)</t>
        </is>
      </c>
      <c r="Y463" s="187" t="inlineStr">
        <is>
          <t>UNLIKELY</t>
        </is>
      </c>
      <c r="Z463" s="187" t="inlineStr">
        <is>
          <t>CHECK_VENDOR</t>
        </is>
      </c>
      <c r="AA463" s="187" t="inlineStr">
        <is>
          <t>https://nvd.nist.gov/vuln/detail/CVE-2026-26974</t>
        </is>
      </c>
      <c r="AB463" s="187" t="inlineStr">
        <is>
          <t>NONE</t>
        </is>
      </c>
      <c r="AC463" s="187" t="n">
        <v>0</v>
      </c>
      <c r="AD463" s="187" t="inlineStr"/>
    </row>
    <row r="464">
      <c r="A464" s="188" t="inlineStr">
        <is>
          <t>CVE</t>
        </is>
      </c>
      <c r="B464" s="188" t="inlineStr">
        <is>
          <t>CVE-2026-26975</t>
        </is>
      </c>
      <c r="C464" s="188" t="inlineStr">
        <is>
          <t>Music Assistant is an open-source media library manager that integrates streaming services with connected speakers. Versions 2.6.3 and below allow unauthenticated network-adjacent attackers to execute arbitrary code on affected installations. The music/playlists/update API allows users to bypass the .m3u extension enforcement and write files anywhere on the filesystem, which is exacerbated by the container running as root. This can be exploited to achieve Remote Code Execution by writing a malic</t>
        </is>
      </c>
      <c r="D464" s="188" t="n">
        <v>8.800000000000001</v>
      </c>
      <c r="E464" s="188" t="inlineStr">
        <is>
          <t>HIGH</t>
        </is>
      </c>
      <c r="F464" s="188" t="n">
        <v>2</v>
      </c>
      <c r="G464" s="188" t="n">
        <v>3</v>
      </c>
      <c r="H464" s="188" t="inlineStr">
        <is>
          <t>HIGH</t>
        </is>
      </c>
      <c r="I464" s="188" t="n">
        <v>14.8</v>
      </c>
      <c r="J464" s="188" t="inlineStr">
        <is>
          <t>NO</t>
        </is>
      </c>
      <c r="K464" s="188" t="inlineStr">
        <is>
          <t>https://nvd.nist.gov/vuln/detail/CVE-2026-26975</t>
        </is>
      </c>
      <c r="L464" s="188" t="inlineStr">
        <is>
          <t>2026-02-26 00:15</t>
        </is>
      </c>
      <c r="M464" s="188" t="inlineStr">
        <is>
          <t>CHECK_VENDOR</t>
        </is>
      </c>
      <c r="N464" s="188" t="inlineStr">
        <is>
          <t>See NVD references</t>
        </is>
      </c>
      <c r="O464" s="188" t="inlineStr">
        <is>
          <t>Apply vendor patches</t>
        </is>
      </c>
      <c r="P464" s="188" t="inlineStr">
        <is>
          <t>See CVE details</t>
        </is>
      </c>
      <c r="Q464" s="188" t="inlineStr">
        <is>
          <t>P3</t>
        </is>
      </c>
      <c r="R464" s="188" t="inlineStr">
        <is>
          <t>🚨 URGENT: Apply vendor patches immediately | 🔒 Isolate affected systems if patch unavailable | 🛡️ Enable additional monitoring/IDS rules</t>
        </is>
      </c>
      <c r="S464" s="188" t="inlineStr">
        <is>
          <t>CVE - IP enrichment n/a</t>
        </is>
      </c>
      <c r="T464" s="188" t="n">
        <v>0</v>
      </c>
      <c r="U464" s="188" t="n">
        <v>0</v>
      </c>
      <c r="V464" s="188" t="inlineStr">
        <is>
          <t>T1083:File and Directory Discovery | T1190:Exploit Public-Facing Application | T1210:Exploitation of Remote Services</t>
        </is>
      </c>
      <c r="W464" s="188" t="n">
        <v>1</v>
      </c>
      <c r="X464" s="188" t="inlineStr">
        <is>
          <t>LOW (40%)</t>
        </is>
      </c>
      <c r="Y464" s="188" t="inlineStr">
        <is>
          <t>UNLIKELY</t>
        </is>
      </c>
      <c r="Z464" s="188" t="inlineStr">
        <is>
          <t>CHECK_VENDOR</t>
        </is>
      </c>
      <c r="AA464" s="188" t="inlineStr">
        <is>
          <t>https://nvd.nist.gov/vuln/detail/CVE-2026-26975</t>
        </is>
      </c>
      <c r="AB464" s="188" t="inlineStr">
        <is>
          <t>NONE</t>
        </is>
      </c>
      <c r="AC464" s="188" t="n">
        <v>0</v>
      </c>
      <c r="AD464" s="188" t="inlineStr"/>
    </row>
    <row r="465">
      <c r="A465" s="188" t="inlineStr">
        <is>
          <t>CVE</t>
        </is>
      </c>
      <c r="B465" s="188" t="inlineStr">
        <is>
          <t>CVE-2026-26064</t>
        </is>
      </c>
      <c r="C465" s="188" t="inlineStr">
        <is>
          <t xml:space="preserve">calibre is a cross-platform e-book manager for viewing, converting, editing, and cataloging e-books. Versions 9.2.1 and below contain a Path Traversal vulnerability that allows arbitrary file writes anywhere the user has write permissions. On Windows, this leads to Remote Code Execution by writing a payload to the Startup folder, which executes on next login. Function extract_pictures only checks startswith('Pictures'), and does not sanitize '..' sequences. calibre's own ZipFile.extractall() in </t>
        </is>
      </c>
      <c r="D465" s="188" t="n">
        <v>8.800000000000001</v>
      </c>
      <c r="E465" s="188" t="inlineStr">
        <is>
          <t>HIGH</t>
        </is>
      </c>
      <c r="F465" s="188" t="n">
        <v>2</v>
      </c>
      <c r="G465" s="188" t="n">
        <v>3</v>
      </c>
      <c r="H465" s="188" t="inlineStr">
        <is>
          <t>HIGH</t>
        </is>
      </c>
      <c r="I465" s="188" t="n">
        <v>14.8</v>
      </c>
      <c r="J465" s="188" t="inlineStr">
        <is>
          <t>NO</t>
        </is>
      </c>
      <c r="K465" s="188" t="inlineStr">
        <is>
          <t>https://nvd.nist.gov/vuln/detail/CVE-2026-26064</t>
        </is>
      </c>
      <c r="L465" s="188" t="inlineStr">
        <is>
          <t>2026-02-26 00:15</t>
        </is>
      </c>
      <c r="M465" s="188" t="inlineStr">
        <is>
          <t>YES</t>
        </is>
      </c>
      <c r="N465" s="188" t="inlineStr">
        <is>
          <t>https://github.com/kovidgoyal/calibre/commit/e1b5f9b45a5e8fa96c136963ad9a1d35e6adac62 | https://github.com/kovidgoyal/calibre/security/advisories/GHSA-72ch-3hqc-pgmp</t>
        </is>
      </c>
      <c r="O465" s="188" t="inlineStr">
        <is>
          <t>Apply vendor patches</t>
        </is>
      </c>
      <c r="P465" s="188" t="inlineStr">
        <is>
          <t>calibre-ebook calibre *</t>
        </is>
      </c>
      <c r="Q465" s="188" t="inlineStr">
        <is>
          <t>P3</t>
        </is>
      </c>
      <c r="R465" s="188" t="inlineStr">
        <is>
          <t>🚨 URGENT: Apply vendor patches immediately | 🔒 Isolate affected systems if patch unavailable | 🛡️ Enable additional monitoring/IDS rules</t>
        </is>
      </c>
      <c r="S465" s="188" t="inlineStr">
        <is>
          <t>CVE - IP enrichment n/a</t>
        </is>
      </c>
      <c r="T465" s="188" t="n">
        <v>0</v>
      </c>
      <c r="U465" s="188" t="n">
        <v>0</v>
      </c>
      <c r="V465" s="188" t="inlineStr">
        <is>
          <t>T1083:File and Directory Discovery | T1190:Exploit Public-Facing Application | T1210:Exploitation of Remote Services</t>
        </is>
      </c>
      <c r="W465" s="188" t="n">
        <v>1</v>
      </c>
      <c r="X465" s="188" t="inlineStr">
        <is>
          <t>LOW (40%)</t>
        </is>
      </c>
      <c r="Y465" s="188" t="inlineStr">
        <is>
          <t>UNLIKELY</t>
        </is>
      </c>
      <c r="Z465" s="188" t="inlineStr">
        <is>
          <t>PATCH_AVAILABLE</t>
        </is>
      </c>
      <c r="AA465" s="188" t="inlineStr">
        <is>
          <t>https://nvd.nist.gov/vuln/detail/CVE-2026-26064</t>
        </is>
      </c>
      <c r="AB465" s="188" t="inlineStr">
        <is>
          <t>NONE</t>
        </is>
      </c>
      <c r="AC465" s="188" t="n">
        <v>0</v>
      </c>
      <c r="AD465" s="188" t="inlineStr"/>
    </row>
    <row r="466">
      <c r="A466" s="188" t="inlineStr">
        <is>
          <t>CVE</t>
        </is>
      </c>
      <c r="B466" s="188" t="inlineStr">
        <is>
          <t>CVE-2026-26065</t>
        </is>
      </c>
      <c r="C466" s="188" t="inlineStr">
        <is>
          <t>calibre is a cross-platform e-book manager for viewing, converting, editing, and cataloging e-books. Versions 9.2.1 and below are vulnerable to Path Traversal through PDB readers (both 132-byte and 202-byte header variants) that allow arbitrary file writes with arbitrary extension and arbitrary content anywhere the user has write permissions. Files are written in 'wb' mode, silently overwriting existing files. This can lead to potential code execution and Denial of Service through file corruptio</t>
        </is>
      </c>
      <c r="D466" s="188" t="n">
        <v>8.800000000000001</v>
      </c>
      <c r="E466" s="188" t="inlineStr">
        <is>
          <t>HIGH</t>
        </is>
      </c>
      <c r="F466" s="188" t="n">
        <v>2</v>
      </c>
      <c r="G466" s="188" t="n">
        <v>3</v>
      </c>
      <c r="H466" s="188" t="inlineStr">
        <is>
          <t>HIGH</t>
        </is>
      </c>
      <c r="I466" s="188" t="n">
        <v>14.8</v>
      </c>
      <c r="J466" s="188" t="inlineStr">
        <is>
          <t>NO</t>
        </is>
      </c>
      <c r="K466" s="188" t="inlineStr">
        <is>
          <t>https://nvd.nist.gov/vuln/detail/CVE-2026-26065</t>
        </is>
      </c>
      <c r="L466" s="188" t="inlineStr">
        <is>
          <t>2026-02-26 00:15</t>
        </is>
      </c>
      <c r="M466" s="188" t="inlineStr">
        <is>
          <t>YES</t>
        </is>
      </c>
      <c r="N466" s="188" t="inlineStr">
        <is>
          <t>https://github.com/kovidgoyal/calibre/commit/b6da1c3878c06eb1356cb0ec1106cb66e0e9bfb8</t>
        </is>
      </c>
      <c r="O466" s="188" t="inlineStr">
        <is>
          <t>Apply vendor patches</t>
        </is>
      </c>
      <c r="P466" s="188" t="inlineStr">
        <is>
          <t>calibre-ebook calibre *</t>
        </is>
      </c>
      <c r="Q466" s="188" t="inlineStr">
        <is>
          <t>P3</t>
        </is>
      </c>
      <c r="R466" s="188" t="inlineStr">
        <is>
          <t>🚨 URGENT: Apply vendor patches immediately | 🔒 Isolate affected systems if patch unavailable | 🛡️ Enable additional monitoring/IDS rules</t>
        </is>
      </c>
      <c r="S466" s="188" t="inlineStr">
        <is>
          <t>CVE - IP enrichment n/a</t>
        </is>
      </c>
      <c r="T466" s="188" t="n">
        <v>0</v>
      </c>
      <c r="U466" s="188" t="n">
        <v>0</v>
      </c>
      <c r="V466" s="188" t="inlineStr">
        <is>
          <t>T1083:File and Directory Discovery | T1499:Endpoint Denial of Service</t>
        </is>
      </c>
      <c r="W466" s="188" t="n">
        <v>1</v>
      </c>
      <c r="X466" s="188" t="inlineStr">
        <is>
          <t>LOW (40%)</t>
        </is>
      </c>
      <c r="Y466" s="188" t="inlineStr">
        <is>
          <t>UNLIKELY</t>
        </is>
      </c>
      <c r="Z466" s="188" t="inlineStr">
        <is>
          <t>PATCH_AVAILABLE</t>
        </is>
      </c>
      <c r="AA466" s="188" t="inlineStr">
        <is>
          <t>https://nvd.nist.gov/vuln/detail/CVE-2026-26065</t>
        </is>
      </c>
      <c r="AB466" s="188" t="inlineStr">
        <is>
          <t>NONE</t>
        </is>
      </c>
      <c r="AC466" s="188" t="n">
        <v>0</v>
      </c>
      <c r="AD466" s="188" t="inlineStr"/>
    </row>
    <row r="467">
      <c r="A467" s="188" t="inlineStr">
        <is>
          <t>CVE</t>
        </is>
      </c>
      <c r="B467" s="188" t="inlineStr">
        <is>
          <t>CVE-2026-26960</t>
        </is>
      </c>
      <c r="C467" s="188" t="inlineStr">
        <is>
          <t>node-tar is a full-featured Tar for Node.js. When using default options in versions 7.5.7 and below, an attacker-controlled archive can create a hardlink inside the extraction directory that points to a file outside the extraction root, enabling arbitrary file read and write as the extracting user. Severity is high because the primitive bypasses path protections and turns archive extraction into a direct filesystem access primitive. This issue has been fixed in version 7.5.8.</t>
        </is>
      </c>
      <c r="D467" s="188" t="n">
        <v>7.1</v>
      </c>
      <c r="E467" s="188" t="inlineStr">
        <is>
          <t>HIGH</t>
        </is>
      </c>
      <c r="F467" s="188" t="n">
        <v>2</v>
      </c>
      <c r="G467" s="188" t="n">
        <v>3</v>
      </c>
      <c r="H467" s="188" t="inlineStr">
        <is>
          <t>HIGH</t>
        </is>
      </c>
      <c r="I467" s="188" t="n">
        <v>13.1</v>
      </c>
      <c r="J467" s="188" t="inlineStr">
        <is>
          <t>NO</t>
        </is>
      </c>
      <c r="K467" s="188" t="inlineStr">
        <is>
          <t>https://nvd.nist.gov/vuln/detail/CVE-2026-26960</t>
        </is>
      </c>
      <c r="L467" s="188" t="inlineStr">
        <is>
          <t>2026-02-26 00:15</t>
        </is>
      </c>
      <c r="M467" s="188" t="inlineStr">
        <is>
          <t>YES</t>
        </is>
      </c>
      <c r="N467" s="188" t="inlineStr">
        <is>
          <t>https://github.com/isaacs/node-tar/commit/2cb1120bcefe28d7ecc719b41441ade59c52e384 | https://github.com/isaacs/node-tar/commit/d18e4e1f846f4ddddc153b0f536a19c050e7499f | https://github.com/isaacs/node-tar/security/advisories/GHSA-83g3-92jg-28cx</t>
        </is>
      </c>
      <c r="O467" s="188" t="inlineStr">
        <is>
          <t>Apply vendor patches</t>
        </is>
      </c>
      <c r="P467" s="188" t="inlineStr">
        <is>
          <t>isaacs tar *</t>
        </is>
      </c>
      <c r="Q467" s="188" t="inlineStr">
        <is>
          <t>P3</t>
        </is>
      </c>
      <c r="R467" s="188" t="inlineStr">
        <is>
          <t>🚨 URGENT: Apply vendor patches immediately | 🔒 Isolate affected systems if patch unavailable | 🛡️ Enable additional monitoring/IDS rules</t>
        </is>
      </c>
      <c r="S467" s="188" t="inlineStr">
        <is>
          <t>CVE - IP enrichment n/a</t>
        </is>
      </c>
      <c r="T467" s="188" t="n">
        <v>0.0001</v>
      </c>
      <c r="U467" s="188" t="n">
        <v>0.0209</v>
      </c>
      <c r="V467" s="188" t="inlineStr">
        <is>
          <t>T1083:File and Directory Discovery</t>
        </is>
      </c>
      <c r="W467" s="188" t="n">
        <v>1</v>
      </c>
      <c r="X467" s="188" t="inlineStr">
        <is>
          <t>LOW (40%)</t>
        </is>
      </c>
      <c r="Y467" s="188" t="inlineStr">
        <is>
          <t>UNLIKELY</t>
        </is>
      </c>
      <c r="Z467" s="188" t="inlineStr">
        <is>
          <t>PATCH_AVAILABLE</t>
        </is>
      </c>
      <c r="AA467" s="188" t="inlineStr">
        <is>
          <t>https://nvd.nist.gov/vuln/detail/CVE-2026-26960</t>
        </is>
      </c>
      <c r="AB467" s="188" t="inlineStr">
        <is>
          <t>NONE</t>
        </is>
      </c>
      <c r="AC467" s="188" t="n">
        <v>0</v>
      </c>
      <c r="AD467" s="188" t="inlineStr"/>
    </row>
    <row r="468">
      <c r="A468" s="187" t="inlineStr">
        <is>
          <t>CVE</t>
        </is>
      </c>
      <c r="B468" s="187" t="inlineStr">
        <is>
          <t>CVE-2026-26977</t>
        </is>
      </c>
      <c r="C468" s="187" t="inlineStr">
        <is>
          <t>Frappe Learning Management System (LMS) is a learning system that helps users structure their content. In versions 2.44.0 and below, unauthorized users are able to access the details of unpublished courses via API endpoints. A fix for this issue is planned for the 2.45.0 release.</t>
        </is>
      </c>
      <c r="D468" s="187" t="n">
        <v>5.3</v>
      </c>
      <c r="E468" s="187" t="inlineStr">
        <is>
          <t>MEDIUM</t>
        </is>
      </c>
      <c r="F468" s="187" t="n">
        <v>2</v>
      </c>
      <c r="G468" s="187" t="n">
        <v>2</v>
      </c>
      <c r="H468" s="187" t="inlineStr">
        <is>
          <t>MEDIUM</t>
        </is>
      </c>
      <c r="I468" s="187" t="n">
        <v>9.300000000000001</v>
      </c>
      <c r="J468" s="187" t="inlineStr">
        <is>
          <t>NO</t>
        </is>
      </c>
      <c r="K468" s="187" t="inlineStr">
        <is>
          <t>https://nvd.nist.gov/vuln/detail/CVE-2026-26977</t>
        </is>
      </c>
      <c r="L468" s="187" t="inlineStr">
        <is>
          <t>2026-02-26 00:15</t>
        </is>
      </c>
      <c r="M468" s="187" t="inlineStr">
        <is>
          <t>YES</t>
        </is>
      </c>
      <c r="N468" s="187" t="inlineStr">
        <is>
          <t>https://github.com/frappe/lms/security/advisories/GHSA-26vf-p39q-frx3</t>
        </is>
      </c>
      <c r="O468" s="187" t="inlineStr">
        <is>
          <t>Apply vendor patches</t>
        </is>
      </c>
      <c r="P468" s="187" t="inlineStr">
        <is>
          <t>frappe learning *</t>
        </is>
      </c>
      <c r="Q468" s="187" t="inlineStr">
        <is>
          <t>P4</t>
        </is>
      </c>
      <c r="R468" s="187" t="inlineStr">
        <is>
          <t>📅 Schedule patch deployment within 30 days | 🔍 Monitor for exploitation attempts</t>
        </is>
      </c>
      <c r="S468" s="187" t="inlineStr">
        <is>
          <t>CVE - IP enrichment n/a</t>
        </is>
      </c>
      <c r="T468" s="187" t="n">
        <v>0</v>
      </c>
      <c r="U468" s="187" t="n">
        <v>0</v>
      </c>
      <c r="V468" s="187" t="inlineStr">
        <is>
          <t>T1190:Exploit Public-Facing Application</t>
        </is>
      </c>
      <c r="W468" s="187" t="n">
        <v>1</v>
      </c>
      <c r="X468" s="187" t="inlineStr">
        <is>
          <t>LOW (40%)</t>
        </is>
      </c>
      <c r="Y468" s="187" t="inlineStr">
        <is>
          <t>UNLIKELY</t>
        </is>
      </c>
      <c r="Z468" s="187" t="inlineStr">
        <is>
          <t>PATCH_AVAILABLE</t>
        </is>
      </c>
      <c r="AA468" s="187" t="inlineStr">
        <is>
          <t>https://nvd.nist.gov/vuln/detail/CVE-2026-26977</t>
        </is>
      </c>
      <c r="AB468" s="187" t="inlineStr">
        <is>
          <t>NONE</t>
        </is>
      </c>
      <c r="AC468" s="187" t="n">
        <v>0</v>
      </c>
      <c r="AD468" s="187" t="inlineStr"/>
    </row>
    <row r="469">
      <c r="A469" s="189" t="inlineStr">
        <is>
          <t>CVE</t>
        </is>
      </c>
      <c r="B469" s="189" t="inlineStr">
        <is>
          <t>CVE-2026-26980</t>
        </is>
      </c>
      <c r="C469" s="189" t="inlineStr">
        <is>
          <t>Ghost is a Node.js content management system. Versions 3.24.0 through 6.19.0 allow unauthenticated attackers to perform arbitrary reads from the database. This issue has been fixed in version 6.19.1.</t>
        </is>
      </c>
      <c r="D469" s="189" t="n">
        <v>9.4</v>
      </c>
      <c r="E469" s="189" t="inlineStr">
        <is>
          <t>CRITICAL</t>
        </is>
      </c>
      <c r="F469" s="189" t="n">
        <v>2</v>
      </c>
      <c r="G469" s="189" t="n">
        <v>3</v>
      </c>
      <c r="H469" s="189" t="inlineStr">
        <is>
          <t>HIGH</t>
        </is>
      </c>
      <c r="I469" s="189" t="n">
        <v>15.4</v>
      </c>
      <c r="J469" s="189" t="inlineStr">
        <is>
          <t>NO</t>
        </is>
      </c>
      <c r="K469" s="189" t="inlineStr">
        <is>
          <t>https://nvd.nist.gov/vuln/detail/CVE-2026-26980</t>
        </is>
      </c>
      <c r="L469" s="189" t="inlineStr">
        <is>
          <t>2026-02-26 00:15</t>
        </is>
      </c>
      <c r="M469" s="189" t="inlineStr">
        <is>
          <t>YES</t>
        </is>
      </c>
      <c r="N469" s="189" t="inlineStr">
        <is>
          <t>https://github.com/TryGhost/Ghost/commit/30868d632b2252b638bc8a4c8ebf73964592ed91 | https://github.com/TryGhost/Ghost/security/advisories/GHSA-w52v-v783-gw97</t>
        </is>
      </c>
      <c r="O469" s="189" t="inlineStr">
        <is>
          <t>https://github.com/TryGhost/Ghost/security/advisories/GHSA-w52v-v783-gw97</t>
        </is>
      </c>
      <c r="P469" s="189" t="inlineStr">
        <is>
          <t>ghost ghost *</t>
        </is>
      </c>
      <c r="Q469" s="189" t="inlineStr">
        <is>
          <t>P3</t>
        </is>
      </c>
      <c r="R469" s="189" t="inlineStr">
        <is>
          <t>🚨 URGENT: Apply vendor patches immediately | 🔒 Isolate affected systems if patch unavailable | 🛡️ Enable additional monitoring/IDS rules</t>
        </is>
      </c>
      <c r="S469" s="189" t="inlineStr">
        <is>
          <t>CVE - IP enrichment n/a</t>
        </is>
      </c>
      <c r="T469" s="189" t="n">
        <v>0</v>
      </c>
      <c r="U469" s="189" t="n">
        <v>0</v>
      </c>
      <c r="V469" s="189" t="inlineStr">
        <is>
          <t>T1190:Exploit Public-Facing Application</t>
        </is>
      </c>
      <c r="W469" s="189" t="n">
        <v>1</v>
      </c>
      <c r="X469" s="189" t="inlineStr">
        <is>
          <t>LOW (40%)</t>
        </is>
      </c>
      <c r="Y469" s="189" t="inlineStr">
        <is>
          <t>UNLIKELY</t>
        </is>
      </c>
      <c r="Z469" s="189" t="inlineStr">
        <is>
          <t>PATCH_AVAILABLE</t>
        </is>
      </c>
      <c r="AA469" s="189" t="inlineStr">
        <is>
          <t>https://nvd.nist.gov/vuln/detail/CVE-2026-26980</t>
        </is>
      </c>
      <c r="AB469" s="189" t="inlineStr">
        <is>
          <t>NONE</t>
        </is>
      </c>
      <c r="AC469" s="189" t="n">
        <v>0</v>
      </c>
      <c r="AD469" s="189" t="inlineStr"/>
    </row>
    <row r="470">
      <c r="A470" s="187" t="inlineStr">
        <is>
          <t>CVE</t>
        </is>
      </c>
      <c r="B470" s="187" t="inlineStr">
        <is>
          <t>CVE-2026-26987</t>
        </is>
      </c>
      <c r="C470" s="187" t="inlineStr">
        <is>
          <t>LibreNMS is an auto-discovering PHP/MySQL/SNMP based network monitoring tool. Versions 25.12.0 and below are vulnerable to  Reflected XSS attacks via email field. This issue has been fixed in version 26.2.0.</t>
        </is>
      </c>
      <c r="D470" s="187" t="n">
        <v>6.1</v>
      </c>
      <c r="E470" s="187" t="inlineStr">
        <is>
          <t>MEDIUM</t>
        </is>
      </c>
      <c r="F470" s="187" t="n">
        <v>2</v>
      </c>
      <c r="G470" s="187" t="n">
        <v>2</v>
      </c>
      <c r="H470" s="187" t="inlineStr">
        <is>
          <t>MEDIUM</t>
        </is>
      </c>
      <c r="I470" s="187" t="n">
        <v>10.1</v>
      </c>
      <c r="J470" s="187" t="inlineStr">
        <is>
          <t>NO</t>
        </is>
      </c>
      <c r="K470" s="187" t="inlineStr">
        <is>
          <t>https://nvd.nist.gov/vuln/detail/CVE-2026-26987</t>
        </is>
      </c>
      <c r="L470" s="187" t="inlineStr">
        <is>
          <t>2026-02-26 00:15</t>
        </is>
      </c>
      <c r="M470" s="187" t="inlineStr">
        <is>
          <t>YES</t>
        </is>
      </c>
      <c r="N470" s="187" t="inlineStr">
        <is>
          <t>https://github.com/librenms/librenms/commit/8e626b38ef92e240532cdac2ac7e38706a71208b</t>
        </is>
      </c>
      <c r="O470" s="187" t="inlineStr">
        <is>
          <t>Apply vendor patches</t>
        </is>
      </c>
      <c r="P470" s="187" t="inlineStr">
        <is>
          <t>librenms librenms *</t>
        </is>
      </c>
      <c r="Q470" s="187" t="inlineStr">
        <is>
          <t>P4</t>
        </is>
      </c>
      <c r="R470" s="187" t="inlineStr">
        <is>
          <t>📅 Schedule patch deployment within 30 days | 🔍 Monitor for exploitation attempts</t>
        </is>
      </c>
      <c r="S470" s="187" t="inlineStr">
        <is>
          <t>CVE - IP enrichment n/a</t>
        </is>
      </c>
      <c r="T470" s="187" t="n">
        <v>0</v>
      </c>
      <c r="U470" s="187" t="n">
        <v>0</v>
      </c>
      <c r="V470" s="187" t="inlineStr">
        <is>
          <t>T1189:Drive-by Compromise</t>
        </is>
      </c>
      <c r="W470" s="187" t="n">
        <v>1</v>
      </c>
      <c r="X470" s="187" t="inlineStr">
        <is>
          <t>LOW (40%)</t>
        </is>
      </c>
      <c r="Y470" s="187" t="inlineStr">
        <is>
          <t>UNLIKELY</t>
        </is>
      </c>
      <c r="Z470" s="187" t="inlineStr">
        <is>
          <t>PATCH_AVAILABLE</t>
        </is>
      </c>
      <c r="AA470" s="187" t="inlineStr">
        <is>
          <t>https://nvd.nist.gov/vuln/detail/CVE-2026-26987</t>
        </is>
      </c>
      <c r="AB470" s="187" t="inlineStr">
        <is>
          <t>NONE</t>
        </is>
      </c>
      <c r="AC470" s="187" t="n">
        <v>0</v>
      </c>
      <c r="AD470" s="187" t="inlineStr"/>
    </row>
    <row r="471">
      <c r="A471" s="189" t="inlineStr">
        <is>
          <t>CVE</t>
        </is>
      </c>
      <c r="B471" s="189" t="inlineStr">
        <is>
          <t>CVE-2026-26988</t>
        </is>
      </c>
      <c r="C471" s="189" t="inlineStr">
        <is>
          <t>LibreNMS is an auto-discovering PHP/MySQL/SNMP based network monitoring tool. Versions 25.12.0 and below contain an SQL Injection vulnerability in the ajax_table.php endpoint. The application fails to properly sanitize or parameterize user input when processing IPv6 address searches. Specifically, the address parameter is split into an address and a prefix, and the prefix portion is directly concatenated into the SQL query string without validation. This allows an attacker to inject arbitrary SQ</t>
        </is>
      </c>
      <c r="D471" s="189" t="n">
        <v>9.1</v>
      </c>
      <c r="E471" s="189" t="inlineStr">
        <is>
          <t>CRITICAL</t>
        </is>
      </c>
      <c r="F471" s="189" t="n">
        <v>2</v>
      </c>
      <c r="G471" s="189" t="n">
        <v>3</v>
      </c>
      <c r="H471" s="189" t="inlineStr">
        <is>
          <t>HIGH</t>
        </is>
      </c>
      <c r="I471" s="189" t="n">
        <v>15.1</v>
      </c>
      <c r="J471" s="189" t="inlineStr">
        <is>
          <t>NO</t>
        </is>
      </c>
      <c r="K471" s="189" t="inlineStr">
        <is>
          <t>https://nvd.nist.gov/vuln/detail/CVE-2026-26988</t>
        </is>
      </c>
      <c r="L471" s="189" t="inlineStr">
        <is>
          <t>2026-02-26 00:15</t>
        </is>
      </c>
      <c r="M471" s="189" t="inlineStr">
        <is>
          <t>YES</t>
        </is>
      </c>
      <c r="N471" s="189" t="inlineStr">
        <is>
          <t>https://github.com/librenms/librenms/commit/15429580baba03ed1dd377bada1bde4b7a1175a1</t>
        </is>
      </c>
      <c r="O471" s="189" t="inlineStr">
        <is>
          <t>Apply vendor patches</t>
        </is>
      </c>
      <c r="P471" s="189" t="inlineStr">
        <is>
          <t>librenms librenms *</t>
        </is>
      </c>
      <c r="Q471" s="189" t="inlineStr">
        <is>
          <t>P3</t>
        </is>
      </c>
      <c r="R471" s="189" t="inlineStr">
        <is>
          <t>🚨 URGENT: Apply vendor patches immediately | 🔒 Isolate affected systems if patch unavailable | 🛡️ Enable additional monitoring/IDS rules</t>
        </is>
      </c>
      <c r="S471" s="189" t="inlineStr">
        <is>
          <t>CVE - IP enrichment n/a</t>
        </is>
      </c>
      <c r="T471" s="189" t="n">
        <v>0</v>
      </c>
      <c r="U471" s="189" t="n">
        <v>0</v>
      </c>
      <c r="V471" s="189" t="inlineStr">
        <is>
          <t>T1190:Exploit Public-Facing Application</t>
        </is>
      </c>
      <c r="W471" s="189" t="n">
        <v>1</v>
      </c>
      <c r="X471" s="189" t="inlineStr">
        <is>
          <t>LOW (40%)</t>
        </is>
      </c>
      <c r="Y471" s="189" t="inlineStr">
        <is>
          <t>UNLIKELY</t>
        </is>
      </c>
      <c r="Z471" s="189" t="inlineStr">
        <is>
          <t>PATCH_AVAILABLE</t>
        </is>
      </c>
      <c r="AA471" s="189" t="inlineStr">
        <is>
          <t>https://nvd.nist.gov/vuln/detail/CVE-2026-26988</t>
        </is>
      </c>
      <c r="AB471" s="189" t="inlineStr">
        <is>
          <t>NONE</t>
        </is>
      </c>
      <c r="AC471" s="189" t="n">
        <v>0</v>
      </c>
      <c r="AD471" s="189" t="inlineStr"/>
    </row>
    <row r="472">
      <c r="A472" s="187" t="inlineStr">
        <is>
          <t>CVE</t>
        </is>
      </c>
      <c r="B472" s="187" t="inlineStr">
        <is>
          <t>CVE-2026-26989</t>
        </is>
      </c>
      <c r="C472" s="187" t="inlineStr">
        <is>
          <t>LibreNMS is an auto-discovering PHP/MySQL/SNMP based network monitoring tool. Versions 25.12.0 and below are affected by a Stored Cross-Site Scripting (XSS) vulnerability in the Alert Rules workflow. An attacker with administrative privileges can inject malicious scripts that execute in the browser context of any user who accesses the Alert Rules page. This issue has been fixed in version 26.2.0.</t>
        </is>
      </c>
      <c r="D472" s="187" t="n">
        <v>4.3</v>
      </c>
      <c r="E472" s="187" t="inlineStr">
        <is>
          <t>MEDIUM</t>
        </is>
      </c>
      <c r="F472" s="187" t="n">
        <v>2</v>
      </c>
      <c r="G472" s="187" t="n">
        <v>2</v>
      </c>
      <c r="H472" s="187" t="inlineStr">
        <is>
          <t>MEDIUM</t>
        </is>
      </c>
      <c r="I472" s="187" t="n">
        <v>8.300000000000001</v>
      </c>
      <c r="J472" s="187" t="inlineStr">
        <is>
          <t>NO</t>
        </is>
      </c>
      <c r="K472" s="187" t="inlineStr">
        <is>
          <t>https://nvd.nist.gov/vuln/detail/CVE-2026-26989</t>
        </is>
      </c>
      <c r="L472" s="187" t="inlineStr">
        <is>
          <t>2026-02-26 00:15</t>
        </is>
      </c>
      <c r="M472" s="187" t="inlineStr">
        <is>
          <t>YES</t>
        </is>
      </c>
      <c r="N472" s="187" t="inlineStr">
        <is>
          <t>https://github.com/librenms/librenms/commit/087608cf9f851189847cb8e8e5ad002e59170c58</t>
        </is>
      </c>
      <c r="O472" s="187" t="inlineStr">
        <is>
          <t>Apply vendor patches</t>
        </is>
      </c>
      <c r="P472" s="187" t="inlineStr">
        <is>
          <t>librenms librenms *</t>
        </is>
      </c>
      <c r="Q472" s="187" t="inlineStr">
        <is>
          <t>P4</t>
        </is>
      </c>
      <c r="R472" s="187" t="inlineStr">
        <is>
          <t>📅 Schedule patch deployment within 30 days | 🔍 Monitor for exploitation attempts</t>
        </is>
      </c>
      <c r="S472" s="187" t="inlineStr">
        <is>
          <t>CVE - IP enrichment n/a</t>
        </is>
      </c>
      <c r="T472" s="187" t="n">
        <v>0</v>
      </c>
      <c r="U472" s="187" t="n">
        <v>0</v>
      </c>
      <c r="V472" s="187" t="inlineStr">
        <is>
          <t>T1189:Drive-by Compromise</t>
        </is>
      </c>
      <c r="W472" s="187" t="n">
        <v>1</v>
      </c>
      <c r="X472" s="187" t="inlineStr">
        <is>
          <t>LOW (40%)</t>
        </is>
      </c>
      <c r="Y472" s="187" t="inlineStr">
        <is>
          <t>UNLIKELY</t>
        </is>
      </c>
      <c r="Z472" s="187" t="inlineStr">
        <is>
          <t>PATCH_AVAILABLE</t>
        </is>
      </c>
      <c r="AA472" s="187" t="inlineStr">
        <is>
          <t>https://nvd.nist.gov/vuln/detail/CVE-2026-26989</t>
        </is>
      </c>
      <c r="AB472" s="187" t="inlineStr">
        <is>
          <t>NONE</t>
        </is>
      </c>
      <c r="AC472" s="187" t="n">
        <v>0</v>
      </c>
      <c r="AD472" s="187" t="inlineStr"/>
    </row>
    <row r="473">
      <c r="A473" s="188" t="inlineStr">
        <is>
          <t>CVE</t>
        </is>
      </c>
      <c r="B473" s="188" t="inlineStr">
        <is>
          <t>CVE-2026-26990</t>
        </is>
      </c>
      <c r="C473" s="188" t="inlineStr">
        <is>
          <t>LibreNMS is an auto-discovering PHP/MySQL/SNMP based network monitoring tool. Versions 25.12.0 and below have a Time-Based Blind SQL Injection vulnerability in address-search.inc.php via the address parameter. When a crafted subnet prefix is supplied, the prefix value is concatenated directly into an SQL query without proper parameter binding, allowing an attacker to manipulate query logic and infer database information through time-based conditional responses. This vulnerability requires authen</t>
        </is>
      </c>
      <c r="D473" s="188" t="n">
        <v>8.800000000000001</v>
      </c>
      <c r="E473" s="188" t="inlineStr">
        <is>
          <t>HIGH</t>
        </is>
      </c>
      <c r="F473" s="188" t="n">
        <v>2</v>
      </c>
      <c r="G473" s="188" t="n">
        <v>3</v>
      </c>
      <c r="H473" s="188" t="inlineStr">
        <is>
          <t>HIGH</t>
        </is>
      </c>
      <c r="I473" s="188" t="n">
        <v>14.8</v>
      </c>
      <c r="J473" s="188" t="inlineStr">
        <is>
          <t>NO</t>
        </is>
      </c>
      <c r="K473" s="188" t="inlineStr">
        <is>
          <t>https://nvd.nist.gov/vuln/detail/CVE-2026-26990</t>
        </is>
      </c>
      <c r="L473" s="188" t="inlineStr">
        <is>
          <t>2026-02-26 00:15</t>
        </is>
      </c>
      <c r="M473" s="188" t="inlineStr">
        <is>
          <t>YES</t>
        </is>
      </c>
      <c r="N473" s="188" t="inlineStr">
        <is>
          <t>https://github.com/librenms/librenms/commit/15429580baba03ed1dd377bada1bde4b7a1175a1</t>
        </is>
      </c>
      <c r="O473" s="188" t="inlineStr">
        <is>
          <t>Apply vendor patches</t>
        </is>
      </c>
      <c r="P473" s="188" t="inlineStr">
        <is>
          <t>librenms librenms *</t>
        </is>
      </c>
      <c r="Q473" s="188" t="inlineStr">
        <is>
          <t>P3</t>
        </is>
      </c>
      <c r="R473" s="188" t="inlineStr">
        <is>
          <t>🚨 URGENT: Apply vendor patches immediately | 🔒 Isolate affected systems if patch unavailable | 🛡️ Enable additional monitoring/IDS rules</t>
        </is>
      </c>
      <c r="S473" s="188" t="inlineStr">
        <is>
          <t>CVE - IP enrichment n/a</t>
        </is>
      </c>
      <c r="T473" s="188" t="n">
        <v>0</v>
      </c>
      <c r="U473" s="188" t="n">
        <v>0</v>
      </c>
      <c r="V473" s="188" t="inlineStr">
        <is>
          <t>T1190:Exploit Public-Facing Application</t>
        </is>
      </c>
      <c r="W473" s="188" t="n">
        <v>1</v>
      </c>
      <c r="X473" s="188" t="inlineStr">
        <is>
          <t>LOW (40%)</t>
        </is>
      </c>
      <c r="Y473" s="188" t="inlineStr">
        <is>
          <t>UNLIKELY</t>
        </is>
      </c>
      <c r="Z473" s="188" t="inlineStr">
        <is>
          <t>PATCH_AVAILABLE</t>
        </is>
      </c>
      <c r="AA473" s="188" t="inlineStr">
        <is>
          <t>https://nvd.nist.gov/vuln/detail/CVE-2026-26990</t>
        </is>
      </c>
      <c r="AB473" s="188" t="inlineStr">
        <is>
          <t>NONE</t>
        </is>
      </c>
      <c r="AC473" s="188" t="n">
        <v>0</v>
      </c>
      <c r="AD473" s="188" t="inlineStr"/>
    </row>
    <row r="474">
      <c r="A474" s="187" t="inlineStr">
        <is>
          <t>CVE</t>
        </is>
      </c>
      <c r="B474" s="187" t="inlineStr">
        <is>
          <t>CVE-2026-27016</t>
        </is>
      </c>
      <c r="C474" s="187" t="inlineStr">
        <is>
          <t>LibreNMS is an auto-discovering PHP/MySQL/SNMP based network monitoring tool. Versions 24.10.0 through 26.1.1 are vulnerable to Stored XSS via the unit parameter in Custom OID. The Custom OID functionality lacks strip_tags() sanitization while other fields (name, oid, datatype) are sanitized. The unsanitized value is stored in the database and rendered without HTML escaping. This issue is fixed in version 26.2.0.</t>
        </is>
      </c>
      <c r="D474" s="187" t="n">
        <v>5.4</v>
      </c>
      <c r="E474" s="187" t="inlineStr">
        <is>
          <t>MEDIUM</t>
        </is>
      </c>
      <c r="F474" s="187" t="n">
        <v>2</v>
      </c>
      <c r="G474" s="187" t="n">
        <v>2</v>
      </c>
      <c r="H474" s="187" t="inlineStr">
        <is>
          <t>MEDIUM</t>
        </is>
      </c>
      <c r="I474" s="187" t="n">
        <v>9.4</v>
      </c>
      <c r="J474" s="187" t="inlineStr">
        <is>
          <t>NO</t>
        </is>
      </c>
      <c r="K474" s="187" t="inlineStr">
        <is>
          <t>https://nvd.nist.gov/vuln/detail/CVE-2026-27016</t>
        </is>
      </c>
      <c r="L474" s="187" t="inlineStr">
        <is>
          <t>2026-02-26 00:15</t>
        </is>
      </c>
      <c r="M474" s="187" t="inlineStr">
        <is>
          <t>YES</t>
        </is>
      </c>
      <c r="N474" s="187" t="inlineStr">
        <is>
          <t>https://github.com/librenms/librenms/commit/3bea263e02441690c01dea7fa3fe6ffec94af335</t>
        </is>
      </c>
      <c r="O474" s="187" t="inlineStr">
        <is>
          <t>Apply vendor patches</t>
        </is>
      </c>
      <c r="P474" s="187" t="inlineStr">
        <is>
          <t>librenms librenms *</t>
        </is>
      </c>
      <c r="Q474" s="187" t="inlineStr">
        <is>
          <t>P4</t>
        </is>
      </c>
      <c r="R474" s="187" t="inlineStr">
        <is>
          <t>📅 Schedule patch deployment within 30 days | 🔍 Monitor for exploitation attempts</t>
        </is>
      </c>
      <c r="S474" s="187" t="inlineStr">
        <is>
          <t>CVE - IP enrichment n/a</t>
        </is>
      </c>
      <c r="T474" s="187" t="n">
        <v>0</v>
      </c>
      <c r="U474" s="187" t="n">
        <v>0</v>
      </c>
      <c r="V474" s="187" t="inlineStr">
        <is>
          <t>T1189:Drive-by Compromise</t>
        </is>
      </c>
      <c r="W474" s="187" t="n">
        <v>1</v>
      </c>
      <c r="X474" s="187" t="inlineStr">
        <is>
          <t>LOW (40%)</t>
        </is>
      </c>
      <c r="Y474" s="187" t="inlineStr">
        <is>
          <t>UNLIKELY</t>
        </is>
      </c>
      <c r="Z474" s="187" t="inlineStr">
        <is>
          <t>PATCH_AVAILABLE</t>
        </is>
      </c>
      <c r="AA474" s="187" t="inlineStr">
        <is>
          <t>https://nvd.nist.gov/vuln/detail/CVE-2026-27016</t>
        </is>
      </c>
      <c r="AB474" s="187" t="inlineStr">
        <is>
          <t>NONE</t>
        </is>
      </c>
      <c r="AC474" s="187" t="n">
        <v>0</v>
      </c>
      <c r="AD474" s="187" t="inlineStr"/>
    </row>
    <row r="475">
      <c r="A475" s="187" t="inlineStr">
        <is>
          <t>CVE</t>
        </is>
      </c>
      <c r="B475" s="187" t="inlineStr">
        <is>
          <t>CVE-2026-2819</t>
        </is>
      </c>
      <c r="C475" s="187" t="inlineStr">
        <is>
          <t>A vulnerability was identified in Dromara RuoYi-Vue-Plus up to 5.5.3. This vulnerability affects the function SaServletFilter of the file /workflow/instance/deleteByInstanceIds of the component Workflow Module. The manipulation leads to missing authorization. The attack may be initiated remotely. The exploit is publicly available and might be used. The vendor was contacted early about this disclosure but did not respond in any way.</t>
        </is>
      </c>
      <c r="D475" s="187" t="n">
        <v>6.3</v>
      </c>
      <c r="E475" s="187" t="inlineStr">
        <is>
          <t>MEDIUM</t>
        </is>
      </c>
      <c r="F475" s="187" t="n">
        <v>2</v>
      </c>
      <c r="G475" s="187" t="n">
        <v>2</v>
      </c>
      <c r="H475" s="187" t="inlineStr">
        <is>
          <t>MEDIUM</t>
        </is>
      </c>
      <c r="I475" s="187" t="n">
        <v>10.3</v>
      </c>
      <c r="J475" s="187" t="inlineStr">
        <is>
          <t>NO</t>
        </is>
      </c>
      <c r="K475" s="187" t="inlineStr">
        <is>
          <t>https://nvd.nist.gov/vuln/detail/CVE-2026-2819</t>
        </is>
      </c>
      <c r="L475" s="187" t="inlineStr">
        <is>
          <t>2026-02-26 00:15</t>
        </is>
      </c>
      <c r="M475" s="187" t="inlineStr">
        <is>
          <t>CHECK_VENDOR</t>
        </is>
      </c>
      <c r="N475" s="187" t="inlineStr">
        <is>
          <t>See NVD references</t>
        </is>
      </c>
      <c r="O475" s="187" t="inlineStr">
        <is>
          <t>Apply vendor patches</t>
        </is>
      </c>
      <c r="P475" s="187" t="inlineStr">
        <is>
          <t>See CVE details</t>
        </is>
      </c>
      <c r="Q475" s="187" t="inlineStr">
        <is>
          <t>P4</t>
        </is>
      </c>
      <c r="R475" s="187" t="inlineStr">
        <is>
          <t>📅 Schedule patch deployment within 30 days | 🔍 Monitor for exploitation attempts</t>
        </is>
      </c>
      <c r="S475" s="187" t="inlineStr">
        <is>
          <t>CVE - IP enrichment n/a</t>
        </is>
      </c>
      <c r="T475" s="187" t="n">
        <v>0</v>
      </c>
      <c r="U475" s="187" t="n">
        <v>0</v>
      </c>
      <c r="V475" s="187" t="inlineStr">
        <is>
          <t>T1190:Exploit Public-Facing Application</t>
        </is>
      </c>
      <c r="W475" s="187" t="n">
        <v>1</v>
      </c>
      <c r="X475" s="187" t="inlineStr">
        <is>
          <t>LOW (40%)</t>
        </is>
      </c>
      <c r="Y475" s="187" t="inlineStr">
        <is>
          <t>UNLIKELY</t>
        </is>
      </c>
      <c r="Z475" s="187" t="inlineStr">
        <is>
          <t>CHECK_VENDOR</t>
        </is>
      </c>
      <c r="AA475" s="187" t="inlineStr">
        <is>
          <t>https://nvd.nist.gov/vuln/detail/CVE-2026-2819</t>
        </is>
      </c>
      <c r="AB475" s="187" t="inlineStr">
        <is>
          <t>NONE</t>
        </is>
      </c>
      <c r="AC475" s="187" t="n">
        <v>0</v>
      </c>
      <c r="AD475" s="187" t="inlineStr"/>
    </row>
    <row r="476">
      <c r="A476" s="188" t="inlineStr">
        <is>
          <t>CVE</t>
        </is>
      </c>
      <c r="B476" s="188" t="inlineStr">
        <is>
          <t>CVE-2026-2820</t>
        </is>
      </c>
      <c r="C476" s="188" t="inlineStr">
        <is>
          <t>A security flaw has been discovered in Fujian Smart Integrated Management Platform System up to 7.5. This issue affects some unknown processing of the file /Module/CRXT/Controller/XAccessPermissionPlus.ashx. The manipulation of the argument DeviceIDS results in sql injection. The attack may be launched remotely. The exploit has been released to the public and may be used for attacks.</t>
        </is>
      </c>
      <c r="D476" s="188" t="n">
        <v>7.3</v>
      </c>
      <c r="E476" s="188" t="inlineStr">
        <is>
          <t>HIGH</t>
        </is>
      </c>
      <c r="F476" s="188" t="n">
        <v>2</v>
      </c>
      <c r="G476" s="188" t="n">
        <v>3</v>
      </c>
      <c r="H476" s="188" t="inlineStr">
        <is>
          <t>HIGH</t>
        </is>
      </c>
      <c r="I476" s="188" t="n">
        <v>13.3</v>
      </c>
      <c r="J476" s="188" t="inlineStr">
        <is>
          <t>NO</t>
        </is>
      </c>
      <c r="K476" s="188" t="inlineStr">
        <is>
          <t>https://nvd.nist.gov/vuln/detail/CVE-2026-2820</t>
        </is>
      </c>
      <c r="L476" s="188" t="inlineStr">
        <is>
          <t>2026-02-26 00:15</t>
        </is>
      </c>
      <c r="M476" s="188" t="inlineStr">
        <is>
          <t>CHECK_VENDOR</t>
        </is>
      </c>
      <c r="N476" s="188" t="inlineStr">
        <is>
          <t>See NVD references</t>
        </is>
      </c>
      <c r="O476" s="188" t="inlineStr">
        <is>
          <t>Apply vendor patches</t>
        </is>
      </c>
      <c r="P476" s="188" t="inlineStr">
        <is>
          <t>See CVE details</t>
        </is>
      </c>
      <c r="Q476" s="188" t="inlineStr">
        <is>
          <t>P3</t>
        </is>
      </c>
      <c r="R476" s="188" t="inlineStr">
        <is>
          <t>🚨 URGENT: Apply vendor patches immediately | 🔒 Isolate affected systems if patch unavailable | 🛡️ Enable additional monitoring/IDS rules</t>
        </is>
      </c>
      <c r="S476" s="188" t="inlineStr">
        <is>
          <t>CVE - IP enrichment n/a</t>
        </is>
      </c>
      <c r="T476" s="188" t="n">
        <v>0</v>
      </c>
      <c r="U476" s="188" t="n">
        <v>0</v>
      </c>
      <c r="V476" s="188" t="inlineStr">
        <is>
          <t>T1190:Exploit Public-Facing Application</t>
        </is>
      </c>
      <c r="W476" s="188" t="n">
        <v>1</v>
      </c>
      <c r="X476" s="188" t="inlineStr">
        <is>
          <t>LOW (40%)</t>
        </is>
      </c>
      <c r="Y476" s="188" t="inlineStr">
        <is>
          <t>UNLIKELY</t>
        </is>
      </c>
      <c r="Z476" s="188" t="inlineStr">
        <is>
          <t>CHECK_VENDOR</t>
        </is>
      </c>
      <c r="AA476" s="188" t="inlineStr">
        <is>
          <t>https://nvd.nist.gov/vuln/detail/CVE-2026-2820</t>
        </is>
      </c>
      <c r="AB476" s="188" t="inlineStr">
        <is>
          <t>NONE</t>
        </is>
      </c>
      <c r="AC476" s="188" t="n">
        <v>0</v>
      </c>
      <c r="AD476" s="188" t="inlineStr"/>
    </row>
    <row r="477">
      <c r="A477" s="187" t="inlineStr">
        <is>
          <t>CVE</t>
        </is>
      </c>
      <c r="B477" s="187" t="inlineStr">
        <is>
          <t>CVE-2026-26991</t>
        </is>
      </c>
      <c r="C477" s="187" t="inlineStr">
        <is>
          <t xml:space="preserve">LibreNMS is an auto-discovering PHP/MySQL/SNMP based network monitoring tool. In versions 26.1.1 and below, the device group name is not sanitized, allowing attackers with admin privileges to perform Stored Cross-Site Scripting (XSS) attacks. When a user adds a device group, an HTTP POST request is sent to the Request-URI "/device-groups". The name of the newly created device group is stored in the value of the name parameter. After the device group is created, the entry is displayed along with </t>
        </is>
      </c>
      <c r="D477" s="187" t="n">
        <v>4.8</v>
      </c>
      <c r="E477" s="187" t="inlineStr">
        <is>
          <t>MEDIUM</t>
        </is>
      </c>
      <c r="F477" s="187" t="n">
        <v>2</v>
      </c>
      <c r="G477" s="187" t="n">
        <v>2</v>
      </c>
      <c r="H477" s="187" t="inlineStr">
        <is>
          <t>MEDIUM</t>
        </is>
      </c>
      <c r="I477" s="187" t="n">
        <v>8.800000000000001</v>
      </c>
      <c r="J477" s="187" t="inlineStr">
        <is>
          <t>NO</t>
        </is>
      </c>
      <c r="K477" s="187" t="inlineStr">
        <is>
          <t>https://nvd.nist.gov/vuln/detail/CVE-2026-26991</t>
        </is>
      </c>
      <c r="L477" s="187" t="inlineStr">
        <is>
          <t>2026-02-26 00:15</t>
        </is>
      </c>
      <c r="M477" s="187" t="inlineStr">
        <is>
          <t>YES</t>
        </is>
      </c>
      <c r="N477" s="187" t="inlineStr">
        <is>
          <t>https://github.com/librenms/librenms/commit/64b31da444369213eb4559ec1c304ebfaa0ba12c</t>
        </is>
      </c>
      <c r="O477" s="187" t="inlineStr">
        <is>
          <t>Apply vendor patches</t>
        </is>
      </c>
      <c r="P477" s="187" t="inlineStr">
        <is>
          <t>librenms librenms *</t>
        </is>
      </c>
      <c r="Q477" s="187" t="inlineStr">
        <is>
          <t>P4</t>
        </is>
      </c>
      <c r="R477" s="187" t="inlineStr">
        <is>
          <t>📅 Schedule patch deployment within 30 days | 🔍 Monitor for exploitation attempts</t>
        </is>
      </c>
      <c r="S477" s="187" t="inlineStr">
        <is>
          <t>CVE - IP enrichment n/a</t>
        </is>
      </c>
      <c r="T477" s="187" t="n">
        <v>0</v>
      </c>
      <c r="U477" s="187" t="n">
        <v>0</v>
      </c>
      <c r="V477" s="187" t="inlineStr">
        <is>
          <t>T1189:Drive-by Compromise</t>
        </is>
      </c>
      <c r="W477" s="187" t="n">
        <v>1</v>
      </c>
      <c r="X477" s="187" t="inlineStr">
        <is>
          <t>LOW (40%)</t>
        </is>
      </c>
      <c r="Y477" s="187" t="inlineStr">
        <is>
          <t>UNLIKELY</t>
        </is>
      </c>
      <c r="Z477" s="187" t="inlineStr">
        <is>
          <t>PATCH_AVAILABLE</t>
        </is>
      </c>
      <c r="AA477" s="187" t="inlineStr">
        <is>
          <t>https://nvd.nist.gov/vuln/detail/CVE-2026-26991</t>
        </is>
      </c>
      <c r="AB477" s="187" t="inlineStr">
        <is>
          <t>NONE</t>
        </is>
      </c>
      <c r="AC477" s="187" t="n">
        <v>0</v>
      </c>
      <c r="AD477" s="187" t="inlineStr"/>
    </row>
    <row r="478">
      <c r="A478" s="187" t="inlineStr">
        <is>
          <t>CVE</t>
        </is>
      </c>
      <c r="B478" s="187" t="inlineStr">
        <is>
          <t>CVE-2026-26992</t>
        </is>
      </c>
      <c r="C478" s="187" t="inlineStr">
        <is>
          <t>LibreNMS is an auto-discovering PHP/MySQL/SNMP based network monitoring tool. In versions 26.1.1 and below, the port group name is not sanitized, allowing attackers with admin privileges to perform Stored Cross-Site Scripting (XSS) attacks. When a user adds a port group, an HTTP POST request is sent to the Request-URI "/port-groups". The name of the newly created port group is stored in the value of the name parameter. After the port group is created, the entry is displayed along with relevant b</t>
        </is>
      </c>
      <c r="D478" s="187" t="n">
        <v>4.8</v>
      </c>
      <c r="E478" s="187" t="inlineStr">
        <is>
          <t>MEDIUM</t>
        </is>
      </c>
      <c r="F478" s="187" t="n">
        <v>2</v>
      </c>
      <c r="G478" s="187" t="n">
        <v>2</v>
      </c>
      <c r="H478" s="187" t="inlineStr">
        <is>
          <t>MEDIUM</t>
        </is>
      </c>
      <c r="I478" s="187" t="n">
        <v>8.800000000000001</v>
      </c>
      <c r="J478" s="187" t="inlineStr">
        <is>
          <t>NO</t>
        </is>
      </c>
      <c r="K478" s="187" t="inlineStr">
        <is>
          <t>https://nvd.nist.gov/vuln/detail/CVE-2026-26992</t>
        </is>
      </c>
      <c r="L478" s="187" t="inlineStr">
        <is>
          <t>2026-02-26 00:15</t>
        </is>
      </c>
      <c r="M478" s="187" t="inlineStr">
        <is>
          <t>YES</t>
        </is>
      </c>
      <c r="N478" s="187" t="inlineStr">
        <is>
          <t>https://github.com/librenms/librenms/commit/882fe6f90ea504a3732f83caf89bba7850a5699f</t>
        </is>
      </c>
      <c r="O478" s="187" t="inlineStr">
        <is>
          <t>Apply vendor patches</t>
        </is>
      </c>
      <c r="P478" s="187" t="inlineStr">
        <is>
          <t>librenms librenms *</t>
        </is>
      </c>
      <c r="Q478" s="187" t="inlineStr">
        <is>
          <t>P4</t>
        </is>
      </c>
      <c r="R478" s="187" t="inlineStr">
        <is>
          <t>📅 Schedule patch deployment within 30 days | 🔍 Monitor for exploitation attempts</t>
        </is>
      </c>
      <c r="S478" s="187" t="inlineStr">
        <is>
          <t>CVE - IP enrichment n/a</t>
        </is>
      </c>
      <c r="T478" s="187" t="n">
        <v>0</v>
      </c>
      <c r="U478" s="187" t="n">
        <v>0</v>
      </c>
      <c r="V478" s="187" t="inlineStr">
        <is>
          <t>T1189:Drive-by Compromise</t>
        </is>
      </c>
      <c r="W478" s="187" t="n">
        <v>1</v>
      </c>
      <c r="X478" s="187" t="inlineStr">
        <is>
          <t>LOW (40%)</t>
        </is>
      </c>
      <c r="Y478" s="187" t="inlineStr">
        <is>
          <t>UNLIKELY</t>
        </is>
      </c>
      <c r="Z478" s="187" t="inlineStr">
        <is>
          <t>PATCH_AVAILABLE</t>
        </is>
      </c>
      <c r="AA478" s="187" t="inlineStr">
        <is>
          <t>https://nvd.nist.gov/vuln/detail/CVE-2026-26992</t>
        </is>
      </c>
      <c r="AB478" s="187" t="inlineStr">
        <is>
          <t>NONE</t>
        </is>
      </c>
      <c r="AC478" s="187" t="n">
        <v>0</v>
      </c>
      <c r="AD478" s="187" t="inlineStr"/>
    </row>
    <row r="479">
      <c r="A479" s="187" t="inlineStr">
        <is>
          <t>CVE</t>
        </is>
      </c>
      <c r="B479" s="187" t="inlineStr">
        <is>
          <t>CVE-2026-26993</t>
        </is>
      </c>
      <c r="C479" s="187" t="inlineStr">
        <is>
          <t>Flare is a Next.js-based, self-hostable file sharing platform that integrates with screenshot tools. Versions 1.7.0 and below allow users to upload files without proper content validation or sanitization. By embedding malicious JavaScript within an SVG (or other active content formats such as HTML or XML), an attacker can achieve script execution in the context of the application's origin when a victim views the file in “raw” mode. This results in a stored Cross-Site Scripting (XSS) vulnerabilit</t>
        </is>
      </c>
      <c r="D479" s="187" t="n">
        <v>4.6</v>
      </c>
      <c r="E479" s="187" t="inlineStr">
        <is>
          <t>MEDIUM</t>
        </is>
      </c>
      <c r="F479" s="187" t="n">
        <v>2</v>
      </c>
      <c r="G479" s="187" t="n">
        <v>2</v>
      </c>
      <c r="H479" s="187" t="inlineStr">
        <is>
          <t>MEDIUM</t>
        </is>
      </c>
      <c r="I479" s="187" t="n">
        <v>8.6</v>
      </c>
      <c r="J479" s="187" t="inlineStr">
        <is>
          <t>NO</t>
        </is>
      </c>
      <c r="K479" s="187" t="inlineStr">
        <is>
          <t>https://nvd.nist.gov/vuln/detail/CVE-2026-26993</t>
        </is>
      </c>
      <c r="L479" s="187" t="inlineStr">
        <is>
          <t>2026-02-26 00:15</t>
        </is>
      </c>
      <c r="M479" s="187" t="inlineStr">
        <is>
          <t>CHECK_VENDOR</t>
        </is>
      </c>
      <c r="N479" s="187" t="inlineStr">
        <is>
          <t>See NVD references</t>
        </is>
      </c>
      <c r="O479" s="187" t="inlineStr">
        <is>
          <t>Apply vendor patches</t>
        </is>
      </c>
      <c r="P479" s="187" t="inlineStr">
        <is>
          <t>See CVE details</t>
        </is>
      </c>
      <c r="Q479" s="187" t="inlineStr">
        <is>
          <t>P4</t>
        </is>
      </c>
      <c r="R479" s="187" t="inlineStr">
        <is>
          <t>📅 Schedule patch deployment within 30 days | 🔍 Monitor for exploitation attempts</t>
        </is>
      </c>
      <c r="S479" s="187" t="inlineStr">
        <is>
          <t>CVE - IP enrichment n/a</t>
        </is>
      </c>
      <c r="T479" s="187" t="n">
        <v>0.0001</v>
      </c>
      <c r="U479" s="187" t="n">
        <v>0.0103</v>
      </c>
      <c r="V479" s="187" t="inlineStr">
        <is>
          <t>T1189:Drive-by Compromise</t>
        </is>
      </c>
      <c r="W479" s="187" t="n">
        <v>1</v>
      </c>
      <c r="X479" s="187" t="inlineStr">
        <is>
          <t>LOW (40%)</t>
        </is>
      </c>
      <c r="Y479" s="187" t="inlineStr">
        <is>
          <t>UNLIKELY</t>
        </is>
      </c>
      <c r="Z479" s="187" t="inlineStr">
        <is>
          <t>CHECK_VENDOR</t>
        </is>
      </c>
      <c r="AA479" s="187" t="inlineStr">
        <is>
          <t>https://nvd.nist.gov/vuln/detail/CVE-2026-26993</t>
        </is>
      </c>
      <c r="AB479" s="187" t="inlineStr">
        <is>
          <t>NONE</t>
        </is>
      </c>
      <c r="AC479" s="187" t="n">
        <v>0</v>
      </c>
      <c r="AD479" s="187" t="inlineStr"/>
    </row>
    <row r="480">
      <c r="A480" s="187" t="inlineStr">
        <is>
          <t>CVE</t>
        </is>
      </c>
      <c r="B480" s="187" t="inlineStr">
        <is>
          <t>CVE-2026-26994</t>
        </is>
      </c>
      <c r="C480" s="187" t="inlineStr">
        <is>
          <t>uTLS is a fork of crypto/tls, created to customize ClientHello for fingerprinting resistance while still using it for the handshake. In versions 1.6.7 and below, uTLS did not implement the TLS 1.3 downgrade protection mechanism specified in RFC 8446 Section 4.1.3 when using a uTLS ClientHello spec. This allowed an active network adversary to downgrade TLS 1.3 connections initiated by a uTLS client to a lower TLS version (e.g., TLS 1.2) by modifying the ClientHello message to exclude the Supporte</t>
        </is>
      </c>
      <c r="D480" s="187" t="n">
        <v>6.5</v>
      </c>
      <c r="E480" s="187" t="inlineStr">
        <is>
          <t>MEDIUM</t>
        </is>
      </c>
      <c r="F480" s="187" t="n">
        <v>2</v>
      </c>
      <c r="G480" s="187" t="n">
        <v>2</v>
      </c>
      <c r="H480" s="187" t="inlineStr">
        <is>
          <t>MEDIUM</t>
        </is>
      </c>
      <c r="I480" s="187" t="n">
        <v>10.5</v>
      </c>
      <c r="J480" s="187" t="inlineStr">
        <is>
          <t>NO</t>
        </is>
      </c>
      <c r="K480" s="187" t="inlineStr">
        <is>
          <t>https://nvd.nist.gov/vuln/detail/CVE-2026-26994</t>
        </is>
      </c>
      <c r="L480" s="187" t="inlineStr">
        <is>
          <t>2026-02-26 00:15</t>
        </is>
      </c>
      <c r="M480" s="187" t="inlineStr">
        <is>
          <t>YES</t>
        </is>
      </c>
      <c r="N480" s="187" t="inlineStr">
        <is>
          <t>https://github.com/refraction-networking/utls/commit/f8892761e2a4d29054264651d3a86fda83bc83f9 | https://github.com/refraction-networking/utls/pull/337 | https://github.com/refraction-networking/utls/security/advisories/GHSA-pmc3-p9hx-jq96</t>
        </is>
      </c>
      <c r="O480" s="187" t="inlineStr">
        <is>
          <t>Apply vendor patches</t>
        </is>
      </c>
      <c r="P480" s="187" t="inlineStr">
        <is>
          <t>refraction-networking utls *</t>
        </is>
      </c>
      <c r="Q480" s="187" t="inlineStr">
        <is>
          <t>P4</t>
        </is>
      </c>
      <c r="R480" s="187" t="inlineStr">
        <is>
          <t>📅 Schedule patch deployment within 30 days | 🔍 Monitor for exploitation attempts</t>
        </is>
      </c>
      <c r="S480" s="187" t="inlineStr">
        <is>
          <t>CVE - IP enrichment n/a</t>
        </is>
      </c>
      <c r="T480" s="187" t="n">
        <v>0</v>
      </c>
      <c r="U480" s="187" t="n">
        <v>0</v>
      </c>
      <c r="V480" s="187" t="inlineStr">
        <is>
          <t>T1190:Exploit Public-Facing Application</t>
        </is>
      </c>
      <c r="W480" s="187" t="n">
        <v>1</v>
      </c>
      <c r="X480" s="187" t="inlineStr">
        <is>
          <t>LOW (40%)</t>
        </is>
      </c>
      <c r="Y480" s="187" t="inlineStr">
        <is>
          <t>UNLIKELY</t>
        </is>
      </c>
      <c r="Z480" s="187" t="inlineStr">
        <is>
          <t>PATCH_AVAILABLE</t>
        </is>
      </c>
      <c r="AA480" s="187" t="inlineStr">
        <is>
          <t>https://nvd.nist.gov/vuln/detail/CVE-2026-26994</t>
        </is>
      </c>
      <c r="AB480" s="187" t="inlineStr">
        <is>
          <t>NONE</t>
        </is>
      </c>
      <c r="AC480" s="187" t="n">
        <v>0</v>
      </c>
      <c r="AD480" s="187" t="inlineStr"/>
    </row>
    <row r="481">
      <c r="A481" s="187" t="inlineStr">
        <is>
          <t>CVE</t>
        </is>
      </c>
      <c r="B481" s="187" t="inlineStr">
        <is>
          <t>CVE-2026-26995</t>
        </is>
      </c>
      <c r="C481" s="187" t="inlineStr">
        <is>
          <t>Rejected reason: Further research determined the issue is an external dependency vulnerability.</t>
        </is>
      </c>
      <c r="D481" s="187" t="n">
        <v>5</v>
      </c>
      <c r="E481" s="187" t="inlineStr">
        <is>
          <t>MEDIUM</t>
        </is>
      </c>
      <c r="F481" s="187" t="n">
        <v>2</v>
      </c>
      <c r="G481" s="187" t="n">
        <v>2</v>
      </c>
      <c r="H481" s="187" t="inlineStr">
        <is>
          <t>MEDIUM</t>
        </is>
      </c>
      <c r="I481" s="187" t="n">
        <v>9</v>
      </c>
      <c r="J481" s="187" t="inlineStr">
        <is>
          <t>NO</t>
        </is>
      </c>
      <c r="K481" s="187" t="inlineStr">
        <is>
          <t>https://nvd.nist.gov/vuln/detail/CVE-2026-26995</t>
        </is>
      </c>
      <c r="L481" s="187" t="inlineStr">
        <is>
          <t>2026-02-26 00:15</t>
        </is>
      </c>
      <c r="M481" s="187" t="inlineStr">
        <is>
          <t>CHECK_VENDOR</t>
        </is>
      </c>
      <c r="N481" s="187" t="inlineStr">
        <is>
          <t>See NVD references</t>
        </is>
      </c>
      <c r="O481" s="187" t="inlineStr">
        <is>
          <t>Apply vendor patches</t>
        </is>
      </c>
      <c r="P481" s="187" t="inlineStr">
        <is>
          <t>See CVE details</t>
        </is>
      </c>
      <c r="Q481" s="187" t="inlineStr">
        <is>
          <t>P4</t>
        </is>
      </c>
      <c r="R481" s="187" t="inlineStr">
        <is>
          <t>📅 Schedule patch deployment within 30 days | 🔍 Monitor for exploitation attempts</t>
        </is>
      </c>
      <c r="S481" s="187" t="inlineStr">
        <is>
          <t>CVE - IP enrichment n/a</t>
        </is>
      </c>
      <c r="T481" s="187" t="n">
        <v>0</v>
      </c>
      <c r="U481" s="187" t="n">
        <v>0</v>
      </c>
      <c r="V481" s="187" t="inlineStr">
        <is>
          <t>T1190:Exploit Public-Facing Application</t>
        </is>
      </c>
      <c r="W481" s="187" t="n">
        <v>1</v>
      </c>
      <c r="X481" s="187" t="inlineStr">
        <is>
          <t>LOW (40%)</t>
        </is>
      </c>
      <c r="Y481" s="187" t="inlineStr">
        <is>
          <t>UNLIKELY</t>
        </is>
      </c>
      <c r="Z481" s="187" t="inlineStr">
        <is>
          <t>CHECK_VENDOR</t>
        </is>
      </c>
      <c r="AA481" s="187" t="inlineStr">
        <is>
          <t>https://nvd.nist.gov/vuln/detail/CVE-2026-26995</t>
        </is>
      </c>
      <c r="AB481" s="187" t="inlineStr">
        <is>
          <t>NONE</t>
        </is>
      </c>
      <c r="AC481" s="187" t="n">
        <v>0</v>
      </c>
      <c r="AD481" s="187" t="inlineStr"/>
    </row>
    <row r="482">
      <c r="A482" s="188" t="inlineStr">
        <is>
          <t>CVE</t>
        </is>
      </c>
      <c r="B482" s="188" t="inlineStr">
        <is>
          <t>CVE-2026-26996</t>
        </is>
      </c>
      <c r="C482" s="188" t="inlineStr">
        <is>
          <t xml:space="preserve">minimatch is a minimal matching utility for converting glob expressions into JavaScript RegExp objects. Versions 10.2.0 and below are vulnerable to Regular Expression Denial of Service (ReDoS) when a glob pattern contains many consecutive * wildcards followed by a literal character that doesn't appear in the test string. Each * compiles to a separate [^/]*? regex group, and when the match fails, V8's regex engine backtracks exponentially across all possible splits. The time complexity is O(4^N) </t>
        </is>
      </c>
      <c r="D482" s="188" t="n">
        <v>7.5</v>
      </c>
      <c r="E482" s="188" t="inlineStr">
        <is>
          <t>HIGH</t>
        </is>
      </c>
      <c r="F482" s="188" t="n">
        <v>2</v>
      </c>
      <c r="G482" s="188" t="n">
        <v>3</v>
      </c>
      <c r="H482" s="188" t="inlineStr">
        <is>
          <t>HIGH</t>
        </is>
      </c>
      <c r="I482" s="188" t="n">
        <v>13.5</v>
      </c>
      <c r="J482" s="188" t="inlineStr">
        <is>
          <t>NO</t>
        </is>
      </c>
      <c r="K482" s="188" t="inlineStr">
        <is>
          <t>https://nvd.nist.gov/vuln/detail/CVE-2026-26996</t>
        </is>
      </c>
      <c r="L482" s="188" t="inlineStr">
        <is>
          <t>2026-02-26 00:15</t>
        </is>
      </c>
      <c r="M482" s="188" t="inlineStr">
        <is>
          <t>YES</t>
        </is>
      </c>
      <c r="N482" s="188" t="inlineStr">
        <is>
          <t>https://github.com/isaacs/minimatch/commit/2e111f3a79abc00fa73110195de2c0f2351904f5 | https://github.com/isaacs/minimatch/security/advisories/GHSA-3ppc-4f35-3m26</t>
        </is>
      </c>
      <c r="O482" s="188" t="inlineStr">
        <is>
          <t>Apply vendor patches</t>
        </is>
      </c>
      <c r="P482" s="188" t="inlineStr">
        <is>
          <t>minimatch_project minimatch *</t>
        </is>
      </c>
      <c r="Q482" s="188" t="inlineStr">
        <is>
          <t>P3</t>
        </is>
      </c>
      <c r="R482" s="188" t="inlineStr">
        <is>
          <t>🚨 URGENT: Apply vendor patches immediately | 🔒 Isolate affected systems if patch unavailable | 🛡️ Enable additional monitoring/IDS rules</t>
        </is>
      </c>
      <c r="S482" s="188" t="inlineStr">
        <is>
          <t>CVE - IP enrichment n/a</t>
        </is>
      </c>
      <c r="T482" s="188" t="n">
        <v>0</v>
      </c>
      <c r="U482" s="188" t="n">
        <v>0</v>
      </c>
      <c r="V482" s="188" t="inlineStr">
        <is>
          <t>T1499:Endpoint Denial of Service</t>
        </is>
      </c>
      <c r="W482" s="188" t="n">
        <v>1</v>
      </c>
      <c r="X482" s="188" t="inlineStr">
        <is>
          <t>LOW (40%)</t>
        </is>
      </c>
      <c r="Y482" s="188" t="inlineStr">
        <is>
          <t>UNLIKELY</t>
        </is>
      </c>
      <c r="Z482" s="188" t="inlineStr">
        <is>
          <t>PATCH_AVAILABLE</t>
        </is>
      </c>
      <c r="AA482" s="188" t="inlineStr">
        <is>
          <t>https://nvd.nist.gov/vuln/detail/CVE-2026-26996</t>
        </is>
      </c>
      <c r="AB482" s="188" t="inlineStr">
        <is>
          <t>NONE</t>
        </is>
      </c>
      <c r="AC482" s="188" t="n">
        <v>0</v>
      </c>
      <c r="AD482" s="188" t="inlineStr"/>
    </row>
    <row r="483">
      <c r="A483" s="187" t="inlineStr">
        <is>
          <t>CVE</t>
        </is>
      </c>
      <c r="B483" s="187" t="inlineStr">
        <is>
          <t>CVE-2026-27017</t>
        </is>
      </c>
      <c r="C483" s="187" t="inlineStr">
        <is>
          <t>uTLS is a fork of crypto/tls, created to customize ClientHello for fingerprinting resistance while still using it for the handshake. Versions 1.6.0 through 1.8.0 contain a fingerprint mismatch with Chrome when using GREASE ECH, related to cipher suite selection. When Chrome selects the preferred cipher suite in the outer ClientHello and for ECH, it does so consistently based on hardware support—for example, if it prefers AES for the outer cipher suite, it also uses AES for ECH. However, the Chro</t>
        </is>
      </c>
      <c r="D483" s="187" t="n">
        <v>5.3</v>
      </c>
      <c r="E483" s="187" t="inlineStr">
        <is>
          <t>MEDIUM</t>
        </is>
      </c>
      <c r="F483" s="187" t="n">
        <v>2</v>
      </c>
      <c r="G483" s="187" t="n">
        <v>2</v>
      </c>
      <c r="H483" s="187" t="inlineStr">
        <is>
          <t>MEDIUM</t>
        </is>
      </c>
      <c r="I483" s="187" t="n">
        <v>9.300000000000001</v>
      </c>
      <c r="J483" s="187" t="inlineStr">
        <is>
          <t>NO</t>
        </is>
      </c>
      <c r="K483" s="187" t="inlineStr">
        <is>
          <t>https://nvd.nist.gov/vuln/detail/CVE-2026-27017</t>
        </is>
      </c>
      <c r="L483" s="187" t="inlineStr">
        <is>
          <t>2026-02-26 00:15</t>
        </is>
      </c>
      <c r="M483" s="187" t="inlineStr">
        <is>
          <t>YES</t>
        </is>
      </c>
      <c r="N483" s="187" t="inlineStr">
        <is>
          <t>https://github.com/refraction-networking/utls/security/advisories/GHSA-7m29-f4hw-g2vx</t>
        </is>
      </c>
      <c r="O483" s="187" t="inlineStr">
        <is>
          <t>Apply vendor patches</t>
        </is>
      </c>
      <c r="P483" s="187" t="inlineStr">
        <is>
          <t>refraction-networking utls *</t>
        </is>
      </c>
      <c r="Q483" s="187" t="inlineStr">
        <is>
          <t>P4</t>
        </is>
      </c>
      <c r="R483" s="187" t="inlineStr">
        <is>
          <t>📅 Schedule patch deployment within 30 days | 🔍 Monitor for exploitation attempts</t>
        </is>
      </c>
      <c r="S483" s="187" t="inlineStr">
        <is>
          <t>CVE - IP enrichment n/a</t>
        </is>
      </c>
      <c r="T483" s="187" t="n">
        <v>0</v>
      </c>
      <c r="U483" s="187" t="n">
        <v>0</v>
      </c>
      <c r="V483" s="187" t="inlineStr">
        <is>
          <t>T1190:Exploit Public-Facing Application</t>
        </is>
      </c>
      <c r="W483" s="187" t="n">
        <v>1</v>
      </c>
      <c r="X483" s="187" t="inlineStr">
        <is>
          <t>LOW (40%)</t>
        </is>
      </c>
      <c r="Y483" s="187" t="inlineStr">
        <is>
          <t>UNLIKELY</t>
        </is>
      </c>
      <c r="Z483" s="187" t="inlineStr">
        <is>
          <t>PATCH_AVAILABLE</t>
        </is>
      </c>
      <c r="AA483" s="187" t="inlineStr">
        <is>
          <t>https://nvd.nist.gov/vuln/detail/CVE-2026-27017</t>
        </is>
      </c>
      <c r="AB483" s="187" t="inlineStr">
        <is>
          <t>NONE</t>
        </is>
      </c>
      <c r="AC483" s="187" t="n">
        <v>0</v>
      </c>
      <c r="AD483" s="187" t="inlineStr"/>
    </row>
    <row r="484">
      <c r="A484" s="187" t="inlineStr">
        <is>
          <t>CVE</t>
        </is>
      </c>
      <c r="B484" s="187" t="inlineStr">
        <is>
          <t>CVE-2026-2384</t>
        </is>
      </c>
      <c r="C484" s="187" t="inlineStr">
        <is>
          <t>The Quiz Maker plugin for WordPress is vulnerable to Stored Cross-Site Scripting via the plugin's `vc_quizmaker` shortcode in all versions up to, and including, 6.7.1.7 due to insufficient input sanitization and output escaping on user supplied attributes. This makes it possible for authenticated attackers, with contributor-level access and above, to inject arbitrary web scripts in pages that will execute whenever a user accesses an injected page.
Note: This vulnerability requires WPBakery Page</t>
        </is>
      </c>
      <c r="D484" s="187" t="n">
        <v>6.4</v>
      </c>
      <c r="E484" s="187" t="inlineStr">
        <is>
          <t>MEDIUM</t>
        </is>
      </c>
      <c r="F484" s="187" t="n">
        <v>2</v>
      </c>
      <c r="G484" s="187" t="n">
        <v>2</v>
      </c>
      <c r="H484" s="187" t="inlineStr">
        <is>
          <t>MEDIUM</t>
        </is>
      </c>
      <c r="I484" s="187" t="n">
        <v>10.4</v>
      </c>
      <c r="J484" s="187" t="inlineStr">
        <is>
          <t>NO</t>
        </is>
      </c>
      <c r="K484" s="187" t="inlineStr">
        <is>
          <t>https://nvd.nist.gov/vuln/detail/CVE-2026-2384</t>
        </is>
      </c>
      <c r="L484" s="187" t="inlineStr">
        <is>
          <t>2026-02-26 00:15</t>
        </is>
      </c>
      <c r="M484" s="187" t="inlineStr">
        <is>
          <t>CHECK_VENDOR</t>
        </is>
      </c>
      <c r="N484" s="187" t="inlineStr">
        <is>
          <t>See NVD references</t>
        </is>
      </c>
      <c r="O484" s="187" t="inlineStr">
        <is>
          <t>Apply vendor patches</t>
        </is>
      </c>
      <c r="P484" s="187" t="inlineStr">
        <is>
          <t>See CVE details</t>
        </is>
      </c>
      <c r="Q484" s="187" t="inlineStr">
        <is>
          <t>P4</t>
        </is>
      </c>
      <c r="R484" s="187" t="inlineStr">
        <is>
          <t>📅 Schedule patch deployment within 30 days | 🔍 Monitor for exploitation attempts</t>
        </is>
      </c>
      <c r="S484" s="187" t="inlineStr">
        <is>
          <t>CVE - IP enrichment n/a</t>
        </is>
      </c>
      <c r="T484" s="187" t="n">
        <v>0</v>
      </c>
      <c r="U484" s="187" t="n">
        <v>0</v>
      </c>
      <c r="V484" s="187" t="inlineStr">
        <is>
          <t>T1189:Drive-by Compromise</t>
        </is>
      </c>
      <c r="W484" s="187" t="n">
        <v>1</v>
      </c>
      <c r="X484" s="187" t="inlineStr">
        <is>
          <t>LOW (40%)</t>
        </is>
      </c>
      <c r="Y484" s="187" t="inlineStr">
        <is>
          <t>UNLIKELY</t>
        </is>
      </c>
      <c r="Z484" s="187" t="inlineStr">
        <is>
          <t>CHECK_VENDOR</t>
        </is>
      </c>
      <c r="AA484" s="187" t="inlineStr">
        <is>
          <t>https://nvd.nist.gov/vuln/detail/CVE-2026-2384</t>
        </is>
      </c>
      <c r="AB484" s="187" t="inlineStr">
        <is>
          <t>NONE</t>
        </is>
      </c>
      <c r="AC484" s="187" t="n">
        <v>0</v>
      </c>
      <c r="AD484" s="187" t="inlineStr"/>
    </row>
    <row r="485">
      <c r="A485" s="188" t="inlineStr">
        <is>
          <t>CVE</t>
        </is>
      </c>
      <c r="B485" s="188" t="inlineStr">
        <is>
          <t>CVE-2026-2821</t>
        </is>
      </c>
      <c r="C485" s="188" t="inlineStr">
        <is>
          <t>A weakness has been identified in Fujian Smart Integrated Management Platform System up to 7.5. Impacted is an unknown function of the file /Module/CRXT/Controller/XCamera.ashx. This manipulation of the argument ChannelName causes sql injection. Remote exploitation of the attack is possible. The exploit has been made available to the public and could be used for attacks.</t>
        </is>
      </c>
      <c r="D485" s="188" t="n">
        <v>7.3</v>
      </c>
      <c r="E485" s="188" t="inlineStr">
        <is>
          <t>HIGH</t>
        </is>
      </c>
      <c r="F485" s="188" t="n">
        <v>2</v>
      </c>
      <c r="G485" s="188" t="n">
        <v>3</v>
      </c>
      <c r="H485" s="188" t="inlineStr">
        <is>
          <t>HIGH</t>
        </is>
      </c>
      <c r="I485" s="188" t="n">
        <v>13.3</v>
      </c>
      <c r="J485" s="188" t="inlineStr">
        <is>
          <t>NO</t>
        </is>
      </c>
      <c r="K485" s="188" t="inlineStr">
        <is>
          <t>https://nvd.nist.gov/vuln/detail/CVE-2026-2821</t>
        </is>
      </c>
      <c r="L485" s="188" t="inlineStr">
        <is>
          <t>2026-02-26 00:15</t>
        </is>
      </c>
      <c r="M485" s="188" t="inlineStr">
        <is>
          <t>CHECK_VENDOR</t>
        </is>
      </c>
      <c r="N485" s="188" t="inlineStr">
        <is>
          <t>See NVD references</t>
        </is>
      </c>
      <c r="O485" s="188" t="inlineStr">
        <is>
          <t>Apply vendor patches</t>
        </is>
      </c>
      <c r="P485" s="188" t="inlineStr">
        <is>
          <t>See CVE details</t>
        </is>
      </c>
      <c r="Q485" s="188" t="inlineStr">
        <is>
          <t>P3</t>
        </is>
      </c>
      <c r="R485" s="188" t="inlineStr">
        <is>
          <t>🚨 URGENT: Apply vendor patches immediately | 🔒 Isolate affected systems if patch unavailable | 🛡️ Enable additional monitoring/IDS rules</t>
        </is>
      </c>
      <c r="S485" s="188" t="inlineStr">
        <is>
          <t>CVE - IP enrichment n/a</t>
        </is>
      </c>
      <c r="T485" s="188" t="n">
        <v>0</v>
      </c>
      <c r="U485" s="188" t="n">
        <v>0</v>
      </c>
      <c r="V485" s="188" t="inlineStr">
        <is>
          <t>T1190:Exploit Public-Facing Application</t>
        </is>
      </c>
      <c r="W485" s="188" t="n">
        <v>1</v>
      </c>
      <c r="X485" s="188" t="inlineStr">
        <is>
          <t>LOW (40%)</t>
        </is>
      </c>
      <c r="Y485" s="188" t="inlineStr">
        <is>
          <t>UNLIKELY</t>
        </is>
      </c>
      <c r="Z485" s="188" t="inlineStr">
        <is>
          <t>CHECK_VENDOR</t>
        </is>
      </c>
      <c r="AA485" s="188" t="inlineStr">
        <is>
          <t>https://nvd.nist.gov/vuln/detail/CVE-2026-2821</t>
        </is>
      </c>
      <c r="AB485" s="188" t="inlineStr">
        <is>
          <t>NONE</t>
        </is>
      </c>
      <c r="AC485" s="188" t="n">
        <v>0</v>
      </c>
      <c r="AD485" s="188" t="inlineStr"/>
    </row>
    <row r="486">
      <c r="A486" s="187" t="inlineStr">
        <is>
          <t>CVE</t>
        </is>
      </c>
      <c r="B486" s="187" t="inlineStr">
        <is>
          <t>CVE-2026-27317</t>
        </is>
      </c>
      <c r="C486" s="187" t="inlineStr">
        <is>
          <t>Rejected reason: Not used</t>
        </is>
      </c>
      <c r="D486" s="187" t="n">
        <v>5</v>
      </c>
      <c r="E486" s="187" t="inlineStr">
        <is>
          <t>MEDIUM</t>
        </is>
      </c>
      <c r="F486" s="187" t="n">
        <v>2</v>
      </c>
      <c r="G486" s="187" t="n">
        <v>2</v>
      </c>
      <c r="H486" s="187" t="inlineStr">
        <is>
          <t>MEDIUM</t>
        </is>
      </c>
      <c r="I486" s="187" t="n">
        <v>9</v>
      </c>
      <c r="J486" s="187" t="inlineStr">
        <is>
          <t>NO</t>
        </is>
      </c>
      <c r="K486" s="187" t="inlineStr">
        <is>
          <t>https://nvd.nist.gov/vuln/detail/CVE-2026-27317</t>
        </is>
      </c>
      <c r="L486" s="187" t="inlineStr">
        <is>
          <t>2026-02-26 00:15</t>
        </is>
      </c>
      <c r="M486" s="187" t="inlineStr">
        <is>
          <t>CHECK_VENDOR</t>
        </is>
      </c>
      <c r="N486" s="187" t="inlineStr">
        <is>
          <t>See NVD references</t>
        </is>
      </c>
      <c r="O486" s="187" t="inlineStr">
        <is>
          <t>Apply vendor patches</t>
        </is>
      </c>
      <c r="P486" s="187" t="inlineStr">
        <is>
          <t>See CVE details</t>
        </is>
      </c>
      <c r="Q486" s="187" t="inlineStr">
        <is>
          <t>P4</t>
        </is>
      </c>
      <c r="R486" s="187" t="inlineStr">
        <is>
          <t>📅 Schedule patch deployment within 30 days | 🔍 Monitor for exploitation attempts</t>
        </is>
      </c>
      <c r="S486" s="187" t="inlineStr">
        <is>
          <t>CVE - IP enrichment n/a</t>
        </is>
      </c>
      <c r="T486" s="187" t="n">
        <v>0</v>
      </c>
      <c r="U486" s="187" t="n">
        <v>0</v>
      </c>
      <c r="V486" s="187" t="inlineStr">
        <is>
          <t>T1190:Exploit Public-Facing Application</t>
        </is>
      </c>
      <c r="W486" s="187" t="n">
        <v>1</v>
      </c>
      <c r="X486" s="187" t="inlineStr">
        <is>
          <t>LOW (40%)</t>
        </is>
      </c>
      <c r="Y486" s="187" t="inlineStr">
        <is>
          <t>UNLIKELY</t>
        </is>
      </c>
      <c r="Z486" s="187" t="inlineStr">
        <is>
          <t>CHECK_VENDOR</t>
        </is>
      </c>
      <c r="AA486" s="187" t="inlineStr">
        <is>
          <t>https://nvd.nist.gov/vuln/detail/CVE-2026-27317</t>
        </is>
      </c>
      <c r="AB486" s="187" t="inlineStr">
        <is>
          <t>NONE</t>
        </is>
      </c>
      <c r="AC486" s="187" t="n">
        <v>0</v>
      </c>
      <c r="AD486" s="187" t="inlineStr"/>
    </row>
    <row r="487">
      <c r="A487" s="187" t="inlineStr">
        <is>
          <t>CVE</t>
        </is>
      </c>
      <c r="B487" s="187" t="inlineStr">
        <is>
          <t>CVE-2026-27318</t>
        </is>
      </c>
      <c r="C487" s="187" t="inlineStr">
        <is>
          <t>Rejected reason: Not used</t>
        </is>
      </c>
      <c r="D487" s="187" t="n">
        <v>5</v>
      </c>
      <c r="E487" s="187" t="inlineStr">
        <is>
          <t>MEDIUM</t>
        </is>
      </c>
      <c r="F487" s="187" t="n">
        <v>2</v>
      </c>
      <c r="G487" s="187" t="n">
        <v>2</v>
      </c>
      <c r="H487" s="187" t="inlineStr">
        <is>
          <t>MEDIUM</t>
        </is>
      </c>
      <c r="I487" s="187" t="n">
        <v>9</v>
      </c>
      <c r="J487" s="187" t="inlineStr">
        <is>
          <t>NO</t>
        </is>
      </c>
      <c r="K487" s="187" t="inlineStr">
        <is>
          <t>https://nvd.nist.gov/vuln/detail/CVE-2026-27318</t>
        </is>
      </c>
      <c r="L487" s="187" t="inlineStr">
        <is>
          <t>2026-02-26 00:15</t>
        </is>
      </c>
      <c r="M487" s="187" t="inlineStr">
        <is>
          <t>CHECK_VENDOR</t>
        </is>
      </c>
      <c r="N487" s="187" t="inlineStr">
        <is>
          <t>See NVD references</t>
        </is>
      </c>
      <c r="O487" s="187" t="inlineStr">
        <is>
          <t>Apply vendor patches</t>
        </is>
      </c>
      <c r="P487" s="187" t="inlineStr">
        <is>
          <t>See CVE details</t>
        </is>
      </c>
      <c r="Q487" s="187" t="inlineStr">
        <is>
          <t>P4</t>
        </is>
      </c>
      <c r="R487" s="187" t="inlineStr">
        <is>
          <t>📅 Schedule patch deployment within 30 days | 🔍 Monitor for exploitation attempts</t>
        </is>
      </c>
      <c r="S487" s="187" t="inlineStr">
        <is>
          <t>CVE - IP enrichment n/a</t>
        </is>
      </c>
      <c r="T487" s="187" t="n">
        <v>0</v>
      </c>
      <c r="U487" s="187" t="n">
        <v>0</v>
      </c>
      <c r="V487" s="187" t="inlineStr">
        <is>
          <t>T1190:Exploit Public-Facing Application</t>
        </is>
      </c>
      <c r="W487" s="187" t="n">
        <v>1</v>
      </c>
      <c r="X487" s="187" t="inlineStr">
        <is>
          <t>LOW (40%)</t>
        </is>
      </c>
      <c r="Y487" s="187" t="inlineStr">
        <is>
          <t>UNLIKELY</t>
        </is>
      </c>
      <c r="Z487" s="187" t="inlineStr">
        <is>
          <t>CHECK_VENDOR</t>
        </is>
      </c>
      <c r="AA487" s="187" t="inlineStr">
        <is>
          <t>https://nvd.nist.gov/vuln/detail/CVE-2026-27318</t>
        </is>
      </c>
      <c r="AB487" s="187" t="inlineStr">
        <is>
          <t>NONE</t>
        </is>
      </c>
      <c r="AC487" s="187" t="n">
        <v>0</v>
      </c>
      <c r="AD487" s="187" t="inlineStr"/>
    </row>
    <row r="488">
      <c r="A488" s="187" t="inlineStr">
        <is>
          <t>CVE</t>
        </is>
      </c>
      <c r="B488" s="187" t="inlineStr">
        <is>
          <t>CVE-2026-27319</t>
        </is>
      </c>
      <c r="C488" s="187" t="inlineStr">
        <is>
          <t>Rejected reason: Not used</t>
        </is>
      </c>
      <c r="D488" s="187" t="n">
        <v>5</v>
      </c>
      <c r="E488" s="187" t="inlineStr">
        <is>
          <t>MEDIUM</t>
        </is>
      </c>
      <c r="F488" s="187" t="n">
        <v>2</v>
      </c>
      <c r="G488" s="187" t="n">
        <v>2</v>
      </c>
      <c r="H488" s="187" t="inlineStr">
        <is>
          <t>MEDIUM</t>
        </is>
      </c>
      <c r="I488" s="187" t="n">
        <v>9</v>
      </c>
      <c r="J488" s="187" t="inlineStr">
        <is>
          <t>NO</t>
        </is>
      </c>
      <c r="K488" s="187" t="inlineStr">
        <is>
          <t>https://nvd.nist.gov/vuln/detail/CVE-2026-27319</t>
        </is>
      </c>
      <c r="L488" s="187" t="inlineStr">
        <is>
          <t>2026-02-26 00:15</t>
        </is>
      </c>
      <c r="M488" s="187" t="inlineStr">
        <is>
          <t>CHECK_VENDOR</t>
        </is>
      </c>
      <c r="N488" s="187" t="inlineStr">
        <is>
          <t>See NVD references</t>
        </is>
      </c>
      <c r="O488" s="187" t="inlineStr">
        <is>
          <t>Apply vendor patches</t>
        </is>
      </c>
      <c r="P488" s="187" t="inlineStr">
        <is>
          <t>See CVE details</t>
        </is>
      </c>
      <c r="Q488" s="187" t="inlineStr">
        <is>
          <t>P4</t>
        </is>
      </c>
      <c r="R488" s="187" t="inlineStr">
        <is>
          <t>📅 Schedule patch deployment within 30 days | 🔍 Monitor for exploitation attempts</t>
        </is>
      </c>
      <c r="S488" s="187" t="inlineStr">
        <is>
          <t>CVE - IP enrichment n/a</t>
        </is>
      </c>
      <c r="T488" s="187" t="n">
        <v>0</v>
      </c>
      <c r="U488" s="187" t="n">
        <v>0</v>
      </c>
      <c r="V488" s="187" t="inlineStr">
        <is>
          <t>T1190:Exploit Public-Facing Application</t>
        </is>
      </c>
      <c r="W488" s="187" t="n">
        <v>1</v>
      </c>
      <c r="X488" s="187" t="inlineStr">
        <is>
          <t>LOW (40%)</t>
        </is>
      </c>
      <c r="Y488" s="187" t="inlineStr">
        <is>
          <t>UNLIKELY</t>
        </is>
      </c>
      <c r="Z488" s="187" t="inlineStr">
        <is>
          <t>CHECK_VENDOR</t>
        </is>
      </c>
      <c r="AA488" s="187" t="inlineStr">
        <is>
          <t>https://nvd.nist.gov/vuln/detail/CVE-2026-27319</t>
        </is>
      </c>
      <c r="AB488" s="187" t="inlineStr">
        <is>
          <t>NONE</t>
        </is>
      </c>
      <c r="AC488" s="187" t="n">
        <v>0</v>
      </c>
      <c r="AD488" s="187" t="inlineStr"/>
    </row>
    <row r="489">
      <c r="A489" s="187" t="inlineStr">
        <is>
          <t>CVE</t>
        </is>
      </c>
      <c r="B489" s="187" t="inlineStr">
        <is>
          <t>CVE-2026-27320</t>
        </is>
      </c>
      <c r="C489" s="187" t="inlineStr">
        <is>
          <t>Rejected reason: Not used</t>
        </is>
      </c>
      <c r="D489" s="187" t="n">
        <v>5</v>
      </c>
      <c r="E489" s="187" t="inlineStr">
        <is>
          <t>MEDIUM</t>
        </is>
      </c>
      <c r="F489" s="187" t="n">
        <v>2</v>
      </c>
      <c r="G489" s="187" t="n">
        <v>2</v>
      </c>
      <c r="H489" s="187" t="inlineStr">
        <is>
          <t>MEDIUM</t>
        </is>
      </c>
      <c r="I489" s="187" t="n">
        <v>9</v>
      </c>
      <c r="J489" s="187" t="inlineStr">
        <is>
          <t>NO</t>
        </is>
      </c>
      <c r="K489" s="187" t="inlineStr">
        <is>
          <t>https://nvd.nist.gov/vuln/detail/CVE-2026-27320</t>
        </is>
      </c>
      <c r="L489" s="187" t="inlineStr">
        <is>
          <t>2026-02-26 00:15</t>
        </is>
      </c>
      <c r="M489" s="187" t="inlineStr">
        <is>
          <t>CHECK_VENDOR</t>
        </is>
      </c>
      <c r="N489" s="187" t="inlineStr">
        <is>
          <t>See NVD references</t>
        </is>
      </c>
      <c r="O489" s="187" t="inlineStr">
        <is>
          <t>Apply vendor patches</t>
        </is>
      </c>
      <c r="P489" s="187" t="inlineStr">
        <is>
          <t>See CVE details</t>
        </is>
      </c>
      <c r="Q489" s="187" t="inlineStr">
        <is>
          <t>P4</t>
        </is>
      </c>
      <c r="R489" s="187" t="inlineStr">
        <is>
          <t>📅 Schedule patch deployment within 30 days | 🔍 Monitor for exploitation attempts</t>
        </is>
      </c>
      <c r="S489" s="187" t="inlineStr">
        <is>
          <t>CVE - IP enrichment n/a</t>
        </is>
      </c>
      <c r="T489" s="187" t="n">
        <v>0</v>
      </c>
      <c r="U489" s="187" t="n">
        <v>0</v>
      </c>
      <c r="V489" s="187" t="inlineStr">
        <is>
          <t>T1190:Exploit Public-Facing Application</t>
        </is>
      </c>
      <c r="W489" s="187" t="n">
        <v>1</v>
      </c>
      <c r="X489" s="187" t="inlineStr">
        <is>
          <t>LOW (40%)</t>
        </is>
      </c>
      <c r="Y489" s="187" t="inlineStr">
        <is>
          <t>UNLIKELY</t>
        </is>
      </c>
      <c r="Z489" s="187" t="inlineStr">
        <is>
          <t>CHECK_VENDOR</t>
        </is>
      </c>
      <c r="AA489" s="187" t="inlineStr">
        <is>
          <t>https://nvd.nist.gov/vuln/detail/CVE-2026-27320</t>
        </is>
      </c>
      <c r="AB489" s="187" t="inlineStr">
        <is>
          <t>NONE</t>
        </is>
      </c>
      <c r="AC489" s="187" t="n">
        <v>0</v>
      </c>
      <c r="AD489" s="187" t="inlineStr"/>
    </row>
    <row r="490">
      <c r="A490" s="187" t="inlineStr">
        <is>
          <t>CVE</t>
        </is>
      </c>
      <c r="B490" s="187" t="inlineStr">
        <is>
          <t>CVE-2026-27321</t>
        </is>
      </c>
      <c r="C490" s="187" t="inlineStr">
        <is>
          <t>Rejected reason: Not used</t>
        </is>
      </c>
      <c r="D490" s="187" t="n">
        <v>5</v>
      </c>
      <c r="E490" s="187" t="inlineStr">
        <is>
          <t>MEDIUM</t>
        </is>
      </c>
      <c r="F490" s="187" t="n">
        <v>2</v>
      </c>
      <c r="G490" s="187" t="n">
        <v>2</v>
      </c>
      <c r="H490" s="187" t="inlineStr">
        <is>
          <t>MEDIUM</t>
        </is>
      </c>
      <c r="I490" s="187" t="n">
        <v>9</v>
      </c>
      <c r="J490" s="187" t="inlineStr">
        <is>
          <t>NO</t>
        </is>
      </c>
      <c r="K490" s="187" t="inlineStr">
        <is>
          <t>https://nvd.nist.gov/vuln/detail/CVE-2026-27321</t>
        </is>
      </c>
      <c r="L490" s="187" t="inlineStr">
        <is>
          <t>2026-02-26 00:15</t>
        </is>
      </c>
      <c r="M490" s="187" t="inlineStr">
        <is>
          <t>CHECK_VENDOR</t>
        </is>
      </c>
      <c r="N490" s="187" t="inlineStr">
        <is>
          <t>See NVD references</t>
        </is>
      </c>
      <c r="O490" s="187" t="inlineStr">
        <is>
          <t>Apply vendor patches</t>
        </is>
      </c>
      <c r="P490" s="187" t="inlineStr">
        <is>
          <t>See CVE details</t>
        </is>
      </c>
      <c r="Q490" s="187" t="inlineStr">
        <is>
          <t>P4</t>
        </is>
      </c>
      <c r="R490" s="187" t="inlineStr">
        <is>
          <t>📅 Schedule patch deployment within 30 days | 🔍 Monitor for exploitation attempts</t>
        </is>
      </c>
      <c r="S490" s="187" t="inlineStr">
        <is>
          <t>CVE - IP enrichment n/a</t>
        </is>
      </c>
      <c r="T490" s="187" t="n">
        <v>0</v>
      </c>
      <c r="U490" s="187" t="n">
        <v>0</v>
      </c>
      <c r="V490" s="187" t="inlineStr">
        <is>
          <t>T1190:Exploit Public-Facing Application</t>
        </is>
      </c>
      <c r="W490" s="187" t="n">
        <v>1</v>
      </c>
      <c r="X490" s="187" t="inlineStr">
        <is>
          <t>LOW (40%)</t>
        </is>
      </c>
      <c r="Y490" s="187" t="inlineStr">
        <is>
          <t>UNLIKELY</t>
        </is>
      </c>
      <c r="Z490" s="187" t="inlineStr">
        <is>
          <t>CHECK_VENDOR</t>
        </is>
      </c>
      <c r="AA490" s="187" t="inlineStr">
        <is>
          <t>https://nvd.nist.gov/vuln/detail/CVE-2026-27321</t>
        </is>
      </c>
      <c r="AB490" s="187" t="inlineStr">
        <is>
          <t>NONE</t>
        </is>
      </c>
      <c r="AC490" s="187" t="n">
        <v>0</v>
      </c>
      <c r="AD490" s="187" t="inlineStr"/>
    </row>
    <row r="491">
      <c r="A491" s="187" t="inlineStr">
        <is>
          <t>CVE</t>
        </is>
      </c>
      <c r="B491" s="187" t="inlineStr">
        <is>
          <t>CVE-2026-27322</t>
        </is>
      </c>
      <c r="C491" s="187" t="inlineStr">
        <is>
          <t>Rejected reason: Not used</t>
        </is>
      </c>
      <c r="D491" s="187" t="n">
        <v>5</v>
      </c>
      <c r="E491" s="187" t="inlineStr">
        <is>
          <t>MEDIUM</t>
        </is>
      </c>
      <c r="F491" s="187" t="n">
        <v>2</v>
      </c>
      <c r="G491" s="187" t="n">
        <v>2</v>
      </c>
      <c r="H491" s="187" t="inlineStr">
        <is>
          <t>MEDIUM</t>
        </is>
      </c>
      <c r="I491" s="187" t="n">
        <v>9</v>
      </c>
      <c r="J491" s="187" t="inlineStr">
        <is>
          <t>NO</t>
        </is>
      </c>
      <c r="K491" s="187" t="inlineStr">
        <is>
          <t>https://nvd.nist.gov/vuln/detail/CVE-2026-27322</t>
        </is>
      </c>
      <c r="L491" s="187" t="inlineStr">
        <is>
          <t>2026-02-26 00:15</t>
        </is>
      </c>
      <c r="M491" s="187" t="inlineStr">
        <is>
          <t>CHECK_VENDOR</t>
        </is>
      </c>
      <c r="N491" s="187" t="inlineStr">
        <is>
          <t>See NVD references</t>
        </is>
      </c>
      <c r="O491" s="187" t="inlineStr">
        <is>
          <t>Apply vendor patches</t>
        </is>
      </c>
      <c r="P491" s="187" t="inlineStr">
        <is>
          <t>See CVE details</t>
        </is>
      </c>
      <c r="Q491" s="187" t="inlineStr">
        <is>
          <t>P4</t>
        </is>
      </c>
      <c r="R491" s="187" t="inlineStr">
        <is>
          <t>📅 Schedule patch deployment within 30 days | 🔍 Monitor for exploitation attempts</t>
        </is>
      </c>
      <c r="S491" s="187" t="inlineStr">
        <is>
          <t>CVE - IP enrichment n/a</t>
        </is>
      </c>
      <c r="T491" s="187" t="n">
        <v>0</v>
      </c>
      <c r="U491" s="187" t="n">
        <v>0</v>
      </c>
      <c r="V491" s="187" t="inlineStr">
        <is>
          <t>T1190:Exploit Public-Facing Application</t>
        </is>
      </c>
      <c r="W491" s="187" t="n">
        <v>1</v>
      </c>
      <c r="X491" s="187" t="inlineStr">
        <is>
          <t>LOW (40%)</t>
        </is>
      </c>
      <c r="Y491" s="187" t="inlineStr">
        <is>
          <t>UNLIKELY</t>
        </is>
      </c>
      <c r="Z491" s="187" t="inlineStr">
        <is>
          <t>CHECK_VENDOR</t>
        </is>
      </c>
      <c r="AA491" s="187" t="inlineStr">
        <is>
          <t>https://nvd.nist.gov/vuln/detail/CVE-2026-27322</t>
        </is>
      </c>
      <c r="AB491" s="187" t="inlineStr">
        <is>
          <t>NONE</t>
        </is>
      </c>
      <c r="AC491" s="187" t="n">
        <v>0</v>
      </c>
      <c r="AD491" s="187" t="inlineStr"/>
    </row>
    <row r="492">
      <c r="A492" s="187" t="inlineStr">
        <is>
          <t>CVE</t>
        </is>
      </c>
      <c r="B492" s="187" t="inlineStr">
        <is>
          <t>CVE-2026-27323</t>
        </is>
      </c>
      <c r="C492" s="187" t="inlineStr">
        <is>
          <t>Rejected reason: Not used</t>
        </is>
      </c>
      <c r="D492" s="187" t="n">
        <v>5</v>
      </c>
      <c r="E492" s="187" t="inlineStr">
        <is>
          <t>MEDIUM</t>
        </is>
      </c>
      <c r="F492" s="187" t="n">
        <v>2</v>
      </c>
      <c r="G492" s="187" t="n">
        <v>2</v>
      </c>
      <c r="H492" s="187" t="inlineStr">
        <is>
          <t>MEDIUM</t>
        </is>
      </c>
      <c r="I492" s="187" t="n">
        <v>9</v>
      </c>
      <c r="J492" s="187" t="inlineStr">
        <is>
          <t>NO</t>
        </is>
      </c>
      <c r="K492" s="187" t="inlineStr">
        <is>
          <t>https://nvd.nist.gov/vuln/detail/CVE-2026-27323</t>
        </is>
      </c>
      <c r="L492" s="187" t="inlineStr">
        <is>
          <t>2026-02-26 00:15</t>
        </is>
      </c>
      <c r="M492" s="187" t="inlineStr">
        <is>
          <t>CHECK_VENDOR</t>
        </is>
      </c>
      <c r="N492" s="187" t="inlineStr">
        <is>
          <t>See NVD references</t>
        </is>
      </c>
      <c r="O492" s="187" t="inlineStr">
        <is>
          <t>Apply vendor patches</t>
        </is>
      </c>
      <c r="P492" s="187" t="inlineStr">
        <is>
          <t>See CVE details</t>
        </is>
      </c>
      <c r="Q492" s="187" t="inlineStr">
        <is>
          <t>P4</t>
        </is>
      </c>
      <c r="R492" s="187" t="inlineStr">
        <is>
          <t>📅 Schedule patch deployment within 30 days | 🔍 Monitor for exploitation attempts</t>
        </is>
      </c>
      <c r="S492" s="187" t="inlineStr">
        <is>
          <t>CVE - IP enrichment n/a</t>
        </is>
      </c>
      <c r="T492" s="187" t="n">
        <v>0</v>
      </c>
      <c r="U492" s="187" t="n">
        <v>0</v>
      </c>
      <c r="V492" s="187" t="inlineStr">
        <is>
          <t>T1190:Exploit Public-Facing Application</t>
        </is>
      </c>
      <c r="W492" s="187" t="n">
        <v>1</v>
      </c>
      <c r="X492" s="187" t="inlineStr">
        <is>
          <t>LOW (40%)</t>
        </is>
      </c>
      <c r="Y492" s="187" t="inlineStr">
        <is>
          <t>UNLIKELY</t>
        </is>
      </c>
      <c r="Z492" s="187" t="inlineStr">
        <is>
          <t>CHECK_VENDOR</t>
        </is>
      </c>
      <c r="AA492" s="187" t="inlineStr">
        <is>
          <t>https://nvd.nist.gov/vuln/detail/CVE-2026-27323</t>
        </is>
      </c>
      <c r="AB492" s="187" t="inlineStr">
        <is>
          <t>NONE</t>
        </is>
      </c>
      <c r="AC492" s="187" t="n">
        <v>0</v>
      </c>
      <c r="AD492" s="187" t="inlineStr"/>
    </row>
    <row r="493">
      <c r="A493" s="187" t="inlineStr">
        <is>
          <t>CVE</t>
        </is>
      </c>
      <c r="B493" s="187" t="inlineStr">
        <is>
          <t>CVE-2026-27324</t>
        </is>
      </c>
      <c r="C493" s="187" t="inlineStr">
        <is>
          <t>Rejected reason: Not used</t>
        </is>
      </c>
      <c r="D493" s="187" t="n">
        <v>5</v>
      </c>
      <c r="E493" s="187" t="inlineStr">
        <is>
          <t>MEDIUM</t>
        </is>
      </c>
      <c r="F493" s="187" t="n">
        <v>2</v>
      </c>
      <c r="G493" s="187" t="n">
        <v>2</v>
      </c>
      <c r="H493" s="187" t="inlineStr">
        <is>
          <t>MEDIUM</t>
        </is>
      </c>
      <c r="I493" s="187" t="n">
        <v>9</v>
      </c>
      <c r="J493" s="187" t="inlineStr">
        <is>
          <t>NO</t>
        </is>
      </c>
      <c r="K493" s="187" t="inlineStr">
        <is>
          <t>https://nvd.nist.gov/vuln/detail/CVE-2026-27324</t>
        </is>
      </c>
      <c r="L493" s="187" t="inlineStr">
        <is>
          <t>2026-02-26 00:15</t>
        </is>
      </c>
      <c r="M493" s="187" t="inlineStr">
        <is>
          <t>CHECK_VENDOR</t>
        </is>
      </c>
      <c r="N493" s="187" t="inlineStr">
        <is>
          <t>See NVD references</t>
        </is>
      </c>
      <c r="O493" s="187" t="inlineStr">
        <is>
          <t>Apply vendor patches</t>
        </is>
      </c>
      <c r="P493" s="187" t="inlineStr">
        <is>
          <t>See CVE details</t>
        </is>
      </c>
      <c r="Q493" s="187" t="inlineStr">
        <is>
          <t>P4</t>
        </is>
      </c>
      <c r="R493" s="187" t="inlineStr">
        <is>
          <t>📅 Schedule patch deployment within 30 days | 🔍 Monitor for exploitation attempts</t>
        </is>
      </c>
      <c r="S493" s="187" t="inlineStr">
        <is>
          <t>CVE - IP enrichment n/a</t>
        </is>
      </c>
      <c r="T493" s="187" t="n">
        <v>0</v>
      </c>
      <c r="U493" s="187" t="n">
        <v>0</v>
      </c>
      <c r="V493" s="187" t="inlineStr">
        <is>
          <t>T1190:Exploit Public-Facing Application</t>
        </is>
      </c>
      <c r="W493" s="187" t="n">
        <v>1</v>
      </c>
      <c r="X493" s="187" t="inlineStr">
        <is>
          <t>LOW (40%)</t>
        </is>
      </c>
      <c r="Y493" s="187" t="inlineStr">
        <is>
          <t>UNLIKELY</t>
        </is>
      </c>
      <c r="Z493" s="187" t="inlineStr">
        <is>
          <t>CHECK_VENDOR</t>
        </is>
      </c>
      <c r="AA493" s="187" t="inlineStr">
        <is>
          <t>https://nvd.nist.gov/vuln/detail/CVE-2026-27324</t>
        </is>
      </c>
      <c r="AB493" s="187" t="inlineStr">
        <is>
          <t>NONE</t>
        </is>
      </c>
      <c r="AC493" s="187" t="n">
        <v>0</v>
      </c>
      <c r="AD493" s="187" t="inlineStr"/>
    </row>
    <row r="494">
      <c r="A494" s="187" t="inlineStr">
        <is>
          <t>CVE</t>
        </is>
      </c>
      <c r="B494" s="187" t="inlineStr">
        <is>
          <t>CVE-2026-27325</t>
        </is>
      </c>
      <c r="C494" s="187" t="inlineStr">
        <is>
          <t>Rejected reason: Not used</t>
        </is>
      </c>
      <c r="D494" s="187" t="n">
        <v>5</v>
      </c>
      <c r="E494" s="187" t="inlineStr">
        <is>
          <t>MEDIUM</t>
        </is>
      </c>
      <c r="F494" s="187" t="n">
        <v>2</v>
      </c>
      <c r="G494" s="187" t="n">
        <v>2</v>
      </c>
      <c r="H494" s="187" t="inlineStr">
        <is>
          <t>MEDIUM</t>
        </is>
      </c>
      <c r="I494" s="187" t="n">
        <v>9</v>
      </c>
      <c r="J494" s="187" t="inlineStr">
        <is>
          <t>NO</t>
        </is>
      </c>
      <c r="K494" s="187" t="inlineStr">
        <is>
          <t>https://nvd.nist.gov/vuln/detail/CVE-2026-27325</t>
        </is>
      </c>
      <c r="L494" s="187" t="inlineStr">
        <is>
          <t>2026-02-26 00:15</t>
        </is>
      </c>
      <c r="M494" s="187" t="inlineStr">
        <is>
          <t>CHECK_VENDOR</t>
        </is>
      </c>
      <c r="N494" s="187" t="inlineStr">
        <is>
          <t>See NVD references</t>
        </is>
      </c>
      <c r="O494" s="187" t="inlineStr">
        <is>
          <t>Apply vendor patches</t>
        </is>
      </c>
      <c r="P494" s="187" t="inlineStr">
        <is>
          <t>See CVE details</t>
        </is>
      </c>
      <c r="Q494" s="187" t="inlineStr">
        <is>
          <t>P4</t>
        </is>
      </c>
      <c r="R494" s="187" t="inlineStr">
        <is>
          <t>📅 Schedule patch deployment within 30 days | 🔍 Monitor for exploitation attempts</t>
        </is>
      </c>
      <c r="S494" s="187" t="inlineStr">
        <is>
          <t>CVE - IP enrichment n/a</t>
        </is>
      </c>
      <c r="T494" s="187" t="n">
        <v>0</v>
      </c>
      <c r="U494" s="187" t="n">
        <v>0</v>
      </c>
      <c r="V494" s="187" t="inlineStr">
        <is>
          <t>T1190:Exploit Public-Facing Application</t>
        </is>
      </c>
      <c r="W494" s="187" t="n">
        <v>1</v>
      </c>
      <c r="X494" s="187" t="inlineStr">
        <is>
          <t>LOW (40%)</t>
        </is>
      </c>
      <c r="Y494" s="187" t="inlineStr">
        <is>
          <t>UNLIKELY</t>
        </is>
      </c>
      <c r="Z494" s="187" t="inlineStr">
        <is>
          <t>CHECK_VENDOR</t>
        </is>
      </c>
      <c r="AA494" s="187" t="inlineStr">
        <is>
          <t>https://nvd.nist.gov/vuln/detail/CVE-2026-27325</t>
        </is>
      </c>
      <c r="AB494" s="187" t="inlineStr">
        <is>
          <t>NONE</t>
        </is>
      </c>
      <c r="AC494" s="187" t="n">
        <v>0</v>
      </c>
      <c r="AD494" s="187" t="inlineStr"/>
    </row>
    <row r="495">
      <c r="A495" s="187" t="inlineStr">
        <is>
          <t>CVE</t>
        </is>
      </c>
      <c r="B495" s="187" t="inlineStr">
        <is>
          <t>CVE-2026-2739</t>
        </is>
      </c>
      <c r="C495" s="187" t="inlineStr">
        <is>
          <t>This affects versions of the package bn.js before 5.2.3. Calling maskn(0) on any BN instance corrupts the internal state, causing toString(), divmod(), and other methods to enter an infinite loop, hanging the process indefinitely.</t>
        </is>
      </c>
      <c r="D495" s="187" t="n">
        <v>5.3</v>
      </c>
      <c r="E495" s="187" t="inlineStr">
        <is>
          <t>MEDIUM</t>
        </is>
      </c>
      <c r="F495" s="187" t="n">
        <v>2</v>
      </c>
      <c r="G495" s="187" t="n">
        <v>2</v>
      </c>
      <c r="H495" s="187" t="inlineStr">
        <is>
          <t>MEDIUM</t>
        </is>
      </c>
      <c r="I495" s="187" t="n">
        <v>9.300000000000001</v>
      </c>
      <c r="J495" s="187" t="inlineStr">
        <is>
          <t>NO</t>
        </is>
      </c>
      <c r="K495" s="187" t="inlineStr">
        <is>
          <t>https://nvd.nist.gov/vuln/detail/CVE-2026-2739</t>
        </is>
      </c>
      <c r="L495" s="187" t="inlineStr">
        <is>
          <t>2026-02-26 00:15</t>
        </is>
      </c>
      <c r="M495" s="187" t="inlineStr">
        <is>
          <t>CHECK_VENDOR</t>
        </is>
      </c>
      <c r="N495" s="187" t="inlineStr">
        <is>
          <t>See NVD references</t>
        </is>
      </c>
      <c r="O495" s="187" t="inlineStr">
        <is>
          <t>Apply vendor patches</t>
        </is>
      </c>
      <c r="P495" s="187" t="inlineStr">
        <is>
          <t>See CVE details</t>
        </is>
      </c>
      <c r="Q495" s="187" t="inlineStr">
        <is>
          <t>P4</t>
        </is>
      </c>
      <c r="R495" s="187" t="inlineStr">
        <is>
          <t>📅 Schedule patch deployment within 30 days | 🔍 Monitor for exploitation attempts</t>
        </is>
      </c>
      <c r="S495" s="187" t="inlineStr">
        <is>
          <t>CVE - IP enrichment n/a</t>
        </is>
      </c>
      <c r="T495" s="187" t="n">
        <v>0</v>
      </c>
      <c r="U495" s="187" t="n">
        <v>0</v>
      </c>
      <c r="V495" s="187" t="inlineStr">
        <is>
          <t>T1190:Exploit Public-Facing Application</t>
        </is>
      </c>
      <c r="W495" s="187" t="n">
        <v>1</v>
      </c>
      <c r="X495" s="187" t="inlineStr">
        <is>
          <t>LOW (40%)</t>
        </is>
      </c>
      <c r="Y495" s="187" t="inlineStr">
        <is>
          <t>UNLIKELY</t>
        </is>
      </c>
      <c r="Z495" s="187" t="inlineStr">
        <is>
          <t>CHECK_VENDOR</t>
        </is>
      </c>
      <c r="AA495" s="187" t="inlineStr">
        <is>
          <t>https://nvd.nist.gov/vuln/detail/CVE-2026-2739</t>
        </is>
      </c>
      <c r="AB495" s="187" t="inlineStr">
        <is>
          <t>NONE</t>
        </is>
      </c>
      <c r="AC495" s="187" t="n">
        <v>0</v>
      </c>
      <c r="AD495" s="187" t="inlineStr"/>
    </row>
    <row r="496">
      <c r="A496" s="187" t="inlineStr">
        <is>
          <t>CVE</t>
        </is>
      </c>
      <c r="B496" s="187" t="inlineStr">
        <is>
          <t>CVE-2026-2822</t>
        </is>
      </c>
      <c r="C496" s="187" t="inlineStr">
        <is>
          <t>A security vulnerability has been detected in JeecgBoot up to 3.9.1. The affected element is an unknown function of the file /jeecgboot/sys/dict/loadDict/airag_app,1,create_by of the component Backend Interface. Such manipulation of the argument keyword leads to sql injection. The attack can be executed remotely. The exploit has been disclosed publicly and may be used.</t>
        </is>
      </c>
      <c r="D496" s="187" t="n">
        <v>6.3</v>
      </c>
      <c r="E496" s="187" t="inlineStr">
        <is>
          <t>MEDIUM</t>
        </is>
      </c>
      <c r="F496" s="187" t="n">
        <v>2</v>
      </c>
      <c r="G496" s="187" t="n">
        <v>2</v>
      </c>
      <c r="H496" s="187" t="inlineStr">
        <is>
          <t>MEDIUM</t>
        </is>
      </c>
      <c r="I496" s="187" t="n">
        <v>10.3</v>
      </c>
      <c r="J496" s="187" t="inlineStr">
        <is>
          <t>NO</t>
        </is>
      </c>
      <c r="K496" s="187" t="inlineStr">
        <is>
          <t>https://nvd.nist.gov/vuln/detail/CVE-2026-2822</t>
        </is>
      </c>
      <c r="L496" s="187" t="inlineStr">
        <is>
          <t>2026-02-26 00:15</t>
        </is>
      </c>
      <c r="M496" s="187" t="inlineStr">
        <is>
          <t>CHECK_VENDOR</t>
        </is>
      </c>
      <c r="N496" s="187" t="inlineStr">
        <is>
          <t>See NVD references</t>
        </is>
      </c>
      <c r="O496" s="187" t="inlineStr">
        <is>
          <t>Apply vendor patches</t>
        </is>
      </c>
      <c r="P496" s="187" t="inlineStr">
        <is>
          <t>jeecg jeecg_boot *</t>
        </is>
      </c>
      <c r="Q496" s="187" t="inlineStr">
        <is>
          <t>P4</t>
        </is>
      </c>
      <c r="R496" s="187" t="inlineStr">
        <is>
          <t>📅 Schedule patch deployment within 30 days | 🔍 Monitor for exploitation attempts</t>
        </is>
      </c>
      <c r="S496" s="187" t="inlineStr">
        <is>
          <t>CVE - IP enrichment n/a</t>
        </is>
      </c>
      <c r="T496" s="187" t="n">
        <v>0</v>
      </c>
      <c r="U496" s="187" t="n">
        <v>0</v>
      </c>
      <c r="V496" s="187" t="inlineStr">
        <is>
          <t>T1190:Exploit Public-Facing Application</t>
        </is>
      </c>
      <c r="W496" s="187" t="n">
        <v>1</v>
      </c>
      <c r="X496" s="187" t="inlineStr">
        <is>
          <t>LOW (40%)</t>
        </is>
      </c>
      <c r="Y496" s="187" t="inlineStr">
        <is>
          <t>UNLIKELY</t>
        </is>
      </c>
      <c r="Z496" s="187" t="inlineStr">
        <is>
          <t>CHECK_VENDOR</t>
        </is>
      </c>
      <c r="AA496" s="187" t="inlineStr">
        <is>
          <t>https://nvd.nist.gov/vuln/detail/CVE-2026-2822</t>
        </is>
      </c>
      <c r="AB496" s="187" t="inlineStr">
        <is>
          <t>NONE</t>
        </is>
      </c>
      <c r="AC496" s="187" t="n">
        <v>0</v>
      </c>
      <c r="AD496" s="187" t="inlineStr"/>
    </row>
    <row r="497">
      <c r="A497" s="187" t="inlineStr">
        <is>
          <t>CVE</t>
        </is>
      </c>
      <c r="B497" s="187" t="inlineStr">
        <is>
          <t>CVE-2026-2823</t>
        </is>
      </c>
      <c r="C497" s="187" t="inlineStr">
        <is>
          <t>A vulnerability was detected in Comfast CF-E7 2.6.0.9. The impacted element is the function sub_41ACCC of the file /cgi-bin/mbox-config?method=SET&amp;section=ntp_timezone of the component webmggnt. Performing a manipulation of the argument timestr results in command injection. The attack is possible to be carried out remotely. The exploit is now public and may be used. The vendor was contacted early about this disclosure but did not respond in any way.</t>
        </is>
      </c>
      <c r="D497" s="187" t="n">
        <v>6.3</v>
      </c>
      <c r="E497" s="187" t="inlineStr">
        <is>
          <t>MEDIUM</t>
        </is>
      </c>
      <c r="F497" s="187" t="n">
        <v>2</v>
      </c>
      <c r="G497" s="187" t="n">
        <v>2</v>
      </c>
      <c r="H497" s="187" t="inlineStr">
        <is>
          <t>MEDIUM</t>
        </is>
      </c>
      <c r="I497" s="187" t="n">
        <v>10.3</v>
      </c>
      <c r="J497" s="187" t="inlineStr">
        <is>
          <t>NO</t>
        </is>
      </c>
      <c r="K497" s="187" t="inlineStr">
        <is>
          <t>https://nvd.nist.gov/vuln/detail/CVE-2026-2823</t>
        </is>
      </c>
      <c r="L497" s="187" t="inlineStr">
        <is>
          <t>2026-02-26 00:15</t>
        </is>
      </c>
      <c r="M497" s="187" t="inlineStr">
        <is>
          <t>CHECK_VENDOR</t>
        </is>
      </c>
      <c r="N497" s="187" t="inlineStr">
        <is>
          <t>See NVD references</t>
        </is>
      </c>
      <c r="O497" s="187" t="inlineStr">
        <is>
          <t>Apply vendor patches</t>
        </is>
      </c>
      <c r="P497" s="187" t="inlineStr">
        <is>
          <t>comfast cf-e7_firmware 2.6.0.9 | comfast cf-e7 -</t>
        </is>
      </c>
      <c r="Q497" s="187" t="inlineStr">
        <is>
          <t>P4</t>
        </is>
      </c>
      <c r="R497" s="187" t="inlineStr">
        <is>
          <t>📅 Schedule patch deployment within 30 days | 🔍 Monitor for exploitation attempts</t>
        </is>
      </c>
      <c r="S497" s="187" t="inlineStr">
        <is>
          <t>CVE - IP enrichment n/a</t>
        </is>
      </c>
      <c r="T497" s="187" t="n">
        <v>0</v>
      </c>
      <c r="U497" s="187" t="n">
        <v>0</v>
      </c>
      <c r="V497" s="187" t="inlineStr">
        <is>
          <t>T1059:Command and Scripting Interpreter</t>
        </is>
      </c>
      <c r="W497" s="187" t="n">
        <v>1</v>
      </c>
      <c r="X497" s="187" t="inlineStr">
        <is>
          <t>LOW (40%)</t>
        </is>
      </c>
      <c r="Y497" s="187" t="inlineStr">
        <is>
          <t>UNLIKELY</t>
        </is>
      </c>
      <c r="Z497" s="187" t="inlineStr">
        <is>
          <t>CHECK_VENDOR</t>
        </is>
      </c>
      <c r="AA497" s="187" t="inlineStr">
        <is>
          <t>https://nvd.nist.gov/vuln/detail/CVE-2026-2823</t>
        </is>
      </c>
      <c r="AB497" s="187" t="inlineStr">
        <is>
          <t>NONE</t>
        </is>
      </c>
      <c r="AC497" s="187" t="n">
        <v>0</v>
      </c>
      <c r="AD497" s="187" t="inlineStr"/>
    </row>
    <row r="498">
      <c r="A498" s="187" t="inlineStr">
        <is>
          <t>CVE</t>
        </is>
      </c>
      <c r="B498" s="187" t="inlineStr">
        <is>
          <t>CVE-2026-2824</t>
        </is>
      </c>
      <c r="C498" s="187" t="inlineStr">
        <is>
          <t>A flaw has been found in Comfast CF-E7 2.6.0.9. This affects the function sub_441CF4 of the file /cgi-bin/mbox-config?method=SET&amp;section=ping_config of the component webmggnt. Executing a manipulation of the argument destination can lead to command injection. The attack may be performed from remote. The exploit has been published and may be used. The vendor was contacted early about this disclosure but did not respond in any way.</t>
        </is>
      </c>
      <c r="D498" s="187" t="n">
        <v>6.3</v>
      </c>
      <c r="E498" s="187" t="inlineStr">
        <is>
          <t>MEDIUM</t>
        </is>
      </c>
      <c r="F498" s="187" t="n">
        <v>2</v>
      </c>
      <c r="G498" s="187" t="n">
        <v>2</v>
      </c>
      <c r="H498" s="187" t="inlineStr">
        <is>
          <t>MEDIUM</t>
        </is>
      </c>
      <c r="I498" s="187" t="n">
        <v>10.3</v>
      </c>
      <c r="J498" s="187" t="inlineStr">
        <is>
          <t>NO</t>
        </is>
      </c>
      <c r="K498" s="187" t="inlineStr">
        <is>
          <t>https://nvd.nist.gov/vuln/detail/CVE-2026-2824</t>
        </is>
      </c>
      <c r="L498" s="187" t="inlineStr">
        <is>
          <t>2026-02-26 00:15</t>
        </is>
      </c>
      <c r="M498" s="187" t="inlineStr">
        <is>
          <t>CHECK_VENDOR</t>
        </is>
      </c>
      <c r="N498" s="187" t="inlineStr">
        <is>
          <t>See NVD references</t>
        </is>
      </c>
      <c r="O498" s="187" t="inlineStr">
        <is>
          <t>Apply vendor patches</t>
        </is>
      </c>
      <c r="P498" s="187" t="inlineStr">
        <is>
          <t>comfast cf-e7_firmware 2.6.0.9 | comfast cf-e7 -</t>
        </is>
      </c>
      <c r="Q498" s="187" t="inlineStr">
        <is>
          <t>P4</t>
        </is>
      </c>
      <c r="R498" s="187" t="inlineStr">
        <is>
          <t>📅 Schedule patch deployment within 30 days | 🔍 Monitor for exploitation attempts</t>
        </is>
      </c>
      <c r="S498" s="187" t="inlineStr">
        <is>
          <t>CVE - IP enrichment n/a</t>
        </is>
      </c>
      <c r="T498" s="187" t="n">
        <v>0</v>
      </c>
      <c r="U498" s="187" t="n">
        <v>0</v>
      </c>
      <c r="V498" s="187" t="inlineStr">
        <is>
          <t>T1059:Command and Scripting Interpreter</t>
        </is>
      </c>
      <c r="W498" s="187" t="n">
        <v>1</v>
      </c>
      <c r="X498" s="187" t="inlineStr">
        <is>
          <t>LOW (40%)</t>
        </is>
      </c>
      <c r="Y498" s="187" t="inlineStr">
        <is>
          <t>UNLIKELY</t>
        </is>
      </c>
      <c r="Z498" s="187" t="inlineStr">
        <is>
          <t>CHECK_VENDOR</t>
        </is>
      </c>
      <c r="AA498" s="187" t="inlineStr">
        <is>
          <t>https://nvd.nist.gov/vuln/detail/CVE-2026-2824</t>
        </is>
      </c>
      <c r="AB498" s="187" t="inlineStr">
        <is>
          <t>NONE</t>
        </is>
      </c>
      <c r="AC498" s="187" t="n">
        <v>0</v>
      </c>
      <c r="AD498" s="187" t="inlineStr"/>
    </row>
    <row r="499">
      <c r="A499" s="190" t="inlineStr">
        <is>
          <t>CVE</t>
        </is>
      </c>
      <c r="B499" s="190" t="inlineStr">
        <is>
          <t>CVE-2026-2825</t>
        </is>
      </c>
      <c r="C499" s="190" t="inlineStr">
        <is>
          <t>A vulnerability has been found in rachelos WeRSS we-mp-rss up to 1.4.8. This impacts the function fix_html of the file tools/fix.py of the component Article Module. The manipulation leads to cross site scripting. It is possible to initiate the attack remotely. The exploit has been disclosed to the public and may be used.</t>
        </is>
      </c>
      <c r="D499" s="190" t="n">
        <v>3.5</v>
      </c>
      <c r="E499" s="190" t="inlineStr">
        <is>
          <t>LOW</t>
        </is>
      </c>
      <c r="F499" s="190" t="n">
        <v>2</v>
      </c>
      <c r="G499" s="190" t="n">
        <v>1</v>
      </c>
      <c r="H499" s="190" t="inlineStr">
        <is>
          <t>LOW</t>
        </is>
      </c>
      <c r="I499" s="190" t="n">
        <v>5.5</v>
      </c>
      <c r="J499" s="190" t="inlineStr">
        <is>
          <t>NO</t>
        </is>
      </c>
      <c r="K499" s="190" t="inlineStr">
        <is>
          <t>https://nvd.nist.gov/vuln/detail/CVE-2026-2825</t>
        </is>
      </c>
      <c r="L499" s="190" t="inlineStr">
        <is>
          <t>2026-02-26 00:15</t>
        </is>
      </c>
      <c r="M499" s="190" t="inlineStr">
        <is>
          <t>CHECK_VENDOR</t>
        </is>
      </c>
      <c r="N499" s="190" t="inlineStr">
        <is>
          <t>See NVD references</t>
        </is>
      </c>
      <c r="O499" s="190" t="inlineStr">
        <is>
          <t>Apply vendor patches</t>
        </is>
      </c>
      <c r="P499" s="190" t="inlineStr">
        <is>
          <t>See CVE details</t>
        </is>
      </c>
      <c r="Q499" s="190" t="inlineStr">
        <is>
          <t>P4</t>
        </is>
      </c>
      <c r="R499" s="190" t="inlineStr">
        <is>
          <t>📅 Schedule patch deployment within 30 days | 🔍 Monitor for exploitation attempts</t>
        </is>
      </c>
      <c r="S499" s="190" t="inlineStr">
        <is>
          <t>CVE - IP enrichment n/a</t>
        </is>
      </c>
      <c r="T499" s="190" t="n">
        <v>0</v>
      </c>
      <c r="U499" s="190" t="n">
        <v>0</v>
      </c>
      <c r="V499" s="190" t="inlineStr">
        <is>
          <t>T1189:Drive-by Compromise</t>
        </is>
      </c>
      <c r="W499" s="190" t="n">
        <v>1</v>
      </c>
      <c r="X499" s="190" t="inlineStr">
        <is>
          <t>LOW (40%)</t>
        </is>
      </c>
      <c r="Y499" s="190" t="inlineStr">
        <is>
          <t>UNLIKELY</t>
        </is>
      </c>
      <c r="Z499" s="190" t="inlineStr">
        <is>
          <t>CHECK_VENDOR</t>
        </is>
      </c>
      <c r="AA499" s="190" t="inlineStr">
        <is>
          <t>https://nvd.nist.gov/vuln/detail/CVE-2026-2825</t>
        </is>
      </c>
      <c r="AB499" s="190" t="inlineStr">
        <is>
          <t>NONE</t>
        </is>
      </c>
      <c r="AC499" s="190" t="n">
        <v>0</v>
      </c>
      <c r="AD499" s="190" t="inlineStr"/>
    </row>
    <row r="500">
      <c r="A500" s="187" t="inlineStr">
        <is>
          <t>CVE</t>
        </is>
      </c>
      <c r="B500" s="187" t="inlineStr">
        <is>
          <t>CVE-2025-59819</t>
        </is>
      </c>
      <c r="C500" s="187" t="inlineStr">
        <is>
          <t>This vulnerability allows authenticated attackers to read an arbitrary file by changing a filepath parameter into an internal system path.</t>
        </is>
      </c>
      <c r="D500" s="187" t="n">
        <v>6.5</v>
      </c>
      <c r="E500" s="187" t="inlineStr">
        <is>
          <t>MEDIUM</t>
        </is>
      </c>
      <c r="F500" s="187" t="n">
        <v>2</v>
      </c>
      <c r="G500" s="187" t="n">
        <v>2</v>
      </c>
      <c r="H500" s="187" t="inlineStr">
        <is>
          <t>MEDIUM</t>
        </is>
      </c>
      <c r="I500" s="187" t="n">
        <v>10.5</v>
      </c>
      <c r="J500" s="187" t="inlineStr">
        <is>
          <t>NO</t>
        </is>
      </c>
      <c r="K500" s="187" t="inlineStr">
        <is>
          <t>https://nvd.nist.gov/vuln/detail/CVE-2025-59819</t>
        </is>
      </c>
      <c r="L500" s="187" t="inlineStr">
        <is>
          <t>2026-02-26 00:15</t>
        </is>
      </c>
      <c r="M500" s="187" t="inlineStr">
        <is>
          <t>CHECK_VENDOR</t>
        </is>
      </c>
      <c r="N500" s="187" t="inlineStr">
        <is>
          <t>See NVD references</t>
        </is>
      </c>
      <c r="O500" s="187" t="inlineStr">
        <is>
          <t>Apply vendor patches</t>
        </is>
      </c>
      <c r="P500" s="187" t="inlineStr">
        <is>
          <t>See CVE details</t>
        </is>
      </c>
      <c r="Q500" s="187" t="inlineStr">
        <is>
          <t>P4</t>
        </is>
      </c>
      <c r="R500" s="187" t="inlineStr">
        <is>
          <t>📅 Schedule patch deployment within 30 days | 🔍 Monitor for exploitation attempts</t>
        </is>
      </c>
      <c r="S500" s="187" t="inlineStr">
        <is>
          <t>CVE - IP enrichment n/a</t>
        </is>
      </c>
      <c r="T500" s="187" t="n">
        <v>0</v>
      </c>
      <c r="U500" s="187" t="n">
        <v>0</v>
      </c>
      <c r="V500" s="187" t="inlineStr">
        <is>
          <t>T1083:File and Directory Discovery</t>
        </is>
      </c>
      <c r="W500" s="187" t="n">
        <v>1</v>
      </c>
      <c r="X500" s="187" t="inlineStr">
        <is>
          <t>LOW (40%)</t>
        </is>
      </c>
      <c r="Y500" s="187" t="inlineStr">
        <is>
          <t>UNLIKELY</t>
        </is>
      </c>
      <c r="Z500" s="187" t="inlineStr">
        <is>
          <t>CHECK_VENDOR</t>
        </is>
      </c>
      <c r="AA500" s="187" t="inlineStr">
        <is>
          <t>https://nvd.nist.gov/vuln/detail/CVE-2025-59819</t>
        </is>
      </c>
      <c r="AB500" s="187" t="inlineStr">
        <is>
          <t>NONE</t>
        </is>
      </c>
      <c r="AC500" s="187" t="n">
        <v>0</v>
      </c>
      <c r="AD500" s="187" t="inlineStr"/>
    </row>
    <row r="501">
      <c r="A501" s="187" t="inlineStr">
        <is>
          <t>CVE</t>
        </is>
      </c>
      <c r="B501" s="187" t="inlineStr">
        <is>
          <t>CVE-2026-26370</t>
        </is>
      </c>
      <c r="C501" s="187" t="inlineStr">
        <is>
          <t>WordPress Plugin "Survey Maker" versions 5.1.7.7 and prior contain a cross-site scripting vulnerability. If this vulnerability is exploited, an arbitrary script may be executed in the user's web browser.</t>
        </is>
      </c>
      <c r="D501" s="187" t="n">
        <v>6.1</v>
      </c>
      <c r="E501" s="187" t="inlineStr">
        <is>
          <t>MEDIUM</t>
        </is>
      </c>
      <c r="F501" s="187" t="n">
        <v>2</v>
      </c>
      <c r="G501" s="187" t="n">
        <v>2</v>
      </c>
      <c r="H501" s="187" t="inlineStr">
        <is>
          <t>MEDIUM</t>
        </is>
      </c>
      <c r="I501" s="187" t="n">
        <v>10.1</v>
      </c>
      <c r="J501" s="187" t="inlineStr">
        <is>
          <t>NO</t>
        </is>
      </c>
      <c r="K501" s="187" t="inlineStr">
        <is>
          <t>https://nvd.nist.gov/vuln/detail/CVE-2026-26370</t>
        </is>
      </c>
      <c r="L501" s="187" t="inlineStr">
        <is>
          <t>2026-02-26 00:15</t>
        </is>
      </c>
      <c r="M501" s="187" t="inlineStr">
        <is>
          <t>CHECK_VENDOR</t>
        </is>
      </c>
      <c r="N501" s="187" t="inlineStr">
        <is>
          <t>See NVD references</t>
        </is>
      </c>
      <c r="O501" s="187" t="inlineStr">
        <is>
          <t>Apply vendor patches</t>
        </is>
      </c>
      <c r="P501" s="187" t="inlineStr">
        <is>
          <t>See CVE details</t>
        </is>
      </c>
      <c r="Q501" s="187" t="inlineStr">
        <is>
          <t>P4</t>
        </is>
      </c>
      <c r="R501" s="187" t="inlineStr">
        <is>
          <t>📅 Schedule patch deployment within 30 days | 🔍 Monitor for exploitation attempts</t>
        </is>
      </c>
      <c r="S501" s="187" t="inlineStr">
        <is>
          <t>CVE - IP enrichment n/a</t>
        </is>
      </c>
      <c r="T501" s="187" t="n">
        <v>0</v>
      </c>
      <c r="U501" s="187" t="n">
        <v>0</v>
      </c>
      <c r="V501" s="187" t="inlineStr">
        <is>
          <t>T1189:Drive-by Compromise</t>
        </is>
      </c>
      <c r="W501" s="187" t="n">
        <v>1</v>
      </c>
      <c r="X501" s="187" t="inlineStr">
        <is>
          <t>LOW (40%)</t>
        </is>
      </c>
      <c r="Y501" s="187" t="inlineStr">
        <is>
          <t>UNLIKELY</t>
        </is>
      </c>
      <c r="Z501" s="187" t="inlineStr">
        <is>
          <t>CHECK_VENDOR</t>
        </is>
      </c>
      <c r="AA501" s="187" t="inlineStr">
        <is>
          <t>https://nvd.nist.gov/vuln/detail/CVE-2026-26370</t>
        </is>
      </c>
      <c r="AB501" s="187" t="inlineStr">
        <is>
          <t>NONE</t>
        </is>
      </c>
      <c r="AC501" s="187" t="n">
        <v>0</v>
      </c>
      <c r="AD501" s="187" t="inlineStr"/>
    </row>
    <row r="502">
      <c r="A502" s="188" t="inlineStr">
        <is>
          <t>CVE</t>
        </is>
      </c>
      <c r="B502" s="188" t="inlineStr">
        <is>
          <t>CVE-2026-26050</t>
        </is>
      </c>
      <c r="C502" s="188" t="inlineStr">
        <is>
          <t>The installer for ジョブログ集計/分析ソフトウェア RICOHジョブログ集計ツール versions prior to Ver.1.3.7 contains an issue with the DLL search path, which may lead to insecurely loading Dynamic Link Libraries. As a result, arbitrary code may be executed with administrative privileges.</t>
        </is>
      </c>
      <c r="D502" s="188" t="n">
        <v>7.8</v>
      </c>
      <c r="E502" s="188" t="inlineStr">
        <is>
          <t>HIGH</t>
        </is>
      </c>
      <c r="F502" s="188" t="n">
        <v>2</v>
      </c>
      <c r="G502" s="188" t="n">
        <v>3</v>
      </c>
      <c r="H502" s="188" t="inlineStr">
        <is>
          <t>HIGH</t>
        </is>
      </c>
      <c r="I502" s="188" t="n">
        <v>13.8</v>
      </c>
      <c r="J502" s="188" t="inlineStr">
        <is>
          <t>NO</t>
        </is>
      </c>
      <c r="K502" s="188" t="inlineStr">
        <is>
          <t>https://nvd.nist.gov/vuln/detail/CVE-2026-26050</t>
        </is>
      </c>
      <c r="L502" s="188" t="inlineStr">
        <is>
          <t>2026-02-26 00:15</t>
        </is>
      </c>
      <c r="M502" s="188" t="inlineStr">
        <is>
          <t>CHECK_VENDOR</t>
        </is>
      </c>
      <c r="N502" s="188" t="inlineStr">
        <is>
          <t>See NVD references</t>
        </is>
      </c>
      <c r="O502" s="188" t="inlineStr">
        <is>
          <t>Apply vendor patches</t>
        </is>
      </c>
      <c r="P502" s="188" t="inlineStr">
        <is>
          <t>See CVE details</t>
        </is>
      </c>
      <c r="Q502" s="188" t="inlineStr">
        <is>
          <t>P3</t>
        </is>
      </c>
      <c r="R502" s="188" t="inlineStr">
        <is>
          <t>🚨 URGENT: Apply vendor patches immediately | 🔒 Isolate affected systems if patch unavailable | 🛡️ Enable additional monitoring/IDS rules</t>
        </is>
      </c>
      <c r="S502" s="188" t="inlineStr">
        <is>
          <t>CVE - IP enrichment n/a</t>
        </is>
      </c>
      <c r="T502" s="188" t="n">
        <v>0</v>
      </c>
      <c r="U502" s="188" t="n">
        <v>0</v>
      </c>
      <c r="V502" s="188" t="inlineStr">
        <is>
          <t>T1203:Exploitation for Client Execution</t>
        </is>
      </c>
      <c r="W502" s="188" t="n">
        <v>1</v>
      </c>
      <c r="X502" s="188" t="inlineStr">
        <is>
          <t>LOW (40%)</t>
        </is>
      </c>
      <c r="Y502" s="188" t="inlineStr">
        <is>
          <t>UNLIKELY</t>
        </is>
      </c>
      <c r="Z502" s="188" t="inlineStr">
        <is>
          <t>CHECK_VENDOR</t>
        </is>
      </c>
      <c r="AA502" s="188" t="inlineStr">
        <is>
          <t>https://nvd.nist.gov/vuln/detail/CVE-2026-26050</t>
        </is>
      </c>
      <c r="AB502" s="188" t="inlineStr">
        <is>
          <t>NONE</t>
        </is>
      </c>
      <c r="AC502" s="188" t="n">
        <v>0</v>
      </c>
      <c r="AD502" s="188" t="inlineStr"/>
    </row>
    <row r="503">
      <c r="A503" s="187" t="inlineStr">
        <is>
          <t>CVE</t>
        </is>
      </c>
      <c r="B503" s="187" t="inlineStr">
        <is>
          <t>CVE-2026-21620</t>
        </is>
      </c>
      <c r="C503" s="187" t="inlineStr">
        <is>
          <t>Relative Path Traversal, Improper Isolation or Compartmentalization vulnerability in erlang otp erlang/otp (tftp_file modules), erlang otp inets (tftp_file modules), erlang otp tftp (tftp_file modules) allows Relative Path Traversal. This vulnerability is associated with program files lib/tftp/src/tftp_file.erl, src/tftp_file.erl.
This issue affects otp: from 17.0, from 07b8f441ca711f9812fad9e9115bab3c3aa92f79; otp: from 5.10 before 7.0; otp: from 1.0.</t>
        </is>
      </c>
      <c r="D503" s="187" t="n">
        <v>5</v>
      </c>
      <c r="E503" s="187" t="inlineStr">
        <is>
          <t>MEDIUM</t>
        </is>
      </c>
      <c r="F503" s="187" t="n">
        <v>2</v>
      </c>
      <c r="G503" s="187" t="n">
        <v>2</v>
      </c>
      <c r="H503" s="187" t="inlineStr">
        <is>
          <t>MEDIUM</t>
        </is>
      </c>
      <c r="I503" s="187" t="n">
        <v>9</v>
      </c>
      <c r="J503" s="187" t="inlineStr">
        <is>
          <t>NO</t>
        </is>
      </c>
      <c r="K503" s="187" t="inlineStr">
        <is>
          <t>https://nvd.nist.gov/vuln/detail/CVE-2026-21620</t>
        </is>
      </c>
      <c r="L503" s="187" t="inlineStr">
        <is>
          <t>2026-02-26 00:15</t>
        </is>
      </c>
      <c r="M503" s="187" t="inlineStr">
        <is>
          <t>CHECK_VENDOR</t>
        </is>
      </c>
      <c r="N503" s="187" t="inlineStr">
        <is>
          <t>See NVD references</t>
        </is>
      </c>
      <c r="O503" s="187" t="inlineStr">
        <is>
          <t>Apply vendor patches</t>
        </is>
      </c>
      <c r="P503" s="187" t="inlineStr">
        <is>
          <t>See CVE details</t>
        </is>
      </c>
      <c r="Q503" s="187" t="inlineStr">
        <is>
          <t>P4</t>
        </is>
      </c>
      <c r="R503" s="187" t="inlineStr">
        <is>
          <t>📅 Schedule patch deployment within 30 days | 🔍 Monitor for exploitation attempts</t>
        </is>
      </c>
      <c r="S503" s="187" t="inlineStr">
        <is>
          <t>CVE - IP enrichment n/a</t>
        </is>
      </c>
      <c r="T503" s="187" t="n">
        <v>0.0002</v>
      </c>
      <c r="U503" s="187" t="n">
        <v>0.0548</v>
      </c>
      <c r="V503" s="187" t="inlineStr">
        <is>
          <t>T1083:File and Directory Discovery</t>
        </is>
      </c>
      <c r="W503" s="187" t="n">
        <v>1</v>
      </c>
      <c r="X503" s="187" t="inlineStr">
        <is>
          <t>LOW (40%)</t>
        </is>
      </c>
      <c r="Y503" s="187" t="inlineStr">
        <is>
          <t>UNLIKELY</t>
        </is>
      </c>
      <c r="Z503" s="187" t="inlineStr">
        <is>
          <t>CHECK_VENDOR</t>
        </is>
      </c>
      <c r="AA503" s="187" t="inlineStr">
        <is>
          <t>https://nvd.nist.gov/vuln/detail/CVE-2026-21620</t>
        </is>
      </c>
      <c r="AB503" s="187" t="inlineStr">
        <is>
          <t>NONE</t>
        </is>
      </c>
      <c r="AC503" s="187" t="n">
        <v>0</v>
      </c>
      <c r="AD503" s="187" t="inlineStr"/>
    </row>
    <row r="504">
      <c r="A504" s="189" t="inlineStr">
        <is>
          <t>CVE</t>
        </is>
      </c>
      <c r="B504" s="189" t="inlineStr">
        <is>
          <t>CVE-2025-10970</t>
        </is>
      </c>
      <c r="C504" s="189" t="inlineStr">
        <is>
          <t>Improper Neutralization of Special Elements used in an SQL Command ('SQL Injection') vulnerability in Kolay Software Inc. Talentics allows Blind SQL Injection.This issue affects Talentics: through 20022026.
NOTE: The vendor was contacted early about this disclosure but did not respond in any way.</t>
        </is>
      </c>
      <c r="D504" s="189" t="n">
        <v>9.800000000000001</v>
      </c>
      <c r="E504" s="189" t="inlineStr">
        <is>
          <t>CRITICAL</t>
        </is>
      </c>
      <c r="F504" s="189" t="n">
        <v>2</v>
      </c>
      <c r="G504" s="189" t="n">
        <v>3</v>
      </c>
      <c r="H504" s="189" t="inlineStr">
        <is>
          <t>HIGH</t>
        </is>
      </c>
      <c r="I504" s="189" t="n">
        <v>15.8</v>
      </c>
      <c r="J504" s="189" t="inlineStr">
        <is>
          <t>NO</t>
        </is>
      </c>
      <c r="K504" s="189" t="inlineStr">
        <is>
          <t>https://nvd.nist.gov/vuln/detail/CVE-2025-10970</t>
        </is>
      </c>
      <c r="L504" s="189" t="inlineStr">
        <is>
          <t>2026-02-26 00:15</t>
        </is>
      </c>
      <c r="M504" s="189" t="inlineStr">
        <is>
          <t>CHECK_VENDOR</t>
        </is>
      </c>
      <c r="N504" s="189" t="inlineStr">
        <is>
          <t>See NVD references</t>
        </is>
      </c>
      <c r="O504" s="189" t="inlineStr">
        <is>
          <t>Apply vendor patches</t>
        </is>
      </c>
      <c r="P504" s="189" t="inlineStr">
        <is>
          <t>See CVE details</t>
        </is>
      </c>
      <c r="Q504" s="189" t="inlineStr">
        <is>
          <t>P3</t>
        </is>
      </c>
      <c r="R504" s="189" t="inlineStr">
        <is>
          <t>🚨 URGENT: Apply vendor patches immediately | 🔒 Isolate affected systems if patch unavailable | 🛡️ Enable additional monitoring/IDS rules</t>
        </is>
      </c>
      <c r="S504" s="189" t="inlineStr">
        <is>
          <t>CVE - IP enrichment n/a</t>
        </is>
      </c>
      <c r="T504" s="189" t="n">
        <v>0</v>
      </c>
      <c r="U504" s="189" t="n">
        <v>0</v>
      </c>
      <c r="V504" s="189" t="inlineStr">
        <is>
          <t>T1190:Exploit Public-Facing Application</t>
        </is>
      </c>
      <c r="W504" s="189" t="n">
        <v>1</v>
      </c>
      <c r="X504" s="189" t="inlineStr">
        <is>
          <t>LOW (40%)</t>
        </is>
      </c>
      <c r="Y504" s="189" t="inlineStr">
        <is>
          <t>UNLIKELY</t>
        </is>
      </c>
      <c r="Z504" s="189" t="inlineStr">
        <is>
          <t>CHECK_VENDOR</t>
        </is>
      </c>
      <c r="AA504" s="189" t="inlineStr">
        <is>
          <t>https://nvd.nist.gov/vuln/detail/CVE-2025-10970</t>
        </is>
      </c>
      <c r="AB504" s="189" t="inlineStr">
        <is>
          <t>NONE</t>
        </is>
      </c>
      <c r="AC504" s="189" t="n">
        <v>0</v>
      </c>
      <c r="AD504" s="189" t="inlineStr"/>
    </row>
    <row r="505">
      <c r="A505" s="187" t="inlineStr">
        <is>
          <t>CVE</t>
        </is>
      </c>
      <c r="B505" s="187" t="inlineStr">
        <is>
          <t>CVE-2026-2486</t>
        </is>
      </c>
      <c r="C505" s="187" t="inlineStr">
        <is>
          <t>The Master Addons For Elementor plugin for WordPress is vulnerable to Stored Cross-Site Scripting via the 'ma_el_bh_table_btn_text' parameter in versions up to, and including, 2.1.1 due to insufficient input sanitization and output escaping. This makes it possible for authenticated attackers, with contributor-level access and above, to inject arbitrary web scripts in pages that will execute whenever a user accesses an injected page.</t>
        </is>
      </c>
      <c r="D505" s="187" t="n">
        <v>6.4</v>
      </c>
      <c r="E505" s="187" t="inlineStr">
        <is>
          <t>MEDIUM</t>
        </is>
      </c>
      <c r="F505" s="187" t="n">
        <v>2</v>
      </c>
      <c r="G505" s="187" t="n">
        <v>2</v>
      </c>
      <c r="H505" s="187" t="inlineStr">
        <is>
          <t>MEDIUM</t>
        </is>
      </c>
      <c r="I505" s="187" t="n">
        <v>10.4</v>
      </c>
      <c r="J505" s="187" t="inlineStr">
        <is>
          <t>NO</t>
        </is>
      </c>
      <c r="K505" s="187" t="inlineStr">
        <is>
          <t>https://nvd.nist.gov/vuln/detail/CVE-2026-2486</t>
        </is>
      </c>
      <c r="L505" s="187" t="inlineStr">
        <is>
          <t>2026-02-26 00:15</t>
        </is>
      </c>
      <c r="M505" s="187" t="inlineStr">
        <is>
          <t>CHECK_VENDOR</t>
        </is>
      </c>
      <c r="N505" s="187" t="inlineStr">
        <is>
          <t>See NVD references</t>
        </is>
      </c>
      <c r="O505" s="187" t="inlineStr">
        <is>
          <t>Apply vendor patches</t>
        </is>
      </c>
      <c r="P505" s="187" t="inlineStr">
        <is>
          <t>See CVE details</t>
        </is>
      </c>
      <c r="Q505" s="187" t="inlineStr">
        <is>
          <t>P4</t>
        </is>
      </c>
      <c r="R505" s="187" t="inlineStr">
        <is>
          <t>📅 Schedule patch deployment within 30 days | 🔍 Monitor for exploitation attempts</t>
        </is>
      </c>
      <c r="S505" s="187" t="inlineStr">
        <is>
          <t>CVE - IP enrichment n/a</t>
        </is>
      </c>
      <c r="T505" s="187" t="n">
        <v>0</v>
      </c>
      <c r="U505" s="187" t="n">
        <v>0</v>
      </c>
      <c r="V505" s="187" t="inlineStr">
        <is>
          <t>T1189:Drive-by Compromise</t>
        </is>
      </c>
      <c r="W505" s="187" t="n">
        <v>1</v>
      </c>
      <c r="X505" s="187" t="inlineStr">
        <is>
          <t>LOW (40%)</t>
        </is>
      </c>
      <c r="Y505" s="187" t="inlineStr">
        <is>
          <t>UNLIKELY</t>
        </is>
      </c>
      <c r="Z505" s="187" t="inlineStr">
        <is>
          <t>CHECK_VENDOR</t>
        </is>
      </c>
      <c r="AA505" s="187" t="inlineStr">
        <is>
          <t>https://nvd.nist.gov/vuln/detail/CVE-2026-2486</t>
        </is>
      </c>
      <c r="AB505" s="187" t="inlineStr">
        <is>
          <t>NONE</t>
        </is>
      </c>
      <c r="AC505" s="187" t="n">
        <v>0</v>
      </c>
      <c r="AD505" s="187" t="inlineStr"/>
    </row>
    <row r="506">
      <c r="A506" s="187" t="inlineStr">
        <is>
          <t>CVE</t>
        </is>
      </c>
      <c r="B506" s="187" t="inlineStr">
        <is>
          <t>CVE-2025-14055</t>
        </is>
      </c>
      <c r="C506" s="187" t="inlineStr">
        <is>
          <t>An integer underflow vulnerability in Silicon Labs Secure NCP host implementation allows a buffer overread via a specially crafted packet.</t>
        </is>
      </c>
      <c r="D506" s="187" t="n">
        <v>5</v>
      </c>
      <c r="E506" s="187" t="inlineStr">
        <is>
          <t>MEDIUM</t>
        </is>
      </c>
      <c r="F506" s="187" t="n">
        <v>2</v>
      </c>
      <c r="G506" s="187" t="n">
        <v>2</v>
      </c>
      <c r="H506" s="187" t="inlineStr">
        <is>
          <t>MEDIUM</t>
        </is>
      </c>
      <c r="I506" s="187" t="n">
        <v>9</v>
      </c>
      <c r="J506" s="187" t="inlineStr">
        <is>
          <t>NO</t>
        </is>
      </c>
      <c r="K506" s="187" t="inlineStr">
        <is>
          <t>https://nvd.nist.gov/vuln/detail/CVE-2025-14055</t>
        </is>
      </c>
      <c r="L506" s="187" t="inlineStr">
        <is>
          <t>2026-02-26 00:15</t>
        </is>
      </c>
      <c r="M506" s="187" t="inlineStr">
        <is>
          <t>CHECK_VENDOR</t>
        </is>
      </c>
      <c r="N506" s="187" t="inlineStr">
        <is>
          <t>See NVD references</t>
        </is>
      </c>
      <c r="O506" s="187" t="inlineStr">
        <is>
          <t>Apply vendor patches</t>
        </is>
      </c>
      <c r="P506" s="187" t="inlineStr">
        <is>
          <t>See CVE details</t>
        </is>
      </c>
      <c r="Q506" s="187" t="inlineStr">
        <is>
          <t>P4</t>
        </is>
      </c>
      <c r="R506" s="187" t="inlineStr">
        <is>
          <t>📅 Schedule patch deployment within 30 days | 🔍 Monitor for exploitation attempts</t>
        </is>
      </c>
      <c r="S506" s="187" t="inlineStr">
        <is>
          <t>CVE - IP enrichment n/a</t>
        </is>
      </c>
      <c r="T506" s="187" t="n">
        <v>0</v>
      </c>
      <c r="U506" s="187" t="n">
        <v>0</v>
      </c>
      <c r="V506" s="187" t="inlineStr">
        <is>
          <t>T1203:Exploitation for Client Execution</t>
        </is>
      </c>
      <c r="W506" s="187" t="n">
        <v>1</v>
      </c>
      <c r="X506" s="187" t="inlineStr">
        <is>
          <t>LOW (40%)</t>
        </is>
      </c>
      <c r="Y506" s="187" t="inlineStr">
        <is>
          <t>UNLIKELY</t>
        </is>
      </c>
      <c r="Z506" s="187" t="inlineStr">
        <is>
          <t>CHECK_VENDOR</t>
        </is>
      </c>
      <c r="AA506" s="187" t="inlineStr">
        <is>
          <t>https://nvd.nist.gov/vuln/detail/CVE-2025-14055</t>
        </is>
      </c>
      <c r="AB506" s="187" t="inlineStr">
        <is>
          <t>NONE</t>
        </is>
      </c>
      <c r="AC506" s="187" t="n">
        <v>0</v>
      </c>
      <c r="AD506" s="187" t="inlineStr"/>
    </row>
    <row r="507">
      <c r="A507" s="187" t="inlineStr">
        <is>
          <t>CVE</t>
        </is>
      </c>
      <c r="B507" s="187" t="inlineStr">
        <is>
          <t>CVE-2025-14547</t>
        </is>
      </c>
      <c r="C507" s="187" t="inlineStr">
        <is>
          <t>An integer underflow vulnerability is present in Silicon Lab’s implementation of PSA Crypto and SE Manager EC-JPAKE APIs during ZKP parsing. Triggering the underflow can lead to a hard fault, causing a temporary denial of service.</t>
        </is>
      </c>
      <c r="D507" s="187" t="n">
        <v>5</v>
      </c>
      <c r="E507" s="187" t="inlineStr">
        <is>
          <t>MEDIUM</t>
        </is>
      </c>
      <c r="F507" s="187" t="n">
        <v>2</v>
      </c>
      <c r="G507" s="187" t="n">
        <v>2</v>
      </c>
      <c r="H507" s="187" t="inlineStr">
        <is>
          <t>MEDIUM</t>
        </is>
      </c>
      <c r="I507" s="187" t="n">
        <v>9</v>
      </c>
      <c r="J507" s="187" t="inlineStr">
        <is>
          <t>NO</t>
        </is>
      </c>
      <c r="K507" s="187" t="inlineStr">
        <is>
          <t>https://nvd.nist.gov/vuln/detail/CVE-2025-14547</t>
        </is>
      </c>
      <c r="L507" s="187" t="inlineStr">
        <is>
          <t>2026-02-26 00:15</t>
        </is>
      </c>
      <c r="M507" s="187" t="inlineStr">
        <is>
          <t>CHECK_VENDOR</t>
        </is>
      </c>
      <c r="N507" s="187" t="inlineStr">
        <is>
          <t>See NVD references</t>
        </is>
      </c>
      <c r="O507" s="187" t="inlineStr">
        <is>
          <t>Apply vendor patches</t>
        </is>
      </c>
      <c r="P507" s="187" t="inlineStr">
        <is>
          <t>See CVE details</t>
        </is>
      </c>
      <c r="Q507" s="187" t="inlineStr">
        <is>
          <t>P4</t>
        </is>
      </c>
      <c r="R507" s="187" t="inlineStr">
        <is>
          <t>📅 Schedule patch deployment within 30 days | 🔍 Monitor for exploitation attempts</t>
        </is>
      </c>
      <c r="S507" s="187" t="inlineStr">
        <is>
          <t>CVE - IP enrichment n/a</t>
        </is>
      </c>
      <c r="T507" s="187" t="n">
        <v>0</v>
      </c>
      <c r="U507" s="187" t="n">
        <v>0</v>
      </c>
      <c r="V507" s="187" t="inlineStr">
        <is>
          <t>T1499:Endpoint Denial of Service</t>
        </is>
      </c>
      <c r="W507" s="187" t="n">
        <v>1</v>
      </c>
      <c r="X507" s="187" t="inlineStr">
        <is>
          <t>LOW (40%)</t>
        </is>
      </c>
      <c r="Y507" s="187" t="inlineStr">
        <is>
          <t>UNLIKELY</t>
        </is>
      </c>
      <c r="Z507" s="187" t="inlineStr">
        <is>
          <t>CHECK_VENDOR</t>
        </is>
      </c>
      <c r="AA507" s="187" t="inlineStr">
        <is>
          <t>https://nvd.nist.gov/vuln/detail/CVE-2025-14547</t>
        </is>
      </c>
      <c r="AB507" s="187" t="inlineStr">
        <is>
          <t>NONE</t>
        </is>
      </c>
      <c r="AC507" s="187" t="n">
        <v>0</v>
      </c>
      <c r="AD507" s="187" t="inlineStr"/>
    </row>
    <row r="508">
      <c r="A508" s="187" t="inlineStr">
        <is>
          <t>CVE</t>
        </is>
      </c>
      <c r="B508" s="187" t="inlineStr">
        <is>
          <t>CVE-2026-21627</t>
        </is>
      </c>
      <c r="C508" s="187" t="inlineStr">
        <is>
          <t>The vulnerability was rooted in how the Tassos Framework plugin handled specific AJAX requests through Joomla’s com_ajax entry point. Under certain conditions, internal framework functionality could be invoked without proper restriction.</t>
        </is>
      </c>
      <c r="D508" s="187" t="n">
        <v>5</v>
      </c>
      <c r="E508" s="187" t="inlineStr">
        <is>
          <t>MEDIUM</t>
        </is>
      </c>
      <c r="F508" s="187" t="n">
        <v>2</v>
      </c>
      <c r="G508" s="187" t="n">
        <v>2</v>
      </c>
      <c r="H508" s="187" t="inlineStr">
        <is>
          <t>MEDIUM</t>
        </is>
      </c>
      <c r="I508" s="187" t="n">
        <v>9</v>
      </c>
      <c r="J508" s="187" t="inlineStr">
        <is>
          <t>NO</t>
        </is>
      </c>
      <c r="K508" s="187" t="inlineStr">
        <is>
          <t>https://nvd.nist.gov/vuln/detail/CVE-2026-21627</t>
        </is>
      </c>
      <c r="L508" s="187" t="inlineStr">
        <is>
          <t>2026-02-26 00:15</t>
        </is>
      </c>
      <c r="M508" s="187" t="inlineStr">
        <is>
          <t>CHECK_VENDOR</t>
        </is>
      </c>
      <c r="N508" s="187" t="inlineStr">
        <is>
          <t>See NVD references</t>
        </is>
      </c>
      <c r="O508" s="187" t="inlineStr">
        <is>
          <t>Apply vendor patches</t>
        </is>
      </c>
      <c r="P508" s="187" t="inlineStr">
        <is>
          <t>See CVE details</t>
        </is>
      </c>
      <c r="Q508" s="187" t="inlineStr">
        <is>
          <t>P4</t>
        </is>
      </c>
      <c r="R508" s="187" t="inlineStr">
        <is>
          <t>📅 Schedule patch deployment within 30 days | 🔍 Monitor for exploitation attempts</t>
        </is>
      </c>
      <c r="S508" s="187" t="inlineStr">
        <is>
          <t>CVE - IP enrichment n/a</t>
        </is>
      </c>
      <c r="T508" s="187" t="n">
        <v>0.0001</v>
      </c>
      <c r="U508" s="187" t="n">
        <v>0.0187</v>
      </c>
      <c r="V508" s="187" t="inlineStr">
        <is>
          <t>T1190:Exploit Public-Facing Application</t>
        </is>
      </c>
      <c r="W508" s="187" t="n">
        <v>1</v>
      </c>
      <c r="X508" s="187" t="inlineStr">
        <is>
          <t>LOW (40%)</t>
        </is>
      </c>
      <c r="Y508" s="187" t="inlineStr">
        <is>
          <t>UNLIKELY</t>
        </is>
      </c>
      <c r="Z508" s="187" t="inlineStr">
        <is>
          <t>CHECK_VENDOR</t>
        </is>
      </c>
      <c r="AA508" s="187" t="inlineStr">
        <is>
          <t>https://nvd.nist.gov/vuln/detail/CVE-2026-21627</t>
        </is>
      </c>
      <c r="AB508" s="187" t="inlineStr">
        <is>
          <t>NONE</t>
        </is>
      </c>
      <c r="AC508" s="187" t="n">
        <v>0</v>
      </c>
      <c r="AD508" s="187" t="inlineStr"/>
    </row>
    <row r="509">
      <c r="A509" s="187" t="inlineStr">
        <is>
          <t>CVE</t>
        </is>
      </c>
      <c r="B509" s="187" t="inlineStr">
        <is>
          <t>CVE-2024-34438</t>
        </is>
      </c>
      <c r="C509" s="187" t="inlineStr">
        <is>
          <t>Missing Authorization vulnerability in Anssi Laitila Shared Files shared-files.This issue affects Shared Files: from n/a through &lt;= 1.7.19.</t>
        </is>
      </c>
      <c r="D509" s="187" t="n">
        <v>5.3</v>
      </c>
      <c r="E509" s="187" t="inlineStr">
        <is>
          <t>MEDIUM</t>
        </is>
      </c>
      <c r="F509" s="187" t="n">
        <v>2</v>
      </c>
      <c r="G509" s="187" t="n">
        <v>2</v>
      </c>
      <c r="H509" s="187" t="inlineStr">
        <is>
          <t>MEDIUM</t>
        </is>
      </c>
      <c r="I509" s="187" t="n">
        <v>9.300000000000001</v>
      </c>
      <c r="J509" s="187" t="inlineStr">
        <is>
          <t>NO</t>
        </is>
      </c>
      <c r="K509" s="187" t="inlineStr">
        <is>
          <t>https://nvd.nist.gov/vuln/detail/CVE-2024-34438</t>
        </is>
      </c>
      <c r="L509" s="187" t="inlineStr">
        <is>
          <t>2026-02-26 00:15</t>
        </is>
      </c>
      <c r="M509" s="187" t="inlineStr">
        <is>
          <t>CHECK_VENDOR</t>
        </is>
      </c>
      <c r="N509" s="187" t="inlineStr">
        <is>
          <t>See NVD references</t>
        </is>
      </c>
      <c r="O509" s="187" t="inlineStr">
        <is>
          <t>Apply vendor patches</t>
        </is>
      </c>
      <c r="P509" s="187" t="inlineStr">
        <is>
          <t>See CVE details</t>
        </is>
      </c>
      <c r="Q509" s="187" t="inlineStr">
        <is>
          <t>P4</t>
        </is>
      </c>
      <c r="R509" s="187" t="inlineStr">
        <is>
          <t>📅 Schedule patch deployment within 30 days | 🔍 Monitor for exploitation attempts</t>
        </is>
      </c>
      <c r="S509" s="187" t="inlineStr">
        <is>
          <t>CVE - IP enrichment n/a</t>
        </is>
      </c>
      <c r="T509" s="187" t="n">
        <v>0</v>
      </c>
      <c r="U509" s="187" t="n">
        <v>0</v>
      </c>
      <c r="V509" s="187" t="inlineStr">
        <is>
          <t>T1190:Exploit Public-Facing Application</t>
        </is>
      </c>
      <c r="W509" s="187" t="n">
        <v>1</v>
      </c>
      <c r="X509" s="187" t="inlineStr">
        <is>
          <t>LOW (40%)</t>
        </is>
      </c>
      <c r="Y509" s="187" t="inlineStr">
        <is>
          <t>UNLIKELY</t>
        </is>
      </c>
      <c r="Z509" s="187" t="inlineStr">
        <is>
          <t>CHECK_VENDOR</t>
        </is>
      </c>
      <c r="AA509" s="187" t="inlineStr">
        <is>
          <t>https://nvd.nist.gov/vuln/detail/CVE-2024-34438</t>
        </is>
      </c>
      <c r="AB509" s="187" t="inlineStr">
        <is>
          <t>NONE</t>
        </is>
      </c>
      <c r="AC509" s="187" t="n">
        <v>0</v>
      </c>
      <c r="AD509" s="187" t="inlineStr"/>
    </row>
    <row r="510">
      <c r="A510" s="187" t="inlineStr">
        <is>
          <t>CVE</t>
        </is>
      </c>
      <c r="B510" s="187" t="inlineStr">
        <is>
          <t>CVE-2024-43228</t>
        </is>
      </c>
      <c r="C510" s="187" t="inlineStr">
        <is>
          <t>Missing Authorization vulnerability in SecuPress SecuPress Free secupress.This issue affects SecuPress Free: from n/a through &lt;= 2.2.5.3.</t>
        </is>
      </c>
      <c r="D510" s="187" t="n">
        <v>5</v>
      </c>
      <c r="E510" s="187" t="inlineStr">
        <is>
          <t>MEDIUM</t>
        </is>
      </c>
      <c r="F510" s="187" t="n">
        <v>2</v>
      </c>
      <c r="G510" s="187" t="n">
        <v>2</v>
      </c>
      <c r="H510" s="187" t="inlineStr">
        <is>
          <t>MEDIUM</t>
        </is>
      </c>
      <c r="I510" s="187" t="n">
        <v>9</v>
      </c>
      <c r="J510" s="187" t="inlineStr">
        <is>
          <t>NO</t>
        </is>
      </c>
      <c r="K510" s="187" t="inlineStr">
        <is>
          <t>https://nvd.nist.gov/vuln/detail/CVE-2024-43228</t>
        </is>
      </c>
      <c r="L510" s="187" t="inlineStr">
        <is>
          <t>2026-02-26 00:15</t>
        </is>
      </c>
      <c r="M510" s="187" t="inlineStr">
        <is>
          <t>CHECK_VENDOR</t>
        </is>
      </c>
      <c r="N510" s="187" t="inlineStr">
        <is>
          <t>See NVD references</t>
        </is>
      </c>
      <c r="O510" s="187" t="inlineStr">
        <is>
          <t>Apply vendor patches</t>
        </is>
      </c>
      <c r="P510" s="187" t="inlineStr">
        <is>
          <t>See CVE details</t>
        </is>
      </c>
      <c r="Q510" s="187" t="inlineStr">
        <is>
          <t>P4</t>
        </is>
      </c>
      <c r="R510" s="187" t="inlineStr">
        <is>
          <t>📅 Schedule patch deployment within 30 days | 🔍 Monitor for exploitation attempts</t>
        </is>
      </c>
      <c r="S510" s="187" t="inlineStr">
        <is>
          <t>CVE - IP enrichment n/a</t>
        </is>
      </c>
      <c r="T510" s="187" t="n">
        <v>0</v>
      </c>
      <c r="U510" s="187" t="n">
        <v>0</v>
      </c>
      <c r="V510" s="187" t="inlineStr">
        <is>
          <t>T1190:Exploit Public-Facing Application</t>
        </is>
      </c>
      <c r="W510" s="187" t="n">
        <v>1</v>
      </c>
      <c r="X510" s="187" t="inlineStr">
        <is>
          <t>LOW (40%)</t>
        </is>
      </c>
      <c r="Y510" s="187" t="inlineStr">
        <is>
          <t>UNLIKELY</t>
        </is>
      </c>
      <c r="Z510" s="187" t="inlineStr">
        <is>
          <t>CHECK_VENDOR</t>
        </is>
      </c>
      <c r="AA510" s="187" t="inlineStr">
        <is>
          <t>https://nvd.nist.gov/vuln/detail/CVE-2024-43228</t>
        </is>
      </c>
      <c r="AB510" s="187" t="inlineStr">
        <is>
          <t>NONE</t>
        </is>
      </c>
      <c r="AC510" s="187" t="n">
        <v>0</v>
      </c>
      <c r="AD510" s="187" t="inlineStr"/>
    </row>
    <row r="511">
      <c r="A511" s="187" t="inlineStr">
        <is>
          <t>CVE</t>
        </is>
      </c>
      <c r="B511" s="187" t="inlineStr">
        <is>
          <t>CVE-2024-50452</t>
        </is>
      </c>
      <c r="C511" s="187" t="inlineStr">
        <is>
          <t>Improper Neutralization of Input During Web Page Generation ('Cross-site Scripting') vulnerability in POSIMYTH Nexter Blocks the-plus-addons-for-block-editor allows Stored XSS.This issue affects Nexter Blocks: from n/a through &lt;= 3.3.3.</t>
        </is>
      </c>
      <c r="D511" s="187" t="n">
        <v>6.5</v>
      </c>
      <c r="E511" s="187" t="inlineStr">
        <is>
          <t>MEDIUM</t>
        </is>
      </c>
      <c r="F511" s="187" t="n">
        <v>2</v>
      </c>
      <c r="G511" s="187" t="n">
        <v>2</v>
      </c>
      <c r="H511" s="187" t="inlineStr">
        <is>
          <t>MEDIUM</t>
        </is>
      </c>
      <c r="I511" s="187" t="n">
        <v>10.5</v>
      </c>
      <c r="J511" s="187" t="inlineStr">
        <is>
          <t>NO</t>
        </is>
      </c>
      <c r="K511" s="187" t="inlineStr">
        <is>
          <t>https://nvd.nist.gov/vuln/detail/CVE-2024-50452</t>
        </is>
      </c>
      <c r="L511" s="187" t="inlineStr">
        <is>
          <t>2026-02-26 00:15</t>
        </is>
      </c>
      <c r="M511" s="187" t="inlineStr">
        <is>
          <t>CHECK_VENDOR</t>
        </is>
      </c>
      <c r="N511" s="187" t="inlineStr">
        <is>
          <t>See NVD references</t>
        </is>
      </c>
      <c r="O511" s="187" t="inlineStr">
        <is>
          <t>Apply vendor patches</t>
        </is>
      </c>
      <c r="P511" s="187" t="inlineStr">
        <is>
          <t>See CVE details</t>
        </is>
      </c>
      <c r="Q511" s="187" t="inlineStr">
        <is>
          <t>P4</t>
        </is>
      </c>
      <c r="R511" s="187" t="inlineStr">
        <is>
          <t>📅 Schedule patch deployment within 30 days | 🔍 Monitor for exploitation attempts</t>
        </is>
      </c>
      <c r="S511" s="187" t="inlineStr">
        <is>
          <t>CVE - IP enrichment n/a</t>
        </is>
      </c>
      <c r="T511" s="187" t="n">
        <v>0.0003</v>
      </c>
      <c r="U511" s="187" t="n">
        <v>0.0718</v>
      </c>
      <c r="V511" s="187" t="inlineStr">
        <is>
          <t>T1189:Drive-by Compromise</t>
        </is>
      </c>
      <c r="W511" s="187" t="n">
        <v>1</v>
      </c>
      <c r="X511" s="187" t="inlineStr">
        <is>
          <t>LOW (40%)</t>
        </is>
      </c>
      <c r="Y511" s="187" t="inlineStr">
        <is>
          <t>UNLIKELY</t>
        </is>
      </c>
      <c r="Z511" s="187" t="inlineStr">
        <is>
          <t>CHECK_VENDOR</t>
        </is>
      </c>
      <c r="AA511" s="187" t="inlineStr">
        <is>
          <t>https://nvd.nist.gov/vuln/detail/CVE-2024-50452</t>
        </is>
      </c>
      <c r="AB511" s="187" t="inlineStr">
        <is>
          <t>NONE</t>
        </is>
      </c>
      <c r="AC511" s="187" t="n">
        <v>0</v>
      </c>
      <c r="AD511" s="187" t="inlineStr"/>
    </row>
    <row r="512">
      <c r="A512" s="187" t="inlineStr">
        <is>
          <t>CVE</t>
        </is>
      </c>
      <c r="B512" s="187" t="inlineStr">
        <is>
          <t>CVE-2024-50555</t>
        </is>
      </c>
      <c r="C512" s="187" t="inlineStr">
        <is>
          <t>Improper Neutralization of Input During Web Page Generation ('Cross-site Scripting') vulnerability in Elementor Elementor Website Builder elementor allows Stored XSS.This issue affects Elementor Website Builder: from n/a through &lt;= 3.29.0.</t>
        </is>
      </c>
      <c r="D512" s="187" t="n">
        <v>5</v>
      </c>
      <c r="E512" s="187" t="inlineStr">
        <is>
          <t>MEDIUM</t>
        </is>
      </c>
      <c r="F512" s="187" t="n">
        <v>2</v>
      </c>
      <c r="G512" s="187" t="n">
        <v>2</v>
      </c>
      <c r="H512" s="187" t="inlineStr">
        <is>
          <t>MEDIUM</t>
        </is>
      </c>
      <c r="I512" s="187" t="n">
        <v>9</v>
      </c>
      <c r="J512" s="187" t="inlineStr">
        <is>
          <t>NO</t>
        </is>
      </c>
      <c r="K512" s="187" t="inlineStr">
        <is>
          <t>https://nvd.nist.gov/vuln/detail/CVE-2024-50555</t>
        </is>
      </c>
      <c r="L512" s="187" t="inlineStr">
        <is>
          <t>2026-02-26 00:15</t>
        </is>
      </c>
      <c r="M512" s="187" t="inlineStr">
        <is>
          <t>CHECK_VENDOR</t>
        </is>
      </c>
      <c r="N512" s="187" t="inlineStr">
        <is>
          <t>See NVD references</t>
        </is>
      </c>
      <c r="O512" s="187" t="inlineStr">
        <is>
          <t>Apply vendor patches</t>
        </is>
      </c>
      <c r="P512" s="187" t="inlineStr">
        <is>
          <t>See CVE details</t>
        </is>
      </c>
      <c r="Q512" s="187" t="inlineStr">
        <is>
          <t>P4</t>
        </is>
      </c>
      <c r="R512" s="187" t="inlineStr">
        <is>
          <t>📅 Schedule patch deployment within 30 days | 🔍 Monitor for exploitation attempts</t>
        </is>
      </c>
      <c r="S512" s="187" t="inlineStr">
        <is>
          <t>CVE - IP enrichment n/a</t>
        </is>
      </c>
      <c r="T512" s="187" t="n">
        <v>0</v>
      </c>
      <c r="U512" s="187" t="n">
        <v>0</v>
      </c>
      <c r="V512" s="187" t="inlineStr">
        <is>
          <t>T1189:Drive-by Compromise</t>
        </is>
      </c>
      <c r="W512" s="187" t="n">
        <v>1</v>
      </c>
      <c r="X512" s="187" t="inlineStr">
        <is>
          <t>LOW (40%)</t>
        </is>
      </c>
      <c r="Y512" s="187" t="inlineStr">
        <is>
          <t>UNLIKELY</t>
        </is>
      </c>
      <c r="Z512" s="187" t="inlineStr">
        <is>
          <t>CHECK_VENDOR</t>
        </is>
      </c>
      <c r="AA512" s="187" t="inlineStr">
        <is>
          <t>https://nvd.nist.gov/vuln/detail/CVE-2024-50555</t>
        </is>
      </c>
      <c r="AB512" s="187" t="inlineStr">
        <is>
          <t>NONE</t>
        </is>
      </c>
      <c r="AC512" s="187" t="n">
        <v>0</v>
      </c>
      <c r="AD512" s="187" t="inlineStr"/>
    </row>
    <row r="513">
      <c r="A513" s="187" t="inlineStr">
        <is>
          <t>CVE</t>
        </is>
      </c>
      <c r="B513" s="187" t="inlineStr">
        <is>
          <t>CVE-2024-51915</t>
        </is>
      </c>
      <c r="C513" s="187" t="inlineStr">
        <is>
          <t>Improper Neutralization of Input During Web Page Generation ('Cross-site Scripting') vulnerability in LiteSpeed Technologies LiteSpeed Cache litespeed-cache allows Stored XSS.This issue affects LiteSpeed Cache: from n/a through &lt;= 6.5.2.</t>
        </is>
      </c>
      <c r="D513" s="187" t="n">
        <v>6.5</v>
      </c>
      <c r="E513" s="187" t="inlineStr">
        <is>
          <t>MEDIUM</t>
        </is>
      </c>
      <c r="F513" s="187" t="n">
        <v>2</v>
      </c>
      <c r="G513" s="187" t="n">
        <v>2</v>
      </c>
      <c r="H513" s="187" t="inlineStr">
        <is>
          <t>MEDIUM</t>
        </is>
      </c>
      <c r="I513" s="187" t="n">
        <v>10.5</v>
      </c>
      <c r="J513" s="187" t="inlineStr">
        <is>
          <t>NO</t>
        </is>
      </c>
      <c r="K513" s="187" t="inlineStr">
        <is>
          <t>https://nvd.nist.gov/vuln/detail/CVE-2024-51915</t>
        </is>
      </c>
      <c r="L513" s="187" t="inlineStr">
        <is>
          <t>2026-02-26 00:15</t>
        </is>
      </c>
      <c r="M513" s="187" t="inlineStr">
        <is>
          <t>CHECK_VENDOR</t>
        </is>
      </c>
      <c r="N513" s="187" t="inlineStr">
        <is>
          <t>See NVD references</t>
        </is>
      </c>
      <c r="O513" s="187" t="inlineStr">
        <is>
          <t>Apply vendor patches</t>
        </is>
      </c>
      <c r="P513" s="187" t="inlineStr">
        <is>
          <t>See CVE details</t>
        </is>
      </c>
      <c r="Q513" s="187" t="inlineStr">
        <is>
          <t>P4</t>
        </is>
      </c>
      <c r="R513" s="187" t="inlineStr">
        <is>
          <t>📅 Schedule patch deployment within 30 days | 🔍 Monitor for exploitation attempts</t>
        </is>
      </c>
      <c r="S513" s="187" t="inlineStr">
        <is>
          <t>CVE - IP enrichment n/a</t>
        </is>
      </c>
      <c r="T513" s="187" t="n">
        <v>0</v>
      </c>
      <c r="U513" s="187" t="n">
        <v>0</v>
      </c>
      <c r="V513" s="187" t="inlineStr">
        <is>
          <t>T1189:Drive-by Compromise</t>
        </is>
      </c>
      <c r="W513" s="187" t="n">
        <v>1</v>
      </c>
      <c r="X513" s="187" t="inlineStr">
        <is>
          <t>LOW (40%)</t>
        </is>
      </c>
      <c r="Y513" s="187" t="inlineStr">
        <is>
          <t>UNLIKELY</t>
        </is>
      </c>
      <c r="Z513" s="187" t="inlineStr">
        <is>
          <t>CHECK_VENDOR</t>
        </is>
      </c>
      <c r="AA513" s="187" t="inlineStr">
        <is>
          <t>https://nvd.nist.gov/vuln/detail/CVE-2024-51915</t>
        </is>
      </c>
      <c r="AB513" s="187" t="inlineStr">
        <is>
          <t>NONE</t>
        </is>
      </c>
      <c r="AC513" s="187" t="n">
        <v>0</v>
      </c>
      <c r="AD513" s="187" t="inlineStr"/>
    </row>
    <row r="514">
      <c r="A514" s="187" t="inlineStr">
        <is>
          <t>CVE</t>
        </is>
      </c>
      <c r="B514" s="187" t="inlineStr">
        <is>
          <t>CVE-2024-52387</t>
        </is>
      </c>
      <c r="C514" s="187" t="inlineStr">
        <is>
          <t>Improper Neutralization of Input During Web Page Generation ('Cross-site Scripting') vulnerability in Liton Arefin Master Addons for Elementor master-addons allows Stored XSS.This issue affects Master Addons for Elementor: from n/a through &lt;= 2.0.9.9.4.</t>
        </is>
      </c>
      <c r="D514" s="187" t="n">
        <v>5</v>
      </c>
      <c r="E514" s="187" t="inlineStr">
        <is>
          <t>MEDIUM</t>
        </is>
      </c>
      <c r="F514" s="187" t="n">
        <v>2</v>
      </c>
      <c r="G514" s="187" t="n">
        <v>2</v>
      </c>
      <c r="H514" s="187" t="inlineStr">
        <is>
          <t>MEDIUM</t>
        </is>
      </c>
      <c r="I514" s="187" t="n">
        <v>9</v>
      </c>
      <c r="J514" s="187" t="inlineStr">
        <is>
          <t>NO</t>
        </is>
      </c>
      <c r="K514" s="187" t="inlineStr">
        <is>
          <t>https://nvd.nist.gov/vuln/detail/CVE-2024-52387</t>
        </is>
      </c>
      <c r="L514" s="187" t="inlineStr">
        <is>
          <t>2026-02-26 00:15</t>
        </is>
      </c>
      <c r="M514" s="187" t="inlineStr">
        <is>
          <t>CHECK_VENDOR</t>
        </is>
      </c>
      <c r="N514" s="187" t="inlineStr">
        <is>
          <t>See NVD references</t>
        </is>
      </c>
      <c r="O514" s="187" t="inlineStr">
        <is>
          <t>Apply vendor patches</t>
        </is>
      </c>
      <c r="P514" s="187" t="inlineStr">
        <is>
          <t>See CVE details</t>
        </is>
      </c>
      <c r="Q514" s="187" t="inlineStr">
        <is>
          <t>P4</t>
        </is>
      </c>
      <c r="R514" s="187" t="inlineStr">
        <is>
          <t>📅 Schedule patch deployment within 30 days | 🔍 Monitor for exploitation attempts</t>
        </is>
      </c>
      <c r="S514" s="187" t="inlineStr">
        <is>
          <t>CVE - IP enrichment n/a</t>
        </is>
      </c>
      <c r="T514" s="187" t="n">
        <v>0.0013</v>
      </c>
      <c r="U514" s="187" t="n">
        <v>0.3246</v>
      </c>
      <c r="V514" s="187" t="inlineStr">
        <is>
          <t>T1189:Drive-by Compromise</t>
        </is>
      </c>
      <c r="W514" s="187" t="n">
        <v>1</v>
      </c>
      <c r="X514" s="187" t="inlineStr">
        <is>
          <t>LOW (40%)</t>
        </is>
      </c>
      <c r="Y514" s="187" t="inlineStr">
        <is>
          <t>UNLIKELY</t>
        </is>
      </c>
      <c r="Z514" s="187" t="inlineStr">
        <is>
          <t>CHECK_VENDOR</t>
        </is>
      </c>
      <c r="AA514" s="187" t="inlineStr">
        <is>
          <t>https://nvd.nist.gov/vuln/detail/CVE-2024-52387</t>
        </is>
      </c>
      <c r="AB514" s="187" t="inlineStr">
        <is>
          <t>NONE</t>
        </is>
      </c>
      <c r="AC514" s="187" t="n">
        <v>0</v>
      </c>
      <c r="AD514" s="187" t="inlineStr"/>
    </row>
    <row r="515">
      <c r="A515" s="187" t="inlineStr">
        <is>
          <t>CVE</t>
        </is>
      </c>
      <c r="B515" s="187" t="inlineStr">
        <is>
          <t>CVE-2024-54222</t>
        </is>
      </c>
      <c r="C515" s="187" t="inlineStr">
        <is>
          <t>Missing Authorization vulnerability in Seraphinite Solutions Seraphinite Accelerator seraphinite-accelerator allows Retrieve Embedded Sensitive Data.This issue affects Seraphinite Accelerator: from n/a through &lt;= 2.22.15.</t>
        </is>
      </c>
      <c r="D515" s="187" t="n">
        <v>4.3</v>
      </c>
      <c r="E515" s="187" t="inlineStr">
        <is>
          <t>MEDIUM</t>
        </is>
      </c>
      <c r="F515" s="187" t="n">
        <v>2</v>
      </c>
      <c r="G515" s="187" t="n">
        <v>2</v>
      </c>
      <c r="H515" s="187" t="inlineStr">
        <is>
          <t>MEDIUM</t>
        </is>
      </c>
      <c r="I515" s="187" t="n">
        <v>8.300000000000001</v>
      </c>
      <c r="J515" s="187" t="inlineStr">
        <is>
          <t>NO</t>
        </is>
      </c>
      <c r="K515" s="187" t="inlineStr">
        <is>
          <t>https://nvd.nist.gov/vuln/detail/CVE-2024-54222</t>
        </is>
      </c>
      <c r="L515" s="187" t="inlineStr">
        <is>
          <t>2026-02-26 00:15</t>
        </is>
      </c>
      <c r="M515" s="187" t="inlineStr">
        <is>
          <t>CHECK_VENDOR</t>
        </is>
      </c>
      <c r="N515" s="187" t="inlineStr">
        <is>
          <t>See NVD references</t>
        </is>
      </c>
      <c r="O515" s="187" t="inlineStr">
        <is>
          <t>Apply vendor patches</t>
        </is>
      </c>
      <c r="P515" s="187" t="inlineStr">
        <is>
          <t>See CVE details</t>
        </is>
      </c>
      <c r="Q515" s="187" t="inlineStr">
        <is>
          <t>P4</t>
        </is>
      </c>
      <c r="R515" s="187" t="inlineStr">
        <is>
          <t>📅 Schedule patch deployment within 30 days | 🔍 Monitor for exploitation attempts</t>
        </is>
      </c>
      <c r="S515" s="187" t="inlineStr">
        <is>
          <t>CVE - IP enrichment n/a</t>
        </is>
      </c>
      <c r="T515" s="187" t="n">
        <v>0</v>
      </c>
      <c r="U515" s="187" t="n">
        <v>0</v>
      </c>
      <c r="V515" s="187" t="inlineStr">
        <is>
          <t>T1190:Exploit Public-Facing Application</t>
        </is>
      </c>
      <c r="W515" s="187" t="n">
        <v>1</v>
      </c>
      <c r="X515" s="187" t="inlineStr">
        <is>
          <t>LOW (40%)</t>
        </is>
      </c>
      <c r="Y515" s="187" t="inlineStr">
        <is>
          <t>UNLIKELY</t>
        </is>
      </c>
      <c r="Z515" s="187" t="inlineStr">
        <is>
          <t>CHECK_VENDOR</t>
        </is>
      </c>
      <c r="AA515" s="187" t="inlineStr">
        <is>
          <t>https://nvd.nist.gov/vuln/detail/CVE-2024-54222</t>
        </is>
      </c>
      <c r="AB515" s="187" t="inlineStr">
        <is>
          <t>NONE</t>
        </is>
      </c>
      <c r="AC515" s="187" t="n">
        <v>0</v>
      </c>
      <c r="AD515" s="187" t="inlineStr"/>
    </row>
    <row r="516">
      <c r="A516" s="187" t="inlineStr">
        <is>
          <t>CVE</t>
        </is>
      </c>
      <c r="B516" s="187" t="inlineStr">
        <is>
          <t>CVE-2024-56208</t>
        </is>
      </c>
      <c r="C516" s="187" t="inlineStr">
        <is>
          <t>Improper Neutralization of Input During Web Page Generation ('Cross-site Scripting') vulnerability in desertthemes NewsMash newsmash allows Stored XSS.This issue affects NewsMash: from n/a through &lt;= 1.0.71.</t>
        </is>
      </c>
      <c r="D516" s="187" t="n">
        <v>5</v>
      </c>
      <c r="E516" s="187" t="inlineStr">
        <is>
          <t>MEDIUM</t>
        </is>
      </c>
      <c r="F516" s="187" t="n">
        <v>2</v>
      </c>
      <c r="G516" s="187" t="n">
        <v>2</v>
      </c>
      <c r="H516" s="187" t="inlineStr">
        <is>
          <t>MEDIUM</t>
        </is>
      </c>
      <c r="I516" s="187" t="n">
        <v>9</v>
      </c>
      <c r="J516" s="187" t="inlineStr">
        <is>
          <t>NO</t>
        </is>
      </c>
      <c r="K516" s="187" t="inlineStr">
        <is>
          <t>https://nvd.nist.gov/vuln/detail/CVE-2024-56208</t>
        </is>
      </c>
      <c r="L516" s="187" t="inlineStr">
        <is>
          <t>2026-02-26 00:15</t>
        </is>
      </c>
      <c r="M516" s="187" t="inlineStr">
        <is>
          <t>CHECK_VENDOR</t>
        </is>
      </c>
      <c r="N516" s="187" t="inlineStr">
        <is>
          <t>See NVD references</t>
        </is>
      </c>
      <c r="O516" s="187" t="inlineStr">
        <is>
          <t>Apply vendor patches</t>
        </is>
      </c>
      <c r="P516" s="187" t="inlineStr">
        <is>
          <t>See CVE details</t>
        </is>
      </c>
      <c r="Q516" s="187" t="inlineStr">
        <is>
          <t>P4</t>
        </is>
      </c>
      <c r="R516" s="187" t="inlineStr">
        <is>
          <t>📅 Schedule patch deployment within 30 days | 🔍 Monitor for exploitation attempts</t>
        </is>
      </c>
      <c r="S516" s="187" t="inlineStr">
        <is>
          <t>CVE - IP enrichment n/a</t>
        </is>
      </c>
      <c r="T516" s="187" t="n">
        <v>0</v>
      </c>
      <c r="U516" s="187" t="n">
        <v>0</v>
      </c>
      <c r="V516" s="187" t="inlineStr">
        <is>
          <t>T1189:Drive-by Compromise</t>
        </is>
      </c>
      <c r="W516" s="187" t="n">
        <v>1</v>
      </c>
      <c r="X516" s="187" t="inlineStr">
        <is>
          <t>LOW (40%)</t>
        </is>
      </c>
      <c r="Y516" s="187" t="inlineStr">
        <is>
          <t>UNLIKELY</t>
        </is>
      </c>
      <c r="Z516" s="187" t="inlineStr">
        <is>
          <t>CHECK_VENDOR</t>
        </is>
      </c>
      <c r="AA516" s="187" t="inlineStr">
        <is>
          <t>https://nvd.nist.gov/vuln/detail/CVE-2024-56208</t>
        </is>
      </c>
      <c r="AB516" s="187" t="inlineStr">
        <is>
          <t>NONE</t>
        </is>
      </c>
      <c r="AC516" s="187" t="n">
        <v>0</v>
      </c>
      <c r="AD516" s="187" t="inlineStr"/>
    </row>
    <row r="517">
      <c r="A517" s="190" t="inlineStr">
        <is>
          <t>CVE</t>
        </is>
      </c>
      <c r="B517" s="190" t="inlineStr">
        <is>
          <t>CVE-2025-52603</t>
        </is>
      </c>
      <c r="C517" s="190" t="inlineStr">
        <is>
          <t>HCL Connections is vulnerable to information disclosure.  In a very specific user navigation scenario, this could allow a user to obtain limited information when a single piece of internal metadata is returned in the browser.</t>
        </is>
      </c>
      <c r="D517" s="190" t="n">
        <v>3.5</v>
      </c>
      <c r="E517" s="190" t="inlineStr">
        <is>
          <t>LOW</t>
        </is>
      </c>
      <c r="F517" s="190" t="n">
        <v>2</v>
      </c>
      <c r="G517" s="190" t="n">
        <v>1</v>
      </c>
      <c r="H517" s="190" t="inlineStr">
        <is>
          <t>LOW</t>
        </is>
      </c>
      <c r="I517" s="190" t="n">
        <v>5.5</v>
      </c>
      <c r="J517" s="190" t="inlineStr">
        <is>
          <t>NO</t>
        </is>
      </c>
      <c r="K517" s="190" t="inlineStr">
        <is>
          <t>https://nvd.nist.gov/vuln/detail/CVE-2025-52603</t>
        </is>
      </c>
      <c r="L517" s="190" t="inlineStr">
        <is>
          <t>2026-02-26 00:15</t>
        </is>
      </c>
      <c r="M517" s="190" t="inlineStr">
        <is>
          <t>YES</t>
        </is>
      </c>
      <c r="N517" s="190" t="inlineStr">
        <is>
          <t>https://support.hcl-software.com/csm?id=kb_article&amp;sysparm_article=KB0124242</t>
        </is>
      </c>
      <c r="O517" s="190" t="inlineStr">
        <is>
          <t>Apply vendor patches</t>
        </is>
      </c>
      <c r="P517" s="190" t="inlineStr">
        <is>
          <t>hcltech connections 7.0 | hcltech connections 8.0</t>
        </is>
      </c>
      <c r="Q517" s="190" t="inlineStr">
        <is>
          <t>P4</t>
        </is>
      </c>
      <c r="R517" s="190" t="inlineStr">
        <is>
          <t>📅 Schedule patch deployment within 30 days | 🔍 Monitor for exploitation attempts</t>
        </is>
      </c>
      <c r="S517" s="190" t="inlineStr">
        <is>
          <t>CVE - IP enrichment n/a</t>
        </is>
      </c>
      <c r="T517" s="190" t="n">
        <v>0</v>
      </c>
      <c r="U517" s="190" t="n">
        <v>0</v>
      </c>
      <c r="V517" s="190" t="inlineStr">
        <is>
          <t>T1213:Data from Information Repositories</t>
        </is>
      </c>
      <c r="W517" s="190" t="n">
        <v>1</v>
      </c>
      <c r="X517" s="190" t="inlineStr">
        <is>
          <t>LOW (40%)</t>
        </is>
      </c>
      <c r="Y517" s="190" t="inlineStr">
        <is>
          <t>UNLIKELY</t>
        </is>
      </c>
      <c r="Z517" s="190" t="inlineStr">
        <is>
          <t>PATCH_AVAILABLE</t>
        </is>
      </c>
      <c r="AA517" s="190" t="inlineStr">
        <is>
          <t>https://nvd.nist.gov/vuln/detail/CVE-2025-52603</t>
        </is>
      </c>
      <c r="AB517" s="190" t="inlineStr">
        <is>
          <t>NONE</t>
        </is>
      </c>
      <c r="AC517" s="190" t="n">
        <v>0</v>
      </c>
      <c r="AD517" s="190" t="inlineStr"/>
    </row>
    <row r="518">
      <c r="A518" s="188" t="inlineStr">
        <is>
          <t>CVE</t>
        </is>
      </c>
      <c r="B518" s="188" t="inlineStr">
        <is>
          <t>CVE-2025-52744</t>
        </is>
      </c>
      <c r="C518" s="188" t="inlineStr">
        <is>
          <t>Improper Control of Generation of Code ('Code Injection') vulnerability in inpersttion Inpersttion For Theme err-our-team allows Code Injection.This issue affects Inpersttion For Theme: from n/a through &lt;= 1.0.</t>
        </is>
      </c>
      <c r="D518" s="188" t="n">
        <v>7.6</v>
      </c>
      <c r="E518" s="188" t="inlineStr">
        <is>
          <t>HIGH</t>
        </is>
      </c>
      <c r="F518" s="188" t="n">
        <v>2</v>
      </c>
      <c r="G518" s="188" t="n">
        <v>3</v>
      </c>
      <c r="H518" s="188" t="inlineStr">
        <is>
          <t>HIGH</t>
        </is>
      </c>
      <c r="I518" s="188" t="n">
        <v>13.6</v>
      </c>
      <c r="J518" s="188" t="inlineStr">
        <is>
          <t>NO</t>
        </is>
      </c>
      <c r="K518" s="188" t="inlineStr">
        <is>
          <t>https://nvd.nist.gov/vuln/detail/CVE-2025-52744</t>
        </is>
      </c>
      <c r="L518" s="188" t="inlineStr">
        <is>
          <t>2026-02-26 00:15</t>
        </is>
      </c>
      <c r="M518" s="188" t="inlineStr">
        <is>
          <t>CHECK_VENDOR</t>
        </is>
      </c>
      <c r="N518" s="188" t="inlineStr">
        <is>
          <t>See NVD references</t>
        </is>
      </c>
      <c r="O518" s="188" t="inlineStr">
        <is>
          <t>Apply vendor patches</t>
        </is>
      </c>
      <c r="P518" s="188" t="inlineStr">
        <is>
          <t>See CVE details</t>
        </is>
      </c>
      <c r="Q518" s="188" t="inlineStr">
        <is>
          <t>P3</t>
        </is>
      </c>
      <c r="R518" s="188" t="inlineStr">
        <is>
          <t>🚨 URGENT: Apply vendor patches immediately | 🔒 Isolate affected systems if patch unavailable | 🛡️ Enable additional monitoring/IDS rules</t>
        </is>
      </c>
      <c r="S518" s="188" t="inlineStr">
        <is>
          <t>CVE - IP enrichment n/a</t>
        </is>
      </c>
      <c r="T518" s="188" t="n">
        <v>0</v>
      </c>
      <c r="U518" s="188" t="n">
        <v>0</v>
      </c>
      <c r="V518" s="188" t="inlineStr">
        <is>
          <t>T1059:Command and Scripting Interpreter</t>
        </is>
      </c>
      <c r="W518" s="188" t="n">
        <v>1</v>
      </c>
      <c r="X518" s="188" t="inlineStr">
        <is>
          <t>LOW (40%)</t>
        </is>
      </c>
      <c r="Y518" s="188" t="inlineStr">
        <is>
          <t>UNLIKELY</t>
        </is>
      </c>
      <c r="Z518" s="188" t="inlineStr">
        <is>
          <t>CHECK_VENDOR</t>
        </is>
      </c>
      <c r="AA518" s="188" t="inlineStr">
        <is>
          <t>https://nvd.nist.gov/vuln/detail/CVE-2025-52744</t>
        </is>
      </c>
      <c r="AB518" s="188" t="inlineStr">
        <is>
          <t>NONE</t>
        </is>
      </c>
      <c r="AC518" s="188" t="n">
        <v>0</v>
      </c>
      <c r="AD518" s="188" t="inlineStr"/>
    </row>
    <row r="519">
      <c r="A519" s="187" t="inlineStr">
        <is>
          <t>CVE</t>
        </is>
      </c>
      <c r="B519" s="187" t="inlineStr">
        <is>
          <t>CVE-2025-53217</t>
        </is>
      </c>
      <c r="C519" s="187" t="inlineStr">
        <is>
          <t>Missing Authorization vulnerability in staviravn AIO WP Builder all-in-one-wp-builder allows Exploiting Incorrectly Configured Access Control Security Levels.This issue affects AIO WP Builder: from n/a through &lt;= 2.0.2.</t>
        </is>
      </c>
      <c r="D519" s="187" t="n">
        <v>5</v>
      </c>
      <c r="E519" s="187" t="inlineStr">
        <is>
          <t>MEDIUM</t>
        </is>
      </c>
      <c r="F519" s="187" t="n">
        <v>2</v>
      </c>
      <c r="G519" s="187" t="n">
        <v>2</v>
      </c>
      <c r="H519" s="187" t="inlineStr">
        <is>
          <t>MEDIUM</t>
        </is>
      </c>
      <c r="I519" s="187" t="n">
        <v>9</v>
      </c>
      <c r="J519" s="187" t="inlineStr">
        <is>
          <t>NO</t>
        </is>
      </c>
      <c r="K519" s="187" t="inlineStr">
        <is>
          <t>https://nvd.nist.gov/vuln/detail/CVE-2025-53217</t>
        </is>
      </c>
      <c r="L519" s="187" t="inlineStr">
        <is>
          <t>2026-02-26 00:15</t>
        </is>
      </c>
      <c r="M519" s="187" t="inlineStr">
        <is>
          <t>CHECK_VENDOR</t>
        </is>
      </c>
      <c r="N519" s="187" t="inlineStr">
        <is>
          <t>See NVD references</t>
        </is>
      </c>
      <c r="O519" s="187" t="inlineStr">
        <is>
          <t>Apply vendor patches</t>
        </is>
      </c>
      <c r="P519" s="187" t="inlineStr">
        <is>
          <t>See CVE details</t>
        </is>
      </c>
      <c r="Q519" s="187" t="inlineStr">
        <is>
          <t>P4</t>
        </is>
      </c>
      <c r="R519" s="187" t="inlineStr">
        <is>
          <t>📅 Schedule patch deployment within 30 days | 🔍 Monitor for exploitation attempts</t>
        </is>
      </c>
      <c r="S519" s="187" t="inlineStr">
        <is>
          <t>CVE - IP enrichment n/a</t>
        </is>
      </c>
      <c r="T519" s="187" t="n">
        <v>0</v>
      </c>
      <c r="U519" s="187" t="n">
        <v>0</v>
      </c>
      <c r="V519" s="187" t="inlineStr">
        <is>
          <t>T1190:Exploit Public-Facing Application</t>
        </is>
      </c>
      <c r="W519" s="187" t="n">
        <v>1</v>
      </c>
      <c r="X519" s="187" t="inlineStr">
        <is>
          <t>LOW (40%)</t>
        </is>
      </c>
      <c r="Y519" s="187" t="inlineStr">
        <is>
          <t>UNLIKELY</t>
        </is>
      </c>
      <c r="Z519" s="187" t="inlineStr">
        <is>
          <t>CHECK_VENDOR</t>
        </is>
      </c>
      <c r="AA519" s="187" t="inlineStr">
        <is>
          <t>https://nvd.nist.gov/vuln/detail/CVE-2025-53217</t>
        </is>
      </c>
      <c r="AB519" s="187" t="inlineStr">
        <is>
          <t>NONE</t>
        </is>
      </c>
      <c r="AC519" s="187" t="n">
        <v>0</v>
      </c>
      <c r="AD519" s="187" t="inlineStr"/>
    </row>
    <row r="520">
      <c r="A520" s="188" t="inlineStr">
        <is>
          <t>CVE</t>
        </is>
      </c>
      <c r="B520" s="188" t="inlineStr">
        <is>
          <t>CVE-2025-53228</t>
        </is>
      </c>
      <c r="C520" s="188" t="inlineStr">
        <is>
          <t>Improper Neutralization of Input During Web Page Generation ('Cross-site Scripting') vulnerability in jezza101 bbpress Simple Advert Units bbpress-simple-advert-units allows Reflected XSS.This issue affects bbpress Simple Advert Units: from n/a through &lt;= 0.41.</t>
        </is>
      </c>
      <c r="D520" s="188" t="n">
        <v>7.1</v>
      </c>
      <c r="E520" s="188" t="inlineStr">
        <is>
          <t>HIGH</t>
        </is>
      </c>
      <c r="F520" s="188" t="n">
        <v>2</v>
      </c>
      <c r="G520" s="188" t="n">
        <v>3</v>
      </c>
      <c r="H520" s="188" t="inlineStr">
        <is>
          <t>HIGH</t>
        </is>
      </c>
      <c r="I520" s="188" t="n">
        <v>13.1</v>
      </c>
      <c r="J520" s="188" t="inlineStr">
        <is>
          <t>NO</t>
        </is>
      </c>
      <c r="K520" s="188" t="inlineStr">
        <is>
          <t>https://nvd.nist.gov/vuln/detail/CVE-2025-53228</t>
        </is>
      </c>
      <c r="L520" s="188" t="inlineStr">
        <is>
          <t>2026-02-26 00:15</t>
        </is>
      </c>
      <c r="M520" s="188" t="inlineStr">
        <is>
          <t>CHECK_VENDOR</t>
        </is>
      </c>
      <c r="N520" s="188" t="inlineStr">
        <is>
          <t>See NVD references</t>
        </is>
      </c>
      <c r="O520" s="188" t="inlineStr">
        <is>
          <t>Apply vendor patches</t>
        </is>
      </c>
      <c r="P520" s="188" t="inlineStr">
        <is>
          <t>See CVE details</t>
        </is>
      </c>
      <c r="Q520" s="188" t="inlineStr">
        <is>
          <t>P3</t>
        </is>
      </c>
      <c r="R520" s="188" t="inlineStr">
        <is>
          <t>🚨 URGENT: Apply vendor patches immediately | 🔒 Isolate affected systems if patch unavailable | 🛡️ Enable additional monitoring/IDS rules</t>
        </is>
      </c>
      <c r="S520" s="188" t="inlineStr">
        <is>
          <t>CVE - IP enrichment n/a</t>
        </is>
      </c>
      <c r="T520" s="188" t="n">
        <v>0</v>
      </c>
      <c r="U520" s="188" t="n">
        <v>0</v>
      </c>
      <c r="V520" s="188" t="inlineStr">
        <is>
          <t>T1189:Drive-by Compromise</t>
        </is>
      </c>
      <c r="W520" s="188" t="n">
        <v>1</v>
      </c>
      <c r="X520" s="188" t="inlineStr">
        <is>
          <t>LOW (40%)</t>
        </is>
      </c>
      <c r="Y520" s="188" t="inlineStr">
        <is>
          <t>UNLIKELY</t>
        </is>
      </c>
      <c r="Z520" s="188" t="inlineStr">
        <is>
          <t>CHECK_VENDOR</t>
        </is>
      </c>
      <c r="AA520" s="188" t="inlineStr">
        <is>
          <t>https://nvd.nist.gov/vuln/detail/CVE-2025-53228</t>
        </is>
      </c>
      <c r="AB520" s="188" t="inlineStr">
        <is>
          <t>NONE</t>
        </is>
      </c>
      <c r="AC520" s="188" t="n">
        <v>0</v>
      </c>
      <c r="AD520" s="188" t="inlineStr"/>
    </row>
    <row r="521">
      <c r="A521" s="188" t="inlineStr">
        <is>
          <t>CVE</t>
        </is>
      </c>
      <c r="B521" s="188" t="inlineStr">
        <is>
          <t>CVE-2025-53231</t>
        </is>
      </c>
      <c r="C521" s="188" t="inlineStr">
        <is>
          <t>Improper Neutralization of Input During Web Page Generation ('Cross-site Scripting') vulnerability in wpdevstudio Easy Taxonomy Images easy-taxonomy-images allows Stored XSS.This issue affects Easy Taxonomy Images: from n/a through &lt;= 1.0.1.</t>
        </is>
      </c>
      <c r="D521" s="188" t="n">
        <v>7.1</v>
      </c>
      <c r="E521" s="188" t="inlineStr">
        <is>
          <t>HIGH</t>
        </is>
      </c>
      <c r="F521" s="188" t="n">
        <v>2</v>
      </c>
      <c r="G521" s="188" t="n">
        <v>3</v>
      </c>
      <c r="H521" s="188" t="inlineStr">
        <is>
          <t>HIGH</t>
        </is>
      </c>
      <c r="I521" s="188" t="n">
        <v>13.1</v>
      </c>
      <c r="J521" s="188" t="inlineStr">
        <is>
          <t>NO</t>
        </is>
      </c>
      <c r="K521" s="188" t="inlineStr">
        <is>
          <t>https://nvd.nist.gov/vuln/detail/CVE-2025-53231</t>
        </is>
      </c>
      <c r="L521" s="188" t="inlineStr">
        <is>
          <t>2026-02-26 00:15</t>
        </is>
      </c>
      <c r="M521" s="188" t="inlineStr">
        <is>
          <t>CHECK_VENDOR</t>
        </is>
      </c>
      <c r="N521" s="188" t="inlineStr">
        <is>
          <t>See NVD references</t>
        </is>
      </c>
      <c r="O521" s="188" t="inlineStr">
        <is>
          <t>Apply vendor patches</t>
        </is>
      </c>
      <c r="P521" s="188" t="inlineStr">
        <is>
          <t>See CVE details</t>
        </is>
      </c>
      <c r="Q521" s="188" t="inlineStr">
        <is>
          <t>P3</t>
        </is>
      </c>
      <c r="R521" s="188" t="inlineStr">
        <is>
          <t>🚨 URGENT: Apply vendor patches immediately | 🔒 Isolate affected systems if patch unavailable | 🛡️ Enable additional monitoring/IDS rules</t>
        </is>
      </c>
      <c r="S521" s="188" t="inlineStr">
        <is>
          <t>CVE - IP enrichment n/a</t>
        </is>
      </c>
      <c r="T521" s="188" t="n">
        <v>0</v>
      </c>
      <c r="U521" s="188" t="n">
        <v>0</v>
      </c>
      <c r="V521" s="188" t="inlineStr">
        <is>
          <t>T1189:Drive-by Compromise</t>
        </is>
      </c>
      <c r="W521" s="188" t="n">
        <v>1</v>
      </c>
      <c r="X521" s="188" t="inlineStr">
        <is>
          <t>LOW (40%)</t>
        </is>
      </c>
      <c r="Y521" s="188" t="inlineStr">
        <is>
          <t>UNLIKELY</t>
        </is>
      </c>
      <c r="Z521" s="188" t="inlineStr">
        <is>
          <t>CHECK_VENDOR</t>
        </is>
      </c>
      <c r="AA521" s="188" t="inlineStr">
        <is>
          <t>https://nvd.nist.gov/vuln/detail/CVE-2025-53231</t>
        </is>
      </c>
      <c r="AB521" s="188" t="inlineStr">
        <is>
          <t>NONE</t>
        </is>
      </c>
      <c r="AC521" s="188" t="n">
        <v>0</v>
      </c>
      <c r="AD521" s="188" t="inlineStr"/>
    </row>
    <row r="522">
      <c r="A522" s="188" t="inlineStr">
        <is>
          <t>CVE</t>
        </is>
      </c>
      <c r="B522" s="188" t="inlineStr">
        <is>
          <t>CVE-2025-53233</t>
        </is>
      </c>
      <c r="C522" s="188" t="inlineStr">
        <is>
          <t>Improper Neutralization of Input During Web Page Generation ('Cross-site Scripting') vulnerability in RylanH Storyform storyform allows Reflected XSS.This issue affects Storyform: from n/a through &lt;= 0.6.14.</t>
        </is>
      </c>
      <c r="D522" s="188" t="n">
        <v>7.1</v>
      </c>
      <c r="E522" s="188" t="inlineStr">
        <is>
          <t>HIGH</t>
        </is>
      </c>
      <c r="F522" s="188" t="n">
        <v>2</v>
      </c>
      <c r="G522" s="188" t="n">
        <v>3</v>
      </c>
      <c r="H522" s="188" t="inlineStr">
        <is>
          <t>HIGH</t>
        </is>
      </c>
      <c r="I522" s="188" t="n">
        <v>13.1</v>
      </c>
      <c r="J522" s="188" t="inlineStr">
        <is>
          <t>NO</t>
        </is>
      </c>
      <c r="K522" s="188" t="inlineStr">
        <is>
          <t>https://nvd.nist.gov/vuln/detail/CVE-2025-53233</t>
        </is>
      </c>
      <c r="L522" s="188" t="inlineStr">
        <is>
          <t>2026-02-26 00:15</t>
        </is>
      </c>
      <c r="M522" s="188" t="inlineStr">
        <is>
          <t>CHECK_VENDOR</t>
        </is>
      </c>
      <c r="N522" s="188" t="inlineStr">
        <is>
          <t>See NVD references</t>
        </is>
      </c>
      <c r="O522" s="188" t="inlineStr">
        <is>
          <t>Apply vendor patches</t>
        </is>
      </c>
      <c r="P522" s="188" t="inlineStr">
        <is>
          <t>See CVE details</t>
        </is>
      </c>
      <c r="Q522" s="188" t="inlineStr">
        <is>
          <t>P3</t>
        </is>
      </c>
      <c r="R522" s="188" t="inlineStr">
        <is>
          <t>🚨 URGENT: Apply vendor patches immediately | 🔒 Isolate affected systems if patch unavailable | 🛡️ Enable additional monitoring/IDS rules</t>
        </is>
      </c>
      <c r="S522" s="188" t="inlineStr">
        <is>
          <t>CVE - IP enrichment n/a</t>
        </is>
      </c>
      <c r="T522" s="188" t="n">
        <v>0</v>
      </c>
      <c r="U522" s="188" t="n">
        <v>0</v>
      </c>
      <c r="V522" s="188" t="inlineStr">
        <is>
          <t>T1189:Drive-by Compromise</t>
        </is>
      </c>
      <c r="W522" s="188" t="n">
        <v>1</v>
      </c>
      <c r="X522" s="188" t="inlineStr">
        <is>
          <t>LOW (40%)</t>
        </is>
      </c>
      <c r="Y522" s="188" t="inlineStr">
        <is>
          <t>UNLIKELY</t>
        </is>
      </c>
      <c r="Z522" s="188" t="inlineStr">
        <is>
          <t>CHECK_VENDOR</t>
        </is>
      </c>
      <c r="AA522" s="188" t="inlineStr">
        <is>
          <t>https://nvd.nist.gov/vuln/detail/CVE-2025-53233</t>
        </is>
      </c>
      <c r="AB522" s="188" t="inlineStr">
        <is>
          <t>NONE</t>
        </is>
      </c>
      <c r="AC522" s="188" t="n">
        <v>0</v>
      </c>
      <c r="AD522" s="188" t="inlineStr"/>
    </row>
    <row r="523">
      <c r="A523" s="188" t="inlineStr">
        <is>
          <t>CVE</t>
        </is>
      </c>
      <c r="B523" s="188" t="inlineStr">
        <is>
          <t>CVE-2025-53237</t>
        </is>
      </c>
      <c r="C523" s="188" t="inlineStr">
        <is>
          <t>Improper Neutralization of Input During Web Page Generation ('Cross-site Scripting') vulnerability in Soflyy WP Wizard Cloak wp-wizard-cloak allows Reflected XSS.This issue affects WP Wizard Cloak: from n/a through &lt;= 1.0.1.</t>
        </is>
      </c>
      <c r="D523" s="188" t="n">
        <v>7.1</v>
      </c>
      <c r="E523" s="188" t="inlineStr">
        <is>
          <t>HIGH</t>
        </is>
      </c>
      <c r="F523" s="188" t="n">
        <v>2</v>
      </c>
      <c r="G523" s="188" t="n">
        <v>3</v>
      </c>
      <c r="H523" s="188" t="inlineStr">
        <is>
          <t>HIGH</t>
        </is>
      </c>
      <c r="I523" s="188" t="n">
        <v>13.1</v>
      </c>
      <c r="J523" s="188" t="inlineStr">
        <is>
          <t>NO</t>
        </is>
      </c>
      <c r="K523" s="188" t="inlineStr">
        <is>
          <t>https://nvd.nist.gov/vuln/detail/CVE-2025-53237</t>
        </is>
      </c>
      <c r="L523" s="188" t="inlineStr">
        <is>
          <t>2026-02-26 00:15</t>
        </is>
      </c>
      <c r="M523" s="188" t="inlineStr">
        <is>
          <t>CHECK_VENDOR</t>
        </is>
      </c>
      <c r="N523" s="188" t="inlineStr">
        <is>
          <t>See NVD references</t>
        </is>
      </c>
      <c r="O523" s="188" t="inlineStr">
        <is>
          <t>Apply vendor patches</t>
        </is>
      </c>
      <c r="P523" s="188" t="inlineStr">
        <is>
          <t>See CVE details</t>
        </is>
      </c>
      <c r="Q523" s="188" t="inlineStr">
        <is>
          <t>P3</t>
        </is>
      </c>
      <c r="R523" s="188" t="inlineStr">
        <is>
          <t>🚨 URGENT: Apply vendor patches immediately | 🔒 Isolate affected systems if patch unavailable | 🛡️ Enable additional monitoring/IDS rules</t>
        </is>
      </c>
      <c r="S523" s="188" t="inlineStr">
        <is>
          <t>CVE - IP enrichment n/a</t>
        </is>
      </c>
      <c r="T523" s="188" t="n">
        <v>0</v>
      </c>
      <c r="U523" s="188" t="n">
        <v>0</v>
      </c>
      <c r="V523" s="188" t="inlineStr">
        <is>
          <t>T1189:Drive-by Compromise</t>
        </is>
      </c>
      <c r="W523" s="188" t="n">
        <v>1</v>
      </c>
      <c r="X523" s="188" t="inlineStr">
        <is>
          <t>LOW (40%)</t>
        </is>
      </c>
      <c r="Y523" s="188" t="inlineStr">
        <is>
          <t>UNLIKELY</t>
        </is>
      </c>
      <c r="Z523" s="188" t="inlineStr">
        <is>
          <t>CHECK_VENDOR</t>
        </is>
      </c>
      <c r="AA523" s="188" t="inlineStr">
        <is>
          <t>https://nvd.nist.gov/vuln/detail/CVE-2025-53237</t>
        </is>
      </c>
      <c r="AB523" s="188" t="inlineStr">
        <is>
          <t>NONE</t>
        </is>
      </c>
      <c r="AC523" s="188" t="n">
        <v>0</v>
      </c>
      <c r="AD523" s="188" t="inlineStr"/>
    </row>
    <row r="524">
      <c r="A524" s="188" t="inlineStr">
        <is>
          <t>CVE</t>
        </is>
      </c>
      <c r="B524" s="188" t="inlineStr">
        <is>
          <t>CVE-2025-60087</t>
        </is>
      </c>
      <c r="C524" s="188" t="inlineStr">
        <is>
          <t>Improper Control of Filename for Include/Require Statement in PHP Program ('PHP Remote File Inclusion') vulnerability in Nenad Obradovic Extensive VC Addons for WPBakery page builder extensive-vc-addon allows PHP Local File Inclusion.This issue affects Extensive VC Addons for WPBakery page builder: from n/a through &lt;= 1.9.1.</t>
        </is>
      </c>
      <c r="D524" s="188" t="n">
        <v>8.1</v>
      </c>
      <c r="E524" s="188" t="inlineStr">
        <is>
          <t>HIGH</t>
        </is>
      </c>
      <c r="F524" s="188" t="n">
        <v>2</v>
      </c>
      <c r="G524" s="188" t="n">
        <v>3</v>
      </c>
      <c r="H524" s="188" t="inlineStr">
        <is>
          <t>HIGH</t>
        </is>
      </c>
      <c r="I524" s="188" t="n">
        <v>14.1</v>
      </c>
      <c r="J524" s="188" t="inlineStr">
        <is>
          <t>NO</t>
        </is>
      </c>
      <c r="K524" s="188" t="inlineStr">
        <is>
          <t>https://nvd.nist.gov/vuln/detail/CVE-2025-60087</t>
        </is>
      </c>
      <c r="L524" s="188" t="inlineStr">
        <is>
          <t>2026-02-26 00:15</t>
        </is>
      </c>
      <c r="M524" s="188" t="inlineStr">
        <is>
          <t>CHECK_VENDOR</t>
        </is>
      </c>
      <c r="N524" s="188" t="inlineStr">
        <is>
          <t>See NVD references</t>
        </is>
      </c>
      <c r="O524" s="188" t="inlineStr">
        <is>
          <t>Apply vendor patches</t>
        </is>
      </c>
      <c r="P524" s="188" t="inlineStr">
        <is>
          <t>See CVE details</t>
        </is>
      </c>
      <c r="Q524" s="188" t="inlineStr">
        <is>
          <t>P3</t>
        </is>
      </c>
      <c r="R524" s="188" t="inlineStr">
        <is>
          <t>🚨 URGENT: Apply vendor patches immediately | 🔒 Isolate affected systems if patch unavailable | 🛡️ Enable additional monitoring/IDS rules</t>
        </is>
      </c>
      <c r="S524" s="188" t="inlineStr">
        <is>
          <t>CVE - IP enrichment n/a</t>
        </is>
      </c>
      <c r="T524" s="188" t="n">
        <v>0</v>
      </c>
      <c r="U524" s="188" t="n">
        <v>0</v>
      </c>
      <c r="V524" s="188" t="inlineStr">
        <is>
          <t>T1190:Exploit Public-Facing Application</t>
        </is>
      </c>
      <c r="W524" s="188" t="n">
        <v>1</v>
      </c>
      <c r="X524" s="188" t="inlineStr">
        <is>
          <t>LOW (40%)</t>
        </is>
      </c>
      <c r="Y524" s="188" t="inlineStr">
        <is>
          <t>UNLIKELY</t>
        </is>
      </c>
      <c r="Z524" s="188" t="inlineStr">
        <is>
          <t>CHECK_VENDOR</t>
        </is>
      </c>
      <c r="AA524" s="188" t="inlineStr">
        <is>
          <t>https://nvd.nist.gov/vuln/detail/CVE-2025-60087</t>
        </is>
      </c>
      <c r="AB524" s="188" t="inlineStr">
        <is>
          <t>NONE</t>
        </is>
      </c>
      <c r="AC524" s="188" t="n">
        <v>0</v>
      </c>
      <c r="AD524" s="188" t="inlineStr"/>
    </row>
    <row r="525">
      <c r="A525" s="187" t="inlineStr">
        <is>
          <t>CVE</t>
        </is>
      </c>
      <c r="B525" s="187" t="inlineStr">
        <is>
          <t>CVE-2025-60183</t>
        </is>
      </c>
      <c r="C525" s="187" t="inlineStr">
        <is>
          <t>Improper Neutralization of Input During Web Page Generation ('Cross-site Scripting') vulnerability in silence Silencesoft RSS Reader external-rss-reader allows Stored XSS.This issue affects Silencesoft RSS Reader: from n/a through &lt;= 0.6.</t>
        </is>
      </c>
      <c r="D525" s="187" t="n">
        <v>5</v>
      </c>
      <c r="E525" s="187" t="inlineStr">
        <is>
          <t>MEDIUM</t>
        </is>
      </c>
      <c r="F525" s="187" t="n">
        <v>2</v>
      </c>
      <c r="G525" s="187" t="n">
        <v>2</v>
      </c>
      <c r="H525" s="187" t="inlineStr">
        <is>
          <t>MEDIUM</t>
        </is>
      </c>
      <c r="I525" s="187" t="n">
        <v>9</v>
      </c>
      <c r="J525" s="187" t="inlineStr">
        <is>
          <t>NO</t>
        </is>
      </c>
      <c r="K525" s="187" t="inlineStr">
        <is>
          <t>https://nvd.nist.gov/vuln/detail/CVE-2025-60183</t>
        </is>
      </c>
      <c r="L525" s="187" t="inlineStr">
        <is>
          <t>2026-02-26 00:15</t>
        </is>
      </c>
      <c r="M525" s="187" t="inlineStr">
        <is>
          <t>CHECK_VENDOR</t>
        </is>
      </c>
      <c r="N525" s="187" t="inlineStr">
        <is>
          <t>See NVD references</t>
        </is>
      </c>
      <c r="O525" s="187" t="inlineStr">
        <is>
          <t>Apply vendor patches</t>
        </is>
      </c>
      <c r="P525" s="187" t="inlineStr">
        <is>
          <t>See CVE details</t>
        </is>
      </c>
      <c r="Q525" s="187" t="inlineStr">
        <is>
          <t>P4</t>
        </is>
      </c>
      <c r="R525" s="187" t="inlineStr">
        <is>
          <t>📅 Schedule patch deployment within 30 days | 🔍 Monitor for exploitation attempts</t>
        </is>
      </c>
      <c r="S525" s="187" t="inlineStr">
        <is>
          <t>CVE - IP enrichment n/a</t>
        </is>
      </c>
      <c r="T525" s="187" t="n">
        <v>0</v>
      </c>
      <c r="U525" s="187" t="n">
        <v>0</v>
      </c>
      <c r="V525" s="187" t="inlineStr">
        <is>
          <t>T1189:Drive-by Compromise</t>
        </is>
      </c>
      <c r="W525" s="187" t="n">
        <v>1</v>
      </c>
      <c r="X525" s="187" t="inlineStr">
        <is>
          <t>LOW (40%)</t>
        </is>
      </c>
      <c r="Y525" s="187" t="inlineStr">
        <is>
          <t>UNLIKELY</t>
        </is>
      </c>
      <c r="Z525" s="187" t="inlineStr">
        <is>
          <t>CHECK_VENDOR</t>
        </is>
      </c>
      <c r="AA525" s="187" t="inlineStr">
        <is>
          <t>https://nvd.nist.gov/vuln/detail/CVE-2025-60183</t>
        </is>
      </c>
      <c r="AB525" s="187" t="inlineStr">
        <is>
          <t>NONE</t>
        </is>
      </c>
      <c r="AC525" s="187" t="n">
        <v>0</v>
      </c>
      <c r="AD525" s="187" t="inlineStr"/>
    </row>
    <row r="526">
      <c r="A526" s="187" t="inlineStr">
        <is>
          <t>CVE</t>
        </is>
      </c>
      <c r="B526" s="187" t="inlineStr">
        <is>
          <t>CVE-2025-67438</t>
        </is>
      </c>
      <c r="C526" s="187" t="inlineStr">
        <is>
          <t>A Stored Cross-Site Scripting (XSS) vulnerability in Sync-in Server before 1.9.3 allows an authenticated attacker to execute arbitrary JavaScript in a victim's browser. By uploading a crafted SVG file containing a malicious payload, an attacker can access and exfiltrate sensitive information, including the user's session cookies.</t>
        </is>
      </c>
      <c r="D526" s="187" t="n">
        <v>6.1</v>
      </c>
      <c r="E526" s="187" t="inlineStr">
        <is>
          <t>MEDIUM</t>
        </is>
      </c>
      <c r="F526" s="187" t="n">
        <v>2</v>
      </c>
      <c r="G526" s="187" t="n">
        <v>2</v>
      </c>
      <c r="H526" s="187" t="inlineStr">
        <is>
          <t>MEDIUM</t>
        </is>
      </c>
      <c r="I526" s="187" t="n">
        <v>10.1</v>
      </c>
      <c r="J526" s="187" t="inlineStr">
        <is>
          <t>NO</t>
        </is>
      </c>
      <c r="K526" s="187" t="inlineStr">
        <is>
          <t>https://nvd.nist.gov/vuln/detail/CVE-2025-67438</t>
        </is>
      </c>
      <c r="L526" s="187" t="inlineStr">
        <is>
          <t>2026-02-26 00:15</t>
        </is>
      </c>
      <c r="M526" s="187" t="inlineStr">
        <is>
          <t>CHECK_VENDOR</t>
        </is>
      </c>
      <c r="N526" s="187" t="inlineStr">
        <is>
          <t>See NVD references</t>
        </is>
      </c>
      <c r="O526" s="187" t="inlineStr">
        <is>
          <t>Apply vendor patches</t>
        </is>
      </c>
      <c r="P526" s="187" t="inlineStr">
        <is>
          <t>See CVE details</t>
        </is>
      </c>
      <c r="Q526" s="187" t="inlineStr">
        <is>
          <t>P4</t>
        </is>
      </c>
      <c r="R526" s="187" t="inlineStr">
        <is>
          <t>📅 Schedule patch deployment within 30 days | 🔍 Monitor for exploitation attempts</t>
        </is>
      </c>
      <c r="S526" s="187" t="inlineStr">
        <is>
          <t>CVE - IP enrichment n/a</t>
        </is>
      </c>
      <c r="T526" s="187" t="n">
        <v>0</v>
      </c>
      <c r="U526" s="187" t="n">
        <v>0</v>
      </c>
      <c r="V526" s="187" t="inlineStr">
        <is>
          <t>T1189:Drive-by Compromise</t>
        </is>
      </c>
      <c r="W526" s="187" t="n">
        <v>1</v>
      </c>
      <c r="X526" s="187" t="inlineStr">
        <is>
          <t>LOW (40%)</t>
        </is>
      </c>
      <c r="Y526" s="187" t="inlineStr">
        <is>
          <t>UNLIKELY</t>
        </is>
      </c>
      <c r="Z526" s="187" t="inlineStr">
        <is>
          <t>CHECK_VENDOR</t>
        </is>
      </c>
      <c r="AA526" s="187" t="inlineStr">
        <is>
          <t>https://nvd.nist.gov/vuln/detail/CVE-2025-67438</t>
        </is>
      </c>
      <c r="AB526" s="187" t="inlineStr">
        <is>
          <t>NONE</t>
        </is>
      </c>
      <c r="AC526" s="187" t="n">
        <v>0</v>
      </c>
      <c r="AD526" s="187" t="inlineStr"/>
    </row>
    <row r="527">
      <c r="A527" s="187" t="inlineStr">
        <is>
          <t>CVE</t>
        </is>
      </c>
      <c r="B527" s="187" t="inlineStr">
        <is>
          <t>CVE-2025-67547</t>
        </is>
      </c>
      <c r="C527" s="187" t="inlineStr">
        <is>
          <t>Missing Authorization vulnerability in uixthemes Konte konte allows Exploiting Incorrectly Configured Access Control Security Levels.This issue affects Konte: from n/a through &lt;= 2.4.6.</t>
        </is>
      </c>
      <c r="D527" s="187" t="n">
        <v>5</v>
      </c>
      <c r="E527" s="187" t="inlineStr">
        <is>
          <t>MEDIUM</t>
        </is>
      </c>
      <c r="F527" s="187" t="n">
        <v>2</v>
      </c>
      <c r="G527" s="187" t="n">
        <v>2</v>
      </c>
      <c r="H527" s="187" t="inlineStr">
        <is>
          <t>MEDIUM</t>
        </is>
      </c>
      <c r="I527" s="187" t="n">
        <v>9</v>
      </c>
      <c r="J527" s="187" t="inlineStr">
        <is>
          <t>NO</t>
        </is>
      </c>
      <c r="K527" s="187" t="inlineStr">
        <is>
          <t>https://nvd.nist.gov/vuln/detail/CVE-2025-67547</t>
        </is>
      </c>
      <c r="L527" s="187" t="inlineStr">
        <is>
          <t>2026-02-26 00:15</t>
        </is>
      </c>
      <c r="M527" s="187" t="inlineStr">
        <is>
          <t>CHECK_VENDOR</t>
        </is>
      </c>
      <c r="N527" s="187" t="inlineStr">
        <is>
          <t>See NVD references</t>
        </is>
      </c>
      <c r="O527" s="187" t="inlineStr">
        <is>
          <t>Apply vendor patches</t>
        </is>
      </c>
      <c r="P527" s="187" t="inlineStr">
        <is>
          <t>See CVE details</t>
        </is>
      </c>
      <c r="Q527" s="187" t="inlineStr">
        <is>
          <t>P4</t>
        </is>
      </c>
      <c r="R527" s="187" t="inlineStr">
        <is>
          <t>📅 Schedule patch deployment within 30 days | 🔍 Monitor for exploitation attempts</t>
        </is>
      </c>
      <c r="S527" s="187" t="inlineStr">
        <is>
          <t>CVE - IP enrichment n/a</t>
        </is>
      </c>
      <c r="T527" s="187" t="n">
        <v>0</v>
      </c>
      <c r="U527" s="187" t="n">
        <v>0</v>
      </c>
      <c r="V527" s="187" t="inlineStr">
        <is>
          <t>T1190:Exploit Public-Facing Application</t>
        </is>
      </c>
      <c r="W527" s="187" t="n">
        <v>1</v>
      </c>
      <c r="X527" s="187" t="inlineStr">
        <is>
          <t>LOW (40%)</t>
        </is>
      </c>
      <c r="Y527" s="187" t="inlineStr">
        <is>
          <t>UNLIKELY</t>
        </is>
      </c>
      <c r="Z527" s="187" t="inlineStr">
        <is>
          <t>CHECK_VENDOR</t>
        </is>
      </c>
      <c r="AA527" s="187" t="inlineStr">
        <is>
          <t>https://nvd.nist.gov/vuln/detail/CVE-2025-67547</t>
        </is>
      </c>
      <c r="AB527" s="187" t="inlineStr">
        <is>
          <t>NONE</t>
        </is>
      </c>
      <c r="AC527" s="187" t="n">
        <v>0</v>
      </c>
      <c r="AD527" s="187" t="inlineStr"/>
    </row>
    <row r="528">
      <c r="A528" s="187" t="inlineStr">
        <is>
          <t>CVE</t>
        </is>
      </c>
      <c r="B528" s="187" t="inlineStr">
        <is>
          <t>CVE-2025-67624</t>
        </is>
      </c>
      <c r="C528" s="187" t="inlineStr">
        <is>
          <t>Missing Authorization vulnerability in Arya Dhiratara Optimize More! &amp;#8211; Images optimize-more-images allows Exploiting Incorrectly Configured Access Control Security Levels.This issue affects Optimize More! &amp;#8211; Images: from n/a through &lt;= 1.1.3.</t>
        </is>
      </c>
      <c r="D528" s="187" t="n">
        <v>6.5</v>
      </c>
      <c r="E528" s="187" t="inlineStr">
        <is>
          <t>MEDIUM</t>
        </is>
      </c>
      <c r="F528" s="187" t="n">
        <v>2</v>
      </c>
      <c r="G528" s="187" t="n">
        <v>2</v>
      </c>
      <c r="H528" s="187" t="inlineStr">
        <is>
          <t>MEDIUM</t>
        </is>
      </c>
      <c r="I528" s="187" t="n">
        <v>10.5</v>
      </c>
      <c r="J528" s="187" t="inlineStr">
        <is>
          <t>NO</t>
        </is>
      </c>
      <c r="K528" s="187" t="inlineStr">
        <is>
          <t>https://nvd.nist.gov/vuln/detail/CVE-2025-67624</t>
        </is>
      </c>
      <c r="L528" s="187" t="inlineStr">
        <is>
          <t>2026-02-26 00:15</t>
        </is>
      </c>
      <c r="M528" s="187" t="inlineStr">
        <is>
          <t>CHECK_VENDOR</t>
        </is>
      </c>
      <c r="N528" s="187" t="inlineStr">
        <is>
          <t>See NVD references</t>
        </is>
      </c>
      <c r="O528" s="187" t="inlineStr">
        <is>
          <t>Apply vendor patches</t>
        </is>
      </c>
      <c r="P528" s="187" t="inlineStr">
        <is>
          <t>See CVE details</t>
        </is>
      </c>
      <c r="Q528" s="187" t="inlineStr">
        <is>
          <t>P4</t>
        </is>
      </c>
      <c r="R528" s="187" t="inlineStr">
        <is>
          <t>📅 Schedule patch deployment within 30 days | 🔍 Monitor for exploitation attempts</t>
        </is>
      </c>
      <c r="S528" s="187" t="inlineStr">
        <is>
          <t>CVE - IP enrichment n/a</t>
        </is>
      </c>
      <c r="T528" s="187" t="n">
        <v>0</v>
      </c>
      <c r="U528" s="187" t="n">
        <v>0</v>
      </c>
      <c r="V528" s="187" t="inlineStr">
        <is>
          <t>T1190:Exploit Public-Facing Application</t>
        </is>
      </c>
      <c r="W528" s="187" t="n">
        <v>1</v>
      </c>
      <c r="X528" s="187" t="inlineStr">
        <is>
          <t>LOW (40%)</t>
        </is>
      </c>
      <c r="Y528" s="187" t="inlineStr">
        <is>
          <t>UNLIKELY</t>
        </is>
      </c>
      <c r="Z528" s="187" t="inlineStr">
        <is>
          <t>CHECK_VENDOR</t>
        </is>
      </c>
      <c r="AA528" s="187" t="inlineStr">
        <is>
          <t>https://nvd.nist.gov/vuln/detail/CVE-2025-67624</t>
        </is>
      </c>
      <c r="AB528" s="187" t="inlineStr">
        <is>
          <t>NONE</t>
        </is>
      </c>
      <c r="AC528" s="187" t="n">
        <v>0</v>
      </c>
      <c r="AD528" s="187" t="inlineStr"/>
    </row>
    <row r="529">
      <c r="A529" s="188" t="inlineStr">
        <is>
          <t>CVE</t>
        </is>
      </c>
      <c r="B529" s="188" t="inlineStr">
        <is>
          <t>CVE-2025-67969</t>
        </is>
      </c>
      <c r="C529" s="188" t="inlineStr">
        <is>
          <t>Missing Authorization vulnerability in knitpay UPI QR Code Payment Gateway for WooCommerce upi-qr-code-payment-for-woocommerce allows Exploiting Incorrectly Configured Access Control Security Levels.This issue affects UPI QR Code Payment Gateway for WooCommerce: from n/a through &lt;= 1.5.1.</t>
        </is>
      </c>
      <c r="D529" s="188" t="n">
        <v>8.5</v>
      </c>
      <c r="E529" s="188" t="inlineStr">
        <is>
          <t>HIGH</t>
        </is>
      </c>
      <c r="F529" s="188" t="n">
        <v>2</v>
      </c>
      <c r="G529" s="188" t="n">
        <v>3</v>
      </c>
      <c r="H529" s="188" t="inlineStr">
        <is>
          <t>HIGH</t>
        </is>
      </c>
      <c r="I529" s="188" t="n">
        <v>14.5</v>
      </c>
      <c r="J529" s="188" t="inlineStr">
        <is>
          <t>NO</t>
        </is>
      </c>
      <c r="K529" s="188" t="inlineStr">
        <is>
          <t>https://nvd.nist.gov/vuln/detail/CVE-2025-67969</t>
        </is>
      </c>
      <c r="L529" s="188" t="inlineStr">
        <is>
          <t>2026-02-26 00:15</t>
        </is>
      </c>
      <c r="M529" s="188" t="inlineStr">
        <is>
          <t>CHECK_VENDOR</t>
        </is>
      </c>
      <c r="N529" s="188" t="inlineStr">
        <is>
          <t>See NVD references</t>
        </is>
      </c>
      <c r="O529" s="188" t="inlineStr">
        <is>
          <t>Apply vendor patches</t>
        </is>
      </c>
      <c r="P529" s="188" t="inlineStr">
        <is>
          <t>See CVE details</t>
        </is>
      </c>
      <c r="Q529" s="188" t="inlineStr">
        <is>
          <t>P3</t>
        </is>
      </c>
      <c r="R529" s="188" t="inlineStr">
        <is>
          <t>🚨 URGENT: Apply vendor patches immediately | 🔒 Isolate affected systems if patch unavailable | 🛡️ Enable additional monitoring/IDS rules</t>
        </is>
      </c>
      <c r="S529" s="188" t="inlineStr">
        <is>
          <t>CVE - IP enrichment n/a</t>
        </is>
      </c>
      <c r="T529" s="188" t="n">
        <v>0</v>
      </c>
      <c r="U529" s="188" t="n">
        <v>0</v>
      </c>
      <c r="V529" s="188" t="inlineStr">
        <is>
          <t>T1190:Exploit Public-Facing Application</t>
        </is>
      </c>
      <c r="W529" s="188" t="n">
        <v>1</v>
      </c>
      <c r="X529" s="188" t="inlineStr">
        <is>
          <t>LOW (40%)</t>
        </is>
      </c>
      <c r="Y529" s="188" t="inlineStr">
        <is>
          <t>UNLIKELY</t>
        </is>
      </c>
      <c r="Z529" s="188" t="inlineStr">
        <is>
          <t>CHECK_VENDOR</t>
        </is>
      </c>
      <c r="AA529" s="188" t="inlineStr">
        <is>
          <t>https://nvd.nist.gov/vuln/detail/CVE-2025-67969</t>
        </is>
      </c>
      <c r="AB529" s="188" t="inlineStr">
        <is>
          <t>NONE</t>
        </is>
      </c>
      <c r="AC529" s="188" t="n">
        <v>0</v>
      </c>
      <c r="AD529" s="188" t="inlineStr"/>
    </row>
    <row r="530">
      <c r="A530" s="187" t="inlineStr">
        <is>
          <t>CVE</t>
        </is>
      </c>
      <c r="B530" s="187" t="inlineStr">
        <is>
          <t>CVE-2025-67970</t>
        </is>
      </c>
      <c r="C530" s="187" t="inlineStr">
        <is>
          <t>Missing Authorization vulnerability in vertim Schedula schedula-smart-appointment-booking allows Exploiting Incorrectly Configured Access Control Security Levels.This issue affects Schedula: from n/a through &lt;= 1.0.</t>
        </is>
      </c>
      <c r="D530" s="187" t="n">
        <v>5.3</v>
      </c>
      <c r="E530" s="187" t="inlineStr">
        <is>
          <t>MEDIUM</t>
        </is>
      </c>
      <c r="F530" s="187" t="n">
        <v>2</v>
      </c>
      <c r="G530" s="187" t="n">
        <v>2</v>
      </c>
      <c r="H530" s="187" t="inlineStr">
        <is>
          <t>MEDIUM</t>
        </is>
      </c>
      <c r="I530" s="187" t="n">
        <v>9.300000000000001</v>
      </c>
      <c r="J530" s="187" t="inlineStr">
        <is>
          <t>NO</t>
        </is>
      </c>
      <c r="K530" s="187" t="inlineStr">
        <is>
          <t>https://nvd.nist.gov/vuln/detail/CVE-2025-67970</t>
        </is>
      </c>
      <c r="L530" s="187" t="inlineStr">
        <is>
          <t>2026-02-26 00:15</t>
        </is>
      </c>
      <c r="M530" s="187" t="inlineStr">
        <is>
          <t>CHECK_VENDOR</t>
        </is>
      </c>
      <c r="N530" s="187" t="inlineStr">
        <is>
          <t>See NVD references</t>
        </is>
      </c>
      <c r="O530" s="187" t="inlineStr">
        <is>
          <t>Apply vendor patches</t>
        </is>
      </c>
      <c r="P530" s="187" t="inlineStr">
        <is>
          <t>See CVE details</t>
        </is>
      </c>
      <c r="Q530" s="187" t="inlineStr">
        <is>
          <t>P4</t>
        </is>
      </c>
      <c r="R530" s="187" t="inlineStr">
        <is>
          <t>📅 Schedule patch deployment within 30 days | 🔍 Monitor for exploitation attempts</t>
        </is>
      </c>
      <c r="S530" s="187" t="inlineStr">
        <is>
          <t>CVE - IP enrichment n/a</t>
        </is>
      </c>
      <c r="T530" s="187" t="n">
        <v>0</v>
      </c>
      <c r="U530" s="187" t="n">
        <v>0</v>
      </c>
      <c r="V530" s="187" t="inlineStr">
        <is>
          <t>T1190:Exploit Public-Facing Application</t>
        </is>
      </c>
      <c r="W530" s="187" t="n">
        <v>1</v>
      </c>
      <c r="X530" s="187" t="inlineStr">
        <is>
          <t>LOW (40%)</t>
        </is>
      </c>
      <c r="Y530" s="187" t="inlineStr">
        <is>
          <t>UNLIKELY</t>
        </is>
      </c>
      <c r="Z530" s="187" t="inlineStr">
        <is>
          <t>CHECK_VENDOR</t>
        </is>
      </c>
      <c r="AA530" s="187" t="inlineStr">
        <is>
          <t>https://nvd.nist.gov/vuln/detail/CVE-2025-67970</t>
        </is>
      </c>
      <c r="AB530" s="187" t="inlineStr">
        <is>
          <t>NONE</t>
        </is>
      </c>
      <c r="AC530" s="187" t="n">
        <v>0</v>
      </c>
      <c r="AD530" s="187" t="inlineStr"/>
    </row>
    <row r="531">
      <c r="A531" s="188" t="inlineStr">
        <is>
          <t>CVE</t>
        </is>
      </c>
      <c r="B531" s="188" t="inlineStr">
        <is>
          <t>CVE-2025-67971</t>
        </is>
      </c>
      <c r="C531" s="188" t="inlineStr">
        <is>
          <t>Improper Neutralization of Input During Web Page Generation ('Cross-site Scripting') vulnerability in WPManageNinja FluentCart fluent-cart allows Reflected XSS.This issue affects FluentCart: from n/a through &lt; 1.3.0.</t>
        </is>
      </c>
      <c r="D531" s="188" t="n">
        <v>7.1</v>
      </c>
      <c r="E531" s="188" t="inlineStr">
        <is>
          <t>HIGH</t>
        </is>
      </c>
      <c r="F531" s="188" t="n">
        <v>2</v>
      </c>
      <c r="G531" s="188" t="n">
        <v>3</v>
      </c>
      <c r="H531" s="188" t="inlineStr">
        <is>
          <t>HIGH</t>
        </is>
      </c>
      <c r="I531" s="188" t="n">
        <v>13.1</v>
      </c>
      <c r="J531" s="188" t="inlineStr">
        <is>
          <t>NO</t>
        </is>
      </c>
      <c r="K531" s="188" t="inlineStr">
        <is>
          <t>https://nvd.nist.gov/vuln/detail/CVE-2025-67971</t>
        </is>
      </c>
      <c r="L531" s="188" t="inlineStr">
        <is>
          <t>2026-02-26 00:15</t>
        </is>
      </c>
      <c r="M531" s="188" t="inlineStr">
        <is>
          <t>CHECK_VENDOR</t>
        </is>
      </c>
      <c r="N531" s="188" t="inlineStr">
        <is>
          <t>See NVD references</t>
        </is>
      </c>
      <c r="O531" s="188" t="inlineStr">
        <is>
          <t>Apply vendor patches</t>
        </is>
      </c>
      <c r="P531" s="188" t="inlineStr">
        <is>
          <t>See CVE details</t>
        </is>
      </c>
      <c r="Q531" s="188" t="inlineStr">
        <is>
          <t>P3</t>
        </is>
      </c>
      <c r="R531" s="188" t="inlineStr">
        <is>
          <t>🚨 URGENT: Apply vendor patches immediately | 🔒 Isolate affected systems if patch unavailable | 🛡️ Enable additional monitoring/IDS rules</t>
        </is>
      </c>
      <c r="S531" s="188" t="inlineStr">
        <is>
          <t>CVE - IP enrichment n/a</t>
        </is>
      </c>
      <c r="T531" s="188" t="n">
        <v>0</v>
      </c>
      <c r="U531" s="188" t="n">
        <v>0</v>
      </c>
      <c r="V531" s="188" t="inlineStr">
        <is>
          <t>T1189:Drive-by Compromise</t>
        </is>
      </c>
      <c r="W531" s="188" t="n">
        <v>1</v>
      </c>
      <c r="X531" s="188" t="inlineStr">
        <is>
          <t>LOW (40%)</t>
        </is>
      </c>
      <c r="Y531" s="188" t="inlineStr">
        <is>
          <t>UNLIKELY</t>
        </is>
      </c>
      <c r="Z531" s="188" t="inlineStr">
        <is>
          <t>CHECK_VENDOR</t>
        </is>
      </c>
      <c r="AA531" s="188" t="inlineStr">
        <is>
          <t>https://nvd.nist.gov/vuln/detail/CVE-2025-67971</t>
        </is>
      </c>
      <c r="AB531" s="188" t="inlineStr">
        <is>
          <t>NONE</t>
        </is>
      </c>
      <c r="AC531" s="188" t="n">
        <v>0</v>
      </c>
      <c r="AD531" s="188" t="inlineStr"/>
    </row>
    <row r="532">
      <c r="A532" s="188" t="inlineStr">
        <is>
          <t>CVE</t>
        </is>
      </c>
      <c r="B532" s="188" t="inlineStr">
        <is>
          <t>CVE-2025-67972</t>
        </is>
      </c>
      <c r="C532" s="188" t="inlineStr">
        <is>
          <t>Improper Neutralization of Input During Web Page Generation ('Cross-site Scripting') vulnerability in fox-themes Prague prague-plugins allows Reflected XSS.This issue affects Prague: from n/a through &lt;= 2.2.8.</t>
        </is>
      </c>
      <c r="D532" s="188" t="n">
        <v>7.1</v>
      </c>
      <c r="E532" s="188" t="inlineStr">
        <is>
          <t>HIGH</t>
        </is>
      </c>
      <c r="F532" s="188" t="n">
        <v>2</v>
      </c>
      <c r="G532" s="188" t="n">
        <v>3</v>
      </c>
      <c r="H532" s="188" t="inlineStr">
        <is>
          <t>HIGH</t>
        </is>
      </c>
      <c r="I532" s="188" t="n">
        <v>13.1</v>
      </c>
      <c r="J532" s="188" t="inlineStr">
        <is>
          <t>NO</t>
        </is>
      </c>
      <c r="K532" s="188" t="inlineStr">
        <is>
          <t>https://nvd.nist.gov/vuln/detail/CVE-2025-67972</t>
        </is>
      </c>
      <c r="L532" s="188" t="inlineStr">
        <is>
          <t>2026-02-26 00:15</t>
        </is>
      </c>
      <c r="M532" s="188" t="inlineStr">
        <is>
          <t>CHECK_VENDOR</t>
        </is>
      </c>
      <c r="N532" s="188" t="inlineStr">
        <is>
          <t>See NVD references</t>
        </is>
      </c>
      <c r="O532" s="188" t="inlineStr">
        <is>
          <t>Apply vendor patches</t>
        </is>
      </c>
      <c r="P532" s="188" t="inlineStr">
        <is>
          <t>See CVE details</t>
        </is>
      </c>
      <c r="Q532" s="188" t="inlineStr">
        <is>
          <t>P3</t>
        </is>
      </c>
      <c r="R532" s="188" t="inlineStr">
        <is>
          <t>🚨 URGENT: Apply vendor patches immediately | 🔒 Isolate affected systems if patch unavailable | 🛡️ Enable additional monitoring/IDS rules</t>
        </is>
      </c>
      <c r="S532" s="188" t="inlineStr">
        <is>
          <t>CVE - IP enrichment n/a</t>
        </is>
      </c>
      <c r="T532" s="188" t="n">
        <v>0</v>
      </c>
      <c r="U532" s="188" t="n">
        <v>0</v>
      </c>
      <c r="V532" s="188" t="inlineStr">
        <is>
          <t>T1189:Drive-by Compromise</t>
        </is>
      </c>
      <c r="W532" s="188" t="n">
        <v>1</v>
      </c>
      <c r="X532" s="188" t="inlineStr">
        <is>
          <t>LOW (40%)</t>
        </is>
      </c>
      <c r="Y532" s="188" t="inlineStr">
        <is>
          <t>UNLIKELY</t>
        </is>
      </c>
      <c r="Z532" s="188" t="inlineStr">
        <is>
          <t>CHECK_VENDOR</t>
        </is>
      </c>
      <c r="AA532" s="188" t="inlineStr">
        <is>
          <t>https://nvd.nist.gov/vuln/detail/CVE-2025-67972</t>
        </is>
      </c>
      <c r="AB532" s="188" t="inlineStr">
        <is>
          <t>NONE</t>
        </is>
      </c>
      <c r="AC532" s="188" t="n">
        <v>0</v>
      </c>
      <c r="AD532" s="188" t="inlineStr"/>
    </row>
    <row r="533">
      <c r="A533" s="187" t="inlineStr">
        <is>
          <t>CVE</t>
        </is>
      </c>
      <c r="B533" s="187" t="inlineStr">
        <is>
          <t>CVE-2025-67973</t>
        </is>
      </c>
      <c r="C533" s="187" t="inlineStr">
        <is>
          <t>Missing Authorization vulnerability in sunshinephotocart Sunshine Photo Cart sunshine-photo-cart allows Exploiting Incorrectly Configured Access Control Security Levels.This issue affects Sunshine Photo Cart: from n/a through &lt;= 3.5.6.2.</t>
        </is>
      </c>
      <c r="D533" s="187" t="n">
        <v>5</v>
      </c>
      <c r="E533" s="187" t="inlineStr">
        <is>
          <t>MEDIUM</t>
        </is>
      </c>
      <c r="F533" s="187" t="n">
        <v>2</v>
      </c>
      <c r="G533" s="187" t="n">
        <v>2</v>
      </c>
      <c r="H533" s="187" t="inlineStr">
        <is>
          <t>MEDIUM</t>
        </is>
      </c>
      <c r="I533" s="187" t="n">
        <v>9</v>
      </c>
      <c r="J533" s="187" t="inlineStr">
        <is>
          <t>NO</t>
        </is>
      </c>
      <c r="K533" s="187" t="inlineStr">
        <is>
          <t>https://nvd.nist.gov/vuln/detail/CVE-2025-67973</t>
        </is>
      </c>
      <c r="L533" s="187" t="inlineStr">
        <is>
          <t>2026-02-26 00:15</t>
        </is>
      </c>
      <c r="M533" s="187" t="inlineStr">
        <is>
          <t>CHECK_VENDOR</t>
        </is>
      </c>
      <c r="N533" s="187" t="inlineStr">
        <is>
          <t>See NVD references</t>
        </is>
      </c>
      <c r="O533" s="187" t="inlineStr">
        <is>
          <t>Apply vendor patches</t>
        </is>
      </c>
      <c r="P533" s="187" t="inlineStr">
        <is>
          <t>See CVE details</t>
        </is>
      </c>
      <c r="Q533" s="187" t="inlineStr">
        <is>
          <t>P4</t>
        </is>
      </c>
      <c r="R533" s="187" t="inlineStr">
        <is>
          <t>📅 Schedule patch deployment within 30 days | 🔍 Monitor for exploitation attempts</t>
        </is>
      </c>
      <c r="S533" s="187" t="inlineStr">
        <is>
          <t>CVE - IP enrichment n/a</t>
        </is>
      </c>
      <c r="T533" s="187" t="n">
        <v>0</v>
      </c>
      <c r="U533" s="187" t="n">
        <v>0</v>
      </c>
      <c r="V533" s="187" t="inlineStr">
        <is>
          <t>T1190:Exploit Public-Facing Application</t>
        </is>
      </c>
      <c r="W533" s="187" t="n">
        <v>1</v>
      </c>
      <c r="X533" s="187" t="inlineStr">
        <is>
          <t>LOW (40%)</t>
        </is>
      </c>
      <c r="Y533" s="187" t="inlineStr">
        <is>
          <t>UNLIKELY</t>
        </is>
      </c>
      <c r="Z533" s="187" t="inlineStr">
        <is>
          <t>CHECK_VENDOR</t>
        </is>
      </c>
      <c r="AA533" s="187" t="inlineStr">
        <is>
          <t>https://nvd.nist.gov/vuln/detail/CVE-2025-67973</t>
        </is>
      </c>
      <c r="AB533" s="187" t="inlineStr">
        <is>
          <t>NONE</t>
        </is>
      </c>
      <c r="AC533" s="187" t="n">
        <v>0</v>
      </c>
      <c r="AD533" s="187" t="inlineStr"/>
    </row>
    <row r="534">
      <c r="A534" s="188" t="inlineStr">
        <is>
          <t>CVE</t>
        </is>
      </c>
      <c r="B534" s="188" t="inlineStr">
        <is>
          <t>CVE-2025-67974</t>
        </is>
      </c>
      <c r="C534" s="188" t="inlineStr">
        <is>
          <t>Missing Authorization vulnerability in WP Legal Pages WPLegalPages wplegalpages allows Exploiting Incorrectly Configured Access Control Security Levels.This issue affects WPLegalPages: from n/a through &lt;= 3.5.4.</t>
        </is>
      </c>
      <c r="D534" s="188" t="n">
        <v>7.5</v>
      </c>
      <c r="E534" s="188" t="inlineStr">
        <is>
          <t>HIGH</t>
        </is>
      </c>
      <c r="F534" s="188" t="n">
        <v>2</v>
      </c>
      <c r="G534" s="188" t="n">
        <v>3</v>
      </c>
      <c r="H534" s="188" t="inlineStr">
        <is>
          <t>HIGH</t>
        </is>
      </c>
      <c r="I534" s="188" t="n">
        <v>13.5</v>
      </c>
      <c r="J534" s="188" t="inlineStr">
        <is>
          <t>NO</t>
        </is>
      </c>
      <c r="K534" s="188" t="inlineStr">
        <is>
          <t>https://nvd.nist.gov/vuln/detail/CVE-2025-67974</t>
        </is>
      </c>
      <c r="L534" s="188" t="inlineStr">
        <is>
          <t>2026-02-26 00:15</t>
        </is>
      </c>
      <c r="M534" s="188" t="inlineStr">
        <is>
          <t>CHECK_VENDOR</t>
        </is>
      </c>
      <c r="N534" s="188" t="inlineStr">
        <is>
          <t>See NVD references</t>
        </is>
      </c>
      <c r="O534" s="188" t="inlineStr">
        <is>
          <t>Apply vendor patches</t>
        </is>
      </c>
      <c r="P534" s="188" t="inlineStr">
        <is>
          <t>See CVE details</t>
        </is>
      </c>
      <c r="Q534" s="188" t="inlineStr">
        <is>
          <t>P3</t>
        </is>
      </c>
      <c r="R534" s="188" t="inlineStr">
        <is>
          <t>🚨 URGENT: Apply vendor patches immediately | 🔒 Isolate affected systems if patch unavailable | 🛡️ Enable additional monitoring/IDS rules</t>
        </is>
      </c>
      <c r="S534" s="188" t="inlineStr">
        <is>
          <t>CVE - IP enrichment n/a</t>
        </is>
      </c>
      <c r="T534" s="188" t="n">
        <v>0</v>
      </c>
      <c r="U534" s="188" t="n">
        <v>0</v>
      </c>
      <c r="V534" s="188" t="inlineStr">
        <is>
          <t>T1190:Exploit Public-Facing Application</t>
        </is>
      </c>
      <c r="W534" s="188" t="n">
        <v>1</v>
      </c>
      <c r="X534" s="188" t="inlineStr">
        <is>
          <t>LOW (40%)</t>
        </is>
      </c>
      <c r="Y534" s="188" t="inlineStr">
        <is>
          <t>UNLIKELY</t>
        </is>
      </c>
      <c r="Z534" s="188" t="inlineStr">
        <is>
          <t>CHECK_VENDOR</t>
        </is>
      </c>
      <c r="AA534" s="188" t="inlineStr">
        <is>
          <t>https://nvd.nist.gov/vuln/detail/CVE-2025-67974</t>
        </is>
      </c>
      <c r="AB534" s="188" t="inlineStr">
        <is>
          <t>NONE</t>
        </is>
      </c>
      <c r="AC534" s="188" t="n">
        <v>0</v>
      </c>
      <c r="AD534" s="188" t="inlineStr"/>
    </row>
    <row r="535">
      <c r="A535" s="187" t="inlineStr">
        <is>
          <t>CVE</t>
        </is>
      </c>
      <c r="B535" s="187" t="inlineStr">
        <is>
          <t>CVE-2025-67975</t>
        </is>
      </c>
      <c r="C535" s="187" t="inlineStr">
        <is>
          <t>Missing Authorization vulnerability in aDirectory aDirectory adirectory allows Exploiting Incorrectly Configured Access Control Security Levels.This issue affects aDirectory: from n/a through &lt;= 3.0.3.</t>
        </is>
      </c>
      <c r="D535" s="187" t="n">
        <v>6.5</v>
      </c>
      <c r="E535" s="187" t="inlineStr">
        <is>
          <t>MEDIUM</t>
        </is>
      </c>
      <c r="F535" s="187" t="n">
        <v>2</v>
      </c>
      <c r="G535" s="187" t="n">
        <v>2</v>
      </c>
      <c r="H535" s="187" t="inlineStr">
        <is>
          <t>MEDIUM</t>
        </is>
      </c>
      <c r="I535" s="187" t="n">
        <v>10.5</v>
      </c>
      <c r="J535" s="187" t="inlineStr">
        <is>
          <t>NO</t>
        </is>
      </c>
      <c r="K535" s="187" t="inlineStr">
        <is>
          <t>https://nvd.nist.gov/vuln/detail/CVE-2025-67975</t>
        </is>
      </c>
      <c r="L535" s="187" t="inlineStr">
        <is>
          <t>2026-02-26 00:15</t>
        </is>
      </c>
      <c r="M535" s="187" t="inlineStr">
        <is>
          <t>CHECK_VENDOR</t>
        </is>
      </c>
      <c r="N535" s="187" t="inlineStr">
        <is>
          <t>See NVD references</t>
        </is>
      </c>
      <c r="O535" s="187" t="inlineStr">
        <is>
          <t>Apply vendor patches</t>
        </is>
      </c>
      <c r="P535" s="187" t="inlineStr">
        <is>
          <t>See CVE details</t>
        </is>
      </c>
      <c r="Q535" s="187" t="inlineStr">
        <is>
          <t>P4</t>
        </is>
      </c>
      <c r="R535" s="187" t="inlineStr">
        <is>
          <t>📅 Schedule patch deployment within 30 days | 🔍 Monitor for exploitation attempts</t>
        </is>
      </c>
      <c r="S535" s="187" t="inlineStr">
        <is>
          <t>CVE - IP enrichment n/a</t>
        </is>
      </c>
      <c r="T535" s="187" t="n">
        <v>0.0002</v>
      </c>
      <c r="U535" s="187" t="n">
        <v>0.0379</v>
      </c>
      <c r="V535" s="187" t="inlineStr">
        <is>
          <t>T1190:Exploit Public-Facing Application</t>
        </is>
      </c>
      <c r="W535" s="187" t="n">
        <v>1</v>
      </c>
      <c r="X535" s="187" t="inlineStr">
        <is>
          <t>LOW (40%)</t>
        </is>
      </c>
      <c r="Y535" s="187" t="inlineStr">
        <is>
          <t>UNLIKELY</t>
        </is>
      </c>
      <c r="Z535" s="187" t="inlineStr">
        <is>
          <t>CHECK_VENDOR</t>
        </is>
      </c>
      <c r="AA535" s="187" t="inlineStr">
        <is>
          <t>https://nvd.nist.gov/vuln/detail/CVE-2025-67975</t>
        </is>
      </c>
      <c r="AB535" s="187" t="inlineStr">
        <is>
          <t>NONE</t>
        </is>
      </c>
      <c r="AC535" s="187" t="n">
        <v>0</v>
      </c>
      <c r="AD535" s="187" t="inlineStr"/>
    </row>
    <row r="536">
      <c r="A536" s="188" t="inlineStr">
        <is>
          <t>CVE</t>
        </is>
      </c>
      <c r="B536" s="188" t="inlineStr">
        <is>
          <t>CVE-2025-67977</t>
        </is>
      </c>
      <c r="C536" s="188" t="inlineStr">
        <is>
          <t>Missing Authorization vulnerability in VillaTheme HAPPY happy-helpdesk-support-ticket-system allows Exploiting Incorrectly Configured Access Control Security Levels.This issue affects HAPPY: from n/a through &lt;= 1.0.8.</t>
        </is>
      </c>
      <c r="D536" s="188" t="n">
        <v>8.199999999999999</v>
      </c>
      <c r="E536" s="188" t="inlineStr">
        <is>
          <t>HIGH</t>
        </is>
      </c>
      <c r="F536" s="188" t="n">
        <v>2</v>
      </c>
      <c r="G536" s="188" t="n">
        <v>3</v>
      </c>
      <c r="H536" s="188" t="inlineStr">
        <is>
          <t>HIGH</t>
        </is>
      </c>
      <c r="I536" s="188" t="n">
        <v>14.2</v>
      </c>
      <c r="J536" s="188" t="inlineStr">
        <is>
          <t>NO</t>
        </is>
      </c>
      <c r="K536" s="188" t="inlineStr">
        <is>
          <t>https://nvd.nist.gov/vuln/detail/CVE-2025-67977</t>
        </is>
      </c>
      <c r="L536" s="188" t="inlineStr">
        <is>
          <t>2026-02-26 00:15</t>
        </is>
      </c>
      <c r="M536" s="188" t="inlineStr">
        <is>
          <t>CHECK_VENDOR</t>
        </is>
      </c>
      <c r="N536" s="188" t="inlineStr">
        <is>
          <t>See NVD references</t>
        </is>
      </c>
      <c r="O536" s="188" t="inlineStr">
        <is>
          <t>Apply vendor patches</t>
        </is>
      </c>
      <c r="P536" s="188" t="inlineStr">
        <is>
          <t>See CVE details</t>
        </is>
      </c>
      <c r="Q536" s="188" t="inlineStr">
        <is>
          <t>P3</t>
        </is>
      </c>
      <c r="R536" s="188" t="inlineStr">
        <is>
          <t>🚨 URGENT: Apply vendor patches immediately | 🔒 Isolate affected systems if patch unavailable | 🛡️ Enable additional monitoring/IDS rules</t>
        </is>
      </c>
      <c r="S536" s="188" t="inlineStr">
        <is>
          <t>CVE - IP enrichment n/a</t>
        </is>
      </c>
      <c r="T536" s="188" t="n">
        <v>0</v>
      </c>
      <c r="U536" s="188" t="n">
        <v>0</v>
      </c>
      <c r="V536" s="188" t="inlineStr">
        <is>
          <t>T1190:Exploit Public-Facing Application</t>
        </is>
      </c>
      <c r="W536" s="188" t="n">
        <v>1</v>
      </c>
      <c r="X536" s="188" t="inlineStr">
        <is>
          <t>LOW (40%)</t>
        </is>
      </c>
      <c r="Y536" s="188" t="inlineStr">
        <is>
          <t>UNLIKELY</t>
        </is>
      </c>
      <c r="Z536" s="188" t="inlineStr">
        <is>
          <t>CHECK_VENDOR</t>
        </is>
      </c>
      <c r="AA536" s="188" t="inlineStr">
        <is>
          <t>https://nvd.nist.gov/vuln/detail/CVE-2025-67977</t>
        </is>
      </c>
      <c r="AB536" s="188" t="inlineStr">
        <is>
          <t>NONE</t>
        </is>
      </c>
      <c r="AC536" s="188" t="n">
        <v>0</v>
      </c>
      <c r="AD536" s="188" t="inlineStr"/>
    </row>
    <row r="537">
      <c r="A537" s="188" t="inlineStr">
        <is>
          <t>CVE</t>
        </is>
      </c>
      <c r="B537" s="188" t="inlineStr">
        <is>
          <t>CVE-2025-67978</t>
        </is>
      </c>
      <c r="C537" s="188" t="inlineStr">
        <is>
          <t>Improper Neutralization of Input During Web Page Generation ('Cross-site Scripting') vulnerability in FixBD Educare educare allows Reflected XSS.This issue affects Educare: from n/a through &lt;= 1.6.1.</t>
        </is>
      </c>
      <c r="D537" s="188" t="n">
        <v>7.1</v>
      </c>
      <c r="E537" s="188" t="inlineStr">
        <is>
          <t>HIGH</t>
        </is>
      </c>
      <c r="F537" s="188" t="n">
        <v>2</v>
      </c>
      <c r="G537" s="188" t="n">
        <v>3</v>
      </c>
      <c r="H537" s="188" t="inlineStr">
        <is>
          <t>HIGH</t>
        </is>
      </c>
      <c r="I537" s="188" t="n">
        <v>13.1</v>
      </c>
      <c r="J537" s="188" t="inlineStr">
        <is>
          <t>NO</t>
        </is>
      </c>
      <c r="K537" s="188" t="inlineStr">
        <is>
          <t>https://nvd.nist.gov/vuln/detail/CVE-2025-67978</t>
        </is>
      </c>
      <c r="L537" s="188" t="inlineStr">
        <is>
          <t>2026-02-26 00:15</t>
        </is>
      </c>
      <c r="M537" s="188" t="inlineStr">
        <is>
          <t>CHECK_VENDOR</t>
        </is>
      </c>
      <c r="N537" s="188" t="inlineStr">
        <is>
          <t>See NVD references</t>
        </is>
      </c>
      <c r="O537" s="188" t="inlineStr">
        <is>
          <t>Apply vendor patches</t>
        </is>
      </c>
      <c r="P537" s="188" t="inlineStr">
        <is>
          <t>See CVE details</t>
        </is>
      </c>
      <c r="Q537" s="188" t="inlineStr">
        <is>
          <t>P3</t>
        </is>
      </c>
      <c r="R537" s="188" t="inlineStr">
        <is>
          <t>🚨 URGENT: Apply vendor patches immediately | 🔒 Isolate affected systems if patch unavailable | 🛡️ Enable additional monitoring/IDS rules</t>
        </is>
      </c>
      <c r="S537" s="188" t="inlineStr">
        <is>
          <t>CVE - IP enrichment n/a</t>
        </is>
      </c>
      <c r="T537" s="188" t="n">
        <v>0</v>
      </c>
      <c r="U537" s="188" t="n">
        <v>0</v>
      </c>
      <c r="V537" s="188" t="inlineStr">
        <is>
          <t>T1189:Drive-by Compromise</t>
        </is>
      </c>
      <c r="W537" s="188" t="n">
        <v>1</v>
      </c>
      <c r="X537" s="188" t="inlineStr">
        <is>
          <t>LOW (40%)</t>
        </is>
      </c>
      <c r="Y537" s="188" t="inlineStr">
        <is>
          <t>UNLIKELY</t>
        </is>
      </c>
      <c r="Z537" s="188" t="inlineStr">
        <is>
          <t>CHECK_VENDOR</t>
        </is>
      </c>
      <c r="AA537" s="188" t="inlineStr">
        <is>
          <t>https://nvd.nist.gov/vuln/detail/CVE-2025-67978</t>
        </is>
      </c>
      <c r="AB537" s="188" t="inlineStr">
        <is>
          <t>NONE</t>
        </is>
      </c>
      <c r="AC537" s="188" t="n">
        <v>0</v>
      </c>
      <c r="AD537" s="188" t="inlineStr"/>
    </row>
    <row r="538">
      <c r="A538" s="187" t="inlineStr">
        <is>
          <t>CVE</t>
        </is>
      </c>
      <c r="B538" s="187" t="inlineStr">
        <is>
          <t>CVE-2025-67979</t>
        </is>
      </c>
      <c r="C538" s="187" t="inlineStr">
        <is>
          <t>Improper Control of Generation of Code ('Code Injection') vulnerability in WesternDeal WPForms Google Sheet Connector gsheetconnector-wpforms allows Code Injection.This issue affects WPForms Google Sheet Connector: from n/a through &lt;= 4.0.1.</t>
        </is>
      </c>
      <c r="D538" s="187" t="n">
        <v>5</v>
      </c>
      <c r="E538" s="187" t="inlineStr">
        <is>
          <t>MEDIUM</t>
        </is>
      </c>
      <c r="F538" s="187" t="n">
        <v>2</v>
      </c>
      <c r="G538" s="187" t="n">
        <v>2</v>
      </c>
      <c r="H538" s="187" t="inlineStr">
        <is>
          <t>MEDIUM</t>
        </is>
      </c>
      <c r="I538" s="187" t="n">
        <v>9</v>
      </c>
      <c r="J538" s="187" t="inlineStr">
        <is>
          <t>NO</t>
        </is>
      </c>
      <c r="K538" s="187" t="inlineStr">
        <is>
          <t>https://nvd.nist.gov/vuln/detail/CVE-2025-67979</t>
        </is>
      </c>
      <c r="L538" s="187" t="inlineStr">
        <is>
          <t>2026-02-26 00:15</t>
        </is>
      </c>
      <c r="M538" s="187" t="inlineStr">
        <is>
          <t>CHECK_VENDOR</t>
        </is>
      </c>
      <c r="N538" s="187" t="inlineStr">
        <is>
          <t>See NVD references</t>
        </is>
      </c>
      <c r="O538" s="187" t="inlineStr">
        <is>
          <t>Apply vendor patches</t>
        </is>
      </c>
      <c r="P538" s="187" t="inlineStr">
        <is>
          <t>See CVE details</t>
        </is>
      </c>
      <c r="Q538" s="187" t="inlineStr">
        <is>
          <t>P4</t>
        </is>
      </c>
      <c r="R538" s="187" t="inlineStr">
        <is>
          <t>📅 Schedule patch deployment within 30 days | 🔍 Monitor for exploitation attempts</t>
        </is>
      </c>
      <c r="S538" s="187" t="inlineStr">
        <is>
          <t>CVE - IP enrichment n/a</t>
        </is>
      </c>
      <c r="T538" s="187" t="n">
        <v>0.0003</v>
      </c>
      <c r="U538" s="187" t="n">
        <v>0.0789</v>
      </c>
      <c r="V538" s="187" t="inlineStr">
        <is>
          <t>T1059:Command and Scripting Interpreter</t>
        </is>
      </c>
      <c r="W538" s="187" t="n">
        <v>1</v>
      </c>
      <c r="X538" s="187" t="inlineStr">
        <is>
          <t>LOW (40%)</t>
        </is>
      </c>
      <c r="Y538" s="187" t="inlineStr">
        <is>
          <t>UNLIKELY</t>
        </is>
      </c>
      <c r="Z538" s="187" t="inlineStr">
        <is>
          <t>CHECK_VENDOR</t>
        </is>
      </c>
      <c r="AA538" s="187" t="inlineStr">
        <is>
          <t>https://nvd.nist.gov/vuln/detail/CVE-2025-67979</t>
        </is>
      </c>
      <c r="AB538" s="187" t="inlineStr">
        <is>
          <t>NONE</t>
        </is>
      </c>
      <c r="AC538" s="187" t="n">
        <v>0</v>
      </c>
      <c r="AD538" s="187" t="inlineStr"/>
    </row>
    <row r="539">
      <c r="A539" s="188" t="inlineStr">
        <is>
          <t>CVE</t>
        </is>
      </c>
      <c r="B539" s="188" t="inlineStr">
        <is>
          <t>CVE-2025-67980</t>
        </is>
      </c>
      <c r="C539" s="188" t="inlineStr">
        <is>
          <t>Improper Control of Filename for Include/Require Statement in PHP Program ('PHP Remote File Inclusion') vulnerability in thembay Hara hara allows PHP Local File Inclusion.This issue affects Hara: from n/a through &lt;= 1.2.17.</t>
        </is>
      </c>
      <c r="D539" s="188" t="n">
        <v>8.1</v>
      </c>
      <c r="E539" s="188" t="inlineStr">
        <is>
          <t>HIGH</t>
        </is>
      </c>
      <c r="F539" s="188" t="n">
        <v>2</v>
      </c>
      <c r="G539" s="188" t="n">
        <v>3</v>
      </c>
      <c r="H539" s="188" t="inlineStr">
        <is>
          <t>HIGH</t>
        </is>
      </c>
      <c r="I539" s="188" t="n">
        <v>14.1</v>
      </c>
      <c r="J539" s="188" t="inlineStr">
        <is>
          <t>NO</t>
        </is>
      </c>
      <c r="K539" s="188" t="inlineStr">
        <is>
          <t>https://nvd.nist.gov/vuln/detail/CVE-2025-67980</t>
        </is>
      </c>
      <c r="L539" s="188" t="inlineStr">
        <is>
          <t>2026-02-26 00:15</t>
        </is>
      </c>
      <c r="M539" s="188" t="inlineStr">
        <is>
          <t>CHECK_VENDOR</t>
        </is>
      </c>
      <c r="N539" s="188" t="inlineStr">
        <is>
          <t>See NVD references</t>
        </is>
      </c>
      <c r="O539" s="188" t="inlineStr">
        <is>
          <t>Apply vendor patches</t>
        </is>
      </c>
      <c r="P539" s="188" t="inlineStr">
        <is>
          <t>See CVE details</t>
        </is>
      </c>
      <c r="Q539" s="188" t="inlineStr">
        <is>
          <t>P3</t>
        </is>
      </c>
      <c r="R539" s="188" t="inlineStr">
        <is>
          <t>🚨 URGENT: Apply vendor patches immediately | 🔒 Isolate affected systems if patch unavailable | 🛡️ Enable additional monitoring/IDS rules</t>
        </is>
      </c>
      <c r="S539" s="188" t="inlineStr">
        <is>
          <t>CVE - IP enrichment n/a</t>
        </is>
      </c>
      <c r="T539" s="188" t="n">
        <v>0</v>
      </c>
      <c r="U539" s="188" t="n">
        <v>0</v>
      </c>
      <c r="V539" s="188" t="inlineStr">
        <is>
          <t>T1190:Exploit Public-Facing Application</t>
        </is>
      </c>
      <c r="W539" s="188" t="n">
        <v>1</v>
      </c>
      <c r="X539" s="188" t="inlineStr">
        <is>
          <t>LOW (40%)</t>
        </is>
      </c>
      <c r="Y539" s="188" t="inlineStr">
        <is>
          <t>UNLIKELY</t>
        </is>
      </c>
      <c r="Z539" s="188" t="inlineStr">
        <is>
          <t>CHECK_VENDOR</t>
        </is>
      </c>
      <c r="AA539" s="188" t="inlineStr">
        <is>
          <t>https://nvd.nist.gov/vuln/detail/CVE-2025-67980</t>
        </is>
      </c>
      <c r="AB539" s="188" t="inlineStr">
        <is>
          <t>NONE</t>
        </is>
      </c>
      <c r="AC539" s="188" t="n">
        <v>0</v>
      </c>
      <c r="AD539" s="188" t="inlineStr"/>
    </row>
    <row r="540">
      <c r="A540" s="188" t="inlineStr">
        <is>
          <t>CVE</t>
        </is>
      </c>
      <c r="B540" s="188" t="inlineStr">
        <is>
          <t>CVE-2025-67981</t>
        </is>
      </c>
      <c r="C540" s="188" t="inlineStr">
        <is>
          <t>Improper Control of Filename for Include/Require Statement in PHP Program ('PHP Remote File Inclusion') vulnerability in thembay Besa besa allows PHP Local File Inclusion.This issue affects Besa: from n/a through &lt;= 2.3.15.</t>
        </is>
      </c>
      <c r="D540" s="188" t="n">
        <v>8.1</v>
      </c>
      <c r="E540" s="188" t="inlineStr">
        <is>
          <t>HIGH</t>
        </is>
      </c>
      <c r="F540" s="188" t="n">
        <v>2</v>
      </c>
      <c r="G540" s="188" t="n">
        <v>3</v>
      </c>
      <c r="H540" s="188" t="inlineStr">
        <is>
          <t>HIGH</t>
        </is>
      </c>
      <c r="I540" s="188" t="n">
        <v>14.1</v>
      </c>
      <c r="J540" s="188" t="inlineStr">
        <is>
          <t>NO</t>
        </is>
      </c>
      <c r="K540" s="188" t="inlineStr">
        <is>
          <t>https://nvd.nist.gov/vuln/detail/CVE-2025-67981</t>
        </is>
      </c>
      <c r="L540" s="188" t="inlineStr">
        <is>
          <t>2026-02-26 00:15</t>
        </is>
      </c>
      <c r="M540" s="188" t="inlineStr">
        <is>
          <t>CHECK_VENDOR</t>
        </is>
      </c>
      <c r="N540" s="188" t="inlineStr">
        <is>
          <t>See NVD references</t>
        </is>
      </c>
      <c r="O540" s="188" t="inlineStr">
        <is>
          <t>Apply vendor patches</t>
        </is>
      </c>
      <c r="P540" s="188" t="inlineStr">
        <is>
          <t>See CVE details</t>
        </is>
      </c>
      <c r="Q540" s="188" t="inlineStr">
        <is>
          <t>P3</t>
        </is>
      </c>
      <c r="R540" s="188" t="inlineStr">
        <is>
          <t>🚨 URGENT: Apply vendor patches immediately | 🔒 Isolate affected systems if patch unavailable | 🛡️ Enable additional monitoring/IDS rules</t>
        </is>
      </c>
      <c r="S540" s="188" t="inlineStr">
        <is>
          <t>CVE - IP enrichment n/a</t>
        </is>
      </c>
      <c r="T540" s="188" t="n">
        <v>0</v>
      </c>
      <c r="U540" s="188" t="n">
        <v>0</v>
      </c>
      <c r="V540" s="188" t="inlineStr">
        <is>
          <t>T1190:Exploit Public-Facing Application</t>
        </is>
      </c>
      <c r="W540" s="188" t="n">
        <v>1</v>
      </c>
      <c r="X540" s="188" t="inlineStr">
        <is>
          <t>LOW (40%)</t>
        </is>
      </c>
      <c r="Y540" s="188" t="inlineStr">
        <is>
          <t>UNLIKELY</t>
        </is>
      </c>
      <c r="Z540" s="188" t="inlineStr">
        <is>
          <t>CHECK_VENDOR</t>
        </is>
      </c>
      <c r="AA540" s="188" t="inlineStr">
        <is>
          <t>https://nvd.nist.gov/vuln/detail/CVE-2025-67981</t>
        </is>
      </c>
      <c r="AB540" s="188" t="inlineStr">
        <is>
          <t>NONE</t>
        </is>
      </c>
      <c r="AC540" s="188" t="n">
        <v>0</v>
      </c>
      <c r="AD540" s="188" t="inlineStr"/>
    </row>
    <row r="541">
      <c r="A541" s="188" t="inlineStr">
        <is>
          <t>CVE</t>
        </is>
      </c>
      <c r="B541" s="188" t="inlineStr">
        <is>
          <t>CVE-2025-67982</t>
        </is>
      </c>
      <c r="C541" s="188" t="inlineStr">
        <is>
          <t>Improper Control of Filename for Include/Require Statement in PHP Program ('PHP Remote File Inclusion') vulnerability in thembay Urna urna allows PHP Local File Inclusion.This issue affects Urna: from n/a through &lt;= 2.5.12.</t>
        </is>
      </c>
      <c r="D541" s="188" t="n">
        <v>8.1</v>
      </c>
      <c r="E541" s="188" t="inlineStr">
        <is>
          <t>HIGH</t>
        </is>
      </c>
      <c r="F541" s="188" t="n">
        <v>2</v>
      </c>
      <c r="G541" s="188" t="n">
        <v>3</v>
      </c>
      <c r="H541" s="188" t="inlineStr">
        <is>
          <t>HIGH</t>
        </is>
      </c>
      <c r="I541" s="188" t="n">
        <v>14.1</v>
      </c>
      <c r="J541" s="188" t="inlineStr">
        <is>
          <t>NO</t>
        </is>
      </c>
      <c r="K541" s="188" t="inlineStr">
        <is>
          <t>https://nvd.nist.gov/vuln/detail/CVE-2025-67982</t>
        </is>
      </c>
      <c r="L541" s="188" t="inlineStr">
        <is>
          <t>2026-02-26 00:15</t>
        </is>
      </c>
      <c r="M541" s="188" t="inlineStr">
        <is>
          <t>CHECK_VENDOR</t>
        </is>
      </c>
      <c r="N541" s="188" t="inlineStr">
        <is>
          <t>See NVD references</t>
        </is>
      </c>
      <c r="O541" s="188" t="inlineStr">
        <is>
          <t>Apply vendor patches</t>
        </is>
      </c>
      <c r="P541" s="188" t="inlineStr">
        <is>
          <t>See CVE details</t>
        </is>
      </c>
      <c r="Q541" s="188" t="inlineStr">
        <is>
          <t>P3</t>
        </is>
      </c>
      <c r="R541" s="188" t="inlineStr">
        <is>
          <t>🚨 URGENT: Apply vendor patches immediately | 🔒 Isolate affected systems if patch unavailable | 🛡️ Enable additional monitoring/IDS rules</t>
        </is>
      </c>
      <c r="S541" s="188" t="inlineStr">
        <is>
          <t>CVE - IP enrichment n/a</t>
        </is>
      </c>
      <c r="T541" s="188" t="n">
        <v>0</v>
      </c>
      <c r="U541" s="188" t="n">
        <v>0</v>
      </c>
      <c r="V541" s="188" t="inlineStr">
        <is>
          <t>T1190:Exploit Public-Facing Application</t>
        </is>
      </c>
      <c r="W541" s="188" t="n">
        <v>1</v>
      </c>
      <c r="X541" s="188" t="inlineStr">
        <is>
          <t>LOW (40%)</t>
        </is>
      </c>
      <c r="Y541" s="188" t="inlineStr">
        <is>
          <t>UNLIKELY</t>
        </is>
      </c>
      <c r="Z541" s="188" t="inlineStr">
        <is>
          <t>CHECK_VENDOR</t>
        </is>
      </c>
      <c r="AA541" s="188" t="inlineStr">
        <is>
          <t>https://nvd.nist.gov/vuln/detail/CVE-2025-67982</t>
        </is>
      </c>
      <c r="AB541" s="188" t="inlineStr">
        <is>
          <t>NONE</t>
        </is>
      </c>
      <c r="AC541" s="188" t="n">
        <v>0</v>
      </c>
      <c r="AD541" s="188" t="inlineStr"/>
    </row>
    <row r="542">
      <c r="A542" s="188" t="inlineStr">
        <is>
          <t>CVE</t>
        </is>
      </c>
      <c r="B542" s="188" t="inlineStr">
        <is>
          <t>CVE-2025-67984</t>
        </is>
      </c>
      <c r="C542" s="188" t="inlineStr">
        <is>
          <t>Improper Neutralization of Input During Web Page Generation ('Cross-site Scripting') vulnerability in calliko NPS computy nps-computy allows DOM-Based XSS.This issue affects NPS computy: from n/a through &lt;= 2.8.2.</t>
        </is>
      </c>
      <c r="D542" s="188" t="n">
        <v>7.1</v>
      </c>
      <c r="E542" s="188" t="inlineStr">
        <is>
          <t>HIGH</t>
        </is>
      </c>
      <c r="F542" s="188" t="n">
        <v>2</v>
      </c>
      <c r="G542" s="188" t="n">
        <v>3</v>
      </c>
      <c r="H542" s="188" t="inlineStr">
        <is>
          <t>HIGH</t>
        </is>
      </c>
      <c r="I542" s="188" t="n">
        <v>13.1</v>
      </c>
      <c r="J542" s="188" t="inlineStr">
        <is>
          <t>NO</t>
        </is>
      </c>
      <c r="K542" s="188" t="inlineStr">
        <is>
          <t>https://nvd.nist.gov/vuln/detail/CVE-2025-67984</t>
        </is>
      </c>
      <c r="L542" s="188" t="inlineStr">
        <is>
          <t>2026-02-26 00:15</t>
        </is>
      </c>
      <c r="M542" s="188" t="inlineStr">
        <is>
          <t>CHECK_VENDOR</t>
        </is>
      </c>
      <c r="N542" s="188" t="inlineStr">
        <is>
          <t>See NVD references</t>
        </is>
      </c>
      <c r="O542" s="188" t="inlineStr">
        <is>
          <t>Apply vendor patches</t>
        </is>
      </c>
      <c r="P542" s="188" t="inlineStr">
        <is>
          <t>See CVE details</t>
        </is>
      </c>
      <c r="Q542" s="188" t="inlineStr">
        <is>
          <t>P3</t>
        </is>
      </c>
      <c r="R542" s="188" t="inlineStr">
        <is>
          <t>🚨 URGENT: Apply vendor patches immediately | 🔒 Isolate affected systems if patch unavailable | 🛡️ Enable additional monitoring/IDS rules</t>
        </is>
      </c>
      <c r="S542" s="188" t="inlineStr">
        <is>
          <t>CVE - IP enrichment n/a</t>
        </is>
      </c>
      <c r="T542" s="188" t="n">
        <v>0</v>
      </c>
      <c r="U542" s="188" t="n">
        <v>0</v>
      </c>
      <c r="V542" s="188" t="inlineStr">
        <is>
          <t>T1189:Drive-by Compromise</t>
        </is>
      </c>
      <c r="W542" s="188" t="n">
        <v>1</v>
      </c>
      <c r="X542" s="188" t="inlineStr">
        <is>
          <t>LOW (40%)</t>
        </is>
      </c>
      <c r="Y542" s="188" t="inlineStr">
        <is>
          <t>UNLIKELY</t>
        </is>
      </c>
      <c r="Z542" s="188" t="inlineStr">
        <is>
          <t>CHECK_VENDOR</t>
        </is>
      </c>
      <c r="AA542" s="188" t="inlineStr">
        <is>
          <t>https://nvd.nist.gov/vuln/detail/CVE-2025-67984</t>
        </is>
      </c>
      <c r="AB542" s="188" t="inlineStr">
        <is>
          <t>NONE</t>
        </is>
      </c>
      <c r="AC542" s="188" t="n">
        <v>0</v>
      </c>
      <c r="AD542" s="188" t="inlineStr"/>
    </row>
    <row r="543">
      <c r="A543" s="188" t="inlineStr">
        <is>
          <t>CVE</t>
        </is>
      </c>
      <c r="B543" s="188" t="inlineStr">
        <is>
          <t>CVE-2025-67987</t>
        </is>
      </c>
      <c r="C543" s="188" t="inlineStr">
        <is>
          <t>Improper Neutralization of Special Elements used in an SQL Command ('SQL Injection') vulnerability in ExpressTech Systems Quiz And Survey Master quiz-master-next allows SQL Injection.This issue affects Quiz And Survey Master: from n/a through &lt;= 10.3.1.</t>
        </is>
      </c>
      <c r="D543" s="188" t="n">
        <v>8.5</v>
      </c>
      <c r="E543" s="188" t="inlineStr">
        <is>
          <t>HIGH</t>
        </is>
      </c>
      <c r="F543" s="188" t="n">
        <v>2</v>
      </c>
      <c r="G543" s="188" t="n">
        <v>3</v>
      </c>
      <c r="H543" s="188" t="inlineStr">
        <is>
          <t>HIGH</t>
        </is>
      </c>
      <c r="I543" s="188" t="n">
        <v>14.5</v>
      </c>
      <c r="J543" s="188" t="inlineStr">
        <is>
          <t>NO</t>
        </is>
      </c>
      <c r="K543" s="188" t="inlineStr">
        <is>
          <t>https://nvd.nist.gov/vuln/detail/CVE-2025-67987</t>
        </is>
      </c>
      <c r="L543" s="188" t="inlineStr">
        <is>
          <t>2026-02-26 00:15</t>
        </is>
      </c>
      <c r="M543" s="188" t="inlineStr">
        <is>
          <t>CHECK_VENDOR</t>
        </is>
      </c>
      <c r="N543" s="188" t="inlineStr">
        <is>
          <t>See NVD references</t>
        </is>
      </c>
      <c r="O543" s="188" t="inlineStr">
        <is>
          <t>Apply vendor patches</t>
        </is>
      </c>
      <c r="P543" s="188" t="inlineStr">
        <is>
          <t>See CVE details</t>
        </is>
      </c>
      <c r="Q543" s="188" t="inlineStr">
        <is>
          <t>P3</t>
        </is>
      </c>
      <c r="R543" s="188" t="inlineStr">
        <is>
          <t>🚨 URGENT: Apply vendor patches immediately | 🔒 Isolate affected systems if patch unavailable | 🛡️ Enable additional monitoring/IDS rules</t>
        </is>
      </c>
      <c r="S543" s="188" t="inlineStr">
        <is>
          <t>CVE - IP enrichment n/a</t>
        </is>
      </c>
      <c r="T543" s="188" t="n">
        <v>0</v>
      </c>
      <c r="U543" s="188" t="n">
        <v>0</v>
      </c>
      <c r="V543" s="188" t="inlineStr">
        <is>
          <t>T1190:Exploit Public-Facing Application</t>
        </is>
      </c>
      <c r="W543" s="188" t="n">
        <v>1</v>
      </c>
      <c r="X543" s="188" t="inlineStr">
        <is>
          <t>LOW (40%)</t>
        </is>
      </c>
      <c r="Y543" s="188" t="inlineStr">
        <is>
          <t>UNLIKELY</t>
        </is>
      </c>
      <c r="Z543" s="188" t="inlineStr">
        <is>
          <t>CHECK_VENDOR</t>
        </is>
      </c>
      <c r="AA543" s="188" t="inlineStr">
        <is>
          <t>https://nvd.nist.gov/vuln/detail/CVE-2025-67987</t>
        </is>
      </c>
      <c r="AB543" s="188" t="inlineStr">
        <is>
          <t>NONE</t>
        </is>
      </c>
      <c r="AC543" s="188" t="n">
        <v>0</v>
      </c>
      <c r="AD543" s="188" t="inlineStr"/>
    </row>
    <row r="544">
      <c r="A544" s="188" t="inlineStr">
        <is>
          <t>CVE</t>
        </is>
      </c>
      <c r="B544" s="188" t="inlineStr">
        <is>
          <t>CVE-2025-67988</t>
        </is>
      </c>
      <c r="C544" s="188" t="inlineStr">
        <is>
          <t>Improper Control of Filename for Include/Require Statement in PHP Program ('PHP Remote File Inclusion') vulnerability in LoftOcean CozyStay cozystay allows PHP Local File Inclusion.This issue affects CozyStay: from n/a through &lt; 1.9.1.</t>
        </is>
      </c>
      <c r="D544" s="188" t="n">
        <v>8.1</v>
      </c>
      <c r="E544" s="188" t="inlineStr">
        <is>
          <t>HIGH</t>
        </is>
      </c>
      <c r="F544" s="188" t="n">
        <v>2</v>
      </c>
      <c r="G544" s="188" t="n">
        <v>3</v>
      </c>
      <c r="H544" s="188" t="inlineStr">
        <is>
          <t>HIGH</t>
        </is>
      </c>
      <c r="I544" s="188" t="n">
        <v>14.1</v>
      </c>
      <c r="J544" s="188" t="inlineStr">
        <is>
          <t>NO</t>
        </is>
      </c>
      <c r="K544" s="188" t="inlineStr">
        <is>
          <t>https://nvd.nist.gov/vuln/detail/CVE-2025-67988</t>
        </is>
      </c>
      <c r="L544" s="188" t="inlineStr">
        <is>
          <t>2026-02-26 00:15</t>
        </is>
      </c>
      <c r="M544" s="188" t="inlineStr">
        <is>
          <t>CHECK_VENDOR</t>
        </is>
      </c>
      <c r="N544" s="188" t="inlineStr">
        <is>
          <t>See NVD references</t>
        </is>
      </c>
      <c r="O544" s="188" t="inlineStr">
        <is>
          <t>Apply vendor patches</t>
        </is>
      </c>
      <c r="P544" s="188" t="inlineStr">
        <is>
          <t>See CVE details</t>
        </is>
      </c>
      <c r="Q544" s="188" t="inlineStr">
        <is>
          <t>P3</t>
        </is>
      </c>
      <c r="R544" s="188" t="inlineStr">
        <is>
          <t>🚨 URGENT: Apply vendor patches immediately | 🔒 Isolate affected systems if patch unavailable | 🛡️ Enable additional monitoring/IDS rules</t>
        </is>
      </c>
      <c r="S544" s="188" t="inlineStr">
        <is>
          <t>CVE - IP enrichment n/a</t>
        </is>
      </c>
      <c r="T544" s="188" t="n">
        <v>0</v>
      </c>
      <c r="U544" s="188" t="n">
        <v>0</v>
      </c>
      <c r="V544" s="188" t="inlineStr">
        <is>
          <t>T1190:Exploit Public-Facing Application</t>
        </is>
      </c>
      <c r="W544" s="188" t="n">
        <v>1</v>
      </c>
      <c r="X544" s="188" t="inlineStr">
        <is>
          <t>LOW (40%)</t>
        </is>
      </c>
      <c r="Y544" s="188" t="inlineStr">
        <is>
          <t>UNLIKELY</t>
        </is>
      </c>
      <c r="Z544" s="188" t="inlineStr">
        <is>
          <t>CHECK_VENDOR</t>
        </is>
      </c>
      <c r="AA544" s="188" t="inlineStr">
        <is>
          <t>https://nvd.nist.gov/vuln/detail/CVE-2025-67988</t>
        </is>
      </c>
      <c r="AB544" s="188" t="inlineStr">
        <is>
          <t>NONE</t>
        </is>
      </c>
      <c r="AC544" s="188" t="n">
        <v>0</v>
      </c>
      <c r="AD544" s="188" t="inlineStr"/>
    </row>
    <row r="545">
      <c r="A545" s="188" t="inlineStr">
        <is>
          <t>CVE</t>
        </is>
      </c>
      <c r="B545" s="188" t="inlineStr">
        <is>
          <t>CVE-2025-67990</t>
        </is>
      </c>
      <c r="C545" s="188" t="inlineStr">
        <is>
          <t>Improper Neutralization of Input During Web Page Generation ('Cross-site Scripting') vulnerability in RealMag777 GMap Targeting gmap-targeting allows Reflected XSS.This issue affects GMap Targeting: from n/a through &lt;= 1.1.7.</t>
        </is>
      </c>
      <c r="D545" s="188" t="n">
        <v>7.1</v>
      </c>
      <c r="E545" s="188" t="inlineStr">
        <is>
          <t>HIGH</t>
        </is>
      </c>
      <c r="F545" s="188" t="n">
        <v>2</v>
      </c>
      <c r="G545" s="188" t="n">
        <v>3</v>
      </c>
      <c r="H545" s="188" t="inlineStr">
        <is>
          <t>HIGH</t>
        </is>
      </c>
      <c r="I545" s="188" t="n">
        <v>13.1</v>
      </c>
      <c r="J545" s="188" t="inlineStr">
        <is>
          <t>NO</t>
        </is>
      </c>
      <c r="K545" s="188" t="inlineStr">
        <is>
          <t>https://nvd.nist.gov/vuln/detail/CVE-2025-67990</t>
        </is>
      </c>
      <c r="L545" s="188" t="inlineStr">
        <is>
          <t>2026-02-26 00:15</t>
        </is>
      </c>
      <c r="M545" s="188" t="inlineStr">
        <is>
          <t>CHECK_VENDOR</t>
        </is>
      </c>
      <c r="N545" s="188" t="inlineStr">
        <is>
          <t>See NVD references</t>
        </is>
      </c>
      <c r="O545" s="188" t="inlineStr">
        <is>
          <t>Apply vendor patches</t>
        </is>
      </c>
      <c r="P545" s="188" t="inlineStr">
        <is>
          <t>See CVE details</t>
        </is>
      </c>
      <c r="Q545" s="188" t="inlineStr">
        <is>
          <t>P3</t>
        </is>
      </c>
      <c r="R545" s="188" t="inlineStr">
        <is>
          <t>🚨 URGENT: Apply vendor patches immediately | 🔒 Isolate affected systems if patch unavailable | 🛡️ Enable additional monitoring/IDS rules</t>
        </is>
      </c>
      <c r="S545" s="188" t="inlineStr">
        <is>
          <t>CVE - IP enrichment n/a</t>
        </is>
      </c>
      <c r="T545" s="188" t="n">
        <v>0</v>
      </c>
      <c r="U545" s="188" t="n">
        <v>0</v>
      </c>
      <c r="V545" s="188" t="inlineStr">
        <is>
          <t>T1189:Drive-by Compromise</t>
        </is>
      </c>
      <c r="W545" s="188" t="n">
        <v>1</v>
      </c>
      <c r="X545" s="188" t="inlineStr">
        <is>
          <t>LOW (40%)</t>
        </is>
      </c>
      <c r="Y545" s="188" t="inlineStr">
        <is>
          <t>UNLIKELY</t>
        </is>
      </c>
      <c r="Z545" s="188" t="inlineStr">
        <is>
          <t>CHECK_VENDOR</t>
        </is>
      </c>
      <c r="AA545" s="188" t="inlineStr">
        <is>
          <t>https://nvd.nist.gov/vuln/detail/CVE-2025-67990</t>
        </is>
      </c>
      <c r="AB545" s="188" t="inlineStr">
        <is>
          <t>NONE</t>
        </is>
      </c>
      <c r="AC545" s="188" t="n">
        <v>0</v>
      </c>
      <c r="AD545" s="188" t="inlineStr"/>
    </row>
    <row r="546">
      <c r="A546" s="188" t="inlineStr">
        <is>
          <t>CVE</t>
        </is>
      </c>
      <c r="B546" s="188" t="inlineStr">
        <is>
          <t>CVE-2025-67991</t>
        </is>
      </c>
      <c r="C546" s="188" t="inlineStr">
        <is>
          <t>Improper Neutralization of Input During Web Page Generation ('Cross-site Scripting') vulnerability in vanquish User Extra Fields wp-user-extra-fields allows Reflected XSS.This issue affects User Extra Fields: from n/a through &lt;= 16.8.</t>
        </is>
      </c>
      <c r="D546" s="188" t="n">
        <v>7.1</v>
      </c>
      <c r="E546" s="188" t="inlineStr">
        <is>
          <t>HIGH</t>
        </is>
      </c>
      <c r="F546" s="188" t="n">
        <v>2</v>
      </c>
      <c r="G546" s="188" t="n">
        <v>3</v>
      </c>
      <c r="H546" s="188" t="inlineStr">
        <is>
          <t>HIGH</t>
        </is>
      </c>
      <c r="I546" s="188" t="n">
        <v>13.1</v>
      </c>
      <c r="J546" s="188" t="inlineStr">
        <is>
          <t>NO</t>
        </is>
      </c>
      <c r="K546" s="188" t="inlineStr">
        <is>
          <t>https://nvd.nist.gov/vuln/detail/CVE-2025-67991</t>
        </is>
      </c>
      <c r="L546" s="188" t="inlineStr">
        <is>
          <t>2026-02-26 00:15</t>
        </is>
      </c>
      <c r="M546" s="188" t="inlineStr">
        <is>
          <t>CHECK_VENDOR</t>
        </is>
      </c>
      <c r="N546" s="188" t="inlineStr">
        <is>
          <t>See NVD references</t>
        </is>
      </c>
      <c r="O546" s="188" t="inlineStr">
        <is>
          <t>Apply vendor patches</t>
        </is>
      </c>
      <c r="P546" s="188" t="inlineStr">
        <is>
          <t>See CVE details</t>
        </is>
      </c>
      <c r="Q546" s="188" t="inlineStr">
        <is>
          <t>P3</t>
        </is>
      </c>
      <c r="R546" s="188" t="inlineStr">
        <is>
          <t>🚨 URGENT: Apply vendor patches immediately | 🔒 Isolate affected systems if patch unavailable | 🛡️ Enable additional monitoring/IDS rules</t>
        </is>
      </c>
      <c r="S546" s="188" t="inlineStr">
        <is>
          <t>CVE - IP enrichment n/a</t>
        </is>
      </c>
      <c r="T546" s="188" t="n">
        <v>0</v>
      </c>
      <c r="U546" s="188" t="n">
        <v>0</v>
      </c>
      <c r="V546" s="188" t="inlineStr">
        <is>
          <t>T1189:Drive-by Compromise</t>
        </is>
      </c>
      <c r="W546" s="188" t="n">
        <v>1</v>
      </c>
      <c r="X546" s="188" t="inlineStr">
        <is>
          <t>LOW (40%)</t>
        </is>
      </c>
      <c r="Y546" s="188" t="inlineStr">
        <is>
          <t>UNLIKELY</t>
        </is>
      </c>
      <c r="Z546" s="188" t="inlineStr">
        <is>
          <t>CHECK_VENDOR</t>
        </is>
      </c>
      <c r="AA546" s="188" t="inlineStr">
        <is>
          <t>https://nvd.nist.gov/vuln/detail/CVE-2025-67991</t>
        </is>
      </c>
      <c r="AB546" s="188" t="inlineStr">
        <is>
          <t>NONE</t>
        </is>
      </c>
      <c r="AC546" s="188" t="n">
        <v>0</v>
      </c>
      <c r="AD546" s="188" t="inlineStr"/>
    </row>
    <row r="547">
      <c r="A547" s="188" t="inlineStr">
        <is>
          <t>CVE</t>
        </is>
      </c>
      <c r="B547" s="188" t="inlineStr">
        <is>
          <t>CVE-2025-67992</t>
        </is>
      </c>
      <c r="C547" s="188" t="inlineStr">
        <is>
          <t>Improper Control of Filename for Include/Require Statement in PHP Program ('PHP Remote File Inclusion') vulnerability in LoftOcean PatioTime patiotime allows PHP Local File Inclusion.This issue affects PatioTime: from n/a through &lt; 2.1.</t>
        </is>
      </c>
      <c r="D547" s="188" t="n">
        <v>8.1</v>
      </c>
      <c r="E547" s="188" t="inlineStr">
        <is>
          <t>HIGH</t>
        </is>
      </c>
      <c r="F547" s="188" t="n">
        <v>2</v>
      </c>
      <c r="G547" s="188" t="n">
        <v>3</v>
      </c>
      <c r="H547" s="188" t="inlineStr">
        <is>
          <t>HIGH</t>
        </is>
      </c>
      <c r="I547" s="188" t="n">
        <v>14.1</v>
      </c>
      <c r="J547" s="188" t="inlineStr">
        <is>
          <t>NO</t>
        </is>
      </c>
      <c r="K547" s="188" t="inlineStr">
        <is>
          <t>https://nvd.nist.gov/vuln/detail/CVE-2025-67992</t>
        </is>
      </c>
      <c r="L547" s="188" t="inlineStr">
        <is>
          <t>2026-02-26 00:15</t>
        </is>
      </c>
      <c r="M547" s="188" t="inlineStr">
        <is>
          <t>CHECK_VENDOR</t>
        </is>
      </c>
      <c r="N547" s="188" t="inlineStr">
        <is>
          <t>See NVD references</t>
        </is>
      </c>
      <c r="O547" s="188" t="inlineStr">
        <is>
          <t>Apply vendor patches</t>
        </is>
      </c>
      <c r="P547" s="188" t="inlineStr">
        <is>
          <t>See CVE details</t>
        </is>
      </c>
      <c r="Q547" s="188" t="inlineStr">
        <is>
          <t>P3</t>
        </is>
      </c>
      <c r="R547" s="188" t="inlineStr">
        <is>
          <t>🚨 URGENT: Apply vendor patches immediately | 🔒 Isolate affected systems if patch unavailable | 🛡️ Enable additional monitoring/IDS rules</t>
        </is>
      </c>
      <c r="S547" s="188" t="inlineStr">
        <is>
          <t>CVE - IP enrichment n/a</t>
        </is>
      </c>
      <c r="T547" s="188" t="n">
        <v>0</v>
      </c>
      <c r="U547" s="188" t="n">
        <v>0</v>
      </c>
      <c r="V547" s="188" t="inlineStr">
        <is>
          <t>T1190:Exploit Public-Facing Application</t>
        </is>
      </c>
      <c r="W547" s="188" t="n">
        <v>1</v>
      </c>
      <c r="X547" s="188" t="inlineStr">
        <is>
          <t>LOW (40%)</t>
        </is>
      </c>
      <c r="Y547" s="188" t="inlineStr">
        <is>
          <t>UNLIKELY</t>
        </is>
      </c>
      <c r="Z547" s="188" t="inlineStr">
        <is>
          <t>CHECK_VENDOR</t>
        </is>
      </c>
      <c r="AA547" s="188" t="inlineStr">
        <is>
          <t>https://nvd.nist.gov/vuln/detail/CVE-2025-67992</t>
        </is>
      </c>
      <c r="AB547" s="188" t="inlineStr">
        <is>
          <t>NONE</t>
        </is>
      </c>
      <c r="AC547" s="188" t="n">
        <v>0</v>
      </c>
      <c r="AD547" s="188" t="inlineStr"/>
    </row>
    <row r="548">
      <c r="A548" s="187" t="inlineStr">
        <is>
          <t>CVE</t>
        </is>
      </c>
      <c r="B548" s="187" t="inlineStr">
        <is>
          <t>CVE-2025-67993</t>
        </is>
      </c>
      <c r="C548" s="187" t="inlineStr">
        <is>
          <t>Missing Authorization vulnerability in Vito Peleg Atarim atarim-visual-collaboration allows Exploiting Incorrectly Configured Access Control Security Levels.This issue affects Atarim: from n/a through &lt;= 4.2.1.</t>
        </is>
      </c>
      <c r="D548" s="187" t="n">
        <v>6.5</v>
      </c>
      <c r="E548" s="187" t="inlineStr">
        <is>
          <t>MEDIUM</t>
        </is>
      </c>
      <c r="F548" s="187" t="n">
        <v>2</v>
      </c>
      <c r="G548" s="187" t="n">
        <v>2</v>
      </c>
      <c r="H548" s="187" t="inlineStr">
        <is>
          <t>MEDIUM</t>
        </is>
      </c>
      <c r="I548" s="187" t="n">
        <v>10.5</v>
      </c>
      <c r="J548" s="187" t="inlineStr">
        <is>
          <t>NO</t>
        </is>
      </c>
      <c r="K548" s="187" t="inlineStr">
        <is>
          <t>https://nvd.nist.gov/vuln/detail/CVE-2025-67993</t>
        </is>
      </c>
      <c r="L548" s="187" t="inlineStr">
        <is>
          <t>2026-02-26 00:15</t>
        </is>
      </c>
      <c r="M548" s="187" t="inlineStr">
        <is>
          <t>CHECK_VENDOR</t>
        </is>
      </c>
      <c r="N548" s="187" t="inlineStr">
        <is>
          <t>See NVD references</t>
        </is>
      </c>
      <c r="O548" s="187" t="inlineStr">
        <is>
          <t>Apply vendor patches</t>
        </is>
      </c>
      <c r="P548" s="187" t="inlineStr">
        <is>
          <t>See CVE details</t>
        </is>
      </c>
      <c r="Q548" s="187" t="inlineStr">
        <is>
          <t>P4</t>
        </is>
      </c>
      <c r="R548" s="187" t="inlineStr">
        <is>
          <t>📅 Schedule patch deployment within 30 days | 🔍 Monitor for exploitation attempts</t>
        </is>
      </c>
      <c r="S548" s="187" t="inlineStr">
        <is>
          <t>CVE - IP enrichment n/a</t>
        </is>
      </c>
      <c r="T548" s="187" t="n">
        <v>0</v>
      </c>
      <c r="U548" s="187" t="n">
        <v>0</v>
      </c>
      <c r="V548" s="187" t="inlineStr">
        <is>
          <t>T1190:Exploit Public-Facing Application</t>
        </is>
      </c>
      <c r="W548" s="187" t="n">
        <v>1</v>
      </c>
      <c r="X548" s="187" t="inlineStr">
        <is>
          <t>LOW (40%)</t>
        </is>
      </c>
      <c r="Y548" s="187" t="inlineStr">
        <is>
          <t>UNLIKELY</t>
        </is>
      </c>
      <c r="Z548" s="187" t="inlineStr">
        <is>
          <t>CHECK_VENDOR</t>
        </is>
      </c>
      <c r="AA548" s="187" t="inlineStr">
        <is>
          <t>https://nvd.nist.gov/vuln/detail/CVE-2025-67993</t>
        </is>
      </c>
      <c r="AB548" s="187" t="inlineStr">
        <is>
          <t>NONE</t>
        </is>
      </c>
      <c r="AC548" s="187" t="n">
        <v>0</v>
      </c>
      <c r="AD548" s="187" t="inlineStr"/>
    </row>
    <row r="549">
      <c r="A549" s="188" t="inlineStr">
        <is>
          <t>CVE</t>
        </is>
      </c>
      <c r="B549" s="188" t="inlineStr">
        <is>
          <t>CVE-2025-67994</t>
        </is>
      </c>
      <c r="C549" s="188" t="inlineStr">
        <is>
          <t>Missing Authorization vulnerability in YayCommerce YayCurrency yaycurrency allows Exploiting Incorrectly Configured Access Control Security Levels.This issue affects YayCurrency: from n/a through &lt;= 3.3.</t>
        </is>
      </c>
      <c r="D549" s="188" t="n">
        <v>7.5</v>
      </c>
      <c r="E549" s="188" t="inlineStr">
        <is>
          <t>HIGH</t>
        </is>
      </c>
      <c r="F549" s="188" t="n">
        <v>2</v>
      </c>
      <c r="G549" s="188" t="n">
        <v>3</v>
      </c>
      <c r="H549" s="188" t="inlineStr">
        <is>
          <t>HIGH</t>
        </is>
      </c>
      <c r="I549" s="188" t="n">
        <v>13.5</v>
      </c>
      <c r="J549" s="188" t="inlineStr">
        <is>
          <t>NO</t>
        </is>
      </c>
      <c r="K549" s="188" t="inlineStr">
        <is>
          <t>https://nvd.nist.gov/vuln/detail/CVE-2025-67994</t>
        </is>
      </c>
      <c r="L549" s="188" t="inlineStr">
        <is>
          <t>2026-02-26 00:15</t>
        </is>
      </c>
      <c r="M549" s="188" t="inlineStr">
        <is>
          <t>CHECK_VENDOR</t>
        </is>
      </c>
      <c r="N549" s="188" t="inlineStr">
        <is>
          <t>See NVD references</t>
        </is>
      </c>
      <c r="O549" s="188" t="inlineStr">
        <is>
          <t>Apply vendor patches</t>
        </is>
      </c>
      <c r="P549" s="188" t="inlineStr">
        <is>
          <t>See CVE details</t>
        </is>
      </c>
      <c r="Q549" s="188" t="inlineStr">
        <is>
          <t>P3</t>
        </is>
      </c>
      <c r="R549" s="188" t="inlineStr">
        <is>
          <t>🚨 URGENT: Apply vendor patches immediately | 🔒 Isolate affected systems if patch unavailable | 🛡️ Enable additional monitoring/IDS rules</t>
        </is>
      </c>
      <c r="S549" s="188" t="inlineStr">
        <is>
          <t>CVE - IP enrichment n/a</t>
        </is>
      </c>
      <c r="T549" s="188" t="n">
        <v>0</v>
      </c>
      <c r="U549" s="188" t="n">
        <v>0</v>
      </c>
      <c r="V549" s="188" t="inlineStr">
        <is>
          <t>T1190:Exploit Public-Facing Application</t>
        </is>
      </c>
      <c r="W549" s="188" t="n">
        <v>1</v>
      </c>
      <c r="X549" s="188" t="inlineStr">
        <is>
          <t>LOW (40%)</t>
        </is>
      </c>
      <c r="Y549" s="188" t="inlineStr">
        <is>
          <t>UNLIKELY</t>
        </is>
      </c>
      <c r="Z549" s="188" t="inlineStr">
        <is>
          <t>CHECK_VENDOR</t>
        </is>
      </c>
      <c r="AA549" s="188" t="inlineStr">
        <is>
          <t>https://nvd.nist.gov/vuln/detail/CVE-2025-67994</t>
        </is>
      </c>
      <c r="AB549" s="188" t="inlineStr">
        <is>
          <t>NONE</t>
        </is>
      </c>
      <c r="AC549" s="188" t="n">
        <v>0</v>
      </c>
      <c r="AD549" s="188" t="inlineStr"/>
    </row>
    <row r="550">
      <c r="A550" s="189" t="inlineStr">
        <is>
          <t>CVE</t>
        </is>
      </c>
      <c r="B550" s="189" t="inlineStr">
        <is>
          <t>CVE-2025-67995</t>
        </is>
      </c>
      <c r="C550" s="189" t="inlineStr">
        <is>
          <t>Deserialization of Untrusted Data vulnerability in LoftOcean PatioTime patiotime allows Object Injection.This issue affects PatioTime: from n/a through &lt; 2.1.</t>
        </is>
      </c>
      <c r="D550" s="189" t="n">
        <v>9.800000000000001</v>
      </c>
      <c r="E550" s="189" t="inlineStr">
        <is>
          <t>CRITICAL</t>
        </is>
      </c>
      <c r="F550" s="189" t="n">
        <v>2</v>
      </c>
      <c r="G550" s="189" t="n">
        <v>3</v>
      </c>
      <c r="H550" s="189" t="inlineStr">
        <is>
          <t>HIGH</t>
        </is>
      </c>
      <c r="I550" s="189" t="n">
        <v>15.8</v>
      </c>
      <c r="J550" s="189" t="inlineStr">
        <is>
          <t>NO</t>
        </is>
      </c>
      <c r="K550" s="189" t="inlineStr">
        <is>
          <t>https://nvd.nist.gov/vuln/detail/CVE-2025-67995</t>
        </is>
      </c>
      <c r="L550" s="189" t="inlineStr">
        <is>
          <t>2026-02-26 00:15</t>
        </is>
      </c>
      <c r="M550" s="189" t="inlineStr">
        <is>
          <t>CHECK_VENDOR</t>
        </is>
      </c>
      <c r="N550" s="189" t="inlineStr">
        <is>
          <t>See NVD references</t>
        </is>
      </c>
      <c r="O550" s="189" t="inlineStr">
        <is>
          <t>Apply vendor patches</t>
        </is>
      </c>
      <c r="P550" s="189" t="inlineStr">
        <is>
          <t>See CVE details</t>
        </is>
      </c>
      <c r="Q550" s="189" t="inlineStr">
        <is>
          <t>P3</t>
        </is>
      </c>
      <c r="R550" s="189" t="inlineStr">
        <is>
          <t>🚨 URGENT: Apply vendor patches immediately | 🔒 Isolate affected systems if patch unavailable | 🛡️ Enable additional monitoring/IDS rules</t>
        </is>
      </c>
      <c r="S550" s="189" t="inlineStr">
        <is>
          <t>CVE - IP enrichment n/a</t>
        </is>
      </c>
      <c r="T550" s="189" t="n">
        <v>0</v>
      </c>
      <c r="U550" s="189" t="n">
        <v>0</v>
      </c>
      <c r="V550" s="189" t="inlineStr">
        <is>
          <t>T1059:Command and Scripting Interpreter</t>
        </is>
      </c>
      <c r="W550" s="189" t="n">
        <v>1</v>
      </c>
      <c r="X550" s="189" t="inlineStr">
        <is>
          <t>LOW (40%)</t>
        </is>
      </c>
      <c r="Y550" s="189" t="inlineStr">
        <is>
          <t>UNLIKELY</t>
        </is>
      </c>
      <c r="Z550" s="189" t="inlineStr">
        <is>
          <t>CHECK_VENDOR</t>
        </is>
      </c>
      <c r="AA550" s="189" t="inlineStr">
        <is>
          <t>https://nvd.nist.gov/vuln/detail/CVE-2025-67995</t>
        </is>
      </c>
      <c r="AB550" s="189" t="inlineStr">
        <is>
          <t>NONE</t>
        </is>
      </c>
      <c r="AC550" s="189" t="n">
        <v>0</v>
      </c>
      <c r="AD550" s="189" t="inlineStr"/>
    </row>
    <row r="551">
      <c r="A551" s="189" t="inlineStr">
        <is>
          <t>CVE</t>
        </is>
      </c>
      <c r="B551" s="189" t="inlineStr">
        <is>
          <t>CVE-2025-67996</t>
        </is>
      </c>
      <c r="C551" s="189" t="inlineStr">
        <is>
          <t>Deserialization of Untrusted Data vulnerability in BoldThemes Nestin nestin allows Object Injection.This issue affects Nestin: from n/a through &lt; 1.2.6.</t>
        </is>
      </c>
      <c r="D551" s="189" t="n">
        <v>9.800000000000001</v>
      </c>
      <c r="E551" s="189" t="inlineStr">
        <is>
          <t>CRITICAL</t>
        </is>
      </c>
      <c r="F551" s="189" t="n">
        <v>2</v>
      </c>
      <c r="G551" s="189" t="n">
        <v>3</v>
      </c>
      <c r="H551" s="189" t="inlineStr">
        <is>
          <t>HIGH</t>
        </is>
      </c>
      <c r="I551" s="189" t="n">
        <v>15.8</v>
      </c>
      <c r="J551" s="189" t="inlineStr">
        <is>
          <t>NO</t>
        </is>
      </c>
      <c r="K551" s="189" t="inlineStr">
        <is>
          <t>https://nvd.nist.gov/vuln/detail/CVE-2025-67996</t>
        </is>
      </c>
      <c r="L551" s="189" t="inlineStr">
        <is>
          <t>2026-02-26 00:15</t>
        </is>
      </c>
      <c r="M551" s="189" t="inlineStr">
        <is>
          <t>CHECK_VENDOR</t>
        </is>
      </c>
      <c r="N551" s="189" t="inlineStr">
        <is>
          <t>See NVD references</t>
        </is>
      </c>
      <c r="O551" s="189" t="inlineStr">
        <is>
          <t>Apply vendor patches</t>
        </is>
      </c>
      <c r="P551" s="189" t="inlineStr">
        <is>
          <t>See CVE details</t>
        </is>
      </c>
      <c r="Q551" s="189" t="inlineStr">
        <is>
          <t>P3</t>
        </is>
      </c>
      <c r="R551" s="189" t="inlineStr">
        <is>
          <t>🚨 URGENT: Apply vendor patches immediately | 🔒 Isolate affected systems if patch unavailable | 🛡️ Enable additional monitoring/IDS rules</t>
        </is>
      </c>
      <c r="S551" s="189" t="inlineStr">
        <is>
          <t>CVE - IP enrichment n/a</t>
        </is>
      </c>
      <c r="T551" s="189" t="n">
        <v>0</v>
      </c>
      <c r="U551" s="189" t="n">
        <v>0</v>
      </c>
      <c r="V551" s="189" t="inlineStr">
        <is>
          <t>T1059:Command and Scripting Interpreter</t>
        </is>
      </c>
      <c r="W551" s="189" t="n">
        <v>1</v>
      </c>
      <c r="X551" s="189" t="inlineStr">
        <is>
          <t>LOW (40%)</t>
        </is>
      </c>
      <c r="Y551" s="189" t="inlineStr">
        <is>
          <t>UNLIKELY</t>
        </is>
      </c>
      <c r="Z551" s="189" t="inlineStr">
        <is>
          <t>CHECK_VENDOR</t>
        </is>
      </c>
      <c r="AA551" s="189" t="inlineStr">
        <is>
          <t>https://nvd.nist.gov/vuln/detail/CVE-2025-67996</t>
        </is>
      </c>
      <c r="AB551" s="189" t="inlineStr">
        <is>
          <t>NONE</t>
        </is>
      </c>
      <c r="AC551" s="189" t="n">
        <v>0</v>
      </c>
      <c r="AD551" s="189" t="inlineStr"/>
    </row>
    <row r="552">
      <c r="A552" s="189" t="inlineStr">
        <is>
          <t>CVE</t>
        </is>
      </c>
      <c r="B552" s="189" t="inlineStr">
        <is>
          <t>CVE-2025-67997</t>
        </is>
      </c>
      <c r="C552" s="189" t="inlineStr">
        <is>
          <t>Deserialization of Untrusted Data vulnerability in BoldThemes Travelicious travelicious allows Object Injection.This issue affects Travelicious: from n/a through &lt; 1.6.7.</t>
        </is>
      </c>
      <c r="D552" s="189" t="n">
        <v>9.800000000000001</v>
      </c>
      <c r="E552" s="189" t="inlineStr">
        <is>
          <t>CRITICAL</t>
        </is>
      </c>
      <c r="F552" s="189" t="n">
        <v>2</v>
      </c>
      <c r="G552" s="189" t="n">
        <v>3</v>
      </c>
      <c r="H552" s="189" t="inlineStr">
        <is>
          <t>HIGH</t>
        </is>
      </c>
      <c r="I552" s="189" t="n">
        <v>15.8</v>
      </c>
      <c r="J552" s="189" t="inlineStr">
        <is>
          <t>NO</t>
        </is>
      </c>
      <c r="K552" s="189" t="inlineStr">
        <is>
          <t>https://nvd.nist.gov/vuln/detail/CVE-2025-67997</t>
        </is>
      </c>
      <c r="L552" s="189" t="inlineStr">
        <is>
          <t>2026-02-26 00:15</t>
        </is>
      </c>
      <c r="M552" s="189" t="inlineStr">
        <is>
          <t>CHECK_VENDOR</t>
        </is>
      </c>
      <c r="N552" s="189" t="inlineStr">
        <is>
          <t>See NVD references</t>
        </is>
      </c>
      <c r="O552" s="189" t="inlineStr">
        <is>
          <t>Apply vendor patches</t>
        </is>
      </c>
      <c r="P552" s="189" t="inlineStr">
        <is>
          <t>See CVE details</t>
        </is>
      </c>
      <c r="Q552" s="189" t="inlineStr">
        <is>
          <t>P3</t>
        </is>
      </c>
      <c r="R552" s="189" t="inlineStr">
        <is>
          <t>🚨 URGENT: Apply vendor patches immediately | 🔒 Isolate affected systems if patch unavailable | 🛡️ Enable additional monitoring/IDS rules</t>
        </is>
      </c>
      <c r="S552" s="189" t="inlineStr">
        <is>
          <t>CVE - IP enrichment n/a</t>
        </is>
      </c>
      <c r="T552" s="189" t="n">
        <v>0.0004</v>
      </c>
      <c r="U552" s="189" t="n">
        <v>0.1236</v>
      </c>
      <c r="V552" s="189" t="inlineStr">
        <is>
          <t>T1059:Command and Scripting Interpreter</t>
        </is>
      </c>
      <c r="W552" s="189" t="n">
        <v>1</v>
      </c>
      <c r="X552" s="189" t="inlineStr">
        <is>
          <t>LOW (40%)</t>
        </is>
      </c>
      <c r="Y552" s="189" t="inlineStr">
        <is>
          <t>UNLIKELY</t>
        </is>
      </c>
      <c r="Z552" s="189" t="inlineStr">
        <is>
          <t>CHECK_VENDOR</t>
        </is>
      </c>
      <c r="AA552" s="189" t="inlineStr">
        <is>
          <t>https://nvd.nist.gov/vuln/detail/CVE-2025-67997</t>
        </is>
      </c>
      <c r="AB552" s="189" t="inlineStr">
        <is>
          <t>NONE</t>
        </is>
      </c>
      <c r="AC552" s="189" t="n">
        <v>0</v>
      </c>
      <c r="AD552" s="189" t="inlineStr"/>
    </row>
    <row r="553">
      <c r="A553" s="187" t="inlineStr">
        <is>
          <t>CVE</t>
        </is>
      </c>
      <c r="B553" s="187" t="inlineStr">
        <is>
          <t>CVE-2025-67998</t>
        </is>
      </c>
      <c r="C553" s="187" t="inlineStr">
        <is>
          <t>Authentication Bypass Using an Alternate Path or Channel vulnerability in kamleshyadav Miraculous Elementor miraculous-el allows Authentication Abuse.This issue affects Miraculous Elementor: from n/a through &lt;= 2.0.7.</t>
        </is>
      </c>
      <c r="D553" s="187" t="n">
        <v>5</v>
      </c>
      <c r="E553" s="187" t="inlineStr">
        <is>
          <t>MEDIUM</t>
        </is>
      </c>
      <c r="F553" s="187" t="n">
        <v>2</v>
      </c>
      <c r="G553" s="187" t="n">
        <v>2</v>
      </c>
      <c r="H553" s="187" t="inlineStr">
        <is>
          <t>MEDIUM</t>
        </is>
      </c>
      <c r="I553" s="187" t="n">
        <v>9</v>
      </c>
      <c r="J553" s="187" t="inlineStr">
        <is>
          <t>NO</t>
        </is>
      </c>
      <c r="K553" s="187" t="inlineStr">
        <is>
          <t>https://nvd.nist.gov/vuln/detail/CVE-2025-67998</t>
        </is>
      </c>
      <c r="L553" s="187" t="inlineStr">
        <is>
          <t>2026-02-26 00:15</t>
        </is>
      </c>
      <c r="M553" s="187" t="inlineStr">
        <is>
          <t>CHECK_VENDOR</t>
        </is>
      </c>
      <c r="N553" s="187" t="inlineStr">
        <is>
          <t>See NVD references</t>
        </is>
      </c>
      <c r="O553" s="187" t="inlineStr">
        <is>
          <t>Apply vendor patches</t>
        </is>
      </c>
      <c r="P553" s="187" t="inlineStr">
        <is>
          <t>See CVE details</t>
        </is>
      </c>
      <c r="Q553" s="187" t="inlineStr">
        <is>
          <t>P4</t>
        </is>
      </c>
      <c r="R553" s="187" t="inlineStr">
        <is>
          <t>📅 Schedule patch deployment within 30 days | 🔍 Monitor for exploitation attempts</t>
        </is>
      </c>
      <c r="S553" s="187" t="inlineStr">
        <is>
          <t>CVE - IP enrichment n/a</t>
        </is>
      </c>
      <c r="T553" s="187" t="n">
        <v>0</v>
      </c>
      <c r="U553" s="187" t="n">
        <v>0</v>
      </c>
      <c r="V553" s="187" t="inlineStr">
        <is>
          <t>T1078:Valid Accounts</t>
        </is>
      </c>
      <c r="W553" s="187" t="n">
        <v>1</v>
      </c>
      <c r="X553" s="187" t="inlineStr">
        <is>
          <t>LOW (40%)</t>
        </is>
      </c>
      <c r="Y553" s="187" t="inlineStr">
        <is>
          <t>UNLIKELY</t>
        </is>
      </c>
      <c r="Z553" s="187" t="inlineStr">
        <is>
          <t>CHECK_VENDOR</t>
        </is>
      </c>
      <c r="AA553" s="187" t="inlineStr">
        <is>
          <t>https://nvd.nist.gov/vuln/detail/CVE-2025-67998</t>
        </is>
      </c>
      <c r="AB553" s="187" t="inlineStr">
        <is>
          <t>NONE</t>
        </is>
      </c>
      <c r="AC553" s="187" t="n">
        <v>0</v>
      </c>
      <c r="AD553" s="187" t="inlineStr"/>
    </row>
    <row r="554">
      <c r="A554" s="187" t="inlineStr">
        <is>
          <t>CVE</t>
        </is>
      </c>
      <c r="B554" s="187" t="inlineStr">
        <is>
          <t>CVE-2025-68000</t>
        </is>
      </c>
      <c r="C554" s="187" t="inlineStr">
        <is>
          <t>Missing Authorization vulnerability in PickPlugins Testimonial Slider testimonial allows Exploiting Incorrectly Configured Access Control Security Levels.This issue affects Testimonial Slider: from n/a through &lt;= 2.0.15.</t>
        </is>
      </c>
      <c r="D554" s="187" t="n">
        <v>6.5</v>
      </c>
      <c r="E554" s="187" t="inlineStr">
        <is>
          <t>MEDIUM</t>
        </is>
      </c>
      <c r="F554" s="187" t="n">
        <v>2</v>
      </c>
      <c r="G554" s="187" t="n">
        <v>2</v>
      </c>
      <c r="H554" s="187" t="inlineStr">
        <is>
          <t>MEDIUM</t>
        </is>
      </c>
      <c r="I554" s="187" t="n">
        <v>10.5</v>
      </c>
      <c r="J554" s="187" t="inlineStr">
        <is>
          <t>NO</t>
        </is>
      </c>
      <c r="K554" s="187" t="inlineStr">
        <is>
          <t>https://nvd.nist.gov/vuln/detail/CVE-2025-68000</t>
        </is>
      </c>
      <c r="L554" s="187" t="inlineStr">
        <is>
          <t>2026-02-26 00:15</t>
        </is>
      </c>
      <c r="M554" s="187" t="inlineStr">
        <is>
          <t>CHECK_VENDOR</t>
        </is>
      </c>
      <c r="N554" s="187" t="inlineStr">
        <is>
          <t>See NVD references</t>
        </is>
      </c>
      <c r="O554" s="187" t="inlineStr">
        <is>
          <t>Apply vendor patches</t>
        </is>
      </c>
      <c r="P554" s="187" t="inlineStr">
        <is>
          <t>See CVE details</t>
        </is>
      </c>
      <c r="Q554" s="187" t="inlineStr">
        <is>
          <t>P4</t>
        </is>
      </c>
      <c r="R554" s="187" t="inlineStr">
        <is>
          <t>📅 Schedule patch deployment within 30 days | 🔍 Monitor for exploitation attempts</t>
        </is>
      </c>
      <c r="S554" s="187" t="inlineStr">
        <is>
          <t>CVE - IP enrichment n/a</t>
        </is>
      </c>
      <c r="T554" s="187" t="n">
        <v>0</v>
      </c>
      <c r="U554" s="187" t="n">
        <v>0</v>
      </c>
      <c r="V554" s="187" t="inlineStr">
        <is>
          <t>T1190:Exploit Public-Facing Application</t>
        </is>
      </c>
      <c r="W554" s="187" t="n">
        <v>1</v>
      </c>
      <c r="X554" s="187" t="inlineStr">
        <is>
          <t>LOW (40%)</t>
        </is>
      </c>
      <c r="Y554" s="187" t="inlineStr">
        <is>
          <t>UNLIKELY</t>
        </is>
      </c>
      <c r="Z554" s="187" t="inlineStr">
        <is>
          <t>CHECK_VENDOR</t>
        </is>
      </c>
      <c r="AA554" s="187" t="inlineStr">
        <is>
          <t>https://nvd.nist.gov/vuln/detail/CVE-2025-68000</t>
        </is>
      </c>
      <c r="AB554" s="187" t="inlineStr">
        <is>
          <t>NONE</t>
        </is>
      </c>
      <c r="AC554" s="187" t="n">
        <v>0</v>
      </c>
      <c r="AD554" s="187" t="inlineStr"/>
    </row>
    <row r="555">
      <c r="A555" s="187" t="inlineStr">
        <is>
          <t>CVE</t>
        </is>
      </c>
      <c r="B555" s="187" t="inlineStr">
        <is>
          <t>CVE-2025-68002</t>
        </is>
      </c>
      <c r="C555" s="187" t="inlineStr">
        <is>
          <t>Improper Limitation of a Pathname to a Restricted Directory ('Path Traversal') vulnerability in 100plugins Open User Map open-user-map allows Path Traversal.This issue affects Open User Map: from n/a through &lt;= 1.4.16.</t>
        </is>
      </c>
      <c r="D555" s="187" t="n">
        <v>6.5</v>
      </c>
      <c r="E555" s="187" t="inlineStr">
        <is>
          <t>MEDIUM</t>
        </is>
      </c>
      <c r="F555" s="187" t="n">
        <v>2</v>
      </c>
      <c r="G555" s="187" t="n">
        <v>2</v>
      </c>
      <c r="H555" s="187" t="inlineStr">
        <is>
          <t>MEDIUM</t>
        </is>
      </c>
      <c r="I555" s="187" t="n">
        <v>10.5</v>
      </c>
      <c r="J555" s="187" t="inlineStr">
        <is>
          <t>NO</t>
        </is>
      </c>
      <c r="K555" s="187" t="inlineStr">
        <is>
          <t>https://nvd.nist.gov/vuln/detail/CVE-2025-68002</t>
        </is>
      </c>
      <c r="L555" s="187" t="inlineStr">
        <is>
          <t>2026-02-26 00:15</t>
        </is>
      </c>
      <c r="M555" s="187" t="inlineStr">
        <is>
          <t>CHECK_VENDOR</t>
        </is>
      </c>
      <c r="N555" s="187" t="inlineStr">
        <is>
          <t>See NVD references</t>
        </is>
      </c>
      <c r="O555" s="187" t="inlineStr">
        <is>
          <t>Apply vendor patches</t>
        </is>
      </c>
      <c r="P555" s="187" t="inlineStr">
        <is>
          <t>See CVE details</t>
        </is>
      </c>
      <c r="Q555" s="187" t="inlineStr">
        <is>
          <t>P4</t>
        </is>
      </c>
      <c r="R555" s="187" t="inlineStr">
        <is>
          <t>📅 Schedule patch deployment within 30 days | 🔍 Monitor for exploitation attempts</t>
        </is>
      </c>
      <c r="S555" s="187" t="inlineStr">
        <is>
          <t>CVE - IP enrichment n/a</t>
        </is>
      </c>
      <c r="T555" s="187" t="n">
        <v>0.0002</v>
      </c>
      <c r="U555" s="187" t="n">
        <v>0.0522</v>
      </c>
      <c r="V555" s="187" t="inlineStr">
        <is>
          <t>T1083:File and Directory Discovery</t>
        </is>
      </c>
      <c r="W555" s="187" t="n">
        <v>1</v>
      </c>
      <c r="X555" s="187" t="inlineStr">
        <is>
          <t>LOW (40%)</t>
        </is>
      </c>
      <c r="Y555" s="187" t="inlineStr">
        <is>
          <t>UNLIKELY</t>
        </is>
      </c>
      <c r="Z555" s="187" t="inlineStr">
        <is>
          <t>CHECK_VENDOR</t>
        </is>
      </c>
      <c r="AA555" s="187" t="inlineStr">
        <is>
          <t>https://nvd.nist.gov/vuln/detail/CVE-2025-68002</t>
        </is>
      </c>
      <c r="AB555" s="187" t="inlineStr">
        <is>
          <t>NONE</t>
        </is>
      </c>
      <c r="AC555" s="187" t="n">
        <v>0</v>
      </c>
      <c r="AD555" s="187" t="inlineStr"/>
    </row>
    <row r="556">
      <c r="A556" s="187" t="inlineStr">
        <is>
          <t>CVE</t>
        </is>
      </c>
      <c r="B556" s="187" t="inlineStr">
        <is>
          <t>CVE-2025-68005</t>
        </is>
      </c>
      <c r="C556" s="187" t="inlineStr">
        <is>
          <t>Missing Authorization vulnerability in themewant Easy Hotel Booking easy-hotel allows Exploiting Incorrectly Configured Access Control Security Levels.This issue affects Easy Hotel Booking: from n/a through &lt;= 1.8.7.</t>
        </is>
      </c>
      <c r="D556" s="187" t="n">
        <v>6.5</v>
      </c>
      <c r="E556" s="187" t="inlineStr">
        <is>
          <t>MEDIUM</t>
        </is>
      </c>
      <c r="F556" s="187" t="n">
        <v>2</v>
      </c>
      <c r="G556" s="187" t="n">
        <v>2</v>
      </c>
      <c r="H556" s="187" t="inlineStr">
        <is>
          <t>MEDIUM</t>
        </is>
      </c>
      <c r="I556" s="187" t="n">
        <v>10.5</v>
      </c>
      <c r="J556" s="187" t="inlineStr">
        <is>
          <t>NO</t>
        </is>
      </c>
      <c r="K556" s="187" t="inlineStr">
        <is>
          <t>https://nvd.nist.gov/vuln/detail/CVE-2025-68005</t>
        </is>
      </c>
      <c r="L556" s="187" t="inlineStr">
        <is>
          <t>2026-02-26 00:15</t>
        </is>
      </c>
      <c r="M556" s="187" t="inlineStr">
        <is>
          <t>CHECK_VENDOR</t>
        </is>
      </c>
      <c r="N556" s="187" t="inlineStr">
        <is>
          <t>See NVD references</t>
        </is>
      </c>
      <c r="O556" s="187" t="inlineStr">
        <is>
          <t>Apply vendor patches</t>
        </is>
      </c>
      <c r="P556" s="187" t="inlineStr">
        <is>
          <t>See CVE details</t>
        </is>
      </c>
      <c r="Q556" s="187" t="inlineStr">
        <is>
          <t>P4</t>
        </is>
      </c>
      <c r="R556" s="187" t="inlineStr">
        <is>
          <t>📅 Schedule patch deployment within 30 days | 🔍 Monitor for exploitation attempts</t>
        </is>
      </c>
      <c r="S556" s="187" t="inlineStr">
        <is>
          <t>CVE - IP enrichment n/a</t>
        </is>
      </c>
      <c r="T556" s="187" t="n">
        <v>0</v>
      </c>
      <c r="U556" s="187" t="n">
        <v>0</v>
      </c>
      <c r="V556" s="187" t="inlineStr">
        <is>
          <t>T1190:Exploit Public-Facing Application</t>
        </is>
      </c>
      <c r="W556" s="187" t="n">
        <v>1</v>
      </c>
      <c r="X556" s="187" t="inlineStr">
        <is>
          <t>LOW (40%)</t>
        </is>
      </c>
      <c r="Y556" s="187" t="inlineStr">
        <is>
          <t>UNLIKELY</t>
        </is>
      </c>
      <c r="Z556" s="187" t="inlineStr">
        <is>
          <t>CHECK_VENDOR</t>
        </is>
      </c>
      <c r="AA556" s="187" t="inlineStr">
        <is>
          <t>https://nvd.nist.gov/vuln/detail/CVE-2025-68005</t>
        </is>
      </c>
      <c r="AB556" s="187" t="inlineStr">
        <is>
          <t>NONE</t>
        </is>
      </c>
      <c r="AC556" s="187" t="n">
        <v>0</v>
      </c>
      <c r="AD556" s="187" t="inlineStr"/>
    </row>
    <row r="557">
      <c r="A557" s="187" t="inlineStr">
        <is>
          <t>CVE</t>
        </is>
      </c>
      <c r="B557" s="187" t="inlineStr">
        <is>
          <t>CVE-2025-68021</t>
        </is>
      </c>
      <c r="C557" s="187" t="inlineStr">
        <is>
          <t>Missing Authorization vulnerability in ConveyThis ConveyThis conveythis-translate allows Exploiting Incorrectly Configured Access Control Security Levels.This issue affects ConveyThis: from n/a through &lt;= 269.5.</t>
        </is>
      </c>
      <c r="D557" s="187" t="n">
        <v>6.5</v>
      </c>
      <c r="E557" s="187" t="inlineStr">
        <is>
          <t>MEDIUM</t>
        </is>
      </c>
      <c r="F557" s="187" t="n">
        <v>2</v>
      </c>
      <c r="G557" s="187" t="n">
        <v>2</v>
      </c>
      <c r="H557" s="187" t="inlineStr">
        <is>
          <t>MEDIUM</t>
        </is>
      </c>
      <c r="I557" s="187" t="n">
        <v>10.5</v>
      </c>
      <c r="J557" s="187" t="inlineStr">
        <is>
          <t>NO</t>
        </is>
      </c>
      <c r="K557" s="187" t="inlineStr">
        <is>
          <t>https://nvd.nist.gov/vuln/detail/CVE-2025-68021</t>
        </is>
      </c>
      <c r="L557" s="187" t="inlineStr">
        <is>
          <t>2026-02-26 00:15</t>
        </is>
      </c>
      <c r="M557" s="187" t="inlineStr">
        <is>
          <t>CHECK_VENDOR</t>
        </is>
      </c>
      <c r="N557" s="187" t="inlineStr">
        <is>
          <t>See NVD references</t>
        </is>
      </c>
      <c r="O557" s="187" t="inlineStr">
        <is>
          <t>Apply vendor patches</t>
        </is>
      </c>
      <c r="P557" s="187" t="inlineStr">
        <is>
          <t>See CVE details</t>
        </is>
      </c>
      <c r="Q557" s="187" t="inlineStr">
        <is>
          <t>P4</t>
        </is>
      </c>
      <c r="R557" s="187" t="inlineStr">
        <is>
          <t>📅 Schedule patch deployment within 30 days | 🔍 Monitor for exploitation attempts</t>
        </is>
      </c>
      <c r="S557" s="187" t="inlineStr">
        <is>
          <t>CVE - IP enrichment n/a</t>
        </is>
      </c>
      <c r="T557" s="187" t="n">
        <v>0</v>
      </c>
      <c r="U557" s="187" t="n">
        <v>0</v>
      </c>
      <c r="V557" s="187" t="inlineStr">
        <is>
          <t>T1190:Exploit Public-Facing Application</t>
        </is>
      </c>
      <c r="W557" s="187" t="n">
        <v>1</v>
      </c>
      <c r="X557" s="187" t="inlineStr">
        <is>
          <t>LOW (40%)</t>
        </is>
      </c>
      <c r="Y557" s="187" t="inlineStr">
        <is>
          <t>UNLIKELY</t>
        </is>
      </c>
      <c r="Z557" s="187" t="inlineStr">
        <is>
          <t>CHECK_VENDOR</t>
        </is>
      </c>
      <c r="AA557" s="187" t="inlineStr">
        <is>
          <t>https://nvd.nist.gov/vuln/detail/CVE-2025-68021</t>
        </is>
      </c>
      <c r="AB557" s="187" t="inlineStr">
        <is>
          <t>NONE</t>
        </is>
      </c>
      <c r="AC557" s="187" t="n">
        <v>0</v>
      </c>
      <c r="AD557" s="187" t="inlineStr"/>
    </row>
    <row r="558">
      <c r="A558" s="187" t="inlineStr">
        <is>
          <t>CVE</t>
        </is>
      </c>
      <c r="B558" s="187" t="inlineStr">
        <is>
          <t>CVE-2025-68022</t>
        </is>
      </c>
      <c r="C558" s="187" t="inlineStr">
        <is>
          <t>Missing Authorization vulnerability in soporteblue Plugin BlueX for WooCommerce bluex-for-woocommerce allows Exploiting Incorrectly Configured Access Control Security Levels.This issue affects Plugin BlueX for WooCommerce: from n/a through &lt;= 3.1.6.</t>
        </is>
      </c>
      <c r="D558" s="187" t="n">
        <v>6.3</v>
      </c>
      <c r="E558" s="187" t="inlineStr">
        <is>
          <t>MEDIUM</t>
        </is>
      </c>
      <c r="F558" s="187" t="n">
        <v>2</v>
      </c>
      <c r="G558" s="187" t="n">
        <v>2</v>
      </c>
      <c r="H558" s="187" t="inlineStr">
        <is>
          <t>MEDIUM</t>
        </is>
      </c>
      <c r="I558" s="187" t="n">
        <v>10.3</v>
      </c>
      <c r="J558" s="187" t="inlineStr">
        <is>
          <t>NO</t>
        </is>
      </c>
      <c r="K558" s="187" t="inlineStr">
        <is>
          <t>https://nvd.nist.gov/vuln/detail/CVE-2025-68022</t>
        </is>
      </c>
      <c r="L558" s="187" t="inlineStr">
        <is>
          <t>2026-02-26 00:15</t>
        </is>
      </c>
      <c r="M558" s="187" t="inlineStr">
        <is>
          <t>CHECK_VENDOR</t>
        </is>
      </c>
      <c r="N558" s="187" t="inlineStr">
        <is>
          <t>See NVD references</t>
        </is>
      </c>
      <c r="O558" s="187" t="inlineStr">
        <is>
          <t>Apply vendor patches</t>
        </is>
      </c>
      <c r="P558" s="187" t="inlineStr">
        <is>
          <t>See CVE details</t>
        </is>
      </c>
      <c r="Q558" s="187" t="inlineStr">
        <is>
          <t>P4</t>
        </is>
      </c>
      <c r="R558" s="187" t="inlineStr">
        <is>
          <t>📅 Schedule patch deployment within 30 days | 🔍 Monitor for exploitation attempts</t>
        </is>
      </c>
      <c r="S558" s="187" t="inlineStr">
        <is>
          <t>CVE - IP enrichment n/a</t>
        </is>
      </c>
      <c r="T558" s="187" t="n">
        <v>0.0003</v>
      </c>
      <c r="U558" s="187" t="n">
        <v>0.0968</v>
      </c>
      <c r="V558" s="187" t="inlineStr">
        <is>
          <t>T1190:Exploit Public-Facing Application</t>
        </is>
      </c>
      <c r="W558" s="187" t="n">
        <v>1</v>
      </c>
      <c r="X558" s="187" t="inlineStr">
        <is>
          <t>LOW (40%)</t>
        </is>
      </c>
      <c r="Y558" s="187" t="inlineStr">
        <is>
          <t>UNLIKELY</t>
        </is>
      </c>
      <c r="Z558" s="187" t="inlineStr">
        <is>
          <t>CHECK_VENDOR</t>
        </is>
      </c>
      <c r="AA558" s="187" t="inlineStr">
        <is>
          <t>https://nvd.nist.gov/vuln/detail/CVE-2025-68022</t>
        </is>
      </c>
      <c r="AB558" s="187" t="inlineStr">
        <is>
          <t>NONE</t>
        </is>
      </c>
      <c r="AC558" s="187" t="n">
        <v>0</v>
      </c>
      <c r="AD558" s="187" t="inlineStr"/>
    </row>
    <row r="559">
      <c r="A559" s="187" t="inlineStr">
        <is>
          <t>CVE</t>
        </is>
      </c>
      <c r="B559" s="187" t="inlineStr">
        <is>
          <t>CVE-2025-68023</t>
        </is>
      </c>
      <c r="C559" s="187" t="inlineStr">
        <is>
          <t>Missing Authorization vulnerability in Addonify Addonify &amp;#8211; Compare Products For WooCommerce addonify-compare-products allows Exploiting Incorrectly Configured Access Control Security Levels.This issue affects Addonify &amp;#8211; Compare Products For WooCommerce: from n/a through &lt;= 1.1.17.</t>
        </is>
      </c>
      <c r="D559" s="187" t="n">
        <v>6.5</v>
      </c>
      <c r="E559" s="187" t="inlineStr">
        <is>
          <t>MEDIUM</t>
        </is>
      </c>
      <c r="F559" s="187" t="n">
        <v>2</v>
      </c>
      <c r="G559" s="187" t="n">
        <v>2</v>
      </c>
      <c r="H559" s="187" t="inlineStr">
        <is>
          <t>MEDIUM</t>
        </is>
      </c>
      <c r="I559" s="187" t="n">
        <v>10.5</v>
      </c>
      <c r="J559" s="187" t="inlineStr">
        <is>
          <t>NO</t>
        </is>
      </c>
      <c r="K559" s="187" t="inlineStr">
        <is>
          <t>https://nvd.nist.gov/vuln/detail/CVE-2025-68023</t>
        </is>
      </c>
      <c r="L559" s="187" t="inlineStr">
        <is>
          <t>2026-02-26 00:15</t>
        </is>
      </c>
      <c r="M559" s="187" t="inlineStr">
        <is>
          <t>CHECK_VENDOR</t>
        </is>
      </c>
      <c r="N559" s="187" t="inlineStr">
        <is>
          <t>See NVD references</t>
        </is>
      </c>
      <c r="O559" s="187" t="inlineStr">
        <is>
          <t>Apply vendor patches</t>
        </is>
      </c>
      <c r="P559" s="187" t="inlineStr">
        <is>
          <t>See CVE details</t>
        </is>
      </c>
      <c r="Q559" s="187" t="inlineStr">
        <is>
          <t>P4</t>
        </is>
      </c>
      <c r="R559" s="187" t="inlineStr">
        <is>
          <t>📅 Schedule patch deployment within 30 days | 🔍 Monitor for exploitation attempts</t>
        </is>
      </c>
      <c r="S559" s="187" t="inlineStr">
        <is>
          <t>CVE - IP enrichment n/a</t>
        </is>
      </c>
      <c r="T559" s="187" t="n">
        <v>0.0002</v>
      </c>
      <c r="U559" s="187" t="n">
        <v>0.0379</v>
      </c>
      <c r="V559" s="187" t="inlineStr">
        <is>
          <t>T1190:Exploit Public-Facing Application</t>
        </is>
      </c>
      <c r="W559" s="187" t="n">
        <v>1</v>
      </c>
      <c r="X559" s="187" t="inlineStr">
        <is>
          <t>LOW (40%)</t>
        </is>
      </c>
      <c r="Y559" s="187" t="inlineStr">
        <is>
          <t>UNLIKELY</t>
        </is>
      </c>
      <c r="Z559" s="187" t="inlineStr">
        <is>
          <t>CHECK_VENDOR</t>
        </is>
      </c>
      <c r="AA559" s="187" t="inlineStr">
        <is>
          <t>https://nvd.nist.gov/vuln/detail/CVE-2025-68023</t>
        </is>
      </c>
      <c r="AB559" s="187" t="inlineStr">
        <is>
          <t>NONE</t>
        </is>
      </c>
      <c r="AC559" s="187" t="n">
        <v>0</v>
      </c>
      <c r="AD559" s="187" t="inlineStr"/>
    </row>
    <row r="560">
      <c r="A560" s="187" t="inlineStr">
        <is>
          <t>CVE</t>
        </is>
      </c>
      <c r="B560" s="187" t="inlineStr">
        <is>
          <t>CVE-2025-68024</t>
        </is>
      </c>
      <c r="C560" s="187" t="inlineStr">
        <is>
          <t>Missing Authorization vulnerability in Addonify Addonify – WooCommerce Wishlist addonify-wishlist allows Exploiting Incorrectly Configured Access Control Security Levels.This issue affects Addonify – WooCommerce Wishlist: from n/a through &lt;= 2.0.15.</t>
        </is>
      </c>
      <c r="D560" s="187" t="n">
        <v>6.5</v>
      </c>
      <c r="E560" s="187" t="inlineStr">
        <is>
          <t>MEDIUM</t>
        </is>
      </c>
      <c r="F560" s="187" t="n">
        <v>2</v>
      </c>
      <c r="G560" s="187" t="n">
        <v>2</v>
      </c>
      <c r="H560" s="187" t="inlineStr">
        <is>
          <t>MEDIUM</t>
        </is>
      </c>
      <c r="I560" s="187" t="n">
        <v>10.5</v>
      </c>
      <c r="J560" s="187" t="inlineStr">
        <is>
          <t>NO</t>
        </is>
      </c>
      <c r="K560" s="187" t="inlineStr">
        <is>
          <t>https://nvd.nist.gov/vuln/detail/CVE-2025-68024</t>
        </is>
      </c>
      <c r="L560" s="187" t="inlineStr">
        <is>
          <t>2026-02-26 00:15</t>
        </is>
      </c>
      <c r="M560" s="187" t="inlineStr">
        <is>
          <t>CHECK_VENDOR</t>
        </is>
      </c>
      <c r="N560" s="187" t="inlineStr">
        <is>
          <t>See NVD references</t>
        </is>
      </c>
      <c r="O560" s="187" t="inlineStr">
        <is>
          <t>Apply vendor patches</t>
        </is>
      </c>
      <c r="P560" s="187" t="inlineStr">
        <is>
          <t>See CVE details</t>
        </is>
      </c>
      <c r="Q560" s="187" t="inlineStr">
        <is>
          <t>P4</t>
        </is>
      </c>
      <c r="R560" s="187" t="inlineStr">
        <is>
          <t>📅 Schedule patch deployment within 30 days | 🔍 Monitor for exploitation attempts</t>
        </is>
      </c>
      <c r="S560" s="187" t="inlineStr">
        <is>
          <t>CVE - IP enrichment n/a</t>
        </is>
      </c>
      <c r="T560" s="187" t="n">
        <v>0</v>
      </c>
      <c r="U560" s="187" t="n">
        <v>0</v>
      </c>
      <c r="V560" s="187" t="inlineStr">
        <is>
          <t>T1190:Exploit Public-Facing Application</t>
        </is>
      </c>
      <c r="W560" s="187" t="n">
        <v>1</v>
      </c>
      <c r="X560" s="187" t="inlineStr">
        <is>
          <t>LOW (40%)</t>
        </is>
      </c>
      <c r="Y560" s="187" t="inlineStr">
        <is>
          <t>UNLIKELY</t>
        </is>
      </c>
      <c r="Z560" s="187" t="inlineStr">
        <is>
          <t>CHECK_VENDOR</t>
        </is>
      </c>
      <c r="AA560" s="187" t="inlineStr">
        <is>
          <t>https://nvd.nist.gov/vuln/detail/CVE-2025-68024</t>
        </is>
      </c>
      <c r="AB560" s="187" t="inlineStr">
        <is>
          <t>NONE</t>
        </is>
      </c>
      <c r="AC560" s="187" t="n">
        <v>0</v>
      </c>
      <c r="AD560" s="187" t="inlineStr"/>
    </row>
    <row r="561">
      <c r="A561" s="187" t="inlineStr">
        <is>
          <t>CVE</t>
        </is>
      </c>
      <c r="B561" s="187" t="inlineStr">
        <is>
          <t>CVE-2025-68025</t>
        </is>
      </c>
      <c r="C561" s="187" t="inlineStr">
        <is>
          <t>Missing Authorization vulnerability in Addonify Addonify Floating Cart For WooCommerce addonify-floating-cart allows Exploiting Incorrectly Configured Access Control Security Levels.This issue affects Addonify Floating Cart For WooCommerce: from n/a through &lt;= 1.2.17.</t>
        </is>
      </c>
      <c r="D561" s="187" t="n">
        <v>6.5</v>
      </c>
      <c r="E561" s="187" t="inlineStr">
        <is>
          <t>MEDIUM</t>
        </is>
      </c>
      <c r="F561" s="187" t="n">
        <v>2</v>
      </c>
      <c r="G561" s="187" t="n">
        <v>2</v>
      </c>
      <c r="H561" s="187" t="inlineStr">
        <is>
          <t>MEDIUM</t>
        </is>
      </c>
      <c r="I561" s="187" t="n">
        <v>10.5</v>
      </c>
      <c r="J561" s="187" t="inlineStr">
        <is>
          <t>NO</t>
        </is>
      </c>
      <c r="K561" s="187" t="inlineStr">
        <is>
          <t>https://nvd.nist.gov/vuln/detail/CVE-2025-68025</t>
        </is>
      </c>
      <c r="L561" s="187" t="inlineStr">
        <is>
          <t>2026-02-26 00:15</t>
        </is>
      </c>
      <c r="M561" s="187" t="inlineStr">
        <is>
          <t>CHECK_VENDOR</t>
        </is>
      </c>
      <c r="N561" s="187" t="inlineStr">
        <is>
          <t>See NVD references</t>
        </is>
      </c>
      <c r="O561" s="187" t="inlineStr">
        <is>
          <t>Apply vendor patches</t>
        </is>
      </c>
      <c r="P561" s="187" t="inlineStr">
        <is>
          <t>See CVE details</t>
        </is>
      </c>
      <c r="Q561" s="187" t="inlineStr">
        <is>
          <t>P4</t>
        </is>
      </c>
      <c r="R561" s="187" t="inlineStr">
        <is>
          <t>📅 Schedule patch deployment within 30 days | 🔍 Monitor for exploitation attempts</t>
        </is>
      </c>
      <c r="S561" s="187" t="inlineStr">
        <is>
          <t>CVE - IP enrichment n/a</t>
        </is>
      </c>
      <c r="T561" s="187" t="n">
        <v>0</v>
      </c>
      <c r="U561" s="187" t="n">
        <v>0</v>
      </c>
      <c r="V561" s="187" t="inlineStr">
        <is>
          <t>T1190:Exploit Public-Facing Application</t>
        </is>
      </c>
      <c r="W561" s="187" t="n">
        <v>1</v>
      </c>
      <c r="X561" s="187" t="inlineStr">
        <is>
          <t>LOW (40%)</t>
        </is>
      </c>
      <c r="Y561" s="187" t="inlineStr">
        <is>
          <t>UNLIKELY</t>
        </is>
      </c>
      <c r="Z561" s="187" t="inlineStr">
        <is>
          <t>CHECK_VENDOR</t>
        </is>
      </c>
      <c r="AA561" s="187" t="inlineStr">
        <is>
          <t>https://nvd.nist.gov/vuln/detail/CVE-2025-68025</t>
        </is>
      </c>
      <c r="AB561" s="187" t="inlineStr">
        <is>
          <t>NONE</t>
        </is>
      </c>
      <c r="AC561" s="187" t="n">
        <v>0</v>
      </c>
      <c r="AD561" s="187" t="inlineStr"/>
    </row>
    <row r="562">
      <c r="A562" s="187" t="inlineStr">
        <is>
          <t>CVE</t>
        </is>
      </c>
      <c r="B562" s="187" t="inlineStr">
        <is>
          <t>CVE-2025-68026</t>
        </is>
      </c>
      <c r="C562" s="187" t="inlineStr">
        <is>
          <t>Missing Authorization vulnerability in Niaj Morshed LC Wizard ghl-wizard allows Exploiting Incorrectly Configured Access Control Security Levels.This issue affects LC Wizard: from n/a through &lt;= 2.1.1.</t>
        </is>
      </c>
      <c r="D562" s="187" t="n">
        <v>6.5</v>
      </c>
      <c r="E562" s="187" t="inlineStr">
        <is>
          <t>MEDIUM</t>
        </is>
      </c>
      <c r="F562" s="187" t="n">
        <v>2</v>
      </c>
      <c r="G562" s="187" t="n">
        <v>2</v>
      </c>
      <c r="H562" s="187" t="inlineStr">
        <is>
          <t>MEDIUM</t>
        </is>
      </c>
      <c r="I562" s="187" t="n">
        <v>10.5</v>
      </c>
      <c r="J562" s="187" t="inlineStr">
        <is>
          <t>NO</t>
        </is>
      </c>
      <c r="K562" s="187" t="inlineStr">
        <is>
          <t>https://nvd.nist.gov/vuln/detail/CVE-2025-68026</t>
        </is>
      </c>
      <c r="L562" s="187" t="inlineStr">
        <is>
          <t>2026-02-26 00:15</t>
        </is>
      </c>
      <c r="M562" s="187" t="inlineStr">
        <is>
          <t>CHECK_VENDOR</t>
        </is>
      </c>
      <c r="N562" s="187" t="inlineStr">
        <is>
          <t>See NVD references</t>
        </is>
      </c>
      <c r="O562" s="187" t="inlineStr">
        <is>
          <t>Apply vendor patches</t>
        </is>
      </c>
      <c r="P562" s="187" t="inlineStr">
        <is>
          <t>See CVE details</t>
        </is>
      </c>
      <c r="Q562" s="187" t="inlineStr">
        <is>
          <t>P4</t>
        </is>
      </c>
      <c r="R562" s="187" t="inlineStr">
        <is>
          <t>📅 Schedule patch deployment within 30 days | 🔍 Monitor for exploitation attempts</t>
        </is>
      </c>
      <c r="S562" s="187" t="inlineStr">
        <is>
          <t>CVE - IP enrichment n/a</t>
        </is>
      </c>
      <c r="T562" s="187" t="n">
        <v>0</v>
      </c>
      <c r="U562" s="187" t="n">
        <v>0</v>
      </c>
      <c r="V562" s="187" t="inlineStr">
        <is>
          <t>T1190:Exploit Public-Facing Application</t>
        </is>
      </c>
      <c r="W562" s="187" t="n">
        <v>1</v>
      </c>
      <c r="X562" s="187" t="inlineStr">
        <is>
          <t>LOW (40%)</t>
        </is>
      </c>
      <c r="Y562" s="187" t="inlineStr">
        <is>
          <t>UNLIKELY</t>
        </is>
      </c>
      <c r="Z562" s="187" t="inlineStr">
        <is>
          <t>CHECK_VENDOR</t>
        </is>
      </c>
      <c r="AA562" s="187" t="inlineStr">
        <is>
          <t>https://nvd.nist.gov/vuln/detail/CVE-2025-68026</t>
        </is>
      </c>
      <c r="AB562" s="187" t="inlineStr">
        <is>
          <t>NONE</t>
        </is>
      </c>
      <c r="AC562" s="187" t="n">
        <v>0</v>
      </c>
      <c r="AD562" s="187" t="inlineStr"/>
    </row>
    <row r="563">
      <c r="A563" s="187" t="inlineStr">
        <is>
          <t>CVE</t>
        </is>
      </c>
      <c r="B563" s="187" t="inlineStr">
        <is>
          <t>CVE-2025-68028</t>
        </is>
      </c>
      <c r="C563" s="187" t="inlineStr">
        <is>
          <t>Missing Authorization vulnerability in Passionate Brains GA4WP: Google Analytics for WordPress ga-for-wp allows Exploiting Incorrectly Configured Access Control Security Levels.This issue affects GA4WP: Google Analytics for WordPress: from n/a through &lt;= 2.10.0.</t>
        </is>
      </c>
      <c r="D563" s="187" t="n">
        <v>6.5</v>
      </c>
      <c r="E563" s="187" t="inlineStr">
        <is>
          <t>MEDIUM</t>
        </is>
      </c>
      <c r="F563" s="187" t="n">
        <v>2</v>
      </c>
      <c r="G563" s="187" t="n">
        <v>2</v>
      </c>
      <c r="H563" s="187" t="inlineStr">
        <is>
          <t>MEDIUM</t>
        </is>
      </c>
      <c r="I563" s="187" t="n">
        <v>10.5</v>
      </c>
      <c r="J563" s="187" t="inlineStr">
        <is>
          <t>NO</t>
        </is>
      </c>
      <c r="K563" s="187" t="inlineStr">
        <is>
          <t>https://nvd.nist.gov/vuln/detail/CVE-2025-68028</t>
        </is>
      </c>
      <c r="L563" s="187" t="inlineStr">
        <is>
          <t>2026-02-26 00:15</t>
        </is>
      </c>
      <c r="M563" s="187" t="inlineStr">
        <is>
          <t>CHECK_VENDOR</t>
        </is>
      </c>
      <c r="N563" s="187" t="inlineStr">
        <is>
          <t>See NVD references</t>
        </is>
      </c>
      <c r="O563" s="187" t="inlineStr">
        <is>
          <t>Apply vendor patches</t>
        </is>
      </c>
      <c r="P563" s="187" t="inlineStr">
        <is>
          <t>See CVE details</t>
        </is>
      </c>
      <c r="Q563" s="187" t="inlineStr">
        <is>
          <t>P4</t>
        </is>
      </c>
      <c r="R563" s="187" t="inlineStr">
        <is>
          <t>📅 Schedule patch deployment within 30 days | 🔍 Monitor for exploitation attempts</t>
        </is>
      </c>
      <c r="S563" s="187" t="inlineStr">
        <is>
          <t>CVE - IP enrichment n/a</t>
        </is>
      </c>
      <c r="T563" s="187" t="n">
        <v>0</v>
      </c>
      <c r="U563" s="187" t="n">
        <v>0</v>
      </c>
      <c r="V563" s="187" t="inlineStr">
        <is>
          <t>T1190:Exploit Public-Facing Application</t>
        </is>
      </c>
      <c r="W563" s="187" t="n">
        <v>1</v>
      </c>
      <c r="X563" s="187" t="inlineStr">
        <is>
          <t>LOW (40%)</t>
        </is>
      </c>
      <c r="Y563" s="187" t="inlineStr">
        <is>
          <t>UNLIKELY</t>
        </is>
      </c>
      <c r="Z563" s="187" t="inlineStr">
        <is>
          <t>CHECK_VENDOR</t>
        </is>
      </c>
      <c r="AA563" s="187" t="inlineStr">
        <is>
          <t>https://nvd.nist.gov/vuln/detail/CVE-2025-68028</t>
        </is>
      </c>
      <c r="AB563" s="187" t="inlineStr">
        <is>
          <t>NONE</t>
        </is>
      </c>
      <c r="AC563" s="187" t="n">
        <v>0</v>
      </c>
      <c r="AD563" s="187" t="inlineStr"/>
    </row>
    <row r="564">
      <c r="A564" s="188" t="inlineStr">
        <is>
          <t>CVE</t>
        </is>
      </c>
      <c r="B564" s="188" t="inlineStr">
        <is>
          <t>CVE-2025-68031</t>
        </is>
      </c>
      <c r="C564" s="188" t="inlineStr">
        <is>
          <t>Improper Neutralization of Input During Web Page Generation ('Cross-site Scripting') vulnerability in faraz sms افزونه پیامک حرفه ای فراز اس ام اس farazsms allows Reflected XSS.This issue affects افزونه پیامک حرفه ای فراز اس ام اس: from n/a through &lt;= 2.7.3.</t>
        </is>
      </c>
      <c r="D564" s="188" t="n">
        <v>7.1</v>
      </c>
      <c r="E564" s="188" t="inlineStr">
        <is>
          <t>HIGH</t>
        </is>
      </c>
      <c r="F564" s="188" t="n">
        <v>2</v>
      </c>
      <c r="G564" s="188" t="n">
        <v>3</v>
      </c>
      <c r="H564" s="188" t="inlineStr">
        <is>
          <t>HIGH</t>
        </is>
      </c>
      <c r="I564" s="188" t="n">
        <v>13.1</v>
      </c>
      <c r="J564" s="188" t="inlineStr">
        <is>
          <t>NO</t>
        </is>
      </c>
      <c r="K564" s="188" t="inlineStr">
        <is>
          <t>https://nvd.nist.gov/vuln/detail/CVE-2025-68031</t>
        </is>
      </c>
      <c r="L564" s="188" t="inlineStr">
        <is>
          <t>2026-02-26 00:15</t>
        </is>
      </c>
      <c r="M564" s="188" t="inlineStr">
        <is>
          <t>CHECK_VENDOR</t>
        </is>
      </c>
      <c r="N564" s="188" t="inlineStr">
        <is>
          <t>See NVD references</t>
        </is>
      </c>
      <c r="O564" s="188" t="inlineStr">
        <is>
          <t>Apply vendor patches</t>
        </is>
      </c>
      <c r="P564" s="188" t="inlineStr">
        <is>
          <t>See CVE details</t>
        </is>
      </c>
      <c r="Q564" s="188" t="inlineStr">
        <is>
          <t>P3</t>
        </is>
      </c>
      <c r="R564" s="188" t="inlineStr">
        <is>
          <t>🚨 URGENT: Apply vendor patches immediately | 🔒 Isolate affected systems if patch unavailable | 🛡️ Enable additional monitoring/IDS rules</t>
        </is>
      </c>
      <c r="S564" s="188" t="inlineStr">
        <is>
          <t>CVE - IP enrichment n/a</t>
        </is>
      </c>
      <c r="T564" s="188" t="n">
        <v>0</v>
      </c>
      <c r="U564" s="188" t="n">
        <v>0</v>
      </c>
      <c r="V564" s="188" t="inlineStr">
        <is>
          <t>T1189:Drive-by Compromise</t>
        </is>
      </c>
      <c r="W564" s="188" t="n">
        <v>1</v>
      </c>
      <c r="X564" s="188" t="inlineStr">
        <is>
          <t>LOW (40%)</t>
        </is>
      </c>
      <c r="Y564" s="188" t="inlineStr">
        <is>
          <t>UNLIKELY</t>
        </is>
      </c>
      <c r="Z564" s="188" t="inlineStr">
        <is>
          <t>CHECK_VENDOR</t>
        </is>
      </c>
      <c r="AA564" s="188" t="inlineStr">
        <is>
          <t>https://nvd.nist.gov/vuln/detail/CVE-2025-68031</t>
        </is>
      </c>
      <c r="AB564" s="188" t="inlineStr">
        <is>
          <t>NONE</t>
        </is>
      </c>
      <c r="AC564" s="188" t="n">
        <v>0</v>
      </c>
      <c r="AD564" s="188" t="inlineStr"/>
    </row>
    <row r="565">
      <c r="A565" s="187" t="inlineStr">
        <is>
          <t>CVE</t>
        </is>
      </c>
      <c r="B565" s="187" t="inlineStr">
        <is>
          <t>CVE-2025-68032</t>
        </is>
      </c>
      <c r="C565" s="187" t="inlineStr">
        <is>
          <t>Missing Authorization vulnerability in Passionate Brains Advanced WC Analytics advance-wc-analytics allows Exploiting Incorrectly Configured Access Control Security Levels.This issue affects Advanced WC Analytics: from n/a through &lt;= 3.19.0.</t>
        </is>
      </c>
      <c r="D565" s="187" t="n">
        <v>6.5</v>
      </c>
      <c r="E565" s="187" t="inlineStr">
        <is>
          <t>MEDIUM</t>
        </is>
      </c>
      <c r="F565" s="187" t="n">
        <v>2</v>
      </c>
      <c r="G565" s="187" t="n">
        <v>2</v>
      </c>
      <c r="H565" s="187" t="inlineStr">
        <is>
          <t>MEDIUM</t>
        </is>
      </c>
      <c r="I565" s="187" t="n">
        <v>10.5</v>
      </c>
      <c r="J565" s="187" t="inlineStr">
        <is>
          <t>NO</t>
        </is>
      </c>
      <c r="K565" s="187" t="inlineStr">
        <is>
          <t>https://nvd.nist.gov/vuln/detail/CVE-2025-68032</t>
        </is>
      </c>
      <c r="L565" s="187" t="inlineStr">
        <is>
          <t>2026-02-26 00:15</t>
        </is>
      </c>
      <c r="M565" s="187" t="inlineStr">
        <is>
          <t>CHECK_VENDOR</t>
        </is>
      </c>
      <c r="N565" s="187" t="inlineStr">
        <is>
          <t>See NVD references</t>
        </is>
      </c>
      <c r="O565" s="187" t="inlineStr">
        <is>
          <t>Apply vendor patches</t>
        </is>
      </c>
      <c r="P565" s="187" t="inlineStr">
        <is>
          <t>See CVE details</t>
        </is>
      </c>
      <c r="Q565" s="187" t="inlineStr">
        <is>
          <t>P4</t>
        </is>
      </c>
      <c r="R565" s="187" t="inlineStr">
        <is>
          <t>📅 Schedule patch deployment within 30 days | 🔍 Monitor for exploitation attempts</t>
        </is>
      </c>
      <c r="S565" s="187" t="inlineStr">
        <is>
          <t>CVE - IP enrichment n/a</t>
        </is>
      </c>
      <c r="T565" s="187" t="n">
        <v>0</v>
      </c>
      <c r="U565" s="187" t="n">
        <v>0</v>
      </c>
      <c r="V565" s="187" t="inlineStr">
        <is>
          <t>T1190:Exploit Public-Facing Application</t>
        </is>
      </c>
      <c r="W565" s="187" t="n">
        <v>1</v>
      </c>
      <c r="X565" s="187" t="inlineStr">
        <is>
          <t>LOW (40%)</t>
        </is>
      </c>
      <c r="Y565" s="187" t="inlineStr">
        <is>
          <t>UNLIKELY</t>
        </is>
      </c>
      <c r="Z565" s="187" t="inlineStr">
        <is>
          <t>CHECK_VENDOR</t>
        </is>
      </c>
      <c r="AA565" s="187" t="inlineStr">
        <is>
          <t>https://nvd.nist.gov/vuln/detail/CVE-2025-68032</t>
        </is>
      </c>
      <c r="AB565" s="187" t="inlineStr">
        <is>
          <t>NONE</t>
        </is>
      </c>
      <c r="AC565" s="187" t="n">
        <v>0</v>
      </c>
      <c r="AD565" s="187" t="inlineStr"/>
    </row>
    <row r="566">
      <c r="A566" s="188" t="inlineStr">
        <is>
          <t>CVE</t>
        </is>
      </c>
      <c r="B566" s="188" t="inlineStr">
        <is>
          <t>CVE-2025-68037</t>
        </is>
      </c>
      <c r="C566" s="188" t="inlineStr">
        <is>
          <t>Improper Neutralization of Input During Web Page Generation ('Cross-site Scripting') vulnerability in Atlas Gondal Export Media URLs export-media-urls allows Reflected XSS.This issue affects Export Media URLs: from n/a through &lt;= 2.2.</t>
        </is>
      </c>
      <c r="D566" s="188" t="n">
        <v>7.1</v>
      </c>
      <c r="E566" s="188" t="inlineStr">
        <is>
          <t>HIGH</t>
        </is>
      </c>
      <c r="F566" s="188" t="n">
        <v>2</v>
      </c>
      <c r="G566" s="188" t="n">
        <v>3</v>
      </c>
      <c r="H566" s="188" t="inlineStr">
        <is>
          <t>HIGH</t>
        </is>
      </c>
      <c r="I566" s="188" t="n">
        <v>13.1</v>
      </c>
      <c r="J566" s="188" t="inlineStr">
        <is>
          <t>NO</t>
        </is>
      </c>
      <c r="K566" s="188" t="inlineStr">
        <is>
          <t>https://nvd.nist.gov/vuln/detail/CVE-2025-68037</t>
        </is>
      </c>
      <c r="L566" s="188" t="inlineStr">
        <is>
          <t>2026-02-26 00:15</t>
        </is>
      </c>
      <c r="M566" s="188" t="inlineStr">
        <is>
          <t>CHECK_VENDOR</t>
        </is>
      </c>
      <c r="N566" s="188" t="inlineStr">
        <is>
          <t>See NVD references</t>
        </is>
      </c>
      <c r="O566" s="188" t="inlineStr">
        <is>
          <t>Apply vendor patches</t>
        </is>
      </c>
      <c r="P566" s="188" t="inlineStr">
        <is>
          <t>See CVE details</t>
        </is>
      </c>
      <c r="Q566" s="188" t="inlineStr">
        <is>
          <t>P3</t>
        </is>
      </c>
      <c r="R566" s="188" t="inlineStr">
        <is>
          <t>🚨 URGENT: Apply vendor patches immediately | 🔒 Isolate affected systems if patch unavailable | 🛡️ Enable additional monitoring/IDS rules</t>
        </is>
      </c>
      <c r="S566" s="188" t="inlineStr">
        <is>
          <t>CVE - IP enrichment n/a</t>
        </is>
      </c>
      <c r="T566" s="188" t="n">
        <v>0.0003</v>
      </c>
      <c r="U566" s="188" t="n">
        <v>0.0951</v>
      </c>
      <c r="V566" s="188" t="inlineStr">
        <is>
          <t>T1189:Drive-by Compromise</t>
        </is>
      </c>
      <c r="W566" s="188" t="n">
        <v>1</v>
      </c>
      <c r="X566" s="188" t="inlineStr">
        <is>
          <t>LOW (40%)</t>
        </is>
      </c>
      <c r="Y566" s="188" t="inlineStr">
        <is>
          <t>UNLIKELY</t>
        </is>
      </c>
      <c r="Z566" s="188" t="inlineStr">
        <is>
          <t>CHECK_VENDOR</t>
        </is>
      </c>
      <c r="AA566" s="188" t="inlineStr">
        <is>
          <t>https://nvd.nist.gov/vuln/detail/CVE-2025-68037</t>
        </is>
      </c>
      <c r="AB566" s="188" t="inlineStr">
        <is>
          <t>NONE</t>
        </is>
      </c>
      <c r="AC566" s="188" t="n">
        <v>0</v>
      </c>
      <c r="AD566" s="188" t="inlineStr"/>
    </row>
    <row r="567">
      <c r="A567" s="187" t="inlineStr">
        <is>
          <t>CVE</t>
        </is>
      </c>
      <c r="B567" s="187" t="inlineStr">
        <is>
          <t>CVE-2025-68042</t>
        </is>
      </c>
      <c r="C567" s="187" t="inlineStr">
        <is>
          <t>Missing Authorization vulnerability in Travelpayouts Travelpayouts travelpayouts allows Exploiting Incorrectly Configured Access Control Security Levels.This issue affects Travelpayouts: from n/a through &lt;= 1.2.1.</t>
        </is>
      </c>
      <c r="D567" s="187" t="n">
        <v>6.5</v>
      </c>
      <c r="E567" s="187" t="inlineStr">
        <is>
          <t>MEDIUM</t>
        </is>
      </c>
      <c r="F567" s="187" t="n">
        <v>2</v>
      </c>
      <c r="G567" s="187" t="n">
        <v>2</v>
      </c>
      <c r="H567" s="187" t="inlineStr">
        <is>
          <t>MEDIUM</t>
        </is>
      </c>
      <c r="I567" s="187" t="n">
        <v>10.5</v>
      </c>
      <c r="J567" s="187" t="inlineStr">
        <is>
          <t>NO</t>
        </is>
      </c>
      <c r="K567" s="187" t="inlineStr">
        <is>
          <t>https://nvd.nist.gov/vuln/detail/CVE-2025-68042</t>
        </is>
      </c>
      <c r="L567" s="187" t="inlineStr">
        <is>
          <t>2026-02-26 00:15</t>
        </is>
      </c>
      <c r="M567" s="187" t="inlineStr">
        <is>
          <t>CHECK_VENDOR</t>
        </is>
      </c>
      <c r="N567" s="187" t="inlineStr">
        <is>
          <t>See NVD references</t>
        </is>
      </c>
      <c r="O567" s="187" t="inlineStr">
        <is>
          <t>Apply vendor patches</t>
        </is>
      </c>
      <c r="P567" s="187" t="inlineStr">
        <is>
          <t>See CVE details</t>
        </is>
      </c>
      <c r="Q567" s="187" t="inlineStr">
        <is>
          <t>P4</t>
        </is>
      </c>
      <c r="R567" s="187" t="inlineStr">
        <is>
          <t>📅 Schedule patch deployment within 30 days | 🔍 Monitor for exploitation attempts</t>
        </is>
      </c>
      <c r="S567" s="187" t="inlineStr">
        <is>
          <t>CVE - IP enrichment n/a</t>
        </is>
      </c>
      <c r="T567" s="187" t="n">
        <v>0</v>
      </c>
      <c r="U567" s="187" t="n">
        <v>0</v>
      </c>
      <c r="V567" s="187" t="inlineStr">
        <is>
          <t>T1190:Exploit Public-Facing Application</t>
        </is>
      </c>
      <c r="W567" s="187" t="n">
        <v>1</v>
      </c>
      <c r="X567" s="187" t="inlineStr">
        <is>
          <t>LOW (40%)</t>
        </is>
      </c>
      <c r="Y567" s="187" t="inlineStr">
        <is>
          <t>UNLIKELY</t>
        </is>
      </c>
      <c r="Z567" s="187" t="inlineStr">
        <is>
          <t>CHECK_VENDOR</t>
        </is>
      </c>
      <c r="AA567" s="187" t="inlineStr">
        <is>
          <t>https://nvd.nist.gov/vuln/detail/CVE-2025-68042</t>
        </is>
      </c>
      <c r="AB567" s="187" t="inlineStr">
        <is>
          <t>NONE</t>
        </is>
      </c>
      <c r="AC567" s="187" t="n">
        <v>0</v>
      </c>
      <c r="AD567" s="187" t="inlineStr"/>
    </row>
    <row r="568">
      <c r="A568" s="188" t="inlineStr">
        <is>
          <t>CVE</t>
        </is>
      </c>
      <c r="B568" s="188" t="inlineStr">
        <is>
          <t>CVE-2025-68043</t>
        </is>
      </c>
      <c r="C568" s="188" t="inlineStr">
        <is>
          <t>Missing Authorization vulnerability in LottieFiles LottieFiles lottiefiles allows Exploiting Incorrectly Configured Access Control Security Levels.This issue affects LottieFiles: from n/a through &lt;= 3.0.0.</t>
        </is>
      </c>
      <c r="D568" s="188" t="n">
        <v>7.3</v>
      </c>
      <c r="E568" s="188" t="inlineStr">
        <is>
          <t>HIGH</t>
        </is>
      </c>
      <c r="F568" s="188" t="n">
        <v>2</v>
      </c>
      <c r="G568" s="188" t="n">
        <v>3</v>
      </c>
      <c r="H568" s="188" t="inlineStr">
        <is>
          <t>HIGH</t>
        </is>
      </c>
      <c r="I568" s="188" t="n">
        <v>13.3</v>
      </c>
      <c r="J568" s="188" t="inlineStr">
        <is>
          <t>NO</t>
        </is>
      </c>
      <c r="K568" s="188" t="inlineStr">
        <is>
          <t>https://nvd.nist.gov/vuln/detail/CVE-2025-68043</t>
        </is>
      </c>
      <c r="L568" s="188" t="inlineStr">
        <is>
          <t>2026-02-26 00:15</t>
        </is>
      </c>
      <c r="M568" s="188" t="inlineStr">
        <is>
          <t>CHECK_VENDOR</t>
        </is>
      </c>
      <c r="N568" s="188" t="inlineStr">
        <is>
          <t>See NVD references</t>
        </is>
      </c>
      <c r="O568" s="188" t="inlineStr">
        <is>
          <t>Apply vendor patches</t>
        </is>
      </c>
      <c r="P568" s="188" t="inlineStr">
        <is>
          <t>See CVE details</t>
        </is>
      </c>
      <c r="Q568" s="188" t="inlineStr">
        <is>
          <t>P3</t>
        </is>
      </c>
      <c r="R568" s="188" t="inlineStr">
        <is>
          <t>🚨 URGENT: Apply vendor patches immediately | 🔒 Isolate affected systems if patch unavailable | 🛡️ Enable additional monitoring/IDS rules</t>
        </is>
      </c>
      <c r="S568" s="188" t="inlineStr">
        <is>
          <t>CVE - IP enrichment n/a</t>
        </is>
      </c>
      <c r="T568" s="188" t="n">
        <v>0</v>
      </c>
      <c r="U568" s="188" t="n">
        <v>0</v>
      </c>
      <c r="V568" s="188" t="inlineStr">
        <is>
          <t>T1190:Exploit Public-Facing Application</t>
        </is>
      </c>
      <c r="W568" s="188" t="n">
        <v>1</v>
      </c>
      <c r="X568" s="188" t="inlineStr">
        <is>
          <t>LOW (40%)</t>
        </is>
      </c>
      <c r="Y568" s="188" t="inlineStr">
        <is>
          <t>UNLIKELY</t>
        </is>
      </c>
      <c r="Z568" s="188" t="inlineStr">
        <is>
          <t>CHECK_VENDOR</t>
        </is>
      </c>
      <c r="AA568" s="188" t="inlineStr">
        <is>
          <t>https://nvd.nist.gov/vuln/detail/CVE-2025-68043</t>
        </is>
      </c>
      <c r="AB568" s="188" t="inlineStr">
        <is>
          <t>NONE</t>
        </is>
      </c>
      <c r="AC568" s="188" t="n">
        <v>0</v>
      </c>
      <c r="AD568" s="188" t="inlineStr"/>
    </row>
    <row r="569">
      <c r="A569" s="188" t="inlineStr">
        <is>
          <t>CVE</t>
        </is>
      </c>
      <c r="B569" s="188" t="inlineStr">
        <is>
          <t>CVE-2025-68048</t>
        </is>
      </c>
      <c r="C569" s="188" t="inlineStr">
        <is>
          <t>Missing Authorization vulnerability in XLPlugins NextMove Lite woo-thank-you-page-nextmove-lite allows Exploiting Incorrectly Configured Access Control Security Levels.This issue affects NextMove Lite: from n/a through &lt;= 2.23.0.</t>
        </is>
      </c>
      <c r="D569" s="188" t="n">
        <v>7.5</v>
      </c>
      <c r="E569" s="188" t="inlineStr">
        <is>
          <t>HIGH</t>
        </is>
      </c>
      <c r="F569" s="188" t="n">
        <v>2</v>
      </c>
      <c r="G569" s="188" t="n">
        <v>3</v>
      </c>
      <c r="H569" s="188" t="inlineStr">
        <is>
          <t>HIGH</t>
        </is>
      </c>
      <c r="I569" s="188" t="n">
        <v>13.5</v>
      </c>
      <c r="J569" s="188" t="inlineStr">
        <is>
          <t>NO</t>
        </is>
      </c>
      <c r="K569" s="188" t="inlineStr">
        <is>
          <t>https://nvd.nist.gov/vuln/detail/CVE-2025-68048</t>
        </is>
      </c>
      <c r="L569" s="188" t="inlineStr">
        <is>
          <t>2026-02-26 00:15</t>
        </is>
      </c>
      <c r="M569" s="188" t="inlineStr">
        <is>
          <t>CHECK_VENDOR</t>
        </is>
      </c>
      <c r="N569" s="188" t="inlineStr">
        <is>
          <t>See NVD references</t>
        </is>
      </c>
      <c r="O569" s="188" t="inlineStr">
        <is>
          <t>Apply vendor patches</t>
        </is>
      </c>
      <c r="P569" s="188" t="inlineStr">
        <is>
          <t>See CVE details</t>
        </is>
      </c>
      <c r="Q569" s="188" t="inlineStr">
        <is>
          <t>P3</t>
        </is>
      </c>
      <c r="R569" s="188" t="inlineStr">
        <is>
          <t>🚨 URGENT: Apply vendor patches immediately | 🔒 Isolate affected systems if patch unavailable | 🛡️ Enable additional monitoring/IDS rules</t>
        </is>
      </c>
      <c r="S569" s="188" t="inlineStr">
        <is>
          <t>CVE - IP enrichment n/a</t>
        </is>
      </c>
      <c r="T569" s="188" t="n">
        <v>0</v>
      </c>
      <c r="U569" s="188" t="n">
        <v>0</v>
      </c>
      <c r="V569" s="188" t="inlineStr">
        <is>
          <t>T1190:Exploit Public-Facing Application</t>
        </is>
      </c>
      <c r="W569" s="188" t="n">
        <v>1</v>
      </c>
      <c r="X569" s="188" t="inlineStr">
        <is>
          <t>LOW (40%)</t>
        </is>
      </c>
      <c r="Y569" s="188" t="inlineStr">
        <is>
          <t>UNLIKELY</t>
        </is>
      </c>
      <c r="Z569" s="188" t="inlineStr">
        <is>
          <t>CHECK_VENDOR</t>
        </is>
      </c>
      <c r="AA569" s="188" t="inlineStr">
        <is>
          <t>https://nvd.nist.gov/vuln/detail/CVE-2025-68048</t>
        </is>
      </c>
      <c r="AB569" s="188" t="inlineStr">
        <is>
          <t>NONE</t>
        </is>
      </c>
      <c r="AC569" s="188" t="n">
        <v>0</v>
      </c>
      <c r="AD569" s="188" t="inlineStr"/>
    </row>
    <row r="570">
      <c r="A570" s="187" t="inlineStr">
        <is>
          <t>CVE</t>
        </is>
      </c>
      <c r="B570" s="187" t="inlineStr">
        <is>
          <t>CVE-2025-68050</t>
        </is>
      </c>
      <c r="C570" s="187" t="inlineStr">
        <is>
          <t>Missing Authorization vulnerability in Leadpages Leadpages leadpages allows Exploiting Incorrectly Configured Access Control Security Levels.This issue affects Leadpages: from n/a through &lt;= 1.1.3.</t>
        </is>
      </c>
      <c r="D570" s="187" t="n">
        <v>6.5</v>
      </c>
      <c r="E570" s="187" t="inlineStr">
        <is>
          <t>MEDIUM</t>
        </is>
      </c>
      <c r="F570" s="187" t="n">
        <v>2</v>
      </c>
      <c r="G570" s="187" t="n">
        <v>2</v>
      </c>
      <c r="H570" s="187" t="inlineStr">
        <is>
          <t>MEDIUM</t>
        </is>
      </c>
      <c r="I570" s="187" t="n">
        <v>10.5</v>
      </c>
      <c r="J570" s="187" t="inlineStr">
        <is>
          <t>NO</t>
        </is>
      </c>
      <c r="K570" s="187" t="inlineStr">
        <is>
          <t>https://nvd.nist.gov/vuln/detail/CVE-2025-68050</t>
        </is>
      </c>
      <c r="L570" s="187" t="inlineStr">
        <is>
          <t>2026-02-26 00:15</t>
        </is>
      </c>
      <c r="M570" s="187" t="inlineStr">
        <is>
          <t>CHECK_VENDOR</t>
        </is>
      </c>
      <c r="N570" s="187" t="inlineStr">
        <is>
          <t>See NVD references</t>
        </is>
      </c>
      <c r="O570" s="187" t="inlineStr">
        <is>
          <t>Apply vendor patches</t>
        </is>
      </c>
      <c r="P570" s="187" t="inlineStr">
        <is>
          <t>See CVE details</t>
        </is>
      </c>
      <c r="Q570" s="187" t="inlineStr">
        <is>
          <t>P4</t>
        </is>
      </c>
      <c r="R570" s="187" t="inlineStr">
        <is>
          <t>📅 Schedule patch deployment within 30 days | 🔍 Monitor for exploitation attempts</t>
        </is>
      </c>
      <c r="S570" s="187" t="inlineStr">
        <is>
          <t>CVE - IP enrichment n/a</t>
        </is>
      </c>
      <c r="T570" s="187" t="n">
        <v>0</v>
      </c>
      <c r="U570" s="187" t="n">
        <v>0</v>
      </c>
      <c r="V570" s="187" t="inlineStr">
        <is>
          <t>T1190:Exploit Public-Facing Application</t>
        </is>
      </c>
      <c r="W570" s="187" t="n">
        <v>1</v>
      </c>
      <c r="X570" s="187" t="inlineStr">
        <is>
          <t>LOW (40%)</t>
        </is>
      </c>
      <c r="Y570" s="187" t="inlineStr">
        <is>
          <t>UNLIKELY</t>
        </is>
      </c>
      <c r="Z570" s="187" t="inlineStr">
        <is>
          <t>CHECK_VENDOR</t>
        </is>
      </c>
      <c r="AA570" s="187" t="inlineStr">
        <is>
          <t>https://nvd.nist.gov/vuln/detail/CVE-2025-68050</t>
        </is>
      </c>
      <c r="AB570" s="187" t="inlineStr">
        <is>
          <t>NONE</t>
        </is>
      </c>
      <c r="AC570" s="187" t="n">
        <v>0</v>
      </c>
      <c r="AD570" s="187" t="inlineStr"/>
    </row>
    <row r="571">
      <c r="A571" s="188" t="inlineStr">
        <is>
          <t>CVE</t>
        </is>
      </c>
      <c r="B571" s="188" t="inlineStr">
        <is>
          <t>CVE-2025-68051</t>
        </is>
      </c>
      <c r="C571" s="188" t="inlineStr">
        <is>
          <t>Authorization Bypass Through User-Controlled Key vulnerability in Shiprocket Shiprocket shiprocket allows Exploiting Incorrectly Configured Access Control Security Levels.This issue affects Shiprocket: from n/a through &lt;= 2.0.8.</t>
        </is>
      </c>
      <c r="D571" s="188" t="n">
        <v>7.4</v>
      </c>
      <c r="E571" s="188" t="inlineStr">
        <is>
          <t>HIGH</t>
        </is>
      </c>
      <c r="F571" s="188" t="n">
        <v>2</v>
      </c>
      <c r="G571" s="188" t="n">
        <v>3</v>
      </c>
      <c r="H571" s="188" t="inlineStr">
        <is>
          <t>HIGH</t>
        </is>
      </c>
      <c r="I571" s="188" t="n">
        <v>13.4</v>
      </c>
      <c r="J571" s="188" t="inlineStr">
        <is>
          <t>NO</t>
        </is>
      </c>
      <c r="K571" s="188" t="inlineStr">
        <is>
          <t>https://nvd.nist.gov/vuln/detail/CVE-2025-68051</t>
        </is>
      </c>
      <c r="L571" s="188" t="inlineStr">
        <is>
          <t>2026-02-26 00:15</t>
        </is>
      </c>
      <c r="M571" s="188" t="inlineStr">
        <is>
          <t>CHECK_VENDOR</t>
        </is>
      </c>
      <c r="N571" s="188" t="inlineStr">
        <is>
          <t>See NVD references</t>
        </is>
      </c>
      <c r="O571" s="188" t="inlineStr">
        <is>
          <t>Apply vendor patches</t>
        </is>
      </c>
      <c r="P571" s="188" t="inlineStr">
        <is>
          <t>See CVE details</t>
        </is>
      </c>
      <c r="Q571" s="188" t="inlineStr">
        <is>
          <t>P3</t>
        </is>
      </c>
      <c r="R571" s="188" t="inlineStr">
        <is>
          <t>🚨 URGENT: Apply vendor patches immediately | 🔒 Isolate affected systems if patch unavailable | 🛡️ Enable additional monitoring/IDS rules</t>
        </is>
      </c>
      <c r="S571" s="188" t="inlineStr">
        <is>
          <t>CVE - IP enrichment n/a</t>
        </is>
      </c>
      <c r="T571" s="188" t="n">
        <v>0</v>
      </c>
      <c r="U571" s="188" t="n">
        <v>0</v>
      </c>
      <c r="V571" s="188" t="inlineStr">
        <is>
          <t>T1190:Exploit Public-Facing Application</t>
        </is>
      </c>
      <c r="W571" s="188" t="n">
        <v>1</v>
      </c>
      <c r="X571" s="188" t="inlineStr">
        <is>
          <t>LOW (40%)</t>
        </is>
      </c>
      <c r="Y571" s="188" t="inlineStr">
        <is>
          <t>UNLIKELY</t>
        </is>
      </c>
      <c r="Z571" s="188" t="inlineStr">
        <is>
          <t>CHECK_VENDOR</t>
        </is>
      </c>
      <c r="AA571" s="188" t="inlineStr">
        <is>
          <t>https://nvd.nist.gov/vuln/detail/CVE-2025-68051</t>
        </is>
      </c>
      <c r="AB571" s="188" t="inlineStr">
        <is>
          <t>NONE</t>
        </is>
      </c>
      <c r="AC571" s="188" t="n">
        <v>0</v>
      </c>
      <c r="AD571" s="188" t="inlineStr"/>
    </row>
    <row r="572">
      <c r="A572" s="188" t="inlineStr">
        <is>
          <t>CVE</t>
        </is>
      </c>
      <c r="B572" s="188" t="inlineStr">
        <is>
          <t>CVE-2025-68069</t>
        </is>
      </c>
      <c r="C572" s="188" t="inlineStr">
        <is>
          <t>Missing Authorization vulnerability in wpWax Directorist directorist allows Exploiting Incorrectly Configured Access Control Security Levels.This issue affects Directorist: from n/a through &lt;= 8.5.10.</t>
        </is>
      </c>
      <c r="D572" s="188" t="n">
        <v>7.1</v>
      </c>
      <c r="E572" s="188" t="inlineStr">
        <is>
          <t>HIGH</t>
        </is>
      </c>
      <c r="F572" s="188" t="n">
        <v>2</v>
      </c>
      <c r="G572" s="188" t="n">
        <v>3</v>
      </c>
      <c r="H572" s="188" t="inlineStr">
        <is>
          <t>HIGH</t>
        </is>
      </c>
      <c r="I572" s="188" t="n">
        <v>13.1</v>
      </c>
      <c r="J572" s="188" t="inlineStr">
        <is>
          <t>NO</t>
        </is>
      </c>
      <c r="K572" s="188" t="inlineStr">
        <is>
          <t>https://nvd.nist.gov/vuln/detail/CVE-2025-68069</t>
        </is>
      </c>
      <c r="L572" s="188" t="inlineStr">
        <is>
          <t>2026-02-26 00:15</t>
        </is>
      </c>
      <c r="M572" s="188" t="inlineStr">
        <is>
          <t>CHECK_VENDOR</t>
        </is>
      </c>
      <c r="N572" s="188" t="inlineStr">
        <is>
          <t>See NVD references</t>
        </is>
      </c>
      <c r="O572" s="188" t="inlineStr">
        <is>
          <t>Apply vendor patches</t>
        </is>
      </c>
      <c r="P572" s="188" t="inlineStr">
        <is>
          <t>See CVE details</t>
        </is>
      </c>
      <c r="Q572" s="188" t="inlineStr">
        <is>
          <t>P3</t>
        </is>
      </c>
      <c r="R572" s="188" t="inlineStr">
        <is>
          <t>🚨 URGENT: Apply vendor patches immediately | 🔒 Isolate affected systems if patch unavailable | 🛡️ Enable additional monitoring/IDS rules</t>
        </is>
      </c>
      <c r="S572" s="188" t="inlineStr">
        <is>
          <t>CVE - IP enrichment n/a</t>
        </is>
      </c>
      <c r="T572" s="188" t="n">
        <v>0</v>
      </c>
      <c r="U572" s="188" t="n">
        <v>0</v>
      </c>
      <c r="V572" s="188" t="inlineStr">
        <is>
          <t>T1190:Exploit Public-Facing Application</t>
        </is>
      </c>
      <c r="W572" s="188" t="n">
        <v>1</v>
      </c>
      <c r="X572" s="188" t="inlineStr">
        <is>
          <t>LOW (40%)</t>
        </is>
      </c>
      <c r="Y572" s="188" t="inlineStr">
        <is>
          <t>UNLIKELY</t>
        </is>
      </c>
      <c r="Z572" s="188" t="inlineStr">
        <is>
          <t>CHECK_VENDOR</t>
        </is>
      </c>
      <c r="AA572" s="188" t="inlineStr">
        <is>
          <t>https://nvd.nist.gov/vuln/detail/CVE-2025-68069</t>
        </is>
      </c>
      <c r="AB572" s="188" t="inlineStr">
        <is>
          <t>NONE</t>
        </is>
      </c>
      <c r="AC572" s="188" t="n">
        <v>0</v>
      </c>
      <c r="AD572" s="188" t="inlineStr"/>
    </row>
    <row r="573">
      <c r="A573" s="188" t="inlineStr">
        <is>
          <t>CVE</t>
        </is>
      </c>
      <c r="B573" s="188" t="inlineStr">
        <is>
          <t>CVE-2025-68495</t>
        </is>
      </c>
      <c r="C573" s="188" t="inlineStr">
        <is>
          <t>Improper Neutralization of Input During Web Page Generation ('Cross-site Scripting') vulnerability in Crocoblock JetEngine jet-engine allows Reflected XSS.This issue affects JetEngine: from n/a through &lt;= 3.8.0.</t>
        </is>
      </c>
      <c r="D573" s="188" t="n">
        <v>7.1</v>
      </c>
      <c r="E573" s="188" t="inlineStr">
        <is>
          <t>HIGH</t>
        </is>
      </c>
      <c r="F573" s="188" t="n">
        <v>2</v>
      </c>
      <c r="G573" s="188" t="n">
        <v>3</v>
      </c>
      <c r="H573" s="188" t="inlineStr">
        <is>
          <t>HIGH</t>
        </is>
      </c>
      <c r="I573" s="188" t="n">
        <v>13.1</v>
      </c>
      <c r="J573" s="188" t="inlineStr">
        <is>
          <t>NO</t>
        </is>
      </c>
      <c r="K573" s="188" t="inlineStr">
        <is>
          <t>https://nvd.nist.gov/vuln/detail/CVE-2025-68495</t>
        </is>
      </c>
      <c r="L573" s="188" t="inlineStr">
        <is>
          <t>2026-02-26 00:15</t>
        </is>
      </c>
      <c r="M573" s="188" t="inlineStr">
        <is>
          <t>CHECK_VENDOR</t>
        </is>
      </c>
      <c r="N573" s="188" t="inlineStr">
        <is>
          <t>See NVD references</t>
        </is>
      </c>
      <c r="O573" s="188" t="inlineStr">
        <is>
          <t>Apply vendor patches</t>
        </is>
      </c>
      <c r="P573" s="188" t="inlineStr">
        <is>
          <t>See CVE details</t>
        </is>
      </c>
      <c r="Q573" s="188" t="inlineStr">
        <is>
          <t>P3</t>
        </is>
      </c>
      <c r="R573" s="188" t="inlineStr">
        <is>
          <t>🚨 URGENT: Apply vendor patches immediately | 🔒 Isolate affected systems if patch unavailable | 🛡️ Enable additional monitoring/IDS rules</t>
        </is>
      </c>
      <c r="S573" s="188" t="inlineStr">
        <is>
          <t>CVE - IP enrichment n/a</t>
        </is>
      </c>
      <c r="T573" s="188" t="n">
        <v>0</v>
      </c>
      <c r="U573" s="188" t="n">
        <v>0</v>
      </c>
      <c r="V573" s="188" t="inlineStr">
        <is>
          <t>T1189:Drive-by Compromise</t>
        </is>
      </c>
      <c r="W573" s="188" t="n">
        <v>1</v>
      </c>
      <c r="X573" s="188" t="inlineStr">
        <is>
          <t>LOW (40%)</t>
        </is>
      </c>
      <c r="Y573" s="188" t="inlineStr">
        <is>
          <t>UNLIKELY</t>
        </is>
      </c>
      <c r="Z573" s="188" t="inlineStr">
        <is>
          <t>CHECK_VENDOR</t>
        </is>
      </c>
      <c r="AA573" s="188" t="inlineStr">
        <is>
          <t>https://nvd.nist.gov/vuln/detail/CVE-2025-68495</t>
        </is>
      </c>
      <c r="AB573" s="188" t="inlineStr">
        <is>
          <t>NONE</t>
        </is>
      </c>
      <c r="AC573" s="188" t="n">
        <v>0</v>
      </c>
      <c r="AD573" s="188" t="inlineStr"/>
    </row>
    <row r="574">
      <c r="A574" s="188" t="inlineStr">
        <is>
          <t>CVE</t>
        </is>
      </c>
      <c r="B574" s="188" t="inlineStr">
        <is>
          <t>CVE-2025-68501</t>
        </is>
      </c>
      <c r="C574" s="188" t="inlineStr">
        <is>
          <t>Improper Neutralization of Input During Web Page Generation ('Cross-site Scripting') vulnerability in Mollie Mollie Payments for WooCommerce mollie-payments-for-woocommerce allows Reflected XSS.This issue affects Mollie Payments for WooCommerce: from n/a through &lt;= 8.1.1.</t>
        </is>
      </c>
      <c r="D574" s="188" t="n">
        <v>7.1</v>
      </c>
      <c r="E574" s="188" t="inlineStr">
        <is>
          <t>HIGH</t>
        </is>
      </c>
      <c r="F574" s="188" t="n">
        <v>2</v>
      </c>
      <c r="G574" s="188" t="n">
        <v>3</v>
      </c>
      <c r="H574" s="188" t="inlineStr">
        <is>
          <t>HIGH</t>
        </is>
      </c>
      <c r="I574" s="188" t="n">
        <v>13.1</v>
      </c>
      <c r="J574" s="188" t="inlineStr">
        <is>
          <t>NO</t>
        </is>
      </c>
      <c r="K574" s="188" t="inlineStr">
        <is>
          <t>https://nvd.nist.gov/vuln/detail/CVE-2025-68501</t>
        </is>
      </c>
      <c r="L574" s="188" t="inlineStr">
        <is>
          <t>2026-02-26 00:15</t>
        </is>
      </c>
      <c r="M574" s="188" t="inlineStr">
        <is>
          <t>CHECK_VENDOR</t>
        </is>
      </c>
      <c r="N574" s="188" t="inlineStr">
        <is>
          <t>See NVD references</t>
        </is>
      </c>
      <c r="O574" s="188" t="inlineStr">
        <is>
          <t>Apply vendor patches</t>
        </is>
      </c>
      <c r="P574" s="188" t="inlineStr">
        <is>
          <t>See CVE details</t>
        </is>
      </c>
      <c r="Q574" s="188" t="inlineStr">
        <is>
          <t>P3</t>
        </is>
      </c>
      <c r="R574" s="188" t="inlineStr">
        <is>
          <t>🚨 URGENT: Apply vendor patches immediately | 🔒 Isolate affected systems if patch unavailable | 🛡️ Enable additional monitoring/IDS rules</t>
        </is>
      </c>
      <c r="S574" s="188" t="inlineStr">
        <is>
          <t>CVE - IP enrichment n/a</t>
        </is>
      </c>
      <c r="T574" s="188" t="n">
        <v>0</v>
      </c>
      <c r="U574" s="188" t="n">
        <v>0</v>
      </c>
      <c r="V574" s="188" t="inlineStr">
        <is>
          <t>T1189:Drive-by Compromise | T1190:Exploit Public-Facing Application</t>
        </is>
      </c>
      <c r="W574" s="188" t="n">
        <v>1</v>
      </c>
      <c r="X574" s="188" t="inlineStr">
        <is>
          <t>LOW (40%)</t>
        </is>
      </c>
      <c r="Y574" s="188" t="inlineStr">
        <is>
          <t>UNLIKELY</t>
        </is>
      </c>
      <c r="Z574" s="188" t="inlineStr">
        <is>
          <t>CHECK_VENDOR</t>
        </is>
      </c>
      <c r="AA574" s="188" t="inlineStr">
        <is>
          <t>https://nvd.nist.gov/vuln/detail/CVE-2025-68501</t>
        </is>
      </c>
      <c r="AB574" s="188" t="inlineStr">
        <is>
          <t>NONE</t>
        </is>
      </c>
      <c r="AC574" s="188" t="n">
        <v>0</v>
      </c>
      <c r="AD574" s="188" t="inlineStr"/>
    </row>
    <row r="575">
      <c r="A575" s="187" t="inlineStr">
        <is>
          <t>CVE</t>
        </is>
      </c>
      <c r="B575" s="187" t="inlineStr">
        <is>
          <t>CVE-2025-68514</t>
        </is>
      </c>
      <c r="C575" s="187" t="inlineStr">
        <is>
          <t>Authorization Bypass Through User-Controlled Key vulnerability in Cozmoslabs Paid Member Subscriptions paid-member-subscriptions allows Exploiting Incorrectly Configured Access Control Security Levels.This issue affects Paid Member Subscriptions: from n/a through &lt;= 2.16.8.</t>
        </is>
      </c>
      <c r="D575" s="187" t="n">
        <v>6.5</v>
      </c>
      <c r="E575" s="187" t="inlineStr">
        <is>
          <t>MEDIUM</t>
        </is>
      </c>
      <c r="F575" s="187" t="n">
        <v>2</v>
      </c>
      <c r="G575" s="187" t="n">
        <v>2</v>
      </c>
      <c r="H575" s="187" t="inlineStr">
        <is>
          <t>MEDIUM</t>
        </is>
      </c>
      <c r="I575" s="187" t="n">
        <v>10.5</v>
      </c>
      <c r="J575" s="187" t="inlineStr">
        <is>
          <t>NO</t>
        </is>
      </c>
      <c r="K575" s="187" t="inlineStr">
        <is>
          <t>https://nvd.nist.gov/vuln/detail/CVE-2025-68514</t>
        </is>
      </c>
      <c r="L575" s="187" t="inlineStr">
        <is>
          <t>2026-02-26 00:15</t>
        </is>
      </c>
      <c r="M575" s="187" t="inlineStr">
        <is>
          <t>CHECK_VENDOR</t>
        </is>
      </c>
      <c r="N575" s="187" t="inlineStr">
        <is>
          <t>See NVD references</t>
        </is>
      </c>
      <c r="O575" s="187" t="inlineStr">
        <is>
          <t>Apply vendor patches</t>
        </is>
      </c>
      <c r="P575" s="187" t="inlineStr">
        <is>
          <t>See CVE details</t>
        </is>
      </c>
      <c r="Q575" s="187" t="inlineStr">
        <is>
          <t>P4</t>
        </is>
      </c>
      <c r="R575" s="187" t="inlineStr">
        <is>
          <t>📅 Schedule patch deployment within 30 days | 🔍 Monitor for exploitation attempts</t>
        </is>
      </c>
      <c r="S575" s="187" t="inlineStr">
        <is>
          <t>CVE - IP enrichment n/a</t>
        </is>
      </c>
      <c r="T575" s="187" t="n">
        <v>0.0002</v>
      </c>
      <c r="U575" s="187" t="n">
        <v>0.0379</v>
      </c>
      <c r="V575" s="187" t="inlineStr">
        <is>
          <t>T1190:Exploit Public-Facing Application</t>
        </is>
      </c>
      <c r="W575" s="187" t="n">
        <v>1</v>
      </c>
      <c r="X575" s="187" t="inlineStr">
        <is>
          <t>LOW (40%)</t>
        </is>
      </c>
      <c r="Y575" s="187" t="inlineStr">
        <is>
          <t>UNLIKELY</t>
        </is>
      </c>
      <c r="Z575" s="187" t="inlineStr">
        <is>
          <t>CHECK_VENDOR</t>
        </is>
      </c>
      <c r="AA575" s="187" t="inlineStr">
        <is>
          <t>https://nvd.nist.gov/vuln/detail/CVE-2025-68514</t>
        </is>
      </c>
      <c r="AB575" s="187" t="inlineStr">
        <is>
          <t>NONE</t>
        </is>
      </c>
      <c r="AC575" s="187" t="n">
        <v>0</v>
      </c>
      <c r="AD575" s="187" t="inlineStr"/>
    </row>
    <row r="576">
      <c r="A576" s="188" t="inlineStr">
        <is>
          <t>CVE</t>
        </is>
      </c>
      <c r="B576" s="188" t="inlineStr">
        <is>
          <t>CVE-2025-68526</t>
        </is>
      </c>
      <c r="C576" s="188" t="inlineStr">
        <is>
          <t>Deserialization of Untrusted Data vulnerability in A WP Life Modal Popup Box modal-popup-box allows Object Injection.This issue affects Modal Popup Box: from n/a through &lt;= 1.6.1.</t>
        </is>
      </c>
      <c r="D576" s="188" t="n">
        <v>8.800000000000001</v>
      </c>
      <c r="E576" s="188" t="inlineStr">
        <is>
          <t>HIGH</t>
        </is>
      </c>
      <c r="F576" s="188" t="n">
        <v>2</v>
      </c>
      <c r="G576" s="188" t="n">
        <v>3</v>
      </c>
      <c r="H576" s="188" t="inlineStr">
        <is>
          <t>HIGH</t>
        </is>
      </c>
      <c r="I576" s="188" t="n">
        <v>14.8</v>
      </c>
      <c r="J576" s="188" t="inlineStr">
        <is>
          <t>NO</t>
        </is>
      </c>
      <c r="K576" s="188" t="inlineStr">
        <is>
          <t>https://nvd.nist.gov/vuln/detail/CVE-2025-68526</t>
        </is>
      </c>
      <c r="L576" s="188" t="inlineStr">
        <is>
          <t>2026-02-26 00:15</t>
        </is>
      </c>
      <c r="M576" s="188" t="inlineStr">
        <is>
          <t>CHECK_VENDOR</t>
        </is>
      </c>
      <c r="N576" s="188" t="inlineStr">
        <is>
          <t>See NVD references</t>
        </is>
      </c>
      <c r="O576" s="188" t="inlineStr">
        <is>
          <t>Apply vendor patches</t>
        </is>
      </c>
      <c r="P576" s="188" t="inlineStr">
        <is>
          <t>See CVE details</t>
        </is>
      </c>
      <c r="Q576" s="188" t="inlineStr">
        <is>
          <t>P3</t>
        </is>
      </c>
      <c r="R576" s="188" t="inlineStr">
        <is>
          <t>🚨 URGENT: Apply vendor patches immediately | 🔒 Isolate affected systems if patch unavailable | 🛡️ Enable additional monitoring/IDS rules</t>
        </is>
      </c>
      <c r="S576" s="188" t="inlineStr">
        <is>
          <t>CVE - IP enrichment n/a</t>
        </is>
      </c>
      <c r="T576" s="188" t="n">
        <v>0</v>
      </c>
      <c r="U576" s="188" t="n">
        <v>0</v>
      </c>
      <c r="V576" s="188" t="inlineStr">
        <is>
          <t>T1059:Command and Scripting Interpreter</t>
        </is>
      </c>
      <c r="W576" s="188" t="n">
        <v>1</v>
      </c>
      <c r="X576" s="188" t="inlineStr">
        <is>
          <t>LOW (40%)</t>
        </is>
      </c>
      <c r="Y576" s="188" t="inlineStr">
        <is>
          <t>UNLIKELY</t>
        </is>
      </c>
      <c r="Z576" s="188" t="inlineStr">
        <is>
          <t>CHECK_VENDOR</t>
        </is>
      </c>
      <c r="AA576" s="188" t="inlineStr">
        <is>
          <t>https://nvd.nist.gov/vuln/detail/CVE-2025-68526</t>
        </is>
      </c>
      <c r="AB576" s="188" t="inlineStr">
        <is>
          <t>NONE</t>
        </is>
      </c>
      <c r="AC576" s="188" t="n">
        <v>0</v>
      </c>
      <c r="AD576" s="188" t="inlineStr"/>
    </row>
    <row r="577">
      <c r="A577" s="188" t="inlineStr">
        <is>
          <t>CVE</t>
        </is>
      </c>
      <c r="B577" s="188" t="inlineStr">
        <is>
          <t>CVE-2025-68531</t>
        </is>
      </c>
      <c r="C577" s="188" t="inlineStr">
        <is>
          <t>Deserialization of Untrusted Data vulnerability in modeltheme ModelTheme Addons for WPBakery and Elementor modeltheme-addons-for-wpbakery allows Object Injection.This issue affects ModelTheme Addons for WPBakery and Elementor: from n/a through &lt; 1.5.6.</t>
        </is>
      </c>
      <c r="D577" s="188" t="n">
        <v>8.800000000000001</v>
      </c>
      <c r="E577" s="188" t="inlineStr">
        <is>
          <t>HIGH</t>
        </is>
      </c>
      <c r="F577" s="188" t="n">
        <v>2</v>
      </c>
      <c r="G577" s="188" t="n">
        <v>3</v>
      </c>
      <c r="H577" s="188" t="inlineStr">
        <is>
          <t>HIGH</t>
        </is>
      </c>
      <c r="I577" s="188" t="n">
        <v>14.8</v>
      </c>
      <c r="J577" s="188" t="inlineStr">
        <is>
          <t>NO</t>
        </is>
      </c>
      <c r="K577" s="188" t="inlineStr">
        <is>
          <t>https://nvd.nist.gov/vuln/detail/CVE-2025-68531</t>
        </is>
      </c>
      <c r="L577" s="188" t="inlineStr">
        <is>
          <t>2026-02-26 00:15</t>
        </is>
      </c>
      <c r="M577" s="188" t="inlineStr">
        <is>
          <t>CHECK_VENDOR</t>
        </is>
      </c>
      <c r="N577" s="188" t="inlineStr">
        <is>
          <t>See NVD references</t>
        </is>
      </c>
      <c r="O577" s="188" t="inlineStr">
        <is>
          <t>Apply vendor patches</t>
        </is>
      </c>
      <c r="P577" s="188" t="inlineStr">
        <is>
          <t>See CVE details</t>
        </is>
      </c>
      <c r="Q577" s="188" t="inlineStr">
        <is>
          <t>P3</t>
        </is>
      </c>
      <c r="R577" s="188" t="inlineStr">
        <is>
          <t>🚨 URGENT: Apply vendor patches immediately | 🔒 Isolate affected systems if patch unavailable | 🛡️ Enable additional monitoring/IDS rules</t>
        </is>
      </c>
      <c r="S577" s="188" t="inlineStr">
        <is>
          <t>CVE - IP enrichment n/a</t>
        </is>
      </c>
      <c r="T577" s="188" t="n">
        <v>0</v>
      </c>
      <c r="U577" s="188" t="n">
        <v>0</v>
      </c>
      <c r="V577" s="188" t="inlineStr">
        <is>
          <t>T1059:Command and Scripting Interpreter</t>
        </is>
      </c>
      <c r="W577" s="188" t="n">
        <v>1</v>
      </c>
      <c r="X577" s="188" t="inlineStr">
        <is>
          <t>LOW (40%)</t>
        </is>
      </c>
      <c r="Y577" s="188" t="inlineStr">
        <is>
          <t>UNLIKELY</t>
        </is>
      </c>
      <c r="Z577" s="188" t="inlineStr">
        <is>
          <t>CHECK_VENDOR</t>
        </is>
      </c>
      <c r="AA577" s="188" t="inlineStr">
        <is>
          <t>https://nvd.nist.gov/vuln/detail/CVE-2025-68531</t>
        </is>
      </c>
      <c r="AB577" s="188" t="inlineStr">
        <is>
          <t>NONE</t>
        </is>
      </c>
      <c r="AC577" s="188" t="n">
        <v>0</v>
      </c>
      <c r="AD577" s="188" t="inlineStr"/>
    </row>
    <row r="578">
      <c r="A578" s="187" t="inlineStr">
        <is>
          <t>CVE</t>
        </is>
      </c>
      <c r="B578" s="187" t="inlineStr">
        <is>
          <t>CVE-2025-68534</t>
        </is>
      </c>
      <c r="C578" s="187" t="inlineStr">
        <is>
          <t>Missing Authorization vulnerability in add-ons.org PDF for WPForms pdf-for-wpforms allows Exploiting Incorrectly Configured Access Control Security Levels.This issue affects PDF for WPForms: from n/a through &lt;= 6.3.0.</t>
        </is>
      </c>
      <c r="D578" s="187" t="n">
        <v>6.5</v>
      </c>
      <c r="E578" s="187" t="inlineStr">
        <is>
          <t>MEDIUM</t>
        </is>
      </c>
      <c r="F578" s="187" t="n">
        <v>2</v>
      </c>
      <c r="G578" s="187" t="n">
        <v>2</v>
      </c>
      <c r="H578" s="187" t="inlineStr">
        <is>
          <t>MEDIUM</t>
        </is>
      </c>
      <c r="I578" s="187" t="n">
        <v>10.5</v>
      </c>
      <c r="J578" s="187" t="inlineStr">
        <is>
          <t>NO</t>
        </is>
      </c>
      <c r="K578" s="187" t="inlineStr">
        <is>
          <t>https://nvd.nist.gov/vuln/detail/CVE-2025-68534</t>
        </is>
      </c>
      <c r="L578" s="187" t="inlineStr">
        <is>
          <t>2026-02-26 00:15</t>
        </is>
      </c>
      <c r="M578" s="187" t="inlineStr">
        <is>
          <t>CHECK_VENDOR</t>
        </is>
      </c>
      <c r="N578" s="187" t="inlineStr">
        <is>
          <t>See NVD references</t>
        </is>
      </c>
      <c r="O578" s="187" t="inlineStr">
        <is>
          <t>Apply vendor patches</t>
        </is>
      </c>
      <c r="P578" s="187" t="inlineStr">
        <is>
          <t>See CVE details</t>
        </is>
      </c>
      <c r="Q578" s="187" t="inlineStr">
        <is>
          <t>P4</t>
        </is>
      </c>
      <c r="R578" s="187" t="inlineStr">
        <is>
          <t>📅 Schedule patch deployment within 30 days | 🔍 Monitor for exploitation attempts</t>
        </is>
      </c>
      <c r="S578" s="187" t="inlineStr">
        <is>
          <t>CVE - IP enrichment n/a</t>
        </is>
      </c>
      <c r="T578" s="187" t="n">
        <v>0</v>
      </c>
      <c r="U578" s="187" t="n">
        <v>0</v>
      </c>
      <c r="V578" s="187" t="inlineStr">
        <is>
          <t>T1190:Exploit Public-Facing Application</t>
        </is>
      </c>
      <c r="W578" s="187" t="n">
        <v>1</v>
      </c>
      <c r="X578" s="187" t="inlineStr">
        <is>
          <t>LOW (40%)</t>
        </is>
      </c>
      <c r="Y578" s="187" t="inlineStr">
        <is>
          <t>UNLIKELY</t>
        </is>
      </c>
      <c r="Z578" s="187" t="inlineStr">
        <is>
          <t>CHECK_VENDOR</t>
        </is>
      </c>
      <c r="AA578" s="187" t="inlineStr">
        <is>
          <t>https://nvd.nist.gov/vuln/detail/CVE-2025-68534</t>
        </is>
      </c>
      <c r="AB578" s="187" t="inlineStr">
        <is>
          <t>NONE</t>
        </is>
      </c>
      <c r="AC578" s="187" t="n">
        <v>0</v>
      </c>
      <c r="AD578" s="187" t="inlineStr"/>
    </row>
    <row r="579">
      <c r="A579" s="188" t="inlineStr">
        <is>
          <t>CVE</t>
        </is>
      </c>
      <c r="B579" s="188" t="inlineStr">
        <is>
          <t>CVE-2025-68536</t>
        </is>
      </c>
      <c r="C579" s="188" t="inlineStr">
        <is>
          <t>Improper Control of Filename for Include/Require Statement in PHP Program ('PHP Remote File Inclusion') vulnerability in thembay Zota zota allows PHP Local File Inclusion.This issue affects Zota: from n/a through &lt;= 1.3.14.</t>
        </is>
      </c>
      <c r="D579" s="188" t="n">
        <v>8.1</v>
      </c>
      <c r="E579" s="188" t="inlineStr">
        <is>
          <t>HIGH</t>
        </is>
      </c>
      <c r="F579" s="188" t="n">
        <v>2</v>
      </c>
      <c r="G579" s="188" t="n">
        <v>3</v>
      </c>
      <c r="H579" s="188" t="inlineStr">
        <is>
          <t>HIGH</t>
        </is>
      </c>
      <c r="I579" s="188" t="n">
        <v>14.1</v>
      </c>
      <c r="J579" s="188" t="inlineStr">
        <is>
          <t>NO</t>
        </is>
      </c>
      <c r="K579" s="188" t="inlineStr">
        <is>
          <t>https://nvd.nist.gov/vuln/detail/CVE-2025-68536</t>
        </is>
      </c>
      <c r="L579" s="188" t="inlineStr">
        <is>
          <t>2026-02-26 00:15</t>
        </is>
      </c>
      <c r="M579" s="188" t="inlineStr">
        <is>
          <t>CHECK_VENDOR</t>
        </is>
      </c>
      <c r="N579" s="188" t="inlineStr">
        <is>
          <t>See NVD references</t>
        </is>
      </c>
      <c r="O579" s="188" t="inlineStr">
        <is>
          <t>Apply vendor patches</t>
        </is>
      </c>
      <c r="P579" s="188" t="inlineStr">
        <is>
          <t>See CVE details</t>
        </is>
      </c>
      <c r="Q579" s="188" t="inlineStr">
        <is>
          <t>P3</t>
        </is>
      </c>
      <c r="R579" s="188" t="inlineStr">
        <is>
          <t>🚨 URGENT: Apply vendor patches immediately | 🔒 Isolate affected systems if patch unavailable | 🛡️ Enable additional monitoring/IDS rules</t>
        </is>
      </c>
      <c r="S579" s="188" t="inlineStr">
        <is>
          <t>CVE - IP enrichment n/a</t>
        </is>
      </c>
      <c r="T579" s="188" t="n">
        <v>0.0011</v>
      </c>
      <c r="U579" s="188" t="n">
        <v>0.3022</v>
      </c>
      <c r="V579" s="188" t="inlineStr">
        <is>
          <t>T1190:Exploit Public-Facing Application</t>
        </is>
      </c>
      <c r="W579" s="188" t="n">
        <v>1</v>
      </c>
      <c r="X579" s="188" t="inlineStr">
        <is>
          <t>LOW (40%)</t>
        </is>
      </c>
      <c r="Y579" s="188" t="inlineStr">
        <is>
          <t>UNLIKELY</t>
        </is>
      </c>
      <c r="Z579" s="188" t="inlineStr">
        <is>
          <t>CHECK_VENDOR</t>
        </is>
      </c>
      <c r="AA579" s="188" t="inlineStr">
        <is>
          <t>https://nvd.nist.gov/vuln/detail/CVE-2025-68536</t>
        </is>
      </c>
      <c r="AB579" s="188" t="inlineStr">
        <is>
          <t>NONE</t>
        </is>
      </c>
      <c r="AC579" s="188" t="n">
        <v>0</v>
      </c>
      <c r="AD579" s="188" t="inlineStr"/>
    </row>
    <row r="580">
      <c r="A580" s="188" t="inlineStr">
        <is>
          <t>CVE</t>
        </is>
      </c>
      <c r="B580" s="188" t="inlineStr">
        <is>
          <t>CVE-2025-68539</t>
        </is>
      </c>
      <c r="C580" s="188" t="inlineStr">
        <is>
          <t>Improper Control of Filename for Include/Require Statement in PHP Program ('PHP Remote File Inclusion') vulnerability in thembay Fana fana allows PHP Local File Inclusion.This issue affects Fana: from n/a through &lt;= 1.1.35.</t>
        </is>
      </c>
      <c r="D580" s="188" t="n">
        <v>8.1</v>
      </c>
      <c r="E580" s="188" t="inlineStr">
        <is>
          <t>HIGH</t>
        </is>
      </c>
      <c r="F580" s="188" t="n">
        <v>2</v>
      </c>
      <c r="G580" s="188" t="n">
        <v>3</v>
      </c>
      <c r="H580" s="188" t="inlineStr">
        <is>
          <t>HIGH</t>
        </is>
      </c>
      <c r="I580" s="188" t="n">
        <v>14.1</v>
      </c>
      <c r="J580" s="188" t="inlineStr">
        <is>
          <t>NO</t>
        </is>
      </c>
      <c r="K580" s="188" t="inlineStr">
        <is>
          <t>https://nvd.nist.gov/vuln/detail/CVE-2025-68539</t>
        </is>
      </c>
      <c r="L580" s="188" t="inlineStr">
        <is>
          <t>2026-02-26 00:15</t>
        </is>
      </c>
      <c r="M580" s="188" t="inlineStr">
        <is>
          <t>CHECK_VENDOR</t>
        </is>
      </c>
      <c r="N580" s="188" t="inlineStr">
        <is>
          <t>See NVD references</t>
        </is>
      </c>
      <c r="O580" s="188" t="inlineStr">
        <is>
          <t>Apply vendor patches</t>
        </is>
      </c>
      <c r="P580" s="188" t="inlineStr">
        <is>
          <t>See CVE details</t>
        </is>
      </c>
      <c r="Q580" s="188" t="inlineStr">
        <is>
          <t>P3</t>
        </is>
      </c>
      <c r="R580" s="188" t="inlineStr">
        <is>
          <t>🚨 URGENT: Apply vendor patches immediately | 🔒 Isolate affected systems if patch unavailable | 🛡️ Enable additional monitoring/IDS rules</t>
        </is>
      </c>
      <c r="S580" s="188" t="inlineStr">
        <is>
          <t>CVE - IP enrichment n/a</t>
        </is>
      </c>
      <c r="T580" s="188" t="n">
        <v>0.0011</v>
      </c>
      <c r="U580" s="188" t="n">
        <v>0.3022</v>
      </c>
      <c r="V580" s="188" t="inlineStr">
        <is>
          <t>T1190:Exploit Public-Facing Application</t>
        </is>
      </c>
      <c r="W580" s="188" t="n">
        <v>1</v>
      </c>
      <c r="X580" s="188" t="inlineStr">
        <is>
          <t>LOW (40%)</t>
        </is>
      </c>
      <c r="Y580" s="188" t="inlineStr">
        <is>
          <t>UNLIKELY</t>
        </is>
      </c>
      <c r="Z580" s="188" t="inlineStr">
        <is>
          <t>CHECK_VENDOR</t>
        </is>
      </c>
      <c r="AA580" s="188" t="inlineStr">
        <is>
          <t>https://nvd.nist.gov/vuln/detail/CVE-2025-68539</t>
        </is>
      </c>
      <c r="AB580" s="188" t="inlineStr">
        <is>
          <t>NONE</t>
        </is>
      </c>
      <c r="AC580" s="188" t="n">
        <v>0</v>
      </c>
      <c r="AD580" s="188" t="inlineStr"/>
    </row>
    <row r="581">
      <c r="A581" s="189" t="inlineStr">
        <is>
          <t>CVE</t>
        </is>
      </c>
      <c r="B581" s="189" t="inlineStr">
        <is>
          <t>CVE-2025-68541</t>
        </is>
      </c>
      <c r="C581" s="189" t="inlineStr">
        <is>
          <t>Deserialization of Untrusted Data vulnerability in BoldThemes Ippsum ippsum allows Object Injection.This issue affects Ippsum: from n/a through &lt;= 1.2.0.</t>
        </is>
      </c>
      <c r="D581" s="189" t="n">
        <v>9.800000000000001</v>
      </c>
      <c r="E581" s="189" t="inlineStr">
        <is>
          <t>CRITICAL</t>
        </is>
      </c>
      <c r="F581" s="189" t="n">
        <v>2</v>
      </c>
      <c r="G581" s="189" t="n">
        <v>3</v>
      </c>
      <c r="H581" s="189" t="inlineStr">
        <is>
          <t>HIGH</t>
        </is>
      </c>
      <c r="I581" s="189" t="n">
        <v>15.8</v>
      </c>
      <c r="J581" s="189" t="inlineStr">
        <is>
          <t>NO</t>
        </is>
      </c>
      <c r="K581" s="189" t="inlineStr">
        <is>
          <t>https://nvd.nist.gov/vuln/detail/CVE-2025-68541</t>
        </is>
      </c>
      <c r="L581" s="189" t="inlineStr">
        <is>
          <t>2026-02-26 00:15</t>
        </is>
      </c>
      <c r="M581" s="189" t="inlineStr">
        <is>
          <t>CHECK_VENDOR</t>
        </is>
      </c>
      <c r="N581" s="189" t="inlineStr">
        <is>
          <t>See NVD references</t>
        </is>
      </c>
      <c r="O581" s="189" t="inlineStr">
        <is>
          <t>Apply vendor patches</t>
        </is>
      </c>
      <c r="P581" s="189" t="inlineStr">
        <is>
          <t>See CVE details</t>
        </is>
      </c>
      <c r="Q581" s="189" t="inlineStr">
        <is>
          <t>P3</t>
        </is>
      </c>
      <c r="R581" s="189" t="inlineStr">
        <is>
          <t>🚨 URGENT: Apply vendor patches immediately | 🔒 Isolate affected systems if patch unavailable | 🛡️ Enable additional monitoring/IDS rules</t>
        </is>
      </c>
      <c r="S581" s="189" t="inlineStr">
        <is>
          <t>CVE - IP enrichment n/a</t>
        </is>
      </c>
      <c r="T581" s="189" t="n">
        <v>0</v>
      </c>
      <c r="U581" s="189" t="n">
        <v>0</v>
      </c>
      <c r="V581" s="189" t="inlineStr">
        <is>
          <t>T1059:Command and Scripting Interpreter</t>
        </is>
      </c>
      <c r="W581" s="189" t="n">
        <v>1</v>
      </c>
      <c r="X581" s="189" t="inlineStr">
        <is>
          <t>LOW (40%)</t>
        </is>
      </c>
      <c r="Y581" s="189" t="inlineStr">
        <is>
          <t>UNLIKELY</t>
        </is>
      </c>
      <c r="Z581" s="189" t="inlineStr">
        <is>
          <t>CHECK_VENDOR</t>
        </is>
      </c>
      <c r="AA581" s="189" t="inlineStr">
        <is>
          <t>https://nvd.nist.gov/vuln/detail/CVE-2025-68541</t>
        </is>
      </c>
      <c r="AB581" s="189" t="inlineStr">
        <is>
          <t>NONE</t>
        </is>
      </c>
      <c r="AC581" s="189" t="n">
        <v>0</v>
      </c>
      <c r="AD581" s="189" t="inlineStr"/>
    </row>
    <row r="582">
      <c r="A582" s="187" t="inlineStr">
        <is>
          <t>CVE</t>
        </is>
      </c>
      <c r="B582" s="187" t="inlineStr">
        <is>
          <t>CVE-2025-68542</t>
        </is>
      </c>
      <c r="C582" s="187" t="inlineStr">
        <is>
          <t>Missing Authorization vulnerability in vgdevsolutions Checkout Gateway for IRIS checkout-gateway-iris allows Exploiting Incorrectly Configured Access Control Security Levels.This issue affects Checkout Gateway for IRIS: from n/a through &lt;= 1.3.</t>
        </is>
      </c>
      <c r="D582" s="187" t="n">
        <v>6.5</v>
      </c>
      <c r="E582" s="187" t="inlineStr">
        <is>
          <t>MEDIUM</t>
        </is>
      </c>
      <c r="F582" s="187" t="n">
        <v>2</v>
      </c>
      <c r="G582" s="187" t="n">
        <v>2</v>
      </c>
      <c r="H582" s="187" t="inlineStr">
        <is>
          <t>MEDIUM</t>
        </is>
      </c>
      <c r="I582" s="187" t="n">
        <v>10.5</v>
      </c>
      <c r="J582" s="187" t="inlineStr">
        <is>
          <t>NO</t>
        </is>
      </c>
      <c r="K582" s="187" t="inlineStr">
        <is>
          <t>https://nvd.nist.gov/vuln/detail/CVE-2025-68542</t>
        </is>
      </c>
      <c r="L582" s="187" t="inlineStr">
        <is>
          <t>2026-02-26 00:15</t>
        </is>
      </c>
      <c r="M582" s="187" t="inlineStr">
        <is>
          <t>CHECK_VENDOR</t>
        </is>
      </c>
      <c r="N582" s="187" t="inlineStr">
        <is>
          <t>See NVD references</t>
        </is>
      </c>
      <c r="O582" s="187" t="inlineStr">
        <is>
          <t>Apply vendor patches</t>
        </is>
      </c>
      <c r="P582" s="187" t="inlineStr">
        <is>
          <t>See CVE details</t>
        </is>
      </c>
      <c r="Q582" s="187" t="inlineStr">
        <is>
          <t>P4</t>
        </is>
      </c>
      <c r="R582" s="187" t="inlineStr">
        <is>
          <t>📅 Schedule patch deployment within 30 days | 🔍 Monitor for exploitation attempts</t>
        </is>
      </c>
      <c r="S582" s="187" t="inlineStr">
        <is>
          <t>CVE - IP enrichment n/a</t>
        </is>
      </c>
      <c r="T582" s="187" t="n">
        <v>0</v>
      </c>
      <c r="U582" s="187" t="n">
        <v>0</v>
      </c>
      <c r="V582" s="187" t="inlineStr">
        <is>
          <t>T1190:Exploit Public-Facing Application</t>
        </is>
      </c>
      <c r="W582" s="187" t="n">
        <v>1</v>
      </c>
      <c r="X582" s="187" t="inlineStr">
        <is>
          <t>LOW (40%)</t>
        </is>
      </c>
      <c r="Y582" s="187" t="inlineStr">
        <is>
          <t>UNLIKELY</t>
        </is>
      </c>
      <c r="Z582" s="187" t="inlineStr">
        <is>
          <t>CHECK_VENDOR</t>
        </is>
      </c>
      <c r="AA582" s="187" t="inlineStr">
        <is>
          <t>https://nvd.nist.gov/vuln/detail/CVE-2025-68542</t>
        </is>
      </c>
      <c r="AB582" s="187" t="inlineStr">
        <is>
          <t>NONE</t>
        </is>
      </c>
      <c r="AC582" s="187" t="n">
        <v>0</v>
      </c>
      <c r="AD582" s="187" t="inlineStr"/>
    </row>
    <row r="583">
      <c r="A583" s="188" t="inlineStr">
        <is>
          <t>CVE</t>
        </is>
      </c>
      <c r="B583" s="188" t="inlineStr">
        <is>
          <t>CVE-2025-68543</t>
        </is>
      </c>
      <c r="C583" s="188" t="inlineStr">
        <is>
          <t>Improper Control of Filename for Include/Require Statement in PHP Program ('PHP Remote File Inclusion') vulnerability in thembay Diza diza allows PHP Local File Inclusion.This issue affects Diza: from n/a through &lt;= 1.3.15.</t>
        </is>
      </c>
      <c r="D583" s="188" t="n">
        <v>8.1</v>
      </c>
      <c r="E583" s="188" t="inlineStr">
        <is>
          <t>HIGH</t>
        </is>
      </c>
      <c r="F583" s="188" t="n">
        <v>2</v>
      </c>
      <c r="G583" s="188" t="n">
        <v>3</v>
      </c>
      <c r="H583" s="188" t="inlineStr">
        <is>
          <t>HIGH</t>
        </is>
      </c>
      <c r="I583" s="188" t="n">
        <v>14.1</v>
      </c>
      <c r="J583" s="188" t="inlineStr">
        <is>
          <t>NO</t>
        </is>
      </c>
      <c r="K583" s="188" t="inlineStr">
        <is>
          <t>https://nvd.nist.gov/vuln/detail/CVE-2025-68543</t>
        </is>
      </c>
      <c r="L583" s="188" t="inlineStr">
        <is>
          <t>2026-02-26 00:15</t>
        </is>
      </c>
      <c r="M583" s="188" t="inlineStr">
        <is>
          <t>CHECK_VENDOR</t>
        </is>
      </c>
      <c r="N583" s="188" t="inlineStr">
        <is>
          <t>See NVD references</t>
        </is>
      </c>
      <c r="O583" s="188" t="inlineStr">
        <is>
          <t>Apply vendor patches</t>
        </is>
      </c>
      <c r="P583" s="188" t="inlineStr">
        <is>
          <t>See CVE details</t>
        </is>
      </c>
      <c r="Q583" s="188" t="inlineStr">
        <is>
          <t>P3</t>
        </is>
      </c>
      <c r="R583" s="188" t="inlineStr">
        <is>
          <t>🚨 URGENT: Apply vendor patches immediately | 🔒 Isolate affected systems if patch unavailable | 🛡️ Enable additional monitoring/IDS rules</t>
        </is>
      </c>
      <c r="S583" s="188" t="inlineStr">
        <is>
          <t>CVE - IP enrichment n/a</t>
        </is>
      </c>
      <c r="T583" s="188" t="n">
        <v>0.0011</v>
      </c>
      <c r="U583" s="188" t="n">
        <v>0.3022</v>
      </c>
      <c r="V583" s="188" t="inlineStr">
        <is>
          <t>T1190:Exploit Public-Facing Application</t>
        </is>
      </c>
      <c r="W583" s="188" t="n">
        <v>1</v>
      </c>
      <c r="X583" s="188" t="inlineStr">
        <is>
          <t>LOW (40%)</t>
        </is>
      </c>
      <c r="Y583" s="188" t="inlineStr">
        <is>
          <t>UNLIKELY</t>
        </is>
      </c>
      <c r="Z583" s="188" t="inlineStr">
        <is>
          <t>CHECK_VENDOR</t>
        </is>
      </c>
      <c r="AA583" s="188" t="inlineStr">
        <is>
          <t>https://nvd.nist.gov/vuln/detail/CVE-2025-68543</t>
        </is>
      </c>
      <c r="AB583" s="188" t="inlineStr">
        <is>
          <t>NONE</t>
        </is>
      </c>
      <c r="AC583" s="188" t="n">
        <v>0</v>
      </c>
      <c r="AD583" s="188" t="inlineStr"/>
    </row>
    <row r="584">
      <c r="A584" s="187" t="inlineStr">
        <is>
          <t>CVE</t>
        </is>
      </c>
      <c r="B584" s="187" t="inlineStr">
        <is>
          <t>CVE-2025-68545</t>
        </is>
      </c>
      <c r="C584" s="187" t="inlineStr">
        <is>
          <t>Improper Control of Filename for Include/Require Statement in PHP Program ('PHP Remote File Inclusion') vulnerability in thembay Nika nika allows PHP Local File Inclusion.This issue affects Nika: from n/a through &lt;= 1.2.14.</t>
        </is>
      </c>
      <c r="D584" s="187" t="n">
        <v>5</v>
      </c>
      <c r="E584" s="187" t="inlineStr">
        <is>
          <t>MEDIUM</t>
        </is>
      </c>
      <c r="F584" s="187" t="n">
        <v>2</v>
      </c>
      <c r="G584" s="187" t="n">
        <v>2</v>
      </c>
      <c r="H584" s="187" t="inlineStr">
        <is>
          <t>MEDIUM</t>
        </is>
      </c>
      <c r="I584" s="187" t="n">
        <v>9</v>
      </c>
      <c r="J584" s="187" t="inlineStr">
        <is>
          <t>NO</t>
        </is>
      </c>
      <c r="K584" s="187" t="inlineStr">
        <is>
          <t>https://nvd.nist.gov/vuln/detail/CVE-2025-68545</t>
        </is>
      </c>
      <c r="L584" s="187" t="inlineStr">
        <is>
          <t>2026-02-26 00:15</t>
        </is>
      </c>
      <c r="M584" s="187" t="inlineStr">
        <is>
          <t>CHECK_VENDOR</t>
        </is>
      </c>
      <c r="N584" s="187" t="inlineStr">
        <is>
          <t>See NVD references</t>
        </is>
      </c>
      <c r="O584" s="187" t="inlineStr">
        <is>
          <t>Apply vendor patches</t>
        </is>
      </c>
      <c r="P584" s="187" t="inlineStr">
        <is>
          <t>See CVE details</t>
        </is>
      </c>
      <c r="Q584" s="187" t="inlineStr">
        <is>
          <t>P4</t>
        </is>
      </c>
      <c r="R584" s="187" t="inlineStr">
        <is>
          <t>📅 Schedule patch deployment within 30 days | 🔍 Monitor for exploitation attempts</t>
        </is>
      </c>
      <c r="S584" s="187" t="inlineStr">
        <is>
          <t>CVE - IP enrichment n/a</t>
        </is>
      </c>
      <c r="T584" s="187" t="n">
        <v>0</v>
      </c>
      <c r="U584" s="187" t="n">
        <v>0</v>
      </c>
      <c r="V584" s="187" t="inlineStr">
        <is>
          <t>T1190:Exploit Public-Facing Application</t>
        </is>
      </c>
      <c r="W584" s="187" t="n">
        <v>1</v>
      </c>
      <c r="X584" s="187" t="inlineStr">
        <is>
          <t>LOW (40%)</t>
        </is>
      </c>
      <c r="Y584" s="187" t="inlineStr">
        <is>
          <t>UNLIKELY</t>
        </is>
      </c>
      <c r="Z584" s="187" t="inlineStr">
        <is>
          <t>CHECK_VENDOR</t>
        </is>
      </c>
      <c r="AA584" s="187" t="inlineStr">
        <is>
          <t>https://nvd.nist.gov/vuln/detail/CVE-2025-68545</t>
        </is>
      </c>
      <c r="AB584" s="187" t="inlineStr">
        <is>
          <t>NONE</t>
        </is>
      </c>
      <c r="AC584" s="187" t="n">
        <v>0</v>
      </c>
      <c r="AD584" s="187" t="inlineStr"/>
    </row>
    <row r="585">
      <c r="A585" s="189" t="inlineStr">
        <is>
          <t>CVE</t>
        </is>
      </c>
      <c r="B585" s="189" t="inlineStr">
        <is>
          <t>CVE-2025-68549</t>
        </is>
      </c>
      <c r="C585" s="189" t="inlineStr">
        <is>
          <t>Unrestricted Upload of File with Dangerous Type vulnerability in zozothemes Wiguard wiguard allows Upload a Web Shell to a Web Server.This issue affects Wiguard: from n/a through &lt; 2.0.1.</t>
        </is>
      </c>
      <c r="D585" s="189" t="n">
        <v>9.9</v>
      </c>
      <c r="E585" s="189" t="inlineStr">
        <is>
          <t>CRITICAL</t>
        </is>
      </c>
      <c r="F585" s="189" t="n">
        <v>2</v>
      </c>
      <c r="G585" s="189" t="n">
        <v>3</v>
      </c>
      <c r="H585" s="189" t="inlineStr">
        <is>
          <t>HIGH</t>
        </is>
      </c>
      <c r="I585" s="189" t="n">
        <v>15.9</v>
      </c>
      <c r="J585" s="189" t="inlineStr">
        <is>
          <t>NO</t>
        </is>
      </c>
      <c r="K585" s="189" t="inlineStr">
        <is>
          <t>https://nvd.nist.gov/vuln/detail/CVE-2025-68549</t>
        </is>
      </c>
      <c r="L585" s="189" t="inlineStr">
        <is>
          <t>2026-02-26 00:15</t>
        </is>
      </c>
      <c r="M585" s="189" t="inlineStr">
        <is>
          <t>CHECK_VENDOR</t>
        </is>
      </c>
      <c r="N585" s="189" t="inlineStr">
        <is>
          <t>See NVD references</t>
        </is>
      </c>
      <c r="O585" s="189" t="inlineStr">
        <is>
          <t>Apply vendor patches</t>
        </is>
      </c>
      <c r="P585" s="189" t="inlineStr">
        <is>
          <t>See CVE details</t>
        </is>
      </c>
      <c r="Q585" s="189" t="inlineStr">
        <is>
          <t>P3</t>
        </is>
      </c>
      <c r="R585" s="189" t="inlineStr">
        <is>
          <t>🚨 URGENT: Apply vendor patches immediately | 🔒 Isolate affected systems if patch unavailable | 🛡️ Enable additional monitoring/IDS rules</t>
        </is>
      </c>
      <c r="S585" s="189" t="inlineStr">
        <is>
          <t>CVE - IP enrichment n/a</t>
        </is>
      </c>
      <c r="T585" s="189" t="n">
        <v>0.0002</v>
      </c>
      <c r="U585" s="189" t="n">
        <v>0.0446</v>
      </c>
      <c r="V585" s="189" t="inlineStr">
        <is>
          <t>T1190:Exploit Public-Facing Application</t>
        </is>
      </c>
      <c r="W585" s="189" t="n">
        <v>1</v>
      </c>
      <c r="X585" s="189" t="inlineStr">
        <is>
          <t>LOW (40%)</t>
        </is>
      </c>
      <c r="Y585" s="189" t="inlineStr">
        <is>
          <t>UNLIKELY</t>
        </is>
      </c>
      <c r="Z585" s="189" t="inlineStr">
        <is>
          <t>CHECK_VENDOR</t>
        </is>
      </c>
      <c r="AA585" s="189" t="inlineStr">
        <is>
          <t>https://nvd.nist.gov/vuln/detail/CVE-2025-68549</t>
        </is>
      </c>
      <c r="AB585" s="189" t="inlineStr">
        <is>
          <t>NONE</t>
        </is>
      </c>
      <c r="AC585" s="189" t="n">
        <v>0</v>
      </c>
      <c r="AD585" s="189" t="inlineStr"/>
    </row>
    <row r="586">
      <c r="A586" s="188" t="inlineStr">
        <is>
          <t>CVE</t>
        </is>
      </c>
      <c r="B586" s="188" t="inlineStr">
        <is>
          <t>CVE-2025-68552</t>
        </is>
      </c>
      <c r="C586" s="188" t="inlineStr">
        <is>
          <t>Improper Control of Filename for Include/Require Statement in PHP Program ('PHP Remote File Inclusion') vulnerability in WebCodingPlace WooCommerce Coming Soon Product with Countdown woo-coming-soon-product allows PHP Local File Inclusion.This issue affects WooCommerce Coming Soon Product with Countdown: from n/a through &lt;= 5.0.</t>
        </is>
      </c>
      <c r="D586" s="188" t="n">
        <v>8.5</v>
      </c>
      <c r="E586" s="188" t="inlineStr">
        <is>
          <t>HIGH</t>
        </is>
      </c>
      <c r="F586" s="188" t="n">
        <v>2</v>
      </c>
      <c r="G586" s="188" t="n">
        <v>3</v>
      </c>
      <c r="H586" s="188" t="inlineStr">
        <is>
          <t>HIGH</t>
        </is>
      </c>
      <c r="I586" s="188" t="n">
        <v>14.5</v>
      </c>
      <c r="J586" s="188" t="inlineStr">
        <is>
          <t>NO</t>
        </is>
      </c>
      <c r="K586" s="188" t="inlineStr">
        <is>
          <t>https://nvd.nist.gov/vuln/detail/CVE-2025-68552</t>
        </is>
      </c>
      <c r="L586" s="188" t="inlineStr">
        <is>
          <t>2026-02-26 00:15</t>
        </is>
      </c>
      <c r="M586" s="188" t="inlineStr">
        <is>
          <t>CHECK_VENDOR</t>
        </is>
      </c>
      <c r="N586" s="188" t="inlineStr">
        <is>
          <t>See NVD references</t>
        </is>
      </c>
      <c r="O586" s="188" t="inlineStr">
        <is>
          <t>Apply vendor patches</t>
        </is>
      </c>
      <c r="P586" s="188" t="inlineStr">
        <is>
          <t>See CVE details</t>
        </is>
      </c>
      <c r="Q586" s="188" t="inlineStr">
        <is>
          <t>P3</t>
        </is>
      </c>
      <c r="R586" s="188" t="inlineStr">
        <is>
          <t>🚨 URGENT: Apply vendor patches immediately | 🔒 Isolate affected systems if patch unavailable | 🛡️ Enable additional monitoring/IDS rules</t>
        </is>
      </c>
      <c r="S586" s="188" t="inlineStr">
        <is>
          <t>CVE - IP enrichment n/a</t>
        </is>
      </c>
      <c r="T586" s="188" t="n">
        <v>0</v>
      </c>
      <c r="U586" s="188" t="n">
        <v>0</v>
      </c>
      <c r="V586" s="188" t="inlineStr">
        <is>
          <t>T1190:Exploit Public-Facing Application</t>
        </is>
      </c>
      <c r="W586" s="188" t="n">
        <v>1</v>
      </c>
      <c r="X586" s="188" t="inlineStr">
        <is>
          <t>LOW (40%)</t>
        </is>
      </c>
      <c r="Y586" s="188" t="inlineStr">
        <is>
          <t>UNLIKELY</t>
        </is>
      </c>
      <c r="Z586" s="188" t="inlineStr">
        <is>
          <t>CHECK_VENDOR</t>
        </is>
      </c>
      <c r="AA586" s="188" t="inlineStr">
        <is>
          <t>https://nvd.nist.gov/vuln/detail/CVE-2025-68552</t>
        </is>
      </c>
      <c r="AB586" s="188" t="inlineStr">
        <is>
          <t>NONE</t>
        </is>
      </c>
      <c r="AC586" s="188" t="n">
        <v>0</v>
      </c>
      <c r="AD586" s="188" t="inlineStr"/>
    </row>
    <row r="587">
      <c r="A587" s="187" t="inlineStr">
        <is>
          <t>CVE</t>
        </is>
      </c>
      <c r="B587" s="187" t="inlineStr">
        <is>
          <t>CVE-2025-68564</t>
        </is>
      </c>
      <c r="C587" s="187" t="inlineStr">
        <is>
          <t>Missing Authorization vulnerability in sendy Sendy sendy allows Exploiting Incorrectly Configured Access Control Security Levels.This issue affects Sendy: from n/a through &lt;= 3.4.2.</t>
        </is>
      </c>
      <c r="D587" s="187" t="n">
        <v>6.5</v>
      </c>
      <c r="E587" s="187" t="inlineStr">
        <is>
          <t>MEDIUM</t>
        </is>
      </c>
      <c r="F587" s="187" t="n">
        <v>2</v>
      </c>
      <c r="G587" s="187" t="n">
        <v>2</v>
      </c>
      <c r="H587" s="187" t="inlineStr">
        <is>
          <t>MEDIUM</t>
        </is>
      </c>
      <c r="I587" s="187" t="n">
        <v>10.5</v>
      </c>
      <c r="J587" s="187" t="inlineStr">
        <is>
          <t>NO</t>
        </is>
      </c>
      <c r="K587" s="187" t="inlineStr">
        <is>
          <t>https://nvd.nist.gov/vuln/detail/CVE-2025-68564</t>
        </is>
      </c>
      <c r="L587" s="187" t="inlineStr">
        <is>
          <t>2026-02-26 00:15</t>
        </is>
      </c>
      <c r="M587" s="187" t="inlineStr">
        <is>
          <t>CHECK_VENDOR</t>
        </is>
      </c>
      <c r="N587" s="187" t="inlineStr">
        <is>
          <t>See NVD references</t>
        </is>
      </c>
      <c r="O587" s="187" t="inlineStr">
        <is>
          <t>Apply vendor patches</t>
        </is>
      </c>
      <c r="P587" s="187" t="inlineStr">
        <is>
          <t>See CVE details</t>
        </is>
      </c>
      <c r="Q587" s="187" t="inlineStr">
        <is>
          <t>P4</t>
        </is>
      </c>
      <c r="R587" s="187" t="inlineStr">
        <is>
          <t>📅 Schedule patch deployment within 30 days | 🔍 Monitor for exploitation attempts</t>
        </is>
      </c>
      <c r="S587" s="187" t="inlineStr">
        <is>
          <t>CVE - IP enrichment n/a</t>
        </is>
      </c>
      <c r="T587" s="187" t="n">
        <v>0</v>
      </c>
      <c r="U587" s="187" t="n">
        <v>0</v>
      </c>
      <c r="V587" s="187" t="inlineStr">
        <is>
          <t>T1190:Exploit Public-Facing Application</t>
        </is>
      </c>
      <c r="W587" s="187" t="n">
        <v>1</v>
      </c>
      <c r="X587" s="187" t="inlineStr">
        <is>
          <t>LOW (40%)</t>
        </is>
      </c>
      <c r="Y587" s="187" t="inlineStr">
        <is>
          <t>UNLIKELY</t>
        </is>
      </c>
      <c r="Z587" s="187" t="inlineStr">
        <is>
          <t>CHECK_VENDOR</t>
        </is>
      </c>
      <c r="AA587" s="187" t="inlineStr">
        <is>
          <t>https://nvd.nist.gov/vuln/detail/CVE-2025-68564</t>
        </is>
      </c>
      <c r="AB587" s="187" t="inlineStr">
        <is>
          <t>NONE</t>
        </is>
      </c>
      <c r="AC587" s="187" t="n">
        <v>0</v>
      </c>
      <c r="AD587" s="187" t="inlineStr"/>
    </row>
    <row r="588">
      <c r="A588" s="188" t="inlineStr">
        <is>
          <t>CVE</t>
        </is>
      </c>
      <c r="B588" s="188" t="inlineStr">
        <is>
          <t>CVE-2025-68834</t>
        </is>
      </c>
      <c r="C588" s="188" t="inlineStr">
        <is>
          <t>Missing Authorization vulnerability in Saiful Islam Sync Master Sheet &amp;#8211; Product Sync with Google Sheet for WooCommerce product-sync-master-sheet allows Exploiting Incorrectly Configured Access Control Security Levels.This issue affects Sync Master Sheet &amp;#8211; Product Sync with Google Sheet for WooCommerce: from n/a through &lt;= 1.1.3.</t>
        </is>
      </c>
      <c r="D588" s="188" t="n">
        <v>8.5</v>
      </c>
      <c r="E588" s="188" t="inlineStr">
        <is>
          <t>HIGH</t>
        </is>
      </c>
      <c r="F588" s="188" t="n">
        <v>2</v>
      </c>
      <c r="G588" s="188" t="n">
        <v>3</v>
      </c>
      <c r="H588" s="188" t="inlineStr">
        <is>
          <t>HIGH</t>
        </is>
      </c>
      <c r="I588" s="188" t="n">
        <v>14.5</v>
      </c>
      <c r="J588" s="188" t="inlineStr">
        <is>
          <t>NO</t>
        </is>
      </c>
      <c r="K588" s="188" t="inlineStr">
        <is>
          <t>https://nvd.nist.gov/vuln/detail/CVE-2025-68834</t>
        </is>
      </c>
      <c r="L588" s="188" t="inlineStr">
        <is>
          <t>2026-02-26 00:15</t>
        </is>
      </c>
      <c r="M588" s="188" t="inlineStr">
        <is>
          <t>CHECK_VENDOR</t>
        </is>
      </c>
      <c r="N588" s="188" t="inlineStr">
        <is>
          <t>See NVD references</t>
        </is>
      </c>
      <c r="O588" s="188" t="inlineStr">
        <is>
          <t>Apply vendor patches</t>
        </is>
      </c>
      <c r="P588" s="188" t="inlineStr">
        <is>
          <t>See CVE details</t>
        </is>
      </c>
      <c r="Q588" s="188" t="inlineStr">
        <is>
          <t>P3</t>
        </is>
      </c>
      <c r="R588" s="188" t="inlineStr">
        <is>
          <t>🚨 URGENT: Apply vendor patches immediately | 🔒 Isolate affected systems if patch unavailable | 🛡️ Enable additional monitoring/IDS rules</t>
        </is>
      </c>
      <c r="S588" s="188" t="inlineStr">
        <is>
          <t>CVE - IP enrichment n/a</t>
        </is>
      </c>
      <c r="T588" s="188" t="n">
        <v>0</v>
      </c>
      <c r="U588" s="188" t="n">
        <v>0</v>
      </c>
      <c r="V588" s="188" t="inlineStr">
        <is>
          <t>T1190:Exploit Public-Facing Application</t>
        </is>
      </c>
      <c r="W588" s="188" t="n">
        <v>1</v>
      </c>
      <c r="X588" s="188" t="inlineStr">
        <is>
          <t>LOW (40%)</t>
        </is>
      </c>
      <c r="Y588" s="188" t="inlineStr">
        <is>
          <t>UNLIKELY</t>
        </is>
      </c>
      <c r="Z588" s="188" t="inlineStr">
        <is>
          <t>CHECK_VENDOR</t>
        </is>
      </c>
      <c r="AA588" s="188" t="inlineStr">
        <is>
          <t>https://nvd.nist.gov/vuln/detail/CVE-2025-68834</t>
        </is>
      </c>
      <c r="AB588" s="188" t="inlineStr">
        <is>
          <t>NONE</t>
        </is>
      </c>
      <c r="AC588" s="188" t="n">
        <v>0</v>
      </c>
      <c r="AD588" s="188" t="inlineStr"/>
    </row>
    <row r="589">
      <c r="A589" s="187" t="inlineStr">
        <is>
          <t>CVE</t>
        </is>
      </c>
      <c r="B589" s="187" t="inlineStr">
        <is>
          <t>CVE-2025-68837</t>
        </is>
      </c>
      <c r="C589" s="187" t="inlineStr">
        <is>
          <t>Missing Authorization vulnerability in ELEXtensions ELEX WordPress HelpDesk &amp; Customer Ticketing System elex-helpdesk-customer-support-ticket-system allows Exploiting Incorrectly Configured Access Control Security Levels.This issue affects ELEX WordPress HelpDesk &amp; Customer Ticketing System: from n/a through &lt;= 3.3.5.</t>
        </is>
      </c>
      <c r="D589" s="187" t="n">
        <v>6.5</v>
      </c>
      <c r="E589" s="187" t="inlineStr">
        <is>
          <t>MEDIUM</t>
        </is>
      </c>
      <c r="F589" s="187" t="n">
        <v>2</v>
      </c>
      <c r="G589" s="187" t="n">
        <v>2</v>
      </c>
      <c r="H589" s="187" t="inlineStr">
        <is>
          <t>MEDIUM</t>
        </is>
      </c>
      <c r="I589" s="187" t="n">
        <v>10.5</v>
      </c>
      <c r="J589" s="187" t="inlineStr">
        <is>
          <t>NO</t>
        </is>
      </c>
      <c r="K589" s="187" t="inlineStr">
        <is>
          <t>https://nvd.nist.gov/vuln/detail/CVE-2025-68837</t>
        </is>
      </c>
      <c r="L589" s="187" t="inlineStr">
        <is>
          <t>2026-02-26 00:15</t>
        </is>
      </c>
      <c r="M589" s="187" t="inlineStr">
        <is>
          <t>CHECK_VENDOR</t>
        </is>
      </c>
      <c r="N589" s="187" t="inlineStr">
        <is>
          <t>See NVD references</t>
        </is>
      </c>
      <c r="O589" s="187" t="inlineStr">
        <is>
          <t>Apply vendor patches</t>
        </is>
      </c>
      <c r="P589" s="187" t="inlineStr">
        <is>
          <t>See CVE details</t>
        </is>
      </c>
      <c r="Q589" s="187" t="inlineStr">
        <is>
          <t>P4</t>
        </is>
      </c>
      <c r="R589" s="187" t="inlineStr">
        <is>
          <t>📅 Schedule patch deployment within 30 days | 🔍 Monitor for exploitation attempts</t>
        </is>
      </c>
      <c r="S589" s="187" t="inlineStr">
        <is>
          <t>CVE - IP enrichment n/a</t>
        </is>
      </c>
      <c r="T589" s="187" t="n">
        <v>0</v>
      </c>
      <c r="U589" s="187" t="n">
        <v>0</v>
      </c>
      <c r="V589" s="187" t="inlineStr">
        <is>
          <t>T1190:Exploit Public-Facing Application</t>
        </is>
      </c>
      <c r="W589" s="187" t="n">
        <v>1</v>
      </c>
      <c r="X589" s="187" t="inlineStr">
        <is>
          <t>LOW (40%)</t>
        </is>
      </c>
      <c r="Y589" s="187" t="inlineStr">
        <is>
          <t>UNLIKELY</t>
        </is>
      </c>
      <c r="Z589" s="187" t="inlineStr">
        <is>
          <t>CHECK_VENDOR</t>
        </is>
      </c>
      <c r="AA589" s="187" t="inlineStr">
        <is>
          <t>https://nvd.nist.gov/vuln/detail/CVE-2025-68837</t>
        </is>
      </c>
      <c r="AB589" s="187" t="inlineStr">
        <is>
          <t>NONE</t>
        </is>
      </c>
      <c r="AC589" s="187" t="n">
        <v>0</v>
      </c>
      <c r="AD589" s="187" t="inlineStr"/>
    </row>
    <row r="590">
      <c r="A590" s="188" t="inlineStr">
        <is>
          <t>CVE</t>
        </is>
      </c>
      <c r="B590" s="188" t="inlineStr">
        <is>
          <t>CVE-2025-68841</t>
        </is>
      </c>
      <c r="C590" s="188" t="inlineStr">
        <is>
          <t>Improper Control of Filename for Include/Require Statement in PHP Program ('PHP Remote File Inclusion') vulnerability in Themepul TopperPack – Complete Elementor Addons, Theme &amp; CPT Builder topper-pack allows PHP Local File Inclusion.This issue affects TopperPack – Complete Elementor Addons, Theme &amp; CPT Builder: from n/a through &lt;= 1.2.1.</t>
        </is>
      </c>
      <c r="D590" s="188" t="n">
        <v>7.5</v>
      </c>
      <c r="E590" s="188" t="inlineStr">
        <is>
          <t>HIGH</t>
        </is>
      </c>
      <c r="F590" s="188" t="n">
        <v>2</v>
      </c>
      <c r="G590" s="188" t="n">
        <v>3</v>
      </c>
      <c r="H590" s="188" t="inlineStr">
        <is>
          <t>HIGH</t>
        </is>
      </c>
      <c r="I590" s="188" t="n">
        <v>13.5</v>
      </c>
      <c r="J590" s="188" t="inlineStr">
        <is>
          <t>NO</t>
        </is>
      </c>
      <c r="K590" s="188" t="inlineStr">
        <is>
          <t>https://nvd.nist.gov/vuln/detail/CVE-2025-68841</t>
        </is>
      </c>
      <c r="L590" s="188" t="inlineStr">
        <is>
          <t>2026-02-26 00:15</t>
        </is>
      </c>
      <c r="M590" s="188" t="inlineStr">
        <is>
          <t>CHECK_VENDOR</t>
        </is>
      </c>
      <c r="N590" s="188" t="inlineStr">
        <is>
          <t>See NVD references</t>
        </is>
      </c>
      <c r="O590" s="188" t="inlineStr">
        <is>
          <t>Apply vendor patches</t>
        </is>
      </c>
      <c r="P590" s="188" t="inlineStr">
        <is>
          <t>See CVE details</t>
        </is>
      </c>
      <c r="Q590" s="188" t="inlineStr">
        <is>
          <t>P3</t>
        </is>
      </c>
      <c r="R590" s="188" t="inlineStr">
        <is>
          <t>🚨 URGENT: Apply vendor patches immediately | 🔒 Isolate affected systems if patch unavailable | 🛡️ Enable additional monitoring/IDS rules</t>
        </is>
      </c>
      <c r="S590" s="188" t="inlineStr">
        <is>
          <t>CVE - IP enrichment n/a</t>
        </is>
      </c>
      <c r="T590" s="188" t="n">
        <v>0</v>
      </c>
      <c r="U590" s="188" t="n">
        <v>0</v>
      </c>
      <c r="V590" s="188" t="inlineStr">
        <is>
          <t>T1190:Exploit Public-Facing Application</t>
        </is>
      </c>
      <c r="W590" s="188" t="n">
        <v>1</v>
      </c>
      <c r="X590" s="188" t="inlineStr">
        <is>
          <t>LOW (40%)</t>
        </is>
      </c>
      <c r="Y590" s="188" t="inlineStr">
        <is>
          <t>UNLIKELY</t>
        </is>
      </c>
      <c r="Z590" s="188" t="inlineStr">
        <is>
          <t>CHECK_VENDOR</t>
        </is>
      </c>
      <c r="AA590" s="188" t="inlineStr">
        <is>
          <t>https://nvd.nist.gov/vuln/detail/CVE-2025-68841</t>
        </is>
      </c>
      <c r="AB590" s="188" t="inlineStr">
        <is>
          <t>NONE</t>
        </is>
      </c>
      <c r="AC590" s="188" t="n">
        <v>0</v>
      </c>
      <c r="AD590" s="188" t="inlineStr"/>
    </row>
    <row r="591">
      <c r="A591" s="188" t="inlineStr">
        <is>
          <t>CVE</t>
        </is>
      </c>
      <c r="B591" s="188" t="inlineStr">
        <is>
          <t>CVE-2025-68842</t>
        </is>
      </c>
      <c r="C591" s="188" t="inlineStr">
        <is>
          <t>Improper Neutralization of Input During Web Page Generation ('Cross-site Scripting') vulnerability in totalbounty Widget Logic Visual widget-logic-visual allows Reflected XSS.This issue affects Widget Logic Visual: from n/a through &lt;= 1.52.</t>
        </is>
      </c>
      <c r="D591" s="188" t="n">
        <v>7.1</v>
      </c>
      <c r="E591" s="188" t="inlineStr">
        <is>
          <t>HIGH</t>
        </is>
      </c>
      <c r="F591" s="188" t="n">
        <v>2</v>
      </c>
      <c r="G591" s="188" t="n">
        <v>3</v>
      </c>
      <c r="H591" s="188" t="inlineStr">
        <is>
          <t>HIGH</t>
        </is>
      </c>
      <c r="I591" s="188" t="n">
        <v>13.1</v>
      </c>
      <c r="J591" s="188" t="inlineStr">
        <is>
          <t>NO</t>
        </is>
      </c>
      <c r="K591" s="188" t="inlineStr">
        <is>
          <t>https://nvd.nist.gov/vuln/detail/CVE-2025-68842</t>
        </is>
      </c>
      <c r="L591" s="188" t="inlineStr">
        <is>
          <t>2026-02-26 00:15</t>
        </is>
      </c>
      <c r="M591" s="188" t="inlineStr">
        <is>
          <t>CHECK_VENDOR</t>
        </is>
      </c>
      <c r="N591" s="188" t="inlineStr">
        <is>
          <t>See NVD references</t>
        </is>
      </c>
      <c r="O591" s="188" t="inlineStr">
        <is>
          <t>Apply vendor patches</t>
        </is>
      </c>
      <c r="P591" s="188" t="inlineStr">
        <is>
          <t>See CVE details</t>
        </is>
      </c>
      <c r="Q591" s="188" t="inlineStr">
        <is>
          <t>P3</t>
        </is>
      </c>
      <c r="R591" s="188" t="inlineStr">
        <is>
          <t>🚨 URGENT: Apply vendor patches immediately | 🔒 Isolate affected systems if patch unavailable | 🛡️ Enable additional monitoring/IDS rules</t>
        </is>
      </c>
      <c r="S591" s="188" t="inlineStr">
        <is>
          <t>CVE - IP enrichment n/a</t>
        </is>
      </c>
      <c r="T591" s="188" t="n">
        <v>0</v>
      </c>
      <c r="U591" s="188" t="n">
        <v>0</v>
      </c>
      <c r="V591" s="188" t="inlineStr">
        <is>
          <t>T1189:Drive-by Compromise</t>
        </is>
      </c>
      <c r="W591" s="188" t="n">
        <v>1</v>
      </c>
      <c r="X591" s="188" t="inlineStr">
        <is>
          <t>LOW (40%)</t>
        </is>
      </c>
      <c r="Y591" s="188" t="inlineStr">
        <is>
          <t>UNLIKELY</t>
        </is>
      </c>
      <c r="Z591" s="188" t="inlineStr">
        <is>
          <t>CHECK_VENDOR</t>
        </is>
      </c>
      <c r="AA591" s="188" t="inlineStr">
        <is>
          <t>https://nvd.nist.gov/vuln/detail/CVE-2025-68842</t>
        </is>
      </c>
      <c r="AB591" s="188" t="inlineStr">
        <is>
          <t>NONE</t>
        </is>
      </c>
      <c r="AC591" s="188" t="n">
        <v>0</v>
      </c>
      <c r="AD591" s="188" t="inlineStr"/>
    </row>
    <row r="592">
      <c r="A592" s="188" t="inlineStr">
        <is>
          <t>CVE</t>
        </is>
      </c>
      <c r="B592" s="188" t="inlineStr">
        <is>
          <t>CVE-2025-68843</t>
        </is>
      </c>
      <c r="C592" s="188" t="inlineStr">
        <is>
          <t>Improper Neutralization of Input During Web Page Generation ('Cross-site Scripting') vulnerability in Bas Schuiling FeedWordPress Advanced Filters faf allows Reflected XSS.This issue affects FeedWordPress Advanced Filters: from n/a through &lt;= 0.6.2.</t>
        </is>
      </c>
      <c r="D592" s="188" t="n">
        <v>7.1</v>
      </c>
      <c r="E592" s="188" t="inlineStr">
        <is>
          <t>HIGH</t>
        </is>
      </c>
      <c r="F592" s="188" t="n">
        <v>2</v>
      </c>
      <c r="G592" s="188" t="n">
        <v>3</v>
      </c>
      <c r="H592" s="188" t="inlineStr">
        <is>
          <t>HIGH</t>
        </is>
      </c>
      <c r="I592" s="188" t="n">
        <v>13.1</v>
      </c>
      <c r="J592" s="188" t="inlineStr">
        <is>
          <t>NO</t>
        </is>
      </c>
      <c r="K592" s="188" t="inlineStr">
        <is>
          <t>https://nvd.nist.gov/vuln/detail/CVE-2025-68843</t>
        </is>
      </c>
      <c r="L592" s="188" t="inlineStr">
        <is>
          <t>2026-02-26 00:15</t>
        </is>
      </c>
      <c r="M592" s="188" t="inlineStr">
        <is>
          <t>CHECK_VENDOR</t>
        </is>
      </c>
      <c r="N592" s="188" t="inlineStr">
        <is>
          <t>See NVD references</t>
        </is>
      </c>
      <c r="O592" s="188" t="inlineStr">
        <is>
          <t>Apply vendor patches</t>
        </is>
      </c>
      <c r="P592" s="188" t="inlineStr">
        <is>
          <t>See CVE details</t>
        </is>
      </c>
      <c r="Q592" s="188" t="inlineStr">
        <is>
          <t>P3</t>
        </is>
      </c>
      <c r="R592" s="188" t="inlineStr">
        <is>
          <t>🚨 URGENT: Apply vendor patches immediately | 🔒 Isolate affected systems if patch unavailable | 🛡️ Enable additional monitoring/IDS rules</t>
        </is>
      </c>
      <c r="S592" s="188" t="inlineStr">
        <is>
          <t>CVE - IP enrichment n/a</t>
        </is>
      </c>
      <c r="T592" s="188" t="n">
        <v>0</v>
      </c>
      <c r="U592" s="188" t="n">
        <v>0</v>
      </c>
      <c r="V592" s="188" t="inlineStr">
        <is>
          <t>T1189:Drive-by Compromise</t>
        </is>
      </c>
      <c r="W592" s="188" t="n">
        <v>1</v>
      </c>
      <c r="X592" s="188" t="inlineStr">
        <is>
          <t>LOW (40%)</t>
        </is>
      </c>
      <c r="Y592" s="188" t="inlineStr">
        <is>
          <t>UNLIKELY</t>
        </is>
      </c>
      <c r="Z592" s="188" t="inlineStr">
        <is>
          <t>CHECK_VENDOR</t>
        </is>
      </c>
      <c r="AA592" s="188" t="inlineStr">
        <is>
          <t>https://nvd.nist.gov/vuln/detail/CVE-2025-68843</t>
        </is>
      </c>
      <c r="AB592" s="188" t="inlineStr">
        <is>
          <t>NONE</t>
        </is>
      </c>
      <c r="AC592" s="188" t="n">
        <v>0</v>
      </c>
      <c r="AD592" s="188" t="inlineStr"/>
    </row>
    <row r="593">
      <c r="A593" s="188" t="inlineStr">
        <is>
          <t>CVE</t>
        </is>
      </c>
      <c r="B593" s="188" t="inlineStr">
        <is>
          <t>CVE-2025-68844</t>
        </is>
      </c>
      <c r="C593" s="188" t="inlineStr">
        <is>
          <t>Improper Neutralization of Input During Web Page Generation ('Cross-site Scripting') vulnerability in DaleAB Membee Login membees-member-login-widget allows Reflected XSS.This issue affects Membee Login: from n/a through &lt;= 2.3.6.</t>
        </is>
      </c>
      <c r="D593" s="188" t="n">
        <v>7.1</v>
      </c>
      <c r="E593" s="188" t="inlineStr">
        <is>
          <t>HIGH</t>
        </is>
      </c>
      <c r="F593" s="188" t="n">
        <v>2</v>
      </c>
      <c r="G593" s="188" t="n">
        <v>3</v>
      </c>
      <c r="H593" s="188" t="inlineStr">
        <is>
          <t>HIGH</t>
        </is>
      </c>
      <c r="I593" s="188" t="n">
        <v>13.1</v>
      </c>
      <c r="J593" s="188" t="inlineStr">
        <is>
          <t>NO</t>
        </is>
      </c>
      <c r="K593" s="188" t="inlineStr">
        <is>
          <t>https://nvd.nist.gov/vuln/detail/CVE-2025-68844</t>
        </is>
      </c>
      <c r="L593" s="188" t="inlineStr">
        <is>
          <t>2026-02-26 00:15</t>
        </is>
      </c>
      <c r="M593" s="188" t="inlineStr">
        <is>
          <t>CHECK_VENDOR</t>
        </is>
      </c>
      <c r="N593" s="188" t="inlineStr">
        <is>
          <t>See NVD references</t>
        </is>
      </c>
      <c r="O593" s="188" t="inlineStr">
        <is>
          <t>Apply vendor patches</t>
        </is>
      </c>
      <c r="P593" s="188" t="inlineStr">
        <is>
          <t>See CVE details</t>
        </is>
      </c>
      <c r="Q593" s="188" t="inlineStr">
        <is>
          <t>P3</t>
        </is>
      </c>
      <c r="R593" s="188" t="inlineStr">
        <is>
          <t>🚨 URGENT: Apply vendor patches immediately | 🔒 Isolate affected systems if patch unavailable | 🛡️ Enable additional monitoring/IDS rules</t>
        </is>
      </c>
      <c r="S593" s="188" t="inlineStr">
        <is>
          <t>CVE - IP enrichment n/a</t>
        </is>
      </c>
      <c r="T593" s="188" t="n">
        <v>0</v>
      </c>
      <c r="U593" s="188" t="n">
        <v>0</v>
      </c>
      <c r="V593" s="188" t="inlineStr">
        <is>
          <t>T1189:Drive-by Compromise</t>
        </is>
      </c>
      <c r="W593" s="188" t="n">
        <v>1</v>
      </c>
      <c r="X593" s="188" t="inlineStr">
        <is>
          <t>LOW (40%)</t>
        </is>
      </c>
      <c r="Y593" s="188" t="inlineStr">
        <is>
          <t>UNLIKELY</t>
        </is>
      </c>
      <c r="Z593" s="188" t="inlineStr">
        <is>
          <t>CHECK_VENDOR</t>
        </is>
      </c>
      <c r="AA593" s="188" t="inlineStr">
        <is>
          <t>https://nvd.nist.gov/vuln/detail/CVE-2025-68844</t>
        </is>
      </c>
      <c r="AB593" s="188" t="inlineStr">
        <is>
          <t>NONE</t>
        </is>
      </c>
      <c r="AC593" s="188" t="n">
        <v>0</v>
      </c>
      <c r="AD593" s="188" t="inlineStr"/>
    </row>
    <row r="594">
      <c r="A594" s="188" t="inlineStr">
        <is>
          <t>CVE</t>
        </is>
      </c>
      <c r="B594" s="188" t="inlineStr">
        <is>
          <t>CVE-2025-68845</t>
        </is>
      </c>
      <c r="C594" s="188" t="inlineStr">
        <is>
          <t>Improper Neutralization of Input During Web Page Generation ('Cross-site Scripting') vulnerability in aThemeArt Translations eDS Responsive Menu eds-responsive-menu allows Reflected XSS.This issue affects eDS Responsive Menu: from n/a through &lt;= 1.2.</t>
        </is>
      </c>
      <c r="D594" s="188" t="n">
        <v>7.1</v>
      </c>
      <c r="E594" s="188" t="inlineStr">
        <is>
          <t>HIGH</t>
        </is>
      </c>
      <c r="F594" s="188" t="n">
        <v>2</v>
      </c>
      <c r="G594" s="188" t="n">
        <v>3</v>
      </c>
      <c r="H594" s="188" t="inlineStr">
        <is>
          <t>HIGH</t>
        </is>
      </c>
      <c r="I594" s="188" t="n">
        <v>13.1</v>
      </c>
      <c r="J594" s="188" t="inlineStr">
        <is>
          <t>NO</t>
        </is>
      </c>
      <c r="K594" s="188" t="inlineStr">
        <is>
          <t>https://nvd.nist.gov/vuln/detail/CVE-2025-68845</t>
        </is>
      </c>
      <c r="L594" s="188" t="inlineStr">
        <is>
          <t>2026-02-26 00:15</t>
        </is>
      </c>
      <c r="M594" s="188" t="inlineStr">
        <is>
          <t>CHECK_VENDOR</t>
        </is>
      </c>
      <c r="N594" s="188" t="inlineStr">
        <is>
          <t>See NVD references</t>
        </is>
      </c>
      <c r="O594" s="188" t="inlineStr">
        <is>
          <t>Apply vendor patches</t>
        </is>
      </c>
      <c r="P594" s="188" t="inlineStr">
        <is>
          <t>See CVE details</t>
        </is>
      </c>
      <c r="Q594" s="188" t="inlineStr">
        <is>
          <t>P3</t>
        </is>
      </c>
      <c r="R594" s="188" t="inlineStr">
        <is>
          <t>🚨 URGENT: Apply vendor patches immediately | 🔒 Isolate affected systems if patch unavailable | 🛡️ Enable additional monitoring/IDS rules</t>
        </is>
      </c>
      <c r="S594" s="188" t="inlineStr">
        <is>
          <t>CVE - IP enrichment n/a</t>
        </is>
      </c>
      <c r="T594" s="188" t="n">
        <v>0</v>
      </c>
      <c r="U594" s="188" t="n">
        <v>0</v>
      </c>
      <c r="V594" s="188" t="inlineStr">
        <is>
          <t>T1189:Drive-by Compromise</t>
        </is>
      </c>
      <c r="W594" s="188" t="n">
        <v>1</v>
      </c>
      <c r="X594" s="188" t="inlineStr">
        <is>
          <t>LOW (40%)</t>
        </is>
      </c>
      <c r="Y594" s="188" t="inlineStr">
        <is>
          <t>UNLIKELY</t>
        </is>
      </c>
      <c r="Z594" s="188" t="inlineStr">
        <is>
          <t>CHECK_VENDOR</t>
        </is>
      </c>
      <c r="AA594" s="188" t="inlineStr">
        <is>
          <t>https://nvd.nist.gov/vuln/detail/CVE-2025-68845</t>
        </is>
      </c>
      <c r="AB594" s="188" t="inlineStr">
        <is>
          <t>NONE</t>
        </is>
      </c>
      <c r="AC594" s="188" t="n">
        <v>0</v>
      </c>
      <c r="AD594" s="188" t="inlineStr"/>
    </row>
    <row r="595">
      <c r="A595" s="188" t="inlineStr">
        <is>
          <t>CVE</t>
        </is>
      </c>
      <c r="B595" s="188" t="inlineStr">
        <is>
          <t>CVE-2025-68846</t>
        </is>
      </c>
      <c r="C595" s="188" t="inlineStr">
        <is>
          <t>Improper Neutralization of Input During Web Page Generation ('Cross-site Scripting') vulnerability in Paris Holley Asynchronous Javascript asynchronous-javascript allows Reflected XSS.This issue affects Asynchronous Javascript: from n/a through &lt;= 1.3.5.</t>
        </is>
      </c>
      <c r="D595" s="188" t="n">
        <v>7.1</v>
      </c>
      <c r="E595" s="188" t="inlineStr">
        <is>
          <t>HIGH</t>
        </is>
      </c>
      <c r="F595" s="188" t="n">
        <v>2</v>
      </c>
      <c r="G595" s="188" t="n">
        <v>3</v>
      </c>
      <c r="H595" s="188" t="inlineStr">
        <is>
          <t>HIGH</t>
        </is>
      </c>
      <c r="I595" s="188" t="n">
        <v>13.1</v>
      </c>
      <c r="J595" s="188" t="inlineStr">
        <is>
          <t>NO</t>
        </is>
      </c>
      <c r="K595" s="188" t="inlineStr">
        <is>
          <t>https://nvd.nist.gov/vuln/detail/CVE-2025-68846</t>
        </is>
      </c>
      <c r="L595" s="188" t="inlineStr">
        <is>
          <t>2026-02-26 00:15</t>
        </is>
      </c>
      <c r="M595" s="188" t="inlineStr">
        <is>
          <t>CHECK_VENDOR</t>
        </is>
      </c>
      <c r="N595" s="188" t="inlineStr">
        <is>
          <t>See NVD references</t>
        </is>
      </c>
      <c r="O595" s="188" t="inlineStr">
        <is>
          <t>Apply vendor patches</t>
        </is>
      </c>
      <c r="P595" s="188" t="inlineStr">
        <is>
          <t>See CVE details</t>
        </is>
      </c>
      <c r="Q595" s="188" t="inlineStr">
        <is>
          <t>P3</t>
        </is>
      </c>
      <c r="R595" s="188" t="inlineStr">
        <is>
          <t>🚨 URGENT: Apply vendor patches immediately | 🔒 Isolate affected systems if patch unavailable | 🛡️ Enable additional monitoring/IDS rules</t>
        </is>
      </c>
      <c r="S595" s="188" t="inlineStr">
        <is>
          <t>CVE - IP enrichment n/a</t>
        </is>
      </c>
      <c r="T595" s="188" t="n">
        <v>0</v>
      </c>
      <c r="U595" s="188" t="n">
        <v>0</v>
      </c>
      <c r="V595" s="188" t="inlineStr">
        <is>
          <t>T1189:Drive-by Compromise</t>
        </is>
      </c>
      <c r="W595" s="188" t="n">
        <v>1</v>
      </c>
      <c r="X595" s="188" t="inlineStr">
        <is>
          <t>LOW (40%)</t>
        </is>
      </c>
      <c r="Y595" s="188" t="inlineStr">
        <is>
          <t>UNLIKELY</t>
        </is>
      </c>
      <c r="Z595" s="188" t="inlineStr">
        <is>
          <t>CHECK_VENDOR</t>
        </is>
      </c>
      <c r="AA595" s="188" t="inlineStr">
        <is>
          <t>https://nvd.nist.gov/vuln/detail/CVE-2025-68846</t>
        </is>
      </c>
      <c r="AB595" s="188" t="inlineStr">
        <is>
          <t>NONE</t>
        </is>
      </c>
      <c r="AC595" s="188" t="n">
        <v>0</v>
      </c>
      <c r="AD595" s="188" t="inlineStr"/>
    </row>
    <row r="596">
      <c r="A596" s="188" t="inlineStr">
        <is>
          <t>CVE</t>
        </is>
      </c>
      <c r="B596" s="188" t="inlineStr">
        <is>
          <t>CVE-2025-68847</t>
        </is>
      </c>
      <c r="C596" s="188" t="inlineStr">
        <is>
          <t>Improper Neutralization of Input During Web Page Generation ('Cross-site Scripting') vulnerability in itex iSape isape allows Reflected XSS.This issue affects iSape: from n/a through &lt;= 0.72.</t>
        </is>
      </c>
      <c r="D596" s="188" t="n">
        <v>7.1</v>
      </c>
      <c r="E596" s="188" t="inlineStr">
        <is>
          <t>HIGH</t>
        </is>
      </c>
      <c r="F596" s="188" t="n">
        <v>2</v>
      </c>
      <c r="G596" s="188" t="n">
        <v>3</v>
      </c>
      <c r="H596" s="188" t="inlineStr">
        <is>
          <t>HIGH</t>
        </is>
      </c>
      <c r="I596" s="188" t="n">
        <v>13.1</v>
      </c>
      <c r="J596" s="188" t="inlineStr">
        <is>
          <t>NO</t>
        </is>
      </c>
      <c r="K596" s="188" t="inlineStr">
        <is>
          <t>https://nvd.nist.gov/vuln/detail/CVE-2025-68847</t>
        </is>
      </c>
      <c r="L596" s="188" t="inlineStr">
        <is>
          <t>2026-02-26 00:15</t>
        </is>
      </c>
      <c r="M596" s="188" t="inlineStr">
        <is>
          <t>CHECK_VENDOR</t>
        </is>
      </c>
      <c r="N596" s="188" t="inlineStr">
        <is>
          <t>See NVD references</t>
        </is>
      </c>
      <c r="O596" s="188" t="inlineStr">
        <is>
          <t>Apply vendor patches</t>
        </is>
      </c>
      <c r="P596" s="188" t="inlineStr">
        <is>
          <t>See CVE details</t>
        </is>
      </c>
      <c r="Q596" s="188" t="inlineStr">
        <is>
          <t>P3</t>
        </is>
      </c>
      <c r="R596" s="188" t="inlineStr">
        <is>
          <t>🚨 URGENT: Apply vendor patches immediately | 🔒 Isolate affected systems if patch unavailable | 🛡️ Enable additional monitoring/IDS rules</t>
        </is>
      </c>
      <c r="S596" s="188" t="inlineStr">
        <is>
          <t>CVE - IP enrichment n/a</t>
        </is>
      </c>
      <c r="T596" s="188" t="n">
        <v>0.0003</v>
      </c>
      <c r="U596" s="188" t="n">
        <v>0.0951</v>
      </c>
      <c r="V596" s="188" t="inlineStr">
        <is>
          <t>T1189:Drive-by Compromise</t>
        </is>
      </c>
      <c r="W596" s="188" t="n">
        <v>1</v>
      </c>
      <c r="X596" s="188" t="inlineStr">
        <is>
          <t>LOW (40%)</t>
        </is>
      </c>
      <c r="Y596" s="188" t="inlineStr">
        <is>
          <t>UNLIKELY</t>
        </is>
      </c>
      <c r="Z596" s="188" t="inlineStr">
        <is>
          <t>CHECK_VENDOR</t>
        </is>
      </c>
      <c r="AA596" s="188" t="inlineStr">
        <is>
          <t>https://nvd.nist.gov/vuln/detail/CVE-2025-68847</t>
        </is>
      </c>
      <c r="AB596" s="188" t="inlineStr">
        <is>
          <t>NONE</t>
        </is>
      </c>
      <c r="AC596" s="188" t="n">
        <v>0</v>
      </c>
      <c r="AD596" s="188" t="inlineStr"/>
    </row>
    <row r="597">
      <c r="A597" s="188" t="inlineStr">
        <is>
          <t>CVE</t>
        </is>
      </c>
      <c r="B597" s="188" t="inlineStr">
        <is>
          <t>CVE-2025-68848</t>
        </is>
      </c>
      <c r="C597" s="188" t="inlineStr">
        <is>
          <t>Improper Neutralization of Input During Web Page Generation ('Cross-site Scripting') vulnerability in anmari amr cron manager amr-cron-manager allows Reflected XSS.This issue affects amr cron manager: from n/a through &lt;= 2.3.</t>
        </is>
      </c>
      <c r="D597" s="188" t="n">
        <v>7.1</v>
      </c>
      <c r="E597" s="188" t="inlineStr">
        <is>
          <t>HIGH</t>
        </is>
      </c>
      <c r="F597" s="188" t="n">
        <v>2</v>
      </c>
      <c r="G597" s="188" t="n">
        <v>3</v>
      </c>
      <c r="H597" s="188" t="inlineStr">
        <is>
          <t>HIGH</t>
        </is>
      </c>
      <c r="I597" s="188" t="n">
        <v>13.1</v>
      </c>
      <c r="J597" s="188" t="inlineStr">
        <is>
          <t>NO</t>
        </is>
      </c>
      <c r="K597" s="188" t="inlineStr">
        <is>
          <t>https://nvd.nist.gov/vuln/detail/CVE-2025-68848</t>
        </is>
      </c>
      <c r="L597" s="188" t="inlineStr">
        <is>
          <t>2026-02-26 00:15</t>
        </is>
      </c>
      <c r="M597" s="188" t="inlineStr">
        <is>
          <t>CHECK_VENDOR</t>
        </is>
      </c>
      <c r="N597" s="188" t="inlineStr">
        <is>
          <t>See NVD references</t>
        </is>
      </c>
      <c r="O597" s="188" t="inlineStr">
        <is>
          <t>Apply vendor patches</t>
        </is>
      </c>
      <c r="P597" s="188" t="inlineStr">
        <is>
          <t>See CVE details</t>
        </is>
      </c>
      <c r="Q597" s="188" t="inlineStr">
        <is>
          <t>P3</t>
        </is>
      </c>
      <c r="R597" s="188" t="inlineStr">
        <is>
          <t>🚨 URGENT: Apply vendor patches immediately | 🔒 Isolate affected systems if patch unavailable | 🛡️ Enable additional monitoring/IDS rules</t>
        </is>
      </c>
      <c r="S597" s="188" t="inlineStr">
        <is>
          <t>CVE - IP enrichment n/a</t>
        </is>
      </c>
      <c r="T597" s="188" t="n">
        <v>0</v>
      </c>
      <c r="U597" s="188" t="n">
        <v>0</v>
      </c>
      <c r="V597" s="188" t="inlineStr">
        <is>
          <t>T1189:Drive-by Compromise</t>
        </is>
      </c>
      <c r="W597" s="188" t="n">
        <v>1</v>
      </c>
      <c r="X597" s="188" t="inlineStr">
        <is>
          <t>LOW (40%)</t>
        </is>
      </c>
      <c r="Y597" s="188" t="inlineStr">
        <is>
          <t>UNLIKELY</t>
        </is>
      </c>
      <c r="Z597" s="188" t="inlineStr">
        <is>
          <t>CHECK_VENDOR</t>
        </is>
      </c>
      <c r="AA597" s="188" t="inlineStr">
        <is>
          <t>https://nvd.nist.gov/vuln/detail/CVE-2025-68848</t>
        </is>
      </c>
      <c r="AB597" s="188" t="inlineStr">
        <is>
          <t>NONE</t>
        </is>
      </c>
      <c r="AC597" s="188" t="n">
        <v>0</v>
      </c>
      <c r="AD597" s="188" t="inlineStr"/>
    </row>
    <row r="598">
      <c r="A598" s="188" t="inlineStr">
        <is>
          <t>CVE</t>
        </is>
      </c>
      <c r="B598" s="188" t="inlineStr">
        <is>
          <t>CVE-2025-68852</t>
        </is>
      </c>
      <c r="C598" s="188" t="inlineStr">
        <is>
          <t>Improper Neutralization of Input During Web Page Generation ('Cross-site Scripting') vulnerability in webmuehle Court Reservation court-reservation allows Reflected XSS.This issue affects Court Reservation: from n/a through &lt;= 1.10.9.</t>
        </is>
      </c>
      <c r="D598" s="188" t="n">
        <v>7.1</v>
      </c>
      <c r="E598" s="188" t="inlineStr">
        <is>
          <t>HIGH</t>
        </is>
      </c>
      <c r="F598" s="188" t="n">
        <v>2</v>
      </c>
      <c r="G598" s="188" t="n">
        <v>3</v>
      </c>
      <c r="H598" s="188" t="inlineStr">
        <is>
          <t>HIGH</t>
        </is>
      </c>
      <c r="I598" s="188" t="n">
        <v>13.1</v>
      </c>
      <c r="J598" s="188" t="inlineStr">
        <is>
          <t>NO</t>
        </is>
      </c>
      <c r="K598" s="188" t="inlineStr">
        <is>
          <t>https://nvd.nist.gov/vuln/detail/CVE-2025-68852</t>
        </is>
      </c>
      <c r="L598" s="188" t="inlineStr">
        <is>
          <t>2026-02-26 00:15</t>
        </is>
      </c>
      <c r="M598" s="188" t="inlineStr">
        <is>
          <t>CHECK_VENDOR</t>
        </is>
      </c>
      <c r="N598" s="188" t="inlineStr">
        <is>
          <t>See NVD references</t>
        </is>
      </c>
      <c r="O598" s="188" t="inlineStr">
        <is>
          <t>Apply vendor patches</t>
        </is>
      </c>
      <c r="P598" s="188" t="inlineStr">
        <is>
          <t>See CVE details</t>
        </is>
      </c>
      <c r="Q598" s="188" t="inlineStr">
        <is>
          <t>P3</t>
        </is>
      </c>
      <c r="R598" s="188" t="inlineStr">
        <is>
          <t>🚨 URGENT: Apply vendor patches immediately | 🔒 Isolate affected systems if patch unavailable | 🛡️ Enable additional monitoring/IDS rules</t>
        </is>
      </c>
      <c r="S598" s="188" t="inlineStr">
        <is>
          <t>CVE - IP enrichment n/a</t>
        </is>
      </c>
      <c r="T598" s="188" t="n">
        <v>0</v>
      </c>
      <c r="U598" s="188" t="n">
        <v>0</v>
      </c>
      <c r="V598" s="188" t="inlineStr">
        <is>
          <t>T1189:Drive-by Compromise</t>
        </is>
      </c>
      <c r="W598" s="188" t="n">
        <v>1</v>
      </c>
      <c r="X598" s="188" t="inlineStr">
        <is>
          <t>LOW (40%)</t>
        </is>
      </c>
      <c r="Y598" s="188" t="inlineStr">
        <is>
          <t>UNLIKELY</t>
        </is>
      </c>
      <c r="Z598" s="188" t="inlineStr">
        <is>
          <t>CHECK_VENDOR</t>
        </is>
      </c>
      <c r="AA598" s="188" t="inlineStr">
        <is>
          <t>https://nvd.nist.gov/vuln/detail/CVE-2025-68852</t>
        </is>
      </c>
      <c r="AB598" s="188" t="inlineStr">
        <is>
          <t>NONE</t>
        </is>
      </c>
      <c r="AC598" s="188" t="n">
        <v>0</v>
      </c>
      <c r="AD598" s="188" t="inlineStr"/>
    </row>
    <row r="599">
      <c r="A599" s="188" t="inlineStr">
        <is>
          <t>CVE</t>
        </is>
      </c>
      <c r="B599" s="188" t="inlineStr">
        <is>
          <t>CVE-2025-68853</t>
        </is>
      </c>
      <c r="C599" s="188" t="inlineStr">
        <is>
          <t>Deserialization of Untrusted Data vulnerability in Kleor Contact Manager contact-manager allows Object Injection.This issue affects Contact Manager: from n/a through &lt;= 9.1.1.</t>
        </is>
      </c>
      <c r="D599" s="188" t="n">
        <v>8.800000000000001</v>
      </c>
      <c r="E599" s="188" t="inlineStr">
        <is>
          <t>HIGH</t>
        </is>
      </c>
      <c r="F599" s="188" t="n">
        <v>2</v>
      </c>
      <c r="G599" s="188" t="n">
        <v>3</v>
      </c>
      <c r="H599" s="188" t="inlineStr">
        <is>
          <t>HIGH</t>
        </is>
      </c>
      <c r="I599" s="188" t="n">
        <v>14.8</v>
      </c>
      <c r="J599" s="188" t="inlineStr">
        <is>
          <t>NO</t>
        </is>
      </c>
      <c r="K599" s="188" t="inlineStr">
        <is>
          <t>https://nvd.nist.gov/vuln/detail/CVE-2025-68853</t>
        </is>
      </c>
      <c r="L599" s="188" t="inlineStr">
        <is>
          <t>2026-02-26 00:15</t>
        </is>
      </c>
      <c r="M599" s="188" t="inlineStr">
        <is>
          <t>CHECK_VENDOR</t>
        </is>
      </c>
      <c r="N599" s="188" t="inlineStr">
        <is>
          <t>See NVD references</t>
        </is>
      </c>
      <c r="O599" s="188" t="inlineStr">
        <is>
          <t>Apply vendor patches</t>
        </is>
      </c>
      <c r="P599" s="188" t="inlineStr">
        <is>
          <t>See CVE details</t>
        </is>
      </c>
      <c r="Q599" s="188" t="inlineStr">
        <is>
          <t>P3</t>
        </is>
      </c>
      <c r="R599" s="188" t="inlineStr">
        <is>
          <t>🚨 URGENT: Apply vendor patches immediately | 🔒 Isolate affected systems if patch unavailable | 🛡️ Enable additional monitoring/IDS rules</t>
        </is>
      </c>
      <c r="S599" s="188" t="inlineStr">
        <is>
          <t>CVE - IP enrichment n/a</t>
        </is>
      </c>
      <c r="T599" s="188" t="n">
        <v>0</v>
      </c>
      <c r="U599" s="188" t="n">
        <v>0</v>
      </c>
      <c r="V599" s="188" t="inlineStr">
        <is>
          <t>T1059:Command and Scripting Interpreter</t>
        </is>
      </c>
      <c r="W599" s="188" t="n">
        <v>1</v>
      </c>
      <c r="X599" s="188" t="inlineStr">
        <is>
          <t>LOW (40%)</t>
        </is>
      </c>
      <c r="Y599" s="188" t="inlineStr">
        <is>
          <t>UNLIKELY</t>
        </is>
      </c>
      <c r="Z599" s="188" t="inlineStr">
        <is>
          <t>CHECK_VENDOR</t>
        </is>
      </c>
      <c r="AA599" s="188" t="inlineStr">
        <is>
          <t>https://nvd.nist.gov/vuln/detail/CVE-2025-68853</t>
        </is>
      </c>
      <c r="AB599" s="188" t="inlineStr">
        <is>
          <t>NONE</t>
        </is>
      </c>
      <c r="AC599" s="188" t="n">
        <v>0</v>
      </c>
      <c r="AD599" s="188" t="inlineStr"/>
    </row>
    <row r="600">
      <c r="A600" s="188" t="inlineStr">
        <is>
          <t>CVE</t>
        </is>
      </c>
      <c r="B600" s="188" t="inlineStr">
        <is>
          <t>CVE-2025-68854</t>
        </is>
      </c>
      <c r="C600" s="188" t="inlineStr">
        <is>
          <t>Improper Neutralization of Input During Web Page Generation ('Cross-site Scripting') vulnerability in harman79 ID Arrays id-arrays allows DOM-Based XSS.This issue affects ID Arrays: from n/a through &lt;= 2.1.2.</t>
        </is>
      </c>
      <c r="D600" s="188" t="n">
        <v>7.1</v>
      </c>
      <c r="E600" s="188" t="inlineStr">
        <is>
          <t>HIGH</t>
        </is>
      </c>
      <c r="F600" s="188" t="n">
        <v>2</v>
      </c>
      <c r="G600" s="188" t="n">
        <v>3</v>
      </c>
      <c r="H600" s="188" t="inlineStr">
        <is>
          <t>HIGH</t>
        </is>
      </c>
      <c r="I600" s="188" t="n">
        <v>13.1</v>
      </c>
      <c r="J600" s="188" t="inlineStr">
        <is>
          <t>NO</t>
        </is>
      </c>
      <c r="K600" s="188" t="inlineStr">
        <is>
          <t>https://nvd.nist.gov/vuln/detail/CVE-2025-68854</t>
        </is>
      </c>
      <c r="L600" s="188" t="inlineStr">
        <is>
          <t>2026-02-26 00:15</t>
        </is>
      </c>
      <c r="M600" s="188" t="inlineStr">
        <is>
          <t>CHECK_VENDOR</t>
        </is>
      </c>
      <c r="N600" s="188" t="inlineStr">
        <is>
          <t>See NVD references</t>
        </is>
      </c>
      <c r="O600" s="188" t="inlineStr">
        <is>
          <t>Apply vendor patches</t>
        </is>
      </c>
      <c r="P600" s="188" t="inlineStr">
        <is>
          <t>See CVE details</t>
        </is>
      </c>
      <c r="Q600" s="188" t="inlineStr">
        <is>
          <t>P3</t>
        </is>
      </c>
      <c r="R600" s="188" t="inlineStr">
        <is>
          <t>🚨 URGENT: Apply vendor patches immediately | 🔒 Isolate affected systems if patch unavailable | 🛡️ Enable additional monitoring/IDS rules</t>
        </is>
      </c>
      <c r="S600" s="188" t="inlineStr">
        <is>
          <t>CVE - IP enrichment n/a</t>
        </is>
      </c>
      <c r="T600" s="188" t="n">
        <v>0</v>
      </c>
      <c r="U600" s="188" t="n">
        <v>0</v>
      </c>
      <c r="V600" s="188" t="inlineStr">
        <is>
          <t>T1189:Drive-by Compromise</t>
        </is>
      </c>
      <c r="W600" s="188" t="n">
        <v>1</v>
      </c>
      <c r="X600" s="188" t="inlineStr">
        <is>
          <t>LOW (40%)</t>
        </is>
      </c>
      <c r="Y600" s="188" t="inlineStr">
        <is>
          <t>UNLIKELY</t>
        </is>
      </c>
      <c r="Z600" s="188" t="inlineStr">
        <is>
          <t>CHECK_VENDOR</t>
        </is>
      </c>
      <c r="AA600" s="188" t="inlineStr">
        <is>
          <t>https://nvd.nist.gov/vuln/detail/CVE-2025-68854</t>
        </is>
      </c>
      <c r="AB600" s="188" t="inlineStr">
        <is>
          <t>NONE</t>
        </is>
      </c>
      <c r="AC600" s="188" t="n">
        <v>0</v>
      </c>
      <c r="AD600" s="188" t="inlineStr"/>
    </row>
    <row r="601">
      <c r="A601" s="187" t="inlineStr">
        <is>
          <t>CVE</t>
        </is>
      </c>
      <c r="B601" s="187" t="inlineStr">
        <is>
          <t>CVE-2025-68855</t>
        </is>
      </c>
      <c r="C601" s="187" t="inlineStr">
        <is>
          <t>Insertion of Sensitive Information Into Sent Data vulnerability in themeglow JobBoard Job listing job-board-light allows Retrieve Embedded Sensitive Data.This issue affects JobBoard Job listing: from n/a through &lt;= 1.2.8.</t>
        </is>
      </c>
      <c r="D601" s="187" t="n">
        <v>5.9</v>
      </c>
      <c r="E601" s="187" t="inlineStr">
        <is>
          <t>MEDIUM</t>
        </is>
      </c>
      <c r="F601" s="187" t="n">
        <v>2</v>
      </c>
      <c r="G601" s="187" t="n">
        <v>2</v>
      </c>
      <c r="H601" s="187" t="inlineStr">
        <is>
          <t>MEDIUM</t>
        </is>
      </c>
      <c r="I601" s="187" t="n">
        <v>9.9</v>
      </c>
      <c r="J601" s="187" t="inlineStr">
        <is>
          <t>NO</t>
        </is>
      </c>
      <c r="K601" s="187" t="inlineStr">
        <is>
          <t>https://nvd.nist.gov/vuln/detail/CVE-2025-68855</t>
        </is>
      </c>
      <c r="L601" s="187" t="inlineStr">
        <is>
          <t>2026-02-26 00:15</t>
        </is>
      </c>
      <c r="M601" s="187" t="inlineStr">
        <is>
          <t>CHECK_VENDOR</t>
        </is>
      </c>
      <c r="N601" s="187" t="inlineStr">
        <is>
          <t>See NVD references</t>
        </is>
      </c>
      <c r="O601" s="187" t="inlineStr">
        <is>
          <t>Apply vendor patches</t>
        </is>
      </c>
      <c r="P601" s="187" t="inlineStr">
        <is>
          <t>See CVE details</t>
        </is>
      </c>
      <c r="Q601" s="187" t="inlineStr">
        <is>
          <t>P4</t>
        </is>
      </c>
      <c r="R601" s="187" t="inlineStr">
        <is>
          <t>📅 Schedule patch deployment within 30 days | 🔍 Monitor for exploitation attempts</t>
        </is>
      </c>
      <c r="S601" s="187" t="inlineStr">
        <is>
          <t>CVE - IP enrichment n/a</t>
        </is>
      </c>
      <c r="T601" s="187" t="n">
        <v>0</v>
      </c>
      <c r="U601" s="187" t="n">
        <v>0</v>
      </c>
      <c r="V601" s="187" t="inlineStr">
        <is>
          <t>T1190:Exploit Public-Facing Application</t>
        </is>
      </c>
      <c r="W601" s="187" t="n">
        <v>1</v>
      </c>
      <c r="X601" s="187" t="inlineStr">
        <is>
          <t>LOW (40%)</t>
        </is>
      </c>
      <c r="Y601" s="187" t="inlineStr">
        <is>
          <t>UNLIKELY</t>
        </is>
      </c>
      <c r="Z601" s="187" t="inlineStr">
        <is>
          <t>CHECK_VENDOR</t>
        </is>
      </c>
      <c r="AA601" s="187" t="inlineStr">
        <is>
          <t>https://nvd.nist.gov/vuln/detail/CVE-2025-68855</t>
        </is>
      </c>
      <c r="AB601" s="187" t="inlineStr">
        <is>
          <t>NONE</t>
        </is>
      </c>
      <c r="AC601" s="187" t="n">
        <v>0</v>
      </c>
      <c r="AD601" s="187" t="inlineStr"/>
    </row>
    <row r="602">
      <c r="A602" s="188" t="inlineStr">
        <is>
          <t>CVE</t>
        </is>
      </c>
      <c r="B602" s="188" t="inlineStr">
        <is>
          <t>CVE-2025-68856</t>
        </is>
      </c>
      <c r="C602" s="188" t="inlineStr">
        <is>
          <t>Improper Neutralization of Input During Web Page Generation ('Cross-site Scripting') vulnerability in keeswolters Mopinion Feedback Form mopinion-feedback-form allows DOM-Based XSS.This issue affects Mopinion Feedback Form: from n/a through &lt;= 1.1.1.</t>
        </is>
      </c>
      <c r="D602" s="188" t="n">
        <v>7.1</v>
      </c>
      <c r="E602" s="188" t="inlineStr">
        <is>
          <t>HIGH</t>
        </is>
      </c>
      <c r="F602" s="188" t="n">
        <v>2</v>
      </c>
      <c r="G602" s="188" t="n">
        <v>3</v>
      </c>
      <c r="H602" s="188" t="inlineStr">
        <is>
          <t>HIGH</t>
        </is>
      </c>
      <c r="I602" s="188" t="n">
        <v>13.1</v>
      </c>
      <c r="J602" s="188" t="inlineStr">
        <is>
          <t>NO</t>
        </is>
      </c>
      <c r="K602" s="188" t="inlineStr">
        <is>
          <t>https://nvd.nist.gov/vuln/detail/CVE-2025-68856</t>
        </is>
      </c>
      <c r="L602" s="188" t="inlineStr">
        <is>
          <t>2026-02-26 00:15</t>
        </is>
      </c>
      <c r="M602" s="188" t="inlineStr">
        <is>
          <t>CHECK_VENDOR</t>
        </is>
      </c>
      <c r="N602" s="188" t="inlineStr">
        <is>
          <t>See NVD references</t>
        </is>
      </c>
      <c r="O602" s="188" t="inlineStr">
        <is>
          <t>Apply vendor patches</t>
        </is>
      </c>
      <c r="P602" s="188" t="inlineStr">
        <is>
          <t>See CVE details</t>
        </is>
      </c>
      <c r="Q602" s="188" t="inlineStr">
        <is>
          <t>P3</t>
        </is>
      </c>
      <c r="R602" s="188" t="inlineStr">
        <is>
          <t>🚨 URGENT: Apply vendor patches immediately | 🔒 Isolate affected systems if patch unavailable | 🛡️ Enable additional monitoring/IDS rules</t>
        </is>
      </c>
      <c r="S602" s="188" t="inlineStr">
        <is>
          <t>CVE - IP enrichment n/a</t>
        </is>
      </c>
      <c r="T602" s="188" t="n">
        <v>0</v>
      </c>
      <c r="U602" s="188" t="n">
        <v>0</v>
      </c>
      <c r="V602" s="188" t="inlineStr">
        <is>
          <t>T1189:Drive-by Compromise</t>
        </is>
      </c>
      <c r="W602" s="188" t="n">
        <v>1</v>
      </c>
      <c r="X602" s="188" t="inlineStr">
        <is>
          <t>LOW (40%)</t>
        </is>
      </c>
      <c r="Y602" s="188" t="inlineStr">
        <is>
          <t>UNLIKELY</t>
        </is>
      </c>
      <c r="Z602" s="188" t="inlineStr">
        <is>
          <t>CHECK_VENDOR</t>
        </is>
      </c>
      <c r="AA602" s="188" t="inlineStr">
        <is>
          <t>https://nvd.nist.gov/vuln/detail/CVE-2025-68856</t>
        </is>
      </c>
      <c r="AB602" s="188" t="inlineStr">
        <is>
          <t>NONE</t>
        </is>
      </c>
      <c r="AC602" s="188" t="n">
        <v>0</v>
      </c>
      <c r="AD602" s="188" t="inlineStr"/>
    </row>
    <row r="603">
      <c r="A603" s="188" t="inlineStr">
        <is>
          <t>CVE</t>
        </is>
      </c>
      <c r="B603" s="188" t="inlineStr">
        <is>
          <t>CVE-2025-68862</t>
        </is>
      </c>
      <c r="C603" s="188" t="inlineStr">
        <is>
          <t>Improper Limitation of a Pathname to a Restricted Directory ('Path Traversal') vulnerability in Murtaza Bhurgri Woo File Dropzone woo-file-dropzone allows Path Traversal.This issue affects Woo File Dropzone: from n/a through &lt;= 1.1.7.</t>
        </is>
      </c>
      <c r="D603" s="188" t="n">
        <v>7.7</v>
      </c>
      <c r="E603" s="188" t="inlineStr">
        <is>
          <t>HIGH</t>
        </is>
      </c>
      <c r="F603" s="188" t="n">
        <v>2</v>
      </c>
      <c r="G603" s="188" t="n">
        <v>3</v>
      </c>
      <c r="H603" s="188" t="inlineStr">
        <is>
          <t>HIGH</t>
        </is>
      </c>
      <c r="I603" s="188" t="n">
        <v>13.7</v>
      </c>
      <c r="J603" s="188" t="inlineStr">
        <is>
          <t>NO</t>
        </is>
      </c>
      <c r="K603" s="188" t="inlineStr">
        <is>
          <t>https://nvd.nist.gov/vuln/detail/CVE-2025-68862</t>
        </is>
      </c>
      <c r="L603" s="188" t="inlineStr">
        <is>
          <t>2026-02-26 00:15</t>
        </is>
      </c>
      <c r="M603" s="188" t="inlineStr">
        <is>
          <t>CHECK_VENDOR</t>
        </is>
      </c>
      <c r="N603" s="188" t="inlineStr">
        <is>
          <t>See NVD references</t>
        </is>
      </c>
      <c r="O603" s="188" t="inlineStr">
        <is>
          <t>Apply vendor patches</t>
        </is>
      </c>
      <c r="P603" s="188" t="inlineStr">
        <is>
          <t>See CVE details</t>
        </is>
      </c>
      <c r="Q603" s="188" t="inlineStr">
        <is>
          <t>P3</t>
        </is>
      </c>
      <c r="R603" s="188" t="inlineStr">
        <is>
          <t>🚨 URGENT: Apply vendor patches immediately | 🔒 Isolate affected systems if patch unavailable | 🛡️ Enable additional monitoring/IDS rules</t>
        </is>
      </c>
      <c r="S603" s="188" t="inlineStr">
        <is>
          <t>CVE - IP enrichment n/a</t>
        </is>
      </c>
      <c r="T603" s="188" t="n">
        <v>0</v>
      </c>
      <c r="U603" s="188" t="n">
        <v>0</v>
      </c>
      <c r="V603" s="188" t="inlineStr">
        <is>
          <t>T1083:File and Directory Discovery</t>
        </is>
      </c>
      <c r="W603" s="188" t="n">
        <v>1</v>
      </c>
      <c r="X603" s="188" t="inlineStr">
        <is>
          <t>LOW (40%)</t>
        </is>
      </c>
      <c r="Y603" s="188" t="inlineStr">
        <is>
          <t>UNLIKELY</t>
        </is>
      </c>
      <c r="Z603" s="188" t="inlineStr">
        <is>
          <t>CHECK_VENDOR</t>
        </is>
      </c>
      <c r="AA603" s="188" t="inlineStr">
        <is>
          <t>https://nvd.nist.gov/vuln/detail/CVE-2025-68862</t>
        </is>
      </c>
      <c r="AB603" s="188" t="inlineStr">
        <is>
          <t>NONE</t>
        </is>
      </c>
      <c r="AC603" s="188" t="n">
        <v>0</v>
      </c>
      <c r="AD603" s="188" t="inlineStr"/>
    </row>
    <row r="604">
      <c r="A604" s="188" t="inlineStr">
        <is>
          <t>CVE</t>
        </is>
      </c>
      <c r="B604" s="188" t="inlineStr">
        <is>
          <t>CVE-2025-68863</t>
        </is>
      </c>
      <c r="C604" s="188" t="inlineStr">
        <is>
          <t>Improper Neutralization of Input During Web Page Generation ('Cross-site Scripting') vulnerability in Zack Katz iContact for Gravity Forms gravity-forms-icontact allows Reflected XSS.This issue affects iContact for Gravity Forms: from n/a through &lt;= 1.3.2.</t>
        </is>
      </c>
      <c r="D604" s="188" t="n">
        <v>7.1</v>
      </c>
      <c r="E604" s="188" t="inlineStr">
        <is>
          <t>HIGH</t>
        </is>
      </c>
      <c r="F604" s="188" t="n">
        <v>2</v>
      </c>
      <c r="G604" s="188" t="n">
        <v>3</v>
      </c>
      <c r="H604" s="188" t="inlineStr">
        <is>
          <t>HIGH</t>
        </is>
      </c>
      <c r="I604" s="188" t="n">
        <v>13.1</v>
      </c>
      <c r="J604" s="188" t="inlineStr">
        <is>
          <t>NO</t>
        </is>
      </c>
      <c r="K604" s="188" t="inlineStr">
        <is>
          <t>https://nvd.nist.gov/vuln/detail/CVE-2025-68863</t>
        </is>
      </c>
      <c r="L604" s="188" t="inlineStr">
        <is>
          <t>2026-02-26 00:15</t>
        </is>
      </c>
      <c r="M604" s="188" t="inlineStr">
        <is>
          <t>CHECK_VENDOR</t>
        </is>
      </c>
      <c r="N604" s="188" t="inlineStr">
        <is>
          <t>See NVD references</t>
        </is>
      </c>
      <c r="O604" s="188" t="inlineStr">
        <is>
          <t>Apply vendor patches</t>
        </is>
      </c>
      <c r="P604" s="188" t="inlineStr">
        <is>
          <t>See CVE details</t>
        </is>
      </c>
      <c r="Q604" s="188" t="inlineStr">
        <is>
          <t>P3</t>
        </is>
      </c>
      <c r="R604" s="188" t="inlineStr">
        <is>
          <t>🚨 URGENT: Apply vendor patches immediately | 🔒 Isolate affected systems if patch unavailable | 🛡️ Enable additional monitoring/IDS rules</t>
        </is>
      </c>
      <c r="S604" s="188" t="inlineStr">
        <is>
          <t>CVE - IP enrichment n/a</t>
        </is>
      </c>
      <c r="T604" s="188" t="n">
        <v>0.0003</v>
      </c>
      <c r="U604" s="188" t="n">
        <v>0.0951</v>
      </c>
      <c r="V604" s="188" t="inlineStr">
        <is>
          <t>T1189:Drive-by Compromise</t>
        </is>
      </c>
      <c r="W604" s="188" t="n">
        <v>1</v>
      </c>
      <c r="X604" s="188" t="inlineStr">
        <is>
          <t>LOW (40%)</t>
        </is>
      </c>
      <c r="Y604" s="188" t="inlineStr">
        <is>
          <t>UNLIKELY</t>
        </is>
      </c>
      <c r="Z604" s="188" t="inlineStr">
        <is>
          <t>CHECK_VENDOR</t>
        </is>
      </c>
      <c r="AA604" s="188" t="inlineStr">
        <is>
          <t>https://nvd.nist.gov/vuln/detail/CVE-2025-68863</t>
        </is>
      </c>
      <c r="AB604" s="188" t="inlineStr">
        <is>
          <t>NONE</t>
        </is>
      </c>
      <c r="AC604" s="188" t="n">
        <v>0</v>
      </c>
      <c r="AD604" s="188" t="inlineStr"/>
    </row>
    <row r="605">
      <c r="A605" s="188" t="inlineStr">
        <is>
          <t>CVE</t>
        </is>
      </c>
      <c r="B605" s="188" t="inlineStr">
        <is>
          <t>CVE-2025-68880</t>
        </is>
      </c>
      <c r="C605" s="188" t="inlineStr">
        <is>
          <t>Improper Neutralization of Input During Web Page Generation ('Cross-site Scripting') vulnerability in peterwsterling Simple Archive Generator simple-archive-generator allows Reflected XSS.This issue affects Simple Archive Generator: from n/a through &lt;= 5.2.</t>
        </is>
      </c>
      <c r="D605" s="188" t="n">
        <v>7.1</v>
      </c>
      <c r="E605" s="188" t="inlineStr">
        <is>
          <t>HIGH</t>
        </is>
      </c>
      <c r="F605" s="188" t="n">
        <v>2</v>
      </c>
      <c r="G605" s="188" t="n">
        <v>3</v>
      </c>
      <c r="H605" s="188" t="inlineStr">
        <is>
          <t>HIGH</t>
        </is>
      </c>
      <c r="I605" s="188" t="n">
        <v>13.1</v>
      </c>
      <c r="J605" s="188" t="inlineStr">
        <is>
          <t>NO</t>
        </is>
      </c>
      <c r="K605" s="188" t="inlineStr">
        <is>
          <t>https://nvd.nist.gov/vuln/detail/CVE-2025-68880</t>
        </is>
      </c>
      <c r="L605" s="188" t="inlineStr">
        <is>
          <t>2026-02-26 00:15</t>
        </is>
      </c>
      <c r="M605" s="188" t="inlineStr">
        <is>
          <t>CHECK_VENDOR</t>
        </is>
      </c>
      <c r="N605" s="188" t="inlineStr">
        <is>
          <t>See NVD references</t>
        </is>
      </c>
      <c r="O605" s="188" t="inlineStr">
        <is>
          <t>Apply vendor patches</t>
        </is>
      </c>
      <c r="P605" s="188" t="inlineStr">
        <is>
          <t>See CVE details</t>
        </is>
      </c>
      <c r="Q605" s="188" t="inlineStr">
        <is>
          <t>P3</t>
        </is>
      </c>
      <c r="R605" s="188" t="inlineStr">
        <is>
          <t>🚨 URGENT: Apply vendor patches immediately | 🔒 Isolate affected systems if patch unavailable | 🛡️ Enable additional monitoring/IDS rules</t>
        </is>
      </c>
      <c r="S605" s="188" t="inlineStr">
        <is>
          <t>CVE - IP enrichment n/a</t>
        </is>
      </c>
      <c r="T605" s="188" t="n">
        <v>0</v>
      </c>
      <c r="U605" s="188" t="n">
        <v>0</v>
      </c>
      <c r="V605" s="188" t="inlineStr">
        <is>
          <t>T1189:Drive-by Compromise</t>
        </is>
      </c>
      <c r="W605" s="188" t="n">
        <v>1</v>
      </c>
      <c r="X605" s="188" t="inlineStr">
        <is>
          <t>LOW (40%)</t>
        </is>
      </c>
      <c r="Y605" s="188" t="inlineStr">
        <is>
          <t>UNLIKELY</t>
        </is>
      </c>
      <c r="Z605" s="188" t="inlineStr">
        <is>
          <t>CHECK_VENDOR</t>
        </is>
      </c>
      <c r="AA605" s="188" t="inlineStr">
        <is>
          <t>https://nvd.nist.gov/vuln/detail/CVE-2025-68880</t>
        </is>
      </c>
      <c r="AB605" s="188" t="inlineStr">
        <is>
          <t>NONE</t>
        </is>
      </c>
      <c r="AC605" s="188" t="n">
        <v>0</v>
      </c>
      <c r="AD605" s="188" t="inlineStr"/>
    </row>
    <row r="606">
      <c r="A606" s="187" t="inlineStr">
        <is>
          <t>CVE</t>
        </is>
      </c>
      <c r="B606" s="187" t="inlineStr">
        <is>
          <t>CVE-2025-68895</t>
        </is>
      </c>
      <c r="C606" s="187" t="inlineStr">
        <is>
          <t>Authentication Bypass Using an Alternate Path or Channel vulnerability in ahachat AhaChat Messenger Marketing ahachat-messenger-marketing allows Password Recovery Exploitation.This issue affects AhaChat Messenger Marketing: from n/a through &lt;= 1.1.</t>
        </is>
      </c>
      <c r="D606" s="187" t="n">
        <v>5</v>
      </c>
      <c r="E606" s="187" t="inlineStr">
        <is>
          <t>MEDIUM</t>
        </is>
      </c>
      <c r="F606" s="187" t="n">
        <v>2</v>
      </c>
      <c r="G606" s="187" t="n">
        <v>2</v>
      </c>
      <c r="H606" s="187" t="inlineStr">
        <is>
          <t>MEDIUM</t>
        </is>
      </c>
      <c r="I606" s="187" t="n">
        <v>9</v>
      </c>
      <c r="J606" s="187" t="inlineStr">
        <is>
          <t>NO</t>
        </is>
      </c>
      <c r="K606" s="187" t="inlineStr">
        <is>
          <t>https://nvd.nist.gov/vuln/detail/CVE-2025-68895</t>
        </is>
      </c>
      <c r="L606" s="187" t="inlineStr">
        <is>
          <t>2026-02-26 00:15</t>
        </is>
      </c>
      <c r="M606" s="187" t="inlineStr">
        <is>
          <t>CHECK_VENDOR</t>
        </is>
      </c>
      <c r="N606" s="187" t="inlineStr">
        <is>
          <t>See NVD references</t>
        </is>
      </c>
      <c r="O606" s="187" t="inlineStr">
        <is>
          <t>Apply vendor patches</t>
        </is>
      </c>
      <c r="P606" s="187" t="inlineStr">
        <is>
          <t>See CVE details</t>
        </is>
      </c>
      <c r="Q606" s="187" t="inlineStr">
        <is>
          <t>P4</t>
        </is>
      </c>
      <c r="R606" s="187" t="inlineStr">
        <is>
          <t>📅 Schedule patch deployment within 30 days | 🔍 Monitor for exploitation attempts</t>
        </is>
      </c>
      <c r="S606" s="187" t="inlineStr">
        <is>
          <t>CVE - IP enrichment n/a</t>
        </is>
      </c>
      <c r="T606" s="187" t="n">
        <v>0</v>
      </c>
      <c r="U606" s="187" t="n">
        <v>0</v>
      </c>
      <c r="V606" s="187" t="inlineStr">
        <is>
          <t>T1078:Valid Accounts</t>
        </is>
      </c>
      <c r="W606" s="187" t="n">
        <v>1</v>
      </c>
      <c r="X606" s="187" t="inlineStr">
        <is>
          <t>LOW (40%)</t>
        </is>
      </c>
      <c r="Y606" s="187" t="inlineStr">
        <is>
          <t>UNLIKELY</t>
        </is>
      </c>
      <c r="Z606" s="187" t="inlineStr">
        <is>
          <t>CHECK_VENDOR</t>
        </is>
      </c>
      <c r="AA606" s="187" t="inlineStr">
        <is>
          <t>https://nvd.nist.gov/vuln/detail/CVE-2025-68895</t>
        </is>
      </c>
      <c r="AB606" s="187" t="inlineStr">
        <is>
          <t>NONE</t>
        </is>
      </c>
      <c r="AC606" s="187" t="n">
        <v>0</v>
      </c>
      <c r="AD606" s="187" t="inlineStr"/>
    </row>
    <row r="607">
      <c r="A607" s="187" t="inlineStr">
        <is>
          <t>CVE</t>
        </is>
      </c>
      <c r="B607" s="187" t="inlineStr">
        <is>
          <t>CVE-2025-69011</t>
        </is>
      </c>
      <c r="C607" s="187" t="inlineStr">
        <is>
          <t>Improper Neutralization of Input During Web Page Generation ('Cross-site Scripting') vulnerability in WPKube Cool Tag Cloud cool-tag-cloud allows Stored XSS.This issue affects Cool Tag Cloud: from n/a through &lt;= 2.29.</t>
        </is>
      </c>
      <c r="D607" s="187" t="n">
        <v>6.5</v>
      </c>
      <c r="E607" s="187" t="inlineStr">
        <is>
          <t>MEDIUM</t>
        </is>
      </c>
      <c r="F607" s="187" t="n">
        <v>2</v>
      </c>
      <c r="G607" s="187" t="n">
        <v>2</v>
      </c>
      <c r="H607" s="187" t="inlineStr">
        <is>
          <t>MEDIUM</t>
        </is>
      </c>
      <c r="I607" s="187" t="n">
        <v>10.5</v>
      </c>
      <c r="J607" s="187" t="inlineStr">
        <is>
          <t>NO</t>
        </is>
      </c>
      <c r="K607" s="187" t="inlineStr">
        <is>
          <t>https://nvd.nist.gov/vuln/detail/CVE-2025-69011</t>
        </is>
      </c>
      <c r="L607" s="187" t="inlineStr">
        <is>
          <t>2026-02-26 00:15</t>
        </is>
      </c>
      <c r="M607" s="187" t="inlineStr">
        <is>
          <t>CHECK_VENDOR</t>
        </is>
      </c>
      <c r="N607" s="187" t="inlineStr">
        <is>
          <t>See NVD references</t>
        </is>
      </c>
      <c r="O607" s="187" t="inlineStr">
        <is>
          <t>Apply vendor patches</t>
        </is>
      </c>
      <c r="P607" s="187" t="inlineStr">
        <is>
          <t>See CVE details</t>
        </is>
      </c>
      <c r="Q607" s="187" t="inlineStr">
        <is>
          <t>P4</t>
        </is>
      </c>
      <c r="R607" s="187" t="inlineStr">
        <is>
          <t>📅 Schedule patch deployment within 30 days | 🔍 Monitor for exploitation attempts</t>
        </is>
      </c>
      <c r="S607" s="187" t="inlineStr">
        <is>
          <t>CVE - IP enrichment n/a</t>
        </is>
      </c>
      <c r="T607" s="187" t="n">
        <v>0</v>
      </c>
      <c r="U607" s="187" t="n">
        <v>0</v>
      </c>
      <c r="V607" s="187" t="inlineStr">
        <is>
          <t>T1189:Drive-by Compromise</t>
        </is>
      </c>
      <c r="W607" s="187" t="n">
        <v>1</v>
      </c>
      <c r="X607" s="187" t="inlineStr">
        <is>
          <t>LOW (40%)</t>
        </is>
      </c>
      <c r="Y607" s="187" t="inlineStr">
        <is>
          <t>UNLIKELY</t>
        </is>
      </c>
      <c r="Z607" s="187" t="inlineStr">
        <is>
          <t>CHECK_VENDOR</t>
        </is>
      </c>
      <c r="AA607" s="187" t="inlineStr">
        <is>
          <t>https://nvd.nist.gov/vuln/detail/CVE-2025-69011</t>
        </is>
      </c>
      <c r="AB607" s="187" t="inlineStr">
        <is>
          <t>NONE</t>
        </is>
      </c>
      <c r="AC607" s="187" t="n">
        <v>0</v>
      </c>
      <c r="AD607" s="187" t="inlineStr"/>
    </row>
    <row r="608">
      <c r="A608" s="188" t="inlineStr">
        <is>
          <t>CVE</t>
        </is>
      </c>
      <c r="B608" s="188" t="inlineStr">
        <is>
          <t>CVE-2025-69063</t>
        </is>
      </c>
      <c r="C608" s="188" t="inlineStr">
        <is>
          <t>Missing Authorization vulnerability in Saad Iqbal New User Approve new-user-approve allows Exploiting Incorrectly Configured Access Control Security Levels.This issue affects New User Approve: from n/a through &lt;= 3.2.0.</t>
        </is>
      </c>
      <c r="D608" s="188" t="n">
        <v>8.6</v>
      </c>
      <c r="E608" s="188" t="inlineStr">
        <is>
          <t>HIGH</t>
        </is>
      </c>
      <c r="F608" s="188" t="n">
        <v>2</v>
      </c>
      <c r="G608" s="188" t="n">
        <v>3</v>
      </c>
      <c r="H608" s="188" t="inlineStr">
        <is>
          <t>HIGH</t>
        </is>
      </c>
      <c r="I608" s="188" t="n">
        <v>14.6</v>
      </c>
      <c r="J608" s="188" t="inlineStr">
        <is>
          <t>NO</t>
        </is>
      </c>
      <c r="K608" s="188" t="inlineStr">
        <is>
          <t>https://nvd.nist.gov/vuln/detail/CVE-2025-69063</t>
        </is>
      </c>
      <c r="L608" s="188" t="inlineStr">
        <is>
          <t>2026-02-26 00:15</t>
        </is>
      </c>
      <c r="M608" s="188" t="inlineStr">
        <is>
          <t>CHECK_VENDOR</t>
        </is>
      </c>
      <c r="N608" s="188" t="inlineStr">
        <is>
          <t>See NVD references</t>
        </is>
      </c>
      <c r="O608" s="188" t="inlineStr">
        <is>
          <t>Apply vendor patches</t>
        </is>
      </c>
      <c r="P608" s="188" t="inlineStr">
        <is>
          <t>See CVE details</t>
        </is>
      </c>
      <c r="Q608" s="188" t="inlineStr">
        <is>
          <t>P3</t>
        </is>
      </c>
      <c r="R608" s="188" t="inlineStr">
        <is>
          <t>🚨 URGENT: Apply vendor patches immediately | 🔒 Isolate affected systems if patch unavailable | 🛡️ Enable additional monitoring/IDS rules</t>
        </is>
      </c>
      <c r="S608" s="188" t="inlineStr">
        <is>
          <t>CVE - IP enrichment n/a</t>
        </is>
      </c>
      <c r="T608" s="188" t="n">
        <v>0</v>
      </c>
      <c r="U608" s="188" t="n">
        <v>0</v>
      </c>
      <c r="V608" s="188" t="inlineStr">
        <is>
          <t>T1190:Exploit Public-Facing Application</t>
        </is>
      </c>
      <c r="W608" s="188" t="n">
        <v>1</v>
      </c>
      <c r="X608" s="188" t="inlineStr">
        <is>
          <t>LOW (40%)</t>
        </is>
      </c>
      <c r="Y608" s="188" t="inlineStr">
        <is>
          <t>UNLIKELY</t>
        </is>
      </c>
      <c r="Z608" s="188" t="inlineStr">
        <is>
          <t>CHECK_VENDOR</t>
        </is>
      </c>
      <c r="AA608" s="188" t="inlineStr">
        <is>
          <t>https://nvd.nist.gov/vuln/detail/CVE-2025-69063</t>
        </is>
      </c>
      <c r="AB608" s="188" t="inlineStr">
        <is>
          <t>NONE</t>
        </is>
      </c>
      <c r="AC608" s="188" t="n">
        <v>0</v>
      </c>
      <c r="AD608" s="188" t="inlineStr"/>
    </row>
    <row r="609">
      <c r="A609" s="188" t="inlineStr">
        <is>
          <t>CVE</t>
        </is>
      </c>
      <c r="B609" s="188" t="inlineStr">
        <is>
          <t>CVE-2025-69294</t>
        </is>
      </c>
      <c r="C609" s="188" t="inlineStr">
        <is>
          <t>Deserialization of Untrusted Data vulnerability in fuelthemes PeakShops peakshops allows Object Injection.This issue affects PeakShops: from n/a through &lt;= 1.5.9.</t>
        </is>
      </c>
      <c r="D609" s="188" t="n">
        <v>8.800000000000001</v>
      </c>
      <c r="E609" s="188" t="inlineStr">
        <is>
          <t>HIGH</t>
        </is>
      </c>
      <c r="F609" s="188" t="n">
        <v>2</v>
      </c>
      <c r="G609" s="188" t="n">
        <v>3</v>
      </c>
      <c r="H609" s="188" t="inlineStr">
        <is>
          <t>HIGH</t>
        </is>
      </c>
      <c r="I609" s="188" t="n">
        <v>14.8</v>
      </c>
      <c r="J609" s="188" t="inlineStr">
        <is>
          <t>NO</t>
        </is>
      </c>
      <c r="K609" s="188" t="inlineStr">
        <is>
          <t>https://nvd.nist.gov/vuln/detail/CVE-2025-69294</t>
        </is>
      </c>
      <c r="L609" s="188" t="inlineStr">
        <is>
          <t>2026-02-26 00:15</t>
        </is>
      </c>
      <c r="M609" s="188" t="inlineStr">
        <is>
          <t>CHECK_VENDOR</t>
        </is>
      </c>
      <c r="N609" s="188" t="inlineStr">
        <is>
          <t>See NVD references</t>
        </is>
      </c>
      <c r="O609" s="188" t="inlineStr">
        <is>
          <t>Apply vendor patches</t>
        </is>
      </c>
      <c r="P609" s="188" t="inlineStr">
        <is>
          <t>See CVE details</t>
        </is>
      </c>
      <c r="Q609" s="188" t="inlineStr">
        <is>
          <t>P3</t>
        </is>
      </c>
      <c r="R609" s="188" t="inlineStr">
        <is>
          <t>🚨 URGENT: Apply vendor patches immediately | 🔒 Isolate affected systems if patch unavailable | 🛡️ Enable additional monitoring/IDS rules</t>
        </is>
      </c>
      <c r="S609" s="188" t="inlineStr">
        <is>
          <t>CVE - IP enrichment n/a</t>
        </is>
      </c>
      <c r="T609" s="188" t="n">
        <v>0</v>
      </c>
      <c r="U609" s="188" t="n">
        <v>0</v>
      </c>
      <c r="V609" s="188" t="inlineStr">
        <is>
          <t>T1059:Command and Scripting Interpreter</t>
        </is>
      </c>
      <c r="W609" s="188" t="n">
        <v>1</v>
      </c>
      <c r="X609" s="188" t="inlineStr">
        <is>
          <t>LOW (40%)</t>
        </is>
      </c>
      <c r="Y609" s="188" t="inlineStr">
        <is>
          <t>UNLIKELY</t>
        </is>
      </c>
      <c r="Z609" s="188" t="inlineStr">
        <is>
          <t>CHECK_VENDOR</t>
        </is>
      </c>
      <c r="AA609" s="188" t="inlineStr">
        <is>
          <t>https://nvd.nist.gov/vuln/detail/CVE-2025-69294</t>
        </is>
      </c>
      <c r="AB609" s="188" t="inlineStr">
        <is>
          <t>NONE</t>
        </is>
      </c>
      <c r="AC609" s="188" t="n">
        <v>0</v>
      </c>
      <c r="AD609" s="188" t="inlineStr"/>
    </row>
    <row r="610">
      <c r="A610" s="189" t="inlineStr">
        <is>
          <t>CVE</t>
        </is>
      </c>
      <c r="B610" s="189" t="inlineStr">
        <is>
          <t>CVE-2025-69295</t>
        </is>
      </c>
      <c r="C610" s="189" t="inlineStr">
        <is>
          <t>Improper Neutralization of Special Elements used in an SQL Command ('SQL Injection') vulnerability in TeconceTheme Coven Core coven-core allows Blind SQL Injection.This issue affects Coven Core: from n/a through &lt;= 1.3.</t>
        </is>
      </c>
      <c r="D610" s="189" t="n">
        <v>9.300000000000001</v>
      </c>
      <c r="E610" s="189" t="inlineStr">
        <is>
          <t>CRITICAL</t>
        </is>
      </c>
      <c r="F610" s="189" t="n">
        <v>2</v>
      </c>
      <c r="G610" s="189" t="n">
        <v>3</v>
      </c>
      <c r="H610" s="189" t="inlineStr">
        <is>
          <t>HIGH</t>
        </is>
      </c>
      <c r="I610" s="189" t="n">
        <v>15.3</v>
      </c>
      <c r="J610" s="189" t="inlineStr">
        <is>
          <t>NO</t>
        </is>
      </c>
      <c r="K610" s="189" t="inlineStr">
        <is>
          <t>https://nvd.nist.gov/vuln/detail/CVE-2025-69295</t>
        </is>
      </c>
      <c r="L610" s="189" t="inlineStr">
        <is>
          <t>2026-02-26 00:15</t>
        </is>
      </c>
      <c r="M610" s="189" t="inlineStr">
        <is>
          <t>CHECK_VENDOR</t>
        </is>
      </c>
      <c r="N610" s="189" t="inlineStr">
        <is>
          <t>See NVD references</t>
        </is>
      </c>
      <c r="O610" s="189" t="inlineStr">
        <is>
          <t>Apply vendor patches</t>
        </is>
      </c>
      <c r="P610" s="189" t="inlineStr">
        <is>
          <t>See CVE details</t>
        </is>
      </c>
      <c r="Q610" s="189" t="inlineStr">
        <is>
          <t>P3</t>
        </is>
      </c>
      <c r="R610" s="189" t="inlineStr">
        <is>
          <t>🚨 URGENT: Apply vendor patches immediately | 🔒 Isolate affected systems if patch unavailable | 🛡️ Enable additional monitoring/IDS rules</t>
        </is>
      </c>
      <c r="S610" s="189" t="inlineStr">
        <is>
          <t>CVE - IP enrichment n/a</t>
        </is>
      </c>
      <c r="T610" s="189" t="n">
        <v>0</v>
      </c>
      <c r="U610" s="189" t="n">
        <v>0</v>
      </c>
      <c r="V610" s="189" t="inlineStr">
        <is>
          <t>T1190:Exploit Public-Facing Application</t>
        </is>
      </c>
      <c r="W610" s="189" t="n">
        <v>1</v>
      </c>
      <c r="X610" s="189" t="inlineStr">
        <is>
          <t>LOW (40%)</t>
        </is>
      </c>
      <c r="Y610" s="189" t="inlineStr">
        <is>
          <t>UNLIKELY</t>
        </is>
      </c>
      <c r="Z610" s="189" t="inlineStr">
        <is>
          <t>CHECK_VENDOR</t>
        </is>
      </c>
      <c r="AA610" s="189" t="inlineStr">
        <is>
          <t>https://nvd.nist.gov/vuln/detail/CVE-2025-69295</t>
        </is>
      </c>
      <c r="AB610" s="189" t="inlineStr">
        <is>
          <t>NONE</t>
        </is>
      </c>
      <c r="AC610" s="189" t="n">
        <v>0</v>
      </c>
      <c r="AD610" s="189" t="inlineStr"/>
    </row>
    <row r="611">
      <c r="A611" s="188" t="inlineStr">
        <is>
          <t>CVE</t>
        </is>
      </c>
      <c r="B611" s="188" t="inlineStr">
        <is>
          <t>CVE-2025-69296</t>
        </is>
      </c>
      <c r="C611" s="188" t="inlineStr">
        <is>
          <t>Improper Neutralization of Input During Web Page Generation ('Cross-site Scripting') vulnerability in GhostPool Aardvark aardvark allows Reflected XSS.This issue affects Aardvark: from n/a through &lt;= 4.6.3.</t>
        </is>
      </c>
      <c r="D611" s="188" t="n">
        <v>7.1</v>
      </c>
      <c r="E611" s="188" t="inlineStr">
        <is>
          <t>HIGH</t>
        </is>
      </c>
      <c r="F611" s="188" t="n">
        <v>2</v>
      </c>
      <c r="G611" s="188" t="n">
        <v>3</v>
      </c>
      <c r="H611" s="188" t="inlineStr">
        <is>
          <t>HIGH</t>
        </is>
      </c>
      <c r="I611" s="188" t="n">
        <v>13.1</v>
      </c>
      <c r="J611" s="188" t="inlineStr">
        <is>
          <t>NO</t>
        </is>
      </c>
      <c r="K611" s="188" t="inlineStr">
        <is>
          <t>https://nvd.nist.gov/vuln/detail/CVE-2025-69296</t>
        </is>
      </c>
      <c r="L611" s="188" t="inlineStr">
        <is>
          <t>2026-02-26 00:15</t>
        </is>
      </c>
      <c r="M611" s="188" t="inlineStr">
        <is>
          <t>CHECK_VENDOR</t>
        </is>
      </c>
      <c r="N611" s="188" t="inlineStr">
        <is>
          <t>See NVD references</t>
        </is>
      </c>
      <c r="O611" s="188" t="inlineStr">
        <is>
          <t>Apply vendor patches</t>
        </is>
      </c>
      <c r="P611" s="188" t="inlineStr">
        <is>
          <t>See CVE details</t>
        </is>
      </c>
      <c r="Q611" s="188" t="inlineStr">
        <is>
          <t>P3</t>
        </is>
      </c>
      <c r="R611" s="188" t="inlineStr">
        <is>
          <t>🚨 URGENT: Apply vendor patches immediately | 🔒 Isolate affected systems if patch unavailable | 🛡️ Enable additional monitoring/IDS rules</t>
        </is>
      </c>
      <c r="S611" s="188" t="inlineStr">
        <is>
          <t>CVE - IP enrichment n/a</t>
        </is>
      </c>
      <c r="T611" s="188" t="n">
        <v>0</v>
      </c>
      <c r="U611" s="188" t="n">
        <v>0</v>
      </c>
      <c r="V611" s="188" t="inlineStr">
        <is>
          <t>T1189:Drive-by Compromise</t>
        </is>
      </c>
      <c r="W611" s="188" t="n">
        <v>1</v>
      </c>
      <c r="X611" s="188" t="inlineStr">
        <is>
          <t>LOW (40%)</t>
        </is>
      </c>
      <c r="Y611" s="188" t="inlineStr">
        <is>
          <t>UNLIKELY</t>
        </is>
      </c>
      <c r="Z611" s="188" t="inlineStr">
        <is>
          <t>CHECK_VENDOR</t>
        </is>
      </c>
      <c r="AA611" s="188" t="inlineStr">
        <is>
          <t>https://nvd.nist.gov/vuln/detail/CVE-2025-69296</t>
        </is>
      </c>
      <c r="AB611" s="188" t="inlineStr">
        <is>
          <t>NONE</t>
        </is>
      </c>
      <c r="AC611" s="188" t="n">
        <v>0</v>
      </c>
      <c r="AD611" s="188" t="inlineStr"/>
    </row>
    <row r="612">
      <c r="A612" s="188" t="inlineStr">
        <is>
          <t>CVE</t>
        </is>
      </c>
      <c r="B612" s="188" t="inlineStr">
        <is>
          <t>CVE-2025-69297</t>
        </is>
      </c>
      <c r="C612" s="188" t="inlineStr">
        <is>
          <t>Missing Authorization vulnerability in GhostPool Aardvark Plugin aardvark-plugin allows Exploiting Incorrectly Configured Access Control Security Levels.This issue affects Aardvark Plugin: from n/a through &lt;= 2.19.</t>
        </is>
      </c>
      <c r="D612" s="188" t="n">
        <v>7.5</v>
      </c>
      <c r="E612" s="188" t="inlineStr">
        <is>
          <t>HIGH</t>
        </is>
      </c>
      <c r="F612" s="188" t="n">
        <v>2</v>
      </c>
      <c r="G612" s="188" t="n">
        <v>3</v>
      </c>
      <c r="H612" s="188" t="inlineStr">
        <is>
          <t>HIGH</t>
        </is>
      </c>
      <c r="I612" s="188" t="n">
        <v>13.5</v>
      </c>
      <c r="J612" s="188" t="inlineStr">
        <is>
          <t>NO</t>
        </is>
      </c>
      <c r="K612" s="188" t="inlineStr">
        <is>
          <t>https://nvd.nist.gov/vuln/detail/CVE-2025-69297</t>
        </is>
      </c>
      <c r="L612" s="188" t="inlineStr">
        <is>
          <t>2026-02-26 00:15</t>
        </is>
      </c>
      <c r="M612" s="188" t="inlineStr">
        <is>
          <t>CHECK_VENDOR</t>
        </is>
      </c>
      <c r="N612" s="188" t="inlineStr">
        <is>
          <t>See NVD references</t>
        </is>
      </c>
      <c r="O612" s="188" t="inlineStr">
        <is>
          <t>Apply vendor patches</t>
        </is>
      </c>
      <c r="P612" s="188" t="inlineStr">
        <is>
          <t>See CVE details</t>
        </is>
      </c>
      <c r="Q612" s="188" t="inlineStr">
        <is>
          <t>P3</t>
        </is>
      </c>
      <c r="R612" s="188" t="inlineStr">
        <is>
          <t>🚨 URGENT: Apply vendor patches immediately | 🔒 Isolate affected systems if patch unavailable | 🛡️ Enable additional monitoring/IDS rules</t>
        </is>
      </c>
      <c r="S612" s="188" t="inlineStr">
        <is>
          <t>CVE - IP enrichment n/a</t>
        </is>
      </c>
      <c r="T612" s="188" t="n">
        <v>0</v>
      </c>
      <c r="U612" s="188" t="n">
        <v>0</v>
      </c>
      <c r="V612" s="188" t="inlineStr">
        <is>
          <t>T1190:Exploit Public-Facing Application</t>
        </is>
      </c>
      <c r="W612" s="188" t="n">
        <v>1</v>
      </c>
      <c r="X612" s="188" t="inlineStr">
        <is>
          <t>LOW (40%)</t>
        </is>
      </c>
      <c r="Y612" s="188" t="inlineStr">
        <is>
          <t>UNLIKELY</t>
        </is>
      </c>
      <c r="Z612" s="188" t="inlineStr">
        <is>
          <t>CHECK_VENDOR</t>
        </is>
      </c>
      <c r="AA612" s="188" t="inlineStr">
        <is>
          <t>https://nvd.nist.gov/vuln/detail/CVE-2025-69297</t>
        </is>
      </c>
      <c r="AB612" s="188" t="inlineStr">
        <is>
          <t>NONE</t>
        </is>
      </c>
      <c r="AC612" s="188" t="n">
        <v>0</v>
      </c>
      <c r="AD612" s="188" t="inlineStr"/>
    </row>
    <row r="613">
      <c r="A613" s="188" t="inlineStr">
        <is>
          <t>CVE</t>
        </is>
      </c>
      <c r="B613" s="188" t="inlineStr">
        <is>
          <t>CVE-2025-69298</t>
        </is>
      </c>
      <c r="C613" s="188" t="inlineStr">
        <is>
          <t>Missing Authorization vulnerability in GhostPool Gauge gauge allows Exploiting Incorrectly Configured Access Control Security Levels.This issue affects Gauge: from n/a through &lt;= 6.56.4.</t>
        </is>
      </c>
      <c r="D613" s="188" t="n">
        <v>7.5</v>
      </c>
      <c r="E613" s="188" t="inlineStr">
        <is>
          <t>HIGH</t>
        </is>
      </c>
      <c r="F613" s="188" t="n">
        <v>2</v>
      </c>
      <c r="G613" s="188" t="n">
        <v>3</v>
      </c>
      <c r="H613" s="188" t="inlineStr">
        <is>
          <t>HIGH</t>
        </is>
      </c>
      <c r="I613" s="188" t="n">
        <v>13.5</v>
      </c>
      <c r="J613" s="188" t="inlineStr">
        <is>
          <t>NO</t>
        </is>
      </c>
      <c r="K613" s="188" t="inlineStr">
        <is>
          <t>https://nvd.nist.gov/vuln/detail/CVE-2025-69298</t>
        </is>
      </c>
      <c r="L613" s="188" t="inlineStr">
        <is>
          <t>2026-02-26 00:15</t>
        </is>
      </c>
      <c r="M613" s="188" t="inlineStr">
        <is>
          <t>CHECK_VENDOR</t>
        </is>
      </c>
      <c r="N613" s="188" t="inlineStr">
        <is>
          <t>See NVD references</t>
        </is>
      </c>
      <c r="O613" s="188" t="inlineStr">
        <is>
          <t>Apply vendor patches</t>
        </is>
      </c>
      <c r="P613" s="188" t="inlineStr">
        <is>
          <t>See CVE details</t>
        </is>
      </c>
      <c r="Q613" s="188" t="inlineStr">
        <is>
          <t>P3</t>
        </is>
      </c>
      <c r="R613" s="188" t="inlineStr">
        <is>
          <t>🚨 URGENT: Apply vendor patches immediately | 🔒 Isolate affected systems if patch unavailable | 🛡️ Enable additional monitoring/IDS rules</t>
        </is>
      </c>
      <c r="S613" s="188" t="inlineStr">
        <is>
          <t>CVE - IP enrichment n/a</t>
        </is>
      </c>
      <c r="T613" s="188" t="n">
        <v>0</v>
      </c>
      <c r="U613" s="188" t="n">
        <v>0</v>
      </c>
      <c r="V613" s="188" t="inlineStr">
        <is>
          <t>T1190:Exploit Public-Facing Application</t>
        </is>
      </c>
      <c r="W613" s="188" t="n">
        <v>1</v>
      </c>
      <c r="X613" s="188" t="inlineStr">
        <is>
          <t>LOW (40%)</t>
        </is>
      </c>
      <c r="Y613" s="188" t="inlineStr">
        <is>
          <t>UNLIKELY</t>
        </is>
      </c>
      <c r="Z613" s="188" t="inlineStr">
        <is>
          <t>CHECK_VENDOR</t>
        </is>
      </c>
      <c r="AA613" s="188" t="inlineStr">
        <is>
          <t>https://nvd.nist.gov/vuln/detail/CVE-2025-69298</t>
        </is>
      </c>
      <c r="AB613" s="188" t="inlineStr">
        <is>
          <t>NONE</t>
        </is>
      </c>
      <c r="AC613" s="188" t="n">
        <v>0</v>
      </c>
      <c r="AD613" s="188" t="inlineStr"/>
    </row>
    <row r="614">
      <c r="A614" s="188" t="inlineStr">
        <is>
          <t>CVE</t>
        </is>
      </c>
      <c r="B614" s="188" t="inlineStr">
        <is>
          <t>CVE-2025-69299</t>
        </is>
      </c>
      <c r="C614" s="188" t="inlineStr">
        <is>
          <t>Server-Side Request Forgery (SSRF) vulnerability in Laborator Oxygen oxygen allows Server Side Request Forgery.This issue affects Oxygen: from n/a through &lt;= 6.0.8.</t>
        </is>
      </c>
      <c r="D614" s="188" t="n">
        <v>7.2</v>
      </c>
      <c r="E614" s="188" t="inlineStr">
        <is>
          <t>HIGH</t>
        </is>
      </c>
      <c r="F614" s="188" t="n">
        <v>2</v>
      </c>
      <c r="G614" s="188" t="n">
        <v>3</v>
      </c>
      <c r="H614" s="188" t="inlineStr">
        <is>
          <t>HIGH</t>
        </is>
      </c>
      <c r="I614" s="188" t="n">
        <v>13.2</v>
      </c>
      <c r="J614" s="188" t="inlineStr">
        <is>
          <t>NO</t>
        </is>
      </c>
      <c r="K614" s="188" t="inlineStr">
        <is>
          <t>https://nvd.nist.gov/vuln/detail/CVE-2025-69299</t>
        </is>
      </c>
      <c r="L614" s="188" t="inlineStr">
        <is>
          <t>2026-02-26 00:15</t>
        </is>
      </c>
      <c r="M614" s="188" t="inlineStr">
        <is>
          <t>CHECK_VENDOR</t>
        </is>
      </c>
      <c r="N614" s="188" t="inlineStr">
        <is>
          <t>See NVD references</t>
        </is>
      </c>
      <c r="O614" s="188" t="inlineStr">
        <is>
          <t>Apply vendor patches</t>
        </is>
      </c>
      <c r="P614" s="188" t="inlineStr">
        <is>
          <t>See CVE details</t>
        </is>
      </c>
      <c r="Q614" s="188" t="inlineStr">
        <is>
          <t>P3</t>
        </is>
      </c>
      <c r="R614" s="188" t="inlineStr">
        <is>
          <t>🚨 URGENT: Apply vendor patches immediately | 🔒 Isolate affected systems if patch unavailable | 🛡️ Enable additional monitoring/IDS rules</t>
        </is>
      </c>
      <c r="S614" s="188" t="inlineStr">
        <is>
          <t>CVE - IP enrichment n/a</t>
        </is>
      </c>
      <c r="T614" s="188" t="n">
        <v>0</v>
      </c>
      <c r="U614" s="188" t="n">
        <v>0</v>
      </c>
      <c r="V614" s="188" t="inlineStr">
        <is>
          <t>T1090:Proxy</t>
        </is>
      </c>
      <c r="W614" s="188" t="n">
        <v>1</v>
      </c>
      <c r="X614" s="188" t="inlineStr">
        <is>
          <t>LOW (40%)</t>
        </is>
      </c>
      <c r="Y614" s="188" t="inlineStr">
        <is>
          <t>UNLIKELY</t>
        </is>
      </c>
      <c r="Z614" s="188" t="inlineStr">
        <is>
          <t>CHECK_VENDOR</t>
        </is>
      </c>
      <c r="AA614" s="188" t="inlineStr">
        <is>
          <t>https://nvd.nist.gov/vuln/detail/CVE-2025-69299</t>
        </is>
      </c>
      <c r="AB614" s="188" t="inlineStr">
        <is>
          <t>NONE</t>
        </is>
      </c>
      <c r="AC614" s="188" t="n">
        <v>0</v>
      </c>
      <c r="AD614" s="188" t="inlineStr"/>
    </row>
    <row r="615">
      <c r="A615" s="189" t="inlineStr">
        <is>
          <t>CVE</t>
        </is>
      </c>
      <c r="B615" s="189" t="inlineStr">
        <is>
          <t>CVE-2025-69301</t>
        </is>
      </c>
      <c r="C615" s="189" t="inlineStr">
        <is>
          <t>Deserialization of Untrusted Data vulnerability in ThemeGoods PhotoMe photome allows Object Injection.This issue affects PhotoMe: from n/a through &lt;= 5.6.11.</t>
        </is>
      </c>
      <c r="D615" s="189" t="n">
        <v>9.800000000000001</v>
      </c>
      <c r="E615" s="189" t="inlineStr">
        <is>
          <t>CRITICAL</t>
        </is>
      </c>
      <c r="F615" s="189" t="n">
        <v>2</v>
      </c>
      <c r="G615" s="189" t="n">
        <v>3</v>
      </c>
      <c r="H615" s="189" t="inlineStr">
        <is>
          <t>HIGH</t>
        </is>
      </c>
      <c r="I615" s="189" t="n">
        <v>15.8</v>
      </c>
      <c r="J615" s="189" t="inlineStr">
        <is>
          <t>NO</t>
        </is>
      </c>
      <c r="K615" s="189" t="inlineStr">
        <is>
          <t>https://nvd.nist.gov/vuln/detail/CVE-2025-69301</t>
        </is>
      </c>
      <c r="L615" s="189" t="inlineStr">
        <is>
          <t>2026-02-26 00:15</t>
        </is>
      </c>
      <c r="M615" s="189" t="inlineStr">
        <is>
          <t>CHECK_VENDOR</t>
        </is>
      </c>
      <c r="N615" s="189" t="inlineStr">
        <is>
          <t>See NVD references</t>
        </is>
      </c>
      <c r="O615" s="189" t="inlineStr">
        <is>
          <t>Apply vendor patches</t>
        </is>
      </c>
      <c r="P615" s="189" t="inlineStr">
        <is>
          <t>See CVE details</t>
        </is>
      </c>
      <c r="Q615" s="189" t="inlineStr">
        <is>
          <t>P3</t>
        </is>
      </c>
      <c r="R615" s="189" t="inlineStr">
        <is>
          <t>🚨 URGENT: Apply vendor patches immediately | 🔒 Isolate affected systems if patch unavailable | 🛡️ Enable additional monitoring/IDS rules</t>
        </is>
      </c>
      <c r="S615" s="189" t="inlineStr">
        <is>
          <t>CVE - IP enrichment n/a</t>
        </is>
      </c>
      <c r="T615" s="189" t="n">
        <v>0</v>
      </c>
      <c r="U615" s="189" t="n">
        <v>0</v>
      </c>
      <c r="V615" s="189" t="inlineStr">
        <is>
          <t>T1059:Command and Scripting Interpreter</t>
        </is>
      </c>
      <c r="W615" s="189" t="n">
        <v>1</v>
      </c>
      <c r="X615" s="189" t="inlineStr">
        <is>
          <t>LOW (40%)</t>
        </is>
      </c>
      <c r="Y615" s="189" t="inlineStr">
        <is>
          <t>UNLIKELY</t>
        </is>
      </c>
      <c r="Z615" s="189" t="inlineStr">
        <is>
          <t>CHECK_VENDOR</t>
        </is>
      </c>
      <c r="AA615" s="189" t="inlineStr">
        <is>
          <t>https://nvd.nist.gov/vuln/detail/CVE-2025-69301</t>
        </is>
      </c>
      <c r="AB615" s="189" t="inlineStr">
        <is>
          <t>NONE</t>
        </is>
      </c>
      <c r="AC615" s="189" t="n">
        <v>0</v>
      </c>
      <c r="AD615" s="189" t="inlineStr"/>
    </row>
    <row r="616">
      <c r="A616" s="188" t="inlineStr">
        <is>
          <t>CVE</t>
        </is>
      </c>
      <c r="B616" s="188" t="inlineStr">
        <is>
          <t>CVE-2025-69302</t>
        </is>
      </c>
      <c r="C616" s="188" t="inlineStr">
        <is>
          <t>Improper Neutralization of Input During Web Page Generation ('Cross-site Scripting') vulnerability in designthemes DesignThemes Core Features designthemes-core-features allows Reflected XSS.This issue affects DesignThemes Core Features: from n/a through &lt;= 2.3.</t>
        </is>
      </c>
      <c r="D616" s="188" t="n">
        <v>7.1</v>
      </c>
      <c r="E616" s="188" t="inlineStr">
        <is>
          <t>HIGH</t>
        </is>
      </c>
      <c r="F616" s="188" t="n">
        <v>2</v>
      </c>
      <c r="G616" s="188" t="n">
        <v>3</v>
      </c>
      <c r="H616" s="188" t="inlineStr">
        <is>
          <t>HIGH</t>
        </is>
      </c>
      <c r="I616" s="188" t="n">
        <v>13.1</v>
      </c>
      <c r="J616" s="188" t="inlineStr">
        <is>
          <t>NO</t>
        </is>
      </c>
      <c r="K616" s="188" t="inlineStr">
        <is>
          <t>https://nvd.nist.gov/vuln/detail/CVE-2025-69302</t>
        </is>
      </c>
      <c r="L616" s="188" t="inlineStr">
        <is>
          <t>2026-02-26 00:15</t>
        </is>
      </c>
      <c r="M616" s="188" t="inlineStr">
        <is>
          <t>CHECK_VENDOR</t>
        </is>
      </c>
      <c r="N616" s="188" t="inlineStr">
        <is>
          <t>See NVD references</t>
        </is>
      </c>
      <c r="O616" s="188" t="inlineStr">
        <is>
          <t>Apply vendor patches</t>
        </is>
      </c>
      <c r="P616" s="188" t="inlineStr">
        <is>
          <t>See CVE details</t>
        </is>
      </c>
      <c r="Q616" s="188" t="inlineStr">
        <is>
          <t>P3</t>
        </is>
      </c>
      <c r="R616" s="188" t="inlineStr">
        <is>
          <t>🚨 URGENT: Apply vendor patches immediately | 🔒 Isolate affected systems if patch unavailable | 🛡️ Enable additional monitoring/IDS rules</t>
        </is>
      </c>
      <c r="S616" s="188" t="inlineStr">
        <is>
          <t>CVE - IP enrichment n/a</t>
        </is>
      </c>
      <c r="T616" s="188" t="n">
        <v>0</v>
      </c>
      <c r="U616" s="188" t="n">
        <v>0</v>
      </c>
      <c r="V616" s="188" t="inlineStr">
        <is>
          <t>T1189:Drive-by Compromise</t>
        </is>
      </c>
      <c r="W616" s="188" t="n">
        <v>1</v>
      </c>
      <c r="X616" s="188" t="inlineStr">
        <is>
          <t>LOW (40%)</t>
        </is>
      </c>
      <c r="Y616" s="188" t="inlineStr">
        <is>
          <t>UNLIKELY</t>
        </is>
      </c>
      <c r="Z616" s="188" t="inlineStr">
        <is>
          <t>CHECK_VENDOR</t>
        </is>
      </c>
      <c r="AA616" s="188" t="inlineStr">
        <is>
          <t>https://nvd.nist.gov/vuln/detail/CVE-2025-69302</t>
        </is>
      </c>
      <c r="AB616" s="188" t="inlineStr">
        <is>
          <t>NONE</t>
        </is>
      </c>
      <c r="AC616" s="188" t="n">
        <v>0</v>
      </c>
      <c r="AD616" s="188" t="inlineStr"/>
    </row>
    <row r="617">
      <c r="A617" s="188" t="inlineStr">
        <is>
          <t>CVE</t>
        </is>
      </c>
      <c r="B617" s="188" t="inlineStr">
        <is>
          <t>CVE-2025-69303</t>
        </is>
      </c>
      <c r="C617" s="188" t="inlineStr">
        <is>
          <t>Missing Authorization vulnerability in modeltheme ModelTheme Framework modeltheme-framework allows Exploiting Incorrectly Configured Access Control Security Levels.This issue affects ModelTheme Framework: from n/a through &lt;= 1.9.2.</t>
        </is>
      </c>
      <c r="D617" s="188" t="n">
        <v>7.5</v>
      </c>
      <c r="E617" s="188" t="inlineStr">
        <is>
          <t>HIGH</t>
        </is>
      </c>
      <c r="F617" s="188" t="n">
        <v>2</v>
      </c>
      <c r="G617" s="188" t="n">
        <v>3</v>
      </c>
      <c r="H617" s="188" t="inlineStr">
        <is>
          <t>HIGH</t>
        </is>
      </c>
      <c r="I617" s="188" t="n">
        <v>13.5</v>
      </c>
      <c r="J617" s="188" t="inlineStr">
        <is>
          <t>NO</t>
        </is>
      </c>
      <c r="K617" s="188" t="inlineStr">
        <is>
          <t>https://nvd.nist.gov/vuln/detail/CVE-2025-69303</t>
        </is>
      </c>
      <c r="L617" s="188" t="inlineStr">
        <is>
          <t>2026-02-26 00:15</t>
        </is>
      </c>
      <c r="M617" s="188" t="inlineStr">
        <is>
          <t>CHECK_VENDOR</t>
        </is>
      </c>
      <c r="N617" s="188" t="inlineStr">
        <is>
          <t>See NVD references</t>
        </is>
      </c>
      <c r="O617" s="188" t="inlineStr">
        <is>
          <t>Apply vendor patches</t>
        </is>
      </c>
      <c r="P617" s="188" t="inlineStr">
        <is>
          <t>See CVE details</t>
        </is>
      </c>
      <c r="Q617" s="188" t="inlineStr">
        <is>
          <t>P3</t>
        </is>
      </c>
      <c r="R617" s="188" t="inlineStr">
        <is>
          <t>🚨 URGENT: Apply vendor patches immediately | 🔒 Isolate affected systems if patch unavailable | 🛡️ Enable additional monitoring/IDS rules</t>
        </is>
      </c>
      <c r="S617" s="188" t="inlineStr">
        <is>
          <t>CVE - IP enrichment n/a</t>
        </is>
      </c>
      <c r="T617" s="188" t="n">
        <v>0</v>
      </c>
      <c r="U617" s="188" t="n">
        <v>0</v>
      </c>
      <c r="V617" s="188" t="inlineStr">
        <is>
          <t>T1190:Exploit Public-Facing Application</t>
        </is>
      </c>
      <c r="W617" s="188" t="n">
        <v>1</v>
      </c>
      <c r="X617" s="188" t="inlineStr">
        <is>
          <t>LOW (40%)</t>
        </is>
      </c>
      <c r="Y617" s="188" t="inlineStr">
        <is>
          <t>UNLIKELY</t>
        </is>
      </c>
      <c r="Z617" s="188" t="inlineStr">
        <is>
          <t>CHECK_VENDOR</t>
        </is>
      </c>
      <c r="AA617" s="188" t="inlineStr">
        <is>
          <t>https://nvd.nist.gov/vuln/detail/CVE-2025-69303</t>
        </is>
      </c>
      <c r="AB617" s="188" t="inlineStr">
        <is>
          <t>NONE</t>
        </is>
      </c>
      <c r="AC617" s="188" t="n">
        <v>0</v>
      </c>
      <c r="AD617" s="188" t="inlineStr"/>
    </row>
    <row r="618">
      <c r="A618" s="189" t="inlineStr">
        <is>
          <t>CVE</t>
        </is>
      </c>
      <c r="B618" s="189" t="inlineStr">
        <is>
          <t>CVE-2025-69304</t>
        </is>
      </c>
      <c r="C618" s="189" t="inlineStr">
        <is>
          <t>Improper Neutralization of Special Elements used in an SQL Command ('SQL Injection') vulnerability in TeconceTheme Allmart allmart-core allows Blind SQL Injection.This issue affects Allmart: from n/a through &lt;= 1.1.</t>
        </is>
      </c>
      <c r="D618" s="189" t="n">
        <v>9.300000000000001</v>
      </c>
      <c r="E618" s="189" t="inlineStr">
        <is>
          <t>CRITICAL</t>
        </is>
      </c>
      <c r="F618" s="189" t="n">
        <v>2</v>
      </c>
      <c r="G618" s="189" t="n">
        <v>3</v>
      </c>
      <c r="H618" s="189" t="inlineStr">
        <is>
          <t>HIGH</t>
        </is>
      </c>
      <c r="I618" s="189" t="n">
        <v>15.3</v>
      </c>
      <c r="J618" s="189" t="inlineStr">
        <is>
          <t>NO</t>
        </is>
      </c>
      <c r="K618" s="189" t="inlineStr">
        <is>
          <t>https://nvd.nist.gov/vuln/detail/CVE-2025-69304</t>
        </is>
      </c>
      <c r="L618" s="189" t="inlineStr">
        <is>
          <t>2026-02-26 00:15</t>
        </is>
      </c>
      <c r="M618" s="189" t="inlineStr">
        <is>
          <t>CHECK_VENDOR</t>
        </is>
      </c>
      <c r="N618" s="189" t="inlineStr">
        <is>
          <t>See NVD references</t>
        </is>
      </c>
      <c r="O618" s="189" t="inlineStr">
        <is>
          <t>Apply vendor patches</t>
        </is>
      </c>
      <c r="P618" s="189" t="inlineStr">
        <is>
          <t>See CVE details</t>
        </is>
      </c>
      <c r="Q618" s="189" t="inlineStr">
        <is>
          <t>P3</t>
        </is>
      </c>
      <c r="R618" s="189" t="inlineStr">
        <is>
          <t>🚨 URGENT: Apply vendor patches immediately | 🔒 Isolate affected systems if patch unavailable | 🛡️ Enable additional monitoring/IDS rules</t>
        </is>
      </c>
      <c r="S618" s="189" t="inlineStr">
        <is>
          <t>CVE - IP enrichment n/a</t>
        </is>
      </c>
      <c r="T618" s="189" t="n">
        <v>0</v>
      </c>
      <c r="U618" s="189" t="n">
        <v>0</v>
      </c>
      <c r="V618" s="189" t="inlineStr">
        <is>
          <t>T1190:Exploit Public-Facing Application</t>
        </is>
      </c>
      <c r="W618" s="189" t="n">
        <v>1</v>
      </c>
      <c r="X618" s="189" t="inlineStr">
        <is>
          <t>LOW (40%)</t>
        </is>
      </c>
      <c r="Y618" s="189" t="inlineStr">
        <is>
          <t>UNLIKELY</t>
        </is>
      </c>
      <c r="Z618" s="189" t="inlineStr">
        <is>
          <t>CHECK_VENDOR</t>
        </is>
      </c>
      <c r="AA618" s="189" t="inlineStr">
        <is>
          <t>https://nvd.nist.gov/vuln/detail/CVE-2025-69304</t>
        </is>
      </c>
      <c r="AB618" s="189" t="inlineStr">
        <is>
          <t>NONE</t>
        </is>
      </c>
      <c r="AC618" s="189" t="n">
        <v>0</v>
      </c>
      <c r="AD618" s="189" t="inlineStr"/>
    </row>
    <row r="619">
      <c r="A619" s="189" t="inlineStr">
        <is>
          <t>CVE</t>
        </is>
      </c>
      <c r="B619" s="189" t="inlineStr">
        <is>
          <t>CVE-2025-69305</t>
        </is>
      </c>
      <c r="C619" s="189" t="inlineStr">
        <is>
          <t>Improper Neutralization of Special Elements used in an SQL Command ('SQL Injection') vulnerability in TeconceTheme Crete Core crete-core allows Blind SQL Injection.This issue affects Crete Core: from n/a through &lt;= 1.4.3.</t>
        </is>
      </c>
      <c r="D619" s="189" t="n">
        <v>9.300000000000001</v>
      </c>
      <c r="E619" s="189" t="inlineStr">
        <is>
          <t>CRITICAL</t>
        </is>
      </c>
      <c r="F619" s="189" t="n">
        <v>2</v>
      </c>
      <c r="G619" s="189" t="n">
        <v>3</v>
      </c>
      <c r="H619" s="189" t="inlineStr">
        <is>
          <t>HIGH</t>
        </is>
      </c>
      <c r="I619" s="189" t="n">
        <v>15.3</v>
      </c>
      <c r="J619" s="189" t="inlineStr">
        <is>
          <t>NO</t>
        </is>
      </c>
      <c r="K619" s="189" t="inlineStr">
        <is>
          <t>https://nvd.nist.gov/vuln/detail/CVE-2025-69305</t>
        </is>
      </c>
      <c r="L619" s="189" t="inlineStr">
        <is>
          <t>2026-02-26 00:15</t>
        </is>
      </c>
      <c r="M619" s="189" t="inlineStr">
        <is>
          <t>CHECK_VENDOR</t>
        </is>
      </c>
      <c r="N619" s="189" t="inlineStr">
        <is>
          <t>See NVD references</t>
        </is>
      </c>
      <c r="O619" s="189" t="inlineStr">
        <is>
          <t>Apply vendor patches</t>
        </is>
      </c>
      <c r="P619" s="189" t="inlineStr">
        <is>
          <t>See CVE details</t>
        </is>
      </c>
      <c r="Q619" s="189" t="inlineStr">
        <is>
          <t>P3</t>
        </is>
      </c>
      <c r="R619" s="189" t="inlineStr">
        <is>
          <t>🚨 URGENT: Apply vendor patches immediately | 🔒 Isolate affected systems if patch unavailable | 🛡️ Enable additional monitoring/IDS rules</t>
        </is>
      </c>
      <c r="S619" s="189" t="inlineStr">
        <is>
          <t>CVE - IP enrichment n/a</t>
        </is>
      </c>
      <c r="T619" s="189" t="n">
        <v>0</v>
      </c>
      <c r="U619" s="189" t="n">
        <v>0</v>
      </c>
      <c r="V619" s="189" t="inlineStr">
        <is>
          <t>T1190:Exploit Public-Facing Application</t>
        </is>
      </c>
      <c r="W619" s="189" t="n">
        <v>1</v>
      </c>
      <c r="X619" s="189" t="inlineStr">
        <is>
          <t>LOW (40%)</t>
        </is>
      </c>
      <c r="Y619" s="189" t="inlineStr">
        <is>
          <t>UNLIKELY</t>
        </is>
      </c>
      <c r="Z619" s="189" t="inlineStr">
        <is>
          <t>CHECK_VENDOR</t>
        </is>
      </c>
      <c r="AA619" s="189" t="inlineStr">
        <is>
          <t>https://nvd.nist.gov/vuln/detail/CVE-2025-69305</t>
        </is>
      </c>
      <c r="AB619" s="189" t="inlineStr">
        <is>
          <t>NONE</t>
        </is>
      </c>
      <c r="AC619" s="189" t="n">
        <v>0</v>
      </c>
      <c r="AD619" s="189" t="inlineStr"/>
    </row>
    <row r="620">
      <c r="A620" s="189" t="inlineStr">
        <is>
          <t>CVE</t>
        </is>
      </c>
      <c r="B620" s="189" t="inlineStr">
        <is>
          <t>CVE-2025-69306</t>
        </is>
      </c>
      <c r="C620" s="189" t="inlineStr">
        <is>
          <t>Improper Neutralization of Special Elements used in an SQL Command ('SQL Injection') vulnerability in TeconceTheme Electio Core electio-core allows Blind SQL Injection.This issue affects Electio Core: from n/a through &lt;= 1.4.</t>
        </is>
      </c>
      <c r="D620" s="189" t="n">
        <v>9.300000000000001</v>
      </c>
      <c r="E620" s="189" t="inlineStr">
        <is>
          <t>CRITICAL</t>
        </is>
      </c>
      <c r="F620" s="189" t="n">
        <v>2</v>
      </c>
      <c r="G620" s="189" t="n">
        <v>3</v>
      </c>
      <c r="H620" s="189" t="inlineStr">
        <is>
          <t>HIGH</t>
        </is>
      </c>
      <c r="I620" s="189" t="n">
        <v>15.3</v>
      </c>
      <c r="J620" s="189" t="inlineStr">
        <is>
          <t>NO</t>
        </is>
      </c>
      <c r="K620" s="189" t="inlineStr">
        <is>
          <t>https://nvd.nist.gov/vuln/detail/CVE-2025-69306</t>
        </is>
      </c>
      <c r="L620" s="189" t="inlineStr">
        <is>
          <t>2026-02-26 00:15</t>
        </is>
      </c>
      <c r="M620" s="189" t="inlineStr">
        <is>
          <t>CHECK_VENDOR</t>
        </is>
      </c>
      <c r="N620" s="189" t="inlineStr">
        <is>
          <t>See NVD references</t>
        </is>
      </c>
      <c r="O620" s="189" t="inlineStr">
        <is>
          <t>Apply vendor patches</t>
        </is>
      </c>
      <c r="P620" s="189" t="inlineStr">
        <is>
          <t>See CVE details</t>
        </is>
      </c>
      <c r="Q620" s="189" t="inlineStr">
        <is>
          <t>P3</t>
        </is>
      </c>
      <c r="R620" s="189" t="inlineStr">
        <is>
          <t>🚨 URGENT: Apply vendor patches immediately | 🔒 Isolate affected systems if patch unavailable | 🛡️ Enable additional monitoring/IDS rules</t>
        </is>
      </c>
      <c r="S620" s="189" t="inlineStr">
        <is>
          <t>CVE - IP enrichment n/a</t>
        </is>
      </c>
      <c r="T620" s="189" t="n">
        <v>0.0003</v>
      </c>
      <c r="U620" s="189" t="n">
        <v>0.08359999999999999</v>
      </c>
      <c r="V620" s="189" t="inlineStr">
        <is>
          <t>T1190:Exploit Public-Facing Application</t>
        </is>
      </c>
      <c r="W620" s="189" t="n">
        <v>1</v>
      </c>
      <c r="X620" s="189" t="inlineStr">
        <is>
          <t>LOW (40%)</t>
        </is>
      </c>
      <c r="Y620" s="189" t="inlineStr">
        <is>
          <t>UNLIKELY</t>
        </is>
      </c>
      <c r="Z620" s="189" t="inlineStr">
        <is>
          <t>CHECK_VENDOR</t>
        </is>
      </c>
      <c r="AA620" s="189" t="inlineStr">
        <is>
          <t>https://nvd.nist.gov/vuln/detail/CVE-2025-69306</t>
        </is>
      </c>
      <c r="AB620" s="189" t="inlineStr">
        <is>
          <t>NONE</t>
        </is>
      </c>
      <c r="AC620" s="189" t="n">
        <v>0</v>
      </c>
      <c r="AD620" s="189" t="inlineStr"/>
    </row>
    <row r="621">
      <c r="A621" s="189" t="inlineStr">
        <is>
          <t>CVE</t>
        </is>
      </c>
      <c r="B621" s="189" t="inlineStr">
        <is>
          <t>CVE-2025-69307</t>
        </is>
      </c>
      <c r="C621" s="189" t="inlineStr">
        <is>
          <t>Improper Neutralization of Special Elements used in an SQL Command ('SQL Injection') vulnerability in TeconceTheme Medinik Core medinik-core allows Blind SQL Injection.This issue affects Medinik Core: from n/a through &lt;= 1.3.6.</t>
        </is>
      </c>
      <c r="D621" s="189" t="n">
        <v>9.300000000000001</v>
      </c>
      <c r="E621" s="189" t="inlineStr">
        <is>
          <t>CRITICAL</t>
        </is>
      </c>
      <c r="F621" s="189" t="n">
        <v>2</v>
      </c>
      <c r="G621" s="189" t="n">
        <v>3</v>
      </c>
      <c r="H621" s="189" t="inlineStr">
        <is>
          <t>HIGH</t>
        </is>
      </c>
      <c r="I621" s="189" t="n">
        <v>15.3</v>
      </c>
      <c r="J621" s="189" t="inlineStr">
        <is>
          <t>NO</t>
        </is>
      </c>
      <c r="K621" s="189" t="inlineStr">
        <is>
          <t>https://nvd.nist.gov/vuln/detail/CVE-2025-69307</t>
        </is>
      </c>
      <c r="L621" s="189" t="inlineStr">
        <is>
          <t>2026-02-26 00:15</t>
        </is>
      </c>
      <c r="M621" s="189" t="inlineStr">
        <is>
          <t>CHECK_VENDOR</t>
        </is>
      </c>
      <c r="N621" s="189" t="inlineStr">
        <is>
          <t>See NVD references</t>
        </is>
      </c>
      <c r="O621" s="189" t="inlineStr">
        <is>
          <t>Apply vendor patches</t>
        </is>
      </c>
      <c r="P621" s="189" t="inlineStr">
        <is>
          <t>See CVE details</t>
        </is>
      </c>
      <c r="Q621" s="189" t="inlineStr">
        <is>
          <t>P3</t>
        </is>
      </c>
      <c r="R621" s="189" t="inlineStr">
        <is>
          <t>🚨 URGENT: Apply vendor patches immediately | 🔒 Isolate affected systems if patch unavailable | 🛡️ Enable additional monitoring/IDS rules</t>
        </is>
      </c>
      <c r="S621" s="189" t="inlineStr">
        <is>
          <t>CVE - IP enrichment n/a</t>
        </is>
      </c>
      <c r="T621" s="189" t="n">
        <v>0.0003</v>
      </c>
      <c r="U621" s="189" t="n">
        <v>0.08359999999999999</v>
      </c>
      <c r="V621" s="189" t="inlineStr">
        <is>
          <t>T1190:Exploit Public-Facing Application</t>
        </is>
      </c>
      <c r="W621" s="189" t="n">
        <v>1</v>
      </c>
      <c r="X621" s="189" t="inlineStr">
        <is>
          <t>LOW (40%)</t>
        </is>
      </c>
      <c r="Y621" s="189" t="inlineStr">
        <is>
          <t>UNLIKELY</t>
        </is>
      </c>
      <c r="Z621" s="189" t="inlineStr">
        <is>
          <t>CHECK_VENDOR</t>
        </is>
      </c>
      <c r="AA621" s="189" t="inlineStr">
        <is>
          <t>https://nvd.nist.gov/vuln/detail/CVE-2025-69307</t>
        </is>
      </c>
      <c r="AB621" s="189" t="inlineStr">
        <is>
          <t>NONE</t>
        </is>
      </c>
      <c r="AC621" s="189" t="n">
        <v>0</v>
      </c>
      <c r="AD621" s="189" t="inlineStr"/>
    </row>
    <row r="622">
      <c r="A622" s="189" t="inlineStr">
        <is>
          <t>CVE</t>
        </is>
      </c>
      <c r="B622" s="189" t="inlineStr">
        <is>
          <t>CVE-2025-69308</t>
        </is>
      </c>
      <c r="C622" s="189" t="inlineStr">
        <is>
          <t>Improper Neutralization of Special Elements used in an SQL Command ('SQL Injection') vulnerability in TeconceTheme Nestbyte Core nestbyte-core allows Blind SQL Injection.This issue affects Nestbyte Core: from n/a through &lt;= 1.2.</t>
        </is>
      </c>
      <c r="D622" s="189" t="n">
        <v>9.300000000000001</v>
      </c>
      <c r="E622" s="189" t="inlineStr">
        <is>
          <t>CRITICAL</t>
        </is>
      </c>
      <c r="F622" s="189" t="n">
        <v>2</v>
      </c>
      <c r="G622" s="189" t="n">
        <v>3</v>
      </c>
      <c r="H622" s="189" t="inlineStr">
        <is>
          <t>HIGH</t>
        </is>
      </c>
      <c r="I622" s="189" t="n">
        <v>15.3</v>
      </c>
      <c r="J622" s="189" t="inlineStr">
        <is>
          <t>NO</t>
        </is>
      </c>
      <c r="K622" s="189" t="inlineStr">
        <is>
          <t>https://nvd.nist.gov/vuln/detail/CVE-2025-69308</t>
        </is>
      </c>
      <c r="L622" s="189" t="inlineStr">
        <is>
          <t>2026-02-26 00:15</t>
        </is>
      </c>
      <c r="M622" s="189" t="inlineStr">
        <is>
          <t>CHECK_VENDOR</t>
        </is>
      </c>
      <c r="N622" s="189" t="inlineStr">
        <is>
          <t>See NVD references</t>
        </is>
      </c>
      <c r="O622" s="189" t="inlineStr">
        <is>
          <t>Apply vendor patches</t>
        </is>
      </c>
      <c r="P622" s="189" t="inlineStr">
        <is>
          <t>See CVE details</t>
        </is>
      </c>
      <c r="Q622" s="189" t="inlineStr">
        <is>
          <t>P3</t>
        </is>
      </c>
      <c r="R622" s="189" t="inlineStr">
        <is>
          <t>🚨 URGENT: Apply vendor patches immediately | 🔒 Isolate affected systems if patch unavailable | 🛡️ Enable additional monitoring/IDS rules</t>
        </is>
      </c>
      <c r="S622" s="189" t="inlineStr">
        <is>
          <t>CVE - IP enrichment n/a</t>
        </is>
      </c>
      <c r="T622" s="189" t="n">
        <v>0</v>
      </c>
      <c r="U622" s="189" t="n">
        <v>0</v>
      </c>
      <c r="V622" s="189" t="inlineStr">
        <is>
          <t>T1190:Exploit Public-Facing Application</t>
        </is>
      </c>
      <c r="W622" s="189" t="n">
        <v>1</v>
      </c>
      <c r="X622" s="189" t="inlineStr">
        <is>
          <t>LOW (40%)</t>
        </is>
      </c>
      <c r="Y622" s="189" t="inlineStr">
        <is>
          <t>UNLIKELY</t>
        </is>
      </c>
      <c r="Z622" s="189" t="inlineStr">
        <is>
          <t>CHECK_VENDOR</t>
        </is>
      </c>
      <c r="AA622" s="189" t="inlineStr">
        <is>
          <t>https://nvd.nist.gov/vuln/detail/CVE-2025-69308</t>
        </is>
      </c>
      <c r="AB622" s="189" t="inlineStr">
        <is>
          <t>NONE</t>
        </is>
      </c>
      <c r="AC622" s="189" t="n">
        <v>0</v>
      </c>
      <c r="AD622" s="189" t="inlineStr"/>
    </row>
    <row r="623">
      <c r="A623" s="189" t="inlineStr">
        <is>
          <t>CVE</t>
        </is>
      </c>
      <c r="B623" s="189" t="inlineStr">
        <is>
          <t>CVE-2025-69309</t>
        </is>
      </c>
      <c r="C623" s="189" t="inlineStr">
        <is>
          <t>Improper Neutralization of Special Elements used in an SQL Command ('SQL Injection') vulnerability in TeconceTheme Saasplate Core saasplate-core allows Blind SQL Injection.This issue affects Saasplate Core: from n/a through &lt;= 1.2.8.</t>
        </is>
      </c>
      <c r="D623" s="189" t="n">
        <v>9.300000000000001</v>
      </c>
      <c r="E623" s="189" t="inlineStr">
        <is>
          <t>CRITICAL</t>
        </is>
      </c>
      <c r="F623" s="189" t="n">
        <v>2</v>
      </c>
      <c r="G623" s="189" t="n">
        <v>3</v>
      </c>
      <c r="H623" s="189" t="inlineStr">
        <is>
          <t>HIGH</t>
        </is>
      </c>
      <c r="I623" s="189" t="n">
        <v>15.3</v>
      </c>
      <c r="J623" s="189" t="inlineStr">
        <is>
          <t>NO</t>
        </is>
      </c>
      <c r="K623" s="189" t="inlineStr">
        <is>
          <t>https://nvd.nist.gov/vuln/detail/CVE-2025-69309</t>
        </is>
      </c>
      <c r="L623" s="189" t="inlineStr">
        <is>
          <t>2026-02-26 00:15</t>
        </is>
      </c>
      <c r="M623" s="189" t="inlineStr">
        <is>
          <t>CHECK_VENDOR</t>
        </is>
      </c>
      <c r="N623" s="189" t="inlineStr">
        <is>
          <t>See NVD references</t>
        </is>
      </c>
      <c r="O623" s="189" t="inlineStr">
        <is>
          <t>Apply vendor patches</t>
        </is>
      </c>
      <c r="P623" s="189" t="inlineStr">
        <is>
          <t>See CVE details</t>
        </is>
      </c>
      <c r="Q623" s="189" t="inlineStr">
        <is>
          <t>P3</t>
        </is>
      </c>
      <c r="R623" s="189" t="inlineStr">
        <is>
          <t>🚨 URGENT: Apply vendor patches immediately | 🔒 Isolate affected systems if patch unavailable | 🛡️ Enable additional monitoring/IDS rules</t>
        </is>
      </c>
      <c r="S623" s="189" t="inlineStr">
        <is>
          <t>CVE - IP enrichment n/a</t>
        </is>
      </c>
      <c r="T623" s="189" t="n">
        <v>0.0003</v>
      </c>
      <c r="U623" s="189" t="n">
        <v>0.08359999999999999</v>
      </c>
      <c r="V623" s="189" t="inlineStr">
        <is>
          <t>T1190:Exploit Public-Facing Application</t>
        </is>
      </c>
      <c r="W623" s="189" t="n">
        <v>1</v>
      </c>
      <c r="X623" s="189" t="inlineStr">
        <is>
          <t>LOW (40%)</t>
        </is>
      </c>
      <c r="Y623" s="189" t="inlineStr">
        <is>
          <t>UNLIKELY</t>
        </is>
      </c>
      <c r="Z623" s="189" t="inlineStr">
        <is>
          <t>CHECK_VENDOR</t>
        </is>
      </c>
      <c r="AA623" s="189" t="inlineStr">
        <is>
          <t>https://nvd.nist.gov/vuln/detail/CVE-2025-69309</t>
        </is>
      </c>
      <c r="AB623" s="189" t="inlineStr">
        <is>
          <t>NONE</t>
        </is>
      </c>
      <c r="AC623" s="189" t="n">
        <v>0</v>
      </c>
      <c r="AD623" s="189" t="inlineStr"/>
    </row>
    <row r="624">
      <c r="A624" s="189" t="inlineStr">
        <is>
          <t>CVE</t>
        </is>
      </c>
      <c r="B624" s="189" t="inlineStr">
        <is>
          <t>CVE-2025-69310</t>
        </is>
      </c>
      <c r="C624" s="189" t="inlineStr">
        <is>
          <t>Improper Neutralization of Special Elements used in an SQL Command ('SQL Injection') vulnerability in TeconceTheme Woodly Core woodly-core allows Blind SQL Injection.This issue affects Woodly Core: from n/a through &lt;= 1.4.</t>
        </is>
      </c>
      <c r="D624" s="189" t="n">
        <v>9.300000000000001</v>
      </c>
      <c r="E624" s="189" t="inlineStr">
        <is>
          <t>CRITICAL</t>
        </is>
      </c>
      <c r="F624" s="189" t="n">
        <v>2</v>
      </c>
      <c r="G624" s="189" t="n">
        <v>3</v>
      </c>
      <c r="H624" s="189" t="inlineStr">
        <is>
          <t>HIGH</t>
        </is>
      </c>
      <c r="I624" s="189" t="n">
        <v>15.3</v>
      </c>
      <c r="J624" s="189" t="inlineStr">
        <is>
          <t>NO</t>
        </is>
      </c>
      <c r="K624" s="189" t="inlineStr">
        <is>
          <t>https://nvd.nist.gov/vuln/detail/CVE-2025-69310</t>
        </is>
      </c>
      <c r="L624" s="189" t="inlineStr">
        <is>
          <t>2026-02-26 00:15</t>
        </is>
      </c>
      <c r="M624" s="189" t="inlineStr">
        <is>
          <t>CHECK_VENDOR</t>
        </is>
      </c>
      <c r="N624" s="189" t="inlineStr">
        <is>
          <t>See NVD references</t>
        </is>
      </c>
      <c r="O624" s="189" t="inlineStr">
        <is>
          <t>Apply vendor patches</t>
        </is>
      </c>
      <c r="P624" s="189" t="inlineStr">
        <is>
          <t>See CVE details</t>
        </is>
      </c>
      <c r="Q624" s="189" t="inlineStr">
        <is>
          <t>P3</t>
        </is>
      </c>
      <c r="R624" s="189" t="inlineStr">
        <is>
          <t>🚨 URGENT: Apply vendor patches immediately | 🔒 Isolate affected systems if patch unavailable | 🛡️ Enable additional monitoring/IDS rules</t>
        </is>
      </c>
      <c r="S624" s="189" t="inlineStr">
        <is>
          <t>CVE - IP enrichment n/a</t>
        </is>
      </c>
      <c r="T624" s="189" t="n">
        <v>0</v>
      </c>
      <c r="U624" s="189" t="n">
        <v>0</v>
      </c>
      <c r="V624" s="189" t="inlineStr">
        <is>
          <t>T1190:Exploit Public-Facing Application</t>
        </is>
      </c>
      <c r="W624" s="189" t="n">
        <v>1</v>
      </c>
      <c r="X624" s="189" t="inlineStr">
        <is>
          <t>LOW (40%)</t>
        </is>
      </c>
      <c r="Y624" s="189" t="inlineStr">
        <is>
          <t>UNLIKELY</t>
        </is>
      </c>
      <c r="Z624" s="189" t="inlineStr">
        <is>
          <t>CHECK_VENDOR</t>
        </is>
      </c>
      <c r="AA624" s="189" t="inlineStr">
        <is>
          <t>https://nvd.nist.gov/vuln/detail/CVE-2025-69310</t>
        </is>
      </c>
      <c r="AB624" s="189" t="inlineStr">
        <is>
          <t>NONE</t>
        </is>
      </c>
      <c r="AC624" s="189" t="n">
        <v>0</v>
      </c>
      <c r="AD624" s="189" t="inlineStr"/>
    </row>
    <row r="625">
      <c r="A625" s="188" t="inlineStr">
        <is>
          <t>CVE</t>
        </is>
      </c>
      <c r="B625" s="188" t="inlineStr">
        <is>
          <t>CVE-2025-69322</t>
        </is>
      </c>
      <c r="C625" s="188" t="inlineStr">
        <is>
          <t>Improper Control of Filename for Include/Require Statement in PHP Program ('PHP Remote File Inclusion') vulnerability in fuelthemes PeakShops peakshops allows PHP Local File Inclusion.This issue affects PeakShops: from n/a through &lt; 1.5.9.</t>
        </is>
      </c>
      <c r="D625" s="188" t="n">
        <v>8.1</v>
      </c>
      <c r="E625" s="188" t="inlineStr">
        <is>
          <t>HIGH</t>
        </is>
      </c>
      <c r="F625" s="188" t="n">
        <v>2</v>
      </c>
      <c r="G625" s="188" t="n">
        <v>3</v>
      </c>
      <c r="H625" s="188" t="inlineStr">
        <is>
          <t>HIGH</t>
        </is>
      </c>
      <c r="I625" s="188" t="n">
        <v>14.1</v>
      </c>
      <c r="J625" s="188" t="inlineStr">
        <is>
          <t>NO</t>
        </is>
      </c>
      <c r="K625" s="188" t="inlineStr">
        <is>
          <t>https://nvd.nist.gov/vuln/detail/CVE-2025-69322</t>
        </is>
      </c>
      <c r="L625" s="188" t="inlineStr">
        <is>
          <t>2026-02-26 00:15</t>
        </is>
      </c>
      <c r="M625" s="188" t="inlineStr">
        <is>
          <t>CHECK_VENDOR</t>
        </is>
      </c>
      <c r="N625" s="188" t="inlineStr">
        <is>
          <t>See NVD references</t>
        </is>
      </c>
      <c r="O625" s="188" t="inlineStr">
        <is>
          <t>Apply vendor patches</t>
        </is>
      </c>
      <c r="P625" s="188" t="inlineStr">
        <is>
          <t>See CVE details</t>
        </is>
      </c>
      <c r="Q625" s="188" t="inlineStr">
        <is>
          <t>P3</t>
        </is>
      </c>
      <c r="R625" s="188" t="inlineStr">
        <is>
          <t>🚨 URGENT: Apply vendor patches immediately | 🔒 Isolate affected systems if patch unavailable | 🛡️ Enable additional monitoring/IDS rules</t>
        </is>
      </c>
      <c r="S625" s="188" t="inlineStr">
        <is>
          <t>CVE - IP enrichment n/a</t>
        </is>
      </c>
      <c r="T625" s="188" t="n">
        <v>0</v>
      </c>
      <c r="U625" s="188" t="n">
        <v>0</v>
      </c>
      <c r="V625" s="188" t="inlineStr">
        <is>
          <t>T1190:Exploit Public-Facing Application</t>
        </is>
      </c>
      <c r="W625" s="188" t="n">
        <v>1</v>
      </c>
      <c r="X625" s="188" t="inlineStr">
        <is>
          <t>LOW (40%)</t>
        </is>
      </c>
      <c r="Y625" s="188" t="inlineStr">
        <is>
          <t>UNLIKELY</t>
        </is>
      </c>
      <c r="Z625" s="188" t="inlineStr">
        <is>
          <t>CHECK_VENDOR</t>
        </is>
      </c>
      <c r="AA625" s="188" t="inlineStr">
        <is>
          <t>https://nvd.nist.gov/vuln/detail/CVE-2025-69322</t>
        </is>
      </c>
      <c r="AB625" s="188" t="inlineStr">
        <is>
          <t>NONE</t>
        </is>
      </c>
      <c r="AC625" s="188" t="n">
        <v>0</v>
      </c>
      <c r="AD625" s="188" t="inlineStr"/>
    </row>
    <row r="626">
      <c r="A626" s="188" t="inlineStr">
        <is>
          <t>CVE</t>
        </is>
      </c>
      <c r="B626" s="188" t="inlineStr">
        <is>
          <t>CVE-2025-69323</t>
        </is>
      </c>
      <c r="C626" s="188" t="inlineStr">
        <is>
          <t>Improper Neutralization of Input During Web Page Generation ('Cross-site Scripting') vulnerability in VeronaLabs Slimstat Analytics wp-slimstat allows Reflected XSS.This issue affects Slimstat Analytics: from n/a through &lt;= 5.3.2.</t>
        </is>
      </c>
      <c r="D626" s="188" t="n">
        <v>7.1</v>
      </c>
      <c r="E626" s="188" t="inlineStr">
        <is>
          <t>HIGH</t>
        </is>
      </c>
      <c r="F626" s="188" t="n">
        <v>2</v>
      </c>
      <c r="G626" s="188" t="n">
        <v>3</v>
      </c>
      <c r="H626" s="188" t="inlineStr">
        <is>
          <t>HIGH</t>
        </is>
      </c>
      <c r="I626" s="188" t="n">
        <v>13.1</v>
      </c>
      <c r="J626" s="188" t="inlineStr">
        <is>
          <t>NO</t>
        </is>
      </c>
      <c r="K626" s="188" t="inlineStr">
        <is>
          <t>https://nvd.nist.gov/vuln/detail/CVE-2025-69323</t>
        </is>
      </c>
      <c r="L626" s="188" t="inlineStr">
        <is>
          <t>2026-02-26 00:15</t>
        </is>
      </c>
      <c r="M626" s="188" t="inlineStr">
        <is>
          <t>CHECK_VENDOR</t>
        </is>
      </c>
      <c r="N626" s="188" t="inlineStr">
        <is>
          <t>See NVD references</t>
        </is>
      </c>
      <c r="O626" s="188" t="inlineStr">
        <is>
          <t>Apply vendor patches</t>
        </is>
      </c>
      <c r="P626" s="188" t="inlineStr">
        <is>
          <t>See CVE details</t>
        </is>
      </c>
      <c r="Q626" s="188" t="inlineStr">
        <is>
          <t>P3</t>
        </is>
      </c>
      <c r="R626" s="188" t="inlineStr">
        <is>
          <t>🚨 URGENT: Apply vendor patches immediately | 🔒 Isolate affected systems if patch unavailable | 🛡️ Enable additional monitoring/IDS rules</t>
        </is>
      </c>
      <c r="S626" s="188" t="inlineStr">
        <is>
          <t>CVE - IP enrichment n/a</t>
        </is>
      </c>
      <c r="T626" s="188" t="n">
        <v>0</v>
      </c>
      <c r="U626" s="188" t="n">
        <v>0</v>
      </c>
      <c r="V626" s="188" t="inlineStr">
        <is>
          <t>T1189:Drive-by Compromise</t>
        </is>
      </c>
      <c r="W626" s="188" t="n">
        <v>1</v>
      </c>
      <c r="X626" s="188" t="inlineStr">
        <is>
          <t>LOW (40%)</t>
        </is>
      </c>
      <c r="Y626" s="188" t="inlineStr">
        <is>
          <t>UNLIKELY</t>
        </is>
      </c>
      <c r="Z626" s="188" t="inlineStr">
        <is>
          <t>CHECK_VENDOR</t>
        </is>
      </c>
      <c r="AA626" s="188" t="inlineStr">
        <is>
          <t>https://nvd.nist.gov/vuln/detail/CVE-2025-69323</t>
        </is>
      </c>
      <c r="AB626" s="188" t="inlineStr">
        <is>
          <t>NONE</t>
        </is>
      </c>
      <c r="AC626" s="188" t="n">
        <v>0</v>
      </c>
      <c r="AD626" s="188" t="inlineStr"/>
    </row>
    <row r="627">
      <c r="A627" s="188" t="inlineStr">
        <is>
          <t>CVE</t>
        </is>
      </c>
      <c r="B627" s="188" t="inlineStr">
        <is>
          <t>CVE-2025-69324</t>
        </is>
      </c>
      <c r="C627" s="188" t="inlineStr">
        <is>
          <t>Improper Neutralization of Input During Web Page Generation ('Cross-site Scripting') vulnerability in Basix NEX-Forms nex-forms-express-wp-form-builder allows Stored XSS.This issue affects NEX-Forms: from n/a through &lt;= 9.1.7.</t>
        </is>
      </c>
      <c r="D627" s="188" t="n">
        <v>7.1</v>
      </c>
      <c r="E627" s="188" t="inlineStr">
        <is>
          <t>HIGH</t>
        </is>
      </c>
      <c r="F627" s="188" t="n">
        <v>2</v>
      </c>
      <c r="G627" s="188" t="n">
        <v>3</v>
      </c>
      <c r="H627" s="188" t="inlineStr">
        <is>
          <t>HIGH</t>
        </is>
      </c>
      <c r="I627" s="188" t="n">
        <v>13.1</v>
      </c>
      <c r="J627" s="188" t="inlineStr">
        <is>
          <t>NO</t>
        </is>
      </c>
      <c r="K627" s="188" t="inlineStr">
        <is>
          <t>https://nvd.nist.gov/vuln/detail/CVE-2025-69324</t>
        </is>
      </c>
      <c r="L627" s="188" t="inlineStr">
        <is>
          <t>2026-02-26 00:15</t>
        </is>
      </c>
      <c r="M627" s="188" t="inlineStr">
        <is>
          <t>CHECK_VENDOR</t>
        </is>
      </c>
      <c r="N627" s="188" t="inlineStr">
        <is>
          <t>See NVD references</t>
        </is>
      </c>
      <c r="O627" s="188" t="inlineStr">
        <is>
          <t>Apply vendor patches</t>
        </is>
      </c>
      <c r="P627" s="188" t="inlineStr">
        <is>
          <t>See CVE details</t>
        </is>
      </c>
      <c r="Q627" s="188" t="inlineStr">
        <is>
          <t>P3</t>
        </is>
      </c>
      <c r="R627" s="188" t="inlineStr">
        <is>
          <t>🚨 URGENT: Apply vendor patches immediately | 🔒 Isolate affected systems if patch unavailable | 🛡️ Enable additional monitoring/IDS rules</t>
        </is>
      </c>
      <c r="S627" s="188" t="inlineStr">
        <is>
          <t>CVE - IP enrichment n/a</t>
        </is>
      </c>
      <c r="T627" s="188" t="n">
        <v>0</v>
      </c>
      <c r="U627" s="188" t="n">
        <v>0</v>
      </c>
      <c r="V627" s="188" t="inlineStr">
        <is>
          <t>T1189:Drive-by Compromise</t>
        </is>
      </c>
      <c r="W627" s="188" t="n">
        <v>1</v>
      </c>
      <c r="X627" s="188" t="inlineStr">
        <is>
          <t>LOW (40%)</t>
        </is>
      </c>
      <c r="Y627" s="188" t="inlineStr">
        <is>
          <t>UNLIKELY</t>
        </is>
      </c>
      <c r="Z627" s="188" t="inlineStr">
        <is>
          <t>CHECK_VENDOR</t>
        </is>
      </c>
      <c r="AA627" s="188" t="inlineStr">
        <is>
          <t>https://nvd.nist.gov/vuln/detail/CVE-2025-69324</t>
        </is>
      </c>
      <c r="AB627" s="188" t="inlineStr">
        <is>
          <t>NONE</t>
        </is>
      </c>
      <c r="AC627" s="188" t="n">
        <v>0</v>
      </c>
      <c r="AD627" s="188" t="inlineStr"/>
    </row>
    <row r="628">
      <c r="A628" s="187" t="inlineStr">
        <is>
          <t>CVE</t>
        </is>
      </c>
      <c r="B628" s="187" t="inlineStr">
        <is>
          <t>CVE-2025-69325</t>
        </is>
      </c>
      <c r="C628" s="187" t="inlineStr">
        <is>
          <t>Path Traversal: '.../...//' vulnerability in primersoftware Primer MyData for Woocommerce primer-mydata allows Path Traversal.This issue affects Primer MyData for Woocommerce: from n/a through &lt;= 4.2.8.</t>
        </is>
      </c>
      <c r="D628" s="187" t="n">
        <v>5.3</v>
      </c>
      <c r="E628" s="187" t="inlineStr">
        <is>
          <t>MEDIUM</t>
        </is>
      </c>
      <c r="F628" s="187" t="n">
        <v>2</v>
      </c>
      <c r="G628" s="187" t="n">
        <v>2</v>
      </c>
      <c r="H628" s="187" t="inlineStr">
        <is>
          <t>MEDIUM</t>
        </is>
      </c>
      <c r="I628" s="187" t="n">
        <v>9.300000000000001</v>
      </c>
      <c r="J628" s="187" t="inlineStr">
        <is>
          <t>NO</t>
        </is>
      </c>
      <c r="K628" s="187" t="inlineStr">
        <is>
          <t>https://nvd.nist.gov/vuln/detail/CVE-2025-69325</t>
        </is>
      </c>
      <c r="L628" s="187" t="inlineStr">
        <is>
          <t>2026-02-26 00:15</t>
        </is>
      </c>
      <c r="M628" s="187" t="inlineStr">
        <is>
          <t>CHECK_VENDOR</t>
        </is>
      </c>
      <c r="N628" s="187" t="inlineStr">
        <is>
          <t>See NVD references</t>
        </is>
      </c>
      <c r="O628" s="187" t="inlineStr">
        <is>
          <t>Apply vendor patches</t>
        </is>
      </c>
      <c r="P628" s="187" t="inlineStr">
        <is>
          <t>See CVE details</t>
        </is>
      </c>
      <c r="Q628" s="187" t="inlineStr">
        <is>
          <t>P4</t>
        </is>
      </c>
      <c r="R628" s="187" t="inlineStr">
        <is>
          <t>📅 Schedule patch deployment within 30 days | 🔍 Monitor for exploitation attempts</t>
        </is>
      </c>
      <c r="S628" s="187" t="inlineStr">
        <is>
          <t>CVE - IP enrichment n/a</t>
        </is>
      </c>
      <c r="T628" s="187" t="n">
        <v>0</v>
      </c>
      <c r="U628" s="187" t="n">
        <v>0</v>
      </c>
      <c r="V628" s="187" t="inlineStr">
        <is>
          <t>T1190:Exploit Public-Facing Application | T1083:File and Directory Discovery</t>
        </is>
      </c>
      <c r="W628" s="187" t="n">
        <v>1</v>
      </c>
      <c r="X628" s="187" t="inlineStr">
        <is>
          <t>LOW (40%)</t>
        </is>
      </c>
      <c r="Y628" s="187" t="inlineStr">
        <is>
          <t>UNLIKELY</t>
        </is>
      </c>
      <c r="Z628" s="187" t="inlineStr">
        <is>
          <t>CHECK_VENDOR</t>
        </is>
      </c>
      <c r="AA628" s="187" t="inlineStr">
        <is>
          <t>https://nvd.nist.gov/vuln/detail/CVE-2025-69325</t>
        </is>
      </c>
      <c r="AB628" s="187" t="inlineStr">
        <is>
          <t>NONE</t>
        </is>
      </c>
      <c r="AC628" s="187" t="n">
        <v>0</v>
      </c>
      <c r="AD628" s="187" t="inlineStr"/>
    </row>
    <row r="629">
      <c r="A629" s="188" t="inlineStr">
        <is>
          <t>CVE</t>
        </is>
      </c>
      <c r="B629" s="188" t="inlineStr">
        <is>
          <t>CVE-2025-69326</t>
        </is>
      </c>
      <c r="C629" s="188" t="inlineStr">
        <is>
          <t>Improper Neutralization of Input During Web Page Generation ('Cross-site Scripting') vulnerability in Basix NEX-Forms nex-forms-express-wp-form-builder allows Reflected XSS.This issue affects NEX-Forms: from n/a through &lt;= 9.1.7.</t>
        </is>
      </c>
      <c r="D629" s="188" t="n">
        <v>7.1</v>
      </c>
      <c r="E629" s="188" t="inlineStr">
        <is>
          <t>HIGH</t>
        </is>
      </c>
      <c r="F629" s="188" t="n">
        <v>2</v>
      </c>
      <c r="G629" s="188" t="n">
        <v>3</v>
      </c>
      <c r="H629" s="188" t="inlineStr">
        <is>
          <t>HIGH</t>
        </is>
      </c>
      <c r="I629" s="188" t="n">
        <v>13.1</v>
      </c>
      <c r="J629" s="188" t="inlineStr">
        <is>
          <t>NO</t>
        </is>
      </c>
      <c r="K629" s="188" t="inlineStr">
        <is>
          <t>https://nvd.nist.gov/vuln/detail/CVE-2025-69326</t>
        </is>
      </c>
      <c r="L629" s="188" t="inlineStr">
        <is>
          <t>2026-02-26 00:15</t>
        </is>
      </c>
      <c r="M629" s="188" t="inlineStr">
        <is>
          <t>CHECK_VENDOR</t>
        </is>
      </c>
      <c r="N629" s="188" t="inlineStr">
        <is>
          <t>See NVD references</t>
        </is>
      </c>
      <c r="O629" s="188" t="inlineStr">
        <is>
          <t>Apply vendor patches</t>
        </is>
      </c>
      <c r="P629" s="188" t="inlineStr">
        <is>
          <t>See CVE details</t>
        </is>
      </c>
      <c r="Q629" s="188" t="inlineStr">
        <is>
          <t>P3</t>
        </is>
      </c>
      <c r="R629" s="188" t="inlineStr">
        <is>
          <t>🚨 URGENT: Apply vendor patches immediately | 🔒 Isolate affected systems if patch unavailable | 🛡️ Enable additional monitoring/IDS rules</t>
        </is>
      </c>
      <c r="S629" s="188" t="inlineStr">
        <is>
          <t>CVE - IP enrichment n/a</t>
        </is>
      </c>
      <c r="T629" s="188" t="n">
        <v>0</v>
      </c>
      <c r="U629" s="188" t="n">
        <v>0</v>
      </c>
      <c r="V629" s="188" t="inlineStr">
        <is>
          <t>T1189:Drive-by Compromise</t>
        </is>
      </c>
      <c r="W629" s="188" t="n">
        <v>1</v>
      </c>
      <c r="X629" s="188" t="inlineStr">
        <is>
          <t>LOW (40%)</t>
        </is>
      </c>
      <c r="Y629" s="188" t="inlineStr">
        <is>
          <t>UNLIKELY</t>
        </is>
      </c>
      <c r="Z629" s="188" t="inlineStr">
        <is>
          <t>CHECK_VENDOR</t>
        </is>
      </c>
      <c r="AA629" s="188" t="inlineStr">
        <is>
          <t>https://nvd.nist.gov/vuln/detail/CVE-2025-69326</t>
        </is>
      </c>
      <c r="AB629" s="188" t="inlineStr">
        <is>
          <t>NONE</t>
        </is>
      </c>
      <c r="AC629" s="188" t="n">
        <v>0</v>
      </c>
      <c r="AD629" s="188" t="inlineStr"/>
    </row>
    <row r="630">
      <c r="A630" s="188" t="inlineStr">
        <is>
          <t>CVE</t>
        </is>
      </c>
      <c r="B630" s="188" t="inlineStr">
        <is>
          <t>CVE-2025-69328</t>
        </is>
      </c>
      <c r="C630" s="188" t="inlineStr">
        <is>
          <t>Deserialization of Untrusted Data vulnerability in magepeopleteam Booking and Rental Manager booking-and-rental-manager-for-woocommerce allows Object Injection.This issue affects Booking and Rental Manager: from n/a through &lt;= 2.5.9.</t>
        </is>
      </c>
      <c r="D630" s="188" t="n">
        <v>8.800000000000001</v>
      </c>
      <c r="E630" s="188" t="inlineStr">
        <is>
          <t>HIGH</t>
        </is>
      </c>
      <c r="F630" s="188" t="n">
        <v>2</v>
      </c>
      <c r="G630" s="188" t="n">
        <v>3</v>
      </c>
      <c r="H630" s="188" t="inlineStr">
        <is>
          <t>HIGH</t>
        </is>
      </c>
      <c r="I630" s="188" t="n">
        <v>14.8</v>
      </c>
      <c r="J630" s="188" t="inlineStr">
        <is>
          <t>NO</t>
        </is>
      </c>
      <c r="K630" s="188" t="inlineStr">
        <is>
          <t>https://nvd.nist.gov/vuln/detail/CVE-2025-69328</t>
        </is>
      </c>
      <c r="L630" s="188" t="inlineStr">
        <is>
          <t>2026-02-26 00:15</t>
        </is>
      </c>
      <c r="M630" s="188" t="inlineStr">
        <is>
          <t>CHECK_VENDOR</t>
        </is>
      </c>
      <c r="N630" s="188" t="inlineStr">
        <is>
          <t>See NVD references</t>
        </is>
      </c>
      <c r="O630" s="188" t="inlineStr">
        <is>
          <t>Apply vendor patches</t>
        </is>
      </c>
      <c r="P630" s="188" t="inlineStr">
        <is>
          <t>See CVE details</t>
        </is>
      </c>
      <c r="Q630" s="188" t="inlineStr">
        <is>
          <t>P3</t>
        </is>
      </c>
      <c r="R630" s="188" t="inlineStr">
        <is>
          <t>🚨 URGENT: Apply vendor patches immediately | 🔒 Isolate affected systems if patch unavailable | 🛡️ Enable additional monitoring/IDS rules</t>
        </is>
      </c>
      <c r="S630" s="188" t="inlineStr">
        <is>
          <t>CVE - IP enrichment n/a</t>
        </is>
      </c>
      <c r="T630" s="188" t="n">
        <v>0.0005</v>
      </c>
      <c r="U630" s="188" t="n">
        <v>0.148</v>
      </c>
      <c r="V630" s="188" t="inlineStr">
        <is>
          <t>T1059:Command and Scripting Interpreter | T1190:Exploit Public-Facing Application</t>
        </is>
      </c>
      <c r="W630" s="188" t="n">
        <v>1</v>
      </c>
      <c r="X630" s="188" t="inlineStr">
        <is>
          <t>LOW (40%)</t>
        </is>
      </c>
      <c r="Y630" s="188" t="inlineStr">
        <is>
          <t>UNLIKELY</t>
        </is>
      </c>
      <c r="Z630" s="188" t="inlineStr">
        <is>
          <t>CHECK_VENDOR</t>
        </is>
      </c>
      <c r="AA630" s="188" t="inlineStr">
        <is>
          <t>https://nvd.nist.gov/vuln/detail/CVE-2025-69328</t>
        </is>
      </c>
      <c r="AB630" s="188" t="inlineStr">
        <is>
          <t>NONE</t>
        </is>
      </c>
      <c r="AC630" s="188" t="n">
        <v>0</v>
      </c>
      <c r="AD630" s="188" t="inlineStr"/>
    </row>
    <row r="631">
      <c r="A631" s="189" t="inlineStr">
        <is>
          <t>CVE</t>
        </is>
      </c>
      <c r="B631" s="189" t="inlineStr">
        <is>
          <t>CVE-2025-69329</t>
        </is>
      </c>
      <c r="C631" s="189" t="inlineStr">
        <is>
          <t>Deserialization of Untrusted Data vulnerability in Jthemes Prestige prestige allows Object Injection.This issue affects Prestige: from n/a through &lt; 1.4.1.</t>
        </is>
      </c>
      <c r="D631" s="189" t="n">
        <v>9.800000000000001</v>
      </c>
      <c r="E631" s="189" t="inlineStr">
        <is>
          <t>CRITICAL</t>
        </is>
      </c>
      <c r="F631" s="189" t="n">
        <v>2</v>
      </c>
      <c r="G631" s="189" t="n">
        <v>3</v>
      </c>
      <c r="H631" s="189" t="inlineStr">
        <is>
          <t>HIGH</t>
        </is>
      </c>
      <c r="I631" s="189" t="n">
        <v>15.8</v>
      </c>
      <c r="J631" s="189" t="inlineStr">
        <is>
          <t>NO</t>
        </is>
      </c>
      <c r="K631" s="189" t="inlineStr">
        <is>
          <t>https://nvd.nist.gov/vuln/detail/CVE-2025-69329</t>
        </is>
      </c>
      <c r="L631" s="189" t="inlineStr">
        <is>
          <t>2026-02-26 00:15</t>
        </is>
      </c>
      <c r="M631" s="189" t="inlineStr">
        <is>
          <t>CHECK_VENDOR</t>
        </is>
      </c>
      <c r="N631" s="189" t="inlineStr">
        <is>
          <t>See NVD references</t>
        </is>
      </c>
      <c r="O631" s="189" t="inlineStr">
        <is>
          <t>Apply vendor patches</t>
        </is>
      </c>
      <c r="P631" s="189" t="inlineStr">
        <is>
          <t>See CVE details</t>
        </is>
      </c>
      <c r="Q631" s="189" t="inlineStr">
        <is>
          <t>P3</t>
        </is>
      </c>
      <c r="R631" s="189" t="inlineStr">
        <is>
          <t>🚨 URGENT: Apply vendor patches immediately | 🔒 Isolate affected systems if patch unavailable | 🛡️ Enable additional monitoring/IDS rules</t>
        </is>
      </c>
      <c r="S631" s="189" t="inlineStr">
        <is>
          <t>CVE - IP enrichment n/a</t>
        </is>
      </c>
      <c r="T631" s="189" t="n">
        <v>0</v>
      </c>
      <c r="U631" s="189" t="n">
        <v>0</v>
      </c>
      <c r="V631" s="189" t="inlineStr">
        <is>
          <t>T1059:Command and Scripting Interpreter</t>
        </is>
      </c>
      <c r="W631" s="189" t="n">
        <v>1</v>
      </c>
      <c r="X631" s="189" t="inlineStr">
        <is>
          <t>LOW (40%)</t>
        </is>
      </c>
      <c r="Y631" s="189" t="inlineStr">
        <is>
          <t>UNLIKELY</t>
        </is>
      </c>
      <c r="Z631" s="189" t="inlineStr">
        <is>
          <t>CHECK_VENDOR</t>
        </is>
      </c>
      <c r="AA631" s="189" t="inlineStr">
        <is>
          <t>https://nvd.nist.gov/vuln/detail/CVE-2025-69329</t>
        </is>
      </c>
      <c r="AB631" s="189" t="inlineStr">
        <is>
          <t>NONE</t>
        </is>
      </c>
      <c r="AC631" s="189" t="n">
        <v>0</v>
      </c>
      <c r="AD631" s="189" t="inlineStr"/>
    </row>
    <row r="632">
      <c r="A632" s="188" t="inlineStr">
        <is>
          <t>CVE</t>
        </is>
      </c>
      <c r="B632" s="188" t="inlineStr">
        <is>
          <t>CVE-2025-69330</t>
        </is>
      </c>
      <c r="C632" s="188" t="inlineStr">
        <is>
          <t>Improper Neutralization of Input During Web Page Generation ('Cross-site Scripting') vulnerability in Jthemes Prestige prestige allows Reflected XSS.This issue affects Prestige: from n/a through &lt; 1.4.1.</t>
        </is>
      </c>
      <c r="D632" s="188" t="n">
        <v>7.1</v>
      </c>
      <c r="E632" s="188" t="inlineStr">
        <is>
          <t>HIGH</t>
        </is>
      </c>
      <c r="F632" s="188" t="n">
        <v>2</v>
      </c>
      <c r="G632" s="188" t="n">
        <v>3</v>
      </c>
      <c r="H632" s="188" t="inlineStr">
        <is>
          <t>HIGH</t>
        </is>
      </c>
      <c r="I632" s="188" t="n">
        <v>13.1</v>
      </c>
      <c r="J632" s="188" t="inlineStr">
        <is>
          <t>NO</t>
        </is>
      </c>
      <c r="K632" s="188" t="inlineStr">
        <is>
          <t>https://nvd.nist.gov/vuln/detail/CVE-2025-69330</t>
        </is>
      </c>
      <c r="L632" s="188" t="inlineStr">
        <is>
          <t>2026-02-26 00:15</t>
        </is>
      </c>
      <c r="M632" s="188" t="inlineStr">
        <is>
          <t>CHECK_VENDOR</t>
        </is>
      </c>
      <c r="N632" s="188" t="inlineStr">
        <is>
          <t>See NVD references</t>
        </is>
      </c>
      <c r="O632" s="188" t="inlineStr">
        <is>
          <t>Apply vendor patches</t>
        </is>
      </c>
      <c r="P632" s="188" t="inlineStr">
        <is>
          <t>See CVE details</t>
        </is>
      </c>
      <c r="Q632" s="188" t="inlineStr">
        <is>
          <t>P3</t>
        </is>
      </c>
      <c r="R632" s="188" t="inlineStr">
        <is>
          <t>🚨 URGENT: Apply vendor patches immediately | 🔒 Isolate affected systems if patch unavailable | 🛡️ Enable additional monitoring/IDS rules</t>
        </is>
      </c>
      <c r="S632" s="188" t="inlineStr">
        <is>
          <t>CVE - IP enrichment n/a</t>
        </is>
      </c>
      <c r="T632" s="188" t="n">
        <v>0</v>
      </c>
      <c r="U632" s="188" t="n">
        <v>0</v>
      </c>
      <c r="V632" s="188" t="inlineStr">
        <is>
          <t>T1189:Drive-by Compromise</t>
        </is>
      </c>
      <c r="W632" s="188" t="n">
        <v>1</v>
      </c>
      <c r="X632" s="188" t="inlineStr">
        <is>
          <t>LOW (40%)</t>
        </is>
      </c>
      <c r="Y632" s="188" t="inlineStr">
        <is>
          <t>UNLIKELY</t>
        </is>
      </c>
      <c r="Z632" s="188" t="inlineStr">
        <is>
          <t>CHECK_VENDOR</t>
        </is>
      </c>
      <c r="AA632" s="188" t="inlineStr">
        <is>
          <t>https://nvd.nist.gov/vuln/detail/CVE-2025-69330</t>
        </is>
      </c>
      <c r="AB632" s="188" t="inlineStr">
        <is>
          <t>NONE</t>
        </is>
      </c>
      <c r="AC632" s="188" t="n">
        <v>0</v>
      </c>
      <c r="AD632" s="188" t="inlineStr"/>
    </row>
    <row r="633">
      <c r="A633" s="189" t="inlineStr">
        <is>
          <t>CVE</t>
        </is>
      </c>
      <c r="B633" s="189" t="inlineStr">
        <is>
          <t>CVE-2025-69337</t>
        </is>
      </c>
      <c r="C633" s="189" t="inlineStr">
        <is>
          <t>Improper Neutralization of Special Elements used in an SQL Command ('SQL Injection') vulnerability in don-themes Wolmart Core wolmart-core allows Blind SQL Injection.This issue affects Wolmart Core: from n/a through &lt;= 1.9.6.</t>
        </is>
      </c>
      <c r="D633" s="189" t="n">
        <v>9.300000000000001</v>
      </c>
      <c r="E633" s="189" t="inlineStr">
        <is>
          <t>CRITICAL</t>
        </is>
      </c>
      <c r="F633" s="189" t="n">
        <v>2</v>
      </c>
      <c r="G633" s="189" t="n">
        <v>3</v>
      </c>
      <c r="H633" s="189" t="inlineStr">
        <is>
          <t>HIGH</t>
        </is>
      </c>
      <c r="I633" s="189" t="n">
        <v>15.3</v>
      </c>
      <c r="J633" s="189" t="inlineStr">
        <is>
          <t>NO</t>
        </is>
      </c>
      <c r="K633" s="189" t="inlineStr">
        <is>
          <t>https://nvd.nist.gov/vuln/detail/CVE-2025-69337</t>
        </is>
      </c>
      <c r="L633" s="189" t="inlineStr">
        <is>
          <t>2026-02-26 00:15</t>
        </is>
      </c>
      <c r="M633" s="189" t="inlineStr">
        <is>
          <t>CHECK_VENDOR</t>
        </is>
      </c>
      <c r="N633" s="189" t="inlineStr">
        <is>
          <t>See NVD references</t>
        </is>
      </c>
      <c r="O633" s="189" t="inlineStr">
        <is>
          <t>Apply vendor patches</t>
        </is>
      </c>
      <c r="P633" s="189" t="inlineStr">
        <is>
          <t>See CVE details</t>
        </is>
      </c>
      <c r="Q633" s="189" t="inlineStr">
        <is>
          <t>P3</t>
        </is>
      </c>
      <c r="R633" s="189" t="inlineStr">
        <is>
          <t>🚨 URGENT: Apply vendor patches immediately | 🔒 Isolate affected systems if patch unavailable | 🛡️ Enable additional monitoring/IDS rules</t>
        </is>
      </c>
      <c r="S633" s="189" t="inlineStr">
        <is>
          <t>CVE - IP enrichment n/a</t>
        </is>
      </c>
      <c r="T633" s="189" t="n">
        <v>0</v>
      </c>
      <c r="U633" s="189" t="n">
        <v>0</v>
      </c>
      <c r="V633" s="189" t="inlineStr">
        <is>
          <t>T1190:Exploit Public-Facing Application</t>
        </is>
      </c>
      <c r="W633" s="189" t="n">
        <v>1</v>
      </c>
      <c r="X633" s="189" t="inlineStr">
        <is>
          <t>LOW (40%)</t>
        </is>
      </c>
      <c r="Y633" s="189" t="inlineStr">
        <is>
          <t>UNLIKELY</t>
        </is>
      </c>
      <c r="Z633" s="189" t="inlineStr">
        <is>
          <t>CHECK_VENDOR</t>
        </is>
      </c>
      <c r="AA633" s="189" t="inlineStr">
        <is>
          <t>https://nvd.nist.gov/vuln/detail/CVE-2025-69337</t>
        </is>
      </c>
      <c r="AB633" s="189" t="inlineStr">
        <is>
          <t>NONE</t>
        </is>
      </c>
      <c r="AC633" s="189" t="n">
        <v>0</v>
      </c>
      <c r="AD633" s="189" t="inlineStr"/>
    </row>
    <row r="634">
      <c r="A634" s="189" t="inlineStr">
        <is>
          <t>CVE</t>
        </is>
      </c>
      <c r="B634" s="189" t="inlineStr">
        <is>
          <t>CVE-2025-69365</t>
        </is>
      </c>
      <c r="C634" s="189" t="inlineStr">
        <is>
          <t>Improper Neutralization of Special Elements used in an SQL Command ('SQL Injection') vulnerability in TeconceTheme Uroan Core uroan-core allows Blind SQL Injection.This issue affects Uroan Core: from n/a through &lt;= 1.4.4.</t>
        </is>
      </c>
      <c r="D634" s="189" t="n">
        <v>9.300000000000001</v>
      </c>
      <c r="E634" s="189" t="inlineStr">
        <is>
          <t>CRITICAL</t>
        </is>
      </c>
      <c r="F634" s="189" t="n">
        <v>2</v>
      </c>
      <c r="G634" s="189" t="n">
        <v>3</v>
      </c>
      <c r="H634" s="189" t="inlineStr">
        <is>
          <t>HIGH</t>
        </is>
      </c>
      <c r="I634" s="189" t="n">
        <v>15.3</v>
      </c>
      <c r="J634" s="189" t="inlineStr">
        <is>
          <t>NO</t>
        </is>
      </c>
      <c r="K634" s="189" t="inlineStr">
        <is>
          <t>https://nvd.nist.gov/vuln/detail/CVE-2025-69365</t>
        </is>
      </c>
      <c r="L634" s="189" t="inlineStr">
        <is>
          <t>2026-02-26 00:15</t>
        </is>
      </c>
      <c r="M634" s="189" t="inlineStr">
        <is>
          <t>CHECK_VENDOR</t>
        </is>
      </c>
      <c r="N634" s="189" t="inlineStr">
        <is>
          <t>See NVD references</t>
        </is>
      </c>
      <c r="O634" s="189" t="inlineStr">
        <is>
          <t>Apply vendor patches</t>
        </is>
      </c>
      <c r="P634" s="189" t="inlineStr">
        <is>
          <t>See CVE details</t>
        </is>
      </c>
      <c r="Q634" s="189" t="inlineStr">
        <is>
          <t>P3</t>
        </is>
      </c>
      <c r="R634" s="189" t="inlineStr">
        <is>
          <t>🚨 URGENT: Apply vendor patches immediately | 🔒 Isolate affected systems if patch unavailable | 🛡️ Enable additional monitoring/IDS rules</t>
        </is>
      </c>
      <c r="S634" s="189" t="inlineStr">
        <is>
          <t>CVE - IP enrichment n/a</t>
        </is>
      </c>
      <c r="T634" s="189" t="n">
        <v>0</v>
      </c>
      <c r="U634" s="189" t="n">
        <v>0</v>
      </c>
      <c r="V634" s="189" t="inlineStr">
        <is>
          <t>T1190:Exploit Public-Facing Application</t>
        </is>
      </c>
      <c r="W634" s="189" t="n">
        <v>1</v>
      </c>
      <c r="X634" s="189" t="inlineStr">
        <is>
          <t>LOW (40%)</t>
        </is>
      </c>
      <c r="Y634" s="189" t="inlineStr">
        <is>
          <t>UNLIKELY</t>
        </is>
      </c>
      <c r="Z634" s="189" t="inlineStr">
        <is>
          <t>CHECK_VENDOR</t>
        </is>
      </c>
      <c r="AA634" s="189" t="inlineStr">
        <is>
          <t>https://nvd.nist.gov/vuln/detail/CVE-2025-69365</t>
        </is>
      </c>
      <c r="AB634" s="189" t="inlineStr">
        <is>
          <t>NONE</t>
        </is>
      </c>
      <c r="AC634" s="189" t="n">
        <v>0</v>
      </c>
      <c r="AD634" s="189" t="inlineStr"/>
    </row>
    <row r="635">
      <c r="A635" s="189" t="inlineStr">
        <is>
          <t>CVE</t>
        </is>
      </c>
      <c r="B635" s="189" t="inlineStr">
        <is>
          <t>CVE-2025-69366</t>
        </is>
      </c>
      <c r="C635" s="189" t="inlineStr">
        <is>
          <t>Improper Neutralization of Special Elements used in an SQL Command ('SQL Injection') vulnerability in TeconceTheme Emerce Core emerce-core allows Blind SQL Injection.This issue affects Emerce Core: from n/a through &lt;= 1.8.</t>
        </is>
      </c>
      <c r="D635" s="189" t="n">
        <v>9.300000000000001</v>
      </c>
      <c r="E635" s="189" t="inlineStr">
        <is>
          <t>CRITICAL</t>
        </is>
      </c>
      <c r="F635" s="189" t="n">
        <v>2</v>
      </c>
      <c r="G635" s="189" t="n">
        <v>3</v>
      </c>
      <c r="H635" s="189" t="inlineStr">
        <is>
          <t>HIGH</t>
        </is>
      </c>
      <c r="I635" s="189" t="n">
        <v>15.3</v>
      </c>
      <c r="J635" s="189" t="inlineStr">
        <is>
          <t>NO</t>
        </is>
      </c>
      <c r="K635" s="189" t="inlineStr">
        <is>
          <t>https://nvd.nist.gov/vuln/detail/CVE-2025-69366</t>
        </is>
      </c>
      <c r="L635" s="189" t="inlineStr">
        <is>
          <t>2026-02-26 00:15</t>
        </is>
      </c>
      <c r="M635" s="189" t="inlineStr">
        <is>
          <t>CHECK_VENDOR</t>
        </is>
      </c>
      <c r="N635" s="189" t="inlineStr">
        <is>
          <t>See NVD references</t>
        </is>
      </c>
      <c r="O635" s="189" t="inlineStr">
        <is>
          <t>Apply vendor patches</t>
        </is>
      </c>
      <c r="P635" s="189" t="inlineStr">
        <is>
          <t>See CVE details</t>
        </is>
      </c>
      <c r="Q635" s="189" t="inlineStr">
        <is>
          <t>P3</t>
        </is>
      </c>
      <c r="R635" s="189" t="inlineStr">
        <is>
          <t>🚨 URGENT: Apply vendor patches immediately | 🔒 Isolate affected systems if patch unavailable | 🛡️ Enable additional monitoring/IDS rules</t>
        </is>
      </c>
      <c r="S635" s="189" t="inlineStr">
        <is>
          <t>CVE - IP enrichment n/a</t>
        </is>
      </c>
      <c r="T635" s="189" t="n">
        <v>0</v>
      </c>
      <c r="U635" s="189" t="n">
        <v>0</v>
      </c>
      <c r="V635" s="189" t="inlineStr">
        <is>
          <t>T1190:Exploit Public-Facing Application</t>
        </is>
      </c>
      <c r="W635" s="189" t="n">
        <v>1</v>
      </c>
      <c r="X635" s="189" t="inlineStr">
        <is>
          <t>LOW (40%)</t>
        </is>
      </c>
      <c r="Y635" s="189" t="inlineStr">
        <is>
          <t>UNLIKELY</t>
        </is>
      </c>
      <c r="Z635" s="189" t="inlineStr">
        <is>
          <t>CHECK_VENDOR</t>
        </is>
      </c>
      <c r="AA635" s="189" t="inlineStr">
        <is>
          <t>https://nvd.nist.gov/vuln/detail/CVE-2025-69366</t>
        </is>
      </c>
      <c r="AB635" s="189" t="inlineStr">
        <is>
          <t>NONE</t>
        </is>
      </c>
      <c r="AC635" s="189" t="n">
        <v>0</v>
      </c>
      <c r="AD635" s="189" t="inlineStr"/>
    </row>
    <row r="636">
      <c r="A636" s="188" t="inlineStr">
        <is>
          <t>CVE</t>
        </is>
      </c>
      <c r="B636" s="188" t="inlineStr">
        <is>
          <t>CVE-2025-69367</t>
        </is>
      </c>
      <c r="C636" s="188" t="inlineStr">
        <is>
          <t>Improper Neutralization of Input During Web Page Generation ('Cross-site Scripting') vulnerability in GT3themes Oyster - Photography WordPress Theme oyster allows DOM-Based XSS.This issue affects Oyster - Photography WordPress Theme: from n/a through &lt;= 4.4.3.</t>
        </is>
      </c>
      <c r="D636" s="188" t="n">
        <v>7.1</v>
      </c>
      <c r="E636" s="188" t="inlineStr">
        <is>
          <t>HIGH</t>
        </is>
      </c>
      <c r="F636" s="188" t="n">
        <v>2</v>
      </c>
      <c r="G636" s="188" t="n">
        <v>3</v>
      </c>
      <c r="H636" s="188" t="inlineStr">
        <is>
          <t>HIGH</t>
        </is>
      </c>
      <c r="I636" s="188" t="n">
        <v>13.1</v>
      </c>
      <c r="J636" s="188" t="inlineStr">
        <is>
          <t>NO</t>
        </is>
      </c>
      <c r="K636" s="188" t="inlineStr">
        <is>
          <t>https://nvd.nist.gov/vuln/detail/CVE-2025-69367</t>
        </is>
      </c>
      <c r="L636" s="188" t="inlineStr">
        <is>
          <t>2026-02-26 00:15</t>
        </is>
      </c>
      <c r="M636" s="188" t="inlineStr">
        <is>
          <t>CHECK_VENDOR</t>
        </is>
      </c>
      <c r="N636" s="188" t="inlineStr">
        <is>
          <t>See NVD references</t>
        </is>
      </c>
      <c r="O636" s="188" t="inlineStr">
        <is>
          <t>Apply vendor patches</t>
        </is>
      </c>
      <c r="P636" s="188" t="inlineStr">
        <is>
          <t>See CVE details</t>
        </is>
      </c>
      <c r="Q636" s="188" t="inlineStr">
        <is>
          <t>P3</t>
        </is>
      </c>
      <c r="R636" s="188" t="inlineStr">
        <is>
          <t>🚨 URGENT: Apply vendor patches immediately | 🔒 Isolate affected systems if patch unavailable | 🛡️ Enable additional monitoring/IDS rules</t>
        </is>
      </c>
      <c r="S636" s="188" t="inlineStr">
        <is>
          <t>CVE - IP enrichment n/a</t>
        </is>
      </c>
      <c r="T636" s="188" t="n">
        <v>0</v>
      </c>
      <c r="U636" s="188" t="n">
        <v>0</v>
      </c>
      <c r="V636" s="188" t="inlineStr">
        <is>
          <t>T1189:Drive-by Compromise</t>
        </is>
      </c>
      <c r="W636" s="188" t="n">
        <v>1</v>
      </c>
      <c r="X636" s="188" t="inlineStr">
        <is>
          <t>LOW (40%)</t>
        </is>
      </c>
      <c r="Y636" s="188" t="inlineStr">
        <is>
          <t>UNLIKELY</t>
        </is>
      </c>
      <c r="Z636" s="188" t="inlineStr">
        <is>
          <t>CHECK_VENDOR</t>
        </is>
      </c>
      <c r="AA636" s="188" t="inlineStr">
        <is>
          <t>https://nvd.nist.gov/vuln/detail/CVE-2025-69367</t>
        </is>
      </c>
      <c r="AB636" s="188" t="inlineStr">
        <is>
          <t>NONE</t>
        </is>
      </c>
      <c r="AC636" s="188" t="n">
        <v>0</v>
      </c>
      <c r="AD636" s="188" t="inlineStr"/>
    </row>
    <row r="637">
      <c r="A637" s="188" t="inlineStr">
        <is>
          <t>CVE</t>
        </is>
      </c>
      <c r="B637" s="188" t="inlineStr">
        <is>
          <t>CVE-2025-69368</t>
        </is>
      </c>
      <c r="C637" s="188" t="inlineStr">
        <is>
          <t>Improper Neutralization of Input During Web Page Generation ('Cross-site Scripting') vulnerability in GT3themes SOHO - Photography WordPress Theme soho allows DOM-Based XSS.This issue affects SOHO - Photography WordPress Theme: from n/a through &lt;= 3.0.3.</t>
        </is>
      </c>
      <c r="D637" s="188" t="n">
        <v>7.1</v>
      </c>
      <c r="E637" s="188" t="inlineStr">
        <is>
          <t>HIGH</t>
        </is>
      </c>
      <c r="F637" s="188" t="n">
        <v>2</v>
      </c>
      <c r="G637" s="188" t="n">
        <v>3</v>
      </c>
      <c r="H637" s="188" t="inlineStr">
        <is>
          <t>HIGH</t>
        </is>
      </c>
      <c r="I637" s="188" t="n">
        <v>13.1</v>
      </c>
      <c r="J637" s="188" t="inlineStr">
        <is>
          <t>NO</t>
        </is>
      </c>
      <c r="K637" s="188" t="inlineStr">
        <is>
          <t>https://nvd.nist.gov/vuln/detail/CVE-2025-69368</t>
        </is>
      </c>
      <c r="L637" s="188" t="inlineStr">
        <is>
          <t>2026-02-26 00:15</t>
        </is>
      </c>
      <c r="M637" s="188" t="inlineStr">
        <is>
          <t>CHECK_VENDOR</t>
        </is>
      </c>
      <c r="N637" s="188" t="inlineStr">
        <is>
          <t>See NVD references</t>
        </is>
      </c>
      <c r="O637" s="188" t="inlineStr">
        <is>
          <t>Apply vendor patches</t>
        </is>
      </c>
      <c r="P637" s="188" t="inlineStr">
        <is>
          <t>See CVE details</t>
        </is>
      </c>
      <c r="Q637" s="188" t="inlineStr">
        <is>
          <t>P3</t>
        </is>
      </c>
      <c r="R637" s="188" t="inlineStr">
        <is>
          <t>🚨 URGENT: Apply vendor patches immediately | 🔒 Isolate affected systems if patch unavailable | 🛡️ Enable additional monitoring/IDS rules</t>
        </is>
      </c>
      <c r="S637" s="188" t="inlineStr">
        <is>
          <t>CVE - IP enrichment n/a</t>
        </is>
      </c>
      <c r="T637" s="188" t="n">
        <v>0</v>
      </c>
      <c r="U637" s="188" t="n">
        <v>0</v>
      </c>
      <c r="V637" s="188" t="inlineStr">
        <is>
          <t>T1189:Drive-by Compromise</t>
        </is>
      </c>
      <c r="W637" s="188" t="n">
        <v>1</v>
      </c>
      <c r="X637" s="188" t="inlineStr">
        <is>
          <t>LOW (40%)</t>
        </is>
      </c>
      <c r="Y637" s="188" t="inlineStr">
        <is>
          <t>UNLIKELY</t>
        </is>
      </c>
      <c r="Z637" s="188" t="inlineStr">
        <is>
          <t>CHECK_VENDOR</t>
        </is>
      </c>
      <c r="AA637" s="188" t="inlineStr">
        <is>
          <t>https://nvd.nist.gov/vuln/detail/CVE-2025-69368</t>
        </is>
      </c>
      <c r="AB637" s="188" t="inlineStr">
        <is>
          <t>NONE</t>
        </is>
      </c>
      <c r="AC637" s="188" t="n">
        <v>0</v>
      </c>
      <c r="AD637" s="188" t="inlineStr"/>
    </row>
    <row r="638">
      <c r="A638" s="189" t="inlineStr">
        <is>
          <t>CVE</t>
        </is>
      </c>
      <c r="B638" s="189" t="inlineStr">
        <is>
          <t>CVE-2025-69370</t>
        </is>
      </c>
      <c r="C638" s="189" t="inlineStr">
        <is>
          <t>Deserialization of Untrusted Data vulnerability in ThemeGoods Capella capella allows Object Injection.This issue affects Capella: from n/a through &lt;= 2.5.5.</t>
        </is>
      </c>
      <c r="D638" s="189" t="n">
        <v>9.800000000000001</v>
      </c>
      <c r="E638" s="189" t="inlineStr">
        <is>
          <t>CRITICAL</t>
        </is>
      </c>
      <c r="F638" s="189" t="n">
        <v>2</v>
      </c>
      <c r="G638" s="189" t="n">
        <v>3</v>
      </c>
      <c r="H638" s="189" t="inlineStr">
        <is>
          <t>HIGH</t>
        </is>
      </c>
      <c r="I638" s="189" t="n">
        <v>15.8</v>
      </c>
      <c r="J638" s="189" t="inlineStr">
        <is>
          <t>NO</t>
        </is>
      </c>
      <c r="K638" s="189" t="inlineStr">
        <is>
          <t>https://nvd.nist.gov/vuln/detail/CVE-2025-69370</t>
        </is>
      </c>
      <c r="L638" s="189" t="inlineStr">
        <is>
          <t>2026-02-26 00:15</t>
        </is>
      </c>
      <c r="M638" s="189" t="inlineStr">
        <is>
          <t>CHECK_VENDOR</t>
        </is>
      </c>
      <c r="N638" s="189" t="inlineStr">
        <is>
          <t>See NVD references</t>
        </is>
      </c>
      <c r="O638" s="189" t="inlineStr">
        <is>
          <t>Apply vendor patches</t>
        </is>
      </c>
      <c r="P638" s="189" t="inlineStr">
        <is>
          <t>See CVE details</t>
        </is>
      </c>
      <c r="Q638" s="189" t="inlineStr">
        <is>
          <t>P3</t>
        </is>
      </c>
      <c r="R638" s="189" t="inlineStr">
        <is>
          <t>🚨 URGENT: Apply vendor patches immediately | 🔒 Isolate affected systems if patch unavailable | 🛡️ Enable additional monitoring/IDS rules</t>
        </is>
      </c>
      <c r="S638" s="189" t="inlineStr">
        <is>
          <t>CVE - IP enrichment n/a</t>
        </is>
      </c>
      <c r="T638" s="189" t="n">
        <v>0</v>
      </c>
      <c r="U638" s="189" t="n">
        <v>0</v>
      </c>
      <c r="V638" s="189" t="inlineStr">
        <is>
          <t>T1059:Command and Scripting Interpreter</t>
        </is>
      </c>
      <c r="W638" s="189" t="n">
        <v>1</v>
      </c>
      <c r="X638" s="189" t="inlineStr">
        <is>
          <t>LOW (40%)</t>
        </is>
      </c>
      <c r="Y638" s="189" t="inlineStr">
        <is>
          <t>UNLIKELY</t>
        </is>
      </c>
      <c r="Z638" s="189" t="inlineStr">
        <is>
          <t>CHECK_VENDOR</t>
        </is>
      </c>
      <c r="AA638" s="189" t="inlineStr">
        <is>
          <t>https://nvd.nist.gov/vuln/detail/CVE-2025-69370</t>
        </is>
      </c>
      <c r="AB638" s="189" t="inlineStr">
        <is>
          <t>NONE</t>
        </is>
      </c>
      <c r="AC638" s="189" t="n">
        <v>0</v>
      </c>
      <c r="AD638" s="189" t="inlineStr"/>
    </row>
    <row r="639">
      <c r="A639" s="189" t="inlineStr">
        <is>
          <t>CVE</t>
        </is>
      </c>
      <c r="B639" s="189" t="inlineStr">
        <is>
          <t>CVE-2025-69371</t>
        </is>
      </c>
      <c r="C639" s="189" t="inlineStr">
        <is>
          <t>Deserialization of Untrusted Data vulnerability in AncoraThemes KindlyCare kindlycare allows Object Injection.This issue affects KindlyCare: from n/a through &lt;= 1.6.1.</t>
        </is>
      </c>
      <c r="D639" s="189" t="n">
        <v>9.800000000000001</v>
      </c>
      <c r="E639" s="189" t="inlineStr">
        <is>
          <t>CRITICAL</t>
        </is>
      </c>
      <c r="F639" s="189" t="n">
        <v>2</v>
      </c>
      <c r="G639" s="189" t="n">
        <v>3</v>
      </c>
      <c r="H639" s="189" t="inlineStr">
        <is>
          <t>HIGH</t>
        </is>
      </c>
      <c r="I639" s="189" t="n">
        <v>15.8</v>
      </c>
      <c r="J639" s="189" t="inlineStr">
        <is>
          <t>NO</t>
        </is>
      </c>
      <c r="K639" s="189" t="inlineStr">
        <is>
          <t>https://nvd.nist.gov/vuln/detail/CVE-2025-69371</t>
        </is>
      </c>
      <c r="L639" s="189" t="inlineStr">
        <is>
          <t>2026-02-26 00:15</t>
        </is>
      </c>
      <c r="M639" s="189" t="inlineStr">
        <is>
          <t>CHECK_VENDOR</t>
        </is>
      </c>
      <c r="N639" s="189" t="inlineStr">
        <is>
          <t>See NVD references</t>
        </is>
      </c>
      <c r="O639" s="189" t="inlineStr">
        <is>
          <t>Apply vendor patches</t>
        </is>
      </c>
      <c r="P639" s="189" t="inlineStr">
        <is>
          <t>See CVE details</t>
        </is>
      </c>
      <c r="Q639" s="189" t="inlineStr">
        <is>
          <t>P3</t>
        </is>
      </c>
      <c r="R639" s="189" t="inlineStr">
        <is>
          <t>🚨 URGENT: Apply vendor patches immediately | 🔒 Isolate affected systems if patch unavailable | 🛡️ Enable additional monitoring/IDS rules</t>
        </is>
      </c>
      <c r="S639" s="189" t="inlineStr">
        <is>
          <t>CVE - IP enrichment n/a</t>
        </is>
      </c>
      <c r="T639" s="189" t="n">
        <v>0</v>
      </c>
      <c r="U639" s="189" t="n">
        <v>0</v>
      </c>
      <c r="V639" s="189" t="inlineStr">
        <is>
          <t>T1059:Command and Scripting Interpreter</t>
        </is>
      </c>
      <c r="W639" s="189" t="n">
        <v>1</v>
      </c>
      <c r="X639" s="189" t="inlineStr">
        <is>
          <t>LOW (40%)</t>
        </is>
      </c>
      <c r="Y639" s="189" t="inlineStr">
        <is>
          <t>UNLIKELY</t>
        </is>
      </c>
      <c r="Z639" s="189" t="inlineStr">
        <is>
          <t>CHECK_VENDOR</t>
        </is>
      </c>
      <c r="AA639" s="189" t="inlineStr">
        <is>
          <t>https://nvd.nist.gov/vuln/detail/CVE-2025-69371</t>
        </is>
      </c>
      <c r="AB639" s="189" t="inlineStr">
        <is>
          <t>NONE</t>
        </is>
      </c>
      <c r="AC639" s="189" t="n">
        <v>0</v>
      </c>
      <c r="AD639" s="189" t="inlineStr"/>
    </row>
    <row r="640">
      <c r="A640" s="189" t="inlineStr">
        <is>
          <t>CVE</t>
        </is>
      </c>
      <c r="B640" s="189" t="inlineStr">
        <is>
          <t>CVE-2025-69372</t>
        </is>
      </c>
      <c r="C640" s="189" t="inlineStr">
        <is>
          <t>Deserialization of Untrusted Data vulnerability in AncoraThemes SevenHills sevenhills allows Object Injection.This issue affects SevenHills: from n/a through &lt;= 1.6.2.</t>
        </is>
      </c>
      <c r="D640" s="189" t="n">
        <v>9.800000000000001</v>
      </c>
      <c r="E640" s="189" t="inlineStr">
        <is>
          <t>CRITICAL</t>
        </is>
      </c>
      <c r="F640" s="189" t="n">
        <v>2</v>
      </c>
      <c r="G640" s="189" t="n">
        <v>3</v>
      </c>
      <c r="H640" s="189" t="inlineStr">
        <is>
          <t>HIGH</t>
        </is>
      </c>
      <c r="I640" s="189" t="n">
        <v>15.8</v>
      </c>
      <c r="J640" s="189" t="inlineStr">
        <is>
          <t>NO</t>
        </is>
      </c>
      <c r="K640" s="189" t="inlineStr">
        <is>
          <t>https://nvd.nist.gov/vuln/detail/CVE-2025-69372</t>
        </is>
      </c>
      <c r="L640" s="189" t="inlineStr">
        <is>
          <t>2026-02-26 00:15</t>
        </is>
      </c>
      <c r="M640" s="189" t="inlineStr">
        <is>
          <t>CHECK_VENDOR</t>
        </is>
      </c>
      <c r="N640" s="189" t="inlineStr">
        <is>
          <t>See NVD references</t>
        </is>
      </c>
      <c r="O640" s="189" t="inlineStr">
        <is>
          <t>Apply vendor patches</t>
        </is>
      </c>
      <c r="P640" s="189" t="inlineStr">
        <is>
          <t>See CVE details</t>
        </is>
      </c>
      <c r="Q640" s="189" t="inlineStr">
        <is>
          <t>P3</t>
        </is>
      </c>
      <c r="R640" s="189" t="inlineStr">
        <is>
          <t>🚨 URGENT: Apply vendor patches immediately | 🔒 Isolate affected systems if patch unavailable | 🛡️ Enable additional monitoring/IDS rules</t>
        </is>
      </c>
      <c r="S640" s="189" t="inlineStr">
        <is>
          <t>CVE - IP enrichment n/a</t>
        </is>
      </c>
      <c r="T640" s="189" t="n">
        <v>0</v>
      </c>
      <c r="U640" s="189" t="n">
        <v>0</v>
      </c>
      <c r="V640" s="189" t="inlineStr">
        <is>
          <t>T1059:Command and Scripting Interpreter</t>
        </is>
      </c>
      <c r="W640" s="189" t="n">
        <v>1</v>
      </c>
      <c r="X640" s="189" t="inlineStr">
        <is>
          <t>LOW (40%)</t>
        </is>
      </c>
      <c r="Y640" s="189" t="inlineStr">
        <is>
          <t>UNLIKELY</t>
        </is>
      </c>
      <c r="Z640" s="189" t="inlineStr">
        <is>
          <t>CHECK_VENDOR</t>
        </is>
      </c>
      <c r="AA640" s="189" t="inlineStr">
        <is>
          <t>https://nvd.nist.gov/vuln/detail/CVE-2025-69372</t>
        </is>
      </c>
      <c r="AB640" s="189" t="inlineStr">
        <is>
          <t>NONE</t>
        </is>
      </c>
      <c r="AC640" s="189" t="n">
        <v>0</v>
      </c>
      <c r="AD640" s="189" t="inlineStr"/>
    </row>
    <row r="641">
      <c r="A641" s="188" t="inlineStr">
        <is>
          <t>CVE</t>
        </is>
      </c>
      <c r="B641" s="188" t="inlineStr">
        <is>
          <t>CVE-2025-69373</t>
        </is>
      </c>
      <c r="C641" s="188" t="inlineStr">
        <is>
          <t>Improper Control of Filename for Include/Require Statement in PHP Program ('PHP Remote File Inclusion') vulnerability in beeteam368 VidoRev vidorev allows PHP Local File Inclusion.This issue affects VidoRev: from n/a through &lt;= 2.9.9.9.9.9.7.</t>
        </is>
      </c>
      <c r="D641" s="188" t="n">
        <v>7.5</v>
      </c>
      <c r="E641" s="188" t="inlineStr">
        <is>
          <t>HIGH</t>
        </is>
      </c>
      <c r="F641" s="188" t="n">
        <v>2</v>
      </c>
      <c r="G641" s="188" t="n">
        <v>3</v>
      </c>
      <c r="H641" s="188" t="inlineStr">
        <is>
          <t>HIGH</t>
        </is>
      </c>
      <c r="I641" s="188" t="n">
        <v>13.5</v>
      </c>
      <c r="J641" s="188" t="inlineStr">
        <is>
          <t>NO</t>
        </is>
      </c>
      <c r="K641" s="188" t="inlineStr">
        <is>
          <t>https://nvd.nist.gov/vuln/detail/CVE-2025-69373</t>
        </is>
      </c>
      <c r="L641" s="188" t="inlineStr">
        <is>
          <t>2026-02-26 00:15</t>
        </is>
      </c>
      <c r="M641" s="188" t="inlineStr">
        <is>
          <t>CHECK_VENDOR</t>
        </is>
      </c>
      <c r="N641" s="188" t="inlineStr">
        <is>
          <t>See NVD references</t>
        </is>
      </c>
      <c r="O641" s="188" t="inlineStr">
        <is>
          <t>Apply vendor patches</t>
        </is>
      </c>
      <c r="P641" s="188" t="inlineStr">
        <is>
          <t>See CVE details</t>
        </is>
      </c>
      <c r="Q641" s="188" t="inlineStr">
        <is>
          <t>P3</t>
        </is>
      </c>
      <c r="R641" s="188" t="inlineStr">
        <is>
          <t>🚨 URGENT: Apply vendor patches immediately | 🔒 Isolate affected systems if patch unavailable | 🛡️ Enable additional monitoring/IDS rules</t>
        </is>
      </c>
      <c r="S641" s="188" t="inlineStr">
        <is>
          <t>CVE - IP enrichment n/a</t>
        </is>
      </c>
      <c r="T641" s="188" t="n">
        <v>0</v>
      </c>
      <c r="U641" s="188" t="n">
        <v>0</v>
      </c>
      <c r="V641" s="188" t="inlineStr">
        <is>
          <t>T1190:Exploit Public-Facing Application</t>
        </is>
      </c>
      <c r="W641" s="188" t="n">
        <v>1</v>
      </c>
      <c r="X641" s="188" t="inlineStr">
        <is>
          <t>LOW (40%)</t>
        </is>
      </c>
      <c r="Y641" s="188" t="inlineStr">
        <is>
          <t>UNLIKELY</t>
        </is>
      </c>
      <c r="Z641" s="188" t="inlineStr">
        <is>
          <t>CHECK_VENDOR</t>
        </is>
      </c>
      <c r="AA641" s="188" t="inlineStr">
        <is>
          <t>https://nvd.nist.gov/vuln/detail/CVE-2025-69373</t>
        </is>
      </c>
      <c r="AB641" s="188" t="inlineStr">
        <is>
          <t>NONE</t>
        </is>
      </c>
      <c r="AC641" s="188" t="n">
        <v>0</v>
      </c>
      <c r="AD641" s="188" t="inlineStr"/>
    </row>
    <row r="642">
      <c r="A642" s="188" t="inlineStr">
        <is>
          <t>CVE</t>
        </is>
      </c>
      <c r="B642" s="188" t="inlineStr">
        <is>
          <t>CVE-2025-69374</t>
        </is>
      </c>
      <c r="C642" s="188" t="inlineStr">
        <is>
          <t>Improper Control of Filename for Include/Require Statement in PHP Program ('PHP Remote File Inclusion') vulnerability in SolverWp Eleblog – Elementor Blog And Magazine Addons ele-blog allows PHP Local File Inclusion.This issue affects Eleblog – Elementor Blog And Magazine Addons: from n/a through &lt;= 2.0.3.</t>
        </is>
      </c>
      <c r="D642" s="188" t="n">
        <v>8.1</v>
      </c>
      <c r="E642" s="188" t="inlineStr">
        <is>
          <t>HIGH</t>
        </is>
      </c>
      <c r="F642" s="188" t="n">
        <v>2</v>
      </c>
      <c r="G642" s="188" t="n">
        <v>3</v>
      </c>
      <c r="H642" s="188" t="inlineStr">
        <is>
          <t>HIGH</t>
        </is>
      </c>
      <c r="I642" s="188" t="n">
        <v>14.1</v>
      </c>
      <c r="J642" s="188" t="inlineStr">
        <is>
          <t>NO</t>
        </is>
      </c>
      <c r="K642" s="188" t="inlineStr">
        <is>
          <t>https://nvd.nist.gov/vuln/detail/CVE-2025-69374</t>
        </is>
      </c>
      <c r="L642" s="188" t="inlineStr">
        <is>
          <t>2026-02-26 00:15</t>
        </is>
      </c>
      <c r="M642" s="188" t="inlineStr">
        <is>
          <t>CHECK_VENDOR</t>
        </is>
      </c>
      <c r="N642" s="188" t="inlineStr">
        <is>
          <t>See NVD references</t>
        </is>
      </c>
      <c r="O642" s="188" t="inlineStr">
        <is>
          <t>Apply vendor patches</t>
        </is>
      </c>
      <c r="P642" s="188" t="inlineStr">
        <is>
          <t>See CVE details</t>
        </is>
      </c>
      <c r="Q642" s="188" t="inlineStr">
        <is>
          <t>P3</t>
        </is>
      </c>
      <c r="R642" s="188" t="inlineStr">
        <is>
          <t>🚨 URGENT: Apply vendor patches immediately | 🔒 Isolate affected systems if patch unavailable | 🛡️ Enable additional monitoring/IDS rules</t>
        </is>
      </c>
      <c r="S642" s="188" t="inlineStr">
        <is>
          <t>CVE - IP enrichment n/a</t>
        </is>
      </c>
      <c r="T642" s="188" t="n">
        <v>0</v>
      </c>
      <c r="U642" s="188" t="n">
        <v>0</v>
      </c>
      <c r="V642" s="188" t="inlineStr">
        <is>
          <t>T1190:Exploit Public-Facing Application</t>
        </is>
      </c>
      <c r="W642" s="188" t="n">
        <v>1</v>
      </c>
      <c r="X642" s="188" t="inlineStr">
        <is>
          <t>LOW (40%)</t>
        </is>
      </c>
      <c r="Y642" s="188" t="inlineStr">
        <is>
          <t>UNLIKELY</t>
        </is>
      </c>
      <c r="Z642" s="188" t="inlineStr">
        <is>
          <t>CHECK_VENDOR</t>
        </is>
      </c>
      <c r="AA642" s="188" t="inlineStr">
        <is>
          <t>https://nvd.nist.gov/vuln/detail/CVE-2025-69374</t>
        </is>
      </c>
      <c r="AB642" s="188" t="inlineStr">
        <is>
          <t>NONE</t>
        </is>
      </c>
      <c r="AC642" s="188" t="n">
        <v>0</v>
      </c>
      <c r="AD642" s="188" t="inlineStr"/>
    </row>
    <row r="643">
      <c r="A643" s="188" t="inlineStr">
        <is>
          <t>CVE</t>
        </is>
      </c>
      <c r="B643" s="188" t="inlineStr">
        <is>
          <t>CVE-2025-69375</t>
        </is>
      </c>
      <c r="C643" s="188" t="inlineStr">
        <is>
          <t>Improper Control of Filename for Include/Require Statement in PHP Program ('PHP Remote File Inclusion') vulnerability in SolverWp Portfolio Builder swp-portfolio allows PHP Local File Inclusion.This issue affects Portfolio Builder: from n/a through &lt;= 1.2.5.</t>
        </is>
      </c>
      <c r="D643" s="188" t="n">
        <v>8.1</v>
      </c>
      <c r="E643" s="188" t="inlineStr">
        <is>
          <t>HIGH</t>
        </is>
      </c>
      <c r="F643" s="188" t="n">
        <v>2</v>
      </c>
      <c r="G643" s="188" t="n">
        <v>3</v>
      </c>
      <c r="H643" s="188" t="inlineStr">
        <is>
          <t>HIGH</t>
        </is>
      </c>
      <c r="I643" s="188" t="n">
        <v>14.1</v>
      </c>
      <c r="J643" s="188" t="inlineStr">
        <is>
          <t>NO</t>
        </is>
      </c>
      <c r="K643" s="188" t="inlineStr">
        <is>
          <t>https://nvd.nist.gov/vuln/detail/CVE-2025-69375</t>
        </is>
      </c>
      <c r="L643" s="188" t="inlineStr">
        <is>
          <t>2026-02-26 00:15</t>
        </is>
      </c>
      <c r="M643" s="188" t="inlineStr">
        <is>
          <t>CHECK_VENDOR</t>
        </is>
      </c>
      <c r="N643" s="188" t="inlineStr">
        <is>
          <t>See NVD references</t>
        </is>
      </c>
      <c r="O643" s="188" t="inlineStr">
        <is>
          <t>Apply vendor patches</t>
        </is>
      </c>
      <c r="P643" s="188" t="inlineStr">
        <is>
          <t>See CVE details</t>
        </is>
      </c>
      <c r="Q643" s="188" t="inlineStr">
        <is>
          <t>P3</t>
        </is>
      </c>
      <c r="R643" s="188" t="inlineStr">
        <is>
          <t>🚨 URGENT: Apply vendor patches immediately | 🔒 Isolate affected systems if patch unavailable | 🛡️ Enable additional monitoring/IDS rules</t>
        </is>
      </c>
      <c r="S643" s="188" t="inlineStr">
        <is>
          <t>CVE - IP enrichment n/a</t>
        </is>
      </c>
      <c r="T643" s="188" t="n">
        <v>0</v>
      </c>
      <c r="U643" s="188" t="n">
        <v>0</v>
      </c>
      <c r="V643" s="188" t="inlineStr">
        <is>
          <t>T1190:Exploit Public-Facing Application</t>
        </is>
      </c>
      <c r="W643" s="188" t="n">
        <v>1</v>
      </c>
      <c r="X643" s="188" t="inlineStr">
        <is>
          <t>LOW (40%)</t>
        </is>
      </c>
      <c r="Y643" s="188" t="inlineStr">
        <is>
          <t>UNLIKELY</t>
        </is>
      </c>
      <c r="Z643" s="188" t="inlineStr">
        <is>
          <t>CHECK_VENDOR</t>
        </is>
      </c>
      <c r="AA643" s="188" t="inlineStr">
        <is>
          <t>https://nvd.nist.gov/vuln/detail/CVE-2025-69375</t>
        </is>
      </c>
      <c r="AB643" s="188" t="inlineStr">
        <is>
          <t>NONE</t>
        </is>
      </c>
      <c r="AC643" s="188" t="n">
        <v>0</v>
      </c>
      <c r="AD643" s="188" t="inlineStr"/>
    </row>
    <row r="644">
      <c r="A644" s="187" t="inlineStr">
        <is>
          <t>CVE</t>
        </is>
      </c>
      <c r="B644" s="187" t="inlineStr">
        <is>
          <t>CVE-2025-69376</t>
        </is>
      </c>
      <c r="C644" s="187" t="inlineStr">
        <is>
          <t>Improper Limitation of a Pathname to a Restricted Directory ('Path Traversal') vulnerability in vanquish User Extra Fields wp-user-extra-fields allows Path Traversal.This issue affects User Extra Fields: from n/a through &lt;= 17.0.</t>
        </is>
      </c>
      <c r="D644" s="187" t="n">
        <v>5</v>
      </c>
      <c r="E644" s="187" t="inlineStr">
        <is>
          <t>MEDIUM</t>
        </is>
      </c>
      <c r="F644" s="187" t="n">
        <v>2</v>
      </c>
      <c r="G644" s="187" t="n">
        <v>2</v>
      </c>
      <c r="H644" s="187" t="inlineStr">
        <is>
          <t>MEDIUM</t>
        </is>
      </c>
      <c r="I644" s="187" t="n">
        <v>9</v>
      </c>
      <c r="J644" s="187" t="inlineStr">
        <is>
          <t>NO</t>
        </is>
      </c>
      <c r="K644" s="187" t="inlineStr">
        <is>
          <t>https://nvd.nist.gov/vuln/detail/CVE-2025-69376</t>
        </is>
      </c>
      <c r="L644" s="187" t="inlineStr">
        <is>
          <t>2026-02-26 00:15</t>
        </is>
      </c>
      <c r="M644" s="187" t="inlineStr">
        <is>
          <t>CHECK_VENDOR</t>
        </is>
      </c>
      <c r="N644" s="187" t="inlineStr">
        <is>
          <t>See NVD references</t>
        </is>
      </c>
      <c r="O644" s="187" t="inlineStr">
        <is>
          <t>Apply vendor patches</t>
        </is>
      </c>
      <c r="P644" s="187" t="inlineStr">
        <is>
          <t>See CVE details</t>
        </is>
      </c>
      <c r="Q644" s="187" t="inlineStr">
        <is>
          <t>P4</t>
        </is>
      </c>
      <c r="R644" s="187" t="inlineStr">
        <is>
          <t>📅 Schedule patch deployment within 30 days | 🔍 Monitor for exploitation attempts</t>
        </is>
      </c>
      <c r="S644" s="187" t="inlineStr">
        <is>
          <t>CVE - IP enrichment n/a</t>
        </is>
      </c>
      <c r="T644" s="187" t="n">
        <v>0</v>
      </c>
      <c r="U644" s="187" t="n">
        <v>0</v>
      </c>
      <c r="V644" s="187" t="inlineStr">
        <is>
          <t>T1083:File and Directory Discovery</t>
        </is>
      </c>
      <c r="W644" s="187" t="n">
        <v>1</v>
      </c>
      <c r="X644" s="187" t="inlineStr">
        <is>
          <t>LOW (40%)</t>
        </is>
      </c>
      <c r="Y644" s="187" t="inlineStr">
        <is>
          <t>UNLIKELY</t>
        </is>
      </c>
      <c r="Z644" s="187" t="inlineStr">
        <is>
          <t>CHECK_VENDOR</t>
        </is>
      </c>
      <c r="AA644" s="187" t="inlineStr">
        <is>
          <t>https://nvd.nist.gov/vuln/detail/CVE-2025-69376</t>
        </is>
      </c>
      <c r="AB644" s="187" t="inlineStr">
        <is>
          <t>NONE</t>
        </is>
      </c>
      <c r="AC644" s="187" t="n">
        <v>0</v>
      </c>
      <c r="AD644" s="187" t="inlineStr"/>
    </row>
    <row r="645">
      <c r="A645" s="188" t="inlineStr">
        <is>
          <t>CVE</t>
        </is>
      </c>
      <c r="B645" s="188" t="inlineStr">
        <is>
          <t>CVE-2025-69377</t>
        </is>
      </c>
      <c r="C645" s="188" t="inlineStr">
        <is>
          <t>Improper Limitation of a Pathname to a Restricted Directory ('Path Traversal') vulnerability in vanquish User Extra Fields wp-user-extra-fields allows Path Traversal.This issue affects User Extra Fields: from n/a through &lt;= 17.0.</t>
        </is>
      </c>
      <c r="D645" s="188" t="n">
        <v>7.7</v>
      </c>
      <c r="E645" s="188" t="inlineStr">
        <is>
          <t>HIGH</t>
        </is>
      </c>
      <c r="F645" s="188" t="n">
        <v>2</v>
      </c>
      <c r="G645" s="188" t="n">
        <v>3</v>
      </c>
      <c r="H645" s="188" t="inlineStr">
        <is>
          <t>HIGH</t>
        </is>
      </c>
      <c r="I645" s="188" t="n">
        <v>13.7</v>
      </c>
      <c r="J645" s="188" t="inlineStr">
        <is>
          <t>NO</t>
        </is>
      </c>
      <c r="K645" s="188" t="inlineStr">
        <is>
          <t>https://nvd.nist.gov/vuln/detail/CVE-2025-69377</t>
        </is>
      </c>
      <c r="L645" s="188" t="inlineStr">
        <is>
          <t>2026-02-26 00:15</t>
        </is>
      </c>
      <c r="M645" s="188" t="inlineStr">
        <is>
          <t>CHECK_VENDOR</t>
        </is>
      </c>
      <c r="N645" s="188" t="inlineStr">
        <is>
          <t>See NVD references</t>
        </is>
      </c>
      <c r="O645" s="188" t="inlineStr">
        <is>
          <t>Apply vendor patches</t>
        </is>
      </c>
      <c r="P645" s="188" t="inlineStr">
        <is>
          <t>See CVE details</t>
        </is>
      </c>
      <c r="Q645" s="188" t="inlineStr">
        <is>
          <t>P3</t>
        </is>
      </c>
      <c r="R645" s="188" t="inlineStr">
        <is>
          <t>🚨 URGENT: Apply vendor patches immediately | 🔒 Isolate affected systems if patch unavailable | 🛡️ Enable additional monitoring/IDS rules</t>
        </is>
      </c>
      <c r="S645" s="188" t="inlineStr">
        <is>
          <t>CVE - IP enrichment n/a</t>
        </is>
      </c>
      <c r="T645" s="188" t="n">
        <v>0</v>
      </c>
      <c r="U645" s="188" t="n">
        <v>0</v>
      </c>
      <c r="V645" s="188" t="inlineStr">
        <is>
          <t>T1083:File and Directory Discovery</t>
        </is>
      </c>
      <c r="W645" s="188" t="n">
        <v>1</v>
      </c>
      <c r="X645" s="188" t="inlineStr">
        <is>
          <t>LOW (40%)</t>
        </is>
      </c>
      <c r="Y645" s="188" t="inlineStr">
        <is>
          <t>UNLIKELY</t>
        </is>
      </c>
      <c r="Z645" s="188" t="inlineStr">
        <is>
          <t>CHECK_VENDOR</t>
        </is>
      </c>
      <c r="AA645" s="188" t="inlineStr">
        <is>
          <t>https://nvd.nist.gov/vuln/detail/CVE-2025-69377</t>
        </is>
      </c>
      <c r="AB645" s="188" t="inlineStr">
        <is>
          <t>NONE</t>
        </is>
      </c>
      <c r="AC645" s="188" t="n">
        <v>0</v>
      </c>
      <c r="AD645" s="188" t="inlineStr"/>
    </row>
    <row r="646">
      <c r="A646" s="188" t="inlineStr">
        <is>
          <t>CVE</t>
        </is>
      </c>
      <c r="B646" s="188" t="inlineStr">
        <is>
          <t>CVE-2025-69378</t>
        </is>
      </c>
      <c r="C646" s="188" t="inlineStr">
        <is>
          <t>Incorrect Privilege Assignment vulnerability in XforWooCommerce Product Filter for WooCommerce prdctfltr allows Privilege Escalation.This issue affects Product Filter for WooCommerce: from n/a through &lt;= 9.1.2.</t>
        </is>
      </c>
      <c r="D646" s="188" t="n">
        <v>8.5</v>
      </c>
      <c r="E646" s="188" t="inlineStr">
        <is>
          <t>HIGH</t>
        </is>
      </c>
      <c r="F646" s="188" t="n">
        <v>2</v>
      </c>
      <c r="G646" s="188" t="n">
        <v>3</v>
      </c>
      <c r="H646" s="188" t="inlineStr">
        <is>
          <t>HIGH</t>
        </is>
      </c>
      <c r="I646" s="188" t="n">
        <v>14.5</v>
      </c>
      <c r="J646" s="188" t="inlineStr">
        <is>
          <t>NO</t>
        </is>
      </c>
      <c r="K646" s="188" t="inlineStr">
        <is>
          <t>https://nvd.nist.gov/vuln/detail/CVE-2025-69378</t>
        </is>
      </c>
      <c r="L646" s="188" t="inlineStr">
        <is>
          <t>2026-02-26 00:15</t>
        </is>
      </c>
      <c r="M646" s="188" t="inlineStr">
        <is>
          <t>CHECK_VENDOR</t>
        </is>
      </c>
      <c r="N646" s="188" t="inlineStr">
        <is>
          <t>See NVD references</t>
        </is>
      </c>
      <c r="O646" s="188" t="inlineStr">
        <is>
          <t>Apply vendor patches</t>
        </is>
      </c>
      <c r="P646" s="188" t="inlineStr">
        <is>
          <t>See CVE details</t>
        </is>
      </c>
      <c r="Q646" s="188" t="inlineStr">
        <is>
          <t>P3</t>
        </is>
      </c>
      <c r="R646" s="188" t="inlineStr">
        <is>
          <t>🚨 URGENT: Apply vendor patches immediately | 🔒 Isolate affected systems if patch unavailable | 🛡️ Enable additional monitoring/IDS rules</t>
        </is>
      </c>
      <c r="S646" s="188" t="inlineStr">
        <is>
          <t>CVE - IP enrichment n/a</t>
        </is>
      </c>
      <c r="T646" s="188" t="n">
        <v>0</v>
      </c>
      <c r="U646" s="188" t="n">
        <v>0</v>
      </c>
      <c r="V646" s="188" t="inlineStr">
        <is>
          <t>T1190:Exploit Public-Facing Application | T1068:Exploitation for Privilege Escalation</t>
        </is>
      </c>
      <c r="W646" s="188" t="n">
        <v>1</v>
      </c>
      <c r="X646" s="188" t="inlineStr">
        <is>
          <t>LOW (40%)</t>
        </is>
      </c>
      <c r="Y646" s="188" t="inlineStr">
        <is>
          <t>UNLIKELY</t>
        </is>
      </c>
      <c r="Z646" s="188" t="inlineStr">
        <is>
          <t>CHECK_VENDOR</t>
        </is>
      </c>
      <c r="AA646" s="188" t="inlineStr">
        <is>
          <t>https://nvd.nist.gov/vuln/detail/CVE-2025-69378</t>
        </is>
      </c>
      <c r="AB646" s="188" t="inlineStr">
        <is>
          <t>NONE</t>
        </is>
      </c>
      <c r="AC646" s="188" t="n">
        <v>0</v>
      </c>
      <c r="AD646" s="188" t="inlineStr"/>
    </row>
    <row r="647">
      <c r="A647" s="188" t="inlineStr">
        <is>
          <t>CVE</t>
        </is>
      </c>
      <c r="B647" s="188" t="inlineStr">
        <is>
          <t>CVE-2025-69379</t>
        </is>
      </c>
      <c r="C647" s="188" t="inlineStr">
        <is>
          <t>Improper Limitation of a Pathname to a Restricted Directory ('Path Traversal') vulnerability in vanquish Upload Files Anywhere wp-upload-files-anywhere allows Path Traversal.This issue affects Upload Files Anywhere: from n/a through &lt;= 2.8.</t>
        </is>
      </c>
      <c r="D647" s="188" t="n">
        <v>8.6</v>
      </c>
      <c r="E647" s="188" t="inlineStr">
        <is>
          <t>HIGH</t>
        </is>
      </c>
      <c r="F647" s="188" t="n">
        <v>2</v>
      </c>
      <c r="G647" s="188" t="n">
        <v>3</v>
      </c>
      <c r="H647" s="188" t="inlineStr">
        <is>
          <t>HIGH</t>
        </is>
      </c>
      <c r="I647" s="188" t="n">
        <v>14.6</v>
      </c>
      <c r="J647" s="188" t="inlineStr">
        <is>
          <t>NO</t>
        </is>
      </c>
      <c r="K647" s="188" t="inlineStr">
        <is>
          <t>https://nvd.nist.gov/vuln/detail/CVE-2025-69379</t>
        </is>
      </c>
      <c r="L647" s="188" t="inlineStr">
        <is>
          <t>2026-02-26 00:15</t>
        </is>
      </c>
      <c r="M647" s="188" t="inlineStr">
        <is>
          <t>CHECK_VENDOR</t>
        </is>
      </c>
      <c r="N647" s="188" t="inlineStr">
        <is>
          <t>See NVD references</t>
        </is>
      </c>
      <c r="O647" s="188" t="inlineStr">
        <is>
          <t>Apply vendor patches</t>
        </is>
      </c>
      <c r="P647" s="188" t="inlineStr">
        <is>
          <t>See CVE details</t>
        </is>
      </c>
      <c r="Q647" s="188" t="inlineStr">
        <is>
          <t>P3</t>
        </is>
      </c>
      <c r="R647" s="188" t="inlineStr">
        <is>
          <t>🚨 URGENT: Apply vendor patches immediately | 🔒 Isolate affected systems if patch unavailable | 🛡️ Enable additional monitoring/IDS rules</t>
        </is>
      </c>
      <c r="S647" s="188" t="inlineStr">
        <is>
          <t>CVE - IP enrichment n/a</t>
        </is>
      </c>
      <c r="T647" s="188" t="n">
        <v>0</v>
      </c>
      <c r="U647" s="188" t="n">
        <v>0</v>
      </c>
      <c r="V647" s="188" t="inlineStr">
        <is>
          <t>T1083:File and Directory Discovery</t>
        </is>
      </c>
      <c r="W647" s="188" t="n">
        <v>1</v>
      </c>
      <c r="X647" s="188" t="inlineStr">
        <is>
          <t>LOW (40%)</t>
        </is>
      </c>
      <c r="Y647" s="188" t="inlineStr">
        <is>
          <t>UNLIKELY</t>
        </is>
      </c>
      <c r="Z647" s="188" t="inlineStr">
        <is>
          <t>CHECK_VENDOR</t>
        </is>
      </c>
      <c r="AA647" s="188" t="inlineStr">
        <is>
          <t>https://nvd.nist.gov/vuln/detail/CVE-2025-69379</t>
        </is>
      </c>
      <c r="AB647" s="188" t="inlineStr">
        <is>
          <t>NONE</t>
        </is>
      </c>
      <c r="AC647" s="188" t="n">
        <v>0</v>
      </c>
      <c r="AD647" s="188" t="inlineStr"/>
    </row>
    <row r="648">
      <c r="A648" s="188" t="inlineStr">
        <is>
          <t>CVE</t>
        </is>
      </c>
      <c r="B648" s="188" t="inlineStr">
        <is>
          <t>CVE-2025-69380</t>
        </is>
      </c>
      <c r="C648" s="188" t="inlineStr">
        <is>
          <t>Improper Limitation of a Pathname to a Restricted Directory ('Path Traversal') vulnerability in vanquish Upload Files Anywhere wp-upload-files-anywhere allows Path Traversal.This issue affects Upload Files Anywhere: from n/a through &lt;= 2.8.</t>
        </is>
      </c>
      <c r="D648" s="188" t="n">
        <v>7.5</v>
      </c>
      <c r="E648" s="188" t="inlineStr">
        <is>
          <t>HIGH</t>
        </is>
      </c>
      <c r="F648" s="188" t="n">
        <v>2</v>
      </c>
      <c r="G648" s="188" t="n">
        <v>3</v>
      </c>
      <c r="H648" s="188" t="inlineStr">
        <is>
          <t>HIGH</t>
        </is>
      </c>
      <c r="I648" s="188" t="n">
        <v>13.5</v>
      </c>
      <c r="J648" s="188" t="inlineStr">
        <is>
          <t>NO</t>
        </is>
      </c>
      <c r="K648" s="188" t="inlineStr">
        <is>
          <t>https://nvd.nist.gov/vuln/detail/CVE-2025-69380</t>
        </is>
      </c>
      <c r="L648" s="188" t="inlineStr">
        <is>
          <t>2026-02-26 00:15</t>
        </is>
      </c>
      <c r="M648" s="188" t="inlineStr">
        <is>
          <t>CHECK_VENDOR</t>
        </is>
      </c>
      <c r="N648" s="188" t="inlineStr">
        <is>
          <t>See NVD references</t>
        </is>
      </c>
      <c r="O648" s="188" t="inlineStr">
        <is>
          <t>Apply vendor patches</t>
        </is>
      </c>
      <c r="P648" s="188" t="inlineStr">
        <is>
          <t>See CVE details</t>
        </is>
      </c>
      <c r="Q648" s="188" t="inlineStr">
        <is>
          <t>P3</t>
        </is>
      </c>
      <c r="R648" s="188" t="inlineStr">
        <is>
          <t>🚨 URGENT: Apply vendor patches immediately | 🔒 Isolate affected systems if patch unavailable | 🛡️ Enable additional monitoring/IDS rules</t>
        </is>
      </c>
      <c r="S648" s="188" t="inlineStr">
        <is>
          <t>CVE - IP enrichment n/a</t>
        </is>
      </c>
      <c r="T648" s="188" t="n">
        <v>0</v>
      </c>
      <c r="U648" s="188" t="n">
        <v>0</v>
      </c>
      <c r="V648" s="188" t="inlineStr">
        <is>
          <t>T1083:File and Directory Discovery</t>
        </is>
      </c>
      <c r="W648" s="188" t="n">
        <v>1</v>
      </c>
      <c r="X648" s="188" t="inlineStr">
        <is>
          <t>LOW (40%)</t>
        </is>
      </c>
      <c r="Y648" s="188" t="inlineStr">
        <is>
          <t>UNLIKELY</t>
        </is>
      </c>
      <c r="Z648" s="188" t="inlineStr">
        <is>
          <t>CHECK_VENDOR</t>
        </is>
      </c>
      <c r="AA648" s="188" t="inlineStr">
        <is>
          <t>https://nvd.nist.gov/vuln/detail/CVE-2025-69380</t>
        </is>
      </c>
      <c r="AB648" s="188" t="inlineStr">
        <is>
          <t>NONE</t>
        </is>
      </c>
      <c r="AC648" s="188" t="n">
        <v>0</v>
      </c>
      <c r="AD648" s="188" t="inlineStr"/>
    </row>
    <row r="649">
      <c r="A649" s="188" t="inlineStr">
        <is>
          <t>CVE</t>
        </is>
      </c>
      <c r="B649" s="188" t="inlineStr">
        <is>
          <t>CVE-2025-69381</t>
        </is>
      </c>
      <c r="C649" s="188" t="inlineStr">
        <is>
          <t>Missing Authorization vulnerability in vanquish WooCommerce Bulk Product Editor woocommerce-quick-product-editor allows Exploiting Incorrectly Configured Access Control Security Levels.This issue affects WooCommerce Bulk Product Editor: from n/a through &lt;= 3.0.</t>
        </is>
      </c>
      <c r="D649" s="188" t="n">
        <v>7.1</v>
      </c>
      <c r="E649" s="188" t="inlineStr">
        <is>
          <t>HIGH</t>
        </is>
      </c>
      <c r="F649" s="188" t="n">
        <v>2</v>
      </c>
      <c r="G649" s="188" t="n">
        <v>3</v>
      </c>
      <c r="H649" s="188" t="inlineStr">
        <is>
          <t>HIGH</t>
        </is>
      </c>
      <c r="I649" s="188" t="n">
        <v>13.1</v>
      </c>
      <c r="J649" s="188" t="inlineStr">
        <is>
          <t>NO</t>
        </is>
      </c>
      <c r="K649" s="188" t="inlineStr">
        <is>
          <t>https://nvd.nist.gov/vuln/detail/CVE-2025-69381</t>
        </is>
      </c>
      <c r="L649" s="188" t="inlineStr">
        <is>
          <t>2026-02-26 00:15</t>
        </is>
      </c>
      <c r="M649" s="188" t="inlineStr">
        <is>
          <t>CHECK_VENDOR</t>
        </is>
      </c>
      <c r="N649" s="188" t="inlineStr">
        <is>
          <t>See NVD references</t>
        </is>
      </c>
      <c r="O649" s="188" t="inlineStr">
        <is>
          <t>Apply vendor patches</t>
        </is>
      </c>
      <c r="P649" s="188" t="inlineStr">
        <is>
          <t>See CVE details</t>
        </is>
      </c>
      <c r="Q649" s="188" t="inlineStr">
        <is>
          <t>P3</t>
        </is>
      </c>
      <c r="R649" s="188" t="inlineStr">
        <is>
          <t>🚨 URGENT: Apply vendor patches immediately | 🔒 Isolate affected systems if patch unavailable | 🛡️ Enable additional monitoring/IDS rules</t>
        </is>
      </c>
      <c r="S649" s="188" t="inlineStr">
        <is>
          <t>CVE - IP enrichment n/a</t>
        </is>
      </c>
      <c r="T649" s="188" t="n">
        <v>0</v>
      </c>
      <c r="U649" s="188" t="n">
        <v>0</v>
      </c>
      <c r="V649" s="188" t="inlineStr">
        <is>
          <t>T1190:Exploit Public-Facing Application</t>
        </is>
      </c>
      <c r="W649" s="188" t="n">
        <v>1</v>
      </c>
      <c r="X649" s="188" t="inlineStr">
        <is>
          <t>LOW (40%)</t>
        </is>
      </c>
      <c r="Y649" s="188" t="inlineStr">
        <is>
          <t>UNLIKELY</t>
        </is>
      </c>
      <c r="Z649" s="188" t="inlineStr">
        <is>
          <t>CHECK_VENDOR</t>
        </is>
      </c>
      <c r="AA649" s="188" t="inlineStr">
        <is>
          <t>https://nvd.nist.gov/vuln/detail/CVE-2025-69381</t>
        </is>
      </c>
      <c r="AB649" s="188" t="inlineStr">
        <is>
          <t>NONE</t>
        </is>
      </c>
      <c r="AC649" s="188" t="n">
        <v>0</v>
      </c>
      <c r="AD649" s="188" t="inlineStr"/>
    </row>
    <row r="650">
      <c r="A650" s="189" t="inlineStr">
        <is>
          <t>CVE</t>
        </is>
      </c>
      <c r="B650" s="189" t="inlineStr">
        <is>
          <t>CVE-2025-69382</t>
        </is>
      </c>
      <c r="C650" s="189" t="inlineStr">
        <is>
          <t>Deserialization of Untrusted Data vulnerability in themesflat Themesflat Elementor themesflat-elementor allows Object Injection.This issue affects Themesflat Elementor: from n/a through &lt;= 1.0.1.</t>
        </is>
      </c>
      <c r="D650" s="189" t="n">
        <v>9.800000000000001</v>
      </c>
      <c r="E650" s="189" t="inlineStr">
        <is>
          <t>CRITICAL</t>
        </is>
      </c>
      <c r="F650" s="189" t="n">
        <v>2</v>
      </c>
      <c r="G650" s="189" t="n">
        <v>3</v>
      </c>
      <c r="H650" s="189" t="inlineStr">
        <is>
          <t>HIGH</t>
        </is>
      </c>
      <c r="I650" s="189" t="n">
        <v>15.8</v>
      </c>
      <c r="J650" s="189" t="inlineStr">
        <is>
          <t>NO</t>
        </is>
      </c>
      <c r="K650" s="189" t="inlineStr">
        <is>
          <t>https://nvd.nist.gov/vuln/detail/CVE-2025-69382</t>
        </is>
      </c>
      <c r="L650" s="189" t="inlineStr">
        <is>
          <t>2026-02-26 00:15</t>
        </is>
      </c>
      <c r="M650" s="189" t="inlineStr">
        <is>
          <t>CHECK_VENDOR</t>
        </is>
      </c>
      <c r="N650" s="189" t="inlineStr">
        <is>
          <t>See NVD references</t>
        </is>
      </c>
      <c r="O650" s="189" t="inlineStr">
        <is>
          <t>Apply vendor patches</t>
        </is>
      </c>
      <c r="P650" s="189" t="inlineStr">
        <is>
          <t>See CVE details</t>
        </is>
      </c>
      <c r="Q650" s="189" t="inlineStr">
        <is>
          <t>P3</t>
        </is>
      </c>
      <c r="R650" s="189" t="inlineStr">
        <is>
          <t>🚨 URGENT: Apply vendor patches immediately | 🔒 Isolate affected systems if patch unavailable | 🛡️ Enable additional monitoring/IDS rules</t>
        </is>
      </c>
      <c r="S650" s="189" t="inlineStr">
        <is>
          <t>CVE - IP enrichment n/a</t>
        </is>
      </c>
      <c r="T650" s="189" t="n">
        <v>0.0004</v>
      </c>
      <c r="U650" s="189" t="n">
        <v>0.1236</v>
      </c>
      <c r="V650" s="189" t="inlineStr">
        <is>
          <t>T1059:Command and Scripting Interpreter</t>
        </is>
      </c>
      <c r="W650" s="189" t="n">
        <v>1</v>
      </c>
      <c r="X650" s="189" t="inlineStr">
        <is>
          <t>LOW (40%)</t>
        </is>
      </c>
      <c r="Y650" s="189" t="inlineStr">
        <is>
          <t>UNLIKELY</t>
        </is>
      </c>
      <c r="Z650" s="189" t="inlineStr">
        <is>
          <t>CHECK_VENDOR</t>
        </is>
      </c>
      <c r="AA650" s="189" t="inlineStr">
        <is>
          <t>https://nvd.nist.gov/vuln/detail/CVE-2025-69382</t>
        </is>
      </c>
      <c r="AB650" s="189" t="inlineStr">
        <is>
          <t>NONE</t>
        </is>
      </c>
      <c r="AC650" s="189" t="n">
        <v>0</v>
      </c>
      <c r="AD650" s="189" t="inlineStr"/>
    </row>
    <row r="651">
      <c r="A651" s="188" t="inlineStr">
        <is>
          <t>CVE</t>
        </is>
      </c>
      <c r="B651" s="188" t="inlineStr">
        <is>
          <t>CVE-2025-69383</t>
        </is>
      </c>
      <c r="C651" s="188" t="inlineStr">
        <is>
          <t>Improper Control of Filename for Include/Require Statement in PHP Program ('PHP Remote File Inclusion') vulnerability in Agence web Eoxia - Montpellier WP shop wpshop allows PHP Local File Inclusion.This issue affects WP shop: from n/a through &lt;= 2.6.1.</t>
        </is>
      </c>
      <c r="D651" s="188" t="n">
        <v>7.5</v>
      </c>
      <c r="E651" s="188" t="inlineStr">
        <is>
          <t>HIGH</t>
        </is>
      </c>
      <c r="F651" s="188" t="n">
        <v>2</v>
      </c>
      <c r="G651" s="188" t="n">
        <v>3</v>
      </c>
      <c r="H651" s="188" t="inlineStr">
        <is>
          <t>HIGH</t>
        </is>
      </c>
      <c r="I651" s="188" t="n">
        <v>13.5</v>
      </c>
      <c r="J651" s="188" t="inlineStr">
        <is>
          <t>NO</t>
        </is>
      </c>
      <c r="K651" s="188" t="inlineStr">
        <is>
          <t>https://nvd.nist.gov/vuln/detail/CVE-2025-69383</t>
        </is>
      </c>
      <c r="L651" s="188" t="inlineStr">
        <is>
          <t>2026-02-26 00:15</t>
        </is>
      </c>
      <c r="M651" s="188" t="inlineStr">
        <is>
          <t>CHECK_VENDOR</t>
        </is>
      </c>
      <c r="N651" s="188" t="inlineStr">
        <is>
          <t>See NVD references</t>
        </is>
      </c>
      <c r="O651" s="188" t="inlineStr">
        <is>
          <t>Apply vendor patches</t>
        </is>
      </c>
      <c r="P651" s="188" t="inlineStr">
        <is>
          <t>See CVE details</t>
        </is>
      </c>
      <c r="Q651" s="188" t="inlineStr">
        <is>
          <t>P3</t>
        </is>
      </c>
      <c r="R651" s="188" t="inlineStr">
        <is>
          <t>🚨 URGENT: Apply vendor patches immediately | 🔒 Isolate affected systems if patch unavailable | 🛡️ Enable additional monitoring/IDS rules</t>
        </is>
      </c>
      <c r="S651" s="188" t="inlineStr">
        <is>
          <t>CVE - IP enrichment n/a</t>
        </is>
      </c>
      <c r="T651" s="188" t="n">
        <v>0</v>
      </c>
      <c r="U651" s="188" t="n">
        <v>0</v>
      </c>
      <c r="V651" s="188" t="inlineStr">
        <is>
          <t>T1190:Exploit Public-Facing Application</t>
        </is>
      </c>
      <c r="W651" s="188" t="n">
        <v>1</v>
      </c>
      <c r="X651" s="188" t="inlineStr">
        <is>
          <t>LOW (40%)</t>
        </is>
      </c>
      <c r="Y651" s="188" t="inlineStr">
        <is>
          <t>UNLIKELY</t>
        </is>
      </c>
      <c r="Z651" s="188" t="inlineStr">
        <is>
          <t>CHECK_VENDOR</t>
        </is>
      </c>
      <c r="AA651" s="188" t="inlineStr">
        <is>
          <t>https://nvd.nist.gov/vuln/detail/CVE-2025-69383</t>
        </is>
      </c>
      <c r="AB651" s="188" t="inlineStr">
        <is>
          <t>NONE</t>
        </is>
      </c>
      <c r="AC651" s="188" t="n">
        <v>0</v>
      </c>
      <c r="AD651" s="188" t="inlineStr"/>
    </row>
    <row r="652">
      <c r="A652" s="188" t="inlineStr">
        <is>
          <t>CVE</t>
        </is>
      </c>
      <c r="B652" s="188" t="inlineStr">
        <is>
          <t>CVE-2025-69384</t>
        </is>
      </c>
      <c r="C652" s="188" t="inlineStr">
        <is>
          <t>Improper Neutralization of Input During Web Page Generation ('Cross-site Scripting') vulnerability in wpdiscover Timeline Event History timeline-event-history allows Reflected XSS.This issue affects Timeline Event History: from n/a through &lt;= 3.2.</t>
        </is>
      </c>
      <c r="D652" s="188" t="n">
        <v>7.1</v>
      </c>
      <c r="E652" s="188" t="inlineStr">
        <is>
          <t>HIGH</t>
        </is>
      </c>
      <c r="F652" s="188" t="n">
        <v>2</v>
      </c>
      <c r="G652" s="188" t="n">
        <v>3</v>
      </c>
      <c r="H652" s="188" t="inlineStr">
        <is>
          <t>HIGH</t>
        </is>
      </c>
      <c r="I652" s="188" t="n">
        <v>13.1</v>
      </c>
      <c r="J652" s="188" t="inlineStr">
        <is>
          <t>NO</t>
        </is>
      </c>
      <c r="K652" s="188" t="inlineStr">
        <is>
          <t>https://nvd.nist.gov/vuln/detail/CVE-2025-69384</t>
        </is>
      </c>
      <c r="L652" s="188" t="inlineStr">
        <is>
          <t>2026-02-26 00:15</t>
        </is>
      </c>
      <c r="M652" s="188" t="inlineStr">
        <is>
          <t>CHECK_VENDOR</t>
        </is>
      </c>
      <c r="N652" s="188" t="inlineStr">
        <is>
          <t>See NVD references</t>
        </is>
      </c>
      <c r="O652" s="188" t="inlineStr">
        <is>
          <t>Apply vendor patches</t>
        </is>
      </c>
      <c r="P652" s="188" t="inlineStr">
        <is>
          <t>See CVE details</t>
        </is>
      </c>
      <c r="Q652" s="188" t="inlineStr">
        <is>
          <t>P3</t>
        </is>
      </c>
      <c r="R652" s="188" t="inlineStr">
        <is>
          <t>🚨 URGENT: Apply vendor patches immediately | 🔒 Isolate affected systems if patch unavailable | 🛡️ Enable additional monitoring/IDS rules</t>
        </is>
      </c>
      <c r="S652" s="188" t="inlineStr">
        <is>
          <t>CVE - IP enrichment n/a</t>
        </is>
      </c>
      <c r="T652" s="188" t="n">
        <v>0.0003</v>
      </c>
      <c r="U652" s="188" t="n">
        <v>0.0951</v>
      </c>
      <c r="V652" s="188" t="inlineStr">
        <is>
          <t>T1189:Drive-by Compromise</t>
        </is>
      </c>
      <c r="W652" s="188" t="n">
        <v>1</v>
      </c>
      <c r="X652" s="188" t="inlineStr">
        <is>
          <t>LOW (40%)</t>
        </is>
      </c>
      <c r="Y652" s="188" t="inlineStr">
        <is>
          <t>UNLIKELY</t>
        </is>
      </c>
      <c r="Z652" s="188" t="inlineStr">
        <is>
          <t>CHECK_VENDOR</t>
        </is>
      </c>
      <c r="AA652" s="188" t="inlineStr">
        <is>
          <t>https://nvd.nist.gov/vuln/detail/CVE-2025-69384</t>
        </is>
      </c>
      <c r="AB652" s="188" t="inlineStr">
        <is>
          <t>NONE</t>
        </is>
      </c>
      <c r="AC652" s="188" t="n">
        <v>0</v>
      </c>
      <c r="AD652" s="188" t="inlineStr"/>
    </row>
    <row r="653">
      <c r="A653" s="187" t="inlineStr">
        <is>
          <t>CVE</t>
        </is>
      </c>
      <c r="B653" s="187" t="inlineStr">
        <is>
          <t>CVE-2025-69385</t>
        </is>
      </c>
      <c r="C653" s="187" t="inlineStr">
        <is>
          <t>Missing Authorization vulnerability in AgniHD Cartify - WooCommerce Gutenberg WordPress Theme cartify allows Exploiting Incorrectly Configured Access Control Security Levels.This issue affects Cartify - WooCommerce Gutenberg WordPress Theme: from n/a through &lt;= 1.3.</t>
        </is>
      </c>
      <c r="D653" s="187" t="n">
        <v>6.5</v>
      </c>
      <c r="E653" s="187" t="inlineStr">
        <is>
          <t>MEDIUM</t>
        </is>
      </c>
      <c r="F653" s="187" t="n">
        <v>2</v>
      </c>
      <c r="G653" s="187" t="n">
        <v>2</v>
      </c>
      <c r="H653" s="187" t="inlineStr">
        <is>
          <t>MEDIUM</t>
        </is>
      </c>
      <c r="I653" s="187" t="n">
        <v>10.5</v>
      </c>
      <c r="J653" s="187" t="inlineStr">
        <is>
          <t>NO</t>
        </is>
      </c>
      <c r="K653" s="187" t="inlineStr">
        <is>
          <t>https://nvd.nist.gov/vuln/detail/CVE-2025-69385</t>
        </is>
      </c>
      <c r="L653" s="187" t="inlineStr">
        <is>
          <t>2026-02-26 00:15</t>
        </is>
      </c>
      <c r="M653" s="187" t="inlineStr">
        <is>
          <t>CHECK_VENDOR</t>
        </is>
      </c>
      <c r="N653" s="187" t="inlineStr">
        <is>
          <t>See NVD references</t>
        </is>
      </c>
      <c r="O653" s="187" t="inlineStr">
        <is>
          <t>Apply vendor patches</t>
        </is>
      </c>
      <c r="P653" s="187" t="inlineStr">
        <is>
          <t>See CVE details</t>
        </is>
      </c>
      <c r="Q653" s="187" t="inlineStr">
        <is>
          <t>P4</t>
        </is>
      </c>
      <c r="R653" s="187" t="inlineStr">
        <is>
          <t>📅 Schedule patch deployment within 30 days | 🔍 Monitor for exploitation attempts</t>
        </is>
      </c>
      <c r="S653" s="187" t="inlineStr">
        <is>
          <t>CVE - IP enrichment n/a</t>
        </is>
      </c>
      <c r="T653" s="187" t="n">
        <v>0</v>
      </c>
      <c r="U653" s="187" t="n">
        <v>0</v>
      </c>
      <c r="V653" s="187" t="inlineStr">
        <is>
          <t>T1190:Exploit Public-Facing Application</t>
        </is>
      </c>
      <c r="W653" s="187" t="n">
        <v>1</v>
      </c>
      <c r="X653" s="187" t="inlineStr">
        <is>
          <t>LOW (40%)</t>
        </is>
      </c>
      <c r="Y653" s="187" t="inlineStr">
        <is>
          <t>UNLIKELY</t>
        </is>
      </c>
      <c r="Z653" s="187" t="inlineStr">
        <is>
          <t>CHECK_VENDOR</t>
        </is>
      </c>
      <c r="AA653" s="187" t="inlineStr">
        <is>
          <t>https://nvd.nist.gov/vuln/detail/CVE-2025-69385</t>
        </is>
      </c>
      <c r="AB653" s="187" t="inlineStr">
        <is>
          <t>NONE</t>
        </is>
      </c>
      <c r="AC653" s="187" t="n">
        <v>0</v>
      </c>
      <c r="AD653" s="187" t="inlineStr"/>
    </row>
    <row r="654">
      <c r="A654" s="188" t="inlineStr">
        <is>
          <t>CVE</t>
        </is>
      </c>
      <c r="B654" s="188" t="inlineStr">
        <is>
          <t>CVE-2025-69386</t>
        </is>
      </c>
      <c r="C654" s="188" t="inlineStr">
        <is>
          <t>Improper Neutralization of Input During Web Page Generation ('Cross-site Scripting') vulnerability in realvirtualmx RVCFDI para Woocommerce rvcfdi-para-woocommerce allows Reflected XSS.This issue affects RVCFDI para Woocommerce: from n/a through &lt;= 8.1.8.</t>
        </is>
      </c>
      <c r="D654" s="188" t="n">
        <v>7.1</v>
      </c>
      <c r="E654" s="188" t="inlineStr">
        <is>
          <t>HIGH</t>
        </is>
      </c>
      <c r="F654" s="188" t="n">
        <v>2</v>
      </c>
      <c r="G654" s="188" t="n">
        <v>3</v>
      </c>
      <c r="H654" s="188" t="inlineStr">
        <is>
          <t>HIGH</t>
        </is>
      </c>
      <c r="I654" s="188" t="n">
        <v>13.1</v>
      </c>
      <c r="J654" s="188" t="inlineStr">
        <is>
          <t>NO</t>
        </is>
      </c>
      <c r="K654" s="188" t="inlineStr">
        <is>
          <t>https://nvd.nist.gov/vuln/detail/CVE-2025-69386</t>
        </is>
      </c>
      <c r="L654" s="188" t="inlineStr">
        <is>
          <t>2026-02-26 00:15</t>
        </is>
      </c>
      <c r="M654" s="188" t="inlineStr">
        <is>
          <t>CHECK_VENDOR</t>
        </is>
      </c>
      <c r="N654" s="188" t="inlineStr">
        <is>
          <t>See NVD references</t>
        </is>
      </c>
      <c r="O654" s="188" t="inlineStr">
        <is>
          <t>Apply vendor patches</t>
        </is>
      </c>
      <c r="P654" s="188" t="inlineStr">
        <is>
          <t>See CVE details</t>
        </is>
      </c>
      <c r="Q654" s="188" t="inlineStr">
        <is>
          <t>P3</t>
        </is>
      </c>
      <c r="R654" s="188" t="inlineStr">
        <is>
          <t>🚨 URGENT: Apply vendor patches immediately | 🔒 Isolate affected systems if patch unavailable | 🛡️ Enable additional monitoring/IDS rules</t>
        </is>
      </c>
      <c r="S654" s="188" t="inlineStr">
        <is>
          <t>CVE - IP enrichment n/a</t>
        </is>
      </c>
      <c r="T654" s="188" t="n">
        <v>0.0003</v>
      </c>
      <c r="U654" s="188" t="n">
        <v>0.0951</v>
      </c>
      <c r="V654" s="188" t="inlineStr">
        <is>
          <t>T1189:Drive-by Compromise | T1190:Exploit Public-Facing Application</t>
        </is>
      </c>
      <c r="W654" s="188" t="n">
        <v>1</v>
      </c>
      <c r="X654" s="188" t="inlineStr">
        <is>
          <t>LOW (40%)</t>
        </is>
      </c>
      <c r="Y654" s="188" t="inlineStr">
        <is>
          <t>UNLIKELY</t>
        </is>
      </c>
      <c r="Z654" s="188" t="inlineStr">
        <is>
          <t>CHECK_VENDOR</t>
        </is>
      </c>
      <c r="AA654" s="188" t="inlineStr">
        <is>
          <t>https://nvd.nist.gov/vuln/detail/CVE-2025-69386</t>
        </is>
      </c>
      <c r="AB654" s="188" t="inlineStr">
        <is>
          <t>NONE</t>
        </is>
      </c>
      <c r="AC654" s="188" t="n">
        <v>0</v>
      </c>
      <c r="AD654" s="188" t="inlineStr"/>
    </row>
    <row r="655">
      <c r="A655" s="188" t="inlineStr">
        <is>
          <t>CVE</t>
        </is>
      </c>
      <c r="B655" s="188" t="inlineStr">
        <is>
          <t>CVE-2025-69387</t>
        </is>
      </c>
      <c r="C655" s="188" t="inlineStr">
        <is>
          <t>Improper Control of Filename for Include/Require Statement in PHP Program ('PHP Remote File Inclusion') vulnerability in whatwouldjessedo Simple Retail Menus simple-retail-menus allows PHP Local File Inclusion.This issue affects Simple Retail Menus: from n/a through &lt;= 4.2.1.</t>
        </is>
      </c>
      <c r="D655" s="188" t="n">
        <v>7.5</v>
      </c>
      <c r="E655" s="188" t="inlineStr">
        <is>
          <t>HIGH</t>
        </is>
      </c>
      <c r="F655" s="188" t="n">
        <v>2</v>
      </c>
      <c r="G655" s="188" t="n">
        <v>3</v>
      </c>
      <c r="H655" s="188" t="inlineStr">
        <is>
          <t>HIGH</t>
        </is>
      </c>
      <c r="I655" s="188" t="n">
        <v>13.5</v>
      </c>
      <c r="J655" s="188" t="inlineStr">
        <is>
          <t>NO</t>
        </is>
      </c>
      <c r="K655" s="188" t="inlineStr">
        <is>
          <t>https://nvd.nist.gov/vuln/detail/CVE-2025-69387</t>
        </is>
      </c>
      <c r="L655" s="188" t="inlineStr">
        <is>
          <t>2026-02-26 00:15</t>
        </is>
      </c>
      <c r="M655" s="188" t="inlineStr">
        <is>
          <t>CHECK_VENDOR</t>
        </is>
      </c>
      <c r="N655" s="188" t="inlineStr">
        <is>
          <t>See NVD references</t>
        </is>
      </c>
      <c r="O655" s="188" t="inlineStr">
        <is>
          <t>Apply vendor patches</t>
        </is>
      </c>
      <c r="P655" s="188" t="inlineStr">
        <is>
          <t>See CVE details</t>
        </is>
      </c>
      <c r="Q655" s="188" t="inlineStr">
        <is>
          <t>P3</t>
        </is>
      </c>
      <c r="R655" s="188" t="inlineStr">
        <is>
          <t>🚨 URGENT: Apply vendor patches immediately | 🔒 Isolate affected systems if patch unavailable | 🛡️ Enable additional monitoring/IDS rules</t>
        </is>
      </c>
      <c r="S655" s="188" t="inlineStr">
        <is>
          <t>CVE - IP enrichment n/a</t>
        </is>
      </c>
      <c r="T655" s="188" t="n">
        <v>0</v>
      </c>
      <c r="U655" s="188" t="n">
        <v>0</v>
      </c>
      <c r="V655" s="188" t="inlineStr">
        <is>
          <t>T1190:Exploit Public-Facing Application</t>
        </is>
      </c>
      <c r="W655" s="188" t="n">
        <v>1</v>
      </c>
      <c r="X655" s="188" t="inlineStr">
        <is>
          <t>LOW (40%)</t>
        </is>
      </c>
      <c r="Y655" s="188" t="inlineStr">
        <is>
          <t>UNLIKELY</t>
        </is>
      </c>
      <c r="Z655" s="188" t="inlineStr">
        <is>
          <t>CHECK_VENDOR</t>
        </is>
      </c>
      <c r="AA655" s="188" t="inlineStr">
        <is>
          <t>https://nvd.nist.gov/vuln/detail/CVE-2025-69387</t>
        </is>
      </c>
      <c r="AB655" s="188" t="inlineStr">
        <is>
          <t>NONE</t>
        </is>
      </c>
      <c r="AC655" s="188" t="n">
        <v>0</v>
      </c>
      <c r="AD655" s="188" t="inlineStr"/>
    </row>
    <row r="656">
      <c r="A656" s="187" t="inlineStr">
        <is>
          <t>CVE</t>
        </is>
      </c>
      <c r="B656" s="187" t="inlineStr">
        <is>
          <t>CVE-2025-69388</t>
        </is>
      </c>
      <c r="C656" s="187" t="inlineStr">
        <is>
          <t>Missing Authorization vulnerability in cliengo Cliengo – Chatbot cliengo allows Exploiting Incorrectly Configured Access Control Security Levels.This issue affects Cliengo – Chatbot: from n/a through &lt;= 3.0.4.</t>
        </is>
      </c>
      <c r="D656" s="187" t="n">
        <v>6.5</v>
      </c>
      <c r="E656" s="187" t="inlineStr">
        <is>
          <t>MEDIUM</t>
        </is>
      </c>
      <c r="F656" s="187" t="n">
        <v>2</v>
      </c>
      <c r="G656" s="187" t="n">
        <v>2</v>
      </c>
      <c r="H656" s="187" t="inlineStr">
        <is>
          <t>MEDIUM</t>
        </is>
      </c>
      <c r="I656" s="187" t="n">
        <v>10.5</v>
      </c>
      <c r="J656" s="187" t="inlineStr">
        <is>
          <t>NO</t>
        </is>
      </c>
      <c r="K656" s="187" t="inlineStr">
        <is>
          <t>https://nvd.nist.gov/vuln/detail/CVE-2025-69388</t>
        </is>
      </c>
      <c r="L656" s="187" t="inlineStr">
        <is>
          <t>2026-02-26 00:15</t>
        </is>
      </c>
      <c r="M656" s="187" t="inlineStr">
        <is>
          <t>CHECK_VENDOR</t>
        </is>
      </c>
      <c r="N656" s="187" t="inlineStr">
        <is>
          <t>See NVD references</t>
        </is>
      </c>
      <c r="O656" s="187" t="inlineStr">
        <is>
          <t>Apply vendor patches</t>
        </is>
      </c>
      <c r="P656" s="187" t="inlineStr">
        <is>
          <t>See CVE details</t>
        </is>
      </c>
      <c r="Q656" s="187" t="inlineStr">
        <is>
          <t>P4</t>
        </is>
      </c>
      <c r="R656" s="187" t="inlineStr">
        <is>
          <t>📅 Schedule patch deployment within 30 days | 🔍 Monitor for exploitation attempts</t>
        </is>
      </c>
      <c r="S656" s="187" t="inlineStr">
        <is>
          <t>CVE - IP enrichment n/a</t>
        </is>
      </c>
      <c r="T656" s="187" t="n">
        <v>0</v>
      </c>
      <c r="U656" s="187" t="n">
        <v>0</v>
      </c>
      <c r="V656" s="187" t="inlineStr">
        <is>
          <t>T1190:Exploit Public-Facing Application</t>
        </is>
      </c>
      <c r="W656" s="187" t="n">
        <v>1</v>
      </c>
      <c r="X656" s="187" t="inlineStr">
        <is>
          <t>LOW (40%)</t>
        </is>
      </c>
      <c r="Y656" s="187" t="inlineStr">
        <is>
          <t>UNLIKELY</t>
        </is>
      </c>
      <c r="Z656" s="187" t="inlineStr">
        <is>
          <t>CHECK_VENDOR</t>
        </is>
      </c>
      <c r="AA656" s="187" t="inlineStr">
        <is>
          <t>https://nvd.nist.gov/vuln/detail/CVE-2025-69388</t>
        </is>
      </c>
      <c r="AB656" s="187" t="inlineStr">
        <is>
          <t>NONE</t>
        </is>
      </c>
      <c r="AC656" s="187" t="n">
        <v>0</v>
      </c>
      <c r="AD656" s="187" t="inlineStr"/>
    </row>
    <row r="657">
      <c r="A657" s="188" t="inlineStr">
        <is>
          <t>CVE</t>
        </is>
      </c>
      <c r="B657" s="188" t="inlineStr">
        <is>
          <t>CVE-2025-69389</t>
        </is>
      </c>
      <c r="C657" s="188" t="inlineStr">
        <is>
          <t>Improper Neutralization of Input During Web Page Generation ('Cross-site Scripting') vulnerability in Hugh Mungus Visitor Maps Extended Referer Field visitor-maps-extended-referer-field allows Reflected XSS.This issue affects Visitor Maps Extended Referer Field: from n/a through &lt;= 1.2.6.</t>
        </is>
      </c>
      <c r="D657" s="188" t="n">
        <v>7.1</v>
      </c>
      <c r="E657" s="188" t="inlineStr">
        <is>
          <t>HIGH</t>
        </is>
      </c>
      <c r="F657" s="188" t="n">
        <v>2</v>
      </c>
      <c r="G657" s="188" t="n">
        <v>3</v>
      </c>
      <c r="H657" s="188" t="inlineStr">
        <is>
          <t>HIGH</t>
        </is>
      </c>
      <c r="I657" s="188" t="n">
        <v>13.1</v>
      </c>
      <c r="J657" s="188" t="inlineStr">
        <is>
          <t>NO</t>
        </is>
      </c>
      <c r="K657" s="188" t="inlineStr">
        <is>
          <t>https://nvd.nist.gov/vuln/detail/CVE-2025-69389</t>
        </is>
      </c>
      <c r="L657" s="188" t="inlineStr">
        <is>
          <t>2026-02-26 00:15</t>
        </is>
      </c>
      <c r="M657" s="188" t="inlineStr">
        <is>
          <t>CHECK_VENDOR</t>
        </is>
      </c>
      <c r="N657" s="188" t="inlineStr">
        <is>
          <t>See NVD references</t>
        </is>
      </c>
      <c r="O657" s="188" t="inlineStr">
        <is>
          <t>Apply vendor patches</t>
        </is>
      </c>
      <c r="P657" s="188" t="inlineStr">
        <is>
          <t>See CVE details</t>
        </is>
      </c>
      <c r="Q657" s="188" t="inlineStr">
        <is>
          <t>P3</t>
        </is>
      </c>
      <c r="R657" s="188" t="inlineStr">
        <is>
          <t>🚨 URGENT: Apply vendor patches immediately | 🔒 Isolate affected systems if patch unavailable | 🛡️ Enable additional monitoring/IDS rules</t>
        </is>
      </c>
      <c r="S657" s="188" t="inlineStr">
        <is>
          <t>CVE - IP enrichment n/a</t>
        </is>
      </c>
      <c r="T657" s="188" t="n">
        <v>0.0003</v>
      </c>
      <c r="U657" s="188" t="n">
        <v>0.0951</v>
      </c>
      <c r="V657" s="188" t="inlineStr">
        <is>
          <t>T1189:Drive-by Compromise</t>
        </is>
      </c>
      <c r="W657" s="188" t="n">
        <v>1</v>
      </c>
      <c r="X657" s="188" t="inlineStr">
        <is>
          <t>LOW (40%)</t>
        </is>
      </c>
      <c r="Y657" s="188" t="inlineStr">
        <is>
          <t>UNLIKELY</t>
        </is>
      </c>
      <c r="Z657" s="188" t="inlineStr">
        <is>
          <t>CHECK_VENDOR</t>
        </is>
      </c>
      <c r="AA657" s="188" t="inlineStr">
        <is>
          <t>https://nvd.nist.gov/vuln/detail/CVE-2025-69389</t>
        </is>
      </c>
      <c r="AB657" s="188" t="inlineStr">
        <is>
          <t>NONE</t>
        </is>
      </c>
      <c r="AC657" s="188" t="n">
        <v>0</v>
      </c>
      <c r="AD657" s="188" t="inlineStr"/>
    </row>
    <row r="658">
      <c r="A658" s="188" t="inlineStr">
        <is>
          <t>CVE</t>
        </is>
      </c>
      <c r="B658" s="188" t="inlineStr">
        <is>
          <t>CVE-2025-69390</t>
        </is>
      </c>
      <c r="C658" s="188" t="inlineStr">
        <is>
          <t>Improper Neutralization of Input During Web Page Generation ('Cross-site Scripting') vulnerability in themebon Business Template Blocks for WPBakery (Visual Composer) Page Builder templates-and-addons-for-wpbakery-page-builder allows Reflected XSS.This issue affects Business Template Blocks for WPBakery (Visual Composer) Page Builder: from n/a through &lt;= 1.3.2.</t>
        </is>
      </c>
      <c r="D658" s="188" t="n">
        <v>7.1</v>
      </c>
      <c r="E658" s="188" t="inlineStr">
        <is>
          <t>HIGH</t>
        </is>
      </c>
      <c r="F658" s="188" t="n">
        <v>2</v>
      </c>
      <c r="G658" s="188" t="n">
        <v>3</v>
      </c>
      <c r="H658" s="188" t="inlineStr">
        <is>
          <t>HIGH</t>
        </is>
      </c>
      <c r="I658" s="188" t="n">
        <v>13.1</v>
      </c>
      <c r="J658" s="188" t="inlineStr">
        <is>
          <t>NO</t>
        </is>
      </c>
      <c r="K658" s="188" t="inlineStr">
        <is>
          <t>https://nvd.nist.gov/vuln/detail/CVE-2025-69390</t>
        </is>
      </c>
      <c r="L658" s="188" t="inlineStr">
        <is>
          <t>2026-02-26 00:15</t>
        </is>
      </c>
      <c r="M658" s="188" t="inlineStr">
        <is>
          <t>CHECK_VENDOR</t>
        </is>
      </c>
      <c r="N658" s="188" t="inlineStr">
        <is>
          <t>See NVD references</t>
        </is>
      </c>
      <c r="O658" s="188" t="inlineStr">
        <is>
          <t>Apply vendor patches</t>
        </is>
      </c>
      <c r="P658" s="188" t="inlineStr">
        <is>
          <t>See CVE details</t>
        </is>
      </c>
      <c r="Q658" s="188" t="inlineStr">
        <is>
          <t>P3</t>
        </is>
      </c>
      <c r="R658" s="188" t="inlineStr">
        <is>
          <t>🚨 URGENT: Apply vendor patches immediately | 🔒 Isolate affected systems if patch unavailable | 🛡️ Enable additional monitoring/IDS rules</t>
        </is>
      </c>
      <c r="S658" s="188" t="inlineStr">
        <is>
          <t>CVE - IP enrichment n/a</t>
        </is>
      </c>
      <c r="T658" s="188" t="n">
        <v>0.0003</v>
      </c>
      <c r="U658" s="188" t="n">
        <v>0.0951</v>
      </c>
      <c r="V658" s="188" t="inlineStr">
        <is>
          <t>T1189:Drive-by Compromise</t>
        </is>
      </c>
      <c r="W658" s="188" t="n">
        <v>1</v>
      </c>
      <c r="X658" s="188" t="inlineStr">
        <is>
          <t>LOW (40%)</t>
        </is>
      </c>
      <c r="Y658" s="188" t="inlineStr">
        <is>
          <t>UNLIKELY</t>
        </is>
      </c>
      <c r="Z658" s="188" t="inlineStr">
        <is>
          <t>CHECK_VENDOR</t>
        </is>
      </c>
      <c r="AA658" s="188" t="inlineStr">
        <is>
          <t>https://nvd.nist.gov/vuln/detail/CVE-2025-69390</t>
        </is>
      </c>
      <c r="AB658" s="188" t="inlineStr">
        <is>
          <t>NONE</t>
        </is>
      </c>
      <c r="AC658" s="188" t="n">
        <v>0</v>
      </c>
      <c r="AD658" s="188" t="inlineStr"/>
    </row>
    <row r="659">
      <c r="A659" s="188" t="inlineStr">
        <is>
          <t>CVE</t>
        </is>
      </c>
      <c r="B659" s="188" t="inlineStr">
        <is>
          <t>CVE-2025-69391</t>
        </is>
      </c>
      <c r="C659" s="188" t="inlineStr">
        <is>
          <t>Improper Neutralization of Input During Web Page Generation ('Cross-site Scripting') vulnerability in GT3themes Diamond diamond allows Reflected XSS.This issue affects Diamond: from n/a through &lt;= 2.4.8.</t>
        </is>
      </c>
      <c r="D659" s="188" t="n">
        <v>7.1</v>
      </c>
      <c r="E659" s="188" t="inlineStr">
        <is>
          <t>HIGH</t>
        </is>
      </c>
      <c r="F659" s="188" t="n">
        <v>2</v>
      </c>
      <c r="G659" s="188" t="n">
        <v>3</v>
      </c>
      <c r="H659" s="188" t="inlineStr">
        <is>
          <t>HIGH</t>
        </is>
      </c>
      <c r="I659" s="188" t="n">
        <v>13.1</v>
      </c>
      <c r="J659" s="188" t="inlineStr">
        <is>
          <t>NO</t>
        </is>
      </c>
      <c r="K659" s="188" t="inlineStr">
        <is>
          <t>https://nvd.nist.gov/vuln/detail/CVE-2025-69391</t>
        </is>
      </c>
      <c r="L659" s="188" t="inlineStr">
        <is>
          <t>2026-02-26 00:15</t>
        </is>
      </c>
      <c r="M659" s="188" t="inlineStr">
        <is>
          <t>CHECK_VENDOR</t>
        </is>
      </c>
      <c r="N659" s="188" t="inlineStr">
        <is>
          <t>See NVD references</t>
        </is>
      </c>
      <c r="O659" s="188" t="inlineStr">
        <is>
          <t>Apply vendor patches</t>
        </is>
      </c>
      <c r="P659" s="188" t="inlineStr">
        <is>
          <t>See CVE details</t>
        </is>
      </c>
      <c r="Q659" s="188" t="inlineStr">
        <is>
          <t>P3</t>
        </is>
      </c>
      <c r="R659" s="188" t="inlineStr">
        <is>
          <t>🚨 URGENT: Apply vendor patches immediately | 🔒 Isolate affected systems if patch unavailable | 🛡️ Enable additional monitoring/IDS rules</t>
        </is>
      </c>
      <c r="S659" s="188" t="inlineStr">
        <is>
          <t>CVE - IP enrichment n/a</t>
        </is>
      </c>
      <c r="T659" s="188" t="n">
        <v>0</v>
      </c>
      <c r="U659" s="188" t="n">
        <v>0</v>
      </c>
      <c r="V659" s="188" t="inlineStr">
        <is>
          <t>T1189:Drive-by Compromise</t>
        </is>
      </c>
      <c r="W659" s="188" t="n">
        <v>1</v>
      </c>
      <c r="X659" s="188" t="inlineStr">
        <is>
          <t>LOW (40%)</t>
        </is>
      </c>
      <c r="Y659" s="188" t="inlineStr">
        <is>
          <t>UNLIKELY</t>
        </is>
      </c>
      <c r="Z659" s="188" t="inlineStr">
        <is>
          <t>CHECK_VENDOR</t>
        </is>
      </c>
      <c r="AA659" s="188" t="inlineStr">
        <is>
          <t>https://nvd.nist.gov/vuln/detail/CVE-2025-69391</t>
        </is>
      </c>
      <c r="AB659" s="188" t="inlineStr">
        <is>
          <t>NONE</t>
        </is>
      </c>
      <c r="AC659" s="188" t="n">
        <v>0</v>
      </c>
      <c r="AD659" s="188" t="inlineStr"/>
    </row>
    <row r="660">
      <c r="A660" s="188" t="inlineStr">
        <is>
          <t>CVE</t>
        </is>
      </c>
      <c r="B660" s="188" t="inlineStr">
        <is>
          <t>CVE-2025-69392</t>
        </is>
      </c>
      <c r="C660" s="188" t="inlineStr">
        <is>
          <t>Improper Neutralization of Input During Web Page Generation ('Cross-site Scripting') vulnerability in itex iMoney imoney allows Reflected XSS.This issue affects iMoney: from n/a through &lt;= 0.36.</t>
        </is>
      </c>
      <c r="D660" s="188" t="n">
        <v>7.1</v>
      </c>
      <c r="E660" s="188" t="inlineStr">
        <is>
          <t>HIGH</t>
        </is>
      </c>
      <c r="F660" s="188" t="n">
        <v>2</v>
      </c>
      <c r="G660" s="188" t="n">
        <v>3</v>
      </c>
      <c r="H660" s="188" t="inlineStr">
        <is>
          <t>HIGH</t>
        </is>
      </c>
      <c r="I660" s="188" t="n">
        <v>13.1</v>
      </c>
      <c r="J660" s="188" t="inlineStr">
        <is>
          <t>NO</t>
        </is>
      </c>
      <c r="K660" s="188" t="inlineStr">
        <is>
          <t>https://nvd.nist.gov/vuln/detail/CVE-2025-69392</t>
        </is>
      </c>
      <c r="L660" s="188" t="inlineStr">
        <is>
          <t>2026-02-26 00:15</t>
        </is>
      </c>
      <c r="M660" s="188" t="inlineStr">
        <is>
          <t>CHECK_VENDOR</t>
        </is>
      </c>
      <c r="N660" s="188" t="inlineStr">
        <is>
          <t>See NVD references</t>
        </is>
      </c>
      <c r="O660" s="188" t="inlineStr">
        <is>
          <t>Apply vendor patches</t>
        </is>
      </c>
      <c r="P660" s="188" t="inlineStr">
        <is>
          <t>See CVE details</t>
        </is>
      </c>
      <c r="Q660" s="188" t="inlineStr">
        <is>
          <t>P3</t>
        </is>
      </c>
      <c r="R660" s="188" t="inlineStr">
        <is>
          <t>🚨 URGENT: Apply vendor patches immediately | 🔒 Isolate affected systems if patch unavailable | 🛡️ Enable additional monitoring/IDS rules</t>
        </is>
      </c>
      <c r="S660" s="188" t="inlineStr">
        <is>
          <t>CVE - IP enrichment n/a</t>
        </is>
      </c>
      <c r="T660" s="188" t="n">
        <v>0.0003</v>
      </c>
      <c r="U660" s="188" t="n">
        <v>0.0951</v>
      </c>
      <c r="V660" s="188" t="inlineStr">
        <is>
          <t>T1189:Drive-by Compromise</t>
        </is>
      </c>
      <c r="W660" s="188" t="n">
        <v>1</v>
      </c>
      <c r="X660" s="188" t="inlineStr">
        <is>
          <t>LOW (40%)</t>
        </is>
      </c>
      <c r="Y660" s="188" t="inlineStr">
        <is>
          <t>UNLIKELY</t>
        </is>
      </c>
      <c r="Z660" s="188" t="inlineStr">
        <is>
          <t>CHECK_VENDOR</t>
        </is>
      </c>
      <c r="AA660" s="188" t="inlineStr">
        <is>
          <t>https://nvd.nist.gov/vuln/detail/CVE-2025-69392</t>
        </is>
      </c>
      <c r="AB660" s="188" t="inlineStr">
        <is>
          <t>NONE</t>
        </is>
      </c>
      <c r="AC660" s="188" t="n">
        <v>0</v>
      </c>
      <c r="AD660" s="188" t="inlineStr"/>
    </row>
    <row r="661">
      <c r="A661" s="188" t="inlineStr">
        <is>
          <t>CVE</t>
        </is>
      </c>
      <c r="B661" s="188" t="inlineStr">
        <is>
          <t>CVE-2025-69393</t>
        </is>
      </c>
      <c r="C661" s="188" t="inlineStr">
        <is>
          <t>Missing Authorization vulnerability in Jthemes Exzo exzo allows Exploiting Incorrectly Configured Access Control Security Levels.This issue affects Exzo: from n/a through &lt;= 1.2.4.</t>
        </is>
      </c>
      <c r="D661" s="188" t="n">
        <v>7.5</v>
      </c>
      <c r="E661" s="188" t="inlineStr">
        <is>
          <t>HIGH</t>
        </is>
      </c>
      <c r="F661" s="188" t="n">
        <v>2</v>
      </c>
      <c r="G661" s="188" t="n">
        <v>3</v>
      </c>
      <c r="H661" s="188" t="inlineStr">
        <is>
          <t>HIGH</t>
        </is>
      </c>
      <c r="I661" s="188" t="n">
        <v>13.5</v>
      </c>
      <c r="J661" s="188" t="inlineStr">
        <is>
          <t>NO</t>
        </is>
      </c>
      <c r="K661" s="188" t="inlineStr">
        <is>
          <t>https://nvd.nist.gov/vuln/detail/CVE-2025-69393</t>
        </is>
      </c>
      <c r="L661" s="188" t="inlineStr">
        <is>
          <t>2026-02-26 00:15</t>
        </is>
      </c>
      <c r="M661" s="188" t="inlineStr">
        <is>
          <t>CHECK_VENDOR</t>
        </is>
      </c>
      <c r="N661" s="188" t="inlineStr">
        <is>
          <t>See NVD references</t>
        </is>
      </c>
      <c r="O661" s="188" t="inlineStr">
        <is>
          <t>Apply vendor patches</t>
        </is>
      </c>
      <c r="P661" s="188" t="inlineStr">
        <is>
          <t>See CVE details</t>
        </is>
      </c>
      <c r="Q661" s="188" t="inlineStr">
        <is>
          <t>P3</t>
        </is>
      </c>
      <c r="R661" s="188" t="inlineStr">
        <is>
          <t>🚨 URGENT: Apply vendor patches immediately | 🔒 Isolate affected systems if patch unavailable | 🛡️ Enable additional monitoring/IDS rules</t>
        </is>
      </c>
      <c r="S661" s="188" t="inlineStr">
        <is>
          <t>CVE - IP enrichment n/a</t>
        </is>
      </c>
      <c r="T661" s="188" t="n">
        <v>0</v>
      </c>
      <c r="U661" s="188" t="n">
        <v>0</v>
      </c>
      <c r="V661" s="188" t="inlineStr">
        <is>
          <t>T1190:Exploit Public-Facing Application</t>
        </is>
      </c>
      <c r="W661" s="188" t="n">
        <v>1</v>
      </c>
      <c r="X661" s="188" t="inlineStr">
        <is>
          <t>LOW (40%)</t>
        </is>
      </c>
      <c r="Y661" s="188" t="inlineStr">
        <is>
          <t>UNLIKELY</t>
        </is>
      </c>
      <c r="Z661" s="188" t="inlineStr">
        <is>
          <t>CHECK_VENDOR</t>
        </is>
      </c>
      <c r="AA661" s="188" t="inlineStr">
        <is>
          <t>https://nvd.nist.gov/vuln/detail/CVE-2025-69393</t>
        </is>
      </c>
      <c r="AB661" s="188" t="inlineStr">
        <is>
          <t>NONE</t>
        </is>
      </c>
      <c r="AC661" s="188" t="n">
        <v>0</v>
      </c>
      <c r="AD661" s="188" t="inlineStr"/>
    </row>
    <row r="662">
      <c r="A662" s="187" t="inlineStr">
        <is>
          <t>CVE</t>
        </is>
      </c>
      <c r="B662" s="187" t="inlineStr">
        <is>
          <t>CVE-2025-69394</t>
        </is>
      </c>
      <c r="C662" s="187" t="inlineStr">
        <is>
          <t>Authorization Bypass Through User-Controlled Key vulnerability in cnvrse Cnvrse cnvrse allows Exploiting Incorrectly Configured Access Control Security Levels.This issue affects Cnvrse: from n/a through &lt;= 026.02.10.20.</t>
        </is>
      </c>
      <c r="D662" s="187" t="n">
        <v>5</v>
      </c>
      <c r="E662" s="187" t="inlineStr">
        <is>
          <t>MEDIUM</t>
        </is>
      </c>
      <c r="F662" s="187" t="n">
        <v>2</v>
      </c>
      <c r="G662" s="187" t="n">
        <v>2</v>
      </c>
      <c r="H662" s="187" t="inlineStr">
        <is>
          <t>MEDIUM</t>
        </is>
      </c>
      <c r="I662" s="187" t="n">
        <v>9</v>
      </c>
      <c r="J662" s="187" t="inlineStr">
        <is>
          <t>NO</t>
        </is>
      </c>
      <c r="K662" s="187" t="inlineStr">
        <is>
          <t>https://nvd.nist.gov/vuln/detail/CVE-2025-69394</t>
        </is>
      </c>
      <c r="L662" s="187" t="inlineStr">
        <is>
          <t>2026-02-26 00:15</t>
        </is>
      </c>
      <c r="M662" s="187" t="inlineStr">
        <is>
          <t>CHECK_VENDOR</t>
        </is>
      </c>
      <c r="N662" s="187" t="inlineStr">
        <is>
          <t>See NVD references</t>
        </is>
      </c>
      <c r="O662" s="187" t="inlineStr">
        <is>
          <t>Apply vendor patches</t>
        </is>
      </c>
      <c r="P662" s="187" t="inlineStr">
        <is>
          <t>See CVE details</t>
        </is>
      </c>
      <c r="Q662" s="187" t="inlineStr">
        <is>
          <t>P4</t>
        </is>
      </c>
      <c r="R662" s="187" t="inlineStr">
        <is>
          <t>📅 Schedule patch deployment within 30 days | 🔍 Monitor for exploitation attempts</t>
        </is>
      </c>
      <c r="S662" s="187" t="inlineStr">
        <is>
          <t>CVE - IP enrichment n/a</t>
        </is>
      </c>
      <c r="T662" s="187" t="n">
        <v>0</v>
      </c>
      <c r="U662" s="187" t="n">
        <v>0</v>
      </c>
      <c r="V662" s="187" t="inlineStr">
        <is>
          <t>T1190:Exploit Public-Facing Application</t>
        </is>
      </c>
      <c r="W662" s="187" t="n">
        <v>1</v>
      </c>
      <c r="X662" s="187" t="inlineStr">
        <is>
          <t>LOW (40%)</t>
        </is>
      </c>
      <c r="Y662" s="187" t="inlineStr">
        <is>
          <t>UNLIKELY</t>
        </is>
      </c>
      <c r="Z662" s="187" t="inlineStr">
        <is>
          <t>CHECK_VENDOR</t>
        </is>
      </c>
      <c r="AA662" s="187" t="inlineStr">
        <is>
          <t>https://nvd.nist.gov/vuln/detail/CVE-2025-69394</t>
        </is>
      </c>
      <c r="AB662" s="187" t="inlineStr">
        <is>
          <t>NONE</t>
        </is>
      </c>
      <c r="AC662" s="187" t="n">
        <v>0</v>
      </c>
      <c r="AD662" s="187" t="inlineStr"/>
    </row>
    <row r="663">
      <c r="A663" s="188" t="inlineStr">
        <is>
          <t>CVE</t>
        </is>
      </c>
      <c r="B663" s="188" t="inlineStr">
        <is>
          <t>CVE-2025-69395</t>
        </is>
      </c>
      <c r="C663" s="188" t="inlineStr">
        <is>
          <t>Improper Control of Filename for Include/Require Statement in PHP Program ('PHP Remote File Inclusion') vulnerability in ThemeREX Gable gable allows PHP Local File Inclusion.This issue affects Gable: from n/a through &lt;= 1.5.</t>
        </is>
      </c>
      <c r="D663" s="188" t="n">
        <v>8.1</v>
      </c>
      <c r="E663" s="188" t="inlineStr">
        <is>
          <t>HIGH</t>
        </is>
      </c>
      <c r="F663" s="188" t="n">
        <v>2</v>
      </c>
      <c r="G663" s="188" t="n">
        <v>3</v>
      </c>
      <c r="H663" s="188" t="inlineStr">
        <is>
          <t>HIGH</t>
        </is>
      </c>
      <c r="I663" s="188" t="n">
        <v>14.1</v>
      </c>
      <c r="J663" s="188" t="inlineStr">
        <is>
          <t>NO</t>
        </is>
      </c>
      <c r="K663" s="188" t="inlineStr">
        <is>
          <t>https://nvd.nist.gov/vuln/detail/CVE-2025-69395</t>
        </is>
      </c>
      <c r="L663" s="188" t="inlineStr">
        <is>
          <t>2026-02-26 00:15</t>
        </is>
      </c>
      <c r="M663" s="188" t="inlineStr">
        <is>
          <t>CHECK_VENDOR</t>
        </is>
      </c>
      <c r="N663" s="188" t="inlineStr">
        <is>
          <t>See NVD references</t>
        </is>
      </c>
      <c r="O663" s="188" t="inlineStr">
        <is>
          <t>Apply vendor patches</t>
        </is>
      </c>
      <c r="P663" s="188" t="inlineStr">
        <is>
          <t>See CVE details</t>
        </is>
      </c>
      <c r="Q663" s="188" t="inlineStr">
        <is>
          <t>P3</t>
        </is>
      </c>
      <c r="R663" s="188" t="inlineStr">
        <is>
          <t>🚨 URGENT: Apply vendor patches immediately | 🔒 Isolate affected systems if patch unavailable | 🛡️ Enable additional monitoring/IDS rules</t>
        </is>
      </c>
      <c r="S663" s="188" t="inlineStr">
        <is>
          <t>CVE - IP enrichment n/a</t>
        </is>
      </c>
      <c r="T663" s="188" t="n">
        <v>0</v>
      </c>
      <c r="U663" s="188" t="n">
        <v>0</v>
      </c>
      <c r="V663" s="188" t="inlineStr">
        <is>
          <t>T1190:Exploit Public-Facing Application</t>
        </is>
      </c>
      <c r="W663" s="188" t="n">
        <v>1</v>
      </c>
      <c r="X663" s="188" t="inlineStr">
        <is>
          <t>LOW (40%)</t>
        </is>
      </c>
      <c r="Y663" s="188" t="inlineStr">
        <is>
          <t>UNLIKELY</t>
        </is>
      </c>
      <c r="Z663" s="188" t="inlineStr">
        <is>
          <t>CHECK_VENDOR</t>
        </is>
      </c>
      <c r="AA663" s="188" t="inlineStr">
        <is>
          <t>https://nvd.nist.gov/vuln/detail/CVE-2025-69395</t>
        </is>
      </c>
      <c r="AB663" s="188" t="inlineStr">
        <is>
          <t>NONE</t>
        </is>
      </c>
      <c r="AC663" s="188" t="n">
        <v>0</v>
      </c>
      <c r="AD663" s="188" t="inlineStr"/>
    </row>
    <row r="664">
      <c r="A664" s="188" t="inlineStr">
        <is>
          <t>CVE</t>
        </is>
      </c>
      <c r="B664" s="188" t="inlineStr">
        <is>
          <t>CVE-2025-69396</t>
        </is>
      </c>
      <c r="C664" s="188" t="inlineStr">
        <is>
          <t>Improper Control of Filename for Include/Require Statement in PHP Program ('PHP Remote File Inclusion') vulnerability in ThemeREX Splendour splendour allows PHP Local File Inclusion.This issue affects Splendour: from n/a through &lt;= 1.23.</t>
        </is>
      </c>
      <c r="D664" s="188" t="n">
        <v>8.1</v>
      </c>
      <c r="E664" s="188" t="inlineStr">
        <is>
          <t>HIGH</t>
        </is>
      </c>
      <c r="F664" s="188" t="n">
        <v>2</v>
      </c>
      <c r="G664" s="188" t="n">
        <v>3</v>
      </c>
      <c r="H664" s="188" t="inlineStr">
        <is>
          <t>HIGH</t>
        </is>
      </c>
      <c r="I664" s="188" t="n">
        <v>14.1</v>
      </c>
      <c r="J664" s="188" t="inlineStr">
        <is>
          <t>NO</t>
        </is>
      </c>
      <c r="K664" s="188" t="inlineStr">
        <is>
          <t>https://nvd.nist.gov/vuln/detail/CVE-2025-69396</t>
        </is>
      </c>
      <c r="L664" s="188" t="inlineStr">
        <is>
          <t>2026-02-26 00:15</t>
        </is>
      </c>
      <c r="M664" s="188" t="inlineStr">
        <is>
          <t>CHECK_VENDOR</t>
        </is>
      </c>
      <c r="N664" s="188" t="inlineStr">
        <is>
          <t>See NVD references</t>
        </is>
      </c>
      <c r="O664" s="188" t="inlineStr">
        <is>
          <t>Apply vendor patches</t>
        </is>
      </c>
      <c r="P664" s="188" t="inlineStr">
        <is>
          <t>See CVE details</t>
        </is>
      </c>
      <c r="Q664" s="188" t="inlineStr">
        <is>
          <t>P3</t>
        </is>
      </c>
      <c r="R664" s="188" t="inlineStr">
        <is>
          <t>🚨 URGENT: Apply vendor patches immediately | 🔒 Isolate affected systems if patch unavailable | 🛡️ Enable additional monitoring/IDS rules</t>
        </is>
      </c>
      <c r="S664" s="188" t="inlineStr">
        <is>
          <t>CVE - IP enrichment n/a</t>
        </is>
      </c>
      <c r="T664" s="188" t="n">
        <v>0</v>
      </c>
      <c r="U664" s="188" t="n">
        <v>0</v>
      </c>
      <c r="V664" s="188" t="inlineStr">
        <is>
          <t>T1190:Exploit Public-Facing Application</t>
        </is>
      </c>
      <c r="W664" s="188" t="n">
        <v>1</v>
      </c>
      <c r="X664" s="188" t="inlineStr">
        <is>
          <t>LOW (40%)</t>
        </is>
      </c>
      <c r="Y664" s="188" t="inlineStr">
        <is>
          <t>UNLIKELY</t>
        </is>
      </c>
      <c r="Z664" s="188" t="inlineStr">
        <is>
          <t>CHECK_VENDOR</t>
        </is>
      </c>
      <c r="AA664" s="188" t="inlineStr">
        <is>
          <t>https://nvd.nist.gov/vuln/detail/CVE-2025-69396</t>
        </is>
      </c>
      <c r="AB664" s="188" t="inlineStr">
        <is>
          <t>NONE</t>
        </is>
      </c>
      <c r="AC664" s="188" t="n">
        <v>0</v>
      </c>
      <c r="AD664" s="188" t="inlineStr"/>
    </row>
    <row r="665">
      <c r="A665" s="188" t="inlineStr">
        <is>
          <t>CVE</t>
        </is>
      </c>
      <c r="B665" s="188" t="inlineStr">
        <is>
          <t>CVE-2025-69397</t>
        </is>
      </c>
      <c r="C665" s="188" t="inlineStr">
        <is>
          <t>Improper Control of Filename for Include/Require Statement in PHP Program ('PHP Remote File Inclusion') vulnerability in ThemeREX Tint tint allows PHP Local File Inclusion.This issue affects Tint: from n/a through &lt;= 1.7.</t>
        </is>
      </c>
      <c r="D665" s="188" t="n">
        <v>8.1</v>
      </c>
      <c r="E665" s="188" t="inlineStr">
        <is>
          <t>HIGH</t>
        </is>
      </c>
      <c r="F665" s="188" t="n">
        <v>2</v>
      </c>
      <c r="G665" s="188" t="n">
        <v>3</v>
      </c>
      <c r="H665" s="188" t="inlineStr">
        <is>
          <t>HIGH</t>
        </is>
      </c>
      <c r="I665" s="188" t="n">
        <v>14.1</v>
      </c>
      <c r="J665" s="188" t="inlineStr">
        <is>
          <t>NO</t>
        </is>
      </c>
      <c r="K665" s="188" t="inlineStr">
        <is>
          <t>https://nvd.nist.gov/vuln/detail/CVE-2025-69397</t>
        </is>
      </c>
      <c r="L665" s="188" t="inlineStr">
        <is>
          <t>2026-02-26 00:15</t>
        </is>
      </c>
      <c r="M665" s="188" t="inlineStr">
        <is>
          <t>CHECK_VENDOR</t>
        </is>
      </c>
      <c r="N665" s="188" t="inlineStr">
        <is>
          <t>See NVD references</t>
        </is>
      </c>
      <c r="O665" s="188" t="inlineStr">
        <is>
          <t>Apply vendor patches</t>
        </is>
      </c>
      <c r="P665" s="188" t="inlineStr">
        <is>
          <t>See CVE details</t>
        </is>
      </c>
      <c r="Q665" s="188" t="inlineStr">
        <is>
          <t>P3</t>
        </is>
      </c>
      <c r="R665" s="188" t="inlineStr">
        <is>
          <t>🚨 URGENT: Apply vendor patches immediately | 🔒 Isolate affected systems if patch unavailable | 🛡️ Enable additional monitoring/IDS rules</t>
        </is>
      </c>
      <c r="S665" s="188" t="inlineStr">
        <is>
          <t>CVE - IP enrichment n/a</t>
        </is>
      </c>
      <c r="T665" s="188" t="n">
        <v>0</v>
      </c>
      <c r="U665" s="188" t="n">
        <v>0</v>
      </c>
      <c r="V665" s="188" t="inlineStr">
        <is>
          <t>T1190:Exploit Public-Facing Application</t>
        </is>
      </c>
      <c r="W665" s="188" t="n">
        <v>1</v>
      </c>
      <c r="X665" s="188" t="inlineStr">
        <is>
          <t>LOW (40%)</t>
        </is>
      </c>
      <c r="Y665" s="188" t="inlineStr">
        <is>
          <t>UNLIKELY</t>
        </is>
      </c>
      <c r="Z665" s="188" t="inlineStr">
        <is>
          <t>CHECK_VENDOR</t>
        </is>
      </c>
      <c r="AA665" s="188" t="inlineStr">
        <is>
          <t>https://nvd.nist.gov/vuln/detail/CVE-2025-69397</t>
        </is>
      </c>
      <c r="AB665" s="188" t="inlineStr">
        <is>
          <t>NONE</t>
        </is>
      </c>
      <c r="AC665" s="188" t="n">
        <v>0</v>
      </c>
      <c r="AD665" s="188" t="inlineStr"/>
    </row>
    <row r="666">
      <c r="A666" s="188" t="inlineStr">
        <is>
          <t>CVE</t>
        </is>
      </c>
      <c r="B666" s="188" t="inlineStr">
        <is>
          <t>CVE-2025-69398</t>
        </is>
      </c>
      <c r="C666" s="188" t="inlineStr">
        <is>
          <t>Improper Control of Filename for Include/Require Statement in PHP Program ('PHP Remote File Inclusion') vulnerability in ThemeREX Plank plank allows PHP Local File Inclusion.This issue affects Plank: from n/a through &lt;= 1.7.</t>
        </is>
      </c>
      <c r="D666" s="188" t="n">
        <v>8.1</v>
      </c>
      <c r="E666" s="188" t="inlineStr">
        <is>
          <t>HIGH</t>
        </is>
      </c>
      <c r="F666" s="188" t="n">
        <v>2</v>
      </c>
      <c r="G666" s="188" t="n">
        <v>3</v>
      </c>
      <c r="H666" s="188" t="inlineStr">
        <is>
          <t>HIGH</t>
        </is>
      </c>
      <c r="I666" s="188" t="n">
        <v>14.1</v>
      </c>
      <c r="J666" s="188" t="inlineStr">
        <is>
          <t>NO</t>
        </is>
      </c>
      <c r="K666" s="188" t="inlineStr">
        <is>
          <t>https://nvd.nist.gov/vuln/detail/CVE-2025-69398</t>
        </is>
      </c>
      <c r="L666" s="188" t="inlineStr">
        <is>
          <t>2026-02-26 00:15</t>
        </is>
      </c>
      <c r="M666" s="188" t="inlineStr">
        <is>
          <t>CHECK_VENDOR</t>
        </is>
      </c>
      <c r="N666" s="188" t="inlineStr">
        <is>
          <t>See NVD references</t>
        </is>
      </c>
      <c r="O666" s="188" t="inlineStr">
        <is>
          <t>Apply vendor patches</t>
        </is>
      </c>
      <c r="P666" s="188" t="inlineStr">
        <is>
          <t>See CVE details</t>
        </is>
      </c>
      <c r="Q666" s="188" t="inlineStr">
        <is>
          <t>P3</t>
        </is>
      </c>
      <c r="R666" s="188" t="inlineStr">
        <is>
          <t>🚨 URGENT: Apply vendor patches immediately | 🔒 Isolate affected systems if patch unavailable | 🛡️ Enable additional monitoring/IDS rules</t>
        </is>
      </c>
      <c r="S666" s="188" t="inlineStr">
        <is>
          <t>CVE - IP enrichment n/a</t>
        </is>
      </c>
      <c r="T666" s="188" t="n">
        <v>0</v>
      </c>
      <c r="U666" s="188" t="n">
        <v>0</v>
      </c>
      <c r="V666" s="188" t="inlineStr">
        <is>
          <t>T1190:Exploit Public-Facing Application</t>
        </is>
      </c>
      <c r="W666" s="188" t="n">
        <v>1</v>
      </c>
      <c r="X666" s="188" t="inlineStr">
        <is>
          <t>LOW (40%)</t>
        </is>
      </c>
      <c r="Y666" s="188" t="inlineStr">
        <is>
          <t>UNLIKELY</t>
        </is>
      </c>
      <c r="Z666" s="188" t="inlineStr">
        <is>
          <t>CHECK_VENDOR</t>
        </is>
      </c>
      <c r="AA666" s="188" t="inlineStr">
        <is>
          <t>https://nvd.nist.gov/vuln/detail/CVE-2025-69398</t>
        </is>
      </c>
      <c r="AB666" s="188" t="inlineStr">
        <is>
          <t>NONE</t>
        </is>
      </c>
      <c r="AC666" s="188" t="n">
        <v>0</v>
      </c>
      <c r="AD666" s="188" t="inlineStr"/>
    </row>
    <row r="667">
      <c r="A667" s="188" t="inlineStr">
        <is>
          <t>CVE</t>
        </is>
      </c>
      <c r="B667" s="188" t="inlineStr">
        <is>
          <t>CVE-2025-69399</t>
        </is>
      </c>
      <c r="C667" s="188" t="inlineStr">
        <is>
          <t>Improper Control of Filename for Include/Require Statement in PHP Program ('PHP Remote File Inclusion') vulnerability in ThemeREX Cobble cobble allows PHP Local File Inclusion.This issue affects Cobble: from n/a through &lt;= 1.7.</t>
        </is>
      </c>
      <c r="D667" s="188" t="n">
        <v>8.1</v>
      </c>
      <c r="E667" s="188" t="inlineStr">
        <is>
          <t>HIGH</t>
        </is>
      </c>
      <c r="F667" s="188" t="n">
        <v>2</v>
      </c>
      <c r="G667" s="188" t="n">
        <v>3</v>
      </c>
      <c r="H667" s="188" t="inlineStr">
        <is>
          <t>HIGH</t>
        </is>
      </c>
      <c r="I667" s="188" t="n">
        <v>14.1</v>
      </c>
      <c r="J667" s="188" t="inlineStr">
        <is>
          <t>NO</t>
        </is>
      </c>
      <c r="K667" s="188" t="inlineStr">
        <is>
          <t>https://nvd.nist.gov/vuln/detail/CVE-2025-69399</t>
        </is>
      </c>
      <c r="L667" s="188" t="inlineStr">
        <is>
          <t>2026-02-26 00:15</t>
        </is>
      </c>
      <c r="M667" s="188" t="inlineStr">
        <is>
          <t>CHECK_VENDOR</t>
        </is>
      </c>
      <c r="N667" s="188" t="inlineStr">
        <is>
          <t>See NVD references</t>
        </is>
      </c>
      <c r="O667" s="188" t="inlineStr">
        <is>
          <t>Apply vendor patches</t>
        </is>
      </c>
      <c r="P667" s="188" t="inlineStr">
        <is>
          <t>See CVE details</t>
        </is>
      </c>
      <c r="Q667" s="188" t="inlineStr">
        <is>
          <t>P3</t>
        </is>
      </c>
      <c r="R667" s="188" t="inlineStr">
        <is>
          <t>🚨 URGENT: Apply vendor patches immediately | 🔒 Isolate affected systems if patch unavailable | 🛡️ Enable additional monitoring/IDS rules</t>
        </is>
      </c>
      <c r="S667" s="188" t="inlineStr">
        <is>
          <t>CVE - IP enrichment n/a</t>
        </is>
      </c>
      <c r="T667" s="188" t="n">
        <v>0</v>
      </c>
      <c r="U667" s="188" t="n">
        <v>0</v>
      </c>
      <c r="V667" s="188" t="inlineStr">
        <is>
          <t>T1190:Exploit Public-Facing Application</t>
        </is>
      </c>
      <c r="W667" s="188" t="n">
        <v>1</v>
      </c>
      <c r="X667" s="188" t="inlineStr">
        <is>
          <t>LOW (40%)</t>
        </is>
      </c>
      <c r="Y667" s="188" t="inlineStr">
        <is>
          <t>UNLIKELY</t>
        </is>
      </c>
      <c r="Z667" s="188" t="inlineStr">
        <is>
          <t>CHECK_VENDOR</t>
        </is>
      </c>
      <c r="AA667" s="188" t="inlineStr">
        <is>
          <t>https://nvd.nist.gov/vuln/detail/CVE-2025-69399</t>
        </is>
      </c>
      <c r="AB667" s="188" t="inlineStr">
        <is>
          <t>NONE</t>
        </is>
      </c>
      <c r="AC667" s="188" t="n">
        <v>0</v>
      </c>
      <c r="AD667" s="188" t="inlineStr"/>
    </row>
    <row r="668">
      <c r="A668" s="188" t="inlineStr">
        <is>
          <t>CVE</t>
        </is>
      </c>
      <c r="B668" s="188" t="inlineStr">
        <is>
          <t>CVE-2025-69400</t>
        </is>
      </c>
      <c r="C668" s="188" t="inlineStr">
        <is>
          <t>Improper Control of Filename for Include/Require Statement in PHP Program ('PHP Remote File Inclusion') vulnerability in ThemeREX Yokoo yokoo allows PHP Local File Inclusion.This issue affects Yokoo: from n/a through &lt;= 1.1.11.</t>
        </is>
      </c>
      <c r="D668" s="188" t="n">
        <v>8.1</v>
      </c>
      <c r="E668" s="188" t="inlineStr">
        <is>
          <t>HIGH</t>
        </is>
      </c>
      <c r="F668" s="188" t="n">
        <v>2</v>
      </c>
      <c r="G668" s="188" t="n">
        <v>3</v>
      </c>
      <c r="H668" s="188" t="inlineStr">
        <is>
          <t>HIGH</t>
        </is>
      </c>
      <c r="I668" s="188" t="n">
        <v>14.1</v>
      </c>
      <c r="J668" s="188" t="inlineStr">
        <is>
          <t>NO</t>
        </is>
      </c>
      <c r="K668" s="188" t="inlineStr">
        <is>
          <t>https://nvd.nist.gov/vuln/detail/CVE-2025-69400</t>
        </is>
      </c>
      <c r="L668" s="188" t="inlineStr">
        <is>
          <t>2026-02-26 00:15</t>
        </is>
      </c>
      <c r="M668" s="188" t="inlineStr">
        <is>
          <t>CHECK_VENDOR</t>
        </is>
      </c>
      <c r="N668" s="188" t="inlineStr">
        <is>
          <t>See NVD references</t>
        </is>
      </c>
      <c r="O668" s="188" t="inlineStr">
        <is>
          <t>Apply vendor patches</t>
        </is>
      </c>
      <c r="P668" s="188" t="inlineStr">
        <is>
          <t>See CVE details</t>
        </is>
      </c>
      <c r="Q668" s="188" t="inlineStr">
        <is>
          <t>P3</t>
        </is>
      </c>
      <c r="R668" s="188" t="inlineStr">
        <is>
          <t>🚨 URGENT: Apply vendor patches immediately | 🔒 Isolate affected systems if patch unavailable | 🛡️ Enable additional monitoring/IDS rules</t>
        </is>
      </c>
      <c r="S668" s="188" t="inlineStr">
        <is>
          <t>CVE - IP enrichment n/a</t>
        </is>
      </c>
      <c r="T668" s="188" t="n">
        <v>0.0011</v>
      </c>
      <c r="U668" s="188" t="n">
        <v>0.3022</v>
      </c>
      <c r="V668" s="188" t="inlineStr">
        <is>
          <t>T1190:Exploit Public-Facing Application</t>
        </is>
      </c>
      <c r="W668" s="188" t="n">
        <v>1</v>
      </c>
      <c r="X668" s="188" t="inlineStr">
        <is>
          <t>LOW (40%)</t>
        </is>
      </c>
      <c r="Y668" s="188" t="inlineStr">
        <is>
          <t>UNLIKELY</t>
        </is>
      </c>
      <c r="Z668" s="188" t="inlineStr">
        <is>
          <t>CHECK_VENDOR</t>
        </is>
      </c>
      <c r="AA668" s="188" t="inlineStr">
        <is>
          <t>https://nvd.nist.gov/vuln/detail/CVE-2025-69400</t>
        </is>
      </c>
      <c r="AB668" s="188" t="inlineStr">
        <is>
          <t>NONE</t>
        </is>
      </c>
      <c r="AC668" s="188" t="n">
        <v>0</v>
      </c>
      <c r="AD668" s="188" t="inlineStr"/>
    </row>
    <row r="669">
      <c r="A669" s="188" t="inlineStr">
        <is>
          <t>CVE</t>
        </is>
      </c>
      <c r="B669" s="188" t="inlineStr">
        <is>
          <t>CVE-2025-69401</t>
        </is>
      </c>
      <c r="C669" s="188" t="inlineStr">
        <is>
          <t>Authentication Bypass by Spoofing vulnerability in mdalabar WooODT Lite byconsole-woo-order-delivery-time allows Identity Spoofing.This issue affects WooODT Lite: from n/a through &lt;= 2.5.2.</t>
        </is>
      </c>
      <c r="D669" s="188" t="n">
        <v>7.5</v>
      </c>
      <c r="E669" s="188" t="inlineStr">
        <is>
          <t>HIGH</t>
        </is>
      </c>
      <c r="F669" s="188" t="n">
        <v>2</v>
      </c>
      <c r="G669" s="188" t="n">
        <v>3</v>
      </c>
      <c r="H669" s="188" t="inlineStr">
        <is>
          <t>HIGH</t>
        </is>
      </c>
      <c r="I669" s="188" t="n">
        <v>13.5</v>
      </c>
      <c r="J669" s="188" t="inlineStr">
        <is>
          <t>NO</t>
        </is>
      </c>
      <c r="K669" s="188" t="inlineStr">
        <is>
          <t>https://nvd.nist.gov/vuln/detail/CVE-2025-69401</t>
        </is>
      </c>
      <c r="L669" s="188" t="inlineStr">
        <is>
          <t>2026-02-26 00:15</t>
        </is>
      </c>
      <c r="M669" s="188" t="inlineStr">
        <is>
          <t>CHECK_VENDOR</t>
        </is>
      </c>
      <c r="N669" s="188" t="inlineStr">
        <is>
          <t>See NVD references</t>
        </is>
      </c>
      <c r="O669" s="188" t="inlineStr">
        <is>
          <t>Apply vendor patches</t>
        </is>
      </c>
      <c r="P669" s="188" t="inlineStr">
        <is>
          <t>See CVE details</t>
        </is>
      </c>
      <c r="Q669" s="188" t="inlineStr">
        <is>
          <t>P3</t>
        </is>
      </c>
      <c r="R669" s="188" t="inlineStr">
        <is>
          <t>🚨 URGENT: Apply vendor patches immediately | 🔒 Isolate affected systems if patch unavailable | 🛡️ Enable additional monitoring/IDS rules</t>
        </is>
      </c>
      <c r="S669" s="188" t="inlineStr">
        <is>
          <t>CVE - IP enrichment n/a</t>
        </is>
      </c>
      <c r="T669" s="188" t="n">
        <v>0.0002</v>
      </c>
      <c r="U669" s="188" t="n">
        <v>0.0615</v>
      </c>
      <c r="V669" s="188" t="inlineStr">
        <is>
          <t>T1078:Valid Accounts</t>
        </is>
      </c>
      <c r="W669" s="188" t="n">
        <v>1</v>
      </c>
      <c r="X669" s="188" t="inlineStr">
        <is>
          <t>LOW (40%)</t>
        </is>
      </c>
      <c r="Y669" s="188" t="inlineStr">
        <is>
          <t>UNLIKELY</t>
        </is>
      </c>
      <c r="Z669" s="188" t="inlineStr">
        <is>
          <t>CHECK_VENDOR</t>
        </is>
      </c>
      <c r="AA669" s="188" t="inlineStr">
        <is>
          <t>https://nvd.nist.gov/vuln/detail/CVE-2025-69401</t>
        </is>
      </c>
      <c r="AB669" s="188" t="inlineStr">
        <is>
          <t>NONE</t>
        </is>
      </c>
      <c r="AC669" s="188" t="n">
        <v>0</v>
      </c>
      <c r="AD669" s="188" t="inlineStr"/>
    </row>
    <row r="670">
      <c r="A670" s="188" t="inlineStr">
        <is>
          <t>CVE</t>
        </is>
      </c>
      <c r="B670" s="188" t="inlineStr">
        <is>
          <t>CVE-2025-69402</t>
        </is>
      </c>
      <c r="C670" s="188" t="inlineStr">
        <is>
          <t>Improper Control of Filename for Include/Require Statement in PHP Program ('PHP Remote File Inclusion') vulnerability in ThemeREX R&amp;F rf allows PHP Local File Inclusion.This issue affects R&amp;F: from n/a through &lt;= 1.5.</t>
        </is>
      </c>
      <c r="D670" s="188" t="n">
        <v>8.1</v>
      </c>
      <c r="E670" s="188" t="inlineStr">
        <is>
          <t>HIGH</t>
        </is>
      </c>
      <c r="F670" s="188" t="n">
        <v>2</v>
      </c>
      <c r="G670" s="188" t="n">
        <v>3</v>
      </c>
      <c r="H670" s="188" t="inlineStr">
        <is>
          <t>HIGH</t>
        </is>
      </c>
      <c r="I670" s="188" t="n">
        <v>14.1</v>
      </c>
      <c r="J670" s="188" t="inlineStr">
        <is>
          <t>NO</t>
        </is>
      </c>
      <c r="K670" s="188" t="inlineStr">
        <is>
          <t>https://nvd.nist.gov/vuln/detail/CVE-2025-69402</t>
        </is>
      </c>
      <c r="L670" s="188" t="inlineStr">
        <is>
          <t>2026-02-26 00:15</t>
        </is>
      </c>
      <c r="M670" s="188" t="inlineStr">
        <is>
          <t>CHECK_VENDOR</t>
        </is>
      </c>
      <c r="N670" s="188" t="inlineStr">
        <is>
          <t>See NVD references</t>
        </is>
      </c>
      <c r="O670" s="188" t="inlineStr">
        <is>
          <t>Apply vendor patches</t>
        </is>
      </c>
      <c r="P670" s="188" t="inlineStr">
        <is>
          <t>See CVE details</t>
        </is>
      </c>
      <c r="Q670" s="188" t="inlineStr">
        <is>
          <t>P3</t>
        </is>
      </c>
      <c r="R670" s="188" t="inlineStr">
        <is>
          <t>🚨 URGENT: Apply vendor patches immediately | 🔒 Isolate affected systems if patch unavailable | 🛡️ Enable additional monitoring/IDS rules</t>
        </is>
      </c>
      <c r="S670" s="188" t="inlineStr">
        <is>
          <t>CVE - IP enrichment n/a</t>
        </is>
      </c>
      <c r="T670" s="188" t="n">
        <v>0.0011</v>
      </c>
      <c r="U670" s="188" t="n">
        <v>0.3022</v>
      </c>
      <c r="V670" s="188" t="inlineStr">
        <is>
          <t>T1190:Exploit Public-Facing Application</t>
        </is>
      </c>
      <c r="W670" s="188" t="n">
        <v>1</v>
      </c>
      <c r="X670" s="188" t="inlineStr">
        <is>
          <t>LOW (40%)</t>
        </is>
      </c>
      <c r="Y670" s="188" t="inlineStr">
        <is>
          <t>UNLIKELY</t>
        </is>
      </c>
      <c r="Z670" s="188" t="inlineStr">
        <is>
          <t>CHECK_VENDOR</t>
        </is>
      </c>
      <c r="AA670" s="188" t="inlineStr">
        <is>
          <t>https://nvd.nist.gov/vuln/detail/CVE-2025-69402</t>
        </is>
      </c>
      <c r="AB670" s="188" t="inlineStr">
        <is>
          <t>NONE</t>
        </is>
      </c>
      <c r="AC670" s="188" t="n">
        <v>0</v>
      </c>
      <c r="AD670" s="188" t="inlineStr"/>
    </row>
    <row r="671">
      <c r="A671" s="189" t="inlineStr">
        <is>
          <t>CVE</t>
        </is>
      </c>
      <c r="B671" s="189" t="inlineStr">
        <is>
          <t>CVE-2025-69403</t>
        </is>
      </c>
      <c r="C671" s="189" t="inlineStr">
        <is>
          <t>Unrestricted Upload of File with Dangerous Type vulnerability in Bravis-Themes Bravis Addons bravis-addons allows Using Malicious Files.This issue affects Bravis Addons: from n/a through &lt;= 1.1.9.</t>
        </is>
      </c>
      <c r="D671" s="189" t="n">
        <v>9.9</v>
      </c>
      <c r="E671" s="189" t="inlineStr">
        <is>
          <t>CRITICAL</t>
        </is>
      </c>
      <c r="F671" s="189" t="n">
        <v>2</v>
      </c>
      <c r="G671" s="189" t="n">
        <v>3</v>
      </c>
      <c r="H671" s="189" t="inlineStr">
        <is>
          <t>HIGH</t>
        </is>
      </c>
      <c r="I671" s="189" t="n">
        <v>15.9</v>
      </c>
      <c r="J671" s="189" t="inlineStr">
        <is>
          <t>NO</t>
        </is>
      </c>
      <c r="K671" s="189" t="inlineStr">
        <is>
          <t>https://nvd.nist.gov/vuln/detail/CVE-2025-69403</t>
        </is>
      </c>
      <c r="L671" s="189" t="inlineStr">
        <is>
          <t>2026-02-26 00:15</t>
        </is>
      </c>
      <c r="M671" s="189" t="inlineStr">
        <is>
          <t>CHECK_VENDOR</t>
        </is>
      </c>
      <c r="N671" s="189" t="inlineStr">
        <is>
          <t>See NVD references</t>
        </is>
      </c>
      <c r="O671" s="189" t="inlineStr">
        <is>
          <t>Apply vendor patches</t>
        </is>
      </c>
      <c r="P671" s="189" t="inlineStr">
        <is>
          <t>See CVE details</t>
        </is>
      </c>
      <c r="Q671" s="189" t="inlineStr">
        <is>
          <t>P3</t>
        </is>
      </c>
      <c r="R671" s="189" t="inlineStr">
        <is>
          <t>🚨 URGENT: Apply vendor patches immediately | 🔒 Isolate affected systems if patch unavailable | 🛡️ Enable additional monitoring/IDS rules</t>
        </is>
      </c>
      <c r="S671" s="189" t="inlineStr">
        <is>
          <t>CVE - IP enrichment n/a</t>
        </is>
      </c>
      <c r="T671" s="189" t="n">
        <v>0</v>
      </c>
      <c r="U671" s="189" t="n">
        <v>0</v>
      </c>
      <c r="V671" s="189" t="inlineStr">
        <is>
          <t>T1190:Exploit Public-Facing Application</t>
        </is>
      </c>
      <c r="W671" s="189" t="n">
        <v>1</v>
      </c>
      <c r="X671" s="189" t="inlineStr">
        <is>
          <t>LOW (40%)</t>
        </is>
      </c>
      <c r="Y671" s="189" t="inlineStr">
        <is>
          <t>UNLIKELY</t>
        </is>
      </c>
      <c r="Z671" s="189" t="inlineStr">
        <is>
          <t>CHECK_VENDOR</t>
        </is>
      </c>
      <c r="AA671" s="189" t="inlineStr">
        <is>
          <t>https://nvd.nist.gov/vuln/detail/CVE-2025-69403</t>
        </is>
      </c>
      <c r="AB671" s="189" t="inlineStr">
        <is>
          <t>NONE</t>
        </is>
      </c>
      <c r="AC671" s="189" t="n">
        <v>0</v>
      </c>
      <c r="AD671" s="189" t="inlineStr"/>
    </row>
    <row r="672">
      <c r="A672" s="189" t="inlineStr">
        <is>
          <t>CVE</t>
        </is>
      </c>
      <c r="B672" s="189" t="inlineStr">
        <is>
          <t>CVE-2025-69404</t>
        </is>
      </c>
      <c r="C672" s="189" t="inlineStr">
        <is>
          <t>Deserialization of Untrusted Data vulnerability in ThemeREX Extreme Store extremestore allows Object Injection.This issue affects Extreme Store: from n/a through &lt;= 1.5.7.</t>
        </is>
      </c>
      <c r="D672" s="189" t="n">
        <v>9.800000000000001</v>
      </c>
      <c r="E672" s="189" t="inlineStr">
        <is>
          <t>CRITICAL</t>
        </is>
      </c>
      <c r="F672" s="189" t="n">
        <v>2</v>
      </c>
      <c r="G672" s="189" t="n">
        <v>3</v>
      </c>
      <c r="H672" s="189" t="inlineStr">
        <is>
          <t>HIGH</t>
        </is>
      </c>
      <c r="I672" s="189" t="n">
        <v>15.8</v>
      </c>
      <c r="J672" s="189" t="inlineStr">
        <is>
          <t>NO</t>
        </is>
      </c>
      <c r="K672" s="189" t="inlineStr">
        <is>
          <t>https://nvd.nist.gov/vuln/detail/CVE-2025-69404</t>
        </is>
      </c>
      <c r="L672" s="189" t="inlineStr">
        <is>
          <t>2026-02-26 00:15</t>
        </is>
      </c>
      <c r="M672" s="189" t="inlineStr">
        <is>
          <t>CHECK_VENDOR</t>
        </is>
      </c>
      <c r="N672" s="189" t="inlineStr">
        <is>
          <t>See NVD references</t>
        </is>
      </c>
      <c r="O672" s="189" t="inlineStr">
        <is>
          <t>Apply vendor patches</t>
        </is>
      </c>
      <c r="P672" s="189" t="inlineStr">
        <is>
          <t>See CVE details</t>
        </is>
      </c>
      <c r="Q672" s="189" t="inlineStr">
        <is>
          <t>P3</t>
        </is>
      </c>
      <c r="R672" s="189" t="inlineStr">
        <is>
          <t>🚨 URGENT: Apply vendor patches immediately | 🔒 Isolate affected systems if patch unavailable | 🛡️ Enable additional monitoring/IDS rules</t>
        </is>
      </c>
      <c r="S672" s="189" t="inlineStr">
        <is>
          <t>CVE - IP enrichment n/a</t>
        </is>
      </c>
      <c r="T672" s="189" t="n">
        <v>0</v>
      </c>
      <c r="U672" s="189" t="n">
        <v>0</v>
      </c>
      <c r="V672" s="189" t="inlineStr">
        <is>
          <t>T1059:Command and Scripting Interpreter</t>
        </is>
      </c>
      <c r="W672" s="189" t="n">
        <v>1</v>
      </c>
      <c r="X672" s="189" t="inlineStr">
        <is>
          <t>LOW (40%)</t>
        </is>
      </c>
      <c r="Y672" s="189" t="inlineStr">
        <is>
          <t>UNLIKELY</t>
        </is>
      </c>
      <c r="Z672" s="189" t="inlineStr">
        <is>
          <t>CHECK_VENDOR</t>
        </is>
      </c>
      <c r="AA672" s="189" t="inlineStr">
        <is>
          <t>https://nvd.nist.gov/vuln/detail/CVE-2025-69404</t>
        </is>
      </c>
      <c r="AB672" s="189" t="inlineStr">
        <is>
          <t>NONE</t>
        </is>
      </c>
      <c r="AC672" s="189" t="n">
        <v>0</v>
      </c>
      <c r="AD672" s="189" t="inlineStr"/>
    </row>
    <row r="673">
      <c r="A673" s="189" t="inlineStr">
        <is>
          <t>CVE</t>
        </is>
      </c>
      <c r="B673" s="189" t="inlineStr">
        <is>
          <t>CVE-2025-69405</t>
        </is>
      </c>
      <c r="C673" s="189" t="inlineStr">
        <is>
          <t>Deserialization of Untrusted Data vulnerability in ThemeREX Lorem Ipsum | Books &amp; Media Store lorem-ipsum-books-media-store allows Object Injection.This issue affects Lorem Ipsum | Books &amp; Media Store: from n/a through &lt;= 1.2.6.</t>
        </is>
      </c>
      <c r="D673" s="189" t="n">
        <v>9.800000000000001</v>
      </c>
      <c r="E673" s="189" t="inlineStr">
        <is>
          <t>CRITICAL</t>
        </is>
      </c>
      <c r="F673" s="189" t="n">
        <v>2</v>
      </c>
      <c r="G673" s="189" t="n">
        <v>3</v>
      </c>
      <c r="H673" s="189" t="inlineStr">
        <is>
          <t>HIGH</t>
        </is>
      </c>
      <c r="I673" s="189" t="n">
        <v>15.8</v>
      </c>
      <c r="J673" s="189" t="inlineStr">
        <is>
          <t>NO</t>
        </is>
      </c>
      <c r="K673" s="189" t="inlineStr">
        <is>
          <t>https://nvd.nist.gov/vuln/detail/CVE-2025-69405</t>
        </is>
      </c>
      <c r="L673" s="189" t="inlineStr">
        <is>
          <t>2026-02-26 00:15</t>
        </is>
      </c>
      <c r="M673" s="189" t="inlineStr">
        <is>
          <t>CHECK_VENDOR</t>
        </is>
      </c>
      <c r="N673" s="189" t="inlineStr">
        <is>
          <t>See NVD references</t>
        </is>
      </c>
      <c r="O673" s="189" t="inlineStr">
        <is>
          <t>Apply vendor patches</t>
        </is>
      </c>
      <c r="P673" s="189" t="inlineStr">
        <is>
          <t>See CVE details</t>
        </is>
      </c>
      <c r="Q673" s="189" t="inlineStr">
        <is>
          <t>P3</t>
        </is>
      </c>
      <c r="R673" s="189" t="inlineStr">
        <is>
          <t>🚨 URGENT: Apply vendor patches immediately | 🔒 Isolate affected systems if patch unavailable | 🛡️ Enable additional monitoring/IDS rules</t>
        </is>
      </c>
      <c r="S673" s="189" t="inlineStr">
        <is>
          <t>CVE - IP enrichment n/a</t>
        </is>
      </c>
      <c r="T673" s="189" t="n">
        <v>0</v>
      </c>
      <c r="U673" s="189" t="n">
        <v>0</v>
      </c>
      <c r="V673" s="189" t="inlineStr">
        <is>
          <t>T1059:Command and Scripting Interpreter</t>
        </is>
      </c>
      <c r="W673" s="189" t="n">
        <v>1</v>
      </c>
      <c r="X673" s="189" t="inlineStr">
        <is>
          <t>LOW (40%)</t>
        </is>
      </c>
      <c r="Y673" s="189" t="inlineStr">
        <is>
          <t>UNLIKELY</t>
        </is>
      </c>
      <c r="Z673" s="189" t="inlineStr">
        <is>
          <t>CHECK_VENDOR</t>
        </is>
      </c>
      <c r="AA673" s="189" t="inlineStr">
        <is>
          <t>https://nvd.nist.gov/vuln/detail/CVE-2025-69405</t>
        </is>
      </c>
      <c r="AB673" s="189" t="inlineStr">
        <is>
          <t>NONE</t>
        </is>
      </c>
      <c r="AC673" s="189" t="n">
        <v>0</v>
      </c>
      <c r="AD673" s="189" t="inlineStr"/>
    </row>
    <row r="674">
      <c r="A674" s="188" t="inlineStr">
        <is>
          <t>CVE</t>
        </is>
      </c>
      <c r="B674" s="188" t="inlineStr">
        <is>
          <t>CVE-2025-69406</t>
        </is>
      </c>
      <c r="C674" s="188" t="inlineStr">
        <is>
          <t>Improper Control of Filename for Include/Require Statement in PHP Program ('PHP Remote File Inclusion') vulnerability in ThemeREX FreightCo freightco allows PHP Local File Inclusion.This issue affects FreightCo: from n/a through &lt;= 1.1.7.</t>
        </is>
      </c>
      <c r="D674" s="188" t="n">
        <v>8.1</v>
      </c>
      <c r="E674" s="188" t="inlineStr">
        <is>
          <t>HIGH</t>
        </is>
      </c>
      <c r="F674" s="188" t="n">
        <v>2</v>
      </c>
      <c r="G674" s="188" t="n">
        <v>3</v>
      </c>
      <c r="H674" s="188" t="inlineStr">
        <is>
          <t>HIGH</t>
        </is>
      </c>
      <c r="I674" s="188" t="n">
        <v>14.1</v>
      </c>
      <c r="J674" s="188" t="inlineStr">
        <is>
          <t>NO</t>
        </is>
      </c>
      <c r="K674" s="188" t="inlineStr">
        <is>
          <t>https://nvd.nist.gov/vuln/detail/CVE-2025-69406</t>
        </is>
      </c>
      <c r="L674" s="188" t="inlineStr">
        <is>
          <t>2026-02-26 00:15</t>
        </is>
      </c>
      <c r="M674" s="188" t="inlineStr">
        <is>
          <t>CHECK_VENDOR</t>
        </is>
      </c>
      <c r="N674" s="188" t="inlineStr">
        <is>
          <t>See NVD references</t>
        </is>
      </c>
      <c r="O674" s="188" t="inlineStr">
        <is>
          <t>Apply vendor patches</t>
        </is>
      </c>
      <c r="P674" s="188" t="inlineStr">
        <is>
          <t>See CVE details</t>
        </is>
      </c>
      <c r="Q674" s="188" t="inlineStr">
        <is>
          <t>P3</t>
        </is>
      </c>
      <c r="R674" s="188" t="inlineStr">
        <is>
          <t>🚨 URGENT: Apply vendor patches immediately | 🔒 Isolate affected systems if patch unavailable | 🛡️ Enable additional monitoring/IDS rules</t>
        </is>
      </c>
      <c r="S674" s="188" t="inlineStr">
        <is>
          <t>CVE - IP enrichment n/a</t>
        </is>
      </c>
      <c r="T674" s="188" t="n">
        <v>0</v>
      </c>
      <c r="U674" s="188" t="n">
        <v>0</v>
      </c>
      <c r="V674" s="188" t="inlineStr">
        <is>
          <t>T1190:Exploit Public-Facing Application</t>
        </is>
      </c>
      <c r="W674" s="188" t="n">
        <v>1</v>
      </c>
      <c r="X674" s="188" t="inlineStr">
        <is>
          <t>LOW (40%)</t>
        </is>
      </c>
      <c r="Y674" s="188" t="inlineStr">
        <is>
          <t>UNLIKELY</t>
        </is>
      </c>
      <c r="Z674" s="188" t="inlineStr">
        <is>
          <t>CHECK_VENDOR</t>
        </is>
      </c>
      <c r="AA674" s="188" t="inlineStr">
        <is>
          <t>https://nvd.nist.gov/vuln/detail/CVE-2025-69406</t>
        </is>
      </c>
      <c r="AB674" s="188" t="inlineStr">
        <is>
          <t>NONE</t>
        </is>
      </c>
      <c r="AC674" s="188" t="n">
        <v>0</v>
      </c>
      <c r="AD674" s="188" t="inlineStr"/>
    </row>
    <row r="675">
      <c r="A675" s="188" t="inlineStr">
        <is>
          <t>CVE</t>
        </is>
      </c>
      <c r="B675" s="188" t="inlineStr">
        <is>
          <t>CVE-2025-69407</t>
        </is>
      </c>
      <c r="C675" s="188" t="inlineStr">
        <is>
          <t>Improper Control of Filename for Include/Require Statement in PHP Program ('PHP Remote File Inclusion') vulnerability in Select-Themes Struktur struktur allows PHP Local File Inclusion.This issue affects Struktur: from n/a through &lt;= 2.5.1.</t>
        </is>
      </c>
      <c r="D675" s="188" t="n">
        <v>8.1</v>
      </c>
      <c r="E675" s="188" t="inlineStr">
        <is>
          <t>HIGH</t>
        </is>
      </c>
      <c r="F675" s="188" t="n">
        <v>2</v>
      </c>
      <c r="G675" s="188" t="n">
        <v>3</v>
      </c>
      <c r="H675" s="188" t="inlineStr">
        <is>
          <t>HIGH</t>
        </is>
      </c>
      <c r="I675" s="188" t="n">
        <v>14.1</v>
      </c>
      <c r="J675" s="188" t="inlineStr">
        <is>
          <t>NO</t>
        </is>
      </c>
      <c r="K675" s="188" t="inlineStr">
        <is>
          <t>https://nvd.nist.gov/vuln/detail/CVE-2025-69407</t>
        </is>
      </c>
      <c r="L675" s="188" t="inlineStr">
        <is>
          <t>2026-02-26 00:15</t>
        </is>
      </c>
      <c r="M675" s="188" t="inlineStr">
        <is>
          <t>CHECK_VENDOR</t>
        </is>
      </c>
      <c r="N675" s="188" t="inlineStr">
        <is>
          <t>See NVD references</t>
        </is>
      </c>
      <c r="O675" s="188" t="inlineStr">
        <is>
          <t>Apply vendor patches</t>
        </is>
      </c>
      <c r="P675" s="188" t="inlineStr">
        <is>
          <t>See CVE details</t>
        </is>
      </c>
      <c r="Q675" s="188" t="inlineStr">
        <is>
          <t>P3</t>
        </is>
      </c>
      <c r="R675" s="188" t="inlineStr">
        <is>
          <t>🚨 URGENT: Apply vendor patches immediately | 🔒 Isolate affected systems if patch unavailable | 🛡️ Enable additional monitoring/IDS rules</t>
        </is>
      </c>
      <c r="S675" s="188" t="inlineStr">
        <is>
          <t>CVE - IP enrichment n/a</t>
        </is>
      </c>
      <c r="T675" s="188" t="n">
        <v>0</v>
      </c>
      <c r="U675" s="188" t="n">
        <v>0</v>
      </c>
      <c r="V675" s="188" t="inlineStr">
        <is>
          <t>T1190:Exploit Public-Facing Application</t>
        </is>
      </c>
      <c r="W675" s="188" t="n">
        <v>1</v>
      </c>
      <c r="X675" s="188" t="inlineStr">
        <is>
          <t>LOW (40%)</t>
        </is>
      </c>
      <c r="Y675" s="188" t="inlineStr">
        <is>
          <t>UNLIKELY</t>
        </is>
      </c>
      <c r="Z675" s="188" t="inlineStr">
        <is>
          <t>CHECK_VENDOR</t>
        </is>
      </c>
      <c r="AA675" s="188" t="inlineStr">
        <is>
          <t>https://nvd.nist.gov/vuln/detail/CVE-2025-69407</t>
        </is>
      </c>
      <c r="AB675" s="188" t="inlineStr">
        <is>
          <t>NONE</t>
        </is>
      </c>
      <c r="AC675" s="188" t="n">
        <v>0</v>
      </c>
      <c r="AD675" s="188" t="inlineStr"/>
    </row>
    <row r="676">
      <c r="A676" s="188" t="inlineStr">
        <is>
          <t>CVE</t>
        </is>
      </c>
      <c r="B676" s="188" t="inlineStr">
        <is>
          <t>CVE-2025-69408</t>
        </is>
      </c>
      <c r="C676" s="188" t="inlineStr">
        <is>
          <t>Improper Control of Filename for Include/Require Statement in PHP Program ('PHP Remote File Inclusion') vulnerability in Mikado-Themes HealthFirst healthfirst allows PHP Local File Inclusion.This issue affects HealthFirst: from n/a through &lt;= 1.0.1.</t>
        </is>
      </c>
      <c r="D676" s="188" t="n">
        <v>8.1</v>
      </c>
      <c r="E676" s="188" t="inlineStr">
        <is>
          <t>HIGH</t>
        </is>
      </c>
      <c r="F676" s="188" t="n">
        <v>2</v>
      </c>
      <c r="G676" s="188" t="n">
        <v>3</v>
      </c>
      <c r="H676" s="188" t="inlineStr">
        <is>
          <t>HIGH</t>
        </is>
      </c>
      <c r="I676" s="188" t="n">
        <v>14.1</v>
      </c>
      <c r="J676" s="188" t="inlineStr">
        <is>
          <t>NO</t>
        </is>
      </c>
      <c r="K676" s="188" t="inlineStr">
        <is>
          <t>https://nvd.nist.gov/vuln/detail/CVE-2025-69408</t>
        </is>
      </c>
      <c r="L676" s="188" t="inlineStr">
        <is>
          <t>2026-02-26 00:15</t>
        </is>
      </c>
      <c r="M676" s="188" t="inlineStr">
        <is>
          <t>CHECK_VENDOR</t>
        </is>
      </c>
      <c r="N676" s="188" t="inlineStr">
        <is>
          <t>See NVD references</t>
        </is>
      </c>
      <c r="O676" s="188" t="inlineStr">
        <is>
          <t>Apply vendor patches</t>
        </is>
      </c>
      <c r="P676" s="188" t="inlineStr">
        <is>
          <t>See CVE details</t>
        </is>
      </c>
      <c r="Q676" s="188" t="inlineStr">
        <is>
          <t>P3</t>
        </is>
      </c>
      <c r="R676" s="188" t="inlineStr">
        <is>
          <t>🚨 URGENT: Apply vendor patches immediately | 🔒 Isolate affected systems if patch unavailable | 🛡️ Enable additional monitoring/IDS rules</t>
        </is>
      </c>
      <c r="S676" s="188" t="inlineStr">
        <is>
          <t>CVE - IP enrichment n/a</t>
        </is>
      </c>
      <c r="T676" s="188" t="n">
        <v>0.0011</v>
      </c>
      <c r="U676" s="188" t="n">
        <v>0.3022</v>
      </c>
      <c r="V676" s="188" t="inlineStr">
        <is>
          <t>T1190:Exploit Public-Facing Application</t>
        </is>
      </c>
      <c r="W676" s="188" t="n">
        <v>1</v>
      </c>
      <c r="X676" s="188" t="inlineStr">
        <is>
          <t>LOW (40%)</t>
        </is>
      </c>
      <c r="Y676" s="188" t="inlineStr">
        <is>
          <t>UNLIKELY</t>
        </is>
      </c>
      <c r="Z676" s="188" t="inlineStr">
        <is>
          <t>CHECK_VENDOR</t>
        </is>
      </c>
      <c r="AA676" s="188" t="inlineStr">
        <is>
          <t>https://nvd.nist.gov/vuln/detail/CVE-2025-69408</t>
        </is>
      </c>
      <c r="AB676" s="188" t="inlineStr">
        <is>
          <t>NONE</t>
        </is>
      </c>
      <c r="AC676" s="188" t="n">
        <v>0</v>
      </c>
      <c r="AD676" s="188" t="inlineStr"/>
    </row>
    <row r="677">
      <c r="A677" s="188" t="inlineStr">
        <is>
          <t>CVE</t>
        </is>
      </c>
      <c r="B677" s="188" t="inlineStr">
        <is>
          <t>CVE-2025-69409</t>
        </is>
      </c>
      <c r="C677" s="188" t="inlineStr">
        <is>
          <t>Improper Control of Filename for Include/Require Statement in PHP Program ('PHP Remote File Inclusion') vulnerability in axiomthemes PJ | Life &amp; Business Coaching pj allows PHP Local File Inclusion.This issue affects PJ | Life &amp; Business Coaching: from n/a through &lt;= 3.0.0.</t>
        </is>
      </c>
      <c r="D677" s="188" t="n">
        <v>8.1</v>
      </c>
      <c r="E677" s="188" t="inlineStr">
        <is>
          <t>HIGH</t>
        </is>
      </c>
      <c r="F677" s="188" t="n">
        <v>2</v>
      </c>
      <c r="G677" s="188" t="n">
        <v>3</v>
      </c>
      <c r="H677" s="188" t="inlineStr">
        <is>
          <t>HIGH</t>
        </is>
      </c>
      <c r="I677" s="188" t="n">
        <v>14.1</v>
      </c>
      <c r="J677" s="188" t="inlineStr">
        <is>
          <t>NO</t>
        </is>
      </c>
      <c r="K677" s="188" t="inlineStr">
        <is>
          <t>https://nvd.nist.gov/vuln/detail/CVE-2025-69409</t>
        </is>
      </c>
      <c r="L677" s="188" t="inlineStr">
        <is>
          <t>2026-02-26 00:15</t>
        </is>
      </c>
      <c r="M677" s="188" t="inlineStr">
        <is>
          <t>CHECK_VENDOR</t>
        </is>
      </c>
      <c r="N677" s="188" t="inlineStr">
        <is>
          <t>See NVD references</t>
        </is>
      </c>
      <c r="O677" s="188" t="inlineStr">
        <is>
          <t>Apply vendor patches</t>
        </is>
      </c>
      <c r="P677" s="188" t="inlineStr">
        <is>
          <t>See CVE details</t>
        </is>
      </c>
      <c r="Q677" s="188" t="inlineStr">
        <is>
          <t>P3</t>
        </is>
      </c>
      <c r="R677" s="188" t="inlineStr">
        <is>
          <t>🚨 URGENT: Apply vendor patches immediately | 🔒 Isolate affected systems if patch unavailable | 🛡️ Enable additional monitoring/IDS rules</t>
        </is>
      </c>
      <c r="S677" s="188" t="inlineStr">
        <is>
          <t>CVE - IP enrichment n/a</t>
        </is>
      </c>
      <c r="T677" s="188" t="n">
        <v>0</v>
      </c>
      <c r="U677" s="188" t="n">
        <v>0</v>
      </c>
      <c r="V677" s="188" t="inlineStr">
        <is>
          <t>T1190:Exploit Public-Facing Application</t>
        </is>
      </c>
      <c r="W677" s="188" t="n">
        <v>1</v>
      </c>
      <c r="X677" s="188" t="inlineStr">
        <is>
          <t>LOW (40%)</t>
        </is>
      </c>
      <c r="Y677" s="188" t="inlineStr">
        <is>
          <t>UNLIKELY</t>
        </is>
      </c>
      <c r="Z677" s="188" t="inlineStr">
        <is>
          <t>CHECK_VENDOR</t>
        </is>
      </c>
      <c r="AA677" s="188" t="inlineStr">
        <is>
          <t>https://nvd.nist.gov/vuln/detail/CVE-2025-69409</t>
        </is>
      </c>
      <c r="AB677" s="188" t="inlineStr">
        <is>
          <t>NONE</t>
        </is>
      </c>
      <c r="AC677" s="188" t="n">
        <v>0</v>
      </c>
      <c r="AD677" s="188" t="inlineStr"/>
    </row>
    <row r="678">
      <c r="A678" s="188" t="inlineStr">
        <is>
          <t>CVE</t>
        </is>
      </c>
      <c r="B678" s="188" t="inlineStr">
        <is>
          <t>CVE-2025-69410</t>
        </is>
      </c>
      <c r="C678" s="188" t="inlineStr">
        <is>
          <t>Improper Control of Filename for Include/Require Statement in PHP Program ('PHP Remote File Inclusion') vulnerability in Edge-Themes Belletrist belletrist allows PHP Local File Inclusion.This issue affects Belletrist: from n/a through &lt;= 1.2.</t>
        </is>
      </c>
      <c r="D678" s="188" t="n">
        <v>8.1</v>
      </c>
      <c r="E678" s="188" t="inlineStr">
        <is>
          <t>HIGH</t>
        </is>
      </c>
      <c r="F678" s="188" t="n">
        <v>2</v>
      </c>
      <c r="G678" s="188" t="n">
        <v>3</v>
      </c>
      <c r="H678" s="188" t="inlineStr">
        <is>
          <t>HIGH</t>
        </is>
      </c>
      <c r="I678" s="188" t="n">
        <v>14.1</v>
      </c>
      <c r="J678" s="188" t="inlineStr">
        <is>
          <t>NO</t>
        </is>
      </c>
      <c r="K678" s="188" t="inlineStr">
        <is>
          <t>https://nvd.nist.gov/vuln/detail/CVE-2025-69410</t>
        </is>
      </c>
      <c r="L678" s="188" t="inlineStr">
        <is>
          <t>2026-02-26 00:15</t>
        </is>
      </c>
      <c r="M678" s="188" t="inlineStr">
        <is>
          <t>CHECK_VENDOR</t>
        </is>
      </c>
      <c r="N678" s="188" t="inlineStr">
        <is>
          <t>See NVD references</t>
        </is>
      </c>
      <c r="O678" s="188" t="inlineStr">
        <is>
          <t>Apply vendor patches</t>
        </is>
      </c>
      <c r="P678" s="188" t="inlineStr">
        <is>
          <t>See CVE details</t>
        </is>
      </c>
      <c r="Q678" s="188" t="inlineStr">
        <is>
          <t>P3</t>
        </is>
      </c>
      <c r="R678" s="188" t="inlineStr">
        <is>
          <t>🚨 URGENT: Apply vendor patches immediately | 🔒 Isolate affected systems if patch unavailable | 🛡️ Enable additional monitoring/IDS rules</t>
        </is>
      </c>
      <c r="S678" s="188" t="inlineStr">
        <is>
          <t>CVE - IP enrichment n/a</t>
        </is>
      </c>
      <c r="T678" s="188" t="n">
        <v>0.0011</v>
      </c>
      <c r="U678" s="188" t="n">
        <v>0.3022</v>
      </c>
      <c r="V678" s="188" t="inlineStr">
        <is>
          <t>T1190:Exploit Public-Facing Application</t>
        </is>
      </c>
      <c r="W678" s="188" t="n">
        <v>1</v>
      </c>
      <c r="X678" s="188" t="inlineStr">
        <is>
          <t>LOW (40%)</t>
        </is>
      </c>
      <c r="Y678" s="188" t="inlineStr">
        <is>
          <t>UNLIKELY</t>
        </is>
      </c>
      <c r="Z678" s="188" t="inlineStr">
        <is>
          <t>CHECK_VENDOR</t>
        </is>
      </c>
      <c r="AA678" s="188" t="inlineStr">
        <is>
          <t>https://nvd.nist.gov/vuln/detail/CVE-2025-69410</t>
        </is>
      </c>
      <c r="AB678" s="188" t="inlineStr">
        <is>
          <t>NONE</t>
        </is>
      </c>
      <c r="AC678" s="188" t="n">
        <v>0</v>
      </c>
      <c r="AD678" s="188" t="inlineStr"/>
    </row>
    <row r="679">
      <c r="A679" s="189" t="inlineStr">
        <is>
          <t>CVE</t>
        </is>
      </c>
      <c r="B679" s="189" t="inlineStr">
        <is>
          <t>CVE-2025-70831</t>
        </is>
      </c>
      <c r="C679" s="189" t="inlineStr">
        <is>
          <t>A Remote Code Execution (RCE) vulnerability was found in Smanga 3.2.7 in the /php/path/rescan.php interface. The application fails to properly sanitize user-supplied input in the mediaId parameter before using it in a system shell command. This allows an unauthenticated attacker to inject arbitrary operating system commands, leading to complete server compromise.</t>
        </is>
      </c>
      <c r="D679" s="189" t="n">
        <v>9.800000000000001</v>
      </c>
      <c r="E679" s="189" t="inlineStr">
        <is>
          <t>CRITICAL</t>
        </is>
      </c>
      <c r="F679" s="189" t="n">
        <v>2</v>
      </c>
      <c r="G679" s="189" t="n">
        <v>3</v>
      </c>
      <c r="H679" s="189" t="inlineStr">
        <is>
          <t>HIGH</t>
        </is>
      </c>
      <c r="I679" s="189" t="n">
        <v>15.8</v>
      </c>
      <c r="J679" s="189" t="inlineStr">
        <is>
          <t>NO</t>
        </is>
      </c>
      <c r="K679" s="189" t="inlineStr">
        <is>
          <t>https://nvd.nist.gov/vuln/detail/CVE-2025-70831</t>
        </is>
      </c>
      <c r="L679" s="189" t="inlineStr">
        <is>
          <t>2026-02-26 00:15</t>
        </is>
      </c>
      <c r="M679" s="189" t="inlineStr">
        <is>
          <t>CHECK_VENDOR</t>
        </is>
      </c>
      <c r="N679" s="189" t="inlineStr">
        <is>
          <t>See NVD references</t>
        </is>
      </c>
      <c r="O679" s="189" t="inlineStr">
        <is>
          <t>Apply vendor patches</t>
        </is>
      </c>
      <c r="P679" s="189" t="inlineStr">
        <is>
          <t>See CVE details</t>
        </is>
      </c>
      <c r="Q679" s="189" t="inlineStr">
        <is>
          <t>P3</t>
        </is>
      </c>
      <c r="R679" s="189" t="inlineStr">
        <is>
          <t>🚨 URGENT: Apply vendor patches immediately | 🔒 Isolate affected systems if patch unavailable | 🛡️ Enable additional monitoring/IDS rules</t>
        </is>
      </c>
      <c r="S679" s="189" t="inlineStr">
        <is>
          <t>CVE - IP enrichment n/a</t>
        </is>
      </c>
      <c r="T679" s="189" t="n">
        <v>0</v>
      </c>
      <c r="U679" s="189" t="n">
        <v>0</v>
      </c>
      <c r="V679" s="189" t="inlineStr">
        <is>
          <t>T1059:Command and Scripting Interpreter | T1190:Exploit Public-Facing Application | T1210:Exploitation of Remote Services</t>
        </is>
      </c>
      <c r="W679" s="189" t="n">
        <v>1</v>
      </c>
      <c r="X679" s="189" t="inlineStr">
        <is>
          <t>LOW (40%)</t>
        </is>
      </c>
      <c r="Y679" s="189" t="inlineStr">
        <is>
          <t>UNLIKELY</t>
        </is>
      </c>
      <c r="Z679" s="189" t="inlineStr">
        <is>
          <t>CHECK_VENDOR</t>
        </is>
      </c>
      <c r="AA679" s="189" t="inlineStr">
        <is>
          <t>https://nvd.nist.gov/vuln/detail/CVE-2025-70831</t>
        </is>
      </c>
      <c r="AB679" s="189" t="inlineStr">
        <is>
          <t>NONE</t>
        </is>
      </c>
      <c r="AC679" s="189" t="n">
        <v>0</v>
      </c>
      <c r="AD679" s="189" t="inlineStr"/>
    </row>
    <row r="680">
      <c r="A680" s="188" t="inlineStr">
        <is>
          <t>CVE</t>
        </is>
      </c>
      <c r="B680" s="188" t="inlineStr">
        <is>
          <t>CVE-2026-20761</t>
        </is>
      </c>
      <c r="C680" s="188" t="inlineStr">
        <is>
          <t>A vulnerability exists in EnOcean SmartServer IoT version 4.60.009 and 
prior, which would allow remote attackers, in the LON IP-852 management 
messages, to send specially crafted IP-852 messages resulting in 
arbitrary OS command execution on the device.</t>
        </is>
      </c>
      <c r="D680" s="188" t="n">
        <v>8.1</v>
      </c>
      <c r="E680" s="188" t="inlineStr">
        <is>
          <t>HIGH</t>
        </is>
      </c>
      <c r="F680" s="188" t="n">
        <v>2</v>
      </c>
      <c r="G680" s="188" t="n">
        <v>3</v>
      </c>
      <c r="H680" s="188" t="inlineStr">
        <is>
          <t>HIGH</t>
        </is>
      </c>
      <c r="I680" s="188" t="n">
        <v>14.1</v>
      </c>
      <c r="J680" s="188" t="inlineStr">
        <is>
          <t>NO</t>
        </is>
      </c>
      <c r="K680" s="188" t="inlineStr">
        <is>
          <t>https://nvd.nist.gov/vuln/detail/CVE-2026-20761</t>
        </is>
      </c>
      <c r="L680" s="188" t="inlineStr">
        <is>
          <t>2026-02-26 00:15</t>
        </is>
      </c>
      <c r="M680" s="188" t="inlineStr">
        <is>
          <t>CHECK_VENDOR</t>
        </is>
      </c>
      <c r="N680" s="188" t="inlineStr">
        <is>
          <t>See NVD references</t>
        </is>
      </c>
      <c r="O680" s="188" t="inlineStr">
        <is>
          <t>Apply vendor patches</t>
        </is>
      </c>
      <c r="P680" s="188" t="inlineStr">
        <is>
          <t>See CVE details</t>
        </is>
      </c>
      <c r="Q680" s="188" t="inlineStr">
        <is>
          <t>P3</t>
        </is>
      </c>
      <c r="R680" s="188" t="inlineStr">
        <is>
          <t>🚨 URGENT: Apply vendor patches immediately | 🔒 Isolate affected systems if patch unavailable | 🛡️ Enable additional monitoring/IDS rules</t>
        </is>
      </c>
      <c r="S680" s="188" t="inlineStr">
        <is>
          <t>CVE - IP enrichment n/a</t>
        </is>
      </c>
      <c r="T680" s="188" t="n">
        <v>0</v>
      </c>
      <c r="U680" s="188" t="n">
        <v>0</v>
      </c>
      <c r="V680" s="188" t="inlineStr">
        <is>
          <t>T1059:Command and Scripting Interpreter</t>
        </is>
      </c>
      <c r="W680" s="188" t="n">
        <v>1</v>
      </c>
      <c r="X680" s="188" t="inlineStr">
        <is>
          <t>LOW (40%)</t>
        </is>
      </c>
      <c r="Y680" s="188" t="inlineStr">
        <is>
          <t>UNLIKELY</t>
        </is>
      </c>
      <c r="Z680" s="188" t="inlineStr">
        <is>
          <t>CHECK_VENDOR</t>
        </is>
      </c>
      <c r="AA680" s="188" t="inlineStr">
        <is>
          <t>https://nvd.nist.gov/vuln/detail/CVE-2026-20761</t>
        </is>
      </c>
      <c r="AB680" s="188" t="inlineStr">
        <is>
          <t>NONE</t>
        </is>
      </c>
      <c r="AC680" s="188" t="n">
        <v>0</v>
      </c>
      <c r="AD680" s="188" t="inlineStr"/>
    </row>
    <row r="681">
      <c r="A681" s="187" t="inlineStr">
        <is>
          <t>CVE</t>
        </is>
      </c>
      <c r="B681" s="187" t="inlineStr">
        <is>
          <t>CVE-2026-22341</t>
        </is>
      </c>
      <c r="C681" s="187" t="inlineStr">
        <is>
          <t>Authentication Bypass Using an Alternate Path or Channel vulnerability in Case-Themes Booked booked allows Authentication Abuse.This issue affects Booked: from n/a through &lt;= 3.0.0.</t>
        </is>
      </c>
      <c r="D681" s="187" t="n">
        <v>5.4</v>
      </c>
      <c r="E681" s="187" t="inlineStr">
        <is>
          <t>MEDIUM</t>
        </is>
      </c>
      <c r="F681" s="187" t="n">
        <v>2</v>
      </c>
      <c r="G681" s="187" t="n">
        <v>2</v>
      </c>
      <c r="H681" s="187" t="inlineStr">
        <is>
          <t>MEDIUM</t>
        </is>
      </c>
      <c r="I681" s="187" t="n">
        <v>9.4</v>
      </c>
      <c r="J681" s="187" t="inlineStr">
        <is>
          <t>NO</t>
        </is>
      </c>
      <c r="K681" s="187" t="inlineStr">
        <is>
          <t>https://nvd.nist.gov/vuln/detail/CVE-2026-22341</t>
        </is>
      </c>
      <c r="L681" s="187" t="inlineStr">
        <is>
          <t>2026-02-26 00:15</t>
        </is>
      </c>
      <c r="M681" s="187" t="inlineStr">
        <is>
          <t>CHECK_VENDOR</t>
        </is>
      </c>
      <c r="N681" s="187" t="inlineStr">
        <is>
          <t>See NVD references</t>
        </is>
      </c>
      <c r="O681" s="187" t="inlineStr">
        <is>
          <t>Apply vendor patches</t>
        </is>
      </c>
      <c r="P681" s="187" t="inlineStr">
        <is>
          <t>See CVE details</t>
        </is>
      </c>
      <c r="Q681" s="187" t="inlineStr">
        <is>
          <t>P4</t>
        </is>
      </c>
      <c r="R681" s="187" t="inlineStr">
        <is>
          <t>📅 Schedule patch deployment within 30 days | 🔍 Monitor for exploitation attempts</t>
        </is>
      </c>
      <c r="S681" s="187" t="inlineStr">
        <is>
          <t>CVE - IP enrichment n/a</t>
        </is>
      </c>
      <c r="T681" s="187" t="n">
        <v>0</v>
      </c>
      <c r="U681" s="187" t="n">
        <v>0</v>
      </c>
      <c r="V681" s="187" t="inlineStr">
        <is>
          <t>T1078:Valid Accounts</t>
        </is>
      </c>
      <c r="W681" s="187" t="n">
        <v>1</v>
      </c>
      <c r="X681" s="187" t="inlineStr">
        <is>
          <t>LOW (40%)</t>
        </is>
      </c>
      <c r="Y681" s="187" t="inlineStr">
        <is>
          <t>UNLIKELY</t>
        </is>
      </c>
      <c r="Z681" s="187" t="inlineStr">
        <is>
          <t>CHECK_VENDOR</t>
        </is>
      </c>
      <c r="AA681" s="187" t="inlineStr">
        <is>
          <t>https://nvd.nist.gov/vuln/detail/CVE-2026-22341</t>
        </is>
      </c>
      <c r="AB681" s="187" t="inlineStr">
        <is>
          <t>NONE</t>
        </is>
      </c>
      <c r="AC681" s="187" t="n">
        <v>0</v>
      </c>
      <c r="AD681" s="187" t="inlineStr"/>
    </row>
    <row r="682">
      <c r="A682" s="188" t="inlineStr">
        <is>
          <t>CVE</t>
        </is>
      </c>
      <c r="B682" s="188" t="inlineStr">
        <is>
          <t>CVE-2026-22344</t>
        </is>
      </c>
      <c r="C682" s="188" t="inlineStr">
        <is>
          <t>Improper Control of Filename for Include/Require Statement in PHP Program ('PHP Remote File Inclusion') vulnerability in Mikado-Themes FiveStar fivestar allows PHP Local File Inclusion.This issue affects FiveStar: from n/a through &lt;= 1.7.</t>
        </is>
      </c>
      <c r="D682" s="188" t="n">
        <v>8.1</v>
      </c>
      <c r="E682" s="188" t="inlineStr">
        <is>
          <t>HIGH</t>
        </is>
      </c>
      <c r="F682" s="188" t="n">
        <v>2</v>
      </c>
      <c r="G682" s="188" t="n">
        <v>3</v>
      </c>
      <c r="H682" s="188" t="inlineStr">
        <is>
          <t>HIGH</t>
        </is>
      </c>
      <c r="I682" s="188" t="n">
        <v>14.1</v>
      </c>
      <c r="J682" s="188" t="inlineStr">
        <is>
          <t>NO</t>
        </is>
      </c>
      <c r="K682" s="188" t="inlineStr">
        <is>
          <t>https://nvd.nist.gov/vuln/detail/CVE-2026-22344</t>
        </is>
      </c>
      <c r="L682" s="188" t="inlineStr">
        <is>
          <t>2026-02-26 00:15</t>
        </is>
      </c>
      <c r="M682" s="188" t="inlineStr">
        <is>
          <t>CHECK_VENDOR</t>
        </is>
      </c>
      <c r="N682" s="188" t="inlineStr">
        <is>
          <t>See NVD references</t>
        </is>
      </c>
      <c r="O682" s="188" t="inlineStr">
        <is>
          <t>Apply vendor patches</t>
        </is>
      </c>
      <c r="P682" s="188" t="inlineStr">
        <is>
          <t>See CVE details</t>
        </is>
      </c>
      <c r="Q682" s="188" t="inlineStr">
        <is>
          <t>P3</t>
        </is>
      </c>
      <c r="R682" s="188" t="inlineStr">
        <is>
          <t>🚨 URGENT: Apply vendor patches immediately | 🔒 Isolate affected systems if patch unavailable | 🛡️ Enable additional monitoring/IDS rules</t>
        </is>
      </c>
      <c r="S682" s="188" t="inlineStr">
        <is>
          <t>CVE - IP enrichment n/a</t>
        </is>
      </c>
      <c r="T682" s="188" t="n">
        <v>0</v>
      </c>
      <c r="U682" s="188" t="n">
        <v>0</v>
      </c>
      <c r="V682" s="188" t="inlineStr">
        <is>
          <t>T1190:Exploit Public-Facing Application</t>
        </is>
      </c>
      <c r="W682" s="188" t="n">
        <v>1</v>
      </c>
      <c r="X682" s="188" t="inlineStr">
        <is>
          <t>LOW (40%)</t>
        </is>
      </c>
      <c r="Y682" s="188" t="inlineStr">
        <is>
          <t>UNLIKELY</t>
        </is>
      </c>
      <c r="Z682" s="188" t="inlineStr">
        <is>
          <t>CHECK_VENDOR</t>
        </is>
      </c>
      <c r="AA682" s="188" t="inlineStr">
        <is>
          <t>https://nvd.nist.gov/vuln/detail/CVE-2026-22344</t>
        </is>
      </c>
      <c r="AB682" s="188" t="inlineStr">
        <is>
          <t>NONE</t>
        </is>
      </c>
      <c r="AC682" s="188" t="n">
        <v>0</v>
      </c>
      <c r="AD682" s="188" t="inlineStr"/>
    </row>
    <row r="683">
      <c r="A683" s="188" t="inlineStr">
        <is>
          <t>CVE</t>
        </is>
      </c>
      <c r="B683" s="188" t="inlineStr">
        <is>
          <t>CVE-2026-22345</t>
        </is>
      </c>
      <c r="C683" s="188" t="inlineStr">
        <is>
          <t>Deserialization of Untrusted Data vulnerability in A WP Life Image Gallery – Lightbox Gallery, Responsive Photo Gallery, Masonry Gallery new-image-gallery allows Object Injection.This issue affects Image Gallery – Lightbox Gallery, Responsive Photo Gallery, Masonry Gallery: from n/a through &lt;= 1.6.0.</t>
        </is>
      </c>
      <c r="D683" s="188" t="n">
        <v>8.800000000000001</v>
      </c>
      <c r="E683" s="188" t="inlineStr">
        <is>
          <t>HIGH</t>
        </is>
      </c>
      <c r="F683" s="188" t="n">
        <v>2</v>
      </c>
      <c r="G683" s="188" t="n">
        <v>3</v>
      </c>
      <c r="H683" s="188" t="inlineStr">
        <is>
          <t>HIGH</t>
        </is>
      </c>
      <c r="I683" s="188" t="n">
        <v>14.8</v>
      </c>
      <c r="J683" s="188" t="inlineStr">
        <is>
          <t>NO</t>
        </is>
      </c>
      <c r="K683" s="188" t="inlineStr">
        <is>
          <t>https://nvd.nist.gov/vuln/detail/CVE-2026-22345</t>
        </is>
      </c>
      <c r="L683" s="188" t="inlineStr">
        <is>
          <t>2026-02-26 00:15</t>
        </is>
      </c>
      <c r="M683" s="188" t="inlineStr">
        <is>
          <t>CHECK_VENDOR</t>
        </is>
      </c>
      <c r="N683" s="188" t="inlineStr">
        <is>
          <t>See NVD references</t>
        </is>
      </c>
      <c r="O683" s="188" t="inlineStr">
        <is>
          <t>Apply vendor patches</t>
        </is>
      </c>
      <c r="P683" s="188" t="inlineStr">
        <is>
          <t>See CVE details</t>
        </is>
      </c>
      <c r="Q683" s="188" t="inlineStr">
        <is>
          <t>P3</t>
        </is>
      </c>
      <c r="R683" s="188" t="inlineStr">
        <is>
          <t>🚨 URGENT: Apply vendor patches immediately | 🔒 Isolate affected systems if patch unavailable | 🛡️ Enable additional monitoring/IDS rules</t>
        </is>
      </c>
      <c r="S683" s="188" t="inlineStr">
        <is>
          <t>CVE - IP enrichment n/a</t>
        </is>
      </c>
      <c r="T683" s="188" t="n">
        <v>0.0005</v>
      </c>
      <c r="U683" s="188" t="n">
        <v>0.148</v>
      </c>
      <c r="V683" s="188" t="inlineStr">
        <is>
          <t>T1059:Command and Scripting Interpreter</t>
        </is>
      </c>
      <c r="W683" s="188" t="n">
        <v>1</v>
      </c>
      <c r="X683" s="188" t="inlineStr">
        <is>
          <t>LOW (40%)</t>
        </is>
      </c>
      <c r="Y683" s="188" t="inlineStr">
        <is>
          <t>UNLIKELY</t>
        </is>
      </c>
      <c r="Z683" s="188" t="inlineStr">
        <is>
          <t>CHECK_VENDOR</t>
        </is>
      </c>
      <c r="AA683" s="188" t="inlineStr">
        <is>
          <t>https://nvd.nist.gov/vuln/detail/CVE-2026-22345</t>
        </is>
      </c>
      <c r="AB683" s="188" t="inlineStr">
        <is>
          <t>NONE</t>
        </is>
      </c>
      <c r="AC683" s="188" t="n">
        <v>0</v>
      </c>
      <c r="AD683" s="188" t="inlineStr"/>
    </row>
    <row r="684">
      <c r="A684" s="188" t="inlineStr">
        <is>
          <t>CVE</t>
        </is>
      </c>
      <c r="B684" s="188" t="inlineStr">
        <is>
          <t>CVE-2026-22346</t>
        </is>
      </c>
      <c r="C684" s="188" t="inlineStr">
        <is>
          <t>Deserialization of Untrusted Data vulnerability in A WP Life Slider Responsive Slideshow – Image slider, Gallery slideshow slider-responsive-slideshow allows Object Injection.This issue affects Slider Responsive Slideshow – Image slider, Gallery slideshow: from n/a through &lt;= 1.5.4.</t>
        </is>
      </c>
      <c r="D684" s="188" t="n">
        <v>8.800000000000001</v>
      </c>
      <c r="E684" s="188" t="inlineStr">
        <is>
          <t>HIGH</t>
        </is>
      </c>
      <c r="F684" s="188" t="n">
        <v>2</v>
      </c>
      <c r="G684" s="188" t="n">
        <v>3</v>
      </c>
      <c r="H684" s="188" t="inlineStr">
        <is>
          <t>HIGH</t>
        </is>
      </c>
      <c r="I684" s="188" t="n">
        <v>14.8</v>
      </c>
      <c r="J684" s="188" t="inlineStr">
        <is>
          <t>NO</t>
        </is>
      </c>
      <c r="K684" s="188" t="inlineStr">
        <is>
          <t>https://nvd.nist.gov/vuln/detail/CVE-2026-22346</t>
        </is>
      </c>
      <c r="L684" s="188" t="inlineStr">
        <is>
          <t>2026-02-26 00:15</t>
        </is>
      </c>
      <c r="M684" s="188" t="inlineStr">
        <is>
          <t>CHECK_VENDOR</t>
        </is>
      </c>
      <c r="N684" s="188" t="inlineStr">
        <is>
          <t>See NVD references</t>
        </is>
      </c>
      <c r="O684" s="188" t="inlineStr">
        <is>
          <t>Apply vendor patches</t>
        </is>
      </c>
      <c r="P684" s="188" t="inlineStr">
        <is>
          <t>See CVE details</t>
        </is>
      </c>
      <c r="Q684" s="188" t="inlineStr">
        <is>
          <t>P3</t>
        </is>
      </c>
      <c r="R684" s="188" t="inlineStr">
        <is>
          <t>🚨 URGENT: Apply vendor patches immediately | 🔒 Isolate affected systems if patch unavailable | 🛡️ Enable additional monitoring/IDS rules</t>
        </is>
      </c>
      <c r="S684" s="188" t="inlineStr">
        <is>
          <t>CVE - IP enrichment n/a</t>
        </is>
      </c>
      <c r="T684" s="188" t="n">
        <v>0</v>
      </c>
      <c r="U684" s="188" t="n">
        <v>0</v>
      </c>
      <c r="V684" s="188" t="inlineStr">
        <is>
          <t>T1059:Command and Scripting Interpreter</t>
        </is>
      </c>
      <c r="W684" s="188" t="n">
        <v>1</v>
      </c>
      <c r="X684" s="188" t="inlineStr">
        <is>
          <t>LOW (40%)</t>
        </is>
      </c>
      <c r="Y684" s="188" t="inlineStr">
        <is>
          <t>UNLIKELY</t>
        </is>
      </c>
      <c r="Z684" s="188" t="inlineStr">
        <is>
          <t>CHECK_VENDOR</t>
        </is>
      </c>
      <c r="AA684" s="188" t="inlineStr">
        <is>
          <t>https://nvd.nist.gov/vuln/detail/CVE-2026-22346</t>
        </is>
      </c>
      <c r="AB684" s="188" t="inlineStr">
        <is>
          <t>NONE</t>
        </is>
      </c>
      <c r="AC684" s="188" t="n">
        <v>0</v>
      </c>
      <c r="AD684" s="188" t="inlineStr"/>
    </row>
    <row r="685">
      <c r="A685" s="187" t="inlineStr">
        <is>
          <t>CVE</t>
        </is>
      </c>
      <c r="B685" s="187" t="inlineStr">
        <is>
          <t>CVE-2026-22350</t>
        </is>
      </c>
      <c r="C685" s="187" t="inlineStr">
        <is>
          <t>Missing Authorization vulnerability in add-ons.org PDF for Elementor Forms + Drag And Drop Template Builder pdf-for-elementor-forms allows Exploiting Incorrectly Configured Access Control Security Levels.This issue affects PDF for Elementor Forms + Drag And Drop Template Builder: from n/a through &lt;= 6.3.1.</t>
        </is>
      </c>
      <c r="D685" s="187" t="n">
        <v>6.5</v>
      </c>
      <c r="E685" s="187" t="inlineStr">
        <is>
          <t>MEDIUM</t>
        </is>
      </c>
      <c r="F685" s="187" t="n">
        <v>2</v>
      </c>
      <c r="G685" s="187" t="n">
        <v>2</v>
      </c>
      <c r="H685" s="187" t="inlineStr">
        <is>
          <t>MEDIUM</t>
        </is>
      </c>
      <c r="I685" s="187" t="n">
        <v>10.5</v>
      </c>
      <c r="J685" s="187" t="inlineStr">
        <is>
          <t>NO</t>
        </is>
      </c>
      <c r="K685" s="187" t="inlineStr">
        <is>
          <t>https://nvd.nist.gov/vuln/detail/CVE-2026-22350</t>
        </is>
      </c>
      <c r="L685" s="187" t="inlineStr">
        <is>
          <t>2026-02-26 00:15</t>
        </is>
      </c>
      <c r="M685" s="187" t="inlineStr">
        <is>
          <t>CHECK_VENDOR</t>
        </is>
      </c>
      <c r="N685" s="187" t="inlineStr">
        <is>
          <t>See NVD references</t>
        </is>
      </c>
      <c r="O685" s="187" t="inlineStr">
        <is>
          <t>Apply vendor patches</t>
        </is>
      </c>
      <c r="P685" s="187" t="inlineStr">
        <is>
          <t>See CVE details</t>
        </is>
      </c>
      <c r="Q685" s="187" t="inlineStr">
        <is>
          <t>P4</t>
        </is>
      </c>
      <c r="R685" s="187" t="inlineStr">
        <is>
          <t>📅 Schedule patch deployment within 30 days | 🔍 Monitor for exploitation attempts</t>
        </is>
      </c>
      <c r="S685" s="187" t="inlineStr">
        <is>
          <t>CVE - IP enrichment n/a</t>
        </is>
      </c>
      <c r="T685" s="187" t="n">
        <v>0</v>
      </c>
      <c r="U685" s="187" t="n">
        <v>0</v>
      </c>
      <c r="V685" s="187" t="inlineStr">
        <is>
          <t>T1190:Exploit Public-Facing Application</t>
        </is>
      </c>
      <c r="W685" s="187" t="n">
        <v>1</v>
      </c>
      <c r="X685" s="187" t="inlineStr">
        <is>
          <t>LOW (40%)</t>
        </is>
      </c>
      <c r="Y685" s="187" t="inlineStr">
        <is>
          <t>UNLIKELY</t>
        </is>
      </c>
      <c r="Z685" s="187" t="inlineStr">
        <is>
          <t>CHECK_VENDOR</t>
        </is>
      </c>
      <c r="AA685" s="187" t="inlineStr">
        <is>
          <t>https://nvd.nist.gov/vuln/detail/CVE-2026-22350</t>
        </is>
      </c>
      <c r="AB685" s="187" t="inlineStr">
        <is>
          <t>NONE</t>
        </is>
      </c>
      <c r="AC685" s="187" t="n">
        <v>0</v>
      </c>
      <c r="AD685" s="187" t="inlineStr"/>
    </row>
    <row r="686">
      <c r="A686" s="187" t="inlineStr">
        <is>
          <t>CVE</t>
        </is>
      </c>
      <c r="B686" s="187" t="inlineStr">
        <is>
          <t>CVE-2026-22351</t>
        </is>
      </c>
      <c r="C686" s="187" t="inlineStr">
        <is>
          <t>Missing Authorization vulnerability in Marcus (aka @msykes) WP FullCalendar wp-fullcalendar allows Exploiting Incorrectly Configured Access Control Security Levels.This issue affects WP FullCalendar: from n/a through &lt;= 1.6.</t>
        </is>
      </c>
      <c r="D686" s="187" t="n">
        <v>6.5</v>
      </c>
      <c r="E686" s="187" t="inlineStr">
        <is>
          <t>MEDIUM</t>
        </is>
      </c>
      <c r="F686" s="187" t="n">
        <v>2</v>
      </c>
      <c r="G686" s="187" t="n">
        <v>2</v>
      </c>
      <c r="H686" s="187" t="inlineStr">
        <is>
          <t>MEDIUM</t>
        </is>
      </c>
      <c r="I686" s="187" t="n">
        <v>10.5</v>
      </c>
      <c r="J686" s="187" t="inlineStr">
        <is>
          <t>NO</t>
        </is>
      </c>
      <c r="K686" s="187" t="inlineStr">
        <is>
          <t>https://nvd.nist.gov/vuln/detail/CVE-2026-22351</t>
        </is>
      </c>
      <c r="L686" s="187" t="inlineStr">
        <is>
          <t>2026-02-26 00:15</t>
        </is>
      </c>
      <c r="M686" s="187" t="inlineStr">
        <is>
          <t>CHECK_VENDOR</t>
        </is>
      </c>
      <c r="N686" s="187" t="inlineStr">
        <is>
          <t>See NVD references</t>
        </is>
      </c>
      <c r="O686" s="187" t="inlineStr">
        <is>
          <t>Apply vendor patches</t>
        </is>
      </c>
      <c r="P686" s="187" t="inlineStr">
        <is>
          <t>See CVE details</t>
        </is>
      </c>
      <c r="Q686" s="187" t="inlineStr">
        <is>
          <t>P4</t>
        </is>
      </c>
      <c r="R686" s="187" t="inlineStr">
        <is>
          <t>📅 Schedule patch deployment within 30 days | 🔍 Monitor for exploitation attempts</t>
        </is>
      </c>
      <c r="S686" s="187" t="inlineStr">
        <is>
          <t>CVE - IP enrichment n/a</t>
        </is>
      </c>
      <c r="T686" s="187" t="n">
        <v>0.0004</v>
      </c>
      <c r="U686" s="187" t="n">
        <v>0.1116</v>
      </c>
      <c r="V686" s="187" t="inlineStr">
        <is>
          <t>T1190:Exploit Public-Facing Application</t>
        </is>
      </c>
      <c r="W686" s="187" t="n">
        <v>1</v>
      </c>
      <c r="X686" s="187" t="inlineStr">
        <is>
          <t>LOW (40%)</t>
        </is>
      </c>
      <c r="Y686" s="187" t="inlineStr">
        <is>
          <t>UNLIKELY</t>
        </is>
      </c>
      <c r="Z686" s="187" t="inlineStr">
        <is>
          <t>CHECK_VENDOR</t>
        </is>
      </c>
      <c r="AA686" s="187" t="inlineStr">
        <is>
          <t>https://nvd.nist.gov/vuln/detail/CVE-2026-22351</t>
        </is>
      </c>
      <c r="AB686" s="187" t="inlineStr">
        <is>
          <t>NONE</t>
        </is>
      </c>
      <c r="AC686" s="187" t="n">
        <v>0</v>
      </c>
      <c r="AD686" s="187" t="inlineStr"/>
    </row>
    <row r="687">
      <c r="A687" s="188" t="inlineStr">
        <is>
          <t>CVE</t>
        </is>
      </c>
      <c r="B687" s="188" t="inlineStr">
        <is>
          <t>CVE-2026-22352</t>
        </is>
      </c>
      <c r="C687" s="188" t="inlineStr">
        <is>
          <t>Improper Neutralization of Input During Web Page Generation ('Cross-site Scripting') vulnerability in PersianScript Persian Woocommerce SMS persian-woocommerce-sms allows Reflected XSS.This issue affects Persian Woocommerce SMS: from n/a through &lt;= 7.1.1.</t>
        </is>
      </c>
      <c r="D687" s="188" t="n">
        <v>7.1</v>
      </c>
      <c r="E687" s="188" t="inlineStr">
        <is>
          <t>HIGH</t>
        </is>
      </c>
      <c r="F687" s="188" t="n">
        <v>2</v>
      </c>
      <c r="G687" s="188" t="n">
        <v>3</v>
      </c>
      <c r="H687" s="188" t="inlineStr">
        <is>
          <t>HIGH</t>
        </is>
      </c>
      <c r="I687" s="188" t="n">
        <v>13.1</v>
      </c>
      <c r="J687" s="188" t="inlineStr">
        <is>
          <t>NO</t>
        </is>
      </c>
      <c r="K687" s="188" t="inlineStr">
        <is>
          <t>https://nvd.nist.gov/vuln/detail/CVE-2026-22352</t>
        </is>
      </c>
      <c r="L687" s="188" t="inlineStr">
        <is>
          <t>2026-02-26 00:15</t>
        </is>
      </c>
      <c r="M687" s="188" t="inlineStr">
        <is>
          <t>CHECK_VENDOR</t>
        </is>
      </c>
      <c r="N687" s="188" t="inlineStr">
        <is>
          <t>See NVD references</t>
        </is>
      </c>
      <c r="O687" s="188" t="inlineStr">
        <is>
          <t>Apply vendor patches</t>
        </is>
      </c>
      <c r="P687" s="188" t="inlineStr">
        <is>
          <t>See CVE details</t>
        </is>
      </c>
      <c r="Q687" s="188" t="inlineStr">
        <is>
          <t>P3</t>
        </is>
      </c>
      <c r="R687" s="188" t="inlineStr">
        <is>
          <t>🚨 URGENT: Apply vendor patches immediately | 🔒 Isolate affected systems if patch unavailable | 🛡️ Enable additional monitoring/IDS rules</t>
        </is>
      </c>
      <c r="S687" s="188" t="inlineStr">
        <is>
          <t>CVE - IP enrichment n/a</t>
        </is>
      </c>
      <c r="T687" s="188" t="n">
        <v>0</v>
      </c>
      <c r="U687" s="188" t="n">
        <v>0</v>
      </c>
      <c r="V687" s="188" t="inlineStr">
        <is>
          <t>T1189:Drive-by Compromise | T1190:Exploit Public-Facing Application</t>
        </is>
      </c>
      <c r="W687" s="188" t="n">
        <v>1</v>
      </c>
      <c r="X687" s="188" t="inlineStr">
        <is>
          <t>LOW (40%)</t>
        </is>
      </c>
      <c r="Y687" s="188" t="inlineStr">
        <is>
          <t>UNLIKELY</t>
        </is>
      </c>
      <c r="Z687" s="188" t="inlineStr">
        <is>
          <t>CHECK_VENDOR</t>
        </is>
      </c>
      <c r="AA687" s="188" t="inlineStr">
        <is>
          <t>https://nvd.nist.gov/vuln/detail/CVE-2026-22352</t>
        </is>
      </c>
      <c r="AB687" s="188" t="inlineStr">
        <is>
          <t>NONE</t>
        </is>
      </c>
      <c r="AC687" s="188" t="n">
        <v>0</v>
      </c>
      <c r="AD687" s="188" t="inlineStr"/>
    </row>
    <row r="688">
      <c r="A688" s="188" t="inlineStr">
        <is>
          <t>CVE</t>
        </is>
      </c>
      <c r="B688" s="188" t="inlineStr">
        <is>
          <t>CVE-2026-22354</t>
        </is>
      </c>
      <c r="C688" s="188" t="inlineStr">
        <is>
          <t>Deserialization of Untrusted Data vulnerability in Dotstore Woocommerce Category Banner Management banner-management-for-woocommerce allows Object Injection.This issue affects Woocommerce Category Banner Management: from n/a through &lt;= 2.5.1.</t>
        </is>
      </c>
      <c r="D688" s="188" t="n">
        <v>8.800000000000001</v>
      </c>
      <c r="E688" s="188" t="inlineStr">
        <is>
          <t>HIGH</t>
        </is>
      </c>
      <c r="F688" s="188" t="n">
        <v>2</v>
      </c>
      <c r="G688" s="188" t="n">
        <v>3</v>
      </c>
      <c r="H688" s="188" t="inlineStr">
        <is>
          <t>HIGH</t>
        </is>
      </c>
      <c r="I688" s="188" t="n">
        <v>14.8</v>
      </c>
      <c r="J688" s="188" t="inlineStr">
        <is>
          <t>NO</t>
        </is>
      </c>
      <c r="K688" s="188" t="inlineStr">
        <is>
          <t>https://nvd.nist.gov/vuln/detail/CVE-2026-22354</t>
        </is>
      </c>
      <c r="L688" s="188" t="inlineStr">
        <is>
          <t>2026-02-26 00:15</t>
        </is>
      </c>
      <c r="M688" s="188" t="inlineStr">
        <is>
          <t>CHECK_VENDOR</t>
        </is>
      </c>
      <c r="N688" s="188" t="inlineStr">
        <is>
          <t>See NVD references</t>
        </is>
      </c>
      <c r="O688" s="188" t="inlineStr">
        <is>
          <t>Apply vendor patches</t>
        </is>
      </c>
      <c r="P688" s="188" t="inlineStr">
        <is>
          <t>See CVE details</t>
        </is>
      </c>
      <c r="Q688" s="188" t="inlineStr">
        <is>
          <t>P3</t>
        </is>
      </c>
      <c r="R688" s="188" t="inlineStr">
        <is>
          <t>🚨 URGENT: Apply vendor patches immediately | 🔒 Isolate affected systems if patch unavailable | 🛡️ Enable additional monitoring/IDS rules</t>
        </is>
      </c>
      <c r="S688" s="188" t="inlineStr">
        <is>
          <t>CVE - IP enrichment n/a</t>
        </is>
      </c>
      <c r="T688" s="188" t="n">
        <v>0.0005</v>
      </c>
      <c r="U688" s="188" t="n">
        <v>0.148</v>
      </c>
      <c r="V688" s="188" t="inlineStr">
        <is>
          <t>T1059:Command and Scripting Interpreter | T1190:Exploit Public-Facing Application</t>
        </is>
      </c>
      <c r="W688" s="188" t="n">
        <v>1</v>
      </c>
      <c r="X688" s="188" t="inlineStr">
        <is>
          <t>LOW (40%)</t>
        </is>
      </c>
      <c r="Y688" s="188" t="inlineStr">
        <is>
          <t>UNLIKELY</t>
        </is>
      </c>
      <c r="Z688" s="188" t="inlineStr">
        <is>
          <t>CHECK_VENDOR</t>
        </is>
      </c>
      <c r="AA688" s="188" t="inlineStr">
        <is>
          <t>https://nvd.nist.gov/vuln/detail/CVE-2026-22354</t>
        </is>
      </c>
      <c r="AB688" s="188" t="inlineStr">
        <is>
          <t>NONE</t>
        </is>
      </c>
      <c r="AC688" s="188" t="n">
        <v>0</v>
      </c>
      <c r="AD688" s="188" t="inlineStr"/>
    </row>
    <row r="689">
      <c r="A689" s="188" t="inlineStr">
        <is>
          <t>CVE</t>
        </is>
      </c>
      <c r="B689" s="188" t="inlineStr">
        <is>
          <t>CVE-2026-22356</t>
        </is>
      </c>
      <c r="C689" s="188" t="inlineStr">
        <is>
          <t>Improper Control of Filename for Include/Require Statement in PHP Program ('PHP Remote File Inclusion') vulnerability in Automattic Jetpack CRM zero-bs-crm allows PHP Local File Inclusion.This issue affects Jetpack CRM: from n/a through &lt;= 6.7.0.</t>
        </is>
      </c>
      <c r="D689" s="188" t="n">
        <v>7.5</v>
      </c>
      <c r="E689" s="188" t="inlineStr">
        <is>
          <t>HIGH</t>
        </is>
      </c>
      <c r="F689" s="188" t="n">
        <v>2</v>
      </c>
      <c r="G689" s="188" t="n">
        <v>3</v>
      </c>
      <c r="H689" s="188" t="inlineStr">
        <is>
          <t>HIGH</t>
        </is>
      </c>
      <c r="I689" s="188" t="n">
        <v>13.5</v>
      </c>
      <c r="J689" s="188" t="inlineStr">
        <is>
          <t>NO</t>
        </is>
      </c>
      <c r="K689" s="188" t="inlineStr">
        <is>
          <t>https://nvd.nist.gov/vuln/detail/CVE-2026-22356</t>
        </is>
      </c>
      <c r="L689" s="188" t="inlineStr">
        <is>
          <t>2026-02-26 00:15</t>
        </is>
      </c>
      <c r="M689" s="188" t="inlineStr">
        <is>
          <t>CHECK_VENDOR</t>
        </is>
      </c>
      <c r="N689" s="188" t="inlineStr">
        <is>
          <t>See NVD references</t>
        </is>
      </c>
      <c r="O689" s="188" t="inlineStr">
        <is>
          <t>Apply vendor patches</t>
        </is>
      </c>
      <c r="P689" s="188" t="inlineStr">
        <is>
          <t>See CVE details</t>
        </is>
      </c>
      <c r="Q689" s="188" t="inlineStr">
        <is>
          <t>P3</t>
        </is>
      </c>
      <c r="R689" s="188" t="inlineStr">
        <is>
          <t>🚨 URGENT: Apply vendor patches immediately | 🔒 Isolate affected systems if patch unavailable | 🛡️ Enable additional monitoring/IDS rules</t>
        </is>
      </c>
      <c r="S689" s="188" t="inlineStr">
        <is>
          <t>CVE - IP enrichment n/a</t>
        </is>
      </c>
      <c r="T689" s="188" t="n">
        <v>0</v>
      </c>
      <c r="U689" s="188" t="n">
        <v>0</v>
      </c>
      <c r="V689" s="188" t="inlineStr">
        <is>
          <t>T1190:Exploit Public-Facing Application</t>
        </is>
      </c>
      <c r="W689" s="188" t="n">
        <v>1</v>
      </c>
      <c r="X689" s="188" t="inlineStr">
        <is>
          <t>LOW (40%)</t>
        </is>
      </c>
      <c r="Y689" s="188" t="inlineStr">
        <is>
          <t>UNLIKELY</t>
        </is>
      </c>
      <c r="Z689" s="188" t="inlineStr">
        <is>
          <t>CHECK_VENDOR</t>
        </is>
      </c>
      <c r="AA689" s="188" t="inlineStr">
        <is>
          <t>https://nvd.nist.gov/vuln/detail/CVE-2026-22356</t>
        </is>
      </c>
      <c r="AB689" s="188" t="inlineStr">
        <is>
          <t>NONE</t>
        </is>
      </c>
      <c r="AC689" s="188" t="n">
        <v>0</v>
      </c>
      <c r="AD689" s="188" t="inlineStr"/>
    </row>
    <row r="690">
      <c r="A690" s="188" t="inlineStr">
        <is>
          <t>CVE</t>
        </is>
      </c>
      <c r="B690" s="188" t="inlineStr">
        <is>
          <t>CVE-2026-22357</t>
        </is>
      </c>
      <c r="C690" s="188" t="inlineStr">
        <is>
          <t>Improper Neutralization of Input During Web Page Generation ('Cross-site Scripting') vulnerability in Spencer Haws Link Whisper Free link-whisper allows Reflected XSS.This issue affects Link Whisper Free: from n/a through &lt;= 0.9.0.</t>
        </is>
      </c>
      <c r="D690" s="188" t="n">
        <v>7.1</v>
      </c>
      <c r="E690" s="188" t="inlineStr">
        <is>
          <t>HIGH</t>
        </is>
      </c>
      <c r="F690" s="188" t="n">
        <v>2</v>
      </c>
      <c r="G690" s="188" t="n">
        <v>3</v>
      </c>
      <c r="H690" s="188" t="inlineStr">
        <is>
          <t>HIGH</t>
        </is>
      </c>
      <c r="I690" s="188" t="n">
        <v>13.1</v>
      </c>
      <c r="J690" s="188" t="inlineStr">
        <is>
          <t>NO</t>
        </is>
      </c>
      <c r="K690" s="188" t="inlineStr">
        <is>
          <t>https://nvd.nist.gov/vuln/detail/CVE-2026-22357</t>
        </is>
      </c>
      <c r="L690" s="188" t="inlineStr">
        <is>
          <t>2026-02-26 00:15</t>
        </is>
      </c>
      <c r="M690" s="188" t="inlineStr">
        <is>
          <t>CHECK_VENDOR</t>
        </is>
      </c>
      <c r="N690" s="188" t="inlineStr">
        <is>
          <t>See NVD references</t>
        </is>
      </c>
      <c r="O690" s="188" t="inlineStr">
        <is>
          <t>Apply vendor patches</t>
        </is>
      </c>
      <c r="P690" s="188" t="inlineStr">
        <is>
          <t>See CVE details</t>
        </is>
      </c>
      <c r="Q690" s="188" t="inlineStr">
        <is>
          <t>P3</t>
        </is>
      </c>
      <c r="R690" s="188" t="inlineStr">
        <is>
          <t>🚨 URGENT: Apply vendor patches immediately | 🔒 Isolate affected systems if patch unavailable | 🛡️ Enable additional monitoring/IDS rules</t>
        </is>
      </c>
      <c r="S690" s="188" t="inlineStr">
        <is>
          <t>CVE - IP enrichment n/a</t>
        </is>
      </c>
      <c r="T690" s="188" t="n">
        <v>0</v>
      </c>
      <c r="U690" s="188" t="n">
        <v>0</v>
      </c>
      <c r="V690" s="188" t="inlineStr">
        <is>
          <t>T1189:Drive-by Compromise</t>
        </is>
      </c>
      <c r="W690" s="188" t="n">
        <v>1</v>
      </c>
      <c r="X690" s="188" t="inlineStr">
        <is>
          <t>LOW (40%)</t>
        </is>
      </c>
      <c r="Y690" s="188" t="inlineStr">
        <is>
          <t>UNLIKELY</t>
        </is>
      </c>
      <c r="Z690" s="188" t="inlineStr">
        <is>
          <t>CHECK_VENDOR</t>
        </is>
      </c>
      <c r="AA690" s="188" t="inlineStr">
        <is>
          <t>https://nvd.nist.gov/vuln/detail/CVE-2026-22357</t>
        </is>
      </c>
      <c r="AB690" s="188" t="inlineStr">
        <is>
          <t>NONE</t>
        </is>
      </c>
      <c r="AC690" s="188" t="n">
        <v>0</v>
      </c>
      <c r="AD690" s="188" t="inlineStr"/>
    </row>
    <row r="691">
      <c r="A691" s="188" t="inlineStr">
        <is>
          <t>CVE</t>
        </is>
      </c>
      <c r="B691" s="188" t="inlineStr">
        <is>
          <t>CVE-2026-22361</t>
        </is>
      </c>
      <c r="C691" s="188" t="inlineStr">
        <is>
          <t>Improper Control of Filename for Include/Require Statement in PHP Program ('PHP Remote File Inclusion') vulnerability in axiomthemes A-Mart a-mart allows PHP Local File Inclusion.This issue affects A-Mart: from n/a through &lt;= 1.0.2.</t>
        </is>
      </c>
      <c r="D691" s="188" t="n">
        <v>8.1</v>
      </c>
      <c r="E691" s="188" t="inlineStr">
        <is>
          <t>HIGH</t>
        </is>
      </c>
      <c r="F691" s="188" t="n">
        <v>2</v>
      </c>
      <c r="G691" s="188" t="n">
        <v>3</v>
      </c>
      <c r="H691" s="188" t="inlineStr">
        <is>
          <t>HIGH</t>
        </is>
      </c>
      <c r="I691" s="188" t="n">
        <v>14.1</v>
      </c>
      <c r="J691" s="188" t="inlineStr">
        <is>
          <t>NO</t>
        </is>
      </c>
      <c r="K691" s="188" t="inlineStr">
        <is>
          <t>https://nvd.nist.gov/vuln/detail/CVE-2026-22361</t>
        </is>
      </c>
      <c r="L691" s="188" t="inlineStr">
        <is>
          <t>2026-02-26 00:15</t>
        </is>
      </c>
      <c r="M691" s="188" t="inlineStr">
        <is>
          <t>CHECK_VENDOR</t>
        </is>
      </c>
      <c r="N691" s="188" t="inlineStr">
        <is>
          <t>See NVD references</t>
        </is>
      </c>
      <c r="O691" s="188" t="inlineStr">
        <is>
          <t>Apply vendor patches</t>
        </is>
      </c>
      <c r="P691" s="188" t="inlineStr">
        <is>
          <t>See CVE details</t>
        </is>
      </c>
      <c r="Q691" s="188" t="inlineStr">
        <is>
          <t>P3</t>
        </is>
      </c>
      <c r="R691" s="188" t="inlineStr">
        <is>
          <t>🚨 URGENT: Apply vendor patches immediately | 🔒 Isolate affected systems if patch unavailable | 🛡️ Enable additional monitoring/IDS rules</t>
        </is>
      </c>
      <c r="S691" s="188" t="inlineStr">
        <is>
          <t>CVE - IP enrichment n/a</t>
        </is>
      </c>
      <c r="T691" s="188" t="n">
        <v>0.0011</v>
      </c>
      <c r="U691" s="188" t="n">
        <v>0.3022</v>
      </c>
      <c r="V691" s="188" t="inlineStr">
        <is>
          <t>T1190:Exploit Public-Facing Application</t>
        </is>
      </c>
      <c r="W691" s="188" t="n">
        <v>1</v>
      </c>
      <c r="X691" s="188" t="inlineStr">
        <is>
          <t>LOW (40%)</t>
        </is>
      </c>
      <c r="Y691" s="188" t="inlineStr">
        <is>
          <t>UNLIKELY</t>
        </is>
      </c>
      <c r="Z691" s="188" t="inlineStr">
        <is>
          <t>CHECK_VENDOR</t>
        </is>
      </c>
      <c r="AA691" s="188" t="inlineStr">
        <is>
          <t>https://nvd.nist.gov/vuln/detail/CVE-2026-22361</t>
        </is>
      </c>
      <c r="AB691" s="188" t="inlineStr">
        <is>
          <t>NONE</t>
        </is>
      </c>
      <c r="AC691" s="188" t="n">
        <v>0</v>
      </c>
      <c r="AD691" s="188" t="inlineStr"/>
    </row>
    <row r="692">
      <c r="A692" s="188" t="inlineStr">
        <is>
          <t>CVE</t>
        </is>
      </c>
      <c r="B692" s="188" t="inlineStr">
        <is>
          <t>CVE-2026-22362</t>
        </is>
      </c>
      <c r="C692" s="188" t="inlineStr">
        <is>
          <t>Improper Control of Filename for Include/Require Statement in PHP Program ('PHP Remote File Inclusion') vulnerability in axiomthemes Photolia photolia allows PHP Local File Inclusion.This issue affects Photolia: from n/a through &lt;= 1.0.3.</t>
        </is>
      </c>
      <c r="D692" s="188" t="n">
        <v>8.1</v>
      </c>
      <c r="E692" s="188" t="inlineStr">
        <is>
          <t>HIGH</t>
        </is>
      </c>
      <c r="F692" s="188" t="n">
        <v>2</v>
      </c>
      <c r="G692" s="188" t="n">
        <v>3</v>
      </c>
      <c r="H692" s="188" t="inlineStr">
        <is>
          <t>HIGH</t>
        </is>
      </c>
      <c r="I692" s="188" t="n">
        <v>14.1</v>
      </c>
      <c r="J692" s="188" t="inlineStr">
        <is>
          <t>NO</t>
        </is>
      </c>
      <c r="K692" s="188" t="inlineStr">
        <is>
          <t>https://nvd.nist.gov/vuln/detail/CVE-2026-22362</t>
        </is>
      </c>
      <c r="L692" s="188" t="inlineStr">
        <is>
          <t>2026-02-26 00:15</t>
        </is>
      </c>
      <c r="M692" s="188" t="inlineStr">
        <is>
          <t>CHECK_VENDOR</t>
        </is>
      </c>
      <c r="N692" s="188" t="inlineStr">
        <is>
          <t>See NVD references</t>
        </is>
      </c>
      <c r="O692" s="188" t="inlineStr">
        <is>
          <t>Apply vendor patches</t>
        </is>
      </c>
      <c r="P692" s="188" t="inlineStr">
        <is>
          <t>See CVE details</t>
        </is>
      </c>
      <c r="Q692" s="188" t="inlineStr">
        <is>
          <t>P3</t>
        </is>
      </c>
      <c r="R692" s="188" t="inlineStr">
        <is>
          <t>🚨 URGENT: Apply vendor patches immediately | 🔒 Isolate affected systems if patch unavailable | 🛡️ Enable additional monitoring/IDS rules</t>
        </is>
      </c>
      <c r="S692" s="188" t="inlineStr">
        <is>
          <t>CVE - IP enrichment n/a</t>
        </is>
      </c>
      <c r="T692" s="188" t="n">
        <v>0</v>
      </c>
      <c r="U692" s="188" t="n">
        <v>0</v>
      </c>
      <c r="V692" s="188" t="inlineStr">
        <is>
          <t>T1190:Exploit Public-Facing Application</t>
        </is>
      </c>
      <c r="W692" s="188" t="n">
        <v>1</v>
      </c>
      <c r="X692" s="188" t="inlineStr">
        <is>
          <t>LOW (40%)</t>
        </is>
      </c>
      <c r="Y692" s="188" t="inlineStr">
        <is>
          <t>UNLIKELY</t>
        </is>
      </c>
      <c r="Z692" s="188" t="inlineStr">
        <is>
          <t>CHECK_VENDOR</t>
        </is>
      </c>
      <c r="AA692" s="188" t="inlineStr">
        <is>
          <t>https://nvd.nist.gov/vuln/detail/CVE-2026-22362</t>
        </is>
      </c>
      <c r="AB692" s="188" t="inlineStr">
        <is>
          <t>NONE</t>
        </is>
      </c>
      <c r="AC692" s="188" t="n">
        <v>0</v>
      </c>
      <c r="AD692" s="188" t="inlineStr"/>
    </row>
    <row r="693">
      <c r="A693" s="188" t="inlineStr">
        <is>
          <t>CVE</t>
        </is>
      </c>
      <c r="B693" s="188" t="inlineStr">
        <is>
          <t>CVE-2026-22363</t>
        </is>
      </c>
      <c r="C693" s="188" t="inlineStr">
        <is>
          <t>Improper Control of Filename for Include/Require Statement in PHP Program ('PHP Remote File Inclusion') vulnerability in axiomthemes Rhodos rhodos allows PHP Local File Inclusion.This issue affects Rhodos: from n/a through &lt;= 1.3.3.</t>
        </is>
      </c>
      <c r="D693" s="188" t="n">
        <v>8.1</v>
      </c>
      <c r="E693" s="188" t="inlineStr">
        <is>
          <t>HIGH</t>
        </is>
      </c>
      <c r="F693" s="188" t="n">
        <v>2</v>
      </c>
      <c r="G693" s="188" t="n">
        <v>3</v>
      </c>
      <c r="H693" s="188" t="inlineStr">
        <is>
          <t>HIGH</t>
        </is>
      </c>
      <c r="I693" s="188" t="n">
        <v>14.1</v>
      </c>
      <c r="J693" s="188" t="inlineStr">
        <is>
          <t>NO</t>
        </is>
      </c>
      <c r="K693" s="188" t="inlineStr">
        <is>
          <t>https://nvd.nist.gov/vuln/detail/CVE-2026-22363</t>
        </is>
      </c>
      <c r="L693" s="188" t="inlineStr">
        <is>
          <t>2026-02-26 00:15</t>
        </is>
      </c>
      <c r="M693" s="188" t="inlineStr">
        <is>
          <t>CHECK_VENDOR</t>
        </is>
      </c>
      <c r="N693" s="188" t="inlineStr">
        <is>
          <t>See NVD references</t>
        </is>
      </c>
      <c r="O693" s="188" t="inlineStr">
        <is>
          <t>Apply vendor patches</t>
        </is>
      </c>
      <c r="P693" s="188" t="inlineStr">
        <is>
          <t>See CVE details</t>
        </is>
      </c>
      <c r="Q693" s="188" t="inlineStr">
        <is>
          <t>P3</t>
        </is>
      </c>
      <c r="R693" s="188" t="inlineStr">
        <is>
          <t>🚨 URGENT: Apply vendor patches immediately | 🔒 Isolate affected systems if patch unavailable | 🛡️ Enable additional monitoring/IDS rules</t>
        </is>
      </c>
      <c r="S693" s="188" t="inlineStr">
        <is>
          <t>CVE - IP enrichment n/a</t>
        </is>
      </c>
      <c r="T693" s="188" t="n">
        <v>0.0011</v>
      </c>
      <c r="U693" s="188" t="n">
        <v>0.3022</v>
      </c>
      <c r="V693" s="188" t="inlineStr">
        <is>
          <t>T1190:Exploit Public-Facing Application</t>
        </is>
      </c>
      <c r="W693" s="188" t="n">
        <v>1</v>
      </c>
      <c r="X693" s="188" t="inlineStr">
        <is>
          <t>LOW (40%)</t>
        </is>
      </c>
      <c r="Y693" s="188" t="inlineStr">
        <is>
          <t>UNLIKELY</t>
        </is>
      </c>
      <c r="Z693" s="188" t="inlineStr">
        <is>
          <t>CHECK_VENDOR</t>
        </is>
      </c>
      <c r="AA693" s="188" t="inlineStr">
        <is>
          <t>https://nvd.nist.gov/vuln/detail/CVE-2026-22363</t>
        </is>
      </c>
      <c r="AB693" s="188" t="inlineStr">
        <is>
          <t>NONE</t>
        </is>
      </c>
      <c r="AC693" s="188" t="n">
        <v>0</v>
      </c>
      <c r="AD693" s="188" t="inlineStr"/>
    </row>
    <row r="694">
      <c r="A694" s="188" t="inlineStr">
        <is>
          <t>CVE</t>
        </is>
      </c>
      <c r="B694" s="188" t="inlineStr">
        <is>
          <t>CVE-2026-22364</t>
        </is>
      </c>
      <c r="C694" s="188" t="inlineStr">
        <is>
          <t>Improper Control of Filename for Include/Require Statement in PHP Program ('PHP Remote File Inclusion') vulnerability in axiomthemes SevenTrees seventrees allows PHP Local File Inclusion.This issue affects SevenTrees: from n/a through &lt;=1.0.2.</t>
        </is>
      </c>
      <c r="D694" s="188" t="n">
        <v>8.1</v>
      </c>
      <c r="E694" s="188" t="inlineStr">
        <is>
          <t>HIGH</t>
        </is>
      </c>
      <c r="F694" s="188" t="n">
        <v>2</v>
      </c>
      <c r="G694" s="188" t="n">
        <v>3</v>
      </c>
      <c r="H694" s="188" t="inlineStr">
        <is>
          <t>HIGH</t>
        </is>
      </c>
      <c r="I694" s="188" t="n">
        <v>14.1</v>
      </c>
      <c r="J694" s="188" t="inlineStr">
        <is>
          <t>NO</t>
        </is>
      </c>
      <c r="K694" s="188" t="inlineStr">
        <is>
          <t>https://nvd.nist.gov/vuln/detail/CVE-2026-22364</t>
        </is>
      </c>
      <c r="L694" s="188" t="inlineStr">
        <is>
          <t>2026-02-26 00:15</t>
        </is>
      </c>
      <c r="M694" s="188" t="inlineStr">
        <is>
          <t>CHECK_VENDOR</t>
        </is>
      </c>
      <c r="N694" s="188" t="inlineStr">
        <is>
          <t>See NVD references</t>
        </is>
      </c>
      <c r="O694" s="188" t="inlineStr">
        <is>
          <t>Apply vendor patches</t>
        </is>
      </c>
      <c r="P694" s="188" t="inlineStr">
        <is>
          <t>See CVE details</t>
        </is>
      </c>
      <c r="Q694" s="188" t="inlineStr">
        <is>
          <t>P3</t>
        </is>
      </c>
      <c r="R694" s="188" t="inlineStr">
        <is>
          <t>🚨 URGENT: Apply vendor patches immediately | 🔒 Isolate affected systems if patch unavailable | 🛡️ Enable additional monitoring/IDS rules</t>
        </is>
      </c>
      <c r="S694" s="188" t="inlineStr">
        <is>
          <t>CVE - IP enrichment n/a</t>
        </is>
      </c>
      <c r="T694" s="188" t="n">
        <v>0</v>
      </c>
      <c r="U694" s="188" t="n">
        <v>0</v>
      </c>
      <c r="V694" s="188" t="inlineStr">
        <is>
          <t>T1190:Exploit Public-Facing Application</t>
        </is>
      </c>
      <c r="W694" s="188" t="n">
        <v>1</v>
      </c>
      <c r="X694" s="188" t="inlineStr">
        <is>
          <t>LOW (40%)</t>
        </is>
      </c>
      <c r="Y694" s="188" t="inlineStr">
        <is>
          <t>UNLIKELY</t>
        </is>
      </c>
      <c r="Z694" s="188" t="inlineStr">
        <is>
          <t>CHECK_VENDOR</t>
        </is>
      </c>
      <c r="AA694" s="188" t="inlineStr">
        <is>
          <t>https://nvd.nist.gov/vuln/detail/CVE-2026-22364</t>
        </is>
      </c>
      <c r="AB694" s="188" t="inlineStr">
        <is>
          <t>NONE</t>
        </is>
      </c>
      <c r="AC694" s="188" t="n">
        <v>0</v>
      </c>
      <c r="AD694" s="188" t="inlineStr"/>
    </row>
    <row r="695">
      <c r="A695" s="189" t="inlineStr">
        <is>
          <t>CVE</t>
        </is>
      </c>
      <c r="B695" s="189" t="inlineStr">
        <is>
          <t>CVE-2026-22365</t>
        </is>
      </c>
      <c r="C695" s="189" t="inlineStr">
        <is>
          <t>Improper Control of Filename for Include/Require Statement in PHP Program ('PHP Remote File Inclusion') vulnerability in axiomthemes Soleng soleng allows PHP Local File Inclusion.This issue affects Soleng: from n/a through &lt;= 1.0.5.</t>
        </is>
      </c>
      <c r="D695" s="189" t="n">
        <v>9.800000000000001</v>
      </c>
      <c r="E695" s="189" t="inlineStr">
        <is>
          <t>CRITICAL</t>
        </is>
      </c>
      <c r="F695" s="189" t="n">
        <v>2</v>
      </c>
      <c r="G695" s="189" t="n">
        <v>3</v>
      </c>
      <c r="H695" s="189" t="inlineStr">
        <is>
          <t>HIGH</t>
        </is>
      </c>
      <c r="I695" s="189" t="n">
        <v>15.8</v>
      </c>
      <c r="J695" s="189" t="inlineStr">
        <is>
          <t>NO</t>
        </is>
      </c>
      <c r="K695" s="189" t="inlineStr">
        <is>
          <t>https://nvd.nist.gov/vuln/detail/CVE-2026-22365</t>
        </is>
      </c>
      <c r="L695" s="189" t="inlineStr">
        <is>
          <t>2026-02-26 00:15</t>
        </is>
      </c>
      <c r="M695" s="189" t="inlineStr">
        <is>
          <t>CHECK_VENDOR</t>
        </is>
      </c>
      <c r="N695" s="189" t="inlineStr">
        <is>
          <t>See NVD references</t>
        </is>
      </c>
      <c r="O695" s="189" t="inlineStr">
        <is>
          <t>Apply vendor patches</t>
        </is>
      </c>
      <c r="P695" s="189" t="inlineStr">
        <is>
          <t>See CVE details</t>
        </is>
      </c>
      <c r="Q695" s="189" t="inlineStr">
        <is>
          <t>P3</t>
        </is>
      </c>
      <c r="R695" s="189" t="inlineStr">
        <is>
          <t>🚨 URGENT: Apply vendor patches immediately | 🔒 Isolate affected systems if patch unavailable | 🛡️ Enable additional monitoring/IDS rules</t>
        </is>
      </c>
      <c r="S695" s="189" t="inlineStr">
        <is>
          <t>CVE - IP enrichment n/a</t>
        </is>
      </c>
      <c r="T695" s="189" t="n">
        <v>0.0011</v>
      </c>
      <c r="U695" s="189" t="n">
        <v>0.3022</v>
      </c>
      <c r="V695" s="189" t="inlineStr">
        <is>
          <t>T1190:Exploit Public-Facing Application</t>
        </is>
      </c>
      <c r="W695" s="189" t="n">
        <v>1</v>
      </c>
      <c r="X695" s="189" t="inlineStr">
        <is>
          <t>LOW (40%)</t>
        </is>
      </c>
      <c r="Y695" s="189" t="inlineStr">
        <is>
          <t>UNLIKELY</t>
        </is>
      </c>
      <c r="Z695" s="189" t="inlineStr">
        <is>
          <t>CHECK_VENDOR</t>
        </is>
      </c>
      <c r="AA695" s="189" t="inlineStr">
        <is>
          <t>https://nvd.nist.gov/vuln/detail/CVE-2026-22365</t>
        </is>
      </c>
      <c r="AB695" s="189" t="inlineStr">
        <is>
          <t>NONE</t>
        </is>
      </c>
      <c r="AC695" s="189" t="n">
        <v>0</v>
      </c>
      <c r="AD695" s="189" t="inlineStr"/>
    </row>
    <row r="696">
      <c r="A696" s="188" t="inlineStr">
        <is>
          <t>CVE</t>
        </is>
      </c>
      <c r="B696" s="188" t="inlineStr">
        <is>
          <t>CVE-2026-22366</t>
        </is>
      </c>
      <c r="C696" s="188" t="inlineStr">
        <is>
          <t>Improper Control of Filename for Include/Require Statement in PHP Program ('PHP Remote File Inclusion') vulnerability in axiomthemes Jude jude allows PHP Local File Inclusion.This issue affects Jude: from n/a through &lt;= 1.3.0.</t>
        </is>
      </c>
      <c r="D696" s="188" t="n">
        <v>8.1</v>
      </c>
      <c r="E696" s="188" t="inlineStr">
        <is>
          <t>HIGH</t>
        </is>
      </c>
      <c r="F696" s="188" t="n">
        <v>2</v>
      </c>
      <c r="G696" s="188" t="n">
        <v>3</v>
      </c>
      <c r="H696" s="188" t="inlineStr">
        <is>
          <t>HIGH</t>
        </is>
      </c>
      <c r="I696" s="188" t="n">
        <v>14.1</v>
      </c>
      <c r="J696" s="188" t="inlineStr">
        <is>
          <t>NO</t>
        </is>
      </c>
      <c r="K696" s="188" t="inlineStr">
        <is>
          <t>https://nvd.nist.gov/vuln/detail/CVE-2026-22366</t>
        </is>
      </c>
      <c r="L696" s="188" t="inlineStr">
        <is>
          <t>2026-02-26 00:15</t>
        </is>
      </c>
      <c r="M696" s="188" t="inlineStr">
        <is>
          <t>CHECK_VENDOR</t>
        </is>
      </c>
      <c r="N696" s="188" t="inlineStr">
        <is>
          <t>See NVD references</t>
        </is>
      </c>
      <c r="O696" s="188" t="inlineStr">
        <is>
          <t>Apply vendor patches</t>
        </is>
      </c>
      <c r="P696" s="188" t="inlineStr">
        <is>
          <t>See CVE details</t>
        </is>
      </c>
      <c r="Q696" s="188" t="inlineStr">
        <is>
          <t>P3</t>
        </is>
      </c>
      <c r="R696" s="188" t="inlineStr">
        <is>
          <t>🚨 URGENT: Apply vendor patches immediately | 🔒 Isolate affected systems if patch unavailable | 🛡️ Enable additional monitoring/IDS rules</t>
        </is>
      </c>
      <c r="S696" s="188" t="inlineStr">
        <is>
          <t>CVE - IP enrichment n/a</t>
        </is>
      </c>
      <c r="T696" s="188" t="n">
        <v>0</v>
      </c>
      <c r="U696" s="188" t="n">
        <v>0</v>
      </c>
      <c r="V696" s="188" t="inlineStr">
        <is>
          <t>T1190:Exploit Public-Facing Application</t>
        </is>
      </c>
      <c r="W696" s="188" t="n">
        <v>1</v>
      </c>
      <c r="X696" s="188" t="inlineStr">
        <is>
          <t>LOW (40%)</t>
        </is>
      </c>
      <c r="Y696" s="188" t="inlineStr">
        <is>
          <t>UNLIKELY</t>
        </is>
      </c>
      <c r="Z696" s="188" t="inlineStr">
        <is>
          <t>CHECK_VENDOR</t>
        </is>
      </c>
      <c r="AA696" s="188" t="inlineStr">
        <is>
          <t>https://nvd.nist.gov/vuln/detail/CVE-2026-22366</t>
        </is>
      </c>
      <c r="AB696" s="188" t="inlineStr">
        <is>
          <t>NONE</t>
        </is>
      </c>
      <c r="AC696" s="188" t="n">
        <v>0</v>
      </c>
      <c r="AD696" s="188" t="inlineStr"/>
    </row>
    <row r="697">
      <c r="A697" s="188" t="inlineStr">
        <is>
          <t>CVE</t>
        </is>
      </c>
      <c r="B697" s="188" t="inlineStr">
        <is>
          <t>CVE-2026-22367</t>
        </is>
      </c>
      <c r="C697" s="188" t="inlineStr">
        <is>
          <t>Improper Control of Filename for Include/Require Statement in PHP Program ('PHP Remote File Inclusion') vulnerability in AncoraThemes Coworking coworking allows PHP Local File Inclusion.This issue affects Coworking: from n/a through &lt;= 1.6.1.</t>
        </is>
      </c>
      <c r="D697" s="188" t="n">
        <v>8.1</v>
      </c>
      <c r="E697" s="188" t="inlineStr">
        <is>
          <t>HIGH</t>
        </is>
      </c>
      <c r="F697" s="188" t="n">
        <v>2</v>
      </c>
      <c r="G697" s="188" t="n">
        <v>3</v>
      </c>
      <c r="H697" s="188" t="inlineStr">
        <is>
          <t>HIGH</t>
        </is>
      </c>
      <c r="I697" s="188" t="n">
        <v>14.1</v>
      </c>
      <c r="J697" s="188" t="inlineStr">
        <is>
          <t>NO</t>
        </is>
      </c>
      <c r="K697" s="188" t="inlineStr">
        <is>
          <t>https://nvd.nist.gov/vuln/detail/CVE-2026-22367</t>
        </is>
      </c>
      <c r="L697" s="188" t="inlineStr">
        <is>
          <t>2026-02-26 00:15</t>
        </is>
      </c>
      <c r="M697" s="188" t="inlineStr">
        <is>
          <t>CHECK_VENDOR</t>
        </is>
      </c>
      <c r="N697" s="188" t="inlineStr">
        <is>
          <t>See NVD references</t>
        </is>
      </c>
      <c r="O697" s="188" t="inlineStr">
        <is>
          <t>Apply vendor patches</t>
        </is>
      </c>
      <c r="P697" s="188" t="inlineStr">
        <is>
          <t>See CVE details</t>
        </is>
      </c>
      <c r="Q697" s="188" t="inlineStr">
        <is>
          <t>P3</t>
        </is>
      </c>
      <c r="R697" s="188" t="inlineStr">
        <is>
          <t>🚨 URGENT: Apply vendor patches immediately | 🔒 Isolate affected systems if patch unavailable | 🛡️ Enable additional monitoring/IDS rules</t>
        </is>
      </c>
      <c r="S697" s="188" t="inlineStr">
        <is>
          <t>CVE - IP enrichment n/a</t>
        </is>
      </c>
      <c r="T697" s="188" t="n">
        <v>0.0011</v>
      </c>
      <c r="U697" s="188" t="n">
        <v>0.3022</v>
      </c>
      <c r="V697" s="188" t="inlineStr">
        <is>
          <t>T1190:Exploit Public-Facing Application</t>
        </is>
      </c>
      <c r="W697" s="188" t="n">
        <v>1</v>
      </c>
      <c r="X697" s="188" t="inlineStr">
        <is>
          <t>LOW (40%)</t>
        </is>
      </c>
      <c r="Y697" s="188" t="inlineStr">
        <is>
          <t>UNLIKELY</t>
        </is>
      </c>
      <c r="Z697" s="188" t="inlineStr">
        <is>
          <t>CHECK_VENDOR</t>
        </is>
      </c>
      <c r="AA697" s="188" t="inlineStr">
        <is>
          <t>https://nvd.nist.gov/vuln/detail/CVE-2026-22367</t>
        </is>
      </c>
      <c r="AB697" s="188" t="inlineStr">
        <is>
          <t>NONE</t>
        </is>
      </c>
      <c r="AC697" s="188" t="n">
        <v>0</v>
      </c>
      <c r="AD697" s="188" t="inlineStr"/>
    </row>
    <row r="698">
      <c r="A698" s="188" t="inlineStr">
        <is>
          <t>CVE</t>
        </is>
      </c>
      <c r="B698" s="188" t="inlineStr">
        <is>
          <t>CVE-2026-22368</t>
        </is>
      </c>
      <c r="C698" s="188" t="inlineStr">
        <is>
          <t>Improper Control of Filename for Include/Require Statement in PHP Program ('PHP Remote File Inclusion') vulnerability in axiomthemes Redy redy allows PHP Local File Inclusion.This issue affects Redy: from n/a through &lt;= 1.0.2.</t>
        </is>
      </c>
      <c r="D698" s="188" t="n">
        <v>8.1</v>
      </c>
      <c r="E698" s="188" t="inlineStr">
        <is>
          <t>HIGH</t>
        </is>
      </c>
      <c r="F698" s="188" t="n">
        <v>2</v>
      </c>
      <c r="G698" s="188" t="n">
        <v>3</v>
      </c>
      <c r="H698" s="188" t="inlineStr">
        <is>
          <t>HIGH</t>
        </is>
      </c>
      <c r="I698" s="188" t="n">
        <v>14.1</v>
      </c>
      <c r="J698" s="188" t="inlineStr">
        <is>
          <t>NO</t>
        </is>
      </c>
      <c r="K698" s="188" t="inlineStr">
        <is>
          <t>https://nvd.nist.gov/vuln/detail/CVE-2026-22368</t>
        </is>
      </c>
      <c r="L698" s="188" t="inlineStr">
        <is>
          <t>2026-02-26 00:15</t>
        </is>
      </c>
      <c r="M698" s="188" t="inlineStr">
        <is>
          <t>CHECK_VENDOR</t>
        </is>
      </c>
      <c r="N698" s="188" t="inlineStr">
        <is>
          <t>See NVD references</t>
        </is>
      </c>
      <c r="O698" s="188" t="inlineStr">
        <is>
          <t>Apply vendor patches</t>
        </is>
      </c>
      <c r="P698" s="188" t="inlineStr">
        <is>
          <t>See CVE details</t>
        </is>
      </c>
      <c r="Q698" s="188" t="inlineStr">
        <is>
          <t>P3</t>
        </is>
      </c>
      <c r="R698" s="188" t="inlineStr">
        <is>
          <t>🚨 URGENT: Apply vendor patches immediately | 🔒 Isolate affected systems if patch unavailable | 🛡️ Enable additional monitoring/IDS rules</t>
        </is>
      </c>
      <c r="S698" s="188" t="inlineStr">
        <is>
          <t>CVE - IP enrichment n/a</t>
        </is>
      </c>
      <c r="T698" s="188" t="n">
        <v>0</v>
      </c>
      <c r="U698" s="188" t="n">
        <v>0</v>
      </c>
      <c r="V698" s="188" t="inlineStr">
        <is>
          <t>T1190:Exploit Public-Facing Application</t>
        </is>
      </c>
      <c r="W698" s="188" t="n">
        <v>1</v>
      </c>
      <c r="X698" s="188" t="inlineStr">
        <is>
          <t>LOW (40%)</t>
        </is>
      </c>
      <c r="Y698" s="188" t="inlineStr">
        <is>
          <t>UNLIKELY</t>
        </is>
      </c>
      <c r="Z698" s="188" t="inlineStr">
        <is>
          <t>CHECK_VENDOR</t>
        </is>
      </c>
      <c r="AA698" s="188" t="inlineStr">
        <is>
          <t>https://nvd.nist.gov/vuln/detail/CVE-2026-22368</t>
        </is>
      </c>
      <c r="AB698" s="188" t="inlineStr">
        <is>
          <t>NONE</t>
        </is>
      </c>
      <c r="AC698" s="188" t="n">
        <v>0</v>
      </c>
      <c r="AD698" s="188" t="inlineStr"/>
    </row>
    <row r="699">
      <c r="A699" s="188" t="inlineStr">
        <is>
          <t>CVE</t>
        </is>
      </c>
      <c r="B699" s="188" t="inlineStr">
        <is>
          <t>CVE-2026-22369</t>
        </is>
      </c>
      <c r="C699" s="188" t="inlineStr">
        <is>
          <t>Improper Control of Filename for Include/Require Statement in PHP Program ('PHP Remote File Inclusion') vulnerability in AncoraThemes Ironfit ironfit allows PHP Local File Inclusion.This issue affects Ironfit: from n/a through &lt;= 1.5.</t>
        </is>
      </c>
      <c r="D699" s="188" t="n">
        <v>8.1</v>
      </c>
      <c r="E699" s="188" t="inlineStr">
        <is>
          <t>HIGH</t>
        </is>
      </c>
      <c r="F699" s="188" t="n">
        <v>2</v>
      </c>
      <c r="G699" s="188" t="n">
        <v>3</v>
      </c>
      <c r="H699" s="188" t="inlineStr">
        <is>
          <t>HIGH</t>
        </is>
      </c>
      <c r="I699" s="188" t="n">
        <v>14.1</v>
      </c>
      <c r="J699" s="188" t="inlineStr">
        <is>
          <t>NO</t>
        </is>
      </c>
      <c r="K699" s="188" t="inlineStr">
        <is>
          <t>https://nvd.nist.gov/vuln/detail/CVE-2026-22369</t>
        </is>
      </c>
      <c r="L699" s="188" t="inlineStr">
        <is>
          <t>2026-02-26 00:15</t>
        </is>
      </c>
      <c r="M699" s="188" t="inlineStr">
        <is>
          <t>CHECK_VENDOR</t>
        </is>
      </c>
      <c r="N699" s="188" t="inlineStr">
        <is>
          <t>See NVD references</t>
        </is>
      </c>
      <c r="O699" s="188" t="inlineStr">
        <is>
          <t>Apply vendor patches</t>
        </is>
      </c>
      <c r="P699" s="188" t="inlineStr">
        <is>
          <t>See CVE details</t>
        </is>
      </c>
      <c r="Q699" s="188" t="inlineStr">
        <is>
          <t>P3</t>
        </is>
      </c>
      <c r="R699" s="188" t="inlineStr">
        <is>
          <t>🚨 URGENT: Apply vendor patches immediately | 🔒 Isolate affected systems if patch unavailable | 🛡️ Enable additional monitoring/IDS rules</t>
        </is>
      </c>
      <c r="S699" s="188" t="inlineStr">
        <is>
          <t>CVE - IP enrichment n/a</t>
        </is>
      </c>
      <c r="T699" s="188" t="n">
        <v>0</v>
      </c>
      <c r="U699" s="188" t="n">
        <v>0</v>
      </c>
      <c r="V699" s="188" t="inlineStr">
        <is>
          <t>T1190:Exploit Public-Facing Application</t>
        </is>
      </c>
      <c r="W699" s="188" t="n">
        <v>1</v>
      </c>
      <c r="X699" s="188" t="inlineStr">
        <is>
          <t>LOW (40%)</t>
        </is>
      </c>
      <c r="Y699" s="188" t="inlineStr">
        <is>
          <t>UNLIKELY</t>
        </is>
      </c>
      <c r="Z699" s="188" t="inlineStr">
        <is>
          <t>CHECK_VENDOR</t>
        </is>
      </c>
      <c r="AA699" s="188" t="inlineStr">
        <is>
          <t>https://nvd.nist.gov/vuln/detail/CVE-2026-22369</t>
        </is>
      </c>
      <c r="AB699" s="188" t="inlineStr">
        <is>
          <t>NONE</t>
        </is>
      </c>
      <c r="AC699" s="188" t="n">
        <v>0</v>
      </c>
      <c r="AD699" s="188" t="inlineStr"/>
    </row>
    <row r="700">
      <c r="A700" s="188" t="inlineStr">
        <is>
          <t>CVE</t>
        </is>
      </c>
      <c r="B700" s="188" t="inlineStr">
        <is>
          <t>CVE-2026-22370</t>
        </is>
      </c>
      <c r="C700" s="188" t="inlineStr">
        <is>
          <t>Improper Control of Filename for Include/Require Statement in PHP Program ('PHP Remote File Inclusion') vulnerability in axiomthemes Marveland marveland allows PHP Local File Inclusion.This issue affects Marveland: from n/a through &lt;= 1.3.0.</t>
        </is>
      </c>
      <c r="D700" s="188" t="n">
        <v>8.1</v>
      </c>
      <c r="E700" s="188" t="inlineStr">
        <is>
          <t>HIGH</t>
        </is>
      </c>
      <c r="F700" s="188" t="n">
        <v>2</v>
      </c>
      <c r="G700" s="188" t="n">
        <v>3</v>
      </c>
      <c r="H700" s="188" t="inlineStr">
        <is>
          <t>HIGH</t>
        </is>
      </c>
      <c r="I700" s="188" t="n">
        <v>14.1</v>
      </c>
      <c r="J700" s="188" t="inlineStr">
        <is>
          <t>NO</t>
        </is>
      </c>
      <c r="K700" s="188" t="inlineStr">
        <is>
          <t>https://nvd.nist.gov/vuln/detail/CVE-2026-22370</t>
        </is>
      </c>
      <c r="L700" s="188" t="inlineStr">
        <is>
          <t>2026-02-26 00:15</t>
        </is>
      </c>
      <c r="M700" s="188" t="inlineStr">
        <is>
          <t>CHECK_VENDOR</t>
        </is>
      </c>
      <c r="N700" s="188" t="inlineStr">
        <is>
          <t>See NVD references</t>
        </is>
      </c>
      <c r="O700" s="188" t="inlineStr">
        <is>
          <t>Apply vendor patches</t>
        </is>
      </c>
      <c r="P700" s="188" t="inlineStr">
        <is>
          <t>See CVE details</t>
        </is>
      </c>
      <c r="Q700" s="188" t="inlineStr">
        <is>
          <t>P3</t>
        </is>
      </c>
      <c r="R700" s="188" t="inlineStr">
        <is>
          <t>🚨 URGENT: Apply vendor patches immediately | 🔒 Isolate affected systems if patch unavailable | 🛡️ Enable additional monitoring/IDS rules</t>
        </is>
      </c>
      <c r="S700" s="188" t="inlineStr">
        <is>
          <t>CVE - IP enrichment n/a</t>
        </is>
      </c>
      <c r="T700" s="188" t="n">
        <v>0</v>
      </c>
      <c r="U700" s="188" t="n">
        <v>0</v>
      </c>
      <c r="V700" s="188" t="inlineStr">
        <is>
          <t>T1190:Exploit Public-Facing Application</t>
        </is>
      </c>
      <c r="W700" s="188" t="n">
        <v>1</v>
      </c>
      <c r="X700" s="188" t="inlineStr">
        <is>
          <t>LOW (40%)</t>
        </is>
      </c>
      <c r="Y700" s="188" t="inlineStr">
        <is>
          <t>UNLIKELY</t>
        </is>
      </c>
      <c r="Z700" s="188" t="inlineStr">
        <is>
          <t>CHECK_VENDOR</t>
        </is>
      </c>
      <c r="AA700" s="188" t="inlineStr">
        <is>
          <t>https://nvd.nist.gov/vuln/detail/CVE-2026-22370</t>
        </is>
      </c>
      <c r="AB700" s="188" t="inlineStr">
        <is>
          <t>NONE</t>
        </is>
      </c>
      <c r="AC700" s="188" t="n">
        <v>0</v>
      </c>
      <c r="AD700" s="188" t="inlineStr"/>
    </row>
    <row r="701">
      <c r="A701" s="188" t="inlineStr">
        <is>
          <t>CVE</t>
        </is>
      </c>
      <c r="B701" s="188" t="inlineStr">
        <is>
          <t>CVE-2026-22371</t>
        </is>
      </c>
      <c r="C701" s="188" t="inlineStr">
        <is>
          <t>Improper Control of Filename for Include/Require Statement in PHP Program ('PHP Remote File Inclusion') vulnerability in AncoraThemes Gustavo gustavo allows PHP Local File Inclusion.This issue affects Gustavo: from n/a through &lt;= 1.2.2.</t>
        </is>
      </c>
      <c r="D701" s="188" t="n">
        <v>8.1</v>
      </c>
      <c r="E701" s="188" t="inlineStr">
        <is>
          <t>HIGH</t>
        </is>
      </c>
      <c r="F701" s="188" t="n">
        <v>2</v>
      </c>
      <c r="G701" s="188" t="n">
        <v>3</v>
      </c>
      <c r="H701" s="188" t="inlineStr">
        <is>
          <t>HIGH</t>
        </is>
      </c>
      <c r="I701" s="188" t="n">
        <v>14.1</v>
      </c>
      <c r="J701" s="188" t="inlineStr">
        <is>
          <t>NO</t>
        </is>
      </c>
      <c r="K701" s="188" t="inlineStr">
        <is>
          <t>https://nvd.nist.gov/vuln/detail/CVE-2026-22371</t>
        </is>
      </c>
      <c r="L701" s="188" t="inlineStr">
        <is>
          <t>2026-02-26 00:15</t>
        </is>
      </c>
      <c r="M701" s="188" t="inlineStr">
        <is>
          <t>CHECK_VENDOR</t>
        </is>
      </c>
      <c r="N701" s="188" t="inlineStr">
        <is>
          <t>See NVD references</t>
        </is>
      </c>
      <c r="O701" s="188" t="inlineStr">
        <is>
          <t>Apply vendor patches</t>
        </is>
      </c>
      <c r="P701" s="188" t="inlineStr">
        <is>
          <t>See CVE details</t>
        </is>
      </c>
      <c r="Q701" s="188" t="inlineStr">
        <is>
          <t>P3</t>
        </is>
      </c>
      <c r="R701" s="188" t="inlineStr">
        <is>
          <t>🚨 URGENT: Apply vendor patches immediately | 🔒 Isolate affected systems if patch unavailable | 🛡️ Enable additional monitoring/IDS rules</t>
        </is>
      </c>
      <c r="S701" s="188" t="inlineStr">
        <is>
          <t>CVE - IP enrichment n/a</t>
        </is>
      </c>
      <c r="T701" s="188" t="n">
        <v>0</v>
      </c>
      <c r="U701" s="188" t="n">
        <v>0</v>
      </c>
      <c r="V701" s="188" t="inlineStr">
        <is>
          <t>T1190:Exploit Public-Facing Application</t>
        </is>
      </c>
      <c r="W701" s="188" t="n">
        <v>1</v>
      </c>
      <c r="X701" s="188" t="inlineStr">
        <is>
          <t>LOW (40%)</t>
        </is>
      </c>
      <c r="Y701" s="188" t="inlineStr">
        <is>
          <t>UNLIKELY</t>
        </is>
      </c>
      <c r="Z701" s="188" t="inlineStr">
        <is>
          <t>CHECK_VENDOR</t>
        </is>
      </c>
      <c r="AA701" s="188" t="inlineStr">
        <is>
          <t>https://nvd.nist.gov/vuln/detail/CVE-2026-22371</t>
        </is>
      </c>
      <c r="AB701" s="188" t="inlineStr">
        <is>
          <t>NONE</t>
        </is>
      </c>
      <c r="AC701" s="188" t="n">
        <v>0</v>
      </c>
      <c r="AD701" s="188" t="inlineStr"/>
    </row>
    <row r="702">
      <c r="A702" s="188" t="inlineStr">
        <is>
          <t>CVE</t>
        </is>
      </c>
      <c r="B702" s="188" t="inlineStr">
        <is>
          <t>CVE-2026-22372</t>
        </is>
      </c>
      <c r="C702" s="188" t="inlineStr">
        <is>
          <t>Improper Control of Filename for Include/Require Statement in PHP Program ('PHP Remote File Inclusion') vulnerability in AncoraThemes Isida isida allows PHP Local File Inclusion.This issue affects Isida: from n/a through &lt;= 1.4.2.</t>
        </is>
      </c>
      <c r="D702" s="188" t="n">
        <v>8.1</v>
      </c>
      <c r="E702" s="188" t="inlineStr">
        <is>
          <t>HIGH</t>
        </is>
      </c>
      <c r="F702" s="188" t="n">
        <v>2</v>
      </c>
      <c r="G702" s="188" t="n">
        <v>3</v>
      </c>
      <c r="H702" s="188" t="inlineStr">
        <is>
          <t>HIGH</t>
        </is>
      </c>
      <c r="I702" s="188" t="n">
        <v>14.1</v>
      </c>
      <c r="J702" s="188" t="inlineStr">
        <is>
          <t>NO</t>
        </is>
      </c>
      <c r="K702" s="188" t="inlineStr">
        <is>
          <t>https://nvd.nist.gov/vuln/detail/CVE-2026-22372</t>
        </is>
      </c>
      <c r="L702" s="188" t="inlineStr">
        <is>
          <t>2026-02-26 00:15</t>
        </is>
      </c>
      <c r="M702" s="188" t="inlineStr">
        <is>
          <t>CHECK_VENDOR</t>
        </is>
      </c>
      <c r="N702" s="188" t="inlineStr">
        <is>
          <t>See NVD references</t>
        </is>
      </c>
      <c r="O702" s="188" t="inlineStr">
        <is>
          <t>Apply vendor patches</t>
        </is>
      </c>
      <c r="P702" s="188" t="inlineStr">
        <is>
          <t>See CVE details</t>
        </is>
      </c>
      <c r="Q702" s="188" t="inlineStr">
        <is>
          <t>P3</t>
        </is>
      </c>
      <c r="R702" s="188" t="inlineStr">
        <is>
          <t>🚨 URGENT: Apply vendor patches immediately | 🔒 Isolate affected systems if patch unavailable | 🛡️ Enable additional monitoring/IDS rules</t>
        </is>
      </c>
      <c r="S702" s="188" t="inlineStr">
        <is>
          <t>CVE - IP enrichment n/a</t>
        </is>
      </c>
      <c r="T702" s="188" t="n">
        <v>0</v>
      </c>
      <c r="U702" s="188" t="n">
        <v>0</v>
      </c>
      <c r="V702" s="188" t="inlineStr">
        <is>
          <t>T1190:Exploit Public-Facing Application</t>
        </is>
      </c>
      <c r="W702" s="188" t="n">
        <v>1</v>
      </c>
      <c r="X702" s="188" t="inlineStr">
        <is>
          <t>LOW (40%)</t>
        </is>
      </c>
      <c r="Y702" s="188" t="inlineStr">
        <is>
          <t>UNLIKELY</t>
        </is>
      </c>
      <c r="Z702" s="188" t="inlineStr">
        <is>
          <t>CHECK_VENDOR</t>
        </is>
      </c>
      <c r="AA702" s="188" t="inlineStr">
        <is>
          <t>https://nvd.nist.gov/vuln/detail/CVE-2026-22372</t>
        </is>
      </c>
      <c r="AB702" s="188" t="inlineStr">
        <is>
          <t>NONE</t>
        </is>
      </c>
      <c r="AC702" s="188" t="n">
        <v>0</v>
      </c>
      <c r="AD702" s="188" t="inlineStr"/>
    </row>
    <row r="703">
      <c r="A703" s="188" t="inlineStr">
        <is>
          <t>CVE</t>
        </is>
      </c>
      <c r="B703" s="188" t="inlineStr">
        <is>
          <t>CVE-2026-22373</t>
        </is>
      </c>
      <c r="C703" s="188" t="inlineStr">
        <is>
          <t>Improper Control of Filename for Include/Require Statement in PHP Program ('PHP Remote File Inclusion') vulnerability in AncoraThemes Fooddy fooddy allows PHP Local File Inclusion.This issue affects Fooddy: from n/a through &lt;= 1.3.10.</t>
        </is>
      </c>
      <c r="D703" s="188" t="n">
        <v>8.1</v>
      </c>
      <c r="E703" s="188" t="inlineStr">
        <is>
          <t>HIGH</t>
        </is>
      </c>
      <c r="F703" s="188" t="n">
        <v>2</v>
      </c>
      <c r="G703" s="188" t="n">
        <v>3</v>
      </c>
      <c r="H703" s="188" t="inlineStr">
        <is>
          <t>HIGH</t>
        </is>
      </c>
      <c r="I703" s="188" t="n">
        <v>14.1</v>
      </c>
      <c r="J703" s="188" t="inlineStr">
        <is>
          <t>NO</t>
        </is>
      </c>
      <c r="K703" s="188" t="inlineStr">
        <is>
          <t>https://nvd.nist.gov/vuln/detail/CVE-2026-22373</t>
        </is>
      </c>
      <c r="L703" s="188" t="inlineStr">
        <is>
          <t>2026-02-26 00:15</t>
        </is>
      </c>
      <c r="M703" s="188" t="inlineStr">
        <is>
          <t>CHECK_VENDOR</t>
        </is>
      </c>
      <c r="N703" s="188" t="inlineStr">
        <is>
          <t>See NVD references</t>
        </is>
      </c>
      <c r="O703" s="188" t="inlineStr">
        <is>
          <t>Apply vendor patches</t>
        </is>
      </c>
      <c r="P703" s="188" t="inlineStr">
        <is>
          <t>See CVE details</t>
        </is>
      </c>
      <c r="Q703" s="188" t="inlineStr">
        <is>
          <t>P3</t>
        </is>
      </c>
      <c r="R703" s="188" t="inlineStr">
        <is>
          <t>🚨 URGENT: Apply vendor patches immediately | 🔒 Isolate affected systems if patch unavailable | 🛡️ Enable additional monitoring/IDS rules</t>
        </is>
      </c>
      <c r="S703" s="188" t="inlineStr">
        <is>
          <t>CVE - IP enrichment n/a</t>
        </is>
      </c>
      <c r="T703" s="188" t="n">
        <v>0</v>
      </c>
      <c r="U703" s="188" t="n">
        <v>0</v>
      </c>
      <c r="V703" s="188" t="inlineStr">
        <is>
          <t>T1190:Exploit Public-Facing Application</t>
        </is>
      </c>
      <c r="W703" s="188" t="n">
        <v>1</v>
      </c>
      <c r="X703" s="188" t="inlineStr">
        <is>
          <t>LOW (40%)</t>
        </is>
      </c>
      <c r="Y703" s="188" t="inlineStr">
        <is>
          <t>UNLIKELY</t>
        </is>
      </c>
      <c r="Z703" s="188" t="inlineStr">
        <is>
          <t>CHECK_VENDOR</t>
        </is>
      </c>
      <c r="AA703" s="188" t="inlineStr">
        <is>
          <t>https://nvd.nist.gov/vuln/detail/CVE-2026-22373</t>
        </is>
      </c>
      <c r="AB703" s="188" t="inlineStr">
        <is>
          <t>NONE</t>
        </is>
      </c>
      <c r="AC703" s="188" t="n">
        <v>0</v>
      </c>
      <c r="AD703" s="188" t="inlineStr"/>
    </row>
    <row r="704">
      <c r="A704" s="188" t="inlineStr">
        <is>
          <t>CVE</t>
        </is>
      </c>
      <c r="B704" s="188" t="inlineStr">
        <is>
          <t>CVE-2026-22374</t>
        </is>
      </c>
      <c r="C704" s="188" t="inlineStr">
        <is>
          <t>Improper Control of Filename for Include/Require Statement in PHP Program ('PHP Remote File Inclusion') vulnerability in AncoraThemes Zio Alberto zioalberto allows PHP Local File Inclusion.This issue affects Zio Alberto: from n/a through &lt;= 1.2.2.</t>
        </is>
      </c>
      <c r="D704" s="188" t="n">
        <v>8.1</v>
      </c>
      <c r="E704" s="188" t="inlineStr">
        <is>
          <t>HIGH</t>
        </is>
      </c>
      <c r="F704" s="188" t="n">
        <v>2</v>
      </c>
      <c r="G704" s="188" t="n">
        <v>3</v>
      </c>
      <c r="H704" s="188" t="inlineStr">
        <is>
          <t>HIGH</t>
        </is>
      </c>
      <c r="I704" s="188" t="n">
        <v>14.1</v>
      </c>
      <c r="J704" s="188" t="inlineStr">
        <is>
          <t>NO</t>
        </is>
      </c>
      <c r="K704" s="188" t="inlineStr">
        <is>
          <t>https://nvd.nist.gov/vuln/detail/CVE-2026-22374</t>
        </is>
      </c>
      <c r="L704" s="188" t="inlineStr">
        <is>
          <t>2026-02-26 00:15</t>
        </is>
      </c>
      <c r="M704" s="188" t="inlineStr">
        <is>
          <t>CHECK_VENDOR</t>
        </is>
      </c>
      <c r="N704" s="188" t="inlineStr">
        <is>
          <t>See NVD references</t>
        </is>
      </c>
      <c r="O704" s="188" t="inlineStr">
        <is>
          <t>Apply vendor patches</t>
        </is>
      </c>
      <c r="P704" s="188" t="inlineStr">
        <is>
          <t>See CVE details</t>
        </is>
      </c>
      <c r="Q704" s="188" t="inlineStr">
        <is>
          <t>P3</t>
        </is>
      </c>
      <c r="R704" s="188" t="inlineStr">
        <is>
          <t>🚨 URGENT: Apply vendor patches immediately | 🔒 Isolate affected systems if patch unavailable | 🛡️ Enable additional monitoring/IDS rules</t>
        </is>
      </c>
      <c r="S704" s="188" t="inlineStr">
        <is>
          <t>CVE - IP enrichment n/a</t>
        </is>
      </c>
      <c r="T704" s="188" t="n">
        <v>0</v>
      </c>
      <c r="U704" s="188" t="n">
        <v>0</v>
      </c>
      <c r="V704" s="188" t="inlineStr">
        <is>
          <t>T1190:Exploit Public-Facing Application</t>
        </is>
      </c>
      <c r="W704" s="188" t="n">
        <v>1</v>
      </c>
      <c r="X704" s="188" t="inlineStr">
        <is>
          <t>LOW (40%)</t>
        </is>
      </c>
      <c r="Y704" s="188" t="inlineStr">
        <is>
          <t>UNLIKELY</t>
        </is>
      </c>
      <c r="Z704" s="188" t="inlineStr">
        <is>
          <t>CHECK_VENDOR</t>
        </is>
      </c>
      <c r="AA704" s="188" t="inlineStr">
        <is>
          <t>https://nvd.nist.gov/vuln/detail/CVE-2026-22374</t>
        </is>
      </c>
      <c r="AB704" s="188" t="inlineStr">
        <is>
          <t>NONE</t>
        </is>
      </c>
      <c r="AC704" s="188" t="n">
        <v>0</v>
      </c>
      <c r="AD704" s="188" t="inlineStr"/>
    </row>
    <row r="705">
      <c r="A705" s="188" t="inlineStr">
        <is>
          <t>CVE</t>
        </is>
      </c>
      <c r="B705" s="188" t="inlineStr">
        <is>
          <t>CVE-2026-22375</t>
        </is>
      </c>
      <c r="C705" s="188" t="inlineStr">
        <is>
          <t>Improper Control of Filename for Include/Require Statement in PHP Program ('PHP Remote File Inclusion') vulnerability in AncoraThemes Impacto Patronus impacto-patronus allows PHP Local File Inclusion.This issue affects Impacto Patronus: from n/a through &lt;= 1.2.3.</t>
        </is>
      </c>
      <c r="D705" s="188" t="n">
        <v>8.1</v>
      </c>
      <c r="E705" s="188" t="inlineStr">
        <is>
          <t>HIGH</t>
        </is>
      </c>
      <c r="F705" s="188" t="n">
        <v>2</v>
      </c>
      <c r="G705" s="188" t="n">
        <v>3</v>
      </c>
      <c r="H705" s="188" t="inlineStr">
        <is>
          <t>HIGH</t>
        </is>
      </c>
      <c r="I705" s="188" t="n">
        <v>14.1</v>
      </c>
      <c r="J705" s="188" t="inlineStr">
        <is>
          <t>NO</t>
        </is>
      </c>
      <c r="K705" s="188" t="inlineStr">
        <is>
          <t>https://nvd.nist.gov/vuln/detail/CVE-2026-22375</t>
        </is>
      </c>
      <c r="L705" s="188" t="inlineStr">
        <is>
          <t>2026-02-26 00:15</t>
        </is>
      </c>
      <c r="M705" s="188" t="inlineStr">
        <is>
          <t>CHECK_VENDOR</t>
        </is>
      </c>
      <c r="N705" s="188" t="inlineStr">
        <is>
          <t>See NVD references</t>
        </is>
      </c>
      <c r="O705" s="188" t="inlineStr">
        <is>
          <t>Apply vendor patches</t>
        </is>
      </c>
      <c r="P705" s="188" t="inlineStr">
        <is>
          <t>See CVE details</t>
        </is>
      </c>
      <c r="Q705" s="188" t="inlineStr">
        <is>
          <t>P3</t>
        </is>
      </c>
      <c r="R705" s="188" t="inlineStr">
        <is>
          <t>🚨 URGENT: Apply vendor patches immediately | 🔒 Isolate affected systems if patch unavailable | 🛡️ Enable additional monitoring/IDS rules</t>
        </is>
      </c>
      <c r="S705" s="188" t="inlineStr">
        <is>
          <t>CVE - IP enrichment n/a</t>
        </is>
      </c>
      <c r="T705" s="188" t="n">
        <v>0</v>
      </c>
      <c r="U705" s="188" t="n">
        <v>0</v>
      </c>
      <c r="V705" s="188" t="inlineStr">
        <is>
          <t>T1190:Exploit Public-Facing Application</t>
        </is>
      </c>
      <c r="W705" s="188" t="n">
        <v>1</v>
      </c>
      <c r="X705" s="188" t="inlineStr">
        <is>
          <t>LOW (40%)</t>
        </is>
      </c>
      <c r="Y705" s="188" t="inlineStr">
        <is>
          <t>UNLIKELY</t>
        </is>
      </c>
      <c r="Z705" s="188" t="inlineStr">
        <is>
          <t>CHECK_VENDOR</t>
        </is>
      </c>
      <c r="AA705" s="188" t="inlineStr">
        <is>
          <t>https://nvd.nist.gov/vuln/detail/CVE-2026-22375</t>
        </is>
      </c>
      <c r="AB705" s="188" t="inlineStr">
        <is>
          <t>NONE</t>
        </is>
      </c>
      <c r="AC705" s="188" t="n">
        <v>0</v>
      </c>
      <c r="AD705" s="188" t="inlineStr"/>
    </row>
    <row r="706">
      <c r="A706" s="188" t="inlineStr">
        <is>
          <t>CVE</t>
        </is>
      </c>
      <c r="B706" s="188" t="inlineStr">
        <is>
          <t>CVE-2026-22376</t>
        </is>
      </c>
      <c r="C706" s="188" t="inlineStr">
        <is>
          <t>Improper Control of Filename for Include/Require Statement in PHP Program ('PHP Remote File Inclusion') vulnerability in AncoraThemes Parkivia parkivia allows PHP Local File Inclusion.This issue affects Parkivia: from n/a through &lt;= 1.1.9.</t>
        </is>
      </c>
      <c r="D706" s="188" t="n">
        <v>8.1</v>
      </c>
      <c r="E706" s="188" t="inlineStr">
        <is>
          <t>HIGH</t>
        </is>
      </c>
      <c r="F706" s="188" t="n">
        <v>2</v>
      </c>
      <c r="G706" s="188" t="n">
        <v>3</v>
      </c>
      <c r="H706" s="188" t="inlineStr">
        <is>
          <t>HIGH</t>
        </is>
      </c>
      <c r="I706" s="188" t="n">
        <v>14.1</v>
      </c>
      <c r="J706" s="188" t="inlineStr">
        <is>
          <t>NO</t>
        </is>
      </c>
      <c r="K706" s="188" t="inlineStr">
        <is>
          <t>https://nvd.nist.gov/vuln/detail/CVE-2026-22376</t>
        </is>
      </c>
      <c r="L706" s="188" t="inlineStr">
        <is>
          <t>2026-02-26 00:15</t>
        </is>
      </c>
      <c r="M706" s="188" t="inlineStr">
        <is>
          <t>CHECK_VENDOR</t>
        </is>
      </c>
      <c r="N706" s="188" t="inlineStr">
        <is>
          <t>See NVD references</t>
        </is>
      </c>
      <c r="O706" s="188" t="inlineStr">
        <is>
          <t>Apply vendor patches</t>
        </is>
      </c>
      <c r="P706" s="188" t="inlineStr">
        <is>
          <t>See CVE details</t>
        </is>
      </c>
      <c r="Q706" s="188" t="inlineStr">
        <is>
          <t>P3</t>
        </is>
      </c>
      <c r="R706" s="188" t="inlineStr">
        <is>
          <t>🚨 URGENT: Apply vendor patches immediately | 🔒 Isolate affected systems if patch unavailable | 🛡️ Enable additional monitoring/IDS rules</t>
        </is>
      </c>
      <c r="S706" s="188" t="inlineStr">
        <is>
          <t>CVE - IP enrichment n/a</t>
        </is>
      </c>
      <c r="T706" s="188" t="n">
        <v>0.0011</v>
      </c>
      <c r="U706" s="188" t="n">
        <v>0.3022</v>
      </c>
      <c r="V706" s="188" t="inlineStr">
        <is>
          <t>T1190:Exploit Public-Facing Application</t>
        </is>
      </c>
      <c r="W706" s="188" t="n">
        <v>1</v>
      </c>
      <c r="X706" s="188" t="inlineStr">
        <is>
          <t>LOW (40%)</t>
        </is>
      </c>
      <c r="Y706" s="188" t="inlineStr">
        <is>
          <t>UNLIKELY</t>
        </is>
      </c>
      <c r="Z706" s="188" t="inlineStr">
        <is>
          <t>CHECK_VENDOR</t>
        </is>
      </c>
      <c r="AA706" s="188" t="inlineStr">
        <is>
          <t>https://nvd.nist.gov/vuln/detail/CVE-2026-22376</t>
        </is>
      </c>
      <c r="AB706" s="188" t="inlineStr">
        <is>
          <t>NONE</t>
        </is>
      </c>
      <c r="AC706" s="188" t="n">
        <v>0</v>
      </c>
      <c r="AD706" s="188" t="inlineStr"/>
    </row>
    <row r="707">
      <c r="A707" s="188" t="inlineStr">
        <is>
          <t>CVE</t>
        </is>
      </c>
      <c r="B707" s="188" t="inlineStr">
        <is>
          <t>CVE-2026-22377</t>
        </is>
      </c>
      <c r="C707" s="188" t="inlineStr">
        <is>
          <t>Improper Control of Filename for Include/Require Statement in PHP Program ('PHP Remote File Inclusion') vulnerability in AncoraThemes Saveo saveo allows PHP Local File Inclusion.This issue affects Saveo: from n/a through &lt;= 1.1.2.</t>
        </is>
      </c>
      <c r="D707" s="188" t="n">
        <v>8.1</v>
      </c>
      <c r="E707" s="188" t="inlineStr">
        <is>
          <t>HIGH</t>
        </is>
      </c>
      <c r="F707" s="188" t="n">
        <v>2</v>
      </c>
      <c r="G707" s="188" t="n">
        <v>3</v>
      </c>
      <c r="H707" s="188" t="inlineStr">
        <is>
          <t>HIGH</t>
        </is>
      </c>
      <c r="I707" s="188" t="n">
        <v>14.1</v>
      </c>
      <c r="J707" s="188" t="inlineStr">
        <is>
          <t>NO</t>
        </is>
      </c>
      <c r="K707" s="188" t="inlineStr">
        <is>
          <t>https://nvd.nist.gov/vuln/detail/CVE-2026-22377</t>
        </is>
      </c>
      <c r="L707" s="188" t="inlineStr">
        <is>
          <t>2026-02-26 00:15</t>
        </is>
      </c>
      <c r="M707" s="188" t="inlineStr">
        <is>
          <t>CHECK_VENDOR</t>
        </is>
      </c>
      <c r="N707" s="188" t="inlineStr">
        <is>
          <t>See NVD references</t>
        </is>
      </c>
      <c r="O707" s="188" t="inlineStr">
        <is>
          <t>Apply vendor patches</t>
        </is>
      </c>
      <c r="P707" s="188" t="inlineStr">
        <is>
          <t>See CVE details</t>
        </is>
      </c>
      <c r="Q707" s="188" t="inlineStr">
        <is>
          <t>P3</t>
        </is>
      </c>
      <c r="R707" s="188" t="inlineStr">
        <is>
          <t>🚨 URGENT: Apply vendor patches immediately | 🔒 Isolate affected systems if patch unavailable | 🛡️ Enable additional monitoring/IDS rules</t>
        </is>
      </c>
      <c r="S707" s="188" t="inlineStr">
        <is>
          <t>CVE - IP enrichment n/a</t>
        </is>
      </c>
      <c r="T707" s="188" t="n">
        <v>0.0011</v>
      </c>
      <c r="U707" s="188" t="n">
        <v>0.3022</v>
      </c>
      <c r="V707" s="188" t="inlineStr">
        <is>
          <t>T1190:Exploit Public-Facing Application</t>
        </is>
      </c>
      <c r="W707" s="188" t="n">
        <v>1</v>
      </c>
      <c r="X707" s="188" t="inlineStr">
        <is>
          <t>LOW (40%)</t>
        </is>
      </c>
      <c r="Y707" s="188" t="inlineStr">
        <is>
          <t>UNLIKELY</t>
        </is>
      </c>
      <c r="Z707" s="188" t="inlineStr">
        <is>
          <t>CHECK_VENDOR</t>
        </is>
      </c>
      <c r="AA707" s="188" t="inlineStr">
        <is>
          <t>https://nvd.nist.gov/vuln/detail/CVE-2026-22377</t>
        </is>
      </c>
      <c r="AB707" s="188" t="inlineStr">
        <is>
          <t>NONE</t>
        </is>
      </c>
      <c r="AC707" s="188" t="n">
        <v>0</v>
      </c>
      <c r="AD707" s="188" t="inlineStr"/>
    </row>
    <row r="708">
      <c r="A708" s="188" t="inlineStr">
        <is>
          <t>CVE</t>
        </is>
      </c>
      <c r="B708" s="188" t="inlineStr">
        <is>
          <t>CVE-2026-22378</t>
        </is>
      </c>
      <c r="C708" s="188" t="inlineStr">
        <is>
          <t>Improper Control of Filename for Include/Require Statement in PHP Program ('PHP Remote File Inclusion') vulnerability in AncoraThemes Blabber blabber allows PHP Local File Inclusion.This issue affects Blabber: from n/a through &lt;= 1.7.0.</t>
        </is>
      </c>
      <c r="D708" s="188" t="n">
        <v>8.1</v>
      </c>
      <c r="E708" s="188" t="inlineStr">
        <is>
          <t>HIGH</t>
        </is>
      </c>
      <c r="F708" s="188" t="n">
        <v>2</v>
      </c>
      <c r="G708" s="188" t="n">
        <v>3</v>
      </c>
      <c r="H708" s="188" t="inlineStr">
        <is>
          <t>HIGH</t>
        </is>
      </c>
      <c r="I708" s="188" t="n">
        <v>14.1</v>
      </c>
      <c r="J708" s="188" t="inlineStr">
        <is>
          <t>NO</t>
        </is>
      </c>
      <c r="K708" s="188" t="inlineStr">
        <is>
          <t>https://nvd.nist.gov/vuln/detail/CVE-2026-22378</t>
        </is>
      </c>
      <c r="L708" s="188" t="inlineStr">
        <is>
          <t>2026-02-26 00:15</t>
        </is>
      </c>
      <c r="M708" s="188" t="inlineStr">
        <is>
          <t>CHECK_VENDOR</t>
        </is>
      </c>
      <c r="N708" s="188" t="inlineStr">
        <is>
          <t>See NVD references</t>
        </is>
      </c>
      <c r="O708" s="188" t="inlineStr">
        <is>
          <t>Apply vendor patches</t>
        </is>
      </c>
      <c r="P708" s="188" t="inlineStr">
        <is>
          <t>See CVE details</t>
        </is>
      </c>
      <c r="Q708" s="188" t="inlineStr">
        <is>
          <t>P3</t>
        </is>
      </c>
      <c r="R708" s="188" t="inlineStr">
        <is>
          <t>🚨 URGENT: Apply vendor patches immediately | 🔒 Isolate affected systems if patch unavailable | 🛡️ Enable additional monitoring/IDS rules</t>
        </is>
      </c>
      <c r="S708" s="188" t="inlineStr">
        <is>
          <t>CVE - IP enrichment n/a</t>
        </is>
      </c>
      <c r="T708" s="188" t="n">
        <v>0</v>
      </c>
      <c r="U708" s="188" t="n">
        <v>0</v>
      </c>
      <c r="V708" s="188" t="inlineStr">
        <is>
          <t>T1190:Exploit Public-Facing Application</t>
        </is>
      </c>
      <c r="W708" s="188" t="n">
        <v>1</v>
      </c>
      <c r="X708" s="188" t="inlineStr">
        <is>
          <t>LOW (40%)</t>
        </is>
      </c>
      <c r="Y708" s="188" t="inlineStr">
        <is>
          <t>UNLIKELY</t>
        </is>
      </c>
      <c r="Z708" s="188" t="inlineStr">
        <is>
          <t>CHECK_VENDOR</t>
        </is>
      </c>
      <c r="AA708" s="188" t="inlineStr">
        <is>
          <t>https://nvd.nist.gov/vuln/detail/CVE-2026-22378</t>
        </is>
      </c>
      <c r="AB708" s="188" t="inlineStr">
        <is>
          <t>NONE</t>
        </is>
      </c>
      <c r="AC708" s="188" t="n">
        <v>0</v>
      </c>
      <c r="AD708" s="188" t="inlineStr"/>
    </row>
    <row r="709">
      <c r="A709" s="188" t="inlineStr">
        <is>
          <t>CVE</t>
        </is>
      </c>
      <c r="B709" s="188" t="inlineStr">
        <is>
          <t>CVE-2026-22379</t>
        </is>
      </c>
      <c r="C709" s="188" t="inlineStr">
        <is>
          <t>Improper Control of Filename for Include/Require Statement in PHP Program ('PHP Remote File Inclusion') vulnerability in AncoraThemes Netmix netmix allows PHP Local File Inclusion.This issue affects Netmix: from n/a through &lt;= 1.0.10.</t>
        </is>
      </c>
      <c r="D709" s="188" t="n">
        <v>8.1</v>
      </c>
      <c r="E709" s="188" t="inlineStr">
        <is>
          <t>HIGH</t>
        </is>
      </c>
      <c r="F709" s="188" t="n">
        <v>2</v>
      </c>
      <c r="G709" s="188" t="n">
        <v>3</v>
      </c>
      <c r="H709" s="188" t="inlineStr">
        <is>
          <t>HIGH</t>
        </is>
      </c>
      <c r="I709" s="188" t="n">
        <v>14.1</v>
      </c>
      <c r="J709" s="188" t="inlineStr">
        <is>
          <t>NO</t>
        </is>
      </c>
      <c r="K709" s="188" t="inlineStr">
        <is>
          <t>https://nvd.nist.gov/vuln/detail/CVE-2026-22379</t>
        </is>
      </c>
      <c r="L709" s="188" t="inlineStr">
        <is>
          <t>2026-02-26 00:15</t>
        </is>
      </c>
      <c r="M709" s="188" t="inlineStr">
        <is>
          <t>CHECK_VENDOR</t>
        </is>
      </c>
      <c r="N709" s="188" t="inlineStr">
        <is>
          <t>See NVD references</t>
        </is>
      </c>
      <c r="O709" s="188" t="inlineStr">
        <is>
          <t>Apply vendor patches</t>
        </is>
      </c>
      <c r="P709" s="188" t="inlineStr">
        <is>
          <t>See CVE details</t>
        </is>
      </c>
      <c r="Q709" s="188" t="inlineStr">
        <is>
          <t>P3</t>
        </is>
      </c>
      <c r="R709" s="188" t="inlineStr">
        <is>
          <t>🚨 URGENT: Apply vendor patches immediately | 🔒 Isolate affected systems if patch unavailable | 🛡️ Enable additional monitoring/IDS rules</t>
        </is>
      </c>
      <c r="S709" s="188" t="inlineStr">
        <is>
          <t>CVE - IP enrichment n/a</t>
        </is>
      </c>
      <c r="T709" s="188" t="n">
        <v>0</v>
      </c>
      <c r="U709" s="188" t="n">
        <v>0</v>
      </c>
      <c r="V709" s="188" t="inlineStr">
        <is>
          <t>T1190:Exploit Public-Facing Application</t>
        </is>
      </c>
      <c r="W709" s="188" t="n">
        <v>1</v>
      </c>
      <c r="X709" s="188" t="inlineStr">
        <is>
          <t>LOW (40%)</t>
        </is>
      </c>
      <c r="Y709" s="188" t="inlineStr">
        <is>
          <t>UNLIKELY</t>
        </is>
      </c>
      <c r="Z709" s="188" t="inlineStr">
        <is>
          <t>CHECK_VENDOR</t>
        </is>
      </c>
      <c r="AA709" s="188" t="inlineStr">
        <is>
          <t>https://nvd.nist.gov/vuln/detail/CVE-2026-22379</t>
        </is>
      </c>
      <c r="AB709" s="188" t="inlineStr">
        <is>
          <t>NONE</t>
        </is>
      </c>
      <c r="AC709" s="188" t="n">
        <v>0</v>
      </c>
      <c r="AD709" s="188" t="inlineStr"/>
    </row>
    <row r="710">
      <c r="A710" s="188" t="inlineStr">
        <is>
          <t>CVE</t>
        </is>
      </c>
      <c r="B710" s="188" t="inlineStr">
        <is>
          <t>CVE-2026-22380</t>
        </is>
      </c>
      <c r="C710" s="188" t="inlineStr">
        <is>
          <t>Improper Control of Filename for Include/Require Statement in PHP Program ('PHP Remote File Inclusion') vulnerability in AncoraThemes UnlimHost unlimhost allows PHP Local File Inclusion.This issue affects UnlimHost: from n/a through &lt;= 1.2.3.</t>
        </is>
      </c>
      <c r="D710" s="188" t="n">
        <v>8.1</v>
      </c>
      <c r="E710" s="188" t="inlineStr">
        <is>
          <t>HIGH</t>
        </is>
      </c>
      <c r="F710" s="188" t="n">
        <v>2</v>
      </c>
      <c r="G710" s="188" t="n">
        <v>3</v>
      </c>
      <c r="H710" s="188" t="inlineStr">
        <is>
          <t>HIGH</t>
        </is>
      </c>
      <c r="I710" s="188" t="n">
        <v>14.1</v>
      </c>
      <c r="J710" s="188" t="inlineStr">
        <is>
          <t>NO</t>
        </is>
      </c>
      <c r="K710" s="188" t="inlineStr">
        <is>
          <t>https://nvd.nist.gov/vuln/detail/CVE-2026-22380</t>
        </is>
      </c>
      <c r="L710" s="188" t="inlineStr">
        <is>
          <t>2026-02-26 00:15</t>
        </is>
      </c>
      <c r="M710" s="188" t="inlineStr">
        <is>
          <t>CHECK_VENDOR</t>
        </is>
      </c>
      <c r="N710" s="188" t="inlineStr">
        <is>
          <t>See NVD references</t>
        </is>
      </c>
      <c r="O710" s="188" t="inlineStr">
        <is>
          <t>Apply vendor patches</t>
        </is>
      </c>
      <c r="P710" s="188" t="inlineStr">
        <is>
          <t>See CVE details</t>
        </is>
      </c>
      <c r="Q710" s="188" t="inlineStr">
        <is>
          <t>P3</t>
        </is>
      </c>
      <c r="R710" s="188" t="inlineStr">
        <is>
          <t>🚨 URGENT: Apply vendor patches immediately | 🔒 Isolate affected systems if patch unavailable | 🛡️ Enable additional monitoring/IDS rules</t>
        </is>
      </c>
      <c r="S710" s="188" t="inlineStr">
        <is>
          <t>CVE - IP enrichment n/a</t>
        </is>
      </c>
      <c r="T710" s="188" t="n">
        <v>0</v>
      </c>
      <c r="U710" s="188" t="n">
        <v>0</v>
      </c>
      <c r="V710" s="188" t="inlineStr">
        <is>
          <t>T1190:Exploit Public-Facing Application</t>
        </is>
      </c>
      <c r="W710" s="188" t="n">
        <v>1</v>
      </c>
      <c r="X710" s="188" t="inlineStr">
        <is>
          <t>LOW (40%)</t>
        </is>
      </c>
      <c r="Y710" s="188" t="inlineStr">
        <is>
          <t>UNLIKELY</t>
        </is>
      </c>
      <c r="Z710" s="188" t="inlineStr">
        <is>
          <t>CHECK_VENDOR</t>
        </is>
      </c>
      <c r="AA710" s="188" t="inlineStr">
        <is>
          <t>https://nvd.nist.gov/vuln/detail/CVE-2026-22380</t>
        </is>
      </c>
      <c r="AB710" s="188" t="inlineStr">
        <is>
          <t>NONE</t>
        </is>
      </c>
      <c r="AC710" s="188" t="n">
        <v>0</v>
      </c>
      <c r="AD710" s="188" t="inlineStr"/>
    </row>
    <row r="711">
      <c r="A711" s="188" t="inlineStr">
        <is>
          <t>CVE</t>
        </is>
      </c>
      <c r="B711" s="188" t="inlineStr">
        <is>
          <t>CVE-2026-22381</t>
        </is>
      </c>
      <c r="C711" s="188" t="inlineStr">
        <is>
          <t>Improper Control of Filename for Include/Require Statement in PHP Program ('PHP Remote File Inclusion') vulnerability in Mikado-Themes PawFriends - Pet Shop and Veterinary WordPress Theme pawfriends allows PHP Local File Inclusion.This issue affects PawFriends - Pet Shop and Veterinary WordPress Theme: from n/a through &lt;= 1.3.</t>
        </is>
      </c>
      <c r="D711" s="188" t="n">
        <v>8.1</v>
      </c>
      <c r="E711" s="188" t="inlineStr">
        <is>
          <t>HIGH</t>
        </is>
      </c>
      <c r="F711" s="188" t="n">
        <v>2</v>
      </c>
      <c r="G711" s="188" t="n">
        <v>3</v>
      </c>
      <c r="H711" s="188" t="inlineStr">
        <is>
          <t>HIGH</t>
        </is>
      </c>
      <c r="I711" s="188" t="n">
        <v>14.1</v>
      </c>
      <c r="J711" s="188" t="inlineStr">
        <is>
          <t>NO</t>
        </is>
      </c>
      <c r="K711" s="188" t="inlineStr">
        <is>
          <t>https://nvd.nist.gov/vuln/detail/CVE-2026-22381</t>
        </is>
      </c>
      <c r="L711" s="188" t="inlineStr">
        <is>
          <t>2026-02-26 00:15</t>
        </is>
      </c>
      <c r="M711" s="188" t="inlineStr">
        <is>
          <t>CHECK_VENDOR</t>
        </is>
      </c>
      <c r="N711" s="188" t="inlineStr">
        <is>
          <t>See NVD references</t>
        </is>
      </c>
      <c r="O711" s="188" t="inlineStr">
        <is>
          <t>Apply vendor patches</t>
        </is>
      </c>
      <c r="P711" s="188" t="inlineStr">
        <is>
          <t>See CVE details</t>
        </is>
      </c>
      <c r="Q711" s="188" t="inlineStr">
        <is>
          <t>P3</t>
        </is>
      </c>
      <c r="R711" s="188" t="inlineStr">
        <is>
          <t>🚨 URGENT: Apply vendor patches immediately | 🔒 Isolate affected systems if patch unavailable | 🛡️ Enable additional monitoring/IDS rules</t>
        </is>
      </c>
      <c r="S711" s="188" t="inlineStr">
        <is>
          <t>CVE - IP enrichment n/a</t>
        </is>
      </c>
      <c r="T711" s="188" t="n">
        <v>0</v>
      </c>
      <c r="U711" s="188" t="n">
        <v>0</v>
      </c>
      <c r="V711" s="188" t="inlineStr">
        <is>
          <t>T1190:Exploit Public-Facing Application</t>
        </is>
      </c>
      <c r="W711" s="188" t="n">
        <v>1</v>
      </c>
      <c r="X711" s="188" t="inlineStr">
        <is>
          <t>LOW (40%)</t>
        </is>
      </c>
      <c r="Y711" s="188" t="inlineStr">
        <is>
          <t>UNLIKELY</t>
        </is>
      </c>
      <c r="Z711" s="188" t="inlineStr">
        <is>
          <t>CHECK_VENDOR</t>
        </is>
      </c>
      <c r="AA711" s="188" t="inlineStr">
        <is>
          <t>https://nvd.nist.gov/vuln/detail/CVE-2026-22381</t>
        </is>
      </c>
      <c r="AB711" s="188" t="inlineStr">
        <is>
          <t>NONE</t>
        </is>
      </c>
      <c r="AC711" s="188" t="n">
        <v>0</v>
      </c>
      <c r="AD711" s="188" t="inlineStr"/>
    </row>
    <row r="712">
      <c r="A712" s="187" t="inlineStr">
        <is>
          <t>CVE</t>
        </is>
      </c>
      <c r="B712" s="187" t="inlineStr">
        <is>
          <t>CVE-2026-22383</t>
        </is>
      </c>
      <c r="C712" s="187" t="inlineStr">
        <is>
          <t>Authorization Bypass Through User-Controlled Key vulnerability in Mikado-Themes PawFriends - Pet Shop and Veterinary WordPress Theme pawfriends allows Exploiting Incorrectly Configured Access Control Security Levels.This issue affects PawFriends - Pet Shop and Veterinary WordPress Theme: from n/a through &lt;= 1.3.</t>
        </is>
      </c>
      <c r="D712" s="187" t="n">
        <v>5.4</v>
      </c>
      <c r="E712" s="187" t="inlineStr">
        <is>
          <t>MEDIUM</t>
        </is>
      </c>
      <c r="F712" s="187" t="n">
        <v>2</v>
      </c>
      <c r="G712" s="187" t="n">
        <v>2</v>
      </c>
      <c r="H712" s="187" t="inlineStr">
        <is>
          <t>MEDIUM</t>
        </is>
      </c>
      <c r="I712" s="187" t="n">
        <v>9.4</v>
      </c>
      <c r="J712" s="187" t="inlineStr">
        <is>
          <t>NO</t>
        </is>
      </c>
      <c r="K712" s="187" t="inlineStr">
        <is>
          <t>https://nvd.nist.gov/vuln/detail/CVE-2026-22383</t>
        </is>
      </c>
      <c r="L712" s="187" t="inlineStr">
        <is>
          <t>2026-02-26 00:15</t>
        </is>
      </c>
      <c r="M712" s="187" t="inlineStr">
        <is>
          <t>CHECK_VENDOR</t>
        </is>
      </c>
      <c r="N712" s="187" t="inlineStr">
        <is>
          <t>See NVD references</t>
        </is>
      </c>
      <c r="O712" s="187" t="inlineStr">
        <is>
          <t>Apply vendor patches</t>
        </is>
      </c>
      <c r="P712" s="187" t="inlineStr">
        <is>
          <t>See CVE details</t>
        </is>
      </c>
      <c r="Q712" s="187" t="inlineStr">
        <is>
          <t>P4</t>
        </is>
      </c>
      <c r="R712" s="187" t="inlineStr">
        <is>
          <t>📅 Schedule patch deployment within 30 days | 🔍 Monitor for exploitation attempts</t>
        </is>
      </c>
      <c r="S712" s="187" t="inlineStr">
        <is>
          <t>CVE - IP enrichment n/a</t>
        </is>
      </c>
      <c r="T712" s="187" t="n">
        <v>0</v>
      </c>
      <c r="U712" s="187" t="n">
        <v>0</v>
      </c>
      <c r="V712" s="187" t="inlineStr">
        <is>
          <t>T1190:Exploit Public-Facing Application</t>
        </is>
      </c>
      <c r="W712" s="187" t="n">
        <v>1</v>
      </c>
      <c r="X712" s="187" t="inlineStr">
        <is>
          <t>LOW (40%)</t>
        </is>
      </c>
      <c r="Y712" s="187" t="inlineStr">
        <is>
          <t>UNLIKELY</t>
        </is>
      </c>
      <c r="Z712" s="187" t="inlineStr">
        <is>
          <t>CHECK_VENDOR</t>
        </is>
      </c>
      <c r="AA712" s="187" t="inlineStr">
        <is>
          <t>https://nvd.nist.gov/vuln/detail/CVE-2026-22383</t>
        </is>
      </c>
      <c r="AB712" s="187" t="inlineStr">
        <is>
          <t>NONE</t>
        </is>
      </c>
      <c r="AC712" s="187" t="n">
        <v>0</v>
      </c>
      <c r="AD712" s="187" t="inlineStr"/>
    </row>
    <row r="713">
      <c r="A713" s="188" t="inlineStr">
        <is>
          <t>CVE</t>
        </is>
      </c>
      <c r="B713" s="188" t="inlineStr">
        <is>
          <t>CVE-2026-22384</t>
        </is>
      </c>
      <c r="C713" s="188" t="inlineStr">
        <is>
          <t>Deserialization of Untrusted Data vulnerability in leafcolor Applay - Shortcodes applay-shortcodes allows Object Injection.This issue affects Applay - Shortcodes: from n/a through &lt;= 3.7.</t>
        </is>
      </c>
      <c r="D713" s="188" t="n">
        <v>8.800000000000001</v>
      </c>
      <c r="E713" s="188" t="inlineStr">
        <is>
          <t>HIGH</t>
        </is>
      </c>
      <c r="F713" s="188" t="n">
        <v>2</v>
      </c>
      <c r="G713" s="188" t="n">
        <v>3</v>
      </c>
      <c r="H713" s="188" t="inlineStr">
        <is>
          <t>HIGH</t>
        </is>
      </c>
      <c r="I713" s="188" t="n">
        <v>14.8</v>
      </c>
      <c r="J713" s="188" t="inlineStr">
        <is>
          <t>NO</t>
        </is>
      </c>
      <c r="K713" s="188" t="inlineStr">
        <is>
          <t>https://nvd.nist.gov/vuln/detail/CVE-2026-22384</t>
        </is>
      </c>
      <c r="L713" s="188" t="inlineStr">
        <is>
          <t>2026-02-26 00:15</t>
        </is>
      </c>
      <c r="M713" s="188" t="inlineStr">
        <is>
          <t>CHECK_VENDOR</t>
        </is>
      </c>
      <c r="N713" s="188" t="inlineStr">
        <is>
          <t>See NVD references</t>
        </is>
      </c>
      <c r="O713" s="188" t="inlineStr">
        <is>
          <t>Apply vendor patches</t>
        </is>
      </c>
      <c r="P713" s="188" t="inlineStr">
        <is>
          <t>See CVE details</t>
        </is>
      </c>
      <c r="Q713" s="188" t="inlineStr">
        <is>
          <t>P3</t>
        </is>
      </c>
      <c r="R713" s="188" t="inlineStr">
        <is>
          <t>🚨 URGENT: Apply vendor patches immediately | 🔒 Isolate affected systems if patch unavailable | 🛡️ Enable additional monitoring/IDS rules</t>
        </is>
      </c>
      <c r="S713" s="188" t="inlineStr">
        <is>
          <t>CVE - IP enrichment n/a</t>
        </is>
      </c>
      <c r="T713" s="188" t="n">
        <v>0</v>
      </c>
      <c r="U713" s="188" t="n">
        <v>0</v>
      </c>
      <c r="V713" s="188" t="inlineStr">
        <is>
          <t>T1059:Command and Scripting Interpreter</t>
        </is>
      </c>
      <c r="W713" s="188" t="n">
        <v>1</v>
      </c>
      <c r="X713" s="188" t="inlineStr">
        <is>
          <t>LOW (40%)</t>
        </is>
      </c>
      <c r="Y713" s="188" t="inlineStr">
        <is>
          <t>UNLIKELY</t>
        </is>
      </c>
      <c r="Z713" s="188" t="inlineStr">
        <is>
          <t>CHECK_VENDOR</t>
        </is>
      </c>
      <c r="AA713" s="188" t="inlineStr">
        <is>
          <t>https://nvd.nist.gov/vuln/detail/CVE-2026-22384</t>
        </is>
      </c>
      <c r="AB713" s="188" t="inlineStr">
        <is>
          <t>NONE</t>
        </is>
      </c>
      <c r="AC713" s="188" t="n">
        <v>0</v>
      </c>
      <c r="AD713" s="188" t="inlineStr"/>
    </row>
    <row r="714">
      <c r="A714" s="190" t="inlineStr">
        <is>
          <t>CVE</t>
        </is>
      </c>
      <c r="B714" s="190" t="inlineStr">
        <is>
          <t>CVE-2026-22885</t>
        </is>
      </c>
      <c r="C714" s="190" t="inlineStr">
        <is>
          <t>A vulnerability exists in EnOcean SmartServer IoT version 4.60.009 and 
prior, which would allow remote attackers, in the LON IP-852 management 
messages, to send specially crafted IP-852 messages resulting in a 
memory leak from the program's memory.</t>
        </is>
      </c>
      <c r="D714" s="190" t="n">
        <v>3.7</v>
      </c>
      <c r="E714" s="190" t="inlineStr">
        <is>
          <t>LOW</t>
        </is>
      </c>
      <c r="F714" s="190" t="n">
        <v>2</v>
      </c>
      <c r="G714" s="190" t="n">
        <v>1</v>
      </c>
      <c r="H714" s="190" t="inlineStr">
        <is>
          <t>LOW</t>
        </is>
      </c>
      <c r="I714" s="190" t="n">
        <v>5.7</v>
      </c>
      <c r="J714" s="190" t="inlineStr">
        <is>
          <t>NO</t>
        </is>
      </c>
      <c r="K714" s="190" t="inlineStr">
        <is>
          <t>https://nvd.nist.gov/vuln/detail/CVE-2026-22885</t>
        </is>
      </c>
      <c r="L714" s="190" t="inlineStr">
        <is>
          <t>2026-02-26 00:15</t>
        </is>
      </c>
      <c r="M714" s="190" t="inlineStr">
        <is>
          <t>CHECK_VENDOR</t>
        </is>
      </c>
      <c r="N714" s="190" t="inlineStr">
        <is>
          <t>See NVD references</t>
        </is>
      </c>
      <c r="O714" s="190" t="inlineStr">
        <is>
          <t>Apply vendor patches</t>
        </is>
      </c>
      <c r="P714" s="190" t="inlineStr">
        <is>
          <t>See CVE details</t>
        </is>
      </c>
      <c r="Q714" s="190" t="inlineStr">
        <is>
          <t>P4</t>
        </is>
      </c>
      <c r="R714" s="190" t="inlineStr">
        <is>
          <t>📅 Schedule patch deployment within 30 days | 🔍 Monitor for exploitation attempts</t>
        </is>
      </c>
      <c r="S714" s="190" t="inlineStr">
        <is>
          <t>CVE - IP enrichment n/a</t>
        </is>
      </c>
      <c r="T714" s="190" t="n">
        <v>0</v>
      </c>
      <c r="U714" s="190" t="n">
        <v>0</v>
      </c>
      <c r="V714" s="190" t="inlineStr">
        <is>
          <t>T1203:Exploitation for Client Execution</t>
        </is>
      </c>
      <c r="W714" s="190" t="n">
        <v>1</v>
      </c>
      <c r="X714" s="190" t="inlineStr">
        <is>
          <t>LOW (40%)</t>
        </is>
      </c>
      <c r="Y714" s="190" t="inlineStr">
        <is>
          <t>UNLIKELY</t>
        </is>
      </c>
      <c r="Z714" s="190" t="inlineStr">
        <is>
          <t>CHECK_VENDOR</t>
        </is>
      </c>
      <c r="AA714" s="190" t="inlineStr">
        <is>
          <t>https://nvd.nist.gov/vuln/detail/CVE-2026-22885</t>
        </is>
      </c>
      <c r="AB714" s="190" t="inlineStr">
        <is>
          <t>NONE</t>
        </is>
      </c>
      <c r="AC714" s="190" t="n">
        <v>0</v>
      </c>
      <c r="AD714" s="190" t="inlineStr"/>
    </row>
    <row r="715">
      <c r="A715" s="188" t="inlineStr">
        <is>
          <t>CVE</t>
        </is>
      </c>
      <c r="B715" s="188" t="inlineStr">
        <is>
          <t>CVE-2026-24941</t>
        </is>
      </c>
      <c r="C715" s="188" t="inlineStr">
        <is>
          <t>Missing Authorization vulnerability in wpjobportal WP Job Portal wp-job-portal allows Exploiting Incorrectly Configured Access Control Security Levels.This issue affects WP Job Portal: from n/a through &lt;= 2.4.4.</t>
        </is>
      </c>
      <c r="D715" s="188" t="n">
        <v>7.5</v>
      </c>
      <c r="E715" s="188" t="inlineStr">
        <is>
          <t>HIGH</t>
        </is>
      </c>
      <c r="F715" s="188" t="n">
        <v>2</v>
      </c>
      <c r="G715" s="188" t="n">
        <v>3</v>
      </c>
      <c r="H715" s="188" t="inlineStr">
        <is>
          <t>HIGH</t>
        </is>
      </c>
      <c r="I715" s="188" t="n">
        <v>13.5</v>
      </c>
      <c r="J715" s="188" t="inlineStr">
        <is>
          <t>NO</t>
        </is>
      </c>
      <c r="K715" s="188" t="inlineStr">
        <is>
          <t>https://nvd.nist.gov/vuln/detail/CVE-2026-24941</t>
        </is>
      </c>
      <c r="L715" s="188" t="inlineStr">
        <is>
          <t>2026-02-26 00:15</t>
        </is>
      </c>
      <c r="M715" s="188" t="inlineStr">
        <is>
          <t>CHECK_VENDOR</t>
        </is>
      </c>
      <c r="N715" s="188" t="inlineStr">
        <is>
          <t>See NVD references</t>
        </is>
      </c>
      <c r="O715" s="188" t="inlineStr">
        <is>
          <t>Apply vendor patches</t>
        </is>
      </c>
      <c r="P715" s="188" t="inlineStr">
        <is>
          <t>See CVE details</t>
        </is>
      </c>
      <c r="Q715" s="188" t="inlineStr">
        <is>
          <t>P3</t>
        </is>
      </c>
      <c r="R715" s="188" t="inlineStr">
        <is>
          <t>🚨 URGENT: Apply vendor patches immediately | 🔒 Isolate affected systems if patch unavailable | 🛡️ Enable additional monitoring/IDS rules</t>
        </is>
      </c>
      <c r="S715" s="188" t="inlineStr">
        <is>
          <t>CVE - IP enrichment n/a</t>
        </is>
      </c>
      <c r="T715" s="188" t="n">
        <v>0</v>
      </c>
      <c r="U715" s="188" t="n">
        <v>0</v>
      </c>
      <c r="V715" s="188" t="inlineStr">
        <is>
          <t>T1190:Exploit Public-Facing Application</t>
        </is>
      </c>
      <c r="W715" s="188" t="n">
        <v>1</v>
      </c>
      <c r="X715" s="188" t="inlineStr">
        <is>
          <t>LOW (40%)</t>
        </is>
      </c>
      <c r="Y715" s="188" t="inlineStr">
        <is>
          <t>UNLIKELY</t>
        </is>
      </c>
      <c r="Z715" s="188" t="inlineStr">
        <is>
          <t>CHECK_VENDOR</t>
        </is>
      </c>
      <c r="AA715" s="188" t="inlineStr">
        <is>
          <t>https://nvd.nist.gov/vuln/detail/CVE-2026-24941</t>
        </is>
      </c>
      <c r="AB715" s="188" t="inlineStr">
        <is>
          <t>NONE</t>
        </is>
      </c>
      <c r="AC715" s="188" t="n">
        <v>0</v>
      </c>
      <c r="AD715" s="188" t="inlineStr"/>
    </row>
    <row r="716">
      <c r="A716" s="188" t="inlineStr">
        <is>
          <t>CVE</t>
        </is>
      </c>
      <c r="B716" s="188" t="inlineStr">
        <is>
          <t>CVE-2026-24943</t>
        </is>
      </c>
      <c r="C716" s="188" t="inlineStr">
        <is>
          <t>Improper Neutralization of Input During Web Page Generation ('Cross-site Scripting') vulnerability in ThemeGoods Grand Conference grandconference allows Reflected XSS.This issue affects Grand Conference: from n/a through &lt;= 5.3.4.</t>
        </is>
      </c>
      <c r="D716" s="188" t="n">
        <v>7.1</v>
      </c>
      <c r="E716" s="188" t="inlineStr">
        <is>
          <t>HIGH</t>
        </is>
      </c>
      <c r="F716" s="188" t="n">
        <v>2</v>
      </c>
      <c r="G716" s="188" t="n">
        <v>3</v>
      </c>
      <c r="H716" s="188" t="inlineStr">
        <is>
          <t>HIGH</t>
        </is>
      </c>
      <c r="I716" s="188" t="n">
        <v>13.1</v>
      </c>
      <c r="J716" s="188" t="inlineStr">
        <is>
          <t>NO</t>
        </is>
      </c>
      <c r="K716" s="188" t="inlineStr">
        <is>
          <t>https://nvd.nist.gov/vuln/detail/CVE-2026-24943</t>
        </is>
      </c>
      <c r="L716" s="188" t="inlineStr">
        <is>
          <t>2026-02-26 00:15</t>
        </is>
      </c>
      <c r="M716" s="188" t="inlineStr">
        <is>
          <t>CHECK_VENDOR</t>
        </is>
      </c>
      <c r="N716" s="188" t="inlineStr">
        <is>
          <t>See NVD references</t>
        </is>
      </c>
      <c r="O716" s="188" t="inlineStr">
        <is>
          <t>Apply vendor patches</t>
        </is>
      </c>
      <c r="P716" s="188" t="inlineStr">
        <is>
          <t>See CVE details</t>
        </is>
      </c>
      <c r="Q716" s="188" t="inlineStr">
        <is>
          <t>P3</t>
        </is>
      </c>
      <c r="R716" s="188" t="inlineStr">
        <is>
          <t>🚨 URGENT: Apply vendor patches immediately | 🔒 Isolate affected systems if patch unavailable | 🛡️ Enable additional monitoring/IDS rules</t>
        </is>
      </c>
      <c r="S716" s="188" t="inlineStr">
        <is>
          <t>CVE - IP enrichment n/a</t>
        </is>
      </c>
      <c r="T716" s="188" t="n">
        <v>0</v>
      </c>
      <c r="U716" s="188" t="n">
        <v>0</v>
      </c>
      <c r="V716" s="188" t="inlineStr">
        <is>
          <t>T1189:Drive-by Compromise</t>
        </is>
      </c>
      <c r="W716" s="188" t="n">
        <v>1</v>
      </c>
      <c r="X716" s="188" t="inlineStr">
        <is>
          <t>LOW (40%)</t>
        </is>
      </c>
      <c r="Y716" s="188" t="inlineStr">
        <is>
          <t>UNLIKELY</t>
        </is>
      </c>
      <c r="Z716" s="188" t="inlineStr">
        <is>
          <t>CHECK_VENDOR</t>
        </is>
      </c>
      <c r="AA716" s="188" t="inlineStr">
        <is>
          <t>https://nvd.nist.gov/vuln/detail/CVE-2026-24943</t>
        </is>
      </c>
      <c r="AB716" s="188" t="inlineStr">
        <is>
          <t>NONE</t>
        </is>
      </c>
      <c r="AC716" s="188" t="n">
        <v>0</v>
      </c>
      <c r="AD716" s="188" t="inlineStr"/>
    </row>
    <row r="717">
      <c r="A717" s="187" t="inlineStr">
        <is>
          <t>CVE</t>
        </is>
      </c>
      <c r="B717" s="187" t="inlineStr">
        <is>
          <t>CVE-2026-24944</t>
        </is>
      </c>
      <c r="C717" s="187" t="inlineStr">
        <is>
          <t>Missing Authorization vulnerability in weDevs Subscribe2 subscribe2 allows Exploiting Incorrectly Configured Access Control Security Levels.This issue affects Subscribe2: from n/a through &lt;= 10.44.</t>
        </is>
      </c>
      <c r="D717" s="187" t="n">
        <v>6.5</v>
      </c>
      <c r="E717" s="187" t="inlineStr">
        <is>
          <t>MEDIUM</t>
        </is>
      </c>
      <c r="F717" s="187" t="n">
        <v>2</v>
      </c>
      <c r="G717" s="187" t="n">
        <v>2</v>
      </c>
      <c r="H717" s="187" t="inlineStr">
        <is>
          <t>MEDIUM</t>
        </is>
      </c>
      <c r="I717" s="187" t="n">
        <v>10.5</v>
      </c>
      <c r="J717" s="187" t="inlineStr">
        <is>
          <t>NO</t>
        </is>
      </c>
      <c r="K717" s="187" t="inlineStr">
        <is>
          <t>https://nvd.nist.gov/vuln/detail/CVE-2026-24944</t>
        </is>
      </c>
      <c r="L717" s="187" t="inlineStr">
        <is>
          <t>2026-02-26 00:15</t>
        </is>
      </c>
      <c r="M717" s="187" t="inlineStr">
        <is>
          <t>CHECK_VENDOR</t>
        </is>
      </c>
      <c r="N717" s="187" t="inlineStr">
        <is>
          <t>See NVD references</t>
        </is>
      </c>
      <c r="O717" s="187" t="inlineStr">
        <is>
          <t>Apply vendor patches</t>
        </is>
      </c>
      <c r="P717" s="187" t="inlineStr">
        <is>
          <t>See CVE details</t>
        </is>
      </c>
      <c r="Q717" s="187" t="inlineStr">
        <is>
          <t>P4</t>
        </is>
      </c>
      <c r="R717" s="187" t="inlineStr">
        <is>
          <t>📅 Schedule patch deployment within 30 days | 🔍 Monitor for exploitation attempts</t>
        </is>
      </c>
      <c r="S717" s="187" t="inlineStr">
        <is>
          <t>CVE - IP enrichment n/a</t>
        </is>
      </c>
      <c r="T717" s="187" t="n">
        <v>0</v>
      </c>
      <c r="U717" s="187" t="n">
        <v>0</v>
      </c>
      <c r="V717" s="187" t="inlineStr">
        <is>
          <t>T1190:Exploit Public-Facing Application</t>
        </is>
      </c>
      <c r="W717" s="187" t="n">
        <v>1</v>
      </c>
      <c r="X717" s="187" t="inlineStr">
        <is>
          <t>LOW (40%)</t>
        </is>
      </c>
      <c r="Y717" s="187" t="inlineStr">
        <is>
          <t>UNLIKELY</t>
        </is>
      </c>
      <c r="Z717" s="187" t="inlineStr">
        <is>
          <t>CHECK_VENDOR</t>
        </is>
      </c>
      <c r="AA717" s="187" t="inlineStr">
        <is>
          <t>https://nvd.nist.gov/vuln/detail/CVE-2026-24944</t>
        </is>
      </c>
      <c r="AB717" s="187" t="inlineStr">
        <is>
          <t>NONE</t>
        </is>
      </c>
      <c r="AC717" s="187" t="n">
        <v>0</v>
      </c>
      <c r="AD717" s="187" t="inlineStr"/>
    </row>
    <row r="718">
      <c r="A718" s="188" t="inlineStr">
        <is>
          <t>CVE</t>
        </is>
      </c>
      <c r="B718" s="188" t="inlineStr">
        <is>
          <t>CVE-2026-24946</t>
        </is>
      </c>
      <c r="C718" s="188" t="inlineStr">
        <is>
          <t>Missing Authorization vulnerability in tychesoftwares Print Invoice &amp; Delivery Notes for WooCommerce woocommerce-delivery-notes allows Exploiting Incorrectly Configured Access Control Security Levels.This issue affects Print Invoice &amp; Delivery Notes for WooCommerce: from n/a through &lt;= 5.8.0.</t>
        </is>
      </c>
      <c r="D718" s="188" t="n">
        <v>8.5</v>
      </c>
      <c r="E718" s="188" t="inlineStr">
        <is>
          <t>HIGH</t>
        </is>
      </c>
      <c r="F718" s="188" t="n">
        <v>2</v>
      </c>
      <c r="G718" s="188" t="n">
        <v>3</v>
      </c>
      <c r="H718" s="188" t="inlineStr">
        <is>
          <t>HIGH</t>
        </is>
      </c>
      <c r="I718" s="188" t="n">
        <v>14.5</v>
      </c>
      <c r="J718" s="188" t="inlineStr">
        <is>
          <t>NO</t>
        </is>
      </c>
      <c r="K718" s="188" t="inlineStr">
        <is>
          <t>https://nvd.nist.gov/vuln/detail/CVE-2026-24946</t>
        </is>
      </c>
      <c r="L718" s="188" t="inlineStr">
        <is>
          <t>2026-02-26 00:15</t>
        </is>
      </c>
      <c r="M718" s="188" t="inlineStr">
        <is>
          <t>CHECK_VENDOR</t>
        </is>
      </c>
      <c r="N718" s="188" t="inlineStr">
        <is>
          <t>See NVD references</t>
        </is>
      </c>
      <c r="O718" s="188" t="inlineStr">
        <is>
          <t>Apply vendor patches</t>
        </is>
      </c>
      <c r="P718" s="188" t="inlineStr">
        <is>
          <t>See CVE details</t>
        </is>
      </c>
      <c r="Q718" s="188" t="inlineStr">
        <is>
          <t>P3</t>
        </is>
      </c>
      <c r="R718" s="188" t="inlineStr">
        <is>
          <t>🚨 URGENT: Apply vendor patches immediately | 🔒 Isolate affected systems if patch unavailable | 🛡️ Enable additional monitoring/IDS rules</t>
        </is>
      </c>
      <c r="S718" s="188" t="inlineStr">
        <is>
          <t>CVE - IP enrichment n/a</t>
        </is>
      </c>
      <c r="T718" s="188" t="n">
        <v>0</v>
      </c>
      <c r="U718" s="188" t="n">
        <v>0</v>
      </c>
      <c r="V718" s="188" t="inlineStr">
        <is>
          <t>T1190:Exploit Public-Facing Application</t>
        </is>
      </c>
      <c r="W718" s="188" t="n">
        <v>1</v>
      </c>
      <c r="X718" s="188" t="inlineStr">
        <is>
          <t>LOW (40%)</t>
        </is>
      </c>
      <c r="Y718" s="188" t="inlineStr">
        <is>
          <t>UNLIKELY</t>
        </is>
      </c>
      <c r="Z718" s="188" t="inlineStr">
        <is>
          <t>CHECK_VENDOR</t>
        </is>
      </c>
      <c r="AA718" s="188" t="inlineStr">
        <is>
          <t>https://nvd.nist.gov/vuln/detail/CVE-2026-24946</t>
        </is>
      </c>
      <c r="AB718" s="188" t="inlineStr">
        <is>
          <t>NONE</t>
        </is>
      </c>
      <c r="AC718" s="188" t="n">
        <v>0</v>
      </c>
      <c r="AD718" s="188" t="inlineStr"/>
    </row>
    <row r="719">
      <c r="A719" s="188" t="inlineStr">
        <is>
          <t>CVE</t>
        </is>
      </c>
      <c r="B719" s="188" t="inlineStr">
        <is>
          <t>CVE-2026-24948</t>
        </is>
      </c>
      <c r="C719" s="188" t="inlineStr">
        <is>
          <t>Improper Neutralization of Input During Web Page Generation ('Cross-site Scripting') vulnerability in fox-themes Reflector reflector-plugins allows Reflected XSS.This issue affects Reflector: from n/a through &lt;= 1.2.2.</t>
        </is>
      </c>
      <c r="D719" s="188" t="n">
        <v>7.1</v>
      </c>
      <c r="E719" s="188" t="inlineStr">
        <is>
          <t>HIGH</t>
        </is>
      </c>
      <c r="F719" s="188" t="n">
        <v>2</v>
      </c>
      <c r="G719" s="188" t="n">
        <v>3</v>
      </c>
      <c r="H719" s="188" t="inlineStr">
        <is>
          <t>HIGH</t>
        </is>
      </c>
      <c r="I719" s="188" t="n">
        <v>13.1</v>
      </c>
      <c r="J719" s="188" t="inlineStr">
        <is>
          <t>NO</t>
        </is>
      </c>
      <c r="K719" s="188" t="inlineStr">
        <is>
          <t>https://nvd.nist.gov/vuln/detail/CVE-2026-24948</t>
        </is>
      </c>
      <c r="L719" s="188" t="inlineStr">
        <is>
          <t>2026-02-26 00:15</t>
        </is>
      </c>
      <c r="M719" s="188" t="inlineStr">
        <is>
          <t>CHECK_VENDOR</t>
        </is>
      </c>
      <c r="N719" s="188" t="inlineStr">
        <is>
          <t>See NVD references</t>
        </is>
      </c>
      <c r="O719" s="188" t="inlineStr">
        <is>
          <t>Apply vendor patches</t>
        </is>
      </c>
      <c r="P719" s="188" t="inlineStr">
        <is>
          <t>See CVE details</t>
        </is>
      </c>
      <c r="Q719" s="188" t="inlineStr">
        <is>
          <t>P3</t>
        </is>
      </c>
      <c r="R719" s="188" t="inlineStr">
        <is>
          <t>🚨 URGENT: Apply vendor patches immediately | 🔒 Isolate affected systems if patch unavailable | 🛡️ Enable additional monitoring/IDS rules</t>
        </is>
      </c>
      <c r="S719" s="188" t="inlineStr">
        <is>
          <t>CVE - IP enrichment n/a</t>
        </is>
      </c>
      <c r="T719" s="188" t="n">
        <v>0</v>
      </c>
      <c r="U719" s="188" t="n">
        <v>0</v>
      </c>
      <c r="V719" s="188" t="inlineStr">
        <is>
          <t>T1189:Drive-by Compromise</t>
        </is>
      </c>
      <c r="W719" s="188" t="n">
        <v>1</v>
      </c>
      <c r="X719" s="188" t="inlineStr">
        <is>
          <t>LOW (40%)</t>
        </is>
      </c>
      <c r="Y719" s="188" t="inlineStr">
        <is>
          <t>UNLIKELY</t>
        </is>
      </c>
      <c r="Z719" s="188" t="inlineStr">
        <is>
          <t>CHECK_VENDOR</t>
        </is>
      </c>
      <c r="AA719" s="188" t="inlineStr">
        <is>
          <t>https://nvd.nist.gov/vuln/detail/CVE-2026-24948</t>
        </is>
      </c>
      <c r="AB719" s="188" t="inlineStr">
        <is>
          <t>NONE</t>
        </is>
      </c>
      <c r="AC719" s="188" t="n">
        <v>0</v>
      </c>
      <c r="AD719" s="188" t="inlineStr"/>
    </row>
    <row r="720">
      <c r="A720" s="188" t="inlineStr">
        <is>
          <t>CVE</t>
        </is>
      </c>
      <c r="B720" s="188" t="inlineStr">
        <is>
          <t>CVE-2026-24949</t>
        </is>
      </c>
      <c r="C720" s="188" t="inlineStr">
        <is>
          <t>Improper Neutralization of Input During Web Page Generation ('Cross-site Scripting') vulnerability in ThemeGoods PhotoMe photome allows DOM-Based XSS.This issue affects PhotoMe: from n/a through &lt;= 5.7.1.</t>
        </is>
      </c>
      <c r="D720" s="188" t="n">
        <v>7.1</v>
      </c>
      <c r="E720" s="188" t="inlineStr">
        <is>
          <t>HIGH</t>
        </is>
      </c>
      <c r="F720" s="188" t="n">
        <v>2</v>
      </c>
      <c r="G720" s="188" t="n">
        <v>3</v>
      </c>
      <c r="H720" s="188" t="inlineStr">
        <is>
          <t>HIGH</t>
        </is>
      </c>
      <c r="I720" s="188" t="n">
        <v>13.1</v>
      </c>
      <c r="J720" s="188" t="inlineStr">
        <is>
          <t>NO</t>
        </is>
      </c>
      <c r="K720" s="188" t="inlineStr">
        <is>
          <t>https://nvd.nist.gov/vuln/detail/CVE-2026-24949</t>
        </is>
      </c>
      <c r="L720" s="188" t="inlineStr">
        <is>
          <t>2026-02-26 00:15</t>
        </is>
      </c>
      <c r="M720" s="188" t="inlineStr">
        <is>
          <t>CHECK_VENDOR</t>
        </is>
      </c>
      <c r="N720" s="188" t="inlineStr">
        <is>
          <t>See NVD references</t>
        </is>
      </c>
      <c r="O720" s="188" t="inlineStr">
        <is>
          <t>Apply vendor patches</t>
        </is>
      </c>
      <c r="P720" s="188" t="inlineStr">
        <is>
          <t>See CVE details</t>
        </is>
      </c>
      <c r="Q720" s="188" t="inlineStr">
        <is>
          <t>P3</t>
        </is>
      </c>
      <c r="R720" s="188" t="inlineStr">
        <is>
          <t>🚨 URGENT: Apply vendor patches immediately | 🔒 Isolate affected systems if patch unavailable | 🛡️ Enable additional monitoring/IDS rules</t>
        </is>
      </c>
      <c r="S720" s="188" t="inlineStr">
        <is>
          <t>CVE - IP enrichment n/a</t>
        </is>
      </c>
      <c r="T720" s="188" t="n">
        <v>0</v>
      </c>
      <c r="U720" s="188" t="n">
        <v>0</v>
      </c>
      <c r="V720" s="188" t="inlineStr">
        <is>
          <t>T1189:Drive-by Compromise</t>
        </is>
      </c>
      <c r="W720" s="188" t="n">
        <v>1</v>
      </c>
      <c r="X720" s="188" t="inlineStr">
        <is>
          <t>LOW (40%)</t>
        </is>
      </c>
      <c r="Y720" s="188" t="inlineStr">
        <is>
          <t>UNLIKELY</t>
        </is>
      </c>
      <c r="Z720" s="188" t="inlineStr">
        <is>
          <t>CHECK_VENDOR</t>
        </is>
      </c>
      <c r="AA720" s="188" t="inlineStr">
        <is>
          <t>https://nvd.nist.gov/vuln/detail/CVE-2026-24949</t>
        </is>
      </c>
      <c r="AB720" s="188" t="inlineStr">
        <is>
          <t>NONE</t>
        </is>
      </c>
      <c r="AC720" s="188" t="n">
        <v>0</v>
      </c>
      <c r="AD720" s="188" t="inlineStr"/>
    </row>
    <row r="721">
      <c r="A721" s="188" t="inlineStr">
        <is>
          <t>CVE</t>
        </is>
      </c>
      <c r="B721" s="188" t="inlineStr">
        <is>
          <t>CVE-2026-24950</t>
        </is>
      </c>
      <c r="C721" s="188" t="inlineStr">
        <is>
          <t>Authorization Bypass Through User-Controlled Key vulnerability in themeplugs Authorsy authorsy allows Exploiting Incorrectly Configured Access Control Security Levels.This issue affects Authorsy: from n/a through &lt;= 1.0.6.</t>
        </is>
      </c>
      <c r="D721" s="188" t="n">
        <v>7.5</v>
      </c>
      <c r="E721" s="188" t="inlineStr">
        <is>
          <t>HIGH</t>
        </is>
      </c>
      <c r="F721" s="188" t="n">
        <v>2</v>
      </c>
      <c r="G721" s="188" t="n">
        <v>3</v>
      </c>
      <c r="H721" s="188" t="inlineStr">
        <is>
          <t>HIGH</t>
        </is>
      </c>
      <c r="I721" s="188" t="n">
        <v>13.5</v>
      </c>
      <c r="J721" s="188" t="inlineStr">
        <is>
          <t>NO</t>
        </is>
      </c>
      <c r="K721" s="188" t="inlineStr">
        <is>
          <t>https://nvd.nist.gov/vuln/detail/CVE-2026-24950</t>
        </is>
      </c>
      <c r="L721" s="188" t="inlineStr">
        <is>
          <t>2026-02-26 00:15</t>
        </is>
      </c>
      <c r="M721" s="188" t="inlineStr">
        <is>
          <t>CHECK_VENDOR</t>
        </is>
      </c>
      <c r="N721" s="188" t="inlineStr">
        <is>
          <t>See NVD references</t>
        </is>
      </c>
      <c r="O721" s="188" t="inlineStr">
        <is>
          <t>Apply vendor patches</t>
        </is>
      </c>
      <c r="P721" s="188" t="inlineStr">
        <is>
          <t>See CVE details</t>
        </is>
      </c>
      <c r="Q721" s="188" t="inlineStr">
        <is>
          <t>P3</t>
        </is>
      </c>
      <c r="R721" s="188" t="inlineStr">
        <is>
          <t>🚨 URGENT: Apply vendor patches immediately | 🔒 Isolate affected systems if patch unavailable | 🛡️ Enable additional monitoring/IDS rules</t>
        </is>
      </c>
      <c r="S721" s="188" t="inlineStr">
        <is>
          <t>CVE - IP enrichment n/a</t>
        </is>
      </c>
      <c r="T721" s="188" t="n">
        <v>0</v>
      </c>
      <c r="U721" s="188" t="n">
        <v>0</v>
      </c>
      <c r="V721" s="188" t="inlineStr">
        <is>
          <t>T1190:Exploit Public-Facing Application</t>
        </is>
      </c>
      <c r="W721" s="188" t="n">
        <v>1</v>
      </c>
      <c r="X721" s="188" t="inlineStr">
        <is>
          <t>LOW (40%)</t>
        </is>
      </c>
      <c r="Y721" s="188" t="inlineStr">
        <is>
          <t>UNLIKELY</t>
        </is>
      </c>
      <c r="Z721" s="188" t="inlineStr">
        <is>
          <t>CHECK_VENDOR</t>
        </is>
      </c>
      <c r="AA721" s="188" t="inlineStr">
        <is>
          <t>https://nvd.nist.gov/vuln/detail/CVE-2026-24950</t>
        </is>
      </c>
      <c r="AB721" s="188" t="inlineStr">
        <is>
          <t>NONE</t>
        </is>
      </c>
      <c r="AC721" s="188" t="n">
        <v>0</v>
      </c>
      <c r="AD721" s="188" t="inlineStr"/>
    </row>
    <row r="722">
      <c r="A722" s="187" t="inlineStr">
        <is>
          <t>CVE</t>
        </is>
      </c>
      <c r="B722" s="187" t="inlineStr">
        <is>
          <t>CVE-2026-24953</t>
        </is>
      </c>
      <c r="C722" s="187" t="inlineStr">
        <is>
          <t>Improper Limitation of a Pathname to a Restricted Directory ('Path Traversal') vulnerability in Mitchell Bennis Simple File List simple-file-list allows Path Traversal.This issue affects Simple File List: from n/a through &lt;= 6.1.15.</t>
        </is>
      </c>
      <c r="D722" s="187" t="n">
        <v>5</v>
      </c>
      <c r="E722" s="187" t="inlineStr">
        <is>
          <t>MEDIUM</t>
        </is>
      </c>
      <c r="F722" s="187" t="n">
        <v>2</v>
      </c>
      <c r="G722" s="187" t="n">
        <v>2</v>
      </c>
      <c r="H722" s="187" t="inlineStr">
        <is>
          <t>MEDIUM</t>
        </is>
      </c>
      <c r="I722" s="187" t="n">
        <v>9</v>
      </c>
      <c r="J722" s="187" t="inlineStr">
        <is>
          <t>NO</t>
        </is>
      </c>
      <c r="K722" s="187" t="inlineStr">
        <is>
          <t>https://nvd.nist.gov/vuln/detail/CVE-2026-24953</t>
        </is>
      </c>
      <c r="L722" s="187" t="inlineStr">
        <is>
          <t>2026-02-26 00:15</t>
        </is>
      </c>
      <c r="M722" s="187" t="inlineStr">
        <is>
          <t>CHECK_VENDOR</t>
        </is>
      </c>
      <c r="N722" s="187" t="inlineStr">
        <is>
          <t>See NVD references</t>
        </is>
      </c>
      <c r="O722" s="187" t="inlineStr">
        <is>
          <t>Apply vendor patches</t>
        </is>
      </c>
      <c r="P722" s="187" t="inlineStr">
        <is>
          <t>See CVE details</t>
        </is>
      </c>
      <c r="Q722" s="187" t="inlineStr">
        <is>
          <t>P4</t>
        </is>
      </c>
      <c r="R722" s="187" t="inlineStr">
        <is>
          <t>📅 Schedule patch deployment within 30 days | 🔍 Monitor for exploitation attempts</t>
        </is>
      </c>
      <c r="S722" s="187" t="inlineStr">
        <is>
          <t>CVE - IP enrichment n/a</t>
        </is>
      </c>
      <c r="T722" s="187" t="n">
        <v>0</v>
      </c>
      <c r="U722" s="187" t="n">
        <v>0</v>
      </c>
      <c r="V722" s="187" t="inlineStr">
        <is>
          <t>T1083:File and Directory Discovery</t>
        </is>
      </c>
      <c r="W722" s="187" t="n">
        <v>1</v>
      </c>
      <c r="X722" s="187" t="inlineStr">
        <is>
          <t>LOW (40%)</t>
        </is>
      </c>
      <c r="Y722" s="187" t="inlineStr">
        <is>
          <t>UNLIKELY</t>
        </is>
      </c>
      <c r="Z722" s="187" t="inlineStr">
        <is>
          <t>CHECK_VENDOR</t>
        </is>
      </c>
      <c r="AA722" s="187" t="inlineStr">
        <is>
          <t>https://nvd.nist.gov/vuln/detail/CVE-2026-24953</t>
        </is>
      </c>
      <c r="AB722" s="187" t="inlineStr">
        <is>
          <t>NONE</t>
        </is>
      </c>
      <c r="AC722" s="187" t="n">
        <v>0</v>
      </c>
      <c r="AD722" s="187" t="inlineStr"/>
    </row>
    <row r="723">
      <c r="A723" s="188" t="inlineStr">
        <is>
          <t>CVE</t>
        </is>
      </c>
      <c r="B723" s="188" t="inlineStr">
        <is>
          <t>CVE-2026-24955</t>
        </is>
      </c>
      <c r="C723" s="188" t="inlineStr">
        <is>
          <t>Improper Neutralization of Input During Web Page Generation ('Cross-site Scripting') vulnerability in fox-themes Whizz Plugins whizz-plugins allows Reflected XSS.This issue affects Whizz Plugins: from n/a through &lt;= 1.9.</t>
        </is>
      </c>
      <c r="D723" s="188" t="n">
        <v>7.1</v>
      </c>
      <c r="E723" s="188" t="inlineStr">
        <is>
          <t>HIGH</t>
        </is>
      </c>
      <c r="F723" s="188" t="n">
        <v>2</v>
      </c>
      <c r="G723" s="188" t="n">
        <v>3</v>
      </c>
      <c r="H723" s="188" t="inlineStr">
        <is>
          <t>HIGH</t>
        </is>
      </c>
      <c r="I723" s="188" t="n">
        <v>13.1</v>
      </c>
      <c r="J723" s="188" t="inlineStr">
        <is>
          <t>NO</t>
        </is>
      </c>
      <c r="K723" s="188" t="inlineStr">
        <is>
          <t>https://nvd.nist.gov/vuln/detail/CVE-2026-24955</t>
        </is>
      </c>
      <c r="L723" s="188" t="inlineStr">
        <is>
          <t>2026-02-26 00:15</t>
        </is>
      </c>
      <c r="M723" s="188" t="inlineStr">
        <is>
          <t>CHECK_VENDOR</t>
        </is>
      </c>
      <c r="N723" s="188" t="inlineStr">
        <is>
          <t>See NVD references</t>
        </is>
      </c>
      <c r="O723" s="188" t="inlineStr">
        <is>
          <t>Apply vendor patches</t>
        </is>
      </c>
      <c r="P723" s="188" t="inlineStr">
        <is>
          <t>See CVE details</t>
        </is>
      </c>
      <c r="Q723" s="188" t="inlineStr">
        <is>
          <t>P3</t>
        </is>
      </c>
      <c r="R723" s="188" t="inlineStr">
        <is>
          <t>🚨 URGENT: Apply vendor patches immediately | 🔒 Isolate affected systems if patch unavailable | 🛡️ Enable additional monitoring/IDS rules</t>
        </is>
      </c>
      <c r="S723" s="188" t="inlineStr">
        <is>
          <t>CVE - IP enrichment n/a</t>
        </is>
      </c>
      <c r="T723" s="188" t="n">
        <v>0</v>
      </c>
      <c r="U723" s="188" t="n">
        <v>0</v>
      </c>
      <c r="V723" s="188" t="inlineStr">
        <is>
          <t>T1189:Drive-by Compromise</t>
        </is>
      </c>
      <c r="W723" s="188" t="n">
        <v>1</v>
      </c>
      <c r="X723" s="188" t="inlineStr">
        <is>
          <t>LOW (40%)</t>
        </is>
      </c>
      <c r="Y723" s="188" t="inlineStr">
        <is>
          <t>UNLIKELY</t>
        </is>
      </c>
      <c r="Z723" s="188" t="inlineStr">
        <is>
          <t>CHECK_VENDOR</t>
        </is>
      </c>
      <c r="AA723" s="188" t="inlineStr">
        <is>
          <t>https://nvd.nist.gov/vuln/detail/CVE-2026-24955</t>
        </is>
      </c>
      <c r="AB723" s="188" t="inlineStr">
        <is>
          <t>NONE</t>
        </is>
      </c>
      <c r="AC723" s="188" t="n">
        <v>0</v>
      </c>
      <c r="AD723" s="188" t="inlineStr"/>
    </row>
    <row r="724">
      <c r="A724" s="189" t="inlineStr">
        <is>
          <t>CVE</t>
        </is>
      </c>
      <c r="B724" s="189" t="inlineStr">
        <is>
          <t>CVE-2026-24956</t>
        </is>
      </c>
      <c r="C724" s="189" t="inlineStr">
        <is>
          <t>Improper Neutralization of Special Elements used in an SQL Command ('SQL Injection') vulnerability in Shahjada Download Manager Addons for Elementor wpdm-elementor allows Blind SQL Injection.This issue affects Download Manager Addons for Elementor: from n/a through &lt;= 1.3.0.</t>
        </is>
      </c>
      <c r="D724" s="189" t="n">
        <v>9.300000000000001</v>
      </c>
      <c r="E724" s="189" t="inlineStr">
        <is>
          <t>CRITICAL</t>
        </is>
      </c>
      <c r="F724" s="189" t="n">
        <v>2</v>
      </c>
      <c r="G724" s="189" t="n">
        <v>3</v>
      </c>
      <c r="H724" s="189" t="inlineStr">
        <is>
          <t>HIGH</t>
        </is>
      </c>
      <c r="I724" s="189" t="n">
        <v>15.3</v>
      </c>
      <c r="J724" s="189" t="inlineStr">
        <is>
          <t>NO</t>
        </is>
      </c>
      <c r="K724" s="189" t="inlineStr">
        <is>
          <t>https://nvd.nist.gov/vuln/detail/CVE-2026-24956</t>
        </is>
      </c>
      <c r="L724" s="189" t="inlineStr">
        <is>
          <t>2026-02-26 00:15</t>
        </is>
      </c>
      <c r="M724" s="189" t="inlineStr">
        <is>
          <t>CHECK_VENDOR</t>
        </is>
      </c>
      <c r="N724" s="189" t="inlineStr">
        <is>
          <t>See NVD references</t>
        </is>
      </c>
      <c r="O724" s="189" t="inlineStr">
        <is>
          <t>Apply vendor patches</t>
        </is>
      </c>
      <c r="P724" s="189" t="inlineStr">
        <is>
          <t>See CVE details</t>
        </is>
      </c>
      <c r="Q724" s="189" t="inlineStr">
        <is>
          <t>P3</t>
        </is>
      </c>
      <c r="R724" s="189" t="inlineStr">
        <is>
          <t>🚨 URGENT: Apply vendor patches immediately | 🔒 Isolate affected systems if patch unavailable | 🛡️ Enable additional monitoring/IDS rules</t>
        </is>
      </c>
      <c r="S724" s="189" t="inlineStr">
        <is>
          <t>CVE - IP enrichment n/a</t>
        </is>
      </c>
      <c r="T724" s="189" t="n">
        <v>0</v>
      </c>
      <c r="U724" s="189" t="n">
        <v>0</v>
      </c>
      <c r="V724" s="189" t="inlineStr">
        <is>
          <t>T1190:Exploit Public-Facing Application</t>
        </is>
      </c>
      <c r="W724" s="189" t="n">
        <v>1</v>
      </c>
      <c r="X724" s="189" t="inlineStr">
        <is>
          <t>LOW (40%)</t>
        </is>
      </c>
      <c r="Y724" s="189" t="inlineStr">
        <is>
          <t>UNLIKELY</t>
        </is>
      </c>
      <c r="Z724" s="189" t="inlineStr">
        <is>
          <t>CHECK_VENDOR</t>
        </is>
      </c>
      <c r="AA724" s="189" t="inlineStr">
        <is>
          <t>https://nvd.nist.gov/vuln/detail/CVE-2026-24956</t>
        </is>
      </c>
      <c r="AB724" s="189" t="inlineStr">
        <is>
          <t>NONE</t>
        </is>
      </c>
      <c r="AC724" s="189" t="n">
        <v>0</v>
      </c>
      <c r="AD724" s="189" t="inlineStr"/>
    </row>
    <row r="725">
      <c r="A725" s="188" t="inlineStr">
        <is>
          <t>CVE</t>
        </is>
      </c>
      <c r="B725" s="188" t="inlineStr">
        <is>
          <t>CVE-2026-24959</t>
        </is>
      </c>
      <c r="C725" s="188" t="inlineStr">
        <is>
          <t>Improper Neutralization of Special Elements used in an SQL Command ('SQL Injection') vulnerability in JoomSky JS Help Desk js-support-ticket allows Blind SQL Injection.This issue affects JS Help Desk: from n/a through &lt;= 3.0.1.</t>
        </is>
      </c>
      <c r="D725" s="188" t="n">
        <v>8.5</v>
      </c>
      <c r="E725" s="188" t="inlineStr">
        <is>
          <t>HIGH</t>
        </is>
      </c>
      <c r="F725" s="188" t="n">
        <v>2</v>
      </c>
      <c r="G725" s="188" t="n">
        <v>3</v>
      </c>
      <c r="H725" s="188" t="inlineStr">
        <is>
          <t>HIGH</t>
        </is>
      </c>
      <c r="I725" s="188" t="n">
        <v>14.5</v>
      </c>
      <c r="J725" s="188" t="inlineStr">
        <is>
          <t>NO</t>
        </is>
      </c>
      <c r="K725" s="188" t="inlineStr">
        <is>
          <t>https://nvd.nist.gov/vuln/detail/CVE-2026-24959</t>
        </is>
      </c>
      <c r="L725" s="188" t="inlineStr">
        <is>
          <t>2026-02-26 00:15</t>
        </is>
      </c>
      <c r="M725" s="188" t="inlineStr">
        <is>
          <t>CHECK_VENDOR</t>
        </is>
      </c>
      <c r="N725" s="188" t="inlineStr">
        <is>
          <t>See NVD references</t>
        </is>
      </c>
      <c r="O725" s="188" t="inlineStr">
        <is>
          <t>Apply vendor patches</t>
        </is>
      </c>
      <c r="P725" s="188" t="inlineStr">
        <is>
          <t>See CVE details</t>
        </is>
      </c>
      <c r="Q725" s="188" t="inlineStr">
        <is>
          <t>P3</t>
        </is>
      </c>
      <c r="R725" s="188" t="inlineStr">
        <is>
          <t>🚨 URGENT: Apply vendor patches immediately | 🔒 Isolate affected systems if patch unavailable | 🛡️ Enable additional monitoring/IDS rules</t>
        </is>
      </c>
      <c r="S725" s="188" t="inlineStr">
        <is>
          <t>CVE - IP enrichment n/a</t>
        </is>
      </c>
      <c r="T725" s="188" t="n">
        <v>0</v>
      </c>
      <c r="U725" s="188" t="n">
        <v>0</v>
      </c>
      <c r="V725" s="188" t="inlineStr">
        <is>
          <t>T1190:Exploit Public-Facing Application</t>
        </is>
      </c>
      <c r="W725" s="188" t="n">
        <v>1</v>
      </c>
      <c r="X725" s="188" t="inlineStr">
        <is>
          <t>LOW (40%)</t>
        </is>
      </c>
      <c r="Y725" s="188" t="inlineStr">
        <is>
          <t>UNLIKELY</t>
        </is>
      </c>
      <c r="Z725" s="188" t="inlineStr">
        <is>
          <t>CHECK_VENDOR</t>
        </is>
      </c>
      <c r="AA725" s="188" t="inlineStr">
        <is>
          <t>https://nvd.nist.gov/vuln/detail/CVE-2026-24959</t>
        </is>
      </c>
      <c r="AB725" s="188" t="inlineStr">
        <is>
          <t>NONE</t>
        </is>
      </c>
      <c r="AC725" s="188" t="n">
        <v>0</v>
      </c>
      <c r="AD725" s="188" t="inlineStr"/>
    </row>
    <row r="726">
      <c r="A726" s="188" t="inlineStr">
        <is>
          <t>CVE</t>
        </is>
      </c>
      <c r="B726" s="188" t="inlineStr">
        <is>
          <t>CVE-2026-27072</t>
        </is>
      </c>
      <c r="C726" s="188" t="inlineStr">
        <is>
          <t>Improper Neutralization of Input During Web Page Generation ('Cross-site Scripting') vulnerability in PixelYourSite PixelYourSite – Your smart PIXEL (TAG) Manager pixelyoursite allows Stored XSS.This issue affects PixelYourSite – Your smart PIXEL (TAG) Manager: from n/a through &lt;= 11.2.0.1.</t>
        </is>
      </c>
      <c r="D726" s="188" t="n">
        <v>7.1</v>
      </c>
      <c r="E726" s="188" t="inlineStr">
        <is>
          <t>HIGH</t>
        </is>
      </c>
      <c r="F726" s="188" t="n">
        <v>2</v>
      </c>
      <c r="G726" s="188" t="n">
        <v>3</v>
      </c>
      <c r="H726" s="188" t="inlineStr">
        <is>
          <t>HIGH</t>
        </is>
      </c>
      <c r="I726" s="188" t="n">
        <v>13.1</v>
      </c>
      <c r="J726" s="188" t="inlineStr">
        <is>
          <t>NO</t>
        </is>
      </c>
      <c r="K726" s="188" t="inlineStr">
        <is>
          <t>https://nvd.nist.gov/vuln/detail/CVE-2026-27072</t>
        </is>
      </c>
      <c r="L726" s="188" t="inlineStr">
        <is>
          <t>2026-02-26 00:15</t>
        </is>
      </c>
      <c r="M726" s="188" t="inlineStr">
        <is>
          <t>CHECK_VENDOR</t>
        </is>
      </c>
      <c r="N726" s="188" t="inlineStr">
        <is>
          <t>See NVD references</t>
        </is>
      </c>
      <c r="O726" s="188" t="inlineStr">
        <is>
          <t>Apply vendor patches</t>
        </is>
      </c>
      <c r="P726" s="188" t="inlineStr">
        <is>
          <t>See CVE details</t>
        </is>
      </c>
      <c r="Q726" s="188" t="inlineStr">
        <is>
          <t>P3</t>
        </is>
      </c>
      <c r="R726" s="188" t="inlineStr">
        <is>
          <t>🚨 URGENT: Apply vendor patches immediately | 🔒 Isolate affected systems if patch unavailable | 🛡️ Enable additional monitoring/IDS rules</t>
        </is>
      </c>
      <c r="S726" s="188" t="inlineStr">
        <is>
          <t>CVE - IP enrichment n/a</t>
        </is>
      </c>
      <c r="T726" s="188" t="n">
        <v>0.0003</v>
      </c>
      <c r="U726" s="188" t="n">
        <v>0.0951</v>
      </c>
      <c r="V726" s="188" t="inlineStr">
        <is>
          <t>T1189:Drive-by Compromise</t>
        </is>
      </c>
      <c r="W726" s="188" t="n">
        <v>1</v>
      </c>
      <c r="X726" s="188" t="inlineStr">
        <is>
          <t>LOW (40%)</t>
        </is>
      </c>
      <c r="Y726" s="188" t="inlineStr">
        <is>
          <t>UNLIKELY</t>
        </is>
      </c>
      <c r="Z726" s="188" t="inlineStr">
        <is>
          <t>CHECK_VENDOR</t>
        </is>
      </c>
      <c r="AA726" s="188" t="inlineStr">
        <is>
          <t>https://nvd.nist.gov/vuln/detail/CVE-2026-27072</t>
        </is>
      </c>
      <c r="AB726" s="188" t="inlineStr">
        <is>
          <t>NONE</t>
        </is>
      </c>
      <c r="AC726" s="188" t="n">
        <v>0</v>
      </c>
      <c r="AD726" s="188" t="inlineStr"/>
    </row>
    <row r="727">
      <c r="A727" s="188" t="inlineStr">
        <is>
          <t>CVE</t>
        </is>
      </c>
      <c r="B727" s="188" t="inlineStr">
        <is>
          <t>CVE-2026-2846</t>
        </is>
      </c>
      <c r="C727" s="188" t="inlineStr">
        <is>
          <t>A security vulnerability has been detected in UTT HiPER 520 1.7.7-160105. This impacts the function sub_44D264 of the file /goform/formPdbUpConfig of the component Web Management Interface. The manipulation of the argument policyNames leads to os command injection. The attack can be initiated remotely. The exploit has been disclosed publicly and may be used.</t>
        </is>
      </c>
      <c r="D727" s="188" t="n">
        <v>7.2</v>
      </c>
      <c r="E727" s="188" t="inlineStr">
        <is>
          <t>HIGH</t>
        </is>
      </c>
      <c r="F727" s="188" t="n">
        <v>2</v>
      </c>
      <c r="G727" s="188" t="n">
        <v>3</v>
      </c>
      <c r="H727" s="188" t="inlineStr">
        <is>
          <t>HIGH</t>
        </is>
      </c>
      <c r="I727" s="188" t="n">
        <v>13.2</v>
      </c>
      <c r="J727" s="188" t="inlineStr">
        <is>
          <t>NO</t>
        </is>
      </c>
      <c r="K727" s="188" t="inlineStr">
        <is>
          <t>https://nvd.nist.gov/vuln/detail/CVE-2026-2846</t>
        </is>
      </c>
      <c r="L727" s="188" t="inlineStr">
        <is>
          <t>2026-02-26 00:15</t>
        </is>
      </c>
      <c r="M727" s="188" t="inlineStr">
        <is>
          <t>CHECK_VENDOR</t>
        </is>
      </c>
      <c r="N727" s="188" t="inlineStr">
        <is>
          <t>See NVD references</t>
        </is>
      </c>
      <c r="O727" s="188" t="inlineStr">
        <is>
          <t>Apply vendor patches</t>
        </is>
      </c>
      <c r="P727" s="188" t="inlineStr">
        <is>
          <t>utt 520 3.0 | utt 520_firmware 1.7.7-160105</t>
        </is>
      </c>
      <c r="Q727" s="188" t="inlineStr">
        <is>
          <t>P3</t>
        </is>
      </c>
      <c r="R727" s="188" t="inlineStr">
        <is>
          <t>🚨 URGENT: Apply vendor patches immediately | 🔒 Isolate affected systems if patch unavailable | 🛡️ Enable additional monitoring/IDS rules</t>
        </is>
      </c>
      <c r="S727" s="188" t="inlineStr">
        <is>
          <t>CVE - IP enrichment n/a</t>
        </is>
      </c>
      <c r="T727" s="188" t="n">
        <v>0</v>
      </c>
      <c r="U727" s="188" t="n">
        <v>0</v>
      </c>
      <c r="V727" s="188" t="inlineStr">
        <is>
          <t>T1059:Command and Scripting Interpreter</t>
        </is>
      </c>
      <c r="W727" s="188" t="n">
        <v>1</v>
      </c>
      <c r="X727" s="188" t="inlineStr">
        <is>
          <t>LOW (40%)</t>
        </is>
      </c>
      <c r="Y727" s="188" t="inlineStr">
        <is>
          <t>UNLIKELY</t>
        </is>
      </c>
      <c r="Z727" s="188" t="inlineStr">
        <is>
          <t>CHECK_VENDOR</t>
        </is>
      </c>
      <c r="AA727" s="188" t="inlineStr">
        <is>
          <t>https://nvd.nist.gov/vuln/detail/CVE-2026-2846</t>
        </is>
      </c>
      <c r="AB727" s="188" t="inlineStr">
        <is>
          <t>NONE</t>
        </is>
      </c>
      <c r="AC727" s="188" t="n">
        <v>0</v>
      </c>
      <c r="AD727" s="188" t="inlineStr"/>
    </row>
    <row r="728">
      <c r="A728" s="188" t="inlineStr">
        <is>
          <t>CVE</t>
        </is>
      </c>
      <c r="B728" s="188" t="inlineStr">
        <is>
          <t>CVE-2026-2847</t>
        </is>
      </c>
      <c r="C728" s="188" t="inlineStr">
        <is>
          <t>A vulnerability was detected in UTT HiPER 520 1.7.7-160105. Affected is the function sub_44EFB4 of the file /goform/formReleaseConnect of the component Web Management Interface. The manipulation of the argument Isp_Name results in os command injection. The attack can be launched remotely. The exploit is now public and may be used.</t>
        </is>
      </c>
      <c r="D728" s="188" t="n">
        <v>7.2</v>
      </c>
      <c r="E728" s="188" t="inlineStr">
        <is>
          <t>HIGH</t>
        </is>
      </c>
      <c r="F728" s="188" t="n">
        <v>2</v>
      </c>
      <c r="G728" s="188" t="n">
        <v>3</v>
      </c>
      <c r="H728" s="188" t="inlineStr">
        <is>
          <t>HIGH</t>
        </is>
      </c>
      <c r="I728" s="188" t="n">
        <v>13.2</v>
      </c>
      <c r="J728" s="188" t="inlineStr">
        <is>
          <t>NO</t>
        </is>
      </c>
      <c r="K728" s="188" t="inlineStr">
        <is>
          <t>https://nvd.nist.gov/vuln/detail/CVE-2026-2847</t>
        </is>
      </c>
      <c r="L728" s="188" t="inlineStr">
        <is>
          <t>2026-02-26 00:15</t>
        </is>
      </c>
      <c r="M728" s="188" t="inlineStr">
        <is>
          <t>CHECK_VENDOR</t>
        </is>
      </c>
      <c r="N728" s="188" t="inlineStr">
        <is>
          <t>See NVD references</t>
        </is>
      </c>
      <c r="O728" s="188" t="inlineStr">
        <is>
          <t>Apply vendor patches</t>
        </is>
      </c>
      <c r="P728" s="188" t="inlineStr">
        <is>
          <t>utt 520 3.0 | utt 520_firmware 1.7.7-160105</t>
        </is>
      </c>
      <c r="Q728" s="188" t="inlineStr">
        <is>
          <t>P3</t>
        </is>
      </c>
      <c r="R728" s="188" t="inlineStr">
        <is>
          <t>🚨 URGENT: Apply vendor patches immediately | 🔒 Isolate affected systems if patch unavailable | 🛡️ Enable additional monitoring/IDS rules</t>
        </is>
      </c>
      <c r="S728" s="188" t="inlineStr">
        <is>
          <t>CVE - IP enrichment n/a</t>
        </is>
      </c>
      <c r="T728" s="188" t="n">
        <v>0</v>
      </c>
      <c r="U728" s="188" t="n">
        <v>0</v>
      </c>
      <c r="V728" s="188" t="inlineStr">
        <is>
          <t>T1059:Command and Scripting Interpreter</t>
        </is>
      </c>
      <c r="W728" s="188" t="n">
        <v>1</v>
      </c>
      <c r="X728" s="188" t="inlineStr">
        <is>
          <t>LOW (40%)</t>
        </is>
      </c>
      <c r="Y728" s="188" t="inlineStr">
        <is>
          <t>UNLIKELY</t>
        </is>
      </c>
      <c r="Z728" s="188" t="inlineStr">
        <is>
          <t>CHECK_VENDOR</t>
        </is>
      </c>
      <c r="AA728" s="188" t="inlineStr">
        <is>
          <t>https://nvd.nist.gov/vuln/detail/CVE-2026-2847</t>
        </is>
      </c>
      <c r="AB728" s="188" t="inlineStr">
        <is>
          <t>NONE</t>
        </is>
      </c>
      <c r="AC728" s="188" t="n">
        <v>0</v>
      </c>
      <c r="AD728" s="188" t="inlineStr"/>
    </row>
    <row r="729">
      <c r="A729" s="187" t="inlineStr">
        <is>
          <t>CVE</t>
        </is>
      </c>
      <c r="B729" s="187" t="inlineStr">
        <is>
          <t>CVE-2025-15582</t>
        </is>
      </c>
      <c r="C729" s="187" t="inlineStr">
        <is>
          <t>A security flaw has been discovered in detronetdip E-commerce 1.0.0. The impacted element is the function Delete/Update of the component Product Management Module. Performing a manipulation of the argument ID results in authorization bypass. Remote exploitation of the attack is possible. The exploit has been released to the public and may be used for attacks. The project was informed of the problem early through an issue report but has not responded yet.</t>
        </is>
      </c>
      <c r="D729" s="187" t="n">
        <v>5.4</v>
      </c>
      <c r="E729" s="187" t="inlineStr">
        <is>
          <t>MEDIUM</t>
        </is>
      </c>
      <c r="F729" s="187" t="n">
        <v>2</v>
      </c>
      <c r="G729" s="187" t="n">
        <v>2</v>
      </c>
      <c r="H729" s="187" t="inlineStr">
        <is>
          <t>MEDIUM</t>
        </is>
      </c>
      <c r="I729" s="187" t="n">
        <v>9.4</v>
      </c>
      <c r="J729" s="187" t="inlineStr">
        <is>
          <t>NO</t>
        </is>
      </c>
      <c r="K729" s="187" t="inlineStr">
        <is>
          <t>https://nvd.nist.gov/vuln/detail/CVE-2025-15582</t>
        </is>
      </c>
      <c r="L729" s="187" t="inlineStr">
        <is>
          <t>2026-02-26 00:15</t>
        </is>
      </c>
      <c r="M729" s="187" t="inlineStr">
        <is>
          <t>CHECK_VENDOR</t>
        </is>
      </c>
      <c r="N729" s="187" t="inlineStr">
        <is>
          <t>See NVD references</t>
        </is>
      </c>
      <c r="O729" s="187" t="inlineStr">
        <is>
          <t>Apply vendor patches</t>
        </is>
      </c>
      <c r="P729" s="187" t="inlineStr">
        <is>
          <t>See CVE details</t>
        </is>
      </c>
      <c r="Q729" s="187" t="inlineStr">
        <is>
          <t>P4</t>
        </is>
      </c>
      <c r="R729" s="187" t="inlineStr">
        <is>
          <t>📅 Schedule patch deployment within 30 days | 🔍 Monitor for exploitation attempts</t>
        </is>
      </c>
      <c r="S729" s="187" t="inlineStr">
        <is>
          <t>CVE - IP enrichment n/a</t>
        </is>
      </c>
      <c r="T729" s="187" t="n">
        <v>0</v>
      </c>
      <c r="U729" s="187" t="n">
        <v>0</v>
      </c>
      <c r="V729" s="187" t="inlineStr">
        <is>
          <t>T1190:Exploit Public-Facing Application</t>
        </is>
      </c>
      <c r="W729" s="187" t="n">
        <v>1</v>
      </c>
      <c r="X729" s="187" t="inlineStr">
        <is>
          <t>LOW (40%)</t>
        </is>
      </c>
      <c r="Y729" s="187" t="inlineStr">
        <is>
          <t>UNLIKELY</t>
        </is>
      </c>
      <c r="Z729" s="187" t="inlineStr">
        <is>
          <t>CHECK_VENDOR</t>
        </is>
      </c>
      <c r="AA729" s="187" t="inlineStr">
        <is>
          <t>https://nvd.nist.gov/vuln/detail/CVE-2025-15582</t>
        </is>
      </c>
      <c r="AB729" s="187" t="inlineStr">
        <is>
          <t>NONE</t>
        </is>
      </c>
      <c r="AC729" s="187" t="n">
        <v>0</v>
      </c>
      <c r="AD729" s="187" t="inlineStr"/>
    </row>
    <row r="730">
      <c r="A730" s="190" t="inlineStr">
        <is>
          <t>CVE</t>
        </is>
      </c>
      <c r="B730" s="190" t="inlineStr">
        <is>
          <t>CVE-2025-15583</t>
        </is>
      </c>
      <c r="C730" s="190" t="inlineStr">
        <is>
          <t>A weakness has been identified in detronetdip E-commerce 1.0.0. This affects the function get_safe_value of the file utility/function.php. Executing a manipulation can lead to cross site scripting. The attack can be executed remotely. The exploit has been made available to the public and could be used for attacks. The project was informed of the problem early through an issue report but has not responded yet.</t>
        </is>
      </c>
      <c r="D730" s="190" t="n">
        <v>3.5</v>
      </c>
      <c r="E730" s="190" t="inlineStr">
        <is>
          <t>LOW</t>
        </is>
      </c>
      <c r="F730" s="190" t="n">
        <v>2</v>
      </c>
      <c r="G730" s="190" t="n">
        <v>1</v>
      </c>
      <c r="H730" s="190" t="inlineStr">
        <is>
          <t>LOW</t>
        </is>
      </c>
      <c r="I730" s="190" t="n">
        <v>5.5</v>
      </c>
      <c r="J730" s="190" t="inlineStr">
        <is>
          <t>NO</t>
        </is>
      </c>
      <c r="K730" s="190" t="inlineStr">
        <is>
          <t>https://nvd.nist.gov/vuln/detail/CVE-2025-15583</t>
        </is>
      </c>
      <c r="L730" s="190" t="inlineStr">
        <is>
          <t>2026-02-26 00:15</t>
        </is>
      </c>
      <c r="M730" s="190" t="inlineStr">
        <is>
          <t>CHECK_VENDOR</t>
        </is>
      </c>
      <c r="N730" s="190" t="inlineStr">
        <is>
          <t>See NVD references</t>
        </is>
      </c>
      <c r="O730" s="190" t="inlineStr">
        <is>
          <t>Apply vendor patches</t>
        </is>
      </c>
      <c r="P730" s="190" t="inlineStr">
        <is>
          <t>See CVE details</t>
        </is>
      </c>
      <c r="Q730" s="190" t="inlineStr">
        <is>
          <t>P4</t>
        </is>
      </c>
      <c r="R730" s="190" t="inlineStr">
        <is>
          <t>📅 Schedule patch deployment within 30 days | 🔍 Monitor for exploitation attempts</t>
        </is>
      </c>
      <c r="S730" s="190" t="inlineStr">
        <is>
          <t>CVE - IP enrichment n/a</t>
        </is>
      </c>
      <c r="T730" s="190" t="n">
        <v>0</v>
      </c>
      <c r="U730" s="190" t="n">
        <v>0</v>
      </c>
      <c r="V730" s="190" t="inlineStr">
        <is>
          <t>T1189:Drive-by Compromise | T1190:Exploit Public-Facing Application</t>
        </is>
      </c>
      <c r="W730" s="190" t="n">
        <v>1</v>
      </c>
      <c r="X730" s="190" t="inlineStr">
        <is>
          <t>LOW (40%)</t>
        </is>
      </c>
      <c r="Y730" s="190" t="inlineStr">
        <is>
          <t>UNLIKELY</t>
        </is>
      </c>
      <c r="Z730" s="190" t="inlineStr">
        <is>
          <t>CHECK_VENDOR</t>
        </is>
      </c>
      <c r="AA730" s="190" t="inlineStr">
        <is>
          <t>https://nvd.nist.gov/vuln/detail/CVE-2025-15583</t>
        </is>
      </c>
      <c r="AB730" s="190" t="inlineStr">
        <is>
          <t>NONE</t>
        </is>
      </c>
      <c r="AC730" s="190" t="n">
        <v>0</v>
      </c>
      <c r="AD730" s="190" t="inlineStr"/>
    </row>
    <row r="731">
      <c r="A731" s="189" t="inlineStr">
        <is>
          <t>CVE</t>
        </is>
      </c>
      <c r="B731" s="189" t="inlineStr">
        <is>
          <t>CVE-2025-70833</t>
        </is>
      </c>
      <c r="C731" s="189" t="inlineStr">
        <is>
          <t>An Authentication Bypass vulnerability in Smanga 3.2.7 allows an unauthenticated attacker to reset the password of any user (including the administrator) and fully takeover the account by manipulating POST parameters. The issue stems from insecure permission validation in check-power.php.</t>
        </is>
      </c>
      <c r="D731" s="189" t="n">
        <v>9.4</v>
      </c>
      <c r="E731" s="189" t="inlineStr">
        <is>
          <t>CRITICAL</t>
        </is>
      </c>
      <c r="F731" s="189" t="n">
        <v>2</v>
      </c>
      <c r="G731" s="189" t="n">
        <v>3</v>
      </c>
      <c r="H731" s="189" t="inlineStr">
        <is>
          <t>HIGH</t>
        </is>
      </c>
      <c r="I731" s="189" t="n">
        <v>15.4</v>
      </c>
      <c r="J731" s="189" t="inlineStr">
        <is>
          <t>NO</t>
        </is>
      </c>
      <c r="K731" s="189" t="inlineStr">
        <is>
          <t>https://nvd.nist.gov/vuln/detail/CVE-2025-70833</t>
        </is>
      </c>
      <c r="L731" s="189" t="inlineStr">
        <is>
          <t>2026-02-26 00:15</t>
        </is>
      </c>
      <c r="M731" s="189" t="inlineStr">
        <is>
          <t>CHECK_VENDOR</t>
        </is>
      </c>
      <c r="N731" s="189" t="inlineStr">
        <is>
          <t>See NVD references</t>
        </is>
      </c>
      <c r="O731" s="189" t="inlineStr">
        <is>
          <t>Apply vendor patches</t>
        </is>
      </c>
      <c r="P731" s="189" t="inlineStr">
        <is>
          <t>See CVE details</t>
        </is>
      </c>
      <c r="Q731" s="189" t="inlineStr">
        <is>
          <t>P3</t>
        </is>
      </c>
      <c r="R731" s="189" t="inlineStr">
        <is>
          <t>🚨 URGENT: Apply vendor patches immediately | 🔒 Isolate affected systems if patch unavailable | 🛡️ Enable additional monitoring/IDS rules</t>
        </is>
      </c>
      <c r="S731" s="189" t="inlineStr">
        <is>
          <t>CVE - IP enrichment n/a</t>
        </is>
      </c>
      <c r="T731" s="189" t="n">
        <v>0</v>
      </c>
      <c r="U731" s="189" t="n">
        <v>0</v>
      </c>
      <c r="V731" s="189" t="inlineStr">
        <is>
          <t>T1078:Valid Accounts | T1110:Brute Force</t>
        </is>
      </c>
      <c r="W731" s="189" t="n">
        <v>1</v>
      </c>
      <c r="X731" s="189" t="inlineStr">
        <is>
          <t>LOW (40%)</t>
        </is>
      </c>
      <c r="Y731" s="189" t="inlineStr">
        <is>
          <t>UNLIKELY</t>
        </is>
      </c>
      <c r="Z731" s="189" t="inlineStr">
        <is>
          <t>CHECK_VENDOR</t>
        </is>
      </c>
      <c r="AA731" s="189" t="inlineStr">
        <is>
          <t>https://nvd.nist.gov/vuln/detail/CVE-2025-70833</t>
        </is>
      </c>
      <c r="AB731" s="189" t="inlineStr">
        <is>
          <t>NONE</t>
        </is>
      </c>
      <c r="AC731" s="189" t="n">
        <v>0</v>
      </c>
      <c r="AD731" s="189" t="inlineStr"/>
    </row>
    <row r="732">
      <c r="A732" s="188" t="inlineStr">
        <is>
          <t>CVE</t>
        </is>
      </c>
      <c r="B732" s="188" t="inlineStr">
        <is>
          <t>CVE-2026-1842</t>
        </is>
      </c>
      <c r="C732" s="188" t="inlineStr">
        <is>
          <t>HyperCloud versions 2.3.5 through 2.6.8 improperly allowed refresh tokens to be used directly for resource access and failed to invalidate previously issued access tokens when a refresh token was used. Because refresh tokens have a significantly longer lifetime (default one year), an authenticated client could use a refresh token in place of an access token to maintain long-term access without token rotation. Additionally, old access tokens remained valid after refresh, enabling concurrent or ex</t>
        </is>
      </c>
      <c r="D732" s="188" t="n">
        <v>8.5</v>
      </c>
      <c r="E732" s="188" t="inlineStr">
        <is>
          <t>HIGH</t>
        </is>
      </c>
      <c r="F732" s="188" t="n">
        <v>2</v>
      </c>
      <c r="G732" s="188" t="n">
        <v>3</v>
      </c>
      <c r="H732" s="188" t="inlineStr">
        <is>
          <t>HIGH</t>
        </is>
      </c>
      <c r="I732" s="188" t="n">
        <v>14.5</v>
      </c>
      <c r="J732" s="188" t="inlineStr">
        <is>
          <t>NO</t>
        </is>
      </c>
      <c r="K732" s="188" t="inlineStr">
        <is>
          <t>https://nvd.nist.gov/vuln/detail/CVE-2026-1842</t>
        </is>
      </c>
      <c r="L732" s="188" t="inlineStr">
        <is>
          <t>2026-02-26 00:15</t>
        </is>
      </c>
      <c r="M732" s="188" t="inlineStr">
        <is>
          <t>CHECK_VENDOR</t>
        </is>
      </c>
      <c r="N732" s="188" t="inlineStr">
        <is>
          <t>See NVD references</t>
        </is>
      </c>
      <c r="O732" s="188" t="inlineStr">
        <is>
          <t>Apply vendor patches</t>
        </is>
      </c>
      <c r="P732" s="188" t="inlineStr">
        <is>
          <t>See CVE details</t>
        </is>
      </c>
      <c r="Q732" s="188" t="inlineStr">
        <is>
          <t>P3</t>
        </is>
      </c>
      <c r="R732" s="188" t="inlineStr">
        <is>
          <t>🚨 URGENT: Apply vendor patches immediately | 🔒 Isolate affected systems if patch unavailable | 🛡️ Enable additional monitoring/IDS rules</t>
        </is>
      </c>
      <c r="S732" s="188" t="inlineStr">
        <is>
          <t>CVE - IP enrichment n/a</t>
        </is>
      </c>
      <c r="T732" s="188" t="n">
        <v>0</v>
      </c>
      <c r="U732" s="188" t="n">
        <v>0</v>
      </c>
      <c r="V732" s="188" t="inlineStr">
        <is>
          <t>T1190:Exploit Public-Facing Application</t>
        </is>
      </c>
      <c r="W732" s="188" t="n">
        <v>1</v>
      </c>
      <c r="X732" s="188" t="inlineStr">
        <is>
          <t>LOW (40%)</t>
        </is>
      </c>
      <c r="Y732" s="188" t="inlineStr">
        <is>
          <t>UNLIKELY</t>
        </is>
      </c>
      <c r="Z732" s="188" t="inlineStr">
        <is>
          <t>CHECK_VENDOR</t>
        </is>
      </c>
      <c r="AA732" s="188" t="inlineStr">
        <is>
          <t>https://nvd.nist.gov/vuln/detail/CVE-2026-1842</t>
        </is>
      </c>
      <c r="AB732" s="188" t="inlineStr">
        <is>
          <t>NONE</t>
        </is>
      </c>
      <c r="AC732" s="188" t="n">
        <v>0</v>
      </c>
      <c r="AD732" s="188" t="inlineStr"/>
    </row>
    <row r="733">
      <c r="A733" s="188" t="inlineStr">
        <is>
          <t>CVE</t>
        </is>
      </c>
      <c r="B733" s="188" t="inlineStr">
        <is>
          <t>CVE-2026-24455</t>
        </is>
      </c>
      <c r="C733" s="188" t="inlineStr">
        <is>
          <t>The embedded web interface of the device does not support HTTPS/TLS for 
authentication and uses HTTP Basic Authentication. Traffic is encoded 
but not encrypted, exposing user credentials to passive interception by 
attackers on the same network.</t>
        </is>
      </c>
      <c r="D733" s="188" t="n">
        <v>7.5</v>
      </c>
      <c r="E733" s="188" t="inlineStr">
        <is>
          <t>HIGH</t>
        </is>
      </c>
      <c r="F733" s="188" t="n">
        <v>2</v>
      </c>
      <c r="G733" s="188" t="n">
        <v>3</v>
      </c>
      <c r="H733" s="188" t="inlineStr">
        <is>
          <t>HIGH</t>
        </is>
      </c>
      <c r="I733" s="188" t="n">
        <v>13.5</v>
      </c>
      <c r="J733" s="188" t="inlineStr">
        <is>
          <t>NO</t>
        </is>
      </c>
      <c r="K733" s="188" t="inlineStr">
        <is>
          <t>https://nvd.nist.gov/vuln/detail/CVE-2026-24455</t>
        </is>
      </c>
      <c r="L733" s="188" t="inlineStr">
        <is>
          <t>2026-02-26 00:15</t>
        </is>
      </c>
      <c r="M733" s="188" t="inlineStr">
        <is>
          <t>CHECK_VENDOR</t>
        </is>
      </c>
      <c r="N733" s="188" t="inlineStr">
        <is>
          <t>See NVD references</t>
        </is>
      </c>
      <c r="O733" s="188" t="inlineStr">
        <is>
          <t>Apply vendor patches</t>
        </is>
      </c>
      <c r="P733" s="188" t="inlineStr">
        <is>
          <t>See CVE details</t>
        </is>
      </c>
      <c r="Q733" s="188" t="inlineStr">
        <is>
          <t>P3</t>
        </is>
      </c>
      <c r="R733" s="188" t="inlineStr">
        <is>
          <t>🚨 URGENT: Apply vendor patches immediately | 🔒 Isolate affected systems if patch unavailable | 🛡️ Enable additional monitoring/IDS rules</t>
        </is>
      </c>
      <c r="S733" s="188" t="inlineStr">
        <is>
          <t>CVE - IP enrichment n/a</t>
        </is>
      </c>
      <c r="T733" s="188" t="n">
        <v>0</v>
      </c>
      <c r="U733" s="188" t="n">
        <v>0</v>
      </c>
      <c r="V733" s="188" t="inlineStr">
        <is>
          <t>T1190:Exploit Public-Facing Application | T1552:Unsecured Credentials</t>
        </is>
      </c>
      <c r="W733" s="188" t="n">
        <v>1</v>
      </c>
      <c r="X733" s="188" t="inlineStr">
        <is>
          <t>LOW (40%)</t>
        </is>
      </c>
      <c r="Y733" s="188" t="inlineStr">
        <is>
          <t>UNLIKELY</t>
        </is>
      </c>
      <c r="Z733" s="188" t="inlineStr">
        <is>
          <t>CHECK_VENDOR</t>
        </is>
      </c>
      <c r="AA733" s="188" t="inlineStr">
        <is>
          <t>https://nvd.nist.gov/vuln/detail/CVE-2026-24455</t>
        </is>
      </c>
      <c r="AB733" s="188" t="inlineStr">
        <is>
          <t>NONE</t>
        </is>
      </c>
      <c r="AC733" s="188" t="n">
        <v>0</v>
      </c>
      <c r="AD733" s="188" t="inlineStr"/>
    </row>
    <row r="734">
      <c r="A734" s="188" t="inlineStr">
        <is>
          <t>CVE</t>
        </is>
      </c>
      <c r="B734" s="188" t="inlineStr">
        <is>
          <t>CVE-2026-24790</t>
        </is>
      </c>
      <c r="C734" s="188" t="inlineStr">
        <is>
          <t>The underlying PLC of the device can be remotely influenced, without proper safeguards or authentication.</t>
        </is>
      </c>
      <c r="D734" s="188" t="n">
        <v>8.199999999999999</v>
      </c>
      <c r="E734" s="188" t="inlineStr">
        <is>
          <t>HIGH</t>
        </is>
      </c>
      <c r="F734" s="188" t="n">
        <v>2</v>
      </c>
      <c r="G734" s="188" t="n">
        <v>3</v>
      </c>
      <c r="H734" s="188" t="inlineStr">
        <is>
          <t>HIGH</t>
        </is>
      </c>
      <c r="I734" s="188" t="n">
        <v>14.2</v>
      </c>
      <c r="J734" s="188" t="inlineStr">
        <is>
          <t>NO</t>
        </is>
      </c>
      <c r="K734" s="188" t="inlineStr">
        <is>
          <t>https://nvd.nist.gov/vuln/detail/CVE-2026-24790</t>
        </is>
      </c>
      <c r="L734" s="188" t="inlineStr">
        <is>
          <t>2026-02-26 00:15</t>
        </is>
      </c>
      <c r="M734" s="188" t="inlineStr">
        <is>
          <t>CHECK_VENDOR</t>
        </is>
      </c>
      <c r="N734" s="188" t="inlineStr">
        <is>
          <t>See NVD references</t>
        </is>
      </c>
      <c r="O734" s="188" t="inlineStr">
        <is>
          <t>Apply vendor patches</t>
        </is>
      </c>
      <c r="P734" s="188" t="inlineStr">
        <is>
          <t>See CVE details</t>
        </is>
      </c>
      <c r="Q734" s="188" t="inlineStr">
        <is>
          <t>P3</t>
        </is>
      </c>
      <c r="R734" s="188" t="inlineStr">
        <is>
          <t>🚨 URGENT: Apply vendor patches immediately | 🔒 Isolate affected systems if patch unavailable | 🛡️ Enable additional monitoring/IDS rules</t>
        </is>
      </c>
      <c r="S734" s="188" t="inlineStr">
        <is>
          <t>CVE - IP enrichment n/a</t>
        </is>
      </c>
      <c r="T734" s="188" t="n">
        <v>0</v>
      </c>
      <c r="U734" s="188" t="n">
        <v>0</v>
      </c>
      <c r="V734" s="188" t="inlineStr">
        <is>
          <t>T1078:Valid Accounts</t>
        </is>
      </c>
      <c r="W734" s="188" t="n">
        <v>1</v>
      </c>
      <c r="X734" s="188" t="inlineStr">
        <is>
          <t>LOW (40%)</t>
        </is>
      </c>
      <c r="Y734" s="188" t="inlineStr">
        <is>
          <t>UNLIKELY</t>
        </is>
      </c>
      <c r="Z734" s="188" t="inlineStr">
        <is>
          <t>CHECK_VENDOR</t>
        </is>
      </c>
      <c r="AA734" s="188" t="inlineStr">
        <is>
          <t>https://nvd.nist.gov/vuln/detail/CVE-2026-24790</t>
        </is>
      </c>
      <c r="AB734" s="188" t="inlineStr">
        <is>
          <t>NONE</t>
        </is>
      </c>
      <c r="AC734" s="188" t="n">
        <v>0</v>
      </c>
      <c r="AD734" s="188" t="inlineStr"/>
    </row>
    <row r="735">
      <c r="A735" s="189" t="inlineStr">
        <is>
          <t>CVE</t>
        </is>
      </c>
      <c r="B735" s="189" t="inlineStr">
        <is>
          <t>CVE-2026-25715</t>
        </is>
      </c>
      <c r="C735" s="189" t="inlineStr">
        <is>
          <t>The web management interface of the device allows the administrator 
username and password to be set to blank values. Once applied, the 
device permits authentication with empty credentials over the web 
management interface and Telnet service. This effectively disables 
authentication across all critical management channels, allowing any 
network-adjacent attacker to gain full administrative control without 
credentials.</t>
        </is>
      </c>
      <c r="D735" s="189" t="n">
        <v>9.800000000000001</v>
      </c>
      <c r="E735" s="189" t="inlineStr">
        <is>
          <t>CRITICAL</t>
        </is>
      </c>
      <c r="F735" s="189" t="n">
        <v>2</v>
      </c>
      <c r="G735" s="189" t="n">
        <v>3</v>
      </c>
      <c r="H735" s="189" t="inlineStr">
        <is>
          <t>HIGH</t>
        </is>
      </c>
      <c r="I735" s="189" t="n">
        <v>15.8</v>
      </c>
      <c r="J735" s="189" t="inlineStr">
        <is>
          <t>NO</t>
        </is>
      </c>
      <c r="K735" s="189" t="inlineStr">
        <is>
          <t>https://nvd.nist.gov/vuln/detail/CVE-2026-25715</t>
        </is>
      </c>
      <c r="L735" s="189" t="inlineStr">
        <is>
          <t>2026-02-26 00:15</t>
        </is>
      </c>
      <c r="M735" s="189" t="inlineStr">
        <is>
          <t>CHECK_VENDOR</t>
        </is>
      </c>
      <c r="N735" s="189" t="inlineStr">
        <is>
          <t>See NVD references</t>
        </is>
      </c>
      <c r="O735" s="189" t="inlineStr">
        <is>
          <t>Apply vendor patches</t>
        </is>
      </c>
      <c r="P735" s="189" t="inlineStr">
        <is>
          <t>See CVE details</t>
        </is>
      </c>
      <c r="Q735" s="189" t="inlineStr">
        <is>
          <t>P3</t>
        </is>
      </c>
      <c r="R735" s="189" t="inlineStr">
        <is>
          <t>🚨 URGENT: Apply vendor patches immediately | 🔒 Isolate affected systems if patch unavailable | 🛡️ Enable additional monitoring/IDS rules</t>
        </is>
      </c>
      <c r="S735" s="189" t="inlineStr">
        <is>
          <t>CVE - IP enrichment n/a</t>
        </is>
      </c>
      <c r="T735" s="189" t="n">
        <v>0</v>
      </c>
      <c r="U735" s="189" t="n">
        <v>0</v>
      </c>
      <c r="V735" s="189" t="inlineStr">
        <is>
          <t>T1552:Unsecured Credentials</t>
        </is>
      </c>
      <c r="W735" s="189" t="n">
        <v>1</v>
      </c>
      <c r="X735" s="189" t="inlineStr">
        <is>
          <t>LOW (40%)</t>
        </is>
      </c>
      <c r="Y735" s="189" t="inlineStr">
        <is>
          <t>UNLIKELY</t>
        </is>
      </c>
      <c r="Z735" s="189" t="inlineStr">
        <is>
          <t>CHECK_VENDOR</t>
        </is>
      </c>
      <c r="AA735" s="189" t="inlineStr">
        <is>
          <t>https://nvd.nist.gov/vuln/detail/CVE-2026-25715</t>
        </is>
      </c>
      <c r="AB735" s="189" t="inlineStr">
        <is>
          <t>NONE</t>
        </is>
      </c>
      <c r="AC735" s="189" t="n">
        <v>0</v>
      </c>
      <c r="AD735" s="189" t="inlineStr"/>
    </row>
    <row r="736">
      <c r="A736" s="188" t="inlineStr">
        <is>
          <t>CVE</t>
        </is>
      </c>
      <c r="B736" s="188" t="inlineStr">
        <is>
          <t>CVE-2026-26048</t>
        </is>
      </c>
      <c r="C736" s="188" t="inlineStr">
        <is>
          <t>The Wi-Fi router is vulnerable to de-authentication attacks due to the 
absence of management frame protection, allowing forged deauthentication
 and disassociation frames to be broadcast without authentication or 
encryption. An attacker can use this to cause unauthorized disruptions 
and create a denial-of-service condition.</t>
        </is>
      </c>
      <c r="D736" s="188" t="n">
        <v>7.5</v>
      </c>
      <c r="E736" s="188" t="inlineStr">
        <is>
          <t>HIGH</t>
        </is>
      </c>
      <c r="F736" s="188" t="n">
        <v>2</v>
      </c>
      <c r="G736" s="188" t="n">
        <v>3</v>
      </c>
      <c r="H736" s="188" t="inlineStr">
        <is>
          <t>HIGH</t>
        </is>
      </c>
      <c r="I736" s="188" t="n">
        <v>13.5</v>
      </c>
      <c r="J736" s="188" t="inlineStr">
        <is>
          <t>NO</t>
        </is>
      </c>
      <c r="K736" s="188" t="inlineStr">
        <is>
          <t>https://nvd.nist.gov/vuln/detail/CVE-2026-26048</t>
        </is>
      </c>
      <c r="L736" s="188" t="inlineStr">
        <is>
          <t>2026-02-26 00:15</t>
        </is>
      </c>
      <c r="M736" s="188" t="inlineStr">
        <is>
          <t>CHECK_VENDOR</t>
        </is>
      </c>
      <c r="N736" s="188" t="inlineStr">
        <is>
          <t>See NVD references</t>
        </is>
      </c>
      <c r="O736" s="188" t="inlineStr">
        <is>
          <t>Apply vendor patches</t>
        </is>
      </c>
      <c r="P736" s="188" t="inlineStr">
        <is>
          <t>See CVE details</t>
        </is>
      </c>
      <c r="Q736" s="188" t="inlineStr">
        <is>
          <t>P3</t>
        </is>
      </c>
      <c r="R736" s="188" t="inlineStr">
        <is>
          <t>🚨 URGENT: Apply vendor patches immediately | 🔒 Isolate affected systems if patch unavailable | 🛡️ Enable additional monitoring/IDS rules</t>
        </is>
      </c>
      <c r="S736" s="188" t="inlineStr">
        <is>
          <t>CVE - IP enrichment n/a</t>
        </is>
      </c>
      <c r="T736" s="188" t="n">
        <v>0</v>
      </c>
      <c r="U736" s="188" t="n">
        <v>0</v>
      </c>
      <c r="V736" s="188" t="inlineStr">
        <is>
          <t>T1078:Valid Accounts</t>
        </is>
      </c>
      <c r="W736" s="188" t="n">
        <v>1</v>
      </c>
      <c r="X736" s="188" t="inlineStr">
        <is>
          <t>LOW (40%)</t>
        </is>
      </c>
      <c r="Y736" s="188" t="inlineStr">
        <is>
          <t>UNLIKELY</t>
        </is>
      </c>
      <c r="Z736" s="188" t="inlineStr">
        <is>
          <t>CHECK_VENDOR</t>
        </is>
      </c>
      <c r="AA736" s="188" t="inlineStr">
        <is>
          <t>https://nvd.nist.gov/vuln/detail/CVE-2026-26048</t>
        </is>
      </c>
      <c r="AB736" s="188" t="inlineStr">
        <is>
          <t>NONE</t>
        </is>
      </c>
      <c r="AC736" s="188" t="n">
        <v>0</v>
      </c>
      <c r="AD736" s="188" t="inlineStr"/>
    </row>
    <row r="737">
      <c r="A737" s="187" t="inlineStr">
        <is>
          <t>CVE</t>
        </is>
      </c>
      <c r="B737" s="187" t="inlineStr">
        <is>
          <t>CVE-2026-26049</t>
        </is>
      </c>
      <c r="C737" s="187" t="inlineStr">
        <is>
          <t>The web management interface of the device renders the passwords in a 
plaintext input field. The current password is directly visible to 
anyone with access to the UI, potentially exposing administrator 
credentials to unauthorized observation via shoulder surfing, 
screenshots, or browser form caching.</t>
        </is>
      </c>
      <c r="D737" s="187" t="n">
        <v>5.7</v>
      </c>
      <c r="E737" s="187" t="inlineStr">
        <is>
          <t>MEDIUM</t>
        </is>
      </c>
      <c r="F737" s="187" t="n">
        <v>2</v>
      </c>
      <c r="G737" s="187" t="n">
        <v>2</v>
      </c>
      <c r="H737" s="187" t="inlineStr">
        <is>
          <t>MEDIUM</t>
        </is>
      </c>
      <c r="I737" s="187" t="n">
        <v>9.699999999999999</v>
      </c>
      <c r="J737" s="187" t="inlineStr">
        <is>
          <t>NO</t>
        </is>
      </c>
      <c r="K737" s="187" t="inlineStr">
        <is>
          <t>https://nvd.nist.gov/vuln/detail/CVE-2026-26049</t>
        </is>
      </c>
      <c r="L737" s="187" t="inlineStr">
        <is>
          <t>2026-02-26 00:15</t>
        </is>
      </c>
      <c r="M737" s="187" t="inlineStr">
        <is>
          <t>CHECK_VENDOR</t>
        </is>
      </c>
      <c r="N737" s="187" t="inlineStr">
        <is>
          <t>See NVD references</t>
        </is>
      </c>
      <c r="O737" s="187" t="inlineStr">
        <is>
          <t>Apply vendor patches</t>
        </is>
      </c>
      <c r="P737" s="187" t="inlineStr">
        <is>
          <t>See CVE details</t>
        </is>
      </c>
      <c r="Q737" s="187" t="inlineStr">
        <is>
          <t>P4</t>
        </is>
      </c>
      <c r="R737" s="187" t="inlineStr">
        <is>
          <t>📅 Schedule patch deployment within 30 days | 🔍 Monitor for exploitation attempts</t>
        </is>
      </c>
      <c r="S737" s="187" t="inlineStr">
        <is>
          <t>CVE - IP enrichment n/a</t>
        </is>
      </c>
      <c r="T737" s="187" t="n">
        <v>0.0003</v>
      </c>
      <c r="U737" s="187" t="n">
        <v>0.0776</v>
      </c>
      <c r="V737" s="187" t="inlineStr">
        <is>
          <t>T1552:Unsecured Credentials</t>
        </is>
      </c>
      <c r="W737" s="187" t="n">
        <v>1</v>
      </c>
      <c r="X737" s="187" t="inlineStr">
        <is>
          <t>LOW (40%)</t>
        </is>
      </c>
      <c r="Y737" s="187" t="inlineStr">
        <is>
          <t>UNLIKELY</t>
        </is>
      </c>
      <c r="Z737" s="187" t="inlineStr">
        <is>
          <t>CHECK_VENDOR</t>
        </is>
      </c>
      <c r="AA737" s="187" t="inlineStr">
        <is>
          <t>https://nvd.nist.gov/vuln/detail/CVE-2026-26049</t>
        </is>
      </c>
      <c r="AB737" s="187" t="inlineStr">
        <is>
          <t>NONE</t>
        </is>
      </c>
      <c r="AC737" s="187" t="n">
        <v>0</v>
      </c>
      <c r="AD737" s="187" t="inlineStr"/>
    </row>
    <row r="738">
      <c r="A738" s="187" t="inlineStr">
        <is>
          <t>CVE</t>
        </is>
      </c>
      <c r="B738" s="187" t="inlineStr">
        <is>
          <t>CVE-2026-26093</t>
        </is>
      </c>
      <c r="C738" s="187" t="inlineStr">
        <is>
          <t>Improper Neutralization of Special Elements used in a Command ('Command Injection') in Owl opds 2.2.0.4 allows Command Injection via a crafted network request.</t>
        </is>
      </c>
      <c r="D738" s="187" t="n">
        <v>5</v>
      </c>
      <c r="E738" s="187" t="inlineStr">
        <is>
          <t>MEDIUM</t>
        </is>
      </c>
      <c r="F738" s="187" t="n">
        <v>2</v>
      </c>
      <c r="G738" s="187" t="n">
        <v>2</v>
      </c>
      <c r="H738" s="187" t="inlineStr">
        <is>
          <t>MEDIUM</t>
        </is>
      </c>
      <c r="I738" s="187" t="n">
        <v>9</v>
      </c>
      <c r="J738" s="187" t="inlineStr">
        <is>
          <t>NO</t>
        </is>
      </c>
      <c r="K738" s="187" t="inlineStr">
        <is>
          <t>https://nvd.nist.gov/vuln/detail/CVE-2026-26093</t>
        </is>
      </c>
      <c r="L738" s="187" t="inlineStr">
        <is>
          <t>2026-02-26 00:15</t>
        </is>
      </c>
      <c r="M738" s="187" t="inlineStr">
        <is>
          <t>CHECK_VENDOR</t>
        </is>
      </c>
      <c r="N738" s="187" t="inlineStr">
        <is>
          <t>See NVD references</t>
        </is>
      </c>
      <c r="O738" s="187" t="inlineStr">
        <is>
          <t>Apply vendor patches</t>
        </is>
      </c>
      <c r="P738" s="187" t="inlineStr">
        <is>
          <t>See CVE details</t>
        </is>
      </c>
      <c r="Q738" s="187" t="inlineStr">
        <is>
          <t>P4</t>
        </is>
      </c>
      <c r="R738" s="187" t="inlineStr">
        <is>
          <t>📅 Schedule patch deployment within 30 days | 🔍 Monitor for exploitation attempts</t>
        </is>
      </c>
      <c r="S738" s="187" t="inlineStr">
        <is>
          <t>CVE - IP enrichment n/a</t>
        </is>
      </c>
      <c r="T738" s="187" t="n">
        <v>0</v>
      </c>
      <c r="U738" s="187" t="n">
        <v>0</v>
      </c>
      <c r="V738" s="187" t="inlineStr">
        <is>
          <t>T1059:Command and Scripting Interpreter</t>
        </is>
      </c>
      <c r="W738" s="187" t="n">
        <v>1</v>
      </c>
      <c r="X738" s="187" t="inlineStr">
        <is>
          <t>LOW (40%)</t>
        </is>
      </c>
      <c r="Y738" s="187" t="inlineStr">
        <is>
          <t>UNLIKELY</t>
        </is>
      </c>
      <c r="Z738" s="187" t="inlineStr">
        <is>
          <t>CHECK_VENDOR</t>
        </is>
      </c>
      <c r="AA738" s="187" t="inlineStr">
        <is>
          <t>https://nvd.nist.gov/vuln/detail/CVE-2026-26093</t>
        </is>
      </c>
      <c r="AB738" s="187" t="inlineStr">
        <is>
          <t>NONE</t>
        </is>
      </c>
      <c r="AC738" s="187" t="n">
        <v>0</v>
      </c>
      <c r="AD738" s="187" t="inlineStr"/>
    </row>
    <row r="739">
      <c r="A739" s="188" t="inlineStr">
        <is>
          <t>CVE</t>
        </is>
      </c>
      <c r="B739" s="188" t="inlineStr">
        <is>
          <t>CVE-2026-26095</t>
        </is>
      </c>
      <c r="C739" s="188" t="inlineStr">
        <is>
          <t>Incorrect Permission Assignment for Critical Resource in Owl opds 2.2.0.4 allows File Manipulation via a crafted network request.</t>
        </is>
      </c>
      <c r="D739" s="188" t="n">
        <v>8.5</v>
      </c>
      <c r="E739" s="188" t="inlineStr">
        <is>
          <t>HIGH</t>
        </is>
      </c>
      <c r="F739" s="188" t="n">
        <v>2</v>
      </c>
      <c r="G739" s="188" t="n">
        <v>3</v>
      </c>
      <c r="H739" s="188" t="inlineStr">
        <is>
          <t>HIGH</t>
        </is>
      </c>
      <c r="I739" s="188" t="n">
        <v>14.5</v>
      </c>
      <c r="J739" s="188" t="inlineStr">
        <is>
          <t>NO</t>
        </is>
      </c>
      <c r="K739" s="188" t="inlineStr">
        <is>
          <t>https://nvd.nist.gov/vuln/detail/CVE-2026-26095</t>
        </is>
      </c>
      <c r="L739" s="188" t="inlineStr">
        <is>
          <t>2026-02-26 00:15</t>
        </is>
      </c>
      <c r="M739" s="188" t="inlineStr">
        <is>
          <t>CHECK_VENDOR</t>
        </is>
      </c>
      <c r="N739" s="188" t="inlineStr">
        <is>
          <t>See NVD references</t>
        </is>
      </c>
      <c r="O739" s="188" t="inlineStr">
        <is>
          <t>Apply vendor patches</t>
        </is>
      </c>
      <c r="P739" s="188" t="inlineStr">
        <is>
          <t>See CVE details</t>
        </is>
      </c>
      <c r="Q739" s="188" t="inlineStr">
        <is>
          <t>P3</t>
        </is>
      </c>
      <c r="R739" s="188" t="inlineStr">
        <is>
          <t>🚨 URGENT: Apply vendor patches immediately | 🔒 Isolate affected systems if patch unavailable | 🛡️ Enable additional monitoring/IDS rules</t>
        </is>
      </c>
      <c r="S739" s="188" t="inlineStr">
        <is>
          <t>CVE - IP enrichment n/a</t>
        </is>
      </c>
      <c r="T739" s="188" t="n">
        <v>0</v>
      </c>
      <c r="U739" s="188" t="n">
        <v>0</v>
      </c>
      <c r="V739" s="188" t="inlineStr">
        <is>
          <t>T1190:Exploit Public-Facing Application</t>
        </is>
      </c>
      <c r="W739" s="188" t="n">
        <v>1</v>
      </c>
      <c r="X739" s="188" t="inlineStr">
        <is>
          <t>LOW (40%)</t>
        </is>
      </c>
      <c r="Y739" s="188" t="inlineStr">
        <is>
          <t>UNLIKELY</t>
        </is>
      </c>
      <c r="Z739" s="188" t="inlineStr">
        <is>
          <t>CHECK_VENDOR</t>
        </is>
      </c>
      <c r="AA739" s="188" t="inlineStr">
        <is>
          <t>https://nvd.nist.gov/vuln/detail/CVE-2026-26095</t>
        </is>
      </c>
      <c r="AB739" s="188" t="inlineStr">
        <is>
          <t>NONE</t>
        </is>
      </c>
      <c r="AC739" s="188" t="n">
        <v>0</v>
      </c>
      <c r="AD739" s="188" t="inlineStr"/>
    </row>
    <row r="740">
      <c r="A740" s="188" t="inlineStr">
        <is>
          <t>CVE</t>
        </is>
      </c>
      <c r="B740" s="188" t="inlineStr">
        <is>
          <t>CVE-2026-26096</t>
        </is>
      </c>
      <c r="C740" s="188" t="inlineStr">
        <is>
          <t>Incorrect Permission Assignment for Critical Resource in Owl opds 2.2.0.4 allows File Manipulation via a crafted network request.</t>
        </is>
      </c>
      <c r="D740" s="188" t="n">
        <v>8.5</v>
      </c>
      <c r="E740" s="188" t="inlineStr">
        <is>
          <t>HIGH</t>
        </is>
      </c>
      <c r="F740" s="188" t="n">
        <v>2</v>
      </c>
      <c r="G740" s="188" t="n">
        <v>3</v>
      </c>
      <c r="H740" s="188" t="inlineStr">
        <is>
          <t>HIGH</t>
        </is>
      </c>
      <c r="I740" s="188" t="n">
        <v>14.5</v>
      </c>
      <c r="J740" s="188" t="inlineStr">
        <is>
          <t>NO</t>
        </is>
      </c>
      <c r="K740" s="188" t="inlineStr">
        <is>
          <t>https://nvd.nist.gov/vuln/detail/CVE-2026-26096</t>
        </is>
      </c>
      <c r="L740" s="188" t="inlineStr">
        <is>
          <t>2026-02-26 00:15</t>
        </is>
      </c>
      <c r="M740" s="188" t="inlineStr">
        <is>
          <t>CHECK_VENDOR</t>
        </is>
      </c>
      <c r="N740" s="188" t="inlineStr">
        <is>
          <t>See NVD references</t>
        </is>
      </c>
      <c r="O740" s="188" t="inlineStr">
        <is>
          <t>Apply vendor patches</t>
        </is>
      </c>
      <c r="P740" s="188" t="inlineStr">
        <is>
          <t>See CVE details</t>
        </is>
      </c>
      <c r="Q740" s="188" t="inlineStr">
        <is>
          <t>P3</t>
        </is>
      </c>
      <c r="R740" s="188" t="inlineStr">
        <is>
          <t>🚨 URGENT: Apply vendor patches immediately | 🔒 Isolate affected systems if patch unavailable | 🛡️ Enable additional monitoring/IDS rules</t>
        </is>
      </c>
      <c r="S740" s="188" t="inlineStr">
        <is>
          <t>CVE - IP enrichment n/a</t>
        </is>
      </c>
      <c r="T740" s="188" t="n">
        <v>0</v>
      </c>
      <c r="U740" s="188" t="n">
        <v>0</v>
      </c>
      <c r="V740" s="188" t="inlineStr">
        <is>
          <t>T1190:Exploit Public-Facing Application</t>
        </is>
      </c>
      <c r="W740" s="188" t="n">
        <v>1</v>
      </c>
      <c r="X740" s="188" t="inlineStr">
        <is>
          <t>LOW (40%)</t>
        </is>
      </c>
      <c r="Y740" s="188" t="inlineStr">
        <is>
          <t>UNLIKELY</t>
        </is>
      </c>
      <c r="Z740" s="188" t="inlineStr">
        <is>
          <t>CHECK_VENDOR</t>
        </is>
      </c>
      <c r="AA740" s="188" t="inlineStr">
        <is>
          <t>https://nvd.nist.gov/vuln/detail/CVE-2026-26096</t>
        </is>
      </c>
      <c r="AB740" s="188" t="inlineStr">
        <is>
          <t>NONE</t>
        </is>
      </c>
      <c r="AC740" s="188" t="n">
        <v>0</v>
      </c>
      <c r="AD740" s="188" t="inlineStr"/>
    </row>
    <row r="741">
      <c r="A741" s="187" t="inlineStr">
        <is>
          <t>CVE</t>
        </is>
      </c>
      <c r="B741" s="187" t="inlineStr">
        <is>
          <t>CVE-2026-26097</t>
        </is>
      </c>
      <c r="C741" s="187" t="inlineStr">
        <is>
          <t>Uncontrolled Search Path Element in Owl opds 2.2.0.4 allows Leveraging/Manipulating Configuration File Search Paths via a crafted network request.</t>
        </is>
      </c>
      <c r="D741" s="187" t="n">
        <v>5</v>
      </c>
      <c r="E741" s="187" t="inlineStr">
        <is>
          <t>MEDIUM</t>
        </is>
      </c>
      <c r="F741" s="187" t="n">
        <v>2</v>
      </c>
      <c r="G741" s="187" t="n">
        <v>2</v>
      </c>
      <c r="H741" s="187" t="inlineStr">
        <is>
          <t>MEDIUM</t>
        </is>
      </c>
      <c r="I741" s="187" t="n">
        <v>9</v>
      </c>
      <c r="J741" s="187" t="inlineStr">
        <is>
          <t>NO</t>
        </is>
      </c>
      <c r="K741" s="187" t="inlineStr">
        <is>
          <t>https://nvd.nist.gov/vuln/detail/CVE-2026-26097</t>
        </is>
      </c>
      <c r="L741" s="187" t="inlineStr">
        <is>
          <t>2026-02-26 00:15</t>
        </is>
      </c>
      <c r="M741" s="187" t="inlineStr">
        <is>
          <t>CHECK_VENDOR</t>
        </is>
      </c>
      <c r="N741" s="187" t="inlineStr">
        <is>
          <t>See NVD references</t>
        </is>
      </c>
      <c r="O741" s="187" t="inlineStr">
        <is>
          <t>Apply vendor patches</t>
        </is>
      </c>
      <c r="P741" s="187" t="inlineStr">
        <is>
          <t>See CVE details</t>
        </is>
      </c>
      <c r="Q741" s="187" t="inlineStr">
        <is>
          <t>P4</t>
        </is>
      </c>
      <c r="R741" s="187" t="inlineStr">
        <is>
          <t>📅 Schedule patch deployment within 30 days | 🔍 Monitor for exploitation attempts</t>
        </is>
      </c>
      <c r="S741" s="187" t="inlineStr">
        <is>
          <t>CVE - IP enrichment n/a</t>
        </is>
      </c>
      <c r="T741" s="187" t="n">
        <v>0</v>
      </c>
      <c r="U741" s="187" t="n">
        <v>0</v>
      </c>
      <c r="V741" s="187" t="inlineStr">
        <is>
          <t>T1190:Exploit Public-Facing Application</t>
        </is>
      </c>
      <c r="W741" s="187" t="n">
        <v>1</v>
      </c>
      <c r="X741" s="187" t="inlineStr">
        <is>
          <t>LOW (40%)</t>
        </is>
      </c>
      <c r="Y741" s="187" t="inlineStr">
        <is>
          <t>UNLIKELY</t>
        </is>
      </c>
      <c r="Z741" s="187" t="inlineStr">
        <is>
          <t>CHECK_VENDOR</t>
        </is>
      </c>
      <c r="AA741" s="187" t="inlineStr">
        <is>
          <t>https://nvd.nist.gov/vuln/detail/CVE-2026-26097</t>
        </is>
      </c>
      <c r="AB741" s="187" t="inlineStr">
        <is>
          <t>NONE</t>
        </is>
      </c>
      <c r="AC741" s="187" t="n">
        <v>0</v>
      </c>
      <c r="AD741" s="187" t="inlineStr"/>
    </row>
    <row r="742">
      <c r="A742" s="187" t="inlineStr">
        <is>
          <t>CVE</t>
        </is>
      </c>
      <c r="B742" s="187" t="inlineStr">
        <is>
          <t>CVE-2026-26098</t>
        </is>
      </c>
      <c r="C742" s="187" t="inlineStr">
        <is>
          <t>Uncontrolled Search Path Element in Owl opds 2.2.0.4 allows Leveraging/Manipulating Configuration File Search Paths via a crafted network request.</t>
        </is>
      </c>
      <c r="D742" s="187" t="n">
        <v>5</v>
      </c>
      <c r="E742" s="187" t="inlineStr">
        <is>
          <t>MEDIUM</t>
        </is>
      </c>
      <c r="F742" s="187" t="n">
        <v>2</v>
      </c>
      <c r="G742" s="187" t="n">
        <v>2</v>
      </c>
      <c r="H742" s="187" t="inlineStr">
        <is>
          <t>MEDIUM</t>
        </is>
      </c>
      <c r="I742" s="187" t="n">
        <v>9</v>
      </c>
      <c r="J742" s="187" t="inlineStr">
        <is>
          <t>NO</t>
        </is>
      </c>
      <c r="K742" s="187" t="inlineStr">
        <is>
          <t>https://nvd.nist.gov/vuln/detail/CVE-2026-26098</t>
        </is>
      </c>
      <c r="L742" s="187" t="inlineStr">
        <is>
          <t>2026-02-26 00:15</t>
        </is>
      </c>
      <c r="M742" s="187" t="inlineStr">
        <is>
          <t>CHECK_VENDOR</t>
        </is>
      </c>
      <c r="N742" s="187" t="inlineStr">
        <is>
          <t>See NVD references</t>
        </is>
      </c>
      <c r="O742" s="187" t="inlineStr">
        <is>
          <t>Apply vendor patches</t>
        </is>
      </c>
      <c r="P742" s="187" t="inlineStr">
        <is>
          <t>See CVE details</t>
        </is>
      </c>
      <c r="Q742" s="187" t="inlineStr">
        <is>
          <t>P4</t>
        </is>
      </c>
      <c r="R742" s="187" t="inlineStr">
        <is>
          <t>📅 Schedule patch deployment within 30 days | 🔍 Monitor for exploitation attempts</t>
        </is>
      </c>
      <c r="S742" s="187" t="inlineStr">
        <is>
          <t>CVE - IP enrichment n/a</t>
        </is>
      </c>
      <c r="T742" s="187" t="n">
        <v>0</v>
      </c>
      <c r="U742" s="187" t="n">
        <v>0</v>
      </c>
      <c r="V742" s="187" t="inlineStr">
        <is>
          <t>T1190:Exploit Public-Facing Application</t>
        </is>
      </c>
      <c r="W742" s="187" t="n">
        <v>1</v>
      </c>
      <c r="X742" s="187" t="inlineStr">
        <is>
          <t>LOW (40%)</t>
        </is>
      </c>
      <c r="Y742" s="187" t="inlineStr">
        <is>
          <t>UNLIKELY</t>
        </is>
      </c>
      <c r="Z742" s="187" t="inlineStr">
        <is>
          <t>CHECK_VENDOR</t>
        </is>
      </c>
      <c r="AA742" s="187" t="inlineStr">
        <is>
          <t>https://nvd.nist.gov/vuln/detail/CVE-2026-26098</t>
        </is>
      </c>
      <c r="AB742" s="187" t="inlineStr">
        <is>
          <t>NONE</t>
        </is>
      </c>
      <c r="AC742" s="187" t="n">
        <v>0</v>
      </c>
      <c r="AD742" s="187" t="inlineStr"/>
    </row>
    <row r="743">
      <c r="A743" s="187" t="inlineStr">
        <is>
          <t>CVE</t>
        </is>
      </c>
      <c r="B743" s="187" t="inlineStr">
        <is>
          <t>CVE-2026-26099</t>
        </is>
      </c>
      <c r="C743" s="187" t="inlineStr">
        <is>
          <t>Uncontrolled Search Path Element in Owl opds 2.2.0.4 allows Leveraging/Manipulating Configuration File Search Paths via a crafted network request.</t>
        </is>
      </c>
      <c r="D743" s="187" t="n">
        <v>5</v>
      </c>
      <c r="E743" s="187" t="inlineStr">
        <is>
          <t>MEDIUM</t>
        </is>
      </c>
      <c r="F743" s="187" t="n">
        <v>2</v>
      </c>
      <c r="G743" s="187" t="n">
        <v>2</v>
      </c>
      <c r="H743" s="187" t="inlineStr">
        <is>
          <t>MEDIUM</t>
        </is>
      </c>
      <c r="I743" s="187" t="n">
        <v>9</v>
      </c>
      <c r="J743" s="187" t="inlineStr">
        <is>
          <t>NO</t>
        </is>
      </c>
      <c r="K743" s="187" t="inlineStr">
        <is>
          <t>https://nvd.nist.gov/vuln/detail/CVE-2026-26099</t>
        </is>
      </c>
      <c r="L743" s="187" t="inlineStr">
        <is>
          <t>2026-02-26 00:15</t>
        </is>
      </c>
      <c r="M743" s="187" t="inlineStr">
        <is>
          <t>CHECK_VENDOR</t>
        </is>
      </c>
      <c r="N743" s="187" t="inlineStr">
        <is>
          <t>See NVD references</t>
        </is>
      </c>
      <c r="O743" s="187" t="inlineStr">
        <is>
          <t>Apply vendor patches</t>
        </is>
      </c>
      <c r="P743" s="187" t="inlineStr">
        <is>
          <t>See CVE details</t>
        </is>
      </c>
      <c r="Q743" s="187" t="inlineStr">
        <is>
          <t>P4</t>
        </is>
      </c>
      <c r="R743" s="187" t="inlineStr">
        <is>
          <t>📅 Schedule patch deployment within 30 days | 🔍 Monitor for exploitation attempts</t>
        </is>
      </c>
      <c r="S743" s="187" t="inlineStr">
        <is>
          <t>CVE - IP enrichment n/a</t>
        </is>
      </c>
      <c r="T743" s="187" t="n">
        <v>0</v>
      </c>
      <c r="U743" s="187" t="n">
        <v>0</v>
      </c>
      <c r="V743" s="187" t="inlineStr">
        <is>
          <t>T1190:Exploit Public-Facing Application</t>
        </is>
      </c>
      <c r="W743" s="187" t="n">
        <v>1</v>
      </c>
      <c r="X743" s="187" t="inlineStr">
        <is>
          <t>LOW (40%)</t>
        </is>
      </c>
      <c r="Y743" s="187" t="inlineStr">
        <is>
          <t>UNLIKELY</t>
        </is>
      </c>
      <c r="Z743" s="187" t="inlineStr">
        <is>
          <t>CHECK_VENDOR</t>
        </is>
      </c>
      <c r="AA743" s="187" t="inlineStr">
        <is>
          <t>https://nvd.nist.gov/vuln/detail/CVE-2026-26099</t>
        </is>
      </c>
      <c r="AB743" s="187" t="inlineStr">
        <is>
          <t>NONE</t>
        </is>
      </c>
      <c r="AC743" s="187" t="n">
        <v>0</v>
      </c>
      <c r="AD743" s="187" t="inlineStr"/>
    </row>
    <row r="744">
      <c r="A744" s="188" t="inlineStr">
        <is>
          <t>CVE</t>
        </is>
      </c>
      <c r="B744" s="188" t="inlineStr">
        <is>
          <t>CVE-2026-26100</t>
        </is>
      </c>
      <c r="C744" s="188" t="inlineStr">
        <is>
          <t>Incorrect Permission Assignment for Critical Resource in Owl opds 2.2.0.4 allows File Manipulation via a crafted network request.</t>
        </is>
      </c>
      <c r="D744" s="188" t="n">
        <v>8.5</v>
      </c>
      <c r="E744" s="188" t="inlineStr">
        <is>
          <t>HIGH</t>
        </is>
      </c>
      <c r="F744" s="188" t="n">
        <v>2</v>
      </c>
      <c r="G744" s="188" t="n">
        <v>3</v>
      </c>
      <c r="H744" s="188" t="inlineStr">
        <is>
          <t>HIGH</t>
        </is>
      </c>
      <c r="I744" s="188" t="n">
        <v>14.5</v>
      </c>
      <c r="J744" s="188" t="inlineStr">
        <is>
          <t>NO</t>
        </is>
      </c>
      <c r="K744" s="188" t="inlineStr">
        <is>
          <t>https://nvd.nist.gov/vuln/detail/CVE-2026-26100</t>
        </is>
      </c>
      <c r="L744" s="188" t="inlineStr">
        <is>
          <t>2026-02-26 00:15</t>
        </is>
      </c>
      <c r="M744" s="188" t="inlineStr">
        <is>
          <t>CHECK_VENDOR</t>
        </is>
      </c>
      <c r="N744" s="188" t="inlineStr">
        <is>
          <t>See NVD references</t>
        </is>
      </c>
      <c r="O744" s="188" t="inlineStr">
        <is>
          <t>Apply vendor patches</t>
        </is>
      </c>
      <c r="P744" s="188" t="inlineStr">
        <is>
          <t>See CVE details</t>
        </is>
      </c>
      <c r="Q744" s="188" t="inlineStr">
        <is>
          <t>P3</t>
        </is>
      </c>
      <c r="R744" s="188" t="inlineStr">
        <is>
          <t>🚨 URGENT: Apply vendor patches immediately | 🔒 Isolate affected systems if patch unavailable | 🛡️ Enable additional monitoring/IDS rules</t>
        </is>
      </c>
      <c r="S744" s="188" t="inlineStr">
        <is>
          <t>CVE - IP enrichment n/a</t>
        </is>
      </c>
      <c r="T744" s="188" t="n">
        <v>0</v>
      </c>
      <c r="U744" s="188" t="n">
        <v>0</v>
      </c>
      <c r="V744" s="188" t="inlineStr">
        <is>
          <t>T1190:Exploit Public-Facing Application</t>
        </is>
      </c>
      <c r="W744" s="188" t="n">
        <v>1</v>
      </c>
      <c r="X744" s="188" t="inlineStr">
        <is>
          <t>LOW (40%)</t>
        </is>
      </c>
      <c r="Y744" s="188" t="inlineStr">
        <is>
          <t>UNLIKELY</t>
        </is>
      </c>
      <c r="Z744" s="188" t="inlineStr">
        <is>
          <t>CHECK_VENDOR</t>
        </is>
      </c>
      <c r="AA744" s="188" t="inlineStr">
        <is>
          <t>https://nvd.nist.gov/vuln/detail/CVE-2026-26100</t>
        </is>
      </c>
      <c r="AB744" s="188" t="inlineStr">
        <is>
          <t>NONE</t>
        </is>
      </c>
      <c r="AC744" s="188" t="n">
        <v>0</v>
      </c>
      <c r="AD744" s="188" t="inlineStr"/>
    </row>
    <row r="745">
      <c r="A745" s="188" t="inlineStr">
        <is>
          <t>CVE</t>
        </is>
      </c>
      <c r="B745" s="188" t="inlineStr">
        <is>
          <t>CVE-2026-26101</t>
        </is>
      </c>
      <c r="C745" s="188" t="inlineStr">
        <is>
          <t>Incorrect Permission Assignment for Critical Resource in Owl opds 2.2.0.4 allows File Manipulation via a crafted network request.</t>
        </is>
      </c>
      <c r="D745" s="188" t="n">
        <v>8.5</v>
      </c>
      <c r="E745" s="188" t="inlineStr">
        <is>
          <t>HIGH</t>
        </is>
      </c>
      <c r="F745" s="188" t="n">
        <v>2</v>
      </c>
      <c r="G745" s="188" t="n">
        <v>3</v>
      </c>
      <c r="H745" s="188" t="inlineStr">
        <is>
          <t>HIGH</t>
        </is>
      </c>
      <c r="I745" s="188" t="n">
        <v>14.5</v>
      </c>
      <c r="J745" s="188" t="inlineStr">
        <is>
          <t>NO</t>
        </is>
      </c>
      <c r="K745" s="188" t="inlineStr">
        <is>
          <t>https://nvd.nist.gov/vuln/detail/CVE-2026-26101</t>
        </is>
      </c>
      <c r="L745" s="188" t="inlineStr">
        <is>
          <t>2026-02-26 00:15</t>
        </is>
      </c>
      <c r="M745" s="188" t="inlineStr">
        <is>
          <t>CHECK_VENDOR</t>
        </is>
      </c>
      <c r="N745" s="188" t="inlineStr">
        <is>
          <t>See NVD references</t>
        </is>
      </c>
      <c r="O745" s="188" t="inlineStr">
        <is>
          <t>Apply vendor patches</t>
        </is>
      </c>
      <c r="P745" s="188" t="inlineStr">
        <is>
          <t>See CVE details</t>
        </is>
      </c>
      <c r="Q745" s="188" t="inlineStr">
        <is>
          <t>P3</t>
        </is>
      </c>
      <c r="R745" s="188" t="inlineStr">
        <is>
          <t>🚨 URGENT: Apply vendor patches immediately | 🔒 Isolate affected systems if patch unavailable | 🛡️ Enable additional monitoring/IDS rules</t>
        </is>
      </c>
      <c r="S745" s="188" t="inlineStr">
        <is>
          <t>CVE - IP enrichment n/a</t>
        </is>
      </c>
      <c r="T745" s="188" t="n">
        <v>0</v>
      </c>
      <c r="U745" s="188" t="n">
        <v>0</v>
      </c>
      <c r="V745" s="188" t="inlineStr">
        <is>
          <t>T1190:Exploit Public-Facing Application</t>
        </is>
      </c>
      <c r="W745" s="188" t="n">
        <v>1</v>
      </c>
      <c r="X745" s="188" t="inlineStr">
        <is>
          <t>LOW (40%)</t>
        </is>
      </c>
      <c r="Y745" s="188" t="inlineStr">
        <is>
          <t>UNLIKELY</t>
        </is>
      </c>
      <c r="Z745" s="188" t="inlineStr">
        <is>
          <t>CHECK_VENDOR</t>
        </is>
      </c>
      <c r="AA745" s="188" t="inlineStr">
        <is>
          <t>https://nvd.nist.gov/vuln/detail/CVE-2026-26101</t>
        </is>
      </c>
      <c r="AB745" s="188" t="inlineStr">
        <is>
          <t>NONE</t>
        </is>
      </c>
      <c r="AC745" s="188" t="n">
        <v>0</v>
      </c>
      <c r="AD745" s="188" t="inlineStr"/>
    </row>
    <row r="746">
      <c r="A746" s="188" t="inlineStr">
        <is>
          <t>CVE</t>
        </is>
      </c>
      <c r="B746" s="188" t="inlineStr">
        <is>
          <t>CVE-2026-26102</t>
        </is>
      </c>
      <c r="C746" s="188" t="inlineStr">
        <is>
          <t>Incorrect Permission Assignment for Critical Resource in Owl opds 2.2.0.4 allows File Manipulation via a crafted network request.</t>
        </is>
      </c>
      <c r="D746" s="188" t="n">
        <v>8.5</v>
      </c>
      <c r="E746" s="188" t="inlineStr">
        <is>
          <t>HIGH</t>
        </is>
      </c>
      <c r="F746" s="188" t="n">
        <v>2</v>
      </c>
      <c r="G746" s="188" t="n">
        <v>3</v>
      </c>
      <c r="H746" s="188" t="inlineStr">
        <is>
          <t>HIGH</t>
        </is>
      </c>
      <c r="I746" s="188" t="n">
        <v>14.5</v>
      </c>
      <c r="J746" s="188" t="inlineStr">
        <is>
          <t>NO</t>
        </is>
      </c>
      <c r="K746" s="188" t="inlineStr">
        <is>
          <t>https://nvd.nist.gov/vuln/detail/CVE-2026-26102</t>
        </is>
      </c>
      <c r="L746" s="188" t="inlineStr">
        <is>
          <t>2026-02-26 00:15</t>
        </is>
      </c>
      <c r="M746" s="188" t="inlineStr">
        <is>
          <t>CHECK_VENDOR</t>
        </is>
      </c>
      <c r="N746" s="188" t="inlineStr">
        <is>
          <t>See NVD references</t>
        </is>
      </c>
      <c r="O746" s="188" t="inlineStr">
        <is>
          <t>Apply vendor patches</t>
        </is>
      </c>
      <c r="P746" s="188" t="inlineStr">
        <is>
          <t>See CVE details</t>
        </is>
      </c>
      <c r="Q746" s="188" t="inlineStr">
        <is>
          <t>P3</t>
        </is>
      </c>
      <c r="R746" s="188" t="inlineStr">
        <is>
          <t>🚨 URGENT: Apply vendor patches immediately | 🔒 Isolate affected systems if patch unavailable | 🛡️ Enable additional monitoring/IDS rules</t>
        </is>
      </c>
      <c r="S746" s="188" t="inlineStr">
        <is>
          <t>CVE - IP enrichment n/a</t>
        </is>
      </c>
      <c r="T746" s="188" t="n">
        <v>0</v>
      </c>
      <c r="U746" s="188" t="n">
        <v>0</v>
      </c>
      <c r="V746" s="188" t="inlineStr">
        <is>
          <t>T1190:Exploit Public-Facing Application</t>
        </is>
      </c>
      <c r="W746" s="188" t="n">
        <v>1</v>
      </c>
      <c r="X746" s="188" t="inlineStr">
        <is>
          <t>LOW (40%)</t>
        </is>
      </c>
      <c r="Y746" s="188" t="inlineStr">
        <is>
          <t>UNLIKELY</t>
        </is>
      </c>
      <c r="Z746" s="188" t="inlineStr">
        <is>
          <t>CHECK_VENDOR</t>
        </is>
      </c>
      <c r="AA746" s="188" t="inlineStr">
        <is>
          <t>https://nvd.nist.gov/vuln/detail/CVE-2026-26102</t>
        </is>
      </c>
      <c r="AB746" s="188" t="inlineStr">
        <is>
          <t>NONE</t>
        </is>
      </c>
      <c r="AC746" s="188" t="n">
        <v>0</v>
      </c>
      <c r="AD746" s="188" t="inlineStr"/>
    </row>
    <row r="747">
      <c r="A747" s="188" t="inlineStr">
        <is>
          <t>CVE</t>
        </is>
      </c>
      <c r="B747" s="188" t="inlineStr">
        <is>
          <t>CVE-2026-26721</t>
        </is>
      </c>
      <c r="C747" s="188" t="inlineStr">
        <is>
          <t>An issue in Key Systems Inc Global Facilities Management Software v.20230721a allows a remote attacker to obtain sensitive information via the sid query parameter.</t>
        </is>
      </c>
      <c r="D747" s="188" t="n">
        <v>7.1</v>
      </c>
      <c r="E747" s="188" t="inlineStr">
        <is>
          <t>HIGH</t>
        </is>
      </c>
      <c r="F747" s="188" t="n">
        <v>2</v>
      </c>
      <c r="G747" s="188" t="n">
        <v>3</v>
      </c>
      <c r="H747" s="188" t="inlineStr">
        <is>
          <t>HIGH</t>
        </is>
      </c>
      <c r="I747" s="188" t="n">
        <v>13.1</v>
      </c>
      <c r="J747" s="188" t="inlineStr">
        <is>
          <t>NO</t>
        </is>
      </c>
      <c r="K747" s="188" t="inlineStr">
        <is>
          <t>https://nvd.nist.gov/vuln/detail/CVE-2026-26721</t>
        </is>
      </c>
      <c r="L747" s="188" t="inlineStr">
        <is>
          <t>2026-02-26 00:15</t>
        </is>
      </c>
      <c r="M747" s="188" t="inlineStr">
        <is>
          <t>CHECK_VENDOR</t>
        </is>
      </c>
      <c r="N747" s="188" t="inlineStr">
        <is>
          <t>See NVD references</t>
        </is>
      </c>
      <c r="O747" s="188" t="inlineStr">
        <is>
          <t>Apply vendor patches</t>
        </is>
      </c>
      <c r="P747" s="188" t="inlineStr">
        <is>
          <t>See CVE details</t>
        </is>
      </c>
      <c r="Q747" s="188" t="inlineStr">
        <is>
          <t>P3</t>
        </is>
      </c>
      <c r="R747" s="188" t="inlineStr">
        <is>
          <t>🚨 URGENT: Apply vendor patches immediately | 🔒 Isolate affected systems if patch unavailable | 🛡️ Enable additional monitoring/IDS rules</t>
        </is>
      </c>
      <c r="S747" s="188" t="inlineStr">
        <is>
          <t>CVE - IP enrichment n/a</t>
        </is>
      </c>
      <c r="T747" s="188" t="n">
        <v>0</v>
      </c>
      <c r="U747" s="188" t="n">
        <v>0</v>
      </c>
      <c r="V747" s="188" t="inlineStr">
        <is>
          <t>T1190:Exploit Public-Facing Application</t>
        </is>
      </c>
      <c r="W747" s="188" t="n">
        <v>1</v>
      </c>
      <c r="X747" s="188" t="inlineStr">
        <is>
          <t>LOW (40%)</t>
        </is>
      </c>
      <c r="Y747" s="188" t="inlineStr">
        <is>
          <t>UNLIKELY</t>
        </is>
      </c>
      <c r="Z747" s="188" t="inlineStr">
        <is>
          <t>CHECK_VENDOR</t>
        </is>
      </c>
      <c r="AA747" s="188" t="inlineStr">
        <is>
          <t>https://nvd.nist.gov/vuln/detail/CVE-2026-26721</t>
        </is>
      </c>
      <c r="AB747" s="188" t="inlineStr">
        <is>
          <t>NONE</t>
        </is>
      </c>
      <c r="AC747" s="188" t="n">
        <v>0</v>
      </c>
      <c r="AD747" s="188" t="inlineStr"/>
    </row>
    <row r="748">
      <c r="A748" s="189" t="inlineStr">
        <is>
          <t>CVE</t>
        </is>
      </c>
      <c r="B748" s="189" t="inlineStr">
        <is>
          <t>CVE-2026-26722</t>
        </is>
      </c>
      <c r="C748" s="189" t="inlineStr">
        <is>
          <t>An issue in Key Systems Inc Global Facilities Management Software v.20230721a allows a remote attacker to escalate privileges via PIN component of the login functionality.</t>
        </is>
      </c>
      <c r="D748" s="189" t="n">
        <v>9.4</v>
      </c>
      <c r="E748" s="189" t="inlineStr">
        <is>
          <t>CRITICAL</t>
        </is>
      </c>
      <c r="F748" s="189" t="n">
        <v>2</v>
      </c>
      <c r="G748" s="189" t="n">
        <v>3</v>
      </c>
      <c r="H748" s="189" t="inlineStr">
        <is>
          <t>HIGH</t>
        </is>
      </c>
      <c r="I748" s="189" t="n">
        <v>15.4</v>
      </c>
      <c r="J748" s="189" t="inlineStr">
        <is>
          <t>NO</t>
        </is>
      </c>
      <c r="K748" s="189" t="inlineStr">
        <is>
          <t>https://nvd.nist.gov/vuln/detail/CVE-2026-26722</t>
        </is>
      </c>
      <c r="L748" s="189" t="inlineStr">
        <is>
          <t>2026-02-26 00:15</t>
        </is>
      </c>
      <c r="M748" s="189" t="inlineStr">
        <is>
          <t>CHECK_VENDOR</t>
        </is>
      </c>
      <c r="N748" s="189" t="inlineStr">
        <is>
          <t>See NVD references</t>
        </is>
      </c>
      <c r="O748" s="189" t="inlineStr">
        <is>
          <t>Apply vendor patches</t>
        </is>
      </c>
      <c r="P748" s="189" t="inlineStr">
        <is>
          <t>See CVE details</t>
        </is>
      </c>
      <c r="Q748" s="189" t="inlineStr">
        <is>
          <t>P3</t>
        </is>
      </c>
      <c r="R748" s="189" t="inlineStr">
        <is>
          <t>🚨 URGENT: Apply vendor patches immediately | 🔒 Isolate affected systems if patch unavailable | 🛡️ Enable additional monitoring/IDS rules</t>
        </is>
      </c>
      <c r="S748" s="189" t="inlineStr">
        <is>
          <t>CVE - IP enrichment n/a</t>
        </is>
      </c>
      <c r="T748" s="189" t="n">
        <v>0</v>
      </c>
      <c r="U748" s="189" t="n">
        <v>0</v>
      </c>
      <c r="V748" s="189" t="inlineStr">
        <is>
          <t>T1190:Exploit Public-Facing Application</t>
        </is>
      </c>
      <c r="W748" s="189" t="n">
        <v>1</v>
      </c>
      <c r="X748" s="189" t="inlineStr">
        <is>
          <t>LOW (40%)</t>
        </is>
      </c>
      <c r="Y748" s="189" t="inlineStr">
        <is>
          <t>UNLIKELY</t>
        </is>
      </c>
      <c r="Z748" s="189" t="inlineStr">
        <is>
          <t>CHECK_VENDOR</t>
        </is>
      </c>
      <c r="AA748" s="189" t="inlineStr">
        <is>
          <t>https://nvd.nist.gov/vuln/detail/CVE-2026-26722</t>
        </is>
      </c>
      <c r="AB748" s="189" t="inlineStr">
        <is>
          <t>NONE</t>
        </is>
      </c>
      <c r="AC748" s="189" t="n">
        <v>0</v>
      </c>
      <c r="AD748" s="189" t="inlineStr"/>
    </row>
    <row r="749">
      <c r="A749" s="188" t="inlineStr">
        <is>
          <t>CVE</t>
        </is>
      </c>
      <c r="B749" s="188" t="inlineStr">
        <is>
          <t>CVE-2026-26723</t>
        </is>
      </c>
      <c r="C749" s="188" t="inlineStr">
        <is>
          <t>Cross Site Scripting vulnerability in Key Systems Inc Global Facilities Management Software v. 20230721a allows a remote attacker to execute arbitrary code via the function parameter.</t>
        </is>
      </c>
      <c r="D749" s="188" t="n">
        <v>8.199999999999999</v>
      </c>
      <c r="E749" s="188" t="inlineStr">
        <is>
          <t>HIGH</t>
        </is>
      </c>
      <c r="F749" s="188" t="n">
        <v>2</v>
      </c>
      <c r="G749" s="188" t="n">
        <v>3</v>
      </c>
      <c r="H749" s="188" t="inlineStr">
        <is>
          <t>HIGH</t>
        </is>
      </c>
      <c r="I749" s="188" t="n">
        <v>14.2</v>
      </c>
      <c r="J749" s="188" t="inlineStr">
        <is>
          <t>NO</t>
        </is>
      </c>
      <c r="K749" s="188" t="inlineStr">
        <is>
          <t>https://nvd.nist.gov/vuln/detail/CVE-2026-26723</t>
        </is>
      </c>
      <c r="L749" s="188" t="inlineStr">
        <is>
          <t>2026-02-26 00:15</t>
        </is>
      </c>
      <c r="M749" s="188" t="inlineStr">
        <is>
          <t>CHECK_VENDOR</t>
        </is>
      </c>
      <c r="N749" s="188" t="inlineStr">
        <is>
          <t>See NVD references</t>
        </is>
      </c>
      <c r="O749" s="188" t="inlineStr">
        <is>
          <t>Apply vendor patches</t>
        </is>
      </c>
      <c r="P749" s="188" t="inlineStr">
        <is>
          <t>See CVE details</t>
        </is>
      </c>
      <c r="Q749" s="188" t="inlineStr">
        <is>
          <t>P3</t>
        </is>
      </c>
      <c r="R749" s="188" t="inlineStr">
        <is>
          <t>🚨 URGENT: Apply vendor patches immediately | 🔒 Isolate affected systems if patch unavailable | 🛡️ Enable additional monitoring/IDS rules</t>
        </is>
      </c>
      <c r="S749" s="188" t="inlineStr">
        <is>
          <t>CVE - IP enrichment n/a</t>
        </is>
      </c>
      <c r="T749" s="188" t="n">
        <v>0</v>
      </c>
      <c r="U749" s="188" t="n">
        <v>0</v>
      </c>
      <c r="V749" s="188" t="inlineStr">
        <is>
          <t>T1189:Drive-by Compromise | T1203:Exploitation for Client Execution</t>
        </is>
      </c>
      <c r="W749" s="188" t="n">
        <v>1</v>
      </c>
      <c r="X749" s="188" t="inlineStr">
        <is>
          <t>LOW (40%)</t>
        </is>
      </c>
      <c r="Y749" s="188" t="inlineStr">
        <is>
          <t>UNLIKELY</t>
        </is>
      </c>
      <c r="Z749" s="188" t="inlineStr">
        <is>
          <t>CHECK_VENDOR</t>
        </is>
      </c>
      <c r="AA749" s="188" t="inlineStr">
        <is>
          <t>https://nvd.nist.gov/vuln/detail/CVE-2026-26723</t>
        </is>
      </c>
      <c r="AB749" s="188" t="inlineStr">
        <is>
          <t>NONE</t>
        </is>
      </c>
      <c r="AC749" s="188" t="n">
        <v>0</v>
      </c>
      <c r="AD749" s="188" t="inlineStr"/>
    </row>
    <row r="750">
      <c r="A750" s="188" t="inlineStr">
        <is>
          <t>CVE</t>
        </is>
      </c>
      <c r="B750" s="188" t="inlineStr">
        <is>
          <t>CVE-2026-26724</t>
        </is>
      </c>
      <c r="C750" s="188" t="inlineStr">
        <is>
          <t>Cross Site Scripting vulnerability in Key Systems Inc Global Facilities Management Software v. 20230721a allows a remote attacker to execute arbitrary code via the selectgroup and gn parameters on the /?Function=Groups endpoint.</t>
        </is>
      </c>
      <c r="D750" s="188" t="n">
        <v>7.6</v>
      </c>
      <c r="E750" s="188" t="inlineStr">
        <is>
          <t>HIGH</t>
        </is>
      </c>
      <c r="F750" s="188" t="n">
        <v>2</v>
      </c>
      <c r="G750" s="188" t="n">
        <v>3</v>
      </c>
      <c r="H750" s="188" t="inlineStr">
        <is>
          <t>HIGH</t>
        </is>
      </c>
      <c r="I750" s="188" t="n">
        <v>13.6</v>
      </c>
      <c r="J750" s="188" t="inlineStr">
        <is>
          <t>NO</t>
        </is>
      </c>
      <c r="K750" s="188" t="inlineStr">
        <is>
          <t>https://nvd.nist.gov/vuln/detail/CVE-2026-26724</t>
        </is>
      </c>
      <c r="L750" s="188" t="inlineStr">
        <is>
          <t>2026-02-26 00:15</t>
        </is>
      </c>
      <c r="M750" s="188" t="inlineStr">
        <is>
          <t>CHECK_VENDOR</t>
        </is>
      </c>
      <c r="N750" s="188" t="inlineStr">
        <is>
          <t>See NVD references</t>
        </is>
      </c>
      <c r="O750" s="188" t="inlineStr">
        <is>
          <t>Apply vendor patches</t>
        </is>
      </c>
      <c r="P750" s="188" t="inlineStr">
        <is>
          <t>See CVE details</t>
        </is>
      </c>
      <c r="Q750" s="188" t="inlineStr">
        <is>
          <t>P3</t>
        </is>
      </c>
      <c r="R750" s="188" t="inlineStr">
        <is>
          <t>🚨 URGENT: Apply vendor patches immediately | 🔒 Isolate affected systems if patch unavailable | 🛡️ Enable additional monitoring/IDS rules</t>
        </is>
      </c>
      <c r="S750" s="188" t="inlineStr">
        <is>
          <t>CVE - IP enrichment n/a</t>
        </is>
      </c>
      <c r="T750" s="188" t="n">
        <v>0</v>
      </c>
      <c r="U750" s="188" t="n">
        <v>0</v>
      </c>
      <c r="V750" s="188" t="inlineStr">
        <is>
          <t>T1203:Exploitation for Client Execution</t>
        </is>
      </c>
      <c r="W750" s="188" t="n">
        <v>1</v>
      </c>
      <c r="X750" s="188" t="inlineStr">
        <is>
          <t>LOW (40%)</t>
        </is>
      </c>
      <c r="Y750" s="188" t="inlineStr">
        <is>
          <t>UNLIKELY</t>
        </is>
      </c>
      <c r="Z750" s="188" t="inlineStr">
        <is>
          <t>CHECK_VENDOR</t>
        </is>
      </c>
      <c r="AA750" s="188" t="inlineStr">
        <is>
          <t>https://nvd.nist.gov/vuln/detail/CVE-2026-26724</t>
        </is>
      </c>
      <c r="AB750" s="188" t="inlineStr">
        <is>
          <t>NONE</t>
        </is>
      </c>
      <c r="AC750" s="188" t="n">
        <v>0</v>
      </c>
      <c r="AD750" s="188" t="inlineStr"/>
    </row>
    <row r="751">
      <c r="A751" s="189" t="inlineStr">
        <is>
          <t>CVE</t>
        </is>
      </c>
      <c r="B751" s="189" t="inlineStr">
        <is>
          <t>CVE-2026-26725</t>
        </is>
      </c>
      <c r="C751" s="189" t="inlineStr">
        <is>
          <t>An issue in edu Business Solutions Print Shop Pro WebDesk v.18.34 allows a remote attacker to escalate privileges via the AccessID parameter.</t>
        </is>
      </c>
      <c r="D751" s="189" t="n">
        <v>9.800000000000001</v>
      </c>
      <c r="E751" s="189" t="inlineStr">
        <is>
          <t>CRITICAL</t>
        </is>
      </c>
      <c r="F751" s="189" t="n">
        <v>2</v>
      </c>
      <c r="G751" s="189" t="n">
        <v>3</v>
      </c>
      <c r="H751" s="189" t="inlineStr">
        <is>
          <t>HIGH</t>
        </is>
      </c>
      <c r="I751" s="189" t="n">
        <v>15.8</v>
      </c>
      <c r="J751" s="189" t="inlineStr">
        <is>
          <t>NO</t>
        </is>
      </c>
      <c r="K751" s="189" t="inlineStr">
        <is>
          <t>https://nvd.nist.gov/vuln/detail/CVE-2026-26725</t>
        </is>
      </c>
      <c r="L751" s="189" t="inlineStr">
        <is>
          <t>2026-02-26 00:15</t>
        </is>
      </c>
      <c r="M751" s="189" t="inlineStr">
        <is>
          <t>CHECK_VENDOR</t>
        </is>
      </c>
      <c r="N751" s="189" t="inlineStr">
        <is>
          <t>See NVD references</t>
        </is>
      </c>
      <c r="O751" s="189" t="inlineStr">
        <is>
          <t>Apply vendor patches</t>
        </is>
      </c>
      <c r="P751" s="189" t="inlineStr">
        <is>
          <t>See CVE details</t>
        </is>
      </c>
      <c r="Q751" s="189" t="inlineStr">
        <is>
          <t>P3</t>
        </is>
      </c>
      <c r="R751" s="189" t="inlineStr">
        <is>
          <t>🚨 URGENT: Apply vendor patches immediately | 🔒 Isolate affected systems if patch unavailable | 🛡️ Enable additional monitoring/IDS rules</t>
        </is>
      </c>
      <c r="S751" s="189" t="inlineStr">
        <is>
          <t>CVE - IP enrichment n/a</t>
        </is>
      </c>
      <c r="T751" s="189" t="n">
        <v>0.001</v>
      </c>
      <c r="U751" s="189" t="n">
        <v>0.2793</v>
      </c>
      <c r="V751" s="189" t="inlineStr">
        <is>
          <t>T1190:Exploit Public-Facing Application</t>
        </is>
      </c>
      <c r="W751" s="189" t="n">
        <v>1</v>
      </c>
      <c r="X751" s="189" t="inlineStr">
        <is>
          <t>LOW (40%)</t>
        </is>
      </c>
      <c r="Y751" s="189" t="inlineStr">
        <is>
          <t>UNLIKELY</t>
        </is>
      </c>
      <c r="Z751" s="189" t="inlineStr">
        <is>
          <t>CHECK_VENDOR</t>
        </is>
      </c>
      <c r="AA751" s="189" t="inlineStr">
        <is>
          <t>https://nvd.nist.gov/vuln/detail/CVE-2026-26725</t>
        </is>
      </c>
      <c r="AB751" s="189" t="inlineStr">
        <is>
          <t>NONE</t>
        </is>
      </c>
      <c r="AC751" s="189" t="n">
        <v>0</v>
      </c>
      <c r="AD751" s="189" t="inlineStr"/>
    </row>
    <row r="752">
      <c r="A752" s="187" t="inlineStr">
        <is>
          <t>CVE</t>
        </is>
      </c>
      <c r="B752" s="187" t="inlineStr">
        <is>
          <t>CVE-2026-26745</t>
        </is>
      </c>
      <c r="C752" s="187" t="inlineStr">
        <is>
          <t>OpenSourcePOS 3.4.1 has a second order SQL Injection vulnerability in the handling of the currency_symbol configuration field. Although the input is initially stored without immediate execution, it is later concatenated into a dynamically constructed SQL query without proper sanitization or parameter binding. This allows an attacker with access to modify the currency_symbol value to inject arbitrary SQL expressions, which are executed when the affected query is subsequently processed.</t>
        </is>
      </c>
      <c r="D752" s="187" t="n">
        <v>5.3</v>
      </c>
      <c r="E752" s="187" t="inlineStr">
        <is>
          <t>MEDIUM</t>
        </is>
      </c>
      <c r="F752" s="187" t="n">
        <v>2</v>
      </c>
      <c r="G752" s="187" t="n">
        <v>2</v>
      </c>
      <c r="H752" s="187" t="inlineStr">
        <is>
          <t>MEDIUM</t>
        </is>
      </c>
      <c r="I752" s="187" t="n">
        <v>9.300000000000001</v>
      </c>
      <c r="J752" s="187" t="inlineStr">
        <is>
          <t>NO</t>
        </is>
      </c>
      <c r="K752" s="187" t="inlineStr">
        <is>
          <t>https://nvd.nist.gov/vuln/detail/CVE-2026-26745</t>
        </is>
      </c>
      <c r="L752" s="187" t="inlineStr">
        <is>
          <t>2026-02-26 00:15</t>
        </is>
      </c>
      <c r="M752" s="187" t="inlineStr">
        <is>
          <t>YES</t>
        </is>
      </c>
      <c r="N752" s="187" t="inlineStr">
        <is>
          <t>https://github.com/hungnqdz/cve-research/blob/main/CVE-2026-26745.md</t>
        </is>
      </c>
      <c r="O752" s="187" t="inlineStr">
        <is>
          <t>https://github.com/hungnqdz/cve-research/blob/main/CVE-2026-26745.md</t>
        </is>
      </c>
      <c r="P752" s="187" t="inlineStr">
        <is>
          <t>opensourcepos open_source_point_of_sale 3.4.1</t>
        </is>
      </c>
      <c r="Q752" s="187" t="inlineStr">
        <is>
          <t>P4</t>
        </is>
      </c>
      <c r="R752" s="187" t="inlineStr">
        <is>
          <t>📅 Schedule patch deployment within 30 days | 🔍 Monitor for exploitation attempts</t>
        </is>
      </c>
      <c r="S752" s="187" t="inlineStr">
        <is>
          <t>CVE - IP enrichment n/a</t>
        </is>
      </c>
      <c r="T752" s="187" t="n">
        <v>0.0004</v>
      </c>
      <c r="U752" s="187" t="n">
        <v>0.133</v>
      </c>
      <c r="V752" s="187" t="inlineStr">
        <is>
          <t>T1190:Exploit Public-Facing Application</t>
        </is>
      </c>
      <c r="W752" s="187" t="n">
        <v>1</v>
      </c>
      <c r="X752" s="187" t="inlineStr">
        <is>
          <t>LOW (40%)</t>
        </is>
      </c>
      <c r="Y752" s="187" t="inlineStr">
        <is>
          <t>UNLIKELY</t>
        </is>
      </c>
      <c r="Z752" s="187" t="inlineStr">
        <is>
          <t>PATCH_AVAILABLE</t>
        </is>
      </c>
      <c r="AA752" s="187" t="inlineStr">
        <is>
          <t>https://nvd.nist.gov/vuln/detail/CVE-2026-26745</t>
        </is>
      </c>
      <c r="AB752" s="187" t="inlineStr">
        <is>
          <t>NONE</t>
        </is>
      </c>
      <c r="AC752" s="187" t="n">
        <v>0</v>
      </c>
      <c r="AD752" s="187" t="inlineStr"/>
    </row>
    <row r="753">
      <c r="A753" s="188" t="inlineStr">
        <is>
          <t>CVE</t>
        </is>
      </c>
      <c r="B753" s="188" t="inlineStr">
        <is>
          <t>CVE-2026-26746</t>
        </is>
      </c>
      <c r="C753" s="188" t="inlineStr">
        <is>
          <t>OpenSourcePOS 3.4.1 contains a Local File Inclusion (LFI) vulnerability in the Sales.php::getInvoice() function. An attacker can read arbitrary files on the web server by manipulating the Invoice Type configuration. This issue can be chained with the file upload functionality to achieve Remote Code Execution (RCE).</t>
        </is>
      </c>
      <c r="D753" s="188" t="n">
        <v>8.800000000000001</v>
      </c>
      <c r="E753" s="188" t="inlineStr">
        <is>
          <t>HIGH</t>
        </is>
      </c>
      <c r="F753" s="188" t="n">
        <v>2</v>
      </c>
      <c r="G753" s="188" t="n">
        <v>3</v>
      </c>
      <c r="H753" s="188" t="inlineStr">
        <is>
          <t>HIGH</t>
        </is>
      </c>
      <c r="I753" s="188" t="n">
        <v>14.8</v>
      </c>
      <c r="J753" s="188" t="inlineStr">
        <is>
          <t>NO</t>
        </is>
      </c>
      <c r="K753" s="188" t="inlineStr">
        <is>
          <t>https://nvd.nist.gov/vuln/detail/CVE-2026-26746</t>
        </is>
      </c>
      <c r="L753" s="188" t="inlineStr">
        <is>
          <t>2026-02-26 00:15</t>
        </is>
      </c>
      <c r="M753" s="188" t="inlineStr">
        <is>
          <t>YES</t>
        </is>
      </c>
      <c r="N753" s="188" t="inlineStr">
        <is>
          <t>https://github.com/hungnqdz/CVE-2026-26746/blob/main/CVE-2026-26746.md</t>
        </is>
      </c>
      <c r="O753" s="188" t="inlineStr">
        <is>
          <t>https://github.com/hungnqdz/CVE-2026-26746/blob/main/CVE-2026-26746.md</t>
        </is>
      </c>
      <c r="P753" s="188" t="inlineStr">
        <is>
          <t>opensourcepos open_source_point_of_sale 3.4.1</t>
        </is>
      </c>
      <c r="Q753" s="188" t="inlineStr">
        <is>
          <t>P3</t>
        </is>
      </c>
      <c r="R753" s="188" t="inlineStr">
        <is>
          <t>🚨 URGENT: Apply vendor patches immediately | 🔒 Isolate affected systems if patch unavailable | 🛡️ Enable additional monitoring/IDS rules</t>
        </is>
      </c>
      <c r="S753" s="188" t="inlineStr">
        <is>
          <t>CVE - IP enrichment n/a</t>
        </is>
      </c>
      <c r="T753" s="188" t="n">
        <v>0</v>
      </c>
      <c r="U753" s="188" t="n">
        <v>0</v>
      </c>
      <c r="V753" s="188" t="inlineStr">
        <is>
          <t>T1190:Exploit Public-Facing Application | T1210:Exploitation of Remote Services</t>
        </is>
      </c>
      <c r="W753" s="188" t="n">
        <v>1</v>
      </c>
      <c r="X753" s="188" t="inlineStr">
        <is>
          <t>LOW (40%)</t>
        </is>
      </c>
      <c r="Y753" s="188" t="inlineStr">
        <is>
          <t>UNLIKELY</t>
        </is>
      </c>
      <c r="Z753" s="188" t="inlineStr">
        <is>
          <t>PATCH_AVAILABLE</t>
        </is>
      </c>
      <c r="AA753" s="188" t="inlineStr">
        <is>
          <t>https://nvd.nist.gov/vuln/detail/CVE-2026-26746</t>
        </is>
      </c>
      <c r="AB753" s="188" t="inlineStr">
        <is>
          <t>NONE</t>
        </is>
      </c>
      <c r="AC753" s="188" t="n">
        <v>0</v>
      </c>
      <c r="AD753" s="188" t="inlineStr"/>
    </row>
    <row r="754">
      <c r="A754" s="189" t="inlineStr">
        <is>
          <t>CVE</t>
        </is>
      </c>
      <c r="B754" s="189" t="inlineStr">
        <is>
          <t>CVE-2026-26747</t>
        </is>
      </c>
      <c r="C754" s="189" t="inlineStr">
        <is>
          <t>A Host Header Poisoning vulnerability exists in Monica 4.1.2 due to improper handling of the HTTP Host header in app/Providers/AppServiceProvider.php, combined with the default misconfiguration where the "app.force_url" is not set and default is "false". The application generates absolute URLs (such as those used in password reset emails) using the user-supplied Host header. This allows remote attackers to poison the password reset link sent to a victim,</t>
        </is>
      </c>
      <c r="D754" s="189" t="n">
        <v>9.1</v>
      </c>
      <c r="E754" s="189" t="inlineStr">
        <is>
          <t>CRITICAL</t>
        </is>
      </c>
      <c r="F754" s="189" t="n">
        <v>2</v>
      </c>
      <c r="G754" s="189" t="n">
        <v>3</v>
      </c>
      <c r="H754" s="189" t="inlineStr">
        <is>
          <t>HIGH</t>
        </is>
      </c>
      <c r="I754" s="189" t="n">
        <v>15.1</v>
      </c>
      <c r="J754" s="189" t="inlineStr">
        <is>
          <t>NO</t>
        </is>
      </c>
      <c r="K754" s="189" t="inlineStr">
        <is>
          <t>https://nvd.nist.gov/vuln/detail/CVE-2026-26747</t>
        </is>
      </c>
      <c r="L754" s="189" t="inlineStr">
        <is>
          <t>2026-02-26 00:15</t>
        </is>
      </c>
      <c r="M754" s="189" t="inlineStr">
        <is>
          <t>CHECK_VENDOR</t>
        </is>
      </c>
      <c r="N754" s="189" t="inlineStr">
        <is>
          <t>See NVD references</t>
        </is>
      </c>
      <c r="O754" s="189" t="inlineStr">
        <is>
          <t>Apply vendor patches</t>
        </is>
      </c>
      <c r="P754" s="189" t="inlineStr">
        <is>
          <t>See CVE details</t>
        </is>
      </c>
      <c r="Q754" s="189" t="inlineStr">
        <is>
          <t>P3</t>
        </is>
      </c>
      <c r="R754" s="189" t="inlineStr">
        <is>
          <t>🚨 URGENT: Apply vendor patches immediately | 🔒 Isolate affected systems if patch unavailable | 🛡️ Enable additional monitoring/IDS rules</t>
        </is>
      </c>
      <c r="S754" s="189" t="inlineStr">
        <is>
          <t>CVE - IP enrichment n/a</t>
        </is>
      </c>
      <c r="T754" s="189" t="n">
        <v>0</v>
      </c>
      <c r="U754" s="189" t="n">
        <v>0</v>
      </c>
      <c r="V754" s="189" t="inlineStr">
        <is>
          <t>T1190:Exploit Public-Facing Application</t>
        </is>
      </c>
      <c r="W754" s="189" t="n">
        <v>1</v>
      </c>
      <c r="X754" s="189" t="inlineStr">
        <is>
          <t>LOW (40%)</t>
        </is>
      </c>
      <c r="Y754" s="189" t="inlineStr">
        <is>
          <t>UNLIKELY</t>
        </is>
      </c>
      <c r="Z754" s="189" t="inlineStr">
        <is>
          <t>CHECK_VENDOR</t>
        </is>
      </c>
      <c r="AA754" s="189" t="inlineStr">
        <is>
          <t>https://nvd.nist.gov/vuln/detail/CVE-2026-26747</t>
        </is>
      </c>
      <c r="AB754" s="189" t="inlineStr">
        <is>
          <t>NONE</t>
        </is>
      </c>
      <c r="AC754" s="189" t="n">
        <v>0</v>
      </c>
      <c r="AD754" s="189" t="inlineStr"/>
    </row>
    <row r="755">
      <c r="A755" s="187" t="inlineStr">
        <is>
          <t>CVE</t>
        </is>
      </c>
      <c r="B755" s="187" t="inlineStr">
        <is>
          <t>CVE-2026-27502</t>
        </is>
      </c>
      <c r="C755" s="187" t="inlineStr">
        <is>
          <t>SVXportal version 2.5 and prior contain a reflected cross-site scripting vulnerability in log.php via the search query parameter. The application embeds the unsanitized parameter value directly into an HTML input value attribute, allowing an unauthenticated remote attacker to inject and execute arbitrary JavaScript in a victim's browser if the victim visits a crafted URL. This can be used to steal session data, perform actions as the victim, or modify displayed content.</t>
        </is>
      </c>
      <c r="D755" s="187" t="n">
        <v>6.1</v>
      </c>
      <c r="E755" s="187" t="inlineStr">
        <is>
          <t>MEDIUM</t>
        </is>
      </c>
      <c r="F755" s="187" t="n">
        <v>2</v>
      </c>
      <c r="G755" s="187" t="n">
        <v>2</v>
      </c>
      <c r="H755" s="187" t="inlineStr">
        <is>
          <t>MEDIUM</t>
        </is>
      </c>
      <c r="I755" s="187" t="n">
        <v>10.1</v>
      </c>
      <c r="J755" s="187" t="inlineStr">
        <is>
          <t>NO</t>
        </is>
      </c>
      <c r="K755" s="187" t="inlineStr">
        <is>
          <t>https://nvd.nist.gov/vuln/detail/CVE-2026-27502</t>
        </is>
      </c>
      <c r="L755" s="187" t="inlineStr">
        <is>
          <t>2026-02-26 00:15</t>
        </is>
      </c>
      <c r="M755" s="187" t="inlineStr">
        <is>
          <t>CHECK_VENDOR</t>
        </is>
      </c>
      <c r="N755" s="187" t="inlineStr">
        <is>
          <t>See NVD references</t>
        </is>
      </c>
      <c r="O755" s="187" t="inlineStr">
        <is>
          <t>Apply vendor patches</t>
        </is>
      </c>
      <c r="P755" s="187" t="inlineStr">
        <is>
          <t>radioinorr svxportal *</t>
        </is>
      </c>
      <c r="Q755" s="187" t="inlineStr">
        <is>
          <t>P4</t>
        </is>
      </c>
      <c r="R755" s="187" t="inlineStr">
        <is>
          <t>📅 Schedule patch deployment within 30 days | 🔍 Monitor for exploitation attempts</t>
        </is>
      </c>
      <c r="S755" s="187" t="inlineStr">
        <is>
          <t>CVE - IP enrichment n/a</t>
        </is>
      </c>
      <c r="T755" s="187" t="n">
        <v>0.0004</v>
      </c>
      <c r="U755" s="187" t="n">
        <v>0.1249</v>
      </c>
      <c r="V755" s="187" t="inlineStr">
        <is>
          <t>T1189:Drive-by Compromise</t>
        </is>
      </c>
      <c r="W755" s="187" t="n">
        <v>1</v>
      </c>
      <c r="X755" s="187" t="inlineStr">
        <is>
          <t>LOW (40%)</t>
        </is>
      </c>
      <c r="Y755" s="187" t="inlineStr">
        <is>
          <t>UNLIKELY</t>
        </is>
      </c>
      <c r="Z755" s="187" t="inlineStr">
        <is>
          <t>CHECK_VENDOR</t>
        </is>
      </c>
      <c r="AA755" s="187" t="inlineStr">
        <is>
          <t>https://nvd.nist.gov/vuln/detail/CVE-2026-27502</t>
        </is>
      </c>
      <c r="AB755" s="187" t="inlineStr">
        <is>
          <t>NONE</t>
        </is>
      </c>
      <c r="AC755" s="187" t="n">
        <v>0</v>
      </c>
      <c r="AD755" s="187" t="inlineStr"/>
    </row>
    <row r="756">
      <c r="A756" s="187" t="inlineStr">
        <is>
          <t>CVE</t>
        </is>
      </c>
      <c r="B756" s="187" t="inlineStr">
        <is>
          <t>CVE-2026-27503</t>
        </is>
      </c>
      <c r="C756" s="187" t="inlineStr">
        <is>
          <t>SVXportal version 2.5 and prior contain a reflected cross-site scripting vulnerability in admin/log.php via the search query parameter. When an authenticated administrator views a crafted URL, the application embeds the unsanitized parameter value directly into an HTML input value attribute, allowing attacker-supplied JavaScript to execute in the administrator's browser. This can enable session theft, administrative action forgery, or other browser-based compromise in the context of an admin use</t>
        </is>
      </c>
      <c r="D756" s="187" t="n">
        <v>6.1</v>
      </c>
      <c r="E756" s="187" t="inlineStr">
        <is>
          <t>MEDIUM</t>
        </is>
      </c>
      <c r="F756" s="187" t="n">
        <v>2</v>
      </c>
      <c r="G756" s="187" t="n">
        <v>2</v>
      </c>
      <c r="H756" s="187" t="inlineStr">
        <is>
          <t>MEDIUM</t>
        </is>
      </c>
      <c r="I756" s="187" t="n">
        <v>10.1</v>
      </c>
      <c r="J756" s="187" t="inlineStr">
        <is>
          <t>NO</t>
        </is>
      </c>
      <c r="K756" s="187" t="inlineStr">
        <is>
          <t>https://nvd.nist.gov/vuln/detail/CVE-2026-27503</t>
        </is>
      </c>
      <c r="L756" s="187" t="inlineStr">
        <is>
          <t>2026-02-26 00:15</t>
        </is>
      </c>
      <c r="M756" s="187" t="inlineStr">
        <is>
          <t>CHECK_VENDOR</t>
        </is>
      </c>
      <c r="N756" s="187" t="inlineStr">
        <is>
          <t>See NVD references</t>
        </is>
      </c>
      <c r="O756" s="187" t="inlineStr">
        <is>
          <t>Apply vendor patches</t>
        </is>
      </c>
      <c r="P756" s="187" t="inlineStr">
        <is>
          <t>radioinorr svxportal *</t>
        </is>
      </c>
      <c r="Q756" s="187" t="inlineStr">
        <is>
          <t>P4</t>
        </is>
      </c>
      <c r="R756" s="187" t="inlineStr">
        <is>
          <t>📅 Schedule patch deployment within 30 days | 🔍 Monitor for exploitation attempts</t>
        </is>
      </c>
      <c r="S756" s="187" t="inlineStr">
        <is>
          <t>CVE - IP enrichment n/a</t>
        </is>
      </c>
      <c r="T756" s="187" t="n">
        <v>0</v>
      </c>
      <c r="U756" s="187" t="n">
        <v>0</v>
      </c>
      <c r="V756" s="187" t="inlineStr">
        <is>
          <t>T1189:Drive-by Compromise</t>
        </is>
      </c>
      <c r="W756" s="187" t="n">
        <v>1</v>
      </c>
      <c r="X756" s="187" t="inlineStr">
        <is>
          <t>LOW (40%)</t>
        </is>
      </c>
      <c r="Y756" s="187" t="inlineStr">
        <is>
          <t>UNLIKELY</t>
        </is>
      </c>
      <c r="Z756" s="187" t="inlineStr">
        <is>
          <t>CHECK_VENDOR</t>
        </is>
      </c>
      <c r="AA756" s="187" t="inlineStr">
        <is>
          <t>https://nvd.nist.gov/vuln/detail/CVE-2026-27503</t>
        </is>
      </c>
      <c r="AB756" s="187" t="inlineStr">
        <is>
          <t>NONE</t>
        </is>
      </c>
      <c r="AC756" s="187" t="n">
        <v>0</v>
      </c>
      <c r="AD756" s="187" t="inlineStr"/>
    </row>
    <row r="757">
      <c r="A757" s="187" t="inlineStr">
        <is>
          <t>CVE</t>
        </is>
      </c>
      <c r="B757" s="187" t="inlineStr">
        <is>
          <t>CVE-2026-27504</t>
        </is>
      </c>
      <c r="C757" s="187" t="inlineStr">
        <is>
          <t>SVXportal version 2.5 and prior contain a reflected cross-site scripting vulnerability in radiomobile_front.php via the stationid query parameter. When an authenticated administrator views a crafted URL, the application embeds the unsanitized parameter value into a hidden input value field, allowing attacker-supplied script injection and execution in the administrator's browser. This can be used to compromise admin sessions or perform unauthorized actions via the administrator's authenticated co</t>
        </is>
      </c>
      <c r="D757" s="187" t="n">
        <v>6.1</v>
      </c>
      <c r="E757" s="187" t="inlineStr">
        <is>
          <t>MEDIUM</t>
        </is>
      </c>
      <c r="F757" s="187" t="n">
        <v>2</v>
      </c>
      <c r="G757" s="187" t="n">
        <v>2</v>
      </c>
      <c r="H757" s="187" t="inlineStr">
        <is>
          <t>MEDIUM</t>
        </is>
      </c>
      <c r="I757" s="187" t="n">
        <v>10.1</v>
      </c>
      <c r="J757" s="187" t="inlineStr">
        <is>
          <t>NO</t>
        </is>
      </c>
      <c r="K757" s="187" t="inlineStr">
        <is>
          <t>https://nvd.nist.gov/vuln/detail/CVE-2026-27504</t>
        </is>
      </c>
      <c r="L757" s="187" t="inlineStr">
        <is>
          <t>2026-02-26 00:15</t>
        </is>
      </c>
      <c r="M757" s="187" t="inlineStr">
        <is>
          <t>CHECK_VENDOR</t>
        </is>
      </c>
      <c r="N757" s="187" t="inlineStr">
        <is>
          <t>See NVD references</t>
        </is>
      </c>
      <c r="O757" s="187" t="inlineStr">
        <is>
          <t>Apply vendor patches</t>
        </is>
      </c>
      <c r="P757" s="187" t="inlineStr">
        <is>
          <t>radioinorr svxportal *</t>
        </is>
      </c>
      <c r="Q757" s="187" t="inlineStr">
        <is>
          <t>P4</t>
        </is>
      </c>
      <c r="R757" s="187" t="inlineStr">
        <is>
          <t>📅 Schedule patch deployment within 30 days | 🔍 Monitor for exploitation attempts</t>
        </is>
      </c>
      <c r="S757" s="187" t="inlineStr">
        <is>
          <t>CVE - IP enrichment n/a</t>
        </is>
      </c>
      <c r="T757" s="187" t="n">
        <v>0</v>
      </c>
      <c r="U757" s="187" t="n">
        <v>0</v>
      </c>
      <c r="V757" s="187" t="inlineStr">
        <is>
          <t>T1189:Drive-by Compromise</t>
        </is>
      </c>
      <c r="W757" s="187" t="n">
        <v>1</v>
      </c>
      <c r="X757" s="187" t="inlineStr">
        <is>
          <t>LOW (40%)</t>
        </is>
      </c>
      <c r="Y757" s="187" t="inlineStr">
        <is>
          <t>UNLIKELY</t>
        </is>
      </c>
      <c r="Z757" s="187" t="inlineStr">
        <is>
          <t>CHECK_VENDOR</t>
        </is>
      </c>
      <c r="AA757" s="187" t="inlineStr">
        <is>
          <t>https://nvd.nist.gov/vuln/detail/CVE-2026-27504</t>
        </is>
      </c>
      <c r="AB757" s="187" t="inlineStr">
        <is>
          <t>NONE</t>
        </is>
      </c>
      <c r="AC757" s="187" t="n">
        <v>0</v>
      </c>
      <c r="AD757" s="187" t="inlineStr"/>
    </row>
    <row r="758">
      <c r="A758" s="187" t="inlineStr">
        <is>
          <t>CVE</t>
        </is>
      </c>
      <c r="B758" s="187" t="inlineStr">
        <is>
          <t>CVE-2026-27505</t>
        </is>
      </c>
      <c r="C758" s="187" t="inlineStr">
        <is>
          <t xml:space="preserve">SVXportal version 2.5 and prior contain a stored cross-site scripting vulnerability in the user registration workflow (index.php submitting to admin/user_action.php). User-supplied fields such as Firstname, lastname, and email are stored in the backend database without adequate output encoding and are later rendered in the administrator interface (admin/users.php), allowing an unauthenticated remote attacker to inject arbitrary JavaScript that executes in an administrator's browser upon viewing </t>
        </is>
      </c>
      <c r="D758" s="187" t="n">
        <v>6.1</v>
      </c>
      <c r="E758" s="187" t="inlineStr">
        <is>
          <t>MEDIUM</t>
        </is>
      </c>
      <c r="F758" s="187" t="n">
        <v>2</v>
      </c>
      <c r="G758" s="187" t="n">
        <v>2</v>
      </c>
      <c r="H758" s="187" t="inlineStr">
        <is>
          <t>MEDIUM</t>
        </is>
      </c>
      <c r="I758" s="187" t="n">
        <v>10.1</v>
      </c>
      <c r="J758" s="187" t="inlineStr">
        <is>
          <t>NO</t>
        </is>
      </c>
      <c r="K758" s="187" t="inlineStr">
        <is>
          <t>https://nvd.nist.gov/vuln/detail/CVE-2026-27505</t>
        </is>
      </c>
      <c r="L758" s="187" t="inlineStr">
        <is>
          <t>2026-02-26 00:15</t>
        </is>
      </c>
      <c r="M758" s="187" t="inlineStr">
        <is>
          <t>CHECK_VENDOR</t>
        </is>
      </c>
      <c r="N758" s="187" t="inlineStr">
        <is>
          <t>See NVD references</t>
        </is>
      </c>
      <c r="O758" s="187" t="inlineStr">
        <is>
          <t>Apply vendor patches</t>
        </is>
      </c>
      <c r="P758" s="187" t="inlineStr">
        <is>
          <t>radioinorr svxportal *</t>
        </is>
      </c>
      <c r="Q758" s="187" t="inlineStr">
        <is>
          <t>P4</t>
        </is>
      </c>
      <c r="R758" s="187" t="inlineStr">
        <is>
          <t>📅 Schedule patch deployment within 30 days | 🔍 Monitor for exploitation attempts</t>
        </is>
      </c>
      <c r="S758" s="187" t="inlineStr">
        <is>
          <t>CVE - IP enrichment n/a</t>
        </is>
      </c>
      <c r="T758" s="187" t="n">
        <v>0</v>
      </c>
      <c r="U758" s="187" t="n">
        <v>0</v>
      </c>
      <c r="V758" s="187" t="inlineStr">
        <is>
          <t>T1189:Drive-by Compromise</t>
        </is>
      </c>
      <c r="W758" s="187" t="n">
        <v>1</v>
      </c>
      <c r="X758" s="187" t="inlineStr">
        <is>
          <t>LOW (40%)</t>
        </is>
      </c>
      <c r="Y758" s="187" t="inlineStr">
        <is>
          <t>UNLIKELY</t>
        </is>
      </c>
      <c r="Z758" s="187" t="inlineStr">
        <is>
          <t>CHECK_VENDOR</t>
        </is>
      </c>
      <c r="AA758" s="187" t="inlineStr">
        <is>
          <t>https://nvd.nist.gov/vuln/detail/CVE-2026-27505</t>
        </is>
      </c>
      <c r="AB758" s="187" t="inlineStr">
        <is>
          <t>NONE</t>
        </is>
      </c>
      <c r="AC758" s="187" t="n">
        <v>0</v>
      </c>
      <c r="AD758" s="187" t="inlineStr"/>
    </row>
    <row r="759">
      <c r="A759" s="187" t="inlineStr">
        <is>
          <t>CVE</t>
        </is>
      </c>
      <c r="B759" s="187" t="inlineStr">
        <is>
          <t>CVE-2026-27506</t>
        </is>
      </c>
      <c r="C759" s="187" t="inlineStr">
        <is>
          <t>SVXportal version 2.5 and prior contain a stored cross-site scripting vulnerability in the user profile update workflow (user_settings.php submitting to admin/update_user.php). Authenticated users can store malicious HTML/JavaScript in fields such as Firstname, lastname, email, and image_url, which are later rendered without adequate output encoding in the administrator interface (admin/users.php), resulting in JavaScript execution in an administrator's browser when the affected page is viewed.</t>
        </is>
      </c>
      <c r="D759" s="187" t="n">
        <v>6.1</v>
      </c>
      <c r="E759" s="187" t="inlineStr">
        <is>
          <t>MEDIUM</t>
        </is>
      </c>
      <c r="F759" s="187" t="n">
        <v>2</v>
      </c>
      <c r="G759" s="187" t="n">
        <v>2</v>
      </c>
      <c r="H759" s="187" t="inlineStr">
        <is>
          <t>MEDIUM</t>
        </is>
      </c>
      <c r="I759" s="187" t="n">
        <v>10.1</v>
      </c>
      <c r="J759" s="187" t="inlineStr">
        <is>
          <t>NO</t>
        </is>
      </c>
      <c r="K759" s="187" t="inlineStr">
        <is>
          <t>https://nvd.nist.gov/vuln/detail/CVE-2026-27506</t>
        </is>
      </c>
      <c r="L759" s="187" t="inlineStr">
        <is>
          <t>2026-02-26 00:15</t>
        </is>
      </c>
      <c r="M759" s="187" t="inlineStr">
        <is>
          <t>CHECK_VENDOR</t>
        </is>
      </c>
      <c r="N759" s="187" t="inlineStr">
        <is>
          <t>See NVD references</t>
        </is>
      </c>
      <c r="O759" s="187" t="inlineStr">
        <is>
          <t>Apply vendor patches</t>
        </is>
      </c>
      <c r="P759" s="187" t="inlineStr">
        <is>
          <t>radioinorr svxportal *</t>
        </is>
      </c>
      <c r="Q759" s="187" t="inlineStr">
        <is>
          <t>P4</t>
        </is>
      </c>
      <c r="R759" s="187" t="inlineStr">
        <is>
          <t>📅 Schedule patch deployment within 30 days | 🔍 Monitor for exploitation attempts</t>
        </is>
      </c>
      <c r="S759" s="187" t="inlineStr">
        <is>
          <t>CVE - IP enrichment n/a</t>
        </is>
      </c>
      <c r="T759" s="187" t="n">
        <v>0</v>
      </c>
      <c r="U759" s="187" t="n">
        <v>0</v>
      </c>
      <c r="V759" s="187" t="inlineStr">
        <is>
          <t>T1189:Drive-by Compromise</t>
        </is>
      </c>
      <c r="W759" s="187" t="n">
        <v>1</v>
      </c>
      <c r="X759" s="187" t="inlineStr">
        <is>
          <t>LOW (40%)</t>
        </is>
      </c>
      <c r="Y759" s="187" t="inlineStr">
        <is>
          <t>UNLIKELY</t>
        </is>
      </c>
      <c r="Z759" s="187" t="inlineStr">
        <is>
          <t>CHECK_VENDOR</t>
        </is>
      </c>
      <c r="AA759" s="187" t="inlineStr">
        <is>
          <t>https://nvd.nist.gov/vuln/detail/CVE-2026-27506</t>
        </is>
      </c>
      <c r="AB759" s="187" t="inlineStr">
        <is>
          <t>NONE</t>
        </is>
      </c>
      <c r="AC759" s="187" t="n">
        <v>0</v>
      </c>
      <c r="AD759" s="187" t="inlineStr"/>
    </row>
    <row r="760">
      <c r="A760" s="189" t="inlineStr">
        <is>
          <t>CVE</t>
        </is>
      </c>
      <c r="B760" s="189" t="inlineStr">
        <is>
          <t>CVE-2026-2333</t>
        </is>
      </c>
      <c r="C760" s="189" t="inlineStr">
        <is>
          <t>Improper Neutralization of Special Elements used in a Command ('Command Injection') in Owl opds 2.2.0.4 allows Command Injection via a crafted network request.</t>
        </is>
      </c>
      <c r="D760" s="189" t="n">
        <v>9.800000000000001</v>
      </c>
      <c r="E760" s="189" t="inlineStr">
        <is>
          <t>CRITICAL</t>
        </is>
      </c>
      <c r="F760" s="189" t="n">
        <v>2</v>
      </c>
      <c r="G760" s="189" t="n">
        <v>3</v>
      </c>
      <c r="H760" s="189" t="inlineStr">
        <is>
          <t>HIGH</t>
        </is>
      </c>
      <c r="I760" s="189" t="n">
        <v>15.8</v>
      </c>
      <c r="J760" s="189" t="inlineStr">
        <is>
          <t>NO</t>
        </is>
      </c>
      <c r="K760" s="189" t="inlineStr">
        <is>
          <t>https://nvd.nist.gov/vuln/detail/CVE-2026-2333</t>
        </is>
      </c>
      <c r="L760" s="189" t="inlineStr">
        <is>
          <t>2026-02-26 00:15</t>
        </is>
      </c>
      <c r="M760" s="189" t="inlineStr">
        <is>
          <t>CHECK_VENDOR</t>
        </is>
      </c>
      <c r="N760" s="189" t="inlineStr">
        <is>
          <t>See NVD references</t>
        </is>
      </c>
      <c r="O760" s="189" t="inlineStr">
        <is>
          <t>Apply vendor patches</t>
        </is>
      </c>
      <c r="P760" s="189" t="inlineStr">
        <is>
          <t>owlcyberdefense opds-100 - | owlcyberdefense opds-1000 - | owlcyberdefense opds-talon 2.2.0.4</t>
        </is>
      </c>
      <c r="Q760" s="189" t="inlineStr">
        <is>
          <t>P3</t>
        </is>
      </c>
      <c r="R760" s="189" t="inlineStr">
        <is>
          <t>🚨 URGENT: Apply vendor patches immediately | 🔒 Isolate affected systems if patch unavailable | 🛡️ Enable additional monitoring/IDS rules</t>
        </is>
      </c>
      <c r="S760" s="189" t="inlineStr">
        <is>
          <t>CVE - IP enrichment n/a</t>
        </is>
      </c>
      <c r="T760" s="189" t="n">
        <v>0</v>
      </c>
      <c r="U760" s="189" t="n">
        <v>0</v>
      </c>
      <c r="V760" s="189" t="inlineStr">
        <is>
          <t>T1059:Command and Scripting Interpreter</t>
        </is>
      </c>
      <c r="W760" s="189" t="n">
        <v>1</v>
      </c>
      <c r="X760" s="189" t="inlineStr">
        <is>
          <t>LOW (40%)</t>
        </is>
      </c>
      <c r="Y760" s="189" t="inlineStr">
        <is>
          <t>UNLIKELY</t>
        </is>
      </c>
      <c r="Z760" s="189" t="inlineStr">
        <is>
          <t>CHECK_VENDOR</t>
        </is>
      </c>
      <c r="AA760" s="189" t="inlineStr">
        <is>
          <t>https://nvd.nist.gov/vuln/detail/CVE-2026-2333</t>
        </is>
      </c>
      <c r="AB760" s="189" t="inlineStr">
        <is>
          <t>NONE</t>
        </is>
      </c>
      <c r="AC760" s="189" t="n">
        <v>0</v>
      </c>
      <c r="AD760" s="189" t="inlineStr"/>
    </row>
    <row r="761">
      <c r="A761" s="188" t="inlineStr">
        <is>
          <t>CVE</t>
        </is>
      </c>
      <c r="B761" s="188" t="inlineStr">
        <is>
          <t>CVE-2026-2818</t>
        </is>
      </c>
      <c r="C761" s="188" t="inlineStr">
        <is>
          <t>A zip-slip path traversal vulnerability in Spring Data Geode's import snapshot functionality allows attackers to write files outside the intended extraction directory. This vulnerability appears to be susceptible on Windows OS only.</t>
        </is>
      </c>
      <c r="D761" s="188" t="n">
        <v>8.199999999999999</v>
      </c>
      <c r="E761" s="188" t="inlineStr">
        <is>
          <t>HIGH</t>
        </is>
      </c>
      <c r="F761" s="188" t="n">
        <v>2</v>
      </c>
      <c r="G761" s="188" t="n">
        <v>3</v>
      </c>
      <c r="H761" s="188" t="inlineStr">
        <is>
          <t>HIGH</t>
        </is>
      </c>
      <c r="I761" s="188" t="n">
        <v>14.2</v>
      </c>
      <c r="J761" s="188" t="inlineStr">
        <is>
          <t>NO</t>
        </is>
      </c>
      <c r="K761" s="188" t="inlineStr">
        <is>
          <t>https://nvd.nist.gov/vuln/detail/CVE-2026-2818</t>
        </is>
      </c>
      <c r="L761" s="188" t="inlineStr">
        <is>
          <t>2026-02-26 00:15</t>
        </is>
      </c>
      <c r="M761" s="188" t="inlineStr">
        <is>
          <t>CHECK_VENDOR</t>
        </is>
      </c>
      <c r="N761" s="188" t="inlineStr">
        <is>
          <t>See NVD references</t>
        </is>
      </c>
      <c r="O761" s="188" t="inlineStr">
        <is>
          <t>Apply vendor patches</t>
        </is>
      </c>
      <c r="P761" s="188" t="inlineStr">
        <is>
          <t>See CVE details</t>
        </is>
      </c>
      <c r="Q761" s="188" t="inlineStr">
        <is>
          <t>P3</t>
        </is>
      </c>
      <c r="R761" s="188" t="inlineStr">
        <is>
          <t>🚨 URGENT: Apply vendor patches immediately | 🔒 Isolate affected systems if patch unavailable | 🛡️ Enable additional monitoring/IDS rules</t>
        </is>
      </c>
      <c r="S761" s="188" t="inlineStr">
        <is>
          <t>CVE - IP enrichment n/a</t>
        </is>
      </c>
      <c r="T761" s="188" t="n">
        <v>0</v>
      </c>
      <c r="U761" s="188" t="n">
        <v>0</v>
      </c>
      <c r="V761" s="188" t="inlineStr">
        <is>
          <t>T1083:File and Directory Discovery</t>
        </is>
      </c>
      <c r="W761" s="188" t="n">
        <v>1</v>
      </c>
      <c r="X761" s="188" t="inlineStr">
        <is>
          <t>LOW (40%)</t>
        </is>
      </c>
      <c r="Y761" s="188" t="inlineStr">
        <is>
          <t>UNLIKELY</t>
        </is>
      </c>
      <c r="Z761" s="188" t="inlineStr">
        <is>
          <t>CHECK_VENDOR</t>
        </is>
      </c>
      <c r="AA761" s="188" t="inlineStr">
        <is>
          <t>https://nvd.nist.gov/vuln/detail/CVE-2026-2818</t>
        </is>
      </c>
      <c r="AB761" s="188" t="inlineStr">
        <is>
          <t>NONE</t>
        </is>
      </c>
      <c r="AC761" s="188" t="n">
        <v>0</v>
      </c>
      <c r="AD761" s="188" t="inlineStr"/>
    </row>
    <row r="762">
      <c r="A762" s="188" t="inlineStr">
        <is>
          <t>CVE</t>
        </is>
      </c>
      <c r="B762" s="188" t="inlineStr">
        <is>
          <t>CVE-2026-2848</t>
        </is>
      </c>
      <c r="C762" s="188" t="inlineStr">
        <is>
          <t>A flaw has been found in SourceCodester Simple Responsive Tourism Website 1.0. Affected by this vulnerability is an unknown functionality of the file /classes/Master.php?f=register of the component Registration. This manipulation of the argument Username causes sql injection. The attack may be initiated remotely. The exploit has been published and may be used.</t>
        </is>
      </c>
      <c r="D762" s="188" t="n">
        <v>7.3</v>
      </c>
      <c r="E762" s="188" t="inlineStr">
        <is>
          <t>HIGH</t>
        </is>
      </c>
      <c r="F762" s="188" t="n">
        <v>2</v>
      </c>
      <c r="G762" s="188" t="n">
        <v>3</v>
      </c>
      <c r="H762" s="188" t="inlineStr">
        <is>
          <t>HIGH</t>
        </is>
      </c>
      <c r="I762" s="188" t="n">
        <v>13.3</v>
      </c>
      <c r="J762" s="188" t="inlineStr">
        <is>
          <t>NO</t>
        </is>
      </c>
      <c r="K762" s="188" t="inlineStr">
        <is>
          <t>https://nvd.nist.gov/vuln/detail/CVE-2026-2848</t>
        </is>
      </c>
      <c r="L762" s="188" t="inlineStr">
        <is>
          <t>2026-02-26 00:15</t>
        </is>
      </c>
      <c r="M762" s="188" t="inlineStr">
        <is>
          <t>CHECK_VENDOR</t>
        </is>
      </c>
      <c r="N762" s="188" t="inlineStr">
        <is>
          <t>See NVD references</t>
        </is>
      </c>
      <c r="O762" s="188" t="inlineStr">
        <is>
          <t>Apply vendor patches</t>
        </is>
      </c>
      <c r="P762" s="188" t="inlineStr">
        <is>
          <t>oretnom23 simple_responsive_tourism_website 1.0</t>
        </is>
      </c>
      <c r="Q762" s="188" t="inlineStr">
        <is>
          <t>P3</t>
        </is>
      </c>
      <c r="R762" s="188" t="inlineStr">
        <is>
          <t>🚨 URGENT: Apply vendor patches immediately | 🔒 Isolate affected systems if patch unavailable | 🛡️ Enable additional monitoring/IDS rules</t>
        </is>
      </c>
      <c r="S762" s="188" t="inlineStr">
        <is>
          <t>CVE - IP enrichment n/a</t>
        </is>
      </c>
      <c r="T762" s="188" t="n">
        <v>0.0003</v>
      </c>
      <c r="U762" s="188" t="n">
        <v>0.07199999999999999</v>
      </c>
      <c r="V762" s="188" t="inlineStr">
        <is>
          <t>T1190:Exploit Public-Facing Application</t>
        </is>
      </c>
      <c r="W762" s="188" t="n">
        <v>1</v>
      </c>
      <c r="X762" s="188" t="inlineStr">
        <is>
          <t>LOW (40%)</t>
        </is>
      </c>
      <c r="Y762" s="188" t="inlineStr">
        <is>
          <t>UNLIKELY</t>
        </is>
      </c>
      <c r="Z762" s="188" t="inlineStr">
        <is>
          <t>CHECK_VENDOR</t>
        </is>
      </c>
      <c r="AA762" s="188" t="inlineStr">
        <is>
          <t>https://nvd.nist.gov/vuln/detail/CVE-2026-2848</t>
        </is>
      </c>
      <c r="AB762" s="188" t="inlineStr">
        <is>
          <t>NONE</t>
        </is>
      </c>
      <c r="AC762" s="188" t="n">
        <v>0</v>
      </c>
      <c r="AD762" s="188" t="inlineStr"/>
    </row>
    <row r="763">
      <c r="A763" s="187" t="inlineStr">
        <is>
          <t>CVE</t>
        </is>
      </c>
      <c r="B763" s="187" t="inlineStr">
        <is>
          <t>CVE-2026-2849</t>
        </is>
      </c>
      <c r="C763" s="187" t="inlineStr">
        <is>
          <t>A vulnerability has been found in yeqifu warehouse up to aaf29962ba407d22d991781de28796ee7b4670e4. Affected by this issue is the function deleteCache/removeAllCache/syncCache of the file dataset\repos\warehouse\src\main\java\com\yeqifu\sys\controller\CacheController.java of the component Cache Sync Handler. Such manipulation leads to improper access controls. The attack may be launched remotely. The exploit has been disclosed to the public and may be used. This product operates on a rolling rele</t>
        </is>
      </c>
      <c r="D763" s="187" t="n">
        <v>5.4</v>
      </c>
      <c r="E763" s="187" t="inlineStr">
        <is>
          <t>MEDIUM</t>
        </is>
      </c>
      <c r="F763" s="187" t="n">
        <v>2</v>
      </c>
      <c r="G763" s="187" t="n">
        <v>2</v>
      </c>
      <c r="H763" s="187" t="inlineStr">
        <is>
          <t>MEDIUM</t>
        </is>
      </c>
      <c r="I763" s="187" t="n">
        <v>9.4</v>
      </c>
      <c r="J763" s="187" t="inlineStr">
        <is>
          <t>NO</t>
        </is>
      </c>
      <c r="K763" s="187" t="inlineStr">
        <is>
          <t>https://nvd.nist.gov/vuln/detail/CVE-2026-2849</t>
        </is>
      </c>
      <c r="L763" s="187" t="inlineStr">
        <is>
          <t>2026-02-26 00:15</t>
        </is>
      </c>
      <c r="M763" s="187" t="inlineStr">
        <is>
          <t>CHECK_VENDOR</t>
        </is>
      </c>
      <c r="N763" s="187" t="inlineStr">
        <is>
          <t>See NVD references</t>
        </is>
      </c>
      <c r="O763" s="187" t="inlineStr">
        <is>
          <t>Apply vendor patches</t>
        </is>
      </c>
      <c r="P763" s="187" t="inlineStr">
        <is>
          <t>See CVE details</t>
        </is>
      </c>
      <c r="Q763" s="187" t="inlineStr">
        <is>
          <t>P4</t>
        </is>
      </c>
      <c r="R763" s="187" t="inlineStr">
        <is>
          <t>📅 Schedule patch deployment within 30 days | 🔍 Monitor for exploitation attempts</t>
        </is>
      </c>
      <c r="S763" s="187" t="inlineStr">
        <is>
          <t>CVE - IP enrichment n/a</t>
        </is>
      </c>
      <c r="T763" s="187" t="n">
        <v>0</v>
      </c>
      <c r="U763" s="187" t="n">
        <v>0</v>
      </c>
      <c r="V763" s="187" t="inlineStr">
        <is>
          <t>T1190:Exploit Public-Facing Application</t>
        </is>
      </c>
      <c r="W763" s="187" t="n">
        <v>1</v>
      </c>
      <c r="X763" s="187" t="inlineStr">
        <is>
          <t>LOW (40%)</t>
        </is>
      </c>
      <c r="Y763" s="187" t="inlineStr">
        <is>
          <t>UNLIKELY</t>
        </is>
      </c>
      <c r="Z763" s="187" t="inlineStr">
        <is>
          <t>CHECK_VENDOR</t>
        </is>
      </c>
      <c r="AA763" s="187" t="inlineStr">
        <is>
          <t>https://nvd.nist.gov/vuln/detail/CVE-2026-2849</t>
        </is>
      </c>
      <c r="AB763" s="187" t="inlineStr">
        <is>
          <t>NONE</t>
        </is>
      </c>
      <c r="AC763" s="187" t="n">
        <v>0</v>
      </c>
      <c r="AD763" s="187" t="inlineStr"/>
    </row>
    <row r="764">
      <c r="A764" s="188" t="inlineStr">
        <is>
          <t>CVE</t>
        </is>
      </c>
      <c r="B764" s="188" t="inlineStr">
        <is>
          <t>CVE-2026-24891</t>
        </is>
      </c>
      <c r="C764" s="188" t="inlineStr">
        <is>
          <t>openITCOCKPIT is an open source monitoring tool built for different monitoring engines like Nagios, Naemon and Prometheus. Versions 5.3.1 and below contain an unsafe deserialization sink in the Gearman worker implementation. The worker function registered as oitc_gearman calls PHP's unserialize() on job payloads without enforcing class restrictions or validating data origin. While the intended deployment assumes only trusted internal components enqueue Gearman jobs, this trust boundary is not en</t>
        </is>
      </c>
      <c r="D764" s="188" t="n">
        <v>7.5</v>
      </c>
      <c r="E764" s="188" t="inlineStr">
        <is>
          <t>HIGH</t>
        </is>
      </c>
      <c r="F764" s="188" t="n">
        <v>2</v>
      </c>
      <c r="G764" s="188" t="n">
        <v>3</v>
      </c>
      <c r="H764" s="188" t="inlineStr">
        <is>
          <t>HIGH</t>
        </is>
      </c>
      <c r="I764" s="188" t="n">
        <v>13.5</v>
      </c>
      <c r="J764" s="188" t="inlineStr">
        <is>
          <t>NO</t>
        </is>
      </c>
      <c r="K764" s="188" t="inlineStr">
        <is>
          <t>https://nvd.nist.gov/vuln/detail/CVE-2026-24891</t>
        </is>
      </c>
      <c r="L764" s="188" t="inlineStr">
        <is>
          <t>2026-02-26 00:15</t>
        </is>
      </c>
      <c r="M764" s="188" t="inlineStr">
        <is>
          <t>YES</t>
        </is>
      </c>
      <c r="N764" s="188" t="inlineStr">
        <is>
          <t>https://github.com/openITCOCKPIT/openITCOCKPIT/security/advisories/GHSA-x4mq-8gfg-frc4</t>
        </is>
      </c>
      <c r="O764" s="188" t="inlineStr">
        <is>
          <t>https://github.com/openITCOCKPIT/openITCOCKPIT/security/advisories/GHSA-x4mq-8gfg-frc4</t>
        </is>
      </c>
      <c r="P764" s="188" t="inlineStr">
        <is>
          <t>it-novum openitcockpit *</t>
        </is>
      </c>
      <c r="Q764" s="188" t="inlineStr">
        <is>
          <t>P3</t>
        </is>
      </c>
      <c r="R764" s="188" t="inlineStr">
        <is>
          <t>🚨 URGENT: Apply vendor patches immediately | 🔒 Isolate affected systems if patch unavailable | 🛡️ Enable additional monitoring/IDS rules</t>
        </is>
      </c>
      <c r="S764" s="188" t="inlineStr">
        <is>
          <t>CVE - IP enrichment n/a</t>
        </is>
      </c>
      <c r="T764" s="188" t="n">
        <v>0</v>
      </c>
      <c r="U764" s="188" t="n">
        <v>0</v>
      </c>
      <c r="V764" s="188" t="inlineStr">
        <is>
          <t>T1059:Command and Scripting Interpreter | T1190:Exploit Public-Facing Application</t>
        </is>
      </c>
      <c r="W764" s="188" t="n">
        <v>1</v>
      </c>
      <c r="X764" s="188" t="inlineStr">
        <is>
          <t>LOW (40%)</t>
        </is>
      </c>
      <c r="Y764" s="188" t="inlineStr">
        <is>
          <t>UNLIKELY</t>
        </is>
      </c>
      <c r="Z764" s="188" t="inlineStr">
        <is>
          <t>PATCH_AVAILABLE</t>
        </is>
      </c>
      <c r="AA764" s="188" t="inlineStr">
        <is>
          <t>https://nvd.nist.gov/vuln/detail/CVE-2026-24891</t>
        </is>
      </c>
      <c r="AB764" s="188" t="inlineStr">
        <is>
          <t>NONE</t>
        </is>
      </c>
      <c r="AC764" s="188" t="n">
        <v>0</v>
      </c>
      <c r="AD764" s="188" t="inlineStr"/>
    </row>
    <row r="765">
      <c r="A765" s="188" t="inlineStr">
        <is>
          <t>CVE</t>
        </is>
      </c>
      <c r="B765" s="188" t="inlineStr">
        <is>
          <t>CVE-2026-27115</t>
        </is>
      </c>
      <c r="C765" s="188" t="inlineStr">
        <is>
          <t>ADB Explorer is a fluent UI for ADB on Windows. Versions 0.9.26020 and below have an unvalidated command-line argument that allows any user to trigger recursive deletion of arbitrary directories on the Windows filesystem. ADB Explorer accepts an optional path argument to set a custom data directory, but only check whether the path exists. The ClearDrag() method calls Directory.Delete(dir, true) on every subdirectory of that path at both application startup and exit. An attacker can craft a malic</t>
        </is>
      </c>
      <c r="D765" s="188" t="n">
        <v>7.1</v>
      </c>
      <c r="E765" s="188" t="inlineStr">
        <is>
          <t>HIGH</t>
        </is>
      </c>
      <c r="F765" s="188" t="n">
        <v>2</v>
      </c>
      <c r="G765" s="188" t="n">
        <v>3</v>
      </c>
      <c r="H765" s="188" t="inlineStr">
        <is>
          <t>HIGH</t>
        </is>
      </c>
      <c r="I765" s="188" t="n">
        <v>13.1</v>
      </c>
      <c r="J765" s="188" t="inlineStr">
        <is>
          <t>NO</t>
        </is>
      </c>
      <c r="K765" s="188" t="inlineStr">
        <is>
          <t>https://nvd.nist.gov/vuln/detail/CVE-2026-27115</t>
        </is>
      </c>
      <c r="L765" s="188" t="inlineStr">
        <is>
          <t>2026-02-26 00:15</t>
        </is>
      </c>
      <c r="M765" s="188" t="inlineStr">
        <is>
          <t>CHECK_VENDOR</t>
        </is>
      </c>
      <c r="N765" s="188" t="inlineStr">
        <is>
          <t>See NVD references</t>
        </is>
      </c>
      <c r="O765" s="188" t="inlineStr">
        <is>
          <t>Apply vendor patches</t>
        </is>
      </c>
      <c r="P765" s="188" t="inlineStr">
        <is>
          <t>See CVE details</t>
        </is>
      </c>
      <c r="Q765" s="188" t="inlineStr">
        <is>
          <t>P3</t>
        </is>
      </c>
      <c r="R765" s="188" t="inlineStr">
        <is>
          <t>🚨 URGENT: Apply vendor patches immediately | 🔒 Isolate affected systems if patch unavailable | 🛡️ Enable additional monitoring/IDS rules</t>
        </is>
      </c>
      <c r="S765" s="188" t="inlineStr">
        <is>
          <t>CVE - IP enrichment n/a</t>
        </is>
      </c>
      <c r="T765" s="188" t="n">
        <v>0</v>
      </c>
      <c r="U765" s="188" t="n">
        <v>0</v>
      </c>
      <c r="V765" s="188" t="inlineStr">
        <is>
          <t>T1083:File and Directory Discovery</t>
        </is>
      </c>
      <c r="W765" s="188" t="n">
        <v>1</v>
      </c>
      <c r="X765" s="188" t="inlineStr">
        <is>
          <t>LOW (40%)</t>
        </is>
      </c>
      <c r="Y765" s="188" t="inlineStr">
        <is>
          <t>UNLIKELY</t>
        </is>
      </c>
      <c r="Z765" s="188" t="inlineStr">
        <is>
          <t>CHECK_VENDOR</t>
        </is>
      </c>
      <c r="AA765" s="188" t="inlineStr">
        <is>
          <t>https://nvd.nist.gov/vuln/detail/CVE-2026-27115</t>
        </is>
      </c>
      <c r="AB765" s="188" t="inlineStr">
        <is>
          <t>NONE</t>
        </is>
      </c>
      <c r="AC765" s="188" t="n">
        <v>0</v>
      </c>
      <c r="AD765" s="188" t="inlineStr"/>
    </row>
    <row r="766">
      <c r="A766" s="187" t="inlineStr">
        <is>
          <t>CVE</t>
        </is>
      </c>
      <c r="B766" s="187" t="inlineStr">
        <is>
          <t>CVE-2026-2832</t>
        </is>
      </c>
      <c r="C766" s="187" t="inlineStr">
        <is>
          <t>Certain Samsung MultiXpress Multifunction Printers may be vulnerable to information disclosure, potentially exposing address book entries and other device configuration information through specific APIs without proper authorization.</t>
        </is>
      </c>
      <c r="D766" s="187" t="n">
        <v>5</v>
      </c>
      <c r="E766" s="187" t="inlineStr">
        <is>
          <t>MEDIUM</t>
        </is>
      </c>
      <c r="F766" s="187" t="n">
        <v>2</v>
      </c>
      <c r="G766" s="187" t="n">
        <v>2</v>
      </c>
      <c r="H766" s="187" t="inlineStr">
        <is>
          <t>MEDIUM</t>
        </is>
      </c>
      <c r="I766" s="187" t="n">
        <v>9</v>
      </c>
      <c r="J766" s="187" t="inlineStr">
        <is>
          <t>NO</t>
        </is>
      </c>
      <c r="K766" s="187" t="inlineStr">
        <is>
          <t>https://nvd.nist.gov/vuln/detail/CVE-2026-2832</t>
        </is>
      </c>
      <c r="L766" s="187" t="inlineStr">
        <is>
          <t>2026-02-26 00:15</t>
        </is>
      </c>
      <c r="M766" s="187" t="inlineStr">
        <is>
          <t>CHECK_VENDOR</t>
        </is>
      </c>
      <c r="N766" s="187" t="inlineStr">
        <is>
          <t>See NVD references</t>
        </is>
      </c>
      <c r="O766" s="187" t="inlineStr">
        <is>
          <t>Apply vendor patches</t>
        </is>
      </c>
      <c r="P766" s="187" t="inlineStr">
        <is>
          <t>See CVE details</t>
        </is>
      </c>
      <c r="Q766" s="187" t="inlineStr">
        <is>
          <t>P4</t>
        </is>
      </c>
      <c r="R766" s="187" t="inlineStr">
        <is>
          <t>📅 Schedule patch deployment within 30 days | 🔍 Monitor for exploitation attempts</t>
        </is>
      </c>
      <c r="S766" s="187" t="inlineStr">
        <is>
          <t>CVE - IP enrichment n/a</t>
        </is>
      </c>
      <c r="T766" s="187" t="n">
        <v>0</v>
      </c>
      <c r="U766" s="187" t="n">
        <v>0</v>
      </c>
      <c r="V766" s="187" t="inlineStr">
        <is>
          <t>T1213:Data from Information Repositories</t>
        </is>
      </c>
      <c r="W766" s="187" t="n">
        <v>1</v>
      </c>
      <c r="X766" s="187" t="inlineStr">
        <is>
          <t>LOW (40%)</t>
        </is>
      </c>
      <c r="Y766" s="187" t="inlineStr">
        <is>
          <t>UNLIKELY</t>
        </is>
      </c>
      <c r="Z766" s="187" t="inlineStr">
        <is>
          <t>CHECK_VENDOR</t>
        </is>
      </c>
      <c r="AA766" s="187" t="inlineStr">
        <is>
          <t>https://nvd.nist.gov/vuln/detail/CVE-2026-2832</t>
        </is>
      </c>
      <c r="AB766" s="187" t="inlineStr">
        <is>
          <t>NONE</t>
        </is>
      </c>
      <c r="AC766" s="187" t="n">
        <v>0</v>
      </c>
      <c r="AD766" s="187" t="inlineStr"/>
    </row>
    <row r="767">
      <c r="A767" s="187" t="inlineStr">
        <is>
          <t>CVE</t>
        </is>
      </c>
      <c r="B767" s="187" t="inlineStr">
        <is>
          <t>CVE-2026-2850</t>
        </is>
      </c>
      <c r="C767" s="187" t="inlineStr">
        <is>
          <t>A vulnerability was found in yeqifu warehouse up to aaf29962ba407d22d991781de28796ee7b4670e4. This affects the function addCustomer/updateCustomer/deleteCustomer of the file dataset\repos\warehouse\src\main\java\com\yeqifu\bus\controller\CustomerController.java of the component Customer Endpoint. Performing a manipulation results in improper access controls. Remote exploitation of the attack is possible. The exploit has been made public and could be used. This product follows a rolling release a</t>
        </is>
      </c>
      <c r="D767" s="187" t="n">
        <v>6.3</v>
      </c>
      <c r="E767" s="187" t="inlineStr">
        <is>
          <t>MEDIUM</t>
        </is>
      </c>
      <c r="F767" s="187" t="n">
        <v>2</v>
      </c>
      <c r="G767" s="187" t="n">
        <v>2</v>
      </c>
      <c r="H767" s="187" t="inlineStr">
        <is>
          <t>MEDIUM</t>
        </is>
      </c>
      <c r="I767" s="187" t="n">
        <v>10.3</v>
      </c>
      <c r="J767" s="187" t="inlineStr">
        <is>
          <t>NO</t>
        </is>
      </c>
      <c r="K767" s="187" t="inlineStr">
        <is>
          <t>https://nvd.nist.gov/vuln/detail/CVE-2026-2850</t>
        </is>
      </c>
      <c r="L767" s="187" t="inlineStr">
        <is>
          <t>2026-02-26 00:15</t>
        </is>
      </c>
      <c r="M767" s="187" t="inlineStr">
        <is>
          <t>CHECK_VENDOR</t>
        </is>
      </c>
      <c r="N767" s="187" t="inlineStr">
        <is>
          <t>See NVD references</t>
        </is>
      </c>
      <c r="O767" s="187" t="inlineStr">
        <is>
          <t>Apply vendor patches</t>
        </is>
      </c>
      <c r="P767" s="187" t="inlineStr">
        <is>
          <t>See CVE details</t>
        </is>
      </c>
      <c r="Q767" s="187" t="inlineStr">
        <is>
          <t>P4</t>
        </is>
      </c>
      <c r="R767" s="187" t="inlineStr">
        <is>
          <t>📅 Schedule patch deployment within 30 days | 🔍 Monitor for exploitation attempts</t>
        </is>
      </c>
      <c r="S767" s="187" t="inlineStr">
        <is>
          <t>CVE - IP enrichment n/a</t>
        </is>
      </c>
      <c r="T767" s="187" t="n">
        <v>0</v>
      </c>
      <c r="U767" s="187" t="n">
        <v>0</v>
      </c>
      <c r="V767" s="187" t="inlineStr">
        <is>
          <t>T1190:Exploit Public-Facing Application</t>
        </is>
      </c>
      <c r="W767" s="187" t="n">
        <v>1</v>
      </c>
      <c r="X767" s="187" t="inlineStr">
        <is>
          <t>LOW (40%)</t>
        </is>
      </c>
      <c r="Y767" s="187" t="inlineStr">
        <is>
          <t>UNLIKELY</t>
        </is>
      </c>
      <c r="Z767" s="187" t="inlineStr">
        <is>
          <t>CHECK_VENDOR</t>
        </is>
      </c>
      <c r="AA767" s="187" t="inlineStr">
        <is>
          <t>https://nvd.nist.gov/vuln/detail/CVE-2026-2850</t>
        </is>
      </c>
      <c r="AB767" s="187" t="inlineStr">
        <is>
          <t>NONE</t>
        </is>
      </c>
      <c r="AC767" s="187" t="n">
        <v>0</v>
      </c>
      <c r="AD767" s="187" t="inlineStr"/>
    </row>
    <row r="768">
      <c r="A768" s="187" t="inlineStr">
        <is>
          <t>CVE</t>
        </is>
      </c>
      <c r="B768" s="187" t="inlineStr">
        <is>
          <t>CVE-2026-2851</t>
        </is>
      </c>
      <c r="C768" s="187" t="inlineStr">
        <is>
          <t>A vulnerability was determined in yeqifu warehouse up to aaf29962ba407d22d991781de28796ee7b4670e4. This vulnerability affects the function addInport/updateInport/deleteInport of the file dataset\repos\warehouse\src\main\java\com\yeqifu\bus\controller\InportController.java of the component Inport Endpoint. Executing a manipulation can lead to improper access controls. The attack can be executed remotely. The exploit has been publicly disclosed and may be utilized. This product implements a rollin</t>
        </is>
      </c>
      <c r="D768" s="187" t="n">
        <v>6.3</v>
      </c>
      <c r="E768" s="187" t="inlineStr">
        <is>
          <t>MEDIUM</t>
        </is>
      </c>
      <c r="F768" s="187" t="n">
        <v>2</v>
      </c>
      <c r="G768" s="187" t="n">
        <v>2</v>
      </c>
      <c r="H768" s="187" t="inlineStr">
        <is>
          <t>MEDIUM</t>
        </is>
      </c>
      <c r="I768" s="187" t="n">
        <v>10.3</v>
      </c>
      <c r="J768" s="187" t="inlineStr">
        <is>
          <t>NO</t>
        </is>
      </c>
      <c r="K768" s="187" t="inlineStr">
        <is>
          <t>https://nvd.nist.gov/vuln/detail/CVE-2026-2851</t>
        </is>
      </c>
      <c r="L768" s="187" t="inlineStr">
        <is>
          <t>2026-02-26 00:15</t>
        </is>
      </c>
      <c r="M768" s="187" t="inlineStr">
        <is>
          <t>CHECK_VENDOR</t>
        </is>
      </c>
      <c r="N768" s="187" t="inlineStr">
        <is>
          <t>See NVD references</t>
        </is>
      </c>
      <c r="O768" s="187" t="inlineStr">
        <is>
          <t>Apply vendor patches</t>
        </is>
      </c>
      <c r="P768" s="187" t="inlineStr">
        <is>
          <t>See CVE details</t>
        </is>
      </c>
      <c r="Q768" s="187" t="inlineStr">
        <is>
          <t>P4</t>
        </is>
      </c>
      <c r="R768" s="187" t="inlineStr">
        <is>
          <t>📅 Schedule patch deployment within 30 days | 🔍 Monitor for exploitation attempts</t>
        </is>
      </c>
      <c r="S768" s="187" t="inlineStr">
        <is>
          <t>CVE - IP enrichment n/a</t>
        </is>
      </c>
      <c r="T768" s="187" t="n">
        <v>0</v>
      </c>
      <c r="U768" s="187" t="n">
        <v>0</v>
      </c>
      <c r="V768" s="187" t="inlineStr">
        <is>
          <t>T1190:Exploit Public-Facing Application</t>
        </is>
      </c>
      <c r="W768" s="187" t="n">
        <v>1</v>
      </c>
      <c r="X768" s="187" t="inlineStr">
        <is>
          <t>LOW (40%)</t>
        </is>
      </c>
      <c r="Y768" s="187" t="inlineStr">
        <is>
          <t>UNLIKELY</t>
        </is>
      </c>
      <c r="Z768" s="187" t="inlineStr">
        <is>
          <t>CHECK_VENDOR</t>
        </is>
      </c>
      <c r="AA768" s="187" t="inlineStr">
        <is>
          <t>https://nvd.nist.gov/vuln/detail/CVE-2026-2851</t>
        </is>
      </c>
      <c r="AB768" s="187" t="inlineStr">
        <is>
          <t>NONE</t>
        </is>
      </c>
      <c r="AC768" s="187" t="n">
        <v>0</v>
      </c>
      <c r="AD768" s="187" t="inlineStr"/>
    </row>
    <row r="769">
      <c r="A769" s="188" t="inlineStr">
        <is>
          <t>CVE</t>
        </is>
      </c>
      <c r="B769" s="188" t="inlineStr">
        <is>
          <t>CVE-2019-25444</t>
        </is>
      </c>
      <c r="C769" s="188" t="inlineStr">
        <is>
          <t>Fiverr Clone Script 1.2.2 contains an SQL injection vulnerability that allows unauthenticated attackers to manipulate database queries by injecting SQL code through the page parameter. Attackers can supply malicious SQL syntax in the page parameter to extract sensitive database information or modify database contents.</t>
        </is>
      </c>
      <c r="D769" s="188" t="n">
        <v>8.199999999999999</v>
      </c>
      <c r="E769" s="188" t="inlineStr">
        <is>
          <t>HIGH</t>
        </is>
      </c>
      <c r="F769" s="188" t="n">
        <v>2</v>
      </c>
      <c r="G769" s="188" t="n">
        <v>3</v>
      </c>
      <c r="H769" s="188" t="inlineStr">
        <is>
          <t>HIGH</t>
        </is>
      </c>
      <c r="I769" s="188" t="n">
        <v>14.2</v>
      </c>
      <c r="J769" s="188" t="inlineStr">
        <is>
          <t>NO</t>
        </is>
      </c>
      <c r="K769" s="188" t="inlineStr">
        <is>
          <t>https://nvd.nist.gov/vuln/detail/CVE-2019-25444</t>
        </is>
      </c>
      <c r="L769" s="188" t="inlineStr">
        <is>
          <t>2026-02-26 00:15</t>
        </is>
      </c>
      <c r="M769" s="188" t="inlineStr">
        <is>
          <t>CHECK_VENDOR</t>
        </is>
      </c>
      <c r="N769" s="188" t="inlineStr">
        <is>
          <t>See NVD references</t>
        </is>
      </c>
      <c r="O769" s="188" t="inlineStr">
        <is>
          <t>Apply vendor patches</t>
        </is>
      </c>
      <c r="P769" s="188" t="inlineStr">
        <is>
          <t>See CVE details</t>
        </is>
      </c>
      <c r="Q769" s="188" t="inlineStr">
        <is>
          <t>P3</t>
        </is>
      </c>
      <c r="R769" s="188" t="inlineStr">
        <is>
          <t>🚨 URGENT: Apply vendor patches immediately | 🔒 Isolate affected systems if patch unavailable | 🛡️ Enable additional monitoring/IDS rules</t>
        </is>
      </c>
      <c r="S769" s="188" t="inlineStr">
        <is>
          <t>CVE - IP enrichment n/a</t>
        </is>
      </c>
      <c r="T769" s="188" t="n">
        <v>0</v>
      </c>
      <c r="U769" s="188" t="n">
        <v>0</v>
      </c>
      <c r="V769" s="188" t="inlineStr">
        <is>
          <t>T1190:Exploit Public-Facing Application</t>
        </is>
      </c>
      <c r="W769" s="188" t="n">
        <v>1</v>
      </c>
      <c r="X769" s="188" t="inlineStr">
        <is>
          <t>LOW (40%)</t>
        </is>
      </c>
      <c r="Y769" s="188" t="inlineStr">
        <is>
          <t>UNLIKELY</t>
        </is>
      </c>
      <c r="Z769" s="188" t="inlineStr">
        <is>
          <t>CHECK_VENDOR</t>
        </is>
      </c>
      <c r="AA769" s="188" t="inlineStr">
        <is>
          <t>https://nvd.nist.gov/vuln/detail/CVE-2019-25444</t>
        </is>
      </c>
      <c r="AB769" s="188" t="inlineStr">
        <is>
          <t>NONE</t>
        </is>
      </c>
      <c r="AC769" s="188" t="n">
        <v>0</v>
      </c>
      <c r="AD769" s="188" t="inlineStr"/>
    </row>
    <row r="770">
      <c r="A770" s="187" t="inlineStr">
        <is>
          <t>CVE</t>
        </is>
      </c>
      <c r="B770" s="187" t="inlineStr">
        <is>
          <t>CVE-2019-25445</t>
        </is>
      </c>
      <c r="C770" s="187" t="inlineStr">
        <is>
          <t>Fiverr Clone Script 1.2.2 contains a cross-site scripting vulnerability that allows unauthenticated attackers to inject malicious scripts by manipulating the keyword parameter. Attackers can craft URLs with script tags in the keyword parameter of search-results.php to execute arbitrary JavaScript in users' browsers.</t>
        </is>
      </c>
      <c r="D770" s="187" t="n">
        <v>6.1</v>
      </c>
      <c r="E770" s="187" t="inlineStr">
        <is>
          <t>MEDIUM</t>
        </is>
      </c>
      <c r="F770" s="187" t="n">
        <v>2</v>
      </c>
      <c r="G770" s="187" t="n">
        <v>2</v>
      </c>
      <c r="H770" s="187" t="inlineStr">
        <is>
          <t>MEDIUM</t>
        </is>
      </c>
      <c r="I770" s="187" t="n">
        <v>10.1</v>
      </c>
      <c r="J770" s="187" t="inlineStr">
        <is>
          <t>NO</t>
        </is>
      </c>
      <c r="K770" s="187" t="inlineStr">
        <is>
          <t>https://nvd.nist.gov/vuln/detail/CVE-2019-25445</t>
        </is>
      </c>
      <c r="L770" s="187" t="inlineStr">
        <is>
          <t>2026-02-26 00:15</t>
        </is>
      </c>
      <c r="M770" s="187" t="inlineStr">
        <is>
          <t>CHECK_VENDOR</t>
        </is>
      </c>
      <c r="N770" s="187" t="inlineStr">
        <is>
          <t>See NVD references</t>
        </is>
      </c>
      <c r="O770" s="187" t="inlineStr">
        <is>
          <t>Apply vendor patches</t>
        </is>
      </c>
      <c r="P770" s="187" t="inlineStr">
        <is>
          <t>See CVE details</t>
        </is>
      </c>
      <c r="Q770" s="187" t="inlineStr">
        <is>
          <t>P4</t>
        </is>
      </c>
      <c r="R770" s="187" t="inlineStr">
        <is>
          <t>📅 Schedule patch deployment within 30 days | 🔍 Monitor for exploitation attempts</t>
        </is>
      </c>
      <c r="S770" s="187" t="inlineStr">
        <is>
          <t>CVE - IP enrichment n/a</t>
        </is>
      </c>
      <c r="T770" s="187" t="n">
        <v>0.0007</v>
      </c>
      <c r="U770" s="187" t="n">
        <v>0.223</v>
      </c>
      <c r="V770" s="187" t="inlineStr">
        <is>
          <t>T1189:Drive-by Compromise</t>
        </is>
      </c>
      <c r="W770" s="187" t="n">
        <v>1</v>
      </c>
      <c r="X770" s="187" t="inlineStr">
        <is>
          <t>LOW (40%)</t>
        </is>
      </c>
      <c r="Y770" s="187" t="inlineStr">
        <is>
          <t>UNLIKELY</t>
        </is>
      </c>
      <c r="Z770" s="187" t="inlineStr">
        <is>
          <t>CHECK_VENDOR</t>
        </is>
      </c>
      <c r="AA770" s="187" t="inlineStr">
        <is>
          <t>https://nvd.nist.gov/vuln/detail/CVE-2019-25445</t>
        </is>
      </c>
      <c r="AB770" s="187" t="inlineStr">
        <is>
          <t>NONE</t>
        </is>
      </c>
      <c r="AC770" s="187" t="n">
        <v>0</v>
      </c>
      <c r="AD770" s="187" t="inlineStr"/>
    </row>
    <row r="771">
      <c r="A771" s="189" t="inlineStr">
        <is>
          <t>CVE</t>
        </is>
      </c>
      <c r="B771" s="189" t="inlineStr">
        <is>
          <t>CVE-2021-35402</t>
        </is>
      </c>
      <c r="C771" s="189" t="inlineStr">
        <is>
          <t>PROLiNK PRC2402M 20190909 before 2021-06-13 allows live_api.cgi?page=satellite_list OS command injection via shell metacharacters in the ip parameter (for satellite_status).</t>
        </is>
      </c>
      <c r="D771" s="189" t="n">
        <v>10</v>
      </c>
      <c r="E771" s="189" t="inlineStr">
        <is>
          <t>CRITICAL</t>
        </is>
      </c>
      <c r="F771" s="189" t="n">
        <v>2</v>
      </c>
      <c r="G771" s="189" t="n">
        <v>3</v>
      </c>
      <c r="H771" s="189" t="inlineStr">
        <is>
          <t>HIGH</t>
        </is>
      </c>
      <c r="I771" s="189" t="n">
        <v>16</v>
      </c>
      <c r="J771" s="189" t="inlineStr">
        <is>
          <t>NO</t>
        </is>
      </c>
      <c r="K771" s="189" t="inlineStr">
        <is>
          <t>https://nvd.nist.gov/vuln/detail/CVE-2021-35402</t>
        </is>
      </c>
      <c r="L771" s="189" t="inlineStr">
        <is>
          <t>2026-02-26 00:15</t>
        </is>
      </c>
      <c r="M771" s="189" t="inlineStr">
        <is>
          <t>CHECK_VENDOR</t>
        </is>
      </c>
      <c r="N771" s="189" t="inlineStr">
        <is>
          <t>See NVD references</t>
        </is>
      </c>
      <c r="O771" s="189" t="inlineStr">
        <is>
          <t>Apply vendor patches</t>
        </is>
      </c>
      <c r="P771" s="189" t="inlineStr">
        <is>
          <t>See CVE details</t>
        </is>
      </c>
      <c r="Q771" s="189" t="inlineStr">
        <is>
          <t>P3</t>
        </is>
      </c>
      <c r="R771" s="189" t="inlineStr">
        <is>
          <t>🚨 URGENT: Apply vendor patches immediately | 🔒 Isolate affected systems if patch unavailable | 🛡️ Enable additional monitoring/IDS rules</t>
        </is>
      </c>
      <c r="S771" s="189" t="inlineStr">
        <is>
          <t>CVE - IP enrichment n/a</t>
        </is>
      </c>
      <c r="T771" s="189" t="n">
        <v>0</v>
      </c>
      <c r="U771" s="189" t="n">
        <v>0</v>
      </c>
      <c r="V771" s="189" t="inlineStr">
        <is>
          <t>T1059:Command and Scripting Interpreter</t>
        </is>
      </c>
      <c r="W771" s="189" t="n">
        <v>1</v>
      </c>
      <c r="X771" s="189" t="inlineStr">
        <is>
          <t>LOW (40%)</t>
        </is>
      </c>
      <c r="Y771" s="189" t="inlineStr">
        <is>
          <t>UNLIKELY</t>
        </is>
      </c>
      <c r="Z771" s="189" t="inlineStr">
        <is>
          <t>CHECK_VENDOR</t>
        </is>
      </c>
      <c r="AA771" s="189" t="inlineStr">
        <is>
          <t>https://nvd.nist.gov/vuln/detail/CVE-2021-35402</t>
        </is>
      </c>
      <c r="AB771" s="189" t="inlineStr">
        <is>
          <t>NONE</t>
        </is>
      </c>
      <c r="AC771" s="189" t="n">
        <v>0</v>
      </c>
      <c r="AD771" s="189" t="inlineStr"/>
    </row>
    <row r="772">
      <c r="A772" s="187" t="inlineStr">
        <is>
          <t>CVE</t>
        </is>
      </c>
      <c r="B772" s="187" t="inlineStr">
        <is>
          <t>CVE-2026-2852</t>
        </is>
      </c>
      <c r="C772" s="187" t="inlineStr">
        <is>
          <t xml:space="preserve">A vulnerability was identified in yeqifu warehouse up to aaf29962ba407d22d991781de28796ee7b4670e4. This issue affects the function addSales/updateSales/deleteSales of the file dataset\repos\warehouse\src\main\java\com\yeqifu\bus\controller\SalesController.java of the component Sales Endpoint. The manipulation leads to improper access controls. The attack is possible to be carried out remotely. The exploit is publicly available and might be used. This product adopts a rolling release strategy to </t>
        </is>
      </c>
      <c r="D772" s="187" t="n">
        <v>6.3</v>
      </c>
      <c r="E772" s="187" t="inlineStr">
        <is>
          <t>MEDIUM</t>
        </is>
      </c>
      <c r="F772" s="187" t="n">
        <v>2</v>
      </c>
      <c r="G772" s="187" t="n">
        <v>2</v>
      </c>
      <c r="H772" s="187" t="inlineStr">
        <is>
          <t>MEDIUM</t>
        </is>
      </c>
      <c r="I772" s="187" t="n">
        <v>10.3</v>
      </c>
      <c r="J772" s="187" t="inlineStr">
        <is>
          <t>NO</t>
        </is>
      </c>
      <c r="K772" s="187" t="inlineStr">
        <is>
          <t>https://nvd.nist.gov/vuln/detail/CVE-2026-2852</t>
        </is>
      </c>
      <c r="L772" s="187" t="inlineStr">
        <is>
          <t>2026-02-26 00:15</t>
        </is>
      </c>
      <c r="M772" s="187" t="inlineStr">
        <is>
          <t>CHECK_VENDOR</t>
        </is>
      </c>
      <c r="N772" s="187" t="inlineStr">
        <is>
          <t>See NVD references</t>
        </is>
      </c>
      <c r="O772" s="187" t="inlineStr">
        <is>
          <t>Apply vendor patches</t>
        </is>
      </c>
      <c r="P772" s="187" t="inlineStr">
        <is>
          <t>See CVE details</t>
        </is>
      </c>
      <c r="Q772" s="187" t="inlineStr">
        <is>
          <t>P4</t>
        </is>
      </c>
      <c r="R772" s="187" t="inlineStr">
        <is>
          <t>📅 Schedule patch deployment within 30 days | 🔍 Monitor for exploitation attempts</t>
        </is>
      </c>
      <c r="S772" s="187" t="inlineStr">
        <is>
          <t>CVE - IP enrichment n/a</t>
        </is>
      </c>
      <c r="T772" s="187" t="n">
        <v>0</v>
      </c>
      <c r="U772" s="187" t="n">
        <v>0</v>
      </c>
      <c r="V772" s="187" t="inlineStr">
        <is>
          <t>T1190:Exploit Public-Facing Application</t>
        </is>
      </c>
      <c r="W772" s="187" t="n">
        <v>1</v>
      </c>
      <c r="X772" s="187" t="inlineStr">
        <is>
          <t>LOW (40%)</t>
        </is>
      </c>
      <c r="Y772" s="187" t="inlineStr">
        <is>
          <t>UNLIKELY</t>
        </is>
      </c>
      <c r="Z772" s="187" t="inlineStr">
        <is>
          <t>CHECK_VENDOR</t>
        </is>
      </c>
      <c r="AA772" s="187" t="inlineStr">
        <is>
          <t>https://nvd.nist.gov/vuln/detail/CVE-2026-2852</t>
        </is>
      </c>
      <c r="AB772" s="187" t="inlineStr">
        <is>
          <t>NONE</t>
        </is>
      </c>
      <c r="AC772" s="187" t="n">
        <v>0</v>
      </c>
      <c r="AD772" s="187" t="inlineStr"/>
    </row>
    <row r="773">
      <c r="A773" s="187" t="inlineStr">
        <is>
          <t>CVE</t>
        </is>
      </c>
      <c r="B773" s="187" t="inlineStr">
        <is>
          <t>CVE-2025-62326</t>
        </is>
      </c>
      <c r="C773" s="187" t="inlineStr">
        <is>
          <t>HCL Digital Experience is susceptible to stored cross-site scripting (XSS) in the administrative user interface which would require elevated privileges to exploit.</t>
        </is>
      </c>
      <c r="D773" s="187" t="n">
        <v>6.1</v>
      </c>
      <c r="E773" s="187" t="inlineStr">
        <is>
          <t>MEDIUM</t>
        </is>
      </c>
      <c r="F773" s="187" t="n">
        <v>2</v>
      </c>
      <c r="G773" s="187" t="n">
        <v>2</v>
      </c>
      <c r="H773" s="187" t="inlineStr">
        <is>
          <t>MEDIUM</t>
        </is>
      </c>
      <c r="I773" s="187" t="n">
        <v>10.1</v>
      </c>
      <c r="J773" s="187" t="inlineStr">
        <is>
          <t>NO</t>
        </is>
      </c>
      <c r="K773" s="187" t="inlineStr">
        <is>
          <t>https://nvd.nist.gov/vuln/detail/CVE-2025-62326</t>
        </is>
      </c>
      <c r="L773" s="187" t="inlineStr">
        <is>
          <t>2026-02-26 00:15</t>
        </is>
      </c>
      <c r="M773" s="187" t="inlineStr">
        <is>
          <t>YES</t>
        </is>
      </c>
      <c r="N773" s="187" t="inlineStr">
        <is>
          <t>https://support.hcl-software.com/csm?id=kb_article&amp;sysparm_article=KB0128824</t>
        </is>
      </c>
      <c r="O773" s="187" t="inlineStr">
        <is>
          <t>Apply vendor patches</t>
        </is>
      </c>
      <c r="P773" s="187" t="inlineStr">
        <is>
          <t>hcltech digital_experience 9.5</t>
        </is>
      </c>
      <c r="Q773" s="187" t="inlineStr">
        <is>
          <t>P4</t>
        </is>
      </c>
      <c r="R773" s="187" t="inlineStr">
        <is>
          <t>📅 Schedule patch deployment within 30 days | 🔍 Monitor for exploitation attempts</t>
        </is>
      </c>
      <c r="S773" s="187" t="inlineStr">
        <is>
          <t>CVE - IP enrichment n/a</t>
        </is>
      </c>
      <c r="T773" s="187" t="n">
        <v>0.0003</v>
      </c>
      <c r="U773" s="187" t="n">
        <v>0.0822</v>
      </c>
      <c r="V773" s="187" t="inlineStr">
        <is>
          <t>T1189:Drive-by Compromise</t>
        </is>
      </c>
      <c r="W773" s="187" t="n">
        <v>1</v>
      </c>
      <c r="X773" s="187" t="inlineStr">
        <is>
          <t>LOW (40%)</t>
        </is>
      </c>
      <c r="Y773" s="187" t="inlineStr">
        <is>
          <t>UNLIKELY</t>
        </is>
      </c>
      <c r="Z773" s="187" t="inlineStr">
        <is>
          <t>PATCH_AVAILABLE</t>
        </is>
      </c>
      <c r="AA773" s="187" t="inlineStr">
        <is>
          <t>https://nvd.nist.gov/vuln/detail/CVE-2025-62326</t>
        </is>
      </c>
      <c r="AB773" s="187" t="inlineStr">
        <is>
          <t>NONE</t>
        </is>
      </c>
      <c r="AC773" s="187" t="n">
        <v>0</v>
      </c>
      <c r="AD773" s="187" t="inlineStr"/>
    </row>
    <row r="774">
      <c r="A774" s="188" t="inlineStr">
        <is>
          <t>CVE</t>
        </is>
      </c>
      <c r="B774" s="188" t="inlineStr">
        <is>
          <t>CVE-2026-2472</t>
        </is>
      </c>
      <c r="C774" s="188" t="inlineStr">
        <is>
          <t>Stored Cross-Site Scripting (XSS) in the _genai/_evals_visualization component of Google Cloud Vertex AI SDK (google-cloud-aiplatform) versions from 1.98.0 up to (but not including) 1.131.0 allows an unauthenticated remote attacker to execute arbitrary JavaScript in a victim's Jupyter or Colab environment via injecting script escape sequences into model evaluation results or dataset JSON data.</t>
        </is>
      </c>
      <c r="D774" s="188" t="n">
        <v>8.5</v>
      </c>
      <c r="E774" s="188" t="inlineStr">
        <is>
          <t>HIGH</t>
        </is>
      </c>
      <c r="F774" s="188" t="n">
        <v>2</v>
      </c>
      <c r="G774" s="188" t="n">
        <v>3</v>
      </c>
      <c r="H774" s="188" t="inlineStr">
        <is>
          <t>HIGH</t>
        </is>
      </c>
      <c r="I774" s="188" t="n">
        <v>14.5</v>
      </c>
      <c r="J774" s="188" t="inlineStr">
        <is>
          <t>NO</t>
        </is>
      </c>
      <c r="K774" s="188" t="inlineStr">
        <is>
          <t>https://nvd.nist.gov/vuln/detail/CVE-2026-2472</t>
        </is>
      </c>
      <c r="L774" s="188" t="inlineStr">
        <is>
          <t>2026-02-26 00:15</t>
        </is>
      </c>
      <c r="M774" s="188" t="inlineStr">
        <is>
          <t>CHECK_VENDOR</t>
        </is>
      </c>
      <c r="N774" s="188" t="inlineStr">
        <is>
          <t>See NVD references</t>
        </is>
      </c>
      <c r="O774" s="188" t="inlineStr">
        <is>
          <t>Apply vendor patches</t>
        </is>
      </c>
      <c r="P774" s="188" t="inlineStr">
        <is>
          <t>See CVE details</t>
        </is>
      </c>
      <c r="Q774" s="188" t="inlineStr">
        <is>
          <t>P3</t>
        </is>
      </c>
      <c r="R774" s="188" t="inlineStr">
        <is>
          <t>🚨 URGENT: Apply vendor patches immediately | 🔒 Isolate affected systems if patch unavailable | 🛡️ Enable additional monitoring/IDS rules</t>
        </is>
      </c>
      <c r="S774" s="188" t="inlineStr">
        <is>
          <t>CVE - IP enrichment n/a</t>
        </is>
      </c>
      <c r="T774" s="188" t="n">
        <v>0</v>
      </c>
      <c r="U774" s="188" t="n">
        <v>0</v>
      </c>
      <c r="V774" s="188" t="inlineStr">
        <is>
          <t>T1189:Drive-by Compromise</t>
        </is>
      </c>
      <c r="W774" s="188" t="n">
        <v>1</v>
      </c>
      <c r="X774" s="188" t="inlineStr">
        <is>
          <t>LOW (40%)</t>
        </is>
      </c>
      <c r="Y774" s="188" t="inlineStr">
        <is>
          <t>UNLIKELY</t>
        </is>
      </c>
      <c r="Z774" s="188" t="inlineStr">
        <is>
          <t>CHECK_VENDOR</t>
        </is>
      </c>
      <c r="AA774" s="188" t="inlineStr">
        <is>
          <t>https://nvd.nist.gov/vuln/detail/CVE-2026-2472</t>
        </is>
      </c>
      <c r="AB774" s="188" t="inlineStr">
        <is>
          <t>NONE</t>
        </is>
      </c>
      <c r="AC774" s="188" t="n">
        <v>0</v>
      </c>
      <c r="AD774" s="188" t="inlineStr"/>
    </row>
    <row r="775">
      <c r="A775" s="188" t="inlineStr">
        <is>
          <t>CVE</t>
        </is>
      </c>
      <c r="B775" s="188" t="inlineStr">
        <is>
          <t>CVE-2026-2473</t>
        </is>
      </c>
      <c r="C775" s="188" t="inlineStr">
        <is>
          <t>Predictable bucket naming in Vertex AI Experiments in Google Cloud Vertex AI from version 1.21.0 up to (but not including) 1.133.0 on Google Cloud Platform allows an unauthenticated remote attacker to achieve cross-tenant remote code execution, model theft, and poisoning via pre-creating predictably named Cloud Storage buckets (Bucket Squatting).
This vulnerability was patched and no customer action is needed.</t>
        </is>
      </c>
      <c r="D775" s="188" t="n">
        <v>8.5</v>
      </c>
      <c r="E775" s="188" t="inlineStr">
        <is>
          <t>HIGH</t>
        </is>
      </c>
      <c r="F775" s="188" t="n">
        <v>2</v>
      </c>
      <c r="G775" s="188" t="n">
        <v>3</v>
      </c>
      <c r="H775" s="188" t="inlineStr">
        <is>
          <t>HIGH</t>
        </is>
      </c>
      <c r="I775" s="188" t="n">
        <v>14.5</v>
      </c>
      <c r="J775" s="188" t="inlineStr">
        <is>
          <t>NO</t>
        </is>
      </c>
      <c r="K775" s="188" t="inlineStr">
        <is>
          <t>https://nvd.nist.gov/vuln/detail/CVE-2026-2473</t>
        </is>
      </c>
      <c r="L775" s="188" t="inlineStr">
        <is>
          <t>2026-02-26 00:15</t>
        </is>
      </c>
      <c r="M775" s="188" t="inlineStr">
        <is>
          <t>CHECK_VENDOR</t>
        </is>
      </c>
      <c r="N775" s="188" t="inlineStr">
        <is>
          <t>See NVD references</t>
        </is>
      </c>
      <c r="O775" s="188" t="inlineStr">
        <is>
          <t>Apply vendor patches</t>
        </is>
      </c>
      <c r="P775" s="188" t="inlineStr">
        <is>
          <t>See CVE details</t>
        </is>
      </c>
      <c r="Q775" s="188" t="inlineStr">
        <is>
          <t>P3</t>
        </is>
      </c>
      <c r="R775" s="188" t="inlineStr">
        <is>
          <t>🚨 URGENT: Apply vendor patches immediately | 🔒 Isolate affected systems if patch unavailable | 🛡️ Enable additional monitoring/IDS rules</t>
        </is>
      </c>
      <c r="S775" s="188" t="inlineStr">
        <is>
          <t>CVE - IP enrichment n/a</t>
        </is>
      </c>
      <c r="T775" s="188" t="n">
        <v>0</v>
      </c>
      <c r="U775" s="188" t="n">
        <v>0</v>
      </c>
      <c r="V775" s="188" t="inlineStr">
        <is>
          <t>T1190:Exploit Public-Facing Application | T1210:Exploitation of Remote Services</t>
        </is>
      </c>
      <c r="W775" s="188" t="n">
        <v>1</v>
      </c>
      <c r="X775" s="188" t="inlineStr">
        <is>
          <t>LOW (40%)</t>
        </is>
      </c>
      <c r="Y775" s="188" t="inlineStr">
        <is>
          <t>UNLIKELY</t>
        </is>
      </c>
      <c r="Z775" s="188" t="inlineStr">
        <is>
          <t>CHECK_VENDOR</t>
        </is>
      </c>
      <c r="AA775" s="188" t="inlineStr">
        <is>
          <t>https://nvd.nist.gov/vuln/detail/CVE-2026-2473</t>
        </is>
      </c>
      <c r="AB775" s="188" t="inlineStr">
        <is>
          <t>NONE</t>
        </is>
      </c>
      <c r="AC775" s="188" t="n">
        <v>0</v>
      </c>
      <c r="AD775" s="188" t="inlineStr"/>
    </row>
    <row r="776">
      <c r="A776" s="188" t="inlineStr">
        <is>
          <t>CVE</t>
        </is>
      </c>
      <c r="B776" s="188" t="inlineStr">
        <is>
          <t>CVE-2026-2853</t>
        </is>
      </c>
      <c r="C776" s="188" t="inlineStr">
        <is>
          <t>A vulnerability was detected in D-Link DWR-M960 1.01.07. This affects the function sub_462E14 of the file /boafrm/formSysLog of the component System Log Configuration Endpoint. Performing a manipulation of the argument submit-url results in stack-based buffer overflow. The attack can be initiated remotely. The exploit is now public and may be used.</t>
        </is>
      </c>
      <c r="D776" s="188" t="n">
        <v>8.800000000000001</v>
      </c>
      <c r="E776" s="188" t="inlineStr">
        <is>
          <t>HIGH</t>
        </is>
      </c>
      <c r="F776" s="188" t="n">
        <v>2</v>
      </c>
      <c r="G776" s="188" t="n">
        <v>3</v>
      </c>
      <c r="H776" s="188" t="inlineStr">
        <is>
          <t>HIGH</t>
        </is>
      </c>
      <c r="I776" s="188" t="n">
        <v>14.8</v>
      </c>
      <c r="J776" s="188" t="inlineStr">
        <is>
          <t>NO</t>
        </is>
      </c>
      <c r="K776" s="188" t="inlineStr">
        <is>
          <t>https://nvd.nist.gov/vuln/detail/CVE-2026-2853</t>
        </is>
      </c>
      <c r="L776" s="188" t="inlineStr">
        <is>
          <t>2026-02-26 00:15</t>
        </is>
      </c>
      <c r="M776" s="188" t="inlineStr">
        <is>
          <t>CHECK_VENDOR</t>
        </is>
      </c>
      <c r="N776" s="188" t="inlineStr">
        <is>
          <t>See NVD references</t>
        </is>
      </c>
      <c r="O776" s="188" t="inlineStr">
        <is>
          <t>Apply vendor patches</t>
        </is>
      </c>
      <c r="P776" s="188" t="inlineStr">
        <is>
          <t>dlink dwr-m960 b1 | dlink dwr-m960_firmware 1.01.07</t>
        </is>
      </c>
      <c r="Q776" s="188" t="inlineStr">
        <is>
          <t>P3</t>
        </is>
      </c>
      <c r="R776" s="188" t="inlineStr">
        <is>
          <t>🚨 URGENT: Apply vendor patches immediately | 🔒 Isolate affected systems if patch unavailable | 🛡️ Enable additional monitoring/IDS rules</t>
        </is>
      </c>
      <c r="S776" s="188" t="inlineStr">
        <is>
          <t>CVE - IP enrichment n/a</t>
        </is>
      </c>
      <c r="T776" s="188" t="n">
        <v>0</v>
      </c>
      <c r="U776" s="188" t="n">
        <v>0</v>
      </c>
      <c r="V776" s="188" t="inlineStr">
        <is>
          <t>T1203:Exploitation for Client Execution</t>
        </is>
      </c>
      <c r="W776" s="188" t="n">
        <v>1</v>
      </c>
      <c r="X776" s="188" t="inlineStr">
        <is>
          <t>LOW (40%)</t>
        </is>
      </c>
      <c r="Y776" s="188" t="inlineStr">
        <is>
          <t>UNLIKELY</t>
        </is>
      </c>
      <c r="Z776" s="188" t="inlineStr">
        <is>
          <t>CHECK_VENDOR</t>
        </is>
      </c>
      <c r="AA776" s="188" t="inlineStr">
        <is>
          <t>https://nvd.nist.gov/vuln/detail/CVE-2026-2853</t>
        </is>
      </c>
      <c r="AB776" s="188" t="inlineStr">
        <is>
          <t>NONE</t>
        </is>
      </c>
      <c r="AC776" s="188" t="n">
        <v>0</v>
      </c>
      <c r="AD776" s="188" t="inlineStr"/>
    </row>
    <row r="777">
      <c r="A777" s="188" t="inlineStr">
        <is>
          <t>CVE</t>
        </is>
      </c>
      <c r="B777" s="188" t="inlineStr">
        <is>
          <t>CVE-2026-2854</t>
        </is>
      </c>
      <c r="C777" s="188" t="inlineStr">
        <is>
          <t>A flaw has been found in D-Link DWR-M960 1.01.07. This impacts the function sub_4611CC of the file /boafrm/formNtp of the component NTP Configuration Endpoint. Executing a manipulation of the argument submit-url can lead to stack-based buffer overflow. The attack can be launched remotely. The exploit has been published and may be used.</t>
        </is>
      </c>
      <c r="D777" s="188" t="n">
        <v>8.800000000000001</v>
      </c>
      <c r="E777" s="188" t="inlineStr">
        <is>
          <t>HIGH</t>
        </is>
      </c>
      <c r="F777" s="188" t="n">
        <v>2</v>
      </c>
      <c r="G777" s="188" t="n">
        <v>3</v>
      </c>
      <c r="H777" s="188" t="inlineStr">
        <is>
          <t>HIGH</t>
        </is>
      </c>
      <c r="I777" s="188" t="n">
        <v>14.8</v>
      </c>
      <c r="J777" s="188" t="inlineStr">
        <is>
          <t>NO</t>
        </is>
      </c>
      <c r="K777" s="188" t="inlineStr">
        <is>
          <t>https://nvd.nist.gov/vuln/detail/CVE-2026-2854</t>
        </is>
      </c>
      <c r="L777" s="188" t="inlineStr">
        <is>
          <t>2026-02-26 00:15</t>
        </is>
      </c>
      <c r="M777" s="188" t="inlineStr">
        <is>
          <t>CHECK_VENDOR</t>
        </is>
      </c>
      <c r="N777" s="188" t="inlineStr">
        <is>
          <t>See NVD references</t>
        </is>
      </c>
      <c r="O777" s="188" t="inlineStr">
        <is>
          <t>Apply vendor patches</t>
        </is>
      </c>
      <c r="P777" s="188" t="inlineStr">
        <is>
          <t>dlink dwr-m960 b1 | dlink dwr-m960_firmware 1.01.07</t>
        </is>
      </c>
      <c r="Q777" s="188" t="inlineStr">
        <is>
          <t>P3</t>
        </is>
      </c>
      <c r="R777" s="188" t="inlineStr">
        <is>
          <t>🚨 URGENT: Apply vendor patches immediately | 🔒 Isolate affected systems if patch unavailable | 🛡️ Enable additional monitoring/IDS rules</t>
        </is>
      </c>
      <c r="S777" s="188" t="inlineStr">
        <is>
          <t>CVE - IP enrichment n/a</t>
        </is>
      </c>
      <c r="T777" s="188" t="n">
        <v>0</v>
      </c>
      <c r="U777" s="188" t="n">
        <v>0</v>
      </c>
      <c r="V777" s="188" t="inlineStr">
        <is>
          <t>T1203:Exploitation for Client Execution</t>
        </is>
      </c>
      <c r="W777" s="188" t="n">
        <v>1</v>
      </c>
      <c r="X777" s="188" t="inlineStr">
        <is>
          <t>LOW (40%)</t>
        </is>
      </c>
      <c r="Y777" s="188" t="inlineStr">
        <is>
          <t>UNLIKELY</t>
        </is>
      </c>
      <c r="Z777" s="188" t="inlineStr">
        <is>
          <t>CHECK_VENDOR</t>
        </is>
      </c>
      <c r="AA777" s="188" t="inlineStr">
        <is>
          <t>https://nvd.nist.gov/vuln/detail/CVE-2026-2854</t>
        </is>
      </c>
      <c r="AB777" s="188" t="inlineStr">
        <is>
          <t>NONE</t>
        </is>
      </c>
      <c r="AC777" s="188" t="n">
        <v>0</v>
      </c>
      <c r="AD777" s="188" t="inlineStr"/>
    </row>
    <row r="778">
      <c r="A778" s="188" t="inlineStr">
        <is>
          <t>CVE</t>
        </is>
      </c>
      <c r="B778" s="188" t="inlineStr">
        <is>
          <t>CVE-2026-2855</t>
        </is>
      </c>
      <c r="C778" s="188" t="inlineStr">
        <is>
          <t>A vulnerability has been found in D-Link DWR-M960 1.01.07. Affected is the function sub_4648F0 of the file /boafrm/formDdns of the component DDNS Settings Handler. The manipulation of the argument submit-url leads to stack-based buffer overflow. The attack may be initiated remotely. The exploit has been disclosed to the public and may be used.</t>
        </is>
      </c>
      <c r="D778" s="188" t="n">
        <v>8.800000000000001</v>
      </c>
      <c r="E778" s="188" t="inlineStr">
        <is>
          <t>HIGH</t>
        </is>
      </c>
      <c r="F778" s="188" t="n">
        <v>2</v>
      </c>
      <c r="G778" s="188" t="n">
        <v>3</v>
      </c>
      <c r="H778" s="188" t="inlineStr">
        <is>
          <t>HIGH</t>
        </is>
      </c>
      <c r="I778" s="188" t="n">
        <v>14.8</v>
      </c>
      <c r="J778" s="188" t="inlineStr">
        <is>
          <t>NO</t>
        </is>
      </c>
      <c r="K778" s="188" t="inlineStr">
        <is>
          <t>https://nvd.nist.gov/vuln/detail/CVE-2026-2855</t>
        </is>
      </c>
      <c r="L778" s="188" t="inlineStr">
        <is>
          <t>2026-02-26 00:15</t>
        </is>
      </c>
      <c r="M778" s="188" t="inlineStr">
        <is>
          <t>CHECK_VENDOR</t>
        </is>
      </c>
      <c r="N778" s="188" t="inlineStr">
        <is>
          <t>See NVD references</t>
        </is>
      </c>
      <c r="O778" s="188" t="inlineStr">
        <is>
          <t>Apply vendor patches</t>
        </is>
      </c>
      <c r="P778" s="188" t="inlineStr">
        <is>
          <t>dlink dwr-m960 b1 | dlink dwr-m960_firmware 1.01.07</t>
        </is>
      </c>
      <c r="Q778" s="188" t="inlineStr">
        <is>
          <t>P3</t>
        </is>
      </c>
      <c r="R778" s="188" t="inlineStr">
        <is>
          <t>🚨 URGENT: Apply vendor patches immediately | 🔒 Isolate affected systems if patch unavailable | 🛡️ Enable additional monitoring/IDS rules</t>
        </is>
      </c>
      <c r="S778" s="188" t="inlineStr">
        <is>
          <t>CVE - IP enrichment n/a</t>
        </is>
      </c>
      <c r="T778" s="188" t="n">
        <v>0</v>
      </c>
      <c r="U778" s="188" t="n">
        <v>0</v>
      </c>
      <c r="V778" s="188" t="inlineStr">
        <is>
          <t>T1203:Exploitation for Client Execution</t>
        </is>
      </c>
      <c r="W778" s="188" t="n">
        <v>1</v>
      </c>
      <c r="X778" s="188" t="inlineStr">
        <is>
          <t>LOW (40%)</t>
        </is>
      </c>
      <c r="Y778" s="188" t="inlineStr">
        <is>
          <t>UNLIKELY</t>
        </is>
      </c>
      <c r="Z778" s="188" t="inlineStr">
        <is>
          <t>CHECK_VENDOR</t>
        </is>
      </c>
      <c r="AA778" s="188" t="inlineStr">
        <is>
          <t>https://nvd.nist.gov/vuln/detail/CVE-2026-2855</t>
        </is>
      </c>
      <c r="AB778" s="188" t="inlineStr">
        <is>
          <t>NONE</t>
        </is>
      </c>
      <c r="AC778" s="188" t="n">
        <v>0</v>
      </c>
      <c r="AD778" s="188" t="inlineStr"/>
    </row>
    <row r="779">
      <c r="A779" s="188" t="inlineStr">
        <is>
          <t>CVE</t>
        </is>
      </c>
      <c r="B779" s="188" t="inlineStr">
        <is>
          <t>CVE-2026-24892</t>
        </is>
      </c>
      <c r="C779" s="188" t="inlineStr">
        <is>
          <t xml:space="preserve">openITCOCKPIT is an open source monitoring tool built for different monitoring engines like Nagios, Naemon and Prometheus. openITCOCKPIT Community Edition 5.3.1 and earlier contains an unsafe PHP deserialization pattern in the processing of changelog entries. Serialized changelog data derived from attacker-influenced application state is unserialized without restricting allowed classes. Although no current application endpoint was found to introduce PHP objects into this data path, the presence </t>
        </is>
      </c>
      <c r="D779" s="188" t="n">
        <v>7.5</v>
      </c>
      <c r="E779" s="188" t="inlineStr">
        <is>
          <t>HIGH</t>
        </is>
      </c>
      <c r="F779" s="188" t="n">
        <v>2</v>
      </c>
      <c r="G779" s="188" t="n">
        <v>3</v>
      </c>
      <c r="H779" s="188" t="inlineStr">
        <is>
          <t>HIGH</t>
        </is>
      </c>
      <c r="I779" s="188" t="n">
        <v>13.5</v>
      </c>
      <c r="J779" s="188" t="inlineStr">
        <is>
          <t>NO</t>
        </is>
      </c>
      <c r="K779" s="188" t="inlineStr">
        <is>
          <t>https://nvd.nist.gov/vuln/detail/CVE-2026-24892</t>
        </is>
      </c>
      <c r="L779" s="188" t="inlineStr">
        <is>
          <t>2026-02-26 00:15</t>
        </is>
      </c>
      <c r="M779" s="188" t="inlineStr">
        <is>
          <t>CHECK_VENDOR</t>
        </is>
      </c>
      <c r="N779" s="188" t="inlineStr">
        <is>
          <t>See NVD references</t>
        </is>
      </c>
      <c r="O779" s="188" t="inlineStr">
        <is>
          <t>Apply vendor patches</t>
        </is>
      </c>
      <c r="P779" s="188" t="inlineStr">
        <is>
          <t>See CVE details</t>
        </is>
      </c>
      <c r="Q779" s="188" t="inlineStr">
        <is>
          <t>P3</t>
        </is>
      </c>
      <c r="R779" s="188" t="inlineStr">
        <is>
          <t>🚨 URGENT: Apply vendor patches immediately | 🔒 Isolate affected systems if patch unavailable | 🛡️ Enable additional monitoring/IDS rules</t>
        </is>
      </c>
      <c r="S779" s="188" t="inlineStr">
        <is>
          <t>CVE - IP enrichment n/a</t>
        </is>
      </c>
      <c r="T779" s="188" t="n">
        <v>0</v>
      </c>
      <c r="U779" s="188" t="n">
        <v>0</v>
      </c>
      <c r="V779" s="188" t="inlineStr">
        <is>
          <t>T1059:Command and Scripting Interpreter | T1190:Exploit Public-Facing Application | T1210:Exploitation of Remote Services</t>
        </is>
      </c>
      <c r="W779" s="188" t="n">
        <v>1</v>
      </c>
      <c r="X779" s="188" t="inlineStr">
        <is>
          <t>LOW (40%)</t>
        </is>
      </c>
      <c r="Y779" s="188" t="inlineStr">
        <is>
          <t>UNLIKELY</t>
        </is>
      </c>
      <c r="Z779" s="188" t="inlineStr">
        <is>
          <t>CHECK_VENDOR</t>
        </is>
      </c>
      <c r="AA779" s="188" t="inlineStr">
        <is>
          <t>https://nvd.nist.gov/vuln/detail/CVE-2026-24892</t>
        </is>
      </c>
      <c r="AB779" s="188" t="inlineStr">
        <is>
          <t>NONE</t>
        </is>
      </c>
      <c r="AC779" s="188" t="n">
        <v>0</v>
      </c>
      <c r="AD779" s="188" t="inlineStr"/>
    </row>
    <row r="780">
      <c r="A780" s="189" t="inlineStr">
        <is>
          <t>CVE</t>
        </is>
      </c>
      <c r="B780" s="189" t="inlineStr">
        <is>
          <t>CVE-2026-25896</t>
        </is>
      </c>
      <c r="C780" s="189" t="inlineStr">
        <is>
          <t>fast-xml-parser allows users to validate XML, parse XML to JS object, or build XML from JS object without C/C++ based libraries and no callback. From 4.1.3to before 5.3.5, a dot (.) in a DOCTYPE entity name is treated as a regex wildcard during entity replacement, allowing an attacker to shadow built-in XML entities (&amp;lt;, &amp;gt;, &amp;amp;, &amp;quot;, &amp;apos;) with arbitrary values. This bypasses entity encoding and leads to XSS when parsed output is rendered. This vulnerability is fixed in 5.3.5.</t>
        </is>
      </c>
      <c r="D780" s="189" t="n">
        <v>9.300000000000001</v>
      </c>
      <c r="E780" s="189" t="inlineStr">
        <is>
          <t>CRITICAL</t>
        </is>
      </c>
      <c r="F780" s="189" t="n">
        <v>2</v>
      </c>
      <c r="G780" s="189" t="n">
        <v>3</v>
      </c>
      <c r="H780" s="189" t="inlineStr">
        <is>
          <t>HIGH</t>
        </is>
      </c>
      <c r="I780" s="189" t="n">
        <v>15.3</v>
      </c>
      <c r="J780" s="189" t="inlineStr">
        <is>
          <t>NO</t>
        </is>
      </c>
      <c r="K780" s="189" t="inlineStr">
        <is>
          <t>https://nvd.nist.gov/vuln/detail/CVE-2026-25896</t>
        </is>
      </c>
      <c r="L780" s="189" t="inlineStr">
        <is>
          <t>2026-02-26 00:15</t>
        </is>
      </c>
      <c r="M780" s="189" t="inlineStr">
        <is>
          <t>CHECK_VENDOR</t>
        </is>
      </c>
      <c r="N780" s="189" t="inlineStr">
        <is>
          <t>See NVD references</t>
        </is>
      </c>
      <c r="O780" s="189" t="inlineStr">
        <is>
          <t>Apply vendor patches</t>
        </is>
      </c>
      <c r="P780" s="189" t="inlineStr">
        <is>
          <t>See CVE details</t>
        </is>
      </c>
      <c r="Q780" s="189" t="inlineStr">
        <is>
          <t>P3</t>
        </is>
      </c>
      <c r="R780" s="189" t="inlineStr">
        <is>
          <t>🚨 URGENT: Apply vendor patches immediately | 🔒 Isolate affected systems if patch unavailable | 🛡️ Enable additional monitoring/IDS rules</t>
        </is>
      </c>
      <c r="S780" s="189" t="inlineStr">
        <is>
          <t>CVE - IP enrichment n/a</t>
        </is>
      </c>
      <c r="T780" s="189" t="n">
        <v>0</v>
      </c>
      <c r="U780" s="189" t="n">
        <v>0</v>
      </c>
      <c r="V780" s="189" t="inlineStr">
        <is>
          <t>T1189:Drive-by Compromise</t>
        </is>
      </c>
      <c r="W780" s="189" t="n">
        <v>1</v>
      </c>
      <c r="X780" s="189" t="inlineStr">
        <is>
          <t>LOW (40%)</t>
        </is>
      </c>
      <c r="Y780" s="189" t="inlineStr">
        <is>
          <t>UNLIKELY</t>
        </is>
      </c>
      <c r="Z780" s="189" t="inlineStr">
        <is>
          <t>CHECK_VENDOR</t>
        </is>
      </c>
      <c r="AA780" s="189" t="inlineStr">
        <is>
          <t>https://nvd.nist.gov/vuln/detail/CVE-2026-25896</t>
        </is>
      </c>
      <c r="AB780" s="189" t="inlineStr">
        <is>
          <t>NONE</t>
        </is>
      </c>
      <c r="AC780" s="189" t="n">
        <v>0</v>
      </c>
      <c r="AD780" s="189" t="inlineStr"/>
    </row>
    <row r="781">
      <c r="A781" s="187" t="inlineStr">
        <is>
          <t>CVE</t>
        </is>
      </c>
      <c r="B781" s="187" t="inlineStr">
        <is>
          <t>CVE-2026-27020</t>
        </is>
      </c>
      <c r="C781" s="187" t="inlineStr">
        <is>
          <t>Photobooth prior to 1.0.1 has a cross-site scripting (XSS) vulnerability in user input fields. Malicious users could inject scripts through unvalidated form inputs. This vulnerability is fixed in 1.0.1.</t>
        </is>
      </c>
      <c r="D781" s="187" t="n">
        <v>5</v>
      </c>
      <c r="E781" s="187" t="inlineStr">
        <is>
          <t>MEDIUM</t>
        </is>
      </c>
      <c r="F781" s="187" t="n">
        <v>2</v>
      </c>
      <c r="G781" s="187" t="n">
        <v>2</v>
      </c>
      <c r="H781" s="187" t="inlineStr">
        <is>
          <t>MEDIUM</t>
        </is>
      </c>
      <c r="I781" s="187" t="n">
        <v>9</v>
      </c>
      <c r="J781" s="187" t="inlineStr">
        <is>
          <t>NO</t>
        </is>
      </c>
      <c r="K781" s="187" t="inlineStr">
        <is>
          <t>https://nvd.nist.gov/vuln/detail/CVE-2026-27020</t>
        </is>
      </c>
      <c r="L781" s="187" t="inlineStr">
        <is>
          <t>2026-02-26 00:15</t>
        </is>
      </c>
      <c r="M781" s="187" t="inlineStr">
        <is>
          <t>CHECK_VENDOR</t>
        </is>
      </c>
      <c r="N781" s="187" t="inlineStr">
        <is>
          <t>See NVD references</t>
        </is>
      </c>
      <c r="O781" s="187" t="inlineStr">
        <is>
          <t>Apply vendor patches</t>
        </is>
      </c>
      <c r="P781" s="187" t="inlineStr">
        <is>
          <t>See CVE details</t>
        </is>
      </c>
      <c r="Q781" s="187" t="inlineStr">
        <is>
          <t>P4</t>
        </is>
      </c>
      <c r="R781" s="187" t="inlineStr">
        <is>
          <t>📅 Schedule patch deployment within 30 days | 🔍 Monitor for exploitation attempts</t>
        </is>
      </c>
      <c r="S781" s="187" t="inlineStr">
        <is>
          <t>CVE - IP enrichment n/a</t>
        </is>
      </c>
      <c r="T781" s="187" t="n">
        <v>0</v>
      </c>
      <c r="U781" s="187" t="n">
        <v>0</v>
      </c>
      <c r="V781" s="187" t="inlineStr">
        <is>
          <t>T1189:Drive-by Compromise</t>
        </is>
      </c>
      <c r="W781" s="187" t="n">
        <v>1</v>
      </c>
      <c r="X781" s="187" t="inlineStr">
        <is>
          <t>LOW (40%)</t>
        </is>
      </c>
      <c r="Y781" s="187" t="inlineStr">
        <is>
          <t>UNLIKELY</t>
        </is>
      </c>
      <c r="Z781" s="187" t="inlineStr">
        <is>
          <t>CHECK_VENDOR</t>
        </is>
      </c>
      <c r="AA781" s="187" t="inlineStr">
        <is>
          <t>https://nvd.nist.gov/vuln/detail/CVE-2026-27020</t>
        </is>
      </c>
      <c r="AB781" s="187" t="inlineStr">
        <is>
          <t>NONE</t>
        </is>
      </c>
      <c r="AC781" s="187" t="n">
        <v>0</v>
      </c>
      <c r="AD781" s="187" t="inlineStr"/>
    </row>
    <row r="782">
      <c r="A782" s="188" t="inlineStr">
        <is>
          <t>CVE</t>
        </is>
      </c>
      <c r="B782" s="188" t="inlineStr">
        <is>
          <t>CVE-2026-27190</t>
        </is>
      </c>
      <c r="C782" s="188" t="inlineStr">
        <is>
          <t>Deno is a JavaScript, TypeScript, and WebAssembly runtime. Prior to 2.6.8, a command injection vulnerability exists in Deno's node:child_process implementation. This vulnerability is fixed in 2.6.8.</t>
        </is>
      </c>
      <c r="D782" s="188" t="n">
        <v>8.1</v>
      </c>
      <c r="E782" s="188" t="inlineStr">
        <is>
          <t>HIGH</t>
        </is>
      </c>
      <c r="F782" s="188" t="n">
        <v>2</v>
      </c>
      <c r="G782" s="188" t="n">
        <v>3</v>
      </c>
      <c r="H782" s="188" t="inlineStr">
        <is>
          <t>HIGH</t>
        </is>
      </c>
      <c r="I782" s="188" t="n">
        <v>14.1</v>
      </c>
      <c r="J782" s="188" t="inlineStr">
        <is>
          <t>NO</t>
        </is>
      </c>
      <c r="K782" s="188" t="inlineStr">
        <is>
          <t>https://nvd.nist.gov/vuln/detail/CVE-2026-27190</t>
        </is>
      </c>
      <c r="L782" s="188" t="inlineStr">
        <is>
          <t>2026-02-26 00:15</t>
        </is>
      </c>
      <c r="M782" s="188" t="inlineStr">
        <is>
          <t>CHECK_VENDOR</t>
        </is>
      </c>
      <c r="N782" s="188" t="inlineStr">
        <is>
          <t>See NVD references</t>
        </is>
      </c>
      <c r="O782" s="188" t="inlineStr">
        <is>
          <t>Apply vendor patches</t>
        </is>
      </c>
      <c r="P782" s="188" t="inlineStr">
        <is>
          <t>See CVE details</t>
        </is>
      </c>
      <c r="Q782" s="188" t="inlineStr">
        <is>
          <t>P3</t>
        </is>
      </c>
      <c r="R782" s="188" t="inlineStr">
        <is>
          <t>🚨 URGENT: Apply vendor patches immediately | 🔒 Isolate affected systems if patch unavailable | 🛡️ Enable additional monitoring/IDS rules</t>
        </is>
      </c>
      <c r="S782" s="188" t="inlineStr">
        <is>
          <t>CVE - IP enrichment n/a</t>
        </is>
      </c>
      <c r="T782" s="188" t="n">
        <v>0</v>
      </c>
      <c r="U782" s="188" t="n">
        <v>0</v>
      </c>
      <c r="V782" s="188" t="inlineStr">
        <is>
          <t>T1059:Command and Scripting Interpreter</t>
        </is>
      </c>
      <c r="W782" s="188" t="n">
        <v>1</v>
      </c>
      <c r="X782" s="188" t="inlineStr">
        <is>
          <t>LOW (40%)</t>
        </is>
      </c>
      <c r="Y782" s="188" t="inlineStr">
        <is>
          <t>UNLIKELY</t>
        </is>
      </c>
      <c r="Z782" s="188" t="inlineStr">
        <is>
          <t>CHECK_VENDOR</t>
        </is>
      </c>
      <c r="AA782" s="188" t="inlineStr">
        <is>
          <t>https://nvd.nist.gov/vuln/detail/CVE-2026-27190</t>
        </is>
      </c>
      <c r="AB782" s="188" t="inlineStr">
        <is>
          <t>NONE</t>
        </is>
      </c>
      <c r="AC782" s="188" t="n">
        <v>0</v>
      </c>
      <c r="AD782" s="188" t="inlineStr"/>
    </row>
    <row r="783">
      <c r="A783" s="188" t="inlineStr">
        <is>
          <t>CVE</t>
        </is>
      </c>
      <c r="B783" s="188" t="inlineStr">
        <is>
          <t>CVE-2026-2856</t>
        </is>
      </c>
      <c r="C783" s="188" t="inlineStr">
        <is>
          <t>A vulnerability was found in D-Link DWR-M960 1.01.07. Affected by this vulnerability is the function sub_424AFC of the file /boafrm/formFilter of the component Filter Configuration Endpoint. The manipulation of the argument submit-url results in stack-based buffer overflow. The attack may be launched remotely. The exploit has been made public and could be used.</t>
        </is>
      </c>
      <c r="D783" s="188" t="n">
        <v>8.800000000000001</v>
      </c>
      <c r="E783" s="188" t="inlineStr">
        <is>
          <t>HIGH</t>
        </is>
      </c>
      <c r="F783" s="188" t="n">
        <v>2</v>
      </c>
      <c r="G783" s="188" t="n">
        <v>3</v>
      </c>
      <c r="H783" s="188" t="inlineStr">
        <is>
          <t>HIGH</t>
        </is>
      </c>
      <c r="I783" s="188" t="n">
        <v>14.8</v>
      </c>
      <c r="J783" s="188" t="inlineStr">
        <is>
          <t>NO</t>
        </is>
      </c>
      <c r="K783" s="188" t="inlineStr">
        <is>
          <t>https://nvd.nist.gov/vuln/detail/CVE-2026-2856</t>
        </is>
      </c>
      <c r="L783" s="188" t="inlineStr">
        <is>
          <t>2026-02-26 00:15</t>
        </is>
      </c>
      <c r="M783" s="188" t="inlineStr">
        <is>
          <t>CHECK_VENDOR</t>
        </is>
      </c>
      <c r="N783" s="188" t="inlineStr">
        <is>
          <t>See NVD references</t>
        </is>
      </c>
      <c r="O783" s="188" t="inlineStr">
        <is>
          <t>Apply vendor patches</t>
        </is>
      </c>
      <c r="P783" s="188" t="inlineStr">
        <is>
          <t>dlink dwr-m960 b1 | dlink dwr-m960_firmware 1.01.07</t>
        </is>
      </c>
      <c r="Q783" s="188" t="inlineStr">
        <is>
          <t>P3</t>
        </is>
      </c>
      <c r="R783" s="188" t="inlineStr">
        <is>
          <t>🚨 URGENT: Apply vendor patches immediately | 🔒 Isolate affected systems if patch unavailable | 🛡️ Enable additional monitoring/IDS rules</t>
        </is>
      </c>
      <c r="S783" s="188" t="inlineStr">
        <is>
          <t>CVE - IP enrichment n/a</t>
        </is>
      </c>
      <c r="T783" s="188" t="n">
        <v>0</v>
      </c>
      <c r="U783" s="188" t="n">
        <v>0</v>
      </c>
      <c r="V783" s="188" t="inlineStr">
        <is>
          <t>T1203:Exploitation for Client Execution</t>
        </is>
      </c>
      <c r="W783" s="188" t="n">
        <v>1</v>
      </c>
      <c r="X783" s="188" t="inlineStr">
        <is>
          <t>LOW (40%)</t>
        </is>
      </c>
      <c r="Y783" s="188" t="inlineStr">
        <is>
          <t>UNLIKELY</t>
        </is>
      </c>
      <c r="Z783" s="188" t="inlineStr">
        <is>
          <t>CHECK_VENDOR</t>
        </is>
      </c>
      <c r="AA783" s="188" t="inlineStr">
        <is>
          <t>https://nvd.nist.gov/vuln/detail/CVE-2026-2856</t>
        </is>
      </c>
      <c r="AB783" s="188" t="inlineStr">
        <is>
          <t>NONE</t>
        </is>
      </c>
      <c r="AC783" s="188" t="n">
        <v>0</v>
      </c>
      <c r="AD783" s="188" t="inlineStr"/>
    </row>
    <row r="784">
      <c r="A784" s="188" t="inlineStr">
        <is>
          <t>CVE</t>
        </is>
      </c>
      <c r="B784" s="188" t="inlineStr">
        <is>
          <t>CVE-2026-2857</t>
        </is>
      </c>
      <c r="C784" s="188" t="inlineStr">
        <is>
          <t>A vulnerability was determined in D-Link DWR-M960 1.01.07. Affected by this issue is the function sub_423E00 of the file /boafrm/formPortFw of the component Port Forwarding Configuration Endpoint. This manipulation of the argument submit-url causes stack-based buffer overflow. Remote exploitation of the attack is possible. The exploit has been publicly disclosed and may be utilized.</t>
        </is>
      </c>
      <c r="D784" s="188" t="n">
        <v>8.800000000000001</v>
      </c>
      <c r="E784" s="188" t="inlineStr">
        <is>
          <t>HIGH</t>
        </is>
      </c>
      <c r="F784" s="188" t="n">
        <v>2</v>
      </c>
      <c r="G784" s="188" t="n">
        <v>3</v>
      </c>
      <c r="H784" s="188" t="inlineStr">
        <is>
          <t>HIGH</t>
        </is>
      </c>
      <c r="I784" s="188" t="n">
        <v>14.8</v>
      </c>
      <c r="J784" s="188" t="inlineStr">
        <is>
          <t>NO</t>
        </is>
      </c>
      <c r="K784" s="188" t="inlineStr">
        <is>
          <t>https://nvd.nist.gov/vuln/detail/CVE-2026-2857</t>
        </is>
      </c>
      <c r="L784" s="188" t="inlineStr">
        <is>
          <t>2026-02-26 00:15</t>
        </is>
      </c>
      <c r="M784" s="188" t="inlineStr">
        <is>
          <t>CHECK_VENDOR</t>
        </is>
      </c>
      <c r="N784" s="188" t="inlineStr">
        <is>
          <t>See NVD references</t>
        </is>
      </c>
      <c r="O784" s="188" t="inlineStr">
        <is>
          <t>Apply vendor patches</t>
        </is>
      </c>
      <c r="P784" s="188" t="inlineStr">
        <is>
          <t>dlink dwr-m960 b1 | dlink dwr-m960_firmware 1.01.07</t>
        </is>
      </c>
      <c r="Q784" s="188" t="inlineStr">
        <is>
          <t>P3</t>
        </is>
      </c>
      <c r="R784" s="188" t="inlineStr">
        <is>
          <t>🚨 URGENT: Apply vendor patches immediately | 🔒 Isolate affected systems if patch unavailable | 🛡️ Enable additional monitoring/IDS rules</t>
        </is>
      </c>
      <c r="S784" s="188" t="inlineStr">
        <is>
          <t>CVE - IP enrichment n/a</t>
        </is>
      </c>
      <c r="T784" s="188" t="n">
        <v>0</v>
      </c>
      <c r="U784" s="188" t="n">
        <v>0</v>
      </c>
      <c r="V784" s="188" t="inlineStr">
        <is>
          <t>T1203:Exploitation for Client Execution</t>
        </is>
      </c>
      <c r="W784" s="188" t="n">
        <v>1</v>
      </c>
      <c r="X784" s="188" t="inlineStr">
        <is>
          <t>LOW (40%)</t>
        </is>
      </c>
      <c r="Y784" s="188" t="inlineStr">
        <is>
          <t>UNLIKELY</t>
        </is>
      </c>
      <c r="Z784" s="188" t="inlineStr">
        <is>
          <t>CHECK_VENDOR</t>
        </is>
      </c>
      <c r="AA784" s="188" t="inlineStr">
        <is>
          <t>https://nvd.nist.gov/vuln/detail/CVE-2026-2857</t>
        </is>
      </c>
      <c r="AB784" s="188" t="inlineStr">
        <is>
          <t>NONE</t>
        </is>
      </c>
      <c r="AC784" s="188" t="n">
        <v>0</v>
      </c>
      <c r="AD784" s="188" t="inlineStr"/>
    </row>
    <row r="785">
      <c r="A785" s="188" t="inlineStr">
        <is>
          <t>CVE</t>
        </is>
      </c>
      <c r="B785" s="188" t="inlineStr">
        <is>
          <t>CVE-2026-0777</t>
        </is>
      </c>
      <c r="C785" s="188" t="inlineStr">
        <is>
          <t>Xmind Attachment Insufficient UI Warning Remote Code Execution Vulnerability. This vulnerability allows remote attackers to execute arbitrary code on affected installations of Xmind. User interaction is required to exploit this vulnerability in that the target must visit a malicious page or open a malicious file.
The specific flaw exists within the handling of attachments. When opening an attachment, the user interface fails to warn the user of unsafe actions. An attacker can leverage this vuln</t>
        </is>
      </c>
      <c r="D785" s="188" t="n">
        <v>7.8</v>
      </c>
      <c r="E785" s="188" t="inlineStr">
        <is>
          <t>HIGH</t>
        </is>
      </c>
      <c r="F785" s="188" t="n">
        <v>2</v>
      </c>
      <c r="G785" s="188" t="n">
        <v>3</v>
      </c>
      <c r="H785" s="188" t="inlineStr">
        <is>
          <t>HIGH</t>
        </is>
      </c>
      <c r="I785" s="188" t="n">
        <v>13.8</v>
      </c>
      <c r="J785" s="188" t="inlineStr">
        <is>
          <t>NO</t>
        </is>
      </c>
      <c r="K785" s="188" t="inlineStr">
        <is>
          <t>https://nvd.nist.gov/vuln/detail/CVE-2026-0777</t>
        </is>
      </c>
      <c r="L785" s="188" t="inlineStr">
        <is>
          <t>2026-02-26 00:15</t>
        </is>
      </c>
      <c r="M785" s="188" t="inlineStr">
        <is>
          <t>CHECK_VENDOR</t>
        </is>
      </c>
      <c r="N785" s="188" t="inlineStr">
        <is>
          <t>See NVD references</t>
        </is>
      </c>
      <c r="O785" s="188" t="inlineStr">
        <is>
          <t>Apply vendor patches</t>
        </is>
      </c>
      <c r="P785" s="188" t="inlineStr">
        <is>
          <t>See CVE details</t>
        </is>
      </c>
      <c r="Q785" s="188" t="inlineStr">
        <is>
          <t>P1</t>
        </is>
      </c>
      <c r="R785" s="188" t="inlineStr">
        <is>
          <t>🚨 URGENT: Apply vendor patches immediately | 🔒 Isolate affected systems if patch unavailable | 🛡️ Enable additional monitoring/IDS rules</t>
        </is>
      </c>
      <c r="S785" s="188" t="inlineStr">
        <is>
          <t>CVE - IP enrichment n/a</t>
        </is>
      </c>
      <c r="T785" s="188" t="n">
        <v>0</v>
      </c>
      <c r="U785" s="188" t="n">
        <v>0</v>
      </c>
      <c r="V785" s="188" t="inlineStr">
        <is>
          <t>T1190:Exploit Public-Facing Application | T1210:Exploitation of Remote Services | T1203:Exploitation for Client Execution</t>
        </is>
      </c>
      <c r="W785" s="188" t="n">
        <v>2</v>
      </c>
      <c r="X785" s="188" t="inlineStr">
        <is>
          <t>HIGH (72%)</t>
        </is>
      </c>
      <c r="Y785" s="188" t="inlineStr">
        <is>
          <t>HIGH</t>
        </is>
      </c>
      <c r="Z785" s="188" t="inlineStr">
        <is>
          <t>CHECK_VENDOR</t>
        </is>
      </c>
      <c r="AA785" s="188" t="inlineStr">
        <is>
          <t>https://nvd.nist.gov/vuln/detail/CVE-2026-0777</t>
        </is>
      </c>
      <c r="AB785" s="188" t="inlineStr">
        <is>
          <t>http://www.zerodayinitiative.com/advisories/ZDI-26-123/</t>
        </is>
      </c>
      <c r="AC785" s="188" t="n">
        <v>0</v>
      </c>
      <c r="AD785" s="188" t="inlineStr"/>
    </row>
    <row r="786">
      <c r="A786" s="188" t="inlineStr">
        <is>
          <t>CVE</t>
        </is>
      </c>
      <c r="B786" s="188" t="inlineStr">
        <is>
          <t>CVE-2026-0797</t>
        </is>
      </c>
      <c r="C786" s="188" t="inlineStr">
        <is>
          <t>GIMP ICO File Parsing Heap-based Buffer Overflow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ICO files. The issue results from the lack of proper validation of the length of user-supplied data prior to copying it to a heap-</t>
        </is>
      </c>
      <c r="D786" s="188" t="n">
        <v>7.8</v>
      </c>
      <c r="E786" s="188" t="inlineStr">
        <is>
          <t>HIGH</t>
        </is>
      </c>
      <c r="F786" s="188" t="n">
        <v>2</v>
      </c>
      <c r="G786" s="188" t="n">
        <v>3</v>
      </c>
      <c r="H786" s="188" t="inlineStr">
        <is>
          <t>HIGH</t>
        </is>
      </c>
      <c r="I786" s="188" t="n">
        <v>13.8</v>
      </c>
      <c r="J786" s="188" t="inlineStr">
        <is>
          <t>NO</t>
        </is>
      </c>
      <c r="K786" s="188" t="inlineStr">
        <is>
          <t>https://nvd.nist.gov/vuln/detail/CVE-2026-0797</t>
        </is>
      </c>
      <c r="L786" s="188" t="inlineStr">
        <is>
          <t>2026-02-26 00:15</t>
        </is>
      </c>
      <c r="M786" s="188" t="inlineStr">
        <is>
          <t>YES</t>
        </is>
      </c>
      <c r="N786" s="188" t="inlineStr">
        <is>
          <t>https://gitlab.gnome.org/GNOME/gimp/-/commit/69cc6b1a6645dc9c4d7b484483dbe6a84b922b9c</t>
        </is>
      </c>
      <c r="O786" s="188" t="inlineStr">
        <is>
          <t>Apply vendor patches</t>
        </is>
      </c>
      <c r="P786" s="188" t="inlineStr">
        <is>
          <t>gimp gimp 3.2.0</t>
        </is>
      </c>
      <c r="Q786" s="188" t="inlineStr">
        <is>
          <t>P1</t>
        </is>
      </c>
      <c r="R786" s="188" t="inlineStr">
        <is>
          <t>🚨 URGENT: Apply vendor patches immediately | 🔒 Isolate affected systems if patch unavailable | 🛡️ Enable additional monitoring/IDS rules</t>
        </is>
      </c>
      <c r="S786" s="188" t="inlineStr">
        <is>
          <t>CVE - IP enrichment n/a</t>
        </is>
      </c>
      <c r="T786" s="188" t="n">
        <v>0.0005999999999999999</v>
      </c>
      <c r="U786" s="188" t="n">
        <v>0.1789</v>
      </c>
      <c r="V786" s="188" t="inlineStr">
        <is>
          <t>T1203:Exploitation for Client Execution | T1190:Exploit Public-Facing Application | T1210:Exploitation of Remote Services</t>
        </is>
      </c>
      <c r="W786" s="188" t="n">
        <v>2</v>
      </c>
      <c r="X786" s="188" t="inlineStr">
        <is>
          <t>HIGH (72%)</t>
        </is>
      </c>
      <c r="Y786" s="188" t="inlineStr">
        <is>
          <t>HIGH</t>
        </is>
      </c>
      <c r="Z786" s="188" t="inlineStr">
        <is>
          <t>PATCH_AVAILABLE</t>
        </is>
      </c>
      <c r="AA786" s="188" t="inlineStr">
        <is>
          <t>https://nvd.nist.gov/vuln/detail/CVE-2026-0797</t>
        </is>
      </c>
      <c r="AB786" s="188" t="inlineStr">
        <is>
          <t>http://www.zerodayinitiative.com/advisories/ZDI-26-123/</t>
        </is>
      </c>
      <c r="AC786" s="188" t="n">
        <v>0</v>
      </c>
      <c r="AD786" s="188" t="inlineStr"/>
    </row>
    <row r="787">
      <c r="A787" s="187" t="inlineStr">
        <is>
          <t>CVE</t>
        </is>
      </c>
      <c r="B787" s="187" t="inlineStr">
        <is>
          <t>CVE-2026-27022</t>
        </is>
      </c>
      <c r="C787" s="187" t="inlineStr">
        <is>
          <t>@langchain/langgraph-checkpoint-redis is the Redis checkpoint and store implementation for LangGraph. A query injection vulnerability exists in the @langchain/langgraph-checkpoint-redis package's filter handling. The RedisSaver and ShallowRedisSaver classes construct RediSearch queries by directly interpolating user-provided filter keys and values without proper escaping. RediSearch has special syntax characters that can modify query behavior, and when user-controlled data contains these charact</t>
        </is>
      </c>
      <c r="D787" s="187" t="n">
        <v>6.5</v>
      </c>
      <c r="E787" s="187" t="inlineStr">
        <is>
          <t>MEDIUM</t>
        </is>
      </c>
      <c r="F787" s="187" t="n">
        <v>2</v>
      </c>
      <c r="G787" s="187" t="n">
        <v>2</v>
      </c>
      <c r="H787" s="187" t="inlineStr">
        <is>
          <t>MEDIUM</t>
        </is>
      </c>
      <c r="I787" s="187" t="n">
        <v>10.5</v>
      </c>
      <c r="J787" s="187" t="inlineStr">
        <is>
          <t>NO</t>
        </is>
      </c>
      <c r="K787" s="187" t="inlineStr">
        <is>
          <t>https://nvd.nist.gov/vuln/detail/CVE-2026-27022</t>
        </is>
      </c>
      <c r="L787" s="187" t="inlineStr">
        <is>
          <t>2026-02-26 00:15</t>
        </is>
      </c>
      <c r="M787" s="187" t="inlineStr">
        <is>
          <t>CHECK_VENDOR</t>
        </is>
      </c>
      <c r="N787" s="187" t="inlineStr">
        <is>
          <t>See NVD references</t>
        </is>
      </c>
      <c r="O787" s="187" t="inlineStr">
        <is>
          <t>Apply vendor patches</t>
        </is>
      </c>
      <c r="P787" s="187" t="inlineStr">
        <is>
          <t>See CVE details</t>
        </is>
      </c>
      <c r="Q787" s="187" t="inlineStr">
        <is>
          <t>P4</t>
        </is>
      </c>
      <c r="R787" s="187" t="inlineStr">
        <is>
          <t>📅 Schedule patch deployment within 30 days | 🔍 Monitor for exploitation attempts</t>
        </is>
      </c>
      <c r="S787" s="187" t="inlineStr">
        <is>
          <t>CVE - IP enrichment n/a</t>
        </is>
      </c>
      <c r="T787" s="187" t="n">
        <v>0.0003</v>
      </c>
      <c r="U787" s="187" t="n">
        <v>0.0887</v>
      </c>
      <c r="V787" s="187" t="inlineStr">
        <is>
          <t>T1190:Exploit Public-Facing Application</t>
        </is>
      </c>
      <c r="W787" s="187" t="n">
        <v>1</v>
      </c>
      <c r="X787" s="187" t="inlineStr">
        <is>
          <t>LOW (40%)</t>
        </is>
      </c>
      <c r="Y787" s="187" t="inlineStr">
        <is>
          <t>UNLIKELY</t>
        </is>
      </c>
      <c r="Z787" s="187" t="inlineStr">
        <is>
          <t>CHECK_VENDOR</t>
        </is>
      </c>
      <c r="AA787" s="187" t="inlineStr">
        <is>
          <t>https://nvd.nist.gov/vuln/detail/CVE-2026-27022</t>
        </is>
      </c>
      <c r="AB787" s="187" t="inlineStr">
        <is>
          <t>NONE</t>
        </is>
      </c>
      <c r="AC787" s="187" t="n">
        <v>0</v>
      </c>
      <c r="AD787" s="187" t="inlineStr"/>
    </row>
    <row r="788">
      <c r="A788" s="187" t="inlineStr">
        <is>
          <t>CVE</t>
        </is>
      </c>
      <c r="B788" s="187" t="inlineStr">
        <is>
          <t>CVE-2026-27024</t>
        </is>
      </c>
      <c r="C788" s="187" t="inlineStr">
        <is>
          <t>pypdf is a free and open-source pure-python PDF library. Prior to 6.7.1, an attacker who uses this vulnerability can craft a PDF which leads to an infinite loop. This requires accessing the children of a TreeObject, for example as part of outlines. This vulnerability is fixed in 6.7.1.</t>
        </is>
      </c>
      <c r="D788" s="187" t="n">
        <v>5.5</v>
      </c>
      <c r="E788" s="187" t="inlineStr">
        <is>
          <t>MEDIUM</t>
        </is>
      </c>
      <c r="F788" s="187" t="n">
        <v>2</v>
      </c>
      <c r="G788" s="187" t="n">
        <v>2</v>
      </c>
      <c r="H788" s="187" t="inlineStr">
        <is>
          <t>MEDIUM</t>
        </is>
      </c>
      <c r="I788" s="187" t="n">
        <v>9.5</v>
      </c>
      <c r="J788" s="187" t="inlineStr">
        <is>
          <t>NO</t>
        </is>
      </c>
      <c r="K788" s="187" t="inlineStr">
        <is>
          <t>https://nvd.nist.gov/vuln/detail/CVE-2026-27024</t>
        </is>
      </c>
      <c r="L788" s="187" t="inlineStr">
        <is>
          <t>2026-02-26 00:15</t>
        </is>
      </c>
      <c r="M788" s="187" t="inlineStr">
        <is>
          <t>YES</t>
        </is>
      </c>
      <c r="N788" s="187" t="inlineStr">
        <is>
          <t>https://github.com/py-pdf/pypdf/commit/bd2f6d052fe5941e85e37082c2a43453d48d1295 | https://github.com/py-pdf/pypdf/pull/3645 | https://github.com/py-pdf/pypdf/security/advisories/GHSA-996q-pr4m-cvgq</t>
        </is>
      </c>
      <c r="O788" s="187" t="inlineStr">
        <is>
          <t>Apply vendor patches</t>
        </is>
      </c>
      <c r="P788" s="187" t="inlineStr">
        <is>
          <t>pypdf_project pypdf *</t>
        </is>
      </c>
      <c r="Q788" s="187" t="inlineStr">
        <is>
          <t>P4</t>
        </is>
      </c>
      <c r="R788" s="187" t="inlineStr">
        <is>
          <t>📅 Schedule patch deployment within 30 days | 🔍 Monitor for exploitation attempts</t>
        </is>
      </c>
      <c r="S788" s="187" t="inlineStr">
        <is>
          <t>CVE - IP enrichment n/a</t>
        </is>
      </c>
      <c r="T788" s="187" t="n">
        <v>0</v>
      </c>
      <c r="U788" s="187" t="n">
        <v>0</v>
      </c>
      <c r="V788" s="187" t="inlineStr">
        <is>
          <t>T1190:Exploit Public-Facing Application</t>
        </is>
      </c>
      <c r="W788" s="187" t="n">
        <v>1</v>
      </c>
      <c r="X788" s="187" t="inlineStr">
        <is>
          <t>LOW (40%)</t>
        </is>
      </c>
      <c r="Y788" s="187" t="inlineStr">
        <is>
          <t>UNLIKELY</t>
        </is>
      </c>
      <c r="Z788" s="187" t="inlineStr">
        <is>
          <t>PATCH_AVAILABLE</t>
        </is>
      </c>
      <c r="AA788" s="187" t="inlineStr">
        <is>
          <t>https://nvd.nist.gov/vuln/detail/CVE-2026-27024</t>
        </is>
      </c>
      <c r="AB788" s="187" t="inlineStr">
        <is>
          <t>NONE</t>
        </is>
      </c>
      <c r="AC788" s="187" t="n">
        <v>0</v>
      </c>
      <c r="AD788" s="187" t="inlineStr"/>
    </row>
    <row r="789">
      <c r="A789" s="187" t="inlineStr">
        <is>
          <t>CVE</t>
        </is>
      </c>
      <c r="B789" s="187" t="inlineStr">
        <is>
          <t>CVE-2026-27025</t>
        </is>
      </c>
      <c r="C789" s="187" t="inlineStr">
        <is>
          <t>pypdf is a free and open-source pure-python PDF library. Prior to 6.7.1, an attacker who uses this vulnerability can craft a PDF which leads to long runtimes and large memory consumption. This requires parsing the /ToUnicode entry of a font with unusually large values, for example during text extraction. This vulnerability is fixed in 6.7.1.</t>
        </is>
      </c>
      <c r="D789" s="187" t="n">
        <v>5.5</v>
      </c>
      <c r="E789" s="187" t="inlineStr">
        <is>
          <t>MEDIUM</t>
        </is>
      </c>
      <c r="F789" s="187" t="n">
        <v>2</v>
      </c>
      <c r="G789" s="187" t="n">
        <v>2</v>
      </c>
      <c r="H789" s="187" t="inlineStr">
        <is>
          <t>MEDIUM</t>
        </is>
      </c>
      <c r="I789" s="187" t="n">
        <v>9.5</v>
      </c>
      <c r="J789" s="187" t="inlineStr">
        <is>
          <t>NO</t>
        </is>
      </c>
      <c r="K789" s="187" t="inlineStr">
        <is>
          <t>https://nvd.nist.gov/vuln/detail/CVE-2026-27025</t>
        </is>
      </c>
      <c r="L789" s="187" t="inlineStr">
        <is>
          <t>2026-02-26 00:15</t>
        </is>
      </c>
      <c r="M789" s="187" t="inlineStr">
        <is>
          <t>YES</t>
        </is>
      </c>
      <c r="N789" s="187" t="inlineStr">
        <is>
          <t>https://github.com/py-pdf/pypdf/commit/77d7b8d7cfbe8dd179858dfa42666f73fc6e57a2 | https://github.com/py-pdf/pypdf/pull/3646 | https://github.com/py-pdf/pypdf/security/advisories/GHSA-wgvp-vg3v-2xq3</t>
        </is>
      </c>
      <c r="O789" s="187" t="inlineStr">
        <is>
          <t>Apply vendor patches</t>
        </is>
      </c>
      <c r="P789" s="187" t="inlineStr">
        <is>
          <t>pypdf_project pypdf *</t>
        </is>
      </c>
      <c r="Q789" s="187" t="inlineStr">
        <is>
          <t>P4</t>
        </is>
      </c>
      <c r="R789" s="187" t="inlineStr">
        <is>
          <t>📅 Schedule patch deployment within 30 days | 🔍 Monitor for exploitation attempts</t>
        </is>
      </c>
      <c r="S789" s="187" t="inlineStr">
        <is>
          <t>CVE - IP enrichment n/a</t>
        </is>
      </c>
      <c r="T789" s="187" t="n">
        <v>0.0001</v>
      </c>
      <c r="U789" s="187" t="n">
        <v>0.0127</v>
      </c>
      <c r="V789" s="187" t="inlineStr">
        <is>
          <t>T1190:Exploit Public-Facing Application</t>
        </is>
      </c>
      <c r="W789" s="187" t="n">
        <v>1</v>
      </c>
      <c r="X789" s="187" t="inlineStr">
        <is>
          <t>LOW (40%)</t>
        </is>
      </c>
      <c r="Y789" s="187" t="inlineStr">
        <is>
          <t>UNLIKELY</t>
        </is>
      </c>
      <c r="Z789" s="187" t="inlineStr">
        <is>
          <t>PATCH_AVAILABLE</t>
        </is>
      </c>
      <c r="AA789" s="187" t="inlineStr">
        <is>
          <t>https://nvd.nist.gov/vuln/detail/CVE-2026-27025</t>
        </is>
      </c>
      <c r="AB789" s="187" t="inlineStr">
        <is>
          <t>NONE</t>
        </is>
      </c>
      <c r="AC789" s="187" t="n">
        <v>0</v>
      </c>
      <c r="AD789" s="187" t="inlineStr"/>
    </row>
    <row r="790">
      <c r="A790" s="187" t="inlineStr">
        <is>
          <t>CVE</t>
        </is>
      </c>
      <c r="B790" s="187" t="inlineStr">
        <is>
          <t>CVE-2026-27026</t>
        </is>
      </c>
      <c r="C790" s="187" t="inlineStr">
        <is>
          <t>pypdf is a free and open-source pure-python PDF library. Prior to 6.7.1, an attacker who uses this vulnerability can craft a PDF which leads to long runtimes. This requires a malformed /FlateDecode stream, where the byte-by-byte decompression is used. This vulnerability is fixed in 6.7.1.</t>
        </is>
      </c>
      <c r="D790" s="187" t="n">
        <v>5.5</v>
      </c>
      <c r="E790" s="187" t="inlineStr">
        <is>
          <t>MEDIUM</t>
        </is>
      </c>
      <c r="F790" s="187" t="n">
        <v>2</v>
      </c>
      <c r="G790" s="187" t="n">
        <v>2</v>
      </c>
      <c r="H790" s="187" t="inlineStr">
        <is>
          <t>MEDIUM</t>
        </is>
      </c>
      <c r="I790" s="187" t="n">
        <v>9.5</v>
      </c>
      <c r="J790" s="187" t="inlineStr">
        <is>
          <t>NO</t>
        </is>
      </c>
      <c r="K790" s="187" t="inlineStr">
        <is>
          <t>https://nvd.nist.gov/vuln/detail/CVE-2026-27026</t>
        </is>
      </c>
      <c r="L790" s="187" t="inlineStr">
        <is>
          <t>2026-02-26 00:15</t>
        </is>
      </c>
      <c r="M790" s="187" t="inlineStr">
        <is>
          <t>YES</t>
        </is>
      </c>
      <c r="N790" s="187" t="inlineStr">
        <is>
          <t>https://github.com/py-pdf/pypdf/commit/7905842d833f899f1d3228af7e7467ad80277016 | https://github.com/py-pdf/pypdf/pull/3644 | https://github.com/py-pdf/pypdf/security/advisories/GHSA-9mvc-8737-8j8h</t>
        </is>
      </c>
      <c r="O790" s="187" t="inlineStr">
        <is>
          <t>Apply vendor patches</t>
        </is>
      </c>
      <c r="P790" s="187" t="inlineStr">
        <is>
          <t>pypdf_project pypdf *</t>
        </is>
      </c>
      <c r="Q790" s="187" t="inlineStr">
        <is>
          <t>P4</t>
        </is>
      </c>
      <c r="R790" s="187" t="inlineStr">
        <is>
          <t>📅 Schedule patch deployment within 30 days | 🔍 Monitor for exploitation attempts</t>
        </is>
      </c>
      <c r="S790" s="187" t="inlineStr">
        <is>
          <t>CVE - IP enrichment n/a</t>
        </is>
      </c>
      <c r="T790" s="187" t="n">
        <v>0.0001</v>
      </c>
      <c r="U790" s="187" t="n">
        <v>0.0127</v>
      </c>
      <c r="V790" s="187" t="inlineStr">
        <is>
          <t>T1190:Exploit Public-Facing Application</t>
        </is>
      </c>
      <c r="W790" s="187" t="n">
        <v>1</v>
      </c>
      <c r="X790" s="187" t="inlineStr">
        <is>
          <t>LOW (40%)</t>
        </is>
      </c>
      <c r="Y790" s="187" t="inlineStr">
        <is>
          <t>UNLIKELY</t>
        </is>
      </c>
      <c r="Z790" s="187" t="inlineStr">
        <is>
          <t>PATCH_AVAILABLE</t>
        </is>
      </c>
      <c r="AA790" s="187" t="inlineStr">
        <is>
          <t>https://nvd.nist.gov/vuln/detail/CVE-2026-27026</t>
        </is>
      </c>
      <c r="AB790" s="187" t="inlineStr">
        <is>
          <t>NONE</t>
        </is>
      </c>
      <c r="AC790" s="187" t="n">
        <v>0</v>
      </c>
      <c r="AD790" s="187" t="inlineStr"/>
    </row>
    <row r="791">
      <c r="A791" s="187" t="inlineStr">
        <is>
          <t>CVE</t>
        </is>
      </c>
      <c r="B791" s="187" t="inlineStr">
        <is>
          <t>CVE-2026-27111</t>
        </is>
      </c>
      <c r="C791" s="187" t="inlineStr">
        <is>
          <t>Kargo manages and automates the promotion of software artifacts. From v1.9.0 to v1.9.2, Kargo's authorization model includes a promote verb -- a non-standard Kubernetes "dolphin verb" -- that gates the ability to advance Freight through a promotion pipeline. This verb exists to separate the ability to manage promotion-related resources from the ability to trigger promotions, enabling fine-grained access control over what is often a sensitive operation. The promote verb is correctly enforced in K</t>
        </is>
      </c>
      <c r="D791" s="187" t="n">
        <v>5</v>
      </c>
      <c r="E791" s="187" t="inlineStr">
        <is>
          <t>MEDIUM</t>
        </is>
      </c>
      <c r="F791" s="187" t="n">
        <v>2</v>
      </c>
      <c r="G791" s="187" t="n">
        <v>2</v>
      </c>
      <c r="H791" s="187" t="inlineStr">
        <is>
          <t>MEDIUM</t>
        </is>
      </c>
      <c r="I791" s="187" t="n">
        <v>9</v>
      </c>
      <c r="J791" s="187" t="inlineStr">
        <is>
          <t>NO</t>
        </is>
      </c>
      <c r="K791" s="187" t="inlineStr">
        <is>
          <t>https://nvd.nist.gov/vuln/detail/CVE-2026-27111</t>
        </is>
      </c>
      <c r="L791" s="187" t="inlineStr">
        <is>
          <t>2026-02-26 00:15</t>
        </is>
      </c>
      <c r="M791" s="187" t="inlineStr">
        <is>
          <t>YES</t>
        </is>
      </c>
      <c r="N791" s="187" t="inlineStr">
        <is>
          <t>https://github.com/akuity/kargo/commit/833314cad5513d48d89431493325ae44c1324a49 | https://github.com/akuity/kargo/security/advisories/GHSA-5vvm-67pj-72g4</t>
        </is>
      </c>
      <c r="O791" s="187" t="inlineStr">
        <is>
          <t>Apply vendor patches</t>
        </is>
      </c>
      <c r="P791" s="187" t="inlineStr">
        <is>
          <t>akuity kargo *</t>
        </is>
      </c>
      <c r="Q791" s="187" t="inlineStr">
        <is>
          <t>P4</t>
        </is>
      </c>
      <c r="R791" s="187" t="inlineStr">
        <is>
          <t>📅 Schedule patch deployment within 30 days | 🔍 Monitor for exploitation attempts</t>
        </is>
      </c>
      <c r="S791" s="187" t="inlineStr">
        <is>
          <t>CVE - IP enrichment n/a</t>
        </is>
      </c>
      <c r="T791" s="187" t="n">
        <v>0</v>
      </c>
      <c r="U791" s="187" t="n">
        <v>0</v>
      </c>
      <c r="V791" s="187" t="inlineStr">
        <is>
          <t>T1190:Exploit Public-Facing Application</t>
        </is>
      </c>
      <c r="W791" s="187" t="n">
        <v>1</v>
      </c>
      <c r="X791" s="187" t="inlineStr">
        <is>
          <t>LOW (40%)</t>
        </is>
      </c>
      <c r="Y791" s="187" t="inlineStr">
        <is>
          <t>UNLIKELY</t>
        </is>
      </c>
      <c r="Z791" s="187" t="inlineStr">
        <is>
          <t>PATCH_AVAILABLE</t>
        </is>
      </c>
      <c r="AA791" s="187" t="inlineStr">
        <is>
          <t>https://nvd.nist.gov/vuln/detail/CVE-2026-27111</t>
        </is>
      </c>
      <c r="AB791" s="187" t="inlineStr">
        <is>
          <t>NONE</t>
        </is>
      </c>
      <c r="AC791" s="187" t="n">
        <v>0</v>
      </c>
      <c r="AD791" s="187" t="inlineStr"/>
    </row>
    <row r="792">
      <c r="A792" s="189" t="inlineStr">
        <is>
          <t>CVE</t>
        </is>
      </c>
      <c r="B792" s="189" t="inlineStr">
        <is>
          <t>CVE-2026-27112</t>
        </is>
      </c>
      <c r="C792" s="189" t="inlineStr">
        <is>
          <t xml:space="preserve">Kargo manages and automates the promotion of software artifacts. From 1.7.0 to before v1.7.8, v1.8.11, and v1.9.3, the batch resource creation endpoints of both Kargo's legacy gRPC API and newer REST API accept multi-document YAML payloads. Specially crafted payloads can manifest a bug present in the logic of both endpoints to inject arbitrary resources (of specific types only) into the underlying namespace of an existing Project using the API server's own permissions when that behavior was not </t>
        </is>
      </c>
      <c r="D792" s="189" t="n">
        <v>9.9</v>
      </c>
      <c r="E792" s="189" t="inlineStr">
        <is>
          <t>CRITICAL</t>
        </is>
      </c>
      <c r="F792" s="189" t="n">
        <v>2</v>
      </c>
      <c r="G792" s="189" t="n">
        <v>3</v>
      </c>
      <c r="H792" s="189" t="inlineStr">
        <is>
          <t>HIGH</t>
        </is>
      </c>
      <c r="I792" s="189" t="n">
        <v>15.9</v>
      </c>
      <c r="J792" s="189" t="inlineStr">
        <is>
          <t>NO</t>
        </is>
      </c>
      <c r="K792" s="189" t="inlineStr">
        <is>
          <t>https://nvd.nist.gov/vuln/detail/CVE-2026-27112</t>
        </is>
      </c>
      <c r="L792" s="189" t="inlineStr">
        <is>
          <t>2026-02-26 00:15</t>
        </is>
      </c>
      <c r="M792" s="189" t="inlineStr">
        <is>
          <t>YES</t>
        </is>
      </c>
      <c r="N792" s="189" t="inlineStr">
        <is>
          <t>https://github.com/akuity/kargo/commit/155c6852ffbffa2902f18e6c7add91a846e8d344 | https://github.com/akuity/kargo/security/advisories/GHSA-7g9x-cp9g-92mr</t>
        </is>
      </c>
      <c r="O792" s="189" t="inlineStr">
        <is>
          <t>Apply vendor patches</t>
        </is>
      </c>
      <c r="P792" s="189" t="inlineStr">
        <is>
          <t>akuity kargo *</t>
        </is>
      </c>
      <c r="Q792" s="189" t="inlineStr">
        <is>
          <t>P3</t>
        </is>
      </c>
      <c r="R792" s="189" t="inlineStr">
        <is>
          <t>🚨 URGENT: Apply vendor patches immediately | 🔒 Isolate affected systems if patch unavailable | 🛡️ Enable additional monitoring/IDS rules</t>
        </is>
      </c>
      <c r="S792" s="189" t="inlineStr">
        <is>
          <t>CVE - IP enrichment n/a</t>
        </is>
      </c>
      <c r="T792" s="189" t="n">
        <v>0</v>
      </c>
      <c r="U792" s="189" t="n">
        <v>0</v>
      </c>
      <c r="V792" s="189" t="inlineStr">
        <is>
          <t>T1190:Exploit Public-Facing Application | T1210:Exploitation of Remote Services | T1552:Unsecured Credentials</t>
        </is>
      </c>
      <c r="W792" s="189" t="n">
        <v>1</v>
      </c>
      <c r="X792" s="189" t="inlineStr">
        <is>
          <t>LOW (40%)</t>
        </is>
      </c>
      <c r="Y792" s="189" t="inlineStr">
        <is>
          <t>UNLIKELY</t>
        </is>
      </c>
      <c r="Z792" s="189" t="inlineStr">
        <is>
          <t>PATCH_AVAILABLE</t>
        </is>
      </c>
      <c r="AA792" s="189" t="inlineStr">
        <is>
          <t>https://nvd.nist.gov/vuln/detail/CVE-2026-27112</t>
        </is>
      </c>
      <c r="AB792" s="189" t="inlineStr">
        <is>
          <t>NONE</t>
        </is>
      </c>
      <c r="AC792" s="189" t="n">
        <v>0</v>
      </c>
      <c r="AD792" s="189" t="inlineStr"/>
    </row>
    <row r="793">
      <c r="A793" s="187" t="inlineStr">
        <is>
          <t>CVE</t>
        </is>
      </c>
      <c r="B793" s="187" t="inlineStr">
        <is>
          <t>CVE-2026-27113</t>
        </is>
      </c>
      <c r="C793" s="187" t="inlineStr">
        <is>
          <t>Liquid Prompt is an adaptive prompt for Bash and Zsh. Starting in commit cf3441250bb5d8b45f6f8b389fcdf427a99ac28a and prior to commit a4f6b8d8c90b3eaa33d13dfd1093062ab9c4b30c on the master branch, arbitrary command injection can lead to code execution when a user enters a directory in a Git repository containing a crafted branch name. Exploitation requires the LP_ENABLE_GITSTATUSD config option to be enabled (enabled by default), gitstatusd to be installed and started before Liquid Prompt is loa</t>
        </is>
      </c>
      <c r="D793" s="187" t="n">
        <v>6.3</v>
      </c>
      <c r="E793" s="187" t="inlineStr">
        <is>
          <t>MEDIUM</t>
        </is>
      </c>
      <c r="F793" s="187" t="n">
        <v>2</v>
      </c>
      <c r="G793" s="187" t="n">
        <v>2</v>
      </c>
      <c r="H793" s="187" t="inlineStr">
        <is>
          <t>MEDIUM</t>
        </is>
      </c>
      <c r="I793" s="187" t="n">
        <v>10.3</v>
      </c>
      <c r="J793" s="187" t="inlineStr">
        <is>
          <t>NO</t>
        </is>
      </c>
      <c r="K793" s="187" t="inlineStr">
        <is>
          <t>https://nvd.nist.gov/vuln/detail/CVE-2026-27113</t>
        </is>
      </c>
      <c r="L793" s="187" t="inlineStr">
        <is>
          <t>2026-02-26 00:15</t>
        </is>
      </c>
      <c r="M793" s="187" t="inlineStr">
        <is>
          <t>CHECK_VENDOR</t>
        </is>
      </c>
      <c r="N793" s="187" t="inlineStr">
        <is>
          <t>See NVD references</t>
        </is>
      </c>
      <c r="O793" s="187" t="inlineStr">
        <is>
          <t>Apply vendor patches</t>
        </is>
      </c>
      <c r="P793" s="187" t="inlineStr">
        <is>
          <t>See CVE details</t>
        </is>
      </c>
      <c r="Q793" s="187" t="inlineStr">
        <is>
          <t>P4</t>
        </is>
      </c>
      <c r="R793" s="187" t="inlineStr">
        <is>
          <t>📅 Schedule patch deployment within 30 days | 🔍 Monitor for exploitation attempts</t>
        </is>
      </c>
      <c r="S793" s="187" t="inlineStr">
        <is>
          <t>CVE - IP enrichment n/a</t>
        </is>
      </c>
      <c r="T793" s="187" t="n">
        <v>0</v>
      </c>
      <c r="U793" s="187" t="n">
        <v>0</v>
      </c>
      <c r="V793" s="187" t="inlineStr">
        <is>
          <t>T1059:Command and Scripting Interpreter</t>
        </is>
      </c>
      <c r="W793" s="187" t="n">
        <v>1</v>
      </c>
      <c r="X793" s="187" t="inlineStr">
        <is>
          <t>LOW (40%)</t>
        </is>
      </c>
      <c r="Y793" s="187" t="inlineStr">
        <is>
          <t>UNLIKELY</t>
        </is>
      </c>
      <c r="Z793" s="187" t="inlineStr">
        <is>
          <t>CHECK_VENDOR</t>
        </is>
      </c>
      <c r="AA793" s="187" t="inlineStr">
        <is>
          <t>https://nvd.nist.gov/vuln/detail/CVE-2026-27113</t>
        </is>
      </c>
      <c r="AB793" s="187" t="inlineStr">
        <is>
          <t>NONE</t>
        </is>
      </c>
      <c r="AC793" s="187" t="n">
        <v>0</v>
      </c>
      <c r="AD793" s="187" t="inlineStr"/>
    </row>
    <row r="794">
      <c r="A794" s="188" t="inlineStr">
        <is>
          <t>CVE</t>
        </is>
      </c>
      <c r="B794" s="188" t="inlineStr">
        <is>
          <t>CVE-2026-27118</t>
        </is>
      </c>
      <c r="C794" s="188" t="inlineStr">
        <is>
          <t>SvelteKit is a framework for rapidly developing robust, performant web applications using Svelte. Versions of @sveltejs/adapter-vercel prior to 6.3.2 are vulnerable to cache poisoning. An internal query parameter intended for Incremental Static Regeneration (ISR) is accessible on all routes, allowing an attacker to cause sensitive user-specific responses to be cached and served to other users. Successful exploitation requires a victim to visit an attacker-controlled link while authenticated. Exi</t>
        </is>
      </c>
      <c r="D794" s="188" t="n">
        <v>8.5</v>
      </c>
      <c r="E794" s="188" t="inlineStr">
        <is>
          <t>HIGH</t>
        </is>
      </c>
      <c r="F794" s="188" t="n">
        <v>2</v>
      </c>
      <c r="G794" s="188" t="n">
        <v>3</v>
      </c>
      <c r="H794" s="188" t="inlineStr">
        <is>
          <t>HIGH</t>
        </is>
      </c>
      <c r="I794" s="188" t="n">
        <v>14.5</v>
      </c>
      <c r="J794" s="188" t="inlineStr">
        <is>
          <t>NO</t>
        </is>
      </c>
      <c r="K794" s="188" t="inlineStr">
        <is>
          <t>https://nvd.nist.gov/vuln/detail/CVE-2026-27118</t>
        </is>
      </c>
      <c r="L794" s="188" t="inlineStr">
        <is>
          <t>2026-02-26 00:15</t>
        </is>
      </c>
      <c r="M794" s="188" t="inlineStr">
        <is>
          <t>CHECK_VENDOR</t>
        </is>
      </c>
      <c r="N794" s="188" t="inlineStr">
        <is>
          <t>See NVD references</t>
        </is>
      </c>
      <c r="O794" s="188" t="inlineStr">
        <is>
          <t>Apply vendor patches</t>
        </is>
      </c>
      <c r="P794" s="188" t="inlineStr">
        <is>
          <t>See CVE details</t>
        </is>
      </c>
      <c r="Q794" s="188" t="inlineStr">
        <is>
          <t>P3</t>
        </is>
      </c>
      <c r="R794" s="188" t="inlineStr">
        <is>
          <t>🚨 URGENT: Apply vendor patches immediately | 🔒 Isolate affected systems if patch unavailable | 🛡️ Enable additional monitoring/IDS rules</t>
        </is>
      </c>
      <c r="S794" s="188" t="inlineStr">
        <is>
          <t>CVE - IP enrichment n/a</t>
        </is>
      </c>
      <c r="T794" s="188" t="n">
        <v>0</v>
      </c>
      <c r="U794" s="188" t="n">
        <v>0</v>
      </c>
      <c r="V794" s="188" t="inlineStr">
        <is>
          <t>T1190:Exploit Public-Facing Application</t>
        </is>
      </c>
      <c r="W794" s="188" t="n">
        <v>1</v>
      </c>
      <c r="X794" s="188" t="inlineStr">
        <is>
          <t>LOW (40%)</t>
        </is>
      </c>
      <c r="Y794" s="188" t="inlineStr">
        <is>
          <t>UNLIKELY</t>
        </is>
      </c>
      <c r="Z794" s="188" t="inlineStr">
        <is>
          <t>CHECK_VENDOR</t>
        </is>
      </c>
      <c r="AA794" s="188" t="inlineStr">
        <is>
          <t>https://nvd.nist.gov/vuln/detail/CVE-2026-27118</t>
        </is>
      </c>
      <c r="AB794" s="188" t="inlineStr">
        <is>
          <t>NONE</t>
        </is>
      </c>
      <c r="AC794" s="188" t="n">
        <v>0</v>
      </c>
      <c r="AD794" s="188" t="inlineStr"/>
    </row>
    <row r="795">
      <c r="A795" s="187" t="inlineStr">
        <is>
          <t>CVE</t>
        </is>
      </c>
      <c r="B795" s="187" t="inlineStr">
        <is>
          <t>CVE-2026-27120</t>
        </is>
      </c>
      <c r="C795" s="187" t="inlineStr">
        <is>
          <t>Leafkit is a templating language with Swift-inspired syntax. Prior to 1.4.1, htmlEscaped in leaf-kit will only escape html special characters if the extended grapheme clusters match, which allows bypassing escaping by using an extended grapheme cluster containing both the special html character and some additional characters. In the case of html attributes, this can lead to XSS if there is a leaf variable in the attribute that is user controlled. This vulnerability is fixed in 1.4.1.</t>
        </is>
      </c>
      <c r="D795" s="187" t="n">
        <v>6.1</v>
      </c>
      <c r="E795" s="187" t="inlineStr">
        <is>
          <t>MEDIUM</t>
        </is>
      </c>
      <c r="F795" s="187" t="n">
        <v>2</v>
      </c>
      <c r="G795" s="187" t="n">
        <v>2</v>
      </c>
      <c r="H795" s="187" t="inlineStr">
        <is>
          <t>MEDIUM</t>
        </is>
      </c>
      <c r="I795" s="187" t="n">
        <v>10.1</v>
      </c>
      <c r="J795" s="187" t="inlineStr">
        <is>
          <t>NO</t>
        </is>
      </c>
      <c r="K795" s="187" t="inlineStr">
        <is>
          <t>https://nvd.nist.gov/vuln/detail/CVE-2026-27120</t>
        </is>
      </c>
      <c r="L795" s="187" t="inlineStr">
        <is>
          <t>2026-02-26 00:15</t>
        </is>
      </c>
      <c r="M795" s="187" t="inlineStr">
        <is>
          <t>CHECK_VENDOR</t>
        </is>
      </c>
      <c r="N795" s="187" t="inlineStr">
        <is>
          <t>See NVD references</t>
        </is>
      </c>
      <c r="O795" s="187" t="inlineStr">
        <is>
          <t>Apply vendor patches</t>
        </is>
      </c>
      <c r="P795" s="187" t="inlineStr">
        <is>
          <t>See CVE details</t>
        </is>
      </c>
      <c r="Q795" s="187" t="inlineStr">
        <is>
          <t>P4</t>
        </is>
      </c>
      <c r="R795" s="187" t="inlineStr">
        <is>
          <t>📅 Schedule patch deployment within 30 days | 🔍 Monitor for exploitation attempts</t>
        </is>
      </c>
      <c r="S795" s="187" t="inlineStr">
        <is>
          <t>CVE - IP enrichment n/a</t>
        </is>
      </c>
      <c r="T795" s="187" t="n">
        <v>0</v>
      </c>
      <c r="U795" s="187" t="n">
        <v>0</v>
      </c>
      <c r="V795" s="187" t="inlineStr">
        <is>
          <t>T1189:Drive-by Compromise</t>
        </is>
      </c>
      <c r="W795" s="187" t="n">
        <v>1</v>
      </c>
      <c r="X795" s="187" t="inlineStr">
        <is>
          <t>LOW (40%)</t>
        </is>
      </c>
      <c r="Y795" s="187" t="inlineStr">
        <is>
          <t>UNLIKELY</t>
        </is>
      </c>
      <c r="Z795" s="187" t="inlineStr">
        <is>
          <t>CHECK_VENDOR</t>
        </is>
      </c>
      <c r="AA795" s="187" t="inlineStr">
        <is>
          <t>https://nvd.nist.gov/vuln/detail/CVE-2026-27120</t>
        </is>
      </c>
      <c r="AB795" s="187" t="inlineStr">
        <is>
          <t>NONE</t>
        </is>
      </c>
      <c r="AC795" s="187" t="n">
        <v>0</v>
      </c>
      <c r="AD795" s="187" t="inlineStr"/>
    </row>
    <row r="796">
      <c r="A796" s="190" t="inlineStr">
        <is>
          <t>CVE</t>
        </is>
      </c>
      <c r="B796" s="190" t="inlineStr">
        <is>
          <t>CVE-2026-2858</t>
        </is>
      </c>
      <c r="C796" s="190" t="inlineStr">
        <is>
          <t>A vulnerability was identified in wren-lang wren up to 0.4.0. This affects the function peekChar of the file src/vm/wren_compiler.c of the component Source File Parser. Such manipulation leads to out-of-bounds read. The attack needs to be performed locally. The exploit is publicly available and might be used. The project was informed of the problem early through an issue report but has not responded yet.</t>
        </is>
      </c>
      <c r="D796" s="190" t="n">
        <v>3.3</v>
      </c>
      <c r="E796" s="190" t="inlineStr">
        <is>
          <t>LOW</t>
        </is>
      </c>
      <c r="F796" s="190" t="n">
        <v>2</v>
      </c>
      <c r="G796" s="190" t="n">
        <v>1</v>
      </c>
      <c r="H796" s="190" t="inlineStr">
        <is>
          <t>LOW</t>
        </is>
      </c>
      <c r="I796" s="190" t="n">
        <v>5.3</v>
      </c>
      <c r="J796" s="190" t="inlineStr">
        <is>
          <t>NO</t>
        </is>
      </c>
      <c r="K796" s="190" t="inlineStr">
        <is>
          <t>https://nvd.nist.gov/vuln/detail/CVE-2026-2858</t>
        </is>
      </c>
      <c r="L796" s="190" t="inlineStr">
        <is>
          <t>2026-02-26 00:15</t>
        </is>
      </c>
      <c r="M796" s="190" t="inlineStr">
        <is>
          <t>CHECK_VENDOR</t>
        </is>
      </c>
      <c r="N796" s="190" t="inlineStr">
        <is>
          <t>See NVD references</t>
        </is>
      </c>
      <c r="O796" s="190" t="inlineStr">
        <is>
          <t>Apply vendor patches</t>
        </is>
      </c>
      <c r="P796" s="190" t="inlineStr">
        <is>
          <t>See CVE details</t>
        </is>
      </c>
      <c r="Q796" s="190" t="inlineStr">
        <is>
          <t>P4</t>
        </is>
      </c>
      <c r="R796" s="190" t="inlineStr">
        <is>
          <t>📅 Schedule patch deployment within 30 days | 🔍 Monitor for exploitation attempts</t>
        </is>
      </c>
      <c r="S796" s="190" t="inlineStr">
        <is>
          <t>CVE - IP enrichment n/a</t>
        </is>
      </c>
      <c r="T796" s="190" t="n">
        <v>0</v>
      </c>
      <c r="U796" s="190" t="n">
        <v>0</v>
      </c>
      <c r="V796" s="190" t="inlineStr">
        <is>
          <t>T1203:Exploitation for Client Execution | T1190:Exploit Public-Facing Application</t>
        </is>
      </c>
      <c r="W796" s="190" t="n">
        <v>1</v>
      </c>
      <c r="X796" s="190" t="inlineStr">
        <is>
          <t>LOW (40%)</t>
        </is>
      </c>
      <c r="Y796" s="190" t="inlineStr">
        <is>
          <t>UNLIKELY</t>
        </is>
      </c>
      <c r="Z796" s="190" t="inlineStr">
        <is>
          <t>CHECK_VENDOR</t>
        </is>
      </c>
      <c r="AA796" s="190" t="inlineStr">
        <is>
          <t>https://nvd.nist.gov/vuln/detail/CVE-2026-2858</t>
        </is>
      </c>
      <c r="AB796" s="190" t="inlineStr">
        <is>
          <t>NONE</t>
        </is>
      </c>
      <c r="AC796" s="190" t="n">
        <v>0</v>
      </c>
      <c r="AD796" s="190" t="inlineStr"/>
    </row>
    <row r="797">
      <c r="A797" s="188" t="inlineStr">
        <is>
          <t>CVE</t>
        </is>
      </c>
      <c r="B797" s="188" t="inlineStr">
        <is>
          <t>CVE-2018-25158</t>
        </is>
      </c>
      <c r="C797" s="188" t="inlineStr">
        <is>
          <t>Chamilo LMS 1.11.8 contains an arbitrary file upload vulnerability that allows authenticated users to upload and execute PHP files through the elfinder filemanager module. Attackers can upload files with image headers in the social myfiles section, rename them to PHP extensions, and execute arbitrary code by accessing the uploaded files.</t>
        </is>
      </c>
      <c r="D797" s="188" t="n">
        <v>8.800000000000001</v>
      </c>
      <c r="E797" s="188" t="inlineStr">
        <is>
          <t>HIGH</t>
        </is>
      </c>
      <c r="F797" s="188" t="n">
        <v>2</v>
      </c>
      <c r="G797" s="188" t="n">
        <v>3</v>
      </c>
      <c r="H797" s="188" t="inlineStr">
        <is>
          <t>HIGH</t>
        </is>
      </c>
      <c r="I797" s="188" t="n">
        <v>14.8</v>
      </c>
      <c r="J797" s="188" t="inlineStr">
        <is>
          <t>NO</t>
        </is>
      </c>
      <c r="K797" s="188" t="inlineStr">
        <is>
          <t>https://nvd.nist.gov/vuln/detail/CVE-2018-25158</t>
        </is>
      </c>
      <c r="L797" s="188" t="inlineStr">
        <is>
          <t>2026-02-26 00:15</t>
        </is>
      </c>
      <c r="M797" s="188" t="inlineStr">
        <is>
          <t>CHECK_VENDOR</t>
        </is>
      </c>
      <c r="N797" s="188" t="inlineStr">
        <is>
          <t>See NVD references</t>
        </is>
      </c>
      <c r="O797" s="188" t="inlineStr">
        <is>
          <t>Apply vendor patches</t>
        </is>
      </c>
      <c r="P797" s="188" t="inlineStr">
        <is>
          <t>See CVE details</t>
        </is>
      </c>
      <c r="Q797" s="188" t="inlineStr">
        <is>
          <t>P3</t>
        </is>
      </c>
      <c r="R797" s="188" t="inlineStr">
        <is>
          <t>🚨 URGENT: Apply vendor patches immediately | 🔒 Isolate affected systems if patch unavailable | 🛡️ Enable additional monitoring/IDS rules</t>
        </is>
      </c>
      <c r="S797" s="188" t="inlineStr">
        <is>
          <t>CVE - IP enrichment n/a</t>
        </is>
      </c>
      <c r="T797" s="188" t="n">
        <v>0</v>
      </c>
      <c r="U797" s="188" t="n">
        <v>0</v>
      </c>
      <c r="V797" s="188" t="inlineStr">
        <is>
          <t>T1190:Exploit Public-Facing Application | T1203:Exploitation for Client Execution</t>
        </is>
      </c>
      <c r="W797" s="188" t="n">
        <v>1</v>
      </c>
      <c r="X797" s="188" t="inlineStr">
        <is>
          <t>LOW (40%)</t>
        </is>
      </c>
      <c r="Y797" s="188" t="inlineStr">
        <is>
          <t>UNLIKELY</t>
        </is>
      </c>
      <c r="Z797" s="188" t="inlineStr">
        <is>
          <t>CHECK_VENDOR</t>
        </is>
      </c>
      <c r="AA797" s="188" t="inlineStr">
        <is>
          <t>https://nvd.nist.gov/vuln/detail/CVE-2018-25158</t>
        </is>
      </c>
      <c r="AB797" s="188" t="inlineStr">
        <is>
          <t>NONE</t>
        </is>
      </c>
      <c r="AC797" s="188" t="n">
        <v>0</v>
      </c>
      <c r="AD797" s="188" t="inlineStr"/>
    </row>
    <row r="798">
      <c r="A798" s="188" t="inlineStr">
        <is>
          <t>CVE</t>
        </is>
      </c>
      <c r="B798" s="188" t="inlineStr">
        <is>
          <t>CVE-2019-25431</t>
        </is>
      </c>
      <c r="C798" s="188" t="inlineStr">
        <is>
          <t>delpino73 Blue-Smiley-Organizer 1.32 contains an SQL injection vulnerability in the datetime parameter that allows unauthenticated attackers to manipulate database queries. Attackers can inject SQL code through POST requests to extract sensitive data using boolean-based blind and time-based blind techniques, or write files to the server using INTO OUTFILE statements.</t>
        </is>
      </c>
      <c r="D798" s="188" t="n">
        <v>8.199999999999999</v>
      </c>
      <c r="E798" s="188" t="inlineStr">
        <is>
          <t>HIGH</t>
        </is>
      </c>
      <c r="F798" s="188" t="n">
        <v>2</v>
      </c>
      <c r="G798" s="188" t="n">
        <v>3</v>
      </c>
      <c r="H798" s="188" t="inlineStr">
        <is>
          <t>HIGH</t>
        </is>
      </c>
      <c r="I798" s="188" t="n">
        <v>14.2</v>
      </c>
      <c r="J798" s="188" t="inlineStr">
        <is>
          <t>NO</t>
        </is>
      </c>
      <c r="K798" s="188" t="inlineStr">
        <is>
          <t>https://nvd.nist.gov/vuln/detail/CVE-2019-25431</t>
        </is>
      </c>
      <c r="L798" s="188" t="inlineStr">
        <is>
          <t>2026-02-26 00:15</t>
        </is>
      </c>
      <c r="M798" s="188" t="inlineStr">
        <is>
          <t>CHECK_VENDOR</t>
        </is>
      </c>
      <c r="N798" s="188" t="inlineStr">
        <is>
          <t>See NVD references</t>
        </is>
      </c>
      <c r="O798" s="188" t="inlineStr">
        <is>
          <t>Apply vendor patches</t>
        </is>
      </c>
      <c r="P798" s="188" t="inlineStr">
        <is>
          <t>See CVE details</t>
        </is>
      </c>
      <c r="Q798" s="188" t="inlineStr">
        <is>
          <t>P3</t>
        </is>
      </c>
      <c r="R798" s="188" t="inlineStr">
        <is>
          <t>🚨 URGENT: Apply vendor patches immediately | 🔒 Isolate affected systems if patch unavailable | 🛡️ Enable additional monitoring/IDS rules</t>
        </is>
      </c>
      <c r="S798" s="188" t="inlineStr">
        <is>
          <t>CVE - IP enrichment n/a</t>
        </is>
      </c>
      <c r="T798" s="188" t="n">
        <v>0</v>
      </c>
      <c r="U798" s="188" t="n">
        <v>0</v>
      </c>
      <c r="V798" s="188" t="inlineStr">
        <is>
          <t>T1190:Exploit Public-Facing Application</t>
        </is>
      </c>
      <c r="W798" s="188" t="n">
        <v>1</v>
      </c>
      <c r="X798" s="188" t="inlineStr">
        <is>
          <t>LOW (40%)</t>
        </is>
      </c>
      <c r="Y798" s="188" t="inlineStr">
        <is>
          <t>UNLIKELY</t>
        </is>
      </c>
      <c r="Z798" s="188" t="inlineStr">
        <is>
          <t>CHECK_VENDOR</t>
        </is>
      </c>
      <c r="AA798" s="188" t="inlineStr">
        <is>
          <t>https://nvd.nist.gov/vuln/detail/CVE-2019-25431</t>
        </is>
      </c>
      <c r="AB798" s="188" t="inlineStr">
        <is>
          <t>NONE</t>
        </is>
      </c>
      <c r="AC798" s="188" t="n">
        <v>0</v>
      </c>
      <c r="AD798" s="188" t="inlineStr"/>
    </row>
    <row r="799">
      <c r="A799" s="188" t="inlineStr">
        <is>
          <t>CVE</t>
        </is>
      </c>
      <c r="B799" s="188" t="inlineStr">
        <is>
          <t>CVE-2019-25432</t>
        </is>
      </c>
      <c r="C799" s="188" t="inlineStr">
        <is>
          <t>Part-DB 0.4 contains an authentication bypass vulnerability that allows unauthenticated attackers to login by injecting SQL syntax into authentication parameters. Attackers can submit a single quote followed by 'or' in the login form to bypass credential validation and gain unauthorized access to the application.</t>
        </is>
      </c>
      <c r="D799" s="188" t="n">
        <v>7.5</v>
      </c>
      <c r="E799" s="188" t="inlineStr">
        <is>
          <t>HIGH</t>
        </is>
      </c>
      <c r="F799" s="188" t="n">
        <v>2</v>
      </c>
      <c r="G799" s="188" t="n">
        <v>3</v>
      </c>
      <c r="H799" s="188" t="inlineStr">
        <is>
          <t>HIGH</t>
        </is>
      </c>
      <c r="I799" s="188" t="n">
        <v>13.5</v>
      </c>
      <c r="J799" s="188" t="inlineStr">
        <is>
          <t>NO</t>
        </is>
      </c>
      <c r="K799" s="188" t="inlineStr">
        <is>
          <t>https://nvd.nist.gov/vuln/detail/CVE-2019-25432</t>
        </is>
      </c>
      <c r="L799" s="188" t="inlineStr">
        <is>
          <t>2026-02-26 00:15</t>
        </is>
      </c>
      <c r="M799" s="188" t="inlineStr">
        <is>
          <t>CHECK_VENDOR</t>
        </is>
      </c>
      <c r="N799" s="188" t="inlineStr">
        <is>
          <t>See NVD references</t>
        </is>
      </c>
      <c r="O799" s="188" t="inlineStr">
        <is>
          <t>Apply vendor patches</t>
        </is>
      </c>
      <c r="P799" s="188" t="inlineStr">
        <is>
          <t>See CVE details</t>
        </is>
      </c>
      <c r="Q799" s="188" t="inlineStr">
        <is>
          <t>P3</t>
        </is>
      </c>
      <c r="R799" s="188" t="inlineStr">
        <is>
          <t>🚨 URGENT: Apply vendor patches immediately | 🔒 Isolate affected systems if patch unavailable | 🛡️ Enable additional monitoring/IDS rules</t>
        </is>
      </c>
      <c r="S799" s="188" t="inlineStr">
        <is>
          <t>CVE - IP enrichment n/a</t>
        </is>
      </c>
      <c r="T799" s="188" t="n">
        <v>0</v>
      </c>
      <c r="U799" s="188" t="n">
        <v>0</v>
      </c>
      <c r="V799" s="188" t="inlineStr">
        <is>
          <t>T1190:Exploit Public-Facing Application | T1078:Valid Accounts | T1552:Unsecured Credentials</t>
        </is>
      </c>
      <c r="W799" s="188" t="n">
        <v>1</v>
      </c>
      <c r="X799" s="188" t="inlineStr">
        <is>
          <t>LOW (40%)</t>
        </is>
      </c>
      <c r="Y799" s="188" t="inlineStr">
        <is>
          <t>UNLIKELY</t>
        </is>
      </c>
      <c r="Z799" s="188" t="inlineStr">
        <is>
          <t>CHECK_VENDOR</t>
        </is>
      </c>
      <c r="AA799" s="188" t="inlineStr">
        <is>
          <t>https://nvd.nist.gov/vuln/detail/CVE-2019-25432</t>
        </is>
      </c>
      <c r="AB799" s="188" t="inlineStr">
        <is>
          <t>NONE</t>
        </is>
      </c>
      <c r="AC799" s="188" t="n">
        <v>0</v>
      </c>
      <c r="AD799" s="188" t="inlineStr"/>
    </row>
    <row r="800">
      <c r="A800" s="188" t="inlineStr">
        <is>
          <t>CVE</t>
        </is>
      </c>
      <c r="B800" s="188" t="inlineStr">
        <is>
          <t>CVE-2019-25434</t>
        </is>
      </c>
      <c r="C800" s="188" t="inlineStr">
        <is>
          <t>SpotAuditor 5.3.1.0 contains a denial of service vulnerability that allows unauthenticated attackers to crash the application by submitting excessive data in the registration name field. Attackers can enter a large string of characters (5000 bytes or more) in the name field during registration to trigger an unhandled exception that crashes the application.</t>
        </is>
      </c>
      <c r="D800" s="188" t="n">
        <v>7.5</v>
      </c>
      <c r="E800" s="188" t="inlineStr">
        <is>
          <t>HIGH</t>
        </is>
      </c>
      <c r="F800" s="188" t="n">
        <v>2</v>
      </c>
      <c r="G800" s="188" t="n">
        <v>3</v>
      </c>
      <c r="H800" s="188" t="inlineStr">
        <is>
          <t>HIGH</t>
        </is>
      </c>
      <c r="I800" s="188" t="n">
        <v>13.5</v>
      </c>
      <c r="J800" s="188" t="inlineStr">
        <is>
          <t>NO</t>
        </is>
      </c>
      <c r="K800" s="188" t="inlineStr">
        <is>
          <t>https://nvd.nist.gov/vuln/detail/CVE-2019-25434</t>
        </is>
      </c>
      <c r="L800" s="188" t="inlineStr">
        <is>
          <t>2026-02-26 00:15</t>
        </is>
      </c>
      <c r="M800" s="188" t="inlineStr">
        <is>
          <t>CHECK_VENDOR</t>
        </is>
      </c>
      <c r="N800" s="188" t="inlineStr">
        <is>
          <t>See NVD references</t>
        </is>
      </c>
      <c r="O800" s="188" t="inlineStr">
        <is>
          <t>Apply vendor patches</t>
        </is>
      </c>
      <c r="P800" s="188" t="inlineStr">
        <is>
          <t>See CVE details</t>
        </is>
      </c>
      <c r="Q800" s="188" t="inlineStr">
        <is>
          <t>P3</t>
        </is>
      </c>
      <c r="R800" s="188" t="inlineStr">
        <is>
          <t>🚨 URGENT: Apply vendor patches immediately | 🔒 Isolate affected systems if patch unavailable | 🛡️ Enable additional monitoring/IDS rules</t>
        </is>
      </c>
      <c r="S800" s="188" t="inlineStr">
        <is>
          <t>CVE - IP enrichment n/a</t>
        </is>
      </c>
      <c r="T800" s="188" t="n">
        <v>0</v>
      </c>
      <c r="U800" s="188" t="n">
        <v>0</v>
      </c>
      <c r="V800" s="188" t="inlineStr">
        <is>
          <t>T1190:Exploit Public-Facing Application | T1499:Endpoint Denial of Service</t>
        </is>
      </c>
      <c r="W800" s="188" t="n">
        <v>1</v>
      </c>
      <c r="X800" s="188" t="inlineStr">
        <is>
          <t>LOW (40%)</t>
        </is>
      </c>
      <c r="Y800" s="188" t="inlineStr">
        <is>
          <t>UNLIKELY</t>
        </is>
      </c>
      <c r="Z800" s="188" t="inlineStr">
        <is>
          <t>CHECK_VENDOR</t>
        </is>
      </c>
      <c r="AA800" s="188" t="inlineStr">
        <is>
          <t>https://nvd.nist.gov/vuln/detail/CVE-2019-25434</t>
        </is>
      </c>
      <c r="AB800" s="188" t="inlineStr">
        <is>
          <t>NONE</t>
        </is>
      </c>
      <c r="AC800" s="188" t="n">
        <v>0</v>
      </c>
      <c r="AD800" s="188" t="inlineStr"/>
    </row>
    <row r="801">
      <c r="A801" s="188" t="inlineStr">
        <is>
          <t>CVE</t>
        </is>
      </c>
      <c r="B801" s="188" t="inlineStr">
        <is>
          <t>CVE-2019-25435</t>
        </is>
      </c>
      <c r="C801" s="188" t="inlineStr">
        <is>
          <t>Sricam DeviceViewer 3.12.0.1 contains a local buffer overflow vulnerability in the user management add user function that allows authenticated attackers to execute arbitrary code by bypassing data execution prevention. Attackers can inject a malicious payload through the Username field in User Management to trigger a stack-based buffer overflow and execute commands via ROP chain gadgets.</t>
        </is>
      </c>
      <c r="D801" s="188" t="n">
        <v>7.8</v>
      </c>
      <c r="E801" s="188" t="inlineStr">
        <is>
          <t>HIGH</t>
        </is>
      </c>
      <c r="F801" s="188" t="n">
        <v>2</v>
      </c>
      <c r="G801" s="188" t="n">
        <v>3</v>
      </c>
      <c r="H801" s="188" t="inlineStr">
        <is>
          <t>HIGH</t>
        </is>
      </c>
      <c r="I801" s="188" t="n">
        <v>13.8</v>
      </c>
      <c r="J801" s="188" t="inlineStr">
        <is>
          <t>NO</t>
        </is>
      </c>
      <c r="K801" s="188" t="inlineStr">
        <is>
          <t>https://nvd.nist.gov/vuln/detail/CVE-2019-25435</t>
        </is>
      </c>
      <c r="L801" s="188" t="inlineStr">
        <is>
          <t>2026-02-26 00:15</t>
        </is>
      </c>
      <c r="M801" s="188" t="inlineStr">
        <is>
          <t>CHECK_VENDOR</t>
        </is>
      </c>
      <c r="N801" s="188" t="inlineStr">
        <is>
          <t>See NVD references</t>
        </is>
      </c>
      <c r="O801" s="188" t="inlineStr">
        <is>
          <t>Apply vendor patches</t>
        </is>
      </c>
      <c r="P801" s="188" t="inlineStr">
        <is>
          <t>See CVE details</t>
        </is>
      </c>
      <c r="Q801" s="188" t="inlineStr">
        <is>
          <t>P3</t>
        </is>
      </c>
      <c r="R801" s="188" t="inlineStr">
        <is>
          <t>🚨 URGENT: Apply vendor patches immediately | 🔒 Isolate affected systems if patch unavailable | 🛡️ Enable additional monitoring/IDS rules</t>
        </is>
      </c>
      <c r="S801" s="188" t="inlineStr">
        <is>
          <t>CVE - IP enrichment n/a</t>
        </is>
      </c>
      <c r="T801" s="188" t="n">
        <v>0</v>
      </c>
      <c r="U801" s="188" t="n">
        <v>0</v>
      </c>
      <c r="V801" s="188" t="inlineStr">
        <is>
          <t>T1190:Exploit Public-Facing Application | T1203:Exploitation for Client Execution</t>
        </is>
      </c>
      <c r="W801" s="188" t="n">
        <v>1</v>
      </c>
      <c r="X801" s="188" t="inlineStr">
        <is>
          <t>LOW (40%)</t>
        </is>
      </c>
      <c r="Y801" s="188" t="inlineStr">
        <is>
          <t>UNLIKELY</t>
        </is>
      </c>
      <c r="Z801" s="188" t="inlineStr">
        <is>
          <t>CHECK_VENDOR</t>
        </is>
      </c>
      <c r="AA801" s="188" t="inlineStr">
        <is>
          <t>https://nvd.nist.gov/vuln/detail/CVE-2019-25435</t>
        </is>
      </c>
      <c r="AB801" s="188" t="inlineStr">
        <is>
          <t>NONE</t>
        </is>
      </c>
      <c r="AC801" s="188" t="n">
        <v>0</v>
      </c>
      <c r="AD801" s="188" t="inlineStr"/>
    </row>
    <row r="802">
      <c r="A802" s="187" t="inlineStr">
        <is>
          <t>CVE</t>
        </is>
      </c>
      <c r="B802" s="187" t="inlineStr">
        <is>
          <t>CVE-2019-25436</t>
        </is>
      </c>
      <c r="C802" s="187" t="inlineStr">
        <is>
          <t>Sricam DeviceViewer 3.12.0.1 contains a password change security bypass vulnerability that allows authenticated users to change passwords without proper validation of the old password field. Attackers can inject a large payload into the old password parameter during the change password process to bypass validation and set an arbitrary new password.</t>
        </is>
      </c>
      <c r="D802" s="187" t="n">
        <v>6.5</v>
      </c>
      <c r="E802" s="187" t="inlineStr">
        <is>
          <t>MEDIUM</t>
        </is>
      </c>
      <c r="F802" s="187" t="n">
        <v>2</v>
      </c>
      <c r="G802" s="187" t="n">
        <v>2</v>
      </c>
      <c r="H802" s="187" t="inlineStr">
        <is>
          <t>MEDIUM</t>
        </is>
      </c>
      <c r="I802" s="187" t="n">
        <v>10.5</v>
      </c>
      <c r="J802" s="187" t="inlineStr">
        <is>
          <t>NO</t>
        </is>
      </c>
      <c r="K802" s="187" t="inlineStr">
        <is>
          <t>https://nvd.nist.gov/vuln/detail/CVE-2019-25436</t>
        </is>
      </c>
      <c r="L802" s="187" t="inlineStr">
        <is>
          <t>2026-02-26 00:15</t>
        </is>
      </c>
      <c r="M802" s="187" t="inlineStr">
        <is>
          <t>CHECK_VENDOR</t>
        </is>
      </c>
      <c r="N802" s="187" t="inlineStr">
        <is>
          <t>See NVD references</t>
        </is>
      </c>
      <c r="O802" s="187" t="inlineStr">
        <is>
          <t>Apply vendor patches</t>
        </is>
      </c>
      <c r="P802" s="187" t="inlineStr">
        <is>
          <t>See CVE details</t>
        </is>
      </c>
      <c r="Q802" s="187" t="inlineStr">
        <is>
          <t>P4</t>
        </is>
      </c>
      <c r="R802" s="187" t="inlineStr">
        <is>
          <t>📅 Schedule patch deployment within 30 days | 🔍 Monitor for exploitation attempts</t>
        </is>
      </c>
      <c r="S802" s="187" t="inlineStr">
        <is>
          <t>CVE - IP enrichment n/a</t>
        </is>
      </c>
      <c r="T802" s="187" t="n">
        <v>0.0002</v>
      </c>
      <c r="U802" s="187" t="n">
        <v>0.0535</v>
      </c>
      <c r="V802" s="187" t="inlineStr">
        <is>
          <t>T1190:Exploit Public-Facing Application</t>
        </is>
      </c>
      <c r="W802" s="187" t="n">
        <v>1</v>
      </c>
      <c r="X802" s="187" t="inlineStr">
        <is>
          <t>LOW (40%)</t>
        </is>
      </c>
      <c r="Y802" s="187" t="inlineStr">
        <is>
          <t>UNLIKELY</t>
        </is>
      </c>
      <c r="Z802" s="187" t="inlineStr">
        <is>
          <t>CHECK_VENDOR</t>
        </is>
      </c>
      <c r="AA802" s="187" t="inlineStr">
        <is>
          <t>https://nvd.nist.gov/vuln/detail/CVE-2019-25436</t>
        </is>
      </c>
      <c r="AB802" s="187" t="inlineStr">
        <is>
          <t>NONE</t>
        </is>
      </c>
      <c r="AC802" s="187" t="n">
        <v>0</v>
      </c>
      <c r="AD802" s="187" t="inlineStr"/>
    </row>
    <row r="803">
      <c r="A803" s="187" t="inlineStr">
        <is>
          <t>CVE</t>
        </is>
      </c>
      <c r="B803" s="187" t="inlineStr">
        <is>
          <t>CVE-2019-25437</t>
        </is>
      </c>
      <c r="C803" s="187" t="inlineStr">
        <is>
          <t>Foscam Video Management System 1.1.6.6 contains a buffer overflow vulnerability in the UID field that allows local attackers to crash the application by supplying an excessively long string. Attackers can input a 5000-character buffer into the UID parameter during device addition to trigger an application crash when the Login Check function is invoked.</t>
        </is>
      </c>
      <c r="D803" s="187" t="n">
        <v>6.2</v>
      </c>
      <c r="E803" s="187" t="inlineStr">
        <is>
          <t>MEDIUM</t>
        </is>
      </c>
      <c r="F803" s="187" t="n">
        <v>2</v>
      </c>
      <c r="G803" s="187" t="n">
        <v>2</v>
      </c>
      <c r="H803" s="187" t="inlineStr">
        <is>
          <t>MEDIUM</t>
        </is>
      </c>
      <c r="I803" s="187" t="n">
        <v>10.2</v>
      </c>
      <c r="J803" s="187" t="inlineStr">
        <is>
          <t>NO</t>
        </is>
      </c>
      <c r="K803" s="187" t="inlineStr">
        <is>
          <t>https://nvd.nist.gov/vuln/detail/CVE-2019-25437</t>
        </is>
      </c>
      <c r="L803" s="187" t="inlineStr">
        <is>
          <t>2026-02-26 00:15</t>
        </is>
      </c>
      <c r="M803" s="187" t="inlineStr">
        <is>
          <t>CHECK_VENDOR</t>
        </is>
      </c>
      <c r="N803" s="187" t="inlineStr">
        <is>
          <t>See NVD references</t>
        </is>
      </c>
      <c r="O803" s="187" t="inlineStr">
        <is>
          <t>Apply vendor patches</t>
        </is>
      </c>
      <c r="P803" s="187" t="inlineStr">
        <is>
          <t>See CVE details</t>
        </is>
      </c>
      <c r="Q803" s="187" t="inlineStr">
        <is>
          <t>P4</t>
        </is>
      </c>
      <c r="R803" s="187" t="inlineStr">
        <is>
          <t>📅 Schedule patch deployment within 30 days | 🔍 Monitor for exploitation attempts</t>
        </is>
      </c>
      <c r="S803" s="187" t="inlineStr">
        <is>
          <t>CVE - IP enrichment n/a</t>
        </is>
      </c>
      <c r="T803" s="187" t="n">
        <v>0.0001</v>
      </c>
      <c r="U803" s="187" t="n">
        <v>0.0157</v>
      </c>
      <c r="V803" s="187" t="inlineStr">
        <is>
          <t>T1190:Exploit Public-Facing Application | T1203:Exploitation for Client Execution</t>
        </is>
      </c>
      <c r="W803" s="187" t="n">
        <v>1</v>
      </c>
      <c r="X803" s="187" t="inlineStr">
        <is>
          <t>LOW (40%)</t>
        </is>
      </c>
      <c r="Y803" s="187" t="inlineStr">
        <is>
          <t>UNLIKELY</t>
        </is>
      </c>
      <c r="Z803" s="187" t="inlineStr">
        <is>
          <t>CHECK_VENDOR</t>
        </is>
      </c>
      <c r="AA803" s="187" t="inlineStr">
        <is>
          <t>https://nvd.nist.gov/vuln/detail/CVE-2019-25437</t>
        </is>
      </c>
      <c r="AB803" s="187" t="inlineStr">
        <is>
          <t>NONE</t>
        </is>
      </c>
      <c r="AC803" s="187" t="n">
        <v>0</v>
      </c>
      <c r="AD803" s="187" t="inlineStr"/>
    </row>
    <row r="804">
      <c r="A804" s="188" t="inlineStr">
        <is>
          <t>CVE</t>
        </is>
      </c>
      <c r="B804" s="188" t="inlineStr">
        <is>
          <t>CVE-2019-25438</t>
        </is>
      </c>
      <c r="C804" s="188" t="inlineStr">
        <is>
          <t>LabCollector 5.423 contains multiple SQL injection vulnerabilities that allow unauthenticated attackers to execute arbitrary SQL commands by injecting malicious code through POST parameters. Attackers can submit crafted SQL payloads in the login parameter of login.php or the user_name parameter of retrieve_password.php to extract sensitive database information without authentication.</t>
        </is>
      </c>
      <c r="D804" s="188" t="n">
        <v>8.199999999999999</v>
      </c>
      <c r="E804" s="188" t="inlineStr">
        <is>
          <t>HIGH</t>
        </is>
      </c>
      <c r="F804" s="188" t="n">
        <v>2</v>
      </c>
      <c r="G804" s="188" t="n">
        <v>3</v>
      </c>
      <c r="H804" s="188" t="inlineStr">
        <is>
          <t>HIGH</t>
        </is>
      </c>
      <c r="I804" s="188" t="n">
        <v>14.2</v>
      </c>
      <c r="J804" s="188" t="inlineStr">
        <is>
          <t>NO</t>
        </is>
      </c>
      <c r="K804" s="188" t="inlineStr">
        <is>
          <t>https://nvd.nist.gov/vuln/detail/CVE-2019-25438</t>
        </is>
      </c>
      <c r="L804" s="188" t="inlineStr">
        <is>
          <t>2026-02-26 00:15</t>
        </is>
      </c>
      <c r="M804" s="188" t="inlineStr">
        <is>
          <t>CHECK_VENDOR</t>
        </is>
      </c>
      <c r="N804" s="188" t="inlineStr">
        <is>
          <t>See NVD references</t>
        </is>
      </c>
      <c r="O804" s="188" t="inlineStr">
        <is>
          <t>Apply vendor patches</t>
        </is>
      </c>
      <c r="P804" s="188" t="inlineStr">
        <is>
          <t>See CVE details</t>
        </is>
      </c>
      <c r="Q804" s="188" t="inlineStr">
        <is>
          <t>P3</t>
        </is>
      </c>
      <c r="R804" s="188" t="inlineStr">
        <is>
          <t>🚨 URGENT: Apply vendor patches immediately | 🔒 Isolate affected systems if patch unavailable | 🛡️ Enable additional monitoring/IDS rules</t>
        </is>
      </c>
      <c r="S804" s="188" t="inlineStr">
        <is>
          <t>CVE - IP enrichment n/a</t>
        </is>
      </c>
      <c r="T804" s="188" t="n">
        <v>0</v>
      </c>
      <c r="U804" s="188" t="n">
        <v>0</v>
      </c>
      <c r="V804" s="188" t="inlineStr">
        <is>
          <t>T1190:Exploit Public-Facing Application</t>
        </is>
      </c>
      <c r="W804" s="188" t="n">
        <v>1</v>
      </c>
      <c r="X804" s="188" t="inlineStr">
        <is>
          <t>LOW (40%)</t>
        </is>
      </c>
      <c r="Y804" s="188" t="inlineStr">
        <is>
          <t>UNLIKELY</t>
        </is>
      </c>
      <c r="Z804" s="188" t="inlineStr">
        <is>
          <t>CHECK_VENDOR</t>
        </is>
      </c>
      <c r="AA804" s="188" t="inlineStr">
        <is>
          <t>https://nvd.nist.gov/vuln/detail/CVE-2019-25438</t>
        </is>
      </c>
      <c r="AB804" s="188" t="inlineStr">
        <is>
          <t>NONE</t>
        </is>
      </c>
      <c r="AC804" s="188" t="n">
        <v>0</v>
      </c>
      <c r="AD804" s="188" t="inlineStr"/>
    </row>
    <row r="805">
      <c r="A805" s="189" t="inlineStr">
        <is>
          <t>CVE</t>
        </is>
      </c>
      <c r="B805" s="189" t="inlineStr">
        <is>
          <t>CVE-2019-25441</t>
        </is>
      </c>
      <c r="C805" s="189" t="inlineStr">
        <is>
          <t>thesystem 1.0 contains a command injection vulnerability that allows unauthenticated attackers to execute arbitrary system commands by submitting malicious input to the run_command endpoint. Attackers can send POST requests with shell commands in the command parameter to execute arbitrary code on the server without authentication.</t>
        </is>
      </c>
      <c r="D805" s="189" t="n">
        <v>9.800000000000001</v>
      </c>
      <c r="E805" s="189" t="inlineStr">
        <is>
          <t>CRITICAL</t>
        </is>
      </c>
      <c r="F805" s="189" t="n">
        <v>2</v>
      </c>
      <c r="G805" s="189" t="n">
        <v>3</v>
      </c>
      <c r="H805" s="189" t="inlineStr">
        <is>
          <t>HIGH</t>
        </is>
      </c>
      <c r="I805" s="189" t="n">
        <v>15.8</v>
      </c>
      <c r="J805" s="189" t="inlineStr">
        <is>
          <t>NO</t>
        </is>
      </c>
      <c r="K805" s="189" t="inlineStr">
        <is>
          <t>https://nvd.nist.gov/vuln/detail/CVE-2019-25441</t>
        </is>
      </c>
      <c r="L805" s="189" t="inlineStr">
        <is>
          <t>2026-02-26 00:15</t>
        </is>
      </c>
      <c r="M805" s="189" t="inlineStr">
        <is>
          <t>CHECK_VENDOR</t>
        </is>
      </c>
      <c r="N805" s="189" t="inlineStr">
        <is>
          <t>See NVD references</t>
        </is>
      </c>
      <c r="O805" s="189" t="inlineStr">
        <is>
          <t>Apply vendor patches</t>
        </is>
      </c>
      <c r="P805" s="189" t="inlineStr">
        <is>
          <t>See CVE details</t>
        </is>
      </c>
      <c r="Q805" s="189" t="inlineStr">
        <is>
          <t>P2</t>
        </is>
      </c>
      <c r="R805" s="189" t="inlineStr">
        <is>
          <t>🚨 URGENT: Apply vendor patches immediately | 🔒 Isolate affected systems if patch unavailable | 🛡️ Enable additional monitoring/IDS rules</t>
        </is>
      </c>
      <c r="S805" s="189" t="inlineStr">
        <is>
          <t>CVE - IP enrichment n/a</t>
        </is>
      </c>
      <c r="T805" s="189" t="n">
        <v>0.0265</v>
      </c>
      <c r="U805" s="189" t="n">
        <v>0.8549</v>
      </c>
      <c r="V805" s="189" t="inlineStr">
        <is>
          <t>T1059:Command and Scripting Interpreter | T1203:Exploitation for Client Execution</t>
        </is>
      </c>
      <c r="W805" s="189" t="n">
        <v>1</v>
      </c>
      <c r="X805" s="189" t="inlineStr">
        <is>
          <t>LOW (40%)</t>
        </is>
      </c>
      <c r="Y805" s="189" t="inlineStr">
        <is>
          <t>UNLIKELY</t>
        </is>
      </c>
      <c r="Z805" s="189" t="inlineStr">
        <is>
          <t>CHECK_VENDOR</t>
        </is>
      </c>
      <c r="AA805" s="189" t="inlineStr">
        <is>
          <t>https://nvd.nist.gov/vuln/detail/CVE-2019-25441</t>
        </is>
      </c>
      <c r="AB805" s="189" t="inlineStr">
        <is>
          <t>NONE</t>
        </is>
      </c>
      <c r="AC805" s="189" t="n">
        <v>0</v>
      </c>
      <c r="AD805" s="189" t="inlineStr"/>
    </row>
    <row r="806">
      <c r="A806" s="187" t="inlineStr">
        <is>
          <t>CVE</t>
        </is>
      </c>
      <c r="B806" s="187" t="inlineStr">
        <is>
          <t>CVE-2019-25447</t>
        </is>
      </c>
      <c r="C806" s="187" t="inlineStr">
        <is>
          <t>OrientDB 3.0.17 GA Community Edition contains cross-site request forgery vulnerabilities that allow attackers to perform unauthorized actions by crafting malicious requests to endpoints like /database/, /command/, and /document/. Attackers can create or delete databases, modify schema classes, manage users, and create functions by sending authenticated requests without token validation, combined with reflected and stored cross-site scripting vulnerabilities in the web interface.</t>
        </is>
      </c>
      <c r="D806" s="187" t="n">
        <v>4.3</v>
      </c>
      <c r="E806" s="187" t="inlineStr">
        <is>
          <t>MEDIUM</t>
        </is>
      </c>
      <c r="F806" s="187" t="n">
        <v>2</v>
      </c>
      <c r="G806" s="187" t="n">
        <v>2</v>
      </c>
      <c r="H806" s="187" t="inlineStr">
        <is>
          <t>MEDIUM</t>
        </is>
      </c>
      <c r="I806" s="187" t="n">
        <v>8.300000000000001</v>
      </c>
      <c r="J806" s="187" t="inlineStr">
        <is>
          <t>NO</t>
        </is>
      </c>
      <c r="K806" s="187" t="inlineStr">
        <is>
          <t>https://nvd.nist.gov/vuln/detail/CVE-2019-25447</t>
        </is>
      </c>
      <c r="L806" s="187" t="inlineStr">
        <is>
          <t>2026-02-26 00:15</t>
        </is>
      </c>
      <c r="M806" s="187" t="inlineStr">
        <is>
          <t>CHECK_VENDOR</t>
        </is>
      </c>
      <c r="N806" s="187" t="inlineStr">
        <is>
          <t>See NVD references</t>
        </is>
      </c>
      <c r="O806" s="187" t="inlineStr">
        <is>
          <t>Apply vendor patches</t>
        </is>
      </c>
      <c r="P806" s="187" t="inlineStr">
        <is>
          <t>orientdb orientdb 3.0.17</t>
        </is>
      </c>
      <c r="Q806" s="187" t="inlineStr">
        <is>
          <t>P4</t>
        </is>
      </c>
      <c r="R806" s="187" t="inlineStr">
        <is>
          <t>📅 Schedule patch deployment within 30 days | 🔍 Monitor for exploitation attempts</t>
        </is>
      </c>
      <c r="S806" s="187" t="inlineStr">
        <is>
          <t>CVE - IP enrichment n/a</t>
        </is>
      </c>
      <c r="T806" s="187" t="n">
        <v>0</v>
      </c>
      <c r="U806" s="187" t="n">
        <v>0</v>
      </c>
      <c r="V806" s="187" t="inlineStr">
        <is>
          <t>T1185:Browser Session Hijacking | T1189:Drive-by Compromise</t>
        </is>
      </c>
      <c r="W806" s="187" t="n">
        <v>1</v>
      </c>
      <c r="X806" s="187" t="inlineStr">
        <is>
          <t>LOW (40%)</t>
        </is>
      </c>
      <c r="Y806" s="187" t="inlineStr">
        <is>
          <t>UNLIKELY</t>
        </is>
      </c>
      <c r="Z806" s="187" t="inlineStr">
        <is>
          <t>CHECK_VENDOR</t>
        </is>
      </c>
      <c r="AA806" s="187" t="inlineStr">
        <is>
          <t>https://nvd.nist.gov/vuln/detail/CVE-2019-25447</t>
        </is>
      </c>
      <c r="AB806" s="187" t="inlineStr">
        <is>
          <t>NONE</t>
        </is>
      </c>
      <c r="AC806" s="187" t="n">
        <v>0</v>
      </c>
      <c r="AD806" s="187" t="inlineStr"/>
    </row>
    <row r="807">
      <c r="A807" s="187" t="inlineStr">
        <is>
          <t>CVE</t>
        </is>
      </c>
      <c r="B807" s="187" t="inlineStr">
        <is>
          <t>CVE-2019-25448</t>
        </is>
      </c>
      <c r="C807" s="187" t="inlineStr">
        <is>
          <t>OrientDB 3.0.17 contains a stored cross-site scripting vulnerability that allows authenticated attackers to inject malicious scripts by creating users with script payloads in the name parameter. Attackers can send POST requests to the document endpoint with JavaScript code in the name field to execute arbitrary scripts when users view the application.</t>
        </is>
      </c>
      <c r="D807" s="187" t="n">
        <v>6.4</v>
      </c>
      <c r="E807" s="187" t="inlineStr">
        <is>
          <t>MEDIUM</t>
        </is>
      </c>
      <c r="F807" s="187" t="n">
        <v>2</v>
      </c>
      <c r="G807" s="187" t="n">
        <v>2</v>
      </c>
      <c r="H807" s="187" t="inlineStr">
        <is>
          <t>MEDIUM</t>
        </is>
      </c>
      <c r="I807" s="187" t="n">
        <v>10.4</v>
      </c>
      <c r="J807" s="187" t="inlineStr">
        <is>
          <t>NO</t>
        </is>
      </c>
      <c r="K807" s="187" t="inlineStr">
        <is>
          <t>https://nvd.nist.gov/vuln/detail/CVE-2019-25448</t>
        </is>
      </c>
      <c r="L807" s="187" t="inlineStr">
        <is>
          <t>2026-02-26 00:15</t>
        </is>
      </c>
      <c r="M807" s="187" t="inlineStr">
        <is>
          <t>CHECK_VENDOR</t>
        </is>
      </c>
      <c r="N807" s="187" t="inlineStr">
        <is>
          <t>See NVD references</t>
        </is>
      </c>
      <c r="O807" s="187" t="inlineStr">
        <is>
          <t>Apply vendor patches</t>
        </is>
      </c>
      <c r="P807" s="187" t="inlineStr">
        <is>
          <t>orientdb orientdb 3.0.17</t>
        </is>
      </c>
      <c r="Q807" s="187" t="inlineStr">
        <is>
          <t>P4</t>
        </is>
      </c>
      <c r="R807" s="187" t="inlineStr">
        <is>
          <t>📅 Schedule patch deployment within 30 days | 🔍 Monitor for exploitation attempts</t>
        </is>
      </c>
      <c r="S807" s="187" t="inlineStr">
        <is>
          <t>CVE - IP enrichment n/a</t>
        </is>
      </c>
      <c r="T807" s="187" t="n">
        <v>0</v>
      </c>
      <c r="U807" s="187" t="n">
        <v>0</v>
      </c>
      <c r="V807" s="187" t="inlineStr">
        <is>
          <t>T1189:Drive-by Compromise</t>
        </is>
      </c>
      <c r="W807" s="187" t="n">
        <v>1</v>
      </c>
      <c r="X807" s="187" t="inlineStr">
        <is>
          <t>LOW (40%)</t>
        </is>
      </c>
      <c r="Y807" s="187" t="inlineStr">
        <is>
          <t>UNLIKELY</t>
        </is>
      </c>
      <c r="Z807" s="187" t="inlineStr">
        <is>
          <t>CHECK_VENDOR</t>
        </is>
      </c>
      <c r="AA807" s="187" t="inlineStr">
        <is>
          <t>https://nvd.nist.gov/vuln/detail/CVE-2019-25448</t>
        </is>
      </c>
      <c r="AB807" s="187" t="inlineStr">
        <is>
          <t>NONE</t>
        </is>
      </c>
      <c r="AC807" s="187" t="n">
        <v>0</v>
      </c>
      <c r="AD807" s="187" t="inlineStr"/>
    </row>
    <row r="808">
      <c r="A808" s="187" t="inlineStr">
        <is>
          <t>CVE</t>
        </is>
      </c>
      <c r="B808" s="187" t="inlineStr">
        <is>
          <t>CVE-2019-25449</t>
        </is>
      </c>
      <c r="C808" s="187" t="inlineStr">
        <is>
          <t>OrientDB 3.0.17 contains a reflected cross-site scripting vulnerability that allows attackers to inject malicious scripts by submitting crafted JSON payloads to the document endpoint. Attackers can send POST requests to /document/demodb/-1:-1 with script tags in the name parameter to execute arbitrary JavaScript in users' browsers.</t>
        </is>
      </c>
      <c r="D808" s="187" t="n">
        <v>6.1</v>
      </c>
      <c r="E808" s="187" t="inlineStr">
        <is>
          <t>MEDIUM</t>
        </is>
      </c>
      <c r="F808" s="187" t="n">
        <v>2</v>
      </c>
      <c r="G808" s="187" t="n">
        <v>2</v>
      </c>
      <c r="H808" s="187" t="inlineStr">
        <is>
          <t>MEDIUM</t>
        </is>
      </c>
      <c r="I808" s="187" t="n">
        <v>10.1</v>
      </c>
      <c r="J808" s="187" t="inlineStr">
        <is>
          <t>NO</t>
        </is>
      </c>
      <c r="K808" s="187" t="inlineStr">
        <is>
          <t>https://nvd.nist.gov/vuln/detail/CVE-2019-25449</t>
        </is>
      </c>
      <c r="L808" s="187" t="inlineStr">
        <is>
          <t>2026-02-26 00:15</t>
        </is>
      </c>
      <c r="M808" s="187" t="inlineStr">
        <is>
          <t>CHECK_VENDOR</t>
        </is>
      </c>
      <c r="N808" s="187" t="inlineStr">
        <is>
          <t>See NVD references</t>
        </is>
      </c>
      <c r="O808" s="187" t="inlineStr">
        <is>
          <t>Apply vendor patches</t>
        </is>
      </c>
      <c r="P808" s="187" t="inlineStr">
        <is>
          <t>orientdb orientdb 3.0.17</t>
        </is>
      </c>
      <c r="Q808" s="187" t="inlineStr">
        <is>
          <t>P4</t>
        </is>
      </c>
      <c r="R808" s="187" t="inlineStr">
        <is>
          <t>📅 Schedule patch deployment within 30 days | 🔍 Monitor for exploitation attempts</t>
        </is>
      </c>
      <c r="S808" s="187" t="inlineStr">
        <is>
          <t>CVE - IP enrichment n/a</t>
        </is>
      </c>
      <c r="T808" s="187" t="n">
        <v>0</v>
      </c>
      <c r="U808" s="187" t="n">
        <v>0</v>
      </c>
      <c r="V808" s="187" t="inlineStr">
        <is>
          <t>T1189:Drive-by Compromise</t>
        </is>
      </c>
      <c r="W808" s="187" t="n">
        <v>1</v>
      </c>
      <c r="X808" s="187" t="inlineStr">
        <is>
          <t>LOW (40%)</t>
        </is>
      </c>
      <c r="Y808" s="187" t="inlineStr">
        <is>
          <t>UNLIKELY</t>
        </is>
      </c>
      <c r="Z808" s="187" t="inlineStr">
        <is>
          <t>CHECK_VENDOR</t>
        </is>
      </c>
      <c r="AA808" s="187" t="inlineStr">
        <is>
          <t>https://nvd.nist.gov/vuln/detail/CVE-2019-25449</t>
        </is>
      </c>
      <c r="AB808" s="187" t="inlineStr">
        <is>
          <t>NONE</t>
        </is>
      </c>
      <c r="AC808" s="187" t="n">
        <v>0</v>
      </c>
      <c r="AD808" s="187" t="inlineStr"/>
    </row>
    <row r="809">
      <c r="A809" s="187" t="inlineStr">
        <is>
          <t>CVE</t>
        </is>
      </c>
      <c r="B809" s="187" t="inlineStr">
        <is>
          <t>CVE-2019-25451</t>
        </is>
      </c>
      <c r="C809" s="187" t="inlineStr">
        <is>
          <t>phpMoAdmin 1.1.5 contains a cross-site request forgery vulnerability that allows attackers to perform unauthorized database operations by crafting malicious requests. Attackers can trick authenticated users into submitting GET requests to moadmin.php with parameters like action, db, and collection to create, drop, or repair databases and collections without user consent.</t>
        </is>
      </c>
      <c r="D809" s="187" t="n">
        <v>4.3</v>
      </c>
      <c r="E809" s="187" t="inlineStr">
        <is>
          <t>MEDIUM</t>
        </is>
      </c>
      <c r="F809" s="187" t="n">
        <v>2</v>
      </c>
      <c r="G809" s="187" t="n">
        <v>2</v>
      </c>
      <c r="H809" s="187" t="inlineStr">
        <is>
          <t>MEDIUM</t>
        </is>
      </c>
      <c r="I809" s="187" t="n">
        <v>8.300000000000001</v>
      </c>
      <c r="J809" s="187" t="inlineStr">
        <is>
          <t>NO</t>
        </is>
      </c>
      <c r="K809" s="187" t="inlineStr">
        <is>
          <t>https://nvd.nist.gov/vuln/detail/CVE-2019-25451</t>
        </is>
      </c>
      <c r="L809" s="187" t="inlineStr">
        <is>
          <t>2026-02-26 00:15</t>
        </is>
      </c>
      <c r="M809" s="187" t="inlineStr">
        <is>
          <t>CHECK_VENDOR</t>
        </is>
      </c>
      <c r="N809" s="187" t="inlineStr">
        <is>
          <t>See NVD references</t>
        </is>
      </c>
      <c r="O809" s="187" t="inlineStr">
        <is>
          <t>Apply vendor patches</t>
        </is>
      </c>
      <c r="P809" s="187" t="inlineStr">
        <is>
          <t>phpmoadmin phpmoadmin 1.1.5</t>
        </is>
      </c>
      <c r="Q809" s="187" t="inlineStr">
        <is>
          <t>P4</t>
        </is>
      </c>
      <c r="R809" s="187" t="inlineStr">
        <is>
          <t>📅 Schedule patch deployment within 30 days | 🔍 Monitor for exploitation attempts</t>
        </is>
      </c>
      <c r="S809" s="187" t="inlineStr">
        <is>
          <t>CVE - IP enrichment n/a</t>
        </is>
      </c>
      <c r="T809" s="187" t="n">
        <v>0</v>
      </c>
      <c r="U809" s="187" t="n">
        <v>0</v>
      </c>
      <c r="V809" s="187" t="inlineStr">
        <is>
          <t>T1090:Proxy</t>
        </is>
      </c>
      <c r="W809" s="187" t="n">
        <v>1</v>
      </c>
      <c r="X809" s="187" t="inlineStr">
        <is>
          <t>LOW (40%)</t>
        </is>
      </c>
      <c r="Y809" s="187" t="inlineStr">
        <is>
          <t>UNLIKELY</t>
        </is>
      </c>
      <c r="Z809" s="187" t="inlineStr">
        <is>
          <t>CHECK_VENDOR</t>
        </is>
      </c>
      <c r="AA809" s="187" t="inlineStr">
        <is>
          <t>https://nvd.nist.gov/vuln/detail/CVE-2019-25451</t>
        </is>
      </c>
      <c r="AB809" s="187" t="inlineStr">
        <is>
          <t>NONE</t>
        </is>
      </c>
      <c r="AC809" s="187" t="n">
        <v>0</v>
      </c>
      <c r="AD809" s="187" t="inlineStr"/>
    </row>
    <row r="810">
      <c r="A810" s="187" t="inlineStr">
        <is>
          <t>CVE</t>
        </is>
      </c>
      <c r="B810" s="187" t="inlineStr">
        <is>
          <t>CVE-2019-25453</t>
        </is>
      </c>
      <c r="C810" s="187" t="inlineStr">
        <is>
          <t>phpMoAdmin 1.1.5 contains a reflected cross-site scripting vulnerability that allows unauthenticated attackers to inject malicious scripts by manipulating the newdb parameter. Attackers can craft URLs with JavaScript payloads in the newdb parameter of moadmin.php to execute arbitrary code in users' browsers when they visit the malicious link.</t>
        </is>
      </c>
      <c r="D810" s="187" t="n">
        <v>6.1</v>
      </c>
      <c r="E810" s="187" t="inlineStr">
        <is>
          <t>MEDIUM</t>
        </is>
      </c>
      <c r="F810" s="187" t="n">
        <v>2</v>
      </c>
      <c r="G810" s="187" t="n">
        <v>2</v>
      </c>
      <c r="H810" s="187" t="inlineStr">
        <is>
          <t>MEDIUM</t>
        </is>
      </c>
      <c r="I810" s="187" t="n">
        <v>10.1</v>
      </c>
      <c r="J810" s="187" t="inlineStr">
        <is>
          <t>NO</t>
        </is>
      </c>
      <c r="K810" s="187" t="inlineStr">
        <is>
          <t>https://nvd.nist.gov/vuln/detail/CVE-2019-25453</t>
        </is>
      </c>
      <c r="L810" s="187" t="inlineStr">
        <is>
          <t>2026-02-26 00:15</t>
        </is>
      </c>
      <c r="M810" s="187" t="inlineStr">
        <is>
          <t>CHECK_VENDOR</t>
        </is>
      </c>
      <c r="N810" s="187" t="inlineStr">
        <is>
          <t>See NVD references</t>
        </is>
      </c>
      <c r="O810" s="187" t="inlineStr">
        <is>
          <t>Apply vendor patches</t>
        </is>
      </c>
      <c r="P810" s="187" t="inlineStr">
        <is>
          <t>phpmoadmin phpmoadmin 1.1.5</t>
        </is>
      </c>
      <c r="Q810" s="187" t="inlineStr">
        <is>
          <t>P4</t>
        </is>
      </c>
      <c r="R810" s="187" t="inlineStr">
        <is>
          <t>📅 Schedule patch deployment within 30 days | 🔍 Monitor for exploitation attempts</t>
        </is>
      </c>
      <c r="S810" s="187" t="inlineStr">
        <is>
          <t>CVE - IP enrichment n/a</t>
        </is>
      </c>
      <c r="T810" s="187" t="n">
        <v>0</v>
      </c>
      <c r="U810" s="187" t="n">
        <v>0</v>
      </c>
      <c r="V810" s="187" t="inlineStr">
        <is>
          <t>T1189:Drive-by Compromise | T1203:Exploitation for Client Execution</t>
        </is>
      </c>
      <c r="W810" s="187" t="n">
        <v>1</v>
      </c>
      <c r="X810" s="187" t="inlineStr">
        <is>
          <t>LOW (40%)</t>
        </is>
      </c>
      <c r="Y810" s="187" t="inlineStr">
        <is>
          <t>UNLIKELY</t>
        </is>
      </c>
      <c r="Z810" s="187" t="inlineStr">
        <is>
          <t>CHECK_VENDOR</t>
        </is>
      </c>
      <c r="AA810" s="187" t="inlineStr">
        <is>
          <t>https://nvd.nist.gov/vuln/detail/CVE-2019-25453</t>
        </is>
      </c>
      <c r="AB810" s="187" t="inlineStr">
        <is>
          <t>NONE</t>
        </is>
      </c>
      <c r="AC810" s="187" t="n">
        <v>0</v>
      </c>
      <c r="AD810" s="187" t="inlineStr"/>
    </row>
    <row r="811">
      <c r="A811" s="188" t="inlineStr">
        <is>
          <t>CVE</t>
        </is>
      </c>
      <c r="B811" s="188" t="inlineStr">
        <is>
          <t>CVE-2019-25454</t>
        </is>
      </c>
      <c r="C811" s="188" t="inlineStr">
        <is>
          <t>phpMoAdmin 1.1.5 contains a stored cross-site scripting vulnerability that allows unauthenticated attackers to inject malicious scripts by manipulating the collection parameter. Attackers can send GET requests to moadmin.php with script payloads in the collection parameter during collection creation to execute arbitrary JavaScript in users' browsers.</t>
        </is>
      </c>
      <c r="D811" s="188" t="n">
        <v>7.2</v>
      </c>
      <c r="E811" s="188" t="inlineStr">
        <is>
          <t>HIGH</t>
        </is>
      </c>
      <c r="F811" s="188" t="n">
        <v>2</v>
      </c>
      <c r="G811" s="188" t="n">
        <v>3</v>
      </c>
      <c r="H811" s="188" t="inlineStr">
        <is>
          <t>HIGH</t>
        </is>
      </c>
      <c r="I811" s="188" t="n">
        <v>13.2</v>
      </c>
      <c r="J811" s="188" t="inlineStr">
        <is>
          <t>NO</t>
        </is>
      </c>
      <c r="K811" s="188" t="inlineStr">
        <is>
          <t>https://nvd.nist.gov/vuln/detail/CVE-2019-25454</t>
        </is>
      </c>
      <c r="L811" s="188" t="inlineStr">
        <is>
          <t>2026-02-26 00:15</t>
        </is>
      </c>
      <c r="M811" s="188" t="inlineStr">
        <is>
          <t>CHECK_VENDOR</t>
        </is>
      </c>
      <c r="N811" s="188" t="inlineStr">
        <is>
          <t>See NVD references</t>
        </is>
      </c>
      <c r="O811" s="188" t="inlineStr">
        <is>
          <t>Apply vendor patches</t>
        </is>
      </c>
      <c r="P811" s="188" t="inlineStr">
        <is>
          <t>phpmoadmin phpmoadmin 1.1.5</t>
        </is>
      </c>
      <c r="Q811" s="188" t="inlineStr">
        <is>
          <t>P3</t>
        </is>
      </c>
      <c r="R811" s="188" t="inlineStr">
        <is>
          <t>🚨 URGENT: Apply vendor patches immediately | 🔒 Isolate affected systems if patch unavailable | 🛡️ Enable additional monitoring/IDS rules</t>
        </is>
      </c>
      <c r="S811" s="188" t="inlineStr">
        <is>
          <t>CVE - IP enrichment n/a</t>
        </is>
      </c>
      <c r="T811" s="188" t="n">
        <v>0</v>
      </c>
      <c r="U811" s="188" t="n">
        <v>0</v>
      </c>
      <c r="V811" s="188" t="inlineStr">
        <is>
          <t>T1189:Drive-by Compromise</t>
        </is>
      </c>
      <c r="W811" s="188" t="n">
        <v>1</v>
      </c>
      <c r="X811" s="188" t="inlineStr">
        <is>
          <t>LOW (40%)</t>
        </is>
      </c>
      <c r="Y811" s="188" t="inlineStr">
        <is>
          <t>UNLIKELY</t>
        </is>
      </c>
      <c r="Z811" s="188" t="inlineStr">
        <is>
          <t>CHECK_VENDOR</t>
        </is>
      </c>
      <c r="AA811" s="188" t="inlineStr">
        <is>
          <t>https://nvd.nist.gov/vuln/detail/CVE-2019-25454</t>
        </is>
      </c>
      <c r="AB811" s="188" t="inlineStr">
        <is>
          <t>NONE</t>
        </is>
      </c>
      <c r="AC811" s="188" t="n">
        <v>0</v>
      </c>
      <c r="AD811" s="188" t="inlineStr"/>
    </row>
    <row r="812">
      <c r="A812" s="187" t="inlineStr">
        <is>
          <t>CVE</t>
        </is>
      </c>
      <c r="B812" s="187" t="inlineStr">
        <is>
          <t>CVE-2026-27119</t>
        </is>
      </c>
      <c r="C812" s="187" t="inlineStr">
        <is>
          <t>svelte performance oriented web framework. From 5.39.3, element does not properly escape its content, potentially allowing HTML injection in the SSR output. Client-side rendering is not affected. This vulnerability is fixed in 5.51.5.</t>
        </is>
      </c>
      <c r="D812" s="187" t="n">
        <v>5.4</v>
      </c>
      <c r="E812" s="187" t="inlineStr">
        <is>
          <t>MEDIUM</t>
        </is>
      </c>
      <c r="F812" s="187" t="n">
        <v>2</v>
      </c>
      <c r="G812" s="187" t="n">
        <v>2</v>
      </c>
      <c r="H812" s="187" t="inlineStr">
        <is>
          <t>MEDIUM</t>
        </is>
      </c>
      <c r="I812" s="187" t="n">
        <v>9.4</v>
      </c>
      <c r="J812" s="187" t="inlineStr">
        <is>
          <t>NO</t>
        </is>
      </c>
      <c r="K812" s="187" t="inlineStr">
        <is>
          <t>https://nvd.nist.gov/vuln/detail/CVE-2026-27119</t>
        </is>
      </c>
      <c r="L812" s="187" t="inlineStr">
        <is>
          <t>2026-02-26 00:15</t>
        </is>
      </c>
      <c r="M812" s="187" t="inlineStr">
        <is>
          <t>YES</t>
        </is>
      </c>
      <c r="N812" s="187" t="inlineStr">
        <is>
          <t>https://github.com/sveltejs/svelte/security/advisories/GHSA-h7h7-mm68-gmrc</t>
        </is>
      </c>
      <c r="O812" s="187" t="inlineStr">
        <is>
          <t>Apply vendor patches</t>
        </is>
      </c>
      <c r="P812" s="187" t="inlineStr">
        <is>
          <t>svelte svelte *</t>
        </is>
      </c>
      <c r="Q812" s="187" t="inlineStr">
        <is>
          <t>P4</t>
        </is>
      </c>
      <c r="R812" s="187" t="inlineStr">
        <is>
          <t>📅 Schedule patch deployment within 30 days | 🔍 Monitor for exploitation attempts</t>
        </is>
      </c>
      <c r="S812" s="187" t="inlineStr">
        <is>
          <t>CVE - IP enrichment n/a</t>
        </is>
      </c>
      <c r="T812" s="187" t="n">
        <v>0</v>
      </c>
      <c r="U812" s="187" t="n">
        <v>0</v>
      </c>
      <c r="V812" s="187" t="inlineStr">
        <is>
          <t>T1189:Drive-by Compromise</t>
        </is>
      </c>
      <c r="W812" s="187" t="n">
        <v>1</v>
      </c>
      <c r="X812" s="187" t="inlineStr">
        <is>
          <t>LOW (40%)</t>
        </is>
      </c>
      <c r="Y812" s="187" t="inlineStr">
        <is>
          <t>UNLIKELY</t>
        </is>
      </c>
      <c r="Z812" s="187" t="inlineStr">
        <is>
          <t>PATCH_AVAILABLE</t>
        </is>
      </c>
      <c r="AA812" s="187" t="inlineStr">
        <is>
          <t>https://nvd.nist.gov/vuln/detail/CVE-2026-27119</t>
        </is>
      </c>
      <c r="AB812" s="187" t="inlineStr">
        <is>
          <t>NONE</t>
        </is>
      </c>
      <c r="AC812" s="187" t="n">
        <v>0</v>
      </c>
      <c r="AD812" s="187" t="inlineStr"/>
    </row>
    <row r="813">
      <c r="A813" s="187" t="inlineStr">
        <is>
          <t>CVE</t>
        </is>
      </c>
      <c r="B813" s="187" t="inlineStr">
        <is>
          <t>CVE-2026-27121</t>
        </is>
      </c>
      <c r="C813" s="187" t="inlineStr">
        <is>
          <t>svelte performance oriented web framework. Versions of svelte prior to 5.51.5 are vulnerable to cross-site scripting (XSS) during server-side rendering. When using spread syntax to render attributes from untrusted data, event handler properties are included in the rendered HTML output. If an application spreads user-controlled or external data as element attributes, an attacker can inject malicious event handlers that execute in victims' browsers. This vulnerability is fixed in 5.51.5.</t>
        </is>
      </c>
      <c r="D813" s="187" t="n">
        <v>5.4</v>
      </c>
      <c r="E813" s="187" t="inlineStr">
        <is>
          <t>MEDIUM</t>
        </is>
      </c>
      <c r="F813" s="187" t="n">
        <v>2</v>
      </c>
      <c r="G813" s="187" t="n">
        <v>2</v>
      </c>
      <c r="H813" s="187" t="inlineStr">
        <is>
          <t>MEDIUM</t>
        </is>
      </c>
      <c r="I813" s="187" t="n">
        <v>9.4</v>
      </c>
      <c r="J813" s="187" t="inlineStr">
        <is>
          <t>NO</t>
        </is>
      </c>
      <c r="K813" s="187" t="inlineStr">
        <is>
          <t>https://nvd.nist.gov/vuln/detail/CVE-2026-27121</t>
        </is>
      </c>
      <c r="L813" s="187" t="inlineStr">
        <is>
          <t>2026-02-26 00:15</t>
        </is>
      </c>
      <c r="M813" s="187" t="inlineStr">
        <is>
          <t>YES</t>
        </is>
      </c>
      <c r="N813" s="187" t="inlineStr">
        <is>
          <t>https://github.com/sveltejs/svelte/security/advisories/GHSA-f7gr-6p89-r883</t>
        </is>
      </c>
      <c r="O813" s="187" t="inlineStr">
        <is>
          <t>Apply vendor patches</t>
        </is>
      </c>
      <c r="P813" s="187" t="inlineStr">
        <is>
          <t>svelte svelte *</t>
        </is>
      </c>
      <c r="Q813" s="187" t="inlineStr">
        <is>
          <t>P4</t>
        </is>
      </c>
      <c r="R813" s="187" t="inlineStr">
        <is>
          <t>📅 Schedule patch deployment within 30 days | 🔍 Monitor for exploitation attempts</t>
        </is>
      </c>
      <c r="S813" s="187" t="inlineStr">
        <is>
          <t>CVE - IP enrichment n/a</t>
        </is>
      </c>
      <c r="T813" s="187" t="n">
        <v>0</v>
      </c>
      <c r="U813" s="187" t="n">
        <v>0</v>
      </c>
      <c r="V813" s="187" t="inlineStr">
        <is>
          <t>T1189:Drive-by Compromise</t>
        </is>
      </c>
      <c r="W813" s="187" t="n">
        <v>1</v>
      </c>
      <c r="X813" s="187" t="inlineStr">
        <is>
          <t>LOW (40%)</t>
        </is>
      </c>
      <c r="Y813" s="187" t="inlineStr">
        <is>
          <t>UNLIKELY</t>
        </is>
      </c>
      <c r="Z813" s="187" t="inlineStr">
        <is>
          <t>PATCH_AVAILABLE</t>
        </is>
      </c>
      <c r="AA813" s="187" t="inlineStr">
        <is>
          <t>https://nvd.nist.gov/vuln/detail/CVE-2026-27121</t>
        </is>
      </c>
      <c r="AB813" s="187" t="inlineStr">
        <is>
          <t>NONE</t>
        </is>
      </c>
      <c r="AC813" s="187" t="n">
        <v>0</v>
      </c>
      <c r="AD813" s="187" t="inlineStr"/>
    </row>
    <row r="814">
      <c r="A814" s="187" t="inlineStr">
        <is>
          <t>CVE</t>
        </is>
      </c>
      <c r="B814" s="187" t="inlineStr">
        <is>
          <t>CVE-2026-27122</t>
        </is>
      </c>
      <c r="C814" s="187" t="inlineStr">
        <is>
          <t>svelte performance oriented web framework. Prior to 5.51.5, when using in server-side rendering, the provided tag name is not validated or sanitized before being emitted into the HTML output. If the tag string contains unexpected characters, it can result in HTML injection in the SSR output. Client-side rendering is not affected. This vulnerability is fixed in 5.51.5.</t>
        </is>
      </c>
      <c r="D814" s="187" t="n">
        <v>5.4</v>
      </c>
      <c r="E814" s="187" t="inlineStr">
        <is>
          <t>MEDIUM</t>
        </is>
      </c>
      <c r="F814" s="187" t="n">
        <v>2</v>
      </c>
      <c r="G814" s="187" t="n">
        <v>2</v>
      </c>
      <c r="H814" s="187" t="inlineStr">
        <is>
          <t>MEDIUM</t>
        </is>
      </c>
      <c r="I814" s="187" t="n">
        <v>9.4</v>
      </c>
      <c r="J814" s="187" t="inlineStr">
        <is>
          <t>NO</t>
        </is>
      </c>
      <c r="K814" s="187" t="inlineStr">
        <is>
          <t>https://nvd.nist.gov/vuln/detail/CVE-2026-27122</t>
        </is>
      </c>
      <c r="L814" s="187" t="inlineStr">
        <is>
          <t>2026-02-26 00:15</t>
        </is>
      </c>
      <c r="M814" s="187" t="inlineStr">
        <is>
          <t>YES</t>
        </is>
      </c>
      <c r="N814" s="187" t="inlineStr">
        <is>
          <t>https://github.com/sveltejs/svelte/security/advisories/GHSA-m56q-vw4c-c2cp</t>
        </is>
      </c>
      <c r="O814" s="187" t="inlineStr">
        <is>
          <t>Apply vendor patches</t>
        </is>
      </c>
      <c r="P814" s="187" t="inlineStr">
        <is>
          <t>svelte svelte *</t>
        </is>
      </c>
      <c r="Q814" s="187" t="inlineStr">
        <is>
          <t>P4</t>
        </is>
      </c>
      <c r="R814" s="187" t="inlineStr">
        <is>
          <t>📅 Schedule patch deployment within 30 days | 🔍 Monitor for exploitation attempts</t>
        </is>
      </c>
      <c r="S814" s="187" t="inlineStr">
        <is>
          <t>CVE - IP enrichment n/a</t>
        </is>
      </c>
      <c r="T814" s="187" t="n">
        <v>0.0003</v>
      </c>
      <c r="U814" s="187" t="n">
        <v>0.0732</v>
      </c>
      <c r="V814" s="187" t="inlineStr">
        <is>
          <t>T1189:Drive-by Compromise</t>
        </is>
      </c>
      <c r="W814" s="187" t="n">
        <v>1</v>
      </c>
      <c r="X814" s="187" t="inlineStr">
        <is>
          <t>LOW (40%)</t>
        </is>
      </c>
      <c r="Y814" s="187" t="inlineStr">
        <is>
          <t>UNLIKELY</t>
        </is>
      </c>
      <c r="Z814" s="187" t="inlineStr">
        <is>
          <t>PATCH_AVAILABLE</t>
        </is>
      </c>
      <c r="AA814" s="187" t="inlineStr">
        <is>
          <t>https://nvd.nist.gov/vuln/detail/CVE-2026-27122</t>
        </is>
      </c>
      <c r="AB814" s="187" t="inlineStr">
        <is>
          <t>NONE</t>
        </is>
      </c>
      <c r="AC814" s="187" t="n">
        <v>0</v>
      </c>
      <c r="AD814" s="187" t="inlineStr"/>
    </row>
    <row r="815">
      <c r="A815" s="187" t="inlineStr">
        <is>
          <t>CVE</t>
        </is>
      </c>
      <c r="B815" s="187" t="inlineStr">
        <is>
          <t>CVE-2026-27125</t>
        </is>
      </c>
      <c r="C815" s="187" t="inlineStr">
        <is>
          <t>svelte performance oriented web framework. Prior to 5.51.5, in server-side rendering, attribute spreading on elements (e.g. ) enumerates inherited properties from the object's prototype chain rather than only own properties. In environments where Object.prototype has already been polluted — a precondition outside of Svelte's control — this can cause unexpected attributes to appear in SSR output or cause SSR to throw errors. Client-side rendering is not affected. This vulnerability is fixed in 5.</t>
        </is>
      </c>
      <c r="D815" s="187" t="n">
        <v>6.8</v>
      </c>
      <c r="E815" s="187" t="inlineStr">
        <is>
          <t>MEDIUM</t>
        </is>
      </c>
      <c r="F815" s="187" t="n">
        <v>2</v>
      </c>
      <c r="G815" s="187" t="n">
        <v>2</v>
      </c>
      <c r="H815" s="187" t="inlineStr">
        <is>
          <t>MEDIUM</t>
        </is>
      </c>
      <c r="I815" s="187" t="n">
        <v>10.8</v>
      </c>
      <c r="J815" s="187" t="inlineStr">
        <is>
          <t>NO</t>
        </is>
      </c>
      <c r="K815" s="187" t="inlineStr">
        <is>
          <t>https://nvd.nist.gov/vuln/detail/CVE-2026-27125</t>
        </is>
      </c>
      <c r="L815" s="187" t="inlineStr">
        <is>
          <t>2026-02-26 00:15</t>
        </is>
      </c>
      <c r="M815" s="187" t="inlineStr">
        <is>
          <t>YES</t>
        </is>
      </c>
      <c r="N815" s="187" t="inlineStr">
        <is>
          <t>https://github.com/sveltejs/svelte/commit/73098bb26c6f06e7fd1b0746d817d2c5ee90755f | https://github.com/sveltejs/svelte/security/advisories/GHSA-crpf-4hrx-3jrp</t>
        </is>
      </c>
      <c r="O815" s="187" t="inlineStr">
        <is>
          <t>Apply vendor patches</t>
        </is>
      </c>
      <c r="P815" s="187" t="inlineStr">
        <is>
          <t>svelte svelte *</t>
        </is>
      </c>
      <c r="Q815" s="187" t="inlineStr">
        <is>
          <t>P4</t>
        </is>
      </c>
      <c r="R815" s="187" t="inlineStr">
        <is>
          <t>📅 Schedule patch deployment within 30 days | 🔍 Monitor for exploitation attempts</t>
        </is>
      </c>
      <c r="S815" s="187" t="inlineStr">
        <is>
          <t>CVE - IP enrichment n/a</t>
        </is>
      </c>
      <c r="T815" s="187" t="n">
        <v>0</v>
      </c>
      <c r="U815" s="187" t="n">
        <v>0</v>
      </c>
      <c r="V815" s="187" t="inlineStr">
        <is>
          <t>T1190:Exploit Public-Facing Application</t>
        </is>
      </c>
      <c r="W815" s="187" t="n">
        <v>1</v>
      </c>
      <c r="X815" s="187" t="inlineStr">
        <is>
          <t>LOW (40%)</t>
        </is>
      </c>
      <c r="Y815" s="187" t="inlineStr">
        <is>
          <t>UNLIKELY</t>
        </is>
      </c>
      <c r="Z815" s="187" t="inlineStr">
        <is>
          <t>PATCH_AVAILABLE</t>
        </is>
      </c>
      <c r="AA815" s="187" t="inlineStr">
        <is>
          <t>https://nvd.nist.gov/vuln/detail/CVE-2026-27125</t>
        </is>
      </c>
      <c r="AB815" s="187" t="inlineStr">
        <is>
          <t>NONE</t>
        </is>
      </c>
      <c r="AC815" s="187" t="n">
        <v>0</v>
      </c>
      <c r="AD815" s="187" t="inlineStr"/>
    </row>
    <row r="816">
      <c r="A816" s="187" t="inlineStr">
        <is>
          <t>CVE</t>
        </is>
      </c>
      <c r="B816" s="187" t="inlineStr">
        <is>
          <t>CVE-2026-27133</t>
        </is>
      </c>
      <c r="C816" s="187" t="inlineStr">
        <is>
          <t>Strimzi provides a way to run an Apache Kafka cluster on Kubernetes or OpenShift in various deployment configurations. From 0.47.0 to before 0.50.1, when a chain consisting of multiple CA (Certificate Authority) certificates is used in the trusted certificates configuration of a Kafka Connect operand or of the target cluster in the Kafka MirrorMaker 2 operand, all of the certificates that are part of the CA chain will be trusted individually when connecting to the Apache Kafka cluster. Due to th</t>
        </is>
      </c>
      <c r="D816" s="187" t="n">
        <v>5.9</v>
      </c>
      <c r="E816" s="187" t="inlineStr">
        <is>
          <t>MEDIUM</t>
        </is>
      </c>
      <c r="F816" s="187" t="n">
        <v>2</v>
      </c>
      <c r="G816" s="187" t="n">
        <v>2</v>
      </c>
      <c r="H816" s="187" t="inlineStr">
        <is>
          <t>MEDIUM</t>
        </is>
      </c>
      <c r="I816" s="187" t="n">
        <v>9.9</v>
      </c>
      <c r="J816" s="187" t="inlineStr">
        <is>
          <t>NO</t>
        </is>
      </c>
      <c r="K816" s="187" t="inlineStr">
        <is>
          <t>https://nvd.nist.gov/vuln/detail/CVE-2026-27133</t>
        </is>
      </c>
      <c r="L816" s="187" t="inlineStr">
        <is>
          <t>2026-02-26 00:15</t>
        </is>
      </c>
      <c r="M816" s="187" t="inlineStr">
        <is>
          <t>YES</t>
        </is>
      </c>
      <c r="N816" s="187" t="inlineStr">
        <is>
          <t>https://github.com/strimzi/strimzi-kafka-operator/security/advisories/GHSA-6x85-j2f7-4xc5</t>
        </is>
      </c>
      <c r="O816" s="187" t="inlineStr">
        <is>
          <t>Apply vendor patches</t>
        </is>
      </c>
      <c r="P816" s="187" t="inlineStr">
        <is>
          <t>linuxfoundation strimzi_kafka_operator *</t>
        </is>
      </c>
      <c r="Q816" s="187" t="inlineStr">
        <is>
          <t>P4</t>
        </is>
      </c>
      <c r="R816" s="187" t="inlineStr">
        <is>
          <t>📅 Schedule patch deployment within 30 days | 🔍 Monitor for exploitation attempts</t>
        </is>
      </c>
      <c r="S816" s="187" t="inlineStr">
        <is>
          <t>CVE - IP enrichment n/a</t>
        </is>
      </c>
      <c r="T816" s="187" t="n">
        <v>0</v>
      </c>
      <c r="U816" s="187" t="n">
        <v>0</v>
      </c>
      <c r="V816" s="187" t="inlineStr">
        <is>
          <t>T1190:Exploit Public-Facing Application</t>
        </is>
      </c>
      <c r="W816" s="187" t="n">
        <v>1</v>
      </c>
      <c r="X816" s="187" t="inlineStr">
        <is>
          <t>LOW (40%)</t>
        </is>
      </c>
      <c r="Y816" s="187" t="inlineStr">
        <is>
          <t>UNLIKELY</t>
        </is>
      </c>
      <c r="Z816" s="187" t="inlineStr">
        <is>
          <t>PATCH_AVAILABLE</t>
        </is>
      </c>
      <c r="AA816" s="187" t="inlineStr">
        <is>
          <t>https://nvd.nist.gov/vuln/detail/CVE-2026-27133</t>
        </is>
      </c>
      <c r="AB816" s="187" t="inlineStr">
        <is>
          <t>NONE</t>
        </is>
      </c>
      <c r="AC816" s="187" t="n">
        <v>0</v>
      </c>
      <c r="AD816" s="187" t="inlineStr"/>
    </row>
    <row r="817">
      <c r="A817" s="188" t="inlineStr">
        <is>
          <t>CVE</t>
        </is>
      </c>
      <c r="B817" s="188" t="inlineStr">
        <is>
          <t>CVE-2026-2033</t>
        </is>
      </c>
      <c r="C817" s="188" t="inlineStr">
        <is>
          <t>MLflow Tracking Server Artifact Handler Directory Traversal Remote Code Execution Vulnerability. This vulnerability allows remote attackers to execute arbitrary code on affected installations of MLflow Tracking Server. Authentication is not required to exploit this vulnerability.
The specific flaw exists within the handling of artifact file paths. The issue results from the lack of proper validation of a user-supplied path prior to using it in file operations. An attacker can leverage this vuln</t>
        </is>
      </c>
      <c r="D817" s="188" t="n">
        <v>8.1</v>
      </c>
      <c r="E817" s="188" t="inlineStr">
        <is>
          <t>HIGH</t>
        </is>
      </c>
      <c r="F817" s="188" t="n">
        <v>2</v>
      </c>
      <c r="G817" s="188" t="n">
        <v>3</v>
      </c>
      <c r="H817" s="188" t="inlineStr">
        <is>
          <t>HIGH</t>
        </is>
      </c>
      <c r="I817" s="188" t="n">
        <v>14.1</v>
      </c>
      <c r="J817" s="188" t="inlineStr">
        <is>
          <t>NO</t>
        </is>
      </c>
      <c r="K817" s="188" t="inlineStr">
        <is>
          <t>https://nvd.nist.gov/vuln/detail/CVE-2026-2033</t>
        </is>
      </c>
      <c r="L817" s="188" t="inlineStr">
        <is>
          <t>2026-02-26 00:15</t>
        </is>
      </c>
      <c r="M817" s="188" t="inlineStr">
        <is>
          <t>CHECK_VENDOR</t>
        </is>
      </c>
      <c r="N817" s="188" t="inlineStr">
        <is>
          <t>See NVD references</t>
        </is>
      </c>
      <c r="O817" s="188" t="inlineStr">
        <is>
          <t>Apply vendor patches</t>
        </is>
      </c>
      <c r="P817" s="188" t="inlineStr">
        <is>
          <t>See CVE details</t>
        </is>
      </c>
      <c r="Q817" s="188" t="inlineStr">
        <is>
          <t>P1</t>
        </is>
      </c>
      <c r="R817" s="188" t="inlineStr">
        <is>
          <t>🚨 URGENT: Apply vendor patches immediately | 🔒 Isolate affected systems if patch unavailable | 🛡️ Enable additional monitoring/IDS rules</t>
        </is>
      </c>
      <c r="S817" s="188" t="inlineStr">
        <is>
          <t>CVE - IP enrichment n/a</t>
        </is>
      </c>
      <c r="T817" s="188" t="n">
        <v>0</v>
      </c>
      <c r="U817" s="188" t="n">
        <v>0</v>
      </c>
      <c r="V817" s="188" t="inlineStr">
        <is>
          <t>T1083:File and Directory Discovery | T1190:Exploit Public-Facing Application | T1210:Exploitation of Remote Services</t>
        </is>
      </c>
      <c r="W817" s="188" t="n">
        <v>2</v>
      </c>
      <c r="X817" s="188" t="inlineStr">
        <is>
          <t>HIGH (72%)</t>
        </is>
      </c>
      <c r="Y817" s="188" t="inlineStr">
        <is>
          <t>HIGH</t>
        </is>
      </c>
      <c r="Z817" s="188" t="inlineStr">
        <is>
          <t>CHECK_VENDOR</t>
        </is>
      </c>
      <c r="AA817" s="188" t="inlineStr">
        <is>
          <t>https://nvd.nist.gov/vuln/detail/CVE-2026-2033</t>
        </is>
      </c>
      <c r="AB817" s="188" t="inlineStr">
        <is>
          <t>http://www.zerodayinitiative.com/advisories/ZDI-26-105/</t>
        </is>
      </c>
      <c r="AC817" s="188" t="n">
        <v>0</v>
      </c>
      <c r="AD817" s="188" t="inlineStr"/>
    </row>
    <row r="818">
      <c r="A818" s="188" t="inlineStr">
        <is>
          <t>CVE</t>
        </is>
      </c>
      <c r="B818" s="188" t="inlineStr">
        <is>
          <t>CVE-2026-2034</t>
        </is>
      </c>
      <c r="C818" s="188" t="inlineStr">
        <is>
          <t>Sante DICOM Viewer Pro DCM File Parsing Buffer Overflow Remote Code Execution Vulnerability. This vulnerability allows remote attackers to execute arbitrary code on affected installations of Sante DICOM Viewer Pro. User interaction is required to exploit this vulnerability in that the target must visit a malicious page or open a malicious file.
The specific flaw exists within the parsing of DCM files. The issue results from the lack of proper validation of the length of user-supplied data prior</t>
        </is>
      </c>
      <c r="D818" s="188" t="n">
        <v>7.8</v>
      </c>
      <c r="E818" s="188" t="inlineStr">
        <is>
          <t>HIGH</t>
        </is>
      </c>
      <c r="F818" s="188" t="n">
        <v>2</v>
      </c>
      <c r="G818" s="188" t="n">
        <v>3</v>
      </c>
      <c r="H818" s="188" t="inlineStr">
        <is>
          <t>HIGH</t>
        </is>
      </c>
      <c r="I818" s="188" t="n">
        <v>13.8</v>
      </c>
      <c r="J818" s="188" t="inlineStr">
        <is>
          <t>NO</t>
        </is>
      </c>
      <c r="K818" s="188" t="inlineStr">
        <is>
          <t>https://nvd.nist.gov/vuln/detail/CVE-2026-2034</t>
        </is>
      </c>
      <c r="L818" s="188" t="inlineStr">
        <is>
          <t>2026-02-26 00:15</t>
        </is>
      </c>
      <c r="M818" s="188" t="inlineStr">
        <is>
          <t>CHECK_VENDOR</t>
        </is>
      </c>
      <c r="N818" s="188" t="inlineStr">
        <is>
          <t>See NVD references</t>
        </is>
      </c>
      <c r="O818" s="188" t="inlineStr">
        <is>
          <t>Apply vendor patches</t>
        </is>
      </c>
      <c r="P818" s="188" t="inlineStr">
        <is>
          <t>See CVE details</t>
        </is>
      </c>
      <c r="Q818" s="188" t="inlineStr">
        <is>
          <t>P1</t>
        </is>
      </c>
      <c r="R818" s="188" t="inlineStr">
        <is>
          <t>🚨 URGENT: Apply vendor patches immediately | 🔒 Isolate affected systems if patch unavailable | 🛡️ Enable additional monitoring/IDS rules</t>
        </is>
      </c>
      <c r="S818" s="188" t="inlineStr">
        <is>
          <t>CVE - IP enrichment n/a</t>
        </is>
      </c>
      <c r="T818" s="188" t="n">
        <v>0</v>
      </c>
      <c r="U818" s="188" t="n">
        <v>0</v>
      </c>
      <c r="V818" s="188" t="inlineStr">
        <is>
          <t>T1203:Exploitation for Client Execution | T1190:Exploit Public-Facing Application | T1210:Exploitation of Remote Services</t>
        </is>
      </c>
      <c r="W818" s="188" t="n">
        <v>2</v>
      </c>
      <c r="X818" s="188" t="inlineStr">
        <is>
          <t>HIGH (72%)</t>
        </is>
      </c>
      <c r="Y818" s="188" t="inlineStr">
        <is>
          <t>HIGH</t>
        </is>
      </c>
      <c r="Z818" s="188" t="inlineStr">
        <is>
          <t>CHECK_VENDOR</t>
        </is>
      </c>
      <c r="AA818" s="188" t="inlineStr">
        <is>
          <t>https://nvd.nist.gov/vuln/detail/CVE-2026-2034</t>
        </is>
      </c>
      <c r="AB818" s="188" t="inlineStr">
        <is>
          <t>http://www.zerodayinitiative.com/advisories/ZDI-26-104/</t>
        </is>
      </c>
      <c r="AC818" s="188" t="n">
        <v>0</v>
      </c>
      <c r="AD818" s="188" t="inlineStr"/>
    </row>
    <row r="819">
      <c r="A819" s="187" t="inlineStr">
        <is>
          <t>CVE</t>
        </is>
      </c>
      <c r="B819" s="187" t="inlineStr">
        <is>
          <t>CVE-2026-2035</t>
        </is>
      </c>
      <c r="C819" s="187" t="inlineStr">
        <is>
          <t>Deciso OPNsense diag_backup.php filename Command Injection Remote Code Execution Vulnerability. This vulnerability allows network-adjacent attackers to execute arbitrary code on affected installations of Deciso OPNsense. Authentication is required to exploit this vulnerability.
The specific flaw exists within the handling of backup configuration files. The issue results from the lack of proper validation of a user-supplied string before using it to execute a system call. An attacker can leverag</t>
        </is>
      </c>
      <c r="D819" s="187" t="n">
        <v>6.8</v>
      </c>
      <c r="E819" s="187" t="inlineStr">
        <is>
          <t>MEDIUM</t>
        </is>
      </c>
      <c r="F819" s="187" t="n">
        <v>2</v>
      </c>
      <c r="G819" s="187" t="n">
        <v>2</v>
      </c>
      <c r="H819" s="187" t="inlineStr">
        <is>
          <t>MEDIUM</t>
        </is>
      </c>
      <c r="I819" s="187" t="n">
        <v>10.8</v>
      </c>
      <c r="J819" s="187" t="inlineStr">
        <is>
          <t>NO</t>
        </is>
      </c>
      <c r="K819" s="187" t="inlineStr">
        <is>
          <t>https://nvd.nist.gov/vuln/detail/CVE-2026-2035</t>
        </is>
      </c>
      <c r="L819" s="187" t="inlineStr">
        <is>
          <t>2026-02-26 00:15</t>
        </is>
      </c>
      <c r="M819" s="187" t="inlineStr">
        <is>
          <t>CHECK_VENDOR</t>
        </is>
      </c>
      <c r="N819" s="187" t="inlineStr">
        <is>
          <t>See NVD references</t>
        </is>
      </c>
      <c r="O819" s="187" t="inlineStr">
        <is>
          <t>Apply vendor patches</t>
        </is>
      </c>
      <c r="P819" s="187" t="inlineStr">
        <is>
          <t>See CVE details</t>
        </is>
      </c>
      <c r="Q819" s="187" t="inlineStr">
        <is>
          <t>P1</t>
        </is>
      </c>
      <c r="R819" s="187" t="inlineStr">
        <is>
          <t>📅 Schedule patch deployment within 30 days | 🔍 Monitor for exploitation attempts</t>
        </is>
      </c>
      <c r="S819" s="187" t="inlineStr">
        <is>
          <t>CVE - IP enrichment n/a</t>
        </is>
      </c>
      <c r="T819" s="187" t="n">
        <v>0</v>
      </c>
      <c r="U819" s="187" t="n">
        <v>0</v>
      </c>
      <c r="V819" s="187" t="inlineStr">
        <is>
          <t>T1059:Command and Scripting Interpreter | T1190:Exploit Public-Facing Application | T1210:Exploitation of Remote Services</t>
        </is>
      </c>
      <c r="W819" s="187" t="n">
        <v>2</v>
      </c>
      <c r="X819" s="187" t="inlineStr">
        <is>
          <t>HIGH (72%)</t>
        </is>
      </c>
      <c r="Y819" s="187" t="inlineStr">
        <is>
          <t>HIGH</t>
        </is>
      </c>
      <c r="Z819" s="187" t="inlineStr">
        <is>
          <t>CHECK_VENDOR</t>
        </is>
      </c>
      <c r="AA819" s="187" t="inlineStr">
        <is>
          <t>https://nvd.nist.gov/vuln/detail/CVE-2026-2035</t>
        </is>
      </c>
      <c r="AB819" s="187" t="inlineStr">
        <is>
          <t>http://www.zerodayinitiative.com/advisories/ZDI-26-123/</t>
        </is>
      </c>
      <c r="AC819" s="187" t="n">
        <v>0</v>
      </c>
      <c r="AD819" s="187" t="inlineStr"/>
    </row>
    <row r="820">
      <c r="A820" s="188" t="inlineStr">
        <is>
          <t>CVE</t>
        </is>
      </c>
      <c r="B820" s="188" t="inlineStr">
        <is>
          <t>CVE-2026-2036</t>
        </is>
      </c>
      <c r="C820" s="188" t="inlineStr">
        <is>
          <t>GFI Archiver MArc.Store Deserialization of Untrusted Data Remote Code Execution Vulnerability. This vulnerability allows remote attackers to execute arbitrary code on affected installations of GFI Archiver. Although authentication is required to exploit this vulnerability, the existing authentication mechanism can be bypassed.
The specific flaw exists within the configuration of the MArc.Store.Remoting.exe process. The issue results from the lack of proper validation of user-supplied data, whic</t>
        </is>
      </c>
      <c r="D820" s="188" t="n">
        <v>8.800000000000001</v>
      </c>
      <c r="E820" s="188" t="inlineStr">
        <is>
          <t>HIGH</t>
        </is>
      </c>
      <c r="F820" s="188" t="n">
        <v>2</v>
      </c>
      <c r="G820" s="188" t="n">
        <v>3</v>
      </c>
      <c r="H820" s="188" t="inlineStr">
        <is>
          <t>HIGH</t>
        </is>
      </c>
      <c r="I820" s="188" t="n">
        <v>14.8</v>
      </c>
      <c r="J820" s="188" t="inlineStr">
        <is>
          <t>NO</t>
        </is>
      </c>
      <c r="K820" s="188" t="inlineStr">
        <is>
          <t>https://nvd.nist.gov/vuln/detail/CVE-2026-2036</t>
        </is>
      </c>
      <c r="L820" s="188" t="inlineStr">
        <is>
          <t>2026-02-26 00:15</t>
        </is>
      </c>
      <c r="M820" s="188" t="inlineStr">
        <is>
          <t>CHECK_VENDOR</t>
        </is>
      </c>
      <c r="N820" s="188" t="inlineStr">
        <is>
          <t>See NVD references</t>
        </is>
      </c>
      <c r="O820" s="188" t="inlineStr">
        <is>
          <t>Apply vendor patches</t>
        </is>
      </c>
      <c r="P820" s="188" t="inlineStr">
        <is>
          <t>gfi archiver 15.10</t>
        </is>
      </c>
      <c r="Q820" s="188" t="inlineStr">
        <is>
          <t>P1</t>
        </is>
      </c>
      <c r="R820" s="188" t="inlineStr">
        <is>
          <t>🚨 URGENT: Apply vendor patches immediately | 🔒 Isolate affected systems if patch unavailable | 🛡️ Enable additional monitoring/IDS rules</t>
        </is>
      </c>
      <c r="S820" s="188" t="inlineStr">
        <is>
          <t>CVE - IP enrichment n/a</t>
        </is>
      </c>
      <c r="T820" s="188" t="n">
        <v>0</v>
      </c>
      <c r="U820" s="188" t="n">
        <v>0</v>
      </c>
      <c r="V820" s="188" t="inlineStr">
        <is>
          <t>T1059:Command and Scripting Interpreter | T1190:Exploit Public-Facing Application | T1210:Exploitation of Remote Services</t>
        </is>
      </c>
      <c r="W820" s="188" t="n">
        <v>2</v>
      </c>
      <c r="X820" s="188" t="inlineStr">
        <is>
          <t>HIGH (72%)</t>
        </is>
      </c>
      <c r="Y820" s="188" t="inlineStr">
        <is>
          <t>HIGH</t>
        </is>
      </c>
      <c r="Z820" s="188" t="inlineStr">
        <is>
          <t>CHECK_VENDOR</t>
        </is>
      </c>
      <c r="AA820" s="188" t="inlineStr">
        <is>
          <t>https://nvd.nist.gov/vuln/detail/CVE-2026-2036</t>
        </is>
      </c>
      <c r="AB820" s="188" t="inlineStr">
        <is>
          <t>http://www.zerodayinitiative.com/advisories/ZDI-26-123/</t>
        </is>
      </c>
      <c r="AC820" s="188" t="n">
        <v>0</v>
      </c>
      <c r="AD820" s="188" t="inlineStr"/>
    </row>
    <row r="821">
      <c r="A821" s="188" t="inlineStr">
        <is>
          <t>CVE</t>
        </is>
      </c>
      <c r="B821" s="188" t="inlineStr">
        <is>
          <t>CVE-2026-2037</t>
        </is>
      </c>
      <c r="C821" s="188" t="inlineStr">
        <is>
          <t>GFI Archiver MArc.Core Deserialization of Untrusted Data Remote Code Execution Vulnerability. This vulnerability allows remote attackers to execute arbitrary code on affected installations of GFI Archiver. Although authentication is required to exploit this vulnerability, the existing authentication mechanism can be bypassed.
The specific flaw exists within the configuration of the MArc.Core.Remoting.exe process, which listens on port 8017. The issue results from the lack of proper validation o</t>
        </is>
      </c>
      <c r="D821" s="188" t="n">
        <v>8.800000000000001</v>
      </c>
      <c r="E821" s="188" t="inlineStr">
        <is>
          <t>HIGH</t>
        </is>
      </c>
      <c r="F821" s="188" t="n">
        <v>2</v>
      </c>
      <c r="G821" s="188" t="n">
        <v>3</v>
      </c>
      <c r="H821" s="188" t="inlineStr">
        <is>
          <t>HIGH</t>
        </is>
      </c>
      <c r="I821" s="188" t="n">
        <v>14.8</v>
      </c>
      <c r="J821" s="188" t="inlineStr">
        <is>
          <t>NO</t>
        </is>
      </c>
      <c r="K821" s="188" t="inlineStr">
        <is>
          <t>https://nvd.nist.gov/vuln/detail/CVE-2026-2037</t>
        </is>
      </c>
      <c r="L821" s="188" t="inlineStr">
        <is>
          <t>2026-02-26 00:15</t>
        </is>
      </c>
      <c r="M821" s="188" t="inlineStr">
        <is>
          <t>CHECK_VENDOR</t>
        </is>
      </c>
      <c r="N821" s="188" t="inlineStr">
        <is>
          <t>See NVD references</t>
        </is>
      </c>
      <c r="O821" s="188" t="inlineStr">
        <is>
          <t>Apply vendor patches</t>
        </is>
      </c>
      <c r="P821" s="188" t="inlineStr">
        <is>
          <t>gfi archiver 15.10</t>
        </is>
      </c>
      <c r="Q821" s="188" t="inlineStr">
        <is>
          <t>P1</t>
        </is>
      </c>
      <c r="R821" s="188" t="inlineStr">
        <is>
          <t>🚨 URGENT: Apply vendor patches immediately | 🔒 Isolate affected systems if patch unavailable | 🛡️ Enable additional monitoring/IDS rules</t>
        </is>
      </c>
      <c r="S821" s="188" t="inlineStr">
        <is>
          <t>CVE - IP enrichment n/a</t>
        </is>
      </c>
      <c r="T821" s="188" t="n">
        <v>0</v>
      </c>
      <c r="U821" s="188" t="n">
        <v>0</v>
      </c>
      <c r="V821" s="188" t="inlineStr">
        <is>
          <t>T1059:Command and Scripting Interpreter | T1190:Exploit Public-Facing Application | T1210:Exploitation of Remote Services</t>
        </is>
      </c>
      <c r="W821" s="188" t="n">
        <v>2</v>
      </c>
      <c r="X821" s="188" t="inlineStr">
        <is>
          <t>HIGH (72%)</t>
        </is>
      </c>
      <c r="Y821" s="188" t="inlineStr">
        <is>
          <t>HIGH</t>
        </is>
      </c>
      <c r="Z821" s="188" t="inlineStr">
        <is>
          <t>CHECK_VENDOR</t>
        </is>
      </c>
      <c r="AA821" s="188" t="inlineStr">
        <is>
          <t>https://nvd.nist.gov/vuln/detail/CVE-2026-2037</t>
        </is>
      </c>
      <c r="AB821" s="188" t="inlineStr">
        <is>
          <t>http://www.zerodayinitiative.com/advisories/ZDI-26-123/</t>
        </is>
      </c>
      <c r="AC821" s="188" t="n">
        <v>0</v>
      </c>
      <c r="AD821" s="188" t="inlineStr"/>
    </row>
    <row r="822">
      <c r="A822" s="189" t="inlineStr">
        <is>
          <t>CVE</t>
        </is>
      </c>
      <c r="B822" s="189" t="inlineStr">
        <is>
          <t>CVE-2026-2038</t>
        </is>
      </c>
      <c r="C822" s="189" t="inlineStr">
        <is>
          <t>GFI Archiver MArc.Core Missing Authorization Authentication Bypass Vulnerability. This vulnerability allows remote attackers to bypass authentication on affected installations of GFI Archiver. Authentication is not required to exploit this vulnerability.
The specific flaw exists within the configuration of the MArc.Core.Remoting.exe process, which listens on port 8017. The issue results from the lack of authorization prior to allowing access to functionality. An attacker can leverage this in co</t>
        </is>
      </c>
      <c r="D822" s="189" t="n">
        <v>9.800000000000001</v>
      </c>
      <c r="E822" s="189" t="inlineStr">
        <is>
          <t>CRITICAL</t>
        </is>
      </c>
      <c r="F822" s="189" t="n">
        <v>2</v>
      </c>
      <c r="G822" s="189" t="n">
        <v>3</v>
      </c>
      <c r="H822" s="189" t="inlineStr">
        <is>
          <t>HIGH</t>
        </is>
      </c>
      <c r="I822" s="189" t="n">
        <v>15.8</v>
      </c>
      <c r="J822" s="189" t="inlineStr">
        <is>
          <t>NO</t>
        </is>
      </c>
      <c r="K822" s="189" t="inlineStr">
        <is>
          <t>https://nvd.nist.gov/vuln/detail/CVE-2026-2038</t>
        </is>
      </c>
      <c r="L822" s="189" t="inlineStr">
        <is>
          <t>2026-02-26 00:15</t>
        </is>
      </c>
      <c r="M822" s="189" t="inlineStr">
        <is>
          <t>CHECK_VENDOR</t>
        </is>
      </c>
      <c r="N822" s="189" t="inlineStr">
        <is>
          <t>See NVD references</t>
        </is>
      </c>
      <c r="O822" s="189" t="inlineStr">
        <is>
          <t>Apply vendor patches</t>
        </is>
      </c>
      <c r="P822" s="189" t="inlineStr">
        <is>
          <t>gfi archiver 15.10</t>
        </is>
      </c>
      <c r="Q822" s="189" t="inlineStr">
        <is>
          <t>P1</t>
        </is>
      </c>
      <c r="R822" s="189" t="inlineStr">
        <is>
          <t>🚨 URGENT: Apply vendor patches immediately | 🔒 Isolate affected systems if patch unavailable | 🛡️ Enable additional monitoring/IDS rules</t>
        </is>
      </c>
      <c r="S822" s="189" t="inlineStr">
        <is>
          <t>CVE - IP enrichment n/a</t>
        </is>
      </c>
      <c r="T822" s="189" t="n">
        <v>0</v>
      </c>
      <c r="U822" s="189" t="n">
        <v>0</v>
      </c>
      <c r="V822" s="189" t="inlineStr">
        <is>
          <t>T1078:Valid Accounts</t>
        </is>
      </c>
      <c r="W822" s="189" t="n">
        <v>2</v>
      </c>
      <c r="X822" s="189" t="inlineStr">
        <is>
          <t>HIGH (72%)</t>
        </is>
      </c>
      <c r="Y822" s="189" t="inlineStr">
        <is>
          <t>HIGH</t>
        </is>
      </c>
      <c r="Z822" s="189" t="inlineStr">
        <is>
          <t>CHECK_VENDOR</t>
        </is>
      </c>
      <c r="AA822" s="189" t="inlineStr">
        <is>
          <t>https://nvd.nist.gov/vuln/detail/CVE-2026-2038</t>
        </is>
      </c>
      <c r="AB822" s="189" t="inlineStr">
        <is>
          <t>http://www.zerodayinitiative.com/advisories/ZDI-26-123/</t>
        </is>
      </c>
      <c r="AC822" s="189" t="n">
        <v>0</v>
      </c>
      <c r="AD822" s="189" t="inlineStr"/>
    </row>
    <row r="823">
      <c r="A823" s="189" t="inlineStr">
        <is>
          <t>CVE</t>
        </is>
      </c>
      <c r="B823" s="189" t="inlineStr">
        <is>
          <t>CVE-2026-2039</t>
        </is>
      </c>
      <c r="C823" s="189" t="inlineStr">
        <is>
          <t xml:space="preserve">GFI Archiver MArc.Store Missing Authorization Authentication Bypass Vulnerability. This vulnerability allows remote attackers to bypass authentication on affected installations of GFI Archiver. Authentication is not required to exploit this vulnerability.
The specific flaw exists within the configuration of the MArc.Store.Remoting.exe process, which listens on port 8018. The issue results from the lack of authorization prior to allowing access to functionality. An attacker can leverage this in </t>
        </is>
      </c>
      <c r="D823" s="189" t="n">
        <v>9.800000000000001</v>
      </c>
      <c r="E823" s="189" t="inlineStr">
        <is>
          <t>CRITICAL</t>
        </is>
      </c>
      <c r="F823" s="189" t="n">
        <v>2</v>
      </c>
      <c r="G823" s="189" t="n">
        <v>3</v>
      </c>
      <c r="H823" s="189" t="inlineStr">
        <is>
          <t>HIGH</t>
        </is>
      </c>
      <c r="I823" s="189" t="n">
        <v>15.8</v>
      </c>
      <c r="J823" s="189" t="inlineStr">
        <is>
          <t>NO</t>
        </is>
      </c>
      <c r="K823" s="189" t="inlineStr">
        <is>
          <t>https://nvd.nist.gov/vuln/detail/CVE-2026-2039</t>
        </is>
      </c>
      <c r="L823" s="189" t="inlineStr">
        <is>
          <t>2026-02-26 00:15</t>
        </is>
      </c>
      <c r="M823" s="189" t="inlineStr">
        <is>
          <t>CHECK_VENDOR</t>
        </is>
      </c>
      <c r="N823" s="189" t="inlineStr">
        <is>
          <t>See NVD references</t>
        </is>
      </c>
      <c r="O823" s="189" t="inlineStr">
        <is>
          <t>Apply vendor patches</t>
        </is>
      </c>
      <c r="P823" s="189" t="inlineStr">
        <is>
          <t>gfi archiver 15.10</t>
        </is>
      </c>
      <c r="Q823" s="189" t="inlineStr">
        <is>
          <t>P1</t>
        </is>
      </c>
      <c r="R823" s="189" t="inlineStr">
        <is>
          <t>🚨 URGENT: Apply vendor patches immediately | 🔒 Isolate affected systems if patch unavailable | 🛡️ Enable additional monitoring/IDS rules</t>
        </is>
      </c>
      <c r="S823" s="189" t="inlineStr">
        <is>
          <t>CVE - IP enrichment n/a</t>
        </is>
      </c>
      <c r="T823" s="189" t="n">
        <v>0.005</v>
      </c>
      <c r="U823" s="189" t="n">
        <v>0.653</v>
      </c>
      <c r="V823" s="189" t="inlineStr">
        <is>
          <t>T1078:Valid Accounts</t>
        </is>
      </c>
      <c r="W823" s="189" t="n">
        <v>2</v>
      </c>
      <c r="X823" s="189" t="inlineStr">
        <is>
          <t>HIGH (72%)</t>
        </is>
      </c>
      <c r="Y823" s="189" t="inlineStr">
        <is>
          <t>HIGH</t>
        </is>
      </c>
      <c r="Z823" s="189" t="inlineStr">
        <is>
          <t>CHECK_VENDOR</t>
        </is>
      </c>
      <c r="AA823" s="189" t="inlineStr">
        <is>
          <t>https://nvd.nist.gov/vuln/detail/CVE-2026-2039</t>
        </is>
      </c>
      <c r="AB823" s="189" t="inlineStr">
        <is>
          <t>http://www.zerodayinitiative.com/advisories/ZDI-26-123/</t>
        </is>
      </c>
      <c r="AC823" s="189" t="n">
        <v>0</v>
      </c>
      <c r="AD823" s="189" t="inlineStr"/>
    </row>
    <row r="824">
      <c r="A824" s="188" t="inlineStr">
        <is>
          <t>CVE</t>
        </is>
      </c>
      <c r="B824" s="188" t="inlineStr">
        <is>
          <t>CVE-2026-2040</t>
        </is>
      </c>
      <c r="C824" s="188" t="inlineStr">
        <is>
          <t>PDF-XChange Editor TrackerUpdate Uncontrolled Search Path Element Local Privilege Escalation Vulnerability. This vulnerability allows local attackers to escalate privileges on affected installations of PDF-XChange Editor. An attacker must first obtain the ability to execute low-privileged code on the target system in order to exploit this vulnerability.
The specific flaw exists within the TrackerUpdate process. The product loads a library from an unsecured location. An attacker can leverage thi</t>
        </is>
      </c>
      <c r="D824" s="188" t="n">
        <v>7.3</v>
      </c>
      <c r="E824" s="188" t="inlineStr">
        <is>
          <t>HIGH</t>
        </is>
      </c>
      <c r="F824" s="188" t="n">
        <v>2</v>
      </c>
      <c r="G824" s="188" t="n">
        <v>3</v>
      </c>
      <c r="H824" s="188" t="inlineStr">
        <is>
          <t>HIGH</t>
        </is>
      </c>
      <c r="I824" s="188" t="n">
        <v>13.3</v>
      </c>
      <c r="J824" s="188" t="inlineStr">
        <is>
          <t>NO</t>
        </is>
      </c>
      <c r="K824" s="188" t="inlineStr">
        <is>
          <t>https://nvd.nist.gov/vuln/detail/CVE-2026-2040</t>
        </is>
      </c>
      <c r="L824" s="188" t="inlineStr">
        <is>
          <t>2026-02-26 00:15</t>
        </is>
      </c>
      <c r="M824" s="188" t="inlineStr">
        <is>
          <t>CHECK_VENDOR</t>
        </is>
      </c>
      <c r="N824" s="188" t="inlineStr">
        <is>
          <t>See NVD references</t>
        </is>
      </c>
      <c r="O824" s="188" t="inlineStr">
        <is>
          <t>Apply vendor patches</t>
        </is>
      </c>
      <c r="P824" s="188" t="inlineStr">
        <is>
          <t>See CVE details</t>
        </is>
      </c>
      <c r="Q824" s="188" t="inlineStr">
        <is>
          <t>P1</t>
        </is>
      </c>
      <c r="R824" s="188" t="inlineStr">
        <is>
          <t>🚨 URGENT: Apply vendor patches immediately | 🔒 Isolate affected systems if patch unavailable | 🛡️ Enable additional monitoring/IDS rules</t>
        </is>
      </c>
      <c r="S824" s="188" t="inlineStr">
        <is>
          <t>CVE - IP enrichment n/a</t>
        </is>
      </c>
      <c r="T824" s="188" t="n">
        <v>0</v>
      </c>
      <c r="U824" s="188" t="n">
        <v>0</v>
      </c>
      <c r="V824" s="188" t="inlineStr">
        <is>
          <t>T1068:Exploitation for Privilege Escalation</t>
        </is>
      </c>
      <c r="W824" s="188" t="n">
        <v>2</v>
      </c>
      <c r="X824" s="188" t="inlineStr">
        <is>
          <t>HIGH (72%)</t>
        </is>
      </c>
      <c r="Y824" s="188" t="inlineStr">
        <is>
          <t>HIGH</t>
        </is>
      </c>
      <c r="Z824" s="188" t="inlineStr">
        <is>
          <t>CHECK_VENDOR</t>
        </is>
      </c>
      <c r="AA824" s="188" t="inlineStr">
        <is>
          <t>https://nvd.nist.gov/vuln/detail/CVE-2026-2040</t>
        </is>
      </c>
      <c r="AB824" s="188" t="inlineStr">
        <is>
          <t>http://www.zerodayinitiative.com/advisories/ZDI-26-122/</t>
        </is>
      </c>
      <c r="AC824" s="188" t="n">
        <v>0</v>
      </c>
      <c r="AD824" s="188" t="inlineStr"/>
    </row>
    <row r="825">
      <c r="A825" s="188" t="inlineStr">
        <is>
          <t>CVE</t>
        </is>
      </c>
      <c r="B825" s="188" t="inlineStr">
        <is>
          <t>CVE-2026-2041</t>
        </is>
      </c>
      <c r="C825" s="188" t="inlineStr">
        <is>
          <t>Nagios Host zabbixagent_configwizard_func Command Injection Remote Code Execution Vulnerability. This vulnerability allows remote attackers to execute arbitrary code on affected installations of Nagios Host. Authentication is required to exploit this vulnerability.
The specific flaw exists within the zabbixagent_configwizard_func method. The issue results from the lack of proper validation of a user-supplied string before using it to execute a system call. An attacker can leverage this vulnerab</t>
        </is>
      </c>
      <c r="D825" s="188" t="n">
        <v>8.800000000000001</v>
      </c>
      <c r="E825" s="188" t="inlineStr">
        <is>
          <t>HIGH</t>
        </is>
      </c>
      <c r="F825" s="188" t="n">
        <v>2</v>
      </c>
      <c r="G825" s="188" t="n">
        <v>3</v>
      </c>
      <c r="H825" s="188" t="inlineStr">
        <is>
          <t>HIGH</t>
        </is>
      </c>
      <c r="I825" s="188" t="n">
        <v>14.8</v>
      </c>
      <c r="J825" s="188" t="inlineStr">
        <is>
          <t>NO</t>
        </is>
      </c>
      <c r="K825" s="188" t="inlineStr">
        <is>
          <t>https://nvd.nist.gov/vuln/detail/CVE-2026-2041</t>
        </is>
      </c>
      <c r="L825" s="188" t="inlineStr">
        <is>
          <t>2026-02-26 00:15</t>
        </is>
      </c>
      <c r="M825" s="188" t="inlineStr">
        <is>
          <t>CHECK_VENDOR</t>
        </is>
      </c>
      <c r="N825" s="188" t="inlineStr">
        <is>
          <t>See NVD references</t>
        </is>
      </c>
      <c r="O825" s="188" t="inlineStr">
        <is>
          <t>Apply vendor patches</t>
        </is>
      </c>
      <c r="P825" s="188" t="inlineStr">
        <is>
          <t>nagios nagios_xi 2026</t>
        </is>
      </c>
      <c r="Q825" s="188" t="inlineStr">
        <is>
          <t>P1</t>
        </is>
      </c>
      <c r="R825" s="188" t="inlineStr">
        <is>
          <t>🚨 URGENT: Apply vendor patches immediately | 🔒 Isolate affected systems if patch unavailable | 🛡️ Enable additional monitoring/IDS rules</t>
        </is>
      </c>
      <c r="S825" s="188" t="inlineStr">
        <is>
          <t>CVE - IP enrichment n/a</t>
        </is>
      </c>
      <c r="T825" s="188" t="n">
        <v>0</v>
      </c>
      <c r="U825" s="188" t="n">
        <v>0</v>
      </c>
      <c r="V825" s="188" t="inlineStr">
        <is>
          <t>T1059:Command and Scripting Interpreter | T1190:Exploit Public-Facing Application | T1210:Exploitation of Remote Services</t>
        </is>
      </c>
      <c r="W825" s="188" t="n">
        <v>2</v>
      </c>
      <c r="X825" s="188" t="inlineStr">
        <is>
          <t>HIGH (72%)</t>
        </is>
      </c>
      <c r="Y825" s="188" t="inlineStr">
        <is>
          <t>HIGH</t>
        </is>
      </c>
      <c r="Z825" s="188" t="inlineStr">
        <is>
          <t>CHECK_VENDOR</t>
        </is>
      </c>
      <c r="AA825" s="188" t="inlineStr">
        <is>
          <t>https://nvd.nist.gov/vuln/detail/CVE-2026-2041</t>
        </is>
      </c>
      <c r="AB825" s="188" t="inlineStr">
        <is>
          <t>http://www.zerodayinitiative.com/advisories/ZDI-26-123/</t>
        </is>
      </c>
      <c r="AC825" s="188" t="n">
        <v>0</v>
      </c>
      <c r="AD825" s="188" t="inlineStr"/>
    </row>
    <row r="826">
      <c r="A826" s="188" t="inlineStr">
        <is>
          <t>CVE</t>
        </is>
      </c>
      <c r="B826" s="188" t="inlineStr">
        <is>
          <t>CVE-2026-2042</t>
        </is>
      </c>
      <c r="C826" s="188" t="inlineStr">
        <is>
          <t>Nagios Host monitoringwizard Command Injection Remote Code Execution Vulnerability. This vulnerability allows remote attackers to execute arbitrary code on affected installations of Nagios Host. Authentication is required to exploit this vulnerability.
The specific flaw exists within the monitoringwizard module. The issue results from the lack of proper validation of a user-supplied string before using it to execute a system call. An attacker can leverage this vulnerability to execute code in t</t>
        </is>
      </c>
      <c r="D826" s="188" t="n">
        <v>8.800000000000001</v>
      </c>
      <c r="E826" s="188" t="inlineStr">
        <is>
          <t>HIGH</t>
        </is>
      </c>
      <c r="F826" s="188" t="n">
        <v>2</v>
      </c>
      <c r="G826" s="188" t="n">
        <v>3</v>
      </c>
      <c r="H826" s="188" t="inlineStr">
        <is>
          <t>HIGH</t>
        </is>
      </c>
      <c r="I826" s="188" t="n">
        <v>14.8</v>
      </c>
      <c r="J826" s="188" t="inlineStr">
        <is>
          <t>NO</t>
        </is>
      </c>
      <c r="K826" s="188" t="inlineStr">
        <is>
          <t>https://nvd.nist.gov/vuln/detail/CVE-2026-2042</t>
        </is>
      </c>
      <c r="L826" s="188" t="inlineStr">
        <is>
          <t>2026-02-26 00:15</t>
        </is>
      </c>
      <c r="M826" s="188" t="inlineStr">
        <is>
          <t>CHECK_VENDOR</t>
        </is>
      </c>
      <c r="N826" s="188" t="inlineStr">
        <is>
          <t>See NVD references</t>
        </is>
      </c>
      <c r="O826" s="188" t="inlineStr">
        <is>
          <t>Apply vendor patches</t>
        </is>
      </c>
      <c r="P826" s="188" t="inlineStr">
        <is>
          <t>nagios nagios_xi 2026</t>
        </is>
      </c>
      <c r="Q826" s="188" t="inlineStr">
        <is>
          <t>P1</t>
        </is>
      </c>
      <c r="R826" s="188" t="inlineStr">
        <is>
          <t>🚨 URGENT: Apply vendor patches immediately | 🔒 Isolate affected systems if patch unavailable | 🛡️ Enable additional monitoring/IDS rules</t>
        </is>
      </c>
      <c r="S826" s="188" t="inlineStr">
        <is>
          <t>CVE - IP enrichment n/a</t>
        </is>
      </c>
      <c r="T826" s="188" t="n">
        <v>0</v>
      </c>
      <c r="U826" s="188" t="n">
        <v>0</v>
      </c>
      <c r="V826" s="188" t="inlineStr">
        <is>
          <t>T1059:Command and Scripting Interpreter | T1190:Exploit Public-Facing Application | T1210:Exploitation of Remote Services</t>
        </is>
      </c>
      <c r="W826" s="188" t="n">
        <v>2</v>
      </c>
      <c r="X826" s="188" t="inlineStr">
        <is>
          <t>HIGH (72%)</t>
        </is>
      </c>
      <c r="Y826" s="188" t="inlineStr">
        <is>
          <t>HIGH</t>
        </is>
      </c>
      <c r="Z826" s="188" t="inlineStr">
        <is>
          <t>CHECK_VENDOR</t>
        </is>
      </c>
      <c r="AA826" s="188" t="inlineStr">
        <is>
          <t>https://nvd.nist.gov/vuln/detail/CVE-2026-2042</t>
        </is>
      </c>
      <c r="AB826" s="188" t="inlineStr">
        <is>
          <t>http://www.zerodayinitiative.com/advisories/ZDI-26-123/</t>
        </is>
      </c>
      <c r="AC826" s="188" t="n">
        <v>0</v>
      </c>
      <c r="AD826" s="188" t="inlineStr"/>
    </row>
    <row r="827">
      <c r="A827" s="188" t="inlineStr">
        <is>
          <t>CVE</t>
        </is>
      </c>
      <c r="B827" s="188" t="inlineStr">
        <is>
          <t>CVE-2026-2043</t>
        </is>
      </c>
      <c r="C827" s="188" t="inlineStr">
        <is>
          <t>Nagios Host esensors_websensor_configwizard_func Command Injection Remote Code Execution Vulnerability. This vulnerability allows remote attackers to execute arbitrary code on affected installations of Nagios Host. Authentication is required to exploit this vulnerability.
The specific flaw exists within the esensors_websensor_configwizard_func method. The issue results from the lack of proper validation of a user-supplied string before using it to execute a system call. An attacker can leverage</t>
        </is>
      </c>
      <c r="D827" s="188" t="n">
        <v>8.800000000000001</v>
      </c>
      <c r="E827" s="188" t="inlineStr">
        <is>
          <t>HIGH</t>
        </is>
      </c>
      <c r="F827" s="188" t="n">
        <v>2</v>
      </c>
      <c r="G827" s="188" t="n">
        <v>3</v>
      </c>
      <c r="H827" s="188" t="inlineStr">
        <is>
          <t>HIGH</t>
        </is>
      </c>
      <c r="I827" s="188" t="n">
        <v>14.8</v>
      </c>
      <c r="J827" s="188" t="inlineStr">
        <is>
          <t>NO</t>
        </is>
      </c>
      <c r="K827" s="188" t="inlineStr">
        <is>
          <t>https://nvd.nist.gov/vuln/detail/CVE-2026-2043</t>
        </is>
      </c>
      <c r="L827" s="188" t="inlineStr">
        <is>
          <t>2026-02-26 00:15</t>
        </is>
      </c>
      <c r="M827" s="188" t="inlineStr">
        <is>
          <t>CHECK_VENDOR</t>
        </is>
      </c>
      <c r="N827" s="188" t="inlineStr">
        <is>
          <t>See NVD references</t>
        </is>
      </c>
      <c r="O827" s="188" t="inlineStr">
        <is>
          <t>Apply vendor patches</t>
        </is>
      </c>
      <c r="P827" s="188" t="inlineStr">
        <is>
          <t>nagios nagios_xi 2026</t>
        </is>
      </c>
      <c r="Q827" s="188" t="inlineStr">
        <is>
          <t>P1</t>
        </is>
      </c>
      <c r="R827" s="188" t="inlineStr">
        <is>
          <t>🚨 URGENT: Apply vendor patches immediately | 🔒 Isolate affected systems if patch unavailable | 🛡️ Enable additional monitoring/IDS rules</t>
        </is>
      </c>
      <c r="S827" s="188" t="inlineStr">
        <is>
          <t>CVE - IP enrichment n/a</t>
        </is>
      </c>
      <c r="T827" s="188" t="n">
        <v>0</v>
      </c>
      <c r="U827" s="188" t="n">
        <v>0</v>
      </c>
      <c r="V827" s="188" t="inlineStr">
        <is>
          <t>T1059:Command and Scripting Interpreter | T1190:Exploit Public-Facing Application | T1210:Exploitation of Remote Services</t>
        </is>
      </c>
      <c r="W827" s="188" t="n">
        <v>2</v>
      </c>
      <c r="X827" s="188" t="inlineStr">
        <is>
          <t>HIGH (72%)</t>
        </is>
      </c>
      <c r="Y827" s="188" t="inlineStr">
        <is>
          <t>HIGH</t>
        </is>
      </c>
      <c r="Z827" s="188" t="inlineStr">
        <is>
          <t>CHECK_VENDOR</t>
        </is>
      </c>
      <c r="AA827" s="188" t="inlineStr">
        <is>
          <t>https://nvd.nist.gov/vuln/detail/CVE-2026-2043</t>
        </is>
      </c>
      <c r="AB827" s="188" t="inlineStr">
        <is>
          <t>http://www.zerodayinitiative.com/advisories/ZDI-26-123/</t>
        </is>
      </c>
      <c r="AC827" s="188" t="n">
        <v>0</v>
      </c>
      <c r="AD827" s="188" t="inlineStr"/>
    </row>
    <row r="828">
      <c r="A828" s="188" t="inlineStr">
        <is>
          <t>CVE</t>
        </is>
      </c>
      <c r="B828" s="188" t="inlineStr">
        <is>
          <t>CVE-2026-2044</t>
        </is>
      </c>
      <c r="C828" s="188" t="inlineStr">
        <is>
          <t>GIMP PGM File Parsing Uninitialized Memory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PGM files. The issue results from the lack of proper initialization of memory prior to accessing it. An attacker can leverage this vulne</t>
        </is>
      </c>
      <c r="D828" s="188" t="n">
        <v>7.8</v>
      </c>
      <c r="E828" s="188" t="inlineStr">
        <is>
          <t>HIGH</t>
        </is>
      </c>
      <c r="F828" s="188" t="n">
        <v>2</v>
      </c>
      <c r="G828" s="188" t="n">
        <v>3</v>
      </c>
      <c r="H828" s="188" t="inlineStr">
        <is>
          <t>HIGH</t>
        </is>
      </c>
      <c r="I828" s="188" t="n">
        <v>13.8</v>
      </c>
      <c r="J828" s="188" t="inlineStr">
        <is>
          <t>NO</t>
        </is>
      </c>
      <c r="K828" s="188" t="inlineStr">
        <is>
          <t>https://nvd.nist.gov/vuln/detail/CVE-2026-2044</t>
        </is>
      </c>
      <c r="L828" s="188" t="inlineStr">
        <is>
          <t>2026-02-26 00:15</t>
        </is>
      </c>
      <c r="M828" s="188" t="inlineStr">
        <is>
          <t>YES</t>
        </is>
      </c>
      <c r="N828" s="188" t="inlineStr">
        <is>
          <t>https://gitlab.gnome.org/GNOME/gimp/-/merge_requests/2569/diffs?commit_id=112a5e038f0646eae5ae314988ec074433d2b365</t>
        </is>
      </c>
      <c r="O828" s="188" t="inlineStr">
        <is>
          <t>Apply vendor patches</t>
        </is>
      </c>
      <c r="P828" s="188" t="inlineStr">
        <is>
          <t>gimp gimp 3.0.6</t>
        </is>
      </c>
      <c r="Q828" s="188" t="inlineStr">
        <is>
          <t>P1</t>
        </is>
      </c>
      <c r="R828" s="188" t="inlineStr">
        <is>
          <t>🚨 URGENT: Apply vendor patches immediately | 🔒 Isolate affected systems if patch unavailable | 🛡️ Enable additional monitoring/IDS rules</t>
        </is>
      </c>
      <c r="S828" s="188" t="inlineStr">
        <is>
          <t>CVE - IP enrichment n/a</t>
        </is>
      </c>
      <c r="T828" s="188" t="n">
        <v>0</v>
      </c>
      <c r="U828" s="188" t="n">
        <v>0</v>
      </c>
      <c r="V828" s="188" t="inlineStr">
        <is>
          <t>T1190:Exploit Public-Facing Application | T1210:Exploitation of Remote Services | T1203:Exploitation for Client Execution</t>
        </is>
      </c>
      <c r="W828" s="188" t="n">
        <v>2</v>
      </c>
      <c r="X828" s="188" t="inlineStr">
        <is>
          <t>HIGH (72%)</t>
        </is>
      </c>
      <c r="Y828" s="188" t="inlineStr">
        <is>
          <t>HIGH</t>
        </is>
      </c>
      <c r="Z828" s="188" t="inlineStr">
        <is>
          <t>PATCH_AVAILABLE</t>
        </is>
      </c>
      <c r="AA828" s="188" t="inlineStr">
        <is>
          <t>https://nvd.nist.gov/vuln/detail/CVE-2026-2044</t>
        </is>
      </c>
      <c r="AB828" s="188" t="inlineStr">
        <is>
          <t>http://www.zerodayinitiative.com/advisories/ZDI-26-118/</t>
        </is>
      </c>
      <c r="AC828" s="188" t="n">
        <v>0</v>
      </c>
      <c r="AD828" s="188" t="inlineStr"/>
    </row>
    <row r="829">
      <c r="A829" s="188" t="inlineStr">
        <is>
          <t>CVE</t>
        </is>
      </c>
      <c r="B829" s="188" t="inlineStr">
        <is>
          <t>CVE-2026-2045</t>
        </is>
      </c>
      <c r="C829" s="188" t="inlineStr">
        <is>
          <t>GIMP XWD File Parsing Out-Of-Bounds Write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XWD files. The issue results from the lack of proper validation of user-supplied data, which can result in a write past the end of an all</t>
        </is>
      </c>
      <c r="D829" s="188" t="n">
        <v>7.8</v>
      </c>
      <c r="E829" s="188" t="inlineStr">
        <is>
          <t>HIGH</t>
        </is>
      </c>
      <c r="F829" s="188" t="n">
        <v>2</v>
      </c>
      <c r="G829" s="188" t="n">
        <v>3</v>
      </c>
      <c r="H829" s="188" t="inlineStr">
        <is>
          <t>HIGH</t>
        </is>
      </c>
      <c r="I829" s="188" t="n">
        <v>13.8</v>
      </c>
      <c r="J829" s="188" t="inlineStr">
        <is>
          <t>NO</t>
        </is>
      </c>
      <c r="K829" s="188" t="inlineStr">
        <is>
          <t>https://nvd.nist.gov/vuln/detail/CVE-2026-2045</t>
        </is>
      </c>
      <c r="L829" s="188" t="inlineStr">
        <is>
          <t>2026-02-26 00:15</t>
        </is>
      </c>
      <c r="M829" s="188" t="inlineStr">
        <is>
          <t>YES</t>
        </is>
      </c>
      <c r="N829" s="188" t="inlineStr">
        <is>
          <t>https://gitlab.gnome.org/GNOME/gimp/-/commit/68b27dfb1cbd9b3f22d7fa624dbab8647ee5f275</t>
        </is>
      </c>
      <c r="O829" s="188" t="inlineStr">
        <is>
          <t>Apply vendor patches</t>
        </is>
      </c>
      <c r="P829" s="188" t="inlineStr">
        <is>
          <t>gimp gimp 3.0.6</t>
        </is>
      </c>
      <c r="Q829" s="188" t="inlineStr">
        <is>
          <t>P1</t>
        </is>
      </c>
      <c r="R829" s="188" t="inlineStr">
        <is>
          <t>🚨 URGENT: Apply vendor patches immediately | 🔒 Isolate affected systems if patch unavailable | 🛡️ Enable additional monitoring/IDS rules</t>
        </is>
      </c>
      <c r="S829" s="188" t="inlineStr">
        <is>
          <t>CVE - IP enrichment n/a</t>
        </is>
      </c>
      <c r="T829" s="188" t="n">
        <v>0</v>
      </c>
      <c r="U829" s="188" t="n">
        <v>0</v>
      </c>
      <c r="V829" s="188" t="inlineStr">
        <is>
          <t>T1203:Exploitation for Client Execution | T1190:Exploit Public-Facing Application | T1210:Exploitation of Remote Services</t>
        </is>
      </c>
      <c r="W829" s="188" t="n">
        <v>2</v>
      </c>
      <c r="X829" s="188" t="inlineStr">
        <is>
          <t>HIGH (72%)</t>
        </is>
      </c>
      <c r="Y829" s="188" t="inlineStr">
        <is>
          <t>HIGH</t>
        </is>
      </c>
      <c r="Z829" s="188" t="inlineStr">
        <is>
          <t>PATCH_AVAILABLE</t>
        </is>
      </c>
      <c r="AA829" s="188" t="inlineStr">
        <is>
          <t>https://nvd.nist.gov/vuln/detail/CVE-2026-2045</t>
        </is>
      </c>
      <c r="AB829" s="188" t="inlineStr">
        <is>
          <t>http://www.zerodayinitiative.com/advisories/ZDI-26-119/</t>
        </is>
      </c>
      <c r="AC829" s="188" t="n">
        <v>0</v>
      </c>
      <c r="AD829" s="188" t="inlineStr"/>
    </row>
    <row r="830">
      <c r="A830" s="188" t="inlineStr">
        <is>
          <t>CVE</t>
        </is>
      </c>
      <c r="B830" s="188" t="inlineStr">
        <is>
          <t>CVE-2026-2047</t>
        </is>
      </c>
      <c r="C830" s="188" t="inlineStr">
        <is>
          <t>GIMP ICNS File Parsing Heap-based Buffer Overflow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ICNS files. The issue results from the lack of proper validation of the length of user-supplied data prior to copying it to a hea</t>
        </is>
      </c>
      <c r="D830" s="188" t="n">
        <v>7.8</v>
      </c>
      <c r="E830" s="188" t="inlineStr">
        <is>
          <t>HIGH</t>
        </is>
      </c>
      <c r="F830" s="188" t="n">
        <v>2</v>
      </c>
      <c r="G830" s="188" t="n">
        <v>3</v>
      </c>
      <c r="H830" s="188" t="inlineStr">
        <is>
          <t>HIGH</t>
        </is>
      </c>
      <c r="I830" s="188" t="n">
        <v>13.8</v>
      </c>
      <c r="J830" s="188" t="inlineStr">
        <is>
          <t>NO</t>
        </is>
      </c>
      <c r="K830" s="188" t="inlineStr">
        <is>
          <t>https://nvd.nist.gov/vuln/detail/CVE-2026-2047</t>
        </is>
      </c>
      <c r="L830" s="188" t="inlineStr">
        <is>
          <t>2026-02-26 00:15</t>
        </is>
      </c>
      <c r="M830" s="188" t="inlineStr">
        <is>
          <t>YES</t>
        </is>
      </c>
      <c r="N830" s="188" t="inlineStr">
        <is>
          <t>https://gitlab.gnome.org/GNOME/gimp/-/merge_requests/2600/diffs?commit_id=dd2faac351f1ff2588529fedc606e6a5f815577c</t>
        </is>
      </c>
      <c r="O830" s="188" t="inlineStr">
        <is>
          <t>Apply vendor patches</t>
        </is>
      </c>
      <c r="P830" s="188" t="inlineStr">
        <is>
          <t>gimp gimp 3.0.6</t>
        </is>
      </c>
      <c r="Q830" s="188" t="inlineStr">
        <is>
          <t>P1</t>
        </is>
      </c>
      <c r="R830" s="188" t="inlineStr">
        <is>
          <t>🚨 URGENT: Apply vendor patches immediately | 🔒 Isolate affected systems if patch unavailable | 🛡️ Enable additional monitoring/IDS rules</t>
        </is>
      </c>
      <c r="S830" s="188" t="inlineStr">
        <is>
          <t>CVE - IP enrichment n/a</t>
        </is>
      </c>
      <c r="T830" s="188" t="n">
        <v>0</v>
      </c>
      <c r="U830" s="188" t="n">
        <v>0</v>
      </c>
      <c r="V830" s="188" t="inlineStr">
        <is>
          <t>T1203:Exploitation for Client Execution | T1190:Exploit Public-Facing Application | T1210:Exploitation of Remote Services</t>
        </is>
      </c>
      <c r="W830" s="188" t="n">
        <v>2</v>
      </c>
      <c r="X830" s="188" t="inlineStr">
        <is>
          <t>HIGH (72%)</t>
        </is>
      </c>
      <c r="Y830" s="188" t="inlineStr">
        <is>
          <t>HIGH</t>
        </is>
      </c>
      <c r="Z830" s="188" t="inlineStr">
        <is>
          <t>PATCH_AVAILABLE</t>
        </is>
      </c>
      <c r="AA830" s="188" t="inlineStr">
        <is>
          <t>https://nvd.nist.gov/vuln/detail/CVE-2026-2047</t>
        </is>
      </c>
      <c r="AB830" s="188" t="inlineStr">
        <is>
          <t>http://www.zerodayinitiative.com/advisories/ZDI-26-120/</t>
        </is>
      </c>
      <c r="AC830" s="188" t="n">
        <v>0</v>
      </c>
      <c r="AD830" s="188" t="inlineStr"/>
    </row>
    <row r="831">
      <c r="A831" s="188" t="inlineStr">
        <is>
          <t>CVE</t>
        </is>
      </c>
      <c r="B831" s="188" t="inlineStr">
        <is>
          <t>CVE-2026-2048</t>
        </is>
      </c>
      <c r="C831" s="188" t="inlineStr">
        <is>
          <t>GIMP XWD File Parsing Out-Of-Bounds Write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XWD files. The issue results from the lack of proper validation of user-supplied data, which can result in a write past the end of an all</t>
        </is>
      </c>
      <c r="D831" s="188" t="n">
        <v>7.8</v>
      </c>
      <c r="E831" s="188" t="inlineStr">
        <is>
          <t>HIGH</t>
        </is>
      </c>
      <c r="F831" s="188" t="n">
        <v>2</v>
      </c>
      <c r="G831" s="188" t="n">
        <v>3</v>
      </c>
      <c r="H831" s="188" t="inlineStr">
        <is>
          <t>HIGH</t>
        </is>
      </c>
      <c r="I831" s="188" t="n">
        <v>13.8</v>
      </c>
      <c r="J831" s="188" t="inlineStr">
        <is>
          <t>NO</t>
        </is>
      </c>
      <c r="K831" s="188" t="inlineStr">
        <is>
          <t>https://nvd.nist.gov/vuln/detail/CVE-2026-2048</t>
        </is>
      </c>
      <c r="L831" s="188" t="inlineStr">
        <is>
          <t>2026-02-26 00:15</t>
        </is>
      </c>
      <c r="M831" s="188" t="inlineStr">
        <is>
          <t>CHECK_VENDOR</t>
        </is>
      </c>
      <c r="N831" s="188" t="inlineStr">
        <is>
          <t>See NVD references</t>
        </is>
      </c>
      <c r="O831" s="188" t="inlineStr">
        <is>
          <t>Apply vendor patches</t>
        </is>
      </c>
      <c r="P831" s="188" t="inlineStr">
        <is>
          <t>gimp gimp 3.2.0</t>
        </is>
      </c>
      <c r="Q831" s="188" t="inlineStr">
        <is>
          <t>P1</t>
        </is>
      </c>
      <c r="R831" s="188" t="inlineStr">
        <is>
          <t>🚨 URGENT: Apply vendor patches immediately | 🔒 Isolate affected systems if patch unavailable | 🛡️ Enable additional monitoring/IDS rules</t>
        </is>
      </c>
      <c r="S831" s="188" t="inlineStr">
        <is>
          <t>CVE - IP enrichment n/a</t>
        </is>
      </c>
      <c r="T831" s="188" t="n">
        <v>0</v>
      </c>
      <c r="U831" s="188" t="n">
        <v>0</v>
      </c>
      <c r="V831" s="188" t="inlineStr">
        <is>
          <t>T1203:Exploitation for Client Execution | T1190:Exploit Public-Facing Application | T1210:Exploitation of Remote Services</t>
        </is>
      </c>
      <c r="W831" s="188" t="n">
        <v>2</v>
      </c>
      <c r="X831" s="188" t="inlineStr">
        <is>
          <t>HIGH (72%)</t>
        </is>
      </c>
      <c r="Y831" s="188" t="inlineStr">
        <is>
          <t>HIGH</t>
        </is>
      </c>
      <c r="Z831" s="188" t="inlineStr">
        <is>
          <t>CHECK_VENDOR</t>
        </is>
      </c>
      <c r="AA831" s="188" t="inlineStr">
        <is>
          <t>https://nvd.nist.gov/vuln/detail/CVE-2026-2048</t>
        </is>
      </c>
      <c r="AB831" s="188" t="inlineStr">
        <is>
          <t>http://www.zerodayinitiative.com/advisories/ZDI-26-121/</t>
        </is>
      </c>
      <c r="AC831" s="188" t="n">
        <v>0</v>
      </c>
      <c r="AD831" s="188" t="inlineStr"/>
    </row>
    <row r="832">
      <c r="A832" s="187" t="inlineStr">
        <is>
          <t>CVE</t>
        </is>
      </c>
      <c r="B832" s="187" t="inlineStr">
        <is>
          <t>CVE-2026-2490</t>
        </is>
      </c>
      <c r="C832" s="187" t="inlineStr">
        <is>
          <t>RustDesk Client for Windows Transfer File Link Following Information Disclosure Vulnerability. This vulnerability allows local attackers to disclose sensitive information on affected installations of RustDesk Client for Windows. An attacker must first obtain the ability to execute low-privileged code on the target system in order to exploit this vulnerability.
The specific flaw exists within the Transfer File feature. By uploading a symbolic link, an attacker can abuse the service to read arbit</t>
        </is>
      </c>
      <c r="D832" s="187" t="n">
        <v>5.5</v>
      </c>
      <c r="E832" s="187" t="inlineStr">
        <is>
          <t>MEDIUM</t>
        </is>
      </c>
      <c r="F832" s="187" t="n">
        <v>2</v>
      </c>
      <c r="G832" s="187" t="n">
        <v>2</v>
      </c>
      <c r="H832" s="187" t="inlineStr">
        <is>
          <t>MEDIUM</t>
        </is>
      </c>
      <c r="I832" s="187" t="n">
        <v>9.5</v>
      </c>
      <c r="J832" s="187" t="inlineStr">
        <is>
          <t>NO</t>
        </is>
      </c>
      <c r="K832" s="187" t="inlineStr">
        <is>
          <t>https://nvd.nist.gov/vuln/detail/CVE-2026-2490</t>
        </is>
      </c>
      <c r="L832" s="187" t="inlineStr">
        <is>
          <t>2026-02-26 00:15</t>
        </is>
      </c>
      <c r="M832" s="187" t="inlineStr">
        <is>
          <t>CHECK_VENDOR</t>
        </is>
      </c>
      <c r="N832" s="187" t="inlineStr">
        <is>
          <t>See NVD references</t>
        </is>
      </c>
      <c r="O832" s="187" t="inlineStr">
        <is>
          <t>Apply vendor patches</t>
        </is>
      </c>
      <c r="P832" s="187" t="inlineStr">
        <is>
          <t>See CVE details</t>
        </is>
      </c>
      <c r="Q832" s="187" t="inlineStr">
        <is>
          <t>P1</t>
        </is>
      </c>
      <c r="R832" s="187" t="inlineStr">
        <is>
          <t>📅 Schedule patch deployment within 30 days | 🔍 Monitor for exploitation attempts</t>
        </is>
      </c>
      <c r="S832" s="187" t="inlineStr">
        <is>
          <t>CVE - IP enrichment n/a</t>
        </is>
      </c>
      <c r="T832" s="187" t="n">
        <v>0.0001</v>
      </c>
      <c r="U832" s="187" t="n">
        <v>0.0291</v>
      </c>
      <c r="V832" s="187" t="inlineStr">
        <is>
          <t>T1213:Data from Information Repositories</t>
        </is>
      </c>
      <c r="W832" s="187" t="n">
        <v>2</v>
      </c>
      <c r="X832" s="187" t="inlineStr">
        <is>
          <t>HIGH (72%)</t>
        </is>
      </c>
      <c r="Y832" s="187" t="inlineStr">
        <is>
          <t>HIGH</t>
        </is>
      </c>
      <c r="Z832" s="187" t="inlineStr">
        <is>
          <t>CHECK_VENDOR</t>
        </is>
      </c>
      <c r="AA832" s="187" t="inlineStr">
        <is>
          <t>https://nvd.nist.gov/vuln/detail/CVE-2026-2490</t>
        </is>
      </c>
      <c r="AB832" s="187" t="inlineStr">
        <is>
          <t>http://www.zerodayinitiative.com/advisories/ZDI-26-117/</t>
        </is>
      </c>
      <c r="AC832" s="187" t="n">
        <v>0</v>
      </c>
      <c r="AD832" s="187" t="inlineStr"/>
    </row>
    <row r="833">
      <c r="A833" s="188" t="inlineStr">
        <is>
          <t>CVE</t>
        </is>
      </c>
      <c r="B833" s="188" t="inlineStr">
        <is>
          <t>CVE-2026-2492</t>
        </is>
      </c>
      <c r="C833" s="188" t="inlineStr">
        <is>
          <t>TensorFlow HDF5 Library Uncontrolled Search Path Element Local Privilege Escalation Vulnerability. This vulnerability allows local attackers to escalate privileges on affected installations of TensorFlow. An attacker must first obtain the ability to execute low-privileged code on the target system in order to exploit this vulnerability.
The specific flaw exists within the handling of plugins. The application loads plugins from an unsecured location. An attacker can leverage this vulnerability t</t>
        </is>
      </c>
      <c r="D833" s="188" t="n">
        <v>7</v>
      </c>
      <c r="E833" s="188" t="inlineStr">
        <is>
          <t>HIGH</t>
        </is>
      </c>
      <c r="F833" s="188" t="n">
        <v>2</v>
      </c>
      <c r="G833" s="188" t="n">
        <v>3</v>
      </c>
      <c r="H833" s="188" t="inlineStr">
        <is>
          <t>HIGH</t>
        </is>
      </c>
      <c r="I833" s="188" t="n">
        <v>13</v>
      </c>
      <c r="J833" s="188" t="inlineStr">
        <is>
          <t>NO</t>
        </is>
      </c>
      <c r="K833" s="188" t="inlineStr">
        <is>
          <t>https://nvd.nist.gov/vuln/detail/CVE-2026-2492</t>
        </is>
      </c>
      <c r="L833" s="188" t="inlineStr">
        <is>
          <t>2026-02-26 00:15</t>
        </is>
      </c>
      <c r="M833" s="188" t="inlineStr">
        <is>
          <t>CHECK_VENDOR</t>
        </is>
      </c>
      <c r="N833" s="188" t="inlineStr">
        <is>
          <t>See NVD references</t>
        </is>
      </c>
      <c r="O833" s="188" t="inlineStr">
        <is>
          <t>Apply vendor patches</t>
        </is>
      </c>
      <c r="P833" s="188" t="inlineStr">
        <is>
          <t>See CVE details</t>
        </is>
      </c>
      <c r="Q833" s="188" t="inlineStr">
        <is>
          <t>P1</t>
        </is>
      </c>
      <c r="R833" s="188" t="inlineStr">
        <is>
          <t>🚨 URGENT: Apply vendor patches immediately | 🔒 Isolate affected systems if patch unavailable | 🛡️ Enable additional monitoring/IDS rules</t>
        </is>
      </c>
      <c r="S833" s="188" t="inlineStr">
        <is>
          <t>CVE - IP enrichment n/a</t>
        </is>
      </c>
      <c r="T833" s="188" t="n">
        <v>0.0001</v>
      </c>
      <c r="U833" s="188" t="n">
        <v>0.0244</v>
      </c>
      <c r="V833" s="188" t="inlineStr">
        <is>
          <t>T1068:Exploitation for Privilege Escalation | T1203:Exploitation for Client Execution</t>
        </is>
      </c>
      <c r="W833" s="188" t="n">
        <v>2</v>
      </c>
      <c r="X833" s="188" t="inlineStr">
        <is>
          <t>HIGH (72%)</t>
        </is>
      </c>
      <c r="Y833" s="188" t="inlineStr">
        <is>
          <t>HIGH</t>
        </is>
      </c>
      <c r="Z833" s="188" t="inlineStr">
        <is>
          <t>CHECK_VENDOR</t>
        </is>
      </c>
      <c r="AA833" s="188" t="inlineStr">
        <is>
          <t>https://nvd.nist.gov/vuln/detail/CVE-2026-2492</t>
        </is>
      </c>
      <c r="AB833" s="188" t="inlineStr">
        <is>
          <t>http://www.zerodayinitiative.com/advisories/ZDI-26-116/</t>
        </is>
      </c>
      <c r="AC833" s="188" t="n">
        <v>0</v>
      </c>
      <c r="AD833" s="188" t="inlineStr"/>
    </row>
    <row r="834">
      <c r="A834" s="189" t="inlineStr">
        <is>
          <t>CVE</t>
        </is>
      </c>
      <c r="B834" s="189" t="inlineStr">
        <is>
          <t>CVE-2026-2635</t>
        </is>
      </c>
      <c r="C834" s="189" t="inlineStr">
        <is>
          <t>MLflow Use of Default Password Authentication Bypass Vulnerability. This vulnerability allows remote attackers to bypass authentication on affected installations of MLflow. Authentication is not required to exploit this vulnerability.
The specific flaw exists within the basic_auth.ini file. The file contains hard-coded default credentials. An attacker can leverage this vulnerability to bypass authentication and execute arbitrary code in the context of the administrator. Was ZDI-CAN-28256.</t>
        </is>
      </c>
      <c r="D834" s="189" t="n">
        <v>9.800000000000001</v>
      </c>
      <c r="E834" s="189" t="inlineStr">
        <is>
          <t>CRITICAL</t>
        </is>
      </c>
      <c r="F834" s="189" t="n">
        <v>2</v>
      </c>
      <c r="G834" s="189" t="n">
        <v>3</v>
      </c>
      <c r="H834" s="189" t="inlineStr">
        <is>
          <t>HIGH</t>
        </is>
      </c>
      <c r="I834" s="189" t="n">
        <v>15.8</v>
      </c>
      <c r="J834" s="189" t="inlineStr">
        <is>
          <t>NO</t>
        </is>
      </c>
      <c r="K834" s="189" t="inlineStr">
        <is>
          <t>https://nvd.nist.gov/vuln/detail/CVE-2026-2635</t>
        </is>
      </c>
      <c r="L834" s="189" t="inlineStr">
        <is>
          <t>2026-02-26 00:15</t>
        </is>
      </c>
      <c r="M834" s="189" t="inlineStr">
        <is>
          <t>CHECK_VENDOR</t>
        </is>
      </c>
      <c r="N834" s="189" t="inlineStr">
        <is>
          <t>See NVD references</t>
        </is>
      </c>
      <c r="O834" s="189" t="inlineStr">
        <is>
          <t>Apply vendor patches</t>
        </is>
      </c>
      <c r="P834" s="189" t="inlineStr">
        <is>
          <t>See CVE details</t>
        </is>
      </c>
      <c r="Q834" s="189" t="inlineStr">
        <is>
          <t>P1</t>
        </is>
      </c>
      <c r="R834" s="189" t="inlineStr">
        <is>
          <t>🚨 URGENT: Apply vendor patches immediately | 🔒 Isolate affected systems if patch unavailable | 🛡️ Enable additional monitoring/IDS rules</t>
        </is>
      </c>
      <c r="S834" s="189" t="inlineStr">
        <is>
          <t>CVE - IP enrichment n/a</t>
        </is>
      </c>
      <c r="T834" s="189" t="n">
        <v>0.0117</v>
      </c>
      <c r="U834" s="189" t="n">
        <v>0.7835</v>
      </c>
      <c r="V834" s="189" t="inlineStr">
        <is>
          <t>T1078:Valid Accounts | T1552:Unsecured Credentials | T1203:Exploitation for Client Execution</t>
        </is>
      </c>
      <c r="W834" s="189" t="n">
        <v>2</v>
      </c>
      <c r="X834" s="189" t="inlineStr">
        <is>
          <t>HIGH (72%)</t>
        </is>
      </c>
      <c r="Y834" s="189" t="inlineStr">
        <is>
          <t>HIGH</t>
        </is>
      </c>
      <c r="Z834" s="189" t="inlineStr">
        <is>
          <t>CHECK_VENDOR</t>
        </is>
      </c>
      <c r="AA834" s="189" t="inlineStr">
        <is>
          <t>https://nvd.nist.gov/vuln/detail/CVE-2026-2635</t>
        </is>
      </c>
      <c r="AB834" s="189" t="inlineStr">
        <is>
          <t>http://www.zerodayinitiative.com/advisories/ZDI-26-111/</t>
        </is>
      </c>
      <c r="AC834" s="189" t="n">
        <v>0</v>
      </c>
      <c r="AD834" s="189" t="inlineStr"/>
    </row>
    <row r="835">
      <c r="A835" s="188" t="inlineStr">
        <is>
          <t>CVE</t>
        </is>
      </c>
      <c r="B835" s="188" t="inlineStr">
        <is>
          <t>CVE-2026-27134</t>
        </is>
      </c>
      <c r="C835" s="188" t="inlineStr">
        <is>
          <t xml:space="preserve">Strimzi provides a way to run an Apache Kafka cluster on Kubernetes or OpenShift in various deployment configurations. In versions  0.49.0 through 0.50.0, when using a custom Cluster or Clients CA with a multistage CA chain consisting of multiple CAs, Strimzi incorrectly configures the trusted certificates for mTLS authentication on the internal as well as user-configured listeners. All CAs from the CA chain will be trusted. And users with certificates signed by any of the CAs in the chain will </t>
        </is>
      </c>
      <c r="D835" s="188" t="n">
        <v>8.1</v>
      </c>
      <c r="E835" s="188" t="inlineStr">
        <is>
          <t>HIGH</t>
        </is>
      </c>
      <c r="F835" s="188" t="n">
        <v>2</v>
      </c>
      <c r="G835" s="188" t="n">
        <v>3</v>
      </c>
      <c r="H835" s="188" t="inlineStr">
        <is>
          <t>HIGH</t>
        </is>
      </c>
      <c r="I835" s="188" t="n">
        <v>14.1</v>
      </c>
      <c r="J835" s="188" t="inlineStr">
        <is>
          <t>NO</t>
        </is>
      </c>
      <c r="K835" s="188" t="inlineStr">
        <is>
          <t>https://nvd.nist.gov/vuln/detail/CVE-2026-27134</t>
        </is>
      </c>
      <c r="L835" s="188" t="inlineStr">
        <is>
          <t>2026-02-26 00:15</t>
        </is>
      </c>
      <c r="M835" s="188" t="inlineStr">
        <is>
          <t>YES</t>
        </is>
      </c>
      <c r="N835" s="188" t="inlineStr">
        <is>
          <t>https://github.com/strimzi/strimzi-kafka-operator/security/advisories/GHSA-2qwx-rq6j-8r6j</t>
        </is>
      </c>
      <c r="O835" s="188" t="inlineStr">
        <is>
          <t>Apply vendor patches</t>
        </is>
      </c>
      <c r="P835" s="188" t="inlineStr">
        <is>
          <t>linuxfoundation strimzi_kafka_operator *</t>
        </is>
      </c>
      <c r="Q835" s="188" t="inlineStr">
        <is>
          <t>P3</t>
        </is>
      </c>
      <c r="R835" s="188" t="inlineStr">
        <is>
          <t>🚨 URGENT: Apply vendor patches immediately | 🔒 Isolate affected systems if patch unavailable | 🛡️ Enable additional monitoring/IDS rules</t>
        </is>
      </c>
      <c r="S835" s="188" t="inlineStr">
        <is>
          <t>CVE - IP enrichment n/a</t>
        </is>
      </c>
      <c r="T835" s="188" t="n">
        <v>0.0003</v>
      </c>
      <c r="U835" s="188" t="n">
        <v>0.07049999999999999</v>
      </c>
      <c r="V835" s="188" t="inlineStr">
        <is>
          <t>T1078:Valid Accounts | T1110:Brute Force</t>
        </is>
      </c>
      <c r="W835" s="188" t="n">
        <v>1</v>
      </c>
      <c r="X835" s="188" t="inlineStr">
        <is>
          <t>LOW (40%)</t>
        </is>
      </c>
      <c r="Y835" s="188" t="inlineStr">
        <is>
          <t>UNLIKELY</t>
        </is>
      </c>
      <c r="Z835" s="188" t="inlineStr">
        <is>
          <t>PATCH_AVAILABLE</t>
        </is>
      </c>
      <c r="AA835" s="188" t="inlineStr">
        <is>
          <t>https://nvd.nist.gov/vuln/detail/CVE-2026-27134</t>
        </is>
      </c>
      <c r="AB835" s="188" t="inlineStr">
        <is>
          <t>NONE</t>
        </is>
      </c>
      <c r="AC835" s="188" t="n">
        <v>0</v>
      </c>
      <c r="AD835" s="188" t="inlineStr"/>
    </row>
    <row r="836">
      <c r="A836" s="187" t="inlineStr">
        <is>
          <t>CVE</t>
        </is>
      </c>
      <c r="B836" s="187" t="inlineStr">
        <is>
          <t>CVE-2026-27146</t>
        </is>
      </c>
      <c r="C836" s="187" t="inlineStr">
        <is>
          <t>GetSimple CMS is a content management system. All versions of GetSimple CMS do not implement CSRF protection on the administrative file upload endpoint. As a result, an attacker can craft a malicious web page that silently triggers a file upload request from an authenticated victim’s browser. The request is accepted without requiring a CSRF token or origin validation. This allows an attacker to upload arbitrary files to the application without the victim’s knowledge or consent. In order to explo</t>
        </is>
      </c>
      <c r="D836" s="187" t="n">
        <v>4.5</v>
      </c>
      <c r="E836" s="187" t="inlineStr">
        <is>
          <t>MEDIUM</t>
        </is>
      </c>
      <c r="F836" s="187" t="n">
        <v>2</v>
      </c>
      <c r="G836" s="187" t="n">
        <v>2</v>
      </c>
      <c r="H836" s="187" t="inlineStr">
        <is>
          <t>MEDIUM</t>
        </is>
      </c>
      <c r="I836" s="187" t="n">
        <v>8.5</v>
      </c>
      <c r="J836" s="187" t="inlineStr">
        <is>
          <t>NO</t>
        </is>
      </c>
      <c r="K836" s="187" t="inlineStr">
        <is>
          <t>https://nvd.nist.gov/vuln/detail/CVE-2026-27146</t>
        </is>
      </c>
      <c r="L836" s="187" t="inlineStr">
        <is>
          <t>2026-02-26 00:15</t>
        </is>
      </c>
      <c r="M836" s="187" t="inlineStr">
        <is>
          <t>YES</t>
        </is>
      </c>
      <c r="N836" s="187" t="inlineStr">
        <is>
          <t>https://github.com/GetSimpleCMS-CE/GetSimpleCMS-CE/security/advisories/GHSA-26rv-8wpp-q84r</t>
        </is>
      </c>
      <c r="O836" s="187" t="inlineStr">
        <is>
          <t>https://github.com/GetSimpleCMS-CE/GetSimpleCMS-CE/security/advisories/GHSA-26rv-8wpp-q84r</t>
        </is>
      </c>
      <c r="P836" s="187" t="inlineStr">
        <is>
          <t>getsimple-ce getsimple_cms *</t>
        </is>
      </c>
      <c r="Q836" s="187" t="inlineStr">
        <is>
          <t>P4</t>
        </is>
      </c>
      <c r="R836" s="187" t="inlineStr">
        <is>
          <t>📅 Schedule patch deployment within 30 days | 🔍 Monitor for exploitation attempts</t>
        </is>
      </c>
      <c r="S836" s="187" t="inlineStr">
        <is>
          <t>CVE - IP enrichment n/a</t>
        </is>
      </c>
      <c r="T836" s="187" t="n">
        <v>0</v>
      </c>
      <c r="U836" s="187" t="n">
        <v>0</v>
      </c>
      <c r="V836" s="187" t="inlineStr">
        <is>
          <t>T1185:Browser Session Hijacking</t>
        </is>
      </c>
      <c r="W836" s="187" t="n">
        <v>1</v>
      </c>
      <c r="X836" s="187" t="inlineStr">
        <is>
          <t>LOW (40%)</t>
        </is>
      </c>
      <c r="Y836" s="187" t="inlineStr">
        <is>
          <t>UNLIKELY</t>
        </is>
      </c>
      <c r="Z836" s="187" t="inlineStr">
        <is>
          <t>PATCH_AVAILABLE</t>
        </is>
      </c>
      <c r="AA836" s="187" t="inlineStr">
        <is>
          <t>https://nvd.nist.gov/vuln/detail/CVE-2026-27146</t>
        </is>
      </c>
      <c r="AB836" s="187" t="inlineStr">
        <is>
          <t>NONE</t>
        </is>
      </c>
      <c r="AC836" s="187" t="n">
        <v>0</v>
      </c>
      <c r="AD836" s="187" t="inlineStr"/>
    </row>
    <row r="837">
      <c r="A837" s="187" t="inlineStr">
        <is>
          <t>CVE</t>
        </is>
      </c>
      <c r="B837" s="187" t="inlineStr">
        <is>
          <t>CVE-2026-27147</t>
        </is>
      </c>
      <c r="C837" s="187" t="inlineStr">
        <is>
          <t>GetSimple CMS is a content management system. All versions of GetSimple CMS are vulnerable to XSS through SVG file uploads. Authenticated users can upload SVG files via the administrative upload functionality, but they are not properly sanitized or restricted, allowing an attacker to embed malicious JavaScript. When the uploaded SVG file is accessed, the script executes in the browser. This issue does not have a fix at the time of publication.</t>
        </is>
      </c>
      <c r="D837" s="187" t="n">
        <v>5.4</v>
      </c>
      <c r="E837" s="187" t="inlineStr">
        <is>
          <t>MEDIUM</t>
        </is>
      </c>
      <c r="F837" s="187" t="n">
        <v>2</v>
      </c>
      <c r="G837" s="187" t="n">
        <v>2</v>
      </c>
      <c r="H837" s="187" t="inlineStr">
        <is>
          <t>MEDIUM</t>
        </is>
      </c>
      <c r="I837" s="187" t="n">
        <v>9.4</v>
      </c>
      <c r="J837" s="187" t="inlineStr">
        <is>
          <t>NO</t>
        </is>
      </c>
      <c r="K837" s="187" t="inlineStr">
        <is>
          <t>https://nvd.nist.gov/vuln/detail/CVE-2026-27147</t>
        </is>
      </c>
      <c r="L837" s="187" t="inlineStr">
        <is>
          <t>2026-02-26 00:15</t>
        </is>
      </c>
      <c r="M837" s="187" t="inlineStr">
        <is>
          <t>YES</t>
        </is>
      </c>
      <c r="N837" s="187" t="inlineStr">
        <is>
          <t>https://github.com/GetSimpleCMS-CE/GetSimpleCMS-CE/security/advisories/GHSA-5gmq-hrcx-6w45</t>
        </is>
      </c>
      <c r="O837" s="187" t="inlineStr">
        <is>
          <t>https://github.com/GetSimpleCMS-CE/GetSimpleCMS-CE/security/advisories/GHSA-5gmq-hrcx-6w45</t>
        </is>
      </c>
      <c r="P837" s="187" t="inlineStr">
        <is>
          <t>getsimple-ce getsimple_cms *</t>
        </is>
      </c>
      <c r="Q837" s="187" t="inlineStr">
        <is>
          <t>P4</t>
        </is>
      </c>
      <c r="R837" s="187" t="inlineStr">
        <is>
          <t>📅 Schedule patch deployment within 30 days | 🔍 Monitor for exploitation attempts</t>
        </is>
      </c>
      <c r="S837" s="187" t="inlineStr">
        <is>
          <t>CVE - IP enrichment n/a</t>
        </is>
      </c>
      <c r="T837" s="187" t="n">
        <v>0</v>
      </c>
      <c r="U837" s="187" t="n">
        <v>0</v>
      </c>
      <c r="V837" s="187" t="inlineStr">
        <is>
          <t>T1189:Drive-by Compromise</t>
        </is>
      </c>
      <c r="W837" s="187" t="n">
        <v>1</v>
      </c>
      <c r="X837" s="187" t="inlineStr">
        <is>
          <t>LOW (40%)</t>
        </is>
      </c>
      <c r="Y837" s="187" t="inlineStr">
        <is>
          <t>UNLIKELY</t>
        </is>
      </c>
      <c r="Z837" s="187" t="inlineStr">
        <is>
          <t>PATCH_AVAILABLE</t>
        </is>
      </c>
      <c r="AA837" s="187" t="inlineStr">
        <is>
          <t>https://nvd.nist.gov/vuln/detail/CVE-2026-27147</t>
        </is>
      </c>
      <c r="AB837" s="187" t="inlineStr">
        <is>
          <t>NONE</t>
        </is>
      </c>
      <c r="AC837" s="187" t="n">
        <v>0</v>
      </c>
      <c r="AD837" s="187" t="inlineStr"/>
    </row>
    <row r="838">
      <c r="A838" s="188" t="inlineStr">
        <is>
          <t>CVE</t>
        </is>
      </c>
      <c r="B838" s="188" t="inlineStr">
        <is>
          <t>CVE-2026-27161</t>
        </is>
      </c>
      <c r="C838" s="188" t="inlineStr">
        <is>
          <t>GetSimple CMS is a content management system. All versions of GetSimple CMS rely on .htaccess files to restrict access to sensitive directories such as /data/ and /backups/. If Apache AllowOverride is disabled (common in hardened or shared hosting environments), these protections are silently ignored, allowing unauthenticated attackers to list and download sensitive files including authorization.xml, which contains cryptographic salts and API keys. This issue does not have a fix at the time of p</t>
        </is>
      </c>
      <c r="D838" s="188" t="n">
        <v>7.5</v>
      </c>
      <c r="E838" s="188" t="inlineStr">
        <is>
          <t>HIGH</t>
        </is>
      </c>
      <c r="F838" s="188" t="n">
        <v>2</v>
      </c>
      <c r="G838" s="188" t="n">
        <v>3</v>
      </c>
      <c r="H838" s="188" t="inlineStr">
        <is>
          <t>HIGH</t>
        </is>
      </c>
      <c r="I838" s="188" t="n">
        <v>13.5</v>
      </c>
      <c r="J838" s="188" t="inlineStr">
        <is>
          <t>NO</t>
        </is>
      </c>
      <c r="K838" s="188" t="inlineStr">
        <is>
          <t>https://nvd.nist.gov/vuln/detail/CVE-2026-27161</t>
        </is>
      </c>
      <c r="L838" s="188" t="inlineStr">
        <is>
          <t>2026-02-26 00:15</t>
        </is>
      </c>
      <c r="M838" s="188" t="inlineStr">
        <is>
          <t>YES</t>
        </is>
      </c>
      <c r="N838" s="188" t="inlineStr">
        <is>
          <t>https://github.com/GetSimpleCMS-CE/GetSimpleCMS-CE/security/advisories/GHSA-f63g-xh6j-q56g</t>
        </is>
      </c>
      <c r="O838" s="188" t="inlineStr">
        <is>
          <t>https://github.com/GetSimpleCMS-CE/GetSimpleCMS-CE/security/advisories/GHSA-f63g-xh6j-q56g</t>
        </is>
      </c>
      <c r="P838" s="188" t="inlineStr">
        <is>
          <t>getsimple-ce getsimple_cms *</t>
        </is>
      </c>
      <c r="Q838" s="188" t="inlineStr">
        <is>
          <t>P3</t>
        </is>
      </c>
      <c r="R838" s="188" t="inlineStr">
        <is>
          <t>🚨 URGENT: Apply vendor patches immediately | 🔒 Isolate affected systems if patch unavailable | 🛡️ Enable additional monitoring/IDS rules</t>
        </is>
      </c>
      <c r="S838" s="188" t="inlineStr">
        <is>
          <t>CVE - IP enrichment n/a</t>
        </is>
      </c>
      <c r="T838" s="188" t="n">
        <v>0.0005</v>
      </c>
      <c r="U838" s="188" t="n">
        <v>0.1543</v>
      </c>
      <c r="V838" s="188" t="inlineStr">
        <is>
          <t>T1213:Data from Information Repositories | T1600:Weaken Encryption</t>
        </is>
      </c>
      <c r="W838" s="188" t="n">
        <v>1</v>
      </c>
      <c r="X838" s="188" t="inlineStr">
        <is>
          <t>LOW (40%)</t>
        </is>
      </c>
      <c r="Y838" s="188" t="inlineStr">
        <is>
          <t>UNLIKELY</t>
        </is>
      </c>
      <c r="Z838" s="188" t="inlineStr">
        <is>
          <t>PATCH_AVAILABLE</t>
        </is>
      </c>
      <c r="AA838" s="188" t="inlineStr">
        <is>
          <t>https://nvd.nist.gov/vuln/detail/CVE-2026-27161</t>
        </is>
      </c>
      <c r="AB838" s="188" t="inlineStr">
        <is>
          <t>NONE</t>
        </is>
      </c>
      <c r="AC838" s="188" t="n">
        <v>0</v>
      </c>
      <c r="AD838" s="188" t="inlineStr"/>
    </row>
    <row r="839">
      <c r="A839" s="188" t="inlineStr">
        <is>
          <t>CVE</t>
        </is>
      </c>
      <c r="B839" s="188" t="inlineStr">
        <is>
          <t>CVE-2026-27168</t>
        </is>
      </c>
      <c r="C839" s="188" t="inlineStr">
        <is>
          <t>SAIL is a cross-platform library for loading and saving images with support for animation, metadata, and ICC profiles. All versions are vulnerable to Heap-based Buffer Overflow through the XWD parser's use of the bytes_per_line value. The value os read directly from the file as the read size in io-&gt;strict_read(), and is never compared to the actual size of the destination buffer. An attacker can provide an XWD file with an arbitrarily large bytes_per_line, causing a massive write operation beyon</t>
        </is>
      </c>
      <c r="D839" s="188" t="n">
        <v>8.800000000000001</v>
      </c>
      <c r="E839" s="188" t="inlineStr">
        <is>
          <t>HIGH</t>
        </is>
      </c>
      <c r="F839" s="188" t="n">
        <v>2</v>
      </c>
      <c r="G839" s="188" t="n">
        <v>3</v>
      </c>
      <c r="H839" s="188" t="inlineStr">
        <is>
          <t>HIGH</t>
        </is>
      </c>
      <c r="I839" s="188" t="n">
        <v>14.8</v>
      </c>
      <c r="J839" s="188" t="inlineStr">
        <is>
          <t>NO</t>
        </is>
      </c>
      <c r="K839" s="188" t="inlineStr">
        <is>
          <t>https://nvd.nist.gov/vuln/detail/CVE-2026-27168</t>
        </is>
      </c>
      <c r="L839" s="188" t="inlineStr">
        <is>
          <t>2026-02-26 00:15</t>
        </is>
      </c>
      <c r="M839" s="188" t="inlineStr">
        <is>
          <t>CHECK_VENDOR</t>
        </is>
      </c>
      <c r="N839" s="188" t="inlineStr">
        <is>
          <t>See NVD references</t>
        </is>
      </c>
      <c r="O839" s="188" t="inlineStr">
        <is>
          <t>Apply vendor patches</t>
        </is>
      </c>
      <c r="P839" s="188" t="inlineStr">
        <is>
          <t>See CVE details</t>
        </is>
      </c>
      <c r="Q839" s="188" t="inlineStr">
        <is>
          <t>P3</t>
        </is>
      </c>
      <c r="R839" s="188" t="inlineStr">
        <is>
          <t>🚨 URGENT: Apply vendor patches immediately | 🔒 Isolate affected systems if patch unavailable | 🛡️ Enable additional monitoring/IDS rules</t>
        </is>
      </c>
      <c r="S839" s="188" t="inlineStr">
        <is>
          <t>CVE - IP enrichment n/a</t>
        </is>
      </c>
      <c r="T839" s="188" t="n">
        <v>0</v>
      </c>
      <c r="U839" s="188" t="n">
        <v>0</v>
      </c>
      <c r="V839" s="188" t="inlineStr">
        <is>
          <t>T1203:Exploitation for Client Execution</t>
        </is>
      </c>
      <c r="W839" s="188" t="n">
        <v>1</v>
      </c>
      <c r="X839" s="188" t="inlineStr">
        <is>
          <t>LOW (40%)</t>
        </is>
      </c>
      <c r="Y839" s="188" t="inlineStr">
        <is>
          <t>UNLIKELY</t>
        </is>
      </c>
      <c r="Z839" s="188" t="inlineStr">
        <is>
          <t>CHECK_VENDOR</t>
        </is>
      </c>
      <c r="AA839" s="188" t="inlineStr">
        <is>
          <t>https://nvd.nist.gov/vuln/detail/CVE-2026-27168</t>
        </is>
      </c>
      <c r="AB839" s="188" t="inlineStr">
        <is>
          <t>NONE</t>
        </is>
      </c>
      <c r="AC839" s="188" t="n">
        <v>0</v>
      </c>
      <c r="AD839" s="188" t="inlineStr"/>
    </row>
    <row r="840">
      <c r="A840" s="188" t="inlineStr">
        <is>
          <t>CVE</t>
        </is>
      </c>
      <c r="B840" s="188" t="inlineStr">
        <is>
          <t>CVE-2026-27169</t>
        </is>
      </c>
      <c r="C840" s="188" t="inlineStr">
        <is>
          <t>OpenSift is an AI study tool that sifts through large datasets using semantic search and generative AI. Versions 1.1.2-alpha and below render untrusted user/model content in chat tool UI surfaces using unsafe HTML interpolation patterns, leading to XSS. Stored content can execute JavaScript when later viewed in authenticated sessions. An attacker who can influence stored study/quiz/flashcard content could trigger script execution in a victim’s browser, potentially performing actions as that user</t>
        </is>
      </c>
      <c r="D840" s="188" t="n">
        <v>8.9</v>
      </c>
      <c r="E840" s="188" t="inlineStr">
        <is>
          <t>HIGH</t>
        </is>
      </c>
      <c r="F840" s="188" t="n">
        <v>2</v>
      </c>
      <c r="G840" s="188" t="n">
        <v>3</v>
      </c>
      <c r="H840" s="188" t="inlineStr">
        <is>
          <t>HIGH</t>
        </is>
      </c>
      <c r="I840" s="188" t="n">
        <v>14.9</v>
      </c>
      <c r="J840" s="188" t="inlineStr">
        <is>
          <t>NO</t>
        </is>
      </c>
      <c r="K840" s="188" t="inlineStr">
        <is>
          <t>https://nvd.nist.gov/vuln/detail/CVE-2026-27169</t>
        </is>
      </c>
      <c r="L840" s="188" t="inlineStr">
        <is>
          <t>2026-02-26 00:15</t>
        </is>
      </c>
      <c r="M840" s="188" t="inlineStr">
        <is>
          <t>YES</t>
        </is>
      </c>
      <c r="N840" s="188" t="inlineStr">
        <is>
          <t>https://github.com/OpenSift/OpenSift/security/advisories/GHSA-qrpx-7cmv-5gv5</t>
        </is>
      </c>
      <c r="O840" s="188" t="inlineStr">
        <is>
          <t>Apply vendor patches</t>
        </is>
      </c>
      <c r="P840" s="188" t="inlineStr">
        <is>
          <t>opensift opensift *</t>
        </is>
      </c>
      <c r="Q840" s="188" t="inlineStr">
        <is>
          <t>P3</t>
        </is>
      </c>
      <c r="R840" s="188" t="inlineStr">
        <is>
          <t>🚨 URGENT: Apply vendor patches immediately | 🔒 Isolate affected systems if patch unavailable | 🛡️ Enable additional monitoring/IDS rules</t>
        </is>
      </c>
      <c r="S840" s="188" t="inlineStr">
        <is>
          <t>CVE - IP enrichment n/a</t>
        </is>
      </c>
      <c r="T840" s="188" t="n">
        <v>0</v>
      </c>
      <c r="U840" s="188" t="n">
        <v>0</v>
      </c>
      <c r="V840" s="188" t="inlineStr">
        <is>
          <t>T1189:Drive-by Compromise</t>
        </is>
      </c>
      <c r="W840" s="188" t="n">
        <v>1</v>
      </c>
      <c r="X840" s="188" t="inlineStr">
        <is>
          <t>LOW (40%)</t>
        </is>
      </c>
      <c r="Y840" s="188" t="inlineStr">
        <is>
          <t>UNLIKELY</t>
        </is>
      </c>
      <c r="Z840" s="188" t="inlineStr">
        <is>
          <t>PATCH_AVAILABLE</t>
        </is>
      </c>
      <c r="AA840" s="188" t="inlineStr">
        <is>
          <t>https://nvd.nist.gov/vuln/detail/CVE-2026-27169</t>
        </is>
      </c>
      <c r="AB840" s="188" t="inlineStr">
        <is>
          <t>NONE</t>
        </is>
      </c>
      <c r="AC840" s="188" t="n">
        <v>0</v>
      </c>
      <c r="AD840" s="188" t="inlineStr"/>
    </row>
    <row r="841">
      <c r="A841" s="188" t="inlineStr">
        <is>
          <t>CVE</t>
        </is>
      </c>
      <c r="B841" s="188" t="inlineStr">
        <is>
          <t>CVE-2026-27170</t>
        </is>
      </c>
      <c r="C841" s="188" t="inlineStr">
        <is>
          <t>OpenSift is an AI study tool that sifts through large datasets using semantic search and generative AI. In versions 1.1.2-alpha and below, URL ingest allows overly permissive server-side fetch behavior and can be coerced into requesting unsafe targets. Potential access/probing of private/local network resources from the OpenSift host process when ingesting attacker-controlled URLs. This issue has been fixed in version 1.1.3-alpha. To workaround when using trusted local-only exceptions, use OPENS</t>
        </is>
      </c>
      <c r="D841" s="188" t="n">
        <v>7.1</v>
      </c>
      <c r="E841" s="188" t="inlineStr">
        <is>
          <t>HIGH</t>
        </is>
      </c>
      <c r="F841" s="188" t="n">
        <v>2</v>
      </c>
      <c r="G841" s="188" t="n">
        <v>3</v>
      </c>
      <c r="H841" s="188" t="inlineStr">
        <is>
          <t>HIGH</t>
        </is>
      </c>
      <c r="I841" s="188" t="n">
        <v>13.1</v>
      </c>
      <c r="J841" s="188" t="inlineStr">
        <is>
          <t>NO</t>
        </is>
      </c>
      <c r="K841" s="188" t="inlineStr">
        <is>
          <t>https://nvd.nist.gov/vuln/detail/CVE-2026-27170</t>
        </is>
      </c>
      <c r="L841" s="188" t="inlineStr">
        <is>
          <t>2026-02-26 00:15</t>
        </is>
      </c>
      <c r="M841" s="188" t="inlineStr">
        <is>
          <t>YES</t>
        </is>
      </c>
      <c r="N841" s="188" t="inlineStr">
        <is>
          <t>https://github.com/OpenSift/OpenSift/security/advisories/GHSA-3w2r-hj5p-h6pp</t>
        </is>
      </c>
      <c r="O841" s="188" t="inlineStr">
        <is>
          <t>Apply vendor patches</t>
        </is>
      </c>
      <c r="P841" s="188" t="inlineStr">
        <is>
          <t>opensift opensift *</t>
        </is>
      </c>
      <c r="Q841" s="188" t="inlineStr">
        <is>
          <t>P3</t>
        </is>
      </c>
      <c r="R841" s="188" t="inlineStr">
        <is>
          <t>🚨 URGENT: Apply vendor patches immediately | 🔒 Isolate affected systems if patch unavailable | 🛡️ Enable additional monitoring/IDS rules</t>
        </is>
      </c>
      <c r="S841" s="188" t="inlineStr">
        <is>
          <t>CVE - IP enrichment n/a</t>
        </is>
      </c>
      <c r="T841" s="188" t="n">
        <v>0</v>
      </c>
      <c r="U841" s="188" t="n">
        <v>0</v>
      </c>
      <c r="V841" s="188" t="inlineStr">
        <is>
          <t>T1190:Exploit Public-Facing Application</t>
        </is>
      </c>
      <c r="W841" s="188" t="n">
        <v>1</v>
      </c>
      <c r="X841" s="188" t="inlineStr">
        <is>
          <t>LOW (40%)</t>
        </is>
      </c>
      <c r="Y841" s="188" t="inlineStr">
        <is>
          <t>UNLIKELY</t>
        </is>
      </c>
      <c r="Z841" s="188" t="inlineStr">
        <is>
          <t>PATCH_AVAILABLE</t>
        </is>
      </c>
      <c r="AA841" s="188" t="inlineStr">
        <is>
          <t>https://nvd.nist.gov/vuln/detail/CVE-2026-27170</t>
        </is>
      </c>
      <c r="AB841" s="188" t="inlineStr">
        <is>
          <t>NONE</t>
        </is>
      </c>
      <c r="AC841" s="188" t="n">
        <v>0</v>
      </c>
      <c r="AD841" s="188" t="inlineStr"/>
    </row>
    <row r="842">
      <c r="A842" s="187" t="inlineStr">
        <is>
          <t>CVE</t>
        </is>
      </c>
      <c r="B842" s="187" t="inlineStr">
        <is>
          <t>CVE-2026-27189</t>
        </is>
      </c>
      <c r="C842" s="187" t="inlineStr">
        <is>
          <t>OpenSift is an AI study tool that sifts through large datasets using semantic search and generative AI. Versions 1.1.2-alpha and below, use non-atomic and insufficiently synchronized local JSON persistence flows, potentially causing concurrent operations to lose updates or corrupt local state across sessions/study/quiz/flashcard/wellness/auth stores. This issue has been fixed in version 1.1.3-alpha.</t>
        </is>
      </c>
      <c r="D842" s="187" t="n">
        <v>6.6</v>
      </c>
      <c r="E842" s="187" t="inlineStr">
        <is>
          <t>MEDIUM</t>
        </is>
      </c>
      <c r="F842" s="187" t="n">
        <v>2</v>
      </c>
      <c r="G842" s="187" t="n">
        <v>2</v>
      </c>
      <c r="H842" s="187" t="inlineStr">
        <is>
          <t>MEDIUM</t>
        </is>
      </c>
      <c r="I842" s="187" t="n">
        <v>10.6</v>
      </c>
      <c r="J842" s="187" t="inlineStr">
        <is>
          <t>NO</t>
        </is>
      </c>
      <c r="K842" s="187" t="inlineStr">
        <is>
          <t>https://nvd.nist.gov/vuln/detail/CVE-2026-27189</t>
        </is>
      </c>
      <c r="L842" s="187" t="inlineStr">
        <is>
          <t>2026-02-26 00:15</t>
        </is>
      </c>
      <c r="M842" s="187" t="inlineStr">
        <is>
          <t>YES</t>
        </is>
      </c>
      <c r="N842" s="187" t="inlineStr">
        <is>
          <t>https://github.com/OpenSift/OpenSift/security/advisories/GHSA-3pmp-j953-whxq</t>
        </is>
      </c>
      <c r="O842" s="187" t="inlineStr">
        <is>
          <t>Apply vendor patches</t>
        </is>
      </c>
      <c r="P842" s="187" t="inlineStr">
        <is>
          <t>opensift opensift *</t>
        </is>
      </c>
      <c r="Q842" s="187" t="inlineStr">
        <is>
          <t>P4</t>
        </is>
      </c>
      <c r="R842" s="187" t="inlineStr">
        <is>
          <t>📅 Schedule patch deployment within 30 days | 🔍 Monitor for exploitation attempts</t>
        </is>
      </c>
      <c r="S842" s="187" t="inlineStr">
        <is>
          <t>CVE - IP enrichment n/a</t>
        </is>
      </c>
      <c r="T842" s="187" t="n">
        <v>0</v>
      </c>
      <c r="U842" s="187" t="n">
        <v>0</v>
      </c>
      <c r="V842" s="187" t="inlineStr">
        <is>
          <t>T1068:Exploitation for Privilege Escalation</t>
        </is>
      </c>
      <c r="W842" s="187" t="n">
        <v>1</v>
      </c>
      <c r="X842" s="187" t="inlineStr">
        <is>
          <t>LOW (40%)</t>
        </is>
      </c>
      <c r="Y842" s="187" t="inlineStr">
        <is>
          <t>UNLIKELY</t>
        </is>
      </c>
      <c r="Z842" s="187" t="inlineStr">
        <is>
          <t>PATCH_AVAILABLE</t>
        </is>
      </c>
      <c r="AA842" s="187" t="inlineStr">
        <is>
          <t>https://nvd.nist.gov/vuln/detail/CVE-2026-27189</t>
        </is>
      </c>
      <c r="AB842" s="187" t="inlineStr">
        <is>
          <t>NONE</t>
        </is>
      </c>
      <c r="AC842" s="187" t="n">
        <v>0</v>
      </c>
      <c r="AD842" s="187" t="inlineStr"/>
    </row>
    <row r="843">
      <c r="A843" s="188" t="inlineStr">
        <is>
          <t>CVE</t>
        </is>
      </c>
      <c r="B843" s="188" t="inlineStr">
        <is>
          <t>CVE-2026-27202</t>
        </is>
      </c>
      <c r="C843" s="188" t="inlineStr">
        <is>
          <t>GetSimple CMS is a content management system. All versions of GetSimple CMS have a flaw in the Uploaded Files feature that allows for arbitrary file reads. This issue has not been fixed at the time of publication.</t>
        </is>
      </c>
      <c r="D843" s="188" t="n">
        <v>7.5</v>
      </c>
      <c r="E843" s="188" t="inlineStr">
        <is>
          <t>HIGH</t>
        </is>
      </c>
      <c r="F843" s="188" t="n">
        <v>2</v>
      </c>
      <c r="G843" s="188" t="n">
        <v>3</v>
      </c>
      <c r="H843" s="188" t="inlineStr">
        <is>
          <t>HIGH</t>
        </is>
      </c>
      <c r="I843" s="188" t="n">
        <v>13.5</v>
      </c>
      <c r="J843" s="188" t="inlineStr">
        <is>
          <t>NO</t>
        </is>
      </c>
      <c r="K843" s="188" t="inlineStr">
        <is>
          <t>https://nvd.nist.gov/vuln/detail/CVE-2026-27202</t>
        </is>
      </c>
      <c r="L843" s="188" t="inlineStr">
        <is>
          <t>2026-02-26 00:15</t>
        </is>
      </c>
      <c r="M843" s="188" t="inlineStr">
        <is>
          <t>YES</t>
        </is>
      </c>
      <c r="N843" s="188" t="inlineStr">
        <is>
          <t>https://github.com/GetSimpleCMS-CE/GetSimpleCMS-CE/security/advisories/GHSA-xhwv-g6q4-h886</t>
        </is>
      </c>
      <c r="O843" s="188" t="inlineStr">
        <is>
          <t>Apply vendor patches</t>
        </is>
      </c>
      <c r="P843" s="188" t="inlineStr">
        <is>
          <t>getsimple-ce getsimple_cms 3.3.22</t>
        </is>
      </c>
      <c r="Q843" s="188" t="inlineStr">
        <is>
          <t>P3</t>
        </is>
      </c>
      <c r="R843" s="188" t="inlineStr">
        <is>
          <t>🚨 URGENT: Apply vendor patches immediately | 🔒 Isolate affected systems if patch unavailable | 🛡️ Enable additional monitoring/IDS rules</t>
        </is>
      </c>
      <c r="S843" s="188" t="inlineStr">
        <is>
          <t>CVE - IP enrichment n/a</t>
        </is>
      </c>
      <c r="T843" s="188" t="n">
        <v>0</v>
      </c>
      <c r="U843" s="188" t="n">
        <v>0</v>
      </c>
      <c r="V843" s="188" t="inlineStr">
        <is>
          <t>T1083:File and Directory Discovery</t>
        </is>
      </c>
      <c r="W843" s="188" t="n">
        <v>1</v>
      </c>
      <c r="X843" s="188" t="inlineStr">
        <is>
          <t>LOW (40%)</t>
        </is>
      </c>
      <c r="Y843" s="188" t="inlineStr">
        <is>
          <t>UNLIKELY</t>
        </is>
      </c>
      <c r="Z843" s="188" t="inlineStr">
        <is>
          <t>PATCH_AVAILABLE</t>
        </is>
      </c>
      <c r="AA843" s="188" t="inlineStr">
        <is>
          <t>https://nvd.nist.gov/vuln/detail/CVE-2026-27202</t>
        </is>
      </c>
      <c r="AB843" s="188" t="inlineStr">
        <is>
          <t>NONE</t>
        </is>
      </c>
      <c r="AC843" s="188" t="n">
        <v>0</v>
      </c>
      <c r="AD843" s="188" t="inlineStr"/>
    </row>
    <row r="844">
      <c r="A844" s="188" t="inlineStr">
        <is>
          <t>CVE</t>
        </is>
      </c>
      <c r="B844" s="188" t="inlineStr">
        <is>
          <t>CVE-2026-27203</t>
        </is>
      </c>
      <c r="C844" s="188" t="inlineStr">
        <is>
          <t>eBay API MCP Server is an open source local MCP server providing AI assistants with comprehensive access to eBay's Sell APIs. All versions are vulnerable to Environment Variable Injection through the updateEnvFile function. The ebay_set_user_tokens tool allows updating the .env file with new tokens. The updateEnvFile function in src/auth/oauth.ts blindly appends or replaces values without validating them for newlines or quotes. This allows an attacker to inject arbitrary environment variables in</t>
        </is>
      </c>
      <c r="D844" s="188" t="n">
        <v>8.300000000000001</v>
      </c>
      <c r="E844" s="188" t="inlineStr">
        <is>
          <t>HIGH</t>
        </is>
      </c>
      <c r="F844" s="188" t="n">
        <v>2</v>
      </c>
      <c r="G844" s="188" t="n">
        <v>3</v>
      </c>
      <c r="H844" s="188" t="inlineStr">
        <is>
          <t>HIGH</t>
        </is>
      </c>
      <c r="I844" s="188" t="n">
        <v>14.3</v>
      </c>
      <c r="J844" s="188" t="inlineStr">
        <is>
          <t>NO</t>
        </is>
      </c>
      <c r="K844" s="188" t="inlineStr">
        <is>
          <t>https://nvd.nist.gov/vuln/detail/CVE-2026-27203</t>
        </is>
      </c>
      <c r="L844" s="188" t="inlineStr">
        <is>
          <t>2026-02-26 00:15</t>
        </is>
      </c>
      <c r="M844" s="188" t="inlineStr">
        <is>
          <t>CHECK_VENDOR</t>
        </is>
      </c>
      <c r="N844" s="188" t="inlineStr">
        <is>
          <t>See NVD references</t>
        </is>
      </c>
      <c r="O844" s="188" t="inlineStr">
        <is>
          <t>Apply vendor patches</t>
        </is>
      </c>
      <c r="P844" s="188" t="inlineStr">
        <is>
          <t>See CVE details</t>
        </is>
      </c>
      <c r="Q844" s="188" t="inlineStr">
        <is>
          <t>P3</t>
        </is>
      </c>
      <c r="R844" s="188" t="inlineStr">
        <is>
          <t>🚨 URGENT: Apply vendor patches immediately | 🔒 Isolate affected systems if patch unavailable | 🛡️ Enable additional monitoring/IDS rules</t>
        </is>
      </c>
      <c r="S844" s="188" t="inlineStr">
        <is>
          <t>CVE - IP enrichment n/a</t>
        </is>
      </c>
      <c r="T844" s="188" t="n">
        <v>0</v>
      </c>
      <c r="U844" s="188" t="n">
        <v>0</v>
      </c>
      <c r="V844" s="188" t="inlineStr">
        <is>
          <t>T1190:Exploit Public-Facing Application | T1499:Endpoint Denial of Service</t>
        </is>
      </c>
      <c r="W844" s="188" t="n">
        <v>1</v>
      </c>
      <c r="X844" s="188" t="inlineStr">
        <is>
          <t>LOW (40%)</t>
        </is>
      </c>
      <c r="Y844" s="188" t="inlineStr">
        <is>
          <t>UNLIKELY</t>
        </is>
      </c>
      <c r="Z844" s="188" t="inlineStr">
        <is>
          <t>CHECK_VENDOR</t>
        </is>
      </c>
      <c r="AA844" s="188" t="inlineStr">
        <is>
          <t>https://nvd.nist.gov/vuln/detail/CVE-2026-27203</t>
        </is>
      </c>
      <c r="AB844" s="188" t="inlineStr">
        <is>
          <t>NONE</t>
        </is>
      </c>
      <c r="AC844" s="188" t="n">
        <v>0</v>
      </c>
      <c r="AD844" s="188" t="inlineStr"/>
    </row>
    <row r="845">
      <c r="A845" s="187" t="inlineStr">
        <is>
          <t>CVE</t>
        </is>
      </c>
      <c r="B845" s="187" t="inlineStr">
        <is>
          <t>CVE-2025-65995</t>
        </is>
      </c>
      <c r="C845" s="187" t="inlineStr">
        <is>
          <t>When a DAG failed during parsing, Airflow’s error-reporting in the UI could include the full kwargs passed to the operators. If those kwargs contained sensitive values (such as secrets), they might be exposed in the UI tracebacks to authenticated users who had permission to view that DAG. 
The issue has been fixed in Airflow 3.1.4 and 2.11.1, and users are strongly advised to upgrade to prevent potential disclosure of sensitive information.</t>
        </is>
      </c>
      <c r="D845" s="187" t="n">
        <v>6.5</v>
      </c>
      <c r="E845" s="187" t="inlineStr">
        <is>
          <t>MEDIUM</t>
        </is>
      </c>
      <c r="F845" s="187" t="n">
        <v>2</v>
      </c>
      <c r="G845" s="187" t="n">
        <v>2</v>
      </c>
      <c r="H845" s="187" t="inlineStr">
        <is>
          <t>MEDIUM</t>
        </is>
      </c>
      <c r="I845" s="187" t="n">
        <v>10.5</v>
      </c>
      <c r="J845" s="187" t="inlineStr">
        <is>
          <t>NO</t>
        </is>
      </c>
      <c r="K845" s="187" t="inlineStr">
        <is>
          <t>https://nvd.nist.gov/vuln/detail/CVE-2025-65995</t>
        </is>
      </c>
      <c r="L845" s="187" t="inlineStr">
        <is>
          <t>2026-02-26 00:15</t>
        </is>
      </c>
      <c r="M845" s="187" t="inlineStr">
        <is>
          <t>YES</t>
        </is>
      </c>
      <c r="N845" s="187" t="inlineStr">
        <is>
          <t>https://github.com/apache/airflow/pull/58252 | https://github.com/apache/airflow/pull/61883 | https://lists.apache.org/thread/1qzlrjo2wmlzs0rrgzgslj2pzkor0dr2</t>
        </is>
      </c>
      <c r="O845" s="187" t="inlineStr">
        <is>
          <t>Apply vendor patches</t>
        </is>
      </c>
      <c r="P845" s="187" t="inlineStr">
        <is>
          <t>apache airflow *</t>
        </is>
      </c>
      <c r="Q845" s="187" t="inlineStr">
        <is>
          <t>P4</t>
        </is>
      </c>
      <c r="R845" s="187" t="inlineStr">
        <is>
          <t>📅 Schedule patch deployment within 30 days | 🔍 Monitor for exploitation attempts</t>
        </is>
      </c>
      <c r="S845" s="187" t="inlineStr">
        <is>
          <t>CVE - IP enrichment n/a</t>
        </is>
      </c>
      <c r="T845" s="187" t="n">
        <v>0.0003</v>
      </c>
      <c r="U845" s="187" t="n">
        <v>0.0848</v>
      </c>
      <c r="V845" s="187" t="inlineStr">
        <is>
          <t>T1190:Exploit Public-Facing Application</t>
        </is>
      </c>
      <c r="W845" s="187" t="n">
        <v>1</v>
      </c>
      <c r="X845" s="187" t="inlineStr">
        <is>
          <t>LOW (40%)</t>
        </is>
      </c>
      <c r="Y845" s="187" t="inlineStr">
        <is>
          <t>UNLIKELY</t>
        </is>
      </c>
      <c r="Z845" s="187" t="inlineStr">
        <is>
          <t>PATCH_AVAILABLE</t>
        </is>
      </c>
      <c r="AA845" s="187" t="inlineStr">
        <is>
          <t>https://nvd.nist.gov/vuln/detail/CVE-2025-65995</t>
        </is>
      </c>
      <c r="AB845" s="187" t="inlineStr">
        <is>
          <t>NONE</t>
        </is>
      </c>
      <c r="AC845" s="187" t="n">
        <v>0</v>
      </c>
      <c r="AD845" s="187" t="inlineStr"/>
    </row>
    <row r="846">
      <c r="A846" s="187" t="inlineStr">
        <is>
          <t>CVE</t>
        </is>
      </c>
      <c r="B846" s="187" t="inlineStr">
        <is>
          <t>CVE-2026-27191</t>
        </is>
      </c>
      <c r="C846" s="187" t="inlineStr">
        <is>
          <t>Feathersjs is a framework for creating web APIs and real-time applications with TypeScript or JavaScript. Versions 5.0.39 and below the redirect query parameter is appended to the base origin without validation, allowing attackers to steal access tokens via URL authority injection. This leads to full account takeover, as the attacker obtains the victim's access token and can impersonate them. The application constructs the final redirect URL by concatenating the base origin with the user-supplie</t>
        </is>
      </c>
      <c r="D846" s="187" t="n">
        <v>6.1</v>
      </c>
      <c r="E846" s="187" t="inlineStr">
        <is>
          <t>MEDIUM</t>
        </is>
      </c>
      <c r="F846" s="187" t="n">
        <v>2</v>
      </c>
      <c r="G846" s="187" t="n">
        <v>2</v>
      </c>
      <c r="H846" s="187" t="inlineStr">
        <is>
          <t>MEDIUM</t>
        </is>
      </c>
      <c r="I846" s="187" t="n">
        <v>10.1</v>
      </c>
      <c r="J846" s="187" t="inlineStr">
        <is>
          <t>NO</t>
        </is>
      </c>
      <c r="K846" s="187" t="inlineStr">
        <is>
          <t>https://nvd.nist.gov/vuln/detail/CVE-2026-27191</t>
        </is>
      </c>
      <c r="L846" s="187" t="inlineStr">
        <is>
          <t>2026-02-26 00:15</t>
        </is>
      </c>
      <c r="M846" s="187" t="inlineStr">
        <is>
          <t>YES</t>
        </is>
      </c>
      <c r="N846" s="187" t="inlineStr">
        <is>
          <t>https://github.com/feathersjs/feathers/commit/ee19a0ae9bc2ebf23b1fe598a1f7361981b65401</t>
        </is>
      </c>
      <c r="O846" s="187" t="inlineStr">
        <is>
          <t>Apply vendor patches</t>
        </is>
      </c>
      <c r="P846" s="187" t="inlineStr">
        <is>
          <t>feathersjs feathers *</t>
        </is>
      </c>
      <c r="Q846" s="187" t="inlineStr">
        <is>
          <t>P4</t>
        </is>
      </c>
      <c r="R846" s="187" t="inlineStr">
        <is>
          <t>📅 Schedule patch deployment within 30 days | 🔍 Monitor for exploitation attempts</t>
        </is>
      </c>
      <c r="S846" s="187" t="inlineStr">
        <is>
          <t>CVE - IP enrichment n/a</t>
        </is>
      </c>
      <c r="T846" s="187" t="n">
        <v>0</v>
      </c>
      <c r="U846" s="187" t="n">
        <v>0</v>
      </c>
      <c r="V846" s="187" t="inlineStr">
        <is>
          <t>T1189:Drive-by Compromise</t>
        </is>
      </c>
      <c r="W846" s="187" t="n">
        <v>1</v>
      </c>
      <c r="X846" s="187" t="inlineStr">
        <is>
          <t>LOW (40%)</t>
        </is>
      </c>
      <c r="Y846" s="187" t="inlineStr">
        <is>
          <t>UNLIKELY</t>
        </is>
      </c>
      <c r="Z846" s="187" t="inlineStr">
        <is>
          <t>PATCH_AVAILABLE</t>
        </is>
      </c>
      <c r="AA846" s="187" t="inlineStr">
        <is>
          <t>https://nvd.nist.gov/vuln/detail/CVE-2026-27191</t>
        </is>
      </c>
      <c r="AB846" s="187" t="inlineStr">
        <is>
          <t>NONE</t>
        </is>
      </c>
      <c r="AC846" s="187" t="n">
        <v>0</v>
      </c>
      <c r="AD846" s="187" t="inlineStr"/>
    </row>
    <row r="847">
      <c r="A847" s="188" t="inlineStr">
        <is>
          <t>CVE</t>
        </is>
      </c>
      <c r="B847" s="188" t="inlineStr">
        <is>
          <t>CVE-2026-27192</t>
        </is>
      </c>
      <c r="C847" s="188" t="inlineStr">
        <is>
          <t>Feathersjs is a framework for creating web APIs and real-time applications with TypeScript or JavaScript. In versions 5.0.39 and below, origin validation uses startsWith() for comparison, allowing attackers to bypass the check by registering a domain that shares a common prefix with an allowed origin.The getAllowedOrigin() function checks if the Referer header starts with any allowed origin, and this comparison is insufficient as it only validates the prefix. This is exploitable when the origins</t>
        </is>
      </c>
      <c r="D847" s="188" t="n">
        <v>8.1</v>
      </c>
      <c r="E847" s="188" t="inlineStr">
        <is>
          <t>HIGH</t>
        </is>
      </c>
      <c r="F847" s="188" t="n">
        <v>2</v>
      </c>
      <c r="G847" s="188" t="n">
        <v>3</v>
      </c>
      <c r="H847" s="188" t="inlineStr">
        <is>
          <t>HIGH</t>
        </is>
      </c>
      <c r="I847" s="188" t="n">
        <v>14.1</v>
      </c>
      <c r="J847" s="188" t="inlineStr">
        <is>
          <t>NO</t>
        </is>
      </c>
      <c r="K847" s="188" t="inlineStr">
        <is>
          <t>https://nvd.nist.gov/vuln/detail/CVE-2026-27192</t>
        </is>
      </c>
      <c r="L847" s="188" t="inlineStr">
        <is>
          <t>2026-02-26 00:15</t>
        </is>
      </c>
      <c r="M847" s="188" t="inlineStr">
        <is>
          <t>YES</t>
        </is>
      </c>
      <c r="N847" s="188" t="inlineStr">
        <is>
          <t>https://github.com/feathersjs/feathers/commit/ee19a0ae9bc2ebf23b1fe598a1f7361981b65401</t>
        </is>
      </c>
      <c r="O847" s="188" t="inlineStr">
        <is>
          <t>Apply vendor patches</t>
        </is>
      </c>
      <c r="P847" s="188" t="inlineStr">
        <is>
          <t>feathersjs feathers *</t>
        </is>
      </c>
      <c r="Q847" s="188" t="inlineStr">
        <is>
          <t>P3</t>
        </is>
      </c>
      <c r="R847" s="188" t="inlineStr">
        <is>
          <t>🚨 URGENT: Apply vendor patches immediately | 🔒 Isolate affected systems if patch unavailable | 🛡️ Enable additional monitoring/IDS rules</t>
        </is>
      </c>
      <c r="S847" s="188" t="inlineStr">
        <is>
          <t>CVE - IP enrichment n/a</t>
        </is>
      </c>
      <c r="T847" s="188" t="n">
        <v>0</v>
      </c>
      <c r="U847" s="188" t="n">
        <v>0</v>
      </c>
      <c r="V847" s="188" t="inlineStr">
        <is>
          <t>T1190:Exploit Public-Facing Application</t>
        </is>
      </c>
      <c r="W847" s="188" t="n">
        <v>1</v>
      </c>
      <c r="X847" s="188" t="inlineStr">
        <is>
          <t>LOW (40%)</t>
        </is>
      </c>
      <c r="Y847" s="188" t="inlineStr">
        <is>
          <t>UNLIKELY</t>
        </is>
      </c>
      <c r="Z847" s="188" t="inlineStr">
        <is>
          <t>PATCH_AVAILABLE</t>
        </is>
      </c>
      <c r="AA847" s="188" t="inlineStr">
        <is>
          <t>https://nvd.nist.gov/vuln/detail/CVE-2026-27192</t>
        </is>
      </c>
      <c r="AB847" s="188" t="inlineStr">
        <is>
          <t>NONE</t>
        </is>
      </c>
      <c r="AC847" s="188" t="n">
        <v>0</v>
      </c>
      <c r="AD847" s="188" t="inlineStr"/>
    </row>
    <row r="848">
      <c r="A848" s="187" t="inlineStr">
        <is>
          <t>CVE</t>
        </is>
      </c>
      <c r="B848" s="187" t="inlineStr">
        <is>
          <t>CVE-2026-27193</t>
        </is>
      </c>
      <c r="C848" s="187" t="inlineStr">
        <is>
          <t xml:space="preserve">Feathersjs is a framework for creating web APIs and real-time applications with TypeScript or JavaScript. In versions 5.0.39 and below, all HTTP request headers are stored in the session cookie, which is signed but not encrypted, exposing internal proxy/gateway headers to clients. The OAuth service stores the complete headers object in the session, then the session is persisted using cookie-session, which base64-encodes the data. While the cookie is signed to prevent tampering, the contents are </t>
        </is>
      </c>
      <c r="D848" s="187" t="n">
        <v>5.3</v>
      </c>
      <c r="E848" s="187" t="inlineStr">
        <is>
          <t>MEDIUM</t>
        </is>
      </c>
      <c r="F848" s="187" t="n">
        <v>2</v>
      </c>
      <c r="G848" s="187" t="n">
        <v>2</v>
      </c>
      <c r="H848" s="187" t="inlineStr">
        <is>
          <t>MEDIUM</t>
        </is>
      </c>
      <c r="I848" s="187" t="n">
        <v>9.300000000000001</v>
      </c>
      <c r="J848" s="187" t="inlineStr">
        <is>
          <t>NO</t>
        </is>
      </c>
      <c r="K848" s="187" t="inlineStr">
        <is>
          <t>https://nvd.nist.gov/vuln/detail/CVE-2026-27193</t>
        </is>
      </c>
      <c r="L848" s="187" t="inlineStr">
        <is>
          <t>2026-02-26 00:15</t>
        </is>
      </c>
      <c r="M848" s="187" t="inlineStr">
        <is>
          <t>YES</t>
        </is>
      </c>
      <c r="N848" s="187" t="inlineStr">
        <is>
          <t>https://github.com/feathersjs/feathers/commit/ee19a0ae9bc2ebf23b1fe598a1f7361981b65401</t>
        </is>
      </c>
      <c r="O848" s="187" t="inlineStr">
        <is>
          <t>Apply vendor patches</t>
        </is>
      </c>
      <c r="P848" s="187" t="inlineStr">
        <is>
          <t>feathersjs feathers *</t>
        </is>
      </c>
      <c r="Q848" s="187" t="inlineStr">
        <is>
          <t>P4</t>
        </is>
      </c>
      <c r="R848" s="187" t="inlineStr">
        <is>
          <t>📅 Schedule patch deployment within 30 days | 🔍 Monitor for exploitation attempts</t>
        </is>
      </c>
      <c r="S848" s="187" t="inlineStr">
        <is>
          <t>CVE - IP enrichment n/a</t>
        </is>
      </c>
      <c r="T848" s="187" t="n">
        <v>0</v>
      </c>
      <c r="U848" s="187" t="n">
        <v>0</v>
      </c>
      <c r="V848" s="187" t="inlineStr">
        <is>
          <t>T1213:Data from Information Repositories</t>
        </is>
      </c>
      <c r="W848" s="187" t="n">
        <v>1</v>
      </c>
      <c r="X848" s="187" t="inlineStr">
        <is>
          <t>LOW (40%)</t>
        </is>
      </c>
      <c r="Y848" s="187" t="inlineStr">
        <is>
          <t>UNLIKELY</t>
        </is>
      </c>
      <c r="Z848" s="187" t="inlineStr">
        <is>
          <t>PATCH_AVAILABLE</t>
        </is>
      </c>
      <c r="AA848" s="187" t="inlineStr">
        <is>
          <t>https://nvd.nist.gov/vuln/detail/CVE-2026-27193</t>
        </is>
      </c>
      <c r="AB848" s="187" t="inlineStr">
        <is>
          <t>NONE</t>
        </is>
      </c>
      <c r="AC848" s="187" t="n">
        <v>0</v>
      </c>
      <c r="AD848" s="187" t="inlineStr"/>
    </row>
    <row r="849">
      <c r="A849" s="189" t="inlineStr">
        <is>
          <t>CVE</t>
        </is>
      </c>
      <c r="B849" s="189" t="inlineStr">
        <is>
          <t>CVE-2026-27194</t>
        </is>
      </c>
      <c r="C849" s="189" t="inlineStr">
        <is>
          <t>D-Tale is a visualizer for pandas data structures. Versions prior to 3.20.0 are vulnerable to Remote Code Execution through the /save-column-filter endpoint. Users hosting D-Tale publicly can be vulnerable to remote code execution allowing attackers to run malicious code on the server. This issue has been fixed in version 3.20.0.</t>
        </is>
      </c>
      <c r="D849" s="189" t="n">
        <v>9.800000000000001</v>
      </c>
      <c r="E849" s="189" t="inlineStr">
        <is>
          <t>CRITICAL</t>
        </is>
      </c>
      <c r="F849" s="189" t="n">
        <v>2</v>
      </c>
      <c r="G849" s="189" t="n">
        <v>3</v>
      </c>
      <c r="H849" s="189" t="inlineStr">
        <is>
          <t>HIGH</t>
        </is>
      </c>
      <c r="I849" s="189" t="n">
        <v>15.8</v>
      </c>
      <c r="J849" s="189" t="inlineStr">
        <is>
          <t>NO</t>
        </is>
      </c>
      <c r="K849" s="189" t="inlineStr">
        <is>
          <t>https://nvd.nist.gov/vuln/detail/CVE-2026-27194</t>
        </is>
      </c>
      <c r="L849" s="189" t="inlineStr">
        <is>
          <t>2026-02-26 00:15</t>
        </is>
      </c>
      <c r="M849" s="189" t="inlineStr">
        <is>
          <t>YES</t>
        </is>
      </c>
      <c r="N849" s="189" t="inlineStr">
        <is>
          <t>https://github.com/man-group/dtale/commit/431c6148d3c799de20e1dec86c4432f48e3d0746 | https://github.com/man-group/dtale/security/advisories/GHSA-c87c-78rc-vmv2</t>
        </is>
      </c>
      <c r="O849" s="189" t="inlineStr">
        <is>
          <t>Apply vendor patches</t>
        </is>
      </c>
      <c r="P849" s="189" t="inlineStr">
        <is>
          <t>man d-tale *</t>
        </is>
      </c>
      <c r="Q849" s="189" t="inlineStr">
        <is>
          <t>P3</t>
        </is>
      </c>
      <c r="R849" s="189" t="inlineStr">
        <is>
          <t>🚨 URGENT: Apply vendor patches immediately | 🔒 Isolate affected systems if patch unavailable | 🛡️ Enable additional monitoring/IDS rules</t>
        </is>
      </c>
      <c r="S849" s="189" t="inlineStr">
        <is>
          <t>CVE - IP enrichment n/a</t>
        </is>
      </c>
      <c r="T849" s="189" t="n">
        <v>0</v>
      </c>
      <c r="U849" s="189" t="n">
        <v>0</v>
      </c>
      <c r="V849" s="189" t="inlineStr">
        <is>
          <t>T1190:Exploit Public-Facing Application | T1210:Exploitation of Remote Services</t>
        </is>
      </c>
      <c r="W849" s="189" t="n">
        <v>1</v>
      </c>
      <c r="X849" s="189" t="inlineStr">
        <is>
          <t>LOW (40%)</t>
        </is>
      </c>
      <c r="Y849" s="189" t="inlineStr">
        <is>
          <t>UNLIKELY</t>
        </is>
      </c>
      <c r="Z849" s="189" t="inlineStr">
        <is>
          <t>PATCH_AVAILABLE</t>
        </is>
      </c>
      <c r="AA849" s="189" t="inlineStr">
        <is>
          <t>https://nvd.nist.gov/vuln/detail/CVE-2026-27194</t>
        </is>
      </c>
      <c r="AB849" s="189" t="inlineStr">
        <is>
          <t>NONE</t>
        </is>
      </c>
      <c r="AC849" s="189" t="n">
        <v>0</v>
      </c>
      <c r="AD849" s="189" t="inlineStr"/>
    </row>
    <row r="850">
      <c r="A850" s="188" t="inlineStr">
        <is>
          <t>CVE</t>
        </is>
      </c>
      <c r="B850" s="188" t="inlineStr">
        <is>
          <t>CVE-2026-27196</t>
        </is>
      </c>
      <c r="C850" s="188" t="inlineStr">
        <is>
          <t>Statmatic is a Laravel and Git powered content management system (CMS). Versions 5.73.8 and below in addition to 6.0.0-alpha.1 through 6.3.1 have a Stored XSS vulnerability in html fieldtypes which allows authenticated users with field management permissions to inject malicious JavaScript that executes when viewed by higher-privileged users. This issue has been fixed in 6.3.2 and 5.73.9.</t>
        </is>
      </c>
      <c r="D850" s="188" t="n">
        <v>8.1</v>
      </c>
      <c r="E850" s="188" t="inlineStr">
        <is>
          <t>HIGH</t>
        </is>
      </c>
      <c r="F850" s="188" t="n">
        <v>2</v>
      </c>
      <c r="G850" s="188" t="n">
        <v>3</v>
      </c>
      <c r="H850" s="188" t="inlineStr">
        <is>
          <t>HIGH</t>
        </is>
      </c>
      <c r="I850" s="188" t="n">
        <v>14.1</v>
      </c>
      <c r="J850" s="188" t="inlineStr">
        <is>
          <t>NO</t>
        </is>
      </c>
      <c r="K850" s="188" t="inlineStr">
        <is>
          <t>https://nvd.nist.gov/vuln/detail/CVE-2026-27196</t>
        </is>
      </c>
      <c r="L850" s="188" t="inlineStr">
        <is>
          <t>2026-02-26 00:15</t>
        </is>
      </c>
      <c r="M850" s="188" t="inlineStr">
        <is>
          <t>CHECK_VENDOR</t>
        </is>
      </c>
      <c r="N850" s="188" t="inlineStr">
        <is>
          <t>See NVD references</t>
        </is>
      </c>
      <c r="O850" s="188" t="inlineStr">
        <is>
          <t>Apply vendor patches</t>
        </is>
      </c>
      <c r="P850" s="188" t="inlineStr">
        <is>
          <t>See CVE details</t>
        </is>
      </c>
      <c r="Q850" s="188" t="inlineStr">
        <is>
          <t>P3</t>
        </is>
      </c>
      <c r="R850" s="188" t="inlineStr">
        <is>
          <t>🚨 URGENT: Apply vendor patches immediately | 🔒 Isolate affected systems if patch unavailable | 🛡️ Enable additional monitoring/IDS rules</t>
        </is>
      </c>
      <c r="S850" s="188" t="inlineStr">
        <is>
          <t>CVE - IP enrichment n/a</t>
        </is>
      </c>
      <c r="T850" s="188" t="n">
        <v>0</v>
      </c>
      <c r="U850" s="188" t="n">
        <v>0</v>
      </c>
      <c r="V850" s="188" t="inlineStr">
        <is>
          <t>T1189:Drive-by Compromise</t>
        </is>
      </c>
      <c r="W850" s="188" t="n">
        <v>1</v>
      </c>
      <c r="X850" s="188" t="inlineStr">
        <is>
          <t>LOW (40%)</t>
        </is>
      </c>
      <c r="Y850" s="188" t="inlineStr">
        <is>
          <t>UNLIKELY</t>
        </is>
      </c>
      <c r="Z850" s="188" t="inlineStr">
        <is>
          <t>CHECK_VENDOR</t>
        </is>
      </c>
      <c r="AA850" s="188" t="inlineStr">
        <is>
          <t>https://nvd.nist.gov/vuln/detail/CVE-2026-27196</t>
        </is>
      </c>
      <c r="AB850" s="188" t="inlineStr">
        <is>
          <t>NONE</t>
        </is>
      </c>
      <c r="AC850" s="188" t="n">
        <v>0</v>
      </c>
      <c r="AD850" s="188" t="inlineStr"/>
    </row>
    <row r="851">
      <c r="A851" s="189" t="inlineStr">
        <is>
          <t>CVE</t>
        </is>
      </c>
      <c r="B851" s="189" t="inlineStr">
        <is>
          <t>CVE-2026-27197</t>
        </is>
      </c>
      <c r="C851" s="189" t="inlineStr">
        <is>
          <t>Sentry is a developer-first error tracking and performance monitoring tool. Versions 21.12.0 through 26.1.0 have a critical vulnerability in its SAML SSO implementation  which allows an attacker to take over any user account by using a malicious SAML Identity Provider and another organization on the same Sentry instance. Self-hosted users are only at risk if the following criteria is met: ore than one organizations are configured (SENTRY_SINGLE_ORGANIZATION = True), or malicious user has existin</t>
        </is>
      </c>
      <c r="D851" s="189" t="n">
        <v>9.1</v>
      </c>
      <c r="E851" s="189" t="inlineStr">
        <is>
          <t>CRITICAL</t>
        </is>
      </c>
      <c r="F851" s="189" t="n">
        <v>2</v>
      </c>
      <c r="G851" s="189" t="n">
        <v>3</v>
      </c>
      <c r="H851" s="189" t="inlineStr">
        <is>
          <t>HIGH</t>
        </is>
      </c>
      <c r="I851" s="189" t="n">
        <v>15.1</v>
      </c>
      <c r="J851" s="189" t="inlineStr">
        <is>
          <t>NO</t>
        </is>
      </c>
      <c r="K851" s="189" t="inlineStr">
        <is>
          <t>https://nvd.nist.gov/vuln/detail/CVE-2026-27197</t>
        </is>
      </c>
      <c r="L851" s="189" t="inlineStr">
        <is>
          <t>2026-02-26 00:15</t>
        </is>
      </c>
      <c r="M851" s="189" t="inlineStr">
        <is>
          <t>YES</t>
        </is>
      </c>
      <c r="N851" s="189" t="inlineStr">
        <is>
          <t>https://github.com/getsentry/sentry/security/advisories/GHSA-ggmg-cqg6-j45g</t>
        </is>
      </c>
      <c r="O851" s="189" t="inlineStr">
        <is>
          <t>https://github.com/getsentry/sentry/security/advisories/GHSA-ggmg-cqg6-j45g</t>
        </is>
      </c>
      <c r="P851" s="189" t="inlineStr">
        <is>
          <t>sentry sentry *</t>
        </is>
      </c>
      <c r="Q851" s="189" t="inlineStr">
        <is>
          <t>P3</t>
        </is>
      </c>
      <c r="R851" s="189" t="inlineStr">
        <is>
          <t>🚨 URGENT: Apply vendor patches immediately | 🔒 Isolate affected systems if patch unavailable | 🛡️ Enable additional monitoring/IDS rules</t>
        </is>
      </c>
      <c r="S851" s="189" t="inlineStr">
        <is>
          <t>CVE - IP enrichment n/a</t>
        </is>
      </c>
      <c r="T851" s="189" t="n">
        <v>0</v>
      </c>
      <c r="U851" s="189" t="n">
        <v>0</v>
      </c>
      <c r="V851" s="189" t="inlineStr">
        <is>
          <t>T1078:Valid Accounts | T1110:Brute Force</t>
        </is>
      </c>
      <c r="W851" s="189" t="n">
        <v>1</v>
      </c>
      <c r="X851" s="189" t="inlineStr">
        <is>
          <t>LOW (40%)</t>
        </is>
      </c>
      <c r="Y851" s="189" t="inlineStr">
        <is>
          <t>UNLIKELY</t>
        </is>
      </c>
      <c r="Z851" s="189" t="inlineStr">
        <is>
          <t>PATCH_AVAILABLE</t>
        </is>
      </c>
      <c r="AA851" s="189" t="inlineStr">
        <is>
          <t>https://nvd.nist.gov/vuln/detail/CVE-2026-27197</t>
        </is>
      </c>
      <c r="AB851" s="189" t="inlineStr">
        <is>
          <t>NONE</t>
        </is>
      </c>
      <c r="AC851" s="189" t="n">
        <v>0</v>
      </c>
      <c r="AD851" s="189" t="inlineStr"/>
    </row>
    <row r="852">
      <c r="A852" s="187" t="inlineStr">
        <is>
          <t>CVE</t>
        </is>
      </c>
      <c r="B852" s="187" t="inlineStr">
        <is>
          <t>CVE-2026-27527</t>
        </is>
      </c>
      <c r="C852" s="187" t="inlineStr">
        <is>
          <t>Rejected reason: Not used</t>
        </is>
      </c>
      <c r="D852" s="187" t="n">
        <v>5</v>
      </c>
      <c r="E852" s="187" t="inlineStr">
        <is>
          <t>MEDIUM</t>
        </is>
      </c>
      <c r="F852" s="187" t="n">
        <v>2</v>
      </c>
      <c r="G852" s="187" t="n">
        <v>2</v>
      </c>
      <c r="H852" s="187" t="inlineStr">
        <is>
          <t>MEDIUM</t>
        </is>
      </c>
      <c r="I852" s="187" t="n">
        <v>9</v>
      </c>
      <c r="J852" s="187" t="inlineStr">
        <is>
          <t>NO</t>
        </is>
      </c>
      <c r="K852" s="187" t="inlineStr">
        <is>
          <t>https://nvd.nist.gov/vuln/detail/CVE-2026-27527</t>
        </is>
      </c>
      <c r="L852" s="187" t="inlineStr">
        <is>
          <t>2026-02-26 00:15</t>
        </is>
      </c>
      <c r="M852" s="187" t="inlineStr">
        <is>
          <t>CHECK_VENDOR</t>
        </is>
      </c>
      <c r="N852" s="187" t="inlineStr">
        <is>
          <t>See NVD references</t>
        </is>
      </c>
      <c r="O852" s="187" t="inlineStr">
        <is>
          <t>Apply vendor patches</t>
        </is>
      </c>
      <c r="P852" s="187" t="inlineStr">
        <is>
          <t>See CVE details</t>
        </is>
      </c>
      <c r="Q852" s="187" t="inlineStr">
        <is>
          <t>P4</t>
        </is>
      </c>
      <c r="R852" s="187" t="inlineStr">
        <is>
          <t>📅 Schedule patch deployment within 30 days | 🔍 Monitor for exploitation attempts</t>
        </is>
      </c>
      <c r="S852" s="187" t="inlineStr">
        <is>
          <t>CVE - IP enrichment n/a</t>
        </is>
      </c>
      <c r="T852" s="187" t="n">
        <v>0</v>
      </c>
      <c r="U852" s="187" t="n">
        <v>0</v>
      </c>
      <c r="V852" s="187" t="inlineStr">
        <is>
          <t>T1190:Exploit Public-Facing Application</t>
        </is>
      </c>
      <c r="W852" s="187" t="n">
        <v>1</v>
      </c>
      <c r="X852" s="187" t="inlineStr">
        <is>
          <t>LOW (40%)</t>
        </is>
      </c>
      <c r="Y852" s="187" t="inlineStr">
        <is>
          <t>UNLIKELY</t>
        </is>
      </c>
      <c r="Z852" s="187" t="inlineStr">
        <is>
          <t>CHECK_VENDOR</t>
        </is>
      </c>
      <c r="AA852" s="187" t="inlineStr">
        <is>
          <t>https://nvd.nist.gov/vuln/detail/CVE-2026-27527</t>
        </is>
      </c>
      <c r="AB852" s="187" t="inlineStr">
        <is>
          <t>NONE</t>
        </is>
      </c>
      <c r="AC852" s="187" t="n">
        <v>0</v>
      </c>
      <c r="AD852" s="187" t="inlineStr"/>
    </row>
    <row r="853">
      <c r="A853" s="187" t="inlineStr">
        <is>
          <t>CVE</t>
        </is>
      </c>
      <c r="B853" s="187" t="inlineStr">
        <is>
          <t>CVE-2026-27528</t>
        </is>
      </c>
      <c r="C853" s="187" t="inlineStr">
        <is>
          <t>Rejected reason: Not used</t>
        </is>
      </c>
      <c r="D853" s="187" t="n">
        <v>5</v>
      </c>
      <c r="E853" s="187" t="inlineStr">
        <is>
          <t>MEDIUM</t>
        </is>
      </c>
      <c r="F853" s="187" t="n">
        <v>2</v>
      </c>
      <c r="G853" s="187" t="n">
        <v>2</v>
      </c>
      <c r="H853" s="187" t="inlineStr">
        <is>
          <t>MEDIUM</t>
        </is>
      </c>
      <c r="I853" s="187" t="n">
        <v>9</v>
      </c>
      <c r="J853" s="187" t="inlineStr">
        <is>
          <t>NO</t>
        </is>
      </c>
      <c r="K853" s="187" t="inlineStr">
        <is>
          <t>https://nvd.nist.gov/vuln/detail/CVE-2026-27528</t>
        </is>
      </c>
      <c r="L853" s="187" t="inlineStr">
        <is>
          <t>2026-02-26 00:15</t>
        </is>
      </c>
      <c r="M853" s="187" t="inlineStr">
        <is>
          <t>CHECK_VENDOR</t>
        </is>
      </c>
      <c r="N853" s="187" t="inlineStr">
        <is>
          <t>See NVD references</t>
        </is>
      </c>
      <c r="O853" s="187" t="inlineStr">
        <is>
          <t>Apply vendor patches</t>
        </is>
      </c>
      <c r="P853" s="187" t="inlineStr">
        <is>
          <t>See CVE details</t>
        </is>
      </c>
      <c r="Q853" s="187" t="inlineStr">
        <is>
          <t>P4</t>
        </is>
      </c>
      <c r="R853" s="187" t="inlineStr">
        <is>
          <t>📅 Schedule patch deployment within 30 days | 🔍 Monitor for exploitation attempts</t>
        </is>
      </c>
      <c r="S853" s="187" t="inlineStr">
        <is>
          <t>CVE - IP enrichment n/a</t>
        </is>
      </c>
      <c r="T853" s="187" t="n">
        <v>0</v>
      </c>
      <c r="U853" s="187" t="n">
        <v>0</v>
      </c>
      <c r="V853" s="187" t="inlineStr">
        <is>
          <t>T1190:Exploit Public-Facing Application</t>
        </is>
      </c>
      <c r="W853" s="187" t="n">
        <v>1</v>
      </c>
      <c r="X853" s="187" t="inlineStr">
        <is>
          <t>LOW (40%)</t>
        </is>
      </c>
      <c r="Y853" s="187" t="inlineStr">
        <is>
          <t>UNLIKELY</t>
        </is>
      </c>
      <c r="Z853" s="187" t="inlineStr">
        <is>
          <t>CHECK_VENDOR</t>
        </is>
      </c>
      <c r="AA853" s="187" t="inlineStr">
        <is>
          <t>https://nvd.nist.gov/vuln/detail/CVE-2026-27528</t>
        </is>
      </c>
      <c r="AB853" s="187" t="inlineStr">
        <is>
          <t>NONE</t>
        </is>
      </c>
      <c r="AC853" s="187" t="n">
        <v>0</v>
      </c>
      <c r="AD853" s="187" t="inlineStr"/>
    </row>
    <row r="854">
      <c r="A854" s="187" t="inlineStr">
        <is>
          <t>CVE</t>
        </is>
      </c>
      <c r="B854" s="187" t="inlineStr">
        <is>
          <t>CVE-2026-27529</t>
        </is>
      </c>
      <c r="C854" s="187" t="inlineStr">
        <is>
          <t>Rejected reason: Not used</t>
        </is>
      </c>
      <c r="D854" s="187" t="n">
        <v>5</v>
      </c>
      <c r="E854" s="187" t="inlineStr">
        <is>
          <t>MEDIUM</t>
        </is>
      </c>
      <c r="F854" s="187" t="n">
        <v>2</v>
      </c>
      <c r="G854" s="187" t="n">
        <v>2</v>
      </c>
      <c r="H854" s="187" t="inlineStr">
        <is>
          <t>MEDIUM</t>
        </is>
      </c>
      <c r="I854" s="187" t="n">
        <v>9</v>
      </c>
      <c r="J854" s="187" t="inlineStr">
        <is>
          <t>NO</t>
        </is>
      </c>
      <c r="K854" s="187" t="inlineStr">
        <is>
          <t>https://nvd.nist.gov/vuln/detail/CVE-2026-27529</t>
        </is>
      </c>
      <c r="L854" s="187" t="inlineStr">
        <is>
          <t>2026-02-26 00:15</t>
        </is>
      </c>
      <c r="M854" s="187" t="inlineStr">
        <is>
          <t>CHECK_VENDOR</t>
        </is>
      </c>
      <c r="N854" s="187" t="inlineStr">
        <is>
          <t>See NVD references</t>
        </is>
      </c>
      <c r="O854" s="187" t="inlineStr">
        <is>
          <t>Apply vendor patches</t>
        </is>
      </c>
      <c r="P854" s="187" t="inlineStr">
        <is>
          <t>See CVE details</t>
        </is>
      </c>
      <c r="Q854" s="187" t="inlineStr">
        <is>
          <t>P4</t>
        </is>
      </c>
      <c r="R854" s="187" t="inlineStr">
        <is>
          <t>📅 Schedule patch deployment within 30 days | 🔍 Monitor for exploitation attempts</t>
        </is>
      </c>
      <c r="S854" s="187" t="inlineStr">
        <is>
          <t>CVE - IP enrichment n/a</t>
        </is>
      </c>
      <c r="T854" s="187" t="n">
        <v>0</v>
      </c>
      <c r="U854" s="187" t="n">
        <v>0</v>
      </c>
      <c r="V854" s="187" t="inlineStr">
        <is>
          <t>T1190:Exploit Public-Facing Application</t>
        </is>
      </c>
      <c r="W854" s="187" t="n">
        <v>1</v>
      </c>
      <c r="X854" s="187" t="inlineStr">
        <is>
          <t>LOW (40%)</t>
        </is>
      </c>
      <c r="Y854" s="187" t="inlineStr">
        <is>
          <t>UNLIKELY</t>
        </is>
      </c>
      <c r="Z854" s="187" t="inlineStr">
        <is>
          <t>CHECK_VENDOR</t>
        </is>
      </c>
      <c r="AA854" s="187" t="inlineStr">
        <is>
          <t>https://nvd.nist.gov/vuln/detail/CVE-2026-27529</t>
        </is>
      </c>
      <c r="AB854" s="187" t="inlineStr">
        <is>
          <t>NONE</t>
        </is>
      </c>
      <c r="AC854" s="187" t="n">
        <v>0</v>
      </c>
      <c r="AD854" s="187" t="inlineStr"/>
    </row>
    <row r="855">
      <c r="A855" s="187" t="inlineStr">
        <is>
          <t>CVE</t>
        </is>
      </c>
      <c r="B855" s="187" t="inlineStr">
        <is>
          <t>CVE-2026-27530</t>
        </is>
      </c>
      <c r="C855" s="187" t="inlineStr">
        <is>
          <t>Rejected reason: Not used</t>
        </is>
      </c>
      <c r="D855" s="187" t="n">
        <v>5</v>
      </c>
      <c r="E855" s="187" t="inlineStr">
        <is>
          <t>MEDIUM</t>
        </is>
      </c>
      <c r="F855" s="187" t="n">
        <v>2</v>
      </c>
      <c r="G855" s="187" t="n">
        <v>2</v>
      </c>
      <c r="H855" s="187" t="inlineStr">
        <is>
          <t>MEDIUM</t>
        </is>
      </c>
      <c r="I855" s="187" t="n">
        <v>9</v>
      </c>
      <c r="J855" s="187" t="inlineStr">
        <is>
          <t>NO</t>
        </is>
      </c>
      <c r="K855" s="187" t="inlineStr">
        <is>
          <t>https://nvd.nist.gov/vuln/detail/CVE-2026-27530</t>
        </is>
      </c>
      <c r="L855" s="187" t="inlineStr">
        <is>
          <t>2026-02-26 00:15</t>
        </is>
      </c>
      <c r="M855" s="187" t="inlineStr">
        <is>
          <t>CHECK_VENDOR</t>
        </is>
      </c>
      <c r="N855" s="187" t="inlineStr">
        <is>
          <t>See NVD references</t>
        </is>
      </c>
      <c r="O855" s="187" t="inlineStr">
        <is>
          <t>Apply vendor patches</t>
        </is>
      </c>
      <c r="P855" s="187" t="inlineStr">
        <is>
          <t>See CVE details</t>
        </is>
      </c>
      <c r="Q855" s="187" t="inlineStr">
        <is>
          <t>P4</t>
        </is>
      </c>
      <c r="R855" s="187" t="inlineStr">
        <is>
          <t>📅 Schedule patch deployment within 30 days | 🔍 Monitor for exploitation attempts</t>
        </is>
      </c>
      <c r="S855" s="187" t="inlineStr">
        <is>
          <t>CVE - IP enrichment n/a</t>
        </is>
      </c>
      <c r="T855" s="187" t="n">
        <v>0</v>
      </c>
      <c r="U855" s="187" t="n">
        <v>0</v>
      </c>
      <c r="V855" s="187" t="inlineStr">
        <is>
          <t>T1190:Exploit Public-Facing Application</t>
        </is>
      </c>
      <c r="W855" s="187" t="n">
        <v>1</v>
      </c>
      <c r="X855" s="187" t="inlineStr">
        <is>
          <t>LOW (40%)</t>
        </is>
      </c>
      <c r="Y855" s="187" t="inlineStr">
        <is>
          <t>UNLIKELY</t>
        </is>
      </c>
      <c r="Z855" s="187" t="inlineStr">
        <is>
          <t>CHECK_VENDOR</t>
        </is>
      </c>
      <c r="AA855" s="187" t="inlineStr">
        <is>
          <t>https://nvd.nist.gov/vuln/detail/CVE-2026-27530</t>
        </is>
      </c>
      <c r="AB855" s="187" t="inlineStr">
        <is>
          <t>NONE</t>
        </is>
      </c>
      <c r="AC855" s="187" t="n">
        <v>0</v>
      </c>
      <c r="AD855" s="187" t="inlineStr"/>
    </row>
    <row r="856">
      <c r="A856" s="187" t="inlineStr">
        <is>
          <t>CVE</t>
        </is>
      </c>
      <c r="B856" s="187" t="inlineStr">
        <is>
          <t>CVE-2026-27531</t>
        </is>
      </c>
      <c r="C856" s="187" t="inlineStr">
        <is>
          <t>Rejected reason: Not used</t>
        </is>
      </c>
      <c r="D856" s="187" t="n">
        <v>5</v>
      </c>
      <c r="E856" s="187" t="inlineStr">
        <is>
          <t>MEDIUM</t>
        </is>
      </c>
      <c r="F856" s="187" t="n">
        <v>2</v>
      </c>
      <c r="G856" s="187" t="n">
        <v>2</v>
      </c>
      <c r="H856" s="187" t="inlineStr">
        <is>
          <t>MEDIUM</t>
        </is>
      </c>
      <c r="I856" s="187" t="n">
        <v>9</v>
      </c>
      <c r="J856" s="187" t="inlineStr">
        <is>
          <t>NO</t>
        </is>
      </c>
      <c r="K856" s="187" t="inlineStr">
        <is>
          <t>https://nvd.nist.gov/vuln/detail/CVE-2026-27531</t>
        </is>
      </c>
      <c r="L856" s="187" t="inlineStr">
        <is>
          <t>2026-02-26 00:15</t>
        </is>
      </c>
      <c r="M856" s="187" t="inlineStr">
        <is>
          <t>CHECK_VENDOR</t>
        </is>
      </c>
      <c r="N856" s="187" t="inlineStr">
        <is>
          <t>See NVD references</t>
        </is>
      </c>
      <c r="O856" s="187" t="inlineStr">
        <is>
          <t>Apply vendor patches</t>
        </is>
      </c>
      <c r="P856" s="187" t="inlineStr">
        <is>
          <t>See CVE details</t>
        </is>
      </c>
      <c r="Q856" s="187" t="inlineStr">
        <is>
          <t>P4</t>
        </is>
      </c>
      <c r="R856" s="187" t="inlineStr">
        <is>
          <t>📅 Schedule patch deployment within 30 days | 🔍 Monitor for exploitation attempts</t>
        </is>
      </c>
      <c r="S856" s="187" t="inlineStr">
        <is>
          <t>CVE - IP enrichment n/a</t>
        </is>
      </c>
      <c r="T856" s="187" t="n">
        <v>0</v>
      </c>
      <c r="U856" s="187" t="n">
        <v>0</v>
      </c>
      <c r="V856" s="187" t="inlineStr">
        <is>
          <t>T1190:Exploit Public-Facing Application</t>
        </is>
      </c>
      <c r="W856" s="187" t="n">
        <v>1</v>
      </c>
      <c r="X856" s="187" t="inlineStr">
        <is>
          <t>LOW (40%)</t>
        </is>
      </c>
      <c r="Y856" s="187" t="inlineStr">
        <is>
          <t>UNLIKELY</t>
        </is>
      </c>
      <c r="Z856" s="187" t="inlineStr">
        <is>
          <t>CHECK_VENDOR</t>
        </is>
      </c>
      <c r="AA856" s="187" t="inlineStr">
        <is>
          <t>https://nvd.nist.gov/vuln/detail/CVE-2026-27531</t>
        </is>
      </c>
      <c r="AB856" s="187" t="inlineStr">
        <is>
          <t>NONE</t>
        </is>
      </c>
      <c r="AC856" s="187" t="n">
        <v>0</v>
      </c>
      <c r="AD856" s="187" t="inlineStr"/>
    </row>
    <row r="857">
      <c r="A857" s="187" t="inlineStr">
        <is>
          <t>CVE</t>
        </is>
      </c>
      <c r="B857" s="187" t="inlineStr">
        <is>
          <t>CVE-2026-27532</t>
        </is>
      </c>
      <c r="C857" s="187" t="inlineStr">
        <is>
          <t>Rejected reason: Not used</t>
        </is>
      </c>
      <c r="D857" s="187" t="n">
        <v>5</v>
      </c>
      <c r="E857" s="187" t="inlineStr">
        <is>
          <t>MEDIUM</t>
        </is>
      </c>
      <c r="F857" s="187" t="n">
        <v>2</v>
      </c>
      <c r="G857" s="187" t="n">
        <v>2</v>
      </c>
      <c r="H857" s="187" t="inlineStr">
        <is>
          <t>MEDIUM</t>
        </is>
      </c>
      <c r="I857" s="187" t="n">
        <v>9</v>
      </c>
      <c r="J857" s="187" t="inlineStr">
        <is>
          <t>NO</t>
        </is>
      </c>
      <c r="K857" s="187" t="inlineStr">
        <is>
          <t>https://nvd.nist.gov/vuln/detail/CVE-2026-27532</t>
        </is>
      </c>
      <c r="L857" s="187" t="inlineStr">
        <is>
          <t>2026-02-26 00:15</t>
        </is>
      </c>
      <c r="M857" s="187" t="inlineStr">
        <is>
          <t>CHECK_VENDOR</t>
        </is>
      </c>
      <c r="N857" s="187" t="inlineStr">
        <is>
          <t>See NVD references</t>
        </is>
      </c>
      <c r="O857" s="187" t="inlineStr">
        <is>
          <t>Apply vendor patches</t>
        </is>
      </c>
      <c r="P857" s="187" t="inlineStr">
        <is>
          <t>See CVE details</t>
        </is>
      </c>
      <c r="Q857" s="187" t="inlineStr">
        <is>
          <t>P4</t>
        </is>
      </c>
      <c r="R857" s="187" t="inlineStr">
        <is>
          <t>📅 Schedule patch deployment within 30 days | 🔍 Monitor for exploitation attempts</t>
        </is>
      </c>
      <c r="S857" s="187" t="inlineStr">
        <is>
          <t>CVE - IP enrichment n/a</t>
        </is>
      </c>
      <c r="T857" s="187" t="n">
        <v>0</v>
      </c>
      <c r="U857" s="187" t="n">
        <v>0</v>
      </c>
      <c r="V857" s="187" t="inlineStr">
        <is>
          <t>T1190:Exploit Public-Facing Application</t>
        </is>
      </c>
      <c r="W857" s="187" t="n">
        <v>1</v>
      </c>
      <c r="X857" s="187" t="inlineStr">
        <is>
          <t>LOW (40%)</t>
        </is>
      </c>
      <c r="Y857" s="187" t="inlineStr">
        <is>
          <t>UNLIKELY</t>
        </is>
      </c>
      <c r="Z857" s="187" t="inlineStr">
        <is>
          <t>CHECK_VENDOR</t>
        </is>
      </c>
      <c r="AA857" s="187" t="inlineStr">
        <is>
          <t>https://nvd.nist.gov/vuln/detail/CVE-2026-27532</t>
        </is>
      </c>
      <c r="AB857" s="187" t="inlineStr">
        <is>
          <t>NONE</t>
        </is>
      </c>
      <c r="AC857" s="187" t="n">
        <v>0</v>
      </c>
      <c r="AD857" s="187" t="inlineStr"/>
    </row>
    <row r="858">
      <c r="A858" s="187" t="inlineStr">
        <is>
          <t>CVE</t>
        </is>
      </c>
      <c r="B858" s="187" t="inlineStr">
        <is>
          <t>CVE-2026-27533</t>
        </is>
      </c>
      <c r="C858" s="187" t="inlineStr">
        <is>
          <t>Rejected reason: Not used</t>
        </is>
      </c>
      <c r="D858" s="187" t="n">
        <v>5</v>
      </c>
      <c r="E858" s="187" t="inlineStr">
        <is>
          <t>MEDIUM</t>
        </is>
      </c>
      <c r="F858" s="187" t="n">
        <v>2</v>
      </c>
      <c r="G858" s="187" t="n">
        <v>2</v>
      </c>
      <c r="H858" s="187" t="inlineStr">
        <is>
          <t>MEDIUM</t>
        </is>
      </c>
      <c r="I858" s="187" t="n">
        <v>9</v>
      </c>
      <c r="J858" s="187" t="inlineStr">
        <is>
          <t>NO</t>
        </is>
      </c>
      <c r="K858" s="187" t="inlineStr">
        <is>
          <t>https://nvd.nist.gov/vuln/detail/CVE-2026-27533</t>
        </is>
      </c>
      <c r="L858" s="187" t="inlineStr">
        <is>
          <t>2026-02-26 00:15</t>
        </is>
      </c>
      <c r="M858" s="187" t="inlineStr">
        <is>
          <t>CHECK_VENDOR</t>
        </is>
      </c>
      <c r="N858" s="187" t="inlineStr">
        <is>
          <t>See NVD references</t>
        </is>
      </c>
      <c r="O858" s="187" t="inlineStr">
        <is>
          <t>Apply vendor patches</t>
        </is>
      </c>
      <c r="P858" s="187" t="inlineStr">
        <is>
          <t>See CVE details</t>
        </is>
      </c>
      <c r="Q858" s="187" t="inlineStr">
        <is>
          <t>P4</t>
        </is>
      </c>
      <c r="R858" s="187" t="inlineStr">
        <is>
          <t>📅 Schedule patch deployment within 30 days | 🔍 Monitor for exploitation attempts</t>
        </is>
      </c>
      <c r="S858" s="187" t="inlineStr">
        <is>
          <t>CVE - IP enrichment n/a</t>
        </is>
      </c>
      <c r="T858" s="187" t="n">
        <v>0</v>
      </c>
      <c r="U858" s="187" t="n">
        <v>0</v>
      </c>
      <c r="V858" s="187" t="inlineStr">
        <is>
          <t>T1190:Exploit Public-Facing Application</t>
        </is>
      </c>
      <c r="W858" s="187" t="n">
        <v>1</v>
      </c>
      <c r="X858" s="187" t="inlineStr">
        <is>
          <t>LOW (40%)</t>
        </is>
      </c>
      <c r="Y858" s="187" t="inlineStr">
        <is>
          <t>UNLIKELY</t>
        </is>
      </c>
      <c r="Z858" s="187" t="inlineStr">
        <is>
          <t>CHECK_VENDOR</t>
        </is>
      </c>
      <c r="AA858" s="187" t="inlineStr">
        <is>
          <t>https://nvd.nist.gov/vuln/detail/CVE-2026-27533</t>
        </is>
      </c>
      <c r="AB858" s="187" t="inlineStr">
        <is>
          <t>NONE</t>
        </is>
      </c>
      <c r="AC858" s="187" t="n">
        <v>0</v>
      </c>
      <c r="AD858" s="187" t="inlineStr"/>
    </row>
    <row r="859">
      <c r="A859" s="187" t="inlineStr">
        <is>
          <t>CVE</t>
        </is>
      </c>
      <c r="B859" s="187" t="inlineStr">
        <is>
          <t>CVE-2026-27534</t>
        </is>
      </c>
      <c r="C859" s="187" t="inlineStr">
        <is>
          <t>Rejected reason: Not used</t>
        </is>
      </c>
      <c r="D859" s="187" t="n">
        <v>5</v>
      </c>
      <c r="E859" s="187" t="inlineStr">
        <is>
          <t>MEDIUM</t>
        </is>
      </c>
      <c r="F859" s="187" t="n">
        <v>2</v>
      </c>
      <c r="G859" s="187" t="n">
        <v>2</v>
      </c>
      <c r="H859" s="187" t="inlineStr">
        <is>
          <t>MEDIUM</t>
        </is>
      </c>
      <c r="I859" s="187" t="n">
        <v>9</v>
      </c>
      <c r="J859" s="187" t="inlineStr">
        <is>
          <t>NO</t>
        </is>
      </c>
      <c r="K859" s="187" t="inlineStr">
        <is>
          <t>https://nvd.nist.gov/vuln/detail/CVE-2026-27534</t>
        </is>
      </c>
      <c r="L859" s="187" t="inlineStr">
        <is>
          <t>2026-02-26 00:15</t>
        </is>
      </c>
      <c r="M859" s="187" t="inlineStr">
        <is>
          <t>CHECK_VENDOR</t>
        </is>
      </c>
      <c r="N859" s="187" t="inlineStr">
        <is>
          <t>See NVD references</t>
        </is>
      </c>
      <c r="O859" s="187" t="inlineStr">
        <is>
          <t>Apply vendor patches</t>
        </is>
      </c>
      <c r="P859" s="187" t="inlineStr">
        <is>
          <t>See CVE details</t>
        </is>
      </c>
      <c r="Q859" s="187" t="inlineStr">
        <is>
          <t>P4</t>
        </is>
      </c>
      <c r="R859" s="187" t="inlineStr">
        <is>
          <t>📅 Schedule patch deployment within 30 days | 🔍 Monitor for exploitation attempts</t>
        </is>
      </c>
      <c r="S859" s="187" t="inlineStr">
        <is>
          <t>CVE - IP enrichment n/a</t>
        </is>
      </c>
      <c r="T859" s="187" t="n">
        <v>0</v>
      </c>
      <c r="U859" s="187" t="n">
        <v>0</v>
      </c>
      <c r="V859" s="187" t="inlineStr">
        <is>
          <t>T1190:Exploit Public-Facing Application</t>
        </is>
      </c>
      <c r="W859" s="187" t="n">
        <v>1</v>
      </c>
      <c r="X859" s="187" t="inlineStr">
        <is>
          <t>LOW (40%)</t>
        </is>
      </c>
      <c r="Y859" s="187" t="inlineStr">
        <is>
          <t>UNLIKELY</t>
        </is>
      </c>
      <c r="Z859" s="187" t="inlineStr">
        <is>
          <t>CHECK_VENDOR</t>
        </is>
      </c>
      <c r="AA859" s="187" t="inlineStr">
        <is>
          <t>https://nvd.nist.gov/vuln/detail/CVE-2026-27534</t>
        </is>
      </c>
      <c r="AB859" s="187" t="inlineStr">
        <is>
          <t>NONE</t>
        </is>
      </c>
      <c r="AC859" s="187" t="n">
        <v>0</v>
      </c>
      <c r="AD859" s="187" t="inlineStr"/>
    </row>
    <row r="860">
      <c r="A860" s="187" t="inlineStr">
        <is>
          <t>CVE</t>
        </is>
      </c>
      <c r="B860" s="187" t="inlineStr">
        <is>
          <t>CVE-2026-2860</t>
        </is>
      </c>
      <c r="C860" s="187" t="inlineStr">
        <is>
          <t xml:space="preserve">A security vulnerability has been detected in feng_ha_ha/megagao ssm-erp and production_ssm up to 4288d53bd35757b27f2d070057aefb2c07bdd097. Impacted is an unknown function of the file EmployeeController.java. The manipulation leads to improper authorization. It is possible to initiate the attack remotely. The exploit has been disclosed publicly and may be used. This product is using a rolling release to provide continious delivery. Therefore, no version details for affected nor updated releases </t>
        </is>
      </c>
      <c r="D860" s="187" t="n">
        <v>6.3</v>
      </c>
      <c r="E860" s="187" t="inlineStr">
        <is>
          <t>MEDIUM</t>
        </is>
      </c>
      <c r="F860" s="187" t="n">
        <v>2</v>
      </c>
      <c r="G860" s="187" t="n">
        <v>2</v>
      </c>
      <c r="H860" s="187" t="inlineStr">
        <is>
          <t>MEDIUM</t>
        </is>
      </c>
      <c r="I860" s="187" t="n">
        <v>10.3</v>
      </c>
      <c r="J860" s="187" t="inlineStr">
        <is>
          <t>NO</t>
        </is>
      </c>
      <c r="K860" s="187" t="inlineStr">
        <is>
          <t>https://nvd.nist.gov/vuln/detail/CVE-2026-2860</t>
        </is>
      </c>
      <c r="L860" s="187" t="inlineStr">
        <is>
          <t>2026-02-26 00:15</t>
        </is>
      </c>
      <c r="M860" s="187" t="inlineStr">
        <is>
          <t>CHECK_VENDOR</t>
        </is>
      </c>
      <c r="N860" s="187" t="inlineStr">
        <is>
          <t>See NVD references</t>
        </is>
      </c>
      <c r="O860" s="187" t="inlineStr">
        <is>
          <t>Apply vendor patches</t>
        </is>
      </c>
      <c r="P860" s="187" t="inlineStr">
        <is>
          <t>See CVE details</t>
        </is>
      </c>
      <c r="Q860" s="187" t="inlineStr">
        <is>
          <t>P4</t>
        </is>
      </c>
      <c r="R860" s="187" t="inlineStr">
        <is>
          <t>📅 Schedule patch deployment within 30 days | 🔍 Monitor for exploitation attempts</t>
        </is>
      </c>
      <c r="S860" s="187" t="inlineStr">
        <is>
          <t>CVE - IP enrichment n/a</t>
        </is>
      </c>
      <c r="T860" s="187" t="n">
        <v>0</v>
      </c>
      <c r="U860" s="187" t="n">
        <v>0</v>
      </c>
      <c r="V860" s="187" t="inlineStr">
        <is>
          <t>T1190:Exploit Public-Facing Application</t>
        </is>
      </c>
      <c r="W860" s="187" t="n">
        <v>1</v>
      </c>
      <c r="X860" s="187" t="inlineStr">
        <is>
          <t>LOW (40%)</t>
        </is>
      </c>
      <c r="Y860" s="187" t="inlineStr">
        <is>
          <t>UNLIKELY</t>
        </is>
      </c>
      <c r="Z860" s="187" t="inlineStr">
        <is>
          <t>CHECK_VENDOR</t>
        </is>
      </c>
      <c r="AA860" s="187" t="inlineStr">
        <is>
          <t>https://nvd.nist.gov/vuln/detail/CVE-2026-2860</t>
        </is>
      </c>
      <c r="AB860" s="187" t="inlineStr">
        <is>
          <t>NONE</t>
        </is>
      </c>
      <c r="AC860" s="187" t="n">
        <v>0</v>
      </c>
      <c r="AD860" s="187" t="inlineStr"/>
    </row>
    <row r="861">
      <c r="A861" s="188" t="inlineStr">
        <is>
          <t>CVE</t>
        </is>
      </c>
      <c r="B861" s="188" t="inlineStr">
        <is>
          <t>CVE-2026-26045</t>
        </is>
      </c>
      <c r="C861" s="188" t="inlineStr">
        <is>
          <t>A flaw was identified in Moodle’s backup restore functionality where specially crafted backup files were not properly validated during processing. If a malicious backup file is restored, it could lead to unintended execution of server-side code. Since restore capabilities are typically available to privileged users, exploitation requires authenticated access. Successful exploitation could result in full compromise of the Moodle server.</t>
        </is>
      </c>
      <c r="D861" s="188" t="n">
        <v>7.2</v>
      </c>
      <c r="E861" s="188" t="inlineStr">
        <is>
          <t>HIGH</t>
        </is>
      </c>
      <c r="F861" s="188" t="n">
        <v>2</v>
      </c>
      <c r="G861" s="188" t="n">
        <v>3</v>
      </c>
      <c r="H861" s="188" t="inlineStr">
        <is>
          <t>HIGH</t>
        </is>
      </c>
      <c r="I861" s="188" t="n">
        <v>13.2</v>
      </c>
      <c r="J861" s="188" t="inlineStr">
        <is>
          <t>NO</t>
        </is>
      </c>
      <c r="K861" s="188" t="inlineStr">
        <is>
          <t>https://nvd.nist.gov/vuln/detail/CVE-2026-26045</t>
        </is>
      </c>
      <c r="L861" s="188" t="inlineStr">
        <is>
          <t>2026-02-26 00:15</t>
        </is>
      </c>
      <c r="M861" s="188" t="inlineStr">
        <is>
          <t>CHECK_VENDOR</t>
        </is>
      </c>
      <c r="N861" s="188" t="inlineStr">
        <is>
          <t>See NVD references</t>
        </is>
      </c>
      <c r="O861" s="188" t="inlineStr">
        <is>
          <t>Apply vendor patches</t>
        </is>
      </c>
      <c r="P861" s="188" t="inlineStr">
        <is>
          <t>See CVE details</t>
        </is>
      </c>
      <c r="Q861" s="188" t="inlineStr">
        <is>
          <t>P3</t>
        </is>
      </c>
      <c r="R861" s="188" t="inlineStr">
        <is>
          <t>🚨 URGENT: Apply vendor patches immediately | 🔒 Isolate affected systems if patch unavailable | 🛡️ Enable additional monitoring/IDS rules</t>
        </is>
      </c>
      <c r="S861" s="188" t="inlineStr">
        <is>
          <t>CVE - IP enrichment n/a</t>
        </is>
      </c>
      <c r="T861" s="188" t="n">
        <v>0</v>
      </c>
      <c r="U861" s="188" t="n">
        <v>0</v>
      </c>
      <c r="V861" s="188" t="inlineStr">
        <is>
          <t>T1059:Command and Scripting Interpreter</t>
        </is>
      </c>
      <c r="W861" s="188" t="n">
        <v>1</v>
      </c>
      <c r="X861" s="188" t="inlineStr">
        <is>
          <t>LOW (40%)</t>
        </is>
      </c>
      <c r="Y861" s="188" t="inlineStr">
        <is>
          <t>UNLIKELY</t>
        </is>
      </c>
      <c r="Z861" s="188" t="inlineStr">
        <is>
          <t>CHECK_VENDOR</t>
        </is>
      </c>
      <c r="AA861" s="188" t="inlineStr">
        <is>
          <t>https://nvd.nist.gov/vuln/detail/CVE-2026-26045</t>
        </is>
      </c>
      <c r="AB861" s="188" t="inlineStr">
        <is>
          <t>NONE</t>
        </is>
      </c>
      <c r="AC861" s="188" t="n">
        <v>0</v>
      </c>
      <c r="AD861" s="188" t="inlineStr"/>
    </row>
    <row r="862">
      <c r="A862" s="188" t="inlineStr">
        <is>
          <t>CVE</t>
        </is>
      </c>
      <c r="B862" s="188" t="inlineStr">
        <is>
          <t>CVE-2026-26046</t>
        </is>
      </c>
      <c r="C862" s="188" t="inlineStr">
        <is>
          <t>A vulnerability was found in a Moodle TeX filter administrative setting where insufficient sanitization of configuration input could allow command injection. On sites where the TeX filter is enabled and ImageMagick is installed, a maliciously crafted setting value entered by an administrator could result in unintended system command execution. While exploitation requires administrative privileges, successful compromise could affect the entire Moodle server.</t>
        </is>
      </c>
      <c r="D862" s="188" t="n">
        <v>7.2</v>
      </c>
      <c r="E862" s="188" t="inlineStr">
        <is>
          <t>HIGH</t>
        </is>
      </c>
      <c r="F862" s="188" t="n">
        <v>2</v>
      </c>
      <c r="G862" s="188" t="n">
        <v>3</v>
      </c>
      <c r="H862" s="188" t="inlineStr">
        <is>
          <t>HIGH</t>
        </is>
      </c>
      <c r="I862" s="188" t="n">
        <v>13.2</v>
      </c>
      <c r="J862" s="188" t="inlineStr">
        <is>
          <t>NO</t>
        </is>
      </c>
      <c r="K862" s="188" t="inlineStr">
        <is>
          <t>https://nvd.nist.gov/vuln/detail/CVE-2026-26046</t>
        </is>
      </c>
      <c r="L862" s="188" t="inlineStr">
        <is>
          <t>2026-02-26 00:15</t>
        </is>
      </c>
      <c r="M862" s="188" t="inlineStr">
        <is>
          <t>CHECK_VENDOR</t>
        </is>
      </c>
      <c r="N862" s="188" t="inlineStr">
        <is>
          <t>See NVD references</t>
        </is>
      </c>
      <c r="O862" s="188" t="inlineStr">
        <is>
          <t>Apply vendor patches</t>
        </is>
      </c>
      <c r="P862" s="188" t="inlineStr">
        <is>
          <t>See CVE details</t>
        </is>
      </c>
      <c r="Q862" s="188" t="inlineStr">
        <is>
          <t>P3</t>
        </is>
      </c>
      <c r="R862" s="188" t="inlineStr">
        <is>
          <t>🚨 URGENT: Apply vendor patches immediately | 🔒 Isolate affected systems if patch unavailable | 🛡️ Enable additional monitoring/IDS rules</t>
        </is>
      </c>
      <c r="S862" s="188" t="inlineStr">
        <is>
          <t>CVE - IP enrichment n/a</t>
        </is>
      </c>
      <c r="T862" s="188" t="n">
        <v>0.0012</v>
      </c>
      <c r="U862" s="188" t="n">
        <v>0.3168</v>
      </c>
      <c r="V862" s="188" t="inlineStr">
        <is>
          <t>T1059:Command and Scripting Interpreter</t>
        </is>
      </c>
      <c r="W862" s="188" t="n">
        <v>1</v>
      </c>
      <c r="X862" s="188" t="inlineStr">
        <is>
          <t>LOW (40%)</t>
        </is>
      </c>
      <c r="Y862" s="188" t="inlineStr">
        <is>
          <t>UNLIKELY</t>
        </is>
      </c>
      <c r="Z862" s="188" t="inlineStr">
        <is>
          <t>CHECK_VENDOR</t>
        </is>
      </c>
      <c r="AA862" s="188" t="inlineStr">
        <is>
          <t>https://nvd.nist.gov/vuln/detail/CVE-2026-26046</t>
        </is>
      </c>
      <c r="AB862" s="188" t="inlineStr">
        <is>
          <t>NONE</t>
        </is>
      </c>
      <c r="AC862" s="188" t="n">
        <v>0</v>
      </c>
      <c r="AD862" s="188" t="inlineStr"/>
    </row>
    <row r="863">
      <c r="A863" s="187" t="inlineStr">
        <is>
          <t>CVE</t>
        </is>
      </c>
      <c r="B863" s="187" t="inlineStr">
        <is>
          <t>CVE-2026-26047</t>
        </is>
      </c>
      <c r="C863" s="187" t="inlineStr">
        <is>
          <t>A denial-of-service vulnerability was identified in Moodle’s TeX formula editor. When rendering TeX content using mimetex, insufficient execution time limits could allow specially crafted formulas to consume excessive server resources. An authenticated user could abuse this behavior to degrade performance or cause service interruption.</t>
        </is>
      </c>
      <c r="D863" s="187" t="n">
        <v>6.5</v>
      </c>
      <c r="E863" s="187" t="inlineStr">
        <is>
          <t>MEDIUM</t>
        </is>
      </c>
      <c r="F863" s="187" t="n">
        <v>2</v>
      </c>
      <c r="G863" s="187" t="n">
        <v>2</v>
      </c>
      <c r="H863" s="187" t="inlineStr">
        <is>
          <t>MEDIUM</t>
        </is>
      </c>
      <c r="I863" s="187" t="n">
        <v>10.5</v>
      </c>
      <c r="J863" s="187" t="inlineStr">
        <is>
          <t>NO</t>
        </is>
      </c>
      <c r="K863" s="187" t="inlineStr">
        <is>
          <t>https://nvd.nist.gov/vuln/detail/CVE-2026-26047</t>
        </is>
      </c>
      <c r="L863" s="187" t="inlineStr">
        <is>
          <t>2026-02-26 00:15</t>
        </is>
      </c>
      <c r="M863" s="187" t="inlineStr">
        <is>
          <t>CHECK_VENDOR</t>
        </is>
      </c>
      <c r="N863" s="187" t="inlineStr">
        <is>
          <t>See NVD references</t>
        </is>
      </c>
      <c r="O863" s="187" t="inlineStr">
        <is>
          <t>Apply vendor patches</t>
        </is>
      </c>
      <c r="P863" s="187" t="inlineStr">
        <is>
          <t>See CVE details</t>
        </is>
      </c>
      <c r="Q863" s="187" t="inlineStr">
        <is>
          <t>P4</t>
        </is>
      </c>
      <c r="R863" s="187" t="inlineStr">
        <is>
          <t>📅 Schedule patch deployment within 30 days | 🔍 Monitor for exploitation attempts</t>
        </is>
      </c>
      <c r="S863" s="187" t="inlineStr">
        <is>
          <t>CVE - IP enrichment n/a</t>
        </is>
      </c>
      <c r="T863" s="187" t="n">
        <v>0</v>
      </c>
      <c r="U863" s="187" t="n">
        <v>0</v>
      </c>
      <c r="V863" s="187" t="inlineStr">
        <is>
          <t>T1190:Exploit Public-Facing Application</t>
        </is>
      </c>
      <c r="W863" s="187" t="n">
        <v>1</v>
      </c>
      <c r="X863" s="187" t="inlineStr">
        <is>
          <t>LOW (40%)</t>
        </is>
      </c>
      <c r="Y863" s="187" t="inlineStr">
        <is>
          <t>UNLIKELY</t>
        </is>
      </c>
      <c r="Z863" s="187" t="inlineStr">
        <is>
          <t>CHECK_VENDOR</t>
        </is>
      </c>
      <c r="AA863" s="187" t="inlineStr">
        <is>
          <t>https://nvd.nist.gov/vuln/detail/CVE-2026-26047</t>
        </is>
      </c>
      <c r="AB863" s="187" t="inlineStr">
        <is>
          <t>NONE</t>
        </is>
      </c>
      <c r="AC863" s="187" t="n">
        <v>0</v>
      </c>
      <c r="AD863" s="187" t="inlineStr"/>
    </row>
    <row r="864">
      <c r="A864" s="188" t="inlineStr">
        <is>
          <t>CVE</t>
        </is>
      </c>
      <c r="B864" s="188" t="inlineStr">
        <is>
          <t>CVE-2026-27198</t>
        </is>
      </c>
      <c r="C864" s="188" t="inlineStr">
        <is>
          <t>Formwork is a flat file-based Content Management System (CMS). In versions 2.0.0 through 2.3.3, the application fails to properly enforce role-based authorization during account creation. Although the system validates that the specified role exists, it does not verify whether the current user has sufficient privileges to assign highly privileged roles such as admin. As a result, an authenticated user with the editor role can create a new account with administrative privileges, leading to full ad</t>
        </is>
      </c>
      <c r="D864" s="188" t="n">
        <v>8.800000000000001</v>
      </c>
      <c r="E864" s="188" t="inlineStr">
        <is>
          <t>HIGH</t>
        </is>
      </c>
      <c r="F864" s="188" t="n">
        <v>2</v>
      </c>
      <c r="G864" s="188" t="n">
        <v>3</v>
      </c>
      <c r="H864" s="188" t="inlineStr">
        <is>
          <t>HIGH</t>
        </is>
      </c>
      <c r="I864" s="188" t="n">
        <v>14.8</v>
      </c>
      <c r="J864" s="188" t="inlineStr">
        <is>
          <t>NO</t>
        </is>
      </c>
      <c r="K864" s="188" t="inlineStr">
        <is>
          <t>https://nvd.nist.gov/vuln/detail/CVE-2026-27198</t>
        </is>
      </c>
      <c r="L864" s="188" t="inlineStr">
        <is>
          <t>2026-02-26 00:15</t>
        </is>
      </c>
      <c r="M864" s="188" t="inlineStr">
        <is>
          <t>CHECK_VENDOR</t>
        </is>
      </c>
      <c r="N864" s="188" t="inlineStr">
        <is>
          <t>See NVD references</t>
        </is>
      </c>
      <c r="O864" s="188" t="inlineStr">
        <is>
          <t>Apply vendor patches</t>
        </is>
      </c>
      <c r="P864" s="188" t="inlineStr">
        <is>
          <t>See CVE details</t>
        </is>
      </c>
      <c r="Q864" s="188" t="inlineStr">
        <is>
          <t>P3</t>
        </is>
      </c>
      <c r="R864" s="188" t="inlineStr">
        <is>
          <t>🚨 URGENT: Apply vendor patches immediately | 🔒 Isolate affected systems if patch unavailable | 🛡️ Enable additional monitoring/IDS rules</t>
        </is>
      </c>
      <c r="S864" s="188" t="inlineStr">
        <is>
          <t>CVE - IP enrichment n/a</t>
        </is>
      </c>
      <c r="T864" s="188" t="n">
        <v>0</v>
      </c>
      <c r="U864" s="188" t="n">
        <v>0</v>
      </c>
      <c r="V864" s="188" t="inlineStr">
        <is>
          <t>T1190:Exploit Public-Facing Application</t>
        </is>
      </c>
      <c r="W864" s="188" t="n">
        <v>1</v>
      </c>
      <c r="X864" s="188" t="inlineStr">
        <is>
          <t>LOW (40%)</t>
        </is>
      </c>
      <c r="Y864" s="188" t="inlineStr">
        <is>
          <t>UNLIKELY</t>
        </is>
      </c>
      <c r="Z864" s="188" t="inlineStr">
        <is>
          <t>CHECK_VENDOR</t>
        </is>
      </c>
      <c r="AA864" s="188" t="inlineStr">
        <is>
          <t>https://nvd.nist.gov/vuln/detail/CVE-2026-27198</t>
        </is>
      </c>
      <c r="AB864" s="188" t="inlineStr">
        <is>
          <t>NONE</t>
        </is>
      </c>
      <c r="AC864" s="188" t="n">
        <v>0</v>
      </c>
      <c r="AD864" s="188" t="inlineStr"/>
    </row>
    <row r="865">
      <c r="A865" s="187" t="inlineStr">
        <is>
          <t>CVE</t>
        </is>
      </c>
      <c r="B865" s="187" t="inlineStr">
        <is>
          <t>CVE-2026-27199</t>
        </is>
      </c>
      <c r="C865" s="187" t="inlineStr">
        <is>
          <t>Werkzeug is a comprehensive WSGI web application library. Versions 3.1.5 and below, the safe_join function allows Windows device names as filenames if preceded by other path segments. This was previously reported as GHSA-hgf8-39gv-g3f2, but the added filtering failed to account for the fact that safe_join accepts paths with multiple segments, such as example/NUL. The function send_from_directory uses safe_join to safely serve files at user-specified paths under a directory. If the application is</t>
        </is>
      </c>
      <c r="D865" s="187" t="n">
        <v>5</v>
      </c>
      <c r="E865" s="187" t="inlineStr">
        <is>
          <t>MEDIUM</t>
        </is>
      </c>
      <c r="F865" s="187" t="n">
        <v>2</v>
      </c>
      <c r="G865" s="187" t="n">
        <v>2</v>
      </c>
      <c r="H865" s="187" t="inlineStr">
        <is>
          <t>MEDIUM</t>
        </is>
      </c>
      <c r="I865" s="187" t="n">
        <v>9</v>
      </c>
      <c r="J865" s="187" t="inlineStr">
        <is>
          <t>NO</t>
        </is>
      </c>
      <c r="K865" s="187" t="inlineStr">
        <is>
          <t>https://nvd.nist.gov/vuln/detail/CVE-2026-27199</t>
        </is>
      </c>
      <c r="L865" s="187" t="inlineStr">
        <is>
          <t>2026-02-26 00:15</t>
        </is>
      </c>
      <c r="M865" s="187" t="inlineStr">
        <is>
          <t>CHECK_VENDOR</t>
        </is>
      </c>
      <c r="N865" s="187" t="inlineStr">
        <is>
          <t>See NVD references</t>
        </is>
      </c>
      <c r="O865" s="187" t="inlineStr">
        <is>
          <t>Apply vendor patches</t>
        </is>
      </c>
      <c r="P865" s="187" t="inlineStr">
        <is>
          <t>See CVE details</t>
        </is>
      </c>
      <c r="Q865" s="187" t="inlineStr">
        <is>
          <t>P4</t>
        </is>
      </c>
      <c r="R865" s="187" t="inlineStr">
        <is>
          <t>📅 Schedule patch deployment within 30 days | 🔍 Monitor for exploitation attempts</t>
        </is>
      </c>
      <c r="S865" s="187" t="inlineStr">
        <is>
          <t>CVE - IP enrichment n/a</t>
        </is>
      </c>
      <c r="T865" s="187" t="n">
        <v>0</v>
      </c>
      <c r="U865" s="187" t="n">
        <v>0</v>
      </c>
      <c r="V865" s="187" t="inlineStr">
        <is>
          <t>T1190:Exploit Public-Facing Application</t>
        </is>
      </c>
      <c r="W865" s="187" t="n">
        <v>1</v>
      </c>
      <c r="X865" s="187" t="inlineStr">
        <is>
          <t>LOW (40%)</t>
        </is>
      </c>
      <c r="Y865" s="187" t="inlineStr">
        <is>
          <t>UNLIKELY</t>
        </is>
      </c>
      <c r="Z865" s="187" t="inlineStr">
        <is>
          <t>CHECK_VENDOR</t>
        </is>
      </c>
      <c r="AA865" s="187" t="inlineStr">
        <is>
          <t>https://nvd.nist.gov/vuln/detail/CVE-2026-27199</t>
        </is>
      </c>
      <c r="AB865" s="187" t="inlineStr">
        <is>
          <t>NONE</t>
        </is>
      </c>
      <c r="AC865" s="187" t="n">
        <v>0</v>
      </c>
      <c r="AD865" s="187" t="inlineStr"/>
    </row>
    <row r="866">
      <c r="A866" s="187" t="inlineStr">
        <is>
          <t>CVE</t>
        </is>
      </c>
      <c r="B866" s="187" t="inlineStr">
        <is>
          <t>CVE-2026-27205</t>
        </is>
      </c>
      <c r="C866" s="187" t="inlineStr">
        <is>
          <t>Flask is a web server gateway interface (WSGI) web application framework. In versions 3.1.2 and below, when the session object is accessed, Flask should set the Vary: Cookie header., resulting in a Use of Cache Containing Sensitive Information vulnerability. The logic instructs caches not to cache the response, as it may contain information specific to a logged in user. This is handled in most cases, but some forms of access such as the Python in operator were overlooked. The severity and risk d</t>
        </is>
      </c>
      <c r="D866" s="187" t="n">
        <v>4.3</v>
      </c>
      <c r="E866" s="187" t="inlineStr">
        <is>
          <t>MEDIUM</t>
        </is>
      </c>
      <c r="F866" s="187" t="n">
        <v>2</v>
      </c>
      <c r="G866" s="187" t="n">
        <v>2</v>
      </c>
      <c r="H866" s="187" t="inlineStr">
        <is>
          <t>MEDIUM</t>
        </is>
      </c>
      <c r="I866" s="187" t="n">
        <v>8.300000000000001</v>
      </c>
      <c r="J866" s="187" t="inlineStr">
        <is>
          <t>NO</t>
        </is>
      </c>
      <c r="K866" s="187" t="inlineStr">
        <is>
          <t>https://nvd.nist.gov/vuln/detail/CVE-2026-27205</t>
        </is>
      </c>
      <c r="L866" s="187" t="inlineStr">
        <is>
          <t>2026-02-26 00:15</t>
        </is>
      </c>
      <c r="M866" s="187" t="inlineStr">
        <is>
          <t>YES</t>
        </is>
      </c>
      <c r="N866" s="187" t="inlineStr">
        <is>
          <t>https://github.com/pallets/flask/commit/089cb86dd22bff589a4eafb7ab8e42dc357623b4 | https://github.com/pallets/flask/security/advisories/GHSA-68rp-wp8r-4726</t>
        </is>
      </c>
      <c r="O866" s="187" t="inlineStr">
        <is>
          <t>Apply vendor patches</t>
        </is>
      </c>
      <c r="P866" s="187" t="inlineStr">
        <is>
          <t>palletsprojects flask *</t>
        </is>
      </c>
      <c r="Q866" s="187" t="inlineStr">
        <is>
          <t>P4</t>
        </is>
      </c>
      <c r="R866" s="187" t="inlineStr">
        <is>
          <t>📅 Schedule patch deployment within 30 days | 🔍 Monitor for exploitation attempts</t>
        </is>
      </c>
      <c r="S866" s="187" t="inlineStr">
        <is>
          <t>CVE - IP enrichment n/a</t>
        </is>
      </c>
      <c r="T866" s="187" t="n">
        <v>0</v>
      </c>
      <c r="U866" s="187" t="n">
        <v>0</v>
      </c>
      <c r="V866" s="187" t="inlineStr">
        <is>
          <t>T1190:Exploit Public-Facing Application</t>
        </is>
      </c>
      <c r="W866" s="187" t="n">
        <v>1</v>
      </c>
      <c r="X866" s="187" t="inlineStr">
        <is>
          <t>LOW (40%)</t>
        </is>
      </c>
      <c r="Y866" s="187" t="inlineStr">
        <is>
          <t>UNLIKELY</t>
        </is>
      </c>
      <c r="Z866" s="187" t="inlineStr">
        <is>
          <t>PATCH_AVAILABLE</t>
        </is>
      </c>
      <c r="AA866" s="187" t="inlineStr">
        <is>
          <t>https://nvd.nist.gov/vuln/detail/CVE-2026-27205</t>
        </is>
      </c>
      <c r="AB866" s="187" t="inlineStr">
        <is>
          <t>NONE</t>
        </is>
      </c>
      <c r="AC866" s="187" t="n">
        <v>0</v>
      </c>
      <c r="AD866" s="187" t="inlineStr"/>
    </row>
    <row r="867">
      <c r="A867" s="188" t="inlineStr">
        <is>
          <t>CVE</t>
        </is>
      </c>
      <c r="B867" s="188" t="inlineStr">
        <is>
          <t>CVE-2026-27210</t>
        </is>
      </c>
      <c r="C867" s="188" t="inlineStr">
        <is>
          <t>Pannellum is a lightweight, free, and open source panorama viewer for the web. In versions 3.5.0 through 2.5.6, the hot spot attributes configuration property allowed any attribute to be set, including HTML event handler attributes, allowing for potential XSS attacks. This affects websites hosting the standalone viewer HTML file and any other use of untrusted JSON config files (bypassing the protections of the escapeHTML parameter). As certain events fire without any additional user interaction,</t>
        </is>
      </c>
      <c r="D867" s="188" t="n">
        <v>8.5</v>
      </c>
      <c r="E867" s="188" t="inlineStr">
        <is>
          <t>HIGH</t>
        </is>
      </c>
      <c r="F867" s="188" t="n">
        <v>2</v>
      </c>
      <c r="G867" s="188" t="n">
        <v>3</v>
      </c>
      <c r="H867" s="188" t="inlineStr">
        <is>
          <t>HIGH</t>
        </is>
      </c>
      <c r="I867" s="188" t="n">
        <v>14.5</v>
      </c>
      <c r="J867" s="188" t="inlineStr">
        <is>
          <t>NO</t>
        </is>
      </c>
      <c r="K867" s="188" t="inlineStr">
        <is>
          <t>https://nvd.nist.gov/vuln/detail/CVE-2026-27210</t>
        </is>
      </c>
      <c r="L867" s="188" t="inlineStr">
        <is>
          <t>2026-02-26 00:15</t>
        </is>
      </c>
      <c r="M867" s="188" t="inlineStr">
        <is>
          <t>CHECK_VENDOR</t>
        </is>
      </c>
      <c r="N867" s="188" t="inlineStr">
        <is>
          <t>See NVD references</t>
        </is>
      </c>
      <c r="O867" s="188" t="inlineStr">
        <is>
          <t>Apply vendor patches</t>
        </is>
      </c>
      <c r="P867" s="188" t="inlineStr">
        <is>
          <t>See CVE details</t>
        </is>
      </c>
      <c r="Q867" s="188" t="inlineStr">
        <is>
          <t>P3</t>
        </is>
      </c>
      <c r="R867" s="188" t="inlineStr">
        <is>
          <t>🚨 URGENT: Apply vendor patches immediately | 🔒 Isolate affected systems if patch unavailable | 🛡️ Enable additional monitoring/IDS rules</t>
        </is>
      </c>
      <c r="S867" s="188" t="inlineStr">
        <is>
          <t>CVE - IP enrichment n/a</t>
        </is>
      </c>
      <c r="T867" s="188" t="n">
        <v>0</v>
      </c>
      <c r="U867" s="188" t="n">
        <v>0</v>
      </c>
      <c r="V867" s="188" t="inlineStr">
        <is>
          <t>T1189:Drive-by Compromise | T1190:Exploit Public-Facing Application</t>
        </is>
      </c>
      <c r="W867" s="188" t="n">
        <v>1</v>
      </c>
      <c r="X867" s="188" t="inlineStr">
        <is>
          <t>LOW (40%)</t>
        </is>
      </c>
      <c r="Y867" s="188" t="inlineStr">
        <is>
          <t>UNLIKELY</t>
        </is>
      </c>
      <c r="Z867" s="188" t="inlineStr">
        <is>
          <t>CHECK_VENDOR</t>
        </is>
      </c>
      <c r="AA867" s="188" t="inlineStr">
        <is>
          <t>https://nvd.nist.gov/vuln/detail/CVE-2026-27210</t>
        </is>
      </c>
      <c r="AB867" s="188" t="inlineStr">
        <is>
          <t>NONE</t>
        </is>
      </c>
      <c r="AC867" s="188" t="n">
        <v>0</v>
      </c>
      <c r="AD867" s="188" t="inlineStr"/>
    </row>
    <row r="868">
      <c r="A868" s="189" t="inlineStr">
        <is>
          <t>CVE</t>
        </is>
      </c>
      <c r="B868" s="189" t="inlineStr">
        <is>
          <t>CVE-2026-27211</t>
        </is>
      </c>
      <c r="C868" s="189" t="inlineStr">
        <is>
          <t>Cloud Hypervisor is a Virtual Machine Monitor for Cloud workloads. Versions 34.0 through 50.0 arevulnerable to arbitrary host file exfiltration (constrained by process privileges) when using virtio-block devices backed by raw images. A malicious guest can overwrite its disk header with a crafted QCOW2 structure pointing to a sensitive host path. Upon the next VM boot or disk scan, the image format auto-detection parses this header and serves the host file's contents to the guest. Guest-initiated</t>
        </is>
      </c>
      <c r="D868" s="189" t="n">
        <v>10</v>
      </c>
      <c r="E868" s="189" t="inlineStr">
        <is>
          <t>CRITICAL</t>
        </is>
      </c>
      <c r="F868" s="189" t="n">
        <v>2</v>
      </c>
      <c r="G868" s="189" t="n">
        <v>3</v>
      </c>
      <c r="H868" s="189" t="inlineStr">
        <is>
          <t>HIGH</t>
        </is>
      </c>
      <c r="I868" s="189" t="n">
        <v>16</v>
      </c>
      <c r="J868" s="189" t="inlineStr">
        <is>
          <t>NO</t>
        </is>
      </c>
      <c r="K868" s="189" t="inlineStr">
        <is>
          <t>https://nvd.nist.gov/vuln/detail/CVE-2026-27211</t>
        </is>
      </c>
      <c r="L868" s="189" t="inlineStr">
        <is>
          <t>2026-02-26 00:15</t>
        </is>
      </c>
      <c r="M868" s="189" t="inlineStr">
        <is>
          <t>YES</t>
        </is>
      </c>
      <c r="N868" s="189" t="inlineStr">
        <is>
          <t>https://github.com/cloud-hypervisor/cloud-hypervisor/commit/081a6ebb5184228ff348601502258f3f72bd8b43 | https://github.com/cloud-hypervisor/cloud-hypervisor/commit/509832298b6865365b00bda88722e76e41ce7f41 | https://github.com/cloud-hypervisor/cloud-hypervisor/commit/a63315df54e06f6ec867f17b63076c266e2d8648</t>
        </is>
      </c>
      <c r="O868" s="189" t="inlineStr">
        <is>
          <t>https://github.com/cloud-hypervisor/cloud-hypervisor/security/advisories/GHSA-jmr4-g2hv-mjj6</t>
        </is>
      </c>
      <c r="P868" s="189" t="inlineStr">
        <is>
          <t>cloudhypervisor cloud_hypervisor *</t>
        </is>
      </c>
      <c r="Q868" s="189" t="inlineStr">
        <is>
          <t>P3</t>
        </is>
      </c>
      <c r="R868" s="189" t="inlineStr">
        <is>
          <t>🚨 URGENT: Apply vendor patches immediately | 🔒 Isolate affected systems if patch unavailable | 🛡️ Enable additional monitoring/IDS rules</t>
        </is>
      </c>
      <c r="S868" s="189" t="inlineStr">
        <is>
          <t>CVE - IP enrichment n/a</t>
        </is>
      </c>
      <c r="T868" s="189" t="n">
        <v>0</v>
      </c>
      <c r="U868" s="189" t="n">
        <v>0</v>
      </c>
      <c r="V868" s="189" t="inlineStr">
        <is>
          <t>T1190:Exploit Public-Facing Application</t>
        </is>
      </c>
      <c r="W868" s="189" t="n">
        <v>1</v>
      </c>
      <c r="X868" s="189" t="inlineStr">
        <is>
          <t>LOW (40%)</t>
        </is>
      </c>
      <c r="Y868" s="189" t="inlineStr">
        <is>
          <t>UNLIKELY</t>
        </is>
      </c>
      <c r="Z868" s="189" t="inlineStr">
        <is>
          <t>PATCH_AVAILABLE</t>
        </is>
      </c>
      <c r="AA868" s="189" t="inlineStr">
        <is>
          <t>https://nvd.nist.gov/vuln/detail/CVE-2026-27211</t>
        </is>
      </c>
      <c r="AB868" s="189" t="inlineStr">
        <is>
          <t>NONE</t>
        </is>
      </c>
      <c r="AC868" s="189" t="n">
        <v>0</v>
      </c>
      <c r="AD868" s="189" t="inlineStr"/>
    </row>
    <row r="869">
      <c r="A869" s="188" t="inlineStr">
        <is>
          <t>CVE</t>
        </is>
      </c>
      <c r="B869" s="188" t="inlineStr">
        <is>
          <t>CVE-2026-27212</t>
        </is>
      </c>
      <c r="C869" s="188" t="inlineStr">
        <is>
          <t>Swiper is a free and mobile touch slider with hardware accelerated transitions and native behavior. Versions 6.5.1 through 12.1.1 have a Prototype pollution vulnerability. The vulnerability resides in line 94 of shared/utils.mjs, where the indexOf() function is used to check whether user provided input contain forbidden strings. Despite a previous fix that attempted to mitigate prototype pollution by checking whether user input contained a forbidden key, it is still possible to pollute Object.pr</t>
        </is>
      </c>
      <c r="D869" s="188" t="n">
        <v>7.8</v>
      </c>
      <c r="E869" s="188" t="inlineStr">
        <is>
          <t>HIGH</t>
        </is>
      </c>
      <c r="F869" s="188" t="n">
        <v>2</v>
      </c>
      <c r="G869" s="188" t="n">
        <v>3</v>
      </c>
      <c r="H869" s="188" t="inlineStr">
        <is>
          <t>HIGH</t>
        </is>
      </c>
      <c r="I869" s="188" t="n">
        <v>13.8</v>
      </c>
      <c r="J869" s="188" t="inlineStr">
        <is>
          <t>NO</t>
        </is>
      </c>
      <c r="K869" s="188" t="inlineStr">
        <is>
          <t>https://nvd.nist.gov/vuln/detail/CVE-2026-27212</t>
        </is>
      </c>
      <c r="L869" s="188" t="inlineStr">
        <is>
          <t>2026-02-26 00:15</t>
        </is>
      </c>
      <c r="M869" s="188" t="inlineStr">
        <is>
          <t>YES</t>
        </is>
      </c>
      <c r="N869" s="188" t="inlineStr">
        <is>
          <t>https://github.com/nolimits4web/swiper/commit/d3e663322a13043ca63aaba235d8cf3900e0c8cf | https://github.com/nolimits4web/swiper/security/advisories/GHSA-hmx5-qpq5-p643</t>
        </is>
      </c>
      <c r="O869" s="188" t="inlineStr">
        <is>
          <t>Apply vendor patches</t>
        </is>
      </c>
      <c r="P869" s="188" t="inlineStr">
        <is>
          <t>swiperjs swiper *</t>
        </is>
      </c>
      <c r="Q869" s="188" t="inlineStr">
        <is>
          <t>P3</t>
        </is>
      </c>
      <c r="R869" s="188" t="inlineStr">
        <is>
          <t>🚨 URGENT: Apply vendor patches immediately | 🔒 Isolate affected systems if patch unavailable | 🛡️ Enable additional monitoring/IDS rules</t>
        </is>
      </c>
      <c r="S869" s="188" t="inlineStr">
        <is>
          <t>CVE - IP enrichment n/a</t>
        </is>
      </c>
      <c r="T869" s="188" t="n">
        <v>0</v>
      </c>
      <c r="U869" s="188" t="n">
        <v>0</v>
      </c>
      <c r="V869" s="188" t="inlineStr">
        <is>
          <t>T1190:Exploit Public-Facing Application | T1078:Valid Accounts | T1499:Endpoint Denial of Service</t>
        </is>
      </c>
      <c r="W869" s="188" t="n">
        <v>1</v>
      </c>
      <c r="X869" s="188" t="inlineStr">
        <is>
          <t>LOW (40%)</t>
        </is>
      </c>
      <c r="Y869" s="188" t="inlineStr">
        <is>
          <t>UNLIKELY</t>
        </is>
      </c>
      <c r="Z869" s="188" t="inlineStr">
        <is>
          <t>PATCH_AVAILABLE</t>
        </is>
      </c>
      <c r="AA869" s="188" t="inlineStr">
        <is>
          <t>https://nvd.nist.gov/vuln/detail/CVE-2026-27212</t>
        </is>
      </c>
      <c r="AB869" s="188" t="inlineStr">
        <is>
          <t>NONE</t>
        </is>
      </c>
      <c r="AC869" s="188" t="n">
        <v>0</v>
      </c>
      <c r="AD869" s="188" t="inlineStr"/>
    </row>
    <row r="870">
      <c r="A870" s="187" t="inlineStr">
        <is>
          <t>CVE</t>
        </is>
      </c>
      <c r="B870" s="187" t="inlineStr">
        <is>
          <t>CVE-2026-2861</t>
        </is>
      </c>
      <c r="C870" s="187" t="inlineStr">
        <is>
          <t>A vulnerability was detected in Foswiki up to 2.1.10. The affected element is an unknown function of the component Changes/Viewfile/Oops. The manipulation results in information disclosure. It is possible to launch the attack remotely. The exploit is now public and may be used. Upgrading to version 2.1.11 is sufficient to fix this issue. The patch is identified as 31aeecb58b64/d8ed86b10e46. Upgrading the affected component is recommended.</t>
        </is>
      </c>
      <c r="D870" s="187" t="n">
        <v>5.3</v>
      </c>
      <c r="E870" s="187" t="inlineStr">
        <is>
          <t>MEDIUM</t>
        </is>
      </c>
      <c r="F870" s="187" t="n">
        <v>2</v>
      </c>
      <c r="G870" s="187" t="n">
        <v>2</v>
      </c>
      <c r="H870" s="187" t="inlineStr">
        <is>
          <t>MEDIUM</t>
        </is>
      </c>
      <c r="I870" s="187" t="n">
        <v>9.300000000000001</v>
      </c>
      <c r="J870" s="187" t="inlineStr">
        <is>
          <t>NO</t>
        </is>
      </c>
      <c r="K870" s="187" t="inlineStr">
        <is>
          <t>https://nvd.nist.gov/vuln/detail/CVE-2026-2861</t>
        </is>
      </c>
      <c r="L870" s="187" t="inlineStr">
        <is>
          <t>2026-02-26 00:15</t>
        </is>
      </c>
      <c r="M870" s="187" t="inlineStr">
        <is>
          <t>CHECK_VENDOR</t>
        </is>
      </c>
      <c r="N870" s="187" t="inlineStr">
        <is>
          <t>See NVD references</t>
        </is>
      </c>
      <c r="O870" s="187" t="inlineStr">
        <is>
          <t>Apply vendor patches</t>
        </is>
      </c>
      <c r="P870" s="187" t="inlineStr">
        <is>
          <t>See CVE details</t>
        </is>
      </c>
      <c r="Q870" s="187" t="inlineStr">
        <is>
          <t>P4</t>
        </is>
      </c>
      <c r="R870" s="187" t="inlineStr">
        <is>
          <t>📅 Schedule patch deployment within 30 days | 🔍 Monitor for exploitation attempts</t>
        </is>
      </c>
      <c r="S870" s="187" t="inlineStr">
        <is>
          <t>CVE - IP enrichment n/a</t>
        </is>
      </c>
      <c r="T870" s="187" t="n">
        <v>0</v>
      </c>
      <c r="U870" s="187" t="n">
        <v>0</v>
      </c>
      <c r="V870" s="187" t="inlineStr">
        <is>
          <t>T1213:Data from Information Repositories</t>
        </is>
      </c>
      <c r="W870" s="187" t="n">
        <v>1</v>
      </c>
      <c r="X870" s="187" t="inlineStr">
        <is>
          <t>LOW (40%)</t>
        </is>
      </c>
      <c r="Y870" s="187" t="inlineStr">
        <is>
          <t>UNLIKELY</t>
        </is>
      </c>
      <c r="Z870" s="187" t="inlineStr">
        <is>
          <t>CHECK_VENDOR</t>
        </is>
      </c>
      <c r="AA870" s="187" t="inlineStr">
        <is>
          <t>https://nvd.nist.gov/vuln/detail/CVE-2026-2861</t>
        </is>
      </c>
      <c r="AB870" s="187" t="inlineStr">
        <is>
          <t>NONE</t>
        </is>
      </c>
      <c r="AC870" s="187" t="n">
        <v>0</v>
      </c>
      <c r="AD870" s="187" t="inlineStr"/>
    </row>
    <row r="871">
      <c r="A871" s="187" t="inlineStr">
        <is>
          <t>CVE</t>
        </is>
      </c>
      <c r="B871" s="187" t="inlineStr">
        <is>
          <t>CVE-2026-2863</t>
        </is>
      </c>
      <c r="C871" s="187" t="inlineStr">
        <is>
          <t>A flaw has been found in feng_ha_ha/megagao ssm-erp and production_ssm up to 4288d53bd35757b27f2d070057aefb2c07bdd097. The impacted element is the function deleteFile of the file FileServiceImpl.java. This manipulation causes path traversal. The attack can be initiated remotely. The exploit has been published and may be used. Continious delivery with rolling releases is used by this product. Therefore, no version details of affected nor updated releases are available. This product is distributed</t>
        </is>
      </c>
      <c r="D871" s="187" t="n">
        <v>5.4</v>
      </c>
      <c r="E871" s="187" t="inlineStr">
        <is>
          <t>MEDIUM</t>
        </is>
      </c>
      <c r="F871" s="187" t="n">
        <v>2</v>
      </c>
      <c r="G871" s="187" t="n">
        <v>2</v>
      </c>
      <c r="H871" s="187" t="inlineStr">
        <is>
          <t>MEDIUM</t>
        </is>
      </c>
      <c r="I871" s="187" t="n">
        <v>9.4</v>
      </c>
      <c r="J871" s="187" t="inlineStr">
        <is>
          <t>NO</t>
        </is>
      </c>
      <c r="K871" s="187" t="inlineStr">
        <is>
          <t>https://nvd.nist.gov/vuln/detail/CVE-2026-2863</t>
        </is>
      </c>
      <c r="L871" s="187" t="inlineStr">
        <is>
          <t>2026-02-26 00:15</t>
        </is>
      </c>
      <c r="M871" s="187" t="inlineStr">
        <is>
          <t>CHECK_VENDOR</t>
        </is>
      </c>
      <c r="N871" s="187" t="inlineStr">
        <is>
          <t>See NVD references</t>
        </is>
      </c>
      <c r="O871" s="187" t="inlineStr">
        <is>
          <t>Apply vendor patches</t>
        </is>
      </c>
      <c r="P871" s="187" t="inlineStr">
        <is>
          <t>See CVE details</t>
        </is>
      </c>
      <c r="Q871" s="187" t="inlineStr">
        <is>
          <t>P4</t>
        </is>
      </c>
      <c r="R871" s="187" t="inlineStr">
        <is>
          <t>📅 Schedule patch deployment within 30 days | 🔍 Monitor for exploitation attempts</t>
        </is>
      </c>
      <c r="S871" s="187" t="inlineStr">
        <is>
          <t>CVE - IP enrichment n/a</t>
        </is>
      </c>
      <c r="T871" s="187" t="n">
        <v>0</v>
      </c>
      <c r="U871" s="187" t="n">
        <v>0</v>
      </c>
      <c r="V871" s="187" t="inlineStr">
        <is>
          <t>T1083:File and Directory Discovery</t>
        </is>
      </c>
      <c r="W871" s="187" t="n">
        <v>1</v>
      </c>
      <c r="X871" s="187" t="inlineStr">
        <is>
          <t>LOW (40%)</t>
        </is>
      </c>
      <c r="Y871" s="187" t="inlineStr">
        <is>
          <t>UNLIKELY</t>
        </is>
      </c>
      <c r="Z871" s="187" t="inlineStr">
        <is>
          <t>CHECK_VENDOR</t>
        </is>
      </c>
      <c r="AA871" s="187" t="inlineStr">
        <is>
          <t>https://nvd.nist.gov/vuln/detail/CVE-2026-2863</t>
        </is>
      </c>
      <c r="AB871" s="187" t="inlineStr">
        <is>
          <t>NONE</t>
        </is>
      </c>
      <c r="AC871" s="187" t="n">
        <v>0</v>
      </c>
      <c r="AD871" s="187" t="inlineStr"/>
    </row>
    <row r="872">
      <c r="A872" s="188" t="inlineStr">
        <is>
          <t>CVE</t>
        </is>
      </c>
      <c r="B872" s="188" t="inlineStr">
        <is>
          <t>CVE-2026-27206</t>
        </is>
      </c>
      <c r="C872" s="188" t="inlineStr">
        <is>
          <t>Zumba Json Serializer is a library to serialize PHP variables in JSON format. In versions 3.2.2 and below, the library allows deserialization of PHP objects from JSON using a special @type field. The deserializer instantiates any class specified in the @type field without restriction. When processing untrusted JSON input, this behavior may allow an attacker to instantiate arbitrary classes available in the application. If a vulnerable application passes attacker-controlled JSON into JsonSerializ</t>
        </is>
      </c>
      <c r="D872" s="188" t="n">
        <v>8.1</v>
      </c>
      <c r="E872" s="188" t="inlineStr">
        <is>
          <t>HIGH</t>
        </is>
      </c>
      <c r="F872" s="188" t="n">
        <v>2</v>
      </c>
      <c r="G872" s="188" t="n">
        <v>3</v>
      </c>
      <c r="H872" s="188" t="inlineStr">
        <is>
          <t>HIGH</t>
        </is>
      </c>
      <c r="I872" s="188" t="n">
        <v>14.1</v>
      </c>
      <c r="J872" s="188" t="inlineStr">
        <is>
          <t>NO</t>
        </is>
      </c>
      <c r="K872" s="188" t="inlineStr">
        <is>
          <t>https://nvd.nist.gov/vuln/detail/CVE-2026-27206</t>
        </is>
      </c>
      <c r="L872" s="188" t="inlineStr">
        <is>
          <t>2026-02-26 00:15</t>
        </is>
      </c>
      <c r="M872" s="188" t="inlineStr">
        <is>
          <t>CHECK_VENDOR</t>
        </is>
      </c>
      <c r="N872" s="188" t="inlineStr">
        <is>
          <t>See NVD references</t>
        </is>
      </c>
      <c r="O872" s="188" t="inlineStr">
        <is>
          <t>Apply vendor patches</t>
        </is>
      </c>
      <c r="P872" s="188" t="inlineStr">
        <is>
          <t>See CVE details</t>
        </is>
      </c>
      <c r="Q872" s="188" t="inlineStr">
        <is>
          <t>P3</t>
        </is>
      </c>
      <c r="R872" s="188" t="inlineStr">
        <is>
          <t>🚨 URGENT: Apply vendor patches immediately | 🔒 Isolate affected systems if patch unavailable | 🛡️ Enable additional monitoring/IDS rules</t>
        </is>
      </c>
      <c r="S872" s="188" t="inlineStr">
        <is>
          <t>CVE - IP enrichment n/a</t>
        </is>
      </c>
      <c r="T872" s="188" t="n">
        <v>0</v>
      </c>
      <c r="U872" s="188" t="n">
        <v>0</v>
      </c>
      <c r="V872" s="188" t="inlineStr">
        <is>
          <t>T1059:Command and Scripting Interpreter | T1190:Exploit Public-Facing Application | T1210:Exploitation of Remote Services</t>
        </is>
      </c>
      <c r="W872" s="188" t="n">
        <v>1</v>
      </c>
      <c r="X872" s="188" t="inlineStr">
        <is>
          <t>LOW (40%)</t>
        </is>
      </c>
      <c r="Y872" s="188" t="inlineStr">
        <is>
          <t>UNLIKELY</t>
        </is>
      </c>
      <c r="Z872" s="188" t="inlineStr">
        <is>
          <t>CHECK_VENDOR</t>
        </is>
      </c>
      <c r="AA872" s="188" t="inlineStr">
        <is>
          <t>https://nvd.nist.gov/vuln/detail/CVE-2026-27206</t>
        </is>
      </c>
      <c r="AB872" s="188" t="inlineStr">
        <is>
          <t>NONE</t>
        </is>
      </c>
      <c r="AC872" s="188" t="n">
        <v>0</v>
      </c>
      <c r="AD872" s="188" t="inlineStr"/>
    </row>
    <row r="873">
      <c r="A873" s="187" t="inlineStr">
        <is>
          <t>CVE</t>
        </is>
      </c>
      <c r="B873" s="187" t="inlineStr">
        <is>
          <t>CVE-2026-27452</t>
        </is>
      </c>
      <c r="C873" s="187" t="inlineStr">
        <is>
          <t>ASN.1 TypeScript ESM library, including codecs for Basic Encoding Rules (BER) and Distinguished Encoding Rules (DER). In versions 11.0.5 and below, in some cases, decoding an INTEGER could leak the underlying ArrayBuffer. This issue is expected to be fixed in version 11.0.6.</t>
        </is>
      </c>
      <c r="D873" s="187" t="n">
        <v>5</v>
      </c>
      <c r="E873" s="187" t="inlineStr">
        <is>
          <t>MEDIUM</t>
        </is>
      </c>
      <c r="F873" s="187" t="n">
        <v>2</v>
      </c>
      <c r="G873" s="187" t="n">
        <v>2</v>
      </c>
      <c r="H873" s="187" t="inlineStr">
        <is>
          <t>MEDIUM</t>
        </is>
      </c>
      <c r="I873" s="187" t="n">
        <v>9</v>
      </c>
      <c r="J873" s="187" t="inlineStr">
        <is>
          <t>NO</t>
        </is>
      </c>
      <c r="K873" s="187" t="inlineStr">
        <is>
          <t>https://nvd.nist.gov/vuln/detail/CVE-2026-27452</t>
        </is>
      </c>
      <c r="L873" s="187" t="inlineStr">
        <is>
          <t>2026-02-26 00:15</t>
        </is>
      </c>
      <c r="M873" s="187" t="inlineStr">
        <is>
          <t>CHECK_VENDOR</t>
        </is>
      </c>
      <c r="N873" s="187" t="inlineStr">
        <is>
          <t>See NVD references</t>
        </is>
      </c>
      <c r="O873" s="187" t="inlineStr">
        <is>
          <t>Apply vendor patches</t>
        </is>
      </c>
      <c r="P873" s="187" t="inlineStr">
        <is>
          <t>See CVE details</t>
        </is>
      </c>
      <c r="Q873" s="187" t="inlineStr">
        <is>
          <t>P4</t>
        </is>
      </c>
      <c r="R873" s="187" t="inlineStr">
        <is>
          <t>📅 Schedule patch deployment within 30 days | 🔍 Monitor for exploitation attempts</t>
        </is>
      </c>
      <c r="S873" s="187" t="inlineStr">
        <is>
          <t>CVE - IP enrichment n/a</t>
        </is>
      </c>
      <c r="T873" s="187" t="n">
        <v>0</v>
      </c>
      <c r="U873" s="187" t="n">
        <v>0</v>
      </c>
      <c r="V873" s="187" t="inlineStr">
        <is>
          <t>T1213:Data from Information Repositories</t>
        </is>
      </c>
      <c r="W873" s="187" t="n">
        <v>1</v>
      </c>
      <c r="X873" s="187" t="inlineStr">
        <is>
          <t>LOW (40%)</t>
        </is>
      </c>
      <c r="Y873" s="187" t="inlineStr">
        <is>
          <t>UNLIKELY</t>
        </is>
      </c>
      <c r="Z873" s="187" t="inlineStr">
        <is>
          <t>CHECK_VENDOR</t>
        </is>
      </c>
      <c r="AA873" s="187" t="inlineStr">
        <is>
          <t>https://nvd.nist.gov/vuln/detail/CVE-2026-27452</t>
        </is>
      </c>
      <c r="AB873" s="187" t="inlineStr">
        <is>
          <t>NONE</t>
        </is>
      </c>
      <c r="AC873" s="187" t="n">
        <v>0</v>
      </c>
      <c r="AD873" s="187" t="inlineStr"/>
    </row>
    <row r="874">
      <c r="A874" s="187" t="inlineStr">
        <is>
          <t>CVE</t>
        </is>
      </c>
      <c r="B874" s="187" t="inlineStr">
        <is>
          <t>CVE-2026-27458</t>
        </is>
      </c>
      <c r="C874" s="187" t="inlineStr">
        <is>
          <t>LinkAce is a self-hosted archive to collect website links. Versions 2.4.2 and below have a Stored Cross-site Scripting vulnerability through the Atom feed endpoint for lists (/lists/feed). An authenticated user can inject a CDATA-breaking payload into a list description that escapes the XML CDATA section, injects a native SVG element into the Atom XML document, and executes arbitrary JavaScript directly in the browser when the feed URL is visited. No RSS reader or additional rendering context is</t>
        </is>
      </c>
      <c r="D874" s="187" t="n">
        <v>5.4</v>
      </c>
      <c r="E874" s="187" t="inlineStr">
        <is>
          <t>MEDIUM</t>
        </is>
      </c>
      <c r="F874" s="187" t="n">
        <v>2</v>
      </c>
      <c r="G874" s="187" t="n">
        <v>2</v>
      </c>
      <c r="H874" s="187" t="inlineStr">
        <is>
          <t>MEDIUM</t>
        </is>
      </c>
      <c r="I874" s="187" t="n">
        <v>9.4</v>
      </c>
      <c r="J874" s="187" t="inlineStr">
        <is>
          <t>NO</t>
        </is>
      </c>
      <c r="K874" s="187" t="inlineStr">
        <is>
          <t>https://nvd.nist.gov/vuln/detail/CVE-2026-27458</t>
        </is>
      </c>
      <c r="L874" s="187" t="inlineStr">
        <is>
          <t>2026-02-26 00:15</t>
        </is>
      </c>
      <c r="M874" s="187" t="inlineStr">
        <is>
          <t>YES</t>
        </is>
      </c>
      <c r="N874" s="187" t="inlineStr">
        <is>
          <t>https://github.com/Kovah/LinkAce/commit/eb5ba2abe05177ffa678baac0aa3f9c48b47d2f0 | https://github.com/Kovah/LinkAce/security/advisories/GHSA-2r9p-95xj-p583</t>
        </is>
      </c>
      <c r="O874" s="187" t="inlineStr">
        <is>
          <t>https://github.com/Kovah/LinkAce/security/advisories/GHSA-2r9p-95xj-p583</t>
        </is>
      </c>
      <c r="P874" s="187" t="inlineStr">
        <is>
          <t>linkace linkace *</t>
        </is>
      </c>
      <c r="Q874" s="187" t="inlineStr">
        <is>
          <t>P4</t>
        </is>
      </c>
      <c r="R874" s="187" t="inlineStr">
        <is>
          <t>📅 Schedule patch deployment within 30 days | 🔍 Monitor for exploitation attempts</t>
        </is>
      </c>
      <c r="S874" s="187" t="inlineStr">
        <is>
          <t>CVE - IP enrichment n/a</t>
        </is>
      </c>
      <c r="T874" s="187" t="n">
        <v>0.0003</v>
      </c>
      <c r="U874" s="187" t="n">
        <v>0.0999</v>
      </c>
      <c r="V874" s="187" t="inlineStr">
        <is>
          <t>T1189:Drive-by Compromise</t>
        </is>
      </c>
      <c r="W874" s="187" t="n">
        <v>1</v>
      </c>
      <c r="X874" s="187" t="inlineStr">
        <is>
          <t>LOW (40%)</t>
        </is>
      </c>
      <c r="Y874" s="187" t="inlineStr">
        <is>
          <t>UNLIKELY</t>
        </is>
      </c>
      <c r="Z874" s="187" t="inlineStr">
        <is>
          <t>PATCH_AVAILABLE</t>
        </is>
      </c>
      <c r="AA874" s="187" t="inlineStr">
        <is>
          <t>https://nvd.nist.gov/vuln/detail/CVE-2026-27458</t>
        </is>
      </c>
      <c r="AB874" s="187" t="inlineStr">
        <is>
          <t>NONE</t>
        </is>
      </c>
      <c r="AC874" s="187" t="n">
        <v>0</v>
      </c>
      <c r="AD874" s="187" t="inlineStr"/>
    </row>
    <row r="875">
      <c r="A875" s="189" t="inlineStr">
        <is>
          <t>CVE</t>
        </is>
      </c>
      <c r="B875" s="189" t="inlineStr">
        <is>
          <t>CVE-2026-27471</t>
        </is>
      </c>
      <c r="C875" s="189" t="inlineStr">
        <is>
          <t>ERP is a free and open source Enterprise Resource Planning tool. In versions up to 15.98.0 and 16.0.0-rc.1 and through 16.6.0, certain endpoints lacked access validation which allowed for unauthorized document access. This issue has been fixed in versions 15.98.1 and 16.6.1.</t>
        </is>
      </c>
      <c r="D875" s="189" t="n">
        <v>9.1</v>
      </c>
      <c r="E875" s="189" t="inlineStr">
        <is>
          <t>CRITICAL</t>
        </is>
      </c>
      <c r="F875" s="189" t="n">
        <v>2</v>
      </c>
      <c r="G875" s="189" t="n">
        <v>3</v>
      </c>
      <c r="H875" s="189" t="inlineStr">
        <is>
          <t>HIGH</t>
        </is>
      </c>
      <c r="I875" s="189" t="n">
        <v>15.1</v>
      </c>
      <c r="J875" s="189" t="inlineStr">
        <is>
          <t>NO</t>
        </is>
      </c>
      <c r="K875" s="189" t="inlineStr">
        <is>
          <t>https://nvd.nist.gov/vuln/detail/CVE-2026-27471</t>
        </is>
      </c>
      <c r="L875" s="189" t="inlineStr">
        <is>
          <t>2026-02-26 00:15</t>
        </is>
      </c>
      <c r="M875" s="189" t="inlineStr">
        <is>
          <t>YES</t>
        </is>
      </c>
      <c r="N875" s="189" t="inlineStr">
        <is>
          <t>https://github.com/frappe/erpnext/commit/78fc9424d9085c2eafe1211931e22d7044f85fc7 | https://github.com/frappe/erpnext/security/advisories/GHSA-wpfx-jw7g-7f83</t>
        </is>
      </c>
      <c r="O875" s="189" t="inlineStr">
        <is>
          <t>Apply vendor patches</t>
        </is>
      </c>
      <c r="P875" s="189" t="inlineStr">
        <is>
          <t>frappe erpnext 16.0.0 | frappe erpnext *</t>
        </is>
      </c>
      <c r="Q875" s="189" t="inlineStr">
        <is>
          <t>P3</t>
        </is>
      </c>
      <c r="R875" s="189" t="inlineStr">
        <is>
          <t>🚨 URGENT: Apply vendor patches immediately | 🔒 Isolate affected systems if patch unavailable | 🛡️ Enable additional monitoring/IDS rules</t>
        </is>
      </c>
      <c r="S875" s="189" t="inlineStr">
        <is>
          <t>CVE - IP enrichment n/a</t>
        </is>
      </c>
      <c r="T875" s="189" t="n">
        <v>0</v>
      </c>
      <c r="U875" s="189" t="n">
        <v>0</v>
      </c>
      <c r="V875" s="189" t="inlineStr">
        <is>
          <t>T1190:Exploit Public-Facing Application</t>
        </is>
      </c>
      <c r="W875" s="189" t="n">
        <v>1</v>
      </c>
      <c r="X875" s="189" t="inlineStr">
        <is>
          <t>LOW (40%)</t>
        </is>
      </c>
      <c r="Y875" s="189" t="inlineStr">
        <is>
          <t>UNLIKELY</t>
        </is>
      </c>
      <c r="Z875" s="189" t="inlineStr">
        <is>
          <t>PATCH_AVAILABLE</t>
        </is>
      </c>
      <c r="AA875" s="189" t="inlineStr">
        <is>
          <t>https://nvd.nist.gov/vuln/detail/CVE-2026-27471</t>
        </is>
      </c>
      <c r="AB875" s="189" t="inlineStr">
        <is>
          <t>NONE</t>
        </is>
      </c>
      <c r="AC875" s="189" t="n">
        <v>0</v>
      </c>
      <c r="AD875" s="189" t="inlineStr"/>
    </row>
    <row r="876">
      <c r="A876" s="188" t="inlineStr">
        <is>
          <t>CVE</t>
        </is>
      </c>
      <c r="B876" s="188" t="inlineStr">
        <is>
          <t>CVE-2026-27464</t>
        </is>
      </c>
      <c r="C876" s="188" t="inlineStr">
        <is>
          <t xml:space="preserve">Metabase is an open-source data analytics platform. In versions prior to 0.57.13 and versions 0.58.x through 0.58.6, authenticated users are able to retrieve sensitive information from a Metabase instance, including database access credentials. During testing, it was confirmed that a low-privileged user can extract sensitive information including database credentials, into the email body via template evaluation. This issue has been fixed in versions 0.57.13 and 0.58.7. To workaround this issue, </t>
        </is>
      </c>
      <c r="D876" s="188" t="n">
        <v>7.7</v>
      </c>
      <c r="E876" s="188" t="inlineStr">
        <is>
          <t>HIGH</t>
        </is>
      </c>
      <c r="F876" s="188" t="n">
        <v>2</v>
      </c>
      <c r="G876" s="188" t="n">
        <v>3</v>
      </c>
      <c r="H876" s="188" t="inlineStr">
        <is>
          <t>HIGH</t>
        </is>
      </c>
      <c r="I876" s="188" t="n">
        <v>13.7</v>
      </c>
      <c r="J876" s="188" t="inlineStr">
        <is>
          <t>NO</t>
        </is>
      </c>
      <c r="K876" s="188" t="inlineStr">
        <is>
          <t>https://nvd.nist.gov/vuln/detail/CVE-2026-27464</t>
        </is>
      </c>
      <c r="L876" s="188" t="inlineStr">
        <is>
          <t>2026-02-26 00:15</t>
        </is>
      </c>
      <c r="M876" s="188" t="inlineStr">
        <is>
          <t>CHECK_VENDOR</t>
        </is>
      </c>
      <c r="N876" s="188" t="inlineStr">
        <is>
          <t>See NVD references</t>
        </is>
      </c>
      <c r="O876" s="188" t="inlineStr">
        <is>
          <t>Apply vendor patches</t>
        </is>
      </c>
      <c r="P876" s="188" t="inlineStr">
        <is>
          <t>See CVE details</t>
        </is>
      </c>
      <c r="Q876" s="188" t="inlineStr">
        <is>
          <t>P3</t>
        </is>
      </c>
      <c r="R876" s="188" t="inlineStr">
        <is>
          <t>🚨 URGENT: Apply vendor patches immediately | 🔒 Isolate affected systems if patch unavailable | 🛡️ Enable additional monitoring/IDS rules</t>
        </is>
      </c>
      <c r="S876" s="188" t="inlineStr">
        <is>
          <t>CVE - IP enrichment n/a</t>
        </is>
      </c>
      <c r="T876" s="188" t="n">
        <v>0</v>
      </c>
      <c r="U876" s="188" t="n">
        <v>0</v>
      </c>
      <c r="V876" s="188" t="inlineStr">
        <is>
          <t>T1059:Command and Scripting Interpreter | T1190:Exploit Public-Facing Application | T1552:Unsecured Credentials</t>
        </is>
      </c>
      <c r="W876" s="188" t="n">
        <v>1</v>
      </c>
      <c r="X876" s="188" t="inlineStr">
        <is>
          <t>LOW (40%)</t>
        </is>
      </c>
      <c r="Y876" s="188" t="inlineStr">
        <is>
          <t>UNLIKELY</t>
        </is>
      </c>
      <c r="Z876" s="188" t="inlineStr">
        <is>
          <t>CHECK_VENDOR</t>
        </is>
      </c>
      <c r="AA876" s="188" t="inlineStr">
        <is>
          <t>https://nvd.nist.gov/vuln/detail/CVE-2026-27464</t>
        </is>
      </c>
      <c r="AB876" s="188" t="inlineStr">
        <is>
          <t>NONE</t>
        </is>
      </c>
      <c r="AC876" s="188" t="n">
        <v>0</v>
      </c>
      <c r="AD876" s="188" t="inlineStr"/>
    </row>
    <row r="877">
      <c r="A877" s="188" t="inlineStr">
        <is>
          <t>CVE</t>
        </is>
      </c>
      <c r="B877" s="188" t="inlineStr">
        <is>
          <t>CVE-2026-27466</t>
        </is>
      </c>
      <c r="C877" s="188" t="inlineStr">
        <is>
          <t>BigBlueButton is an open-source virtual classroom. In versions 3.0.21 and below, the official documentation for "Server Customization" on Support for ClamAV as presentation file scanner contains instructions that leave a BBB server vulnerable for Denial of Service. The flawed command exposes both ports (3310 and 7357) to the internet. A remote attacker can use this to send complex or large documents to clamd and waste server resources, or shutdown the clamd process. The clamd documentation expli</t>
        </is>
      </c>
      <c r="D877" s="188" t="n">
        <v>7.2</v>
      </c>
      <c r="E877" s="188" t="inlineStr">
        <is>
          <t>HIGH</t>
        </is>
      </c>
      <c r="F877" s="188" t="n">
        <v>2</v>
      </c>
      <c r="G877" s="188" t="n">
        <v>3</v>
      </c>
      <c r="H877" s="188" t="inlineStr">
        <is>
          <t>HIGH</t>
        </is>
      </c>
      <c r="I877" s="188" t="n">
        <v>13.2</v>
      </c>
      <c r="J877" s="188" t="inlineStr">
        <is>
          <t>NO</t>
        </is>
      </c>
      <c r="K877" s="188" t="inlineStr">
        <is>
          <t>https://nvd.nist.gov/vuln/detail/CVE-2026-27466</t>
        </is>
      </c>
      <c r="L877" s="188" t="inlineStr">
        <is>
          <t>2026-02-26 00:15</t>
        </is>
      </c>
      <c r="M877" s="188" t="inlineStr">
        <is>
          <t>CHECK_VENDOR</t>
        </is>
      </c>
      <c r="N877" s="188" t="inlineStr">
        <is>
          <t>See NVD references</t>
        </is>
      </c>
      <c r="O877" s="188" t="inlineStr">
        <is>
          <t>Apply vendor patches</t>
        </is>
      </c>
      <c r="P877" s="188" t="inlineStr">
        <is>
          <t>See CVE details</t>
        </is>
      </c>
      <c r="Q877" s="188" t="inlineStr">
        <is>
          <t>P3</t>
        </is>
      </c>
      <c r="R877" s="188" t="inlineStr">
        <is>
          <t>🚨 URGENT: Apply vendor patches immediately | 🔒 Isolate affected systems if patch unavailable | 🛡️ Enable additional monitoring/IDS rules</t>
        </is>
      </c>
      <c r="S877" s="188" t="inlineStr">
        <is>
          <t>CVE - IP enrichment n/a</t>
        </is>
      </c>
      <c r="T877" s="188" t="n">
        <v>0</v>
      </c>
      <c r="U877" s="188" t="n">
        <v>0</v>
      </c>
      <c r="V877" s="188" t="inlineStr">
        <is>
          <t>T1190:Exploit Public-Facing Application | T1499:Endpoint Denial of Service | T1562:Impair Defenses</t>
        </is>
      </c>
      <c r="W877" s="188" t="n">
        <v>1</v>
      </c>
      <c r="X877" s="188" t="inlineStr">
        <is>
          <t>LOW (40%)</t>
        </is>
      </c>
      <c r="Y877" s="188" t="inlineStr">
        <is>
          <t>UNLIKELY</t>
        </is>
      </c>
      <c r="Z877" s="188" t="inlineStr">
        <is>
          <t>CHECK_VENDOR</t>
        </is>
      </c>
      <c r="AA877" s="188" t="inlineStr">
        <is>
          <t>https://nvd.nist.gov/vuln/detail/CVE-2026-27466</t>
        </is>
      </c>
      <c r="AB877" s="188" t="inlineStr">
        <is>
          <t>NONE</t>
        </is>
      </c>
      <c r="AC877" s="188" t="n">
        <v>0</v>
      </c>
      <c r="AD877" s="188" t="inlineStr"/>
    </row>
    <row r="878">
      <c r="A878" s="190" t="inlineStr">
        <is>
          <t>CVE</t>
        </is>
      </c>
      <c r="B878" s="190" t="inlineStr">
        <is>
          <t>CVE-2026-27467</t>
        </is>
      </c>
      <c r="C878" s="190" t="inlineStr">
        <is>
          <t>BigBlueButton is an open-source virtual classroom. In versions 3.0.19 and below, when first joining a session with the microphone muted, the client sends audio to the server regardless of mute state. Media is discarded at the server side, so it isn't audible to any participants, but this may allow for malicious server operators to access audio data. The behavior is only incorrect between joining the meeting and the first time the user unmutes. This issue has been fixed in version 3.0.20.</t>
        </is>
      </c>
      <c r="D878" s="190" t="n">
        <v>2</v>
      </c>
      <c r="E878" s="190" t="inlineStr">
        <is>
          <t>LOW</t>
        </is>
      </c>
      <c r="F878" s="190" t="n">
        <v>2</v>
      </c>
      <c r="G878" s="190" t="n">
        <v>1</v>
      </c>
      <c r="H878" s="190" t="inlineStr">
        <is>
          <t>LOW</t>
        </is>
      </c>
      <c r="I878" s="190" t="n">
        <v>4</v>
      </c>
      <c r="J878" s="190" t="inlineStr">
        <is>
          <t>NO</t>
        </is>
      </c>
      <c r="K878" s="190" t="inlineStr">
        <is>
          <t>https://nvd.nist.gov/vuln/detail/CVE-2026-27467</t>
        </is>
      </c>
      <c r="L878" s="190" t="inlineStr">
        <is>
          <t>2026-02-26 00:15</t>
        </is>
      </c>
      <c r="M878" s="190" t="inlineStr">
        <is>
          <t>CHECK_VENDOR</t>
        </is>
      </c>
      <c r="N878" s="190" t="inlineStr">
        <is>
          <t>See NVD references</t>
        </is>
      </c>
      <c r="O878" s="190" t="inlineStr">
        <is>
          <t>Apply vendor patches</t>
        </is>
      </c>
      <c r="P878" s="190" t="inlineStr">
        <is>
          <t>See CVE details</t>
        </is>
      </c>
      <c r="Q878" s="190" t="inlineStr">
        <is>
          <t>P4</t>
        </is>
      </c>
      <c r="R878" s="190" t="inlineStr">
        <is>
          <t>📅 Schedule patch deployment within 30 days | 🔍 Monitor for exploitation attempts</t>
        </is>
      </c>
      <c r="S878" s="190" t="inlineStr">
        <is>
          <t>CVE - IP enrichment n/a</t>
        </is>
      </c>
      <c r="T878" s="190" t="n">
        <v>0</v>
      </c>
      <c r="U878" s="190" t="n">
        <v>0</v>
      </c>
      <c r="V878" s="190" t="inlineStr">
        <is>
          <t>T1213:Data from Information Repositories | T1190:Exploit Public-Facing Application</t>
        </is>
      </c>
      <c r="W878" s="190" t="n">
        <v>1</v>
      </c>
      <c r="X878" s="190" t="inlineStr">
        <is>
          <t>LOW (40%)</t>
        </is>
      </c>
      <c r="Y878" s="190" t="inlineStr">
        <is>
          <t>UNLIKELY</t>
        </is>
      </c>
      <c r="Z878" s="190" t="inlineStr">
        <is>
          <t>CHECK_VENDOR</t>
        </is>
      </c>
      <c r="AA878" s="190" t="inlineStr">
        <is>
          <t>https://nvd.nist.gov/vuln/detail/CVE-2026-27467</t>
        </is>
      </c>
      <c r="AB878" s="190" t="inlineStr">
        <is>
          <t>NONE</t>
        </is>
      </c>
      <c r="AC878" s="190" t="n">
        <v>0</v>
      </c>
      <c r="AD878" s="190" t="inlineStr"/>
    </row>
    <row r="879">
      <c r="A879" s="187" t="inlineStr">
        <is>
          <t>CVE</t>
        </is>
      </c>
      <c r="B879" s="187" t="inlineStr">
        <is>
          <t>CVE-2026-27469</t>
        </is>
      </c>
      <c r="C879" s="187" t="inlineStr">
        <is>
          <t>Isso is a lightweight commenting server written in Python and JavaScript. In commits before 0afbfe0691ee237963e8fb0b2ee01c9e55ca2144, there is a stored Cross-Site Scripting (XSS) vulnerability affecting the website and author comment fields. The website field was HTML-escaped using quote=False, which left single and double quotes unescaped. Since the frontend inserts the website value directly into a single-quoted href attribute via string concatenation, a single quote in the URL breaks out of t</t>
        </is>
      </c>
      <c r="D879" s="187" t="n">
        <v>6.1</v>
      </c>
      <c r="E879" s="187" t="inlineStr">
        <is>
          <t>MEDIUM</t>
        </is>
      </c>
      <c r="F879" s="187" t="n">
        <v>2</v>
      </c>
      <c r="G879" s="187" t="n">
        <v>2</v>
      </c>
      <c r="H879" s="187" t="inlineStr">
        <is>
          <t>MEDIUM</t>
        </is>
      </c>
      <c r="I879" s="187" t="n">
        <v>10.1</v>
      </c>
      <c r="J879" s="187" t="inlineStr">
        <is>
          <t>NO</t>
        </is>
      </c>
      <c r="K879" s="187" t="inlineStr">
        <is>
          <t>https://nvd.nist.gov/vuln/detail/CVE-2026-27469</t>
        </is>
      </c>
      <c r="L879" s="187" t="inlineStr">
        <is>
          <t>2026-02-26 00:15</t>
        </is>
      </c>
      <c r="M879" s="187" t="inlineStr">
        <is>
          <t>CHECK_VENDOR</t>
        </is>
      </c>
      <c r="N879" s="187" t="inlineStr">
        <is>
          <t>See NVD references</t>
        </is>
      </c>
      <c r="O879" s="187" t="inlineStr">
        <is>
          <t>Apply vendor patches</t>
        </is>
      </c>
      <c r="P879" s="187" t="inlineStr">
        <is>
          <t>See CVE details</t>
        </is>
      </c>
      <c r="Q879" s="187" t="inlineStr">
        <is>
          <t>P4</t>
        </is>
      </c>
      <c r="R879" s="187" t="inlineStr">
        <is>
          <t>📅 Schedule patch deployment within 30 days | 🔍 Monitor for exploitation attempts</t>
        </is>
      </c>
      <c r="S879" s="187" t="inlineStr">
        <is>
          <t>CVE - IP enrichment n/a</t>
        </is>
      </c>
      <c r="T879" s="187" t="n">
        <v>0.0005999999999999999</v>
      </c>
      <c r="U879" s="187" t="n">
        <v>0.1858</v>
      </c>
      <c r="V879" s="187" t="inlineStr">
        <is>
          <t>T1189:Drive-by Compromise</t>
        </is>
      </c>
      <c r="W879" s="187" t="n">
        <v>1</v>
      </c>
      <c r="X879" s="187" t="inlineStr">
        <is>
          <t>LOW (40%)</t>
        </is>
      </c>
      <c r="Y879" s="187" t="inlineStr">
        <is>
          <t>UNLIKELY</t>
        </is>
      </c>
      <c r="Z879" s="187" t="inlineStr">
        <is>
          <t>CHECK_VENDOR</t>
        </is>
      </c>
      <c r="AA879" s="187" t="inlineStr">
        <is>
          <t>https://nvd.nist.gov/vuln/detail/CVE-2026-27469</t>
        </is>
      </c>
      <c r="AB879" s="187" t="inlineStr">
        <is>
          <t>NONE</t>
        </is>
      </c>
      <c r="AC879" s="187" t="n">
        <v>0</v>
      </c>
      <c r="AD879" s="187" t="inlineStr"/>
    </row>
    <row r="880">
      <c r="A880" s="188" t="inlineStr">
        <is>
          <t>CVE</t>
        </is>
      </c>
      <c r="B880" s="188" t="inlineStr">
        <is>
          <t>CVE-2026-27470</t>
        </is>
      </c>
      <c r="C880" s="188" t="inlineStr">
        <is>
          <t>ZoneMinder is a free, open source closed-circuit television software application. In versions 1.36.37 and below and 1.37.61 through 1.38.0, there is a second-order SQL Injection vulnerability in the web/ajax/status.php file within the getNearEvents() function. Event field values (specifically Name and Cause) are stored safely via parameterized queries but are later retrieved and concatenated directly into SQL WHERE clauses without escaping. An authenticated user with Events edit and view permiss</t>
        </is>
      </c>
      <c r="D880" s="188" t="n">
        <v>8.800000000000001</v>
      </c>
      <c r="E880" s="188" t="inlineStr">
        <is>
          <t>HIGH</t>
        </is>
      </c>
      <c r="F880" s="188" t="n">
        <v>2</v>
      </c>
      <c r="G880" s="188" t="n">
        <v>3</v>
      </c>
      <c r="H880" s="188" t="inlineStr">
        <is>
          <t>HIGH</t>
        </is>
      </c>
      <c r="I880" s="188" t="n">
        <v>14.8</v>
      </c>
      <c r="J880" s="188" t="inlineStr">
        <is>
          <t>NO</t>
        </is>
      </c>
      <c r="K880" s="188" t="inlineStr">
        <is>
          <t>https://nvd.nist.gov/vuln/detail/CVE-2026-27470</t>
        </is>
      </c>
      <c r="L880" s="188" t="inlineStr">
        <is>
          <t>2026-02-26 00:15</t>
        </is>
      </c>
      <c r="M880" s="188" t="inlineStr">
        <is>
          <t>YES</t>
        </is>
      </c>
      <c r="N880" s="188" t="inlineStr">
        <is>
          <t>https://github.com/ZoneMinder/zoneminder/security/advisories/GHSA-r6gm-478g-f2c4</t>
        </is>
      </c>
      <c r="O880" s="188" t="inlineStr">
        <is>
          <t>https://github.com/ZoneMinder/zoneminder/security/advisories/GHSA-r6gm-478g-f2c4</t>
        </is>
      </c>
      <c r="P880" s="188" t="inlineStr">
        <is>
          <t>zoneminder zoneminder *</t>
        </is>
      </c>
      <c r="Q880" s="188" t="inlineStr">
        <is>
          <t>P3</t>
        </is>
      </c>
      <c r="R880" s="188" t="inlineStr">
        <is>
          <t>🚨 URGENT: Apply vendor patches immediately | 🔒 Isolate affected systems if patch unavailable | 🛡️ Enable additional monitoring/IDS rules</t>
        </is>
      </c>
      <c r="S880" s="188" t="inlineStr">
        <is>
          <t>CVE - IP enrichment n/a</t>
        </is>
      </c>
      <c r="T880" s="188" t="n">
        <v>0</v>
      </c>
      <c r="U880" s="188" t="n">
        <v>0</v>
      </c>
      <c r="V880" s="188" t="inlineStr">
        <is>
          <t>T1190:Exploit Public-Facing Application</t>
        </is>
      </c>
      <c r="W880" s="188" t="n">
        <v>1</v>
      </c>
      <c r="X880" s="188" t="inlineStr">
        <is>
          <t>LOW (40%)</t>
        </is>
      </c>
      <c r="Y880" s="188" t="inlineStr">
        <is>
          <t>UNLIKELY</t>
        </is>
      </c>
      <c r="Z880" s="188" t="inlineStr">
        <is>
          <t>PATCH_AVAILABLE</t>
        </is>
      </c>
      <c r="AA880" s="188" t="inlineStr">
        <is>
          <t>https://nvd.nist.gov/vuln/detail/CVE-2026-27470</t>
        </is>
      </c>
      <c r="AB880" s="188" t="inlineStr">
        <is>
          <t>NONE</t>
        </is>
      </c>
      <c r="AC880" s="188" t="n">
        <v>0</v>
      </c>
      <c r="AD880" s="188" t="inlineStr"/>
    </row>
    <row r="881">
      <c r="A881" s="187" t="inlineStr">
        <is>
          <t>CVE</t>
        </is>
      </c>
      <c r="B881" s="187" t="inlineStr">
        <is>
          <t>CVE-2026-2864</t>
        </is>
      </c>
      <c r="C881" s="187" t="inlineStr">
        <is>
          <t>A vulnerability has been found in feng_ha_ha/megagao ssm-erp and production_ssm up to 4288d53bd35757b27f2d070057aefb2c07bdd097. This affects the function pictureDelete of the file PictureController.java. Such manipulation of the argument picName leads to path traversal. The attack can be launched remotely. The exploit has been disclosed to the public and may be used. This product does not use versioning. This is why information about affected and unaffected releases are unavailable. This product</t>
        </is>
      </c>
      <c r="D881" s="187" t="n">
        <v>5.4</v>
      </c>
      <c r="E881" s="187" t="inlineStr">
        <is>
          <t>MEDIUM</t>
        </is>
      </c>
      <c r="F881" s="187" t="n">
        <v>2</v>
      </c>
      <c r="G881" s="187" t="n">
        <v>2</v>
      </c>
      <c r="H881" s="187" t="inlineStr">
        <is>
          <t>MEDIUM</t>
        </is>
      </c>
      <c r="I881" s="187" t="n">
        <v>9.4</v>
      </c>
      <c r="J881" s="187" t="inlineStr">
        <is>
          <t>NO</t>
        </is>
      </c>
      <c r="K881" s="187" t="inlineStr">
        <is>
          <t>https://nvd.nist.gov/vuln/detail/CVE-2026-2864</t>
        </is>
      </c>
      <c r="L881" s="187" t="inlineStr">
        <is>
          <t>2026-02-26 00:15</t>
        </is>
      </c>
      <c r="M881" s="187" t="inlineStr">
        <is>
          <t>CHECK_VENDOR</t>
        </is>
      </c>
      <c r="N881" s="187" t="inlineStr">
        <is>
          <t>See NVD references</t>
        </is>
      </c>
      <c r="O881" s="187" t="inlineStr">
        <is>
          <t>Apply vendor patches</t>
        </is>
      </c>
      <c r="P881" s="187" t="inlineStr">
        <is>
          <t>See CVE details</t>
        </is>
      </c>
      <c r="Q881" s="187" t="inlineStr">
        <is>
          <t>P4</t>
        </is>
      </c>
      <c r="R881" s="187" t="inlineStr">
        <is>
          <t>📅 Schedule patch deployment within 30 days | 🔍 Monitor for exploitation attempts</t>
        </is>
      </c>
      <c r="S881" s="187" t="inlineStr">
        <is>
          <t>CVE - IP enrichment n/a</t>
        </is>
      </c>
      <c r="T881" s="187" t="n">
        <v>0</v>
      </c>
      <c r="U881" s="187" t="n">
        <v>0</v>
      </c>
      <c r="V881" s="187" t="inlineStr">
        <is>
          <t>T1083:File and Directory Discovery</t>
        </is>
      </c>
      <c r="W881" s="187" t="n">
        <v>1</v>
      </c>
      <c r="X881" s="187" t="inlineStr">
        <is>
          <t>LOW (40%)</t>
        </is>
      </c>
      <c r="Y881" s="187" t="inlineStr">
        <is>
          <t>UNLIKELY</t>
        </is>
      </c>
      <c r="Z881" s="187" t="inlineStr">
        <is>
          <t>CHECK_VENDOR</t>
        </is>
      </c>
      <c r="AA881" s="187" t="inlineStr">
        <is>
          <t>https://nvd.nist.gov/vuln/detail/CVE-2026-2864</t>
        </is>
      </c>
      <c r="AB881" s="187" t="inlineStr">
        <is>
          <t>NONE</t>
        </is>
      </c>
      <c r="AC881" s="187" t="n">
        <v>0</v>
      </c>
      <c r="AD881" s="187" t="inlineStr"/>
    </row>
    <row r="882">
      <c r="A882" s="188" t="inlineStr">
        <is>
          <t>CVE</t>
        </is>
      </c>
      <c r="B882" s="188" t="inlineStr">
        <is>
          <t>CVE-2026-2865</t>
        </is>
      </c>
      <c r="C882" s="188" t="inlineStr">
        <is>
          <t>A vulnerability was found in itsourcecode Agri-Trading Online Shopping System 1.0. This impacts an unknown function of the file admin/productcontroller.php of the component HTTP POST Request Handler. Performing a manipulation of the argument Product results in sql injection. The attack may be initiated remotely. The exploit has been made public and could be used.</t>
        </is>
      </c>
      <c r="D882" s="188" t="n">
        <v>7.3</v>
      </c>
      <c r="E882" s="188" t="inlineStr">
        <is>
          <t>HIGH</t>
        </is>
      </c>
      <c r="F882" s="188" t="n">
        <v>2</v>
      </c>
      <c r="G882" s="188" t="n">
        <v>3</v>
      </c>
      <c r="H882" s="188" t="inlineStr">
        <is>
          <t>HIGH</t>
        </is>
      </c>
      <c r="I882" s="188" t="n">
        <v>13.3</v>
      </c>
      <c r="J882" s="188" t="inlineStr">
        <is>
          <t>NO</t>
        </is>
      </c>
      <c r="K882" s="188" t="inlineStr">
        <is>
          <t>https://nvd.nist.gov/vuln/detail/CVE-2026-2865</t>
        </is>
      </c>
      <c r="L882" s="188" t="inlineStr">
        <is>
          <t>2026-02-26 00:15</t>
        </is>
      </c>
      <c r="M882" s="188" t="inlineStr">
        <is>
          <t>CHECK_VENDOR</t>
        </is>
      </c>
      <c r="N882" s="188" t="inlineStr">
        <is>
          <t>See NVD references</t>
        </is>
      </c>
      <c r="O882" s="188" t="inlineStr">
        <is>
          <t>Apply vendor patches</t>
        </is>
      </c>
      <c r="P882" s="188" t="inlineStr">
        <is>
          <t>See CVE details</t>
        </is>
      </c>
      <c r="Q882" s="188" t="inlineStr">
        <is>
          <t>P3</t>
        </is>
      </c>
      <c r="R882" s="188" t="inlineStr">
        <is>
          <t>🚨 URGENT: Apply vendor patches immediately | 🔒 Isolate affected systems if patch unavailable | 🛡️ Enable additional monitoring/IDS rules</t>
        </is>
      </c>
      <c r="S882" s="188" t="inlineStr">
        <is>
          <t>CVE - IP enrichment n/a</t>
        </is>
      </c>
      <c r="T882" s="188" t="n">
        <v>0</v>
      </c>
      <c r="U882" s="188" t="n">
        <v>0</v>
      </c>
      <c r="V882" s="188" t="inlineStr">
        <is>
          <t>T1190:Exploit Public-Facing Application</t>
        </is>
      </c>
      <c r="W882" s="188" t="n">
        <v>1</v>
      </c>
      <c r="X882" s="188" t="inlineStr">
        <is>
          <t>LOW (40%)</t>
        </is>
      </c>
      <c r="Y882" s="188" t="inlineStr">
        <is>
          <t>UNLIKELY</t>
        </is>
      </c>
      <c r="Z882" s="188" t="inlineStr">
        <is>
          <t>CHECK_VENDOR</t>
        </is>
      </c>
      <c r="AA882" s="188" t="inlineStr">
        <is>
          <t>https://nvd.nist.gov/vuln/detail/CVE-2026-2865</t>
        </is>
      </c>
      <c r="AB882" s="188" t="inlineStr">
        <is>
          <t>NONE</t>
        </is>
      </c>
      <c r="AC882" s="188" t="n">
        <v>0</v>
      </c>
      <c r="AD882" s="188" t="inlineStr"/>
    </row>
    <row r="883">
      <c r="A883" s="188" t="inlineStr">
        <is>
          <t>CVE</t>
        </is>
      </c>
      <c r="B883" s="188" t="inlineStr">
        <is>
          <t>CVE-2026-27479</t>
        </is>
      </c>
      <c r="C883" s="188" t="inlineStr">
        <is>
          <t>Wallos is an open-source, self-hostable personal subscription tracker. Versions 4.6.0 and below contain a Server-Side Request Forgery (SSRF) vulnerability in the subscription and payment logo/icon upload functionality. The application validates the IP address of the provided URL before making the request, but allows HTTP redirects (CURLOPT_FOLLOWLOCATION = true), enabling an attacker to bypass the IP validation and access internal resources, including cloud instance metadata endpoints. The getLo</t>
        </is>
      </c>
      <c r="D883" s="188" t="n">
        <v>7.7</v>
      </c>
      <c r="E883" s="188" t="inlineStr">
        <is>
          <t>HIGH</t>
        </is>
      </c>
      <c r="F883" s="188" t="n">
        <v>2</v>
      </c>
      <c r="G883" s="188" t="n">
        <v>3</v>
      </c>
      <c r="H883" s="188" t="inlineStr">
        <is>
          <t>HIGH</t>
        </is>
      </c>
      <c r="I883" s="188" t="n">
        <v>13.7</v>
      </c>
      <c r="J883" s="188" t="inlineStr">
        <is>
          <t>NO</t>
        </is>
      </c>
      <c r="K883" s="188" t="inlineStr">
        <is>
          <t>https://nvd.nist.gov/vuln/detail/CVE-2026-27479</t>
        </is>
      </c>
      <c r="L883" s="188" t="inlineStr">
        <is>
          <t>2026-02-26 00:15</t>
        </is>
      </c>
      <c r="M883" s="188" t="inlineStr">
        <is>
          <t>YES</t>
        </is>
      </c>
      <c r="N883" s="188" t="inlineStr">
        <is>
          <t>https://github.com/ellite/Wallos/commit/76a53df9cb4658123b8f0b7cf1826f1ba7d1c960 | https://github.com/ellite/Wallos/security/advisories/GHSA-fgmf-7g5v-jmjg</t>
        </is>
      </c>
      <c r="O883" s="188" t="inlineStr">
        <is>
          <t>https://github.com/ellite/Wallos/security/advisories/GHSA-fgmf-7g5v-jmjg</t>
        </is>
      </c>
      <c r="P883" s="188" t="inlineStr">
        <is>
          <t>wallosapp wallos *</t>
        </is>
      </c>
      <c r="Q883" s="188" t="inlineStr">
        <is>
          <t>P3</t>
        </is>
      </c>
      <c r="R883" s="188" t="inlineStr">
        <is>
          <t>🚨 URGENT: Apply vendor patches immediately | 🔒 Isolate affected systems if patch unavailable | 🛡️ Enable additional monitoring/IDS rules</t>
        </is>
      </c>
      <c r="S883" s="188" t="inlineStr">
        <is>
          <t>CVE - IP enrichment n/a</t>
        </is>
      </c>
      <c r="T883" s="188" t="n">
        <v>0</v>
      </c>
      <c r="U883" s="188" t="n">
        <v>0</v>
      </c>
      <c r="V883" s="188" t="inlineStr">
        <is>
          <t>T1090:Proxy | T1190:Exploit Public-Facing Application</t>
        </is>
      </c>
      <c r="W883" s="188" t="n">
        <v>1</v>
      </c>
      <c r="X883" s="188" t="inlineStr">
        <is>
          <t>LOW (40%)</t>
        </is>
      </c>
      <c r="Y883" s="188" t="inlineStr">
        <is>
          <t>UNLIKELY</t>
        </is>
      </c>
      <c r="Z883" s="188" t="inlineStr">
        <is>
          <t>PATCH_AVAILABLE</t>
        </is>
      </c>
      <c r="AA883" s="188" t="inlineStr">
        <is>
          <t>https://nvd.nist.gov/vuln/detail/CVE-2026-27479</t>
        </is>
      </c>
      <c r="AB883" s="188" t="inlineStr">
        <is>
          <t>NONE</t>
        </is>
      </c>
      <c r="AC883" s="188" t="n">
        <v>0</v>
      </c>
      <c r="AD883" s="188" t="inlineStr"/>
    </row>
    <row r="884">
      <c r="A884" s="187" t="inlineStr">
        <is>
          <t>CVE</t>
        </is>
      </c>
      <c r="B884" s="187" t="inlineStr">
        <is>
          <t>CVE-2025-14339</t>
        </is>
      </c>
      <c r="C884" s="187" t="inlineStr">
        <is>
          <t>The weMail - Email Marketing, Lead Generation, Optin Forms, Email Newsletters, A/B Testing, and Automation plugin for WordPress is vulnerable to unauthorized form deletion in all versions up to, and including, 2.0.7. This is due to the `Forms::permission()` callback only validating the `X-WP-Nonce` header without checking user capabilities. Since the REST nonce is exposed to unauthenticated visitors via the `weMail` JavaScript object on pages with weMail forms, any unauthenticated user can perma</t>
        </is>
      </c>
      <c r="D884" s="187" t="n">
        <v>6.5</v>
      </c>
      <c r="E884" s="187" t="inlineStr">
        <is>
          <t>MEDIUM</t>
        </is>
      </c>
      <c r="F884" s="187" t="n">
        <v>2</v>
      </c>
      <c r="G884" s="187" t="n">
        <v>2</v>
      </c>
      <c r="H884" s="187" t="inlineStr">
        <is>
          <t>MEDIUM</t>
        </is>
      </c>
      <c r="I884" s="187" t="n">
        <v>10.5</v>
      </c>
      <c r="J884" s="187" t="inlineStr">
        <is>
          <t>NO</t>
        </is>
      </c>
      <c r="K884" s="187" t="inlineStr">
        <is>
          <t>https://nvd.nist.gov/vuln/detail/CVE-2025-14339</t>
        </is>
      </c>
      <c r="L884" s="187" t="inlineStr">
        <is>
          <t>2026-02-26 00:15</t>
        </is>
      </c>
      <c r="M884" s="187" t="inlineStr">
        <is>
          <t>CHECK_VENDOR</t>
        </is>
      </c>
      <c r="N884" s="187" t="inlineStr">
        <is>
          <t>See NVD references</t>
        </is>
      </c>
      <c r="O884" s="187" t="inlineStr">
        <is>
          <t>Apply vendor patches</t>
        </is>
      </c>
      <c r="P884" s="187" t="inlineStr">
        <is>
          <t>See CVE details</t>
        </is>
      </c>
      <c r="Q884" s="187" t="inlineStr">
        <is>
          <t>P4</t>
        </is>
      </c>
      <c r="R884" s="187" t="inlineStr">
        <is>
          <t>📅 Schedule patch deployment within 30 days | 🔍 Monitor for exploitation attempts</t>
        </is>
      </c>
      <c r="S884" s="187" t="inlineStr">
        <is>
          <t>CVE - IP enrichment n/a</t>
        </is>
      </c>
      <c r="T884" s="187" t="n">
        <v>0.0005</v>
      </c>
      <c r="U884" s="187" t="n">
        <v>0.1432</v>
      </c>
      <c r="V884" s="187" t="inlineStr">
        <is>
          <t>T1190:Exploit Public-Facing Application</t>
        </is>
      </c>
      <c r="W884" s="187" t="n">
        <v>1</v>
      </c>
      <c r="X884" s="187" t="inlineStr">
        <is>
          <t>LOW (40%)</t>
        </is>
      </c>
      <c r="Y884" s="187" t="inlineStr">
        <is>
          <t>UNLIKELY</t>
        </is>
      </c>
      <c r="Z884" s="187" t="inlineStr">
        <is>
          <t>CHECK_VENDOR</t>
        </is>
      </c>
      <c r="AA884" s="187" t="inlineStr">
        <is>
          <t>https://nvd.nist.gov/vuln/detail/CVE-2025-14339</t>
        </is>
      </c>
      <c r="AB884" s="187" t="inlineStr">
        <is>
          <t>NONE</t>
        </is>
      </c>
      <c r="AC884" s="187" t="n">
        <v>0</v>
      </c>
      <c r="AD884" s="187" t="inlineStr"/>
    </row>
    <row r="885">
      <c r="A885" s="187" t="inlineStr">
        <is>
          <t>CVE</t>
        </is>
      </c>
      <c r="B885" s="187" t="inlineStr">
        <is>
          <t>CVE-2026-27480</t>
        </is>
      </c>
      <c r="C885" s="187" t="inlineStr">
        <is>
          <t>Static Web Server (SWS) is a production-ready web server suitable for static web files or assets. In versions 2.1.0 through 2.40.1, a timing-based username enumeration vulnerability in Basic Authentication allows attackers to identify valid users by exploiting early responses for invalid usernames, enabling targeted brute-force or credential-stuffing attacks. SWS checks whether a username exists before verifying the password, causing valid usernames to follow a slower code path (e.g., bcrypt has</t>
        </is>
      </c>
      <c r="D885" s="187" t="n">
        <v>5.3</v>
      </c>
      <c r="E885" s="187" t="inlineStr">
        <is>
          <t>MEDIUM</t>
        </is>
      </c>
      <c r="F885" s="187" t="n">
        <v>2</v>
      </c>
      <c r="G885" s="187" t="n">
        <v>2</v>
      </c>
      <c r="H885" s="187" t="inlineStr">
        <is>
          <t>MEDIUM</t>
        </is>
      </c>
      <c r="I885" s="187" t="n">
        <v>9.300000000000001</v>
      </c>
      <c r="J885" s="187" t="inlineStr">
        <is>
          <t>NO</t>
        </is>
      </c>
      <c r="K885" s="187" t="inlineStr">
        <is>
          <t>https://nvd.nist.gov/vuln/detail/CVE-2026-27480</t>
        </is>
      </c>
      <c r="L885" s="187" t="inlineStr">
        <is>
          <t>2026-02-26 00:15</t>
        </is>
      </c>
      <c r="M885" s="187" t="inlineStr">
        <is>
          <t>YES</t>
        </is>
      </c>
      <c r="N885" s="187" t="inlineStr">
        <is>
          <t>https://github.com/static-web-server/static-web-server/commit/7bf0fd425eb10dac9bf9ef5febce12c4dd039ce1 | https://github.com/static-web-server/static-web-server/security/advisories/GHSA-qhp6-635j-x7r2</t>
        </is>
      </c>
      <c r="O885" s="187" t="inlineStr">
        <is>
          <t>Apply vendor patches</t>
        </is>
      </c>
      <c r="P885" s="187" t="inlineStr">
        <is>
          <t>static-web-server static_web_server *</t>
        </is>
      </c>
      <c r="Q885" s="187" t="inlineStr">
        <is>
          <t>P4</t>
        </is>
      </c>
      <c r="R885" s="187" t="inlineStr">
        <is>
          <t>📅 Schedule patch deployment within 30 days | 🔍 Monitor for exploitation attempts</t>
        </is>
      </c>
      <c r="S885" s="187" t="inlineStr">
        <is>
          <t>CVE - IP enrichment n/a</t>
        </is>
      </c>
      <c r="T885" s="187" t="n">
        <v>0</v>
      </c>
      <c r="U885" s="187" t="n">
        <v>0</v>
      </c>
      <c r="V885" s="187" t="inlineStr">
        <is>
          <t>T1190:Exploit Public-Facing Application | T1552:Unsecured Credentials</t>
        </is>
      </c>
      <c r="W885" s="187" t="n">
        <v>1</v>
      </c>
      <c r="X885" s="187" t="inlineStr">
        <is>
          <t>LOW (40%)</t>
        </is>
      </c>
      <c r="Y885" s="187" t="inlineStr">
        <is>
          <t>UNLIKELY</t>
        </is>
      </c>
      <c r="Z885" s="187" t="inlineStr">
        <is>
          <t>PATCH_AVAILABLE</t>
        </is>
      </c>
      <c r="AA885" s="187" t="inlineStr">
        <is>
          <t>https://nvd.nist.gov/vuln/detail/CVE-2026-27480</t>
        </is>
      </c>
      <c r="AB885" s="187" t="inlineStr">
        <is>
          <t>NONE</t>
        </is>
      </c>
      <c r="AC885" s="187" t="n">
        <v>0</v>
      </c>
      <c r="AD885" s="187" t="inlineStr"/>
    </row>
    <row r="886">
      <c r="A886" s="187" t="inlineStr">
        <is>
          <t>CVE</t>
        </is>
      </c>
      <c r="B886" s="187" t="inlineStr">
        <is>
          <t>CVE-2026-27482</t>
        </is>
      </c>
      <c r="C886" s="187" t="inlineStr">
        <is>
          <t xml:space="preserve">Ray is an AI compute engine. In versions 2.53.0 and below, thedashboard HTTP server blocks browser-origin POST/PUT but does not cover DELETE, and key DELETE endpoints are unauthenticated by default. If the dashboard/agent is reachable (e.g., --dashboard-host=0.0.0.0), a web page via DNS rebinding or same-network access can issue DELETE requests that shut down Serve or delete jobs without user interaction. This is a drive-by availability impact. The fix for this vulnerability is to update to Ray </t>
        </is>
      </c>
      <c r="D886" s="187" t="n">
        <v>5.9</v>
      </c>
      <c r="E886" s="187" t="inlineStr">
        <is>
          <t>MEDIUM</t>
        </is>
      </c>
      <c r="F886" s="187" t="n">
        <v>2</v>
      </c>
      <c r="G886" s="187" t="n">
        <v>2</v>
      </c>
      <c r="H886" s="187" t="inlineStr">
        <is>
          <t>MEDIUM</t>
        </is>
      </c>
      <c r="I886" s="187" t="n">
        <v>9.9</v>
      </c>
      <c r="J886" s="187" t="inlineStr">
        <is>
          <t>NO</t>
        </is>
      </c>
      <c r="K886" s="187" t="inlineStr">
        <is>
          <t>https://nvd.nist.gov/vuln/detail/CVE-2026-27482</t>
        </is>
      </c>
      <c r="L886" s="187" t="inlineStr">
        <is>
          <t>2026-02-26 00:15</t>
        </is>
      </c>
      <c r="M886" s="187" t="inlineStr">
        <is>
          <t>YES</t>
        </is>
      </c>
      <c r="N886" s="187" t="inlineStr">
        <is>
          <t>https://github.com/ray-project/ray/commit/0fda8b824cdc9dc6edd763bb28dfd7d1cc9b02a4 | https://github.com/ray-project/ray/pull/60526 | https://github.com/ray-project/ray/security/advisories/GHSA-q5fh-2hc8-f6rq</t>
        </is>
      </c>
      <c r="O886" s="187" t="inlineStr">
        <is>
          <t>Apply vendor patches</t>
        </is>
      </c>
      <c r="P886" s="187" t="inlineStr">
        <is>
          <t>anyscale ray *</t>
        </is>
      </c>
      <c r="Q886" s="187" t="inlineStr">
        <is>
          <t>P4</t>
        </is>
      </c>
      <c r="R886" s="187" t="inlineStr">
        <is>
          <t>📅 Schedule patch deployment within 30 days | 🔍 Monitor for exploitation attempts</t>
        </is>
      </c>
      <c r="S886" s="187" t="inlineStr">
        <is>
          <t>CVE - IP enrichment n/a</t>
        </is>
      </c>
      <c r="T886" s="187" t="n">
        <v>0.0003</v>
      </c>
      <c r="U886" s="187" t="n">
        <v>0.09320000000000001</v>
      </c>
      <c r="V886" s="187" t="inlineStr">
        <is>
          <t>T1190:Exploit Public-Facing Application</t>
        </is>
      </c>
      <c r="W886" s="187" t="n">
        <v>1</v>
      </c>
      <c r="X886" s="187" t="inlineStr">
        <is>
          <t>LOW (40%)</t>
        </is>
      </c>
      <c r="Y886" s="187" t="inlineStr">
        <is>
          <t>UNLIKELY</t>
        </is>
      </c>
      <c r="Z886" s="187" t="inlineStr">
        <is>
          <t>PATCH_AVAILABLE</t>
        </is>
      </c>
      <c r="AA886" s="187" t="inlineStr">
        <is>
          <t>https://nvd.nist.gov/vuln/detail/CVE-2026-27482</t>
        </is>
      </c>
      <c r="AB886" s="187" t="inlineStr">
        <is>
          <t>NONE</t>
        </is>
      </c>
      <c r="AC886" s="187" t="n">
        <v>0</v>
      </c>
      <c r="AD886" s="187" t="inlineStr"/>
    </row>
    <row r="887">
      <c r="A887" s="187" t="inlineStr">
        <is>
          <t>CVE</t>
        </is>
      </c>
      <c r="B887" s="187" t="inlineStr">
        <is>
          <t>CVE-2026-27484</t>
        </is>
      </c>
      <c r="C887" s="187" t="inlineStr">
        <is>
          <t>OpenClaw is a personal AI assistant. In versions 2026.2.17 and below, the Discord moderation action handling (timeout, kick, ban) uses sender identity from request parameters in tool-driven flows, instead of trusted runtime sender context. In setups where Discord moderation actions are enabled and the bot has the necessary guild permissions, a non-admin user can request moderation actions by spoofing sender identity fields. This issue has been fixed in version 2026.2.18.</t>
        </is>
      </c>
      <c r="D887" s="187" t="n">
        <v>4.3</v>
      </c>
      <c r="E887" s="187" t="inlineStr">
        <is>
          <t>MEDIUM</t>
        </is>
      </c>
      <c r="F887" s="187" t="n">
        <v>2</v>
      </c>
      <c r="G887" s="187" t="n">
        <v>2</v>
      </c>
      <c r="H887" s="187" t="inlineStr">
        <is>
          <t>MEDIUM</t>
        </is>
      </c>
      <c r="I887" s="187" t="n">
        <v>8.300000000000001</v>
      </c>
      <c r="J887" s="187" t="inlineStr">
        <is>
          <t>NO</t>
        </is>
      </c>
      <c r="K887" s="187" t="inlineStr">
        <is>
          <t>https://nvd.nist.gov/vuln/detail/CVE-2026-27484</t>
        </is>
      </c>
      <c r="L887" s="187" t="inlineStr">
        <is>
          <t>2026-02-26 00:15</t>
        </is>
      </c>
      <c r="M887" s="187" t="inlineStr">
        <is>
          <t>YES</t>
        </is>
      </c>
      <c r="N887" s="187" t="inlineStr">
        <is>
          <t>https://github.com/openclaw/openclaw/commit/775816035ecc6bb243843f8000c9a58ff609e32d | https://github.com/openclaw/openclaw/security/advisories/GHSA-wh94-p5m6-mr7j</t>
        </is>
      </c>
      <c r="O887" s="187" t="inlineStr">
        <is>
          <t>Apply vendor patches</t>
        </is>
      </c>
      <c r="P887" s="187" t="inlineStr">
        <is>
          <t>openclaw openclaw *</t>
        </is>
      </c>
      <c r="Q887" s="187" t="inlineStr">
        <is>
          <t>P4</t>
        </is>
      </c>
      <c r="R887" s="187" t="inlineStr">
        <is>
          <t>📅 Schedule patch deployment within 30 days | 🔍 Monitor for exploitation attempts</t>
        </is>
      </c>
      <c r="S887" s="187" t="inlineStr">
        <is>
          <t>CVE - IP enrichment n/a</t>
        </is>
      </c>
      <c r="T887" s="187" t="n">
        <v>0</v>
      </c>
      <c r="U887" s="187" t="n">
        <v>0</v>
      </c>
      <c r="V887" s="187" t="inlineStr">
        <is>
          <t>T1190:Exploit Public-Facing Application</t>
        </is>
      </c>
      <c r="W887" s="187" t="n">
        <v>1</v>
      </c>
      <c r="X887" s="187" t="inlineStr">
        <is>
          <t>LOW (40%)</t>
        </is>
      </c>
      <c r="Y887" s="187" t="inlineStr">
        <is>
          <t>UNLIKELY</t>
        </is>
      </c>
      <c r="Z887" s="187" t="inlineStr">
        <is>
          <t>PATCH_AVAILABLE</t>
        </is>
      </c>
      <c r="AA887" s="187" t="inlineStr">
        <is>
          <t>https://nvd.nist.gov/vuln/detail/CVE-2026-27484</t>
        </is>
      </c>
      <c r="AB887" s="187" t="inlineStr">
        <is>
          <t>NONE</t>
        </is>
      </c>
      <c r="AC887" s="187" t="n">
        <v>0</v>
      </c>
      <c r="AD887" s="187" t="inlineStr"/>
    </row>
    <row r="888">
      <c r="A888" s="187" t="inlineStr">
        <is>
          <t>CVE</t>
        </is>
      </c>
      <c r="B888" s="187" t="inlineStr">
        <is>
          <t>CVE-2026-27485</t>
        </is>
      </c>
      <c r="C888" s="187" t="inlineStr">
        <is>
          <t>OpenClaw is a personal AI assistant. In versions 2026.2.17 and below, skills/skill-creator/scripts/package_skill.py (a local helper script used when authors package skills) previously followed symlinks while building .skill archives. If an author runs this script on a crafted local skill directory containing symlinks to files outside the skill root, the resulting archive can include unintended file contents. If exploited, this vulnerability can lead to potential unintentional disclosure of local</t>
        </is>
      </c>
      <c r="D888" s="187" t="n">
        <v>4.4</v>
      </c>
      <c r="E888" s="187" t="inlineStr">
        <is>
          <t>MEDIUM</t>
        </is>
      </c>
      <c r="F888" s="187" t="n">
        <v>2</v>
      </c>
      <c r="G888" s="187" t="n">
        <v>2</v>
      </c>
      <c r="H888" s="187" t="inlineStr">
        <is>
          <t>MEDIUM</t>
        </is>
      </c>
      <c r="I888" s="187" t="n">
        <v>8.4</v>
      </c>
      <c r="J888" s="187" t="inlineStr">
        <is>
          <t>NO</t>
        </is>
      </c>
      <c r="K888" s="187" t="inlineStr">
        <is>
          <t>https://nvd.nist.gov/vuln/detail/CVE-2026-27485</t>
        </is>
      </c>
      <c r="L888" s="187" t="inlineStr">
        <is>
          <t>2026-02-26 00:15</t>
        </is>
      </c>
      <c r="M888" s="187" t="inlineStr">
        <is>
          <t>YES</t>
        </is>
      </c>
      <c r="N888" s="187" t="inlineStr">
        <is>
          <t>https://github.com/openclaw/openclaw/commit/c275932aa4230fb7a8212fe1b9d2a18424874b3f | https://github.com/openclaw/openclaw/commit/ee1d6427b544ccadd73e02b1630ea5c29ba9a9f0 | https://github.com/openclaw/openclaw/security/advisories/GHSA-r6h2-5gqq-v5v6</t>
        </is>
      </c>
      <c r="O888" s="187" t="inlineStr">
        <is>
          <t>https://github.com/openclaw/openclaw/security/advisories/GHSA-r6h2-5gqq-v5v6</t>
        </is>
      </c>
      <c r="P888" s="187" t="inlineStr">
        <is>
          <t>openclaw openclaw *</t>
        </is>
      </c>
      <c r="Q888" s="187" t="inlineStr">
        <is>
          <t>P4</t>
        </is>
      </c>
      <c r="R888" s="187" t="inlineStr">
        <is>
          <t>📅 Schedule patch deployment within 30 days | 🔍 Monitor for exploitation attempts</t>
        </is>
      </c>
      <c r="S888" s="187" t="inlineStr">
        <is>
          <t>CVE - IP enrichment n/a</t>
        </is>
      </c>
      <c r="T888" s="187" t="n">
        <v>0</v>
      </c>
      <c r="U888" s="187" t="n">
        <v>0</v>
      </c>
      <c r="V888" s="187" t="inlineStr">
        <is>
          <t>T1190:Exploit Public-Facing Application</t>
        </is>
      </c>
      <c r="W888" s="187" t="n">
        <v>1</v>
      </c>
      <c r="X888" s="187" t="inlineStr">
        <is>
          <t>LOW (40%)</t>
        </is>
      </c>
      <c r="Y888" s="187" t="inlineStr">
        <is>
          <t>UNLIKELY</t>
        </is>
      </c>
      <c r="Z888" s="187" t="inlineStr">
        <is>
          <t>PATCH_AVAILABLE</t>
        </is>
      </c>
      <c r="AA888" s="187" t="inlineStr">
        <is>
          <t>https://nvd.nist.gov/vuln/detail/CVE-2026-27485</t>
        </is>
      </c>
      <c r="AB888" s="187" t="inlineStr">
        <is>
          <t>NONE</t>
        </is>
      </c>
      <c r="AC888" s="187" t="n">
        <v>0</v>
      </c>
      <c r="AD888" s="187" t="inlineStr"/>
    </row>
    <row r="889">
      <c r="A889" s="187" t="inlineStr">
        <is>
          <t>CVE</t>
        </is>
      </c>
      <c r="B889" s="187" t="inlineStr">
        <is>
          <t>CVE-2026-27486</t>
        </is>
      </c>
      <c r="C889" s="187" t="inlineStr">
        <is>
          <t xml:space="preserve">OpenClaw is a personal AI assistant. In versions 2026.2.13 and below of the OpenClaw CLI, the process cleanup uses system-wide process enumeration and pattern matching to terminate processes without verifying if they are owned by the current OpenClaw process. On shared hosts, unrelated processes can be terminated if they match the pattern. The CLI runner cleanup helpers can kill processes matched by command-line patterns without validating process ownership. This issue has been fixed in version </t>
        </is>
      </c>
      <c r="D889" s="187" t="n">
        <v>5.3</v>
      </c>
      <c r="E889" s="187" t="inlineStr">
        <is>
          <t>MEDIUM</t>
        </is>
      </c>
      <c r="F889" s="187" t="n">
        <v>2</v>
      </c>
      <c r="G889" s="187" t="n">
        <v>2</v>
      </c>
      <c r="H889" s="187" t="inlineStr">
        <is>
          <t>MEDIUM</t>
        </is>
      </c>
      <c r="I889" s="187" t="n">
        <v>9.300000000000001</v>
      </c>
      <c r="J889" s="187" t="inlineStr">
        <is>
          <t>NO</t>
        </is>
      </c>
      <c r="K889" s="187" t="inlineStr">
        <is>
          <t>https://nvd.nist.gov/vuln/detail/CVE-2026-27486</t>
        </is>
      </c>
      <c r="L889" s="187" t="inlineStr">
        <is>
          <t>2026-02-26 00:15</t>
        </is>
      </c>
      <c r="M889" s="187" t="inlineStr">
        <is>
          <t>YES</t>
        </is>
      </c>
      <c r="N889" s="187" t="inlineStr">
        <is>
          <t>https://github.com/openclaw/openclaw/commit/6084d13b956119e3cf95daaf9a1cae1670ea3557 | https://github.com/openclaw/openclaw/commit/eb60e2e1b213740c3c587a7ba4dbf10da620ca66 | https://github.com/openclaw/openclaw/security/advisories/GHSA-jfv4-h8mc-jcp8</t>
        </is>
      </c>
      <c r="O889" s="187" t="inlineStr">
        <is>
          <t>Apply vendor patches</t>
        </is>
      </c>
      <c r="P889" s="187" t="inlineStr">
        <is>
          <t>openclaw openclaw *</t>
        </is>
      </c>
      <c r="Q889" s="187" t="inlineStr">
        <is>
          <t>P4</t>
        </is>
      </c>
      <c r="R889" s="187" t="inlineStr">
        <is>
          <t>📅 Schedule patch deployment within 30 days | 🔍 Monitor for exploitation attempts</t>
        </is>
      </c>
      <c r="S889" s="187" t="inlineStr">
        <is>
          <t>CVE - IP enrichment n/a</t>
        </is>
      </c>
      <c r="T889" s="187" t="n">
        <v>0</v>
      </c>
      <c r="U889" s="187" t="n">
        <v>0</v>
      </c>
      <c r="V889" s="187" t="inlineStr">
        <is>
          <t>T1190:Exploit Public-Facing Application</t>
        </is>
      </c>
      <c r="W889" s="187" t="n">
        <v>1</v>
      </c>
      <c r="X889" s="187" t="inlineStr">
        <is>
          <t>LOW (40%)</t>
        </is>
      </c>
      <c r="Y889" s="187" t="inlineStr">
        <is>
          <t>UNLIKELY</t>
        </is>
      </c>
      <c r="Z889" s="187" t="inlineStr">
        <is>
          <t>PATCH_AVAILABLE</t>
        </is>
      </c>
      <c r="AA889" s="187" t="inlineStr">
        <is>
          <t>https://nvd.nist.gov/vuln/detail/CVE-2026-27486</t>
        </is>
      </c>
      <c r="AB889" s="187" t="inlineStr">
        <is>
          <t>NONE</t>
        </is>
      </c>
      <c r="AC889" s="187" t="n">
        <v>0</v>
      </c>
      <c r="AD889" s="187" t="inlineStr"/>
    </row>
    <row r="890">
      <c r="A890" s="188" t="inlineStr">
        <is>
          <t>CVE</t>
        </is>
      </c>
      <c r="B890" s="188" t="inlineStr">
        <is>
          <t>CVE-2026-27487</t>
        </is>
      </c>
      <c r="C890" s="188" t="inlineStr">
        <is>
          <t>OpenClaw is a personal AI assistant. In versions 2026.2.13 and below, when using macOS, the Claude CLI keychain credential refresh path constructed a shell command to write the updated JSON blob into Keychain via security add-generic-password -w .... Because OAuth tokens are user-controlled data, this created an OS command injection risk. This issue has been fixed in version 2026.2.14.</t>
        </is>
      </c>
      <c r="D890" s="188" t="n">
        <v>7.6</v>
      </c>
      <c r="E890" s="188" t="inlineStr">
        <is>
          <t>HIGH</t>
        </is>
      </c>
      <c r="F890" s="188" t="n">
        <v>2</v>
      </c>
      <c r="G890" s="188" t="n">
        <v>3</v>
      </c>
      <c r="H890" s="188" t="inlineStr">
        <is>
          <t>HIGH</t>
        </is>
      </c>
      <c r="I890" s="188" t="n">
        <v>13.6</v>
      </c>
      <c r="J890" s="188" t="inlineStr">
        <is>
          <t>NO</t>
        </is>
      </c>
      <c r="K890" s="188" t="inlineStr">
        <is>
          <t>https://nvd.nist.gov/vuln/detail/CVE-2026-27487</t>
        </is>
      </c>
      <c r="L890" s="188" t="inlineStr">
        <is>
          <t>2026-02-26 00:15</t>
        </is>
      </c>
      <c r="M890" s="188" t="inlineStr">
        <is>
          <t>YES</t>
        </is>
      </c>
      <c r="N890" s="188" t="inlineStr">
        <is>
          <t>https://github.com/openclaw/openclaw/commit/66d7178f2d6f9d60abad35797f97f3e61389b70c | https://github.com/openclaw/openclaw/commit/9dce3d8bf83f13c067bc3c32291643d2f1f10a06 | https://github.com/openclaw/openclaw/commit/b908388245764fb3586859f44d1dff5372b19caf</t>
        </is>
      </c>
      <c r="O890" s="188" t="inlineStr">
        <is>
          <t>Apply vendor patches</t>
        </is>
      </c>
      <c r="P890" s="188" t="inlineStr">
        <is>
          <t>openclaw openclaw * | apple macos -</t>
        </is>
      </c>
      <c r="Q890" s="188" t="inlineStr">
        <is>
          <t>P3</t>
        </is>
      </c>
      <c r="R890" s="188" t="inlineStr">
        <is>
          <t>🚨 URGENT: Apply vendor patches immediately | 🔒 Isolate affected systems if patch unavailable | 🛡️ Enable additional monitoring/IDS rules</t>
        </is>
      </c>
      <c r="S890" s="188" t="inlineStr">
        <is>
          <t>CVE - IP enrichment n/a</t>
        </is>
      </c>
      <c r="T890" s="188" t="n">
        <v>0</v>
      </c>
      <c r="U890" s="188" t="n">
        <v>0</v>
      </c>
      <c r="V890" s="188" t="inlineStr">
        <is>
          <t>T1059:Command and Scripting Interpreter | T1552:Unsecured Credentials</t>
        </is>
      </c>
      <c r="W890" s="188" t="n">
        <v>1</v>
      </c>
      <c r="X890" s="188" t="inlineStr">
        <is>
          <t>LOW (40%)</t>
        </is>
      </c>
      <c r="Y890" s="188" t="inlineStr">
        <is>
          <t>UNLIKELY</t>
        </is>
      </c>
      <c r="Z890" s="188" t="inlineStr">
        <is>
          <t>PATCH_AVAILABLE</t>
        </is>
      </c>
      <c r="AA890" s="188" t="inlineStr">
        <is>
          <t>https://nvd.nist.gov/vuln/detail/CVE-2026-27487</t>
        </is>
      </c>
      <c r="AB890" s="188" t="inlineStr">
        <is>
          <t>NONE</t>
        </is>
      </c>
      <c r="AC890" s="188" t="n">
        <v>0</v>
      </c>
      <c r="AD890" s="188" t="inlineStr"/>
    </row>
    <row r="891">
      <c r="A891" s="188" t="inlineStr">
        <is>
          <t>CVE</t>
        </is>
      </c>
      <c r="B891" s="188" t="inlineStr">
        <is>
          <t>CVE-2026-27488</t>
        </is>
      </c>
      <c r="C891" s="188" t="inlineStr">
        <is>
          <t>OpenClaw is a personal AI assistant. In versions 2026.2.17 and below, Cron webhook delivery in src/gateway/server-cron.ts uses fetch() directly, so webhook targets can reach private/metadata/internal endpoints without SSRF policy checks. This issue was fixed in version 2026.2.19.</t>
        </is>
      </c>
      <c r="D891" s="188" t="n">
        <v>7.3</v>
      </c>
      <c r="E891" s="188" t="inlineStr">
        <is>
          <t>HIGH</t>
        </is>
      </c>
      <c r="F891" s="188" t="n">
        <v>2</v>
      </c>
      <c r="G891" s="188" t="n">
        <v>3</v>
      </c>
      <c r="H891" s="188" t="inlineStr">
        <is>
          <t>HIGH</t>
        </is>
      </c>
      <c r="I891" s="188" t="n">
        <v>13.3</v>
      </c>
      <c r="J891" s="188" t="inlineStr">
        <is>
          <t>NO</t>
        </is>
      </c>
      <c r="K891" s="188" t="inlineStr">
        <is>
          <t>https://nvd.nist.gov/vuln/detail/CVE-2026-27488</t>
        </is>
      </c>
      <c r="L891" s="188" t="inlineStr">
        <is>
          <t>2026-02-26 00:15</t>
        </is>
      </c>
      <c r="M891" s="188" t="inlineStr">
        <is>
          <t>YES</t>
        </is>
      </c>
      <c r="N891" s="188" t="inlineStr">
        <is>
          <t>https://github.com/openclaw/openclaw/commit/99db4d13e5c139883ef0def9ff963e9273179655 | https://github.com/openclaw/openclaw/security/advisories/GHSA-w45g-5746-x9fp</t>
        </is>
      </c>
      <c r="O891" s="188" t="inlineStr">
        <is>
          <t>Apply vendor patches</t>
        </is>
      </c>
      <c r="P891" s="188" t="inlineStr">
        <is>
          <t>openclaw openclaw *</t>
        </is>
      </c>
      <c r="Q891" s="188" t="inlineStr">
        <is>
          <t>P3</t>
        </is>
      </c>
      <c r="R891" s="188" t="inlineStr">
        <is>
          <t>🚨 URGENT: Apply vendor patches immediately | 🔒 Isolate affected systems if patch unavailable | 🛡️ Enable additional monitoring/IDS rules</t>
        </is>
      </c>
      <c r="S891" s="188" t="inlineStr">
        <is>
          <t>CVE - IP enrichment n/a</t>
        </is>
      </c>
      <c r="T891" s="188" t="n">
        <v>0</v>
      </c>
      <c r="U891" s="188" t="n">
        <v>0</v>
      </c>
      <c r="V891" s="188" t="inlineStr">
        <is>
          <t>T1090:Proxy</t>
        </is>
      </c>
      <c r="W891" s="188" t="n">
        <v>1</v>
      </c>
      <c r="X891" s="188" t="inlineStr">
        <is>
          <t>LOW (40%)</t>
        </is>
      </c>
      <c r="Y891" s="188" t="inlineStr">
        <is>
          <t>UNLIKELY</t>
        </is>
      </c>
      <c r="Z891" s="188" t="inlineStr">
        <is>
          <t>PATCH_AVAILABLE</t>
        </is>
      </c>
      <c r="AA891" s="188" t="inlineStr">
        <is>
          <t>https://nvd.nist.gov/vuln/detail/CVE-2026-27488</t>
        </is>
      </c>
      <c r="AB891" s="188" t="inlineStr">
        <is>
          <t>NONE</t>
        </is>
      </c>
      <c r="AC891" s="188" t="n">
        <v>0</v>
      </c>
      <c r="AD891" s="188" t="inlineStr"/>
    </row>
    <row r="892">
      <c r="A892" s="187" t="inlineStr">
        <is>
          <t>CVE</t>
        </is>
      </c>
      <c r="B892" s="187" t="inlineStr">
        <is>
          <t>CVE-2026-27576</t>
        </is>
      </c>
      <c r="C892" s="187" t="inlineStr">
        <is>
          <t>OpenClaw is a personal AI assistant. In versions 2026.2.17 and below, the ACP bridge accepts very large prompt text blocks and can assemble oversized prompt payloads before forwarding them to chat.send. Because ACP runs over local stdio, this mainly affects local ACP clients (for example IDE integrations) that send unusually large inputs. This issue has been fixed in version 2026.2.19.</t>
        </is>
      </c>
      <c r="D892" s="187" t="n">
        <v>4</v>
      </c>
      <c r="E892" s="187" t="inlineStr">
        <is>
          <t>MEDIUM</t>
        </is>
      </c>
      <c r="F892" s="187" t="n">
        <v>2</v>
      </c>
      <c r="G892" s="187" t="n">
        <v>2</v>
      </c>
      <c r="H892" s="187" t="inlineStr">
        <is>
          <t>MEDIUM</t>
        </is>
      </c>
      <c r="I892" s="187" t="n">
        <v>8</v>
      </c>
      <c r="J892" s="187" t="inlineStr">
        <is>
          <t>NO</t>
        </is>
      </c>
      <c r="K892" s="187" t="inlineStr">
        <is>
          <t>https://nvd.nist.gov/vuln/detail/CVE-2026-27576</t>
        </is>
      </c>
      <c r="L892" s="187" t="inlineStr">
        <is>
          <t>2026-02-26 00:15</t>
        </is>
      </c>
      <c r="M892" s="187" t="inlineStr">
        <is>
          <t>YES</t>
        </is>
      </c>
      <c r="N892" s="187" t="inlineStr">
        <is>
          <t>https://github.com/openclaw/openclaw/commit/63e39d7f57ac4ad4a5e38d17e7394ae7c4dd0b9c | https://github.com/openclaw/openclaw/commit/8ae2d5110f6ceadef73822aa3db194fb60d2ba68 | https://github.com/openclaw/openclaw/commit/ebcf19746f5c500a41817e03abecadea8655654a</t>
        </is>
      </c>
      <c r="O892" s="187" t="inlineStr">
        <is>
          <t>Apply vendor patches</t>
        </is>
      </c>
      <c r="P892" s="187" t="inlineStr">
        <is>
          <t>openclaw openclaw *</t>
        </is>
      </c>
      <c r="Q892" s="187" t="inlineStr">
        <is>
          <t>P4</t>
        </is>
      </c>
      <c r="R892" s="187" t="inlineStr">
        <is>
          <t>📅 Schedule patch deployment within 30 days | 🔍 Monitor for exploitation attempts</t>
        </is>
      </c>
      <c r="S892" s="187" t="inlineStr">
        <is>
          <t>CVE - IP enrichment n/a</t>
        </is>
      </c>
      <c r="T892" s="187" t="n">
        <v>0</v>
      </c>
      <c r="U892" s="187" t="n">
        <v>0</v>
      </c>
      <c r="V892" s="187" t="inlineStr">
        <is>
          <t>T1190:Exploit Public-Facing Application</t>
        </is>
      </c>
      <c r="W892" s="187" t="n">
        <v>1</v>
      </c>
      <c r="X892" s="187" t="inlineStr">
        <is>
          <t>LOW (40%)</t>
        </is>
      </c>
      <c r="Y892" s="187" t="inlineStr">
        <is>
          <t>UNLIKELY</t>
        </is>
      </c>
      <c r="Z892" s="187" t="inlineStr">
        <is>
          <t>PATCH_AVAILABLE</t>
        </is>
      </c>
      <c r="AA892" s="187" t="inlineStr">
        <is>
          <t>https://nvd.nist.gov/vuln/detail/CVE-2026-27576</t>
        </is>
      </c>
      <c r="AB892" s="187" t="inlineStr">
        <is>
          <t>NONE</t>
        </is>
      </c>
      <c r="AC892" s="187" t="n">
        <v>0</v>
      </c>
      <c r="AD892" s="187" t="inlineStr"/>
    </row>
    <row r="893">
      <c r="A893" s="187" t="inlineStr">
        <is>
          <t>CVE</t>
        </is>
      </c>
      <c r="B893" s="187" t="inlineStr">
        <is>
          <t>CVE-2026-1787</t>
        </is>
      </c>
      <c r="C893" s="187" t="inlineStr">
        <is>
          <t>The LearnPress Export Import – WordPress extension for LearnPress plugin for WordPress is vulnerable to unauthorized loss of data due to a missing capability check on the 'delete_migrated_data' function in all versions up to, and including, 4.1.0. This makes it possible for unauthenticated attackers to delete course that have been migrated from Tutor LMS. The Tutor LMS plugin must be installed and activated in order to exploit the vulnerability.</t>
        </is>
      </c>
      <c r="D893" s="187" t="n">
        <v>4.8</v>
      </c>
      <c r="E893" s="187" t="inlineStr">
        <is>
          <t>MEDIUM</t>
        </is>
      </c>
      <c r="F893" s="187" t="n">
        <v>2</v>
      </c>
      <c r="G893" s="187" t="n">
        <v>2</v>
      </c>
      <c r="H893" s="187" t="inlineStr">
        <is>
          <t>MEDIUM</t>
        </is>
      </c>
      <c r="I893" s="187" t="n">
        <v>8.800000000000001</v>
      </c>
      <c r="J893" s="187" t="inlineStr">
        <is>
          <t>NO</t>
        </is>
      </c>
      <c r="K893" s="187" t="inlineStr">
        <is>
          <t>https://nvd.nist.gov/vuln/detail/CVE-2026-1787</t>
        </is>
      </c>
      <c r="L893" s="187" t="inlineStr">
        <is>
          <t>2026-02-26 00:15</t>
        </is>
      </c>
      <c r="M893" s="187" t="inlineStr">
        <is>
          <t>CHECK_VENDOR</t>
        </is>
      </c>
      <c r="N893" s="187" t="inlineStr">
        <is>
          <t>See NVD references</t>
        </is>
      </c>
      <c r="O893" s="187" t="inlineStr">
        <is>
          <t>Apply vendor patches</t>
        </is>
      </c>
      <c r="P893" s="187" t="inlineStr">
        <is>
          <t>See CVE details</t>
        </is>
      </c>
      <c r="Q893" s="187" t="inlineStr">
        <is>
          <t>P4</t>
        </is>
      </c>
      <c r="R893" s="187" t="inlineStr">
        <is>
          <t>📅 Schedule patch deployment within 30 days | 🔍 Monitor for exploitation attempts</t>
        </is>
      </c>
      <c r="S893" s="187" t="inlineStr">
        <is>
          <t>CVE - IP enrichment n/a</t>
        </is>
      </c>
      <c r="T893" s="187" t="n">
        <v>0</v>
      </c>
      <c r="U893" s="187" t="n">
        <v>0</v>
      </c>
      <c r="V893" s="187" t="inlineStr">
        <is>
          <t>T1190:Exploit Public-Facing Application</t>
        </is>
      </c>
      <c r="W893" s="187" t="n">
        <v>1</v>
      </c>
      <c r="X893" s="187" t="inlineStr">
        <is>
          <t>LOW (40%)</t>
        </is>
      </c>
      <c r="Y893" s="187" t="inlineStr">
        <is>
          <t>UNLIKELY</t>
        </is>
      </c>
      <c r="Z893" s="187" t="inlineStr">
        <is>
          <t>CHECK_VENDOR</t>
        </is>
      </c>
      <c r="AA893" s="187" t="inlineStr">
        <is>
          <t>https://nvd.nist.gov/vuln/detail/CVE-2026-1787</t>
        </is>
      </c>
      <c r="AB893" s="187" t="inlineStr">
        <is>
          <t>NONE</t>
        </is>
      </c>
      <c r="AC893" s="187" t="n">
        <v>0</v>
      </c>
      <c r="AD893" s="187" t="inlineStr"/>
    </row>
    <row r="894">
      <c r="A894" s="187" t="inlineStr">
        <is>
          <t>CVE</t>
        </is>
      </c>
      <c r="B894" s="187" t="inlineStr">
        <is>
          <t>CVE-2026-27492</t>
        </is>
      </c>
      <c r="C894" s="187" t="inlineStr">
        <is>
          <t>Lettermint Node.js SDK is the official Node.js SDK for Lettermint. In versions 1.5.0 and below, email properties (such as to, subject, html, text, and attachments) are not reset between sends when a single client instance is reused across multiple .send() calls. This can cause properties from a previous send to leak into a subsequent one, potentially delivering content or recipient addresses to unintended parties. Applications sending emails to different recipients in sequence — such as transact</t>
        </is>
      </c>
      <c r="D894" s="187" t="n">
        <v>4.7</v>
      </c>
      <c r="E894" s="187" t="inlineStr">
        <is>
          <t>MEDIUM</t>
        </is>
      </c>
      <c r="F894" s="187" t="n">
        <v>2</v>
      </c>
      <c r="G894" s="187" t="n">
        <v>2</v>
      </c>
      <c r="H894" s="187" t="inlineStr">
        <is>
          <t>MEDIUM</t>
        </is>
      </c>
      <c r="I894" s="187" t="n">
        <v>8.699999999999999</v>
      </c>
      <c r="J894" s="187" t="inlineStr">
        <is>
          <t>NO</t>
        </is>
      </c>
      <c r="K894" s="187" t="inlineStr">
        <is>
          <t>https://nvd.nist.gov/vuln/detail/CVE-2026-27492</t>
        </is>
      </c>
      <c r="L894" s="187" t="inlineStr">
        <is>
          <t>2026-02-26 00:15</t>
        </is>
      </c>
      <c r="M894" s="187" t="inlineStr">
        <is>
          <t>YES</t>
        </is>
      </c>
      <c r="N894" s="187" t="inlineStr">
        <is>
          <t>https://github.com/lettermint/lettermint-node/commit/24a17acbc2429c5eb30391f9df3dc0ea7aaf4de1 | https://github.com/lettermint/lettermint-node/security/advisories/GHSA-49pc-8936-wvfp</t>
        </is>
      </c>
      <c r="O894" s="187" t="inlineStr">
        <is>
          <t>https://github.com/lettermint/lettermint-node/security/advisories/GHSA-49pc-8936-wvfp</t>
        </is>
      </c>
      <c r="P894" s="187" t="inlineStr">
        <is>
          <t>lettermint lettermint *</t>
        </is>
      </c>
      <c r="Q894" s="187" t="inlineStr">
        <is>
          <t>P4</t>
        </is>
      </c>
      <c r="R894" s="187" t="inlineStr">
        <is>
          <t>📅 Schedule patch deployment within 30 days | 🔍 Monitor for exploitation attempts</t>
        </is>
      </c>
      <c r="S894" s="187" t="inlineStr">
        <is>
          <t>CVE - IP enrichment n/a</t>
        </is>
      </c>
      <c r="T894" s="187" t="n">
        <v>0</v>
      </c>
      <c r="U894" s="187" t="n">
        <v>0</v>
      </c>
      <c r="V894" s="187" t="inlineStr">
        <is>
          <t>T1190:Exploit Public-Facing Application</t>
        </is>
      </c>
      <c r="W894" s="187" t="n">
        <v>1</v>
      </c>
      <c r="X894" s="187" t="inlineStr">
        <is>
          <t>LOW (40%)</t>
        </is>
      </c>
      <c r="Y894" s="187" t="inlineStr">
        <is>
          <t>UNLIKELY</t>
        </is>
      </c>
      <c r="Z894" s="187" t="inlineStr">
        <is>
          <t>PATCH_AVAILABLE</t>
        </is>
      </c>
      <c r="AA894" s="187" t="inlineStr">
        <is>
          <t>https://nvd.nist.gov/vuln/detail/CVE-2026-27492</t>
        </is>
      </c>
      <c r="AB894" s="187" t="inlineStr">
        <is>
          <t>NONE</t>
        </is>
      </c>
      <c r="AC894" s="187" t="n">
        <v>0</v>
      </c>
      <c r="AD894" s="187" t="inlineStr"/>
    </row>
    <row r="895">
      <c r="A895" s="189" t="inlineStr">
        <is>
          <t>CVE</t>
        </is>
      </c>
      <c r="B895" s="189" t="inlineStr">
        <is>
          <t>CVE-2026-27574</t>
        </is>
      </c>
      <c r="C895" s="189" t="inlineStr">
        <is>
          <t>OneUptime is a solution for monitoring and managing online services. In versions 9.5.13 and below, custom JavaScript monitor feature uses Node.js's node:vm module (explicitly documented as not a security mechanism) to execute user-supplied code, allowing trivial sandbox escape via a well-known one-liner that grants full access to the underlying process. Because the probe runs with host networking and holds all cluster credentials (ONEUPTIME_SECRET, DATABASE_PASSWORD, REDIS_PASSWORD, CLICKHOUSE_P</t>
        </is>
      </c>
      <c r="D895" s="189" t="n">
        <v>9.9</v>
      </c>
      <c r="E895" s="189" t="inlineStr">
        <is>
          <t>CRITICAL</t>
        </is>
      </c>
      <c r="F895" s="189" t="n">
        <v>2</v>
      </c>
      <c r="G895" s="189" t="n">
        <v>3</v>
      </c>
      <c r="H895" s="189" t="inlineStr">
        <is>
          <t>HIGH</t>
        </is>
      </c>
      <c r="I895" s="189" t="n">
        <v>15.9</v>
      </c>
      <c r="J895" s="189" t="inlineStr">
        <is>
          <t>NO</t>
        </is>
      </c>
      <c r="K895" s="189" t="inlineStr">
        <is>
          <t>https://nvd.nist.gov/vuln/detail/CVE-2026-27574</t>
        </is>
      </c>
      <c r="L895" s="189" t="inlineStr">
        <is>
          <t>2026-02-26 00:15</t>
        </is>
      </c>
      <c r="M895" s="189" t="inlineStr">
        <is>
          <t>YES</t>
        </is>
      </c>
      <c r="N895" s="189" t="inlineStr">
        <is>
          <t>https://github.com/OneUptime/oneuptime/commit/7f9ed4d43945574702a26b7c206e38cc344fe427 | https://github.com/OneUptime/oneuptime/security/advisories/GHSA-v264-xqh4-9xmm</t>
        </is>
      </c>
      <c r="O895" s="189" t="inlineStr">
        <is>
          <t>Apply vendor patches</t>
        </is>
      </c>
      <c r="P895" s="189" t="inlineStr">
        <is>
          <t>hackerbay oneuptime *</t>
        </is>
      </c>
      <c r="Q895" s="189" t="inlineStr">
        <is>
          <t>P3</t>
        </is>
      </c>
      <c r="R895" s="189" t="inlineStr">
        <is>
          <t>🚨 URGENT: Apply vendor patches immediately | 🔒 Isolate affected systems if patch unavailable | 🛡️ Enable additional monitoring/IDS rules</t>
        </is>
      </c>
      <c r="S895" s="189" t="inlineStr">
        <is>
          <t>CVE - IP enrichment n/a</t>
        </is>
      </c>
      <c r="T895" s="189" t="n">
        <v>0</v>
      </c>
      <c r="U895" s="189" t="n">
        <v>0</v>
      </c>
      <c r="V895" s="189" t="inlineStr">
        <is>
          <t>T1059:Command and Scripting Interpreter | T1552:Unsecured Credentials</t>
        </is>
      </c>
      <c r="W895" s="189" t="n">
        <v>1</v>
      </c>
      <c r="X895" s="189" t="inlineStr">
        <is>
          <t>LOW (40%)</t>
        </is>
      </c>
      <c r="Y895" s="189" t="inlineStr">
        <is>
          <t>UNLIKELY</t>
        </is>
      </c>
      <c r="Z895" s="189" t="inlineStr">
        <is>
          <t>PATCH_AVAILABLE</t>
        </is>
      </c>
      <c r="AA895" s="189" t="inlineStr">
        <is>
          <t>https://nvd.nist.gov/vuln/detail/CVE-2026-27574</t>
        </is>
      </c>
      <c r="AB895" s="189" t="inlineStr">
        <is>
          <t>NONE</t>
        </is>
      </c>
      <c r="AC895" s="189" t="n">
        <v>0</v>
      </c>
      <c r="AD895" s="189" t="inlineStr"/>
    </row>
    <row r="896">
      <c r="A896" s="188" t="inlineStr">
        <is>
          <t>CVE</t>
        </is>
      </c>
      <c r="B896" s="188" t="inlineStr">
        <is>
          <t>CVE-2026-27579</t>
        </is>
      </c>
      <c r="C896" s="188" t="inlineStr">
        <is>
          <t>CollabPlatform is a full-stack, real-time doc collaboration platform. In all versions of CollabPlatform, the Appwrite project used by the application is misconfigured to allow arbitrary origins in CORS responses while also permitting credentialed requests. An attacker-controlled domain can issue authenticated cross-origin requests and read sensitive user account information, including email address, account identifiers, and MFA status. The issue did not have a fix at the time of publication.</t>
        </is>
      </c>
      <c r="D896" s="188" t="n">
        <v>7.4</v>
      </c>
      <c r="E896" s="188" t="inlineStr">
        <is>
          <t>HIGH</t>
        </is>
      </c>
      <c r="F896" s="188" t="n">
        <v>2</v>
      </c>
      <c r="G896" s="188" t="n">
        <v>3</v>
      </c>
      <c r="H896" s="188" t="inlineStr">
        <is>
          <t>HIGH</t>
        </is>
      </c>
      <c r="I896" s="188" t="n">
        <v>13.4</v>
      </c>
      <c r="J896" s="188" t="inlineStr">
        <is>
          <t>NO</t>
        </is>
      </c>
      <c r="K896" s="188" t="inlineStr">
        <is>
          <t>https://nvd.nist.gov/vuln/detail/CVE-2026-27579</t>
        </is>
      </c>
      <c r="L896" s="188" t="inlineStr">
        <is>
          <t>2026-02-26 00:15</t>
        </is>
      </c>
      <c r="M896" s="188" t="inlineStr">
        <is>
          <t>CHECK_VENDOR</t>
        </is>
      </c>
      <c r="N896" s="188" t="inlineStr">
        <is>
          <t>See NVD references</t>
        </is>
      </c>
      <c r="O896" s="188" t="inlineStr">
        <is>
          <t>Apply vendor patches</t>
        </is>
      </c>
      <c r="P896" s="188" t="inlineStr">
        <is>
          <t>See CVE details</t>
        </is>
      </c>
      <c r="Q896" s="188" t="inlineStr">
        <is>
          <t>P3</t>
        </is>
      </c>
      <c r="R896" s="188" t="inlineStr">
        <is>
          <t>🚨 URGENT: Apply vendor patches immediately | 🔒 Isolate affected systems if patch unavailable | 🛡️ Enable additional monitoring/IDS rules</t>
        </is>
      </c>
      <c r="S896" s="188" t="inlineStr">
        <is>
          <t>CVE - IP enrichment n/a</t>
        </is>
      </c>
      <c r="T896" s="188" t="n">
        <v>0</v>
      </c>
      <c r="U896" s="188" t="n">
        <v>0</v>
      </c>
      <c r="V896" s="188" t="inlineStr">
        <is>
          <t>T1552:Unsecured Credentials</t>
        </is>
      </c>
      <c r="W896" s="188" t="n">
        <v>1</v>
      </c>
      <c r="X896" s="188" t="inlineStr">
        <is>
          <t>LOW (40%)</t>
        </is>
      </c>
      <c r="Y896" s="188" t="inlineStr">
        <is>
          <t>UNLIKELY</t>
        </is>
      </c>
      <c r="Z896" s="188" t="inlineStr">
        <is>
          <t>CHECK_VENDOR</t>
        </is>
      </c>
      <c r="AA896" s="188" t="inlineStr">
        <is>
          <t>https://nvd.nist.gov/vuln/detail/CVE-2026-27579</t>
        </is>
      </c>
      <c r="AB896" s="188" t="inlineStr">
        <is>
          <t>NONE</t>
        </is>
      </c>
      <c r="AC896" s="188" t="n">
        <v>0</v>
      </c>
      <c r="AD896" s="188" t="inlineStr"/>
    </row>
    <row r="897">
      <c r="A897" s="188" t="inlineStr">
        <is>
          <t>CVE</t>
        </is>
      </c>
      <c r="B897" s="188" t="inlineStr">
        <is>
          <t>CVE-2026-2867</t>
        </is>
      </c>
      <c r="C897" s="188" t="inlineStr">
        <is>
          <t>A vulnerability was determined in itsourcecode Vehicle Management System 1.0. Affected is an unknown function of the file /billaction.php. Executing a manipulation of the argument ID can lead to sql injection. The attack may be launched remotely. The exploit has been publicly disclosed and may be utilized.</t>
        </is>
      </c>
      <c r="D897" s="188" t="n">
        <v>7.3</v>
      </c>
      <c r="E897" s="188" t="inlineStr">
        <is>
          <t>HIGH</t>
        </is>
      </c>
      <c r="F897" s="188" t="n">
        <v>2</v>
      </c>
      <c r="G897" s="188" t="n">
        <v>3</v>
      </c>
      <c r="H897" s="188" t="inlineStr">
        <is>
          <t>HIGH</t>
        </is>
      </c>
      <c r="I897" s="188" t="n">
        <v>13.3</v>
      </c>
      <c r="J897" s="188" t="inlineStr">
        <is>
          <t>NO</t>
        </is>
      </c>
      <c r="K897" s="188" t="inlineStr">
        <is>
          <t>https://nvd.nist.gov/vuln/detail/CVE-2026-2867</t>
        </is>
      </c>
      <c r="L897" s="188" t="inlineStr">
        <is>
          <t>2026-02-26 00:15</t>
        </is>
      </c>
      <c r="M897" s="188" t="inlineStr">
        <is>
          <t>CHECK_VENDOR</t>
        </is>
      </c>
      <c r="N897" s="188" t="inlineStr">
        <is>
          <t>See NVD references</t>
        </is>
      </c>
      <c r="O897" s="188" t="inlineStr">
        <is>
          <t>Apply vendor patches</t>
        </is>
      </c>
      <c r="P897" s="188" t="inlineStr">
        <is>
          <t>admerc vehicle_management_system 1.0</t>
        </is>
      </c>
      <c r="Q897" s="188" t="inlineStr">
        <is>
          <t>P3</t>
        </is>
      </c>
      <c r="R897" s="188" t="inlineStr">
        <is>
          <t>🚨 URGENT: Apply vendor patches immediately | 🔒 Isolate affected systems if patch unavailable | 🛡️ Enable additional monitoring/IDS rules</t>
        </is>
      </c>
      <c r="S897" s="188" t="inlineStr">
        <is>
          <t>CVE - IP enrichment n/a</t>
        </is>
      </c>
      <c r="T897" s="188" t="n">
        <v>0</v>
      </c>
      <c r="U897" s="188" t="n">
        <v>0</v>
      </c>
      <c r="V897" s="188" t="inlineStr">
        <is>
          <t>T1190:Exploit Public-Facing Application</t>
        </is>
      </c>
      <c r="W897" s="188" t="n">
        <v>1</v>
      </c>
      <c r="X897" s="188" t="inlineStr">
        <is>
          <t>LOW (40%)</t>
        </is>
      </c>
      <c r="Y897" s="188" t="inlineStr">
        <is>
          <t>UNLIKELY</t>
        </is>
      </c>
      <c r="Z897" s="188" t="inlineStr">
        <is>
          <t>CHECK_VENDOR</t>
        </is>
      </c>
      <c r="AA897" s="188" t="inlineStr">
        <is>
          <t>https://nvd.nist.gov/vuln/detail/CVE-2026-2867</t>
        </is>
      </c>
      <c r="AB897" s="188" t="inlineStr">
        <is>
          <t>NONE</t>
        </is>
      </c>
      <c r="AC897" s="188" t="n">
        <v>0</v>
      </c>
      <c r="AD897" s="188" t="inlineStr"/>
    </row>
    <row r="898">
      <c r="A898" s="190" t="inlineStr">
        <is>
          <t>CVE</t>
        </is>
      </c>
      <c r="B898" s="190" t="inlineStr">
        <is>
          <t>CVE-2026-2869</t>
        </is>
      </c>
      <c r="C898" s="190" t="inlineStr">
        <is>
          <t>A vulnerability was identified in janet-lang janet up to 1.40.1. Affected by this vulnerability is the function janetc_varset of the file src/core/specials.c of the component handleattr Handler. The manipulation leads to out-of-bounds read. The attack can only be performed from a local environment. The exploit is publicly available and might be used. Upgrading to version 1.41.0 addresses this issue. The identifier of the patch is 2fabc80151a2b8834ee59cda8a70453f848b40e5. The affected component s</t>
        </is>
      </c>
      <c r="D898" s="190" t="n">
        <v>3.3</v>
      </c>
      <c r="E898" s="190" t="inlineStr">
        <is>
          <t>LOW</t>
        </is>
      </c>
      <c r="F898" s="190" t="n">
        <v>2</v>
      </c>
      <c r="G898" s="190" t="n">
        <v>1</v>
      </c>
      <c r="H898" s="190" t="inlineStr">
        <is>
          <t>LOW</t>
        </is>
      </c>
      <c r="I898" s="190" t="n">
        <v>5.3</v>
      </c>
      <c r="J898" s="190" t="inlineStr">
        <is>
          <t>NO</t>
        </is>
      </c>
      <c r="K898" s="190" t="inlineStr">
        <is>
          <t>https://nvd.nist.gov/vuln/detail/CVE-2026-2869</t>
        </is>
      </c>
      <c r="L898" s="190" t="inlineStr">
        <is>
          <t>2026-02-26 00:15</t>
        </is>
      </c>
      <c r="M898" s="190" t="inlineStr">
        <is>
          <t>CHECK_VENDOR</t>
        </is>
      </c>
      <c r="N898" s="190" t="inlineStr">
        <is>
          <t>See NVD references</t>
        </is>
      </c>
      <c r="O898" s="190" t="inlineStr">
        <is>
          <t>Apply vendor patches</t>
        </is>
      </c>
      <c r="P898" s="190" t="inlineStr">
        <is>
          <t>See CVE details</t>
        </is>
      </c>
      <c r="Q898" s="190" t="inlineStr">
        <is>
          <t>P4</t>
        </is>
      </c>
      <c r="R898" s="190" t="inlineStr">
        <is>
          <t>📅 Schedule patch deployment within 30 days | 🔍 Monitor for exploitation attempts</t>
        </is>
      </c>
      <c r="S898" s="190" t="inlineStr">
        <is>
          <t>CVE - IP enrichment n/a</t>
        </is>
      </c>
      <c r="T898" s="190" t="n">
        <v>0.0001</v>
      </c>
      <c r="U898" s="190" t="n">
        <v>0.0195</v>
      </c>
      <c r="V898" s="190" t="inlineStr">
        <is>
          <t>T1203:Exploitation for Client Execution</t>
        </is>
      </c>
      <c r="W898" s="190" t="n">
        <v>1</v>
      </c>
      <c r="X898" s="190" t="inlineStr">
        <is>
          <t>LOW (40%)</t>
        </is>
      </c>
      <c r="Y898" s="190" t="inlineStr">
        <is>
          <t>UNLIKELY</t>
        </is>
      </c>
      <c r="Z898" s="190" t="inlineStr">
        <is>
          <t>CHECK_VENDOR</t>
        </is>
      </c>
      <c r="AA898" s="190" t="inlineStr">
        <is>
          <t>https://nvd.nist.gov/vuln/detail/CVE-2026-2869</t>
        </is>
      </c>
      <c r="AB898" s="190" t="inlineStr">
        <is>
          <t>NONE</t>
        </is>
      </c>
      <c r="AC898" s="190" t="n">
        <v>0</v>
      </c>
      <c r="AD898" s="190" t="inlineStr"/>
    </row>
    <row r="899">
      <c r="A899" s="188" t="inlineStr">
        <is>
          <t>CVE</t>
        </is>
      </c>
      <c r="B899" s="188" t="inlineStr">
        <is>
          <t>CVE-2026-2870</t>
        </is>
      </c>
      <c r="C899" s="188" t="inlineStr">
        <is>
          <t>A security flaw has been discovered in Tenda A21 1.0.0.0. Affected by this issue is the function set_qosMib_list of the file /goform/formSetQosBand. The manipulation of the argument list results in stack-based buffer overflow. The attack can be executed remotely. The exploit has been released to the public and may be used for attacks.</t>
        </is>
      </c>
      <c r="D899" s="188" t="n">
        <v>8.800000000000001</v>
      </c>
      <c r="E899" s="188" t="inlineStr">
        <is>
          <t>HIGH</t>
        </is>
      </c>
      <c r="F899" s="188" t="n">
        <v>2</v>
      </c>
      <c r="G899" s="188" t="n">
        <v>3</v>
      </c>
      <c r="H899" s="188" t="inlineStr">
        <is>
          <t>HIGH</t>
        </is>
      </c>
      <c r="I899" s="188" t="n">
        <v>14.8</v>
      </c>
      <c r="J899" s="188" t="inlineStr">
        <is>
          <t>NO</t>
        </is>
      </c>
      <c r="K899" s="188" t="inlineStr">
        <is>
          <t>https://nvd.nist.gov/vuln/detail/CVE-2026-2870</t>
        </is>
      </c>
      <c r="L899" s="188" t="inlineStr">
        <is>
          <t>2026-02-26 00:15</t>
        </is>
      </c>
      <c r="M899" s="188" t="inlineStr">
        <is>
          <t>YES</t>
        </is>
      </c>
      <c r="N899" s="188" t="inlineStr">
        <is>
          <t>https://github.com/QIU-DIE/cve-nneeww/issues/1</t>
        </is>
      </c>
      <c r="O899" s="188" t="inlineStr">
        <is>
          <t>https://github.com/QIU-DIE/cve-nneeww/issues/1</t>
        </is>
      </c>
      <c r="P899" s="188" t="inlineStr">
        <is>
          <t>tenda a21_firmware 1.0.0.0 | tenda a21 -</t>
        </is>
      </c>
      <c r="Q899" s="188" t="inlineStr">
        <is>
          <t>P3</t>
        </is>
      </c>
      <c r="R899" s="188" t="inlineStr">
        <is>
          <t>🚨 URGENT: Apply vendor patches immediately | 🔒 Isolate affected systems if patch unavailable | 🛡️ Enable additional monitoring/IDS rules</t>
        </is>
      </c>
      <c r="S899" s="188" t="inlineStr">
        <is>
          <t>CVE - IP enrichment n/a</t>
        </is>
      </c>
      <c r="T899" s="188" t="n">
        <v>0</v>
      </c>
      <c r="U899" s="188" t="n">
        <v>0</v>
      </c>
      <c r="V899" s="188" t="inlineStr">
        <is>
          <t>T1203:Exploitation for Client Execution</t>
        </is>
      </c>
      <c r="W899" s="188" t="n">
        <v>1</v>
      </c>
      <c r="X899" s="188" t="inlineStr">
        <is>
          <t>LOW (40%)</t>
        </is>
      </c>
      <c r="Y899" s="188" t="inlineStr">
        <is>
          <t>UNLIKELY</t>
        </is>
      </c>
      <c r="Z899" s="188" t="inlineStr">
        <is>
          <t>PATCH_AVAILABLE</t>
        </is>
      </c>
      <c r="AA899" s="188" t="inlineStr">
        <is>
          <t>https://nvd.nist.gov/vuln/detail/CVE-2026-2870</t>
        </is>
      </c>
      <c r="AB899" s="188" t="inlineStr">
        <is>
          <t>NONE</t>
        </is>
      </c>
      <c r="AC899" s="188" t="n">
        <v>0</v>
      </c>
      <c r="AD899" s="188" t="inlineStr"/>
    </row>
    <row r="900">
      <c r="A900" s="188" t="inlineStr">
        <is>
          <t>CVE</t>
        </is>
      </c>
      <c r="B900" s="188" t="inlineStr">
        <is>
          <t>CVE-2026-2871</t>
        </is>
      </c>
      <c r="C900" s="188" t="inlineStr">
        <is>
          <t>A weakness has been identified in Tenda A21 1.0.0.0. This affects the function fromSetIpMacBind of the file /goform/SetIpMacBind. This manipulation of the argument list causes stack-based buffer overflow. The attack is possible to be carried out remotely. The exploit has been made available to the public and could be used for attacks.</t>
        </is>
      </c>
      <c r="D900" s="188" t="n">
        <v>8.800000000000001</v>
      </c>
      <c r="E900" s="188" t="inlineStr">
        <is>
          <t>HIGH</t>
        </is>
      </c>
      <c r="F900" s="188" t="n">
        <v>2</v>
      </c>
      <c r="G900" s="188" t="n">
        <v>3</v>
      </c>
      <c r="H900" s="188" t="inlineStr">
        <is>
          <t>HIGH</t>
        </is>
      </c>
      <c r="I900" s="188" t="n">
        <v>14.8</v>
      </c>
      <c r="J900" s="188" t="inlineStr">
        <is>
          <t>NO</t>
        </is>
      </c>
      <c r="K900" s="188" t="inlineStr">
        <is>
          <t>https://nvd.nist.gov/vuln/detail/CVE-2026-2871</t>
        </is>
      </c>
      <c r="L900" s="188" t="inlineStr">
        <is>
          <t>2026-02-26 00:15</t>
        </is>
      </c>
      <c r="M900" s="188" t="inlineStr">
        <is>
          <t>YES</t>
        </is>
      </c>
      <c r="N900" s="188" t="inlineStr">
        <is>
          <t>https://github.com/QIU-DIE/cve-nneeww/issues/2</t>
        </is>
      </c>
      <c r="O900" s="188" t="inlineStr">
        <is>
          <t>https://github.com/QIU-DIE/cve-nneeww/issues/2</t>
        </is>
      </c>
      <c r="P900" s="188" t="inlineStr">
        <is>
          <t>tenda a21_firmware 1.0.0.0 | tenda a21 -</t>
        </is>
      </c>
      <c r="Q900" s="188" t="inlineStr">
        <is>
          <t>P3</t>
        </is>
      </c>
      <c r="R900" s="188" t="inlineStr">
        <is>
          <t>🚨 URGENT: Apply vendor patches immediately | 🔒 Isolate affected systems if patch unavailable | 🛡️ Enable additional monitoring/IDS rules</t>
        </is>
      </c>
      <c r="S900" s="188" t="inlineStr">
        <is>
          <t>CVE - IP enrichment n/a</t>
        </is>
      </c>
      <c r="T900" s="188" t="n">
        <v>0.0003</v>
      </c>
      <c r="U900" s="188" t="n">
        <v>0.0854</v>
      </c>
      <c r="V900" s="188" t="inlineStr">
        <is>
          <t>T1203:Exploitation for Client Execution</t>
        </is>
      </c>
      <c r="W900" s="188" t="n">
        <v>1</v>
      </c>
      <c r="X900" s="188" t="inlineStr">
        <is>
          <t>LOW (40%)</t>
        </is>
      </c>
      <c r="Y900" s="188" t="inlineStr">
        <is>
          <t>UNLIKELY</t>
        </is>
      </c>
      <c r="Z900" s="188" t="inlineStr">
        <is>
          <t>PATCH_AVAILABLE</t>
        </is>
      </c>
      <c r="AA900" s="188" t="inlineStr">
        <is>
          <t>https://nvd.nist.gov/vuln/detail/CVE-2026-2871</t>
        </is>
      </c>
      <c r="AB900" s="188" t="inlineStr">
        <is>
          <t>NONE</t>
        </is>
      </c>
      <c r="AC900" s="188" t="n">
        <v>0</v>
      </c>
      <c r="AD900" s="188" t="inlineStr"/>
    </row>
    <row r="901">
      <c r="A901" s="188" t="inlineStr">
        <is>
          <t>CVE</t>
        </is>
      </c>
      <c r="B901" s="188" t="inlineStr">
        <is>
          <t>CVE-2026-2872</t>
        </is>
      </c>
      <c r="C901" s="188" t="inlineStr">
        <is>
          <t>A security vulnerability has been detected in Tenda A21 1.0.0.0. This vulnerability affects the function set_device_name of the file /goform/setBlackRule of the component MAC Filtering Configuration Endpoint. Such manipulation of the argument devName/mac leads to stack-based buffer overflow. The attack may be performed from remote. The exploit has been disclosed publicly and may be used.</t>
        </is>
      </c>
      <c r="D901" s="188" t="n">
        <v>8.800000000000001</v>
      </c>
      <c r="E901" s="188" t="inlineStr">
        <is>
          <t>HIGH</t>
        </is>
      </c>
      <c r="F901" s="188" t="n">
        <v>2</v>
      </c>
      <c r="G901" s="188" t="n">
        <v>3</v>
      </c>
      <c r="H901" s="188" t="inlineStr">
        <is>
          <t>HIGH</t>
        </is>
      </c>
      <c r="I901" s="188" t="n">
        <v>14.8</v>
      </c>
      <c r="J901" s="188" t="inlineStr">
        <is>
          <t>NO</t>
        </is>
      </c>
      <c r="K901" s="188" t="inlineStr">
        <is>
          <t>https://nvd.nist.gov/vuln/detail/CVE-2026-2872</t>
        </is>
      </c>
      <c r="L901" s="188" t="inlineStr">
        <is>
          <t>2026-02-26 00:15</t>
        </is>
      </c>
      <c r="M901" s="188" t="inlineStr">
        <is>
          <t>YES</t>
        </is>
      </c>
      <c r="N901" s="188" t="inlineStr">
        <is>
          <t>https://github.com/QIU-DIE/cve-nneeww/issues/3</t>
        </is>
      </c>
      <c r="O901" s="188" t="inlineStr">
        <is>
          <t>https://github.com/QIU-DIE/cve-nneeww/issues/3</t>
        </is>
      </c>
      <c r="P901" s="188" t="inlineStr">
        <is>
          <t>tenda a21_firmware 1.0.0.0 | tenda a21 -</t>
        </is>
      </c>
      <c r="Q901" s="188" t="inlineStr">
        <is>
          <t>P3</t>
        </is>
      </c>
      <c r="R901" s="188" t="inlineStr">
        <is>
          <t>🚨 URGENT: Apply vendor patches immediately | 🔒 Isolate affected systems if patch unavailable | 🛡️ Enable additional monitoring/IDS rules</t>
        </is>
      </c>
      <c r="S901" s="188" t="inlineStr">
        <is>
          <t>CVE - IP enrichment n/a</t>
        </is>
      </c>
      <c r="T901" s="188" t="n">
        <v>0</v>
      </c>
      <c r="U901" s="188" t="n">
        <v>0</v>
      </c>
      <c r="V901" s="188" t="inlineStr">
        <is>
          <t>T1203:Exploitation for Client Execution</t>
        </is>
      </c>
      <c r="W901" s="188" t="n">
        <v>1</v>
      </c>
      <c r="X901" s="188" t="inlineStr">
        <is>
          <t>LOW (40%)</t>
        </is>
      </c>
      <c r="Y901" s="188" t="inlineStr">
        <is>
          <t>UNLIKELY</t>
        </is>
      </c>
      <c r="Z901" s="188" t="inlineStr">
        <is>
          <t>PATCH_AVAILABLE</t>
        </is>
      </c>
      <c r="AA901" s="188" t="inlineStr">
        <is>
          <t>https://nvd.nist.gov/vuln/detail/CVE-2026-2872</t>
        </is>
      </c>
      <c r="AB901" s="188" t="inlineStr">
        <is>
          <t>NONE</t>
        </is>
      </c>
      <c r="AC901" s="188" t="n">
        <v>0</v>
      </c>
      <c r="AD901" s="188" t="inlineStr"/>
    </row>
    <row r="902">
      <c r="A902" s="188" t="inlineStr">
        <is>
          <t>CVE</t>
        </is>
      </c>
      <c r="B902" s="188" t="inlineStr">
        <is>
          <t>CVE-2026-2873</t>
        </is>
      </c>
      <c r="C902" s="188" t="inlineStr">
        <is>
          <t>A vulnerability was detected in Tenda A21 1.0.0.0. This issue affects the function setSchedWifi of the file /goform/openSchedWifi. Performing a manipulation of the argument schedStartTime/schedEndTime results in stack-based buffer overflow. It is possible to initiate the attack remotely. The exploit is now public and may be used.</t>
        </is>
      </c>
      <c r="D902" s="188" t="n">
        <v>8.800000000000001</v>
      </c>
      <c r="E902" s="188" t="inlineStr">
        <is>
          <t>HIGH</t>
        </is>
      </c>
      <c r="F902" s="188" t="n">
        <v>2</v>
      </c>
      <c r="G902" s="188" t="n">
        <v>3</v>
      </c>
      <c r="H902" s="188" t="inlineStr">
        <is>
          <t>HIGH</t>
        </is>
      </c>
      <c r="I902" s="188" t="n">
        <v>14.8</v>
      </c>
      <c r="J902" s="188" t="inlineStr">
        <is>
          <t>NO</t>
        </is>
      </c>
      <c r="K902" s="188" t="inlineStr">
        <is>
          <t>https://nvd.nist.gov/vuln/detail/CVE-2026-2873</t>
        </is>
      </c>
      <c r="L902" s="188" t="inlineStr">
        <is>
          <t>2026-02-26 00:15</t>
        </is>
      </c>
      <c r="M902" s="188" t="inlineStr">
        <is>
          <t>YES</t>
        </is>
      </c>
      <c r="N902" s="188" t="inlineStr">
        <is>
          <t>https://github.com/QIU-DIE/cve-nneeww/issues/4</t>
        </is>
      </c>
      <c r="O902" s="188" t="inlineStr">
        <is>
          <t>https://github.com/QIU-DIE/cve-nneeww/issues/4</t>
        </is>
      </c>
      <c r="P902" s="188" t="inlineStr">
        <is>
          <t>tenda a21_firmware 1.0.0.0 | tenda a21 -</t>
        </is>
      </c>
      <c r="Q902" s="188" t="inlineStr">
        <is>
          <t>P3</t>
        </is>
      </c>
      <c r="R902" s="188" t="inlineStr">
        <is>
          <t>🚨 URGENT: Apply vendor patches immediately | 🔒 Isolate affected systems if patch unavailable | 🛡️ Enable additional monitoring/IDS rules</t>
        </is>
      </c>
      <c r="S902" s="188" t="inlineStr">
        <is>
          <t>CVE - IP enrichment n/a</t>
        </is>
      </c>
      <c r="T902" s="188" t="n">
        <v>0</v>
      </c>
      <c r="U902" s="188" t="n">
        <v>0</v>
      </c>
      <c r="V902" s="188" t="inlineStr">
        <is>
          <t>T1203:Exploitation for Client Execution</t>
        </is>
      </c>
      <c r="W902" s="188" t="n">
        <v>1</v>
      </c>
      <c r="X902" s="188" t="inlineStr">
        <is>
          <t>LOW (40%)</t>
        </is>
      </c>
      <c r="Y902" s="188" t="inlineStr">
        <is>
          <t>UNLIKELY</t>
        </is>
      </c>
      <c r="Z902" s="188" t="inlineStr">
        <is>
          <t>PATCH_AVAILABLE</t>
        </is>
      </c>
      <c r="AA902" s="188" t="inlineStr">
        <is>
          <t>https://nvd.nist.gov/vuln/detail/CVE-2026-2873</t>
        </is>
      </c>
      <c r="AB902" s="188" t="inlineStr">
        <is>
          <t>NONE</t>
        </is>
      </c>
      <c r="AC902" s="188" t="n">
        <v>0</v>
      </c>
      <c r="AD902" s="188" t="inlineStr"/>
    </row>
    <row r="903">
      <c r="A903" s="188" t="inlineStr">
        <is>
          <t>CVE</t>
        </is>
      </c>
      <c r="B903" s="188" t="inlineStr">
        <is>
          <t>CVE-2026-2874</t>
        </is>
      </c>
      <c r="C903" s="188" t="inlineStr">
        <is>
          <t>A flaw has been found in Tenda A21 1.0.0.0. Impacted is the function form_fast_setting_wifi_set of the file /goform/fast_setting_wifi_set. Executing a manipulation of the argument ssid can lead to stack-based buffer overflow. It is possible to launch the attack remotely. The exploit has been published and may be used.</t>
        </is>
      </c>
      <c r="D903" s="188" t="n">
        <v>8.800000000000001</v>
      </c>
      <c r="E903" s="188" t="inlineStr">
        <is>
          <t>HIGH</t>
        </is>
      </c>
      <c r="F903" s="188" t="n">
        <v>2</v>
      </c>
      <c r="G903" s="188" t="n">
        <v>3</v>
      </c>
      <c r="H903" s="188" t="inlineStr">
        <is>
          <t>HIGH</t>
        </is>
      </c>
      <c r="I903" s="188" t="n">
        <v>14.8</v>
      </c>
      <c r="J903" s="188" t="inlineStr">
        <is>
          <t>NO</t>
        </is>
      </c>
      <c r="K903" s="188" t="inlineStr">
        <is>
          <t>https://nvd.nist.gov/vuln/detail/CVE-2026-2874</t>
        </is>
      </c>
      <c r="L903" s="188" t="inlineStr">
        <is>
          <t>2026-02-26 00:15</t>
        </is>
      </c>
      <c r="M903" s="188" t="inlineStr">
        <is>
          <t>YES</t>
        </is>
      </c>
      <c r="N903" s="188" t="inlineStr">
        <is>
          <t>https://github.com/QIU-DIE/cve-nneeww/issues/5</t>
        </is>
      </c>
      <c r="O903" s="188" t="inlineStr">
        <is>
          <t>https://github.com/QIU-DIE/cve-nneeww/issues/5</t>
        </is>
      </c>
      <c r="P903" s="188" t="inlineStr">
        <is>
          <t>tenda a21_firmware 1.0.0.0 | tenda a21 -</t>
        </is>
      </c>
      <c r="Q903" s="188" t="inlineStr">
        <is>
          <t>P3</t>
        </is>
      </c>
      <c r="R903" s="188" t="inlineStr">
        <is>
          <t>🚨 URGENT: Apply vendor patches immediately | 🔒 Isolate affected systems if patch unavailable | 🛡️ Enable additional monitoring/IDS rules</t>
        </is>
      </c>
      <c r="S903" s="188" t="inlineStr">
        <is>
          <t>CVE - IP enrichment n/a</t>
        </is>
      </c>
      <c r="T903" s="188" t="n">
        <v>0</v>
      </c>
      <c r="U903" s="188" t="n">
        <v>0</v>
      </c>
      <c r="V903" s="188" t="inlineStr">
        <is>
          <t>T1203:Exploitation for Client Execution</t>
        </is>
      </c>
      <c r="W903" s="188" t="n">
        <v>1</v>
      </c>
      <c r="X903" s="188" t="inlineStr">
        <is>
          <t>LOW (40%)</t>
        </is>
      </c>
      <c r="Y903" s="188" t="inlineStr">
        <is>
          <t>UNLIKELY</t>
        </is>
      </c>
      <c r="Z903" s="188" t="inlineStr">
        <is>
          <t>PATCH_AVAILABLE</t>
        </is>
      </c>
      <c r="AA903" s="188" t="inlineStr">
        <is>
          <t>https://nvd.nist.gov/vuln/detail/CVE-2026-2874</t>
        </is>
      </c>
      <c r="AB903" s="188" t="inlineStr">
        <is>
          <t>NONE</t>
        </is>
      </c>
      <c r="AC903" s="188" t="n">
        <v>0</v>
      </c>
      <c r="AD903" s="188" t="inlineStr"/>
    </row>
    <row r="904">
      <c r="A904" s="188" t="inlineStr">
        <is>
          <t>CVE</t>
        </is>
      </c>
      <c r="B904" s="188" t="inlineStr">
        <is>
          <t>CVE-2026-2876</t>
        </is>
      </c>
      <c r="C904" s="188" t="inlineStr">
        <is>
          <t>A vulnerability was determined in Tenda A18 15.13.07.13. This affects the function parse_macfilter_rule of the file /goform/setBlackRule. This manipulation of the argument deviceList causes stack-based buffer overflow. The attack may be initiated remotely. The exploit has been publicly disclosed and may be utilized.</t>
        </is>
      </c>
      <c r="D904" s="188" t="n">
        <v>8.800000000000001</v>
      </c>
      <c r="E904" s="188" t="inlineStr">
        <is>
          <t>HIGH</t>
        </is>
      </c>
      <c r="F904" s="188" t="n">
        <v>2</v>
      </c>
      <c r="G904" s="188" t="n">
        <v>3</v>
      </c>
      <c r="H904" s="188" t="inlineStr">
        <is>
          <t>HIGH</t>
        </is>
      </c>
      <c r="I904" s="188" t="n">
        <v>14.8</v>
      </c>
      <c r="J904" s="188" t="inlineStr">
        <is>
          <t>NO</t>
        </is>
      </c>
      <c r="K904" s="188" t="inlineStr">
        <is>
          <t>https://nvd.nist.gov/vuln/detail/CVE-2026-2876</t>
        </is>
      </c>
      <c r="L904" s="188" t="inlineStr">
        <is>
          <t>2026-02-26 00:15</t>
        </is>
      </c>
      <c r="M904" s="188" t="inlineStr">
        <is>
          <t>CHECK_VENDOR</t>
        </is>
      </c>
      <c r="N904" s="188" t="inlineStr">
        <is>
          <t>See NVD references</t>
        </is>
      </c>
      <c r="O904" s="188" t="inlineStr">
        <is>
          <t>Apply vendor patches</t>
        </is>
      </c>
      <c r="P904" s="188" t="inlineStr">
        <is>
          <t>tenda a18 - | tenda a18_firmware 15.13.07.13</t>
        </is>
      </c>
      <c r="Q904" s="188" t="inlineStr">
        <is>
          <t>P3</t>
        </is>
      </c>
      <c r="R904" s="188" t="inlineStr">
        <is>
          <t>🚨 URGENT: Apply vendor patches immediately | 🔒 Isolate affected systems if patch unavailable | 🛡️ Enable additional monitoring/IDS rules</t>
        </is>
      </c>
      <c r="S904" s="188" t="inlineStr">
        <is>
          <t>CVE - IP enrichment n/a</t>
        </is>
      </c>
      <c r="T904" s="188" t="n">
        <v>0.0007</v>
      </c>
      <c r="U904" s="188" t="n">
        <v>0.2198</v>
      </c>
      <c r="V904" s="188" t="inlineStr">
        <is>
          <t>T1203:Exploitation for Client Execution</t>
        </is>
      </c>
      <c r="W904" s="188" t="n">
        <v>1</v>
      </c>
      <c r="X904" s="188" t="inlineStr">
        <is>
          <t>LOW (40%)</t>
        </is>
      </c>
      <c r="Y904" s="188" t="inlineStr">
        <is>
          <t>UNLIKELY</t>
        </is>
      </c>
      <c r="Z904" s="188" t="inlineStr">
        <is>
          <t>CHECK_VENDOR</t>
        </is>
      </c>
      <c r="AA904" s="188" t="inlineStr">
        <is>
          <t>https://nvd.nist.gov/vuln/detail/CVE-2026-2876</t>
        </is>
      </c>
      <c r="AB904" s="188" t="inlineStr">
        <is>
          <t>NONE</t>
        </is>
      </c>
      <c r="AC904" s="188" t="n">
        <v>0</v>
      </c>
      <c r="AD904" s="188" t="inlineStr"/>
    </row>
    <row r="905">
      <c r="A905" s="188" t="inlineStr">
        <is>
          <t>CVE</t>
        </is>
      </c>
      <c r="B905" s="188" t="inlineStr">
        <is>
          <t>CVE-2026-2877</t>
        </is>
      </c>
      <c r="C905" s="188" t="inlineStr">
        <is>
          <t>A vulnerability has been found in Tenda A18 15.13.07.13. This affects the function strcpy of the file /goform/WifiExtraSet of the component Httpd Service. The manipulation of the argument wpapsk_crypto5g leads to stack-based buffer overflow. It is possible to initiate the attack remotely. The exploit has been disclosed to the public and may be used.</t>
        </is>
      </c>
      <c r="D905" s="188" t="n">
        <v>8.800000000000001</v>
      </c>
      <c r="E905" s="188" t="inlineStr">
        <is>
          <t>HIGH</t>
        </is>
      </c>
      <c r="F905" s="188" t="n">
        <v>2</v>
      </c>
      <c r="G905" s="188" t="n">
        <v>3</v>
      </c>
      <c r="H905" s="188" t="inlineStr">
        <is>
          <t>HIGH</t>
        </is>
      </c>
      <c r="I905" s="188" t="n">
        <v>14.8</v>
      </c>
      <c r="J905" s="188" t="inlineStr">
        <is>
          <t>NO</t>
        </is>
      </c>
      <c r="K905" s="188" t="inlineStr">
        <is>
          <t>https://nvd.nist.gov/vuln/detail/CVE-2026-2877</t>
        </is>
      </c>
      <c r="L905" s="188" t="inlineStr">
        <is>
          <t>2026-02-26 00:15</t>
        </is>
      </c>
      <c r="M905" s="188" t="inlineStr">
        <is>
          <t>CHECK_VENDOR</t>
        </is>
      </c>
      <c r="N905" s="188" t="inlineStr">
        <is>
          <t>See NVD references</t>
        </is>
      </c>
      <c r="O905" s="188" t="inlineStr">
        <is>
          <t>Apply vendor patches</t>
        </is>
      </c>
      <c r="P905" s="188" t="inlineStr">
        <is>
          <t>tenda a18 - | tenda a18_firmware 15.13.07.13</t>
        </is>
      </c>
      <c r="Q905" s="188" t="inlineStr">
        <is>
          <t>P3</t>
        </is>
      </c>
      <c r="R905" s="188" t="inlineStr">
        <is>
          <t>🚨 URGENT: Apply vendor patches immediately | 🔒 Isolate affected systems if patch unavailable | 🛡️ Enable additional monitoring/IDS rules</t>
        </is>
      </c>
      <c r="S905" s="188" t="inlineStr">
        <is>
          <t>CVE - IP enrichment n/a</t>
        </is>
      </c>
      <c r="T905" s="188" t="n">
        <v>0</v>
      </c>
      <c r="U905" s="188" t="n">
        <v>0</v>
      </c>
      <c r="V905" s="188" t="inlineStr">
        <is>
          <t>T1203:Exploitation for Client Execution</t>
        </is>
      </c>
      <c r="W905" s="188" t="n">
        <v>1</v>
      </c>
      <c r="X905" s="188" t="inlineStr">
        <is>
          <t>LOW (40%)</t>
        </is>
      </c>
      <c r="Y905" s="188" t="inlineStr">
        <is>
          <t>UNLIKELY</t>
        </is>
      </c>
      <c r="Z905" s="188" t="inlineStr">
        <is>
          <t>CHECK_VENDOR</t>
        </is>
      </c>
      <c r="AA905" s="188" t="inlineStr">
        <is>
          <t>https://nvd.nist.gov/vuln/detail/CVE-2026-2877</t>
        </is>
      </c>
      <c r="AB905" s="188" t="inlineStr">
        <is>
          <t>NONE</t>
        </is>
      </c>
      <c r="AC905" s="188" t="n">
        <v>0</v>
      </c>
      <c r="AD905" s="188" t="inlineStr"/>
    </row>
    <row r="906">
      <c r="A906" s="188" t="inlineStr">
        <is>
          <t>CVE</t>
        </is>
      </c>
      <c r="B906" s="188" t="inlineStr">
        <is>
          <t>CVE-2026-2881</t>
        </is>
      </c>
      <c r="C906" s="188" t="inlineStr">
        <is>
          <t>A vulnerability has been found in D-Link DWR-M960 1.01.07. This vulnerability affects the function sub_425FF8 of the file /boafrm/formFirewallAdv of the component Advanced Firewall Configuration Endpoint. Such manipulation of the argument submit-url leads to stack-based buffer overflow. The attack may be launched remotely. The exploit has been disclosed to the public and may be used.</t>
        </is>
      </c>
      <c r="D906" s="188" t="n">
        <v>8.800000000000001</v>
      </c>
      <c r="E906" s="188" t="inlineStr">
        <is>
          <t>HIGH</t>
        </is>
      </c>
      <c r="F906" s="188" t="n">
        <v>2</v>
      </c>
      <c r="G906" s="188" t="n">
        <v>3</v>
      </c>
      <c r="H906" s="188" t="inlineStr">
        <is>
          <t>HIGH</t>
        </is>
      </c>
      <c r="I906" s="188" t="n">
        <v>14.8</v>
      </c>
      <c r="J906" s="188" t="inlineStr">
        <is>
          <t>NO</t>
        </is>
      </c>
      <c r="K906" s="188" t="inlineStr">
        <is>
          <t>https://nvd.nist.gov/vuln/detail/CVE-2026-2881</t>
        </is>
      </c>
      <c r="L906" s="188" t="inlineStr">
        <is>
          <t>2026-02-26 00:15</t>
        </is>
      </c>
      <c r="M906" s="188" t="inlineStr">
        <is>
          <t>CHECK_VENDOR</t>
        </is>
      </c>
      <c r="N906" s="188" t="inlineStr">
        <is>
          <t>See NVD references</t>
        </is>
      </c>
      <c r="O906" s="188" t="inlineStr">
        <is>
          <t>Apply vendor patches</t>
        </is>
      </c>
      <c r="P906" s="188" t="inlineStr">
        <is>
          <t>dlink dwr-m960 b1 | dlink dwr-m960_firmware 1.01.07</t>
        </is>
      </c>
      <c r="Q906" s="188" t="inlineStr">
        <is>
          <t>P3</t>
        </is>
      </c>
      <c r="R906" s="188" t="inlineStr">
        <is>
          <t>🚨 URGENT: Apply vendor patches immediately | 🔒 Isolate affected systems if patch unavailable | 🛡️ Enable additional monitoring/IDS rules</t>
        </is>
      </c>
      <c r="S906" s="188" t="inlineStr">
        <is>
          <t>CVE - IP enrichment n/a</t>
        </is>
      </c>
      <c r="T906" s="188" t="n">
        <v>0</v>
      </c>
      <c r="U906" s="188" t="n">
        <v>0</v>
      </c>
      <c r="V906" s="188" t="inlineStr">
        <is>
          <t>T1203:Exploitation for Client Execution | T1562:Impair Defenses</t>
        </is>
      </c>
      <c r="W906" s="188" t="n">
        <v>1</v>
      </c>
      <c r="X906" s="188" t="inlineStr">
        <is>
          <t>LOW (40%)</t>
        </is>
      </c>
      <c r="Y906" s="188" t="inlineStr">
        <is>
          <t>UNLIKELY</t>
        </is>
      </c>
      <c r="Z906" s="188" t="inlineStr">
        <is>
          <t>CHECK_VENDOR</t>
        </is>
      </c>
      <c r="AA906" s="188" t="inlineStr">
        <is>
          <t>https://nvd.nist.gov/vuln/detail/CVE-2026-2881</t>
        </is>
      </c>
      <c r="AB906" s="188" t="inlineStr">
        <is>
          <t>NONE</t>
        </is>
      </c>
      <c r="AC906" s="188" t="n">
        <v>0</v>
      </c>
      <c r="AD906" s="188" t="inlineStr"/>
    </row>
    <row r="907">
      <c r="A907" s="188" t="inlineStr">
        <is>
          <t>CVE</t>
        </is>
      </c>
      <c r="B907" s="188" t="inlineStr">
        <is>
          <t>CVE-2026-2882</t>
        </is>
      </c>
      <c r="C907" s="188" t="inlineStr">
        <is>
          <t>A vulnerability was found in D-Link DWR-M960 1.01.07. This issue affects the function sub_46385C of the file /boafrm/formDosCfg. Performing a manipulation of the argument submit-url results in stack-based buffer overflow. Remote exploitation of the attack is possible. The exploit has been made public and could be used.</t>
        </is>
      </c>
      <c r="D907" s="188" t="n">
        <v>8.800000000000001</v>
      </c>
      <c r="E907" s="188" t="inlineStr">
        <is>
          <t>HIGH</t>
        </is>
      </c>
      <c r="F907" s="188" t="n">
        <v>2</v>
      </c>
      <c r="G907" s="188" t="n">
        <v>3</v>
      </c>
      <c r="H907" s="188" t="inlineStr">
        <is>
          <t>HIGH</t>
        </is>
      </c>
      <c r="I907" s="188" t="n">
        <v>14.8</v>
      </c>
      <c r="J907" s="188" t="inlineStr">
        <is>
          <t>NO</t>
        </is>
      </c>
      <c r="K907" s="188" t="inlineStr">
        <is>
          <t>https://nvd.nist.gov/vuln/detail/CVE-2026-2882</t>
        </is>
      </c>
      <c r="L907" s="188" t="inlineStr">
        <is>
          <t>2026-02-26 00:15</t>
        </is>
      </c>
      <c r="M907" s="188" t="inlineStr">
        <is>
          <t>CHECK_VENDOR</t>
        </is>
      </c>
      <c r="N907" s="188" t="inlineStr">
        <is>
          <t>See NVD references</t>
        </is>
      </c>
      <c r="O907" s="188" t="inlineStr">
        <is>
          <t>Apply vendor patches</t>
        </is>
      </c>
      <c r="P907" s="188" t="inlineStr">
        <is>
          <t>dlink dwr-m960 b1 | dlink dwr-m960_firmware 1.01.07</t>
        </is>
      </c>
      <c r="Q907" s="188" t="inlineStr">
        <is>
          <t>P3</t>
        </is>
      </c>
      <c r="R907" s="188" t="inlineStr">
        <is>
          <t>🚨 URGENT: Apply vendor patches immediately | 🔒 Isolate affected systems if patch unavailable | 🛡️ Enable additional monitoring/IDS rules</t>
        </is>
      </c>
      <c r="S907" s="188" t="inlineStr">
        <is>
          <t>CVE - IP enrichment n/a</t>
        </is>
      </c>
      <c r="T907" s="188" t="n">
        <v>0.0003</v>
      </c>
      <c r="U907" s="188" t="n">
        <v>0.0823</v>
      </c>
      <c r="V907" s="188" t="inlineStr">
        <is>
          <t>T1203:Exploitation for Client Execution</t>
        </is>
      </c>
      <c r="W907" s="188" t="n">
        <v>1</v>
      </c>
      <c r="X907" s="188" t="inlineStr">
        <is>
          <t>LOW (40%)</t>
        </is>
      </c>
      <c r="Y907" s="188" t="inlineStr">
        <is>
          <t>UNLIKELY</t>
        </is>
      </c>
      <c r="Z907" s="188" t="inlineStr">
        <is>
          <t>CHECK_VENDOR</t>
        </is>
      </c>
      <c r="AA907" s="188" t="inlineStr">
        <is>
          <t>https://nvd.nist.gov/vuln/detail/CVE-2026-2882</t>
        </is>
      </c>
      <c r="AB907" s="188" t="inlineStr">
        <is>
          <t>NONE</t>
        </is>
      </c>
      <c r="AC907" s="188" t="n">
        <v>0</v>
      </c>
      <c r="AD907" s="188" t="inlineStr"/>
    </row>
    <row r="908">
      <c r="A908" s="188" t="inlineStr">
        <is>
          <t>CVE</t>
        </is>
      </c>
      <c r="B908" s="188" t="inlineStr">
        <is>
          <t>CVE-2026-2883</t>
        </is>
      </c>
      <c r="C908" s="188" t="inlineStr">
        <is>
          <t>A vulnerability was determined in D-Link DWR-M960 1.01.07. Impacted is the function sub_427D74 of the file /boafrm/formIpQoS. Executing a manipulation of the argument submit-url can lead to stack-based buffer overflow. The attack can be executed remotely. The exploit has been publicly disclosed and may be utilized.</t>
        </is>
      </c>
      <c r="D908" s="188" t="n">
        <v>8.800000000000001</v>
      </c>
      <c r="E908" s="188" t="inlineStr">
        <is>
          <t>HIGH</t>
        </is>
      </c>
      <c r="F908" s="188" t="n">
        <v>2</v>
      </c>
      <c r="G908" s="188" t="n">
        <v>3</v>
      </c>
      <c r="H908" s="188" t="inlineStr">
        <is>
          <t>HIGH</t>
        </is>
      </c>
      <c r="I908" s="188" t="n">
        <v>14.8</v>
      </c>
      <c r="J908" s="188" t="inlineStr">
        <is>
          <t>NO</t>
        </is>
      </c>
      <c r="K908" s="188" t="inlineStr">
        <is>
          <t>https://nvd.nist.gov/vuln/detail/CVE-2026-2883</t>
        </is>
      </c>
      <c r="L908" s="188" t="inlineStr">
        <is>
          <t>2026-02-26 00:15</t>
        </is>
      </c>
      <c r="M908" s="188" t="inlineStr">
        <is>
          <t>CHECK_VENDOR</t>
        </is>
      </c>
      <c r="N908" s="188" t="inlineStr">
        <is>
          <t>See NVD references</t>
        </is>
      </c>
      <c r="O908" s="188" t="inlineStr">
        <is>
          <t>Apply vendor patches</t>
        </is>
      </c>
      <c r="P908" s="188" t="inlineStr">
        <is>
          <t>dlink dwr-m960 b1 | dlink dwr-m960_firmware 1.01.07</t>
        </is>
      </c>
      <c r="Q908" s="188" t="inlineStr">
        <is>
          <t>P3</t>
        </is>
      </c>
      <c r="R908" s="188" t="inlineStr">
        <is>
          <t>🚨 URGENT: Apply vendor patches immediately | 🔒 Isolate affected systems if patch unavailable | 🛡️ Enable additional monitoring/IDS rules</t>
        </is>
      </c>
      <c r="S908" s="188" t="inlineStr">
        <is>
          <t>CVE - IP enrichment n/a</t>
        </is>
      </c>
      <c r="T908" s="188" t="n">
        <v>0</v>
      </c>
      <c r="U908" s="188" t="n">
        <v>0</v>
      </c>
      <c r="V908" s="188" t="inlineStr">
        <is>
          <t>T1203:Exploitation for Client Execution</t>
        </is>
      </c>
      <c r="W908" s="188" t="n">
        <v>1</v>
      </c>
      <c r="X908" s="188" t="inlineStr">
        <is>
          <t>LOW (40%)</t>
        </is>
      </c>
      <c r="Y908" s="188" t="inlineStr">
        <is>
          <t>UNLIKELY</t>
        </is>
      </c>
      <c r="Z908" s="188" t="inlineStr">
        <is>
          <t>CHECK_VENDOR</t>
        </is>
      </c>
      <c r="AA908" s="188" t="inlineStr">
        <is>
          <t>https://nvd.nist.gov/vuln/detail/CVE-2026-2883</t>
        </is>
      </c>
      <c r="AB908" s="188" t="inlineStr">
        <is>
          <t>NONE</t>
        </is>
      </c>
      <c r="AC908" s="188" t="n">
        <v>0</v>
      </c>
      <c r="AD908" s="188" t="inlineStr"/>
    </row>
    <row r="909">
      <c r="A909" s="188" t="inlineStr">
        <is>
          <t>CVE</t>
        </is>
      </c>
      <c r="B909" s="188" t="inlineStr">
        <is>
          <t>CVE-2026-2884</t>
        </is>
      </c>
      <c r="C909" s="188" t="inlineStr">
        <is>
          <t>A vulnerability was identified in D-Link DWR-M960 1.01.07. The affected element is the function sub_41914C of the file /boafrm/formWanConfigSetup of the component WAN Interface Setting Handler. The manipulation of the argument submit-url leads to stack-based buffer overflow. The attack is possible to be carried out remotely. The exploit is publicly available and might be used.</t>
        </is>
      </c>
      <c r="D909" s="188" t="n">
        <v>8.800000000000001</v>
      </c>
      <c r="E909" s="188" t="inlineStr">
        <is>
          <t>HIGH</t>
        </is>
      </c>
      <c r="F909" s="188" t="n">
        <v>2</v>
      </c>
      <c r="G909" s="188" t="n">
        <v>3</v>
      </c>
      <c r="H909" s="188" t="inlineStr">
        <is>
          <t>HIGH</t>
        </is>
      </c>
      <c r="I909" s="188" t="n">
        <v>14.8</v>
      </c>
      <c r="J909" s="188" t="inlineStr">
        <is>
          <t>NO</t>
        </is>
      </c>
      <c r="K909" s="188" t="inlineStr">
        <is>
          <t>https://nvd.nist.gov/vuln/detail/CVE-2026-2884</t>
        </is>
      </c>
      <c r="L909" s="188" t="inlineStr">
        <is>
          <t>2026-02-26 00:15</t>
        </is>
      </c>
      <c r="M909" s="188" t="inlineStr">
        <is>
          <t>CHECK_VENDOR</t>
        </is>
      </c>
      <c r="N909" s="188" t="inlineStr">
        <is>
          <t>See NVD references</t>
        </is>
      </c>
      <c r="O909" s="188" t="inlineStr">
        <is>
          <t>Apply vendor patches</t>
        </is>
      </c>
      <c r="P909" s="188" t="inlineStr">
        <is>
          <t>dlink dwr-m960 b1 | dlink dwr-m960_firmware 1.01.07</t>
        </is>
      </c>
      <c r="Q909" s="188" t="inlineStr">
        <is>
          <t>P3</t>
        </is>
      </c>
      <c r="R909" s="188" t="inlineStr">
        <is>
          <t>🚨 URGENT: Apply vendor patches immediately | 🔒 Isolate affected systems if patch unavailable | 🛡️ Enable additional monitoring/IDS rules</t>
        </is>
      </c>
      <c r="S909" s="188" t="inlineStr">
        <is>
          <t>CVE - IP enrichment n/a</t>
        </is>
      </c>
      <c r="T909" s="188" t="n">
        <v>0</v>
      </c>
      <c r="U909" s="188" t="n">
        <v>0</v>
      </c>
      <c r="V909" s="188" t="inlineStr">
        <is>
          <t>T1203:Exploitation for Client Execution</t>
        </is>
      </c>
      <c r="W909" s="188" t="n">
        <v>1</v>
      </c>
      <c r="X909" s="188" t="inlineStr">
        <is>
          <t>LOW (40%)</t>
        </is>
      </c>
      <c r="Y909" s="188" t="inlineStr">
        <is>
          <t>UNLIKELY</t>
        </is>
      </c>
      <c r="Z909" s="188" t="inlineStr">
        <is>
          <t>CHECK_VENDOR</t>
        </is>
      </c>
      <c r="AA909" s="188" t="inlineStr">
        <is>
          <t>https://nvd.nist.gov/vuln/detail/CVE-2026-2884</t>
        </is>
      </c>
      <c r="AB909" s="188" t="inlineStr">
        <is>
          <t>NONE</t>
        </is>
      </c>
      <c r="AC909" s="188" t="n">
        <v>0</v>
      </c>
      <c r="AD909" s="188" t="inlineStr"/>
    </row>
    <row r="910">
      <c r="A910" s="188" t="inlineStr">
        <is>
          <t>CVE</t>
        </is>
      </c>
      <c r="B910" s="188" t="inlineStr">
        <is>
          <t>CVE-2026-2885</t>
        </is>
      </c>
      <c r="C910" s="188" t="inlineStr">
        <is>
          <t>A security flaw has been discovered in D-Link DWR-M960 1.01.07. The impacted element is the function sub_469104 of the file /boafrm/formIpv6Setup. The manipulation of the argument submit-url results in stack-based buffer overflow. The attack may be performed from remote. The exploit has been released to the public and may be used for attacks.</t>
        </is>
      </c>
      <c r="D910" s="188" t="n">
        <v>8.800000000000001</v>
      </c>
      <c r="E910" s="188" t="inlineStr">
        <is>
          <t>HIGH</t>
        </is>
      </c>
      <c r="F910" s="188" t="n">
        <v>2</v>
      </c>
      <c r="G910" s="188" t="n">
        <v>3</v>
      </c>
      <c r="H910" s="188" t="inlineStr">
        <is>
          <t>HIGH</t>
        </is>
      </c>
      <c r="I910" s="188" t="n">
        <v>14.8</v>
      </c>
      <c r="J910" s="188" t="inlineStr">
        <is>
          <t>NO</t>
        </is>
      </c>
      <c r="K910" s="188" t="inlineStr">
        <is>
          <t>https://nvd.nist.gov/vuln/detail/CVE-2026-2885</t>
        </is>
      </c>
      <c r="L910" s="188" t="inlineStr">
        <is>
          <t>2026-02-26 00:15</t>
        </is>
      </c>
      <c r="M910" s="188" t="inlineStr">
        <is>
          <t>CHECK_VENDOR</t>
        </is>
      </c>
      <c r="N910" s="188" t="inlineStr">
        <is>
          <t>See NVD references</t>
        </is>
      </c>
      <c r="O910" s="188" t="inlineStr">
        <is>
          <t>Apply vendor patches</t>
        </is>
      </c>
      <c r="P910" s="188" t="inlineStr">
        <is>
          <t>dlink dwr-m960 b1 | dlink dwr-m960_firmware 1.01.07</t>
        </is>
      </c>
      <c r="Q910" s="188" t="inlineStr">
        <is>
          <t>P3</t>
        </is>
      </c>
      <c r="R910" s="188" t="inlineStr">
        <is>
          <t>🚨 URGENT: Apply vendor patches immediately | 🔒 Isolate affected systems if patch unavailable | 🛡️ Enable additional monitoring/IDS rules</t>
        </is>
      </c>
      <c r="S910" s="188" t="inlineStr">
        <is>
          <t>CVE - IP enrichment n/a</t>
        </is>
      </c>
      <c r="T910" s="188" t="n">
        <v>0</v>
      </c>
      <c r="U910" s="188" t="n">
        <v>0</v>
      </c>
      <c r="V910" s="188" t="inlineStr">
        <is>
          <t>T1203:Exploitation for Client Execution</t>
        </is>
      </c>
      <c r="W910" s="188" t="n">
        <v>1</v>
      </c>
      <c r="X910" s="188" t="inlineStr">
        <is>
          <t>LOW (40%)</t>
        </is>
      </c>
      <c r="Y910" s="188" t="inlineStr">
        <is>
          <t>UNLIKELY</t>
        </is>
      </c>
      <c r="Z910" s="188" t="inlineStr">
        <is>
          <t>CHECK_VENDOR</t>
        </is>
      </c>
      <c r="AA910" s="188" t="inlineStr">
        <is>
          <t>https://nvd.nist.gov/vuln/detail/CVE-2026-2885</t>
        </is>
      </c>
      <c r="AB910" s="188" t="inlineStr">
        <is>
          <t>NONE</t>
        </is>
      </c>
      <c r="AC910" s="188" t="n">
        <v>0</v>
      </c>
      <c r="AD910" s="188" t="inlineStr"/>
    </row>
    <row r="911">
      <c r="A911" s="188" t="inlineStr">
        <is>
          <t>CVE</t>
        </is>
      </c>
      <c r="B911" s="188" t="inlineStr">
        <is>
          <t>CVE-2026-2886</t>
        </is>
      </c>
      <c r="C911" s="188" t="inlineStr">
        <is>
          <t>A weakness has been identified in Tenda A21 1.0.0.0. This affects the function set_device_name of the file /goform/SetOnlineDevName. This manipulation of the argument devName causes stack-based buffer overflow. It is possible to initiate the attack remotely. The exploit has been made available to the public and could be used for attacks.</t>
        </is>
      </c>
      <c r="D911" s="188" t="n">
        <v>8.800000000000001</v>
      </c>
      <c r="E911" s="188" t="inlineStr">
        <is>
          <t>HIGH</t>
        </is>
      </c>
      <c r="F911" s="188" t="n">
        <v>2</v>
      </c>
      <c r="G911" s="188" t="n">
        <v>3</v>
      </c>
      <c r="H911" s="188" t="inlineStr">
        <is>
          <t>HIGH</t>
        </is>
      </c>
      <c r="I911" s="188" t="n">
        <v>14.8</v>
      </c>
      <c r="J911" s="188" t="inlineStr">
        <is>
          <t>NO</t>
        </is>
      </c>
      <c r="K911" s="188" t="inlineStr">
        <is>
          <t>https://nvd.nist.gov/vuln/detail/CVE-2026-2886</t>
        </is>
      </c>
      <c r="L911" s="188" t="inlineStr">
        <is>
          <t>2026-02-26 00:15</t>
        </is>
      </c>
      <c r="M911" s="188" t="inlineStr">
        <is>
          <t>YES</t>
        </is>
      </c>
      <c r="N911" s="188" t="inlineStr">
        <is>
          <t>https://github.com/QIU-DIE/cve-nneeww/issues/6</t>
        </is>
      </c>
      <c r="O911" s="188" t="inlineStr">
        <is>
          <t>https://github.com/QIU-DIE/cve-nneeww/issues/6</t>
        </is>
      </c>
      <c r="P911" s="188" t="inlineStr">
        <is>
          <t>tenda a21_firmware 1.0.0.0 | tenda a21 -</t>
        </is>
      </c>
      <c r="Q911" s="188" t="inlineStr">
        <is>
          <t>P3</t>
        </is>
      </c>
      <c r="R911" s="188" t="inlineStr">
        <is>
          <t>🚨 URGENT: Apply vendor patches immediately | 🔒 Isolate affected systems if patch unavailable | 🛡️ Enable additional monitoring/IDS rules</t>
        </is>
      </c>
      <c r="S911" s="188" t="inlineStr">
        <is>
          <t>CVE - IP enrichment n/a</t>
        </is>
      </c>
      <c r="T911" s="188" t="n">
        <v>0.0008</v>
      </c>
      <c r="U911" s="188" t="n">
        <v>0.2368</v>
      </c>
      <c r="V911" s="188" t="inlineStr">
        <is>
          <t>T1203:Exploitation for Client Execution</t>
        </is>
      </c>
      <c r="W911" s="188" t="n">
        <v>1</v>
      </c>
      <c r="X911" s="188" t="inlineStr">
        <is>
          <t>LOW (40%)</t>
        </is>
      </c>
      <c r="Y911" s="188" t="inlineStr">
        <is>
          <t>UNLIKELY</t>
        </is>
      </c>
      <c r="Z911" s="188" t="inlineStr">
        <is>
          <t>PATCH_AVAILABLE</t>
        </is>
      </c>
      <c r="AA911" s="188" t="inlineStr">
        <is>
          <t>https://nvd.nist.gov/vuln/detail/CVE-2026-2886</t>
        </is>
      </c>
      <c r="AB911" s="188" t="inlineStr">
        <is>
          <t>NONE</t>
        </is>
      </c>
      <c r="AC911" s="188" t="n">
        <v>0</v>
      </c>
      <c r="AD911" s="188" t="inlineStr"/>
    </row>
    <row r="912">
      <c r="A912" s="190" t="inlineStr">
        <is>
          <t>CVE</t>
        </is>
      </c>
      <c r="B912" s="190" t="inlineStr">
        <is>
          <t>CVE-2026-2887</t>
        </is>
      </c>
      <c r="C912" s="190" t="inlineStr">
        <is>
          <t>A security vulnerability has been detected in aardappel lobster up to 2025.4. This impacts the function lobster::TypeName in the library dev/src/lobster/idents.h. Such manipulation leads to uncontrolled recursion. The attack can only be performed from a local environment. The exploit has been disclosed publicly and may be used. Upgrading to version 2026.1 will fix this issue. The name of the patch is 8ba49f98ccfc9734ef352146806433a41d9f9aa6. It is advisable to upgrade the affected component.</t>
        </is>
      </c>
      <c r="D912" s="190" t="n">
        <v>3.3</v>
      </c>
      <c r="E912" s="190" t="inlineStr">
        <is>
          <t>LOW</t>
        </is>
      </c>
      <c r="F912" s="190" t="n">
        <v>2</v>
      </c>
      <c r="G912" s="190" t="n">
        <v>1</v>
      </c>
      <c r="H912" s="190" t="inlineStr">
        <is>
          <t>LOW</t>
        </is>
      </c>
      <c r="I912" s="190" t="n">
        <v>5.3</v>
      </c>
      <c r="J912" s="190" t="inlineStr">
        <is>
          <t>NO</t>
        </is>
      </c>
      <c r="K912" s="190" t="inlineStr">
        <is>
          <t>https://nvd.nist.gov/vuln/detail/CVE-2026-2887</t>
        </is>
      </c>
      <c r="L912" s="190" t="inlineStr">
        <is>
          <t>2026-02-26 00:15</t>
        </is>
      </c>
      <c r="M912" s="190" t="inlineStr">
        <is>
          <t>CHECK_VENDOR</t>
        </is>
      </c>
      <c r="N912" s="190" t="inlineStr">
        <is>
          <t>See NVD references</t>
        </is>
      </c>
      <c r="O912" s="190" t="inlineStr">
        <is>
          <t>Apply vendor patches</t>
        </is>
      </c>
      <c r="P912" s="190" t="inlineStr">
        <is>
          <t>See CVE details</t>
        </is>
      </c>
      <c r="Q912" s="190" t="inlineStr">
        <is>
          <t>P4</t>
        </is>
      </c>
      <c r="R912" s="190" t="inlineStr">
        <is>
          <t>📅 Schedule patch deployment within 30 days | 🔍 Monitor for exploitation attempts</t>
        </is>
      </c>
      <c r="S912" s="190" t="inlineStr">
        <is>
          <t>CVE - IP enrichment n/a</t>
        </is>
      </c>
      <c r="T912" s="190" t="n">
        <v>0</v>
      </c>
      <c r="U912" s="190" t="n">
        <v>0</v>
      </c>
      <c r="V912" s="190" t="inlineStr">
        <is>
          <t>T1190:Exploit Public-Facing Application</t>
        </is>
      </c>
      <c r="W912" s="190" t="n">
        <v>1</v>
      </c>
      <c r="X912" s="190" t="inlineStr">
        <is>
          <t>LOW (40%)</t>
        </is>
      </c>
      <c r="Y912" s="190" t="inlineStr">
        <is>
          <t>UNLIKELY</t>
        </is>
      </c>
      <c r="Z912" s="190" t="inlineStr">
        <is>
          <t>CHECK_VENDOR</t>
        </is>
      </c>
      <c r="AA912" s="190" t="inlineStr">
        <is>
          <t>https://nvd.nist.gov/vuln/detail/CVE-2026-2887</t>
        </is>
      </c>
      <c r="AB912" s="190" t="inlineStr">
        <is>
          <t>NONE</t>
        </is>
      </c>
      <c r="AC912" s="190" t="n">
        <v>0</v>
      </c>
      <c r="AD912" s="190" t="inlineStr"/>
    </row>
    <row r="913">
      <c r="A913" s="190" t="inlineStr">
        <is>
          <t>CVE</t>
        </is>
      </c>
      <c r="B913" s="190" t="inlineStr">
        <is>
          <t>CVE-2026-2889</t>
        </is>
      </c>
      <c r="C913" s="190" t="inlineStr">
        <is>
          <t>A vulnerability was detected in CCExtractor up to 0.96.5. Affected is the function processmp4 in the library src/lib_ccx/mp4.c. Performing a manipulation results in use after free. The attack is only possible with local access. The exploit is now public and may be used. Upgrading to version 0.96.6 is able to address this issue. The patch is named fd7271bae238ccb3ae8a71304ea64f0886324925. You should upgrade the affected component.</t>
        </is>
      </c>
      <c r="D913" s="190" t="n">
        <v>3.3</v>
      </c>
      <c r="E913" s="190" t="inlineStr">
        <is>
          <t>LOW</t>
        </is>
      </c>
      <c r="F913" s="190" t="n">
        <v>2</v>
      </c>
      <c r="G913" s="190" t="n">
        <v>1</v>
      </c>
      <c r="H913" s="190" t="inlineStr">
        <is>
          <t>LOW</t>
        </is>
      </c>
      <c r="I913" s="190" t="n">
        <v>5.3</v>
      </c>
      <c r="J913" s="190" t="inlineStr">
        <is>
          <t>NO</t>
        </is>
      </c>
      <c r="K913" s="190" t="inlineStr">
        <is>
          <t>https://nvd.nist.gov/vuln/detail/CVE-2026-2889</t>
        </is>
      </c>
      <c r="L913" s="190" t="inlineStr">
        <is>
          <t>2026-02-26 00:15</t>
        </is>
      </c>
      <c r="M913" s="190" t="inlineStr">
        <is>
          <t>CHECK_VENDOR</t>
        </is>
      </c>
      <c r="N913" s="190" t="inlineStr">
        <is>
          <t>See NVD references</t>
        </is>
      </c>
      <c r="O913" s="190" t="inlineStr">
        <is>
          <t>Apply vendor patches</t>
        </is>
      </c>
      <c r="P913" s="190" t="inlineStr">
        <is>
          <t>See CVE details</t>
        </is>
      </c>
      <c r="Q913" s="190" t="inlineStr">
        <is>
          <t>P4</t>
        </is>
      </c>
      <c r="R913" s="190" t="inlineStr">
        <is>
          <t>📅 Schedule patch deployment within 30 days | 🔍 Monitor for exploitation attempts</t>
        </is>
      </c>
      <c r="S913" s="190" t="inlineStr">
        <is>
          <t>CVE - IP enrichment n/a</t>
        </is>
      </c>
      <c r="T913" s="190" t="n">
        <v>0</v>
      </c>
      <c r="U913" s="190" t="n">
        <v>0</v>
      </c>
      <c r="V913" s="190" t="inlineStr">
        <is>
          <t>T1203:Exploitation for Client Execution</t>
        </is>
      </c>
      <c r="W913" s="190" t="n">
        <v>1</v>
      </c>
      <c r="X913" s="190" t="inlineStr">
        <is>
          <t>LOW (40%)</t>
        </is>
      </c>
      <c r="Y913" s="190" t="inlineStr">
        <is>
          <t>UNLIKELY</t>
        </is>
      </c>
      <c r="Z913" s="190" t="inlineStr">
        <is>
          <t>CHECK_VENDOR</t>
        </is>
      </c>
      <c r="AA913" s="190" t="inlineStr">
        <is>
          <t>https://nvd.nist.gov/vuln/detail/CVE-2026-2889</t>
        </is>
      </c>
      <c r="AB913" s="190" t="inlineStr">
        <is>
          <t>NONE</t>
        </is>
      </c>
      <c r="AC913" s="190" t="n">
        <v>0</v>
      </c>
      <c r="AD913" s="190" t="inlineStr"/>
    </row>
    <row r="914">
      <c r="A914" s="187" t="inlineStr">
        <is>
          <t>CVE</t>
        </is>
      </c>
      <c r="B914" s="187" t="inlineStr">
        <is>
          <t>CVE-2026-2894</t>
        </is>
      </c>
      <c r="C914" s="187" t="inlineStr">
        <is>
          <t>A vulnerability was identified in funadmin up to 7.1.0-rc4. Affected by this vulnerability is the function getMember of the file app/frontend/view/login/forget.html. Such manipulation leads to information disclosure. The attack may be launched remotely. The exploit is publicly available and might be used. The vendor was contacted early about this disclosure but did not respond in any way.</t>
        </is>
      </c>
      <c r="D914" s="187" t="n">
        <v>5.3</v>
      </c>
      <c r="E914" s="187" t="inlineStr">
        <is>
          <t>MEDIUM</t>
        </is>
      </c>
      <c r="F914" s="187" t="n">
        <v>2</v>
      </c>
      <c r="G914" s="187" t="n">
        <v>2</v>
      </c>
      <c r="H914" s="187" t="inlineStr">
        <is>
          <t>MEDIUM</t>
        </is>
      </c>
      <c r="I914" s="187" t="n">
        <v>9.300000000000001</v>
      </c>
      <c r="J914" s="187" t="inlineStr">
        <is>
          <t>NO</t>
        </is>
      </c>
      <c r="K914" s="187" t="inlineStr">
        <is>
          <t>https://nvd.nist.gov/vuln/detail/CVE-2026-2894</t>
        </is>
      </c>
      <c r="L914" s="187" t="inlineStr">
        <is>
          <t>2026-02-26 00:15</t>
        </is>
      </c>
      <c r="M914" s="187" t="inlineStr">
        <is>
          <t>CHECK_VENDOR</t>
        </is>
      </c>
      <c r="N914" s="187" t="inlineStr">
        <is>
          <t>See NVD references</t>
        </is>
      </c>
      <c r="O914" s="187" t="inlineStr">
        <is>
          <t>Apply vendor patches</t>
        </is>
      </c>
      <c r="P914" s="187" t="inlineStr">
        <is>
          <t>funadmin funadmin * | funadmin funadmin 7.1.0</t>
        </is>
      </c>
      <c r="Q914" s="187" t="inlineStr">
        <is>
          <t>P4</t>
        </is>
      </c>
      <c r="R914" s="187" t="inlineStr">
        <is>
          <t>📅 Schedule patch deployment within 30 days | 🔍 Monitor for exploitation attempts</t>
        </is>
      </c>
      <c r="S914" s="187" t="inlineStr">
        <is>
          <t>CVE - IP enrichment n/a</t>
        </is>
      </c>
      <c r="T914" s="187" t="n">
        <v>0</v>
      </c>
      <c r="U914" s="187" t="n">
        <v>0</v>
      </c>
      <c r="V914" s="187" t="inlineStr">
        <is>
          <t>T1213:Data from Information Repositories</t>
        </is>
      </c>
      <c r="W914" s="187" t="n">
        <v>1</v>
      </c>
      <c r="X914" s="187" t="inlineStr">
        <is>
          <t>LOW (40%)</t>
        </is>
      </c>
      <c r="Y914" s="187" t="inlineStr">
        <is>
          <t>UNLIKELY</t>
        </is>
      </c>
      <c r="Z914" s="187" t="inlineStr">
        <is>
          <t>CHECK_VENDOR</t>
        </is>
      </c>
      <c r="AA914" s="187" t="inlineStr">
        <is>
          <t>https://nvd.nist.gov/vuln/detail/CVE-2026-2894</t>
        </is>
      </c>
      <c r="AB914" s="187" t="inlineStr">
        <is>
          <t>NONE</t>
        </is>
      </c>
      <c r="AC914" s="187" t="n">
        <v>0</v>
      </c>
      <c r="AD914" s="187" t="inlineStr"/>
    </row>
    <row r="915">
      <c r="A915" s="190" t="inlineStr">
        <is>
          <t>CVE</t>
        </is>
      </c>
      <c r="B915" s="190" t="inlineStr">
        <is>
          <t>CVE-2026-2895</t>
        </is>
      </c>
      <c r="C915" s="190" t="inlineStr">
        <is>
          <t>A security flaw has been discovered in funadmin up to 7.1.0-rc4. Affected by this issue is the function repass of the file app/frontend/controller/Member.php. Performing a manipulation of the argument forget_code/vercode results in weak password recovery. Remote exploitation of the attack is possible. The attack's complexity is rated as high. The exploitation is known to be difficult. The exploit has been released to the public and may be used for attacks. The vendor was contacted early about th</t>
        </is>
      </c>
      <c r="D915" s="190" t="n">
        <v>3.7</v>
      </c>
      <c r="E915" s="190" t="inlineStr">
        <is>
          <t>LOW</t>
        </is>
      </c>
      <c r="F915" s="190" t="n">
        <v>2</v>
      </c>
      <c r="G915" s="190" t="n">
        <v>1</v>
      </c>
      <c r="H915" s="190" t="inlineStr">
        <is>
          <t>LOW</t>
        </is>
      </c>
      <c r="I915" s="190" t="n">
        <v>5.7</v>
      </c>
      <c r="J915" s="190" t="inlineStr">
        <is>
          <t>NO</t>
        </is>
      </c>
      <c r="K915" s="190" t="inlineStr">
        <is>
          <t>https://nvd.nist.gov/vuln/detail/CVE-2026-2895</t>
        </is>
      </c>
      <c r="L915" s="190" t="inlineStr">
        <is>
          <t>2026-02-26 00:15</t>
        </is>
      </c>
      <c r="M915" s="190" t="inlineStr">
        <is>
          <t>CHECK_VENDOR</t>
        </is>
      </c>
      <c r="N915" s="190" t="inlineStr">
        <is>
          <t>See NVD references</t>
        </is>
      </c>
      <c r="O915" s="190" t="inlineStr">
        <is>
          <t>Apply vendor patches</t>
        </is>
      </c>
      <c r="P915" s="190" t="inlineStr">
        <is>
          <t>funadmin funadmin * | funadmin funadmin 7.1.0</t>
        </is>
      </c>
      <c r="Q915" s="190" t="inlineStr">
        <is>
          <t>P4</t>
        </is>
      </c>
      <c r="R915" s="190" t="inlineStr">
        <is>
          <t>📅 Schedule patch deployment within 30 days | 🔍 Monitor for exploitation attempts</t>
        </is>
      </c>
      <c r="S915" s="190" t="inlineStr">
        <is>
          <t>CVE - IP enrichment n/a</t>
        </is>
      </c>
      <c r="T915" s="190" t="n">
        <v>0.0007</v>
      </c>
      <c r="U915" s="190" t="n">
        <v>0.2233</v>
      </c>
      <c r="V915" s="190" t="inlineStr">
        <is>
          <t>T1190:Exploit Public-Facing Application</t>
        </is>
      </c>
      <c r="W915" s="190" t="n">
        <v>1</v>
      </c>
      <c r="X915" s="190" t="inlineStr">
        <is>
          <t>LOW (40%)</t>
        </is>
      </c>
      <c r="Y915" s="190" t="inlineStr">
        <is>
          <t>UNLIKELY</t>
        </is>
      </c>
      <c r="Z915" s="190" t="inlineStr">
        <is>
          <t>CHECK_VENDOR</t>
        </is>
      </c>
      <c r="AA915" s="190" t="inlineStr">
        <is>
          <t>https://nvd.nist.gov/vuln/detail/CVE-2026-2895</t>
        </is>
      </c>
      <c r="AB915" s="190" t="inlineStr">
        <is>
          <t>NONE</t>
        </is>
      </c>
      <c r="AC915" s="190" t="n">
        <v>0</v>
      </c>
      <c r="AD915" s="190" t="inlineStr"/>
    </row>
    <row r="916">
      <c r="A916" s="188" t="inlineStr">
        <is>
          <t>CVE</t>
        </is>
      </c>
      <c r="B916" s="188" t="inlineStr">
        <is>
          <t>CVE-2026-2896</t>
        </is>
      </c>
      <c r="C916" s="188" t="inlineStr">
        <is>
          <t>A weakness has been identified in funadmin up to 7.1.0-rc4. This affects the function setConfig of the file app/backend/controller/Ajax.php of the component Configuration Handler. Executing a manipulation can lead to improper authorization. The attack can be executed remotely. The exploit has been made available to the public and could be used for attacks. The vendor was contacted early about this disclosure but did not respond in any way.</t>
        </is>
      </c>
      <c r="D916" s="188" t="n">
        <v>7.3</v>
      </c>
      <c r="E916" s="188" t="inlineStr">
        <is>
          <t>HIGH</t>
        </is>
      </c>
      <c r="F916" s="188" t="n">
        <v>2</v>
      </c>
      <c r="G916" s="188" t="n">
        <v>3</v>
      </c>
      <c r="H916" s="188" t="inlineStr">
        <is>
          <t>HIGH</t>
        </is>
      </c>
      <c r="I916" s="188" t="n">
        <v>13.3</v>
      </c>
      <c r="J916" s="188" t="inlineStr">
        <is>
          <t>NO</t>
        </is>
      </c>
      <c r="K916" s="188" t="inlineStr">
        <is>
          <t>https://nvd.nist.gov/vuln/detail/CVE-2026-2896</t>
        </is>
      </c>
      <c r="L916" s="188" t="inlineStr">
        <is>
          <t>2026-02-26 00:15</t>
        </is>
      </c>
      <c r="M916" s="188" t="inlineStr">
        <is>
          <t>CHECK_VENDOR</t>
        </is>
      </c>
      <c r="N916" s="188" t="inlineStr">
        <is>
          <t>See NVD references</t>
        </is>
      </c>
      <c r="O916" s="188" t="inlineStr">
        <is>
          <t>Apply vendor patches</t>
        </is>
      </c>
      <c r="P916" s="188" t="inlineStr">
        <is>
          <t>funadmin funadmin * | funadmin funadmin 7.1.0</t>
        </is>
      </c>
      <c r="Q916" s="188" t="inlineStr">
        <is>
          <t>P3</t>
        </is>
      </c>
      <c r="R916" s="188" t="inlineStr">
        <is>
          <t>🚨 URGENT: Apply vendor patches immediately | 🔒 Isolate affected systems if patch unavailable | 🛡️ Enable additional monitoring/IDS rules</t>
        </is>
      </c>
      <c r="S916" s="188" t="inlineStr">
        <is>
          <t>CVE - IP enrichment n/a</t>
        </is>
      </c>
      <c r="T916" s="188" t="n">
        <v>0</v>
      </c>
      <c r="U916" s="188" t="n">
        <v>0</v>
      </c>
      <c r="V916" s="188" t="inlineStr">
        <is>
          <t>T1190:Exploit Public-Facing Application</t>
        </is>
      </c>
      <c r="W916" s="188" t="n">
        <v>1</v>
      </c>
      <c r="X916" s="188" t="inlineStr">
        <is>
          <t>LOW (40%)</t>
        </is>
      </c>
      <c r="Y916" s="188" t="inlineStr">
        <is>
          <t>UNLIKELY</t>
        </is>
      </c>
      <c r="Z916" s="188" t="inlineStr">
        <is>
          <t>CHECK_VENDOR</t>
        </is>
      </c>
      <c r="AA916" s="188" t="inlineStr">
        <is>
          <t>https://nvd.nist.gov/vuln/detail/CVE-2026-2896</t>
        </is>
      </c>
      <c r="AB916" s="188" t="inlineStr">
        <is>
          <t>NONE</t>
        </is>
      </c>
      <c r="AC916" s="188" t="n">
        <v>0</v>
      </c>
      <c r="AD916" s="188" t="inlineStr"/>
    </row>
    <row r="917">
      <c r="A917" s="190" t="inlineStr">
        <is>
          <t>CVE</t>
        </is>
      </c>
      <c r="B917" s="190" t="inlineStr">
        <is>
          <t>CVE-2026-2897</t>
        </is>
      </c>
      <c r="C917" s="190" t="inlineStr">
        <is>
          <t>A security vulnerability has been detected in funadmin up to 7.1.0-rc4. This vulnerability affects unknown code of the file app/backend/view/index/index.html of the component Backend Interface. The manipulation of the argument Value leads to cross site scripting. The attack is possible to be carried out remotely. The exploit has been disclosed publicly and may be used. The vendor was contacted early about this disclosure but did not respond in any way.</t>
        </is>
      </c>
      <c r="D917" s="190" t="n">
        <v>2.4</v>
      </c>
      <c r="E917" s="190" t="inlineStr">
        <is>
          <t>LOW</t>
        </is>
      </c>
      <c r="F917" s="190" t="n">
        <v>2</v>
      </c>
      <c r="G917" s="190" t="n">
        <v>1</v>
      </c>
      <c r="H917" s="190" t="inlineStr">
        <is>
          <t>LOW</t>
        </is>
      </c>
      <c r="I917" s="190" t="n">
        <v>4.4</v>
      </c>
      <c r="J917" s="190" t="inlineStr">
        <is>
          <t>NO</t>
        </is>
      </c>
      <c r="K917" s="190" t="inlineStr">
        <is>
          <t>https://nvd.nist.gov/vuln/detail/CVE-2026-2897</t>
        </is>
      </c>
      <c r="L917" s="190" t="inlineStr">
        <is>
          <t>2026-02-26 00:15</t>
        </is>
      </c>
      <c r="M917" s="190" t="inlineStr">
        <is>
          <t>CHECK_VENDOR</t>
        </is>
      </c>
      <c r="N917" s="190" t="inlineStr">
        <is>
          <t>See NVD references</t>
        </is>
      </c>
      <c r="O917" s="190" t="inlineStr">
        <is>
          <t>Apply vendor patches</t>
        </is>
      </c>
      <c r="P917" s="190" t="inlineStr">
        <is>
          <t>funadmin funadmin * | funadmin funadmin 7.1.0</t>
        </is>
      </c>
      <c r="Q917" s="190" t="inlineStr">
        <is>
          <t>P4</t>
        </is>
      </c>
      <c r="R917" s="190" t="inlineStr">
        <is>
          <t>📅 Schedule patch deployment within 30 days | 🔍 Monitor for exploitation attempts</t>
        </is>
      </c>
      <c r="S917" s="190" t="inlineStr">
        <is>
          <t>CVE - IP enrichment n/a</t>
        </is>
      </c>
      <c r="T917" s="190" t="n">
        <v>0</v>
      </c>
      <c r="U917" s="190" t="n">
        <v>0</v>
      </c>
      <c r="V917" s="190" t="inlineStr">
        <is>
          <t>T1189:Drive-by Compromise</t>
        </is>
      </c>
      <c r="W917" s="190" t="n">
        <v>1</v>
      </c>
      <c r="X917" s="190" t="inlineStr">
        <is>
          <t>LOW (40%)</t>
        </is>
      </c>
      <c r="Y917" s="190" t="inlineStr">
        <is>
          <t>UNLIKELY</t>
        </is>
      </c>
      <c r="Z917" s="190" t="inlineStr">
        <is>
          <t>CHECK_VENDOR</t>
        </is>
      </c>
      <c r="AA917" s="190" t="inlineStr">
        <is>
          <t>https://nvd.nist.gov/vuln/detail/CVE-2026-2897</t>
        </is>
      </c>
      <c r="AB917" s="190" t="inlineStr">
        <is>
          <t>NONE</t>
        </is>
      </c>
      <c r="AC917" s="190" t="n">
        <v>0</v>
      </c>
      <c r="AD917" s="190" t="inlineStr"/>
    </row>
    <row r="918">
      <c r="A918" s="187" t="inlineStr">
        <is>
          <t>CVE</t>
        </is>
      </c>
      <c r="B918" s="187" t="inlineStr">
        <is>
          <t>CVE-2026-2898</t>
        </is>
      </c>
      <c r="C918" s="187" t="inlineStr">
        <is>
          <t>A vulnerability was detected in funadmin up to 7.1.0-rc4. This issue affects the function getMember of the file app/common/service/AuthCloudService.php of the component Backend Endpoint. The manipulation of the argument cloud_account results in deserialization. The attack may be performed from remote. The exploit is now public and may be used. The vendor was contacted early about this disclosure but did not respond in any way.</t>
        </is>
      </c>
      <c r="D918" s="187" t="n">
        <v>5.5</v>
      </c>
      <c r="E918" s="187" t="inlineStr">
        <is>
          <t>MEDIUM</t>
        </is>
      </c>
      <c r="F918" s="187" t="n">
        <v>2</v>
      </c>
      <c r="G918" s="187" t="n">
        <v>2</v>
      </c>
      <c r="H918" s="187" t="inlineStr">
        <is>
          <t>MEDIUM</t>
        </is>
      </c>
      <c r="I918" s="187" t="n">
        <v>9.5</v>
      </c>
      <c r="J918" s="187" t="inlineStr">
        <is>
          <t>NO</t>
        </is>
      </c>
      <c r="K918" s="187" t="inlineStr">
        <is>
          <t>https://nvd.nist.gov/vuln/detail/CVE-2026-2898</t>
        </is>
      </c>
      <c r="L918" s="187" t="inlineStr">
        <is>
          <t>2026-02-26 00:15</t>
        </is>
      </c>
      <c r="M918" s="187" t="inlineStr">
        <is>
          <t>CHECK_VENDOR</t>
        </is>
      </c>
      <c r="N918" s="187" t="inlineStr">
        <is>
          <t>See NVD references</t>
        </is>
      </c>
      <c r="O918" s="187" t="inlineStr">
        <is>
          <t>Apply vendor patches</t>
        </is>
      </c>
      <c r="P918" s="187" t="inlineStr">
        <is>
          <t>funadmin funadmin * | funadmin funadmin 7.1.0</t>
        </is>
      </c>
      <c r="Q918" s="187" t="inlineStr">
        <is>
          <t>P4</t>
        </is>
      </c>
      <c r="R918" s="187" t="inlineStr">
        <is>
          <t>📅 Schedule patch deployment within 30 days | 🔍 Monitor for exploitation attempts</t>
        </is>
      </c>
      <c r="S918" s="187" t="inlineStr">
        <is>
          <t>CVE - IP enrichment n/a</t>
        </is>
      </c>
      <c r="T918" s="187" t="n">
        <v>0</v>
      </c>
      <c r="U918" s="187" t="n">
        <v>0</v>
      </c>
      <c r="V918" s="187" t="inlineStr">
        <is>
          <t>T1059:Command and Scripting Interpreter</t>
        </is>
      </c>
      <c r="W918" s="187" t="n">
        <v>1</v>
      </c>
      <c r="X918" s="187" t="inlineStr">
        <is>
          <t>LOW (40%)</t>
        </is>
      </c>
      <c r="Y918" s="187" t="inlineStr">
        <is>
          <t>UNLIKELY</t>
        </is>
      </c>
      <c r="Z918" s="187" t="inlineStr">
        <is>
          <t>CHECK_VENDOR</t>
        </is>
      </c>
      <c r="AA918" s="187" t="inlineStr">
        <is>
          <t>https://nvd.nist.gov/vuln/detail/CVE-2026-2898</t>
        </is>
      </c>
      <c r="AB918" s="187" t="inlineStr">
        <is>
          <t>NONE</t>
        </is>
      </c>
      <c r="AC918" s="187" t="n">
        <v>0</v>
      </c>
      <c r="AD918" s="187" t="inlineStr"/>
    </row>
    <row r="919">
      <c r="A919" s="190" t="inlineStr">
        <is>
          <t>CVE</t>
        </is>
      </c>
      <c r="B919" s="190" t="inlineStr">
        <is>
          <t>CVE-2026-2903</t>
        </is>
      </c>
      <c r="C919" s="190" t="inlineStr">
        <is>
          <t>A flaw has been found in skvadrik re2c up to 4.4. Impacted is the function check_and_merge_special_rules of the file src/parse/ast.cc. This manipulation causes null pointer dereference. The attack can only be executed locally. The exploit has been published and may be used. Patch name: febeb977936f9519a25d9fbd10ff8256358cdb97. It is suggested to install a patch to address this issue.</t>
        </is>
      </c>
      <c r="D919" s="190" t="n">
        <v>3.3</v>
      </c>
      <c r="E919" s="190" t="inlineStr">
        <is>
          <t>LOW</t>
        </is>
      </c>
      <c r="F919" s="190" t="n">
        <v>2</v>
      </c>
      <c r="G919" s="190" t="n">
        <v>1</v>
      </c>
      <c r="H919" s="190" t="inlineStr">
        <is>
          <t>LOW</t>
        </is>
      </c>
      <c r="I919" s="190" t="n">
        <v>5.3</v>
      </c>
      <c r="J919" s="190" t="inlineStr">
        <is>
          <t>NO</t>
        </is>
      </c>
      <c r="K919" s="190" t="inlineStr">
        <is>
          <t>https://nvd.nist.gov/vuln/detail/CVE-2026-2903</t>
        </is>
      </c>
      <c r="L919" s="190" t="inlineStr">
        <is>
          <t>2026-02-26 00:15</t>
        </is>
      </c>
      <c r="M919" s="190" t="inlineStr">
        <is>
          <t>CHECK_VENDOR</t>
        </is>
      </c>
      <c r="N919" s="190" t="inlineStr">
        <is>
          <t>See NVD references</t>
        </is>
      </c>
      <c r="O919" s="190" t="inlineStr">
        <is>
          <t>Apply vendor patches</t>
        </is>
      </c>
      <c r="P919" s="190" t="inlineStr">
        <is>
          <t>See CVE details</t>
        </is>
      </c>
      <c r="Q919" s="190" t="inlineStr">
        <is>
          <t>P4</t>
        </is>
      </c>
      <c r="R919" s="190" t="inlineStr">
        <is>
          <t>📅 Schedule patch deployment within 30 days | 🔍 Monitor for exploitation attempts</t>
        </is>
      </c>
      <c r="S919" s="190" t="inlineStr">
        <is>
          <t>CVE - IP enrichment n/a</t>
        </is>
      </c>
      <c r="T919" s="190" t="n">
        <v>0.0001</v>
      </c>
      <c r="U919" s="190" t="n">
        <v>0.0195</v>
      </c>
      <c r="V919" s="190" t="inlineStr">
        <is>
          <t>T1190:Exploit Public-Facing Application</t>
        </is>
      </c>
      <c r="W919" s="190" t="n">
        <v>1</v>
      </c>
      <c r="X919" s="190" t="inlineStr">
        <is>
          <t>LOW (40%)</t>
        </is>
      </c>
      <c r="Y919" s="190" t="inlineStr">
        <is>
          <t>UNLIKELY</t>
        </is>
      </c>
      <c r="Z919" s="190" t="inlineStr">
        <is>
          <t>CHECK_VENDOR</t>
        </is>
      </c>
      <c r="AA919" s="190" t="inlineStr">
        <is>
          <t>https://nvd.nist.gov/vuln/detail/CVE-2026-2903</t>
        </is>
      </c>
      <c r="AB919" s="190" t="inlineStr">
        <is>
          <t>NONE</t>
        </is>
      </c>
      <c r="AC919" s="190" t="n">
        <v>0</v>
      </c>
      <c r="AD919" s="190" t="inlineStr"/>
    </row>
    <row r="920">
      <c r="A920" s="188" t="inlineStr">
        <is>
          <t>CVE</t>
        </is>
      </c>
      <c r="B920" s="188" t="inlineStr">
        <is>
          <t>CVE-2026-2904</t>
        </is>
      </c>
      <c r="C920" s="188" t="inlineStr">
        <is>
          <t>A vulnerability was determined in UTT HiPER 810G 1.7.7-171114. This affects the function strcpy of the file /goform/ConfigExceptAli. Executing a manipulation can lead to buffer overflow. The attack can be launched remotely. The exploit has been publicly disclosed and may be utilized.</t>
        </is>
      </c>
      <c r="D920" s="188" t="n">
        <v>8.800000000000001</v>
      </c>
      <c r="E920" s="188" t="inlineStr">
        <is>
          <t>HIGH</t>
        </is>
      </c>
      <c r="F920" s="188" t="n">
        <v>2</v>
      </c>
      <c r="G920" s="188" t="n">
        <v>3</v>
      </c>
      <c r="H920" s="188" t="inlineStr">
        <is>
          <t>HIGH</t>
        </is>
      </c>
      <c r="I920" s="188" t="n">
        <v>14.8</v>
      </c>
      <c r="J920" s="188" t="inlineStr">
        <is>
          <t>NO</t>
        </is>
      </c>
      <c r="K920" s="188" t="inlineStr">
        <is>
          <t>https://nvd.nist.gov/vuln/detail/CVE-2026-2904</t>
        </is>
      </c>
      <c r="L920" s="188" t="inlineStr">
        <is>
          <t>2026-02-26 00:15</t>
        </is>
      </c>
      <c r="M920" s="188" t="inlineStr">
        <is>
          <t>CHECK_VENDOR</t>
        </is>
      </c>
      <c r="N920" s="188" t="inlineStr">
        <is>
          <t>See NVD references</t>
        </is>
      </c>
      <c r="O920" s="188" t="inlineStr">
        <is>
          <t>Apply vendor patches</t>
        </is>
      </c>
      <c r="P920" s="188" t="inlineStr">
        <is>
          <t>utt 810g_firmware * | utt 810g 3.0</t>
        </is>
      </c>
      <c r="Q920" s="188" t="inlineStr">
        <is>
          <t>P3</t>
        </is>
      </c>
      <c r="R920" s="188" t="inlineStr">
        <is>
          <t>🚨 URGENT: Apply vendor patches immediately | 🔒 Isolate affected systems if patch unavailable | 🛡️ Enable additional monitoring/IDS rules</t>
        </is>
      </c>
      <c r="S920" s="188" t="inlineStr">
        <is>
          <t>CVE - IP enrichment n/a</t>
        </is>
      </c>
      <c r="T920" s="188" t="n">
        <v>0</v>
      </c>
      <c r="U920" s="188" t="n">
        <v>0</v>
      </c>
      <c r="V920" s="188" t="inlineStr">
        <is>
          <t>T1203:Exploitation for Client Execution</t>
        </is>
      </c>
      <c r="W920" s="188" t="n">
        <v>1</v>
      </c>
      <c r="X920" s="188" t="inlineStr">
        <is>
          <t>LOW (40%)</t>
        </is>
      </c>
      <c r="Y920" s="188" t="inlineStr">
        <is>
          <t>UNLIKELY</t>
        </is>
      </c>
      <c r="Z920" s="188" t="inlineStr">
        <is>
          <t>CHECK_VENDOR</t>
        </is>
      </c>
      <c r="AA920" s="188" t="inlineStr">
        <is>
          <t>https://nvd.nist.gov/vuln/detail/CVE-2026-2904</t>
        </is>
      </c>
      <c r="AB920" s="188" t="inlineStr">
        <is>
          <t>NONE</t>
        </is>
      </c>
      <c r="AC920" s="188" t="n">
        <v>0</v>
      </c>
      <c r="AD920" s="188" t="inlineStr"/>
    </row>
    <row r="921">
      <c r="A921" s="188" t="inlineStr">
        <is>
          <t>CVE</t>
        </is>
      </c>
      <c r="B921" s="188" t="inlineStr">
        <is>
          <t>CVE-2026-2905</t>
        </is>
      </c>
      <c r="C921" s="188" t="inlineStr">
        <is>
          <t>A vulnerability was identified in Tenda HG9 300001138. This impacts an unknown function of the file /boaform/formWlanSetup of the component Wireless Configuration Endpoint. The manipulation of the argument ssid leads to stack-based buffer overflow. The attack may be initiated remotely. The exploit is publicly available and might be used.</t>
        </is>
      </c>
      <c r="D921" s="188" t="n">
        <v>8.800000000000001</v>
      </c>
      <c r="E921" s="188" t="inlineStr">
        <is>
          <t>HIGH</t>
        </is>
      </c>
      <c r="F921" s="188" t="n">
        <v>2</v>
      </c>
      <c r="G921" s="188" t="n">
        <v>3</v>
      </c>
      <c r="H921" s="188" t="inlineStr">
        <is>
          <t>HIGH</t>
        </is>
      </c>
      <c r="I921" s="188" t="n">
        <v>14.8</v>
      </c>
      <c r="J921" s="188" t="inlineStr">
        <is>
          <t>NO</t>
        </is>
      </c>
      <c r="K921" s="188" t="inlineStr">
        <is>
          <t>https://nvd.nist.gov/vuln/detail/CVE-2026-2905</t>
        </is>
      </c>
      <c r="L921" s="188" t="inlineStr">
        <is>
          <t>2026-02-26 00:15</t>
        </is>
      </c>
      <c r="M921" s="188" t="inlineStr">
        <is>
          <t>YES</t>
        </is>
      </c>
      <c r="N921" s="188" t="inlineStr">
        <is>
          <t>https://github.com/QIU-DIE/cve-nneeww/issues/7</t>
        </is>
      </c>
      <c r="O921" s="188" t="inlineStr">
        <is>
          <t>https://github.com/QIU-DIE/cve-nneeww/issues/7</t>
        </is>
      </c>
      <c r="P921" s="188" t="inlineStr">
        <is>
          <t>tenda hg9 - | tenda hg9_firmware 300001138</t>
        </is>
      </c>
      <c r="Q921" s="188" t="inlineStr">
        <is>
          <t>P3</t>
        </is>
      </c>
      <c r="R921" s="188" t="inlineStr">
        <is>
          <t>🚨 URGENT: Apply vendor patches immediately | 🔒 Isolate affected systems if patch unavailable | 🛡️ Enable additional monitoring/IDS rules</t>
        </is>
      </c>
      <c r="S921" s="188" t="inlineStr">
        <is>
          <t>CVE - IP enrichment n/a</t>
        </is>
      </c>
      <c r="T921" s="188" t="n">
        <v>0.0008</v>
      </c>
      <c r="U921" s="188" t="n">
        <v>0.2368</v>
      </c>
      <c r="V921" s="188" t="inlineStr">
        <is>
          <t>T1203:Exploitation for Client Execution</t>
        </is>
      </c>
      <c r="W921" s="188" t="n">
        <v>1</v>
      </c>
      <c r="X921" s="188" t="inlineStr">
        <is>
          <t>LOW (40%)</t>
        </is>
      </c>
      <c r="Y921" s="188" t="inlineStr">
        <is>
          <t>UNLIKELY</t>
        </is>
      </c>
      <c r="Z921" s="188" t="inlineStr">
        <is>
          <t>PATCH_AVAILABLE</t>
        </is>
      </c>
      <c r="AA921" s="188" t="inlineStr">
        <is>
          <t>https://nvd.nist.gov/vuln/detail/CVE-2026-2905</t>
        </is>
      </c>
      <c r="AB921" s="188" t="inlineStr">
        <is>
          <t>NONE</t>
        </is>
      </c>
      <c r="AC921" s="188" t="n">
        <v>0</v>
      </c>
      <c r="AD921" s="188" t="inlineStr"/>
    </row>
    <row r="922">
      <c r="A922" s="188" t="inlineStr">
        <is>
          <t>CVE</t>
        </is>
      </c>
      <c r="B922" s="188" t="inlineStr">
        <is>
          <t>CVE-2026-2906</t>
        </is>
      </c>
      <c r="C922" s="188" t="inlineStr">
        <is>
          <t>A security flaw has been discovered in Tenda HG9 300001138. Affected is an unknown function of the file /boaform/formSamba of the component Samba Configuration Endpoint. The manipulation of the argument sambaCap results in stack-based buffer overflow. The attack may be launched remotely. The exploit has been released to the public and may be used for attacks.</t>
        </is>
      </c>
      <c r="D922" s="188" t="n">
        <v>8.800000000000001</v>
      </c>
      <c r="E922" s="188" t="inlineStr">
        <is>
          <t>HIGH</t>
        </is>
      </c>
      <c r="F922" s="188" t="n">
        <v>2</v>
      </c>
      <c r="G922" s="188" t="n">
        <v>3</v>
      </c>
      <c r="H922" s="188" t="inlineStr">
        <is>
          <t>HIGH</t>
        </is>
      </c>
      <c r="I922" s="188" t="n">
        <v>14.8</v>
      </c>
      <c r="J922" s="188" t="inlineStr">
        <is>
          <t>NO</t>
        </is>
      </c>
      <c r="K922" s="188" t="inlineStr">
        <is>
          <t>https://nvd.nist.gov/vuln/detail/CVE-2026-2906</t>
        </is>
      </c>
      <c r="L922" s="188" t="inlineStr">
        <is>
          <t>2026-02-26 00:15</t>
        </is>
      </c>
      <c r="M922" s="188" t="inlineStr">
        <is>
          <t>YES</t>
        </is>
      </c>
      <c r="N922" s="188" t="inlineStr">
        <is>
          <t>https://github.com/QIU-DIE/cve-nneeww/issues/8</t>
        </is>
      </c>
      <c r="O922" s="188" t="inlineStr">
        <is>
          <t>https://github.com/QIU-DIE/cve-nneeww/issues/8</t>
        </is>
      </c>
      <c r="P922" s="188" t="inlineStr">
        <is>
          <t>tenda hg9 - | tenda hg9_firmware 300001138</t>
        </is>
      </c>
      <c r="Q922" s="188" t="inlineStr">
        <is>
          <t>P3</t>
        </is>
      </c>
      <c r="R922" s="188" t="inlineStr">
        <is>
          <t>🚨 URGENT: Apply vendor patches immediately | 🔒 Isolate affected systems if patch unavailable | 🛡️ Enable additional monitoring/IDS rules</t>
        </is>
      </c>
      <c r="S922" s="188" t="inlineStr">
        <is>
          <t>CVE - IP enrichment n/a</t>
        </is>
      </c>
      <c r="T922" s="188" t="n">
        <v>0</v>
      </c>
      <c r="U922" s="188" t="n">
        <v>0</v>
      </c>
      <c r="V922" s="188" t="inlineStr">
        <is>
          <t>T1203:Exploitation for Client Execution</t>
        </is>
      </c>
      <c r="W922" s="188" t="n">
        <v>1</v>
      </c>
      <c r="X922" s="188" t="inlineStr">
        <is>
          <t>LOW (40%)</t>
        </is>
      </c>
      <c r="Y922" s="188" t="inlineStr">
        <is>
          <t>UNLIKELY</t>
        </is>
      </c>
      <c r="Z922" s="188" t="inlineStr">
        <is>
          <t>PATCH_AVAILABLE</t>
        </is>
      </c>
      <c r="AA922" s="188" t="inlineStr">
        <is>
          <t>https://nvd.nist.gov/vuln/detail/CVE-2026-2906</t>
        </is>
      </c>
      <c r="AB922" s="188" t="inlineStr">
        <is>
          <t>NONE</t>
        </is>
      </c>
      <c r="AC922" s="188" t="n">
        <v>0</v>
      </c>
      <c r="AD922" s="188" t="inlineStr"/>
    </row>
    <row r="923">
      <c r="A923" s="188" t="inlineStr">
        <is>
          <t>CVE</t>
        </is>
      </c>
      <c r="B923" s="188" t="inlineStr">
        <is>
          <t>CVE-2026-2907</t>
        </is>
      </c>
      <c r="C923" s="188" t="inlineStr">
        <is>
          <t>A weakness has been identified in Tenda HG9 300001138. Affected by this vulnerability is an unknown functionality of the file /boaform/formgponConf of the component GPON Configuration Endpoint. This manipulation of the argument fmgpon_loid/fmgpon_loid_password causes stack-based buffer overflow. Remote exploitation of the attack is possible. The exploit has been made available to the public and could be used for attacks.</t>
        </is>
      </c>
      <c r="D923" s="188" t="n">
        <v>8.800000000000001</v>
      </c>
      <c r="E923" s="188" t="inlineStr">
        <is>
          <t>HIGH</t>
        </is>
      </c>
      <c r="F923" s="188" t="n">
        <v>2</v>
      </c>
      <c r="G923" s="188" t="n">
        <v>3</v>
      </c>
      <c r="H923" s="188" t="inlineStr">
        <is>
          <t>HIGH</t>
        </is>
      </c>
      <c r="I923" s="188" t="n">
        <v>14.8</v>
      </c>
      <c r="J923" s="188" t="inlineStr">
        <is>
          <t>NO</t>
        </is>
      </c>
      <c r="K923" s="188" t="inlineStr">
        <is>
          <t>https://nvd.nist.gov/vuln/detail/CVE-2026-2907</t>
        </is>
      </c>
      <c r="L923" s="188" t="inlineStr">
        <is>
          <t>2026-02-26 00:15</t>
        </is>
      </c>
      <c r="M923" s="188" t="inlineStr">
        <is>
          <t>YES</t>
        </is>
      </c>
      <c r="N923" s="188" t="inlineStr">
        <is>
          <t>https://github.com/QIU-DIE/cve-nneeww/issues/9</t>
        </is>
      </c>
      <c r="O923" s="188" t="inlineStr">
        <is>
          <t>https://github.com/QIU-DIE/cve-nneeww/issues/9</t>
        </is>
      </c>
      <c r="P923" s="188" t="inlineStr">
        <is>
          <t>tenda hg9 - | tenda hg9_firmware 300001138</t>
        </is>
      </c>
      <c r="Q923" s="188" t="inlineStr">
        <is>
          <t>P3</t>
        </is>
      </c>
      <c r="R923" s="188" t="inlineStr">
        <is>
          <t>🚨 URGENT: Apply vendor patches immediately | 🔒 Isolate affected systems if patch unavailable | 🛡️ Enable additional monitoring/IDS rules</t>
        </is>
      </c>
      <c r="S923" s="188" t="inlineStr">
        <is>
          <t>CVE - IP enrichment n/a</t>
        </is>
      </c>
      <c r="T923" s="188" t="n">
        <v>0</v>
      </c>
      <c r="U923" s="188" t="n">
        <v>0</v>
      </c>
      <c r="V923" s="188" t="inlineStr">
        <is>
          <t>T1203:Exploitation for Client Execution</t>
        </is>
      </c>
      <c r="W923" s="188" t="n">
        <v>1</v>
      </c>
      <c r="X923" s="188" t="inlineStr">
        <is>
          <t>LOW (40%)</t>
        </is>
      </c>
      <c r="Y923" s="188" t="inlineStr">
        <is>
          <t>UNLIKELY</t>
        </is>
      </c>
      <c r="Z923" s="188" t="inlineStr">
        <is>
          <t>PATCH_AVAILABLE</t>
        </is>
      </c>
      <c r="AA923" s="188" t="inlineStr">
        <is>
          <t>https://nvd.nist.gov/vuln/detail/CVE-2026-2907</t>
        </is>
      </c>
      <c r="AB923" s="188" t="inlineStr">
        <is>
          <t>NONE</t>
        </is>
      </c>
      <c r="AC923" s="188" t="n">
        <v>0</v>
      </c>
      <c r="AD923" s="188" t="inlineStr"/>
    </row>
    <row r="924">
      <c r="A924" s="188" t="inlineStr">
        <is>
          <t>CVE</t>
        </is>
      </c>
      <c r="B924" s="188" t="inlineStr">
        <is>
          <t>CVE-2026-2908</t>
        </is>
      </c>
      <c r="C924" s="188" t="inlineStr">
        <is>
          <t>A security vulnerability has been detected in Tenda HG9 300001138. Affected by this issue is some unknown functionality of the file /boaform/formLoopBack of the component Loopback Detection Configuration Endpoint. Such manipulation of the argument Ethtype leads to stack-based buffer overflow. The attack can be executed remotely. The exploit has been disclosed publicly and may be used.</t>
        </is>
      </c>
      <c r="D924" s="188" t="n">
        <v>8.800000000000001</v>
      </c>
      <c r="E924" s="188" t="inlineStr">
        <is>
          <t>HIGH</t>
        </is>
      </c>
      <c r="F924" s="188" t="n">
        <v>2</v>
      </c>
      <c r="G924" s="188" t="n">
        <v>3</v>
      </c>
      <c r="H924" s="188" t="inlineStr">
        <is>
          <t>HIGH</t>
        </is>
      </c>
      <c r="I924" s="188" t="n">
        <v>14.8</v>
      </c>
      <c r="J924" s="188" t="inlineStr">
        <is>
          <t>NO</t>
        </is>
      </c>
      <c r="K924" s="188" t="inlineStr">
        <is>
          <t>https://nvd.nist.gov/vuln/detail/CVE-2026-2908</t>
        </is>
      </c>
      <c r="L924" s="188" t="inlineStr">
        <is>
          <t>2026-02-26 00:15</t>
        </is>
      </c>
      <c r="M924" s="188" t="inlineStr">
        <is>
          <t>YES</t>
        </is>
      </c>
      <c r="N924" s="188" t="inlineStr">
        <is>
          <t>https://github.com/QIU-DIE/cve-nneeww/issues/10</t>
        </is>
      </c>
      <c r="O924" s="188" t="inlineStr">
        <is>
          <t>https://github.com/QIU-DIE/cve-nneeww/issues/10</t>
        </is>
      </c>
      <c r="P924" s="188" t="inlineStr">
        <is>
          <t>tenda hg9 - | tenda hg9_firmware 300001138</t>
        </is>
      </c>
      <c r="Q924" s="188" t="inlineStr">
        <is>
          <t>P3</t>
        </is>
      </c>
      <c r="R924" s="188" t="inlineStr">
        <is>
          <t>🚨 URGENT: Apply vendor patches immediately | 🔒 Isolate affected systems if patch unavailable | 🛡️ Enable additional monitoring/IDS rules</t>
        </is>
      </c>
      <c r="S924" s="188" t="inlineStr">
        <is>
          <t>CVE - IP enrichment n/a</t>
        </is>
      </c>
      <c r="T924" s="188" t="n">
        <v>0</v>
      </c>
      <c r="U924" s="188" t="n">
        <v>0</v>
      </c>
      <c r="V924" s="188" t="inlineStr">
        <is>
          <t>T1203:Exploitation for Client Execution</t>
        </is>
      </c>
      <c r="W924" s="188" t="n">
        <v>1</v>
      </c>
      <c r="X924" s="188" t="inlineStr">
        <is>
          <t>LOW (40%)</t>
        </is>
      </c>
      <c r="Y924" s="188" t="inlineStr">
        <is>
          <t>UNLIKELY</t>
        </is>
      </c>
      <c r="Z924" s="188" t="inlineStr">
        <is>
          <t>PATCH_AVAILABLE</t>
        </is>
      </c>
      <c r="AA924" s="188" t="inlineStr">
        <is>
          <t>https://nvd.nist.gov/vuln/detail/CVE-2026-2908</t>
        </is>
      </c>
      <c r="AB924" s="188" t="inlineStr">
        <is>
          <t>NONE</t>
        </is>
      </c>
      <c r="AC924" s="188" t="n">
        <v>0</v>
      </c>
      <c r="AD924" s="188" t="inlineStr"/>
    </row>
    <row r="925">
      <c r="A925" s="188" t="inlineStr">
        <is>
          <t>CVE</t>
        </is>
      </c>
      <c r="B925" s="188" t="inlineStr">
        <is>
          <t>CVE-2026-2909</t>
        </is>
      </c>
      <c r="C925" s="188" t="inlineStr">
        <is>
          <t>A vulnerability was detected in Tenda HG9 300001138. This affects an unknown part of the file /boaform/formPing of the component Diagnostic Ping Endpoint. Performing a manipulation of the argument pingAddr results in stack-based buffer overflow. The attack is possible to be carried out remotely. The exploit is now public and may be used.</t>
        </is>
      </c>
      <c r="D925" s="188" t="n">
        <v>8.800000000000001</v>
      </c>
      <c r="E925" s="188" t="inlineStr">
        <is>
          <t>HIGH</t>
        </is>
      </c>
      <c r="F925" s="188" t="n">
        <v>2</v>
      </c>
      <c r="G925" s="188" t="n">
        <v>3</v>
      </c>
      <c r="H925" s="188" t="inlineStr">
        <is>
          <t>HIGH</t>
        </is>
      </c>
      <c r="I925" s="188" t="n">
        <v>14.8</v>
      </c>
      <c r="J925" s="188" t="inlineStr">
        <is>
          <t>NO</t>
        </is>
      </c>
      <c r="K925" s="188" t="inlineStr">
        <is>
          <t>https://nvd.nist.gov/vuln/detail/CVE-2026-2909</t>
        </is>
      </c>
      <c r="L925" s="188" t="inlineStr">
        <is>
          <t>2026-02-26 00:15</t>
        </is>
      </c>
      <c r="M925" s="188" t="inlineStr">
        <is>
          <t>YES</t>
        </is>
      </c>
      <c r="N925" s="188" t="inlineStr">
        <is>
          <t>https://github.com/QIU-DIE/cve-nneeww/issues/11</t>
        </is>
      </c>
      <c r="O925" s="188" t="inlineStr">
        <is>
          <t>https://github.com/QIU-DIE/cve-nneeww/issues/11</t>
        </is>
      </c>
      <c r="P925" s="188" t="inlineStr">
        <is>
          <t>tenda hg9 - | tenda hg9_firmware 300001138</t>
        </is>
      </c>
      <c r="Q925" s="188" t="inlineStr">
        <is>
          <t>P3</t>
        </is>
      </c>
      <c r="R925" s="188" t="inlineStr">
        <is>
          <t>🚨 URGENT: Apply vendor patches immediately | 🔒 Isolate affected systems if patch unavailable | 🛡️ Enable additional monitoring/IDS rules</t>
        </is>
      </c>
      <c r="S925" s="188" t="inlineStr">
        <is>
          <t>CVE - IP enrichment n/a</t>
        </is>
      </c>
      <c r="T925" s="188" t="n">
        <v>0</v>
      </c>
      <c r="U925" s="188" t="n">
        <v>0</v>
      </c>
      <c r="V925" s="188" t="inlineStr">
        <is>
          <t>T1203:Exploitation for Client Execution</t>
        </is>
      </c>
      <c r="W925" s="188" t="n">
        <v>1</v>
      </c>
      <c r="X925" s="188" t="inlineStr">
        <is>
          <t>LOW (40%)</t>
        </is>
      </c>
      <c r="Y925" s="188" t="inlineStr">
        <is>
          <t>UNLIKELY</t>
        </is>
      </c>
      <c r="Z925" s="188" t="inlineStr">
        <is>
          <t>PATCH_AVAILABLE</t>
        </is>
      </c>
      <c r="AA925" s="188" t="inlineStr">
        <is>
          <t>https://nvd.nist.gov/vuln/detail/CVE-2026-2909</t>
        </is>
      </c>
      <c r="AB925" s="188" t="inlineStr">
        <is>
          <t>NONE</t>
        </is>
      </c>
      <c r="AC925" s="188" t="n">
        <v>0</v>
      </c>
      <c r="AD925" s="188" t="inlineStr"/>
    </row>
    <row r="926">
      <c r="A926" s="188" t="inlineStr">
        <is>
          <t>CVE</t>
        </is>
      </c>
      <c r="B926" s="188" t="inlineStr">
        <is>
          <t>CVE-2026-2910</t>
        </is>
      </c>
      <c r="C926" s="188" t="inlineStr">
        <is>
          <t>A flaw has been found in Tenda HG9 300001138. This vulnerability affects unknown code of the file /boaform/formPing6. Executing a manipulation of the argument pingAddr can lead to stack-based buffer overflow. The attack may be performed from remote. The exploit has been published and may be used.</t>
        </is>
      </c>
      <c r="D926" s="188" t="n">
        <v>8.800000000000001</v>
      </c>
      <c r="E926" s="188" t="inlineStr">
        <is>
          <t>HIGH</t>
        </is>
      </c>
      <c r="F926" s="188" t="n">
        <v>2</v>
      </c>
      <c r="G926" s="188" t="n">
        <v>3</v>
      </c>
      <c r="H926" s="188" t="inlineStr">
        <is>
          <t>HIGH</t>
        </is>
      </c>
      <c r="I926" s="188" t="n">
        <v>14.8</v>
      </c>
      <c r="J926" s="188" t="inlineStr">
        <is>
          <t>NO</t>
        </is>
      </c>
      <c r="K926" s="188" t="inlineStr">
        <is>
          <t>https://nvd.nist.gov/vuln/detail/CVE-2026-2910</t>
        </is>
      </c>
      <c r="L926" s="188" t="inlineStr">
        <is>
          <t>2026-02-26 00:15</t>
        </is>
      </c>
      <c r="M926" s="188" t="inlineStr">
        <is>
          <t>YES</t>
        </is>
      </c>
      <c r="N926" s="188" t="inlineStr">
        <is>
          <t>https://github.com/QIU-DIE/cve-nneeww/issues/12</t>
        </is>
      </c>
      <c r="O926" s="188" t="inlineStr">
        <is>
          <t>https://github.com/QIU-DIE/cve-nneeww/issues/12</t>
        </is>
      </c>
      <c r="P926" s="188" t="inlineStr">
        <is>
          <t>tenda hg9 - | tenda hg9_firmware 300001138</t>
        </is>
      </c>
      <c r="Q926" s="188" t="inlineStr">
        <is>
          <t>P3</t>
        </is>
      </c>
      <c r="R926" s="188" t="inlineStr">
        <is>
          <t>🚨 URGENT: Apply vendor patches immediately | 🔒 Isolate affected systems if patch unavailable | 🛡️ Enable additional monitoring/IDS rules</t>
        </is>
      </c>
      <c r="S926" s="188" t="inlineStr">
        <is>
          <t>CVE - IP enrichment n/a</t>
        </is>
      </c>
      <c r="T926" s="188" t="n">
        <v>0</v>
      </c>
      <c r="U926" s="188" t="n">
        <v>0</v>
      </c>
      <c r="V926" s="188" t="inlineStr">
        <is>
          <t>T1203:Exploitation for Client Execution</t>
        </is>
      </c>
      <c r="W926" s="188" t="n">
        <v>1</v>
      </c>
      <c r="X926" s="188" t="inlineStr">
        <is>
          <t>LOW (40%)</t>
        </is>
      </c>
      <c r="Y926" s="188" t="inlineStr">
        <is>
          <t>UNLIKELY</t>
        </is>
      </c>
      <c r="Z926" s="188" t="inlineStr">
        <is>
          <t>PATCH_AVAILABLE</t>
        </is>
      </c>
      <c r="AA926" s="188" t="inlineStr">
        <is>
          <t>https://nvd.nist.gov/vuln/detail/CVE-2026-2910</t>
        </is>
      </c>
      <c r="AB926" s="188" t="inlineStr">
        <is>
          <t>NONE</t>
        </is>
      </c>
      <c r="AC926" s="188" t="n">
        <v>0</v>
      </c>
      <c r="AD926" s="188" t="inlineStr"/>
    </row>
    <row r="927">
      <c r="A927" s="188" t="inlineStr">
        <is>
          <t>CVE</t>
        </is>
      </c>
      <c r="B927" s="188" t="inlineStr">
        <is>
          <t>CVE-2026-2911</t>
        </is>
      </c>
      <c r="C927" s="188" t="inlineStr">
        <is>
          <t>A vulnerability has been found in Tenda FH451 up to 1.0.0.9. This issue affects some unknown processing of the file /goform/GstDhcpSetSer. The manipulation leads to buffer overflow. It is possible to initiate the attack remotely. The exploit has been disclosed to the public and may be used.</t>
        </is>
      </c>
      <c r="D927" s="188" t="n">
        <v>8.800000000000001</v>
      </c>
      <c r="E927" s="188" t="inlineStr">
        <is>
          <t>HIGH</t>
        </is>
      </c>
      <c r="F927" s="188" t="n">
        <v>2</v>
      </c>
      <c r="G927" s="188" t="n">
        <v>3</v>
      </c>
      <c r="H927" s="188" t="inlineStr">
        <is>
          <t>HIGH</t>
        </is>
      </c>
      <c r="I927" s="188" t="n">
        <v>14.8</v>
      </c>
      <c r="J927" s="188" t="inlineStr">
        <is>
          <t>NO</t>
        </is>
      </c>
      <c r="K927" s="188" t="inlineStr">
        <is>
          <t>https://nvd.nist.gov/vuln/detail/CVE-2026-2911</t>
        </is>
      </c>
      <c r="L927" s="188" t="inlineStr">
        <is>
          <t>2026-02-26 00:15</t>
        </is>
      </c>
      <c r="M927" s="188" t="inlineStr">
        <is>
          <t>CHECK_VENDOR</t>
        </is>
      </c>
      <c r="N927" s="188" t="inlineStr">
        <is>
          <t>See NVD references</t>
        </is>
      </c>
      <c r="O927" s="188" t="inlineStr">
        <is>
          <t>Apply vendor patches</t>
        </is>
      </c>
      <c r="P927" s="188" t="inlineStr">
        <is>
          <t>tenda fh451_firmware 1.0.0.9 | tenda fh451 -</t>
        </is>
      </c>
      <c r="Q927" s="188" t="inlineStr">
        <is>
          <t>P3</t>
        </is>
      </c>
      <c r="R927" s="188" t="inlineStr">
        <is>
          <t>🚨 URGENT: Apply vendor patches immediately | 🔒 Isolate affected systems if patch unavailable | 🛡️ Enable additional monitoring/IDS rules</t>
        </is>
      </c>
      <c r="S927" s="188" t="inlineStr">
        <is>
          <t>CVE - IP enrichment n/a</t>
        </is>
      </c>
      <c r="T927" s="188" t="n">
        <v>0</v>
      </c>
      <c r="U927" s="188" t="n">
        <v>0</v>
      </c>
      <c r="V927" s="188" t="inlineStr">
        <is>
          <t>T1203:Exploitation for Client Execution</t>
        </is>
      </c>
      <c r="W927" s="188" t="n">
        <v>1</v>
      </c>
      <c r="X927" s="188" t="inlineStr">
        <is>
          <t>LOW (40%)</t>
        </is>
      </c>
      <c r="Y927" s="188" t="inlineStr">
        <is>
          <t>UNLIKELY</t>
        </is>
      </c>
      <c r="Z927" s="188" t="inlineStr">
        <is>
          <t>CHECK_VENDOR</t>
        </is>
      </c>
      <c r="AA927" s="188" t="inlineStr">
        <is>
          <t>https://nvd.nist.gov/vuln/detail/CVE-2026-2911</t>
        </is>
      </c>
      <c r="AB927" s="188" t="inlineStr">
        <is>
          <t>NONE</t>
        </is>
      </c>
      <c r="AC927" s="188" t="n">
        <v>0</v>
      </c>
      <c r="AD927" s="188" t="inlineStr"/>
    </row>
    <row r="928">
      <c r="A928" s="188" t="inlineStr">
        <is>
          <t>CVE</t>
        </is>
      </c>
      <c r="B928" s="188" t="inlineStr">
        <is>
          <t>CVE-2026-2912</t>
        </is>
      </c>
      <c r="C928" s="188" t="inlineStr">
        <is>
          <t>A vulnerability was found in code-projects Online Reviewer System 1.0. Impacted is an unknown function of the file /system/system/students/assessments/results/studentresult-view.php. The manipulation of the argument test_id results in sql injection. It is possible to launch the attack remotely. The exploit has been made public and could be used.</t>
        </is>
      </c>
      <c r="D928" s="188" t="n">
        <v>7.3</v>
      </c>
      <c r="E928" s="188" t="inlineStr">
        <is>
          <t>HIGH</t>
        </is>
      </c>
      <c r="F928" s="188" t="n">
        <v>2</v>
      </c>
      <c r="G928" s="188" t="n">
        <v>3</v>
      </c>
      <c r="H928" s="188" t="inlineStr">
        <is>
          <t>HIGH</t>
        </is>
      </c>
      <c r="I928" s="188" t="n">
        <v>13.3</v>
      </c>
      <c r="J928" s="188" t="inlineStr">
        <is>
          <t>NO</t>
        </is>
      </c>
      <c r="K928" s="188" t="inlineStr">
        <is>
          <t>https://nvd.nist.gov/vuln/detail/CVE-2026-2912</t>
        </is>
      </c>
      <c r="L928" s="188" t="inlineStr">
        <is>
          <t>2026-02-26 00:15</t>
        </is>
      </c>
      <c r="M928" s="188" t="inlineStr">
        <is>
          <t>CHECK_VENDOR</t>
        </is>
      </c>
      <c r="N928" s="188" t="inlineStr">
        <is>
          <t>See NVD references</t>
        </is>
      </c>
      <c r="O928" s="188" t="inlineStr">
        <is>
          <t>Apply vendor patches</t>
        </is>
      </c>
      <c r="P928" s="188" t="inlineStr">
        <is>
          <t>fabian online_reviewer_system 1.0</t>
        </is>
      </c>
      <c r="Q928" s="188" t="inlineStr">
        <is>
          <t>P3</t>
        </is>
      </c>
      <c r="R928" s="188" t="inlineStr">
        <is>
          <t>🚨 URGENT: Apply vendor patches immediately | 🔒 Isolate affected systems if patch unavailable | 🛡️ Enable additional monitoring/IDS rules</t>
        </is>
      </c>
      <c r="S928" s="188" t="inlineStr">
        <is>
          <t>CVE - IP enrichment n/a</t>
        </is>
      </c>
      <c r="T928" s="188" t="n">
        <v>0.0002</v>
      </c>
      <c r="U928" s="188" t="n">
        <v>0.0551</v>
      </c>
      <c r="V928" s="188" t="inlineStr">
        <is>
          <t>T1190:Exploit Public-Facing Application</t>
        </is>
      </c>
      <c r="W928" s="188" t="n">
        <v>1</v>
      </c>
      <c r="X928" s="188" t="inlineStr">
        <is>
          <t>LOW (40%)</t>
        </is>
      </c>
      <c r="Y928" s="188" t="inlineStr">
        <is>
          <t>UNLIKELY</t>
        </is>
      </c>
      <c r="Z928" s="188" t="inlineStr">
        <is>
          <t>CHECK_VENDOR</t>
        </is>
      </c>
      <c r="AA928" s="188" t="inlineStr">
        <is>
          <t>https://nvd.nist.gov/vuln/detail/CVE-2026-2912</t>
        </is>
      </c>
      <c r="AB928" s="188" t="inlineStr">
        <is>
          <t>NONE</t>
        </is>
      </c>
      <c r="AC928" s="188" t="n">
        <v>0</v>
      </c>
      <c r="AD928" s="188" t="inlineStr"/>
    </row>
    <row r="929">
      <c r="A929" s="190" t="inlineStr">
        <is>
          <t>CVE</t>
        </is>
      </c>
      <c r="B929" s="190" t="inlineStr">
        <is>
          <t>CVE-2026-2913</t>
        </is>
      </c>
      <c r="C929" s="190" t="inlineStr">
        <is>
          <t>A vulnerability was determined in libvips up to 8.19.0. The affected element is the function vips_source_read_to_memory of the file libvips/iofuncs/source.c. This manipulation causes heap-based buffer overflow. It is possible to launch the attack on the local host. The attack's complexity is rated as high. The exploitability is described as difficult. The exploit has been publicly disclosed and may be utilized. Patch name: a56feecbe9ed66521d9647ec9fbcd2546eccd7ee. Applying a patch is the recomme</t>
        </is>
      </c>
      <c r="D929" s="190" t="n">
        <v>2.5</v>
      </c>
      <c r="E929" s="190" t="inlineStr">
        <is>
          <t>LOW</t>
        </is>
      </c>
      <c r="F929" s="190" t="n">
        <v>2</v>
      </c>
      <c r="G929" s="190" t="n">
        <v>1</v>
      </c>
      <c r="H929" s="190" t="inlineStr">
        <is>
          <t>LOW</t>
        </is>
      </c>
      <c r="I929" s="190" t="n">
        <v>4.5</v>
      </c>
      <c r="J929" s="190" t="inlineStr">
        <is>
          <t>NO</t>
        </is>
      </c>
      <c r="K929" s="190" t="inlineStr">
        <is>
          <t>https://nvd.nist.gov/vuln/detail/CVE-2026-2913</t>
        </is>
      </c>
      <c r="L929" s="190" t="inlineStr">
        <is>
          <t>2026-02-26 00:15</t>
        </is>
      </c>
      <c r="M929" s="190" t="inlineStr">
        <is>
          <t>YES</t>
        </is>
      </c>
      <c r="N929" s="190" t="inlineStr">
        <is>
          <t>https://github.com/libvips/libvips/commit/a56feecbe9ed66521d9647ec9fbcd2546eccd7ee</t>
        </is>
      </c>
      <c r="O929" s="190" t="inlineStr">
        <is>
          <t>Apply vendor patches</t>
        </is>
      </c>
      <c r="P929" s="190" t="inlineStr">
        <is>
          <t>libvips libvips *</t>
        </is>
      </c>
      <c r="Q929" s="190" t="inlineStr">
        <is>
          <t>P1</t>
        </is>
      </c>
      <c r="R929" s="190" t="inlineStr">
        <is>
          <t>📅 Schedule patch deployment within 30 days | 🔍 Monitor for exploitation attempts</t>
        </is>
      </c>
      <c r="S929" s="190" t="inlineStr">
        <is>
          <t>CVE - IP enrichment n/a</t>
        </is>
      </c>
      <c r="T929" s="190" t="n">
        <v>0</v>
      </c>
      <c r="U929" s="190" t="n">
        <v>0</v>
      </c>
      <c r="V929" s="190" t="inlineStr">
        <is>
          <t>T1203:Exploitation for Client Execution | T1190:Exploit Public-Facing Application</t>
        </is>
      </c>
      <c r="W929" s="190" t="n">
        <v>2</v>
      </c>
      <c r="X929" s="190" t="inlineStr">
        <is>
          <t>HIGH (72%)</t>
        </is>
      </c>
      <c r="Y929" s="190" t="inlineStr">
        <is>
          <t>HIGH</t>
        </is>
      </c>
      <c r="Z929" s="190" t="inlineStr">
        <is>
          <t>PATCH_AVAILABLE</t>
        </is>
      </c>
      <c r="AA929" s="190" t="inlineStr">
        <is>
          <t>https://nvd.nist.gov/vuln/detail/CVE-2026-2913</t>
        </is>
      </c>
      <c r="AB929" s="190" t="inlineStr">
        <is>
          <t>http://www.zerodayinitiative.com/advisories/ZDI-26-123/</t>
        </is>
      </c>
      <c r="AC929" s="190" t="n">
        <v>0</v>
      </c>
      <c r="AD929" s="190" t="inlineStr"/>
    </row>
    <row r="930">
      <c r="A930" s="188" t="inlineStr">
        <is>
          <t>CVE</t>
        </is>
      </c>
      <c r="B930" s="188" t="inlineStr">
        <is>
          <t>CVE-2026-2925</t>
        </is>
      </c>
      <c r="C930" s="188" t="inlineStr">
        <is>
          <t>A vulnerability was detected in D-Link DWR-M960 1.01.07. Affected by this issue is the function sub_42B5A0 of the file /boafrm/formBridgeVlan of the component Bridge VLAN Configuration Endpoint. Performing a manipulation of the argument submit-url results in stack-based buffer overflow. The attack can be initiated remotely. The exploit is now public and may be used.</t>
        </is>
      </c>
      <c r="D930" s="188" t="n">
        <v>8.800000000000001</v>
      </c>
      <c r="E930" s="188" t="inlineStr">
        <is>
          <t>HIGH</t>
        </is>
      </c>
      <c r="F930" s="188" t="n">
        <v>2</v>
      </c>
      <c r="G930" s="188" t="n">
        <v>3</v>
      </c>
      <c r="H930" s="188" t="inlineStr">
        <is>
          <t>HIGH</t>
        </is>
      </c>
      <c r="I930" s="188" t="n">
        <v>14.8</v>
      </c>
      <c r="J930" s="188" t="inlineStr">
        <is>
          <t>NO</t>
        </is>
      </c>
      <c r="K930" s="188" t="inlineStr">
        <is>
          <t>https://nvd.nist.gov/vuln/detail/CVE-2026-2925</t>
        </is>
      </c>
      <c r="L930" s="188" t="inlineStr">
        <is>
          <t>2026-02-26 00:15</t>
        </is>
      </c>
      <c r="M930" s="188" t="inlineStr">
        <is>
          <t>CHECK_VENDOR</t>
        </is>
      </c>
      <c r="N930" s="188" t="inlineStr">
        <is>
          <t>See NVD references</t>
        </is>
      </c>
      <c r="O930" s="188" t="inlineStr">
        <is>
          <t>Apply vendor patches</t>
        </is>
      </c>
      <c r="P930" s="188" t="inlineStr">
        <is>
          <t>dlink dwr-m960 b1 | dlink dwr-m960_firmware 1.01.07</t>
        </is>
      </c>
      <c r="Q930" s="188" t="inlineStr">
        <is>
          <t>P3</t>
        </is>
      </c>
      <c r="R930" s="188" t="inlineStr">
        <is>
          <t>🚨 URGENT: Apply vendor patches immediately | 🔒 Isolate affected systems if patch unavailable | 🛡️ Enable additional monitoring/IDS rules</t>
        </is>
      </c>
      <c r="S930" s="188" t="inlineStr">
        <is>
          <t>CVE - IP enrichment n/a</t>
        </is>
      </c>
      <c r="T930" s="188" t="n">
        <v>0</v>
      </c>
      <c r="U930" s="188" t="n">
        <v>0</v>
      </c>
      <c r="V930" s="188" t="inlineStr">
        <is>
          <t>T1203:Exploitation for Client Execution</t>
        </is>
      </c>
      <c r="W930" s="188" t="n">
        <v>1</v>
      </c>
      <c r="X930" s="188" t="inlineStr">
        <is>
          <t>LOW (40%)</t>
        </is>
      </c>
      <c r="Y930" s="188" t="inlineStr">
        <is>
          <t>UNLIKELY</t>
        </is>
      </c>
      <c r="Z930" s="188" t="inlineStr">
        <is>
          <t>CHECK_VENDOR</t>
        </is>
      </c>
      <c r="AA930" s="188" t="inlineStr">
        <is>
          <t>https://nvd.nist.gov/vuln/detail/CVE-2026-2925</t>
        </is>
      </c>
      <c r="AB930" s="188" t="inlineStr">
        <is>
          <t>NONE</t>
        </is>
      </c>
      <c r="AC930" s="188" t="n">
        <v>0</v>
      </c>
      <c r="AD930" s="188" t="inlineStr"/>
    </row>
    <row r="931">
      <c r="A931" s="188" t="inlineStr">
        <is>
          <t>CVE</t>
        </is>
      </c>
      <c r="B931" s="188" t="inlineStr">
        <is>
          <t>CVE-2026-2926</t>
        </is>
      </c>
      <c r="C931" s="188" t="inlineStr">
        <is>
          <t>A flaw has been found in D-Link DWR-M960 1.01.07. This affects the function sub_4237AC of the file /boafrm/formLteSetup of the component LTE Configuration Endpoint. Executing a manipulation of the argument submit-url can lead to stack-based buffer overflow. The attack can be launched remotely. The exploit has been published and may be used.</t>
        </is>
      </c>
      <c r="D931" s="188" t="n">
        <v>8.800000000000001</v>
      </c>
      <c r="E931" s="188" t="inlineStr">
        <is>
          <t>HIGH</t>
        </is>
      </c>
      <c r="F931" s="188" t="n">
        <v>2</v>
      </c>
      <c r="G931" s="188" t="n">
        <v>3</v>
      </c>
      <c r="H931" s="188" t="inlineStr">
        <is>
          <t>HIGH</t>
        </is>
      </c>
      <c r="I931" s="188" t="n">
        <v>14.8</v>
      </c>
      <c r="J931" s="188" t="inlineStr">
        <is>
          <t>NO</t>
        </is>
      </c>
      <c r="K931" s="188" t="inlineStr">
        <is>
          <t>https://nvd.nist.gov/vuln/detail/CVE-2026-2926</t>
        </is>
      </c>
      <c r="L931" s="188" t="inlineStr">
        <is>
          <t>2026-02-26 00:15</t>
        </is>
      </c>
      <c r="M931" s="188" t="inlineStr">
        <is>
          <t>CHECK_VENDOR</t>
        </is>
      </c>
      <c r="N931" s="188" t="inlineStr">
        <is>
          <t>See NVD references</t>
        </is>
      </c>
      <c r="O931" s="188" t="inlineStr">
        <is>
          <t>Apply vendor patches</t>
        </is>
      </c>
      <c r="P931" s="188" t="inlineStr">
        <is>
          <t>dlink dwr-m960 b1 | dlink dwr-m960_firmware 1.01.07</t>
        </is>
      </c>
      <c r="Q931" s="188" t="inlineStr">
        <is>
          <t>P3</t>
        </is>
      </c>
      <c r="R931" s="188" t="inlineStr">
        <is>
          <t>🚨 URGENT: Apply vendor patches immediately | 🔒 Isolate affected systems if patch unavailable | 🛡️ Enable additional monitoring/IDS rules</t>
        </is>
      </c>
      <c r="S931" s="188" t="inlineStr">
        <is>
          <t>CVE - IP enrichment n/a</t>
        </is>
      </c>
      <c r="T931" s="188" t="n">
        <v>0</v>
      </c>
      <c r="U931" s="188" t="n">
        <v>0</v>
      </c>
      <c r="V931" s="188" t="inlineStr">
        <is>
          <t>T1203:Exploitation for Client Execution</t>
        </is>
      </c>
      <c r="W931" s="188" t="n">
        <v>1</v>
      </c>
      <c r="X931" s="188" t="inlineStr">
        <is>
          <t>LOW (40%)</t>
        </is>
      </c>
      <c r="Y931" s="188" t="inlineStr">
        <is>
          <t>UNLIKELY</t>
        </is>
      </c>
      <c r="Z931" s="188" t="inlineStr">
        <is>
          <t>CHECK_VENDOR</t>
        </is>
      </c>
      <c r="AA931" s="188" t="inlineStr">
        <is>
          <t>https://nvd.nist.gov/vuln/detail/CVE-2026-2926</t>
        </is>
      </c>
      <c r="AB931" s="188" t="inlineStr">
        <is>
          <t>NONE</t>
        </is>
      </c>
      <c r="AC931" s="188" t="n">
        <v>0</v>
      </c>
      <c r="AD931" s="188" t="inlineStr"/>
    </row>
    <row r="932">
      <c r="A932" s="188" t="inlineStr">
        <is>
          <t>CVE</t>
        </is>
      </c>
      <c r="B932" s="188" t="inlineStr">
        <is>
          <t>CVE-2026-2927</t>
        </is>
      </c>
      <c r="C932" s="188" t="inlineStr">
        <is>
          <t>A vulnerability has been found in D-Link DWR-M960 1.01.07. This vulnerability affects the function sub_462590 of the file /boafrm/formOpMode of the component Operation Mode Configuration Endpoint. The manipulation of the argument submit-url leads to stack-based buffer overflow. The attack may be initiated remotely. The exploit has been disclosed to the public and may be used.</t>
        </is>
      </c>
      <c r="D932" s="188" t="n">
        <v>8.800000000000001</v>
      </c>
      <c r="E932" s="188" t="inlineStr">
        <is>
          <t>HIGH</t>
        </is>
      </c>
      <c r="F932" s="188" t="n">
        <v>2</v>
      </c>
      <c r="G932" s="188" t="n">
        <v>3</v>
      </c>
      <c r="H932" s="188" t="inlineStr">
        <is>
          <t>HIGH</t>
        </is>
      </c>
      <c r="I932" s="188" t="n">
        <v>14.8</v>
      </c>
      <c r="J932" s="188" t="inlineStr">
        <is>
          <t>NO</t>
        </is>
      </c>
      <c r="K932" s="188" t="inlineStr">
        <is>
          <t>https://nvd.nist.gov/vuln/detail/CVE-2026-2927</t>
        </is>
      </c>
      <c r="L932" s="188" t="inlineStr">
        <is>
          <t>2026-02-26 00:15</t>
        </is>
      </c>
      <c r="M932" s="188" t="inlineStr">
        <is>
          <t>CHECK_VENDOR</t>
        </is>
      </c>
      <c r="N932" s="188" t="inlineStr">
        <is>
          <t>See NVD references</t>
        </is>
      </c>
      <c r="O932" s="188" t="inlineStr">
        <is>
          <t>Apply vendor patches</t>
        </is>
      </c>
      <c r="P932" s="188" t="inlineStr">
        <is>
          <t>dlink dwr-m960 b1 | dlink dwr-m960_firmware 1.01.07</t>
        </is>
      </c>
      <c r="Q932" s="188" t="inlineStr">
        <is>
          <t>P3</t>
        </is>
      </c>
      <c r="R932" s="188" t="inlineStr">
        <is>
          <t>🚨 URGENT: Apply vendor patches immediately | 🔒 Isolate affected systems if patch unavailable | 🛡️ Enable additional monitoring/IDS rules</t>
        </is>
      </c>
      <c r="S932" s="188" t="inlineStr">
        <is>
          <t>CVE - IP enrichment n/a</t>
        </is>
      </c>
      <c r="T932" s="188" t="n">
        <v>0</v>
      </c>
      <c r="U932" s="188" t="n">
        <v>0</v>
      </c>
      <c r="V932" s="188" t="inlineStr">
        <is>
          <t>T1203:Exploitation for Client Execution</t>
        </is>
      </c>
      <c r="W932" s="188" t="n">
        <v>1</v>
      </c>
      <c r="X932" s="188" t="inlineStr">
        <is>
          <t>LOW (40%)</t>
        </is>
      </c>
      <c r="Y932" s="188" t="inlineStr">
        <is>
          <t>UNLIKELY</t>
        </is>
      </c>
      <c r="Z932" s="188" t="inlineStr">
        <is>
          <t>CHECK_VENDOR</t>
        </is>
      </c>
      <c r="AA932" s="188" t="inlineStr">
        <is>
          <t>https://nvd.nist.gov/vuln/detail/CVE-2026-2927</t>
        </is>
      </c>
      <c r="AB932" s="188" t="inlineStr">
        <is>
          <t>NONE</t>
        </is>
      </c>
      <c r="AC932" s="188" t="n">
        <v>0</v>
      </c>
      <c r="AD932" s="188" t="inlineStr"/>
    </row>
    <row r="933">
      <c r="A933" s="188" t="inlineStr">
        <is>
          <t>CVE</t>
        </is>
      </c>
      <c r="B933" s="188" t="inlineStr">
        <is>
          <t>CVE-2026-2928</t>
        </is>
      </c>
      <c r="C933" s="188" t="inlineStr">
        <is>
          <t>A vulnerability was found in D-Link DWR-M960 1.01.07. This issue affects the function sub_452CCC of the file /boafrm/formWlEncrypt of the component WLAN Encryption Configuration Endpoint. The manipulation of the argument submit-url results in stack-based buffer overflow. The attack may be launched remotely. The exploit has been made public and could be used.</t>
        </is>
      </c>
      <c r="D933" s="188" t="n">
        <v>8.800000000000001</v>
      </c>
      <c r="E933" s="188" t="inlineStr">
        <is>
          <t>HIGH</t>
        </is>
      </c>
      <c r="F933" s="188" t="n">
        <v>2</v>
      </c>
      <c r="G933" s="188" t="n">
        <v>3</v>
      </c>
      <c r="H933" s="188" t="inlineStr">
        <is>
          <t>HIGH</t>
        </is>
      </c>
      <c r="I933" s="188" t="n">
        <v>14.8</v>
      </c>
      <c r="J933" s="188" t="inlineStr">
        <is>
          <t>NO</t>
        </is>
      </c>
      <c r="K933" s="188" t="inlineStr">
        <is>
          <t>https://nvd.nist.gov/vuln/detail/CVE-2026-2928</t>
        </is>
      </c>
      <c r="L933" s="188" t="inlineStr">
        <is>
          <t>2026-02-26 00:15</t>
        </is>
      </c>
      <c r="M933" s="188" t="inlineStr">
        <is>
          <t>CHECK_VENDOR</t>
        </is>
      </c>
      <c r="N933" s="188" t="inlineStr">
        <is>
          <t>See NVD references</t>
        </is>
      </c>
      <c r="O933" s="188" t="inlineStr">
        <is>
          <t>Apply vendor patches</t>
        </is>
      </c>
      <c r="P933" s="188" t="inlineStr">
        <is>
          <t>dlink dwr-m960 b1 | dlink dwr-m960_firmware 1.01.07</t>
        </is>
      </c>
      <c r="Q933" s="188" t="inlineStr">
        <is>
          <t>P3</t>
        </is>
      </c>
      <c r="R933" s="188" t="inlineStr">
        <is>
          <t>🚨 URGENT: Apply vendor patches immediately | 🔒 Isolate affected systems if patch unavailable | 🛡️ Enable additional monitoring/IDS rules</t>
        </is>
      </c>
      <c r="S933" s="188" t="inlineStr">
        <is>
          <t>CVE - IP enrichment n/a</t>
        </is>
      </c>
      <c r="T933" s="188" t="n">
        <v>0.0002</v>
      </c>
      <c r="U933" s="188" t="n">
        <v>0.0503</v>
      </c>
      <c r="V933" s="188" t="inlineStr">
        <is>
          <t>T1203:Exploitation for Client Execution</t>
        </is>
      </c>
      <c r="W933" s="188" t="n">
        <v>1</v>
      </c>
      <c r="X933" s="188" t="inlineStr">
        <is>
          <t>LOW (40%)</t>
        </is>
      </c>
      <c r="Y933" s="188" t="inlineStr">
        <is>
          <t>UNLIKELY</t>
        </is>
      </c>
      <c r="Z933" s="188" t="inlineStr">
        <is>
          <t>CHECK_VENDOR</t>
        </is>
      </c>
      <c r="AA933" s="188" t="inlineStr">
        <is>
          <t>https://nvd.nist.gov/vuln/detail/CVE-2026-2928</t>
        </is>
      </c>
      <c r="AB933" s="188" t="inlineStr">
        <is>
          <t>NONE</t>
        </is>
      </c>
      <c r="AC933" s="188" t="n">
        <v>0</v>
      </c>
      <c r="AD933" s="188" t="inlineStr"/>
    </row>
    <row r="934">
      <c r="A934" s="187" t="inlineStr">
        <is>
          <t>CVE</t>
        </is>
      </c>
      <c r="B934" s="187" t="inlineStr">
        <is>
          <t>CVE-2026-1369</t>
        </is>
      </c>
      <c r="C934" s="187" t="inlineStr">
        <is>
          <t>The Conditional CAPTCHA WordPress plugin through 4.0.0 does not validate a parameter before redirecting the user to its value, leading to an Open Redirect issue</t>
        </is>
      </c>
      <c r="D934" s="187" t="n">
        <v>4.3</v>
      </c>
      <c r="E934" s="187" t="inlineStr">
        <is>
          <t>MEDIUM</t>
        </is>
      </c>
      <c r="F934" s="187" t="n">
        <v>2</v>
      </c>
      <c r="G934" s="187" t="n">
        <v>2</v>
      </c>
      <c r="H934" s="187" t="inlineStr">
        <is>
          <t>MEDIUM</t>
        </is>
      </c>
      <c r="I934" s="187" t="n">
        <v>8.300000000000001</v>
      </c>
      <c r="J934" s="187" t="inlineStr">
        <is>
          <t>NO</t>
        </is>
      </c>
      <c r="K934" s="187" t="inlineStr">
        <is>
          <t>https://nvd.nist.gov/vuln/detail/CVE-2026-1369</t>
        </is>
      </c>
      <c r="L934" s="187" t="inlineStr">
        <is>
          <t>2026-02-26 00:15</t>
        </is>
      </c>
      <c r="M934" s="187" t="inlineStr">
        <is>
          <t>CHECK_VENDOR</t>
        </is>
      </c>
      <c r="N934" s="187" t="inlineStr">
        <is>
          <t>See NVD references</t>
        </is>
      </c>
      <c r="O934" s="187" t="inlineStr">
        <is>
          <t>Apply vendor patches</t>
        </is>
      </c>
      <c r="P934" s="187" t="inlineStr">
        <is>
          <t>See CVE details</t>
        </is>
      </c>
      <c r="Q934" s="187" t="inlineStr">
        <is>
          <t>P4</t>
        </is>
      </c>
      <c r="R934" s="187" t="inlineStr">
        <is>
          <t>📅 Schedule patch deployment within 30 days | 🔍 Monitor for exploitation attempts</t>
        </is>
      </c>
      <c r="S934" s="187" t="inlineStr">
        <is>
          <t>CVE - IP enrichment n/a</t>
        </is>
      </c>
      <c r="T934" s="187" t="n">
        <v>0.0003</v>
      </c>
      <c r="U934" s="187" t="n">
        <v>0.0766</v>
      </c>
      <c r="V934" s="187" t="inlineStr">
        <is>
          <t>T1189:Drive-by Compromise</t>
        </is>
      </c>
      <c r="W934" s="187" t="n">
        <v>1</v>
      </c>
      <c r="X934" s="187" t="inlineStr">
        <is>
          <t>LOW (40%)</t>
        </is>
      </c>
      <c r="Y934" s="187" t="inlineStr">
        <is>
          <t>UNLIKELY</t>
        </is>
      </c>
      <c r="Z934" s="187" t="inlineStr">
        <is>
          <t>CHECK_VENDOR</t>
        </is>
      </c>
      <c r="AA934" s="187" t="inlineStr">
        <is>
          <t>https://nvd.nist.gov/vuln/detail/CVE-2026-1369</t>
        </is>
      </c>
      <c r="AB934" s="187" t="inlineStr">
        <is>
          <t>NONE</t>
        </is>
      </c>
      <c r="AC934" s="187" t="n">
        <v>0</v>
      </c>
      <c r="AD934" s="187" t="inlineStr"/>
    </row>
    <row r="935">
      <c r="A935" s="188" t="inlineStr">
        <is>
          <t>CVE</t>
        </is>
      </c>
      <c r="B935" s="188" t="inlineStr">
        <is>
          <t>CVE-2026-2929</t>
        </is>
      </c>
      <c r="C935" s="188" t="inlineStr">
        <is>
          <t>A vulnerability was determined in D-Link DWR-M960 1.01.07. Impacted is the function sub_453140 of the file /boafrm/formWlAc of the component Wireless Access Control Endpoint. This manipulation of the argument submit-url causes stack-based buffer overflow. Remote exploitation of the attack is possible. The exploit has been publicly disclosed and may be utilized.</t>
        </is>
      </c>
      <c r="D935" s="188" t="n">
        <v>8.800000000000001</v>
      </c>
      <c r="E935" s="188" t="inlineStr">
        <is>
          <t>HIGH</t>
        </is>
      </c>
      <c r="F935" s="188" t="n">
        <v>2</v>
      </c>
      <c r="G935" s="188" t="n">
        <v>3</v>
      </c>
      <c r="H935" s="188" t="inlineStr">
        <is>
          <t>HIGH</t>
        </is>
      </c>
      <c r="I935" s="188" t="n">
        <v>14.8</v>
      </c>
      <c r="J935" s="188" t="inlineStr">
        <is>
          <t>NO</t>
        </is>
      </c>
      <c r="K935" s="188" t="inlineStr">
        <is>
          <t>https://nvd.nist.gov/vuln/detail/CVE-2026-2929</t>
        </is>
      </c>
      <c r="L935" s="188" t="inlineStr">
        <is>
          <t>2026-02-26 00:15</t>
        </is>
      </c>
      <c r="M935" s="188" t="inlineStr">
        <is>
          <t>CHECK_VENDOR</t>
        </is>
      </c>
      <c r="N935" s="188" t="inlineStr">
        <is>
          <t>See NVD references</t>
        </is>
      </c>
      <c r="O935" s="188" t="inlineStr">
        <is>
          <t>Apply vendor patches</t>
        </is>
      </c>
      <c r="P935" s="188" t="inlineStr">
        <is>
          <t>dlink dwr-m960 b1 | dlink dwr-m960_firmware 1.01.07</t>
        </is>
      </c>
      <c r="Q935" s="188" t="inlineStr">
        <is>
          <t>P3</t>
        </is>
      </c>
      <c r="R935" s="188" t="inlineStr">
        <is>
          <t>🚨 URGENT: Apply vendor patches immediately | 🔒 Isolate affected systems if patch unavailable | 🛡️ Enable additional monitoring/IDS rules</t>
        </is>
      </c>
      <c r="S935" s="188" t="inlineStr">
        <is>
          <t>CVE - IP enrichment n/a</t>
        </is>
      </c>
      <c r="T935" s="188" t="n">
        <v>0.0003</v>
      </c>
      <c r="U935" s="188" t="n">
        <v>0.0823</v>
      </c>
      <c r="V935" s="188" t="inlineStr">
        <is>
          <t>T1203:Exploitation for Client Execution</t>
        </is>
      </c>
      <c r="W935" s="188" t="n">
        <v>1</v>
      </c>
      <c r="X935" s="188" t="inlineStr">
        <is>
          <t>LOW (40%)</t>
        </is>
      </c>
      <c r="Y935" s="188" t="inlineStr">
        <is>
          <t>UNLIKELY</t>
        </is>
      </c>
      <c r="Z935" s="188" t="inlineStr">
        <is>
          <t>CHECK_VENDOR</t>
        </is>
      </c>
      <c r="AA935" s="188" t="inlineStr">
        <is>
          <t>https://nvd.nist.gov/vuln/detail/CVE-2026-2929</t>
        </is>
      </c>
      <c r="AB935" s="188" t="inlineStr">
        <is>
          <t>NONE</t>
        </is>
      </c>
      <c r="AC935" s="188" t="n">
        <v>0</v>
      </c>
      <c r="AD935" s="188" t="inlineStr"/>
    </row>
    <row r="936">
      <c r="A936" s="187" t="inlineStr">
        <is>
          <t>CVE</t>
        </is>
      </c>
      <c r="B936" s="187" t="inlineStr">
        <is>
          <t>CVE-2026-2930</t>
        </is>
      </c>
      <c r="C936" s="187" t="inlineStr">
        <is>
          <t>A vulnerability was identified in Tenda A18 15.13.07.13. The affected element is the function webCgiGetUploadFile of the file /cgi-bin/UploadCfg of the component Httpd Service. Such manipulation of the argument boundary leads to stack-based buffer overflow. The attack can be executed remotely. The exploit is publicly available and might be used.</t>
        </is>
      </c>
      <c r="D936" s="187" t="n">
        <v>6.3</v>
      </c>
      <c r="E936" s="187" t="inlineStr">
        <is>
          <t>MEDIUM</t>
        </is>
      </c>
      <c r="F936" s="187" t="n">
        <v>2</v>
      </c>
      <c r="G936" s="187" t="n">
        <v>2</v>
      </c>
      <c r="H936" s="187" t="inlineStr">
        <is>
          <t>MEDIUM</t>
        </is>
      </c>
      <c r="I936" s="187" t="n">
        <v>10.3</v>
      </c>
      <c r="J936" s="187" t="inlineStr">
        <is>
          <t>NO</t>
        </is>
      </c>
      <c r="K936" s="187" t="inlineStr">
        <is>
          <t>https://nvd.nist.gov/vuln/detail/CVE-2026-2930</t>
        </is>
      </c>
      <c r="L936" s="187" t="inlineStr">
        <is>
          <t>2026-02-26 00:15</t>
        </is>
      </c>
      <c r="M936" s="187" t="inlineStr">
        <is>
          <t>CHECK_VENDOR</t>
        </is>
      </c>
      <c r="N936" s="187" t="inlineStr">
        <is>
          <t>See NVD references</t>
        </is>
      </c>
      <c r="O936" s="187" t="inlineStr">
        <is>
          <t>Apply vendor patches</t>
        </is>
      </c>
      <c r="P936" s="187" t="inlineStr">
        <is>
          <t>tenda a18 - | tenda a18_firmware 15.13.07.13</t>
        </is>
      </c>
      <c r="Q936" s="187" t="inlineStr">
        <is>
          <t>P4</t>
        </is>
      </c>
      <c r="R936" s="187" t="inlineStr">
        <is>
          <t>📅 Schedule patch deployment within 30 days | 🔍 Monitor for exploitation attempts</t>
        </is>
      </c>
      <c r="S936" s="187" t="inlineStr">
        <is>
          <t>CVE - IP enrichment n/a</t>
        </is>
      </c>
      <c r="T936" s="187" t="n">
        <v>0.0005</v>
      </c>
      <c r="U936" s="187" t="n">
        <v>0.1511</v>
      </c>
      <c r="V936" s="187" t="inlineStr">
        <is>
          <t>T1203:Exploitation for Client Execution</t>
        </is>
      </c>
      <c r="W936" s="187" t="n">
        <v>1</v>
      </c>
      <c r="X936" s="187" t="inlineStr">
        <is>
          <t>LOW (40%)</t>
        </is>
      </c>
      <c r="Y936" s="187" t="inlineStr">
        <is>
          <t>UNLIKELY</t>
        </is>
      </c>
      <c r="Z936" s="187" t="inlineStr">
        <is>
          <t>CHECK_VENDOR</t>
        </is>
      </c>
      <c r="AA936" s="187" t="inlineStr">
        <is>
          <t>https://nvd.nist.gov/vuln/detail/CVE-2026-2930</t>
        </is>
      </c>
      <c r="AB936" s="187" t="inlineStr">
        <is>
          <t>NONE</t>
        </is>
      </c>
      <c r="AC936" s="187" t="n">
        <v>0</v>
      </c>
      <c r="AD936" s="187" t="inlineStr"/>
    </row>
    <row r="937">
      <c r="A937" s="190" t="inlineStr">
        <is>
          <t>CVE</t>
        </is>
      </c>
      <c r="B937" s="190" t="inlineStr">
        <is>
          <t>CVE-2026-2932</t>
        </is>
      </c>
      <c r="C937" s="190" t="inlineStr">
        <is>
          <t>A security flaw has been discovered in YiFang CMS up to 2.0.5. The impacted element is the function update of the file app/db/admin/D_adPosition.php of the component Extended Management Module. Performing a manipulation of the argument name/index results in cross site scripting. The attack is possible to be carried out remotely. The exploit has been released to the public and may be used for attacks.</t>
        </is>
      </c>
      <c r="D937" s="190" t="n">
        <v>2.4</v>
      </c>
      <c r="E937" s="190" t="inlineStr">
        <is>
          <t>LOW</t>
        </is>
      </c>
      <c r="F937" s="190" t="n">
        <v>2</v>
      </c>
      <c r="G937" s="190" t="n">
        <v>1</v>
      </c>
      <c r="H937" s="190" t="inlineStr">
        <is>
          <t>LOW</t>
        </is>
      </c>
      <c r="I937" s="190" t="n">
        <v>4.4</v>
      </c>
      <c r="J937" s="190" t="inlineStr">
        <is>
          <t>NO</t>
        </is>
      </c>
      <c r="K937" s="190" t="inlineStr">
        <is>
          <t>https://nvd.nist.gov/vuln/detail/CVE-2026-2932</t>
        </is>
      </c>
      <c r="L937" s="190" t="inlineStr">
        <is>
          <t>2026-02-26 00:15</t>
        </is>
      </c>
      <c r="M937" s="190" t="inlineStr">
        <is>
          <t>CHECK_VENDOR</t>
        </is>
      </c>
      <c r="N937" s="190" t="inlineStr">
        <is>
          <t>See NVD references</t>
        </is>
      </c>
      <c r="O937" s="190" t="inlineStr">
        <is>
          <t>Apply vendor patches</t>
        </is>
      </c>
      <c r="P937" s="190" t="inlineStr">
        <is>
          <t>yifangcms yifang *</t>
        </is>
      </c>
      <c r="Q937" s="190" t="inlineStr">
        <is>
          <t>P4</t>
        </is>
      </c>
      <c r="R937" s="190" t="inlineStr">
        <is>
          <t>📅 Schedule patch deployment within 30 days | 🔍 Monitor for exploitation attempts</t>
        </is>
      </c>
      <c r="S937" s="190" t="inlineStr">
        <is>
          <t>CVE - IP enrichment n/a</t>
        </is>
      </c>
      <c r="T937" s="190" t="n">
        <v>0</v>
      </c>
      <c r="U937" s="190" t="n">
        <v>0</v>
      </c>
      <c r="V937" s="190" t="inlineStr">
        <is>
          <t>T1189:Drive-by Compromise</t>
        </is>
      </c>
      <c r="W937" s="190" t="n">
        <v>1</v>
      </c>
      <c r="X937" s="190" t="inlineStr">
        <is>
          <t>LOW (40%)</t>
        </is>
      </c>
      <c r="Y937" s="190" t="inlineStr">
        <is>
          <t>UNLIKELY</t>
        </is>
      </c>
      <c r="Z937" s="190" t="inlineStr">
        <is>
          <t>CHECK_VENDOR</t>
        </is>
      </c>
      <c r="AA937" s="190" t="inlineStr">
        <is>
          <t>https://nvd.nist.gov/vuln/detail/CVE-2026-2932</t>
        </is>
      </c>
      <c r="AB937" s="190" t="inlineStr">
        <is>
          <t>NONE</t>
        </is>
      </c>
      <c r="AC937" s="190" t="n">
        <v>0</v>
      </c>
      <c r="AD937" s="190" t="inlineStr"/>
    </row>
    <row r="938">
      <c r="A938" s="190" t="inlineStr">
        <is>
          <t>CVE</t>
        </is>
      </c>
      <c r="B938" s="190" t="inlineStr">
        <is>
          <t>CVE-2026-2933</t>
        </is>
      </c>
      <c r="C938" s="190" t="inlineStr">
        <is>
          <t>A weakness has been identified in YiFang CMS up to 2.0.5. This affects the function update of the file app/db/admin/D_adManage.php of the component Extended Management Module. Executing a manipulation of the argument Name can lead to cross site scripting. The attack may be performed from remote. The exploit has been made available to the public and could be used for attacks.</t>
        </is>
      </c>
      <c r="D938" s="190" t="n">
        <v>2.4</v>
      </c>
      <c r="E938" s="190" t="inlineStr">
        <is>
          <t>LOW</t>
        </is>
      </c>
      <c r="F938" s="190" t="n">
        <v>2</v>
      </c>
      <c r="G938" s="190" t="n">
        <v>1</v>
      </c>
      <c r="H938" s="190" t="inlineStr">
        <is>
          <t>LOW</t>
        </is>
      </c>
      <c r="I938" s="190" t="n">
        <v>4.4</v>
      </c>
      <c r="J938" s="190" t="inlineStr">
        <is>
          <t>NO</t>
        </is>
      </c>
      <c r="K938" s="190" t="inlineStr">
        <is>
          <t>https://nvd.nist.gov/vuln/detail/CVE-2026-2933</t>
        </is>
      </c>
      <c r="L938" s="190" t="inlineStr">
        <is>
          <t>2026-02-26 00:15</t>
        </is>
      </c>
      <c r="M938" s="190" t="inlineStr">
        <is>
          <t>CHECK_VENDOR</t>
        </is>
      </c>
      <c r="N938" s="190" t="inlineStr">
        <is>
          <t>See NVD references</t>
        </is>
      </c>
      <c r="O938" s="190" t="inlineStr">
        <is>
          <t>Apply vendor patches</t>
        </is>
      </c>
      <c r="P938" s="190" t="inlineStr">
        <is>
          <t>yifangcms yifang *</t>
        </is>
      </c>
      <c r="Q938" s="190" t="inlineStr">
        <is>
          <t>P4</t>
        </is>
      </c>
      <c r="R938" s="190" t="inlineStr">
        <is>
          <t>📅 Schedule patch deployment within 30 days | 🔍 Monitor for exploitation attempts</t>
        </is>
      </c>
      <c r="S938" s="190" t="inlineStr">
        <is>
          <t>CVE - IP enrichment n/a</t>
        </is>
      </c>
      <c r="T938" s="190" t="n">
        <v>0</v>
      </c>
      <c r="U938" s="190" t="n">
        <v>0</v>
      </c>
      <c r="V938" s="190" t="inlineStr">
        <is>
          <t>T1189:Drive-by Compromise</t>
        </is>
      </c>
      <c r="W938" s="190" t="n">
        <v>1</v>
      </c>
      <c r="X938" s="190" t="inlineStr">
        <is>
          <t>LOW (40%)</t>
        </is>
      </c>
      <c r="Y938" s="190" t="inlineStr">
        <is>
          <t>UNLIKELY</t>
        </is>
      </c>
      <c r="Z938" s="190" t="inlineStr">
        <is>
          <t>CHECK_VENDOR</t>
        </is>
      </c>
      <c r="AA938" s="190" t="inlineStr">
        <is>
          <t>https://nvd.nist.gov/vuln/detail/CVE-2026-2933</t>
        </is>
      </c>
      <c r="AB938" s="190" t="inlineStr">
        <is>
          <t>NONE</t>
        </is>
      </c>
      <c r="AC938" s="190" t="n">
        <v>0</v>
      </c>
      <c r="AD938" s="190" t="inlineStr"/>
    </row>
    <row r="939">
      <c r="A939" s="187" t="inlineStr">
        <is>
          <t>CVE</t>
        </is>
      </c>
      <c r="B939" s="187" t="inlineStr">
        <is>
          <t>CVE-2026-2385</t>
        </is>
      </c>
      <c r="C939" s="187" t="inlineStr">
        <is>
          <t>The The Plus Addons for Elementor – Addons for Elementor, Page Templates, Widgets, Mega Menu, WooCommerce plugin for WordPress is vulnerable to Insufficient Verification of Data Authenticity in all versions up to, and including, 6.4.7. This is due to the plugin decrypting and trusting attacker-controlled email_data in an unauthenticated AJAX handler without cryptographic authenticity guarantees. This makes it possible for unauthenticated attackers to tamper with form email routing and redirectio</t>
        </is>
      </c>
      <c r="D939" s="187" t="n">
        <v>5.3</v>
      </c>
      <c r="E939" s="187" t="inlineStr">
        <is>
          <t>MEDIUM</t>
        </is>
      </c>
      <c r="F939" s="187" t="n">
        <v>2</v>
      </c>
      <c r="G939" s="187" t="n">
        <v>2</v>
      </c>
      <c r="H939" s="187" t="inlineStr">
        <is>
          <t>MEDIUM</t>
        </is>
      </c>
      <c r="I939" s="187" t="n">
        <v>9.300000000000001</v>
      </c>
      <c r="J939" s="187" t="inlineStr">
        <is>
          <t>NO</t>
        </is>
      </c>
      <c r="K939" s="187" t="inlineStr">
        <is>
          <t>https://nvd.nist.gov/vuln/detail/CVE-2026-2385</t>
        </is>
      </c>
      <c r="L939" s="187" t="inlineStr">
        <is>
          <t>2026-02-26 00:15</t>
        </is>
      </c>
      <c r="M939" s="187" t="inlineStr">
        <is>
          <t>CHECK_VENDOR</t>
        </is>
      </c>
      <c r="N939" s="187" t="inlineStr">
        <is>
          <t>See NVD references</t>
        </is>
      </c>
      <c r="O939" s="187" t="inlineStr">
        <is>
          <t>Apply vendor patches</t>
        </is>
      </c>
      <c r="P939" s="187" t="inlineStr">
        <is>
          <t>See CVE details</t>
        </is>
      </c>
      <c r="Q939" s="187" t="inlineStr">
        <is>
          <t>P4</t>
        </is>
      </c>
      <c r="R939" s="187" t="inlineStr">
        <is>
          <t>📅 Schedule patch deployment within 30 days | 🔍 Monitor for exploitation attempts</t>
        </is>
      </c>
      <c r="S939" s="187" t="inlineStr">
        <is>
          <t>CVE - IP enrichment n/a</t>
        </is>
      </c>
      <c r="T939" s="187" t="n">
        <v>0</v>
      </c>
      <c r="U939" s="187" t="n">
        <v>0</v>
      </c>
      <c r="V939" s="187" t="inlineStr">
        <is>
          <t>T1190:Exploit Public-Facing Application | T1600:Weaken Encryption</t>
        </is>
      </c>
      <c r="W939" s="187" t="n">
        <v>1</v>
      </c>
      <c r="X939" s="187" t="inlineStr">
        <is>
          <t>LOW (40%)</t>
        </is>
      </c>
      <c r="Y939" s="187" t="inlineStr">
        <is>
          <t>UNLIKELY</t>
        </is>
      </c>
      <c r="Z939" s="187" t="inlineStr">
        <is>
          <t>CHECK_VENDOR</t>
        </is>
      </c>
      <c r="AA939" s="187" t="inlineStr">
        <is>
          <t>https://nvd.nist.gov/vuln/detail/CVE-2026-2385</t>
        </is>
      </c>
      <c r="AB939" s="187" t="inlineStr">
        <is>
          <t>NONE</t>
        </is>
      </c>
      <c r="AC939" s="187" t="n">
        <v>0</v>
      </c>
      <c r="AD939" s="187" t="inlineStr"/>
    </row>
    <row r="940">
      <c r="A940" s="190" t="inlineStr">
        <is>
          <t>CVE</t>
        </is>
      </c>
      <c r="B940" s="190" t="inlineStr">
        <is>
          <t>CVE-2026-2934</t>
        </is>
      </c>
      <c r="C940" s="190" t="inlineStr">
        <is>
          <t>A security vulnerability has been detected in YiFang CMS up to 2.0.5. This impacts the function update of the file app/db/admin/D_friendLinkGroup.php of the component Extended Management Module. The manipulation of the argument Name leads to cross site scripting. It is possible to initiate the attack remotely. The exploit has been disclosed publicly and may be used.</t>
        </is>
      </c>
      <c r="D940" s="190" t="n">
        <v>2.4</v>
      </c>
      <c r="E940" s="190" t="inlineStr">
        <is>
          <t>LOW</t>
        </is>
      </c>
      <c r="F940" s="190" t="n">
        <v>2</v>
      </c>
      <c r="G940" s="190" t="n">
        <v>1</v>
      </c>
      <c r="H940" s="190" t="inlineStr">
        <is>
          <t>LOW</t>
        </is>
      </c>
      <c r="I940" s="190" t="n">
        <v>4.4</v>
      </c>
      <c r="J940" s="190" t="inlineStr">
        <is>
          <t>NO</t>
        </is>
      </c>
      <c r="K940" s="190" t="inlineStr">
        <is>
          <t>https://nvd.nist.gov/vuln/detail/CVE-2026-2934</t>
        </is>
      </c>
      <c r="L940" s="190" t="inlineStr">
        <is>
          <t>2026-02-26 00:15</t>
        </is>
      </c>
      <c r="M940" s="190" t="inlineStr">
        <is>
          <t>CHECK_VENDOR</t>
        </is>
      </c>
      <c r="N940" s="190" t="inlineStr">
        <is>
          <t>See NVD references</t>
        </is>
      </c>
      <c r="O940" s="190" t="inlineStr">
        <is>
          <t>Apply vendor patches</t>
        </is>
      </c>
      <c r="P940" s="190" t="inlineStr">
        <is>
          <t>yifangcms yifang *</t>
        </is>
      </c>
      <c r="Q940" s="190" t="inlineStr">
        <is>
          <t>P4</t>
        </is>
      </c>
      <c r="R940" s="190" t="inlineStr">
        <is>
          <t>📅 Schedule patch deployment within 30 days | 🔍 Monitor for exploitation attempts</t>
        </is>
      </c>
      <c r="S940" s="190" t="inlineStr">
        <is>
          <t>CVE - IP enrichment n/a</t>
        </is>
      </c>
      <c r="T940" s="190" t="n">
        <v>0</v>
      </c>
      <c r="U940" s="190" t="n">
        <v>0</v>
      </c>
      <c r="V940" s="190" t="inlineStr">
        <is>
          <t>T1189:Drive-by Compromise</t>
        </is>
      </c>
      <c r="W940" s="190" t="n">
        <v>1</v>
      </c>
      <c r="X940" s="190" t="inlineStr">
        <is>
          <t>LOW (40%)</t>
        </is>
      </c>
      <c r="Y940" s="190" t="inlineStr">
        <is>
          <t>UNLIKELY</t>
        </is>
      </c>
      <c r="Z940" s="190" t="inlineStr">
        <is>
          <t>CHECK_VENDOR</t>
        </is>
      </c>
      <c r="AA940" s="190" t="inlineStr">
        <is>
          <t>https://nvd.nist.gov/vuln/detail/CVE-2026-2934</t>
        </is>
      </c>
      <c r="AB940" s="190" t="inlineStr">
        <is>
          <t>NONE</t>
        </is>
      </c>
      <c r="AC940" s="190" t="n">
        <v>0</v>
      </c>
      <c r="AD940" s="190" t="inlineStr"/>
    </row>
    <row r="941">
      <c r="A941" s="188" t="inlineStr">
        <is>
          <t>CVE</t>
        </is>
      </c>
      <c r="B941" s="188" t="inlineStr">
        <is>
          <t>CVE-2026-2935</t>
        </is>
      </c>
      <c r="C941" s="188" t="inlineStr">
        <is>
          <t>A weakness has been identified in UTT HiPER 810G up to 1.7.7-171114. This issue affects the function strcpy of the file /goform/ConfigExceptMSN. Executing a manipulation of the argument remark can lead to buffer overflow. The attack can be executed remotely. The exploit has been made available to the public and could be used for attacks.</t>
        </is>
      </c>
      <c r="D941" s="188" t="n">
        <v>7.2</v>
      </c>
      <c r="E941" s="188" t="inlineStr">
        <is>
          <t>HIGH</t>
        </is>
      </c>
      <c r="F941" s="188" t="n">
        <v>2</v>
      </c>
      <c r="G941" s="188" t="n">
        <v>3</v>
      </c>
      <c r="H941" s="188" t="inlineStr">
        <is>
          <t>HIGH</t>
        </is>
      </c>
      <c r="I941" s="188" t="n">
        <v>13.2</v>
      </c>
      <c r="J941" s="188" t="inlineStr">
        <is>
          <t>NO</t>
        </is>
      </c>
      <c r="K941" s="188" t="inlineStr">
        <is>
          <t>https://nvd.nist.gov/vuln/detail/CVE-2026-2935</t>
        </is>
      </c>
      <c r="L941" s="188" t="inlineStr">
        <is>
          <t>2026-02-26 00:15</t>
        </is>
      </c>
      <c r="M941" s="188" t="inlineStr">
        <is>
          <t>YES</t>
        </is>
      </c>
      <c r="N941" s="188" t="inlineStr">
        <is>
          <t>https://github.com/alc9700jmo/CVE/issues/23</t>
        </is>
      </c>
      <c r="O941" s="188" t="inlineStr">
        <is>
          <t>https://github.com/alc9700jmo/CVE/issues/23</t>
        </is>
      </c>
      <c r="P941" s="188" t="inlineStr">
        <is>
          <t>utt 810g_firmware * | utt 810g 3.0</t>
        </is>
      </c>
      <c r="Q941" s="188" t="inlineStr">
        <is>
          <t>P3</t>
        </is>
      </c>
      <c r="R941" s="188" t="inlineStr">
        <is>
          <t>🚨 URGENT: Apply vendor patches immediately | 🔒 Isolate affected systems if patch unavailable | 🛡️ Enable additional monitoring/IDS rules</t>
        </is>
      </c>
      <c r="S941" s="188" t="inlineStr">
        <is>
          <t>CVE - IP enrichment n/a</t>
        </is>
      </c>
      <c r="T941" s="188" t="n">
        <v>0</v>
      </c>
      <c r="U941" s="188" t="n">
        <v>0</v>
      </c>
      <c r="V941" s="188" t="inlineStr">
        <is>
          <t>T1203:Exploitation for Client Execution</t>
        </is>
      </c>
      <c r="W941" s="188" t="n">
        <v>1</v>
      </c>
      <c r="X941" s="188" t="inlineStr">
        <is>
          <t>LOW (40%)</t>
        </is>
      </c>
      <c r="Y941" s="188" t="inlineStr">
        <is>
          <t>UNLIKELY</t>
        </is>
      </c>
      <c r="Z941" s="188" t="inlineStr">
        <is>
          <t>PATCH_AVAILABLE</t>
        </is>
      </c>
      <c r="AA941" s="188" t="inlineStr">
        <is>
          <t>https://nvd.nist.gov/vuln/detail/CVE-2026-2935</t>
        </is>
      </c>
      <c r="AB941" s="188" t="inlineStr">
        <is>
          <t>NONE</t>
        </is>
      </c>
      <c r="AC941" s="188" t="n">
        <v>0</v>
      </c>
      <c r="AD941" s="188" t="inlineStr"/>
    </row>
    <row r="942">
      <c r="A942" s="188" t="inlineStr">
        <is>
          <t>CVE</t>
        </is>
      </c>
      <c r="B942" s="188" t="inlineStr">
        <is>
          <t>CVE-2026-2938</t>
        </is>
      </c>
      <c r="C942" s="188" t="inlineStr">
        <is>
          <t>A vulnerability has been found in SourceCodester Student Result Management System 1.0. The affected element is an unknown function of the file /srms/script/admin/core/update_smtp.php. The manipulation leads to improper access controls. It is possible to initiate the attack remotely. The exploit has been disclosed to the public and may be used.</t>
        </is>
      </c>
      <c r="D942" s="188" t="n">
        <v>7.3</v>
      </c>
      <c r="E942" s="188" t="inlineStr">
        <is>
          <t>HIGH</t>
        </is>
      </c>
      <c r="F942" s="188" t="n">
        <v>2</v>
      </c>
      <c r="G942" s="188" t="n">
        <v>3</v>
      </c>
      <c r="H942" s="188" t="inlineStr">
        <is>
          <t>HIGH</t>
        </is>
      </c>
      <c r="I942" s="188" t="n">
        <v>13.3</v>
      </c>
      <c r="J942" s="188" t="inlineStr">
        <is>
          <t>NO</t>
        </is>
      </c>
      <c r="K942" s="188" t="inlineStr">
        <is>
          <t>https://nvd.nist.gov/vuln/detail/CVE-2026-2938</t>
        </is>
      </c>
      <c r="L942" s="188" t="inlineStr">
        <is>
          <t>2026-02-26 00:15</t>
        </is>
      </c>
      <c r="M942" s="188" t="inlineStr">
        <is>
          <t>CHECK_VENDOR</t>
        </is>
      </c>
      <c r="N942" s="188" t="inlineStr">
        <is>
          <t>See NVD references</t>
        </is>
      </c>
      <c r="O942" s="188" t="inlineStr">
        <is>
          <t>Apply vendor patches</t>
        </is>
      </c>
      <c r="P942" s="188" t="inlineStr">
        <is>
          <t>munyweki student_result_management_system 1.0</t>
        </is>
      </c>
      <c r="Q942" s="188" t="inlineStr">
        <is>
          <t>P3</t>
        </is>
      </c>
      <c r="R942" s="188" t="inlineStr">
        <is>
          <t>🚨 URGENT: Apply vendor patches immediately | 🔒 Isolate affected systems if patch unavailable | 🛡️ Enable additional monitoring/IDS rules</t>
        </is>
      </c>
      <c r="S942" s="188" t="inlineStr">
        <is>
          <t>CVE - IP enrichment n/a</t>
        </is>
      </c>
      <c r="T942" s="188" t="n">
        <v>0</v>
      </c>
      <c r="U942" s="188" t="n">
        <v>0</v>
      </c>
      <c r="V942" s="188" t="inlineStr">
        <is>
          <t>T1190:Exploit Public-Facing Application</t>
        </is>
      </c>
      <c r="W942" s="188" t="n">
        <v>1</v>
      </c>
      <c r="X942" s="188" t="inlineStr">
        <is>
          <t>LOW (40%)</t>
        </is>
      </c>
      <c r="Y942" s="188" t="inlineStr">
        <is>
          <t>UNLIKELY</t>
        </is>
      </c>
      <c r="Z942" s="188" t="inlineStr">
        <is>
          <t>CHECK_VENDOR</t>
        </is>
      </c>
      <c r="AA942" s="188" t="inlineStr">
        <is>
          <t>https://nvd.nist.gov/vuln/detail/CVE-2026-2938</t>
        </is>
      </c>
      <c r="AB942" s="188" t="inlineStr">
        <is>
          <t>NONE</t>
        </is>
      </c>
      <c r="AC942" s="188" t="n">
        <v>0</v>
      </c>
      <c r="AD942" s="188" t="inlineStr"/>
    </row>
    <row r="943">
      <c r="A943" s="190" t="inlineStr">
        <is>
          <t>CVE</t>
        </is>
      </c>
      <c r="B943" s="190" t="inlineStr">
        <is>
          <t>CVE-2026-2939</t>
        </is>
      </c>
      <c r="C943" s="190" t="inlineStr">
        <is>
          <t>A vulnerability was found in itsourcecode Student Management System 1.0. The impacted element is an unknown function of the file /add_student/ of the component Add Student Module. The manipulation results in cross site scripting. It is possible to launch the attack remotely. The exploit has been made public and could be used.</t>
        </is>
      </c>
      <c r="D943" s="190" t="n">
        <v>2.4</v>
      </c>
      <c r="E943" s="190" t="inlineStr">
        <is>
          <t>LOW</t>
        </is>
      </c>
      <c r="F943" s="190" t="n">
        <v>2</v>
      </c>
      <c r="G943" s="190" t="n">
        <v>1</v>
      </c>
      <c r="H943" s="190" t="inlineStr">
        <is>
          <t>LOW</t>
        </is>
      </c>
      <c r="I943" s="190" t="n">
        <v>4.4</v>
      </c>
      <c r="J943" s="190" t="inlineStr">
        <is>
          <t>NO</t>
        </is>
      </c>
      <c r="K943" s="190" t="inlineStr">
        <is>
          <t>https://nvd.nist.gov/vuln/detail/CVE-2026-2939</t>
        </is>
      </c>
      <c r="L943" s="190" t="inlineStr">
        <is>
          <t>2026-02-26 00:15</t>
        </is>
      </c>
      <c r="M943" s="190" t="inlineStr">
        <is>
          <t>CHECK_VENDOR</t>
        </is>
      </c>
      <c r="N943" s="190" t="inlineStr">
        <is>
          <t>See NVD references</t>
        </is>
      </c>
      <c r="O943" s="190" t="inlineStr">
        <is>
          <t>Apply vendor patches</t>
        </is>
      </c>
      <c r="P943" s="190" t="inlineStr">
        <is>
          <t>itsourcecode student_management_system 1.0</t>
        </is>
      </c>
      <c r="Q943" s="190" t="inlineStr">
        <is>
          <t>P4</t>
        </is>
      </c>
      <c r="R943" s="190" t="inlineStr">
        <is>
          <t>📅 Schedule patch deployment within 30 days | 🔍 Monitor for exploitation attempts</t>
        </is>
      </c>
      <c r="S943" s="190" t="inlineStr">
        <is>
          <t>CVE - IP enrichment n/a</t>
        </is>
      </c>
      <c r="T943" s="190" t="n">
        <v>0.0004</v>
      </c>
      <c r="U943" s="190" t="n">
        <v>0.1117</v>
      </c>
      <c r="V943" s="190" t="inlineStr">
        <is>
          <t>T1189:Drive-by Compromise | T1190:Exploit Public-Facing Application</t>
        </is>
      </c>
      <c r="W943" s="190" t="n">
        <v>1</v>
      </c>
      <c r="X943" s="190" t="inlineStr">
        <is>
          <t>LOW (40%)</t>
        </is>
      </c>
      <c r="Y943" s="190" t="inlineStr">
        <is>
          <t>UNLIKELY</t>
        </is>
      </c>
      <c r="Z943" s="190" t="inlineStr">
        <is>
          <t>CHECK_VENDOR</t>
        </is>
      </c>
      <c r="AA943" s="190" t="inlineStr">
        <is>
          <t>https://nvd.nist.gov/vuln/detail/CVE-2026-2939</t>
        </is>
      </c>
      <c r="AB943" s="190" t="inlineStr">
        <is>
          <t>NONE</t>
        </is>
      </c>
      <c r="AC943" s="190" t="n">
        <v>0</v>
      </c>
      <c r="AD943" s="190" t="inlineStr"/>
    </row>
    <row r="944">
      <c r="A944" s="188" t="inlineStr">
        <is>
          <t>CVE</t>
        </is>
      </c>
      <c r="B944" s="188" t="inlineStr">
        <is>
          <t>CVE-2026-2940</t>
        </is>
      </c>
      <c r="C944" s="188" t="inlineStr">
        <is>
          <t>A vulnerability was determined in Zaher1307 tiny_web_server up to 8d77b1044a0ca3a5297d8726ac8aa2cf944d481b. This affects the function tiny_web_server/tiny.c of the file tiny_web_server/tiny.c of the component URL Handler. This manipulation causes out-of-bounds write. The attack can be initiated remotely. The exploit has been publicly disclosed and may be utilized. Continious delivery with rolling releases is used by this product. Therefore, no version details of affected nor updated releases are</t>
        </is>
      </c>
      <c r="D944" s="188" t="n">
        <v>7.3</v>
      </c>
      <c r="E944" s="188" t="inlineStr">
        <is>
          <t>HIGH</t>
        </is>
      </c>
      <c r="F944" s="188" t="n">
        <v>2</v>
      </c>
      <c r="G944" s="188" t="n">
        <v>3</v>
      </c>
      <c r="H944" s="188" t="inlineStr">
        <is>
          <t>HIGH</t>
        </is>
      </c>
      <c r="I944" s="188" t="n">
        <v>13.3</v>
      </c>
      <c r="J944" s="188" t="inlineStr">
        <is>
          <t>NO</t>
        </is>
      </c>
      <c r="K944" s="188" t="inlineStr">
        <is>
          <t>https://nvd.nist.gov/vuln/detail/CVE-2026-2940</t>
        </is>
      </c>
      <c r="L944" s="188" t="inlineStr">
        <is>
          <t>2026-02-26 00:15</t>
        </is>
      </c>
      <c r="M944" s="188" t="inlineStr">
        <is>
          <t>CHECK_VENDOR</t>
        </is>
      </c>
      <c r="N944" s="188" t="inlineStr">
        <is>
          <t>See NVD references</t>
        </is>
      </c>
      <c r="O944" s="188" t="inlineStr">
        <is>
          <t>Apply vendor patches</t>
        </is>
      </c>
      <c r="P944" s="188" t="inlineStr">
        <is>
          <t>See CVE details</t>
        </is>
      </c>
      <c r="Q944" s="188" t="inlineStr">
        <is>
          <t>P3</t>
        </is>
      </c>
      <c r="R944" s="188" t="inlineStr">
        <is>
          <t>🚨 URGENT: Apply vendor patches immediately | 🔒 Isolate affected systems if patch unavailable | 🛡️ Enable additional monitoring/IDS rules</t>
        </is>
      </c>
      <c r="S944" s="188" t="inlineStr">
        <is>
          <t>CVE - IP enrichment n/a</t>
        </is>
      </c>
      <c r="T944" s="188" t="n">
        <v>0</v>
      </c>
      <c r="U944" s="188" t="n">
        <v>0</v>
      </c>
      <c r="V944" s="188" t="inlineStr">
        <is>
          <t>T1203:Exploitation for Client Execution</t>
        </is>
      </c>
      <c r="W944" s="188" t="n">
        <v>1</v>
      </c>
      <c r="X944" s="188" t="inlineStr">
        <is>
          <t>LOW (40%)</t>
        </is>
      </c>
      <c r="Y944" s="188" t="inlineStr">
        <is>
          <t>UNLIKELY</t>
        </is>
      </c>
      <c r="Z944" s="188" t="inlineStr">
        <is>
          <t>CHECK_VENDOR</t>
        </is>
      </c>
      <c r="AA944" s="188" t="inlineStr">
        <is>
          <t>https://nvd.nist.gov/vuln/detail/CVE-2026-2940</t>
        </is>
      </c>
      <c r="AB944" s="188" t="inlineStr">
        <is>
          <t>NONE</t>
        </is>
      </c>
      <c r="AC944" s="188" t="n">
        <v>0</v>
      </c>
      <c r="AD944" s="188" t="inlineStr"/>
    </row>
    <row r="945">
      <c r="A945" s="187" t="inlineStr">
        <is>
          <t>CVE</t>
        </is>
      </c>
      <c r="B945" s="187" t="inlineStr">
        <is>
          <t>CVE-2026-2943</t>
        </is>
      </c>
      <c r="C945" s="187" t="inlineStr">
        <is>
          <t>A vulnerability was identified in SapneshNaik Student Management System up to f4b4f0928f0b5551a28ee81ae7e7fe47d9345318. This impacts an unknown function of the file index.php. Such manipulation of the argument Error leads to cross site scripting. The attack can be launched remotely. The exploit is publicly available and might be used. This product does not use versioning. This is why information about affected and unaffected releases are unavailable. The vendor was contacted early about this dis</t>
        </is>
      </c>
      <c r="D945" s="187" t="n">
        <v>4.3</v>
      </c>
      <c r="E945" s="187" t="inlineStr">
        <is>
          <t>MEDIUM</t>
        </is>
      </c>
      <c r="F945" s="187" t="n">
        <v>2</v>
      </c>
      <c r="G945" s="187" t="n">
        <v>2</v>
      </c>
      <c r="H945" s="187" t="inlineStr">
        <is>
          <t>MEDIUM</t>
        </is>
      </c>
      <c r="I945" s="187" t="n">
        <v>8.300000000000001</v>
      </c>
      <c r="J945" s="187" t="inlineStr">
        <is>
          <t>NO</t>
        </is>
      </c>
      <c r="K945" s="187" t="inlineStr">
        <is>
          <t>https://nvd.nist.gov/vuln/detail/CVE-2026-2943</t>
        </is>
      </c>
      <c r="L945" s="187" t="inlineStr">
        <is>
          <t>2026-02-26 00:15</t>
        </is>
      </c>
      <c r="M945" s="187" t="inlineStr">
        <is>
          <t>CHECK_VENDOR</t>
        </is>
      </c>
      <c r="N945" s="187" t="inlineStr">
        <is>
          <t>See NVD references</t>
        </is>
      </c>
      <c r="O945" s="187" t="inlineStr">
        <is>
          <t>Apply vendor patches</t>
        </is>
      </c>
      <c r="P945" s="187" t="inlineStr">
        <is>
          <t>See CVE details</t>
        </is>
      </c>
      <c r="Q945" s="187" t="inlineStr">
        <is>
          <t>P4</t>
        </is>
      </c>
      <c r="R945" s="187" t="inlineStr">
        <is>
          <t>📅 Schedule patch deployment within 30 days | 🔍 Monitor for exploitation attempts</t>
        </is>
      </c>
      <c r="S945" s="187" t="inlineStr">
        <is>
          <t>CVE - IP enrichment n/a</t>
        </is>
      </c>
      <c r="T945" s="187" t="n">
        <v>0</v>
      </c>
      <c r="U945" s="187" t="n">
        <v>0</v>
      </c>
      <c r="V945" s="187" t="inlineStr">
        <is>
          <t>T1189:Drive-by Compromise</t>
        </is>
      </c>
      <c r="W945" s="187" t="n">
        <v>1</v>
      </c>
      <c r="X945" s="187" t="inlineStr">
        <is>
          <t>LOW (40%)</t>
        </is>
      </c>
      <c r="Y945" s="187" t="inlineStr">
        <is>
          <t>UNLIKELY</t>
        </is>
      </c>
      <c r="Z945" s="187" t="inlineStr">
        <is>
          <t>CHECK_VENDOR</t>
        </is>
      </c>
      <c r="AA945" s="187" t="inlineStr">
        <is>
          <t>https://nvd.nist.gov/vuln/detail/CVE-2026-2943</t>
        </is>
      </c>
      <c r="AB945" s="187" t="inlineStr">
        <is>
          <t>NONE</t>
        </is>
      </c>
      <c r="AC945" s="187" t="n">
        <v>0</v>
      </c>
      <c r="AD945" s="187" t="inlineStr"/>
    </row>
    <row r="946">
      <c r="A946" s="188" t="inlineStr">
        <is>
          <t>CVE</t>
        </is>
      </c>
      <c r="B946" s="188" t="inlineStr">
        <is>
          <t>CVE-2026-2944</t>
        </is>
      </c>
      <c r="C946" s="188" t="inlineStr">
        <is>
          <t>A security flaw has been discovered in Tosei Online Store Management System ネット店舗管理システム 1.01. Affected is the function system of the file /cgi-bin/monitor.php of the component HTTP POST Request Handler. Performing a manipulation of the argument DevId results in os command injection. The attack may be initiated remotely. The exploit has been released to the public and may be used for attacks. The vendor was contacted early about this disclosure but did not respond in any way.</t>
        </is>
      </c>
      <c r="D946" s="188" t="n">
        <v>7.3</v>
      </c>
      <c r="E946" s="188" t="inlineStr">
        <is>
          <t>HIGH</t>
        </is>
      </c>
      <c r="F946" s="188" t="n">
        <v>2</v>
      </c>
      <c r="G946" s="188" t="n">
        <v>3</v>
      </c>
      <c r="H946" s="188" t="inlineStr">
        <is>
          <t>HIGH</t>
        </is>
      </c>
      <c r="I946" s="188" t="n">
        <v>13.3</v>
      </c>
      <c r="J946" s="188" t="inlineStr">
        <is>
          <t>NO</t>
        </is>
      </c>
      <c r="K946" s="188" t="inlineStr">
        <is>
          <t>https://nvd.nist.gov/vuln/detail/CVE-2026-2944</t>
        </is>
      </c>
      <c r="L946" s="188" t="inlineStr">
        <is>
          <t>2026-02-26 00:15</t>
        </is>
      </c>
      <c r="M946" s="188" t="inlineStr">
        <is>
          <t>CHECK_VENDOR</t>
        </is>
      </c>
      <c r="N946" s="188" t="inlineStr">
        <is>
          <t>See NVD references</t>
        </is>
      </c>
      <c r="O946" s="188" t="inlineStr">
        <is>
          <t>Apply vendor patches</t>
        </is>
      </c>
      <c r="P946" s="188" t="inlineStr">
        <is>
          <t>See CVE details</t>
        </is>
      </c>
      <c r="Q946" s="188" t="inlineStr">
        <is>
          <t>P3</t>
        </is>
      </c>
      <c r="R946" s="188" t="inlineStr">
        <is>
          <t>🚨 URGENT: Apply vendor patches immediately | 🔒 Isolate affected systems if patch unavailable | 🛡️ Enable additional monitoring/IDS rules</t>
        </is>
      </c>
      <c r="S946" s="188" t="inlineStr">
        <is>
          <t>CVE - IP enrichment n/a</t>
        </is>
      </c>
      <c r="T946" s="188" t="n">
        <v>0</v>
      </c>
      <c r="U946" s="188" t="n">
        <v>0</v>
      </c>
      <c r="V946" s="188" t="inlineStr">
        <is>
          <t>T1059:Command and Scripting Interpreter</t>
        </is>
      </c>
      <c r="W946" s="188" t="n">
        <v>1</v>
      </c>
      <c r="X946" s="188" t="inlineStr">
        <is>
          <t>LOW (40%)</t>
        </is>
      </c>
      <c r="Y946" s="188" t="inlineStr">
        <is>
          <t>UNLIKELY</t>
        </is>
      </c>
      <c r="Z946" s="188" t="inlineStr">
        <is>
          <t>CHECK_VENDOR</t>
        </is>
      </c>
      <c r="AA946" s="188" t="inlineStr">
        <is>
          <t>https://nvd.nist.gov/vuln/detail/CVE-2026-2944</t>
        </is>
      </c>
      <c r="AB946" s="188" t="inlineStr">
        <is>
          <t>NONE</t>
        </is>
      </c>
      <c r="AC946" s="188" t="n">
        <v>0</v>
      </c>
      <c r="AD946" s="188" t="inlineStr"/>
    </row>
    <row r="947">
      <c r="A947" s="187" t="inlineStr">
        <is>
          <t>CVE</t>
        </is>
      </c>
      <c r="B947" s="187" t="inlineStr">
        <is>
          <t>CVE-2026-2945</t>
        </is>
      </c>
      <c r="C947" s="187" t="inlineStr">
        <is>
          <t>A weakness has been identified in JeecgBoot 3.9.0. Affected by this vulnerability is an unknown functionality of the file /sys/common/uploadImgByHttp. Executing a manipulation of the argument fileUrl can lead to server-side request forgery. The attack may be launched remotely. The exploit has been made available to the public and could be used for attacks. The vendor was contacted early about this disclosure but did not respond in any way.</t>
        </is>
      </c>
      <c r="D947" s="187" t="n">
        <v>6.3</v>
      </c>
      <c r="E947" s="187" t="inlineStr">
        <is>
          <t>MEDIUM</t>
        </is>
      </c>
      <c r="F947" s="187" t="n">
        <v>2</v>
      </c>
      <c r="G947" s="187" t="n">
        <v>2</v>
      </c>
      <c r="H947" s="187" t="inlineStr">
        <is>
          <t>MEDIUM</t>
        </is>
      </c>
      <c r="I947" s="187" t="n">
        <v>10.3</v>
      </c>
      <c r="J947" s="187" t="inlineStr">
        <is>
          <t>NO</t>
        </is>
      </c>
      <c r="K947" s="187" t="inlineStr">
        <is>
          <t>https://nvd.nist.gov/vuln/detail/CVE-2026-2945</t>
        </is>
      </c>
      <c r="L947" s="187" t="inlineStr">
        <is>
          <t>2026-02-26 00:15</t>
        </is>
      </c>
      <c r="M947" s="187" t="inlineStr">
        <is>
          <t>CHECK_VENDOR</t>
        </is>
      </c>
      <c r="N947" s="187" t="inlineStr">
        <is>
          <t>See NVD references</t>
        </is>
      </c>
      <c r="O947" s="187" t="inlineStr">
        <is>
          <t>Apply vendor patches</t>
        </is>
      </c>
      <c r="P947" s="187" t="inlineStr">
        <is>
          <t>See CVE details</t>
        </is>
      </c>
      <c r="Q947" s="187" t="inlineStr">
        <is>
          <t>P4</t>
        </is>
      </c>
      <c r="R947" s="187" t="inlineStr">
        <is>
          <t>📅 Schedule patch deployment within 30 days | 🔍 Monitor for exploitation attempts</t>
        </is>
      </c>
      <c r="S947" s="187" t="inlineStr">
        <is>
          <t>CVE - IP enrichment n/a</t>
        </is>
      </c>
      <c r="T947" s="187" t="n">
        <v>0</v>
      </c>
      <c r="U947" s="187" t="n">
        <v>0</v>
      </c>
      <c r="V947" s="187" t="inlineStr">
        <is>
          <t>T1090:Proxy</t>
        </is>
      </c>
      <c r="W947" s="187" t="n">
        <v>1</v>
      </c>
      <c r="X947" s="187" t="inlineStr">
        <is>
          <t>LOW (40%)</t>
        </is>
      </c>
      <c r="Y947" s="187" t="inlineStr">
        <is>
          <t>UNLIKELY</t>
        </is>
      </c>
      <c r="Z947" s="187" t="inlineStr">
        <is>
          <t>CHECK_VENDOR</t>
        </is>
      </c>
      <c r="AA947" s="187" t="inlineStr">
        <is>
          <t>https://nvd.nist.gov/vuln/detail/CVE-2026-2945</t>
        </is>
      </c>
      <c r="AB947" s="187" t="inlineStr">
        <is>
          <t>NONE</t>
        </is>
      </c>
      <c r="AC947" s="187" t="n">
        <v>0</v>
      </c>
      <c r="AD947" s="187" t="inlineStr"/>
    </row>
    <row r="948">
      <c r="A948" s="190" t="inlineStr">
        <is>
          <t>CVE</t>
        </is>
      </c>
      <c r="B948" s="190" t="inlineStr">
        <is>
          <t>CVE-2026-2946</t>
        </is>
      </c>
      <c r="C948" s="190" t="inlineStr">
        <is>
          <t>A security vulnerability has been detected in rymcu forest up to 0.0.5. Affected by this issue is the function XssUtils.replaceHtmlCode of the file src/main/java/com/rymcu/forest/util/XssUtils.java of the component Article Content/Comments/Portfolio. The manipulation leads to cross site scripting. Remote exploitation of the attack is possible. The exploit has been disclosed publicly and may be used. The vendor was contacted early about this disclosure but did not respond in any way.</t>
        </is>
      </c>
      <c r="D948" s="190" t="n">
        <v>3.5</v>
      </c>
      <c r="E948" s="190" t="inlineStr">
        <is>
          <t>LOW</t>
        </is>
      </c>
      <c r="F948" s="190" t="n">
        <v>2</v>
      </c>
      <c r="G948" s="190" t="n">
        <v>1</v>
      </c>
      <c r="H948" s="190" t="inlineStr">
        <is>
          <t>LOW</t>
        </is>
      </c>
      <c r="I948" s="190" t="n">
        <v>5.5</v>
      </c>
      <c r="J948" s="190" t="inlineStr">
        <is>
          <t>NO</t>
        </is>
      </c>
      <c r="K948" s="190" t="inlineStr">
        <is>
          <t>https://nvd.nist.gov/vuln/detail/CVE-2026-2946</t>
        </is>
      </c>
      <c r="L948" s="190" t="inlineStr">
        <is>
          <t>2026-02-26 00:15</t>
        </is>
      </c>
      <c r="M948" s="190" t="inlineStr">
        <is>
          <t>CHECK_VENDOR</t>
        </is>
      </c>
      <c r="N948" s="190" t="inlineStr">
        <is>
          <t>See NVD references</t>
        </is>
      </c>
      <c r="O948" s="190" t="inlineStr">
        <is>
          <t>Apply vendor patches</t>
        </is>
      </c>
      <c r="P948" s="190" t="inlineStr">
        <is>
          <t>rymcu forest *</t>
        </is>
      </c>
      <c r="Q948" s="190" t="inlineStr">
        <is>
          <t>P4</t>
        </is>
      </c>
      <c r="R948" s="190" t="inlineStr">
        <is>
          <t>📅 Schedule patch deployment within 30 days | 🔍 Monitor for exploitation attempts</t>
        </is>
      </c>
      <c r="S948" s="190" t="inlineStr">
        <is>
          <t>CVE - IP enrichment n/a</t>
        </is>
      </c>
      <c r="T948" s="190" t="n">
        <v>0.0003</v>
      </c>
      <c r="U948" s="190" t="n">
        <v>0.079</v>
      </c>
      <c r="V948" s="190" t="inlineStr">
        <is>
          <t>T1189:Drive-by Compromise</t>
        </is>
      </c>
      <c r="W948" s="190" t="n">
        <v>1</v>
      </c>
      <c r="X948" s="190" t="inlineStr">
        <is>
          <t>LOW (40%)</t>
        </is>
      </c>
      <c r="Y948" s="190" t="inlineStr">
        <is>
          <t>UNLIKELY</t>
        </is>
      </c>
      <c r="Z948" s="190" t="inlineStr">
        <is>
          <t>CHECK_VENDOR</t>
        </is>
      </c>
      <c r="AA948" s="190" t="inlineStr">
        <is>
          <t>https://nvd.nist.gov/vuln/detail/CVE-2026-2946</t>
        </is>
      </c>
      <c r="AB948" s="190" t="inlineStr">
        <is>
          <t>NONE</t>
        </is>
      </c>
      <c r="AC948" s="190" t="n">
        <v>0</v>
      </c>
      <c r="AD948" s="190" t="inlineStr"/>
    </row>
    <row r="949">
      <c r="A949" s="188" t="inlineStr">
        <is>
          <t>CVE</t>
        </is>
      </c>
      <c r="B949" s="188" t="inlineStr">
        <is>
          <t>CVE-2019-25366</t>
        </is>
      </c>
      <c r="C949" s="188" t="inlineStr">
        <is>
          <t>microASP Portal+ CMS contains an SQL injection vulnerability that allows unauthenticated attackers to execute arbitrary SQL queries by injecting malicious code into the explode_tree parameter. Attackers can send crafted requests to pagina.phtml with SQL injection payloads using extractvalue and concat functions to extract sensitive database information like the current database name.</t>
        </is>
      </c>
      <c r="D949" s="188" t="n">
        <v>8.199999999999999</v>
      </c>
      <c r="E949" s="188" t="inlineStr">
        <is>
          <t>HIGH</t>
        </is>
      </c>
      <c r="F949" s="188" t="n">
        <v>2</v>
      </c>
      <c r="G949" s="188" t="n">
        <v>3</v>
      </c>
      <c r="H949" s="188" t="inlineStr">
        <is>
          <t>HIGH</t>
        </is>
      </c>
      <c r="I949" s="188" t="n">
        <v>14.2</v>
      </c>
      <c r="J949" s="188" t="inlineStr">
        <is>
          <t>NO</t>
        </is>
      </c>
      <c r="K949" s="188" t="inlineStr">
        <is>
          <t>https://nvd.nist.gov/vuln/detail/CVE-2019-25366</t>
        </is>
      </c>
      <c r="L949" s="188" t="inlineStr">
        <is>
          <t>2026-02-26 00:15</t>
        </is>
      </c>
      <c r="M949" s="188" t="inlineStr">
        <is>
          <t>CHECK_VENDOR</t>
        </is>
      </c>
      <c r="N949" s="188" t="inlineStr">
        <is>
          <t>See NVD references</t>
        </is>
      </c>
      <c r="O949" s="188" t="inlineStr">
        <is>
          <t>Apply vendor patches</t>
        </is>
      </c>
      <c r="P949" s="188" t="inlineStr">
        <is>
          <t>See CVE details</t>
        </is>
      </c>
      <c r="Q949" s="188" t="inlineStr">
        <is>
          <t>P3</t>
        </is>
      </c>
      <c r="R949" s="188" t="inlineStr">
        <is>
          <t>🚨 URGENT: Apply vendor patches immediately | 🔒 Isolate affected systems if patch unavailable | 🛡️ Enable additional monitoring/IDS rules</t>
        </is>
      </c>
      <c r="S949" s="188" t="inlineStr">
        <is>
          <t>CVE - IP enrichment n/a</t>
        </is>
      </c>
      <c r="T949" s="188" t="n">
        <v>0.0002</v>
      </c>
      <c r="U949" s="188" t="n">
        <v>0.0605</v>
      </c>
      <c r="V949" s="188" t="inlineStr">
        <is>
          <t>T1190:Exploit Public-Facing Application</t>
        </is>
      </c>
      <c r="W949" s="188" t="n">
        <v>1</v>
      </c>
      <c r="X949" s="188" t="inlineStr">
        <is>
          <t>LOW (40%)</t>
        </is>
      </c>
      <c r="Y949" s="188" t="inlineStr">
        <is>
          <t>UNLIKELY</t>
        </is>
      </c>
      <c r="Z949" s="188" t="inlineStr">
        <is>
          <t>CHECK_VENDOR</t>
        </is>
      </c>
      <c r="AA949" s="188" t="inlineStr">
        <is>
          <t>https://nvd.nist.gov/vuln/detail/CVE-2019-25366</t>
        </is>
      </c>
      <c r="AB949" s="188" t="inlineStr">
        <is>
          <t>NONE</t>
        </is>
      </c>
      <c r="AC949" s="188" t="n">
        <v>0</v>
      </c>
      <c r="AD949" s="188" t="inlineStr"/>
    </row>
    <row r="950">
      <c r="A950" s="188" t="inlineStr">
        <is>
          <t>CVE</t>
        </is>
      </c>
      <c r="B950" s="188" t="inlineStr">
        <is>
          <t>CVE-2019-25391</t>
        </is>
      </c>
      <c r="C950" s="188" t="inlineStr">
        <is>
          <t>Ashop Shopping Cart Software contains a time-based blind SQL injection vulnerability that allows attackers to manipulate database queries through the blacklistitemid parameter. Attackers can send POST requests to the admin/bannedcustomers.php endpoint with crafted SQL payloads using SLEEP functions to extract sensitive database information.</t>
        </is>
      </c>
      <c r="D950" s="188" t="n">
        <v>8.199999999999999</v>
      </c>
      <c r="E950" s="188" t="inlineStr">
        <is>
          <t>HIGH</t>
        </is>
      </c>
      <c r="F950" s="188" t="n">
        <v>2</v>
      </c>
      <c r="G950" s="188" t="n">
        <v>3</v>
      </c>
      <c r="H950" s="188" t="inlineStr">
        <is>
          <t>HIGH</t>
        </is>
      </c>
      <c r="I950" s="188" t="n">
        <v>14.2</v>
      </c>
      <c r="J950" s="188" t="inlineStr">
        <is>
          <t>NO</t>
        </is>
      </c>
      <c r="K950" s="188" t="inlineStr">
        <is>
          <t>https://nvd.nist.gov/vuln/detail/CVE-2019-25391</t>
        </is>
      </c>
      <c r="L950" s="188" t="inlineStr">
        <is>
          <t>2026-02-26 00:15</t>
        </is>
      </c>
      <c r="M950" s="188" t="inlineStr">
        <is>
          <t>CHECK_VENDOR</t>
        </is>
      </c>
      <c r="N950" s="188" t="inlineStr">
        <is>
          <t>See NVD references</t>
        </is>
      </c>
      <c r="O950" s="188" t="inlineStr">
        <is>
          <t>Apply vendor patches</t>
        </is>
      </c>
      <c r="P950" s="188" t="inlineStr">
        <is>
          <t>See CVE details</t>
        </is>
      </c>
      <c r="Q950" s="188" t="inlineStr">
        <is>
          <t>P3</t>
        </is>
      </c>
      <c r="R950" s="188" t="inlineStr">
        <is>
          <t>🚨 URGENT: Apply vendor patches immediately | 🔒 Isolate affected systems if patch unavailable | 🛡️ Enable additional monitoring/IDS rules</t>
        </is>
      </c>
      <c r="S950" s="188" t="inlineStr">
        <is>
          <t>CVE - IP enrichment n/a</t>
        </is>
      </c>
      <c r="T950" s="188" t="n">
        <v>0</v>
      </c>
      <c r="U950" s="188" t="n">
        <v>0</v>
      </c>
      <c r="V950" s="188" t="inlineStr">
        <is>
          <t>T1190:Exploit Public-Facing Application</t>
        </is>
      </c>
      <c r="W950" s="188" t="n">
        <v>1</v>
      </c>
      <c r="X950" s="188" t="inlineStr">
        <is>
          <t>LOW (40%)</t>
        </is>
      </c>
      <c r="Y950" s="188" t="inlineStr">
        <is>
          <t>UNLIKELY</t>
        </is>
      </c>
      <c r="Z950" s="188" t="inlineStr">
        <is>
          <t>CHECK_VENDOR</t>
        </is>
      </c>
      <c r="AA950" s="188" t="inlineStr">
        <is>
          <t>https://nvd.nist.gov/vuln/detail/CVE-2019-25391</t>
        </is>
      </c>
      <c r="AB950" s="188" t="inlineStr">
        <is>
          <t>NONE</t>
        </is>
      </c>
      <c r="AC950" s="188" t="n">
        <v>0</v>
      </c>
      <c r="AD950" s="188" t="inlineStr"/>
    </row>
    <row r="951">
      <c r="A951" s="188" t="inlineStr">
        <is>
          <t>CVE</t>
        </is>
      </c>
      <c r="B951" s="188" t="inlineStr">
        <is>
          <t>CVE-2019-25433</t>
        </is>
      </c>
      <c r="C951" s="188" t="inlineStr">
        <is>
          <t>XOOPS CMS 2.5.9 contains an SQL injection vulnerability that allows unauthenticated attackers to manipulate database queries by injecting SQL code through the cid parameter. Attackers can send GET requests to the gerar_pdf.php endpoint with malicious cid values to extract sensitive database information.</t>
        </is>
      </c>
      <c r="D951" s="188" t="n">
        <v>8.199999999999999</v>
      </c>
      <c r="E951" s="188" t="inlineStr">
        <is>
          <t>HIGH</t>
        </is>
      </c>
      <c r="F951" s="188" t="n">
        <v>2</v>
      </c>
      <c r="G951" s="188" t="n">
        <v>3</v>
      </c>
      <c r="H951" s="188" t="inlineStr">
        <is>
          <t>HIGH</t>
        </is>
      </c>
      <c r="I951" s="188" t="n">
        <v>14.2</v>
      </c>
      <c r="J951" s="188" t="inlineStr">
        <is>
          <t>NO</t>
        </is>
      </c>
      <c r="K951" s="188" t="inlineStr">
        <is>
          <t>https://nvd.nist.gov/vuln/detail/CVE-2019-25433</t>
        </is>
      </c>
      <c r="L951" s="188" t="inlineStr">
        <is>
          <t>2026-02-26 00:15</t>
        </is>
      </c>
      <c r="M951" s="188" t="inlineStr">
        <is>
          <t>CHECK_VENDOR</t>
        </is>
      </c>
      <c r="N951" s="188" t="inlineStr">
        <is>
          <t>See NVD references</t>
        </is>
      </c>
      <c r="O951" s="188" t="inlineStr">
        <is>
          <t>Apply vendor patches</t>
        </is>
      </c>
      <c r="P951" s="188" t="inlineStr">
        <is>
          <t>See CVE details</t>
        </is>
      </c>
      <c r="Q951" s="188" t="inlineStr">
        <is>
          <t>P3</t>
        </is>
      </c>
      <c r="R951" s="188" t="inlineStr">
        <is>
          <t>🚨 URGENT: Apply vendor patches immediately | 🔒 Isolate affected systems if patch unavailable | 🛡️ Enable additional monitoring/IDS rules</t>
        </is>
      </c>
      <c r="S951" s="188" t="inlineStr">
        <is>
          <t>CVE - IP enrichment n/a</t>
        </is>
      </c>
      <c r="T951" s="188" t="n">
        <v>0.0005999999999999999</v>
      </c>
      <c r="U951" s="188" t="n">
        <v>0.2014</v>
      </c>
      <c r="V951" s="188" t="inlineStr">
        <is>
          <t>T1190:Exploit Public-Facing Application</t>
        </is>
      </c>
      <c r="W951" s="188" t="n">
        <v>1</v>
      </c>
      <c r="X951" s="188" t="inlineStr">
        <is>
          <t>LOW (40%)</t>
        </is>
      </c>
      <c r="Y951" s="188" t="inlineStr">
        <is>
          <t>UNLIKELY</t>
        </is>
      </c>
      <c r="Z951" s="188" t="inlineStr">
        <is>
          <t>CHECK_VENDOR</t>
        </is>
      </c>
      <c r="AA951" s="188" t="inlineStr">
        <is>
          <t>https://nvd.nist.gov/vuln/detail/CVE-2019-25433</t>
        </is>
      </c>
      <c r="AB951" s="188" t="inlineStr">
        <is>
          <t>NONE</t>
        </is>
      </c>
      <c r="AC951" s="188" t="n">
        <v>0</v>
      </c>
      <c r="AD951" s="188" t="inlineStr"/>
    </row>
    <row r="952">
      <c r="A952" s="188" t="inlineStr">
        <is>
          <t>CVE</t>
        </is>
      </c>
      <c r="B952" s="188" t="inlineStr">
        <is>
          <t>CVE-2019-25439</t>
        </is>
      </c>
      <c r="C952" s="188" t="inlineStr">
        <is>
          <t>NoviSmart CMS contains an SQL injection vulnerability that allows remote attackers to execute arbitrary SQL queries by injecting malicious code through the Referer HTTP header field. Attackers can craft requests with time-based SQL injection payloads in the Referer header to extract sensitive database information or cause denial of service.</t>
        </is>
      </c>
      <c r="D952" s="188" t="n">
        <v>8.199999999999999</v>
      </c>
      <c r="E952" s="188" t="inlineStr">
        <is>
          <t>HIGH</t>
        </is>
      </c>
      <c r="F952" s="188" t="n">
        <v>2</v>
      </c>
      <c r="G952" s="188" t="n">
        <v>3</v>
      </c>
      <c r="H952" s="188" t="inlineStr">
        <is>
          <t>HIGH</t>
        </is>
      </c>
      <c r="I952" s="188" t="n">
        <v>14.2</v>
      </c>
      <c r="J952" s="188" t="inlineStr">
        <is>
          <t>NO</t>
        </is>
      </c>
      <c r="K952" s="188" t="inlineStr">
        <is>
          <t>https://nvd.nist.gov/vuln/detail/CVE-2019-25439</t>
        </is>
      </c>
      <c r="L952" s="188" t="inlineStr">
        <is>
          <t>2026-02-26 00:15</t>
        </is>
      </c>
      <c r="M952" s="188" t="inlineStr">
        <is>
          <t>CHECK_VENDOR</t>
        </is>
      </c>
      <c r="N952" s="188" t="inlineStr">
        <is>
          <t>See NVD references</t>
        </is>
      </c>
      <c r="O952" s="188" t="inlineStr">
        <is>
          <t>Apply vendor patches</t>
        </is>
      </c>
      <c r="P952" s="188" t="inlineStr">
        <is>
          <t>See CVE details</t>
        </is>
      </c>
      <c r="Q952" s="188" t="inlineStr">
        <is>
          <t>P3</t>
        </is>
      </c>
      <c r="R952" s="188" t="inlineStr">
        <is>
          <t>🚨 URGENT: Apply vendor patches immediately | 🔒 Isolate affected systems if patch unavailable | 🛡️ Enable additional monitoring/IDS rules</t>
        </is>
      </c>
      <c r="S952" s="188" t="inlineStr">
        <is>
          <t>CVE - IP enrichment n/a</t>
        </is>
      </c>
      <c r="T952" s="188" t="n">
        <v>0</v>
      </c>
      <c r="U952" s="188" t="n">
        <v>0</v>
      </c>
      <c r="V952" s="188" t="inlineStr">
        <is>
          <t>T1190:Exploit Public-Facing Application | T1499:Endpoint Denial of Service</t>
        </is>
      </c>
      <c r="W952" s="188" t="n">
        <v>1</v>
      </c>
      <c r="X952" s="188" t="inlineStr">
        <is>
          <t>LOW (40%)</t>
        </is>
      </c>
      <c r="Y952" s="188" t="inlineStr">
        <is>
          <t>UNLIKELY</t>
        </is>
      </c>
      <c r="Z952" s="188" t="inlineStr">
        <is>
          <t>CHECK_VENDOR</t>
        </is>
      </c>
      <c r="AA952" s="188" t="inlineStr">
        <is>
          <t>https://nvd.nist.gov/vuln/detail/CVE-2019-25439</t>
        </is>
      </c>
      <c r="AB952" s="188" t="inlineStr">
        <is>
          <t>NONE</t>
        </is>
      </c>
      <c r="AC952" s="188" t="n">
        <v>0</v>
      </c>
      <c r="AD952" s="188" t="inlineStr"/>
    </row>
    <row r="953">
      <c r="A953" s="188" t="inlineStr">
        <is>
          <t>CVE</t>
        </is>
      </c>
      <c r="B953" s="188" t="inlineStr">
        <is>
          <t>CVE-2019-25440</t>
        </is>
      </c>
      <c r="C953" s="188" t="inlineStr">
        <is>
          <t>WebIncorp ERP contains an SQL injection vulnerability that allows unauthenticated attackers to manipulate database queries by injecting SQL code through the prod_id parameter. Attackers can send GET requests to product_detail.php with malicious prod_id values to extract sensitive database information.</t>
        </is>
      </c>
      <c r="D953" s="188" t="n">
        <v>8.199999999999999</v>
      </c>
      <c r="E953" s="188" t="inlineStr">
        <is>
          <t>HIGH</t>
        </is>
      </c>
      <c r="F953" s="188" t="n">
        <v>2</v>
      </c>
      <c r="G953" s="188" t="n">
        <v>3</v>
      </c>
      <c r="H953" s="188" t="inlineStr">
        <is>
          <t>HIGH</t>
        </is>
      </c>
      <c r="I953" s="188" t="n">
        <v>14.2</v>
      </c>
      <c r="J953" s="188" t="inlineStr">
        <is>
          <t>NO</t>
        </is>
      </c>
      <c r="K953" s="188" t="inlineStr">
        <is>
          <t>https://nvd.nist.gov/vuln/detail/CVE-2019-25440</t>
        </is>
      </c>
      <c r="L953" s="188" t="inlineStr">
        <is>
          <t>2026-02-26 00:15</t>
        </is>
      </c>
      <c r="M953" s="188" t="inlineStr">
        <is>
          <t>CHECK_VENDOR</t>
        </is>
      </c>
      <c r="N953" s="188" t="inlineStr">
        <is>
          <t>See NVD references</t>
        </is>
      </c>
      <c r="O953" s="188" t="inlineStr">
        <is>
          <t>Apply vendor patches</t>
        </is>
      </c>
      <c r="P953" s="188" t="inlineStr">
        <is>
          <t>See CVE details</t>
        </is>
      </c>
      <c r="Q953" s="188" t="inlineStr">
        <is>
          <t>P3</t>
        </is>
      </c>
      <c r="R953" s="188" t="inlineStr">
        <is>
          <t>🚨 URGENT: Apply vendor patches immediately | 🔒 Isolate affected systems if patch unavailable | 🛡️ Enable additional monitoring/IDS rules</t>
        </is>
      </c>
      <c r="S953" s="188" t="inlineStr">
        <is>
          <t>CVE - IP enrichment n/a</t>
        </is>
      </c>
      <c r="T953" s="188" t="n">
        <v>0.0007</v>
      </c>
      <c r="U953" s="188" t="n">
        <v>0.2049</v>
      </c>
      <c r="V953" s="188" t="inlineStr">
        <is>
          <t>T1190:Exploit Public-Facing Application</t>
        </is>
      </c>
      <c r="W953" s="188" t="n">
        <v>1</v>
      </c>
      <c r="X953" s="188" t="inlineStr">
        <is>
          <t>LOW (40%)</t>
        </is>
      </c>
      <c r="Y953" s="188" t="inlineStr">
        <is>
          <t>UNLIKELY</t>
        </is>
      </c>
      <c r="Z953" s="188" t="inlineStr">
        <is>
          <t>CHECK_VENDOR</t>
        </is>
      </c>
      <c r="AA953" s="188" t="inlineStr">
        <is>
          <t>https://nvd.nist.gov/vuln/detail/CVE-2019-25440</t>
        </is>
      </c>
      <c r="AB953" s="188" t="inlineStr">
        <is>
          <t>NONE</t>
        </is>
      </c>
      <c r="AC953" s="188" t="n">
        <v>0</v>
      </c>
      <c r="AD953" s="188" t="inlineStr"/>
    </row>
    <row r="954">
      <c r="A954" s="188" t="inlineStr">
        <is>
          <t>CVE</t>
        </is>
      </c>
      <c r="B954" s="188" t="inlineStr">
        <is>
          <t>CVE-2019-25442</t>
        </is>
      </c>
      <c r="C954" s="188" t="inlineStr">
        <is>
          <t>Web Wiz Forums 12.01 contains an SQL injection vulnerability that allows unauthenticated attackers to manipulate database queries by injecting SQL code through the PF parameter. Attackers can send GET requests to member_profile.asp with malicious PF values to extract sensitive database information.</t>
        </is>
      </c>
      <c r="D954" s="188" t="n">
        <v>8.199999999999999</v>
      </c>
      <c r="E954" s="188" t="inlineStr">
        <is>
          <t>HIGH</t>
        </is>
      </c>
      <c r="F954" s="188" t="n">
        <v>2</v>
      </c>
      <c r="G954" s="188" t="n">
        <v>3</v>
      </c>
      <c r="H954" s="188" t="inlineStr">
        <is>
          <t>HIGH</t>
        </is>
      </c>
      <c r="I954" s="188" t="n">
        <v>14.2</v>
      </c>
      <c r="J954" s="188" t="inlineStr">
        <is>
          <t>NO</t>
        </is>
      </c>
      <c r="K954" s="188" t="inlineStr">
        <is>
          <t>https://nvd.nist.gov/vuln/detail/CVE-2019-25442</t>
        </is>
      </c>
      <c r="L954" s="188" t="inlineStr">
        <is>
          <t>2026-02-26 00:15</t>
        </is>
      </c>
      <c r="M954" s="188" t="inlineStr">
        <is>
          <t>CHECK_VENDOR</t>
        </is>
      </c>
      <c r="N954" s="188" t="inlineStr">
        <is>
          <t>See NVD references</t>
        </is>
      </c>
      <c r="O954" s="188" t="inlineStr">
        <is>
          <t>Apply vendor patches</t>
        </is>
      </c>
      <c r="P954" s="188" t="inlineStr">
        <is>
          <t>See CVE details</t>
        </is>
      </c>
      <c r="Q954" s="188" t="inlineStr">
        <is>
          <t>P3</t>
        </is>
      </c>
      <c r="R954" s="188" t="inlineStr">
        <is>
          <t>🚨 URGENT: Apply vendor patches immediately | 🔒 Isolate affected systems if patch unavailable | 🛡️ Enable additional monitoring/IDS rules</t>
        </is>
      </c>
      <c r="S954" s="188" t="inlineStr">
        <is>
          <t>CVE - IP enrichment n/a</t>
        </is>
      </c>
      <c r="T954" s="188" t="n">
        <v>0.0007</v>
      </c>
      <c r="U954" s="188" t="n">
        <v>0.2049</v>
      </c>
      <c r="V954" s="188" t="inlineStr">
        <is>
          <t>T1190:Exploit Public-Facing Application</t>
        </is>
      </c>
      <c r="W954" s="188" t="n">
        <v>1</v>
      </c>
      <c r="X954" s="188" t="inlineStr">
        <is>
          <t>LOW (40%)</t>
        </is>
      </c>
      <c r="Y954" s="188" t="inlineStr">
        <is>
          <t>UNLIKELY</t>
        </is>
      </c>
      <c r="Z954" s="188" t="inlineStr">
        <is>
          <t>CHECK_VENDOR</t>
        </is>
      </c>
      <c r="AA954" s="188" t="inlineStr">
        <is>
          <t>https://nvd.nist.gov/vuln/detail/CVE-2019-25442</t>
        </is>
      </c>
      <c r="AB954" s="188" t="inlineStr">
        <is>
          <t>NONE</t>
        </is>
      </c>
      <c r="AC954" s="188" t="n">
        <v>0</v>
      </c>
      <c r="AD954" s="188" t="inlineStr"/>
    </row>
    <row r="955">
      <c r="A955" s="188" t="inlineStr">
        <is>
          <t>CVE</t>
        </is>
      </c>
      <c r="B955" s="188" t="inlineStr">
        <is>
          <t>CVE-2019-25443</t>
        </is>
      </c>
      <c r="C955" s="188" t="inlineStr">
        <is>
          <t>Inventory Webapp contains an SQL injection vulnerability that allows unauthenticated attackers to manipulate database queries by injecting SQL code through GET parameters. Attackers can supply malicious SQL payloads in the name, description, quantity, or cat_id parameters to add-item.php to execute arbitrary database commands.</t>
        </is>
      </c>
      <c r="D955" s="188" t="n">
        <v>8.199999999999999</v>
      </c>
      <c r="E955" s="188" t="inlineStr">
        <is>
          <t>HIGH</t>
        </is>
      </c>
      <c r="F955" s="188" t="n">
        <v>2</v>
      </c>
      <c r="G955" s="188" t="n">
        <v>3</v>
      </c>
      <c r="H955" s="188" t="inlineStr">
        <is>
          <t>HIGH</t>
        </is>
      </c>
      <c r="I955" s="188" t="n">
        <v>14.2</v>
      </c>
      <c r="J955" s="188" t="inlineStr">
        <is>
          <t>NO</t>
        </is>
      </c>
      <c r="K955" s="188" t="inlineStr">
        <is>
          <t>https://nvd.nist.gov/vuln/detail/CVE-2019-25443</t>
        </is>
      </c>
      <c r="L955" s="188" t="inlineStr">
        <is>
          <t>2026-02-26 00:15</t>
        </is>
      </c>
      <c r="M955" s="188" t="inlineStr">
        <is>
          <t>CHECK_VENDOR</t>
        </is>
      </c>
      <c r="N955" s="188" t="inlineStr">
        <is>
          <t>See NVD references</t>
        </is>
      </c>
      <c r="O955" s="188" t="inlineStr">
        <is>
          <t>Apply vendor patches</t>
        </is>
      </c>
      <c r="P955" s="188" t="inlineStr">
        <is>
          <t>See CVE details</t>
        </is>
      </c>
      <c r="Q955" s="188" t="inlineStr">
        <is>
          <t>P3</t>
        </is>
      </c>
      <c r="R955" s="188" t="inlineStr">
        <is>
          <t>🚨 URGENT: Apply vendor patches immediately | 🔒 Isolate affected systems if patch unavailable | 🛡️ Enable additional monitoring/IDS rules</t>
        </is>
      </c>
      <c r="S955" s="188" t="inlineStr">
        <is>
          <t>CVE - IP enrichment n/a</t>
        </is>
      </c>
      <c r="T955" s="188" t="n">
        <v>0.0007</v>
      </c>
      <c r="U955" s="188" t="n">
        <v>0.2049</v>
      </c>
      <c r="V955" s="188" t="inlineStr">
        <is>
          <t>T1190:Exploit Public-Facing Application</t>
        </is>
      </c>
      <c r="W955" s="188" t="n">
        <v>1</v>
      </c>
      <c r="X955" s="188" t="inlineStr">
        <is>
          <t>LOW (40%)</t>
        </is>
      </c>
      <c r="Y955" s="188" t="inlineStr">
        <is>
          <t>UNLIKELY</t>
        </is>
      </c>
      <c r="Z955" s="188" t="inlineStr">
        <is>
          <t>CHECK_VENDOR</t>
        </is>
      </c>
      <c r="AA955" s="188" t="inlineStr">
        <is>
          <t>https://nvd.nist.gov/vuln/detail/CVE-2019-25443</t>
        </is>
      </c>
      <c r="AB955" s="188" t="inlineStr">
        <is>
          <t>NONE</t>
        </is>
      </c>
      <c r="AC955" s="188" t="n">
        <v>0</v>
      </c>
      <c r="AD955" s="188" t="inlineStr"/>
    </row>
    <row r="956">
      <c r="A956" s="188" t="inlineStr">
        <is>
          <t>CVE</t>
        </is>
      </c>
      <c r="B956" s="188" t="inlineStr">
        <is>
          <t>CVE-2019-25446</t>
        </is>
      </c>
      <c r="C956" s="188" t="inlineStr">
        <is>
          <t>DIGIT CENTRIS ERP contains an SQL injection vulnerability that allows unauthenticated attackers to manipulate database queries by injecting SQL code through the datum1, datum2, KID, and PID parameters. Attackers can send POST requests to /korisnikinfo.php with malicious SQL syntax in these parameters to extract or modify sensitive database information.</t>
        </is>
      </c>
      <c r="D956" s="188" t="n">
        <v>8.199999999999999</v>
      </c>
      <c r="E956" s="188" t="inlineStr">
        <is>
          <t>HIGH</t>
        </is>
      </c>
      <c r="F956" s="188" t="n">
        <v>2</v>
      </c>
      <c r="G956" s="188" t="n">
        <v>3</v>
      </c>
      <c r="H956" s="188" t="inlineStr">
        <is>
          <t>HIGH</t>
        </is>
      </c>
      <c r="I956" s="188" t="n">
        <v>14.2</v>
      </c>
      <c r="J956" s="188" t="inlineStr">
        <is>
          <t>NO</t>
        </is>
      </c>
      <c r="K956" s="188" t="inlineStr">
        <is>
          <t>https://nvd.nist.gov/vuln/detail/CVE-2019-25446</t>
        </is>
      </c>
      <c r="L956" s="188" t="inlineStr">
        <is>
          <t>2026-02-26 00:15</t>
        </is>
      </c>
      <c r="M956" s="188" t="inlineStr">
        <is>
          <t>CHECK_VENDOR</t>
        </is>
      </c>
      <c r="N956" s="188" t="inlineStr">
        <is>
          <t>See NVD references</t>
        </is>
      </c>
      <c r="O956" s="188" t="inlineStr">
        <is>
          <t>Apply vendor patches</t>
        </is>
      </c>
      <c r="P956" s="188" t="inlineStr">
        <is>
          <t>See CVE details</t>
        </is>
      </c>
      <c r="Q956" s="188" t="inlineStr">
        <is>
          <t>P3</t>
        </is>
      </c>
      <c r="R956" s="188" t="inlineStr">
        <is>
          <t>🚨 URGENT: Apply vendor patches immediately | 🔒 Isolate affected systems if patch unavailable | 🛡️ Enable additional monitoring/IDS rules</t>
        </is>
      </c>
      <c r="S956" s="188" t="inlineStr">
        <is>
          <t>CVE - IP enrichment n/a</t>
        </is>
      </c>
      <c r="T956" s="188" t="n">
        <v>0</v>
      </c>
      <c r="U956" s="188" t="n">
        <v>0</v>
      </c>
      <c r="V956" s="188" t="inlineStr">
        <is>
          <t>T1190:Exploit Public-Facing Application</t>
        </is>
      </c>
      <c r="W956" s="188" t="n">
        <v>1</v>
      </c>
      <c r="X956" s="188" t="inlineStr">
        <is>
          <t>LOW (40%)</t>
        </is>
      </c>
      <c r="Y956" s="188" t="inlineStr">
        <is>
          <t>UNLIKELY</t>
        </is>
      </c>
      <c r="Z956" s="188" t="inlineStr">
        <is>
          <t>CHECK_VENDOR</t>
        </is>
      </c>
      <c r="AA956" s="188" t="inlineStr">
        <is>
          <t>https://nvd.nist.gov/vuln/detail/CVE-2019-25446</t>
        </is>
      </c>
      <c r="AB956" s="188" t="inlineStr">
        <is>
          <t>NONE</t>
        </is>
      </c>
      <c r="AC956" s="188" t="n">
        <v>0</v>
      </c>
      <c r="AD956" s="188" t="inlineStr"/>
    </row>
    <row r="957">
      <c r="A957" s="188" t="inlineStr">
        <is>
          <t>CVE</t>
        </is>
      </c>
      <c r="B957" s="188" t="inlineStr">
        <is>
          <t>CVE-2019-25450</t>
        </is>
      </c>
      <c r="C957" s="188" t="inlineStr">
        <is>
          <t>Dolibarr ERP/CRM 10.0.1 contains multiple SQL injection vulnerabilities that allow authenticated attackers to manipulate database queries by injecting SQL code through POST parameters. Attackers can inject malicious SQL through parameters like actioncode, demand_reason_id, and availability_id in card.php endpoints to extract sensitive database information using boolean-based blind, error-based, and time-based blind techniques.</t>
        </is>
      </c>
      <c r="D957" s="188" t="n">
        <v>7.1</v>
      </c>
      <c r="E957" s="188" t="inlineStr">
        <is>
          <t>HIGH</t>
        </is>
      </c>
      <c r="F957" s="188" t="n">
        <v>2</v>
      </c>
      <c r="G957" s="188" t="n">
        <v>3</v>
      </c>
      <c r="H957" s="188" t="inlineStr">
        <is>
          <t>HIGH</t>
        </is>
      </c>
      <c r="I957" s="188" t="n">
        <v>13.1</v>
      </c>
      <c r="J957" s="188" t="inlineStr">
        <is>
          <t>NO</t>
        </is>
      </c>
      <c r="K957" s="188" t="inlineStr">
        <is>
          <t>https://nvd.nist.gov/vuln/detail/CVE-2019-25450</t>
        </is>
      </c>
      <c r="L957" s="188" t="inlineStr">
        <is>
          <t>2026-02-26 00:15</t>
        </is>
      </c>
      <c r="M957" s="188" t="inlineStr">
        <is>
          <t>CHECK_VENDOR</t>
        </is>
      </c>
      <c r="N957" s="188" t="inlineStr">
        <is>
          <t>See NVD references</t>
        </is>
      </c>
      <c r="O957" s="188" t="inlineStr">
        <is>
          <t>Apply vendor patches</t>
        </is>
      </c>
      <c r="P957" s="188" t="inlineStr">
        <is>
          <t>dolibarr dolibarr_erp\/crm 10.0.1</t>
        </is>
      </c>
      <c r="Q957" s="188" t="inlineStr">
        <is>
          <t>P3</t>
        </is>
      </c>
      <c r="R957" s="188" t="inlineStr">
        <is>
          <t>🚨 URGENT: Apply vendor patches immediately | 🔒 Isolate affected systems if patch unavailable | 🛡️ Enable additional monitoring/IDS rules</t>
        </is>
      </c>
      <c r="S957" s="188" t="inlineStr">
        <is>
          <t>CVE - IP enrichment n/a</t>
        </is>
      </c>
      <c r="T957" s="188" t="n">
        <v>0</v>
      </c>
      <c r="U957" s="188" t="n">
        <v>0</v>
      </c>
      <c r="V957" s="188" t="inlineStr">
        <is>
          <t>T1190:Exploit Public-Facing Application</t>
        </is>
      </c>
      <c r="W957" s="188" t="n">
        <v>1</v>
      </c>
      <c r="X957" s="188" t="inlineStr">
        <is>
          <t>LOW (40%)</t>
        </is>
      </c>
      <c r="Y957" s="188" t="inlineStr">
        <is>
          <t>UNLIKELY</t>
        </is>
      </c>
      <c r="Z957" s="188" t="inlineStr">
        <is>
          <t>CHECK_VENDOR</t>
        </is>
      </c>
      <c r="AA957" s="188" t="inlineStr">
        <is>
          <t>https://nvd.nist.gov/vuln/detail/CVE-2019-25450</t>
        </is>
      </c>
      <c r="AB957" s="188" t="inlineStr">
        <is>
          <t>NONE</t>
        </is>
      </c>
      <c r="AC957" s="188" t="n">
        <v>0</v>
      </c>
      <c r="AD957" s="188" t="inlineStr"/>
    </row>
    <row r="958">
      <c r="A958" s="188" t="inlineStr">
        <is>
          <t>CVE</t>
        </is>
      </c>
      <c r="B958" s="188" t="inlineStr">
        <is>
          <t>CVE-2019-25452</t>
        </is>
      </c>
      <c r="C958" s="188" t="inlineStr">
        <is>
          <t>Dolibarr ERP/CRM 10.0.1 contains an SQL injection vulnerability in the elemid POST parameter of the viewcat.php endpoint that allows unauthenticated attackers to execute arbitrary SQL queries. Attackers can submit crafted POST requests with malicious SQL payloads in the elemid parameter to extract sensitive database information using error-based or time-based blind SQL injection techniques.</t>
        </is>
      </c>
      <c r="D958" s="188" t="n">
        <v>8.199999999999999</v>
      </c>
      <c r="E958" s="188" t="inlineStr">
        <is>
          <t>HIGH</t>
        </is>
      </c>
      <c r="F958" s="188" t="n">
        <v>2</v>
      </c>
      <c r="G958" s="188" t="n">
        <v>3</v>
      </c>
      <c r="H958" s="188" t="inlineStr">
        <is>
          <t>HIGH</t>
        </is>
      </c>
      <c r="I958" s="188" t="n">
        <v>14.2</v>
      </c>
      <c r="J958" s="188" t="inlineStr">
        <is>
          <t>NO</t>
        </is>
      </c>
      <c r="K958" s="188" t="inlineStr">
        <is>
          <t>https://nvd.nist.gov/vuln/detail/CVE-2019-25452</t>
        </is>
      </c>
      <c r="L958" s="188" t="inlineStr">
        <is>
          <t>2026-02-26 00:15</t>
        </is>
      </c>
      <c r="M958" s="188" t="inlineStr">
        <is>
          <t>CHECK_VENDOR</t>
        </is>
      </c>
      <c r="N958" s="188" t="inlineStr">
        <is>
          <t>See NVD references</t>
        </is>
      </c>
      <c r="O958" s="188" t="inlineStr">
        <is>
          <t>Apply vendor patches</t>
        </is>
      </c>
      <c r="P958" s="188" t="inlineStr">
        <is>
          <t>dolibarr dolibarr_erp\/crm 10.0.1</t>
        </is>
      </c>
      <c r="Q958" s="188" t="inlineStr">
        <is>
          <t>P3</t>
        </is>
      </c>
      <c r="R958" s="188" t="inlineStr">
        <is>
          <t>🚨 URGENT: Apply vendor patches immediately | 🔒 Isolate affected systems if patch unavailable | 🛡️ Enable additional monitoring/IDS rules</t>
        </is>
      </c>
      <c r="S958" s="188" t="inlineStr">
        <is>
          <t>CVE - IP enrichment n/a</t>
        </is>
      </c>
      <c r="T958" s="188" t="n">
        <v>0</v>
      </c>
      <c r="U958" s="188" t="n">
        <v>0</v>
      </c>
      <c r="V958" s="188" t="inlineStr">
        <is>
          <t>T1190:Exploit Public-Facing Application</t>
        </is>
      </c>
      <c r="W958" s="188" t="n">
        <v>1</v>
      </c>
      <c r="X958" s="188" t="inlineStr">
        <is>
          <t>LOW (40%)</t>
        </is>
      </c>
      <c r="Y958" s="188" t="inlineStr">
        <is>
          <t>UNLIKELY</t>
        </is>
      </c>
      <c r="Z958" s="188" t="inlineStr">
        <is>
          <t>CHECK_VENDOR</t>
        </is>
      </c>
      <c r="AA958" s="188" t="inlineStr">
        <is>
          <t>https://nvd.nist.gov/vuln/detail/CVE-2019-25452</t>
        </is>
      </c>
      <c r="AB958" s="188" t="inlineStr">
        <is>
          <t>NONE</t>
        </is>
      </c>
      <c r="AC958" s="188" t="n">
        <v>0</v>
      </c>
      <c r="AD958" s="188" t="inlineStr"/>
    </row>
    <row r="959">
      <c r="A959" s="190" t="inlineStr">
        <is>
          <t>CVE</t>
        </is>
      </c>
      <c r="B959" s="190" t="inlineStr">
        <is>
          <t>CVE-2026-2947</t>
        </is>
      </c>
      <c r="C959" s="190" t="inlineStr">
        <is>
          <t>A vulnerability was detected in rymcu forest up to 0.0.5. This affects the function updateUserInfo of the file - src/main/java/com/rymcu/forest/web/api/user/UserInfoController.java of the component User Profile Handler. The manipulation results in cross site scripting. The attack can be executed remotely. The exploit is now public and may be used. The vendor was contacted early about this disclosure but did not respond in any way.</t>
        </is>
      </c>
      <c r="D959" s="190" t="n">
        <v>3.5</v>
      </c>
      <c r="E959" s="190" t="inlineStr">
        <is>
          <t>LOW</t>
        </is>
      </c>
      <c r="F959" s="190" t="n">
        <v>2</v>
      </c>
      <c r="G959" s="190" t="n">
        <v>1</v>
      </c>
      <c r="H959" s="190" t="inlineStr">
        <is>
          <t>LOW</t>
        </is>
      </c>
      <c r="I959" s="190" t="n">
        <v>5.5</v>
      </c>
      <c r="J959" s="190" t="inlineStr">
        <is>
          <t>NO</t>
        </is>
      </c>
      <c r="K959" s="190" t="inlineStr">
        <is>
          <t>https://nvd.nist.gov/vuln/detail/CVE-2026-2947</t>
        </is>
      </c>
      <c r="L959" s="190" t="inlineStr">
        <is>
          <t>2026-02-26 00:15</t>
        </is>
      </c>
      <c r="M959" s="190" t="inlineStr">
        <is>
          <t>CHECK_VENDOR</t>
        </is>
      </c>
      <c r="N959" s="190" t="inlineStr">
        <is>
          <t>See NVD references</t>
        </is>
      </c>
      <c r="O959" s="190" t="inlineStr">
        <is>
          <t>Apply vendor patches</t>
        </is>
      </c>
      <c r="P959" s="190" t="inlineStr">
        <is>
          <t>rymcu forest *</t>
        </is>
      </c>
      <c r="Q959" s="190" t="inlineStr">
        <is>
          <t>P4</t>
        </is>
      </c>
      <c r="R959" s="190" t="inlineStr">
        <is>
          <t>📅 Schedule patch deployment within 30 days | 🔍 Monitor for exploitation attempts</t>
        </is>
      </c>
      <c r="S959" s="190" t="inlineStr">
        <is>
          <t>CVE - IP enrichment n/a</t>
        </is>
      </c>
      <c r="T959" s="190" t="n">
        <v>0</v>
      </c>
      <c r="U959" s="190" t="n">
        <v>0</v>
      </c>
      <c r="V959" s="190" t="inlineStr">
        <is>
          <t>T1189:Drive-by Compromise</t>
        </is>
      </c>
      <c r="W959" s="190" t="n">
        <v>1</v>
      </c>
      <c r="X959" s="190" t="inlineStr">
        <is>
          <t>LOW (40%)</t>
        </is>
      </c>
      <c r="Y959" s="190" t="inlineStr">
        <is>
          <t>UNLIKELY</t>
        </is>
      </c>
      <c r="Z959" s="190" t="inlineStr">
        <is>
          <t>CHECK_VENDOR</t>
        </is>
      </c>
      <c r="AA959" s="190" t="inlineStr">
        <is>
          <t>https://nvd.nist.gov/vuln/detail/CVE-2026-2947</t>
        </is>
      </c>
      <c r="AB959" s="190" t="inlineStr">
        <is>
          <t>NONE</t>
        </is>
      </c>
      <c r="AC959" s="190" t="n">
        <v>0</v>
      </c>
      <c r="AD959" s="190" t="inlineStr"/>
    </row>
    <row r="960">
      <c r="A960" s="188" t="inlineStr">
        <is>
          <t>CVE</t>
        </is>
      </c>
      <c r="B960" s="188" t="inlineStr">
        <is>
          <t>CVE-2026-2952</t>
        </is>
      </c>
      <c r="C960" s="188" t="inlineStr">
        <is>
          <t>A flaw has been found in Vaelsys 4.1.0. This vulnerability affects unknown code of the file /tree/tree_server.php of the component HTTP POST Request Handler. This manipulation of the argument xajaxargs causes os command injection. The attack is possible to be carried out remotely. The exploit has been published and may be used. The vendor was contacted early about this disclosure but did not respond in any way.</t>
        </is>
      </c>
      <c r="D960" s="188" t="n">
        <v>7.3</v>
      </c>
      <c r="E960" s="188" t="inlineStr">
        <is>
          <t>HIGH</t>
        </is>
      </c>
      <c r="F960" s="188" t="n">
        <v>2</v>
      </c>
      <c r="G960" s="188" t="n">
        <v>3</v>
      </c>
      <c r="H960" s="188" t="inlineStr">
        <is>
          <t>HIGH</t>
        </is>
      </c>
      <c r="I960" s="188" t="n">
        <v>13.3</v>
      </c>
      <c r="J960" s="188" t="inlineStr">
        <is>
          <t>NO</t>
        </is>
      </c>
      <c r="K960" s="188" t="inlineStr">
        <is>
          <t>https://nvd.nist.gov/vuln/detail/CVE-2026-2952</t>
        </is>
      </c>
      <c r="L960" s="188" t="inlineStr">
        <is>
          <t>2026-02-26 00:15</t>
        </is>
      </c>
      <c r="M960" s="188" t="inlineStr">
        <is>
          <t>CHECK_VENDOR</t>
        </is>
      </c>
      <c r="N960" s="188" t="inlineStr">
        <is>
          <t>See NVD references</t>
        </is>
      </c>
      <c r="O960" s="188" t="inlineStr">
        <is>
          <t>Apply vendor patches</t>
        </is>
      </c>
      <c r="P960" s="188" t="inlineStr">
        <is>
          <t>vaelsys vaelsys 4.1.0</t>
        </is>
      </c>
      <c r="Q960" s="188" t="inlineStr">
        <is>
          <t>P3</t>
        </is>
      </c>
      <c r="R960" s="188" t="inlineStr">
        <is>
          <t>🚨 URGENT: Apply vendor patches immediately | 🔒 Isolate affected systems if patch unavailable | 🛡️ Enable additional monitoring/IDS rules</t>
        </is>
      </c>
      <c r="S960" s="188" t="inlineStr">
        <is>
          <t>CVE - IP enrichment n/a</t>
        </is>
      </c>
      <c r="T960" s="188" t="n">
        <v>0</v>
      </c>
      <c r="U960" s="188" t="n">
        <v>0</v>
      </c>
      <c r="V960" s="188" t="inlineStr">
        <is>
          <t>T1059:Command and Scripting Interpreter</t>
        </is>
      </c>
      <c r="W960" s="188" t="n">
        <v>1</v>
      </c>
      <c r="X960" s="188" t="inlineStr">
        <is>
          <t>LOW (40%)</t>
        </is>
      </c>
      <c r="Y960" s="188" t="inlineStr">
        <is>
          <t>UNLIKELY</t>
        </is>
      </c>
      <c r="Z960" s="188" t="inlineStr">
        <is>
          <t>CHECK_VENDOR</t>
        </is>
      </c>
      <c r="AA960" s="188" t="inlineStr">
        <is>
          <t>https://nvd.nist.gov/vuln/detail/CVE-2026-2952</t>
        </is>
      </c>
      <c r="AB960" s="188" t="inlineStr">
        <is>
          <t>NONE</t>
        </is>
      </c>
      <c r="AC960" s="188" t="n">
        <v>0</v>
      </c>
      <c r="AD960" s="188" t="inlineStr"/>
    </row>
    <row r="961">
      <c r="A961" s="187" t="inlineStr">
        <is>
          <t>CVE</t>
        </is>
      </c>
      <c r="B961" s="187" t="inlineStr">
        <is>
          <t>CVE-2026-2953</t>
        </is>
      </c>
      <c r="C961" s="187" t="inlineStr">
        <is>
          <t>A vulnerability has been found in Dromara UJCMS 101.2. This issue affects the function deleteDirectory of the file WebFileTemplateController.delete of the component Template Handler. Such manipulation leads to path traversal. The attack may be performed from remote. The exploit has been disclosed to the public and may be used. The vendor was contacted early about this disclosure but did not respond in any way.</t>
        </is>
      </c>
      <c r="D961" s="187" t="n">
        <v>5.4</v>
      </c>
      <c r="E961" s="187" t="inlineStr">
        <is>
          <t>MEDIUM</t>
        </is>
      </c>
      <c r="F961" s="187" t="n">
        <v>2</v>
      </c>
      <c r="G961" s="187" t="n">
        <v>2</v>
      </c>
      <c r="H961" s="187" t="inlineStr">
        <is>
          <t>MEDIUM</t>
        </is>
      </c>
      <c r="I961" s="187" t="n">
        <v>9.4</v>
      </c>
      <c r="J961" s="187" t="inlineStr">
        <is>
          <t>NO</t>
        </is>
      </c>
      <c r="K961" s="187" t="inlineStr">
        <is>
          <t>https://nvd.nist.gov/vuln/detail/CVE-2026-2953</t>
        </is>
      </c>
      <c r="L961" s="187" t="inlineStr">
        <is>
          <t>2026-02-26 00:15</t>
        </is>
      </c>
      <c r="M961" s="187" t="inlineStr">
        <is>
          <t>CHECK_VENDOR</t>
        </is>
      </c>
      <c r="N961" s="187" t="inlineStr">
        <is>
          <t>See NVD references</t>
        </is>
      </c>
      <c r="O961" s="187" t="inlineStr">
        <is>
          <t>Apply vendor patches</t>
        </is>
      </c>
      <c r="P961" s="187" t="inlineStr">
        <is>
          <t>ujcms ujcms 10.1.2</t>
        </is>
      </c>
      <c r="Q961" s="187" t="inlineStr">
        <is>
          <t>P4</t>
        </is>
      </c>
      <c r="R961" s="187" t="inlineStr">
        <is>
          <t>📅 Schedule patch deployment within 30 days | 🔍 Monitor for exploitation attempts</t>
        </is>
      </c>
      <c r="S961" s="187" t="inlineStr">
        <is>
          <t>CVE - IP enrichment n/a</t>
        </is>
      </c>
      <c r="T961" s="187" t="n">
        <v>0.0004</v>
      </c>
      <c r="U961" s="187" t="n">
        <v>0.1382</v>
      </c>
      <c r="V961" s="187" t="inlineStr">
        <is>
          <t>T1083:File and Directory Discovery</t>
        </is>
      </c>
      <c r="W961" s="187" t="n">
        <v>1</v>
      </c>
      <c r="X961" s="187" t="inlineStr">
        <is>
          <t>LOW (40%)</t>
        </is>
      </c>
      <c r="Y961" s="187" t="inlineStr">
        <is>
          <t>UNLIKELY</t>
        </is>
      </c>
      <c r="Z961" s="187" t="inlineStr">
        <is>
          <t>CHECK_VENDOR</t>
        </is>
      </c>
      <c r="AA961" s="187" t="inlineStr">
        <is>
          <t>https://nvd.nist.gov/vuln/detail/CVE-2026-2953</t>
        </is>
      </c>
      <c r="AB961" s="187" t="inlineStr">
        <is>
          <t>NONE</t>
        </is>
      </c>
      <c r="AC961" s="187" t="n">
        <v>0</v>
      </c>
      <c r="AD961" s="187" t="inlineStr"/>
    </row>
    <row r="962">
      <c r="A962" s="188" t="inlineStr">
        <is>
          <t>CVE</t>
        </is>
      </c>
      <c r="B962" s="188" t="inlineStr">
        <is>
          <t>CVE-2019-25455</t>
        </is>
      </c>
      <c r="C962" s="188" t="inlineStr">
        <is>
          <t>Web Ofisi E-Ticaret v3 contains an SQL injection vulnerability that allows unauthenticated attackers to manipulate database queries by injecting SQL code through the 'a' parameter. Attackers can send GET requests to with malicious 'a' parameter values to extract sensitive database information.</t>
        </is>
      </c>
      <c r="D962" s="188" t="n">
        <v>8.199999999999999</v>
      </c>
      <c r="E962" s="188" t="inlineStr">
        <is>
          <t>HIGH</t>
        </is>
      </c>
      <c r="F962" s="188" t="n">
        <v>2</v>
      </c>
      <c r="G962" s="188" t="n">
        <v>3</v>
      </c>
      <c r="H962" s="188" t="inlineStr">
        <is>
          <t>HIGH</t>
        </is>
      </c>
      <c r="I962" s="188" t="n">
        <v>14.2</v>
      </c>
      <c r="J962" s="188" t="inlineStr">
        <is>
          <t>NO</t>
        </is>
      </c>
      <c r="K962" s="188" t="inlineStr">
        <is>
          <t>https://nvd.nist.gov/vuln/detail/CVE-2019-25455</t>
        </is>
      </c>
      <c r="L962" s="188" t="inlineStr">
        <is>
          <t>2026-02-26 00:15</t>
        </is>
      </c>
      <c r="M962" s="188" t="inlineStr">
        <is>
          <t>CHECK_VENDOR</t>
        </is>
      </c>
      <c r="N962" s="188" t="inlineStr">
        <is>
          <t>See NVD references</t>
        </is>
      </c>
      <c r="O962" s="188" t="inlineStr">
        <is>
          <t>Apply vendor patches</t>
        </is>
      </c>
      <c r="P962" s="188" t="inlineStr">
        <is>
          <t>See CVE details</t>
        </is>
      </c>
      <c r="Q962" s="188" t="inlineStr">
        <is>
          <t>P3</t>
        </is>
      </c>
      <c r="R962" s="188" t="inlineStr">
        <is>
          <t>🚨 URGENT: Apply vendor patches immediately | 🔒 Isolate affected systems if patch unavailable | 🛡️ Enable additional monitoring/IDS rules</t>
        </is>
      </c>
      <c r="S962" s="188" t="inlineStr">
        <is>
          <t>CVE - IP enrichment n/a</t>
        </is>
      </c>
      <c r="T962" s="188" t="n">
        <v>0.0007</v>
      </c>
      <c r="U962" s="188" t="n">
        <v>0.2136</v>
      </c>
      <c r="V962" s="188" t="inlineStr">
        <is>
          <t>T1190:Exploit Public-Facing Application</t>
        </is>
      </c>
      <c r="W962" s="188" t="n">
        <v>1</v>
      </c>
      <c r="X962" s="188" t="inlineStr">
        <is>
          <t>LOW (40%)</t>
        </is>
      </c>
      <c r="Y962" s="188" t="inlineStr">
        <is>
          <t>UNLIKELY</t>
        </is>
      </c>
      <c r="Z962" s="188" t="inlineStr">
        <is>
          <t>CHECK_VENDOR</t>
        </is>
      </c>
      <c r="AA962" s="188" t="inlineStr">
        <is>
          <t>https://nvd.nist.gov/vuln/detail/CVE-2019-25455</t>
        </is>
      </c>
      <c r="AB962" s="188" t="inlineStr">
        <is>
          <t>NONE</t>
        </is>
      </c>
      <c r="AC962" s="188" t="n">
        <v>0</v>
      </c>
      <c r="AD962" s="188" t="inlineStr"/>
    </row>
    <row r="963">
      <c r="A963" s="188" t="inlineStr">
        <is>
          <t>CVE</t>
        </is>
      </c>
      <c r="B963" s="188" t="inlineStr">
        <is>
          <t>CVE-2019-25456</t>
        </is>
      </c>
      <c r="C963" s="188" t="inlineStr">
        <is>
          <t>Web Ofisi Emlak v2 contains an SQL injection vulnerability that allows unauthenticated attackers to manipulate database queries by injecting SQL code through the 'ara' GET parameter. Attackers can send requests to with time-based SQL injection payloads to extract sensitive database information or cause denial of service.</t>
        </is>
      </c>
      <c r="D963" s="188" t="n">
        <v>8.199999999999999</v>
      </c>
      <c r="E963" s="188" t="inlineStr">
        <is>
          <t>HIGH</t>
        </is>
      </c>
      <c r="F963" s="188" t="n">
        <v>2</v>
      </c>
      <c r="G963" s="188" t="n">
        <v>3</v>
      </c>
      <c r="H963" s="188" t="inlineStr">
        <is>
          <t>HIGH</t>
        </is>
      </c>
      <c r="I963" s="188" t="n">
        <v>14.2</v>
      </c>
      <c r="J963" s="188" t="inlineStr">
        <is>
          <t>NO</t>
        </is>
      </c>
      <c r="K963" s="188" t="inlineStr">
        <is>
          <t>https://nvd.nist.gov/vuln/detail/CVE-2019-25456</t>
        </is>
      </c>
      <c r="L963" s="188" t="inlineStr">
        <is>
          <t>2026-02-26 00:15</t>
        </is>
      </c>
      <c r="M963" s="188" t="inlineStr">
        <is>
          <t>CHECK_VENDOR</t>
        </is>
      </c>
      <c r="N963" s="188" t="inlineStr">
        <is>
          <t>See NVD references</t>
        </is>
      </c>
      <c r="O963" s="188" t="inlineStr">
        <is>
          <t>Apply vendor patches</t>
        </is>
      </c>
      <c r="P963" s="188" t="inlineStr">
        <is>
          <t>See CVE details</t>
        </is>
      </c>
      <c r="Q963" s="188" t="inlineStr">
        <is>
          <t>P3</t>
        </is>
      </c>
      <c r="R963" s="188" t="inlineStr">
        <is>
          <t>🚨 URGENT: Apply vendor patches immediately | 🔒 Isolate affected systems if patch unavailable | 🛡️ Enable additional monitoring/IDS rules</t>
        </is>
      </c>
      <c r="S963" s="188" t="inlineStr">
        <is>
          <t>CVE - IP enrichment n/a</t>
        </is>
      </c>
      <c r="T963" s="188" t="n">
        <v>0</v>
      </c>
      <c r="U963" s="188" t="n">
        <v>0</v>
      </c>
      <c r="V963" s="188" t="inlineStr">
        <is>
          <t>T1190:Exploit Public-Facing Application | T1499:Endpoint Denial of Service</t>
        </is>
      </c>
      <c r="W963" s="188" t="n">
        <v>1</v>
      </c>
      <c r="X963" s="188" t="inlineStr">
        <is>
          <t>LOW (40%)</t>
        </is>
      </c>
      <c r="Y963" s="188" t="inlineStr">
        <is>
          <t>UNLIKELY</t>
        </is>
      </c>
      <c r="Z963" s="188" t="inlineStr">
        <is>
          <t>CHECK_VENDOR</t>
        </is>
      </c>
      <c r="AA963" s="188" t="inlineStr">
        <is>
          <t>https://nvd.nist.gov/vuln/detail/CVE-2019-25456</t>
        </is>
      </c>
      <c r="AB963" s="188" t="inlineStr">
        <is>
          <t>NONE</t>
        </is>
      </c>
      <c r="AC963" s="188" t="n">
        <v>0</v>
      </c>
      <c r="AD963" s="188" t="inlineStr"/>
    </row>
    <row r="964">
      <c r="A964" s="188" t="inlineStr">
        <is>
          <t>CVE</t>
        </is>
      </c>
      <c r="B964" s="188" t="inlineStr">
        <is>
          <t>CVE-2019-25457</t>
        </is>
      </c>
      <c r="C964" s="188" t="inlineStr">
        <is>
          <t>Web Ofisi Firma v13 contains an SQL injection vulnerability that allows unauthenticated attackers to manipulate database queries by injecting SQL code through the 'oz' array parameter. Attackers can send GET requests to category pages with malicious 'oz[]' values using time-based blind SQL injection payloads to extract sensitive database information.</t>
        </is>
      </c>
      <c r="D964" s="188" t="n">
        <v>8.199999999999999</v>
      </c>
      <c r="E964" s="188" t="inlineStr">
        <is>
          <t>HIGH</t>
        </is>
      </c>
      <c r="F964" s="188" t="n">
        <v>2</v>
      </c>
      <c r="G964" s="188" t="n">
        <v>3</v>
      </c>
      <c r="H964" s="188" t="inlineStr">
        <is>
          <t>HIGH</t>
        </is>
      </c>
      <c r="I964" s="188" t="n">
        <v>14.2</v>
      </c>
      <c r="J964" s="188" t="inlineStr">
        <is>
          <t>NO</t>
        </is>
      </c>
      <c r="K964" s="188" t="inlineStr">
        <is>
          <t>https://nvd.nist.gov/vuln/detail/CVE-2019-25457</t>
        </is>
      </c>
      <c r="L964" s="188" t="inlineStr">
        <is>
          <t>2026-02-26 00:15</t>
        </is>
      </c>
      <c r="M964" s="188" t="inlineStr">
        <is>
          <t>CHECK_VENDOR</t>
        </is>
      </c>
      <c r="N964" s="188" t="inlineStr">
        <is>
          <t>See NVD references</t>
        </is>
      </c>
      <c r="O964" s="188" t="inlineStr">
        <is>
          <t>Apply vendor patches</t>
        </is>
      </c>
      <c r="P964" s="188" t="inlineStr">
        <is>
          <t>See CVE details</t>
        </is>
      </c>
      <c r="Q964" s="188" t="inlineStr">
        <is>
          <t>P3</t>
        </is>
      </c>
      <c r="R964" s="188" t="inlineStr">
        <is>
          <t>🚨 URGENT: Apply vendor patches immediately | 🔒 Isolate affected systems if patch unavailable | 🛡️ Enable additional monitoring/IDS rules</t>
        </is>
      </c>
      <c r="S964" s="188" t="inlineStr">
        <is>
          <t>CVE - IP enrichment n/a</t>
        </is>
      </c>
      <c r="T964" s="188" t="n">
        <v>0</v>
      </c>
      <c r="U964" s="188" t="n">
        <v>0</v>
      </c>
      <c r="V964" s="188" t="inlineStr">
        <is>
          <t>T1190:Exploit Public-Facing Application</t>
        </is>
      </c>
      <c r="W964" s="188" t="n">
        <v>1</v>
      </c>
      <c r="X964" s="188" t="inlineStr">
        <is>
          <t>LOW (40%)</t>
        </is>
      </c>
      <c r="Y964" s="188" t="inlineStr">
        <is>
          <t>UNLIKELY</t>
        </is>
      </c>
      <c r="Z964" s="188" t="inlineStr">
        <is>
          <t>CHECK_VENDOR</t>
        </is>
      </c>
      <c r="AA964" s="188" t="inlineStr">
        <is>
          <t>https://nvd.nist.gov/vuln/detail/CVE-2019-25457</t>
        </is>
      </c>
      <c r="AB964" s="188" t="inlineStr">
        <is>
          <t>NONE</t>
        </is>
      </c>
      <c r="AC964" s="188" t="n">
        <v>0</v>
      </c>
      <c r="AD964" s="188" t="inlineStr"/>
    </row>
    <row r="965">
      <c r="A965" s="188" t="inlineStr">
        <is>
          <t>CVE</t>
        </is>
      </c>
      <c r="B965" s="188" t="inlineStr">
        <is>
          <t>CVE-2019-25458</t>
        </is>
      </c>
      <c r="C965" s="188" t="inlineStr">
        <is>
          <t>Web Ofisi Firma Rehberi v1 contains an SQL injection vulnerability that allows unauthenticated attackers to manipulate database queries by injecting SQL code through GET parameters. Attackers can send requests to with malicious payloads in the 'il', 'kat', or 'kelime' parameters to extract sensitive database information or perform time-based blind SQL injection attacks.</t>
        </is>
      </c>
      <c r="D965" s="188" t="n">
        <v>8.199999999999999</v>
      </c>
      <c r="E965" s="188" t="inlineStr">
        <is>
          <t>HIGH</t>
        </is>
      </c>
      <c r="F965" s="188" t="n">
        <v>2</v>
      </c>
      <c r="G965" s="188" t="n">
        <v>3</v>
      </c>
      <c r="H965" s="188" t="inlineStr">
        <is>
          <t>HIGH</t>
        </is>
      </c>
      <c r="I965" s="188" t="n">
        <v>14.2</v>
      </c>
      <c r="J965" s="188" t="inlineStr">
        <is>
          <t>NO</t>
        </is>
      </c>
      <c r="K965" s="188" t="inlineStr">
        <is>
          <t>https://nvd.nist.gov/vuln/detail/CVE-2019-25458</t>
        </is>
      </c>
      <c r="L965" s="188" t="inlineStr">
        <is>
          <t>2026-02-26 00:15</t>
        </is>
      </c>
      <c r="M965" s="188" t="inlineStr">
        <is>
          <t>CHECK_VENDOR</t>
        </is>
      </c>
      <c r="N965" s="188" t="inlineStr">
        <is>
          <t>See NVD references</t>
        </is>
      </c>
      <c r="O965" s="188" t="inlineStr">
        <is>
          <t>Apply vendor patches</t>
        </is>
      </c>
      <c r="P965" s="188" t="inlineStr">
        <is>
          <t>See CVE details</t>
        </is>
      </c>
      <c r="Q965" s="188" t="inlineStr">
        <is>
          <t>P3</t>
        </is>
      </c>
      <c r="R965" s="188" t="inlineStr">
        <is>
          <t>🚨 URGENT: Apply vendor patches immediately | 🔒 Isolate affected systems if patch unavailable | 🛡️ Enable additional monitoring/IDS rules</t>
        </is>
      </c>
      <c r="S965" s="188" t="inlineStr">
        <is>
          <t>CVE - IP enrichment n/a</t>
        </is>
      </c>
      <c r="T965" s="188" t="n">
        <v>0</v>
      </c>
      <c r="U965" s="188" t="n">
        <v>0</v>
      </c>
      <c r="V965" s="188" t="inlineStr">
        <is>
          <t>T1190:Exploit Public-Facing Application</t>
        </is>
      </c>
      <c r="W965" s="188" t="n">
        <v>1</v>
      </c>
      <c r="X965" s="188" t="inlineStr">
        <is>
          <t>LOW (40%)</t>
        </is>
      </c>
      <c r="Y965" s="188" t="inlineStr">
        <is>
          <t>UNLIKELY</t>
        </is>
      </c>
      <c r="Z965" s="188" t="inlineStr">
        <is>
          <t>CHECK_VENDOR</t>
        </is>
      </c>
      <c r="AA965" s="188" t="inlineStr">
        <is>
          <t>https://nvd.nist.gov/vuln/detail/CVE-2019-25458</t>
        </is>
      </c>
      <c r="AB965" s="188" t="inlineStr">
        <is>
          <t>NONE</t>
        </is>
      </c>
      <c r="AC965" s="188" t="n">
        <v>0</v>
      </c>
      <c r="AD965" s="188" t="inlineStr"/>
    </row>
    <row r="966">
      <c r="A966" s="188" t="inlineStr">
        <is>
          <t>CVE</t>
        </is>
      </c>
      <c r="B966" s="188" t="inlineStr">
        <is>
          <t>CVE-2019-25459</t>
        </is>
      </c>
      <c r="C966" s="188" t="inlineStr">
        <is>
          <t>Web Ofisi Emlak V2 contains multiple SQL injection vulnerabilities in the endpoint that allow unauthenticated attackers to manipulate database queries through GET parameters. Attackers can inject SQL code into parameters like emlak_durumu, emlak_tipi, il, ilce, kelime, and semt to extract sensitive database information or perform time-based blind SQL injection attacks.</t>
        </is>
      </c>
      <c r="D966" s="188" t="n">
        <v>8.199999999999999</v>
      </c>
      <c r="E966" s="188" t="inlineStr">
        <is>
          <t>HIGH</t>
        </is>
      </c>
      <c r="F966" s="188" t="n">
        <v>2</v>
      </c>
      <c r="G966" s="188" t="n">
        <v>3</v>
      </c>
      <c r="H966" s="188" t="inlineStr">
        <is>
          <t>HIGH</t>
        </is>
      </c>
      <c r="I966" s="188" t="n">
        <v>14.2</v>
      </c>
      <c r="J966" s="188" t="inlineStr">
        <is>
          <t>NO</t>
        </is>
      </c>
      <c r="K966" s="188" t="inlineStr">
        <is>
          <t>https://nvd.nist.gov/vuln/detail/CVE-2019-25459</t>
        </is>
      </c>
      <c r="L966" s="188" t="inlineStr">
        <is>
          <t>2026-02-26 00:15</t>
        </is>
      </c>
      <c r="M966" s="188" t="inlineStr">
        <is>
          <t>CHECK_VENDOR</t>
        </is>
      </c>
      <c r="N966" s="188" t="inlineStr">
        <is>
          <t>See NVD references</t>
        </is>
      </c>
      <c r="O966" s="188" t="inlineStr">
        <is>
          <t>Apply vendor patches</t>
        </is>
      </c>
      <c r="P966" s="188" t="inlineStr">
        <is>
          <t>See CVE details</t>
        </is>
      </c>
      <c r="Q966" s="188" t="inlineStr">
        <is>
          <t>P3</t>
        </is>
      </c>
      <c r="R966" s="188" t="inlineStr">
        <is>
          <t>🚨 URGENT: Apply vendor patches immediately | 🔒 Isolate affected systems if patch unavailable | 🛡️ Enable additional monitoring/IDS rules</t>
        </is>
      </c>
      <c r="S966" s="188" t="inlineStr">
        <is>
          <t>CVE - IP enrichment n/a</t>
        </is>
      </c>
      <c r="T966" s="188" t="n">
        <v>0</v>
      </c>
      <c r="U966" s="188" t="n">
        <v>0</v>
      </c>
      <c r="V966" s="188" t="inlineStr">
        <is>
          <t>T1190:Exploit Public-Facing Application</t>
        </is>
      </c>
      <c r="W966" s="188" t="n">
        <v>1</v>
      </c>
      <c r="X966" s="188" t="inlineStr">
        <is>
          <t>LOW (40%)</t>
        </is>
      </c>
      <c r="Y966" s="188" t="inlineStr">
        <is>
          <t>UNLIKELY</t>
        </is>
      </c>
      <c r="Z966" s="188" t="inlineStr">
        <is>
          <t>CHECK_VENDOR</t>
        </is>
      </c>
      <c r="AA966" s="188" t="inlineStr">
        <is>
          <t>https://nvd.nist.gov/vuln/detail/CVE-2019-25459</t>
        </is>
      </c>
      <c r="AB966" s="188" t="inlineStr">
        <is>
          <t>NONE</t>
        </is>
      </c>
      <c r="AC966" s="188" t="n">
        <v>0</v>
      </c>
      <c r="AD966" s="188" t="inlineStr"/>
    </row>
    <row r="967">
      <c r="A967" s="188" t="inlineStr">
        <is>
          <t>CVE</t>
        </is>
      </c>
      <c r="B967" s="188" t="inlineStr">
        <is>
          <t>CVE-2019-25460</t>
        </is>
      </c>
      <c r="C967" s="188" t="inlineStr">
        <is>
          <t>Web Ofisi Platinum E-Ticaret v5 contains an SQL injection vulnerability that allows unauthenticated attackers to manipulate database queries by injecting SQL code through the 'q' GET parameter. Attackers can send requests to the arama endpoint with malicious 'q' values using time-based SQL injection techniques to extract sensitive database information.</t>
        </is>
      </c>
      <c r="D967" s="188" t="n">
        <v>8.199999999999999</v>
      </c>
      <c r="E967" s="188" t="inlineStr">
        <is>
          <t>HIGH</t>
        </is>
      </c>
      <c r="F967" s="188" t="n">
        <v>2</v>
      </c>
      <c r="G967" s="188" t="n">
        <v>3</v>
      </c>
      <c r="H967" s="188" t="inlineStr">
        <is>
          <t>HIGH</t>
        </is>
      </c>
      <c r="I967" s="188" t="n">
        <v>14.2</v>
      </c>
      <c r="J967" s="188" t="inlineStr">
        <is>
          <t>NO</t>
        </is>
      </c>
      <c r="K967" s="188" t="inlineStr">
        <is>
          <t>https://nvd.nist.gov/vuln/detail/CVE-2019-25460</t>
        </is>
      </c>
      <c r="L967" s="188" t="inlineStr">
        <is>
          <t>2026-02-26 00:15</t>
        </is>
      </c>
      <c r="M967" s="188" t="inlineStr">
        <is>
          <t>CHECK_VENDOR</t>
        </is>
      </c>
      <c r="N967" s="188" t="inlineStr">
        <is>
          <t>See NVD references</t>
        </is>
      </c>
      <c r="O967" s="188" t="inlineStr">
        <is>
          <t>Apply vendor patches</t>
        </is>
      </c>
      <c r="P967" s="188" t="inlineStr">
        <is>
          <t>See CVE details</t>
        </is>
      </c>
      <c r="Q967" s="188" t="inlineStr">
        <is>
          <t>P3</t>
        </is>
      </c>
      <c r="R967" s="188" t="inlineStr">
        <is>
          <t>🚨 URGENT: Apply vendor patches immediately | 🔒 Isolate affected systems if patch unavailable | 🛡️ Enable additional monitoring/IDS rules</t>
        </is>
      </c>
      <c r="S967" s="188" t="inlineStr">
        <is>
          <t>CVE - IP enrichment n/a</t>
        </is>
      </c>
      <c r="T967" s="188" t="n">
        <v>0</v>
      </c>
      <c r="U967" s="188" t="n">
        <v>0</v>
      </c>
      <c r="V967" s="188" t="inlineStr">
        <is>
          <t>T1190:Exploit Public-Facing Application</t>
        </is>
      </c>
      <c r="W967" s="188" t="n">
        <v>1</v>
      </c>
      <c r="X967" s="188" t="inlineStr">
        <is>
          <t>LOW (40%)</t>
        </is>
      </c>
      <c r="Y967" s="188" t="inlineStr">
        <is>
          <t>UNLIKELY</t>
        </is>
      </c>
      <c r="Z967" s="188" t="inlineStr">
        <is>
          <t>CHECK_VENDOR</t>
        </is>
      </c>
      <c r="AA967" s="188" t="inlineStr">
        <is>
          <t>https://nvd.nist.gov/vuln/detail/CVE-2019-25460</t>
        </is>
      </c>
      <c r="AB967" s="188" t="inlineStr">
        <is>
          <t>NONE</t>
        </is>
      </c>
      <c r="AC967" s="188" t="n">
        <v>0</v>
      </c>
      <c r="AD967" s="188" t="inlineStr"/>
    </row>
    <row r="968">
      <c r="A968" s="188" t="inlineStr">
        <is>
          <t>CVE</t>
        </is>
      </c>
      <c r="B968" s="188" t="inlineStr">
        <is>
          <t>CVE-2019-25461</t>
        </is>
      </c>
      <c r="C968" s="188" t="inlineStr">
        <is>
          <t>Web Ofisi Platinum E-Ticaret v5 contains an SQL injection vulnerability that allows unauthenticated attackers to manipulate database queries by injecting SQL code through the 'q' parameter. Attackers can send POST requests to the ajax/productsFilterSearch endpoint with malicious 'q' values using time-based blind SQL injection techniques to extract sensitive database information.</t>
        </is>
      </c>
      <c r="D968" s="188" t="n">
        <v>8.199999999999999</v>
      </c>
      <c r="E968" s="188" t="inlineStr">
        <is>
          <t>HIGH</t>
        </is>
      </c>
      <c r="F968" s="188" t="n">
        <v>2</v>
      </c>
      <c r="G968" s="188" t="n">
        <v>3</v>
      </c>
      <c r="H968" s="188" t="inlineStr">
        <is>
          <t>HIGH</t>
        </is>
      </c>
      <c r="I968" s="188" t="n">
        <v>14.2</v>
      </c>
      <c r="J968" s="188" t="inlineStr">
        <is>
          <t>NO</t>
        </is>
      </c>
      <c r="K968" s="188" t="inlineStr">
        <is>
          <t>https://nvd.nist.gov/vuln/detail/CVE-2019-25461</t>
        </is>
      </c>
      <c r="L968" s="188" t="inlineStr">
        <is>
          <t>2026-02-26 00:15</t>
        </is>
      </c>
      <c r="M968" s="188" t="inlineStr">
        <is>
          <t>CHECK_VENDOR</t>
        </is>
      </c>
      <c r="N968" s="188" t="inlineStr">
        <is>
          <t>See NVD references</t>
        </is>
      </c>
      <c r="O968" s="188" t="inlineStr">
        <is>
          <t>Apply vendor patches</t>
        </is>
      </c>
      <c r="P968" s="188" t="inlineStr">
        <is>
          <t>See CVE details</t>
        </is>
      </c>
      <c r="Q968" s="188" t="inlineStr">
        <is>
          <t>P3</t>
        </is>
      </c>
      <c r="R968" s="188" t="inlineStr">
        <is>
          <t>🚨 URGENT: Apply vendor patches immediately | 🔒 Isolate affected systems if patch unavailable | 🛡️ Enable additional monitoring/IDS rules</t>
        </is>
      </c>
      <c r="S968" s="188" t="inlineStr">
        <is>
          <t>CVE - IP enrichment n/a</t>
        </is>
      </c>
      <c r="T968" s="188" t="n">
        <v>0</v>
      </c>
      <c r="U968" s="188" t="n">
        <v>0</v>
      </c>
      <c r="V968" s="188" t="inlineStr">
        <is>
          <t>T1190:Exploit Public-Facing Application</t>
        </is>
      </c>
      <c r="W968" s="188" t="n">
        <v>1</v>
      </c>
      <c r="X968" s="188" t="inlineStr">
        <is>
          <t>LOW (40%)</t>
        </is>
      </c>
      <c r="Y968" s="188" t="inlineStr">
        <is>
          <t>UNLIKELY</t>
        </is>
      </c>
      <c r="Z968" s="188" t="inlineStr">
        <is>
          <t>CHECK_VENDOR</t>
        </is>
      </c>
      <c r="AA968" s="188" t="inlineStr">
        <is>
          <t>https://nvd.nist.gov/vuln/detail/CVE-2019-25461</t>
        </is>
      </c>
      <c r="AB968" s="188" t="inlineStr">
        <is>
          <t>NONE</t>
        </is>
      </c>
      <c r="AC968" s="188" t="n">
        <v>0</v>
      </c>
      <c r="AD968" s="188" t="inlineStr"/>
    </row>
    <row r="969">
      <c r="A969" s="188" t="inlineStr">
        <is>
          <t>CVE</t>
        </is>
      </c>
      <c r="B969" s="188" t="inlineStr">
        <is>
          <t>CVE-2019-25462</t>
        </is>
      </c>
      <c r="C969" s="188" t="inlineStr">
        <is>
          <t>Web Ofisi Rent a Car v3 contains an SQL injection vulnerability that allows unauthenticated attackers to manipulate database queries by injecting SQL code through the 'klima' parameter. Attackers can send GET requests to with malicious 'klima' values to extract sensitive database information or cause denial of service.</t>
        </is>
      </c>
      <c r="D969" s="188" t="n">
        <v>8.199999999999999</v>
      </c>
      <c r="E969" s="188" t="inlineStr">
        <is>
          <t>HIGH</t>
        </is>
      </c>
      <c r="F969" s="188" t="n">
        <v>2</v>
      </c>
      <c r="G969" s="188" t="n">
        <v>3</v>
      </c>
      <c r="H969" s="188" t="inlineStr">
        <is>
          <t>HIGH</t>
        </is>
      </c>
      <c r="I969" s="188" t="n">
        <v>14.2</v>
      </c>
      <c r="J969" s="188" t="inlineStr">
        <is>
          <t>NO</t>
        </is>
      </c>
      <c r="K969" s="188" t="inlineStr">
        <is>
          <t>https://nvd.nist.gov/vuln/detail/CVE-2019-25462</t>
        </is>
      </c>
      <c r="L969" s="188" t="inlineStr">
        <is>
          <t>2026-02-26 00:15</t>
        </is>
      </c>
      <c r="M969" s="188" t="inlineStr">
        <is>
          <t>CHECK_VENDOR</t>
        </is>
      </c>
      <c r="N969" s="188" t="inlineStr">
        <is>
          <t>See NVD references</t>
        </is>
      </c>
      <c r="O969" s="188" t="inlineStr">
        <is>
          <t>Apply vendor patches</t>
        </is>
      </c>
      <c r="P969" s="188" t="inlineStr">
        <is>
          <t>See CVE details</t>
        </is>
      </c>
      <c r="Q969" s="188" t="inlineStr">
        <is>
          <t>P3</t>
        </is>
      </c>
      <c r="R969" s="188" t="inlineStr">
        <is>
          <t>🚨 URGENT: Apply vendor patches immediately | 🔒 Isolate affected systems if patch unavailable | 🛡️ Enable additional monitoring/IDS rules</t>
        </is>
      </c>
      <c r="S969" s="188" t="inlineStr">
        <is>
          <t>CVE - IP enrichment n/a</t>
        </is>
      </c>
      <c r="T969" s="188" t="n">
        <v>0</v>
      </c>
      <c r="U969" s="188" t="n">
        <v>0</v>
      </c>
      <c r="V969" s="188" t="inlineStr">
        <is>
          <t>T1190:Exploit Public-Facing Application | T1499:Endpoint Denial of Service</t>
        </is>
      </c>
      <c r="W969" s="188" t="n">
        <v>1</v>
      </c>
      <c r="X969" s="188" t="inlineStr">
        <is>
          <t>LOW (40%)</t>
        </is>
      </c>
      <c r="Y969" s="188" t="inlineStr">
        <is>
          <t>UNLIKELY</t>
        </is>
      </c>
      <c r="Z969" s="188" t="inlineStr">
        <is>
          <t>CHECK_VENDOR</t>
        </is>
      </c>
      <c r="AA969" s="188" t="inlineStr">
        <is>
          <t>https://nvd.nist.gov/vuln/detail/CVE-2019-25462</t>
        </is>
      </c>
      <c r="AB969" s="188" t="inlineStr">
        <is>
          <t>NONE</t>
        </is>
      </c>
      <c r="AC969" s="188" t="n">
        <v>0</v>
      </c>
      <c r="AD969" s="188" t="inlineStr"/>
    </row>
    <row r="970">
      <c r="A970" s="187" t="inlineStr">
        <is>
          <t>CVE</t>
        </is>
      </c>
      <c r="B970" s="187" t="inlineStr">
        <is>
          <t>CVE-2026-2954</t>
        </is>
      </c>
      <c r="C970" s="187" t="inlineStr">
        <is>
          <t>A vulnerability was found in Dromara UJCMS 10.0.2. Impacted is the function importChanel of the file /api/backend/ext/import-data/import-channel of the component ImportDataController. Performing a manipulation of the argument driverClassName/url results in injection. It is possible to initiate the attack remotely. The exploit has been made public and could be used. The vendor was contacted early about this disclosure but did not respond in any way.</t>
        </is>
      </c>
      <c r="D970" s="187" t="n">
        <v>6.3</v>
      </c>
      <c r="E970" s="187" t="inlineStr">
        <is>
          <t>MEDIUM</t>
        </is>
      </c>
      <c r="F970" s="187" t="n">
        <v>2</v>
      </c>
      <c r="G970" s="187" t="n">
        <v>2</v>
      </c>
      <c r="H970" s="187" t="inlineStr">
        <is>
          <t>MEDIUM</t>
        </is>
      </c>
      <c r="I970" s="187" t="n">
        <v>10.3</v>
      </c>
      <c r="J970" s="187" t="inlineStr">
        <is>
          <t>NO</t>
        </is>
      </c>
      <c r="K970" s="187" t="inlineStr">
        <is>
          <t>https://nvd.nist.gov/vuln/detail/CVE-2026-2954</t>
        </is>
      </c>
      <c r="L970" s="187" t="inlineStr">
        <is>
          <t>2026-02-26 00:15</t>
        </is>
      </c>
      <c r="M970" s="187" t="inlineStr">
        <is>
          <t>CHECK_VENDOR</t>
        </is>
      </c>
      <c r="N970" s="187" t="inlineStr">
        <is>
          <t>See NVD references</t>
        </is>
      </c>
      <c r="O970" s="187" t="inlineStr">
        <is>
          <t>Apply vendor patches</t>
        </is>
      </c>
      <c r="P970" s="187" t="inlineStr">
        <is>
          <t>ujcms ujcms 10.0.2</t>
        </is>
      </c>
      <c r="Q970" s="187" t="inlineStr">
        <is>
          <t>P4</t>
        </is>
      </c>
      <c r="R970" s="187" t="inlineStr">
        <is>
          <t>📅 Schedule patch deployment within 30 days | 🔍 Monitor for exploitation attempts</t>
        </is>
      </c>
      <c r="S970" s="187" t="inlineStr">
        <is>
          <t>CVE - IP enrichment n/a</t>
        </is>
      </c>
      <c r="T970" s="187" t="n">
        <v>0</v>
      </c>
      <c r="U970" s="187" t="n">
        <v>0</v>
      </c>
      <c r="V970" s="187" t="inlineStr">
        <is>
          <t>T1190:Exploit Public-Facing Application</t>
        </is>
      </c>
      <c r="W970" s="187" t="n">
        <v>1</v>
      </c>
      <c r="X970" s="187" t="inlineStr">
        <is>
          <t>LOW (40%)</t>
        </is>
      </c>
      <c r="Y970" s="187" t="inlineStr">
        <is>
          <t>UNLIKELY</t>
        </is>
      </c>
      <c r="Z970" s="187" t="inlineStr">
        <is>
          <t>CHECK_VENDOR</t>
        </is>
      </c>
      <c r="AA970" s="187" t="inlineStr">
        <is>
          <t>https://nvd.nist.gov/vuln/detail/CVE-2026-2954</t>
        </is>
      </c>
      <c r="AB970" s="187" t="inlineStr">
        <is>
          <t>NONE</t>
        </is>
      </c>
      <c r="AC970" s="187" t="n">
        <v>0</v>
      </c>
      <c r="AD970" s="187" t="inlineStr"/>
    </row>
    <row r="971">
      <c r="A971" s="187" t="inlineStr">
        <is>
          <t>CVE</t>
        </is>
      </c>
      <c r="B971" s="187" t="inlineStr">
        <is>
          <t>CVE-2026-2956</t>
        </is>
      </c>
      <c r="C971" s="187" t="inlineStr">
        <is>
          <t>A security flaw has been discovered in qinming99 dst-admin up to 1.5.0. This affects the function revertBackup of the file /home/restore. The manipulation of the argument Name results in command injection. The attack can be launched remotely. The exploit has been released to the public and may be used for attacks. The vendor was contacted early about this disclosure but did not respond in any way.</t>
        </is>
      </c>
      <c r="D971" s="187" t="n">
        <v>6.3</v>
      </c>
      <c r="E971" s="187" t="inlineStr">
        <is>
          <t>MEDIUM</t>
        </is>
      </c>
      <c r="F971" s="187" t="n">
        <v>2</v>
      </c>
      <c r="G971" s="187" t="n">
        <v>2</v>
      </c>
      <c r="H971" s="187" t="inlineStr">
        <is>
          <t>MEDIUM</t>
        </is>
      </c>
      <c r="I971" s="187" t="n">
        <v>10.3</v>
      </c>
      <c r="J971" s="187" t="inlineStr">
        <is>
          <t>NO</t>
        </is>
      </c>
      <c r="K971" s="187" t="inlineStr">
        <is>
          <t>https://nvd.nist.gov/vuln/detail/CVE-2026-2956</t>
        </is>
      </c>
      <c r="L971" s="187" t="inlineStr">
        <is>
          <t>2026-02-26 00:15</t>
        </is>
      </c>
      <c r="M971" s="187" t="inlineStr">
        <is>
          <t>CHECK_VENDOR</t>
        </is>
      </c>
      <c r="N971" s="187" t="inlineStr">
        <is>
          <t>See NVD references</t>
        </is>
      </c>
      <c r="O971" s="187" t="inlineStr">
        <is>
          <t>Apply vendor patches</t>
        </is>
      </c>
      <c r="P971" s="187" t="inlineStr">
        <is>
          <t>dst-admin_project dst-admin *</t>
        </is>
      </c>
      <c r="Q971" s="187" t="inlineStr">
        <is>
          <t>P4</t>
        </is>
      </c>
      <c r="R971" s="187" t="inlineStr">
        <is>
          <t>📅 Schedule patch deployment within 30 days | 🔍 Monitor for exploitation attempts</t>
        </is>
      </c>
      <c r="S971" s="187" t="inlineStr">
        <is>
          <t>CVE - IP enrichment n/a</t>
        </is>
      </c>
      <c r="T971" s="187" t="n">
        <v>0</v>
      </c>
      <c r="U971" s="187" t="n">
        <v>0</v>
      </c>
      <c r="V971" s="187" t="inlineStr">
        <is>
          <t>T1059:Command and Scripting Interpreter</t>
        </is>
      </c>
      <c r="W971" s="187" t="n">
        <v>1</v>
      </c>
      <c r="X971" s="187" t="inlineStr">
        <is>
          <t>LOW (40%)</t>
        </is>
      </c>
      <c r="Y971" s="187" t="inlineStr">
        <is>
          <t>UNLIKELY</t>
        </is>
      </c>
      <c r="Z971" s="187" t="inlineStr">
        <is>
          <t>CHECK_VENDOR</t>
        </is>
      </c>
      <c r="AA971" s="187" t="inlineStr">
        <is>
          <t>https://nvd.nist.gov/vuln/detail/CVE-2026-2956</t>
        </is>
      </c>
      <c r="AB971" s="187" t="inlineStr">
        <is>
          <t>NONE</t>
        </is>
      </c>
      <c r="AC971" s="187" t="n">
        <v>0</v>
      </c>
      <c r="AD971" s="187" t="inlineStr"/>
    </row>
    <row r="972">
      <c r="A972" s="187" t="inlineStr">
        <is>
          <t>CVE</t>
        </is>
      </c>
      <c r="B972" s="187" t="inlineStr">
        <is>
          <t>CVE-2026-2957</t>
        </is>
      </c>
      <c r="C972" s="187" t="inlineStr">
        <is>
          <t>A weakness has been identified in qinming99 dst-admin up to 1.5.0. This impacts the function deleteBackup of the file src/main/java/com/tugos/dst/admin/controller/BackupController.java of the component File Handler. This manipulation causes denial of service. The attack may be initiated remotely. The exploit has been made available to the public and could be used for attacks. The vendor was contacted early about this disclosure but did not respond in any way.</t>
        </is>
      </c>
      <c r="D972" s="187" t="n">
        <v>5.4</v>
      </c>
      <c r="E972" s="187" t="inlineStr">
        <is>
          <t>MEDIUM</t>
        </is>
      </c>
      <c r="F972" s="187" t="n">
        <v>2</v>
      </c>
      <c r="G972" s="187" t="n">
        <v>2</v>
      </c>
      <c r="H972" s="187" t="inlineStr">
        <is>
          <t>MEDIUM</t>
        </is>
      </c>
      <c r="I972" s="187" t="n">
        <v>9.4</v>
      </c>
      <c r="J972" s="187" t="inlineStr">
        <is>
          <t>NO</t>
        </is>
      </c>
      <c r="K972" s="187" t="inlineStr">
        <is>
          <t>https://nvd.nist.gov/vuln/detail/CVE-2026-2957</t>
        </is>
      </c>
      <c r="L972" s="187" t="inlineStr">
        <is>
          <t>2026-02-26 00:15</t>
        </is>
      </c>
      <c r="M972" s="187" t="inlineStr">
        <is>
          <t>CHECK_VENDOR</t>
        </is>
      </c>
      <c r="N972" s="187" t="inlineStr">
        <is>
          <t>See NVD references</t>
        </is>
      </c>
      <c r="O972" s="187" t="inlineStr">
        <is>
          <t>Apply vendor patches</t>
        </is>
      </c>
      <c r="P972" s="187" t="inlineStr">
        <is>
          <t>dst-admin_project dst-admin *</t>
        </is>
      </c>
      <c r="Q972" s="187" t="inlineStr">
        <is>
          <t>P4</t>
        </is>
      </c>
      <c r="R972" s="187" t="inlineStr">
        <is>
          <t>📅 Schedule patch deployment within 30 days | 🔍 Monitor for exploitation attempts</t>
        </is>
      </c>
      <c r="S972" s="187" t="inlineStr">
        <is>
          <t>CVE - IP enrichment n/a</t>
        </is>
      </c>
      <c r="T972" s="187" t="n">
        <v>0</v>
      </c>
      <c r="U972" s="187" t="n">
        <v>0</v>
      </c>
      <c r="V972" s="187" t="inlineStr">
        <is>
          <t>T1499:Endpoint Denial of Service</t>
        </is>
      </c>
      <c r="W972" s="187" t="n">
        <v>1</v>
      </c>
      <c r="X972" s="187" t="inlineStr">
        <is>
          <t>LOW (40%)</t>
        </is>
      </c>
      <c r="Y972" s="187" t="inlineStr">
        <is>
          <t>UNLIKELY</t>
        </is>
      </c>
      <c r="Z972" s="187" t="inlineStr">
        <is>
          <t>CHECK_VENDOR</t>
        </is>
      </c>
      <c r="AA972" s="187" t="inlineStr">
        <is>
          <t>https://nvd.nist.gov/vuln/detail/CVE-2026-2957</t>
        </is>
      </c>
      <c r="AB972" s="187" t="inlineStr">
        <is>
          <t>NONE</t>
        </is>
      </c>
      <c r="AC972" s="187" t="n">
        <v>0</v>
      </c>
      <c r="AD972" s="187" t="inlineStr"/>
    </row>
    <row r="973">
      <c r="A973" s="189" t="inlineStr">
        <is>
          <t>CVE</t>
        </is>
      </c>
      <c r="B973" s="189" t="inlineStr">
        <is>
          <t>CVE-2026-2588</t>
        </is>
      </c>
      <c r="C973" s="189" t="inlineStr">
        <is>
          <t>Crypt::NaCl::Sodium versions through 2.001 for Perl has an integer overflow flaw on 32-bit systems.
Sodium.xs casts a STRLEN (size_t) to unsigned long long when passing a length pointer to libsodium functions.  On 32-bit systems size_t is typically 32-bits while an unsigned long long is at least 64-bits.</t>
        </is>
      </c>
      <c r="D973" s="189" t="n">
        <v>9.1</v>
      </c>
      <c r="E973" s="189" t="inlineStr">
        <is>
          <t>CRITICAL</t>
        </is>
      </c>
      <c r="F973" s="189" t="n">
        <v>2</v>
      </c>
      <c r="G973" s="189" t="n">
        <v>3</v>
      </c>
      <c r="H973" s="189" t="inlineStr">
        <is>
          <t>HIGH</t>
        </is>
      </c>
      <c r="I973" s="189" t="n">
        <v>15.1</v>
      </c>
      <c r="J973" s="189" t="inlineStr">
        <is>
          <t>NO</t>
        </is>
      </c>
      <c r="K973" s="189" t="inlineStr">
        <is>
          <t>https://nvd.nist.gov/vuln/detail/CVE-2026-2588</t>
        </is>
      </c>
      <c r="L973" s="189" t="inlineStr">
        <is>
          <t>2026-02-26 00:15</t>
        </is>
      </c>
      <c r="M973" s="189" t="inlineStr">
        <is>
          <t>CHECK_VENDOR</t>
        </is>
      </c>
      <c r="N973" s="189" t="inlineStr">
        <is>
          <t>See NVD references</t>
        </is>
      </c>
      <c r="O973" s="189" t="inlineStr">
        <is>
          <t>Apply vendor patches</t>
        </is>
      </c>
      <c r="P973" s="189" t="inlineStr">
        <is>
          <t>See CVE details</t>
        </is>
      </c>
      <c r="Q973" s="189" t="inlineStr">
        <is>
          <t>P3</t>
        </is>
      </c>
      <c r="R973" s="189" t="inlineStr">
        <is>
          <t>🚨 URGENT: Apply vendor patches immediately | 🔒 Isolate affected systems if patch unavailable | 🛡️ Enable additional monitoring/IDS rules</t>
        </is>
      </c>
      <c r="S973" s="189" t="inlineStr">
        <is>
          <t>CVE - IP enrichment n/a</t>
        </is>
      </c>
      <c r="T973" s="189" t="n">
        <v>0</v>
      </c>
      <c r="U973" s="189" t="n">
        <v>0</v>
      </c>
      <c r="V973" s="189" t="inlineStr">
        <is>
          <t>T1190:Exploit Public-Facing Application | T1203:Exploitation for Client Execution</t>
        </is>
      </c>
      <c r="W973" s="189" t="n">
        <v>1</v>
      </c>
      <c r="X973" s="189" t="inlineStr">
        <is>
          <t>LOW (40%)</t>
        </is>
      </c>
      <c r="Y973" s="189" t="inlineStr">
        <is>
          <t>UNLIKELY</t>
        </is>
      </c>
      <c r="Z973" s="189" t="inlineStr">
        <is>
          <t>CHECK_VENDOR</t>
        </is>
      </c>
      <c r="AA973" s="189" t="inlineStr">
        <is>
          <t>https://nvd.nist.gov/vuln/detail/CVE-2026-2588</t>
        </is>
      </c>
      <c r="AB973" s="189" t="inlineStr">
        <is>
          <t>NONE</t>
        </is>
      </c>
      <c r="AC973" s="189" t="n">
        <v>0</v>
      </c>
      <c r="AD973" s="189" t="inlineStr"/>
    </row>
    <row r="974">
      <c r="A974" s="188" t="inlineStr">
        <is>
          <t>CVE</t>
        </is>
      </c>
      <c r="B974" s="188" t="inlineStr">
        <is>
          <t>CVE-2026-2958</t>
        </is>
      </c>
      <c r="C974" s="188" t="inlineStr">
        <is>
          <t>A security vulnerability has been detected in D-Link DWR-M960 1.01.07. Affected is the function sub_457C5C of the file /boafrm/formWsc. Such manipulation of the argument save_apply leads to stack-based buffer overflow. The attack may be launched remotely. The exploit has been disclosed publicly and may be used.</t>
        </is>
      </c>
      <c r="D974" s="188" t="n">
        <v>8.800000000000001</v>
      </c>
      <c r="E974" s="188" t="inlineStr">
        <is>
          <t>HIGH</t>
        </is>
      </c>
      <c r="F974" s="188" t="n">
        <v>2</v>
      </c>
      <c r="G974" s="188" t="n">
        <v>3</v>
      </c>
      <c r="H974" s="188" t="inlineStr">
        <is>
          <t>HIGH</t>
        </is>
      </c>
      <c r="I974" s="188" t="n">
        <v>14.8</v>
      </c>
      <c r="J974" s="188" t="inlineStr">
        <is>
          <t>NO</t>
        </is>
      </c>
      <c r="K974" s="188" t="inlineStr">
        <is>
          <t>https://nvd.nist.gov/vuln/detail/CVE-2026-2958</t>
        </is>
      </c>
      <c r="L974" s="188" t="inlineStr">
        <is>
          <t>2026-02-26 00:15</t>
        </is>
      </c>
      <c r="M974" s="188" t="inlineStr">
        <is>
          <t>CHECK_VENDOR</t>
        </is>
      </c>
      <c r="N974" s="188" t="inlineStr">
        <is>
          <t>See NVD references</t>
        </is>
      </c>
      <c r="O974" s="188" t="inlineStr">
        <is>
          <t>Apply vendor patches</t>
        </is>
      </c>
      <c r="P974" s="188" t="inlineStr">
        <is>
          <t>dlink dwr-m960 b1 | dlink dwr-m960_firmware 1.01.07</t>
        </is>
      </c>
      <c r="Q974" s="188" t="inlineStr">
        <is>
          <t>P3</t>
        </is>
      </c>
      <c r="R974" s="188" t="inlineStr">
        <is>
          <t>🚨 URGENT: Apply vendor patches immediately | 🔒 Isolate affected systems if patch unavailable | 🛡️ Enable additional monitoring/IDS rules</t>
        </is>
      </c>
      <c r="S974" s="188" t="inlineStr">
        <is>
          <t>CVE - IP enrichment n/a</t>
        </is>
      </c>
      <c r="T974" s="188" t="n">
        <v>0</v>
      </c>
      <c r="U974" s="188" t="n">
        <v>0</v>
      </c>
      <c r="V974" s="188" t="inlineStr">
        <is>
          <t>T1203:Exploitation for Client Execution</t>
        </is>
      </c>
      <c r="W974" s="188" t="n">
        <v>1</v>
      </c>
      <c r="X974" s="188" t="inlineStr">
        <is>
          <t>LOW (40%)</t>
        </is>
      </c>
      <c r="Y974" s="188" t="inlineStr">
        <is>
          <t>UNLIKELY</t>
        </is>
      </c>
      <c r="Z974" s="188" t="inlineStr">
        <is>
          <t>CHECK_VENDOR</t>
        </is>
      </c>
      <c r="AA974" s="188" t="inlineStr">
        <is>
          <t>https://nvd.nist.gov/vuln/detail/CVE-2026-2958</t>
        </is>
      </c>
      <c r="AB974" s="188" t="inlineStr">
        <is>
          <t>NONE</t>
        </is>
      </c>
      <c r="AC974" s="188" t="n">
        <v>0</v>
      </c>
      <c r="AD974" s="188" t="inlineStr"/>
    </row>
    <row r="975">
      <c r="A975" s="188" t="inlineStr">
        <is>
          <t>CVE</t>
        </is>
      </c>
      <c r="B975" s="188" t="inlineStr">
        <is>
          <t>CVE-2026-2959</t>
        </is>
      </c>
      <c r="C975" s="188" t="inlineStr">
        <is>
          <t>A vulnerability was detected in D-Link DWR-M960 1.01.07. Affected by this vulnerability is the function sub_44E0F8 of the file /boafrm/formNewSchedule. Performing a manipulation of the argument url results in stack-based buffer overflow. Remote exploitation of the attack is possible. The exploit is now public and may be used.</t>
        </is>
      </c>
      <c r="D975" s="188" t="n">
        <v>8.800000000000001</v>
      </c>
      <c r="E975" s="188" t="inlineStr">
        <is>
          <t>HIGH</t>
        </is>
      </c>
      <c r="F975" s="188" t="n">
        <v>2</v>
      </c>
      <c r="G975" s="188" t="n">
        <v>3</v>
      </c>
      <c r="H975" s="188" t="inlineStr">
        <is>
          <t>HIGH</t>
        </is>
      </c>
      <c r="I975" s="188" t="n">
        <v>14.8</v>
      </c>
      <c r="J975" s="188" t="inlineStr">
        <is>
          <t>NO</t>
        </is>
      </c>
      <c r="K975" s="188" t="inlineStr">
        <is>
          <t>https://nvd.nist.gov/vuln/detail/CVE-2026-2959</t>
        </is>
      </c>
      <c r="L975" s="188" t="inlineStr">
        <is>
          <t>2026-02-26 00:15</t>
        </is>
      </c>
      <c r="M975" s="188" t="inlineStr">
        <is>
          <t>CHECK_VENDOR</t>
        </is>
      </c>
      <c r="N975" s="188" t="inlineStr">
        <is>
          <t>See NVD references</t>
        </is>
      </c>
      <c r="O975" s="188" t="inlineStr">
        <is>
          <t>Apply vendor patches</t>
        </is>
      </c>
      <c r="P975" s="188" t="inlineStr">
        <is>
          <t>dlink dwr-m960 b1 | dlink dwr-m960_firmware 1.01.07</t>
        </is>
      </c>
      <c r="Q975" s="188" t="inlineStr">
        <is>
          <t>P3</t>
        </is>
      </c>
      <c r="R975" s="188" t="inlineStr">
        <is>
          <t>🚨 URGENT: Apply vendor patches immediately | 🔒 Isolate affected systems if patch unavailable | 🛡️ Enable additional monitoring/IDS rules</t>
        </is>
      </c>
      <c r="S975" s="188" t="inlineStr">
        <is>
          <t>CVE - IP enrichment n/a</t>
        </is>
      </c>
      <c r="T975" s="188" t="n">
        <v>0</v>
      </c>
      <c r="U975" s="188" t="n">
        <v>0</v>
      </c>
      <c r="V975" s="188" t="inlineStr">
        <is>
          <t>T1203:Exploitation for Client Execution</t>
        </is>
      </c>
      <c r="W975" s="188" t="n">
        <v>1</v>
      </c>
      <c r="X975" s="188" t="inlineStr">
        <is>
          <t>LOW (40%)</t>
        </is>
      </c>
      <c r="Y975" s="188" t="inlineStr">
        <is>
          <t>UNLIKELY</t>
        </is>
      </c>
      <c r="Z975" s="188" t="inlineStr">
        <is>
          <t>CHECK_VENDOR</t>
        </is>
      </c>
      <c r="AA975" s="188" t="inlineStr">
        <is>
          <t>https://nvd.nist.gov/vuln/detail/CVE-2026-2959</t>
        </is>
      </c>
      <c r="AB975" s="188" t="inlineStr">
        <is>
          <t>NONE</t>
        </is>
      </c>
      <c r="AC975" s="188" t="n">
        <v>0</v>
      </c>
      <c r="AD975" s="188" t="inlineStr"/>
    </row>
    <row r="976">
      <c r="A976" s="188" t="inlineStr">
        <is>
          <t>CVE</t>
        </is>
      </c>
      <c r="B976" s="188" t="inlineStr">
        <is>
          <t>CVE-2026-2960</t>
        </is>
      </c>
      <c r="C976" s="188" t="inlineStr">
        <is>
          <t>A flaw has been found in D-Link DWR-M960 1.01.07. Affected by this issue is the function sub_468D64 of the file /boafrm/formDhcpv6s. Executing a manipulation of the argument submit-url can lead to stack-based buffer overflow. The attack can be executed remotely. The exploit has been published and may be used.</t>
        </is>
      </c>
      <c r="D976" s="188" t="n">
        <v>8.800000000000001</v>
      </c>
      <c r="E976" s="188" t="inlineStr">
        <is>
          <t>HIGH</t>
        </is>
      </c>
      <c r="F976" s="188" t="n">
        <v>2</v>
      </c>
      <c r="G976" s="188" t="n">
        <v>3</v>
      </c>
      <c r="H976" s="188" t="inlineStr">
        <is>
          <t>HIGH</t>
        </is>
      </c>
      <c r="I976" s="188" t="n">
        <v>14.8</v>
      </c>
      <c r="J976" s="188" t="inlineStr">
        <is>
          <t>NO</t>
        </is>
      </c>
      <c r="K976" s="188" t="inlineStr">
        <is>
          <t>https://nvd.nist.gov/vuln/detail/CVE-2026-2960</t>
        </is>
      </c>
      <c r="L976" s="188" t="inlineStr">
        <is>
          <t>2026-02-26 00:15</t>
        </is>
      </c>
      <c r="M976" s="188" t="inlineStr">
        <is>
          <t>CHECK_VENDOR</t>
        </is>
      </c>
      <c r="N976" s="188" t="inlineStr">
        <is>
          <t>See NVD references</t>
        </is>
      </c>
      <c r="O976" s="188" t="inlineStr">
        <is>
          <t>Apply vendor patches</t>
        </is>
      </c>
      <c r="P976" s="188" t="inlineStr">
        <is>
          <t>dlink dwr-m960 b1 | dlink dwr-m960_firmware 1.01.07</t>
        </is>
      </c>
      <c r="Q976" s="188" t="inlineStr">
        <is>
          <t>P3</t>
        </is>
      </c>
      <c r="R976" s="188" t="inlineStr">
        <is>
          <t>🚨 URGENT: Apply vendor patches immediately | 🔒 Isolate affected systems if patch unavailable | 🛡️ Enable additional monitoring/IDS rules</t>
        </is>
      </c>
      <c r="S976" s="188" t="inlineStr">
        <is>
          <t>CVE - IP enrichment n/a</t>
        </is>
      </c>
      <c r="T976" s="188" t="n">
        <v>0</v>
      </c>
      <c r="U976" s="188" t="n">
        <v>0</v>
      </c>
      <c r="V976" s="188" t="inlineStr">
        <is>
          <t>T1203:Exploitation for Client Execution</t>
        </is>
      </c>
      <c r="W976" s="188" t="n">
        <v>1</v>
      </c>
      <c r="X976" s="188" t="inlineStr">
        <is>
          <t>LOW (40%)</t>
        </is>
      </c>
      <c r="Y976" s="188" t="inlineStr">
        <is>
          <t>UNLIKELY</t>
        </is>
      </c>
      <c r="Z976" s="188" t="inlineStr">
        <is>
          <t>CHECK_VENDOR</t>
        </is>
      </c>
      <c r="AA976" s="188" t="inlineStr">
        <is>
          <t>https://nvd.nist.gov/vuln/detail/CVE-2026-2960</t>
        </is>
      </c>
      <c r="AB976" s="188" t="inlineStr">
        <is>
          <t>NONE</t>
        </is>
      </c>
      <c r="AC976" s="188" t="n">
        <v>0</v>
      </c>
      <c r="AD976" s="188" t="inlineStr"/>
    </row>
    <row r="977">
      <c r="A977" s="188" t="inlineStr">
        <is>
          <t>CVE</t>
        </is>
      </c>
      <c r="B977" s="188" t="inlineStr">
        <is>
          <t>CVE-2026-2961</t>
        </is>
      </c>
      <c r="C977" s="188" t="inlineStr">
        <is>
          <t>A vulnerability has been found in D-Link DWR-M960 1.01.07. This affects the function sub_4196C4 of the file /boafrm/formVpnConfigSetup of the component VPN Configuration Endpoint. The manipulation of the argument submit-url leads to stack-based buffer overflow. The attack is possible to be carried out remotely. The exploit has been disclosed to the public and may be used.</t>
        </is>
      </c>
      <c r="D977" s="188" t="n">
        <v>8.800000000000001</v>
      </c>
      <c r="E977" s="188" t="inlineStr">
        <is>
          <t>HIGH</t>
        </is>
      </c>
      <c r="F977" s="188" t="n">
        <v>2</v>
      </c>
      <c r="G977" s="188" t="n">
        <v>3</v>
      </c>
      <c r="H977" s="188" t="inlineStr">
        <is>
          <t>HIGH</t>
        </is>
      </c>
      <c r="I977" s="188" t="n">
        <v>14.8</v>
      </c>
      <c r="J977" s="188" t="inlineStr">
        <is>
          <t>NO</t>
        </is>
      </c>
      <c r="K977" s="188" t="inlineStr">
        <is>
          <t>https://nvd.nist.gov/vuln/detail/CVE-2026-2961</t>
        </is>
      </c>
      <c r="L977" s="188" t="inlineStr">
        <is>
          <t>2026-02-26 00:15</t>
        </is>
      </c>
      <c r="M977" s="188" t="inlineStr">
        <is>
          <t>CHECK_VENDOR</t>
        </is>
      </c>
      <c r="N977" s="188" t="inlineStr">
        <is>
          <t>See NVD references</t>
        </is>
      </c>
      <c r="O977" s="188" t="inlineStr">
        <is>
          <t>Apply vendor patches</t>
        </is>
      </c>
      <c r="P977" s="188" t="inlineStr">
        <is>
          <t>dlink dwr-m960 b1 | dlink dwr-m960_firmware 1.01.07</t>
        </is>
      </c>
      <c r="Q977" s="188" t="inlineStr">
        <is>
          <t>P3</t>
        </is>
      </c>
      <c r="R977" s="188" t="inlineStr">
        <is>
          <t>🚨 URGENT: Apply vendor patches immediately | 🔒 Isolate affected systems if patch unavailable | 🛡️ Enable additional monitoring/IDS rules</t>
        </is>
      </c>
      <c r="S977" s="188" t="inlineStr">
        <is>
          <t>CVE - IP enrichment n/a</t>
        </is>
      </c>
      <c r="T977" s="188" t="n">
        <v>0.0003</v>
      </c>
      <c r="U977" s="188" t="n">
        <v>0.0823</v>
      </c>
      <c r="V977" s="188" t="inlineStr">
        <is>
          <t>T1203:Exploitation for Client Execution | T1133:External Remote Services</t>
        </is>
      </c>
      <c r="W977" s="188" t="n">
        <v>1</v>
      </c>
      <c r="X977" s="188" t="inlineStr">
        <is>
          <t>LOW (40%)</t>
        </is>
      </c>
      <c r="Y977" s="188" t="inlineStr">
        <is>
          <t>UNLIKELY</t>
        </is>
      </c>
      <c r="Z977" s="188" t="inlineStr">
        <is>
          <t>CHECK_VENDOR</t>
        </is>
      </c>
      <c r="AA977" s="188" t="inlineStr">
        <is>
          <t>https://nvd.nist.gov/vuln/detail/CVE-2026-2961</t>
        </is>
      </c>
      <c r="AB977" s="188" t="inlineStr">
        <is>
          <t>NONE</t>
        </is>
      </c>
      <c r="AC977" s="188" t="n">
        <v>0</v>
      </c>
      <c r="AD977" s="188" t="inlineStr"/>
    </row>
    <row r="978">
      <c r="A978" s="188" t="inlineStr">
        <is>
          <t>CVE</t>
        </is>
      </c>
      <c r="B978" s="188" t="inlineStr">
        <is>
          <t>CVE-2026-2962</t>
        </is>
      </c>
      <c r="C978" s="188" t="inlineStr">
        <is>
          <t>A vulnerability was found in D-Link DWR-M960 1.01.07. This vulnerability affects the function sub_460F30 of the file /boafrm/formDateReboot of the component Scheduled Reboot Configuration Endpoint. The manipulation of the argument submit-url results in stack-based buffer overflow. The attack may be performed from remote. The exploit has been made public and could be used.</t>
        </is>
      </c>
      <c r="D978" s="188" t="n">
        <v>8.800000000000001</v>
      </c>
      <c r="E978" s="188" t="inlineStr">
        <is>
          <t>HIGH</t>
        </is>
      </c>
      <c r="F978" s="188" t="n">
        <v>2</v>
      </c>
      <c r="G978" s="188" t="n">
        <v>3</v>
      </c>
      <c r="H978" s="188" t="inlineStr">
        <is>
          <t>HIGH</t>
        </is>
      </c>
      <c r="I978" s="188" t="n">
        <v>14.8</v>
      </c>
      <c r="J978" s="188" t="inlineStr">
        <is>
          <t>NO</t>
        </is>
      </c>
      <c r="K978" s="188" t="inlineStr">
        <is>
          <t>https://nvd.nist.gov/vuln/detail/CVE-2026-2962</t>
        </is>
      </c>
      <c r="L978" s="188" t="inlineStr">
        <is>
          <t>2026-02-26 00:15</t>
        </is>
      </c>
      <c r="M978" s="188" t="inlineStr">
        <is>
          <t>CHECK_VENDOR</t>
        </is>
      </c>
      <c r="N978" s="188" t="inlineStr">
        <is>
          <t>See NVD references</t>
        </is>
      </c>
      <c r="O978" s="188" t="inlineStr">
        <is>
          <t>Apply vendor patches</t>
        </is>
      </c>
      <c r="P978" s="188" t="inlineStr">
        <is>
          <t>dlink dwr-m960 b1 | dlink dwr-m960_firmware 1.01.07</t>
        </is>
      </c>
      <c r="Q978" s="188" t="inlineStr">
        <is>
          <t>P3</t>
        </is>
      </c>
      <c r="R978" s="188" t="inlineStr">
        <is>
          <t>🚨 URGENT: Apply vendor patches immediately | 🔒 Isolate affected systems if patch unavailable | 🛡️ Enable additional monitoring/IDS rules</t>
        </is>
      </c>
      <c r="S978" s="188" t="inlineStr">
        <is>
          <t>CVE - IP enrichment n/a</t>
        </is>
      </c>
      <c r="T978" s="188" t="n">
        <v>0.0003</v>
      </c>
      <c r="U978" s="188" t="n">
        <v>0.0823</v>
      </c>
      <c r="V978" s="188" t="inlineStr">
        <is>
          <t>T1203:Exploitation for Client Execution</t>
        </is>
      </c>
      <c r="W978" s="188" t="n">
        <v>1</v>
      </c>
      <c r="X978" s="188" t="inlineStr">
        <is>
          <t>LOW (40%)</t>
        </is>
      </c>
      <c r="Y978" s="188" t="inlineStr">
        <is>
          <t>UNLIKELY</t>
        </is>
      </c>
      <c r="Z978" s="188" t="inlineStr">
        <is>
          <t>CHECK_VENDOR</t>
        </is>
      </c>
      <c r="AA978" s="188" t="inlineStr">
        <is>
          <t>https://nvd.nist.gov/vuln/detail/CVE-2026-2962</t>
        </is>
      </c>
      <c r="AB978" s="188" t="inlineStr">
        <is>
          <t>NONE</t>
        </is>
      </c>
      <c r="AC978" s="188" t="n">
        <v>0</v>
      </c>
      <c r="AD978" s="188" t="inlineStr"/>
    </row>
    <row r="979">
      <c r="A979" s="187" t="inlineStr">
        <is>
          <t>CVE</t>
        </is>
      </c>
      <c r="B979" s="187" t="inlineStr">
        <is>
          <t>CVE-2026-2963</t>
        </is>
      </c>
      <c r="C979" s="187" t="inlineStr">
        <is>
          <t>A vulnerability was determined in Jinher OA C6 up to 20260210. This issue affects some unknown processing of the file /C6/Jhsoft.Web.officesupply/OfficeSupplyTypeRight.aspx. This manipulation of the argument id/offsnum causes sql injection. It is possible to initiate the attack remotely. The exploit has been publicly disclosed and may be utilized. It is suggested to install a patch to address this issue. The vendor was contacted early about this disclosure but did not respond in any way.</t>
        </is>
      </c>
      <c r="D979" s="187" t="n">
        <v>6.3</v>
      </c>
      <c r="E979" s="187" t="inlineStr">
        <is>
          <t>MEDIUM</t>
        </is>
      </c>
      <c r="F979" s="187" t="n">
        <v>2</v>
      </c>
      <c r="G979" s="187" t="n">
        <v>2</v>
      </c>
      <c r="H979" s="187" t="inlineStr">
        <is>
          <t>MEDIUM</t>
        </is>
      </c>
      <c r="I979" s="187" t="n">
        <v>10.3</v>
      </c>
      <c r="J979" s="187" t="inlineStr">
        <is>
          <t>NO</t>
        </is>
      </c>
      <c r="K979" s="187" t="inlineStr">
        <is>
          <t>https://nvd.nist.gov/vuln/detail/CVE-2026-2963</t>
        </is>
      </c>
      <c r="L979" s="187" t="inlineStr">
        <is>
          <t>2026-02-26 00:15</t>
        </is>
      </c>
      <c r="M979" s="187" t="inlineStr">
        <is>
          <t>CHECK_VENDOR</t>
        </is>
      </c>
      <c r="N979" s="187" t="inlineStr">
        <is>
          <t>See NVD references</t>
        </is>
      </c>
      <c r="O979" s="187" t="inlineStr">
        <is>
          <t>Apply vendor patches</t>
        </is>
      </c>
      <c r="P979" s="187" t="inlineStr">
        <is>
          <t>See CVE details</t>
        </is>
      </c>
      <c r="Q979" s="187" t="inlineStr">
        <is>
          <t>P4</t>
        </is>
      </c>
      <c r="R979" s="187" t="inlineStr">
        <is>
          <t>📅 Schedule patch deployment within 30 days | 🔍 Monitor for exploitation attempts</t>
        </is>
      </c>
      <c r="S979" s="187" t="inlineStr">
        <is>
          <t>CVE - IP enrichment n/a</t>
        </is>
      </c>
      <c r="T979" s="187" t="n">
        <v>0</v>
      </c>
      <c r="U979" s="187" t="n">
        <v>0</v>
      </c>
      <c r="V979" s="187" t="inlineStr">
        <is>
          <t>T1190:Exploit Public-Facing Application</t>
        </is>
      </c>
      <c r="W979" s="187" t="n">
        <v>1</v>
      </c>
      <c r="X979" s="187" t="inlineStr">
        <is>
          <t>LOW (40%)</t>
        </is>
      </c>
      <c r="Y979" s="187" t="inlineStr">
        <is>
          <t>UNLIKELY</t>
        </is>
      </c>
      <c r="Z979" s="187" t="inlineStr">
        <is>
          <t>CHECK_VENDOR</t>
        </is>
      </c>
      <c r="AA979" s="187" t="inlineStr">
        <is>
          <t>https://nvd.nist.gov/vuln/detail/CVE-2026-2963</t>
        </is>
      </c>
      <c r="AB979" s="187" t="inlineStr">
        <is>
          <t>NONE</t>
        </is>
      </c>
      <c r="AC979" s="187" t="n">
        <v>0</v>
      </c>
      <c r="AD979" s="187" t="inlineStr"/>
    </row>
    <row r="980">
      <c r="A980" s="189" t="inlineStr">
        <is>
          <t>CVE</t>
        </is>
      </c>
      <c r="B980" s="189" t="inlineStr">
        <is>
          <t>CVE-2026-24494</t>
        </is>
      </c>
      <c r="C980" s="189" t="inlineStr">
        <is>
          <t>SQL Injection vulnerability in the /api/integrations/getintegrations endpoint of Order Up Online Ordering System 1.0 allows an unauthenticated attacker to access sensitive backend database data via a crafted store_id parameter in a POST request.</t>
        </is>
      </c>
      <c r="D980" s="189" t="n">
        <v>9.800000000000001</v>
      </c>
      <c r="E980" s="189" t="inlineStr">
        <is>
          <t>CRITICAL</t>
        </is>
      </c>
      <c r="F980" s="189" t="n">
        <v>2</v>
      </c>
      <c r="G980" s="189" t="n">
        <v>3</v>
      </c>
      <c r="H980" s="189" t="inlineStr">
        <is>
          <t>HIGH</t>
        </is>
      </c>
      <c r="I980" s="189" t="n">
        <v>15.8</v>
      </c>
      <c r="J980" s="189" t="inlineStr">
        <is>
          <t>NO</t>
        </is>
      </c>
      <c r="K980" s="189" t="inlineStr">
        <is>
          <t>https://nvd.nist.gov/vuln/detail/CVE-2026-24494</t>
        </is>
      </c>
      <c r="L980" s="189" t="inlineStr">
        <is>
          <t>2026-02-26 00:15</t>
        </is>
      </c>
      <c r="M980" s="189" t="inlineStr">
        <is>
          <t>CHECK_VENDOR</t>
        </is>
      </c>
      <c r="N980" s="189" t="inlineStr">
        <is>
          <t>See NVD references</t>
        </is>
      </c>
      <c r="O980" s="189" t="inlineStr">
        <is>
          <t>Apply vendor patches</t>
        </is>
      </c>
      <c r="P980" s="189" t="inlineStr">
        <is>
          <t>See CVE details</t>
        </is>
      </c>
      <c r="Q980" s="189" t="inlineStr">
        <is>
          <t>P3</t>
        </is>
      </c>
      <c r="R980" s="189" t="inlineStr">
        <is>
          <t>🚨 URGENT: Apply vendor patches immediately | 🔒 Isolate affected systems if patch unavailable | 🛡️ Enable additional monitoring/IDS rules</t>
        </is>
      </c>
      <c r="S980" s="189" t="inlineStr">
        <is>
          <t>CVE - IP enrichment n/a</t>
        </is>
      </c>
      <c r="T980" s="189" t="n">
        <v>0</v>
      </c>
      <c r="U980" s="189" t="n">
        <v>0</v>
      </c>
      <c r="V980" s="189" t="inlineStr">
        <is>
          <t>T1190:Exploit Public-Facing Application</t>
        </is>
      </c>
      <c r="W980" s="189" t="n">
        <v>1</v>
      </c>
      <c r="X980" s="189" t="inlineStr">
        <is>
          <t>LOW (40%)</t>
        </is>
      </c>
      <c r="Y980" s="189" t="inlineStr">
        <is>
          <t>UNLIKELY</t>
        </is>
      </c>
      <c r="Z980" s="189" t="inlineStr">
        <is>
          <t>CHECK_VENDOR</t>
        </is>
      </c>
      <c r="AA980" s="189" t="inlineStr">
        <is>
          <t>https://nvd.nist.gov/vuln/detail/CVE-2026-24494</t>
        </is>
      </c>
      <c r="AB980" s="189" t="inlineStr">
        <is>
          <t>NONE</t>
        </is>
      </c>
      <c r="AC980" s="189" t="n">
        <v>0</v>
      </c>
      <c r="AD980" s="189" t="inlineStr"/>
    </row>
    <row r="981">
      <c r="A981" s="187" t="inlineStr">
        <is>
          <t>CVE</t>
        </is>
      </c>
      <c r="B981" s="187" t="inlineStr">
        <is>
          <t>CVE-2026-2964</t>
        </is>
      </c>
      <c r="C981" s="187" t="inlineStr">
        <is>
          <t>A vulnerability was identified in higuma web-audio-recorder-js 0.1/0.1.1. Impacted is the function extend in the library lib/WebAudioRecorder.js of the component Dynamic Config Handling. Such manipulation leads to improperly controlled modification of object prototype attributes. It is possible to launch the attack remotely. Attacks of this nature are highly complex. The exploitability is considered difficult. The exploit is publicly available and might be used. The vendor was contacted early ab</t>
        </is>
      </c>
      <c r="D981" s="187" t="n">
        <v>5</v>
      </c>
      <c r="E981" s="187" t="inlineStr">
        <is>
          <t>MEDIUM</t>
        </is>
      </c>
      <c r="F981" s="187" t="n">
        <v>2</v>
      </c>
      <c r="G981" s="187" t="n">
        <v>2</v>
      </c>
      <c r="H981" s="187" t="inlineStr">
        <is>
          <t>MEDIUM</t>
        </is>
      </c>
      <c r="I981" s="187" t="n">
        <v>9</v>
      </c>
      <c r="J981" s="187" t="inlineStr">
        <is>
          <t>NO</t>
        </is>
      </c>
      <c r="K981" s="187" t="inlineStr">
        <is>
          <t>https://nvd.nist.gov/vuln/detail/CVE-2026-2964</t>
        </is>
      </c>
      <c r="L981" s="187" t="inlineStr">
        <is>
          <t>2026-02-26 00:15</t>
        </is>
      </c>
      <c r="M981" s="187" t="inlineStr">
        <is>
          <t>CHECK_VENDOR</t>
        </is>
      </c>
      <c r="N981" s="187" t="inlineStr">
        <is>
          <t>See NVD references</t>
        </is>
      </c>
      <c r="O981" s="187" t="inlineStr">
        <is>
          <t>Apply vendor patches</t>
        </is>
      </c>
      <c r="P981" s="187" t="inlineStr">
        <is>
          <t>See CVE details</t>
        </is>
      </c>
      <c r="Q981" s="187" t="inlineStr">
        <is>
          <t>P4</t>
        </is>
      </c>
      <c r="R981" s="187" t="inlineStr">
        <is>
          <t>📅 Schedule patch deployment within 30 days | 🔍 Monitor for exploitation attempts</t>
        </is>
      </c>
      <c r="S981" s="187" t="inlineStr">
        <is>
          <t>CVE - IP enrichment n/a</t>
        </is>
      </c>
      <c r="T981" s="187" t="n">
        <v>0.0005</v>
      </c>
      <c r="U981" s="187" t="n">
        <v>0.1416</v>
      </c>
      <c r="V981" s="187" t="inlineStr">
        <is>
          <t>T1059:Command and Scripting Interpreter</t>
        </is>
      </c>
      <c r="W981" s="187" t="n">
        <v>1</v>
      </c>
      <c r="X981" s="187" t="inlineStr">
        <is>
          <t>LOW (40%)</t>
        </is>
      </c>
      <c r="Y981" s="187" t="inlineStr">
        <is>
          <t>UNLIKELY</t>
        </is>
      </c>
      <c r="Z981" s="187" t="inlineStr">
        <is>
          <t>CHECK_VENDOR</t>
        </is>
      </c>
      <c r="AA981" s="187" t="inlineStr">
        <is>
          <t>https://nvd.nist.gov/vuln/detail/CVE-2026-2964</t>
        </is>
      </c>
      <c r="AB981" s="187" t="inlineStr">
        <is>
          <t>NONE</t>
        </is>
      </c>
      <c r="AC981" s="187" t="n">
        <v>0</v>
      </c>
      <c r="AD981" s="187" t="inlineStr"/>
    </row>
    <row r="982">
      <c r="A982" s="190" t="inlineStr">
        <is>
          <t>CVE</t>
        </is>
      </c>
      <c r="B982" s="190" t="inlineStr">
        <is>
          <t>CVE-2026-2965</t>
        </is>
      </c>
      <c r="C982" s="190" t="inlineStr">
        <is>
          <t>A security flaw has been discovered in 07FLYCMS, 07FLY-CMS and 07FlyCRM up to 1.2.9. The affected element is an unknown function of the file /admin/SysModule/edit.html of the component System Extension Module. Performing a manipulation of the argument Title results in cross site scripting. The attack can be initiated remotely. The exploit has been released to the public and may be used for attacks. This product is published under multiple names. The vendor was contacted early about this disclosu</t>
        </is>
      </c>
      <c r="D982" s="190" t="n">
        <v>2.4</v>
      </c>
      <c r="E982" s="190" t="inlineStr">
        <is>
          <t>LOW</t>
        </is>
      </c>
      <c r="F982" s="190" t="n">
        <v>2</v>
      </c>
      <c r="G982" s="190" t="n">
        <v>1</v>
      </c>
      <c r="H982" s="190" t="inlineStr">
        <is>
          <t>LOW</t>
        </is>
      </c>
      <c r="I982" s="190" t="n">
        <v>4.4</v>
      </c>
      <c r="J982" s="190" t="inlineStr">
        <is>
          <t>NO</t>
        </is>
      </c>
      <c r="K982" s="190" t="inlineStr">
        <is>
          <t>https://nvd.nist.gov/vuln/detail/CVE-2026-2965</t>
        </is>
      </c>
      <c r="L982" s="190" t="inlineStr">
        <is>
          <t>2026-02-26 00:15</t>
        </is>
      </c>
      <c r="M982" s="190" t="inlineStr">
        <is>
          <t>CHECK_VENDOR</t>
        </is>
      </c>
      <c r="N982" s="190" t="inlineStr">
        <is>
          <t>See NVD references</t>
        </is>
      </c>
      <c r="O982" s="190" t="inlineStr">
        <is>
          <t>Apply vendor patches</t>
        </is>
      </c>
      <c r="P982" s="190" t="inlineStr">
        <is>
          <t>See CVE details</t>
        </is>
      </c>
      <c r="Q982" s="190" t="inlineStr">
        <is>
          <t>P4</t>
        </is>
      </c>
      <c r="R982" s="190" t="inlineStr">
        <is>
          <t>📅 Schedule patch deployment within 30 days | 🔍 Monitor for exploitation attempts</t>
        </is>
      </c>
      <c r="S982" s="190" t="inlineStr">
        <is>
          <t>CVE - IP enrichment n/a</t>
        </is>
      </c>
      <c r="T982" s="190" t="n">
        <v>0</v>
      </c>
      <c r="U982" s="190" t="n">
        <v>0</v>
      </c>
      <c r="V982" s="190" t="inlineStr">
        <is>
          <t>T1189:Drive-by Compromise</t>
        </is>
      </c>
      <c r="W982" s="190" t="n">
        <v>1</v>
      </c>
      <c r="X982" s="190" t="inlineStr">
        <is>
          <t>LOW (40%)</t>
        </is>
      </c>
      <c r="Y982" s="190" t="inlineStr">
        <is>
          <t>UNLIKELY</t>
        </is>
      </c>
      <c r="Z982" s="190" t="inlineStr">
        <is>
          <t>CHECK_VENDOR</t>
        </is>
      </c>
      <c r="AA982" s="190" t="inlineStr">
        <is>
          <t>https://nvd.nist.gov/vuln/detail/CVE-2026-2965</t>
        </is>
      </c>
      <c r="AB982" s="190" t="inlineStr">
        <is>
          <t>NONE</t>
        </is>
      </c>
      <c r="AC982" s="190" t="n">
        <v>0</v>
      </c>
      <c r="AD982" s="190" t="inlineStr"/>
    </row>
    <row r="983">
      <c r="A983" s="190" t="inlineStr">
        <is>
          <t>CVE</t>
        </is>
      </c>
      <c r="B983" s="190" t="inlineStr">
        <is>
          <t>CVE-2026-2966</t>
        </is>
      </c>
      <c r="C983" s="190" t="inlineStr">
        <is>
          <t>A weakness has been identified in Cesanta Mongoose up to 7.20. The impacted element is the function mg_sendnsreq of the file /src/dns.c of the component DNS Transaction ID Handler. Executing a manipulation of the argument random can lead to insufficiently random values. The attack can be launched remotely. The attack requires a high level of complexity. The exploitability is regarded as difficult. The exploit has been made available to the public and could be used for attacks. The vendor was con</t>
        </is>
      </c>
      <c r="D983" s="190" t="n">
        <v>3.7</v>
      </c>
      <c r="E983" s="190" t="inlineStr">
        <is>
          <t>LOW</t>
        </is>
      </c>
      <c r="F983" s="190" t="n">
        <v>2</v>
      </c>
      <c r="G983" s="190" t="n">
        <v>1</v>
      </c>
      <c r="H983" s="190" t="inlineStr">
        <is>
          <t>LOW</t>
        </is>
      </c>
      <c r="I983" s="190" t="n">
        <v>5.7</v>
      </c>
      <c r="J983" s="190" t="inlineStr">
        <is>
          <t>NO</t>
        </is>
      </c>
      <c r="K983" s="190" t="inlineStr">
        <is>
          <t>https://nvd.nist.gov/vuln/detail/CVE-2026-2966</t>
        </is>
      </c>
      <c r="L983" s="190" t="inlineStr">
        <is>
          <t>2026-02-26 00:15</t>
        </is>
      </c>
      <c r="M983" s="190" t="inlineStr">
        <is>
          <t>CHECK_VENDOR</t>
        </is>
      </c>
      <c r="N983" s="190" t="inlineStr">
        <is>
          <t>See NVD references</t>
        </is>
      </c>
      <c r="O983" s="190" t="inlineStr">
        <is>
          <t>Apply vendor patches</t>
        </is>
      </c>
      <c r="P983" s="190" t="inlineStr">
        <is>
          <t>cesanta mongoose *</t>
        </is>
      </c>
      <c r="Q983" s="190" t="inlineStr">
        <is>
          <t>P4</t>
        </is>
      </c>
      <c r="R983" s="190" t="inlineStr">
        <is>
          <t>📅 Schedule patch deployment within 30 days | 🔍 Monitor for exploitation attempts</t>
        </is>
      </c>
      <c r="S983" s="190" t="inlineStr">
        <is>
          <t>CVE - IP enrichment n/a</t>
        </is>
      </c>
      <c r="T983" s="190" t="n">
        <v>0</v>
      </c>
      <c r="U983" s="190" t="n">
        <v>0</v>
      </c>
      <c r="V983" s="190" t="inlineStr">
        <is>
          <t>T1190:Exploit Public-Facing Application</t>
        </is>
      </c>
      <c r="W983" s="190" t="n">
        <v>1</v>
      </c>
      <c r="X983" s="190" t="inlineStr">
        <is>
          <t>LOW (40%)</t>
        </is>
      </c>
      <c r="Y983" s="190" t="inlineStr">
        <is>
          <t>UNLIKELY</t>
        </is>
      </c>
      <c r="Z983" s="190" t="inlineStr">
        <is>
          <t>CHECK_VENDOR</t>
        </is>
      </c>
      <c r="AA983" s="190" t="inlineStr">
        <is>
          <t>https://nvd.nist.gov/vuln/detail/CVE-2026-2966</t>
        </is>
      </c>
      <c r="AB983" s="190" t="inlineStr">
        <is>
          <t>NONE</t>
        </is>
      </c>
      <c r="AC983" s="190" t="n">
        <v>0</v>
      </c>
      <c r="AD983" s="190" t="inlineStr"/>
    </row>
    <row r="984">
      <c r="A984" s="187" t="inlineStr">
        <is>
          <t>CVE</t>
        </is>
      </c>
      <c r="B984" s="187" t="inlineStr">
        <is>
          <t>CVE-2026-2997</t>
        </is>
      </c>
      <c r="C984" s="187" t="inlineStr">
        <is>
          <t>Tronclass developed by WisdomGarden has a Insecure Direct Object Reference vulnerability. After obtaining a course ID, authenticated remote attackers to modify a specific parameter to obtain a course invitation code, thereby joining any course.</t>
        </is>
      </c>
      <c r="D984" s="187" t="n">
        <v>5.4</v>
      </c>
      <c r="E984" s="187" t="inlineStr">
        <is>
          <t>MEDIUM</t>
        </is>
      </c>
      <c r="F984" s="187" t="n">
        <v>2</v>
      </c>
      <c r="G984" s="187" t="n">
        <v>2</v>
      </c>
      <c r="H984" s="187" t="inlineStr">
        <is>
          <t>MEDIUM</t>
        </is>
      </c>
      <c r="I984" s="187" t="n">
        <v>9.4</v>
      </c>
      <c r="J984" s="187" t="inlineStr">
        <is>
          <t>NO</t>
        </is>
      </c>
      <c r="K984" s="187" t="inlineStr">
        <is>
          <t>https://nvd.nist.gov/vuln/detail/CVE-2026-2997</t>
        </is>
      </c>
      <c r="L984" s="187" t="inlineStr">
        <is>
          <t>2026-02-26 00:15</t>
        </is>
      </c>
      <c r="M984" s="187" t="inlineStr">
        <is>
          <t>CHECK_VENDOR</t>
        </is>
      </c>
      <c r="N984" s="187" t="inlineStr">
        <is>
          <t>See NVD references</t>
        </is>
      </c>
      <c r="O984" s="187" t="inlineStr">
        <is>
          <t>Apply vendor patches</t>
        </is>
      </c>
      <c r="P984" s="187" t="inlineStr">
        <is>
          <t>See CVE details</t>
        </is>
      </c>
      <c r="Q984" s="187" t="inlineStr">
        <is>
          <t>P4</t>
        </is>
      </c>
      <c r="R984" s="187" t="inlineStr">
        <is>
          <t>📅 Schedule patch deployment within 30 days | 🔍 Monitor for exploitation attempts</t>
        </is>
      </c>
      <c r="S984" s="187" t="inlineStr">
        <is>
          <t>CVE - IP enrichment n/a</t>
        </is>
      </c>
      <c r="T984" s="187" t="n">
        <v>0.0003</v>
      </c>
      <c r="U984" s="187" t="n">
        <v>0.098</v>
      </c>
      <c r="V984" s="187" t="inlineStr">
        <is>
          <t>T1190:Exploit Public-Facing Application</t>
        </is>
      </c>
      <c r="W984" s="187" t="n">
        <v>1</v>
      </c>
      <c r="X984" s="187" t="inlineStr">
        <is>
          <t>LOW (40%)</t>
        </is>
      </c>
      <c r="Y984" s="187" t="inlineStr">
        <is>
          <t>UNLIKELY</t>
        </is>
      </c>
      <c r="Z984" s="187" t="inlineStr">
        <is>
          <t>CHECK_VENDOR</t>
        </is>
      </c>
      <c r="AA984" s="187" t="inlineStr">
        <is>
          <t>https://nvd.nist.gov/vuln/detail/CVE-2026-2997</t>
        </is>
      </c>
      <c r="AB984" s="187" t="inlineStr">
        <is>
          <t>NONE</t>
        </is>
      </c>
      <c r="AC984" s="187" t="n">
        <v>0</v>
      </c>
      <c r="AD984" s="187" t="inlineStr"/>
    </row>
    <row r="985">
      <c r="A985" s="190" t="inlineStr">
        <is>
          <t>CVE</t>
        </is>
      </c>
      <c r="B985" s="190" t="inlineStr">
        <is>
          <t>CVE-2026-2967</t>
        </is>
      </c>
      <c r="C985" s="190" t="inlineStr">
        <is>
          <t>A security vulnerability has been detected in Cesanta Mongoose up to 7.20. This affects the function getpeer of the file /src/net_builtin.c of the component TCP Sequence Number Handler. The manipulation leads to improper verification of source of a communication channel. The attack may be initiated remotely. The attack's complexity is rated as high. The exploitability is reported as difficult. The exploit has been disclosed publicly and may be used. The vendor was contacted early about this disc</t>
        </is>
      </c>
      <c r="D985" s="190" t="n">
        <v>3.7</v>
      </c>
      <c r="E985" s="190" t="inlineStr">
        <is>
          <t>LOW</t>
        </is>
      </c>
      <c r="F985" s="190" t="n">
        <v>2</v>
      </c>
      <c r="G985" s="190" t="n">
        <v>1</v>
      </c>
      <c r="H985" s="190" t="inlineStr">
        <is>
          <t>LOW</t>
        </is>
      </c>
      <c r="I985" s="190" t="n">
        <v>5.7</v>
      </c>
      <c r="J985" s="190" t="inlineStr">
        <is>
          <t>NO</t>
        </is>
      </c>
      <c r="K985" s="190" t="inlineStr">
        <is>
          <t>https://nvd.nist.gov/vuln/detail/CVE-2026-2967</t>
        </is>
      </c>
      <c r="L985" s="190" t="inlineStr">
        <is>
          <t>2026-02-26 00:15</t>
        </is>
      </c>
      <c r="M985" s="190" t="inlineStr">
        <is>
          <t>CHECK_VENDOR</t>
        </is>
      </c>
      <c r="N985" s="190" t="inlineStr">
        <is>
          <t>See NVD references</t>
        </is>
      </c>
      <c r="O985" s="190" t="inlineStr">
        <is>
          <t>Apply vendor patches</t>
        </is>
      </c>
      <c r="P985" s="190" t="inlineStr">
        <is>
          <t>cesanta mongoose *</t>
        </is>
      </c>
      <c r="Q985" s="190" t="inlineStr">
        <is>
          <t>P4</t>
        </is>
      </c>
      <c r="R985" s="190" t="inlineStr">
        <is>
          <t>📅 Schedule patch deployment within 30 days | 🔍 Monitor for exploitation attempts</t>
        </is>
      </c>
      <c r="S985" s="190" t="inlineStr">
        <is>
          <t>CVE - IP enrichment n/a</t>
        </is>
      </c>
      <c r="T985" s="190" t="n">
        <v>0</v>
      </c>
      <c r="U985" s="190" t="n">
        <v>0</v>
      </c>
      <c r="V985" s="190" t="inlineStr">
        <is>
          <t>T1190:Exploit Public-Facing Application</t>
        </is>
      </c>
      <c r="W985" s="190" t="n">
        <v>1</v>
      </c>
      <c r="X985" s="190" t="inlineStr">
        <is>
          <t>LOW (40%)</t>
        </is>
      </c>
      <c r="Y985" s="190" t="inlineStr">
        <is>
          <t>UNLIKELY</t>
        </is>
      </c>
      <c r="Z985" s="190" t="inlineStr">
        <is>
          <t>CHECK_VENDOR</t>
        </is>
      </c>
      <c r="AA985" s="190" t="inlineStr">
        <is>
          <t>https://nvd.nist.gov/vuln/detail/CVE-2026-2967</t>
        </is>
      </c>
      <c r="AB985" s="190" t="inlineStr">
        <is>
          <t>NONE</t>
        </is>
      </c>
      <c r="AC985" s="190" t="n">
        <v>0</v>
      </c>
      <c r="AD985" s="190" t="inlineStr"/>
    </row>
    <row r="986">
      <c r="A986" s="190" t="inlineStr">
        <is>
          <t>CVE</t>
        </is>
      </c>
      <c r="B986" s="190" t="inlineStr">
        <is>
          <t>CVE-2026-2968</t>
        </is>
      </c>
      <c r="C986" s="190" t="inlineStr">
        <is>
          <t>A vulnerability was detected in Cesanta Mongoose up to 7.20. This impacts the function mg_chacha20_poly1305_decrypt of the file /src/tls_chacha20.c of the component Poly1305 Authentication Tag Handler. The manipulation results in improper verification of cryptographic signature. The attack may be launched remotely. This attack is characterized by high complexity. The exploitability is said to be difficult. The exploit is now public and may be used. The vendor was contacted early about this discl</t>
        </is>
      </c>
      <c r="D986" s="190" t="n">
        <v>3.7</v>
      </c>
      <c r="E986" s="190" t="inlineStr">
        <is>
          <t>LOW</t>
        </is>
      </c>
      <c r="F986" s="190" t="n">
        <v>2</v>
      </c>
      <c r="G986" s="190" t="n">
        <v>1</v>
      </c>
      <c r="H986" s="190" t="inlineStr">
        <is>
          <t>LOW</t>
        </is>
      </c>
      <c r="I986" s="190" t="n">
        <v>5.7</v>
      </c>
      <c r="J986" s="190" t="inlineStr">
        <is>
          <t>NO</t>
        </is>
      </c>
      <c r="K986" s="190" t="inlineStr">
        <is>
          <t>https://nvd.nist.gov/vuln/detail/CVE-2026-2968</t>
        </is>
      </c>
      <c r="L986" s="190" t="inlineStr">
        <is>
          <t>2026-02-26 00:15</t>
        </is>
      </c>
      <c r="M986" s="190" t="inlineStr">
        <is>
          <t>CHECK_VENDOR</t>
        </is>
      </c>
      <c r="N986" s="190" t="inlineStr">
        <is>
          <t>See NVD references</t>
        </is>
      </c>
      <c r="O986" s="190" t="inlineStr">
        <is>
          <t>Apply vendor patches</t>
        </is>
      </c>
      <c r="P986" s="190" t="inlineStr">
        <is>
          <t>cesanta mongoose *</t>
        </is>
      </c>
      <c r="Q986" s="190" t="inlineStr">
        <is>
          <t>P4</t>
        </is>
      </c>
      <c r="R986" s="190" t="inlineStr">
        <is>
          <t>📅 Schedule patch deployment within 30 days | 🔍 Monitor for exploitation attempts</t>
        </is>
      </c>
      <c r="S986" s="190" t="inlineStr">
        <is>
          <t>CVE - IP enrichment n/a</t>
        </is>
      </c>
      <c r="T986" s="190" t="n">
        <v>0</v>
      </c>
      <c r="U986" s="190" t="n">
        <v>0</v>
      </c>
      <c r="V986" s="190" t="inlineStr">
        <is>
          <t>T1600:Weaken Encryption</t>
        </is>
      </c>
      <c r="W986" s="190" t="n">
        <v>1</v>
      </c>
      <c r="X986" s="190" t="inlineStr">
        <is>
          <t>LOW (40%)</t>
        </is>
      </c>
      <c r="Y986" s="190" t="inlineStr">
        <is>
          <t>UNLIKELY</t>
        </is>
      </c>
      <c r="Z986" s="190" t="inlineStr">
        <is>
          <t>CHECK_VENDOR</t>
        </is>
      </c>
      <c r="AA986" s="190" t="inlineStr">
        <is>
          <t>https://nvd.nist.gov/vuln/detail/CVE-2026-2968</t>
        </is>
      </c>
      <c r="AB986" s="190" t="inlineStr">
        <is>
          <t>NONE</t>
        </is>
      </c>
      <c r="AC986" s="190" t="n">
        <v>0</v>
      </c>
      <c r="AD986" s="190" t="inlineStr"/>
    </row>
    <row r="987">
      <c r="A987" s="188" t="inlineStr">
        <is>
          <t>CVE</t>
        </is>
      </c>
      <c r="B987" s="188" t="inlineStr">
        <is>
          <t>CVE-2026-2998</t>
        </is>
      </c>
      <c r="C987" s="188" t="inlineStr">
        <is>
          <t>ERP developed by eAI Technologies has a DLL Hijacking vulnerability, allowing authenticated local attackers to place a crafted DLL file in the same directory as the program, thereby executing arbitrary code.</t>
        </is>
      </c>
      <c r="D987" s="188" t="n">
        <v>7.8</v>
      </c>
      <c r="E987" s="188" t="inlineStr">
        <is>
          <t>HIGH</t>
        </is>
      </c>
      <c r="F987" s="188" t="n">
        <v>2</v>
      </c>
      <c r="G987" s="188" t="n">
        <v>3</v>
      </c>
      <c r="H987" s="188" t="inlineStr">
        <is>
          <t>HIGH</t>
        </is>
      </c>
      <c r="I987" s="188" t="n">
        <v>13.8</v>
      </c>
      <c r="J987" s="188" t="inlineStr">
        <is>
          <t>NO</t>
        </is>
      </c>
      <c r="K987" s="188" t="inlineStr">
        <is>
          <t>https://nvd.nist.gov/vuln/detail/CVE-2026-2998</t>
        </is>
      </c>
      <c r="L987" s="188" t="inlineStr">
        <is>
          <t>2026-02-26 00:15</t>
        </is>
      </c>
      <c r="M987" s="188" t="inlineStr">
        <is>
          <t>CHECK_VENDOR</t>
        </is>
      </c>
      <c r="N987" s="188" t="inlineStr">
        <is>
          <t>See NVD references</t>
        </is>
      </c>
      <c r="O987" s="188" t="inlineStr">
        <is>
          <t>Apply vendor patches</t>
        </is>
      </c>
      <c r="P987" s="188" t="inlineStr">
        <is>
          <t>See CVE details</t>
        </is>
      </c>
      <c r="Q987" s="188" t="inlineStr">
        <is>
          <t>P3</t>
        </is>
      </c>
      <c r="R987" s="188" t="inlineStr">
        <is>
          <t>🚨 URGENT: Apply vendor patches immediately | 🔒 Isolate affected systems if patch unavailable | 🛡️ Enable additional monitoring/IDS rules</t>
        </is>
      </c>
      <c r="S987" s="188" t="inlineStr">
        <is>
          <t>CVE - IP enrichment n/a</t>
        </is>
      </c>
      <c r="T987" s="188" t="n">
        <v>0</v>
      </c>
      <c r="U987" s="188" t="n">
        <v>0</v>
      </c>
      <c r="V987" s="188" t="inlineStr">
        <is>
          <t>T1203:Exploitation for Client Execution</t>
        </is>
      </c>
      <c r="W987" s="188" t="n">
        <v>1</v>
      </c>
      <c r="X987" s="188" t="inlineStr">
        <is>
          <t>LOW (40%)</t>
        </is>
      </c>
      <c r="Y987" s="188" t="inlineStr">
        <is>
          <t>UNLIKELY</t>
        </is>
      </c>
      <c r="Z987" s="188" t="inlineStr">
        <is>
          <t>CHECK_VENDOR</t>
        </is>
      </c>
      <c r="AA987" s="188" t="inlineStr">
        <is>
          <t>https://nvd.nist.gov/vuln/detail/CVE-2026-2998</t>
        </is>
      </c>
      <c r="AB987" s="188" t="inlineStr">
        <is>
          <t>NONE</t>
        </is>
      </c>
      <c r="AC987" s="188" t="n">
        <v>0</v>
      </c>
      <c r="AD987" s="188" t="inlineStr"/>
    </row>
    <row r="988">
      <c r="A988" s="187" t="inlineStr">
        <is>
          <t>CVE</t>
        </is>
      </c>
      <c r="B988" s="187" t="inlineStr">
        <is>
          <t>CVE-2026-2969</t>
        </is>
      </c>
      <c r="C988" s="187" t="inlineStr">
        <is>
          <t>A flaw has been found in datapizza-labs datapizza-ai 0.0.2. Affected is the function ChatPromptTemplate of the file datapizza-ai-core/datapizza/modules/prompt/prompt.py of the component Jinja2 Template Handler. This manipulation of the argument Prompt causes improper neutralization of special elements used in a template engine. Remote exploitation of the attack is possible. The exploit has been published and may be used. The vendor was contacted early about this disclosure but did not respond in</t>
        </is>
      </c>
      <c r="D988" s="187" t="n">
        <v>4.7</v>
      </c>
      <c r="E988" s="187" t="inlineStr">
        <is>
          <t>MEDIUM</t>
        </is>
      </c>
      <c r="F988" s="187" t="n">
        <v>2</v>
      </c>
      <c r="G988" s="187" t="n">
        <v>2</v>
      </c>
      <c r="H988" s="187" t="inlineStr">
        <is>
          <t>MEDIUM</t>
        </is>
      </c>
      <c r="I988" s="187" t="n">
        <v>8.699999999999999</v>
      </c>
      <c r="J988" s="187" t="inlineStr">
        <is>
          <t>NO</t>
        </is>
      </c>
      <c r="K988" s="187" t="inlineStr">
        <is>
          <t>https://nvd.nist.gov/vuln/detail/CVE-2026-2969</t>
        </is>
      </c>
      <c r="L988" s="187" t="inlineStr">
        <is>
          <t>2026-02-26 00:15</t>
        </is>
      </c>
      <c r="M988" s="187" t="inlineStr">
        <is>
          <t>CHECK_VENDOR</t>
        </is>
      </c>
      <c r="N988" s="187" t="inlineStr">
        <is>
          <t>See NVD references</t>
        </is>
      </c>
      <c r="O988" s="187" t="inlineStr">
        <is>
          <t>Apply vendor patches</t>
        </is>
      </c>
      <c r="P988" s="187" t="inlineStr">
        <is>
          <t>datapizza datapizza_ai 0.0.2</t>
        </is>
      </c>
      <c r="Q988" s="187" t="inlineStr">
        <is>
          <t>P4</t>
        </is>
      </c>
      <c r="R988" s="187" t="inlineStr">
        <is>
          <t>📅 Schedule patch deployment within 30 days | 🔍 Monitor for exploitation attempts</t>
        </is>
      </c>
      <c r="S988" s="187" t="inlineStr">
        <is>
          <t>CVE - IP enrichment n/a</t>
        </is>
      </c>
      <c r="T988" s="187" t="n">
        <v>0</v>
      </c>
      <c r="U988" s="187" t="n">
        <v>0</v>
      </c>
      <c r="V988" s="187" t="inlineStr">
        <is>
          <t>T1190:Exploit Public-Facing Application</t>
        </is>
      </c>
      <c r="W988" s="187" t="n">
        <v>1</v>
      </c>
      <c r="X988" s="187" t="inlineStr">
        <is>
          <t>LOW (40%)</t>
        </is>
      </c>
      <c r="Y988" s="187" t="inlineStr">
        <is>
          <t>UNLIKELY</t>
        </is>
      </c>
      <c r="Z988" s="187" t="inlineStr">
        <is>
          <t>CHECK_VENDOR</t>
        </is>
      </c>
      <c r="AA988" s="187" t="inlineStr">
        <is>
          <t>https://nvd.nist.gov/vuln/detail/CVE-2026-2969</t>
        </is>
      </c>
      <c r="AB988" s="187" t="inlineStr">
        <is>
          <t>NONE</t>
        </is>
      </c>
      <c r="AC988" s="187" t="n">
        <v>0</v>
      </c>
      <c r="AD988" s="187" t="inlineStr"/>
    </row>
    <row r="989">
      <c r="A989" s="187" t="inlineStr">
        <is>
          <t>CVE</t>
        </is>
      </c>
      <c r="B989" s="187" t="inlineStr">
        <is>
          <t>CVE-2026-2970</t>
        </is>
      </c>
      <c r="C989" s="187" t="inlineStr">
        <is>
          <t>A vulnerability has been found in datapizza-labs datapizza-ai 0.0.2. Affected by this vulnerability is the function RedisCache of the file datapizza-ai-cache/redis/datapizza/cache/redis/cache.py. Such manipulation leads to deserialization. The attack requires being on the local network. A high complexity level is associated with this attack. The exploitation appears to be difficult. The exploit has been disclosed to the public and may be used. The vendor was contacted early about this disclosure</t>
        </is>
      </c>
      <c r="D989" s="187" t="n">
        <v>4.6</v>
      </c>
      <c r="E989" s="187" t="inlineStr">
        <is>
          <t>MEDIUM</t>
        </is>
      </c>
      <c r="F989" s="187" t="n">
        <v>2</v>
      </c>
      <c r="G989" s="187" t="n">
        <v>2</v>
      </c>
      <c r="H989" s="187" t="inlineStr">
        <is>
          <t>MEDIUM</t>
        </is>
      </c>
      <c r="I989" s="187" t="n">
        <v>8.6</v>
      </c>
      <c r="J989" s="187" t="inlineStr">
        <is>
          <t>NO</t>
        </is>
      </c>
      <c r="K989" s="187" t="inlineStr">
        <is>
          <t>https://nvd.nist.gov/vuln/detail/CVE-2026-2970</t>
        </is>
      </c>
      <c r="L989" s="187" t="inlineStr">
        <is>
          <t>2026-02-26 00:15</t>
        </is>
      </c>
      <c r="M989" s="187" t="inlineStr">
        <is>
          <t>CHECK_VENDOR</t>
        </is>
      </c>
      <c r="N989" s="187" t="inlineStr">
        <is>
          <t>See NVD references</t>
        </is>
      </c>
      <c r="O989" s="187" t="inlineStr">
        <is>
          <t>Apply vendor patches</t>
        </is>
      </c>
      <c r="P989" s="187" t="inlineStr">
        <is>
          <t>datapizza datapizza-ai 0.0.2</t>
        </is>
      </c>
      <c r="Q989" s="187" t="inlineStr">
        <is>
          <t>P4</t>
        </is>
      </c>
      <c r="R989" s="187" t="inlineStr">
        <is>
          <t>📅 Schedule patch deployment within 30 days | 🔍 Monitor for exploitation attempts</t>
        </is>
      </c>
      <c r="S989" s="187" t="inlineStr">
        <is>
          <t>CVE - IP enrichment n/a</t>
        </is>
      </c>
      <c r="T989" s="187" t="n">
        <v>0</v>
      </c>
      <c r="U989" s="187" t="n">
        <v>0</v>
      </c>
      <c r="V989" s="187" t="inlineStr">
        <is>
          <t>T1059:Command and Scripting Interpreter</t>
        </is>
      </c>
      <c r="W989" s="187" t="n">
        <v>1</v>
      </c>
      <c r="X989" s="187" t="inlineStr">
        <is>
          <t>LOW (40%)</t>
        </is>
      </c>
      <c r="Y989" s="187" t="inlineStr">
        <is>
          <t>UNLIKELY</t>
        </is>
      </c>
      <c r="Z989" s="187" t="inlineStr">
        <is>
          <t>CHECK_VENDOR</t>
        </is>
      </c>
      <c r="AA989" s="187" t="inlineStr">
        <is>
          <t>https://nvd.nist.gov/vuln/detail/CVE-2026-2970</t>
        </is>
      </c>
      <c r="AB989" s="187" t="inlineStr">
        <is>
          <t>NONE</t>
        </is>
      </c>
      <c r="AC989" s="187" t="n">
        <v>0</v>
      </c>
      <c r="AD989" s="187" t="inlineStr"/>
    </row>
    <row r="990">
      <c r="A990" s="187" t="inlineStr">
        <is>
          <t>CVE</t>
        </is>
      </c>
      <c r="B990" s="187" t="inlineStr">
        <is>
          <t>CVE-2026-2971</t>
        </is>
      </c>
      <c r="C990" s="187" t="inlineStr">
        <is>
          <t>A vulnerability was found in a466350665 Smart-SSO up to 2.1.1. Affected by this issue is some unknown functionality of the file smart-sso-server/src/main/resources/templates/login.html of the component Login. Performing a manipulation of the argument redirectUri results in cross site scripting. The attack is possible to be carried out remotely. The exploit has been made public and could be used. The vendor was contacted early about this disclosure but did not respond in any way.</t>
        </is>
      </c>
      <c r="D990" s="187" t="n">
        <v>4.3</v>
      </c>
      <c r="E990" s="187" t="inlineStr">
        <is>
          <t>MEDIUM</t>
        </is>
      </c>
      <c r="F990" s="187" t="n">
        <v>2</v>
      </c>
      <c r="G990" s="187" t="n">
        <v>2</v>
      </c>
      <c r="H990" s="187" t="inlineStr">
        <is>
          <t>MEDIUM</t>
        </is>
      </c>
      <c r="I990" s="187" t="n">
        <v>8.300000000000001</v>
      </c>
      <c r="J990" s="187" t="inlineStr">
        <is>
          <t>NO</t>
        </is>
      </c>
      <c r="K990" s="187" t="inlineStr">
        <is>
          <t>https://nvd.nist.gov/vuln/detail/CVE-2026-2971</t>
        </is>
      </c>
      <c r="L990" s="187" t="inlineStr">
        <is>
          <t>2026-02-26 00:15</t>
        </is>
      </c>
      <c r="M990" s="187" t="inlineStr">
        <is>
          <t>CHECK_VENDOR</t>
        </is>
      </c>
      <c r="N990" s="187" t="inlineStr">
        <is>
          <t>See NVD references</t>
        </is>
      </c>
      <c r="O990" s="187" t="inlineStr">
        <is>
          <t>Apply vendor patches</t>
        </is>
      </c>
      <c r="P990" s="187" t="inlineStr">
        <is>
          <t>a466350665 smart-sso *</t>
        </is>
      </c>
      <c r="Q990" s="187" t="inlineStr">
        <is>
          <t>P4</t>
        </is>
      </c>
      <c r="R990" s="187" t="inlineStr">
        <is>
          <t>📅 Schedule patch deployment within 30 days | 🔍 Monitor for exploitation attempts</t>
        </is>
      </c>
      <c r="S990" s="187" t="inlineStr">
        <is>
          <t>CVE - IP enrichment n/a</t>
        </is>
      </c>
      <c r="T990" s="187" t="n">
        <v>0.0003</v>
      </c>
      <c r="U990" s="187" t="n">
        <v>0.0857</v>
      </c>
      <c r="V990" s="187" t="inlineStr">
        <is>
          <t>T1189:Drive-by Compromise | T1190:Exploit Public-Facing Application</t>
        </is>
      </c>
      <c r="W990" s="187" t="n">
        <v>1</v>
      </c>
      <c r="X990" s="187" t="inlineStr">
        <is>
          <t>LOW (40%)</t>
        </is>
      </c>
      <c r="Y990" s="187" t="inlineStr">
        <is>
          <t>UNLIKELY</t>
        </is>
      </c>
      <c r="Z990" s="187" t="inlineStr">
        <is>
          <t>CHECK_VENDOR</t>
        </is>
      </c>
      <c r="AA990" s="187" t="inlineStr">
        <is>
          <t>https://nvd.nist.gov/vuln/detail/CVE-2026-2971</t>
        </is>
      </c>
      <c r="AB990" s="187" t="inlineStr">
        <is>
          <t>NONE</t>
        </is>
      </c>
      <c r="AC990" s="187" t="n">
        <v>0</v>
      </c>
      <c r="AD990" s="187" t="inlineStr"/>
    </row>
    <row r="991">
      <c r="A991" s="190" t="inlineStr">
        <is>
          <t>CVE</t>
        </is>
      </c>
      <c r="B991" s="190" t="inlineStr">
        <is>
          <t>CVE-2026-2972</t>
        </is>
      </c>
      <c r="C991" s="190" t="inlineStr">
        <is>
          <t>A vulnerability was determined in a466350665 Smart-SSO up to 2.1.1. This affects the function Save of the file smart-sso-server/src/main/java/openjoe/smart/sso/server/controller/admin/UserController.java of the component Role Edit Page. Executing a manipulation can lead to cross site scripting. The attack may be performed from remote. The exploit has been publicly disclosed and may be utilized. The vendor was contacted early about this disclosure but did not respond in any way.</t>
        </is>
      </c>
      <c r="D991" s="190" t="n">
        <v>2.4</v>
      </c>
      <c r="E991" s="190" t="inlineStr">
        <is>
          <t>LOW</t>
        </is>
      </c>
      <c r="F991" s="190" t="n">
        <v>2</v>
      </c>
      <c r="G991" s="190" t="n">
        <v>1</v>
      </c>
      <c r="H991" s="190" t="inlineStr">
        <is>
          <t>LOW</t>
        </is>
      </c>
      <c r="I991" s="190" t="n">
        <v>4.4</v>
      </c>
      <c r="J991" s="190" t="inlineStr">
        <is>
          <t>NO</t>
        </is>
      </c>
      <c r="K991" s="190" t="inlineStr">
        <is>
          <t>https://nvd.nist.gov/vuln/detail/CVE-2026-2972</t>
        </is>
      </c>
      <c r="L991" s="190" t="inlineStr">
        <is>
          <t>2026-02-26 00:15</t>
        </is>
      </c>
      <c r="M991" s="190" t="inlineStr">
        <is>
          <t>CHECK_VENDOR</t>
        </is>
      </c>
      <c r="N991" s="190" t="inlineStr">
        <is>
          <t>See NVD references</t>
        </is>
      </c>
      <c r="O991" s="190" t="inlineStr">
        <is>
          <t>Apply vendor patches</t>
        </is>
      </c>
      <c r="P991" s="190" t="inlineStr">
        <is>
          <t>a466350665 smart-sso *</t>
        </is>
      </c>
      <c r="Q991" s="190" t="inlineStr">
        <is>
          <t>P4</t>
        </is>
      </c>
      <c r="R991" s="190" t="inlineStr">
        <is>
          <t>📅 Schedule patch deployment within 30 days | 🔍 Monitor for exploitation attempts</t>
        </is>
      </c>
      <c r="S991" s="190" t="inlineStr">
        <is>
          <t>CVE - IP enrichment n/a</t>
        </is>
      </c>
      <c r="T991" s="190" t="n">
        <v>0</v>
      </c>
      <c r="U991" s="190" t="n">
        <v>0</v>
      </c>
      <c r="V991" s="190" t="inlineStr">
        <is>
          <t>T1189:Drive-by Compromise</t>
        </is>
      </c>
      <c r="W991" s="190" t="n">
        <v>1</v>
      </c>
      <c r="X991" s="190" t="inlineStr">
        <is>
          <t>LOW (40%)</t>
        </is>
      </c>
      <c r="Y991" s="190" t="inlineStr">
        <is>
          <t>UNLIKELY</t>
        </is>
      </c>
      <c r="Z991" s="190" t="inlineStr">
        <is>
          <t>CHECK_VENDOR</t>
        </is>
      </c>
      <c r="AA991" s="190" t="inlineStr">
        <is>
          <t>https://nvd.nist.gov/vuln/detail/CVE-2026-2972</t>
        </is>
      </c>
      <c r="AB991" s="190" t="inlineStr">
        <is>
          <t>NONE</t>
        </is>
      </c>
      <c r="AC991" s="190" t="n">
        <v>0</v>
      </c>
      <c r="AD991" s="190" t="inlineStr"/>
    </row>
    <row r="992">
      <c r="A992" s="190" t="inlineStr">
        <is>
          <t>CVE</t>
        </is>
      </c>
      <c r="B992" s="190" t="inlineStr">
        <is>
          <t>CVE-2026-2974</t>
        </is>
      </c>
      <c r="C992" s="190" t="inlineStr">
        <is>
          <t>A vulnerability was identified in AliasVault App up to 0.25.3 on Android/iOS. This vulnerability affects unknown code of the file shared_prefs/aliasvault.xml of the component Backup Handler. The manipulation of the argument accessToken/refreshToken/metadata/key_derivation_params/auth_methods leads to exposure of backup file to an unauthorized control sphere. An attack has to be approached locally. The attack is considered to have high complexity. It is stated that the exploitability is difficult</t>
        </is>
      </c>
      <c r="D992" s="190" t="n">
        <v>2.5</v>
      </c>
      <c r="E992" s="190" t="inlineStr">
        <is>
          <t>LOW</t>
        </is>
      </c>
      <c r="F992" s="190" t="n">
        <v>2</v>
      </c>
      <c r="G992" s="190" t="n">
        <v>1</v>
      </c>
      <c r="H992" s="190" t="inlineStr">
        <is>
          <t>LOW</t>
        </is>
      </c>
      <c r="I992" s="190" t="n">
        <v>4.5</v>
      </c>
      <c r="J992" s="190" t="inlineStr">
        <is>
          <t>NO</t>
        </is>
      </c>
      <c r="K992" s="190" t="inlineStr">
        <is>
          <t>https://nvd.nist.gov/vuln/detail/CVE-2026-2974</t>
        </is>
      </c>
      <c r="L992" s="190" t="inlineStr">
        <is>
          <t>2026-02-26 00:15</t>
        </is>
      </c>
      <c r="M992" s="190" t="inlineStr">
        <is>
          <t>CHECK_VENDOR</t>
        </is>
      </c>
      <c r="N992" s="190" t="inlineStr">
        <is>
          <t>See NVD references</t>
        </is>
      </c>
      <c r="O992" s="190" t="inlineStr">
        <is>
          <t>Apply vendor patches</t>
        </is>
      </c>
      <c r="P992" s="190" t="inlineStr">
        <is>
          <t>See CVE details</t>
        </is>
      </c>
      <c r="Q992" s="190" t="inlineStr">
        <is>
          <t>P4</t>
        </is>
      </c>
      <c r="R992" s="190" t="inlineStr">
        <is>
          <t>📅 Schedule patch deployment within 30 days | 🔍 Monitor for exploitation attempts</t>
        </is>
      </c>
      <c r="S992" s="190" t="inlineStr">
        <is>
          <t>CVE - IP enrichment n/a</t>
        </is>
      </c>
      <c r="T992" s="190" t="n">
        <v>0</v>
      </c>
      <c r="U992" s="190" t="n">
        <v>0</v>
      </c>
      <c r="V992" s="190" t="inlineStr">
        <is>
          <t>T1190:Exploit Public-Facing Application</t>
        </is>
      </c>
      <c r="W992" s="190" t="n">
        <v>1</v>
      </c>
      <c r="X992" s="190" t="inlineStr">
        <is>
          <t>LOW (40%)</t>
        </is>
      </c>
      <c r="Y992" s="190" t="inlineStr">
        <is>
          <t>UNLIKELY</t>
        </is>
      </c>
      <c r="Z992" s="190" t="inlineStr">
        <is>
          <t>CHECK_VENDOR</t>
        </is>
      </c>
      <c r="AA992" s="190" t="inlineStr">
        <is>
          <t>https://nvd.nist.gov/vuln/detail/CVE-2026-2974</t>
        </is>
      </c>
      <c r="AB992" s="190" t="inlineStr">
        <is>
          <t>NONE</t>
        </is>
      </c>
      <c r="AC992" s="190" t="n">
        <v>0</v>
      </c>
      <c r="AD992" s="190" t="inlineStr"/>
    </row>
    <row r="993">
      <c r="A993" s="187" t="inlineStr">
        <is>
          <t>CVE</t>
        </is>
      </c>
      <c r="B993" s="187" t="inlineStr">
        <is>
          <t>CVE-2026-2975</t>
        </is>
      </c>
      <c r="C993" s="187" t="inlineStr">
        <is>
          <t>A security flaw has been discovered in FastApiAdmin up to 2.2.0. Affected by this vulnerability is the function reset_api_docs of the file /backend/app/plugin/init_app.py of the component Custom Documentation Endpoint. The manipulation results in information disclosure. The attack may be performed from remote. The exploit has been released to the public and may be used for attacks.</t>
        </is>
      </c>
      <c r="D993" s="187" t="n">
        <v>5.3</v>
      </c>
      <c r="E993" s="187" t="inlineStr">
        <is>
          <t>MEDIUM</t>
        </is>
      </c>
      <c r="F993" s="187" t="n">
        <v>2</v>
      </c>
      <c r="G993" s="187" t="n">
        <v>2</v>
      </c>
      <c r="H993" s="187" t="inlineStr">
        <is>
          <t>MEDIUM</t>
        </is>
      </c>
      <c r="I993" s="187" t="n">
        <v>9.300000000000001</v>
      </c>
      <c r="J993" s="187" t="inlineStr">
        <is>
          <t>NO</t>
        </is>
      </c>
      <c r="K993" s="187" t="inlineStr">
        <is>
          <t>https://nvd.nist.gov/vuln/detail/CVE-2026-2975</t>
        </is>
      </c>
      <c r="L993" s="187" t="inlineStr">
        <is>
          <t>2026-02-26 00:15</t>
        </is>
      </c>
      <c r="M993" s="187" t="inlineStr">
        <is>
          <t>CHECK_VENDOR</t>
        </is>
      </c>
      <c r="N993" s="187" t="inlineStr">
        <is>
          <t>See NVD references</t>
        </is>
      </c>
      <c r="O993" s="187" t="inlineStr">
        <is>
          <t>Apply vendor patches</t>
        </is>
      </c>
      <c r="P993" s="187" t="inlineStr">
        <is>
          <t>fastapiadmin fastapi-admin 2.0 | fastapiadmin fastapi-admin 2.2.0 | fastapiadmin fastapi-admin 2.1</t>
        </is>
      </c>
      <c r="Q993" s="187" t="inlineStr">
        <is>
          <t>P4</t>
        </is>
      </c>
      <c r="R993" s="187" t="inlineStr">
        <is>
          <t>📅 Schedule patch deployment within 30 days | 🔍 Monitor for exploitation attempts</t>
        </is>
      </c>
      <c r="S993" s="187" t="inlineStr">
        <is>
          <t>CVE - IP enrichment n/a</t>
        </is>
      </c>
      <c r="T993" s="187" t="n">
        <v>0</v>
      </c>
      <c r="U993" s="187" t="n">
        <v>0</v>
      </c>
      <c r="V993" s="187" t="inlineStr">
        <is>
          <t>T1213:Data from Information Repositories</t>
        </is>
      </c>
      <c r="W993" s="187" t="n">
        <v>1</v>
      </c>
      <c r="X993" s="187" t="inlineStr">
        <is>
          <t>LOW (40%)</t>
        </is>
      </c>
      <c r="Y993" s="187" t="inlineStr">
        <is>
          <t>UNLIKELY</t>
        </is>
      </c>
      <c r="Z993" s="187" t="inlineStr">
        <is>
          <t>CHECK_VENDOR</t>
        </is>
      </c>
      <c r="AA993" s="187" t="inlineStr">
        <is>
          <t>https://nvd.nist.gov/vuln/detail/CVE-2026-2975</t>
        </is>
      </c>
      <c r="AB993" s="187" t="inlineStr">
        <is>
          <t>NONE</t>
        </is>
      </c>
      <c r="AC993" s="187" t="n">
        <v>0</v>
      </c>
      <c r="AD993" s="187" t="inlineStr"/>
    </row>
    <row r="994">
      <c r="A994" s="187" t="inlineStr">
        <is>
          <t>CVE</t>
        </is>
      </c>
      <c r="B994" s="187" t="inlineStr">
        <is>
          <t>CVE-2026-2976</t>
        </is>
      </c>
      <c r="C994" s="187" t="inlineStr">
        <is>
          <t>A weakness has been identified in FastApiAdmin up to 2.2.0. Affected by this issue is the function download_controller of the file /backend/app/api/v1/module_common/file/controller.py of the component Download Endpoint. This manipulation of the argument file_path causes information disclosure. It is possible to initiate the attack remotely. The exploit has been made available to the public and could be used for attacks.</t>
        </is>
      </c>
      <c r="D994" s="187" t="n">
        <v>4.3</v>
      </c>
      <c r="E994" s="187" t="inlineStr">
        <is>
          <t>MEDIUM</t>
        </is>
      </c>
      <c r="F994" s="187" t="n">
        <v>2</v>
      </c>
      <c r="G994" s="187" t="n">
        <v>2</v>
      </c>
      <c r="H994" s="187" t="inlineStr">
        <is>
          <t>MEDIUM</t>
        </is>
      </c>
      <c r="I994" s="187" t="n">
        <v>8.300000000000001</v>
      </c>
      <c r="J994" s="187" t="inlineStr">
        <is>
          <t>NO</t>
        </is>
      </c>
      <c r="K994" s="187" t="inlineStr">
        <is>
          <t>https://nvd.nist.gov/vuln/detail/CVE-2026-2976</t>
        </is>
      </c>
      <c r="L994" s="187" t="inlineStr">
        <is>
          <t>2026-02-26 00:15</t>
        </is>
      </c>
      <c r="M994" s="187" t="inlineStr">
        <is>
          <t>CHECK_VENDOR</t>
        </is>
      </c>
      <c r="N994" s="187" t="inlineStr">
        <is>
          <t>See NVD references</t>
        </is>
      </c>
      <c r="O994" s="187" t="inlineStr">
        <is>
          <t>Apply vendor patches</t>
        </is>
      </c>
      <c r="P994" s="187" t="inlineStr">
        <is>
          <t>fastapiadmin fastapi-admin 2.0 | fastapiadmin fastapi-admin 2.2.0 | fastapiadmin fastapi-admin 2.1</t>
        </is>
      </c>
      <c r="Q994" s="187" t="inlineStr">
        <is>
          <t>P4</t>
        </is>
      </c>
      <c r="R994" s="187" t="inlineStr">
        <is>
          <t>📅 Schedule patch deployment within 30 days | 🔍 Monitor for exploitation attempts</t>
        </is>
      </c>
      <c r="S994" s="187" t="inlineStr">
        <is>
          <t>CVE - IP enrichment n/a</t>
        </is>
      </c>
      <c r="T994" s="187" t="n">
        <v>0</v>
      </c>
      <c r="U994" s="187" t="n">
        <v>0</v>
      </c>
      <c r="V994" s="187" t="inlineStr">
        <is>
          <t>T1213:Data from Information Repositories | T1190:Exploit Public-Facing Application</t>
        </is>
      </c>
      <c r="W994" s="187" t="n">
        <v>1</v>
      </c>
      <c r="X994" s="187" t="inlineStr">
        <is>
          <t>LOW (40%)</t>
        </is>
      </c>
      <c r="Y994" s="187" t="inlineStr">
        <is>
          <t>UNLIKELY</t>
        </is>
      </c>
      <c r="Z994" s="187" t="inlineStr">
        <is>
          <t>CHECK_VENDOR</t>
        </is>
      </c>
      <c r="AA994" s="187" t="inlineStr">
        <is>
          <t>https://nvd.nist.gov/vuln/detail/CVE-2026-2976</t>
        </is>
      </c>
      <c r="AB994" s="187" t="inlineStr">
        <is>
          <t>NONE</t>
        </is>
      </c>
      <c r="AC994" s="187" t="n">
        <v>0</v>
      </c>
      <c r="AD994" s="187" t="inlineStr"/>
    </row>
    <row r="995">
      <c r="A995" s="188" t="inlineStr">
        <is>
          <t>CVE</t>
        </is>
      </c>
      <c r="B995" s="188" t="inlineStr">
        <is>
          <t>CVE-2026-1367</t>
        </is>
      </c>
      <c r="C995" s="188" t="inlineStr">
        <is>
          <t>Zohocorp ManageEngine ADSelfService Plus versions 6522 and below are vulnerable to authenticated SQL Injection in the search report option.</t>
        </is>
      </c>
      <c r="D995" s="188" t="n">
        <v>8.300000000000001</v>
      </c>
      <c r="E995" s="188" t="inlineStr">
        <is>
          <t>HIGH</t>
        </is>
      </c>
      <c r="F995" s="188" t="n">
        <v>2</v>
      </c>
      <c r="G995" s="188" t="n">
        <v>3</v>
      </c>
      <c r="H995" s="188" t="inlineStr">
        <is>
          <t>HIGH</t>
        </is>
      </c>
      <c r="I995" s="188" t="n">
        <v>14.3</v>
      </c>
      <c r="J995" s="188" t="inlineStr">
        <is>
          <t>NO</t>
        </is>
      </c>
      <c r="K995" s="188" t="inlineStr">
        <is>
          <t>https://nvd.nist.gov/vuln/detail/CVE-2026-1367</t>
        </is>
      </c>
      <c r="L995" s="188" t="inlineStr">
        <is>
          <t>2026-02-26 00:15</t>
        </is>
      </c>
      <c r="M995" s="188" t="inlineStr">
        <is>
          <t>CHECK_VENDOR</t>
        </is>
      </c>
      <c r="N995" s="188" t="inlineStr">
        <is>
          <t>See NVD references</t>
        </is>
      </c>
      <c r="O995" s="188" t="inlineStr">
        <is>
          <t>Apply vendor patches</t>
        </is>
      </c>
      <c r="P995" s="188" t="inlineStr">
        <is>
          <t>See CVE details</t>
        </is>
      </c>
      <c r="Q995" s="188" t="inlineStr">
        <is>
          <t>P3</t>
        </is>
      </c>
      <c r="R995" s="188" t="inlineStr">
        <is>
          <t>🚨 URGENT: Apply vendor patches immediately | 🔒 Isolate affected systems if patch unavailable | 🛡️ Enable additional monitoring/IDS rules</t>
        </is>
      </c>
      <c r="S995" s="188" t="inlineStr">
        <is>
          <t>CVE - IP enrichment n/a</t>
        </is>
      </c>
      <c r="T995" s="188" t="n">
        <v>0</v>
      </c>
      <c r="U995" s="188" t="n">
        <v>0</v>
      </c>
      <c r="V995" s="188" t="inlineStr">
        <is>
          <t>T1190:Exploit Public-Facing Application</t>
        </is>
      </c>
      <c r="W995" s="188" t="n">
        <v>1</v>
      </c>
      <c r="X995" s="188" t="inlineStr">
        <is>
          <t>LOW (40%)</t>
        </is>
      </c>
      <c r="Y995" s="188" t="inlineStr">
        <is>
          <t>UNLIKELY</t>
        </is>
      </c>
      <c r="Z995" s="188" t="inlineStr">
        <is>
          <t>CHECK_VENDOR</t>
        </is>
      </c>
      <c r="AA995" s="188" t="inlineStr">
        <is>
          <t>https://nvd.nist.gov/vuln/detail/CVE-2026-1367</t>
        </is>
      </c>
      <c r="AB995" s="188" t="inlineStr">
        <is>
          <t>NONE</t>
        </is>
      </c>
      <c r="AC995" s="188" t="n">
        <v>0</v>
      </c>
      <c r="AD995" s="188" t="inlineStr"/>
    </row>
    <row r="996">
      <c r="A996" s="187" t="inlineStr">
        <is>
          <t>CVE</t>
        </is>
      </c>
      <c r="B996" s="187" t="inlineStr">
        <is>
          <t>CVE-2026-2977</t>
        </is>
      </c>
      <c r="C996" s="187" t="inlineStr">
        <is>
          <t>A security vulnerability has been detected in FastApiAdmin up to 2.2.0. This affects the function upload_controller of the file /backend/app/api/v1/module_common/file/controller.py of the component Scheduled Task API. Such manipulation leads to unrestricted upload. It is possible to launch the attack remotely. The exploit has been disclosed publicly and may be used.</t>
        </is>
      </c>
      <c r="D996" s="187" t="n">
        <v>6.3</v>
      </c>
      <c r="E996" s="187" t="inlineStr">
        <is>
          <t>MEDIUM</t>
        </is>
      </c>
      <c r="F996" s="187" t="n">
        <v>2</v>
      </c>
      <c r="G996" s="187" t="n">
        <v>2</v>
      </c>
      <c r="H996" s="187" t="inlineStr">
        <is>
          <t>MEDIUM</t>
        </is>
      </c>
      <c r="I996" s="187" t="n">
        <v>10.3</v>
      </c>
      <c r="J996" s="187" t="inlineStr">
        <is>
          <t>NO</t>
        </is>
      </c>
      <c r="K996" s="187" t="inlineStr">
        <is>
          <t>https://nvd.nist.gov/vuln/detail/CVE-2026-2977</t>
        </is>
      </c>
      <c r="L996" s="187" t="inlineStr">
        <is>
          <t>2026-02-26 00:15</t>
        </is>
      </c>
      <c r="M996" s="187" t="inlineStr">
        <is>
          <t>CHECK_VENDOR</t>
        </is>
      </c>
      <c r="N996" s="187" t="inlineStr">
        <is>
          <t>See NVD references</t>
        </is>
      </c>
      <c r="O996" s="187" t="inlineStr">
        <is>
          <t>Apply vendor patches</t>
        </is>
      </c>
      <c r="P996" s="187" t="inlineStr">
        <is>
          <t>fastapiadmin fastapi-admin 2.0 | fastapiadmin fastapi-admin 2.2.0 | fastapiadmin fastapi-admin 2.1</t>
        </is>
      </c>
      <c r="Q996" s="187" t="inlineStr">
        <is>
          <t>P4</t>
        </is>
      </c>
      <c r="R996" s="187" t="inlineStr">
        <is>
          <t>📅 Schedule patch deployment within 30 days | 🔍 Monitor for exploitation attempts</t>
        </is>
      </c>
      <c r="S996" s="187" t="inlineStr">
        <is>
          <t>CVE - IP enrichment n/a</t>
        </is>
      </c>
      <c r="T996" s="187" t="n">
        <v>0</v>
      </c>
      <c r="U996" s="187" t="n">
        <v>0</v>
      </c>
      <c r="V996" s="187" t="inlineStr">
        <is>
          <t>T1190:Exploit Public-Facing Application</t>
        </is>
      </c>
      <c r="W996" s="187" t="n">
        <v>1</v>
      </c>
      <c r="X996" s="187" t="inlineStr">
        <is>
          <t>LOW (40%)</t>
        </is>
      </c>
      <c r="Y996" s="187" t="inlineStr">
        <is>
          <t>UNLIKELY</t>
        </is>
      </c>
      <c r="Z996" s="187" t="inlineStr">
        <is>
          <t>CHECK_VENDOR</t>
        </is>
      </c>
      <c r="AA996" s="187" t="inlineStr">
        <is>
          <t>https://nvd.nist.gov/vuln/detail/CVE-2026-2977</t>
        </is>
      </c>
      <c r="AB996" s="187" t="inlineStr">
        <is>
          <t>NONE</t>
        </is>
      </c>
      <c r="AC996" s="187" t="n">
        <v>0</v>
      </c>
      <c r="AD996" s="187" t="inlineStr"/>
    </row>
    <row r="997">
      <c r="A997" s="187" t="inlineStr">
        <is>
          <t>CVE</t>
        </is>
      </c>
      <c r="B997" s="187" t="inlineStr">
        <is>
          <t>CVE-2026-2978</t>
        </is>
      </c>
      <c r="C997" s="187" t="inlineStr">
        <is>
          <t>A vulnerability was detected in FastApiAdmin up to 2.2.0. This vulnerability affects the function upload_file_controller of the file /backend/app/api/v1/module_system/params/controller.py of the component Scheduled Task API. Performing a manipulation results in unrestricted upload. The attack can be initiated remotely. The exploit is now public and may be used.</t>
        </is>
      </c>
      <c r="D997" s="187" t="n">
        <v>6.3</v>
      </c>
      <c r="E997" s="187" t="inlineStr">
        <is>
          <t>MEDIUM</t>
        </is>
      </c>
      <c r="F997" s="187" t="n">
        <v>2</v>
      </c>
      <c r="G997" s="187" t="n">
        <v>2</v>
      </c>
      <c r="H997" s="187" t="inlineStr">
        <is>
          <t>MEDIUM</t>
        </is>
      </c>
      <c r="I997" s="187" t="n">
        <v>10.3</v>
      </c>
      <c r="J997" s="187" t="inlineStr">
        <is>
          <t>NO</t>
        </is>
      </c>
      <c r="K997" s="187" t="inlineStr">
        <is>
          <t>https://nvd.nist.gov/vuln/detail/CVE-2026-2978</t>
        </is>
      </c>
      <c r="L997" s="187" t="inlineStr">
        <is>
          <t>2026-02-26 00:15</t>
        </is>
      </c>
      <c r="M997" s="187" t="inlineStr">
        <is>
          <t>CHECK_VENDOR</t>
        </is>
      </c>
      <c r="N997" s="187" t="inlineStr">
        <is>
          <t>See NVD references</t>
        </is>
      </c>
      <c r="O997" s="187" t="inlineStr">
        <is>
          <t>Apply vendor patches</t>
        </is>
      </c>
      <c r="P997" s="187" t="inlineStr">
        <is>
          <t>fastapiadmin fastapi-admin 2.0 | fastapiadmin fastapi-admin 2.2.0 | fastapiadmin fastapi-admin 2.1</t>
        </is>
      </c>
      <c r="Q997" s="187" t="inlineStr">
        <is>
          <t>P4</t>
        </is>
      </c>
      <c r="R997" s="187" t="inlineStr">
        <is>
          <t>📅 Schedule patch deployment within 30 days | 🔍 Monitor for exploitation attempts</t>
        </is>
      </c>
      <c r="S997" s="187" t="inlineStr">
        <is>
          <t>CVE - IP enrichment n/a</t>
        </is>
      </c>
      <c r="T997" s="187" t="n">
        <v>0</v>
      </c>
      <c r="U997" s="187" t="n">
        <v>0</v>
      </c>
      <c r="V997" s="187" t="inlineStr">
        <is>
          <t>T1190:Exploit Public-Facing Application</t>
        </is>
      </c>
      <c r="W997" s="187" t="n">
        <v>1</v>
      </c>
      <c r="X997" s="187" t="inlineStr">
        <is>
          <t>LOW (40%)</t>
        </is>
      </c>
      <c r="Y997" s="187" t="inlineStr">
        <is>
          <t>UNLIKELY</t>
        </is>
      </c>
      <c r="Z997" s="187" t="inlineStr">
        <is>
          <t>CHECK_VENDOR</t>
        </is>
      </c>
      <c r="AA997" s="187" t="inlineStr">
        <is>
          <t>https://nvd.nist.gov/vuln/detail/CVE-2026-2978</t>
        </is>
      </c>
      <c r="AB997" s="187" t="inlineStr">
        <is>
          <t>NONE</t>
        </is>
      </c>
      <c r="AC997" s="187" t="n">
        <v>0</v>
      </c>
      <c r="AD997" s="187" t="inlineStr"/>
    </row>
    <row r="998">
      <c r="A998" s="189" t="inlineStr">
        <is>
          <t>CVE</t>
        </is>
      </c>
      <c r="B998" s="189" t="inlineStr">
        <is>
          <t>CVE-2026-23552</t>
        </is>
      </c>
      <c r="C998" s="189" t="inlineStr">
        <is>
          <t>Cross-Realm Token Acceptance Bypass in KeycloakSecurityPolicy Apache Camel Keycloak component. 
The Camel-Keycloak KeycloakSecurityPolicy does not validate the iss (issuer) claim of JWT tokens against the configured realm. A token issued by one Keycloak realm is silently accepted by a policy configured for a completely different realm, breaking tenant isolation.
This issue affects Apache Camel: from 4.15.0 before 4.18.0.
Users are recommended to upgrade to version 4.18.0, which fixes the issue</t>
        </is>
      </c>
      <c r="D998" s="189" t="n">
        <v>9.1</v>
      </c>
      <c r="E998" s="189" t="inlineStr">
        <is>
          <t>CRITICAL</t>
        </is>
      </c>
      <c r="F998" s="189" t="n">
        <v>2</v>
      </c>
      <c r="G998" s="189" t="n">
        <v>3</v>
      </c>
      <c r="H998" s="189" t="inlineStr">
        <is>
          <t>HIGH</t>
        </is>
      </c>
      <c r="I998" s="189" t="n">
        <v>15.1</v>
      </c>
      <c r="J998" s="189" t="inlineStr">
        <is>
          <t>NO</t>
        </is>
      </c>
      <c r="K998" s="189" t="inlineStr">
        <is>
          <t>https://nvd.nist.gov/vuln/detail/CVE-2026-23552</t>
        </is>
      </c>
      <c r="L998" s="189" t="inlineStr">
        <is>
          <t>2026-02-26 00:15</t>
        </is>
      </c>
      <c r="M998" s="189" t="inlineStr">
        <is>
          <t>CHECK_VENDOR</t>
        </is>
      </c>
      <c r="N998" s="189" t="inlineStr">
        <is>
          <t>See NVD references</t>
        </is>
      </c>
      <c r="O998" s="189" t="inlineStr">
        <is>
          <t>Apply vendor patches</t>
        </is>
      </c>
      <c r="P998" s="189" t="inlineStr">
        <is>
          <t>See CVE details</t>
        </is>
      </c>
      <c r="Q998" s="189" t="inlineStr">
        <is>
          <t>P3</t>
        </is>
      </c>
      <c r="R998" s="189" t="inlineStr">
        <is>
          <t>🚨 URGENT: Apply vendor patches immediately | 🔒 Isolate affected systems if patch unavailable | 🛡️ Enable additional monitoring/IDS rules</t>
        </is>
      </c>
      <c r="S998" s="189" t="inlineStr">
        <is>
          <t>CVE - IP enrichment n/a</t>
        </is>
      </c>
      <c r="T998" s="189" t="n">
        <v>0</v>
      </c>
      <c r="U998" s="189" t="n">
        <v>0</v>
      </c>
      <c r="V998" s="189" t="inlineStr">
        <is>
          <t>T1190:Exploit Public-Facing Application</t>
        </is>
      </c>
      <c r="W998" s="189" t="n">
        <v>1</v>
      </c>
      <c r="X998" s="189" t="inlineStr">
        <is>
          <t>LOW (40%)</t>
        </is>
      </c>
      <c r="Y998" s="189" t="inlineStr">
        <is>
          <t>UNLIKELY</t>
        </is>
      </c>
      <c r="Z998" s="189" t="inlineStr">
        <is>
          <t>CHECK_VENDOR</t>
        </is>
      </c>
      <c r="AA998" s="189" t="inlineStr">
        <is>
          <t>https://nvd.nist.gov/vuln/detail/CVE-2026-23552</t>
        </is>
      </c>
      <c r="AB998" s="189" t="inlineStr">
        <is>
          <t>NONE</t>
        </is>
      </c>
      <c r="AC998" s="189" t="n">
        <v>0</v>
      </c>
      <c r="AD998" s="189" t="inlineStr"/>
    </row>
    <row r="999">
      <c r="A999" s="187" t="inlineStr">
        <is>
          <t>CVE</t>
        </is>
      </c>
      <c r="B999" s="187" t="inlineStr">
        <is>
          <t>CVE-2026-25747</t>
        </is>
      </c>
      <c r="C999" s="187" t="inlineStr">
        <is>
          <t>Deserialization of Untrusted Data vulnerability in Apache Camel LevelDB component.
The Camel-LevelDB DefaultLevelDBSerializer class deserializes data read from the LevelDB aggregation repository using java.io.ObjectInputStream without applying any ObjectInputFilter or class-loading restrictions. An attacker who can write to the LevelDB database files used by a Camel application can inject a crafted serialized Java object that, when deserialized during normal aggregation repository operations, r</t>
        </is>
      </c>
      <c r="D999" s="187" t="n">
        <v>5</v>
      </c>
      <c r="E999" s="187" t="inlineStr">
        <is>
          <t>MEDIUM</t>
        </is>
      </c>
      <c r="F999" s="187" t="n">
        <v>2</v>
      </c>
      <c r="G999" s="187" t="n">
        <v>2</v>
      </c>
      <c r="H999" s="187" t="inlineStr">
        <is>
          <t>MEDIUM</t>
        </is>
      </c>
      <c r="I999" s="187" t="n">
        <v>9</v>
      </c>
      <c r="J999" s="187" t="inlineStr">
        <is>
          <t>NO</t>
        </is>
      </c>
      <c r="K999" s="187" t="inlineStr">
        <is>
          <t>https://nvd.nist.gov/vuln/detail/CVE-2026-25747</t>
        </is>
      </c>
      <c r="L999" s="187" t="inlineStr">
        <is>
          <t>2026-02-26 00:15</t>
        </is>
      </c>
      <c r="M999" s="187" t="inlineStr">
        <is>
          <t>CHECK_VENDOR</t>
        </is>
      </c>
      <c r="N999" s="187" t="inlineStr">
        <is>
          <t>See NVD references</t>
        </is>
      </c>
      <c r="O999" s="187" t="inlineStr">
        <is>
          <t>Apply vendor patches</t>
        </is>
      </c>
      <c r="P999" s="187" t="inlineStr">
        <is>
          <t>See CVE details</t>
        </is>
      </c>
      <c r="Q999" s="187" t="inlineStr">
        <is>
          <t>P4</t>
        </is>
      </c>
      <c r="R999" s="187" t="inlineStr">
        <is>
          <t>📅 Schedule patch deployment within 30 days | 🔍 Monitor for exploitation attempts</t>
        </is>
      </c>
      <c r="S999" s="187" t="inlineStr">
        <is>
          <t>CVE - IP enrichment n/a</t>
        </is>
      </c>
      <c r="T999" s="187" t="n">
        <v>0</v>
      </c>
      <c r="U999" s="187" t="n">
        <v>0</v>
      </c>
      <c r="V999" s="187" t="inlineStr">
        <is>
          <t>T1059:Command and Scripting Interpreter | T1203:Exploitation for Client Execution</t>
        </is>
      </c>
      <c r="W999" s="187" t="n">
        <v>1</v>
      </c>
      <c r="X999" s="187" t="inlineStr">
        <is>
          <t>LOW (40%)</t>
        </is>
      </c>
      <c r="Y999" s="187" t="inlineStr">
        <is>
          <t>UNLIKELY</t>
        </is>
      </c>
      <c r="Z999" s="187" t="inlineStr">
        <is>
          <t>CHECK_VENDOR</t>
        </is>
      </c>
      <c r="AA999" s="187" t="inlineStr">
        <is>
          <t>https://nvd.nist.gov/vuln/detail/CVE-2026-25747</t>
        </is>
      </c>
      <c r="AB999" s="187" t="inlineStr">
        <is>
          <t>NONE</t>
        </is>
      </c>
      <c r="AC999" s="187" t="n">
        <v>0</v>
      </c>
      <c r="AD999" s="187" t="inlineStr"/>
    </row>
    <row r="1000">
      <c r="A1000" s="187" t="inlineStr">
        <is>
          <t>CVE</t>
        </is>
      </c>
      <c r="B1000" s="187" t="inlineStr">
        <is>
          <t>CVE-2026-26365</t>
        </is>
      </c>
      <c r="C1000" s="187" t="inlineStr">
        <is>
          <t>Akamai Ghost on Akamai CDN edge servers before 2026-02-06 mishandles processing of custom hop-by-hop HTTP headers, where an incoming request containing the header "Connection: Transfer-Encoding" could result in a forward request with invalid message framing, depending on the Akamai processing path. This could result in the origin server parsing the request body incorrectly, leading to HTTP request smuggling.</t>
        </is>
      </c>
      <c r="D1000" s="187" t="n">
        <v>4</v>
      </c>
      <c r="E1000" s="187" t="inlineStr">
        <is>
          <t>MEDIUM</t>
        </is>
      </c>
      <c r="F1000" s="187" t="n">
        <v>2</v>
      </c>
      <c r="G1000" s="187" t="n">
        <v>2</v>
      </c>
      <c r="H1000" s="187" t="inlineStr">
        <is>
          <t>MEDIUM</t>
        </is>
      </c>
      <c r="I1000" s="187" t="n">
        <v>8</v>
      </c>
      <c r="J1000" s="187" t="inlineStr">
        <is>
          <t>NO</t>
        </is>
      </c>
      <c r="K1000" s="187" t="inlineStr">
        <is>
          <t>https://nvd.nist.gov/vuln/detail/CVE-2026-26365</t>
        </is>
      </c>
      <c r="L1000" s="187" t="inlineStr">
        <is>
          <t>2026-02-26 00:15</t>
        </is>
      </c>
      <c r="M1000" s="187" t="inlineStr">
        <is>
          <t>CHECK_VENDOR</t>
        </is>
      </c>
      <c r="N1000" s="187" t="inlineStr">
        <is>
          <t>See NVD references</t>
        </is>
      </c>
      <c r="O1000" s="187" t="inlineStr">
        <is>
          <t>Apply vendor patches</t>
        </is>
      </c>
      <c r="P1000" s="187" t="inlineStr">
        <is>
          <t>See CVE details</t>
        </is>
      </c>
      <c r="Q1000" s="187" t="inlineStr">
        <is>
          <t>P4</t>
        </is>
      </c>
      <c r="R1000" s="187" t="inlineStr">
        <is>
          <t>📅 Schedule patch deployment within 30 days | 🔍 Monitor for exploitation attempts</t>
        </is>
      </c>
      <c r="S1000" s="187" t="inlineStr">
        <is>
          <t>CVE - IP enrichment n/a</t>
        </is>
      </c>
      <c r="T1000" s="187" t="n">
        <v>0</v>
      </c>
      <c r="U1000" s="187" t="n">
        <v>0</v>
      </c>
      <c r="V1000" s="187" t="inlineStr">
        <is>
          <t>T1190:Exploit Public-Facing Application</t>
        </is>
      </c>
      <c r="W1000" s="187" t="n">
        <v>1</v>
      </c>
      <c r="X1000" s="187" t="inlineStr">
        <is>
          <t>LOW (40%)</t>
        </is>
      </c>
      <c r="Y1000" s="187" t="inlineStr">
        <is>
          <t>UNLIKELY</t>
        </is>
      </c>
      <c r="Z1000" s="187" t="inlineStr">
        <is>
          <t>CHECK_VENDOR</t>
        </is>
      </c>
      <c r="AA1000" s="187" t="inlineStr">
        <is>
          <t>https://nvd.nist.gov/vuln/detail/CVE-2026-26365</t>
        </is>
      </c>
      <c r="AB1000" s="187" t="inlineStr">
        <is>
          <t>NONE</t>
        </is>
      </c>
      <c r="AC1000" s="187" t="n">
        <v>0</v>
      </c>
      <c r="AD1000" s="187" t="inlineStr"/>
    </row>
    <row r="1001">
      <c r="A1001" s="187" t="inlineStr">
        <is>
          <t>CVE</t>
        </is>
      </c>
      <c r="B1001" s="187" t="inlineStr">
        <is>
          <t>CVE-2026-2979</t>
        </is>
      </c>
      <c r="C1001" s="187" t="inlineStr">
        <is>
          <t>A flaw has been found in FastApiAdmin up to 2.2.0. This issue affects the function user_avatar_upload_controller of the file /backend/app/api/v1/module_system/user/controller.py of the component Scheduled Task API. Executing a manipulation can lead to unrestricted upload. The attack can be launched remotely. The exploit has been published and may be used.</t>
        </is>
      </c>
      <c r="D1001" s="187" t="n">
        <v>6.3</v>
      </c>
      <c r="E1001" s="187" t="inlineStr">
        <is>
          <t>MEDIUM</t>
        </is>
      </c>
      <c r="F1001" s="187" t="n">
        <v>2</v>
      </c>
      <c r="G1001" s="187" t="n">
        <v>2</v>
      </c>
      <c r="H1001" s="187" t="inlineStr">
        <is>
          <t>MEDIUM</t>
        </is>
      </c>
      <c r="I1001" s="187" t="n">
        <v>10.3</v>
      </c>
      <c r="J1001" s="187" t="inlineStr">
        <is>
          <t>NO</t>
        </is>
      </c>
      <c r="K1001" s="187" t="inlineStr">
        <is>
          <t>https://nvd.nist.gov/vuln/detail/CVE-2026-2979</t>
        </is>
      </c>
      <c r="L1001" s="187" t="inlineStr">
        <is>
          <t>2026-02-26 00:15</t>
        </is>
      </c>
      <c r="M1001" s="187" t="inlineStr">
        <is>
          <t>CHECK_VENDOR</t>
        </is>
      </c>
      <c r="N1001" s="187" t="inlineStr">
        <is>
          <t>See NVD references</t>
        </is>
      </c>
      <c r="O1001" s="187" t="inlineStr">
        <is>
          <t>Apply vendor patches</t>
        </is>
      </c>
      <c r="P1001" s="187" t="inlineStr">
        <is>
          <t>fastapiadmin fastapi-admin 2.0 | fastapiadmin fastapi-admin 2.2.0 | fastapiadmin fastapi-admin 2.1</t>
        </is>
      </c>
      <c r="Q1001" s="187" t="inlineStr">
        <is>
          <t>P4</t>
        </is>
      </c>
      <c r="R1001" s="187" t="inlineStr">
        <is>
          <t>📅 Schedule patch deployment within 30 days | 🔍 Monitor for exploitation attempts</t>
        </is>
      </c>
      <c r="S1001" s="187" t="inlineStr">
        <is>
          <t>CVE - IP enrichment n/a</t>
        </is>
      </c>
      <c r="T1001" s="187" t="n">
        <v>0</v>
      </c>
      <c r="U1001" s="187" t="n">
        <v>0</v>
      </c>
      <c r="V1001" s="187" t="inlineStr">
        <is>
          <t>T1190:Exploit Public-Facing Application</t>
        </is>
      </c>
      <c r="W1001" s="187" t="n">
        <v>1</v>
      </c>
      <c r="X1001" s="187" t="inlineStr">
        <is>
          <t>LOW (40%)</t>
        </is>
      </c>
      <c r="Y1001" s="187" t="inlineStr">
        <is>
          <t>UNLIKELY</t>
        </is>
      </c>
      <c r="Z1001" s="187" t="inlineStr">
        <is>
          <t>CHECK_VENDOR</t>
        </is>
      </c>
      <c r="AA1001" s="187" t="inlineStr">
        <is>
          <t>https://nvd.nist.gov/vuln/detail/CVE-2026-2979</t>
        </is>
      </c>
      <c r="AB1001" s="187" t="inlineStr">
        <is>
          <t>NONE</t>
        </is>
      </c>
      <c r="AC1001" s="187" t="n">
        <v>0</v>
      </c>
      <c r="AD1001" s="187" t="inlineStr"/>
    </row>
    <row r="1002">
      <c r="A1002" s="188" t="inlineStr">
        <is>
          <t>CVE</t>
        </is>
      </c>
      <c r="B1002" s="188" t="inlineStr">
        <is>
          <t>CVE-2026-2980</t>
        </is>
      </c>
      <c r="C1002" s="188" t="inlineStr">
        <is>
          <t>A vulnerability has been found in UTT HiPER 810G up to 1.7.7-1711. Impacted is the function strcpy of the file /goform/setSysAdm. The manipulation of the argument passwd1 leads to buffer overflow. The attack may be initiated remotely. The exploit has been disclosed to the public and may be used.</t>
        </is>
      </c>
      <c r="D1002" s="188" t="n">
        <v>7.2</v>
      </c>
      <c r="E1002" s="188" t="inlineStr">
        <is>
          <t>HIGH</t>
        </is>
      </c>
      <c r="F1002" s="188" t="n">
        <v>2</v>
      </c>
      <c r="G1002" s="188" t="n">
        <v>3</v>
      </c>
      <c r="H1002" s="188" t="inlineStr">
        <is>
          <t>HIGH</t>
        </is>
      </c>
      <c r="I1002" s="188" t="n">
        <v>13.2</v>
      </c>
      <c r="J1002" s="188" t="inlineStr">
        <is>
          <t>NO</t>
        </is>
      </c>
      <c r="K1002" s="188" t="inlineStr">
        <is>
          <t>https://nvd.nist.gov/vuln/detail/CVE-2026-2980</t>
        </is>
      </c>
      <c r="L1002" s="188" t="inlineStr">
        <is>
          <t>2026-02-26 00:15</t>
        </is>
      </c>
      <c r="M1002" s="188" t="inlineStr">
        <is>
          <t>CHECK_VENDOR</t>
        </is>
      </c>
      <c r="N1002" s="188" t="inlineStr">
        <is>
          <t>See NVD references</t>
        </is>
      </c>
      <c r="O1002" s="188" t="inlineStr">
        <is>
          <t>Apply vendor patches</t>
        </is>
      </c>
      <c r="P1002" s="188" t="inlineStr">
        <is>
          <t>utt 810g_firmware * | utt 810g 3.0</t>
        </is>
      </c>
      <c r="Q1002" s="188" t="inlineStr">
        <is>
          <t>P3</t>
        </is>
      </c>
      <c r="R1002" s="188" t="inlineStr">
        <is>
          <t>🚨 URGENT: Apply vendor patches immediately | 🔒 Isolate affected systems if patch unavailable | 🛡️ Enable additional monitoring/IDS rules</t>
        </is>
      </c>
      <c r="S1002" s="188" t="inlineStr">
        <is>
          <t>CVE - IP enrichment n/a</t>
        </is>
      </c>
      <c r="T1002" s="188" t="n">
        <v>0</v>
      </c>
      <c r="U1002" s="188" t="n">
        <v>0</v>
      </c>
      <c r="V1002" s="188" t="inlineStr">
        <is>
          <t>T1203:Exploitation for Client Execution</t>
        </is>
      </c>
      <c r="W1002" s="188" t="n">
        <v>1</v>
      </c>
      <c r="X1002" s="188" t="inlineStr">
        <is>
          <t>LOW (40%)</t>
        </is>
      </c>
      <c r="Y1002" s="188" t="inlineStr">
        <is>
          <t>UNLIKELY</t>
        </is>
      </c>
      <c r="Z1002" s="188" t="inlineStr">
        <is>
          <t>CHECK_VENDOR</t>
        </is>
      </c>
      <c r="AA1002" s="188" t="inlineStr">
        <is>
          <t>https://nvd.nist.gov/vuln/detail/CVE-2026-2980</t>
        </is>
      </c>
      <c r="AB1002" s="188" t="inlineStr">
        <is>
          <t>NONE</t>
        </is>
      </c>
      <c r="AC1002" s="188" t="n">
        <v>0</v>
      </c>
      <c r="AD1002" s="188" t="inlineStr"/>
    </row>
    <row r="1003">
      <c r="A1003" s="188" t="inlineStr">
        <is>
          <t>CVE</t>
        </is>
      </c>
      <c r="B1003" s="188" t="inlineStr">
        <is>
          <t>CVE-2026-2981</t>
        </is>
      </c>
      <c r="C1003" s="188" t="inlineStr">
        <is>
          <t>A vulnerability was found in UTT HiPER 810G up to 1.7.7-1711. The affected element is the function strcpy of the file /goform/formTaskEdit_ap. The manipulation of the argument txtMin2 results in buffer overflow. The attack may be launched remotely. The exploit has been made public and could be used.</t>
        </is>
      </c>
      <c r="D1003" s="188" t="n">
        <v>8.800000000000001</v>
      </c>
      <c r="E1003" s="188" t="inlineStr">
        <is>
          <t>HIGH</t>
        </is>
      </c>
      <c r="F1003" s="188" t="n">
        <v>2</v>
      </c>
      <c r="G1003" s="188" t="n">
        <v>3</v>
      </c>
      <c r="H1003" s="188" t="inlineStr">
        <is>
          <t>HIGH</t>
        </is>
      </c>
      <c r="I1003" s="188" t="n">
        <v>14.8</v>
      </c>
      <c r="J1003" s="188" t="inlineStr">
        <is>
          <t>NO</t>
        </is>
      </c>
      <c r="K1003" s="188" t="inlineStr">
        <is>
          <t>https://nvd.nist.gov/vuln/detail/CVE-2026-2981</t>
        </is>
      </c>
      <c r="L1003" s="188" t="inlineStr">
        <is>
          <t>2026-02-26 00:15</t>
        </is>
      </c>
      <c r="M1003" s="188" t="inlineStr">
        <is>
          <t>CHECK_VENDOR</t>
        </is>
      </c>
      <c r="N1003" s="188" t="inlineStr">
        <is>
          <t>See NVD references</t>
        </is>
      </c>
      <c r="O1003" s="188" t="inlineStr">
        <is>
          <t>Apply vendor patches</t>
        </is>
      </c>
      <c r="P1003" s="188" t="inlineStr">
        <is>
          <t>utt 810g_firmware * | utt 810g 3.0</t>
        </is>
      </c>
      <c r="Q1003" s="188" t="inlineStr">
        <is>
          <t>P3</t>
        </is>
      </c>
      <c r="R1003" s="188" t="inlineStr">
        <is>
          <t>🚨 URGENT: Apply vendor patches immediately | 🔒 Isolate affected systems if patch unavailable | 🛡️ Enable additional monitoring/IDS rules</t>
        </is>
      </c>
      <c r="S1003" s="188" t="inlineStr">
        <is>
          <t>CVE - IP enrichment n/a</t>
        </is>
      </c>
      <c r="T1003" s="188" t="n">
        <v>0</v>
      </c>
      <c r="U1003" s="188" t="n">
        <v>0</v>
      </c>
      <c r="V1003" s="188" t="inlineStr">
        <is>
          <t>T1203:Exploitation for Client Execution</t>
        </is>
      </c>
      <c r="W1003" s="188" t="n">
        <v>1</v>
      </c>
      <c r="X1003" s="188" t="inlineStr">
        <is>
          <t>LOW (40%)</t>
        </is>
      </c>
      <c r="Y1003" s="188" t="inlineStr">
        <is>
          <t>UNLIKELY</t>
        </is>
      </c>
      <c r="Z1003" s="188" t="inlineStr">
        <is>
          <t>CHECK_VENDOR</t>
        </is>
      </c>
      <c r="AA1003" s="188" t="inlineStr">
        <is>
          <t>https://nvd.nist.gov/vuln/detail/CVE-2026-2981</t>
        </is>
      </c>
      <c r="AB1003" s="188" t="inlineStr">
        <is>
          <t>NONE</t>
        </is>
      </c>
      <c r="AC1003" s="188" t="n">
        <v>0</v>
      </c>
      <c r="AD1003" s="188" t="inlineStr"/>
    </row>
    <row r="1004">
      <c r="A1004" s="188" t="inlineStr">
        <is>
          <t>CVE</t>
        </is>
      </c>
      <c r="B1004" s="188" t="inlineStr">
        <is>
          <t>CVE-2025-41002</t>
        </is>
      </c>
      <c r="C1004" s="188" t="inlineStr">
        <is>
          <t>SQL injection vulnerability in Infoticketing. This vulnerability allows
 an unauthenticated attacker to retrieve, create, update, and delete the
 database by sending a POST request using the 'code' parameter in '/components/cart/cartApplyDiscount.php'.</t>
        </is>
      </c>
      <c r="D1004" s="188" t="n">
        <v>8.5</v>
      </c>
      <c r="E1004" s="188" t="inlineStr">
        <is>
          <t>HIGH</t>
        </is>
      </c>
      <c r="F1004" s="188" t="n">
        <v>2</v>
      </c>
      <c r="G1004" s="188" t="n">
        <v>3</v>
      </c>
      <c r="H1004" s="188" t="inlineStr">
        <is>
          <t>HIGH</t>
        </is>
      </c>
      <c r="I1004" s="188" t="n">
        <v>14.5</v>
      </c>
      <c r="J1004" s="188" t="inlineStr">
        <is>
          <t>NO</t>
        </is>
      </c>
      <c r="K1004" s="188" t="inlineStr">
        <is>
          <t>https://nvd.nist.gov/vuln/detail/CVE-2025-41002</t>
        </is>
      </c>
      <c r="L1004" s="188" t="inlineStr">
        <is>
          <t>2026-02-26 00:15</t>
        </is>
      </c>
      <c r="M1004" s="188" t="inlineStr">
        <is>
          <t>CHECK_VENDOR</t>
        </is>
      </c>
      <c r="N1004" s="188" t="inlineStr">
        <is>
          <t>See NVD references</t>
        </is>
      </c>
      <c r="O1004" s="188" t="inlineStr">
        <is>
          <t>Apply vendor patches</t>
        </is>
      </c>
      <c r="P1004" s="188" t="inlineStr">
        <is>
          <t>See CVE details</t>
        </is>
      </c>
      <c r="Q1004" s="188" t="inlineStr">
        <is>
          <t>P3</t>
        </is>
      </c>
      <c r="R1004" s="188" t="inlineStr">
        <is>
          <t>🚨 URGENT: Apply vendor patches immediately | 🔒 Isolate affected systems if patch unavailable | 🛡️ Enable additional monitoring/IDS rules</t>
        </is>
      </c>
      <c r="S1004" s="188" t="inlineStr">
        <is>
          <t>CVE - IP enrichment n/a</t>
        </is>
      </c>
      <c r="T1004" s="188" t="n">
        <v>0</v>
      </c>
      <c r="U1004" s="188" t="n">
        <v>0</v>
      </c>
      <c r="V1004" s="188" t="inlineStr">
        <is>
          <t>T1190:Exploit Public-Facing Application</t>
        </is>
      </c>
      <c r="W1004" s="188" t="n">
        <v>1</v>
      </c>
      <c r="X1004" s="188" t="inlineStr">
        <is>
          <t>LOW (40%)</t>
        </is>
      </c>
      <c r="Y1004" s="188" t="inlineStr">
        <is>
          <t>UNLIKELY</t>
        </is>
      </c>
      <c r="Z1004" s="188" t="inlineStr">
        <is>
          <t>CHECK_VENDOR</t>
        </is>
      </c>
      <c r="AA1004" s="188" t="inlineStr">
        <is>
          <t>https://nvd.nist.gov/vuln/detail/CVE-2025-41002</t>
        </is>
      </c>
      <c r="AB1004" s="188" t="inlineStr">
        <is>
          <t>NONE</t>
        </is>
      </c>
      <c r="AC1004" s="188" t="n">
        <v>0</v>
      </c>
      <c r="AD1004" s="188" t="inlineStr"/>
    </row>
    <row r="1005">
      <c r="A1005" s="188" t="inlineStr">
        <is>
          <t>CVE</t>
        </is>
      </c>
      <c r="B1005" s="188" t="inlineStr">
        <is>
          <t>CVE-2026-2983</t>
        </is>
      </c>
      <c r="C1005" s="188" t="inlineStr">
        <is>
          <t>A vulnerability was determined in SourceCodester Student Result Management System 1.0. The impacted element is an unknown function of the file /admin/core/import_users.php of the component Bulk Import. This manipulation of the argument File causes improper access controls. Remote exploitation of the attack is possible. The exploit has been publicly disclosed and may be utilized.</t>
        </is>
      </c>
      <c r="D1005" s="188" t="n">
        <v>7.3</v>
      </c>
      <c r="E1005" s="188" t="inlineStr">
        <is>
          <t>HIGH</t>
        </is>
      </c>
      <c r="F1005" s="188" t="n">
        <v>2</v>
      </c>
      <c r="G1005" s="188" t="n">
        <v>3</v>
      </c>
      <c r="H1005" s="188" t="inlineStr">
        <is>
          <t>HIGH</t>
        </is>
      </c>
      <c r="I1005" s="188" t="n">
        <v>13.3</v>
      </c>
      <c r="J1005" s="188" t="inlineStr">
        <is>
          <t>NO</t>
        </is>
      </c>
      <c r="K1005" s="188" t="inlineStr">
        <is>
          <t>https://nvd.nist.gov/vuln/detail/CVE-2026-2983</t>
        </is>
      </c>
      <c r="L1005" s="188" t="inlineStr">
        <is>
          <t>2026-02-26 00:15</t>
        </is>
      </c>
      <c r="M1005" s="188" t="inlineStr">
        <is>
          <t>YES</t>
        </is>
      </c>
      <c r="N1005" s="188" t="inlineStr">
        <is>
          <t>https://github.com/Shaon-Xis/SRMS-1.0---Unauthenticated-SMTP-Hijacking-to-Account-Takeover#-vulnerability-2-unauthenticated-bulk-account-injection-arbitrary-file-upload</t>
        </is>
      </c>
      <c r="O1005" s="188" t="inlineStr">
        <is>
          <t>https://github.com/Shaon-Xis/SRMS-1.0---Unauthenticated-SMTP-Hijacking-to-Account-Takeover#-vulnerability-2-unauthenticated-bulk-account-injection-arbitrary-file-upload</t>
        </is>
      </c>
      <c r="P1005" s="188" t="inlineStr">
        <is>
          <t>munyweki student_result_management_system 1.0</t>
        </is>
      </c>
      <c r="Q1005" s="188" t="inlineStr">
        <is>
          <t>P3</t>
        </is>
      </c>
      <c r="R1005" s="188" t="inlineStr">
        <is>
          <t>🚨 URGENT: Apply vendor patches immediately | 🔒 Isolate affected systems if patch unavailable | 🛡️ Enable additional monitoring/IDS rules</t>
        </is>
      </c>
      <c r="S1005" s="188" t="inlineStr">
        <is>
          <t>CVE - IP enrichment n/a</t>
        </is>
      </c>
      <c r="T1005" s="188" t="n">
        <v>0</v>
      </c>
      <c r="U1005" s="188" t="n">
        <v>0</v>
      </c>
      <c r="V1005" s="188" t="inlineStr">
        <is>
          <t>T1190:Exploit Public-Facing Application</t>
        </is>
      </c>
      <c r="W1005" s="188" t="n">
        <v>1</v>
      </c>
      <c r="X1005" s="188" t="inlineStr">
        <is>
          <t>LOW (40%)</t>
        </is>
      </c>
      <c r="Y1005" s="188" t="inlineStr">
        <is>
          <t>UNLIKELY</t>
        </is>
      </c>
      <c r="Z1005" s="188" t="inlineStr">
        <is>
          <t>PATCH_AVAILABLE</t>
        </is>
      </c>
      <c r="AA1005" s="188" t="inlineStr">
        <is>
          <t>https://nvd.nist.gov/vuln/detail/CVE-2026-2983</t>
        </is>
      </c>
      <c r="AB1005" s="188" t="inlineStr">
        <is>
          <t>NONE</t>
        </is>
      </c>
      <c r="AC1005" s="188" t="n">
        <v>0</v>
      </c>
      <c r="AD1005" s="188" t="inlineStr"/>
    </row>
    <row r="1006">
      <c r="A1006" s="187" t="inlineStr">
        <is>
          <t>CVE</t>
        </is>
      </c>
      <c r="B1006" s="187" t="inlineStr">
        <is>
          <t>CVE-2025-40701</t>
        </is>
      </c>
      <c r="C1006" s="187" t="inlineStr">
        <is>
          <t>Reflected Cross-Site Scripting vulnerability in SOTESHOP, version 8.3.4. THis vulnerability allows an attacker execute JavaScript code in the victim's browser when a malicious URL with the 'id' parameter in '/adsTracker/checkAds' is sent to the victim. The vulnerability can be exploited to steal sensitive user information such as session cookies, or to perform actions on their behalf.</t>
        </is>
      </c>
      <c r="D1006" s="187" t="n">
        <v>5</v>
      </c>
      <c r="E1006" s="187" t="inlineStr">
        <is>
          <t>MEDIUM</t>
        </is>
      </c>
      <c r="F1006" s="187" t="n">
        <v>2</v>
      </c>
      <c r="G1006" s="187" t="n">
        <v>2</v>
      </c>
      <c r="H1006" s="187" t="inlineStr">
        <is>
          <t>MEDIUM</t>
        </is>
      </c>
      <c r="I1006" s="187" t="n">
        <v>9</v>
      </c>
      <c r="J1006" s="187" t="inlineStr">
        <is>
          <t>NO</t>
        </is>
      </c>
      <c r="K1006" s="187" t="inlineStr">
        <is>
          <t>https://nvd.nist.gov/vuln/detail/CVE-2025-40701</t>
        </is>
      </c>
      <c r="L1006" s="187" t="inlineStr">
        <is>
          <t>2026-02-26 00:15</t>
        </is>
      </c>
      <c r="M1006" s="187" t="inlineStr">
        <is>
          <t>CHECK_VENDOR</t>
        </is>
      </c>
      <c r="N1006" s="187" t="inlineStr">
        <is>
          <t>See NVD references</t>
        </is>
      </c>
      <c r="O1006" s="187" t="inlineStr">
        <is>
          <t>Apply vendor patches</t>
        </is>
      </c>
      <c r="P1006" s="187" t="inlineStr">
        <is>
          <t>See CVE details</t>
        </is>
      </c>
      <c r="Q1006" s="187" t="inlineStr">
        <is>
          <t>P4</t>
        </is>
      </c>
      <c r="R1006" s="187" t="inlineStr">
        <is>
          <t>📅 Schedule patch deployment within 30 days | 🔍 Monitor for exploitation attempts</t>
        </is>
      </c>
      <c r="S1006" s="187" t="inlineStr">
        <is>
          <t>CVE - IP enrichment n/a</t>
        </is>
      </c>
      <c r="T1006" s="187" t="n">
        <v>0</v>
      </c>
      <c r="U1006" s="187" t="n">
        <v>0</v>
      </c>
      <c r="V1006" s="187" t="inlineStr">
        <is>
          <t>T1189:Drive-by Compromise</t>
        </is>
      </c>
      <c r="W1006" s="187" t="n">
        <v>1</v>
      </c>
      <c r="X1006" s="187" t="inlineStr">
        <is>
          <t>LOW (40%)</t>
        </is>
      </c>
      <c r="Y1006" s="187" t="inlineStr">
        <is>
          <t>UNLIKELY</t>
        </is>
      </c>
      <c r="Z1006" s="187" t="inlineStr">
        <is>
          <t>CHECK_VENDOR</t>
        </is>
      </c>
      <c r="AA1006" s="187" t="inlineStr">
        <is>
          <t>https://nvd.nist.gov/vuln/detail/CVE-2025-40701</t>
        </is>
      </c>
      <c r="AB1006" s="187" t="inlineStr">
        <is>
          <t>NONE</t>
        </is>
      </c>
      <c r="AC1006" s="187" t="n">
        <v>0</v>
      </c>
      <c r="AD1006" s="187" t="inlineStr"/>
    </row>
    <row r="1007">
      <c r="A1007" s="187" t="inlineStr">
        <is>
          <t>CVE</t>
        </is>
      </c>
      <c r="B1007" s="187" t="inlineStr">
        <is>
          <t>CVE-2025-40986</t>
        </is>
      </c>
      <c r="C1007" s="187" t="inlineStr">
        <is>
          <t>Reflected Cross-Site Scripting (XSS) vulnerability in PideTuCita. This vulnerability allows an attacker to execute JavaScript code in the victim's browser by sending him/her a malicious URL using the endpoint 'cookies/indes.php/ '. This vulnerability can be exploited to steal confidential user data, such as session cookies or to perform actions on behalf of the user.</t>
        </is>
      </c>
      <c r="D1007" s="187" t="n">
        <v>5</v>
      </c>
      <c r="E1007" s="187" t="inlineStr">
        <is>
          <t>MEDIUM</t>
        </is>
      </c>
      <c r="F1007" s="187" t="n">
        <v>2</v>
      </c>
      <c r="G1007" s="187" t="n">
        <v>2</v>
      </c>
      <c r="H1007" s="187" t="inlineStr">
        <is>
          <t>MEDIUM</t>
        </is>
      </c>
      <c r="I1007" s="187" t="n">
        <v>9</v>
      </c>
      <c r="J1007" s="187" t="inlineStr">
        <is>
          <t>NO</t>
        </is>
      </c>
      <c r="K1007" s="187" t="inlineStr">
        <is>
          <t>https://nvd.nist.gov/vuln/detail/CVE-2025-40986</t>
        </is>
      </c>
      <c r="L1007" s="187" t="inlineStr">
        <is>
          <t>2026-02-26 00:15</t>
        </is>
      </c>
      <c r="M1007" s="187" t="inlineStr">
        <is>
          <t>CHECK_VENDOR</t>
        </is>
      </c>
      <c r="N1007" s="187" t="inlineStr">
        <is>
          <t>See NVD references</t>
        </is>
      </c>
      <c r="O1007" s="187" t="inlineStr">
        <is>
          <t>Apply vendor patches</t>
        </is>
      </c>
      <c r="P1007" s="187" t="inlineStr">
        <is>
          <t>See CVE details</t>
        </is>
      </c>
      <c r="Q1007" s="187" t="inlineStr">
        <is>
          <t>P4</t>
        </is>
      </c>
      <c r="R1007" s="187" t="inlineStr">
        <is>
          <t>📅 Schedule patch deployment within 30 days | 🔍 Monitor for exploitation attempts</t>
        </is>
      </c>
      <c r="S1007" s="187" t="inlineStr">
        <is>
          <t>CVE - IP enrichment n/a</t>
        </is>
      </c>
      <c r="T1007" s="187" t="n">
        <v>0.0001</v>
      </c>
      <c r="U1007" s="187" t="n">
        <v>0.0302</v>
      </c>
      <c r="V1007" s="187" t="inlineStr">
        <is>
          <t>T1189:Drive-by Compromise</t>
        </is>
      </c>
      <c r="W1007" s="187" t="n">
        <v>1</v>
      </c>
      <c r="X1007" s="187" t="inlineStr">
        <is>
          <t>LOW (40%)</t>
        </is>
      </c>
      <c r="Y1007" s="187" t="inlineStr">
        <is>
          <t>UNLIKELY</t>
        </is>
      </c>
      <c r="Z1007" s="187" t="inlineStr">
        <is>
          <t>CHECK_VENDOR</t>
        </is>
      </c>
      <c r="AA1007" s="187" t="inlineStr">
        <is>
          <t>https://nvd.nist.gov/vuln/detail/CVE-2025-40986</t>
        </is>
      </c>
      <c r="AB1007" s="187" t="inlineStr">
        <is>
          <t>NONE</t>
        </is>
      </c>
      <c r="AC1007" s="187" t="n">
        <v>0</v>
      </c>
      <c r="AD1007" s="187" t="inlineStr"/>
    </row>
    <row r="1008">
      <c r="A1008" s="187" t="inlineStr">
        <is>
          <t>CVE</t>
        </is>
      </c>
      <c r="B1008" s="187" t="inlineStr">
        <is>
          <t>CVE-2025-59873</t>
        </is>
      </c>
      <c r="C1008" s="187" t="inlineStr">
        <is>
          <t>An information exposure vulnerability exists in
Vulnerability in HCL Software ZIE for Web.
The application transmits sensitive session tokens and authentication identifiers within the URL query parameters . An attacker who gains access to any network log or operates a site linked from the application can hijack user sessions
This issue affects ZIE for Web: v16.</t>
        </is>
      </c>
      <c r="D1008" s="187" t="n">
        <v>5.9</v>
      </c>
      <c r="E1008" s="187" t="inlineStr">
        <is>
          <t>MEDIUM</t>
        </is>
      </c>
      <c r="F1008" s="187" t="n">
        <v>2</v>
      </c>
      <c r="G1008" s="187" t="n">
        <v>2</v>
      </c>
      <c r="H1008" s="187" t="inlineStr">
        <is>
          <t>MEDIUM</t>
        </is>
      </c>
      <c r="I1008" s="187" t="n">
        <v>9.9</v>
      </c>
      <c r="J1008" s="187" t="inlineStr">
        <is>
          <t>NO</t>
        </is>
      </c>
      <c r="K1008" s="187" t="inlineStr">
        <is>
          <t>https://nvd.nist.gov/vuln/detail/CVE-2025-59873</t>
        </is>
      </c>
      <c r="L1008" s="187" t="inlineStr">
        <is>
          <t>2026-02-26 00:15</t>
        </is>
      </c>
      <c r="M1008" s="187" t="inlineStr">
        <is>
          <t>CHECK_VENDOR</t>
        </is>
      </c>
      <c r="N1008" s="187" t="inlineStr">
        <is>
          <t>See NVD references</t>
        </is>
      </c>
      <c r="O1008" s="187" t="inlineStr">
        <is>
          <t>Apply vendor patches</t>
        </is>
      </c>
      <c r="P1008" s="187" t="inlineStr">
        <is>
          <t>See CVE details</t>
        </is>
      </c>
      <c r="Q1008" s="187" t="inlineStr">
        <is>
          <t>P4</t>
        </is>
      </c>
      <c r="R1008" s="187" t="inlineStr">
        <is>
          <t>📅 Schedule patch deployment within 30 days | 🔍 Monitor for exploitation attempts</t>
        </is>
      </c>
      <c r="S1008" s="187" t="inlineStr">
        <is>
          <t>CVE - IP enrichment n/a</t>
        </is>
      </c>
      <c r="T1008" s="187" t="n">
        <v>0</v>
      </c>
      <c r="U1008" s="187" t="n">
        <v>0</v>
      </c>
      <c r="V1008" s="187" t="inlineStr">
        <is>
          <t>T1190:Exploit Public-Facing Application</t>
        </is>
      </c>
      <c r="W1008" s="187" t="n">
        <v>1</v>
      </c>
      <c r="X1008" s="187" t="inlineStr">
        <is>
          <t>LOW (40%)</t>
        </is>
      </c>
      <c r="Y1008" s="187" t="inlineStr">
        <is>
          <t>UNLIKELY</t>
        </is>
      </c>
      <c r="Z1008" s="187" t="inlineStr">
        <is>
          <t>CHECK_VENDOR</t>
        </is>
      </c>
      <c r="AA1008" s="187" t="inlineStr">
        <is>
          <t>https://nvd.nist.gov/vuln/detail/CVE-2025-59873</t>
        </is>
      </c>
      <c r="AB1008" s="187" t="inlineStr">
        <is>
          <t>NONE</t>
        </is>
      </c>
      <c r="AC1008" s="187" t="n">
        <v>0</v>
      </c>
      <c r="AD1008" s="187" t="inlineStr"/>
    </row>
    <row r="1009">
      <c r="A1009" s="187" t="inlineStr">
        <is>
          <t>CVE</t>
        </is>
      </c>
      <c r="B1009" s="187" t="inlineStr">
        <is>
          <t>CVE-2026-2984</t>
        </is>
      </c>
      <c r="C1009" s="187" t="inlineStr">
        <is>
          <t>A vulnerability was identified in SourceCodester Student Result Management System 1.0. This affects an unknown function of the file /admin/core/drop_user.php. Such manipulation of the argument ID leads to denial of service. The attack can be executed remotely. The exploit is publicly available and might be used.</t>
        </is>
      </c>
      <c r="D1009" s="187" t="n">
        <v>6.5</v>
      </c>
      <c r="E1009" s="187" t="inlineStr">
        <is>
          <t>MEDIUM</t>
        </is>
      </c>
      <c r="F1009" s="187" t="n">
        <v>2</v>
      </c>
      <c r="G1009" s="187" t="n">
        <v>2</v>
      </c>
      <c r="H1009" s="187" t="inlineStr">
        <is>
          <t>MEDIUM</t>
        </is>
      </c>
      <c r="I1009" s="187" t="n">
        <v>10.5</v>
      </c>
      <c r="J1009" s="187" t="inlineStr">
        <is>
          <t>NO</t>
        </is>
      </c>
      <c r="K1009" s="187" t="inlineStr">
        <is>
          <t>https://nvd.nist.gov/vuln/detail/CVE-2026-2984</t>
        </is>
      </c>
      <c r="L1009" s="187" t="inlineStr">
        <is>
          <t>2026-02-26 00:15</t>
        </is>
      </c>
      <c r="M1009" s="187" t="inlineStr">
        <is>
          <t>YES</t>
        </is>
      </c>
      <c r="N1009" s="187" t="inlineStr">
        <is>
          <t>https://github.com/Shaon-Xis/SRMS-1.0---Unauthenticated-SMTP-Hijacking-to-Account-Takeover#vulnerability-3-unauthenticated-arbitrary-account-deletion-dos</t>
        </is>
      </c>
      <c r="O1009" s="187" t="inlineStr">
        <is>
          <t>https://github.com/Shaon-Xis/SRMS-1.0---Unauthenticated-SMTP-Hijacking-to-Account-Takeover#vulnerability-3-unauthenticated-arbitrary-account-deletion-dos</t>
        </is>
      </c>
      <c r="P1009" s="187" t="inlineStr">
        <is>
          <t>munyweki student_result_management_system 1.0</t>
        </is>
      </c>
      <c r="Q1009" s="187" t="inlineStr">
        <is>
          <t>P4</t>
        </is>
      </c>
      <c r="R1009" s="187" t="inlineStr">
        <is>
          <t>📅 Schedule patch deployment within 30 days | 🔍 Monitor for exploitation attempts</t>
        </is>
      </c>
      <c r="S1009" s="187" t="inlineStr">
        <is>
          <t>CVE - IP enrichment n/a</t>
        </is>
      </c>
      <c r="T1009" s="187" t="n">
        <v>0</v>
      </c>
      <c r="U1009" s="187" t="n">
        <v>0</v>
      </c>
      <c r="V1009" s="187" t="inlineStr">
        <is>
          <t>T1190:Exploit Public-Facing Application | T1499:Endpoint Denial of Service</t>
        </is>
      </c>
      <c r="W1009" s="187" t="n">
        <v>1</v>
      </c>
      <c r="X1009" s="187" t="inlineStr">
        <is>
          <t>LOW (40%)</t>
        </is>
      </c>
      <c r="Y1009" s="187" t="inlineStr">
        <is>
          <t>UNLIKELY</t>
        </is>
      </c>
      <c r="Z1009" s="187" t="inlineStr">
        <is>
          <t>PATCH_AVAILABLE</t>
        </is>
      </c>
      <c r="AA1009" s="187" t="inlineStr">
        <is>
          <t>https://nvd.nist.gov/vuln/detail/CVE-2026-2984</t>
        </is>
      </c>
      <c r="AB1009" s="187" t="inlineStr">
        <is>
          <t>NONE</t>
        </is>
      </c>
      <c r="AC1009" s="187" t="n">
        <v>0</v>
      </c>
      <c r="AD1009" s="187" t="inlineStr"/>
    </row>
    <row r="1010">
      <c r="A1010" s="187" t="inlineStr">
        <is>
          <t>CVE</t>
        </is>
      </c>
      <c r="B1010" s="187" t="inlineStr">
        <is>
          <t>CVE-2026-2985</t>
        </is>
      </c>
      <c r="C1010" s="187" t="inlineStr">
        <is>
          <t>A security flaw has been discovered in Tiandy Video Surveillance System 视频监控平台 7.17.0. This impacts the function downloadImage of the file /com/tiandy/easy7/core/bo/CLSBODownLoad.java. Performing a manipulation of the argument urlPath results in server-side request forgery. The attack is possible to be carried out remotely. The exploit has been released to the public and may be used for attacks. The vendor was contacted early about this disclosure but did not respond in any way.</t>
        </is>
      </c>
      <c r="D1010" s="187" t="n">
        <v>6.3</v>
      </c>
      <c r="E1010" s="187" t="inlineStr">
        <is>
          <t>MEDIUM</t>
        </is>
      </c>
      <c r="F1010" s="187" t="n">
        <v>2</v>
      </c>
      <c r="G1010" s="187" t="n">
        <v>2</v>
      </c>
      <c r="H1010" s="187" t="inlineStr">
        <is>
          <t>MEDIUM</t>
        </is>
      </c>
      <c r="I1010" s="187" t="n">
        <v>10.3</v>
      </c>
      <c r="J1010" s="187" t="inlineStr">
        <is>
          <t>NO</t>
        </is>
      </c>
      <c r="K1010" s="187" t="inlineStr">
        <is>
          <t>https://nvd.nist.gov/vuln/detail/CVE-2026-2985</t>
        </is>
      </c>
      <c r="L1010" s="187" t="inlineStr">
        <is>
          <t>2026-02-26 00:15</t>
        </is>
      </c>
      <c r="M1010" s="187" t="inlineStr">
        <is>
          <t>CHECK_VENDOR</t>
        </is>
      </c>
      <c r="N1010" s="187" t="inlineStr">
        <is>
          <t>See NVD references</t>
        </is>
      </c>
      <c r="O1010" s="187" t="inlineStr">
        <is>
          <t>Apply vendor patches</t>
        </is>
      </c>
      <c r="P1010" s="187" t="inlineStr">
        <is>
          <t>See CVE details</t>
        </is>
      </c>
      <c r="Q1010" s="187" t="inlineStr">
        <is>
          <t>P4</t>
        </is>
      </c>
      <c r="R1010" s="187" t="inlineStr">
        <is>
          <t>📅 Schedule patch deployment within 30 days | 🔍 Monitor for exploitation attempts</t>
        </is>
      </c>
      <c r="S1010" s="187" t="inlineStr">
        <is>
          <t>CVE - IP enrichment n/a</t>
        </is>
      </c>
      <c r="T1010" s="187" t="n">
        <v>0.0001</v>
      </c>
      <c r="U1010" s="187" t="n">
        <v>0.0136</v>
      </c>
      <c r="V1010" s="187" t="inlineStr">
        <is>
          <t>T1090:Proxy</t>
        </is>
      </c>
      <c r="W1010" s="187" t="n">
        <v>1</v>
      </c>
      <c r="X1010" s="187" t="inlineStr">
        <is>
          <t>LOW (40%)</t>
        </is>
      </c>
      <c r="Y1010" s="187" t="inlineStr">
        <is>
          <t>UNLIKELY</t>
        </is>
      </c>
      <c r="Z1010" s="187" t="inlineStr">
        <is>
          <t>CHECK_VENDOR</t>
        </is>
      </c>
      <c r="AA1010" s="187" t="inlineStr">
        <is>
          <t>https://nvd.nist.gov/vuln/detail/CVE-2026-2985</t>
        </is>
      </c>
      <c r="AB1010" s="187" t="inlineStr">
        <is>
          <t>NONE</t>
        </is>
      </c>
      <c r="AC1010" s="187" t="n">
        <v>0</v>
      </c>
      <c r="AD1010" s="187" t="inlineStr"/>
    </row>
    <row r="1011">
      <c r="A1011" s="188" t="inlineStr">
        <is>
          <t>CVE</t>
        </is>
      </c>
      <c r="B1011" s="188" t="inlineStr">
        <is>
          <t>CVE-2025-69700</t>
        </is>
      </c>
      <c r="C1011" s="188" t="inlineStr">
        <is>
          <t>Tenda FH1203 V2.0.1.6 contains a stack-based buffer overflow vulnerability in the modify_add_client_prio function, which is reachable via the formSetClientPrio CGI handler.</t>
        </is>
      </c>
      <c r="D1011" s="188" t="n">
        <v>7.5</v>
      </c>
      <c r="E1011" s="188" t="inlineStr">
        <is>
          <t>HIGH</t>
        </is>
      </c>
      <c r="F1011" s="188" t="n">
        <v>2</v>
      </c>
      <c r="G1011" s="188" t="n">
        <v>3</v>
      </c>
      <c r="H1011" s="188" t="inlineStr">
        <is>
          <t>HIGH</t>
        </is>
      </c>
      <c r="I1011" s="188" t="n">
        <v>13.5</v>
      </c>
      <c r="J1011" s="188" t="inlineStr">
        <is>
          <t>NO</t>
        </is>
      </c>
      <c r="K1011" s="188" t="inlineStr">
        <is>
          <t>https://nvd.nist.gov/vuln/detail/CVE-2025-69700</t>
        </is>
      </c>
      <c r="L1011" s="188" t="inlineStr">
        <is>
          <t>2026-02-26 00:15</t>
        </is>
      </c>
      <c r="M1011" s="188" t="inlineStr">
        <is>
          <t>CHECK_VENDOR</t>
        </is>
      </c>
      <c r="N1011" s="188" t="inlineStr">
        <is>
          <t>See NVD references</t>
        </is>
      </c>
      <c r="O1011" s="188" t="inlineStr">
        <is>
          <t>Apply vendor patches</t>
        </is>
      </c>
      <c r="P1011" s="188" t="inlineStr">
        <is>
          <t>tenda fh1203 - | tenda fh1203_firmware 2.0.1.6</t>
        </is>
      </c>
      <c r="Q1011" s="188" t="inlineStr">
        <is>
          <t>P3</t>
        </is>
      </c>
      <c r="R1011" s="188" t="inlineStr">
        <is>
          <t>🚨 URGENT: Apply vendor patches immediately | 🔒 Isolate affected systems if patch unavailable | 🛡️ Enable additional monitoring/IDS rules</t>
        </is>
      </c>
      <c r="S1011" s="188" t="inlineStr">
        <is>
          <t>CVE - IP enrichment n/a</t>
        </is>
      </c>
      <c r="T1011" s="188" t="n">
        <v>0</v>
      </c>
      <c r="U1011" s="188" t="n">
        <v>0</v>
      </c>
      <c r="V1011" s="188" t="inlineStr">
        <is>
          <t>T1190:Exploit Public-Facing Application | T1203:Exploitation for Client Execution</t>
        </is>
      </c>
      <c r="W1011" s="188" t="n">
        <v>1</v>
      </c>
      <c r="X1011" s="188" t="inlineStr">
        <is>
          <t>LOW (40%)</t>
        </is>
      </c>
      <c r="Y1011" s="188" t="inlineStr">
        <is>
          <t>UNLIKELY</t>
        </is>
      </c>
      <c r="Z1011" s="188" t="inlineStr">
        <is>
          <t>CHECK_VENDOR</t>
        </is>
      </c>
      <c r="AA1011" s="188" t="inlineStr">
        <is>
          <t>https://nvd.nist.gov/vuln/detail/CVE-2025-69700</t>
        </is>
      </c>
      <c r="AB1011" s="188" t="inlineStr">
        <is>
          <t>NONE</t>
        </is>
      </c>
      <c r="AC1011" s="188" t="n">
        <v>0</v>
      </c>
      <c r="AD1011" s="188" t="inlineStr"/>
    </row>
    <row r="1012">
      <c r="A1012" s="188" t="inlineStr">
        <is>
          <t>CVE</t>
        </is>
      </c>
      <c r="B1012" s="188" t="inlineStr">
        <is>
          <t>CVE-2026-21420</t>
        </is>
      </c>
      <c r="C1012" s="188" t="inlineStr">
        <is>
          <t>Dell Repository Manager (DRM), versions prior to 3.4.8, contains an Uncontrolled Search Path Element vulnerability. A low privileged attacker with local access could potentially exploit this vulnerability, leading to arbitrary code execution and escalation of privileges.</t>
        </is>
      </c>
      <c r="D1012" s="188" t="n">
        <v>7.3</v>
      </c>
      <c r="E1012" s="188" t="inlineStr">
        <is>
          <t>HIGH</t>
        </is>
      </c>
      <c r="F1012" s="188" t="n">
        <v>2</v>
      </c>
      <c r="G1012" s="188" t="n">
        <v>3</v>
      </c>
      <c r="H1012" s="188" t="inlineStr">
        <is>
          <t>HIGH</t>
        </is>
      </c>
      <c r="I1012" s="188" t="n">
        <v>13.3</v>
      </c>
      <c r="J1012" s="188" t="inlineStr">
        <is>
          <t>NO</t>
        </is>
      </c>
      <c r="K1012" s="188" t="inlineStr">
        <is>
          <t>https://nvd.nist.gov/vuln/detail/CVE-2026-21420</t>
        </is>
      </c>
      <c r="L1012" s="188" t="inlineStr">
        <is>
          <t>2026-02-26 00:15</t>
        </is>
      </c>
      <c r="M1012" s="188" t="inlineStr">
        <is>
          <t>YES</t>
        </is>
      </c>
      <c r="N1012" s="188" t="inlineStr">
        <is>
          <t>https://www.dell.com/support/kbdoc/en-us/000430183/dsa-2026-059-security-update-for-dell-repository-manager-vulnerability</t>
        </is>
      </c>
      <c r="O1012" s="188" t="inlineStr">
        <is>
          <t>Apply vendor patches</t>
        </is>
      </c>
      <c r="P1012" s="188" t="inlineStr">
        <is>
          <t>dell repository_manager *</t>
        </is>
      </c>
      <c r="Q1012" s="188" t="inlineStr">
        <is>
          <t>P3</t>
        </is>
      </c>
      <c r="R1012" s="188" t="inlineStr">
        <is>
          <t>🚨 URGENT: Apply vendor patches immediately | 🔒 Isolate affected systems if patch unavailable | 🛡️ Enable additional monitoring/IDS rules</t>
        </is>
      </c>
      <c r="S1012" s="188" t="inlineStr">
        <is>
          <t>CVE - IP enrichment n/a</t>
        </is>
      </c>
      <c r="T1012" s="188" t="n">
        <v>0</v>
      </c>
      <c r="U1012" s="188" t="n">
        <v>0</v>
      </c>
      <c r="V1012" s="188" t="inlineStr">
        <is>
          <t>T1203:Exploitation for Client Execution</t>
        </is>
      </c>
      <c r="W1012" s="188" t="n">
        <v>1</v>
      </c>
      <c r="X1012" s="188" t="inlineStr">
        <is>
          <t>LOW (40%)</t>
        </is>
      </c>
      <c r="Y1012" s="188" t="inlineStr">
        <is>
          <t>UNLIKELY</t>
        </is>
      </c>
      <c r="Z1012" s="188" t="inlineStr">
        <is>
          <t>PATCH_AVAILABLE</t>
        </is>
      </c>
      <c r="AA1012" s="188" t="inlineStr">
        <is>
          <t>https://nvd.nist.gov/vuln/detail/CVE-2026-21420</t>
        </is>
      </c>
      <c r="AB1012" s="188" t="inlineStr">
        <is>
          <t>NONE</t>
        </is>
      </c>
      <c r="AC1012" s="188" t="n">
        <v>0</v>
      </c>
      <c r="AD1012" s="188" t="inlineStr"/>
    </row>
    <row r="1013">
      <c r="A1013" s="188" t="inlineStr">
        <is>
          <t>CVE</t>
        </is>
      </c>
      <c r="B1013" s="188" t="inlineStr">
        <is>
          <t>CVE-2025-14905</t>
        </is>
      </c>
      <c r="C1013" s="188" t="inlineStr">
        <is>
          <t>A flaw was found in the 389-ds-base server. A heap buffer overflow vulnerability exists in the `schema_attr_enum_callback` function within the `schema.c` file. This occurs because the code incorrectly calculates the buffer size by summing alias string lengths without accounting for additional formatting characters. When a large number of aliases are processed, this oversight can lead to a heap overflow, potentially allowing a remote attacker to cause a Denial of Service (DoS) or achieve Remote C</t>
        </is>
      </c>
      <c r="D1013" s="188" t="n">
        <v>7.2</v>
      </c>
      <c r="E1013" s="188" t="inlineStr">
        <is>
          <t>HIGH</t>
        </is>
      </c>
      <c r="F1013" s="188" t="n">
        <v>2</v>
      </c>
      <c r="G1013" s="188" t="n">
        <v>3</v>
      </c>
      <c r="H1013" s="188" t="inlineStr">
        <is>
          <t>HIGH</t>
        </is>
      </c>
      <c r="I1013" s="188" t="n">
        <v>13.2</v>
      </c>
      <c r="J1013" s="188" t="inlineStr">
        <is>
          <t>NO</t>
        </is>
      </c>
      <c r="K1013" s="188" t="inlineStr">
        <is>
          <t>https://nvd.nist.gov/vuln/detail/CVE-2025-14905</t>
        </is>
      </c>
      <c r="L1013" s="188" t="inlineStr">
        <is>
          <t>2026-02-26 00:15</t>
        </is>
      </c>
      <c r="M1013" s="188" t="inlineStr">
        <is>
          <t>CHECK_VENDOR</t>
        </is>
      </c>
      <c r="N1013" s="188" t="inlineStr">
        <is>
          <t>See NVD references</t>
        </is>
      </c>
      <c r="O1013" s="188" t="inlineStr">
        <is>
          <t>Apply vendor patches</t>
        </is>
      </c>
      <c r="P1013" s="188" t="inlineStr">
        <is>
          <t>See CVE details</t>
        </is>
      </c>
      <c r="Q1013" s="188" t="inlineStr">
        <is>
          <t>P3</t>
        </is>
      </c>
      <c r="R1013" s="188" t="inlineStr">
        <is>
          <t>🚨 URGENT: Apply vendor patches immediately | 🔒 Isolate affected systems if patch unavailable | 🛡️ Enable additional monitoring/IDS rules</t>
        </is>
      </c>
      <c r="S1013" s="188" t="inlineStr">
        <is>
          <t>CVE - IP enrichment n/a</t>
        </is>
      </c>
      <c r="T1013" s="188" t="n">
        <v>0</v>
      </c>
      <c r="U1013" s="188" t="n">
        <v>0</v>
      </c>
      <c r="V1013" s="188" t="inlineStr">
        <is>
          <t>T1190:Exploit Public-Facing Application | T1210:Exploitation of Remote Services | T1203:Exploitation for Client Execution</t>
        </is>
      </c>
      <c r="W1013" s="188" t="n">
        <v>1</v>
      </c>
      <c r="X1013" s="188" t="inlineStr">
        <is>
          <t>LOW (40%)</t>
        </is>
      </c>
      <c r="Y1013" s="188" t="inlineStr">
        <is>
          <t>UNLIKELY</t>
        </is>
      </c>
      <c r="Z1013" s="188" t="inlineStr">
        <is>
          <t>CHECK_VENDOR</t>
        </is>
      </c>
      <c r="AA1013" s="188" t="inlineStr">
        <is>
          <t>https://nvd.nist.gov/vuln/detail/CVE-2025-14905</t>
        </is>
      </c>
      <c r="AB1013" s="188" t="inlineStr">
        <is>
          <t>NONE</t>
        </is>
      </c>
      <c r="AC1013" s="188" t="n">
        <v>0</v>
      </c>
      <c r="AD1013" s="188" t="inlineStr"/>
    </row>
    <row r="1014">
      <c r="A1014" s="189" t="inlineStr">
        <is>
          <t>CVE</t>
        </is>
      </c>
      <c r="B1014" s="189" t="inlineStr">
        <is>
          <t>CVE-2025-70043</t>
        </is>
      </c>
      <c r="C1014" s="189" t="inlineStr">
        <is>
          <t>An issue pertaining to CWE-295: Improper Certificate Validation was discovered in Ayms node-To master. The application disables TLS/SSL certificate validation by setting 'rejectUnauthorized': false in TLS socket options</t>
        </is>
      </c>
      <c r="D1014" s="189" t="n">
        <v>9.1</v>
      </c>
      <c r="E1014" s="189" t="inlineStr">
        <is>
          <t>CRITICAL</t>
        </is>
      </c>
      <c r="F1014" s="189" t="n">
        <v>2</v>
      </c>
      <c r="G1014" s="189" t="n">
        <v>3</v>
      </c>
      <c r="H1014" s="189" t="inlineStr">
        <is>
          <t>HIGH</t>
        </is>
      </c>
      <c r="I1014" s="189" t="n">
        <v>15.1</v>
      </c>
      <c r="J1014" s="189" t="inlineStr">
        <is>
          <t>NO</t>
        </is>
      </c>
      <c r="K1014" s="189" t="inlineStr">
        <is>
          <t>https://nvd.nist.gov/vuln/detail/CVE-2025-70043</t>
        </is>
      </c>
      <c r="L1014" s="189" t="inlineStr">
        <is>
          <t>2026-02-26 00:15</t>
        </is>
      </c>
      <c r="M1014" s="189" t="inlineStr">
        <is>
          <t>CHECK_VENDOR</t>
        </is>
      </c>
      <c r="N1014" s="189" t="inlineStr">
        <is>
          <t>See NVD references</t>
        </is>
      </c>
      <c r="O1014" s="189" t="inlineStr">
        <is>
          <t>Apply vendor patches</t>
        </is>
      </c>
      <c r="P1014" s="189" t="inlineStr">
        <is>
          <t>See CVE details</t>
        </is>
      </c>
      <c r="Q1014" s="189" t="inlineStr">
        <is>
          <t>P3</t>
        </is>
      </c>
      <c r="R1014" s="189" t="inlineStr">
        <is>
          <t>🚨 URGENT: Apply vendor patches immediately | 🔒 Isolate affected systems if patch unavailable | 🛡️ Enable additional monitoring/IDS rules</t>
        </is>
      </c>
      <c r="S1014" s="189" t="inlineStr">
        <is>
          <t>CVE - IP enrichment n/a</t>
        </is>
      </c>
      <c r="T1014" s="189" t="n">
        <v>0</v>
      </c>
      <c r="U1014" s="189" t="n">
        <v>0</v>
      </c>
      <c r="V1014" s="189" t="inlineStr">
        <is>
          <t>T1190:Exploit Public-Facing Application</t>
        </is>
      </c>
      <c r="W1014" s="189" t="n">
        <v>1</v>
      </c>
      <c r="X1014" s="189" t="inlineStr">
        <is>
          <t>LOW (40%)</t>
        </is>
      </c>
      <c r="Y1014" s="189" t="inlineStr">
        <is>
          <t>UNLIKELY</t>
        </is>
      </c>
      <c r="Z1014" s="189" t="inlineStr">
        <is>
          <t>CHECK_VENDOR</t>
        </is>
      </c>
      <c r="AA1014" s="189" t="inlineStr">
        <is>
          <t>https://nvd.nist.gov/vuln/detail/CVE-2025-70043</t>
        </is>
      </c>
      <c r="AB1014" s="189" t="inlineStr">
        <is>
          <t>NONE</t>
        </is>
      </c>
      <c r="AC1014" s="189" t="n">
        <v>0</v>
      </c>
      <c r="AD1014" s="189" t="inlineStr"/>
    </row>
    <row r="1015">
      <c r="A1015" s="187" t="inlineStr">
        <is>
          <t>CVE</t>
        </is>
      </c>
      <c r="B1015" s="187" t="inlineStr">
        <is>
          <t>CVE-2025-70044</t>
        </is>
      </c>
      <c r="C1015" s="187" t="inlineStr">
        <is>
          <t>An issue pertaining to CWE-295: Improper Certificate Validation was discovered in fofolee uTools-quickcommand 5.0.3.</t>
        </is>
      </c>
      <c r="D1015" s="187" t="n">
        <v>6.5</v>
      </c>
      <c r="E1015" s="187" t="inlineStr">
        <is>
          <t>MEDIUM</t>
        </is>
      </c>
      <c r="F1015" s="187" t="n">
        <v>2</v>
      </c>
      <c r="G1015" s="187" t="n">
        <v>2</v>
      </c>
      <c r="H1015" s="187" t="inlineStr">
        <is>
          <t>MEDIUM</t>
        </is>
      </c>
      <c r="I1015" s="187" t="n">
        <v>10.5</v>
      </c>
      <c r="J1015" s="187" t="inlineStr">
        <is>
          <t>NO</t>
        </is>
      </c>
      <c r="K1015" s="187" t="inlineStr">
        <is>
          <t>https://nvd.nist.gov/vuln/detail/CVE-2025-70044</t>
        </is>
      </c>
      <c r="L1015" s="187" t="inlineStr">
        <is>
          <t>2026-02-26 00:15</t>
        </is>
      </c>
      <c r="M1015" s="187" t="inlineStr">
        <is>
          <t>CHECK_VENDOR</t>
        </is>
      </c>
      <c r="N1015" s="187" t="inlineStr">
        <is>
          <t>See NVD references</t>
        </is>
      </c>
      <c r="O1015" s="187" t="inlineStr">
        <is>
          <t>Apply vendor patches</t>
        </is>
      </c>
      <c r="P1015" s="187" t="inlineStr">
        <is>
          <t>See CVE details</t>
        </is>
      </c>
      <c r="Q1015" s="187" t="inlineStr">
        <is>
          <t>P4</t>
        </is>
      </c>
      <c r="R1015" s="187" t="inlineStr">
        <is>
          <t>📅 Schedule patch deployment within 30 days | 🔍 Monitor for exploitation attempts</t>
        </is>
      </c>
      <c r="S1015" s="187" t="inlineStr">
        <is>
          <t>CVE - IP enrichment n/a</t>
        </is>
      </c>
      <c r="T1015" s="187" t="n">
        <v>0</v>
      </c>
      <c r="U1015" s="187" t="n">
        <v>0</v>
      </c>
      <c r="V1015" s="187" t="inlineStr">
        <is>
          <t>T1190:Exploit Public-Facing Application</t>
        </is>
      </c>
      <c r="W1015" s="187" t="n">
        <v>1</v>
      </c>
      <c r="X1015" s="187" t="inlineStr">
        <is>
          <t>LOW (40%)</t>
        </is>
      </c>
      <c r="Y1015" s="187" t="inlineStr">
        <is>
          <t>UNLIKELY</t>
        </is>
      </c>
      <c r="Z1015" s="187" t="inlineStr">
        <is>
          <t>CHECK_VENDOR</t>
        </is>
      </c>
      <c r="AA1015" s="187" t="inlineStr">
        <is>
          <t>https://nvd.nist.gov/vuln/detail/CVE-2025-70044</t>
        </is>
      </c>
      <c r="AB1015" s="187" t="inlineStr">
        <is>
          <t>NONE</t>
        </is>
      </c>
      <c r="AC1015" s="187" t="n">
        <v>0</v>
      </c>
      <c r="AD1015" s="187" t="inlineStr"/>
    </row>
    <row r="1016">
      <c r="A1016" s="188" t="inlineStr">
        <is>
          <t>CVE</t>
        </is>
      </c>
      <c r="B1016" s="188" t="inlineStr">
        <is>
          <t>CVE-2025-70045</t>
        </is>
      </c>
      <c r="C1016" s="188" t="inlineStr">
        <is>
          <t>An issue pertaining to CWE-295: Improper Certificate Validation was discovered in jxcore jxm master. The application disables TLS/SSL certificate validation by setting 'rejectUnauthorized': false in HTTPS request options when 'jx_obj.IsSecure' is true</t>
        </is>
      </c>
      <c r="D1016" s="188" t="n">
        <v>7.4</v>
      </c>
      <c r="E1016" s="188" t="inlineStr">
        <is>
          <t>HIGH</t>
        </is>
      </c>
      <c r="F1016" s="188" t="n">
        <v>2</v>
      </c>
      <c r="G1016" s="188" t="n">
        <v>3</v>
      </c>
      <c r="H1016" s="188" t="inlineStr">
        <is>
          <t>HIGH</t>
        </is>
      </c>
      <c r="I1016" s="188" t="n">
        <v>13.4</v>
      </c>
      <c r="J1016" s="188" t="inlineStr">
        <is>
          <t>NO</t>
        </is>
      </c>
      <c r="K1016" s="188" t="inlineStr">
        <is>
          <t>https://nvd.nist.gov/vuln/detail/CVE-2025-70045</t>
        </is>
      </c>
      <c r="L1016" s="188" t="inlineStr">
        <is>
          <t>2026-02-26 00:15</t>
        </is>
      </c>
      <c r="M1016" s="188" t="inlineStr">
        <is>
          <t>CHECK_VENDOR</t>
        </is>
      </c>
      <c r="N1016" s="188" t="inlineStr">
        <is>
          <t>See NVD references</t>
        </is>
      </c>
      <c r="O1016" s="188" t="inlineStr">
        <is>
          <t>Apply vendor patches</t>
        </is>
      </c>
      <c r="P1016" s="188" t="inlineStr">
        <is>
          <t>See CVE details</t>
        </is>
      </c>
      <c r="Q1016" s="188" t="inlineStr">
        <is>
          <t>P3</t>
        </is>
      </c>
      <c r="R1016" s="188" t="inlineStr">
        <is>
          <t>🚨 URGENT: Apply vendor patches immediately | 🔒 Isolate affected systems if patch unavailable | 🛡️ Enable additional monitoring/IDS rules</t>
        </is>
      </c>
      <c r="S1016" s="188" t="inlineStr">
        <is>
          <t>CVE - IP enrichment n/a</t>
        </is>
      </c>
      <c r="T1016" s="188" t="n">
        <v>0</v>
      </c>
      <c r="U1016" s="188" t="n">
        <v>0</v>
      </c>
      <c r="V1016" s="188" t="inlineStr">
        <is>
          <t>T1190:Exploit Public-Facing Application</t>
        </is>
      </c>
      <c r="W1016" s="188" t="n">
        <v>1</v>
      </c>
      <c r="X1016" s="188" t="inlineStr">
        <is>
          <t>LOW (40%)</t>
        </is>
      </c>
      <c r="Y1016" s="188" t="inlineStr">
        <is>
          <t>UNLIKELY</t>
        </is>
      </c>
      <c r="Z1016" s="188" t="inlineStr">
        <is>
          <t>CHECK_VENDOR</t>
        </is>
      </c>
      <c r="AA1016" s="188" t="inlineStr">
        <is>
          <t>https://nvd.nist.gov/vuln/detail/CVE-2025-70045</t>
        </is>
      </c>
      <c r="AB1016" s="188" t="inlineStr">
        <is>
          <t>NONE</t>
        </is>
      </c>
      <c r="AC1016" s="188" t="n">
        <v>0</v>
      </c>
      <c r="AD1016" s="188" t="inlineStr"/>
    </row>
    <row r="1017">
      <c r="A1017" s="188" t="inlineStr">
        <is>
          <t>CVE</t>
        </is>
      </c>
      <c r="B1017" s="188" t="inlineStr">
        <is>
          <t>CVE-2025-70058</t>
        </is>
      </c>
      <c r="C1017" s="188" t="inlineStr">
        <is>
          <t>An issue pertaining to CWE-295: Improper Certificate Validation was discovered in YMFE yapi v1.12.0. The application disables TLS/SSL certificate validation by setting 'rejectUnauthorized': false in the HTTPS agent configuration for Axios requests</t>
        </is>
      </c>
      <c r="D1017" s="188" t="n">
        <v>7.4</v>
      </c>
      <c r="E1017" s="188" t="inlineStr">
        <is>
          <t>HIGH</t>
        </is>
      </c>
      <c r="F1017" s="188" t="n">
        <v>2</v>
      </c>
      <c r="G1017" s="188" t="n">
        <v>3</v>
      </c>
      <c r="H1017" s="188" t="inlineStr">
        <is>
          <t>HIGH</t>
        </is>
      </c>
      <c r="I1017" s="188" t="n">
        <v>13.4</v>
      </c>
      <c r="J1017" s="188" t="inlineStr">
        <is>
          <t>NO</t>
        </is>
      </c>
      <c r="K1017" s="188" t="inlineStr">
        <is>
          <t>https://nvd.nist.gov/vuln/detail/CVE-2025-70058</t>
        </is>
      </c>
      <c r="L1017" s="188" t="inlineStr">
        <is>
          <t>2026-02-26 00:15</t>
        </is>
      </c>
      <c r="M1017" s="188" t="inlineStr">
        <is>
          <t>CHECK_VENDOR</t>
        </is>
      </c>
      <c r="N1017" s="188" t="inlineStr">
        <is>
          <t>See NVD references</t>
        </is>
      </c>
      <c r="O1017" s="188" t="inlineStr">
        <is>
          <t>Apply vendor patches</t>
        </is>
      </c>
      <c r="P1017" s="188" t="inlineStr">
        <is>
          <t>See CVE details</t>
        </is>
      </c>
      <c r="Q1017" s="188" t="inlineStr">
        <is>
          <t>P3</t>
        </is>
      </c>
      <c r="R1017" s="188" t="inlineStr">
        <is>
          <t>🚨 URGENT: Apply vendor patches immediately | 🔒 Isolate affected systems if patch unavailable | 🛡️ Enable additional monitoring/IDS rules</t>
        </is>
      </c>
      <c r="S1017" s="188" t="inlineStr">
        <is>
          <t>CVE - IP enrichment n/a</t>
        </is>
      </c>
      <c r="T1017" s="188" t="n">
        <v>0</v>
      </c>
      <c r="U1017" s="188" t="n">
        <v>0</v>
      </c>
      <c r="V1017" s="188" t="inlineStr">
        <is>
          <t>T1190:Exploit Public-Facing Application</t>
        </is>
      </c>
      <c r="W1017" s="188" t="n">
        <v>1</v>
      </c>
      <c r="X1017" s="188" t="inlineStr">
        <is>
          <t>LOW (40%)</t>
        </is>
      </c>
      <c r="Y1017" s="188" t="inlineStr">
        <is>
          <t>UNLIKELY</t>
        </is>
      </c>
      <c r="Z1017" s="188" t="inlineStr">
        <is>
          <t>CHECK_VENDOR</t>
        </is>
      </c>
      <c r="AA1017" s="188" t="inlineStr">
        <is>
          <t>https://nvd.nist.gov/vuln/detail/CVE-2025-70058</t>
        </is>
      </c>
      <c r="AB1017" s="188" t="inlineStr">
        <is>
          <t>NONE</t>
        </is>
      </c>
      <c r="AC1017" s="188" t="n">
        <v>0</v>
      </c>
      <c r="AD1017" s="188" t="inlineStr"/>
    </row>
    <row r="1018">
      <c r="A1018" s="187" t="inlineStr">
        <is>
          <t>CVE</t>
        </is>
      </c>
      <c r="B1018" s="187" t="inlineStr">
        <is>
          <t>CVE-2026-2697</t>
        </is>
      </c>
      <c r="C1018" s="187" t="inlineStr">
        <is>
          <t>An Indirect Object Reference (IDOR) in Security Center allows an authenticated remote attacker to escalate privileges via the 'owner' parameter.</t>
        </is>
      </c>
      <c r="D1018" s="187" t="n">
        <v>6.3</v>
      </c>
      <c r="E1018" s="187" t="inlineStr">
        <is>
          <t>MEDIUM</t>
        </is>
      </c>
      <c r="F1018" s="187" t="n">
        <v>2</v>
      </c>
      <c r="G1018" s="187" t="n">
        <v>2</v>
      </c>
      <c r="H1018" s="187" t="inlineStr">
        <is>
          <t>MEDIUM</t>
        </is>
      </c>
      <c r="I1018" s="187" t="n">
        <v>10.3</v>
      </c>
      <c r="J1018" s="187" t="inlineStr">
        <is>
          <t>NO</t>
        </is>
      </c>
      <c r="K1018" s="187" t="inlineStr">
        <is>
          <t>https://nvd.nist.gov/vuln/detail/CVE-2026-2697</t>
        </is>
      </c>
      <c r="L1018" s="187" t="inlineStr">
        <is>
          <t>2026-02-26 00:15</t>
        </is>
      </c>
      <c r="M1018" s="187" t="inlineStr">
        <is>
          <t>CHECK_VENDOR</t>
        </is>
      </c>
      <c r="N1018" s="187" t="inlineStr">
        <is>
          <t>See NVD references</t>
        </is>
      </c>
      <c r="O1018" s="187" t="inlineStr">
        <is>
          <t>Apply vendor patches</t>
        </is>
      </c>
      <c r="P1018" s="187" t="inlineStr">
        <is>
          <t>See CVE details</t>
        </is>
      </c>
      <c r="Q1018" s="187" t="inlineStr">
        <is>
          <t>P4</t>
        </is>
      </c>
      <c r="R1018" s="187" t="inlineStr">
        <is>
          <t>📅 Schedule patch deployment within 30 days | 🔍 Monitor for exploitation attempts</t>
        </is>
      </c>
      <c r="S1018" s="187" t="inlineStr">
        <is>
          <t>CVE - IP enrichment n/a</t>
        </is>
      </c>
      <c r="T1018" s="187" t="n">
        <v>0.0009</v>
      </c>
      <c r="U1018" s="187" t="n">
        <v>0.2537</v>
      </c>
      <c r="V1018" s="187" t="inlineStr">
        <is>
          <t>T1190:Exploit Public-Facing Application</t>
        </is>
      </c>
      <c r="W1018" s="187" t="n">
        <v>1</v>
      </c>
      <c r="X1018" s="187" t="inlineStr">
        <is>
          <t>LOW (40%)</t>
        </is>
      </c>
      <c r="Y1018" s="187" t="inlineStr">
        <is>
          <t>UNLIKELY</t>
        </is>
      </c>
      <c r="Z1018" s="187" t="inlineStr">
        <is>
          <t>CHECK_VENDOR</t>
        </is>
      </c>
      <c r="AA1018" s="187" t="inlineStr">
        <is>
          <t>https://nvd.nist.gov/vuln/detail/CVE-2026-2697</t>
        </is>
      </c>
      <c r="AB1018" s="187" t="inlineStr">
        <is>
          <t>NONE</t>
        </is>
      </c>
      <c r="AC1018" s="187" t="n">
        <v>0</v>
      </c>
      <c r="AD1018" s="187" t="inlineStr"/>
    </row>
    <row r="1019">
      <c r="A1019" s="188" t="inlineStr">
        <is>
          <t>CVE</t>
        </is>
      </c>
      <c r="B1019" s="188" t="inlineStr">
        <is>
          <t>CVE-2026-3015</t>
        </is>
      </c>
      <c r="C1019" s="188" t="inlineStr">
        <is>
          <t>A vulnerability was determined in UTT HiPER 810G up to 1.7.7-171114. Impacted is the function strcpy of the file /goform/formPolicyRouteConf. Executing a manipulation of the argument GroupName can lead to buffer overflow. The attack may be launched remotely. The exploit has been publicly disclosed and may be utilized.</t>
        </is>
      </c>
      <c r="D1019" s="188" t="n">
        <v>8.800000000000001</v>
      </c>
      <c r="E1019" s="188" t="inlineStr">
        <is>
          <t>HIGH</t>
        </is>
      </c>
      <c r="F1019" s="188" t="n">
        <v>2</v>
      </c>
      <c r="G1019" s="188" t="n">
        <v>3</v>
      </c>
      <c r="H1019" s="188" t="inlineStr">
        <is>
          <t>HIGH</t>
        </is>
      </c>
      <c r="I1019" s="188" t="n">
        <v>14.8</v>
      </c>
      <c r="J1019" s="188" t="inlineStr">
        <is>
          <t>NO</t>
        </is>
      </c>
      <c r="K1019" s="188" t="inlineStr">
        <is>
          <t>https://nvd.nist.gov/vuln/detail/CVE-2026-3015</t>
        </is>
      </c>
      <c r="L1019" s="188" t="inlineStr">
        <is>
          <t>2026-02-26 00:15</t>
        </is>
      </c>
      <c r="M1019" s="188" t="inlineStr">
        <is>
          <t>CHECK_VENDOR</t>
        </is>
      </c>
      <c r="N1019" s="188" t="inlineStr">
        <is>
          <t>See NVD references</t>
        </is>
      </c>
      <c r="O1019" s="188" t="inlineStr">
        <is>
          <t>Apply vendor patches</t>
        </is>
      </c>
      <c r="P1019" s="188" t="inlineStr">
        <is>
          <t>utt 810g_firmware * | utt 810g 3.0</t>
        </is>
      </c>
      <c r="Q1019" s="188" t="inlineStr">
        <is>
          <t>P3</t>
        </is>
      </c>
      <c r="R1019" s="188" t="inlineStr">
        <is>
          <t>🚨 URGENT: Apply vendor patches immediately | 🔒 Isolate affected systems if patch unavailable | 🛡️ Enable additional monitoring/IDS rules</t>
        </is>
      </c>
      <c r="S1019" s="188" t="inlineStr">
        <is>
          <t>CVE - IP enrichment n/a</t>
        </is>
      </c>
      <c r="T1019" s="188" t="n">
        <v>0.0008</v>
      </c>
      <c r="U1019" s="188" t="n">
        <v>0.2438</v>
      </c>
      <c r="V1019" s="188" t="inlineStr">
        <is>
          <t>T1203:Exploitation for Client Execution</t>
        </is>
      </c>
      <c r="W1019" s="188" t="n">
        <v>1</v>
      </c>
      <c r="X1019" s="188" t="inlineStr">
        <is>
          <t>LOW (40%)</t>
        </is>
      </c>
      <c r="Y1019" s="188" t="inlineStr">
        <is>
          <t>UNLIKELY</t>
        </is>
      </c>
      <c r="Z1019" s="188" t="inlineStr">
        <is>
          <t>CHECK_VENDOR</t>
        </is>
      </c>
      <c r="AA1019" s="188" t="inlineStr">
        <is>
          <t>https://nvd.nist.gov/vuln/detail/CVE-2026-3015</t>
        </is>
      </c>
      <c r="AB1019" s="188" t="inlineStr">
        <is>
          <t>NONE</t>
        </is>
      </c>
      <c r="AC1019" s="188" t="n">
        <v>0</v>
      </c>
      <c r="AD1019" s="188" t="inlineStr"/>
    </row>
    <row r="1020">
      <c r="A1020" s="188" t="inlineStr">
        <is>
          <t>CVE</t>
        </is>
      </c>
      <c r="B1020" s="188" t="inlineStr">
        <is>
          <t>CVE-2026-3016</t>
        </is>
      </c>
      <c r="C1020" s="188" t="inlineStr">
        <is>
          <t>A vulnerability was identified in UTT HiPER 810G up to 1.7.7-171114. The affected element is the function strcpy of the file /goform/formP2PLimitConfig. The manipulation of the argument except leads to buffer overflow. Remote exploitation of the attack is possible. The exploit is publicly available and might be used.</t>
        </is>
      </c>
      <c r="D1020" s="188" t="n">
        <v>8.800000000000001</v>
      </c>
      <c r="E1020" s="188" t="inlineStr">
        <is>
          <t>HIGH</t>
        </is>
      </c>
      <c r="F1020" s="188" t="n">
        <v>2</v>
      </c>
      <c r="G1020" s="188" t="n">
        <v>3</v>
      </c>
      <c r="H1020" s="188" t="inlineStr">
        <is>
          <t>HIGH</t>
        </is>
      </c>
      <c r="I1020" s="188" t="n">
        <v>14.8</v>
      </c>
      <c r="J1020" s="188" t="inlineStr">
        <is>
          <t>NO</t>
        </is>
      </c>
      <c r="K1020" s="188" t="inlineStr">
        <is>
          <t>https://nvd.nist.gov/vuln/detail/CVE-2026-3016</t>
        </is>
      </c>
      <c r="L1020" s="188" t="inlineStr">
        <is>
          <t>2026-02-26 00:15</t>
        </is>
      </c>
      <c r="M1020" s="188" t="inlineStr">
        <is>
          <t>CHECK_VENDOR</t>
        </is>
      </c>
      <c r="N1020" s="188" t="inlineStr">
        <is>
          <t>See NVD references</t>
        </is>
      </c>
      <c r="O1020" s="188" t="inlineStr">
        <is>
          <t>Apply vendor patches</t>
        </is>
      </c>
      <c r="P1020" s="188" t="inlineStr">
        <is>
          <t>utt 810g_firmware * | utt 810g 3.0</t>
        </is>
      </c>
      <c r="Q1020" s="188" t="inlineStr">
        <is>
          <t>P3</t>
        </is>
      </c>
      <c r="R1020" s="188" t="inlineStr">
        <is>
          <t>🚨 URGENT: Apply vendor patches immediately | 🔒 Isolate affected systems if patch unavailable | 🛡️ Enable additional monitoring/IDS rules</t>
        </is>
      </c>
      <c r="S1020" s="188" t="inlineStr">
        <is>
          <t>CVE - IP enrichment n/a</t>
        </is>
      </c>
      <c r="T1020" s="188" t="n">
        <v>0</v>
      </c>
      <c r="U1020" s="188" t="n">
        <v>0</v>
      </c>
      <c r="V1020" s="188" t="inlineStr">
        <is>
          <t>T1203:Exploitation for Client Execution</t>
        </is>
      </c>
      <c r="W1020" s="188" t="n">
        <v>1</v>
      </c>
      <c r="X1020" s="188" t="inlineStr">
        <is>
          <t>LOW (40%)</t>
        </is>
      </c>
      <c r="Y1020" s="188" t="inlineStr">
        <is>
          <t>UNLIKELY</t>
        </is>
      </c>
      <c r="Z1020" s="188" t="inlineStr">
        <is>
          <t>CHECK_VENDOR</t>
        </is>
      </c>
      <c r="AA1020" s="188" t="inlineStr">
        <is>
          <t>https://nvd.nist.gov/vuln/detail/CVE-2026-3016</t>
        </is>
      </c>
      <c r="AB1020" s="188" t="inlineStr">
        <is>
          <t>NONE</t>
        </is>
      </c>
      <c r="AC1020" s="188" t="n">
        <v>0</v>
      </c>
      <c r="AD1020" s="188" t="inlineStr"/>
    </row>
    <row r="1021">
      <c r="A1021" s="188" t="inlineStr">
        <is>
          <t>CVE</t>
        </is>
      </c>
      <c r="B1021" s="188" t="inlineStr">
        <is>
          <t>CVE-2026-22567</t>
        </is>
      </c>
      <c r="C1021" s="188" t="inlineStr">
        <is>
          <t>Improper validation of user-supplied input in the ZIA Admin UI could allow an authenticated administrator to initiate backend functions through specific input fields in limited scenarios.</t>
        </is>
      </c>
      <c r="D1021" s="188" t="n">
        <v>7.6</v>
      </c>
      <c r="E1021" s="188" t="inlineStr">
        <is>
          <t>HIGH</t>
        </is>
      </c>
      <c r="F1021" s="188" t="n">
        <v>2</v>
      </c>
      <c r="G1021" s="188" t="n">
        <v>3</v>
      </c>
      <c r="H1021" s="188" t="inlineStr">
        <is>
          <t>HIGH</t>
        </is>
      </c>
      <c r="I1021" s="188" t="n">
        <v>13.6</v>
      </c>
      <c r="J1021" s="188" t="inlineStr">
        <is>
          <t>NO</t>
        </is>
      </c>
      <c r="K1021" s="188" t="inlineStr">
        <is>
          <t>https://nvd.nist.gov/vuln/detail/CVE-2026-22567</t>
        </is>
      </c>
      <c r="L1021" s="188" t="inlineStr">
        <is>
          <t>2026-02-26 00:15</t>
        </is>
      </c>
      <c r="M1021" s="188" t="inlineStr">
        <is>
          <t>CHECK_VENDOR</t>
        </is>
      </c>
      <c r="N1021" s="188" t="inlineStr">
        <is>
          <t>See NVD references</t>
        </is>
      </c>
      <c r="O1021" s="188" t="inlineStr">
        <is>
          <t>Apply vendor patches</t>
        </is>
      </c>
      <c r="P1021" s="188" t="inlineStr">
        <is>
          <t>See CVE details</t>
        </is>
      </c>
      <c r="Q1021" s="188" t="inlineStr">
        <is>
          <t>P3</t>
        </is>
      </c>
      <c r="R1021" s="188" t="inlineStr">
        <is>
          <t>🚨 URGENT: Apply vendor patches immediately | 🔒 Isolate affected systems if patch unavailable | 🛡️ Enable additional monitoring/IDS rules</t>
        </is>
      </c>
      <c r="S1021" s="188" t="inlineStr">
        <is>
          <t>CVE - IP enrichment n/a</t>
        </is>
      </c>
      <c r="T1021" s="188" t="n">
        <v>0.0004</v>
      </c>
      <c r="U1021" s="188" t="n">
        <v>0.1263</v>
      </c>
      <c r="V1021" s="188" t="inlineStr">
        <is>
          <t>T1190:Exploit Public-Facing Application</t>
        </is>
      </c>
      <c r="W1021" s="188" t="n">
        <v>1</v>
      </c>
      <c r="X1021" s="188" t="inlineStr">
        <is>
          <t>LOW (40%)</t>
        </is>
      </c>
      <c r="Y1021" s="188" t="inlineStr">
        <is>
          <t>UNLIKELY</t>
        </is>
      </c>
      <c r="Z1021" s="188" t="inlineStr">
        <is>
          <t>CHECK_VENDOR</t>
        </is>
      </c>
      <c r="AA1021" s="188" t="inlineStr">
        <is>
          <t>https://nvd.nist.gov/vuln/detail/CVE-2026-22567</t>
        </is>
      </c>
      <c r="AB1021" s="188" t="inlineStr">
        <is>
          <t>NONE</t>
        </is>
      </c>
      <c r="AC1021" s="188" t="n">
        <v>0</v>
      </c>
      <c r="AD1021" s="188" t="inlineStr"/>
    </row>
    <row r="1022">
      <c r="A1022" s="187" t="inlineStr">
        <is>
          <t>CVE</t>
        </is>
      </c>
      <c r="B1022" s="187" t="inlineStr">
        <is>
          <t>CVE-2026-22568</t>
        </is>
      </c>
      <c r="C1022" s="187" t="inlineStr">
        <is>
          <t>Improper neutralization of special elements in user-supplied input within the ZIA Admin UI could allow an authenticated administrator to access or retrieve unauthorized internal information in rare conditions.</t>
        </is>
      </c>
      <c r="D1022" s="187" t="n">
        <v>5.5</v>
      </c>
      <c r="E1022" s="187" t="inlineStr">
        <is>
          <t>MEDIUM</t>
        </is>
      </c>
      <c r="F1022" s="187" t="n">
        <v>2</v>
      </c>
      <c r="G1022" s="187" t="n">
        <v>2</v>
      </c>
      <c r="H1022" s="187" t="inlineStr">
        <is>
          <t>MEDIUM</t>
        </is>
      </c>
      <c r="I1022" s="187" t="n">
        <v>9.5</v>
      </c>
      <c r="J1022" s="187" t="inlineStr">
        <is>
          <t>NO</t>
        </is>
      </c>
      <c r="K1022" s="187" t="inlineStr">
        <is>
          <t>https://nvd.nist.gov/vuln/detail/CVE-2026-22568</t>
        </is>
      </c>
      <c r="L1022" s="187" t="inlineStr">
        <is>
          <t>2026-02-26 00:15</t>
        </is>
      </c>
      <c r="M1022" s="187" t="inlineStr">
        <is>
          <t>CHECK_VENDOR</t>
        </is>
      </c>
      <c r="N1022" s="187" t="inlineStr">
        <is>
          <t>See NVD references</t>
        </is>
      </c>
      <c r="O1022" s="187" t="inlineStr">
        <is>
          <t>Apply vendor patches</t>
        </is>
      </c>
      <c r="P1022" s="187" t="inlineStr">
        <is>
          <t>See CVE details</t>
        </is>
      </c>
      <c r="Q1022" s="187" t="inlineStr">
        <is>
          <t>P4</t>
        </is>
      </c>
      <c r="R1022" s="187" t="inlineStr">
        <is>
          <t>📅 Schedule patch deployment within 30 days | 🔍 Monitor for exploitation attempts</t>
        </is>
      </c>
      <c r="S1022" s="187" t="inlineStr">
        <is>
          <t>CVE - IP enrichment n/a</t>
        </is>
      </c>
      <c r="T1022" s="187" t="n">
        <v>0</v>
      </c>
      <c r="U1022" s="187" t="n">
        <v>0</v>
      </c>
      <c r="V1022" s="187" t="inlineStr">
        <is>
          <t>T1190:Exploit Public-Facing Application</t>
        </is>
      </c>
      <c r="W1022" s="187" t="n">
        <v>1</v>
      </c>
      <c r="X1022" s="187" t="inlineStr">
        <is>
          <t>LOW (40%)</t>
        </is>
      </c>
      <c r="Y1022" s="187" t="inlineStr">
        <is>
          <t>UNLIKELY</t>
        </is>
      </c>
      <c r="Z1022" s="187" t="inlineStr">
        <is>
          <t>CHECK_VENDOR</t>
        </is>
      </c>
      <c r="AA1022" s="187" t="inlineStr">
        <is>
          <t>https://nvd.nist.gov/vuln/detail/CVE-2026-22568</t>
        </is>
      </c>
      <c r="AB1022" s="187" t="inlineStr">
        <is>
          <t>NONE</t>
        </is>
      </c>
      <c r="AC1022" s="187" t="n">
        <v>0</v>
      </c>
      <c r="AD1022" s="187" t="inlineStr"/>
    </row>
    <row r="1023">
      <c r="A1023" s="187" t="inlineStr">
        <is>
          <t>CVE</t>
        </is>
      </c>
      <c r="B1023" s="187" t="inlineStr">
        <is>
          <t>CVE-2026-27511</t>
        </is>
      </c>
      <c r="C1023" s="187" t="inlineStr">
        <is>
          <t>Shenzhen Tenda F3 Wireless Router firmware V12.01.01.55_multi contains a clickjacking vulnerability in the web-based administrative interface. The interface does not set the X-Frame-Options header, allowing attacker-controlled sites to embed administrative pages in an iframe and trick an authenticated administrator into unintended interactions that may result in unauthorized configuration changes.</t>
        </is>
      </c>
      <c r="D1023" s="187" t="n">
        <v>4.3</v>
      </c>
      <c r="E1023" s="187" t="inlineStr">
        <is>
          <t>MEDIUM</t>
        </is>
      </c>
      <c r="F1023" s="187" t="n">
        <v>2</v>
      </c>
      <c r="G1023" s="187" t="n">
        <v>2</v>
      </c>
      <c r="H1023" s="187" t="inlineStr">
        <is>
          <t>MEDIUM</t>
        </is>
      </c>
      <c r="I1023" s="187" t="n">
        <v>8.300000000000001</v>
      </c>
      <c r="J1023" s="187" t="inlineStr">
        <is>
          <t>NO</t>
        </is>
      </c>
      <c r="K1023" s="187" t="inlineStr">
        <is>
          <t>https://nvd.nist.gov/vuln/detail/CVE-2026-27511</t>
        </is>
      </c>
      <c r="L1023" s="187" t="inlineStr">
        <is>
          <t>2026-02-26 00:15</t>
        </is>
      </c>
      <c r="M1023" s="187" t="inlineStr">
        <is>
          <t>CHECK_VENDOR</t>
        </is>
      </c>
      <c r="N1023" s="187" t="inlineStr">
        <is>
          <t>See NVD references</t>
        </is>
      </c>
      <c r="O1023" s="187" t="inlineStr">
        <is>
          <t>Apply vendor patches</t>
        </is>
      </c>
      <c r="P1023" s="187" t="inlineStr">
        <is>
          <t>tenda f3 - | tenda f3_firmware *</t>
        </is>
      </c>
      <c r="Q1023" s="187" t="inlineStr">
        <is>
          <t>P4</t>
        </is>
      </c>
      <c r="R1023" s="187" t="inlineStr">
        <is>
          <t>📅 Schedule patch deployment within 30 days | 🔍 Monitor for exploitation attempts</t>
        </is>
      </c>
      <c r="S1023" s="187" t="inlineStr">
        <is>
          <t>CVE - IP enrichment n/a</t>
        </is>
      </c>
      <c r="T1023" s="187" t="n">
        <v>0.0004</v>
      </c>
      <c r="U1023" s="187" t="n">
        <v>0.1043</v>
      </c>
      <c r="V1023" s="187" t="inlineStr">
        <is>
          <t>T1190:Exploit Public-Facing Application</t>
        </is>
      </c>
      <c r="W1023" s="187" t="n">
        <v>1</v>
      </c>
      <c r="X1023" s="187" t="inlineStr">
        <is>
          <t>LOW (40%)</t>
        </is>
      </c>
      <c r="Y1023" s="187" t="inlineStr">
        <is>
          <t>UNLIKELY</t>
        </is>
      </c>
      <c r="Z1023" s="187" t="inlineStr">
        <is>
          <t>CHECK_VENDOR</t>
        </is>
      </c>
      <c r="AA1023" s="187" t="inlineStr">
        <is>
          <t>https://nvd.nist.gov/vuln/detail/CVE-2026-27511</t>
        </is>
      </c>
      <c r="AB1023" s="187" t="inlineStr">
        <is>
          <t>NONE</t>
        </is>
      </c>
      <c r="AC1023" s="187" t="n">
        <v>0</v>
      </c>
      <c r="AD1023" s="187" t="inlineStr"/>
    </row>
    <row r="1024">
      <c r="A1024" s="187" t="inlineStr">
        <is>
          <t>CVE</t>
        </is>
      </c>
      <c r="B1024" s="187" t="inlineStr">
        <is>
          <t>CVE-2026-27512</t>
        </is>
      </c>
      <c r="C1024" s="187" t="inlineStr">
        <is>
          <t>Shenzhen Tenda F3 Wireless Router firmware V12.01.01.55_multi contains a content-type confusion vulnerability in the administrative interface. Responses omit the X-Content-Type-Options: nosniff header and include attacker-influenced content that can be reflected into the response body. Under affected browser behaviors, MIME sniffing may cause the response to be interpreted as active HTML, enabling script execution in the context of the administrative interface.</t>
        </is>
      </c>
      <c r="D1024" s="187" t="n">
        <v>6.1</v>
      </c>
      <c r="E1024" s="187" t="inlineStr">
        <is>
          <t>MEDIUM</t>
        </is>
      </c>
      <c r="F1024" s="187" t="n">
        <v>2</v>
      </c>
      <c r="G1024" s="187" t="n">
        <v>2</v>
      </c>
      <c r="H1024" s="187" t="inlineStr">
        <is>
          <t>MEDIUM</t>
        </is>
      </c>
      <c r="I1024" s="187" t="n">
        <v>10.1</v>
      </c>
      <c r="J1024" s="187" t="inlineStr">
        <is>
          <t>NO</t>
        </is>
      </c>
      <c r="K1024" s="187" t="inlineStr">
        <is>
          <t>https://nvd.nist.gov/vuln/detail/CVE-2026-27512</t>
        </is>
      </c>
      <c r="L1024" s="187" t="inlineStr">
        <is>
          <t>2026-02-26 00:15</t>
        </is>
      </c>
      <c r="M1024" s="187" t="inlineStr">
        <is>
          <t>CHECK_VENDOR</t>
        </is>
      </c>
      <c r="N1024" s="187" t="inlineStr">
        <is>
          <t>See NVD references</t>
        </is>
      </c>
      <c r="O1024" s="187" t="inlineStr">
        <is>
          <t>Apply vendor patches</t>
        </is>
      </c>
      <c r="P1024" s="187" t="inlineStr">
        <is>
          <t>tenda f3 - | tenda f3_firmware *</t>
        </is>
      </c>
      <c r="Q1024" s="187" t="inlineStr">
        <is>
          <t>P4</t>
        </is>
      </c>
      <c r="R1024" s="187" t="inlineStr">
        <is>
          <t>📅 Schedule patch deployment within 30 days | 🔍 Monitor for exploitation attempts</t>
        </is>
      </c>
      <c r="S1024" s="187" t="inlineStr">
        <is>
          <t>CVE - IP enrichment n/a</t>
        </is>
      </c>
      <c r="T1024" s="187" t="n">
        <v>0.0005</v>
      </c>
      <c r="U1024" s="187" t="n">
        <v>0.1521</v>
      </c>
      <c r="V1024" s="187" t="inlineStr">
        <is>
          <t>T1189:Drive-by Compromise</t>
        </is>
      </c>
      <c r="W1024" s="187" t="n">
        <v>1</v>
      </c>
      <c r="X1024" s="187" t="inlineStr">
        <is>
          <t>LOW (40%)</t>
        </is>
      </c>
      <c r="Y1024" s="187" t="inlineStr">
        <is>
          <t>UNLIKELY</t>
        </is>
      </c>
      <c r="Z1024" s="187" t="inlineStr">
        <is>
          <t>CHECK_VENDOR</t>
        </is>
      </c>
      <c r="AA1024" s="187" t="inlineStr">
        <is>
          <t>https://nvd.nist.gov/vuln/detail/CVE-2026-27512</t>
        </is>
      </c>
      <c r="AB1024" s="187" t="inlineStr">
        <is>
          <t>NONE</t>
        </is>
      </c>
      <c r="AC1024" s="187" t="n">
        <v>0</v>
      </c>
      <c r="AD1024" s="187" t="inlineStr"/>
    </row>
    <row r="1025">
      <c r="A1025" s="187" t="inlineStr">
        <is>
          <t>CVE</t>
        </is>
      </c>
      <c r="B1025" s="187" t="inlineStr">
        <is>
          <t>CVE-2026-27513</t>
        </is>
      </c>
      <c r="C1025" s="187" t="inlineStr">
        <is>
          <t>Shenzhen Tenda F3 Wireless Router firmware V12.01.01.55_multi contains a cross-site request forgery (CSRF) vulnerability in the web-based administrative interface. The interface does not implement anti-CSRF protections, allowing an attacker to induce an authenticated administrator to submit state-changing requests, which can result in unauthorized configuration changes.</t>
        </is>
      </c>
      <c r="D1025" s="187" t="n">
        <v>4.3</v>
      </c>
      <c r="E1025" s="187" t="inlineStr">
        <is>
          <t>MEDIUM</t>
        </is>
      </c>
      <c r="F1025" s="187" t="n">
        <v>2</v>
      </c>
      <c r="G1025" s="187" t="n">
        <v>2</v>
      </c>
      <c r="H1025" s="187" t="inlineStr">
        <is>
          <t>MEDIUM</t>
        </is>
      </c>
      <c r="I1025" s="187" t="n">
        <v>8.300000000000001</v>
      </c>
      <c r="J1025" s="187" t="inlineStr">
        <is>
          <t>NO</t>
        </is>
      </c>
      <c r="K1025" s="187" t="inlineStr">
        <is>
          <t>https://nvd.nist.gov/vuln/detail/CVE-2026-27513</t>
        </is>
      </c>
      <c r="L1025" s="187" t="inlineStr">
        <is>
          <t>2026-02-26 00:15</t>
        </is>
      </c>
      <c r="M1025" s="187" t="inlineStr">
        <is>
          <t>CHECK_VENDOR</t>
        </is>
      </c>
      <c r="N1025" s="187" t="inlineStr">
        <is>
          <t>See NVD references</t>
        </is>
      </c>
      <c r="O1025" s="187" t="inlineStr">
        <is>
          <t>Apply vendor patches</t>
        </is>
      </c>
      <c r="P1025" s="187" t="inlineStr">
        <is>
          <t>tenda f3 - | tenda f3_firmware *</t>
        </is>
      </c>
      <c r="Q1025" s="187" t="inlineStr">
        <is>
          <t>P4</t>
        </is>
      </c>
      <c r="R1025" s="187" t="inlineStr">
        <is>
          <t>📅 Schedule patch deployment within 30 days | 🔍 Monitor for exploitation attempts</t>
        </is>
      </c>
      <c r="S1025" s="187" t="inlineStr">
        <is>
          <t>CVE - IP enrichment n/a</t>
        </is>
      </c>
      <c r="T1025" s="187" t="n">
        <v>0</v>
      </c>
      <c r="U1025" s="187" t="n">
        <v>0</v>
      </c>
      <c r="V1025" s="187" t="inlineStr">
        <is>
          <t>T1185:Browser Session Hijacking</t>
        </is>
      </c>
      <c r="W1025" s="187" t="n">
        <v>1</v>
      </c>
      <c r="X1025" s="187" t="inlineStr">
        <is>
          <t>LOW (40%)</t>
        </is>
      </c>
      <c r="Y1025" s="187" t="inlineStr">
        <is>
          <t>UNLIKELY</t>
        </is>
      </c>
      <c r="Z1025" s="187" t="inlineStr">
        <is>
          <t>CHECK_VENDOR</t>
        </is>
      </c>
      <c r="AA1025" s="187" t="inlineStr">
        <is>
          <t>https://nvd.nist.gov/vuln/detail/CVE-2026-27513</t>
        </is>
      </c>
      <c r="AB1025" s="187" t="inlineStr">
        <is>
          <t>NONE</t>
        </is>
      </c>
      <c r="AC1025" s="187" t="n">
        <v>0</v>
      </c>
      <c r="AD1025" s="187" t="inlineStr"/>
    </row>
    <row r="1026">
      <c r="A1026" s="187" t="inlineStr">
        <is>
          <t>CVE</t>
        </is>
      </c>
      <c r="B1026" s="187" t="inlineStr">
        <is>
          <t>CVE-2026-27514</t>
        </is>
      </c>
      <c r="C1026" s="187" t="inlineStr">
        <is>
          <t>Shenzhen Tenda F3 Wireless Router firmware V12.01.01.55_multi contains a sensitive information exposure vulnerability in the configuration download functionality. The configuration download response includes the router password and administrative password in plaintext. The endpoint also omits appropriate Cache-Control directives, which can allow the response to be stored in client-side caches and recovered by other local users or processes with access to cached browser data.</t>
        </is>
      </c>
      <c r="D1026" s="187" t="n">
        <v>6.5</v>
      </c>
      <c r="E1026" s="187" t="inlineStr">
        <is>
          <t>MEDIUM</t>
        </is>
      </c>
      <c r="F1026" s="187" t="n">
        <v>2</v>
      </c>
      <c r="G1026" s="187" t="n">
        <v>2</v>
      </c>
      <c r="H1026" s="187" t="inlineStr">
        <is>
          <t>MEDIUM</t>
        </is>
      </c>
      <c r="I1026" s="187" t="n">
        <v>10.5</v>
      </c>
      <c r="J1026" s="187" t="inlineStr">
        <is>
          <t>NO</t>
        </is>
      </c>
      <c r="K1026" s="187" t="inlineStr">
        <is>
          <t>https://nvd.nist.gov/vuln/detail/CVE-2026-27514</t>
        </is>
      </c>
      <c r="L1026" s="187" t="inlineStr">
        <is>
          <t>2026-02-26 00:15</t>
        </is>
      </c>
      <c r="M1026" s="187" t="inlineStr">
        <is>
          <t>CHECK_VENDOR</t>
        </is>
      </c>
      <c r="N1026" s="187" t="inlineStr">
        <is>
          <t>See NVD references</t>
        </is>
      </c>
      <c r="O1026" s="187" t="inlineStr">
        <is>
          <t>Apply vendor patches</t>
        </is>
      </c>
      <c r="P1026" s="187" t="inlineStr">
        <is>
          <t>tenda f3 - | tenda f3_firmware *</t>
        </is>
      </c>
      <c r="Q1026" s="187" t="inlineStr">
        <is>
          <t>P4</t>
        </is>
      </c>
      <c r="R1026" s="187" t="inlineStr">
        <is>
          <t>📅 Schedule patch deployment within 30 days | 🔍 Monitor for exploitation attempts</t>
        </is>
      </c>
      <c r="S1026" s="187" t="inlineStr">
        <is>
          <t>CVE - IP enrichment n/a</t>
        </is>
      </c>
      <c r="T1026" s="187" t="n">
        <v>0</v>
      </c>
      <c r="U1026" s="187" t="n">
        <v>0</v>
      </c>
      <c r="V1026" s="187" t="inlineStr">
        <is>
          <t>T1190:Exploit Public-Facing Application</t>
        </is>
      </c>
      <c r="W1026" s="187" t="n">
        <v>1</v>
      </c>
      <c r="X1026" s="187" t="inlineStr">
        <is>
          <t>LOW (40%)</t>
        </is>
      </c>
      <c r="Y1026" s="187" t="inlineStr">
        <is>
          <t>UNLIKELY</t>
        </is>
      </c>
      <c r="Z1026" s="187" t="inlineStr">
        <is>
          <t>CHECK_VENDOR</t>
        </is>
      </c>
      <c r="AA1026" s="187" t="inlineStr">
        <is>
          <t>https://nvd.nist.gov/vuln/detail/CVE-2026-27514</t>
        </is>
      </c>
      <c r="AB1026" s="187" t="inlineStr">
        <is>
          <t>NONE</t>
        </is>
      </c>
      <c r="AC1026" s="187" t="n">
        <v>0</v>
      </c>
      <c r="AD1026" s="187" t="inlineStr"/>
    </row>
    <row r="1027">
      <c r="A1027" s="187" t="inlineStr">
        <is>
          <t>CVE</t>
        </is>
      </c>
      <c r="B1027" s="187" t="inlineStr">
        <is>
          <t>CVE-2026-2698</t>
        </is>
      </c>
      <c r="C1027" s="187" t="inlineStr">
        <is>
          <t>An improper access control vulnerability exists where an authenticated user could access areas outside of their authorized scope.</t>
        </is>
      </c>
      <c r="D1027" s="187" t="n">
        <v>6.5</v>
      </c>
      <c r="E1027" s="187" t="inlineStr">
        <is>
          <t>MEDIUM</t>
        </is>
      </c>
      <c r="F1027" s="187" t="n">
        <v>2</v>
      </c>
      <c r="G1027" s="187" t="n">
        <v>2</v>
      </c>
      <c r="H1027" s="187" t="inlineStr">
        <is>
          <t>MEDIUM</t>
        </is>
      </c>
      <c r="I1027" s="187" t="n">
        <v>10.5</v>
      </c>
      <c r="J1027" s="187" t="inlineStr">
        <is>
          <t>NO</t>
        </is>
      </c>
      <c r="K1027" s="187" t="inlineStr">
        <is>
          <t>https://nvd.nist.gov/vuln/detail/CVE-2026-2698</t>
        </is>
      </c>
      <c r="L1027" s="187" t="inlineStr">
        <is>
          <t>2026-02-26 00:15</t>
        </is>
      </c>
      <c r="M1027" s="187" t="inlineStr">
        <is>
          <t>CHECK_VENDOR</t>
        </is>
      </c>
      <c r="N1027" s="187" t="inlineStr">
        <is>
          <t>See NVD references</t>
        </is>
      </c>
      <c r="O1027" s="187" t="inlineStr">
        <is>
          <t>Apply vendor patches</t>
        </is>
      </c>
      <c r="P1027" s="187" t="inlineStr">
        <is>
          <t>See CVE details</t>
        </is>
      </c>
      <c r="Q1027" s="187" t="inlineStr">
        <is>
          <t>P4</t>
        </is>
      </c>
      <c r="R1027" s="187" t="inlineStr">
        <is>
          <t>📅 Schedule patch deployment within 30 days | 🔍 Monitor for exploitation attempts</t>
        </is>
      </c>
      <c r="S1027" s="187" t="inlineStr">
        <is>
          <t>CVE - IP enrichment n/a</t>
        </is>
      </c>
      <c r="T1027" s="187" t="n">
        <v>0</v>
      </c>
      <c r="U1027" s="187" t="n">
        <v>0</v>
      </c>
      <c r="V1027" s="187" t="inlineStr">
        <is>
          <t>T1190:Exploit Public-Facing Application</t>
        </is>
      </c>
      <c r="W1027" s="187" t="n">
        <v>1</v>
      </c>
      <c r="X1027" s="187" t="inlineStr">
        <is>
          <t>LOW (40%)</t>
        </is>
      </c>
      <c r="Y1027" s="187" t="inlineStr">
        <is>
          <t>UNLIKELY</t>
        </is>
      </c>
      <c r="Z1027" s="187" t="inlineStr">
        <is>
          <t>CHECK_VENDOR</t>
        </is>
      </c>
      <c r="AA1027" s="187" t="inlineStr">
        <is>
          <t>https://nvd.nist.gov/vuln/detail/CVE-2026-2698</t>
        </is>
      </c>
      <c r="AB1027" s="187" t="inlineStr">
        <is>
          <t>NONE</t>
        </is>
      </c>
      <c r="AC1027" s="187" t="n">
        <v>0</v>
      </c>
      <c r="AD1027" s="187" t="inlineStr"/>
    </row>
    <row r="1028">
      <c r="A1028" s="187" t="inlineStr">
        <is>
          <t>CVE</t>
        </is>
      </c>
      <c r="B1028" s="187" t="inlineStr">
        <is>
          <t>CVE-2026-26464</t>
        </is>
      </c>
      <c r="C1028" s="187" t="inlineStr">
        <is>
          <t>Stored Cross-Site Scripting (XSS) was found in the /admin/edit_user.php page of Society Management System Portal V1.0, which allows remote attackers to inject and store arbitrary JavaScript code that is executed in users' browsers. This vulnerability can be exploited via the name parameter in a POST HTTP request, leading to execution of malicious scripts when the affected content is viewed by other users, including administrators.</t>
        </is>
      </c>
      <c r="D1028" s="187" t="n">
        <v>6.1</v>
      </c>
      <c r="E1028" s="187" t="inlineStr">
        <is>
          <t>MEDIUM</t>
        </is>
      </c>
      <c r="F1028" s="187" t="n">
        <v>2</v>
      </c>
      <c r="G1028" s="187" t="n">
        <v>2</v>
      </c>
      <c r="H1028" s="187" t="inlineStr">
        <is>
          <t>MEDIUM</t>
        </is>
      </c>
      <c r="I1028" s="187" t="n">
        <v>10.1</v>
      </c>
      <c r="J1028" s="187" t="inlineStr">
        <is>
          <t>NO</t>
        </is>
      </c>
      <c r="K1028" s="187" t="inlineStr">
        <is>
          <t>https://nvd.nist.gov/vuln/detail/CVE-2026-26464</t>
        </is>
      </c>
      <c r="L1028" s="187" t="inlineStr">
        <is>
          <t>2026-02-26 00:15</t>
        </is>
      </c>
      <c r="M1028" s="187" t="inlineStr">
        <is>
          <t>CHECK_VENDOR</t>
        </is>
      </c>
      <c r="N1028" s="187" t="inlineStr">
        <is>
          <t>See NVD references</t>
        </is>
      </c>
      <c r="O1028" s="187" t="inlineStr">
        <is>
          <t>Apply vendor patches</t>
        </is>
      </c>
      <c r="P1028" s="187" t="inlineStr">
        <is>
          <t>See CVE details</t>
        </is>
      </c>
      <c r="Q1028" s="187" t="inlineStr">
        <is>
          <t>P4</t>
        </is>
      </c>
      <c r="R1028" s="187" t="inlineStr">
        <is>
          <t>📅 Schedule patch deployment within 30 days | 🔍 Monitor for exploitation attempts</t>
        </is>
      </c>
      <c r="S1028" s="187" t="inlineStr">
        <is>
          <t>CVE - IP enrichment n/a</t>
        </is>
      </c>
      <c r="T1028" s="187" t="n">
        <v>0.0005</v>
      </c>
      <c r="U1028" s="187" t="n">
        <v>0.1427</v>
      </c>
      <c r="V1028" s="187" t="inlineStr">
        <is>
          <t>T1189:Drive-by Compromise</t>
        </is>
      </c>
      <c r="W1028" s="187" t="n">
        <v>1</v>
      </c>
      <c r="X1028" s="187" t="inlineStr">
        <is>
          <t>LOW (40%)</t>
        </is>
      </c>
      <c r="Y1028" s="187" t="inlineStr">
        <is>
          <t>UNLIKELY</t>
        </is>
      </c>
      <c r="Z1028" s="187" t="inlineStr">
        <is>
          <t>CHECK_VENDOR</t>
        </is>
      </c>
      <c r="AA1028" s="187" t="inlineStr">
        <is>
          <t>https://nvd.nist.gov/vuln/detail/CVE-2026-26464</t>
        </is>
      </c>
      <c r="AB1028" s="187" t="inlineStr">
        <is>
          <t>NONE</t>
        </is>
      </c>
      <c r="AC1028" s="187" t="n">
        <v>0</v>
      </c>
      <c r="AD1028" s="187" t="inlineStr"/>
    </row>
    <row r="1029">
      <c r="A1029" s="187" t="inlineStr">
        <is>
          <t>CVE</t>
        </is>
      </c>
      <c r="B1029" s="187" t="inlineStr">
        <is>
          <t>CVE-2025-61143</t>
        </is>
      </c>
      <c r="C1029" s="187" t="inlineStr">
        <is>
          <t>libtiff up to v4.7.1 was discovered to contain a NULL pointer dereference via the component libtiff/tif_open.c.</t>
        </is>
      </c>
      <c r="D1029" s="187" t="n">
        <v>5.5</v>
      </c>
      <c r="E1029" s="187" t="inlineStr">
        <is>
          <t>MEDIUM</t>
        </is>
      </c>
      <c r="F1029" s="187" t="n">
        <v>2</v>
      </c>
      <c r="G1029" s="187" t="n">
        <v>2</v>
      </c>
      <c r="H1029" s="187" t="inlineStr">
        <is>
          <t>MEDIUM</t>
        </is>
      </c>
      <c r="I1029" s="187" t="n">
        <v>9.5</v>
      </c>
      <c r="J1029" s="187" t="inlineStr">
        <is>
          <t>NO</t>
        </is>
      </c>
      <c r="K1029" s="187" t="inlineStr">
        <is>
          <t>https://nvd.nist.gov/vuln/detail/CVE-2025-61143</t>
        </is>
      </c>
      <c r="L1029" s="187" t="inlineStr">
        <is>
          <t>2026-02-26 00:15</t>
        </is>
      </c>
      <c r="M1029" s="187" t="inlineStr">
        <is>
          <t>CHECK_VENDOR</t>
        </is>
      </c>
      <c r="N1029" s="187" t="inlineStr">
        <is>
          <t>See NVD references</t>
        </is>
      </c>
      <c r="O1029" s="187" t="inlineStr">
        <is>
          <t>Apply vendor patches</t>
        </is>
      </c>
      <c r="P1029" s="187" t="inlineStr">
        <is>
          <t>libtiff libtiff *</t>
        </is>
      </c>
      <c r="Q1029" s="187" t="inlineStr">
        <is>
          <t>P4</t>
        </is>
      </c>
      <c r="R1029" s="187" t="inlineStr">
        <is>
          <t>📅 Schedule patch deployment within 30 days | 🔍 Monitor for exploitation attempts</t>
        </is>
      </c>
      <c r="S1029" s="187" t="inlineStr">
        <is>
          <t>CVE - IP enrichment n/a</t>
        </is>
      </c>
      <c r="T1029" s="187" t="n">
        <v>0</v>
      </c>
      <c r="U1029" s="187" t="n">
        <v>0</v>
      </c>
      <c r="V1029" s="187" t="inlineStr">
        <is>
          <t>T1499:Endpoint Denial of Service</t>
        </is>
      </c>
      <c r="W1029" s="187" t="n">
        <v>1</v>
      </c>
      <c r="X1029" s="187" t="inlineStr">
        <is>
          <t>LOW (40%)</t>
        </is>
      </c>
      <c r="Y1029" s="187" t="inlineStr">
        <is>
          <t>UNLIKELY</t>
        </is>
      </c>
      <c r="Z1029" s="187" t="inlineStr">
        <is>
          <t>CHECK_VENDOR</t>
        </is>
      </c>
      <c r="AA1029" s="187" t="inlineStr">
        <is>
          <t>https://nvd.nist.gov/vuln/detail/CVE-2025-61143</t>
        </is>
      </c>
      <c r="AB1029" s="187" t="inlineStr">
        <is>
          <t>NONE</t>
        </is>
      </c>
      <c r="AC1029" s="187" t="n">
        <v>0</v>
      </c>
      <c r="AD1029" s="187" t="inlineStr"/>
    </row>
    <row r="1030">
      <c r="A1030" s="188" t="inlineStr">
        <is>
          <t>CVE</t>
        </is>
      </c>
      <c r="B1030" s="188" t="inlineStr">
        <is>
          <t>CVE-2025-61144</t>
        </is>
      </c>
      <c r="C1030" s="188" t="inlineStr">
        <is>
          <t>libtiff up to v4.7.1 was discovered to contain a stack overflow via the readSeparateStripsIntoBuffer function.</t>
        </is>
      </c>
      <c r="D1030" s="188" t="n">
        <v>7.3</v>
      </c>
      <c r="E1030" s="188" t="inlineStr">
        <is>
          <t>HIGH</t>
        </is>
      </c>
      <c r="F1030" s="188" t="n">
        <v>2</v>
      </c>
      <c r="G1030" s="188" t="n">
        <v>3</v>
      </c>
      <c r="H1030" s="188" t="inlineStr">
        <is>
          <t>HIGH</t>
        </is>
      </c>
      <c r="I1030" s="188" t="n">
        <v>13.3</v>
      </c>
      <c r="J1030" s="188" t="inlineStr">
        <is>
          <t>NO</t>
        </is>
      </c>
      <c r="K1030" s="188" t="inlineStr">
        <is>
          <t>https://nvd.nist.gov/vuln/detail/CVE-2025-61144</t>
        </is>
      </c>
      <c r="L1030" s="188" t="inlineStr">
        <is>
          <t>2026-02-26 00:15</t>
        </is>
      </c>
      <c r="M1030" s="188" t="inlineStr">
        <is>
          <t>YES</t>
        </is>
      </c>
      <c r="N1030" s="188" t="inlineStr">
        <is>
          <t>https://gitlab.com/libtiff/libtiff/-/commit/09f53a86cf26dfd961925227e59e180db617f26d | https://gitlab.com/libtiff/libtiff/-/commit/88cf9dbb48f6e172629795ecffae35d5052f68aa</t>
        </is>
      </c>
      <c r="O1030" s="188" t="inlineStr">
        <is>
          <t>Apply vendor patches</t>
        </is>
      </c>
      <c r="P1030" s="188" t="inlineStr">
        <is>
          <t>libtiff libtiff *</t>
        </is>
      </c>
      <c r="Q1030" s="188" t="inlineStr">
        <is>
          <t>P3</t>
        </is>
      </c>
      <c r="R1030" s="188" t="inlineStr">
        <is>
          <t>🚨 URGENT: Apply vendor patches immediately | 🔒 Isolate affected systems if patch unavailable | 🛡️ Enable additional monitoring/IDS rules</t>
        </is>
      </c>
      <c r="S1030" s="188" t="inlineStr">
        <is>
          <t>CVE - IP enrichment n/a</t>
        </is>
      </c>
      <c r="T1030" s="188" t="n">
        <v>0</v>
      </c>
      <c r="U1030" s="188" t="n">
        <v>0</v>
      </c>
      <c r="V1030" s="188" t="inlineStr">
        <is>
          <t>T1203:Exploitation for Client Execution</t>
        </is>
      </c>
      <c r="W1030" s="188" t="n">
        <v>1</v>
      </c>
      <c r="X1030" s="188" t="inlineStr">
        <is>
          <t>LOW (40%)</t>
        </is>
      </c>
      <c r="Y1030" s="188" t="inlineStr">
        <is>
          <t>UNLIKELY</t>
        </is>
      </c>
      <c r="Z1030" s="188" t="inlineStr">
        <is>
          <t>PATCH_AVAILABLE</t>
        </is>
      </c>
      <c r="AA1030" s="188" t="inlineStr">
        <is>
          <t>https://nvd.nist.gov/vuln/detail/CVE-2025-61144</t>
        </is>
      </c>
      <c r="AB1030" s="188" t="inlineStr">
        <is>
          <t>NONE</t>
        </is>
      </c>
      <c r="AC1030" s="188" t="n">
        <v>0</v>
      </c>
      <c r="AD1030" s="188" t="inlineStr"/>
    </row>
    <row r="1031">
      <c r="A1031" s="187" t="inlineStr">
        <is>
          <t>CVE</t>
        </is>
      </c>
      <c r="B1031" s="187" t="inlineStr">
        <is>
          <t>CVE-2025-61145</t>
        </is>
      </c>
      <c r="C1031" s="187" t="inlineStr">
        <is>
          <t>libtiff up to v4.7.1 was discovered to contain a double free via the component tools/tiffcrop.c.</t>
        </is>
      </c>
      <c r="D1031" s="187" t="n">
        <v>5</v>
      </c>
      <c r="E1031" s="187" t="inlineStr">
        <is>
          <t>MEDIUM</t>
        </is>
      </c>
      <c r="F1031" s="187" t="n">
        <v>2</v>
      </c>
      <c r="G1031" s="187" t="n">
        <v>2</v>
      </c>
      <c r="H1031" s="187" t="inlineStr">
        <is>
          <t>MEDIUM</t>
        </is>
      </c>
      <c r="I1031" s="187" t="n">
        <v>9</v>
      </c>
      <c r="J1031" s="187" t="inlineStr">
        <is>
          <t>NO</t>
        </is>
      </c>
      <c r="K1031" s="187" t="inlineStr">
        <is>
          <t>https://nvd.nist.gov/vuln/detail/CVE-2025-61145</t>
        </is>
      </c>
      <c r="L1031" s="187" t="inlineStr">
        <is>
          <t>2026-02-26 00:15</t>
        </is>
      </c>
      <c r="M1031" s="187" t="inlineStr">
        <is>
          <t>CHECK_VENDOR</t>
        </is>
      </c>
      <c r="N1031" s="187" t="inlineStr">
        <is>
          <t>See NVD references</t>
        </is>
      </c>
      <c r="O1031" s="187" t="inlineStr">
        <is>
          <t>Apply vendor patches</t>
        </is>
      </c>
      <c r="P1031" s="187" t="inlineStr">
        <is>
          <t>libtiff libtiff *</t>
        </is>
      </c>
      <c r="Q1031" s="187" t="inlineStr">
        <is>
          <t>P4</t>
        </is>
      </c>
      <c r="R1031" s="187" t="inlineStr">
        <is>
          <t>📅 Schedule patch deployment within 30 days | 🔍 Monitor for exploitation attempts</t>
        </is>
      </c>
      <c r="S1031" s="187" t="inlineStr">
        <is>
          <t>CVE - IP enrichment n/a</t>
        </is>
      </c>
      <c r="T1031" s="187" t="n">
        <v>0</v>
      </c>
      <c r="U1031" s="187" t="n">
        <v>0</v>
      </c>
      <c r="V1031" s="187" t="inlineStr">
        <is>
          <t>T1190:Exploit Public-Facing Application</t>
        </is>
      </c>
      <c r="W1031" s="187" t="n">
        <v>1</v>
      </c>
      <c r="X1031" s="187" t="inlineStr">
        <is>
          <t>LOW (40%)</t>
        </is>
      </c>
      <c r="Y1031" s="187" t="inlineStr">
        <is>
          <t>UNLIKELY</t>
        </is>
      </c>
      <c r="Z1031" s="187" t="inlineStr">
        <is>
          <t>CHECK_VENDOR</t>
        </is>
      </c>
      <c r="AA1031" s="187" t="inlineStr">
        <is>
          <t>https://nvd.nist.gov/vuln/detail/CVE-2025-61145</t>
        </is>
      </c>
      <c r="AB1031" s="187" t="inlineStr">
        <is>
          <t>NONE</t>
        </is>
      </c>
      <c r="AC1031" s="187" t="n">
        <v>0</v>
      </c>
      <c r="AD1031" s="187" t="inlineStr"/>
    </row>
    <row r="1032">
      <c r="A1032" s="187" t="inlineStr">
        <is>
          <t>CVE</t>
        </is>
      </c>
      <c r="B1032" s="187" t="inlineStr">
        <is>
          <t>CVE-2025-61146</t>
        </is>
      </c>
      <c r="C1032" s="187" t="inlineStr">
        <is>
          <t>saitoha libsixel until v1.8.7 was discovered to contain a memory leak via the component malloc_stub.c.</t>
        </is>
      </c>
      <c r="D1032" s="187" t="n">
        <v>4</v>
      </c>
      <c r="E1032" s="187" t="inlineStr">
        <is>
          <t>MEDIUM</t>
        </is>
      </c>
      <c r="F1032" s="187" t="n">
        <v>2</v>
      </c>
      <c r="G1032" s="187" t="n">
        <v>2</v>
      </c>
      <c r="H1032" s="187" t="inlineStr">
        <is>
          <t>MEDIUM</t>
        </is>
      </c>
      <c r="I1032" s="187" t="n">
        <v>8</v>
      </c>
      <c r="J1032" s="187" t="inlineStr">
        <is>
          <t>NO</t>
        </is>
      </c>
      <c r="K1032" s="187" t="inlineStr">
        <is>
          <t>https://nvd.nist.gov/vuln/detail/CVE-2025-61146</t>
        </is>
      </c>
      <c r="L1032" s="187" t="inlineStr">
        <is>
          <t>2026-02-26 00:15</t>
        </is>
      </c>
      <c r="M1032" s="187" t="inlineStr">
        <is>
          <t>CHECK_VENDOR</t>
        </is>
      </c>
      <c r="N1032" s="187" t="inlineStr">
        <is>
          <t>See NVD references</t>
        </is>
      </c>
      <c r="O1032" s="187" t="inlineStr">
        <is>
          <t>Apply vendor patches</t>
        </is>
      </c>
      <c r="P1032" s="187" t="inlineStr">
        <is>
          <t>See CVE details</t>
        </is>
      </c>
      <c r="Q1032" s="187" t="inlineStr">
        <is>
          <t>P4</t>
        </is>
      </c>
      <c r="R1032" s="187" t="inlineStr">
        <is>
          <t>📅 Schedule patch deployment within 30 days | 🔍 Monitor for exploitation attempts</t>
        </is>
      </c>
      <c r="S1032" s="187" t="inlineStr">
        <is>
          <t>CVE - IP enrichment n/a</t>
        </is>
      </c>
      <c r="T1032" s="187" t="n">
        <v>0</v>
      </c>
      <c r="U1032" s="187" t="n">
        <v>0</v>
      </c>
      <c r="V1032" s="187" t="inlineStr">
        <is>
          <t>T1190:Exploit Public-Facing Application</t>
        </is>
      </c>
      <c r="W1032" s="187" t="n">
        <v>1</v>
      </c>
      <c r="X1032" s="187" t="inlineStr">
        <is>
          <t>LOW (40%)</t>
        </is>
      </c>
      <c r="Y1032" s="187" t="inlineStr">
        <is>
          <t>UNLIKELY</t>
        </is>
      </c>
      <c r="Z1032" s="187" t="inlineStr">
        <is>
          <t>CHECK_VENDOR</t>
        </is>
      </c>
      <c r="AA1032" s="187" t="inlineStr">
        <is>
          <t>https://nvd.nist.gov/vuln/detail/CVE-2025-61146</t>
        </is>
      </c>
      <c r="AB1032" s="187" t="inlineStr">
        <is>
          <t>NONE</t>
        </is>
      </c>
      <c r="AC1032" s="187" t="n">
        <v>0</v>
      </c>
      <c r="AD1032" s="187" t="inlineStr"/>
    </row>
    <row r="1033">
      <c r="A1033" s="187" t="inlineStr">
        <is>
          <t>CVE</t>
        </is>
      </c>
      <c r="B1033" s="187" t="inlineStr">
        <is>
          <t>CVE-2025-61147</t>
        </is>
      </c>
      <c r="C1033" s="187" t="inlineStr">
        <is>
          <t>strukturag libde265 commit d9fea9d wa discovered to contain a segmentation fault via the component decoder_context::compute_framedrop_table().</t>
        </is>
      </c>
      <c r="D1033" s="187" t="n">
        <v>6.2</v>
      </c>
      <c r="E1033" s="187" t="inlineStr">
        <is>
          <t>MEDIUM</t>
        </is>
      </c>
      <c r="F1033" s="187" t="n">
        <v>2</v>
      </c>
      <c r="G1033" s="187" t="n">
        <v>2</v>
      </c>
      <c r="H1033" s="187" t="inlineStr">
        <is>
          <t>MEDIUM</t>
        </is>
      </c>
      <c r="I1033" s="187" t="n">
        <v>10.2</v>
      </c>
      <c r="J1033" s="187" t="inlineStr">
        <is>
          <t>NO</t>
        </is>
      </c>
      <c r="K1033" s="187" t="inlineStr">
        <is>
          <t>https://nvd.nist.gov/vuln/detail/CVE-2025-61147</t>
        </is>
      </c>
      <c r="L1033" s="187" t="inlineStr">
        <is>
          <t>2026-02-26 00:15</t>
        </is>
      </c>
      <c r="M1033" s="187" t="inlineStr">
        <is>
          <t>CHECK_VENDOR</t>
        </is>
      </c>
      <c r="N1033" s="187" t="inlineStr">
        <is>
          <t>See NVD references</t>
        </is>
      </c>
      <c r="O1033" s="187" t="inlineStr">
        <is>
          <t>Apply vendor patches</t>
        </is>
      </c>
      <c r="P1033" s="187" t="inlineStr">
        <is>
          <t>See CVE details</t>
        </is>
      </c>
      <c r="Q1033" s="187" t="inlineStr">
        <is>
          <t>P4</t>
        </is>
      </c>
      <c r="R1033" s="187" t="inlineStr">
        <is>
          <t>📅 Schedule patch deployment within 30 days | 🔍 Monitor for exploitation attempts</t>
        </is>
      </c>
      <c r="S1033" s="187" t="inlineStr">
        <is>
          <t>CVE - IP enrichment n/a</t>
        </is>
      </c>
      <c r="T1033" s="187" t="n">
        <v>0</v>
      </c>
      <c r="U1033" s="187" t="n">
        <v>0</v>
      </c>
      <c r="V1033" s="187" t="inlineStr">
        <is>
          <t>T1203:Exploitation for Client Execution</t>
        </is>
      </c>
      <c r="W1033" s="187" t="n">
        <v>1</v>
      </c>
      <c r="X1033" s="187" t="inlineStr">
        <is>
          <t>LOW (40%)</t>
        </is>
      </c>
      <c r="Y1033" s="187" t="inlineStr">
        <is>
          <t>UNLIKELY</t>
        </is>
      </c>
      <c r="Z1033" s="187" t="inlineStr">
        <is>
          <t>CHECK_VENDOR</t>
        </is>
      </c>
      <c r="AA1033" s="187" t="inlineStr">
        <is>
          <t>https://nvd.nist.gov/vuln/detail/CVE-2025-61147</t>
        </is>
      </c>
      <c r="AB1033" s="187" t="inlineStr">
        <is>
          <t>NONE</t>
        </is>
      </c>
      <c r="AC1033" s="187" t="n">
        <v>0</v>
      </c>
      <c r="AD1033" s="187" t="inlineStr"/>
    </row>
    <row r="1034">
      <c r="A1034" s="188" t="inlineStr">
        <is>
          <t>CVE</t>
        </is>
      </c>
      <c r="B1034" s="188" t="inlineStr">
        <is>
          <t>CVE-2025-63945</t>
        </is>
      </c>
      <c r="C1034" s="188" t="inlineStr">
        <is>
          <t>A privilege escalation (PE) vulnerability in the Tencent iOA app thru 210.9.28693.621001 on Windows devices enables a local user to execute programs with elevated privileges. However, execution requires that the local user is able to successfully exploit a race condition.</t>
        </is>
      </c>
      <c r="D1034" s="188" t="n">
        <v>7.4</v>
      </c>
      <c r="E1034" s="188" t="inlineStr">
        <is>
          <t>HIGH</t>
        </is>
      </c>
      <c r="F1034" s="188" t="n">
        <v>2</v>
      </c>
      <c r="G1034" s="188" t="n">
        <v>3</v>
      </c>
      <c r="H1034" s="188" t="inlineStr">
        <is>
          <t>HIGH</t>
        </is>
      </c>
      <c r="I1034" s="188" t="n">
        <v>13.4</v>
      </c>
      <c r="J1034" s="188" t="inlineStr">
        <is>
          <t>NO</t>
        </is>
      </c>
      <c r="K1034" s="188" t="inlineStr">
        <is>
          <t>https://nvd.nist.gov/vuln/detail/CVE-2025-63945</t>
        </is>
      </c>
      <c r="L1034" s="188" t="inlineStr">
        <is>
          <t>2026-02-26 00:15</t>
        </is>
      </c>
      <c r="M1034" s="188" t="inlineStr">
        <is>
          <t>CHECK_VENDOR</t>
        </is>
      </c>
      <c r="N1034" s="188" t="inlineStr">
        <is>
          <t>See NVD references</t>
        </is>
      </c>
      <c r="O1034" s="188" t="inlineStr">
        <is>
          <t>Apply vendor patches</t>
        </is>
      </c>
      <c r="P1034" s="188" t="inlineStr">
        <is>
          <t>See CVE details</t>
        </is>
      </c>
      <c r="Q1034" s="188" t="inlineStr">
        <is>
          <t>P3</t>
        </is>
      </c>
      <c r="R1034" s="188" t="inlineStr">
        <is>
          <t>🚨 URGENT: Apply vendor patches immediately | 🔒 Isolate affected systems if patch unavailable | 🛡️ Enable additional monitoring/IDS rules</t>
        </is>
      </c>
      <c r="S1034" s="188" t="inlineStr">
        <is>
          <t>CVE - IP enrichment n/a</t>
        </is>
      </c>
      <c r="T1034" s="188" t="n">
        <v>0</v>
      </c>
      <c r="U1034" s="188" t="n">
        <v>0</v>
      </c>
      <c r="V1034" s="188" t="inlineStr">
        <is>
          <t>T1068:Exploitation for Privilege Escalation</t>
        </is>
      </c>
      <c r="W1034" s="188" t="n">
        <v>1</v>
      </c>
      <c r="X1034" s="188" t="inlineStr">
        <is>
          <t>LOW (40%)</t>
        </is>
      </c>
      <c r="Y1034" s="188" t="inlineStr">
        <is>
          <t>UNLIKELY</t>
        </is>
      </c>
      <c r="Z1034" s="188" t="inlineStr">
        <is>
          <t>CHECK_VENDOR</t>
        </is>
      </c>
      <c r="AA1034" s="188" t="inlineStr">
        <is>
          <t>https://nvd.nist.gov/vuln/detail/CVE-2025-63945</t>
        </is>
      </c>
      <c r="AB1034" s="188" t="inlineStr">
        <is>
          <t>NONE</t>
        </is>
      </c>
      <c r="AC1034" s="188" t="n">
        <v>0</v>
      </c>
      <c r="AD1034" s="188" t="inlineStr"/>
    </row>
    <row r="1035">
      <c r="A1035" s="188" t="inlineStr">
        <is>
          <t>CVE</t>
        </is>
      </c>
      <c r="B1035" s="188" t="inlineStr">
        <is>
          <t>CVE-2025-63946</t>
        </is>
      </c>
      <c r="C1035" s="188" t="inlineStr">
        <is>
          <t>A privilege escalation (PE) vulnerability in the Tencent PC Manager app thru 17.10.28554.205 on Windows devices enables a local user to execute programs with elevated privileges. However, execution requires that the local user is able to successfully exploit a race condition.</t>
        </is>
      </c>
      <c r="D1035" s="188" t="n">
        <v>7.4</v>
      </c>
      <c r="E1035" s="188" t="inlineStr">
        <is>
          <t>HIGH</t>
        </is>
      </c>
      <c r="F1035" s="188" t="n">
        <v>2</v>
      </c>
      <c r="G1035" s="188" t="n">
        <v>3</v>
      </c>
      <c r="H1035" s="188" t="inlineStr">
        <is>
          <t>HIGH</t>
        </is>
      </c>
      <c r="I1035" s="188" t="n">
        <v>13.4</v>
      </c>
      <c r="J1035" s="188" t="inlineStr">
        <is>
          <t>NO</t>
        </is>
      </c>
      <c r="K1035" s="188" t="inlineStr">
        <is>
          <t>https://nvd.nist.gov/vuln/detail/CVE-2025-63946</t>
        </is>
      </c>
      <c r="L1035" s="188" t="inlineStr">
        <is>
          <t>2026-02-26 00:15</t>
        </is>
      </c>
      <c r="M1035" s="188" t="inlineStr">
        <is>
          <t>CHECK_VENDOR</t>
        </is>
      </c>
      <c r="N1035" s="188" t="inlineStr">
        <is>
          <t>See NVD references</t>
        </is>
      </c>
      <c r="O1035" s="188" t="inlineStr">
        <is>
          <t>Apply vendor patches</t>
        </is>
      </c>
      <c r="P1035" s="188" t="inlineStr">
        <is>
          <t>See CVE details</t>
        </is>
      </c>
      <c r="Q1035" s="188" t="inlineStr">
        <is>
          <t>P3</t>
        </is>
      </c>
      <c r="R1035" s="188" t="inlineStr">
        <is>
          <t>🚨 URGENT: Apply vendor patches immediately | 🔒 Isolate affected systems if patch unavailable | 🛡️ Enable additional monitoring/IDS rules</t>
        </is>
      </c>
      <c r="S1035" s="188" t="inlineStr">
        <is>
          <t>CVE - IP enrichment n/a</t>
        </is>
      </c>
      <c r="T1035" s="188" t="n">
        <v>0.0002</v>
      </c>
      <c r="U1035" s="188" t="n">
        <v>0.0605</v>
      </c>
      <c r="V1035" s="188" t="inlineStr">
        <is>
          <t>T1068:Exploitation for Privilege Escalation</t>
        </is>
      </c>
      <c r="W1035" s="188" t="n">
        <v>1</v>
      </c>
      <c r="X1035" s="188" t="inlineStr">
        <is>
          <t>LOW (40%)</t>
        </is>
      </c>
      <c r="Y1035" s="188" t="inlineStr">
        <is>
          <t>UNLIKELY</t>
        </is>
      </c>
      <c r="Z1035" s="188" t="inlineStr">
        <is>
          <t>CHECK_VENDOR</t>
        </is>
      </c>
      <c r="AA1035" s="188" t="inlineStr">
        <is>
          <t>https://nvd.nist.gov/vuln/detail/CVE-2025-63946</t>
        </is>
      </c>
      <c r="AB1035" s="188" t="inlineStr">
        <is>
          <t>NONE</t>
        </is>
      </c>
      <c r="AC1035" s="188" t="n">
        <v>0</v>
      </c>
      <c r="AD1035" s="188" t="inlineStr"/>
    </row>
    <row r="1036">
      <c r="A1036" s="188" t="inlineStr">
        <is>
          <t>CVE</t>
        </is>
      </c>
      <c r="B1036" s="188" t="inlineStr">
        <is>
          <t>CVE-2025-67733</t>
        </is>
      </c>
      <c r="C1036" s="188" t="inlineStr">
        <is>
          <t>Valkey is a distributed key-value database. Prior to versions 9.0.2, 8.1.6, 8.0.7, and 7.2.12, a malicious user can use scripting commands to inject arbitrary information into the response stream for the given client, potentially corrupting or returning tampered data to other users on the same connection. The error handling code for lua scripts does not properly handle null characters. Versions 9.0.2, 8.1.6, 8.0.7, and 7.2.12 fix the issue.</t>
        </is>
      </c>
      <c r="D1036" s="188" t="n">
        <v>8.5</v>
      </c>
      <c r="E1036" s="188" t="inlineStr">
        <is>
          <t>HIGH</t>
        </is>
      </c>
      <c r="F1036" s="188" t="n">
        <v>2</v>
      </c>
      <c r="G1036" s="188" t="n">
        <v>3</v>
      </c>
      <c r="H1036" s="188" t="inlineStr">
        <is>
          <t>HIGH</t>
        </is>
      </c>
      <c r="I1036" s="188" t="n">
        <v>14.5</v>
      </c>
      <c r="J1036" s="188" t="inlineStr">
        <is>
          <t>NO</t>
        </is>
      </c>
      <c r="K1036" s="188" t="inlineStr">
        <is>
          <t>https://nvd.nist.gov/vuln/detail/CVE-2025-67733</t>
        </is>
      </c>
      <c r="L1036" s="188" t="inlineStr">
        <is>
          <t>2026-02-26 00:15</t>
        </is>
      </c>
      <c r="M1036" s="188" t="inlineStr">
        <is>
          <t>YES</t>
        </is>
      </c>
      <c r="N1036" s="188" t="inlineStr">
        <is>
          <t>https://github.com/valkey-io/valkey/security/advisories/GHSA-p876-p7q5-hv2m</t>
        </is>
      </c>
      <c r="O1036" s="188" t="inlineStr">
        <is>
          <t>Apply vendor patches</t>
        </is>
      </c>
      <c r="P1036" s="188" t="inlineStr">
        <is>
          <t>lfprojects valkey *</t>
        </is>
      </c>
      <c r="Q1036" s="188" t="inlineStr">
        <is>
          <t>P3</t>
        </is>
      </c>
      <c r="R1036" s="188" t="inlineStr">
        <is>
          <t>🚨 URGENT: Apply vendor patches immediately | 🔒 Isolate affected systems if patch unavailable | 🛡️ Enable additional monitoring/IDS rules</t>
        </is>
      </c>
      <c r="S1036" s="188" t="inlineStr">
        <is>
          <t>CVE - IP enrichment n/a</t>
        </is>
      </c>
      <c r="T1036" s="188" t="n">
        <v>0</v>
      </c>
      <c r="U1036" s="188" t="n">
        <v>0</v>
      </c>
      <c r="V1036" s="188" t="inlineStr">
        <is>
          <t>T1190:Exploit Public-Facing Application</t>
        </is>
      </c>
      <c r="W1036" s="188" t="n">
        <v>1</v>
      </c>
      <c r="X1036" s="188" t="inlineStr">
        <is>
          <t>LOW (40%)</t>
        </is>
      </c>
      <c r="Y1036" s="188" t="inlineStr">
        <is>
          <t>UNLIKELY</t>
        </is>
      </c>
      <c r="Z1036" s="188" t="inlineStr">
        <is>
          <t>PATCH_AVAILABLE</t>
        </is>
      </c>
      <c r="AA1036" s="188" t="inlineStr">
        <is>
          <t>https://nvd.nist.gov/vuln/detail/CVE-2025-67733</t>
        </is>
      </c>
      <c r="AB1036" s="188" t="inlineStr">
        <is>
          <t>NONE</t>
        </is>
      </c>
      <c r="AC1036" s="188" t="n">
        <v>0</v>
      </c>
      <c r="AD1036" s="188" t="inlineStr"/>
    </row>
    <row r="1037">
      <c r="A1037" s="188" t="inlineStr">
        <is>
          <t>CVE</t>
        </is>
      </c>
      <c r="B1037" s="188" t="inlineStr">
        <is>
          <t>CVE-2025-70329</t>
        </is>
      </c>
      <c r="C1037" s="188" t="inlineStr">
        <is>
          <t>TOTOLink X5000R v9.1.0cu_2415_B20250515 contains an OS command injection vulnerability in the setIptvCfg handler of the /usr/sbin/lighttpd executable. The vlanVidLan1 (and other vlanVidLanX) parameters are retrieved via Uci_Get_Str and passed to the CsteSystem function without adequate validation or filtering. This allows an authenticated attacker to execute arbitrary shell commands with root privileges by injecting shell metacharacters into the affected parameters.</t>
        </is>
      </c>
      <c r="D1037" s="188" t="n">
        <v>8</v>
      </c>
      <c r="E1037" s="188" t="inlineStr">
        <is>
          <t>HIGH</t>
        </is>
      </c>
      <c r="F1037" s="188" t="n">
        <v>2</v>
      </c>
      <c r="G1037" s="188" t="n">
        <v>3</v>
      </c>
      <c r="H1037" s="188" t="inlineStr">
        <is>
          <t>HIGH</t>
        </is>
      </c>
      <c r="I1037" s="188" t="n">
        <v>14</v>
      </c>
      <c r="J1037" s="188" t="inlineStr">
        <is>
          <t>NO</t>
        </is>
      </c>
      <c r="K1037" s="188" t="inlineStr">
        <is>
          <t>https://nvd.nist.gov/vuln/detail/CVE-2025-70329</t>
        </is>
      </c>
      <c r="L1037" s="188" t="inlineStr">
        <is>
          <t>2026-02-26 00:15</t>
        </is>
      </c>
      <c r="M1037" s="188" t="inlineStr">
        <is>
          <t>CHECK_VENDOR</t>
        </is>
      </c>
      <c r="N1037" s="188" t="inlineStr">
        <is>
          <t>See NVD references</t>
        </is>
      </c>
      <c r="O1037" s="188" t="inlineStr">
        <is>
          <t>Apply vendor patches</t>
        </is>
      </c>
      <c r="P1037" s="188" t="inlineStr">
        <is>
          <t>totolink x5000r_firmware 9.1.0cu.2415_b20250515 | totolink x5000r -</t>
        </is>
      </c>
      <c r="Q1037" s="188" t="inlineStr">
        <is>
          <t>P3</t>
        </is>
      </c>
      <c r="R1037" s="188" t="inlineStr">
        <is>
          <t>🚨 URGENT: Apply vendor patches immediately | 🔒 Isolate affected systems if patch unavailable | 🛡️ Enable additional monitoring/IDS rules</t>
        </is>
      </c>
      <c r="S1037" s="188" t="inlineStr">
        <is>
          <t>CVE - IP enrichment n/a</t>
        </is>
      </c>
      <c r="T1037" s="188" t="n">
        <v>0.0049</v>
      </c>
      <c r="U1037" s="188" t="n">
        <v>0.6492</v>
      </c>
      <c r="V1037" s="188" t="inlineStr">
        <is>
          <t>T1059:Command and Scripting Interpreter</t>
        </is>
      </c>
      <c r="W1037" s="188" t="n">
        <v>1</v>
      </c>
      <c r="X1037" s="188" t="inlineStr">
        <is>
          <t>LOW (40%)</t>
        </is>
      </c>
      <c r="Y1037" s="188" t="inlineStr">
        <is>
          <t>UNLIKELY</t>
        </is>
      </c>
      <c r="Z1037" s="188" t="inlineStr">
        <is>
          <t>CHECK_VENDOR</t>
        </is>
      </c>
      <c r="AA1037" s="188" t="inlineStr">
        <is>
          <t>https://nvd.nist.gov/vuln/detail/CVE-2025-70329</t>
        </is>
      </c>
      <c r="AB1037" s="188" t="inlineStr">
        <is>
          <t>NONE</t>
        </is>
      </c>
      <c r="AC1037" s="188" t="n">
        <v>0</v>
      </c>
      <c r="AD1037" s="188" t="inlineStr"/>
    </row>
    <row r="1038">
      <c r="A1038" s="188" t="inlineStr">
        <is>
          <t>CVE</t>
        </is>
      </c>
      <c r="B1038" s="188" t="inlineStr">
        <is>
          <t>CVE-2026-21863</t>
        </is>
      </c>
      <c r="C1038" s="188" t="inlineStr">
        <is>
          <t>Valkey is a distributed key-value database. Prior to versions 9.0.2, 8.1.6, 8.0.7, and 7.2.12, a malicious actor with access to the Valkey clusterbus port can send an invalid packet that may cause an out bound read, which might result in the system crashing. The Valkey clusterbus packet processing code does not validate that a clusterbus ping extension packet is located within buffer of the clusterbus packet before attempting to read it. Versions 9.0.2, 8.1.6, 8.0.7, and 7.2.12 fix the issue. As</t>
        </is>
      </c>
      <c r="D1038" s="188" t="n">
        <v>7.5</v>
      </c>
      <c r="E1038" s="188" t="inlineStr">
        <is>
          <t>HIGH</t>
        </is>
      </c>
      <c r="F1038" s="188" t="n">
        <v>2</v>
      </c>
      <c r="G1038" s="188" t="n">
        <v>3</v>
      </c>
      <c r="H1038" s="188" t="inlineStr">
        <is>
          <t>HIGH</t>
        </is>
      </c>
      <c r="I1038" s="188" t="n">
        <v>13.5</v>
      </c>
      <c r="J1038" s="188" t="inlineStr">
        <is>
          <t>NO</t>
        </is>
      </c>
      <c r="K1038" s="188" t="inlineStr">
        <is>
          <t>https://nvd.nist.gov/vuln/detail/CVE-2026-21863</t>
        </is>
      </c>
      <c r="L1038" s="188" t="inlineStr">
        <is>
          <t>2026-02-26 00:15</t>
        </is>
      </c>
      <c r="M1038" s="188" t="inlineStr">
        <is>
          <t>YES</t>
        </is>
      </c>
      <c r="N1038" s="188" t="inlineStr">
        <is>
          <t>https://github.com/valkey-io/valkey/security/advisories/GHSA-c677-q3wr-gggq</t>
        </is>
      </c>
      <c r="O1038" s="188" t="inlineStr">
        <is>
          <t>Apply vendor patches</t>
        </is>
      </c>
      <c r="P1038" s="188" t="inlineStr">
        <is>
          <t>lfprojects valkey *</t>
        </is>
      </c>
      <c r="Q1038" s="188" t="inlineStr">
        <is>
          <t>P3</t>
        </is>
      </c>
      <c r="R1038" s="188" t="inlineStr">
        <is>
          <t>🚨 URGENT: Apply vendor patches immediately | 🔒 Isolate affected systems if patch unavailable | 🛡️ Enable additional monitoring/IDS rules</t>
        </is>
      </c>
      <c r="S1038" s="188" t="inlineStr">
        <is>
          <t>CVE - IP enrichment n/a</t>
        </is>
      </c>
      <c r="T1038" s="188" t="n">
        <v>0</v>
      </c>
      <c r="U1038" s="188" t="n">
        <v>0</v>
      </c>
      <c r="V1038" s="188" t="inlineStr">
        <is>
          <t>T1203:Exploitation for Client Execution</t>
        </is>
      </c>
      <c r="W1038" s="188" t="n">
        <v>1</v>
      </c>
      <c r="X1038" s="188" t="inlineStr">
        <is>
          <t>LOW (40%)</t>
        </is>
      </c>
      <c r="Y1038" s="188" t="inlineStr">
        <is>
          <t>UNLIKELY</t>
        </is>
      </c>
      <c r="Z1038" s="188" t="inlineStr">
        <is>
          <t>PATCH_AVAILABLE</t>
        </is>
      </c>
      <c r="AA1038" s="188" t="inlineStr">
        <is>
          <t>https://nvd.nist.gov/vuln/detail/CVE-2026-21863</t>
        </is>
      </c>
      <c r="AB1038" s="188" t="inlineStr">
        <is>
          <t>NONE</t>
        </is>
      </c>
      <c r="AC1038" s="188" t="n">
        <v>0</v>
      </c>
      <c r="AD1038" s="188" t="inlineStr"/>
    </row>
    <row r="1039">
      <c r="A1039" s="188" t="inlineStr">
        <is>
          <t>CVE</t>
        </is>
      </c>
      <c r="B1039" s="188" t="inlineStr">
        <is>
          <t>CVE-2026-27623</t>
        </is>
      </c>
      <c r="C1039" s="188" t="inlineStr">
        <is>
          <t>Valkey is a distributed key-value database. Starting in version 9.0.0 and prior to version 9.0.3, a malicious actor with network access to Valkey can cause the system to abort by triggering an assertion. When processing incoming requests, the Valkey system does not properly reset the networking state after processing an empty request. A malicious actor can then send a request that the server incorrectly identifies as breaking server side invariants, which results in the server shutting down. Ver</t>
        </is>
      </c>
      <c r="D1039" s="188" t="n">
        <v>7.5</v>
      </c>
      <c r="E1039" s="188" t="inlineStr">
        <is>
          <t>HIGH</t>
        </is>
      </c>
      <c r="F1039" s="188" t="n">
        <v>2</v>
      </c>
      <c r="G1039" s="188" t="n">
        <v>3</v>
      </c>
      <c r="H1039" s="188" t="inlineStr">
        <is>
          <t>HIGH</t>
        </is>
      </c>
      <c r="I1039" s="188" t="n">
        <v>13.5</v>
      </c>
      <c r="J1039" s="188" t="inlineStr">
        <is>
          <t>NO</t>
        </is>
      </c>
      <c r="K1039" s="188" t="inlineStr">
        <is>
          <t>https://nvd.nist.gov/vuln/detail/CVE-2026-27623</t>
        </is>
      </c>
      <c r="L1039" s="188" t="inlineStr">
        <is>
          <t>2026-02-26 00:15</t>
        </is>
      </c>
      <c r="M1039" s="188" t="inlineStr">
        <is>
          <t>YES</t>
        </is>
      </c>
      <c r="N1039" s="188" t="inlineStr">
        <is>
          <t>https://github.com/valkey-io/valkey/security/advisories/GHSA-93p9-5vc7-8wgr</t>
        </is>
      </c>
      <c r="O1039" s="188" t="inlineStr">
        <is>
          <t>Apply vendor patches</t>
        </is>
      </c>
      <c r="P1039" s="188" t="inlineStr">
        <is>
          <t>lfprojects valkey *</t>
        </is>
      </c>
      <c r="Q1039" s="188" t="inlineStr">
        <is>
          <t>P3</t>
        </is>
      </c>
      <c r="R1039" s="188" t="inlineStr">
        <is>
          <t>🚨 URGENT: Apply vendor patches immediately | 🔒 Isolate affected systems if patch unavailable | 🛡️ Enable additional monitoring/IDS rules</t>
        </is>
      </c>
      <c r="S1039" s="188" t="inlineStr">
        <is>
          <t>CVE - IP enrichment n/a</t>
        </is>
      </c>
      <c r="T1039" s="188" t="n">
        <v>0.0005999999999999999</v>
      </c>
      <c r="U1039" s="188" t="n">
        <v>0.1843</v>
      </c>
      <c r="V1039" s="188" t="inlineStr">
        <is>
          <t>T1190:Exploit Public-Facing Application</t>
        </is>
      </c>
      <c r="W1039" s="188" t="n">
        <v>1</v>
      </c>
      <c r="X1039" s="188" t="inlineStr">
        <is>
          <t>LOW (40%)</t>
        </is>
      </c>
      <c r="Y1039" s="188" t="inlineStr">
        <is>
          <t>UNLIKELY</t>
        </is>
      </c>
      <c r="Z1039" s="188" t="inlineStr">
        <is>
          <t>PATCH_AVAILABLE</t>
        </is>
      </c>
      <c r="AA1039" s="188" t="inlineStr">
        <is>
          <t>https://nvd.nist.gov/vuln/detail/CVE-2026-27623</t>
        </is>
      </c>
      <c r="AB1039" s="188" t="inlineStr">
        <is>
          <t>NONE</t>
        </is>
      </c>
      <c r="AC1039" s="188" t="n">
        <v>0</v>
      </c>
      <c r="AD1039" s="188" t="inlineStr"/>
    </row>
    <row r="1040">
      <c r="A1040" s="188" t="inlineStr">
        <is>
          <t>CVE</t>
        </is>
      </c>
      <c r="B1040" s="188" t="inlineStr">
        <is>
          <t>CVE-2025-68930</t>
        </is>
      </c>
      <c r="C1040" s="188" t="inlineStr">
        <is>
          <t>Versions of the Traccar open-source GPS tracking system up to and including 6.11.1 contain a Cross-Site WebSocket Hijacking (CSWSH) vulnerability in the `/api/socket` endpoint. The application fails to validate the `Origin` header during the WebSocket handshake. This allows a remote attacker to bypass the Same Origin Policy (SOP) and establish a full-duplex WebSocket connection using a legitimate user's credentials (JSESSIONID). As of time of publication, it is unclear whether a fix is available</t>
        </is>
      </c>
      <c r="D1040" s="188" t="n">
        <v>7.1</v>
      </c>
      <c r="E1040" s="188" t="inlineStr">
        <is>
          <t>HIGH</t>
        </is>
      </c>
      <c r="F1040" s="188" t="n">
        <v>2</v>
      </c>
      <c r="G1040" s="188" t="n">
        <v>3</v>
      </c>
      <c r="H1040" s="188" t="inlineStr">
        <is>
          <t>HIGH</t>
        </is>
      </c>
      <c r="I1040" s="188" t="n">
        <v>13.1</v>
      </c>
      <c r="J1040" s="188" t="inlineStr">
        <is>
          <t>NO</t>
        </is>
      </c>
      <c r="K1040" s="188" t="inlineStr">
        <is>
          <t>https://nvd.nist.gov/vuln/detail/CVE-2025-68930</t>
        </is>
      </c>
      <c r="L1040" s="188" t="inlineStr">
        <is>
          <t>2026-02-26 00:15</t>
        </is>
      </c>
      <c r="M1040" s="188" t="inlineStr">
        <is>
          <t>CHECK_VENDOR</t>
        </is>
      </c>
      <c r="N1040" s="188" t="inlineStr">
        <is>
          <t>See NVD references</t>
        </is>
      </c>
      <c r="O1040" s="188" t="inlineStr">
        <is>
          <t>Apply vendor patches</t>
        </is>
      </c>
      <c r="P1040" s="188" t="inlineStr">
        <is>
          <t>See CVE details</t>
        </is>
      </c>
      <c r="Q1040" s="188" t="inlineStr">
        <is>
          <t>P3</t>
        </is>
      </c>
      <c r="R1040" s="188" t="inlineStr">
        <is>
          <t>🚨 URGENT: Apply vendor patches immediately | 🔒 Isolate affected systems if patch unavailable | 🛡️ Enable additional monitoring/IDS rules</t>
        </is>
      </c>
      <c r="S1040" s="188" t="inlineStr">
        <is>
          <t>CVE - IP enrichment n/a</t>
        </is>
      </c>
      <c r="T1040" s="188" t="n">
        <v>0</v>
      </c>
      <c r="U1040" s="188" t="n">
        <v>0</v>
      </c>
      <c r="V1040" s="188" t="inlineStr">
        <is>
          <t>T1190:Exploit Public-Facing Application | T1552:Unsecured Credentials</t>
        </is>
      </c>
      <c r="W1040" s="188" t="n">
        <v>1</v>
      </c>
      <c r="X1040" s="188" t="inlineStr">
        <is>
          <t>LOW (40%)</t>
        </is>
      </c>
      <c r="Y1040" s="188" t="inlineStr">
        <is>
          <t>UNLIKELY</t>
        </is>
      </c>
      <c r="Z1040" s="188" t="inlineStr">
        <is>
          <t>CHECK_VENDOR</t>
        </is>
      </c>
      <c r="AA1040" s="188" t="inlineStr">
        <is>
          <t>https://nvd.nist.gov/vuln/detail/CVE-2025-68930</t>
        </is>
      </c>
      <c r="AB1040" s="188" t="inlineStr">
        <is>
          <t>NONE</t>
        </is>
      </c>
      <c r="AC1040" s="188" t="n">
        <v>0</v>
      </c>
      <c r="AD1040" s="188" t="inlineStr"/>
    </row>
    <row r="1041">
      <c r="A1041" s="189" t="inlineStr">
        <is>
          <t>CVE</t>
        </is>
      </c>
      <c r="B1041" s="189" t="inlineStr">
        <is>
          <t>CVE-2025-70327</t>
        </is>
      </c>
      <c r="C1041" s="189" t="inlineStr">
        <is>
          <t>TOTOLINK X5000R v9.1.0cu_2415_B20250515 contains an argument injection vulnerability in the setDiagnosisCfg handler of the /usr/sbin/lighttpd executable. The ip parameter is retrieved via websGetVar and passed to a ping command through CsteSystem without validating if the input starts with a hyphen (-). This allows remote authenticated attackers to inject arbitrary command-line options into the ping utility, potentially leading to a Denial of Service (DoS) by causing excessive resource consumpti</t>
        </is>
      </c>
      <c r="D1041" s="189" t="n">
        <v>9.800000000000001</v>
      </c>
      <c r="E1041" s="189" t="inlineStr">
        <is>
          <t>CRITICAL</t>
        </is>
      </c>
      <c r="F1041" s="189" t="n">
        <v>2</v>
      </c>
      <c r="G1041" s="189" t="n">
        <v>3</v>
      </c>
      <c r="H1041" s="189" t="inlineStr">
        <is>
          <t>HIGH</t>
        </is>
      </c>
      <c r="I1041" s="189" t="n">
        <v>15.8</v>
      </c>
      <c r="J1041" s="189" t="inlineStr">
        <is>
          <t>NO</t>
        </is>
      </c>
      <c r="K1041" s="189" t="inlineStr">
        <is>
          <t>https://nvd.nist.gov/vuln/detail/CVE-2025-70327</t>
        </is>
      </c>
      <c r="L1041" s="189" t="inlineStr">
        <is>
          <t>2026-02-26 00:15</t>
        </is>
      </c>
      <c r="M1041" s="189" t="inlineStr">
        <is>
          <t>CHECK_VENDOR</t>
        </is>
      </c>
      <c r="N1041" s="189" t="inlineStr">
        <is>
          <t>See NVD references</t>
        </is>
      </c>
      <c r="O1041" s="189" t="inlineStr">
        <is>
          <t>Apply vendor patches</t>
        </is>
      </c>
      <c r="P1041" s="189" t="inlineStr">
        <is>
          <t>See CVE details</t>
        </is>
      </c>
      <c r="Q1041" s="189" t="inlineStr">
        <is>
          <t>P3</t>
        </is>
      </c>
      <c r="R1041" s="189" t="inlineStr">
        <is>
          <t>🚨 URGENT: Apply vendor patches immediately | 🔒 Isolate affected systems if patch unavailable | 🛡️ Enable additional monitoring/IDS rules</t>
        </is>
      </c>
      <c r="S1041" s="189" t="inlineStr">
        <is>
          <t>CVE - IP enrichment n/a</t>
        </is>
      </c>
      <c r="T1041" s="189" t="n">
        <v>0</v>
      </c>
      <c r="U1041" s="189" t="n">
        <v>0</v>
      </c>
      <c r="V1041" s="189" t="inlineStr">
        <is>
          <t>T1190:Exploit Public-Facing Application | T1499:Endpoint Denial of Service</t>
        </is>
      </c>
      <c r="W1041" s="189" t="n">
        <v>1</v>
      </c>
      <c r="X1041" s="189" t="inlineStr">
        <is>
          <t>LOW (40%)</t>
        </is>
      </c>
      <c r="Y1041" s="189" t="inlineStr">
        <is>
          <t>UNLIKELY</t>
        </is>
      </c>
      <c r="Z1041" s="189" t="inlineStr">
        <is>
          <t>CHECK_VENDOR</t>
        </is>
      </c>
      <c r="AA1041" s="189" t="inlineStr">
        <is>
          <t>https://nvd.nist.gov/vuln/detail/CVE-2025-70327</t>
        </is>
      </c>
      <c r="AB1041" s="189" t="inlineStr">
        <is>
          <t>NONE</t>
        </is>
      </c>
      <c r="AC1041" s="189" t="n">
        <v>0</v>
      </c>
      <c r="AD1041" s="189" t="inlineStr"/>
    </row>
    <row r="1042">
      <c r="A1042" s="188" t="inlineStr">
        <is>
          <t>CVE</t>
        </is>
      </c>
      <c r="B1042" s="188" t="inlineStr">
        <is>
          <t>CVE-2025-70328</t>
        </is>
      </c>
      <c r="C1042" s="188" t="inlineStr">
        <is>
          <t>TOTOLINK X6000R v9.4.0cu.1498_B20250826 contains an OS command injection vulnerability in the NTPSyncWithHost handler of the /usr/sbin/shttpd executable. The host_time parameter is retrieved via sub_40C404 and passed to a date -s shell command through CsteSystem. While the first two tokens of the input are validated, the remainder of the string is not sanitized, allowing authenticated attackers to execute arbitrary shell commands via shell metacharacters.</t>
        </is>
      </c>
      <c r="D1042" s="188" t="n">
        <v>8.800000000000001</v>
      </c>
      <c r="E1042" s="188" t="inlineStr">
        <is>
          <t>HIGH</t>
        </is>
      </c>
      <c r="F1042" s="188" t="n">
        <v>2</v>
      </c>
      <c r="G1042" s="188" t="n">
        <v>3</v>
      </c>
      <c r="H1042" s="188" t="inlineStr">
        <is>
          <t>HIGH</t>
        </is>
      </c>
      <c r="I1042" s="188" t="n">
        <v>14.8</v>
      </c>
      <c r="J1042" s="188" t="inlineStr">
        <is>
          <t>NO</t>
        </is>
      </c>
      <c r="K1042" s="188" t="inlineStr">
        <is>
          <t>https://nvd.nist.gov/vuln/detail/CVE-2025-70328</t>
        </is>
      </c>
      <c r="L1042" s="188" t="inlineStr">
        <is>
          <t>2026-02-26 00:15</t>
        </is>
      </c>
      <c r="M1042" s="188" t="inlineStr">
        <is>
          <t>CHECK_VENDOR</t>
        </is>
      </c>
      <c r="N1042" s="188" t="inlineStr">
        <is>
          <t>See NVD references</t>
        </is>
      </c>
      <c r="O1042" s="188" t="inlineStr">
        <is>
          <t>Apply vendor patches</t>
        </is>
      </c>
      <c r="P1042" s="188" t="inlineStr">
        <is>
          <t>See CVE details</t>
        </is>
      </c>
      <c r="Q1042" s="188" t="inlineStr">
        <is>
          <t>P3</t>
        </is>
      </c>
      <c r="R1042" s="188" t="inlineStr">
        <is>
          <t>🚨 URGENT: Apply vendor patches immediately | 🔒 Isolate affected systems if patch unavailable | 🛡️ Enable additional monitoring/IDS rules</t>
        </is>
      </c>
      <c r="S1042" s="188" t="inlineStr">
        <is>
          <t>CVE - IP enrichment n/a</t>
        </is>
      </c>
      <c r="T1042" s="188" t="n">
        <v>0</v>
      </c>
      <c r="U1042" s="188" t="n">
        <v>0</v>
      </c>
      <c r="V1042" s="188" t="inlineStr">
        <is>
          <t>T1059:Command and Scripting Interpreter</t>
        </is>
      </c>
      <c r="W1042" s="188" t="n">
        <v>1</v>
      </c>
      <c r="X1042" s="188" t="inlineStr">
        <is>
          <t>LOW (40%)</t>
        </is>
      </c>
      <c r="Y1042" s="188" t="inlineStr">
        <is>
          <t>UNLIKELY</t>
        </is>
      </c>
      <c r="Z1042" s="188" t="inlineStr">
        <is>
          <t>CHECK_VENDOR</t>
        </is>
      </c>
      <c r="AA1042" s="188" t="inlineStr">
        <is>
          <t>https://nvd.nist.gov/vuln/detail/CVE-2025-70328</t>
        </is>
      </c>
      <c r="AB1042" s="188" t="inlineStr">
        <is>
          <t>NONE</t>
        </is>
      </c>
      <c r="AC1042" s="188" t="n">
        <v>0</v>
      </c>
      <c r="AD1042" s="188" t="inlineStr"/>
    </row>
    <row r="1043">
      <c r="A1043" s="189" t="inlineStr">
        <is>
          <t>CVE</t>
        </is>
      </c>
      <c r="B1043" s="189" t="inlineStr">
        <is>
          <t>CVE-2025-71056</t>
        </is>
      </c>
      <c r="C1043" s="189" t="inlineStr">
        <is>
          <t>Improper session management in GCOM EPON 1GE ONU version C00R371V00B01 allows attackers to execute a session hijacking attack via spoofing the IP address of an authenticated user.</t>
        </is>
      </c>
      <c r="D1043" s="189" t="n">
        <v>9.1</v>
      </c>
      <c r="E1043" s="189" t="inlineStr">
        <is>
          <t>CRITICAL</t>
        </is>
      </c>
      <c r="F1043" s="189" t="n">
        <v>2</v>
      </c>
      <c r="G1043" s="189" t="n">
        <v>3</v>
      </c>
      <c r="H1043" s="189" t="inlineStr">
        <is>
          <t>HIGH</t>
        </is>
      </c>
      <c r="I1043" s="189" t="n">
        <v>15.1</v>
      </c>
      <c r="J1043" s="189" t="inlineStr">
        <is>
          <t>NO</t>
        </is>
      </c>
      <c r="K1043" s="189" t="inlineStr">
        <is>
          <t>https://nvd.nist.gov/vuln/detail/CVE-2025-71056</t>
        </is>
      </c>
      <c r="L1043" s="189" t="inlineStr">
        <is>
          <t>2026-02-26 00:15</t>
        </is>
      </c>
      <c r="M1043" s="189" t="inlineStr">
        <is>
          <t>CHECK_VENDOR</t>
        </is>
      </c>
      <c r="N1043" s="189" t="inlineStr">
        <is>
          <t>See NVD references</t>
        </is>
      </c>
      <c r="O1043" s="189" t="inlineStr">
        <is>
          <t>Apply vendor patches</t>
        </is>
      </c>
      <c r="P1043" s="189" t="inlineStr">
        <is>
          <t>See CVE details</t>
        </is>
      </c>
      <c r="Q1043" s="189" t="inlineStr">
        <is>
          <t>P3</t>
        </is>
      </c>
      <c r="R1043" s="189" t="inlineStr">
        <is>
          <t>🚨 URGENT: Apply vendor patches immediately | 🔒 Isolate affected systems if patch unavailable | 🛡️ Enable additional monitoring/IDS rules</t>
        </is>
      </c>
      <c r="S1043" s="189" t="inlineStr">
        <is>
          <t>CVE - IP enrichment n/a</t>
        </is>
      </c>
      <c r="T1043" s="189" t="n">
        <v>0</v>
      </c>
      <c r="U1043" s="189" t="n">
        <v>0</v>
      </c>
      <c r="V1043" s="189" t="inlineStr">
        <is>
          <t>T1190:Exploit Public-Facing Application</t>
        </is>
      </c>
      <c r="W1043" s="189" t="n">
        <v>1</v>
      </c>
      <c r="X1043" s="189" t="inlineStr">
        <is>
          <t>LOW (40%)</t>
        </is>
      </c>
      <c r="Y1043" s="189" t="inlineStr">
        <is>
          <t>UNLIKELY</t>
        </is>
      </c>
      <c r="Z1043" s="189" t="inlineStr">
        <is>
          <t>CHECK_VENDOR</t>
        </is>
      </c>
      <c r="AA1043" s="189" t="inlineStr">
        <is>
          <t>https://nvd.nist.gov/vuln/detail/CVE-2025-71056</t>
        </is>
      </c>
      <c r="AB1043" s="189" t="inlineStr">
        <is>
          <t>NONE</t>
        </is>
      </c>
      <c r="AC1043" s="189" t="n">
        <v>0</v>
      </c>
      <c r="AD1043" s="189" t="inlineStr"/>
    </row>
    <row r="1044">
      <c r="A1044" s="187" t="inlineStr">
        <is>
          <t>CVE</t>
        </is>
      </c>
      <c r="B1044" s="187" t="inlineStr">
        <is>
          <t>CVE-2026-23521</t>
        </is>
      </c>
      <c r="C1044" s="187" t="inlineStr">
        <is>
          <t>Versions of the Traccar open-source GPS tracking system up to and including 6.11.1 contain an issue in which authenticated users who can create or edit devices can set a device `uniqueId` to an absolute path. When uploading a device image, Traccar uses that `uniqueId` to build the filesystem path without enforcing that the resolved path stays under the media root. This allows writing files outside the media directory. As of time of publication, it is unclear whether a fix is available.</t>
        </is>
      </c>
      <c r="D1044" s="187" t="n">
        <v>6.5</v>
      </c>
      <c r="E1044" s="187" t="inlineStr">
        <is>
          <t>MEDIUM</t>
        </is>
      </c>
      <c r="F1044" s="187" t="n">
        <v>2</v>
      </c>
      <c r="G1044" s="187" t="n">
        <v>2</v>
      </c>
      <c r="H1044" s="187" t="inlineStr">
        <is>
          <t>MEDIUM</t>
        </is>
      </c>
      <c r="I1044" s="187" t="n">
        <v>10.5</v>
      </c>
      <c r="J1044" s="187" t="inlineStr">
        <is>
          <t>NO</t>
        </is>
      </c>
      <c r="K1044" s="187" t="inlineStr">
        <is>
          <t>https://nvd.nist.gov/vuln/detail/CVE-2026-23521</t>
        </is>
      </c>
      <c r="L1044" s="187" t="inlineStr">
        <is>
          <t>2026-02-26 00:15</t>
        </is>
      </c>
      <c r="M1044" s="187" t="inlineStr">
        <is>
          <t>CHECK_VENDOR</t>
        </is>
      </c>
      <c r="N1044" s="187" t="inlineStr">
        <is>
          <t>See NVD references</t>
        </is>
      </c>
      <c r="O1044" s="187" t="inlineStr">
        <is>
          <t>Apply vendor patches</t>
        </is>
      </c>
      <c r="P1044" s="187" t="inlineStr">
        <is>
          <t>See CVE details</t>
        </is>
      </c>
      <c r="Q1044" s="187" t="inlineStr">
        <is>
          <t>P4</t>
        </is>
      </c>
      <c r="R1044" s="187" t="inlineStr">
        <is>
          <t>📅 Schedule patch deployment within 30 days | 🔍 Monitor for exploitation attempts</t>
        </is>
      </c>
      <c r="S1044" s="187" t="inlineStr">
        <is>
          <t>CVE - IP enrichment n/a</t>
        </is>
      </c>
      <c r="T1044" s="187" t="n">
        <v>0.0003</v>
      </c>
      <c r="U1044" s="187" t="n">
        <v>0.0989</v>
      </c>
      <c r="V1044" s="187" t="inlineStr">
        <is>
          <t>T1083:File and Directory Discovery | T1190:Exploit Public-Facing Application</t>
        </is>
      </c>
      <c r="W1044" s="187" t="n">
        <v>1</v>
      </c>
      <c r="X1044" s="187" t="inlineStr">
        <is>
          <t>LOW (40%)</t>
        </is>
      </c>
      <c r="Y1044" s="187" t="inlineStr">
        <is>
          <t>UNLIKELY</t>
        </is>
      </c>
      <c r="Z1044" s="187" t="inlineStr">
        <is>
          <t>CHECK_VENDOR</t>
        </is>
      </c>
      <c r="AA1044" s="187" t="inlineStr">
        <is>
          <t>https://nvd.nist.gov/vuln/detail/CVE-2026-23521</t>
        </is>
      </c>
      <c r="AB1044" s="187" t="inlineStr">
        <is>
          <t>NONE</t>
        </is>
      </c>
      <c r="AC1044" s="187" t="n">
        <v>0</v>
      </c>
      <c r="AD1044" s="187" t="inlineStr"/>
    </row>
    <row r="1045">
      <c r="A1045" s="189" t="inlineStr">
        <is>
          <t>CVE</t>
        </is>
      </c>
      <c r="B1045" s="189" t="inlineStr">
        <is>
          <t>CVE-2026-23693</t>
        </is>
      </c>
      <c r="C1045" s="189" t="inlineStr">
        <is>
          <t>ElementsKit Elementor Addons – Advanced Widgets &amp; Templates Addons for Elementor (elementskit-lite) WordPress plugin versions prior to 3.7.9 expose the REST endpoint /wp-json/elementskit/v1/widget/mailchimp/subscribe without authentication. The endpoint accepts client-supplied Mailchimp API credentials and insufficiently validates certain parameters, including the list parameter, when constructing upstream Mailchimp API requests. An unauthenticated attacker can abuse the endpoint as an open prox</t>
        </is>
      </c>
      <c r="D1045" s="189" t="n">
        <v>10</v>
      </c>
      <c r="E1045" s="189" t="inlineStr">
        <is>
          <t>CRITICAL</t>
        </is>
      </c>
      <c r="F1045" s="189" t="n">
        <v>2</v>
      </c>
      <c r="G1045" s="189" t="n">
        <v>3</v>
      </c>
      <c r="H1045" s="189" t="inlineStr">
        <is>
          <t>HIGH</t>
        </is>
      </c>
      <c r="I1045" s="189" t="n">
        <v>16</v>
      </c>
      <c r="J1045" s="189" t="inlineStr">
        <is>
          <t>NO</t>
        </is>
      </c>
      <c r="K1045" s="189" t="inlineStr">
        <is>
          <t>https://nvd.nist.gov/vuln/detail/CVE-2026-23693</t>
        </is>
      </c>
      <c r="L1045" s="189" t="inlineStr">
        <is>
          <t>2026-02-26 00:15</t>
        </is>
      </c>
      <c r="M1045" s="189" t="inlineStr">
        <is>
          <t>CHECK_VENDOR</t>
        </is>
      </c>
      <c r="N1045" s="189" t="inlineStr">
        <is>
          <t>See NVD references</t>
        </is>
      </c>
      <c r="O1045" s="189" t="inlineStr">
        <is>
          <t>Apply vendor patches</t>
        </is>
      </c>
      <c r="P1045" s="189" t="inlineStr">
        <is>
          <t>See CVE details</t>
        </is>
      </c>
      <c r="Q1045" s="189" t="inlineStr">
        <is>
          <t>P3</t>
        </is>
      </c>
      <c r="R1045" s="189" t="inlineStr">
        <is>
          <t>🚨 URGENT: Apply vendor patches immediately | 🔒 Isolate affected systems if patch unavailable | 🛡️ Enable additional monitoring/IDS rules</t>
        </is>
      </c>
      <c r="S1045" s="189" t="inlineStr">
        <is>
          <t>CVE - IP enrichment n/a</t>
        </is>
      </c>
      <c r="T1045" s="189" t="n">
        <v>0.0015</v>
      </c>
      <c r="U1045" s="189" t="n">
        <v>0.3541</v>
      </c>
      <c r="V1045" s="189" t="inlineStr">
        <is>
          <t>T1078:Valid Accounts | T1190:Exploit Public-Facing Application | T1552:Unsecured Credentials</t>
        </is>
      </c>
      <c r="W1045" s="189" t="n">
        <v>1</v>
      </c>
      <c r="X1045" s="189" t="inlineStr">
        <is>
          <t>LOW (40%)</t>
        </is>
      </c>
      <c r="Y1045" s="189" t="inlineStr">
        <is>
          <t>UNLIKELY</t>
        </is>
      </c>
      <c r="Z1045" s="189" t="inlineStr">
        <is>
          <t>CHECK_VENDOR</t>
        </is>
      </c>
      <c r="AA1045" s="189" t="inlineStr">
        <is>
          <t>https://nvd.nist.gov/vuln/detail/CVE-2026-23693</t>
        </is>
      </c>
      <c r="AB1045" s="189" t="inlineStr">
        <is>
          <t>NONE</t>
        </is>
      </c>
      <c r="AC1045" s="189" t="n">
        <v>0</v>
      </c>
      <c r="AD1045" s="189" t="inlineStr"/>
    </row>
    <row r="1046">
      <c r="A1046" s="187" t="inlineStr">
        <is>
          <t>CVE</t>
        </is>
      </c>
      <c r="B1046" s="187" t="inlineStr">
        <is>
          <t>CVE-2026-23694</t>
        </is>
      </c>
      <c r="C1046" s="187" t="inlineStr">
        <is>
          <t>Aruba HiSpeed Cache (aruba-hispeed-cache) WordPress plugin versions prior to 3.0.5 contain a cross-site request forgery (CSRF) vulnerability affecting multiple administrative AJAX actions. The handlers for ahsc_reset_options, ahsc_debug_status, and ahsc_enable_purge perform authentication and capability checks but do not verify a WordPress nonce for state-changing requests. An attacker can induce a logged-in administrator to visit a malicious webpage that submits forged requests to admin-ajax.ph</t>
        </is>
      </c>
      <c r="D1046" s="187" t="n">
        <v>5</v>
      </c>
      <c r="E1046" s="187" t="inlineStr">
        <is>
          <t>MEDIUM</t>
        </is>
      </c>
      <c r="F1046" s="187" t="n">
        <v>2</v>
      </c>
      <c r="G1046" s="187" t="n">
        <v>2</v>
      </c>
      <c r="H1046" s="187" t="inlineStr">
        <is>
          <t>MEDIUM</t>
        </is>
      </c>
      <c r="I1046" s="187" t="n">
        <v>9</v>
      </c>
      <c r="J1046" s="187" t="inlineStr">
        <is>
          <t>NO</t>
        </is>
      </c>
      <c r="K1046" s="187" t="inlineStr">
        <is>
          <t>https://nvd.nist.gov/vuln/detail/CVE-2026-23694</t>
        </is>
      </c>
      <c r="L1046" s="187" t="inlineStr">
        <is>
          <t>2026-02-26 00:15</t>
        </is>
      </c>
      <c r="M1046" s="187" t="inlineStr">
        <is>
          <t>CHECK_VENDOR</t>
        </is>
      </c>
      <c r="N1046" s="187" t="inlineStr">
        <is>
          <t>See NVD references</t>
        </is>
      </c>
      <c r="O1046" s="187" t="inlineStr">
        <is>
          <t>Apply vendor patches</t>
        </is>
      </c>
      <c r="P1046" s="187" t="inlineStr">
        <is>
          <t>See CVE details</t>
        </is>
      </c>
      <c r="Q1046" s="187" t="inlineStr">
        <is>
          <t>P4</t>
        </is>
      </c>
      <c r="R1046" s="187" t="inlineStr">
        <is>
          <t>📅 Schedule patch deployment within 30 days | 🔍 Monitor for exploitation attempts</t>
        </is>
      </c>
      <c r="S1046" s="187" t="inlineStr">
        <is>
          <t>CVE - IP enrichment n/a</t>
        </is>
      </c>
      <c r="T1046" s="187" t="n">
        <v>0</v>
      </c>
      <c r="U1046" s="187" t="n">
        <v>0</v>
      </c>
      <c r="V1046" s="187" t="inlineStr">
        <is>
          <t>T1185:Browser Session Hijacking</t>
        </is>
      </c>
      <c r="W1046" s="187" t="n">
        <v>1</v>
      </c>
      <c r="X1046" s="187" t="inlineStr">
        <is>
          <t>LOW (40%)</t>
        </is>
      </c>
      <c r="Y1046" s="187" t="inlineStr">
        <is>
          <t>UNLIKELY</t>
        </is>
      </c>
      <c r="Z1046" s="187" t="inlineStr">
        <is>
          <t>CHECK_VENDOR</t>
        </is>
      </c>
      <c r="AA1046" s="187" t="inlineStr">
        <is>
          <t>https://nvd.nist.gov/vuln/detail/CVE-2026-23694</t>
        </is>
      </c>
      <c r="AB1046" s="187" t="inlineStr">
        <is>
          <t>NONE</t>
        </is>
      </c>
      <c r="AC1046" s="187" t="n">
        <v>0</v>
      </c>
      <c r="AD1046" s="187" t="inlineStr"/>
    </row>
    <row r="1047">
      <c r="A1047" s="188" t="inlineStr">
        <is>
          <t>CVE</t>
        </is>
      </c>
      <c r="B1047" s="188" t="inlineStr">
        <is>
          <t>CVE-2026-25648</t>
        </is>
      </c>
      <c r="C1047" s="188" t="inlineStr">
        <is>
          <t>Versions of the Traccar open-source GPS tracking system starting with 6.11.1 contain an issue in which authenticated users can execute arbitrary JavaScript in the context of other users' browsers by uploading malicious SVG files as device images. The application accepts SVG file uploads without sanitization and serves them with the `image/svg+xml` Content-Type, allowing embedded JavaScript to execute when victims view the image. As of time of publication, it is unclear whether a fix is available</t>
        </is>
      </c>
      <c r="D1047" s="188" t="n">
        <v>8.699999999999999</v>
      </c>
      <c r="E1047" s="188" t="inlineStr">
        <is>
          <t>HIGH</t>
        </is>
      </c>
      <c r="F1047" s="188" t="n">
        <v>2</v>
      </c>
      <c r="G1047" s="188" t="n">
        <v>3</v>
      </c>
      <c r="H1047" s="188" t="inlineStr">
        <is>
          <t>HIGH</t>
        </is>
      </c>
      <c r="I1047" s="188" t="n">
        <v>14.7</v>
      </c>
      <c r="J1047" s="188" t="inlineStr">
        <is>
          <t>NO</t>
        </is>
      </c>
      <c r="K1047" s="188" t="inlineStr">
        <is>
          <t>https://nvd.nist.gov/vuln/detail/CVE-2026-25648</t>
        </is>
      </c>
      <c r="L1047" s="188" t="inlineStr">
        <is>
          <t>2026-02-26 00:15</t>
        </is>
      </c>
      <c r="M1047" s="188" t="inlineStr">
        <is>
          <t>CHECK_VENDOR</t>
        </is>
      </c>
      <c r="N1047" s="188" t="inlineStr">
        <is>
          <t>See NVD references</t>
        </is>
      </c>
      <c r="O1047" s="188" t="inlineStr">
        <is>
          <t>Apply vendor patches</t>
        </is>
      </c>
      <c r="P1047" s="188" t="inlineStr">
        <is>
          <t>See CVE details</t>
        </is>
      </c>
      <c r="Q1047" s="188" t="inlineStr">
        <is>
          <t>P3</t>
        </is>
      </c>
      <c r="R1047" s="188" t="inlineStr">
        <is>
          <t>🚨 URGENT: Apply vendor patches immediately | 🔒 Isolate affected systems if patch unavailable | 🛡️ Enable additional monitoring/IDS rules</t>
        </is>
      </c>
      <c r="S1047" s="188" t="inlineStr">
        <is>
          <t>CVE - IP enrichment n/a</t>
        </is>
      </c>
      <c r="T1047" s="188" t="n">
        <v>0</v>
      </c>
      <c r="U1047" s="188" t="n">
        <v>0</v>
      </c>
      <c r="V1047" s="188" t="inlineStr">
        <is>
          <t>T1189:Drive-by Compromise | T1190:Exploit Public-Facing Application</t>
        </is>
      </c>
      <c r="W1047" s="188" t="n">
        <v>1</v>
      </c>
      <c r="X1047" s="188" t="inlineStr">
        <is>
          <t>LOW (40%)</t>
        </is>
      </c>
      <c r="Y1047" s="188" t="inlineStr">
        <is>
          <t>UNLIKELY</t>
        </is>
      </c>
      <c r="Z1047" s="188" t="inlineStr">
        <is>
          <t>CHECK_VENDOR</t>
        </is>
      </c>
      <c r="AA1047" s="188" t="inlineStr">
        <is>
          <t>https://nvd.nist.gov/vuln/detail/CVE-2026-25648</t>
        </is>
      </c>
      <c r="AB1047" s="188" t="inlineStr">
        <is>
          <t>NONE</t>
        </is>
      </c>
      <c r="AC1047" s="188" t="n">
        <v>0</v>
      </c>
      <c r="AD1047" s="188" t="inlineStr"/>
    </row>
    <row r="1048">
      <c r="A1048" s="188" t="inlineStr">
        <is>
          <t>CVE</t>
        </is>
      </c>
      <c r="B1048" s="188" t="inlineStr">
        <is>
          <t>CVE-2026-3025</t>
        </is>
      </c>
      <c r="C1048" s="188" t="inlineStr">
        <is>
          <t>A flaw has been found in ShuoRen Smart Heating Integrated Management Platform 1.0.0. Affected by this vulnerability is an unknown functionality of the file /MP/Service/Webservice/ExampleNodeService.asmx. Executing a manipulation of the argument File can lead to unrestricted upload. It is possible to launch the attack remotely. The exploit has been published and may be used. The vendor was contacted early about this disclosure but did not respond in any way.</t>
        </is>
      </c>
      <c r="D1048" s="188" t="n">
        <v>7.3</v>
      </c>
      <c r="E1048" s="188" t="inlineStr">
        <is>
          <t>HIGH</t>
        </is>
      </c>
      <c r="F1048" s="188" t="n">
        <v>2</v>
      </c>
      <c r="G1048" s="188" t="n">
        <v>3</v>
      </c>
      <c r="H1048" s="188" t="inlineStr">
        <is>
          <t>HIGH</t>
        </is>
      </c>
      <c r="I1048" s="188" t="n">
        <v>13.3</v>
      </c>
      <c r="J1048" s="188" t="inlineStr">
        <is>
          <t>NO</t>
        </is>
      </c>
      <c r="K1048" s="188" t="inlineStr">
        <is>
          <t>https://nvd.nist.gov/vuln/detail/CVE-2026-3025</t>
        </is>
      </c>
      <c r="L1048" s="188" t="inlineStr">
        <is>
          <t>2026-02-26 00:15</t>
        </is>
      </c>
      <c r="M1048" s="188" t="inlineStr">
        <is>
          <t>CHECK_VENDOR</t>
        </is>
      </c>
      <c r="N1048" s="188" t="inlineStr">
        <is>
          <t>See NVD references</t>
        </is>
      </c>
      <c r="O1048" s="188" t="inlineStr">
        <is>
          <t>Apply vendor patches</t>
        </is>
      </c>
      <c r="P1048" s="188" t="inlineStr">
        <is>
          <t>See CVE details</t>
        </is>
      </c>
      <c r="Q1048" s="188" t="inlineStr">
        <is>
          <t>P3</t>
        </is>
      </c>
      <c r="R1048" s="188" t="inlineStr">
        <is>
          <t>🚨 URGENT: Apply vendor patches immediately | 🔒 Isolate affected systems if patch unavailable | 🛡️ Enable additional monitoring/IDS rules</t>
        </is>
      </c>
      <c r="S1048" s="188" t="inlineStr">
        <is>
          <t>CVE - IP enrichment n/a</t>
        </is>
      </c>
      <c r="T1048" s="188" t="n">
        <v>0.0004</v>
      </c>
      <c r="U1048" s="188" t="n">
        <v>0.1038</v>
      </c>
      <c r="V1048" s="188" t="inlineStr">
        <is>
          <t>T1190:Exploit Public-Facing Application</t>
        </is>
      </c>
      <c r="W1048" s="188" t="n">
        <v>1</v>
      </c>
      <c r="X1048" s="188" t="inlineStr">
        <is>
          <t>LOW (40%)</t>
        </is>
      </c>
      <c r="Y1048" s="188" t="inlineStr">
        <is>
          <t>UNLIKELY</t>
        </is>
      </c>
      <c r="Z1048" s="188" t="inlineStr">
        <is>
          <t>CHECK_VENDOR</t>
        </is>
      </c>
      <c r="AA1048" s="188" t="inlineStr">
        <is>
          <t>https://nvd.nist.gov/vuln/detail/CVE-2026-3025</t>
        </is>
      </c>
      <c r="AB1048" s="188" t="inlineStr">
        <is>
          <t>NONE</t>
        </is>
      </c>
      <c r="AC1048" s="188" t="n">
        <v>0</v>
      </c>
      <c r="AD1048" s="188" t="inlineStr"/>
    </row>
    <row r="1049">
      <c r="A1049" s="188" t="inlineStr">
        <is>
          <t>CVE</t>
        </is>
      </c>
      <c r="B1049" s="188" t="inlineStr">
        <is>
          <t>CVE-2026-3026</t>
        </is>
      </c>
      <c r="C1049" s="188" t="inlineStr">
        <is>
          <t>A vulnerability has been found in erzhongxmu JEEWMS 3.7. Affected by this issue is some unknown functionality of the file /plug-in/ueditor/jsp/getRemoteImage.jsp of the component UEditor. The manipulation of the argument upfile leads to server-side request forgery. The attack can be initiated remotely. The exploit has been disclosed to the public and may be used. The vendor was contacted early about this disclosure but did not respond in any way.</t>
        </is>
      </c>
      <c r="D1049" s="188" t="n">
        <v>7.3</v>
      </c>
      <c r="E1049" s="188" t="inlineStr">
        <is>
          <t>HIGH</t>
        </is>
      </c>
      <c r="F1049" s="188" t="n">
        <v>2</v>
      </c>
      <c r="G1049" s="188" t="n">
        <v>3</v>
      </c>
      <c r="H1049" s="188" t="inlineStr">
        <is>
          <t>HIGH</t>
        </is>
      </c>
      <c r="I1049" s="188" t="n">
        <v>13.3</v>
      </c>
      <c r="J1049" s="188" t="inlineStr">
        <is>
          <t>NO</t>
        </is>
      </c>
      <c r="K1049" s="188" t="inlineStr">
        <is>
          <t>https://nvd.nist.gov/vuln/detail/CVE-2026-3026</t>
        </is>
      </c>
      <c r="L1049" s="188" t="inlineStr">
        <is>
          <t>2026-02-26 00:15</t>
        </is>
      </c>
      <c r="M1049" s="188" t="inlineStr">
        <is>
          <t>CHECK_VENDOR</t>
        </is>
      </c>
      <c r="N1049" s="188" t="inlineStr">
        <is>
          <t>See NVD references</t>
        </is>
      </c>
      <c r="O1049" s="188" t="inlineStr">
        <is>
          <t>Apply vendor patches</t>
        </is>
      </c>
      <c r="P1049" s="188" t="inlineStr">
        <is>
          <t>jeewms jeewms *</t>
        </is>
      </c>
      <c r="Q1049" s="188" t="inlineStr">
        <is>
          <t>P3</t>
        </is>
      </c>
      <c r="R1049" s="188" t="inlineStr">
        <is>
          <t>🚨 URGENT: Apply vendor patches immediately | 🔒 Isolate affected systems if patch unavailable | 🛡️ Enable additional monitoring/IDS rules</t>
        </is>
      </c>
      <c r="S1049" s="188" t="inlineStr">
        <is>
          <t>CVE - IP enrichment n/a</t>
        </is>
      </c>
      <c r="T1049" s="188" t="n">
        <v>0</v>
      </c>
      <c r="U1049" s="188" t="n">
        <v>0</v>
      </c>
      <c r="V1049" s="188" t="inlineStr">
        <is>
          <t>T1090:Proxy</t>
        </is>
      </c>
      <c r="W1049" s="188" t="n">
        <v>1</v>
      </c>
      <c r="X1049" s="188" t="inlineStr">
        <is>
          <t>LOW (40%)</t>
        </is>
      </c>
      <c r="Y1049" s="188" t="inlineStr">
        <is>
          <t>UNLIKELY</t>
        </is>
      </c>
      <c r="Z1049" s="188" t="inlineStr">
        <is>
          <t>CHECK_VENDOR</t>
        </is>
      </c>
      <c r="AA1049" s="188" t="inlineStr">
        <is>
          <t>https://nvd.nist.gov/vuln/detail/CVE-2026-3026</t>
        </is>
      </c>
      <c r="AB1049" s="188" t="inlineStr">
        <is>
          <t>NONE</t>
        </is>
      </c>
      <c r="AC1049" s="188" t="n">
        <v>0</v>
      </c>
      <c r="AD1049" s="188" t="inlineStr"/>
    </row>
    <row r="1050">
      <c r="A1050" s="187" t="inlineStr">
        <is>
          <t>CVE</t>
        </is>
      </c>
      <c r="B1050" s="187" t="inlineStr">
        <is>
          <t>CVE-2026-3027</t>
        </is>
      </c>
      <c r="C1050" s="187" t="inlineStr">
        <is>
          <t>A vulnerability was found in erzhongxmu JEEWMS up to 3.7. This affects an unknown part of the file src/main/webapp/plug-in/ueditor/jsp/getContent.jsp of the component UEditor. The manipulation of the argument myEditor results in cross site scripting. The attack can be launched remotely. The exploit has been made public and could be used. The vendor was contacted early about this disclosure but did not respond in any way.</t>
        </is>
      </c>
      <c r="D1050" s="187" t="n">
        <v>4.3</v>
      </c>
      <c r="E1050" s="187" t="inlineStr">
        <is>
          <t>MEDIUM</t>
        </is>
      </c>
      <c r="F1050" s="187" t="n">
        <v>2</v>
      </c>
      <c r="G1050" s="187" t="n">
        <v>2</v>
      </c>
      <c r="H1050" s="187" t="inlineStr">
        <is>
          <t>MEDIUM</t>
        </is>
      </c>
      <c r="I1050" s="187" t="n">
        <v>8.300000000000001</v>
      </c>
      <c r="J1050" s="187" t="inlineStr">
        <is>
          <t>NO</t>
        </is>
      </c>
      <c r="K1050" s="187" t="inlineStr">
        <is>
          <t>https://nvd.nist.gov/vuln/detail/CVE-2026-3027</t>
        </is>
      </c>
      <c r="L1050" s="187" t="inlineStr">
        <is>
          <t>2026-02-26 00:15</t>
        </is>
      </c>
      <c r="M1050" s="187" t="inlineStr">
        <is>
          <t>CHECK_VENDOR</t>
        </is>
      </c>
      <c r="N1050" s="187" t="inlineStr">
        <is>
          <t>See NVD references</t>
        </is>
      </c>
      <c r="O1050" s="187" t="inlineStr">
        <is>
          <t>Apply vendor patches</t>
        </is>
      </c>
      <c r="P1050" s="187" t="inlineStr">
        <is>
          <t>jeewms jeewms *</t>
        </is>
      </c>
      <c r="Q1050" s="187" t="inlineStr">
        <is>
          <t>P4</t>
        </is>
      </c>
      <c r="R1050" s="187" t="inlineStr">
        <is>
          <t>📅 Schedule patch deployment within 30 days | 🔍 Monitor for exploitation attempts</t>
        </is>
      </c>
      <c r="S1050" s="187" t="inlineStr">
        <is>
          <t>CVE - IP enrichment n/a</t>
        </is>
      </c>
      <c r="T1050" s="187" t="n">
        <v>0</v>
      </c>
      <c r="U1050" s="187" t="n">
        <v>0</v>
      </c>
      <c r="V1050" s="187" t="inlineStr">
        <is>
          <t>T1189:Drive-by Compromise</t>
        </is>
      </c>
      <c r="W1050" s="187" t="n">
        <v>1</v>
      </c>
      <c r="X1050" s="187" t="inlineStr">
        <is>
          <t>LOW (40%)</t>
        </is>
      </c>
      <c r="Y1050" s="187" t="inlineStr">
        <is>
          <t>UNLIKELY</t>
        </is>
      </c>
      <c r="Z1050" s="187" t="inlineStr">
        <is>
          <t>CHECK_VENDOR</t>
        </is>
      </c>
      <c r="AA1050" s="187" t="inlineStr">
        <is>
          <t>https://nvd.nist.gov/vuln/detail/CVE-2026-3027</t>
        </is>
      </c>
      <c r="AB1050" s="187" t="inlineStr">
        <is>
          <t>NONE</t>
        </is>
      </c>
      <c r="AC1050" s="187" t="n">
        <v>0</v>
      </c>
      <c r="AD1050" s="187" t="inlineStr"/>
    </row>
    <row r="1051">
      <c r="A1051" s="187" t="inlineStr">
        <is>
          <t>CVE</t>
        </is>
      </c>
      <c r="B1051" s="187" t="inlineStr">
        <is>
          <t>CVE-2026-3075</t>
        </is>
      </c>
      <c r="C1051" s="187" t="inlineStr">
        <is>
          <t>Exposure of Sensitive System Information to an Unauthorized Control Sphere vulnerability in Jeff Starr Simple Ajax Chat simple-ajax-chat allows Retrieve Embedded Sensitive Data.This issue affects Simple Ajax Chat: from n/a through &lt;= 20251121.</t>
        </is>
      </c>
      <c r="D1051" s="187" t="n">
        <v>5</v>
      </c>
      <c r="E1051" s="187" t="inlineStr">
        <is>
          <t>MEDIUM</t>
        </is>
      </c>
      <c r="F1051" s="187" t="n">
        <v>2</v>
      </c>
      <c r="G1051" s="187" t="n">
        <v>2</v>
      </c>
      <c r="H1051" s="187" t="inlineStr">
        <is>
          <t>MEDIUM</t>
        </is>
      </c>
      <c r="I1051" s="187" t="n">
        <v>9</v>
      </c>
      <c r="J1051" s="187" t="inlineStr">
        <is>
          <t>NO</t>
        </is>
      </c>
      <c r="K1051" s="187" t="inlineStr">
        <is>
          <t>https://nvd.nist.gov/vuln/detail/CVE-2026-3075</t>
        </is>
      </c>
      <c r="L1051" s="187" t="inlineStr">
        <is>
          <t>2026-02-26 00:15</t>
        </is>
      </c>
      <c r="M1051" s="187" t="inlineStr">
        <is>
          <t>CHECK_VENDOR</t>
        </is>
      </c>
      <c r="N1051" s="187" t="inlineStr">
        <is>
          <t>See NVD references</t>
        </is>
      </c>
      <c r="O1051" s="187" t="inlineStr">
        <is>
          <t>Apply vendor patches</t>
        </is>
      </c>
      <c r="P1051" s="187" t="inlineStr">
        <is>
          <t>See CVE details</t>
        </is>
      </c>
      <c r="Q1051" s="187" t="inlineStr">
        <is>
          <t>P4</t>
        </is>
      </c>
      <c r="R1051" s="187" t="inlineStr">
        <is>
          <t>📅 Schedule patch deployment within 30 days | 🔍 Monitor for exploitation attempts</t>
        </is>
      </c>
      <c r="S1051" s="187" t="inlineStr">
        <is>
          <t>CVE - IP enrichment n/a</t>
        </is>
      </c>
      <c r="T1051" s="187" t="n">
        <v>0</v>
      </c>
      <c r="U1051" s="187" t="n">
        <v>0</v>
      </c>
      <c r="V1051" s="187" t="inlineStr">
        <is>
          <t>T1190:Exploit Public-Facing Application</t>
        </is>
      </c>
      <c r="W1051" s="187" t="n">
        <v>1</v>
      </c>
      <c r="X1051" s="187" t="inlineStr">
        <is>
          <t>LOW (40%)</t>
        </is>
      </c>
      <c r="Y1051" s="187" t="inlineStr">
        <is>
          <t>UNLIKELY</t>
        </is>
      </c>
      <c r="Z1051" s="187" t="inlineStr">
        <is>
          <t>CHECK_VENDOR</t>
        </is>
      </c>
      <c r="AA1051" s="187" t="inlineStr">
        <is>
          <t>https://nvd.nist.gov/vuln/detail/CVE-2026-3075</t>
        </is>
      </c>
      <c r="AB1051" s="187" t="inlineStr">
        <is>
          <t>NONE</t>
        </is>
      </c>
      <c r="AC1051" s="187" t="n">
        <v>0</v>
      </c>
      <c r="AD1051" s="187" t="inlineStr"/>
    </row>
    <row r="1052">
      <c r="A1052" s="187" t="inlineStr">
        <is>
          <t>CVE</t>
        </is>
      </c>
      <c r="B1052" s="187" t="inlineStr">
        <is>
          <t>CVE-2025-69208</t>
        </is>
      </c>
      <c r="C1052" s="187" t="inlineStr">
        <is>
          <t>free5GC UDR is the user data repository (UDR) for free5GC, an an open-source project for 5th generation (5G) mobile core networks. Versions prior to 1.4.1 contain an Improper Error Handling vulnerability with Information Exposure. All deployments of free5GC using the Nnef_PfdManagement service may be affected. The NEF component reliably leaks internal parsing errors (e.g., invalid character 'n' after top-level value) to remote clients. This can aid attackers in fingerprinting server software and</t>
        </is>
      </c>
      <c r="D1052" s="187" t="n">
        <v>5.3</v>
      </c>
      <c r="E1052" s="187" t="inlineStr">
        <is>
          <t>MEDIUM</t>
        </is>
      </c>
      <c r="F1052" s="187" t="n">
        <v>2</v>
      </c>
      <c r="G1052" s="187" t="n">
        <v>2</v>
      </c>
      <c r="H1052" s="187" t="inlineStr">
        <is>
          <t>MEDIUM</t>
        </is>
      </c>
      <c r="I1052" s="187" t="n">
        <v>9.300000000000001</v>
      </c>
      <c r="J1052" s="187" t="inlineStr">
        <is>
          <t>NO</t>
        </is>
      </c>
      <c r="K1052" s="187" t="inlineStr">
        <is>
          <t>https://nvd.nist.gov/vuln/detail/CVE-2025-69208</t>
        </is>
      </c>
      <c r="L1052" s="187" t="inlineStr">
        <is>
          <t>2026-02-26 00:15</t>
        </is>
      </c>
      <c r="M1052" s="187" t="inlineStr">
        <is>
          <t>YES</t>
        </is>
      </c>
      <c r="N1052" s="187" t="inlineStr">
        <is>
          <t>https://github.com/free5gc/free5gc/issues/753 | https://github.com/free5gc/free5gc/security/advisories/GHSA-f3pc-w7jp-4jh2 | https://github.com/free5gc/udr/commit/91bb34bd96e1c89b3fddca80db8b90049da61ebb</t>
        </is>
      </c>
      <c r="O1052" s="187" t="inlineStr">
        <is>
          <t>Apply vendor patches</t>
        </is>
      </c>
      <c r="P1052" s="187" t="inlineStr">
        <is>
          <t>free5gc udr *</t>
        </is>
      </c>
      <c r="Q1052" s="187" t="inlineStr">
        <is>
          <t>P4</t>
        </is>
      </c>
      <c r="R1052" s="187" t="inlineStr">
        <is>
          <t>📅 Schedule patch deployment within 30 days | 🔍 Monitor for exploitation attempts</t>
        </is>
      </c>
      <c r="S1052" s="187" t="inlineStr">
        <is>
          <t>CVE - IP enrichment n/a</t>
        </is>
      </c>
      <c r="T1052" s="187" t="n">
        <v>0</v>
      </c>
      <c r="U1052" s="187" t="n">
        <v>0</v>
      </c>
      <c r="V1052" s="187" t="inlineStr">
        <is>
          <t>T1190:Exploit Public-Facing Application</t>
        </is>
      </c>
      <c r="W1052" s="187" t="n">
        <v>1</v>
      </c>
      <c r="X1052" s="187" t="inlineStr">
        <is>
          <t>LOW (40%)</t>
        </is>
      </c>
      <c r="Y1052" s="187" t="inlineStr">
        <is>
          <t>UNLIKELY</t>
        </is>
      </c>
      <c r="Z1052" s="187" t="inlineStr">
        <is>
          <t>PATCH_AVAILABLE</t>
        </is>
      </c>
      <c r="AA1052" s="187" t="inlineStr">
        <is>
          <t>https://nvd.nist.gov/vuln/detail/CVE-2025-69208</t>
        </is>
      </c>
      <c r="AB1052" s="187" t="inlineStr">
        <is>
          <t>NONE</t>
        </is>
      </c>
      <c r="AC1052" s="187" t="n">
        <v>0</v>
      </c>
      <c r="AD1052" s="187" t="inlineStr"/>
    </row>
    <row r="1053">
      <c r="A1053" s="188" t="inlineStr">
        <is>
          <t>CVE</t>
        </is>
      </c>
      <c r="B1053" s="188" t="inlineStr">
        <is>
          <t>CVE-2025-69232</t>
        </is>
      </c>
      <c r="C1053" s="188" t="inlineStr">
        <is>
          <t>free5GC is an open-source project for 5th generation (5G) mobile core networks. free5GC go-upf versions up to and including 1.2.6, corresponding to free5gc smf up to and including 1.4.0, have an Improper Input Validation and Protocol Compliance vulnerability leading to Denial of Service. Remote attackers can disrupt core network functionality by sending a malformed PFCP Association Setup Request. The UPF incorrectly accepts it, entering an inconsistent state that causes subsequent legitimate req</t>
        </is>
      </c>
      <c r="D1053" s="188" t="n">
        <v>7.5</v>
      </c>
      <c r="E1053" s="188" t="inlineStr">
        <is>
          <t>HIGH</t>
        </is>
      </c>
      <c r="F1053" s="188" t="n">
        <v>2</v>
      </c>
      <c r="G1053" s="188" t="n">
        <v>3</v>
      </c>
      <c r="H1053" s="188" t="inlineStr">
        <is>
          <t>HIGH</t>
        </is>
      </c>
      <c r="I1053" s="188" t="n">
        <v>13.5</v>
      </c>
      <c r="J1053" s="188" t="inlineStr">
        <is>
          <t>NO</t>
        </is>
      </c>
      <c r="K1053" s="188" t="inlineStr">
        <is>
          <t>https://nvd.nist.gov/vuln/detail/CVE-2025-69232</t>
        </is>
      </c>
      <c r="L1053" s="188" t="inlineStr">
        <is>
          <t>2026-02-26 00:15</t>
        </is>
      </c>
      <c r="M1053" s="188" t="inlineStr">
        <is>
          <t>YES</t>
        </is>
      </c>
      <c r="N1053" s="188" t="inlineStr">
        <is>
          <t>https://github.com/free5gc/free5gc/issues/745 | https://github.com/free5gc/free5gc/security/advisories/GHSA-8m42-qw58-8362</t>
        </is>
      </c>
      <c r="O1053" s="188" t="inlineStr">
        <is>
          <t>Apply vendor patches</t>
        </is>
      </c>
      <c r="P1053" s="188" t="inlineStr">
        <is>
          <t>free5gc smf * | free5gc go-upf *</t>
        </is>
      </c>
      <c r="Q1053" s="188" t="inlineStr">
        <is>
          <t>P3</t>
        </is>
      </c>
      <c r="R1053" s="188" t="inlineStr">
        <is>
          <t>🚨 URGENT: Apply vendor patches immediately | 🔒 Isolate affected systems if patch unavailable | 🛡️ Enable additional monitoring/IDS rules</t>
        </is>
      </c>
      <c r="S1053" s="188" t="inlineStr">
        <is>
          <t>CVE - IP enrichment n/a</t>
        </is>
      </c>
      <c r="T1053" s="188" t="n">
        <v>0</v>
      </c>
      <c r="U1053" s="188" t="n">
        <v>0</v>
      </c>
      <c r="V1053" s="188" t="inlineStr">
        <is>
          <t>T1190:Exploit Public-Facing Application | T1499:Endpoint Denial of Service</t>
        </is>
      </c>
      <c r="W1053" s="188" t="n">
        <v>1</v>
      </c>
      <c r="X1053" s="188" t="inlineStr">
        <is>
          <t>LOW (40%)</t>
        </is>
      </c>
      <c r="Y1053" s="188" t="inlineStr">
        <is>
          <t>UNLIKELY</t>
        </is>
      </c>
      <c r="Z1053" s="188" t="inlineStr">
        <is>
          <t>PATCH_AVAILABLE</t>
        </is>
      </c>
      <c r="AA1053" s="188" t="inlineStr">
        <is>
          <t>https://nvd.nist.gov/vuln/detail/CVE-2025-69232</t>
        </is>
      </c>
      <c r="AB1053" s="188" t="inlineStr">
        <is>
          <t>NONE</t>
        </is>
      </c>
      <c r="AC1053" s="188" t="n">
        <v>0</v>
      </c>
      <c r="AD1053" s="188" t="inlineStr"/>
    </row>
    <row r="1054">
      <c r="A1054" s="188" t="inlineStr">
        <is>
          <t>CVE</t>
        </is>
      </c>
      <c r="B1054" s="188" t="inlineStr">
        <is>
          <t>CVE-2025-69247</t>
        </is>
      </c>
      <c r="C1054" s="188" t="inlineStr">
        <is>
          <t>free5GC go-upf is the User Plane Function (UPF) implementation for 5G networks that is part of the free5GC project. Versions prior to 1.2.8 have a Heap-based Buffer Overflow (CWE-122) vulnerability leading to Denial of Service. Remote attackers can crash the UPF network element by sending a specially crafted PFCP Session Modification Request with an invalid SDF Filter length field. This causes a heap buffer overflow, resulting in complete service disruption for all connected UEs and potential ca</t>
        </is>
      </c>
      <c r="D1054" s="188" t="n">
        <v>7.5</v>
      </c>
      <c r="E1054" s="188" t="inlineStr">
        <is>
          <t>HIGH</t>
        </is>
      </c>
      <c r="F1054" s="188" t="n">
        <v>2</v>
      </c>
      <c r="G1054" s="188" t="n">
        <v>3</v>
      </c>
      <c r="H1054" s="188" t="inlineStr">
        <is>
          <t>HIGH</t>
        </is>
      </c>
      <c r="I1054" s="188" t="n">
        <v>13.5</v>
      </c>
      <c r="J1054" s="188" t="inlineStr">
        <is>
          <t>NO</t>
        </is>
      </c>
      <c r="K1054" s="188" t="inlineStr">
        <is>
          <t>https://nvd.nist.gov/vuln/detail/CVE-2025-69247</t>
        </is>
      </c>
      <c r="L1054" s="188" t="inlineStr">
        <is>
          <t>2026-02-26 00:15</t>
        </is>
      </c>
      <c r="M1054" s="188" t="inlineStr">
        <is>
          <t>YES</t>
        </is>
      </c>
      <c r="N1054" s="188" t="inlineStr">
        <is>
          <t>https://github.com/free5gc/free5gc/issues/746 | https://github.com/free5gc/free5gc/security/advisories/GHSA-gf69-93xr-p23g | https://github.com/free5gc/go-upf/commit/b798fe5ee6a984be492fa53958dd5f1305469f85</t>
        </is>
      </c>
      <c r="O1054" s="188" t="inlineStr">
        <is>
          <t>Apply vendor patches</t>
        </is>
      </c>
      <c r="P1054" s="188" t="inlineStr">
        <is>
          <t>free5gc go-upf *</t>
        </is>
      </c>
      <c r="Q1054" s="188" t="inlineStr">
        <is>
          <t>P3</t>
        </is>
      </c>
      <c r="R1054" s="188" t="inlineStr">
        <is>
          <t>🚨 URGENT: Apply vendor patches immediately | 🔒 Isolate affected systems if patch unavailable | 🛡️ Enable additional monitoring/IDS rules</t>
        </is>
      </c>
      <c r="S1054" s="188" t="inlineStr">
        <is>
          <t>CVE - IP enrichment n/a</t>
        </is>
      </c>
      <c r="T1054" s="188" t="n">
        <v>0</v>
      </c>
      <c r="U1054" s="188" t="n">
        <v>0</v>
      </c>
      <c r="V1054" s="188" t="inlineStr">
        <is>
          <t>T1203:Exploitation for Client Execution | T1499:Endpoint Denial of Service</t>
        </is>
      </c>
      <c r="W1054" s="188" t="n">
        <v>1</v>
      </c>
      <c r="X1054" s="188" t="inlineStr">
        <is>
          <t>LOW (40%)</t>
        </is>
      </c>
      <c r="Y1054" s="188" t="inlineStr">
        <is>
          <t>UNLIKELY</t>
        </is>
      </c>
      <c r="Z1054" s="188" t="inlineStr">
        <is>
          <t>PATCH_AVAILABLE</t>
        </is>
      </c>
      <c r="AA1054" s="188" t="inlineStr">
        <is>
          <t>https://nvd.nist.gov/vuln/detail/CVE-2025-69247</t>
        </is>
      </c>
      <c r="AB1054" s="188" t="inlineStr">
        <is>
          <t>NONE</t>
        </is>
      </c>
      <c r="AC1054" s="188" t="n">
        <v>0</v>
      </c>
      <c r="AD1054" s="188" t="inlineStr"/>
    </row>
    <row r="1055">
      <c r="A1055" s="188" t="inlineStr">
        <is>
          <t>CVE</t>
        </is>
      </c>
      <c r="B1055" s="188" t="inlineStr">
        <is>
          <t>CVE-2025-69248</t>
        </is>
      </c>
      <c r="C1055" s="188" t="inlineStr">
        <is>
          <t>free5GC is an open-source project for 5th generation (5G) mobile core networks. Versions up to and including 1.4.1 of free5GC's AMF service have a Buffer Overflow vulnerability leading to Denial of Service. Remote unauthenticated attackers can crash the AMF service by sending a specially crafted NAS Registration Request with a malformed 5GS Mobile Identity, causing complete denial of service for the 5G core network. All deployments of free5GC using the AMF component may be affected. Pull request</t>
        </is>
      </c>
      <c r="D1055" s="188" t="n">
        <v>7.5</v>
      </c>
      <c r="E1055" s="188" t="inlineStr">
        <is>
          <t>HIGH</t>
        </is>
      </c>
      <c r="F1055" s="188" t="n">
        <v>2</v>
      </c>
      <c r="G1055" s="188" t="n">
        <v>3</v>
      </c>
      <c r="H1055" s="188" t="inlineStr">
        <is>
          <t>HIGH</t>
        </is>
      </c>
      <c r="I1055" s="188" t="n">
        <v>13.5</v>
      </c>
      <c r="J1055" s="188" t="inlineStr">
        <is>
          <t>NO</t>
        </is>
      </c>
      <c r="K1055" s="188" t="inlineStr">
        <is>
          <t>https://nvd.nist.gov/vuln/detail/CVE-2025-69248</t>
        </is>
      </c>
      <c r="L1055" s="188" t="inlineStr">
        <is>
          <t>2026-02-26 00:15</t>
        </is>
      </c>
      <c r="M1055" s="188" t="inlineStr">
        <is>
          <t>YES</t>
        </is>
      </c>
      <c r="N1055" s="188" t="inlineStr">
        <is>
          <t>https://github.com/free5gc/free5gc/issues/747 | https://github.com/free5gc/free5gc/security/advisories/GHSA-h6xc-8vvf-jcjp | https://github.com/free5gc/nas/commit/0329a7ac3f314f210366c1b3c33dc29eded4ac5f</t>
        </is>
      </c>
      <c r="O1055" s="188" t="inlineStr">
        <is>
          <t>Apply vendor patches</t>
        </is>
      </c>
      <c r="P1055" s="188" t="inlineStr">
        <is>
          <t>free5gc amf *</t>
        </is>
      </c>
      <c r="Q1055" s="188" t="inlineStr">
        <is>
          <t>P3</t>
        </is>
      </c>
      <c r="R1055" s="188" t="inlineStr">
        <is>
          <t>🚨 URGENT: Apply vendor patches immediately | 🔒 Isolate affected systems if patch unavailable | 🛡️ Enable additional monitoring/IDS rules</t>
        </is>
      </c>
      <c r="S1055" s="188" t="inlineStr">
        <is>
          <t>CVE - IP enrichment n/a</t>
        </is>
      </c>
      <c r="T1055" s="188" t="n">
        <v>0</v>
      </c>
      <c r="U1055" s="188" t="n">
        <v>0</v>
      </c>
      <c r="V1055" s="188" t="inlineStr">
        <is>
          <t>T1190:Exploit Public-Facing Application | T1203:Exploitation for Client Execution | T1499:Endpoint Denial of Service</t>
        </is>
      </c>
      <c r="W1055" s="188" t="n">
        <v>1</v>
      </c>
      <c r="X1055" s="188" t="inlineStr">
        <is>
          <t>LOW (40%)</t>
        </is>
      </c>
      <c r="Y1055" s="188" t="inlineStr">
        <is>
          <t>UNLIKELY</t>
        </is>
      </c>
      <c r="Z1055" s="188" t="inlineStr">
        <is>
          <t>PATCH_AVAILABLE</t>
        </is>
      </c>
      <c r="AA1055" s="188" t="inlineStr">
        <is>
          <t>https://nvd.nist.gov/vuln/detail/CVE-2025-69248</t>
        </is>
      </c>
      <c r="AB1055" s="188" t="inlineStr">
        <is>
          <t>NONE</t>
        </is>
      </c>
      <c r="AC1055" s="188" t="n">
        <v>0</v>
      </c>
      <c r="AD1055" s="188" t="inlineStr"/>
    </row>
    <row r="1056">
      <c r="A1056" s="188" t="inlineStr">
        <is>
          <t>CVE</t>
        </is>
      </c>
      <c r="B1056" s="188" t="inlineStr">
        <is>
          <t>CVE-2026-25649</t>
        </is>
      </c>
      <c r="C1056" s="188" t="inlineStr">
        <is>
          <t>Versions of the Traccar open-source GPS tracking system up to and including 6.11.1 contain an issue in which authenticated users can steal OAuth 2.0 authorization codes by exploiting an open redirect vulnerability in two OIDC-related endpoints. The `redirect_uri` parameter is not validated against a whitelist, allowing attackers to redirect authorization codes to attacker-controlled URLs, enabling account takeover on any OAuth-integrated application. As of time of publication, it is unclear whet</t>
        </is>
      </c>
      <c r="D1056" s="188" t="n">
        <v>7.3</v>
      </c>
      <c r="E1056" s="188" t="inlineStr">
        <is>
          <t>HIGH</t>
        </is>
      </c>
      <c r="F1056" s="188" t="n">
        <v>2</v>
      </c>
      <c r="G1056" s="188" t="n">
        <v>3</v>
      </c>
      <c r="H1056" s="188" t="inlineStr">
        <is>
          <t>HIGH</t>
        </is>
      </c>
      <c r="I1056" s="188" t="n">
        <v>13.3</v>
      </c>
      <c r="J1056" s="188" t="inlineStr">
        <is>
          <t>NO</t>
        </is>
      </c>
      <c r="K1056" s="188" t="inlineStr">
        <is>
          <t>https://nvd.nist.gov/vuln/detail/CVE-2026-25649</t>
        </is>
      </c>
      <c r="L1056" s="188" t="inlineStr">
        <is>
          <t>2026-02-26 00:15</t>
        </is>
      </c>
      <c r="M1056" s="188" t="inlineStr">
        <is>
          <t>CHECK_VENDOR</t>
        </is>
      </c>
      <c r="N1056" s="188" t="inlineStr">
        <is>
          <t>See NVD references</t>
        </is>
      </c>
      <c r="O1056" s="188" t="inlineStr">
        <is>
          <t>Apply vendor patches</t>
        </is>
      </c>
      <c r="P1056" s="188" t="inlineStr">
        <is>
          <t>See CVE details</t>
        </is>
      </c>
      <c r="Q1056" s="188" t="inlineStr">
        <is>
          <t>P3</t>
        </is>
      </c>
      <c r="R1056" s="188" t="inlineStr">
        <is>
          <t>🚨 URGENT: Apply vendor patches immediately | 🔒 Isolate affected systems if patch unavailable | 🛡️ Enable additional monitoring/IDS rules</t>
        </is>
      </c>
      <c r="S1056" s="188" t="inlineStr">
        <is>
          <t>CVE - IP enrichment n/a</t>
        </is>
      </c>
      <c r="T1056" s="188" t="n">
        <v>0</v>
      </c>
      <c r="U1056" s="188" t="n">
        <v>0</v>
      </c>
      <c r="V1056" s="188" t="inlineStr">
        <is>
          <t>T1185:Browser Session Hijacking | T1190:Exploit Public-Facing Application | T1189:Drive-by Compromise</t>
        </is>
      </c>
      <c r="W1056" s="188" t="n">
        <v>1</v>
      </c>
      <c r="X1056" s="188" t="inlineStr">
        <is>
          <t>LOW (40%)</t>
        </is>
      </c>
      <c r="Y1056" s="188" t="inlineStr">
        <is>
          <t>UNLIKELY</t>
        </is>
      </c>
      <c r="Z1056" s="188" t="inlineStr">
        <is>
          <t>CHECK_VENDOR</t>
        </is>
      </c>
      <c r="AA1056" s="188" t="inlineStr">
        <is>
          <t>https://nvd.nist.gov/vuln/detail/CVE-2026-25649</t>
        </is>
      </c>
      <c r="AB1056" s="188" t="inlineStr">
        <is>
          <t>NONE</t>
        </is>
      </c>
      <c r="AC1056" s="188" t="n">
        <v>0</v>
      </c>
      <c r="AD1056" s="188" t="inlineStr"/>
    </row>
    <row r="1057">
      <c r="A1057" s="187" t="inlineStr">
        <is>
          <t>CVE</t>
        </is>
      </c>
      <c r="B1057" s="187" t="inlineStr">
        <is>
          <t>CVE-2026-25984</t>
        </is>
      </c>
      <c r="C1057" s="187" t="inlineStr">
        <is>
          <t>Rejected reason: This CVE was assigned in error.</t>
        </is>
      </c>
      <c r="D1057" s="187" t="n">
        <v>5</v>
      </c>
      <c r="E1057" s="187" t="inlineStr">
        <is>
          <t>MEDIUM</t>
        </is>
      </c>
      <c r="F1057" s="187" t="n">
        <v>2</v>
      </c>
      <c r="G1057" s="187" t="n">
        <v>2</v>
      </c>
      <c r="H1057" s="187" t="inlineStr">
        <is>
          <t>MEDIUM</t>
        </is>
      </c>
      <c r="I1057" s="187" t="n">
        <v>9</v>
      </c>
      <c r="J1057" s="187" t="inlineStr">
        <is>
          <t>NO</t>
        </is>
      </c>
      <c r="K1057" s="187" t="inlineStr">
        <is>
          <t>https://nvd.nist.gov/vuln/detail/CVE-2026-25984</t>
        </is>
      </c>
      <c r="L1057" s="187" t="inlineStr">
        <is>
          <t>2026-02-26 00:15</t>
        </is>
      </c>
      <c r="M1057" s="187" t="inlineStr">
        <is>
          <t>CHECK_VENDOR</t>
        </is>
      </c>
      <c r="N1057" s="187" t="inlineStr">
        <is>
          <t>See NVD references</t>
        </is>
      </c>
      <c r="O1057" s="187" t="inlineStr">
        <is>
          <t>Apply vendor patches</t>
        </is>
      </c>
      <c r="P1057" s="187" t="inlineStr">
        <is>
          <t>See CVE details</t>
        </is>
      </c>
      <c r="Q1057" s="187" t="inlineStr">
        <is>
          <t>P4</t>
        </is>
      </c>
      <c r="R1057" s="187" t="inlineStr">
        <is>
          <t>📅 Schedule patch deployment within 30 days | 🔍 Monitor for exploitation attempts</t>
        </is>
      </c>
      <c r="S1057" s="187" t="inlineStr">
        <is>
          <t>CVE - IP enrichment n/a</t>
        </is>
      </c>
      <c r="T1057" s="187" t="n">
        <v>0</v>
      </c>
      <c r="U1057" s="187" t="n">
        <v>0</v>
      </c>
      <c r="V1057" s="187" t="inlineStr">
        <is>
          <t>T1190:Exploit Public-Facing Application</t>
        </is>
      </c>
      <c r="W1057" s="187" t="n">
        <v>1</v>
      </c>
      <c r="X1057" s="187" t="inlineStr">
        <is>
          <t>LOW (40%)</t>
        </is>
      </c>
      <c r="Y1057" s="187" t="inlineStr">
        <is>
          <t>UNLIKELY</t>
        </is>
      </c>
      <c r="Z1057" s="187" t="inlineStr">
        <is>
          <t>CHECK_VENDOR</t>
        </is>
      </c>
      <c r="AA1057" s="187" t="inlineStr">
        <is>
          <t>https://nvd.nist.gov/vuln/detail/CVE-2026-25984</t>
        </is>
      </c>
      <c r="AB1057" s="187" t="inlineStr">
        <is>
          <t>NONE</t>
        </is>
      </c>
      <c r="AC1057" s="187" t="n">
        <v>0</v>
      </c>
      <c r="AD1057" s="187" t="inlineStr"/>
    </row>
    <row r="1058">
      <c r="A1058" s="187" t="inlineStr">
        <is>
          <t>CVE</t>
        </is>
      </c>
      <c r="B1058" s="187" t="inlineStr">
        <is>
          <t>CVE-2026-27163</t>
        </is>
      </c>
      <c r="C1058" s="187" t="inlineStr">
        <is>
          <t>Rejected reason: This CVE was assigned in error.</t>
        </is>
      </c>
      <c r="D1058" s="187" t="n">
        <v>5</v>
      </c>
      <c r="E1058" s="187" t="inlineStr">
        <is>
          <t>MEDIUM</t>
        </is>
      </c>
      <c r="F1058" s="187" t="n">
        <v>2</v>
      </c>
      <c r="G1058" s="187" t="n">
        <v>2</v>
      </c>
      <c r="H1058" s="187" t="inlineStr">
        <is>
          <t>MEDIUM</t>
        </is>
      </c>
      <c r="I1058" s="187" t="n">
        <v>9</v>
      </c>
      <c r="J1058" s="187" t="inlineStr">
        <is>
          <t>NO</t>
        </is>
      </c>
      <c r="K1058" s="187" t="inlineStr">
        <is>
          <t>https://nvd.nist.gov/vuln/detail/CVE-2026-27163</t>
        </is>
      </c>
      <c r="L1058" s="187" t="inlineStr">
        <is>
          <t>2026-02-26 00:15</t>
        </is>
      </c>
      <c r="M1058" s="187" t="inlineStr">
        <is>
          <t>CHECK_VENDOR</t>
        </is>
      </c>
      <c r="N1058" s="187" t="inlineStr">
        <is>
          <t>See NVD references</t>
        </is>
      </c>
      <c r="O1058" s="187" t="inlineStr">
        <is>
          <t>Apply vendor patches</t>
        </is>
      </c>
      <c r="P1058" s="187" t="inlineStr">
        <is>
          <t>See CVE details</t>
        </is>
      </c>
      <c r="Q1058" s="187" t="inlineStr">
        <is>
          <t>P4</t>
        </is>
      </c>
      <c r="R1058" s="187" t="inlineStr">
        <is>
          <t>📅 Schedule patch deployment within 30 days | 🔍 Monitor for exploitation attempts</t>
        </is>
      </c>
      <c r="S1058" s="187" t="inlineStr">
        <is>
          <t>CVE - IP enrichment n/a</t>
        </is>
      </c>
      <c r="T1058" s="187" t="n">
        <v>0</v>
      </c>
      <c r="U1058" s="187" t="n">
        <v>0</v>
      </c>
      <c r="V1058" s="187" t="inlineStr">
        <is>
          <t>T1190:Exploit Public-Facing Application</t>
        </is>
      </c>
      <c r="W1058" s="187" t="n">
        <v>1</v>
      </c>
      <c r="X1058" s="187" t="inlineStr">
        <is>
          <t>LOW (40%)</t>
        </is>
      </c>
      <c r="Y1058" s="187" t="inlineStr">
        <is>
          <t>UNLIKELY</t>
        </is>
      </c>
      <c r="Z1058" s="187" t="inlineStr">
        <is>
          <t>CHECK_VENDOR</t>
        </is>
      </c>
      <c r="AA1058" s="187" t="inlineStr">
        <is>
          <t>https://nvd.nist.gov/vuln/detail/CVE-2026-27163</t>
        </is>
      </c>
      <c r="AB1058" s="187" t="inlineStr">
        <is>
          <t>NONE</t>
        </is>
      </c>
      <c r="AC1058" s="187" t="n">
        <v>0</v>
      </c>
      <c r="AD1058" s="187" t="inlineStr"/>
    </row>
    <row r="1059">
      <c r="A1059" s="187" t="inlineStr">
        <is>
          <t>CVE</t>
        </is>
      </c>
      <c r="B1059" s="187" t="inlineStr">
        <is>
          <t>CVE-2026-27741</t>
        </is>
      </c>
      <c r="C1059" s="187" t="inlineStr">
        <is>
          <t>Bludit version 3.16.1 contains a cross-site request forgery (CSRF) vulnerability in the /admin/uninstall-plugin/ and /admin/install-theme/ endpoints. The application does not implement anti-CSRF tokens or other request origin validation mechanisms for these administrative actions. An attacker can induce an authenticated administrator to visit a malicious page that silently submits crafted requests, resulting in unauthorized plugin uninstallation or theme installation. This may lead to loss of fu</t>
        </is>
      </c>
      <c r="D1059" s="187" t="n">
        <v>4.3</v>
      </c>
      <c r="E1059" s="187" t="inlineStr">
        <is>
          <t>MEDIUM</t>
        </is>
      </c>
      <c r="F1059" s="187" t="n">
        <v>2</v>
      </c>
      <c r="G1059" s="187" t="n">
        <v>2</v>
      </c>
      <c r="H1059" s="187" t="inlineStr">
        <is>
          <t>MEDIUM</t>
        </is>
      </c>
      <c r="I1059" s="187" t="n">
        <v>8.300000000000001</v>
      </c>
      <c r="J1059" s="187" t="inlineStr">
        <is>
          <t>NO</t>
        </is>
      </c>
      <c r="K1059" s="187" t="inlineStr">
        <is>
          <t>https://nvd.nist.gov/vuln/detail/CVE-2026-27741</t>
        </is>
      </c>
      <c r="L1059" s="187" t="inlineStr">
        <is>
          <t>2026-02-26 00:15</t>
        </is>
      </c>
      <c r="M1059" s="187" t="inlineStr">
        <is>
          <t>CHECK_VENDOR</t>
        </is>
      </c>
      <c r="N1059" s="187" t="inlineStr">
        <is>
          <t>See NVD references</t>
        </is>
      </c>
      <c r="O1059" s="187" t="inlineStr">
        <is>
          <t>Apply vendor patches</t>
        </is>
      </c>
      <c r="P1059" s="187" t="inlineStr">
        <is>
          <t>See CVE details</t>
        </is>
      </c>
      <c r="Q1059" s="187" t="inlineStr">
        <is>
          <t>P4</t>
        </is>
      </c>
      <c r="R1059" s="187" t="inlineStr">
        <is>
          <t>📅 Schedule patch deployment within 30 days | 🔍 Monitor for exploitation attempts</t>
        </is>
      </c>
      <c r="S1059" s="187" t="inlineStr">
        <is>
          <t>CVE - IP enrichment n/a</t>
        </is>
      </c>
      <c r="T1059" s="187" t="n">
        <v>0.0003</v>
      </c>
      <c r="U1059" s="187" t="n">
        <v>0.0779</v>
      </c>
      <c r="V1059" s="187" t="inlineStr">
        <is>
          <t>T1185:Browser Session Hijacking</t>
        </is>
      </c>
      <c r="W1059" s="187" t="n">
        <v>1</v>
      </c>
      <c r="X1059" s="187" t="inlineStr">
        <is>
          <t>LOW (40%)</t>
        </is>
      </c>
      <c r="Y1059" s="187" t="inlineStr">
        <is>
          <t>UNLIKELY</t>
        </is>
      </c>
      <c r="Z1059" s="187" t="inlineStr">
        <is>
          <t>CHECK_VENDOR</t>
        </is>
      </c>
      <c r="AA1059" s="187" t="inlineStr">
        <is>
          <t>https://nvd.nist.gov/vuln/detail/CVE-2026-27741</t>
        </is>
      </c>
      <c r="AB1059" s="187" t="inlineStr">
        <is>
          <t>NONE</t>
        </is>
      </c>
      <c r="AC1059" s="187" t="n">
        <v>0</v>
      </c>
      <c r="AD1059" s="187" t="inlineStr"/>
    </row>
    <row r="1060">
      <c r="A1060" s="187" t="inlineStr">
        <is>
          <t>CVE</t>
        </is>
      </c>
      <c r="B1060" s="187" t="inlineStr">
        <is>
          <t>CVE-2026-27742</t>
        </is>
      </c>
      <c r="C1060" s="187" t="inlineStr">
        <is>
          <t>Bludit version 3.16.2 contains a stored cross-site scripting (XSS) vulnerability in the post content functionality. The application performs client-side sanitation of content input but does not enforce equivalent sanitation on the server side. An authenticated user can inject arbitrary JavaScript into the content field of a post, which is stored and later rendered to other users without proper output encoding. When viewed, the injected script executes in the context of the victim’s browser, allo</t>
        </is>
      </c>
      <c r="D1060" s="187" t="n">
        <v>5.4</v>
      </c>
      <c r="E1060" s="187" t="inlineStr">
        <is>
          <t>MEDIUM</t>
        </is>
      </c>
      <c r="F1060" s="187" t="n">
        <v>2</v>
      </c>
      <c r="G1060" s="187" t="n">
        <v>2</v>
      </c>
      <c r="H1060" s="187" t="inlineStr">
        <is>
          <t>MEDIUM</t>
        </is>
      </c>
      <c r="I1060" s="187" t="n">
        <v>9.4</v>
      </c>
      <c r="J1060" s="187" t="inlineStr">
        <is>
          <t>NO</t>
        </is>
      </c>
      <c r="K1060" s="187" t="inlineStr">
        <is>
          <t>https://nvd.nist.gov/vuln/detail/CVE-2026-27742</t>
        </is>
      </c>
      <c r="L1060" s="187" t="inlineStr">
        <is>
          <t>2026-02-26 00:15</t>
        </is>
      </c>
      <c r="M1060" s="187" t="inlineStr">
        <is>
          <t>CHECK_VENDOR</t>
        </is>
      </c>
      <c r="N1060" s="187" t="inlineStr">
        <is>
          <t>See NVD references</t>
        </is>
      </c>
      <c r="O1060" s="187" t="inlineStr">
        <is>
          <t>Apply vendor patches</t>
        </is>
      </c>
      <c r="P1060" s="187" t="inlineStr">
        <is>
          <t>See CVE details</t>
        </is>
      </c>
      <c r="Q1060" s="187" t="inlineStr">
        <is>
          <t>P4</t>
        </is>
      </c>
      <c r="R1060" s="187" t="inlineStr">
        <is>
          <t>📅 Schedule patch deployment within 30 days | 🔍 Monitor for exploitation attempts</t>
        </is>
      </c>
      <c r="S1060" s="187" t="inlineStr">
        <is>
          <t>CVE - IP enrichment n/a</t>
        </is>
      </c>
      <c r="T1060" s="187" t="n">
        <v>0</v>
      </c>
      <c r="U1060" s="187" t="n">
        <v>0</v>
      </c>
      <c r="V1060" s="187" t="inlineStr">
        <is>
          <t>T1189:Drive-by Compromise | T1190:Exploit Public-Facing Application | T1552:Unsecured Credentials</t>
        </is>
      </c>
      <c r="W1060" s="187" t="n">
        <v>1</v>
      </c>
      <c r="X1060" s="187" t="inlineStr">
        <is>
          <t>LOW (40%)</t>
        </is>
      </c>
      <c r="Y1060" s="187" t="inlineStr">
        <is>
          <t>UNLIKELY</t>
        </is>
      </c>
      <c r="Z1060" s="187" t="inlineStr">
        <is>
          <t>CHECK_VENDOR</t>
        </is>
      </c>
      <c r="AA1060" s="187" t="inlineStr">
        <is>
          <t>https://nvd.nist.gov/vuln/detail/CVE-2026-27742</t>
        </is>
      </c>
      <c r="AB1060" s="187" t="inlineStr">
        <is>
          <t>NONE</t>
        </is>
      </c>
      <c r="AC1060" s="187" t="n">
        <v>0</v>
      </c>
      <c r="AD1060" s="187" t="inlineStr"/>
    </row>
    <row r="1061">
      <c r="A1061" s="187" t="inlineStr">
        <is>
          <t>CVE</t>
        </is>
      </c>
      <c r="B1061" s="187" t="inlineStr">
        <is>
          <t>CVE-2026-3028</t>
        </is>
      </c>
      <c r="C1061" s="187" t="inlineStr">
        <is>
          <t>A vulnerability was determined in erzhongxmu JEEWMS up to 3.7. This vulnerability affects the function doAdd of the file src/main/java/com/jeecg/demo/controller/JeecgListDemoController.java. This manipulation of the argument Name causes cross site scripting. The attack may be initiated remotely. The exploit has been publicly disclosed and may be utilized. The vendor was contacted early about this disclosure but did not respond in any way.</t>
        </is>
      </c>
      <c r="D1061" s="187" t="n">
        <v>4.3</v>
      </c>
      <c r="E1061" s="187" t="inlineStr">
        <is>
          <t>MEDIUM</t>
        </is>
      </c>
      <c r="F1061" s="187" t="n">
        <v>2</v>
      </c>
      <c r="G1061" s="187" t="n">
        <v>2</v>
      </c>
      <c r="H1061" s="187" t="inlineStr">
        <is>
          <t>MEDIUM</t>
        </is>
      </c>
      <c r="I1061" s="187" t="n">
        <v>8.300000000000001</v>
      </c>
      <c r="J1061" s="187" t="inlineStr">
        <is>
          <t>NO</t>
        </is>
      </c>
      <c r="K1061" s="187" t="inlineStr">
        <is>
          <t>https://nvd.nist.gov/vuln/detail/CVE-2026-3028</t>
        </is>
      </c>
      <c r="L1061" s="187" t="inlineStr">
        <is>
          <t>2026-02-26 00:15</t>
        </is>
      </c>
      <c r="M1061" s="187" t="inlineStr">
        <is>
          <t>CHECK_VENDOR</t>
        </is>
      </c>
      <c r="N1061" s="187" t="inlineStr">
        <is>
          <t>See NVD references</t>
        </is>
      </c>
      <c r="O1061" s="187" t="inlineStr">
        <is>
          <t>Apply vendor patches</t>
        </is>
      </c>
      <c r="P1061" s="187" t="inlineStr">
        <is>
          <t>See CVE details</t>
        </is>
      </c>
      <c r="Q1061" s="187" t="inlineStr">
        <is>
          <t>P4</t>
        </is>
      </c>
      <c r="R1061" s="187" t="inlineStr">
        <is>
          <t>📅 Schedule patch deployment within 30 days | 🔍 Monitor for exploitation attempts</t>
        </is>
      </c>
      <c r="S1061" s="187" t="inlineStr">
        <is>
          <t>CVE - IP enrichment n/a</t>
        </is>
      </c>
      <c r="T1061" s="187" t="n">
        <v>0</v>
      </c>
      <c r="U1061" s="187" t="n">
        <v>0</v>
      </c>
      <c r="V1061" s="187" t="inlineStr">
        <is>
          <t>T1189:Drive-by Compromise</t>
        </is>
      </c>
      <c r="W1061" s="187" t="n">
        <v>1</v>
      </c>
      <c r="X1061" s="187" t="inlineStr">
        <is>
          <t>LOW (40%)</t>
        </is>
      </c>
      <c r="Y1061" s="187" t="inlineStr">
        <is>
          <t>UNLIKELY</t>
        </is>
      </c>
      <c r="Z1061" s="187" t="inlineStr">
        <is>
          <t>CHECK_VENDOR</t>
        </is>
      </c>
      <c r="AA1061" s="187" t="inlineStr">
        <is>
          <t>https://nvd.nist.gov/vuln/detail/CVE-2026-3028</t>
        </is>
      </c>
      <c r="AB1061" s="187" t="inlineStr">
        <is>
          <t>NONE</t>
        </is>
      </c>
      <c r="AC1061" s="187" t="n">
        <v>0</v>
      </c>
      <c r="AD1061" s="187" t="inlineStr"/>
    </row>
    <row r="1062">
      <c r="A1062" s="187" t="inlineStr">
        <is>
          <t>CVE</t>
        </is>
      </c>
      <c r="B1062" s="187" t="inlineStr">
        <is>
          <t>CVE-2026-3040</t>
        </is>
      </c>
      <c r="C1062" s="187" t="inlineStr">
        <is>
          <t>A vulnerability was identified in DrayTek Vigor 300B up to 1.5.1.6. This affects the function cgiGetFile of the file /cgi-bin/mainfunction.cgi/uploadlangs of the component Web Management Interface. The manipulation of the argument File leads to os command injection. The attack may be initiated remotely. The exploit is publicly available and might be used. The vendor confirms that "300B is EoL, and this is an authenticated vulnerability. We don't plan to fix it." This vulnerability only affects p</t>
        </is>
      </c>
      <c r="D1062" s="187" t="n">
        <v>4.7</v>
      </c>
      <c r="E1062" s="187" t="inlineStr">
        <is>
          <t>MEDIUM</t>
        </is>
      </c>
      <c r="F1062" s="187" t="n">
        <v>2</v>
      </c>
      <c r="G1062" s="187" t="n">
        <v>2</v>
      </c>
      <c r="H1062" s="187" t="inlineStr">
        <is>
          <t>MEDIUM</t>
        </is>
      </c>
      <c r="I1062" s="187" t="n">
        <v>8.699999999999999</v>
      </c>
      <c r="J1062" s="187" t="inlineStr">
        <is>
          <t>NO</t>
        </is>
      </c>
      <c r="K1062" s="187" t="inlineStr">
        <is>
          <t>https://nvd.nist.gov/vuln/detail/CVE-2026-3040</t>
        </is>
      </c>
      <c r="L1062" s="187" t="inlineStr">
        <is>
          <t>2026-02-26 00:15</t>
        </is>
      </c>
      <c r="M1062" s="187" t="inlineStr">
        <is>
          <t>CHECK_VENDOR</t>
        </is>
      </c>
      <c r="N1062" s="187" t="inlineStr">
        <is>
          <t>See NVD references</t>
        </is>
      </c>
      <c r="O1062" s="187" t="inlineStr">
        <is>
          <t>Apply vendor patches</t>
        </is>
      </c>
      <c r="P1062" s="187" t="inlineStr">
        <is>
          <t>See CVE details</t>
        </is>
      </c>
      <c r="Q1062" s="187" t="inlineStr">
        <is>
          <t>P4</t>
        </is>
      </c>
      <c r="R1062" s="187" t="inlineStr">
        <is>
          <t>📅 Schedule patch deployment within 30 days | 🔍 Monitor for exploitation attempts</t>
        </is>
      </c>
      <c r="S1062" s="187" t="inlineStr">
        <is>
          <t>CVE - IP enrichment n/a</t>
        </is>
      </c>
      <c r="T1062" s="187" t="n">
        <v>0</v>
      </c>
      <c r="U1062" s="187" t="n">
        <v>0</v>
      </c>
      <c r="V1062" s="187" t="inlineStr">
        <is>
          <t>T1059:Command and Scripting Interpreter</t>
        </is>
      </c>
      <c r="W1062" s="187" t="n">
        <v>1</v>
      </c>
      <c r="X1062" s="187" t="inlineStr">
        <is>
          <t>LOW (40%)</t>
        </is>
      </c>
      <c r="Y1062" s="187" t="inlineStr">
        <is>
          <t>UNLIKELY</t>
        </is>
      </c>
      <c r="Z1062" s="187" t="inlineStr">
        <is>
          <t>CHECK_VENDOR</t>
        </is>
      </c>
      <c r="AA1062" s="187" t="inlineStr">
        <is>
          <t>https://nvd.nist.gov/vuln/detail/CVE-2026-3040</t>
        </is>
      </c>
      <c r="AB1062" s="187" t="inlineStr">
        <is>
          <t>NONE</t>
        </is>
      </c>
      <c r="AC1062" s="187" t="n">
        <v>0</v>
      </c>
      <c r="AD1062" s="187" t="inlineStr"/>
    </row>
    <row r="1063">
      <c r="A1063" s="190" t="inlineStr">
        <is>
          <t>CVE</t>
        </is>
      </c>
      <c r="B1063" s="190" t="inlineStr">
        <is>
          <t>CVE-2026-3041</t>
        </is>
      </c>
      <c r="C1063" s="190" t="inlineStr">
        <is>
          <t>A security vulnerability has been detected in xingfuggz BaykeShop up to 1.3.20. Impacted is an unknown function of the file src/baykeshop/contrib/article/templates/baykeshop/sidebar/custom.html of the component Article Sidebar Module. Such manipulation of the argument sidebar.content leads to cross site scripting. The attack can be executed remotely. The exploit has been disclosed publicly and may be used. The project was informed of the problem early through an issue report but has not responde</t>
        </is>
      </c>
      <c r="D1063" s="190" t="n">
        <v>2.4</v>
      </c>
      <c r="E1063" s="190" t="inlineStr">
        <is>
          <t>LOW</t>
        </is>
      </c>
      <c r="F1063" s="190" t="n">
        <v>2</v>
      </c>
      <c r="G1063" s="190" t="n">
        <v>1</v>
      </c>
      <c r="H1063" s="190" t="inlineStr">
        <is>
          <t>LOW</t>
        </is>
      </c>
      <c r="I1063" s="190" t="n">
        <v>4.4</v>
      </c>
      <c r="J1063" s="190" t="inlineStr">
        <is>
          <t>NO</t>
        </is>
      </c>
      <c r="K1063" s="190" t="inlineStr">
        <is>
          <t>https://nvd.nist.gov/vuln/detail/CVE-2026-3041</t>
        </is>
      </c>
      <c r="L1063" s="190" t="inlineStr">
        <is>
          <t>2026-02-26 00:15</t>
        </is>
      </c>
      <c r="M1063" s="190" t="inlineStr">
        <is>
          <t>CHECK_VENDOR</t>
        </is>
      </c>
      <c r="N1063" s="190" t="inlineStr">
        <is>
          <t>See NVD references</t>
        </is>
      </c>
      <c r="O1063" s="190" t="inlineStr">
        <is>
          <t>Apply vendor patches</t>
        </is>
      </c>
      <c r="P1063" s="190" t="inlineStr">
        <is>
          <t>See CVE details</t>
        </is>
      </c>
      <c r="Q1063" s="190" t="inlineStr">
        <is>
          <t>P4</t>
        </is>
      </c>
      <c r="R1063" s="190" t="inlineStr">
        <is>
          <t>📅 Schedule patch deployment within 30 days | 🔍 Monitor for exploitation attempts</t>
        </is>
      </c>
      <c r="S1063" s="190" t="inlineStr">
        <is>
          <t>CVE - IP enrichment n/a</t>
        </is>
      </c>
      <c r="T1063" s="190" t="n">
        <v>0.0001</v>
      </c>
      <c r="U1063" s="190" t="n">
        <v>0.0124</v>
      </c>
      <c r="V1063" s="190" t="inlineStr">
        <is>
          <t>T1189:Drive-by Compromise</t>
        </is>
      </c>
      <c r="W1063" s="190" t="n">
        <v>1</v>
      </c>
      <c r="X1063" s="190" t="inlineStr">
        <is>
          <t>LOW (40%)</t>
        </is>
      </c>
      <c r="Y1063" s="190" t="inlineStr">
        <is>
          <t>UNLIKELY</t>
        </is>
      </c>
      <c r="Z1063" s="190" t="inlineStr">
        <is>
          <t>CHECK_VENDOR</t>
        </is>
      </c>
      <c r="AA1063" s="190" t="inlineStr">
        <is>
          <t>https://nvd.nist.gov/vuln/detail/CVE-2026-3041</t>
        </is>
      </c>
      <c r="AB1063" s="190" t="inlineStr">
        <is>
          <t>NONE</t>
        </is>
      </c>
      <c r="AC1063" s="190" t="n">
        <v>0</v>
      </c>
      <c r="AD1063" s="190" t="inlineStr"/>
    </row>
    <row r="1064">
      <c r="A1064" s="188" t="inlineStr">
        <is>
          <t>CVE</t>
        </is>
      </c>
      <c r="B1064" s="188" t="inlineStr">
        <is>
          <t>CVE-2026-21665</t>
        </is>
      </c>
      <c r="C1064" s="188" t="inlineStr">
        <is>
          <t>The Print Service component of Fiserv Originate Loans Peripherals (formerly Velocity Services) in unsupported version 2021.2.4 (build 4.7.3155.0011) uses deprecated .NET Remoting TCP channels that allow unsafe deserialization of untrusted data. When these services are exposed to an untrusted network in a client-managed deployment, an unauthenticated attacker can achieve remote code execution. Version 2021.2.4 is no longer supported by Fiserv. Customers should upgrade to a currently supported rel</t>
        </is>
      </c>
      <c r="D1064" s="188" t="n">
        <v>8.5</v>
      </c>
      <c r="E1064" s="188" t="inlineStr">
        <is>
          <t>HIGH</t>
        </is>
      </c>
      <c r="F1064" s="188" t="n">
        <v>2</v>
      </c>
      <c r="G1064" s="188" t="n">
        <v>3</v>
      </c>
      <c r="H1064" s="188" t="inlineStr">
        <is>
          <t>HIGH</t>
        </is>
      </c>
      <c r="I1064" s="188" t="n">
        <v>14.5</v>
      </c>
      <c r="J1064" s="188" t="inlineStr">
        <is>
          <t>NO</t>
        </is>
      </c>
      <c r="K1064" s="188" t="inlineStr">
        <is>
          <t>https://nvd.nist.gov/vuln/detail/CVE-2026-21665</t>
        </is>
      </c>
      <c r="L1064" s="188" t="inlineStr">
        <is>
          <t>2026-02-26 00:15</t>
        </is>
      </c>
      <c r="M1064" s="188" t="inlineStr">
        <is>
          <t>CHECK_VENDOR</t>
        </is>
      </c>
      <c r="N1064" s="188" t="inlineStr">
        <is>
          <t>See NVD references</t>
        </is>
      </c>
      <c r="O1064" s="188" t="inlineStr">
        <is>
          <t>Apply vendor patches</t>
        </is>
      </c>
      <c r="P1064" s="188" t="inlineStr">
        <is>
          <t>See CVE details</t>
        </is>
      </c>
      <c r="Q1064" s="188" t="inlineStr">
        <is>
          <t>P3</t>
        </is>
      </c>
      <c r="R1064" s="188" t="inlineStr">
        <is>
          <t>🚨 URGENT: Apply vendor patches immediately | 🔒 Isolate affected systems if patch unavailable | 🛡️ Enable additional monitoring/IDS rules</t>
        </is>
      </c>
      <c r="S1064" s="188" t="inlineStr">
        <is>
          <t>CVE - IP enrichment n/a</t>
        </is>
      </c>
      <c r="T1064" s="188" t="n">
        <v>0</v>
      </c>
      <c r="U1064" s="188" t="n">
        <v>0</v>
      </c>
      <c r="V1064" s="188" t="inlineStr">
        <is>
          <t>T1059:Command and Scripting Interpreter | T1190:Exploit Public-Facing Application | T1210:Exploitation of Remote Services</t>
        </is>
      </c>
      <c r="W1064" s="188" t="n">
        <v>1</v>
      </c>
      <c r="X1064" s="188" t="inlineStr">
        <is>
          <t>LOW (40%)</t>
        </is>
      </c>
      <c r="Y1064" s="188" t="inlineStr">
        <is>
          <t>UNLIKELY</t>
        </is>
      </c>
      <c r="Z1064" s="188" t="inlineStr">
        <is>
          <t>CHECK_VENDOR</t>
        </is>
      </c>
      <c r="AA1064" s="188" t="inlineStr">
        <is>
          <t>https://nvd.nist.gov/vuln/detail/CVE-2026-21665</t>
        </is>
      </c>
      <c r="AB1064" s="188" t="inlineStr">
        <is>
          <t>NONE</t>
        </is>
      </c>
      <c r="AC1064" s="188" t="n">
        <v>0</v>
      </c>
      <c r="AD1064" s="188" t="inlineStr"/>
    </row>
    <row r="1065">
      <c r="A1065" s="189" t="inlineStr">
        <is>
          <t>CVE</t>
        </is>
      </c>
      <c r="B1065" s="189" t="inlineStr">
        <is>
          <t>CVE-2026-3061</t>
        </is>
      </c>
      <c r="C1065" s="189" t="inlineStr">
        <is>
          <t>Out of bounds read in Media in Google Chrome prior to 145.0.7632.116 allowed a remote attacker to perform an out of bounds memory read via a crafted HTML page. (Chromium security severity: High)</t>
        </is>
      </c>
      <c r="D1065" s="189" t="n">
        <v>9.1</v>
      </c>
      <c r="E1065" s="189" t="inlineStr">
        <is>
          <t>CRITICAL</t>
        </is>
      </c>
      <c r="F1065" s="189" t="n">
        <v>2</v>
      </c>
      <c r="G1065" s="189" t="n">
        <v>3</v>
      </c>
      <c r="H1065" s="189" t="inlineStr">
        <is>
          <t>HIGH</t>
        </is>
      </c>
      <c r="I1065" s="189" t="n">
        <v>15.1</v>
      </c>
      <c r="J1065" s="189" t="inlineStr">
        <is>
          <t>NO</t>
        </is>
      </c>
      <c r="K1065" s="189" t="inlineStr">
        <is>
          <t>https://nvd.nist.gov/vuln/detail/CVE-2026-3061</t>
        </is>
      </c>
      <c r="L1065" s="189" t="inlineStr">
        <is>
          <t>2026-02-26 00:15</t>
        </is>
      </c>
      <c r="M1065" s="189" t="inlineStr">
        <is>
          <t>CHECK_VENDOR</t>
        </is>
      </c>
      <c r="N1065" s="189" t="inlineStr">
        <is>
          <t>See NVD references</t>
        </is>
      </c>
      <c r="O1065" s="189" t="inlineStr">
        <is>
          <t>Apply vendor patches</t>
        </is>
      </c>
      <c r="P1065" s="189" t="inlineStr">
        <is>
          <t>microsoft windows - | linux linux_kernel - | apple macos -</t>
        </is>
      </c>
      <c r="Q1065" s="189" t="inlineStr">
        <is>
          <t>P3</t>
        </is>
      </c>
      <c r="R1065" s="189" t="inlineStr">
        <is>
          <t>🚨 URGENT: Apply vendor patches immediately | 🔒 Isolate affected systems if patch unavailable | 🛡️ Enable additional monitoring/IDS rules</t>
        </is>
      </c>
      <c r="S1065" s="189" t="inlineStr">
        <is>
          <t>CVE - IP enrichment n/a</t>
        </is>
      </c>
      <c r="T1065" s="189" t="n">
        <v>0.0001</v>
      </c>
      <c r="U1065" s="189" t="n">
        <v>0.0171</v>
      </c>
      <c r="V1065" s="189" t="inlineStr">
        <is>
          <t>T1203:Exploitation for Client Execution</t>
        </is>
      </c>
      <c r="W1065" s="189" t="n">
        <v>1</v>
      </c>
      <c r="X1065" s="189" t="inlineStr">
        <is>
          <t>LOW (40%)</t>
        </is>
      </c>
      <c r="Y1065" s="189" t="inlineStr">
        <is>
          <t>UNLIKELY</t>
        </is>
      </c>
      <c r="Z1065" s="189" t="inlineStr">
        <is>
          <t>CHECK_VENDOR</t>
        </is>
      </c>
      <c r="AA1065" s="189" t="inlineStr">
        <is>
          <t>https://nvd.nist.gov/vuln/detail/CVE-2026-3061</t>
        </is>
      </c>
      <c r="AB1065" s="189" t="inlineStr">
        <is>
          <t>NONE</t>
        </is>
      </c>
      <c r="AC1065" s="189" t="n">
        <v>0</v>
      </c>
      <c r="AD1065" s="189" t="inlineStr"/>
    </row>
    <row r="1066">
      <c r="A1066" s="189" t="inlineStr">
        <is>
          <t>CVE</t>
        </is>
      </c>
      <c r="B1066" s="189" t="inlineStr">
        <is>
          <t>CVE-2026-3062</t>
        </is>
      </c>
      <c r="C1066" s="189" t="inlineStr">
        <is>
          <t>Out of bounds read and write in Tint in Google Chrome on Mac prior to 145.0.7632.116 allowed a remote attacker to perform out of bounds memory access via a crafted HTML page. (Chromium security severity: High)</t>
        </is>
      </c>
      <c r="D1066" s="189" t="n">
        <v>9.800000000000001</v>
      </c>
      <c r="E1066" s="189" t="inlineStr">
        <is>
          <t>CRITICAL</t>
        </is>
      </c>
      <c r="F1066" s="189" t="n">
        <v>2</v>
      </c>
      <c r="G1066" s="189" t="n">
        <v>3</v>
      </c>
      <c r="H1066" s="189" t="inlineStr">
        <is>
          <t>HIGH</t>
        </is>
      </c>
      <c r="I1066" s="189" t="n">
        <v>15.8</v>
      </c>
      <c r="J1066" s="189" t="inlineStr">
        <is>
          <t>NO</t>
        </is>
      </c>
      <c r="K1066" s="189" t="inlineStr">
        <is>
          <t>https://nvd.nist.gov/vuln/detail/CVE-2026-3062</t>
        </is>
      </c>
      <c r="L1066" s="189" t="inlineStr">
        <is>
          <t>2026-02-26 00:15</t>
        </is>
      </c>
      <c r="M1066" s="189" t="inlineStr">
        <is>
          <t>CHECK_VENDOR</t>
        </is>
      </c>
      <c r="N1066" s="189" t="inlineStr">
        <is>
          <t>See NVD references</t>
        </is>
      </c>
      <c r="O1066" s="189" t="inlineStr">
        <is>
          <t>Apply vendor patches</t>
        </is>
      </c>
      <c r="P1066" s="189" t="inlineStr">
        <is>
          <t>microsoft windows - | linux linux_kernel - | apple macos -</t>
        </is>
      </c>
      <c r="Q1066" s="189" t="inlineStr">
        <is>
          <t>P3</t>
        </is>
      </c>
      <c r="R1066" s="189" t="inlineStr">
        <is>
          <t>🚨 URGENT: Apply vendor patches immediately | 🔒 Isolate affected systems if patch unavailable | 🛡️ Enable additional monitoring/IDS rules</t>
        </is>
      </c>
      <c r="S1066" s="189" t="inlineStr">
        <is>
          <t>CVE - IP enrichment n/a</t>
        </is>
      </c>
      <c r="T1066" s="189" t="n">
        <v>0</v>
      </c>
      <c r="U1066" s="189" t="n">
        <v>0</v>
      </c>
      <c r="V1066" s="189" t="inlineStr">
        <is>
          <t>T1203:Exploitation for Client Execution</t>
        </is>
      </c>
      <c r="W1066" s="189" t="n">
        <v>1</v>
      </c>
      <c r="X1066" s="189" t="inlineStr">
        <is>
          <t>LOW (40%)</t>
        </is>
      </c>
      <c r="Y1066" s="189" t="inlineStr">
        <is>
          <t>UNLIKELY</t>
        </is>
      </c>
      <c r="Z1066" s="189" t="inlineStr">
        <is>
          <t>CHECK_VENDOR</t>
        </is>
      </c>
      <c r="AA1066" s="189" t="inlineStr">
        <is>
          <t>https://nvd.nist.gov/vuln/detail/CVE-2026-3062</t>
        </is>
      </c>
      <c r="AB1066" s="189" t="inlineStr">
        <is>
          <t>NONE</t>
        </is>
      </c>
      <c r="AC1066" s="189" t="n">
        <v>0</v>
      </c>
      <c r="AD1066" s="189" t="inlineStr"/>
    </row>
    <row r="1067">
      <c r="A1067" s="187" t="inlineStr">
        <is>
          <t>CVE</t>
        </is>
      </c>
      <c r="B1067" s="187" t="inlineStr">
        <is>
          <t>CVE-2026-3063</t>
        </is>
      </c>
      <c r="C1067" s="187" t="inlineStr">
        <is>
          <t>Inappropriate implementation in DevTools in Google Chrome prior to 145.0.7632.116 allowed an attacker who convinced a user to install a malicious extension to inject scripts or HTML into a privileged page via DevTools. (Chromium security severity: High)</t>
        </is>
      </c>
      <c r="D1067" s="187" t="n">
        <v>5.4</v>
      </c>
      <c r="E1067" s="187" t="inlineStr">
        <is>
          <t>MEDIUM</t>
        </is>
      </c>
      <c r="F1067" s="187" t="n">
        <v>2</v>
      </c>
      <c r="G1067" s="187" t="n">
        <v>2</v>
      </c>
      <c r="H1067" s="187" t="inlineStr">
        <is>
          <t>MEDIUM</t>
        </is>
      </c>
      <c r="I1067" s="187" t="n">
        <v>9.4</v>
      </c>
      <c r="J1067" s="187" t="inlineStr">
        <is>
          <t>NO</t>
        </is>
      </c>
      <c r="K1067" s="187" t="inlineStr">
        <is>
          <t>https://nvd.nist.gov/vuln/detail/CVE-2026-3063</t>
        </is>
      </c>
      <c r="L1067" s="187" t="inlineStr">
        <is>
          <t>2026-02-26 00:15</t>
        </is>
      </c>
      <c r="M1067" s="187" t="inlineStr">
        <is>
          <t>CHECK_VENDOR</t>
        </is>
      </c>
      <c r="N1067" s="187" t="inlineStr">
        <is>
          <t>See NVD references</t>
        </is>
      </c>
      <c r="O1067" s="187" t="inlineStr">
        <is>
          <t>Apply vendor patches</t>
        </is>
      </c>
      <c r="P1067" s="187" t="inlineStr">
        <is>
          <t>microsoft windows - | linux linux_kernel - | apple macos -</t>
        </is>
      </c>
      <c r="Q1067" s="187" t="inlineStr">
        <is>
          <t>P4</t>
        </is>
      </c>
      <c r="R1067" s="187" t="inlineStr">
        <is>
          <t>📅 Schedule patch deployment within 30 days | 🔍 Monitor for exploitation attempts</t>
        </is>
      </c>
      <c r="S1067" s="187" t="inlineStr">
        <is>
          <t>CVE - IP enrichment n/a</t>
        </is>
      </c>
      <c r="T1067" s="187" t="n">
        <v>0</v>
      </c>
      <c r="U1067" s="187" t="n">
        <v>0</v>
      </c>
      <c r="V1067" s="187" t="inlineStr">
        <is>
          <t>T1190:Exploit Public-Facing Application</t>
        </is>
      </c>
      <c r="W1067" s="187" t="n">
        <v>1</v>
      </c>
      <c r="X1067" s="187" t="inlineStr">
        <is>
          <t>LOW (40%)</t>
        </is>
      </c>
      <c r="Y1067" s="187" t="inlineStr">
        <is>
          <t>UNLIKELY</t>
        </is>
      </c>
      <c r="Z1067" s="187" t="inlineStr">
        <is>
          <t>CHECK_VENDOR</t>
        </is>
      </c>
      <c r="AA1067" s="187" t="inlineStr">
        <is>
          <t>https://nvd.nist.gov/vuln/detail/CVE-2026-3063</t>
        </is>
      </c>
      <c r="AB1067" s="187" t="inlineStr">
        <is>
          <t>NONE</t>
        </is>
      </c>
      <c r="AC1067" s="187" t="n">
        <v>0</v>
      </c>
      <c r="AD1067" s="187" t="inlineStr"/>
    </row>
    <row r="1068">
      <c r="A1068" s="189" t="inlineStr">
        <is>
          <t>CVE</t>
        </is>
      </c>
      <c r="B1068" s="189" t="inlineStr">
        <is>
          <t>CVE-2024-58041</t>
        </is>
      </c>
      <c r="C1068" s="189" t="inlineStr">
        <is>
          <t>Smolder versions through 1.51 for Perl uses insecure rand() function for cryptographic functions.
Smolder 1.51 and earlier for Perl uses the rand() function as the default source of entropy, which is not cryptographically secure, for cryptographic functions.
Specifically Smolder::DB::Developer uses the Data::Random library which specifically states that it is "Useful mostly for test programs". Data::Random uses the rand() function.</t>
        </is>
      </c>
      <c r="D1068" s="189" t="n">
        <v>9.1</v>
      </c>
      <c r="E1068" s="189" t="inlineStr">
        <is>
          <t>CRITICAL</t>
        </is>
      </c>
      <c r="F1068" s="189" t="n">
        <v>2</v>
      </c>
      <c r="G1068" s="189" t="n">
        <v>3</v>
      </c>
      <c r="H1068" s="189" t="inlineStr">
        <is>
          <t>HIGH</t>
        </is>
      </c>
      <c r="I1068" s="189" t="n">
        <v>15.1</v>
      </c>
      <c r="J1068" s="189" t="inlineStr">
        <is>
          <t>NO</t>
        </is>
      </c>
      <c r="K1068" s="189" t="inlineStr">
        <is>
          <t>https://nvd.nist.gov/vuln/detail/CVE-2024-58041</t>
        </is>
      </c>
      <c r="L1068" s="189" t="inlineStr">
        <is>
          <t>2026-02-26 00:15</t>
        </is>
      </c>
      <c r="M1068" s="189" t="inlineStr">
        <is>
          <t>CHECK_VENDOR</t>
        </is>
      </c>
      <c r="N1068" s="189" t="inlineStr">
        <is>
          <t>See NVD references</t>
        </is>
      </c>
      <c r="O1068" s="189" t="inlineStr">
        <is>
          <t>Apply vendor patches</t>
        </is>
      </c>
      <c r="P1068" s="189" t="inlineStr">
        <is>
          <t>See CVE details</t>
        </is>
      </c>
      <c r="Q1068" s="189" t="inlineStr">
        <is>
          <t>P3</t>
        </is>
      </c>
      <c r="R1068" s="189" t="inlineStr">
        <is>
          <t>🚨 URGENT: Apply vendor patches immediately | 🔒 Isolate affected systems if patch unavailable | 🛡️ Enable additional monitoring/IDS rules</t>
        </is>
      </c>
      <c r="S1068" s="189" t="inlineStr">
        <is>
          <t>CVE - IP enrichment n/a</t>
        </is>
      </c>
      <c r="T1068" s="189" t="n">
        <v>0</v>
      </c>
      <c r="U1068" s="189" t="n">
        <v>0</v>
      </c>
      <c r="V1068" s="189" t="inlineStr">
        <is>
          <t>T1190:Exploit Public-Facing Application | T1600:Weaken Encryption</t>
        </is>
      </c>
      <c r="W1068" s="189" t="n">
        <v>1</v>
      </c>
      <c r="X1068" s="189" t="inlineStr">
        <is>
          <t>LOW (40%)</t>
        </is>
      </c>
      <c r="Y1068" s="189" t="inlineStr">
        <is>
          <t>UNLIKELY</t>
        </is>
      </c>
      <c r="Z1068" s="189" t="inlineStr">
        <is>
          <t>CHECK_VENDOR</t>
        </is>
      </c>
      <c r="AA1068" s="189" t="inlineStr">
        <is>
          <t>https://nvd.nist.gov/vuln/detail/CVE-2024-58041</t>
        </is>
      </c>
      <c r="AB1068" s="189" t="inlineStr">
        <is>
          <t>NONE</t>
        </is>
      </c>
      <c r="AC1068" s="189" t="n">
        <v>0</v>
      </c>
      <c r="AD1068" s="189" t="inlineStr"/>
    </row>
    <row r="1069">
      <c r="A1069" s="188" t="inlineStr">
        <is>
          <t>CVE</t>
        </is>
      </c>
      <c r="B1069" s="188" t="inlineStr">
        <is>
          <t>CVE-2025-69250</t>
        </is>
      </c>
      <c r="C1069" s="188" t="inlineStr">
        <is>
          <t xml:space="preserve">free5gc UDM provides Unified Data Management (UDM) for free5GC, an open-source project for 5th generation (5G) mobile core networks. In versions up to and including 1.4.1, the service reliably leaks detailed internal error messages (e.g., strconv.ParseInt parsing errors) to remote clients when processing invalid pduSessionId inputs. This exposes implementation details and can be used for service fingerprinting. All deployments of free5GC using the UDM Nudm_UECM DELETE service may be vulnerable. </t>
        </is>
      </c>
      <c r="D1069" s="188" t="n">
        <v>7.5</v>
      </c>
      <c r="E1069" s="188" t="inlineStr">
        <is>
          <t>HIGH</t>
        </is>
      </c>
      <c r="F1069" s="188" t="n">
        <v>2</v>
      </c>
      <c r="G1069" s="188" t="n">
        <v>3</v>
      </c>
      <c r="H1069" s="188" t="inlineStr">
        <is>
          <t>HIGH</t>
        </is>
      </c>
      <c r="I1069" s="188" t="n">
        <v>13.5</v>
      </c>
      <c r="J1069" s="188" t="inlineStr">
        <is>
          <t>NO</t>
        </is>
      </c>
      <c r="K1069" s="188" t="inlineStr">
        <is>
          <t>https://nvd.nist.gov/vuln/detail/CVE-2025-69250</t>
        </is>
      </c>
      <c r="L1069" s="188" t="inlineStr">
        <is>
          <t>2026-02-26 00:15</t>
        </is>
      </c>
      <c r="M1069" s="188" t="inlineStr">
        <is>
          <t>YES</t>
        </is>
      </c>
      <c r="N1069" s="188" t="inlineStr">
        <is>
          <t>https://github.com/free5gc/free5gc/issues/750 | https://github.com/free5gc/free5gc/security/advisories/GHSA-6w77-5pqh-83rm | https://github.com/free5gc/udm/commit/504b14458d156558b3c0ade7107b86b3d5e72998</t>
        </is>
      </c>
      <c r="O1069" s="188" t="inlineStr">
        <is>
          <t>Apply vendor patches</t>
        </is>
      </c>
      <c r="P1069" s="188" t="inlineStr">
        <is>
          <t>free5gc udm *</t>
        </is>
      </c>
      <c r="Q1069" s="188" t="inlineStr">
        <is>
          <t>P3</t>
        </is>
      </c>
      <c r="R1069" s="188" t="inlineStr">
        <is>
          <t>🚨 URGENT: Apply vendor patches immediately | 🔒 Isolate affected systems if patch unavailable | 🛡️ Enable additional monitoring/IDS rules</t>
        </is>
      </c>
      <c r="S1069" s="188" t="inlineStr">
        <is>
          <t>CVE - IP enrichment n/a</t>
        </is>
      </c>
      <c r="T1069" s="188" t="n">
        <v>0</v>
      </c>
      <c r="U1069" s="188" t="n">
        <v>0</v>
      </c>
      <c r="V1069" s="188" t="inlineStr">
        <is>
          <t>T1190:Exploit Public-Facing Application</t>
        </is>
      </c>
      <c r="W1069" s="188" t="n">
        <v>1</v>
      </c>
      <c r="X1069" s="188" t="inlineStr">
        <is>
          <t>LOW (40%)</t>
        </is>
      </c>
      <c r="Y1069" s="188" t="inlineStr">
        <is>
          <t>UNLIKELY</t>
        </is>
      </c>
      <c r="Z1069" s="188" t="inlineStr">
        <is>
          <t>PATCH_AVAILABLE</t>
        </is>
      </c>
      <c r="AA1069" s="188" t="inlineStr">
        <is>
          <t>https://nvd.nist.gov/vuln/detail/CVE-2025-69250</t>
        </is>
      </c>
      <c r="AB1069" s="188" t="inlineStr">
        <is>
          <t>NONE</t>
        </is>
      </c>
      <c r="AC1069" s="188" t="n">
        <v>0</v>
      </c>
      <c r="AD1069" s="188" t="inlineStr"/>
    </row>
    <row r="1070">
      <c r="A1070" s="187" t="inlineStr">
        <is>
          <t>CVE</t>
        </is>
      </c>
      <c r="B1070" s="187" t="inlineStr">
        <is>
          <t>CVE-2025-69251</t>
        </is>
      </c>
      <c r="C1070" s="187" t="inlineStr">
        <is>
          <t>free5gc UDM provides Unified Data Management (UDM) for free5GC, an open-source project for 5th generation (5G) mobile core networks. In versions up to and including 1.4.1, remote attackers can inject control characters (e.g., %00) into the ueId parameter, triggering internal URL parsing errors (net/url: invalid control character). This exposes system implementation details and can aid in service fingerprinting. All deployments of free5GC using the UDM Nudm_UECM service may be affected. free5gc/u</t>
        </is>
      </c>
      <c r="D1070" s="187" t="n">
        <v>5.3</v>
      </c>
      <c r="E1070" s="187" t="inlineStr">
        <is>
          <t>MEDIUM</t>
        </is>
      </c>
      <c r="F1070" s="187" t="n">
        <v>2</v>
      </c>
      <c r="G1070" s="187" t="n">
        <v>2</v>
      </c>
      <c r="H1070" s="187" t="inlineStr">
        <is>
          <t>MEDIUM</t>
        </is>
      </c>
      <c r="I1070" s="187" t="n">
        <v>9.300000000000001</v>
      </c>
      <c r="J1070" s="187" t="inlineStr">
        <is>
          <t>NO</t>
        </is>
      </c>
      <c r="K1070" s="187" t="inlineStr">
        <is>
          <t>https://nvd.nist.gov/vuln/detail/CVE-2025-69251</t>
        </is>
      </c>
      <c r="L1070" s="187" t="inlineStr">
        <is>
          <t>2026-02-26 00:15</t>
        </is>
      </c>
      <c r="M1070" s="187" t="inlineStr">
        <is>
          <t>YES</t>
        </is>
      </c>
      <c r="N1070" s="187" t="inlineStr">
        <is>
          <t>https://github.com/free5gc/free5gc/issues/751 | https://github.com/free5gc/free5gc/issues/76 | https://github.com/free5gc/free5gc/security/advisories/GHSA-pwxh-4qh4-hgpq</t>
        </is>
      </c>
      <c r="O1070" s="187" t="inlineStr">
        <is>
          <t>Apply vendor patches</t>
        </is>
      </c>
      <c r="P1070" s="187" t="inlineStr">
        <is>
          <t>free5gc udm *</t>
        </is>
      </c>
      <c r="Q1070" s="187" t="inlineStr">
        <is>
          <t>P4</t>
        </is>
      </c>
      <c r="R1070" s="187" t="inlineStr">
        <is>
          <t>📅 Schedule patch deployment within 30 days | 🔍 Monitor for exploitation attempts</t>
        </is>
      </c>
      <c r="S1070" s="187" t="inlineStr">
        <is>
          <t>CVE - IP enrichment n/a</t>
        </is>
      </c>
      <c r="T1070" s="187" t="n">
        <v>0</v>
      </c>
      <c r="U1070" s="187" t="n">
        <v>0</v>
      </c>
      <c r="V1070" s="187" t="inlineStr">
        <is>
          <t>T1190:Exploit Public-Facing Application</t>
        </is>
      </c>
      <c r="W1070" s="187" t="n">
        <v>1</v>
      </c>
      <c r="X1070" s="187" t="inlineStr">
        <is>
          <t>LOW (40%)</t>
        </is>
      </c>
      <c r="Y1070" s="187" t="inlineStr">
        <is>
          <t>UNLIKELY</t>
        </is>
      </c>
      <c r="Z1070" s="187" t="inlineStr">
        <is>
          <t>PATCH_AVAILABLE</t>
        </is>
      </c>
      <c r="AA1070" s="187" t="inlineStr">
        <is>
          <t>https://nvd.nist.gov/vuln/detail/CVE-2025-69251</t>
        </is>
      </c>
      <c r="AB1070" s="187" t="inlineStr">
        <is>
          <t>NONE</t>
        </is>
      </c>
      <c r="AC1070" s="187" t="n">
        <v>0</v>
      </c>
      <c r="AD1070" s="187" t="inlineStr"/>
    </row>
    <row r="1071">
      <c r="A1071" s="188" t="inlineStr">
        <is>
          <t>CVE</t>
        </is>
      </c>
      <c r="B1071" s="188" t="inlineStr">
        <is>
          <t>CVE-2025-69252</t>
        </is>
      </c>
      <c r="C1071" s="188" t="inlineStr">
        <is>
          <t>free5gc UDM provides Unified Data Management (UDM) for free5GC, an open-source project for 5th generation (5G) mobile core networks. Versions up to and including 1.4.1 have a NULL Pointer Dereference vulnerability. Remote unauthenticated attackers can trigger a service panic (Denial of Service) by sending a crafted PUT request with an unexpected ueId, crashing the UDM service. All deployments of free5GC using the UDM component may be affected. free5gc/udm pull request 76 contains a fix for the i</t>
        </is>
      </c>
      <c r="D1071" s="188" t="n">
        <v>7.5</v>
      </c>
      <c r="E1071" s="188" t="inlineStr">
        <is>
          <t>HIGH</t>
        </is>
      </c>
      <c r="F1071" s="188" t="n">
        <v>2</v>
      </c>
      <c r="G1071" s="188" t="n">
        <v>3</v>
      </c>
      <c r="H1071" s="188" t="inlineStr">
        <is>
          <t>HIGH</t>
        </is>
      </c>
      <c r="I1071" s="188" t="n">
        <v>13.5</v>
      </c>
      <c r="J1071" s="188" t="inlineStr">
        <is>
          <t>NO</t>
        </is>
      </c>
      <c r="K1071" s="188" t="inlineStr">
        <is>
          <t>https://nvd.nist.gov/vuln/detail/CVE-2025-69252</t>
        </is>
      </c>
      <c r="L1071" s="188" t="inlineStr">
        <is>
          <t>2026-02-26 00:15</t>
        </is>
      </c>
      <c r="M1071" s="188" t="inlineStr">
        <is>
          <t>YES</t>
        </is>
      </c>
      <c r="N1071" s="188" t="inlineStr">
        <is>
          <t>https://github.com/free5gc/free5gc/issues/752 | https://github.com/free5gc/free5gc/security/advisories/GHSA-v8cv-qvf6-9rpm | https://github.com/free5gc/udm/commit/504b14458d156558b3c0ade7107b86b3d5e72998</t>
        </is>
      </c>
      <c r="O1071" s="188" t="inlineStr">
        <is>
          <t>Apply vendor patches</t>
        </is>
      </c>
      <c r="P1071" s="188" t="inlineStr">
        <is>
          <t>free5gc udm *</t>
        </is>
      </c>
      <c r="Q1071" s="188" t="inlineStr">
        <is>
          <t>P3</t>
        </is>
      </c>
      <c r="R1071" s="188" t="inlineStr">
        <is>
          <t>🚨 URGENT: Apply vendor patches immediately | 🔒 Isolate affected systems if patch unavailable | 🛡️ Enable additional monitoring/IDS rules</t>
        </is>
      </c>
      <c r="S1071" s="188" t="inlineStr">
        <is>
          <t>CVE - IP enrichment n/a</t>
        </is>
      </c>
      <c r="T1071" s="188" t="n">
        <v>0</v>
      </c>
      <c r="U1071" s="188" t="n">
        <v>0</v>
      </c>
      <c r="V1071" s="188" t="inlineStr">
        <is>
          <t>T1499:Endpoint Denial of Service | T1190:Exploit Public-Facing Application</t>
        </is>
      </c>
      <c r="W1071" s="188" t="n">
        <v>1</v>
      </c>
      <c r="X1071" s="188" t="inlineStr">
        <is>
          <t>LOW (40%)</t>
        </is>
      </c>
      <c r="Y1071" s="188" t="inlineStr">
        <is>
          <t>UNLIKELY</t>
        </is>
      </c>
      <c r="Z1071" s="188" t="inlineStr">
        <is>
          <t>PATCH_AVAILABLE</t>
        </is>
      </c>
      <c r="AA1071" s="188" t="inlineStr">
        <is>
          <t>https://nvd.nist.gov/vuln/detail/CVE-2025-69252</t>
        </is>
      </c>
      <c r="AB1071" s="188" t="inlineStr">
        <is>
          <t>NONE</t>
        </is>
      </c>
      <c r="AC1071" s="188" t="n">
        <v>0</v>
      </c>
      <c r="AD1071" s="188" t="inlineStr"/>
    </row>
    <row r="1072">
      <c r="A1072" s="188" t="inlineStr">
        <is>
          <t>CVE</t>
        </is>
      </c>
      <c r="B1072" s="188" t="inlineStr">
        <is>
          <t>CVE-2026-3042</t>
        </is>
      </c>
      <c r="C1072" s="188" t="inlineStr">
        <is>
          <t>A vulnerability was detected in itsourcecode Event Management System 1.0. The affected element is an unknown function of the file /admin/index.php. Performing a manipulation of the argument ID results in sql injection. The attack is possible to be carried out remotely. The exploit is now public and may be used.</t>
        </is>
      </c>
      <c r="D1072" s="188" t="n">
        <v>7.3</v>
      </c>
      <c r="E1072" s="188" t="inlineStr">
        <is>
          <t>HIGH</t>
        </is>
      </c>
      <c r="F1072" s="188" t="n">
        <v>2</v>
      </c>
      <c r="G1072" s="188" t="n">
        <v>3</v>
      </c>
      <c r="H1072" s="188" t="inlineStr">
        <is>
          <t>HIGH</t>
        </is>
      </c>
      <c r="I1072" s="188" t="n">
        <v>13.3</v>
      </c>
      <c r="J1072" s="188" t="inlineStr">
        <is>
          <t>NO</t>
        </is>
      </c>
      <c r="K1072" s="188" t="inlineStr">
        <is>
          <t>https://nvd.nist.gov/vuln/detail/CVE-2026-3042</t>
        </is>
      </c>
      <c r="L1072" s="188" t="inlineStr">
        <is>
          <t>2026-02-26 00:15</t>
        </is>
      </c>
      <c r="M1072" s="188" t="inlineStr">
        <is>
          <t>YES</t>
        </is>
      </c>
      <c r="N1072" s="188" t="inlineStr">
        <is>
          <t>https://github.com/ltranquility/cve_submit/issues/1</t>
        </is>
      </c>
      <c r="O1072" s="188" t="inlineStr">
        <is>
          <t>https://github.com/ltranquility/cve_submit/issues/1</t>
        </is>
      </c>
      <c r="P1072" s="188" t="inlineStr">
        <is>
          <t>admerc event_management_system 1.0</t>
        </is>
      </c>
      <c r="Q1072" s="188" t="inlineStr">
        <is>
          <t>P3</t>
        </is>
      </c>
      <c r="R1072" s="188" t="inlineStr">
        <is>
          <t>🚨 URGENT: Apply vendor patches immediately | 🔒 Isolate affected systems if patch unavailable | 🛡️ Enable additional monitoring/IDS rules</t>
        </is>
      </c>
      <c r="S1072" s="188" t="inlineStr">
        <is>
          <t>CVE - IP enrichment n/a</t>
        </is>
      </c>
      <c r="T1072" s="188" t="n">
        <v>0</v>
      </c>
      <c r="U1072" s="188" t="n">
        <v>0</v>
      </c>
      <c r="V1072" s="188" t="inlineStr">
        <is>
          <t>T1190:Exploit Public-Facing Application</t>
        </is>
      </c>
      <c r="W1072" s="188" t="n">
        <v>1</v>
      </c>
      <c r="X1072" s="188" t="inlineStr">
        <is>
          <t>LOW (40%)</t>
        </is>
      </c>
      <c r="Y1072" s="188" t="inlineStr">
        <is>
          <t>UNLIKELY</t>
        </is>
      </c>
      <c r="Z1072" s="188" t="inlineStr">
        <is>
          <t>PATCH_AVAILABLE</t>
        </is>
      </c>
      <c r="AA1072" s="188" t="inlineStr">
        <is>
          <t>https://nvd.nist.gov/vuln/detail/CVE-2026-3042</t>
        </is>
      </c>
      <c r="AB1072" s="188" t="inlineStr">
        <is>
          <t>NONE</t>
        </is>
      </c>
      <c r="AC1072" s="188" t="n">
        <v>0</v>
      </c>
      <c r="AD1072" s="188" t="inlineStr"/>
    </row>
    <row r="1073">
      <c r="A1073" s="187" t="inlineStr">
        <is>
          <t>CVE</t>
        </is>
      </c>
      <c r="B1073" s="187" t="inlineStr">
        <is>
          <t>CVE-2026-3043</t>
        </is>
      </c>
      <c r="C1073" s="187" t="inlineStr">
        <is>
          <t>A flaw has been found in itsourcecode Event Management System 1.0. The impacted element is an unknown function of the file /admin/navbar.php. Executing a manipulation of the argument page can lead to cross site scripting. The attack may be performed from remote. The exploit has been published and may be used.</t>
        </is>
      </c>
      <c r="D1073" s="187" t="n">
        <v>4.3</v>
      </c>
      <c r="E1073" s="187" t="inlineStr">
        <is>
          <t>MEDIUM</t>
        </is>
      </c>
      <c r="F1073" s="187" t="n">
        <v>2</v>
      </c>
      <c r="G1073" s="187" t="n">
        <v>2</v>
      </c>
      <c r="H1073" s="187" t="inlineStr">
        <is>
          <t>MEDIUM</t>
        </is>
      </c>
      <c r="I1073" s="187" t="n">
        <v>8.300000000000001</v>
      </c>
      <c r="J1073" s="187" t="inlineStr">
        <is>
          <t>NO</t>
        </is>
      </c>
      <c r="K1073" s="187" t="inlineStr">
        <is>
          <t>https://nvd.nist.gov/vuln/detail/CVE-2026-3043</t>
        </is>
      </c>
      <c r="L1073" s="187" t="inlineStr">
        <is>
          <t>2026-02-26 00:15</t>
        </is>
      </c>
      <c r="M1073" s="187" t="inlineStr">
        <is>
          <t>YES</t>
        </is>
      </c>
      <c r="N1073" s="187" t="inlineStr">
        <is>
          <t>https://github.com/ltranquility/cve_submit/issues/2</t>
        </is>
      </c>
      <c r="O1073" s="187" t="inlineStr">
        <is>
          <t>https://github.com/ltranquility/cve_submit/issues/2</t>
        </is>
      </c>
      <c r="P1073" s="187" t="inlineStr">
        <is>
          <t>admerc event_management_system 1.0</t>
        </is>
      </c>
      <c r="Q1073" s="187" t="inlineStr">
        <is>
          <t>P4</t>
        </is>
      </c>
      <c r="R1073" s="187" t="inlineStr">
        <is>
          <t>📅 Schedule patch deployment within 30 days | 🔍 Monitor for exploitation attempts</t>
        </is>
      </c>
      <c r="S1073" s="187" t="inlineStr">
        <is>
          <t>CVE - IP enrichment n/a</t>
        </is>
      </c>
      <c r="T1073" s="187" t="n">
        <v>0</v>
      </c>
      <c r="U1073" s="187" t="n">
        <v>0</v>
      </c>
      <c r="V1073" s="187" t="inlineStr">
        <is>
          <t>T1189:Drive-by Compromise | T1190:Exploit Public-Facing Application</t>
        </is>
      </c>
      <c r="W1073" s="187" t="n">
        <v>1</v>
      </c>
      <c r="X1073" s="187" t="inlineStr">
        <is>
          <t>LOW (40%)</t>
        </is>
      </c>
      <c r="Y1073" s="187" t="inlineStr">
        <is>
          <t>UNLIKELY</t>
        </is>
      </c>
      <c r="Z1073" s="187" t="inlineStr">
        <is>
          <t>PATCH_AVAILABLE</t>
        </is>
      </c>
      <c r="AA1073" s="187" t="inlineStr">
        <is>
          <t>https://nvd.nist.gov/vuln/detail/CVE-2026-3043</t>
        </is>
      </c>
      <c r="AB1073" s="187" t="inlineStr">
        <is>
          <t>NONE</t>
        </is>
      </c>
      <c r="AC1073" s="187" t="n">
        <v>0</v>
      </c>
      <c r="AD1073" s="187" t="inlineStr"/>
    </row>
    <row r="1074">
      <c r="A1074" s="188" t="inlineStr">
        <is>
          <t>CVE</t>
        </is>
      </c>
      <c r="B1074" s="188" t="inlineStr">
        <is>
          <t>CVE-2026-3044</t>
        </is>
      </c>
      <c r="C1074" s="188" t="inlineStr">
        <is>
          <t>A vulnerability has been found in Tenda AC8 16.03.34.06. This affects the function webCgiGetUploadFile of the file /cgi-bin/UploadCfg of the component Httpd Service. The manipulation of the argument boundary leads to stack-based buffer overflow. It is possible to initiate the attack remotely. The exploit has been disclosed to the public and may be used.</t>
        </is>
      </c>
      <c r="D1074" s="188" t="n">
        <v>8.800000000000001</v>
      </c>
      <c r="E1074" s="188" t="inlineStr">
        <is>
          <t>HIGH</t>
        </is>
      </c>
      <c r="F1074" s="188" t="n">
        <v>2</v>
      </c>
      <c r="G1074" s="188" t="n">
        <v>3</v>
      </c>
      <c r="H1074" s="188" t="inlineStr">
        <is>
          <t>HIGH</t>
        </is>
      </c>
      <c r="I1074" s="188" t="n">
        <v>14.8</v>
      </c>
      <c r="J1074" s="188" t="inlineStr">
        <is>
          <t>NO</t>
        </is>
      </c>
      <c r="K1074" s="188" t="inlineStr">
        <is>
          <t>https://nvd.nist.gov/vuln/detail/CVE-2026-3044</t>
        </is>
      </c>
      <c r="L1074" s="188" t="inlineStr">
        <is>
          <t>2026-02-26 00:15</t>
        </is>
      </c>
      <c r="M1074" s="188" t="inlineStr">
        <is>
          <t>CHECK_VENDOR</t>
        </is>
      </c>
      <c r="N1074" s="188" t="inlineStr">
        <is>
          <t>See NVD references</t>
        </is>
      </c>
      <c r="O1074" s="188" t="inlineStr">
        <is>
          <t>Apply vendor patches</t>
        </is>
      </c>
      <c r="P1074" s="188" t="inlineStr">
        <is>
          <t>tenda ac8_firmware 16.03.34.06 | tenda ac8 -</t>
        </is>
      </c>
      <c r="Q1074" s="188" t="inlineStr">
        <is>
          <t>P3</t>
        </is>
      </c>
      <c r="R1074" s="188" t="inlineStr">
        <is>
          <t>🚨 URGENT: Apply vendor patches immediately | 🔒 Isolate affected systems if patch unavailable | 🛡️ Enable additional monitoring/IDS rules</t>
        </is>
      </c>
      <c r="S1074" s="188" t="inlineStr">
        <is>
          <t>CVE - IP enrichment n/a</t>
        </is>
      </c>
      <c r="T1074" s="188" t="n">
        <v>0</v>
      </c>
      <c r="U1074" s="188" t="n">
        <v>0</v>
      </c>
      <c r="V1074" s="188" t="inlineStr">
        <is>
          <t>T1203:Exploitation for Client Execution</t>
        </is>
      </c>
      <c r="W1074" s="188" t="n">
        <v>1</v>
      </c>
      <c r="X1074" s="188" t="inlineStr">
        <is>
          <t>LOW (40%)</t>
        </is>
      </c>
      <c r="Y1074" s="188" t="inlineStr">
        <is>
          <t>UNLIKELY</t>
        </is>
      </c>
      <c r="Z1074" s="188" t="inlineStr">
        <is>
          <t>CHECK_VENDOR</t>
        </is>
      </c>
      <c r="AA1074" s="188" t="inlineStr">
        <is>
          <t>https://nvd.nist.gov/vuln/detail/CVE-2026-3044</t>
        </is>
      </c>
      <c r="AB1074" s="188" t="inlineStr">
        <is>
          <t>NONE</t>
        </is>
      </c>
      <c r="AC1074" s="188" t="n">
        <v>0</v>
      </c>
      <c r="AD1074" s="188" t="inlineStr"/>
    </row>
    <row r="1075">
      <c r="A1075" s="187" t="inlineStr">
        <is>
          <t>CVE</t>
        </is>
      </c>
      <c r="B1075" s="187" t="inlineStr">
        <is>
          <t>CVE-2025-69253</t>
        </is>
      </c>
      <c r="C1075" s="187" t="inlineStr">
        <is>
          <t>free5GC is an open-source project for 5th generation (5G) mobile core networks. Versions up to and including 1.4.1 of the User Data Repository are affected by Improper Error Handling with Information Exposure. The NEF component reliably leaks internal parsing error details (e.g., invalid character 'n' after top-level value) to remote clients, which can aid attackers in service fingerprinting. All deployments of free5GC using the Nnef_PfdManagement service may be vulnerable. free5gc/udr pull requ</t>
        </is>
      </c>
      <c r="D1075" s="187" t="n">
        <v>5.3</v>
      </c>
      <c r="E1075" s="187" t="inlineStr">
        <is>
          <t>MEDIUM</t>
        </is>
      </c>
      <c r="F1075" s="187" t="n">
        <v>2</v>
      </c>
      <c r="G1075" s="187" t="n">
        <v>2</v>
      </c>
      <c r="H1075" s="187" t="inlineStr">
        <is>
          <t>MEDIUM</t>
        </is>
      </c>
      <c r="I1075" s="187" t="n">
        <v>9.300000000000001</v>
      </c>
      <c r="J1075" s="187" t="inlineStr">
        <is>
          <t>NO</t>
        </is>
      </c>
      <c r="K1075" s="187" t="inlineStr">
        <is>
          <t>https://nvd.nist.gov/vuln/detail/CVE-2025-69253</t>
        </is>
      </c>
      <c r="L1075" s="187" t="inlineStr">
        <is>
          <t>2026-02-26 00:15</t>
        </is>
      </c>
      <c r="M1075" s="187" t="inlineStr">
        <is>
          <t>YES</t>
        </is>
      </c>
      <c r="N1075" s="187" t="inlineStr">
        <is>
          <t>https://github.com/free5gc/free5gc/issues/753 | https://github.com/free5gc/free5gc/security/advisories/GHSA-cj2h-x8qm-xgwc | https://github.com/free5gc/udr/commit/754d23b03755ad59077ed529ce3b971e477080c4</t>
        </is>
      </c>
      <c r="O1075" s="187" t="inlineStr">
        <is>
          <t>Apply vendor patches</t>
        </is>
      </c>
      <c r="P1075" s="187" t="inlineStr">
        <is>
          <t>free5gc udr *</t>
        </is>
      </c>
      <c r="Q1075" s="187" t="inlineStr">
        <is>
          <t>P4</t>
        </is>
      </c>
      <c r="R1075" s="187" t="inlineStr">
        <is>
          <t>📅 Schedule patch deployment within 30 days | 🔍 Monitor for exploitation attempts</t>
        </is>
      </c>
      <c r="S1075" s="187" t="inlineStr">
        <is>
          <t>CVE - IP enrichment n/a</t>
        </is>
      </c>
      <c r="T1075" s="187" t="n">
        <v>0</v>
      </c>
      <c r="U1075" s="187" t="n">
        <v>0</v>
      </c>
      <c r="V1075" s="187" t="inlineStr">
        <is>
          <t>T1190:Exploit Public-Facing Application</t>
        </is>
      </c>
      <c r="W1075" s="187" t="n">
        <v>1</v>
      </c>
      <c r="X1075" s="187" t="inlineStr">
        <is>
          <t>LOW (40%)</t>
        </is>
      </c>
      <c r="Y1075" s="187" t="inlineStr">
        <is>
          <t>UNLIKELY</t>
        </is>
      </c>
      <c r="Z1075" s="187" t="inlineStr">
        <is>
          <t>PATCH_AVAILABLE</t>
        </is>
      </c>
      <c r="AA1075" s="187" t="inlineStr">
        <is>
          <t>https://nvd.nist.gov/vuln/detail/CVE-2025-69253</t>
        </is>
      </c>
      <c r="AB1075" s="187" t="inlineStr">
        <is>
          <t>NONE</t>
        </is>
      </c>
      <c r="AC1075" s="187" t="n">
        <v>0</v>
      </c>
      <c r="AD1075" s="187" t="inlineStr"/>
    </row>
    <row r="1076">
      <c r="A1076" s="187" t="inlineStr">
        <is>
          <t>CVE</t>
        </is>
      </c>
      <c r="B1076" s="187" t="inlineStr">
        <is>
          <t>CVE-2025-9120</t>
        </is>
      </c>
      <c r="C1076" s="187" t="inlineStr">
        <is>
          <t>Improper Control of Generation of Code ('Code Injection') vulnerability in OpenText™ Carbonite Safe Server Backup allows Code Injection. 
The vulnerability could be exploited through an open port, potentially allowing unauthorized access.
This issue affects Carbonite Safe Server Backup: through 6.8.3.</t>
        </is>
      </c>
      <c r="D1076" s="187" t="n">
        <v>5</v>
      </c>
      <c r="E1076" s="187" t="inlineStr">
        <is>
          <t>MEDIUM</t>
        </is>
      </c>
      <c r="F1076" s="187" t="n">
        <v>2</v>
      </c>
      <c r="G1076" s="187" t="n">
        <v>2</v>
      </c>
      <c r="H1076" s="187" t="inlineStr">
        <is>
          <t>MEDIUM</t>
        </is>
      </c>
      <c r="I1076" s="187" t="n">
        <v>9</v>
      </c>
      <c r="J1076" s="187" t="inlineStr">
        <is>
          <t>NO</t>
        </is>
      </c>
      <c r="K1076" s="187" t="inlineStr">
        <is>
          <t>https://nvd.nist.gov/vuln/detail/CVE-2025-9120</t>
        </is>
      </c>
      <c r="L1076" s="187" t="inlineStr">
        <is>
          <t>2026-02-26 00:15</t>
        </is>
      </c>
      <c r="M1076" s="187" t="inlineStr">
        <is>
          <t>CHECK_VENDOR</t>
        </is>
      </c>
      <c r="N1076" s="187" t="inlineStr">
        <is>
          <t>See NVD references</t>
        </is>
      </c>
      <c r="O1076" s="187" t="inlineStr">
        <is>
          <t>Apply vendor patches</t>
        </is>
      </c>
      <c r="P1076" s="187" t="inlineStr">
        <is>
          <t>See CVE details</t>
        </is>
      </c>
      <c r="Q1076" s="187" t="inlineStr">
        <is>
          <t>P4</t>
        </is>
      </c>
      <c r="R1076" s="187" t="inlineStr">
        <is>
          <t>📅 Schedule patch deployment within 30 days | 🔍 Monitor for exploitation attempts</t>
        </is>
      </c>
      <c r="S1076" s="187" t="inlineStr">
        <is>
          <t>CVE - IP enrichment n/a</t>
        </is>
      </c>
      <c r="T1076" s="187" t="n">
        <v>0</v>
      </c>
      <c r="U1076" s="187" t="n">
        <v>0</v>
      </c>
      <c r="V1076" s="187" t="inlineStr">
        <is>
          <t>T1059:Command and Scripting Interpreter</t>
        </is>
      </c>
      <c r="W1076" s="187" t="n">
        <v>1</v>
      </c>
      <c r="X1076" s="187" t="inlineStr">
        <is>
          <t>LOW (40%)</t>
        </is>
      </c>
      <c r="Y1076" s="187" t="inlineStr">
        <is>
          <t>UNLIKELY</t>
        </is>
      </c>
      <c r="Z1076" s="187" t="inlineStr">
        <is>
          <t>CHECK_VENDOR</t>
        </is>
      </c>
      <c r="AA1076" s="187" t="inlineStr">
        <is>
          <t>https://nvd.nist.gov/vuln/detail/CVE-2025-9120</t>
        </is>
      </c>
      <c r="AB1076" s="187" t="inlineStr">
        <is>
          <t>NONE</t>
        </is>
      </c>
      <c r="AC1076" s="187" t="n">
        <v>0</v>
      </c>
      <c r="AD1076" s="187" t="inlineStr"/>
    </row>
    <row r="1077">
      <c r="A1077" s="187" t="inlineStr">
        <is>
          <t>CVE</t>
        </is>
      </c>
      <c r="B1077" s="187" t="inlineStr">
        <is>
          <t>CVE-2026-21864</t>
        </is>
      </c>
      <c r="C1077" s="187" t="inlineStr">
        <is>
          <t>Valkey-Bloom is a Rust based Valkey module which brings a Bloom Filter (Module) data type into the Valkey distributed key-value database. Prior to commit a68614b6e3845777d383b3a513cedcc08b3b7ccd, a specially crafted `RESTORE` command can cause Valkey to hit an assertion, causes the server to shutdown. Valkey modules are required to handle errors in RDB parsing by using `VALKEYMODULE_OPTIONS_HANDLE_IO_ERRORS` flag. If this flag is not set, errors encountered during parsing result in a system asse</t>
        </is>
      </c>
      <c r="D1077" s="187" t="n">
        <v>6.5</v>
      </c>
      <c r="E1077" s="187" t="inlineStr">
        <is>
          <t>MEDIUM</t>
        </is>
      </c>
      <c r="F1077" s="187" t="n">
        <v>2</v>
      </c>
      <c r="G1077" s="187" t="n">
        <v>2</v>
      </c>
      <c r="H1077" s="187" t="inlineStr">
        <is>
          <t>MEDIUM</t>
        </is>
      </c>
      <c r="I1077" s="187" t="n">
        <v>10.5</v>
      </c>
      <c r="J1077" s="187" t="inlineStr">
        <is>
          <t>NO</t>
        </is>
      </c>
      <c r="K1077" s="187" t="inlineStr">
        <is>
          <t>https://nvd.nist.gov/vuln/detail/CVE-2026-21864</t>
        </is>
      </c>
      <c r="L1077" s="187" t="inlineStr">
        <is>
          <t>2026-02-26 00:15</t>
        </is>
      </c>
      <c r="M1077" s="187" t="inlineStr">
        <is>
          <t>CHECK_VENDOR</t>
        </is>
      </c>
      <c r="N1077" s="187" t="inlineStr">
        <is>
          <t>See NVD references</t>
        </is>
      </c>
      <c r="O1077" s="187" t="inlineStr">
        <is>
          <t>Apply vendor patches</t>
        </is>
      </c>
      <c r="P1077" s="187" t="inlineStr">
        <is>
          <t>See CVE details</t>
        </is>
      </c>
      <c r="Q1077" s="187" t="inlineStr">
        <is>
          <t>P4</t>
        </is>
      </c>
      <c r="R1077" s="187" t="inlineStr">
        <is>
          <t>📅 Schedule patch deployment within 30 days | 🔍 Monitor for exploitation attempts</t>
        </is>
      </c>
      <c r="S1077" s="187" t="inlineStr">
        <is>
          <t>CVE - IP enrichment n/a</t>
        </is>
      </c>
      <c r="T1077" s="187" t="n">
        <v>0</v>
      </c>
      <c r="U1077" s="187" t="n">
        <v>0</v>
      </c>
      <c r="V1077" s="187" t="inlineStr">
        <is>
          <t>T1190:Exploit Public-Facing Application</t>
        </is>
      </c>
      <c r="W1077" s="187" t="n">
        <v>1</v>
      </c>
      <c r="X1077" s="187" t="inlineStr">
        <is>
          <t>LOW (40%)</t>
        </is>
      </c>
      <c r="Y1077" s="187" t="inlineStr">
        <is>
          <t>UNLIKELY</t>
        </is>
      </c>
      <c r="Z1077" s="187" t="inlineStr">
        <is>
          <t>CHECK_VENDOR</t>
        </is>
      </c>
      <c r="AA1077" s="187" t="inlineStr">
        <is>
          <t>https://nvd.nist.gov/vuln/detail/CVE-2026-21864</t>
        </is>
      </c>
      <c r="AB1077" s="187" t="inlineStr">
        <is>
          <t>NONE</t>
        </is>
      </c>
      <c r="AC1077" s="187" t="n">
        <v>0</v>
      </c>
      <c r="AD1077" s="187" t="inlineStr"/>
    </row>
    <row r="1078">
      <c r="A1078" s="188" t="inlineStr">
        <is>
          <t>CVE</t>
        </is>
      </c>
      <c r="B1078" s="188" t="inlineStr">
        <is>
          <t>CVE-2026-24481</t>
        </is>
      </c>
      <c r="C1078" s="188" t="inlineStr">
        <is>
          <t>ImageMagick is free and open-source software used for editing and manipulating digital images. Prior to versions 7.1.2-15 and 6.9.13-40, a heap information disclosure vulnerability exists in ImageMagick's PSD (Adobe Photoshop) format handler. When processing a maliciously crafted PSD file containing ZIP-compressed layer data that decompresses to less than the expected size, uninitialized heap memory is leaked into the output image. Versions 7.1.2-15 and 6.9.13-40 contain a patch.</t>
        </is>
      </c>
      <c r="D1078" s="188" t="n">
        <v>7.5</v>
      </c>
      <c r="E1078" s="188" t="inlineStr">
        <is>
          <t>HIGH</t>
        </is>
      </c>
      <c r="F1078" s="188" t="n">
        <v>2</v>
      </c>
      <c r="G1078" s="188" t="n">
        <v>3</v>
      </c>
      <c r="H1078" s="188" t="inlineStr">
        <is>
          <t>HIGH</t>
        </is>
      </c>
      <c r="I1078" s="188" t="n">
        <v>13.5</v>
      </c>
      <c r="J1078" s="188" t="inlineStr">
        <is>
          <t>NO</t>
        </is>
      </c>
      <c r="K1078" s="188" t="inlineStr">
        <is>
          <t>https://nvd.nist.gov/vuln/detail/CVE-2026-24481</t>
        </is>
      </c>
      <c r="L1078" s="188" t="inlineStr">
        <is>
          <t>2026-02-26 00:15</t>
        </is>
      </c>
      <c r="M1078" s="188" t="inlineStr">
        <is>
          <t>YES</t>
        </is>
      </c>
      <c r="N1078" s="188" t="inlineStr">
        <is>
          <t>https://github.com/ImageMagick/ImageMagick/security/advisories/GHSA-96pc-27rx-pr36</t>
        </is>
      </c>
      <c r="O1078" s="188" t="inlineStr">
        <is>
          <t>Apply vendor patches</t>
        </is>
      </c>
      <c r="P1078" s="188" t="inlineStr">
        <is>
          <t>imagemagick imagemagick *</t>
        </is>
      </c>
      <c r="Q1078" s="188" t="inlineStr">
        <is>
          <t>P3</t>
        </is>
      </c>
      <c r="R1078" s="188" t="inlineStr">
        <is>
          <t>🚨 URGENT: Apply vendor patches immediately | 🔒 Isolate affected systems if patch unavailable | 🛡️ Enable additional monitoring/IDS rules</t>
        </is>
      </c>
      <c r="S1078" s="188" t="inlineStr">
        <is>
          <t>CVE - IP enrichment n/a</t>
        </is>
      </c>
      <c r="T1078" s="188" t="n">
        <v>0</v>
      </c>
      <c r="U1078" s="188" t="n">
        <v>0</v>
      </c>
      <c r="V1078" s="188" t="inlineStr">
        <is>
          <t>T1203:Exploitation for Client Execution | T1190:Exploit Public-Facing Application | T1213:Data from Information Repositories</t>
        </is>
      </c>
      <c r="W1078" s="188" t="n">
        <v>1</v>
      </c>
      <c r="X1078" s="188" t="inlineStr">
        <is>
          <t>LOW (40%)</t>
        </is>
      </c>
      <c r="Y1078" s="188" t="inlineStr">
        <is>
          <t>UNLIKELY</t>
        </is>
      </c>
      <c r="Z1078" s="188" t="inlineStr">
        <is>
          <t>PATCH_AVAILABLE</t>
        </is>
      </c>
      <c r="AA1078" s="188" t="inlineStr">
        <is>
          <t>https://nvd.nist.gov/vuln/detail/CVE-2026-24481</t>
        </is>
      </c>
      <c r="AB1078" s="188" t="inlineStr">
        <is>
          <t>NONE</t>
        </is>
      </c>
      <c r="AC1078" s="188" t="n">
        <v>0</v>
      </c>
      <c r="AD1078" s="188" t="inlineStr"/>
    </row>
    <row r="1079">
      <c r="A1079" s="187" t="inlineStr">
        <is>
          <t>CVE</t>
        </is>
      </c>
      <c r="B1079" s="187" t="inlineStr">
        <is>
          <t>CVE-2026-24484</t>
        </is>
      </c>
      <c r="C1079" s="187" t="inlineStr">
        <is>
          <t>ImageMagick is free and open-source software used for editing and manipulating digital images. Prior to versions 7.1.2-15 and 6.9.13-40, Magick fails to check for multi-layer nested mvg conversions to svg, leading to DoS. Versions 7.1.2-15 and 6.9.13-40 contain a patch.</t>
        </is>
      </c>
      <c r="D1079" s="187" t="n">
        <v>5.3</v>
      </c>
      <c r="E1079" s="187" t="inlineStr">
        <is>
          <t>MEDIUM</t>
        </is>
      </c>
      <c r="F1079" s="187" t="n">
        <v>2</v>
      </c>
      <c r="G1079" s="187" t="n">
        <v>2</v>
      </c>
      <c r="H1079" s="187" t="inlineStr">
        <is>
          <t>MEDIUM</t>
        </is>
      </c>
      <c r="I1079" s="187" t="n">
        <v>9.300000000000001</v>
      </c>
      <c r="J1079" s="187" t="inlineStr">
        <is>
          <t>NO</t>
        </is>
      </c>
      <c r="K1079" s="187" t="inlineStr">
        <is>
          <t>https://nvd.nist.gov/vuln/detail/CVE-2026-24484</t>
        </is>
      </c>
      <c r="L1079" s="187" t="inlineStr">
        <is>
          <t>2026-02-26 00:15</t>
        </is>
      </c>
      <c r="M1079" s="187" t="inlineStr">
        <is>
          <t>CHECK_VENDOR</t>
        </is>
      </c>
      <c r="N1079" s="187" t="inlineStr">
        <is>
          <t>See NVD references</t>
        </is>
      </c>
      <c r="O1079" s="187" t="inlineStr">
        <is>
          <t>Apply vendor patches</t>
        </is>
      </c>
      <c r="P1079" s="187" t="inlineStr">
        <is>
          <t>See CVE details</t>
        </is>
      </c>
      <c r="Q1079" s="187" t="inlineStr">
        <is>
          <t>P4</t>
        </is>
      </c>
      <c r="R1079" s="187" t="inlineStr">
        <is>
          <t>📅 Schedule patch deployment within 30 days | 🔍 Monitor for exploitation attempts</t>
        </is>
      </c>
      <c r="S1079" s="187" t="inlineStr">
        <is>
          <t>CVE - IP enrichment n/a</t>
        </is>
      </c>
      <c r="T1079" s="187" t="n">
        <v>0.0004</v>
      </c>
      <c r="U1079" s="187" t="n">
        <v>0.108</v>
      </c>
      <c r="V1079" s="187" t="inlineStr">
        <is>
          <t>T1190:Exploit Public-Facing Application</t>
        </is>
      </c>
      <c r="W1079" s="187" t="n">
        <v>1</v>
      </c>
      <c r="X1079" s="187" t="inlineStr">
        <is>
          <t>LOW (40%)</t>
        </is>
      </c>
      <c r="Y1079" s="187" t="inlineStr">
        <is>
          <t>UNLIKELY</t>
        </is>
      </c>
      <c r="Z1079" s="187" t="inlineStr">
        <is>
          <t>CHECK_VENDOR</t>
        </is>
      </c>
      <c r="AA1079" s="187" t="inlineStr">
        <is>
          <t>https://nvd.nist.gov/vuln/detail/CVE-2026-24484</t>
        </is>
      </c>
      <c r="AB1079" s="187" t="inlineStr">
        <is>
          <t>NONE</t>
        </is>
      </c>
      <c r="AC1079" s="187" t="n">
        <v>0</v>
      </c>
      <c r="AD1079" s="187" t="inlineStr"/>
    </row>
    <row r="1080">
      <c r="A1080" s="188" t="inlineStr">
        <is>
          <t>CVE</t>
        </is>
      </c>
      <c r="B1080" s="188" t="inlineStr">
        <is>
          <t>CVE-2026-24485</t>
        </is>
      </c>
      <c r="C1080" s="188" t="inlineStr">
        <is>
          <t>ImageMagick is free and open-source software used for editing and manipulating digital images. Prior to versions 7.1.2-15 and 6.9.13-40, when a PCD file does not contain a valid Sync marker, the DecodeImage() function becomes trapped in an infinite loop while searching for the Sync marker, causing the program to become unresponsive and continuously consume CPU resources, ultimately leading to system resource exhaustion and denial of service. Versions 7.1.2-15 and 6.9.13-40 contain a patch.</t>
        </is>
      </c>
      <c r="D1080" s="188" t="n">
        <v>7.5</v>
      </c>
      <c r="E1080" s="188" t="inlineStr">
        <is>
          <t>HIGH</t>
        </is>
      </c>
      <c r="F1080" s="188" t="n">
        <v>2</v>
      </c>
      <c r="G1080" s="188" t="n">
        <v>3</v>
      </c>
      <c r="H1080" s="188" t="inlineStr">
        <is>
          <t>HIGH</t>
        </is>
      </c>
      <c r="I1080" s="188" t="n">
        <v>13.5</v>
      </c>
      <c r="J1080" s="188" t="inlineStr">
        <is>
          <t>NO</t>
        </is>
      </c>
      <c r="K1080" s="188" t="inlineStr">
        <is>
          <t>https://nvd.nist.gov/vuln/detail/CVE-2026-24485</t>
        </is>
      </c>
      <c r="L1080" s="188" t="inlineStr">
        <is>
          <t>2026-02-26 00:15</t>
        </is>
      </c>
      <c r="M1080" s="188" t="inlineStr">
        <is>
          <t>CHECK_VENDOR</t>
        </is>
      </c>
      <c r="N1080" s="188" t="inlineStr">
        <is>
          <t>See NVD references</t>
        </is>
      </c>
      <c r="O1080" s="188" t="inlineStr">
        <is>
          <t>Apply vendor patches</t>
        </is>
      </c>
      <c r="P1080" s="188" t="inlineStr">
        <is>
          <t>See CVE details</t>
        </is>
      </c>
      <c r="Q1080" s="188" t="inlineStr">
        <is>
          <t>P3</t>
        </is>
      </c>
      <c r="R1080" s="188" t="inlineStr">
        <is>
          <t>🚨 URGENT: Apply vendor patches immediately | 🔒 Isolate affected systems if patch unavailable | 🛡️ Enable additional monitoring/IDS rules</t>
        </is>
      </c>
      <c r="S1080" s="188" t="inlineStr">
        <is>
          <t>CVE - IP enrichment n/a</t>
        </is>
      </c>
      <c r="T1080" s="188" t="n">
        <v>0</v>
      </c>
      <c r="U1080" s="188" t="n">
        <v>0</v>
      </c>
      <c r="V1080" s="188" t="inlineStr">
        <is>
          <t>T1190:Exploit Public-Facing Application | T1499:Endpoint Denial of Service</t>
        </is>
      </c>
      <c r="W1080" s="188" t="n">
        <v>1</v>
      </c>
      <c r="X1080" s="188" t="inlineStr">
        <is>
          <t>LOW (40%)</t>
        </is>
      </c>
      <c r="Y1080" s="188" t="inlineStr">
        <is>
          <t>UNLIKELY</t>
        </is>
      </c>
      <c r="Z1080" s="188" t="inlineStr">
        <is>
          <t>CHECK_VENDOR</t>
        </is>
      </c>
      <c r="AA1080" s="188" t="inlineStr">
        <is>
          <t>https://nvd.nist.gov/vuln/detail/CVE-2026-24485</t>
        </is>
      </c>
      <c r="AB1080" s="188" t="inlineStr">
        <is>
          <t>NONE</t>
        </is>
      </c>
      <c r="AC1080" s="188" t="n">
        <v>0</v>
      </c>
      <c r="AD1080" s="188" t="inlineStr"/>
    </row>
    <row r="1081">
      <c r="A1081" s="188" t="inlineStr">
        <is>
          <t>CVE</t>
        </is>
      </c>
      <c r="B1081" s="188" t="inlineStr">
        <is>
          <t>CVE-2026-25501</t>
        </is>
      </c>
      <c r="C1081" s="188" t="inlineStr">
        <is>
          <t>free5GC SMF provides Session Management Function for free5GC, an open-source project for 5th generation (5G) mobile core networks. In versions up to and including 1.4.1, SMF panics due to nil pointer dereference and the SMF process terminates. This is triggered by a malformed PFCP SessionReportRequest on the SMF PFCP (UDP/8805) interface. No known upstream fix is available, but some workarounds are available. ACL/firewall the PFCP interface so only trusted UPF IPs can reach SMF (reduce spoofing/</t>
        </is>
      </c>
      <c r="D1081" s="188" t="n">
        <v>7.5</v>
      </c>
      <c r="E1081" s="188" t="inlineStr">
        <is>
          <t>HIGH</t>
        </is>
      </c>
      <c r="F1081" s="188" t="n">
        <v>2</v>
      </c>
      <c r="G1081" s="188" t="n">
        <v>3</v>
      </c>
      <c r="H1081" s="188" t="inlineStr">
        <is>
          <t>HIGH</t>
        </is>
      </c>
      <c r="I1081" s="188" t="n">
        <v>13.5</v>
      </c>
      <c r="J1081" s="188" t="inlineStr">
        <is>
          <t>NO</t>
        </is>
      </c>
      <c r="K1081" s="188" t="inlineStr">
        <is>
          <t>https://nvd.nist.gov/vuln/detail/CVE-2026-25501</t>
        </is>
      </c>
      <c r="L1081" s="188" t="inlineStr">
        <is>
          <t>2026-02-26 00:15</t>
        </is>
      </c>
      <c r="M1081" s="188" t="inlineStr">
        <is>
          <t>YES</t>
        </is>
      </c>
      <c r="N1081" s="188" t="inlineStr">
        <is>
          <t>https://github.com/free5gc/free5gc/issues/805 | https://github.com/free5gc/free5gc/security/advisories/GHSA-vq85-8f6p-g9q5</t>
        </is>
      </c>
      <c r="O1081" s="188" t="inlineStr">
        <is>
          <t>Apply vendor patches</t>
        </is>
      </c>
      <c r="P1081" s="188" t="inlineStr">
        <is>
          <t>free5gc smf *</t>
        </is>
      </c>
      <c r="Q1081" s="188" t="inlineStr">
        <is>
          <t>P3</t>
        </is>
      </c>
      <c r="R1081" s="188" t="inlineStr">
        <is>
          <t>🚨 URGENT: Apply vendor patches immediately | 🔒 Isolate affected systems if patch unavailable | 🛡️ Enable additional monitoring/IDS rules</t>
        </is>
      </c>
      <c r="S1081" s="188" t="inlineStr">
        <is>
          <t>CVE - IP enrichment n/a</t>
        </is>
      </c>
      <c r="T1081" s="188" t="n">
        <v>0</v>
      </c>
      <c r="U1081" s="188" t="n">
        <v>0</v>
      </c>
      <c r="V1081" s="188" t="inlineStr">
        <is>
          <t>T1499:Endpoint Denial of Service | T1190:Exploit Public-Facing Application | T1562:Impair Defenses</t>
        </is>
      </c>
      <c r="W1081" s="188" t="n">
        <v>1</v>
      </c>
      <c r="X1081" s="188" t="inlineStr">
        <is>
          <t>LOW (40%)</t>
        </is>
      </c>
      <c r="Y1081" s="188" t="inlineStr">
        <is>
          <t>UNLIKELY</t>
        </is>
      </c>
      <c r="Z1081" s="188" t="inlineStr">
        <is>
          <t>PATCH_AVAILABLE</t>
        </is>
      </c>
      <c r="AA1081" s="188" t="inlineStr">
        <is>
          <t>https://nvd.nist.gov/vuln/detail/CVE-2026-25501</t>
        </is>
      </c>
      <c r="AB1081" s="188" t="inlineStr">
        <is>
          <t>NONE</t>
        </is>
      </c>
      <c r="AC1081" s="188" t="n">
        <v>0</v>
      </c>
      <c r="AD1081" s="188" t="inlineStr"/>
    </row>
    <row r="1082">
      <c r="A1082" s="188" t="inlineStr">
        <is>
          <t>CVE</t>
        </is>
      </c>
      <c r="B1082" s="188" t="inlineStr">
        <is>
          <t>CVE-2026-25545</t>
        </is>
      </c>
      <c r="C1082" s="188" t="inlineStr">
        <is>
          <t>Astro is a web framework. Prior to version 9.5.4, Server-Side Rendered pages that return an error with a prerendered custom error page (eg. `404.astro` or `500.astro`) are vulnerable to SSRF. If the `Host:` header is changed to an attacker's server, it will be fetched on `/500.html` and they can redirect this to any internal URL to read the response body through the first request. An attacker who can access the application without `Host:` header validation (eg. through finding the origin IP behi</t>
        </is>
      </c>
      <c r="D1082" s="188" t="n">
        <v>8.6</v>
      </c>
      <c r="E1082" s="188" t="inlineStr">
        <is>
          <t>HIGH</t>
        </is>
      </c>
      <c r="F1082" s="188" t="n">
        <v>2</v>
      </c>
      <c r="G1082" s="188" t="n">
        <v>3</v>
      </c>
      <c r="H1082" s="188" t="inlineStr">
        <is>
          <t>HIGH</t>
        </is>
      </c>
      <c r="I1082" s="188" t="n">
        <v>14.6</v>
      </c>
      <c r="J1082" s="188" t="inlineStr">
        <is>
          <t>NO</t>
        </is>
      </c>
      <c r="K1082" s="188" t="inlineStr">
        <is>
          <t>https://nvd.nist.gov/vuln/detail/CVE-2026-25545</t>
        </is>
      </c>
      <c r="L1082" s="188" t="inlineStr">
        <is>
          <t>2026-02-26 00:15</t>
        </is>
      </c>
      <c r="M1082" s="188" t="inlineStr">
        <is>
          <t>YES</t>
        </is>
      </c>
      <c r="N1082" s="188" t="inlineStr">
        <is>
          <t>https://github.com/withastro/astro/commit/e01e98b063e90d274c42130ec2a60cc0966622c9</t>
        </is>
      </c>
      <c r="O1082" s="188" t="inlineStr">
        <is>
          <t>Apply vendor patches</t>
        </is>
      </c>
      <c r="P1082" s="188" t="inlineStr">
        <is>
          <t>astro \@astrojs\/node *</t>
        </is>
      </c>
      <c r="Q1082" s="188" t="inlineStr">
        <is>
          <t>P3</t>
        </is>
      </c>
      <c r="R1082" s="188" t="inlineStr">
        <is>
          <t>🚨 URGENT: Apply vendor patches immediately | 🔒 Isolate affected systems if patch unavailable | 🛡️ Enable additional monitoring/IDS rules</t>
        </is>
      </c>
      <c r="S1082" s="188" t="inlineStr">
        <is>
          <t>CVE - IP enrichment n/a</t>
        </is>
      </c>
      <c r="T1082" s="188" t="n">
        <v>0</v>
      </c>
      <c r="U1082" s="188" t="n">
        <v>0</v>
      </c>
      <c r="V1082" s="188" t="inlineStr">
        <is>
          <t>T1090:Proxy</t>
        </is>
      </c>
      <c r="W1082" s="188" t="n">
        <v>1</v>
      </c>
      <c r="X1082" s="188" t="inlineStr">
        <is>
          <t>LOW (40%)</t>
        </is>
      </c>
      <c r="Y1082" s="188" t="inlineStr">
        <is>
          <t>UNLIKELY</t>
        </is>
      </c>
      <c r="Z1082" s="188" t="inlineStr">
        <is>
          <t>PATCH_AVAILABLE</t>
        </is>
      </c>
      <c r="AA1082" s="188" t="inlineStr">
        <is>
          <t>https://nvd.nist.gov/vuln/detail/CVE-2026-25545</t>
        </is>
      </c>
      <c r="AB1082" s="188" t="inlineStr">
        <is>
          <t>NONE</t>
        </is>
      </c>
      <c r="AC1082" s="188" t="n">
        <v>0</v>
      </c>
      <c r="AD1082" s="188" t="inlineStr"/>
    </row>
    <row r="1083">
      <c r="A1083" s="187" t="inlineStr">
        <is>
          <t>CVE</t>
        </is>
      </c>
      <c r="B1083" s="187" t="inlineStr">
        <is>
          <t>CVE-2026-25576</t>
        </is>
      </c>
      <c r="C1083" s="187" t="inlineStr">
        <is>
          <t>ImageMagick is free and open-source software used for editing and manipulating digital images. Prior to versions 7.1.2-15 and 6.9.13-40, a heap buffer over-read vulnerability exists in multiple raw image format handles. The vulnerability occurs when processing images with -extract dimensions larger than -size dimensions, causing out-of-bounds memory reads from a heap-allocated buffer. Versions 7.1.2-15 and 6.9.13-40 contain a patch.</t>
        </is>
      </c>
      <c r="D1083" s="187" t="n">
        <v>5.1</v>
      </c>
      <c r="E1083" s="187" t="inlineStr">
        <is>
          <t>MEDIUM</t>
        </is>
      </c>
      <c r="F1083" s="187" t="n">
        <v>2</v>
      </c>
      <c r="G1083" s="187" t="n">
        <v>2</v>
      </c>
      <c r="H1083" s="187" t="inlineStr">
        <is>
          <t>MEDIUM</t>
        </is>
      </c>
      <c r="I1083" s="187" t="n">
        <v>9.1</v>
      </c>
      <c r="J1083" s="187" t="inlineStr">
        <is>
          <t>NO</t>
        </is>
      </c>
      <c r="K1083" s="187" t="inlineStr">
        <is>
          <t>https://nvd.nist.gov/vuln/detail/CVE-2026-25576</t>
        </is>
      </c>
      <c r="L1083" s="187" t="inlineStr">
        <is>
          <t>2026-02-26 00:15</t>
        </is>
      </c>
      <c r="M1083" s="187" t="inlineStr">
        <is>
          <t>CHECK_VENDOR</t>
        </is>
      </c>
      <c r="N1083" s="187" t="inlineStr">
        <is>
          <t>See NVD references</t>
        </is>
      </c>
      <c r="O1083" s="187" t="inlineStr">
        <is>
          <t>Apply vendor patches</t>
        </is>
      </c>
      <c r="P1083" s="187" t="inlineStr">
        <is>
          <t>See CVE details</t>
        </is>
      </c>
      <c r="Q1083" s="187" t="inlineStr">
        <is>
          <t>P4</t>
        </is>
      </c>
      <c r="R1083" s="187" t="inlineStr">
        <is>
          <t>📅 Schedule patch deployment within 30 days | 🔍 Monitor for exploitation attempts</t>
        </is>
      </c>
      <c r="S1083" s="187" t="inlineStr">
        <is>
          <t>CVE - IP enrichment n/a</t>
        </is>
      </c>
      <c r="T1083" s="187" t="n">
        <v>0.0001</v>
      </c>
      <c r="U1083" s="187" t="n">
        <v>0.0139</v>
      </c>
      <c r="V1083" s="187" t="inlineStr">
        <is>
          <t>T1190:Exploit Public-Facing Application | T1203:Exploitation for Client Execution</t>
        </is>
      </c>
      <c r="W1083" s="187" t="n">
        <v>1</v>
      </c>
      <c r="X1083" s="187" t="inlineStr">
        <is>
          <t>LOW (40%)</t>
        </is>
      </c>
      <c r="Y1083" s="187" t="inlineStr">
        <is>
          <t>UNLIKELY</t>
        </is>
      </c>
      <c r="Z1083" s="187" t="inlineStr">
        <is>
          <t>CHECK_VENDOR</t>
        </is>
      </c>
      <c r="AA1083" s="187" t="inlineStr">
        <is>
          <t>https://nvd.nist.gov/vuln/detail/CVE-2026-25576</t>
        </is>
      </c>
      <c r="AB1083" s="187" t="inlineStr">
        <is>
          <t>NONE</t>
        </is>
      </c>
      <c r="AC1083" s="187" t="n">
        <v>0</v>
      </c>
      <c r="AD1083" s="187" t="inlineStr"/>
    </row>
    <row r="1084">
      <c r="A1084" s="188" t="inlineStr">
        <is>
          <t>CVE</t>
        </is>
      </c>
      <c r="B1084" s="188" t="inlineStr">
        <is>
          <t>CVE-2026-25591</t>
        </is>
      </c>
      <c r="C1084" s="188" t="inlineStr">
        <is>
          <t xml:space="preserve">New API is a large language mode (LLM) gateway and artificial intelligence (AI) asset management system. Prior to version 0.10.8-alpha.10, a SQL LIKE wildcard injection vulnerability in the `/api/token/search` endpoint allows authenticated users to cause denial of service through resource exhaustion by crafting malicious search patterns. The token search endpoint accepts user-supplied `keyword` and `token` parameters that are directly concatenated into SQL LIKE clauses without escaping wildcard </t>
        </is>
      </c>
      <c r="D1084" s="188" t="n">
        <v>8.5</v>
      </c>
      <c r="E1084" s="188" t="inlineStr">
        <is>
          <t>HIGH</t>
        </is>
      </c>
      <c r="F1084" s="188" t="n">
        <v>2</v>
      </c>
      <c r="G1084" s="188" t="n">
        <v>3</v>
      </c>
      <c r="H1084" s="188" t="inlineStr">
        <is>
          <t>HIGH</t>
        </is>
      </c>
      <c r="I1084" s="188" t="n">
        <v>14.5</v>
      </c>
      <c r="J1084" s="188" t="inlineStr">
        <is>
          <t>NO</t>
        </is>
      </c>
      <c r="K1084" s="188" t="inlineStr">
        <is>
          <t>https://nvd.nist.gov/vuln/detail/CVE-2026-25591</t>
        </is>
      </c>
      <c r="L1084" s="188" t="inlineStr">
        <is>
          <t>2026-02-26 00:15</t>
        </is>
      </c>
      <c r="M1084" s="188" t="inlineStr">
        <is>
          <t>CHECK_VENDOR</t>
        </is>
      </c>
      <c r="N1084" s="188" t="inlineStr">
        <is>
          <t>See NVD references</t>
        </is>
      </c>
      <c r="O1084" s="188" t="inlineStr">
        <is>
          <t>Apply vendor patches</t>
        </is>
      </c>
      <c r="P1084" s="188" t="inlineStr">
        <is>
          <t>See CVE details</t>
        </is>
      </c>
      <c r="Q1084" s="188" t="inlineStr">
        <is>
          <t>P3</t>
        </is>
      </c>
      <c r="R1084" s="188" t="inlineStr">
        <is>
          <t>🚨 URGENT: Apply vendor patches immediately | 🔒 Isolate affected systems if patch unavailable | 🛡️ Enable additional monitoring/IDS rules</t>
        </is>
      </c>
      <c r="S1084" s="188" t="inlineStr">
        <is>
          <t>CVE - IP enrichment n/a</t>
        </is>
      </c>
      <c r="T1084" s="188" t="n">
        <v>0</v>
      </c>
      <c r="U1084" s="188" t="n">
        <v>0</v>
      </c>
      <c r="V1084" s="188" t="inlineStr">
        <is>
          <t>T1190:Exploit Public-Facing Application | T1499:Endpoint Denial of Service</t>
        </is>
      </c>
      <c r="W1084" s="188" t="n">
        <v>1</v>
      </c>
      <c r="X1084" s="188" t="inlineStr">
        <is>
          <t>LOW (40%)</t>
        </is>
      </c>
      <c r="Y1084" s="188" t="inlineStr">
        <is>
          <t>UNLIKELY</t>
        </is>
      </c>
      <c r="Z1084" s="188" t="inlineStr">
        <is>
          <t>CHECK_VENDOR</t>
        </is>
      </c>
      <c r="AA1084" s="188" t="inlineStr">
        <is>
          <t>https://nvd.nist.gov/vuln/detail/CVE-2026-25591</t>
        </is>
      </c>
      <c r="AB1084" s="188" t="inlineStr">
        <is>
          <t>NONE</t>
        </is>
      </c>
      <c r="AC1084" s="188" t="n">
        <v>0</v>
      </c>
      <c r="AD1084" s="188" t="inlineStr"/>
    </row>
    <row r="1085">
      <c r="A1085" s="187" t="inlineStr">
        <is>
          <t>CVE</t>
        </is>
      </c>
      <c r="B1085" s="187" t="inlineStr">
        <is>
          <t>CVE-2026-25637</t>
        </is>
      </c>
      <c r="C1085" s="187" t="inlineStr">
        <is>
          <t>ImageMagick is free and open-source software used for editing and manipulating digital images. Prior to version 7.1.2-15, a memory leak in the ASHLAR image writer allows an attacker to exhaust process memory by providing a crafted image that results in small objects that are allocated but never freed. Version 7.1.2-15 contains a patch.</t>
        </is>
      </c>
      <c r="D1085" s="187" t="n">
        <v>5.3</v>
      </c>
      <c r="E1085" s="187" t="inlineStr">
        <is>
          <t>MEDIUM</t>
        </is>
      </c>
      <c r="F1085" s="187" t="n">
        <v>2</v>
      </c>
      <c r="G1085" s="187" t="n">
        <v>2</v>
      </c>
      <c r="H1085" s="187" t="inlineStr">
        <is>
          <t>MEDIUM</t>
        </is>
      </c>
      <c r="I1085" s="187" t="n">
        <v>9.300000000000001</v>
      </c>
      <c r="J1085" s="187" t="inlineStr">
        <is>
          <t>NO</t>
        </is>
      </c>
      <c r="K1085" s="187" t="inlineStr">
        <is>
          <t>https://nvd.nist.gov/vuln/detail/CVE-2026-25637</t>
        </is>
      </c>
      <c r="L1085" s="187" t="inlineStr">
        <is>
          <t>2026-02-26 00:15</t>
        </is>
      </c>
      <c r="M1085" s="187" t="inlineStr">
        <is>
          <t>CHECK_VENDOR</t>
        </is>
      </c>
      <c r="N1085" s="187" t="inlineStr">
        <is>
          <t>See NVD references</t>
        </is>
      </c>
      <c r="O1085" s="187" t="inlineStr">
        <is>
          <t>Apply vendor patches</t>
        </is>
      </c>
      <c r="P1085" s="187" t="inlineStr">
        <is>
          <t>See CVE details</t>
        </is>
      </c>
      <c r="Q1085" s="187" t="inlineStr">
        <is>
          <t>P4</t>
        </is>
      </c>
      <c r="R1085" s="187" t="inlineStr">
        <is>
          <t>📅 Schedule patch deployment within 30 days | 🔍 Monitor for exploitation attempts</t>
        </is>
      </c>
      <c r="S1085" s="187" t="inlineStr">
        <is>
          <t>CVE - IP enrichment n/a</t>
        </is>
      </c>
      <c r="T1085" s="187" t="n">
        <v>0</v>
      </c>
      <c r="U1085" s="187" t="n">
        <v>0</v>
      </c>
      <c r="V1085" s="187" t="inlineStr">
        <is>
          <t>T1190:Exploit Public-Facing Application</t>
        </is>
      </c>
      <c r="W1085" s="187" t="n">
        <v>1</v>
      </c>
      <c r="X1085" s="187" t="inlineStr">
        <is>
          <t>LOW (40%)</t>
        </is>
      </c>
      <c r="Y1085" s="187" t="inlineStr">
        <is>
          <t>UNLIKELY</t>
        </is>
      </c>
      <c r="Z1085" s="187" t="inlineStr">
        <is>
          <t>CHECK_VENDOR</t>
        </is>
      </c>
      <c r="AA1085" s="187" t="inlineStr">
        <is>
          <t>https://nvd.nist.gov/vuln/detail/CVE-2026-25637</t>
        </is>
      </c>
      <c r="AB1085" s="187" t="inlineStr">
        <is>
          <t>NONE</t>
        </is>
      </c>
      <c r="AC1085" s="187" t="n">
        <v>0</v>
      </c>
      <c r="AD1085" s="187" t="inlineStr"/>
    </row>
    <row r="1086">
      <c r="A1086" s="187" t="inlineStr">
        <is>
          <t>CVE</t>
        </is>
      </c>
      <c r="B1086" s="187" t="inlineStr">
        <is>
          <t>CVE-2026-25638</t>
        </is>
      </c>
      <c r="C1086" s="187" t="inlineStr">
        <is>
          <t>ImageMagick is free and open-source software used for editing and manipulating digital images. Prior to versions 7.1.2-15 and 6.9.13-40, memory leak exists in `coders/msl.c`. In the `WriteMSLImage` function of the `msl.c` file, resources are allocated. But the function returns early without releasing these allocated resources. Versions 7.1.2-15 and 6.9.13-40 contain a patch.</t>
        </is>
      </c>
      <c r="D1086" s="187" t="n">
        <v>5.3</v>
      </c>
      <c r="E1086" s="187" t="inlineStr">
        <is>
          <t>MEDIUM</t>
        </is>
      </c>
      <c r="F1086" s="187" t="n">
        <v>2</v>
      </c>
      <c r="G1086" s="187" t="n">
        <v>2</v>
      </c>
      <c r="H1086" s="187" t="inlineStr">
        <is>
          <t>MEDIUM</t>
        </is>
      </c>
      <c r="I1086" s="187" t="n">
        <v>9.300000000000001</v>
      </c>
      <c r="J1086" s="187" t="inlineStr">
        <is>
          <t>NO</t>
        </is>
      </c>
      <c r="K1086" s="187" t="inlineStr">
        <is>
          <t>https://nvd.nist.gov/vuln/detail/CVE-2026-25638</t>
        </is>
      </c>
      <c r="L1086" s="187" t="inlineStr">
        <is>
          <t>2026-02-26 00:15</t>
        </is>
      </c>
      <c r="M1086" s="187" t="inlineStr">
        <is>
          <t>YES</t>
        </is>
      </c>
      <c r="N1086" s="187" t="inlineStr">
        <is>
          <t>https://github.com/ImageMagick/ImageMagick/security/advisories/GHSA-gxcx-qjqp-8vjw</t>
        </is>
      </c>
      <c r="O1086" s="187" t="inlineStr">
        <is>
          <t>Apply vendor patches</t>
        </is>
      </c>
      <c r="P1086" s="187" t="inlineStr">
        <is>
          <t>imagemagick imagemagick *</t>
        </is>
      </c>
      <c r="Q1086" s="187" t="inlineStr">
        <is>
          <t>P4</t>
        </is>
      </c>
      <c r="R1086" s="187" t="inlineStr">
        <is>
          <t>📅 Schedule patch deployment within 30 days | 🔍 Monitor for exploitation attempts</t>
        </is>
      </c>
      <c r="S1086" s="187" t="inlineStr">
        <is>
          <t>CVE - IP enrichment n/a</t>
        </is>
      </c>
      <c r="T1086" s="187" t="n">
        <v>0</v>
      </c>
      <c r="U1086" s="187" t="n">
        <v>0</v>
      </c>
      <c r="V1086" s="187" t="inlineStr">
        <is>
          <t>T1190:Exploit Public-Facing Application</t>
        </is>
      </c>
      <c r="W1086" s="187" t="n">
        <v>1</v>
      </c>
      <c r="X1086" s="187" t="inlineStr">
        <is>
          <t>LOW (40%)</t>
        </is>
      </c>
      <c r="Y1086" s="187" t="inlineStr">
        <is>
          <t>UNLIKELY</t>
        </is>
      </c>
      <c r="Z1086" s="187" t="inlineStr">
        <is>
          <t>PATCH_AVAILABLE</t>
        </is>
      </c>
      <c r="AA1086" s="187" t="inlineStr">
        <is>
          <t>https://nvd.nist.gov/vuln/detail/CVE-2026-25638</t>
        </is>
      </c>
      <c r="AB1086" s="187" t="inlineStr">
        <is>
          <t>NONE</t>
        </is>
      </c>
      <c r="AC1086" s="187" t="n">
        <v>0</v>
      </c>
      <c r="AD1086" s="187" t="inlineStr"/>
    </row>
    <row r="1087">
      <c r="A1087" s="188" t="inlineStr">
        <is>
          <t>CVE</t>
        </is>
      </c>
      <c r="B1087" s="188" t="inlineStr">
        <is>
          <t>CVE-2026-25794</t>
        </is>
      </c>
      <c r="C1087" s="188" t="inlineStr">
        <is>
          <t>ImageMagick is free and open-source software used for editing and manipulating digital images. `WriteUHDRImage` in `coders/uhdr.c` uses `int` arithmetic to compute the pixel buffer size. Prior to version 7.1.2-15, when image dimensions are large, the multiplication overflows 32-bit `int`, causing an undersized heap allocation followed by an out-of-bounds write. This can crash the process or potentially lead to an out of bounds heap write. Version 7.1.2-15 contains a patch.</t>
        </is>
      </c>
      <c r="D1087" s="188" t="n">
        <v>8.199999999999999</v>
      </c>
      <c r="E1087" s="188" t="inlineStr">
        <is>
          <t>HIGH</t>
        </is>
      </c>
      <c r="F1087" s="188" t="n">
        <v>2</v>
      </c>
      <c r="G1087" s="188" t="n">
        <v>3</v>
      </c>
      <c r="H1087" s="188" t="inlineStr">
        <is>
          <t>HIGH</t>
        </is>
      </c>
      <c r="I1087" s="188" t="n">
        <v>14.2</v>
      </c>
      <c r="J1087" s="188" t="inlineStr">
        <is>
          <t>NO</t>
        </is>
      </c>
      <c r="K1087" s="188" t="inlineStr">
        <is>
          <t>https://nvd.nist.gov/vuln/detail/CVE-2026-25794</t>
        </is>
      </c>
      <c r="L1087" s="188" t="inlineStr">
        <is>
          <t>2026-02-26 00:15</t>
        </is>
      </c>
      <c r="M1087" s="188" t="inlineStr">
        <is>
          <t>YES</t>
        </is>
      </c>
      <c r="N1087" s="188" t="inlineStr">
        <is>
          <t>https://github.com/ImageMagick/ImageMagick/security/advisories/GHSA-vhqj-f5cj-9x8h</t>
        </is>
      </c>
      <c r="O1087" s="188" t="inlineStr">
        <is>
          <t>Apply vendor patches</t>
        </is>
      </c>
      <c r="P1087" s="188" t="inlineStr">
        <is>
          <t>imagemagick imagemagick *</t>
        </is>
      </c>
      <c r="Q1087" s="188" t="inlineStr">
        <is>
          <t>P3</t>
        </is>
      </c>
      <c r="R1087" s="188" t="inlineStr">
        <is>
          <t>🚨 URGENT: Apply vendor patches immediately | 🔒 Isolate affected systems if patch unavailable | 🛡️ Enable additional monitoring/IDS rules</t>
        </is>
      </c>
      <c r="S1087" s="188" t="inlineStr">
        <is>
          <t>CVE - IP enrichment n/a</t>
        </is>
      </c>
      <c r="T1087" s="188" t="n">
        <v>0.0004</v>
      </c>
      <c r="U1087" s="188" t="n">
        <v>0.1208</v>
      </c>
      <c r="V1087" s="188" t="inlineStr">
        <is>
          <t>T1190:Exploit Public-Facing Application | T1203:Exploitation for Client Execution</t>
        </is>
      </c>
      <c r="W1087" s="188" t="n">
        <v>1</v>
      </c>
      <c r="X1087" s="188" t="inlineStr">
        <is>
          <t>LOW (40%)</t>
        </is>
      </c>
      <c r="Y1087" s="188" t="inlineStr">
        <is>
          <t>UNLIKELY</t>
        </is>
      </c>
      <c r="Z1087" s="188" t="inlineStr">
        <is>
          <t>PATCH_AVAILABLE</t>
        </is>
      </c>
      <c r="AA1087" s="188" t="inlineStr">
        <is>
          <t>https://nvd.nist.gov/vuln/detail/CVE-2026-25794</t>
        </is>
      </c>
      <c r="AB1087" s="188" t="inlineStr">
        <is>
          <t>NONE</t>
        </is>
      </c>
      <c r="AC1087" s="188" t="n">
        <v>0</v>
      </c>
      <c r="AD1087" s="188" t="inlineStr"/>
    </row>
    <row r="1088">
      <c r="A1088" s="187" t="inlineStr">
        <is>
          <t>CVE</t>
        </is>
      </c>
      <c r="B1088" s="187" t="inlineStr">
        <is>
          <t>CVE-2026-25795</t>
        </is>
      </c>
      <c r="C1088" s="187" t="inlineStr">
        <is>
          <t>ImageMagick is free and open-source software used for editing and manipulating digital images. Prior to versions 7.1.2-15 and 6.9.13-40, in `ReadSFWImage()` (`coders/sfw.c`), when temporary file creation fails, `read_info` is destroyed before its `filename` member is accessed, causing a NULL pointer dereference and crash. Versions 7.1.2-15 and 6.9.13-40 contain a patch.</t>
        </is>
      </c>
      <c r="D1088" s="187" t="n">
        <v>5.3</v>
      </c>
      <c r="E1088" s="187" t="inlineStr">
        <is>
          <t>MEDIUM</t>
        </is>
      </c>
      <c r="F1088" s="187" t="n">
        <v>2</v>
      </c>
      <c r="G1088" s="187" t="n">
        <v>2</v>
      </c>
      <c r="H1088" s="187" t="inlineStr">
        <is>
          <t>MEDIUM</t>
        </is>
      </c>
      <c r="I1088" s="187" t="n">
        <v>9.300000000000001</v>
      </c>
      <c r="J1088" s="187" t="inlineStr">
        <is>
          <t>NO</t>
        </is>
      </c>
      <c r="K1088" s="187" t="inlineStr">
        <is>
          <t>https://nvd.nist.gov/vuln/detail/CVE-2026-25795</t>
        </is>
      </c>
      <c r="L1088" s="187" t="inlineStr">
        <is>
          <t>2026-02-26 00:15</t>
        </is>
      </c>
      <c r="M1088" s="187" t="inlineStr">
        <is>
          <t>YES</t>
        </is>
      </c>
      <c r="N1088" s="187" t="inlineStr">
        <is>
          <t>https://github.com/ImageMagick/ImageMagick/security/advisories/GHSA-p33r-fqw2-rqmm</t>
        </is>
      </c>
      <c r="O1088" s="187" t="inlineStr">
        <is>
          <t>Apply vendor patches</t>
        </is>
      </c>
      <c r="P1088" s="187" t="inlineStr">
        <is>
          <t>imagemagick imagemagick *</t>
        </is>
      </c>
      <c r="Q1088" s="187" t="inlineStr">
        <is>
          <t>P4</t>
        </is>
      </c>
      <c r="R1088" s="187" t="inlineStr">
        <is>
          <t>📅 Schedule patch deployment within 30 days | 🔍 Monitor for exploitation attempts</t>
        </is>
      </c>
      <c r="S1088" s="187" t="inlineStr">
        <is>
          <t>CVE - IP enrichment n/a</t>
        </is>
      </c>
      <c r="T1088" s="187" t="n">
        <v>0</v>
      </c>
      <c r="U1088" s="187" t="n">
        <v>0</v>
      </c>
      <c r="V1088" s="187" t="inlineStr">
        <is>
          <t>T1499:Endpoint Denial of Service | T1190:Exploit Public-Facing Application</t>
        </is>
      </c>
      <c r="W1088" s="187" t="n">
        <v>1</v>
      </c>
      <c r="X1088" s="187" t="inlineStr">
        <is>
          <t>LOW (40%)</t>
        </is>
      </c>
      <c r="Y1088" s="187" t="inlineStr">
        <is>
          <t>UNLIKELY</t>
        </is>
      </c>
      <c r="Z1088" s="187" t="inlineStr">
        <is>
          <t>PATCH_AVAILABLE</t>
        </is>
      </c>
      <c r="AA1088" s="187" t="inlineStr">
        <is>
          <t>https://nvd.nist.gov/vuln/detail/CVE-2026-25795</t>
        </is>
      </c>
      <c r="AB1088" s="187" t="inlineStr">
        <is>
          <t>NONE</t>
        </is>
      </c>
      <c r="AC1088" s="187" t="n">
        <v>0</v>
      </c>
      <c r="AD1088" s="187" t="inlineStr"/>
    </row>
    <row r="1089">
      <c r="A1089" s="187" t="inlineStr">
        <is>
          <t>CVE</t>
        </is>
      </c>
      <c r="B1089" s="187" t="inlineStr">
        <is>
          <t>CVE-2026-25796</t>
        </is>
      </c>
      <c r="C1089" s="187" t="inlineStr">
        <is>
          <t>ImageMagick is free and open-source software used for editing and manipulating digital images. Prior to versions 7.1.2-15 and 6.9.13-40, in `ReadSTEGANOImage()` (`coders/stegano.c`), the `watermark` Image object is not freed on three early-return paths, resulting in a definite memory leak (~13.5KB+ per invocation) that can be exploited for denial of service. Versions 7.1.2-15 and 6.9.13-40 contain a patch.</t>
        </is>
      </c>
      <c r="D1089" s="187" t="n">
        <v>5.3</v>
      </c>
      <c r="E1089" s="187" t="inlineStr">
        <is>
          <t>MEDIUM</t>
        </is>
      </c>
      <c r="F1089" s="187" t="n">
        <v>2</v>
      </c>
      <c r="G1089" s="187" t="n">
        <v>2</v>
      </c>
      <c r="H1089" s="187" t="inlineStr">
        <is>
          <t>MEDIUM</t>
        </is>
      </c>
      <c r="I1089" s="187" t="n">
        <v>9.300000000000001</v>
      </c>
      <c r="J1089" s="187" t="inlineStr">
        <is>
          <t>NO</t>
        </is>
      </c>
      <c r="K1089" s="187" t="inlineStr">
        <is>
          <t>https://nvd.nist.gov/vuln/detail/CVE-2026-25796</t>
        </is>
      </c>
      <c r="L1089" s="187" t="inlineStr">
        <is>
          <t>2026-02-26 00:15</t>
        </is>
      </c>
      <c r="M1089" s="187" t="inlineStr">
        <is>
          <t>YES</t>
        </is>
      </c>
      <c r="N1089" s="187" t="inlineStr">
        <is>
          <t>https://github.com/ImageMagick/ImageMagick/security/advisories/GHSA-g2pr-qxjg-7r2w</t>
        </is>
      </c>
      <c r="O1089" s="187" t="inlineStr">
        <is>
          <t>Apply vendor patches</t>
        </is>
      </c>
      <c r="P1089" s="187" t="inlineStr">
        <is>
          <t>imagemagick imagemagick *</t>
        </is>
      </c>
      <c r="Q1089" s="187" t="inlineStr">
        <is>
          <t>P4</t>
        </is>
      </c>
      <c r="R1089" s="187" t="inlineStr">
        <is>
          <t>📅 Schedule patch deployment within 30 days | 🔍 Monitor for exploitation attempts</t>
        </is>
      </c>
      <c r="S1089" s="187" t="inlineStr">
        <is>
          <t>CVE - IP enrichment n/a</t>
        </is>
      </c>
      <c r="T1089" s="187" t="n">
        <v>0.0004</v>
      </c>
      <c r="U1089" s="187" t="n">
        <v>0.1269</v>
      </c>
      <c r="V1089" s="187" t="inlineStr">
        <is>
          <t>T1190:Exploit Public-Facing Application | T1499:Endpoint Denial of Service</t>
        </is>
      </c>
      <c r="W1089" s="187" t="n">
        <v>1</v>
      </c>
      <c r="X1089" s="187" t="inlineStr">
        <is>
          <t>LOW (40%)</t>
        </is>
      </c>
      <c r="Y1089" s="187" t="inlineStr">
        <is>
          <t>UNLIKELY</t>
        </is>
      </c>
      <c r="Z1089" s="187" t="inlineStr">
        <is>
          <t>PATCH_AVAILABLE</t>
        </is>
      </c>
      <c r="AA1089" s="187" t="inlineStr">
        <is>
          <t>https://nvd.nist.gov/vuln/detail/CVE-2026-25796</t>
        </is>
      </c>
      <c r="AB1089" s="187" t="inlineStr">
        <is>
          <t>NONE</t>
        </is>
      </c>
      <c r="AC1089" s="187" t="n">
        <v>0</v>
      </c>
      <c r="AD1089" s="187" t="inlineStr"/>
    </row>
    <row r="1090">
      <c r="A1090" s="187" t="inlineStr">
        <is>
          <t>CVE</t>
        </is>
      </c>
      <c r="B1090" s="187" t="inlineStr">
        <is>
          <t>CVE-2026-25797</t>
        </is>
      </c>
      <c r="C1090" s="187" t="inlineStr">
        <is>
          <t>ImageMagick is free and open-source software used for editing and manipulating digital images. Prior to versions 7.1.2-15 and 6.9.13-40, the ps coders, responsible for writing PostScript files, fails to sanitize the input before writing it into the PostScript header.  An attacker can provide a malicous file and inject arbitrary PostScript code. When the resulting file is processed by a printer or a viewer (like Ghostscript), the injected code is interpreted and executed. The html encoder does no</t>
        </is>
      </c>
      <c r="D1090" s="187" t="n">
        <v>5.7</v>
      </c>
      <c r="E1090" s="187" t="inlineStr">
        <is>
          <t>MEDIUM</t>
        </is>
      </c>
      <c r="F1090" s="187" t="n">
        <v>2</v>
      </c>
      <c r="G1090" s="187" t="n">
        <v>2</v>
      </c>
      <c r="H1090" s="187" t="inlineStr">
        <is>
          <t>MEDIUM</t>
        </is>
      </c>
      <c r="I1090" s="187" t="n">
        <v>9.699999999999999</v>
      </c>
      <c r="J1090" s="187" t="inlineStr">
        <is>
          <t>NO</t>
        </is>
      </c>
      <c r="K1090" s="187" t="inlineStr">
        <is>
          <t>https://nvd.nist.gov/vuln/detail/CVE-2026-25797</t>
        </is>
      </c>
      <c r="L1090" s="187" t="inlineStr">
        <is>
          <t>2026-02-26 00:15</t>
        </is>
      </c>
      <c r="M1090" s="187" t="inlineStr">
        <is>
          <t>CHECK_VENDOR</t>
        </is>
      </c>
      <c r="N1090" s="187" t="inlineStr">
        <is>
          <t>See NVD references</t>
        </is>
      </c>
      <c r="O1090" s="187" t="inlineStr">
        <is>
          <t>Apply vendor patches</t>
        </is>
      </c>
      <c r="P1090" s="187" t="inlineStr">
        <is>
          <t>imagemagick imagemagick *</t>
        </is>
      </c>
      <c r="Q1090" s="187" t="inlineStr">
        <is>
          <t>P4</t>
        </is>
      </c>
      <c r="R1090" s="187" t="inlineStr">
        <is>
          <t>📅 Schedule patch deployment within 30 days | 🔍 Monitor for exploitation attempts</t>
        </is>
      </c>
      <c r="S1090" s="187" t="inlineStr">
        <is>
          <t>CVE - IP enrichment n/a</t>
        </is>
      </c>
      <c r="T1090" s="187" t="n">
        <v>0</v>
      </c>
      <c r="U1090" s="187" t="n">
        <v>0</v>
      </c>
      <c r="V1090" s="187" t="inlineStr">
        <is>
          <t>T1059:Command and Scripting Interpreter | T1190:Exploit Public-Facing Application</t>
        </is>
      </c>
      <c r="W1090" s="187" t="n">
        <v>1</v>
      </c>
      <c r="X1090" s="187" t="inlineStr">
        <is>
          <t>LOW (40%)</t>
        </is>
      </c>
      <c r="Y1090" s="187" t="inlineStr">
        <is>
          <t>UNLIKELY</t>
        </is>
      </c>
      <c r="Z1090" s="187" t="inlineStr">
        <is>
          <t>CHECK_VENDOR</t>
        </is>
      </c>
      <c r="AA1090" s="187" t="inlineStr">
        <is>
          <t>https://nvd.nist.gov/vuln/detail/CVE-2026-25797</t>
        </is>
      </c>
      <c r="AB1090" s="187" t="inlineStr">
        <is>
          <t>NONE</t>
        </is>
      </c>
      <c r="AC1090" s="187" t="n">
        <v>0</v>
      </c>
      <c r="AD1090" s="187" t="inlineStr"/>
    </row>
    <row r="1091">
      <c r="A1091" s="187" t="inlineStr">
        <is>
          <t>CVE</t>
        </is>
      </c>
      <c r="B1091" s="187" t="inlineStr">
        <is>
          <t>CVE-2026-25798</t>
        </is>
      </c>
      <c r="C1091" s="187" t="inlineStr">
        <is>
          <t>ImageMagick is free and open-source software used for editing and manipulating digital images. Prior to versions 7.1.2-15 and 6.9.13-40, a NULL pointer dereference in ClonePixelCacheRepository allows a remote attacker to crash any application linked against ImageMagick by supplying a crafted image file, resulting in denial of service. Versions 7.1.2-15 and 6.9.13-40 contain a patch.</t>
        </is>
      </c>
      <c r="D1091" s="187" t="n">
        <v>5.3</v>
      </c>
      <c r="E1091" s="187" t="inlineStr">
        <is>
          <t>MEDIUM</t>
        </is>
      </c>
      <c r="F1091" s="187" t="n">
        <v>2</v>
      </c>
      <c r="G1091" s="187" t="n">
        <v>2</v>
      </c>
      <c r="H1091" s="187" t="inlineStr">
        <is>
          <t>MEDIUM</t>
        </is>
      </c>
      <c r="I1091" s="187" t="n">
        <v>9.300000000000001</v>
      </c>
      <c r="J1091" s="187" t="inlineStr">
        <is>
          <t>NO</t>
        </is>
      </c>
      <c r="K1091" s="187" t="inlineStr">
        <is>
          <t>https://nvd.nist.gov/vuln/detail/CVE-2026-25798</t>
        </is>
      </c>
      <c r="L1091" s="187" t="inlineStr">
        <is>
          <t>2026-02-26 00:15</t>
        </is>
      </c>
      <c r="M1091" s="187" t="inlineStr">
        <is>
          <t>YES</t>
        </is>
      </c>
      <c r="N1091" s="187" t="inlineStr">
        <is>
          <t>https://github.com/ImageMagick/ImageMagick/security/advisories/GHSA-p863-5fgm-rgq4</t>
        </is>
      </c>
      <c r="O1091" s="187" t="inlineStr">
        <is>
          <t>Apply vendor patches</t>
        </is>
      </c>
      <c r="P1091" s="187" t="inlineStr">
        <is>
          <t>imagemagick imagemagick *</t>
        </is>
      </c>
      <c r="Q1091" s="187" t="inlineStr">
        <is>
          <t>P4</t>
        </is>
      </c>
      <c r="R1091" s="187" t="inlineStr">
        <is>
          <t>📅 Schedule patch deployment within 30 days | 🔍 Monitor for exploitation attempts</t>
        </is>
      </c>
      <c r="S1091" s="187" t="inlineStr">
        <is>
          <t>CVE - IP enrichment n/a</t>
        </is>
      </c>
      <c r="T1091" s="187" t="n">
        <v>0.0011</v>
      </c>
      <c r="U1091" s="187" t="n">
        <v>0.2877</v>
      </c>
      <c r="V1091" s="187" t="inlineStr">
        <is>
          <t>T1499:Endpoint Denial of Service | T1190:Exploit Public-Facing Application</t>
        </is>
      </c>
      <c r="W1091" s="187" t="n">
        <v>1</v>
      </c>
      <c r="X1091" s="187" t="inlineStr">
        <is>
          <t>LOW (40%)</t>
        </is>
      </c>
      <c r="Y1091" s="187" t="inlineStr">
        <is>
          <t>UNLIKELY</t>
        </is>
      </c>
      <c r="Z1091" s="187" t="inlineStr">
        <is>
          <t>PATCH_AVAILABLE</t>
        </is>
      </c>
      <c r="AA1091" s="187" t="inlineStr">
        <is>
          <t>https://nvd.nist.gov/vuln/detail/CVE-2026-25798</t>
        </is>
      </c>
      <c r="AB1091" s="187" t="inlineStr">
        <is>
          <t>NONE</t>
        </is>
      </c>
      <c r="AC1091" s="187" t="n">
        <v>0</v>
      </c>
      <c r="AD1091" s="187" t="inlineStr"/>
    </row>
    <row r="1092">
      <c r="A1092" s="187" t="inlineStr">
        <is>
          <t>CVE</t>
        </is>
      </c>
      <c r="B1092" s="187" t="inlineStr">
        <is>
          <t>CVE-2026-25799</t>
        </is>
      </c>
      <c r="C1092" s="187" t="inlineStr">
        <is>
          <t>ImageMagick is free and open-source software used for editing and manipulating digital images. Prior to versions 7.1.2-15 and 6.9.13-40, a logic error in YUV sampling factor validation allows an invalid sampling factor to bypass checks and trigger a division-by-zero during image loading, resulting in a reliable denial-of-service. Versions 7.1.2-15 and 6.9.13-40 contain a patch.</t>
        </is>
      </c>
      <c r="D1092" s="187" t="n">
        <v>5.3</v>
      </c>
      <c r="E1092" s="187" t="inlineStr">
        <is>
          <t>MEDIUM</t>
        </is>
      </c>
      <c r="F1092" s="187" t="n">
        <v>2</v>
      </c>
      <c r="G1092" s="187" t="n">
        <v>2</v>
      </c>
      <c r="H1092" s="187" t="inlineStr">
        <is>
          <t>MEDIUM</t>
        </is>
      </c>
      <c r="I1092" s="187" t="n">
        <v>9.300000000000001</v>
      </c>
      <c r="J1092" s="187" t="inlineStr">
        <is>
          <t>NO</t>
        </is>
      </c>
      <c r="K1092" s="187" t="inlineStr">
        <is>
          <t>https://nvd.nist.gov/vuln/detail/CVE-2026-25799</t>
        </is>
      </c>
      <c r="L1092" s="187" t="inlineStr">
        <is>
          <t>2026-02-26 00:15</t>
        </is>
      </c>
      <c r="M1092" s="187" t="inlineStr">
        <is>
          <t>YES</t>
        </is>
      </c>
      <c r="N1092" s="187" t="inlineStr">
        <is>
          <t>https://github.com/ImageMagick/ImageMagick/security/advisories/GHSA-543g-8grm-9cw6</t>
        </is>
      </c>
      <c r="O1092" s="187" t="inlineStr">
        <is>
          <t>Apply vendor patches</t>
        </is>
      </c>
      <c r="P1092" s="187" t="inlineStr">
        <is>
          <t>imagemagick imagemagick *</t>
        </is>
      </c>
      <c r="Q1092" s="187" t="inlineStr">
        <is>
          <t>P4</t>
        </is>
      </c>
      <c r="R1092" s="187" t="inlineStr">
        <is>
          <t>📅 Schedule patch deployment within 30 days | 🔍 Monitor for exploitation attempts</t>
        </is>
      </c>
      <c r="S1092" s="187" t="inlineStr">
        <is>
          <t>CVE - IP enrichment n/a</t>
        </is>
      </c>
      <c r="T1092" s="187" t="n">
        <v>0</v>
      </c>
      <c r="U1092" s="187" t="n">
        <v>0</v>
      </c>
      <c r="V1092" s="187" t="inlineStr">
        <is>
          <t>T1190:Exploit Public-Facing Application</t>
        </is>
      </c>
      <c r="W1092" s="187" t="n">
        <v>1</v>
      </c>
      <c r="X1092" s="187" t="inlineStr">
        <is>
          <t>LOW (40%)</t>
        </is>
      </c>
      <c r="Y1092" s="187" t="inlineStr">
        <is>
          <t>UNLIKELY</t>
        </is>
      </c>
      <c r="Z1092" s="187" t="inlineStr">
        <is>
          <t>PATCH_AVAILABLE</t>
        </is>
      </c>
      <c r="AA1092" s="187" t="inlineStr">
        <is>
          <t>https://nvd.nist.gov/vuln/detail/CVE-2026-25799</t>
        </is>
      </c>
      <c r="AB1092" s="187" t="inlineStr">
        <is>
          <t>NONE</t>
        </is>
      </c>
      <c r="AC1092" s="187" t="n">
        <v>0</v>
      </c>
      <c r="AD1092" s="187" t="inlineStr"/>
    </row>
    <row r="1093">
      <c r="A1093" s="188" t="inlineStr">
        <is>
          <t>CVE</t>
        </is>
      </c>
      <c r="B1093" s="188" t="inlineStr">
        <is>
          <t>CVE-2026-25802</t>
        </is>
      </c>
      <c r="C1093" s="188" t="inlineStr">
        <is>
          <t>New API is a large language mode (LLM) gateway and artificial intelligence (AI) asset management system. Prior to version 0.10.8-alpha.9, a potential unsafe operation occurs in component `MarkdownRenderer.jsx`, allowing for Cross-Site Scripting(XSS) when the model outputs items containing ` ` tag. Version 0.10.8-alpha.9 fixes the issue.</t>
        </is>
      </c>
      <c r="D1093" s="188" t="n">
        <v>7.6</v>
      </c>
      <c r="E1093" s="188" t="inlineStr">
        <is>
          <t>HIGH</t>
        </is>
      </c>
      <c r="F1093" s="188" t="n">
        <v>2</v>
      </c>
      <c r="G1093" s="188" t="n">
        <v>3</v>
      </c>
      <c r="H1093" s="188" t="inlineStr">
        <is>
          <t>HIGH</t>
        </is>
      </c>
      <c r="I1093" s="188" t="n">
        <v>13.6</v>
      </c>
      <c r="J1093" s="188" t="inlineStr">
        <is>
          <t>NO</t>
        </is>
      </c>
      <c r="K1093" s="188" t="inlineStr">
        <is>
          <t>https://nvd.nist.gov/vuln/detail/CVE-2026-25802</t>
        </is>
      </c>
      <c r="L1093" s="188" t="inlineStr">
        <is>
          <t>2026-02-26 00:15</t>
        </is>
      </c>
      <c r="M1093" s="188" t="inlineStr">
        <is>
          <t>YES</t>
        </is>
      </c>
      <c r="N1093" s="188" t="inlineStr">
        <is>
          <t>https://github.com/QuantumNous/new-api/commit/ab5456eb1049aa8a0f3e51f359907ec7fff38b4b | https://github.com/QuantumNous/new-api/security/advisories/GHSA-299v-8pq9-5gjq</t>
        </is>
      </c>
      <c r="O1093" s="188" t="inlineStr">
        <is>
          <t>Apply vendor patches</t>
        </is>
      </c>
      <c r="P1093" s="188" t="inlineStr">
        <is>
          <t>newapi new_api 0.10.8 | newapi new_api *</t>
        </is>
      </c>
      <c r="Q1093" s="188" t="inlineStr">
        <is>
          <t>P3</t>
        </is>
      </c>
      <c r="R1093" s="188" t="inlineStr">
        <is>
          <t>🚨 URGENT: Apply vendor patches immediately | 🔒 Isolate affected systems if patch unavailable | 🛡️ Enable additional monitoring/IDS rules</t>
        </is>
      </c>
      <c r="S1093" s="188" t="inlineStr">
        <is>
          <t>CVE - IP enrichment n/a</t>
        </is>
      </c>
      <c r="T1093" s="188" t="n">
        <v>0.0003</v>
      </c>
      <c r="U1093" s="188" t="n">
        <v>0.09959999999999999</v>
      </c>
      <c r="V1093" s="188" t="inlineStr">
        <is>
          <t>T1189:Drive-by Compromise</t>
        </is>
      </c>
      <c r="W1093" s="188" t="n">
        <v>1</v>
      </c>
      <c r="X1093" s="188" t="inlineStr">
        <is>
          <t>LOW (40%)</t>
        </is>
      </c>
      <c r="Y1093" s="188" t="inlineStr">
        <is>
          <t>UNLIKELY</t>
        </is>
      </c>
      <c r="Z1093" s="188" t="inlineStr">
        <is>
          <t>PATCH_AVAILABLE</t>
        </is>
      </c>
      <c r="AA1093" s="188" t="inlineStr">
        <is>
          <t>https://nvd.nist.gov/vuln/detail/CVE-2026-25802</t>
        </is>
      </c>
      <c r="AB1093" s="188" t="inlineStr">
        <is>
          <t>NONE</t>
        </is>
      </c>
      <c r="AC1093" s="188" t="n">
        <v>0</v>
      </c>
      <c r="AD1093" s="188" t="inlineStr"/>
    </row>
    <row r="1094">
      <c r="A1094" s="188" t="inlineStr">
        <is>
          <t>CVE</t>
        </is>
      </c>
      <c r="B1094" s="188" t="inlineStr">
        <is>
          <t>CVE-2026-26024</t>
        </is>
      </c>
      <c r="C1094" s="188" t="inlineStr">
        <is>
          <t>free5GC SMF provides Session Management Function for free5GC, an open-source project for 5th generation (5G) mobile core networks. In versions up to and including 1.4.1, SMF panics and terminates when processing a malformed PFCP SessionReportRequest on the PFCP (UDP/8805) interface. ￼No known upstream fix is available, but some workarounds are available. ACL/firewall the PFCP interface so only trusted UPF IPs can reach SMF (reduce spoofing/abuse surface); drop/inspect malformed PFCP SessionRepor</t>
        </is>
      </c>
      <c r="D1094" s="188" t="n">
        <v>7.5</v>
      </c>
      <c r="E1094" s="188" t="inlineStr">
        <is>
          <t>HIGH</t>
        </is>
      </c>
      <c r="F1094" s="188" t="n">
        <v>2</v>
      </c>
      <c r="G1094" s="188" t="n">
        <v>3</v>
      </c>
      <c r="H1094" s="188" t="inlineStr">
        <is>
          <t>HIGH</t>
        </is>
      </c>
      <c r="I1094" s="188" t="n">
        <v>13.5</v>
      </c>
      <c r="J1094" s="188" t="inlineStr">
        <is>
          <t>NO</t>
        </is>
      </c>
      <c r="K1094" s="188" t="inlineStr">
        <is>
          <t>https://nvd.nist.gov/vuln/detail/CVE-2026-26024</t>
        </is>
      </c>
      <c r="L1094" s="188" t="inlineStr">
        <is>
          <t>2026-02-26 00:15</t>
        </is>
      </c>
      <c r="M1094" s="188" t="inlineStr">
        <is>
          <t>YES</t>
        </is>
      </c>
      <c r="N1094" s="188" t="inlineStr">
        <is>
          <t>https://github.com/free5gc/free5gc/security/advisories/GHSA-mrv4-m9wc-c4g9</t>
        </is>
      </c>
      <c r="O1094" s="188" t="inlineStr">
        <is>
          <t>Apply vendor patches</t>
        </is>
      </c>
      <c r="P1094" s="188" t="inlineStr">
        <is>
          <t>free5gc smf *</t>
        </is>
      </c>
      <c r="Q1094" s="188" t="inlineStr">
        <is>
          <t>P3</t>
        </is>
      </c>
      <c r="R1094" s="188" t="inlineStr">
        <is>
          <t>🚨 URGENT: Apply vendor patches immediately | 🔒 Isolate affected systems if patch unavailable | 🛡️ Enable additional monitoring/IDS rules</t>
        </is>
      </c>
      <c r="S1094" s="188" t="inlineStr">
        <is>
          <t>CVE - IP enrichment n/a</t>
        </is>
      </c>
      <c r="T1094" s="188" t="n">
        <v>0</v>
      </c>
      <c r="U1094" s="188" t="n">
        <v>0</v>
      </c>
      <c r="V1094" s="188" t="inlineStr">
        <is>
          <t>T1499:Endpoint Denial of Service | T1190:Exploit Public-Facing Application | T1562:Impair Defenses</t>
        </is>
      </c>
      <c r="W1094" s="188" t="n">
        <v>1</v>
      </c>
      <c r="X1094" s="188" t="inlineStr">
        <is>
          <t>LOW (40%)</t>
        </is>
      </c>
      <c r="Y1094" s="188" t="inlineStr">
        <is>
          <t>UNLIKELY</t>
        </is>
      </c>
      <c r="Z1094" s="188" t="inlineStr">
        <is>
          <t>PATCH_AVAILABLE</t>
        </is>
      </c>
      <c r="AA1094" s="188" t="inlineStr">
        <is>
          <t>https://nvd.nist.gov/vuln/detail/CVE-2026-26024</t>
        </is>
      </c>
      <c r="AB1094" s="188" t="inlineStr">
        <is>
          <t>NONE</t>
        </is>
      </c>
      <c r="AC1094" s="188" t="n">
        <v>0</v>
      </c>
      <c r="AD1094" s="188" t="inlineStr"/>
    </row>
    <row r="1095">
      <c r="A1095" s="188" t="inlineStr">
        <is>
          <t>CVE</t>
        </is>
      </c>
      <c r="B1095" s="188" t="inlineStr">
        <is>
          <t>CVE-2026-26025</t>
        </is>
      </c>
      <c r="C1095" s="188" t="inlineStr">
        <is>
          <t>free5GC SMF provides Session Management Function for free5GC, an open-source project for 5th generation (5G) mobile core networks. In versions up to and including 1.4.1, SMF panics and terminates when processing a malformed PFCP SessionReportRequest on the PFCP (UDP/8805) interface. ￼No known upstream fix is available, but some workarounds are available. ACL/firewall the PFCP interface so only trusted UPF IPs can reach SMF (reduce spoofing/abuse surface); drop/inspect malformed PFCP SessionRepor</t>
        </is>
      </c>
      <c r="D1095" s="188" t="n">
        <v>7.5</v>
      </c>
      <c r="E1095" s="188" t="inlineStr">
        <is>
          <t>HIGH</t>
        </is>
      </c>
      <c r="F1095" s="188" t="n">
        <v>2</v>
      </c>
      <c r="G1095" s="188" t="n">
        <v>3</v>
      </c>
      <c r="H1095" s="188" t="inlineStr">
        <is>
          <t>HIGH</t>
        </is>
      </c>
      <c r="I1095" s="188" t="n">
        <v>13.5</v>
      </c>
      <c r="J1095" s="188" t="inlineStr">
        <is>
          <t>NO</t>
        </is>
      </c>
      <c r="K1095" s="188" t="inlineStr">
        <is>
          <t>https://nvd.nist.gov/vuln/detail/CVE-2026-26025</t>
        </is>
      </c>
      <c r="L1095" s="188" t="inlineStr">
        <is>
          <t>2026-02-26 00:15</t>
        </is>
      </c>
      <c r="M1095" s="188" t="inlineStr">
        <is>
          <t>YES</t>
        </is>
      </c>
      <c r="N1095" s="188" t="inlineStr">
        <is>
          <t>https://github.com/free5gc/free5gc/security/advisories/GHSA-vw8r-p7h3-g3xh</t>
        </is>
      </c>
      <c r="O1095" s="188" t="inlineStr">
        <is>
          <t>Apply vendor patches</t>
        </is>
      </c>
      <c r="P1095" s="188" t="inlineStr">
        <is>
          <t>free5gc smf *</t>
        </is>
      </c>
      <c r="Q1095" s="188" t="inlineStr">
        <is>
          <t>P3</t>
        </is>
      </c>
      <c r="R1095" s="188" t="inlineStr">
        <is>
          <t>🚨 URGENT: Apply vendor patches immediately | 🔒 Isolate affected systems if patch unavailable | 🛡️ Enable additional monitoring/IDS rules</t>
        </is>
      </c>
      <c r="S1095" s="188" t="inlineStr">
        <is>
          <t>CVE - IP enrichment n/a</t>
        </is>
      </c>
      <c r="T1095" s="188" t="n">
        <v>0</v>
      </c>
      <c r="U1095" s="188" t="n">
        <v>0</v>
      </c>
      <c r="V1095" s="188" t="inlineStr">
        <is>
          <t>T1499:Endpoint Denial of Service | T1190:Exploit Public-Facing Application | T1562:Impair Defenses</t>
        </is>
      </c>
      <c r="W1095" s="188" t="n">
        <v>1</v>
      </c>
      <c r="X1095" s="188" t="inlineStr">
        <is>
          <t>LOW (40%)</t>
        </is>
      </c>
      <c r="Y1095" s="188" t="inlineStr">
        <is>
          <t>UNLIKELY</t>
        </is>
      </c>
      <c r="Z1095" s="188" t="inlineStr">
        <is>
          <t>PATCH_AVAILABLE</t>
        </is>
      </c>
      <c r="AA1095" s="188" t="inlineStr">
        <is>
          <t>https://nvd.nist.gov/vuln/detail/CVE-2026-26025</t>
        </is>
      </c>
      <c r="AB1095" s="188" t="inlineStr">
        <is>
          <t>NONE</t>
        </is>
      </c>
      <c r="AC1095" s="188" t="n">
        <v>0</v>
      </c>
      <c r="AD1095" s="188" t="inlineStr"/>
    </row>
    <row r="1096">
      <c r="A1096" s="188" t="inlineStr">
        <is>
          <t>CVE</t>
        </is>
      </c>
      <c r="B1096" s="188" t="inlineStr">
        <is>
          <t>CVE-2026-27642</t>
        </is>
      </c>
      <c r="C1096" s="188" t="inlineStr">
        <is>
          <t>free5gc UDM provides Unified Data Management (UDM) for free5GC, an open-source project for 5th generation (5G) mobile core networks. In versions up to and including 1.4.1, remote attackers can inject control characters (e.g., %00) into the supi parameter, triggering internal URL parsing errors (net/url: invalid control character). This exposes system-level error details and can be used for service fingerprinting. All deployments of free5GC using the UDM Nudm_UEAU service may be affected. free5gc</t>
        </is>
      </c>
      <c r="D1096" s="188" t="n">
        <v>7.5</v>
      </c>
      <c r="E1096" s="188" t="inlineStr">
        <is>
          <t>HIGH</t>
        </is>
      </c>
      <c r="F1096" s="188" t="n">
        <v>2</v>
      </c>
      <c r="G1096" s="188" t="n">
        <v>3</v>
      </c>
      <c r="H1096" s="188" t="inlineStr">
        <is>
          <t>HIGH</t>
        </is>
      </c>
      <c r="I1096" s="188" t="n">
        <v>13.5</v>
      </c>
      <c r="J1096" s="188" t="inlineStr">
        <is>
          <t>NO</t>
        </is>
      </c>
      <c r="K1096" s="188" t="inlineStr">
        <is>
          <t>https://nvd.nist.gov/vuln/detail/CVE-2026-27642</t>
        </is>
      </c>
      <c r="L1096" s="188" t="inlineStr">
        <is>
          <t>2026-02-26 00:15</t>
        </is>
      </c>
      <c r="M1096" s="188" t="inlineStr">
        <is>
          <t>YES</t>
        </is>
      </c>
      <c r="N1096" s="188" t="inlineStr">
        <is>
          <t>https://github.com/free5gc/free5gc/issues/749 | https://github.com/free5gc/free5gc/security/advisories/GHSA-h4wg-rp7m-8xx4 | https://github.com/free5gc/udm/commit/a7af2321ddea6368c43835f90f6d1b9d67dd2ea1</t>
        </is>
      </c>
      <c r="O1096" s="188" t="inlineStr">
        <is>
          <t>Apply vendor patches</t>
        </is>
      </c>
      <c r="P1096" s="188" t="inlineStr">
        <is>
          <t>free5gc udm *</t>
        </is>
      </c>
      <c r="Q1096" s="188" t="inlineStr">
        <is>
          <t>P3</t>
        </is>
      </c>
      <c r="R1096" s="188" t="inlineStr">
        <is>
          <t>🚨 URGENT: Apply vendor patches immediately | 🔒 Isolate affected systems if patch unavailable | 🛡️ Enable additional monitoring/IDS rules</t>
        </is>
      </c>
      <c r="S1096" s="188" t="inlineStr">
        <is>
          <t>CVE - IP enrichment n/a</t>
        </is>
      </c>
      <c r="T1096" s="188" t="n">
        <v>0</v>
      </c>
      <c r="U1096" s="188" t="n">
        <v>0</v>
      </c>
      <c r="V1096" s="188" t="inlineStr">
        <is>
          <t>T1190:Exploit Public-Facing Application</t>
        </is>
      </c>
      <c r="W1096" s="188" t="n">
        <v>1</v>
      </c>
      <c r="X1096" s="188" t="inlineStr">
        <is>
          <t>LOW (40%)</t>
        </is>
      </c>
      <c r="Y1096" s="188" t="inlineStr">
        <is>
          <t>UNLIKELY</t>
        </is>
      </c>
      <c r="Z1096" s="188" t="inlineStr">
        <is>
          <t>PATCH_AVAILABLE</t>
        </is>
      </c>
      <c r="AA1096" s="188" t="inlineStr">
        <is>
          <t>https://nvd.nist.gov/vuln/detail/CVE-2026-27642</t>
        </is>
      </c>
      <c r="AB1096" s="188" t="inlineStr">
        <is>
          <t>NONE</t>
        </is>
      </c>
      <c r="AC1096" s="188" t="n">
        <v>0</v>
      </c>
      <c r="AD1096" s="188" t="inlineStr"/>
    </row>
    <row r="1097">
      <c r="A1097" s="187" t="inlineStr">
        <is>
          <t>CVE</t>
        </is>
      </c>
      <c r="B1097" s="187" t="inlineStr">
        <is>
          <t>CVE-2026-27643</t>
        </is>
      </c>
      <c r="C1097" s="187" t="inlineStr">
        <is>
          <t>free5GC UDR is the user data repository (UDR) for free5GC, an an open-source project for 5th generation (5G) mobile core networks. In versions up to and including 1.4.1, the NEF component reliably leaks internal parsing error details (e.g., invalid character 'n' after top-level value) to remote clients, which can aid attackers in service fingerprinting. All deployments of free5GC  using the Nnef_PfdManagement service may be affected. free5gc/udr pull request 56 contains a patch for the issue. Th</t>
        </is>
      </c>
      <c r="D1097" s="187" t="n">
        <v>5.3</v>
      </c>
      <c r="E1097" s="187" t="inlineStr">
        <is>
          <t>MEDIUM</t>
        </is>
      </c>
      <c r="F1097" s="187" t="n">
        <v>2</v>
      </c>
      <c r="G1097" s="187" t="n">
        <v>2</v>
      </c>
      <c r="H1097" s="187" t="inlineStr">
        <is>
          <t>MEDIUM</t>
        </is>
      </c>
      <c r="I1097" s="187" t="n">
        <v>9.300000000000001</v>
      </c>
      <c r="J1097" s="187" t="inlineStr">
        <is>
          <t>NO</t>
        </is>
      </c>
      <c r="K1097" s="187" t="inlineStr">
        <is>
          <t>https://nvd.nist.gov/vuln/detail/CVE-2026-27643</t>
        </is>
      </c>
      <c r="L1097" s="187" t="inlineStr">
        <is>
          <t>2026-02-26 00:15</t>
        </is>
      </c>
      <c r="M1097" s="187" t="inlineStr">
        <is>
          <t>YES</t>
        </is>
      </c>
      <c r="N1097" s="187" t="inlineStr">
        <is>
          <t>https://github.com/free5gc/free5gc/issues/753 | https://github.com/free5gc/free5gc/security/advisories/GHSA-6468-f87j-6g82 | https://github.com/free5gc/udr/commit/754d23b03755ad59077ed529ce3b971e477080c4</t>
        </is>
      </c>
      <c r="O1097" s="187" t="inlineStr">
        <is>
          <t>Apply vendor patches</t>
        </is>
      </c>
      <c r="P1097" s="187" t="inlineStr">
        <is>
          <t>free5gc udr *</t>
        </is>
      </c>
      <c r="Q1097" s="187" t="inlineStr">
        <is>
          <t>P4</t>
        </is>
      </c>
      <c r="R1097" s="187" t="inlineStr">
        <is>
          <t>📅 Schedule patch deployment within 30 days | 🔍 Monitor for exploitation attempts</t>
        </is>
      </c>
      <c r="S1097" s="187" t="inlineStr">
        <is>
          <t>CVE - IP enrichment n/a</t>
        </is>
      </c>
      <c r="T1097" s="187" t="n">
        <v>0</v>
      </c>
      <c r="U1097" s="187" t="n">
        <v>0</v>
      </c>
      <c r="V1097" s="187" t="inlineStr">
        <is>
          <t>T1190:Exploit Public-Facing Application</t>
        </is>
      </c>
      <c r="W1097" s="187" t="n">
        <v>1</v>
      </c>
      <c r="X1097" s="187" t="inlineStr">
        <is>
          <t>LOW (40%)</t>
        </is>
      </c>
      <c r="Y1097" s="187" t="inlineStr">
        <is>
          <t>UNLIKELY</t>
        </is>
      </c>
      <c r="Z1097" s="187" t="inlineStr">
        <is>
          <t>PATCH_AVAILABLE</t>
        </is>
      </c>
      <c r="AA1097" s="187" t="inlineStr">
        <is>
          <t>https://nvd.nist.gov/vuln/detail/CVE-2026-27643</t>
        </is>
      </c>
      <c r="AB1097" s="187" t="inlineStr">
        <is>
          <t>NONE</t>
        </is>
      </c>
      <c r="AC1097" s="187" t="n">
        <v>0</v>
      </c>
      <c r="AD1097" s="187" t="inlineStr"/>
    </row>
    <row r="1098">
      <c r="A1098" s="187" t="inlineStr">
        <is>
          <t>CVE</t>
        </is>
      </c>
      <c r="B1098" s="187" t="inlineStr">
        <is>
          <t>CVE-2026-27729</t>
        </is>
      </c>
      <c r="C1098" s="187" t="inlineStr">
        <is>
          <t>Astro is a web framework. In versions 9.0.0 through 9.5.3, Astro server actions have no default request body size limit, which can lead to memory exhaustion DoS. A single large POST to a valid action endpoint can crash the server process on memory-constrained deployments. On-demand rendered sites built with Astro can define server actions, which automatically parse incoming request bodies (JSON or FormData). The body is buffered entirely into memory with no size limit — a single oversized reques</t>
        </is>
      </c>
      <c r="D1098" s="187" t="n">
        <v>5.9</v>
      </c>
      <c r="E1098" s="187" t="inlineStr">
        <is>
          <t>MEDIUM</t>
        </is>
      </c>
      <c r="F1098" s="187" t="n">
        <v>2</v>
      </c>
      <c r="G1098" s="187" t="n">
        <v>2</v>
      </c>
      <c r="H1098" s="187" t="inlineStr">
        <is>
          <t>MEDIUM</t>
        </is>
      </c>
      <c r="I1098" s="187" t="n">
        <v>9.9</v>
      </c>
      <c r="J1098" s="187" t="inlineStr">
        <is>
          <t>NO</t>
        </is>
      </c>
      <c r="K1098" s="187" t="inlineStr">
        <is>
          <t>https://nvd.nist.gov/vuln/detail/CVE-2026-27729</t>
        </is>
      </c>
      <c r="L1098" s="187" t="inlineStr">
        <is>
          <t>2026-02-26 00:15</t>
        </is>
      </c>
      <c r="M1098" s="187" t="inlineStr">
        <is>
          <t>YES</t>
        </is>
      </c>
      <c r="N1098" s="187" t="inlineStr">
        <is>
          <t>https://github.com/withastro/astro/commit/522f880b07a4ea7d69a19b5507fb53a5ed6c87f8</t>
        </is>
      </c>
      <c r="O1098" s="187" t="inlineStr">
        <is>
          <t>Apply vendor patches</t>
        </is>
      </c>
      <c r="P1098" s="187" t="inlineStr">
        <is>
          <t>astro \@astrojs\/node *</t>
        </is>
      </c>
      <c r="Q1098" s="187" t="inlineStr">
        <is>
          <t>P4</t>
        </is>
      </c>
      <c r="R1098" s="187" t="inlineStr">
        <is>
          <t>📅 Schedule patch deployment within 30 days | 🔍 Monitor for exploitation attempts</t>
        </is>
      </c>
      <c r="S1098" s="187" t="inlineStr">
        <is>
          <t>CVE - IP enrichment n/a</t>
        </is>
      </c>
      <c r="T1098" s="187" t="n">
        <v>0</v>
      </c>
      <c r="U1098" s="187" t="n">
        <v>0</v>
      </c>
      <c r="V1098" s="187" t="inlineStr">
        <is>
          <t>T1499:Endpoint Denial of Service</t>
        </is>
      </c>
      <c r="W1098" s="187" t="n">
        <v>1</v>
      </c>
      <c r="X1098" s="187" t="inlineStr">
        <is>
          <t>LOW (40%)</t>
        </is>
      </c>
      <c r="Y1098" s="187" t="inlineStr">
        <is>
          <t>UNLIKELY</t>
        </is>
      </c>
      <c r="Z1098" s="187" t="inlineStr">
        <is>
          <t>PATCH_AVAILABLE</t>
        </is>
      </c>
      <c r="AA1098" s="187" t="inlineStr">
        <is>
          <t>https://nvd.nist.gov/vuln/detail/CVE-2026-27729</t>
        </is>
      </c>
      <c r="AB1098" s="187" t="inlineStr">
        <is>
          <t>NONE</t>
        </is>
      </c>
      <c r="AC1098" s="187" t="n">
        <v>0</v>
      </c>
      <c r="AD1098" s="187" t="inlineStr"/>
    </row>
    <row r="1099">
      <c r="A1099" s="188" t="inlineStr">
        <is>
          <t>CVE</t>
        </is>
      </c>
      <c r="B1099" s="188" t="inlineStr">
        <is>
          <t>CVE-2026-3046</t>
        </is>
      </c>
      <c r="C1099" s="188" t="inlineStr">
        <is>
          <t>A security vulnerability has been detected in itsourcecode E-Logbook with Health Monitoring System for COVID-19 1.0. This vulnerability affects unknown code of the file /check_profile_old.php. The manipulation of the argument profile_id leads to sql injection. Remote exploitation of the attack is possible. The exploit has been disclosed publicly and may be used.</t>
        </is>
      </c>
      <c r="D1099" s="188" t="n">
        <v>7.3</v>
      </c>
      <c r="E1099" s="188" t="inlineStr">
        <is>
          <t>HIGH</t>
        </is>
      </c>
      <c r="F1099" s="188" t="n">
        <v>2</v>
      </c>
      <c r="G1099" s="188" t="n">
        <v>3</v>
      </c>
      <c r="H1099" s="188" t="inlineStr">
        <is>
          <t>HIGH</t>
        </is>
      </c>
      <c r="I1099" s="188" t="n">
        <v>13.3</v>
      </c>
      <c r="J1099" s="188" t="inlineStr">
        <is>
          <t>NO</t>
        </is>
      </c>
      <c r="K1099" s="188" t="inlineStr">
        <is>
          <t>https://nvd.nist.gov/vuln/detail/CVE-2026-3046</t>
        </is>
      </c>
      <c r="L1099" s="188" t="inlineStr">
        <is>
          <t>2026-02-26 00:15</t>
        </is>
      </c>
      <c r="M1099" s="188" t="inlineStr">
        <is>
          <t>YES</t>
        </is>
      </c>
      <c r="N1099" s="188" t="inlineStr">
        <is>
          <t>https://github.com/ltranquility/cve_submit/issues/3</t>
        </is>
      </c>
      <c r="O1099" s="188" t="inlineStr">
        <is>
          <t>https://github.com/ltranquility/cve_submit/issues/3</t>
        </is>
      </c>
      <c r="P1099" s="188" t="inlineStr">
        <is>
          <t>emiloi e-logbook_with_health_monitoring_system_for_covid-19 1.0</t>
        </is>
      </c>
      <c r="Q1099" s="188" t="inlineStr">
        <is>
          <t>P3</t>
        </is>
      </c>
      <c r="R1099" s="188" t="inlineStr">
        <is>
          <t>🚨 URGENT: Apply vendor patches immediately | 🔒 Isolate affected systems if patch unavailable | 🛡️ Enable additional monitoring/IDS rules</t>
        </is>
      </c>
      <c r="S1099" s="188" t="inlineStr">
        <is>
          <t>CVE - IP enrichment n/a</t>
        </is>
      </c>
      <c r="T1099" s="188" t="n">
        <v>0</v>
      </c>
      <c r="U1099" s="188" t="n">
        <v>0</v>
      </c>
      <c r="V1099" s="188" t="inlineStr">
        <is>
          <t>T1190:Exploit Public-Facing Application</t>
        </is>
      </c>
      <c r="W1099" s="188" t="n">
        <v>1</v>
      </c>
      <c r="X1099" s="188" t="inlineStr">
        <is>
          <t>LOW (40%)</t>
        </is>
      </c>
      <c r="Y1099" s="188" t="inlineStr">
        <is>
          <t>UNLIKELY</t>
        </is>
      </c>
      <c r="Z1099" s="188" t="inlineStr">
        <is>
          <t>PATCH_AVAILABLE</t>
        </is>
      </c>
      <c r="AA1099" s="188" t="inlineStr">
        <is>
          <t>https://nvd.nist.gov/vuln/detail/CVE-2026-3046</t>
        </is>
      </c>
      <c r="AB1099" s="188" t="inlineStr">
        <is>
          <t>NONE</t>
        </is>
      </c>
      <c r="AC1099" s="188" t="n">
        <v>0</v>
      </c>
      <c r="AD1099" s="188" t="inlineStr"/>
    </row>
    <row r="1100">
      <c r="A1100" s="187" t="inlineStr">
        <is>
          <t>CVE</t>
        </is>
      </c>
      <c r="B1100" s="187" t="inlineStr">
        <is>
          <t>CVE-2026-3049</t>
        </is>
      </c>
      <c r="C1100" s="187" t="inlineStr">
        <is>
          <t xml:space="preserve">A vulnerability was detected in horilla-opensource horilla up to 1.0.2. This issue affects the function get of the file horilla_generics/global_search.py of the component Query Parameter Handler. The manipulation of the argument prev_url results in open redirect. The attack can be executed remotely. The exploit is now public and may be used. Upgrading to version 1.0.3 is capable of addressing this issue. The patch is identified as 730b5a44ff060916780c44a4bdbc8ced70a2cd27. The affected component </t>
        </is>
      </c>
      <c r="D1100" s="187" t="n">
        <v>4.3</v>
      </c>
      <c r="E1100" s="187" t="inlineStr">
        <is>
          <t>MEDIUM</t>
        </is>
      </c>
      <c r="F1100" s="187" t="n">
        <v>2</v>
      </c>
      <c r="G1100" s="187" t="n">
        <v>2</v>
      </c>
      <c r="H1100" s="187" t="inlineStr">
        <is>
          <t>MEDIUM</t>
        </is>
      </c>
      <c r="I1100" s="187" t="n">
        <v>8.300000000000001</v>
      </c>
      <c r="J1100" s="187" t="inlineStr">
        <is>
          <t>NO</t>
        </is>
      </c>
      <c r="K1100" s="187" t="inlineStr">
        <is>
          <t>https://nvd.nist.gov/vuln/detail/CVE-2026-3049</t>
        </is>
      </c>
      <c r="L1100" s="187" t="inlineStr">
        <is>
          <t>2026-02-26 00:15</t>
        </is>
      </c>
      <c r="M1100" s="187" t="inlineStr">
        <is>
          <t>YES</t>
        </is>
      </c>
      <c r="N1100" s="187" t="inlineStr">
        <is>
          <t>https://github.com/horilla-opensource/horilla-crm/commit/730b5a44ff060916780c44a4bdbc8ced70a2cd27</t>
        </is>
      </c>
      <c r="O1100" s="187" t="inlineStr">
        <is>
          <t>Apply vendor patches</t>
        </is>
      </c>
      <c r="P1100" s="187" t="inlineStr">
        <is>
          <t>horilla horilla *</t>
        </is>
      </c>
      <c r="Q1100" s="187" t="inlineStr">
        <is>
          <t>P4</t>
        </is>
      </c>
      <c r="R1100" s="187" t="inlineStr">
        <is>
          <t>📅 Schedule patch deployment within 30 days | 🔍 Monitor for exploitation attempts</t>
        </is>
      </c>
      <c r="S1100" s="187" t="inlineStr">
        <is>
          <t>CVE - IP enrichment n/a</t>
        </is>
      </c>
      <c r="T1100" s="187" t="n">
        <v>0</v>
      </c>
      <c r="U1100" s="187" t="n">
        <v>0</v>
      </c>
      <c r="V1100" s="187" t="inlineStr">
        <is>
          <t>T1189:Drive-by Compromise | T1190:Exploit Public-Facing Application</t>
        </is>
      </c>
      <c r="W1100" s="187" t="n">
        <v>1</v>
      </c>
      <c r="X1100" s="187" t="inlineStr">
        <is>
          <t>LOW (40%)</t>
        </is>
      </c>
      <c r="Y1100" s="187" t="inlineStr">
        <is>
          <t>UNLIKELY</t>
        </is>
      </c>
      <c r="Z1100" s="187" t="inlineStr">
        <is>
          <t>PATCH_AVAILABLE</t>
        </is>
      </c>
      <c r="AA1100" s="187" t="inlineStr">
        <is>
          <t>https://nvd.nist.gov/vuln/detail/CVE-2026-3049</t>
        </is>
      </c>
      <c r="AB1100" s="187" t="inlineStr">
        <is>
          <t>NONE</t>
        </is>
      </c>
      <c r="AC1100" s="187" t="n">
        <v>0</v>
      </c>
      <c r="AD1100" s="187" t="inlineStr"/>
    </row>
    <row r="1101">
      <c r="A1101" s="190" t="inlineStr">
        <is>
          <t>CVE</t>
        </is>
      </c>
      <c r="B1101" s="190" t="inlineStr">
        <is>
          <t>CVE-2026-3050</t>
        </is>
      </c>
      <c r="C1101" s="190" t="inlineStr">
        <is>
          <t>A flaw has been found in horilla-opensource horilla up to 1.0.2. Impacted is an unknown function of the file static/assets/js/global.js of the component Leads Module. This manipulation of the argument Notes causes cross site scripting. The attack is possible to be carried out remotely. The exploit has been published and may be used. Upgrading to version 1.0.3 is recommended to address this issue. Patch name: fc5c8e55988e89273012491b5f097b762b474546. It is suggested to upgrade the affected compon</t>
        </is>
      </c>
      <c r="D1101" s="190" t="n">
        <v>3.5</v>
      </c>
      <c r="E1101" s="190" t="inlineStr">
        <is>
          <t>LOW</t>
        </is>
      </c>
      <c r="F1101" s="190" t="n">
        <v>2</v>
      </c>
      <c r="G1101" s="190" t="n">
        <v>1</v>
      </c>
      <c r="H1101" s="190" t="inlineStr">
        <is>
          <t>LOW</t>
        </is>
      </c>
      <c r="I1101" s="190" t="n">
        <v>5.5</v>
      </c>
      <c r="J1101" s="190" t="inlineStr">
        <is>
          <t>NO</t>
        </is>
      </c>
      <c r="K1101" s="190" t="inlineStr">
        <is>
          <t>https://nvd.nist.gov/vuln/detail/CVE-2026-3050</t>
        </is>
      </c>
      <c r="L1101" s="190" t="inlineStr">
        <is>
          <t>2026-02-26 00:15</t>
        </is>
      </c>
      <c r="M1101" s="190" t="inlineStr">
        <is>
          <t>YES</t>
        </is>
      </c>
      <c r="N1101" s="190" t="inlineStr">
        <is>
          <t>https://github.com/Horilla-opensource/Horilla-crm/commit/fc5c8e55988e89273012491b5f097b762b474546</t>
        </is>
      </c>
      <c r="O1101" s="190" t="inlineStr">
        <is>
          <t>Apply vendor patches</t>
        </is>
      </c>
      <c r="P1101" s="190" t="inlineStr">
        <is>
          <t>horilla horilla *</t>
        </is>
      </c>
      <c r="Q1101" s="190" t="inlineStr">
        <is>
          <t>P4</t>
        </is>
      </c>
      <c r="R1101" s="190" t="inlineStr">
        <is>
          <t>📅 Schedule patch deployment within 30 days | 🔍 Monitor for exploitation attempts</t>
        </is>
      </c>
      <c r="S1101" s="190" t="inlineStr">
        <is>
          <t>CVE - IP enrichment n/a</t>
        </is>
      </c>
      <c r="T1101" s="190" t="n">
        <v>0</v>
      </c>
      <c r="U1101" s="190" t="n">
        <v>0</v>
      </c>
      <c r="V1101" s="190" t="inlineStr">
        <is>
          <t>T1189:Drive-by Compromise | T1190:Exploit Public-Facing Application</t>
        </is>
      </c>
      <c r="W1101" s="190" t="n">
        <v>1</v>
      </c>
      <c r="X1101" s="190" t="inlineStr">
        <is>
          <t>LOW (40%)</t>
        </is>
      </c>
      <c r="Y1101" s="190" t="inlineStr">
        <is>
          <t>UNLIKELY</t>
        </is>
      </c>
      <c r="Z1101" s="190" t="inlineStr">
        <is>
          <t>PATCH_AVAILABLE</t>
        </is>
      </c>
      <c r="AA1101" s="190" t="inlineStr">
        <is>
          <t>https://nvd.nist.gov/vuln/detail/CVE-2026-3050</t>
        </is>
      </c>
      <c r="AB1101" s="190" t="inlineStr">
        <is>
          <t>NONE</t>
        </is>
      </c>
      <c r="AC1101" s="190" t="n">
        <v>0</v>
      </c>
      <c r="AD1101" s="190" t="inlineStr"/>
    </row>
    <row r="1102">
      <c r="A1102" s="187" t="inlineStr">
        <is>
          <t>CVE</t>
        </is>
      </c>
      <c r="B1102" s="187" t="inlineStr">
        <is>
          <t>CVE-2026-3051</t>
        </is>
      </c>
      <c r="C1102" s="187" t="inlineStr">
        <is>
          <t>A vulnerability has been found in DataLinkDC dinky up to 1.2.5. The affected element is the function getProjectDir of the file dinky-admin/src/main/java/org/dinky/utils/GitRepository.java of the component Project Name Handler. Such manipulation of the argument projectName leads to path traversal. The attack may be performed from remote. The exploit has been disclosed to the public and may be used. The vendor was contacted early about this disclosure but did not respond in any way.</t>
        </is>
      </c>
      <c r="D1102" s="187" t="n">
        <v>6.3</v>
      </c>
      <c r="E1102" s="187" t="inlineStr">
        <is>
          <t>MEDIUM</t>
        </is>
      </c>
      <c r="F1102" s="187" t="n">
        <v>2</v>
      </c>
      <c r="G1102" s="187" t="n">
        <v>2</v>
      </c>
      <c r="H1102" s="187" t="inlineStr">
        <is>
          <t>MEDIUM</t>
        </is>
      </c>
      <c r="I1102" s="187" t="n">
        <v>10.3</v>
      </c>
      <c r="J1102" s="187" t="inlineStr">
        <is>
          <t>NO</t>
        </is>
      </c>
      <c r="K1102" s="187" t="inlineStr">
        <is>
          <t>https://nvd.nist.gov/vuln/detail/CVE-2026-3051</t>
        </is>
      </c>
      <c r="L1102" s="187" t="inlineStr">
        <is>
          <t>2026-02-26 00:15</t>
        </is>
      </c>
      <c r="M1102" s="187" t="inlineStr">
        <is>
          <t>CHECK_VENDOR</t>
        </is>
      </c>
      <c r="N1102" s="187" t="inlineStr">
        <is>
          <t>See NVD references</t>
        </is>
      </c>
      <c r="O1102" s="187" t="inlineStr">
        <is>
          <t>Apply vendor patches</t>
        </is>
      </c>
      <c r="P1102" s="187" t="inlineStr">
        <is>
          <t>dinky dinky *</t>
        </is>
      </c>
      <c r="Q1102" s="187" t="inlineStr">
        <is>
          <t>P4</t>
        </is>
      </c>
      <c r="R1102" s="187" t="inlineStr">
        <is>
          <t>📅 Schedule patch deployment within 30 days | 🔍 Monitor for exploitation attempts</t>
        </is>
      </c>
      <c r="S1102" s="187" t="inlineStr">
        <is>
          <t>CVE - IP enrichment n/a</t>
        </is>
      </c>
      <c r="T1102" s="187" t="n">
        <v>0</v>
      </c>
      <c r="U1102" s="187" t="n">
        <v>0</v>
      </c>
      <c r="V1102" s="187" t="inlineStr">
        <is>
          <t>T1083:File and Directory Discovery</t>
        </is>
      </c>
      <c r="W1102" s="187" t="n">
        <v>1</v>
      </c>
      <c r="X1102" s="187" t="inlineStr">
        <is>
          <t>LOW (40%)</t>
        </is>
      </c>
      <c r="Y1102" s="187" t="inlineStr">
        <is>
          <t>UNLIKELY</t>
        </is>
      </c>
      <c r="Z1102" s="187" t="inlineStr">
        <is>
          <t>CHECK_VENDOR</t>
        </is>
      </c>
      <c r="AA1102" s="187" t="inlineStr">
        <is>
          <t>https://nvd.nist.gov/vuln/detail/CVE-2026-3051</t>
        </is>
      </c>
      <c r="AB1102" s="187" t="inlineStr">
        <is>
          <t>NONE</t>
        </is>
      </c>
      <c r="AC1102" s="187" t="n">
        <v>0</v>
      </c>
      <c r="AD1102" s="187" t="inlineStr"/>
    </row>
    <row r="1103">
      <c r="A1103" s="187" t="inlineStr">
        <is>
          <t>CVE</t>
        </is>
      </c>
      <c r="B1103" s="187" t="inlineStr">
        <is>
          <t>CVE-2025-11845</t>
        </is>
      </c>
      <c r="C1103" s="187" t="inlineStr">
        <is>
          <t>A null pointer dereference vulnerability in the certificate downloader CGI program of the Zyxel VMG3625-T50B firmware versions through 5.50(ABPM.9.6)C0 and the Zyxel WX3100-T0 firmware versions through 5.50(ABVL.4.8)C0 could allow an authenticated attacker with administrator privileges to trigger a denial-of-service (DoS) condition by sending a crafted HTTP request.</t>
        </is>
      </c>
      <c r="D1103" s="187" t="n">
        <v>4.9</v>
      </c>
      <c r="E1103" s="187" t="inlineStr">
        <is>
          <t>MEDIUM</t>
        </is>
      </c>
      <c r="F1103" s="187" t="n">
        <v>2</v>
      </c>
      <c r="G1103" s="187" t="n">
        <v>2</v>
      </c>
      <c r="H1103" s="187" t="inlineStr">
        <is>
          <t>MEDIUM</t>
        </is>
      </c>
      <c r="I1103" s="187" t="n">
        <v>8.9</v>
      </c>
      <c r="J1103" s="187" t="inlineStr">
        <is>
          <t>NO</t>
        </is>
      </c>
      <c r="K1103" s="187" t="inlineStr">
        <is>
          <t>https://nvd.nist.gov/vuln/detail/CVE-2025-11845</t>
        </is>
      </c>
      <c r="L1103" s="187" t="inlineStr">
        <is>
          <t>2026-02-26 00:15</t>
        </is>
      </c>
      <c r="M1103" s="187" t="inlineStr">
        <is>
          <t>YES</t>
        </is>
      </c>
      <c r="N1103" s="187" t="inlineStr">
        <is>
          <t>https://www.zyxel.com/global/en/support/security-advisories/zyxel-security-advisory-for-null-pointer-dereference-and-command-injection-vulnerabilities-in-certain-4g-lte-5g-nr-cpe-dsl-ethernet-cpe-fiber-onts-security-routers-and-wireless-extenders-02-24-2026</t>
        </is>
      </c>
      <c r="O1103" s="187" t="inlineStr">
        <is>
          <t>Apply vendor patches</t>
        </is>
      </c>
      <c r="P1103" s="187" t="inlineStr">
        <is>
          <t>zyxel nebula_fwa515_firmware * | zyxel vmg4005-b60a_firmware * | zyxel nebula_fwa710_firmware *</t>
        </is>
      </c>
      <c r="Q1103" s="187" t="inlineStr">
        <is>
          <t>P4</t>
        </is>
      </c>
      <c r="R1103" s="187" t="inlineStr">
        <is>
          <t>📅 Schedule patch deployment within 30 days | 🔍 Monitor for exploitation attempts</t>
        </is>
      </c>
      <c r="S1103" s="187" t="inlineStr">
        <is>
          <t>CVE - IP enrichment n/a</t>
        </is>
      </c>
      <c r="T1103" s="187" t="n">
        <v>0.0019</v>
      </c>
      <c r="U1103" s="187" t="n">
        <v>0.4071</v>
      </c>
      <c r="V1103" s="187" t="inlineStr">
        <is>
          <t>T1499:Endpoint Denial of Service</t>
        </is>
      </c>
      <c r="W1103" s="187" t="n">
        <v>1</v>
      </c>
      <c r="X1103" s="187" t="inlineStr">
        <is>
          <t>LOW (40%)</t>
        </is>
      </c>
      <c r="Y1103" s="187" t="inlineStr">
        <is>
          <t>UNLIKELY</t>
        </is>
      </c>
      <c r="Z1103" s="187" t="inlineStr">
        <is>
          <t>PATCH_AVAILABLE</t>
        </is>
      </c>
      <c r="AA1103" s="187" t="inlineStr">
        <is>
          <t>https://nvd.nist.gov/vuln/detail/CVE-2025-11845</t>
        </is>
      </c>
      <c r="AB1103" s="187" t="inlineStr">
        <is>
          <t>NONE</t>
        </is>
      </c>
      <c r="AC1103" s="187" t="n">
        <v>0</v>
      </c>
      <c r="AD1103" s="187" t="inlineStr"/>
    </row>
    <row r="1104">
      <c r="A1104" s="187" t="inlineStr">
        <is>
          <t>CVE</t>
        </is>
      </c>
      <c r="B1104" s="187" t="inlineStr">
        <is>
          <t>CVE-2025-11846</t>
        </is>
      </c>
      <c r="C1104" s="187" t="inlineStr">
        <is>
          <t>A null pointer dereference vulnerability in the account settings CGI program of the Zyxel VMG3625-T50B firmware versions through 5.50(ABPM.9.6)C0 and the Zyxel WX3100-T0 firmware versions through 5.50(ABVL.4.8)C0 could allow an authenticated attacker with administrator privileges to trigger a denial-of-service (DoS) condition by sending a crafted HTTP request.</t>
        </is>
      </c>
      <c r="D1104" s="187" t="n">
        <v>4.9</v>
      </c>
      <c r="E1104" s="187" t="inlineStr">
        <is>
          <t>MEDIUM</t>
        </is>
      </c>
      <c r="F1104" s="187" t="n">
        <v>2</v>
      </c>
      <c r="G1104" s="187" t="n">
        <v>2</v>
      </c>
      <c r="H1104" s="187" t="inlineStr">
        <is>
          <t>MEDIUM</t>
        </is>
      </c>
      <c r="I1104" s="187" t="n">
        <v>8.9</v>
      </c>
      <c r="J1104" s="187" t="inlineStr">
        <is>
          <t>NO</t>
        </is>
      </c>
      <c r="K1104" s="187" t="inlineStr">
        <is>
          <t>https://nvd.nist.gov/vuln/detail/CVE-2025-11846</t>
        </is>
      </c>
      <c r="L1104" s="187" t="inlineStr">
        <is>
          <t>2026-02-26 00:15</t>
        </is>
      </c>
      <c r="M1104" s="187" t="inlineStr">
        <is>
          <t>YES</t>
        </is>
      </c>
      <c r="N1104" s="187" t="inlineStr">
        <is>
          <t>https://www.zyxel.com/global/en/support/security-advisories/zyxel-security-advisory-for-null-pointer-dereference-and-command-injection-vulnerabilities-in-certain-4g-lte-5g-nr-cpe-dsl-ethernet-cpe-fiber-onts-security-routers-and-wireless-extenders-02-24-2026</t>
        </is>
      </c>
      <c r="O1104" s="187" t="inlineStr">
        <is>
          <t>Apply vendor patches</t>
        </is>
      </c>
      <c r="P1104" s="187" t="inlineStr">
        <is>
          <t>zyxel nebula_fwa515_firmware * | zyxel vmg4005-b60a_firmware * | zyxel nebula_fwa710_firmware *</t>
        </is>
      </c>
      <c r="Q1104" s="187" t="inlineStr">
        <is>
          <t>P4</t>
        </is>
      </c>
      <c r="R1104" s="187" t="inlineStr">
        <is>
          <t>📅 Schedule patch deployment within 30 days | 🔍 Monitor for exploitation attempts</t>
        </is>
      </c>
      <c r="S1104" s="187" t="inlineStr">
        <is>
          <t>CVE - IP enrichment n/a</t>
        </is>
      </c>
      <c r="T1104" s="187" t="n">
        <v>0</v>
      </c>
      <c r="U1104" s="187" t="n">
        <v>0</v>
      </c>
      <c r="V1104" s="187" t="inlineStr">
        <is>
          <t>T1499:Endpoint Denial of Service</t>
        </is>
      </c>
      <c r="W1104" s="187" t="n">
        <v>1</v>
      </c>
      <c r="X1104" s="187" t="inlineStr">
        <is>
          <t>LOW (40%)</t>
        </is>
      </c>
      <c r="Y1104" s="187" t="inlineStr">
        <is>
          <t>UNLIKELY</t>
        </is>
      </c>
      <c r="Z1104" s="187" t="inlineStr">
        <is>
          <t>PATCH_AVAILABLE</t>
        </is>
      </c>
      <c r="AA1104" s="187" t="inlineStr">
        <is>
          <t>https://nvd.nist.gov/vuln/detail/CVE-2025-11846</t>
        </is>
      </c>
      <c r="AB1104" s="187" t="inlineStr">
        <is>
          <t>NONE</t>
        </is>
      </c>
      <c r="AC1104" s="187" t="n">
        <v>0</v>
      </c>
      <c r="AD1104" s="187" t="inlineStr"/>
    </row>
    <row r="1105">
      <c r="A1105" s="187" t="inlineStr">
        <is>
          <t>CVE</t>
        </is>
      </c>
      <c r="B1105" s="187" t="inlineStr">
        <is>
          <t>CVE-2026-25897</t>
        </is>
      </c>
      <c r="C1105" s="187" t="inlineStr">
        <is>
          <t>ImageMagick is free and open-source software used for editing and manipulating digital images. Prior to versions 7.1.2-15 and 6.9.13-40, an Integer Overflow vulnerability exists in the sun decoder. On 32-bit systems/builds, a carefully crafted image can lead to an out of bounds heap write. Versions 7.1.2-15 and 6.9.13-40 contain a patch.</t>
        </is>
      </c>
      <c r="D1105" s="187" t="n">
        <v>6.5</v>
      </c>
      <c r="E1105" s="187" t="inlineStr">
        <is>
          <t>MEDIUM</t>
        </is>
      </c>
      <c r="F1105" s="187" t="n">
        <v>2</v>
      </c>
      <c r="G1105" s="187" t="n">
        <v>2</v>
      </c>
      <c r="H1105" s="187" t="inlineStr">
        <is>
          <t>MEDIUM</t>
        </is>
      </c>
      <c r="I1105" s="187" t="n">
        <v>10.5</v>
      </c>
      <c r="J1105" s="187" t="inlineStr">
        <is>
          <t>NO</t>
        </is>
      </c>
      <c r="K1105" s="187" t="inlineStr">
        <is>
          <t>https://nvd.nist.gov/vuln/detail/CVE-2026-25897</t>
        </is>
      </c>
      <c r="L1105" s="187" t="inlineStr">
        <is>
          <t>2026-02-26 00:15</t>
        </is>
      </c>
      <c r="M1105" s="187" t="inlineStr">
        <is>
          <t>YES</t>
        </is>
      </c>
      <c r="N1105" s="187" t="inlineStr">
        <is>
          <t>https://github.com/ImageMagick/ImageMagick/security/advisories/GHSA-6j5f-24fw-pqp4</t>
        </is>
      </c>
      <c r="O1105" s="187" t="inlineStr">
        <is>
          <t>Apply vendor patches</t>
        </is>
      </c>
      <c r="P1105" s="187" t="inlineStr">
        <is>
          <t>imagemagick imagemagick *</t>
        </is>
      </c>
      <c r="Q1105" s="187" t="inlineStr">
        <is>
          <t>P4</t>
        </is>
      </c>
      <c r="R1105" s="187" t="inlineStr">
        <is>
          <t>📅 Schedule patch deployment within 30 days | 🔍 Monitor for exploitation attempts</t>
        </is>
      </c>
      <c r="S1105" s="187" t="inlineStr">
        <is>
          <t>CVE - IP enrichment n/a</t>
        </is>
      </c>
      <c r="T1105" s="187" t="n">
        <v>0</v>
      </c>
      <c r="U1105" s="187" t="n">
        <v>0</v>
      </c>
      <c r="V1105" s="187" t="inlineStr">
        <is>
          <t>T1190:Exploit Public-Facing Application | T1203:Exploitation for Client Execution</t>
        </is>
      </c>
      <c r="W1105" s="187" t="n">
        <v>1</v>
      </c>
      <c r="X1105" s="187" t="inlineStr">
        <is>
          <t>LOW (40%)</t>
        </is>
      </c>
      <c r="Y1105" s="187" t="inlineStr">
        <is>
          <t>UNLIKELY</t>
        </is>
      </c>
      <c r="Z1105" s="187" t="inlineStr">
        <is>
          <t>PATCH_AVAILABLE</t>
        </is>
      </c>
      <c r="AA1105" s="187" t="inlineStr">
        <is>
          <t>https://nvd.nist.gov/vuln/detail/CVE-2026-25897</t>
        </is>
      </c>
      <c r="AB1105" s="187" t="inlineStr">
        <is>
          <t>NONE</t>
        </is>
      </c>
      <c r="AC1105" s="187" t="n">
        <v>0</v>
      </c>
      <c r="AD1105" s="187" t="inlineStr"/>
    </row>
    <row r="1106">
      <c r="A1106" s="187" t="inlineStr">
        <is>
          <t>CVE</t>
        </is>
      </c>
      <c r="B1106" s="187" t="inlineStr">
        <is>
          <t>CVE-2026-25898</t>
        </is>
      </c>
      <c r="C1106" s="187" t="inlineStr">
        <is>
          <t xml:space="preserve">ImageMagick is free and open-source software used for editing and manipulating digital images. Prior to versions 7.1.2-15 and 6.9.13-40, the UIL and XPM image encoder do not validate the pixel index value returned by `GetPixelIndex()` before using it as an array subscript. In HDRI builds, `Quantum` is a floating-point type, so pixel index values can be negative. An attacker can craft an image with negative pixel index values to trigger a global buffer overflow read during conversion, leading to </t>
        </is>
      </c>
      <c r="D1106" s="187" t="n">
        <v>6.5</v>
      </c>
      <c r="E1106" s="187" t="inlineStr">
        <is>
          <t>MEDIUM</t>
        </is>
      </c>
      <c r="F1106" s="187" t="n">
        <v>2</v>
      </c>
      <c r="G1106" s="187" t="n">
        <v>2</v>
      </c>
      <c r="H1106" s="187" t="inlineStr">
        <is>
          <t>MEDIUM</t>
        </is>
      </c>
      <c r="I1106" s="187" t="n">
        <v>10.5</v>
      </c>
      <c r="J1106" s="187" t="inlineStr">
        <is>
          <t>NO</t>
        </is>
      </c>
      <c r="K1106" s="187" t="inlineStr">
        <is>
          <t>https://nvd.nist.gov/vuln/detail/CVE-2026-25898</t>
        </is>
      </c>
      <c r="L1106" s="187" t="inlineStr">
        <is>
          <t>2026-02-26 00:15</t>
        </is>
      </c>
      <c r="M1106" s="187" t="inlineStr">
        <is>
          <t>CHECK_VENDOR</t>
        </is>
      </c>
      <c r="N1106" s="187" t="inlineStr">
        <is>
          <t>See NVD references</t>
        </is>
      </c>
      <c r="O1106" s="187" t="inlineStr">
        <is>
          <t>Apply vendor patches</t>
        </is>
      </c>
      <c r="P1106" s="187" t="inlineStr">
        <is>
          <t>imagemagick imagemagick *</t>
        </is>
      </c>
      <c r="Q1106" s="187" t="inlineStr">
        <is>
          <t>P4</t>
        </is>
      </c>
      <c r="R1106" s="187" t="inlineStr">
        <is>
          <t>📅 Schedule patch deployment within 30 days | 🔍 Monitor for exploitation attempts</t>
        </is>
      </c>
      <c r="S1106" s="187" t="inlineStr">
        <is>
          <t>CVE - IP enrichment n/a</t>
        </is>
      </c>
      <c r="T1106" s="187" t="n">
        <v>0</v>
      </c>
      <c r="U1106" s="187" t="n">
        <v>0</v>
      </c>
      <c r="V1106" s="187" t="inlineStr">
        <is>
          <t>T1203:Exploitation for Client Execution | T1190:Exploit Public-Facing Application | T1213:Data from Information Repositories</t>
        </is>
      </c>
      <c r="W1106" s="187" t="n">
        <v>1</v>
      </c>
      <c r="X1106" s="187" t="inlineStr">
        <is>
          <t>LOW (40%)</t>
        </is>
      </c>
      <c r="Y1106" s="187" t="inlineStr">
        <is>
          <t>UNLIKELY</t>
        </is>
      </c>
      <c r="Z1106" s="187" t="inlineStr">
        <is>
          <t>CHECK_VENDOR</t>
        </is>
      </c>
      <c r="AA1106" s="187" t="inlineStr">
        <is>
          <t>https://nvd.nist.gov/vuln/detail/CVE-2026-25898</t>
        </is>
      </c>
      <c r="AB1106" s="187" t="inlineStr">
        <is>
          <t>NONE</t>
        </is>
      </c>
      <c r="AC1106" s="187" t="n">
        <v>0</v>
      </c>
      <c r="AD1106" s="187" t="inlineStr"/>
    </row>
    <row r="1107">
      <c r="A1107" s="188" t="inlineStr">
        <is>
          <t>CVE</t>
        </is>
      </c>
      <c r="B1107" s="188" t="inlineStr">
        <is>
          <t>CVE-2026-25965</t>
        </is>
      </c>
      <c r="C1107" s="188" t="inlineStr">
        <is>
          <t>ImageMagick is free and open-source software used for editing and manipulating digital images. Prior to versions 7.1.2-15 and 6.9.13-40, ImageMagick’s path security policy is enforced on the raw filename string before the filesystem resolves it. As a result, a policy rule such as /etc/* can be bypassed by a path traversal. The OS resolves the traversal and opens the sensitive file, but the policy matcher only sees the unnormalized path and therefore allows the read. This enables local file discl</t>
        </is>
      </c>
      <c r="D1107" s="188" t="n">
        <v>8.6</v>
      </c>
      <c r="E1107" s="188" t="inlineStr">
        <is>
          <t>HIGH</t>
        </is>
      </c>
      <c r="F1107" s="188" t="n">
        <v>2</v>
      </c>
      <c r="G1107" s="188" t="n">
        <v>3</v>
      </c>
      <c r="H1107" s="188" t="inlineStr">
        <is>
          <t>HIGH</t>
        </is>
      </c>
      <c r="I1107" s="188" t="n">
        <v>14.6</v>
      </c>
      <c r="J1107" s="188" t="inlineStr">
        <is>
          <t>NO</t>
        </is>
      </c>
      <c r="K1107" s="188" t="inlineStr">
        <is>
          <t>https://nvd.nist.gov/vuln/detail/CVE-2026-25965</t>
        </is>
      </c>
      <c r="L1107" s="188" t="inlineStr">
        <is>
          <t>2026-02-26 00:15</t>
        </is>
      </c>
      <c r="M1107" s="188" t="inlineStr">
        <is>
          <t>CHECK_VENDOR</t>
        </is>
      </c>
      <c r="N1107" s="188" t="inlineStr">
        <is>
          <t>See NVD references</t>
        </is>
      </c>
      <c r="O1107" s="188" t="inlineStr">
        <is>
          <t>Apply vendor patches</t>
        </is>
      </c>
      <c r="P1107" s="188" t="inlineStr">
        <is>
          <t>imagemagick imagemagick *</t>
        </is>
      </c>
      <c r="Q1107" s="188" t="inlineStr">
        <is>
          <t>P1</t>
        </is>
      </c>
      <c r="R1107" s="188" t="inlineStr">
        <is>
          <t>🚨 URGENT: Apply vendor patches immediately | 🔒 Isolate affected systems if patch unavailable | 🛡️ Enable additional monitoring/IDS rules</t>
        </is>
      </c>
      <c r="S1107" s="188" t="inlineStr">
        <is>
          <t>CVE - IP enrichment n/a</t>
        </is>
      </c>
      <c r="T1107" s="188" t="n">
        <v>0.0003</v>
      </c>
      <c r="U1107" s="188" t="n">
        <v>0.0934</v>
      </c>
      <c r="V1107" s="188" t="inlineStr">
        <is>
          <t>T1083:File and Directory Discovery | T1190:Exploit Public-Facing Application</t>
        </is>
      </c>
      <c r="W1107" s="188" t="n">
        <v>2</v>
      </c>
      <c r="X1107" s="188" t="inlineStr">
        <is>
          <t>HIGH (72%)</t>
        </is>
      </c>
      <c r="Y1107" s="188" t="inlineStr">
        <is>
          <t>HIGH</t>
        </is>
      </c>
      <c r="Z1107" s="188" t="inlineStr">
        <is>
          <t>CHECK_VENDOR</t>
        </is>
      </c>
      <c r="AA1107" s="188" t="inlineStr">
        <is>
          <t>https://nvd.nist.gov/vuln/detail/CVE-2026-25965</t>
        </is>
      </c>
      <c r="AB1107" s="188" t="inlineStr">
        <is>
          <t>http://www.zerodayinitiative.com/advisories/ZDI-26-123/</t>
        </is>
      </c>
      <c r="AC1107" s="188" t="n">
        <v>0</v>
      </c>
      <c r="AD1107" s="188" t="inlineStr"/>
    </row>
    <row r="1108">
      <c r="A1108" s="187" t="inlineStr">
        <is>
          <t>CVE</t>
        </is>
      </c>
      <c r="B1108" s="187" t="inlineStr">
        <is>
          <t>CVE-2026-25966</t>
        </is>
      </c>
      <c r="C1108" s="187" t="inlineStr">
        <is>
          <t xml:space="preserve">ImageMagick is free and open-source software used for editing and manipulating digital images. The shipped "secure" security policy includes a rule intended to prevent reading/writing from standard streams. However, ImageMagick also supports fd: pseudo-filenames (e.g., fd:0, fd:1). Prior to versions 7.1.2-15 and 6.9.13-40, this path form is not blocked by the secure policy templates, and therefore bypasses the protection goal of "no stdin/stdout." Versions 7.1.2-15 and 6.9.13-40 contain a patch </t>
        </is>
      </c>
      <c r="D1108" s="187" t="n">
        <v>5.9</v>
      </c>
      <c r="E1108" s="187" t="inlineStr">
        <is>
          <t>MEDIUM</t>
        </is>
      </c>
      <c r="F1108" s="187" t="n">
        <v>2</v>
      </c>
      <c r="G1108" s="187" t="n">
        <v>2</v>
      </c>
      <c r="H1108" s="187" t="inlineStr">
        <is>
          <t>MEDIUM</t>
        </is>
      </c>
      <c r="I1108" s="187" t="n">
        <v>9.9</v>
      </c>
      <c r="J1108" s="187" t="inlineStr">
        <is>
          <t>NO</t>
        </is>
      </c>
      <c r="K1108" s="187" t="inlineStr">
        <is>
          <t>https://nvd.nist.gov/vuln/detail/CVE-2026-25966</t>
        </is>
      </c>
      <c r="L1108" s="187" t="inlineStr">
        <is>
          <t>2026-02-26 00:15</t>
        </is>
      </c>
      <c r="M1108" s="187" t="inlineStr">
        <is>
          <t>CHECK_VENDOR</t>
        </is>
      </c>
      <c r="N1108" s="187" t="inlineStr">
        <is>
          <t>See NVD references</t>
        </is>
      </c>
      <c r="O1108" s="187" t="inlineStr">
        <is>
          <t>Apply vendor patches</t>
        </is>
      </c>
      <c r="P1108" s="187" t="inlineStr">
        <is>
          <t>imagemagick imagemagick *</t>
        </is>
      </c>
      <c r="Q1108" s="187" t="inlineStr">
        <is>
          <t>P4</t>
        </is>
      </c>
      <c r="R1108" s="187" t="inlineStr">
        <is>
          <t>📅 Schedule patch deployment within 30 days | 🔍 Monitor for exploitation attempts</t>
        </is>
      </c>
      <c r="S1108" s="187" t="inlineStr">
        <is>
          <t>CVE - IP enrichment n/a</t>
        </is>
      </c>
      <c r="T1108" s="187" t="n">
        <v>0</v>
      </c>
      <c r="U1108" s="187" t="n">
        <v>0</v>
      </c>
      <c r="V1108" s="187" t="inlineStr">
        <is>
          <t>T1190:Exploit Public-Facing Application</t>
        </is>
      </c>
      <c r="W1108" s="187" t="n">
        <v>1</v>
      </c>
      <c r="X1108" s="187" t="inlineStr">
        <is>
          <t>LOW (40%)</t>
        </is>
      </c>
      <c r="Y1108" s="187" t="inlineStr">
        <is>
          <t>UNLIKELY</t>
        </is>
      </c>
      <c r="Z1108" s="187" t="inlineStr">
        <is>
          <t>CHECK_VENDOR</t>
        </is>
      </c>
      <c r="AA1108" s="187" t="inlineStr">
        <is>
          <t>https://nvd.nist.gov/vuln/detail/CVE-2026-25966</t>
        </is>
      </c>
      <c r="AB1108" s="187" t="inlineStr">
        <is>
          <t>NONE</t>
        </is>
      </c>
      <c r="AC1108" s="187" t="n">
        <v>0</v>
      </c>
      <c r="AD1108" s="187" t="inlineStr"/>
    </row>
    <row r="1109">
      <c r="A1109" s="188" t="inlineStr">
        <is>
          <t>CVE</t>
        </is>
      </c>
      <c r="B1109" s="188" t="inlineStr">
        <is>
          <t>CVE-2026-25967</t>
        </is>
      </c>
      <c r="C1109" s="188" t="inlineStr">
        <is>
          <t>ImageMagick is free and open-source software used for editing and manipulating digital images. Prior to version 7.1.2-15, a stack-based buffer overflow exists in the ImageMagick FTXT image reader. A crafted FTXT file can cause out-of-bounds writes on the stack, leading to a crash. Version 7.1.2-15 contains a patch.</t>
        </is>
      </c>
      <c r="D1109" s="188" t="n">
        <v>7.4</v>
      </c>
      <c r="E1109" s="188" t="inlineStr">
        <is>
          <t>HIGH</t>
        </is>
      </c>
      <c r="F1109" s="188" t="n">
        <v>2</v>
      </c>
      <c r="G1109" s="188" t="n">
        <v>3</v>
      </c>
      <c r="H1109" s="188" t="inlineStr">
        <is>
          <t>HIGH</t>
        </is>
      </c>
      <c r="I1109" s="188" t="n">
        <v>13.4</v>
      </c>
      <c r="J1109" s="188" t="inlineStr">
        <is>
          <t>NO</t>
        </is>
      </c>
      <c r="K1109" s="188" t="inlineStr">
        <is>
          <t>https://nvd.nist.gov/vuln/detail/CVE-2026-25967</t>
        </is>
      </c>
      <c r="L1109" s="188" t="inlineStr">
        <is>
          <t>2026-02-26 00:15</t>
        </is>
      </c>
      <c r="M1109" s="188" t="inlineStr">
        <is>
          <t>CHECK_VENDOR</t>
        </is>
      </c>
      <c r="N1109" s="188" t="inlineStr">
        <is>
          <t>See NVD references</t>
        </is>
      </c>
      <c r="O1109" s="188" t="inlineStr">
        <is>
          <t>Apply vendor patches</t>
        </is>
      </c>
      <c r="P1109" s="188" t="inlineStr">
        <is>
          <t>imagemagick imagemagick *</t>
        </is>
      </c>
      <c r="Q1109" s="188" t="inlineStr">
        <is>
          <t>P3</t>
        </is>
      </c>
      <c r="R1109" s="188" t="inlineStr">
        <is>
          <t>🚨 URGENT: Apply vendor patches immediately | 🔒 Isolate affected systems if patch unavailable | 🛡️ Enable additional monitoring/IDS rules</t>
        </is>
      </c>
      <c r="S1109" s="188" t="inlineStr">
        <is>
          <t>CVE - IP enrichment n/a</t>
        </is>
      </c>
      <c r="T1109" s="188" t="n">
        <v>0.0004</v>
      </c>
      <c r="U1109" s="188" t="n">
        <v>0.1201</v>
      </c>
      <c r="V1109" s="188" t="inlineStr">
        <is>
          <t>T1190:Exploit Public-Facing Application | T1203:Exploitation for Client Execution</t>
        </is>
      </c>
      <c r="W1109" s="188" t="n">
        <v>1</v>
      </c>
      <c r="X1109" s="188" t="inlineStr">
        <is>
          <t>LOW (40%)</t>
        </is>
      </c>
      <c r="Y1109" s="188" t="inlineStr">
        <is>
          <t>UNLIKELY</t>
        </is>
      </c>
      <c r="Z1109" s="188" t="inlineStr">
        <is>
          <t>CHECK_VENDOR</t>
        </is>
      </c>
      <c r="AA1109" s="188" t="inlineStr">
        <is>
          <t>https://nvd.nist.gov/vuln/detail/CVE-2026-25967</t>
        </is>
      </c>
      <c r="AB1109" s="188" t="inlineStr">
        <is>
          <t>NONE</t>
        </is>
      </c>
      <c r="AC1109" s="188" t="n">
        <v>0</v>
      </c>
      <c r="AD1109" s="188" t="inlineStr"/>
    </row>
    <row r="1110">
      <c r="A1110" s="188" t="inlineStr">
        <is>
          <t>CVE</t>
        </is>
      </c>
      <c r="B1110" s="188" t="inlineStr">
        <is>
          <t>CVE-2026-25968</t>
        </is>
      </c>
      <c r="C1110" s="188" t="inlineStr">
        <is>
          <t>ImageMagick is free and open-source software used for editing and manipulating digital images. Prior to versions 7.1.2-15 and 6.9.13-40, a stack buffer overflow occurs when processing the an attribute in msl.c. A long value overflows a fixed-size stack buffer, leading to memory corruption. Versions 7.1.2-15 and 6.9.13-40 contain a patch.</t>
        </is>
      </c>
      <c r="D1110" s="188" t="n">
        <v>7.4</v>
      </c>
      <c r="E1110" s="188" t="inlineStr">
        <is>
          <t>HIGH</t>
        </is>
      </c>
      <c r="F1110" s="188" t="n">
        <v>2</v>
      </c>
      <c r="G1110" s="188" t="n">
        <v>3</v>
      </c>
      <c r="H1110" s="188" t="inlineStr">
        <is>
          <t>HIGH</t>
        </is>
      </c>
      <c r="I1110" s="188" t="n">
        <v>13.4</v>
      </c>
      <c r="J1110" s="188" t="inlineStr">
        <is>
          <t>NO</t>
        </is>
      </c>
      <c r="K1110" s="188" t="inlineStr">
        <is>
          <t>https://nvd.nist.gov/vuln/detail/CVE-2026-25968</t>
        </is>
      </c>
      <c r="L1110" s="188" t="inlineStr">
        <is>
          <t>2026-02-26 00:15</t>
        </is>
      </c>
      <c r="M1110" s="188" t="inlineStr">
        <is>
          <t>CHECK_VENDOR</t>
        </is>
      </c>
      <c r="N1110" s="188" t="inlineStr">
        <is>
          <t>See NVD references</t>
        </is>
      </c>
      <c r="O1110" s="188" t="inlineStr">
        <is>
          <t>Apply vendor patches</t>
        </is>
      </c>
      <c r="P1110" s="188" t="inlineStr">
        <is>
          <t>imagemagick imagemagick *</t>
        </is>
      </c>
      <c r="Q1110" s="188" t="inlineStr">
        <is>
          <t>P3</t>
        </is>
      </c>
      <c r="R1110" s="188" t="inlineStr">
        <is>
          <t>🚨 URGENT: Apply vendor patches immediately | 🔒 Isolate affected systems if patch unavailable | 🛡️ Enable additional monitoring/IDS rules</t>
        </is>
      </c>
      <c r="S1110" s="188" t="inlineStr">
        <is>
          <t>CVE - IP enrichment n/a</t>
        </is>
      </c>
      <c r="T1110" s="188" t="n">
        <v>0</v>
      </c>
      <c r="U1110" s="188" t="n">
        <v>0</v>
      </c>
      <c r="V1110" s="188" t="inlineStr">
        <is>
          <t>T1190:Exploit Public-Facing Application | T1203:Exploitation for Client Execution</t>
        </is>
      </c>
      <c r="W1110" s="188" t="n">
        <v>1</v>
      </c>
      <c r="X1110" s="188" t="inlineStr">
        <is>
          <t>LOW (40%)</t>
        </is>
      </c>
      <c r="Y1110" s="188" t="inlineStr">
        <is>
          <t>UNLIKELY</t>
        </is>
      </c>
      <c r="Z1110" s="188" t="inlineStr">
        <is>
          <t>CHECK_VENDOR</t>
        </is>
      </c>
      <c r="AA1110" s="188" t="inlineStr">
        <is>
          <t>https://nvd.nist.gov/vuln/detail/CVE-2026-25968</t>
        </is>
      </c>
      <c r="AB1110" s="188" t="inlineStr">
        <is>
          <t>NONE</t>
        </is>
      </c>
      <c r="AC1110" s="188" t="n">
        <v>0</v>
      </c>
      <c r="AD1110" s="188" t="inlineStr"/>
    </row>
    <row r="1111">
      <c r="A1111" s="187" t="inlineStr">
        <is>
          <t>CVE</t>
        </is>
      </c>
      <c r="B1111" s="187" t="inlineStr">
        <is>
          <t>CVE-2026-25969</t>
        </is>
      </c>
      <c r="C1111" s="187" t="inlineStr">
        <is>
          <t>ImageMagick is free and open-source software used for editing and manipulating digital images. Prior to version 7.1.2-15, a memory leak exists in `coders/ashlar.c`. The `WriteASHLARImage` allocates a structure.  However, when an exception is thrown, the allocated memory is not properly released, resulting in a potential memory leak. Version 7.1.2-15 contains a patch.</t>
        </is>
      </c>
      <c r="D1111" s="187" t="n">
        <v>5.3</v>
      </c>
      <c r="E1111" s="187" t="inlineStr">
        <is>
          <t>MEDIUM</t>
        </is>
      </c>
      <c r="F1111" s="187" t="n">
        <v>2</v>
      </c>
      <c r="G1111" s="187" t="n">
        <v>2</v>
      </c>
      <c r="H1111" s="187" t="inlineStr">
        <is>
          <t>MEDIUM</t>
        </is>
      </c>
      <c r="I1111" s="187" t="n">
        <v>9.300000000000001</v>
      </c>
      <c r="J1111" s="187" t="inlineStr">
        <is>
          <t>NO</t>
        </is>
      </c>
      <c r="K1111" s="187" t="inlineStr">
        <is>
          <t>https://nvd.nist.gov/vuln/detail/CVE-2026-25969</t>
        </is>
      </c>
      <c r="L1111" s="187" t="inlineStr">
        <is>
          <t>2026-02-26 00:15</t>
        </is>
      </c>
      <c r="M1111" s="187" t="inlineStr">
        <is>
          <t>CHECK_VENDOR</t>
        </is>
      </c>
      <c r="N1111" s="187" t="inlineStr">
        <is>
          <t>See NVD references</t>
        </is>
      </c>
      <c r="O1111" s="187" t="inlineStr">
        <is>
          <t>Apply vendor patches</t>
        </is>
      </c>
      <c r="P1111" s="187" t="inlineStr">
        <is>
          <t>imagemagick imagemagick *</t>
        </is>
      </c>
      <c r="Q1111" s="187" t="inlineStr">
        <is>
          <t>P4</t>
        </is>
      </c>
      <c r="R1111" s="187" t="inlineStr">
        <is>
          <t>📅 Schedule patch deployment within 30 days | 🔍 Monitor for exploitation attempts</t>
        </is>
      </c>
      <c r="S1111" s="187" t="inlineStr">
        <is>
          <t>CVE - IP enrichment n/a</t>
        </is>
      </c>
      <c r="T1111" s="187" t="n">
        <v>0</v>
      </c>
      <c r="U1111" s="187" t="n">
        <v>0</v>
      </c>
      <c r="V1111" s="187" t="inlineStr">
        <is>
          <t>T1190:Exploit Public-Facing Application</t>
        </is>
      </c>
      <c r="W1111" s="187" t="n">
        <v>1</v>
      </c>
      <c r="X1111" s="187" t="inlineStr">
        <is>
          <t>LOW (40%)</t>
        </is>
      </c>
      <c r="Y1111" s="187" t="inlineStr">
        <is>
          <t>UNLIKELY</t>
        </is>
      </c>
      <c r="Z1111" s="187" t="inlineStr">
        <is>
          <t>CHECK_VENDOR</t>
        </is>
      </c>
      <c r="AA1111" s="187" t="inlineStr">
        <is>
          <t>https://nvd.nist.gov/vuln/detail/CVE-2026-25969</t>
        </is>
      </c>
      <c r="AB1111" s="187" t="inlineStr">
        <is>
          <t>NONE</t>
        </is>
      </c>
      <c r="AC1111" s="187" t="n">
        <v>0</v>
      </c>
      <c r="AD1111" s="187" t="inlineStr"/>
    </row>
    <row r="1112">
      <c r="A1112" s="187" t="inlineStr">
        <is>
          <t>CVE</t>
        </is>
      </c>
      <c r="B1112" s="187" t="inlineStr">
        <is>
          <t>CVE-2026-25970</t>
        </is>
      </c>
      <c r="C1112" s="187" t="inlineStr">
        <is>
          <t>ImageMagick is free and open-source software used for editing and manipulating digital images. Prior to versions 7.1.2-15 and 6.9.13-40, a signed integer overflow vulnerability in ImageMagick's SIXEL decoder allows an attacker to trigger memory corruption and denial of service when processing a maliciously crafted SIXEL image file. The vulnerability occurs during buffer reallocation operations where pointer arithmetic using signed 32-bit integers overflows. Versions 7.1.2-15 and 6.9.13-40 contai</t>
        </is>
      </c>
      <c r="D1112" s="187" t="n">
        <v>5.3</v>
      </c>
      <c r="E1112" s="187" t="inlineStr">
        <is>
          <t>MEDIUM</t>
        </is>
      </c>
      <c r="F1112" s="187" t="n">
        <v>2</v>
      </c>
      <c r="G1112" s="187" t="n">
        <v>2</v>
      </c>
      <c r="H1112" s="187" t="inlineStr">
        <is>
          <t>MEDIUM</t>
        </is>
      </c>
      <c r="I1112" s="187" t="n">
        <v>9.300000000000001</v>
      </c>
      <c r="J1112" s="187" t="inlineStr">
        <is>
          <t>NO</t>
        </is>
      </c>
      <c r="K1112" s="187" t="inlineStr">
        <is>
          <t>https://nvd.nist.gov/vuln/detail/CVE-2026-25970</t>
        </is>
      </c>
      <c r="L1112" s="187" t="inlineStr">
        <is>
          <t>2026-02-26 00:15</t>
        </is>
      </c>
      <c r="M1112" s="187" t="inlineStr">
        <is>
          <t>CHECK_VENDOR</t>
        </is>
      </c>
      <c r="N1112" s="187" t="inlineStr">
        <is>
          <t>See NVD references</t>
        </is>
      </c>
      <c r="O1112" s="187" t="inlineStr">
        <is>
          <t>Apply vendor patches</t>
        </is>
      </c>
      <c r="P1112" s="187" t="inlineStr">
        <is>
          <t>imagemagick imagemagick *</t>
        </is>
      </c>
      <c r="Q1112" s="187" t="inlineStr">
        <is>
          <t>P4</t>
        </is>
      </c>
      <c r="R1112" s="187" t="inlineStr">
        <is>
          <t>📅 Schedule patch deployment within 30 days | 🔍 Monitor for exploitation attempts</t>
        </is>
      </c>
      <c r="S1112" s="187" t="inlineStr">
        <is>
          <t>CVE - IP enrichment n/a</t>
        </is>
      </c>
      <c r="T1112" s="187" t="n">
        <v>0</v>
      </c>
      <c r="U1112" s="187" t="n">
        <v>0</v>
      </c>
      <c r="V1112" s="187" t="inlineStr">
        <is>
          <t>T1190:Exploit Public-Facing Application | T1499:Endpoint Denial of Service | T1203:Exploitation for Client Execution</t>
        </is>
      </c>
      <c r="W1112" s="187" t="n">
        <v>1</v>
      </c>
      <c r="X1112" s="187" t="inlineStr">
        <is>
          <t>LOW (40%)</t>
        </is>
      </c>
      <c r="Y1112" s="187" t="inlineStr">
        <is>
          <t>UNLIKELY</t>
        </is>
      </c>
      <c r="Z1112" s="187" t="inlineStr">
        <is>
          <t>CHECK_VENDOR</t>
        </is>
      </c>
      <c r="AA1112" s="187" t="inlineStr">
        <is>
          <t>https://nvd.nist.gov/vuln/detail/CVE-2026-25970</t>
        </is>
      </c>
      <c r="AB1112" s="187" t="inlineStr">
        <is>
          <t>NONE</t>
        </is>
      </c>
      <c r="AC1112" s="187" t="n">
        <v>0</v>
      </c>
      <c r="AD1112" s="187" t="inlineStr"/>
    </row>
    <row r="1113">
      <c r="A1113" s="187" t="inlineStr">
        <is>
          <t>CVE</t>
        </is>
      </c>
      <c r="B1113" s="187" t="inlineStr">
        <is>
          <t>CVE-2026-25971</t>
        </is>
      </c>
      <c r="C1113" s="187" t="inlineStr">
        <is>
          <t>ImageMagick is free and open-source software used for editing and manipulating digital images. Prior to versions 7.1.2-15 and 6.9.13-40, Magick fails to check for circular references between two MSLs, leading to a stack overflow. Versions 7.1.2-15 and 6.9.13-40 contain a patch.</t>
        </is>
      </c>
      <c r="D1113" s="187" t="n">
        <v>6.2</v>
      </c>
      <c r="E1113" s="187" t="inlineStr">
        <is>
          <t>MEDIUM</t>
        </is>
      </c>
      <c r="F1113" s="187" t="n">
        <v>2</v>
      </c>
      <c r="G1113" s="187" t="n">
        <v>2</v>
      </c>
      <c r="H1113" s="187" t="inlineStr">
        <is>
          <t>MEDIUM</t>
        </is>
      </c>
      <c r="I1113" s="187" t="n">
        <v>10.2</v>
      </c>
      <c r="J1113" s="187" t="inlineStr">
        <is>
          <t>NO</t>
        </is>
      </c>
      <c r="K1113" s="187" t="inlineStr">
        <is>
          <t>https://nvd.nist.gov/vuln/detail/CVE-2026-25971</t>
        </is>
      </c>
      <c r="L1113" s="187" t="inlineStr">
        <is>
          <t>2026-02-26 00:15</t>
        </is>
      </c>
      <c r="M1113" s="187" t="inlineStr">
        <is>
          <t>CHECK_VENDOR</t>
        </is>
      </c>
      <c r="N1113" s="187" t="inlineStr">
        <is>
          <t>See NVD references</t>
        </is>
      </c>
      <c r="O1113" s="187" t="inlineStr">
        <is>
          <t>Apply vendor patches</t>
        </is>
      </c>
      <c r="P1113" s="187" t="inlineStr">
        <is>
          <t>imagemagick imagemagick *</t>
        </is>
      </c>
      <c r="Q1113" s="187" t="inlineStr">
        <is>
          <t>P4</t>
        </is>
      </c>
      <c r="R1113" s="187" t="inlineStr">
        <is>
          <t>📅 Schedule patch deployment within 30 days | 🔍 Monitor for exploitation attempts</t>
        </is>
      </c>
      <c r="S1113" s="187" t="inlineStr">
        <is>
          <t>CVE - IP enrichment n/a</t>
        </is>
      </c>
      <c r="T1113" s="187" t="n">
        <v>0</v>
      </c>
      <c r="U1113" s="187" t="n">
        <v>0</v>
      </c>
      <c r="V1113" s="187" t="inlineStr">
        <is>
          <t>T1203:Exploitation for Client Execution | T1190:Exploit Public-Facing Application</t>
        </is>
      </c>
      <c r="W1113" s="187" t="n">
        <v>1</v>
      </c>
      <c r="X1113" s="187" t="inlineStr">
        <is>
          <t>LOW (40%)</t>
        </is>
      </c>
      <c r="Y1113" s="187" t="inlineStr">
        <is>
          <t>UNLIKELY</t>
        </is>
      </c>
      <c r="Z1113" s="187" t="inlineStr">
        <is>
          <t>CHECK_VENDOR</t>
        </is>
      </c>
      <c r="AA1113" s="187" t="inlineStr">
        <is>
          <t>https://nvd.nist.gov/vuln/detail/CVE-2026-25971</t>
        </is>
      </c>
      <c r="AB1113" s="187" t="inlineStr">
        <is>
          <t>NONE</t>
        </is>
      </c>
      <c r="AC1113" s="187" t="n">
        <v>0</v>
      </c>
      <c r="AD1113" s="187" t="inlineStr"/>
    </row>
    <row r="1114">
      <c r="A1114" s="187" t="inlineStr">
        <is>
          <t>CVE</t>
        </is>
      </c>
      <c r="B1114" s="187" t="inlineStr">
        <is>
          <t>CVE-2026-25982</t>
        </is>
      </c>
      <c r="C1114" s="187" t="inlineStr">
        <is>
          <t>ImageMagick is free and open-source software used for editing and manipulating digital images. Prior to versions 7.1.2-15 and 6.9.13-40, a heap out-of-bounds read vulnerability exists in the `coders/dcm.c` module. When processing DICOM files with a specific configuration, the decoder loop incorrectly reads bytes per iteration. This causes the function to read past the end of the allocated buffer, potentially leading to a Denial of Service (crash) or Information Disclosure (leaking heap memory in</t>
        </is>
      </c>
      <c r="D1114" s="187" t="n">
        <v>6.5</v>
      </c>
      <c r="E1114" s="187" t="inlineStr">
        <is>
          <t>MEDIUM</t>
        </is>
      </c>
      <c r="F1114" s="187" t="n">
        <v>2</v>
      </c>
      <c r="G1114" s="187" t="n">
        <v>2</v>
      </c>
      <c r="H1114" s="187" t="inlineStr">
        <is>
          <t>MEDIUM</t>
        </is>
      </c>
      <c r="I1114" s="187" t="n">
        <v>10.5</v>
      </c>
      <c r="J1114" s="187" t="inlineStr">
        <is>
          <t>NO</t>
        </is>
      </c>
      <c r="K1114" s="187" t="inlineStr">
        <is>
          <t>https://nvd.nist.gov/vuln/detail/CVE-2026-25982</t>
        </is>
      </c>
      <c r="L1114" s="187" t="inlineStr">
        <is>
          <t>2026-02-26 00:15</t>
        </is>
      </c>
      <c r="M1114" s="187" t="inlineStr">
        <is>
          <t>CHECK_VENDOR</t>
        </is>
      </c>
      <c r="N1114" s="187" t="inlineStr">
        <is>
          <t>See NVD references</t>
        </is>
      </c>
      <c r="O1114" s="187" t="inlineStr">
        <is>
          <t>Apply vendor patches</t>
        </is>
      </c>
      <c r="P1114" s="187" t="inlineStr">
        <is>
          <t>imagemagick imagemagick *</t>
        </is>
      </c>
      <c r="Q1114" s="187" t="inlineStr">
        <is>
          <t>P4</t>
        </is>
      </c>
      <c r="R1114" s="187" t="inlineStr">
        <is>
          <t>📅 Schedule patch deployment within 30 days | 🔍 Monitor for exploitation attempts</t>
        </is>
      </c>
      <c r="S1114" s="187" t="inlineStr">
        <is>
          <t>CVE - IP enrichment n/a</t>
        </is>
      </c>
      <c r="T1114" s="187" t="n">
        <v>0</v>
      </c>
      <c r="U1114" s="187" t="n">
        <v>0</v>
      </c>
      <c r="V1114" s="187" t="inlineStr">
        <is>
          <t>T1203:Exploitation for Client Execution | T1190:Exploit Public-Facing Application | T1499:Endpoint Denial of Service</t>
        </is>
      </c>
      <c r="W1114" s="187" t="n">
        <v>1</v>
      </c>
      <c r="X1114" s="187" t="inlineStr">
        <is>
          <t>LOW (40%)</t>
        </is>
      </c>
      <c r="Y1114" s="187" t="inlineStr">
        <is>
          <t>UNLIKELY</t>
        </is>
      </c>
      <c r="Z1114" s="187" t="inlineStr">
        <is>
          <t>CHECK_VENDOR</t>
        </is>
      </c>
      <c r="AA1114" s="187" t="inlineStr">
        <is>
          <t>https://nvd.nist.gov/vuln/detail/CVE-2026-25982</t>
        </is>
      </c>
      <c r="AB1114" s="187" t="inlineStr">
        <is>
          <t>NONE</t>
        </is>
      </c>
      <c r="AC1114" s="187" t="n">
        <v>0</v>
      </c>
      <c r="AD1114" s="187" t="inlineStr"/>
    </row>
    <row r="1115">
      <c r="A1115" s="187" t="inlineStr">
        <is>
          <t>CVE</t>
        </is>
      </c>
      <c r="B1115" s="187" t="inlineStr">
        <is>
          <t>CVE-2026-25983</t>
        </is>
      </c>
      <c r="C1115" s="187" t="inlineStr">
        <is>
          <t>ImageMagick is free and open-source software used for editing and manipulating digital images. Prior to versions 7.1.2-15 and 6.9.13-40, a crafted MSL script triggers a heap-use-after-free. The operation element handler replaces and frees the image while the parser continues reading from it, leading to a UAF in ReadBlobString during further parsing. Versions 7.1.2-15 and 6.9.13-40 contain a patch.</t>
        </is>
      </c>
      <c r="D1115" s="187" t="n">
        <v>5.3</v>
      </c>
      <c r="E1115" s="187" t="inlineStr">
        <is>
          <t>MEDIUM</t>
        </is>
      </c>
      <c r="F1115" s="187" t="n">
        <v>2</v>
      </c>
      <c r="G1115" s="187" t="n">
        <v>2</v>
      </c>
      <c r="H1115" s="187" t="inlineStr">
        <is>
          <t>MEDIUM</t>
        </is>
      </c>
      <c r="I1115" s="187" t="n">
        <v>9.300000000000001</v>
      </c>
      <c r="J1115" s="187" t="inlineStr">
        <is>
          <t>NO</t>
        </is>
      </c>
      <c r="K1115" s="187" t="inlineStr">
        <is>
          <t>https://nvd.nist.gov/vuln/detail/CVE-2026-25983</t>
        </is>
      </c>
      <c r="L1115" s="187" t="inlineStr">
        <is>
          <t>2026-02-26 00:15</t>
        </is>
      </c>
      <c r="M1115" s="187" t="inlineStr">
        <is>
          <t>CHECK_VENDOR</t>
        </is>
      </c>
      <c r="N1115" s="187" t="inlineStr">
        <is>
          <t>See NVD references</t>
        </is>
      </c>
      <c r="O1115" s="187" t="inlineStr">
        <is>
          <t>Apply vendor patches</t>
        </is>
      </c>
      <c r="P1115" s="187" t="inlineStr">
        <is>
          <t>imagemagick imagemagick *</t>
        </is>
      </c>
      <c r="Q1115" s="187" t="inlineStr">
        <is>
          <t>P4</t>
        </is>
      </c>
      <c r="R1115" s="187" t="inlineStr">
        <is>
          <t>📅 Schedule patch deployment within 30 days | 🔍 Monitor for exploitation attempts</t>
        </is>
      </c>
      <c r="S1115" s="187" t="inlineStr">
        <is>
          <t>CVE - IP enrichment n/a</t>
        </is>
      </c>
      <c r="T1115" s="187" t="n">
        <v>0.0004</v>
      </c>
      <c r="U1115" s="187" t="n">
        <v>0.1363</v>
      </c>
      <c r="V1115" s="187" t="inlineStr">
        <is>
          <t>T1203:Exploitation for Client Execution | T1190:Exploit Public-Facing Application</t>
        </is>
      </c>
      <c r="W1115" s="187" t="n">
        <v>1</v>
      </c>
      <c r="X1115" s="187" t="inlineStr">
        <is>
          <t>LOW (40%)</t>
        </is>
      </c>
      <c r="Y1115" s="187" t="inlineStr">
        <is>
          <t>UNLIKELY</t>
        </is>
      </c>
      <c r="Z1115" s="187" t="inlineStr">
        <is>
          <t>CHECK_VENDOR</t>
        </is>
      </c>
      <c r="AA1115" s="187" t="inlineStr">
        <is>
          <t>https://nvd.nist.gov/vuln/detail/CVE-2026-25983</t>
        </is>
      </c>
      <c r="AB1115" s="187" t="inlineStr">
        <is>
          <t>NONE</t>
        </is>
      </c>
      <c r="AC1115" s="187" t="n">
        <v>0</v>
      </c>
      <c r="AD1115" s="187" t="inlineStr"/>
    </row>
    <row r="1116">
      <c r="A1116" s="188" t="inlineStr">
        <is>
          <t>CVE</t>
        </is>
      </c>
      <c r="B1116" s="188" t="inlineStr">
        <is>
          <t>CVE-2026-25985</t>
        </is>
      </c>
      <c r="C1116" s="188" t="inlineStr">
        <is>
          <t>ImageMagick is free and open-source software used for editing and manipulating digital images. Prior to versions 7.1.2-15 and 6.9.13-40, a crafted SVG file containing an malicious element causes ImageMagick to attempt to allocate ~674 GB of memory, leading to an out-of-memory abort. Versions 7.1.2-15 and 6.9.13-40 contain a patch.</t>
        </is>
      </c>
      <c r="D1116" s="188" t="n">
        <v>7.5</v>
      </c>
      <c r="E1116" s="188" t="inlineStr">
        <is>
          <t>HIGH</t>
        </is>
      </c>
      <c r="F1116" s="188" t="n">
        <v>2</v>
      </c>
      <c r="G1116" s="188" t="n">
        <v>3</v>
      </c>
      <c r="H1116" s="188" t="inlineStr">
        <is>
          <t>HIGH</t>
        </is>
      </c>
      <c r="I1116" s="188" t="n">
        <v>13.5</v>
      </c>
      <c r="J1116" s="188" t="inlineStr">
        <is>
          <t>NO</t>
        </is>
      </c>
      <c r="K1116" s="188" t="inlineStr">
        <is>
          <t>https://nvd.nist.gov/vuln/detail/CVE-2026-25985</t>
        </is>
      </c>
      <c r="L1116" s="188" t="inlineStr">
        <is>
          <t>2026-02-26 00:15</t>
        </is>
      </c>
      <c r="M1116" s="188" t="inlineStr">
        <is>
          <t>CHECK_VENDOR</t>
        </is>
      </c>
      <c r="N1116" s="188" t="inlineStr">
        <is>
          <t>See NVD references</t>
        </is>
      </c>
      <c r="O1116" s="188" t="inlineStr">
        <is>
          <t>Apply vendor patches</t>
        </is>
      </c>
      <c r="P1116" s="188" t="inlineStr">
        <is>
          <t>imagemagick imagemagick *</t>
        </is>
      </c>
      <c r="Q1116" s="188" t="inlineStr">
        <is>
          <t>P3</t>
        </is>
      </c>
      <c r="R1116" s="188" t="inlineStr">
        <is>
          <t>🚨 URGENT: Apply vendor patches immediately | 🔒 Isolate affected systems if patch unavailable | 🛡️ Enable additional monitoring/IDS rules</t>
        </is>
      </c>
      <c r="S1116" s="188" t="inlineStr">
        <is>
          <t>CVE - IP enrichment n/a</t>
        </is>
      </c>
      <c r="T1116" s="188" t="n">
        <v>0</v>
      </c>
      <c r="U1116" s="188" t="n">
        <v>0</v>
      </c>
      <c r="V1116" s="188" t="inlineStr">
        <is>
          <t>T1190:Exploit Public-Facing Application</t>
        </is>
      </c>
      <c r="W1116" s="188" t="n">
        <v>1</v>
      </c>
      <c r="X1116" s="188" t="inlineStr">
        <is>
          <t>LOW (40%)</t>
        </is>
      </c>
      <c r="Y1116" s="188" t="inlineStr">
        <is>
          <t>UNLIKELY</t>
        </is>
      </c>
      <c r="Z1116" s="188" t="inlineStr">
        <is>
          <t>CHECK_VENDOR</t>
        </is>
      </c>
      <c r="AA1116" s="188" t="inlineStr">
        <is>
          <t>https://nvd.nist.gov/vuln/detail/CVE-2026-25985</t>
        </is>
      </c>
      <c r="AB1116" s="188" t="inlineStr">
        <is>
          <t>NONE</t>
        </is>
      </c>
      <c r="AC1116" s="188" t="n">
        <v>0</v>
      </c>
      <c r="AD1116" s="188" t="inlineStr"/>
    </row>
    <row r="1117">
      <c r="A1117" s="187" t="inlineStr">
        <is>
          <t>CVE</t>
        </is>
      </c>
      <c r="B1117" s="187" t="inlineStr">
        <is>
          <t>CVE-2026-25986</t>
        </is>
      </c>
      <c r="C1117" s="187" t="inlineStr">
        <is>
          <t>ImageMagick is free and open-source software used for editing and manipulating digital images. Prior to versions 7.1.2-15 and 6.9.13-40, a heap buffer overflow write vulnerability exists in ReadYUVImage() (coders/yuv.c) when processing malicious YUV 4:2:2 (NoInterlace) images. The pixel-pair loop writes one pixel beyond the allocated row buffer. Versions 7.1.2-15 and 6.9.13-40 contain a patch.</t>
        </is>
      </c>
      <c r="D1117" s="187" t="n">
        <v>5.3</v>
      </c>
      <c r="E1117" s="187" t="inlineStr">
        <is>
          <t>MEDIUM</t>
        </is>
      </c>
      <c r="F1117" s="187" t="n">
        <v>2</v>
      </c>
      <c r="G1117" s="187" t="n">
        <v>2</v>
      </c>
      <c r="H1117" s="187" t="inlineStr">
        <is>
          <t>MEDIUM</t>
        </is>
      </c>
      <c r="I1117" s="187" t="n">
        <v>9.300000000000001</v>
      </c>
      <c r="J1117" s="187" t="inlineStr">
        <is>
          <t>NO</t>
        </is>
      </c>
      <c r="K1117" s="187" t="inlineStr">
        <is>
          <t>https://nvd.nist.gov/vuln/detail/CVE-2026-25986</t>
        </is>
      </c>
      <c r="L1117" s="187" t="inlineStr">
        <is>
          <t>2026-02-26 00:15</t>
        </is>
      </c>
      <c r="M1117" s="187" t="inlineStr">
        <is>
          <t>CHECK_VENDOR</t>
        </is>
      </c>
      <c r="N1117" s="187" t="inlineStr">
        <is>
          <t>See NVD references</t>
        </is>
      </c>
      <c r="O1117" s="187" t="inlineStr">
        <is>
          <t>Apply vendor patches</t>
        </is>
      </c>
      <c r="P1117" s="187" t="inlineStr">
        <is>
          <t>imagemagick imagemagick *</t>
        </is>
      </c>
      <c r="Q1117" s="187" t="inlineStr">
        <is>
          <t>P4</t>
        </is>
      </c>
      <c r="R1117" s="187" t="inlineStr">
        <is>
          <t>📅 Schedule patch deployment within 30 days | 🔍 Monitor for exploitation attempts</t>
        </is>
      </c>
      <c r="S1117" s="187" t="inlineStr">
        <is>
          <t>CVE - IP enrichment n/a</t>
        </is>
      </c>
      <c r="T1117" s="187" t="n">
        <v>0</v>
      </c>
      <c r="U1117" s="187" t="n">
        <v>0</v>
      </c>
      <c r="V1117" s="187" t="inlineStr">
        <is>
          <t>T1203:Exploitation for Client Execution | T1190:Exploit Public-Facing Application</t>
        </is>
      </c>
      <c r="W1117" s="187" t="n">
        <v>1</v>
      </c>
      <c r="X1117" s="187" t="inlineStr">
        <is>
          <t>LOW (40%)</t>
        </is>
      </c>
      <c r="Y1117" s="187" t="inlineStr">
        <is>
          <t>UNLIKELY</t>
        </is>
      </c>
      <c r="Z1117" s="187" t="inlineStr">
        <is>
          <t>CHECK_VENDOR</t>
        </is>
      </c>
      <c r="AA1117" s="187" t="inlineStr">
        <is>
          <t>https://nvd.nist.gov/vuln/detail/CVE-2026-25986</t>
        </is>
      </c>
      <c r="AB1117" s="187" t="inlineStr">
        <is>
          <t>NONE</t>
        </is>
      </c>
      <c r="AC1117" s="187" t="n">
        <v>0</v>
      </c>
      <c r="AD1117" s="187" t="inlineStr"/>
    </row>
    <row r="1118">
      <c r="A1118" s="187" t="inlineStr">
        <is>
          <t>CVE</t>
        </is>
      </c>
      <c r="B1118" s="187" t="inlineStr">
        <is>
          <t>CVE-2026-25987</t>
        </is>
      </c>
      <c r="C1118" s="187" t="inlineStr">
        <is>
          <t>ImageMagick is free and open-source software used for editing and manipulating digital images. Prior to versions 7.1.2-15 and 6.9.13-40, a heap buffer over-read vulnerability exists in the MAP image decoder when processing crafted MAP files, potentially leading to crashes or unintended memory disclosure during image decoding. Versions 7.1.2-15 and 6.9.13-40 contain a patch.</t>
        </is>
      </c>
      <c r="D1118" s="187" t="n">
        <v>5.3</v>
      </c>
      <c r="E1118" s="187" t="inlineStr">
        <is>
          <t>MEDIUM</t>
        </is>
      </c>
      <c r="F1118" s="187" t="n">
        <v>2</v>
      </c>
      <c r="G1118" s="187" t="n">
        <v>2</v>
      </c>
      <c r="H1118" s="187" t="inlineStr">
        <is>
          <t>MEDIUM</t>
        </is>
      </c>
      <c r="I1118" s="187" t="n">
        <v>9.300000000000001</v>
      </c>
      <c r="J1118" s="187" t="inlineStr">
        <is>
          <t>NO</t>
        </is>
      </c>
      <c r="K1118" s="187" t="inlineStr">
        <is>
          <t>https://nvd.nist.gov/vuln/detail/CVE-2026-25987</t>
        </is>
      </c>
      <c r="L1118" s="187" t="inlineStr">
        <is>
          <t>2026-02-26 00:15</t>
        </is>
      </c>
      <c r="M1118" s="187" t="inlineStr">
        <is>
          <t>CHECK_VENDOR</t>
        </is>
      </c>
      <c r="N1118" s="187" t="inlineStr">
        <is>
          <t>See NVD references</t>
        </is>
      </c>
      <c r="O1118" s="187" t="inlineStr">
        <is>
          <t>Apply vendor patches</t>
        </is>
      </c>
      <c r="P1118" s="187" t="inlineStr">
        <is>
          <t>imagemagick imagemagick *</t>
        </is>
      </c>
      <c r="Q1118" s="187" t="inlineStr">
        <is>
          <t>P4</t>
        </is>
      </c>
      <c r="R1118" s="187" t="inlineStr">
        <is>
          <t>📅 Schedule patch deployment within 30 days | 🔍 Monitor for exploitation attempts</t>
        </is>
      </c>
      <c r="S1118" s="187" t="inlineStr">
        <is>
          <t>CVE - IP enrichment n/a</t>
        </is>
      </c>
      <c r="T1118" s="187" t="n">
        <v>0</v>
      </c>
      <c r="U1118" s="187" t="n">
        <v>0</v>
      </c>
      <c r="V1118" s="187" t="inlineStr">
        <is>
          <t>T1203:Exploitation for Client Execution | T1190:Exploit Public-Facing Application</t>
        </is>
      </c>
      <c r="W1118" s="187" t="n">
        <v>1</v>
      </c>
      <c r="X1118" s="187" t="inlineStr">
        <is>
          <t>LOW (40%)</t>
        </is>
      </c>
      <c r="Y1118" s="187" t="inlineStr">
        <is>
          <t>UNLIKELY</t>
        </is>
      </c>
      <c r="Z1118" s="187" t="inlineStr">
        <is>
          <t>CHECK_VENDOR</t>
        </is>
      </c>
      <c r="AA1118" s="187" t="inlineStr">
        <is>
          <t>https://nvd.nist.gov/vuln/detail/CVE-2026-25987</t>
        </is>
      </c>
      <c r="AB1118" s="187" t="inlineStr">
        <is>
          <t>NONE</t>
        </is>
      </c>
      <c r="AC1118" s="187" t="n">
        <v>0</v>
      </c>
      <c r="AD1118" s="187" t="inlineStr"/>
    </row>
    <row r="1119">
      <c r="A1119" s="187" t="inlineStr">
        <is>
          <t>CVE</t>
        </is>
      </c>
      <c r="B1119" s="187" t="inlineStr">
        <is>
          <t>CVE-2026-25988</t>
        </is>
      </c>
      <c r="C1119" s="187" t="inlineStr">
        <is>
          <t>ImageMagick is free and open-source software used for editing and manipulating digital images. Prior to versions 7.1.2-15 and 6.9.13-40, sometimes msl.c fails to update the stack index, so an image is stored in the wrong slot and never freed on error, causing leaks. Versions 7.1.2-15 and 6.9.13-40 contain a patch.</t>
        </is>
      </c>
      <c r="D1119" s="187" t="n">
        <v>5.3</v>
      </c>
      <c r="E1119" s="187" t="inlineStr">
        <is>
          <t>MEDIUM</t>
        </is>
      </c>
      <c r="F1119" s="187" t="n">
        <v>2</v>
      </c>
      <c r="G1119" s="187" t="n">
        <v>2</v>
      </c>
      <c r="H1119" s="187" t="inlineStr">
        <is>
          <t>MEDIUM</t>
        </is>
      </c>
      <c r="I1119" s="187" t="n">
        <v>9.300000000000001</v>
      </c>
      <c r="J1119" s="187" t="inlineStr">
        <is>
          <t>NO</t>
        </is>
      </c>
      <c r="K1119" s="187" t="inlineStr">
        <is>
          <t>https://nvd.nist.gov/vuln/detail/CVE-2026-25988</t>
        </is>
      </c>
      <c r="L1119" s="187" t="inlineStr">
        <is>
          <t>2026-02-26 00:15</t>
        </is>
      </c>
      <c r="M1119" s="187" t="inlineStr">
        <is>
          <t>CHECK_VENDOR</t>
        </is>
      </c>
      <c r="N1119" s="187" t="inlineStr">
        <is>
          <t>See NVD references</t>
        </is>
      </c>
      <c r="O1119" s="187" t="inlineStr">
        <is>
          <t>Apply vendor patches</t>
        </is>
      </c>
      <c r="P1119" s="187" t="inlineStr">
        <is>
          <t>imagemagick imagemagick *</t>
        </is>
      </c>
      <c r="Q1119" s="187" t="inlineStr">
        <is>
          <t>P4</t>
        </is>
      </c>
      <c r="R1119" s="187" t="inlineStr">
        <is>
          <t>📅 Schedule patch deployment within 30 days | 🔍 Monitor for exploitation attempts</t>
        </is>
      </c>
      <c r="S1119" s="187" t="inlineStr">
        <is>
          <t>CVE - IP enrichment n/a</t>
        </is>
      </c>
      <c r="T1119" s="187" t="n">
        <v>0</v>
      </c>
      <c r="U1119" s="187" t="n">
        <v>0</v>
      </c>
      <c r="V1119" s="187" t="inlineStr">
        <is>
          <t>T1190:Exploit Public-Facing Application</t>
        </is>
      </c>
      <c r="W1119" s="187" t="n">
        <v>1</v>
      </c>
      <c r="X1119" s="187" t="inlineStr">
        <is>
          <t>LOW (40%)</t>
        </is>
      </c>
      <c r="Y1119" s="187" t="inlineStr">
        <is>
          <t>UNLIKELY</t>
        </is>
      </c>
      <c r="Z1119" s="187" t="inlineStr">
        <is>
          <t>CHECK_VENDOR</t>
        </is>
      </c>
      <c r="AA1119" s="187" t="inlineStr">
        <is>
          <t>https://nvd.nist.gov/vuln/detail/CVE-2026-25988</t>
        </is>
      </c>
      <c r="AB1119" s="187" t="inlineStr">
        <is>
          <t>NONE</t>
        </is>
      </c>
      <c r="AC1119" s="187" t="n">
        <v>0</v>
      </c>
      <c r="AD1119" s="187" t="inlineStr"/>
    </row>
    <row r="1120">
      <c r="A1120" s="187" t="inlineStr">
        <is>
          <t>CVE</t>
        </is>
      </c>
      <c r="B1120" s="187" t="inlineStr">
        <is>
          <t>CVE-2026-3052</t>
        </is>
      </c>
      <c r="C1120" s="187" t="inlineStr">
        <is>
          <t>A vulnerability was found in DataLinkDC dinky up to 1.2.5. The impacted element is the function proxyUba of the file dinky-admin/src/main/java/org/dinky/controller/FlinkProxyController.java of the component Flink Proxy Controller. Performing a manipulation results in server-side request forgery. It is possible to initiate the attack remotely. The exploit has been made public and could be used. The vendor was contacted early about this disclosure but did not respond in any way.</t>
        </is>
      </c>
      <c r="D1120" s="187" t="n">
        <v>6.3</v>
      </c>
      <c r="E1120" s="187" t="inlineStr">
        <is>
          <t>MEDIUM</t>
        </is>
      </c>
      <c r="F1120" s="187" t="n">
        <v>2</v>
      </c>
      <c r="G1120" s="187" t="n">
        <v>2</v>
      </c>
      <c r="H1120" s="187" t="inlineStr">
        <is>
          <t>MEDIUM</t>
        </is>
      </c>
      <c r="I1120" s="187" t="n">
        <v>10.3</v>
      </c>
      <c r="J1120" s="187" t="inlineStr">
        <is>
          <t>NO</t>
        </is>
      </c>
      <c r="K1120" s="187" t="inlineStr">
        <is>
          <t>https://nvd.nist.gov/vuln/detail/CVE-2026-3052</t>
        </is>
      </c>
      <c r="L1120" s="187" t="inlineStr">
        <is>
          <t>2026-02-26 00:15</t>
        </is>
      </c>
      <c r="M1120" s="187" t="inlineStr">
        <is>
          <t>CHECK_VENDOR</t>
        </is>
      </c>
      <c r="N1120" s="187" t="inlineStr">
        <is>
          <t>See NVD references</t>
        </is>
      </c>
      <c r="O1120" s="187" t="inlineStr">
        <is>
          <t>Apply vendor patches</t>
        </is>
      </c>
      <c r="P1120" s="187" t="inlineStr">
        <is>
          <t>dinky dinky *</t>
        </is>
      </c>
      <c r="Q1120" s="187" t="inlineStr">
        <is>
          <t>P4</t>
        </is>
      </c>
      <c r="R1120" s="187" t="inlineStr">
        <is>
          <t>📅 Schedule patch deployment within 30 days | 🔍 Monitor for exploitation attempts</t>
        </is>
      </c>
      <c r="S1120" s="187" t="inlineStr">
        <is>
          <t>CVE - IP enrichment n/a</t>
        </is>
      </c>
      <c r="T1120" s="187" t="n">
        <v>0</v>
      </c>
      <c r="U1120" s="187" t="n">
        <v>0</v>
      </c>
      <c r="V1120" s="187" t="inlineStr">
        <is>
          <t>T1090:Proxy</t>
        </is>
      </c>
      <c r="W1120" s="187" t="n">
        <v>1</v>
      </c>
      <c r="X1120" s="187" t="inlineStr">
        <is>
          <t>LOW (40%)</t>
        </is>
      </c>
      <c r="Y1120" s="187" t="inlineStr">
        <is>
          <t>UNLIKELY</t>
        </is>
      </c>
      <c r="Z1120" s="187" t="inlineStr">
        <is>
          <t>CHECK_VENDOR</t>
        </is>
      </c>
      <c r="AA1120" s="187" t="inlineStr">
        <is>
          <t>https://nvd.nist.gov/vuln/detail/CVE-2026-3052</t>
        </is>
      </c>
      <c r="AB1120" s="187" t="inlineStr">
        <is>
          <t>NONE</t>
        </is>
      </c>
      <c r="AC1120" s="187" t="n">
        <v>0</v>
      </c>
      <c r="AD1120" s="187" t="inlineStr"/>
    </row>
    <row r="1121">
      <c r="A1121" s="188" t="inlineStr">
        <is>
          <t>CVE</t>
        </is>
      </c>
      <c r="B1121" s="188" t="inlineStr">
        <is>
          <t>CVE-2026-3053</t>
        </is>
      </c>
      <c r="C1121" s="188" t="inlineStr">
        <is>
          <t>A vulnerability was determined in DataLinkDC dinky up to 1.2.5. This affects the function addInterceptors of the file dinky-admin/src/main/java/org/dinky/configure/AppConfig.java of the component OpenAPI Endpoint. Executing a manipulation can lead to missing authentication. It is possible to launch the attack remotely. The exploit has been publicly disclosed and may be utilized. The vendor was contacted early about this disclosure but did not respond in any way.</t>
        </is>
      </c>
      <c r="D1121" s="188" t="n">
        <v>7.3</v>
      </c>
      <c r="E1121" s="188" t="inlineStr">
        <is>
          <t>HIGH</t>
        </is>
      </c>
      <c r="F1121" s="188" t="n">
        <v>2</v>
      </c>
      <c r="G1121" s="188" t="n">
        <v>3</v>
      </c>
      <c r="H1121" s="188" t="inlineStr">
        <is>
          <t>HIGH</t>
        </is>
      </c>
      <c r="I1121" s="188" t="n">
        <v>13.3</v>
      </c>
      <c r="J1121" s="188" t="inlineStr">
        <is>
          <t>NO</t>
        </is>
      </c>
      <c r="K1121" s="188" t="inlineStr">
        <is>
          <t>https://nvd.nist.gov/vuln/detail/CVE-2026-3053</t>
        </is>
      </c>
      <c r="L1121" s="188" t="inlineStr">
        <is>
          <t>2026-02-26 00:15</t>
        </is>
      </c>
      <c r="M1121" s="188" t="inlineStr">
        <is>
          <t>CHECK_VENDOR</t>
        </is>
      </c>
      <c r="N1121" s="188" t="inlineStr">
        <is>
          <t>See NVD references</t>
        </is>
      </c>
      <c r="O1121" s="188" t="inlineStr">
        <is>
          <t>Apply vendor patches</t>
        </is>
      </c>
      <c r="P1121" s="188" t="inlineStr">
        <is>
          <t>dinky dinky *</t>
        </is>
      </c>
      <c r="Q1121" s="188" t="inlineStr">
        <is>
          <t>P3</t>
        </is>
      </c>
      <c r="R1121" s="188" t="inlineStr">
        <is>
          <t>🚨 URGENT: Apply vendor patches immediately | 🔒 Isolate affected systems if patch unavailable | 🛡️ Enable additional monitoring/IDS rules</t>
        </is>
      </c>
      <c r="S1121" s="188" t="inlineStr">
        <is>
          <t>CVE - IP enrichment n/a</t>
        </is>
      </c>
      <c r="T1121" s="188" t="n">
        <v>0</v>
      </c>
      <c r="U1121" s="188" t="n">
        <v>0</v>
      </c>
      <c r="V1121" s="188" t="inlineStr">
        <is>
          <t>T1078:Valid Accounts | T1110:Brute Force | T1190:Exploit Public-Facing Application</t>
        </is>
      </c>
      <c r="W1121" s="188" t="n">
        <v>1</v>
      </c>
      <c r="X1121" s="188" t="inlineStr">
        <is>
          <t>LOW (40%)</t>
        </is>
      </c>
      <c r="Y1121" s="188" t="inlineStr">
        <is>
          <t>UNLIKELY</t>
        </is>
      </c>
      <c r="Z1121" s="188" t="inlineStr">
        <is>
          <t>CHECK_VENDOR</t>
        </is>
      </c>
      <c r="AA1121" s="188" t="inlineStr">
        <is>
          <t>https://nvd.nist.gov/vuln/detail/CVE-2026-3053</t>
        </is>
      </c>
      <c r="AB1121" s="188" t="inlineStr">
        <is>
          <t>NONE</t>
        </is>
      </c>
      <c r="AC1121" s="188" t="n">
        <v>0</v>
      </c>
      <c r="AD1121" s="188" t="inlineStr"/>
    </row>
    <row r="1122">
      <c r="A1122" s="187" t="inlineStr">
        <is>
          <t>CVE</t>
        </is>
      </c>
      <c r="B1122" s="187" t="inlineStr">
        <is>
          <t>CVE-2025-11847</t>
        </is>
      </c>
      <c r="C1122" s="187" t="inlineStr">
        <is>
          <t>A null pointer dereference vulnerability in the IP settings CGI program of the Zyxel VMG3625-T50B firmware versions through 5.50(ABPM.9.6)C0 and the Zyxel WX3100-T0 firmware versions through 5.50(ABVL.4.8)C0 could allow an authenticated attacker with administrator privileges to trigger a denial-of-service (DoS) condition by sending a crafted HTTP request.</t>
        </is>
      </c>
      <c r="D1122" s="187" t="n">
        <v>4.9</v>
      </c>
      <c r="E1122" s="187" t="inlineStr">
        <is>
          <t>MEDIUM</t>
        </is>
      </c>
      <c r="F1122" s="187" t="n">
        <v>2</v>
      </c>
      <c r="G1122" s="187" t="n">
        <v>2</v>
      </c>
      <c r="H1122" s="187" t="inlineStr">
        <is>
          <t>MEDIUM</t>
        </is>
      </c>
      <c r="I1122" s="187" t="n">
        <v>8.9</v>
      </c>
      <c r="J1122" s="187" t="inlineStr">
        <is>
          <t>NO</t>
        </is>
      </c>
      <c r="K1122" s="187" t="inlineStr">
        <is>
          <t>https://nvd.nist.gov/vuln/detail/CVE-2025-11847</t>
        </is>
      </c>
      <c r="L1122" s="187" t="inlineStr">
        <is>
          <t>2026-02-26 00:15</t>
        </is>
      </c>
      <c r="M1122" s="187" t="inlineStr">
        <is>
          <t>YES</t>
        </is>
      </c>
      <c r="N1122" s="187" t="inlineStr">
        <is>
          <t>https://www.zyxel.com/global/en/support/security-advisories/zyxel-security-advisory-for-null-pointer-dereference-and-command-injection-vulnerabilities-in-certain-4g-lte-5g-nr-cpe-dsl-ethernet-cpe-fiber-onts-security-routers-and-wireless-extenders-02-24-2026</t>
        </is>
      </c>
      <c r="O1122" s="187" t="inlineStr">
        <is>
          <t>Apply vendor patches</t>
        </is>
      </c>
      <c r="P1122" s="187" t="inlineStr">
        <is>
          <t>zyxel nebula_fwa515_firmware * | zyxel vmg4005-b60a_firmware * | zyxel nebula_fwa710_firmware *</t>
        </is>
      </c>
      <c r="Q1122" s="187" t="inlineStr">
        <is>
          <t>P4</t>
        </is>
      </c>
      <c r="R1122" s="187" t="inlineStr">
        <is>
          <t>📅 Schedule patch deployment within 30 days | 🔍 Monitor for exploitation attempts</t>
        </is>
      </c>
      <c r="S1122" s="187" t="inlineStr">
        <is>
          <t>CVE - IP enrichment n/a</t>
        </is>
      </c>
      <c r="T1122" s="187" t="n">
        <v>0</v>
      </c>
      <c r="U1122" s="187" t="n">
        <v>0</v>
      </c>
      <c r="V1122" s="187" t="inlineStr">
        <is>
          <t>T1499:Endpoint Denial of Service</t>
        </is>
      </c>
      <c r="W1122" s="187" t="n">
        <v>1</v>
      </c>
      <c r="X1122" s="187" t="inlineStr">
        <is>
          <t>LOW (40%)</t>
        </is>
      </c>
      <c r="Y1122" s="187" t="inlineStr">
        <is>
          <t>UNLIKELY</t>
        </is>
      </c>
      <c r="Z1122" s="187" t="inlineStr">
        <is>
          <t>PATCH_AVAILABLE</t>
        </is>
      </c>
      <c r="AA1122" s="187" t="inlineStr">
        <is>
          <t>https://nvd.nist.gov/vuln/detail/CVE-2025-11847</t>
        </is>
      </c>
      <c r="AB1122" s="187" t="inlineStr">
        <is>
          <t>NONE</t>
        </is>
      </c>
      <c r="AC1122" s="187" t="n">
        <v>0</v>
      </c>
      <c r="AD1122" s="187" t="inlineStr"/>
    </row>
    <row r="1123">
      <c r="A1123" s="187" t="inlineStr">
        <is>
          <t>CVE</t>
        </is>
      </c>
      <c r="B1123" s="187" t="inlineStr">
        <is>
          <t>CVE-2025-11848</t>
        </is>
      </c>
      <c r="C1123" s="187" t="inlineStr">
        <is>
          <t>A null pointer dereference vulnerability in the Wake-on-LAN CGI program of the Zyxel VMG3625-T50B firmware version through 5.50(ABPM.9.6)C0 and the Zyxel WX3100-T0 firmware versions through 5.50(ABVL.4.8)C0 could allow an authenticated attacker with administrator privileges to trigger a denial-of-service (DoS) condition by sending a crafted HTTP request.</t>
        </is>
      </c>
      <c r="D1123" s="187" t="n">
        <v>4.9</v>
      </c>
      <c r="E1123" s="187" t="inlineStr">
        <is>
          <t>MEDIUM</t>
        </is>
      </c>
      <c r="F1123" s="187" t="n">
        <v>2</v>
      </c>
      <c r="G1123" s="187" t="n">
        <v>2</v>
      </c>
      <c r="H1123" s="187" t="inlineStr">
        <is>
          <t>MEDIUM</t>
        </is>
      </c>
      <c r="I1123" s="187" t="n">
        <v>8.9</v>
      </c>
      <c r="J1123" s="187" t="inlineStr">
        <is>
          <t>NO</t>
        </is>
      </c>
      <c r="K1123" s="187" t="inlineStr">
        <is>
          <t>https://nvd.nist.gov/vuln/detail/CVE-2025-11848</t>
        </is>
      </c>
      <c r="L1123" s="187" t="inlineStr">
        <is>
          <t>2026-02-26 00:15</t>
        </is>
      </c>
      <c r="M1123" s="187" t="inlineStr">
        <is>
          <t>YES</t>
        </is>
      </c>
      <c r="N1123" s="187" t="inlineStr">
        <is>
          <t>https://www.zyxel.com/global/en/support/security-advisories/zyxel-security-advisory-for-null-pointer-dereference-and-command-injection-vulnerabilities-in-certain-4g-lte-5g-nr-cpe-dsl-ethernet-cpe-fiber-onts-security-routers-and-wireless-extenders-02-24-2026</t>
        </is>
      </c>
      <c r="O1123" s="187" t="inlineStr">
        <is>
          <t>Apply vendor patches</t>
        </is>
      </c>
      <c r="P1123" s="187" t="inlineStr">
        <is>
          <t>zyxel vmg4005-b60a_firmware * | zyxel pm7500-00 - | zyxel ex7501-b0 -</t>
        </is>
      </c>
      <c r="Q1123" s="187" t="inlineStr">
        <is>
          <t>P4</t>
        </is>
      </c>
      <c r="R1123" s="187" t="inlineStr">
        <is>
          <t>📅 Schedule patch deployment within 30 days | 🔍 Monitor for exploitation attempts</t>
        </is>
      </c>
      <c r="S1123" s="187" t="inlineStr">
        <is>
          <t>CVE - IP enrichment n/a</t>
        </is>
      </c>
      <c r="T1123" s="187" t="n">
        <v>0.0018</v>
      </c>
      <c r="U1123" s="187" t="n">
        <v>0.3897</v>
      </c>
      <c r="V1123" s="187" t="inlineStr">
        <is>
          <t>T1499:Endpoint Denial of Service</t>
        </is>
      </c>
      <c r="W1123" s="187" t="n">
        <v>1</v>
      </c>
      <c r="X1123" s="187" t="inlineStr">
        <is>
          <t>LOW (40%)</t>
        </is>
      </c>
      <c r="Y1123" s="187" t="inlineStr">
        <is>
          <t>UNLIKELY</t>
        </is>
      </c>
      <c r="Z1123" s="187" t="inlineStr">
        <is>
          <t>PATCH_AVAILABLE</t>
        </is>
      </c>
      <c r="AA1123" s="187" t="inlineStr">
        <is>
          <t>https://nvd.nist.gov/vuln/detail/CVE-2025-11848</t>
        </is>
      </c>
      <c r="AB1123" s="187" t="inlineStr">
        <is>
          <t>NONE</t>
        </is>
      </c>
      <c r="AC1123" s="187" t="n">
        <v>0</v>
      </c>
      <c r="AD1123" s="187" t="inlineStr"/>
    </row>
    <row r="1124">
      <c r="A1124" s="189" t="inlineStr">
        <is>
          <t>CVE</t>
        </is>
      </c>
      <c r="B1124" s="189" t="inlineStr">
        <is>
          <t>CVE-2025-13942</t>
        </is>
      </c>
      <c r="C1124" s="189" t="inlineStr">
        <is>
          <t>A command injection vulnerability in the UPnP function of the Zyxel EX3510-B0 firmware versions through 5.17(ABUP.15.1)C0 could allow a remote attacker to execute operating system (OS) commands on an affected device by sending specially crafted UPnP SOAP requests.</t>
        </is>
      </c>
      <c r="D1124" s="189" t="n">
        <v>9.800000000000001</v>
      </c>
      <c r="E1124" s="189" t="inlineStr">
        <is>
          <t>CRITICAL</t>
        </is>
      </c>
      <c r="F1124" s="189" t="n">
        <v>2</v>
      </c>
      <c r="G1124" s="189" t="n">
        <v>3</v>
      </c>
      <c r="H1124" s="189" t="inlineStr">
        <is>
          <t>HIGH</t>
        </is>
      </c>
      <c r="I1124" s="189" t="n">
        <v>15.8</v>
      </c>
      <c r="J1124" s="189" t="inlineStr">
        <is>
          <t>NO</t>
        </is>
      </c>
      <c r="K1124" s="189" t="inlineStr">
        <is>
          <t>https://nvd.nist.gov/vuln/detail/CVE-2025-13942</t>
        </is>
      </c>
      <c r="L1124" s="189" t="inlineStr">
        <is>
          <t>2026-02-26 00:15</t>
        </is>
      </c>
      <c r="M1124" s="189" t="inlineStr">
        <is>
          <t>YES</t>
        </is>
      </c>
      <c r="N1124" s="189" t="inlineStr">
        <is>
          <t>https://www.zyxel.com/global/en/support/security-advisories/zyxel-security-advisory-for-null-pointer-dereference-and-command-injection-vulnerabilities-in-certain-4g-lte-5g-nr-cpe-dsl-ethernet-cpe-fiber-onts-security-routers-and-wireless-extenders-02-24-2026</t>
        </is>
      </c>
      <c r="O1124" s="189" t="inlineStr">
        <is>
          <t>Apply vendor patches</t>
        </is>
      </c>
      <c r="P1124" s="189" t="inlineStr">
        <is>
          <t>zyxel ex5510-b0 - | zyxel dx4510-b1_firmware * | zyxel dx4510-b0 -</t>
        </is>
      </c>
      <c r="Q1124" s="189" t="inlineStr">
        <is>
          <t>P3</t>
        </is>
      </c>
      <c r="R1124" s="189" t="inlineStr">
        <is>
          <t>🚨 URGENT: Apply vendor patches immediately | 🔒 Isolate affected systems if patch unavailable | 🛡️ Enable additional monitoring/IDS rules</t>
        </is>
      </c>
      <c r="S1124" s="189" t="inlineStr">
        <is>
          <t>CVE - IP enrichment n/a</t>
        </is>
      </c>
      <c r="T1124" s="189" t="n">
        <v>0</v>
      </c>
      <c r="U1124" s="189" t="n">
        <v>0</v>
      </c>
      <c r="V1124" s="189" t="inlineStr">
        <is>
          <t>T1059:Command and Scripting Interpreter</t>
        </is>
      </c>
      <c r="W1124" s="189" t="n">
        <v>1</v>
      </c>
      <c r="X1124" s="189" t="inlineStr">
        <is>
          <t>LOW (40%)</t>
        </is>
      </c>
      <c r="Y1124" s="189" t="inlineStr">
        <is>
          <t>UNLIKELY</t>
        </is>
      </c>
      <c r="Z1124" s="189" t="inlineStr">
        <is>
          <t>PATCH_AVAILABLE</t>
        </is>
      </c>
      <c r="AA1124" s="189" t="inlineStr">
        <is>
          <t>https://nvd.nist.gov/vuln/detail/CVE-2025-13942</t>
        </is>
      </c>
      <c r="AB1124" s="189" t="inlineStr">
        <is>
          <t>NONE</t>
        </is>
      </c>
      <c r="AC1124" s="189" t="n">
        <v>0</v>
      </c>
      <c r="AD1124" s="189" t="inlineStr">
        <is>
          <t>[SecurityAffairs] Critical Zyxel router flaw exposed devices to remote attacks</t>
        </is>
      </c>
    </row>
    <row r="1125">
      <c r="A1125" s="188" t="inlineStr">
        <is>
          <t>CVE</t>
        </is>
      </c>
      <c r="B1125" s="188" t="inlineStr">
        <is>
          <t>CVE-2025-13943</t>
        </is>
      </c>
      <c r="C1125" s="188" t="inlineStr">
        <is>
          <t>A post-authentication command injection vulnerability in the log file download function of the Zyxel EX3301-T0 firmware versions through 5.50(ABVY.7)C0 could allow an authenticated attacker to execute operating system (OS) commands on an affected device.</t>
        </is>
      </c>
      <c r="D1125" s="188" t="n">
        <v>8.800000000000001</v>
      </c>
      <c r="E1125" s="188" t="inlineStr">
        <is>
          <t>HIGH</t>
        </is>
      </c>
      <c r="F1125" s="188" t="n">
        <v>2</v>
      </c>
      <c r="G1125" s="188" t="n">
        <v>3</v>
      </c>
      <c r="H1125" s="188" t="inlineStr">
        <is>
          <t>HIGH</t>
        </is>
      </c>
      <c r="I1125" s="188" t="n">
        <v>14.8</v>
      </c>
      <c r="J1125" s="188" t="inlineStr">
        <is>
          <t>NO</t>
        </is>
      </c>
      <c r="K1125" s="188" t="inlineStr">
        <is>
          <t>https://nvd.nist.gov/vuln/detail/CVE-2025-13943</t>
        </is>
      </c>
      <c r="L1125" s="188" t="inlineStr">
        <is>
          <t>2026-02-26 00:15</t>
        </is>
      </c>
      <c r="M1125" s="188" t="inlineStr">
        <is>
          <t>YES</t>
        </is>
      </c>
      <c r="N1125" s="188" t="inlineStr">
        <is>
          <t>https://www.zyxel.com/global/en/support/security-advisories/zyxel-security-advisory-for-null-pointer-dereference-and-command-injection-vulnerabilities-in-certain-4g-lte-5g-nr-cpe-dsl-ethernet-cpe-fiber-onts-security-routers-and-wireless-extenders-02-24-2026</t>
        </is>
      </c>
      <c r="O1125" s="188" t="inlineStr">
        <is>
          <t>Apply vendor patches</t>
        </is>
      </c>
      <c r="P1125" s="188" t="inlineStr">
        <is>
          <t>zyxel vmg4005-b60a_firmware * | zyxel pm7500-00 - | zyxel ex7501-b0 -</t>
        </is>
      </c>
      <c r="Q1125" s="188" t="inlineStr">
        <is>
          <t>P3</t>
        </is>
      </c>
      <c r="R1125" s="188" t="inlineStr">
        <is>
          <t>🚨 URGENT: Apply vendor patches immediately | 🔒 Isolate affected systems if patch unavailable | 🛡️ Enable additional monitoring/IDS rules</t>
        </is>
      </c>
      <c r="S1125" s="188" t="inlineStr">
        <is>
          <t>CVE - IP enrichment n/a</t>
        </is>
      </c>
      <c r="T1125" s="188" t="n">
        <v>0</v>
      </c>
      <c r="U1125" s="188" t="n">
        <v>0</v>
      </c>
      <c r="V1125" s="188" t="inlineStr">
        <is>
          <t>T1059:Command and Scripting Interpreter</t>
        </is>
      </c>
      <c r="W1125" s="188" t="n">
        <v>1</v>
      </c>
      <c r="X1125" s="188" t="inlineStr">
        <is>
          <t>LOW (40%)</t>
        </is>
      </c>
      <c r="Y1125" s="188" t="inlineStr">
        <is>
          <t>UNLIKELY</t>
        </is>
      </c>
      <c r="Z1125" s="188" t="inlineStr">
        <is>
          <t>PATCH_AVAILABLE</t>
        </is>
      </c>
      <c r="AA1125" s="188" t="inlineStr">
        <is>
          <t>https://nvd.nist.gov/vuln/detail/CVE-2025-13943</t>
        </is>
      </c>
      <c r="AB1125" s="188" t="inlineStr">
        <is>
          <t>NONE</t>
        </is>
      </c>
      <c r="AC1125" s="188" t="n">
        <v>0</v>
      </c>
      <c r="AD1125" s="188" t="inlineStr"/>
    </row>
    <row r="1126">
      <c r="A1126" s="188" t="inlineStr">
        <is>
          <t>CVE</t>
        </is>
      </c>
      <c r="B1126" s="188" t="inlineStr">
        <is>
          <t>CVE-2026-1459</t>
        </is>
      </c>
      <c r="C1126" s="188" t="inlineStr">
        <is>
          <t>A post-authentication command injection vulnerability in the TR-369 certificate download CGI program of the Zyxel VMG3625-T50B firmware versions through 5.50(ABPM.9.7)C0 could allow an authenticated attacker with administrator privileges to execute operating system (OS) commands on an affected device.</t>
        </is>
      </c>
      <c r="D1126" s="188" t="n">
        <v>7.2</v>
      </c>
      <c r="E1126" s="188" t="inlineStr">
        <is>
          <t>HIGH</t>
        </is>
      </c>
      <c r="F1126" s="188" t="n">
        <v>2</v>
      </c>
      <c r="G1126" s="188" t="n">
        <v>3</v>
      </c>
      <c r="H1126" s="188" t="inlineStr">
        <is>
          <t>HIGH</t>
        </is>
      </c>
      <c r="I1126" s="188" t="n">
        <v>13.2</v>
      </c>
      <c r="J1126" s="188" t="inlineStr">
        <is>
          <t>NO</t>
        </is>
      </c>
      <c r="K1126" s="188" t="inlineStr">
        <is>
          <t>https://nvd.nist.gov/vuln/detail/CVE-2026-1459</t>
        </is>
      </c>
      <c r="L1126" s="188" t="inlineStr">
        <is>
          <t>2026-02-26 00:15</t>
        </is>
      </c>
      <c r="M1126" s="188" t="inlineStr">
        <is>
          <t>YES</t>
        </is>
      </c>
      <c r="N1126" s="188" t="inlineStr">
        <is>
          <t>https://www.zyxel.com/global/en/support/security-advisories/zyxel-security-advisory-for-null-pointer-dereference-and-command-injection-vulnerabilities-in-certain-4g-lte-5g-nr-cpe-dsl-ethernet-cpe-fiber-onts-security-routers-and-wireless-extenders-02-24-2026</t>
        </is>
      </c>
      <c r="O1126" s="188" t="inlineStr">
        <is>
          <t>Apply vendor patches</t>
        </is>
      </c>
      <c r="P1126" s="188" t="inlineStr">
        <is>
          <t>zyxel vmg3625-t50b - | zyxel emg5523-t50b_firmware * | zyxel emg3525-t50b -</t>
        </is>
      </c>
      <c r="Q1126" s="188" t="inlineStr">
        <is>
          <t>P3</t>
        </is>
      </c>
      <c r="R1126" s="188" t="inlineStr">
        <is>
          <t>🚨 URGENT: Apply vendor patches immediately | 🔒 Isolate affected systems if patch unavailable | 🛡️ Enable additional monitoring/IDS rules</t>
        </is>
      </c>
      <c r="S1126" s="188" t="inlineStr">
        <is>
          <t>CVE - IP enrichment n/a</t>
        </is>
      </c>
      <c r="T1126" s="188" t="n">
        <v>0</v>
      </c>
      <c r="U1126" s="188" t="n">
        <v>0</v>
      </c>
      <c r="V1126" s="188" t="inlineStr">
        <is>
          <t>T1059:Command and Scripting Interpreter</t>
        </is>
      </c>
      <c r="W1126" s="188" t="n">
        <v>1</v>
      </c>
      <c r="X1126" s="188" t="inlineStr">
        <is>
          <t>LOW (40%)</t>
        </is>
      </c>
      <c r="Y1126" s="188" t="inlineStr">
        <is>
          <t>UNLIKELY</t>
        </is>
      </c>
      <c r="Z1126" s="188" t="inlineStr">
        <is>
          <t>PATCH_AVAILABLE</t>
        </is>
      </c>
      <c r="AA1126" s="188" t="inlineStr">
        <is>
          <t>https://nvd.nist.gov/vuln/detail/CVE-2026-1459</t>
        </is>
      </c>
      <c r="AB1126" s="188" t="inlineStr">
        <is>
          <t>NONE</t>
        </is>
      </c>
      <c r="AC1126" s="188" t="n">
        <v>0</v>
      </c>
      <c r="AD1126" s="188" t="inlineStr"/>
    </row>
    <row r="1127">
      <c r="A1127" s="188" t="inlineStr">
        <is>
          <t>CVE</t>
        </is>
      </c>
      <c r="B1127" s="188" t="inlineStr">
        <is>
          <t>CVE-2026-25989</t>
        </is>
      </c>
      <c r="C1127" s="188" t="inlineStr">
        <is>
          <t>ImageMagick is free and open-source software used for editing and manipulating digital images. Prior to versions 7.1.2-15 and 6.9.13-40, a crafted SVG file can cause a denial of service. An off-by-one boundary check (`&gt;` instead of `&gt;=`) that allows bypass the guard and reach an undefined `(size_t)` cast. Versions 7.1.2-15 and 6.9.13-40 contain a patch.</t>
        </is>
      </c>
      <c r="D1127" s="188" t="n">
        <v>7.5</v>
      </c>
      <c r="E1127" s="188" t="inlineStr">
        <is>
          <t>HIGH</t>
        </is>
      </c>
      <c r="F1127" s="188" t="n">
        <v>2</v>
      </c>
      <c r="G1127" s="188" t="n">
        <v>3</v>
      </c>
      <c r="H1127" s="188" t="inlineStr">
        <is>
          <t>HIGH</t>
        </is>
      </c>
      <c r="I1127" s="188" t="n">
        <v>13.5</v>
      </c>
      <c r="J1127" s="188" t="inlineStr">
        <is>
          <t>NO</t>
        </is>
      </c>
      <c r="K1127" s="188" t="inlineStr">
        <is>
          <t>https://nvd.nist.gov/vuln/detail/CVE-2026-25989</t>
        </is>
      </c>
      <c r="L1127" s="188" t="inlineStr">
        <is>
          <t>2026-02-26 00:15</t>
        </is>
      </c>
      <c r="M1127" s="188" t="inlineStr">
        <is>
          <t>YES</t>
        </is>
      </c>
      <c r="N1127" s="188" t="inlineStr">
        <is>
          <t>https://github.com/ImageMagick/ImageMagick/security/advisories/GHSA-7355-pwx2-pm84</t>
        </is>
      </c>
      <c r="O1127" s="188" t="inlineStr">
        <is>
          <t>Apply vendor patches</t>
        </is>
      </c>
      <c r="P1127" s="188" t="inlineStr">
        <is>
          <t>imagemagick imagemagick *</t>
        </is>
      </c>
      <c r="Q1127" s="188" t="inlineStr">
        <is>
          <t>P3</t>
        </is>
      </c>
      <c r="R1127" s="188" t="inlineStr">
        <is>
          <t>🚨 URGENT: Apply vendor patches immediately | 🔒 Isolate affected systems if patch unavailable | 🛡️ Enable additional monitoring/IDS rules</t>
        </is>
      </c>
      <c r="S1127" s="188" t="inlineStr">
        <is>
          <t>CVE - IP enrichment n/a</t>
        </is>
      </c>
      <c r="T1127" s="188" t="n">
        <v>0</v>
      </c>
      <c r="U1127" s="188" t="n">
        <v>0</v>
      </c>
      <c r="V1127" s="188" t="inlineStr">
        <is>
          <t>T1190:Exploit Public-Facing Application | T1499:Endpoint Denial of Service</t>
        </is>
      </c>
      <c r="W1127" s="188" t="n">
        <v>1</v>
      </c>
      <c r="X1127" s="188" t="inlineStr">
        <is>
          <t>LOW (40%)</t>
        </is>
      </c>
      <c r="Y1127" s="188" t="inlineStr">
        <is>
          <t>UNLIKELY</t>
        </is>
      </c>
      <c r="Z1127" s="188" t="inlineStr">
        <is>
          <t>PATCH_AVAILABLE</t>
        </is>
      </c>
      <c r="AA1127" s="188" t="inlineStr">
        <is>
          <t>https://nvd.nist.gov/vuln/detail/CVE-2026-25989</t>
        </is>
      </c>
      <c r="AB1127" s="188" t="inlineStr">
        <is>
          <t>NONE</t>
        </is>
      </c>
      <c r="AC1127" s="188" t="n">
        <v>0</v>
      </c>
      <c r="AD1127" s="188" t="inlineStr"/>
    </row>
    <row r="1128">
      <c r="A1128" s="187" t="inlineStr">
        <is>
          <t>CVE</t>
        </is>
      </c>
      <c r="B1128" s="187" t="inlineStr">
        <is>
          <t>CVE-2026-26066</t>
        </is>
      </c>
      <c r="C1128" s="187" t="inlineStr">
        <is>
          <t>ImageMagick is free and open-source software used for editing and manipulating digital images. Prior to versions 7.1.2-15 and 6.9.13-40, a crafted profile contain invalid IPTC data may cause an infinite loop when writing it with `IPTCTEXT`. Versions 7.1.2-15 and 6.9.13-40 contain a patch.</t>
        </is>
      </c>
      <c r="D1128" s="187" t="n">
        <v>6.2</v>
      </c>
      <c r="E1128" s="187" t="inlineStr">
        <is>
          <t>MEDIUM</t>
        </is>
      </c>
      <c r="F1128" s="187" t="n">
        <v>2</v>
      </c>
      <c r="G1128" s="187" t="n">
        <v>2</v>
      </c>
      <c r="H1128" s="187" t="inlineStr">
        <is>
          <t>MEDIUM</t>
        </is>
      </c>
      <c r="I1128" s="187" t="n">
        <v>10.2</v>
      </c>
      <c r="J1128" s="187" t="inlineStr">
        <is>
          <t>NO</t>
        </is>
      </c>
      <c r="K1128" s="187" t="inlineStr">
        <is>
          <t>https://nvd.nist.gov/vuln/detail/CVE-2026-26066</t>
        </is>
      </c>
      <c r="L1128" s="187" t="inlineStr">
        <is>
          <t>2026-02-26 00:15</t>
        </is>
      </c>
      <c r="M1128" s="187" t="inlineStr">
        <is>
          <t>CHECK_VENDOR</t>
        </is>
      </c>
      <c r="N1128" s="187" t="inlineStr">
        <is>
          <t>See NVD references</t>
        </is>
      </c>
      <c r="O1128" s="187" t="inlineStr">
        <is>
          <t>Apply vendor patches</t>
        </is>
      </c>
      <c r="P1128" s="187" t="inlineStr">
        <is>
          <t>imagemagick imagemagick *</t>
        </is>
      </c>
      <c r="Q1128" s="187" t="inlineStr">
        <is>
          <t>P4</t>
        </is>
      </c>
      <c r="R1128" s="187" t="inlineStr">
        <is>
          <t>📅 Schedule patch deployment within 30 days | 🔍 Monitor for exploitation attempts</t>
        </is>
      </c>
      <c r="S1128" s="187" t="inlineStr">
        <is>
          <t>CVE - IP enrichment n/a</t>
        </is>
      </c>
      <c r="T1128" s="187" t="n">
        <v>0</v>
      </c>
      <c r="U1128" s="187" t="n">
        <v>0</v>
      </c>
      <c r="V1128" s="187" t="inlineStr">
        <is>
          <t>T1190:Exploit Public-Facing Application</t>
        </is>
      </c>
      <c r="W1128" s="187" t="n">
        <v>1</v>
      </c>
      <c r="X1128" s="187" t="inlineStr">
        <is>
          <t>LOW (40%)</t>
        </is>
      </c>
      <c r="Y1128" s="187" t="inlineStr">
        <is>
          <t>UNLIKELY</t>
        </is>
      </c>
      <c r="Z1128" s="187" t="inlineStr">
        <is>
          <t>CHECK_VENDOR</t>
        </is>
      </c>
      <c r="AA1128" s="187" t="inlineStr">
        <is>
          <t>https://nvd.nist.gov/vuln/detail/CVE-2026-26066</t>
        </is>
      </c>
      <c r="AB1128" s="187" t="inlineStr">
        <is>
          <t>NONE</t>
        </is>
      </c>
      <c r="AC1128" s="187" t="n">
        <v>0</v>
      </c>
      <c r="AD1128" s="187" t="inlineStr"/>
    </row>
    <row r="1129">
      <c r="A1129" s="189" t="inlineStr">
        <is>
          <t>CVE</t>
        </is>
      </c>
      <c r="B1129" s="189" t="inlineStr">
        <is>
          <t>CVE-2026-26198</t>
        </is>
      </c>
      <c r="C1129" s="189" t="inlineStr">
        <is>
          <t>Ormar is a async mini ORM for Python. In versions 0.9.9 through 0.22.0, when performing aggregate queries, Ormar ORM constructs SQL expressions by passing user-supplied column names directly into `sqlalchemy.text()` without any validation or sanitization. The `min()` and `max()` methods in the `QuerySet` class accept arbitrary string input as the column parameter. While `sum()` and `avg()` are partially protected by an `is_numeric` type check that rejects non-existent fields, `min()` and `max()`</t>
        </is>
      </c>
      <c r="D1129" s="189" t="n">
        <v>9.800000000000001</v>
      </c>
      <c r="E1129" s="189" t="inlineStr">
        <is>
          <t>CRITICAL</t>
        </is>
      </c>
      <c r="F1129" s="189" t="n">
        <v>2</v>
      </c>
      <c r="G1129" s="189" t="n">
        <v>3</v>
      </c>
      <c r="H1129" s="189" t="inlineStr">
        <is>
          <t>HIGH</t>
        </is>
      </c>
      <c r="I1129" s="189" t="n">
        <v>15.8</v>
      </c>
      <c r="J1129" s="189" t="inlineStr">
        <is>
          <t>NO</t>
        </is>
      </c>
      <c r="K1129" s="189" t="inlineStr">
        <is>
          <t>https://nvd.nist.gov/vuln/detail/CVE-2026-26198</t>
        </is>
      </c>
      <c r="L1129" s="189" t="inlineStr">
        <is>
          <t>2026-02-26 00:15</t>
        </is>
      </c>
      <c r="M1129" s="189" t="inlineStr">
        <is>
          <t>YES</t>
        </is>
      </c>
      <c r="N1129" s="189" t="inlineStr">
        <is>
          <t>https://github.com/collerek/ormar/commit/a03bae14fe01358d3eaf7e319fcd5db2e4956b16 | https://github.com/collerek/ormar/security/advisories/GHSA-xxh2-68g9-8jqr</t>
        </is>
      </c>
      <c r="O1129" s="189" t="inlineStr">
        <is>
          <t>Apply vendor patches</t>
        </is>
      </c>
      <c r="P1129" s="189" t="inlineStr">
        <is>
          <t>collerek ormar *</t>
        </is>
      </c>
      <c r="Q1129" s="189" t="inlineStr">
        <is>
          <t>P3</t>
        </is>
      </c>
      <c r="R1129" s="189" t="inlineStr">
        <is>
          <t>🚨 URGENT: Apply vendor patches immediately | 🔒 Isolate affected systems if patch unavailable | 🛡️ Enable additional monitoring/IDS rules</t>
        </is>
      </c>
      <c r="S1129" s="189" t="inlineStr">
        <is>
          <t>CVE - IP enrichment n/a</t>
        </is>
      </c>
      <c r="T1129" s="189" t="n">
        <v>0</v>
      </c>
      <c r="U1129" s="189" t="n">
        <v>0</v>
      </c>
      <c r="V1129" s="189" t="inlineStr">
        <is>
          <t>T1190:Exploit Public-Facing Application</t>
        </is>
      </c>
      <c r="W1129" s="189" t="n">
        <v>1</v>
      </c>
      <c r="X1129" s="189" t="inlineStr">
        <is>
          <t>LOW (40%)</t>
        </is>
      </c>
      <c r="Y1129" s="189" t="inlineStr">
        <is>
          <t>UNLIKELY</t>
        </is>
      </c>
      <c r="Z1129" s="189" t="inlineStr">
        <is>
          <t>PATCH_AVAILABLE</t>
        </is>
      </c>
      <c r="AA1129" s="189" t="inlineStr">
        <is>
          <t>https://nvd.nist.gov/vuln/detail/CVE-2026-26198</t>
        </is>
      </c>
      <c r="AB1129" s="189" t="inlineStr">
        <is>
          <t>NONE</t>
        </is>
      </c>
      <c r="AC1129" s="189" t="n">
        <v>0</v>
      </c>
      <c r="AD1129" s="189" t="inlineStr"/>
    </row>
    <row r="1130">
      <c r="A1130" s="187" t="inlineStr">
        <is>
          <t>CVE</t>
        </is>
      </c>
      <c r="B1130" s="187" t="inlineStr">
        <is>
          <t>CVE-2026-26283</t>
        </is>
      </c>
      <c r="C1130" s="187" t="inlineStr">
        <is>
          <t>ImageMagick is free and open-source software used for editing and manipulating digital images. Prior to versions 7.1.2-15 and 6.9.13-40, a `continue` statement in the JPEG extent binary search loop in the jpeg encoder causes an infinite loop when writing persistently fails. An attacker can trigger a 100% CPU consumption and process hang (Denial of Service) with a crafted image. Versions 7.1.2-15 and 6.9.13-40 contain a patch.</t>
        </is>
      </c>
      <c r="D1130" s="187" t="n">
        <v>6.2</v>
      </c>
      <c r="E1130" s="187" t="inlineStr">
        <is>
          <t>MEDIUM</t>
        </is>
      </c>
      <c r="F1130" s="187" t="n">
        <v>2</v>
      </c>
      <c r="G1130" s="187" t="n">
        <v>2</v>
      </c>
      <c r="H1130" s="187" t="inlineStr">
        <is>
          <t>MEDIUM</t>
        </is>
      </c>
      <c r="I1130" s="187" t="n">
        <v>10.2</v>
      </c>
      <c r="J1130" s="187" t="inlineStr">
        <is>
          <t>NO</t>
        </is>
      </c>
      <c r="K1130" s="187" t="inlineStr">
        <is>
          <t>https://nvd.nist.gov/vuln/detail/CVE-2026-26283</t>
        </is>
      </c>
      <c r="L1130" s="187" t="inlineStr">
        <is>
          <t>2026-02-26 00:15</t>
        </is>
      </c>
      <c r="M1130" s="187" t="inlineStr">
        <is>
          <t>YES</t>
        </is>
      </c>
      <c r="N1130" s="187" t="inlineStr">
        <is>
          <t>https://github.com/ImageMagick/ImageMagick/security/advisories/GHSA-gwr3-x37h-h84v</t>
        </is>
      </c>
      <c r="O1130" s="187" t="inlineStr">
        <is>
          <t>Apply vendor patches</t>
        </is>
      </c>
      <c r="P1130" s="187" t="inlineStr">
        <is>
          <t>imagemagick imagemagick *</t>
        </is>
      </c>
      <c r="Q1130" s="187" t="inlineStr">
        <is>
          <t>P4</t>
        </is>
      </c>
      <c r="R1130" s="187" t="inlineStr">
        <is>
          <t>📅 Schedule patch deployment within 30 days | 🔍 Monitor for exploitation attempts</t>
        </is>
      </c>
      <c r="S1130" s="187" t="inlineStr">
        <is>
          <t>CVE - IP enrichment n/a</t>
        </is>
      </c>
      <c r="T1130" s="187" t="n">
        <v>0</v>
      </c>
      <c r="U1130" s="187" t="n">
        <v>0</v>
      </c>
      <c r="V1130" s="187" t="inlineStr">
        <is>
          <t>T1190:Exploit Public-Facing Application | T1499:Endpoint Denial of Service</t>
        </is>
      </c>
      <c r="W1130" s="187" t="n">
        <v>1</v>
      </c>
      <c r="X1130" s="187" t="inlineStr">
        <is>
          <t>LOW (40%)</t>
        </is>
      </c>
      <c r="Y1130" s="187" t="inlineStr">
        <is>
          <t>UNLIKELY</t>
        </is>
      </c>
      <c r="Z1130" s="187" t="inlineStr">
        <is>
          <t>PATCH_AVAILABLE</t>
        </is>
      </c>
      <c r="AA1130" s="187" t="inlineStr">
        <is>
          <t>https://nvd.nist.gov/vuln/detail/CVE-2026-26283</t>
        </is>
      </c>
      <c r="AB1130" s="187" t="inlineStr">
        <is>
          <t>NONE</t>
        </is>
      </c>
      <c r="AC1130" s="187" t="n">
        <v>0</v>
      </c>
      <c r="AD1130" s="187" t="inlineStr"/>
    </row>
    <row r="1131">
      <c r="A1131" s="187" t="inlineStr">
        <is>
          <t>CVE</t>
        </is>
      </c>
      <c r="B1131" s="187" t="inlineStr">
        <is>
          <t>CVE-2026-26284</t>
        </is>
      </c>
      <c r="C1131" s="187" t="inlineStr">
        <is>
          <t>ImageMagick is free and open-source software used for editing and manipulating digital images. Prior to versions 7.1.2-15 and 6.9.13-40, ImageMagick lacks proper boundary checking when processing Huffman-coded data from PCD (Photo CD) files. The decoder contains an function that has an incorrect initialization that could cause an out of bounds read. Versions 7.1.2-15 and 6.9.13-40 contain a patch.</t>
        </is>
      </c>
      <c r="D1131" s="187" t="n">
        <v>6.5</v>
      </c>
      <c r="E1131" s="187" t="inlineStr">
        <is>
          <t>MEDIUM</t>
        </is>
      </c>
      <c r="F1131" s="187" t="n">
        <v>2</v>
      </c>
      <c r="G1131" s="187" t="n">
        <v>2</v>
      </c>
      <c r="H1131" s="187" t="inlineStr">
        <is>
          <t>MEDIUM</t>
        </is>
      </c>
      <c r="I1131" s="187" t="n">
        <v>10.5</v>
      </c>
      <c r="J1131" s="187" t="inlineStr">
        <is>
          <t>NO</t>
        </is>
      </c>
      <c r="K1131" s="187" t="inlineStr">
        <is>
          <t>https://nvd.nist.gov/vuln/detail/CVE-2026-26284</t>
        </is>
      </c>
      <c r="L1131" s="187" t="inlineStr">
        <is>
          <t>2026-02-26 00:15</t>
        </is>
      </c>
      <c r="M1131" s="187" t="inlineStr">
        <is>
          <t>YES</t>
        </is>
      </c>
      <c r="N1131" s="187" t="inlineStr">
        <is>
          <t>https://github.com/ImageMagick/ImageMagick/security/advisories/GHSA-wrhr-rf8j-r842</t>
        </is>
      </c>
      <c r="O1131" s="187" t="inlineStr">
        <is>
          <t>Apply vendor patches</t>
        </is>
      </c>
      <c r="P1131" s="187" t="inlineStr">
        <is>
          <t>imagemagick imagemagick *</t>
        </is>
      </c>
      <c r="Q1131" s="187" t="inlineStr">
        <is>
          <t>P4</t>
        </is>
      </c>
      <c r="R1131" s="187" t="inlineStr">
        <is>
          <t>📅 Schedule patch deployment within 30 days | 🔍 Monitor for exploitation attempts</t>
        </is>
      </c>
      <c r="S1131" s="187" t="inlineStr">
        <is>
          <t>CVE - IP enrichment n/a</t>
        </is>
      </c>
      <c r="T1131" s="187" t="n">
        <v>0.0004</v>
      </c>
      <c r="U1131" s="187" t="n">
        <v>0.1313</v>
      </c>
      <c r="V1131" s="187" t="inlineStr">
        <is>
          <t>T1203:Exploitation for Client Execution | T1190:Exploit Public-Facing Application</t>
        </is>
      </c>
      <c r="W1131" s="187" t="n">
        <v>1</v>
      </c>
      <c r="X1131" s="187" t="inlineStr">
        <is>
          <t>LOW (40%)</t>
        </is>
      </c>
      <c r="Y1131" s="187" t="inlineStr">
        <is>
          <t>UNLIKELY</t>
        </is>
      </c>
      <c r="Z1131" s="187" t="inlineStr">
        <is>
          <t>PATCH_AVAILABLE</t>
        </is>
      </c>
      <c r="AA1131" s="187" t="inlineStr">
        <is>
          <t>https://nvd.nist.gov/vuln/detail/CVE-2026-26284</t>
        </is>
      </c>
      <c r="AB1131" s="187" t="inlineStr">
        <is>
          <t>NONE</t>
        </is>
      </c>
      <c r="AC1131" s="187" t="n">
        <v>0</v>
      </c>
      <c r="AD1131" s="187" t="inlineStr"/>
    </row>
    <row r="1132">
      <c r="A1132" s="188" t="inlineStr">
        <is>
          <t>CVE</t>
        </is>
      </c>
      <c r="B1132" s="188" t="inlineStr">
        <is>
          <t>CVE-2026-26331</t>
        </is>
      </c>
      <c r="C1132" s="188" t="inlineStr">
        <is>
          <t>yt-dlp is a command-line audio/video downloader. Starting in version 2023.06.21 and prior to version 2026.02.21, when yt-dlp's `--netrc-cmd` command-line option (or `netrc_cmd` Python API parameter) is used, an attacker could achieve arbitrary command injection on the user's system with a maliciously crafted URL. yt-dlp maintainers assume the impact of this vulnerability to be high for anyone who uses `--netrc-cmd` in their command/configuration or `netrc_cmd` in their Python scripts. Even thoug</t>
        </is>
      </c>
      <c r="D1132" s="188" t="n">
        <v>8.800000000000001</v>
      </c>
      <c r="E1132" s="188" t="inlineStr">
        <is>
          <t>HIGH</t>
        </is>
      </c>
      <c r="F1132" s="188" t="n">
        <v>2</v>
      </c>
      <c r="G1132" s="188" t="n">
        <v>3</v>
      </c>
      <c r="H1132" s="188" t="inlineStr">
        <is>
          <t>HIGH</t>
        </is>
      </c>
      <c r="I1132" s="188" t="n">
        <v>14.8</v>
      </c>
      <c r="J1132" s="188" t="inlineStr">
        <is>
          <t>NO</t>
        </is>
      </c>
      <c r="K1132" s="188" t="inlineStr">
        <is>
          <t>https://nvd.nist.gov/vuln/detail/CVE-2026-26331</t>
        </is>
      </c>
      <c r="L1132" s="188" t="inlineStr">
        <is>
          <t>2026-02-26 00:15</t>
        </is>
      </c>
      <c r="M1132" s="188" t="inlineStr">
        <is>
          <t>YES</t>
        </is>
      </c>
      <c r="N1132" s="188" t="inlineStr">
        <is>
          <t>https://github.com/yt-dlp/yt-dlp/commit/1fbbe29b99dc61375bf6d786f824d9fcf6ea9c1a | https://github.com/yt-dlp/yt-dlp/security/advisories/GHSA-g3gw-q23r-pgqm</t>
        </is>
      </c>
      <c r="O1132" s="188" t="inlineStr">
        <is>
          <t>https://github.com/yt-dlp/yt-dlp/security/advisories/GHSA-g3gw-q23r-pgqm</t>
        </is>
      </c>
      <c r="P1132" s="188" t="inlineStr">
        <is>
          <t>yt-dlp_project yt-dlp *</t>
        </is>
      </c>
      <c r="Q1132" s="188" t="inlineStr">
        <is>
          <t>P3</t>
        </is>
      </c>
      <c r="R1132" s="188" t="inlineStr">
        <is>
          <t>🚨 URGENT: Apply vendor patches immediately | 🔒 Isolate affected systems if patch unavailable | 🛡️ Enable additional monitoring/IDS rules</t>
        </is>
      </c>
      <c r="S1132" s="188" t="inlineStr">
        <is>
          <t>CVE - IP enrichment n/a</t>
        </is>
      </c>
      <c r="T1132" s="188" t="n">
        <v>0</v>
      </c>
      <c r="U1132" s="188" t="n">
        <v>0</v>
      </c>
      <c r="V1132" s="188" t="inlineStr">
        <is>
          <t>T1059:Command and Scripting Interpreter</t>
        </is>
      </c>
      <c r="W1132" s="188" t="n">
        <v>1</v>
      </c>
      <c r="X1132" s="188" t="inlineStr">
        <is>
          <t>LOW (40%)</t>
        </is>
      </c>
      <c r="Y1132" s="188" t="inlineStr">
        <is>
          <t>UNLIKELY</t>
        </is>
      </c>
      <c r="Z1132" s="188" t="inlineStr">
        <is>
          <t>PATCH_AVAILABLE</t>
        </is>
      </c>
      <c r="AA1132" s="188" t="inlineStr">
        <is>
          <t>https://nvd.nist.gov/vuln/detail/CVE-2026-26331</t>
        </is>
      </c>
      <c r="AB1132" s="188" t="inlineStr">
        <is>
          <t>NONE</t>
        </is>
      </c>
      <c r="AC1132" s="188" t="n">
        <v>0</v>
      </c>
      <c r="AD1132" s="188" t="inlineStr"/>
    </row>
    <row r="1133">
      <c r="A1133" s="187" t="inlineStr">
        <is>
          <t>CVE</t>
        </is>
      </c>
      <c r="B1133" s="187" t="inlineStr">
        <is>
          <t>CVE-2026-26981</t>
        </is>
      </c>
      <c r="C1133" s="187" t="inlineStr">
        <is>
          <t>OpenEXR provides the specification and reference implementation of the EXR file format, an image storage format for the motion picture industry. In versions 3.3.0 through 3.3.6 and 3.4.0 through 3.4.4, a heap-buffer-overflow (OOB read) occurs in the `istream_nonparallel_read` function in `ImfContextInit.cpp` when parsing a malformed EXR file through a memory-mapped `IStream`. A signed integer subtraction produces a negative value that is implicitly converted to `size_t`, resulting in a massive l</t>
        </is>
      </c>
      <c r="D1133" s="187" t="n">
        <v>6.5</v>
      </c>
      <c r="E1133" s="187" t="inlineStr">
        <is>
          <t>MEDIUM</t>
        </is>
      </c>
      <c r="F1133" s="187" t="n">
        <v>2</v>
      </c>
      <c r="G1133" s="187" t="n">
        <v>2</v>
      </c>
      <c r="H1133" s="187" t="inlineStr">
        <is>
          <t>MEDIUM</t>
        </is>
      </c>
      <c r="I1133" s="187" t="n">
        <v>10.5</v>
      </c>
      <c r="J1133" s="187" t="inlineStr">
        <is>
          <t>NO</t>
        </is>
      </c>
      <c r="K1133" s="187" t="inlineStr">
        <is>
          <t>https://nvd.nist.gov/vuln/detail/CVE-2026-26981</t>
        </is>
      </c>
      <c r="L1133" s="187" t="inlineStr">
        <is>
          <t>2026-02-26 00:15</t>
        </is>
      </c>
      <c r="M1133" s="187" t="inlineStr">
        <is>
          <t>YES</t>
        </is>
      </c>
      <c r="N1133" s="187" t="inlineStr">
        <is>
          <t>https://github.com/AcademySoftwareFoundation/openexr/commit/6bb2ddf1068573d073edf81270a015b38cc05cef | https://github.com/AcademySoftwareFoundation/openexr/commit/d2be382758adc3e9ab83a3de35138ec28d93ebd8 | https://github.com/AcademySoftwareFoundation/openexr/security/advisories/GHSA-q6vj-wxvf-5m8c</t>
        </is>
      </c>
      <c r="O1133" s="187" t="inlineStr">
        <is>
          <t>Apply vendor patches</t>
        </is>
      </c>
      <c r="P1133" s="187" t="inlineStr">
        <is>
          <t>openexr openexr *</t>
        </is>
      </c>
      <c r="Q1133" s="187" t="inlineStr">
        <is>
          <t>P4</t>
        </is>
      </c>
      <c r="R1133" s="187" t="inlineStr">
        <is>
          <t>📅 Schedule patch deployment within 30 days | 🔍 Monitor for exploitation attempts</t>
        </is>
      </c>
      <c r="S1133" s="187" t="inlineStr">
        <is>
          <t>CVE - IP enrichment n/a</t>
        </is>
      </c>
      <c r="T1133" s="187" t="n">
        <v>0</v>
      </c>
      <c r="U1133" s="187" t="n">
        <v>0</v>
      </c>
      <c r="V1133" s="187" t="inlineStr">
        <is>
          <t>T1190:Exploit Public-Facing Application</t>
        </is>
      </c>
      <c r="W1133" s="187" t="n">
        <v>1</v>
      </c>
      <c r="X1133" s="187" t="inlineStr">
        <is>
          <t>LOW (40%)</t>
        </is>
      </c>
      <c r="Y1133" s="187" t="inlineStr">
        <is>
          <t>UNLIKELY</t>
        </is>
      </c>
      <c r="Z1133" s="187" t="inlineStr">
        <is>
          <t>PATCH_AVAILABLE</t>
        </is>
      </c>
      <c r="AA1133" s="187" t="inlineStr">
        <is>
          <t>https://nvd.nist.gov/vuln/detail/CVE-2026-26981</t>
        </is>
      </c>
      <c r="AB1133" s="187" t="inlineStr">
        <is>
          <t>NONE</t>
        </is>
      </c>
      <c r="AC1133" s="187" t="n">
        <v>0</v>
      </c>
      <c r="AD1133" s="187" t="inlineStr"/>
    </row>
    <row r="1134">
      <c r="A1134" s="187" t="inlineStr">
        <is>
          <t>CVE</t>
        </is>
      </c>
      <c r="B1134" s="187" t="inlineStr">
        <is>
          <t>CVE-2026-26983</t>
        </is>
      </c>
      <c r="C1134" s="187" t="inlineStr">
        <is>
          <t>ImageMagick is free and open-source software used for editing and manipulating digital images. Prior to versions 7.1.2-15 and 6.9.13-40, the MSL interpreter crashes when processing a invalid ` ` element that causes it to use an image after it has been freed. Versions 7.1.2-15 and 6.9.13-40 contain a patch.</t>
        </is>
      </c>
      <c r="D1134" s="187" t="n">
        <v>5.3</v>
      </c>
      <c r="E1134" s="187" t="inlineStr">
        <is>
          <t>MEDIUM</t>
        </is>
      </c>
      <c r="F1134" s="187" t="n">
        <v>2</v>
      </c>
      <c r="G1134" s="187" t="n">
        <v>2</v>
      </c>
      <c r="H1134" s="187" t="inlineStr">
        <is>
          <t>MEDIUM</t>
        </is>
      </c>
      <c r="I1134" s="187" t="n">
        <v>9.300000000000001</v>
      </c>
      <c r="J1134" s="187" t="inlineStr">
        <is>
          <t>NO</t>
        </is>
      </c>
      <c r="K1134" s="187" t="inlineStr">
        <is>
          <t>https://nvd.nist.gov/vuln/detail/CVE-2026-26983</t>
        </is>
      </c>
      <c r="L1134" s="187" t="inlineStr">
        <is>
          <t>2026-02-26 00:15</t>
        </is>
      </c>
      <c r="M1134" s="187" t="inlineStr">
        <is>
          <t>YES</t>
        </is>
      </c>
      <c r="N1134" s="187" t="inlineStr">
        <is>
          <t>https://github.com/ImageMagick/ImageMagick/security/advisories/GHSA-w8mw-frc6-r7m8</t>
        </is>
      </c>
      <c r="O1134" s="187" t="inlineStr">
        <is>
          <t>Apply vendor patches</t>
        </is>
      </c>
      <c r="P1134" s="187" t="inlineStr">
        <is>
          <t>imagemagick imagemagick *</t>
        </is>
      </c>
      <c r="Q1134" s="187" t="inlineStr">
        <is>
          <t>P4</t>
        </is>
      </c>
      <c r="R1134" s="187" t="inlineStr">
        <is>
          <t>📅 Schedule patch deployment within 30 days | 🔍 Monitor for exploitation attempts</t>
        </is>
      </c>
      <c r="S1134" s="187" t="inlineStr">
        <is>
          <t>CVE - IP enrichment n/a</t>
        </is>
      </c>
      <c r="T1134" s="187" t="n">
        <v>0</v>
      </c>
      <c r="U1134" s="187" t="n">
        <v>0</v>
      </c>
      <c r="V1134" s="187" t="inlineStr">
        <is>
          <t>T1499:Endpoint Denial of Service | T1203:Exploitation for Client Execution | T1190:Exploit Public-Facing Application</t>
        </is>
      </c>
      <c r="W1134" s="187" t="n">
        <v>1</v>
      </c>
      <c r="X1134" s="187" t="inlineStr">
        <is>
          <t>LOW (40%)</t>
        </is>
      </c>
      <c r="Y1134" s="187" t="inlineStr">
        <is>
          <t>UNLIKELY</t>
        </is>
      </c>
      <c r="Z1134" s="187" t="inlineStr">
        <is>
          <t>PATCH_AVAILABLE</t>
        </is>
      </c>
      <c r="AA1134" s="187" t="inlineStr">
        <is>
          <t>https://nvd.nist.gov/vuln/detail/CVE-2026-26983</t>
        </is>
      </c>
      <c r="AB1134" s="187" t="inlineStr">
        <is>
          <t>NONE</t>
        </is>
      </c>
      <c r="AC1134" s="187" t="n">
        <v>0</v>
      </c>
      <c r="AD1134" s="187" t="inlineStr"/>
    </row>
    <row r="1135">
      <c r="A1135" s="187" t="inlineStr">
        <is>
          <t>CVE</t>
        </is>
      </c>
      <c r="B1135" s="187" t="inlineStr">
        <is>
          <t>CVE-2026-27126</t>
        </is>
      </c>
      <c r="C1135" s="187" t="inlineStr">
        <is>
          <t>Craft is a content management system (CMS). In versions 4.5.0-RC1 through 4.16.18 and 5.0.0-RC1 through 5.8.22, a stored Cross-site Scripting (XSS) vulnerability exists in the `editableTable.twig` component when using the `html` column type. The application fails to sanitize the input, allowing an attacker to execute arbitrary JavaScript when another user views a page with the malicious table field. In order to exploit the vulnerability, an attacker must have an administrator account, and `allow</t>
        </is>
      </c>
      <c r="D1135" s="187" t="n">
        <v>5</v>
      </c>
      <c r="E1135" s="187" t="inlineStr">
        <is>
          <t>MEDIUM</t>
        </is>
      </c>
      <c r="F1135" s="187" t="n">
        <v>2</v>
      </c>
      <c r="G1135" s="187" t="n">
        <v>2</v>
      </c>
      <c r="H1135" s="187" t="inlineStr">
        <is>
          <t>MEDIUM</t>
        </is>
      </c>
      <c r="I1135" s="187" t="n">
        <v>9</v>
      </c>
      <c r="J1135" s="187" t="inlineStr">
        <is>
          <t>NO</t>
        </is>
      </c>
      <c r="K1135" s="187" t="inlineStr">
        <is>
          <t>https://nvd.nist.gov/vuln/detail/CVE-2026-27126</t>
        </is>
      </c>
      <c r="L1135" s="187" t="inlineStr">
        <is>
          <t>2026-02-26 00:15</t>
        </is>
      </c>
      <c r="M1135" s="187" t="inlineStr">
        <is>
          <t>CHECK_VENDOR</t>
        </is>
      </c>
      <c r="N1135" s="187" t="inlineStr">
        <is>
          <t>See NVD references</t>
        </is>
      </c>
      <c r="O1135" s="187" t="inlineStr">
        <is>
          <t>Apply vendor patches</t>
        </is>
      </c>
      <c r="P1135" s="187" t="inlineStr">
        <is>
          <t>See CVE details</t>
        </is>
      </c>
      <c r="Q1135" s="187" t="inlineStr">
        <is>
          <t>P4</t>
        </is>
      </c>
      <c r="R1135" s="187" t="inlineStr">
        <is>
          <t>📅 Schedule patch deployment within 30 days | 🔍 Monitor for exploitation attempts</t>
        </is>
      </c>
      <c r="S1135" s="187" t="inlineStr">
        <is>
          <t>CVE - IP enrichment n/a</t>
        </is>
      </c>
      <c r="T1135" s="187" t="n">
        <v>0</v>
      </c>
      <c r="U1135" s="187" t="n">
        <v>0</v>
      </c>
      <c r="V1135" s="187" t="inlineStr">
        <is>
          <t>T1189:Drive-by Compromise</t>
        </is>
      </c>
      <c r="W1135" s="187" t="n">
        <v>1</v>
      </c>
      <c r="X1135" s="187" t="inlineStr">
        <is>
          <t>LOW (40%)</t>
        </is>
      </c>
      <c r="Y1135" s="187" t="inlineStr">
        <is>
          <t>UNLIKELY</t>
        </is>
      </c>
      <c r="Z1135" s="187" t="inlineStr">
        <is>
          <t>CHECK_VENDOR</t>
        </is>
      </c>
      <c r="AA1135" s="187" t="inlineStr">
        <is>
          <t>https://nvd.nist.gov/vuln/detail/CVE-2026-27126</t>
        </is>
      </c>
      <c r="AB1135" s="187" t="inlineStr">
        <is>
          <t>NONE</t>
        </is>
      </c>
      <c r="AC1135" s="187" t="n">
        <v>0</v>
      </c>
      <c r="AD1135" s="187" t="inlineStr"/>
    </row>
    <row r="1136">
      <c r="A1136" s="187" t="inlineStr">
        <is>
          <t>CVE</t>
        </is>
      </c>
      <c r="B1136" s="187" t="inlineStr">
        <is>
          <t>CVE-2026-27127</t>
        </is>
      </c>
      <c r="C1136" s="187" t="inlineStr">
        <is>
          <t xml:space="preserve">Craft is a content management system (CMS). In versions 4.5.0-RC1 through 4.16.18 and 5.0.0-RC1 through 5.8.22, the SSRF validation in Craft CMS’s GraphQL Asset mutation performs DNS resolution separately from the HTTP request. This Time-of-Check-Time-of-Use (TOCTOU) vulnerability enables DNS rebinding attacks, where an attacker’s DNS server returns different IP addresses for validation compared to the actual request. This is a bypass of the security fix for CVE-2025-68437 that allows access to </t>
        </is>
      </c>
      <c r="D1136" s="187" t="n">
        <v>6.3</v>
      </c>
      <c r="E1136" s="187" t="inlineStr">
        <is>
          <t>MEDIUM</t>
        </is>
      </c>
      <c r="F1136" s="187" t="n">
        <v>2</v>
      </c>
      <c r="G1136" s="187" t="n">
        <v>2</v>
      </c>
      <c r="H1136" s="187" t="inlineStr">
        <is>
          <t>MEDIUM</t>
        </is>
      </c>
      <c r="I1136" s="187" t="n">
        <v>10.3</v>
      </c>
      <c r="J1136" s="187" t="inlineStr">
        <is>
          <t>NO</t>
        </is>
      </c>
      <c r="K1136" s="187" t="inlineStr">
        <is>
          <t>https://nvd.nist.gov/vuln/detail/CVE-2026-27127</t>
        </is>
      </c>
      <c r="L1136" s="187" t="inlineStr">
        <is>
          <t>2026-02-26 00:15</t>
        </is>
      </c>
      <c r="M1136" s="187" t="inlineStr">
        <is>
          <t>YES</t>
        </is>
      </c>
      <c r="N1136" s="187" t="inlineStr">
        <is>
          <t>https://github.com/craftcms/cms/commit/a4cf3fb63bba3249cf1e2882b18a2d29e77a8575 | https://github.com/craftcms/cms/security/advisories/GHSA-gp2f-7wcm-5fhx | https://github.com/craftcms/cms/security/advisories/GHSA-x27p-wfqw-hfcc</t>
        </is>
      </c>
      <c r="O1136" s="187" t="inlineStr">
        <is>
          <t>https://github.com/craftcms/cms/security/advisories/GHSA-gp2f-7wcm-5fhx</t>
        </is>
      </c>
      <c r="P1136" s="187" t="inlineStr">
        <is>
          <t>craftcms craft_cms * | craftcms craft_cms 3.5.0</t>
        </is>
      </c>
      <c r="Q1136" s="187" t="inlineStr">
        <is>
          <t>P4</t>
        </is>
      </c>
      <c r="R1136" s="187" t="inlineStr">
        <is>
          <t>📅 Schedule patch deployment within 30 days | 🔍 Monitor for exploitation attempts</t>
        </is>
      </c>
      <c r="S1136" s="187" t="inlineStr">
        <is>
          <t>CVE - IP enrichment n/a</t>
        </is>
      </c>
      <c r="T1136" s="187" t="n">
        <v>0</v>
      </c>
      <c r="U1136" s="187" t="n">
        <v>0</v>
      </c>
      <c r="V1136" s="187" t="inlineStr">
        <is>
          <t>T1090:Proxy</t>
        </is>
      </c>
      <c r="W1136" s="187" t="n">
        <v>1</v>
      </c>
      <c r="X1136" s="187" t="inlineStr">
        <is>
          <t>LOW (40%)</t>
        </is>
      </c>
      <c r="Y1136" s="187" t="inlineStr">
        <is>
          <t>UNLIKELY</t>
        </is>
      </c>
      <c r="Z1136" s="187" t="inlineStr">
        <is>
          <t>PATCH_AVAILABLE</t>
        </is>
      </c>
      <c r="AA1136" s="187" t="inlineStr">
        <is>
          <t>https://nvd.nist.gov/vuln/detail/CVE-2026-27127</t>
        </is>
      </c>
      <c r="AB1136" s="187" t="inlineStr">
        <is>
          <t>NONE</t>
        </is>
      </c>
      <c r="AC1136" s="187" t="n">
        <v>0</v>
      </c>
      <c r="AD1136" s="187" t="inlineStr"/>
    </row>
    <row r="1137">
      <c r="A1137" s="187" t="inlineStr">
        <is>
          <t>CVE</t>
        </is>
      </c>
      <c r="B1137" s="187" t="inlineStr">
        <is>
          <t>CVE-2026-27128</t>
        </is>
      </c>
      <c r="C1137" s="187" t="inlineStr">
        <is>
          <t>Craft is a content management system (CMS). In versions 4.5.0-RC1 through 4.16.18 and 5.0.0-RC1 through 5.8.22, a Time-of-Check-Time-of-Use (TOCTOU) race condition exists in Craft CMS’s token validation service for tokens that explicitly set a limited usage. The `getTokenRoute()` method reads a token’s usage count, checks if it’s within limits, then updates the database in separate non-atomic operations. By sending concurrent requests, an attacker can use a single-use impersonation token multipl</t>
        </is>
      </c>
      <c r="D1137" s="187" t="n">
        <v>5</v>
      </c>
      <c r="E1137" s="187" t="inlineStr">
        <is>
          <t>MEDIUM</t>
        </is>
      </c>
      <c r="F1137" s="187" t="n">
        <v>2</v>
      </c>
      <c r="G1137" s="187" t="n">
        <v>2</v>
      </c>
      <c r="H1137" s="187" t="inlineStr">
        <is>
          <t>MEDIUM</t>
        </is>
      </c>
      <c r="I1137" s="187" t="n">
        <v>9</v>
      </c>
      <c r="J1137" s="187" t="inlineStr">
        <is>
          <t>NO</t>
        </is>
      </c>
      <c r="K1137" s="187" t="inlineStr">
        <is>
          <t>https://nvd.nist.gov/vuln/detail/CVE-2026-27128</t>
        </is>
      </c>
      <c r="L1137" s="187" t="inlineStr">
        <is>
          <t>2026-02-26 00:15</t>
        </is>
      </c>
      <c r="M1137" s="187" t="inlineStr">
        <is>
          <t>CHECK_VENDOR</t>
        </is>
      </c>
      <c r="N1137" s="187" t="inlineStr">
        <is>
          <t>See NVD references</t>
        </is>
      </c>
      <c r="O1137" s="187" t="inlineStr">
        <is>
          <t>Apply vendor patches</t>
        </is>
      </c>
      <c r="P1137" s="187" t="inlineStr">
        <is>
          <t>See CVE details</t>
        </is>
      </c>
      <c r="Q1137" s="187" t="inlineStr">
        <is>
          <t>P4</t>
        </is>
      </c>
      <c r="R1137" s="187" t="inlineStr">
        <is>
          <t>📅 Schedule patch deployment within 30 days | 🔍 Monitor for exploitation attempts</t>
        </is>
      </c>
      <c r="S1137" s="187" t="inlineStr">
        <is>
          <t>CVE - IP enrichment n/a</t>
        </is>
      </c>
      <c r="T1137" s="187" t="n">
        <v>0</v>
      </c>
      <c r="U1137" s="187" t="n">
        <v>0</v>
      </c>
      <c r="V1137" s="187" t="inlineStr">
        <is>
          <t>T1068:Exploitation for Privilege Escalation</t>
        </is>
      </c>
      <c r="W1137" s="187" t="n">
        <v>1</v>
      </c>
      <c r="X1137" s="187" t="inlineStr">
        <is>
          <t>LOW (40%)</t>
        </is>
      </c>
      <c r="Y1137" s="187" t="inlineStr">
        <is>
          <t>UNLIKELY</t>
        </is>
      </c>
      <c r="Z1137" s="187" t="inlineStr">
        <is>
          <t>CHECK_VENDOR</t>
        </is>
      </c>
      <c r="AA1137" s="187" t="inlineStr">
        <is>
          <t>https://nvd.nist.gov/vuln/detail/CVE-2026-27128</t>
        </is>
      </c>
      <c r="AB1137" s="187" t="inlineStr">
        <is>
          <t>NONE</t>
        </is>
      </c>
      <c r="AC1137" s="187" t="n">
        <v>0</v>
      </c>
      <c r="AD1137" s="187" t="inlineStr"/>
    </row>
    <row r="1138">
      <c r="A1138" s="187" t="inlineStr">
        <is>
          <t>CVE</t>
        </is>
      </c>
      <c r="B1138" s="187" t="inlineStr">
        <is>
          <t>CVE-2026-27129</t>
        </is>
      </c>
      <c r="C1138" s="187" t="inlineStr">
        <is>
          <t>Craft is a content management system (CMS). In versions 4.5.0-RC1 through 4.16.18 and 5.0.0-RC1 through 5.8.22, the SSRF validation in Craft CMS’s GraphQL Asset mutation uses `gethostbyname()`, which only resolves IPv4 addresses. When a hostname has only AAAA (IPv6) records, the function returns the hostname string itself, causing the blocklist comparison to always fail and completely bypassing SSRF protection. This is a bypass of the security fix for CVE-2025-68437. Exploitation requires GraphQ</t>
        </is>
      </c>
      <c r="D1138" s="187" t="n">
        <v>5</v>
      </c>
      <c r="E1138" s="187" t="inlineStr">
        <is>
          <t>MEDIUM</t>
        </is>
      </c>
      <c r="F1138" s="187" t="n">
        <v>2</v>
      </c>
      <c r="G1138" s="187" t="n">
        <v>2</v>
      </c>
      <c r="H1138" s="187" t="inlineStr">
        <is>
          <t>MEDIUM</t>
        </is>
      </c>
      <c r="I1138" s="187" t="n">
        <v>9</v>
      </c>
      <c r="J1138" s="187" t="inlineStr">
        <is>
          <t>NO</t>
        </is>
      </c>
      <c r="K1138" s="187" t="inlineStr">
        <is>
          <t>https://nvd.nist.gov/vuln/detail/CVE-2026-27129</t>
        </is>
      </c>
      <c r="L1138" s="187" t="inlineStr">
        <is>
          <t>2026-02-26 00:15</t>
        </is>
      </c>
      <c r="M1138" s="187" t="inlineStr">
        <is>
          <t>CHECK_VENDOR</t>
        </is>
      </c>
      <c r="N1138" s="187" t="inlineStr">
        <is>
          <t>See NVD references</t>
        </is>
      </c>
      <c r="O1138" s="187" t="inlineStr">
        <is>
          <t>Apply vendor patches</t>
        </is>
      </c>
      <c r="P1138" s="187" t="inlineStr">
        <is>
          <t>See CVE details</t>
        </is>
      </c>
      <c r="Q1138" s="187" t="inlineStr">
        <is>
          <t>P4</t>
        </is>
      </c>
      <c r="R1138" s="187" t="inlineStr">
        <is>
          <t>📅 Schedule patch deployment within 30 days | 🔍 Monitor for exploitation attempts</t>
        </is>
      </c>
      <c r="S1138" s="187" t="inlineStr">
        <is>
          <t>CVE - IP enrichment n/a</t>
        </is>
      </c>
      <c r="T1138" s="187" t="n">
        <v>0.0003</v>
      </c>
      <c r="U1138" s="187" t="n">
        <v>0.0833</v>
      </c>
      <c r="V1138" s="187" t="inlineStr">
        <is>
          <t>T1090:Proxy</t>
        </is>
      </c>
      <c r="W1138" s="187" t="n">
        <v>1</v>
      </c>
      <c r="X1138" s="187" t="inlineStr">
        <is>
          <t>LOW (40%)</t>
        </is>
      </c>
      <c r="Y1138" s="187" t="inlineStr">
        <is>
          <t>UNLIKELY</t>
        </is>
      </c>
      <c r="Z1138" s="187" t="inlineStr">
        <is>
          <t>CHECK_VENDOR</t>
        </is>
      </c>
      <c r="AA1138" s="187" t="inlineStr">
        <is>
          <t>https://nvd.nist.gov/vuln/detail/CVE-2026-27129</t>
        </is>
      </c>
      <c r="AB1138" s="187" t="inlineStr">
        <is>
          <t>NONE</t>
        </is>
      </c>
      <c r="AC1138" s="187" t="n">
        <v>0</v>
      </c>
      <c r="AD1138" s="187" t="inlineStr"/>
    </row>
    <row r="1139">
      <c r="A1139" s="187" t="inlineStr">
        <is>
          <t>CVE</t>
        </is>
      </c>
      <c r="B1139" s="187" t="inlineStr">
        <is>
          <t>CVE-2026-3054</t>
        </is>
      </c>
      <c r="C1139" s="187" t="inlineStr">
        <is>
          <t>A vulnerability was identified in Alinto SOGo 5.12.3/5.12.4. This impacts an unknown function. The manipulation of the argument hint leads to cross site scripting. The attack can be initiated remotely. The exploit is publicly available and might be used. The vendor was contacted early about this disclosure but did not respond in any way.</t>
        </is>
      </c>
      <c r="D1139" s="187" t="n">
        <v>4.3</v>
      </c>
      <c r="E1139" s="187" t="inlineStr">
        <is>
          <t>MEDIUM</t>
        </is>
      </c>
      <c r="F1139" s="187" t="n">
        <v>2</v>
      </c>
      <c r="G1139" s="187" t="n">
        <v>2</v>
      </c>
      <c r="H1139" s="187" t="inlineStr">
        <is>
          <t>MEDIUM</t>
        </is>
      </c>
      <c r="I1139" s="187" t="n">
        <v>8.300000000000001</v>
      </c>
      <c r="J1139" s="187" t="inlineStr">
        <is>
          <t>NO</t>
        </is>
      </c>
      <c r="K1139" s="187" t="inlineStr">
        <is>
          <t>https://nvd.nist.gov/vuln/detail/CVE-2026-3054</t>
        </is>
      </c>
      <c r="L1139" s="187" t="inlineStr">
        <is>
          <t>2026-02-26 00:15</t>
        </is>
      </c>
      <c r="M1139" s="187" t="inlineStr">
        <is>
          <t>CHECK_VENDOR</t>
        </is>
      </c>
      <c r="N1139" s="187" t="inlineStr">
        <is>
          <t>See NVD references</t>
        </is>
      </c>
      <c r="O1139" s="187" t="inlineStr">
        <is>
          <t>Apply vendor patches</t>
        </is>
      </c>
      <c r="P1139" s="187" t="inlineStr">
        <is>
          <t>See CVE details</t>
        </is>
      </c>
      <c r="Q1139" s="187" t="inlineStr">
        <is>
          <t>P4</t>
        </is>
      </c>
      <c r="R1139" s="187" t="inlineStr">
        <is>
          <t>📅 Schedule patch deployment within 30 days | 🔍 Monitor for exploitation attempts</t>
        </is>
      </c>
      <c r="S1139" s="187" t="inlineStr">
        <is>
          <t>CVE - IP enrichment n/a</t>
        </is>
      </c>
      <c r="T1139" s="187" t="n">
        <v>0</v>
      </c>
      <c r="U1139" s="187" t="n">
        <v>0</v>
      </c>
      <c r="V1139" s="187" t="inlineStr">
        <is>
          <t>T1189:Drive-by Compromise</t>
        </is>
      </c>
      <c r="W1139" s="187" t="n">
        <v>1</v>
      </c>
      <c r="X1139" s="187" t="inlineStr">
        <is>
          <t>LOW (40%)</t>
        </is>
      </c>
      <c r="Y1139" s="187" t="inlineStr">
        <is>
          <t>UNLIKELY</t>
        </is>
      </c>
      <c r="Z1139" s="187" t="inlineStr">
        <is>
          <t>CHECK_VENDOR</t>
        </is>
      </c>
      <c r="AA1139" s="187" t="inlineStr">
        <is>
          <t>https://nvd.nist.gov/vuln/detail/CVE-2026-3054</t>
        </is>
      </c>
      <c r="AB1139" s="187" t="inlineStr">
        <is>
          <t>NONE</t>
        </is>
      </c>
      <c r="AC1139" s="187" t="n">
        <v>0</v>
      </c>
      <c r="AD1139" s="187" t="inlineStr"/>
    </row>
    <row r="1140">
      <c r="A1140" s="187" t="inlineStr">
        <is>
          <t>CVE</t>
        </is>
      </c>
      <c r="B1140" s="187" t="inlineStr">
        <is>
          <t>CVE-2026-3057</t>
        </is>
      </c>
      <c r="C1140" s="187" t="inlineStr">
        <is>
          <t>A security flaw has been discovered in a54552239 pearProjectApi up to 2.8.10. Affected is the function dateTotalForProject of the file application/common/Model/Task.php of the component Backend Interface. The manipulation of the argument projectCode results in sql injection. The attack can be launched remotely. The exploit has been released to the public and may be used for attacks. The vendor was contacted early about this disclosure but did not respond in any way.</t>
        </is>
      </c>
      <c r="D1140" s="187" t="n">
        <v>6.3</v>
      </c>
      <c r="E1140" s="187" t="inlineStr">
        <is>
          <t>MEDIUM</t>
        </is>
      </c>
      <c r="F1140" s="187" t="n">
        <v>2</v>
      </c>
      <c r="G1140" s="187" t="n">
        <v>2</v>
      </c>
      <c r="H1140" s="187" t="inlineStr">
        <is>
          <t>MEDIUM</t>
        </is>
      </c>
      <c r="I1140" s="187" t="n">
        <v>10.3</v>
      </c>
      <c r="J1140" s="187" t="inlineStr">
        <is>
          <t>NO</t>
        </is>
      </c>
      <c r="K1140" s="187" t="inlineStr">
        <is>
          <t>https://nvd.nist.gov/vuln/detail/CVE-2026-3057</t>
        </is>
      </c>
      <c r="L1140" s="187" t="inlineStr">
        <is>
          <t>2026-02-26 00:15</t>
        </is>
      </c>
      <c r="M1140" s="187" t="inlineStr">
        <is>
          <t>CHECK_VENDOR</t>
        </is>
      </c>
      <c r="N1140" s="187" t="inlineStr">
        <is>
          <t>See NVD references</t>
        </is>
      </c>
      <c r="O1140" s="187" t="inlineStr">
        <is>
          <t>Apply vendor patches</t>
        </is>
      </c>
      <c r="P1140" s="187" t="inlineStr">
        <is>
          <t>See CVE details</t>
        </is>
      </c>
      <c r="Q1140" s="187" t="inlineStr">
        <is>
          <t>P4</t>
        </is>
      </c>
      <c r="R1140" s="187" t="inlineStr">
        <is>
          <t>📅 Schedule patch deployment within 30 days | 🔍 Monitor for exploitation attempts</t>
        </is>
      </c>
      <c r="S1140" s="187" t="inlineStr">
        <is>
          <t>CVE - IP enrichment n/a</t>
        </is>
      </c>
      <c r="T1140" s="187" t="n">
        <v>0</v>
      </c>
      <c r="U1140" s="187" t="n">
        <v>0</v>
      </c>
      <c r="V1140" s="187" t="inlineStr">
        <is>
          <t>T1190:Exploit Public-Facing Application</t>
        </is>
      </c>
      <c r="W1140" s="187" t="n">
        <v>1</v>
      </c>
      <c r="X1140" s="187" t="inlineStr">
        <is>
          <t>LOW (40%)</t>
        </is>
      </c>
      <c r="Y1140" s="187" t="inlineStr">
        <is>
          <t>UNLIKELY</t>
        </is>
      </c>
      <c r="Z1140" s="187" t="inlineStr">
        <is>
          <t>CHECK_VENDOR</t>
        </is>
      </c>
      <c r="AA1140" s="187" t="inlineStr">
        <is>
          <t>https://nvd.nist.gov/vuln/detail/CVE-2026-3057</t>
        </is>
      </c>
      <c r="AB1140" s="187" t="inlineStr">
        <is>
          <t>NONE</t>
        </is>
      </c>
      <c r="AC1140" s="187" t="n">
        <v>0</v>
      </c>
      <c r="AD1140" s="187" t="inlineStr"/>
    </row>
    <row r="1141">
      <c r="A1141" s="187" t="inlineStr">
        <is>
          <t>CVE</t>
        </is>
      </c>
      <c r="B1141" s="187" t="inlineStr">
        <is>
          <t>CVE-2026-3064</t>
        </is>
      </c>
      <c r="C1141" s="187" t="inlineStr">
        <is>
          <t>A security vulnerability has been detected in HummerRisk up to 1.5.0. Affected by this issue is some unknown functionality of the file ResourceCreateService.java of the component Cloud Task Scheduler. Such manipulation of the argument regionId leads to command injection. The attack may be launched remotely. The exploit has been disclosed publicly and may be used. The vendor was contacted early about this disclosure but did not respond in any way.</t>
        </is>
      </c>
      <c r="D1141" s="187" t="n">
        <v>6.3</v>
      </c>
      <c r="E1141" s="187" t="inlineStr">
        <is>
          <t>MEDIUM</t>
        </is>
      </c>
      <c r="F1141" s="187" t="n">
        <v>2</v>
      </c>
      <c r="G1141" s="187" t="n">
        <v>2</v>
      </c>
      <c r="H1141" s="187" t="inlineStr">
        <is>
          <t>MEDIUM</t>
        </is>
      </c>
      <c r="I1141" s="187" t="n">
        <v>10.3</v>
      </c>
      <c r="J1141" s="187" t="inlineStr">
        <is>
          <t>NO</t>
        </is>
      </c>
      <c r="K1141" s="187" t="inlineStr">
        <is>
          <t>https://nvd.nist.gov/vuln/detail/CVE-2026-3064</t>
        </is>
      </c>
      <c r="L1141" s="187" t="inlineStr">
        <is>
          <t>2026-02-26 00:15</t>
        </is>
      </c>
      <c r="M1141" s="187" t="inlineStr">
        <is>
          <t>YES</t>
        </is>
      </c>
      <c r="N1141" s="187" t="inlineStr">
        <is>
          <t>https://github.com/AnalogyC0de/public_exp/issues/8</t>
        </is>
      </c>
      <c r="O1141" s="187" t="inlineStr">
        <is>
          <t>https://github.com/AnalogyC0de/public_exp/issues/8</t>
        </is>
      </c>
      <c r="P1141" s="187" t="inlineStr">
        <is>
          <t>hummerrisk hummerrisk *</t>
        </is>
      </c>
      <c r="Q1141" s="187" t="inlineStr">
        <is>
          <t>P4</t>
        </is>
      </c>
      <c r="R1141" s="187" t="inlineStr">
        <is>
          <t>📅 Schedule patch deployment within 30 days | 🔍 Monitor for exploitation attempts</t>
        </is>
      </c>
      <c r="S1141" s="187" t="inlineStr">
        <is>
          <t>CVE - IP enrichment n/a</t>
        </is>
      </c>
      <c r="T1141" s="187" t="n">
        <v>0.0031</v>
      </c>
      <c r="U1141" s="187" t="n">
        <v>0.5339</v>
      </c>
      <c r="V1141" s="187" t="inlineStr">
        <is>
          <t>T1059:Command and Scripting Interpreter | T1190:Exploit Public-Facing Application</t>
        </is>
      </c>
      <c r="W1141" s="187" t="n">
        <v>1</v>
      </c>
      <c r="X1141" s="187" t="inlineStr">
        <is>
          <t>LOW (40%)</t>
        </is>
      </c>
      <c r="Y1141" s="187" t="inlineStr">
        <is>
          <t>UNLIKELY</t>
        </is>
      </c>
      <c r="Z1141" s="187" t="inlineStr">
        <is>
          <t>PATCH_AVAILABLE</t>
        </is>
      </c>
      <c r="AA1141" s="187" t="inlineStr">
        <is>
          <t>https://nvd.nist.gov/vuln/detail/CVE-2026-3064</t>
        </is>
      </c>
      <c r="AB1141" s="187" t="inlineStr">
        <is>
          <t>NONE</t>
        </is>
      </c>
      <c r="AC1141" s="187" t="n">
        <v>0</v>
      </c>
      <c r="AD1141" s="187" t="inlineStr"/>
    </row>
    <row r="1142">
      <c r="A1142" s="187" t="inlineStr">
        <is>
          <t>CVE</t>
        </is>
      </c>
      <c r="B1142" s="187" t="inlineStr">
        <is>
          <t>CVE-2026-3065</t>
        </is>
      </c>
      <c r="C1142" s="187" t="inlineStr">
        <is>
          <t>A vulnerability was detected in HummerRisk up to 1.5.0. This affects the function CommandUtils.commonExecCmdWithResult of the file CloudTaskService.java of the component Cloud Task Dry-run. Performing a manipulation of the argument fileName results in command injection. Remote exploitation of the attack is possible. The exploit is now public and may be used. The vendor was contacted early about this disclosure but did not respond in any way.</t>
        </is>
      </c>
      <c r="D1142" s="187" t="n">
        <v>6.3</v>
      </c>
      <c r="E1142" s="187" t="inlineStr">
        <is>
          <t>MEDIUM</t>
        </is>
      </c>
      <c r="F1142" s="187" t="n">
        <v>2</v>
      </c>
      <c r="G1142" s="187" t="n">
        <v>2</v>
      </c>
      <c r="H1142" s="187" t="inlineStr">
        <is>
          <t>MEDIUM</t>
        </is>
      </c>
      <c r="I1142" s="187" t="n">
        <v>10.3</v>
      </c>
      <c r="J1142" s="187" t="inlineStr">
        <is>
          <t>NO</t>
        </is>
      </c>
      <c r="K1142" s="187" t="inlineStr">
        <is>
          <t>https://nvd.nist.gov/vuln/detail/CVE-2026-3065</t>
        </is>
      </c>
      <c r="L1142" s="187" t="inlineStr">
        <is>
          <t>2026-02-26 00:15</t>
        </is>
      </c>
      <c r="M1142" s="187" t="inlineStr">
        <is>
          <t>YES</t>
        </is>
      </c>
      <c r="N1142" s="187" t="inlineStr">
        <is>
          <t>https://github.com/AnalogyC0de/public_exp/issues/9</t>
        </is>
      </c>
      <c r="O1142" s="187" t="inlineStr">
        <is>
          <t>https://github.com/AnalogyC0de/public_exp/issues/9</t>
        </is>
      </c>
      <c r="P1142" s="187" t="inlineStr">
        <is>
          <t>hummerrisk hummerrisk *</t>
        </is>
      </c>
      <c r="Q1142" s="187" t="inlineStr">
        <is>
          <t>P4</t>
        </is>
      </c>
      <c r="R1142" s="187" t="inlineStr">
        <is>
          <t>📅 Schedule patch deployment within 30 days | 🔍 Monitor for exploitation attempts</t>
        </is>
      </c>
      <c r="S1142" s="187" t="inlineStr">
        <is>
          <t>CVE - IP enrichment n/a</t>
        </is>
      </c>
      <c r="T1142" s="187" t="n">
        <v>0</v>
      </c>
      <c r="U1142" s="187" t="n">
        <v>0</v>
      </c>
      <c r="V1142" s="187" t="inlineStr">
        <is>
          <t>T1059:Command and Scripting Interpreter</t>
        </is>
      </c>
      <c r="W1142" s="187" t="n">
        <v>1</v>
      </c>
      <c r="X1142" s="187" t="inlineStr">
        <is>
          <t>LOW (40%)</t>
        </is>
      </c>
      <c r="Y1142" s="187" t="inlineStr">
        <is>
          <t>UNLIKELY</t>
        </is>
      </c>
      <c r="Z1142" s="187" t="inlineStr">
        <is>
          <t>PATCH_AVAILABLE</t>
        </is>
      </c>
      <c r="AA1142" s="187" t="inlineStr">
        <is>
          <t>https://nvd.nist.gov/vuln/detail/CVE-2026-3065</t>
        </is>
      </c>
      <c r="AB1142" s="187" t="inlineStr">
        <is>
          <t>NONE</t>
        </is>
      </c>
      <c r="AC1142" s="187" t="n">
        <v>0</v>
      </c>
      <c r="AD1142" s="187" t="inlineStr"/>
    </row>
    <row r="1143">
      <c r="A1143" s="187" t="inlineStr">
        <is>
          <t>CVE</t>
        </is>
      </c>
      <c r="B1143" s="187" t="inlineStr">
        <is>
          <t>CVE-2026-3091</t>
        </is>
      </c>
      <c r="C1143" s="187" t="inlineStr">
        <is>
          <t>An uncontrolled search path element vulnerability in Synology Presto Client before 2.1.3-0672 allows local users to read or write arbitrary files during installation by placing a malicious DLL in advance in the same directory as the installer.</t>
        </is>
      </c>
      <c r="D1143" s="187" t="n">
        <v>6.7</v>
      </c>
      <c r="E1143" s="187" t="inlineStr">
        <is>
          <t>MEDIUM</t>
        </is>
      </c>
      <c r="F1143" s="187" t="n">
        <v>2</v>
      </c>
      <c r="G1143" s="187" t="n">
        <v>2</v>
      </c>
      <c r="H1143" s="187" t="inlineStr">
        <is>
          <t>MEDIUM</t>
        </is>
      </c>
      <c r="I1143" s="187" t="n">
        <v>10.7</v>
      </c>
      <c r="J1143" s="187" t="inlineStr">
        <is>
          <t>NO</t>
        </is>
      </c>
      <c r="K1143" s="187" t="inlineStr">
        <is>
          <t>https://nvd.nist.gov/vuln/detail/CVE-2026-3091</t>
        </is>
      </c>
      <c r="L1143" s="187" t="inlineStr">
        <is>
          <t>2026-02-26 00:15</t>
        </is>
      </c>
      <c r="M1143" s="187" t="inlineStr">
        <is>
          <t>CHECK_VENDOR</t>
        </is>
      </c>
      <c r="N1143" s="187" t="inlineStr">
        <is>
          <t>See NVD references</t>
        </is>
      </c>
      <c r="O1143" s="187" t="inlineStr">
        <is>
          <t>Apply vendor patches</t>
        </is>
      </c>
      <c r="P1143" s="187" t="inlineStr">
        <is>
          <t>See CVE details</t>
        </is>
      </c>
      <c r="Q1143" s="187" t="inlineStr">
        <is>
          <t>P4</t>
        </is>
      </c>
      <c r="R1143" s="187" t="inlineStr">
        <is>
          <t>📅 Schedule patch deployment within 30 days | 🔍 Monitor for exploitation attempts</t>
        </is>
      </c>
      <c r="S1143" s="187" t="inlineStr">
        <is>
          <t>CVE - IP enrichment n/a</t>
        </is>
      </c>
      <c r="T1143" s="187" t="n">
        <v>0</v>
      </c>
      <c r="U1143" s="187" t="n">
        <v>0</v>
      </c>
      <c r="V1143" s="187" t="inlineStr">
        <is>
          <t>T1190:Exploit Public-Facing Application</t>
        </is>
      </c>
      <c r="W1143" s="187" t="n">
        <v>1</v>
      </c>
      <c r="X1143" s="187" t="inlineStr">
        <is>
          <t>LOW (40%)</t>
        </is>
      </c>
      <c r="Y1143" s="187" t="inlineStr">
        <is>
          <t>UNLIKELY</t>
        </is>
      </c>
      <c r="Z1143" s="187" t="inlineStr">
        <is>
          <t>CHECK_VENDOR</t>
        </is>
      </c>
      <c r="AA1143" s="187" t="inlineStr">
        <is>
          <t>https://nvd.nist.gov/vuln/detail/CVE-2026-3091</t>
        </is>
      </c>
      <c r="AB1143" s="187" t="inlineStr">
        <is>
          <t>NONE</t>
        </is>
      </c>
      <c r="AC1143" s="187" t="n">
        <v>0</v>
      </c>
      <c r="AD1143" s="187" t="inlineStr"/>
    </row>
    <row r="1144">
      <c r="A1144" s="187" t="inlineStr">
        <is>
          <t>CVE</t>
        </is>
      </c>
      <c r="B1144" s="187" t="inlineStr">
        <is>
          <t>CVE-2026-27461</t>
        </is>
      </c>
      <c r="C1144" s="187" t="inlineStr">
        <is>
          <t xml:space="preserve">Pimcore is an Open Source Data &amp; Experience Management Platform. In versions up to and including 11.5.14.1 and 12.3.2, the filter query parameter in the dependency listing endpoints is JSON-decoded and the value field is concatenated directly into RLIKE clauses without sanitization or parameterized queries. Exploiting this issue requires admin authentication. An attacker with admin panel access can extract the full database including password hashes of other admin users. Version 12.3.3 contains </t>
        </is>
      </c>
      <c r="D1144" s="187" t="n">
        <v>4.9</v>
      </c>
      <c r="E1144" s="187" t="inlineStr">
        <is>
          <t>MEDIUM</t>
        </is>
      </c>
      <c r="F1144" s="187" t="n">
        <v>2</v>
      </c>
      <c r="G1144" s="187" t="n">
        <v>2</v>
      </c>
      <c r="H1144" s="187" t="inlineStr">
        <is>
          <t>MEDIUM</t>
        </is>
      </c>
      <c r="I1144" s="187" t="n">
        <v>8.9</v>
      </c>
      <c r="J1144" s="187" t="inlineStr">
        <is>
          <t>NO</t>
        </is>
      </c>
      <c r="K1144" s="187" t="inlineStr">
        <is>
          <t>https://nvd.nist.gov/vuln/detail/CVE-2026-27461</t>
        </is>
      </c>
      <c r="L1144" s="187" t="inlineStr">
        <is>
          <t>2026-02-26 00:15</t>
        </is>
      </c>
      <c r="M1144" s="187" t="inlineStr">
        <is>
          <t>YES</t>
        </is>
      </c>
      <c r="N1144" s="187" t="inlineStr">
        <is>
          <t>https://github.com/pimcore/pimcore/commit/1c3925fbec4895abeb21e5c244a83679c4e4a6f4 | https://github.com/pimcore/pimcore/pull/18991 | https://github.com/pimcore/pimcore/security/advisories/GHSA-vxg3-v4p6-f3fp</t>
        </is>
      </c>
      <c r="O1144" s="187" t="inlineStr">
        <is>
          <t>Apply vendor patches</t>
        </is>
      </c>
      <c r="P1144" s="187" t="inlineStr">
        <is>
          <t>pimcore pimcore *</t>
        </is>
      </c>
      <c r="Q1144" s="187" t="inlineStr">
        <is>
          <t>P4</t>
        </is>
      </c>
      <c r="R1144" s="187" t="inlineStr">
        <is>
          <t>📅 Schedule patch deployment within 30 days | 🔍 Monitor for exploitation attempts</t>
        </is>
      </c>
      <c r="S1144" s="187" t="inlineStr">
        <is>
          <t>CVE - IP enrichment n/a</t>
        </is>
      </c>
      <c r="T1144" s="187" t="n">
        <v>0.0002</v>
      </c>
      <c r="U1144" s="187" t="n">
        <v>0.0551</v>
      </c>
      <c r="V1144" s="187" t="inlineStr">
        <is>
          <t>T1190:Exploit Public-Facing Application</t>
        </is>
      </c>
      <c r="W1144" s="187" t="n">
        <v>1</v>
      </c>
      <c r="X1144" s="187" t="inlineStr">
        <is>
          <t>LOW (40%)</t>
        </is>
      </c>
      <c r="Y1144" s="187" t="inlineStr">
        <is>
          <t>UNLIKELY</t>
        </is>
      </c>
      <c r="Z1144" s="187" t="inlineStr">
        <is>
          <t>PATCH_AVAILABLE</t>
        </is>
      </c>
      <c r="AA1144" s="187" t="inlineStr">
        <is>
          <t>https://nvd.nist.gov/vuln/detail/CVE-2026-27461</t>
        </is>
      </c>
      <c r="AB1144" s="187" t="inlineStr">
        <is>
          <t>NONE</t>
        </is>
      </c>
      <c r="AC1144" s="187" t="n">
        <v>0</v>
      </c>
      <c r="AD1144" s="187" t="inlineStr"/>
    </row>
    <row r="1145">
      <c r="A1145" s="187" t="inlineStr">
        <is>
          <t>CVE</t>
        </is>
      </c>
      <c r="B1145" s="187" t="inlineStr">
        <is>
          <t>CVE-2026-3066</t>
        </is>
      </c>
      <c r="C1145" s="187" t="inlineStr">
        <is>
          <t>A flaw has been found in HummerRisk up to 1.5.0. This vulnerability affects the function fixedCommand of the file hummer-common/hummer-common-core/src/main/java/com/hummer/common/core/utils/PlatformUtils.java of the component Cloud Compliance Scanning. Executing a manipulation can lead to command injection. The attack can be executed remotely. The exploit has been published and may be used. The vendor was contacted early about this disclosure but did not respond in any way.</t>
        </is>
      </c>
      <c r="D1145" s="187" t="n">
        <v>6.3</v>
      </c>
      <c r="E1145" s="187" t="inlineStr">
        <is>
          <t>MEDIUM</t>
        </is>
      </c>
      <c r="F1145" s="187" t="n">
        <v>2</v>
      </c>
      <c r="G1145" s="187" t="n">
        <v>2</v>
      </c>
      <c r="H1145" s="187" t="inlineStr">
        <is>
          <t>MEDIUM</t>
        </is>
      </c>
      <c r="I1145" s="187" t="n">
        <v>10.3</v>
      </c>
      <c r="J1145" s="187" t="inlineStr">
        <is>
          <t>NO</t>
        </is>
      </c>
      <c r="K1145" s="187" t="inlineStr">
        <is>
          <t>https://nvd.nist.gov/vuln/detail/CVE-2026-3066</t>
        </is>
      </c>
      <c r="L1145" s="187" t="inlineStr">
        <is>
          <t>2026-02-26 00:15</t>
        </is>
      </c>
      <c r="M1145" s="187" t="inlineStr">
        <is>
          <t>YES</t>
        </is>
      </c>
      <c r="N1145" s="187" t="inlineStr">
        <is>
          <t>https://github.com/AnalogyC0de/public_exp/issues/10</t>
        </is>
      </c>
      <c r="O1145" s="187" t="inlineStr">
        <is>
          <t>https://github.com/AnalogyC0de/public_exp/issues/10</t>
        </is>
      </c>
      <c r="P1145" s="187" t="inlineStr">
        <is>
          <t>hummerrisk hummerrisk *</t>
        </is>
      </c>
      <c r="Q1145" s="187" t="inlineStr">
        <is>
          <t>P4</t>
        </is>
      </c>
      <c r="R1145" s="187" t="inlineStr">
        <is>
          <t>📅 Schedule patch deployment within 30 days | 🔍 Monitor for exploitation attempts</t>
        </is>
      </c>
      <c r="S1145" s="187" t="inlineStr">
        <is>
          <t>CVE - IP enrichment n/a</t>
        </is>
      </c>
      <c r="T1145" s="187" t="n">
        <v>0</v>
      </c>
      <c r="U1145" s="187" t="n">
        <v>0</v>
      </c>
      <c r="V1145" s="187" t="inlineStr">
        <is>
          <t>T1059:Command and Scripting Interpreter</t>
        </is>
      </c>
      <c r="W1145" s="187" t="n">
        <v>1</v>
      </c>
      <c r="X1145" s="187" t="inlineStr">
        <is>
          <t>LOW (40%)</t>
        </is>
      </c>
      <c r="Y1145" s="187" t="inlineStr">
        <is>
          <t>UNLIKELY</t>
        </is>
      </c>
      <c r="Z1145" s="187" t="inlineStr">
        <is>
          <t>PATCH_AVAILABLE</t>
        </is>
      </c>
      <c r="AA1145" s="187" t="inlineStr">
        <is>
          <t>https://nvd.nist.gov/vuln/detail/CVE-2026-3066</t>
        </is>
      </c>
      <c r="AB1145" s="187" t="inlineStr">
        <is>
          <t>NONE</t>
        </is>
      </c>
      <c r="AC1145" s="187" t="n">
        <v>0</v>
      </c>
      <c r="AD1145" s="187" t="inlineStr"/>
    </row>
    <row r="1146">
      <c r="A1146" s="187" t="inlineStr">
        <is>
          <t>CVE</t>
        </is>
      </c>
      <c r="B1146" s="187" t="inlineStr">
        <is>
          <t>CVE-2026-3067</t>
        </is>
      </c>
      <c r="C1146" s="187" t="inlineStr">
        <is>
          <t>A vulnerability has been found in HummerRisk up to 1.5.0. This issue affects the function extractTarGZ/extractZip of the file hummer-common/hummer-common-core/src/main/java/com/hummer/common/core/utils/CommandUtils.java of the component Archive Extraction. The manipulation leads to path traversal. The attack is possible to be carried out remotely. The exploit has been disclosed to the public and may be used. The vendor was contacted early about this disclosure but did not respond in any way.</t>
        </is>
      </c>
      <c r="D1146" s="187" t="n">
        <v>6.3</v>
      </c>
      <c r="E1146" s="187" t="inlineStr">
        <is>
          <t>MEDIUM</t>
        </is>
      </c>
      <c r="F1146" s="187" t="n">
        <v>2</v>
      </c>
      <c r="G1146" s="187" t="n">
        <v>2</v>
      </c>
      <c r="H1146" s="187" t="inlineStr">
        <is>
          <t>MEDIUM</t>
        </is>
      </c>
      <c r="I1146" s="187" t="n">
        <v>10.3</v>
      </c>
      <c r="J1146" s="187" t="inlineStr">
        <is>
          <t>NO</t>
        </is>
      </c>
      <c r="K1146" s="187" t="inlineStr">
        <is>
          <t>https://nvd.nist.gov/vuln/detail/CVE-2026-3067</t>
        </is>
      </c>
      <c r="L1146" s="187" t="inlineStr">
        <is>
          <t>2026-02-26 00:15</t>
        </is>
      </c>
      <c r="M1146" s="187" t="inlineStr">
        <is>
          <t>CHECK_VENDOR</t>
        </is>
      </c>
      <c r="N1146" s="187" t="inlineStr">
        <is>
          <t>See NVD references</t>
        </is>
      </c>
      <c r="O1146" s="187" t="inlineStr">
        <is>
          <t>Apply vendor patches</t>
        </is>
      </c>
      <c r="P1146" s="187" t="inlineStr">
        <is>
          <t>hummerrisk hummerrisk *</t>
        </is>
      </c>
      <c r="Q1146" s="187" t="inlineStr">
        <is>
          <t>P4</t>
        </is>
      </c>
      <c r="R1146" s="187" t="inlineStr">
        <is>
          <t>📅 Schedule patch deployment within 30 days | 🔍 Monitor for exploitation attempts</t>
        </is>
      </c>
      <c r="S1146" s="187" t="inlineStr">
        <is>
          <t>CVE - IP enrichment n/a</t>
        </is>
      </c>
      <c r="T1146" s="187" t="n">
        <v>0</v>
      </c>
      <c r="U1146" s="187" t="n">
        <v>0</v>
      </c>
      <c r="V1146" s="187" t="inlineStr">
        <is>
          <t>T1083:File and Directory Discovery</t>
        </is>
      </c>
      <c r="W1146" s="187" t="n">
        <v>1</v>
      </c>
      <c r="X1146" s="187" t="inlineStr">
        <is>
          <t>LOW (40%)</t>
        </is>
      </c>
      <c r="Y1146" s="187" t="inlineStr">
        <is>
          <t>UNLIKELY</t>
        </is>
      </c>
      <c r="Z1146" s="187" t="inlineStr">
        <is>
          <t>CHECK_VENDOR</t>
        </is>
      </c>
      <c r="AA1146" s="187" t="inlineStr">
        <is>
          <t>https://nvd.nist.gov/vuln/detail/CVE-2026-3067</t>
        </is>
      </c>
      <c r="AB1146" s="187" t="inlineStr">
        <is>
          <t>NONE</t>
        </is>
      </c>
      <c r="AC1146" s="187" t="n">
        <v>0</v>
      </c>
      <c r="AD1146" s="187" t="inlineStr"/>
    </row>
    <row r="1147">
      <c r="A1147" s="188" t="inlineStr">
        <is>
          <t>CVE</t>
        </is>
      </c>
      <c r="B1147" s="188" t="inlineStr">
        <is>
          <t>CVE-2026-3068</t>
        </is>
      </c>
      <c r="C1147" s="188" t="inlineStr">
        <is>
          <t>A weakness has been identified in itsourcecode Document Management System 1.0. This impacts an unknown function of the file /deluser.php. Executing a manipulation of the argument user2del can lead to sql injection. The attack can be launched remotely. The exploit has been made available to the public and could be used for attacks.</t>
        </is>
      </c>
      <c r="D1147" s="188" t="n">
        <v>7.3</v>
      </c>
      <c r="E1147" s="188" t="inlineStr">
        <is>
          <t>HIGH</t>
        </is>
      </c>
      <c r="F1147" s="188" t="n">
        <v>2</v>
      </c>
      <c r="G1147" s="188" t="n">
        <v>3</v>
      </c>
      <c r="H1147" s="188" t="inlineStr">
        <is>
          <t>HIGH</t>
        </is>
      </c>
      <c r="I1147" s="188" t="n">
        <v>13.3</v>
      </c>
      <c r="J1147" s="188" t="inlineStr">
        <is>
          <t>NO</t>
        </is>
      </c>
      <c r="K1147" s="188" t="inlineStr">
        <is>
          <t>https://nvd.nist.gov/vuln/detail/CVE-2026-3068</t>
        </is>
      </c>
      <c r="L1147" s="188" t="inlineStr">
        <is>
          <t>2026-02-26 00:15</t>
        </is>
      </c>
      <c r="M1147" s="188" t="inlineStr">
        <is>
          <t>YES</t>
        </is>
      </c>
      <c r="N1147" s="188" t="inlineStr">
        <is>
          <t>https://github.com/ltranquility/cve_submit/issues/4</t>
        </is>
      </c>
      <c r="O1147" s="188" t="inlineStr">
        <is>
          <t>https://github.com/ltranquility/cve_submit/issues/4</t>
        </is>
      </c>
      <c r="P1147" s="188" t="inlineStr">
        <is>
          <t>admerc document_management_system 1.0</t>
        </is>
      </c>
      <c r="Q1147" s="188" t="inlineStr">
        <is>
          <t>P3</t>
        </is>
      </c>
      <c r="R1147" s="188" t="inlineStr">
        <is>
          <t>🚨 URGENT: Apply vendor patches immediately | 🔒 Isolate affected systems if patch unavailable | 🛡️ Enable additional monitoring/IDS rules</t>
        </is>
      </c>
      <c r="S1147" s="188" t="inlineStr">
        <is>
          <t>CVE - IP enrichment n/a</t>
        </is>
      </c>
      <c r="T1147" s="188" t="n">
        <v>0</v>
      </c>
      <c r="U1147" s="188" t="n">
        <v>0</v>
      </c>
      <c r="V1147" s="188" t="inlineStr">
        <is>
          <t>T1190:Exploit Public-Facing Application</t>
        </is>
      </c>
      <c r="W1147" s="188" t="n">
        <v>1</v>
      </c>
      <c r="X1147" s="188" t="inlineStr">
        <is>
          <t>LOW (40%)</t>
        </is>
      </c>
      <c r="Y1147" s="188" t="inlineStr">
        <is>
          <t>UNLIKELY</t>
        </is>
      </c>
      <c r="Z1147" s="188" t="inlineStr">
        <is>
          <t>PATCH_AVAILABLE</t>
        </is>
      </c>
      <c r="AA1147" s="188" t="inlineStr">
        <is>
          <t>https://nvd.nist.gov/vuln/detail/CVE-2026-3068</t>
        </is>
      </c>
      <c r="AB1147" s="188" t="inlineStr">
        <is>
          <t>NONE</t>
        </is>
      </c>
      <c r="AC1147" s="188" t="n">
        <v>0</v>
      </c>
      <c r="AD1147" s="188" t="inlineStr"/>
    </row>
    <row r="1148">
      <c r="A1148" s="188" t="inlineStr">
        <is>
          <t>CVE</t>
        </is>
      </c>
      <c r="B1148" s="188" t="inlineStr">
        <is>
          <t>CVE-2026-3069</t>
        </is>
      </c>
      <c r="C1148" s="188" t="inlineStr">
        <is>
          <t>A security vulnerability has been detected in itsourcecode Document Management System 1.0. Affected is an unknown function of the file /edtlbls.php. The manipulation of the argument field1 leads to sql injection. The attack may be initiated remotely. The exploit has been disclosed publicly and may be used.</t>
        </is>
      </c>
      <c r="D1148" s="188" t="n">
        <v>7.3</v>
      </c>
      <c r="E1148" s="188" t="inlineStr">
        <is>
          <t>HIGH</t>
        </is>
      </c>
      <c r="F1148" s="188" t="n">
        <v>2</v>
      </c>
      <c r="G1148" s="188" t="n">
        <v>3</v>
      </c>
      <c r="H1148" s="188" t="inlineStr">
        <is>
          <t>HIGH</t>
        </is>
      </c>
      <c r="I1148" s="188" t="n">
        <v>13.3</v>
      </c>
      <c r="J1148" s="188" t="inlineStr">
        <is>
          <t>NO</t>
        </is>
      </c>
      <c r="K1148" s="188" t="inlineStr">
        <is>
          <t>https://nvd.nist.gov/vuln/detail/CVE-2026-3069</t>
        </is>
      </c>
      <c r="L1148" s="188" t="inlineStr">
        <is>
          <t>2026-02-26 00:15</t>
        </is>
      </c>
      <c r="M1148" s="188" t="inlineStr">
        <is>
          <t>YES</t>
        </is>
      </c>
      <c r="N1148" s="188" t="inlineStr">
        <is>
          <t>https://github.com/ltranquility/cve_submit/issues/5</t>
        </is>
      </c>
      <c r="O1148" s="188" t="inlineStr">
        <is>
          <t>https://github.com/ltranquility/cve_submit/issues/5</t>
        </is>
      </c>
      <c r="P1148" s="188" t="inlineStr">
        <is>
          <t>admerc document_management_system 1.0</t>
        </is>
      </c>
      <c r="Q1148" s="188" t="inlineStr">
        <is>
          <t>P3</t>
        </is>
      </c>
      <c r="R1148" s="188" t="inlineStr">
        <is>
          <t>🚨 URGENT: Apply vendor patches immediately | 🔒 Isolate affected systems if patch unavailable | 🛡️ Enable additional monitoring/IDS rules</t>
        </is>
      </c>
      <c r="S1148" s="188" t="inlineStr">
        <is>
          <t>CVE - IP enrichment n/a</t>
        </is>
      </c>
      <c r="T1148" s="188" t="n">
        <v>0</v>
      </c>
      <c r="U1148" s="188" t="n">
        <v>0</v>
      </c>
      <c r="V1148" s="188" t="inlineStr">
        <is>
          <t>T1190:Exploit Public-Facing Application</t>
        </is>
      </c>
      <c r="W1148" s="188" t="n">
        <v>1</v>
      </c>
      <c r="X1148" s="188" t="inlineStr">
        <is>
          <t>LOW (40%)</t>
        </is>
      </c>
      <c r="Y1148" s="188" t="inlineStr">
        <is>
          <t>UNLIKELY</t>
        </is>
      </c>
      <c r="Z1148" s="188" t="inlineStr">
        <is>
          <t>PATCH_AVAILABLE</t>
        </is>
      </c>
      <c r="AA1148" s="188" t="inlineStr">
        <is>
          <t>https://nvd.nist.gov/vuln/detail/CVE-2026-3069</t>
        </is>
      </c>
      <c r="AB1148" s="188" t="inlineStr">
        <is>
          <t>NONE</t>
        </is>
      </c>
      <c r="AC1148" s="188" t="n">
        <v>0</v>
      </c>
      <c r="AD1148" s="188" t="inlineStr"/>
    </row>
    <row r="1149">
      <c r="A1149" s="187" t="inlineStr">
        <is>
          <t>CVE</t>
        </is>
      </c>
      <c r="B1149" s="187" t="inlineStr">
        <is>
          <t>CVE-2026-3070</t>
        </is>
      </c>
      <c r="C1149" s="187" t="inlineStr">
        <is>
          <t>A vulnerability was detected in SourceCodester Modern Image Gallery App 1.0. Affected by this vulnerability is an unknown functionality of the file upload.php. The manipulation of the argument filename results in cross site scripting. The attack may be launched remotely. The exploit is now public and may be used.</t>
        </is>
      </c>
      <c r="D1149" s="187" t="n">
        <v>4.3</v>
      </c>
      <c r="E1149" s="187" t="inlineStr">
        <is>
          <t>MEDIUM</t>
        </is>
      </c>
      <c r="F1149" s="187" t="n">
        <v>2</v>
      </c>
      <c r="G1149" s="187" t="n">
        <v>2</v>
      </c>
      <c r="H1149" s="187" t="inlineStr">
        <is>
          <t>MEDIUM</t>
        </is>
      </c>
      <c r="I1149" s="187" t="n">
        <v>8.300000000000001</v>
      </c>
      <c r="J1149" s="187" t="inlineStr">
        <is>
          <t>NO</t>
        </is>
      </c>
      <c r="K1149" s="187" t="inlineStr">
        <is>
          <t>https://nvd.nist.gov/vuln/detail/CVE-2026-3070</t>
        </is>
      </c>
      <c r="L1149" s="187" t="inlineStr">
        <is>
          <t>2026-02-26 00:15</t>
        </is>
      </c>
      <c r="M1149" s="187" t="inlineStr">
        <is>
          <t>YES</t>
        </is>
      </c>
      <c r="N1149" s="187" t="inlineStr">
        <is>
          <t>https://github.com/tiancesec/CVE/issues/28</t>
        </is>
      </c>
      <c r="O1149" s="187" t="inlineStr">
        <is>
          <t>https://github.com/tiancesec/CVE/issues/28</t>
        </is>
      </c>
      <c r="P1149" s="187" t="inlineStr">
        <is>
          <t>remyandrade modern_image_gallery_app 1.0</t>
        </is>
      </c>
      <c r="Q1149" s="187" t="inlineStr">
        <is>
          <t>P4</t>
        </is>
      </c>
      <c r="R1149" s="187" t="inlineStr">
        <is>
          <t>📅 Schedule patch deployment within 30 days | 🔍 Monitor for exploitation attempts</t>
        </is>
      </c>
      <c r="S1149" s="187" t="inlineStr">
        <is>
          <t>CVE - IP enrichment n/a</t>
        </is>
      </c>
      <c r="T1149" s="187" t="n">
        <v>0</v>
      </c>
      <c r="U1149" s="187" t="n">
        <v>0</v>
      </c>
      <c r="V1149" s="187" t="inlineStr">
        <is>
          <t>T1189:Drive-by Compromise | T1190:Exploit Public-Facing Application</t>
        </is>
      </c>
      <c r="W1149" s="187" t="n">
        <v>1</v>
      </c>
      <c r="X1149" s="187" t="inlineStr">
        <is>
          <t>LOW (40%)</t>
        </is>
      </c>
      <c r="Y1149" s="187" t="inlineStr">
        <is>
          <t>UNLIKELY</t>
        </is>
      </c>
      <c r="Z1149" s="187" t="inlineStr">
        <is>
          <t>PATCH_AVAILABLE</t>
        </is>
      </c>
      <c r="AA1149" s="187" t="inlineStr">
        <is>
          <t>https://nvd.nist.gov/vuln/detail/CVE-2026-3070</t>
        </is>
      </c>
      <c r="AB1149" s="187" t="inlineStr">
        <is>
          <t>NONE</t>
        </is>
      </c>
      <c r="AC1149" s="187" t="n">
        <v>0</v>
      </c>
      <c r="AD1149" s="187" t="inlineStr"/>
    </row>
    <row r="1150">
      <c r="A1150" s="188" t="inlineStr">
        <is>
          <t>CVE</t>
        </is>
      </c>
      <c r="B1150" s="188" t="inlineStr">
        <is>
          <t>CVE-2025-15386</t>
        </is>
      </c>
      <c r="C1150" s="188" t="inlineStr">
        <is>
          <t>The Responsive Lightbox &amp; Gallery WordPress plugin before 2.6.1 is vulnerable to an Unauthenticated Stored-XSS attack due to flawed regex replacement rules that can be abused by posting a comment with a malicious link when lightbox for comments are enabled and then approved.</t>
        </is>
      </c>
      <c r="D1150" s="188" t="n">
        <v>8.800000000000001</v>
      </c>
      <c r="E1150" s="188" t="inlineStr">
        <is>
          <t>HIGH</t>
        </is>
      </c>
      <c r="F1150" s="188" t="n">
        <v>2</v>
      </c>
      <c r="G1150" s="188" t="n">
        <v>3</v>
      </c>
      <c r="H1150" s="188" t="inlineStr">
        <is>
          <t>HIGH</t>
        </is>
      </c>
      <c r="I1150" s="188" t="n">
        <v>14.8</v>
      </c>
      <c r="J1150" s="188" t="inlineStr">
        <is>
          <t>NO</t>
        </is>
      </c>
      <c r="K1150" s="188" t="inlineStr">
        <is>
          <t>https://nvd.nist.gov/vuln/detail/CVE-2025-15386</t>
        </is>
      </c>
      <c r="L1150" s="188" t="inlineStr">
        <is>
          <t>2026-02-26 00:15</t>
        </is>
      </c>
      <c r="M1150" s="188" t="inlineStr">
        <is>
          <t>CHECK_VENDOR</t>
        </is>
      </c>
      <c r="N1150" s="188" t="inlineStr">
        <is>
          <t>See NVD references</t>
        </is>
      </c>
      <c r="O1150" s="188" t="inlineStr">
        <is>
          <t>Apply vendor patches</t>
        </is>
      </c>
      <c r="P1150" s="188" t="inlineStr">
        <is>
          <t>See CVE details</t>
        </is>
      </c>
      <c r="Q1150" s="188" t="inlineStr">
        <is>
          <t>P3</t>
        </is>
      </c>
      <c r="R1150" s="188" t="inlineStr">
        <is>
          <t>🚨 URGENT: Apply vendor patches immediately | 🔒 Isolate affected systems if patch unavailable | 🛡️ Enable additional monitoring/IDS rules</t>
        </is>
      </c>
      <c r="S1150" s="188" t="inlineStr">
        <is>
          <t>CVE - IP enrichment n/a</t>
        </is>
      </c>
      <c r="T1150" s="188" t="n">
        <v>0</v>
      </c>
      <c r="U1150" s="188" t="n">
        <v>0</v>
      </c>
      <c r="V1150" s="188" t="inlineStr">
        <is>
          <t>T1189:Drive-by Compromise</t>
        </is>
      </c>
      <c r="W1150" s="188" t="n">
        <v>1</v>
      </c>
      <c r="X1150" s="188" t="inlineStr">
        <is>
          <t>LOW (40%)</t>
        </is>
      </c>
      <c r="Y1150" s="188" t="inlineStr">
        <is>
          <t>UNLIKELY</t>
        </is>
      </c>
      <c r="Z1150" s="188" t="inlineStr">
        <is>
          <t>CHECK_VENDOR</t>
        </is>
      </c>
      <c r="AA1150" s="188" t="inlineStr">
        <is>
          <t>https://nvd.nist.gov/vuln/detail/CVE-2025-15386</t>
        </is>
      </c>
      <c r="AB1150" s="188" t="inlineStr">
        <is>
          <t>NONE</t>
        </is>
      </c>
      <c r="AC1150" s="188" t="n">
        <v>0</v>
      </c>
      <c r="AD1150" s="188" t="inlineStr"/>
    </row>
    <row r="1151">
      <c r="A1151" s="190" t="inlineStr">
        <is>
          <t>CVE</t>
        </is>
      </c>
      <c r="B1151" s="190" t="inlineStr">
        <is>
          <t>CVE-2025-15589</t>
        </is>
      </c>
      <c r="C1151" s="190" t="inlineStr">
        <is>
          <t>A vulnerability was determined in MuYuCMS 2.7. Affected is the function delete_dir_file of the file application/admin/controller/Template.php of the component Template Management Page. This manipulation of the argument temn/tp causes path traversal. It is possible to initiate the attack remotely. The exploit has been publicly disclosed and may be utilized. The vendor was contacted early about this disclosure but did not respond in any way.</t>
        </is>
      </c>
      <c r="D1151" s="190" t="n">
        <v>3.8</v>
      </c>
      <c r="E1151" s="190" t="inlineStr">
        <is>
          <t>LOW</t>
        </is>
      </c>
      <c r="F1151" s="190" t="n">
        <v>2</v>
      </c>
      <c r="G1151" s="190" t="n">
        <v>1</v>
      </c>
      <c r="H1151" s="190" t="inlineStr">
        <is>
          <t>LOW</t>
        </is>
      </c>
      <c r="I1151" s="190" t="n">
        <v>5.8</v>
      </c>
      <c r="J1151" s="190" t="inlineStr">
        <is>
          <t>NO</t>
        </is>
      </c>
      <c r="K1151" s="190" t="inlineStr">
        <is>
          <t>https://nvd.nist.gov/vuln/detail/CVE-2025-15589</t>
        </is>
      </c>
      <c r="L1151" s="190" t="inlineStr">
        <is>
          <t>2026-02-26 00:15</t>
        </is>
      </c>
      <c r="M1151" s="190" t="inlineStr">
        <is>
          <t>CHECK_VENDOR</t>
        </is>
      </c>
      <c r="N1151" s="190" t="inlineStr">
        <is>
          <t>See NVD references</t>
        </is>
      </c>
      <c r="O1151" s="190" t="inlineStr">
        <is>
          <t>Apply vendor patches</t>
        </is>
      </c>
      <c r="P1151" s="190" t="inlineStr">
        <is>
          <t>See CVE details</t>
        </is>
      </c>
      <c r="Q1151" s="190" t="inlineStr">
        <is>
          <t>P4</t>
        </is>
      </c>
      <c r="R1151" s="190" t="inlineStr">
        <is>
          <t>📅 Schedule patch deployment within 30 days | 🔍 Monitor for exploitation attempts</t>
        </is>
      </c>
      <c r="S1151" s="190" t="inlineStr">
        <is>
          <t>CVE - IP enrichment n/a</t>
        </is>
      </c>
      <c r="T1151" s="190" t="n">
        <v>0.0009</v>
      </c>
      <c r="U1151" s="190" t="n">
        <v>0.2487</v>
      </c>
      <c r="V1151" s="190" t="inlineStr">
        <is>
          <t>T1083:File and Directory Discovery</t>
        </is>
      </c>
      <c r="W1151" s="190" t="n">
        <v>1</v>
      </c>
      <c r="X1151" s="190" t="inlineStr">
        <is>
          <t>LOW (40%)</t>
        </is>
      </c>
      <c r="Y1151" s="190" t="inlineStr">
        <is>
          <t>UNLIKELY</t>
        </is>
      </c>
      <c r="Z1151" s="190" t="inlineStr">
        <is>
          <t>CHECK_VENDOR</t>
        </is>
      </c>
      <c r="AA1151" s="190" t="inlineStr">
        <is>
          <t>https://nvd.nist.gov/vuln/detail/CVE-2025-15589</t>
        </is>
      </c>
      <c r="AB1151" s="190" t="inlineStr">
        <is>
          <t>NONE</t>
        </is>
      </c>
      <c r="AC1151" s="190" t="n">
        <v>0</v>
      </c>
      <c r="AD1151" s="190" t="inlineStr"/>
    </row>
    <row r="1152">
      <c r="A1152" s="187" t="inlineStr">
        <is>
          <t>CVE</t>
        </is>
      </c>
      <c r="B1152" s="187" t="inlineStr">
        <is>
          <t>CVE-2026-24314</t>
        </is>
      </c>
      <c r="C1152" s="187" t="inlineStr">
        <is>
          <t>Under certain conditions SAP S/4HANA (Manage Payment Media) allows an authenticated attacker to access information which would otherwise be restricted. This could cause low impact on confidentiality of the application while integrity and availability are not impacted.</t>
        </is>
      </c>
      <c r="D1152" s="187" t="n">
        <v>4.3</v>
      </c>
      <c r="E1152" s="187" t="inlineStr">
        <is>
          <t>MEDIUM</t>
        </is>
      </c>
      <c r="F1152" s="187" t="n">
        <v>2</v>
      </c>
      <c r="G1152" s="187" t="n">
        <v>2</v>
      </c>
      <c r="H1152" s="187" t="inlineStr">
        <is>
          <t>MEDIUM</t>
        </is>
      </c>
      <c r="I1152" s="187" t="n">
        <v>8.300000000000001</v>
      </c>
      <c r="J1152" s="187" t="inlineStr">
        <is>
          <t>NO</t>
        </is>
      </c>
      <c r="K1152" s="187" t="inlineStr">
        <is>
          <t>https://nvd.nist.gov/vuln/detail/CVE-2026-24314</t>
        </is>
      </c>
      <c r="L1152" s="187" t="inlineStr">
        <is>
          <t>2026-02-26 00:15</t>
        </is>
      </c>
      <c r="M1152" s="187" t="inlineStr">
        <is>
          <t>CHECK_VENDOR</t>
        </is>
      </c>
      <c r="N1152" s="187" t="inlineStr">
        <is>
          <t>See NVD references</t>
        </is>
      </c>
      <c r="O1152" s="187" t="inlineStr">
        <is>
          <t>Apply vendor patches</t>
        </is>
      </c>
      <c r="P1152" s="187" t="inlineStr">
        <is>
          <t>See CVE details</t>
        </is>
      </c>
      <c r="Q1152" s="187" t="inlineStr">
        <is>
          <t>P4</t>
        </is>
      </c>
      <c r="R1152" s="187" t="inlineStr">
        <is>
          <t>📅 Schedule patch deployment within 30 days | 🔍 Monitor for exploitation attempts</t>
        </is>
      </c>
      <c r="S1152" s="187" t="inlineStr">
        <is>
          <t>CVE - IP enrichment n/a</t>
        </is>
      </c>
      <c r="T1152" s="187" t="n">
        <v>0.0003</v>
      </c>
      <c r="U1152" s="187" t="n">
        <v>0.0741</v>
      </c>
      <c r="V1152" s="187" t="inlineStr">
        <is>
          <t>T1190:Exploit Public-Facing Application</t>
        </is>
      </c>
      <c r="W1152" s="187" t="n">
        <v>1</v>
      </c>
      <c r="X1152" s="187" t="inlineStr">
        <is>
          <t>LOW (40%)</t>
        </is>
      </c>
      <c r="Y1152" s="187" t="inlineStr">
        <is>
          <t>UNLIKELY</t>
        </is>
      </c>
      <c r="Z1152" s="187" t="inlineStr">
        <is>
          <t>CHECK_VENDOR</t>
        </is>
      </c>
      <c r="AA1152" s="187" t="inlineStr">
        <is>
          <t>https://nvd.nist.gov/vuln/detail/CVE-2026-24314</t>
        </is>
      </c>
      <c r="AB1152" s="187" t="inlineStr">
        <is>
          <t>NONE</t>
        </is>
      </c>
      <c r="AC1152" s="187" t="n">
        <v>0</v>
      </c>
      <c r="AD1152" s="187" t="inlineStr"/>
    </row>
    <row r="1153">
      <c r="A1153" s="189" t="inlineStr">
        <is>
          <t>CVE</t>
        </is>
      </c>
      <c r="B1153" s="189" t="inlineStr">
        <is>
          <t>CVE-2025-40538</t>
        </is>
      </c>
      <c r="C1153" s="189" t="inlineStr">
        <is>
          <t>A broken access control vulnerability exists in Serv-U which when exploited, gives a malicious actor the ability to create a system admin user and execute arbitrary code as a privileged account via domain admin or group admin privileges.
This issue requires administrative privileges to abuse. On Windows deployments, the risk is scored as a medium because services frequently run under less-privileged service accounts by default.</t>
        </is>
      </c>
      <c r="D1153" s="189" t="n">
        <v>9.1</v>
      </c>
      <c r="E1153" s="189" t="inlineStr">
        <is>
          <t>CRITICAL</t>
        </is>
      </c>
      <c r="F1153" s="189" t="n">
        <v>2</v>
      </c>
      <c r="G1153" s="189" t="n">
        <v>3</v>
      </c>
      <c r="H1153" s="189" t="inlineStr">
        <is>
          <t>HIGH</t>
        </is>
      </c>
      <c r="I1153" s="189" t="n">
        <v>15.1</v>
      </c>
      <c r="J1153" s="189" t="inlineStr">
        <is>
          <t>NO</t>
        </is>
      </c>
      <c r="K1153" s="189" t="inlineStr">
        <is>
          <t>https://nvd.nist.gov/vuln/detail/CVE-2025-40538</t>
        </is>
      </c>
      <c r="L1153" s="189" t="inlineStr">
        <is>
          <t>2026-02-26 00:15</t>
        </is>
      </c>
      <c r="M1153" s="189" t="inlineStr">
        <is>
          <t>YES</t>
        </is>
      </c>
      <c r="N1153" s="189" t="inlineStr">
        <is>
          <t>https://documentation.solarwinds.com/en/success_center/servu/content/release_notes/servu_15-5-4_release_notes.htm | https://www.solarwinds.com/trust-center/security-advisories/CVE-2025-40538</t>
        </is>
      </c>
      <c r="O1153" s="189" t="inlineStr">
        <is>
          <t>Apply vendor patches</t>
        </is>
      </c>
      <c r="P1153" s="189" t="inlineStr">
        <is>
          <t>solarwinds serv-u *</t>
        </is>
      </c>
      <c r="Q1153" s="189" t="inlineStr">
        <is>
          <t>P3</t>
        </is>
      </c>
      <c r="R1153" s="189" t="inlineStr">
        <is>
          <t>🚨 URGENT: Apply vendor patches immediately | 🔒 Isolate affected systems if patch unavailable | 🛡️ Enable additional monitoring/IDS rules</t>
        </is>
      </c>
      <c r="S1153" s="189" t="inlineStr">
        <is>
          <t>CVE - IP enrichment n/a</t>
        </is>
      </c>
      <c r="T1153" s="189" t="n">
        <v>0</v>
      </c>
      <c r="U1153" s="189" t="n">
        <v>0</v>
      </c>
      <c r="V1153" s="189" t="inlineStr">
        <is>
          <t>T1203:Exploitation for Client Execution</t>
        </is>
      </c>
      <c r="W1153" s="189" t="n">
        <v>1</v>
      </c>
      <c r="X1153" s="189" t="inlineStr">
        <is>
          <t>LOW (40%)</t>
        </is>
      </c>
      <c r="Y1153" s="189" t="inlineStr">
        <is>
          <t>UNLIKELY</t>
        </is>
      </c>
      <c r="Z1153" s="189" t="inlineStr">
        <is>
          <t>PATCH_AVAILABLE</t>
        </is>
      </c>
      <c r="AA1153" s="189" t="inlineStr">
        <is>
          <t>https://nvd.nist.gov/vuln/detail/CVE-2025-40538</t>
        </is>
      </c>
      <c r="AB1153" s="189" t="inlineStr">
        <is>
          <t>NONE</t>
        </is>
      </c>
      <c r="AC1153" s="189" t="n">
        <v>0</v>
      </c>
      <c r="AD1153" s="189" t="inlineStr">
        <is>
          <t>[TheHackerNews] SolarWinds Patches 4 Critical Serv-U 15.5 Flaws Allowing Root Code Exe</t>
        </is>
      </c>
    </row>
    <row r="1154">
      <c r="A1154" s="189" t="inlineStr">
        <is>
          <t>CVE</t>
        </is>
      </c>
      <c r="B1154" s="189" t="inlineStr">
        <is>
          <t>CVE-2025-40539</t>
        </is>
      </c>
      <c r="C1154" s="189" t="inlineStr">
        <is>
          <t>A type confusion vulnerability exists in Serv-U which when exploited, gives a malicious actor the ability to execute arbitrary native code as privileged account.
This issue requires administrative privileges to abuse. On Windows deployments, the risk is scored as a medium because services frequently run under less-privileged service accounts by default.</t>
        </is>
      </c>
      <c r="D1154" s="189" t="n">
        <v>9.1</v>
      </c>
      <c r="E1154" s="189" t="inlineStr">
        <is>
          <t>CRITICAL</t>
        </is>
      </c>
      <c r="F1154" s="189" t="n">
        <v>2</v>
      </c>
      <c r="G1154" s="189" t="n">
        <v>3</v>
      </c>
      <c r="H1154" s="189" t="inlineStr">
        <is>
          <t>HIGH</t>
        </is>
      </c>
      <c r="I1154" s="189" t="n">
        <v>15.1</v>
      </c>
      <c r="J1154" s="189" t="inlineStr">
        <is>
          <t>NO</t>
        </is>
      </c>
      <c r="K1154" s="189" t="inlineStr">
        <is>
          <t>https://nvd.nist.gov/vuln/detail/CVE-2025-40539</t>
        </is>
      </c>
      <c r="L1154" s="189" t="inlineStr">
        <is>
          <t>2026-02-26 00:15</t>
        </is>
      </c>
      <c r="M1154" s="189" t="inlineStr">
        <is>
          <t>YES</t>
        </is>
      </c>
      <c r="N1154" s="189" t="inlineStr">
        <is>
          <t>https://documentation.solarwinds.com/en/success_center/servu/content/release_notes/servu_15-5-4_release_notes.htm | https://www.solarwinds.com/trust-center/security-advisories/CVE-2025-40539</t>
        </is>
      </c>
      <c r="O1154" s="189" t="inlineStr">
        <is>
          <t>Apply vendor patches</t>
        </is>
      </c>
      <c r="P1154" s="189" t="inlineStr">
        <is>
          <t>solarwinds serv-u *</t>
        </is>
      </c>
      <c r="Q1154" s="189" t="inlineStr">
        <is>
          <t>P3</t>
        </is>
      </c>
      <c r="R1154" s="189" t="inlineStr">
        <is>
          <t>🚨 URGENT: Apply vendor patches immediately | 🔒 Isolate affected systems if patch unavailable | 🛡️ Enable additional monitoring/IDS rules</t>
        </is>
      </c>
      <c r="S1154" s="189" t="inlineStr">
        <is>
          <t>CVE - IP enrichment n/a</t>
        </is>
      </c>
      <c r="T1154" s="189" t="n">
        <v>0</v>
      </c>
      <c r="U1154" s="189" t="n">
        <v>0</v>
      </c>
      <c r="V1154" s="189" t="inlineStr">
        <is>
          <t>T1190:Exploit Public-Facing Application</t>
        </is>
      </c>
      <c r="W1154" s="189" t="n">
        <v>1</v>
      </c>
      <c r="X1154" s="189" t="inlineStr">
        <is>
          <t>LOW (40%)</t>
        </is>
      </c>
      <c r="Y1154" s="189" t="inlineStr">
        <is>
          <t>UNLIKELY</t>
        </is>
      </c>
      <c r="Z1154" s="189" t="inlineStr">
        <is>
          <t>PATCH_AVAILABLE</t>
        </is>
      </c>
      <c r="AA1154" s="189" t="inlineStr">
        <is>
          <t>https://nvd.nist.gov/vuln/detail/CVE-2025-40539</t>
        </is>
      </c>
      <c r="AB1154" s="189" t="inlineStr">
        <is>
          <t>NONE</t>
        </is>
      </c>
      <c r="AC1154" s="189" t="n">
        <v>0</v>
      </c>
      <c r="AD1154" s="189" t="inlineStr"/>
    </row>
    <row r="1155">
      <c r="A1155" s="189" t="inlineStr">
        <is>
          <t>CVE</t>
        </is>
      </c>
      <c r="B1155" s="189" t="inlineStr">
        <is>
          <t>CVE-2025-40540</t>
        </is>
      </c>
      <c r="C1155" s="189" t="inlineStr">
        <is>
          <t>A type confusion vulnerability exists in Serv-U which when exploited, gives a malicious actor the ability to execute arbitrary native code as privileged account.
This issue requires administrative privileges to abuse. On Windows deployments, the risk is scored as a medium because services frequently run under less-privileged service accounts by default.</t>
        </is>
      </c>
      <c r="D1155" s="189" t="n">
        <v>9.1</v>
      </c>
      <c r="E1155" s="189" t="inlineStr">
        <is>
          <t>CRITICAL</t>
        </is>
      </c>
      <c r="F1155" s="189" t="n">
        <v>2</v>
      </c>
      <c r="G1155" s="189" t="n">
        <v>3</v>
      </c>
      <c r="H1155" s="189" t="inlineStr">
        <is>
          <t>HIGH</t>
        </is>
      </c>
      <c r="I1155" s="189" t="n">
        <v>15.1</v>
      </c>
      <c r="J1155" s="189" t="inlineStr">
        <is>
          <t>NO</t>
        </is>
      </c>
      <c r="K1155" s="189" t="inlineStr">
        <is>
          <t>https://nvd.nist.gov/vuln/detail/CVE-2025-40540</t>
        </is>
      </c>
      <c r="L1155" s="189" t="inlineStr">
        <is>
          <t>2026-02-26 00:15</t>
        </is>
      </c>
      <c r="M1155" s="189" t="inlineStr">
        <is>
          <t>YES</t>
        </is>
      </c>
      <c r="N1155" s="189" t="inlineStr">
        <is>
          <t>https://documentation.solarwinds.com/en/success_center/servu/content/release_notes/servu_15-5-4_release_notes.htm | https://www.solarwinds.com/trust-center/security-advisories/CVE-2025-40540</t>
        </is>
      </c>
      <c r="O1155" s="189" t="inlineStr">
        <is>
          <t>Apply vendor patches</t>
        </is>
      </c>
      <c r="P1155" s="189" t="inlineStr">
        <is>
          <t>solarwinds serv-u *</t>
        </is>
      </c>
      <c r="Q1155" s="189" t="inlineStr">
        <is>
          <t>P3</t>
        </is>
      </c>
      <c r="R1155" s="189" t="inlineStr">
        <is>
          <t>🚨 URGENT: Apply vendor patches immediately | 🔒 Isolate affected systems if patch unavailable | 🛡️ Enable additional monitoring/IDS rules</t>
        </is>
      </c>
      <c r="S1155" s="189" t="inlineStr">
        <is>
          <t>CVE - IP enrichment n/a</t>
        </is>
      </c>
      <c r="T1155" s="189" t="n">
        <v>0</v>
      </c>
      <c r="U1155" s="189" t="n">
        <v>0</v>
      </c>
      <c r="V1155" s="189" t="inlineStr">
        <is>
          <t>T1190:Exploit Public-Facing Application</t>
        </is>
      </c>
      <c r="W1155" s="189" t="n">
        <v>1</v>
      </c>
      <c r="X1155" s="189" t="inlineStr">
        <is>
          <t>LOW (40%)</t>
        </is>
      </c>
      <c r="Y1155" s="189" t="inlineStr">
        <is>
          <t>UNLIKELY</t>
        </is>
      </c>
      <c r="Z1155" s="189" t="inlineStr">
        <is>
          <t>PATCH_AVAILABLE</t>
        </is>
      </c>
      <c r="AA1155" s="189" t="inlineStr">
        <is>
          <t>https://nvd.nist.gov/vuln/detail/CVE-2025-40540</t>
        </is>
      </c>
      <c r="AB1155" s="189" t="inlineStr">
        <is>
          <t>NONE</t>
        </is>
      </c>
      <c r="AC1155" s="189" t="n">
        <v>0</v>
      </c>
      <c r="AD1155" s="189" t="inlineStr"/>
    </row>
    <row r="1156">
      <c r="A1156" s="189" t="inlineStr">
        <is>
          <t>CVE</t>
        </is>
      </c>
      <c r="B1156" s="189" t="inlineStr">
        <is>
          <t>CVE-2025-40541</t>
        </is>
      </c>
      <c r="C1156" s="189" t="inlineStr">
        <is>
          <t>An Insecure Direct Object Reference (IDOR) vulnerability exists in Serv-U, which when exploited, gives a malicious actor the ability to execute native code as a privileged account.
This issue requires administrative privileges to abuse. On Windows deployments, the risk is scored as a medium because services frequently run under less-privileged service accounts by default.</t>
        </is>
      </c>
      <c r="D1156" s="189" t="n">
        <v>9.1</v>
      </c>
      <c r="E1156" s="189" t="inlineStr">
        <is>
          <t>CRITICAL</t>
        </is>
      </c>
      <c r="F1156" s="189" t="n">
        <v>2</v>
      </c>
      <c r="G1156" s="189" t="n">
        <v>3</v>
      </c>
      <c r="H1156" s="189" t="inlineStr">
        <is>
          <t>HIGH</t>
        </is>
      </c>
      <c r="I1156" s="189" t="n">
        <v>15.1</v>
      </c>
      <c r="J1156" s="189" t="inlineStr">
        <is>
          <t>NO</t>
        </is>
      </c>
      <c r="K1156" s="189" t="inlineStr">
        <is>
          <t>https://nvd.nist.gov/vuln/detail/CVE-2025-40541</t>
        </is>
      </c>
      <c r="L1156" s="189" t="inlineStr">
        <is>
          <t>2026-02-26 00:15</t>
        </is>
      </c>
      <c r="M1156" s="189" t="inlineStr">
        <is>
          <t>YES</t>
        </is>
      </c>
      <c r="N1156" s="189" t="inlineStr">
        <is>
          <t>https://documentation.solarwinds.com/en/success_center/servu/content/release_notes/servu_15-5-4_release_notes.htm | https://www.solarwinds.com/trust-center/security-advisories/CVE-2025-40541</t>
        </is>
      </c>
      <c r="O1156" s="189" t="inlineStr">
        <is>
          <t>Apply vendor patches</t>
        </is>
      </c>
      <c r="P1156" s="189" t="inlineStr">
        <is>
          <t>solarwinds serv-u *</t>
        </is>
      </c>
      <c r="Q1156" s="189" t="inlineStr">
        <is>
          <t>P3</t>
        </is>
      </c>
      <c r="R1156" s="189" t="inlineStr">
        <is>
          <t>🚨 URGENT: Apply vendor patches immediately | 🔒 Isolate affected systems if patch unavailable | 🛡️ Enable additional monitoring/IDS rules</t>
        </is>
      </c>
      <c r="S1156" s="189" t="inlineStr">
        <is>
          <t>CVE - IP enrichment n/a</t>
        </is>
      </c>
      <c r="T1156" s="189" t="n">
        <v>0</v>
      </c>
      <c r="U1156" s="189" t="n">
        <v>0</v>
      </c>
      <c r="V1156" s="189" t="inlineStr">
        <is>
          <t>T1190:Exploit Public-Facing Application</t>
        </is>
      </c>
      <c r="W1156" s="189" t="n">
        <v>1</v>
      </c>
      <c r="X1156" s="189" t="inlineStr">
        <is>
          <t>LOW (40%)</t>
        </is>
      </c>
      <c r="Y1156" s="189" t="inlineStr">
        <is>
          <t>UNLIKELY</t>
        </is>
      </c>
      <c r="Z1156" s="189" t="inlineStr">
        <is>
          <t>PATCH_AVAILABLE</t>
        </is>
      </c>
      <c r="AA1156" s="189" t="inlineStr">
        <is>
          <t>https://nvd.nist.gov/vuln/detail/CVE-2025-40541</t>
        </is>
      </c>
      <c r="AB1156" s="189" t="inlineStr">
        <is>
          <t>NONE</t>
        </is>
      </c>
      <c r="AC1156" s="189" t="n">
        <v>0</v>
      </c>
      <c r="AD1156" s="189" t="inlineStr"/>
    </row>
    <row r="1157">
      <c r="A1157" s="187" t="inlineStr">
        <is>
          <t>CVE</t>
        </is>
      </c>
      <c r="B1157" s="187" t="inlineStr">
        <is>
          <t>CVE-2026-1229</t>
        </is>
      </c>
      <c r="C1157" s="187" t="inlineStr">
        <is>
          <t>The CombinedMult function in the CIRCL ecc/p384 package (secp384r1 curve) produces an incorrect value for specific inputs. The issue is fixed by using complete addition formulas.
ECDH and ECDSA signing relying on this curve are not affected.
The bug was fixed in  v1.6.3 https://github.com/cloudflare/circl/releases/tag/v1.6.3 .</t>
        </is>
      </c>
      <c r="D1157" s="187" t="n">
        <v>5</v>
      </c>
      <c r="E1157" s="187" t="inlineStr">
        <is>
          <t>MEDIUM</t>
        </is>
      </c>
      <c r="F1157" s="187" t="n">
        <v>2</v>
      </c>
      <c r="G1157" s="187" t="n">
        <v>2</v>
      </c>
      <c r="H1157" s="187" t="inlineStr">
        <is>
          <t>MEDIUM</t>
        </is>
      </c>
      <c r="I1157" s="187" t="n">
        <v>9</v>
      </c>
      <c r="J1157" s="187" t="inlineStr">
        <is>
          <t>NO</t>
        </is>
      </c>
      <c r="K1157" s="187" t="inlineStr">
        <is>
          <t>https://nvd.nist.gov/vuln/detail/CVE-2026-1229</t>
        </is>
      </c>
      <c r="L1157" s="187" t="inlineStr">
        <is>
          <t>2026-02-26 00:15</t>
        </is>
      </c>
      <c r="M1157" s="187" t="inlineStr">
        <is>
          <t>CHECK_VENDOR</t>
        </is>
      </c>
      <c r="N1157" s="187" t="inlineStr">
        <is>
          <t>See NVD references</t>
        </is>
      </c>
      <c r="O1157" s="187" t="inlineStr">
        <is>
          <t>Apply vendor patches</t>
        </is>
      </c>
      <c r="P1157" s="187" t="inlineStr">
        <is>
          <t>See CVE details</t>
        </is>
      </c>
      <c r="Q1157" s="187" t="inlineStr">
        <is>
          <t>P4</t>
        </is>
      </c>
      <c r="R1157" s="187" t="inlineStr">
        <is>
          <t>📅 Schedule patch deployment within 30 days | 🔍 Monitor for exploitation attempts</t>
        </is>
      </c>
      <c r="S1157" s="187" t="inlineStr">
        <is>
          <t>CVE - IP enrichment n/a</t>
        </is>
      </c>
      <c r="T1157" s="187" t="n">
        <v>0</v>
      </c>
      <c r="U1157" s="187" t="n">
        <v>0</v>
      </c>
      <c r="V1157" s="187" t="inlineStr">
        <is>
          <t>T1190:Exploit Public-Facing Application</t>
        </is>
      </c>
      <c r="W1157" s="187" t="n">
        <v>1</v>
      </c>
      <c r="X1157" s="187" t="inlineStr">
        <is>
          <t>LOW (40%)</t>
        </is>
      </c>
      <c r="Y1157" s="187" t="inlineStr">
        <is>
          <t>UNLIKELY</t>
        </is>
      </c>
      <c r="Z1157" s="187" t="inlineStr">
        <is>
          <t>CHECK_VENDOR</t>
        </is>
      </c>
      <c r="AA1157" s="187" t="inlineStr">
        <is>
          <t>https://nvd.nist.gov/vuln/detail/CVE-2026-1229</t>
        </is>
      </c>
      <c r="AB1157" s="187" t="inlineStr">
        <is>
          <t>NONE</t>
        </is>
      </c>
      <c r="AC1157" s="187" t="n">
        <v>0</v>
      </c>
      <c r="AD1157" s="187" t="inlineStr"/>
    </row>
    <row r="1158">
      <c r="A1158" s="188" t="inlineStr">
        <is>
          <t>CVE</t>
        </is>
      </c>
      <c r="B1158" s="188" t="inlineStr">
        <is>
          <t>CVE-2024-1524</t>
        </is>
      </c>
      <c r="C1158" s="188" t="inlineStr">
        <is>
          <t xml:space="preserve">When the "Silent Just-In-Time Provisioning" feature is enabled for a federated identity provider (IDP)  there is a risk that a local user store user's information may be replaced during the account provisioning process in cases where federated users share the same username as local users. 
 There will be no impact on your deployment if any of the preconditions mentioned below are not met. Only when all the preconditions mentioned below are fulfilled could a malicious actor associate a targeted </t>
        </is>
      </c>
      <c r="D1158" s="188" t="n">
        <v>7.7</v>
      </c>
      <c r="E1158" s="188" t="inlineStr">
        <is>
          <t>HIGH</t>
        </is>
      </c>
      <c r="F1158" s="188" t="n">
        <v>2</v>
      </c>
      <c r="G1158" s="188" t="n">
        <v>3</v>
      </c>
      <c r="H1158" s="188" t="inlineStr">
        <is>
          <t>HIGH</t>
        </is>
      </c>
      <c r="I1158" s="188" t="n">
        <v>13.7</v>
      </c>
      <c r="J1158" s="188" t="inlineStr">
        <is>
          <t>NO</t>
        </is>
      </c>
      <c r="K1158" s="188" t="inlineStr">
        <is>
          <t>https://nvd.nist.gov/vuln/detail/CVE-2024-1524</t>
        </is>
      </c>
      <c r="L1158" s="188" t="inlineStr">
        <is>
          <t>2026-02-26 00:15</t>
        </is>
      </c>
      <c r="M1158" s="188" t="inlineStr">
        <is>
          <t>CHECK_VENDOR</t>
        </is>
      </c>
      <c r="N1158" s="188" t="inlineStr">
        <is>
          <t>See NVD references</t>
        </is>
      </c>
      <c r="O1158" s="188" t="inlineStr">
        <is>
          <t>Apply vendor patches</t>
        </is>
      </c>
      <c r="P1158" s="188" t="inlineStr">
        <is>
          <t>See CVE details</t>
        </is>
      </c>
      <c r="Q1158" s="188" t="inlineStr">
        <is>
          <t>P3</t>
        </is>
      </c>
      <c r="R1158" s="188" t="inlineStr">
        <is>
          <t>🚨 URGENT: Apply vendor patches immediately | 🔒 Isolate affected systems if patch unavailable | 🛡️ Enable additional monitoring/IDS rules</t>
        </is>
      </c>
      <c r="S1158" s="188" t="inlineStr">
        <is>
          <t>CVE - IP enrichment n/a</t>
        </is>
      </c>
      <c r="T1158" s="188" t="n">
        <v>0.0005</v>
      </c>
      <c r="U1158" s="188" t="n">
        <v>0.1519</v>
      </c>
      <c r="V1158" s="188" t="inlineStr">
        <is>
          <t>T1190:Exploit Public-Facing Application</t>
        </is>
      </c>
      <c r="W1158" s="188" t="n">
        <v>1</v>
      </c>
      <c r="X1158" s="188" t="inlineStr">
        <is>
          <t>LOW (40%)</t>
        </is>
      </c>
      <c r="Y1158" s="188" t="inlineStr">
        <is>
          <t>UNLIKELY</t>
        </is>
      </c>
      <c r="Z1158" s="188" t="inlineStr">
        <is>
          <t>CHECK_VENDOR</t>
        </is>
      </c>
      <c r="AA1158" s="188" t="inlineStr">
        <is>
          <t>https://nvd.nist.gov/vuln/detail/CVE-2024-1524</t>
        </is>
      </c>
      <c r="AB1158" s="188" t="inlineStr">
        <is>
          <t>NONE</t>
        </is>
      </c>
      <c r="AC1158" s="188" t="n">
        <v>0</v>
      </c>
      <c r="AD1158" s="188" t="inlineStr"/>
    </row>
    <row r="1159">
      <c r="A1159" s="188" t="inlineStr">
        <is>
          <t>CVE</t>
        </is>
      </c>
      <c r="B1159" s="188" t="inlineStr">
        <is>
          <t>CVE-2025-11165</t>
        </is>
      </c>
      <c r="C1159" s="188" t="inlineStr">
        <is>
          <t>A sandbox escape vulnerability exists in dotCMS’s Velocity scripting engine (VTools) that allows authenticated users with scripting privileges to bypass class and package restrictions enforced by SecureUberspectorImpl.
By dynamically modifying the Velocity engine’s runtime configuration and reinitializing its Uberspect, a malicious actor can remove the introspector.restrict.classes and introspector.restrict.packages protections.
Once these restrictions are cleared, the attacker can access arbi</t>
        </is>
      </c>
      <c r="D1159" s="188" t="n">
        <v>8.5</v>
      </c>
      <c r="E1159" s="188" t="inlineStr">
        <is>
          <t>HIGH</t>
        </is>
      </c>
      <c r="F1159" s="188" t="n">
        <v>2</v>
      </c>
      <c r="G1159" s="188" t="n">
        <v>3</v>
      </c>
      <c r="H1159" s="188" t="inlineStr">
        <is>
          <t>HIGH</t>
        </is>
      </c>
      <c r="I1159" s="188" t="n">
        <v>14.5</v>
      </c>
      <c r="J1159" s="188" t="inlineStr">
        <is>
          <t>NO</t>
        </is>
      </c>
      <c r="K1159" s="188" t="inlineStr">
        <is>
          <t>https://nvd.nist.gov/vuln/detail/CVE-2025-11165</t>
        </is>
      </c>
      <c r="L1159" s="188" t="inlineStr">
        <is>
          <t>2026-02-26 00:15</t>
        </is>
      </c>
      <c r="M1159" s="188" t="inlineStr">
        <is>
          <t>CHECK_VENDOR</t>
        </is>
      </c>
      <c r="N1159" s="188" t="inlineStr">
        <is>
          <t>See NVD references</t>
        </is>
      </c>
      <c r="O1159" s="188" t="inlineStr">
        <is>
          <t>Apply vendor patches</t>
        </is>
      </c>
      <c r="P1159" s="188" t="inlineStr">
        <is>
          <t>See CVE details</t>
        </is>
      </c>
      <c r="Q1159" s="188" t="inlineStr">
        <is>
          <t>P3</t>
        </is>
      </c>
      <c r="R1159" s="188" t="inlineStr">
        <is>
          <t>🚨 URGENT: Apply vendor patches immediately | 🔒 Isolate affected systems if patch unavailable | 🛡️ Enable additional monitoring/IDS rules</t>
        </is>
      </c>
      <c r="S1159" s="188" t="inlineStr">
        <is>
          <t>CVE - IP enrichment n/a</t>
        </is>
      </c>
      <c r="T1159" s="188" t="n">
        <v>0</v>
      </c>
      <c r="U1159" s="188" t="n">
        <v>0</v>
      </c>
      <c r="V1159" s="188" t="inlineStr">
        <is>
          <t>T1190:Exploit Public-Facing Application</t>
        </is>
      </c>
      <c r="W1159" s="188" t="n">
        <v>1</v>
      </c>
      <c r="X1159" s="188" t="inlineStr">
        <is>
          <t>LOW (40%)</t>
        </is>
      </c>
      <c r="Y1159" s="188" t="inlineStr">
        <is>
          <t>UNLIKELY</t>
        </is>
      </c>
      <c r="Z1159" s="188" t="inlineStr">
        <is>
          <t>CHECK_VENDOR</t>
        </is>
      </c>
      <c r="AA1159" s="188" t="inlineStr">
        <is>
          <t>https://nvd.nist.gov/vuln/detail/CVE-2025-11165</t>
        </is>
      </c>
      <c r="AB1159" s="188" t="inlineStr">
        <is>
          <t>NONE</t>
        </is>
      </c>
      <c r="AC1159" s="188" t="n">
        <v>0</v>
      </c>
      <c r="AD1159" s="188" t="inlineStr"/>
    </row>
    <row r="1160">
      <c r="A1160" s="188" t="inlineStr">
        <is>
          <t>CVE</t>
        </is>
      </c>
      <c r="B1160" s="188" t="inlineStr">
        <is>
          <t>CVE-2024-56373</t>
        </is>
      </c>
      <c r="C1160" s="188" t="inlineStr">
        <is>
          <t xml:space="preserve">DAG Author (who already has quite a lot of permissions) could manipulate database of Airflow 2 in the way to execute arbitrary code in the web-server context, which they should normally not be able to do, leading to potentially remote code execution in the context of web-server (server-side) as a result of a user viewing historical task information.
The functionality responsible for that (log template history) has been disabled by default in 2.11.1 and users should upgrade to Airflow 3 if they </t>
        </is>
      </c>
      <c r="D1160" s="188" t="n">
        <v>8.4</v>
      </c>
      <c r="E1160" s="188" t="inlineStr">
        <is>
          <t>HIGH</t>
        </is>
      </c>
      <c r="F1160" s="188" t="n">
        <v>2</v>
      </c>
      <c r="G1160" s="188" t="n">
        <v>3</v>
      </c>
      <c r="H1160" s="188" t="inlineStr">
        <is>
          <t>HIGH</t>
        </is>
      </c>
      <c r="I1160" s="188" t="n">
        <v>14.4</v>
      </c>
      <c r="J1160" s="188" t="inlineStr">
        <is>
          <t>NO</t>
        </is>
      </c>
      <c r="K1160" s="188" t="inlineStr">
        <is>
          <t>https://nvd.nist.gov/vuln/detail/CVE-2024-56373</t>
        </is>
      </c>
      <c r="L1160" s="188" t="inlineStr">
        <is>
          <t>2026-02-26 00:15</t>
        </is>
      </c>
      <c r="M1160" s="188" t="inlineStr">
        <is>
          <t>YES</t>
        </is>
      </c>
      <c r="N1160" s="188" t="inlineStr">
        <is>
          <t>https://lists.apache.org/thread/2vrmrhcht6g7cp5yjxpnrk2wtrncm6cy</t>
        </is>
      </c>
      <c r="O1160" s="188" t="inlineStr">
        <is>
          <t>Apply vendor patches</t>
        </is>
      </c>
      <c r="P1160" s="188" t="inlineStr">
        <is>
          <t>apache airflow *</t>
        </is>
      </c>
      <c r="Q1160" s="188" t="inlineStr">
        <is>
          <t>P1</t>
        </is>
      </c>
      <c r="R1160" s="188" t="inlineStr">
        <is>
          <t>🚨 URGENT: Apply vendor patches immediately | 🔒 Isolate affected systems if patch unavailable | 🛡️ Enable additional monitoring/IDS rules</t>
        </is>
      </c>
      <c r="S1160" s="188" t="inlineStr">
        <is>
          <t>CVE - IP enrichment n/a</t>
        </is>
      </c>
      <c r="T1160" s="188" t="n">
        <v>0</v>
      </c>
      <c r="U1160" s="188" t="n">
        <v>0</v>
      </c>
      <c r="V1160" s="188" t="inlineStr">
        <is>
          <t>T1059:Command and Scripting Interpreter | T1190:Exploit Public-Facing Application | T1210:Exploitation of Remote Services</t>
        </is>
      </c>
      <c r="W1160" s="188" t="n">
        <v>2</v>
      </c>
      <c r="X1160" s="188" t="inlineStr">
        <is>
          <t>HIGH (72%)</t>
        </is>
      </c>
      <c r="Y1160" s="188" t="inlineStr">
        <is>
          <t>HIGH</t>
        </is>
      </c>
      <c r="Z1160" s="188" t="inlineStr">
        <is>
          <t>PATCH_AVAILABLE</t>
        </is>
      </c>
      <c r="AA1160" s="188" t="inlineStr">
        <is>
          <t>https://nvd.nist.gov/vuln/detail/CVE-2024-56373</t>
        </is>
      </c>
      <c r="AB1160" s="188" t="inlineStr">
        <is>
          <t>http://www.zerodayinitiative.com/advisories/ZDI-26-123/</t>
        </is>
      </c>
      <c r="AC1160" s="188" t="n">
        <v>0</v>
      </c>
      <c r="AD1160" s="188" t="inlineStr"/>
    </row>
    <row r="1161">
      <c r="A1161" s="187" t="inlineStr">
        <is>
          <t>CVE</t>
        </is>
      </c>
      <c r="B1161" s="187" t="inlineStr">
        <is>
          <t>CVE-2025-27555</t>
        </is>
      </c>
      <c r="C1161" s="187" t="inlineStr">
        <is>
          <t>Airflow versions before 2.11.1 have a vulnerability that allows authenticated users with audit log access to see sensitive values in audit logs which they should not see. When sensitive connection parameters were set via airflow CLI, values of those variables appeared in the audit log and were stored unencrypted in the Airflow database. While this risk is limited to users with audit log access, it is recommended to upgrade to Airflow 2.11.1 or a later version, which addresses this issue. Users w</t>
        </is>
      </c>
      <c r="D1161" s="187" t="n">
        <v>6.5</v>
      </c>
      <c r="E1161" s="187" t="inlineStr">
        <is>
          <t>MEDIUM</t>
        </is>
      </c>
      <c r="F1161" s="187" t="n">
        <v>2</v>
      </c>
      <c r="G1161" s="187" t="n">
        <v>2</v>
      </c>
      <c r="H1161" s="187" t="inlineStr">
        <is>
          <t>MEDIUM</t>
        </is>
      </c>
      <c r="I1161" s="187" t="n">
        <v>10.5</v>
      </c>
      <c r="J1161" s="187" t="inlineStr">
        <is>
          <t>NO</t>
        </is>
      </c>
      <c r="K1161" s="187" t="inlineStr">
        <is>
          <t>https://nvd.nist.gov/vuln/detail/CVE-2025-27555</t>
        </is>
      </c>
      <c r="L1161" s="187" t="inlineStr">
        <is>
          <t>2026-02-26 00:15</t>
        </is>
      </c>
      <c r="M1161" s="187" t="inlineStr">
        <is>
          <t>YES</t>
        </is>
      </c>
      <c r="N1161" s="187" t="inlineStr">
        <is>
          <t>https://lists.apache.org/thread/nxovkp319jo8vg498gql1yswtb2frbkw</t>
        </is>
      </c>
      <c r="O1161" s="187" t="inlineStr">
        <is>
          <t>Apply vendor patches</t>
        </is>
      </c>
      <c r="P1161" s="187" t="inlineStr">
        <is>
          <t>apache airflow *</t>
        </is>
      </c>
      <c r="Q1161" s="187" t="inlineStr">
        <is>
          <t>P1</t>
        </is>
      </c>
      <c r="R1161" s="187" t="inlineStr">
        <is>
          <t>📅 Schedule patch deployment within 30 days | 🔍 Monitor for exploitation attempts</t>
        </is>
      </c>
      <c r="S1161" s="187" t="inlineStr">
        <is>
          <t>CVE - IP enrichment n/a</t>
        </is>
      </c>
      <c r="T1161" s="187" t="n">
        <v>0.0003</v>
      </c>
      <c r="U1161" s="187" t="n">
        <v>0.0968</v>
      </c>
      <c r="V1161" s="187" t="inlineStr">
        <is>
          <t>T1190:Exploit Public-Facing Application</t>
        </is>
      </c>
      <c r="W1161" s="187" t="n">
        <v>2</v>
      </c>
      <c r="X1161" s="187" t="inlineStr">
        <is>
          <t>HIGH (72%)</t>
        </is>
      </c>
      <c r="Y1161" s="187" t="inlineStr">
        <is>
          <t>HIGH</t>
        </is>
      </c>
      <c r="Z1161" s="187" t="inlineStr">
        <is>
          <t>PATCH_AVAILABLE</t>
        </is>
      </c>
      <c r="AA1161" s="187" t="inlineStr">
        <is>
          <t>https://nvd.nist.gov/vuln/detail/CVE-2025-27555</t>
        </is>
      </c>
      <c r="AB1161" s="187" t="inlineStr">
        <is>
          <t>http://www.zerodayinitiative.com/advisories/ZDI-26-123/</t>
        </is>
      </c>
      <c r="AC1161" s="187" t="n">
        <v>0</v>
      </c>
      <c r="AD1161" s="187" t="inlineStr"/>
    </row>
    <row r="1162">
      <c r="A1162" s="187" t="inlineStr">
        <is>
          <t>CVE</t>
        </is>
      </c>
      <c r="B1162" s="187" t="inlineStr">
        <is>
          <t>CVE-2026-2664</t>
        </is>
      </c>
      <c r="C1162" s="187" t="inlineStr">
        <is>
          <t>An out of bounds read vulnerability in the grpcfuse kernel module present in the Linux VM in Docker Desktop for Windows, Linux and macOS up to version 4.61.0 could allow a local attacker to cause an unspecified impact by writing to /proc/docker entries. The issue has been fixed in Docker Desktop 4.62.0 .</t>
        </is>
      </c>
      <c r="D1162" s="187" t="n">
        <v>5</v>
      </c>
      <c r="E1162" s="187" t="inlineStr">
        <is>
          <t>MEDIUM</t>
        </is>
      </c>
      <c r="F1162" s="187" t="n">
        <v>2</v>
      </c>
      <c r="G1162" s="187" t="n">
        <v>2</v>
      </c>
      <c r="H1162" s="187" t="inlineStr">
        <is>
          <t>MEDIUM</t>
        </is>
      </c>
      <c r="I1162" s="187" t="n">
        <v>9</v>
      </c>
      <c r="J1162" s="187" t="inlineStr">
        <is>
          <t>NO</t>
        </is>
      </c>
      <c r="K1162" s="187" t="inlineStr">
        <is>
          <t>https://nvd.nist.gov/vuln/detail/CVE-2026-2664</t>
        </is>
      </c>
      <c r="L1162" s="187" t="inlineStr">
        <is>
          <t>2026-02-26 00:15</t>
        </is>
      </c>
      <c r="M1162" s="187" t="inlineStr">
        <is>
          <t>CHECK_VENDOR</t>
        </is>
      </c>
      <c r="N1162" s="187" t="inlineStr">
        <is>
          <t>See NVD references</t>
        </is>
      </c>
      <c r="O1162" s="187" t="inlineStr">
        <is>
          <t>Apply vendor patches</t>
        </is>
      </c>
      <c r="P1162" s="187" t="inlineStr">
        <is>
          <t>See CVE details</t>
        </is>
      </c>
      <c r="Q1162" s="187" t="inlineStr">
        <is>
          <t>P1</t>
        </is>
      </c>
      <c r="R1162" s="187" t="inlineStr">
        <is>
          <t>📅 Schedule patch deployment within 30 days | 🔍 Monitor for exploitation attempts</t>
        </is>
      </c>
      <c r="S1162" s="187" t="inlineStr">
        <is>
          <t>CVE - IP enrichment n/a</t>
        </is>
      </c>
      <c r="T1162" s="187" t="n">
        <v>0</v>
      </c>
      <c r="U1162" s="187" t="n">
        <v>0</v>
      </c>
      <c r="V1162" s="187" t="inlineStr">
        <is>
          <t>T1203:Exploitation for Client Execution</t>
        </is>
      </c>
      <c r="W1162" s="187" t="n">
        <v>2</v>
      </c>
      <c r="X1162" s="187" t="inlineStr">
        <is>
          <t>HIGH (72%)</t>
        </is>
      </c>
      <c r="Y1162" s="187" t="inlineStr">
        <is>
          <t>HIGH</t>
        </is>
      </c>
      <c r="Z1162" s="187" t="inlineStr">
        <is>
          <t>CHECK_VENDOR</t>
        </is>
      </c>
      <c r="AA1162" s="187" t="inlineStr">
        <is>
          <t>https://nvd.nist.gov/vuln/detail/CVE-2026-2664</t>
        </is>
      </c>
      <c r="AB1162" s="187" t="inlineStr">
        <is>
          <t>http://www.zerodayinitiative.com/advisories/ZDI-26-125/</t>
        </is>
      </c>
      <c r="AC1162" s="187" t="n">
        <v>0</v>
      </c>
      <c r="AD1162" s="187" t="inlineStr"/>
    </row>
    <row r="1163">
      <c r="A1163" s="188" t="inlineStr">
        <is>
          <t>CVE</t>
        </is>
      </c>
      <c r="B1163" s="188" t="inlineStr">
        <is>
          <t>CVE-2025-14577</t>
        </is>
      </c>
      <c r="C1163" s="188" t="inlineStr">
        <is>
          <t>Slican NCP/IPL/IPM/IPU devices are vulnerable to PHP Function Injection. An unauthenticated remote attacker is able to execute arbitrary PHP commands by sending specially crafted requests to /webcti/session_ajax.php endpoint.
This issue was fixed in version 1.24.0190 (Slican NCP) and 6.61.0010 (Slican IPL/IPM/IPU).</t>
        </is>
      </c>
      <c r="D1163" s="188" t="n">
        <v>8.5</v>
      </c>
      <c r="E1163" s="188" t="inlineStr">
        <is>
          <t>HIGH</t>
        </is>
      </c>
      <c r="F1163" s="188" t="n">
        <v>2</v>
      </c>
      <c r="G1163" s="188" t="n">
        <v>3</v>
      </c>
      <c r="H1163" s="188" t="inlineStr">
        <is>
          <t>HIGH</t>
        </is>
      </c>
      <c r="I1163" s="188" t="n">
        <v>14.5</v>
      </c>
      <c r="J1163" s="188" t="inlineStr">
        <is>
          <t>NO</t>
        </is>
      </c>
      <c r="K1163" s="188" t="inlineStr">
        <is>
          <t>https://nvd.nist.gov/vuln/detail/CVE-2025-14577</t>
        </is>
      </c>
      <c r="L1163" s="188" t="inlineStr">
        <is>
          <t>2026-02-26 00:15</t>
        </is>
      </c>
      <c r="M1163" s="188" t="inlineStr">
        <is>
          <t>CHECK_VENDOR</t>
        </is>
      </c>
      <c r="N1163" s="188" t="inlineStr">
        <is>
          <t>See NVD references</t>
        </is>
      </c>
      <c r="O1163" s="188" t="inlineStr">
        <is>
          <t>Apply vendor patches</t>
        </is>
      </c>
      <c r="P1163" s="188" t="inlineStr">
        <is>
          <t>See CVE details</t>
        </is>
      </c>
      <c r="Q1163" s="188" t="inlineStr">
        <is>
          <t>P3</t>
        </is>
      </c>
      <c r="R1163" s="188" t="inlineStr">
        <is>
          <t>🚨 URGENT: Apply vendor patches immediately | 🔒 Isolate affected systems if patch unavailable | 🛡️ Enable additional monitoring/IDS rules</t>
        </is>
      </c>
      <c r="S1163" s="188" t="inlineStr">
        <is>
          <t>CVE - IP enrichment n/a</t>
        </is>
      </c>
      <c r="T1163" s="188" t="n">
        <v>0</v>
      </c>
      <c r="U1163" s="188" t="n">
        <v>0</v>
      </c>
      <c r="V1163" s="188" t="inlineStr">
        <is>
          <t>T1078:Valid Accounts</t>
        </is>
      </c>
      <c r="W1163" s="188" t="n">
        <v>1</v>
      </c>
      <c r="X1163" s="188" t="inlineStr">
        <is>
          <t>LOW (40%)</t>
        </is>
      </c>
      <c r="Y1163" s="188" t="inlineStr">
        <is>
          <t>UNLIKELY</t>
        </is>
      </c>
      <c r="Z1163" s="188" t="inlineStr">
        <is>
          <t>CHECK_VENDOR</t>
        </is>
      </c>
      <c r="AA1163" s="188" t="inlineStr">
        <is>
          <t>https://nvd.nist.gov/vuln/detail/CVE-2025-14577</t>
        </is>
      </c>
      <c r="AB1163" s="188" t="inlineStr">
        <is>
          <t>NONE</t>
        </is>
      </c>
      <c r="AC1163" s="188" t="n">
        <v>0</v>
      </c>
      <c r="AD1163" s="188" t="inlineStr"/>
    </row>
    <row r="1164">
      <c r="A1164" s="187" t="inlineStr">
        <is>
          <t>CVE</t>
        </is>
      </c>
      <c r="B1164" s="187" t="inlineStr">
        <is>
          <t>CVE-2026-1772</t>
        </is>
      </c>
      <c r="C1164" s="187" t="inlineStr">
        <is>
          <t>RTU500 web interface: An unprivileged user can read user management information. The information cannot be accessed via the RTU500 web user interface but requires further tools like browser development utilities to access them without required privileges.</t>
        </is>
      </c>
      <c r="D1164" s="187" t="n">
        <v>5</v>
      </c>
      <c r="E1164" s="187" t="inlineStr">
        <is>
          <t>MEDIUM</t>
        </is>
      </c>
      <c r="F1164" s="187" t="n">
        <v>2</v>
      </c>
      <c r="G1164" s="187" t="n">
        <v>2</v>
      </c>
      <c r="H1164" s="187" t="inlineStr">
        <is>
          <t>MEDIUM</t>
        </is>
      </c>
      <c r="I1164" s="187" t="n">
        <v>9</v>
      </c>
      <c r="J1164" s="187" t="inlineStr">
        <is>
          <t>NO</t>
        </is>
      </c>
      <c r="K1164" s="187" t="inlineStr">
        <is>
          <t>https://nvd.nist.gov/vuln/detail/CVE-2026-1772</t>
        </is>
      </c>
      <c r="L1164" s="187" t="inlineStr">
        <is>
          <t>2026-02-26 00:15</t>
        </is>
      </c>
      <c r="M1164" s="187" t="inlineStr">
        <is>
          <t>CHECK_VENDOR</t>
        </is>
      </c>
      <c r="N1164" s="187" t="inlineStr">
        <is>
          <t>See NVD references</t>
        </is>
      </c>
      <c r="O1164" s="187" t="inlineStr">
        <is>
          <t>Apply vendor patches</t>
        </is>
      </c>
      <c r="P1164" s="187" t="inlineStr">
        <is>
          <t>See CVE details</t>
        </is>
      </c>
      <c r="Q1164" s="187" t="inlineStr">
        <is>
          <t>P4</t>
        </is>
      </c>
      <c r="R1164" s="187" t="inlineStr">
        <is>
          <t>📅 Schedule patch deployment within 30 days | 🔍 Monitor for exploitation attempts</t>
        </is>
      </c>
      <c r="S1164" s="187" t="inlineStr">
        <is>
          <t>CVE - IP enrichment n/a</t>
        </is>
      </c>
      <c r="T1164" s="187" t="n">
        <v>0</v>
      </c>
      <c r="U1164" s="187" t="n">
        <v>0</v>
      </c>
      <c r="V1164" s="187" t="inlineStr">
        <is>
          <t>T1190:Exploit Public-Facing Application</t>
        </is>
      </c>
      <c r="W1164" s="187" t="n">
        <v>1</v>
      </c>
      <c r="X1164" s="187" t="inlineStr">
        <is>
          <t>LOW (40%)</t>
        </is>
      </c>
      <c r="Y1164" s="187" t="inlineStr">
        <is>
          <t>UNLIKELY</t>
        </is>
      </c>
      <c r="Z1164" s="187" t="inlineStr">
        <is>
          <t>CHECK_VENDOR</t>
        </is>
      </c>
      <c r="AA1164" s="187" t="inlineStr">
        <is>
          <t>https://nvd.nist.gov/vuln/detail/CVE-2026-1772</t>
        </is>
      </c>
      <c r="AB1164" s="187" t="inlineStr">
        <is>
          <t>NONE</t>
        </is>
      </c>
      <c r="AC1164" s="187" t="n">
        <v>0</v>
      </c>
      <c r="AD1164" s="187" t="inlineStr"/>
    </row>
    <row r="1165">
      <c r="A1165" s="187" t="inlineStr">
        <is>
          <t>CVE</t>
        </is>
      </c>
      <c r="B1165" s="187" t="inlineStr">
        <is>
          <t>CVE-2026-1773</t>
        </is>
      </c>
      <c r="C1165" s="187" t="inlineStr">
        <is>
          <t>IEC 60870-5-104: Potential Denial of Service impact on reception of invalid U-format frame. Product is only affected if IEC 60870-5-104 bi-directional functionality is configured. Enabling secure communication following IEC 62351-3 does not remediate the vulnerability but mitigates the risk of exploitation.</t>
        </is>
      </c>
      <c r="D1165" s="187" t="n">
        <v>5</v>
      </c>
      <c r="E1165" s="187" t="inlineStr">
        <is>
          <t>MEDIUM</t>
        </is>
      </c>
      <c r="F1165" s="187" t="n">
        <v>2</v>
      </c>
      <c r="G1165" s="187" t="n">
        <v>2</v>
      </c>
      <c r="H1165" s="187" t="inlineStr">
        <is>
          <t>MEDIUM</t>
        </is>
      </c>
      <c r="I1165" s="187" t="n">
        <v>9</v>
      </c>
      <c r="J1165" s="187" t="inlineStr">
        <is>
          <t>NO</t>
        </is>
      </c>
      <c r="K1165" s="187" t="inlineStr">
        <is>
          <t>https://nvd.nist.gov/vuln/detail/CVE-2026-1773</t>
        </is>
      </c>
      <c r="L1165" s="187" t="inlineStr">
        <is>
          <t>2026-02-26 00:15</t>
        </is>
      </c>
      <c r="M1165" s="187" t="inlineStr">
        <is>
          <t>CHECK_VENDOR</t>
        </is>
      </c>
      <c r="N1165" s="187" t="inlineStr">
        <is>
          <t>See NVD references</t>
        </is>
      </c>
      <c r="O1165" s="187" t="inlineStr">
        <is>
          <t>Apply vendor patches</t>
        </is>
      </c>
      <c r="P1165" s="187" t="inlineStr">
        <is>
          <t>See CVE details</t>
        </is>
      </c>
      <c r="Q1165" s="187" t="inlineStr">
        <is>
          <t>P4</t>
        </is>
      </c>
      <c r="R1165" s="187" t="inlineStr">
        <is>
          <t>📅 Schedule patch deployment within 30 days | 🔍 Monitor for exploitation attempts</t>
        </is>
      </c>
      <c r="S1165" s="187" t="inlineStr">
        <is>
          <t>CVE - IP enrichment n/a</t>
        </is>
      </c>
      <c r="T1165" s="187" t="n">
        <v>0</v>
      </c>
      <c r="U1165" s="187" t="n">
        <v>0</v>
      </c>
      <c r="V1165" s="187" t="inlineStr">
        <is>
          <t>T1499:Endpoint Denial of Service</t>
        </is>
      </c>
      <c r="W1165" s="187" t="n">
        <v>1</v>
      </c>
      <c r="X1165" s="187" t="inlineStr">
        <is>
          <t>LOW (40%)</t>
        </is>
      </c>
      <c r="Y1165" s="187" t="inlineStr">
        <is>
          <t>UNLIKELY</t>
        </is>
      </c>
      <c r="Z1165" s="187" t="inlineStr">
        <is>
          <t>CHECK_VENDOR</t>
        </is>
      </c>
      <c r="AA1165" s="187" t="inlineStr">
        <is>
          <t>https://nvd.nist.gov/vuln/detail/CVE-2026-1773</t>
        </is>
      </c>
      <c r="AB1165" s="187" t="inlineStr">
        <is>
          <t>NONE</t>
        </is>
      </c>
      <c r="AC1165" s="187" t="n">
        <v>0</v>
      </c>
      <c r="AD1165" s="187" t="inlineStr"/>
    </row>
    <row r="1166">
      <c r="A1166" s="187" t="inlineStr">
        <is>
          <t>CVE</t>
        </is>
      </c>
      <c r="B1166" s="187" t="inlineStr">
        <is>
          <t>CVE-2026-23969</t>
        </is>
      </c>
      <c r="C1166" s="187" t="inlineStr">
        <is>
          <t>Apache Superset utilizes a configurable dictionary, DISALLOWED_SQL_FUNCTIONS, to restrict the execution of potentially sensitive SQL functions within SQL Lab and charts. While this feature included restrictions for engines like PostgreSQL, a vulnerability was reported where the default list for the ClickHouse engine was incomplete.
This issue affects Apache Superset: before 4.1.2.
Users are recommended to upgrade to version 4.1.2, which fixes the issue.</t>
        </is>
      </c>
      <c r="D1166" s="187" t="n">
        <v>5</v>
      </c>
      <c r="E1166" s="187" t="inlineStr">
        <is>
          <t>MEDIUM</t>
        </is>
      </c>
      <c r="F1166" s="187" t="n">
        <v>2</v>
      </c>
      <c r="G1166" s="187" t="n">
        <v>2</v>
      </c>
      <c r="H1166" s="187" t="inlineStr">
        <is>
          <t>MEDIUM</t>
        </is>
      </c>
      <c r="I1166" s="187" t="n">
        <v>9</v>
      </c>
      <c r="J1166" s="187" t="inlineStr">
        <is>
          <t>NO</t>
        </is>
      </c>
      <c r="K1166" s="187" t="inlineStr">
        <is>
          <t>https://nvd.nist.gov/vuln/detail/CVE-2026-23969</t>
        </is>
      </c>
      <c r="L1166" s="187" t="inlineStr">
        <is>
          <t>2026-02-26 00:15</t>
        </is>
      </c>
      <c r="M1166" s="187" t="inlineStr">
        <is>
          <t>CHECK_VENDOR</t>
        </is>
      </c>
      <c r="N1166" s="187" t="inlineStr">
        <is>
          <t>See NVD references</t>
        </is>
      </c>
      <c r="O1166" s="187" t="inlineStr">
        <is>
          <t>Apply vendor patches</t>
        </is>
      </c>
      <c r="P1166" s="187" t="inlineStr">
        <is>
          <t>See CVE details</t>
        </is>
      </c>
      <c r="Q1166" s="187" t="inlineStr">
        <is>
          <t>P4</t>
        </is>
      </c>
      <c r="R1166" s="187" t="inlineStr">
        <is>
          <t>📅 Schedule patch deployment within 30 days | 🔍 Monitor for exploitation attempts</t>
        </is>
      </c>
      <c r="S1166" s="187" t="inlineStr">
        <is>
          <t>CVE - IP enrichment n/a</t>
        </is>
      </c>
      <c r="T1166" s="187" t="n">
        <v>0.0007</v>
      </c>
      <c r="U1166" s="187" t="n">
        <v>0.2118</v>
      </c>
      <c r="V1166" s="187" t="inlineStr">
        <is>
          <t>T1190:Exploit Public-Facing Application</t>
        </is>
      </c>
      <c r="W1166" s="187" t="n">
        <v>1</v>
      </c>
      <c r="X1166" s="187" t="inlineStr">
        <is>
          <t>LOW (40%)</t>
        </is>
      </c>
      <c r="Y1166" s="187" t="inlineStr">
        <is>
          <t>UNLIKELY</t>
        </is>
      </c>
      <c r="Z1166" s="187" t="inlineStr">
        <is>
          <t>CHECK_VENDOR</t>
        </is>
      </c>
      <c r="AA1166" s="187" t="inlineStr">
        <is>
          <t>https://nvd.nist.gov/vuln/detail/CVE-2026-23969</t>
        </is>
      </c>
      <c r="AB1166" s="187" t="inlineStr">
        <is>
          <t>NONE</t>
        </is>
      </c>
      <c r="AC1166" s="187" t="n">
        <v>0</v>
      </c>
      <c r="AD1166" s="187" t="inlineStr"/>
    </row>
    <row r="1167">
      <c r="A1167" s="187" t="inlineStr">
        <is>
          <t>CVE</t>
        </is>
      </c>
      <c r="B1167" s="187" t="inlineStr">
        <is>
          <t>CVE-2026-23980</t>
        </is>
      </c>
      <c r="C1167" s="187" t="inlineStr">
        <is>
          <t>Improper Neutralization of Special Elements used in a SQL Command ('SQL Injection') vulnerability in Apache Superset allows an authenticated user with read access to conduct error-based SQL injection via the sqlExpression or where parameters.
This issue affects Apache Superset: before 6.0.0.
Users are recommended to upgrade to version 6.0.0, which fixes the issue.</t>
        </is>
      </c>
      <c r="D1167" s="187" t="n">
        <v>6.5</v>
      </c>
      <c r="E1167" s="187" t="inlineStr">
        <is>
          <t>MEDIUM</t>
        </is>
      </c>
      <c r="F1167" s="187" t="n">
        <v>2</v>
      </c>
      <c r="G1167" s="187" t="n">
        <v>2</v>
      </c>
      <c r="H1167" s="187" t="inlineStr">
        <is>
          <t>MEDIUM</t>
        </is>
      </c>
      <c r="I1167" s="187" t="n">
        <v>10.5</v>
      </c>
      <c r="J1167" s="187" t="inlineStr">
        <is>
          <t>NO</t>
        </is>
      </c>
      <c r="K1167" s="187" t="inlineStr">
        <is>
          <t>https://nvd.nist.gov/vuln/detail/CVE-2026-23980</t>
        </is>
      </c>
      <c r="L1167" s="187" t="inlineStr">
        <is>
          <t>2026-02-26 00:15</t>
        </is>
      </c>
      <c r="M1167" s="187" t="inlineStr">
        <is>
          <t>YES</t>
        </is>
      </c>
      <c r="N1167" s="187" t="inlineStr">
        <is>
          <t>https://lists.apache.org/thread/h4l02zw1pr2vywv0dc5zjn3grdcdhwf4</t>
        </is>
      </c>
      <c r="O1167" s="187" t="inlineStr">
        <is>
          <t>Apply vendor patches</t>
        </is>
      </c>
      <c r="P1167" s="187" t="inlineStr">
        <is>
          <t>apache superset *</t>
        </is>
      </c>
      <c r="Q1167" s="187" t="inlineStr">
        <is>
          <t>P4</t>
        </is>
      </c>
      <c r="R1167" s="187" t="inlineStr">
        <is>
          <t>📅 Schedule patch deployment within 30 days | 🔍 Monitor for exploitation attempts</t>
        </is>
      </c>
      <c r="S1167" s="187" t="inlineStr">
        <is>
          <t>CVE - IP enrichment n/a</t>
        </is>
      </c>
      <c r="T1167" s="187" t="n">
        <v>0</v>
      </c>
      <c r="U1167" s="187" t="n">
        <v>0</v>
      </c>
      <c r="V1167" s="187" t="inlineStr">
        <is>
          <t>T1190:Exploit Public-Facing Application</t>
        </is>
      </c>
      <c r="W1167" s="187" t="n">
        <v>1</v>
      </c>
      <c r="X1167" s="187" t="inlineStr">
        <is>
          <t>LOW (40%)</t>
        </is>
      </c>
      <c r="Y1167" s="187" t="inlineStr">
        <is>
          <t>UNLIKELY</t>
        </is>
      </c>
      <c r="Z1167" s="187" t="inlineStr">
        <is>
          <t>PATCH_AVAILABLE</t>
        </is>
      </c>
      <c r="AA1167" s="187" t="inlineStr">
        <is>
          <t>https://nvd.nist.gov/vuln/detail/CVE-2026-23980</t>
        </is>
      </c>
      <c r="AB1167" s="187" t="inlineStr">
        <is>
          <t>NONE</t>
        </is>
      </c>
      <c r="AC1167" s="187" t="n">
        <v>0</v>
      </c>
      <c r="AD1167" s="187" t="inlineStr"/>
    </row>
    <row r="1168">
      <c r="A1168" s="187" t="inlineStr">
        <is>
          <t>CVE</t>
        </is>
      </c>
      <c r="B1168" s="187" t="inlineStr">
        <is>
          <t>CVE-2026-23982</t>
        </is>
      </c>
      <c r="C1168" s="187" t="inlineStr">
        <is>
          <t>An Improper Authorization vulnerability exists in Apache Superset that allows a low-privileged user to bypass data access controls. When creating a dataset, Superset enforces permission checks to prevent users from querying unauthorized data. However, an authenticated attacker with permissions to write datasets and read charts can bypass these checks by overwriting the SQL query of an existing dataset.
This issue affects Apache Superset: before 6.0.0.
Users are recommended to upgrade to versio</t>
        </is>
      </c>
      <c r="D1168" s="187" t="n">
        <v>6.5</v>
      </c>
      <c r="E1168" s="187" t="inlineStr">
        <is>
          <t>MEDIUM</t>
        </is>
      </c>
      <c r="F1168" s="187" t="n">
        <v>2</v>
      </c>
      <c r="G1168" s="187" t="n">
        <v>2</v>
      </c>
      <c r="H1168" s="187" t="inlineStr">
        <is>
          <t>MEDIUM</t>
        </is>
      </c>
      <c r="I1168" s="187" t="n">
        <v>10.5</v>
      </c>
      <c r="J1168" s="187" t="inlineStr">
        <is>
          <t>NO</t>
        </is>
      </c>
      <c r="K1168" s="187" t="inlineStr">
        <is>
          <t>https://nvd.nist.gov/vuln/detail/CVE-2026-23982</t>
        </is>
      </c>
      <c r="L1168" s="187" t="inlineStr">
        <is>
          <t>2026-02-26 00:15</t>
        </is>
      </c>
      <c r="M1168" s="187" t="inlineStr">
        <is>
          <t>YES</t>
        </is>
      </c>
      <c r="N1168" s="187" t="inlineStr">
        <is>
          <t>https://lists.apache.org/thread/9lvbzwkw4rxgdvbpfvnnnfcll92v75fp</t>
        </is>
      </c>
      <c r="O1168" s="187" t="inlineStr">
        <is>
          <t>Apply vendor patches</t>
        </is>
      </c>
      <c r="P1168" s="187" t="inlineStr">
        <is>
          <t>apache superset *</t>
        </is>
      </c>
      <c r="Q1168" s="187" t="inlineStr">
        <is>
          <t>P4</t>
        </is>
      </c>
      <c r="R1168" s="187" t="inlineStr">
        <is>
          <t>📅 Schedule patch deployment within 30 days | 🔍 Monitor for exploitation attempts</t>
        </is>
      </c>
      <c r="S1168" s="187" t="inlineStr">
        <is>
          <t>CVE - IP enrichment n/a</t>
        </is>
      </c>
      <c r="T1168" s="187" t="n">
        <v>0.0003</v>
      </c>
      <c r="U1168" s="187" t="n">
        <v>0.0887</v>
      </c>
      <c r="V1168" s="187" t="inlineStr">
        <is>
          <t>T1190:Exploit Public-Facing Application</t>
        </is>
      </c>
      <c r="W1168" s="187" t="n">
        <v>1</v>
      </c>
      <c r="X1168" s="187" t="inlineStr">
        <is>
          <t>LOW (40%)</t>
        </is>
      </c>
      <c r="Y1168" s="187" t="inlineStr">
        <is>
          <t>UNLIKELY</t>
        </is>
      </c>
      <c r="Z1168" s="187" t="inlineStr">
        <is>
          <t>PATCH_AVAILABLE</t>
        </is>
      </c>
      <c r="AA1168" s="187" t="inlineStr">
        <is>
          <t>https://nvd.nist.gov/vuln/detail/CVE-2026-23982</t>
        </is>
      </c>
      <c r="AB1168" s="187" t="inlineStr">
        <is>
          <t>NONE</t>
        </is>
      </c>
      <c r="AC1168" s="187" t="n">
        <v>0</v>
      </c>
      <c r="AD1168" s="187" t="inlineStr"/>
    </row>
    <row r="1169">
      <c r="A1169" s="187" t="inlineStr">
        <is>
          <t>CVE</t>
        </is>
      </c>
      <c r="B1169" s="187" t="inlineStr">
        <is>
          <t>CVE-2026-23983</t>
        </is>
      </c>
      <c r="C1169" s="187" t="inlineStr">
        <is>
          <t>A Sensitive Data Exposure vulnerability exists in Apache Superset allowing authenticated users to retrieve sensitive user information. The Tag endpoint (disabled by default) allows users to retrieve a list of objects associated with a specific tag.
When these associated objects include Users, the API response improperly serializes and returns sensitive fields, including password hashes (pbkdf2), email addresses, and login statistics. This vulnerability allows authenticated users with low privile</t>
        </is>
      </c>
      <c r="D1169" s="187" t="n">
        <v>6.5</v>
      </c>
      <c r="E1169" s="187" t="inlineStr">
        <is>
          <t>MEDIUM</t>
        </is>
      </c>
      <c r="F1169" s="187" t="n">
        <v>2</v>
      </c>
      <c r="G1169" s="187" t="n">
        <v>2</v>
      </c>
      <c r="H1169" s="187" t="inlineStr">
        <is>
          <t>MEDIUM</t>
        </is>
      </c>
      <c r="I1169" s="187" t="n">
        <v>10.5</v>
      </c>
      <c r="J1169" s="187" t="inlineStr">
        <is>
          <t>NO</t>
        </is>
      </c>
      <c r="K1169" s="187" t="inlineStr">
        <is>
          <t>https://nvd.nist.gov/vuln/detail/CVE-2026-23983</t>
        </is>
      </c>
      <c r="L1169" s="187" t="inlineStr">
        <is>
          <t>2026-02-26 00:15</t>
        </is>
      </c>
      <c r="M1169" s="187" t="inlineStr">
        <is>
          <t>YES</t>
        </is>
      </c>
      <c r="N1169" s="187" t="inlineStr">
        <is>
          <t>https://lists.apache.org/thread/62mgbc5hc8026skp69kb6vqozj3pr5ww</t>
        </is>
      </c>
      <c r="O1169" s="187" t="inlineStr">
        <is>
          <t>Apply vendor patches</t>
        </is>
      </c>
      <c r="P1169" s="187" t="inlineStr">
        <is>
          <t>apache superset *</t>
        </is>
      </c>
      <c r="Q1169" s="187" t="inlineStr">
        <is>
          <t>P4</t>
        </is>
      </c>
      <c r="R1169" s="187" t="inlineStr">
        <is>
          <t>📅 Schedule patch deployment within 30 days | 🔍 Monitor for exploitation attempts</t>
        </is>
      </c>
      <c r="S1169" s="187" t="inlineStr">
        <is>
          <t>CVE - IP enrichment n/a</t>
        </is>
      </c>
      <c r="T1169" s="187" t="n">
        <v>0.0005999999999999999</v>
      </c>
      <c r="U1169" s="187" t="n">
        <v>0.1915</v>
      </c>
      <c r="V1169" s="187" t="inlineStr">
        <is>
          <t>T1213:Data from Information Repositories</t>
        </is>
      </c>
      <c r="W1169" s="187" t="n">
        <v>1</v>
      </c>
      <c r="X1169" s="187" t="inlineStr">
        <is>
          <t>LOW (40%)</t>
        </is>
      </c>
      <c r="Y1169" s="187" t="inlineStr">
        <is>
          <t>UNLIKELY</t>
        </is>
      </c>
      <c r="Z1169" s="187" t="inlineStr">
        <is>
          <t>PATCH_AVAILABLE</t>
        </is>
      </c>
      <c r="AA1169" s="187" t="inlineStr">
        <is>
          <t>https://nvd.nist.gov/vuln/detail/CVE-2026-23983</t>
        </is>
      </c>
      <c r="AB1169" s="187" t="inlineStr">
        <is>
          <t>NONE</t>
        </is>
      </c>
      <c r="AC1169" s="187" t="n">
        <v>0</v>
      </c>
      <c r="AD1169" s="187" t="inlineStr"/>
    </row>
    <row r="1170">
      <c r="A1170" s="187" t="inlineStr">
        <is>
          <t>CVE</t>
        </is>
      </c>
      <c r="B1170" s="187" t="inlineStr">
        <is>
          <t>CVE-2026-23984</t>
        </is>
      </c>
      <c r="C1170" s="187" t="inlineStr">
        <is>
          <t>An Improper Input Validation vulnerability exists in Apache Superset that allows an authenticated user with SQLLab access to bypass the read-only verification check when using a PostgreSQL database connection.
While the system effectively blocks standard Data Manipulation Language (DML) statements (e.g., INSERT, UPDATE, DELETE) on read-only connections, it fails to detect them in specially crafted SQL statements.
This issue affects Apache Superset: before 6.0.0.
Users are recommended to upgrad</t>
        </is>
      </c>
      <c r="D1170" s="187" t="n">
        <v>5</v>
      </c>
      <c r="E1170" s="187" t="inlineStr">
        <is>
          <t>MEDIUM</t>
        </is>
      </c>
      <c r="F1170" s="187" t="n">
        <v>2</v>
      </c>
      <c r="G1170" s="187" t="n">
        <v>2</v>
      </c>
      <c r="H1170" s="187" t="inlineStr">
        <is>
          <t>MEDIUM</t>
        </is>
      </c>
      <c r="I1170" s="187" t="n">
        <v>9</v>
      </c>
      <c r="J1170" s="187" t="inlineStr">
        <is>
          <t>NO</t>
        </is>
      </c>
      <c r="K1170" s="187" t="inlineStr">
        <is>
          <t>https://nvd.nist.gov/vuln/detail/CVE-2026-23984</t>
        </is>
      </c>
      <c r="L1170" s="187" t="inlineStr">
        <is>
          <t>2026-02-26 00:15</t>
        </is>
      </c>
      <c r="M1170" s="187" t="inlineStr">
        <is>
          <t>CHECK_VENDOR</t>
        </is>
      </c>
      <c r="N1170" s="187" t="inlineStr">
        <is>
          <t>See NVD references</t>
        </is>
      </c>
      <c r="O1170" s="187" t="inlineStr">
        <is>
          <t>Apply vendor patches</t>
        </is>
      </c>
      <c r="P1170" s="187" t="inlineStr">
        <is>
          <t>See CVE details</t>
        </is>
      </c>
      <c r="Q1170" s="187" t="inlineStr">
        <is>
          <t>P4</t>
        </is>
      </c>
      <c r="R1170" s="187" t="inlineStr">
        <is>
          <t>📅 Schedule patch deployment within 30 days | 🔍 Monitor for exploitation attempts</t>
        </is>
      </c>
      <c r="S1170" s="187" t="inlineStr">
        <is>
          <t>CVE - IP enrichment n/a</t>
        </is>
      </c>
      <c r="T1170" s="187" t="n">
        <v>0</v>
      </c>
      <c r="U1170" s="187" t="n">
        <v>0</v>
      </c>
      <c r="V1170" s="187" t="inlineStr">
        <is>
          <t>T1190:Exploit Public-Facing Application</t>
        </is>
      </c>
      <c r="W1170" s="187" t="n">
        <v>1</v>
      </c>
      <c r="X1170" s="187" t="inlineStr">
        <is>
          <t>LOW (40%)</t>
        </is>
      </c>
      <c r="Y1170" s="187" t="inlineStr">
        <is>
          <t>UNLIKELY</t>
        </is>
      </c>
      <c r="Z1170" s="187" t="inlineStr">
        <is>
          <t>CHECK_VENDOR</t>
        </is>
      </c>
      <c r="AA1170" s="187" t="inlineStr">
        <is>
          <t>https://nvd.nist.gov/vuln/detail/CVE-2026-23984</t>
        </is>
      </c>
      <c r="AB1170" s="187" t="inlineStr">
        <is>
          <t>NONE</t>
        </is>
      </c>
      <c r="AC1170" s="187" t="n">
        <v>0</v>
      </c>
      <c r="AD1170" s="187" t="inlineStr"/>
    </row>
    <row r="1171">
      <c r="A1171" s="187" t="inlineStr">
        <is>
          <t>CVE</t>
        </is>
      </c>
      <c r="B1171" s="187" t="inlineStr">
        <is>
          <t>CVE-2026-2459</t>
        </is>
      </c>
      <c r="C1171" s="187" t="inlineStr">
        <is>
          <t>A vulnerability exists in REB500 for an authenticated user with Installer role to access and alter the contents of directories that the role is not authorized to do so.</t>
        </is>
      </c>
      <c r="D1171" s="187" t="n">
        <v>5</v>
      </c>
      <c r="E1171" s="187" t="inlineStr">
        <is>
          <t>MEDIUM</t>
        </is>
      </c>
      <c r="F1171" s="187" t="n">
        <v>2</v>
      </c>
      <c r="G1171" s="187" t="n">
        <v>2</v>
      </c>
      <c r="H1171" s="187" t="inlineStr">
        <is>
          <t>MEDIUM</t>
        </is>
      </c>
      <c r="I1171" s="187" t="n">
        <v>9</v>
      </c>
      <c r="J1171" s="187" t="inlineStr">
        <is>
          <t>NO</t>
        </is>
      </c>
      <c r="K1171" s="187" t="inlineStr">
        <is>
          <t>https://nvd.nist.gov/vuln/detail/CVE-2026-2459</t>
        </is>
      </c>
      <c r="L1171" s="187" t="inlineStr">
        <is>
          <t>2026-02-26 00:15</t>
        </is>
      </c>
      <c r="M1171" s="187" t="inlineStr">
        <is>
          <t>CHECK_VENDOR</t>
        </is>
      </c>
      <c r="N1171" s="187" t="inlineStr">
        <is>
          <t>See NVD references</t>
        </is>
      </c>
      <c r="O1171" s="187" t="inlineStr">
        <is>
          <t>Apply vendor patches</t>
        </is>
      </c>
      <c r="P1171" s="187" t="inlineStr">
        <is>
          <t>See CVE details</t>
        </is>
      </c>
      <c r="Q1171" s="187" t="inlineStr">
        <is>
          <t>P4</t>
        </is>
      </c>
      <c r="R1171" s="187" t="inlineStr">
        <is>
          <t>📅 Schedule patch deployment within 30 days | 🔍 Monitor for exploitation attempts</t>
        </is>
      </c>
      <c r="S1171" s="187" t="inlineStr">
        <is>
          <t>CVE - IP enrichment n/a</t>
        </is>
      </c>
      <c r="T1171" s="187" t="n">
        <v>0</v>
      </c>
      <c r="U1171" s="187" t="n">
        <v>0</v>
      </c>
      <c r="V1171" s="187" t="inlineStr">
        <is>
          <t>T1190:Exploit Public-Facing Application</t>
        </is>
      </c>
      <c r="W1171" s="187" t="n">
        <v>1</v>
      </c>
      <c r="X1171" s="187" t="inlineStr">
        <is>
          <t>LOW (40%)</t>
        </is>
      </c>
      <c r="Y1171" s="187" t="inlineStr">
        <is>
          <t>UNLIKELY</t>
        </is>
      </c>
      <c r="Z1171" s="187" t="inlineStr">
        <is>
          <t>CHECK_VENDOR</t>
        </is>
      </c>
      <c r="AA1171" s="187" t="inlineStr">
        <is>
          <t>https://nvd.nist.gov/vuln/detail/CVE-2026-2459</t>
        </is>
      </c>
      <c r="AB1171" s="187" t="inlineStr">
        <is>
          <t>NONE</t>
        </is>
      </c>
      <c r="AC1171" s="187" t="n">
        <v>0</v>
      </c>
      <c r="AD1171" s="187" t="inlineStr"/>
    </row>
    <row r="1172">
      <c r="A1172" s="187" t="inlineStr">
        <is>
          <t>CVE</t>
        </is>
      </c>
      <c r="B1172" s="187" t="inlineStr">
        <is>
          <t>CVE-2026-2460</t>
        </is>
      </c>
      <c r="C1172" s="187" t="inlineStr">
        <is>
          <t>A vulnerability exists in REB500 for an authenticated user with low-level privileges to access and alter the content of directories by using the DAC protocol that the user is not authorized to do so.</t>
        </is>
      </c>
      <c r="D1172" s="187" t="n">
        <v>5</v>
      </c>
      <c r="E1172" s="187" t="inlineStr">
        <is>
          <t>MEDIUM</t>
        </is>
      </c>
      <c r="F1172" s="187" t="n">
        <v>2</v>
      </c>
      <c r="G1172" s="187" t="n">
        <v>2</v>
      </c>
      <c r="H1172" s="187" t="inlineStr">
        <is>
          <t>MEDIUM</t>
        </is>
      </c>
      <c r="I1172" s="187" t="n">
        <v>9</v>
      </c>
      <c r="J1172" s="187" t="inlineStr">
        <is>
          <t>NO</t>
        </is>
      </c>
      <c r="K1172" s="187" t="inlineStr">
        <is>
          <t>https://nvd.nist.gov/vuln/detail/CVE-2026-2460</t>
        </is>
      </c>
      <c r="L1172" s="187" t="inlineStr">
        <is>
          <t>2026-02-26 00:15</t>
        </is>
      </c>
      <c r="M1172" s="187" t="inlineStr">
        <is>
          <t>CHECK_VENDOR</t>
        </is>
      </c>
      <c r="N1172" s="187" t="inlineStr">
        <is>
          <t>See NVD references</t>
        </is>
      </c>
      <c r="O1172" s="187" t="inlineStr">
        <is>
          <t>Apply vendor patches</t>
        </is>
      </c>
      <c r="P1172" s="187" t="inlineStr">
        <is>
          <t>See CVE details</t>
        </is>
      </c>
      <c r="Q1172" s="187" t="inlineStr">
        <is>
          <t>P4</t>
        </is>
      </c>
      <c r="R1172" s="187" t="inlineStr">
        <is>
          <t>📅 Schedule patch deployment within 30 days | 🔍 Monitor for exploitation attempts</t>
        </is>
      </c>
      <c r="S1172" s="187" t="inlineStr">
        <is>
          <t>CVE - IP enrichment n/a</t>
        </is>
      </c>
      <c r="T1172" s="187" t="n">
        <v>0</v>
      </c>
      <c r="U1172" s="187" t="n">
        <v>0</v>
      </c>
      <c r="V1172" s="187" t="inlineStr">
        <is>
          <t>T1190:Exploit Public-Facing Application</t>
        </is>
      </c>
      <c r="W1172" s="187" t="n">
        <v>1</v>
      </c>
      <c r="X1172" s="187" t="inlineStr">
        <is>
          <t>LOW (40%)</t>
        </is>
      </c>
      <c r="Y1172" s="187" t="inlineStr">
        <is>
          <t>UNLIKELY</t>
        </is>
      </c>
      <c r="Z1172" s="187" t="inlineStr">
        <is>
          <t>CHECK_VENDOR</t>
        </is>
      </c>
      <c r="AA1172" s="187" t="inlineStr">
        <is>
          <t>https://nvd.nist.gov/vuln/detail/CVE-2026-2460</t>
        </is>
      </c>
      <c r="AB1172" s="187" t="inlineStr">
        <is>
          <t>NONE</t>
        </is>
      </c>
      <c r="AC1172" s="187" t="n">
        <v>0</v>
      </c>
      <c r="AD1172" s="187" t="inlineStr"/>
    </row>
    <row r="1173">
      <c r="A1173" s="189" t="inlineStr">
        <is>
          <t>CVE</t>
        </is>
      </c>
      <c r="B1173" s="189" t="inlineStr">
        <is>
          <t>CVE-2026-2634</t>
        </is>
      </c>
      <c r="C1173" s="189" t="inlineStr">
        <is>
          <t>Malicious scripts could cause desynchronization between the address bar and web content before a response is received in Firefox iOS, allowing attacker-controlled pages to be presented under spoofed domains. This vulnerability affects Firefox for iOS &lt; 147.4.</t>
        </is>
      </c>
      <c r="D1173" s="189" t="n">
        <v>9.800000000000001</v>
      </c>
      <c r="E1173" s="189" t="inlineStr">
        <is>
          <t>CRITICAL</t>
        </is>
      </c>
      <c r="F1173" s="189" t="n">
        <v>2</v>
      </c>
      <c r="G1173" s="189" t="n">
        <v>3</v>
      </c>
      <c r="H1173" s="189" t="inlineStr">
        <is>
          <t>HIGH</t>
        </is>
      </c>
      <c r="I1173" s="189" t="n">
        <v>15.8</v>
      </c>
      <c r="J1173" s="189" t="inlineStr">
        <is>
          <t>NO</t>
        </is>
      </c>
      <c r="K1173" s="189" t="inlineStr">
        <is>
          <t>https://nvd.nist.gov/vuln/detail/CVE-2026-2634</t>
        </is>
      </c>
      <c r="L1173" s="189" t="inlineStr">
        <is>
          <t>2026-02-26 00:15</t>
        </is>
      </c>
      <c r="M1173" s="189" t="inlineStr">
        <is>
          <t>YES</t>
        </is>
      </c>
      <c r="N1173" s="189" t="inlineStr">
        <is>
          <t>https://www.mozilla.org/security/advisories/mfsa2026-12/</t>
        </is>
      </c>
      <c r="O1173" s="189" t="inlineStr">
        <is>
          <t>Apply vendor patches</t>
        </is>
      </c>
      <c r="P1173" s="189" t="inlineStr">
        <is>
          <t>mozilla firefox *</t>
        </is>
      </c>
      <c r="Q1173" s="189" t="inlineStr">
        <is>
          <t>P3</t>
        </is>
      </c>
      <c r="R1173" s="189" t="inlineStr">
        <is>
          <t>🚨 URGENT: Apply vendor patches immediately | 🔒 Isolate affected systems if patch unavailable | 🛡️ Enable additional monitoring/IDS rules</t>
        </is>
      </c>
      <c r="S1173" s="189" t="inlineStr">
        <is>
          <t>CVE - IP enrichment n/a</t>
        </is>
      </c>
      <c r="T1173" s="189" t="n">
        <v>0</v>
      </c>
      <c r="U1173" s="189" t="n">
        <v>0</v>
      </c>
      <c r="V1173" s="189" t="inlineStr">
        <is>
          <t>T1190:Exploit Public-Facing Application</t>
        </is>
      </c>
      <c r="W1173" s="189" t="n">
        <v>1</v>
      </c>
      <c r="X1173" s="189" t="inlineStr">
        <is>
          <t>LOW (40%)</t>
        </is>
      </c>
      <c r="Y1173" s="189" t="inlineStr">
        <is>
          <t>UNLIKELY</t>
        </is>
      </c>
      <c r="Z1173" s="189" t="inlineStr">
        <is>
          <t>PATCH_AVAILABLE</t>
        </is>
      </c>
      <c r="AA1173" s="189" t="inlineStr">
        <is>
          <t>https://nvd.nist.gov/vuln/detail/CVE-2026-2634</t>
        </is>
      </c>
      <c r="AB1173" s="189" t="inlineStr">
        <is>
          <t>NONE</t>
        </is>
      </c>
      <c r="AC1173" s="189" t="n">
        <v>0</v>
      </c>
      <c r="AD1173" s="189" t="inlineStr"/>
    </row>
    <row r="1174">
      <c r="A1174" s="189" t="inlineStr">
        <is>
          <t>CVE</t>
        </is>
      </c>
      <c r="B1174" s="189" t="inlineStr">
        <is>
          <t>CVE-2026-2757</t>
        </is>
      </c>
      <c r="C1174" s="189" t="inlineStr">
        <is>
          <t>Incorrect boundary conditions in the WebRTC: Audio/Video component. This vulnerability affects Firefox &lt; 148, Firefox ESR &lt; 115.33, Firefox ESR &lt; 140.8, Thunderbird &lt; 148, and Thunderbird &lt; 140.8.</t>
        </is>
      </c>
      <c r="D1174" s="189" t="n">
        <v>9.800000000000001</v>
      </c>
      <c r="E1174" s="189" t="inlineStr">
        <is>
          <t>CRITICAL</t>
        </is>
      </c>
      <c r="F1174" s="189" t="n">
        <v>2</v>
      </c>
      <c r="G1174" s="189" t="n">
        <v>3</v>
      </c>
      <c r="H1174" s="189" t="inlineStr">
        <is>
          <t>HIGH</t>
        </is>
      </c>
      <c r="I1174" s="189" t="n">
        <v>15.8</v>
      </c>
      <c r="J1174" s="189" t="inlineStr">
        <is>
          <t>NO</t>
        </is>
      </c>
      <c r="K1174" s="189" t="inlineStr">
        <is>
          <t>https://nvd.nist.gov/vuln/detail/CVE-2026-2757</t>
        </is>
      </c>
      <c r="L1174" s="189" t="inlineStr">
        <is>
          <t>2026-02-26 00:15</t>
        </is>
      </c>
      <c r="M1174" s="189" t="inlineStr">
        <is>
          <t>YES</t>
        </is>
      </c>
      <c r="N1174" s="189" t="inlineStr">
        <is>
          <t>https://www.mozilla.org/security/advisories/mfsa2026-13/ | https://www.mozilla.org/security/advisories/mfsa2026-14/ | https://www.mozilla.org/security/advisories/mfsa2026-15/</t>
        </is>
      </c>
      <c r="O1174" s="189" t="inlineStr">
        <is>
          <t>Apply vendor patches</t>
        </is>
      </c>
      <c r="P1174" s="189" t="inlineStr">
        <is>
          <t>mozilla firefox *</t>
        </is>
      </c>
      <c r="Q1174" s="189" t="inlineStr">
        <is>
          <t>P3</t>
        </is>
      </c>
      <c r="R1174" s="189" t="inlineStr">
        <is>
          <t>🚨 URGENT: Apply vendor patches immediately | 🔒 Isolate affected systems if patch unavailable | 🛡️ Enable additional monitoring/IDS rules</t>
        </is>
      </c>
      <c r="S1174" s="189" t="inlineStr">
        <is>
          <t>CVE - IP enrichment n/a</t>
        </is>
      </c>
      <c r="T1174" s="189" t="n">
        <v>0</v>
      </c>
      <c r="U1174" s="189" t="n">
        <v>0</v>
      </c>
      <c r="V1174" s="189" t="inlineStr">
        <is>
          <t>T1190:Exploit Public-Facing Application</t>
        </is>
      </c>
      <c r="W1174" s="189" t="n">
        <v>1</v>
      </c>
      <c r="X1174" s="189" t="inlineStr">
        <is>
          <t>LOW (40%)</t>
        </is>
      </c>
      <c r="Y1174" s="189" t="inlineStr">
        <is>
          <t>UNLIKELY</t>
        </is>
      </c>
      <c r="Z1174" s="189" t="inlineStr">
        <is>
          <t>PATCH_AVAILABLE</t>
        </is>
      </c>
      <c r="AA1174" s="189" t="inlineStr">
        <is>
          <t>https://nvd.nist.gov/vuln/detail/CVE-2026-2757</t>
        </is>
      </c>
      <c r="AB1174" s="189" t="inlineStr">
        <is>
          <t>NONE</t>
        </is>
      </c>
      <c r="AC1174" s="189" t="n">
        <v>0</v>
      </c>
      <c r="AD1174" s="189" t="inlineStr"/>
    </row>
    <row r="1175">
      <c r="A1175" s="189" t="inlineStr">
        <is>
          <t>CVE</t>
        </is>
      </c>
      <c r="B1175" s="189" t="inlineStr">
        <is>
          <t>CVE-2026-2758</t>
        </is>
      </c>
      <c r="C1175" s="189" t="inlineStr">
        <is>
          <t>Use-after-free in the JavaScript: GC component. This vulnerability affects Firefox &lt; 148, Firefox ESR &lt; 115.33, Firefox ESR &lt; 140.8, Thunderbird &lt; 148, and Thunderbird &lt; 140.8.</t>
        </is>
      </c>
      <c r="D1175" s="189" t="n">
        <v>9.800000000000001</v>
      </c>
      <c r="E1175" s="189" t="inlineStr">
        <is>
          <t>CRITICAL</t>
        </is>
      </c>
      <c r="F1175" s="189" t="n">
        <v>2</v>
      </c>
      <c r="G1175" s="189" t="n">
        <v>3</v>
      </c>
      <c r="H1175" s="189" t="inlineStr">
        <is>
          <t>HIGH</t>
        </is>
      </c>
      <c r="I1175" s="189" t="n">
        <v>15.8</v>
      </c>
      <c r="J1175" s="189" t="inlineStr">
        <is>
          <t>NO</t>
        </is>
      </c>
      <c r="K1175" s="189" t="inlineStr">
        <is>
          <t>https://nvd.nist.gov/vuln/detail/CVE-2026-2758</t>
        </is>
      </c>
      <c r="L1175" s="189" t="inlineStr">
        <is>
          <t>2026-02-26 00:15</t>
        </is>
      </c>
      <c r="M1175" s="189" t="inlineStr">
        <is>
          <t>YES</t>
        </is>
      </c>
      <c r="N1175" s="189" t="inlineStr">
        <is>
          <t>https://www.mozilla.org/security/advisories/mfsa2026-13/ | https://www.mozilla.org/security/advisories/mfsa2026-14/ | https://www.mozilla.org/security/advisories/mfsa2026-15/</t>
        </is>
      </c>
      <c r="O1175" s="189" t="inlineStr">
        <is>
          <t>Apply vendor patches</t>
        </is>
      </c>
      <c r="P1175" s="189" t="inlineStr">
        <is>
          <t>mozilla firefox *</t>
        </is>
      </c>
      <c r="Q1175" s="189" t="inlineStr">
        <is>
          <t>P3</t>
        </is>
      </c>
      <c r="R1175" s="189" t="inlineStr">
        <is>
          <t>🚨 URGENT: Apply vendor patches immediately | 🔒 Isolate affected systems if patch unavailable | 🛡️ Enable additional monitoring/IDS rules</t>
        </is>
      </c>
      <c r="S1175" s="189" t="inlineStr">
        <is>
          <t>CVE - IP enrichment n/a</t>
        </is>
      </c>
      <c r="T1175" s="189" t="n">
        <v>0</v>
      </c>
      <c r="U1175" s="189" t="n">
        <v>0</v>
      </c>
      <c r="V1175" s="189" t="inlineStr">
        <is>
          <t>T1203:Exploitation for Client Execution</t>
        </is>
      </c>
      <c r="W1175" s="189" t="n">
        <v>1</v>
      </c>
      <c r="X1175" s="189" t="inlineStr">
        <is>
          <t>LOW (40%)</t>
        </is>
      </c>
      <c r="Y1175" s="189" t="inlineStr">
        <is>
          <t>UNLIKELY</t>
        </is>
      </c>
      <c r="Z1175" s="189" t="inlineStr">
        <is>
          <t>PATCH_AVAILABLE</t>
        </is>
      </c>
      <c r="AA1175" s="189" t="inlineStr">
        <is>
          <t>https://nvd.nist.gov/vuln/detail/CVE-2026-2758</t>
        </is>
      </c>
      <c r="AB1175" s="189" t="inlineStr">
        <is>
          <t>NONE</t>
        </is>
      </c>
      <c r="AC1175" s="189" t="n">
        <v>0</v>
      </c>
      <c r="AD1175" s="189" t="inlineStr"/>
    </row>
    <row r="1176">
      <c r="A1176" s="189" t="inlineStr">
        <is>
          <t>CVE</t>
        </is>
      </c>
      <c r="B1176" s="189" t="inlineStr">
        <is>
          <t>CVE-2026-2759</t>
        </is>
      </c>
      <c r="C1176" s="189" t="inlineStr">
        <is>
          <t>Incorrect boundary conditions in the Graphics: ImageLib component. This vulnerability affects Firefox &lt; 148, Firefox ESR &lt; 115.33, Firefox ESR &lt; 140.8, Thunderbird &lt; 148, and Thunderbird &lt; 140.8.</t>
        </is>
      </c>
      <c r="D1176" s="189" t="n">
        <v>9.800000000000001</v>
      </c>
      <c r="E1176" s="189" t="inlineStr">
        <is>
          <t>CRITICAL</t>
        </is>
      </c>
      <c r="F1176" s="189" t="n">
        <v>2</v>
      </c>
      <c r="G1176" s="189" t="n">
        <v>3</v>
      </c>
      <c r="H1176" s="189" t="inlineStr">
        <is>
          <t>HIGH</t>
        </is>
      </c>
      <c r="I1176" s="189" t="n">
        <v>15.8</v>
      </c>
      <c r="J1176" s="189" t="inlineStr">
        <is>
          <t>NO</t>
        </is>
      </c>
      <c r="K1176" s="189" t="inlineStr">
        <is>
          <t>https://nvd.nist.gov/vuln/detail/CVE-2026-2759</t>
        </is>
      </c>
      <c r="L1176" s="189" t="inlineStr">
        <is>
          <t>2026-02-26 00:15</t>
        </is>
      </c>
      <c r="M1176" s="189" t="inlineStr">
        <is>
          <t>YES</t>
        </is>
      </c>
      <c r="N1176" s="189" t="inlineStr">
        <is>
          <t>https://www.mozilla.org/security/advisories/mfsa2026-13/ | https://www.mozilla.org/security/advisories/mfsa2026-14/ | https://www.mozilla.org/security/advisories/mfsa2026-15/</t>
        </is>
      </c>
      <c r="O1176" s="189" t="inlineStr">
        <is>
          <t>Apply vendor patches</t>
        </is>
      </c>
      <c r="P1176" s="189" t="inlineStr">
        <is>
          <t>mozilla firefox *</t>
        </is>
      </c>
      <c r="Q1176" s="189" t="inlineStr">
        <is>
          <t>P3</t>
        </is>
      </c>
      <c r="R1176" s="189" t="inlineStr">
        <is>
          <t>🚨 URGENT: Apply vendor patches immediately | 🔒 Isolate affected systems if patch unavailable | 🛡️ Enable additional monitoring/IDS rules</t>
        </is>
      </c>
      <c r="S1176" s="189" t="inlineStr">
        <is>
          <t>CVE - IP enrichment n/a</t>
        </is>
      </c>
      <c r="T1176" s="189" t="n">
        <v>0</v>
      </c>
      <c r="U1176" s="189" t="n">
        <v>0</v>
      </c>
      <c r="V1176" s="189" t="inlineStr">
        <is>
          <t>T1190:Exploit Public-Facing Application</t>
        </is>
      </c>
      <c r="W1176" s="189" t="n">
        <v>1</v>
      </c>
      <c r="X1176" s="189" t="inlineStr">
        <is>
          <t>LOW (40%)</t>
        </is>
      </c>
      <c r="Y1176" s="189" t="inlineStr">
        <is>
          <t>UNLIKELY</t>
        </is>
      </c>
      <c r="Z1176" s="189" t="inlineStr">
        <is>
          <t>PATCH_AVAILABLE</t>
        </is>
      </c>
      <c r="AA1176" s="189" t="inlineStr">
        <is>
          <t>https://nvd.nist.gov/vuln/detail/CVE-2026-2759</t>
        </is>
      </c>
      <c r="AB1176" s="189" t="inlineStr">
        <is>
          <t>NONE</t>
        </is>
      </c>
      <c r="AC1176" s="189" t="n">
        <v>0</v>
      </c>
      <c r="AD1176" s="189" t="inlineStr"/>
    </row>
    <row r="1177">
      <c r="A1177" s="189" t="inlineStr">
        <is>
          <t>CVE</t>
        </is>
      </c>
      <c r="B1177" s="189" t="inlineStr">
        <is>
          <t>CVE-2026-2760</t>
        </is>
      </c>
      <c r="C1177" s="189" t="inlineStr">
        <is>
          <t>Sandbox escape due to incorrect boundary conditions in the Graphics: WebRender component. This vulnerability affects Firefox &lt; 148, Firefox ESR &lt; 115.33, Firefox ESR &lt; 140.8, Thunderbird &lt; 148, and Thunderbird &lt; 140.8.</t>
        </is>
      </c>
      <c r="D1177" s="189" t="n">
        <v>10</v>
      </c>
      <c r="E1177" s="189" t="inlineStr">
        <is>
          <t>CRITICAL</t>
        </is>
      </c>
      <c r="F1177" s="189" t="n">
        <v>2</v>
      </c>
      <c r="G1177" s="189" t="n">
        <v>3</v>
      </c>
      <c r="H1177" s="189" t="inlineStr">
        <is>
          <t>HIGH</t>
        </is>
      </c>
      <c r="I1177" s="189" t="n">
        <v>16</v>
      </c>
      <c r="J1177" s="189" t="inlineStr">
        <is>
          <t>NO</t>
        </is>
      </c>
      <c r="K1177" s="189" t="inlineStr">
        <is>
          <t>https://nvd.nist.gov/vuln/detail/CVE-2026-2760</t>
        </is>
      </c>
      <c r="L1177" s="189" t="inlineStr">
        <is>
          <t>2026-02-26 00:15</t>
        </is>
      </c>
      <c r="M1177" s="189" t="inlineStr">
        <is>
          <t>YES</t>
        </is>
      </c>
      <c r="N1177" s="189" t="inlineStr">
        <is>
          <t>https://www.mozilla.org/security/advisories/mfsa2026-13/ | https://www.mozilla.org/security/advisories/mfsa2026-14/ | https://www.mozilla.org/security/advisories/mfsa2026-15/</t>
        </is>
      </c>
      <c r="O1177" s="189" t="inlineStr">
        <is>
          <t>Apply vendor patches</t>
        </is>
      </c>
      <c r="P1177" s="189" t="inlineStr">
        <is>
          <t>mozilla firefox *</t>
        </is>
      </c>
      <c r="Q1177" s="189" t="inlineStr">
        <is>
          <t>P3</t>
        </is>
      </c>
      <c r="R1177" s="189" t="inlineStr">
        <is>
          <t>🚨 URGENT: Apply vendor patches immediately | 🔒 Isolate affected systems if patch unavailable | 🛡️ Enable additional monitoring/IDS rules</t>
        </is>
      </c>
      <c r="S1177" s="189" t="inlineStr">
        <is>
          <t>CVE - IP enrichment n/a</t>
        </is>
      </c>
      <c r="T1177" s="189" t="n">
        <v>0</v>
      </c>
      <c r="U1177" s="189" t="n">
        <v>0</v>
      </c>
      <c r="V1177" s="189" t="inlineStr">
        <is>
          <t>T1190:Exploit Public-Facing Application</t>
        </is>
      </c>
      <c r="W1177" s="189" t="n">
        <v>1</v>
      </c>
      <c r="X1177" s="189" t="inlineStr">
        <is>
          <t>LOW (40%)</t>
        </is>
      </c>
      <c r="Y1177" s="189" t="inlineStr">
        <is>
          <t>UNLIKELY</t>
        </is>
      </c>
      <c r="Z1177" s="189" t="inlineStr">
        <is>
          <t>PATCH_AVAILABLE</t>
        </is>
      </c>
      <c r="AA1177" s="189" t="inlineStr">
        <is>
          <t>https://nvd.nist.gov/vuln/detail/CVE-2026-2760</t>
        </is>
      </c>
      <c r="AB1177" s="189" t="inlineStr">
        <is>
          <t>NONE</t>
        </is>
      </c>
      <c r="AC1177" s="189" t="n">
        <v>0</v>
      </c>
      <c r="AD1177" s="189" t="inlineStr"/>
    </row>
    <row r="1178">
      <c r="A1178" s="189" t="inlineStr">
        <is>
          <t>CVE</t>
        </is>
      </c>
      <c r="B1178" s="189" t="inlineStr">
        <is>
          <t>CVE-2026-2761</t>
        </is>
      </c>
      <c r="C1178" s="189" t="inlineStr">
        <is>
          <t>Sandbox escape in the Graphics: WebRender component. This vulnerability affects Firefox &lt; 148, Firefox ESR &lt; 115.33, Firefox ESR &lt; 140.8, Thunderbird &lt; 148, and Thunderbird &lt; 140.8.</t>
        </is>
      </c>
      <c r="D1178" s="189" t="n">
        <v>10</v>
      </c>
      <c r="E1178" s="189" t="inlineStr">
        <is>
          <t>CRITICAL</t>
        </is>
      </c>
      <c r="F1178" s="189" t="n">
        <v>2</v>
      </c>
      <c r="G1178" s="189" t="n">
        <v>3</v>
      </c>
      <c r="H1178" s="189" t="inlineStr">
        <is>
          <t>HIGH</t>
        </is>
      </c>
      <c r="I1178" s="189" t="n">
        <v>16</v>
      </c>
      <c r="J1178" s="189" t="inlineStr">
        <is>
          <t>NO</t>
        </is>
      </c>
      <c r="K1178" s="189" t="inlineStr">
        <is>
          <t>https://nvd.nist.gov/vuln/detail/CVE-2026-2761</t>
        </is>
      </c>
      <c r="L1178" s="189" t="inlineStr">
        <is>
          <t>2026-02-26 00:15</t>
        </is>
      </c>
      <c r="M1178" s="189" t="inlineStr">
        <is>
          <t>YES</t>
        </is>
      </c>
      <c r="N1178" s="189" t="inlineStr">
        <is>
          <t>https://www.mozilla.org/security/advisories/mfsa2026-13/ | https://www.mozilla.org/security/advisories/mfsa2026-14/ | https://www.mozilla.org/security/advisories/mfsa2026-15/</t>
        </is>
      </c>
      <c r="O1178" s="189" t="inlineStr">
        <is>
          <t>Apply vendor patches</t>
        </is>
      </c>
      <c r="P1178" s="189" t="inlineStr">
        <is>
          <t>mozilla firefox *</t>
        </is>
      </c>
      <c r="Q1178" s="189" t="inlineStr">
        <is>
          <t>P3</t>
        </is>
      </c>
      <c r="R1178" s="189" t="inlineStr">
        <is>
          <t>🚨 URGENT: Apply vendor patches immediately | 🔒 Isolate affected systems if patch unavailable | 🛡️ Enable additional monitoring/IDS rules</t>
        </is>
      </c>
      <c r="S1178" s="189" t="inlineStr">
        <is>
          <t>CVE - IP enrichment n/a</t>
        </is>
      </c>
      <c r="T1178" s="189" t="n">
        <v>0</v>
      </c>
      <c r="U1178" s="189" t="n">
        <v>0</v>
      </c>
      <c r="V1178" s="189" t="inlineStr">
        <is>
          <t>T1190:Exploit Public-Facing Application</t>
        </is>
      </c>
      <c r="W1178" s="189" t="n">
        <v>1</v>
      </c>
      <c r="X1178" s="189" t="inlineStr">
        <is>
          <t>LOW (40%)</t>
        </is>
      </c>
      <c r="Y1178" s="189" t="inlineStr">
        <is>
          <t>UNLIKELY</t>
        </is>
      </c>
      <c r="Z1178" s="189" t="inlineStr">
        <is>
          <t>PATCH_AVAILABLE</t>
        </is>
      </c>
      <c r="AA1178" s="189" t="inlineStr">
        <is>
          <t>https://nvd.nist.gov/vuln/detail/CVE-2026-2761</t>
        </is>
      </c>
      <c r="AB1178" s="189" t="inlineStr">
        <is>
          <t>NONE</t>
        </is>
      </c>
      <c r="AC1178" s="189" t="n">
        <v>0</v>
      </c>
      <c r="AD1178" s="189" t="inlineStr"/>
    </row>
    <row r="1179">
      <c r="A1179" s="189" t="inlineStr">
        <is>
          <t>CVE</t>
        </is>
      </c>
      <c r="B1179" s="189" t="inlineStr">
        <is>
          <t>CVE-2026-2762</t>
        </is>
      </c>
      <c r="C1179" s="189" t="inlineStr">
        <is>
          <t>Integer overflow in the JavaScript: Standard Library component. This vulnerability affects Firefox &lt; 148, Firefox ESR &lt; 140.8, Thunderbird &lt; 148, and Thunderbird &lt; 140.8.</t>
        </is>
      </c>
      <c r="D1179" s="189" t="n">
        <v>9.800000000000001</v>
      </c>
      <c r="E1179" s="189" t="inlineStr">
        <is>
          <t>CRITICAL</t>
        </is>
      </c>
      <c r="F1179" s="189" t="n">
        <v>2</v>
      </c>
      <c r="G1179" s="189" t="n">
        <v>3</v>
      </c>
      <c r="H1179" s="189" t="inlineStr">
        <is>
          <t>HIGH</t>
        </is>
      </c>
      <c r="I1179" s="189" t="n">
        <v>15.8</v>
      </c>
      <c r="J1179" s="189" t="inlineStr">
        <is>
          <t>NO</t>
        </is>
      </c>
      <c r="K1179" s="189" t="inlineStr">
        <is>
          <t>https://nvd.nist.gov/vuln/detail/CVE-2026-2762</t>
        </is>
      </c>
      <c r="L1179" s="189" t="inlineStr">
        <is>
          <t>2026-02-26 00:15</t>
        </is>
      </c>
      <c r="M1179" s="189" t="inlineStr">
        <is>
          <t>YES</t>
        </is>
      </c>
      <c r="N1179" s="189" t="inlineStr">
        <is>
          <t>https://www.mozilla.org/security/advisories/mfsa2026-13/ | https://www.mozilla.org/security/advisories/mfsa2026-15/ | https://www.mozilla.org/security/advisories/mfsa2026-16/</t>
        </is>
      </c>
      <c r="O1179" s="189" t="inlineStr">
        <is>
          <t>Apply vendor patches</t>
        </is>
      </c>
      <c r="P1179" s="189" t="inlineStr">
        <is>
          <t>mozilla firefox * | mozilla thunderbird *</t>
        </is>
      </c>
      <c r="Q1179" s="189" t="inlineStr">
        <is>
          <t>P3</t>
        </is>
      </c>
      <c r="R1179" s="189" t="inlineStr">
        <is>
          <t>🚨 URGENT: Apply vendor patches immediately | 🔒 Isolate affected systems if patch unavailable | 🛡️ Enable additional monitoring/IDS rules</t>
        </is>
      </c>
      <c r="S1179" s="189" t="inlineStr">
        <is>
          <t>CVE - IP enrichment n/a</t>
        </is>
      </c>
      <c r="T1179" s="189" t="n">
        <v>0.0002</v>
      </c>
      <c r="U1179" s="189" t="n">
        <v>0.0426</v>
      </c>
      <c r="V1179" s="189" t="inlineStr">
        <is>
          <t>T1190:Exploit Public-Facing Application | T1203:Exploitation for Client Execution</t>
        </is>
      </c>
      <c r="W1179" s="189" t="n">
        <v>1</v>
      </c>
      <c r="X1179" s="189" t="inlineStr">
        <is>
          <t>LOW (40%)</t>
        </is>
      </c>
      <c r="Y1179" s="189" t="inlineStr">
        <is>
          <t>UNLIKELY</t>
        </is>
      </c>
      <c r="Z1179" s="189" t="inlineStr">
        <is>
          <t>PATCH_AVAILABLE</t>
        </is>
      </c>
      <c r="AA1179" s="189" t="inlineStr">
        <is>
          <t>https://nvd.nist.gov/vuln/detail/CVE-2026-2762</t>
        </is>
      </c>
      <c r="AB1179" s="189" t="inlineStr">
        <is>
          <t>NONE</t>
        </is>
      </c>
      <c r="AC1179" s="189" t="n">
        <v>0</v>
      </c>
      <c r="AD1179" s="189" t="inlineStr"/>
    </row>
    <row r="1180">
      <c r="A1180" s="189" t="inlineStr">
        <is>
          <t>CVE</t>
        </is>
      </c>
      <c r="B1180" s="189" t="inlineStr">
        <is>
          <t>CVE-2026-2763</t>
        </is>
      </c>
      <c r="C1180" s="189" t="inlineStr">
        <is>
          <t>Use-after-free in the JavaScript Engine component. This vulnerability affects Firefox &lt; 148, Firefox ESR &lt; 115.33, Firefox ESR &lt; 140.8, Thunderbird &lt; 148, and Thunderbird &lt; 140.8.</t>
        </is>
      </c>
      <c r="D1180" s="189" t="n">
        <v>9.800000000000001</v>
      </c>
      <c r="E1180" s="189" t="inlineStr">
        <is>
          <t>CRITICAL</t>
        </is>
      </c>
      <c r="F1180" s="189" t="n">
        <v>2</v>
      </c>
      <c r="G1180" s="189" t="n">
        <v>3</v>
      </c>
      <c r="H1180" s="189" t="inlineStr">
        <is>
          <t>HIGH</t>
        </is>
      </c>
      <c r="I1180" s="189" t="n">
        <v>15.8</v>
      </c>
      <c r="J1180" s="189" t="inlineStr">
        <is>
          <t>NO</t>
        </is>
      </c>
      <c r="K1180" s="189" t="inlineStr">
        <is>
          <t>https://nvd.nist.gov/vuln/detail/CVE-2026-2763</t>
        </is>
      </c>
      <c r="L1180" s="189" t="inlineStr">
        <is>
          <t>2026-02-26 00:15</t>
        </is>
      </c>
      <c r="M1180" s="189" t="inlineStr">
        <is>
          <t>YES</t>
        </is>
      </c>
      <c r="N1180" s="189" t="inlineStr">
        <is>
          <t>https://www.mozilla.org/security/advisories/mfsa2026-13/ | https://www.mozilla.org/security/advisories/mfsa2026-14/ | https://www.mozilla.org/security/advisories/mfsa2026-15/</t>
        </is>
      </c>
      <c r="O1180" s="189" t="inlineStr">
        <is>
          <t>Apply vendor patches</t>
        </is>
      </c>
      <c r="P1180" s="189" t="inlineStr">
        <is>
          <t>mozilla firefox *</t>
        </is>
      </c>
      <c r="Q1180" s="189" t="inlineStr">
        <is>
          <t>P3</t>
        </is>
      </c>
      <c r="R1180" s="189" t="inlineStr">
        <is>
          <t>🚨 URGENT: Apply vendor patches immediately | 🔒 Isolate affected systems if patch unavailable | 🛡️ Enable additional monitoring/IDS rules</t>
        </is>
      </c>
      <c r="S1180" s="189" t="inlineStr">
        <is>
          <t>CVE - IP enrichment n/a</t>
        </is>
      </c>
      <c r="T1180" s="189" t="n">
        <v>0.0002</v>
      </c>
      <c r="U1180" s="189" t="n">
        <v>0.0643</v>
      </c>
      <c r="V1180" s="189" t="inlineStr">
        <is>
          <t>T1203:Exploitation for Client Execution</t>
        </is>
      </c>
      <c r="W1180" s="189" t="n">
        <v>1</v>
      </c>
      <c r="X1180" s="189" t="inlineStr">
        <is>
          <t>LOW (40%)</t>
        </is>
      </c>
      <c r="Y1180" s="189" t="inlineStr">
        <is>
          <t>UNLIKELY</t>
        </is>
      </c>
      <c r="Z1180" s="189" t="inlineStr">
        <is>
          <t>PATCH_AVAILABLE</t>
        </is>
      </c>
      <c r="AA1180" s="189" t="inlineStr">
        <is>
          <t>https://nvd.nist.gov/vuln/detail/CVE-2026-2763</t>
        </is>
      </c>
      <c r="AB1180" s="189" t="inlineStr">
        <is>
          <t>NONE</t>
        </is>
      </c>
      <c r="AC1180" s="189" t="n">
        <v>0</v>
      </c>
      <c r="AD1180" s="189" t="inlineStr"/>
    </row>
    <row r="1181">
      <c r="A1181" s="189" t="inlineStr">
        <is>
          <t>CVE</t>
        </is>
      </c>
      <c r="B1181" s="189" t="inlineStr">
        <is>
          <t>CVE-2026-2764</t>
        </is>
      </c>
      <c r="C1181" s="189" t="inlineStr">
        <is>
          <t>JIT miscompilation, use-after-free in the JavaScript Engine: JIT component. This vulnerability affects Firefox &lt; 148, Firefox ESR &lt; 115.33, Firefox ESR &lt; 140.8, Thunderbird &lt; 148, and Thunderbird &lt; 140.8.</t>
        </is>
      </c>
      <c r="D1181" s="189" t="n">
        <v>9.800000000000001</v>
      </c>
      <c r="E1181" s="189" t="inlineStr">
        <is>
          <t>CRITICAL</t>
        </is>
      </c>
      <c r="F1181" s="189" t="n">
        <v>2</v>
      </c>
      <c r="G1181" s="189" t="n">
        <v>3</v>
      </c>
      <c r="H1181" s="189" t="inlineStr">
        <is>
          <t>HIGH</t>
        </is>
      </c>
      <c r="I1181" s="189" t="n">
        <v>15.8</v>
      </c>
      <c r="J1181" s="189" t="inlineStr">
        <is>
          <t>NO</t>
        </is>
      </c>
      <c r="K1181" s="189" t="inlineStr">
        <is>
          <t>https://nvd.nist.gov/vuln/detail/CVE-2026-2764</t>
        </is>
      </c>
      <c r="L1181" s="189" t="inlineStr">
        <is>
          <t>2026-02-26 00:15</t>
        </is>
      </c>
      <c r="M1181" s="189" t="inlineStr">
        <is>
          <t>YES</t>
        </is>
      </c>
      <c r="N1181" s="189" t="inlineStr">
        <is>
          <t>https://www.mozilla.org/security/advisories/mfsa2026-13/ | https://www.mozilla.org/security/advisories/mfsa2026-14/ | https://www.mozilla.org/security/advisories/mfsa2026-15/</t>
        </is>
      </c>
      <c r="O1181" s="189" t="inlineStr">
        <is>
          <t>Apply vendor patches</t>
        </is>
      </c>
      <c r="P1181" s="189" t="inlineStr">
        <is>
          <t>mozilla firefox *</t>
        </is>
      </c>
      <c r="Q1181" s="189" t="inlineStr">
        <is>
          <t>P3</t>
        </is>
      </c>
      <c r="R1181" s="189" t="inlineStr">
        <is>
          <t>🚨 URGENT: Apply vendor patches immediately | 🔒 Isolate affected systems if patch unavailable | 🛡️ Enable additional monitoring/IDS rules</t>
        </is>
      </c>
      <c r="S1181" s="189" t="inlineStr">
        <is>
          <t>CVE - IP enrichment n/a</t>
        </is>
      </c>
      <c r="T1181" s="189" t="n">
        <v>0.0002</v>
      </c>
      <c r="U1181" s="189" t="n">
        <v>0.0643</v>
      </c>
      <c r="V1181" s="189" t="inlineStr">
        <is>
          <t>T1203:Exploitation for Client Execution</t>
        </is>
      </c>
      <c r="W1181" s="189" t="n">
        <v>1</v>
      </c>
      <c r="X1181" s="189" t="inlineStr">
        <is>
          <t>LOW (40%)</t>
        </is>
      </c>
      <c r="Y1181" s="189" t="inlineStr">
        <is>
          <t>UNLIKELY</t>
        </is>
      </c>
      <c r="Z1181" s="189" t="inlineStr">
        <is>
          <t>PATCH_AVAILABLE</t>
        </is>
      </c>
      <c r="AA1181" s="189" t="inlineStr">
        <is>
          <t>https://nvd.nist.gov/vuln/detail/CVE-2026-2764</t>
        </is>
      </c>
      <c r="AB1181" s="189" t="inlineStr">
        <is>
          <t>NONE</t>
        </is>
      </c>
      <c r="AC1181" s="189" t="n">
        <v>0</v>
      </c>
      <c r="AD1181" s="189" t="inlineStr"/>
    </row>
    <row r="1182">
      <c r="A1182" s="189" t="inlineStr">
        <is>
          <t>CVE</t>
        </is>
      </c>
      <c r="B1182" s="189" t="inlineStr">
        <is>
          <t>CVE-2026-2765</t>
        </is>
      </c>
      <c r="C1182" s="189" t="inlineStr">
        <is>
          <t>Use-after-free in the JavaScript Engine component. This vulnerability affects Firefox &lt; 148, Firefox ESR &lt; 140.8, Thunderbird &lt; 148, and Thunderbird &lt; 140.8.</t>
        </is>
      </c>
      <c r="D1182" s="189" t="n">
        <v>9.800000000000001</v>
      </c>
      <c r="E1182" s="189" t="inlineStr">
        <is>
          <t>CRITICAL</t>
        </is>
      </c>
      <c r="F1182" s="189" t="n">
        <v>2</v>
      </c>
      <c r="G1182" s="189" t="n">
        <v>3</v>
      </c>
      <c r="H1182" s="189" t="inlineStr">
        <is>
          <t>HIGH</t>
        </is>
      </c>
      <c r="I1182" s="189" t="n">
        <v>15.8</v>
      </c>
      <c r="J1182" s="189" t="inlineStr">
        <is>
          <t>NO</t>
        </is>
      </c>
      <c r="K1182" s="189" t="inlineStr">
        <is>
          <t>https://nvd.nist.gov/vuln/detail/CVE-2026-2765</t>
        </is>
      </c>
      <c r="L1182" s="189" t="inlineStr">
        <is>
          <t>2026-02-26 00:15</t>
        </is>
      </c>
      <c r="M1182" s="189" t="inlineStr">
        <is>
          <t>YES</t>
        </is>
      </c>
      <c r="N1182" s="189" t="inlineStr">
        <is>
          <t>https://www.mozilla.org/security/advisories/mfsa2026-13/ | https://www.mozilla.org/security/advisories/mfsa2026-15/ | https://www.mozilla.org/security/advisories/mfsa2026-16/</t>
        </is>
      </c>
      <c r="O1182" s="189" t="inlineStr">
        <is>
          <t>Apply vendor patches</t>
        </is>
      </c>
      <c r="P1182" s="189" t="inlineStr">
        <is>
          <t>mozilla firefox * | mozilla thunderbird *</t>
        </is>
      </c>
      <c r="Q1182" s="189" t="inlineStr">
        <is>
          <t>P3</t>
        </is>
      </c>
      <c r="R1182" s="189" t="inlineStr">
        <is>
          <t>🚨 URGENT: Apply vendor patches immediately | 🔒 Isolate affected systems if patch unavailable | 🛡️ Enable additional monitoring/IDS rules</t>
        </is>
      </c>
      <c r="S1182" s="189" t="inlineStr">
        <is>
          <t>CVE - IP enrichment n/a</t>
        </is>
      </c>
      <c r="T1182" s="189" t="n">
        <v>0.0002</v>
      </c>
      <c r="U1182" s="189" t="n">
        <v>0.0426</v>
      </c>
      <c r="V1182" s="189" t="inlineStr">
        <is>
          <t>T1203:Exploitation for Client Execution</t>
        </is>
      </c>
      <c r="W1182" s="189" t="n">
        <v>1</v>
      </c>
      <c r="X1182" s="189" t="inlineStr">
        <is>
          <t>LOW (40%)</t>
        </is>
      </c>
      <c r="Y1182" s="189" t="inlineStr">
        <is>
          <t>UNLIKELY</t>
        </is>
      </c>
      <c r="Z1182" s="189" t="inlineStr">
        <is>
          <t>PATCH_AVAILABLE</t>
        </is>
      </c>
      <c r="AA1182" s="189" t="inlineStr">
        <is>
          <t>https://nvd.nist.gov/vuln/detail/CVE-2026-2765</t>
        </is>
      </c>
      <c r="AB1182" s="189" t="inlineStr">
        <is>
          <t>NONE</t>
        </is>
      </c>
      <c r="AC1182" s="189" t="n">
        <v>0</v>
      </c>
      <c r="AD1182" s="189" t="inlineStr"/>
    </row>
    <row r="1183">
      <c r="A1183" s="189" t="inlineStr">
        <is>
          <t>CVE</t>
        </is>
      </c>
      <c r="B1183" s="189" t="inlineStr">
        <is>
          <t>CVE-2026-2766</t>
        </is>
      </c>
      <c r="C1183" s="189" t="inlineStr">
        <is>
          <t>Use-after-free in the JavaScript Engine: JIT component. This vulnerability affects Firefox &lt; 148, Firefox ESR &lt; 140.8, Thunderbird &lt; 148, and Thunderbird &lt; 140.8.</t>
        </is>
      </c>
      <c r="D1183" s="189" t="n">
        <v>9.800000000000001</v>
      </c>
      <c r="E1183" s="189" t="inlineStr">
        <is>
          <t>CRITICAL</t>
        </is>
      </c>
      <c r="F1183" s="189" t="n">
        <v>2</v>
      </c>
      <c r="G1183" s="189" t="n">
        <v>3</v>
      </c>
      <c r="H1183" s="189" t="inlineStr">
        <is>
          <t>HIGH</t>
        </is>
      </c>
      <c r="I1183" s="189" t="n">
        <v>15.8</v>
      </c>
      <c r="J1183" s="189" t="inlineStr">
        <is>
          <t>NO</t>
        </is>
      </c>
      <c r="K1183" s="189" t="inlineStr">
        <is>
          <t>https://nvd.nist.gov/vuln/detail/CVE-2026-2766</t>
        </is>
      </c>
      <c r="L1183" s="189" t="inlineStr">
        <is>
          <t>2026-02-26 00:15</t>
        </is>
      </c>
      <c r="M1183" s="189" t="inlineStr">
        <is>
          <t>YES</t>
        </is>
      </c>
      <c r="N1183" s="189" t="inlineStr">
        <is>
          <t>https://www.mozilla.org/security/advisories/mfsa2026-13/ | https://www.mozilla.org/security/advisories/mfsa2026-15/ | https://www.mozilla.org/security/advisories/mfsa2026-16/</t>
        </is>
      </c>
      <c r="O1183" s="189" t="inlineStr">
        <is>
          <t>Apply vendor patches</t>
        </is>
      </c>
      <c r="P1183" s="189" t="inlineStr">
        <is>
          <t>mozilla firefox * | mozilla thunderbird *</t>
        </is>
      </c>
      <c r="Q1183" s="189" t="inlineStr">
        <is>
          <t>P3</t>
        </is>
      </c>
      <c r="R1183" s="189" t="inlineStr">
        <is>
          <t>🚨 URGENT: Apply vendor patches immediately | 🔒 Isolate affected systems if patch unavailable | 🛡️ Enable additional monitoring/IDS rules</t>
        </is>
      </c>
      <c r="S1183" s="189" t="inlineStr">
        <is>
          <t>CVE - IP enrichment n/a</t>
        </is>
      </c>
      <c r="T1183" s="189" t="n">
        <v>0</v>
      </c>
      <c r="U1183" s="189" t="n">
        <v>0</v>
      </c>
      <c r="V1183" s="189" t="inlineStr">
        <is>
          <t>T1203:Exploitation for Client Execution</t>
        </is>
      </c>
      <c r="W1183" s="189" t="n">
        <v>1</v>
      </c>
      <c r="X1183" s="189" t="inlineStr">
        <is>
          <t>LOW (40%)</t>
        </is>
      </c>
      <c r="Y1183" s="189" t="inlineStr">
        <is>
          <t>UNLIKELY</t>
        </is>
      </c>
      <c r="Z1183" s="189" t="inlineStr">
        <is>
          <t>PATCH_AVAILABLE</t>
        </is>
      </c>
      <c r="AA1183" s="189" t="inlineStr">
        <is>
          <t>https://nvd.nist.gov/vuln/detail/CVE-2026-2766</t>
        </is>
      </c>
      <c r="AB1183" s="189" t="inlineStr">
        <is>
          <t>NONE</t>
        </is>
      </c>
      <c r="AC1183" s="189" t="n">
        <v>0</v>
      </c>
      <c r="AD1183" s="189" t="inlineStr"/>
    </row>
    <row r="1184">
      <c r="A1184" s="189" t="inlineStr">
        <is>
          <t>CVE</t>
        </is>
      </c>
      <c r="B1184" s="189" t="inlineStr">
        <is>
          <t>CVE-2026-2767</t>
        </is>
      </c>
      <c r="C1184" s="189" t="inlineStr">
        <is>
          <t>Use-after-free in the JavaScript: WebAssembly component. This vulnerability affects Firefox &lt; 148, Firefox ESR &lt; 140.8, Thunderbird &lt; 148, and Thunderbird &lt; 140.8.</t>
        </is>
      </c>
      <c r="D1184" s="189" t="n">
        <v>9.800000000000001</v>
      </c>
      <c r="E1184" s="189" t="inlineStr">
        <is>
          <t>CRITICAL</t>
        </is>
      </c>
      <c r="F1184" s="189" t="n">
        <v>2</v>
      </c>
      <c r="G1184" s="189" t="n">
        <v>3</v>
      </c>
      <c r="H1184" s="189" t="inlineStr">
        <is>
          <t>HIGH</t>
        </is>
      </c>
      <c r="I1184" s="189" t="n">
        <v>15.8</v>
      </c>
      <c r="J1184" s="189" t="inlineStr">
        <is>
          <t>NO</t>
        </is>
      </c>
      <c r="K1184" s="189" t="inlineStr">
        <is>
          <t>https://nvd.nist.gov/vuln/detail/CVE-2026-2767</t>
        </is>
      </c>
      <c r="L1184" s="189" t="inlineStr">
        <is>
          <t>2026-02-26 00:15</t>
        </is>
      </c>
      <c r="M1184" s="189" t="inlineStr">
        <is>
          <t>YES</t>
        </is>
      </c>
      <c r="N1184" s="189" t="inlineStr">
        <is>
          <t>https://www.mozilla.org/security/advisories/mfsa2026-13/ | https://www.mozilla.org/security/advisories/mfsa2026-15/ | https://www.mozilla.org/security/advisories/mfsa2026-16/</t>
        </is>
      </c>
      <c r="O1184" s="189" t="inlineStr">
        <is>
          <t>Apply vendor patches</t>
        </is>
      </c>
      <c r="P1184" s="189" t="inlineStr">
        <is>
          <t>mozilla firefox * | mozilla thunderbird *</t>
        </is>
      </c>
      <c r="Q1184" s="189" t="inlineStr">
        <is>
          <t>P3</t>
        </is>
      </c>
      <c r="R1184" s="189" t="inlineStr">
        <is>
          <t>🚨 URGENT: Apply vendor patches immediately | 🔒 Isolate affected systems if patch unavailable | 🛡️ Enable additional monitoring/IDS rules</t>
        </is>
      </c>
      <c r="S1184" s="189" t="inlineStr">
        <is>
          <t>CVE - IP enrichment n/a</t>
        </is>
      </c>
      <c r="T1184" s="189" t="n">
        <v>0</v>
      </c>
      <c r="U1184" s="189" t="n">
        <v>0</v>
      </c>
      <c r="V1184" s="189" t="inlineStr">
        <is>
          <t>T1203:Exploitation for Client Execution</t>
        </is>
      </c>
      <c r="W1184" s="189" t="n">
        <v>1</v>
      </c>
      <c r="X1184" s="189" t="inlineStr">
        <is>
          <t>LOW (40%)</t>
        </is>
      </c>
      <c r="Y1184" s="189" t="inlineStr">
        <is>
          <t>UNLIKELY</t>
        </is>
      </c>
      <c r="Z1184" s="189" t="inlineStr">
        <is>
          <t>PATCH_AVAILABLE</t>
        </is>
      </c>
      <c r="AA1184" s="189" t="inlineStr">
        <is>
          <t>https://nvd.nist.gov/vuln/detail/CVE-2026-2767</t>
        </is>
      </c>
      <c r="AB1184" s="189" t="inlineStr">
        <is>
          <t>NONE</t>
        </is>
      </c>
      <c r="AC1184" s="189" t="n">
        <v>0</v>
      </c>
      <c r="AD1184" s="189" t="inlineStr"/>
    </row>
    <row r="1185">
      <c r="A1185" s="189" t="inlineStr">
        <is>
          <t>CVE</t>
        </is>
      </c>
      <c r="B1185" s="189" t="inlineStr">
        <is>
          <t>CVE-2026-2768</t>
        </is>
      </c>
      <c r="C1185" s="189" t="inlineStr">
        <is>
          <t>Sandbox escape in the Storage: IndexedDB component. This vulnerability affects Firefox &lt; 148, Firefox ESR &lt; 140.8, Thunderbird &lt; 148, and Thunderbird &lt; 140.8.</t>
        </is>
      </c>
      <c r="D1185" s="189" t="n">
        <v>10</v>
      </c>
      <c r="E1185" s="189" t="inlineStr">
        <is>
          <t>CRITICAL</t>
        </is>
      </c>
      <c r="F1185" s="189" t="n">
        <v>2</v>
      </c>
      <c r="G1185" s="189" t="n">
        <v>3</v>
      </c>
      <c r="H1185" s="189" t="inlineStr">
        <is>
          <t>HIGH</t>
        </is>
      </c>
      <c r="I1185" s="189" t="n">
        <v>16</v>
      </c>
      <c r="J1185" s="189" t="inlineStr">
        <is>
          <t>NO</t>
        </is>
      </c>
      <c r="K1185" s="189" t="inlineStr">
        <is>
          <t>https://nvd.nist.gov/vuln/detail/CVE-2026-2768</t>
        </is>
      </c>
      <c r="L1185" s="189" t="inlineStr">
        <is>
          <t>2026-02-26 00:15</t>
        </is>
      </c>
      <c r="M1185" s="189" t="inlineStr">
        <is>
          <t>YES</t>
        </is>
      </c>
      <c r="N1185" s="189" t="inlineStr">
        <is>
          <t>https://www.mozilla.org/security/advisories/mfsa2026-13/ | https://www.mozilla.org/security/advisories/mfsa2026-15/ | https://www.mozilla.org/security/advisories/mfsa2026-16/</t>
        </is>
      </c>
      <c r="O1185" s="189" t="inlineStr">
        <is>
          <t>Apply vendor patches</t>
        </is>
      </c>
      <c r="P1185" s="189" t="inlineStr">
        <is>
          <t>mozilla firefox * | mozilla thunderbird *</t>
        </is>
      </c>
      <c r="Q1185" s="189" t="inlineStr">
        <is>
          <t>P3</t>
        </is>
      </c>
      <c r="R1185" s="189" t="inlineStr">
        <is>
          <t>🚨 URGENT: Apply vendor patches immediately | 🔒 Isolate affected systems if patch unavailable | 🛡️ Enable additional monitoring/IDS rules</t>
        </is>
      </c>
      <c r="S1185" s="189" t="inlineStr">
        <is>
          <t>CVE - IP enrichment n/a</t>
        </is>
      </c>
      <c r="T1185" s="189" t="n">
        <v>0</v>
      </c>
      <c r="U1185" s="189" t="n">
        <v>0</v>
      </c>
      <c r="V1185" s="189" t="inlineStr">
        <is>
          <t>T1190:Exploit Public-Facing Application</t>
        </is>
      </c>
      <c r="W1185" s="189" t="n">
        <v>1</v>
      </c>
      <c r="X1185" s="189" t="inlineStr">
        <is>
          <t>LOW (40%)</t>
        </is>
      </c>
      <c r="Y1185" s="189" t="inlineStr">
        <is>
          <t>UNLIKELY</t>
        </is>
      </c>
      <c r="Z1185" s="189" t="inlineStr">
        <is>
          <t>PATCH_AVAILABLE</t>
        </is>
      </c>
      <c r="AA1185" s="189" t="inlineStr">
        <is>
          <t>https://nvd.nist.gov/vuln/detail/CVE-2026-2768</t>
        </is>
      </c>
      <c r="AB1185" s="189" t="inlineStr">
        <is>
          <t>NONE</t>
        </is>
      </c>
      <c r="AC1185" s="189" t="n">
        <v>0</v>
      </c>
      <c r="AD1185" s="189" t="inlineStr"/>
    </row>
    <row r="1186">
      <c r="A1186" s="188" t="inlineStr">
        <is>
          <t>CVE</t>
        </is>
      </c>
      <c r="B1186" s="188" t="inlineStr">
        <is>
          <t>CVE-2026-2769</t>
        </is>
      </c>
      <c r="C1186" s="188" t="inlineStr">
        <is>
          <t>Use-after-free in the Storage: IndexedDB component. This vulnerability affects Firefox &lt; 148, Firefox ESR &lt; 115.33, Firefox ESR &lt; 140.8, Thunderbird &lt; 148, and Thunderbird &lt; 140.8.</t>
        </is>
      </c>
      <c r="D1186" s="188" t="n">
        <v>8.800000000000001</v>
      </c>
      <c r="E1186" s="188" t="inlineStr">
        <is>
          <t>HIGH</t>
        </is>
      </c>
      <c r="F1186" s="188" t="n">
        <v>2</v>
      </c>
      <c r="G1186" s="188" t="n">
        <v>3</v>
      </c>
      <c r="H1186" s="188" t="inlineStr">
        <is>
          <t>HIGH</t>
        </is>
      </c>
      <c r="I1186" s="188" t="n">
        <v>14.8</v>
      </c>
      <c r="J1186" s="188" t="inlineStr">
        <is>
          <t>NO</t>
        </is>
      </c>
      <c r="K1186" s="188" t="inlineStr">
        <is>
          <t>https://nvd.nist.gov/vuln/detail/CVE-2026-2769</t>
        </is>
      </c>
      <c r="L1186" s="188" t="inlineStr">
        <is>
          <t>2026-02-26 00:15</t>
        </is>
      </c>
      <c r="M1186" s="188" t="inlineStr">
        <is>
          <t>YES</t>
        </is>
      </c>
      <c r="N1186" s="188" t="inlineStr">
        <is>
          <t>https://www.mozilla.org/security/advisories/mfsa2026-13/ | https://www.mozilla.org/security/advisories/mfsa2026-14/ | https://www.mozilla.org/security/advisories/mfsa2026-15/</t>
        </is>
      </c>
      <c r="O1186" s="188" t="inlineStr">
        <is>
          <t>Apply vendor patches</t>
        </is>
      </c>
      <c r="P1186" s="188" t="inlineStr">
        <is>
          <t>mozilla firefox *</t>
        </is>
      </c>
      <c r="Q1186" s="188" t="inlineStr">
        <is>
          <t>P3</t>
        </is>
      </c>
      <c r="R1186" s="188" t="inlineStr">
        <is>
          <t>🚨 URGENT: Apply vendor patches immediately | 🔒 Isolate affected systems if patch unavailable | 🛡️ Enable additional monitoring/IDS rules</t>
        </is>
      </c>
      <c r="S1186" s="188" t="inlineStr">
        <is>
          <t>CVE - IP enrichment n/a</t>
        </is>
      </c>
      <c r="T1186" s="188" t="n">
        <v>0.0005</v>
      </c>
      <c r="U1186" s="188" t="n">
        <v>0.1443</v>
      </c>
      <c r="V1186" s="188" t="inlineStr">
        <is>
          <t>T1203:Exploitation for Client Execution</t>
        </is>
      </c>
      <c r="W1186" s="188" t="n">
        <v>1</v>
      </c>
      <c r="X1186" s="188" t="inlineStr">
        <is>
          <t>LOW (40%)</t>
        </is>
      </c>
      <c r="Y1186" s="188" t="inlineStr">
        <is>
          <t>UNLIKELY</t>
        </is>
      </c>
      <c r="Z1186" s="188" t="inlineStr">
        <is>
          <t>PATCH_AVAILABLE</t>
        </is>
      </c>
      <c r="AA1186" s="188" t="inlineStr">
        <is>
          <t>https://nvd.nist.gov/vuln/detail/CVE-2026-2769</t>
        </is>
      </c>
      <c r="AB1186" s="188" t="inlineStr">
        <is>
          <t>NONE</t>
        </is>
      </c>
      <c r="AC1186" s="188" t="n">
        <v>0</v>
      </c>
      <c r="AD1186" s="188" t="inlineStr"/>
    </row>
    <row r="1187">
      <c r="A1187" s="189" t="inlineStr">
        <is>
          <t>CVE</t>
        </is>
      </c>
      <c r="B1187" s="189" t="inlineStr">
        <is>
          <t>CVE-2026-2770</t>
        </is>
      </c>
      <c r="C1187" s="189" t="inlineStr">
        <is>
          <t>Use-after-free in the DOM: Bindings (WebIDL) component. This vulnerability affects Firefox &lt; 148, Firefox ESR &lt; 115.33, Firefox ESR &lt; 140.8, Thunderbird &lt; 148, and Thunderbird &lt; 140.8.</t>
        </is>
      </c>
      <c r="D1187" s="189" t="n">
        <v>9.800000000000001</v>
      </c>
      <c r="E1187" s="189" t="inlineStr">
        <is>
          <t>CRITICAL</t>
        </is>
      </c>
      <c r="F1187" s="189" t="n">
        <v>2</v>
      </c>
      <c r="G1187" s="189" t="n">
        <v>3</v>
      </c>
      <c r="H1187" s="189" t="inlineStr">
        <is>
          <t>HIGH</t>
        </is>
      </c>
      <c r="I1187" s="189" t="n">
        <v>15.8</v>
      </c>
      <c r="J1187" s="189" t="inlineStr">
        <is>
          <t>NO</t>
        </is>
      </c>
      <c r="K1187" s="189" t="inlineStr">
        <is>
          <t>https://nvd.nist.gov/vuln/detail/CVE-2026-2770</t>
        </is>
      </c>
      <c r="L1187" s="189" t="inlineStr">
        <is>
          <t>2026-02-26 00:15</t>
        </is>
      </c>
      <c r="M1187" s="189" t="inlineStr">
        <is>
          <t>YES</t>
        </is>
      </c>
      <c r="N1187" s="189" t="inlineStr">
        <is>
          <t>https://www.mozilla.org/security/advisories/mfsa2026-13/ | https://www.mozilla.org/security/advisories/mfsa2026-14/ | https://www.mozilla.org/security/advisories/mfsa2026-15/</t>
        </is>
      </c>
      <c r="O1187" s="189" t="inlineStr">
        <is>
          <t>Apply vendor patches</t>
        </is>
      </c>
      <c r="P1187" s="189" t="inlineStr">
        <is>
          <t>mozilla firefox *</t>
        </is>
      </c>
      <c r="Q1187" s="189" t="inlineStr">
        <is>
          <t>P3</t>
        </is>
      </c>
      <c r="R1187" s="189" t="inlineStr">
        <is>
          <t>🚨 URGENT: Apply vendor patches immediately | 🔒 Isolate affected systems if patch unavailable | 🛡️ Enable additional monitoring/IDS rules</t>
        </is>
      </c>
      <c r="S1187" s="189" t="inlineStr">
        <is>
          <t>CVE - IP enrichment n/a</t>
        </is>
      </c>
      <c r="T1187" s="189" t="n">
        <v>0</v>
      </c>
      <c r="U1187" s="189" t="n">
        <v>0</v>
      </c>
      <c r="V1187" s="189" t="inlineStr">
        <is>
          <t>T1203:Exploitation for Client Execution</t>
        </is>
      </c>
      <c r="W1187" s="189" t="n">
        <v>1</v>
      </c>
      <c r="X1187" s="189" t="inlineStr">
        <is>
          <t>LOW (40%)</t>
        </is>
      </c>
      <c r="Y1187" s="189" t="inlineStr">
        <is>
          <t>UNLIKELY</t>
        </is>
      </c>
      <c r="Z1187" s="189" t="inlineStr">
        <is>
          <t>PATCH_AVAILABLE</t>
        </is>
      </c>
      <c r="AA1187" s="189" t="inlineStr">
        <is>
          <t>https://nvd.nist.gov/vuln/detail/CVE-2026-2770</t>
        </is>
      </c>
      <c r="AB1187" s="189" t="inlineStr">
        <is>
          <t>NONE</t>
        </is>
      </c>
      <c r="AC1187" s="189" t="n">
        <v>0</v>
      </c>
      <c r="AD1187" s="189" t="inlineStr"/>
    </row>
    <row r="1188">
      <c r="A1188" s="189" t="inlineStr">
        <is>
          <t>CVE</t>
        </is>
      </c>
      <c r="B1188" s="189" t="inlineStr">
        <is>
          <t>CVE-2026-2771</t>
        </is>
      </c>
      <c r="C1188" s="189" t="inlineStr">
        <is>
          <t>Undefined behavior in the DOM: Core &amp; HTML component. This vulnerability affects Firefox &lt; 148, Firefox ESR &lt; 115.33, Firefox ESR &lt; 140.8, Thunderbird &lt; 148, and Thunderbird &lt; 140.8.</t>
        </is>
      </c>
      <c r="D1188" s="189" t="n">
        <v>9.800000000000001</v>
      </c>
      <c r="E1188" s="189" t="inlineStr">
        <is>
          <t>CRITICAL</t>
        </is>
      </c>
      <c r="F1188" s="189" t="n">
        <v>2</v>
      </c>
      <c r="G1188" s="189" t="n">
        <v>3</v>
      </c>
      <c r="H1188" s="189" t="inlineStr">
        <is>
          <t>HIGH</t>
        </is>
      </c>
      <c r="I1188" s="189" t="n">
        <v>15.8</v>
      </c>
      <c r="J1188" s="189" t="inlineStr">
        <is>
          <t>NO</t>
        </is>
      </c>
      <c r="K1188" s="189" t="inlineStr">
        <is>
          <t>https://nvd.nist.gov/vuln/detail/CVE-2026-2771</t>
        </is>
      </c>
      <c r="L1188" s="189" t="inlineStr">
        <is>
          <t>2026-02-26 00:15</t>
        </is>
      </c>
      <c r="M1188" s="189" t="inlineStr">
        <is>
          <t>YES</t>
        </is>
      </c>
      <c r="N1188" s="189" t="inlineStr">
        <is>
          <t>https://www.mozilla.org/security/advisories/mfsa2026-13/ | https://www.mozilla.org/security/advisories/mfsa2026-14/ | https://www.mozilla.org/security/advisories/mfsa2026-15/</t>
        </is>
      </c>
      <c r="O1188" s="189" t="inlineStr">
        <is>
          <t>Apply vendor patches</t>
        </is>
      </c>
      <c r="P1188" s="189" t="inlineStr">
        <is>
          <t>mozilla firefox *</t>
        </is>
      </c>
      <c r="Q1188" s="189" t="inlineStr">
        <is>
          <t>P3</t>
        </is>
      </c>
      <c r="R1188" s="189" t="inlineStr">
        <is>
          <t>🚨 URGENT: Apply vendor patches immediately | 🔒 Isolate affected systems if patch unavailable | 🛡️ Enable additional monitoring/IDS rules</t>
        </is>
      </c>
      <c r="S1188" s="189" t="inlineStr">
        <is>
          <t>CVE - IP enrichment n/a</t>
        </is>
      </c>
      <c r="T1188" s="189" t="n">
        <v>0</v>
      </c>
      <c r="U1188" s="189" t="n">
        <v>0</v>
      </c>
      <c r="V1188" s="189" t="inlineStr">
        <is>
          <t>T1190:Exploit Public-Facing Application</t>
        </is>
      </c>
      <c r="W1188" s="189" t="n">
        <v>1</v>
      </c>
      <c r="X1188" s="189" t="inlineStr">
        <is>
          <t>LOW (40%)</t>
        </is>
      </c>
      <c r="Y1188" s="189" t="inlineStr">
        <is>
          <t>UNLIKELY</t>
        </is>
      </c>
      <c r="Z1188" s="189" t="inlineStr">
        <is>
          <t>PATCH_AVAILABLE</t>
        </is>
      </c>
      <c r="AA1188" s="189" t="inlineStr">
        <is>
          <t>https://nvd.nist.gov/vuln/detail/CVE-2026-2771</t>
        </is>
      </c>
      <c r="AB1188" s="189" t="inlineStr">
        <is>
          <t>NONE</t>
        </is>
      </c>
      <c r="AC1188" s="189" t="n">
        <v>0</v>
      </c>
      <c r="AD1188" s="189" t="inlineStr"/>
    </row>
    <row r="1189">
      <c r="A1189" s="189" t="inlineStr">
        <is>
          <t>CVE</t>
        </is>
      </c>
      <c r="B1189" s="189" t="inlineStr">
        <is>
          <t>CVE-2026-2772</t>
        </is>
      </c>
      <c r="C1189" s="189" t="inlineStr">
        <is>
          <t>Use-after-free in the Audio/Video: Playback component. This vulnerability affects Firefox &lt; 148, Firefox ESR &lt; 115.33, Firefox ESR &lt; 140.8, Thunderbird &lt; 148, and Thunderbird &lt; 140.8.</t>
        </is>
      </c>
      <c r="D1189" s="189" t="n">
        <v>9.800000000000001</v>
      </c>
      <c r="E1189" s="189" t="inlineStr">
        <is>
          <t>CRITICAL</t>
        </is>
      </c>
      <c r="F1189" s="189" t="n">
        <v>2</v>
      </c>
      <c r="G1189" s="189" t="n">
        <v>3</v>
      </c>
      <c r="H1189" s="189" t="inlineStr">
        <is>
          <t>HIGH</t>
        </is>
      </c>
      <c r="I1189" s="189" t="n">
        <v>15.8</v>
      </c>
      <c r="J1189" s="189" t="inlineStr">
        <is>
          <t>NO</t>
        </is>
      </c>
      <c r="K1189" s="189" t="inlineStr">
        <is>
          <t>https://nvd.nist.gov/vuln/detail/CVE-2026-2772</t>
        </is>
      </c>
      <c r="L1189" s="189" t="inlineStr">
        <is>
          <t>2026-02-26 00:15</t>
        </is>
      </c>
      <c r="M1189" s="189" t="inlineStr">
        <is>
          <t>YES</t>
        </is>
      </c>
      <c r="N1189" s="189" t="inlineStr">
        <is>
          <t>https://www.mozilla.org/security/advisories/mfsa2026-13/ | https://www.mozilla.org/security/advisories/mfsa2026-14/ | https://www.mozilla.org/security/advisories/mfsa2026-15/</t>
        </is>
      </c>
      <c r="O1189" s="189" t="inlineStr">
        <is>
          <t>Apply vendor patches</t>
        </is>
      </c>
      <c r="P1189" s="189" t="inlineStr">
        <is>
          <t>mozilla firefox *</t>
        </is>
      </c>
      <c r="Q1189" s="189" t="inlineStr">
        <is>
          <t>P3</t>
        </is>
      </c>
      <c r="R1189" s="189" t="inlineStr">
        <is>
          <t>🚨 URGENT: Apply vendor patches immediately | 🔒 Isolate affected systems if patch unavailable | 🛡️ Enable additional monitoring/IDS rules</t>
        </is>
      </c>
      <c r="S1189" s="189" t="inlineStr">
        <is>
          <t>CVE - IP enrichment n/a</t>
        </is>
      </c>
      <c r="T1189" s="189" t="n">
        <v>0.0002</v>
      </c>
      <c r="U1189" s="189" t="n">
        <v>0.0643</v>
      </c>
      <c r="V1189" s="189" t="inlineStr">
        <is>
          <t>T1203:Exploitation for Client Execution</t>
        </is>
      </c>
      <c r="W1189" s="189" t="n">
        <v>1</v>
      </c>
      <c r="X1189" s="189" t="inlineStr">
        <is>
          <t>LOW (40%)</t>
        </is>
      </c>
      <c r="Y1189" s="189" t="inlineStr">
        <is>
          <t>UNLIKELY</t>
        </is>
      </c>
      <c r="Z1189" s="189" t="inlineStr">
        <is>
          <t>PATCH_AVAILABLE</t>
        </is>
      </c>
      <c r="AA1189" s="189" t="inlineStr">
        <is>
          <t>https://nvd.nist.gov/vuln/detail/CVE-2026-2772</t>
        </is>
      </c>
      <c r="AB1189" s="189" t="inlineStr">
        <is>
          <t>NONE</t>
        </is>
      </c>
      <c r="AC1189" s="189" t="n">
        <v>0</v>
      </c>
      <c r="AD1189" s="189" t="inlineStr"/>
    </row>
    <row r="1190">
      <c r="A1190" s="189" t="inlineStr">
        <is>
          <t>CVE</t>
        </is>
      </c>
      <c r="B1190" s="189" t="inlineStr">
        <is>
          <t>CVE-2026-2773</t>
        </is>
      </c>
      <c r="C1190" s="189" t="inlineStr">
        <is>
          <t>Incorrect boundary conditions in the Web Audio component. This vulnerability affects Firefox &lt; 148, Firefox ESR &lt; 115.33, Firefox ESR &lt; 140.8, Thunderbird &lt; 148, and Thunderbird &lt; 140.8.</t>
        </is>
      </c>
      <c r="D1190" s="189" t="n">
        <v>9.800000000000001</v>
      </c>
      <c r="E1190" s="189" t="inlineStr">
        <is>
          <t>CRITICAL</t>
        </is>
      </c>
      <c r="F1190" s="189" t="n">
        <v>2</v>
      </c>
      <c r="G1190" s="189" t="n">
        <v>3</v>
      </c>
      <c r="H1190" s="189" t="inlineStr">
        <is>
          <t>HIGH</t>
        </is>
      </c>
      <c r="I1190" s="189" t="n">
        <v>15.8</v>
      </c>
      <c r="J1190" s="189" t="inlineStr">
        <is>
          <t>NO</t>
        </is>
      </c>
      <c r="K1190" s="189" t="inlineStr">
        <is>
          <t>https://nvd.nist.gov/vuln/detail/CVE-2026-2773</t>
        </is>
      </c>
      <c r="L1190" s="189" t="inlineStr">
        <is>
          <t>2026-02-26 00:15</t>
        </is>
      </c>
      <c r="M1190" s="189" t="inlineStr">
        <is>
          <t>YES</t>
        </is>
      </c>
      <c r="N1190" s="189" t="inlineStr">
        <is>
          <t>https://www.mozilla.org/security/advisories/mfsa2026-13/ | https://www.mozilla.org/security/advisories/mfsa2026-14/ | https://www.mozilla.org/security/advisories/mfsa2026-15/</t>
        </is>
      </c>
      <c r="O1190" s="189" t="inlineStr">
        <is>
          <t>Apply vendor patches</t>
        </is>
      </c>
      <c r="P1190" s="189" t="inlineStr">
        <is>
          <t>mozilla firefox *</t>
        </is>
      </c>
      <c r="Q1190" s="189" t="inlineStr">
        <is>
          <t>P3</t>
        </is>
      </c>
      <c r="R1190" s="189" t="inlineStr">
        <is>
          <t>🚨 URGENT: Apply vendor patches immediately | 🔒 Isolate affected systems if patch unavailable | 🛡️ Enable additional monitoring/IDS rules</t>
        </is>
      </c>
      <c r="S1190" s="189" t="inlineStr">
        <is>
          <t>CVE - IP enrichment n/a</t>
        </is>
      </c>
      <c r="T1190" s="189" t="n">
        <v>0</v>
      </c>
      <c r="U1190" s="189" t="n">
        <v>0</v>
      </c>
      <c r="V1190" s="189" t="inlineStr">
        <is>
          <t>T1190:Exploit Public-Facing Application</t>
        </is>
      </c>
      <c r="W1190" s="189" t="n">
        <v>1</v>
      </c>
      <c r="X1190" s="189" t="inlineStr">
        <is>
          <t>LOW (40%)</t>
        </is>
      </c>
      <c r="Y1190" s="189" t="inlineStr">
        <is>
          <t>UNLIKELY</t>
        </is>
      </c>
      <c r="Z1190" s="189" t="inlineStr">
        <is>
          <t>PATCH_AVAILABLE</t>
        </is>
      </c>
      <c r="AA1190" s="189" t="inlineStr">
        <is>
          <t>https://nvd.nist.gov/vuln/detail/CVE-2026-2773</t>
        </is>
      </c>
      <c r="AB1190" s="189" t="inlineStr">
        <is>
          <t>NONE</t>
        </is>
      </c>
      <c r="AC1190" s="189" t="n">
        <v>0</v>
      </c>
      <c r="AD1190" s="189" t="inlineStr"/>
    </row>
    <row r="1191">
      <c r="A1191" s="189" t="inlineStr">
        <is>
          <t>CVE</t>
        </is>
      </c>
      <c r="B1191" s="189" t="inlineStr">
        <is>
          <t>CVE-2026-2774</t>
        </is>
      </c>
      <c r="C1191" s="189" t="inlineStr">
        <is>
          <t>Integer overflow in the Audio/Video component. This vulnerability affects Firefox &lt; 148, Firefox ESR &lt; 115.33, Firefox ESR &lt; 140.8, Thunderbird &lt; 148, and Thunderbird &lt; 140.8.</t>
        </is>
      </c>
      <c r="D1191" s="189" t="n">
        <v>9.800000000000001</v>
      </c>
      <c r="E1191" s="189" t="inlineStr">
        <is>
          <t>CRITICAL</t>
        </is>
      </c>
      <c r="F1191" s="189" t="n">
        <v>2</v>
      </c>
      <c r="G1191" s="189" t="n">
        <v>3</v>
      </c>
      <c r="H1191" s="189" t="inlineStr">
        <is>
          <t>HIGH</t>
        </is>
      </c>
      <c r="I1191" s="189" t="n">
        <v>15.8</v>
      </c>
      <c r="J1191" s="189" t="inlineStr">
        <is>
          <t>NO</t>
        </is>
      </c>
      <c r="K1191" s="189" t="inlineStr">
        <is>
          <t>https://nvd.nist.gov/vuln/detail/CVE-2026-2774</t>
        </is>
      </c>
      <c r="L1191" s="189" t="inlineStr">
        <is>
          <t>2026-02-26 00:15</t>
        </is>
      </c>
      <c r="M1191" s="189" t="inlineStr">
        <is>
          <t>YES</t>
        </is>
      </c>
      <c r="N1191" s="189" t="inlineStr">
        <is>
          <t>https://www.mozilla.org/security/advisories/mfsa2026-13/ | https://www.mozilla.org/security/advisories/mfsa2026-14/ | https://www.mozilla.org/security/advisories/mfsa2026-15/</t>
        </is>
      </c>
      <c r="O1191" s="189" t="inlineStr">
        <is>
          <t>Apply vendor patches</t>
        </is>
      </c>
      <c r="P1191" s="189" t="inlineStr">
        <is>
          <t>mozilla firefox *</t>
        </is>
      </c>
      <c r="Q1191" s="189" t="inlineStr">
        <is>
          <t>P3</t>
        </is>
      </c>
      <c r="R1191" s="189" t="inlineStr">
        <is>
          <t>🚨 URGENT: Apply vendor patches immediately | 🔒 Isolate affected systems if patch unavailable | 🛡️ Enable additional monitoring/IDS rules</t>
        </is>
      </c>
      <c r="S1191" s="189" t="inlineStr">
        <is>
          <t>CVE - IP enrichment n/a</t>
        </is>
      </c>
      <c r="T1191" s="189" t="n">
        <v>0</v>
      </c>
      <c r="U1191" s="189" t="n">
        <v>0</v>
      </c>
      <c r="V1191" s="189" t="inlineStr">
        <is>
          <t>T1190:Exploit Public-Facing Application | T1203:Exploitation for Client Execution</t>
        </is>
      </c>
      <c r="W1191" s="189" t="n">
        <v>1</v>
      </c>
      <c r="X1191" s="189" t="inlineStr">
        <is>
          <t>LOW (40%)</t>
        </is>
      </c>
      <c r="Y1191" s="189" t="inlineStr">
        <is>
          <t>UNLIKELY</t>
        </is>
      </c>
      <c r="Z1191" s="189" t="inlineStr">
        <is>
          <t>PATCH_AVAILABLE</t>
        </is>
      </c>
      <c r="AA1191" s="189" t="inlineStr">
        <is>
          <t>https://nvd.nist.gov/vuln/detail/CVE-2026-2774</t>
        </is>
      </c>
      <c r="AB1191" s="189" t="inlineStr">
        <is>
          <t>NONE</t>
        </is>
      </c>
      <c r="AC1191" s="189" t="n">
        <v>0</v>
      </c>
      <c r="AD1191" s="189" t="inlineStr"/>
    </row>
    <row r="1192">
      <c r="A1192" s="189" t="inlineStr">
        <is>
          <t>CVE</t>
        </is>
      </c>
      <c r="B1192" s="189" t="inlineStr">
        <is>
          <t>CVE-2026-2775</t>
        </is>
      </c>
      <c r="C1192" s="189" t="inlineStr">
        <is>
          <t>Mitigation bypass in the DOM: HTML Parser component. This vulnerability affects Firefox &lt; 148, Firefox ESR &lt; 115.33, Firefox ESR &lt; 140.8, Thunderbird &lt; 148, and Thunderbird &lt; 140.8.</t>
        </is>
      </c>
      <c r="D1192" s="189" t="n">
        <v>9.800000000000001</v>
      </c>
      <c r="E1192" s="189" t="inlineStr">
        <is>
          <t>CRITICAL</t>
        </is>
      </c>
      <c r="F1192" s="189" t="n">
        <v>2</v>
      </c>
      <c r="G1192" s="189" t="n">
        <v>3</v>
      </c>
      <c r="H1192" s="189" t="inlineStr">
        <is>
          <t>HIGH</t>
        </is>
      </c>
      <c r="I1192" s="189" t="n">
        <v>15.8</v>
      </c>
      <c r="J1192" s="189" t="inlineStr">
        <is>
          <t>NO</t>
        </is>
      </c>
      <c r="K1192" s="189" t="inlineStr">
        <is>
          <t>https://nvd.nist.gov/vuln/detail/CVE-2026-2775</t>
        </is>
      </c>
      <c r="L1192" s="189" t="inlineStr">
        <is>
          <t>2026-02-26 00:15</t>
        </is>
      </c>
      <c r="M1192" s="189" t="inlineStr">
        <is>
          <t>YES</t>
        </is>
      </c>
      <c r="N1192" s="189" t="inlineStr">
        <is>
          <t>https://www.mozilla.org/security/advisories/mfsa2026-13/ | https://www.mozilla.org/security/advisories/mfsa2026-14/ | https://www.mozilla.org/security/advisories/mfsa2026-15/</t>
        </is>
      </c>
      <c r="O1192" s="189" t="inlineStr">
        <is>
          <t>Apply vendor patches</t>
        </is>
      </c>
      <c r="P1192" s="189" t="inlineStr">
        <is>
          <t>mozilla firefox *</t>
        </is>
      </c>
      <c r="Q1192" s="189" t="inlineStr">
        <is>
          <t>P3</t>
        </is>
      </c>
      <c r="R1192" s="189" t="inlineStr">
        <is>
          <t>🚨 URGENT: Apply vendor patches immediately | 🔒 Isolate affected systems if patch unavailable | 🛡️ Enable additional monitoring/IDS rules</t>
        </is>
      </c>
      <c r="S1192" s="189" t="inlineStr">
        <is>
          <t>CVE - IP enrichment n/a</t>
        </is>
      </c>
      <c r="T1192" s="189" t="n">
        <v>0.0002</v>
      </c>
      <c r="U1192" s="189" t="n">
        <v>0.0643</v>
      </c>
      <c r="V1192" s="189" t="inlineStr">
        <is>
          <t>T1190:Exploit Public-Facing Application</t>
        </is>
      </c>
      <c r="W1192" s="189" t="n">
        <v>1</v>
      </c>
      <c r="X1192" s="189" t="inlineStr">
        <is>
          <t>LOW (40%)</t>
        </is>
      </c>
      <c r="Y1192" s="189" t="inlineStr">
        <is>
          <t>UNLIKELY</t>
        </is>
      </c>
      <c r="Z1192" s="189" t="inlineStr">
        <is>
          <t>PATCH_AVAILABLE</t>
        </is>
      </c>
      <c r="AA1192" s="189" t="inlineStr">
        <is>
          <t>https://nvd.nist.gov/vuln/detail/CVE-2026-2775</t>
        </is>
      </c>
      <c r="AB1192" s="189" t="inlineStr">
        <is>
          <t>NONE</t>
        </is>
      </c>
      <c r="AC1192" s="189" t="n">
        <v>0</v>
      </c>
      <c r="AD1192" s="189" t="inlineStr"/>
    </row>
    <row r="1193">
      <c r="A1193" s="189" t="inlineStr">
        <is>
          <t>CVE</t>
        </is>
      </c>
      <c r="B1193" s="189" t="inlineStr">
        <is>
          <t>CVE-2026-2776</t>
        </is>
      </c>
      <c r="C1193" s="189" t="inlineStr">
        <is>
          <t>Sandbox escape due to incorrect boundary conditions in the Telemetry component in External Software. This vulnerability affects Firefox &lt; 148, Firefox ESR &lt; 115.33, Firefox ESR &lt; 140.8, Thunderbird &lt; 148, and Thunderbird &lt; 140.8.</t>
        </is>
      </c>
      <c r="D1193" s="189" t="n">
        <v>10</v>
      </c>
      <c r="E1193" s="189" t="inlineStr">
        <is>
          <t>CRITICAL</t>
        </is>
      </c>
      <c r="F1193" s="189" t="n">
        <v>2</v>
      </c>
      <c r="G1193" s="189" t="n">
        <v>3</v>
      </c>
      <c r="H1193" s="189" t="inlineStr">
        <is>
          <t>HIGH</t>
        </is>
      </c>
      <c r="I1193" s="189" t="n">
        <v>16</v>
      </c>
      <c r="J1193" s="189" t="inlineStr">
        <is>
          <t>NO</t>
        </is>
      </c>
      <c r="K1193" s="189" t="inlineStr">
        <is>
          <t>https://nvd.nist.gov/vuln/detail/CVE-2026-2776</t>
        </is>
      </c>
      <c r="L1193" s="189" t="inlineStr">
        <is>
          <t>2026-02-26 00:15</t>
        </is>
      </c>
      <c r="M1193" s="189" t="inlineStr">
        <is>
          <t>YES</t>
        </is>
      </c>
      <c r="N1193" s="189" t="inlineStr">
        <is>
          <t>https://www.mozilla.org/security/advisories/mfsa2026-13/ | https://www.mozilla.org/security/advisories/mfsa2026-14/ | https://www.mozilla.org/security/advisories/mfsa2026-15/</t>
        </is>
      </c>
      <c r="O1193" s="189" t="inlineStr">
        <is>
          <t>Apply vendor patches</t>
        </is>
      </c>
      <c r="P1193" s="189" t="inlineStr">
        <is>
          <t>mozilla firefox *</t>
        </is>
      </c>
      <c r="Q1193" s="189" t="inlineStr">
        <is>
          <t>P3</t>
        </is>
      </c>
      <c r="R1193" s="189" t="inlineStr">
        <is>
          <t>🚨 URGENT: Apply vendor patches immediately | 🔒 Isolate affected systems if patch unavailable | 🛡️ Enable additional monitoring/IDS rules</t>
        </is>
      </c>
      <c r="S1193" s="189" t="inlineStr">
        <is>
          <t>CVE - IP enrichment n/a</t>
        </is>
      </c>
      <c r="T1193" s="189" t="n">
        <v>0</v>
      </c>
      <c r="U1193" s="189" t="n">
        <v>0</v>
      </c>
      <c r="V1193" s="189" t="inlineStr">
        <is>
          <t>T1190:Exploit Public-Facing Application</t>
        </is>
      </c>
      <c r="W1193" s="189" t="n">
        <v>1</v>
      </c>
      <c r="X1193" s="189" t="inlineStr">
        <is>
          <t>LOW (40%)</t>
        </is>
      </c>
      <c r="Y1193" s="189" t="inlineStr">
        <is>
          <t>UNLIKELY</t>
        </is>
      </c>
      <c r="Z1193" s="189" t="inlineStr">
        <is>
          <t>PATCH_AVAILABLE</t>
        </is>
      </c>
      <c r="AA1193" s="189" t="inlineStr">
        <is>
          <t>https://nvd.nist.gov/vuln/detail/CVE-2026-2776</t>
        </is>
      </c>
      <c r="AB1193" s="189" t="inlineStr">
        <is>
          <t>NONE</t>
        </is>
      </c>
      <c r="AC1193" s="189" t="n">
        <v>0</v>
      </c>
      <c r="AD1193" s="189" t="inlineStr"/>
    </row>
    <row r="1194">
      <c r="A1194" s="189" t="inlineStr">
        <is>
          <t>CVE</t>
        </is>
      </c>
      <c r="B1194" s="189" t="inlineStr">
        <is>
          <t>CVE-2026-2777</t>
        </is>
      </c>
      <c r="C1194" s="189" t="inlineStr">
        <is>
          <t>Privilege escalation in the Messaging System component. This vulnerability affects Firefox &lt; 148, Firefox ESR &lt; 115.33, Firefox ESR &lt; 140.8, Thunderbird &lt; 148, and Thunderbird &lt; 140.8.</t>
        </is>
      </c>
      <c r="D1194" s="189" t="n">
        <v>9.800000000000001</v>
      </c>
      <c r="E1194" s="189" t="inlineStr">
        <is>
          <t>CRITICAL</t>
        </is>
      </c>
      <c r="F1194" s="189" t="n">
        <v>2</v>
      </c>
      <c r="G1194" s="189" t="n">
        <v>3</v>
      </c>
      <c r="H1194" s="189" t="inlineStr">
        <is>
          <t>HIGH</t>
        </is>
      </c>
      <c r="I1194" s="189" t="n">
        <v>15.8</v>
      </c>
      <c r="J1194" s="189" t="inlineStr">
        <is>
          <t>NO</t>
        </is>
      </c>
      <c r="K1194" s="189" t="inlineStr">
        <is>
          <t>https://nvd.nist.gov/vuln/detail/CVE-2026-2777</t>
        </is>
      </c>
      <c r="L1194" s="189" t="inlineStr">
        <is>
          <t>2026-02-26 00:15</t>
        </is>
      </c>
      <c r="M1194" s="189" t="inlineStr">
        <is>
          <t>YES</t>
        </is>
      </c>
      <c r="N1194" s="189" t="inlineStr">
        <is>
          <t>https://www.mozilla.org/security/advisories/mfsa2026-13/ | https://www.mozilla.org/security/advisories/mfsa2026-14/ | https://www.mozilla.org/security/advisories/mfsa2026-15/</t>
        </is>
      </c>
      <c r="O1194" s="189" t="inlineStr">
        <is>
          <t>Apply vendor patches</t>
        </is>
      </c>
      <c r="P1194" s="189" t="inlineStr">
        <is>
          <t>mozilla firefox *</t>
        </is>
      </c>
      <c r="Q1194" s="189" t="inlineStr">
        <is>
          <t>P3</t>
        </is>
      </c>
      <c r="R1194" s="189" t="inlineStr">
        <is>
          <t>🚨 URGENT: Apply vendor patches immediately | 🔒 Isolate affected systems if patch unavailable | 🛡️ Enable additional monitoring/IDS rules</t>
        </is>
      </c>
      <c r="S1194" s="189" t="inlineStr">
        <is>
          <t>CVE - IP enrichment n/a</t>
        </is>
      </c>
      <c r="T1194" s="189" t="n">
        <v>0</v>
      </c>
      <c r="U1194" s="189" t="n">
        <v>0</v>
      </c>
      <c r="V1194" s="189" t="inlineStr">
        <is>
          <t>T1068:Exploitation for Privilege Escalation</t>
        </is>
      </c>
      <c r="W1194" s="189" t="n">
        <v>1</v>
      </c>
      <c r="X1194" s="189" t="inlineStr">
        <is>
          <t>LOW (40%)</t>
        </is>
      </c>
      <c r="Y1194" s="189" t="inlineStr">
        <is>
          <t>UNLIKELY</t>
        </is>
      </c>
      <c r="Z1194" s="189" t="inlineStr">
        <is>
          <t>PATCH_AVAILABLE</t>
        </is>
      </c>
      <c r="AA1194" s="189" t="inlineStr">
        <is>
          <t>https://nvd.nist.gov/vuln/detail/CVE-2026-2777</t>
        </is>
      </c>
      <c r="AB1194" s="189" t="inlineStr">
        <is>
          <t>NONE</t>
        </is>
      </c>
      <c r="AC1194" s="189" t="n">
        <v>0</v>
      </c>
      <c r="AD1194" s="189" t="inlineStr"/>
    </row>
    <row r="1195">
      <c r="A1195" s="189" t="inlineStr">
        <is>
          <t>CVE</t>
        </is>
      </c>
      <c r="B1195" s="189" t="inlineStr">
        <is>
          <t>CVE-2026-2778</t>
        </is>
      </c>
      <c r="C1195" s="189" t="inlineStr">
        <is>
          <t>Sandbox escape due to incorrect boundary conditions in the DOM: Core &amp; HTML component. This vulnerability affects Firefox &lt; 148, Firefox ESR &lt; 115.33, Firefox ESR &lt; 140.8, Thunderbird &lt; 148, and Thunderbird &lt; 140.8.</t>
        </is>
      </c>
      <c r="D1195" s="189" t="n">
        <v>10</v>
      </c>
      <c r="E1195" s="189" t="inlineStr">
        <is>
          <t>CRITICAL</t>
        </is>
      </c>
      <c r="F1195" s="189" t="n">
        <v>2</v>
      </c>
      <c r="G1195" s="189" t="n">
        <v>3</v>
      </c>
      <c r="H1195" s="189" t="inlineStr">
        <is>
          <t>HIGH</t>
        </is>
      </c>
      <c r="I1195" s="189" t="n">
        <v>16</v>
      </c>
      <c r="J1195" s="189" t="inlineStr">
        <is>
          <t>NO</t>
        </is>
      </c>
      <c r="K1195" s="189" t="inlineStr">
        <is>
          <t>https://nvd.nist.gov/vuln/detail/CVE-2026-2778</t>
        </is>
      </c>
      <c r="L1195" s="189" t="inlineStr">
        <is>
          <t>2026-02-26 00:15</t>
        </is>
      </c>
      <c r="M1195" s="189" t="inlineStr">
        <is>
          <t>YES</t>
        </is>
      </c>
      <c r="N1195" s="189" t="inlineStr">
        <is>
          <t>https://www.mozilla.org/security/advisories/mfsa2026-13/ | https://www.mozilla.org/security/advisories/mfsa2026-14/ | https://www.mozilla.org/security/advisories/mfsa2026-15/</t>
        </is>
      </c>
      <c r="O1195" s="189" t="inlineStr">
        <is>
          <t>Apply vendor patches</t>
        </is>
      </c>
      <c r="P1195" s="189" t="inlineStr">
        <is>
          <t>mozilla firefox *</t>
        </is>
      </c>
      <c r="Q1195" s="189" t="inlineStr">
        <is>
          <t>P3</t>
        </is>
      </c>
      <c r="R1195" s="189" t="inlineStr">
        <is>
          <t>🚨 URGENT: Apply vendor patches immediately | 🔒 Isolate affected systems if patch unavailable | 🛡️ Enable additional monitoring/IDS rules</t>
        </is>
      </c>
      <c r="S1195" s="189" t="inlineStr">
        <is>
          <t>CVE - IP enrichment n/a</t>
        </is>
      </c>
      <c r="T1195" s="189" t="n">
        <v>0.0002</v>
      </c>
      <c r="U1195" s="189" t="n">
        <v>0.0643</v>
      </c>
      <c r="V1195" s="189" t="inlineStr">
        <is>
          <t>T1190:Exploit Public-Facing Application</t>
        </is>
      </c>
      <c r="W1195" s="189" t="n">
        <v>1</v>
      </c>
      <c r="X1195" s="189" t="inlineStr">
        <is>
          <t>LOW (40%)</t>
        </is>
      </c>
      <c r="Y1195" s="189" t="inlineStr">
        <is>
          <t>UNLIKELY</t>
        </is>
      </c>
      <c r="Z1195" s="189" t="inlineStr">
        <is>
          <t>PATCH_AVAILABLE</t>
        </is>
      </c>
      <c r="AA1195" s="189" t="inlineStr">
        <is>
          <t>https://nvd.nist.gov/vuln/detail/CVE-2026-2778</t>
        </is>
      </c>
      <c r="AB1195" s="189" t="inlineStr">
        <is>
          <t>NONE</t>
        </is>
      </c>
      <c r="AC1195" s="189" t="n">
        <v>0</v>
      </c>
      <c r="AD1195" s="189" t="inlineStr"/>
    </row>
    <row r="1196">
      <c r="A1196" s="189" t="inlineStr">
        <is>
          <t>CVE</t>
        </is>
      </c>
      <c r="B1196" s="189" t="inlineStr">
        <is>
          <t>CVE-2026-2779</t>
        </is>
      </c>
      <c r="C1196" s="189" t="inlineStr">
        <is>
          <t>Incorrect boundary conditions in the Networking: JAR component. This vulnerability affects Firefox &lt; 148, Firefox ESR &lt; 140.8, Thunderbird &lt; 148, and Thunderbird &lt; 140.8.</t>
        </is>
      </c>
      <c r="D1196" s="189" t="n">
        <v>9.800000000000001</v>
      </c>
      <c r="E1196" s="189" t="inlineStr">
        <is>
          <t>CRITICAL</t>
        </is>
      </c>
      <c r="F1196" s="189" t="n">
        <v>2</v>
      </c>
      <c r="G1196" s="189" t="n">
        <v>3</v>
      </c>
      <c r="H1196" s="189" t="inlineStr">
        <is>
          <t>HIGH</t>
        </is>
      </c>
      <c r="I1196" s="189" t="n">
        <v>15.8</v>
      </c>
      <c r="J1196" s="189" t="inlineStr">
        <is>
          <t>NO</t>
        </is>
      </c>
      <c r="K1196" s="189" t="inlineStr">
        <is>
          <t>https://nvd.nist.gov/vuln/detail/CVE-2026-2779</t>
        </is>
      </c>
      <c r="L1196" s="189" t="inlineStr">
        <is>
          <t>2026-02-26 00:15</t>
        </is>
      </c>
      <c r="M1196" s="189" t="inlineStr">
        <is>
          <t>YES</t>
        </is>
      </c>
      <c r="N1196" s="189" t="inlineStr">
        <is>
          <t>https://www.mozilla.org/security/advisories/mfsa2026-13/ | https://www.mozilla.org/security/advisories/mfsa2026-15/ | https://www.mozilla.org/security/advisories/mfsa2026-16/</t>
        </is>
      </c>
      <c r="O1196" s="189" t="inlineStr">
        <is>
          <t>Apply vendor patches</t>
        </is>
      </c>
      <c r="P1196" s="189" t="inlineStr">
        <is>
          <t>mozilla firefox * | mozilla thunderbird *</t>
        </is>
      </c>
      <c r="Q1196" s="189" t="inlineStr">
        <is>
          <t>P3</t>
        </is>
      </c>
      <c r="R1196" s="189" t="inlineStr">
        <is>
          <t>🚨 URGENT: Apply vendor patches immediately | 🔒 Isolate affected systems if patch unavailable | 🛡️ Enable additional monitoring/IDS rules</t>
        </is>
      </c>
      <c r="S1196" s="189" t="inlineStr">
        <is>
          <t>CVE - IP enrichment n/a</t>
        </is>
      </c>
      <c r="T1196" s="189" t="n">
        <v>0</v>
      </c>
      <c r="U1196" s="189" t="n">
        <v>0</v>
      </c>
      <c r="V1196" s="189" t="inlineStr">
        <is>
          <t>T1190:Exploit Public-Facing Application</t>
        </is>
      </c>
      <c r="W1196" s="189" t="n">
        <v>1</v>
      </c>
      <c r="X1196" s="189" t="inlineStr">
        <is>
          <t>LOW (40%)</t>
        </is>
      </c>
      <c r="Y1196" s="189" t="inlineStr">
        <is>
          <t>UNLIKELY</t>
        </is>
      </c>
      <c r="Z1196" s="189" t="inlineStr">
        <is>
          <t>PATCH_AVAILABLE</t>
        </is>
      </c>
      <c r="AA1196" s="189" t="inlineStr">
        <is>
          <t>https://nvd.nist.gov/vuln/detail/CVE-2026-2779</t>
        </is>
      </c>
      <c r="AB1196" s="189" t="inlineStr">
        <is>
          <t>NONE</t>
        </is>
      </c>
      <c r="AC1196" s="189" t="n">
        <v>0</v>
      </c>
      <c r="AD1196" s="189" t="inlineStr"/>
    </row>
    <row r="1197">
      <c r="A1197" s="189" t="inlineStr">
        <is>
          <t>CVE</t>
        </is>
      </c>
      <c r="B1197" s="189" t="inlineStr">
        <is>
          <t>CVE-2026-2780</t>
        </is>
      </c>
      <c r="C1197" s="189" t="inlineStr">
        <is>
          <t>Privilege escalation in the Netmonitor component. This vulnerability affects Firefox &lt; 148, Firefox ESR &lt; 140.8, Thunderbird &lt; 148, and Thunderbird &lt; 140.8.</t>
        </is>
      </c>
      <c r="D1197" s="189" t="n">
        <v>9.800000000000001</v>
      </c>
      <c r="E1197" s="189" t="inlineStr">
        <is>
          <t>CRITICAL</t>
        </is>
      </c>
      <c r="F1197" s="189" t="n">
        <v>2</v>
      </c>
      <c r="G1197" s="189" t="n">
        <v>3</v>
      </c>
      <c r="H1197" s="189" t="inlineStr">
        <is>
          <t>HIGH</t>
        </is>
      </c>
      <c r="I1197" s="189" t="n">
        <v>15.8</v>
      </c>
      <c r="J1197" s="189" t="inlineStr">
        <is>
          <t>NO</t>
        </is>
      </c>
      <c r="K1197" s="189" t="inlineStr">
        <is>
          <t>https://nvd.nist.gov/vuln/detail/CVE-2026-2780</t>
        </is>
      </c>
      <c r="L1197" s="189" t="inlineStr">
        <is>
          <t>2026-02-26 00:15</t>
        </is>
      </c>
      <c r="M1197" s="189" t="inlineStr">
        <is>
          <t>YES</t>
        </is>
      </c>
      <c r="N1197" s="189" t="inlineStr">
        <is>
          <t>https://www.mozilla.org/security/advisories/mfsa2026-13/ | https://www.mozilla.org/security/advisories/mfsa2026-15/ | https://www.mozilla.org/security/advisories/mfsa2026-16/</t>
        </is>
      </c>
      <c r="O1197" s="189" t="inlineStr">
        <is>
          <t>Apply vendor patches</t>
        </is>
      </c>
      <c r="P1197" s="189" t="inlineStr">
        <is>
          <t>mozilla firefox * | mozilla thunderbird *</t>
        </is>
      </c>
      <c r="Q1197" s="189" t="inlineStr">
        <is>
          <t>P3</t>
        </is>
      </c>
      <c r="R1197" s="189" t="inlineStr">
        <is>
          <t>🚨 URGENT: Apply vendor patches immediately | 🔒 Isolate affected systems if patch unavailable | 🛡️ Enable additional monitoring/IDS rules</t>
        </is>
      </c>
      <c r="S1197" s="189" t="inlineStr">
        <is>
          <t>CVE - IP enrichment n/a</t>
        </is>
      </c>
      <c r="T1197" s="189" t="n">
        <v>0</v>
      </c>
      <c r="U1197" s="189" t="n">
        <v>0</v>
      </c>
      <c r="V1197" s="189" t="inlineStr">
        <is>
          <t>T1068:Exploitation for Privilege Escalation</t>
        </is>
      </c>
      <c r="W1197" s="189" t="n">
        <v>1</v>
      </c>
      <c r="X1197" s="189" t="inlineStr">
        <is>
          <t>LOW (40%)</t>
        </is>
      </c>
      <c r="Y1197" s="189" t="inlineStr">
        <is>
          <t>UNLIKELY</t>
        </is>
      </c>
      <c r="Z1197" s="189" t="inlineStr">
        <is>
          <t>PATCH_AVAILABLE</t>
        </is>
      </c>
      <c r="AA1197" s="189" t="inlineStr">
        <is>
          <t>https://nvd.nist.gov/vuln/detail/CVE-2026-2780</t>
        </is>
      </c>
      <c r="AB1197" s="189" t="inlineStr">
        <is>
          <t>NONE</t>
        </is>
      </c>
      <c r="AC1197" s="189" t="n">
        <v>0</v>
      </c>
      <c r="AD1197" s="189" t="inlineStr"/>
    </row>
    <row r="1198">
      <c r="A1198" s="189" t="inlineStr">
        <is>
          <t>CVE</t>
        </is>
      </c>
      <c r="B1198" s="189" t="inlineStr">
        <is>
          <t>CVE-2026-2781</t>
        </is>
      </c>
      <c r="C1198" s="189" t="inlineStr">
        <is>
          <t>Integer overflow in the Libraries component in NSS. This vulnerability affects Firefox &lt; 148, Firefox ESR &lt; 140.8, Thunderbird &lt; 148, and Thunderbird &lt; 140.8.</t>
        </is>
      </c>
      <c r="D1198" s="189" t="n">
        <v>9.800000000000001</v>
      </c>
      <c r="E1198" s="189" t="inlineStr">
        <is>
          <t>CRITICAL</t>
        </is>
      </c>
      <c r="F1198" s="189" t="n">
        <v>2</v>
      </c>
      <c r="G1198" s="189" t="n">
        <v>3</v>
      </c>
      <c r="H1198" s="189" t="inlineStr">
        <is>
          <t>HIGH</t>
        </is>
      </c>
      <c r="I1198" s="189" t="n">
        <v>15.8</v>
      </c>
      <c r="J1198" s="189" t="inlineStr">
        <is>
          <t>NO</t>
        </is>
      </c>
      <c r="K1198" s="189" t="inlineStr">
        <is>
          <t>https://nvd.nist.gov/vuln/detail/CVE-2026-2781</t>
        </is>
      </c>
      <c r="L1198" s="189" t="inlineStr">
        <is>
          <t>2026-02-26 00:15</t>
        </is>
      </c>
      <c r="M1198" s="189" t="inlineStr">
        <is>
          <t>YES</t>
        </is>
      </c>
      <c r="N1198" s="189" t="inlineStr">
        <is>
          <t>https://www.mozilla.org/security/advisories/mfsa2026-13/ | https://www.mozilla.org/security/advisories/mfsa2026-15/ | https://www.mozilla.org/security/advisories/mfsa2026-16/</t>
        </is>
      </c>
      <c r="O1198" s="189" t="inlineStr">
        <is>
          <t>Apply vendor patches</t>
        </is>
      </c>
      <c r="P1198" s="189" t="inlineStr">
        <is>
          <t>mozilla firefox * | mozilla thunderbird *</t>
        </is>
      </c>
      <c r="Q1198" s="189" t="inlineStr">
        <is>
          <t>P3</t>
        </is>
      </c>
      <c r="R1198" s="189" t="inlineStr">
        <is>
          <t>🚨 URGENT: Apply vendor patches immediately | 🔒 Isolate affected systems if patch unavailable | 🛡️ Enable additional monitoring/IDS rules</t>
        </is>
      </c>
      <c r="S1198" s="189" t="inlineStr">
        <is>
          <t>CVE - IP enrichment n/a</t>
        </is>
      </c>
      <c r="T1198" s="189" t="n">
        <v>0</v>
      </c>
      <c r="U1198" s="189" t="n">
        <v>0</v>
      </c>
      <c r="V1198" s="189" t="inlineStr">
        <is>
          <t>T1190:Exploit Public-Facing Application | T1203:Exploitation for Client Execution</t>
        </is>
      </c>
      <c r="W1198" s="189" t="n">
        <v>1</v>
      </c>
      <c r="X1198" s="189" t="inlineStr">
        <is>
          <t>LOW (40%)</t>
        </is>
      </c>
      <c r="Y1198" s="189" t="inlineStr">
        <is>
          <t>UNLIKELY</t>
        </is>
      </c>
      <c r="Z1198" s="189" t="inlineStr">
        <is>
          <t>PATCH_AVAILABLE</t>
        </is>
      </c>
      <c r="AA1198" s="189" t="inlineStr">
        <is>
          <t>https://nvd.nist.gov/vuln/detail/CVE-2026-2781</t>
        </is>
      </c>
      <c r="AB1198" s="189" t="inlineStr">
        <is>
          <t>NONE</t>
        </is>
      </c>
      <c r="AC1198" s="189" t="n">
        <v>0</v>
      </c>
      <c r="AD1198" s="189" t="inlineStr"/>
    </row>
    <row r="1199">
      <c r="A1199" s="189" t="inlineStr">
        <is>
          <t>CVE</t>
        </is>
      </c>
      <c r="B1199" s="189" t="inlineStr">
        <is>
          <t>CVE-2026-2782</t>
        </is>
      </c>
      <c r="C1199" s="189" t="inlineStr">
        <is>
          <t>Privilege escalation in the Netmonitor component. This vulnerability affects Firefox &lt; 148, Firefox ESR &lt; 140.8, Thunderbird &lt; 148, and Thunderbird &lt; 140.8.</t>
        </is>
      </c>
      <c r="D1199" s="189" t="n">
        <v>9.800000000000001</v>
      </c>
      <c r="E1199" s="189" t="inlineStr">
        <is>
          <t>CRITICAL</t>
        </is>
      </c>
      <c r="F1199" s="189" t="n">
        <v>2</v>
      </c>
      <c r="G1199" s="189" t="n">
        <v>3</v>
      </c>
      <c r="H1199" s="189" t="inlineStr">
        <is>
          <t>HIGH</t>
        </is>
      </c>
      <c r="I1199" s="189" t="n">
        <v>15.8</v>
      </c>
      <c r="J1199" s="189" t="inlineStr">
        <is>
          <t>NO</t>
        </is>
      </c>
      <c r="K1199" s="189" t="inlineStr">
        <is>
          <t>https://nvd.nist.gov/vuln/detail/CVE-2026-2782</t>
        </is>
      </c>
      <c r="L1199" s="189" t="inlineStr">
        <is>
          <t>2026-02-26 00:15</t>
        </is>
      </c>
      <c r="M1199" s="189" t="inlineStr">
        <is>
          <t>YES</t>
        </is>
      </c>
      <c r="N1199" s="189" t="inlineStr">
        <is>
          <t>https://www.mozilla.org/security/advisories/mfsa2026-13/ | https://www.mozilla.org/security/advisories/mfsa2026-15/ | https://www.mozilla.org/security/advisories/mfsa2026-16/</t>
        </is>
      </c>
      <c r="O1199" s="189" t="inlineStr">
        <is>
          <t>Apply vendor patches</t>
        </is>
      </c>
      <c r="P1199" s="189" t="inlineStr">
        <is>
          <t>mozilla firefox * | mozilla thunderbird *</t>
        </is>
      </c>
      <c r="Q1199" s="189" t="inlineStr">
        <is>
          <t>P3</t>
        </is>
      </c>
      <c r="R1199" s="189" t="inlineStr">
        <is>
          <t>🚨 URGENT: Apply vendor patches immediately | 🔒 Isolate affected systems if patch unavailable | 🛡️ Enable additional monitoring/IDS rules</t>
        </is>
      </c>
      <c r="S1199" s="189" t="inlineStr">
        <is>
          <t>CVE - IP enrichment n/a</t>
        </is>
      </c>
      <c r="T1199" s="189" t="n">
        <v>0.0002</v>
      </c>
      <c r="U1199" s="189" t="n">
        <v>0.0426</v>
      </c>
      <c r="V1199" s="189" t="inlineStr">
        <is>
          <t>T1068:Exploitation for Privilege Escalation</t>
        </is>
      </c>
      <c r="W1199" s="189" t="n">
        <v>1</v>
      </c>
      <c r="X1199" s="189" t="inlineStr">
        <is>
          <t>LOW (40%)</t>
        </is>
      </c>
      <c r="Y1199" s="189" t="inlineStr">
        <is>
          <t>UNLIKELY</t>
        </is>
      </c>
      <c r="Z1199" s="189" t="inlineStr">
        <is>
          <t>PATCH_AVAILABLE</t>
        </is>
      </c>
      <c r="AA1199" s="189" t="inlineStr">
        <is>
          <t>https://nvd.nist.gov/vuln/detail/CVE-2026-2782</t>
        </is>
      </c>
      <c r="AB1199" s="189" t="inlineStr">
        <is>
          <t>NONE</t>
        </is>
      </c>
      <c r="AC1199" s="189" t="n">
        <v>0</v>
      </c>
      <c r="AD1199" s="189" t="inlineStr"/>
    </row>
    <row r="1200">
      <c r="A1200" s="188" t="inlineStr">
        <is>
          <t>CVE</t>
        </is>
      </c>
      <c r="B1200" s="188" t="inlineStr">
        <is>
          <t>CVE-2026-2783</t>
        </is>
      </c>
      <c r="C1200" s="188" t="inlineStr">
        <is>
          <t>Information disclosure due to JIT miscompilation in the JavaScript Engine: JIT component. This vulnerability affects Firefox &lt; 148, Firefox ESR &lt; 140.8, Thunderbird &lt; 148, and Thunderbird &lt; 140.8.</t>
        </is>
      </c>
      <c r="D1200" s="188" t="n">
        <v>7.5</v>
      </c>
      <c r="E1200" s="188" t="inlineStr">
        <is>
          <t>HIGH</t>
        </is>
      </c>
      <c r="F1200" s="188" t="n">
        <v>2</v>
      </c>
      <c r="G1200" s="188" t="n">
        <v>3</v>
      </c>
      <c r="H1200" s="188" t="inlineStr">
        <is>
          <t>HIGH</t>
        </is>
      </c>
      <c r="I1200" s="188" t="n">
        <v>13.5</v>
      </c>
      <c r="J1200" s="188" t="inlineStr">
        <is>
          <t>NO</t>
        </is>
      </c>
      <c r="K1200" s="188" t="inlineStr">
        <is>
          <t>https://nvd.nist.gov/vuln/detail/CVE-2026-2783</t>
        </is>
      </c>
      <c r="L1200" s="188" t="inlineStr">
        <is>
          <t>2026-02-26 00:15</t>
        </is>
      </c>
      <c r="M1200" s="188" t="inlineStr">
        <is>
          <t>YES</t>
        </is>
      </c>
      <c r="N1200" s="188" t="inlineStr">
        <is>
          <t>https://www.mozilla.org/security/advisories/mfsa2026-13/ | https://www.mozilla.org/security/advisories/mfsa2026-15/ | https://www.mozilla.org/security/advisories/mfsa2026-16/</t>
        </is>
      </c>
      <c r="O1200" s="188" t="inlineStr">
        <is>
          <t>Apply vendor patches</t>
        </is>
      </c>
      <c r="P1200" s="188" t="inlineStr">
        <is>
          <t>mozilla firefox * | mozilla thunderbird *</t>
        </is>
      </c>
      <c r="Q1200" s="188" t="inlineStr">
        <is>
          <t>P3</t>
        </is>
      </c>
      <c r="R1200" s="188" t="inlineStr">
        <is>
          <t>🚨 URGENT: Apply vendor patches immediately | 🔒 Isolate affected systems if patch unavailable | 🛡️ Enable additional monitoring/IDS rules</t>
        </is>
      </c>
      <c r="S1200" s="188" t="inlineStr">
        <is>
          <t>CVE - IP enrichment n/a</t>
        </is>
      </c>
      <c r="T1200" s="188" t="n">
        <v>0</v>
      </c>
      <c r="U1200" s="188" t="n">
        <v>0</v>
      </c>
      <c r="V1200" s="188" t="inlineStr">
        <is>
          <t>T1213:Data from Information Repositories</t>
        </is>
      </c>
      <c r="W1200" s="188" t="n">
        <v>1</v>
      </c>
      <c r="X1200" s="188" t="inlineStr">
        <is>
          <t>LOW (40%)</t>
        </is>
      </c>
      <c r="Y1200" s="188" t="inlineStr">
        <is>
          <t>UNLIKELY</t>
        </is>
      </c>
      <c r="Z1200" s="188" t="inlineStr">
        <is>
          <t>PATCH_AVAILABLE</t>
        </is>
      </c>
      <c r="AA1200" s="188" t="inlineStr">
        <is>
          <t>https://nvd.nist.gov/vuln/detail/CVE-2026-2783</t>
        </is>
      </c>
      <c r="AB1200" s="188" t="inlineStr">
        <is>
          <t>NONE</t>
        </is>
      </c>
      <c r="AC1200" s="188" t="n">
        <v>0</v>
      </c>
      <c r="AD1200" s="188" t="inlineStr"/>
    </row>
    <row r="1201">
      <c r="A1201" s="189" t="inlineStr">
        <is>
          <t>CVE</t>
        </is>
      </c>
      <c r="B1201" s="189" t="inlineStr">
        <is>
          <t>CVE-2026-2784</t>
        </is>
      </c>
      <c r="C1201" s="189" t="inlineStr">
        <is>
          <t>Mitigation bypass in the DOM: Security component. This vulnerability affects Firefox &lt; 148, Firefox ESR &lt; 140.8, Thunderbird &lt; 148, and Thunderbird &lt; 140.8.</t>
        </is>
      </c>
      <c r="D1201" s="189" t="n">
        <v>9.800000000000001</v>
      </c>
      <c r="E1201" s="189" t="inlineStr">
        <is>
          <t>CRITICAL</t>
        </is>
      </c>
      <c r="F1201" s="189" t="n">
        <v>2</v>
      </c>
      <c r="G1201" s="189" t="n">
        <v>3</v>
      </c>
      <c r="H1201" s="189" t="inlineStr">
        <is>
          <t>HIGH</t>
        </is>
      </c>
      <c r="I1201" s="189" t="n">
        <v>15.8</v>
      </c>
      <c r="J1201" s="189" t="inlineStr">
        <is>
          <t>NO</t>
        </is>
      </c>
      <c r="K1201" s="189" t="inlineStr">
        <is>
          <t>https://nvd.nist.gov/vuln/detail/CVE-2026-2784</t>
        </is>
      </c>
      <c r="L1201" s="189" t="inlineStr">
        <is>
          <t>2026-02-26 00:15</t>
        </is>
      </c>
      <c r="M1201" s="189" t="inlineStr">
        <is>
          <t>YES</t>
        </is>
      </c>
      <c r="N1201" s="189" t="inlineStr">
        <is>
          <t>https://www.mozilla.org/security/advisories/mfsa2026-13/ | https://www.mozilla.org/security/advisories/mfsa2026-15/ | https://www.mozilla.org/security/advisories/mfsa2026-16/</t>
        </is>
      </c>
      <c r="O1201" s="189" t="inlineStr">
        <is>
          <t>Apply vendor patches</t>
        </is>
      </c>
      <c r="P1201" s="189" t="inlineStr">
        <is>
          <t>mozilla firefox * | mozilla thunderbird *</t>
        </is>
      </c>
      <c r="Q1201" s="189" t="inlineStr">
        <is>
          <t>P3</t>
        </is>
      </c>
      <c r="R1201" s="189" t="inlineStr">
        <is>
          <t>🚨 URGENT: Apply vendor patches immediately | 🔒 Isolate affected systems if patch unavailable | 🛡️ Enable additional monitoring/IDS rules</t>
        </is>
      </c>
      <c r="S1201" s="189" t="inlineStr">
        <is>
          <t>CVE - IP enrichment n/a</t>
        </is>
      </c>
      <c r="T1201" s="189" t="n">
        <v>0</v>
      </c>
      <c r="U1201" s="189" t="n">
        <v>0</v>
      </c>
      <c r="V1201" s="189" t="inlineStr">
        <is>
          <t>T1190:Exploit Public-Facing Application</t>
        </is>
      </c>
      <c r="W1201" s="189" t="n">
        <v>2</v>
      </c>
      <c r="X1201" s="189" t="inlineStr">
        <is>
          <t>MEDIUM (52%)</t>
        </is>
      </c>
      <c r="Y1201" s="189" t="inlineStr">
        <is>
          <t>UNLIKELY</t>
        </is>
      </c>
      <c r="Z1201" s="189" t="inlineStr">
        <is>
          <t>PATCH_AVAILABLE</t>
        </is>
      </c>
      <c r="AA1201" s="189" t="inlineStr">
        <is>
          <t>https://nvd.nist.gov/vuln/detail/CVE-2026-2784</t>
        </is>
      </c>
      <c r="AB1201" s="189" t="inlineStr">
        <is>
          <t>NONE</t>
        </is>
      </c>
      <c r="AC1201" s="189" t="n">
        <v>0</v>
      </c>
      <c r="AD1201" s="189" t="inlineStr"/>
    </row>
    <row r="1202">
      <c r="A1202" s="189" t="inlineStr">
        <is>
          <t>CVE</t>
        </is>
      </c>
      <c r="B1202" s="189" t="inlineStr">
        <is>
          <t>CVE-2026-2785</t>
        </is>
      </c>
      <c r="C1202" s="189" t="inlineStr">
        <is>
          <t>Invalid pointer in the JavaScript Engine component. This vulnerability affects Firefox &lt; 148, Firefox ESR &lt; 140.8, Thunderbird &lt; 148, and Thunderbird &lt; 140.8.</t>
        </is>
      </c>
      <c r="D1202" s="189" t="n">
        <v>9.800000000000001</v>
      </c>
      <c r="E1202" s="189" t="inlineStr">
        <is>
          <t>CRITICAL</t>
        </is>
      </c>
      <c r="F1202" s="189" t="n">
        <v>2</v>
      </c>
      <c r="G1202" s="189" t="n">
        <v>3</v>
      </c>
      <c r="H1202" s="189" t="inlineStr">
        <is>
          <t>HIGH</t>
        </is>
      </c>
      <c r="I1202" s="189" t="n">
        <v>15.8</v>
      </c>
      <c r="J1202" s="189" t="inlineStr">
        <is>
          <t>NO</t>
        </is>
      </c>
      <c r="K1202" s="189" t="inlineStr">
        <is>
          <t>https://nvd.nist.gov/vuln/detail/CVE-2026-2785</t>
        </is>
      </c>
      <c r="L1202" s="189" t="inlineStr">
        <is>
          <t>2026-02-26 00:15</t>
        </is>
      </c>
      <c r="M1202" s="189" t="inlineStr">
        <is>
          <t>YES</t>
        </is>
      </c>
      <c r="N1202" s="189" t="inlineStr">
        <is>
          <t>https://www.mozilla.org/security/advisories/mfsa2026-13/ | https://www.mozilla.org/security/advisories/mfsa2026-15/ | https://www.mozilla.org/security/advisories/mfsa2026-16/</t>
        </is>
      </c>
      <c r="O1202" s="189" t="inlineStr">
        <is>
          <t>Apply vendor patches</t>
        </is>
      </c>
      <c r="P1202" s="189" t="inlineStr">
        <is>
          <t>mozilla firefox * | mozilla thunderbird *</t>
        </is>
      </c>
      <c r="Q1202" s="189" t="inlineStr">
        <is>
          <t>P3</t>
        </is>
      </c>
      <c r="R1202" s="189" t="inlineStr">
        <is>
          <t>🚨 URGENT: Apply vendor patches immediately | 🔒 Isolate affected systems if patch unavailable | 🛡️ Enable additional monitoring/IDS rules</t>
        </is>
      </c>
      <c r="S1202" s="189" t="inlineStr">
        <is>
          <t>CVE - IP enrichment n/a</t>
        </is>
      </c>
      <c r="T1202" s="189" t="n">
        <v>0</v>
      </c>
      <c r="U1202" s="189" t="n">
        <v>0</v>
      </c>
      <c r="V1202" s="189" t="inlineStr">
        <is>
          <t>T1203:Exploitation for Client Execution</t>
        </is>
      </c>
      <c r="W1202" s="189" t="n">
        <v>2</v>
      </c>
      <c r="X1202" s="189" t="inlineStr">
        <is>
          <t>MEDIUM (52%)</t>
        </is>
      </c>
      <c r="Y1202" s="189" t="inlineStr">
        <is>
          <t>UNLIKELY</t>
        </is>
      </c>
      <c r="Z1202" s="189" t="inlineStr">
        <is>
          <t>PATCH_AVAILABLE</t>
        </is>
      </c>
      <c r="AA1202" s="189" t="inlineStr">
        <is>
          <t>https://nvd.nist.gov/vuln/detail/CVE-2026-2785</t>
        </is>
      </c>
      <c r="AB1202" s="189" t="inlineStr">
        <is>
          <t>NONE</t>
        </is>
      </c>
      <c r="AC1202" s="189" t="n">
        <v>0</v>
      </c>
      <c r="AD1202" s="189" t="inlineStr"/>
    </row>
    <row r="1203">
      <c r="A1203" s="189" t="inlineStr">
        <is>
          <t>CVE</t>
        </is>
      </c>
      <c r="B1203" s="189" t="inlineStr">
        <is>
          <t>CVE-2026-2786</t>
        </is>
      </c>
      <c r="C1203" s="189" t="inlineStr">
        <is>
          <t>Use-after-free in the JavaScript Engine component. This vulnerability affects Firefox &lt; 148, Firefox ESR &lt; 140.8, Thunderbird &lt; 148, and Thunderbird &lt; 140.8.</t>
        </is>
      </c>
      <c r="D1203" s="189" t="n">
        <v>9.800000000000001</v>
      </c>
      <c r="E1203" s="189" t="inlineStr">
        <is>
          <t>CRITICAL</t>
        </is>
      </c>
      <c r="F1203" s="189" t="n">
        <v>2</v>
      </c>
      <c r="G1203" s="189" t="n">
        <v>3</v>
      </c>
      <c r="H1203" s="189" t="inlineStr">
        <is>
          <t>HIGH</t>
        </is>
      </c>
      <c r="I1203" s="189" t="n">
        <v>15.8</v>
      </c>
      <c r="J1203" s="189" t="inlineStr">
        <is>
          <t>NO</t>
        </is>
      </c>
      <c r="K1203" s="189" t="inlineStr">
        <is>
          <t>https://nvd.nist.gov/vuln/detail/CVE-2026-2786</t>
        </is>
      </c>
      <c r="L1203" s="189" t="inlineStr">
        <is>
          <t>2026-02-26 00:15</t>
        </is>
      </c>
      <c r="M1203" s="189" t="inlineStr">
        <is>
          <t>YES</t>
        </is>
      </c>
      <c r="N1203" s="189" t="inlineStr">
        <is>
          <t>https://www.mozilla.org/security/advisories/mfsa2026-13/ | https://www.mozilla.org/security/advisories/mfsa2026-15/ | https://www.mozilla.org/security/advisories/mfsa2026-16/</t>
        </is>
      </c>
      <c r="O1203" s="189" t="inlineStr">
        <is>
          <t>Apply vendor patches</t>
        </is>
      </c>
      <c r="P1203" s="189" t="inlineStr">
        <is>
          <t>mozilla firefox * | mozilla thunderbird *</t>
        </is>
      </c>
      <c r="Q1203" s="189" t="inlineStr">
        <is>
          <t>P3</t>
        </is>
      </c>
      <c r="R1203" s="189" t="inlineStr">
        <is>
          <t>🚨 URGENT: Apply vendor patches immediately | 🔒 Isolate affected systems if patch unavailable | 🛡️ Enable additional monitoring/IDS rules</t>
        </is>
      </c>
      <c r="S1203" s="189" t="inlineStr">
        <is>
          <t>CVE - IP enrichment n/a</t>
        </is>
      </c>
      <c r="T1203" s="189" t="n">
        <v>0</v>
      </c>
      <c r="U1203" s="189" t="n">
        <v>0</v>
      </c>
      <c r="V1203" s="189" t="inlineStr">
        <is>
          <t>T1203:Exploitation for Client Execution</t>
        </is>
      </c>
      <c r="W1203" s="189" t="n">
        <v>2</v>
      </c>
      <c r="X1203" s="189" t="inlineStr">
        <is>
          <t>MEDIUM (52%)</t>
        </is>
      </c>
      <c r="Y1203" s="189" t="inlineStr">
        <is>
          <t>UNLIKELY</t>
        </is>
      </c>
      <c r="Z1203" s="189" t="inlineStr">
        <is>
          <t>PATCH_AVAILABLE</t>
        </is>
      </c>
      <c r="AA1203" s="189" t="inlineStr">
        <is>
          <t>https://nvd.nist.gov/vuln/detail/CVE-2026-2786</t>
        </is>
      </c>
      <c r="AB1203" s="189" t="inlineStr">
        <is>
          <t>NONE</t>
        </is>
      </c>
      <c r="AC1203" s="189" t="n">
        <v>0</v>
      </c>
      <c r="AD1203" s="189" t="inlineStr"/>
    </row>
    <row r="1204">
      <c r="A1204" s="189" t="inlineStr">
        <is>
          <t>CVE</t>
        </is>
      </c>
      <c r="B1204" s="189" t="inlineStr">
        <is>
          <t>CVE-2026-2787</t>
        </is>
      </c>
      <c r="C1204" s="189" t="inlineStr">
        <is>
          <t>Use-after-free in the DOM: Window and Location component. This vulnerability affects Firefox &lt; 148, Firefox ESR &lt; 115.33, Firefox ESR &lt; 140.8, Thunderbird &lt; 148, and Thunderbird &lt; 140.8.</t>
        </is>
      </c>
      <c r="D1204" s="189" t="n">
        <v>9.800000000000001</v>
      </c>
      <c r="E1204" s="189" t="inlineStr">
        <is>
          <t>CRITICAL</t>
        </is>
      </c>
      <c r="F1204" s="189" t="n">
        <v>2</v>
      </c>
      <c r="G1204" s="189" t="n">
        <v>3</v>
      </c>
      <c r="H1204" s="189" t="inlineStr">
        <is>
          <t>HIGH</t>
        </is>
      </c>
      <c r="I1204" s="189" t="n">
        <v>15.8</v>
      </c>
      <c r="J1204" s="189" t="inlineStr">
        <is>
          <t>NO</t>
        </is>
      </c>
      <c r="K1204" s="189" t="inlineStr">
        <is>
          <t>https://nvd.nist.gov/vuln/detail/CVE-2026-2787</t>
        </is>
      </c>
      <c r="L1204" s="189" t="inlineStr">
        <is>
          <t>2026-02-26 00:15</t>
        </is>
      </c>
      <c r="M1204" s="189" t="inlineStr">
        <is>
          <t>YES</t>
        </is>
      </c>
      <c r="N1204" s="189" t="inlineStr">
        <is>
          <t>https://www.mozilla.org/security/advisories/mfsa2026-13/ | https://www.mozilla.org/security/advisories/mfsa2026-14/ | https://www.mozilla.org/security/advisories/mfsa2026-15/</t>
        </is>
      </c>
      <c r="O1204" s="189" t="inlineStr">
        <is>
          <t>Apply vendor patches</t>
        </is>
      </c>
      <c r="P1204" s="189" t="inlineStr">
        <is>
          <t>mozilla firefox *</t>
        </is>
      </c>
      <c r="Q1204" s="189" t="inlineStr">
        <is>
          <t>P3</t>
        </is>
      </c>
      <c r="R1204" s="189" t="inlineStr">
        <is>
          <t>🚨 URGENT: Apply vendor patches immediately | 🔒 Isolate affected systems if patch unavailable | 🛡️ Enable additional monitoring/IDS rules</t>
        </is>
      </c>
      <c r="S1204" s="189" t="inlineStr">
        <is>
          <t>CVE - IP enrichment n/a</t>
        </is>
      </c>
      <c r="T1204" s="189" t="n">
        <v>0</v>
      </c>
      <c r="U1204" s="189" t="n">
        <v>0</v>
      </c>
      <c r="V1204" s="189" t="inlineStr">
        <is>
          <t>T1203:Exploitation for Client Execution</t>
        </is>
      </c>
      <c r="W1204" s="189" t="n">
        <v>2</v>
      </c>
      <c r="X1204" s="189" t="inlineStr">
        <is>
          <t>MEDIUM (52%)</t>
        </is>
      </c>
      <c r="Y1204" s="189" t="inlineStr">
        <is>
          <t>UNLIKELY</t>
        </is>
      </c>
      <c r="Z1204" s="189" t="inlineStr">
        <is>
          <t>PATCH_AVAILABLE</t>
        </is>
      </c>
      <c r="AA1204" s="189" t="inlineStr">
        <is>
          <t>https://nvd.nist.gov/vuln/detail/CVE-2026-2787</t>
        </is>
      </c>
      <c r="AB1204" s="189" t="inlineStr">
        <is>
          <t>NONE</t>
        </is>
      </c>
      <c r="AC1204" s="189" t="n">
        <v>0</v>
      </c>
      <c r="AD1204" s="189" t="inlineStr"/>
    </row>
    <row r="1205">
      <c r="A1205" s="189" t="inlineStr">
        <is>
          <t>CVE</t>
        </is>
      </c>
      <c r="B1205" s="189" t="inlineStr">
        <is>
          <t>CVE-2026-2788</t>
        </is>
      </c>
      <c r="C1205" s="189" t="inlineStr">
        <is>
          <t>Incorrect boundary conditions in the Audio/Video: GMP component. This vulnerability affects Firefox &lt; 148, Firefox ESR &lt; 115.33, Firefox ESR &lt; 140.8, Thunderbird &lt; 148, and Thunderbird &lt; 140.8.</t>
        </is>
      </c>
      <c r="D1205" s="189" t="n">
        <v>9.800000000000001</v>
      </c>
      <c r="E1205" s="189" t="inlineStr">
        <is>
          <t>CRITICAL</t>
        </is>
      </c>
      <c r="F1205" s="189" t="n">
        <v>2</v>
      </c>
      <c r="G1205" s="189" t="n">
        <v>3</v>
      </c>
      <c r="H1205" s="189" t="inlineStr">
        <is>
          <t>HIGH</t>
        </is>
      </c>
      <c r="I1205" s="189" t="n">
        <v>15.8</v>
      </c>
      <c r="J1205" s="189" t="inlineStr">
        <is>
          <t>NO</t>
        </is>
      </c>
      <c r="K1205" s="189" t="inlineStr">
        <is>
          <t>https://nvd.nist.gov/vuln/detail/CVE-2026-2788</t>
        </is>
      </c>
      <c r="L1205" s="189" t="inlineStr">
        <is>
          <t>2026-02-26 00:15</t>
        </is>
      </c>
      <c r="M1205" s="189" t="inlineStr">
        <is>
          <t>YES</t>
        </is>
      </c>
      <c r="N1205" s="189" t="inlineStr">
        <is>
          <t>https://www.mozilla.org/security/advisories/mfsa2026-13/ | https://www.mozilla.org/security/advisories/mfsa2026-14/ | https://www.mozilla.org/security/advisories/mfsa2026-15/</t>
        </is>
      </c>
      <c r="O1205" s="189" t="inlineStr">
        <is>
          <t>Apply vendor patches</t>
        </is>
      </c>
      <c r="P1205" s="189" t="inlineStr">
        <is>
          <t>mozilla firefox *</t>
        </is>
      </c>
      <c r="Q1205" s="189" t="inlineStr">
        <is>
          <t>P3</t>
        </is>
      </c>
      <c r="R1205" s="189" t="inlineStr">
        <is>
          <t>🚨 URGENT: Apply vendor patches immediately | 🔒 Isolate affected systems if patch unavailable | 🛡️ Enable additional monitoring/IDS rules</t>
        </is>
      </c>
      <c r="S1205" s="189" t="inlineStr">
        <is>
          <t>CVE - IP enrichment n/a</t>
        </is>
      </c>
      <c r="T1205" s="189" t="n">
        <v>0</v>
      </c>
      <c r="U1205" s="189" t="n">
        <v>0</v>
      </c>
      <c r="V1205" s="189" t="inlineStr">
        <is>
          <t>T1190:Exploit Public-Facing Application</t>
        </is>
      </c>
      <c r="W1205" s="189" t="n">
        <v>2</v>
      </c>
      <c r="X1205" s="189" t="inlineStr">
        <is>
          <t>MEDIUM (52%)</t>
        </is>
      </c>
      <c r="Y1205" s="189" t="inlineStr">
        <is>
          <t>UNLIKELY</t>
        </is>
      </c>
      <c r="Z1205" s="189" t="inlineStr">
        <is>
          <t>PATCH_AVAILABLE</t>
        </is>
      </c>
      <c r="AA1205" s="189" t="inlineStr">
        <is>
          <t>https://nvd.nist.gov/vuln/detail/CVE-2026-2788</t>
        </is>
      </c>
      <c r="AB1205" s="189" t="inlineStr">
        <is>
          <t>NONE</t>
        </is>
      </c>
      <c r="AC1205" s="189" t="n">
        <v>0</v>
      </c>
      <c r="AD1205" s="189" t="inlineStr"/>
    </row>
    <row r="1206">
      <c r="A1206" s="189" t="inlineStr">
        <is>
          <t>CVE</t>
        </is>
      </c>
      <c r="B1206" s="189" t="inlineStr">
        <is>
          <t>CVE-2026-2789</t>
        </is>
      </c>
      <c r="C1206" s="189" t="inlineStr">
        <is>
          <t>Use-after-free in the Graphics: ImageLib component. This vulnerability affects Firefox &lt; 148, Firefox ESR &lt; 115.33, Firefox ESR &lt; 140.8, Thunderbird &lt; 148, and Thunderbird &lt; 140.8.</t>
        </is>
      </c>
      <c r="D1206" s="189" t="n">
        <v>9.800000000000001</v>
      </c>
      <c r="E1206" s="189" t="inlineStr">
        <is>
          <t>CRITICAL</t>
        </is>
      </c>
      <c r="F1206" s="189" t="n">
        <v>2</v>
      </c>
      <c r="G1206" s="189" t="n">
        <v>3</v>
      </c>
      <c r="H1206" s="189" t="inlineStr">
        <is>
          <t>HIGH</t>
        </is>
      </c>
      <c r="I1206" s="189" t="n">
        <v>15.8</v>
      </c>
      <c r="J1206" s="189" t="inlineStr">
        <is>
          <t>NO</t>
        </is>
      </c>
      <c r="K1206" s="189" t="inlineStr">
        <is>
          <t>https://nvd.nist.gov/vuln/detail/CVE-2026-2789</t>
        </is>
      </c>
      <c r="L1206" s="189" t="inlineStr">
        <is>
          <t>2026-02-26 00:15</t>
        </is>
      </c>
      <c r="M1206" s="189" t="inlineStr">
        <is>
          <t>YES</t>
        </is>
      </c>
      <c r="N1206" s="189" t="inlineStr">
        <is>
          <t>https://www.mozilla.org/security/advisories/mfsa2026-13/ | https://www.mozilla.org/security/advisories/mfsa2026-14/ | https://www.mozilla.org/security/advisories/mfsa2026-15/</t>
        </is>
      </c>
      <c r="O1206" s="189" t="inlineStr">
        <is>
          <t>Apply vendor patches</t>
        </is>
      </c>
      <c r="P1206" s="189" t="inlineStr">
        <is>
          <t>mozilla firefox *</t>
        </is>
      </c>
      <c r="Q1206" s="189" t="inlineStr">
        <is>
          <t>P3</t>
        </is>
      </c>
      <c r="R1206" s="189" t="inlineStr">
        <is>
          <t>🚨 URGENT: Apply vendor patches immediately | 🔒 Isolate affected systems if patch unavailable | 🛡️ Enable additional monitoring/IDS rules</t>
        </is>
      </c>
      <c r="S1206" s="189" t="inlineStr">
        <is>
          <t>CVE - IP enrichment n/a</t>
        </is>
      </c>
      <c r="T1206" s="189" t="n">
        <v>0</v>
      </c>
      <c r="U1206" s="189" t="n">
        <v>0</v>
      </c>
      <c r="V1206" s="189" t="inlineStr">
        <is>
          <t>T1203:Exploitation for Client Execution</t>
        </is>
      </c>
      <c r="W1206" s="189" t="n">
        <v>2</v>
      </c>
      <c r="X1206" s="189" t="inlineStr">
        <is>
          <t>MEDIUM (52%)</t>
        </is>
      </c>
      <c r="Y1206" s="189" t="inlineStr">
        <is>
          <t>UNLIKELY</t>
        </is>
      </c>
      <c r="Z1206" s="189" t="inlineStr">
        <is>
          <t>PATCH_AVAILABLE</t>
        </is>
      </c>
      <c r="AA1206" s="189" t="inlineStr">
        <is>
          <t>https://nvd.nist.gov/vuln/detail/CVE-2026-2789</t>
        </is>
      </c>
      <c r="AB1206" s="189" t="inlineStr">
        <is>
          <t>NONE</t>
        </is>
      </c>
      <c r="AC1206" s="189" t="n">
        <v>0</v>
      </c>
      <c r="AD1206" s="189" t="inlineStr"/>
    </row>
    <row r="1207">
      <c r="A1207" s="189" t="inlineStr">
        <is>
          <t>CVE</t>
        </is>
      </c>
      <c r="B1207" s="189" t="inlineStr">
        <is>
          <t>CVE-2026-2790</t>
        </is>
      </c>
      <c r="C1207" s="189" t="inlineStr">
        <is>
          <t>Same-origin policy bypass in the Networking: JAR component. This vulnerability affects Firefox &lt; 148, Firefox ESR &lt; 140.8, Thunderbird &lt; 148, and Thunderbird &lt; 140.8.</t>
        </is>
      </c>
      <c r="D1207" s="189" t="n">
        <v>9.800000000000001</v>
      </c>
      <c r="E1207" s="189" t="inlineStr">
        <is>
          <t>CRITICAL</t>
        </is>
      </c>
      <c r="F1207" s="189" t="n">
        <v>2</v>
      </c>
      <c r="G1207" s="189" t="n">
        <v>3</v>
      </c>
      <c r="H1207" s="189" t="inlineStr">
        <is>
          <t>HIGH</t>
        </is>
      </c>
      <c r="I1207" s="189" t="n">
        <v>15.8</v>
      </c>
      <c r="J1207" s="189" t="inlineStr">
        <is>
          <t>NO</t>
        </is>
      </c>
      <c r="K1207" s="189" t="inlineStr">
        <is>
          <t>https://nvd.nist.gov/vuln/detail/CVE-2026-2790</t>
        </is>
      </c>
      <c r="L1207" s="189" t="inlineStr">
        <is>
          <t>2026-02-26 00:15</t>
        </is>
      </c>
      <c r="M1207" s="189" t="inlineStr">
        <is>
          <t>YES</t>
        </is>
      </c>
      <c r="N1207" s="189" t="inlineStr">
        <is>
          <t>https://www.mozilla.org/security/advisories/mfsa2026-13/ | https://www.mozilla.org/security/advisories/mfsa2026-15/ | https://www.mozilla.org/security/advisories/mfsa2026-16/</t>
        </is>
      </c>
      <c r="O1207" s="189" t="inlineStr">
        <is>
          <t>Apply vendor patches</t>
        </is>
      </c>
      <c r="P1207" s="189" t="inlineStr">
        <is>
          <t>mozilla firefox * | mozilla thunderbird *</t>
        </is>
      </c>
      <c r="Q1207" s="189" t="inlineStr">
        <is>
          <t>P3</t>
        </is>
      </c>
      <c r="R1207" s="189" t="inlineStr">
        <is>
          <t>🚨 URGENT: Apply vendor patches immediately | 🔒 Isolate affected systems if patch unavailable | 🛡️ Enable additional monitoring/IDS rules</t>
        </is>
      </c>
      <c r="S1207" s="189" t="inlineStr">
        <is>
          <t>CVE - IP enrichment n/a</t>
        </is>
      </c>
      <c r="T1207" s="189" t="n">
        <v>0.0002</v>
      </c>
      <c r="U1207" s="189" t="n">
        <v>0.0426</v>
      </c>
      <c r="V1207" s="189" t="inlineStr">
        <is>
          <t>T1190:Exploit Public-Facing Application</t>
        </is>
      </c>
      <c r="W1207" s="189" t="n">
        <v>2</v>
      </c>
      <c r="X1207" s="189" t="inlineStr">
        <is>
          <t>MEDIUM (52%)</t>
        </is>
      </c>
      <c r="Y1207" s="189" t="inlineStr">
        <is>
          <t>UNLIKELY</t>
        </is>
      </c>
      <c r="Z1207" s="189" t="inlineStr">
        <is>
          <t>PATCH_AVAILABLE</t>
        </is>
      </c>
      <c r="AA1207" s="189" t="inlineStr">
        <is>
          <t>https://nvd.nist.gov/vuln/detail/CVE-2026-2790</t>
        </is>
      </c>
      <c r="AB1207" s="189" t="inlineStr">
        <is>
          <t>NONE</t>
        </is>
      </c>
      <c r="AC1207" s="189" t="n">
        <v>0</v>
      </c>
      <c r="AD1207" s="189" t="inlineStr"/>
    </row>
    <row r="1208">
      <c r="A1208" s="189" t="inlineStr">
        <is>
          <t>CVE</t>
        </is>
      </c>
      <c r="B1208" s="189" t="inlineStr">
        <is>
          <t>CVE-2026-2791</t>
        </is>
      </c>
      <c r="C1208" s="189" t="inlineStr">
        <is>
          <t>Mitigation bypass in the Networking: Cache component. This vulnerability affects Firefox &lt; 148, Firefox ESR &lt; 140.8, Thunderbird &lt; 148, and Thunderbird &lt; 140.8.</t>
        </is>
      </c>
      <c r="D1208" s="189" t="n">
        <v>9.800000000000001</v>
      </c>
      <c r="E1208" s="189" t="inlineStr">
        <is>
          <t>CRITICAL</t>
        </is>
      </c>
      <c r="F1208" s="189" t="n">
        <v>2</v>
      </c>
      <c r="G1208" s="189" t="n">
        <v>3</v>
      </c>
      <c r="H1208" s="189" t="inlineStr">
        <is>
          <t>HIGH</t>
        </is>
      </c>
      <c r="I1208" s="189" t="n">
        <v>15.8</v>
      </c>
      <c r="J1208" s="189" t="inlineStr">
        <is>
          <t>NO</t>
        </is>
      </c>
      <c r="K1208" s="189" t="inlineStr">
        <is>
          <t>https://nvd.nist.gov/vuln/detail/CVE-2026-2791</t>
        </is>
      </c>
      <c r="L1208" s="189" t="inlineStr">
        <is>
          <t>2026-02-26 00:15</t>
        </is>
      </c>
      <c r="M1208" s="189" t="inlineStr">
        <is>
          <t>YES</t>
        </is>
      </c>
      <c r="N1208" s="189" t="inlineStr">
        <is>
          <t>https://www.mozilla.org/security/advisories/mfsa2026-13/ | https://www.mozilla.org/security/advisories/mfsa2026-15/ | https://www.mozilla.org/security/advisories/mfsa2026-16/</t>
        </is>
      </c>
      <c r="O1208" s="189" t="inlineStr">
        <is>
          <t>Apply vendor patches</t>
        </is>
      </c>
      <c r="P1208" s="189" t="inlineStr">
        <is>
          <t>mozilla firefox * | mozilla thunderbird *</t>
        </is>
      </c>
      <c r="Q1208" s="189" t="inlineStr">
        <is>
          <t>P3</t>
        </is>
      </c>
      <c r="R1208" s="189" t="inlineStr">
        <is>
          <t>🚨 URGENT: Apply vendor patches immediately | 🔒 Isolate affected systems if patch unavailable | 🛡️ Enable additional monitoring/IDS rules</t>
        </is>
      </c>
      <c r="S1208" s="189" t="inlineStr">
        <is>
          <t>CVE - IP enrichment n/a</t>
        </is>
      </c>
      <c r="T1208" s="189" t="n">
        <v>0</v>
      </c>
      <c r="U1208" s="189" t="n">
        <v>0</v>
      </c>
      <c r="V1208" s="189" t="inlineStr">
        <is>
          <t>T1190:Exploit Public-Facing Application</t>
        </is>
      </c>
      <c r="W1208" s="189" t="n">
        <v>2</v>
      </c>
      <c r="X1208" s="189" t="inlineStr">
        <is>
          <t>MEDIUM (52%)</t>
        </is>
      </c>
      <c r="Y1208" s="189" t="inlineStr">
        <is>
          <t>UNLIKELY</t>
        </is>
      </c>
      <c r="Z1208" s="189" t="inlineStr">
        <is>
          <t>PATCH_AVAILABLE</t>
        </is>
      </c>
      <c r="AA1208" s="189" t="inlineStr">
        <is>
          <t>https://nvd.nist.gov/vuln/detail/CVE-2026-2791</t>
        </is>
      </c>
      <c r="AB1208" s="189" t="inlineStr">
        <is>
          <t>NONE</t>
        </is>
      </c>
      <c r="AC1208" s="189" t="n">
        <v>0</v>
      </c>
      <c r="AD1208" s="189" t="inlineStr"/>
    </row>
    <row r="1209">
      <c r="A1209" s="189" t="inlineStr">
        <is>
          <t>CVE</t>
        </is>
      </c>
      <c r="B1209" s="189" t="inlineStr">
        <is>
          <t>CVE-2026-2792</t>
        </is>
      </c>
      <c r="C1209" s="189" t="inlineStr">
        <is>
          <t>Memory safety bugs present in Firefox ESR 140.7, Thunderbird ESR 140.7, Firefox 147 and Thunderbird 147. Some of these bugs showed evidence of memory corruption and we presume that with enough effort some of these could have been exploited to run arbitrary code. This vulnerability affects Firefox &lt; 148, Firefox ESR &lt; 140.8, Thunderbird &lt; 148, and Thunderbird &lt; 140.8.</t>
        </is>
      </c>
      <c r="D1209" s="189" t="n">
        <v>9.800000000000001</v>
      </c>
      <c r="E1209" s="189" t="inlineStr">
        <is>
          <t>CRITICAL</t>
        </is>
      </c>
      <c r="F1209" s="189" t="n">
        <v>2</v>
      </c>
      <c r="G1209" s="189" t="n">
        <v>3</v>
      </c>
      <c r="H1209" s="189" t="inlineStr">
        <is>
          <t>HIGH</t>
        </is>
      </c>
      <c r="I1209" s="189" t="n">
        <v>15.8</v>
      </c>
      <c r="J1209" s="189" t="inlineStr">
        <is>
          <t>NO</t>
        </is>
      </c>
      <c r="K1209" s="189" t="inlineStr">
        <is>
          <t>https://nvd.nist.gov/vuln/detail/CVE-2026-2792</t>
        </is>
      </c>
      <c r="L1209" s="189" t="inlineStr">
        <is>
          <t>2026-02-26 00:15</t>
        </is>
      </c>
      <c r="M1209" s="189" t="inlineStr">
        <is>
          <t>YES</t>
        </is>
      </c>
      <c r="N1209" s="189" t="inlineStr">
        <is>
          <t>https://www.mozilla.org/security/advisories/mfsa2026-13/ | https://www.mozilla.org/security/advisories/mfsa2026-15/ | https://www.mozilla.org/security/advisories/mfsa2026-16/</t>
        </is>
      </c>
      <c r="O1209" s="189" t="inlineStr">
        <is>
          <t>Apply vendor patches</t>
        </is>
      </c>
      <c r="P1209" s="189" t="inlineStr">
        <is>
          <t>mozilla firefox * | mozilla thunderbird *</t>
        </is>
      </c>
      <c r="Q1209" s="189" t="inlineStr">
        <is>
          <t>P3</t>
        </is>
      </c>
      <c r="R1209" s="189" t="inlineStr">
        <is>
          <t>🚨 URGENT: Apply vendor patches immediately | 🔒 Isolate affected systems if patch unavailable | 🛡️ Enable additional monitoring/IDS rules</t>
        </is>
      </c>
      <c r="S1209" s="189" t="inlineStr">
        <is>
          <t>CVE - IP enrichment n/a</t>
        </is>
      </c>
      <c r="T1209" s="189" t="n">
        <v>0.0002</v>
      </c>
      <c r="U1209" s="189" t="n">
        <v>0.0426</v>
      </c>
      <c r="V1209" s="189" t="inlineStr">
        <is>
          <t>T1203:Exploitation for Client Execution</t>
        </is>
      </c>
      <c r="W1209" s="189" t="n">
        <v>2</v>
      </c>
      <c r="X1209" s="189" t="inlineStr">
        <is>
          <t>MEDIUM (52%)</t>
        </is>
      </c>
      <c r="Y1209" s="189" t="inlineStr">
        <is>
          <t>UNLIKELY</t>
        </is>
      </c>
      <c r="Z1209" s="189" t="inlineStr">
        <is>
          <t>PATCH_AVAILABLE</t>
        </is>
      </c>
      <c r="AA1209" s="189" t="inlineStr">
        <is>
          <t>https://nvd.nist.gov/vuln/detail/CVE-2026-2792</t>
        </is>
      </c>
      <c r="AB1209" s="189" t="inlineStr">
        <is>
          <t>NONE</t>
        </is>
      </c>
      <c r="AC1209" s="189" t="n">
        <v>0</v>
      </c>
      <c r="AD1209" s="189" t="inlineStr"/>
    </row>
    <row r="1210">
      <c r="A1210" s="189" t="inlineStr">
        <is>
          <t>CVE</t>
        </is>
      </c>
      <c r="B1210" s="189" t="inlineStr">
        <is>
          <t>CVE-2026-2793</t>
        </is>
      </c>
      <c r="C1210" s="189" t="inlineStr">
        <is>
          <t>Memory safety bugs present in Firefox ESR 115.32, Firefox ESR 140.7, Thunderbird ESR 140.7, Firefox 147 and Thunderbird 147. Some of these bugs showed evidence of memory corruption and we presume that with enough effort some of these could have been exploited to run arbitrary code. This vulnerability affects Firefox &lt; 148, Firefox ESR &lt; 115.33, Firefox ESR &lt; 140.8, Thunderbird &lt; 148, and Thunderbird &lt; 140.8.</t>
        </is>
      </c>
      <c r="D1210" s="189" t="n">
        <v>9.800000000000001</v>
      </c>
      <c r="E1210" s="189" t="inlineStr">
        <is>
          <t>CRITICAL</t>
        </is>
      </c>
      <c r="F1210" s="189" t="n">
        <v>2</v>
      </c>
      <c r="G1210" s="189" t="n">
        <v>3</v>
      </c>
      <c r="H1210" s="189" t="inlineStr">
        <is>
          <t>HIGH</t>
        </is>
      </c>
      <c r="I1210" s="189" t="n">
        <v>15.8</v>
      </c>
      <c r="J1210" s="189" t="inlineStr">
        <is>
          <t>NO</t>
        </is>
      </c>
      <c r="K1210" s="189" t="inlineStr">
        <is>
          <t>https://nvd.nist.gov/vuln/detail/CVE-2026-2793</t>
        </is>
      </c>
      <c r="L1210" s="189" t="inlineStr">
        <is>
          <t>2026-02-26 00:15</t>
        </is>
      </c>
      <c r="M1210" s="189" t="inlineStr">
        <is>
          <t>YES</t>
        </is>
      </c>
      <c r="N1210" s="189" t="inlineStr">
        <is>
          <t>https://www.mozilla.org/security/advisories/mfsa2026-13/ | https://www.mozilla.org/security/advisories/mfsa2026-14/ | https://www.mozilla.org/security/advisories/mfsa2026-15/</t>
        </is>
      </c>
      <c r="O1210" s="189" t="inlineStr">
        <is>
          <t>Apply vendor patches</t>
        </is>
      </c>
      <c r="P1210" s="189" t="inlineStr">
        <is>
          <t>mozilla firefox *</t>
        </is>
      </c>
      <c r="Q1210" s="189" t="inlineStr">
        <is>
          <t>P3</t>
        </is>
      </c>
      <c r="R1210" s="189" t="inlineStr">
        <is>
          <t>🚨 URGENT: Apply vendor patches immediately | 🔒 Isolate affected systems if patch unavailable | 🛡️ Enable additional monitoring/IDS rules</t>
        </is>
      </c>
      <c r="S1210" s="189" t="inlineStr">
        <is>
          <t>CVE - IP enrichment n/a</t>
        </is>
      </c>
      <c r="T1210" s="189" t="n">
        <v>0.0002</v>
      </c>
      <c r="U1210" s="189" t="n">
        <v>0.0643</v>
      </c>
      <c r="V1210" s="189" t="inlineStr">
        <is>
          <t>T1203:Exploitation for Client Execution</t>
        </is>
      </c>
      <c r="W1210" s="189" t="n">
        <v>2</v>
      </c>
      <c r="X1210" s="189" t="inlineStr">
        <is>
          <t>MEDIUM (52%)</t>
        </is>
      </c>
      <c r="Y1210" s="189" t="inlineStr">
        <is>
          <t>UNLIKELY</t>
        </is>
      </c>
      <c r="Z1210" s="189" t="inlineStr">
        <is>
          <t>PATCH_AVAILABLE</t>
        </is>
      </c>
      <c r="AA1210" s="189" t="inlineStr">
        <is>
          <t>https://nvd.nist.gov/vuln/detail/CVE-2026-2793</t>
        </is>
      </c>
      <c r="AB1210" s="189" t="inlineStr">
        <is>
          <t>NONE</t>
        </is>
      </c>
      <c r="AC1210" s="189" t="n">
        <v>0</v>
      </c>
      <c r="AD1210" s="189" t="inlineStr"/>
    </row>
    <row r="1211">
      <c r="A1211" s="188" t="inlineStr">
        <is>
          <t>CVE</t>
        </is>
      </c>
      <c r="B1211" s="188" t="inlineStr">
        <is>
          <t>CVE-2026-2794</t>
        </is>
      </c>
      <c r="C1211" s="188" t="inlineStr">
        <is>
          <t>Information disclosure due to uninitialized memory in Firefox and Firefox Focus for Android. This vulnerability affects Firefox &lt; 148.</t>
        </is>
      </c>
      <c r="D1211" s="188" t="n">
        <v>7.5</v>
      </c>
      <c r="E1211" s="188" t="inlineStr">
        <is>
          <t>HIGH</t>
        </is>
      </c>
      <c r="F1211" s="188" t="n">
        <v>2</v>
      </c>
      <c r="G1211" s="188" t="n">
        <v>3</v>
      </c>
      <c r="H1211" s="188" t="inlineStr">
        <is>
          <t>HIGH</t>
        </is>
      </c>
      <c r="I1211" s="188" t="n">
        <v>13.5</v>
      </c>
      <c r="J1211" s="188" t="inlineStr">
        <is>
          <t>NO</t>
        </is>
      </c>
      <c r="K1211" s="188" t="inlineStr">
        <is>
          <t>https://nvd.nist.gov/vuln/detail/CVE-2026-2794</t>
        </is>
      </c>
      <c r="L1211" s="188" t="inlineStr">
        <is>
          <t>2026-02-26 00:15</t>
        </is>
      </c>
      <c r="M1211" s="188" t="inlineStr">
        <is>
          <t>YES</t>
        </is>
      </c>
      <c r="N1211" s="188" t="inlineStr">
        <is>
          <t>https://www.mozilla.org/security/advisories/mfsa2026-13/</t>
        </is>
      </c>
      <c r="O1211" s="188" t="inlineStr">
        <is>
          <t>Apply vendor patches</t>
        </is>
      </c>
      <c r="P1211" s="188" t="inlineStr">
        <is>
          <t>mozilla firefox *</t>
        </is>
      </c>
      <c r="Q1211" s="188" t="inlineStr">
        <is>
          <t>P3</t>
        </is>
      </c>
      <c r="R1211" s="188" t="inlineStr">
        <is>
          <t>🚨 URGENT: Apply vendor patches immediately | 🔒 Isolate affected systems if patch unavailable | 🛡️ Enable additional monitoring/IDS rules</t>
        </is>
      </c>
      <c r="S1211" s="188" t="inlineStr">
        <is>
          <t>CVE - IP enrichment n/a</t>
        </is>
      </c>
      <c r="T1211" s="188" t="n">
        <v>0</v>
      </c>
      <c r="U1211" s="188" t="n">
        <v>0</v>
      </c>
      <c r="V1211" s="188" t="inlineStr">
        <is>
          <t>T1213:Data from Information Repositories</t>
        </is>
      </c>
      <c r="W1211" s="188" t="n">
        <v>2</v>
      </c>
      <c r="X1211" s="188" t="inlineStr">
        <is>
          <t>MEDIUM (52%)</t>
        </is>
      </c>
      <c r="Y1211" s="188" t="inlineStr">
        <is>
          <t>UNLIKELY</t>
        </is>
      </c>
      <c r="Z1211" s="188" t="inlineStr">
        <is>
          <t>PATCH_AVAILABLE</t>
        </is>
      </c>
      <c r="AA1211" s="188" t="inlineStr">
        <is>
          <t>https://nvd.nist.gov/vuln/detail/CVE-2026-2794</t>
        </is>
      </c>
      <c r="AB1211" s="188" t="inlineStr">
        <is>
          <t>NONE</t>
        </is>
      </c>
      <c r="AC1211" s="188" t="n">
        <v>0</v>
      </c>
      <c r="AD1211" s="188" t="inlineStr"/>
    </row>
    <row r="1212">
      <c r="A1212" s="189" t="inlineStr">
        <is>
          <t>CVE</t>
        </is>
      </c>
      <c r="B1212" s="189" t="inlineStr">
        <is>
          <t>CVE-2026-2795</t>
        </is>
      </c>
      <c r="C1212" s="189" t="inlineStr">
        <is>
          <t>Use-after-free in the JavaScript: GC component. This vulnerability affects Firefox &lt; 148 and Thunderbird &lt; 148.</t>
        </is>
      </c>
      <c r="D1212" s="189" t="n">
        <v>9.800000000000001</v>
      </c>
      <c r="E1212" s="189" t="inlineStr">
        <is>
          <t>CRITICAL</t>
        </is>
      </c>
      <c r="F1212" s="189" t="n">
        <v>2</v>
      </c>
      <c r="G1212" s="189" t="n">
        <v>3</v>
      </c>
      <c r="H1212" s="189" t="inlineStr">
        <is>
          <t>HIGH</t>
        </is>
      </c>
      <c r="I1212" s="189" t="n">
        <v>15.8</v>
      </c>
      <c r="J1212" s="189" t="inlineStr">
        <is>
          <t>NO</t>
        </is>
      </c>
      <c r="K1212" s="189" t="inlineStr">
        <is>
          <t>https://nvd.nist.gov/vuln/detail/CVE-2026-2795</t>
        </is>
      </c>
      <c r="L1212" s="189" t="inlineStr">
        <is>
          <t>2026-02-26 00:15</t>
        </is>
      </c>
      <c r="M1212" s="189" t="inlineStr">
        <is>
          <t>YES</t>
        </is>
      </c>
      <c r="N1212" s="189" t="inlineStr">
        <is>
          <t>https://www.mozilla.org/security/advisories/mfsa2026-13/ | https://www.mozilla.org/security/advisories/mfsa2026-16/</t>
        </is>
      </c>
      <c r="O1212" s="189" t="inlineStr">
        <is>
          <t>Apply vendor patches</t>
        </is>
      </c>
      <c r="P1212" s="189" t="inlineStr">
        <is>
          <t>mozilla firefox * | mozilla thunderbird *</t>
        </is>
      </c>
      <c r="Q1212" s="189" t="inlineStr">
        <is>
          <t>P3</t>
        </is>
      </c>
      <c r="R1212" s="189" t="inlineStr">
        <is>
          <t>🚨 URGENT: Apply vendor patches immediately | 🔒 Isolate affected systems if patch unavailable | 🛡️ Enable additional monitoring/IDS rules</t>
        </is>
      </c>
      <c r="S1212" s="189" t="inlineStr">
        <is>
          <t>CVE - IP enrichment n/a</t>
        </is>
      </c>
      <c r="T1212" s="189" t="n">
        <v>0</v>
      </c>
      <c r="U1212" s="189" t="n">
        <v>0</v>
      </c>
      <c r="V1212" s="189" t="inlineStr">
        <is>
          <t>T1203:Exploitation for Client Execution</t>
        </is>
      </c>
      <c r="W1212" s="189" t="n">
        <v>2</v>
      </c>
      <c r="X1212" s="189" t="inlineStr">
        <is>
          <t>MEDIUM (52%)</t>
        </is>
      </c>
      <c r="Y1212" s="189" t="inlineStr">
        <is>
          <t>UNLIKELY</t>
        </is>
      </c>
      <c r="Z1212" s="189" t="inlineStr">
        <is>
          <t>PATCH_AVAILABLE</t>
        </is>
      </c>
      <c r="AA1212" s="189" t="inlineStr">
        <is>
          <t>https://nvd.nist.gov/vuln/detail/CVE-2026-2795</t>
        </is>
      </c>
      <c r="AB1212" s="189" t="inlineStr">
        <is>
          <t>NONE</t>
        </is>
      </c>
      <c r="AC1212" s="189" t="n">
        <v>0</v>
      </c>
      <c r="AD1212" s="189" t="inlineStr"/>
    </row>
    <row r="1213">
      <c r="A1213" s="189" t="inlineStr">
        <is>
          <t>CVE</t>
        </is>
      </c>
      <c r="B1213" s="189" t="inlineStr">
        <is>
          <t>CVE-2026-2796</t>
        </is>
      </c>
      <c r="C1213" s="189" t="inlineStr">
        <is>
          <t>JIT miscompilation in the JavaScript: WebAssembly component. This vulnerability affects Firefox &lt; 148 and Thunderbird &lt; 148.</t>
        </is>
      </c>
      <c r="D1213" s="189" t="n">
        <v>9.800000000000001</v>
      </c>
      <c r="E1213" s="189" t="inlineStr">
        <is>
          <t>CRITICAL</t>
        </is>
      </c>
      <c r="F1213" s="189" t="n">
        <v>2</v>
      </c>
      <c r="G1213" s="189" t="n">
        <v>3</v>
      </c>
      <c r="H1213" s="189" t="inlineStr">
        <is>
          <t>HIGH</t>
        </is>
      </c>
      <c r="I1213" s="189" t="n">
        <v>15.8</v>
      </c>
      <c r="J1213" s="189" t="inlineStr">
        <is>
          <t>NO</t>
        </is>
      </c>
      <c r="K1213" s="189" t="inlineStr">
        <is>
          <t>https://nvd.nist.gov/vuln/detail/CVE-2026-2796</t>
        </is>
      </c>
      <c r="L1213" s="189" t="inlineStr">
        <is>
          <t>2026-02-26 00:15</t>
        </is>
      </c>
      <c r="M1213" s="189" t="inlineStr">
        <is>
          <t>YES</t>
        </is>
      </c>
      <c r="N1213" s="189" t="inlineStr">
        <is>
          <t>https://www.mozilla.org/security/advisories/mfsa2026-13/ | https://www.mozilla.org/security/advisories/mfsa2026-16/</t>
        </is>
      </c>
      <c r="O1213" s="189" t="inlineStr">
        <is>
          <t>Apply vendor patches</t>
        </is>
      </c>
      <c r="P1213" s="189" t="inlineStr">
        <is>
          <t>mozilla firefox * | mozilla thunderbird *</t>
        </is>
      </c>
      <c r="Q1213" s="189" t="inlineStr">
        <is>
          <t>P3</t>
        </is>
      </c>
      <c r="R1213" s="189" t="inlineStr">
        <is>
          <t>🚨 URGENT: Apply vendor patches immediately | 🔒 Isolate affected systems if patch unavailable | 🛡️ Enable additional monitoring/IDS rules</t>
        </is>
      </c>
      <c r="S1213" s="189" t="inlineStr">
        <is>
          <t>CVE - IP enrichment n/a</t>
        </is>
      </c>
      <c r="T1213" s="189" t="n">
        <v>0</v>
      </c>
      <c r="U1213" s="189" t="n">
        <v>0</v>
      </c>
      <c r="V1213" s="189" t="inlineStr">
        <is>
          <t>T1190:Exploit Public-Facing Application</t>
        </is>
      </c>
      <c r="W1213" s="189" t="n">
        <v>1</v>
      </c>
      <c r="X1213" s="189" t="inlineStr">
        <is>
          <t>LOW (40%)</t>
        </is>
      </c>
      <c r="Y1213" s="189" t="inlineStr">
        <is>
          <t>UNLIKELY</t>
        </is>
      </c>
      <c r="Z1213" s="189" t="inlineStr">
        <is>
          <t>PATCH_AVAILABLE</t>
        </is>
      </c>
      <c r="AA1213" s="189" t="inlineStr">
        <is>
          <t>https://nvd.nist.gov/vuln/detail/CVE-2026-2796</t>
        </is>
      </c>
      <c r="AB1213" s="189" t="inlineStr">
        <is>
          <t>NONE</t>
        </is>
      </c>
      <c r="AC1213" s="189" t="n">
        <v>0</v>
      </c>
      <c r="AD1213" s="189" t="inlineStr"/>
    </row>
    <row r="1214">
      <c r="A1214" s="189" t="inlineStr">
        <is>
          <t>CVE</t>
        </is>
      </c>
      <c r="B1214" s="189" t="inlineStr">
        <is>
          <t>CVE-2026-2797</t>
        </is>
      </c>
      <c r="C1214" s="189" t="inlineStr">
        <is>
          <t>Use-after-free in the JavaScript: GC component. This vulnerability affects Firefox &lt; 148 and Thunderbird &lt; 148.</t>
        </is>
      </c>
      <c r="D1214" s="189" t="n">
        <v>9.800000000000001</v>
      </c>
      <c r="E1214" s="189" t="inlineStr">
        <is>
          <t>CRITICAL</t>
        </is>
      </c>
      <c r="F1214" s="189" t="n">
        <v>2</v>
      </c>
      <c r="G1214" s="189" t="n">
        <v>3</v>
      </c>
      <c r="H1214" s="189" t="inlineStr">
        <is>
          <t>HIGH</t>
        </is>
      </c>
      <c r="I1214" s="189" t="n">
        <v>15.8</v>
      </c>
      <c r="J1214" s="189" t="inlineStr">
        <is>
          <t>NO</t>
        </is>
      </c>
      <c r="K1214" s="189" t="inlineStr">
        <is>
          <t>https://nvd.nist.gov/vuln/detail/CVE-2026-2797</t>
        </is>
      </c>
      <c r="L1214" s="189" t="inlineStr">
        <is>
          <t>2026-02-26 00:15</t>
        </is>
      </c>
      <c r="M1214" s="189" t="inlineStr">
        <is>
          <t>YES</t>
        </is>
      </c>
      <c r="N1214" s="189" t="inlineStr">
        <is>
          <t>https://www.mozilla.org/security/advisories/mfsa2026-13/ | https://www.mozilla.org/security/advisories/mfsa2026-16/</t>
        </is>
      </c>
      <c r="O1214" s="189" t="inlineStr">
        <is>
          <t>Apply vendor patches</t>
        </is>
      </c>
      <c r="P1214" s="189" t="inlineStr">
        <is>
          <t>mozilla firefox * | mozilla thunderbird *</t>
        </is>
      </c>
      <c r="Q1214" s="189" t="inlineStr">
        <is>
          <t>P3</t>
        </is>
      </c>
      <c r="R1214" s="189" t="inlineStr">
        <is>
          <t>🚨 URGENT: Apply vendor patches immediately | 🔒 Isolate affected systems if patch unavailable | 🛡️ Enable additional monitoring/IDS rules</t>
        </is>
      </c>
      <c r="S1214" s="189" t="inlineStr">
        <is>
          <t>CVE - IP enrichment n/a</t>
        </is>
      </c>
      <c r="T1214" s="189" t="n">
        <v>0</v>
      </c>
      <c r="U1214" s="189" t="n">
        <v>0</v>
      </c>
      <c r="V1214" s="189" t="inlineStr">
        <is>
          <t>T1203:Exploitation for Client Execution</t>
        </is>
      </c>
      <c r="W1214" s="189" t="n">
        <v>1</v>
      </c>
      <c r="X1214" s="189" t="inlineStr">
        <is>
          <t>LOW (40%)</t>
        </is>
      </c>
      <c r="Y1214" s="189" t="inlineStr">
        <is>
          <t>UNLIKELY</t>
        </is>
      </c>
      <c r="Z1214" s="189" t="inlineStr">
        <is>
          <t>PATCH_AVAILABLE</t>
        </is>
      </c>
      <c r="AA1214" s="189" t="inlineStr">
        <is>
          <t>https://nvd.nist.gov/vuln/detail/CVE-2026-2797</t>
        </is>
      </c>
      <c r="AB1214" s="189" t="inlineStr">
        <is>
          <t>NONE</t>
        </is>
      </c>
      <c r="AC1214" s="189" t="n">
        <v>0</v>
      </c>
      <c r="AD1214" s="189" t="inlineStr"/>
    </row>
    <row r="1215">
      <c r="A1215" s="188" t="inlineStr">
        <is>
          <t>CVE</t>
        </is>
      </c>
      <c r="B1215" s="188" t="inlineStr">
        <is>
          <t>CVE-2026-2798</t>
        </is>
      </c>
      <c r="C1215" s="188" t="inlineStr">
        <is>
          <t>Use-after-free in the DOM: Core &amp; HTML component. This vulnerability affects Firefox &lt; 148 and Thunderbird &lt; 148.</t>
        </is>
      </c>
      <c r="D1215" s="188" t="n">
        <v>8.800000000000001</v>
      </c>
      <c r="E1215" s="188" t="inlineStr">
        <is>
          <t>HIGH</t>
        </is>
      </c>
      <c r="F1215" s="188" t="n">
        <v>2</v>
      </c>
      <c r="G1215" s="188" t="n">
        <v>3</v>
      </c>
      <c r="H1215" s="188" t="inlineStr">
        <is>
          <t>HIGH</t>
        </is>
      </c>
      <c r="I1215" s="188" t="n">
        <v>14.8</v>
      </c>
      <c r="J1215" s="188" t="inlineStr">
        <is>
          <t>NO</t>
        </is>
      </c>
      <c r="K1215" s="188" t="inlineStr">
        <is>
          <t>https://nvd.nist.gov/vuln/detail/CVE-2026-2798</t>
        </is>
      </c>
      <c r="L1215" s="188" t="inlineStr">
        <is>
          <t>2026-02-26 00:15</t>
        </is>
      </c>
      <c r="M1215" s="188" t="inlineStr">
        <is>
          <t>YES</t>
        </is>
      </c>
      <c r="N1215" s="188" t="inlineStr">
        <is>
          <t>https://www.mozilla.org/security/advisories/mfsa2026-13/ | https://www.mozilla.org/security/advisories/mfsa2026-16/</t>
        </is>
      </c>
      <c r="O1215" s="188" t="inlineStr">
        <is>
          <t>Apply vendor patches</t>
        </is>
      </c>
      <c r="P1215" s="188" t="inlineStr">
        <is>
          <t>mozilla firefox * | mozilla thunderbird *</t>
        </is>
      </c>
      <c r="Q1215" s="188" t="inlineStr">
        <is>
          <t>P3</t>
        </is>
      </c>
      <c r="R1215" s="188" t="inlineStr">
        <is>
          <t>🚨 URGENT: Apply vendor patches immediately | 🔒 Isolate affected systems if patch unavailable | 🛡️ Enable additional monitoring/IDS rules</t>
        </is>
      </c>
      <c r="S1215" s="188" t="inlineStr">
        <is>
          <t>CVE - IP enrichment n/a</t>
        </is>
      </c>
      <c r="T1215" s="188" t="n">
        <v>0</v>
      </c>
      <c r="U1215" s="188" t="n">
        <v>0</v>
      </c>
      <c r="V1215" s="188" t="inlineStr">
        <is>
          <t>T1203:Exploitation for Client Execution</t>
        </is>
      </c>
      <c r="W1215" s="188" t="n">
        <v>1</v>
      </c>
      <c r="X1215" s="188" t="inlineStr">
        <is>
          <t>LOW (40%)</t>
        </is>
      </c>
      <c r="Y1215" s="188" t="inlineStr">
        <is>
          <t>UNLIKELY</t>
        </is>
      </c>
      <c r="Z1215" s="188" t="inlineStr">
        <is>
          <t>PATCH_AVAILABLE</t>
        </is>
      </c>
      <c r="AA1215" s="188" t="inlineStr">
        <is>
          <t>https://nvd.nist.gov/vuln/detail/CVE-2026-2798</t>
        </is>
      </c>
      <c r="AB1215" s="188" t="inlineStr">
        <is>
          <t>NONE</t>
        </is>
      </c>
      <c r="AC1215" s="188" t="n">
        <v>0</v>
      </c>
      <c r="AD1215" s="188" t="inlineStr"/>
    </row>
    <row r="1216">
      <c r="A1216" s="189" t="inlineStr">
        <is>
          <t>CVE</t>
        </is>
      </c>
      <c r="B1216" s="189" t="inlineStr">
        <is>
          <t>CVE-2026-2799</t>
        </is>
      </c>
      <c r="C1216" s="189" t="inlineStr">
        <is>
          <t>Use-after-free in the DOM: Core &amp; HTML component. This vulnerability affects Firefox &lt; 148 and Thunderbird &lt; 148.</t>
        </is>
      </c>
      <c r="D1216" s="189" t="n">
        <v>9.800000000000001</v>
      </c>
      <c r="E1216" s="189" t="inlineStr">
        <is>
          <t>CRITICAL</t>
        </is>
      </c>
      <c r="F1216" s="189" t="n">
        <v>2</v>
      </c>
      <c r="G1216" s="189" t="n">
        <v>3</v>
      </c>
      <c r="H1216" s="189" t="inlineStr">
        <is>
          <t>HIGH</t>
        </is>
      </c>
      <c r="I1216" s="189" t="n">
        <v>15.8</v>
      </c>
      <c r="J1216" s="189" t="inlineStr">
        <is>
          <t>NO</t>
        </is>
      </c>
      <c r="K1216" s="189" t="inlineStr">
        <is>
          <t>https://nvd.nist.gov/vuln/detail/CVE-2026-2799</t>
        </is>
      </c>
      <c r="L1216" s="189" t="inlineStr">
        <is>
          <t>2026-02-26 00:15</t>
        </is>
      </c>
      <c r="M1216" s="189" t="inlineStr">
        <is>
          <t>YES</t>
        </is>
      </c>
      <c r="N1216" s="189" t="inlineStr">
        <is>
          <t>https://www.mozilla.org/security/advisories/mfsa2026-13/ | https://www.mozilla.org/security/advisories/mfsa2026-16/</t>
        </is>
      </c>
      <c r="O1216" s="189" t="inlineStr">
        <is>
          <t>Apply vendor patches</t>
        </is>
      </c>
      <c r="P1216" s="189" t="inlineStr">
        <is>
          <t>mozilla firefox * | mozilla thunderbird *</t>
        </is>
      </c>
      <c r="Q1216" s="189" t="inlineStr">
        <is>
          <t>P3</t>
        </is>
      </c>
      <c r="R1216" s="189" t="inlineStr">
        <is>
          <t>🚨 URGENT: Apply vendor patches immediately | 🔒 Isolate affected systems if patch unavailable | 🛡️ Enable additional monitoring/IDS rules</t>
        </is>
      </c>
      <c r="S1216" s="189" t="inlineStr">
        <is>
          <t>CVE - IP enrichment n/a</t>
        </is>
      </c>
      <c r="T1216" s="189" t="n">
        <v>0</v>
      </c>
      <c r="U1216" s="189" t="n">
        <v>0</v>
      </c>
      <c r="V1216" s="189" t="inlineStr">
        <is>
          <t>T1203:Exploitation for Client Execution</t>
        </is>
      </c>
      <c r="W1216" s="189" t="n">
        <v>1</v>
      </c>
      <c r="X1216" s="189" t="inlineStr">
        <is>
          <t>LOW (40%)</t>
        </is>
      </c>
      <c r="Y1216" s="189" t="inlineStr">
        <is>
          <t>UNLIKELY</t>
        </is>
      </c>
      <c r="Z1216" s="189" t="inlineStr">
        <is>
          <t>PATCH_AVAILABLE</t>
        </is>
      </c>
      <c r="AA1216" s="189" t="inlineStr">
        <is>
          <t>https://nvd.nist.gov/vuln/detail/CVE-2026-2799</t>
        </is>
      </c>
      <c r="AB1216" s="189" t="inlineStr">
        <is>
          <t>NONE</t>
        </is>
      </c>
      <c r="AC1216" s="189" t="n">
        <v>0</v>
      </c>
      <c r="AD1216" s="189" t="inlineStr"/>
    </row>
    <row r="1217">
      <c r="A1217" s="189" t="inlineStr">
        <is>
          <t>CVE</t>
        </is>
      </c>
      <c r="B1217" s="189" t="inlineStr">
        <is>
          <t>CVE-2026-2800</t>
        </is>
      </c>
      <c r="C1217" s="189" t="inlineStr">
        <is>
          <t>Spoofing issue in the WebAuthn component in Firefox for Android. This vulnerability affects Firefox &lt; 148 and Thunderbird &lt; 148.</t>
        </is>
      </c>
      <c r="D1217" s="189" t="n">
        <v>9.800000000000001</v>
      </c>
      <c r="E1217" s="189" t="inlineStr">
        <is>
          <t>CRITICAL</t>
        </is>
      </c>
      <c r="F1217" s="189" t="n">
        <v>2</v>
      </c>
      <c r="G1217" s="189" t="n">
        <v>3</v>
      </c>
      <c r="H1217" s="189" t="inlineStr">
        <is>
          <t>HIGH</t>
        </is>
      </c>
      <c r="I1217" s="189" t="n">
        <v>15.8</v>
      </c>
      <c r="J1217" s="189" t="inlineStr">
        <is>
          <t>NO</t>
        </is>
      </c>
      <c r="K1217" s="189" t="inlineStr">
        <is>
          <t>https://nvd.nist.gov/vuln/detail/CVE-2026-2800</t>
        </is>
      </c>
      <c r="L1217" s="189" t="inlineStr">
        <is>
          <t>2026-02-26 00:15</t>
        </is>
      </c>
      <c r="M1217" s="189" t="inlineStr">
        <is>
          <t>YES</t>
        </is>
      </c>
      <c r="N1217" s="189" t="inlineStr">
        <is>
          <t>https://www.mozilla.org/security/advisories/mfsa2026-13/ | https://www.mozilla.org/security/advisories/mfsa2026-16/</t>
        </is>
      </c>
      <c r="O1217" s="189" t="inlineStr">
        <is>
          <t>Apply vendor patches</t>
        </is>
      </c>
      <c r="P1217" s="189" t="inlineStr">
        <is>
          <t>mozilla firefox * | mozilla thunderbird *</t>
        </is>
      </c>
      <c r="Q1217" s="189" t="inlineStr">
        <is>
          <t>P3</t>
        </is>
      </c>
      <c r="R1217" s="189" t="inlineStr">
        <is>
          <t>🚨 URGENT: Apply vendor patches immediately | 🔒 Isolate affected systems if patch unavailable | 🛡️ Enable additional monitoring/IDS rules</t>
        </is>
      </c>
      <c r="S1217" s="189" t="inlineStr">
        <is>
          <t>CVE - IP enrichment n/a</t>
        </is>
      </c>
      <c r="T1217" s="189" t="n">
        <v>0</v>
      </c>
      <c r="U1217" s="189" t="n">
        <v>0</v>
      </c>
      <c r="V1217" s="189" t="inlineStr">
        <is>
          <t>T1190:Exploit Public-Facing Application</t>
        </is>
      </c>
      <c r="W1217" s="189" t="n">
        <v>1</v>
      </c>
      <c r="X1217" s="189" t="inlineStr">
        <is>
          <t>LOW (40%)</t>
        </is>
      </c>
      <c r="Y1217" s="189" t="inlineStr">
        <is>
          <t>UNLIKELY</t>
        </is>
      </c>
      <c r="Z1217" s="189" t="inlineStr">
        <is>
          <t>PATCH_AVAILABLE</t>
        </is>
      </c>
      <c r="AA1217" s="189" t="inlineStr">
        <is>
          <t>https://nvd.nist.gov/vuln/detail/CVE-2026-2800</t>
        </is>
      </c>
      <c r="AB1217" s="189" t="inlineStr">
        <is>
          <t>NONE</t>
        </is>
      </c>
      <c r="AC1217" s="189" t="n">
        <v>0</v>
      </c>
      <c r="AD1217" s="189" t="inlineStr"/>
    </row>
    <row r="1218">
      <c r="A1218" s="188" t="inlineStr">
        <is>
          <t>CVE</t>
        </is>
      </c>
      <c r="B1218" s="188" t="inlineStr">
        <is>
          <t>CVE-2026-2801</t>
        </is>
      </c>
      <c r="C1218" s="188" t="inlineStr">
        <is>
          <t>Incorrect boundary conditions in the JavaScript: WebAssembly component. This vulnerability affects Firefox &lt; 148 and Thunderbird &lt; 148.</t>
        </is>
      </c>
      <c r="D1218" s="188" t="n">
        <v>7.5</v>
      </c>
      <c r="E1218" s="188" t="inlineStr">
        <is>
          <t>HIGH</t>
        </is>
      </c>
      <c r="F1218" s="188" t="n">
        <v>2</v>
      </c>
      <c r="G1218" s="188" t="n">
        <v>3</v>
      </c>
      <c r="H1218" s="188" t="inlineStr">
        <is>
          <t>HIGH</t>
        </is>
      </c>
      <c r="I1218" s="188" t="n">
        <v>13.5</v>
      </c>
      <c r="J1218" s="188" t="inlineStr">
        <is>
          <t>NO</t>
        </is>
      </c>
      <c r="K1218" s="188" t="inlineStr">
        <is>
          <t>https://nvd.nist.gov/vuln/detail/CVE-2026-2801</t>
        </is>
      </c>
      <c r="L1218" s="188" t="inlineStr">
        <is>
          <t>2026-02-26 00:15</t>
        </is>
      </c>
      <c r="M1218" s="188" t="inlineStr">
        <is>
          <t>YES</t>
        </is>
      </c>
      <c r="N1218" s="188" t="inlineStr">
        <is>
          <t>https://www.mozilla.org/security/advisories/mfsa2026-13/ | https://www.mozilla.org/security/advisories/mfsa2026-16/</t>
        </is>
      </c>
      <c r="O1218" s="188" t="inlineStr">
        <is>
          <t>Apply vendor patches</t>
        </is>
      </c>
      <c r="P1218" s="188" t="inlineStr">
        <is>
          <t>mozilla firefox * | mozilla thunderbird *</t>
        </is>
      </c>
      <c r="Q1218" s="188" t="inlineStr">
        <is>
          <t>P3</t>
        </is>
      </c>
      <c r="R1218" s="188" t="inlineStr">
        <is>
          <t>🚨 URGENT: Apply vendor patches immediately | 🔒 Isolate affected systems if patch unavailable | 🛡️ Enable additional monitoring/IDS rules</t>
        </is>
      </c>
      <c r="S1218" s="188" t="inlineStr">
        <is>
          <t>CVE - IP enrichment n/a</t>
        </is>
      </c>
      <c r="T1218" s="188" t="n">
        <v>0.0002</v>
      </c>
      <c r="U1218" s="188" t="n">
        <v>0.0365</v>
      </c>
      <c r="V1218" s="188" t="inlineStr">
        <is>
          <t>T1190:Exploit Public-Facing Application</t>
        </is>
      </c>
      <c r="W1218" s="188" t="n">
        <v>1</v>
      </c>
      <c r="X1218" s="188" t="inlineStr">
        <is>
          <t>LOW (40%)</t>
        </is>
      </c>
      <c r="Y1218" s="188" t="inlineStr">
        <is>
          <t>UNLIKELY</t>
        </is>
      </c>
      <c r="Z1218" s="188" t="inlineStr">
        <is>
          <t>PATCH_AVAILABLE</t>
        </is>
      </c>
      <c r="AA1218" s="188" t="inlineStr">
        <is>
          <t>https://nvd.nist.gov/vuln/detail/CVE-2026-2801</t>
        </is>
      </c>
      <c r="AB1218" s="188" t="inlineStr">
        <is>
          <t>NONE</t>
        </is>
      </c>
      <c r="AC1218" s="188" t="n">
        <v>0</v>
      </c>
      <c r="AD1218" s="188" t="inlineStr"/>
    </row>
    <row r="1219">
      <c r="A1219" s="187" t="inlineStr">
        <is>
          <t>CVE</t>
        </is>
      </c>
      <c r="B1219" s="187" t="inlineStr">
        <is>
          <t>CVE-2026-2802</t>
        </is>
      </c>
      <c r="C1219" s="187" t="inlineStr">
        <is>
          <t>Race condition in the JavaScript: GC component. This vulnerability affects Firefox &lt; 148 and Thunderbird &lt; 148.</t>
        </is>
      </c>
      <c r="D1219" s="187" t="n">
        <v>4.2</v>
      </c>
      <c r="E1219" s="187" t="inlineStr">
        <is>
          <t>MEDIUM</t>
        </is>
      </c>
      <c r="F1219" s="187" t="n">
        <v>2</v>
      </c>
      <c r="G1219" s="187" t="n">
        <v>2</v>
      </c>
      <c r="H1219" s="187" t="inlineStr">
        <is>
          <t>MEDIUM</t>
        </is>
      </c>
      <c r="I1219" s="187" t="n">
        <v>8.199999999999999</v>
      </c>
      <c r="J1219" s="187" t="inlineStr">
        <is>
          <t>NO</t>
        </is>
      </c>
      <c r="K1219" s="187" t="inlineStr">
        <is>
          <t>https://nvd.nist.gov/vuln/detail/CVE-2026-2802</t>
        </is>
      </c>
      <c r="L1219" s="187" t="inlineStr">
        <is>
          <t>2026-02-26 00:15</t>
        </is>
      </c>
      <c r="M1219" s="187" t="inlineStr">
        <is>
          <t>YES</t>
        </is>
      </c>
      <c r="N1219" s="187" t="inlineStr">
        <is>
          <t>https://www.mozilla.org/security/advisories/mfsa2026-13/ | https://www.mozilla.org/security/advisories/mfsa2026-16/</t>
        </is>
      </c>
      <c r="O1219" s="187" t="inlineStr">
        <is>
          <t>Apply vendor patches</t>
        </is>
      </c>
      <c r="P1219" s="187" t="inlineStr">
        <is>
          <t>mozilla firefox * | mozilla thunderbird *</t>
        </is>
      </c>
      <c r="Q1219" s="187" t="inlineStr">
        <is>
          <t>P4</t>
        </is>
      </c>
      <c r="R1219" s="187" t="inlineStr">
        <is>
          <t>📅 Schedule patch deployment within 30 days | 🔍 Monitor for exploitation attempts</t>
        </is>
      </c>
      <c r="S1219" s="187" t="inlineStr">
        <is>
          <t>CVE - IP enrichment n/a</t>
        </is>
      </c>
      <c r="T1219" s="187" t="n">
        <v>0</v>
      </c>
      <c r="U1219" s="187" t="n">
        <v>0</v>
      </c>
      <c r="V1219" s="187" t="inlineStr">
        <is>
          <t>T1068:Exploitation for Privilege Escalation</t>
        </is>
      </c>
      <c r="W1219" s="187" t="n">
        <v>1</v>
      </c>
      <c r="X1219" s="187" t="inlineStr">
        <is>
          <t>LOW (40%)</t>
        </is>
      </c>
      <c r="Y1219" s="187" t="inlineStr">
        <is>
          <t>UNLIKELY</t>
        </is>
      </c>
      <c r="Z1219" s="187" t="inlineStr">
        <is>
          <t>PATCH_AVAILABLE</t>
        </is>
      </c>
      <c r="AA1219" s="187" t="inlineStr">
        <is>
          <t>https://nvd.nist.gov/vuln/detail/CVE-2026-2802</t>
        </is>
      </c>
      <c r="AB1219" s="187" t="inlineStr">
        <is>
          <t>NONE</t>
        </is>
      </c>
      <c r="AC1219" s="187" t="n">
        <v>0</v>
      </c>
      <c r="AD1219" s="187" t="inlineStr"/>
    </row>
    <row r="1220">
      <c r="A1220" s="188" t="inlineStr">
        <is>
          <t>CVE</t>
        </is>
      </c>
      <c r="B1220" s="188" t="inlineStr">
        <is>
          <t>CVE-2026-2803</t>
        </is>
      </c>
      <c r="C1220" s="188" t="inlineStr">
        <is>
          <t>Information disclosure, mitigation bypass in the Settings UI component. This vulnerability affects Firefox &lt; 148 and Thunderbird &lt; 148.</t>
        </is>
      </c>
      <c r="D1220" s="188" t="n">
        <v>7.5</v>
      </c>
      <c r="E1220" s="188" t="inlineStr">
        <is>
          <t>HIGH</t>
        </is>
      </c>
      <c r="F1220" s="188" t="n">
        <v>2</v>
      </c>
      <c r="G1220" s="188" t="n">
        <v>3</v>
      </c>
      <c r="H1220" s="188" t="inlineStr">
        <is>
          <t>HIGH</t>
        </is>
      </c>
      <c r="I1220" s="188" t="n">
        <v>13.5</v>
      </c>
      <c r="J1220" s="188" t="inlineStr">
        <is>
          <t>NO</t>
        </is>
      </c>
      <c r="K1220" s="188" t="inlineStr">
        <is>
          <t>https://nvd.nist.gov/vuln/detail/CVE-2026-2803</t>
        </is>
      </c>
      <c r="L1220" s="188" t="inlineStr">
        <is>
          <t>2026-02-26 00:15</t>
        </is>
      </c>
      <c r="M1220" s="188" t="inlineStr">
        <is>
          <t>YES</t>
        </is>
      </c>
      <c r="N1220" s="188" t="inlineStr">
        <is>
          <t>https://www.mozilla.org/security/advisories/mfsa2026-13/ | https://www.mozilla.org/security/advisories/mfsa2026-16/</t>
        </is>
      </c>
      <c r="O1220" s="188" t="inlineStr">
        <is>
          <t>Apply vendor patches</t>
        </is>
      </c>
      <c r="P1220" s="188" t="inlineStr">
        <is>
          <t>mozilla firefox * | mozilla thunderbird *</t>
        </is>
      </c>
      <c r="Q1220" s="188" t="inlineStr">
        <is>
          <t>P3</t>
        </is>
      </c>
      <c r="R1220" s="188" t="inlineStr">
        <is>
          <t>🚨 URGENT: Apply vendor patches immediately | 🔒 Isolate affected systems if patch unavailable | 🛡️ Enable additional monitoring/IDS rules</t>
        </is>
      </c>
      <c r="S1220" s="188" t="inlineStr">
        <is>
          <t>CVE - IP enrichment n/a</t>
        </is>
      </c>
      <c r="T1220" s="188" t="n">
        <v>0.0002</v>
      </c>
      <c r="U1220" s="188" t="n">
        <v>0.0365</v>
      </c>
      <c r="V1220" s="188" t="inlineStr">
        <is>
          <t>T1213:Data from Information Repositories</t>
        </is>
      </c>
      <c r="W1220" s="188" t="n">
        <v>1</v>
      </c>
      <c r="X1220" s="188" t="inlineStr">
        <is>
          <t>LOW (40%)</t>
        </is>
      </c>
      <c r="Y1220" s="188" t="inlineStr">
        <is>
          <t>UNLIKELY</t>
        </is>
      </c>
      <c r="Z1220" s="188" t="inlineStr">
        <is>
          <t>PATCH_AVAILABLE</t>
        </is>
      </c>
      <c r="AA1220" s="188" t="inlineStr">
        <is>
          <t>https://nvd.nist.gov/vuln/detail/CVE-2026-2803</t>
        </is>
      </c>
      <c r="AB1220" s="188" t="inlineStr">
        <is>
          <t>NONE</t>
        </is>
      </c>
      <c r="AC1220" s="188" t="n">
        <v>0</v>
      </c>
      <c r="AD1220" s="188" t="inlineStr"/>
    </row>
    <row r="1221">
      <c r="A1221" s="187" t="inlineStr">
        <is>
          <t>CVE</t>
        </is>
      </c>
      <c r="B1221" s="187" t="inlineStr">
        <is>
          <t>CVE-2026-2804</t>
        </is>
      </c>
      <c r="C1221" s="187" t="inlineStr">
        <is>
          <t>Use-after-free in the JavaScript: WebAssembly component. This vulnerability affects Firefox &lt; 148 and Thunderbird &lt; 148.</t>
        </is>
      </c>
      <c r="D1221" s="187" t="n">
        <v>5.4</v>
      </c>
      <c r="E1221" s="187" t="inlineStr">
        <is>
          <t>MEDIUM</t>
        </is>
      </c>
      <c r="F1221" s="187" t="n">
        <v>2</v>
      </c>
      <c r="G1221" s="187" t="n">
        <v>2</v>
      </c>
      <c r="H1221" s="187" t="inlineStr">
        <is>
          <t>MEDIUM</t>
        </is>
      </c>
      <c r="I1221" s="187" t="n">
        <v>9.4</v>
      </c>
      <c r="J1221" s="187" t="inlineStr">
        <is>
          <t>NO</t>
        </is>
      </c>
      <c r="K1221" s="187" t="inlineStr">
        <is>
          <t>https://nvd.nist.gov/vuln/detail/CVE-2026-2804</t>
        </is>
      </c>
      <c r="L1221" s="187" t="inlineStr">
        <is>
          <t>2026-02-26 00:15</t>
        </is>
      </c>
      <c r="M1221" s="187" t="inlineStr">
        <is>
          <t>YES</t>
        </is>
      </c>
      <c r="N1221" s="187" t="inlineStr">
        <is>
          <t>https://www.mozilla.org/security/advisories/mfsa2026-13/ | https://www.mozilla.org/security/advisories/mfsa2026-16/</t>
        </is>
      </c>
      <c r="O1221" s="187" t="inlineStr">
        <is>
          <t>Apply vendor patches</t>
        </is>
      </c>
      <c r="P1221" s="187" t="inlineStr">
        <is>
          <t>mozilla firefox * | mozilla thunderbird *</t>
        </is>
      </c>
      <c r="Q1221" s="187" t="inlineStr">
        <is>
          <t>P4</t>
        </is>
      </c>
      <c r="R1221" s="187" t="inlineStr">
        <is>
          <t>📅 Schedule patch deployment within 30 days | 🔍 Monitor for exploitation attempts</t>
        </is>
      </c>
      <c r="S1221" s="187" t="inlineStr">
        <is>
          <t>CVE - IP enrichment n/a</t>
        </is>
      </c>
      <c r="T1221" s="187" t="n">
        <v>0</v>
      </c>
      <c r="U1221" s="187" t="n">
        <v>0</v>
      </c>
      <c r="V1221" s="187" t="inlineStr">
        <is>
          <t>T1203:Exploitation for Client Execution</t>
        </is>
      </c>
      <c r="W1221" s="187" t="n">
        <v>1</v>
      </c>
      <c r="X1221" s="187" t="inlineStr">
        <is>
          <t>LOW (40%)</t>
        </is>
      </c>
      <c r="Y1221" s="187" t="inlineStr">
        <is>
          <t>UNLIKELY</t>
        </is>
      </c>
      <c r="Z1221" s="187" t="inlineStr">
        <is>
          <t>PATCH_AVAILABLE</t>
        </is>
      </c>
      <c r="AA1221" s="187" t="inlineStr">
        <is>
          <t>https://nvd.nist.gov/vuln/detail/CVE-2026-2804</t>
        </is>
      </c>
      <c r="AB1221" s="187" t="inlineStr">
        <is>
          <t>NONE</t>
        </is>
      </c>
      <c r="AC1221" s="187" t="n">
        <v>0</v>
      </c>
      <c r="AD1221" s="187" t="inlineStr"/>
    </row>
    <row r="1222">
      <c r="A1222" s="189" t="inlineStr">
        <is>
          <t>CVE</t>
        </is>
      </c>
      <c r="B1222" s="189" t="inlineStr">
        <is>
          <t>CVE-2026-2805</t>
        </is>
      </c>
      <c r="C1222" s="189" t="inlineStr">
        <is>
          <t>Invalid pointer in the DOM: Core &amp; HTML component. This vulnerability affects Firefox &lt; 148 and Thunderbird &lt; 148.</t>
        </is>
      </c>
      <c r="D1222" s="189" t="n">
        <v>9.800000000000001</v>
      </c>
      <c r="E1222" s="189" t="inlineStr">
        <is>
          <t>CRITICAL</t>
        </is>
      </c>
      <c r="F1222" s="189" t="n">
        <v>2</v>
      </c>
      <c r="G1222" s="189" t="n">
        <v>3</v>
      </c>
      <c r="H1222" s="189" t="inlineStr">
        <is>
          <t>HIGH</t>
        </is>
      </c>
      <c r="I1222" s="189" t="n">
        <v>15.8</v>
      </c>
      <c r="J1222" s="189" t="inlineStr">
        <is>
          <t>NO</t>
        </is>
      </c>
      <c r="K1222" s="189" t="inlineStr">
        <is>
          <t>https://nvd.nist.gov/vuln/detail/CVE-2026-2805</t>
        </is>
      </c>
      <c r="L1222" s="189" t="inlineStr">
        <is>
          <t>2026-02-26 00:15</t>
        </is>
      </c>
      <c r="M1222" s="189" t="inlineStr">
        <is>
          <t>YES</t>
        </is>
      </c>
      <c r="N1222" s="189" t="inlineStr">
        <is>
          <t>https://www.mozilla.org/security/advisories/mfsa2026-13/ | https://www.mozilla.org/security/advisories/mfsa2026-16/</t>
        </is>
      </c>
      <c r="O1222" s="189" t="inlineStr">
        <is>
          <t>Apply vendor patches</t>
        </is>
      </c>
      <c r="P1222" s="189" t="inlineStr">
        <is>
          <t>mozilla firefox * | mozilla thunderbird *</t>
        </is>
      </c>
      <c r="Q1222" s="189" t="inlineStr">
        <is>
          <t>P3</t>
        </is>
      </c>
      <c r="R1222" s="189" t="inlineStr">
        <is>
          <t>🚨 URGENT: Apply vendor patches immediately | 🔒 Isolate affected systems if patch unavailable | 🛡️ Enable additional monitoring/IDS rules</t>
        </is>
      </c>
      <c r="S1222" s="189" t="inlineStr">
        <is>
          <t>CVE - IP enrichment n/a</t>
        </is>
      </c>
      <c r="T1222" s="189" t="n">
        <v>0.0002</v>
      </c>
      <c r="U1222" s="189" t="n">
        <v>0.0365</v>
      </c>
      <c r="V1222" s="189" t="inlineStr">
        <is>
          <t>T1190:Exploit Public-Facing Application</t>
        </is>
      </c>
      <c r="W1222" s="189" t="n">
        <v>1</v>
      </c>
      <c r="X1222" s="189" t="inlineStr">
        <is>
          <t>LOW (40%)</t>
        </is>
      </c>
      <c r="Y1222" s="189" t="inlineStr">
        <is>
          <t>UNLIKELY</t>
        </is>
      </c>
      <c r="Z1222" s="189" t="inlineStr">
        <is>
          <t>PATCH_AVAILABLE</t>
        </is>
      </c>
      <c r="AA1222" s="189" t="inlineStr">
        <is>
          <t>https://nvd.nist.gov/vuln/detail/CVE-2026-2805</t>
        </is>
      </c>
      <c r="AB1222" s="189" t="inlineStr">
        <is>
          <t>NONE</t>
        </is>
      </c>
      <c r="AC1222" s="189" t="n">
        <v>0</v>
      </c>
      <c r="AD1222" s="189" t="inlineStr"/>
    </row>
    <row r="1223">
      <c r="A1223" s="189" t="inlineStr">
        <is>
          <t>CVE</t>
        </is>
      </c>
      <c r="B1223" s="189" t="inlineStr">
        <is>
          <t>CVE-2026-2806</t>
        </is>
      </c>
      <c r="C1223" s="189" t="inlineStr">
        <is>
          <t>Uninitialized memory in the Graphics: Text component. This vulnerability affects Firefox &lt; 148 and Thunderbird &lt; 148.</t>
        </is>
      </c>
      <c r="D1223" s="189" t="n">
        <v>9.1</v>
      </c>
      <c r="E1223" s="189" t="inlineStr">
        <is>
          <t>CRITICAL</t>
        </is>
      </c>
      <c r="F1223" s="189" t="n">
        <v>2</v>
      </c>
      <c r="G1223" s="189" t="n">
        <v>3</v>
      </c>
      <c r="H1223" s="189" t="inlineStr">
        <is>
          <t>HIGH</t>
        </is>
      </c>
      <c r="I1223" s="189" t="n">
        <v>15.1</v>
      </c>
      <c r="J1223" s="189" t="inlineStr">
        <is>
          <t>NO</t>
        </is>
      </c>
      <c r="K1223" s="189" t="inlineStr">
        <is>
          <t>https://nvd.nist.gov/vuln/detail/CVE-2026-2806</t>
        </is>
      </c>
      <c r="L1223" s="189" t="inlineStr">
        <is>
          <t>2026-02-26 00:15</t>
        </is>
      </c>
      <c r="M1223" s="189" t="inlineStr">
        <is>
          <t>YES</t>
        </is>
      </c>
      <c r="N1223" s="189" t="inlineStr">
        <is>
          <t>https://www.mozilla.org/security/advisories/mfsa2026-13/ | https://www.mozilla.org/security/advisories/mfsa2026-16/</t>
        </is>
      </c>
      <c r="O1223" s="189" t="inlineStr">
        <is>
          <t>Apply vendor patches</t>
        </is>
      </c>
      <c r="P1223" s="189" t="inlineStr">
        <is>
          <t>mozilla firefox * | mozilla thunderbird *</t>
        </is>
      </c>
      <c r="Q1223" s="189" t="inlineStr">
        <is>
          <t>P3</t>
        </is>
      </c>
      <c r="R1223" s="189" t="inlineStr">
        <is>
          <t>🚨 URGENT: Apply vendor patches immediately | 🔒 Isolate affected systems if patch unavailable | 🛡️ Enable additional monitoring/IDS rules</t>
        </is>
      </c>
      <c r="S1223" s="189" t="inlineStr">
        <is>
          <t>CVE - IP enrichment n/a</t>
        </is>
      </c>
      <c r="T1223" s="189" t="n">
        <v>0.0002</v>
      </c>
      <c r="U1223" s="189" t="n">
        <v>0.0365</v>
      </c>
      <c r="V1223" s="189" t="inlineStr">
        <is>
          <t>T1190:Exploit Public-Facing Application</t>
        </is>
      </c>
      <c r="W1223" s="189" t="n">
        <v>1</v>
      </c>
      <c r="X1223" s="189" t="inlineStr">
        <is>
          <t>LOW (40%)</t>
        </is>
      </c>
      <c r="Y1223" s="189" t="inlineStr">
        <is>
          <t>UNLIKELY</t>
        </is>
      </c>
      <c r="Z1223" s="189" t="inlineStr">
        <is>
          <t>PATCH_AVAILABLE</t>
        </is>
      </c>
      <c r="AA1223" s="189" t="inlineStr">
        <is>
          <t>https://nvd.nist.gov/vuln/detail/CVE-2026-2806</t>
        </is>
      </c>
      <c r="AB1223" s="189" t="inlineStr">
        <is>
          <t>NONE</t>
        </is>
      </c>
      <c r="AC1223" s="189" t="n">
        <v>0</v>
      </c>
      <c r="AD1223" s="189" t="inlineStr"/>
    </row>
    <row r="1224">
      <c r="A1224" s="189" t="inlineStr">
        <is>
          <t>CVE</t>
        </is>
      </c>
      <c r="B1224" s="189" t="inlineStr">
        <is>
          <t>CVE-2026-2807</t>
        </is>
      </c>
      <c r="C1224" s="189" t="inlineStr">
        <is>
          <t>Memory safety bugs present in Firefox 147 and Thunderbird 147. Some of these bugs showed evidence of memory corruption and we presume that with enough effort some of these could have been exploited to run arbitrary code. This vulnerability affects Firefox &lt; 148 and Thunderbird &lt; 148.</t>
        </is>
      </c>
      <c r="D1224" s="189" t="n">
        <v>9.800000000000001</v>
      </c>
      <c r="E1224" s="189" t="inlineStr">
        <is>
          <t>CRITICAL</t>
        </is>
      </c>
      <c r="F1224" s="189" t="n">
        <v>2</v>
      </c>
      <c r="G1224" s="189" t="n">
        <v>3</v>
      </c>
      <c r="H1224" s="189" t="inlineStr">
        <is>
          <t>HIGH</t>
        </is>
      </c>
      <c r="I1224" s="189" t="n">
        <v>15.8</v>
      </c>
      <c r="J1224" s="189" t="inlineStr">
        <is>
          <t>NO</t>
        </is>
      </c>
      <c r="K1224" s="189" t="inlineStr">
        <is>
          <t>https://nvd.nist.gov/vuln/detail/CVE-2026-2807</t>
        </is>
      </c>
      <c r="L1224" s="189" t="inlineStr">
        <is>
          <t>2026-02-26 00:15</t>
        </is>
      </c>
      <c r="M1224" s="189" t="inlineStr">
        <is>
          <t>YES</t>
        </is>
      </c>
      <c r="N1224" s="189" t="inlineStr">
        <is>
          <t>https://www.mozilla.org/security/advisories/mfsa2026-13/ | https://www.mozilla.org/security/advisories/mfsa2026-16/</t>
        </is>
      </c>
      <c r="O1224" s="189" t="inlineStr">
        <is>
          <t>Apply vendor patches</t>
        </is>
      </c>
      <c r="P1224" s="189" t="inlineStr">
        <is>
          <t>mozilla firefox * | mozilla thunderbird *</t>
        </is>
      </c>
      <c r="Q1224" s="189" t="inlineStr">
        <is>
          <t>P3</t>
        </is>
      </c>
      <c r="R1224" s="189" t="inlineStr">
        <is>
          <t>🚨 URGENT: Apply vendor patches immediately | 🔒 Isolate affected systems if patch unavailable | 🛡️ Enable additional monitoring/IDS rules</t>
        </is>
      </c>
      <c r="S1224" s="189" t="inlineStr">
        <is>
          <t>CVE - IP enrichment n/a</t>
        </is>
      </c>
      <c r="T1224" s="189" t="n">
        <v>0.0002</v>
      </c>
      <c r="U1224" s="189" t="n">
        <v>0.0365</v>
      </c>
      <c r="V1224" s="189" t="inlineStr">
        <is>
          <t>T1203:Exploitation for Client Execution</t>
        </is>
      </c>
      <c r="W1224" s="189" t="n">
        <v>1</v>
      </c>
      <c r="X1224" s="189" t="inlineStr">
        <is>
          <t>LOW (40%)</t>
        </is>
      </c>
      <c r="Y1224" s="189" t="inlineStr">
        <is>
          <t>UNLIKELY</t>
        </is>
      </c>
      <c r="Z1224" s="189" t="inlineStr">
        <is>
          <t>PATCH_AVAILABLE</t>
        </is>
      </c>
      <c r="AA1224" s="189" t="inlineStr">
        <is>
          <t>https://nvd.nist.gov/vuln/detail/CVE-2026-2807</t>
        </is>
      </c>
      <c r="AB1224" s="189" t="inlineStr">
        <is>
          <t>NONE</t>
        </is>
      </c>
      <c r="AC1224" s="189" t="n">
        <v>0</v>
      </c>
      <c r="AD1224" s="189" t="inlineStr"/>
    </row>
    <row r="1225">
      <c r="A1225" s="187" t="inlineStr">
        <is>
          <t>CVE</t>
        </is>
      </c>
      <c r="B1225" s="187" t="inlineStr">
        <is>
          <t>CVE-2025-10010</t>
        </is>
      </c>
      <c r="C1225" s="187" t="inlineStr">
        <is>
          <t>The CPSD CryptoPro Secure Disk application boots a small Linux operating system to perform user authentication before using BitLocker to decrypt the Windows partition. The system is located on a separate unencrypted partition which can be reached by anyone with access to the hard disk.
Multiple checks are performed to validate the integrity of the Linux operating system and the CryptoPro Secure Disk application files. When files are changed an error is shown on system start. One of the checks i</t>
        </is>
      </c>
      <c r="D1225" s="187" t="n">
        <v>6.8</v>
      </c>
      <c r="E1225" s="187" t="inlineStr">
        <is>
          <t>MEDIUM</t>
        </is>
      </c>
      <c r="F1225" s="187" t="n">
        <v>2</v>
      </c>
      <c r="G1225" s="187" t="n">
        <v>2</v>
      </c>
      <c r="H1225" s="187" t="inlineStr">
        <is>
          <t>MEDIUM</t>
        </is>
      </c>
      <c r="I1225" s="187" t="n">
        <v>10.8</v>
      </c>
      <c r="J1225" s="187" t="inlineStr">
        <is>
          <t>NO</t>
        </is>
      </c>
      <c r="K1225" s="187" t="inlineStr">
        <is>
          <t>https://nvd.nist.gov/vuln/detail/CVE-2025-10010</t>
        </is>
      </c>
      <c r="L1225" s="187" t="inlineStr">
        <is>
          <t>2026-02-26 00:15</t>
        </is>
      </c>
      <c r="M1225" s="187" t="inlineStr">
        <is>
          <t>CHECK_VENDOR</t>
        </is>
      </c>
      <c r="N1225" s="187" t="inlineStr">
        <is>
          <t>See NVD references</t>
        </is>
      </c>
      <c r="O1225" s="187" t="inlineStr">
        <is>
          <t>Apply vendor patches</t>
        </is>
      </c>
      <c r="P1225" s="187" t="inlineStr">
        <is>
          <t>See CVE details</t>
        </is>
      </c>
      <c r="Q1225" s="187" t="inlineStr">
        <is>
          <t>P4</t>
        </is>
      </c>
      <c r="R1225" s="187" t="inlineStr">
        <is>
          <t>📅 Schedule patch deployment within 30 days | 🔍 Monitor for exploitation attempts</t>
        </is>
      </c>
      <c r="S1225" s="187" t="inlineStr">
        <is>
          <t>CVE - IP enrichment n/a</t>
        </is>
      </c>
      <c r="T1225" s="187" t="n">
        <v>0</v>
      </c>
      <c r="U1225" s="187" t="n">
        <v>0</v>
      </c>
      <c r="V1225" s="187" t="inlineStr">
        <is>
          <t>T1543:Create or Modify System Process | T1203:Exploitation for Client Execution</t>
        </is>
      </c>
      <c r="W1225" s="187" t="n">
        <v>1</v>
      </c>
      <c r="X1225" s="187" t="inlineStr">
        <is>
          <t>LOW (40%)</t>
        </is>
      </c>
      <c r="Y1225" s="187" t="inlineStr">
        <is>
          <t>UNLIKELY</t>
        </is>
      </c>
      <c r="Z1225" s="187" t="inlineStr">
        <is>
          <t>CHECK_VENDOR</t>
        </is>
      </c>
      <c r="AA1225" s="187" t="inlineStr">
        <is>
          <t>https://nvd.nist.gov/vuln/detail/CVE-2025-10010</t>
        </is>
      </c>
      <c r="AB1225" s="187" t="inlineStr">
        <is>
          <t>NONE</t>
        </is>
      </c>
      <c r="AC1225" s="187" t="n">
        <v>0</v>
      </c>
      <c r="AD1225" s="187" t="inlineStr"/>
    </row>
    <row r="1226">
      <c r="A1226" s="188" t="inlineStr">
        <is>
          <t>CVE</t>
        </is>
      </c>
      <c r="B1226" s="188" t="inlineStr">
        <is>
          <t>CVE-2025-67445</t>
        </is>
      </c>
      <c r="C1226" s="188" t="inlineStr">
        <is>
          <t>TOTOLINK X5000R V9.1.0cu.2415_B20250515 contains a denial-of-service vulnerability in /cgi-bin/cstecgi.cgi. The CGI reads the CONTENT_LENGTH environment variable and allocates memory using malloc (CONTENT_LENGTH + 1) without sufficient bounds checking. When lighttpd s request size limit is not enforced, a crafted large POST request can cause memory exhaustion or a segmentation fault, leading to a crash of the management CGI and loss of availability of the web interface.</t>
        </is>
      </c>
      <c r="D1226" s="188" t="n">
        <v>7.5</v>
      </c>
      <c r="E1226" s="188" t="inlineStr">
        <is>
          <t>HIGH</t>
        </is>
      </c>
      <c r="F1226" s="188" t="n">
        <v>2</v>
      </c>
      <c r="G1226" s="188" t="n">
        <v>3</v>
      </c>
      <c r="H1226" s="188" t="inlineStr">
        <is>
          <t>HIGH</t>
        </is>
      </c>
      <c r="I1226" s="188" t="n">
        <v>13.5</v>
      </c>
      <c r="J1226" s="188" t="inlineStr">
        <is>
          <t>NO</t>
        </is>
      </c>
      <c r="K1226" s="188" t="inlineStr">
        <is>
          <t>https://nvd.nist.gov/vuln/detail/CVE-2025-67445</t>
        </is>
      </c>
      <c r="L1226" s="188" t="inlineStr">
        <is>
          <t>2026-02-26 00:15</t>
        </is>
      </c>
      <c r="M1226" s="188" t="inlineStr">
        <is>
          <t>CHECK_VENDOR</t>
        </is>
      </c>
      <c r="N1226" s="188" t="inlineStr">
        <is>
          <t>See NVD references</t>
        </is>
      </c>
      <c r="O1226" s="188" t="inlineStr">
        <is>
          <t>Apply vendor patches</t>
        </is>
      </c>
      <c r="P1226" s="188" t="inlineStr">
        <is>
          <t>totolink x5000r_firmware 9.1.0cu.2415_b20250515 | totolink x5000r -</t>
        </is>
      </c>
      <c r="Q1226" s="188" t="inlineStr">
        <is>
          <t>P3</t>
        </is>
      </c>
      <c r="R1226" s="188" t="inlineStr">
        <is>
          <t>🚨 URGENT: Apply vendor patches immediately | 🔒 Isolate affected systems if patch unavailable | 🛡️ Enable additional monitoring/IDS rules</t>
        </is>
      </c>
      <c r="S1226" s="188" t="inlineStr">
        <is>
          <t>CVE - IP enrichment n/a</t>
        </is>
      </c>
      <c r="T1226" s="188" t="n">
        <v>0</v>
      </c>
      <c r="U1226" s="188" t="n">
        <v>0</v>
      </c>
      <c r="V1226" s="188" t="inlineStr">
        <is>
          <t>T1190:Exploit Public-Facing Application</t>
        </is>
      </c>
      <c r="W1226" s="188" t="n">
        <v>1</v>
      </c>
      <c r="X1226" s="188" t="inlineStr">
        <is>
          <t>LOW (40%)</t>
        </is>
      </c>
      <c r="Y1226" s="188" t="inlineStr">
        <is>
          <t>UNLIKELY</t>
        </is>
      </c>
      <c r="Z1226" s="188" t="inlineStr">
        <is>
          <t>CHECK_VENDOR</t>
        </is>
      </c>
      <c r="AA1226" s="188" t="inlineStr">
        <is>
          <t>https://nvd.nist.gov/vuln/detail/CVE-2025-67445</t>
        </is>
      </c>
      <c r="AB1226" s="188" t="inlineStr">
        <is>
          <t>NONE</t>
        </is>
      </c>
      <c r="AC1226" s="188" t="n">
        <v>0</v>
      </c>
      <c r="AD1226" s="188" t="inlineStr"/>
    </row>
    <row r="1227">
      <c r="A1227" s="187" t="inlineStr">
        <is>
          <t>CVE</t>
        </is>
      </c>
      <c r="B1227" s="187" t="inlineStr">
        <is>
          <t>CVE-2026-0399</t>
        </is>
      </c>
      <c r="C1227" s="187" t="inlineStr">
        <is>
          <t>Multiple post-authentication stack-based buffer overflow vulnerabilities in the SonicOS management interface due to improper bounds checking in a API endpoint.</t>
        </is>
      </c>
      <c r="D1227" s="187" t="n">
        <v>4.9</v>
      </c>
      <c r="E1227" s="187" t="inlineStr">
        <is>
          <t>MEDIUM</t>
        </is>
      </c>
      <c r="F1227" s="187" t="n">
        <v>2</v>
      </c>
      <c r="G1227" s="187" t="n">
        <v>2</v>
      </c>
      <c r="H1227" s="187" t="inlineStr">
        <is>
          <t>MEDIUM</t>
        </is>
      </c>
      <c r="I1227" s="187" t="n">
        <v>8.9</v>
      </c>
      <c r="J1227" s="187" t="inlineStr">
        <is>
          <t>NO</t>
        </is>
      </c>
      <c r="K1227" s="187" t="inlineStr">
        <is>
          <t>https://nvd.nist.gov/vuln/detail/CVE-2026-0399</t>
        </is>
      </c>
      <c r="L1227" s="187" t="inlineStr">
        <is>
          <t>2026-02-26 00:15</t>
        </is>
      </c>
      <c r="M1227" s="187" t="inlineStr">
        <is>
          <t>CHECK_VENDOR</t>
        </is>
      </c>
      <c r="N1227" s="187" t="inlineStr">
        <is>
          <t>See NVD references</t>
        </is>
      </c>
      <c r="O1227" s="187" t="inlineStr">
        <is>
          <t>Apply vendor patches</t>
        </is>
      </c>
      <c r="P1227" s="187" t="inlineStr">
        <is>
          <t>See CVE details</t>
        </is>
      </c>
      <c r="Q1227" s="187" t="inlineStr">
        <is>
          <t>P4</t>
        </is>
      </c>
      <c r="R1227" s="187" t="inlineStr">
        <is>
          <t>📅 Schedule patch deployment within 30 days | 🔍 Monitor for exploitation attempts</t>
        </is>
      </c>
      <c r="S1227" s="187" t="inlineStr">
        <is>
          <t>CVE - IP enrichment n/a</t>
        </is>
      </c>
      <c r="T1227" s="187" t="n">
        <v>0</v>
      </c>
      <c r="U1227" s="187" t="n">
        <v>0</v>
      </c>
      <c r="V1227" s="187" t="inlineStr">
        <is>
          <t>T1190:Exploit Public-Facing Application | T1203:Exploitation for Client Execution</t>
        </is>
      </c>
      <c r="W1227" s="187" t="n">
        <v>1</v>
      </c>
      <c r="X1227" s="187" t="inlineStr">
        <is>
          <t>LOW (40%)</t>
        </is>
      </c>
      <c r="Y1227" s="187" t="inlineStr">
        <is>
          <t>UNLIKELY</t>
        </is>
      </c>
      <c r="Z1227" s="187" t="inlineStr">
        <is>
          <t>CHECK_VENDOR</t>
        </is>
      </c>
      <c r="AA1227" s="187" t="inlineStr">
        <is>
          <t>https://nvd.nist.gov/vuln/detail/CVE-2026-0399</t>
        </is>
      </c>
      <c r="AB1227" s="187" t="inlineStr">
        <is>
          <t>NONE</t>
        </is>
      </c>
      <c r="AC1227" s="187" t="n">
        <v>0</v>
      </c>
      <c r="AD1227" s="187" t="inlineStr"/>
    </row>
    <row r="1228">
      <c r="A1228" s="187" t="inlineStr">
        <is>
          <t>CVE</t>
        </is>
      </c>
      <c r="B1228" s="187" t="inlineStr">
        <is>
          <t>CVE-2026-0400</t>
        </is>
      </c>
      <c r="C1228" s="187" t="inlineStr">
        <is>
          <t>A post-authentication Format String vulnerability in SonicOS allows a remote attacker to crash a firewall.</t>
        </is>
      </c>
      <c r="D1228" s="187" t="n">
        <v>4.9</v>
      </c>
      <c r="E1228" s="187" t="inlineStr">
        <is>
          <t>MEDIUM</t>
        </is>
      </c>
      <c r="F1228" s="187" t="n">
        <v>2</v>
      </c>
      <c r="G1228" s="187" t="n">
        <v>2</v>
      </c>
      <c r="H1228" s="187" t="inlineStr">
        <is>
          <t>MEDIUM</t>
        </is>
      </c>
      <c r="I1228" s="187" t="n">
        <v>8.9</v>
      </c>
      <c r="J1228" s="187" t="inlineStr">
        <is>
          <t>NO</t>
        </is>
      </c>
      <c r="K1228" s="187" t="inlineStr">
        <is>
          <t>https://nvd.nist.gov/vuln/detail/CVE-2026-0400</t>
        </is>
      </c>
      <c r="L1228" s="187" t="inlineStr">
        <is>
          <t>2026-02-26 00:15</t>
        </is>
      </c>
      <c r="M1228" s="187" t="inlineStr">
        <is>
          <t>CHECK_VENDOR</t>
        </is>
      </c>
      <c r="N1228" s="187" t="inlineStr">
        <is>
          <t>See NVD references</t>
        </is>
      </c>
      <c r="O1228" s="187" t="inlineStr">
        <is>
          <t>Apply vendor patches</t>
        </is>
      </c>
      <c r="P1228" s="187" t="inlineStr">
        <is>
          <t>See CVE details</t>
        </is>
      </c>
      <c r="Q1228" s="187" t="inlineStr">
        <is>
          <t>P4</t>
        </is>
      </c>
      <c r="R1228" s="187" t="inlineStr">
        <is>
          <t>📅 Schedule patch deployment within 30 days | 🔍 Monitor for exploitation attempts</t>
        </is>
      </c>
      <c r="S1228" s="187" t="inlineStr">
        <is>
          <t>CVE - IP enrichment n/a</t>
        </is>
      </c>
      <c r="T1228" s="187" t="n">
        <v>0</v>
      </c>
      <c r="U1228" s="187" t="n">
        <v>0</v>
      </c>
      <c r="V1228" s="187" t="inlineStr">
        <is>
          <t>T1562:Impair Defenses</t>
        </is>
      </c>
      <c r="W1228" s="187" t="n">
        <v>1</v>
      </c>
      <c r="X1228" s="187" t="inlineStr">
        <is>
          <t>LOW (40%)</t>
        </is>
      </c>
      <c r="Y1228" s="187" t="inlineStr">
        <is>
          <t>UNLIKELY</t>
        </is>
      </c>
      <c r="Z1228" s="187" t="inlineStr">
        <is>
          <t>CHECK_VENDOR</t>
        </is>
      </c>
      <c r="AA1228" s="187" t="inlineStr">
        <is>
          <t>https://nvd.nist.gov/vuln/detail/CVE-2026-0400</t>
        </is>
      </c>
      <c r="AB1228" s="187" t="inlineStr">
        <is>
          <t>NONE</t>
        </is>
      </c>
      <c r="AC1228" s="187" t="n">
        <v>0</v>
      </c>
      <c r="AD1228" s="187" t="inlineStr"/>
    </row>
    <row r="1229">
      <c r="A1229" s="187" t="inlineStr">
        <is>
          <t>CVE</t>
        </is>
      </c>
      <c r="B1229" s="187" t="inlineStr">
        <is>
          <t>CVE-2026-0401</t>
        </is>
      </c>
      <c r="C1229" s="187" t="inlineStr">
        <is>
          <t>A post-authentication NULL Pointer Dereference vulnerability in SonicOS allows a remote attacker to crash a firewall.</t>
        </is>
      </c>
      <c r="D1229" s="187" t="n">
        <v>4.9</v>
      </c>
      <c r="E1229" s="187" t="inlineStr">
        <is>
          <t>MEDIUM</t>
        </is>
      </c>
      <c r="F1229" s="187" t="n">
        <v>2</v>
      </c>
      <c r="G1229" s="187" t="n">
        <v>2</v>
      </c>
      <c r="H1229" s="187" t="inlineStr">
        <is>
          <t>MEDIUM</t>
        </is>
      </c>
      <c r="I1229" s="187" t="n">
        <v>8.9</v>
      </c>
      <c r="J1229" s="187" t="inlineStr">
        <is>
          <t>NO</t>
        </is>
      </c>
      <c r="K1229" s="187" t="inlineStr">
        <is>
          <t>https://nvd.nist.gov/vuln/detail/CVE-2026-0401</t>
        </is>
      </c>
      <c r="L1229" s="187" t="inlineStr">
        <is>
          <t>2026-02-26 00:15</t>
        </is>
      </c>
      <c r="M1229" s="187" t="inlineStr">
        <is>
          <t>CHECK_VENDOR</t>
        </is>
      </c>
      <c r="N1229" s="187" t="inlineStr">
        <is>
          <t>See NVD references</t>
        </is>
      </c>
      <c r="O1229" s="187" t="inlineStr">
        <is>
          <t>Apply vendor patches</t>
        </is>
      </c>
      <c r="P1229" s="187" t="inlineStr">
        <is>
          <t>See CVE details</t>
        </is>
      </c>
      <c r="Q1229" s="187" t="inlineStr">
        <is>
          <t>P4</t>
        </is>
      </c>
      <c r="R1229" s="187" t="inlineStr">
        <is>
          <t>📅 Schedule patch deployment within 30 days | 🔍 Monitor for exploitation attempts</t>
        </is>
      </c>
      <c r="S1229" s="187" t="inlineStr">
        <is>
          <t>CVE - IP enrichment n/a</t>
        </is>
      </c>
      <c r="T1229" s="187" t="n">
        <v>0</v>
      </c>
      <c r="U1229" s="187" t="n">
        <v>0</v>
      </c>
      <c r="V1229" s="187" t="inlineStr">
        <is>
          <t>T1499:Endpoint Denial of Service | T1562:Impair Defenses</t>
        </is>
      </c>
      <c r="W1229" s="187" t="n">
        <v>1</v>
      </c>
      <c r="X1229" s="187" t="inlineStr">
        <is>
          <t>LOW (40%)</t>
        </is>
      </c>
      <c r="Y1229" s="187" t="inlineStr">
        <is>
          <t>UNLIKELY</t>
        </is>
      </c>
      <c r="Z1229" s="187" t="inlineStr">
        <is>
          <t>CHECK_VENDOR</t>
        </is>
      </c>
      <c r="AA1229" s="187" t="inlineStr">
        <is>
          <t>https://nvd.nist.gov/vuln/detail/CVE-2026-0401</t>
        </is>
      </c>
      <c r="AB1229" s="187" t="inlineStr">
        <is>
          <t>NONE</t>
        </is>
      </c>
      <c r="AC1229" s="187" t="n">
        <v>0</v>
      </c>
      <c r="AD1229" s="187" t="inlineStr"/>
    </row>
    <row r="1230">
      <c r="A1230" s="187" t="inlineStr">
        <is>
          <t>CVE</t>
        </is>
      </c>
      <c r="B1230" s="187" t="inlineStr">
        <is>
          <t>CVE-2026-0402</t>
        </is>
      </c>
      <c r="C1230" s="187" t="inlineStr">
        <is>
          <t>A post-authentication Out-of-bounds Read vulnerability in SonicOS allows a remote attacker to crash a firewall.</t>
        </is>
      </c>
      <c r="D1230" s="187" t="n">
        <v>4.9</v>
      </c>
      <c r="E1230" s="187" t="inlineStr">
        <is>
          <t>MEDIUM</t>
        </is>
      </c>
      <c r="F1230" s="187" t="n">
        <v>2</v>
      </c>
      <c r="G1230" s="187" t="n">
        <v>2</v>
      </c>
      <c r="H1230" s="187" t="inlineStr">
        <is>
          <t>MEDIUM</t>
        </is>
      </c>
      <c r="I1230" s="187" t="n">
        <v>8.9</v>
      </c>
      <c r="J1230" s="187" t="inlineStr">
        <is>
          <t>NO</t>
        </is>
      </c>
      <c r="K1230" s="187" t="inlineStr">
        <is>
          <t>https://nvd.nist.gov/vuln/detail/CVE-2026-0402</t>
        </is>
      </c>
      <c r="L1230" s="187" t="inlineStr">
        <is>
          <t>2026-02-26 00:15</t>
        </is>
      </c>
      <c r="M1230" s="187" t="inlineStr">
        <is>
          <t>CHECK_VENDOR</t>
        </is>
      </c>
      <c r="N1230" s="187" t="inlineStr">
        <is>
          <t>See NVD references</t>
        </is>
      </c>
      <c r="O1230" s="187" t="inlineStr">
        <is>
          <t>Apply vendor patches</t>
        </is>
      </c>
      <c r="P1230" s="187" t="inlineStr">
        <is>
          <t>See CVE details</t>
        </is>
      </c>
      <c r="Q1230" s="187" t="inlineStr">
        <is>
          <t>P4</t>
        </is>
      </c>
      <c r="R1230" s="187" t="inlineStr">
        <is>
          <t>📅 Schedule patch deployment within 30 days | 🔍 Monitor for exploitation attempts</t>
        </is>
      </c>
      <c r="S1230" s="187" t="inlineStr">
        <is>
          <t>CVE - IP enrichment n/a</t>
        </is>
      </c>
      <c r="T1230" s="187" t="n">
        <v>0.0016</v>
      </c>
      <c r="U1230" s="187" t="n">
        <v>0.3655</v>
      </c>
      <c r="V1230" s="187" t="inlineStr">
        <is>
          <t>T1203:Exploitation for Client Execution | T1562:Impair Defenses</t>
        </is>
      </c>
      <c r="W1230" s="187" t="n">
        <v>1</v>
      </c>
      <c r="X1230" s="187" t="inlineStr">
        <is>
          <t>LOW (40%)</t>
        </is>
      </c>
      <c r="Y1230" s="187" t="inlineStr">
        <is>
          <t>UNLIKELY</t>
        </is>
      </c>
      <c r="Z1230" s="187" t="inlineStr">
        <is>
          <t>CHECK_VENDOR</t>
        </is>
      </c>
      <c r="AA1230" s="187" t="inlineStr">
        <is>
          <t>https://nvd.nist.gov/vuln/detail/CVE-2026-0402</t>
        </is>
      </c>
      <c r="AB1230" s="187" t="inlineStr">
        <is>
          <t>NONE</t>
        </is>
      </c>
      <c r="AC1230" s="187" t="n">
        <v>0</v>
      </c>
      <c r="AD1230" s="187" t="inlineStr"/>
    </row>
    <row r="1231">
      <c r="A1231" s="189" t="inlineStr">
        <is>
          <t>CVE</t>
        </is>
      </c>
      <c r="B1231" s="189" t="inlineStr">
        <is>
          <t>CVE-2026-27208</t>
        </is>
      </c>
      <c r="C1231" s="189" t="inlineStr">
        <is>
          <t>bleon-ethical/api-gateway-deploy provides API gateway deployment. Version 1.0.0 is vulnerable to an attack chain involving OS Command Injection and Privilege Escalation. This allows an attacker to execute arbitrary commands with root privileges within the container, potentially leading to a container escape and unauthorized infrastructure modifications. This is fixed in version 1.0.1 by implementing strict input sanitization and secure delimiters in entrypoint.sh, enforcing a non-root user (appu</t>
        </is>
      </c>
      <c r="D1231" s="189" t="n">
        <v>9.199999999999999</v>
      </c>
      <c r="E1231" s="189" t="inlineStr">
        <is>
          <t>CRITICAL</t>
        </is>
      </c>
      <c r="F1231" s="189" t="n">
        <v>2</v>
      </c>
      <c r="G1231" s="189" t="n">
        <v>3</v>
      </c>
      <c r="H1231" s="189" t="inlineStr">
        <is>
          <t>HIGH</t>
        </is>
      </c>
      <c r="I1231" s="189" t="n">
        <v>15.2</v>
      </c>
      <c r="J1231" s="189" t="inlineStr">
        <is>
          <t>NO</t>
        </is>
      </c>
      <c r="K1231" s="189" t="inlineStr">
        <is>
          <t>https://nvd.nist.gov/vuln/detail/CVE-2026-27208</t>
        </is>
      </c>
      <c r="L1231" s="189" t="inlineStr">
        <is>
          <t>2026-02-26 00:15</t>
        </is>
      </c>
      <c r="M1231" s="189" t="inlineStr">
        <is>
          <t>CHECK_VENDOR</t>
        </is>
      </c>
      <c r="N1231" s="189" t="inlineStr">
        <is>
          <t>See NVD references</t>
        </is>
      </c>
      <c r="O1231" s="189" t="inlineStr">
        <is>
          <t>Apply vendor patches</t>
        </is>
      </c>
      <c r="P1231" s="189" t="inlineStr">
        <is>
          <t>See CVE details</t>
        </is>
      </c>
      <c r="Q1231" s="189" t="inlineStr">
        <is>
          <t>P3</t>
        </is>
      </c>
      <c r="R1231" s="189" t="inlineStr">
        <is>
          <t>🚨 URGENT: Apply vendor patches immediately | 🔒 Isolate affected systems if patch unavailable | 🛡️ Enable additional monitoring/IDS rules</t>
        </is>
      </c>
      <c r="S1231" s="189" t="inlineStr">
        <is>
          <t>CVE - IP enrichment n/a</t>
        </is>
      </c>
      <c r="T1231" s="189" t="n">
        <v>0.001</v>
      </c>
      <c r="U1231" s="189" t="n">
        <v>0.2691</v>
      </c>
      <c r="V1231" s="189" t="inlineStr">
        <is>
          <t>T1059:Command and Scripting Interpreter | T1068:Exploitation for Privilege Escalation</t>
        </is>
      </c>
      <c r="W1231" s="189" t="n">
        <v>1</v>
      </c>
      <c r="X1231" s="189" t="inlineStr">
        <is>
          <t>LOW (40%)</t>
        </is>
      </c>
      <c r="Y1231" s="189" t="inlineStr">
        <is>
          <t>UNLIKELY</t>
        </is>
      </c>
      <c r="Z1231" s="189" t="inlineStr">
        <is>
          <t>CHECK_VENDOR</t>
        </is>
      </c>
      <c r="AA1231" s="189" t="inlineStr">
        <is>
          <t>https://nvd.nist.gov/vuln/detail/CVE-2026-27208</t>
        </is>
      </c>
      <c r="AB1231" s="189" t="inlineStr">
        <is>
          <t>NONE</t>
        </is>
      </c>
      <c r="AC1231" s="189" t="n">
        <v>0</v>
      </c>
      <c r="AD1231" s="189" t="inlineStr"/>
    </row>
    <row r="1232">
      <c r="A1232" s="188" t="inlineStr">
        <is>
          <t>CVE</t>
        </is>
      </c>
      <c r="B1232" s="188" t="inlineStr">
        <is>
          <t>CVE-2026-27483</t>
        </is>
      </c>
      <c r="C1232" s="188" t="inlineStr">
        <is>
          <t>MindsDB is a platform for building artificial intelligence from enterprise data. Prior to version 25.9.1.1, there is a path traversal vulnerability in Mindsdb's /api/files interface, which an authenticated attacker can exploit to achieve remote command execution. The vulnerability exists in the "Upload File" module, which corresponds to the API endpoint /api/files. Since the multipart file upload does not perform security checks on the uploaded file path, an attacker can perform path traversal b</t>
        </is>
      </c>
      <c r="D1232" s="188" t="n">
        <v>8.800000000000001</v>
      </c>
      <c r="E1232" s="188" t="inlineStr">
        <is>
          <t>HIGH</t>
        </is>
      </c>
      <c r="F1232" s="188" t="n">
        <v>2</v>
      </c>
      <c r="G1232" s="188" t="n">
        <v>3</v>
      </c>
      <c r="H1232" s="188" t="inlineStr">
        <is>
          <t>HIGH</t>
        </is>
      </c>
      <c r="I1232" s="188" t="n">
        <v>14.8</v>
      </c>
      <c r="J1232" s="188" t="inlineStr">
        <is>
          <t>NO</t>
        </is>
      </c>
      <c r="K1232" s="188" t="inlineStr">
        <is>
          <t>https://nvd.nist.gov/vuln/detail/CVE-2026-27483</t>
        </is>
      </c>
      <c r="L1232" s="188" t="inlineStr">
        <is>
          <t>2026-02-26 00:15</t>
        </is>
      </c>
      <c r="M1232" s="188" t="inlineStr">
        <is>
          <t>CHECK_VENDOR</t>
        </is>
      </c>
      <c r="N1232" s="188" t="inlineStr">
        <is>
          <t>See NVD references</t>
        </is>
      </c>
      <c r="O1232" s="188" t="inlineStr">
        <is>
          <t>Apply vendor patches</t>
        </is>
      </c>
      <c r="P1232" s="188" t="inlineStr">
        <is>
          <t>See CVE details</t>
        </is>
      </c>
      <c r="Q1232" s="188" t="inlineStr">
        <is>
          <t>P3</t>
        </is>
      </c>
      <c r="R1232" s="188" t="inlineStr">
        <is>
          <t>🚨 URGENT: Apply vendor patches immediately | 🔒 Isolate affected systems if patch unavailable | 🛡️ Enable additional monitoring/IDS rules</t>
        </is>
      </c>
      <c r="S1232" s="188" t="inlineStr">
        <is>
          <t>CVE - IP enrichment n/a</t>
        </is>
      </c>
      <c r="T1232" s="188" t="n">
        <v>0</v>
      </c>
      <c r="U1232" s="188" t="n">
        <v>0</v>
      </c>
      <c r="V1232" s="188" t="inlineStr">
        <is>
          <t>T1083:File and Directory Discovery</t>
        </is>
      </c>
      <c r="W1232" s="188" t="n">
        <v>1</v>
      </c>
      <c r="X1232" s="188" t="inlineStr">
        <is>
          <t>LOW (40%)</t>
        </is>
      </c>
      <c r="Y1232" s="188" t="inlineStr">
        <is>
          <t>UNLIKELY</t>
        </is>
      </c>
      <c r="Z1232" s="188" t="inlineStr">
        <is>
          <t>CHECK_VENDOR</t>
        </is>
      </c>
      <c r="AA1232" s="188" t="inlineStr">
        <is>
          <t>https://nvd.nist.gov/vuln/detail/CVE-2026-27483</t>
        </is>
      </c>
      <c r="AB1232" s="188" t="inlineStr">
        <is>
          <t>NONE</t>
        </is>
      </c>
      <c r="AC1232" s="188" t="n">
        <v>0</v>
      </c>
      <c r="AD1232" s="188" t="inlineStr"/>
    </row>
    <row r="1233">
      <c r="A1233" s="187" t="inlineStr">
        <is>
          <t>CVE</t>
        </is>
      </c>
      <c r="B1233" s="187" t="inlineStr">
        <is>
          <t>CVE-2026-27567</t>
        </is>
      </c>
      <c r="C1233" s="187" t="inlineStr">
        <is>
          <t>Payload is a free and open source headless content management system. Prior to 3.75.0, a Server-Side Request Forgery (SSRF) vulnerability exists in Payload's external file upload functionality. When processing external URLs for file uploads, insufficient validation of HTTP redirects could allow an authenticated attacker to access internal network resources. The Payload environment must have at least one collection with `upload` enabled and a user who has `create` access to that upload-enabled co</t>
        </is>
      </c>
      <c r="D1233" s="187" t="n">
        <v>6.5</v>
      </c>
      <c r="E1233" s="187" t="inlineStr">
        <is>
          <t>MEDIUM</t>
        </is>
      </c>
      <c r="F1233" s="187" t="n">
        <v>2</v>
      </c>
      <c r="G1233" s="187" t="n">
        <v>2</v>
      </c>
      <c r="H1233" s="187" t="inlineStr">
        <is>
          <t>MEDIUM</t>
        </is>
      </c>
      <c r="I1233" s="187" t="n">
        <v>10.5</v>
      </c>
      <c r="J1233" s="187" t="inlineStr">
        <is>
          <t>NO</t>
        </is>
      </c>
      <c r="K1233" s="187" t="inlineStr">
        <is>
          <t>https://nvd.nist.gov/vuln/detail/CVE-2026-27567</t>
        </is>
      </c>
      <c r="L1233" s="187" t="inlineStr">
        <is>
          <t>2026-02-26 00:15</t>
        </is>
      </c>
      <c r="M1233" s="187" t="inlineStr">
        <is>
          <t>CHECK_VENDOR</t>
        </is>
      </c>
      <c r="N1233" s="187" t="inlineStr">
        <is>
          <t>See NVD references</t>
        </is>
      </c>
      <c r="O1233" s="187" t="inlineStr">
        <is>
          <t>Apply vendor patches</t>
        </is>
      </c>
      <c r="P1233" s="187" t="inlineStr">
        <is>
          <t>See CVE details</t>
        </is>
      </c>
      <c r="Q1233" s="187" t="inlineStr">
        <is>
          <t>P4</t>
        </is>
      </c>
      <c r="R1233" s="187" t="inlineStr">
        <is>
          <t>📅 Schedule patch deployment within 30 days | 🔍 Monitor for exploitation attempts</t>
        </is>
      </c>
      <c r="S1233" s="187" t="inlineStr">
        <is>
          <t>CVE - IP enrichment n/a</t>
        </is>
      </c>
      <c r="T1233" s="187" t="n">
        <v>0</v>
      </c>
      <c r="U1233" s="187" t="n">
        <v>0</v>
      </c>
      <c r="V1233" s="187" t="inlineStr">
        <is>
          <t>T1090:Proxy | T1190:Exploit Public-Facing Application</t>
        </is>
      </c>
      <c r="W1233" s="187" t="n">
        <v>1</v>
      </c>
      <c r="X1233" s="187" t="inlineStr">
        <is>
          <t>LOW (40%)</t>
        </is>
      </c>
      <c r="Y1233" s="187" t="inlineStr">
        <is>
          <t>UNLIKELY</t>
        </is>
      </c>
      <c r="Z1233" s="187" t="inlineStr">
        <is>
          <t>CHECK_VENDOR</t>
        </is>
      </c>
      <c r="AA1233" s="187" t="inlineStr">
        <is>
          <t>https://nvd.nist.gov/vuln/detail/CVE-2026-27567</t>
        </is>
      </c>
      <c r="AB1233" s="187" t="inlineStr">
        <is>
          <t>NONE</t>
        </is>
      </c>
      <c r="AC1233" s="187" t="n">
        <v>0</v>
      </c>
      <c r="AD1233" s="187" t="inlineStr"/>
    </row>
    <row r="1234">
      <c r="A1234" s="188" t="inlineStr">
        <is>
          <t>CVE</t>
        </is>
      </c>
      <c r="B1234" s="188" t="inlineStr">
        <is>
          <t>CVE-2026-27568</t>
        </is>
      </c>
      <c r="C1234" s="188" t="inlineStr">
        <is>
          <t>WWBN AVideo is an open source video platform. Prior to version 21.0, AVideo allows Markdown in video comments and uses Parsedown (v1.7.4) without Safe Mode enabled. Markdown links are not sufficiently sanitized, allowing `javascript:` URIs to be rendered as clickable links. An authenticated low-privilege attacker can post a malicious comment that injects persistent JavaScript. When another user clicks the link, the attacker can perform actions such as session hijacking, privilege escalation (inc</t>
        </is>
      </c>
      <c r="D1234" s="188" t="n">
        <v>8.5</v>
      </c>
      <c r="E1234" s="188" t="inlineStr">
        <is>
          <t>HIGH</t>
        </is>
      </c>
      <c r="F1234" s="188" t="n">
        <v>2</v>
      </c>
      <c r="G1234" s="188" t="n">
        <v>3</v>
      </c>
      <c r="H1234" s="188" t="inlineStr">
        <is>
          <t>HIGH</t>
        </is>
      </c>
      <c r="I1234" s="188" t="n">
        <v>14.5</v>
      </c>
      <c r="J1234" s="188" t="inlineStr">
        <is>
          <t>NO</t>
        </is>
      </c>
      <c r="K1234" s="188" t="inlineStr">
        <is>
          <t>https://nvd.nist.gov/vuln/detail/CVE-2026-27568</t>
        </is>
      </c>
      <c r="L1234" s="188" t="inlineStr">
        <is>
          <t>2026-02-26 00:15</t>
        </is>
      </c>
      <c r="M1234" s="188" t="inlineStr">
        <is>
          <t>CHECK_VENDOR</t>
        </is>
      </c>
      <c r="N1234" s="188" t="inlineStr">
        <is>
          <t>See NVD references</t>
        </is>
      </c>
      <c r="O1234" s="188" t="inlineStr">
        <is>
          <t>Apply vendor patches</t>
        </is>
      </c>
      <c r="P1234" s="188" t="inlineStr">
        <is>
          <t>See CVE details</t>
        </is>
      </c>
      <c r="Q1234" s="188" t="inlineStr">
        <is>
          <t>P3</t>
        </is>
      </c>
      <c r="R1234" s="188" t="inlineStr">
        <is>
          <t>🚨 URGENT: Apply vendor patches immediately | 🔒 Isolate affected systems if patch unavailable | 🛡️ Enable additional monitoring/IDS rules</t>
        </is>
      </c>
      <c r="S1234" s="188" t="inlineStr">
        <is>
          <t>CVE - IP enrichment n/a</t>
        </is>
      </c>
      <c r="T1234" s="188" t="n">
        <v>0</v>
      </c>
      <c r="U1234" s="188" t="n">
        <v>0</v>
      </c>
      <c r="V1234" s="188" t="inlineStr">
        <is>
          <t>T1189:Drive-by Compromise | T1190:Exploit Public-Facing Application | T1068:Exploitation for Privilege Escalation</t>
        </is>
      </c>
      <c r="W1234" s="188" t="n">
        <v>1</v>
      </c>
      <c r="X1234" s="188" t="inlineStr">
        <is>
          <t>LOW (40%)</t>
        </is>
      </c>
      <c r="Y1234" s="188" t="inlineStr">
        <is>
          <t>UNLIKELY</t>
        </is>
      </c>
      <c r="Z1234" s="188" t="inlineStr">
        <is>
          <t>CHECK_VENDOR</t>
        </is>
      </c>
      <c r="AA1234" s="188" t="inlineStr">
        <is>
          <t>https://nvd.nist.gov/vuln/detail/CVE-2026-27568</t>
        </is>
      </c>
      <c r="AB1234" s="188" t="inlineStr">
        <is>
          <t>NONE</t>
        </is>
      </c>
      <c r="AC1234" s="188" t="n">
        <v>0</v>
      </c>
      <c r="AD1234" s="188" t="inlineStr"/>
    </row>
    <row r="1235">
      <c r="A1235" s="188" t="inlineStr">
        <is>
          <t>CVE</t>
        </is>
      </c>
      <c r="B1235" s="188" t="inlineStr">
        <is>
          <t>CVE-2026-27584</t>
        </is>
      </c>
      <c r="C1235" s="188" t="inlineStr">
        <is>
          <t>Actual is a local-first personal finance tool. Prior to version 26.2.1, missing authentication middleware in the ActualBudget server component allows any unauthenticated user to query the SimpleFIN and Pluggy.ai integration endpoints and read sensitive bank account balance and transaction information. This vulnerability allows an unauthenticated attacker to read the bank account balance and transaction history of ActualBudget users. This vulnerability impacts all ActualBudget Server users with t</t>
        </is>
      </c>
      <c r="D1235" s="188" t="n">
        <v>8.5</v>
      </c>
      <c r="E1235" s="188" t="inlineStr">
        <is>
          <t>HIGH</t>
        </is>
      </c>
      <c r="F1235" s="188" t="n">
        <v>2</v>
      </c>
      <c r="G1235" s="188" t="n">
        <v>3</v>
      </c>
      <c r="H1235" s="188" t="inlineStr">
        <is>
          <t>HIGH</t>
        </is>
      </c>
      <c r="I1235" s="188" t="n">
        <v>14.5</v>
      </c>
      <c r="J1235" s="188" t="inlineStr">
        <is>
          <t>NO</t>
        </is>
      </c>
      <c r="K1235" s="188" t="inlineStr">
        <is>
          <t>https://nvd.nist.gov/vuln/detail/CVE-2026-27584</t>
        </is>
      </c>
      <c r="L1235" s="188" t="inlineStr">
        <is>
          <t>2026-02-26 00:15</t>
        </is>
      </c>
      <c r="M1235" s="188" t="inlineStr">
        <is>
          <t>CHECK_VENDOR</t>
        </is>
      </c>
      <c r="N1235" s="188" t="inlineStr">
        <is>
          <t>See NVD references</t>
        </is>
      </c>
      <c r="O1235" s="188" t="inlineStr">
        <is>
          <t>Apply vendor patches</t>
        </is>
      </c>
      <c r="P1235" s="188" t="inlineStr">
        <is>
          <t>See CVE details</t>
        </is>
      </c>
      <c r="Q1235" s="188" t="inlineStr">
        <is>
          <t>P3</t>
        </is>
      </c>
      <c r="R1235" s="188" t="inlineStr">
        <is>
          <t>🚨 URGENT: Apply vendor patches immediately | 🔒 Isolate affected systems if patch unavailable | 🛡️ Enable additional monitoring/IDS rules</t>
        </is>
      </c>
      <c r="S1235" s="188" t="inlineStr">
        <is>
          <t>CVE - IP enrichment n/a</t>
        </is>
      </c>
      <c r="T1235" s="188" t="n">
        <v>0</v>
      </c>
      <c r="U1235" s="188" t="n">
        <v>0</v>
      </c>
      <c r="V1235" s="188" t="inlineStr">
        <is>
          <t>T1078:Valid Accounts</t>
        </is>
      </c>
      <c r="W1235" s="188" t="n">
        <v>1</v>
      </c>
      <c r="X1235" s="188" t="inlineStr">
        <is>
          <t>LOW (40%)</t>
        </is>
      </c>
      <c r="Y1235" s="188" t="inlineStr">
        <is>
          <t>UNLIKELY</t>
        </is>
      </c>
      <c r="Z1235" s="188" t="inlineStr">
        <is>
          <t>CHECK_VENDOR</t>
        </is>
      </c>
      <c r="AA1235" s="188" t="inlineStr">
        <is>
          <t>https://nvd.nist.gov/vuln/detail/CVE-2026-27584</t>
        </is>
      </c>
      <c r="AB1235" s="188" t="inlineStr">
        <is>
          <t>NONE</t>
        </is>
      </c>
      <c r="AC1235" s="188" t="n">
        <v>0</v>
      </c>
      <c r="AD1235" s="188" t="inlineStr"/>
    </row>
    <row r="1236">
      <c r="A1236" s="188" t="inlineStr">
        <is>
          <t>CVE</t>
        </is>
      </c>
      <c r="B1236" s="188" t="inlineStr">
        <is>
          <t>CVE-2026-27732</t>
        </is>
      </c>
      <c r="C1236" s="188" t="inlineStr">
        <is>
          <t>WWBN AVideo is an open source video platform. Prior to version 22.0, the `aVideoEncoder.json.php` API endpoint accepts a `downloadURL` parameter and fetches the referenced resource server-side without proper validation or an allow-list. This allows authenticated users to trigger server-side requests to arbitrary URLs (including internal network endpoints). An authenticated attacker can leverage SSRF to interact with internal services and retrieve sensitive data (e.g., internal APIs, metadata ser</t>
        </is>
      </c>
      <c r="D1236" s="188" t="n">
        <v>8.1</v>
      </c>
      <c r="E1236" s="188" t="inlineStr">
        <is>
          <t>HIGH</t>
        </is>
      </c>
      <c r="F1236" s="188" t="n">
        <v>2</v>
      </c>
      <c r="G1236" s="188" t="n">
        <v>3</v>
      </c>
      <c r="H1236" s="188" t="inlineStr">
        <is>
          <t>HIGH</t>
        </is>
      </c>
      <c r="I1236" s="188" t="n">
        <v>14.1</v>
      </c>
      <c r="J1236" s="188" t="inlineStr">
        <is>
          <t>NO</t>
        </is>
      </c>
      <c r="K1236" s="188" t="inlineStr">
        <is>
          <t>https://nvd.nist.gov/vuln/detail/CVE-2026-27732</t>
        </is>
      </c>
      <c r="L1236" s="188" t="inlineStr">
        <is>
          <t>2026-02-26 00:15</t>
        </is>
      </c>
      <c r="M1236" s="188" t="inlineStr">
        <is>
          <t>YES</t>
        </is>
      </c>
      <c r="N1236" s="188" t="inlineStr">
        <is>
          <t>https://github.com/WWBN/AVideo/commit/384ef2548093f4cbb1bfac00f1f429fe57fab853 | https://github.com/WWBN/AVideo/security/advisories/GHSA-h39h-7cvg-q7j6</t>
        </is>
      </c>
      <c r="O1236" s="188" t="inlineStr">
        <is>
          <t>Apply vendor patches</t>
        </is>
      </c>
      <c r="P1236" s="188" t="inlineStr">
        <is>
          <t>wwbn avideo *</t>
        </is>
      </c>
      <c r="Q1236" s="188" t="inlineStr">
        <is>
          <t>P3</t>
        </is>
      </c>
      <c r="R1236" s="188" t="inlineStr">
        <is>
          <t>🚨 URGENT: Apply vendor patches immediately | 🔒 Isolate affected systems if patch unavailable | 🛡️ Enable additional monitoring/IDS rules</t>
        </is>
      </c>
      <c r="S1236" s="188" t="inlineStr">
        <is>
          <t>CVE - IP enrichment n/a</t>
        </is>
      </c>
      <c r="T1236" s="188" t="n">
        <v>0</v>
      </c>
      <c r="U1236" s="188" t="n">
        <v>0</v>
      </c>
      <c r="V1236" s="188" t="inlineStr">
        <is>
          <t>T1090:Proxy | T1190:Exploit Public-Facing Application</t>
        </is>
      </c>
      <c r="W1236" s="188" t="n">
        <v>1</v>
      </c>
      <c r="X1236" s="188" t="inlineStr">
        <is>
          <t>LOW (40%)</t>
        </is>
      </c>
      <c r="Y1236" s="188" t="inlineStr">
        <is>
          <t>UNLIKELY</t>
        </is>
      </c>
      <c r="Z1236" s="188" t="inlineStr">
        <is>
          <t>PATCH_AVAILABLE</t>
        </is>
      </c>
      <c r="AA1236" s="188" t="inlineStr">
        <is>
          <t>https://nvd.nist.gov/vuln/detail/CVE-2026-27732</t>
        </is>
      </c>
      <c r="AB1236" s="188" t="inlineStr">
        <is>
          <t>NONE</t>
        </is>
      </c>
      <c r="AC1236" s="188" t="n">
        <v>0</v>
      </c>
      <c r="AD1236" s="188" t="inlineStr"/>
    </row>
    <row r="1237">
      <c r="A1237" s="187" t="inlineStr">
        <is>
          <t>CVE</t>
        </is>
      </c>
      <c r="B1237" s="187" t="inlineStr">
        <is>
          <t>CVE-2026-3101</t>
        </is>
      </c>
      <c r="C1237" s="187" t="inlineStr">
        <is>
          <t>A vulnerability was found in Intelbras TIP 635G 1.12.3.5. This vulnerability affects unknown code of the component Ping Handler. The manipulation results in os command injection. The attack can be executed remotely. The exploit has been made public and could be used. The vendor was contacted early about this disclosure but did not respond in any way.</t>
        </is>
      </c>
      <c r="D1237" s="187" t="n">
        <v>6.3</v>
      </c>
      <c r="E1237" s="187" t="inlineStr">
        <is>
          <t>MEDIUM</t>
        </is>
      </c>
      <c r="F1237" s="187" t="n">
        <v>2</v>
      </c>
      <c r="G1237" s="187" t="n">
        <v>2</v>
      </c>
      <c r="H1237" s="187" t="inlineStr">
        <is>
          <t>MEDIUM</t>
        </is>
      </c>
      <c r="I1237" s="187" t="n">
        <v>10.3</v>
      </c>
      <c r="J1237" s="187" t="inlineStr">
        <is>
          <t>NO</t>
        </is>
      </c>
      <c r="K1237" s="187" t="inlineStr">
        <is>
          <t>https://nvd.nist.gov/vuln/detail/CVE-2026-3101</t>
        </is>
      </c>
      <c r="L1237" s="187" t="inlineStr">
        <is>
          <t>2026-02-26 00:15</t>
        </is>
      </c>
      <c r="M1237" s="187" t="inlineStr">
        <is>
          <t>CHECK_VENDOR</t>
        </is>
      </c>
      <c r="N1237" s="187" t="inlineStr">
        <is>
          <t>See NVD references</t>
        </is>
      </c>
      <c r="O1237" s="187" t="inlineStr">
        <is>
          <t>Apply vendor patches</t>
        </is>
      </c>
      <c r="P1237" s="187" t="inlineStr">
        <is>
          <t>See CVE details</t>
        </is>
      </c>
      <c r="Q1237" s="187" t="inlineStr">
        <is>
          <t>P4</t>
        </is>
      </c>
      <c r="R1237" s="187" t="inlineStr">
        <is>
          <t>📅 Schedule patch deployment within 30 days | 🔍 Monitor for exploitation attempts</t>
        </is>
      </c>
      <c r="S1237" s="187" t="inlineStr">
        <is>
          <t>CVE - IP enrichment n/a</t>
        </is>
      </c>
      <c r="T1237" s="187" t="n">
        <v>0</v>
      </c>
      <c r="U1237" s="187" t="n">
        <v>0</v>
      </c>
      <c r="V1237" s="187" t="inlineStr">
        <is>
          <t>T1059:Command and Scripting Interpreter</t>
        </is>
      </c>
      <c r="W1237" s="187" t="n">
        <v>1</v>
      </c>
      <c r="X1237" s="187" t="inlineStr">
        <is>
          <t>LOW (40%)</t>
        </is>
      </c>
      <c r="Y1237" s="187" t="inlineStr">
        <is>
          <t>UNLIKELY</t>
        </is>
      </c>
      <c r="Z1237" s="187" t="inlineStr">
        <is>
          <t>CHECK_VENDOR</t>
        </is>
      </c>
      <c r="AA1237" s="187" t="inlineStr">
        <is>
          <t>https://nvd.nist.gov/vuln/detail/CVE-2026-3101</t>
        </is>
      </c>
      <c r="AB1237" s="187" t="inlineStr">
        <is>
          <t>NONE</t>
        </is>
      </c>
      <c r="AC1237" s="187" t="n">
        <v>0</v>
      </c>
      <c r="AD1237" s="187" t="inlineStr"/>
    </row>
    <row r="1238">
      <c r="A1238" s="187" t="inlineStr">
        <is>
          <t>CVE</t>
        </is>
      </c>
      <c r="B1238" s="187" t="inlineStr">
        <is>
          <t>CVE-2026-3102</t>
        </is>
      </c>
      <c r="C1238" s="187" t="inlineStr">
        <is>
          <t>A vulnerability was determined in exiftool up to 13.49 on macOS. This issue affects the function SetMacOSTags of the file lib/Image/ExifTool/MacOS.pm of the component PNG File Parser. This manipulation of the argument DateTimeOriginal causes os command injection. The attack is possible to be carried out remotely. The exploit has been publicly disclosed and may be utilized. Upgrading to version 13.50 is capable of addressing this issue. Patch name: e9609a9bcc0d32bd252a709a562fb822d6dd86f7. Upgrad</t>
        </is>
      </c>
      <c r="D1238" s="187" t="n">
        <v>6.3</v>
      </c>
      <c r="E1238" s="187" t="inlineStr">
        <is>
          <t>MEDIUM</t>
        </is>
      </c>
      <c r="F1238" s="187" t="n">
        <v>2</v>
      </c>
      <c r="G1238" s="187" t="n">
        <v>2</v>
      </c>
      <c r="H1238" s="187" t="inlineStr">
        <is>
          <t>MEDIUM</t>
        </is>
      </c>
      <c r="I1238" s="187" t="n">
        <v>10.3</v>
      </c>
      <c r="J1238" s="187" t="inlineStr">
        <is>
          <t>NO</t>
        </is>
      </c>
      <c r="K1238" s="187" t="inlineStr">
        <is>
          <t>https://nvd.nist.gov/vuln/detail/CVE-2026-3102</t>
        </is>
      </c>
      <c r="L1238" s="187" t="inlineStr">
        <is>
          <t>2026-02-26 00:15</t>
        </is>
      </c>
      <c r="M1238" s="187" t="inlineStr">
        <is>
          <t>CHECK_VENDOR</t>
        </is>
      </c>
      <c r="N1238" s="187" t="inlineStr">
        <is>
          <t>See NVD references</t>
        </is>
      </c>
      <c r="O1238" s="187" t="inlineStr">
        <is>
          <t>Apply vendor patches</t>
        </is>
      </c>
      <c r="P1238" s="187" t="inlineStr">
        <is>
          <t>See CVE details</t>
        </is>
      </c>
      <c r="Q1238" s="187" t="inlineStr">
        <is>
          <t>P4</t>
        </is>
      </c>
      <c r="R1238" s="187" t="inlineStr">
        <is>
          <t>📅 Schedule patch deployment within 30 days | 🔍 Monitor for exploitation attempts</t>
        </is>
      </c>
      <c r="S1238" s="187" t="inlineStr">
        <is>
          <t>CVE - IP enrichment n/a</t>
        </is>
      </c>
      <c r="T1238" s="187" t="n">
        <v>0</v>
      </c>
      <c r="U1238" s="187" t="n">
        <v>0</v>
      </c>
      <c r="V1238" s="187" t="inlineStr">
        <is>
          <t>T1059:Command and Scripting Interpreter</t>
        </is>
      </c>
      <c r="W1238" s="187" t="n">
        <v>1</v>
      </c>
      <c r="X1238" s="187" t="inlineStr">
        <is>
          <t>LOW (40%)</t>
        </is>
      </c>
      <c r="Y1238" s="187" t="inlineStr">
        <is>
          <t>UNLIKELY</t>
        </is>
      </c>
      <c r="Z1238" s="187" t="inlineStr">
        <is>
          <t>CHECK_VENDOR</t>
        </is>
      </c>
      <c r="AA1238" s="187" t="inlineStr">
        <is>
          <t>https://nvd.nist.gov/vuln/detail/CVE-2026-3102</t>
        </is>
      </c>
      <c r="AB1238" s="187" t="inlineStr">
        <is>
          <t>NONE</t>
        </is>
      </c>
      <c r="AC1238" s="187" t="n">
        <v>0</v>
      </c>
      <c r="AD1238" s="187" t="inlineStr"/>
    </row>
    <row r="1239">
      <c r="A1239" s="187" t="inlineStr">
        <is>
          <t>CVE</t>
        </is>
      </c>
      <c r="B1239" s="187" t="inlineStr">
        <is>
          <t>CVE-2025-47904</t>
        </is>
      </c>
      <c r="C1239" s="187" t="inlineStr">
        <is>
          <t>Download of Code Without Integrity Check vulnerability in Microchip Time Provider 4100 allows Malicious Manual Software Update.This issue affects Time Provider 4100: before 2.5.</t>
        </is>
      </c>
      <c r="D1239" s="187" t="n">
        <v>5</v>
      </c>
      <c r="E1239" s="187" t="inlineStr">
        <is>
          <t>MEDIUM</t>
        </is>
      </c>
      <c r="F1239" s="187" t="n">
        <v>2</v>
      </c>
      <c r="G1239" s="187" t="n">
        <v>2</v>
      </c>
      <c r="H1239" s="187" t="inlineStr">
        <is>
          <t>MEDIUM</t>
        </is>
      </c>
      <c r="I1239" s="187" t="n">
        <v>9</v>
      </c>
      <c r="J1239" s="187" t="inlineStr">
        <is>
          <t>NO</t>
        </is>
      </c>
      <c r="K1239" s="187" t="inlineStr">
        <is>
          <t>https://nvd.nist.gov/vuln/detail/CVE-2025-47904</t>
        </is>
      </c>
      <c r="L1239" s="187" t="inlineStr">
        <is>
          <t>2026-02-26 00:15</t>
        </is>
      </c>
      <c r="M1239" s="187" t="inlineStr">
        <is>
          <t>CHECK_VENDOR</t>
        </is>
      </c>
      <c r="N1239" s="187" t="inlineStr">
        <is>
          <t>See NVD references</t>
        </is>
      </c>
      <c r="O1239" s="187" t="inlineStr">
        <is>
          <t>Apply vendor patches</t>
        </is>
      </c>
      <c r="P1239" s="187" t="inlineStr">
        <is>
          <t>See CVE details</t>
        </is>
      </c>
      <c r="Q1239" s="187" t="inlineStr">
        <is>
          <t>P4</t>
        </is>
      </c>
      <c r="R1239" s="187" t="inlineStr">
        <is>
          <t>📅 Schedule patch deployment within 30 days | 🔍 Monitor for exploitation attempts</t>
        </is>
      </c>
      <c r="S1239" s="187" t="inlineStr">
        <is>
          <t>CVE - IP enrichment n/a</t>
        </is>
      </c>
      <c r="T1239" s="187" t="n">
        <v>0</v>
      </c>
      <c r="U1239" s="187" t="n">
        <v>0</v>
      </c>
      <c r="V1239" s="187" t="inlineStr">
        <is>
          <t>T1190:Exploit Public-Facing Application</t>
        </is>
      </c>
      <c r="W1239" s="187" t="n">
        <v>1</v>
      </c>
      <c r="X1239" s="187" t="inlineStr">
        <is>
          <t>LOW (40%)</t>
        </is>
      </c>
      <c r="Y1239" s="187" t="inlineStr">
        <is>
          <t>UNLIKELY</t>
        </is>
      </c>
      <c r="Z1239" s="187" t="inlineStr">
        <is>
          <t>CHECK_VENDOR</t>
        </is>
      </c>
      <c r="AA1239" s="187" t="inlineStr">
        <is>
          <t>https://nvd.nist.gov/vuln/detail/CVE-2025-47904</t>
        </is>
      </c>
      <c r="AB1239" s="187" t="inlineStr">
        <is>
          <t>NONE</t>
        </is>
      </c>
      <c r="AC1239" s="187" t="n">
        <v>0</v>
      </c>
      <c r="AD1239" s="187" t="inlineStr"/>
    </row>
    <row r="1240">
      <c r="A1240" s="188" t="inlineStr">
        <is>
          <t>CVE</t>
        </is>
      </c>
      <c r="B1240" s="188" t="inlineStr">
        <is>
          <t>CVE-2025-63409</t>
        </is>
      </c>
      <c r="C1240" s="188" t="inlineStr">
        <is>
          <t>Privilege escalation and improper access control in GCOM EPON 1GE C00R371V00B01 allows remote authenticated users to modify administrator only settings and extract administrator credentials.</t>
        </is>
      </c>
      <c r="D1240" s="188" t="n">
        <v>8.800000000000001</v>
      </c>
      <c r="E1240" s="188" t="inlineStr">
        <is>
          <t>HIGH</t>
        </is>
      </c>
      <c r="F1240" s="188" t="n">
        <v>2</v>
      </c>
      <c r="G1240" s="188" t="n">
        <v>3</v>
      </c>
      <c r="H1240" s="188" t="inlineStr">
        <is>
          <t>HIGH</t>
        </is>
      </c>
      <c r="I1240" s="188" t="n">
        <v>14.8</v>
      </c>
      <c r="J1240" s="188" t="inlineStr">
        <is>
          <t>NO</t>
        </is>
      </c>
      <c r="K1240" s="188" t="inlineStr">
        <is>
          <t>https://nvd.nist.gov/vuln/detail/CVE-2025-63409</t>
        </is>
      </c>
      <c r="L1240" s="188" t="inlineStr">
        <is>
          <t>2026-02-26 00:15</t>
        </is>
      </c>
      <c r="M1240" s="188" t="inlineStr">
        <is>
          <t>CHECK_VENDOR</t>
        </is>
      </c>
      <c r="N1240" s="188" t="inlineStr">
        <is>
          <t>See NVD references</t>
        </is>
      </c>
      <c r="O1240" s="188" t="inlineStr">
        <is>
          <t>Apply vendor patches</t>
        </is>
      </c>
      <c r="P1240" s="188" t="inlineStr">
        <is>
          <t>See CVE details</t>
        </is>
      </c>
      <c r="Q1240" s="188" t="inlineStr">
        <is>
          <t>P3</t>
        </is>
      </c>
      <c r="R1240" s="188" t="inlineStr">
        <is>
          <t>🚨 URGENT: Apply vendor patches immediately | 🔒 Isolate affected systems if patch unavailable | 🛡️ Enable additional monitoring/IDS rules</t>
        </is>
      </c>
      <c r="S1240" s="188" t="inlineStr">
        <is>
          <t>CVE - IP enrichment n/a</t>
        </is>
      </c>
      <c r="T1240" s="188" t="n">
        <v>0.0005</v>
      </c>
      <c r="U1240" s="188" t="n">
        <v>0.1664</v>
      </c>
      <c r="V1240" s="188" t="inlineStr">
        <is>
          <t>T1068:Exploitation for Privilege Escalation | T1552:Unsecured Credentials</t>
        </is>
      </c>
      <c r="W1240" s="188" t="n">
        <v>1</v>
      </c>
      <c r="X1240" s="188" t="inlineStr">
        <is>
          <t>LOW (40%)</t>
        </is>
      </c>
      <c r="Y1240" s="188" t="inlineStr">
        <is>
          <t>UNLIKELY</t>
        </is>
      </c>
      <c r="Z1240" s="188" t="inlineStr">
        <is>
          <t>CHECK_VENDOR</t>
        </is>
      </c>
      <c r="AA1240" s="188" t="inlineStr">
        <is>
          <t>https://nvd.nist.gov/vuln/detail/CVE-2025-63409</t>
        </is>
      </c>
      <c r="AB1240" s="188" t="inlineStr">
        <is>
          <t>NONE</t>
        </is>
      </c>
      <c r="AC1240" s="188" t="n">
        <v>0</v>
      </c>
      <c r="AD1240" s="188" t="inlineStr"/>
    </row>
    <row r="1241">
      <c r="A1241" s="189" t="inlineStr">
        <is>
          <t>CVE</t>
        </is>
      </c>
      <c r="B1241" s="189" t="inlineStr">
        <is>
          <t>CVE-2025-69985</t>
        </is>
      </c>
      <c r="C1241" s="189" t="inlineStr">
        <is>
          <t>FUXA 1.2.8 and prior contains an Authentication Bypass vulnerability leading to Remote Code Execution (RCE). The vulnerability exists in the server/api/jwt-helper.js middleware, which improperly trusts the HTTP "Referer" header to validate internal requests. A remote unauthenticated attacker can bypass JWT authentication by spoofing the Referer header to match the server's host. Successful exploitation allows the attacker to access the protected /api/runscript endpoint and execute arbitrary Node</t>
        </is>
      </c>
      <c r="D1241" s="189" t="n">
        <v>9.800000000000001</v>
      </c>
      <c r="E1241" s="189" t="inlineStr">
        <is>
          <t>CRITICAL</t>
        </is>
      </c>
      <c r="F1241" s="189" t="n">
        <v>2</v>
      </c>
      <c r="G1241" s="189" t="n">
        <v>3</v>
      </c>
      <c r="H1241" s="189" t="inlineStr">
        <is>
          <t>HIGH</t>
        </is>
      </c>
      <c r="I1241" s="189" t="n">
        <v>15.8</v>
      </c>
      <c r="J1241" s="189" t="inlineStr">
        <is>
          <t>NO</t>
        </is>
      </c>
      <c r="K1241" s="189" t="inlineStr">
        <is>
          <t>https://nvd.nist.gov/vuln/detail/CVE-2025-69985</t>
        </is>
      </c>
      <c r="L1241" s="189" t="inlineStr">
        <is>
          <t>2026-02-26 00:15</t>
        </is>
      </c>
      <c r="M1241" s="189" t="inlineStr">
        <is>
          <t>CHECK_VENDOR</t>
        </is>
      </c>
      <c r="N1241" s="189" t="inlineStr">
        <is>
          <t>See NVD references</t>
        </is>
      </c>
      <c r="O1241" s="189" t="inlineStr">
        <is>
          <t>Apply vendor patches</t>
        </is>
      </c>
      <c r="P1241" s="189" t="inlineStr">
        <is>
          <t>See CVE details</t>
        </is>
      </c>
      <c r="Q1241" s="189" t="inlineStr">
        <is>
          <t>P3</t>
        </is>
      </c>
      <c r="R1241" s="189" t="inlineStr">
        <is>
          <t>🚨 URGENT: Apply vendor patches immediately | 🔒 Isolate affected systems if patch unavailable | 🛡️ Enable additional monitoring/IDS rules</t>
        </is>
      </c>
      <c r="S1241" s="189" t="inlineStr">
        <is>
          <t>CVE - IP enrichment n/a</t>
        </is>
      </c>
      <c r="T1241" s="189" t="n">
        <v>0</v>
      </c>
      <c r="U1241" s="189" t="n">
        <v>0</v>
      </c>
      <c r="V1241" s="189" t="inlineStr">
        <is>
          <t>T1190:Exploit Public-Facing Application | T1210:Exploitation of Remote Services | T1078:Valid Accounts</t>
        </is>
      </c>
      <c r="W1241" s="189" t="n">
        <v>1</v>
      </c>
      <c r="X1241" s="189" t="inlineStr">
        <is>
          <t>LOW (40%)</t>
        </is>
      </c>
      <c r="Y1241" s="189" t="inlineStr">
        <is>
          <t>UNLIKELY</t>
        </is>
      </c>
      <c r="Z1241" s="189" t="inlineStr">
        <is>
          <t>CHECK_VENDOR</t>
        </is>
      </c>
      <c r="AA1241" s="189" t="inlineStr">
        <is>
          <t>https://nvd.nist.gov/vuln/detail/CVE-2025-69985</t>
        </is>
      </c>
      <c r="AB1241" s="189" t="inlineStr">
        <is>
          <t>NONE</t>
        </is>
      </c>
      <c r="AC1241" s="189" t="n">
        <v>0</v>
      </c>
      <c r="AD1241" s="189" t="inlineStr"/>
    </row>
    <row r="1242">
      <c r="A1242" s="188" t="inlineStr">
        <is>
          <t>CVE</t>
        </is>
      </c>
      <c r="B1242" s="188" t="inlineStr">
        <is>
          <t>CVE-2026-23678</t>
        </is>
      </c>
      <c r="C1242" s="188" t="inlineStr">
        <is>
          <t>Binardat 10G08-0800GSM network switch firmware version V300SP10260209 and prior contain a command injection vulnerability in the traceroute diagnostic function of the affected device web management interface. By injecting the %1a character into the hostname parameter, an authenticated attacker with access to the web interface can execute arbitrary CLI commands on the device.</t>
        </is>
      </c>
      <c r="D1242" s="188" t="n">
        <v>8.800000000000001</v>
      </c>
      <c r="E1242" s="188" t="inlineStr">
        <is>
          <t>HIGH</t>
        </is>
      </c>
      <c r="F1242" s="188" t="n">
        <v>2</v>
      </c>
      <c r="G1242" s="188" t="n">
        <v>3</v>
      </c>
      <c r="H1242" s="188" t="inlineStr">
        <is>
          <t>HIGH</t>
        </is>
      </c>
      <c r="I1242" s="188" t="n">
        <v>14.8</v>
      </c>
      <c r="J1242" s="188" t="inlineStr">
        <is>
          <t>NO</t>
        </is>
      </c>
      <c r="K1242" s="188" t="inlineStr">
        <is>
          <t>https://nvd.nist.gov/vuln/detail/CVE-2026-23678</t>
        </is>
      </c>
      <c r="L1242" s="188" t="inlineStr">
        <is>
          <t>2026-02-26 00:15</t>
        </is>
      </c>
      <c r="M1242" s="188" t="inlineStr">
        <is>
          <t>CHECK_VENDOR</t>
        </is>
      </c>
      <c r="N1242" s="188" t="inlineStr">
        <is>
          <t>See NVD references</t>
        </is>
      </c>
      <c r="O1242" s="188" t="inlineStr">
        <is>
          <t>Apply vendor patches</t>
        </is>
      </c>
      <c r="P1242" s="188" t="inlineStr">
        <is>
          <t>binardat 10g08-0800gsm - | binardat 10g08-0800gsm_firmware *</t>
        </is>
      </c>
      <c r="Q1242" s="188" t="inlineStr">
        <is>
          <t>P3</t>
        </is>
      </c>
      <c r="R1242" s="188" t="inlineStr">
        <is>
          <t>🚨 URGENT: Apply vendor patches immediately | 🔒 Isolate affected systems if patch unavailable | 🛡️ Enable additional monitoring/IDS rules</t>
        </is>
      </c>
      <c r="S1242" s="188" t="inlineStr">
        <is>
          <t>CVE - IP enrichment n/a</t>
        </is>
      </c>
      <c r="T1242" s="188" t="n">
        <v>0</v>
      </c>
      <c r="U1242" s="188" t="n">
        <v>0</v>
      </c>
      <c r="V1242" s="188" t="inlineStr">
        <is>
          <t>T1059:Command and Scripting Interpreter</t>
        </is>
      </c>
      <c r="W1242" s="188" t="n">
        <v>1</v>
      </c>
      <c r="X1242" s="188" t="inlineStr">
        <is>
          <t>LOW (40%)</t>
        </is>
      </c>
      <c r="Y1242" s="188" t="inlineStr">
        <is>
          <t>UNLIKELY</t>
        </is>
      </c>
      <c r="Z1242" s="188" t="inlineStr">
        <is>
          <t>CHECK_VENDOR</t>
        </is>
      </c>
      <c r="AA1242" s="188" t="inlineStr">
        <is>
          <t>https://nvd.nist.gov/vuln/detail/CVE-2026-23678</t>
        </is>
      </c>
      <c r="AB1242" s="188" t="inlineStr">
        <is>
          <t>NONE</t>
        </is>
      </c>
      <c r="AC1242" s="188" t="n">
        <v>0</v>
      </c>
      <c r="AD1242" s="188" t="inlineStr"/>
    </row>
    <row r="1243">
      <c r="A1243" s="189" t="inlineStr">
        <is>
          <t>CVE</t>
        </is>
      </c>
      <c r="B1243" s="189" t="inlineStr">
        <is>
          <t>CVE-2026-27507</t>
        </is>
      </c>
      <c r="C1243" s="189" t="inlineStr">
        <is>
          <t>Binardat 10G08-0800GSM network switch firmware version V300SP10260209 and prior contain hard-coded administrative credentials that cannot be changed by users. Knowledge of these credentials allows full administrative access to the device.</t>
        </is>
      </c>
      <c r="D1243" s="189" t="n">
        <v>9.800000000000001</v>
      </c>
      <c r="E1243" s="189" t="inlineStr">
        <is>
          <t>CRITICAL</t>
        </is>
      </c>
      <c r="F1243" s="189" t="n">
        <v>2</v>
      </c>
      <c r="G1243" s="189" t="n">
        <v>3</v>
      </c>
      <c r="H1243" s="189" t="inlineStr">
        <is>
          <t>HIGH</t>
        </is>
      </c>
      <c r="I1243" s="189" t="n">
        <v>15.8</v>
      </c>
      <c r="J1243" s="189" t="inlineStr">
        <is>
          <t>NO</t>
        </is>
      </c>
      <c r="K1243" s="189" t="inlineStr">
        <is>
          <t>https://nvd.nist.gov/vuln/detail/CVE-2026-27507</t>
        </is>
      </c>
      <c r="L1243" s="189" t="inlineStr">
        <is>
          <t>2026-02-26 00:15</t>
        </is>
      </c>
      <c r="M1243" s="189" t="inlineStr">
        <is>
          <t>CHECK_VENDOR</t>
        </is>
      </c>
      <c r="N1243" s="189" t="inlineStr">
        <is>
          <t>See NVD references</t>
        </is>
      </c>
      <c r="O1243" s="189" t="inlineStr">
        <is>
          <t>Apply vendor patches</t>
        </is>
      </c>
      <c r="P1243" s="189" t="inlineStr">
        <is>
          <t>binardat 10g08-0800gsm - | binardat 10g08-0800gsm_firmware *</t>
        </is>
      </c>
      <c r="Q1243" s="189" t="inlineStr">
        <is>
          <t>P3</t>
        </is>
      </c>
      <c r="R1243" s="189" t="inlineStr">
        <is>
          <t>🚨 URGENT: Apply vendor patches immediately | 🔒 Isolate affected systems if patch unavailable | 🛡️ Enable additional monitoring/IDS rules</t>
        </is>
      </c>
      <c r="S1243" s="189" t="inlineStr">
        <is>
          <t>CVE - IP enrichment n/a</t>
        </is>
      </c>
      <c r="T1243" s="189" t="n">
        <v>0</v>
      </c>
      <c r="U1243" s="189" t="n">
        <v>0</v>
      </c>
      <c r="V1243" s="189" t="inlineStr">
        <is>
          <t>T1552:Unsecured Credentials</t>
        </is>
      </c>
      <c r="W1243" s="189" t="n">
        <v>1</v>
      </c>
      <c r="X1243" s="189" t="inlineStr">
        <is>
          <t>LOW (40%)</t>
        </is>
      </c>
      <c r="Y1243" s="189" t="inlineStr">
        <is>
          <t>UNLIKELY</t>
        </is>
      </c>
      <c r="Z1243" s="189" t="inlineStr">
        <is>
          <t>CHECK_VENDOR</t>
        </is>
      </c>
      <c r="AA1243" s="189" t="inlineStr">
        <is>
          <t>https://nvd.nist.gov/vuln/detail/CVE-2026-27507</t>
        </is>
      </c>
      <c r="AB1243" s="189" t="inlineStr">
        <is>
          <t>NONE</t>
        </is>
      </c>
      <c r="AC1243" s="189" t="n">
        <v>0</v>
      </c>
      <c r="AD1243" s="189" t="inlineStr"/>
    </row>
    <row r="1244">
      <c r="A1244" s="189" t="inlineStr">
        <is>
          <t>CVE</t>
        </is>
      </c>
      <c r="B1244" s="189" t="inlineStr">
        <is>
          <t>CVE-2026-27515</t>
        </is>
      </c>
      <c r="C1244" s="189" t="inlineStr">
        <is>
          <t>Binardat 10G08-0800GSM network switch firmware versions prior to V300SP10260209 generate predictable numeric session identifiers in the web management interface. An attacker can guess valid session IDs and hijack authenticated sessions.</t>
        </is>
      </c>
      <c r="D1244" s="189" t="n">
        <v>9.1</v>
      </c>
      <c r="E1244" s="189" t="inlineStr">
        <is>
          <t>CRITICAL</t>
        </is>
      </c>
      <c r="F1244" s="189" t="n">
        <v>2</v>
      </c>
      <c r="G1244" s="189" t="n">
        <v>3</v>
      </c>
      <c r="H1244" s="189" t="inlineStr">
        <is>
          <t>HIGH</t>
        </is>
      </c>
      <c r="I1244" s="189" t="n">
        <v>15.1</v>
      </c>
      <c r="J1244" s="189" t="inlineStr">
        <is>
          <t>NO</t>
        </is>
      </c>
      <c r="K1244" s="189" t="inlineStr">
        <is>
          <t>https://nvd.nist.gov/vuln/detail/CVE-2026-27515</t>
        </is>
      </c>
      <c r="L1244" s="189" t="inlineStr">
        <is>
          <t>2026-02-26 00:15</t>
        </is>
      </c>
      <c r="M1244" s="189" t="inlineStr">
        <is>
          <t>CHECK_VENDOR</t>
        </is>
      </c>
      <c r="N1244" s="189" t="inlineStr">
        <is>
          <t>See NVD references</t>
        </is>
      </c>
      <c r="O1244" s="189" t="inlineStr">
        <is>
          <t>Apply vendor patches</t>
        </is>
      </c>
      <c r="P1244" s="189" t="inlineStr">
        <is>
          <t>binardat 10g08-0800gsm - | binardat 10g08-0800gsm_firmware *</t>
        </is>
      </c>
      <c r="Q1244" s="189" t="inlineStr">
        <is>
          <t>P3</t>
        </is>
      </c>
      <c r="R1244" s="189" t="inlineStr">
        <is>
          <t>🚨 URGENT: Apply vendor patches immediately | 🔒 Isolate affected systems if patch unavailable | 🛡️ Enable additional monitoring/IDS rules</t>
        </is>
      </c>
      <c r="S1244" s="189" t="inlineStr">
        <is>
          <t>CVE - IP enrichment n/a</t>
        </is>
      </c>
      <c r="T1244" s="189" t="n">
        <v>0.0003</v>
      </c>
      <c r="U1244" s="189" t="n">
        <v>0.08649999999999999</v>
      </c>
      <c r="V1244" s="189" t="inlineStr">
        <is>
          <t>T1600:Weaken Encryption</t>
        </is>
      </c>
      <c r="W1244" s="189" t="n">
        <v>1</v>
      </c>
      <c r="X1244" s="189" t="inlineStr">
        <is>
          <t>LOW (40%)</t>
        </is>
      </c>
      <c r="Y1244" s="189" t="inlineStr">
        <is>
          <t>UNLIKELY</t>
        </is>
      </c>
      <c r="Z1244" s="189" t="inlineStr">
        <is>
          <t>CHECK_VENDOR</t>
        </is>
      </c>
      <c r="AA1244" s="189" t="inlineStr">
        <is>
          <t>https://nvd.nist.gov/vuln/detail/CVE-2026-27515</t>
        </is>
      </c>
      <c r="AB1244" s="189" t="inlineStr">
        <is>
          <t>NONE</t>
        </is>
      </c>
      <c r="AC1244" s="189" t="n">
        <v>0</v>
      </c>
      <c r="AD1244" s="189" t="inlineStr"/>
    </row>
    <row r="1245">
      <c r="A1245" s="188" t="inlineStr">
        <is>
          <t>CVE</t>
        </is>
      </c>
      <c r="B1245" s="188" t="inlineStr">
        <is>
          <t>CVE-2026-27516</t>
        </is>
      </c>
      <c r="C1245" s="188" t="inlineStr">
        <is>
          <t>Binardat 10G08-0800GSM network switch firmware version V300SP10260209 and prior expose user passwords in plaintext within the administrative interface and HTTP responses, allowing recovery of valid credentials.</t>
        </is>
      </c>
      <c r="D1245" s="188" t="n">
        <v>8.1</v>
      </c>
      <c r="E1245" s="188" t="inlineStr">
        <is>
          <t>HIGH</t>
        </is>
      </c>
      <c r="F1245" s="188" t="n">
        <v>2</v>
      </c>
      <c r="G1245" s="188" t="n">
        <v>3</v>
      </c>
      <c r="H1245" s="188" t="inlineStr">
        <is>
          <t>HIGH</t>
        </is>
      </c>
      <c r="I1245" s="188" t="n">
        <v>14.1</v>
      </c>
      <c r="J1245" s="188" t="inlineStr">
        <is>
          <t>NO</t>
        </is>
      </c>
      <c r="K1245" s="188" t="inlineStr">
        <is>
          <t>https://nvd.nist.gov/vuln/detail/CVE-2026-27516</t>
        </is>
      </c>
      <c r="L1245" s="188" t="inlineStr">
        <is>
          <t>2026-02-26 00:15</t>
        </is>
      </c>
      <c r="M1245" s="188" t="inlineStr">
        <is>
          <t>CHECK_VENDOR</t>
        </is>
      </c>
      <c r="N1245" s="188" t="inlineStr">
        <is>
          <t>See NVD references</t>
        </is>
      </c>
      <c r="O1245" s="188" t="inlineStr">
        <is>
          <t>Apply vendor patches</t>
        </is>
      </c>
      <c r="P1245" s="188" t="inlineStr">
        <is>
          <t>binardat 10g08-0800gsm - | binardat 10g08-0800gsm_firmware *</t>
        </is>
      </c>
      <c r="Q1245" s="188" t="inlineStr">
        <is>
          <t>P3</t>
        </is>
      </c>
      <c r="R1245" s="188" t="inlineStr">
        <is>
          <t>🚨 URGENT: Apply vendor patches immediately | 🔒 Isolate affected systems if patch unavailable | 🛡️ Enable additional monitoring/IDS rules</t>
        </is>
      </c>
      <c r="S1245" s="188" t="inlineStr">
        <is>
          <t>CVE - IP enrichment n/a</t>
        </is>
      </c>
      <c r="T1245" s="188" t="n">
        <v>0</v>
      </c>
      <c r="U1245" s="188" t="n">
        <v>0</v>
      </c>
      <c r="V1245" s="188" t="inlineStr">
        <is>
          <t>T1552:Unsecured Credentials</t>
        </is>
      </c>
      <c r="W1245" s="188" t="n">
        <v>1</v>
      </c>
      <c r="X1245" s="188" t="inlineStr">
        <is>
          <t>LOW (40%)</t>
        </is>
      </c>
      <c r="Y1245" s="188" t="inlineStr">
        <is>
          <t>UNLIKELY</t>
        </is>
      </c>
      <c r="Z1245" s="188" t="inlineStr">
        <is>
          <t>CHECK_VENDOR</t>
        </is>
      </c>
      <c r="AA1245" s="188" t="inlineStr">
        <is>
          <t>https://nvd.nist.gov/vuln/detail/CVE-2026-27516</t>
        </is>
      </c>
      <c r="AB1245" s="188" t="inlineStr">
        <is>
          <t>NONE</t>
        </is>
      </c>
      <c r="AC1245" s="188" t="n">
        <v>0</v>
      </c>
      <c r="AD1245" s="188" t="inlineStr"/>
    </row>
    <row r="1246">
      <c r="A1246" s="187" t="inlineStr">
        <is>
          <t>CVE</t>
        </is>
      </c>
      <c r="B1246" s="187" t="inlineStr">
        <is>
          <t>CVE-2026-27517</t>
        </is>
      </c>
      <c r="C1246" s="187" t="inlineStr">
        <is>
          <t>Binardat 10G08-0800GSM network switch firmware version V300SP10260209 and prior reflect unsanitized user input in the web interface, allowing an attacker to inject and execute arbitrary JavaScript in the context of an authenticated user.</t>
        </is>
      </c>
      <c r="D1246" s="187" t="n">
        <v>5.4</v>
      </c>
      <c r="E1246" s="187" t="inlineStr">
        <is>
          <t>MEDIUM</t>
        </is>
      </c>
      <c r="F1246" s="187" t="n">
        <v>2</v>
      </c>
      <c r="G1246" s="187" t="n">
        <v>2</v>
      </c>
      <c r="H1246" s="187" t="inlineStr">
        <is>
          <t>MEDIUM</t>
        </is>
      </c>
      <c r="I1246" s="187" t="n">
        <v>9.4</v>
      </c>
      <c r="J1246" s="187" t="inlineStr">
        <is>
          <t>NO</t>
        </is>
      </c>
      <c r="K1246" s="187" t="inlineStr">
        <is>
          <t>https://nvd.nist.gov/vuln/detail/CVE-2026-27517</t>
        </is>
      </c>
      <c r="L1246" s="187" t="inlineStr">
        <is>
          <t>2026-02-26 00:15</t>
        </is>
      </c>
      <c r="M1246" s="187" t="inlineStr">
        <is>
          <t>CHECK_VENDOR</t>
        </is>
      </c>
      <c r="N1246" s="187" t="inlineStr">
        <is>
          <t>See NVD references</t>
        </is>
      </c>
      <c r="O1246" s="187" t="inlineStr">
        <is>
          <t>Apply vendor patches</t>
        </is>
      </c>
      <c r="P1246" s="187" t="inlineStr">
        <is>
          <t>binardat 10g08-0800gsm - | binardat 10g08-0800gsm_firmware *</t>
        </is>
      </c>
      <c r="Q1246" s="187" t="inlineStr">
        <is>
          <t>P4</t>
        </is>
      </c>
      <c r="R1246" s="187" t="inlineStr">
        <is>
          <t>📅 Schedule patch deployment within 30 days | 🔍 Monitor for exploitation attempts</t>
        </is>
      </c>
      <c r="S1246" s="187" t="inlineStr">
        <is>
          <t>CVE - IP enrichment n/a</t>
        </is>
      </c>
      <c r="T1246" s="187" t="n">
        <v>0</v>
      </c>
      <c r="U1246" s="187" t="n">
        <v>0</v>
      </c>
      <c r="V1246" s="187" t="inlineStr">
        <is>
          <t>T1189:Drive-by Compromise</t>
        </is>
      </c>
      <c r="W1246" s="187" t="n">
        <v>1</v>
      </c>
      <c r="X1246" s="187" t="inlineStr">
        <is>
          <t>LOW (40%)</t>
        </is>
      </c>
      <c r="Y1246" s="187" t="inlineStr">
        <is>
          <t>UNLIKELY</t>
        </is>
      </c>
      <c r="Z1246" s="187" t="inlineStr">
        <is>
          <t>CHECK_VENDOR</t>
        </is>
      </c>
      <c r="AA1246" s="187" t="inlineStr">
        <is>
          <t>https://nvd.nist.gov/vuln/detail/CVE-2026-27517</t>
        </is>
      </c>
      <c r="AB1246" s="187" t="inlineStr">
        <is>
          <t>NONE</t>
        </is>
      </c>
      <c r="AC1246" s="187" t="n">
        <v>0</v>
      </c>
      <c r="AD1246" s="187" t="inlineStr"/>
    </row>
    <row r="1247">
      <c r="A1247" s="187" t="inlineStr">
        <is>
          <t>CVE</t>
        </is>
      </c>
      <c r="B1247" s="187" t="inlineStr">
        <is>
          <t>CVE-2026-27518</t>
        </is>
      </c>
      <c r="C1247" s="187" t="inlineStr">
        <is>
          <t>Binardat 10G08-0800GSM network switch firmware version V300SP10260209 and prior lack CSRF protections for state-changing actions in the administrative interface. An attacker can trick an authenticated administrator into performing unauthorized configuration changes.</t>
        </is>
      </c>
      <c r="D1247" s="187" t="n">
        <v>4.3</v>
      </c>
      <c r="E1247" s="187" t="inlineStr">
        <is>
          <t>MEDIUM</t>
        </is>
      </c>
      <c r="F1247" s="187" t="n">
        <v>2</v>
      </c>
      <c r="G1247" s="187" t="n">
        <v>2</v>
      </c>
      <c r="H1247" s="187" t="inlineStr">
        <is>
          <t>MEDIUM</t>
        </is>
      </c>
      <c r="I1247" s="187" t="n">
        <v>8.300000000000001</v>
      </c>
      <c r="J1247" s="187" t="inlineStr">
        <is>
          <t>NO</t>
        </is>
      </c>
      <c r="K1247" s="187" t="inlineStr">
        <is>
          <t>https://nvd.nist.gov/vuln/detail/CVE-2026-27518</t>
        </is>
      </c>
      <c r="L1247" s="187" t="inlineStr">
        <is>
          <t>2026-02-26 00:15</t>
        </is>
      </c>
      <c r="M1247" s="187" t="inlineStr">
        <is>
          <t>CHECK_VENDOR</t>
        </is>
      </c>
      <c r="N1247" s="187" t="inlineStr">
        <is>
          <t>See NVD references</t>
        </is>
      </c>
      <c r="O1247" s="187" t="inlineStr">
        <is>
          <t>Apply vendor patches</t>
        </is>
      </c>
      <c r="P1247" s="187" t="inlineStr">
        <is>
          <t>binardat 10g08-0800gsm - | binardat 10g08-0800gsm_firmware *</t>
        </is>
      </c>
      <c r="Q1247" s="187" t="inlineStr">
        <is>
          <t>P4</t>
        </is>
      </c>
      <c r="R1247" s="187" t="inlineStr">
        <is>
          <t>📅 Schedule patch deployment within 30 days | 🔍 Monitor for exploitation attempts</t>
        </is>
      </c>
      <c r="S1247" s="187" t="inlineStr">
        <is>
          <t>CVE - IP enrichment n/a</t>
        </is>
      </c>
      <c r="T1247" s="187" t="n">
        <v>0.0001</v>
      </c>
      <c r="U1247" s="187" t="n">
        <v>0.026</v>
      </c>
      <c r="V1247" s="187" t="inlineStr">
        <is>
          <t>T1185:Browser Session Hijacking</t>
        </is>
      </c>
      <c r="W1247" s="187" t="n">
        <v>1</v>
      </c>
      <c r="X1247" s="187" t="inlineStr">
        <is>
          <t>LOW (40%)</t>
        </is>
      </c>
      <c r="Y1247" s="187" t="inlineStr">
        <is>
          <t>UNLIKELY</t>
        </is>
      </c>
      <c r="Z1247" s="187" t="inlineStr">
        <is>
          <t>CHECK_VENDOR</t>
        </is>
      </c>
      <c r="AA1247" s="187" t="inlineStr">
        <is>
          <t>https://nvd.nist.gov/vuln/detail/CVE-2026-27518</t>
        </is>
      </c>
      <c r="AB1247" s="187" t="inlineStr">
        <is>
          <t>NONE</t>
        </is>
      </c>
      <c r="AC1247" s="187" t="n">
        <v>0</v>
      </c>
      <c r="AD1247" s="187" t="inlineStr"/>
    </row>
    <row r="1248">
      <c r="A1248" s="188" t="inlineStr">
        <is>
          <t>CVE</t>
        </is>
      </c>
      <c r="B1248" s="188" t="inlineStr">
        <is>
          <t>CVE-2026-27519</t>
        </is>
      </c>
      <c r="C1248" s="188" t="inlineStr">
        <is>
          <t>Binardat 10G08-0800GSM network switch firmware version V300SP10260209 and prior use RC4 with a hard-coded key embedded in client-side JavaScript. Because the key is static and exposed, an attacker can decrypt protected values and defeat confidentiality protections.</t>
        </is>
      </c>
      <c r="D1248" s="188" t="n">
        <v>7.5</v>
      </c>
      <c r="E1248" s="188" t="inlineStr">
        <is>
          <t>HIGH</t>
        </is>
      </c>
      <c r="F1248" s="188" t="n">
        <v>2</v>
      </c>
      <c r="G1248" s="188" t="n">
        <v>3</v>
      </c>
      <c r="H1248" s="188" t="inlineStr">
        <is>
          <t>HIGH</t>
        </is>
      </c>
      <c r="I1248" s="188" t="n">
        <v>13.5</v>
      </c>
      <c r="J1248" s="188" t="inlineStr">
        <is>
          <t>NO</t>
        </is>
      </c>
      <c r="K1248" s="188" t="inlineStr">
        <is>
          <t>https://nvd.nist.gov/vuln/detail/CVE-2026-27519</t>
        </is>
      </c>
      <c r="L1248" s="188" t="inlineStr">
        <is>
          <t>2026-02-26 00:15</t>
        </is>
      </c>
      <c r="M1248" s="188" t="inlineStr">
        <is>
          <t>CHECK_VENDOR</t>
        </is>
      </c>
      <c r="N1248" s="188" t="inlineStr">
        <is>
          <t>See NVD references</t>
        </is>
      </c>
      <c r="O1248" s="188" t="inlineStr">
        <is>
          <t>Apply vendor patches</t>
        </is>
      </c>
      <c r="P1248" s="188" t="inlineStr">
        <is>
          <t>binardat 10g08-0800gsm - | binardat 10g08-0800gsm_firmware *</t>
        </is>
      </c>
      <c r="Q1248" s="188" t="inlineStr">
        <is>
          <t>P3</t>
        </is>
      </c>
      <c r="R1248" s="188" t="inlineStr">
        <is>
          <t>🚨 URGENT: Apply vendor patches immediately | 🔒 Isolate affected systems if patch unavailable | 🛡️ Enable additional monitoring/IDS rules</t>
        </is>
      </c>
      <c r="S1248" s="188" t="inlineStr">
        <is>
          <t>CVE - IP enrichment n/a</t>
        </is>
      </c>
      <c r="T1248" s="188" t="n">
        <v>0</v>
      </c>
      <c r="U1248" s="188" t="n">
        <v>0</v>
      </c>
      <c r="V1248" s="188" t="inlineStr">
        <is>
          <t>T1190:Exploit Public-Facing Application</t>
        </is>
      </c>
      <c r="W1248" s="188" t="n">
        <v>1</v>
      </c>
      <c r="X1248" s="188" t="inlineStr">
        <is>
          <t>LOW (40%)</t>
        </is>
      </c>
      <c r="Y1248" s="188" t="inlineStr">
        <is>
          <t>UNLIKELY</t>
        </is>
      </c>
      <c r="Z1248" s="188" t="inlineStr">
        <is>
          <t>CHECK_VENDOR</t>
        </is>
      </c>
      <c r="AA1248" s="188" t="inlineStr">
        <is>
          <t>https://nvd.nist.gov/vuln/detail/CVE-2026-27519</t>
        </is>
      </c>
      <c r="AB1248" s="188" t="inlineStr">
        <is>
          <t>NONE</t>
        </is>
      </c>
      <c r="AC1248" s="188" t="n">
        <v>0</v>
      </c>
      <c r="AD1248" s="188" t="inlineStr"/>
    </row>
    <row r="1249">
      <c r="A1249" s="188" t="inlineStr">
        <is>
          <t>CVE</t>
        </is>
      </c>
      <c r="B1249" s="188" t="inlineStr">
        <is>
          <t>CVE-2026-27520</t>
        </is>
      </c>
      <c r="C1249" s="188" t="inlineStr">
        <is>
          <t>Binardat 10G08-0800GSM network switch firmware versions prior to V300SP10260209 store a user password in a client-side cookie as a Base64-encoded value accessible via the web interface. Because Base64 is reversible and provides no confidentiality, an attacker who can access the cookie value can recover the plaintext password.</t>
        </is>
      </c>
      <c r="D1249" s="188" t="n">
        <v>7.5</v>
      </c>
      <c r="E1249" s="188" t="inlineStr">
        <is>
          <t>HIGH</t>
        </is>
      </c>
      <c r="F1249" s="188" t="n">
        <v>2</v>
      </c>
      <c r="G1249" s="188" t="n">
        <v>3</v>
      </c>
      <c r="H1249" s="188" t="inlineStr">
        <is>
          <t>HIGH</t>
        </is>
      </c>
      <c r="I1249" s="188" t="n">
        <v>13.5</v>
      </c>
      <c r="J1249" s="188" t="inlineStr">
        <is>
          <t>NO</t>
        </is>
      </c>
      <c r="K1249" s="188" t="inlineStr">
        <is>
          <t>https://nvd.nist.gov/vuln/detail/CVE-2026-27520</t>
        </is>
      </c>
      <c r="L1249" s="188" t="inlineStr">
        <is>
          <t>2026-02-26 00:15</t>
        </is>
      </c>
      <c r="M1249" s="188" t="inlineStr">
        <is>
          <t>CHECK_VENDOR</t>
        </is>
      </c>
      <c r="N1249" s="188" t="inlineStr">
        <is>
          <t>See NVD references</t>
        </is>
      </c>
      <c r="O1249" s="188" t="inlineStr">
        <is>
          <t>Apply vendor patches</t>
        </is>
      </c>
      <c r="P1249" s="188" t="inlineStr">
        <is>
          <t>binardat 10g08-0800gsm - | binardat 10g08-0800gsm_firmware *</t>
        </is>
      </c>
      <c r="Q1249" s="188" t="inlineStr">
        <is>
          <t>P3</t>
        </is>
      </c>
      <c r="R1249" s="188" t="inlineStr">
        <is>
          <t>🚨 URGENT: Apply vendor patches immediately | 🔒 Isolate affected systems if patch unavailable | 🛡️ Enable additional monitoring/IDS rules</t>
        </is>
      </c>
      <c r="S1249" s="188" t="inlineStr">
        <is>
          <t>CVE - IP enrichment n/a</t>
        </is>
      </c>
      <c r="T1249" s="188" t="n">
        <v>0</v>
      </c>
      <c r="U1249" s="188" t="n">
        <v>0</v>
      </c>
      <c r="V1249" s="188" t="inlineStr">
        <is>
          <t>T1190:Exploit Public-Facing Application</t>
        </is>
      </c>
      <c r="W1249" s="188" t="n">
        <v>1</v>
      </c>
      <c r="X1249" s="188" t="inlineStr">
        <is>
          <t>LOW (40%)</t>
        </is>
      </c>
      <c r="Y1249" s="188" t="inlineStr">
        <is>
          <t>UNLIKELY</t>
        </is>
      </c>
      <c r="Z1249" s="188" t="inlineStr">
        <is>
          <t>CHECK_VENDOR</t>
        </is>
      </c>
      <c r="AA1249" s="188" t="inlineStr">
        <is>
          <t>https://nvd.nist.gov/vuln/detail/CVE-2026-27520</t>
        </is>
      </c>
      <c r="AB1249" s="188" t="inlineStr">
        <is>
          <t>NONE</t>
        </is>
      </c>
      <c r="AC1249" s="188" t="n">
        <v>0</v>
      </c>
      <c r="AD1249" s="188" t="inlineStr"/>
    </row>
    <row r="1250">
      <c r="A1250" s="187" t="inlineStr">
        <is>
          <t>CVE</t>
        </is>
      </c>
      <c r="B1250" s="187" t="inlineStr">
        <is>
          <t>CVE-2026-27521</t>
        </is>
      </c>
      <c r="C1250" s="187" t="inlineStr">
        <is>
          <t>Binardat 10G08-0800GSM network switch firmware version V300SP10260209 and prior do not implement rate limiting or account lockout on failed login attempts, enabling brute-force attacks against user credentials.</t>
        </is>
      </c>
      <c r="D1250" s="187" t="n">
        <v>6.5</v>
      </c>
      <c r="E1250" s="187" t="inlineStr">
        <is>
          <t>MEDIUM</t>
        </is>
      </c>
      <c r="F1250" s="187" t="n">
        <v>2</v>
      </c>
      <c r="G1250" s="187" t="n">
        <v>2</v>
      </c>
      <c r="H1250" s="187" t="inlineStr">
        <is>
          <t>MEDIUM</t>
        </is>
      </c>
      <c r="I1250" s="187" t="n">
        <v>10.5</v>
      </c>
      <c r="J1250" s="187" t="inlineStr">
        <is>
          <t>NO</t>
        </is>
      </c>
      <c r="K1250" s="187" t="inlineStr">
        <is>
          <t>https://nvd.nist.gov/vuln/detail/CVE-2026-27521</t>
        </is>
      </c>
      <c r="L1250" s="187" t="inlineStr">
        <is>
          <t>2026-02-26 00:15</t>
        </is>
      </c>
      <c r="M1250" s="187" t="inlineStr">
        <is>
          <t>CHECK_VENDOR</t>
        </is>
      </c>
      <c r="N1250" s="187" t="inlineStr">
        <is>
          <t>See NVD references</t>
        </is>
      </c>
      <c r="O1250" s="187" t="inlineStr">
        <is>
          <t>Apply vendor patches</t>
        </is>
      </c>
      <c r="P1250" s="187" t="inlineStr">
        <is>
          <t>binardat 10g08-0800gsm - | binardat 10g08-0800gsm_firmware *</t>
        </is>
      </c>
      <c r="Q1250" s="187" t="inlineStr">
        <is>
          <t>P4</t>
        </is>
      </c>
      <c r="R1250" s="187" t="inlineStr">
        <is>
          <t>📅 Schedule patch deployment within 30 days | 🔍 Monitor for exploitation attempts</t>
        </is>
      </c>
      <c r="S1250" s="187" t="inlineStr">
        <is>
          <t>CVE - IP enrichment n/a</t>
        </is>
      </c>
      <c r="T1250" s="187" t="n">
        <v>0</v>
      </c>
      <c r="U1250" s="187" t="n">
        <v>0</v>
      </c>
      <c r="V1250" s="187" t="inlineStr">
        <is>
          <t>T1190:Exploit Public-Facing Application | T1552:Unsecured Credentials</t>
        </is>
      </c>
      <c r="W1250" s="187" t="n">
        <v>1</v>
      </c>
      <c r="X1250" s="187" t="inlineStr">
        <is>
          <t>LOW (40%)</t>
        </is>
      </c>
      <c r="Y1250" s="187" t="inlineStr">
        <is>
          <t>UNLIKELY</t>
        </is>
      </c>
      <c r="Z1250" s="187" t="inlineStr">
        <is>
          <t>CHECK_VENDOR</t>
        </is>
      </c>
      <c r="AA1250" s="187" t="inlineStr">
        <is>
          <t>https://nvd.nist.gov/vuln/detail/CVE-2026-27521</t>
        </is>
      </c>
      <c r="AB1250" s="187" t="inlineStr">
        <is>
          <t>NONE</t>
        </is>
      </c>
      <c r="AC1250" s="187" t="n">
        <v>0</v>
      </c>
      <c r="AD1250" s="187" t="inlineStr"/>
    </row>
    <row r="1251">
      <c r="A1251" s="188" t="inlineStr">
        <is>
          <t>CVE</t>
        </is>
      </c>
      <c r="B1251" s="188" t="inlineStr">
        <is>
          <t>CVE-2024-48928</t>
        </is>
      </c>
      <c r="C1251" s="188" t="inlineStr">
        <is>
          <t xml:space="preserve">Piwigo is an open source photo gallery application for the web. In versions on the 14.x branch, when installing, the secret_key configuration parameter is set to MD5(RAND()) in MySQL. However, RAND() only has 30 bits of randomness, making it feasible to brute-force the secret key. The CSRF token is constructed partially from the secret key, and this can be used to check if the brute force succeeded. Trying all possible values takes approximately one hour. The impact of this is limited. The auto </t>
        </is>
      </c>
      <c r="D1251" s="188" t="n">
        <v>7.5</v>
      </c>
      <c r="E1251" s="188" t="inlineStr">
        <is>
          <t>HIGH</t>
        </is>
      </c>
      <c r="F1251" s="188" t="n">
        <v>2</v>
      </c>
      <c r="G1251" s="188" t="n">
        <v>3</v>
      </c>
      <c r="H1251" s="188" t="inlineStr">
        <is>
          <t>HIGH</t>
        </is>
      </c>
      <c r="I1251" s="188" t="n">
        <v>13.5</v>
      </c>
      <c r="J1251" s="188" t="inlineStr">
        <is>
          <t>NO</t>
        </is>
      </c>
      <c r="K1251" s="188" t="inlineStr">
        <is>
          <t>https://nvd.nist.gov/vuln/detail/CVE-2024-48928</t>
        </is>
      </c>
      <c r="L1251" s="188" t="inlineStr">
        <is>
          <t>2026-02-26 00:15</t>
        </is>
      </c>
      <c r="M1251" s="188" t="inlineStr">
        <is>
          <t>YES</t>
        </is>
      </c>
      <c r="N1251" s="188" t="inlineStr">
        <is>
          <t>https://github.com/Piwigo/Piwigo/commit/552499e0533ce54b55f4304b41ca6cd7ccce51f8 | https://github.com/Piwigo/Piwigo/security/advisories/GHSA-hghg-37rg-7r42</t>
        </is>
      </c>
      <c r="O1251" s="188" t="inlineStr">
        <is>
          <t>Apply vendor patches</t>
        </is>
      </c>
      <c r="P1251" s="188" t="inlineStr">
        <is>
          <t>piwigo piwigo *</t>
        </is>
      </c>
      <c r="Q1251" s="188" t="inlineStr">
        <is>
          <t>P1</t>
        </is>
      </c>
      <c r="R1251" s="188" t="inlineStr">
        <is>
          <t>🚨 URGENT: Apply vendor patches immediately | 🔒 Isolate affected systems if patch unavailable | 🛡️ Enable additional monitoring/IDS rules</t>
        </is>
      </c>
      <c r="S1251" s="188" t="inlineStr">
        <is>
          <t>CVE - IP enrichment n/a</t>
        </is>
      </c>
      <c r="T1251" s="188" t="n">
        <v>0</v>
      </c>
      <c r="U1251" s="188" t="n">
        <v>0</v>
      </c>
      <c r="V1251" s="188" t="inlineStr">
        <is>
          <t>T1600:Weaken Encryption | T1190:Exploit Public-Facing Application | T1110:Brute Force</t>
        </is>
      </c>
      <c r="W1251" s="188" t="n">
        <v>2</v>
      </c>
      <c r="X1251" s="188" t="inlineStr">
        <is>
          <t>HIGH (72%)</t>
        </is>
      </c>
      <c r="Y1251" s="188" t="inlineStr">
        <is>
          <t>HIGH</t>
        </is>
      </c>
      <c r="Z1251" s="188" t="inlineStr">
        <is>
          <t>PATCH_AVAILABLE</t>
        </is>
      </c>
      <c r="AA1251" s="188" t="inlineStr">
        <is>
          <t>https://nvd.nist.gov/vuln/detail/CVE-2024-48928</t>
        </is>
      </c>
      <c r="AB1251" s="188" t="inlineStr">
        <is>
          <t>http://www.zerodayinitiative.com/advisories/ZDI-26-123/</t>
        </is>
      </c>
      <c r="AC1251" s="188" t="n">
        <v>0</v>
      </c>
      <c r="AD1251" s="188" t="inlineStr"/>
    </row>
    <row r="1252">
      <c r="A1252" s="187" t="inlineStr">
        <is>
          <t>CVE</t>
        </is>
      </c>
      <c r="B1252" s="187" t="inlineStr">
        <is>
          <t>CVE-2025-13776</t>
        </is>
      </c>
      <c r="C1252" s="187" t="inlineStr">
        <is>
          <t>Multiple Finka programs use hard-coded Firebird database credentials (shared across all instances of this software). A malicious attacker in local network who knows default credentials is able to read and edit database content.
This vulnerability has been fixed in version: Finka-FK 18.5, Finka-KPR 16.6, Finka-Płace 13.4, Finka-Faktura 18.3, Finka-Magazyn 8.3, Finka-STW 12.3</t>
        </is>
      </c>
      <c r="D1252" s="187" t="n">
        <v>5</v>
      </c>
      <c r="E1252" s="187" t="inlineStr">
        <is>
          <t>MEDIUM</t>
        </is>
      </c>
      <c r="F1252" s="187" t="n">
        <v>2</v>
      </c>
      <c r="G1252" s="187" t="n">
        <v>2</v>
      </c>
      <c r="H1252" s="187" t="inlineStr">
        <is>
          <t>MEDIUM</t>
        </is>
      </c>
      <c r="I1252" s="187" t="n">
        <v>9</v>
      </c>
      <c r="J1252" s="187" t="inlineStr">
        <is>
          <t>NO</t>
        </is>
      </c>
      <c r="K1252" s="187" t="inlineStr">
        <is>
          <t>https://nvd.nist.gov/vuln/detail/CVE-2025-13776</t>
        </is>
      </c>
      <c r="L1252" s="187" t="inlineStr">
        <is>
          <t>2026-02-26 00:15</t>
        </is>
      </c>
      <c r="M1252" s="187" t="inlineStr">
        <is>
          <t>CHECK_VENDOR</t>
        </is>
      </c>
      <c r="N1252" s="187" t="inlineStr">
        <is>
          <t>See NVD references</t>
        </is>
      </c>
      <c r="O1252" s="187" t="inlineStr">
        <is>
          <t>Apply vendor patches</t>
        </is>
      </c>
      <c r="P1252" s="187" t="inlineStr">
        <is>
          <t>See CVE details</t>
        </is>
      </c>
      <c r="Q1252" s="187" t="inlineStr">
        <is>
          <t>P4</t>
        </is>
      </c>
      <c r="R1252" s="187" t="inlineStr">
        <is>
          <t>📅 Schedule patch deployment within 30 days | 🔍 Monitor for exploitation attempts</t>
        </is>
      </c>
      <c r="S1252" s="187" t="inlineStr">
        <is>
          <t>CVE - IP enrichment n/a</t>
        </is>
      </c>
      <c r="T1252" s="187" t="n">
        <v>0</v>
      </c>
      <c r="U1252" s="187" t="n">
        <v>0</v>
      </c>
      <c r="V1252" s="187" t="inlineStr">
        <is>
          <t>T1552:Unsecured Credentials</t>
        </is>
      </c>
      <c r="W1252" s="187" t="n">
        <v>1</v>
      </c>
      <c r="X1252" s="187" t="inlineStr">
        <is>
          <t>LOW (40%)</t>
        </is>
      </c>
      <c r="Y1252" s="187" t="inlineStr">
        <is>
          <t>UNLIKELY</t>
        </is>
      </c>
      <c r="Z1252" s="187" t="inlineStr">
        <is>
          <t>CHECK_VENDOR</t>
        </is>
      </c>
      <c r="AA1252" s="187" t="inlineStr">
        <is>
          <t>https://nvd.nist.gov/vuln/detail/CVE-2025-13776</t>
        </is>
      </c>
      <c r="AB1252" s="187" t="inlineStr">
        <is>
          <t>NONE</t>
        </is>
      </c>
      <c r="AC1252" s="187" t="n">
        <v>0</v>
      </c>
      <c r="AD1252" s="187" t="inlineStr"/>
    </row>
    <row r="1253">
      <c r="A1253" s="187" t="inlineStr">
        <is>
          <t>CVE</t>
        </is>
      </c>
      <c r="B1253" s="187" t="inlineStr">
        <is>
          <t>CVE-2026-27571</t>
        </is>
      </c>
      <c r="C1253" s="187" t="inlineStr">
        <is>
          <t>NATS-Server is a High-Performance server for NATS.io, a cloud and edge native messaging system. The WebSockets handling of NATS messages handles compressed messages via the WebSockets negotiated compression. Prior to versions 2.11.2 and 2.12.3, the implementation bound the memory size of a NATS message but did not independently bound the memory consumption of the memory stream when constructing a NATS message which might then fail validation for size reasons. An attacker can use a compression bo</t>
        </is>
      </c>
      <c r="D1253" s="187" t="n">
        <v>5.9</v>
      </c>
      <c r="E1253" s="187" t="inlineStr">
        <is>
          <t>MEDIUM</t>
        </is>
      </c>
      <c r="F1253" s="187" t="n">
        <v>2</v>
      </c>
      <c r="G1253" s="187" t="n">
        <v>2</v>
      </c>
      <c r="H1253" s="187" t="inlineStr">
        <is>
          <t>MEDIUM</t>
        </is>
      </c>
      <c r="I1253" s="187" t="n">
        <v>9.9</v>
      </c>
      <c r="J1253" s="187" t="inlineStr">
        <is>
          <t>NO</t>
        </is>
      </c>
      <c r="K1253" s="187" t="inlineStr">
        <is>
          <t>https://nvd.nist.gov/vuln/detail/CVE-2026-27571</t>
        </is>
      </c>
      <c r="L1253" s="187" t="inlineStr">
        <is>
          <t>2026-02-26 00:15</t>
        </is>
      </c>
      <c r="M1253" s="187" t="inlineStr">
        <is>
          <t>CHECK_VENDOR</t>
        </is>
      </c>
      <c r="N1253" s="187" t="inlineStr">
        <is>
          <t>See NVD references</t>
        </is>
      </c>
      <c r="O1253" s="187" t="inlineStr">
        <is>
          <t>Apply vendor patches</t>
        </is>
      </c>
      <c r="P1253" s="187" t="inlineStr">
        <is>
          <t>See CVE details</t>
        </is>
      </c>
      <c r="Q1253" s="187" t="inlineStr">
        <is>
          <t>P3</t>
        </is>
      </c>
      <c r="R1253" s="187" t="inlineStr">
        <is>
          <t>📅 Schedule patch deployment within 30 days | 🔍 Monitor for exploitation attempts</t>
        </is>
      </c>
      <c r="S1253" s="187" t="inlineStr">
        <is>
          <t>CVE - IP enrichment n/a</t>
        </is>
      </c>
      <c r="T1253" s="187" t="n">
        <v>0</v>
      </c>
      <c r="U1253" s="187" t="n">
        <v>0</v>
      </c>
      <c r="V1253" s="187" t="inlineStr">
        <is>
          <t>T1552:Unsecured Credentials</t>
        </is>
      </c>
      <c r="W1253" s="187" t="n">
        <v>2</v>
      </c>
      <c r="X1253" s="187" t="inlineStr">
        <is>
          <t>MEDIUM (52%)</t>
        </is>
      </c>
      <c r="Y1253" s="187" t="inlineStr">
        <is>
          <t>UNLIKELY</t>
        </is>
      </c>
      <c r="Z1253" s="187" t="inlineStr">
        <is>
          <t>CHECK_VENDOR</t>
        </is>
      </c>
      <c r="AA1253" s="187" t="inlineStr">
        <is>
          <t>https://nvd.nist.gov/vuln/detail/CVE-2026-27571</t>
        </is>
      </c>
      <c r="AB1253" s="187" t="inlineStr">
        <is>
          <t>NONE</t>
        </is>
      </c>
      <c r="AC1253" s="187" t="n">
        <v>0</v>
      </c>
      <c r="AD1253" s="187" t="inlineStr"/>
    </row>
    <row r="1254">
      <c r="A1254" s="187" t="inlineStr">
        <is>
          <t>CVE</t>
        </is>
      </c>
      <c r="B1254" s="187" t="inlineStr">
        <is>
          <t>CVE-2026-27585</t>
        </is>
      </c>
      <c r="C1254" s="187" t="inlineStr">
        <is>
          <t>Caddy is an extensible server platform that uses TLS by default. Prior to version 2.11.1, the path sanitization routine in file matcher doesn't sanitize backslashes which can lead to bypassing path related security protections. It affects users with specific Caddy and environment configurations. Version 2.11.1 fixes the issue.</t>
        </is>
      </c>
      <c r="D1254" s="187" t="n">
        <v>6.5</v>
      </c>
      <c r="E1254" s="187" t="inlineStr">
        <is>
          <t>MEDIUM</t>
        </is>
      </c>
      <c r="F1254" s="187" t="n">
        <v>2</v>
      </c>
      <c r="G1254" s="187" t="n">
        <v>2</v>
      </c>
      <c r="H1254" s="187" t="inlineStr">
        <is>
          <t>MEDIUM</t>
        </is>
      </c>
      <c r="I1254" s="187" t="n">
        <v>10.5</v>
      </c>
      <c r="J1254" s="187" t="inlineStr">
        <is>
          <t>NO</t>
        </is>
      </c>
      <c r="K1254" s="187" t="inlineStr">
        <is>
          <t>https://nvd.nist.gov/vuln/detail/CVE-2026-27585</t>
        </is>
      </c>
      <c r="L1254" s="187" t="inlineStr">
        <is>
          <t>2026-02-26 00:15</t>
        </is>
      </c>
      <c r="M1254" s="187" t="inlineStr">
        <is>
          <t>YES</t>
        </is>
      </c>
      <c r="N1254" s="187" t="inlineStr">
        <is>
          <t>https://github.com/caddyserver/caddy/security/advisories/GHSA-4xrr-hq4w-6vf4</t>
        </is>
      </c>
      <c r="O1254" s="187" t="inlineStr">
        <is>
          <t>Apply vendor patches</t>
        </is>
      </c>
      <c r="P1254" s="187" t="inlineStr">
        <is>
          <t>caddyserver caddy *</t>
        </is>
      </c>
      <c r="Q1254" s="187" t="inlineStr">
        <is>
          <t>P4</t>
        </is>
      </c>
      <c r="R1254" s="187" t="inlineStr">
        <is>
          <t>📅 Schedule patch deployment within 30 days | 🔍 Monitor for exploitation attempts</t>
        </is>
      </c>
      <c r="S1254" s="187" t="inlineStr">
        <is>
          <t>CVE - IP enrichment n/a</t>
        </is>
      </c>
      <c r="T1254" s="187" t="n">
        <v>0</v>
      </c>
      <c r="U1254" s="187" t="n">
        <v>0</v>
      </c>
      <c r="V1254" s="187" t="inlineStr">
        <is>
          <t>T1190:Exploit Public-Facing Application</t>
        </is>
      </c>
      <c r="W1254" s="187" t="n">
        <v>1</v>
      </c>
      <c r="X1254" s="187" t="inlineStr">
        <is>
          <t>LOW (40%)</t>
        </is>
      </c>
      <c r="Y1254" s="187" t="inlineStr">
        <is>
          <t>UNLIKELY</t>
        </is>
      </c>
      <c r="Z1254" s="187" t="inlineStr">
        <is>
          <t>PATCH_AVAILABLE</t>
        </is>
      </c>
      <c r="AA1254" s="187" t="inlineStr">
        <is>
          <t>https://nvd.nist.gov/vuln/detail/CVE-2026-27585</t>
        </is>
      </c>
      <c r="AB1254" s="187" t="inlineStr">
        <is>
          <t>NONE</t>
        </is>
      </c>
      <c r="AC1254" s="187" t="n">
        <v>0</v>
      </c>
      <c r="AD1254" s="187" t="inlineStr"/>
    </row>
    <row r="1255">
      <c r="A1255" s="189" t="inlineStr">
        <is>
          <t>CVE</t>
        </is>
      </c>
      <c r="B1255" s="189" t="inlineStr">
        <is>
          <t>CVE-2026-27586</t>
        </is>
      </c>
      <c r="C1255" s="189" t="inlineStr">
        <is>
          <t>Caddy is an extensible server platform that uses TLS by default. Prior to version 2.11.1, two swallowed errors in `ClientAuthentication.provision()` cause mTLS client certificate authentication to silently fail open when a CA certificate file is missing, unreadable, or malformed. The server starts without error but accepts any client certificate signed by any system-trusted CA, completely bypassing the intended private CA trust boundary. Any deployment using `trusted_ca_cert_file` or `trusted_ca</t>
        </is>
      </c>
      <c r="D1255" s="189" t="n">
        <v>9.1</v>
      </c>
      <c r="E1255" s="189" t="inlineStr">
        <is>
          <t>CRITICAL</t>
        </is>
      </c>
      <c r="F1255" s="189" t="n">
        <v>2</v>
      </c>
      <c r="G1255" s="189" t="n">
        <v>3</v>
      </c>
      <c r="H1255" s="189" t="inlineStr">
        <is>
          <t>HIGH</t>
        </is>
      </c>
      <c r="I1255" s="189" t="n">
        <v>15.1</v>
      </c>
      <c r="J1255" s="189" t="inlineStr">
        <is>
          <t>NO</t>
        </is>
      </c>
      <c r="K1255" s="189" t="inlineStr">
        <is>
          <t>https://nvd.nist.gov/vuln/detail/CVE-2026-27586</t>
        </is>
      </c>
      <c r="L1255" s="189" t="inlineStr">
        <is>
          <t>2026-02-26 00:15</t>
        </is>
      </c>
      <c r="M1255" s="189" t="inlineStr">
        <is>
          <t>YES</t>
        </is>
      </c>
      <c r="N1255" s="189" t="inlineStr">
        <is>
          <t>https://github.com/caddyserver/caddy/security/advisories/GHSA-hffm-g8v7-wrv7</t>
        </is>
      </c>
      <c r="O1255" s="189" t="inlineStr">
        <is>
          <t>Apply vendor patches</t>
        </is>
      </c>
      <c r="P1255" s="189" t="inlineStr">
        <is>
          <t>caddyserver caddy *</t>
        </is>
      </c>
      <c r="Q1255" s="189" t="inlineStr">
        <is>
          <t>P3</t>
        </is>
      </c>
      <c r="R1255" s="189" t="inlineStr">
        <is>
          <t>🚨 URGENT: Apply vendor patches immediately | 🔒 Isolate affected systems if patch unavailable | 🛡️ Enable additional monitoring/IDS rules</t>
        </is>
      </c>
      <c r="S1255" s="189" t="inlineStr">
        <is>
          <t>CVE - IP enrichment n/a</t>
        </is>
      </c>
      <c r="T1255" s="189" t="n">
        <v>0</v>
      </c>
      <c r="U1255" s="189" t="n">
        <v>0</v>
      </c>
      <c r="V1255" s="189" t="inlineStr">
        <is>
          <t>T1190:Exploit Public-Facing Application</t>
        </is>
      </c>
      <c r="W1255" s="189" t="n">
        <v>1</v>
      </c>
      <c r="X1255" s="189" t="inlineStr">
        <is>
          <t>LOW (40%)</t>
        </is>
      </c>
      <c r="Y1255" s="189" t="inlineStr">
        <is>
          <t>UNLIKELY</t>
        </is>
      </c>
      <c r="Z1255" s="189" t="inlineStr">
        <is>
          <t>PATCH_AVAILABLE</t>
        </is>
      </c>
      <c r="AA1255" s="189" t="inlineStr">
        <is>
          <t>https://nvd.nist.gov/vuln/detail/CVE-2026-27586</t>
        </is>
      </c>
      <c r="AB1255" s="189" t="inlineStr">
        <is>
          <t>NONE</t>
        </is>
      </c>
      <c r="AC1255" s="189" t="n">
        <v>0</v>
      </c>
      <c r="AD1255" s="189" t="inlineStr"/>
    </row>
    <row r="1256">
      <c r="A1256" s="189" t="inlineStr">
        <is>
          <t>CVE</t>
        </is>
      </c>
      <c r="B1256" s="189" t="inlineStr">
        <is>
          <t>CVE-2026-27587</t>
        </is>
      </c>
      <c r="C1256" s="189" t="inlineStr">
        <is>
          <t>Caddy is an extensible server platform that uses TLS by default. Prior to version 2.11.1, Caddy's HTTP `path` request matcher is intended to be case-insensitive, but when the match pattern contains percent-escape sequences (`%xx`) it compares against the request's escaped path without lowercasing. An attacker can bypass path-based routing and any access controls attached to that route by changing the casing of the request path. Version 2.11.1 contains a fix for the issue.</t>
        </is>
      </c>
      <c r="D1256" s="189" t="n">
        <v>9.1</v>
      </c>
      <c r="E1256" s="189" t="inlineStr">
        <is>
          <t>CRITICAL</t>
        </is>
      </c>
      <c r="F1256" s="189" t="n">
        <v>2</v>
      </c>
      <c r="G1256" s="189" t="n">
        <v>3</v>
      </c>
      <c r="H1256" s="189" t="inlineStr">
        <is>
          <t>HIGH</t>
        </is>
      </c>
      <c r="I1256" s="189" t="n">
        <v>15.1</v>
      </c>
      <c r="J1256" s="189" t="inlineStr">
        <is>
          <t>NO</t>
        </is>
      </c>
      <c r="K1256" s="189" t="inlineStr">
        <is>
          <t>https://nvd.nist.gov/vuln/detail/CVE-2026-27587</t>
        </is>
      </c>
      <c r="L1256" s="189" t="inlineStr">
        <is>
          <t>2026-02-26 00:15</t>
        </is>
      </c>
      <c r="M1256" s="189" t="inlineStr">
        <is>
          <t>YES</t>
        </is>
      </c>
      <c r="N1256" s="189" t="inlineStr">
        <is>
          <t>https://github.com/caddyserver/caddy/security/advisories/GHSA-g7pc-pc7g-h8jh</t>
        </is>
      </c>
      <c r="O1256" s="189" t="inlineStr">
        <is>
          <t>Apply vendor patches</t>
        </is>
      </c>
      <c r="P1256" s="189" t="inlineStr">
        <is>
          <t>caddyserver caddy *</t>
        </is>
      </c>
      <c r="Q1256" s="189" t="inlineStr">
        <is>
          <t>P3</t>
        </is>
      </c>
      <c r="R1256" s="189" t="inlineStr">
        <is>
          <t>🚨 URGENT: Apply vendor patches immediately | 🔒 Isolate affected systems if patch unavailable | 🛡️ Enable additional monitoring/IDS rules</t>
        </is>
      </c>
      <c r="S1256" s="189" t="inlineStr">
        <is>
          <t>CVE - IP enrichment n/a</t>
        </is>
      </c>
      <c r="T1256" s="189" t="n">
        <v>0</v>
      </c>
      <c r="U1256" s="189" t="n">
        <v>0</v>
      </c>
      <c r="V1256" s="189" t="inlineStr">
        <is>
          <t>T1190:Exploit Public-Facing Application</t>
        </is>
      </c>
      <c r="W1256" s="189" t="n">
        <v>1</v>
      </c>
      <c r="X1256" s="189" t="inlineStr">
        <is>
          <t>LOW (40%)</t>
        </is>
      </c>
      <c r="Y1256" s="189" t="inlineStr">
        <is>
          <t>UNLIKELY</t>
        </is>
      </c>
      <c r="Z1256" s="189" t="inlineStr">
        <is>
          <t>PATCH_AVAILABLE</t>
        </is>
      </c>
      <c r="AA1256" s="189" t="inlineStr">
        <is>
          <t>https://nvd.nist.gov/vuln/detail/CVE-2026-27587</t>
        </is>
      </c>
      <c r="AB1256" s="189" t="inlineStr">
        <is>
          <t>NONE</t>
        </is>
      </c>
      <c r="AC1256" s="189" t="n">
        <v>0</v>
      </c>
      <c r="AD1256" s="189" t="inlineStr"/>
    </row>
    <row r="1257">
      <c r="A1257" s="189" t="inlineStr">
        <is>
          <t>CVE</t>
        </is>
      </c>
      <c r="B1257" s="189" t="inlineStr">
        <is>
          <t>CVE-2026-27588</t>
        </is>
      </c>
      <c r="C1257" s="189" t="inlineStr">
        <is>
          <t>Caddy is an extensible server platform that uses TLS by default. Prior to version 2.11.1, Caddy's HTTP `host` request matcher is documented as case-insensitive, but when configured with a large host list (&gt;100 entries) it becomes case-sensitive due to an optimized matching path. An attacker can bypass host-based routing and any access controls attached to that route by changing the casing of the `Host` header. Version 2.11.1 contains a fix for the issue.</t>
        </is>
      </c>
      <c r="D1257" s="189" t="n">
        <v>9.1</v>
      </c>
      <c r="E1257" s="189" t="inlineStr">
        <is>
          <t>CRITICAL</t>
        </is>
      </c>
      <c r="F1257" s="189" t="n">
        <v>2</v>
      </c>
      <c r="G1257" s="189" t="n">
        <v>3</v>
      </c>
      <c r="H1257" s="189" t="inlineStr">
        <is>
          <t>HIGH</t>
        </is>
      </c>
      <c r="I1257" s="189" t="n">
        <v>15.1</v>
      </c>
      <c r="J1257" s="189" t="inlineStr">
        <is>
          <t>NO</t>
        </is>
      </c>
      <c r="K1257" s="189" t="inlineStr">
        <is>
          <t>https://nvd.nist.gov/vuln/detail/CVE-2026-27588</t>
        </is>
      </c>
      <c r="L1257" s="189" t="inlineStr">
        <is>
          <t>2026-02-26 00:15</t>
        </is>
      </c>
      <c r="M1257" s="189" t="inlineStr">
        <is>
          <t>YES</t>
        </is>
      </c>
      <c r="N1257" s="189" t="inlineStr">
        <is>
          <t>https://github.com/caddyserver/caddy/security/advisories/GHSA-x76f-jf84-rqj8</t>
        </is>
      </c>
      <c r="O1257" s="189" t="inlineStr">
        <is>
          <t>Apply vendor patches</t>
        </is>
      </c>
      <c r="P1257" s="189" t="inlineStr">
        <is>
          <t>caddyserver caddy *</t>
        </is>
      </c>
      <c r="Q1257" s="189" t="inlineStr">
        <is>
          <t>P3</t>
        </is>
      </c>
      <c r="R1257" s="189" t="inlineStr">
        <is>
          <t>🚨 URGENT: Apply vendor patches immediately | 🔒 Isolate affected systems if patch unavailable | 🛡️ Enable additional monitoring/IDS rules</t>
        </is>
      </c>
      <c r="S1257" s="189" t="inlineStr">
        <is>
          <t>CVE - IP enrichment n/a</t>
        </is>
      </c>
      <c r="T1257" s="189" t="n">
        <v>0</v>
      </c>
      <c r="U1257" s="189" t="n">
        <v>0</v>
      </c>
      <c r="V1257" s="189" t="inlineStr">
        <is>
          <t>T1190:Exploit Public-Facing Application</t>
        </is>
      </c>
      <c r="W1257" s="189" t="n">
        <v>1</v>
      </c>
      <c r="X1257" s="189" t="inlineStr">
        <is>
          <t>LOW (40%)</t>
        </is>
      </c>
      <c r="Y1257" s="189" t="inlineStr">
        <is>
          <t>UNLIKELY</t>
        </is>
      </c>
      <c r="Z1257" s="189" t="inlineStr">
        <is>
          <t>PATCH_AVAILABLE</t>
        </is>
      </c>
      <c r="AA1257" s="189" t="inlineStr">
        <is>
          <t>https://nvd.nist.gov/vuln/detail/CVE-2026-27588</t>
        </is>
      </c>
      <c r="AB1257" s="189" t="inlineStr">
        <is>
          <t>NONE</t>
        </is>
      </c>
      <c r="AC1257" s="189" t="n">
        <v>0</v>
      </c>
      <c r="AD1257" s="189" t="inlineStr"/>
    </row>
    <row r="1258">
      <c r="A1258" s="187" t="inlineStr">
        <is>
          <t>CVE</t>
        </is>
      </c>
      <c r="B1258" s="187" t="inlineStr">
        <is>
          <t>CVE-2026-27589</t>
        </is>
      </c>
      <c r="C1258" s="187" t="inlineStr">
        <is>
          <t>Caddy is an extensible server platform that uses TLS by default. Prior to version 2.11.1, the local caddy admin API (default listen `127.0.0.1:2019`) exposes a state-changing `POST /load` endpoint that replaces the entire running configuration. When origin enforcement is not enabled (`enforce_origin` not configured), the admin endpoint accepts cross-origin requests (e.g., from attacker-controlled web content in a victim browser) and applies an attacker-supplied JSON config. This can change the a</t>
        </is>
      </c>
      <c r="D1258" s="187" t="n">
        <v>6.5</v>
      </c>
      <c r="E1258" s="187" t="inlineStr">
        <is>
          <t>MEDIUM</t>
        </is>
      </c>
      <c r="F1258" s="187" t="n">
        <v>2</v>
      </c>
      <c r="G1258" s="187" t="n">
        <v>2</v>
      </c>
      <c r="H1258" s="187" t="inlineStr">
        <is>
          <t>MEDIUM</t>
        </is>
      </c>
      <c r="I1258" s="187" t="n">
        <v>10.5</v>
      </c>
      <c r="J1258" s="187" t="inlineStr">
        <is>
          <t>NO</t>
        </is>
      </c>
      <c r="K1258" s="187" t="inlineStr">
        <is>
          <t>https://nvd.nist.gov/vuln/detail/CVE-2026-27589</t>
        </is>
      </c>
      <c r="L1258" s="187" t="inlineStr">
        <is>
          <t>2026-02-26 00:15</t>
        </is>
      </c>
      <c r="M1258" s="187" t="inlineStr">
        <is>
          <t>YES</t>
        </is>
      </c>
      <c r="N1258" s="187" t="inlineStr">
        <is>
          <t>https://github.com/caddyserver/caddy/security/advisories/GHSA-879p-475x-rqh2</t>
        </is>
      </c>
      <c r="O1258" s="187" t="inlineStr">
        <is>
          <t>https://github.com/caddyserver/caddy/security/advisories/GHSA-879p-475x-rqh2</t>
        </is>
      </c>
      <c r="P1258" s="187" t="inlineStr">
        <is>
          <t>caddyserver caddy *</t>
        </is>
      </c>
      <c r="Q1258" s="187" t="inlineStr">
        <is>
          <t>P4</t>
        </is>
      </c>
      <c r="R1258" s="187" t="inlineStr">
        <is>
          <t>📅 Schedule patch deployment within 30 days | 🔍 Monitor for exploitation attempts</t>
        </is>
      </c>
      <c r="S1258" s="187" t="inlineStr">
        <is>
          <t>CVE - IP enrichment n/a</t>
        </is>
      </c>
      <c r="T1258" s="187" t="n">
        <v>0</v>
      </c>
      <c r="U1258" s="187" t="n">
        <v>0</v>
      </c>
      <c r="V1258" s="187" t="inlineStr">
        <is>
          <t>T1185:Browser Session Hijacking | T1190:Exploit Public-Facing Application</t>
        </is>
      </c>
      <c r="W1258" s="187" t="n">
        <v>1</v>
      </c>
      <c r="X1258" s="187" t="inlineStr">
        <is>
          <t>LOW (40%)</t>
        </is>
      </c>
      <c r="Y1258" s="187" t="inlineStr">
        <is>
          <t>UNLIKELY</t>
        </is>
      </c>
      <c r="Z1258" s="187" t="inlineStr">
        <is>
          <t>PATCH_AVAILABLE</t>
        </is>
      </c>
      <c r="AA1258" s="187" t="inlineStr">
        <is>
          <t>https://nvd.nist.gov/vuln/detail/CVE-2026-27589</t>
        </is>
      </c>
      <c r="AB1258" s="187" t="inlineStr">
        <is>
          <t>NONE</t>
        </is>
      </c>
      <c r="AC1258" s="187" t="n">
        <v>0</v>
      </c>
      <c r="AD1258" s="187" t="inlineStr"/>
    </row>
    <row r="1259">
      <c r="A1259" s="189" t="inlineStr">
        <is>
          <t>CVE</t>
        </is>
      </c>
      <c r="B1259" s="189" t="inlineStr">
        <is>
          <t>CVE-2026-27590</t>
        </is>
      </c>
      <c r="C1259" s="189" t="inlineStr">
        <is>
          <t>Caddy is an extensible server platform that uses TLS by default. Prior to version 2.11.1, Caddy's FastCGI path splitting logic computes the split index on a lowercased copy of the request path and then uses that byte index to slice the original path. This is unsafe for Unicode because `strings.ToLower()` can change UTF-8 byte length for some characters. As a result, Caddy can derive an incorrect `SCRIPT_NAME`/`SCRIPT_FILENAME` and `PATH_INFO`, potentially causing a request that contains `.php` t</t>
        </is>
      </c>
      <c r="D1259" s="189" t="n">
        <v>9.800000000000001</v>
      </c>
      <c r="E1259" s="189" t="inlineStr">
        <is>
          <t>CRITICAL</t>
        </is>
      </c>
      <c r="F1259" s="189" t="n">
        <v>2</v>
      </c>
      <c r="G1259" s="189" t="n">
        <v>3</v>
      </c>
      <c r="H1259" s="189" t="inlineStr">
        <is>
          <t>HIGH</t>
        </is>
      </c>
      <c r="I1259" s="189" t="n">
        <v>15.8</v>
      </c>
      <c r="J1259" s="189" t="inlineStr">
        <is>
          <t>NO</t>
        </is>
      </c>
      <c r="K1259" s="189" t="inlineStr">
        <is>
          <t>https://nvd.nist.gov/vuln/detail/CVE-2026-27590</t>
        </is>
      </c>
      <c r="L1259" s="189" t="inlineStr">
        <is>
          <t>2026-02-26 00:15</t>
        </is>
      </c>
      <c r="M1259" s="189" t="inlineStr">
        <is>
          <t>YES</t>
        </is>
      </c>
      <c r="N1259" s="189" t="inlineStr">
        <is>
          <t>https://github.com/caddyserver/caddy/security/advisories/GHSA-5r3v-vc8m-m96g</t>
        </is>
      </c>
      <c r="O1259" s="189" t="inlineStr">
        <is>
          <t>Apply vendor patches</t>
        </is>
      </c>
      <c r="P1259" s="189" t="inlineStr">
        <is>
          <t>caddyserver caddy *</t>
        </is>
      </c>
      <c r="Q1259" s="189" t="inlineStr">
        <is>
          <t>P3</t>
        </is>
      </c>
      <c r="R1259" s="189" t="inlineStr">
        <is>
          <t>🚨 URGENT: Apply vendor patches immediately | 🔒 Isolate affected systems if patch unavailable | 🛡️ Enable additional monitoring/IDS rules</t>
        </is>
      </c>
      <c r="S1259" s="189" t="inlineStr">
        <is>
          <t>CVE - IP enrichment n/a</t>
        </is>
      </c>
      <c r="T1259" s="189" t="n">
        <v>0</v>
      </c>
      <c r="U1259" s="189" t="n">
        <v>0</v>
      </c>
      <c r="V1259" s="189" t="inlineStr">
        <is>
          <t>T1190:Exploit Public-Facing Application</t>
        </is>
      </c>
      <c r="W1259" s="189" t="n">
        <v>1</v>
      </c>
      <c r="X1259" s="189" t="inlineStr">
        <is>
          <t>LOW (40%)</t>
        </is>
      </c>
      <c r="Y1259" s="189" t="inlineStr">
        <is>
          <t>UNLIKELY</t>
        </is>
      </c>
      <c r="Z1259" s="189" t="inlineStr">
        <is>
          <t>PATCH_AVAILABLE</t>
        </is>
      </c>
      <c r="AA1259" s="189" t="inlineStr">
        <is>
          <t>https://nvd.nist.gov/vuln/detail/CVE-2026-27590</t>
        </is>
      </c>
      <c r="AB1259" s="189" t="inlineStr">
        <is>
          <t>NONE</t>
        </is>
      </c>
      <c r="AC1259" s="189" t="n">
        <v>0</v>
      </c>
      <c r="AD1259" s="189" t="inlineStr"/>
    </row>
    <row r="1260">
      <c r="A1260" s="187" t="inlineStr">
        <is>
          <t>CVE</t>
        </is>
      </c>
      <c r="B1260" s="187" t="inlineStr">
        <is>
          <t>CVE-2025-14963</t>
        </is>
      </c>
      <c r="C1260" s="187" t="inlineStr">
        <is>
          <t>A vulnerability identified in the Trellix HX Agent driver file  fekern.sys allowed a threat actor with local user access the ability to gain elevated system privileges.  Utilization of a Bring Your Own Vulnerable Driver (BYOVD) was leveraged to gain access to the critical Windows process memory lsass.exe (Local Security Authority Subsystem Service).  The fekern.sys; a driver file associated with Trellix HX Agent (used in all existing HX Agent versions).    The vulnerable driver installed in a pr</t>
        </is>
      </c>
      <c r="D1260" s="187" t="n">
        <v>5</v>
      </c>
      <c r="E1260" s="187" t="inlineStr">
        <is>
          <t>MEDIUM</t>
        </is>
      </c>
      <c r="F1260" s="187" t="n">
        <v>2</v>
      </c>
      <c r="G1260" s="187" t="n">
        <v>2</v>
      </c>
      <c r="H1260" s="187" t="inlineStr">
        <is>
          <t>MEDIUM</t>
        </is>
      </c>
      <c r="I1260" s="187" t="n">
        <v>9</v>
      </c>
      <c r="J1260" s="187" t="inlineStr">
        <is>
          <t>NO</t>
        </is>
      </c>
      <c r="K1260" s="187" t="inlineStr">
        <is>
          <t>https://nvd.nist.gov/vuln/detail/CVE-2025-14963</t>
        </is>
      </c>
      <c r="L1260" s="187" t="inlineStr">
        <is>
          <t>2026-02-26 00:15</t>
        </is>
      </c>
      <c r="M1260" s="187" t="inlineStr">
        <is>
          <t>CHECK_VENDOR</t>
        </is>
      </c>
      <c r="N1260" s="187" t="inlineStr">
        <is>
          <t>See NVD references</t>
        </is>
      </c>
      <c r="O1260" s="187" t="inlineStr">
        <is>
          <t>Apply vendor patches</t>
        </is>
      </c>
      <c r="P1260" s="187" t="inlineStr">
        <is>
          <t>See CVE details</t>
        </is>
      </c>
      <c r="Q1260" s="187" t="inlineStr">
        <is>
          <t>P4</t>
        </is>
      </c>
      <c r="R1260" s="187" t="inlineStr">
        <is>
          <t>📅 Schedule patch deployment within 30 days | 🔍 Monitor for exploitation attempts</t>
        </is>
      </c>
      <c r="S1260" s="187" t="inlineStr">
        <is>
          <t>CVE - IP enrichment n/a</t>
        </is>
      </c>
      <c r="T1260" s="187" t="n">
        <v>0</v>
      </c>
      <c r="U1260" s="187" t="n">
        <v>0</v>
      </c>
      <c r="V1260" s="187" t="inlineStr">
        <is>
          <t>T1190:Exploit Public-Facing Application</t>
        </is>
      </c>
      <c r="W1260" s="187" t="n">
        <v>1</v>
      </c>
      <c r="X1260" s="187" t="inlineStr">
        <is>
          <t>LOW (40%)</t>
        </is>
      </c>
      <c r="Y1260" s="187" t="inlineStr">
        <is>
          <t>UNLIKELY</t>
        </is>
      </c>
      <c r="Z1260" s="187" t="inlineStr">
        <is>
          <t>CHECK_VENDOR</t>
        </is>
      </c>
      <c r="AA1260" s="187" t="inlineStr">
        <is>
          <t>https://nvd.nist.gov/vuln/detail/CVE-2025-14963</t>
        </is>
      </c>
      <c r="AB1260" s="187" t="inlineStr">
        <is>
          <t>NONE</t>
        </is>
      </c>
      <c r="AC1260" s="187" t="n">
        <v>0</v>
      </c>
      <c r="AD1260" s="187" t="inlineStr"/>
    </row>
    <row r="1261">
      <c r="A1261" s="187" t="inlineStr">
        <is>
          <t>CVE</t>
        </is>
      </c>
      <c r="B1261" s="187" t="inlineStr">
        <is>
          <t>CVE-2025-62512</t>
        </is>
      </c>
      <c r="C1261" s="187" t="inlineStr">
        <is>
          <t>Piwigo is an open source photo gallery application for the web. In version 15.5.0 and likely earlier 15.x releases, the password reset functionality in Piwigo allows an unauthenticated attacker to determine whether a given username or email address exists in the system. The endpoint at password.php?action=lost returns distinct messages for valid vs. invalid accounts, enabling user enumeration. As of time of publication, no known patches are available.</t>
        </is>
      </c>
      <c r="D1261" s="187" t="n">
        <v>5.3</v>
      </c>
      <c r="E1261" s="187" t="inlineStr">
        <is>
          <t>MEDIUM</t>
        </is>
      </c>
      <c r="F1261" s="187" t="n">
        <v>2</v>
      </c>
      <c r="G1261" s="187" t="n">
        <v>2</v>
      </c>
      <c r="H1261" s="187" t="inlineStr">
        <is>
          <t>MEDIUM</t>
        </is>
      </c>
      <c r="I1261" s="187" t="n">
        <v>9.300000000000001</v>
      </c>
      <c r="J1261" s="187" t="inlineStr">
        <is>
          <t>NO</t>
        </is>
      </c>
      <c r="K1261" s="187" t="inlineStr">
        <is>
          <t>https://nvd.nist.gov/vuln/detail/CVE-2025-62512</t>
        </is>
      </c>
      <c r="L1261" s="187" t="inlineStr">
        <is>
          <t>2026-02-26 00:15</t>
        </is>
      </c>
      <c r="M1261" s="187" t="inlineStr">
        <is>
          <t>YES</t>
        </is>
      </c>
      <c r="N1261" s="187" t="inlineStr">
        <is>
          <t>https://github.com/Piwigo/Piwigo/security/advisories/GHSA-h4wx-7m83-xfxc</t>
        </is>
      </c>
      <c r="O1261" s="187" t="inlineStr">
        <is>
          <t>https://github.com/Piwigo/Piwigo/security/advisories/GHSA-h4wx-7m83-xfxc</t>
        </is>
      </c>
      <c r="P1261" s="187" t="inlineStr">
        <is>
          <t>piwigo piwigo *</t>
        </is>
      </c>
      <c r="Q1261" s="187" t="inlineStr">
        <is>
          <t>P4</t>
        </is>
      </c>
      <c r="R1261" s="187" t="inlineStr">
        <is>
          <t>📅 Schedule patch deployment within 30 days | 🔍 Monitor for exploitation attempts</t>
        </is>
      </c>
      <c r="S1261" s="187" t="inlineStr">
        <is>
          <t>CVE - IP enrichment n/a</t>
        </is>
      </c>
      <c r="T1261" s="187" t="n">
        <v>0.0007</v>
      </c>
      <c r="U1261" s="187" t="n">
        <v>0.223</v>
      </c>
      <c r="V1261" s="187" t="inlineStr">
        <is>
          <t>T1190:Exploit Public-Facing Application</t>
        </is>
      </c>
      <c r="W1261" s="187" t="n">
        <v>1</v>
      </c>
      <c r="X1261" s="187" t="inlineStr">
        <is>
          <t>LOW (40%)</t>
        </is>
      </c>
      <c r="Y1261" s="187" t="inlineStr">
        <is>
          <t>UNLIKELY</t>
        </is>
      </c>
      <c r="Z1261" s="187" t="inlineStr">
        <is>
          <t>PATCH_AVAILABLE</t>
        </is>
      </c>
      <c r="AA1261" s="187" t="inlineStr">
        <is>
          <t>https://nvd.nist.gov/vuln/detail/CVE-2025-62512</t>
        </is>
      </c>
      <c r="AB1261" s="187" t="inlineStr">
        <is>
          <t>NONE</t>
        </is>
      </c>
      <c r="AC1261" s="187" t="n">
        <v>0</v>
      </c>
      <c r="AD1261" s="187" t="inlineStr"/>
    </row>
    <row r="1262">
      <c r="A1262" s="187" t="inlineStr">
        <is>
          <t>CVE</t>
        </is>
      </c>
      <c r="B1262" s="187" t="inlineStr">
        <is>
          <t>CVE-2026-25603</t>
        </is>
      </c>
      <c r="C1262" s="187" t="inlineStr">
        <is>
          <t>Improper Limitation of a Pathname to a Restricted Directory ('Path Traversal') vulnerability in Linksys MR9600, Linksys MX4200 allows that contents of a USB drive partition can be mounted in an arbitrary location of the file system. This may result in the execution of shell scripts in the context of a root user.This issue affects MR9600: 1.0.4.205530; MX4200: 1.0.13.210200.</t>
        </is>
      </c>
      <c r="D1262" s="187" t="n">
        <v>6.6</v>
      </c>
      <c r="E1262" s="187" t="inlineStr">
        <is>
          <t>MEDIUM</t>
        </is>
      </c>
      <c r="F1262" s="187" t="n">
        <v>2</v>
      </c>
      <c r="G1262" s="187" t="n">
        <v>2</v>
      </c>
      <c r="H1262" s="187" t="inlineStr">
        <is>
          <t>MEDIUM</t>
        </is>
      </c>
      <c r="I1262" s="187" t="n">
        <v>10.6</v>
      </c>
      <c r="J1262" s="187" t="inlineStr">
        <is>
          <t>NO</t>
        </is>
      </c>
      <c r="K1262" s="187" t="inlineStr">
        <is>
          <t>https://nvd.nist.gov/vuln/detail/CVE-2026-25603</t>
        </is>
      </c>
      <c r="L1262" s="187" t="inlineStr">
        <is>
          <t>2026-02-26 00:15</t>
        </is>
      </c>
      <c r="M1262" s="187" t="inlineStr">
        <is>
          <t>CHECK_VENDOR</t>
        </is>
      </c>
      <c r="N1262" s="187" t="inlineStr">
        <is>
          <t>See NVD references</t>
        </is>
      </c>
      <c r="O1262" s="187" t="inlineStr">
        <is>
          <t>Apply vendor patches</t>
        </is>
      </c>
      <c r="P1262" s="187" t="inlineStr">
        <is>
          <t>See CVE details</t>
        </is>
      </c>
      <c r="Q1262" s="187" t="inlineStr">
        <is>
          <t>P4</t>
        </is>
      </c>
      <c r="R1262" s="187" t="inlineStr">
        <is>
          <t>📅 Schedule patch deployment within 30 days | 🔍 Monitor for exploitation attempts</t>
        </is>
      </c>
      <c r="S1262" s="187" t="inlineStr">
        <is>
          <t>CVE - IP enrichment n/a</t>
        </is>
      </c>
      <c r="T1262" s="187" t="n">
        <v>0</v>
      </c>
      <c r="U1262" s="187" t="n">
        <v>0</v>
      </c>
      <c r="V1262" s="187" t="inlineStr">
        <is>
          <t>T1083:File and Directory Discovery</t>
        </is>
      </c>
      <c r="W1262" s="187" t="n">
        <v>1</v>
      </c>
      <c r="X1262" s="187" t="inlineStr">
        <is>
          <t>LOW (40%)</t>
        </is>
      </c>
      <c r="Y1262" s="187" t="inlineStr">
        <is>
          <t>UNLIKELY</t>
        </is>
      </c>
      <c r="Z1262" s="187" t="inlineStr">
        <is>
          <t>CHECK_VENDOR</t>
        </is>
      </c>
      <c r="AA1262" s="187" t="inlineStr">
        <is>
          <t>https://nvd.nist.gov/vuln/detail/CVE-2026-25603</t>
        </is>
      </c>
      <c r="AB1262" s="187" t="inlineStr">
        <is>
          <t>NONE</t>
        </is>
      </c>
      <c r="AC1262" s="187" t="n">
        <v>0</v>
      </c>
      <c r="AD1262" s="187" t="inlineStr"/>
    </row>
    <row r="1263">
      <c r="A1263" s="188" t="inlineStr">
        <is>
          <t>CVE</t>
        </is>
      </c>
      <c r="B1263" s="188" t="inlineStr">
        <is>
          <t>CVE-2026-26222</t>
        </is>
      </c>
      <c r="C1263" s="188" t="inlineStr">
        <is>
          <t>Altec DocLink (now maintained by Beyond Limits Inc.) version 4.0.336.0 exposes insecure .NET Remoting endpoints over TCP and HTTP/SOAP via Altec.RDCHostService.exe using the ObjectURI "doclinkServer.soap". The service does not require authentication and is vulnerable to unsafe object unmarshalling, allowing remote attackers to read arbitrary files from the underlying system by specifying local file paths. Additionally, attackers can coerce SMB authentication via UNC paths and write arbitrary fil</t>
        </is>
      </c>
      <c r="D1263" s="188" t="n">
        <v>8.5</v>
      </c>
      <c r="E1263" s="188" t="inlineStr">
        <is>
          <t>HIGH</t>
        </is>
      </c>
      <c r="F1263" s="188" t="n">
        <v>2</v>
      </c>
      <c r="G1263" s="188" t="n">
        <v>3</v>
      </c>
      <c r="H1263" s="188" t="inlineStr">
        <is>
          <t>HIGH</t>
        </is>
      </c>
      <c r="I1263" s="188" t="n">
        <v>14.5</v>
      </c>
      <c r="J1263" s="188" t="inlineStr">
        <is>
          <t>NO</t>
        </is>
      </c>
      <c r="K1263" s="188" t="inlineStr">
        <is>
          <t>https://nvd.nist.gov/vuln/detail/CVE-2026-26222</t>
        </is>
      </c>
      <c r="L1263" s="188" t="inlineStr">
        <is>
          <t>2026-02-26 00:15</t>
        </is>
      </c>
      <c r="M1263" s="188" t="inlineStr">
        <is>
          <t>CHECK_VENDOR</t>
        </is>
      </c>
      <c r="N1263" s="188" t="inlineStr">
        <is>
          <t>See NVD references</t>
        </is>
      </c>
      <c r="O1263" s="188" t="inlineStr">
        <is>
          <t>Apply vendor patches</t>
        </is>
      </c>
      <c r="P1263" s="188" t="inlineStr">
        <is>
          <t>See CVE details</t>
        </is>
      </c>
      <c r="Q1263" s="188" t="inlineStr">
        <is>
          <t>P3</t>
        </is>
      </c>
      <c r="R1263" s="188" t="inlineStr">
        <is>
          <t>🚨 URGENT: Apply vendor patches immediately | 🔒 Isolate affected systems if patch unavailable | 🛡️ Enable additional monitoring/IDS rules</t>
        </is>
      </c>
      <c r="S1263" s="188" t="inlineStr">
        <is>
          <t>CVE - IP enrichment n/a</t>
        </is>
      </c>
      <c r="T1263" s="188" t="n">
        <v>0</v>
      </c>
      <c r="U1263" s="188" t="n">
        <v>0</v>
      </c>
      <c r="V1263" s="188" t="inlineStr">
        <is>
          <t>T1059:Command and Scripting Interpreter | T1190:Exploit Public-Facing Application | T1210:Exploitation of Remote Services</t>
        </is>
      </c>
      <c r="W1263" s="188" t="n">
        <v>1</v>
      </c>
      <c r="X1263" s="188" t="inlineStr">
        <is>
          <t>LOW (40%)</t>
        </is>
      </c>
      <c r="Y1263" s="188" t="inlineStr">
        <is>
          <t>UNLIKELY</t>
        </is>
      </c>
      <c r="Z1263" s="188" t="inlineStr">
        <is>
          <t>CHECK_VENDOR</t>
        </is>
      </c>
      <c r="AA1263" s="188" t="inlineStr">
        <is>
          <t>https://nvd.nist.gov/vuln/detail/CVE-2026-26222</t>
        </is>
      </c>
      <c r="AB1263" s="188" t="inlineStr">
        <is>
          <t>NONE</t>
        </is>
      </c>
      <c r="AC1263" s="188" t="n">
        <v>0</v>
      </c>
      <c r="AD1263" s="188" t="inlineStr"/>
    </row>
    <row r="1264">
      <c r="A1264" s="187" t="inlineStr">
        <is>
          <t>CVE</t>
        </is>
      </c>
      <c r="B1264" s="187" t="inlineStr">
        <is>
          <t>CVE-2026-27156</t>
        </is>
      </c>
      <c r="C1264" s="187" t="inlineStr">
        <is>
          <t>NiceGUI is a Python-based UI framework. Prior to version 3.8.0, several NiceGUI APIs that execute methods on client-side elements (`Element.run_method()`, `AgGrid.run_grid_method()`, `EChart.run_chart_method()`, and others) use an `eval()` fallback in the JavaScript-side `runMethod()` function. When user-controlled input is passed as the method name, an attacker can inject arbitrary JavaScript that executes in the victim's browser. Additionally, `Element.run_method()` and `Element.get_computed_p</t>
        </is>
      </c>
      <c r="D1264" s="187" t="n">
        <v>6.1</v>
      </c>
      <c r="E1264" s="187" t="inlineStr">
        <is>
          <t>MEDIUM</t>
        </is>
      </c>
      <c r="F1264" s="187" t="n">
        <v>2</v>
      </c>
      <c r="G1264" s="187" t="n">
        <v>2</v>
      </c>
      <c r="H1264" s="187" t="inlineStr">
        <is>
          <t>MEDIUM</t>
        </is>
      </c>
      <c r="I1264" s="187" t="n">
        <v>10.1</v>
      </c>
      <c r="J1264" s="187" t="inlineStr">
        <is>
          <t>NO</t>
        </is>
      </c>
      <c r="K1264" s="187" t="inlineStr">
        <is>
          <t>https://nvd.nist.gov/vuln/detail/CVE-2026-27156</t>
        </is>
      </c>
      <c r="L1264" s="187" t="inlineStr">
        <is>
          <t>2026-02-26 00:15</t>
        </is>
      </c>
      <c r="M1264" s="187" t="inlineStr">
        <is>
          <t>CHECK_VENDOR</t>
        </is>
      </c>
      <c r="N1264" s="187" t="inlineStr">
        <is>
          <t>See NVD references</t>
        </is>
      </c>
      <c r="O1264" s="187" t="inlineStr">
        <is>
          <t>Apply vendor patches</t>
        </is>
      </c>
      <c r="P1264" s="187" t="inlineStr">
        <is>
          <t>See CVE details</t>
        </is>
      </c>
      <c r="Q1264" s="187" t="inlineStr">
        <is>
          <t>P4</t>
        </is>
      </c>
      <c r="R1264" s="187" t="inlineStr">
        <is>
          <t>📅 Schedule patch deployment within 30 days | 🔍 Monitor for exploitation attempts</t>
        </is>
      </c>
      <c r="S1264" s="187" t="inlineStr">
        <is>
          <t>CVE - IP enrichment n/a</t>
        </is>
      </c>
      <c r="T1264" s="187" t="n">
        <v>0</v>
      </c>
      <c r="U1264" s="187" t="n">
        <v>0</v>
      </c>
      <c r="V1264" s="187" t="inlineStr">
        <is>
          <t>T1189:Drive-by Compromise</t>
        </is>
      </c>
      <c r="W1264" s="187" t="n">
        <v>1</v>
      </c>
      <c r="X1264" s="187" t="inlineStr">
        <is>
          <t>LOW (40%)</t>
        </is>
      </c>
      <c r="Y1264" s="187" t="inlineStr">
        <is>
          <t>UNLIKELY</t>
        </is>
      </c>
      <c r="Z1264" s="187" t="inlineStr">
        <is>
          <t>CHECK_VENDOR</t>
        </is>
      </c>
      <c r="AA1264" s="187" t="inlineStr">
        <is>
          <t>https://nvd.nist.gov/vuln/detail/CVE-2026-27156</t>
        </is>
      </c>
      <c r="AB1264" s="187" t="inlineStr">
        <is>
          <t>NONE</t>
        </is>
      </c>
      <c r="AC1264" s="187" t="n">
        <v>0</v>
      </c>
      <c r="AD1264" s="187" t="inlineStr"/>
    </row>
    <row r="1265">
      <c r="A1265" s="188" t="inlineStr">
        <is>
          <t>CVE</t>
        </is>
      </c>
      <c r="B1265" s="188" t="inlineStr">
        <is>
          <t>CVE-2026-27468</t>
        </is>
      </c>
      <c r="C1265" s="188" t="inlineStr">
        <is>
          <t>Mastodon is a free, open-source social network server based on ActivityPub. FASP registration requires manual approval by an administrator. In versions 4.4.0 through 4.4.13 and 4.5.0 through 4.5.6, actions performed by a FASP to subscribe to account/content lifecycle events or to backfill content did not check properly whether the FASP was actually approved. This only affects Mastodon servers that have opted in to testing the experimental FASP feature by setting the environment variable `EXPERIM</t>
        </is>
      </c>
      <c r="D1265" s="188" t="n">
        <v>8.5</v>
      </c>
      <c r="E1265" s="188" t="inlineStr">
        <is>
          <t>HIGH</t>
        </is>
      </c>
      <c r="F1265" s="188" t="n">
        <v>2</v>
      </c>
      <c r="G1265" s="188" t="n">
        <v>3</v>
      </c>
      <c r="H1265" s="188" t="inlineStr">
        <is>
          <t>HIGH</t>
        </is>
      </c>
      <c r="I1265" s="188" t="n">
        <v>14.5</v>
      </c>
      <c r="J1265" s="188" t="inlineStr">
        <is>
          <t>NO</t>
        </is>
      </c>
      <c r="K1265" s="188" t="inlineStr">
        <is>
          <t>https://nvd.nist.gov/vuln/detail/CVE-2026-27468</t>
        </is>
      </c>
      <c r="L1265" s="188" t="inlineStr">
        <is>
          <t>2026-02-26 00:15</t>
        </is>
      </c>
      <c r="M1265" s="188" t="inlineStr">
        <is>
          <t>CHECK_VENDOR</t>
        </is>
      </c>
      <c r="N1265" s="188" t="inlineStr">
        <is>
          <t>See NVD references</t>
        </is>
      </c>
      <c r="O1265" s="188" t="inlineStr">
        <is>
          <t>Apply vendor patches</t>
        </is>
      </c>
      <c r="P1265" s="188" t="inlineStr">
        <is>
          <t>See CVE details</t>
        </is>
      </c>
      <c r="Q1265" s="188" t="inlineStr">
        <is>
          <t>P3</t>
        </is>
      </c>
      <c r="R1265" s="188" t="inlineStr">
        <is>
          <t>🚨 URGENT: Apply vendor patches immediately | 🔒 Isolate affected systems if patch unavailable | 🛡️ Enable additional monitoring/IDS rules</t>
        </is>
      </c>
      <c r="S1265" s="188" t="inlineStr">
        <is>
          <t>CVE - IP enrichment n/a</t>
        </is>
      </c>
      <c r="T1265" s="188" t="n">
        <v>0.0004</v>
      </c>
      <c r="U1265" s="188" t="n">
        <v>0.1232</v>
      </c>
      <c r="V1265" s="188" t="inlineStr">
        <is>
          <t>T1190:Exploit Public-Facing Application</t>
        </is>
      </c>
      <c r="W1265" s="188" t="n">
        <v>1</v>
      </c>
      <c r="X1265" s="188" t="inlineStr">
        <is>
          <t>LOW (40%)</t>
        </is>
      </c>
      <c r="Y1265" s="188" t="inlineStr">
        <is>
          <t>UNLIKELY</t>
        </is>
      </c>
      <c r="Z1265" s="188" t="inlineStr">
        <is>
          <t>CHECK_VENDOR</t>
        </is>
      </c>
      <c r="AA1265" s="188" t="inlineStr">
        <is>
          <t>https://nvd.nist.gov/vuln/detail/CVE-2026-27468</t>
        </is>
      </c>
      <c r="AB1265" s="188" t="inlineStr">
        <is>
          <t>NONE</t>
        </is>
      </c>
      <c r="AC1265" s="188" t="n">
        <v>0</v>
      </c>
      <c r="AD1265" s="188" t="inlineStr"/>
    </row>
    <row r="1266">
      <c r="A1266" s="187" t="inlineStr">
        <is>
          <t>CVE</t>
        </is>
      </c>
      <c r="B1266" s="187" t="inlineStr">
        <is>
          <t>CVE-2025-1787</t>
        </is>
      </c>
      <c r="C1266" s="187" t="inlineStr">
        <is>
          <t>Local admin could to leak information from the Genetec Update Service configuration web page. An authenticated, admin privileged, Windows user could exploit this vulnerability to gain elevated privileges in the Genetec Update Service. Could be combined with CVE-2025-1789 to achieve low privilege escalation.</t>
        </is>
      </c>
      <c r="D1266" s="187" t="n">
        <v>5</v>
      </c>
      <c r="E1266" s="187" t="inlineStr">
        <is>
          <t>MEDIUM</t>
        </is>
      </c>
      <c r="F1266" s="187" t="n">
        <v>2</v>
      </c>
      <c r="G1266" s="187" t="n">
        <v>2</v>
      </c>
      <c r="H1266" s="187" t="inlineStr">
        <is>
          <t>MEDIUM</t>
        </is>
      </c>
      <c r="I1266" s="187" t="n">
        <v>9</v>
      </c>
      <c r="J1266" s="187" t="inlineStr">
        <is>
          <t>NO</t>
        </is>
      </c>
      <c r="K1266" s="187" t="inlineStr">
        <is>
          <t>https://nvd.nist.gov/vuln/detail/CVE-2025-1787</t>
        </is>
      </c>
      <c r="L1266" s="187" t="inlineStr">
        <is>
          <t>2026-02-26 00:15</t>
        </is>
      </c>
      <c r="M1266" s="187" t="inlineStr">
        <is>
          <t>CHECK_VENDOR</t>
        </is>
      </c>
      <c r="N1266" s="187" t="inlineStr">
        <is>
          <t>See NVD references</t>
        </is>
      </c>
      <c r="O1266" s="187" t="inlineStr">
        <is>
          <t>Apply vendor patches</t>
        </is>
      </c>
      <c r="P1266" s="187" t="inlineStr">
        <is>
          <t>See CVE details</t>
        </is>
      </c>
      <c r="Q1266" s="187" t="inlineStr">
        <is>
          <t>P4</t>
        </is>
      </c>
      <c r="R1266" s="187" t="inlineStr">
        <is>
          <t>📅 Schedule patch deployment within 30 days | 🔍 Monitor for exploitation attempts</t>
        </is>
      </c>
      <c r="S1266" s="187" t="inlineStr">
        <is>
          <t>CVE - IP enrichment n/a</t>
        </is>
      </c>
      <c r="T1266" s="187" t="n">
        <v>0</v>
      </c>
      <c r="U1266" s="187" t="n">
        <v>0</v>
      </c>
      <c r="V1266" s="187" t="inlineStr">
        <is>
          <t>T1068:Exploitation for Privilege Escalation</t>
        </is>
      </c>
      <c r="W1266" s="187" t="n">
        <v>1</v>
      </c>
      <c r="X1266" s="187" t="inlineStr">
        <is>
          <t>LOW (40%)</t>
        </is>
      </c>
      <c r="Y1266" s="187" t="inlineStr">
        <is>
          <t>UNLIKELY</t>
        </is>
      </c>
      <c r="Z1266" s="187" t="inlineStr">
        <is>
          <t>CHECK_VENDOR</t>
        </is>
      </c>
      <c r="AA1266" s="187" t="inlineStr">
        <is>
          <t>https://nvd.nist.gov/vuln/detail/CVE-2025-1787</t>
        </is>
      </c>
      <c r="AB1266" s="187" t="inlineStr">
        <is>
          <t>NONE</t>
        </is>
      </c>
      <c r="AC1266" s="187" t="n">
        <v>0</v>
      </c>
      <c r="AD1266" s="187" t="inlineStr"/>
    </row>
    <row r="1267">
      <c r="A1267" s="187" t="inlineStr">
        <is>
          <t>CVE</t>
        </is>
      </c>
      <c r="B1267" s="187" t="inlineStr">
        <is>
          <t>CVE-2025-1789</t>
        </is>
      </c>
      <c r="C1267" s="187" t="inlineStr">
        <is>
          <t>Local privilege escalation in Genetec Update Service. An authenticated, low-privileged, Windows user could exploit this vulnerability to gain elevated privileges on the affected system.</t>
        </is>
      </c>
      <c r="D1267" s="187" t="n">
        <v>5</v>
      </c>
      <c r="E1267" s="187" t="inlineStr">
        <is>
          <t>MEDIUM</t>
        </is>
      </c>
      <c r="F1267" s="187" t="n">
        <v>2</v>
      </c>
      <c r="G1267" s="187" t="n">
        <v>2</v>
      </c>
      <c r="H1267" s="187" t="inlineStr">
        <is>
          <t>MEDIUM</t>
        </is>
      </c>
      <c r="I1267" s="187" t="n">
        <v>9</v>
      </c>
      <c r="J1267" s="187" t="inlineStr">
        <is>
          <t>NO</t>
        </is>
      </c>
      <c r="K1267" s="187" t="inlineStr">
        <is>
          <t>https://nvd.nist.gov/vuln/detail/CVE-2025-1789</t>
        </is>
      </c>
      <c r="L1267" s="187" t="inlineStr">
        <is>
          <t>2026-02-26 00:15</t>
        </is>
      </c>
      <c r="M1267" s="187" t="inlineStr">
        <is>
          <t>CHECK_VENDOR</t>
        </is>
      </c>
      <c r="N1267" s="187" t="inlineStr">
        <is>
          <t>See NVD references</t>
        </is>
      </c>
      <c r="O1267" s="187" t="inlineStr">
        <is>
          <t>Apply vendor patches</t>
        </is>
      </c>
      <c r="P1267" s="187" t="inlineStr">
        <is>
          <t>See CVE details</t>
        </is>
      </c>
      <c r="Q1267" s="187" t="inlineStr">
        <is>
          <t>P4</t>
        </is>
      </c>
      <c r="R1267" s="187" t="inlineStr">
        <is>
          <t>📅 Schedule patch deployment within 30 days | 🔍 Monitor for exploitation attempts</t>
        </is>
      </c>
      <c r="S1267" s="187" t="inlineStr">
        <is>
          <t>CVE - IP enrichment n/a</t>
        </is>
      </c>
      <c r="T1267" s="187" t="n">
        <v>0.0001</v>
      </c>
      <c r="U1267" s="187" t="n">
        <v>0.0202</v>
      </c>
      <c r="V1267" s="187" t="inlineStr">
        <is>
          <t>T1222:File and Directory Permissions Modification | T1068:Exploitation for Privilege Escalation</t>
        </is>
      </c>
      <c r="W1267" s="187" t="n">
        <v>1</v>
      </c>
      <c r="X1267" s="187" t="inlineStr">
        <is>
          <t>LOW (40%)</t>
        </is>
      </c>
      <c r="Y1267" s="187" t="inlineStr">
        <is>
          <t>UNLIKELY</t>
        </is>
      </c>
      <c r="Z1267" s="187" t="inlineStr">
        <is>
          <t>CHECK_VENDOR</t>
        </is>
      </c>
      <c r="AA1267" s="187" t="inlineStr">
        <is>
          <t>https://nvd.nist.gov/vuln/detail/CVE-2025-1789</t>
        </is>
      </c>
      <c r="AB1267" s="187" t="inlineStr">
        <is>
          <t>NONE</t>
        </is>
      </c>
      <c r="AC1267" s="187" t="n">
        <v>0</v>
      </c>
      <c r="AD1267" s="187" t="inlineStr"/>
    </row>
    <row r="1268">
      <c r="A1268" s="188" t="inlineStr">
        <is>
          <t>CVE</t>
        </is>
      </c>
      <c r="B1268" s="188" t="inlineStr">
        <is>
          <t>CVE-2025-33179</t>
        </is>
      </c>
      <c r="C1268" s="188" t="inlineStr">
        <is>
          <t>NVIDIA Cumulus Linux and NVOS products contain a vulnerability in the NVUE interface, where a low-privileged user could run an unauthorized command. A successful exploit of this vulnerability might lead to escalation of privileges.</t>
        </is>
      </c>
      <c r="D1268" s="188" t="n">
        <v>8</v>
      </c>
      <c r="E1268" s="188" t="inlineStr">
        <is>
          <t>HIGH</t>
        </is>
      </c>
      <c r="F1268" s="188" t="n">
        <v>2</v>
      </c>
      <c r="G1268" s="188" t="n">
        <v>3</v>
      </c>
      <c r="H1268" s="188" t="inlineStr">
        <is>
          <t>HIGH</t>
        </is>
      </c>
      <c r="I1268" s="188" t="n">
        <v>14</v>
      </c>
      <c r="J1268" s="188" t="inlineStr">
        <is>
          <t>NO</t>
        </is>
      </c>
      <c r="K1268" s="188" t="inlineStr">
        <is>
          <t>https://nvd.nist.gov/vuln/detail/CVE-2025-33179</t>
        </is>
      </c>
      <c r="L1268" s="188" t="inlineStr">
        <is>
          <t>2026-02-26 00:15</t>
        </is>
      </c>
      <c r="M1268" s="188" t="inlineStr">
        <is>
          <t>CHECK_VENDOR</t>
        </is>
      </c>
      <c r="N1268" s="188" t="inlineStr">
        <is>
          <t>See NVD references</t>
        </is>
      </c>
      <c r="O1268" s="188" t="inlineStr">
        <is>
          <t>Apply vendor patches</t>
        </is>
      </c>
      <c r="P1268" s="188" t="inlineStr">
        <is>
          <t>See CVE details</t>
        </is>
      </c>
      <c r="Q1268" s="188" t="inlineStr">
        <is>
          <t>P3</t>
        </is>
      </c>
      <c r="R1268" s="188" t="inlineStr">
        <is>
          <t>🚨 URGENT: Apply vendor patches immediately | 🔒 Isolate affected systems if patch unavailable | 🛡️ Enable additional monitoring/IDS rules</t>
        </is>
      </c>
      <c r="S1268" s="188" t="inlineStr">
        <is>
          <t>CVE - IP enrichment n/a</t>
        </is>
      </c>
      <c r="T1268" s="188" t="n">
        <v>0</v>
      </c>
      <c r="U1268" s="188" t="n">
        <v>0</v>
      </c>
      <c r="V1268" s="188" t="inlineStr">
        <is>
          <t>T1190:Exploit Public-Facing Application</t>
        </is>
      </c>
      <c r="W1268" s="188" t="n">
        <v>1</v>
      </c>
      <c r="X1268" s="188" t="inlineStr">
        <is>
          <t>LOW (40%)</t>
        </is>
      </c>
      <c r="Y1268" s="188" t="inlineStr">
        <is>
          <t>UNLIKELY</t>
        </is>
      </c>
      <c r="Z1268" s="188" t="inlineStr">
        <is>
          <t>CHECK_VENDOR</t>
        </is>
      </c>
      <c r="AA1268" s="188" t="inlineStr">
        <is>
          <t>https://nvd.nist.gov/vuln/detail/CVE-2025-33179</t>
        </is>
      </c>
      <c r="AB1268" s="188" t="inlineStr">
        <is>
          <t>NONE</t>
        </is>
      </c>
      <c r="AC1268" s="188" t="n">
        <v>0</v>
      </c>
      <c r="AD1268" s="188" t="inlineStr"/>
    </row>
    <row r="1269">
      <c r="A1269" s="188" t="inlineStr">
        <is>
          <t>CVE</t>
        </is>
      </c>
      <c r="B1269" s="188" t="inlineStr">
        <is>
          <t>CVE-2025-33180</t>
        </is>
      </c>
      <c r="C1269" s="188" t="inlineStr">
        <is>
          <t>NVIDIA Cumulus Linux and NVOS products contain a vulnerability in the NVUE interface, where a low-privileged user could inject a command. A successful exploit of this vulnerability might lead to escalation of privileges.</t>
        </is>
      </c>
      <c r="D1269" s="188" t="n">
        <v>8</v>
      </c>
      <c r="E1269" s="188" t="inlineStr">
        <is>
          <t>HIGH</t>
        </is>
      </c>
      <c r="F1269" s="188" t="n">
        <v>2</v>
      </c>
      <c r="G1269" s="188" t="n">
        <v>3</v>
      </c>
      <c r="H1269" s="188" t="inlineStr">
        <is>
          <t>HIGH</t>
        </is>
      </c>
      <c r="I1269" s="188" t="n">
        <v>14</v>
      </c>
      <c r="J1269" s="188" t="inlineStr">
        <is>
          <t>NO</t>
        </is>
      </c>
      <c r="K1269" s="188" t="inlineStr">
        <is>
          <t>https://nvd.nist.gov/vuln/detail/CVE-2025-33180</t>
        </is>
      </c>
      <c r="L1269" s="188" t="inlineStr">
        <is>
          <t>2026-02-26 00:15</t>
        </is>
      </c>
      <c r="M1269" s="188" t="inlineStr">
        <is>
          <t>CHECK_VENDOR</t>
        </is>
      </c>
      <c r="N1269" s="188" t="inlineStr">
        <is>
          <t>See NVD references</t>
        </is>
      </c>
      <c r="O1269" s="188" t="inlineStr">
        <is>
          <t>Apply vendor patches</t>
        </is>
      </c>
      <c r="P1269" s="188" t="inlineStr">
        <is>
          <t>See CVE details</t>
        </is>
      </c>
      <c r="Q1269" s="188" t="inlineStr">
        <is>
          <t>P3</t>
        </is>
      </c>
      <c r="R1269" s="188" t="inlineStr">
        <is>
          <t>🚨 URGENT: Apply vendor patches immediately | 🔒 Isolate affected systems if patch unavailable | 🛡️ Enable additional monitoring/IDS rules</t>
        </is>
      </c>
      <c r="S1269" s="188" t="inlineStr">
        <is>
          <t>CVE - IP enrichment n/a</t>
        </is>
      </c>
      <c r="T1269" s="188" t="n">
        <v>0</v>
      </c>
      <c r="U1269" s="188" t="n">
        <v>0</v>
      </c>
      <c r="V1269" s="188" t="inlineStr">
        <is>
          <t>T1059:Command and Scripting Interpreter</t>
        </is>
      </c>
      <c r="W1269" s="188" t="n">
        <v>1</v>
      </c>
      <c r="X1269" s="188" t="inlineStr">
        <is>
          <t>LOW (40%)</t>
        </is>
      </c>
      <c r="Y1269" s="188" t="inlineStr">
        <is>
          <t>UNLIKELY</t>
        </is>
      </c>
      <c r="Z1269" s="188" t="inlineStr">
        <is>
          <t>CHECK_VENDOR</t>
        </is>
      </c>
      <c r="AA1269" s="188" t="inlineStr">
        <is>
          <t>https://nvd.nist.gov/vuln/detail/CVE-2025-33180</t>
        </is>
      </c>
      <c r="AB1269" s="188" t="inlineStr">
        <is>
          <t>NONE</t>
        </is>
      </c>
      <c r="AC1269" s="188" t="n">
        <v>0</v>
      </c>
      <c r="AD1269" s="188" t="inlineStr"/>
    </row>
    <row r="1270">
      <c r="A1270" s="188" t="inlineStr">
        <is>
          <t>CVE</t>
        </is>
      </c>
      <c r="B1270" s="188" t="inlineStr">
        <is>
          <t>CVE-2025-33181</t>
        </is>
      </c>
      <c r="C1270" s="188" t="inlineStr">
        <is>
          <t>NVIDIA Cumulus Linux and NVOS products contain a vulnerability in the NVUE interface, where a low-privileged user could inject a command. A successful exploit of this vulnerability might lead to escalation of privileges.</t>
        </is>
      </c>
      <c r="D1270" s="188" t="n">
        <v>7.3</v>
      </c>
      <c r="E1270" s="188" t="inlineStr">
        <is>
          <t>HIGH</t>
        </is>
      </c>
      <c r="F1270" s="188" t="n">
        <v>2</v>
      </c>
      <c r="G1270" s="188" t="n">
        <v>3</v>
      </c>
      <c r="H1270" s="188" t="inlineStr">
        <is>
          <t>HIGH</t>
        </is>
      </c>
      <c r="I1270" s="188" t="n">
        <v>13.3</v>
      </c>
      <c r="J1270" s="188" t="inlineStr">
        <is>
          <t>NO</t>
        </is>
      </c>
      <c r="K1270" s="188" t="inlineStr">
        <is>
          <t>https://nvd.nist.gov/vuln/detail/CVE-2025-33181</t>
        </is>
      </c>
      <c r="L1270" s="188" t="inlineStr">
        <is>
          <t>2026-02-26 00:15</t>
        </is>
      </c>
      <c r="M1270" s="188" t="inlineStr">
        <is>
          <t>CHECK_VENDOR</t>
        </is>
      </c>
      <c r="N1270" s="188" t="inlineStr">
        <is>
          <t>See NVD references</t>
        </is>
      </c>
      <c r="O1270" s="188" t="inlineStr">
        <is>
          <t>Apply vendor patches</t>
        </is>
      </c>
      <c r="P1270" s="188" t="inlineStr">
        <is>
          <t>See CVE details</t>
        </is>
      </c>
      <c r="Q1270" s="188" t="inlineStr">
        <is>
          <t>P3</t>
        </is>
      </c>
      <c r="R1270" s="188" t="inlineStr">
        <is>
          <t>🚨 URGENT: Apply vendor patches immediately | 🔒 Isolate affected systems if patch unavailable | 🛡️ Enable additional monitoring/IDS rules</t>
        </is>
      </c>
      <c r="S1270" s="188" t="inlineStr">
        <is>
          <t>CVE - IP enrichment n/a</t>
        </is>
      </c>
      <c r="T1270" s="188" t="n">
        <v>0</v>
      </c>
      <c r="U1270" s="188" t="n">
        <v>0</v>
      </c>
      <c r="V1270" s="188" t="inlineStr">
        <is>
          <t>T1059:Command and Scripting Interpreter</t>
        </is>
      </c>
      <c r="W1270" s="188" t="n">
        <v>1</v>
      </c>
      <c r="X1270" s="188" t="inlineStr">
        <is>
          <t>LOW (40%)</t>
        </is>
      </c>
      <c r="Y1270" s="188" t="inlineStr">
        <is>
          <t>UNLIKELY</t>
        </is>
      </c>
      <c r="Z1270" s="188" t="inlineStr">
        <is>
          <t>CHECK_VENDOR</t>
        </is>
      </c>
      <c r="AA1270" s="188" t="inlineStr">
        <is>
          <t>https://nvd.nist.gov/vuln/detail/CVE-2025-33181</t>
        </is>
      </c>
      <c r="AB1270" s="188" t="inlineStr">
        <is>
          <t>NONE</t>
        </is>
      </c>
      <c r="AC1270" s="188" t="n">
        <v>0</v>
      </c>
      <c r="AD1270" s="188" t="inlineStr"/>
    </row>
    <row r="1271">
      <c r="A1271" s="187" t="inlineStr">
        <is>
          <t>CVE</t>
        </is>
      </c>
      <c r="B1271" s="187" t="inlineStr">
        <is>
          <t>CVE-2026-1768</t>
        </is>
      </c>
      <c r="C1271" s="187" t="inlineStr">
        <is>
          <t>A permission cache poisoning vulnerability in Devolutions Server allows authenticated users to bypass permissions to access entries.This issue affects Devolutions Server: before 2025.3.15.</t>
        </is>
      </c>
      <c r="D1271" s="187" t="n">
        <v>4.3</v>
      </c>
      <c r="E1271" s="187" t="inlineStr">
        <is>
          <t>MEDIUM</t>
        </is>
      </c>
      <c r="F1271" s="187" t="n">
        <v>2</v>
      </c>
      <c r="G1271" s="187" t="n">
        <v>2</v>
      </c>
      <c r="H1271" s="187" t="inlineStr">
        <is>
          <t>MEDIUM</t>
        </is>
      </c>
      <c r="I1271" s="187" t="n">
        <v>8.300000000000001</v>
      </c>
      <c r="J1271" s="187" t="inlineStr">
        <is>
          <t>NO</t>
        </is>
      </c>
      <c r="K1271" s="187" t="inlineStr">
        <is>
          <t>https://nvd.nist.gov/vuln/detail/CVE-2026-1768</t>
        </is>
      </c>
      <c r="L1271" s="187" t="inlineStr">
        <is>
          <t>2026-02-26 00:15</t>
        </is>
      </c>
      <c r="M1271" s="187" t="inlineStr">
        <is>
          <t>YES</t>
        </is>
      </c>
      <c r="N1271" s="187" t="inlineStr">
        <is>
          <t>https://devolutions.net/security/advisories/DEVO-2026-0004/</t>
        </is>
      </c>
      <c r="O1271" s="187" t="inlineStr">
        <is>
          <t>Apply vendor patches</t>
        </is>
      </c>
      <c r="P1271" s="187" t="inlineStr">
        <is>
          <t>devolutions devolutions_server *</t>
        </is>
      </c>
      <c r="Q1271" s="187" t="inlineStr">
        <is>
          <t>P4</t>
        </is>
      </c>
      <c r="R1271" s="187" t="inlineStr">
        <is>
          <t>📅 Schedule patch deployment within 30 days | 🔍 Monitor for exploitation attempts</t>
        </is>
      </c>
      <c r="S1271" s="187" t="inlineStr">
        <is>
          <t>CVE - IP enrichment n/a</t>
        </is>
      </c>
      <c r="T1271" s="187" t="n">
        <v>0</v>
      </c>
      <c r="U1271" s="187" t="n">
        <v>0</v>
      </c>
      <c r="V1271" s="187" t="inlineStr">
        <is>
          <t>T1190:Exploit Public-Facing Application</t>
        </is>
      </c>
      <c r="W1271" s="187" t="n">
        <v>1</v>
      </c>
      <c r="X1271" s="187" t="inlineStr">
        <is>
          <t>LOW (40%)</t>
        </is>
      </c>
      <c r="Y1271" s="187" t="inlineStr">
        <is>
          <t>UNLIKELY</t>
        </is>
      </c>
      <c r="Z1271" s="187" t="inlineStr">
        <is>
          <t>PATCH_AVAILABLE</t>
        </is>
      </c>
      <c r="AA1271" s="187" t="inlineStr">
        <is>
          <t>https://nvd.nist.gov/vuln/detail/CVE-2026-1768</t>
        </is>
      </c>
      <c r="AB1271" s="187" t="inlineStr">
        <is>
          <t>NONE</t>
        </is>
      </c>
      <c r="AC1271" s="187" t="n">
        <v>0</v>
      </c>
      <c r="AD1271" s="187" t="inlineStr"/>
    </row>
    <row r="1272">
      <c r="A1272" s="188" t="inlineStr">
        <is>
          <t>CVE</t>
        </is>
      </c>
      <c r="B1272" s="188" t="inlineStr">
        <is>
          <t>CVE-2026-22765</t>
        </is>
      </c>
      <c r="C1272" s="188" t="inlineStr">
        <is>
          <t>Dell Wyse Management Suite, versions prior to WMS 5.5, contain a Missing Authorization vulnerability. A low privileged attacker with remote access could potentially exploit this vulnerability, leading to Elevation of Privileges.</t>
        </is>
      </c>
      <c r="D1272" s="188" t="n">
        <v>8.800000000000001</v>
      </c>
      <c r="E1272" s="188" t="inlineStr">
        <is>
          <t>HIGH</t>
        </is>
      </c>
      <c r="F1272" s="188" t="n">
        <v>2</v>
      </c>
      <c r="G1272" s="188" t="n">
        <v>3</v>
      </c>
      <c r="H1272" s="188" t="inlineStr">
        <is>
          <t>HIGH</t>
        </is>
      </c>
      <c r="I1272" s="188" t="n">
        <v>14.8</v>
      </c>
      <c r="J1272" s="188" t="inlineStr">
        <is>
          <t>NO</t>
        </is>
      </c>
      <c r="K1272" s="188" t="inlineStr">
        <is>
          <t>https://nvd.nist.gov/vuln/detail/CVE-2026-22765</t>
        </is>
      </c>
      <c r="L1272" s="188" t="inlineStr">
        <is>
          <t>2026-02-26 00:15</t>
        </is>
      </c>
      <c r="M1272" s="188" t="inlineStr">
        <is>
          <t>YES</t>
        </is>
      </c>
      <c r="N1272" s="188" t="inlineStr">
        <is>
          <t>https://www.dell.com/support/kbdoc/en-us/000429141/dsa-2026-103</t>
        </is>
      </c>
      <c r="O1272" s="188" t="inlineStr">
        <is>
          <t>Apply vendor patches</t>
        </is>
      </c>
      <c r="P1272" s="188" t="inlineStr">
        <is>
          <t>dell wyse_management_suite *</t>
        </is>
      </c>
      <c r="Q1272" s="188" t="inlineStr">
        <is>
          <t>P3</t>
        </is>
      </c>
      <c r="R1272" s="188" t="inlineStr">
        <is>
          <t>🚨 URGENT: Apply vendor patches immediately | 🔒 Isolate affected systems if patch unavailable | 🛡️ Enable additional monitoring/IDS rules</t>
        </is>
      </c>
      <c r="S1272" s="188" t="inlineStr">
        <is>
          <t>CVE - IP enrichment n/a</t>
        </is>
      </c>
      <c r="T1272" s="188" t="n">
        <v>0</v>
      </c>
      <c r="U1272" s="188" t="n">
        <v>0</v>
      </c>
      <c r="V1272" s="188" t="inlineStr">
        <is>
          <t>T1190:Exploit Public-Facing Application</t>
        </is>
      </c>
      <c r="W1272" s="188" t="n">
        <v>1</v>
      </c>
      <c r="X1272" s="188" t="inlineStr">
        <is>
          <t>LOW (40%)</t>
        </is>
      </c>
      <c r="Y1272" s="188" t="inlineStr">
        <is>
          <t>UNLIKELY</t>
        </is>
      </c>
      <c r="Z1272" s="188" t="inlineStr">
        <is>
          <t>PATCH_AVAILABLE</t>
        </is>
      </c>
      <c r="AA1272" s="188" t="inlineStr">
        <is>
          <t>https://nvd.nist.gov/vuln/detail/CVE-2026-22765</t>
        </is>
      </c>
      <c r="AB1272" s="188" t="inlineStr">
        <is>
          <t>NONE</t>
        </is>
      </c>
      <c r="AC1272" s="188" t="n">
        <v>0</v>
      </c>
      <c r="AD1272" s="188" t="inlineStr"/>
    </row>
    <row r="1273">
      <c r="A1273" s="188" t="inlineStr">
        <is>
          <t>CVE</t>
        </is>
      </c>
      <c r="B1273" s="188" t="inlineStr">
        <is>
          <t>CVE-2026-22766</t>
        </is>
      </c>
      <c r="C1273" s="188" t="inlineStr">
        <is>
          <t>Dell Wyse Management Suite, versions prior to WMS 5.5, contain an Unrestricted Upload of File with Dangerous Type vulnerability. A high privileged attacker with remote access could potentially exploit this vulnerability, leading to Remote execution.</t>
        </is>
      </c>
      <c r="D1273" s="188" t="n">
        <v>7.2</v>
      </c>
      <c r="E1273" s="188" t="inlineStr">
        <is>
          <t>HIGH</t>
        </is>
      </c>
      <c r="F1273" s="188" t="n">
        <v>2</v>
      </c>
      <c r="G1273" s="188" t="n">
        <v>3</v>
      </c>
      <c r="H1273" s="188" t="inlineStr">
        <is>
          <t>HIGH</t>
        </is>
      </c>
      <c r="I1273" s="188" t="n">
        <v>13.2</v>
      </c>
      <c r="J1273" s="188" t="inlineStr">
        <is>
          <t>NO</t>
        </is>
      </c>
      <c r="K1273" s="188" t="inlineStr">
        <is>
          <t>https://nvd.nist.gov/vuln/detail/CVE-2026-22766</t>
        </is>
      </c>
      <c r="L1273" s="188" t="inlineStr">
        <is>
          <t>2026-02-26 00:15</t>
        </is>
      </c>
      <c r="M1273" s="188" t="inlineStr">
        <is>
          <t>YES</t>
        </is>
      </c>
      <c r="N1273" s="188" t="inlineStr">
        <is>
          <t>https://www.dell.com/support/kbdoc/en-us/000429141/dsa-2026-103</t>
        </is>
      </c>
      <c r="O1273" s="188" t="inlineStr">
        <is>
          <t>Apply vendor patches</t>
        </is>
      </c>
      <c r="P1273" s="188" t="inlineStr">
        <is>
          <t>dell wyse_management_suite *</t>
        </is>
      </c>
      <c r="Q1273" s="188" t="inlineStr">
        <is>
          <t>P3</t>
        </is>
      </c>
      <c r="R1273" s="188" t="inlineStr">
        <is>
          <t>🚨 URGENT: Apply vendor patches immediately | 🔒 Isolate affected systems if patch unavailable | 🛡️ Enable additional monitoring/IDS rules</t>
        </is>
      </c>
      <c r="S1273" s="188" t="inlineStr">
        <is>
          <t>CVE - IP enrichment n/a</t>
        </is>
      </c>
      <c r="T1273" s="188" t="n">
        <v>0</v>
      </c>
      <c r="U1273" s="188" t="n">
        <v>0</v>
      </c>
      <c r="V1273" s="188" t="inlineStr">
        <is>
          <t>T1190:Exploit Public-Facing Application</t>
        </is>
      </c>
      <c r="W1273" s="188" t="n">
        <v>1</v>
      </c>
      <c r="X1273" s="188" t="inlineStr">
        <is>
          <t>LOW (40%)</t>
        </is>
      </c>
      <c r="Y1273" s="188" t="inlineStr">
        <is>
          <t>UNLIKELY</t>
        </is>
      </c>
      <c r="Z1273" s="188" t="inlineStr">
        <is>
          <t>PATCH_AVAILABLE</t>
        </is>
      </c>
      <c r="AA1273" s="188" t="inlineStr">
        <is>
          <t>https://nvd.nist.gov/vuln/detail/CVE-2026-22766</t>
        </is>
      </c>
      <c r="AB1273" s="188" t="inlineStr">
        <is>
          <t>NONE</t>
        </is>
      </c>
      <c r="AC1273" s="188" t="n">
        <v>0</v>
      </c>
      <c r="AD1273" s="188" t="inlineStr"/>
    </row>
    <row r="1274">
      <c r="A1274" s="187" t="inlineStr">
        <is>
          <t>CVE</t>
        </is>
      </c>
      <c r="B1274" s="187" t="inlineStr">
        <is>
          <t>CVE-2026-23858</t>
        </is>
      </c>
      <c r="C1274" s="187" t="inlineStr">
        <is>
          <t>Dell Wyse Management Suite, versions prior to WMS 5.5, contain an Improper Neutralization of Input During Web Page Generation ('Cross-site Scripting') vulnerability. A low privileged attacker with remote access could potentially exploit this vulnerability, leading to Script Injection.</t>
        </is>
      </c>
      <c r="D1274" s="187" t="n">
        <v>5.4</v>
      </c>
      <c r="E1274" s="187" t="inlineStr">
        <is>
          <t>MEDIUM</t>
        </is>
      </c>
      <c r="F1274" s="187" t="n">
        <v>2</v>
      </c>
      <c r="G1274" s="187" t="n">
        <v>2</v>
      </c>
      <c r="H1274" s="187" t="inlineStr">
        <is>
          <t>MEDIUM</t>
        </is>
      </c>
      <c r="I1274" s="187" t="n">
        <v>9.4</v>
      </c>
      <c r="J1274" s="187" t="inlineStr">
        <is>
          <t>NO</t>
        </is>
      </c>
      <c r="K1274" s="187" t="inlineStr">
        <is>
          <t>https://nvd.nist.gov/vuln/detail/CVE-2026-23858</t>
        </is>
      </c>
      <c r="L1274" s="187" t="inlineStr">
        <is>
          <t>2026-02-26 00:15</t>
        </is>
      </c>
      <c r="M1274" s="187" t="inlineStr">
        <is>
          <t>YES</t>
        </is>
      </c>
      <c r="N1274" s="187" t="inlineStr">
        <is>
          <t>https://www.dell.com/support/kbdoc/en-us/000429141/dsa-2026-103</t>
        </is>
      </c>
      <c r="O1274" s="187" t="inlineStr">
        <is>
          <t>Apply vendor patches</t>
        </is>
      </c>
      <c r="P1274" s="187" t="inlineStr">
        <is>
          <t>dell wyse_management_suite *</t>
        </is>
      </c>
      <c r="Q1274" s="187" t="inlineStr">
        <is>
          <t>P4</t>
        </is>
      </c>
      <c r="R1274" s="187" t="inlineStr">
        <is>
          <t>📅 Schedule patch deployment within 30 days | 🔍 Monitor for exploitation attempts</t>
        </is>
      </c>
      <c r="S1274" s="187" t="inlineStr">
        <is>
          <t>CVE - IP enrichment n/a</t>
        </is>
      </c>
      <c r="T1274" s="187" t="n">
        <v>0</v>
      </c>
      <c r="U1274" s="187" t="n">
        <v>0</v>
      </c>
      <c r="V1274" s="187" t="inlineStr">
        <is>
          <t>T1189:Drive-by Compromise</t>
        </is>
      </c>
      <c r="W1274" s="187" t="n">
        <v>1</v>
      </c>
      <c r="X1274" s="187" t="inlineStr">
        <is>
          <t>LOW (40%)</t>
        </is>
      </c>
      <c r="Y1274" s="187" t="inlineStr">
        <is>
          <t>UNLIKELY</t>
        </is>
      </c>
      <c r="Z1274" s="187" t="inlineStr">
        <is>
          <t>PATCH_AVAILABLE</t>
        </is>
      </c>
      <c r="AA1274" s="187" t="inlineStr">
        <is>
          <t>https://nvd.nist.gov/vuln/detail/CVE-2026-23858</t>
        </is>
      </c>
      <c r="AB1274" s="187" t="inlineStr">
        <is>
          <t>NONE</t>
        </is>
      </c>
      <c r="AC1274" s="187" t="n">
        <v>0</v>
      </c>
      <c r="AD1274" s="187" t="inlineStr"/>
    </row>
    <row r="1275">
      <c r="A1275" s="190" t="inlineStr">
        <is>
          <t>CVE</t>
        </is>
      </c>
      <c r="B1275" s="190" t="inlineStr">
        <is>
          <t>CVE-2026-23859</t>
        </is>
      </c>
      <c r="C1275" s="190" t="inlineStr">
        <is>
          <t>Dell Wyse Management Suite, versions prior to WMS 5.5, contain a Client-Side Enforcement of Server-Side Security vulnerability. A high privileged attacker with remote access could potentially exploit this vulnerability to Protection mechanism bypass.</t>
        </is>
      </c>
      <c r="D1275" s="190" t="n">
        <v>2.7</v>
      </c>
      <c r="E1275" s="190" t="inlineStr">
        <is>
          <t>LOW</t>
        </is>
      </c>
      <c r="F1275" s="190" t="n">
        <v>2</v>
      </c>
      <c r="G1275" s="190" t="n">
        <v>1</v>
      </c>
      <c r="H1275" s="190" t="inlineStr">
        <is>
          <t>LOW</t>
        </is>
      </c>
      <c r="I1275" s="190" t="n">
        <v>4.7</v>
      </c>
      <c r="J1275" s="190" t="inlineStr">
        <is>
          <t>NO</t>
        </is>
      </c>
      <c r="K1275" s="190" t="inlineStr">
        <is>
          <t>https://nvd.nist.gov/vuln/detail/CVE-2026-23859</t>
        </is>
      </c>
      <c r="L1275" s="190" t="inlineStr">
        <is>
          <t>2026-02-26 00:15</t>
        </is>
      </c>
      <c r="M1275" s="190" t="inlineStr">
        <is>
          <t>YES</t>
        </is>
      </c>
      <c r="N1275" s="190" t="inlineStr">
        <is>
          <t>https://www.dell.com/support/kbdoc/en-us/000429141/dsa-2026-103</t>
        </is>
      </c>
      <c r="O1275" s="190" t="inlineStr">
        <is>
          <t>Apply vendor patches</t>
        </is>
      </c>
      <c r="P1275" s="190" t="inlineStr">
        <is>
          <t>dell wyse_management_suite *</t>
        </is>
      </c>
      <c r="Q1275" s="190" t="inlineStr">
        <is>
          <t>P4</t>
        </is>
      </c>
      <c r="R1275" s="190" t="inlineStr">
        <is>
          <t>📅 Schedule patch deployment within 30 days | 🔍 Monitor for exploitation attempts</t>
        </is>
      </c>
      <c r="S1275" s="190" t="inlineStr">
        <is>
          <t>CVE - IP enrichment n/a</t>
        </is>
      </c>
      <c r="T1275" s="190" t="n">
        <v>0</v>
      </c>
      <c r="U1275" s="190" t="n">
        <v>0</v>
      </c>
      <c r="V1275" s="190" t="inlineStr">
        <is>
          <t>T1190:Exploit Public-Facing Application</t>
        </is>
      </c>
      <c r="W1275" s="190" t="n">
        <v>1</v>
      </c>
      <c r="X1275" s="190" t="inlineStr">
        <is>
          <t>LOW (40%)</t>
        </is>
      </c>
      <c r="Y1275" s="190" t="inlineStr">
        <is>
          <t>UNLIKELY</t>
        </is>
      </c>
      <c r="Z1275" s="190" t="inlineStr">
        <is>
          <t>PATCH_AVAILABLE</t>
        </is>
      </c>
      <c r="AA1275" s="190" t="inlineStr">
        <is>
          <t>https://nvd.nist.gov/vuln/detail/CVE-2026-23859</t>
        </is>
      </c>
      <c r="AB1275" s="190" t="inlineStr">
        <is>
          <t>NONE</t>
        </is>
      </c>
      <c r="AC1275" s="190" t="n">
        <v>0</v>
      </c>
      <c r="AD1275" s="190" t="inlineStr"/>
    </row>
    <row r="1276">
      <c r="A1276" s="187" t="inlineStr">
        <is>
          <t>CVE</t>
        </is>
      </c>
      <c r="B1276" s="187" t="inlineStr">
        <is>
          <t>CVE-2026-24241</t>
        </is>
      </c>
      <c r="C1276" s="187" t="inlineStr">
        <is>
          <t>NVIDIA Delegated Licensing Service for all appliance platforms contains a vulnerability where an attacker could exploit an improper authentication issue. A successful exploit of this vulnerability might lead to information disclosure.</t>
        </is>
      </c>
      <c r="D1276" s="187" t="n">
        <v>4.3</v>
      </c>
      <c r="E1276" s="187" t="inlineStr">
        <is>
          <t>MEDIUM</t>
        </is>
      </c>
      <c r="F1276" s="187" t="n">
        <v>2</v>
      </c>
      <c r="G1276" s="187" t="n">
        <v>2</v>
      </c>
      <c r="H1276" s="187" t="inlineStr">
        <is>
          <t>MEDIUM</t>
        </is>
      </c>
      <c r="I1276" s="187" t="n">
        <v>8.300000000000001</v>
      </c>
      <c r="J1276" s="187" t="inlineStr">
        <is>
          <t>NO</t>
        </is>
      </c>
      <c r="K1276" s="187" t="inlineStr">
        <is>
          <t>https://nvd.nist.gov/vuln/detail/CVE-2026-24241</t>
        </is>
      </c>
      <c r="L1276" s="187" t="inlineStr">
        <is>
          <t>2026-02-26 00:15</t>
        </is>
      </c>
      <c r="M1276" s="187" t="inlineStr">
        <is>
          <t>CHECK_VENDOR</t>
        </is>
      </c>
      <c r="N1276" s="187" t="inlineStr">
        <is>
          <t>See NVD references</t>
        </is>
      </c>
      <c r="O1276" s="187" t="inlineStr">
        <is>
          <t>Apply vendor patches</t>
        </is>
      </c>
      <c r="P1276" s="187" t="inlineStr">
        <is>
          <t>See CVE details</t>
        </is>
      </c>
      <c r="Q1276" s="187" t="inlineStr">
        <is>
          <t>P4</t>
        </is>
      </c>
      <c r="R1276" s="187" t="inlineStr">
        <is>
          <t>📅 Schedule patch deployment within 30 days | 🔍 Monitor for exploitation attempts</t>
        </is>
      </c>
      <c r="S1276" s="187" t="inlineStr">
        <is>
          <t>CVE - IP enrichment n/a</t>
        </is>
      </c>
      <c r="T1276" s="187" t="n">
        <v>0</v>
      </c>
      <c r="U1276" s="187" t="n">
        <v>0</v>
      </c>
      <c r="V1276" s="187" t="inlineStr">
        <is>
          <t>T1078:Valid Accounts | T1110:Brute Force | T1213:Data from Information Repositories</t>
        </is>
      </c>
      <c r="W1276" s="187" t="n">
        <v>1</v>
      </c>
      <c r="X1276" s="187" t="inlineStr">
        <is>
          <t>LOW (40%)</t>
        </is>
      </c>
      <c r="Y1276" s="187" t="inlineStr">
        <is>
          <t>UNLIKELY</t>
        </is>
      </c>
      <c r="Z1276" s="187" t="inlineStr">
        <is>
          <t>CHECK_VENDOR</t>
        </is>
      </c>
      <c r="AA1276" s="187" t="inlineStr">
        <is>
          <t>https://nvd.nist.gov/vuln/detail/CVE-2026-24241</t>
        </is>
      </c>
      <c r="AB1276" s="187" t="inlineStr">
        <is>
          <t>NONE</t>
        </is>
      </c>
      <c r="AC1276" s="187" t="n">
        <v>0</v>
      </c>
      <c r="AD1276" s="187" t="inlineStr"/>
    </row>
    <row r="1277">
      <c r="A1277" s="187" t="inlineStr">
        <is>
          <t>CVE</t>
        </is>
      </c>
      <c r="B1277" s="187" t="inlineStr">
        <is>
          <t>CVE-2026-26340</t>
        </is>
      </c>
      <c r="C1277" s="187" t="inlineStr">
        <is>
          <t>Tattile Smart+, Vega, and Basic device families firmware versions 1.181.5 and prior expose RTSP streams without requiring authentication. A remote attacker can connect to the RTSP service and access live video/audio streams without valid credentials, resulting in unauthorized disclosure of surveillance data.</t>
        </is>
      </c>
      <c r="D1277" s="187" t="n">
        <v>5</v>
      </c>
      <c r="E1277" s="187" t="inlineStr">
        <is>
          <t>MEDIUM</t>
        </is>
      </c>
      <c r="F1277" s="187" t="n">
        <v>2</v>
      </c>
      <c r="G1277" s="187" t="n">
        <v>2</v>
      </c>
      <c r="H1277" s="187" t="inlineStr">
        <is>
          <t>MEDIUM</t>
        </is>
      </c>
      <c r="I1277" s="187" t="n">
        <v>9</v>
      </c>
      <c r="J1277" s="187" t="inlineStr">
        <is>
          <t>NO</t>
        </is>
      </c>
      <c r="K1277" s="187" t="inlineStr">
        <is>
          <t>https://nvd.nist.gov/vuln/detail/CVE-2026-26340</t>
        </is>
      </c>
      <c r="L1277" s="187" t="inlineStr">
        <is>
          <t>2026-02-26 00:15</t>
        </is>
      </c>
      <c r="M1277" s="187" t="inlineStr">
        <is>
          <t>CHECK_VENDOR</t>
        </is>
      </c>
      <c r="N1277" s="187" t="inlineStr">
        <is>
          <t>See NVD references</t>
        </is>
      </c>
      <c r="O1277" s="187" t="inlineStr">
        <is>
          <t>Apply vendor patches</t>
        </is>
      </c>
      <c r="P1277" s="187" t="inlineStr">
        <is>
          <t>See CVE details</t>
        </is>
      </c>
      <c r="Q1277" s="187" t="inlineStr">
        <is>
          <t>P4</t>
        </is>
      </c>
      <c r="R1277" s="187" t="inlineStr">
        <is>
          <t>📅 Schedule patch deployment within 30 days | 🔍 Monitor for exploitation attempts</t>
        </is>
      </c>
      <c r="S1277" s="187" t="inlineStr">
        <is>
          <t>CVE - IP enrichment n/a</t>
        </is>
      </c>
      <c r="T1277" s="187" t="n">
        <v>0</v>
      </c>
      <c r="U1277" s="187" t="n">
        <v>0</v>
      </c>
      <c r="V1277" s="187" t="inlineStr">
        <is>
          <t>T1078:Valid Accounts | T1552:Unsecured Credentials</t>
        </is>
      </c>
      <c r="W1277" s="187" t="n">
        <v>1</v>
      </c>
      <c r="X1277" s="187" t="inlineStr">
        <is>
          <t>LOW (40%)</t>
        </is>
      </c>
      <c r="Y1277" s="187" t="inlineStr">
        <is>
          <t>UNLIKELY</t>
        </is>
      </c>
      <c r="Z1277" s="187" t="inlineStr">
        <is>
          <t>CHECK_VENDOR</t>
        </is>
      </c>
      <c r="AA1277" s="187" t="inlineStr">
        <is>
          <t>https://nvd.nist.gov/vuln/detail/CVE-2026-26340</t>
        </is>
      </c>
      <c r="AB1277" s="187" t="inlineStr">
        <is>
          <t>NONE</t>
        </is>
      </c>
      <c r="AC1277" s="187" t="n">
        <v>0</v>
      </c>
      <c r="AD1277" s="187" t="inlineStr"/>
    </row>
    <row r="1278">
      <c r="A1278" s="188" t="inlineStr">
        <is>
          <t>CVE</t>
        </is>
      </c>
      <c r="B1278" s="188" t="inlineStr">
        <is>
          <t>CVE-2026-26341</t>
        </is>
      </c>
      <c r="C1278" s="188" t="inlineStr">
        <is>
          <t>Tattile Smart+, Vega, and Basic device families firmware versions 1.181.5 and prior ship with default credentials that are not forced to be changed during installation or commissioning. An attacker who can reach the management interface can authenticate using the default credentials and gain administrative access, enabling unauthorized access to device configuration and data.</t>
        </is>
      </c>
      <c r="D1278" s="188" t="n">
        <v>8.5</v>
      </c>
      <c r="E1278" s="188" t="inlineStr">
        <is>
          <t>HIGH</t>
        </is>
      </c>
      <c r="F1278" s="188" t="n">
        <v>2</v>
      </c>
      <c r="G1278" s="188" t="n">
        <v>3</v>
      </c>
      <c r="H1278" s="188" t="inlineStr">
        <is>
          <t>HIGH</t>
        </is>
      </c>
      <c r="I1278" s="188" t="n">
        <v>14.5</v>
      </c>
      <c r="J1278" s="188" t="inlineStr">
        <is>
          <t>NO</t>
        </is>
      </c>
      <c r="K1278" s="188" t="inlineStr">
        <is>
          <t>https://nvd.nist.gov/vuln/detail/CVE-2026-26341</t>
        </is>
      </c>
      <c r="L1278" s="188" t="inlineStr">
        <is>
          <t>2026-02-26 00:15</t>
        </is>
      </c>
      <c r="M1278" s="188" t="inlineStr">
        <is>
          <t>CHECK_VENDOR</t>
        </is>
      </c>
      <c r="N1278" s="188" t="inlineStr">
        <is>
          <t>See NVD references</t>
        </is>
      </c>
      <c r="O1278" s="188" t="inlineStr">
        <is>
          <t>Apply vendor patches</t>
        </is>
      </c>
      <c r="P1278" s="188" t="inlineStr">
        <is>
          <t>See CVE details</t>
        </is>
      </c>
      <c r="Q1278" s="188" t="inlineStr">
        <is>
          <t>P3</t>
        </is>
      </c>
      <c r="R1278" s="188" t="inlineStr">
        <is>
          <t>🚨 URGENT: Apply vendor patches immediately | 🔒 Isolate affected systems if patch unavailable | 🛡️ Enable additional monitoring/IDS rules</t>
        </is>
      </c>
      <c r="S1278" s="188" t="inlineStr">
        <is>
          <t>CVE - IP enrichment n/a</t>
        </is>
      </c>
      <c r="T1278" s="188" t="n">
        <v>0</v>
      </c>
      <c r="U1278" s="188" t="n">
        <v>0</v>
      </c>
      <c r="V1278" s="188" t="inlineStr">
        <is>
          <t>T1190:Exploit Public-Facing Application | T1552:Unsecured Credentials</t>
        </is>
      </c>
      <c r="W1278" s="188" t="n">
        <v>1</v>
      </c>
      <c r="X1278" s="188" t="inlineStr">
        <is>
          <t>LOW (40%)</t>
        </is>
      </c>
      <c r="Y1278" s="188" t="inlineStr">
        <is>
          <t>UNLIKELY</t>
        </is>
      </c>
      <c r="Z1278" s="188" t="inlineStr">
        <is>
          <t>CHECK_VENDOR</t>
        </is>
      </c>
      <c r="AA1278" s="188" t="inlineStr">
        <is>
          <t>https://nvd.nist.gov/vuln/detail/CVE-2026-26341</t>
        </is>
      </c>
      <c r="AB1278" s="188" t="inlineStr">
        <is>
          <t>NONE</t>
        </is>
      </c>
      <c r="AC1278" s="188" t="n">
        <v>0</v>
      </c>
      <c r="AD1278" s="188" t="inlineStr"/>
    </row>
    <row r="1279">
      <c r="A1279" s="188" t="inlineStr">
        <is>
          <t>CVE</t>
        </is>
      </c>
      <c r="B1279" s="188" t="inlineStr">
        <is>
          <t>CVE-2026-26342</t>
        </is>
      </c>
      <c r="C1279" s="188" t="inlineStr">
        <is>
          <t>Tattile Smart+, Vega, and Basic device families firmware versions 1.181.5 and prior implement an authentication token (X-User-Token) with insufficient expiration. An attacker who obtains a valid token (for example via interception, log exposure, or token reuse on a shared system) can continue to authenticate to the management interface until the token is revoked, enabling unauthorized access to device functions and data.</t>
        </is>
      </c>
      <c r="D1279" s="188" t="n">
        <v>8.5</v>
      </c>
      <c r="E1279" s="188" t="inlineStr">
        <is>
          <t>HIGH</t>
        </is>
      </c>
      <c r="F1279" s="188" t="n">
        <v>2</v>
      </c>
      <c r="G1279" s="188" t="n">
        <v>3</v>
      </c>
      <c r="H1279" s="188" t="inlineStr">
        <is>
          <t>HIGH</t>
        </is>
      </c>
      <c r="I1279" s="188" t="n">
        <v>14.5</v>
      </c>
      <c r="J1279" s="188" t="inlineStr">
        <is>
          <t>NO</t>
        </is>
      </c>
      <c r="K1279" s="188" t="inlineStr">
        <is>
          <t>https://nvd.nist.gov/vuln/detail/CVE-2026-26342</t>
        </is>
      </c>
      <c r="L1279" s="188" t="inlineStr">
        <is>
          <t>2026-02-26 00:15</t>
        </is>
      </c>
      <c r="M1279" s="188" t="inlineStr">
        <is>
          <t>CHECK_VENDOR</t>
        </is>
      </c>
      <c r="N1279" s="188" t="inlineStr">
        <is>
          <t>See NVD references</t>
        </is>
      </c>
      <c r="O1279" s="188" t="inlineStr">
        <is>
          <t>Apply vendor patches</t>
        </is>
      </c>
      <c r="P1279" s="188" t="inlineStr">
        <is>
          <t>See CVE details</t>
        </is>
      </c>
      <c r="Q1279" s="188" t="inlineStr">
        <is>
          <t>P3</t>
        </is>
      </c>
      <c r="R1279" s="188" t="inlineStr">
        <is>
          <t>🚨 URGENT: Apply vendor patches immediately | 🔒 Isolate affected systems if patch unavailable | 🛡️ Enable additional monitoring/IDS rules</t>
        </is>
      </c>
      <c r="S1279" s="188" t="inlineStr">
        <is>
          <t>CVE - IP enrichment n/a</t>
        </is>
      </c>
      <c r="T1279" s="188" t="n">
        <v>0.001</v>
      </c>
      <c r="U1279" s="188" t="n">
        <v>0.2767</v>
      </c>
      <c r="V1279" s="188" t="inlineStr">
        <is>
          <t>T1190:Exploit Public-Facing Application</t>
        </is>
      </c>
      <c r="W1279" s="188" t="n">
        <v>1</v>
      </c>
      <c r="X1279" s="188" t="inlineStr">
        <is>
          <t>LOW (40%)</t>
        </is>
      </c>
      <c r="Y1279" s="188" t="inlineStr">
        <is>
          <t>UNLIKELY</t>
        </is>
      </c>
      <c r="Z1279" s="188" t="inlineStr">
        <is>
          <t>CHECK_VENDOR</t>
        </is>
      </c>
      <c r="AA1279" s="188" t="inlineStr">
        <is>
          <t>https://nvd.nist.gov/vuln/detail/CVE-2026-26342</t>
        </is>
      </c>
      <c r="AB1279" s="188" t="inlineStr">
        <is>
          <t>NONE</t>
        </is>
      </c>
      <c r="AC1279" s="188" t="n">
        <v>0</v>
      </c>
      <c r="AD1279" s="188" t="inlineStr"/>
    </row>
    <row r="1280">
      <c r="A1280" s="188" t="inlineStr">
        <is>
          <t>CVE</t>
        </is>
      </c>
      <c r="B1280" s="188" t="inlineStr">
        <is>
          <t>CVE-2026-27477</t>
        </is>
      </c>
      <c r="C1280" s="188" t="inlineStr">
        <is>
          <t xml:space="preserve">Mastodon is a free, open-source social network server based on ActivityPub. FASP registration requires manual approval by an administrator. In versions 4.4.0 through 4.4.13 and 4.5.0 through 4.5.6, an unauthenticated attacker can register a FASP with an attacker-chosen `base_url` that includes or resolves to a local / internal address, leading to the Mastodon server making requests to that address. This only affects Mastodon servers that have opted in to testing the experimental FASP feature by </t>
        </is>
      </c>
      <c r="D1280" s="188" t="n">
        <v>8.5</v>
      </c>
      <c r="E1280" s="188" t="inlineStr">
        <is>
          <t>HIGH</t>
        </is>
      </c>
      <c r="F1280" s="188" t="n">
        <v>2</v>
      </c>
      <c r="G1280" s="188" t="n">
        <v>3</v>
      </c>
      <c r="H1280" s="188" t="inlineStr">
        <is>
          <t>HIGH</t>
        </is>
      </c>
      <c r="I1280" s="188" t="n">
        <v>14.5</v>
      </c>
      <c r="J1280" s="188" t="inlineStr">
        <is>
          <t>NO</t>
        </is>
      </c>
      <c r="K1280" s="188" t="inlineStr">
        <is>
          <t>https://nvd.nist.gov/vuln/detail/CVE-2026-27477</t>
        </is>
      </c>
      <c r="L1280" s="188" t="inlineStr">
        <is>
          <t>2026-02-26 00:15</t>
        </is>
      </c>
      <c r="M1280" s="188" t="inlineStr">
        <is>
          <t>CHECK_VENDOR</t>
        </is>
      </c>
      <c r="N1280" s="188" t="inlineStr">
        <is>
          <t>See NVD references</t>
        </is>
      </c>
      <c r="O1280" s="188" t="inlineStr">
        <is>
          <t>Apply vendor patches</t>
        </is>
      </c>
      <c r="P1280" s="188" t="inlineStr">
        <is>
          <t>See CVE details</t>
        </is>
      </c>
      <c r="Q1280" s="188" t="inlineStr">
        <is>
          <t>P1</t>
        </is>
      </c>
      <c r="R1280" s="188" t="inlineStr">
        <is>
          <t>🚨 URGENT: Apply vendor patches immediately | 🔒 Isolate affected systems if patch unavailable | 🛡️ Enable additional monitoring/IDS rules</t>
        </is>
      </c>
      <c r="S1280" s="188" t="inlineStr">
        <is>
          <t>CVE - IP enrichment n/a</t>
        </is>
      </c>
      <c r="T1280" s="188" t="n">
        <v>0</v>
      </c>
      <c r="U1280" s="188" t="n">
        <v>0</v>
      </c>
      <c r="V1280" s="188" t="inlineStr">
        <is>
          <t>T1090:Proxy | T1190:Exploit Public-Facing Application</t>
        </is>
      </c>
      <c r="W1280" s="188" t="n">
        <v>2</v>
      </c>
      <c r="X1280" s="188" t="inlineStr">
        <is>
          <t>HIGH (72%)</t>
        </is>
      </c>
      <c r="Y1280" s="188" t="inlineStr">
        <is>
          <t>HIGH</t>
        </is>
      </c>
      <c r="Z1280" s="188" t="inlineStr">
        <is>
          <t>CHECK_VENDOR</t>
        </is>
      </c>
      <c r="AA1280" s="188" t="inlineStr">
        <is>
          <t>https://nvd.nist.gov/vuln/detail/CVE-2026-27477</t>
        </is>
      </c>
      <c r="AB1280" s="188" t="inlineStr">
        <is>
          <t>http://www.zerodayinitiative.com/advisories/ZDI-26-123/</t>
        </is>
      </c>
      <c r="AC1280" s="188" t="n">
        <v>0</v>
      </c>
      <c r="AD1280" s="188" t="inlineStr"/>
    </row>
    <row r="1281">
      <c r="A1281" s="188" t="inlineStr">
        <is>
          <t>CVE</t>
        </is>
      </c>
      <c r="B1281" s="188" t="inlineStr">
        <is>
          <t>CVE-2026-3105</t>
        </is>
      </c>
      <c r="C1281" s="188" t="inlineStr">
        <is>
          <t>SummaryThis advisory addresses a SQL injection vulnerability in the API endpoint used for retrieving contact activities. A vulnerability exists in the query construction for the Contact Activity timeline where the parameter responsible for determining the sort direction was not strictly validated against an allowlist, potentially allowing authenticated users to inject arbitrary SQL commands via the API.
MitigationPlease update to 4.4.19, 5.2.10, 6.0.8, 7.0.1 or later.
WorkaroundsNone.
Referen</t>
        </is>
      </c>
      <c r="D1281" s="188" t="n">
        <v>7.6</v>
      </c>
      <c r="E1281" s="188" t="inlineStr">
        <is>
          <t>HIGH</t>
        </is>
      </c>
      <c r="F1281" s="188" t="n">
        <v>2</v>
      </c>
      <c r="G1281" s="188" t="n">
        <v>3</v>
      </c>
      <c r="H1281" s="188" t="inlineStr">
        <is>
          <t>HIGH</t>
        </is>
      </c>
      <c r="I1281" s="188" t="n">
        <v>13.6</v>
      </c>
      <c r="J1281" s="188" t="inlineStr">
        <is>
          <t>NO</t>
        </is>
      </c>
      <c r="K1281" s="188" t="inlineStr">
        <is>
          <t>https://nvd.nist.gov/vuln/detail/CVE-2026-3105</t>
        </is>
      </c>
      <c r="L1281" s="188" t="inlineStr">
        <is>
          <t>2026-02-26 00:15</t>
        </is>
      </c>
      <c r="M1281" s="188" t="inlineStr">
        <is>
          <t>CHECK_VENDOR</t>
        </is>
      </c>
      <c r="N1281" s="188" t="inlineStr">
        <is>
          <t>See NVD references</t>
        </is>
      </c>
      <c r="O1281" s="188" t="inlineStr">
        <is>
          <t>Apply vendor patches</t>
        </is>
      </c>
      <c r="P1281" s="188" t="inlineStr">
        <is>
          <t>See CVE details</t>
        </is>
      </c>
      <c r="Q1281" s="188" t="inlineStr">
        <is>
          <t>P1</t>
        </is>
      </c>
      <c r="R1281" s="188" t="inlineStr">
        <is>
          <t>🚨 URGENT: Apply vendor patches immediately | 🔒 Isolate affected systems if patch unavailable | 🛡️ Enable additional monitoring/IDS rules</t>
        </is>
      </c>
      <c r="S1281" s="188" t="inlineStr">
        <is>
          <t>CVE - IP enrichment n/a</t>
        </is>
      </c>
      <c r="T1281" s="188" t="n">
        <v>0.0003</v>
      </c>
      <c r="U1281" s="188" t="n">
        <v>0.08260000000000001</v>
      </c>
      <c r="V1281" s="188" t="inlineStr">
        <is>
          <t>T1190:Exploit Public-Facing Application</t>
        </is>
      </c>
      <c r="W1281" s="188" t="n">
        <v>2</v>
      </c>
      <c r="X1281" s="188" t="inlineStr">
        <is>
          <t>HIGH (72%)</t>
        </is>
      </c>
      <c r="Y1281" s="188" t="inlineStr">
        <is>
          <t>HIGH</t>
        </is>
      </c>
      <c r="Z1281" s="188" t="inlineStr">
        <is>
          <t>CHECK_VENDOR</t>
        </is>
      </c>
      <c r="AA1281" s="188" t="inlineStr">
        <is>
          <t>https://nvd.nist.gov/vuln/detail/CVE-2026-3105</t>
        </is>
      </c>
      <c r="AB1281" s="188" t="inlineStr">
        <is>
          <t>http://www.zerodayinitiative.com/advisories/ZDI-26-123/</t>
        </is>
      </c>
      <c r="AC1281" s="188" t="n">
        <v>0</v>
      </c>
      <c r="AD1281" s="188" t="inlineStr"/>
    </row>
    <row r="1282">
      <c r="A1282" s="187" t="inlineStr">
        <is>
          <t>CVE</t>
        </is>
      </c>
      <c r="B1282" s="187" t="inlineStr">
        <is>
          <t>CVE-2026-3131</t>
        </is>
      </c>
      <c r="C1282" s="187" t="inlineStr">
        <is>
          <t>Improper
 access control in multiple DVLS REST API endpoints in Devolutions 
Server 2025.3.14.0 and earlier allows an authenticated user with view-only permission to access sensitive connection data.</t>
        </is>
      </c>
      <c r="D1282" s="187" t="n">
        <v>6.5</v>
      </c>
      <c r="E1282" s="187" t="inlineStr">
        <is>
          <t>MEDIUM</t>
        </is>
      </c>
      <c r="F1282" s="187" t="n">
        <v>2</v>
      </c>
      <c r="G1282" s="187" t="n">
        <v>2</v>
      </c>
      <c r="H1282" s="187" t="inlineStr">
        <is>
          <t>MEDIUM</t>
        </is>
      </c>
      <c r="I1282" s="187" t="n">
        <v>10.5</v>
      </c>
      <c r="J1282" s="187" t="inlineStr">
        <is>
          <t>NO</t>
        </is>
      </c>
      <c r="K1282" s="187" t="inlineStr">
        <is>
          <t>https://nvd.nist.gov/vuln/detail/CVE-2026-3131</t>
        </is>
      </c>
      <c r="L1282" s="187" t="inlineStr">
        <is>
          <t>2026-02-26 00:15</t>
        </is>
      </c>
      <c r="M1282" s="187" t="inlineStr">
        <is>
          <t>YES</t>
        </is>
      </c>
      <c r="N1282" s="187" t="inlineStr">
        <is>
          <t>https://devolutions.net/security/advisories/DEVO-2026-0004/</t>
        </is>
      </c>
      <c r="O1282" s="187" t="inlineStr">
        <is>
          <t>Apply vendor patches</t>
        </is>
      </c>
      <c r="P1282" s="187" t="inlineStr">
        <is>
          <t>devolutions devolutions_server *</t>
        </is>
      </c>
      <c r="Q1282" s="187" t="inlineStr">
        <is>
          <t>P4</t>
        </is>
      </c>
      <c r="R1282" s="187" t="inlineStr">
        <is>
          <t>📅 Schedule patch deployment within 30 days | 🔍 Monitor for exploitation attempts</t>
        </is>
      </c>
      <c r="S1282" s="187" t="inlineStr">
        <is>
          <t>CVE - IP enrichment n/a</t>
        </is>
      </c>
      <c r="T1282" s="187" t="n">
        <v>0</v>
      </c>
      <c r="U1282" s="187" t="n">
        <v>0</v>
      </c>
      <c r="V1282" s="187" t="inlineStr">
        <is>
          <t>T1213:Data from Information Repositories</t>
        </is>
      </c>
      <c r="W1282" s="187" t="n">
        <v>1</v>
      </c>
      <c r="X1282" s="187" t="inlineStr">
        <is>
          <t>LOW (40%)</t>
        </is>
      </c>
      <c r="Y1282" s="187" t="inlineStr">
        <is>
          <t>UNLIKELY</t>
        </is>
      </c>
      <c r="Z1282" s="187" t="inlineStr">
        <is>
          <t>PATCH_AVAILABLE</t>
        </is>
      </c>
      <c r="AA1282" s="187" t="inlineStr">
        <is>
          <t>https://nvd.nist.gov/vuln/detail/CVE-2026-3131</t>
        </is>
      </c>
      <c r="AB1282" s="187" t="inlineStr">
        <is>
          <t>NONE</t>
        </is>
      </c>
      <c r="AC1282" s="187" t="n">
        <v>0</v>
      </c>
      <c r="AD1282" s="187" t="inlineStr"/>
    </row>
    <row r="1283">
      <c r="A1283" s="187" t="inlineStr">
        <is>
          <t>CVE</t>
        </is>
      </c>
      <c r="B1283" s="187" t="inlineStr">
        <is>
          <t>CVE-2025-46320</t>
        </is>
      </c>
      <c r="C1283" s="187" t="inlineStr">
        <is>
          <t>A cross-site scripting (XSS) vulnerability in a FileMaker WebDirect custom homepage could lead to unauthorized access and remote code execution. This vulnerability has been fully addressed in FileMaker Server 22.0.4 and FileMaker Server 21.1.7.</t>
        </is>
      </c>
      <c r="D1283" s="187" t="n">
        <v>6.1</v>
      </c>
      <c r="E1283" s="187" t="inlineStr">
        <is>
          <t>MEDIUM</t>
        </is>
      </c>
      <c r="F1283" s="187" t="n">
        <v>2</v>
      </c>
      <c r="G1283" s="187" t="n">
        <v>2</v>
      </c>
      <c r="H1283" s="187" t="inlineStr">
        <is>
          <t>MEDIUM</t>
        </is>
      </c>
      <c r="I1283" s="187" t="n">
        <v>10.1</v>
      </c>
      <c r="J1283" s="187" t="inlineStr">
        <is>
          <t>NO</t>
        </is>
      </c>
      <c r="K1283" s="187" t="inlineStr">
        <is>
          <t>https://nvd.nist.gov/vuln/detail/CVE-2025-46320</t>
        </is>
      </c>
      <c r="L1283" s="187" t="inlineStr">
        <is>
          <t>2026-02-26 00:15</t>
        </is>
      </c>
      <c r="M1283" s="187" t="inlineStr">
        <is>
          <t>YES</t>
        </is>
      </c>
      <c r="N1283" s="187" t="inlineStr">
        <is>
          <t>https://support.claris.com/s/answerview?anum=000049123&amp;language=en_US</t>
        </is>
      </c>
      <c r="O1283" s="187" t="inlineStr">
        <is>
          <t>Apply vendor patches</t>
        </is>
      </c>
      <c r="P1283" s="187" t="inlineStr">
        <is>
          <t>claris filemaker_server *</t>
        </is>
      </c>
      <c r="Q1283" s="187" t="inlineStr">
        <is>
          <t>P4</t>
        </is>
      </c>
      <c r="R1283" s="187" t="inlineStr">
        <is>
          <t>📅 Schedule patch deployment within 30 days | 🔍 Monitor for exploitation attempts</t>
        </is>
      </c>
      <c r="S1283" s="187" t="inlineStr">
        <is>
          <t>CVE - IP enrichment n/a</t>
        </is>
      </c>
      <c r="T1283" s="187" t="n">
        <v>0</v>
      </c>
      <c r="U1283" s="187" t="n">
        <v>0</v>
      </c>
      <c r="V1283" s="187" t="inlineStr">
        <is>
          <t>T1189:Drive-by Compromise | T1190:Exploit Public-Facing Application | T1210:Exploitation of Remote Services</t>
        </is>
      </c>
      <c r="W1283" s="187" t="n">
        <v>1</v>
      </c>
      <c r="X1283" s="187" t="inlineStr">
        <is>
          <t>LOW (40%)</t>
        </is>
      </c>
      <c r="Y1283" s="187" t="inlineStr">
        <is>
          <t>UNLIKELY</t>
        </is>
      </c>
      <c r="Z1283" s="187" t="inlineStr">
        <is>
          <t>PATCH_AVAILABLE</t>
        </is>
      </c>
      <c r="AA1283" s="187" t="inlineStr">
        <is>
          <t>https://nvd.nist.gov/vuln/detail/CVE-2025-46320</t>
        </is>
      </c>
      <c r="AB1283" s="187" t="inlineStr">
        <is>
          <t>NONE</t>
        </is>
      </c>
      <c r="AC1283" s="187" t="n">
        <v>0</v>
      </c>
      <c r="AD1283" s="187" t="inlineStr"/>
    </row>
    <row r="1284">
      <c r="A1284" s="189" t="inlineStr">
        <is>
          <t>CVE</t>
        </is>
      </c>
      <c r="B1284" s="189" t="inlineStr">
        <is>
          <t>CVE-2026-21410</t>
        </is>
      </c>
      <c r="C1284" s="189" t="inlineStr">
        <is>
          <t>InSAT MasterSCADA BUK-TS is susceptible to SQL Injection through its main web interface. Malicious users that use the vulnerable endpoint are potentially able to cause remote code execution.</t>
        </is>
      </c>
      <c r="D1284" s="189" t="n">
        <v>9.800000000000001</v>
      </c>
      <c r="E1284" s="189" t="inlineStr">
        <is>
          <t>CRITICAL</t>
        </is>
      </c>
      <c r="F1284" s="189" t="n">
        <v>2</v>
      </c>
      <c r="G1284" s="189" t="n">
        <v>3</v>
      </c>
      <c r="H1284" s="189" t="inlineStr">
        <is>
          <t>HIGH</t>
        </is>
      </c>
      <c r="I1284" s="189" t="n">
        <v>15.8</v>
      </c>
      <c r="J1284" s="189" t="inlineStr">
        <is>
          <t>NO</t>
        </is>
      </c>
      <c r="K1284" s="189" t="inlineStr">
        <is>
          <t>https://nvd.nist.gov/vuln/detail/CVE-2026-21410</t>
        </is>
      </c>
      <c r="L1284" s="189" t="inlineStr">
        <is>
          <t>2026-02-26 00:15</t>
        </is>
      </c>
      <c r="M1284" s="189" t="inlineStr">
        <is>
          <t>CHECK_VENDOR</t>
        </is>
      </c>
      <c r="N1284" s="189" t="inlineStr">
        <is>
          <t>See NVD references</t>
        </is>
      </c>
      <c r="O1284" s="189" t="inlineStr">
        <is>
          <t>Apply vendor patches</t>
        </is>
      </c>
      <c r="P1284" s="189" t="inlineStr">
        <is>
          <t>See CVE details</t>
        </is>
      </c>
      <c r="Q1284" s="189" t="inlineStr">
        <is>
          <t>P3</t>
        </is>
      </c>
      <c r="R1284" s="189" t="inlineStr">
        <is>
          <t>🚨 URGENT: Apply vendor patches immediately | 🔒 Isolate affected systems if patch unavailable | 🛡️ Enable additional monitoring/IDS rules</t>
        </is>
      </c>
      <c r="S1284" s="189" t="inlineStr">
        <is>
          <t>CVE - IP enrichment n/a</t>
        </is>
      </c>
      <c r="T1284" s="189" t="n">
        <v>0</v>
      </c>
      <c r="U1284" s="189" t="n">
        <v>0</v>
      </c>
      <c r="V1284" s="189" t="inlineStr">
        <is>
          <t>T1190:Exploit Public-Facing Application | T1210:Exploitation of Remote Services</t>
        </is>
      </c>
      <c r="W1284" s="189" t="n">
        <v>1</v>
      </c>
      <c r="X1284" s="189" t="inlineStr">
        <is>
          <t>LOW (40%)</t>
        </is>
      </c>
      <c r="Y1284" s="189" t="inlineStr">
        <is>
          <t>UNLIKELY</t>
        </is>
      </c>
      <c r="Z1284" s="189" t="inlineStr">
        <is>
          <t>CHECK_VENDOR</t>
        </is>
      </c>
      <c r="AA1284" s="189" t="inlineStr">
        <is>
          <t>https://nvd.nist.gov/vuln/detail/CVE-2026-21410</t>
        </is>
      </c>
      <c r="AB1284" s="189" t="inlineStr">
        <is>
          <t>NONE</t>
        </is>
      </c>
      <c r="AC1284" s="189" t="n">
        <v>0</v>
      </c>
      <c r="AD1284" s="189" t="inlineStr"/>
    </row>
    <row r="1285">
      <c r="A1285" s="189" t="inlineStr">
        <is>
          <t>CVE</t>
        </is>
      </c>
      <c r="B1285" s="189" t="inlineStr">
        <is>
          <t>CVE-2026-22553</t>
        </is>
      </c>
      <c r="C1285" s="189" t="inlineStr">
        <is>
          <t>All versions of InSAT MasterSCADA BUK-TS are susceptible to OS command injection through a field in its MMadmServ web interface. Malicious users that use the vulnerable endpoint are potentially able to cause remote code execution.</t>
        </is>
      </c>
      <c r="D1285" s="189" t="n">
        <v>9.800000000000001</v>
      </c>
      <c r="E1285" s="189" t="inlineStr">
        <is>
          <t>CRITICAL</t>
        </is>
      </c>
      <c r="F1285" s="189" t="n">
        <v>2</v>
      </c>
      <c r="G1285" s="189" t="n">
        <v>3</v>
      </c>
      <c r="H1285" s="189" t="inlineStr">
        <is>
          <t>HIGH</t>
        </is>
      </c>
      <c r="I1285" s="189" t="n">
        <v>15.8</v>
      </c>
      <c r="J1285" s="189" t="inlineStr">
        <is>
          <t>NO</t>
        </is>
      </c>
      <c r="K1285" s="189" t="inlineStr">
        <is>
          <t>https://nvd.nist.gov/vuln/detail/CVE-2026-22553</t>
        </is>
      </c>
      <c r="L1285" s="189" t="inlineStr">
        <is>
          <t>2026-02-26 00:15</t>
        </is>
      </c>
      <c r="M1285" s="189" t="inlineStr">
        <is>
          <t>CHECK_VENDOR</t>
        </is>
      </c>
      <c r="N1285" s="189" t="inlineStr">
        <is>
          <t>See NVD references</t>
        </is>
      </c>
      <c r="O1285" s="189" t="inlineStr">
        <is>
          <t>Apply vendor patches</t>
        </is>
      </c>
      <c r="P1285" s="189" t="inlineStr">
        <is>
          <t>See CVE details</t>
        </is>
      </c>
      <c r="Q1285" s="189" t="inlineStr">
        <is>
          <t>P3</t>
        </is>
      </c>
      <c r="R1285" s="189" t="inlineStr">
        <is>
          <t>🚨 URGENT: Apply vendor patches immediately | 🔒 Isolate affected systems if patch unavailable | 🛡️ Enable additional monitoring/IDS rules</t>
        </is>
      </c>
      <c r="S1285" s="189" t="inlineStr">
        <is>
          <t>CVE - IP enrichment n/a</t>
        </is>
      </c>
      <c r="T1285" s="189" t="n">
        <v>0</v>
      </c>
      <c r="U1285" s="189" t="n">
        <v>0</v>
      </c>
      <c r="V1285" s="189" t="inlineStr">
        <is>
          <t>T1059:Command and Scripting Interpreter | T1190:Exploit Public-Facing Application | T1210:Exploitation of Remote Services</t>
        </is>
      </c>
      <c r="W1285" s="189" t="n">
        <v>1</v>
      </c>
      <c r="X1285" s="189" t="inlineStr">
        <is>
          <t>LOW (40%)</t>
        </is>
      </c>
      <c r="Y1285" s="189" t="inlineStr">
        <is>
          <t>UNLIKELY</t>
        </is>
      </c>
      <c r="Z1285" s="189" t="inlineStr">
        <is>
          <t>CHECK_VENDOR</t>
        </is>
      </c>
      <c r="AA1285" s="189" t="inlineStr">
        <is>
          <t>https://nvd.nist.gov/vuln/detail/CVE-2026-22553</t>
        </is>
      </c>
      <c r="AB1285" s="189" t="inlineStr">
        <is>
          <t>NONE</t>
        </is>
      </c>
      <c r="AC1285" s="189" t="n">
        <v>0</v>
      </c>
      <c r="AD1285" s="189" t="inlineStr"/>
    </row>
    <row r="1286">
      <c r="A1286" s="187" t="inlineStr">
        <is>
          <t>CVE</t>
        </is>
      </c>
      <c r="B1286" s="187" t="inlineStr">
        <is>
          <t>CVE-2026-24443</t>
        </is>
      </c>
      <c r="C1286" s="187" t="inlineStr">
        <is>
          <t xml:space="preserve">EventSentry versions prior to 6.0.1.20 contain an unverified password change vulnerability in the account management functionality of the Web Reports interface. The password change mechanism does not require validation of the current password before allowing a new password to be set. An attacker who gains temporary access to an authenticated user session can change the account password without knowledge of the original credentials. This enables persistent account takeover and, if administrative </t>
        </is>
      </c>
      <c r="D1286" s="187" t="n">
        <v>5</v>
      </c>
      <c r="E1286" s="187" t="inlineStr">
        <is>
          <t>MEDIUM</t>
        </is>
      </c>
      <c r="F1286" s="187" t="n">
        <v>2</v>
      </c>
      <c r="G1286" s="187" t="n">
        <v>2</v>
      </c>
      <c r="H1286" s="187" t="inlineStr">
        <is>
          <t>MEDIUM</t>
        </is>
      </c>
      <c r="I1286" s="187" t="n">
        <v>9</v>
      </c>
      <c r="J1286" s="187" t="inlineStr">
        <is>
          <t>NO</t>
        </is>
      </c>
      <c r="K1286" s="187" t="inlineStr">
        <is>
          <t>https://nvd.nist.gov/vuln/detail/CVE-2026-24443</t>
        </is>
      </c>
      <c r="L1286" s="187" t="inlineStr">
        <is>
          <t>2026-02-26 00:15</t>
        </is>
      </c>
      <c r="M1286" s="187" t="inlineStr">
        <is>
          <t>CHECK_VENDOR</t>
        </is>
      </c>
      <c r="N1286" s="187" t="inlineStr">
        <is>
          <t>See NVD references</t>
        </is>
      </c>
      <c r="O1286" s="187" t="inlineStr">
        <is>
          <t>Apply vendor patches</t>
        </is>
      </c>
      <c r="P1286" s="187" t="inlineStr">
        <is>
          <t>See CVE details</t>
        </is>
      </c>
      <c r="Q1286" s="187" t="inlineStr">
        <is>
          <t>P4</t>
        </is>
      </c>
      <c r="R1286" s="187" t="inlineStr">
        <is>
          <t>📅 Schedule patch deployment within 30 days | 🔍 Monitor for exploitation attempts</t>
        </is>
      </c>
      <c r="S1286" s="187" t="inlineStr">
        <is>
          <t>CVE - IP enrichment n/a</t>
        </is>
      </c>
      <c r="T1286" s="187" t="n">
        <v>0</v>
      </c>
      <c r="U1286" s="187" t="n">
        <v>0</v>
      </c>
      <c r="V1286" s="187" t="inlineStr">
        <is>
          <t>T1068:Exploitation for Privilege Escalation | T1552:Unsecured Credentials</t>
        </is>
      </c>
      <c r="W1286" s="187" t="n">
        <v>1</v>
      </c>
      <c r="X1286" s="187" t="inlineStr">
        <is>
          <t>LOW (40%)</t>
        </is>
      </c>
      <c r="Y1286" s="187" t="inlineStr">
        <is>
          <t>UNLIKELY</t>
        </is>
      </c>
      <c r="Z1286" s="187" t="inlineStr">
        <is>
          <t>CHECK_VENDOR</t>
        </is>
      </c>
      <c r="AA1286" s="187" t="inlineStr">
        <is>
          <t>https://nvd.nist.gov/vuln/detail/CVE-2026-24443</t>
        </is>
      </c>
      <c r="AB1286" s="187" t="inlineStr">
        <is>
          <t>NONE</t>
        </is>
      </c>
      <c r="AC1286" s="187" t="n">
        <v>0</v>
      </c>
      <c r="AD1286" s="187" t="inlineStr"/>
    </row>
    <row r="1287">
      <c r="A1287" s="187" t="inlineStr">
        <is>
          <t>CVE</t>
        </is>
      </c>
      <c r="B1287" s="187" t="inlineStr">
        <is>
          <t>CVE-2026-25882</t>
        </is>
      </c>
      <c r="C1287" s="187" t="inlineStr">
        <is>
          <t>Fiber is an Express inspired web framework written in Go. A denial of service vulnerability exists in Fiber v2 and v3 that allows remote attackers to crash the application by sending requests to routes with more than 30 parameters. The vulnerability results from missing validation during route registration combined with an unbounded array write during request matching. Version 2.52.12 patches the issue in the v2 branch and 3.1.0 patches the issue in the v3 branch.</t>
        </is>
      </c>
      <c r="D1287" s="187" t="n">
        <v>5</v>
      </c>
      <c r="E1287" s="187" t="inlineStr">
        <is>
          <t>MEDIUM</t>
        </is>
      </c>
      <c r="F1287" s="187" t="n">
        <v>2</v>
      </c>
      <c r="G1287" s="187" t="n">
        <v>2</v>
      </c>
      <c r="H1287" s="187" t="inlineStr">
        <is>
          <t>MEDIUM</t>
        </is>
      </c>
      <c r="I1287" s="187" t="n">
        <v>9</v>
      </c>
      <c r="J1287" s="187" t="inlineStr">
        <is>
          <t>NO</t>
        </is>
      </c>
      <c r="K1287" s="187" t="inlineStr">
        <is>
          <t>https://nvd.nist.gov/vuln/detail/CVE-2026-25882</t>
        </is>
      </c>
      <c r="L1287" s="187" t="inlineStr">
        <is>
          <t>2026-02-26 00:15</t>
        </is>
      </c>
      <c r="M1287" s="187" t="inlineStr">
        <is>
          <t>CHECK_VENDOR</t>
        </is>
      </c>
      <c r="N1287" s="187" t="inlineStr">
        <is>
          <t>See NVD references</t>
        </is>
      </c>
      <c r="O1287" s="187" t="inlineStr">
        <is>
          <t>Apply vendor patches</t>
        </is>
      </c>
      <c r="P1287" s="187" t="inlineStr">
        <is>
          <t>See CVE details</t>
        </is>
      </c>
      <c r="Q1287" s="187" t="inlineStr">
        <is>
          <t>P4</t>
        </is>
      </c>
      <c r="R1287" s="187" t="inlineStr">
        <is>
          <t>📅 Schedule patch deployment within 30 days | 🔍 Monitor for exploitation attempts</t>
        </is>
      </c>
      <c r="S1287" s="187" t="inlineStr">
        <is>
          <t>CVE - IP enrichment n/a</t>
        </is>
      </c>
      <c r="T1287" s="187" t="n">
        <v>0</v>
      </c>
      <c r="U1287" s="187" t="n">
        <v>0</v>
      </c>
      <c r="V1287" s="187" t="inlineStr">
        <is>
          <t>T1499:Endpoint Denial of Service</t>
        </is>
      </c>
      <c r="W1287" s="187" t="n">
        <v>1</v>
      </c>
      <c r="X1287" s="187" t="inlineStr">
        <is>
          <t>LOW (40%)</t>
        </is>
      </c>
      <c r="Y1287" s="187" t="inlineStr">
        <is>
          <t>UNLIKELY</t>
        </is>
      </c>
      <c r="Z1287" s="187" t="inlineStr">
        <is>
          <t>CHECK_VENDOR</t>
        </is>
      </c>
      <c r="AA1287" s="187" t="inlineStr">
        <is>
          <t>https://nvd.nist.gov/vuln/detail/CVE-2026-25882</t>
        </is>
      </c>
      <c r="AB1287" s="187" t="inlineStr">
        <is>
          <t>NONE</t>
        </is>
      </c>
      <c r="AC1287" s="187" t="n">
        <v>0</v>
      </c>
      <c r="AD1287" s="187" t="inlineStr"/>
    </row>
    <row r="1288">
      <c r="A1288" s="187" t="inlineStr">
        <is>
          <t>CVE</t>
        </is>
      </c>
      <c r="B1288" s="187" t="inlineStr">
        <is>
          <t>CVE-2026-25891</t>
        </is>
      </c>
      <c r="C1288" s="187" t="inlineStr">
        <is>
          <t>Fiber is an Express inspired web framework written in Go. A Path Traversal (CWE-22) vulnerability in Fiber allows a remote attacker to bypass the static middleware sanitizer and read arbitrary files on the server file system on Windows. This affects Fiber v3 through version 3.0.0. This has been patched in Fiber v3 version 3.1.0.</t>
        </is>
      </c>
      <c r="D1288" s="187" t="n">
        <v>5</v>
      </c>
      <c r="E1288" s="187" t="inlineStr">
        <is>
          <t>MEDIUM</t>
        </is>
      </c>
      <c r="F1288" s="187" t="n">
        <v>2</v>
      </c>
      <c r="G1288" s="187" t="n">
        <v>2</v>
      </c>
      <c r="H1288" s="187" t="inlineStr">
        <is>
          <t>MEDIUM</t>
        </is>
      </c>
      <c r="I1288" s="187" t="n">
        <v>9</v>
      </c>
      <c r="J1288" s="187" t="inlineStr">
        <is>
          <t>NO</t>
        </is>
      </c>
      <c r="K1288" s="187" t="inlineStr">
        <is>
          <t>https://nvd.nist.gov/vuln/detail/CVE-2026-25891</t>
        </is>
      </c>
      <c r="L1288" s="187" t="inlineStr">
        <is>
          <t>2026-02-26 00:15</t>
        </is>
      </c>
      <c r="M1288" s="187" t="inlineStr">
        <is>
          <t>CHECK_VENDOR</t>
        </is>
      </c>
      <c r="N1288" s="187" t="inlineStr">
        <is>
          <t>See NVD references</t>
        </is>
      </c>
      <c r="O1288" s="187" t="inlineStr">
        <is>
          <t>Apply vendor patches</t>
        </is>
      </c>
      <c r="P1288" s="187" t="inlineStr">
        <is>
          <t>See CVE details</t>
        </is>
      </c>
      <c r="Q1288" s="187" t="inlineStr">
        <is>
          <t>P4</t>
        </is>
      </c>
      <c r="R1288" s="187" t="inlineStr">
        <is>
          <t>📅 Schedule patch deployment within 30 days | 🔍 Monitor for exploitation attempts</t>
        </is>
      </c>
      <c r="S1288" s="187" t="inlineStr">
        <is>
          <t>CVE - IP enrichment n/a</t>
        </is>
      </c>
      <c r="T1288" s="187" t="n">
        <v>0</v>
      </c>
      <c r="U1288" s="187" t="n">
        <v>0</v>
      </c>
      <c r="V1288" s="187" t="inlineStr">
        <is>
          <t>T1083:File and Directory Discovery</t>
        </is>
      </c>
      <c r="W1288" s="187" t="n">
        <v>1</v>
      </c>
      <c r="X1288" s="187" t="inlineStr">
        <is>
          <t>LOW (40%)</t>
        </is>
      </c>
      <c r="Y1288" s="187" t="inlineStr">
        <is>
          <t>UNLIKELY</t>
        </is>
      </c>
      <c r="Z1288" s="187" t="inlineStr">
        <is>
          <t>CHECK_VENDOR</t>
        </is>
      </c>
      <c r="AA1288" s="187" t="inlineStr">
        <is>
          <t>https://nvd.nist.gov/vuln/detail/CVE-2026-25891</t>
        </is>
      </c>
      <c r="AB1288" s="187" t="inlineStr">
        <is>
          <t>NONE</t>
        </is>
      </c>
      <c r="AC1288" s="187" t="n">
        <v>0</v>
      </c>
      <c r="AD1288" s="187" t="inlineStr"/>
    </row>
    <row r="1289">
      <c r="A1289" s="188" t="inlineStr">
        <is>
          <t>CVE</t>
        </is>
      </c>
      <c r="B1289" s="188" t="inlineStr">
        <is>
          <t>CVE-2026-25899</t>
        </is>
      </c>
      <c r="C1289" s="188" t="inlineStr">
        <is>
          <t>Fiber is an Express inspired web framework written in Go. In versions on the v3 branch prior to 3.1.0, the use of the `fiber_flash` cookie can force an unbounded allocation on any server. A crafted 10-character cookie value triggers an attempt to allocate up to 85GB of memory via unvalidated msgpack deserialization. No authentication is required. Every GoFiber v3 endpoint is affected regardless of whether the application uses flash messages. Version 3.1.0 fixes the issue.</t>
        </is>
      </c>
      <c r="D1289" s="188" t="n">
        <v>7.5</v>
      </c>
      <c r="E1289" s="188" t="inlineStr">
        <is>
          <t>HIGH</t>
        </is>
      </c>
      <c r="F1289" s="188" t="n">
        <v>2</v>
      </c>
      <c r="G1289" s="188" t="n">
        <v>3</v>
      </c>
      <c r="H1289" s="188" t="inlineStr">
        <is>
          <t>HIGH</t>
        </is>
      </c>
      <c r="I1289" s="188" t="n">
        <v>13.5</v>
      </c>
      <c r="J1289" s="188" t="inlineStr">
        <is>
          <t>NO</t>
        </is>
      </c>
      <c r="K1289" s="188" t="inlineStr">
        <is>
          <t>https://nvd.nist.gov/vuln/detail/CVE-2026-25899</t>
        </is>
      </c>
      <c r="L1289" s="188" t="inlineStr">
        <is>
          <t>2026-02-26 00:15</t>
        </is>
      </c>
      <c r="M1289" s="188" t="inlineStr">
        <is>
          <t>YES</t>
        </is>
      </c>
      <c r="N1289" s="188" t="inlineStr">
        <is>
          <t>https://github.com/gofiber/fiber/security/advisories/GHSA-2mr3-m5q5-wgp6</t>
        </is>
      </c>
      <c r="O1289" s="188" t="inlineStr">
        <is>
          <t>Apply vendor patches</t>
        </is>
      </c>
      <c r="P1289" s="188" t="inlineStr">
        <is>
          <t>gofiber fiber *</t>
        </is>
      </c>
      <c r="Q1289" s="188" t="inlineStr">
        <is>
          <t>P3</t>
        </is>
      </c>
      <c r="R1289" s="188" t="inlineStr">
        <is>
          <t>🚨 URGENT: Apply vendor patches immediately | 🔒 Isolate affected systems if patch unavailable | 🛡️ Enable additional monitoring/IDS rules</t>
        </is>
      </c>
      <c r="S1289" s="188" t="inlineStr">
        <is>
          <t>CVE - IP enrichment n/a</t>
        </is>
      </c>
      <c r="T1289" s="188" t="n">
        <v>0</v>
      </c>
      <c r="U1289" s="188" t="n">
        <v>0</v>
      </c>
      <c r="V1289" s="188" t="inlineStr">
        <is>
          <t>T1190:Exploit Public-Facing Application | T1059:Command and Scripting Interpreter</t>
        </is>
      </c>
      <c r="W1289" s="188" t="n">
        <v>1</v>
      </c>
      <c r="X1289" s="188" t="inlineStr">
        <is>
          <t>LOW (40%)</t>
        </is>
      </c>
      <c r="Y1289" s="188" t="inlineStr">
        <is>
          <t>UNLIKELY</t>
        </is>
      </c>
      <c r="Z1289" s="188" t="inlineStr">
        <is>
          <t>PATCH_AVAILABLE</t>
        </is>
      </c>
      <c r="AA1289" s="188" t="inlineStr">
        <is>
          <t>https://nvd.nist.gov/vuln/detail/CVE-2026-25899</t>
        </is>
      </c>
      <c r="AB1289" s="188" t="inlineStr">
        <is>
          <t>NONE</t>
        </is>
      </c>
      <c r="AC1289" s="188" t="n">
        <v>0</v>
      </c>
      <c r="AD1289" s="188" t="inlineStr"/>
    </row>
    <row r="1290">
      <c r="A1290" s="187" t="inlineStr">
        <is>
          <t>CVE</t>
        </is>
      </c>
      <c r="B1290" s="187" t="inlineStr">
        <is>
          <t>CVE-2026-27117</t>
        </is>
      </c>
      <c r="C1290" s="187" t="inlineStr">
        <is>
          <t>bit7z is a cross-platform C++ static library that allows the compression/extraction of archive files. Prior to version 4.0.11, a path traversal vulnerability ("Zip Slip") exists in bit7z's archive extraction functionality. The library does not adequately validate file paths contained in archive entries, allowing files to be written outside the intended extraction directory through three distinct mechanisms: relative path traversal, absolute path traversal, and symbolic link traversal. An attacke</t>
        </is>
      </c>
      <c r="D1290" s="187" t="n">
        <v>5.5</v>
      </c>
      <c r="E1290" s="187" t="inlineStr">
        <is>
          <t>MEDIUM</t>
        </is>
      </c>
      <c r="F1290" s="187" t="n">
        <v>2</v>
      </c>
      <c r="G1290" s="187" t="n">
        <v>2</v>
      </c>
      <c r="H1290" s="187" t="inlineStr">
        <is>
          <t>MEDIUM</t>
        </is>
      </c>
      <c r="I1290" s="187" t="n">
        <v>9.5</v>
      </c>
      <c r="J1290" s="187" t="inlineStr">
        <is>
          <t>NO</t>
        </is>
      </c>
      <c r="K1290" s="187" t="inlineStr">
        <is>
          <t>https://nvd.nist.gov/vuln/detail/CVE-2026-27117</t>
        </is>
      </c>
      <c r="L1290" s="187" t="inlineStr">
        <is>
          <t>2026-02-26 00:15</t>
        </is>
      </c>
      <c r="M1290" s="187" t="inlineStr">
        <is>
          <t>YES</t>
        </is>
      </c>
      <c r="N1290" s="187" t="inlineStr">
        <is>
          <t>https://github.com/rikyoz/bit7z/commit/31763da9a3e41a199c141c8d71f6c11de24b45cf | https://github.com/rikyoz/bit7z/commit/9e020483eefa5825ec9310b1d869933d4f77f969 | https://github.com/rikyoz/bit7z/security/advisories/GHSA-qvjh-hhw4-3gx9</t>
        </is>
      </c>
      <c r="O1290" s="187" t="inlineStr">
        <is>
          <t>Apply vendor patches</t>
        </is>
      </c>
      <c r="P1290" s="187" t="inlineStr">
        <is>
          <t>rikyoz bit7z *</t>
        </is>
      </c>
      <c r="Q1290" s="187" t="inlineStr">
        <is>
          <t>P4</t>
        </is>
      </c>
      <c r="R1290" s="187" t="inlineStr">
        <is>
          <t>📅 Schedule patch deployment within 30 days | 🔍 Monitor for exploitation attempts</t>
        </is>
      </c>
      <c r="S1290" s="187" t="inlineStr">
        <is>
          <t>CVE - IP enrichment n/a</t>
        </is>
      </c>
      <c r="T1290" s="187" t="n">
        <v>0</v>
      </c>
      <c r="U1290" s="187" t="n">
        <v>0</v>
      </c>
      <c r="V1290" s="187" t="inlineStr">
        <is>
          <t>T1083:File and Directory Discovery</t>
        </is>
      </c>
      <c r="W1290" s="187" t="n">
        <v>1</v>
      </c>
      <c r="X1290" s="187" t="inlineStr">
        <is>
          <t>LOW (40%)</t>
        </is>
      </c>
      <c r="Y1290" s="187" t="inlineStr">
        <is>
          <t>UNLIKELY</t>
        </is>
      </c>
      <c r="Z1290" s="187" t="inlineStr">
        <is>
          <t>PATCH_AVAILABLE</t>
        </is>
      </c>
      <c r="AA1290" s="187" t="inlineStr">
        <is>
          <t>https://nvd.nist.gov/vuln/detail/CVE-2026-27117</t>
        </is>
      </c>
      <c r="AB1290" s="187" t="inlineStr">
        <is>
          <t>NONE</t>
        </is>
      </c>
      <c r="AC1290" s="187" t="n">
        <v>0</v>
      </c>
      <c r="AD1290" s="187" t="inlineStr"/>
    </row>
    <row r="1291">
      <c r="A1291" s="188" t="inlineStr">
        <is>
          <t>CVE</t>
        </is>
      </c>
      <c r="B1291" s="188" t="inlineStr">
        <is>
          <t>CVE-2026-27195</t>
        </is>
      </c>
      <c r="C1291" s="188" t="inlineStr">
        <is>
          <t xml:space="preserve">Wasmtime is a runtime for WebAssembly. Starting with Wasmtime 39.0.0, the `component-model-async` feature became the default, which brought with it a new implementation of `[Typed]Func::call_async` which made it capable of calling async-typed guest export functions.  However, that implementation had a bug leading to a panic under certain circumstances: First, the host embedding calls `[Typed]Func::call_async` on a function exported by a component, polling the returned `Future` once. Second, the </t>
        </is>
      </c>
      <c r="D1291" s="188" t="n">
        <v>7.5</v>
      </c>
      <c r="E1291" s="188" t="inlineStr">
        <is>
          <t>HIGH</t>
        </is>
      </c>
      <c r="F1291" s="188" t="n">
        <v>2</v>
      </c>
      <c r="G1291" s="188" t="n">
        <v>3</v>
      </c>
      <c r="H1291" s="188" t="inlineStr">
        <is>
          <t>HIGH</t>
        </is>
      </c>
      <c r="I1291" s="188" t="n">
        <v>13.5</v>
      </c>
      <c r="J1291" s="188" t="inlineStr">
        <is>
          <t>NO</t>
        </is>
      </c>
      <c r="K1291" s="188" t="inlineStr">
        <is>
          <t>https://nvd.nist.gov/vuln/detail/CVE-2026-27195</t>
        </is>
      </c>
      <c r="L1291" s="188" t="inlineStr">
        <is>
          <t>2026-02-26 00:15</t>
        </is>
      </c>
      <c r="M1291" s="188" t="inlineStr">
        <is>
          <t>YES</t>
        </is>
      </c>
      <c r="N1291" s="188" t="inlineStr">
        <is>
          <t>https://github.com/bytecodealliance/wasmtime/commit/9e51c0d9a240a9613d279c061f82286bd11383fd | https://github.com/bytecodealliance/wasmtime/commit/d86b00736b9ece60b3c81e52f7a7e4cdd9f7d895</t>
        </is>
      </c>
      <c r="O1291" s="188" t="inlineStr">
        <is>
          <t>Apply vendor patches</t>
        </is>
      </c>
      <c r="P1291" s="188" t="inlineStr">
        <is>
          <t>bytecodealliance wasmtime *</t>
        </is>
      </c>
      <c r="Q1291" s="188" t="inlineStr">
        <is>
          <t>P3</t>
        </is>
      </c>
      <c r="R1291" s="188" t="inlineStr">
        <is>
          <t>🚨 URGENT: Apply vendor patches immediately | 🔒 Isolate affected systems if patch unavailable | 🛡️ Enable additional monitoring/IDS rules</t>
        </is>
      </c>
      <c r="S1291" s="188" t="inlineStr">
        <is>
          <t>CVE - IP enrichment n/a</t>
        </is>
      </c>
      <c r="T1291" s="188" t="n">
        <v>0</v>
      </c>
      <c r="U1291" s="188" t="n">
        <v>0</v>
      </c>
      <c r="V1291" s="188" t="inlineStr">
        <is>
          <t>T1190:Exploit Public-Facing Application</t>
        </is>
      </c>
      <c r="W1291" s="188" t="n">
        <v>2</v>
      </c>
      <c r="X1291" s="188" t="inlineStr">
        <is>
          <t>MEDIUM (52%)</t>
        </is>
      </c>
      <c r="Y1291" s="188" t="inlineStr">
        <is>
          <t>UNLIKELY</t>
        </is>
      </c>
      <c r="Z1291" s="188" t="inlineStr">
        <is>
          <t>PATCH_AVAILABLE</t>
        </is>
      </c>
      <c r="AA1291" s="188" t="inlineStr">
        <is>
          <t>https://nvd.nist.gov/vuln/detail/CVE-2026-27195</t>
        </is>
      </c>
      <c r="AB1291" s="188" t="inlineStr">
        <is>
          <t>NONE</t>
        </is>
      </c>
      <c r="AC1291" s="188" t="n">
        <v>0</v>
      </c>
      <c r="AD1291" s="188" t="inlineStr"/>
    </row>
    <row r="1292">
      <c r="A1292" s="187" t="inlineStr">
        <is>
          <t>CVE</t>
        </is>
      </c>
      <c r="B1292" s="187" t="inlineStr">
        <is>
          <t>CVE-2026-27204</t>
        </is>
      </c>
      <c r="C1292" s="187" t="inlineStr">
        <is>
          <t>Wasmtime is a runtime for WebAssembly. Prior to versions 24.0.6, 36.0.6, 4.0.04, 41.0.4, and 42.0.0, Wasmtime's implementation of WASI host interfaces are susceptible to guest-controlled resource exhaustion on the host. Wasmtime did not appropriately place limits on resource allocations requested by the guests. This serves as a Denial of Service vector. Wasmtime 24.0.6, 36.0.6, 40.0.4, 41.0.4, and 42.0.0 have all been released with the fix for this issue. These versions do not prevent this issue</t>
        </is>
      </c>
      <c r="D1292" s="187" t="n">
        <v>6.5</v>
      </c>
      <c r="E1292" s="187" t="inlineStr">
        <is>
          <t>MEDIUM</t>
        </is>
      </c>
      <c r="F1292" s="187" t="n">
        <v>2</v>
      </c>
      <c r="G1292" s="187" t="n">
        <v>2</v>
      </c>
      <c r="H1292" s="187" t="inlineStr">
        <is>
          <t>MEDIUM</t>
        </is>
      </c>
      <c r="I1292" s="187" t="n">
        <v>10.5</v>
      </c>
      <c r="J1292" s="187" t="inlineStr">
        <is>
          <t>NO</t>
        </is>
      </c>
      <c r="K1292" s="187" t="inlineStr">
        <is>
          <t>https://nvd.nist.gov/vuln/detail/CVE-2026-27204</t>
        </is>
      </c>
      <c r="L1292" s="187" t="inlineStr">
        <is>
          <t>2026-02-26 00:15</t>
        </is>
      </c>
      <c r="M1292" s="187" t="inlineStr">
        <is>
          <t>CHECK_VENDOR</t>
        </is>
      </c>
      <c r="N1292" s="187" t="inlineStr">
        <is>
          <t>See NVD references</t>
        </is>
      </c>
      <c r="O1292" s="187" t="inlineStr">
        <is>
          <t>Apply vendor patches</t>
        </is>
      </c>
      <c r="P1292" s="187" t="inlineStr">
        <is>
          <t>bytecodealliance wasmtime *</t>
        </is>
      </c>
      <c r="Q1292" s="187" t="inlineStr">
        <is>
          <t>P3</t>
        </is>
      </c>
      <c r="R1292" s="187" t="inlineStr">
        <is>
          <t>📅 Schedule patch deployment within 30 days | 🔍 Monitor for exploitation attempts</t>
        </is>
      </c>
      <c r="S1292" s="187" t="inlineStr">
        <is>
          <t>CVE - IP enrichment n/a</t>
        </is>
      </c>
      <c r="T1292" s="187" t="n">
        <v>0</v>
      </c>
      <c r="U1292" s="187" t="n">
        <v>0</v>
      </c>
      <c r="V1292" s="187" t="inlineStr">
        <is>
          <t>T1190:Exploit Public-Facing Application | T1499:Endpoint Denial of Service</t>
        </is>
      </c>
      <c r="W1292" s="187" t="n">
        <v>2</v>
      </c>
      <c r="X1292" s="187" t="inlineStr">
        <is>
          <t>MEDIUM (52%)</t>
        </is>
      </c>
      <c r="Y1292" s="187" t="inlineStr">
        <is>
          <t>UNLIKELY</t>
        </is>
      </c>
      <c r="Z1292" s="187" t="inlineStr">
        <is>
          <t>CHECK_VENDOR</t>
        </is>
      </c>
      <c r="AA1292" s="187" t="inlineStr">
        <is>
          <t>https://nvd.nist.gov/vuln/detail/CVE-2026-27204</t>
        </is>
      </c>
      <c r="AB1292" s="187" t="inlineStr">
        <is>
          <t>NONE</t>
        </is>
      </c>
      <c r="AC1292" s="187" t="n">
        <v>0</v>
      </c>
      <c r="AD1292" s="187" t="inlineStr"/>
    </row>
    <row r="1293">
      <c r="A1293" s="188" t="inlineStr">
        <is>
          <t>CVE</t>
        </is>
      </c>
      <c r="B1293" s="188" t="inlineStr">
        <is>
          <t>CVE-2026-27572</t>
        </is>
      </c>
      <c r="C1293" s="188" t="inlineStr">
        <is>
          <t>Wasmtime is a runtime for WebAssembly. Prior to versions 24.0.6, 36.0.6, 4.0.04, 41.0.4, and 42.0.0, Wasmtime's implementation of the `wasi:http/types.fields` resource is susceptible to panics when too many fields are added to the set of headers. Wasmtime's implementation in the `wasmtime-wasi-http` crate is backed by a data structure which panics when it reaches excessive capacity and this condition was not handled gracefully in Wasmtime. Panicking in a WASI implementation is a Denial of Servic</t>
        </is>
      </c>
      <c r="D1293" s="188" t="n">
        <v>7.5</v>
      </c>
      <c r="E1293" s="188" t="inlineStr">
        <is>
          <t>HIGH</t>
        </is>
      </c>
      <c r="F1293" s="188" t="n">
        <v>2</v>
      </c>
      <c r="G1293" s="188" t="n">
        <v>3</v>
      </c>
      <c r="H1293" s="188" t="inlineStr">
        <is>
          <t>HIGH</t>
        </is>
      </c>
      <c r="I1293" s="188" t="n">
        <v>13.5</v>
      </c>
      <c r="J1293" s="188" t="inlineStr">
        <is>
          <t>NO</t>
        </is>
      </c>
      <c r="K1293" s="188" t="inlineStr">
        <is>
          <t>https://nvd.nist.gov/vuln/detail/CVE-2026-27572</t>
        </is>
      </c>
      <c r="L1293" s="188" t="inlineStr">
        <is>
          <t>2026-02-26 00:15</t>
        </is>
      </c>
      <c r="M1293" s="188" t="inlineStr">
        <is>
          <t>YES</t>
        </is>
      </c>
      <c r="N1293" s="188" t="inlineStr">
        <is>
          <t>https://github.com/bytecodealliance/wasmtime/commit/301dc7162cca51def19131019af1187f45901c0a</t>
        </is>
      </c>
      <c r="O1293" s="188" t="inlineStr">
        <is>
          <t>Apply vendor patches</t>
        </is>
      </c>
      <c r="P1293" s="188" t="inlineStr">
        <is>
          <t>bytecodealliance wasmtime *</t>
        </is>
      </c>
      <c r="Q1293" s="188" t="inlineStr">
        <is>
          <t>P3</t>
        </is>
      </c>
      <c r="R1293" s="188" t="inlineStr">
        <is>
          <t>🚨 URGENT: Apply vendor patches immediately | 🔒 Isolate affected systems if patch unavailable | 🛡️ Enable additional monitoring/IDS rules</t>
        </is>
      </c>
      <c r="S1293" s="188" t="inlineStr">
        <is>
          <t>CVE - IP enrichment n/a</t>
        </is>
      </c>
      <c r="T1293" s="188" t="n">
        <v>0</v>
      </c>
      <c r="U1293" s="188" t="n">
        <v>0</v>
      </c>
      <c r="V1293" s="188" t="inlineStr">
        <is>
          <t>T1190:Exploit Public-Facing Application | T1499:Endpoint Denial of Service</t>
        </is>
      </c>
      <c r="W1293" s="188" t="n">
        <v>2</v>
      </c>
      <c r="X1293" s="188" t="inlineStr">
        <is>
          <t>MEDIUM (52%)</t>
        </is>
      </c>
      <c r="Y1293" s="188" t="inlineStr">
        <is>
          <t>UNLIKELY</t>
        </is>
      </c>
      <c r="Z1293" s="188" t="inlineStr">
        <is>
          <t>PATCH_AVAILABLE</t>
        </is>
      </c>
      <c r="AA1293" s="188" t="inlineStr">
        <is>
          <t>https://nvd.nist.gov/vuln/detail/CVE-2026-27572</t>
        </is>
      </c>
      <c r="AB1293" s="188" t="inlineStr">
        <is>
          <t>NONE</t>
        </is>
      </c>
      <c r="AC1293" s="188" t="n">
        <v>0</v>
      </c>
      <c r="AD1293" s="188" t="inlineStr"/>
    </row>
    <row r="1294">
      <c r="A1294" s="189" t="inlineStr">
        <is>
          <t>CVE</t>
        </is>
      </c>
      <c r="B1294" s="189" t="inlineStr">
        <is>
          <t>CVE-2026-27593</t>
        </is>
      </c>
      <c r="C1294" s="189" t="inlineStr">
        <is>
          <t>Statmatic is a Laravel and Git powered content management system (CMS). Prior to versions 6.3.3 and 5.73.10, an attacker may leverage a vulnerability in the password reset feature to capture a user's token and reset the password on their behalf. The attacker must know the email address of a valid account on the site, and the actual user must blindly click the link in their email even though they didn't request the reset. This has been fixed in 6.3.3 and 5.73.10.</t>
        </is>
      </c>
      <c r="D1294" s="189" t="n">
        <v>9.300000000000001</v>
      </c>
      <c r="E1294" s="189" t="inlineStr">
        <is>
          <t>CRITICAL</t>
        </is>
      </c>
      <c r="F1294" s="189" t="n">
        <v>2</v>
      </c>
      <c r="G1294" s="189" t="n">
        <v>3</v>
      </c>
      <c r="H1294" s="189" t="inlineStr">
        <is>
          <t>HIGH</t>
        </is>
      </c>
      <c r="I1294" s="189" t="n">
        <v>15.3</v>
      </c>
      <c r="J1294" s="189" t="inlineStr">
        <is>
          <t>NO</t>
        </is>
      </c>
      <c r="K1294" s="189" t="inlineStr">
        <is>
          <t>https://nvd.nist.gov/vuln/detail/CVE-2026-27593</t>
        </is>
      </c>
      <c r="L1294" s="189" t="inlineStr">
        <is>
          <t>2026-02-26 00:15</t>
        </is>
      </c>
      <c r="M1294" s="189" t="inlineStr">
        <is>
          <t>YES</t>
        </is>
      </c>
      <c r="N1294" s="189" t="inlineStr">
        <is>
          <t>https://github.com/statamic/cms/commit/6fdd03324982848e8754f2edd2265262d361714e | https://github.com/statamic/cms/commit/78e63dfcf705b116d5ac0f7f7f5a1a69be63d1be | https://github.com/statamic/cms/commit/b2be592ddfb588bcb88c9be454f3590e14b145b0</t>
        </is>
      </c>
      <c r="O1294" s="189" t="inlineStr">
        <is>
          <t>Apply vendor patches</t>
        </is>
      </c>
      <c r="P1294" s="189" t="inlineStr">
        <is>
          <t>statamic statamic *</t>
        </is>
      </c>
      <c r="Q1294" s="189" t="inlineStr">
        <is>
          <t>P3</t>
        </is>
      </c>
      <c r="R1294" s="189" t="inlineStr">
        <is>
          <t>🚨 URGENT: Apply vendor patches immediately | 🔒 Isolate affected systems if patch unavailable | 🛡️ Enable additional monitoring/IDS rules</t>
        </is>
      </c>
      <c r="S1294" s="189" t="inlineStr">
        <is>
          <t>CVE - IP enrichment n/a</t>
        </is>
      </c>
      <c r="T1294" s="189" t="n">
        <v>0</v>
      </c>
      <c r="U1294" s="189" t="n">
        <v>0</v>
      </c>
      <c r="V1294" s="189" t="inlineStr">
        <is>
          <t>T1190:Exploit Public-Facing Application</t>
        </is>
      </c>
      <c r="W1294" s="189" t="n">
        <v>1</v>
      </c>
      <c r="X1294" s="189" t="inlineStr">
        <is>
          <t>LOW (40%)</t>
        </is>
      </c>
      <c r="Y1294" s="189" t="inlineStr">
        <is>
          <t>UNLIKELY</t>
        </is>
      </c>
      <c r="Z1294" s="189" t="inlineStr">
        <is>
          <t>PATCH_AVAILABLE</t>
        </is>
      </c>
      <c r="AA1294" s="189" t="inlineStr">
        <is>
          <t>https://nvd.nist.gov/vuln/detail/CVE-2026-27593</t>
        </is>
      </c>
      <c r="AB1294" s="189" t="inlineStr">
        <is>
          <t>NONE</t>
        </is>
      </c>
      <c r="AC1294" s="189" t="n">
        <v>0</v>
      </c>
      <c r="AD1294" s="189" t="inlineStr"/>
    </row>
    <row r="1295">
      <c r="A1295" s="187" t="inlineStr">
        <is>
          <t>CVE</t>
        </is>
      </c>
      <c r="B1295" s="187" t="inlineStr">
        <is>
          <t>CVE-2026-26351</t>
        </is>
      </c>
      <c r="C1295" s="187" t="inlineStr">
        <is>
          <t>GetSimpleCMS Community Edition (CE) version 3.3.16 contains a stored cross-site scripting (XSS) vulnerability in the Theme to Components functionality within components.php. User-supplied input provided to the "slug" field of a component is stored without proper output encoding. While other fields are sanitized using safe_slash_html(), the slug parameter is written to XML and later rendered in the administrative interface without sanitation, resulting in persistent execution of arbitrary JavaScr</t>
        </is>
      </c>
      <c r="D1295" s="187" t="n">
        <v>5</v>
      </c>
      <c r="E1295" s="187" t="inlineStr">
        <is>
          <t>MEDIUM</t>
        </is>
      </c>
      <c r="F1295" s="187" t="n">
        <v>2</v>
      </c>
      <c r="G1295" s="187" t="n">
        <v>2</v>
      </c>
      <c r="H1295" s="187" t="inlineStr">
        <is>
          <t>MEDIUM</t>
        </is>
      </c>
      <c r="I1295" s="187" t="n">
        <v>9</v>
      </c>
      <c r="J1295" s="187" t="inlineStr">
        <is>
          <t>NO</t>
        </is>
      </c>
      <c r="K1295" s="187" t="inlineStr">
        <is>
          <t>https://nvd.nist.gov/vuln/detail/CVE-2026-26351</t>
        </is>
      </c>
      <c r="L1295" s="187" t="inlineStr">
        <is>
          <t>2026-02-26 00:15</t>
        </is>
      </c>
      <c r="M1295" s="187" t="inlineStr">
        <is>
          <t>CHECK_VENDOR</t>
        </is>
      </c>
      <c r="N1295" s="187" t="inlineStr">
        <is>
          <t>See NVD references</t>
        </is>
      </c>
      <c r="O1295" s="187" t="inlineStr">
        <is>
          <t>Apply vendor patches</t>
        </is>
      </c>
      <c r="P1295" s="187" t="inlineStr">
        <is>
          <t>See CVE details</t>
        </is>
      </c>
      <c r="Q1295" s="187" t="inlineStr">
        <is>
          <t>P4</t>
        </is>
      </c>
      <c r="R1295" s="187" t="inlineStr">
        <is>
          <t>📅 Schedule patch deployment within 30 days | 🔍 Monitor for exploitation attempts</t>
        </is>
      </c>
      <c r="S1295" s="187" t="inlineStr">
        <is>
          <t>CVE - IP enrichment n/a</t>
        </is>
      </c>
      <c r="T1295" s="187" t="n">
        <v>0</v>
      </c>
      <c r="U1295" s="187" t="n">
        <v>0</v>
      </c>
      <c r="V1295" s="187" t="inlineStr">
        <is>
          <t>T1189:Drive-by Compromise</t>
        </is>
      </c>
      <c r="W1295" s="187" t="n">
        <v>1</v>
      </c>
      <c r="X1295" s="187" t="inlineStr">
        <is>
          <t>LOW (40%)</t>
        </is>
      </c>
      <c r="Y1295" s="187" t="inlineStr">
        <is>
          <t>UNLIKELY</t>
        </is>
      </c>
      <c r="Z1295" s="187" t="inlineStr">
        <is>
          <t>CHECK_VENDOR</t>
        </is>
      </c>
      <c r="AA1295" s="187" t="inlineStr">
        <is>
          <t>https://nvd.nist.gov/vuln/detail/CVE-2026-26351</t>
        </is>
      </c>
      <c r="AB1295" s="187" t="inlineStr">
        <is>
          <t>NONE</t>
        </is>
      </c>
      <c r="AC1295" s="187" t="n">
        <v>0</v>
      </c>
      <c r="AD1295" s="187" t="inlineStr"/>
    </row>
    <row r="1296">
      <c r="A1296" s="188" t="inlineStr">
        <is>
          <t>CVE</t>
        </is>
      </c>
      <c r="B1296" s="188" t="inlineStr">
        <is>
          <t>CVE-2026-3133</t>
        </is>
      </c>
      <c r="C1296" s="188" t="inlineStr">
        <is>
          <t>A vulnerability has been found in itsourcecode Document Management System 1.0. This issue affects some unknown processing of the file /loging.php of the component Login. The manipulation of the argument Username leads to sql injection. Remote exploitation of the attack is possible. The exploit has been disclosed to the public and may be used.</t>
        </is>
      </c>
      <c r="D1296" s="188" t="n">
        <v>7.3</v>
      </c>
      <c r="E1296" s="188" t="inlineStr">
        <is>
          <t>HIGH</t>
        </is>
      </c>
      <c r="F1296" s="188" t="n">
        <v>2</v>
      </c>
      <c r="G1296" s="188" t="n">
        <v>3</v>
      </c>
      <c r="H1296" s="188" t="inlineStr">
        <is>
          <t>HIGH</t>
        </is>
      </c>
      <c r="I1296" s="188" t="n">
        <v>13.3</v>
      </c>
      <c r="J1296" s="188" t="inlineStr">
        <is>
          <t>NO</t>
        </is>
      </c>
      <c r="K1296" s="188" t="inlineStr">
        <is>
          <t>https://nvd.nist.gov/vuln/detail/CVE-2026-3133</t>
        </is>
      </c>
      <c r="L1296" s="188" t="inlineStr">
        <is>
          <t>2026-02-26 00:15</t>
        </is>
      </c>
      <c r="M1296" s="188" t="inlineStr">
        <is>
          <t>YES</t>
        </is>
      </c>
      <c r="N1296" s="188" t="inlineStr">
        <is>
          <t>https://github.com/ltranquility/CVE/issues/41</t>
        </is>
      </c>
      <c r="O1296" s="188" t="inlineStr">
        <is>
          <t>https://github.com/ltranquility/CVE/issues/41</t>
        </is>
      </c>
      <c r="P1296" s="188" t="inlineStr">
        <is>
          <t>admerc document_management_system 1.0</t>
        </is>
      </c>
      <c r="Q1296" s="188" t="inlineStr">
        <is>
          <t>P3</t>
        </is>
      </c>
      <c r="R1296" s="188" t="inlineStr">
        <is>
          <t>🚨 URGENT: Apply vendor patches immediately | 🔒 Isolate affected systems if patch unavailable | 🛡️ Enable additional monitoring/IDS rules</t>
        </is>
      </c>
      <c r="S1296" s="188" t="inlineStr">
        <is>
          <t>CVE - IP enrichment n/a</t>
        </is>
      </c>
      <c r="T1296" s="188" t="n">
        <v>0</v>
      </c>
      <c r="U1296" s="188" t="n">
        <v>0</v>
      </c>
      <c r="V1296" s="188" t="inlineStr">
        <is>
          <t>T1190:Exploit Public-Facing Application</t>
        </is>
      </c>
      <c r="W1296" s="188" t="n">
        <v>1</v>
      </c>
      <c r="X1296" s="188" t="inlineStr">
        <is>
          <t>LOW (40%)</t>
        </is>
      </c>
      <c r="Y1296" s="188" t="inlineStr">
        <is>
          <t>UNLIKELY</t>
        </is>
      </c>
      <c r="Z1296" s="188" t="inlineStr">
        <is>
          <t>PATCH_AVAILABLE</t>
        </is>
      </c>
      <c r="AA1296" s="188" t="inlineStr">
        <is>
          <t>https://nvd.nist.gov/vuln/detail/CVE-2026-3133</t>
        </is>
      </c>
      <c r="AB1296" s="188" t="inlineStr">
        <is>
          <t>NONE</t>
        </is>
      </c>
      <c r="AC1296" s="188" t="n">
        <v>0</v>
      </c>
      <c r="AD1296" s="188" t="inlineStr"/>
    </row>
    <row r="1297">
      <c r="A1297" s="188" t="inlineStr">
        <is>
          <t>CVE</t>
        </is>
      </c>
      <c r="B1297" s="188" t="inlineStr">
        <is>
          <t>CVE-2026-3134</t>
        </is>
      </c>
      <c r="C1297" s="188" t="inlineStr">
        <is>
          <t>A security flaw has been discovered in itsourcecode News Portal Project 1.0. The affected element is an unknown function of the file /newsportal/admin/edit-category.php. The manipulation of the argument Category results in sql injection. The attack may be performed from remote. The exploit has been released to the public and may be used for attacks.</t>
        </is>
      </c>
      <c r="D1297" s="188" t="n">
        <v>7.3</v>
      </c>
      <c r="E1297" s="188" t="inlineStr">
        <is>
          <t>HIGH</t>
        </is>
      </c>
      <c r="F1297" s="188" t="n">
        <v>2</v>
      </c>
      <c r="G1297" s="188" t="n">
        <v>3</v>
      </c>
      <c r="H1297" s="188" t="inlineStr">
        <is>
          <t>HIGH</t>
        </is>
      </c>
      <c r="I1297" s="188" t="n">
        <v>13.3</v>
      </c>
      <c r="J1297" s="188" t="inlineStr">
        <is>
          <t>NO</t>
        </is>
      </c>
      <c r="K1297" s="188" t="inlineStr">
        <is>
          <t>https://nvd.nist.gov/vuln/detail/CVE-2026-3134</t>
        </is>
      </c>
      <c r="L1297" s="188" t="inlineStr">
        <is>
          <t>2026-02-26 00:15</t>
        </is>
      </c>
      <c r="M1297" s="188" t="inlineStr">
        <is>
          <t>YES</t>
        </is>
      </c>
      <c r="N1297" s="188" t="inlineStr">
        <is>
          <t>https://github.com/910biter/cve/issues/1</t>
        </is>
      </c>
      <c r="O1297" s="188" t="inlineStr">
        <is>
          <t>https://github.com/910biter/cve/issues/1</t>
        </is>
      </c>
      <c r="P1297" s="188" t="inlineStr">
        <is>
          <t>clive_21 news_portal_project 1.0</t>
        </is>
      </c>
      <c r="Q1297" s="188" t="inlineStr">
        <is>
          <t>P3</t>
        </is>
      </c>
      <c r="R1297" s="188" t="inlineStr">
        <is>
          <t>🚨 URGENT: Apply vendor patches immediately | 🔒 Isolate affected systems if patch unavailable | 🛡️ Enable additional monitoring/IDS rules</t>
        </is>
      </c>
      <c r="S1297" s="188" t="inlineStr">
        <is>
          <t>CVE - IP enrichment n/a</t>
        </is>
      </c>
      <c r="T1297" s="188" t="n">
        <v>0</v>
      </c>
      <c r="U1297" s="188" t="n">
        <v>0</v>
      </c>
      <c r="V1297" s="188" t="inlineStr">
        <is>
          <t>T1190:Exploit Public-Facing Application</t>
        </is>
      </c>
      <c r="W1297" s="188" t="n">
        <v>1</v>
      </c>
      <c r="X1297" s="188" t="inlineStr">
        <is>
          <t>LOW (40%)</t>
        </is>
      </c>
      <c r="Y1297" s="188" t="inlineStr">
        <is>
          <t>UNLIKELY</t>
        </is>
      </c>
      <c r="Z1297" s="188" t="inlineStr">
        <is>
          <t>PATCH_AVAILABLE</t>
        </is>
      </c>
      <c r="AA1297" s="188" t="inlineStr">
        <is>
          <t>https://nvd.nist.gov/vuln/detail/CVE-2026-3134</t>
        </is>
      </c>
      <c r="AB1297" s="188" t="inlineStr">
        <is>
          <t>NONE</t>
        </is>
      </c>
      <c r="AC1297" s="188" t="n">
        <v>0</v>
      </c>
      <c r="AD1297" s="188" t="inlineStr"/>
    </row>
    <row r="1298">
      <c r="A1298" s="187" t="inlineStr">
        <is>
          <t>CVE</t>
        </is>
      </c>
      <c r="B1298" s="187" t="inlineStr">
        <is>
          <t>CVE-2025-67491</t>
        </is>
      </c>
      <c r="C1298" s="187" t="inlineStr">
        <is>
          <t xml:space="preserve">OpenEMR is a free and open source electronic health records and medical practice management application. Versions 5.0.0.5 through 7.0.3.4 have a stored cross-site scripting vulnerability in the ub04 helper of the billing interface. The variable `$data` is passed in a click event handler enclosed in single quotes without proper sanitization. Thus, despite `json_encode` a malicious user can still inject a payload such as ` ac' &gt; ` to trigger the bug. This vulnerability allows low privileged users </t>
        </is>
      </c>
      <c r="D1298" s="187" t="n">
        <v>5.4</v>
      </c>
      <c r="E1298" s="187" t="inlineStr">
        <is>
          <t>MEDIUM</t>
        </is>
      </c>
      <c r="F1298" s="187" t="n">
        <v>2</v>
      </c>
      <c r="G1298" s="187" t="n">
        <v>2</v>
      </c>
      <c r="H1298" s="187" t="inlineStr">
        <is>
          <t>MEDIUM</t>
        </is>
      </c>
      <c r="I1298" s="187" t="n">
        <v>9.4</v>
      </c>
      <c r="J1298" s="187" t="inlineStr">
        <is>
          <t>NO</t>
        </is>
      </c>
      <c r="K1298" s="187" t="inlineStr">
        <is>
          <t>https://nvd.nist.gov/vuln/detail/CVE-2025-67491</t>
        </is>
      </c>
      <c r="L1298" s="187" t="inlineStr">
        <is>
          <t>2026-02-26 00:15</t>
        </is>
      </c>
      <c r="M1298" s="187" t="inlineStr">
        <is>
          <t>YES</t>
        </is>
      </c>
      <c r="N1298" s="187" t="inlineStr">
        <is>
          <t>https://github.com/openemr/openemr/blob/a65b11d8b8e973b8758ce0dc3efb4b6ec0466d85/interface/billing/ub04_helpers.php#L52-L60 | https://github.com/openemr/openemr/commit/66a11c2d72ade16c4a908cd839d27cd7b261f97a | https://github.com/openemr/openemr/security/advisories/GHSA-5fq8-jwvw-3m5w</t>
        </is>
      </c>
      <c r="O1298" s="187" t="inlineStr">
        <is>
          <t>Apply vendor patches</t>
        </is>
      </c>
      <c r="P1298" s="187" t="inlineStr">
        <is>
          <t>open-emr openemr *</t>
        </is>
      </c>
      <c r="Q1298" s="187" t="inlineStr">
        <is>
          <t>P4</t>
        </is>
      </c>
      <c r="R1298" s="187" t="inlineStr">
        <is>
          <t>📅 Schedule patch deployment within 30 days | 🔍 Monitor for exploitation attempts</t>
        </is>
      </c>
      <c r="S1298" s="187" t="inlineStr">
        <is>
          <t>CVE - IP enrichment n/a</t>
        </is>
      </c>
      <c r="T1298" s="187" t="n">
        <v>0</v>
      </c>
      <c r="U1298" s="187" t="n">
        <v>0</v>
      </c>
      <c r="V1298" s="187" t="inlineStr">
        <is>
          <t>T1189:Drive-by Compromise | T1190:Exploit Public-Facing Application</t>
        </is>
      </c>
      <c r="W1298" s="187" t="n">
        <v>1</v>
      </c>
      <c r="X1298" s="187" t="inlineStr">
        <is>
          <t>LOW (40%)</t>
        </is>
      </c>
      <c r="Y1298" s="187" t="inlineStr">
        <is>
          <t>UNLIKELY</t>
        </is>
      </c>
      <c r="Z1298" s="187" t="inlineStr">
        <is>
          <t>PATCH_AVAILABLE</t>
        </is>
      </c>
      <c r="AA1298" s="187" t="inlineStr">
        <is>
          <t>https://nvd.nist.gov/vuln/detail/CVE-2025-67491</t>
        </is>
      </c>
      <c r="AB1298" s="187" t="inlineStr">
        <is>
          <t>NONE</t>
        </is>
      </c>
      <c r="AC1298" s="187" t="n">
        <v>0</v>
      </c>
      <c r="AD1298" s="187" t="inlineStr"/>
    </row>
    <row r="1299">
      <c r="A1299" s="187" t="inlineStr">
        <is>
          <t>CVE</t>
        </is>
      </c>
      <c r="B1299" s="187" t="inlineStr">
        <is>
          <t>CVE-2026-27598</t>
        </is>
      </c>
      <c r="C1299" s="187" t="inlineStr">
        <is>
          <t>Dagu is a workflow engine with a built-in Web user interface. In versions up to and including 1.16.7, the `CreateNewDAG` API endpoint (`POST /api/v1/dags`) does not validate the DAG name before passing it to the file store. An authenticated user with DAG write permissions can write arbitrary YAML files anywhere on the filesystem (limited by the process permissions). Since dagu executes DAG files as shell commands, writing a malicious DAG to the DAGs directory of another instance or overwriting c</t>
        </is>
      </c>
      <c r="D1299" s="187" t="n">
        <v>6.5</v>
      </c>
      <c r="E1299" s="187" t="inlineStr">
        <is>
          <t>MEDIUM</t>
        </is>
      </c>
      <c r="F1299" s="187" t="n">
        <v>2</v>
      </c>
      <c r="G1299" s="187" t="n">
        <v>2</v>
      </c>
      <c r="H1299" s="187" t="inlineStr">
        <is>
          <t>MEDIUM</t>
        </is>
      </c>
      <c r="I1299" s="187" t="n">
        <v>10.5</v>
      </c>
      <c r="J1299" s="187" t="inlineStr">
        <is>
          <t>NO</t>
        </is>
      </c>
      <c r="K1299" s="187" t="inlineStr">
        <is>
          <t>https://nvd.nist.gov/vuln/detail/CVE-2026-27598</t>
        </is>
      </c>
      <c r="L1299" s="187" t="inlineStr">
        <is>
          <t>2026-02-26 00:15</t>
        </is>
      </c>
      <c r="M1299" s="187" t="inlineStr">
        <is>
          <t>YES</t>
        </is>
      </c>
      <c r="N1299" s="187" t="inlineStr">
        <is>
          <t>https://github.com/dagu-org/dagu/commit/e2ed589105d79273e4e6ac8eb31525f765bb3ce4 | https://github.com/dagu-org/dagu/security/advisories/GHSA-6v48-fcq6-ff23</t>
        </is>
      </c>
      <c r="O1299" s="187" t="inlineStr">
        <is>
          <t>Apply vendor patches</t>
        </is>
      </c>
      <c r="P1299" s="187" t="inlineStr">
        <is>
          <t>dagu dagu *</t>
        </is>
      </c>
      <c r="Q1299" s="187" t="inlineStr">
        <is>
          <t>P4</t>
        </is>
      </c>
      <c r="R1299" s="187" t="inlineStr">
        <is>
          <t>📅 Schedule patch deployment within 30 days | 🔍 Monitor for exploitation attempts</t>
        </is>
      </c>
      <c r="S1299" s="187" t="inlineStr">
        <is>
          <t>CVE - IP enrichment n/a</t>
        </is>
      </c>
      <c r="T1299" s="187" t="n">
        <v>0</v>
      </c>
      <c r="U1299" s="187" t="n">
        <v>0</v>
      </c>
      <c r="V1299" s="187" t="inlineStr">
        <is>
          <t>T1083:File and Directory Discovery | T1190:Exploit Public-Facing Application | T1210:Exploitation of Remote Services</t>
        </is>
      </c>
      <c r="W1299" s="187" t="n">
        <v>1</v>
      </c>
      <c r="X1299" s="187" t="inlineStr">
        <is>
          <t>LOW (40%)</t>
        </is>
      </c>
      <c r="Y1299" s="187" t="inlineStr">
        <is>
          <t>UNLIKELY</t>
        </is>
      </c>
      <c r="Z1299" s="187" t="inlineStr">
        <is>
          <t>PATCH_AVAILABLE</t>
        </is>
      </c>
      <c r="AA1299" s="187" t="inlineStr">
        <is>
          <t>https://nvd.nist.gov/vuln/detail/CVE-2026-27598</t>
        </is>
      </c>
      <c r="AB1299" s="187" t="inlineStr">
        <is>
          <t>NONE</t>
        </is>
      </c>
      <c r="AC1299" s="187" t="n">
        <v>0</v>
      </c>
      <c r="AD1299" s="187" t="inlineStr"/>
    </row>
    <row r="1300">
      <c r="A1300" s="188" t="inlineStr">
        <is>
          <t>CVE</t>
        </is>
      </c>
      <c r="B1300" s="188" t="inlineStr">
        <is>
          <t>CVE-2026-3135</t>
        </is>
      </c>
      <c r="C1300" s="188" t="inlineStr">
        <is>
          <t>A weakness has been identified in itsourcecode News Portal Project 1.0. The impacted element is an unknown function of the file /admin/add-category.php. This manipulation of the argument Category causes sql injection. It is possible to initiate the attack remotely. The exploit has been made available to the public and could be used for attacks.</t>
        </is>
      </c>
      <c r="D1300" s="188" t="n">
        <v>7.3</v>
      </c>
      <c r="E1300" s="188" t="inlineStr">
        <is>
          <t>HIGH</t>
        </is>
      </c>
      <c r="F1300" s="188" t="n">
        <v>2</v>
      </c>
      <c r="G1300" s="188" t="n">
        <v>3</v>
      </c>
      <c r="H1300" s="188" t="inlineStr">
        <is>
          <t>HIGH</t>
        </is>
      </c>
      <c r="I1300" s="188" t="n">
        <v>13.3</v>
      </c>
      <c r="J1300" s="188" t="inlineStr">
        <is>
          <t>NO</t>
        </is>
      </c>
      <c r="K1300" s="188" t="inlineStr">
        <is>
          <t>https://nvd.nist.gov/vuln/detail/CVE-2026-3135</t>
        </is>
      </c>
      <c r="L1300" s="188" t="inlineStr">
        <is>
          <t>2026-02-26 00:15</t>
        </is>
      </c>
      <c r="M1300" s="188" t="inlineStr">
        <is>
          <t>YES</t>
        </is>
      </c>
      <c r="N1300" s="188" t="inlineStr">
        <is>
          <t>https://github.com/910biter/cve/issues/2</t>
        </is>
      </c>
      <c r="O1300" s="188" t="inlineStr">
        <is>
          <t>https://github.com/910biter/cve/issues/2</t>
        </is>
      </c>
      <c r="P1300" s="188" t="inlineStr">
        <is>
          <t>clive_21 news_portal_project 1.0</t>
        </is>
      </c>
      <c r="Q1300" s="188" t="inlineStr">
        <is>
          <t>P3</t>
        </is>
      </c>
      <c r="R1300" s="188" t="inlineStr">
        <is>
          <t>🚨 URGENT: Apply vendor patches immediately | 🔒 Isolate affected systems if patch unavailable | 🛡️ Enable additional monitoring/IDS rules</t>
        </is>
      </c>
      <c r="S1300" s="188" t="inlineStr">
        <is>
          <t>CVE - IP enrichment n/a</t>
        </is>
      </c>
      <c r="T1300" s="188" t="n">
        <v>0</v>
      </c>
      <c r="U1300" s="188" t="n">
        <v>0</v>
      </c>
      <c r="V1300" s="188" t="inlineStr">
        <is>
          <t>T1190:Exploit Public-Facing Application</t>
        </is>
      </c>
      <c r="W1300" s="188" t="n">
        <v>1</v>
      </c>
      <c r="X1300" s="188" t="inlineStr">
        <is>
          <t>LOW (40%)</t>
        </is>
      </c>
      <c r="Y1300" s="188" t="inlineStr">
        <is>
          <t>UNLIKELY</t>
        </is>
      </c>
      <c r="Z1300" s="188" t="inlineStr">
        <is>
          <t>PATCH_AVAILABLE</t>
        </is>
      </c>
      <c r="AA1300" s="188" t="inlineStr">
        <is>
          <t>https://nvd.nist.gov/vuln/detail/CVE-2026-3135</t>
        </is>
      </c>
      <c r="AB1300" s="188" t="inlineStr">
        <is>
          <t>NONE</t>
        </is>
      </c>
      <c r="AC1300" s="188" t="n">
        <v>0</v>
      </c>
      <c r="AD1300" s="188" t="inlineStr"/>
    </row>
    <row r="1301">
      <c r="A1301" s="187" t="inlineStr">
        <is>
          <t>CVE</t>
        </is>
      </c>
      <c r="B1301" s="187" t="inlineStr">
        <is>
          <t>CVE-2026-3137</t>
        </is>
      </c>
      <c r="C1301" s="187" t="inlineStr">
        <is>
          <t>A security vulnerability has been detected in CodeAstro Food Ordering System 1.0. This affects an unknown function of the file food_ordering.exe. Such manipulation leads to stack-based buffer overflow. The attack can only be performed from a local environment. The exploit has been disclosed publicly and may be used.</t>
        </is>
      </c>
      <c r="D1301" s="187" t="n">
        <v>5.3</v>
      </c>
      <c r="E1301" s="187" t="inlineStr">
        <is>
          <t>MEDIUM</t>
        </is>
      </c>
      <c r="F1301" s="187" t="n">
        <v>2</v>
      </c>
      <c r="G1301" s="187" t="n">
        <v>2</v>
      </c>
      <c r="H1301" s="187" t="inlineStr">
        <is>
          <t>MEDIUM</t>
        </is>
      </c>
      <c r="I1301" s="187" t="n">
        <v>9.300000000000001</v>
      </c>
      <c r="J1301" s="187" t="inlineStr">
        <is>
          <t>NO</t>
        </is>
      </c>
      <c r="K1301" s="187" t="inlineStr">
        <is>
          <t>https://nvd.nist.gov/vuln/detail/CVE-2026-3137</t>
        </is>
      </c>
      <c r="L1301" s="187" t="inlineStr">
        <is>
          <t>2026-02-26 00:15</t>
        </is>
      </c>
      <c r="M1301" s="187" t="inlineStr">
        <is>
          <t>CHECK_VENDOR</t>
        </is>
      </c>
      <c r="N1301" s="187" t="inlineStr">
        <is>
          <t>See NVD references</t>
        </is>
      </c>
      <c r="O1301" s="187" t="inlineStr">
        <is>
          <t>Apply vendor patches</t>
        </is>
      </c>
      <c r="P1301" s="187" t="inlineStr">
        <is>
          <t>codeastro food_ordering_system 1.0</t>
        </is>
      </c>
      <c r="Q1301" s="187" t="inlineStr">
        <is>
          <t>P4</t>
        </is>
      </c>
      <c r="R1301" s="187" t="inlineStr">
        <is>
          <t>📅 Schedule patch deployment within 30 days | 🔍 Monitor for exploitation attempts</t>
        </is>
      </c>
      <c r="S1301" s="187" t="inlineStr">
        <is>
          <t>CVE - IP enrichment n/a</t>
        </is>
      </c>
      <c r="T1301" s="187" t="n">
        <v>0</v>
      </c>
      <c r="U1301" s="187" t="n">
        <v>0</v>
      </c>
      <c r="V1301" s="187" t="inlineStr">
        <is>
          <t>T1203:Exploitation for Client Execution</t>
        </is>
      </c>
      <c r="W1301" s="187" t="n">
        <v>1</v>
      </c>
      <c r="X1301" s="187" t="inlineStr">
        <is>
          <t>LOW (40%)</t>
        </is>
      </c>
      <c r="Y1301" s="187" t="inlineStr">
        <is>
          <t>UNLIKELY</t>
        </is>
      </c>
      <c r="Z1301" s="187" t="inlineStr">
        <is>
          <t>CHECK_VENDOR</t>
        </is>
      </c>
      <c r="AA1301" s="187" t="inlineStr">
        <is>
          <t>https://nvd.nist.gov/vuln/detail/CVE-2026-3137</t>
        </is>
      </c>
      <c r="AB1301" s="187" t="inlineStr">
        <is>
          <t>NONE</t>
        </is>
      </c>
      <c r="AC1301" s="187" t="n">
        <v>0</v>
      </c>
      <c r="AD1301" s="187" t="inlineStr"/>
    </row>
    <row r="1302">
      <c r="A1302" s="188" t="inlineStr">
        <is>
          <t>CVE</t>
        </is>
      </c>
      <c r="B1302" s="188" t="inlineStr">
        <is>
          <t>CVE-2025-67752</t>
        </is>
      </c>
      <c r="C1302" s="188" t="inlineStr">
        <is>
          <t>OpenEMR is a free and open source electronic health records and medical practice management application. Prior to version 7.0.4, OpenEMR's HTTP client wrapper (`oeHttp`/`oeHttpRequest`) disables SSL/TLS certificate verification by default (`verify: false`), making all external HTTPS connections vulnerable to man-in-the-middle (MITM) attacks. This affects communication with government healthcare APIs and user-configurable external services, potentially exposing Protected Health Information (PHI).</t>
        </is>
      </c>
      <c r="D1302" s="188" t="n">
        <v>8.1</v>
      </c>
      <c r="E1302" s="188" t="inlineStr">
        <is>
          <t>HIGH</t>
        </is>
      </c>
      <c r="F1302" s="188" t="n">
        <v>2</v>
      </c>
      <c r="G1302" s="188" t="n">
        <v>3</v>
      </c>
      <c r="H1302" s="188" t="inlineStr">
        <is>
          <t>HIGH</t>
        </is>
      </c>
      <c r="I1302" s="188" t="n">
        <v>14.1</v>
      </c>
      <c r="J1302" s="188" t="inlineStr">
        <is>
          <t>NO</t>
        </is>
      </c>
      <c r="K1302" s="188" t="inlineStr">
        <is>
          <t>https://nvd.nist.gov/vuln/detail/CVE-2025-67752</t>
        </is>
      </c>
      <c r="L1302" s="188" t="inlineStr">
        <is>
          <t>2026-02-26 00:15</t>
        </is>
      </c>
      <c r="M1302" s="188" t="inlineStr">
        <is>
          <t>YES</t>
        </is>
      </c>
      <c r="N1302" s="188" t="inlineStr">
        <is>
          <t>https://github.com/openemr/openemr/commit/22f8e53e5769a88b7a16cb223bd197d044c84e5a | https://github.com/openemr/openemr/security/advisories/GHSA-2g6h-725p-pqhp</t>
        </is>
      </c>
      <c r="O1302" s="188" t="inlineStr">
        <is>
          <t>Apply vendor patches</t>
        </is>
      </c>
      <c r="P1302" s="188" t="inlineStr">
        <is>
          <t>open-emr openemr *</t>
        </is>
      </c>
      <c r="Q1302" s="188" t="inlineStr">
        <is>
          <t>P3</t>
        </is>
      </c>
      <c r="R1302" s="188" t="inlineStr">
        <is>
          <t>🚨 URGENT: Apply vendor patches immediately | 🔒 Isolate affected systems if patch unavailable | 🛡️ Enable additional monitoring/IDS rules</t>
        </is>
      </c>
      <c r="S1302" s="188" t="inlineStr">
        <is>
          <t>CVE - IP enrichment n/a</t>
        </is>
      </c>
      <c r="T1302" s="188" t="n">
        <v>0</v>
      </c>
      <c r="U1302" s="188" t="n">
        <v>0</v>
      </c>
      <c r="V1302" s="188" t="inlineStr">
        <is>
          <t>T1190:Exploit Public-Facing Application | T1557:Adversary-in-the-Middle</t>
        </is>
      </c>
      <c r="W1302" s="188" t="n">
        <v>1</v>
      </c>
      <c r="X1302" s="188" t="inlineStr">
        <is>
          <t>LOW (40%)</t>
        </is>
      </c>
      <c r="Y1302" s="188" t="inlineStr">
        <is>
          <t>UNLIKELY</t>
        </is>
      </c>
      <c r="Z1302" s="188" t="inlineStr">
        <is>
          <t>PATCH_AVAILABLE</t>
        </is>
      </c>
      <c r="AA1302" s="188" t="inlineStr">
        <is>
          <t>https://nvd.nist.gov/vuln/detail/CVE-2025-67752</t>
        </is>
      </c>
      <c r="AB1302" s="188" t="inlineStr">
        <is>
          <t>NONE</t>
        </is>
      </c>
      <c r="AC1302" s="188" t="n">
        <v>0</v>
      </c>
      <c r="AD1302" s="188" t="inlineStr"/>
    </row>
    <row r="1303">
      <c r="A1303" s="187" t="inlineStr">
        <is>
          <t>CVE</t>
        </is>
      </c>
      <c r="B1303" s="187" t="inlineStr">
        <is>
          <t>CVE-2025-68277</t>
        </is>
      </c>
      <c r="C1303" s="187" t="inlineStr">
        <is>
          <t>OpenEMR is a free and open source electronic health records and medical practice management application. Prior to version 7.0.4, when a link is sent via Secure Messaging, clicking the link opens the website within the OpenEMR/Portal site. This behavior could be exploited for phishing. Version 7.0.4 patches the issue.</t>
        </is>
      </c>
      <c r="D1303" s="187" t="n">
        <v>5</v>
      </c>
      <c r="E1303" s="187" t="inlineStr">
        <is>
          <t>MEDIUM</t>
        </is>
      </c>
      <c r="F1303" s="187" t="n">
        <v>2</v>
      </c>
      <c r="G1303" s="187" t="n">
        <v>2</v>
      </c>
      <c r="H1303" s="187" t="inlineStr">
        <is>
          <t>MEDIUM</t>
        </is>
      </c>
      <c r="I1303" s="187" t="n">
        <v>9</v>
      </c>
      <c r="J1303" s="187" t="inlineStr">
        <is>
          <t>NO</t>
        </is>
      </c>
      <c r="K1303" s="187" t="inlineStr">
        <is>
          <t>https://nvd.nist.gov/vuln/detail/CVE-2025-68277</t>
        </is>
      </c>
      <c r="L1303" s="187" t="inlineStr">
        <is>
          <t>2026-02-26 00:15</t>
        </is>
      </c>
      <c r="M1303" s="187" t="inlineStr">
        <is>
          <t>YES</t>
        </is>
      </c>
      <c r="N1303" s="187" t="inlineStr">
        <is>
          <t>https://github.com/openemr/openemr/commit/11ec62d1683571a629734fba66f7fb68d0bdc312 | https://github.com/openemr/openemr/security/advisories/GHSA-566c-8c52-2jch</t>
        </is>
      </c>
      <c r="O1303" s="187" t="inlineStr">
        <is>
          <t>Apply vendor patches</t>
        </is>
      </c>
      <c r="P1303" s="187" t="inlineStr">
        <is>
          <t>open-emr openemr *</t>
        </is>
      </c>
      <c r="Q1303" s="187" t="inlineStr">
        <is>
          <t>P4</t>
        </is>
      </c>
      <c r="R1303" s="187" t="inlineStr">
        <is>
          <t>📅 Schedule patch deployment within 30 days | 🔍 Monitor for exploitation attempts</t>
        </is>
      </c>
      <c r="S1303" s="187" t="inlineStr">
        <is>
          <t>CVE - IP enrichment n/a</t>
        </is>
      </c>
      <c r="T1303" s="187" t="n">
        <v>0</v>
      </c>
      <c r="U1303" s="187" t="n">
        <v>0</v>
      </c>
      <c r="V1303" s="187" t="inlineStr">
        <is>
          <t>T1190:Exploit Public-Facing Application | T1566:Phishing</t>
        </is>
      </c>
      <c r="W1303" s="187" t="n">
        <v>1</v>
      </c>
      <c r="X1303" s="187" t="inlineStr">
        <is>
          <t>LOW (40%)</t>
        </is>
      </c>
      <c r="Y1303" s="187" t="inlineStr">
        <is>
          <t>UNLIKELY</t>
        </is>
      </c>
      <c r="Z1303" s="187" t="inlineStr">
        <is>
          <t>PATCH_AVAILABLE</t>
        </is>
      </c>
      <c r="AA1303" s="187" t="inlineStr">
        <is>
          <t>https://nvd.nist.gov/vuln/detail/CVE-2025-68277</t>
        </is>
      </c>
      <c r="AB1303" s="187" t="inlineStr">
        <is>
          <t>NONE</t>
        </is>
      </c>
      <c r="AC1303" s="187" t="n">
        <v>0</v>
      </c>
      <c r="AD1303" s="187" t="inlineStr"/>
    </row>
    <row r="1304">
      <c r="A1304" s="188" t="inlineStr">
        <is>
          <t>CVE</t>
        </is>
      </c>
      <c r="B1304" s="188" t="inlineStr">
        <is>
          <t>CVE-2025-69231</t>
        </is>
      </c>
      <c r="C1304" s="188" t="inlineStr">
        <is>
          <t>OpenEMR is a free and open source electronic health records and medical practice management application. Prior to version 8.0.0, a stored cross-site scripting vulnerability in the GAD-7 anxiety assessment form allows authenticated users with clinician privileges to inject malicious JavaScript that executes when other users view the form. This enables session hijacking, account takeover, and privilege escalation from clinician to administrator. Version 8.0.0 fixes the issue.</t>
        </is>
      </c>
      <c r="D1304" s="188" t="n">
        <v>8.699999999999999</v>
      </c>
      <c r="E1304" s="188" t="inlineStr">
        <is>
          <t>HIGH</t>
        </is>
      </c>
      <c r="F1304" s="188" t="n">
        <v>2</v>
      </c>
      <c r="G1304" s="188" t="n">
        <v>3</v>
      </c>
      <c r="H1304" s="188" t="inlineStr">
        <is>
          <t>HIGH</t>
        </is>
      </c>
      <c r="I1304" s="188" t="n">
        <v>14.7</v>
      </c>
      <c r="J1304" s="188" t="inlineStr">
        <is>
          <t>NO</t>
        </is>
      </c>
      <c r="K1304" s="188" t="inlineStr">
        <is>
          <t>https://nvd.nist.gov/vuln/detail/CVE-2025-69231</t>
        </is>
      </c>
      <c r="L1304" s="188" t="inlineStr">
        <is>
          <t>2026-02-26 00:15</t>
        </is>
      </c>
      <c r="M1304" s="188" t="inlineStr">
        <is>
          <t>YES</t>
        </is>
      </c>
      <c r="N1304" s="188" t="inlineStr">
        <is>
          <t>https://github.com/openemr/openemr/commit/5f20b756441fc9868f43410a9ef97536c38b2ba6 | https://github.com/openemr/openemr/security/advisories/GHSA-mf62-q2xc-hxm3</t>
        </is>
      </c>
      <c r="O1304" s="188" t="inlineStr">
        <is>
          <t>Apply vendor patches</t>
        </is>
      </c>
      <c r="P1304" s="188" t="inlineStr">
        <is>
          <t>open-emr openemr *</t>
        </is>
      </c>
      <c r="Q1304" s="188" t="inlineStr">
        <is>
          <t>P3</t>
        </is>
      </c>
      <c r="R1304" s="188" t="inlineStr">
        <is>
          <t>🚨 URGENT: Apply vendor patches immediately | 🔒 Isolate affected systems if patch unavailable | 🛡️ Enable additional monitoring/IDS rules</t>
        </is>
      </c>
      <c r="S1304" s="188" t="inlineStr">
        <is>
          <t>CVE - IP enrichment n/a</t>
        </is>
      </c>
      <c r="T1304" s="188" t="n">
        <v>0</v>
      </c>
      <c r="U1304" s="188" t="n">
        <v>0</v>
      </c>
      <c r="V1304" s="188" t="inlineStr">
        <is>
          <t>T1189:Drive-by Compromise | T1190:Exploit Public-Facing Application | T1068:Exploitation for Privilege Escalation</t>
        </is>
      </c>
      <c r="W1304" s="188" t="n">
        <v>1</v>
      </c>
      <c r="X1304" s="188" t="inlineStr">
        <is>
          <t>LOW (40%)</t>
        </is>
      </c>
      <c r="Y1304" s="188" t="inlineStr">
        <is>
          <t>UNLIKELY</t>
        </is>
      </c>
      <c r="Z1304" s="188" t="inlineStr">
        <is>
          <t>PATCH_AVAILABLE</t>
        </is>
      </c>
      <c r="AA1304" s="188" t="inlineStr">
        <is>
          <t>https://nvd.nist.gov/vuln/detail/CVE-2025-69231</t>
        </is>
      </c>
      <c r="AB1304" s="188" t="inlineStr">
        <is>
          <t>NONE</t>
        </is>
      </c>
      <c r="AC1304" s="188" t="n">
        <v>0</v>
      </c>
      <c r="AD1304" s="188" t="inlineStr"/>
    </row>
    <row r="1305">
      <c r="A1305" s="188" t="inlineStr">
        <is>
          <t>CVE</t>
        </is>
      </c>
      <c r="B1305" s="188" t="inlineStr">
        <is>
          <t>CVE-2026-21443</t>
        </is>
      </c>
      <c r="C1305" s="188" t="inlineStr">
        <is>
          <t>OpenEMR is a free and open source electronic health records and medical practice management application. Prior to version 8.0.0, the `xl()` translation function returns unescaped strings. While wrapper functions exist for escaping in different contexts (`xlt()` for HTML, `xla()` for attributes, `xlj()` for JavaScript), there are places in the codebase where `xl()` output is used directly without escaping. If an attacker could insert malicious content into the translation database, these unescape</t>
        </is>
      </c>
      <c r="D1305" s="188" t="n">
        <v>8.5</v>
      </c>
      <c r="E1305" s="188" t="inlineStr">
        <is>
          <t>HIGH</t>
        </is>
      </c>
      <c r="F1305" s="188" t="n">
        <v>2</v>
      </c>
      <c r="G1305" s="188" t="n">
        <v>3</v>
      </c>
      <c r="H1305" s="188" t="inlineStr">
        <is>
          <t>HIGH</t>
        </is>
      </c>
      <c r="I1305" s="188" t="n">
        <v>14.5</v>
      </c>
      <c r="J1305" s="188" t="inlineStr">
        <is>
          <t>NO</t>
        </is>
      </c>
      <c r="K1305" s="188" t="inlineStr">
        <is>
          <t>https://nvd.nist.gov/vuln/detail/CVE-2026-21443</t>
        </is>
      </c>
      <c r="L1305" s="188" t="inlineStr">
        <is>
          <t>2026-02-26 00:15</t>
        </is>
      </c>
      <c r="M1305" s="188" t="inlineStr">
        <is>
          <t>CHECK_VENDOR</t>
        </is>
      </c>
      <c r="N1305" s="188" t="inlineStr">
        <is>
          <t>See NVD references</t>
        </is>
      </c>
      <c r="O1305" s="188" t="inlineStr">
        <is>
          <t>Apply vendor patches</t>
        </is>
      </c>
      <c r="P1305" s="188" t="inlineStr">
        <is>
          <t>See CVE details</t>
        </is>
      </c>
      <c r="Q1305" s="188" t="inlineStr">
        <is>
          <t>P3</t>
        </is>
      </c>
      <c r="R1305" s="188" t="inlineStr">
        <is>
          <t>🚨 URGENT: Apply vendor patches immediately | 🔒 Isolate affected systems if patch unavailable | 🛡️ Enable additional monitoring/IDS rules</t>
        </is>
      </c>
      <c r="S1305" s="188" t="inlineStr">
        <is>
          <t>CVE - IP enrichment n/a</t>
        </is>
      </c>
      <c r="T1305" s="188" t="n">
        <v>0.0004</v>
      </c>
      <c r="U1305" s="188" t="n">
        <v>0.1262</v>
      </c>
      <c r="V1305" s="188" t="inlineStr">
        <is>
          <t>T1190:Exploit Public-Facing Application | T1189:Drive-by Compromise</t>
        </is>
      </c>
      <c r="W1305" s="188" t="n">
        <v>1</v>
      </c>
      <c r="X1305" s="188" t="inlineStr">
        <is>
          <t>LOW (40%)</t>
        </is>
      </c>
      <c r="Y1305" s="188" t="inlineStr">
        <is>
          <t>UNLIKELY</t>
        </is>
      </c>
      <c r="Z1305" s="188" t="inlineStr">
        <is>
          <t>CHECK_VENDOR</t>
        </is>
      </c>
      <c r="AA1305" s="188" t="inlineStr">
        <is>
          <t>https://nvd.nist.gov/vuln/detail/CVE-2026-21443</t>
        </is>
      </c>
      <c r="AB1305" s="188" t="inlineStr">
        <is>
          <t>NONE</t>
        </is>
      </c>
      <c r="AC1305" s="188" t="n">
        <v>0</v>
      </c>
      <c r="AD1305" s="188" t="inlineStr"/>
    </row>
    <row r="1306">
      <c r="A1306" s="187" t="inlineStr">
        <is>
          <t>CVE</t>
        </is>
      </c>
      <c r="B1306" s="187" t="inlineStr">
        <is>
          <t>CVE-2026-24847</t>
        </is>
      </c>
      <c r="C1306" s="187" t="inlineStr">
        <is>
          <t>OpenEMR is a free and open source electronic health records and medical practice management application. Prior to version 8.0.0, the Eye Exam form module allows any authenticated user to be redirected to an arbitrary external URL. This can be exploited for phishing attacks against healthcare providers using OpenEMR. Version 8.0.0 fixes the issue.</t>
        </is>
      </c>
      <c r="D1306" s="187" t="n">
        <v>6.1</v>
      </c>
      <c r="E1306" s="187" t="inlineStr">
        <is>
          <t>MEDIUM</t>
        </is>
      </c>
      <c r="F1306" s="187" t="n">
        <v>2</v>
      </c>
      <c r="G1306" s="187" t="n">
        <v>2</v>
      </c>
      <c r="H1306" s="187" t="inlineStr">
        <is>
          <t>MEDIUM</t>
        </is>
      </c>
      <c r="I1306" s="187" t="n">
        <v>10.1</v>
      </c>
      <c r="J1306" s="187" t="inlineStr">
        <is>
          <t>NO</t>
        </is>
      </c>
      <c r="K1306" s="187" t="inlineStr">
        <is>
          <t>https://nvd.nist.gov/vuln/detail/CVE-2026-24847</t>
        </is>
      </c>
      <c r="L1306" s="187" t="inlineStr">
        <is>
          <t>2026-02-26 00:15</t>
        </is>
      </c>
      <c r="M1306" s="187" t="inlineStr">
        <is>
          <t>CHECK_VENDOR</t>
        </is>
      </c>
      <c r="N1306" s="187" t="inlineStr">
        <is>
          <t>See NVD references</t>
        </is>
      </c>
      <c r="O1306" s="187" t="inlineStr">
        <is>
          <t>Apply vendor patches</t>
        </is>
      </c>
      <c r="P1306" s="187" t="inlineStr">
        <is>
          <t>See CVE details</t>
        </is>
      </c>
      <c r="Q1306" s="187" t="inlineStr">
        <is>
          <t>P4</t>
        </is>
      </c>
      <c r="R1306" s="187" t="inlineStr">
        <is>
          <t>📅 Schedule patch deployment within 30 days | 🔍 Monitor for exploitation attempts</t>
        </is>
      </c>
      <c r="S1306" s="187" t="inlineStr">
        <is>
          <t>CVE - IP enrichment n/a</t>
        </is>
      </c>
      <c r="T1306" s="187" t="n">
        <v>0.0003</v>
      </c>
      <c r="U1306" s="187" t="n">
        <v>0.0723</v>
      </c>
      <c r="V1306" s="187" t="inlineStr">
        <is>
          <t>T1189:Drive-by Compromise | T1190:Exploit Public-Facing Application | T1566:Phishing</t>
        </is>
      </c>
      <c r="W1306" s="187" t="n">
        <v>1</v>
      </c>
      <c r="X1306" s="187" t="inlineStr">
        <is>
          <t>LOW (40%)</t>
        </is>
      </c>
      <c r="Y1306" s="187" t="inlineStr">
        <is>
          <t>UNLIKELY</t>
        </is>
      </c>
      <c r="Z1306" s="187" t="inlineStr">
        <is>
          <t>CHECK_VENDOR</t>
        </is>
      </c>
      <c r="AA1306" s="187" t="inlineStr">
        <is>
          <t>https://nvd.nist.gov/vuln/detail/CVE-2026-24847</t>
        </is>
      </c>
      <c r="AB1306" s="187" t="inlineStr">
        <is>
          <t>NONE</t>
        </is>
      </c>
      <c r="AC1306" s="187" t="n">
        <v>0</v>
      </c>
      <c r="AD1306" s="187" t="inlineStr"/>
    </row>
    <row r="1307">
      <c r="A1307" s="189" t="inlineStr">
        <is>
          <t>CVE</t>
        </is>
      </c>
      <c r="B1307" s="189" t="inlineStr">
        <is>
          <t>CVE-2026-24849</t>
        </is>
      </c>
      <c r="C1307" s="189" t="inlineStr">
        <is>
          <t>OpenEMR is a free and open source electronic health records and medical practice management application. Prior to version 7.0.4, the `disposeDocument()` method in `EtherFaxActions.php` allows authenticated users to read arbitrary files from the server filesystem. Any authenticated user (regardless of privilege level) can exploit this vulnerability to read sensitive files. Version 7.0.4 patches the issue.</t>
        </is>
      </c>
      <c r="D1307" s="189" t="n">
        <v>9.9</v>
      </c>
      <c r="E1307" s="189" t="inlineStr">
        <is>
          <t>CRITICAL</t>
        </is>
      </c>
      <c r="F1307" s="189" t="n">
        <v>2</v>
      </c>
      <c r="G1307" s="189" t="n">
        <v>3</v>
      </c>
      <c r="H1307" s="189" t="inlineStr">
        <is>
          <t>HIGH</t>
        </is>
      </c>
      <c r="I1307" s="189" t="n">
        <v>15.9</v>
      </c>
      <c r="J1307" s="189" t="inlineStr">
        <is>
          <t>NO</t>
        </is>
      </c>
      <c r="K1307" s="189" t="inlineStr">
        <is>
          <t>https://nvd.nist.gov/vuln/detail/CVE-2026-24849</t>
        </is>
      </c>
      <c r="L1307" s="189" t="inlineStr">
        <is>
          <t>2026-02-26 00:15</t>
        </is>
      </c>
      <c r="M1307" s="189" t="inlineStr">
        <is>
          <t>YES</t>
        </is>
      </c>
      <c r="N1307" s="189" t="inlineStr">
        <is>
          <t>https://github.com/openemr/openemr/commit/22f8e53e5769a88b7a16cb223bd197d044c84e5a | https://github.com/openemr/openemr/security/advisories/GHSA-w6vc-hx2x-48pc</t>
        </is>
      </c>
      <c r="O1307" s="189" t="inlineStr">
        <is>
          <t>https://github.com/openemr/openemr/security/advisories/GHSA-w6vc-hx2x-48pc</t>
        </is>
      </c>
      <c r="P1307" s="189" t="inlineStr">
        <is>
          <t>open-emr openemr *</t>
        </is>
      </c>
      <c r="Q1307" s="189" t="inlineStr">
        <is>
          <t>P3</t>
        </is>
      </c>
      <c r="R1307" s="189" t="inlineStr">
        <is>
          <t>🚨 URGENT: Apply vendor patches immediately | 🔒 Isolate affected systems if patch unavailable | 🛡️ Enable additional monitoring/IDS rules</t>
        </is>
      </c>
      <c r="S1307" s="189" t="inlineStr">
        <is>
          <t>CVE - IP enrichment n/a</t>
        </is>
      </c>
      <c r="T1307" s="189" t="n">
        <v>0</v>
      </c>
      <c r="U1307" s="189" t="n">
        <v>0</v>
      </c>
      <c r="V1307" s="189" t="inlineStr">
        <is>
          <t>T1083:File and Directory Discovery | T1190:Exploit Public-Facing Application</t>
        </is>
      </c>
      <c r="W1307" s="189" t="n">
        <v>1</v>
      </c>
      <c r="X1307" s="189" t="inlineStr">
        <is>
          <t>LOW (40%)</t>
        </is>
      </c>
      <c r="Y1307" s="189" t="inlineStr">
        <is>
          <t>UNLIKELY</t>
        </is>
      </c>
      <c r="Z1307" s="189" t="inlineStr">
        <is>
          <t>PATCH_AVAILABLE</t>
        </is>
      </c>
      <c r="AA1307" s="189" t="inlineStr">
        <is>
          <t>https://nvd.nist.gov/vuln/detail/CVE-2026-24849</t>
        </is>
      </c>
      <c r="AB1307" s="189" t="inlineStr">
        <is>
          <t>NONE</t>
        </is>
      </c>
      <c r="AC1307" s="189" t="n">
        <v>0</v>
      </c>
      <c r="AD1307" s="189" t="inlineStr"/>
    </row>
    <row r="1308">
      <c r="A1308" s="187" t="inlineStr">
        <is>
          <t>CVE</t>
        </is>
      </c>
      <c r="B1308" s="187" t="inlineStr">
        <is>
          <t>CVE-2026-24896</t>
        </is>
      </c>
      <c r="C1308" s="187" t="inlineStr">
        <is>
          <t xml:space="preserve">OpenEMR is a free and open source electronic health records and medical practice management application. Prior to version 8.0.0, a Broken Access Control vulnerability exists in OpenEMR’s edih_main.php endpoint, which allows any authenticated user—including low-privilege roles like Receptionist—to access EDI log files by manipulating the log_select parameter in a GET request. The back-end fails to enforce role-based access control (RBAC), allowing sensitive system logs to be accessed outside the </t>
        </is>
      </c>
      <c r="D1308" s="187" t="n">
        <v>6.5</v>
      </c>
      <c r="E1308" s="187" t="inlineStr">
        <is>
          <t>MEDIUM</t>
        </is>
      </c>
      <c r="F1308" s="187" t="n">
        <v>2</v>
      </c>
      <c r="G1308" s="187" t="n">
        <v>2</v>
      </c>
      <c r="H1308" s="187" t="inlineStr">
        <is>
          <t>MEDIUM</t>
        </is>
      </c>
      <c r="I1308" s="187" t="n">
        <v>10.5</v>
      </c>
      <c r="J1308" s="187" t="inlineStr">
        <is>
          <t>NO</t>
        </is>
      </c>
      <c r="K1308" s="187" t="inlineStr">
        <is>
          <t>https://nvd.nist.gov/vuln/detail/CVE-2026-24896</t>
        </is>
      </c>
      <c r="L1308" s="187" t="inlineStr">
        <is>
          <t>2026-02-26 00:15</t>
        </is>
      </c>
      <c r="M1308" s="187" t="inlineStr">
        <is>
          <t>YES</t>
        </is>
      </c>
      <c r="N1308" s="187" t="inlineStr">
        <is>
          <t>https://github.com/openemr/openemr/commit/1a57dfc244b30e96e7ebdb5ba6f331a6eb868df1 | https://github.com/openemr/openemr/security/advisories/GHSA-rccq-vjfg-ggjh</t>
        </is>
      </c>
      <c r="O1308" s="187" t="inlineStr">
        <is>
          <t>Apply vendor patches</t>
        </is>
      </c>
      <c r="P1308" s="187" t="inlineStr">
        <is>
          <t>open-emr openemr *</t>
        </is>
      </c>
      <c r="Q1308" s="187" t="inlineStr">
        <is>
          <t>P4</t>
        </is>
      </c>
      <c r="R1308" s="187" t="inlineStr">
        <is>
          <t>📅 Schedule patch deployment within 30 days | 🔍 Monitor for exploitation attempts</t>
        </is>
      </c>
      <c r="S1308" s="187" t="inlineStr">
        <is>
          <t>CVE - IP enrichment n/a</t>
        </is>
      </c>
      <c r="T1308" s="187" t="n">
        <v>0</v>
      </c>
      <c r="U1308" s="187" t="n">
        <v>0</v>
      </c>
      <c r="V1308" s="187" t="inlineStr">
        <is>
          <t>T1190:Exploit Public-Facing Application</t>
        </is>
      </c>
      <c r="W1308" s="187" t="n">
        <v>1</v>
      </c>
      <c r="X1308" s="187" t="inlineStr">
        <is>
          <t>LOW (40%)</t>
        </is>
      </c>
      <c r="Y1308" s="187" t="inlineStr">
        <is>
          <t>UNLIKELY</t>
        </is>
      </c>
      <c r="Z1308" s="187" t="inlineStr">
        <is>
          <t>PATCH_AVAILABLE</t>
        </is>
      </c>
      <c r="AA1308" s="187" t="inlineStr">
        <is>
          <t>https://nvd.nist.gov/vuln/detail/CVE-2026-24896</t>
        </is>
      </c>
      <c r="AB1308" s="187" t="inlineStr">
        <is>
          <t>NONE</t>
        </is>
      </c>
      <c r="AC1308" s="187" t="n">
        <v>0</v>
      </c>
      <c r="AD1308" s="187" t="inlineStr"/>
    </row>
    <row r="1309">
      <c r="A1309" s="187" t="inlineStr">
        <is>
          <t>CVE</t>
        </is>
      </c>
      <c r="B1309" s="187" t="inlineStr">
        <is>
          <t>CVE-2026-25124</t>
        </is>
      </c>
      <c r="C1309" s="187" t="inlineStr">
        <is>
          <t>OpenEMR is a free and open source electronic health records and medical practice management application. Prior to version 8.0.0, the OpenEMR application is vulnerable to an access control flaw that allows low-privileged users, such as receptionists, to export the entire message list containing sensitive patient and user data. The vulnerability lies in the message_list.php report export functionality, where there is no permission check before executing sensitive database queries. The only control</t>
        </is>
      </c>
      <c r="D1309" s="187" t="n">
        <v>6.5</v>
      </c>
      <c r="E1309" s="187" t="inlineStr">
        <is>
          <t>MEDIUM</t>
        </is>
      </c>
      <c r="F1309" s="187" t="n">
        <v>2</v>
      </c>
      <c r="G1309" s="187" t="n">
        <v>2</v>
      </c>
      <c r="H1309" s="187" t="inlineStr">
        <is>
          <t>MEDIUM</t>
        </is>
      </c>
      <c r="I1309" s="187" t="n">
        <v>10.5</v>
      </c>
      <c r="J1309" s="187" t="inlineStr">
        <is>
          <t>NO</t>
        </is>
      </c>
      <c r="K1309" s="187" t="inlineStr">
        <is>
          <t>https://nvd.nist.gov/vuln/detail/CVE-2026-25124</t>
        </is>
      </c>
      <c r="L1309" s="187" t="inlineStr">
        <is>
          <t>2026-02-26 00:15</t>
        </is>
      </c>
      <c r="M1309" s="187" t="inlineStr">
        <is>
          <t>YES</t>
        </is>
      </c>
      <c r="N1309" s="187" t="inlineStr">
        <is>
          <t>https://github.com/openemr/openemr/commit/ad902d6892482fff2e3c56bfb15597df8b6c3beb | https://github.com/openemr/openemr/security/advisories/GHSA-q7p5-rrwj-qmp2</t>
        </is>
      </c>
      <c r="O1309" s="187" t="inlineStr">
        <is>
          <t>https://github.com/openemr/openemr/security/advisories/GHSA-q7p5-rrwj-qmp2</t>
        </is>
      </c>
      <c r="P1309" s="187" t="inlineStr">
        <is>
          <t>open-emr openemr *</t>
        </is>
      </c>
      <c r="Q1309" s="187" t="inlineStr">
        <is>
          <t>P4</t>
        </is>
      </c>
      <c r="R1309" s="187" t="inlineStr">
        <is>
          <t>📅 Schedule patch deployment within 30 days | 🔍 Monitor for exploitation attempts</t>
        </is>
      </c>
      <c r="S1309" s="187" t="inlineStr">
        <is>
          <t>CVE - IP enrichment n/a</t>
        </is>
      </c>
      <c r="T1309" s="187" t="n">
        <v>0</v>
      </c>
      <c r="U1309" s="187" t="n">
        <v>0</v>
      </c>
      <c r="V1309" s="187" t="inlineStr">
        <is>
          <t>T1190:Exploit Public-Facing Application</t>
        </is>
      </c>
      <c r="W1309" s="187" t="n">
        <v>1</v>
      </c>
      <c r="X1309" s="187" t="inlineStr">
        <is>
          <t>LOW (40%)</t>
        </is>
      </c>
      <c r="Y1309" s="187" t="inlineStr">
        <is>
          <t>UNLIKELY</t>
        </is>
      </c>
      <c r="Z1309" s="187" t="inlineStr">
        <is>
          <t>PATCH_AVAILABLE</t>
        </is>
      </c>
      <c r="AA1309" s="187" t="inlineStr">
        <is>
          <t>https://nvd.nist.gov/vuln/detail/CVE-2026-25124</t>
        </is>
      </c>
      <c r="AB1309" s="187" t="inlineStr">
        <is>
          <t>NONE</t>
        </is>
      </c>
      <c r="AC1309" s="187" t="n">
        <v>0</v>
      </c>
      <c r="AD1309" s="187" t="inlineStr"/>
    </row>
    <row r="1310">
      <c r="A1310" s="187" t="inlineStr">
        <is>
          <t>CVE</t>
        </is>
      </c>
      <c r="B1310" s="187" t="inlineStr">
        <is>
          <t>CVE-2026-25127</t>
        </is>
      </c>
      <c r="C1310" s="187" t="inlineStr">
        <is>
          <t>OpenEMR is a free and open source electronic health records and medical practice management application. Prior to version 8.0.0, the server does not properly validate user permission. Unauthorized users can view the information of authorized users. Version 8.0.0 fixes the issue.</t>
        </is>
      </c>
      <c r="D1310" s="187" t="n">
        <v>6.5</v>
      </c>
      <c r="E1310" s="187" t="inlineStr">
        <is>
          <t>MEDIUM</t>
        </is>
      </c>
      <c r="F1310" s="187" t="n">
        <v>2</v>
      </c>
      <c r="G1310" s="187" t="n">
        <v>2</v>
      </c>
      <c r="H1310" s="187" t="inlineStr">
        <is>
          <t>MEDIUM</t>
        </is>
      </c>
      <c r="I1310" s="187" t="n">
        <v>10.5</v>
      </c>
      <c r="J1310" s="187" t="inlineStr">
        <is>
          <t>NO</t>
        </is>
      </c>
      <c r="K1310" s="187" t="inlineStr">
        <is>
          <t>https://nvd.nist.gov/vuln/detail/CVE-2026-25127</t>
        </is>
      </c>
      <c r="L1310" s="187" t="inlineStr">
        <is>
          <t>2026-02-26 00:15</t>
        </is>
      </c>
      <c r="M1310" s="187" t="inlineStr">
        <is>
          <t>YES</t>
        </is>
      </c>
      <c r="N1310" s="187" t="inlineStr">
        <is>
          <t>https://github.com/openemr/openemr/commit/ad902d6892482fff2e3c56bfb15597df8b6c3beb | https://github.com/openemr/openemr/security/advisories/GHSA-69cv-rv28-4g85</t>
        </is>
      </c>
      <c r="O1310" s="187" t="inlineStr">
        <is>
          <t>Apply vendor patches</t>
        </is>
      </c>
      <c r="P1310" s="187" t="inlineStr">
        <is>
          <t>open-emr openemr *</t>
        </is>
      </c>
      <c r="Q1310" s="187" t="inlineStr">
        <is>
          <t>P4</t>
        </is>
      </c>
      <c r="R1310" s="187" t="inlineStr">
        <is>
          <t>📅 Schedule patch deployment within 30 days | 🔍 Monitor for exploitation attempts</t>
        </is>
      </c>
      <c r="S1310" s="187" t="inlineStr">
        <is>
          <t>CVE - IP enrichment n/a</t>
        </is>
      </c>
      <c r="T1310" s="187" t="n">
        <v>0</v>
      </c>
      <c r="U1310" s="187" t="n">
        <v>0</v>
      </c>
      <c r="V1310" s="187" t="inlineStr">
        <is>
          <t>T1190:Exploit Public-Facing Application</t>
        </is>
      </c>
      <c r="W1310" s="187" t="n">
        <v>1</v>
      </c>
      <c r="X1310" s="187" t="inlineStr">
        <is>
          <t>LOW (40%)</t>
        </is>
      </c>
      <c r="Y1310" s="187" t="inlineStr">
        <is>
          <t>UNLIKELY</t>
        </is>
      </c>
      <c r="Z1310" s="187" t="inlineStr">
        <is>
          <t>PATCH_AVAILABLE</t>
        </is>
      </c>
      <c r="AA1310" s="187" t="inlineStr">
        <is>
          <t>https://nvd.nist.gov/vuln/detail/CVE-2026-25127</t>
        </is>
      </c>
      <c r="AB1310" s="187" t="inlineStr">
        <is>
          <t>NONE</t>
        </is>
      </c>
      <c r="AC1310" s="187" t="n">
        <v>0</v>
      </c>
      <c r="AD1310" s="187" t="inlineStr"/>
    </row>
    <row r="1311">
      <c r="A1311" s="188" t="inlineStr">
        <is>
          <t>CVE</t>
        </is>
      </c>
      <c r="B1311" s="188" t="inlineStr">
        <is>
          <t>CVE-2026-25131</t>
        </is>
      </c>
      <c r="C1311" s="188" t="inlineStr">
        <is>
          <t>OpenEMR is a free and open source electronic health records and medical practice management application. Prior to version 8.0.0, a Broken Access Control vulnerability exists in the OpenEMR order types management system, allowing low-privilege users (such as Receptionist) to add and modify procedure types without proper authorization. This vulnerability is present in the /openemr/interface/orders/types_edit.php endpoint. Version 8.0.0 contains a patch.</t>
        </is>
      </c>
      <c r="D1311" s="188" t="n">
        <v>8.800000000000001</v>
      </c>
      <c r="E1311" s="188" t="inlineStr">
        <is>
          <t>HIGH</t>
        </is>
      </c>
      <c r="F1311" s="188" t="n">
        <v>2</v>
      </c>
      <c r="G1311" s="188" t="n">
        <v>3</v>
      </c>
      <c r="H1311" s="188" t="inlineStr">
        <is>
          <t>HIGH</t>
        </is>
      </c>
      <c r="I1311" s="188" t="n">
        <v>14.8</v>
      </c>
      <c r="J1311" s="188" t="inlineStr">
        <is>
          <t>NO</t>
        </is>
      </c>
      <c r="K1311" s="188" t="inlineStr">
        <is>
          <t>https://nvd.nist.gov/vuln/detail/CVE-2026-25131</t>
        </is>
      </c>
      <c r="L1311" s="188" t="inlineStr">
        <is>
          <t>2026-02-26 00:15</t>
        </is>
      </c>
      <c r="M1311" s="188" t="inlineStr">
        <is>
          <t>YES</t>
        </is>
      </c>
      <c r="N1311" s="188" t="inlineStr">
        <is>
          <t>https://github.com/openemr/openemr/commit/1e63cbab34558bca029533f87cdb6efb1ff32c75 | https://github.com/openemr/openemr/security/advisories/GHSA-6h2m-4ppf-ph4j</t>
        </is>
      </c>
      <c r="O1311" s="188" t="inlineStr">
        <is>
          <t>https://github.com/openemr/openemr/security/advisories/GHSA-6h2m-4ppf-ph4j</t>
        </is>
      </c>
      <c r="P1311" s="188" t="inlineStr">
        <is>
          <t>open-emr openemr *</t>
        </is>
      </c>
      <c r="Q1311" s="188" t="inlineStr">
        <is>
          <t>P3</t>
        </is>
      </c>
      <c r="R1311" s="188" t="inlineStr">
        <is>
          <t>🚨 URGENT: Apply vendor patches immediately | 🔒 Isolate affected systems if patch unavailable | 🛡️ Enable additional monitoring/IDS rules</t>
        </is>
      </c>
      <c r="S1311" s="188" t="inlineStr">
        <is>
          <t>CVE - IP enrichment n/a</t>
        </is>
      </c>
      <c r="T1311" s="188" t="n">
        <v>0.0004</v>
      </c>
      <c r="U1311" s="188" t="n">
        <v>0.1162</v>
      </c>
      <c r="V1311" s="188" t="inlineStr">
        <is>
          <t>T1190:Exploit Public-Facing Application</t>
        </is>
      </c>
      <c r="W1311" s="188" t="n">
        <v>1</v>
      </c>
      <c r="X1311" s="188" t="inlineStr">
        <is>
          <t>LOW (40%)</t>
        </is>
      </c>
      <c r="Y1311" s="188" t="inlineStr">
        <is>
          <t>UNLIKELY</t>
        </is>
      </c>
      <c r="Z1311" s="188" t="inlineStr">
        <is>
          <t>PATCH_AVAILABLE</t>
        </is>
      </c>
      <c r="AA1311" s="188" t="inlineStr">
        <is>
          <t>https://nvd.nist.gov/vuln/detail/CVE-2026-25131</t>
        </is>
      </c>
      <c r="AB1311" s="188" t="inlineStr">
        <is>
          <t>NONE</t>
        </is>
      </c>
      <c r="AC1311" s="188" t="n">
        <v>0</v>
      </c>
      <c r="AD1311" s="188" t="inlineStr"/>
    </row>
    <row r="1312">
      <c r="A1312" s="187" t="inlineStr">
        <is>
          <t>CVE</t>
        </is>
      </c>
      <c r="B1312" s="187" t="inlineStr">
        <is>
          <t>CVE-2026-2914</t>
        </is>
      </c>
      <c r="C1312" s="187" t="inlineStr">
        <is>
          <t>CyberArk Endpoint Privilege Manager Agent versions 25.10.0 and lower allow potential unauthorized privilege elevation leveraging CyberArk elevation dialogs</t>
        </is>
      </c>
      <c r="D1312" s="187" t="n">
        <v>5</v>
      </c>
      <c r="E1312" s="187" t="inlineStr">
        <is>
          <t>MEDIUM</t>
        </is>
      </c>
      <c r="F1312" s="187" t="n">
        <v>2</v>
      </c>
      <c r="G1312" s="187" t="n">
        <v>2</v>
      </c>
      <c r="H1312" s="187" t="inlineStr">
        <is>
          <t>MEDIUM</t>
        </is>
      </c>
      <c r="I1312" s="187" t="n">
        <v>9</v>
      </c>
      <c r="J1312" s="187" t="inlineStr">
        <is>
          <t>NO</t>
        </is>
      </c>
      <c r="K1312" s="187" t="inlineStr">
        <is>
          <t>https://nvd.nist.gov/vuln/detail/CVE-2026-2914</t>
        </is>
      </c>
      <c r="L1312" s="187" t="inlineStr">
        <is>
          <t>2026-02-26 00:15</t>
        </is>
      </c>
      <c r="M1312" s="187" t="inlineStr">
        <is>
          <t>CHECK_VENDOR</t>
        </is>
      </c>
      <c r="N1312" s="187" t="inlineStr">
        <is>
          <t>See NVD references</t>
        </is>
      </c>
      <c r="O1312" s="187" t="inlineStr">
        <is>
          <t>Apply vendor patches</t>
        </is>
      </c>
      <c r="P1312" s="187" t="inlineStr">
        <is>
          <t>See CVE details</t>
        </is>
      </c>
      <c r="Q1312" s="187" t="inlineStr">
        <is>
          <t>P4</t>
        </is>
      </c>
      <c r="R1312" s="187" t="inlineStr">
        <is>
          <t>📅 Schedule patch deployment within 30 days | 🔍 Monitor for exploitation attempts</t>
        </is>
      </c>
      <c r="S1312" s="187" t="inlineStr">
        <is>
          <t>CVE - IP enrichment n/a</t>
        </is>
      </c>
      <c r="T1312" s="187" t="n">
        <v>0</v>
      </c>
      <c r="U1312" s="187" t="n">
        <v>0</v>
      </c>
      <c r="V1312" s="187" t="inlineStr">
        <is>
          <t>T1190:Exploit Public-Facing Application</t>
        </is>
      </c>
      <c r="W1312" s="187" t="n">
        <v>1</v>
      </c>
      <c r="X1312" s="187" t="inlineStr">
        <is>
          <t>LOW (40%)</t>
        </is>
      </c>
      <c r="Y1312" s="187" t="inlineStr">
        <is>
          <t>UNLIKELY</t>
        </is>
      </c>
      <c r="Z1312" s="187" t="inlineStr">
        <is>
          <t>CHECK_VENDOR</t>
        </is>
      </c>
      <c r="AA1312" s="187" t="inlineStr">
        <is>
          <t>https://nvd.nist.gov/vuln/detail/CVE-2026-2914</t>
        </is>
      </c>
      <c r="AB1312" s="187" t="inlineStr">
        <is>
          <t>NONE</t>
        </is>
      </c>
      <c r="AC1312" s="187" t="n">
        <v>0</v>
      </c>
      <c r="AD1312" s="187" t="inlineStr"/>
    </row>
    <row r="1313">
      <c r="A1313" s="187" t="inlineStr">
        <is>
          <t>CVE</t>
        </is>
      </c>
      <c r="B1313" s="187" t="inlineStr">
        <is>
          <t>CVE-2025-5781</t>
        </is>
      </c>
      <c r="C1313" s="187" t="inlineStr">
        <is>
          <t>Information Exposure Vulnerability in Hitachi Ops Center API Configuration Manager, Hitachi Configuration Manager, Hitachi Device Manager allows Session Hijacking.This issue affects Hitachi Ops Center API Configuration Manager: from 10.0.0-00 before 11.0.5-00; Hitachi Configuration Manager: from 8.5.1-00 before 11.0.5-00; Hitachi Device Manager: from 8.4.1-00 before 8.6.5-00.</t>
        </is>
      </c>
      <c r="D1313" s="187" t="n">
        <v>5.2</v>
      </c>
      <c r="E1313" s="187" t="inlineStr">
        <is>
          <t>MEDIUM</t>
        </is>
      </c>
      <c r="F1313" s="187" t="n">
        <v>2</v>
      </c>
      <c r="G1313" s="187" t="n">
        <v>2</v>
      </c>
      <c r="H1313" s="187" t="inlineStr">
        <is>
          <t>MEDIUM</t>
        </is>
      </c>
      <c r="I1313" s="187" t="n">
        <v>9.199999999999999</v>
      </c>
      <c r="J1313" s="187" t="inlineStr">
        <is>
          <t>NO</t>
        </is>
      </c>
      <c r="K1313" s="187" t="inlineStr">
        <is>
          <t>https://nvd.nist.gov/vuln/detail/CVE-2025-5781</t>
        </is>
      </c>
      <c r="L1313" s="187" t="inlineStr">
        <is>
          <t>2026-02-26 00:15</t>
        </is>
      </c>
      <c r="M1313" s="187" t="inlineStr">
        <is>
          <t>CHECK_VENDOR</t>
        </is>
      </c>
      <c r="N1313" s="187" t="inlineStr">
        <is>
          <t>See NVD references</t>
        </is>
      </c>
      <c r="O1313" s="187" t="inlineStr">
        <is>
          <t>Apply vendor patches</t>
        </is>
      </c>
      <c r="P1313" s="187" t="inlineStr">
        <is>
          <t>See CVE details</t>
        </is>
      </c>
      <c r="Q1313" s="187" t="inlineStr">
        <is>
          <t>P4</t>
        </is>
      </c>
      <c r="R1313" s="187" t="inlineStr">
        <is>
          <t>📅 Schedule patch deployment within 30 days | 🔍 Monitor for exploitation attempts</t>
        </is>
      </c>
      <c r="S1313" s="187" t="inlineStr">
        <is>
          <t>CVE - IP enrichment n/a</t>
        </is>
      </c>
      <c r="T1313" s="187" t="n">
        <v>0</v>
      </c>
      <c r="U1313" s="187" t="n">
        <v>0</v>
      </c>
      <c r="V1313" s="187" t="inlineStr">
        <is>
          <t>T1190:Exploit Public-Facing Application</t>
        </is>
      </c>
      <c r="W1313" s="187" t="n">
        <v>1</v>
      </c>
      <c r="X1313" s="187" t="inlineStr">
        <is>
          <t>LOW (40%)</t>
        </is>
      </c>
      <c r="Y1313" s="187" t="inlineStr">
        <is>
          <t>UNLIKELY</t>
        </is>
      </c>
      <c r="Z1313" s="187" t="inlineStr">
        <is>
          <t>CHECK_VENDOR</t>
        </is>
      </c>
      <c r="AA1313" s="187" t="inlineStr">
        <is>
          <t>https://nvd.nist.gov/vuln/detail/CVE-2025-5781</t>
        </is>
      </c>
      <c r="AB1313" s="187" t="inlineStr">
        <is>
          <t>NONE</t>
        </is>
      </c>
      <c r="AC1313" s="187" t="n">
        <v>0</v>
      </c>
      <c r="AD1313" s="187" t="inlineStr"/>
    </row>
    <row r="1314">
      <c r="A1314" s="187" t="inlineStr">
        <is>
          <t>CVE</t>
        </is>
      </c>
      <c r="B1314" s="187" t="inlineStr">
        <is>
          <t>CVE-2026-25135</t>
        </is>
      </c>
      <c r="C1314" s="187" t="inlineStr">
        <is>
          <t>OpenEMR is a free and open source electronic health records and medical practice management application. Versions prior to 8.0.0 have an information disclosure vulnerability that leaks the entire contact information for all users, organizations, and patients in the system to anyone who has the system/(Group,Patient,*).$export operation and system/Location.read capabilities.  This vulnerability will impact OpenEMR versions since 2023. This disclosure will only occur in extremely high trust enviro</t>
        </is>
      </c>
      <c r="D1314" s="187" t="n">
        <v>4.5</v>
      </c>
      <c r="E1314" s="187" t="inlineStr">
        <is>
          <t>MEDIUM</t>
        </is>
      </c>
      <c r="F1314" s="187" t="n">
        <v>2</v>
      </c>
      <c r="G1314" s="187" t="n">
        <v>2</v>
      </c>
      <c r="H1314" s="187" t="inlineStr">
        <is>
          <t>MEDIUM</t>
        </is>
      </c>
      <c r="I1314" s="187" t="n">
        <v>8.5</v>
      </c>
      <c r="J1314" s="187" t="inlineStr">
        <is>
          <t>NO</t>
        </is>
      </c>
      <c r="K1314" s="187" t="inlineStr">
        <is>
          <t>https://nvd.nist.gov/vuln/detail/CVE-2026-25135</t>
        </is>
      </c>
      <c r="L1314" s="187" t="inlineStr">
        <is>
          <t>2026-02-26 00:15</t>
        </is>
      </c>
      <c r="M1314" s="187" t="inlineStr">
        <is>
          <t>YES</t>
        </is>
      </c>
      <c r="N1314" s="187" t="inlineStr">
        <is>
          <t>https://github.com/openemr/openemr/commit/7ab23dfe73ebd16dd66a526272f3761f1bd5be7d | https://github.com/openemr/openemr/security/advisories/GHSA-fgxg-wg4w-rj23</t>
        </is>
      </c>
      <c r="O1314" s="187" t="inlineStr">
        <is>
          <t>Apply vendor patches</t>
        </is>
      </c>
      <c r="P1314" s="187" t="inlineStr">
        <is>
          <t>open-emr openemr *</t>
        </is>
      </c>
      <c r="Q1314" s="187" t="inlineStr">
        <is>
          <t>P4</t>
        </is>
      </c>
      <c r="R1314" s="187" t="inlineStr">
        <is>
          <t>📅 Schedule patch deployment within 30 days | 🔍 Monitor for exploitation attempts</t>
        </is>
      </c>
      <c r="S1314" s="187" t="inlineStr">
        <is>
          <t>CVE - IP enrichment n/a</t>
        </is>
      </c>
      <c r="T1314" s="187" t="n">
        <v>0</v>
      </c>
      <c r="U1314" s="187" t="n">
        <v>0</v>
      </c>
      <c r="V1314" s="187" t="inlineStr">
        <is>
          <t>T1213:Data from Information Repositories | T1190:Exploit Public-Facing Application</t>
        </is>
      </c>
      <c r="W1314" s="187" t="n">
        <v>1</v>
      </c>
      <c r="X1314" s="187" t="inlineStr">
        <is>
          <t>LOW (40%)</t>
        </is>
      </c>
      <c r="Y1314" s="187" t="inlineStr">
        <is>
          <t>UNLIKELY</t>
        </is>
      </c>
      <c r="Z1314" s="187" t="inlineStr">
        <is>
          <t>PATCH_AVAILABLE</t>
        </is>
      </c>
      <c r="AA1314" s="187" t="inlineStr">
        <is>
          <t>https://nvd.nist.gov/vuln/detail/CVE-2026-25135</t>
        </is>
      </c>
      <c r="AB1314" s="187" t="inlineStr">
        <is>
          <t>NONE</t>
        </is>
      </c>
      <c r="AC1314" s="187" t="n">
        <v>0</v>
      </c>
      <c r="AD1314" s="187" t="inlineStr"/>
    </row>
    <row r="1315">
      <c r="A1315" s="188" t="inlineStr">
        <is>
          <t>CVE</t>
        </is>
      </c>
      <c r="B1315" s="188" t="inlineStr">
        <is>
          <t>CVE-2026-27595</t>
        </is>
      </c>
      <c r="C1315" s="188" t="inlineStr">
        <is>
          <t>Parse Dashboard is a standalone dashboard for managing Parse Server apps. In versions 7.3.0-alpha.42 through 9.0.0-alpha.7, the AI Agent API endpoint (POST `/apps/:appId/agent`) has multiple security vulnerabilities that, when chained, allow unauthenticated remote attackers to perform arbitrary read and write operations against any connected Parse Server database using the master key. The agent feature is opt-in; dashboards without an agent config are not affected. The fix in version 9.0.0-alpha</t>
        </is>
      </c>
      <c r="D1315" s="188" t="n">
        <v>8.5</v>
      </c>
      <c r="E1315" s="188" t="inlineStr">
        <is>
          <t>HIGH</t>
        </is>
      </c>
      <c r="F1315" s="188" t="n">
        <v>2</v>
      </c>
      <c r="G1315" s="188" t="n">
        <v>3</v>
      </c>
      <c r="H1315" s="188" t="inlineStr">
        <is>
          <t>HIGH</t>
        </is>
      </c>
      <c r="I1315" s="188" t="n">
        <v>14.5</v>
      </c>
      <c r="J1315" s="188" t="inlineStr">
        <is>
          <t>NO</t>
        </is>
      </c>
      <c r="K1315" s="188" t="inlineStr">
        <is>
          <t>https://nvd.nist.gov/vuln/detail/CVE-2026-27595</t>
        </is>
      </c>
      <c r="L1315" s="188" t="inlineStr">
        <is>
          <t>2026-02-26 00:15</t>
        </is>
      </c>
      <c r="M1315" s="188" t="inlineStr">
        <is>
          <t>CHECK_VENDOR</t>
        </is>
      </c>
      <c r="N1315" s="188" t="inlineStr">
        <is>
          <t>See NVD references</t>
        </is>
      </c>
      <c r="O1315" s="188" t="inlineStr">
        <is>
          <t>Apply vendor patches</t>
        </is>
      </c>
      <c r="P1315" s="188" t="inlineStr">
        <is>
          <t>See CVE details</t>
        </is>
      </c>
      <c r="Q1315" s="188" t="inlineStr">
        <is>
          <t>P3</t>
        </is>
      </c>
      <c r="R1315" s="188" t="inlineStr">
        <is>
          <t>🚨 URGENT: Apply vendor patches immediately | 🔒 Isolate affected systems if patch unavailable | 🛡️ Enable additional monitoring/IDS rules</t>
        </is>
      </c>
      <c r="S1315" s="188" t="inlineStr">
        <is>
          <t>CVE - IP enrichment n/a</t>
        </is>
      </c>
      <c r="T1315" s="188" t="n">
        <v>0.0008</v>
      </c>
      <c r="U1315" s="188" t="n">
        <v>0.2459</v>
      </c>
      <c r="V1315" s="188" t="inlineStr">
        <is>
          <t>T1078:Valid Accounts</t>
        </is>
      </c>
      <c r="W1315" s="188" t="n">
        <v>1</v>
      </c>
      <c r="X1315" s="188" t="inlineStr">
        <is>
          <t>LOW (40%)</t>
        </is>
      </c>
      <c r="Y1315" s="188" t="inlineStr">
        <is>
          <t>UNLIKELY</t>
        </is>
      </c>
      <c r="Z1315" s="188" t="inlineStr">
        <is>
          <t>CHECK_VENDOR</t>
        </is>
      </c>
      <c r="AA1315" s="188" t="inlineStr">
        <is>
          <t>https://nvd.nist.gov/vuln/detail/CVE-2026-27595</t>
        </is>
      </c>
      <c r="AB1315" s="188" t="inlineStr">
        <is>
          <t>NONE</t>
        </is>
      </c>
      <c r="AC1315" s="188" t="n">
        <v>0</v>
      </c>
      <c r="AD1315" s="188" t="inlineStr"/>
    </row>
    <row r="1316">
      <c r="A1316" s="189" t="inlineStr">
        <is>
          <t>CVE</t>
        </is>
      </c>
      <c r="B1316" s="189" t="inlineStr">
        <is>
          <t>CVE-2026-27606</t>
        </is>
      </c>
      <c r="C1316" s="189" t="inlineStr">
        <is>
          <t>Rollup is a module bundler for JavaScript. Versions prior to 2.80.0, 3.30.0, and 4.59.0 of the Rollup module bundler (specifically v4.x and present in current source) is vulnerable to an Arbitrary File Write via Path Traversal. Insecure file name sanitization in the core engine allows an attacker to control output filenames (e.g., via CLI named inputs, manual chunk aliases, or malicious plugins) and use traversal sequences (`../`) to overwrite files anywhere on the host filesystem that the build</t>
        </is>
      </c>
      <c r="D1316" s="189" t="n">
        <v>9.800000000000001</v>
      </c>
      <c r="E1316" s="189" t="inlineStr">
        <is>
          <t>CRITICAL</t>
        </is>
      </c>
      <c r="F1316" s="189" t="n">
        <v>2</v>
      </c>
      <c r="G1316" s="189" t="n">
        <v>3</v>
      </c>
      <c r="H1316" s="189" t="inlineStr">
        <is>
          <t>HIGH</t>
        </is>
      </c>
      <c r="I1316" s="189" t="n">
        <v>15.8</v>
      </c>
      <c r="J1316" s="189" t="inlineStr">
        <is>
          <t>NO</t>
        </is>
      </c>
      <c r="K1316" s="189" t="inlineStr">
        <is>
          <t>https://nvd.nist.gov/vuln/detail/CVE-2026-27606</t>
        </is>
      </c>
      <c r="L1316" s="189" t="inlineStr">
        <is>
          <t>2026-02-26 00:15</t>
        </is>
      </c>
      <c r="M1316" s="189" t="inlineStr">
        <is>
          <t>YES</t>
        </is>
      </c>
      <c r="N1316" s="189" t="inlineStr">
        <is>
          <t>https://github.com/rollup/rollup/commit/c60770d7aaf750e512c1b2774989ea4596e660b2 | https://github.com/rollup/rollup/commit/c8cf1f9c48c516285758c1e11f08a54f304fd44e | https://github.com/rollup/rollup/commit/d6dee5e99bb82aac0bee1df4ab9efbde455452c3</t>
        </is>
      </c>
      <c r="O1316" s="189" t="inlineStr">
        <is>
          <t>Apply vendor patches</t>
        </is>
      </c>
      <c r="P1316" s="189" t="inlineStr">
        <is>
          <t>rollupjs rollup *</t>
        </is>
      </c>
      <c r="Q1316" s="189" t="inlineStr">
        <is>
          <t>P3</t>
        </is>
      </c>
      <c r="R1316" s="189" t="inlineStr">
        <is>
          <t>🚨 URGENT: Apply vendor patches immediately | 🔒 Isolate affected systems if patch unavailable | 🛡️ Enable additional monitoring/IDS rules</t>
        </is>
      </c>
      <c r="S1316" s="189" t="inlineStr">
        <is>
          <t>CVE - IP enrichment n/a</t>
        </is>
      </c>
      <c r="T1316" s="189" t="n">
        <v>0</v>
      </c>
      <c r="U1316" s="189" t="n">
        <v>0</v>
      </c>
      <c r="V1316" s="189" t="inlineStr">
        <is>
          <t>T1083:File and Directory Discovery | T1190:Exploit Public-Facing Application | T1210:Exploitation of Remote Services</t>
        </is>
      </c>
      <c r="W1316" s="189" t="n">
        <v>1</v>
      </c>
      <c r="X1316" s="189" t="inlineStr">
        <is>
          <t>LOW (40%)</t>
        </is>
      </c>
      <c r="Y1316" s="189" t="inlineStr">
        <is>
          <t>UNLIKELY</t>
        </is>
      </c>
      <c r="Z1316" s="189" t="inlineStr">
        <is>
          <t>PATCH_AVAILABLE</t>
        </is>
      </c>
      <c r="AA1316" s="189" t="inlineStr">
        <is>
          <t>https://nvd.nist.gov/vuln/detail/CVE-2026-27606</t>
        </is>
      </c>
      <c r="AB1316" s="189" t="inlineStr">
        <is>
          <t>NONE</t>
        </is>
      </c>
      <c r="AC1316" s="189" t="n">
        <v>0</v>
      </c>
      <c r="AD1316" s="189" t="inlineStr"/>
    </row>
    <row r="1317">
      <c r="A1317" s="188" t="inlineStr">
        <is>
          <t>CVE</t>
        </is>
      </c>
      <c r="B1317" s="188" t="inlineStr">
        <is>
          <t>CVE-2026-27607</t>
        </is>
      </c>
      <c r="C1317" s="188" t="inlineStr">
        <is>
          <t>RustFS is a distributed object storage system built in Rust. In versions 1.0.0-alpha.56 through 1.0.0-alpha.82, RustFS does not validate policy conditions in presigned POST uploads (PostObject), allowing attackers to bypass content-length-range, starts-with, and Content-Type constraints. This enables unauthorized file uploads exceeding size limits, uploads to arbitrary object keys, and content-type spoofing, potentially leading to storage exhaustion, unauthorized data access, and security bypass</t>
        </is>
      </c>
      <c r="D1317" s="188" t="n">
        <v>8.1</v>
      </c>
      <c r="E1317" s="188" t="inlineStr">
        <is>
          <t>HIGH</t>
        </is>
      </c>
      <c r="F1317" s="188" t="n">
        <v>2</v>
      </c>
      <c r="G1317" s="188" t="n">
        <v>3</v>
      </c>
      <c r="H1317" s="188" t="inlineStr">
        <is>
          <t>HIGH</t>
        </is>
      </c>
      <c r="I1317" s="188" t="n">
        <v>14.1</v>
      </c>
      <c r="J1317" s="188" t="inlineStr">
        <is>
          <t>NO</t>
        </is>
      </c>
      <c r="K1317" s="188" t="inlineStr">
        <is>
          <t>https://nvd.nist.gov/vuln/detail/CVE-2026-27607</t>
        </is>
      </c>
      <c r="L1317" s="188" t="inlineStr">
        <is>
          <t>2026-02-26 00:15</t>
        </is>
      </c>
      <c r="M1317" s="188" t="inlineStr">
        <is>
          <t>YES</t>
        </is>
      </c>
      <c r="N1317" s="188" t="inlineStr">
        <is>
          <t>https://github.com/rustfs/rustfs/security/advisories/GHSA-w5fh-f8xh-5x3p</t>
        </is>
      </c>
      <c r="O1317" s="188" t="inlineStr">
        <is>
          <t>Apply vendor patches</t>
        </is>
      </c>
      <c r="P1317" s="188" t="inlineStr">
        <is>
          <t>rustfs rustfs 1.0.0</t>
        </is>
      </c>
      <c r="Q1317" s="188" t="inlineStr">
        <is>
          <t>P3</t>
        </is>
      </c>
      <c r="R1317" s="188" t="inlineStr">
        <is>
          <t>🚨 URGENT: Apply vendor patches immediately | 🔒 Isolate affected systems if patch unavailable | 🛡️ Enable additional monitoring/IDS rules</t>
        </is>
      </c>
      <c r="S1317" s="188" t="inlineStr">
        <is>
          <t>CVE - IP enrichment n/a</t>
        </is>
      </c>
      <c r="T1317" s="188" t="n">
        <v>0</v>
      </c>
      <c r="U1317" s="188" t="n">
        <v>0</v>
      </c>
      <c r="V1317" s="188" t="inlineStr">
        <is>
          <t>T1190:Exploit Public-Facing Application</t>
        </is>
      </c>
      <c r="W1317" s="188" t="n">
        <v>1</v>
      </c>
      <c r="X1317" s="188" t="inlineStr">
        <is>
          <t>LOW (40%)</t>
        </is>
      </c>
      <c r="Y1317" s="188" t="inlineStr">
        <is>
          <t>UNLIKELY</t>
        </is>
      </c>
      <c r="Z1317" s="188" t="inlineStr">
        <is>
          <t>PATCH_AVAILABLE</t>
        </is>
      </c>
      <c r="AA1317" s="188" t="inlineStr">
        <is>
          <t>https://nvd.nist.gov/vuln/detail/CVE-2026-27607</t>
        </is>
      </c>
      <c r="AB1317" s="188" t="inlineStr">
        <is>
          <t>NONE</t>
        </is>
      </c>
      <c r="AC1317" s="188" t="n">
        <v>0</v>
      </c>
      <c r="AD1317" s="188" t="inlineStr"/>
    </row>
    <row r="1318">
      <c r="A1318" s="188" t="inlineStr">
        <is>
          <t>CVE</t>
        </is>
      </c>
      <c r="B1318" s="188" t="inlineStr">
        <is>
          <t>CVE-2026-27608</t>
        </is>
      </c>
      <c r="C1318" s="188" t="inlineStr">
        <is>
          <t>Parse Dashboard is a standalone dashboard for managing Parse Server apps. In versions 7.3.0-alpha.42 through 9.0.0-alpha.7, the AI Agent API endpoint (`POST /apps/:appId/agent`) does not enforce authorization. Authenticated users scoped to specific apps can access any other app's agent endpoint by changing the app ID in the URL. Read-only users are given the full master key instead of the read-only master key and can supply write permissions in the request body to perform write and delete operat</t>
        </is>
      </c>
      <c r="D1318" s="188" t="n">
        <v>8.5</v>
      </c>
      <c r="E1318" s="188" t="inlineStr">
        <is>
          <t>HIGH</t>
        </is>
      </c>
      <c r="F1318" s="188" t="n">
        <v>2</v>
      </c>
      <c r="G1318" s="188" t="n">
        <v>3</v>
      </c>
      <c r="H1318" s="188" t="inlineStr">
        <is>
          <t>HIGH</t>
        </is>
      </c>
      <c r="I1318" s="188" t="n">
        <v>14.5</v>
      </c>
      <c r="J1318" s="188" t="inlineStr">
        <is>
          <t>NO</t>
        </is>
      </c>
      <c r="K1318" s="188" t="inlineStr">
        <is>
          <t>https://nvd.nist.gov/vuln/detail/CVE-2026-27608</t>
        </is>
      </c>
      <c r="L1318" s="188" t="inlineStr">
        <is>
          <t>2026-02-26 00:15</t>
        </is>
      </c>
      <c r="M1318" s="188" t="inlineStr">
        <is>
          <t>CHECK_VENDOR</t>
        </is>
      </c>
      <c r="N1318" s="188" t="inlineStr">
        <is>
          <t>See NVD references</t>
        </is>
      </c>
      <c r="O1318" s="188" t="inlineStr">
        <is>
          <t>Apply vendor patches</t>
        </is>
      </c>
      <c r="P1318" s="188" t="inlineStr">
        <is>
          <t>See CVE details</t>
        </is>
      </c>
      <c r="Q1318" s="188" t="inlineStr">
        <is>
          <t>P3</t>
        </is>
      </c>
      <c r="R1318" s="188" t="inlineStr">
        <is>
          <t>🚨 URGENT: Apply vendor patches immediately | 🔒 Isolate affected systems if patch unavailable | 🛡️ Enable additional monitoring/IDS rules</t>
        </is>
      </c>
      <c r="S1318" s="188" t="inlineStr">
        <is>
          <t>CVE - IP enrichment n/a</t>
        </is>
      </c>
      <c r="T1318" s="188" t="n">
        <v>0</v>
      </c>
      <c r="U1318" s="188" t="n">
        <v>0</v>
      </c>
      <c r="V1318" s="188" t="inlineStr">
        <is>
          <t>T1190:Exploit Public-Facing Application</t>
        </is>
      </c>
      <c r="W1318" s="188" t="n">
        <v>1</v>
      </c>
      <c r="X1318" s="188" t="inlineStr">
        <is>
          <t>LOW (40%)</t>
        </is>
      </c>
      <c r="Y1318" s="188" t="inlineStr">
        <is>
          <t>UNLIKELY</t>
        </is>
      </c>
      <c r="Z1318" s="188" t="inlineStr">
        <is>
          <t>CHECK_VENDOR</t>
        </is>
      </c>
      <c r="AA1318" s="188" t="inlineStr">
        <is>
          <t>https://nvd.nist.gov/vuln/detail/CVE-2026-27608</t>
        </is>
      </c>
      <c r="AB1318" s="188" t="inlineStr">
        <is>
          <t>NONE</t>
        </is>
      </c>
      <c r="AC1318" s="188" t="n">
        <v>0</v>
      </c>
      <c r="AD1318" s="188" t="inlineStr"/>
    </row>
    <row r="1319">
      <c r="A1319" s="187" t="inlineStr">
        <is>
          <t>CVE</t>
        </is>
      </c>
      <c r="B1319" s="187" t="inlineStr">
        <is>
          <t>CVE-2026-27609</t>
        </is>
      </c>
      <c r="C1319" s="187" t="inlineStr">
        <is>
          <t>Parse Dashboard is a standalone dashboard for managing Parse Server apps. In versions 7.3.0-alpha.42 through 9.0.0-alpha.7, the AI Agent API endpoint (`POST /apps/:appId/agent`) lacks CSRF protection. An attacker can craft a malicious page that, when visited by an authenticated dashboard user, submits requests to the agent endpoint using the victim's session. The fix in version 9.0.0-alpha.8 adds CSRF middleware to the agent endpoint and embeds a CSRF token in the dashboard page. As a workaround</t>
        </is>
      </c>
      <c r="D1319" s="187" t="n">
        <v>5</v>
      </c>
      <c r="E1319" s="187" t="inlineStr">
        <is>
          <t>MEDIUM</t>
        </is>
      </c>
      <c r="F1319" s="187" t="n">
        <v>2</v>
      </c>
      <c r="G1319" s="187" t="n">
        <v>2</v>
      </c>
      <c r="H1319" s="187" t="inlineStr">
        <is>
          <t>MEDIUM</t>
        </is>
      </c>
      <c r="I1319" s="187" t="n">
        <v>9</v>
      </c>
      <c r="J1319" s="187" t="inlineStr">
        <is>
          <t>NO</t>
        </is>
      </c>
      <c r="K1319" s="187" t="inlineStr">
        <is>
          <t>https://nvd.nist.gov/vuln/detail/CVE-2026-27609</t>
        </is>
      </c>
      <c r="L1319" s="187" t="inlineStr">
        <is>
          <t>2026-02-26 00:15</t>
        </is>
      </c>
      <c r="M1319" s="187" t="inlineStr">
        <is>
          <t>CHECK_VENDOR</t>
        </is>
      </c>
      <c r="N1319" s="187" t="inlineStr">
        <is>
          <t>See NVD references</t>
        </is>
      </c>
      <c r="O1319" s="187" t="inlineStr">
        <is>
          <t>Apply vendor patches</t>
        </is>
      </c>
      <c r="P1319" s="187" t="inlineStr">
        <is>
          <t>See CVE details</t>
        </is>
      </c>
      <c r="Q1319" s="187" t="inlineStr">
        <is>
          <t>P4</t>
        </is>
      </c>
      <c r="R1319" s="187" t="inlineStr">
        <is>
          <t>📅 Schedule patch deployment within 30 days | 🔍 Monitor for exploitation attempts</t>
        </is>
      </c>
      <c r="S1319" s="187" t="inlineStr">
        <is>
          <t>CVE - IP enrichment n/a</t>
        </is>
      </c>
      <c r="T1319" s="187" t="n">
        <v>0</v>
      </c>
      <c r="U1319" s="187" t="n">
        <v>0</v>
      </c>
      <c r="V1319" s="187" t="inlineStr">
        <is>
          <t>T1185:Browser Session Hijacking</t>
        </is>
      </c>
      <c r="W1319" s="187" t="n">
        <v>1</v>
      </c>
      <c r="X1319" s="187" t="inlineStr">
        <is>
          <t>LOW (40%)</t>
        </is>
      </c>
      <c r="Y1319" s="187" t="inlineStr">
        <is>
          <t>UNLIKELY</t>
        </is>
      </c>
      <c r="Z1319" s="187" t="inlineStr">
        <is>
          <t>CHECK_VENDOR</t>
        </is>
      </c>
      <c r="AA1319" s="187" t="inlineStr">
        <is>
          <t>https://nvd.nist.gov/vuln/detail/CVE-2026-27609</t>
        </is>
      </c>
      <c r="AB1319" s="187" t="inlineStr">
        <is>
          <t>NONE</t>
        </is>
      </c>
      <c r="AC1319" s="187" t="n">
        <v>0</v>
      </c>
      <c r="AD1319" s="187" t="inlineStr"/>
    </row>
    <row r="1320">
      <c r="A1320" s="187" t="inlineStr">
        <is>
          <t>CVE</t>
        </is>
      </c>
      <c r="B1320" s="187" t="inlineStr">
        <is>
          <t>CVE-2026-27610</t>
        </is>
      </c>
      <c r="C1320" s="187" t="inlineStr">
        <is>
          <t>Parse Dashboard is a standalone dashboard for managing Parse Server apps. In versions 7.3.0-alpha.42 through 9.0.0-alpha.7, the `ConfigKeyCache` uses the same cache key for both master key and read-only master key when resolving function-typed keys. Under specific timing conditions, a read-only user can receive the cached full master key, or a regular user can receive the cached read-only master key. The fix in version 9.0.0-alpha.8 uses distinct cache keys for master key and read-only master ke</t>
        </is>
      </c>
      <c r="D1320" s="187" t="n">
        <v>5</v>
      </c>
      <c r="E1320" s="187" t="inlineStr">
        <is>
          <t>MEDIUM</t>
        </is>
      </c>
      <c r="F1320" s="187" t="n">
        <v>2</v>
      </c>
      <c r="G1320" s="187" t="n">
        <v>2</v>
      </c>
      <c r="H1320" s="187" t="inlineStr">
        <is>
          <t>MEDIUM</t>
        </is>
      </c>
      <c r="I1320" s="187" t="n">
        <v>9</v>
      </c>
      <c r="J1320" s="187" t="inlineStr">
        <is>
          <t>NO</t>
        </is>
      </c>
      <c r="K1320" s="187" t="inlineStr">
        <is>
          <t>https://nvd.nist.gov/vuln/detail/CVE-2026-27610</t>
        </is>
      </c>
      <c r="L1320" s="187" t="inlineStr">
        <is>
          <t>2026-02-26 00:15</t>
        </is>
      </c>
      <c r="M1320" s="187" t="inlineStr">
        <is>
          <t>CHECK_VENDOR</t>
        </is>
      </c>
      <c r="N1320" s="187" t="inlineStr">
        <is>
          <t>See NVD references</t>
        </is>
      </c>
      <c r="O1320" s="187" t="inlineStr">
        <is>
          <t>Apply vendor patches</t>
        </is>
      </c>
      <c r="P1320" s="187" t="inlineStr">
        <is>
          <t>See CVE details</t>
        </is>
      </c>
      <c r="Q1320" s="187" t="inlineStr">
        <is>
          <t>P4</t>
        </is>
      </c>
      <c r="R1320" s="187" t="inlineStr">
        <is>
          <t>📅 Schedule patch deployment within 30 days | 🔍 Monitor for exploitation attempts</t>
        </is>
      </c>
      <c r="S1320" s="187" t="inlineStr">
        <is>
          <t>CVE - IP enrichment n/a</t>
        </is>
      </c>
      <c r="T1320" s="187" t="n">
        <v>0.0008</v>
      </c>
      <c r="U1320" s="187" t="n">
        <v>0.2344</v>
      </c>
      <c r="V1320" s="187" t="inlineStr">
        <is>
          <t>T1190:Exploit Public-Facing Application</t>
        </is>
      </c>
      <c r="W1320" s="187" t="n">
        <v>1</v>
      </c>
      <c r="X1320" s="187" t="inlineStr">
        <is>
          <t>LOW (40%)</t>
        </is>
      </c>
      <c r="Y1320" s="187" t="inlineStr">
        <is>
          <t>UNLIKELY</t>
        </is>
      </c>
      <c r="Z1320" s="187" t="inlineStr">
        <is>
          <t>CHECK_VENDOR</t>
        </is>
      </c>
      <c r="AA1320" s="187" t="inlineStr">
        <is>
          <t>https://nvd.nist.gov/vuln/detail/CVE-2026-27610</t>
        </is>
      </c>
      <c r="AB1320" s="187" t="inlineStr">
        <is>
          <t>NONE</t>
        </is>
      </c>
      <c r="AC1320" s="187" t="n">
        <v>0</v>
      </c>
      <c r="AD1320" s="187" t="inlineStr"/>
    </row>
    <row r="1321">
      <c r="A1321" s="187" t="inlineStr">
        <is>
          <t>CVE</t>
        </is>
      </c>
      <c r="B1321" s="187" t="inlineStr">
        <is>
          <t>CVE-2026-27611</t>
        </is>
      </c>
      <c r="C1321" s="187" t="inlineStr">
        <is>
          <t>FileBrowser Quantum is a free, self-hosted, web-based file manager. Prior to versions 1.1.3-stable and 1.2.6-beta, when users share password-protected files, the recipient can completely bypass the password and still download the file. This happens because the API returns a direct download link in the details of the share, which is accessible to anyone with JUST THE SHARE LINK, even without the password. Versions 1.1.3-stable and 1.2.6-beta fix the issue.</t>
        </is>
      </c>
      <c r="D1321" s="187" t="n">
        <v>5</v>
      </c>
      <c r="E1321" s="187" t="inlineStr">
        <is>
          <t>MEDIUM</t>
        </is>
      </c>
      <c r="F1321" s="187" t="n">
        <v>2</v>
      </c>
      <c r="G1321" s="187" t="n">
        <v>2</v>
      </c>
      <c r="H1321" s="187" t="inlineStr">
        <is>
          <t>MEDIUM</t>
        </is>
      </c>
      <c r="I1321" s="187" t="n">
        <v>9</v>
      </c>
      <c r="J1321" s="187" t="inlineStr">
        <is>
          <t>NO</t>
        </is>
      </c>
      <c r="K1321" s="187" t="inlineStr">
        <is>
          <t>https://nvd.nist.gov/vuln/detail/CVE-2026-27611</t>
        </is>
      </c>
      <c r="L1321" s="187" t="inlineStr">
        <is>
          <t>2026-02-26 00:15</t>
        </is>
      </c>
      <c r="M1321" s="187" t="inlineStr">
        <is>
          <t>CHECK_VENDOR</t>
        </is>
      </c>
      <c r="N1321" s="187" t="inlineStr">
        <is>
          <t>See NVD references</t>
        </is>
      </c>
      <c r="O1321" s="187" t="inlineStr">
        <is>
          <t>Apply vendor patches</t>
        </is>
      </c>
      <c r="P1321" s="187" t="inlineStr">
        <is>
          <t>See CVE details</t>
        </is>
      </c>
      <c r="Q1321" s="187" t="inlineStr">
        <is>
          <t>P4</t>
        </is>
      </c>
      <c r="R1321" s="187" t="inlineStr">
        <is>
          <t>📅 Schedule patch deployment within 30 days | 🔍 Monitor for exploitation attempts</t>
        </is>
      </c>
      <c r="S1321" s="187" t="inlineStr">
        <is>
          <t>CVE - IP enrichment n/a</t>
        </is>
      </c>
      <c r="T1321" s="187" t="n">
        <v>0</v>
      </c>
      <c r="U1321" s="187" t="n">
        <v>0</v>
      </c>
      <c r="V1321" s="187" t="inlineStr">
        <is>
          <t>T1213:Data from Information Repositories</t>
        </is>
      </c>
      <c r="W1321" s="187" t="n">
        <v>1</v>
      </c>
      <c r="X1321" s="187" t="inlineStr">
        <is>
          <t>LOW (40%)</t>
        </is>
      </c>
      <c r="Y1321" s="187" t="inlineStr">
        <is>
          <t>UNLIKELY</t>
        </is>
      </c>
      <c r="Z1321" s="187" t="inlineStr">
        <is>
          <t>CHECK_VENDOR</t>
        </is>
      </c>
      <c r="AA1321" s="187" t="inlineStr">
        <is>
          <t>https://nvd.nist.gov/vuln/detail/CVE-2026-27611</t>
        </is>
      </c>
      <c r="AB1321" s="187" t="inlineStr">
        <is>
          <t>NONE</t>
        </is>
      </c>
      <c r="AC1321" s="187" t="n">
        <v>0</v>
      </c>
      <c r="AD1321" s="187" t="inlineStr"/>
    </row>
    <row r="1322">
      <c r="A1322" s="187" t="inlineStr">
        <is>
          <t>CVE</t>
        </is>
      </c>
      <c r="B1322" s="187" t="inlineStr">
        <is>
          <t>CVE-2026-27612</t>
        </is>
      </c>
      <c r="C1322" s="187" t="inlineStr">
        <is>
          <t>Repostat is a React component to fetch and display GitHub repository info. Prior to version 1.0.1, the `RepoCard` component is vulnerable to Reflected Cross-Site Scripting (XSS). The vulnerability occurs because the component uses React's `dangerouslySetInnerHTML` to render the repository name (`repo` prop) during the loading state without any sanitization. If a developer using this package passes unvalidated user input directly into the `repo` prop (for example, reading it from a URL query para</t>
        </is>
      </c>
      <c r="D1322" s="187" t="n">
        <v>6.1</v>
      </c>
      <c r="E1322" s="187" t="inlineStr">
        <is>
          <t>MEDIUM</t>
        </is>
      </c>
      <c r="F1322" s="187" t="n">
        <v>2</v>
      </c>
      <c r="G1322" s="187" t="n">
        <v>2</v>
      </c>
      <c r="H1322" s="187" t="inlineStr">
        <is>
          <t>MEDIUM</t>
        </is>
      </c>
      <c r="I1322" s="187" t="n">
        <v>10.1</v>
      </c>
      <c r="J1322" s="187" t="inlineStr">
        <is>
          <t>NO</t>
        </is>
      </c>
      <c r="K1322" s="187" t="inlineStr">
        <is>
          <t>https://nvd.nist.gov/vuln/detail/CVE-2026-27612</t>
        </is>
      </c>
      <c r="L1322" s="187" t="inlineStr">
        <is>
          <t>2026-02-26 00:15</t>
        </is>
      </c>
      <c r="M1322" s="187" t="inlineStr">
        <is>
          <t>CHECK_VENDOR</t>
        </is>
      </c>
      <c r="N1322" s="187" t="inlineStr">
        <is>
          <t>See NVD references</t>
        </is>
      </c>
      <c r="O1322" s="187" t="inlineStr">
        <is>
          <t>Apply vendor patches</t>
        </is>
      </c>
      <c r="P1322" s="187" t="inlineStr">
        <is>
          <t>See CVE details</t>
        </is>
      </c>
      <c r="Q1322" s="187" t="inlineStr">
        <is>
          <t>P4</t>
        </is>
      </c>
      <c r="R1322" s="187" t="inlineStr">
        <is>
          <t>📅 Schedule patch deployment within 30 days | 🔍 Monitor for exploitation attempts</t>
        </is>
      </c>
      <c r="S1322" s="187" t="inlineStr">
        <is>
          <t>CVE - IP enrichment n/a</t>
        </is>
      </c>
      <c r="T1322" s="187" t="n">
        <v>0</v>
      </c>
      <c r="U1322" s="187" t="n">
        <v>0</v>
      </c>
      <c r="V1322" s="187" t="inlineStr">
        <is>
          <t>T1189:Drive-by Compromise</t>
        </is>
      </c>
      <c r="W1322" s="187" t="n">
        <v>1</v>
      </c>
      <c r="X1322" s="187" t="inlineStr">
        <is>
          <t>LOW (40%)</t>
        </is>
      </c>
      <c r="Y1322" s="187" t="inlineStr">
        <is>
          <t>UNLIKELY</t>
        </is>
      </c>
      <c r="Z1322" s="187" t="inlineStr">
        <is>
          <t>CHECK_VENDOR</t>
        </is>
      </c>
      <c r="AA1322" s="187" t="inlineStr">
        <is>
          <t>https://nvd.nist.gov/vuln/detail/CVE-2026-27612</t>
        </is>
      </c>
      <c r="AB1322" s="187" t="inlineStr">
        <is>
          <t>NONE</t>
        </is>
      </c>
      <c r="AC1322" s="187" t="n">
        <v>0</v>
      </c>
      <c r="AD1322" s="187" t="inlineStr"/>
    </row>
    <row r="1323">
      <c r="A1323" s="189" t="inlineStr">
        <is>
          <t>CVE</t>
        </is>
      </c>
      <c r="B1323" s="189" t="inlineStr">
        <is>
          <t>CVE-2026-27614</t>
        </is>
      </c>
      <c r="C1323" s="189" t="inlineStr">
        <is>
          <t>Bugsink is a self-hosted error tracking tool. In versions prior to 2.0.13, an unauthenticated attacker who can submit events to a Bugsink project can store arbitrary JavaScript in an event. The payload executes only if a user explicitly views the affected Stacktrace in the web UI. When Pygments returns more lines than it was given (a known upstream quirk that triggers with Ruby heredoc-style input), `_pygmentize_lines()` in `theme/templatetags/issues.py:75-77` falls back to returning the raw inp</t>
        </is>
      </c>
      <c r="D1323" s="189" t="n">
        <v>9.300000000000001</v>
      </c>
      <c r="E1323" s="189" t="inlineStr">
        <is>
          <t>CRITICAL</t>
        </is>
      </c>
      <c r="F1323" s="189" t="n">
        <v>2</v>
      </c>
      <c r="G1323" s="189" t="n">
        <v>3</v>
      </c>
      <c r="H1323" s="189" t="inlineStr">
        <is>
          <t>HIGH</t>
        </is>
      </c>
      <c r="I1323" s="189" t="n">
        <v>15.3</v>
      </c>
      <c r="J1323" s="189" t="inlineStr">
        <is>
          <t>NO</t>
        </is>
      </c>
      <c r="K1323" s="189" t="inlineStr">
        <is>
          <t>https://nvd.nist.gov/vuln/detail/CVE-2026-27614</t>
        </is>
      </c>
      <c r="L1323" s="189" t="inlineStr">
        <is>
          <t>2026-02-26 00:15</t>
        </is>
      </c>
      <c r="M1323" s="189" t="inlineStr">
        <is>
          <t>CHECK_VENDOR</t>
        </is>
      </c>
      <c r="N1323" s="189" t="inlineStr">
        <is>
          <t>See NVD references</t>
        </is>
      </c>
      <c r="O1323" s="189" t="inlineStr">
        <is>
          <t>Apply vendor patches</t>
        </is>
      </c>
      <c r="P1323" s="189" t="inlineStr">
        <is>
          <t>See CVE details</t>
        </is>
      </c>
      <c r="Q1323" s="189" t="inlineStr">
        <is>
          <t>P3</t>
        </is>
      </c>
      <c r="R1323" s="189" t="inlineStr">
        <is>
          <t>🚨 URGENT: Apply vendor patches immediately | 🔒 Isolate affected systems if patch unavailable | 🛡️ Enable additional monitoring/IDS rules</t>
        </is>
      </c>
      <c r="S1323" s="189" t="inlineStr">
        <is>
          <t>CVE - IP enrichment n/a</t>
        </is>
      </c>
      <c r="T1323" s="189" t="n">
        <v>0</v>
      </c>
      <c r="U1323" s="189" t="n">
        <v>0</v>
      </c>
      <c r="V1323" s="189" t="inlineStr">
        <is>
          <t>T1189:Drive-by Compromise</t>
        </is>
      </c>
      <c r="W1323" s="189" t="n">
        <v>1</v>
      </c>
      <c r="X1323" s="189" t="inlineStr">
        <is>
          <t>LOW (40%)</t>
        </is>
      </c>
      <c r="Y1323" s="189" t="inlineStr">
        <is>
          <t>UNLIKELY</t>
        </is>
      </c>
      <c r="Z1323" s="189" t="inlineStr">
        <is>
          <t>CHECK_VENDOR</t>
        </is>
      </c>
      <c r="AA1323" s="189" t="inlineStr">
        <is>
          <t>https://nvd.nist.gov/vuln/detail/CVE-2026-27614</t>
        </is>
      </c>
      <c r="AB1323" s="189" t="inlineStr">
        <is>
          <t>NONE</t>
        </is>
      </c>
      <c r="AC1323" s="189" t="n">
        <v>0</v>
      </c>
      <c r="AD1323" s="189" t="inlineStr"/>
    </row>
    <row r="1324">
      <c r="A1324" s="188" t="inlineStr">
        <is>
          <t>CVE</t>
        </is>
      </c>
      <c r="B1324" s="188" t="inlineStr">
        <is>
          <t>CVE-2026-27615</t>
        </is>
      </c>
      <c r="C1324" s="188" t="inlineStr">
        <is>
          <t>ADB Explorer is a fluent UI for ADB on Windows. In versions prior to Beta 0.9.26022, ADB-Explorer allows the `ManualAdbPath` settings variable, which determines the path of the ADB binary to be executed, to be set to a Universal Naming Convention (UNC) path in the application's settings file. This allows an attacker to set the binary's path to point to a remote network resource, hosted on an attacker-controlled network share, thus granting the attacker full control over the binary being executed</t>
        </is>
      </c>
      <c r="D1324" s="188" t="n">
        <v>8.5</v>
      </c>
      <c r="E1324" s="188" t="inlineStr">
        <is>
          <t>HIGH</t>
        </is>
      </c>
      <c r="F1324" s="188" t="n">
        <v>2</v>
      </c>
      <c r="G1324" s="188" t="n">
        <v>3</v>
      </c>
      <c r="H1324" s="188" t="inlineStr">
        <is>
          <t>HIGH</t>
        </is>
      </c>
      <c r="I1324" s="188" t="n">
        <v>14.5</v>
      </c>
      <c r="J1324" s="188" t="inlineStr">
        <is>
          <t>NO</t>
        </is>
      </c>
      <c r="K1324" s="188" t="inlineStr">
        <is>
          <t>https://nvd.nist.gov/vuln/detail/CVE-2026-27615</t>
        </is>
      </c>
      <c r="L1324" s="188" t="inlineStr">
        <is>
          <t>2026-02-26 00:15</t>
        </is>
      </c>
      <c r="M1324" s="188" t="inlineStr">
        <is>
          <t>CHECK_VENDOR</t>
        </is>
      </c>
      <c r="N1324" s="188" t="inlineStr">
        <is>
          <t>See NVD references</t>
        </is>
      </c>
      <c r="O1324" s="188" t="inlineStr">
        <is>
          <t>Apply vendor patches</t>
        </is>
      </c>
      <c r="P1324" s="188" t="inlineStr">
        <is>
          <t>See CVE details</t>
        </is>
      </c>
      <c r="Q1324" s="188" t="inlineStr">
        <is>
          <t>P3</t>
        </is>
      </c>
      <c r="R1324" s="188" t="inlineStr">
        <is>
          <t>🚨 URGENT: Apply vendor patches immediately | 🔒 Isolate affected systems if patch unavailable | 🛡️ Enable additional monitoring/IDS rules</t>
        </is>
      </c>
      <c r="S1324" s="188" t="inlineStr">
        <is>
          <t>CVE - IP enrichment n/a</t>
        </is>
      </c>
      <c r="T1324" s="188" t="n">
        <v>0</v>
      </c>
      <c r="U1324" s="188" t="n">
        <v>0</v>
      </c>
      <c r="V1324" s="188" t="inlineStr">
        <is>
          <t>T1190:Exploit Public-Facing Application</t>
        </is>
      </c>
      <c r="W1324" s="188" t="n">
        <v>1</v>
      </c>
      <c r="X1324" s="188" t="inlineStr">
        <is>
          <t>LOW (40%)</t>
        </is>
      </c>
      <c r="Y1324" s="188" t="inlineStr">
        <is>
          <t>UNLIKELY</t>
        </is>
      </c>
      <c r="Z1324" s="188" t="inlineStr">
        <is>
          <t>CHECK_VENDOR</t>
        </is>
      </c>
      <c r="AA1324" s="188" t="inlineStr">
        <is>
          <t>https://nvd.nist.gov/vuln/detail/CVE-2026-27615</t>
        </is>
      </c>
      <c r="AB1324" s="188" t="inlineStr">
        <is>
          <t>NONE</t>
        </is>
      </c>
      <c r="AC1324" s="188" t="n">
        <v>0</v>
      </c>
      <c r="AD1324" s="188" t="inlineStr"/>
    </row>
    <row r="1325">
      <c r="A1325" s="187" t="inlineStr">
        <is>
          <t>CVE</t>
        </is>
      </c>
      <c r="B1325" s="187" t="inlineStr">
        <is>
          <t>CVE-2026-27621</t>
        </is>
      </c>
      <c r="C1325" s="187" t="inlineStr">
        <is>
          <t>TypiCMS is a multilingual content management system based on the Laravel framework. A Stored Cross-Site Scripting (XSS) vulnerability exists in the file upload module of TypiCMS prior to version 16.1.7. The application allows users with file upload permissions to upload SVG files. While there is a MIME type validation, the content of the SVG file is not sanitized. An attacker can upload a specially crafted SVG file containing malicious JavaScript code. When another user (such as an administrator</t>
        </is>
      </c>
      <c r="D1325" s="187" t="n">
        <v>5</v>
      </c>
      <c r="E1325" s="187" t="inlineStr">
        <is>
          <t>MEDIUM</t>
        </is>
      </c>
      <c r="F1325" s="187" t="n">
        <v>2</v>
      </c>
      <c r="G1325" s="187" t="n">
        <v>2</v>
      </c>
      <c r="H1325" s="187" t="inlineStr">
        <is>
          <t>MEDIUM</t>
        </is>
      </c>
      <c r="I1325" s="187" t="n">
        <v>9</v>
      </c>
      <c r="J1325" s="187" t="inlineStr">
        <is>
          <t>NO</t>
        </is>
      </c>
      <c r="K1325" s="187" t="inlineStr">
        <is>
          <t>https://nvd.nist.gov/vuln/detail/CVE-2026-27621</t>
        </is>
      </c>
      <c r="L1325" s="187" t="inlineStr">
        <is>
          <t>2026-02-26 00:15</t>
        </is>
      </c>
      <c r="M1325" s="187" t="inlineStr">
        <is>
          <t>CHECK_VENDOR</t>
        </is>
      </c>
      <c r="N1325" s="187" t="inlineStr">
        <is>
          <t>See NVD references</t>
        </is>
      </c>
      <c r="O1325" s="187" t="inlineStr">
        <is>
          <t>Apply vendor patches</t>
        </is>
      </c>
      <c r="P1325" s="187" t="inlineStr">
        <is>
          <t>See CVE details</t>
        </is>
      </c>
      <c r="Q1325" s="187" t="inlineStr">
        <is>
          <t>P4</t>
        </is>
      </c>
      <c r="R1325" s="187" t="inlineStr">
        <is>
          <t>📅 Schedule patch deployment within 30 days | 🔍 Monitor for exploitation attempts</t>
        </is>
      </c>
      <c r="S1325" s="187" t="inlineStr">
        <is>
          <t>CVE - IP enrichment n/a</t>
        </is>
      </c>
      <c r="T1325" s="187" t="n">
        <v>0</v>
      </c>
      <c r="U1325" s="187" t="n">
        <v>0</v>
      </c>
      <c r="V1325" s="187" t="inlineStr">
        <is>
          <t>T1189:Drive-by Compromise</t>
        </is>
      </c>
      <c r="W1325" s="187" t="n">
        <v>1</v>
      </c>
      <c r="X1325" s="187" t="inlineStr">
        <is>
          <t>LOW (40%)</t>
        </is>
      </c>
      <c r="Y1325" s="187" t="inlineStr">
        <is>
          <t>UNLIKELY</t>
        </is>
      </c>
      <c r="Z1325" s="187" t="inlineStr">
        <is>
          <t>CHECK_VENDOR</t>
        </is>
      </c>
      <c r="AA1325" s="187" t="inlineStr">
        <is>
          <t>https://nvd.nist.gov/vuln/detail/CVE-2026-27621</t>
        </is>
      </c>
      <c r="AB1325" s="187" t="inlineStr">
        <is>
          <t>NONE</t>
        </is>
      </c>
      <c r="AC1325" s="187" t="n">
        <v>0</v>
      </c>
      <c r="AD1325" s="187" t="inlineStr"/>
    </row>
    <row r="1326">
      <c r="A1326" s="189" t="inlineStr">
        <is>
          <t>CVE</t>
        </is>
      </c>
      <c r="B1326" s="189" t="inlineStr">
        <is>
          <t>CVE-2026-27626</t>
        </is>
      </c>
      <c r="C1326" s="189" t="inlineStr">
        <is>
          <t xml:space="preserve">OliveTin gives access to predefined shell commands from a web interface. In versions up to and including 3000.10.0, OliveTin's shell mode safety check (`checkShellArgumentSafety`) blocks several dangerous argument types but not `password`. A user supplying a `password`-typed argument can inject shell metacharacters that execute arbitrary OS commands. A second independent vector allows unauthenticated RCE via webhook-extracted JSON values that skip type safety checks entirely before reaching `sh </t>
        </is>
      </c>
      <c r="D1326" s="189" t="n">
        <v>9.9</v>
      </c>
      <c r="E1326" s="189" t="inlineStr">
        <is>
          <t>CRITICAL</t>
        </is>
      </c>
      <c r="F1326" s="189" t="n">
        <v>2</v>
      </c>
      <c r="G1326" s="189" t="n">
        <v>3</v>
      </c>
      <c r="H1326" s="189" t="inlineStr">
        <is>
          <t>HIGH</t>
        </is>
      </c>
      <c r="I1326" s="189" t="n">
        <v>15.9</v>
      </c>
      <c r="J1326" s="189" t="inlineStr">
        <is>
          <t>NO</t>
        </is>
      </c>
      <c r="K1326" s="189" t="inlineStr">
        <is>
          <t>https://nvd.nist.gov/vuln/detail/CVE-2026-27626</t>
        </is>
      </c>
      <c r="L1326" s="189" t="inlineStr">
        <is>
          <t>2026-02-26 00:15</t>
        </is>
      </c>
      <c r="M1326" s="189" t="inlineStr">
        <is>
          <t>CHECK_VENDOR</t>
        </is>
      </c>
      <c r="N1326" s="189" t="inlineStr">
        <is>
          <t>See NVD references</t>
        </is>
      </c>
      <c r="O1326" s="189" t="inlineStr">
        <is>
          <t>Apply vendor patches</t>
        </is>
      </c>
      <c r="P1326" s="189" t="inlineStr">
        <is>
          <t>See CVE details</t>
        </is>
      </c>
      <c r="Q1326" s="189" t="inlineStr">
        <is>
          <t>P3</t>
        </is>
      </c>
      <c r="R1326" s="189" t="inlineStr">
        <is>
          <t>🚨 URGENT: Apply vendor patches immediately | 🔒 Isolate affected systems if patch unavailable | 🛡️ Enable additional monitoring/IDS rules</t>
        </is>
      </c>
      <c r="S1326" s="189" t="inlineStr">
        <is>
          <t>CVE - IP enrichment n/a</t>
        </is>
      </c>
      <c r="T1326" s="189" t="n">
        <v>0</v>
      </c>
      <c r="U1326" s="189" t="n">
        <v>0</v>
      </c>
      <c r="V1326" s="189" t="inlineStr">
        <is>
          <t>T1059:Command and Scripting Interpreter | T1190:Exploit Public-Facing Application</t>
        </is>
      </c>
      <c r="W1326" s="189" t="n">
        <v>1</v>
      </c>
      <c r="X1326" s="189" t="inlineStr">
        <is>
          <t>LOW (40%)</t>
        </is>
      </c>
      <c r="Y1326" s="189" t="inlineStr">
        <is>
          <t>UNLIKELY</t>
        </is>
      </c>
      <c r="Z1326" s="189" t="inlineStr">
        <is>
          <t>CHECK_VENDOR</t>
        </is>
      </c>
      <c r="AA1326" s="189" t="inlineStr">
        <is>
          <t>https://nvd.nist.gov/vuln/detail/CVE-2026-27626</t>
        </is>
      </c>
      <c r="AB1326" s="189" t="inlineStr">
        <is>
          <t>NONE</t>
        </is>
      </c>
      <c r="AC1326" s="189" t="n">
        <v>0</v>
      </c>
      <c r="AD1326" s="189" t="inlineStr"/>
    </row>
    <row r="1327">
      <c r="A1327" s="188" t="inlineStr">
        <is>
          <t>CVE</t>
        </is>
      </c>
      <c r="B1327" s="188" t="inlineStr">
        <is>
          <t>CVE-2026-27628</t>
        </is>
      </c>
      <c r="C1327" s="188" t="inlineStr">
        <is>
          <t>pypdf is a free and open-source pure-python PDF library. Prior to 6.7.2, an attacker who uses this vulnerability can craft a PDF which leads to an infinite loop. This requires reading the file. This has been fixed in pypdf 6.7.2. As a workaround, one may apply the patch manually.</t>
        </is>
      </c>
      <c r="D1327" s="188" t="n">
        <v>7.5</v>
      </c>
      <c r="E1327" s="188" t="inlineStr">
        <is>
          <t>HIGH</t>
        </is>
      </c>
      <c r="F1327" s="188" t="n">
        <v>2</v>
      </c>
      <c r="G1327" s="188" t="n">
        <v>3</v>
      </c>
      <c r="H1327" s="188" t="inlineStr">
        <is>
          <t>HIGH</t>
        </is>
      </c>
      <c r="I1327" s="188" t="n">
        <v>13.5</v>
      </c>
      <c r="J1327" s="188" t="inlineStr">
        <is>
          <t>NO</t>
        </is>
      </c>
      <c r="K1327" s="188" t="inlineStr">
        <is>
          <t>https://nvd.nist.gov/vuln/detail/CVE-2026-27628</t>
        </is>
      </c>
      <c r="L1327" s="188" t="inlineStr">
        <is>
          <t>2026-02-26 00:15</t>
        </is>
      </c>
      <c r="M1327" s="188" t="inlineStr">
        <is>
          <t>YES</t>
        </is>
      </c>
      <c r="N1327" s="188" t="inlineStr">
        <is>
          <t>https://github.com/py-pdf/pypdf/commit/0fbd95938724ad2d72688d4112207c0590f0483f | https://github.com/py-pdf/pypdf/issues/3654 | https://github.com/py-pdf/pypdf/security/advisories/GHSA-2rw7-x74f-jg35</t>
        </is>
      </c>
      <c r="O1327" s="188" t="inlineStr">
        <is>
          <t>Apply vendor patches</t>
        </is>
      </c>
      <c r="P1327" s="188" t="inlineStr">
        <is>
          <t>pypdf_project pypdf *</t>
        </is>
      </c>
      <c r="Q1327" s="188" t="inlineStr">
        <is>
          <t>P3</t>
        </is>
      </c>
      <c r="R1327" s="188" t="inlineStr">
        <is>
          <t>🚨 URGENT: Apply vendor patches immediately | 🔒 Isolate affected systems if patch unavailable | 🛡️ Enable additional monitoring/IDS rules</t>
        </is>
      </c>
      <c r="S1327" s="188" t="inlineStr">
        <is>
          <t>CVE - IP enrichment n/a</t>
        </is>
      </c>
      <c r="T1327" s="188" t="n">
        <v>0</v>
      </c>
      <c r="U1327" s="188" t="n">
        <v>0</v>
      </c>
      <c r="V1327" s="188" t="inlineStr">
        <is>
          <t>T1190:Exploit Public-Facing Application</t>
        </is>
      </c>
      <c r="W1327" s="188" t="n">
        <v>1</v>
      </c>
      <c r="X1327" s="188" t="inlineStr">
        <is>
          <t>LOW (40%)</t>
        </is>
      </c>
      <c r="Y1327" s="188" t="inlineStr">
        <is>
          <t>UNLIKELY</t>
        </is>
      </c>
      <c r="Z1327" s="188" t="inlineStr">
        <is>
          <t>PATCH_AVAILABLE</t>
        </is>
      </c>
      <c r="AA1327" s="188" t="inlineStr">
        <is>
          <t>https://nvd.nist.gov/vuln/detail/CVE-2026-27628</t>
        </is>
      </c>
      <c r="AB1327" s="188" t="inlineStr">
        <is>
          <t>NONE</t>
        </is>
      </c>
      <c r="AC1327" s="188" t="n">
        <v>0</v>
      </c>
      <c r="AD1327" s="188" t="inlineStr"/>
    </row>
    <row r="1328">
      <c r="A1328" s="187" t="inlineStr">
        <is>
          <t>CVE</t>
        </is>
      </c>
      <c r="B1328" s="187" t="inlineStr">
        <is>
          <t>CVE-2026-27629</t>
        </is>
      </c>
      <c r="C1328" s="187" t="inlineStr">
        <is>
          <t>InvenTree is an Open Source Inventory Management System. Prior to version 1.2.3, insecure server-side templates can be hijacked to expose secure information to the client. When generating custom batch codes, the InvenTree server makes use of a customizable jinja2 template, which can be modified by a staff user to exfiltrate sensitive information or perform code execution on the server. This issue requires access by a user with granted staff permissions, followed by a request to generate a custom</t>
        </is>
      </c>
      <c r="D1328" s="187" t="n">
        <v>5.9</v>
      </c>
      <c r="E1328" s="187" t="inlineStr">
        <is>
          <t>MEDIUM</t>
        </is>
      </c>
      <c r="F1328" s="187" t="n">
        <v>2</v>
      </c>
      <c r="G1328" s="187" t="n">
        <v>2</v>
      </c>
      <c r="H1328" s="187" t="inlineStr">
        <is>
          <t>MEDIUM</t>
        </is>
      </c>
      <c r="I1328" s="187" t="n">
        <v>9.9</v>
      </c>
      <c r="J1328" s="187" t="inlineStr">
        <is>
          <t>NO</t>
        </is>
      </c>
      <c r="K1328" s="187" t="inlineStr">
        <is>
          <t>https://nvd.nist.gov/vuln/detail/CVE-2026-27629</t>
        </is>
      </c>
      <c r="L1328" s="187" t="inlineStr">
        <is>
          <t>2026-02-26 00:15</t>
        </is>
      </c>
      <c r="M1328" s="187" t="inlineStr">
        <is>
          <t>CHECK_VENDOR</t>
        </is>
      </c>
      <c r="N1328" s="187" t="inlineStr">
        <is>
          <t>See NVD references</t>
        </is>
      </c>
      <c r="O1328" s="187" t="inlineStr">
        <is>
          <t>Apply vendor patches</t>
        </is>
      </c>
      <c r="P1328" s="187" t="inlineStr">
        <is>
          <t>See CVE details</t>
        </is>
      </c>
      <c r="Q1328" s="187" t="inlineStr">
        <is>
          <t>P4</t>
        </is>
      </c>
      <c r="R1328" s="187" t="inlineStr">
        <is>
          <t>📅 Schedule patch deployment within 30 days | 🔍 Monitor for exploitation attempts</t>
        </is>
      </c>
      <c r="S1328" s="187" t="inlineStr">
        <is>
          <t>CVE - IP enrichment n/a</t>
        </is>
      </c>
      <c r="T1328" s="187" t="n">
        <v>0</v>
      </c>
      <c r="U1328" s="187" t="n">
        <v>0</v>
      </c>
      <c r="V1328" s="187" t="inlineStr">
        <is>
          <t>T1190:Exploit Public-Facing Application</t>
        </is>
      </c>
      <c r="W1328" s="187" t="n">
        <v>1</v>
      </c>
      <c r="X1328" s="187" t="inlineStr">
        <is>
          <t>LOW (40%)</t>
        </is>
      </c>
      <c r="Y1328" s="187" t="inlineStr">
        <is>
          <t>UNLIKELY</t>
        </is>
      </c>
      <c r="Z1328" s="187" t="inlineStr">
        <is>
          <t>CHECK_VENDOR</t>
        </is>
      </c>
      <c r="AA1328" s="187" t="inlineStr">
        <is>
          <t>https://nvd.nist.gov/vuln/detail/CVE-2026-27629</t>
        </is>
      </c>
      <c r="AB1328" s="187" t="inlineStr">
        <is>
          <t>NONE</t>
        </is>
      </c>
      <c r="AC1328" s="187" t="n">
        <v>0</v>
      </c>
      <c r="AD1328" s="187" t="inlineStr"/>
    </row>
    <row r="1329">
      <c r="A1329" s="190" t="inlineStr">
        <is>
          <t>CVE</t>
        </is>
      </c>
      <c r="B1329" s="190" t="inlineStr">
        <is>
          <t>CVE-2026-27632</t>
        </is>
      </c>
      <c r="C1329" s="190" t="inlineStr">
        <is>
          <t xml:space="preserve">Talishar is a fan-made Flesh and Blood project. Prior to commit 6be3871a14c192d1fb8146cdbc76f29f27c1cf48, the Talishar application lacks Cross-Site Request Forgery (CSRF) protections on critical state-changing endpoints, specifically within `SubmitChat.php` and other game interaction handlers. By failing to require unique, unpredictable session tokens, the application allows third-party malicious websites to forge requests on behalf of authenticated users, leading to unauthorized actions within </t>
        </is>
      </c>
      <c r="D1329" s="190" t="n">
        <v>2.6</v>
      </c>
      <c r="E1329" s="190" t="inlineStr">
        <is>
          <t>LOW</t>
        </is>
      </c>
      <c r="F1329" s="190" t="n">
        <v>2</v>
      </c>
      <c r="G1329" s="190" t="n">
        <v>1</v>
      </c>
      <c r="H1329" s="190" t="inlineStr">
        <is>
          <t>LOW</t>
        </is>
      </c>
      <c r="I1329" s="190" t="n">
        <v>4.6</v>
      </c>
      <c r="J1329" s="190" t="inlineStr">
        <is>
          <t>NO</t>
        </is>
      </c>
      <c r="K1329" s="190" t="inlineStr">
        <is>
          <t>https://nvd.nist.gov/vuln/detail/CVE-2026-27632</t>
        </is>
      </c>
      <c r="L1329" s="190" t="inlineStr">
        <is>
          <t>2026-02-26 00:15</t>
        </is>
      </c>
      <c r="M1329" s="190" t="inlineStr">
        <is>
          <t>CHECK_VENDOR</t>
        </is>
      </c>
      <c r="N1329" s="190" t="inlineStr">
        <is>
          <t>See NVD references</t>
        </is>
      </c>
      <c r="O1329" s="190" t="inlineStr">
        <is>
          <t>Apply vendor patches</t>
        </is>
      </c>
      <c r="P1329" s="190" t="inlineStr">
        <is>
          <t>See CVE details</t>
        </is>
      </c>
      <c r="Q1329" s="190" t="inlineStr">
        <is>
          <t>P4</t>
        </is>
      </c>
      <c r="R1329" s="190" t="inlineStr">
        <is>
          <t>📅 Schedule patch deployment within 30 days | 🔍 Monitor for exploitation attempts</t>
        </is>
      </c>
      <c r="S1329" s="190" t="inlineStr">
        <is>
          <t>CVE - IP enrichment n/a</t>
        </is>
      </c>
      <c r="T1329" s="190" t="n">
        <v>0.0001</v>
      </c>
      <c r="U1329" s="190" t="n">
        <v>0.0255</v>
      </c>
      <c r="V1329" s="190" t="inlineStr">
        <is>
          <t>T1185:Browser Session Hijacking</t>
        </is>
      </c>
      <c r="W1329" s="190" t="n">
        <v>1</v>
      </c>
      <c r="X1329" s="190" t="inlineStr">
        <is>
          <t>LOW (40%)</t>
        </is>
      </c>
      <c r="Y1329" s="190" t="inlineStr">
        <is>
          <t>UNLIKELY</t>
        </is>
      </c>
      <c r="Z1329" s="190" t="inlineStr">
        <is>
          <t>CHECK_VENDOR</t>
        </is>
      </c>
      <c r="AA1329" s="190" t="inlineStr">
        <is>
          <t>https://nvd.nist.gov/vuln/detail/CVE-2026-27632</t>
        </is>
      </c>
      <c r="AB1329" s="190" t="inlineStr">
        <is>
          <t>NONE</t>
        </is>
      </c>
      <c r="AC1329" s="190" t="n">
        <v>0</v>
      </c>
      <c r="AD1329" s="190" t="inlineStr"/>
    </row>
    <row r="1330">
      <c r="A1330" s="189" t="inlineStr">
        <is>
          <t>CVE</t>
        </is>
      </c>
      <c r="B1330" s="189" t="inlineStr">
        <is>
          <t>CVE-2026-27822</t>
        </is>
      </c>
      <c r="C1330" s="189" t="inlineStr">
        <is>
          <t>RustFS is a distributed object storage system built in Rust. Prior to version 1.0.0-alpha.83, a Stored Cross-Site Scripting (XSS) vulnerability in the RustFS Console allows an attacker to execute arbitrary JavaScript in the context of the management console. By bypassing the PDF preview logic, an attacker can steal administrator credentials from `localStorage`, leading to full account takeover and system compromise. Version 1.0.0-alpha.83 fixes the issue.</t>
        </is>
      </c>
      <c r="D1330" s="189" t="n">
        <v>9</v>
      </c>
      <c r="E1330" s="189" t="inlineStr">
        <is>
          <t>CRITICAL</t>
        </is>
      </c>
      <c r="F1330" s="189" t="n">
        <v>2</v>
      </c>
      <c r="G1330" s="189" t="n">
        <v>3</v>
      </c>
      <c r="H1330" s="189" t="inlineStr">
        <is>
          <t>HIGH</t>
        </is>
      </c>
      <c r="I1330" s="189" t="n">
        <v>15</v>
      </c>
      <c r="J1330" s="189" t="inlineStr">
        <is>
          <t>NO</t>
        </is>
      </c>
      <c r="K1330" s="189" t="inlineStr">
        <is>
          <t>https://nvd.nist.gov/vuln/detail/CVE-2026-27822</t>
        </is>
      </c>
      <c r="L1330" s="189" t="inlineStr">
        <is>
          <t>2026-02-26 00:15</t>
        </is>
      </c>
      <c r="M1330" s="189" t="inlineStr">
        <is>
          <t>YES</t>
        </is>
      </c>
      <c r="N1330" s="189" t="inlineStr">
        <is>
          <t>https://github.com/rustfs/rustfs/security/advisories/GHSA-v9fg-3cr2-277j</t>
        </is>
      </c>
      <c r="O1330" s="189" t="inlineStr">
        <is>
          <t>Apply vendor patches</t>
        </is>
      </c>
      <c r="P1330" s="189" t="inlineStr">
        <is>
          <t>rustfs rustfs 1.0.0</t>
        </is>
      </c>
      <c r="Q1330" s="189" t="inlineStr">
        <is>
          <t>P3</t>
        </is>
      </c>
      <c r="R1330" s="189" t="inlineStr">
        <is>
          <t>🚨 URGENT: Apply vendor patches immediately | 🔒 Isolate affected systems if patch unavailable | 🛡️ Enable additional monitoring/IDS rules</t>
        </is>
      </c>
      <c r="S1330" s="189" t="inlineStr">
        <is>
          <t>CVE - IP enrichment n/a</t>
        </is>
      </c>
      <c r="T1330" s="189" t="n">
        <v>0</v>
      </c>
      <c r="U1330" s="189" t="n">
        <v>0</v>
      </c>
      <c r="V1330" s="189" t="inlineStr">
        <is>
          <t>T1189:Drive-by Compromise | T1552:Unsecured Credentials</t>
        </is>
      </c>
      <c r="W1330" s="189" t="n">
        <v>1</v>
      </c>
      <c r="X1330" s="189" t="inlineStr">
        <is>
          <t>LOW (40%)</t>
        </is>
      </c>
      <c r="Y1330" s="189" t="inlineStr">
        <is>
          <t>UNLIKELY</t>
        </is>
      </c>
      <c r="Z1330" s="189" t="inlineStr">
        <is>
          <t>PATCH_AVAILABLE</t>
        </is>
      </c>
      <c r="AA1330" s="189" t="inlineStr">
        <is>
          <t>https://nvd.nist.gov/vuln/detail/CVE-2026-27822</t>
        </is>
      </c>
      <c r="AB1330" s="189" t="inlineStr">
        <is>
          <t>NONE</t>
        </is>
      </c>
      <c r="AC1330" s="189" t="n">
        <v>0</v>
      </c>
      <c r="AD1330" s="189" t="inlineStr"/>
    </row>
    <row r="1331">
      <c r="A1331" s="187" t="inlineStr">
        <is>
          <t>CVE</t>
        </is>
      </c>
      <c r="B1331" s="187" t="inlineStr">
        <is>
          <t>CVE-2026-3145</t>
        </is>
      </c>
      <c r="C1331" s="187" t="inlineStr">
        <is>
          <t>A flaw has been found in libvips up to 8.18.0. The affected element is the function vips_foreign_load_matrix_file_is_a/vips_foreign_load_matrix_header of the file libvips/foreign/matrixload.c. Executing a manipulation can lead to memory corruption. The attack needs to be launched locally. This patch is called d4ce337c76bff1b278d7085c3c4f4725e3aa6ece. A patch should be applied to remediate this issue.</t>
        </is>
      </c>
      <c r="D1331" s="187" t="n">
        <v>5.3</v>
      </c>
      <c r="E1331" s="187" t="inlineStr">
        <is>
          <t>MEDIUM</t>
        </is>
      </c>
      <c r="F1331" s="187" t="n">
        <v>2</v>
      </c>
      <c r="G1331" s="187" t="n">
        <v>2</v>
      </c>
      <c r="H1331" s="187" t="inlineStr">
        <is>
          <t>MEDIUM</t>
        </is>
      </c>
      <c r="I1331" s="187" t="n">
        <v>9.300000000000001</v>
      </c>
      <c r="J1331" s="187" t="inlineStr">
        <is>
          <t>NO</t>
        </is>
      </c>
      <c r="K1331" s="187" t="inlineStr">
        <is>
          <t>https://nvd.nist.gov/vuln/detail/CVE-2026-3145</t>
        </is>
      </c>
      <c r="L1331" s="187" t="inlineStr">
        <is>
          <t>2026-02-26 00:15</t>
        </is>
      </c>
      <c r="M1331" s="187" t="inlineStr">
        <is>
          <t>YES</t>
        </is>
      </c>
      <c r="N1331" s="187" t="inlineStr">
        <is>
          <t>https://github.com/libvips/libvips/commit/d4ce337c76bff1b278d7085c3c4f4725e3aa6ece | https://github.com/libvips/libvips/issues/4876 | https://github.com/libvips/libvips/pull/4888</t>
        </is>
      </c>
      <c r="O1331" s="187" t="inlineStr">
        <is>
          <t>Apply vendor patches</t>
        </is>
      </c>
      <c r="P1331" s="187" t="inlineStr">
        <is>
          <t>libvips libvips *</t>
        </is>
      </c>
      <c r="Q1331" s="187" t="inlineStr">
        <is>
          <t>P4</t>
        </is>
      </c>
      <c r="R1331" s="187" t="inlineStr">
        <is>
          <t>📅 Schedule patch deployment within 30 days | 🔍 Monitor for exploitation attempts</t>
        </is>
      </c>
      <c r="S1331" s="187" t="inlineStr">
        <is>
          <t>CVE - IP enrichment n/a</t>
        </is>
      </c>
      <c r="T1331" s="187" t="n">
        <v>0</v>
      </c>
      <c r="U1331" s="187" t="n">
        <v>0</v>
      </c>
      <c r="V1331" s="187" t="inlineStr">
        <is>
          <t>T1203:Exploitation for Client Execution</t>
        </is>
      </c>
      <c r="W1331" s="187" t="n">
        <v>1</v>
      </c>
      <c r="X1331" s="187" t="inlineStr">
        <is>
          <t>LOW (40%)</t>
        </is>
      </c>
      <c r="Y1331" s="187" t="inlineStr">
        <is>
          <t>UNLIKELY</t>
        </is>
      </c>
      <c r="Z1331" s="187" t="inlineStr">
        <is>
          <t>PATCH_AVAILABLE</t>
        </is>
      </c>
      <c r="AA1331" s="187" t="inlineStr">
        <is>
          <t>https://nvd.nist.gov/vuln/detail/CVE-2026-3145</t>
        </is>
      </c>
      <c r="AB1331" s="187" t="inlineStr">
        <is>
          <t>NONE</t>
        </is>
      </c>
      <c r="AC1331" s="187" t="n">
        <v>0</v>
      </c>
      <c r="AD1331" s="187" t="inlineStr"/>
    </row>
    <row r="1332">
      <c r="A1332" s="190" t="inlineStr">
        <is>
          <t>CVE</t>
        </is>
      </c>
      <c r="B1332" s="190" t="inlineStr">
        <is>
          <t>CVE-2026-3146</t>
        </is>
      </c>
      <c r="C1332" s="190" t="inlineStr">
        <is>
          <t>A vulnerability has been found in libvips up to 8.18.0. The impacted element is the function vips_foreign_load_matrix_header of the file libvips/foreign/matrixload.c. The manipulation leads to null pointer dereference. The attack needs to be performed locally. The identifier of the patch is d4ce337c76bff1b278d7085c3c4f4725e3aa6ece. To fix this issue, it is recommended to deploy a patch.</t>
        </is>
      </c>
      <c r="D1332" s="190" t="n">
        <v>3.3</v>
      </c>
      <c r="E1332" s="190" t="inlineStr">
        <is>
          <t>LOW</t>
        </is>
      </c>
      <c r="F1332" s="190" t="n">
        <v>2</v>
      </c>
      <c r="G1332" s="190" t="n">
        <v>1</v>
      </c>
      <c r="H1332" s="190" t="inlineStr">
        <is>
          <t>LOW</t>
        </is>
      </c>
      <c r="I1332" s="190" t="n">
        <v>5.3</v>
      </c>
      <c r="J1332" s="190" t="inlineStr">
        <is>
          <t>NO</t>
        </is>
      </c>
      <c r="K1332" s="190" t="inlineStr">
        <is>
          <t>https://nvd.nist.gov/vuln/detail/CVE-2026-3146</t>
        </is>
      </c>
      <c r="L1332" s="190" t="inlineStr">
        <is>
          <t>2026-02-26 00:15</t>
        </is>
      </c>
      <c r="M1332" s="190" t="inlineStr">
        <is>
          <t>YES</t>
        </is>
      </c>
      <c r="N1332" s="190" t="inlineStr">
        <is>
          <t>https://github.com/libvips/libvips/commit/d4ce337c76bff1b278d7085c3c4f4725e3aa6ece | https://github.com/libvips/libvips/issues/4875 | https://github.com/libvips/libvips/pull/4888</t>
        </is>
      </c>
      <c r="O1332" s="190" t="inlineStr">
        <is>
          <t>Apply vendor patches</t>
        </is>
      </c>
      <c r="P1332" s="190" t="inlineStr">
        <is>
          <t>libvips libvips *</t>
        </is>
      </c>
      <c r="Q1332" s="190" t="inlineStr">
        <is>
          <t>P4</t>
        </is>
      </c>
      <c r="R1332" s="190" t="inlineStr">
        <is>
          <t>📅 Schedule patch deployment within 30 days | 🔍 Monitor for exploitation attempts</t>
        </is>
      </c>
      <c r="S1332" s="190" t="inlineStr">
        <is>
          <t>CVE - IP enrichment n/a</t>
        </is>
      </c>
      <c r="T1332" s="190" t="n">
        <v>0</v>
      </c>
      <c r="U1332" s="190" t="n">
        <v>0</v>
      </c>
      <c r="V1332" s="190" t="inlineStr">
        <is>
          <t>T1190:Exploit Public-Facing Application</t>
        </is>
      </c>
      <c r="W1332" s="190" t="n">
        <v>1</v>
      </c>
      <c r="X1332" s="190" t="inlineStr">
        <is>
          <t>LOW (40%)</t>
        </is>
      </c>
      <c r="Y1332" s="190" t="inlineStr">
        <is>
          <t>UNLIKELY</t>
        </is>
      </c>
      <c r="Z1332" s="190" t="inlineStr">
        <is>
          <t>PATCH_AVAILABLE</t>
        </is>
      </c>
      <c r="AA1332" s="190" t="inlineStr">
        <is>
          <t>https://nvd.nist.gov/vuln/detail/CVE-2026-3146</t>
        </is>
      </c>
      <c r="AB1332" s="190" t="inlineStr">
        <is>
          <t>NONE</t>
        </is>
      </c>
      <c r="AC1332" s="190" t="n">
        <v>0</v>
      </c>
      <c r="AD1332" s="190" t="inlineStr"/>
    </row>
    <row r="1333">
      <c r="A1333" s="189" t="inlineStr">
        <is>
          <t>CVE</t>
        </is>
      </c>
      <c r="B1333" s="189" t="inlineStr">
        <is>
          <t>CVE-2026-27597</t>
        </is>
      </c>
      <c r="C1333" s="189" t="inlineStr">
        <is>
          <t>Enclave is a secure JavaScript sandbox designed for safe AI agent code execution. Prior to version 2.11.1, it is possible to escape the security boundraries set by `@enclave-vm/core`, which can be used to achieve remote code execution (RCE). The issue has been fixed in version 2.11.1.</t>
        </is>
      </c>
      <c r="D1333" s="189" t="n">
        <v>10</v>
      </c>
      <c r="E1333" s="189" t="inlineStr">
        <is>
          <t>CRITICAL</t>
        </is>
      </c>
      <c r="F1333" s="189" t="n">
        <v>2</v>
      </c>
      <c r="G1333" s="189" t="n">
        <v>3</v>
      </c>
      <c r="H1333" s="189" t="inlineStr">
        <is>
          <t>HIGH</t>
        </is>
      </c>
      <c r="I1333" s="189" t="n">
        <v>16</v>
      </c>
      <c r="J1333" s="189" t="inlineStr">
        <is>
          <t>NO</t>
        </is>
      </c>
      <c r="K1333" s="189" t="inlineStr">
        <is>
          <t>https://nvd.nist.gov/vuln/detail/CVE-2026-27597</t>
        </is>
      </c>
      <c r="L1333" s="189" t="inlineStr">
        <is>
          <t>2026-02-26 00:15</t>
        </is>
      </c>
      <c r="M1333" s="189" t="inlineStr">
        <is>
          <t>CHECK_VENDOR</t>
        </is>
      </c>
      <c r="N1333" s="189" t="inlineStr">
        <is>
          <t>See NVD references</t>
        </is>
      </c>
      <c r="O1333" s="189" t="inlineStr">
        <is>
          <t>Apply vendor patches</t>
        </is>
      </c>
      <c r="P1333" s="189" t="inlineStr">
        <is>
          <t>See CVE details</t>
        </is>
      </c>
      <c r="Q1333" s="189" t="inlineStr">
        <is>
          <t>P3</t>
        </is>
      </c>
      <c r="R1333" s="189" t="inlineStr">
        <is>
          <t>🚨 URGENT: Apply vendor patches immediately | 🔒 Isolate affected systems if patch unavailable | 🛡️ Enable additional monitoring/IDS rules</t>
        </is>
      </c>
      <c r="S1333" s="189" t="inlineStr">
        <is>
          <t>CVE - IP enrichment n/a</t>
        </is>
      </c>
      <c r="T1333" s="189" t="n">
        <v>0.0029</v>
      </c>
      <c r="U1333" s="189" t="n">
        <v>0.5179</v>
      </c>
      <c r="V1333" s="189" t="inlineStr">
        <is>
          <t>T1059:Command and Scripting Interpreter | T1190:Exploit Public-Facing Application | T1210:Exploitation of Remote Services</t>
        </is>
      </c>
      <c r="W1333" s="189" t="n">
        <v>1</v>
      </c>
      <c r="X1333" s="189" t="inlineStr">
        <is>
          <t>LOW (40%)</t>
        </is>
      </c>
      <c r="Y1333" s="189" t="inlineStr">
        <is>
          <t>UNLIKELY</t>
        </is>
      </c>
      <c r="Z1333" s="189" t="inlineStr">
        <is>
          <t>CHECK_VENDOR</t>
        </is>
      </c>
      <c r="AA1333" s="189" t="inlineStr">
        <is>
          <t>https://nvd.nist.gov/vuln/detail/CVE-2026-27597</t>
        </is>
      </c>
      <c r="AB1333" s="189" t="inlineStr">
        <is>
          <t>NONE</t>
        </is>
      </c>
      <c r="AC1333" s="189" t="n">
        <v>0</v>
      </c>
      <c r="AD1333" s="189" t="inlineStr"/>
    </row>
    <row r="1334">
      <c r="A1334" s="188" t="inlineStr">
        <is>
          <t>CVE</t>
        </is>
      </c>
      <c r="B1334" s="188" t="inlineStr">
        <is>
          <t>CVE-2026-27627</t>
        </is>
      </c>
      <c r="C1334" s="188" t="inlineStr">
        <is>
          <t>Karakeep is a elf-hostable bookmark-everything app. In version 0.30.0, when the Reddit metascraper plugin returns `readableContentHtml`, the HTML parsing subprocess uses it directly without running it through DOMPurify. Every other content source in the crawler goes through Readability + DOMPurify, but the Reddit path skips both. Since this content ends up in `dangerouslySetInnerHTML` in the reader view, any malicious HTML in the Reddit response gets executed in the user's browser. Version 0.31.</t>
        </is>
      </c>
      <c r="D1334" s="188" t="n">
        <v>8.199999999999999</v>
      </c>
      <c r="E1334" s="188" t="inlineStr">
        <is>
          <t>HIGH</t>
        </is>
      </c>
      <c r="F1334" s="188" t="n">
        <v>2</v>
      </c>
      <c r="G1334" s="188" t="n">
        <v>3</v>
      </c>
      <c r="H1334" s="188" t="inlineStr">
        <is>
          <t>HIGH</t>
        </is>
      </c>
      <c r="I1334" s="188" t="n">
        <v>14.2</v>
      </c>
      <c r="J1334" s="188" t="inlineStr">
        <is>
          <t>NO</t>
        </is>
      </c>
      <c r="K1334" s="188" t="inlineStr">
        <is>
          <t>https://nvd.nist.gov/vuln/detail/CVE-2026-27627</t>
        </is>
      </c>
      <c r="L1334" s="188" t="inlineStr">
        <is>
          <t>2026-02-26 00:15</t>
        </is>
      </c>
      <c r="M1334" s="188" t="inlineStr">
        <is>
          <t>CHECK_VENDOR</t>
        </is>
      </c>
      <c r="N1334" s="188" t="inlineStr">
        <is>
          <t>See NVD references</t>
        </is>
      </c>
      <c r="O1334" s="188" t="inlineStr">
        <is>
          <t>Apply vendor patches</t>
        </is>
      </c>
      <c r="P1334" s="188" t="inlineStr">
        <is>
          <t>See CVE details</t>
        </is>
      </c>
      <c r="Q1334" s="188" t="inlineStr">
        <is>
          <t>P3</t>
        </is>
      </c>
      <c r="R1334" s="188" t="inlineStr">
        <is>
          <t>🚨 URGENT: Apply vendor patches immediately | 🔒 Isolate affected systems if patch unavailable | 🛡️ Enable additional monitoring/IDS rules</t>
        </is>
      </c>
      <c r="S1334" s="188" t="inlineStr">
        <is>
          <t>CVE - IP enrichment n/a</t>
        </is>
      </c>
      <c r="T1334" s="188" t="n">
        <v>0</v>
      </c>
      <c r="U1334" s="188" t="n">
        <v>0</v>
      </c>
      <c r="V1334" s="188" t="inlineStr">
        <is>
          <t>T1189:Drive-by Compromise | T1190:Exploit Public-Facing Application</t>
        </is>
      </c>
      <c r="W1334" s="188" t="n">
        <v>1</v>
      </c>
      <c r="X1334" s="188" t="inlineStr">
        <is>
          <t>LOW (40%)</t>
        </is>
      </c>
      <c r="Y1334" s="188" t="inlineStr">
        <is>
          <t>UNLIKELY</t>
        </is>
      </c>
      <c r="Z1334" s="188" t="inlineStr">
        <is>
          <t>CHECK_VENDOR</t>
        </is>
      </c>
      <c r="AA1334" s="188" t="inlineStr">
        <is>
          <t>https://nvd.nist.gov/vuln/detail/CVE-2026-27627</t>
        </is>
      </c>
      <c r="AB1334" s="188" t="inlineStr">
        <is>
          <t>NONE</t>
        </is>
      </c>
      <c r="AC1334" s="188" t="n">
        <v>0</v>
      </c>
      <c r="AD1334" s="188" t="inlineStr"/>
    </row>
    <row r="1335">
      <c r="A1335" s="188" t="inlineStr">
        <is>
          <t>CVE</t>
        </is>
      </c>
      <c r="B1335" s="188" t="inlineStr">
        <is>
          <t>CVE-2026-27636</t>
        </is>
      </c>
      <c r="C1335" s="188" t="inlineStr">
        <is>
          <t>FreeScout is a free help desk and shared inbox built with PHP's Laravel framework. Prior to version 1.8.206, FreeScout's file upload restriction list in `app/Misc/Helper.php` does not include `.htaccess` or `.user.ini` files. On Apache servers with `AllowOverride All` (a common configuration), an authenticated user can upload a `.htaccess` file to redefine how files are processed, enabling Remote Code Execution. This vulnerability can be exploited on its own or in combination with CVE-2026-27637</t>
        </is>
      </c>
      <c r="D1335" s="188" t="n">
        <v>8.800000000000001</v>
      </c>
      <c r="E1335" s="188" t="inlineStr">
        <is>
          <t>HIGH</t>
        </is>
      </c>
      <c r="F1335" s="188" t="n">
        <v>2</v>
      </c>
      <c r="G1335" s="188" t="n">
        <v>3</v>
      </c>
      <c r="H1335" s="188" t="inlineStr">
        <is>
          <t>HIGH</t>
        </is>
      </c>
      <c r="I1335" s="188" t="n">
        <v>14.8</v>
      </c>
      <c r="J1335" s="188" t="inlineStr">
        <is>
          <t>NO</t>
        </is>
      </c>
      <c r="K1335" s="188" t="inlineStr">
        <is>
          <t>https://nvd.nist.gov/vuln/detail/CVE-2026-27636</t>
        </is>
      </c>
      <c r="L1335" s="188" t="inlineStr">
        <is>
          <t>2026-02-26 00:15</t>
        </is>
      </c>
      <c r="M1335" s="188" t="inlineStr">
        <is>
          <t>CHECK_VENDOR</t>
        </is>
      </c>
      <c r="N1335" s="188" t="inlineStr">
        <is>
          <t>See NVD references</t>
        </is>
      </c>
      <c r="O1335" s="188" t="inlineStr">
        <is>
          <t>Apply vendor patches</t>
        </is>
      </c>
      <c r="P1335" s="188" t="inlineStr">
        <is>
          <t>See CVE details</t>
        </is>
      </c>
      <c r="Q1335" s="188" t="inlineStr">
        <is>
          <t>P3</t>
        </is>
      </c>
      <c r="R1335" s="188" t="inlineStr">
        <is>
          <t>🚨 URGENT: Apply vendor patches immediately | 🔒 Isolate affected systems if patch unavailable | 🛡️ Enable additional monitoring/IDS rules</t>
        </is>
      </c>
      <c r="S1335" s="188" t="inlineStr">
        <is>
          <t>CVE - IP enrichment n/a</t>
        </is>
      </c>
      <c r="T1335" s="188" t="n">
        <v>0</v>
      </c>
      <c r="U1335" s="188" t="n">
        <v>0</v>
      </c>
      <c r="V1335" s="188" t="inlineStr">
        <is>
          <t>T1190:Exploit Public-Facing Application | T1210:Exploitation of Remote Services</t>
        </is>
      </c>
      <c r="W1335" s="188" t="n">
        <v>1</v>
      </c>
      <c r="X1335" s="188" t="inlineStr">
        <is>
          <t>LOW (40%)</t>
        </is>
      </c>
      <c r="Y1335" s="188" t="inlineStr">
        <is>
          <t>UNLIKELY</t>
        </is>
      </c>
      <c r="Z1335" s="188" t="inlineStr">
        <is>
          <t>CHECK_VENDOR</t>
        </is>
      </c>
      <c r="AA1335" s="188" t="inlineStr">
        <is>
          <t>https://nvd.nist.gov/vuln/detail/CVE-2026-27636</t>
        </is>
      </c>
      <c r="AB1335" s="188" t="inlineStr">
        <is>
          <t>NONE</t>
        </is>
      </c>
      <c r="AC1335" s="188" t="n">
        <v>0</v>
      </c>
      <c r="AD1335" s="188" t="inlineStr"/>
    </row>
    <row r="1336">
      <c r="A1336" s="189" t="inlineStr">
        <is>
          <t>CVE</t>
        </is>
      </c>
      <c r="B1336" s="189" t="inlineStr">
        <is>
          <t>CVE-2026-27637</t>
        </is>
      </c>
      <c r="C1336" s="189" t="inlineStr">
        <is>
          <t>FreeScout is a free help desk and shared inbox built with PHP's Laravel framework. Prior to version 1.8.206, FreeScout's `TokenAuth` middleware uses a predictable authentication token computed as `MD5(user_id + created_at + APP_KEY)`. This token is static (never expires/rotates), and if an attacker obtains the `APP_KEY` — a well-documented and common exposure vector in Laravel applications — they can compute a valid token for any user, including the administrator, achieving full account takeover</t>
        </is>
      </c>
      <c r="D1336" s="189" t="n">
        <v>9.800000000000001</v>
      </c>
      <c r="E1336" s="189" t="inlineStr">
        <is>
          <t>CRITICAL</t>
        </is>
      </c>
      <c r="F1336" s="189" t="n">
        <v>2</v>
      </c>
      <c r="G1336" s="189" t="n">
        <v>3</v>
      </c>
      <c r="H1336" s="189" t="inlineStr">
        <is>
          <t>HIGH</t>
        </is>
      </c>
      <c r="I1336" s="189" t="n">
        <v>15.8</v>
      </c>
      <c r="J1336" s="189" t="inlineStr">
        <is>
          <t>NO</t>
        </is>
      </c>
      <c r="K1336" s="189" t="inlineStr">
        <is>
          <t>https://nvd.nist.gov/vuln/detail/CVE-2026-27637</t>
        </is>
      </c>
      <c r="L1336" s="189" t="inlineStr">
        <is>
          <t>2026-02-26 00:15</t>
        </is>
      </c>
      <c r="M1336" s="189" t="inlineStr">
        <is>
          <t>CHECK_VENDOR</t>
        </is>
      </c>
      <c r="N1336" s="189" t="inlineStr">
        <is>
          <t>See NVD references</t>
        </is>
      </c>
      <c r="O1336" s="189" t="inlineStr">
        <is>
          <t>Apply vendor patches</t>
        </is>
      </c>
      <c r="P1336" s="189" t="inlineStr">
        <is>
          <t>See CVE details</t>
        </is>
      </c>
      <c r="Q1336" s="189" t="inlineStr">
        <is>
          <t>P3</t>
        </is>
      </c>
      <c r="R1336" s="189" t="inlineStr">
        <is>
          <t>🚨 URGENT: Apply vendor patches immediately | 🔒 Isolate affected systems if patch unavailable | 🛡️ Enable additional monitoring/IDS rules</t>
        </is>
      </c>
      <c r="S1336" s="189" t="inlineStr">
        <is>
          <t>CVE - IP enrichment n/a</t>
        </is>
      </c>
      <c r="T1336" s="189" t="n">
        <v>0</v>
      </c>
      <c r="U1336" s="189" t="n">
        <v>0</v>
      </c>
      <c r="V1336" s="189" t="inlineStr">
        <is>
          <t>T1600:Weaken Encryption</t>
        </is>
      </c>
      <c r="W1336" s="189" t="n">
        <v>1</v>
      </c>
      <c r="X1336" s="189" t="inlineStr">
        <is>
          <t>LOW (40%)</t>
        </is>
      </c>
      <c r="Y1336" s="189" t="inlineStr">
        <is>
          <t>UNLIKELY</t>
        </is>
      </c>
      <c r="Z1336" s="189" t="inlineStr">
        <is>
          <t>CHECK_VENDOR</t>
        </is>
      </c>
      <c r="AA1336" s="189" t="inlineStr">
        <is>
          <t>https://nvd.nist.gov/vuln/detail/CVE-2026-27637</t>
        </is>
      </c>
      <c r="AB1336" s="189" t="inlineStr">
        <is>
          <t>NONE</t>
        </is>
      </c>
      <c r="AC1336" s="189" t="n">
        <v>0</v>
      </c>
      <c r="AD1336" s="189" t="inlineStr"/>
    </row>
    <row r="1337">
      <c r="A1337" s="188" t="inlineStr">
        <is>
          <t>CVE</t>
        </is>
      </c>
      <c r="B1337" s="188" t="inlineStr">
        <is>
          <t>CVE-2026-27639</t>
        </is>
      </c>
      <c r="C1337" s="188" t="inlineStr">
        <is>
          <t>Mercator is an open source web application designed to enable mapping of information systems. A stored Cross-Site Scripting (XSS) vulnerability exists in Mercator prior to version 2026.02.22 due to the use of unescaped Blade directives (`{!! !!}`) in display templates. An authenticated user with the User role can inject arbitrary JavaScript payloads into fields such as "contact point" when creating or editing entities. The payload is then executed in the browser of any user who views the affecte</t>
        </is>
      </c>
      <c r="D1337" s="188" t="n">
        <v>8.5</v>
      </c>
      <c r="E1337" s="188" t="inlineStr">
        <is>
          <t>HIGH</t>
        </is>
      </c>
      <c r="F1337" s="188" t="n">
        <v>2</v>
      </c>
      <c r="G1337" s="188" t="n">
        <v>3</v>
      </c>
      <c r="H1337" s="188" t="inlineStr">
        <is>
          <t>HIGH</t>
        </is>
      </c>
      <c r="I1337" s="188" t="n">
        <v>14.5</v>
      </c>
      <c r="J1337" s="188" t="inlineStr">
        <is>
          <t>NO</t>
        </is>
      </c>
      <c r="K1337" s="188" t="inlineStr">
        <is>
          <t>https://nvd.nist.gov/vuln/detail/CVE-2026-27639</t>
        </is>
      </c>
      <c r="L1337" s="188" t="inlineStr">
        <is>
          <t>2026-02-26 00:15</t>
        </is>
      </c>
      <c r="M1337" s="188" t="inlineStr">
        <is>
          <t>CHECK_VENDOR</t>
        </is>
      </c>
      <c r="N1337" s="188" t="inlineStr">
        <is>
          <t>See NVD references</t>
        </is>
      </c>
      <c r="O1337" s="188" t="inlineStr">
        <is>
          <t>Apply vendor patches</t>
        </is>
      </c>
      <c r="P1337" s="188" t="inlineStr">
        <is>
          <t>See CVE details</t>
        </is>
      </c>
      <c r="Q1337" s="188" t="inlineStr">
        <is>
          <t>P3</t>
        </is>
      </c>
      <c r="R1337" s="188" t="inlineStr">
        <is>
          <t>🚨 URGENT: Apply vendor patches immediately | 🔒 Isolate affected systems if patch unavailable | 🛡️ Enable additional monitoring/IDS rules</t>
        </is>
      </c>
      <c r="S1337" s="188" t="inlineStr">
        <is>
          <t>CVE - IP enrichment n/a</t>
        </is>
      </c>
      <c r="T1337" s="188" t="n">
        <v>0</v>
      </c>
      <c r="U1337" s="188" t="n">
        <v>0</v>
      </c>
      <c r="V1337" s="188" t="inlineStr">
        <is>
          <t>T1189:Drive-by Compromise | T1190:Exploit Public-Facing Application</t>
        </is>
      </c>
      <c r="W1337" s="188" t="n">
        <v>1</v>
      </c>
      <c r="X1337" s="188" t="inlineStr">
        <is>
          <t>LOW (40%)</t>
        </is>
      </c>
      <c r="Y1337" s="188" t="inlineStr">
        <is>
          <t>UNLIKELY</t>
        </is>
      </c>
      <c r="Z1337" s="188" t="inlineStr">
        <is>
          <t>CHECK_VENDOR</t>
        </is>
      </c>
      <c r="AA1337" s="188" t="inlineStr">
        <is>
          <t>https://nvd.nist.gov/vuln/detail/CVE-2026-27639</t>
        </is>
      </c>
      <c r="AB1337" s="188" t="inlineStr">
        <is>
          <t>NONE</t>
        </is>
      </c>
      <c r="AC1337" s="188" t="n">
        <v>0</v>
      </c>
      <c r="AD1337" s="188" t="inlineStr"/>
    </row>
    <row r="1338">
      <c r="A1338" s="188" t="inlineStr">
        <is>
          <t>CVE</t>
        </is>
      </c>
      <c r="B1338" s="188" t="inlineStr">
        <is>
          <t>CVE-2026-27640</t>
        </is>
      </c>
      <c r="C1338" s="188" t="inlineStr">
        <is>
          <t>tfplan2md is software for converting Terraform plan JSON files into human-readable Markdown reports. Prior to version 1.26.1, a bug in tfplan2md affected several distinct rendering paths: AzApi resource body properties, AzureDevOps variable groups, Scriban template context variables, and hierarchical sensitivity detection. This caused reports to render values that should have been masked as "(sensitive)" instead. This issue is fixed in v1.26.1. No known workarounds are available.</t>
        </is>
      </c>
      <c r="D1338" s="188" t="n">
        <v>8.5</v>
      </c>
      <c r="E1338" s="188" t="inlineStr">
        <is>
          <t>HIGH</t>
        </is>
      </c>
      <c r="F1338" s="188" t="n">
        <v>2</v>
      </c>
      <c r="G1338" s="188" t="n">
        <v>3</v>
      </c>
      <c r="H1338" s="188" t="inlineStr">
        <is>
          <t>HIGH</t>
        </is>
      </c>
      <c r="I1338" s="188" t="n">
        <v>14.5</v>
      </c>
      <c r="J1338" s="188" t="inlineStr">
        <is>
          <t>NO</t>
        </is>
      </c>
      <c r="K1338" s="188" t="inlineStr">
        <is>
          <t>https://nvd.nist.gov/vuln/detail/CVE-2026-27640</t>
        </is>
      </c>
      <c r="L1338" s="188" t="inlineStr">
        <is>
          <t>2026-02-26 00:15</t>
        </is>
      </c>
      <c r="M1338" s="188" t="inlineStr">
        <is>
          <t>CHECK_VENDOR</t>
        </is>
      </c>
      <c r="N1338" s="188" t="inlineStr">
        <is>
          <t>See NVD references</t>
        </is>
      </c>
      <c r="O1338" s="188" t="inlineStr">
        <is>
          <t>Apply vendor patches</t>
        </is>
      </c>
      <c r="P1338" s="188" t="inlineStr">
        <is>
          <t>See CVE details</t>
        </is>
      </c>
      <c r="Q1338" s="188" t="inlineStr">
        <is>
          <t>P3</t>
        </is>
      </c>
      <c r="R1338" s="188" t="inlineStr">
        <is>
          <t>🚨 URGENT: Apply vendor patches immediately | 🔒 Isolate affected systems if patch unavailable | 🛡️ Enable additional monitoring/IDS rules</t>
        </is>
      </c>
      <c r="S1338" s="188" t="inlineStr">
        <is>
          <t>CVE - IP enrichment n/a</t>
        </is>
      </c>
      <c r="T1338" s="188" t="n">
        <v>0</v>
      </c>
      <c r="U1338" s="188" t="n">
        <v>0</v>
      </c>
      <c r="V1338" s="188" t="inlineStr">
        <is>
          <t>T1190:Exploit Public-Facing Application</t>
        </is>
      </c>
      <c r="W1338" s="188" t="n">
        <v>1</v>
      </c>
      <c r="X1338" s="188" t="inlineStr">
        <is>
          <t>LOW (40%)</t>
        </is>
      </c>
      <c r="Y1338" s="188" t="inlineStr">
        <is>
          <t>UNLIKELY</t>
        </is>
      </c>
      <c r="Z1338" s="188" t="inlineStr">
        <is>
          <t>CHECK_VENDOR</t>
        </is>
      </c>
      <c r="AA1338" s="188" t="inlineStr">
        <is>
          <t>https://nvd.nist.gov/vuln/detail/CVE-2026-27640</t>
        </is>
      </c>
      <c r="AB1338" s="188" t="inlineStr">
        <is>
          <t>NONE</t>
        </is>
      </c>
      <c r="AC1338" s="188" t="n">
        <v>0</v>
      </c>
      <c r="AD1338" s="188" t="inlineStr"/>
    </row>
    <row r="1339">
      <c r="A1339" s="189" t="inlineStr">
        <is>
          <t>CVE</t>
        </is>
      </c>
      <c r="B1339" s="189" t="inlineStr">
        <is>
          <t>CVE-2026-27641</t>
        </is>
      </c>
      <c r="C1339" s="189" t="inlineStr">
        <is>
          <t>Flask-Reuploaded provides file uploads for Flask. A critical path traversal and extension bypass vulnerability in versions prior to 1.5.0 allows remote attackers to achieve arbitrary file write and remote code execution through Server-Side Template Injection (SSTI). Flask-Reuploaded has been patched in version 1.5.0. Some workarounds are available. Do not pass user input to the `name` parameter, use auto-generated filenames only, and implement strict input validation if `name` must be used.</t>
        </is>
      </c>
      <c r="D1339" s="189" t="n">
        <v>9.800000000000001</v>
      </c>
      <c r="E1339" s="189" t="inlineStr">
        <is>
          <t>CRITICAL</t>
        </is>
      </c>
      <c r="F1339" s="189" t="n">
        <v>2</v>
      </c>
      <c r="G1339" s="189" t="n">
        <v>3</v>
      </c>
      <c r="H1339" s="189" t="inlineStr">
        <is>
          <t>HIGH</t>
        </is>
      </c>
      <c r="I1339" s="189" t="n">
        <v>15.8</v>
      </c>
      <c r="J1339" s="189" t="inlineStr">
        <is>
          <t>NO</t>
        </is>
      </c>
      <c r="K1339" s="189" t="inlineStr">
        <is>
          <t>https://nvd.nist.gov/vuln/detail/CVE-2026-27641</t>
        </is>
      </c>
      <c r="L1339" s="189" t="inlineStr">
        <is>
          <t>2026-02-26 00:15</t>
        </is>
      </c>
      <c r="M1339" s="189" t="inlineStr">
        <is>
          <t>CHECK_VENDOR</t>
        </is>
      </c>
      <c r="N1339" s="189" t="inlineStr">
        <is>
          <t>See NVD references</t>
        </is>
      </c>
      <c r="O1339" s="189" t="inlineStr">
        <is>
          <t>Apply vendor patches</t>
        </is>
      </c>
      <c r="P1339" s="189" t="inlineStr">
        <is>
          <t>See CVE details</t>
        </is>
      </c>
      <c r="Q1339" s="189" t="inlineStr">
        <is>
          <t>P3</t>
        </is>
      </c>
      <c r="R1339" s="189" t="inlineStr">
        <is>
          <t>🚨 URGENT: Apply vendor patches immediately | 🔒 Isolate affected systems if patch unavailable | 🛡️ Enable additional monitoring/IDS rules</t>
        </is>
      </c>
      <c r="S1339" s="189" t="inlineStr">
        <is>
          <t>CVE - IP enrichment n/a</t>
        </is>
      </c>
      <c r="T1339" s="189" t="n">
        <v>0</v>
      </c>
      <c r="U1339" s="189" t="n">
        <v>0</v>
      </c>
      <c r="V1339" s="189" t="inlineStr">
        <is>
          <t>T1190:Exploit Public-Facing Application | T1210:Exploitation of Remote Services | T1083:File and Directory Discovery</t>
        </is>
      </c>
      <c r="W1339" s="189" t="n">
        <v>1</v>
      </c>
      <c r="X1339" s="189" t="inlineStr">
        <is>
          <t>LOW (40%)</t>
        </is>
      </c>
      <c r="Y1339" s="189" t="inlineStr">
        <is>
          <t>UNLIKELY</t>
        </is>
      </c>
      <c r="Z1339" s="189" t="inlineStr">
        <is>
          <t>CHECK_VENDOR</t>
        </is>
      </c>
      <c r="AA1339" s="189" t="inlineStr">
        <is>
          <t>https://nvd.nist.gov/vuln/detail/CVE-2026-27641</t>
        </is>
      </c>
      <c r="AB1339" s="189" t="inlineStr">
        <is>
          <t>NONE</t>
        </is>
      </c>
      <c r="AC1339" s="189" t="n">
        <v>0</v>
      </c>
      <c r="AD1339" s="189" t="inlineStr"/>
    </row>
    <row r="1340">
      <c r="A1340" s="189" t="inlineStr">
        <is>
          <t>CVE</t>
        </is>
      </c>
      <c r="B1340" s="189" t="inlineStr">
        <is>
          <t>CVE-2026-27743</t>
        </is>
      </c>
      <c r="C1340" s="189" t="inlineStr">
        <is>
          <t>The SPIP referer_spam plugin versions prior to 1.3.0 contain an unauthenticated SQL injection vulnerability in the referer_spam_ajouter and referer_spam_supprimer action handlers. The handlers read the url parameter from a GET request and interpolate it directly into SQL LIKE clauses without input validation or parameterization. The endpoints do not enforce authorization checks and do not use SPIP action protections such as securiser_action(), allowing remote attackers to execute arbitrary SQL q</t>
        </is>
      </c>
      <c r="D1340" s="189" t="n">
        <v>9.800000000000001</v>
      </c>
      <c r="E1340" s="189" t="inlineStr">
        <is>
          <t>CRITICAL</t>
        </is>
      </c>
      <c r="F1340" s="189" t="n">
        <v>2</v>
      </c>
      <c r="G1340" s="189" t="n">
        <v>3</v>
      </c>
      <c r="H1340" s="189" t="inlineStr">
        <is>
          <t>HIGH</t>
        </is>
      </c>
      <c r="I1340" s="189" t="n">
        <v>15.8</v>
      </c>
      <c r="J1340" s="189" t="inlineStr">
        <is>
          <t>NO</t>
        </is>
      </c>
      <c r="K1340" s="189" t="inlineStr">
        <is>
          <t>https://nvd.nist.gov/vuln/detail/CVE-2026-27743</t>
        </is>
      </c>
      <c r="L1340" s="189" t="inlineStr">
        <is>
          <t>2026-02-26 00:15</t>
        </is>
      </c>
      <c r="M1340" s="189" t="inlineStr">
        <is>
          <t>CHECK_VENDOR</t>
        </is>
      </c>
      <c r="N1340" s="189" t="inlineStr">
        <is>
          <t>See NVD references</t>
        </is>
      </c>
      <c r="O1340" s="189" t="inlineStr">
        <is>
          <t>Apply vendor patches</t>
        </is>
      </c>
      <c r="P1340" s="189" t="inlineStr">
        <is>
          <t>See CVE details</t>
        </is>
      </c>
      <c r="Q1340" s="189" t="inlineStr">
        <is>
          <t>P3</t>
        </is>
      </c>
      <c r="R1340" s="189" t="inlineStr">
        <is>
          <t>🚨 URGENT: Apply vendor patches immediately | 🔒 Isolate affected systems if patch unavailable | 🛡️ Enable additional monitoring/IDS rules</t>
        </is>
      </c>
      <c r="S1340" s="189" t="inlineStr">
        <is>
          <t>CVE - IP enrichment n/a</t>
        </is>
      </c>
      <c r="T1340" s="189" t="n">
        <v>0.001</v>
      </c>
      <c r="U1340" s="189" t="n">
        <v>0.2775</v>
      </c>
      <c r="V1340" s="189" t="inlineStr">
        <is>
          <t>T1190:Exploit Public-Facing Application</t>
        </is>
      </c>
      <c r="W1340" s="189" t="n">
        <v>1</v>
      </c>
      <c r="X1340" s="189" t="inlineStr">
        <is>
          <t>LOW (40%)</t>
        </is>
      </c>
      <c r="Y1340" s="189" t="inlineStr">
        <is>
          <t>UNLIKELY</t>
        </is>
      </c>
      <c r="Z1340" s="189" t="inlineStr">
        <is>
          <t>CHECK_VENDOR</t>
        </is>
      </c>
      <c r="AA1340" s="189" t="inlineStr">
        <is>
          <t>https://nvd.nist.gov/vuln/detail/CVE-2026-27743</t>
        </is>
      </c>
      <c r="AB1340" s="189" t="inlineStr">
        <is>
          <t>NONE</t>
        </is>
      </c>
      <c r="AC1340" s="189" t="n">
        <v>0</v>
      </c>
      <c r="AD1340" s="189" t="inlineStr"/>
    </row>
    <row r="1341">
      <c r="A1341" s="189" t="inlineStr">
        <is>
          <t>CVE</t>
        </is>
      </c>
      <c r="B1341" s="189" t="inlineStr">
        <is>
          <t>CVE-2026-27744</t>
        </is>
      </c>
      <c r="C1341" s="189" t="inlineStr">
        <is>
          <t xml:space="preserve">The SPIP tickets plugin versions prior to 4.3.3 contain an unauthenticated remote code execution vulnerability in the forum preview handling for public ticket pages. The plugin appends untrusted request parameters into HTML that is later rendered by a template using unfiltered environment rendering (#ENV**), which disables SPIP output filtering. As a result, an unauthenticated attacker can inject crafted content that is evaluated through SPIP's template processing chain, leading to execution of </t>
        </is>
      </c>
      <c r="D1341" s="189" t="n">
        <v>9.800000000000001</v>
      </c>
      <c r="E1341" s="189" t="inlineStr">
        <is>
          <t>CRITICAL</t>
        </is>
      </c>
      <c r="F1341" s="189" t="n">
        <v>2</v>
      </c>
      <c r="G1341" s="189" t="n">
        <v>3</v>
      </c>
      <c r="H1341" s="189" t="inlineStr">
        <is>
          <t>HIGH</t>
        </is>
      </c>
      <c r="I1341" s="189" t="n">
        <v>15.8</v>
      </c>
      <c r="J1341" s="189" t="inlineStr">
        <is>
          <t>NO</t>
        </is>
      </c>
      <c r="K1341" s="189" t="inlineStr">
        <is>
          <t>https://nvd.nist.gov/vuln/detail/CVE-2026-27744</t>
        </is>
      </c>
      <c r="L1341" s="189" t="inlineStr">
        <is>
          <t>2026-02-26 00:15</t>
        </is>
      </c>
      <c r="M1341" s="189" t="inlineStr">
        <is>
          <t>CHECK_VENDOR</t>
        </is>
      </c>
      <c r="N1341" s="189" t="inlineStr">
        <is>
          <t>See NVD references</t>
        </is>
      </c>
      <c r="O1341" s="189" t="inlineStr">
        <is>
          <t>Apply vendor patches</t>
        </is>
      </c>
      <c r="P1341" s="189" t="inlineStr">
        <is>
          <t>See CVE details</t>
        </is>
      </c>
      <c r="Q1341" s="189" t="inlineStr">
        <is>
          <t>P3</t>
        </is>
      </c>
      <c r="R1341" s="189" t="inlineStr">
        <is>
          <t>🚨 URGENT: Apply vendor patches immediately | 🔒 Isolate affected systems if patch unavailable | 🛡️ Enable additional monitoring/IDS rules</t>
        </is>
      </c>
      <c r="S1341" s="189" t="inlineStr">
        <is>
          <t>CVE - IP enrichment n/a</t>
        </is>
      </c>
      <c r="T1341" s="189" t="n">
        <v>0.0032</v>
      </c>
      <c r="U1341" s="189" t="n">
        <v>0.5495</v>
      </c>
      <c r="V1341" s="189" t="inlineStr">
        <is>
          <t>T1059:Command and Scripting Interpreter | T1190:Exploit Public-Facing Application | T1210:Exploitation of Remote Services</t>
        </is>
      </c>
      <c r="W1341" s="189" t="n">
        <v>1</v>
      </c>
      <c r="X1341" s="189" t="inlineStr">
        <is>
          <t>LOW (40%)</t>
        </is>
      </c>
      <c r="Y1341" s="189" t="inlineStr">
        <is>
          <t>UNLIKELY</t>
        </is>
      </c>
      <c r="Z1341" s="189" t="inlineStr">
        <is>
          <t>CHECK_VENDOR</t>
        </is>
      </c>
      <c r="AA1341" s="189" t="inlineStr">
        <is>
          <t>https://nvd.nist.gov/vuln/detail/CVE-2026-27744</t>
        </is>
      </c>
      <c r="AB1341" s="189" t="inlineStr">
        <is>
          <t>NONE</t>
        </is>
      </c>
      <c r="AC1341" s="189" t="n">
        <v>0</v>
      </c>
      <c r="AD1341" s="189" t="inlineStr"/>
    </row>
    <row r="1342">
      <c r="A1342" s="188" t="inlineStr">
        <is>
          <t>CVE</t>
        </is>
      </c>
      <c r="B1342" s="188" t="inlineStr">
        <is>
          <t>CVE-2026-27745</t>
        </is>
      </c>
      <c r="C1342" s="188" t="inlineStr">
        <is>
          <t>The SPIP interface_traduction_objets plugin versions prior to 2.2.2 contain an authenticated remote code execution vulnerability in the translation interface workflow. The plugin incorporates untrusted request data into a hidden form field that is rendered without SPIP output filtering. Because fields prefixed with an underscore bypass protection mechanisms and the hidden content is rendered with filtering disabled, an authenticated attacker with editor-level privileges can inject crafted conten</t>
        </is>
      </c>
      <c r="D1342" s="188" t="n">
        <v>8.800000000000001</v>
      </c>
      <c r="E1342" s="188" t="inlineStr">
        <is>
          <t>HIGH</t>
        </is>
      </c>
      <c r="F1342" s="188" t="n">
        <v>2</v>
      </c>
      <c r="G1342" s="188" t="n">
        <v>3</v>
      </c>
      <c r="H1342" s="188" t="inlineStr">
        <is>
          <t>HIGH</t>
        </is>
      </c>
      <c r="I1342" s="188" t="n">
        <v>14.8</v>
      </c>
      <c r="J1342" s="188" t="inlineStr">
        <is>
          <t>NO</t>
        </is>
      </c>
      <c r="K1342" s="188" t="inlineStr">
        <is>
          <t>https://nvd.nist.gov/vuln/detail/CVE-2026-27745</t>
        </is>
      </c>
      <c r="L1342" s="188" t="inlineStr">
        <is>
          <t>2026-02-26 00:15</t>
        </is>
      </c>
      <c r="M1342" s="188" t="inlineStr">
        <is>
          <t>CHECK_VENDOR</t>
        </is>
      </c>
      <c r="N1342" s="188" t="inlineStr">
        <is>
          <t>See NVD references</t>
        </is>
      </c>
      <c r="O1342" s="188" t="inlineStr">
        <is>
          <t>Apply vendor patches</t>
        </is>
      </c>
      <c r="P1342" s="188" t="inlineStr">
        <is>
          <t>See CVE details</t>
        </is>
      </c>
      <c r="Q1342" s="188" t="inlineStr">
        <is>
          <t>P3</t>
        </is>
      </c>
      <c r="R1342" s="188" t="inlineStr">
        <is>
          <t>🚨 URGENT: Apply vendor patches immediately | 🔒 Isolate affected systems if patch unavailable | 🛡️ Enable additional monitoring/IDS rules</t>
        </is>
      </c>
      <c r="S1342" s="188" t="inlineStr">
        <is>
          <t>CVE - IP enrichment n/a</t>
        </is>
      </c>
      <c r="T1342" s="188" t="n">
        <v>0</v>
      </c>
      <c r="U1342" s="188" t="n">
        <v>0</v>
      </c>
      <c r="V1342" s="188" t="inlineStr">
        <is>
          <t>T1059:Command and Scripting Interpreter | T1190:Exploit Public-Facing Application | T1210:Exploitation of Remote Services</t>
        </is>
      </c>
      <c r="W1342" s="188" t="n">
        <v>1</v>
      </c>
      <c r="X1342" s="188" t="inlineStr">
        <is>
          <t>LOW (40%)</t>
        </is>
      </c>
      <c r="Y1342" s="188" t="inlineStr">
        <is>
          <t>UNLIKELY</t>
        </is>
      </c>
      <c r="Z1342" s="188" t="inlineStr">
        <is>
          <t>CHECK_VENDOR</t>
        </is>
      </c>
      <c r="AA1342" s="188" t="inlineStr">
        <is>
          <t>https://nvd.nist.gov/vuln/detail/CVE-2026-27745</t>
        </is>
      </c>
      <c r="AB1342" s="188" t="inlineStr">
        <is>
          <t>NONE</t>
        </is>
      </c>
      <c r="AC1342" s="188" t="n">
        <v>0</v>
      </c>
      <c r="AD1342" s="188" t="inlineStr"/>
    </row>
    <row r="1343">
      <c r="A1343" s="187" t="inlineStr">
        <is>
          <t>CVE</t>
        </is>
      </c>
      <c r="B1343" s="187" t="inlineStr">
        <is>
          <t>CVE-2026-27746</t>
        </is>
      </c>
      <c r="C1343" s="187" t="inlineStr">
        <is>
          <t>The SPIP jeux plugin versions prior to 4.1.1 contain a reflected cross-site scripting (XSS) vulnerability in the pre_propre pipeline. The plugin incorporates untrusted request parameters into HTML output without proper output encoding, allowing attackers to inject arbitrary script content into pages that render a jeux block. When a victim is induced to visit a crafted URL, the injected content is reflected into the response and executed in the victim's browser context.</t>
        </is>
      </c>
      <c r="D1343" s="187" t="n">
        <v>6.1</v>
      </c>
      <c r="E1343" s="187" t="inlineStr">
        <is>
          <t>MEDIUM</t>
        </is>
      </c>
      <c r="F1343" s="187" t="n">
        <v>2</v>
      </c>
      <c r="G1343" s="187" t="n">
        <v>2</v>
      </c>
      <c r="H1343" s="187" t="inlineStr">
        <is>
          <t>MEDIUM</t>
        </is>
      </c>
      <c r="I1343" s="187" t="n">
        <v>10.1</v>
      </c>
      <c r="J1343" s="187" t="inlineStr">
        <is>
          <t>NO</t>
        </is>
      </c>
      <c r="K1343" s="187" t="inlineStr">
        <is>
          <t>https://nvd.nist.gov/vuln/detail/CVE-2026-27746</t>
        </is>
      </c>
      <c r="L1343" s="187" t="inlineStr">
        <is>
          <t>2026-02-26 00:15</t>
        </is>
      </c>
      <c r="M1343" s="187" t="inlineStr">
        <is>
          <t>CHECK_VENDOR</t>
        </is>
      </c>
      <c r="N1343" s="187" t="inlineStr">
        <is>
          <t>See NVD references</t>
        </is>
      </c>
      <c r="O1343" s="187" t="inlineStr">
        <is>
          <t>Apply vendor patches</t>
        </is>
      </c>
      <c r="P1343" s="187" t="inlineStr">
        <is>
          <t>See CVE details</t>
        </is>
      </c>
      <c r="Q1343" s="187" t="inlineStr">
        <is>
          <t>P4</t>
        </is>
      </c>
      <c r="R1343" s="187" t="inlineStr">
        <is>
          <t>📅 Schedule patch deployment within 30 days | 🔍 Monitor for exploitation attempts</t>
        </is>
      </c>
      <c r="S1343" s="187" t="inlineStr">
        <is>
          <t>CVE - IP enrichment n/a</t>
        </is>
      </c>
      <c r="T1343" s="187" t="n">
        <v>0</v>
      </c>
      <c r="U1343" s="187" t="n">
        <v>0</v>
      </c>
      <c r="V1343" s="187" t="inlineStr">
        <is>
          <t>T1189:Drive-by Compromise</t>
        </is>
      </c>
      <c r="W1343" s="187" t="n">
        <v>1</v>
      </c>
      <c r="X1343" s="187" t="inlineStr">
        <is>
          <t>LOW (40%)</t>
        </is>
      </c>
      <c r="Y1343" s="187" t="inlineStr">
        <is>
          <t>UNLIKELY</t>
        </is>
      </c>
      <c r="Z1343" s="187" t="inlineStr">
        <is>
          <t>CHECK_VENDOR</t>
        </is>
      </c>
      <c r="AA1343" s="187" t="inlineStr">
        <is>
          <t>https://nvd.nist.gov/vuln/detail/CVE-2026-27746</t>
        </is>
      </c>
      <c r="AB1343" s="187" t="inlineStr">
        <is>
          <t>NONE</t>
        </is>
      </c>
      <c r="AC1343" s="187" t="n">
        <v>0</v>
      </c>
      <c r="AD1343" s="187" t="inlineStr"/>
    </row>
    <row r="1344">
      <c r="A1344" s="187" t="inlineStr">
        <is>
          <t>CVE</t>
        </is>
      </c>
      <c r="B1344" s="187" t="inlineStr">
        <is>
          <t>CVE-2026-27747</t>
        </is>
      </c>
      <c r="C1344" s="187" t="inlineStr">
        <is>
          <t>The SPIP interface_traduction_objets plugin versions prior to 2.2.2 contain an authenticated SQL injection vulnerability in interface_traduction_objets_pipelines.php. When handling translation requests, the plugin reads the id_parent parameter from user-supplied input and concatenates it directly into a SQL WHERE clause in a call to sql_getfetsel() without input validation or parameterization. An authenticated attacker with editor-level privileges can inject crafted SQL expressions into the id_p</t>
        </is>
      </c>
      <c r="D1344" s="187" t="n">
        <v>6.5</v>
      </c>
      <c r="E1344" s="187" t="inlineStr">
        <is>
          <t>MEDIUM</t>
        </is>
      </c>
      <c r="F1344" s="187" t="n">
        <v>2</v>
      </c>
      <c r="G1344" s="187" t="n">
        <v>2</v>
      </c>
      <c r="H1344" s="187" t="inlineStr">
        <is>
          <t>MEDIUM</t>
        </is>
      </c>
      <c r="I1344" s="187" t="n">
        <v>10.5</v>
      </c>
      <c r="J1344" s="187" t="inlineStr">
        <is>
          <t>NO</t>
        </is>
      </c>
      <c r="K1344" s="187" t="inlineStr">
        <is>
          <t>https://nvd.nist.gov/vuln/detail/CVE-2026-27747</t>
        </is>
      </c>
      <c r="L1344" s="187" t="inlineStr">
        <is>
          <t>2026-02-26 00:15</t>
        </is>
      </c>
      <c r="M1344" s="187" t="inlineStr">
        <is>
          <t>CHECK_VENDOR</t>
        </is>
      </c>
      <c r="N1344" s="187" t="inlineStr">
        <is>
          <t>See NVD references</t>
        </is>
      </c>
      <c r="O1344" s="187" t="inlineStr">
        <is>
          <t>Apply vendor patches</t>
        </is>
      </c>
      <c r="P1344" s="187" t="inlineStr">
        <is>
          <t>See CVE details</t>
        </is>
      </c>
      <c r="Q1344" s="187" t="inlineStr">
        <is>
          <t>P4</t>
        </is>
      </c>
      <c r="R1344" s="187" t="inlineStr">
        <is>
          <t>📅 Schedule patch deployment within 30 days | 🔍 Monitor for exploitation attempts</t>
        </is>
      </c>
      <c r="S1344" s="187" t="inlineStr">
        <is>
          <t>CVE - IP enrichment n/a</t>
        </is>
      </c>
      <c r="T1344" s="187" t="n">
        <v>0</v>
      </c>
      <c r="U1344" s="187" t="n">
        <v>0</v>
      </c>
      <c r="V1344" s="187" t="inlineStr">
        <is>
          <t>T1190:Exploit Public-Facing Application | T1499:Endpoint Denial of Service</t>
        </is>
      </c>
      <c r="W1344" s="187" t="n">
        <v>1</v>
      </c>
      <c r="X1344" s="187" t="inlineStr">
        <is>
          <t>LOW (40%)</t>
        </is>
      </c>
      <c r="Y1344" s="187" t="inlineStr">
        <is>
          <t>UNLIKELY</t>
        </is>
      </c>
      <c r="Z1344" s="187" t="inlineStr">
        <is>
          <t>CHECK_VENDOR</t>
        </is>
      </c>
      <c r="AA1344" s="187" t="inlineStr">
        <is>
          <t>https://nvd.nist.gov/vuln/detail/CVE-2026-27747</t>
        </is>
      </c>
      <c r="AB1344" s="187" t="inlineStr">
        <is>
          <t>NONE</t>
        </is>
      </c>
      <c r="AC1344" s="187" t="n">
        <v>0</v>
      </c>
      <c r="AD1344" s="187" t="inlineStr"/>
    </row>
    <row r="1345">
      <c r="A1345" s="187" t="inlineStr">
        <is>
          <t>CVE</t>
        </is>
      </c>
      <c r="B1345" s="187" t="inlineStr">
        <is>
          <t>CVE-2026-3147</t>
        </is>
      </c>
      <c r="C1345" s="187" t="inlineStr">
        <is>
          <t>A vulnerability was found in libvips up to 8.18.0. This affects the function vips_foreign_load_csv_build of the file libvips/foreign/csvload.c. The manipulation results in heap-based buffer overflow. The attack requires a local approach. The exploit has been made public and could be used. The patch is identified as b3ab458a25e0e261cbd1788474bbc763f7435780. It is advisable to implement a patch to correct this issue.</t>
        </is>
      </c>
      <c r="D1345" s="187" t="n">
        <v>5.3</v>
      </c>
      <c r="E1345" s="187" t="inlineStr">
        <is>
          <t>MEDIUM</t>
        </is>
      </c>
      <c r="F1345" s="187" t="n">
        <v>2</v>
      </c>
      <c r="G1345" s="187" t="n">
        <v>2</v>
      </c>
      <c r="H1345" s="187" t="inlineStr">
        <is>
          <t>MEDIUM</t>
        </is>
      </c>
      <c r="I1345" s="187" t="n">
        <v>9.300000000000001</v>
      </c>
      <c r="J1345" s="187" t="inlineStr">
        <is>
          <t>NO</t>
        </is>
      </c>
      <c r="K1345" s="187" t="inlineStr">
        <is>
          <t>https://nvd.nist.gov/vuln/detail/CVE-2026-3147</t>
        </is>
      </c>
      <c r="L1345" s="187" t="inlineStr">
        <is>
          <t>2026-02-26 00:15</t>
        </is>
      </c>
      <c r="M1345" s="187" t="inlineStr">
        <is>
          <t>YES</t>
        </is>
      </c>
      <c r="N1345" s="187" t="inlineStr">
        <is>
          <t>https://github.com/libvips/libvips/commit/b3ab458a25e0e261cbd1788474bbc763f7435780 | https://github.com/libvips/libvips/issues/4874 | https://github.com/libvips/libvips/issues/4874#issue-3943617697</t>
        </is>
      </c>
      <c r="O1345" s="187" t="inlineStr">
        <is>
          <t>Apply vendor patches</t>
        </is>
      </c>
      <c r="P1345" s="187" t="inlineStr">
        <is>
          <t>libvips libvips *</t>
        </is>
      </c>
      <c r="Q1345" s="187" t="inlineStr">
        <is>
          <t>P4</t>
        </is>
      </c>
      <c r="R1345" s="187" t="inlineStr">
        <is>
          <t>📅 Schedule patch deployment within 30 days | 🔍 Monitor for exploitation attempts</t>
        </is>
      </c>
      <c r="S1345" s="187" t="inlineStr">
        <is>
          <t>CVE - IP enrichment n/a</t>
        </is>
      </c>
      <c r="T1345" s="187" t="n">
        <v>0</v>
      </c>
      <c r="U1345" s="187" t="n">
        <v>0</v>
      </c>
      <c r="V1345" s="187" t="inlineStr">
        <is>
          <t>T1203:Exploitation for Client Execution</t>
        </is>
      </c>
      <c r="W1345" s="187" t="n">
        <v>1</v>
      </c>
      <c r="X1345" s="187" t="inlineStr">
        <is>
          <t>LOW (40%)</t>
        </is>
      </c>
      <c r="Y1345" s="187" t="inlineStr">
        <is>
          <t>UNLIKELY</t>
        </is>
      </c>
      <c r="Z1345" s="187" t="inlineStr">
        <is>
          <t>PATCH_AVAILABLE</t>
        </is>
      </c>
      <c r="AA1345" s="187" t="inlineStr">
        <is>
          <t>https://nvd.nist.gov/vuln/detail/CVE-2026-3147</t>
        </is>
      </c>
      <c r="AB1345" s="187" t="inlineStr">
        <is>
          <t>NONE</t>
        </is>
      </c>
      <c r="AC1345" s="187" t="n">
        <v>0</v>
      </c>
      <c r="AD1345" s="187" t="inlineStr"/>
    </row>
    <row r="1346">
      <c r="A1346" s="187" t="inlineStr">
        <is>
          <t>CVE</t>
        </is>
      </c>
      <c r="B1346" s="187" t="inlineStr">
        <is>
          <t>CVE-2025-0976</t>
        </is>
      </c>
      <c r="C1346" s="187" t="inlineStr">
        <is>
          <t>Information Exposure Vulnerability in Hitachi Ops Center API Configuration Manager, Hitachi Configuration Manager.This issue affects Hitachi Ops Center API Configuration Manager: from 10.0.0-00 before 11.0.4-00; Hitachi Configuration Manager: from 8.6.1-00 before 11.0.5-00.</t>
        </is>
      </c>
      <c r="D1346" s="187" t="n">
        <v>4.7</v>
      </c>
      <c r="E1346" s="187" t="inlineStr">
        <is>
          <t>MEDIUM</t>
        </is>
      </c>
      <c r="F1346" s="187" t="n">
        <v>2</v>
      </c>
      <c r="G1346" s="187" t="n">
        <v>2</v>
      </c>
      <c r="H1346" s="187" t="inlineStr">
        <is>
          <t>MEDIUM</t>
        </is>
      </c>
      <c r="I1346" s="187" t="n">
        <v>8.699999999999999</v>
      </c>
      <c r="J1346" s="187" t="inlineStr">
        <is>
          <t>NO</t>
        </is>
      </c>
      <c r="K1346" s="187" t="inlineStr">
        <is>
          <t>https://nvd.nist.gov/vuln/detail/CVE-2025-0976</t>
        </is>
      </c>
      <c r="L1346" s="187" t="inlineStr">
        <is>
          <t>2026-02-26 00:15</t>
        </is>
      </c>
      <c r="M1346" s="187" t="inlineStr">
        <is>
          <t>CHECK_VENDOR</t>
        </is>
      </c>
      <c r="N1346" s="187" t="inlineStr">
        <is>
          <t>See NVD references</t>
        </is>
      </c>
      <c r="O1346" s="187" t="inlineStr">
        <is>
          <t>Apply vendor patches</t>
        </is>
      </c>
      <c r="P1346" s="187" t="inlineStr">
        <is>
          <t>See CVE details</t>
        </is>
      </c>
      <c r="Q1346" s="187" t="inlineStr">
        <is>
          <t>P4</t>
        </is>
      </c>
      <c r="R1346" s="187" t="inlineStr">
        <is>
          <t>📅 Schedule patch deployment within 30 days | 🔍 Monitor for exploitation attempts</t>
        </is>
      </c>
      <c r="S1346" s="187" t="inlineStr">
        <is>
          <t>CVE - IP enrichment n/a</t>
        </is>
      </c>
      <c r="T1346" s="187" t="n">
        <v>0.0001</v>
      </c>
      <c r="U1346" s="187" t="n">
        <v>0.0178</v>
      </c>
      <c r="V1346" s="187" t="inlineStr">
        <is>
          <t>T1190:Exploit Public-Facing Application</t>
        </is>
      </c>
      <c r="W1346" s="187" t="n">
        <v>1</v>
      </c>
      <c r="X1346" s="187" t="inlineStr">
        <is>
          <t>LOW (40%)</t>
        </is>
      </c>
      <c r="Y1346" s="187" t="inlineStr">
        <is>
          <t>UNLIKELY</t>
        </is>
      </c>
      <c r="Z1346" s="187" t="inlineStr">
        <is>
          <t>CHECK_VENDOR</t>
        </is>
      </c>
      <c r="AA1346" s="187" t="inlineStr">
        <is>
          <t>https://nvd.nist.gov/vuln/detail/CVE-2025-0976</t>
        </is>
      </c>
      <c r="AB1346" s="187" t="inlineStr">
        <is>
          <t>NONE</t>
        </is>
      </c>
      <c r="AC1346" s="187" t="n">
        <v>0</v>
      </c>
      <c r="AD1346" s="187" t="inlineStr"/>
    </row>
    <row r="1347">
      <c r="A1347" s="188" t="inlineStr">
        <is>
          <t>CVE</t>
        </is>
      </c>
      <c r="B1347" s="188" t="inlineStr">
        <is>
          <t>CVE-2026-27624</t>
        </is>
      </c>
      <c r="C1347" s="188" t="inlineStr">
        <is>
          <t>Coturn is a free open source implementation of TURN and STUN Server. Coturn is commonly configured to block loopback and internal ranges using "denied-peer-ip" and/or default loopback restrictions. CVE-2020-26262 addressed bypasses involving "0.0.0.0", "[::1]" and "[::]", but IPv4-mapped IPv6 is not covered. When sending a "CreatePermission" or "ChannelBind" request with the "XOR-PEER-ADDRESS" value of "::ffff:127.0.0.1", a successful response is received, even though "127.0.0.0/8" is blocked vi</t>
        </is>
      </c>
      <c r="D1347" s="188" t="n">
        <v>7.2</v>
      </c>
      <c r="E1347" s="188" t="inlineStr">
        <is>
          <t>HIGH</t>
        </is>
      </c>
      <c r="F1347" s="188" t="n">
        <v>2</v>
      </c>
      <c r="G1347" s="188" t="n">
        <v>3</v>
      </c>
      <c r="H1347" s="188" t="inlineStr">
        <is>
          <t>HIGH</t>
        </is>
      </c>
      <c r="I1347" s="188" t="n">
        <v>13.2</v>
      </c>
      <c r="J1347" s="188" t="inlineStr">
        <is>
          <t>NO</t>
        </is>
      </c>
      <c r="K1347" s="188" t="inlineStr">
        <is>
          <t>https://nvd.nist.gov/vuln/detail/CVE-2026-27624</t>
        </is>
      </c>
      <c r="L1347" s="188" t="inlineStr">
        <is>
          <t>2026-02-26 00:15</t>
        </is>
      </c>
      <c r="M1347" s="188" t="inlineStr">
        <is>
          <t>CHECK_VENDOR</t>
        </is>
      </c>
      <c r="N1347" s="188" t="inlineStr">
        <is>
          <t>See NVD references</t>
        </is>
      </c>
      <c r="O1347" s="188" t="inlineStr">
        <is>
          <t>Apply vendor patches</t>
        </is>
      </c>
      <c r="P1347" s="188" t="inlineStr">
        <is>
          <t>See CVE details</t>
        </is>
      </c>
      <c r="Q1347" s="188" t="inlineStr">
        <is>
          <t>P3</t>
        </is>
      </c>
      <c r="R1347" s="188" t="inlineStr">
        <is>
          <t>🚨 URGENT: Apply vendor patches immediately | 🔒 Isolate affected systems if patch unavailable | 🛡️ Enable additional monitoring/IDS rules</t>
        </is>
      </c>
      <c r="S1347" s="188" t="inlineStr">
        <is>
          <t>CVE - IP enrichment n/a</t>
        </is>
      </c>
      <c r="T1347" s="188" t="n">
        <v>0.0003</v>
      </c>
      <c r="U1347" s="188" t="n">
        <v>0.07149999999999999</v>
      </c>
      <c r="V1347" s="188" t="inlineStr">
        <is>
          <t>T1190:Exploit Public-Facing Application</t>
        </is>
      </c>
      <c r="W1347" s="188" t="n">
        <v>1</v>
      </c>
      <c r="X1347" s="188" t="inlineStr">
        <is>
          <t>LOW (40%)</t>
        </is>
      </c>
      <c r="Y1347" s="188" t="inlineStr">
        <is>
          <t>UNLIKELY</t>
        </is>
      </c>
      <c r="Z1347" s="188" t="inlineStr">
        <is>
          <t>CHECK_VENDOR</t>
        </is>
      </c>
      <c r="AA1347" s="188" t="inlineStr">
        <is>
          <t>https://nvd.nist.gov/vuln/detail/CVE-2026-27624</t>
        </is>
      </c>
      <c r="AB1347" s="188" t="inlineStr">
        <is>
          <t>NONE</t>
        </is>
      </c>
      <c r="AC1347" s="188" t="n">
        <v>0</v>
      </c>
      <c r="AD1347" s="188" t="inlineStr"/>
    </row>
    <row r="1348">
      <c r="A1348" s="187" t="inlineStr">
        <is>
          <t>CVE</t>
        </is>
      </c>
      <c r="B1348" s="187" t="inlineStr">
        <is>
          <t>CVE-2026-27645</t>
        </is>
      </c>
      <c r="C1348" s="187" t="inlineStr">
        <is>
          <t>changedetection.io is a free open source web page change detection tool. In versions prior to 0.54.1, the RSS single-watch endpoint reflects the UUID path parameter directly in the HTTP response body without HTML escaping. Since Flask returns text/html by default for plain string responses, the browser parses and executes injected JavaScript. Version 0.54.1 contains a fix for the issue.</t>
        </is>
      </c>
      <c r="D1348" s="187" t="n">
        <v>6.1</v>
      </c>
      <c r="E1348" s="187" t="inlineStr">
        <is>
          <t>MEDIUM</t>
        </is>
      </c>
      <c r="F1348" s="187" t="n">
        <v>2</v>
      </c>
      <c r="G1348" s="187" t="n">
        <v>2</v>
      </c>
      <c r="H1348" s="187" t="inlineStr">
        <is>
          <t>MEDIUM</t>
        </is>
      </c>
      <c r="I1348" s="187" t="n">
        <v>10.1</v>
      </c>
      <c r="J1348" s="187" t="inlineStr">
        <is>
          <t>NO</t>
        </is>
      </c>
      <c r="K1348" s="187" t="inlineStr">
        <is>
          <t>https://nvd.nist.gov/vuln/detail/CVE-2026-27645</t>
        </is>
      </c>
      <c r="L1348" s="187" t="inlineStr">
        <is>
          <t>2026-02-26 00:15</t>
        </is>
      </c>
      <c r="M1348" s="187" t="inlineStr">
        <is>
          <t>YES</t>
        </is>
      </c>
      <c r="N1348" s="187" t="inlineStr">
        <is>
          <t>https://github.com/dgtlmoon/changedetection.io/commit/a385c89abf44b52fcfa20c7c6a6dd3047c4c1eb5 | https://github.com/dgtlmoon/changedetection.io/security/advisories/GHSA-mw8m-398g-h89w | https://github.com/dgtlmoon/changedetection.io/security/advisories/GHSA-mw8m-398g-h89w</t>
        </is>
      </c>
      <c r="O1348" s="187" t="inlineStr">
        <is>
          <t>Apply vendor patches</t>
        </is>
      </c>
      <c r="P1348" s="187" t="inlineStr">
        <is>
          <t>webtechnologies changedetection *</t>
        </is>
      </c>
      <c r="Q1348" s="187" t="inlineStr">
        <is>
          <t>P4</t>
        </is>
      </c>
      <c r="R1348" s="187" t="inlineStr">
        <is>
          <t>📅 Schedule patch deployment within 30 days | 🔍 Monitor for exploitation attempts</t>
        </is>
      </c>
      <c r="S1348" s="187" t="inlineStr">
        <is>
          <t>CVE - IP enrichment n/a</t>
        </is>
      </c>
      <c r="T1348" s="187" t="n">
        <v>0.0003</v>
      </c>
      <c r="U1348" s="187" t="n">
        <v>0.0803</v>
      </c>
      <c r="V1348" s="187" t="inlineStr">
        <is>
          <t>T1189:Drive-by Compromise | T1190:Exploit Public-Facing Application</t>
        </is>
      </c>
      <c r="W1348" s="187" t="n">
        <v>1</v>
      </c>
      <c r="X1348" s="187" t="inlineStr">
        <is>
          <t>LOW (40%)</t>
        </is>
      </c>
      <c r="Y1348" s="187" t="inlineStr">
        <is>
          <t>UNLIKELY</t>
        </is>
      </c>
      <c r="Z1348" s="187" t="inlineStr">
        <is>
          <t>PATCH_AVAILABLE</t>
        </is>
      </c>
      <c r="AA1348" s="187" t="inlineStr">
        <is>
          <t>https://nvd.nist.gov/vuln/detail/CVE-2026-27645</t>
        </is>
      </c>
      <c r="AB1348" s="187" t="inlineStr">
        <is>
          <t>NONE</t>
        </is>
      </c>
      <c r="AC1348" s="187" t="n">
        <v>0</v>
      </c>
      <c r="AD1348" s="187" t="inlineStr"/>
    </row>
    <row r="1349">
      <c r="A1349" s="188" t="inlineStr">
        <is>
          <t>CVE</t>
        </is>
      </c>
      <c r="B1349" s="188" t="inlineStr">
        <is>
          <t>CVE-2026-27696</t>
        </is>
      </c>
      <c r="C1349" s="188" t="inlineStr">
        <is>
          <t xml:space="preserve">changedetection.io is a free open source web page change detection tool. In versions prior to 0.54.1, changedetection.io is vulnerable to Server-Side Request Forgery (SSRF) because the URL validation function `is_safe_valid_url()` does not validate the resolved IP address of watch URLs against private, loopback, or link-local address ranges. An authenticated user (or any user when no password is configured, which is the default) can add a watch for internal network URLs. The application fetches </t>
        </is>
      </c>
      <c r="D1349" s="188" t="n">
        <v>8.6</v>
      </c>
      <c r="E1349" s="188" t="inlineStr">
        <is>
          <t>HIGH</t>
        </is>
      </c>
      <c r="F1349" s="188" t="n">
        <v>2</v>
      </c>
      <c r="G1349" s="188" t="n">
        <v>3</v>
      </c>
      <c r="H1349" s="188" t="inlineStr">
        <is>
          <t>HIGH</t>
        </is>
      </c>
      <c r="I1349" s="188" t="n">
        <v>14.6</v>
      </c>
      <c r="J1349" s="188" t="inlineStr">
        <is>
          <t>NO</t>
        </is>
      </c>
      <c r="K1349" s="188" t="inlineStr">
        <is>
          <t>https://nvd.nist.gov/vuln/detail/CVE-2026-27696</t>
        </is>
      </c>
      <c r="L1349" s="188" t="inlineStr">
        <is>
          <t>2026-02-26 00:15</t>
        </is>
      </c>
      <c r="M1349" s="188" t="inlineStr">
        <is>
          <t>CHECK_VENDOR</t>
        </is>
      </c>
      <c r="N1349" s="188" t="inlineStr">
        <is>
          <t>See NVD references</t>
        </is>
      </c>
      <c r="O1349" s="188" t="inlineStr">
        <is>
          <t>Apply vendor patches</t>
        </is>
      </c>
      <c r="P1349" s="188" t="inlineStr">
        <is>
          <t>See CVE details</t>
        </is>
      </c>
      <c r="Q1349" s="188" t="inlineStr">
        <is>
          <t>P3</t>
        </is>
      </c>
      <c r="R1349" s="188" t="inlineStr">
        <is>
          <t>🚨 URGENT: Apply vendor patches immediately | 🔒 Isolate affected systems if patch unavailable | 🛡️ Enable additional monitoring/IDS rules</t>
        </is>
      </c>
      <c r="S1349" s="188" t="inlineStr">
        <is>
          <t>CVE - IP enrichment n/a</t>
        </is>
      </c>
      <c r="T1349" s="188" t="n">
        <v>0</v>
      </c>
      <c r="U1349" s="188" t="n">
        <v>0</v>
      </c>
      <c r="V1349" s="188" t="inlineStr">
        <is>
          <t>T1090:Proxy | T1190:Exploit Public-Facing Application | T1041:Exfiltration Over C2 Channel</t>
        </is>
      </c>
      <c r="W1349" s="188" t="n">
        <v>1</v>
      </c>
      <c r="X1349" s="188" t="inlineStr">
        <is>
          <t>LOW (40%)</t>
        </is>
      </c>
      <c r="Y1349" s="188" t="inlineStr">
        <is>
          <t>UNLIKELY</t>
        </is>
      </c>
      <c r="Z1349" s="188" t="inlineStr">
        <is>
          <t>CHECK_VENDOR</t>
        </is>
      </c>
      <c r="AA1349" s="188" t="inlineStr">
        <is>
          <t>https://nvd.nist.gov/vuln/detail/CVE-2026-27696</t>
        </is>
      </c>
      <c r="AB1349" s="188" t="inlineStr">
        <is>
          <t>NONE</t>
        </is>
      </c>
      <c r="AC1349" s="188" t="n">
        <v>0</v>
      </c>
      <c r="AD1349" s="188" t="inlineStr"/>
    </row>
    <row r="1350">
      <c r="A1350" s="188" t="inlineStr">
        <is>
          <t>CVE</t>
        </is>
      </c>
      <c r="B1350" s="188" t="inlineStr">
        <is>
          <t>CVE-2026-3148</t>
        </is>
      </c>
      <c r="C1350" s="188" t="inlineStr">
        <is>
          <t>A vulnerability was determined in SourceCodester Simple and Nice Shopping Cart Script 1.0. This impacts an unknown function of the file /signup.php. This manipulation of the argument Username causes sql injection. The attack may be initiated remotely. The exploit has been publicly disclosed and may be utilized.</t>
        </is>
      </c>
      <c r="D1350" s="188" t="n">
        <v>7.3</v>
      </c>
      <c r="E1350" s="188" t="inlineStr">
        <is>
          <t>HIGH</t>
        </is>
      </c>
      <c r="F1350" s="188" t="n">
        <v>2</v>
      </c>
      <c r="G1350" s="188" t="n">
        <v>3</v>
      </c>
      <c r="H1350" s="188" t="inlineStr">
        <is>
          <t>HIGH</t>
        </is>
      </c>
      <c r="I1350" s="188" t="n">
        <v>13.3</v>
      </c>
      <c r="J1350" s="188" t="inlineStr">
        <is>
          <t>NO</t>
        </is>
      </c>
      <c r="K1350" s="188" t="inlineStr">
        <is>
          <t>https://nvd.nist.gov/vuln/detail/CVE-2026-3148</t>
        </is>
      </c>
      <c r="L1350" s="188" t="inlineStr">
        <is>
          <t>2026-02-26 00:15</t>
        </is>
      </c>
      <c r="M1350" s="188" t="inlineStr">
        <is>
          <t>CHECK_VENDOR</t>
        </is>
      </c>
      <c r="N1350" s="188" t="inlineStr">
        <is>
          <t>See NVD references</t>
        </is>
      </c>
      <c r="O1350" s="188" t="inlineStr">
        <is>
          <t>Apply vendor patches</t>
        </is>
      </c>
      <c r="P1350" s="188" t="inlineStr">
        <is>
          <t>haben-cs9 simple_and_nice_shopping_cart_script 1.0</t>
        </is>
      </c>
      <c r="Q1350" s="188" t="inlineStr">
        <is>
          <t>P3</t>
        </is>
      </c>
      <c r="R1350" s="188" t="inlineStr">
        <is>
          <t>🚨 URGENT: Apply vendor patches immediately | 🔒 Isolate affected systems if patch unavailable | 🛡️ Enable additional monitoring/IDS rules</t>
        </is>
      </c>
      <c r="S1350" s="188" t="inlineStr">
        <is>
          <t>CVE - IP enrichment n/a</t>
        </is>
      </c>
      <c r="T1350" s="188" t="n">
        <v>0</v>
      </c>
      <c r="U1350" s="188" t="n">
        <v>0</v>
      </c>
      <c r="V1350" s="188" t="inlineStr">
        <is>
          <t>T1190:Exploit Public-Facing Application</t>
        </is>
      </c>
      <c r="W1350" s="188" t="n">
        <v>1</v>
      </c>
      <c r="X1350" s="188" t="inlineStr">
        <is>
          <t>LOW (40%)</t>
        </is>
      </c>
      <c r="Y1350" s="188" t="inlineStr">
        <is>
          <t>UNLIKELY</t>
        </is>
      </c>
      <c r="Z1350" s="188" t="inlineStr">
        <is>
          <t>CHECK_VENDOR</t>
        </is>
      </c>
      <c r="AA1350" s="188" t="inlineStr">
        <is>
          <t>https://nvd.nist.gov/vuln/detail/CVE-2026-3148</t>
        </is>
      </c>
      <c r="AB1350" s="188" t="inlineStr">
        <is>
          <t>NONE</t>
        </is>
      </c>
      <c r="AC1350" s="188" t="n">
        <v>0</v>
      </c>
      <c r="AD1350" s="188" t="inlineStr"/>
    </row>
    <row r="1351">
      <c r="A1351" s="187" t="inlineStr">
        <is>
          <t>CVE</t>
        </is>
      </c>
      <c r="B1351" s="187" t="inlineStr">
        <is>
          <t>CVE-2026-3149</t>
        </is>
      </c>
      <c r="C1351" s="187" t="inlineStr">
        <is>
          <t>A weakness has been identified in itsourcecode College Management System 1.0. Affected by this issue is some unknown functionality of the file /admin/asign-single-student-subjects.php. Executing a manipulation of the argument course_code can lead to sql injection. The attack can be executed remotely. The exploit has been made available to the public and could be used for attacks.</t>
        </is>
      </c>
      <c r="D1351" s="187" t="n">
        <v>6.3</v>
      </c>
      <c r="E1351" s="187" t="inlineStr">
        <is>
          <t>MEDIUM</t>
        </is>
      </c>
      <c r="F1351" s="187" t="n">
        <v>2</v>
      </c>
      <c r="G1351" s="187" t="n">
        <v>2</v>
      </c>
      <c r="H1351" s="187" t="inlineStr">
        <is>
          <t>MEDIUM</t>
        </is>
      </c>
      <c r="I1351" s="187" t="n">
        <v>10.3</v>
      </c>
      <c r="J1351" s="187" t="inlineStr">
        <is>
          <t>NO</t>
        </is>
      </c>
      <c r="K1351" s="187" t="inlineStr">
        <is>
          <t>https://nvd.nist.gov/vuln/detail/CVE-2026-3149</t>
        </is>
      </c>
      <c r="L1351" s="187" t="inlineStr">
        <is>
          <t>2026-02-26 00:15</t>
        </is>
      </c>
      <c r="M1351" s="187" t="inlineStr">
        <is>
          <t>YES</t>
        </is>
      </c>
      <c r="N1351" s="187" t="inlineStr">
        <is>
          <t>https://github.com/Zhangchao404/cve/issues/1</t>
        </is>
      </c>
      <c r="O1351" s="187" t="inlineStr">
        <is>
          <t>https://github.com/Zhangchao404/cve/issues/1</t>
        </is>
      </c>
      <c r="P1351" s="187" t="inlineStr">
        <is>
          <t>angeljudesuarez college_management_system 1.0</t>
        </is>
      </c>
      <c r="Q1351" s="187" t="inlineStr">
        <is>
          <t>P4</t>
        </is>
      </c>
      <c r="R1351" s="187" t="inlineStr">
        <is>
          <t>📅 Schedule patch deployment within 30 days | 🔍 Monitor for exploitation attempts</t>
        </is>
      </c>
      <c r="S1351" s="187" t="inlineStr">
        <is>
          <t>CVE - IP enrichment n/a</t>
        </is>
      </c>
      <c r="T1351" s="187" t="n">
        <v>0</v>
      </c>
      <c r="U1351" s="187" t="n">
        <v>0</v>
      </c>
      <c r="V1351" s="187" t="inlineStr">
        <is>
          <t>T1190:Exploit Public-Facing Application</t>
        </is>
      </c>
      <c r="W1351" s="187" t="n">
        <v>1</v>
      </c>
      <c r="X1351" s="187" t="inlineStr">
        <is>
          <t>LOW (40%)</t>
        </is>
      </c>
      <c r="Y1351" s="187" t="inlineStr">
        <is>
          <t>UNLIKELY</t>
        </is>
      </c>
      <c r="Z1351" s="187" t="inlineStr">
        <is>
          <t>PATCH_AVAILABLE</t>
        </is>
      </c>
      <c r="AA1351" s="187" t="inlineStr">
        <is>
          <t>https://nvd.nist.gov/vuln/detail/CVE-2026-3149</t>
        </is>
      </c>
      <c r="AB1351" s="187" t="inlineStr">
        <is>
          <t>NONE</t>
        </is>
      </c>
      <c r="AC1351" s="187" t="n">
        <v>0</v>
      </c>
      <c r="AD1351" s="187" t="inlineStr"/>
    </row>
    <row r="1352">
      <c r="A1352" s="187" t="inlineStr">
        <is>
          <t>CVE</t>
        </is>
      </c>
      <c r="B1352" s="187" t="inlineStr">
        <is>
          <t>CVE-2026-3150</t>
        </is>
      </c>
      <c r="C1352" s="187" t="inlineStr">
        <is>
          <t>A security vulnerability has been detected in itsourcecode College Management System 1.0. This affects an unknown part of the file /admin/display-teacher.php. The manipulation of the argument teacher_id leads to sql injection. The attack is possible to be carried out remotely. The exploit has been disclosed publicly and may be used.</t>
        </is>
      </c>
      <c r="D1352" s="187" t="n">
        <v>6.3</v>
      </c>
      <c r="E1352" s="187" t="inlineStr">
        <is>
          <t>MEDIUM</t>
        </is>
      </c>
      <c r="F1352" s="187" t="n">
        <v>2</v>
      </c>
      <c r="G1352" s="187" t="n">
        <v>2</v>
      </c>
      <c r="H1352" s="187" t="inlineStr">
        <is>
          <t>MEDIUM</t>
        </is>
      </c>
      <c r="I1352" s="187" t="n">
        <v>10.3</v>
      </c>
      <c r="J1352" s="187" t="inlineStr">
        <is>
          <t>NO</t>
        </is>
      </c>
      <c r="K1352" s="187" t="inlineStr">
        <is>
          <t>https://nvd.nist.gov/vuln/detail/CVE-2026-3150</t>
        </is>
      </c>
      <c r="L1352" s="187" t="inlineStr">
        <is>
          <t>2026-02-26 00:15</t>
        </is>
      </c>
      <c r="M1352" s="187" t="inlineStr">
        <is>
          <t>YES</t>
        </is>
      </c>
      <c r="N1352" s="187" t="inlineStr">
        <is>
          <t>https://github.com/Zhangchao404/cve/issues/2</t>
        </is>
      </c>
      <c r="O1352" s="187" t="inlineStr">
        <is>
          <t>https://github.com/Zhangchao404/cve/issues/2</t>
        </is>
      </c>
      <c r="P1352" s="187" t="inlineStr">
        <is>
          <t>angeljudesuarez college_management_system 1.0</t>
        </is>
      </c>
      <c r="Q1352" s="187" t="inlineStr">
        <is>
          <t>P4</t>
        </is>
      </c>
      <c r="R1352" s="187" t="inlineStr">
        <is>
          <t>📅 Schedule patch deployment within 30 days | 🔍 Monitor for exploitation attempts</t>
        </is>
      </c>
      <c r="S1352" s="187" t="inlineStr">
        <is>
          <t>CVE - IP enrichment n/a</t>
        </is>
      </c>
      <c r="T1352" s="187" t="n">
        <v>0.0003</v>
      </c>
      <c r="U1352" s="187" t="n">
        <v>0.07729999999999999</v>
      </c>
      <c r="V1352" s="187" t="inlineStr">
        <is>
          <t>T1190:Exploit Public-Facing Application</t>
        </is>
      </c>
      <c r="W1352" s="187" t="n">
        <v>1</v>
      </c>
      <c r="X1352" s="187" t="inlineStr">
        <is>
          <t>LOW (40%)</t>
        </is>
      </c>
      <c r="Y1352" s="187" t="inlineStr">
        <is>
          <t>UNLIKELY</t>
        </is>
      </c>
      <c r="Z1352" s="187" t="inlineStr">
        <is>
          <t>PATCH_AVAILABLE</t>
        </is>
      </c>
      <c r="AA1352" s="187" t="inlineStr">
        <is>
          <t>https://nvd.nist.gov/vuln/detail/CVE-2026-3150</t>
        </is>
      </c>
      <c r="AB1352" s="187" t="inlineStr">
        <is>
          <t>NONE</t>
        </is>
      </c>
      <c r="AC1352" s="187" t="n">
        <v>0</v>
      </c>
      <c r="AD1352" s="187" t="inlineStr"/>
    </row>
    <row r="1353">
      <c r="A1353" s="189" t="inlineStr">
        <is>
          <t>CVE</t>
        </is>
      </c>
      <c r="B1353" s="189" t="inlineStr">
        <is>
          <t>CVE-2026-25785</t>
        </is>
      </c>
      <c r="C1353" s="189" t="inlineStr">
        <is>
          <t>Path traversal vulnerability exists in Lanscope Endpoint Manager (On-Premises) Sub-Manager Server Ver.9.4.7.3 and earlier, which may allow an attacker to tamper with arbitrary files and execute arbitrary code on the affected system.</t>
        </is>
      </c>
      <c r="D1353" s="189" t="n">
        <v>9.800000000000001</v>
      </c>
      <c r="E1353" s="189" t="inlineStr">
        <is>
          <t>CRITICAL</t>
        </is>
      </c>
      <c r="F1353" s="189" t="n">
        <v>2</v>
      </c>
      <c r="G1353" s="189" t="n">
        <v>3</v>
      </c>
      <c r="H1353" s="189" t="inlineStr">
        <is>
          <t>HIGH</t>
        </is>
      </c>
      <c r="I1353" s="189" t="n">
        <v>15.8</v>
      </c>
      <c r="J1353" s="189" t="inlineStr">
        <is>
          <t>NO</t>
        </is>
      </c>
      <c r="K1353" s="189" t="inlineStr">
        <is>
          <t>https://nvd.nist.gov/vuln/detail/CVE-2026-25785</t>
        </is>
      </c>
      <c r="L1353" s="189" t="inlineStr">
        <is>
          <t>2026-02-26 00:15</t>
        </is>
      </c>
      <c r="M1353" s="189" t="inlineStr">
        <is>
          <t>CHECK_VENDOR</t>
        </is>
      </c>
      <c r="N1353" s="189" t="inlineStr">
        <is>
          <t>See NVD references</t>
        </is>
      </c>
      <c r="O1353" s="189" t="inlineStr">
        <is>
          <t>Apply vendor patches</t>
        </is>
      </c>
      <c r="P1353" s="189" t="inlineStr">
        <is>
          <t>See CVE details</t>
        </is>
      </c>
      <c r="Q1353" s="189" t="inlineStr">
        <is>
          <t>P3</t>
        </is>
      </c>
      <c r="R1353" s="189" t="inlineStr">
        <is>
          <t>🚨 URGENT: Apply vendor patches immediately | 🔒 Isolate affected systems if patch unavailable | 🛡️ Enable additional monitoring/IDS rules</t>
        </is>
      </c>
      <c r="S1353" s="189" t="inlineStr">
        <is>
          <t>CVE - IP enrichment n/a</t>
        </is>
      </c>
      <c r="T1353" s="189" t="n">
        <v>0.0008</v>
      </c>
      <c r="U1353" s="189" t="n">
        <v>0.2419</v>
      </c>
      <c r="V1353" s="189" t="inlineStr">
        <is>
          <t>T1083:File and Directory Discovery | T1203:Exploitation for Client Execution</t>
        </is>
      </c>
      <c r="W1353" s="189" t="n">
        <v>1</v>
      </c>
      <c r="X1353" s="189" t="inlineStr">
        <is>
          <t>LOW (40%)</t>
        </is>
      </c>
      <c r="Y1353" s="189" t="inlineStr">
        <is>
          <t>UNLIKELY</t>
        </is>
      </c>
      <c r="Z1353" s="189" t="inlineStr">
        <is>
          <t>CHECK_VENDOR</t>
        </is>
      </c>
      <c r="AA1353" s="189" t="inlineStr">
        <is>
          <t>https://nvd.nist.gov/vuln/detail/CVE-2026-25785</t>
        </is>
      </c>
      <c r="AB1353" s="189" t="inlineStr">
        <is>
          <t>NONE</t>
        </is>
      </c>
      <c r="AC1353" s="189" t="n">
        <v>0</v>
      </c>
      <c r="AD1353" s="189" t="inlineStr"/>
    </row>
    <row r="1354">
      <c r="A1354" s="188" t="inlineStr">
        <is>
          <t>CVE</t>
        </is>
      </c>
      <c r="B1354" s="188" t="inlineStr">
        <is>
          <t>CVE-2026-3100</t>
        </is>
      </c>
      <c r="C1354" s="188" t="inlineStr">
        <is>
          <t>The FTP Backup on the ADM will not properly strictly enforce TLS certificate verification while connecting to an FTP server using FTPES/FTPS. An improper validated TLS/SSL certificates allows a remote attacker can intercept network traffic to perform a Man-in-the-Middle (MitM) attack, which may intercept, modify, or obtain sensitive information such as authentication credentials and backup data.
Affected products and versions include: from ADM 4.1.0 through ADM 4.3.3.ROF1 as well as from ADM 5.0</t>
        </is>
      </c>
      <c r="D1354" s="188" t="n">
        <v>8.5</v>
      </c>
      <c r="E1354" s="188" t="inlineStr">
        <is>
          <t>HIGH</t>
        </is>
      </c>
      <c r="F1354" s="188" t="n">
        <v>2</v>
      </c>
      <c r="G1354" s="188" t="n">
        <v>3</v>
      </c>
      <c r="H1354" s="188" t="inlineStr">
        <is>
          <t>HIGH</t>
        </is>
      </c>
      <c r="I1354" s="188" t="n">
        <v>14.5</v>
      </c>
      <c r="J1354" s="188" t="inlineStr">
        <is>
          <t>NO</t>
        </is>
      </c>
      <c r="K1354" s="188" t="inlineStr">
        <is>
          <t>https://nvd.nist.gov/vuln/detail/CVE-2026-3100</t>
        </is>
      </c>
      <c r="L1354" s="188" t="inlineStr">
        <is>
          <t>2026-02-26 00:15</t>
        </is>
      </c>
      <c r="M1354" s="188" t="inlineStr">
        <is>
          <t>CHECK_VENDOR</t>
        </is>
      </c>
      <c r="N1354" s="188" t="inlineStr">
        <is>
          <t>See NVD references</t>
        </is>
      </c>
      <c r="O1354" s="188" t="inlineStr">
        <is>
          <t>Apply vendor patches</t>
        </is>
      </c>
      <c r="P1354" s="188" t="inlineStr">
        <is>
          <t>See CVE details</t>
        </is>
      </c>
      <c r="Q1354" s="188" t="inlineStr">
        <is>
          <t>P3</t>
        </is>
      </c>
      <c r="R1354" s="188" t="inlineStr">
        <is>
          <t>🚨 URGENT: Apply vendor patches immediately | 🔒 Isolate affected systems if patch unavailable | 🛡️ Enable additional monitoring/IDS rules</t>
        </is>
      </c>
      <c r="S1354" s="188" t="inlineStr">
        <is>
          <t>CVE - IP enrichment n/a</t>
        </is>
      </c>
      <c r="T1354" s="188" t="n">
        <v>0</v>
      </c>
      <c r="U1354" s="188" t="n">
        <v>0</v>
      </c>
      <c r="V1354" s="188" t="inlineStr">
        <is>
          <t>T1190:Exploit Public-Facing Application | T1552:Unsecured Credentials | T1557:Adversary-in-the-Middle</t>
        </is>
      </c>
      <c r="W1354" s="188" t="n">
        <v>1</v>
      </c>
      <c r="X1354" s="188" t="inlineStr">
        <is>
          <t>LOW (40%)</t>
        </is>
      </c>
      <c r="Y1354" s="188" t="inlineStr">
        <is>
          <t>UNLIKELY</t>
        </is>
      </c>
      <c r="Z1354" s="188" t="inlineStr">
        <is>
          <t>CHECK_VENDOR</t>
        </is>
      </c>
      <c r="AA1354" s="188" t="inlineStr">
        <is>
          <t>https://nvd.nist.gov/vuln/detail/CVE-2026-3100</t>
        </is>
      </c>
      <c r="AB1354" s="188" t="inlineStr">
        <is>
          <t>NONE</t>
        </is>
      </c>
      <c r="AC1354" s="188" t="n">
        <v>0</v>
      </c>
      <c r="AD1354" s="188" t="inlineStr"/>
    </row>
    <row r="1355">
      <c r="A1355" s="188" t="inlineStr">
        <is>
          <t>CVE</t>
        </is>
      </c>
      <c r="B1355" s="188" t="inlineStr">
        <is>
          <t>CVE-2026-3151</t>
        </is>
      </c>
      <c r="C1355" s="188" t="inlineStr">
        <is>
          <t>A vulnerability was detected in itsourcecode College Management System 1.0. This vulnerability affects unknown code of the file /login/login.php. The manipulation of the argument email results in sql injection. The attack may be performed from remote. The exploit is now public and may be used.</t>
        </is>
      </c>
      <c r="D1355" s="188" t="n">
        <v>7.3</v>
      </c>
      <c r="E1355" s="188" t="inlineStr">
        <is>
          <t>HIGH</t>
        </is>
      </c>
      <c r="F1355" s="188" t="n">
        <v>2</v>
      </c>
      <c r="G1355" s="188" t="n">
        <v>3</v>
      </c>
      <c r="H1355" s="188" t="inlineStr">
        <is>
          <t>HIGH</t>
        </is>
      </c>
      <c r="I1355" s="188" t="n">
        <v>13.3</v>
      </c>
      <c r="J1355" s="188" t="inlineStr">
        <is>
          <t>NO</t>
        </is>
      </c>
      <c r="K1355" s="188" t="inlineStr">
        <is>
          <t>https://nvd.nist.gov/vuln/detail/CVE-2026-3151</t>
        </is>
      </c>
      <c r="L1355" s="188" t="inlineStr">
        <is>
          <t>2026-02-26 00:15</t>
        </is>
      </c>
      <c r="M1355" s="188" t="inlineStr">
        <is>
          <t>CHECK_VENDOR</t>
        </is>
      </c>
      <c r="N1355" s="188" t="inlineStr">
        <is>
          <t>See NVD references</t>
        </is>
      </c>
      <c r="O1355" s="188" t="inlineStr">
        <is>
          <t>Apply vendor patches</t>
        </is>
      </c>
      <c r="P1355" s="188" t="inlineStr">
        <is>
          <t>angeljudesuarez college_management_system 1.0</t>
        </is>
      </c>
      <c r="Q1355" s="188" t="inlineStr">
        <is>
          <t>P3</t>
        </is>
      </c>
      <c r="R1355" s="188" t="inlineStr">
        <is>
          <t>🚨 URGENT: Apply vendor patches immediately | 🔒 Isolate affected systems if patch unavailable | 🛡️ Enable additional monitoring/IDS rules</t>
        </is>
      </c>
      <c r="S1355" s="188" t="inlineStr">
        <is>
          <t>CVE - IP enrichment n/a</t>
        </is>
      </c>
      <c r="T1355" s="188" t="n">
        <v>0</v>
      </c>
      <c r="U1355" s="188" t="n">
        <v>0</v>
      </c>
      <c r="V1355" s="188" t="inlineStr">
        <is>
          <t>T1190:Exploit Public-Facing Application</t>
        </is>
      </c>
      <c r="W1355" s="188" t="n">
        <v>1</v>
      </c>
      <c r="X1355" s="188" t="inlineStr">
        <is>
          <t>LOW (40%)</t>
        </is>
      </c>
      <c r="Y1355" s="188" t="inlineStr">
        <is>
          <t>UNLIKELY</t>
        </is>
      </c>
      <c r="Z1355" s="188" t="inlineStr">
        <is>
          <t>CHECK_VENDOR</t>
        </is>
      </c>
      <c r="AA1355" s="188" t="inlineStr">
        <is>
          <t>https://nvd.nist.gov/vuln/detail/CVE-2026-3151</t>
        </is>
      </c>
      <c r="AB1355" s="188" t="inlineStr">
        <is>
          <t>NONE</t>
        </is>
      </c>
      <c r="AC1355" s="188" t="n">
        <v>0</v>
      </c>
      <c r="AD1355" s="188" t="inlineStr"/>
    </row>
    <row r="1356">
      <c r="A1356" s="188" t="inlineStr">
        <is>
          <t>CVE</t>
        </is>
      </c>
      <c r="B1356" s="188" t="inlineStr">
        <is>
          <t>CVE-2026-3152</t>
        </is>
      </c>
      <c r="C1356" s="188" t="inlineStr">
        <is>
          <t>A flaw has been found in itsourcecode College Management System 1.0. This issue affects some unknown processing of the file /admin/teacher-salary.php. This manipulation of the argument teacher_id causes sql injection. It is possible to initiate the attack remotely. The exploit has been published and may be used.</t>
        </is>
      </c>
      <c r="D1356" s="188" t="n">
        <v>7.3</v>
      </c>
      <c r="E1356" s="188" t="inlineStr">
        <is>
          <t>HIGH</t>
        </is>
      </c>
      <c r="F1356" s="188" t="n">
        <v>2</v>
      </c>
      <c r="G1356" s="188" t="n">
        <v>3</v>
      </c>
      <c r="H1356" s="188" t="inlineStr">
        <is>
          <t>HIGH</t>
        </is>
      </c>
      <c r="I1356" s="188" t="n">
        <v>13.3</v>
      </c>
      <c r="J1356" s="188" t="inlineStr">
        <is>
          <t>NO</t>
        </is>
      </c>
      <c r="K1356" s="188" t="inlineStr">
        <is>
          <t>https://nvd.nist.gov/vuln/detail/CVE-2026-3152</t>
        </is>
      </c>
      <c r="L1356" s="188" t="inlineStr">
        <is>
          <t>2026-02-26 00:15</t>
        </is>
      </c>
      <c r="M1356" s="188" t="inlineStr">
        <is>
          <t>CHECK_VENDOR</t>
        </is>
      </c>
      <c r="N1356" s="188" t="inlineStr">
        <is>
          <t>See NVD references</t>
        </is>
      </c>
      <c r="O1356" s="188" t="inlineStr">
        <is>
          <t>Apply vendor patches</t>
        </is>
      </c>
      <c r="P1356" s="188" t="inlineStr">
        <is>
          <t>angeljudesuarez college_management_system 1.0</t>
        </is>
      </c>
      <c r="Q1356" s="188" t="inlineStr">
        <is>
          <t>P3</t>
        </is>
      </c>
      <c r="R1356" s="188" t="inlineStr">
        <is>
          <t>🚨 URGENT: Apply vendor patches immediately | 🔒 Isolate affected systems if patch unavailable | 🛡️ Enable additional monitoring/IDS rules</t>
        </is>
      </c>
      <c r="S1356" s="188" t="inlineStr">
        <is>
          <t>CVE - IP enrichment n/a</t>
        </is>
      </c>
      <c r="T1356" s="188" t="n">
        <v>0.0003</v>
      </c>
      <c r="U1356" s="188" t="n">
        <v>0.0842</v>
      </c>
      <c r="V1356" s="188" t="inlineStr">
        <is>
          <t>T1190:Exploit Public-Facing Application</t>
        </is>
      </c>
      <c r="W1356" s="188" t="n">
        <v>1</v>
      </c>
      <c r="X1356" s="188" t="inlineStr">
        <is>
          <t>LOW (40%)</t>
        </is>
      </c>
      <c r="Y1356" s="188" t="inlineStr">
        <is>
          <t>UNLIKELY</t>
        </is>
      </c>
      <c r="Z1356" s="188" t="inlineStr">
        <is>
          <t>CHECK_VENDOR</t>
        </is>
      </c>
      <c r="AA1356" s="188" t="inlineStr">
        <is>
          <t>https://nvd.nist.gov/vuln/detail/CVE-2026-3152</t>
        </is>
      </c>
      <c r="AB1356" s="188" t="inlineStr">
        <is>
          <t>NONE</t>
        </is>
      </c>
      <c r="AC1356" s="188" t="n">
        <v>0</v>
      </c>
      <c r="AD1356" s="188" t="inlineStr"/>
    </row>
    <row r="1357">
      <c r="A1357" s="188" t="inlineStr">
        <is>
          <t>CVE</t>
        </is>
      </c>
      <c r="B1357" s="188" t="inlineStr">
        <is>
          <t>CVE-2026-3153</t>
        </is>
      </c>
      <c r="C1357" s="188" t="inlineStr">
        <is>
          <t>A vulnerability has been found in itsourcecode Document Management System 1.0. Impacted is an unknown function of the file /register.php. Such manipulation of the argument Username leads to sql injection. It is possible to launch the attack remotely. The exploit has been disclosed to the public and may be used.</t>
        </is>
      </c>
      <c r="D1357" s="188" t="n">
        <v>7.3</v>
      </c>
      <c r="E1357" s="188" t="inlineStr">
        <is>
          <t>HIGH</t>
        </is>
      </c>
      <c r="F1357" s="188" t="n">
        <v>2</v>
      </c>
      <c r="G1357" s="188" t="n">
        <v>3</v>
      </c>
      <c r="H1357" s="188" t="inlineStr">
        <is>
          <t>HIGH</t>
        </is>
      </c>
      <c r="I1357" s="188" t="n">
        <v>13.3</v>
      </c>
      <c r="J1357" s="188" t="inlineStr">
        <is>
          <t>NO</t>
        </is>
      </c>
      <c r="K1357" s="188" t="inlineStr">
        <is>
          <t>https://nvd.nist.gov/vuln/detail/CVE-2026-3153</t>
        </is>
      </c>
      <c r="L1357" s="188" t="inlineStr">
        <is>
          <t>2026-02-26 00:15</t>
        </is>
      </c>
      <c r="M1357" s="188" t="inlineStr">
        <is>
          <t>CHECK_VENDOR</t>
        </is>
      </c>
      <c r="N1357" s="188" t="inlineStr">
        <is>
          <t>See NVD references</t>
        </is>
      </c>
      <c r="O1357" s="188" t="inlineStr">
        <is>
          <t>Apply vendor patches</t>
        </is>
      </c>
      <c r="P1357" s="188" t="inlineStr">
        <is>
          <t>admerc document_management_system 1.0</t>
        </is>
      </c>
      <c r="Q1357" s="188" t="inlineStr">
        <is>
          <t>P3</t>
        </is>
      </c>
      <c r="R1357" s="188" t="inlineStr">
        <is>
          <t>🚨 URGENT: Apply vendor patches immediately | 🔒 Isolate affected systems if patch unavailable | 🛡️ Enable additional monitoring/IDS rules</t>
        </is>
      </c>
      <c r="S1357" s="188" t="inlineStr">
        <is>
          <t>CVE - IP enrichment n/a</t>
        </is>
      </c>
      <c r="T1357" s="188" t="n">
        <v>0</v>
      </c>
      <c r="U1357" s="188" t="n">
        <v>0</v>
      </c>
      <c r="V1357" s="188" t="inlineStr">
        <is>
          <t>T1190:Exploit Public-Facing Application</t>
        </is>
      </c>
      <c r="W1357" s="188" t="n">
        <v>1</v>
      </c>
      <c r="X1357" s="188" t="inlineStr">
        <is>
          <t>LOW (40%)</t>
        </is>
      </c>
      <c r="Y1357" s="188" t="inlineStr">
        <is>
          <t>UNLIKELY</t>
        </is>
      </c>
      <c r="Z1357" s="188" t="inlineStr">
        <is>
          <t>CHECK_VENDOR</t>
        </is>
      </c>
      <c r="AA1357" s="188" t="inlineStr">
        <is>
          <t>https://nvd.nist.gov/vuln/detail/CVE-2026-3153</t>
        </is>
      </c>
      <c r="AB1357" s="188" t="inlineStr">
        <is>
          <t>NONE</t>
        </is>
      </c>
      <c r="AC1357" s="188" t="n">
        <v>0</v>
      </c>
      <c r="AD1357" s="188" t="inlineStr"/>
    </row>
    <row r="1358">
      <c r="A1358" s="187" t="inlineStr">
        <is>
          <t>CVE</t>
        </is>
      </c>
      <c r="B1358" s="187" t="inlineStr">
        <is>
          <t>CVE-2026-3163</t>
        </is>
      </c>
      <c r="C1358" s="187" t="inlineStr">
        <is>
          <t>A vulnerability has been found in SourceCodester Website Link Extractor 1.0. This vulnerability affects the function file_get_contents of the component URL Handler. The manipulation leads to server-side request forgery. It is possible to initiate the attack remotely. The exploit has been disclosed to the public and may be used.</t>
        </is>
      </c>
      <c r="D1358" s="187" t="n">
        <v>6.3</v>
      </c>
      <c r="E1358" s="187" t="inlineStr">
        <is>
          <t>MEDIUM</t>
        </is>
      </c>
      <c r="F1358" s="187" t="n">
        <v>2</v>
      </c>
      <c r="G1358" s="187" t="n">
        <v>2</v>
      </c>
      <c r="H1358" s="187" t="inlineStr">
        <is>
          <t>MEDIUM</t>
        </is>
      </c>
      <c r="I1358" s="187" t="n">
        <v>10.3</v>
      </c>
      <c r="J1358" s="187" t="inlineStr">
        <is>
          <t>NO</t>
        </is>
      </c>
      <c r="K1358" s="187" t="inlineStr">
        <is>
          <t>https://nvd.nist.gov/vuln/detail/CVE-2026-3163</t>
        </is>
      </c>
      <c r="L1358" s="187" t="inlineStr">
        <is>
          <t>2026-02-26 00:15</t>
        </is>
      </c>
      <c r="M1358" s="187" t="inlineStr">
        <is>
          <t>CHECK_VENDOR</t>
        </is>
      </c>
      <c r="N1358" s="187" t="inlineStr">
        <is>
          <t>See NVD references</t>
        </is>
      </c>
      <c r="O1358" s="187" t="inlineStr">
        <is>
          <t>Apply vendor patches</t>
        </is>
      </c>
      <c r="P1358" s="187" t="inlineStr">
        <is>
          <t>remyandrade website_link_extractor 1.0</t>
        </is>
      </c>
      <c r="Q1358" s="187" t="inlineStr">
        <is>
          <t>P4</t>
        </is>
      </c>
      <c r="R1358" s="187" t="inlineStr">
        <is>
          <t>📅 Schedule patch deployment within 30 days | 🔍 Monitor for exploitation attempts</t>
        </is>
      </c>
      <c r="S1358" s="187" t="inlineStr">
        <is>
          <t>CVE - IP enrichment n/a</t>
        </is>
      </c>
      <c r="T1358" s="187" t="n">
        <v>0</v>
      </c>
      <c r="U1358" s="187" t="n">
        <v>0</v>
      </c>
      <c r="V1358" s="187" t="inlineStr">
        <is>
          <t>T1090:Proxy | T1190:Exploit Public-Facing Application</t>
        </is>
      </c>
      <c r="W1358" s="187" t="n">
        <v>1</v>
      </c>
      <c r="X1358" s="187" t="inlineStr">
        <is>
          <t>LOW (40%)</t>
        </is>
      </c>
      <c r="Y1358" s="187" t="inlineStr">
        <is>
          <t>UNLIKELY</t>
        </is>
      </c>
      <c r="Z1358" s="187" t="inlineStr">
        <is>
          <t>CHECK_VENDOR</t>
        </is>
      </c>
      <c r="AA1358" s="187" t="inlineStr">
        <is>
          <t>https://nvd.nist.gov/vuln/detail/CVE-2026-3163</t>
        </is>
      </c>
      <c r="AB1358" s="187" t="inlineStr">
        <is>
          <t>NONE</t>
        </is>
      </c>
      <c r="AC1358" s="187" t="n">
        <v>0</v>
      </c>
      <c r="AD1358" s="187" t="inlineStr"/>
    </row>
    <row r="1359">
      <c r="A1359" s="188" t="inlineStr">
        <is>
          <t>CVE</t>
        </is>
      </c>
      <c r="B1359" s="188" t="inlineStr">
        <is>
          <t>CVE-2026-3164</t>
        </is>
      </c>
      <c r="C1359" s="188" t="inlineStr">
        <is>
          <t>A vulnerability was found in itsourcecode News Portal Project 1.0. This issue affects some unknown processing of the file /admin/contactus.php. The manipulation of the argument pagetitle results in sql injection. It is possible to launch the attack remotely. The exploit has been made public and could be used.</t>
        </is>
      </c>
      <c r="D1359" s="188" t="n">
        <v>7.3</v>
      </c>
      <c r="E1359" s="188" t="inlineStr">
        <is>
          <t>HIGH</t>
        </is>
      </c>
      <c r="F1359" s="188" t="n">
        <v>2</v>
      </c>
      <c r="G1359" s="188" t="n">
        <v>3</v>
      </c>
      <c r="H1359" s="188" t="inlineStr">
        <is>
          <t>HIGH</t>
        </is>
      </c>
      <c r="I1359" s="188" t="n">
        <v>13.3</v>
      </c>
      <c r="J1359" s="188" t="inlineStr">
        <is>
          <t>NO</t>
        </is>
      </c>
      <c r="K1359" s="188" t="inlineStr">
        <is>
          <t>https://nvd.nist.gov/vuln/detail/CVE-2026-3164</t>
        </is>
      </c>
      <c r="L1359" s="188" t="inlineStr">
        <is>
          <t>2026-02-26 00:15</t>
        </is>
      </c>
      <c r="M1359" s="188" t="inlineStr">
        <is>
          <t>CHECK_VENDOR</t>
        </is>
      </c>
      <c r="N1359" s="188" t="inlineStr">
        <is>
          <t>See NVD references</t>
        </is>
      </c>
      <c r="O1359" s="188" t="inlineStr">
        <is>
          <t>Apply vendor patches</t>
        </is>
      </c>
      <c r="P1359" s="188" t="inlineStr">
        <is>
          <t>clive_21 news_portal_project 1.0</t>
        </is>
      </c>
      <c r="Q1359" s="188" t="inlineStr">
        <is>
          <t>P3</t>
        </is>
      </c>
      <c r="R1359" s="188" t="inlineStr">
        <is>
          <t>🚨 URGENT: Apply vendor patches immediately | 🔒 Isolate affected systems if patch unavailable | 🛡️ Enable additional monitoring/IDS rules</t>
        </is>
      </c>
      <c r="S1359" s="188" t="inlineStr">
        <is>
          <t>CVE - IP enrichment n/a</t>
        </is>
      </c>
      <c r="T1359" s="188" t="n">
        <v>0</v>
      </c>
      <c r="U1359" s="188" t="n">
        <v>0</v>
      </c>
      <c r="V1359" s="188" t="inlineStr">
        <is>
          <t>T1190:Exploit Public-Facing Application</t>
        </is>
      </c>
      <c r="W1359" s="188" t="n">
        <v>1</v>
      </c>
      <c r="X1359" s="188" t="inlineStr">
        <is>
          <t>LOW (40%)</t>
        </is>
      </c>
      <c r="Y1359" s="188" t="inlineStr">
        <is>
          <t>UNLIKELY</t>
        </is>
      </c>
      <c r="Z1359" s="188" t="inlineStr">
        <is>
          <t>CHECK_VENDOR</t>
        </is>
      </c>
      <c r="AA1359" s="188" t="inlineStr">
        <is>
          <t>https://nvd.nist.gov/vuln/detail/CVE-2026-3164</t>
        </is>
      </c>
      <c r="AB1359" s="188" t="inlineStr">
        <is>
          <t>NONE</t>
        </is>
      </c>
      <c r="AC1359" s="188" t="n">
        <v>0</v>
      </c>
      <c r="AD1359" s="188" t="inlineStr"/>
    </row>
    <row r="1360">
      <c r="A1360" s="188" t="inlineStr">
        <is>
          <t>CVE</t>
        </is>
      </c>
      <c r="B1360" s="188" t="inlineStr">
        <is>
          <t>CVE-2026-3165</t>
        </is>
      </c>
      <c r="C1360" s="188" t="inlineStr">
        <is>
          <t>A vulnerability was determined in Tenda F453 1.0.0.3. Impacted is the function fromSetWifiGusetBasic of the file /goform/AdvSetWrlsafeset of the component httpd. This manipulation of the argument mit_ssid causes buffer overflow. The attack can be initiated remotely. The exploit has been publicly disclosed and may be utilized.</t>
        </is>
      </c>
      <c r="D1360" s="188" t="n">
        <v>8.800000000000001</v>
      </c>
      <c r="E1360" s="188" t="inlineStr">
        <is>
          <t>HIGH</t>
        </is>
      </c>
      <c r="F1360" s="188" t="n">
        <v>2</v>
      </c>
      <c r="G1360" s="188" t="n">
        <v>3</v>
      </c>
      <c r="H1360" s="188" t="inlineStr">
        <is>
          <t>HIGH</t>
        </is>
      </c>
      <c r="I1360" s="188" t="n">
        <v>14.8</v>
      </c>
      <c r="J1360" s="188" t="inlineStr">
        <is>
          <t>NO</t>
        </is>
      </c>
      <c r="K1360" s="188" t="inlineStr">
        <is>
          <t>https://nvd.nist.gov/vuln/detail/CVE-2026-3165</t>
        </is>
      </c>
      <c r="L1360" s="188" t="inlineStr">
        <is>
          <t>2026-02-26 00:15</t>
        </is>
      </c>
      <c r="M1360" s="188" t="inlineStr">
        <is>
          <t>CHECK_VENDOR</t>
        </is>
      </c>
      <c r="N1360" s="188" t="inlineStr">
        <is>
          <t>See NVD references</t>
        </is>
      </c>
      <c r="O1360" s="188" t="inlineStr">
        <is>
          <t>Apply vendor patches</t>
        </is>
      </c>
      <c r="P1360" s="188" t="inlineStr">
        <is>
          <t>tenda f453 - | tenda f453_firmware 1.0.0.3</t>
        </is>
      </c>
      <c r="Q1360" s="188" t="inlineStr">
        <is>
          <t>P3</t>
        </is>
      </c>
      <c r="R1360" s="188" t="inlineStr">
        <is>
          <t>🚨 URGENT: Apply vendor patches immediately | 🔒 Isolate affected systems if patch unavailable | 🛡️ Enable additional monitoring/IDS rules</t>
        </is>
      </c>
      <c r="S1360" s="188" t="inlineStr">
        <is>
          <t>CVE - IP enrichment n/a</t>
        </is>
      </c>
      <c r="T1360" s="188" t="n">
        <v>0</v>
      </c>
      <c r="U1360" s="188" t="n">
        <v>0</v>
      </c>
      <c r="V1360" s="188" t="inlineStr">
        <is>
          <t>T1203:Exploitation for Client Execution</t>
        </is>
      </c>
      <c r="W1360" s="188" t="n">
        <v>1</v>
      </c>
      <c r="X1360" s="188" t="inlineStr">
        <is>
          <t>LOW (40%)</t>
        </is>
      </c>
      <c r="Y1360" s="188" t="inlineStr">
        <is>
          <t>UNLIKELY</t>
        </is>
      </c>
      <c r="Z1360" s="188" t="inlineStr">
        <is>
          <t>CHECK_VENDOR</t>
        </is>
      </c>
      <c r="AA1360" s="188" t="inlineStr">
        <is>
          <t>https://nvd.nist.gov/vuln/detail/CVE-2026-3165</t>
        </is>
      </c>
      <c r="AB1360" s="188" t="inlineStr">
        <is>
          <t>NONE</t>
        </is>
      </c>
      <c r="AC1360" s="188" t="n">
        <v>0</v>
      </c>
      <c r="AD1360" s="188" t="inlineStr"/>
    </row>
    <row r="1361">
      <c r="A1361" s="188" t="inlineStr">
        <is>
          <t>CVE</t>
        </is>
      </c>
      <c r="B1361" s="188" t="inlineStr">
        <is>
          <t>CVE-2026-3179</t>
        </is>
      </c>
      <c r="C1361" s="188" t="inlineStr">
        <is>
          <t>The FTP Backup on the ADM does not properly sanitize filenames received from the FTP server when parsing directory listings. A malicious server or MITM attacker can craft filenames containing path traversal sequences, causing the client to write files outside the intended backup directory. A path traversal vulnerability may allow an attacker to overwrite arbitrary files on the system and potentially achieve privilege escalation or remote code execution.
Affected products and versions include: fr</t>
        </is>
      </c>
      <c r="D1361" s="188" t="n">
        <v>8.5</v>
      </c>
      <c r="E1361" s="188" t="inlineStr">
        <is>
          <t>HIGH</t>
        </is>
      </c>
      <c r="F1361" s="188" t="n">
        <v>2</v>
      </c>
      <c r="G1361" s="188" t="n">
        <v>3</v>
      </c>
      <c r="H1361" s="188" t="inlineStr">
        <is>
          <t>HIGH</t>
        </is>
      </c>
      <c r="I1361" s="188" t="n">
        <v>14.5</v>
      </c>
      <c r="J1361" s="188" t="inlineStr">
        <is>
          <t>NO</t>
        </is>
      </c>
      <c r="K1361" s="188" t="inlineStr">
        <is>
          <t>https://nvd.nist.gov/vuln/detail/CVE-2026-3179</t>
        </is>
      </c>
      <c r="L1361" s="188" t="inlineStr">
        <is>
          <t>2026-02-26 00:15</t>
        </is>
      </c>
      <c r="M1361" s="188" t="inlineStr">
        <is>
          <t>CHECK_VENDOR</t>
        </is>
      </c>
      <c r="N1361" s="188" t="inlineStr">
        <is>
          <t>See NVD references</t>
        </is>
      </c>
      <c r="O1361" s="188" t="inlineStr">
        <is>
          <t>Apply vendor patches</t>
        </is>
      </c>
      <c r="P1361" s="188" t="inlineStr">
        <is>
          <t>See CVE details</t>
        </is>
      </c>
      <c r="Q1361" s="188" t="inlineStr">
        <is>
          <t>P3</t>
        </is>
      </c>
      <c r="R1361" s="188" t="inlineStr">
        <is>
          <t>🚨 URGENT: Apply vendor patches immediately | 🔒 Isolate affected systems if patch unavailable | 🛡️ Enable additional monitoring/IDS rules</t>
        </is>
      </c>
      <c r="S1361" s="188" t="inlineStr">
        <is>
          <t>CVE - IP enrichment n/a</t>
        </is>
      </c>
      <c r="T1361" s="188" t="n">
        <v>0</v>
      </c>
      <c r="U1361" s="188" t="n">
        <v>0</v>
      </c>
      <c r="V1361" s="188" t="inlineStr">
        <is>
          <t>T1083:File and Directory Discovery | T1190:Exploit Public-Facing Application | T1210:Exploitation of Remote Services</t>
        </is>
      </c>
      <c r="W1361" s="188" t="n">
        <v>1</v>
      </c>
      <c r="X1361" s="188" t="inlineStr">
        <is>
          <t>LOW (40%)</t>
        </is>
      </c>
      <c r="Y1361" s="188" t="inlineStr">
        <is>
          <t>UNLIKELY</t>
        </is>
      </c>
      <c r="Z1361" s="188" t="inlineStr">
        <is>
          <t>CHECK_VENDOR</t>
        </is>
      </c>
      <c r="AA1361" s="188" t="inlineStr">
        <is>
          <t>https://nvd.nist.gov/vuln/detail/CVE-2026-3179</t>
        </is>
      </c>
      <c r="AB1361" s="188" t="inlineStr">
        <is>
          <t>NONE</t>
        </is>
      </c>
      <c r="AC1361" s="188" t="n">
        <v>0</v>
      </c>
      <c r="AD1361" s="188" t="inlineStr"/>
    </row>
    <row r="1362">
      <c r="A1362" s="187" t="inlineStr">
        <is>
          <t>CVE</t>
        </is>
      </c>
      <c r="B1362" s="187" t="inlineStr">
        <is>
          <t>CVE-2026-1614</t>
        </is>
      </c>
      <c r="C1362" s="187" t="inlineStr">
        <is>
          <t>The Rise Blocks – A Complete Gutenberg Page Builder plugin for WordPress is vulnerable to Stored Cross-Site Scripting via the ‘logoTag’ Site Identity block attribute in all versions up to, and including, 3.7 due to insufficient input sanitization and output escaping. This makes it possible for authenticated attackers, with Contributor-level access and above, to inject arbitrary web scripts in pages that will execute whenever a user accesses an injected page.</t>
        </is>
      </c>
      <c r="D1362" s="187" t="n">
        <v>6.4</v>
      </c>
      <c r="E1362" s="187" t="inlineStr">
        <is>
          <t>MEDIUM</t>
        </is>
      </c>
      <c r="F1362" s="187" t="n">
        <v>2</v>
      </c>
      <c r="G1362" s="187" t="n">
        <v>2</v>
      </c>
      <c r="H1362" s="187" t="inlineStr">
        <is>
          <t>MEDIUM</t>
        </is>
      </c>
      <c r="I1362" s="187" t="n">
        <v>10.4</v>
      </c>
      <c r="J1362" s="187" t="inlineStr">
        <is>
          <t>NO</t>
        </is>
      </c>
      <c r="K1362" s="187" t="inlineStr">
        <is>
          <t>https://nvd.nist.gov/vuln/detail/CVE-2026-1614</t>
        </is>
      </c>
      <c r="L1362" s="187" t="inlineStr">
        <is>
          <t>2026-02-26 00:15</t>
        </is>
      </c>
      <c r="M1362" s="187" t="inlineStr">
        <is>
          <t>CHECK_VENDOR</t>
        </is>
      </c>
      <c r="N1362" s="187" t="inlineStr">
        <is>
          <t>See NVD references</t>
        </is>
      </c>
      <c r="O1362" s="187" t="inlineStr">
        <is>
          <t>Apply vendor patches</t>
        </is>
      </c>
      <c r="P1362" s="187" t="inlineStr">
        <is>
          <t>See CVE details</t>
        </is>
      </c>
      <c r="Q1362" s="187" t="inlineStr">
        <is>
          <t>P4</t>
        </is>
      </c>
      <c r="R1362" s="187" t="inlineStr">
        <is>
          <t>📅 Schedule patch deployment within 30 days | 🔍 Monitor for exploitation attempts</t>
        </is>
      </c>
      <c r="S1362" s="187" t="inlineStr">
        <is>
          <t>CVE - IP enrichment n/a</t>
        </is>
      </c>
      <c r="T1362" s="187" t="n">
        <v>0</v>
      </c>
      <c r="U1362" s="187" t="n">
        <v>0</v>
      </c>
      <c r="V1362" s="187" t="inlineStr">
        <is>
          <t>T1189:Drive-by Compromise</t>
        </is>
      </c>
      <c r="W1362" s="187" t="n">
        <v>1</v>
      </c>
      <c r="X1362" s="187" t="inlineStr">
        <is>
          <t>LOW (40%)</t>
        </is>
      </c>
      <c r="Y1362" s="187" t="inlineStr">
        <is>
          <t>UNLIKELY</t>
        </is>
      </c>
      <c r="Z1362" s="187" t="inlineStr">
        <is>
          <t>CHECK_VENDOR</t>
        </is>
      </c>
      <c r="AA1362" s="187" t="inlineStr">
        <is>
          <t>https://nvd.nist.gov/vuln/detail/CVE-2026-1614</t>
        </is>
      </c>
      <c r="AB1362" s="187" t="inlineStr">
        <is>
          <t>NONE</t>
        </is>
      </c>
      <c r="AC1362" s="187" t="n">
        <v>0</v>
      </c>
      <c r="AD1362" s="187" t="inlineStr"/>
    </row>
    <row r="1363">
      <c r="A1363" s="188" t="inlineStr">
        <is>
          <t>CVE</t>
        </is>
      </c>
      <c r="B1363" s="188" t="inlineStr">
        <is>
          <t>CVE-2026-3166</t>
        </is>
      </c>
      <c r="C1363" s="188" t="inlineStr">
        <is>
          <t>A vulnerability was identified in Tenda F453 1.0.0.3. The affected element is the function fromRouteStatic of the file /goform/RouteStatic of the component httpd. Such manipulation of the argument page leads to buffer overflow. The attack can be launched remotely. The exploit is publicly available and might be used.</t>
        </is>
      </c>
      <c r="D1363" s="188" t="n">
        <v>8.800000000000001</v>
      </c>
      <c r="E1363" s="188" t="inlineStr">
        <is>
          <t>HIGH</t>
        </is>
      </c>
      <c r="F1363" s="188" t="n">
        <v>2</v>
      </c>
      <c r="G1363" s="188" t="n">
        <v>3</v>
      </c>
      <c r="H1363" s="188" t="inlineStr">
        <is>
          <t>HIGH</t>
        </is>
      </c>
      <c r="I1363" s="188" t="n">
        <v>14.8</v>
      </c>
      <c r="J1363" s="188" t="inlineStr">
        <is>
          <t>NO</t>
        </is>
      </c>
      <c r="K1363" s="188" t="inlineStr">
        <is>
          <t>https://nvd.nist.gov/vuln/detail/CVE-2026-3166</t>
        </is>
      </c>
      <c r="L1363" s="188" t="inlineStr">
        <is>
          <t>2026-02-26 00:15</t>
        </is>
      </c>
      <c r="M1363" s="188" t="inlineStr">
        <is>
          <t>CHECK_VENDOR</t>
        </is>
      </c>
      <c r="N1363" s="188" t="inlineStr">
        <is>
          <t>See NVD references</t>
        </is>
      </c>
      <c r="O1363" s="188" t="inlineStr">
        <is>
          <t>Apply vendor patches</t>
        </is>
      </c>
      <c r="P1363" s="188" t="inlineStr">
        <is>
          <t>tenda f453 - | tenda f453_firmware 1.0.0.3</t>
        </is>
      </c>
      <c r="Q1363" s="188" t="inlineStr">
        <is>
          <t>P3</t>
        </is>
      </c>
      <c r="R1363" s="188" t="inlineStr">
        <is>
          <t>🚨 URGENT: Apply vendor patches immediately | 🔒 Isolate affected systems if patch unavailable | 🛡️ Enable additional monitoring/IDS rules</t>
        </is>
      </c>
      <c r="S1363" s="188" t="inlineStr">
        <is>
          <t>CVE - IP enrichment n/a</t>
        </is>
      </c>
      <c r="T1363" s="188" t="n">
        <v>0.0005</v>
      </c>
      <c r="U1363" s="188" t="n">
        <v>0.1429</v>
      </c>
      <c r="V1363" s="188" t="inlineStr">
        <is>
          <t>T1203:Exploitation for Client Execution</t>
        </is>
      </c>
      <c r="W1363" s="188" t="n">
        <v>1</v>
      </c>
      <c r="X1363" s="188" t="inlineStr">
        <is>
          <t>LOW (40%)</t>
        </is>
      </c>
      <c r="Y1363" s="188" t="inlineStr">
        <is>
          <t>UNLIKELY</t>
        </is>
      </c>
      <c r="Z1363" s="188" t="inlineStr">
        <is>
          <t>CHECK_VENDOR</t>
        </is>
      </c>
      <c r="AA1363" s="188" t="inlineStr">
        <is>
          <t>https://nvd.nist.gov/vuln/detail/CVE-2026-3166</t>
        </is>
      </c>
      <c r="AB1363" s="188" t="inlineStr">
        <is>
          <t>NONE</t>
        </is>
      </c>
      <c r="AC1363" s="188" t="n">
        <v>0</v>
      </c>
      <c r="AD1363" s="188" t="inlineStr"/>
    </row>
    <row r="1364">
      <c r="A1364" s="188" t="inlineStr">
        <is>
          <t>CVE</t>
        </is>
      </c>
      <c r="B1364" s="188" t="inlineStr">
        <is>
          <t>CVE-2026-3167</t>
        </is>
      </c>
      <c r="C1364" s="188" t="inlineStr">
        <is>
          <t>A security flaw has been discovered in Tenda F453 1.0.0.3. The impacted element is the function formWebTypeLibrary of the file /goform/webtypelibrary of the component httpd. Performing a manipulation of the argument webSiteId results in buffer overflow. The attack may be initiated remotely. The exploit has been released to the public and may be used for attacks.</t>
        </is>
      </c>
      <c r="D1364" s="188" t="n">
        <v>8.800000000000001</v>
      </c>
      <c r="E1364" s="188" t="inlineStr">
        <is>
          <t>HIGH</t>
        </is>
      </c>
      <c r="F1364" s="188" t="n">
        <v>2</v>
      </c>
      <c r="G1364" s="188" t="n">
        <v>3</v>
      </c>
      <c r="H1364" s="188" t="inlineStr">
        <is>
          <t>HIGH</t>
        </is>
      </c>
      <c r="I1364" s="188" t="n">
        <v>14.8</v>
      </c>
      <c r="J1364" s="188" t="inlineStr">
        <is>
          <t>NO</t>
        </is>
      </c>
      <c r="K1364" s="188" t="inlineStr">
        <is>
          <t>https://nvd.nist.gov/vuln/detail/CVE-2026-3167</t>
        </is>
      </c>
      <c r="L1364" s="188" t="inlineStr">
        <is>
          <t>2026-02-26 00:15</t>
        </is>
      </c>
      <c r="M1364" s="188" t="inlineStr">
        <is>
          <t>CHECK_VENDOR</t>
        </is>
      </c>
      <c r="N1364" s="188" t="inlineStr">
        <is>
          <t>See NVD references</t>
        </is>
      </c>
      <c r="O1364" s="188" t="inlineStr">
        <is>
          <t>Apply vendor patches</t>
        </is>
      </c>
      <c r="P1364" s="188" t="inlineStr">
        <is>
          <t>tenda f453 - | tenda f453_firmware 1.0.0.3</t>
        </is>
      </c>
      <c r="Q1364" s="188" t="inlineStr">
        <is>
          <t>P3</t>
        </is>
      </c>
      <c r="R1364" s="188" t="inlineStr">
        <is>
          <t>🚨 URGENT: Apply vendor patches immediately | 🔒 Isolate affected systems if patch unavailable | 🛡️ Enable additional monitoring/IDS rules</t>
        </is>
      </c>
      <c r="S1364" s="188" t="inlineStr">
        <is>
          <t>CVE - IP enrichment n/a</t>
        </is>
      </c>
      <c r="T1364" s="188" t="n">
        <v>0</v>
      </c>
      <c r="U1364" s="188" t="n">
        <v>0</v>
      </c>
      <c r="V1364" s="188" t="inlineStr">
        <is>
          <t>T1203:Exploitation for Client Execution</t>
        </is>
      </c>
      <c r="W1364" s="188" t="n">
        <v>1</v>
      </c>
      <c r="X1364" s="188" t="inlineStr">
        <is>
          <t>LOW (40%)</t>
        </is>
      </c>
      <c r="Y1364" s="188" t="inlineStr">
        <is>
          <t>UNLIKELY</t>
        </is>
      </c>
      <c r="Z1364" s="188" t="inlineStr">
        <is>
          <t>CHECK_VENDOR</t>
        </is>
      </c>
      <c r="AA1364" s="188" t="inlineStr">
        <is>
          <t>https://nvd.nist.gov/vuln/detail/CVE-2026-3167</t>
        </is>
      </c>
      <c r="AB1364" s="188" t="inlineStr">
        <is>
          <t>NONE</t>
        </is>
      </c>
      <c r="AC1364" s="188" t="n">
        <v>0</v>
      </c>
      <c r="AD1364" s="188" t="inlineStr"/>
    </row>
    <row r="1365">
      <c r="A1365" s="188" t="inlineStr">
        <is>
          <t>CVE</t>
        </is>
      </c>
      <c r="B1365" s="188" t="inlineStr">
        <is>
          <t>CVE-2026-3168</t>
        </is>
      </c>
      <c r="C1365" s="188" t="inlineStr">
        <is>
          <t>A weakness has been identified in Tenda F453 1.0.0.3. This affects the function fromNatStaticSetting of the file /goform/NatStaticSetting of the component httpd. Executing a manipulation of the argument page can lead to buffer overflow. The attack may be launched remotely. The exploit has been made available to the public and could be used for attacks.</t>
        </is>
      </c>
      <c r="D1365" s="188" t="n">
        <v>8.800000000000001</v>
      </c>
      <c r="E1365" s="188" t="inlineStr">
        <is>
          <t>HIGH</t>
        </is>
      </c>
      <c r="F1365" s="188" t="n">
        <v>2</v>
      </c>
      <c r="G1365" s="188" t="n">
        <v>3</v>
      </c>
      <c r="H1365" s="188" t="inlineStr">
        <is>
          <t>HIGH</t>
        </is>
      </c>
      <c r="I1365" s="188" t="n">
        <v>14.8</v>
      </c>
      <c r="J1365" s="188" t="inlineStr">
        <is>
          <t>NO</t>
        </is>
      </c>
      <c r="K1365" s="188" t="inlineStr">
        <is>
          <t>https://nvd.nist.gov/vuln/detail/CVE-2026-3168</t>
        </is>
      </c>
      <c r="L1365" s="188" t="inlineStr">
        <is>
          <t>2026-02-26 00:15</t>
        </is>
      </c>
      <c r="M1365" s="188" t="inlineStr">
        <is>
          <t>CHECK_VENDOR</t>
        </is>
      </c>
      <c r="N1365" s="188" t="inlineStr">
        <is>
          <t>See NVD references</t>
        </is>
      </c>
      <c r="O1365" s="188" t="inlineStr">
        <is>
          <t>Apply vendor patches</t>
        </is>
      </c>
      <c r="P1365" s="188" t="inlineStr">
        <is>
          <t>tenda f453 - | tenda f453_firmware 1.0.0.3</t>
        </is>
      </c>
      <c r="Q1365" s="188" t="inlineStr">
        <is>
          <t>P3</t>
        </is>
      </c>
      <c r="R1365" s="188" t="inlineStr">
        <is>
          <t>🚨 URGENT: Apply vendor patches immediately | 🔒 Isolate affected systems if patch unavailable | 🛡️ Enable additional monitoring/IDS rules</t>
        </is>
      </c>
      <c r="S1365" s="188" t="inlineStr">
        <is>
          <t>CVE - IP enrichment n/a</t>
        </is>
      </c>
      <c r="T1365" s="188" t="n">
        <v>0</v>
      </c>
      <c r="U1365" s="188" t="n">
        <v>0</v>
      </c>
      <c r="V1365" s="188" t="inlineStr">
        <is>
          <t>T1203:Exploitation for Client Execution</t>
        </is>
      </c>
      <c r="W1365" s="188" t="n">
        <v>1</v>
      </c>
      <c r="X1365" s="188" t="inlineStr">
        <is>
          <t>LOW (40%)</t>
        </is>
      </c>
      <c r="Y1365" s="188" t="inlineStr">
        <is>
          <t>UNLIKELY</t>
        </is>
      </c>
      <c r="Z1365" s="188" t="inlineStr">
        <is>
          <t>CHECK_VENDOR</t>
        </is>
      </c>
      <c r="AA1365" s="188" t="inlineStr">
        <is>
          <t>https://nvd.nist.gov/vuln/detail/CVE-2026-3168</t>
        </is>
      </c>
      <c r="AB1365" s="188" t="inlineStr">
        <is>
          <t>NONE</t>
        </is>
      </c>
      <c r="AC1365" s="188" t="n">
        <v>0</v>
      </c>
      <c r="AD1365" s="188" t="inlineStr"/>
    </row>
    <row r="1366">
      <c r="A1366" s="187" t="inlineStr">
        <is>
          <t>CVE</t>
        </is>
      </c>
      <c r="B1366" s="187" t="inlineStr">
        <is>
          <t>CVE-2025-11563</t>
        </is>
      </c>
      <c r="C1366" s="187" t="inlineStr">
        <is>
          <t>URLs containing percent-encoded slashes (`/` or `\`) can trick wcurl into
saving the output file outside of the current directory without the user
explicitly asking for it.
This flaw only affects the wcurl command line tool.</t>
        </is>
      </c>
      <c r="D1366" s="187" t="n">
        <v>4.6</v>
      </c>
      <c r="E1366" s="187" t="inlineStr">
        <is>
          <t>MEDIUM</t>
        </is>
      </c>
      <c r="F1366" s="187" t="n">
        <v>2</v>
      </c>
      <c r="G1366" s="187" t="n">
        <v>2</v>
      </c>
      <c r="H1366" s="187" t="inlineStr">
        <is>
          <t>MEDIUM</t>
        </is>
      </c>
      <c r="I1366" s="187" t="n">
        <v>8.6</v>
      </c>
      <c r="J1366" s="187" t="inlineStr">
        <is>
          <t>NO</t>
        </is>
      </c>
      <c r="K1366" s="187" t="inlineStr">
        <is>
          <t>https://nvd.nist.gov/vuln/detail/CVE-2025-11563</t>
        </is>
      </c>
      <c r="L1366" s="187" t="inlineStr">
        <is>
          <t>2026-02-26 00:15</t>
        </is>
      </c>
      <c r="M1366" s="187" t="inlineStr">
        <is>
          <t>CHECK_VENDOR</t>
        </is>
      </c>
      <c r="N1366" s="187" t="inlineStr">
        <is>
          <t>See NVD references</t>
        </is>
      </c>
      <c r="O1366" s="187" t="inlineStr">
        <is>
          <t>Apply vendor patches</t>
        </is>
      </c>
      <c r="P1366" s="187" t="inlineStr">
        <is>
          <t>See CVE details</t>
        </is>
      </c>
      <c r="Q1366" s="187" t="inlineStr">
        <is>
          <t>P4</t>
        </is>
      </c>
      <c r="R1366" s="187" t="inlineStr">
        <is>
          <t>📅 Schedule patch deployment within 30 days | 🔍 Monitor for exploitation attempts</t>
        </is>
      </c>
      <c r="S1366" s="187" t="inlineStr">
        <is>
          <t>CVE - IP enrichment n/a</t>
        </is>
      </c>
      <c r="T1366" s="187" t="n">
        <v>0</v>
      </c>
      <c r="U1366" s="187" t="n">
        <v>0</v>
      </c>
      <c r="V1366" s="187" t="inlineStr">
        <is>
          <t>T1190:Exploit Public-Facing Application</t>
        </is>
      </c>
      <c r="W1366" s="187" t="n">
        <v>1</v>
      </c>
      <c r="X1366" s="187" t="inlineStr">
        <is>
          <t>LOW (40%)</t>
        </is>
      </c>
      <c r="Y1366" s="187" t="inlineStr">
        <is>
          <t>UNLIKELY</t>
        </is>
      </c>
      <c r="Z1366" s="187" t="inlineStr">
        <is>
          <t>CHECK_VENDOR</t>
        </is>
      </c>
      <c r="AA1366" s="187" t="inlineStr">
        <is>
          <t>https://nvd.nist.gov/vuln/detail/CVE-2025-11563</t>
        </is>
      </c>
      <c r="AB1366" s="187" t="inlineStr">
        <is>
          <t>NONE</t>
        </is>
      </c>
      <c r="AC1366" s="187" t="n">
        <v>0</v>
      </c>
      <c r="AD1366" s="187" t="inlineStr"/>
    </row>
    <row r="1367">
      <c r="A1367" s="188" t="inlineStr">
        <is>
          <t>CVE</t>
        </is>
      </c>
      <c r="B1367" s="188" t="inlineStr">
        <is>
          <t>CVE-2026-3169</t>
        </is>
      </c>
      <c r="C1367" s="188" t="inlineStr">
        <is>
          <t>A security vulnerability has been detected in Tenda F453 1.0.0.3. This impacts the function fromSafeEmailFilter of the file /goform/SafeEmailFilter of the component httpd. The manipulation of the argument page leads to buffer overflow. Remote exploitation of the attack is possible. The exploit has been disclosed publicly and may be used.</t>
        </is>
      </c>
      <c r="D1367" s="188" t="n">
        <v>8.800000000000001</v>
      </c>
      <c r="E1367" s="188" t="inlineStr">
        <is>
          <t>HIGH</t>
        </is>
      </c>
      <c r="F1367" s="188" t="n">
        <v>2</v>
      </c>
      <c r="G1367" s="188" t="n">
        <v>3</v>
      </c>
      <c r="H1367" s="188" t="inlineStr">
        <is>
          <t>HIGH</t>
        </is>
      </c>
      <c r="I1367" s="188" t="n">
        <v>14.8</v>
      </c>
      <c r="J1367" s="188" t="inlineStr">
        <is>
          <t>NO</t>
        </is>
      </c>
      <c r="K1367" s="188" t="inlineStr">
        <is>
          <t>https://nvd.nist.gov/vuln/detail/CVE-2026-3169</t>
        </is>
      </c>
      <c r="L1367" s="188" t="inlineStr">
        <is>
          <t>2026-02-26 00:15</t>
        </is>
      </c>
      <c r="M1367" s="188" t="inlineStr">
        <is>
          <t>CHECK_VENDOR</t>
        </is>
      </c>
      <c r="N1367" s="188" t="inlineStr">
        <is>
          <t>See NVD references</t>
        </is>
      </c>
      <c r="O1367" s="188" t="inlineStr">
        <is>
          <t>Apply vendor patches</t>
        </is>
      </c>
      <c r="P1367" s="188" t="inlineStr">
        <is>
          <t>tenda f453 - | tenda f453_firmware 1.0.0.3</t>
        </is>
      </c>
      <c r="Q1367" s="188" t="inlineStr">
        <is>
          <t>P3</t>
        </is>
      </c>
      <c r="R1367" s="188" t="inlineStr">
        <is>
          <t>🚨 URGENT: Apply vendor patches immediately | 🔒 Isolate affected systems if patch unavailable | 🛡️ Enable additional monitoring/IDS rules</t>
        </is>
      </c>
      <c r="S1367" s="188" t="inlineStr">
        <is>
          <t>CVE - IP enrichment n/a</t>
        </is>
      </c>
      <c r="T1367" s="188" t="n">
        <v>0</v>
      </c>
      <c r="U1367" s="188" t="n">
        <v>0</v>
      </c>
      <c r="V1367" s="188" t="inlineStr">
        <is>
          <t>T1203:Exploitation for Client Execution</t>
        </is>
      </c>
      <c r="W1367" s="188" t="n">
        <v>1</v>
      </c>
      <c r="X1367" s="188" t="inlineStr">
        <is>
          <t>LOW (40%)</t>
        </is>
      </c>
      <c r="Y1367" s="188" t="inlineStr">
        <is>
          <t>UNLIKELY</t>
        </is>
      </c>
      <c r="Z1367" s="188" t="inlineStr">
        <is>
          <t>CHECK_VENDOR</t>
        </is>
      </c>
      <c r="AA1367" s="188" t="inlineStr">
        <is>
          <t>https://nvd.nist.gov/vuln/detail/CVE-2026-3169</t>
        </is>
      </c>
      <c r="AB1367" s="188" t="inlineStr">
        <is>
          <t>NONE</t>
        </is>
      </c>
      <c r="AC1367" s="188" t="n">
        <v>0</v>
      </c>
      <c r="AD1367" s="188" t="inlineStr"/>
    </row>
    <row r="1368">
      <c r="A1368" s="190" t="inlineStr">
        <is>
          <t>CVE</t>
        </is>
      </c>
      <c r="B1368" s="190" t="inlineStr">
        <is>
          <t>CVE-2026-3170</t>
        </is>
      </c>
      <c r="C1368" s="190" t="inlineStr">
        <is>
          <t>A vulnerability was detected in SourceCodester/Patrick Mvuma Patients Waiting Area Queue Management System 1.0. Affected is an unknown function of the file /patient-search.php. The manipulation of the argument First Name/Last Name results in cross site scripting. The attack can be executed remotely. The exploit is now public and may be used.</t>
        </is>
      </c>
      <c r="D1368" s="190" t="n">
        <v>2.4</v>
      </c>
      <c r="E1368" s="190" t="inlineStr">
        <is>
          <t>LOW</t>
        </is>
      </c>
      <c r="F1368" s="190" t="n">
        <v>2</v>
      </c>
      <c r="G1368" s="190" t="n">
        <v>1</v>
      </c>
      <c r="H1368" s="190" t="inlineStr">
        <is>
          <t>LOW</t>
        </is>
      </c>
      <c r="I1368" s="190" t="n">
        <v>4.4</v>
      </c>
      <c r="J1368" s="190" t="inlineStr">
        <is>
          <t>NO</t>
        </is>
      </c>
      <c r="K1368" s="190" t="inlineStr">
        <is>
          <t>https://nvd.nist.gov/vuln/detail/CVE-2026-3170</t>
        </is>
      </c>
      <c r="L1368" s="190" t="inlineStr">
        <is>
          <t>2026-02-26 00:15</t>
        </is>
      </c>
      <c r="M1368" s="190" t="inlineStr">
        <is>
          <t>CHECK_VENDOR</t>
        </is>
      </c>
      <c r="N1368" s="190" t="inlineStr">
        <is>
          <t>See NVD references</t>
        </is>
      </c>
      <c r="O1368" s="190" t="inlineStr">
        <is>
          <t>Apply vendor patches</t>
        </is>
      </c>
      <c r="P1368" s="190" t="inlineStr">
        <is>
          <t>pamzey patients_waiting_area_queue_management_system 1.0</t>
        </is>
      </c>
      <c r="Q1368" s="190" t="inlineStr">
        <is>
          <t>P4</t>
        </is>
      </c>
      <c r="R1368" s="190" t="inlineStr">
        <is>
          <t>📅 Schedule patch deployment within 30 days | 🔍 Monitor for exploitation attempts</t>
        </is>
      </c>
      <c r="S1368" s="190" t="inlineStr">
        <is>
          <t>CVE - IP enrichment n/a</t>
        </is>
      </c>
      <c r="T1368" s="190" t="n">
        <v>0</v>
      </c>
      <c r="U1368" s="190" t="n">
        <v>0</v>
      </c>
      <c r="V1368" s="190" t="inlineStr">
        <is>
          <t>T1189:Drive-by Compromise | T1190:Exploit Public-Facing Application</t>
        </is>
      </c>
      <c r="W1368" s="190" t="n">
        <v>1</v>
      </c>
      <c r="X1368" s="190" t="inlineStr">
        <is>
          <t>LOW (40%)</t>
        </is>
      </c>
      <c r="Y1368" s="190" t="inlineStr">
        <is>
          <t>UNLIKELY</t>
        </is>
      </c>
      <c r="Z1368" s="190" t="inlineStr">
        <is>
          <t>CHECK_VENDOR</t>
        </is>
      </c>
      <c r="AA1368" s="190" t="inlineStr">
        <is>
          <t>https://nvd.nist.gov/vuln/detail/CVE-2026-3170</t>
        </is>
      </c>
      <c r="AB1368" s="190" t="inlineStr">
        <is>
          <t>NONE</t>
        </is>
      </c>
      <c r="AC1368" s="190" t="n">
        <v>0</v>
      </c>
      <c r="AD1368" s="190" t="inlineStr"/>
    </row>
    <row r="1369">
      <c r="A1369" s="188" t="inlineStr">
        <is>
          <t>CVE</t>
        </is>
      </c>
      <c r="B1369" s="188" t="inlineStr">
        <is>
          <t>CVE-2026-1916</t>
        </is>
      </c>
      <c r="C1369" s="188" t="inlineStr">
        <is>
          <t xml:space="preserve">The WPGSI: Spreadsheet Integration plugin for WordPress is vulnerable to unauthorized modification and loss of data due to missing capability checks and an insecure authentication mechanism on the `wpgsi_callBackFuncAccept` and `wpgsi_callBackFuncUpdate` REST API functions in all versions up to, and including, 3.8.3. Both REST endpoints use `permission_callback =&gt; '__return_true'`, allowing unauthenticated access. The plugin's custom token-based validation relies on a Base64-encoded JSON object </t>
        </is>
      </c>
      <c r="D1369" s="188" t="n">
        <v>7.5</v>
      </c>
      <c r="E1369" s="188" t="inlineStr">
        <is>
          <t>HIGH</t>
        </is>
      </c>
      <c r="F1369" s="188" t="n">
        <v>2</v>
      </c>
      <c r="G1369" s="188" t="n">
        <v>3</v>
      </c>
      <c r="H1369" s="188" t="inlineStr">
        <is>
          <t>HIGH</t>
        </is>
      </c>
      <c r="I1369" s="188" t="n">
        <v>13.5</v>
      </c>
      <c r="J1369" s="188" t="inlineStr">
        <is>
          <t>NO</t>
        </is>
      </c>
      <c r="K1369" s="188" t="inlineStr">
        <is>
          <t>https://nvd.nist.gov/vuln/detail/CVE-2026-1916</t>
        </is>
      </c>
      <c r="L1369" s="188" t="inlineStr">
        <is>
          <t>2026-02-26 00:15</t>
        </is>
      </c>
      <c r="M1369" s="188" t="inlineStr">
        <is>
          <t>CHECK_VENDOR</t>
        </is>
      </c>
      <c r="N1369" s="188" t="inlineStr">
        <is>
          <t>See NVD references</t>
        </is>
      </c>
      <c r="O1369" s="188" t="inlineStr">
        <is>
          <t>Apply vendor patches</t>
        </is>
      </c>
      <c r="P1369" s="188" t="inlineStr">
        <is>
          <t>See CVE details</t>
        </is>
      </c>
      <c r="Q1369" s="188" t="inlineStr">
        <is>
          <t>P3</t>
        </is>
      </c>
      <c r="R1369" s="188" t="inlineStr">
        <is>
          <t>🚨 URGENT: Apply vendor patches immediately | 🔒 Isolate affected systems if patch unavailable | 🛡️ Enable additional monitoring/IDS rules</t>
        </is>
      </c>
      <c r="S1369" s="188" t="inlineStr">
        <is>
          <t>CVE - IP enrichment n/a</t>
        </is>
      </c>
      <c r="T1369" s="188" t="n">
        <v>0</v>
      </c>
      <c r="U1369" s="188" t="n">
        <v>0</v>
      </c>
      <c r="V1369" s="188" t="inlineStr">
        <is>
          <t>T1600:Weaken Encryption</t>
        </is>
      </c>
      <c r="W1369" s="188" t="n">
        <v>1</v>
      </c>
      <c r="X1369" s="188" t="inlineStr">
        <is>
          <t>LOW (40%)</t>
        </is>
      </c>
      <c r="Y1369" s="188" t="inlineStr">
        <is>
          <t>UNLIKELY</t>
        </is>
      </c>
      <c r="Z1369" s="188" t="inlineStr">
        <is>
          <t>CHECK_VENDOR</t>
        </is>
      </c>
      <c r="AA1369" s="188" t="inlineStr">
        <is>
          <t>https://nvd.nist.gov/vuln/detail/CVE-2026-1916</t>
        </is>
      </c>
      <c r="AB1369" s="188" t="inlineStr">
        <is>
          <t>NONE</t>
        </is>
      </c>
      <c r="AC1369" s="188" t="n">
        <v>0</v>
      </c>
      <c r="AD1369" s="188" t="inlineStr"/>
    </row>
    <row r="1370">
      <c r="A1370" s="188" t="inlineStr">
        <is>
          <t>CVE</t>
        </is>
      </c>
      <c r="B1370" s="188" t="inlineStr">
        <is>
          <t>CVE-2026-1929</t>
        </is>
      </c>
      <c r="C1370" s="188" t="inlineStr">
        <is>
          <t>The Advanced Woo Labels plugin for WordPress is vulnerable to Remote Code Execution in all versions up to, and including, 2.37. This is due to the use of `call_user_func_array()` with user-controlled callback and parameters in the `get_select_option_values()` AJAX handler without an allowlist of permitted callbacks or a capability check. This makes it possible for authenticated attackers, with Contributor-level access and above, to execute arbitrary PHP functions and operating system commands on</t>
        </is>
      </c>
      <c r="D1370" s="188" t="n">
        <v>8.800000000000001</v>
      </c>
      <c r="E1370" s="188" t="inlineStr">
        <is>
          <t>HIGH</t>
        </is>
      </c>
      <c r="F1370" s="188" t="n">
        <v>2</v>
      </c>
      <c r="G1370" s="188" t="n">
        <v>3</v>
      </c>
      <c r="H1370" s="188" t="inlineStr">
        <is>
          <t>HIGH</t>
        </is>
      </c>
      <c r="I1370" s="188" t="n">
        <v>14.8</v>
      </c>
      <c r="J1370" s="188" t="inlineStr">
        <is>
          <t>NO</t>
        </is>
      </c>
      <c r="K1370" s="188" t="inlineStr">
        <is>
          <t>https://nvd.nist.gov/vuln/detail/CVE-2026-1929</t>
        </is>
      </c>
      <c r="L1370" s="188" t="inlineStr">
        <is>
          <t>2026-02-26 00:15</t>
        </is>
      </c>
      <c r="M1370" s="188" t="inlineStr">
        <is>
          <t>CHECK_VENDOR</t>
        </is>
      </c>
      <c r="N1370" s="188" t="inlineStr">
        <is>
          <t>See NVD references</t>
        </is>
      </c>
      <c r="O1370" s="188" t="inlineStr">
        <is>
          <t>Apply vendor patches</t>
        </is>
      </c>
      <c r="P1370" s="188" t="inlineStr">
        <is>
          <t>See CVE details</t>
        </is>
      </c>
      <c r="Q1370" s="188" t="inlineStr">
        <is>
          <t>P3</t>
        </is>
      </c>
      <c r="R1370" s="188" t="inlineStr">
        <is>
          <t>🚨 URGENT: Apply vendor patches immediately | 🔒 Isolate affected systems if patch unavailable | 🛡️ Enable additional monitoring/IDS rules</t>
        </is>
      </c>
      <c r="S1370" s="188" t="inlineStr">
        <is>
          <t>CVE - IP enrichment n/a</t>
        </is>
      </c>
      <c r="T1370" s="188" t="n">
        <v>0</v>
      </c>
      <c r="U1370" s="188" t="n">
        <v>0</v>
      </c>
      <c r="V1370" s="188" t="inlineStr">
        <is>
          <t>T1059:Command and Scripting Interpreter | T1190:Exploit Public-Facing Application | T1210:Exploitation of Remote Services</t>
        </is>
      </c>
      <c r="W1370" s="188" t="n">
        <v>1</v>
      </c>
      <c r="X1370" s="188" t="inlineStr">
        <is>
          <t>LOW (40%)</t>
        </is>
      </c>
      <c r="Y1370" s="188" t="inlineStr">
        <is>
          <t>UNLIKELY</t>
        </is>
      </c>
      <c r="Z1370" s="188" t="inlineStr">
        <is>
          <t>CHECK_VENDOR</t>
        </is>
      </c>
      <c r="AA1370" s="188" t="inlineStr">
        <is>
          <t>https://nvd.nist.gov/vuln/detail/CVE-2026-1929</t>
        </is>
      </c>
      <c r="AB1370" s="188" t="inlineStr">
        <is>
          <t>NONE</t>
        </is>
      </c>
      <c r="AC1370" s="188" t="n">
        <v>0</v>
      </c>
      <c r="AD1370" s="188" t="inlineStr"/>
    </row>
    <row r="1371">
      <c r="A1371" s="188" t="inlineStr">
        <is>
          <t>CVE</t>
        </is>
      </c>
      <c r="B1371" s="188" t="inlineStr">
        <is>
          <t>CVE-2026-2416</t>
        </is>
      </c>
      <c r="C1371" s="188" t="inlineStr">
        <is>
          <t>The Geo Mashup plugin for WordPress is vulnerable to SQL Injection via the 'sort' parameter in all versions up to, and including, 1.13.17. This is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1371" s="188" t="n">
        <v>7.5</v>
      </c>
      <c r="E1371" s="188" t="inlineStr">
        <is>
          <t>HIGH</t>
        </is>
      </c>
      <c r="F1371" s="188" t="n">
        <v>2</v>
      </c>
      <c r="G1371" s="188" t="n">
        <v>3</v>
      </c>
      <c r="H1371" s="188" t="inlineStr">
        <is>
          <t>HIGH</t>
        </is>
      </c>
      <c r="I1371" s="188" t="n">
        <v>13.5</v>
      </c>
      <c r="J1371" s="188" t="inlineStr">
        <is>
          <t>NO</t>
        </is>
      </c>
      <c r="K1371" s="188" t="inlineStr">
        <is>
          <t>https://nvd.nist.gov/vuln/detail/CVE-2026-2416</t>
        </is>
      </c>
      <c r="L1371" s="188" t="inlineStr">
        <is>
          <t>2026-02-26 00:15</t>
        </is>
      </c>
      <c r="M1371" s="188" t="inlineStr">
        <is>
          <t>CHECK_VENDOR</t>
        </is>
      </c>
      <c r="N1371" s="188" t="inlineStr">
        <is>
          <t>See NVD references</t>
        </is>
      </c>
      <c r="O1371" s="188" t="inlineStr">
        <is>
          <t>Apply vendor patches</t>
        </is>
      </c>
      <c r="P1371" s="188" t="inlineStr">
        <is>
          <t>See CVE details</t>
        </is>
      </c>
      <c r="Q1371" s="188" t="inlineStr">
        <is>
          <t>P3</t>
        </is>
      </c>
      <c r="R1371" s="188" t="inlineStr">
        <is>
          <t>🚨 URGENT: Apply vendor patches immediately | 🔒 Isolate affected systems if patch unavailable | 🛡️ Enable additional monitoring/IDS rules</t>
        </is>
      </c>
      <c r="S1371" s="188" t="inlineStr">
        <is>
          <t>CVE - IP enrichment n/a</t>
        </is>
      </c>
      <c r="T1371" s="188" t="n">
        <v>0</v>
      </c>
      <c r="U1371" s="188" t="n">
        <v>0</v>
      </c>
      <c r="V1371" s="188" t="inlineStr">
        <is>
          <t>T1190:Exploit Public-Facing Application</t>
        </is>
      </c>
      <c r="W1371" s="188" t="n">
        <v>1</v>
      </c>
      <c r="X1371" s="188" t="inlineStr">
        <is>
          <t>LOW (40%)</t>
        </is>
      </c>
      <c r="Y1371" s="188" t="inlineStr">
        <is>
          <t>UNLIKELY</t>
        </is>
      </c>
      <c r="Z1371" s="188" t="inlineStr">
        <is>
          <t>CHECK_VENDOR</t>
        </is>
      </c>
      <c r="AA1371" s="188" t="inlineStr">
        <is>
          <t>https://nvd.nist.gov/vuln/detail/CVE-2026-2416</t>
        </is>
      </c>
      <c r="AB1371" s="188" t="inlineStr">
        <is>
          <t>NONE</t>
        </is>
      </c>
      <c r="AC1371" s="188" t="n">
        <v>0</v>
      </c>
      <c r="AD1371" s="188" t="inlineStr"/>
    </row>
    <row r="1372">
      <c r="A1372" s="187" t="inlineStr">
        <is>
          <t>CVE</t>
        </is>
      </c>
      <c r="B1372" s="187" t="inlineStr">
        <is>
          <t>CVE-2026-2479</t>
        </is>
      </c>
      <c r="C1372" s="187" t="inlineStr">
        <is>
          <t>The Responsive Lightbox &amp; Gallery plugin for WordPress is vulnerable to Server-Side Request Forgery in all versions up to, and including, 2.7.1. This is due to the use of `strpos()` for substring-based hostname validation instead of strict host comparison in the `ajax_upload_image()` function. This makes it possible for authenticated attackers, with Author-level access and above, to make web requests to arbitrary locations originating from the web application, which can be used to query and modi</t>
        </is>
      </c>
      <c r="D1372" s="187" t="n">
        <v>5</v>
      </c>
      <c r="E1372" s="187" t="inlineStr">
        <is>
          <t>MEDIUM</t>
        </is>
      </c>
      <c r="F1372" s="187" t="n">
        <v>2</v>
      </c>
      <c r="G1372" s="187" t="n">
        <v>2</v>
      </c>
      <c r="H1372" s="187" t="inlineStr">
        <is>
          <t>MEDIUM</t>
        </is>
      </c>
      <c r="I1372" s="187" t="n">
        <v>9</v>
      </c>
      <c r="J1372" s="187" t="inlineStr">
        <is>
          <t>NO</t>
        </is>
      </c>
      <c r="K1372" s="187" t="inlineStr">
        <is>
          <t>https://nvd.nist.gov/vuln/detail/CVE-2026-2479</t>
        </is>
      </c>
      <c r="L1372" s="187" t="inlineStr">
        <is>
          <t>2026-02-26 00:15</t>
        </is>
      </c>
      <c r="M1372" s="187" t="inlineStr">
        <is>
          <t>CHECK_VENDOR</t>
        </is>
      </c>
      <c r="N1372" s="187" t="inlineStr">
        <is>
          <t>See NVD references</t>
        </is>
      </c>
      <c r="O1372" s="187" t="inlineStr">
        <is>
          <t>Apply vendor patches</t>
        </is>
      </c>
      <c r="P1372" s="187" t="inlineStr">
        <is>
          <t>See CVE details</t>
        </is>
      </c>
      <c r="Q1372" s="187" t="inlineStr">
        <is>
          <t>P4</t>
        </is>
      </c>
      <c r="R1372" s="187" t="inlineStr">
        <is>
          <t>📅 Schedule patch deployment within 30 days | 🔍 Monitor for exploitation attempts</t>
        </is>
      </c>
      <c r="S1372" s="187" t="inlineStr">
        <is>
          <t>CVE - IP enrichment n/a</t>
        </is>
      </c>
      <c r="T1372" s="187" t="n">
        <v>0</v>
      </c>
      <c r="U1372" s="187" t="n">
        <v>0</v>
      </c>
      <c r="V1372" s="187" t="inlineStr">
        <is>
          <t>T1090:Proxy</t>
        </is>
      </c>
      <c r="W1372" s="187" t="n">
        <v>1</v>
      </c>
      <c r="X1372" s="187" t="inlineStr">
        <is>
          <t>LOW (40%)</t>
        </is>
      </c>
      <c r="Y1372" s="187" t="inlineStr">
        <is>
          <t>UNLIKELY</t>
        </is>
      </c>
      <c r="Z1372" s="187" t="inlineStr">
        <is>
          <t>CHECK_VENDOR</t>
        </is>
      </c>
      <c r="AA1372" s="187" t="inlineStr">
        <is>
          <t>https://nvd.nist.gov/vuln/detail/CVE-2026-2479</t>
        </is>
      </c>
      <c r="AB1372" s="187" t="inlineStr">
        <is>
          <t>NONE</t>
        </is>
      </c>
      <c r="AC1372" s="187" t="n">
        <v>0</v>
      </c>
      <c r="AD1372" s="187" t="inlineStr"/>
    </row>
    <row r="1373">
      <c r="A1373" s="190" t="inlineStr">
        <is>
          <t>CVE</t>
        </is>
      </c>
      <c r="B1373" s="190" t="inlineStr">
        <is>
          <t>CVE-2026-3171</t>
        </is>
      </c>
      <c r="C1373" s="190" t="inlineStr">
        <is>
          <t>A flaw has been found in SourceCodester/Patrick Mvuma Patients Waiting Area Queue Management System 1.0. Affected by this vulnerability is an unknown functionality of the file /queue.php. This manipulation of the argument firstname/lastname causes cross site scripting. The attack is possible to be carried out remotely. The exploit has been published and may be used.</t>
        </is>
      </c>
      <c r="D1373" s="190" t="n">
        <v>3.5</v>
      </c>
      <c r="E1373" s="190" t="inlineStr">
        <is>
          <t>LOW</t>
        </is>
      </c>
      <c r="F1373" s="190" t="n">
        <v>2</v>
      </c>
      <c r="G1373" s="190" t="n">
        <v>1</v>
      </c>
      <c r="H1373" s="190" t="inlineStr">
        <is>
          <t>LOW</t>
        </is>
      </c>
      <c r="I1373" s="190" t="n">
        <v>5.5</v>
      </c>
      <c r="J1373" s="190" t="inlineStr">
        <is>
          <t>NO</t>
        </is>
      </c>
      <c r="K1373" s="190" t="inlineStr">
        <is>
          <t>https://nvd.nist.gov/vuln/detail/CVE-2026-3171</t>
        </is>
      </c>
      <c r="L1373" s="190" t="inlineStr">
        <is>
          <t>2026-02-26 00:15</t>
        </is>
      </c>
      <c r="M1373" s="190" t="inlineStr">
        <is>
          <t>CHECK_VENDOR</t>
        </is>
      </c>
      <c r="N1373" s="190" t="inlineStr">
        <is>
          <t>See NVD references</t>
        </is>
      </c>
      <c r="O1373" s="190" t="inlineStr">
        <is>
          <t>Apply vendor patches</t>
        </is>
      </c>
      <c r="P1373" s="190" t="inlineStr">
        <is>
          <t>pamzey patients_waiting_area_queue_management_system 1.0</t>
        </is>
      </c>
      <c r="Q1373" s="190" t="inlineStr">
        <is>
          <t>P4</t>
        </is>
      </c>
      <c r="R1373" s="190" t="inlineStr">
        <is>
          <t>📅 Schedule patch deployment within 30 days | 🔍 Monitor for exploitation attempts</t>
        </is>
      </c>
      <c r="S1373" s="190" t="inlineStr">
        <is>
          <t>CVE - IP enrichment n/a</t>
        </is>
      </c>
      <c r="T1373" s="190" t="n">
        <v>0.0003</v>
      </c>
      <c r="U1373" s="190" t="n">
        <v>0.079</v>
      </c>
      <c r="V1373" s="190" t="inlineStr">
        <is>
          <t>T1189:Drive-by Compromise | T1190:Exploit Public-Facing Application</t>
        </is>
      </c>
      <c r="W1373" s="190" t="n">
        <v>1</v>
      </c>
      <c r="X1373" s="190" t="inlineStr">
        <is>
          <t>LOW (40%)</t>
        </is>
      </c>
      <c r="Y1373" s="190" t="inlineStr">
        <is>
          <t>UNLIKELY</t>
        </is>
      </c>
      <c r="Z1373" s="190" t="inlineStr">
        <is>
          <t>CHECK_VENDOR</t>
        </is>
      </c>
      <c r="AA1373" s="190" t="inlineStr">
        <is>
          <t>https://nvd.nist.gov/vuln/detail/CVE-2026-3171</t>
        </is>
      </c>
      <c r="AB1373" s="190" t="inlineStr">
        <is>
          <t>NONE</t>
        </is>
      </c>
      <c r="AC1373" s="190" t="n">
        <v>0</v>
      </c>
      <c r="AD1373" s="190" t="inlineStr"/>
    </row>
    <row r="1374">
      <c r="A1374" s="187" t="inlineStr">
        <is>
          <t>CVE</t>
        </is>
      </c>
      <c r="B1374" s="187" t="inlineStr">
        <is>
          <t>CVE-2025-14742</t>
        </is>
      </c>
      <c r="C1374" s="187" t="inlineStr">
        <is>
          <t>The WP Recipe Maker plugin for WordPress is vulnerable to unauthorized access of data due to a missing capability check on the 'ajax_search_recipes' and 'ajax_get_recipe' functions in all versions up to, and including, 10.2.3. This makes it possible for authenticated attackers, with Subscriber-level access and above, to retrieve sensitive recipe information including draft, pending, and private recipes that they shouldn't be able to access.</t>
        </is>
      </c>
      <c r="D1374" s="187" t="n">
        <v>4.3</v>
      </c>
      <c r="E1374" s="187" t="inlineStr">
        <is>
          <t>MEDIUM</t>
        </is>
      </c>
      <c r="F1374" s="187" t="n">
        <v>2</v>
      </c>
      <c r="G1374" s="187" t="n">
        <v>2</v>
      </c>
      <c r="H1374" s="187" t="inlineStr">
        <is>
          <t>MEDIUM</t>
        </is>
      </c>
      <c r="I1374" s="187" t="n">
        <v>8.300000000000001</v>
      </c>
      <c r="J1374" s="187" t="inlineStr">
        <is>
          <t>NO</t>
        </is>
      </c>
      <c r="K1374" s="187" t="inlineStr">
        <is>
          <t>https://nvd.nist.gov/vuln/detail/CVE-2025-14742</t>
        </is>
      </c>
      <c r="L1374" s="187" t="inlineStr">
        <is>
          <t>2026-02-26 00:15</t>
        </is>
      </c>
      <c r="M1374" s="187" t="inlineStr">
        <is>
          <t>CHECK_VENDOR</t>
        </is>
      </c>
      <c r="N1374" s="187" t="inlineStr">
        <is>
          <t>See NVD references</t>
        </is>
      </c>
      <c r="O1374" s="187" t="inlineStr">
        <is>
          <t>Apply vendor patches</t>
        </is>
      </c>
      <c r="P1374" s="187" t="inlineStr">
        <is>
          <t>See CVE details</t>
        </is>
      </c>
      <c r="Q1374" s="187" t="inlineStr">
        <is>
          <t>P4</t>
        </is>
      </c>
      <c r="R1374" s="187" t="inlineStr">
        <is>
          <t>📅 Schedule patch deployment within 30 days | 🔍 Monitor for exploitation attempts</t>
        </is>
      </c>
      <c r="S1374" s="187" t="inlineStr">
        <is>
          <t>CVE - IP enrichment n/a</t>
        </is>
      </c>
      <c r="T1374" s="187" t="n">
        <v>0.0003</v>
      </c>
      <c r="U1374" s="187" t="n">
        <v>0.0886</v>
      </c>
      <c r="V1374" s="187" t="inlineStr">
        <is>
          <t>T1190:Exploit Public-Facing Application</t>
        </is>
      </c>
      <c r="W1374" s="187" t="n">
        <v>1</v>
      </c>
      <c r="X1374" s="187" t="inlineStr">
        <is>
          <t>LOW (40%)</t>
        </is>
      </c>
      <c r="Y1374" s="187" t="inlineStr">
        <is>
          <t>UNLIKELY</t>
        </is>
      </c>
      <c r="Z1374" s="187" t="inlineStr">
        <is>
          <t>CHECK_VENDOR</t>
        </is>
      </c>
      <c r="AA1374" s="187" t="inlineStr">
        <is>
          <t>https://nvd.nist.gov/vuln/detail/CVE-2025-14742</t>
        </is>
      </c>
      <c r="AB1374" s="187" t="inlineStr">
        <is>
          <t>NONE</t>
        </is>
      </c>
      <c r="AC1374" s="187" t="n">
        <v>0</v>
      </c>
      <c r="AD1374" s="187" t="inlineStr"/>
    </row>
    <row r="1375">
      <c r="A1375" s="187" t="inlineStr">
        <is>
          <t>CVE</t>
        </is>
      </c>
      <c r="B1375" s="187" t="inlineStr">
        <is>
          <t>CVE-2026-2301</t>
        </is>
      </c>
      <c r="C1375" s="187" t="inlineStr">
        <is>
          <t>The Post Duplicator plugin for WordPress is vulnerable to unauthorized arbitrary protected post meta insertion in all versions up to, and including, 3.0.8. This is due to the `duplicate_post()` function in `includes/api.php` using `$wpdb-&gt;insert()` directly to the `wp_postmeta` table instead of WordPress's standard `add_post_meta()` function, which would call `is_protected_meta()` to prevent lower-privileged users from setting protected meta keys (those starting with `_`). This makes it possible</t>
        </is>
      </c>
      <c r="D1375" s="187" t="n">
        <v>4.3</v>
      </c>
      <c r="E1375" s="187" t="inlineStr">
        <is>
          <t>MEDIUM</t>
        </is>
      </c>
      <c r="F1375" s="187" t="n">
        <v>2</v>
      </c>
      <c r="G1375" s="187" t="n">
        <v>2</v>
      </c>
      <c r="H1375" s="187" t="inlineStr">
        <is>
          <t>MEDIUM</t>
        </is>
      </c>
      <c r="I1375" s="187" t="n">
        <v>8.300000000000001</v>
      </c>
      <c r="J1375" s="187" t="inlineStr">
        <is>
          <t>NO</t>
        </is>
      </c>
      <c r="K1375" s="187" t="inlineStr">
        <is>
          <t>https://nvd.nist.gov/vuln/detail/CVE-2026-2301</t>
        </is>
      </c>
      <c r="L1375" s="187" t="inlineStr">
        <is>
          <t>2026-02-26 00:15</t>
        </is>
      </c>
      <c r="M1375" s="187" t="inlineStr">
        <is>
          <t>CHECK_VENDOR</t>
        </is>
      </c>
      <c r="N1375" s="187" t="inlineStr">
        <is>
          <t>See NVD references</t>
        </is>
      </c>
      <c r="O1375" s="187" t="inlineStr">
        <is>
          <t>Apply vendor patches</t>
        </is>
      </c>
      <c r="P1375" s="187" t="inlineStr">
        <is>
          <t>See CVE details</t>
        </is>
      </c>
      <c r="Q1375" s="187" t="inlineStr">
        <is>
          <t>P4</t>
        </is>
      </c>
      <c r="R1375" s="187" t="inlineStr">
        <is>
          <t>📅 Schedule patch deployment within 30 days | 🔍 Monitor for exploitation attempts</t>
        </is>
      </c>
      <c r="S1375" s="187" t="inlineStr">
        <is>
          <t>CVE - IP enrichment n/a</t>
        </is>
      </c>
      <c r="T1375" s="187" t="n">
        <v>0</v>
      </c>
      <c r="U1375" s="187" t="n">
        <v>0</v>
      </c>
      <c r="V1375" s="187" t="inlineStr">
        <is>
          <t>T1190:Exploit Public-Facing Application</t>
        </is>
      </c>
      <c r="W1375" s="187" t="n">
        <v>1</v>
      </c>
      <c r="X1375" s="187" t="inlineStr">
        <is>
          <t>LOW (40%)</t>
        </is>
      </c>
      <c r="Y1375" s="187" t="inlineStr">
        <is>
          <t>UNLIKELY</t>
        </is>
      </c>
      <c r="Z1375" s="187" t="inlineStr">
        <is>
          <t>CHECK_VENDOR</t>
        </is>
      </c>
      <c r="AA1375" s="187" t="inlineStr">
        <is>
          <t>https://nvd.nist.gov/vuln/detail/CVE-2026-2301</t>
        </is>
      </c>
      <c r="AB1375" s="187" t="inlineStr">
        <is>
          <t>NONE</t>
        </is>
      </c>
      <c r="AC1375" s="187" t="n">
        <v>0</v>
      </c>
      <c r="AD1375" s="187" t="inlineStr"/>
    </row>
    <row r="1376">
      <c r="A1376" s="187" t="inlineStr">
        <is>
          <t>CVE</t>
        </is>
      </c>
      <c r="B1376" s="187" t="inlineStr">
        <is>
          <t>CVE-2026-2367</t>
        </is>
      </c>
      <c r="C1376" s="187" t="inlineStr">
        <is>
          <t>The Secure Copy Content Protection and Content Locking plugin for WordPress is vulnerable to Stored Cross-Site Scripting via the plugin's 'ays_block' shortcode in all versions up to, and including, 5.0.1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376" s="187" t="n">
        <v>6.4</v>
      </c>
      <c r="E1376" s="187" t="inlineStr">
        <is>
          <t>MEDIUM</t>
        </is>
      </c>
      <c r="F1376" s="187" t="n">
        <v>2</v>
      </c>
      <c r="G1376" s="187" t="n">
        <v>2</v>
      </c>
      <c r="H1376" s="187" t="inlineStr">
        <is>
          <t>MEDIUM</t>
        </is>
      </c>
      <c r="I1376" s="187" t="n">
        <v>10.4</v>
      </c>
      <c r="J1376" s="187" t="inlineStr">
        <is>
          <t>NO</t>
        </is>
      </c>
      <c r="K1376" s="187" t="inlineStr">
        <is>
          <t>https://nvd.nist.gov/vuln/detail/CVE-2026-2367</t>
        </is>
      </c>
      <c r="L1376" s="187" t="inlineStr">
        <is>
          <t>2026-02-26 00:15</t>
        </is>
      </c>
      <c r="M1376" s="187" t="inlineStr">
        <is>
          <t>CHECK_VENDOR</t>
        </is>
      </c>
      <c r="N1376" s="187" t="inlineStr">
        <is>
          <t>See NVD references</t>
        </is>
      </c>
      <c r="O1376" s="187" t="inlineStr">
        <is>
          <t>Apply vendor patches</t>
        </is>
      </c>
      <c r="P1376" s="187" t="inlineStr">
        <is>
          <t>See CVE details</t>
        </is>
      </c>
      <c r="Q1376" s="187" t="inlineStr">
        <is>
          <t>P4</t>
        </is>
      </c>
      <c r="R1376" s="187" t="inlineStr">
        <is>
          <t>📅 Schedule patch deployment within 30 days | 🔍 Monitor for exploitation attempts</t>
        </is>
      </c>
      <c r="S1376" s="187" t="inlineStr">
        <is>
          <t>CVE - IP enrichment n/a</t>
        </is>
      </c>
      <c r="T1376" s="187" t="n">
        <v>0</v>
      </c>
      <c r="U1376" s="187" t="n">
        <v>0</v>
      </c>
      <c r="V1376" s="187" t="inlineStr">
        <is>
          <t>T1189:Drive-by Compromise</t>
        </is>
      </c>
      <c r="W1376" s="187" t="n">
        <v>1</v>
      </c>
      <c r="X1376" s="187" t="inlineStr">
        <is>
          <t>LOW (40%)</t>
        </is>
      </c>
      <c r="Y1376" s="187" t="inlineStr">
        <is>
          <t>UNLIKELY</t>
        </is>
      </c>
      <c r="Z1376" s="187" t="inlineStr">
        <is>
          <t>CHECK_VENDOR</t>
        </is>
      </c>
      <c r="AA1376" s="187" t="inlineStr">
        <is>
          <t>https://nvd.nist.gov/vuln/detail/CVE-2026-2367</t>
        </is>
      </c>
      <c r="AB1376" s="187" t="inlineStr">
        <is>
          <t>NONE</t>
        </is>
      </c>
      <c r="AC1376" s="187" t="n">
        <v>0</v>
      </c>
      <c r="AD1376" s="187" t="inlineStr"/>
    </row>
    <row r="1377">
      <c r="A1377" s="187" t="inlineStr">
        <is>
          <t>CVE</t>
        </is>
      </c>
      <c r="B1377" s="187" t="inlineStr">
        <is>
          <t>CVE-2026-2410</t>
        </is>
      </c>
      <c r="C1377" s="187" t="inlineStr">
        <is>
          <t>The Disable Admin Notices – Hide Dashboard Notifications plugin for WordPress is vulnerable to Cross-Site Request Forgery in all versions up to, and including, 1.4.2. This is due to missing nonce validation in the `showPageContent()` function. This makes it possible for unauthenticated attackers to add arbitrary URLs to the blocked redirects list via a forged request granted they can trick a site administrator into performing an action such as clicking on a link.</t>
        </is>
      </c>
      <c r="D1377" s="187" t="n">
        <v>4.3</v>
      </c>
      <c r="E1377" s="187" t="inlineStr">
        <is>
          <t>MEDIUM</t>
        </is>
      </c>
      <c r="F1377" s="187" t="n">
        <v>2</v>
      </c>
      <c r="G1377" s="187" t="n">
        <v>2</v>
      </c>
      <c r="H1377" s="187" t="inlineStr">
        <is>
          <t>MEDIUM</t>
        </is>
      </c>
      <c r="I1377" s="187" t="n">
        <v>8.300000000000001</v>
      </c>
      <c r="J1377" s="187" t="inlineStr">
        <is>
          <t>NO</t>
        </is>
      </c>
      <c r="K1377" s="187" t="inlineStr">
        <is>
          <t>https://nvd.nist.gov/vuln/detail/CVE-2026-2410</t>
        </is>
      </c>
      <c r="L1377" s="187" t="inlineStr">
        <is>
          <t>2026-02-26 00:15</t>
        </is>
      </c>
      <c r="M1377" s="187" t="inlineStr">
        <is>
          <t>CHECK_VENDOR</t>
        </is>
      </c>
      <c r="N1377" s="187" t="inlineStr">
        <is>
          <t>See NVD references</t>
        </is>
      </c>
      <c r="O1377" s="187" t="inlineStr">
        <is>
          <t>Apply vendor patches</t>
        </is>
      </c>
      <c r="P1377" s="187" t="inlineStr">
        <is>
          <t>See CVE details</t>
        </is>
      </c>
      <c r="Q1377" s="187" t="inlineStr">
        <is>
          <t>P4</t>
        </is>
      </c>
      <c r="R1377" s="187" t="inlineStr">
        <is>
          <t>📅 Schedule patch deployment within 30 days | 🔍 Monitor for exploitation attempts</t>
        </is>
      </c>
      <c r="S1377" s="187" t="inlineStr">
        <is>
          <t>CVE - IP enrichment n/a</t>
        </is>
      </c>
      <c r="T1377" s="187" t="n">
        <v>0</v>
      </c>
      <c r="U1377" s="187" t="n">
        <v>0</v>
      </c>
      <c r="V1377" s="187" t="inlineStr">
        <is>
          <t>T1185:Browser Session Hijacking</t>
        </is>
      </c>
      <c r="W1377" s="187" t="n">
        <v>1</v>
      </c>
      <c r="X1377" s="187" t="inlineStr">
        <is>
          <t>LOW (40%)</t>
        </is>
      </c>
      <c r="Y1377" s="187" t="inlineStr">
        <is>
          <t>UNLIKELY</t>
        </is>
      </c>
      <c r="Z1377" s="187" t="inlineStr">
        <is>
          <t>CHECK_VENDOR</t>
        </is>
      </c>
      <c r="AA1377" s="187" t="inlineStr">
        <is>
          <t>https://nvd.nist.gov/vuln/detail/CVE-2026-2410</t>
        </is>
      </c>
      <c r="AB1377" s="187" t="inlineStr">
        <is>
          <t>NONE</t>
        </is>
      </c>
      <c r="AC1377" s="187" t="n">
        <v>0</v>
      </c>
      <c r="AD1377" s="187" t="inlineStr"/>
    </row>
    <row r="1378">
      <c r="A1378" s="189" t="inlineStr">
        <is>
          <t>CVE</t>
        </is>
      </c>
      <c r="B1378" s="189" t="inlineStr">
        <is>
          <t>CVE-2025-62878</t>
        </is>
      </c>
      <c r="C1378" s="189" t="inlineStr">
        <is>
          <t>A malicious user can manipulate the parameters.pathPattern to create PersistentVolumes in arbitrary locations on the host node, potentially overwriting sensitive files or gaining access to unintended directories.</t>
        </is>
      </c>
      <c r="D1378" s="189" t="n">
        <v>9.9</v>
      </c>
      <c r="E1378" s="189" t="inlineStr">
        <is>
          <t>CRITICAL</t>
        </is>
      </c>
      <c r="F1378" s="189" t="n">
        <v>2</v>
      </c>
      <c r="G1378" s="189" t="n">
        <v>3</v>
      </c>
      <c r="H1378" s="189" t="inlineStr">
        <is>
          <t>HIGH</t>
        </is>
      </c>
      <c r="I1378" s="189" t="n">
        <v>15.9</v>
      </c>
      <c r="J1378" s="189" t="inlineStr">
        <is>
          <t>NO</t>
        </is>
      </c>
      <c r="K1378" s="189" t="inlineStr">
        <is>
          <t>https://nvd.nist.gov/vuln/detail/CVE-2025-62878</t>
        </is>
      </c>
      <c r="L1378" s="189" t="inlineStr">
        <is>
          <t>2026-02-26 00:15</t>
        </is>
      </c>
      <c r="M1378" s="189" t="inlineStr">
        <is>
          <t>CHECK_VENDOR</t>
        </is>
      </c>
      <c r="N1378" s="189" t="inlineStr">
        <is>
          <t>See NVD references</t>
        </is>
      </c>
      <c r="O1378" s="189" t="inlineStr">
        <is>
          <t>Apply vendor patches</t>
        </is>
      </c>
      <c r="P1378" s="189" t="inlineStr">
        <is>
          <t>See CVE details</t>
        </is>
      </c>
      <c r="Q1378" s="189" t="inlineStr">
        <is>
          <t>P3</t>
        </is>
      </c>
      <c r="R1378" s="189" t="inlineStr">
        <is>
          <t>🚨 URGENT: Apply vendor patches immediately | 🔒 Isolate affected systems if patch unavailable | 🛡️ Enable additional monitoring/IDS rules</t>
        </is>
      </c>
      <c r="S1378" s="189" t="inlineStr">
        <is>
          <t>CVE - IP enrichment n/a</t>
        </is>
      </c>
      <c r="T1378" s="189" t="n">
        <v>0</v>
      </c>
      <c r="U1378" s="189" t="n">
        <v>0</v>
      </c>
      <c r="V1378" s="189" t="inlineStr">
        <is>
          <t>T1190:Exploit Public-Facing Application</t>
        </is>
      </c>
      <c r="W1378" s="189" t="n">
        <v>1</v>
      </c>
      <c r="X1378" s="189" t="inlineStr">
        <is>
          <t>LOW (40%)</t>
        </is>
      </c>
      <c r="Y1378" s="189" t="inlineStr">
        <is>
          <t>UNLIKELY</t>
        </is>
      </c>
      <c r="Z1378" s="189" t="inlineStr">
        <is>
          <t>CHECK_VENDOR</t>
        </is>
      </c>
      <c r="AA1378" s="189" t="inlineStr">
        <is>
          <t>https://nvd.nist.gov/vuln/detail/CVE-2025-62878</t>
        </is>
      </c>
      <c r="AB1378" s="189" t="inlineStr">
        <is>
          <t>NONE</t>
        </is>
      </c>
      <c r="AC1378" s="189" t="n">
        <v>0</v>
      </c>
      <c r="AD1378" s="189" t="inlineStr"/>
    </row>
    <row r="1379">
      <c r="A1379" s="188" t="inlineStr">
        <is>
          <t>CVE</t>
        </is>
      </c>
      <c r="B1379" s="188" t="inlineStr">
        <is>
          <t>CVE-2025-67601</t>
        </is>
      </c>
      <c r="C1379" s="188" t="inlineStr">
        <is>
          <t>A vulnerability has been identified within Rancher Manager, where using self-signed CA certificates and passing the -skip-verify flag to the Rancher CLI login command without also passing the –cacert flag results in the CLI attempting to fetch CA certificates stored in Rancher’s setting cacerts.</t>
        </is>
      </c>
      <c r="D1379" s="188" t="n">
        <v>8.300000000000001</v>
      </c>
      <c r="E1379" s="188" t="inlineStr">
        <is>
          <t>HIGH</t>
        </is>
      </c>
      <c r="F1379" s="188" t="n">
        <v>2</v>
      </c>
      <c r="G1379" s="188" t="n">
        <v>3</v>
      </c>
      <c r="H1379" s="188" t="inlineStr">
        <is>
          <t>HIGH</t>
        </is>
      </c>
      <c r="I1379" s="188" t="n">
        <v>14.3</v>
      </c>
      <c r="J1379" s="188" t="inlineStr">
        <is>
          <t>NO</t>
        </is>
      </c>
      <c r="K1379" s="188" t="inlineStr">
        <is>
          <t>https://nvd.nist.gov/vuln/detail/CVE-2025-67601</t>
        </is>
      </c>
      <c r="L1379" s="188" t="inlineStr">
        <is>
          <t>2026-02-26 00:15</t>
        </is>
      </c>
      <c r="M1379" s="188" t="inlineStr">
        <is>
          <t>CHECK_VENDOR</t>
        </is>
      </c>
      <c r="N1379" s="188" t="inlineStr">
        <is>
          <t>See NVD references</t>
        </is>
      </c>
      <c r="O1379" s="188" t="inlineStr">
        <is>
          <t>Apply vendor patches</t>
        </is>
      </c>
      <c r="P1379" s="188" t="inlineStr">
        <is>
          <t>See CVE details</t>
        </is>
      </c>
      <c r="Q1379" s="188" t="inlineStr">
        <is>
          <t>P3</t>
        </is>
      </c>
      <c r="R1379" s="188" t="inlineStr">
        <is>
          <t>🚨 URGENT: Apply vendor patches immediately | 🔒 Isolate affected systems if patch unavailable | 🛡️ Enable additional monitoring/IDS rules</t>
        </is>
      </c>
      <c r="S1379" s="188" t="inlineStr">
        <is>
          <t>CVE - IP enrichment n/a</t>
        </is>
      </c>
      <c r="T1379" s="188" t="n">
        <v>0</v>
      </c>
      <c r="U1379" s="188" t="n">
        <v>0</v>
      </c>
      <c r="V1379" s="188" t="inlineStr">
        <is>
          <t>T1190:Exploit Public-Facing Application</t>
        </is>
      </c>
      <c r="W1379" s="188" t="n">
        <v>1</v>
      </c>
      <c r="X1379" s="188" t="inlineStr">
        <is>
          <t>LOW (40%)</t>
        </is>
      </c>
      <c r="Y1379" s="188" t="inlineStr">
        <is>
          <t>UNLIKELY</t>
        </is>
      </c>
      <c r="Z1379" s="188" t="inlineStr">
        <is>
          <t>CHECK_VENDOR</t>
        </is>
      </c>
      <c r="AA1379" s="188" t="inlineStr">
        <is>
          <t>https://nvd.nist.gov/vuln/detail/CVE-2025-67601</t>
        </is>
      </c>
      <c r="AB1379" s="188" t="inlineStr">
        <is>
          <t>NONE</t>
        </is>
      </c>
      <c r="AC1379" s="188" t="n">
        <v>0</v>
      </c>
      <c r="AD1379" s="188" t="inlineStr"/>
    </row>
    <row r="1380">
      <c r="A1380" s="190" t="inlineStr">
        <is>
          <t>CVE</t>
        </is>
      </c>
      <c r="B1380" s="190" t="inlineStr">
        <is>
          <t>CVE-2025-67860</t>
        </is>
      </c>
      <c r="C1380" s="190" t="inlineStr">
        <is>
          <t>A vulnerability has been identified in the NeuVector scanner where the scanner process accepts registry and controller credentials as command-line arguments, potentially exposing sensitive credentials to local users.</t>
        </is>
      </c>
      <c r="D1380" s="190" t="n">
        <v>3.8</v>
      </c>
      <c r="E1380" s="190" t="inlineStr">
        <is>
          <t>LOW</t>
        </is>
      </c>
      <c r="F1380" s="190" t="n">
        <v>2</v>
      </c>
      <c r="G1380" s="190" t="n">
        <v>1</v>
      </c>
      <c r="H1380" s="190" t="inlineStr">
        <is>
          <t>LOW</t>
        </is>
      </c>
      <c r="I1380" s="190" t="n">
        <v>5.8</v>
      </c>
      <c r="J1380" s="190" t="inlineStr">
        <is>
          <t>NO</t>
        </is>
      </c>
      <c r="K1380" s="190" t="inlineStr">
        <is>
          <t>https://nvd.nist.gov/vuln/detail/CVE-2025-67860</t>
        </is>
      </c>
      <c r="L1380" s="190" t="inlineStr">
        <is>
          <t>2026-02-26 00:15</t>
        </is>
      </c>
      <c r="M1380" s="190" t="inlineStr">
        <is>
          <t>CHECK_VENDOR</t>
        </is>
      </c>
      <c r="N1380" s="190" t="inlineStr">
        <is>
          <t>See NVD references</t>
        </is>
      </c>
      <c r="O1380" s="190" t="inlineStr">
        <is>
          <t>Apply vendor patches</t>
        </is>
      </c>
      <c r="P1380" s="190" t="inlineStr">
        <is>
          <t>See CVE details</t>
        </is>
      </c>
      <c r="Q1380" s="190" t="inlineStr">
        <is>
          <t>P4</t>
        </is>
      </c>
      <c r="R1380" s="190" t="inlineStr">
        <is>
          <t>📅 Schedule patch deployment within 30 days | 🔍 Monitor for exploitation attempts</t>
        </is>
      </c>
      <c r="S1380" s="190" t="inlineStr">
        <is>
          <t>CVE - IP enrichment n/a</t>
        </is>
      </c>
      <c r="T1380" s="190" t="n">
        <v>0</v>
      </c>
      <c r="U1380" s="190" t="n">
        <v>0</v>
      </c>
      <c r="V1380" s="190" t="inlineStr">
        <is>
          <t>T1552:Unsecured Credentials</t>
        </is>
      </c>
      <c r="W1380" s="190" t="n">
        <v>1</v>
      </c>
      <c r="X1380" s="190" t="inlineStr">
        <is>
          <t>LOW (40%)</t>
        </is>
      </c>
      <c r="Y1380" s="190" t="inlineStr">
        <is>
          <t>UNLIKELY</t>
        </is>
      </c>
      <c r="Z1380" s="190" t="inlineStr">
        <is>
          <t>CHECK_VENDOR</t>
        </is>
      </c>
      <c r="AA1380" s="190" t="inlineStr">
        <is>
          <t>https://nvd.nist.gov/vuln/detail/CVE-2025-67860</t>
        </is>
      </c>
      <c r="AB1380" s="190" t="inlineStr">
        <is>
          <t>NONE</t>
        </is>
      </c>
      <c r="AC1380" s="190" t="n">
        <v>0</v>
      </c>
      <c r="AD1380" s="190" t="inlineStr"/>
    </row>
    <row r="1381">
      <c r="A1381" s="188" t="inlineStr">
        <is>
          <t>CVE</t>
        </is>
      </c>
      <c r="B1381" s="188" t="inlineStr">
        <is>
          <t>CVE-2026-26103</t>
        </is>
      </c>
      <c r="C1381" s="188" t="inlineStr">
        <is>
          <t>A flaw was found in the udisks storage management daemon that exposes a privileged D-Bus API for restoring LUKS encryption headers without proper authorization checks. The issue allows a local unprivileged user to instruct the root-owned udisks daemon to overwrite encryption metadata on block devices. This can permanently invalidate encryption keys and render encrypted volumes inaccessible. Successful exploitation results in a denial-of-service condition through irreversible data loss.</t>
        </is>
      </c>
      <c r="D1381" s="188" t="n">
        <v>7.1</v>
      </c>
      <c r="E1381" s="188" t="inlineStr">
        <is>
          <t>HIGH</t>
        </is>
      </c>
      <c r="F1381" s="188" t="n">
        <v>2</v>
      </c>
      <c r="G1381" s="188" t="n">
        <v>3</v>
      </c>
      <c r="H1381" s="188" t="inlineStr">
        <is>
          <t>HIGH</t>
        </is>
      </c>
      <c r="I1381" s="188" t="n">
        <v>13.1</v>
      </c>
      <c r="J1381" s="188" t="inlineStr">
        <is>
          <t>NO</t>
        </is>
      </c>
      <c r="K1381" s="188" t="inlineStr">
        <is>
          <t>https://nvd.nist.gov/vuln/detail/CVE-2026-26103</t>
        </is>
      </c>
      <c r="L1381" s="188" t="inlineStr">
        <is>
          <t>2026-02-26 00:15</t>
        </is>
      </c>
      <c r="M1381" s="188" t="inlineStr">
        <is>
          <t>CHECK_VENDOR</t>
        </is>
      </c>
      <c r="N1381" s="188" t="inlineStr">
        <is>
          <t>See NVD references</t>
        </is>
      </c>
      <c r="O1381" s="188" t="inlineStr">
        <is>
          <t>Apply vendor patches</t>
        </is>
      </c>
      <c r="P1381" s="188" t="inlineStr">
        <is>
          <t>See CVE details</t>
        </is>
      </c>
      <c r="Q1381" s="188" t="inlineStr">
        <is>
          <t>P3</t>
        </is>
      </c>
      <c r="R1381" s="188" t="inlineStr">
        <is>
          <t>🚨 URGENT: Apply vendor patches immediately | 🔒 Isolate affected systems if patch unavailable | 🛡️ Enable additional monitoring/IDS rules</t>
        </is>
      </c>
      <c r="S1381" s="188" t="inlineStr">
        <is>
          <t>CVE - IP enrichment n/a</t>
        </is>
      </c>
      <c r="T1381" s="188" t="n">
        <v>0.0001</v>
      </c>
      <c r="U1381" s="188" t="n">
        <v>0.0057</v>
      </c>
      <c r="V1381" s="188" t="inlineStr">
        <is>
          <t>T1190:Exploit Public-Facing Application</t>
        </is>
      </c>
      <c r="W1381" s="188" t="n">
        <v>2</v>
      </c>
      <c r="X1381" s="188" t="inlineStr">
        <is>
          <t>MEDIUM (52%)</t>
        </is>
      </c>
      <c r="Y1381" s="188" t="inlineStr">
        <is>
          <t>UNLIKELY</t>
        </is>
      </c>
      <c r="Z1381" s="188" t="inlineStr">
        <is>
          <t>CHECK_VENDOR</t>
        </is>
      </c>
      <c r="AA1381" s="188" t="inlineStr">
        <is>
          <t>https://nvd.nist.gov/vuln/detail/CVE-2026-26103</t>
        </is>
      </c>
      <c r="AB1381" s="188" t="inlineStr">
        <is>
          <t>NONE</t>
        </is>
      </c>
      <c r="AC1381" s="188" t="n">
        <v>0</v>
      </c>
      <c r="AD1381" s="188" t="inlineStr"/>
    </row>
    <row r="1382">
      <c r="A1382" s="187" t="inlineStr">
        <is>
          <t>CVE</t>
        </is>
      </c>
      <c r="B1382" s="187" t="inlineStr">
        <is>
          <t>CVE-2026-26104</t>
        </is>
      </c>
      <c r="C1382" s="187" t="inlineStr">
        <is>
          <t>A flaw was found in the udisks storage management daemon that allows unprivileged users to back up LUKS encryption headers without authorization. The issue occurs because a privileged D-Bus method responsible for exporting encryption metadata does not perform a policy check. As a result, sensitive cryptographic metadata can be read and written to attacker-controlled locations. This weakens the confidentiality guarantees of encrypted storage volumes.</t>
        </is>
      </c>
      <c r="D1382" s="187" t="n">
        <v>5.5</v>
      </c>
      <c r="E1382" s="187" t="inlineStr">
        <is>
          <t>MEDIUM</t>
        </is>
      </c>
      <c r="F1382" s="187" t="n">
        <v>2</v>
      </c>
      <c r="G1382" s="187" t="n">
        <v>2</v>
      </c>
      <c r="H1382" s="187" t="inlineStr">
        <is>
          <t>MEDIUM</t>
        </is>
      </c>
      <c r="I1382" s="187" t="n">
        <v>9.5</v>
      </c>
      <c r="J1382" s="187" t="inlineStr">
        <is>
          <t>NO</t>
        </is>
      </c>
      <c r="K1382" s="187" t="inlineStr">
        <is>
          <t>https://nvd.nist.gov/vuln/detail/CVE-2026-26104</t>
        </is>
      </c>
      <c r="L1382" s="187" t="inlineStr">
        <is>
          <t>2026-02-26 00:15</t>
        </is>
      </c>
      <c r="M1382" s="187" t="inlineStr">
        <is>
          <t>CHECK_VENDOR</t>
        </is>
      </c>
      <c r="N1382" s="187" t="inlineStr">
        <is>
          <t>See NVD references</t>
        </is>
      </c>
      <c r="O1382" s="187" t="inlineStr">
        <is>
          <t>Apply vendor patches</t>
        </is>
      </c>
      <c r="P1382" s="187" t="inlineStr">
        <is>
          <t>See CVE details</t>
        </is>
      </c>
      <c r="Q1382" s="187" t="inlineStr">
        <is>
          <t>P3</t>
        </is>
      </c>
      <c r="R1382" s="187" t="inlineStr">
        <is>
          <t>📅 Schedule patch deployment within 30 days | 🔍 Monitor for exploitation attempts</t>
        </is>
      </c>
      <c r="S1382" s="187" t="inlineStr">
        <is>
          <t>CVE - IP enrichment n/a</t>
        </is>
      </c>
      <c r="T1382" s="187" t="n">
        <v>0</v>
      </c>
      <c r="U1382" s="187" t="n">
        <v>0</v>
      </c>
      <c r="V1382" s="187" t="inlineStr">
        <is>
          <t>T1600:Weaken Encryption</t>
        </is>
      </c>
      <c r="W1382" s="187" t="n">
        <v>2</v>
      </c>
      <c r="X1382" s="187" t="inlineStr">
        <is>
          <t>MEDIUM (52%)</t>
        </is>
      </c>
      <c r="Y1382" s="187" t="inlineStr">
        <is>
          <t>UNLIKELY</t>
        </is>
      </c>
      <c r="Z1382" s="187" t="inlineStr">
        <is>
          <t>CHECK_VENDOR</t>
        </is>
      </c>
      <c r="AA1382" s="187" t="inlineStr">
        <is>
          <t>https://nvd.nist.gov/vuln/detail/CVE-2026-26104</t>
        </is>
      </c>
      <c r="AB1382" s="187" t="inlineStr">
        <is>
          <t>NONE</t>
        </is>
      </c>
      <c r="AC1382" s="187" t="n">
        <v>0</v>
      </c>
      <c r="AD1382" s="187" t="inlineStr"/>
    </row>
    <row r="1383">
      <c r="A1383" s="187" t="inlineStr">
        <is>
          <t>CVE</t>
        </is>
      </c>
      <c r="B1383" s="187" t="inlineStr">
        <is>
          <t>CVE-2026-25701</t>
        </is>
      </c>
      <c r="C1383" s="187" t="inlineStr">
        <is>
          <t>An Insecure Temporary File vulnerability in openSUSE sdbootutil allows local users to pre-create a directory to achieve various effects like:
  *  gain access to possible private information found in /var/lib/pcrlock.d
  *  manipulate the data backed up in /tmp/pcrlock.d.bak, therefore violating the integrity of the data should it be restored.
  *   overwrite protected system files with data from /var/lib/pcrlock.d by placing symlinks to existing files in the directory tree in /tmp/pcrlock.d.bak</t>
        </is>
      </c>
      <c r="D1383" s="187" t="n">
        <v>5</v>
      </c>
      <c r="E1383" s="187" t="inlineStr">
        <is>
          <t>MEDIUM</t>
        </is>
      </c>
      <c r="F1383" s="187" t="n">
        <v>2</v>
      </c>
      <c r="G1383" s="187" t="n">
        <v>2</v>
      </c>
      <c r="H1383" s="187" t="inlineStr">
        <is>
          <t>MEDIUM</t>
        </is>
      </c>
      <c r="I1383" s="187" t="n">
        <v>9</v>
      </c>
      <c r="J1383" s="187" t="inlineStr">
        <is>
          <t>NO</t>
        </is>
      </c>
      <c r="K1383" s="187" t="inlineStr">
        <is>
          <t>https://nvd.nist.gov/vuln/detail/CVE-2026-25701</t>
        </is>
      </c>
      <c r="L1383" s="187" t="inlineStr">
        <is>
          <t>2026-02-26 00:15</t>
        </is>
      </c>
      <c r="M1383" s="187" t="inlineStr">
        <is>
          <t>CHECK_VENDOR</t>
        </is>
      </c>
      <c r="N1383" s="187" t="inlineStr">
        <is>
          <t>See NVD references</t>
        </is>
      </c>
      <c r="O1383" s="187" t="inlineStr">
        <is>
          <t>Apply vendor patches</t>
        </is>
      </c>
      <c r="P1383" s="187" t="inlineStr">
        <is>
          <t>See CVE details</t>
        </is>
      </c>
      <c r="Q1383" s="187" t="inlineStr">
        <is>
          <t>P4</t>
        </is>
      </c>
      <c r="R1383" s="187" t="inlineStr">
        <is>
          <t>📅 Schedule patch deployment within 30 days | 🔍 Monitor for exploitation attempts</t>
        </is>
      </c>
      <c r="S1383" s="187" t="inlineStr">
        <is>
          <t>CVE - IP enrichment n/a</t>
        </is>
      </c>
      <c r="T1383" s="187" t="n">
        <v>0</v>
      </c>
      <c r="U1383" s="187" t="n">
        <v>0</v>
      </c>
      <c r="V1383" s="187" t="inlineStr">
        <is>
          <t>T1190:Exploit Public-Facing Application</t>
        </is>
      </c>
      <c r="W1383" s="187" t="n">
        <v>1</v>
      </c>
      <c r="X1383" s="187" t="inlineStr">
        <is>
          <t>LOW (40%)</t>
        </is>
      </c>
      <c r="Y1383" s="187" t="inlineStr">
        <is>
          <t>UNLIKELY</t>
        </is>
      </c>
      <c r="Z1383" s="187" t="inlineStr">
        <is>
          <t>CHECK_VENDOR</t>
        </is>
      </c>
      <c r="AA1383" s="187" t="inlineStr">
        <is>
          <t>https://nvd.nist.gov/vuln/detail/CVE-2026-25701</t>
        </is>
      </c>
      <c r="AB1383" s="187" t="inlineStr">
        <is>
          <t>NONE</t>
        </is>
      </c>
      <c r="AC1383" s="187" t="n">
        <v>0</v>
      </c>
      <c r="AD1383" s="187" t="inlineStr"/>
    </row>
    <row r="1384">
      <c r="A1384" s="187" t="inlineStr">
        <is>
          <t>CVE</t>
        </is>
      </c>
      <c r="B1384" s="187" t="inlineStr">
        <is>
          <t>CVE-2026-3118</t>
        </is>
      </c>
      <c r="C1384" s="187" t="inlineStr">
        <is>
          <t>A security flaw was identified in the Orchestrator Plugin of Red Hat Developer Hub (Backstage). The issue occurs due to insufficient input validation in GraphQL query handling. An authenticated user can inject specially crafted input into API requests, which disrupts backend query processing. This results in the entire Backstage application crashing and restarting, leading to a platform-wide Denial of Service (DoS). As a result, legitimate users temporarily lose access to the platform.</t>
        </is>
      </c>
      <c r="D1384" s="187" t="n">
        <v>6.5</v>
      </c>
      <c r="E1384" s="187" t="inlineStr">
        <is>
          <t>MEDIUM</t>
        </is>
      </c>
      <c r="F1384" s="187" t="n">
        <v>2</v>
      </c>
      <c r="G1384" s="187" t="n">
        <v>2</v>
      </c>
      <c r="H1384" s="187" t="inlineStr">
        <is>
          <t>MEDIUM</t>
        </is>
      </c>
      <c r="I1384" s="187" t="n">
        <v>10.5</v>
      </c>
      <c r="J1384" s="187" t="inlineStr">
        <is>
          <t>NO</t>
        </is>
      </c>
      <c r="K1384" s="187" t="inlineStr">
        <is>
          <t>https://nvd.nist.gov/vuln/detail/CVE-2026-3118</t>
        </is>
      </c>
      <c r="L1384" s="187" t="inlineStr">
        <is>
          <t>2026-02-26 00:15</t>
        </is>
      </c>
      <c r="M1384" s="187" t="inlineStr">
        <is>
          <t>CHECK_VENDOR</t>
        </is>
      </c>
      <c r="N1384" s="187" t="inlineStr">
        <is>
          <t>See NVD references</t>
        </is>
      </c>
      <c r="O1384" s="187" t="inlineStr">
        <is>
          <t>Apply vendor patches</t>
        </is>
      </c>
      <c r="P1384" s="187" t="inlineStr">
        <is>
          <t>See CVE details</t>
        </is>
      </c>
      <c r="Q1384" s="187" t="inlineStr">
        <is>
          <t>P4</t>
        </is>
      </c>
      <c r="R1384" s="187" t="inlineStr">
        <is>
          <t>📅 Schedule patch deployment within 30 days | 🔍 Monitor for exploitation attempts</t>
        </is>
      </c>
      <c r="S1384" s="187" t="inlineStr">
        <is>
          <t>CVE - IP enrichment n/a</t>
        </is>
      </c>
      <c r="T1384" s="187" t="n">
        <v>0</v>
      </c>
      <c r="U1384" s="187" t="n">
        <v>0</v>
      </c>
      <c r="V1384" s="187" t="inlineStr">
        <is>
          <t>T1190:Exploit Public-Facing Application | T1499:Endpoint Denial of Service</t>
        </is>
      </c>
      <c r="W1384" s="187" t="n">
        <v>1</v>
      </c>
      <c r="X1384" s="187" t="inlineStr">
        <is>
          <t>LOW (40%)</t>
        </is>
      </c>
      <c r="Y1384" s="187" t="inlineStr">
        <is>
          <t>UNLIKELY</t>
        </is>
      </c>
      <c r="Z1384" s="187" t="inlineStr">
        <is>
          <t>CHECK_VENDOR</t>
        </is>
      </c>
      <c r="AA1384" s="187" t="inlineStr">
        <is>
          <t>https://nvd.nist.gov/vuln/detail/CVE-2026-3118</t>
        </is>
      </c>
      <c r="AB1384" s="187" t="inlineStr">
        <is>
          <t>NONE</t>
        </is>
      </c>
      <c r="AC1384" s="187" t="n">
        <v>0</v>
      </c>
      <c r="AD1384" s="187" t="inlineStr"/>
    </row>
    <row r="1385">
      <c r="A1385" s="187" t="inlineStr">
        <is>
          <t>CVE</t>
        </is>
      </c>
      <c r="B1385" s="187" t="inlineStr">
        <is>
          <t>CVE-2026-0704</t>
        </is>
      </c>
      <c r="C1385" s="187" t="inlineStr">
        <is>
          <t>In affected version of Octopus Deploy it was possible to remove files and/or contents of files on the host using an API endpoint. The field lacked validation which could potentially result in ways to circumvent expected workflows.</t>
        </is>
      </c>
      <c r="D1385" s="187" t="n">
        <v>5</v>
      </c>
      <c r="E1385" s="187" t="inlineStr">
        <is>
          <t>MEDIUM</t>
        </is>
      </c>
      <c r="F1385" s="187" t="n">
        <v>2</v>
      </c>
      <c r="G1385" s="187" t="n">
        <v>2</v>
      </c>
      <c r="H1385" s="187" t="inlineStr">
        <is>
          <t>MEDIUM</t>
        </is>
      </c>
      <c r="I1385" s="187" t="n">
        <v>9</v>
      </c>
      <c r="J1385" s="187" t="inlineStr">
        <is>
          <t>NO</t>
        </is>
      </c>
      <c r="K1385" s="187" t="inlineStr">
        <is>
          <t>https://nvd.nist.gov/vuln/detail/CVE-2026-0704</t>
        </is>
      </c>
      <c r="L1385" s="187" t="inlineStr">
        <is>
          <t>2026-02-26 00:15</t>
        </is>
      </c>
      <c r="M1385" s="187" t="inlineStr">
        <is>
          <t>CHECK_VENDOR</t>
        </is>
      </c>
      <c r="N1385" s="187" t="inlineStr">
        <is>
          <t>See NVD references</t>
        </is>
      </c>
      <c r="O1385" s="187" t="inlineStr">
        <is>
          <t>Apply vendor patches</t>
        </is>
      </c>
      <c r="P1385" s="187" t="inlineStr">
        <is>
          <t>See CVE details</t>
        </is>
      </c>
      <c r="Q1385" s="187" t="inlineStr">
        <is>
          <t>P4</t>
        </is>
      </c>
      <c r="R1385" s="187" t="inlineStr">
        <is>
          <t>📅 Schedule patch deployment within 30 days | 🔍 Monitor for exploitation attempts</t>
        </is>
      </c>
      <c r="S1385" s="187" t="inlineStr">
        <is>
          <t>CVE - IP enrichment n/a</t>
        </is>
      </c>
      <c r="T1385" s="187" t="n">
        <v>0</v>
      </c>
      <c r="U1385" s="187" t="n">
        <v>0</v>
      </c>
      <c r="V1385" s="187" t="inlineStr">
        <is>
          <t>T1190:Exploit Public-Facing Application</t>
        </is>
      </c>
      <c r="W1385" s="187" t="n">
        <v>1</v>
      </c>
      <c r="X1385" s="187" t="inlineStr">
        <is>
          <t>LOW (40%)</t>
        </is>
      </c>
      <c r="Y1385" s="187" t="inlineStr">
        <is>
          <t>UNLIKELY</t>
        </is>
      </c>
      <c r="Z1385" s="187" t="inlineStr">
        <is>
          <t>CHECK_VENDOR</t>
        </is>
      </c>
      <c r="AA1385" s="187" t="inlineStr">
        <is>
          <t>https://nvd.nist.gov/vuln/detail/CVE-2026-0704</t>
        </is>
      </c>
      <c r="AB1385" s="187" t="inlineStr">
        <is>
          <t>NONE</t>
        </is>
      </c>
      <c r="AC1385" s="187" t="n">
        <v>0</v>
      </c>
      <c r="AD1385" s="187" t="inlineStr"/>
    </row>
    <row r="1386">
      <c r="A1386" s="190" t="inlineStr">
        <is>
          <t>CVE</t>
        </is>
      </c>
      <c r="B1386" s="190" t="inlineStr">
        <is>
          <t>CVE-2026-21725</t>
        </is>
      </c>
      <c r="C1386" s="190" t="inlineStr">
        <is>
          <t>A time-of-create-to-time-of-use (TOCTOU) vulnerability lets recently deleted-then-recreated data sources be re-deleted without permission to do so.
This requires several very stringent conditions to be met:
- The attacker must have admin access to the specific datasource prior to its first deletion.
- Upon deletion, all steps within the attack must happen within the next 30 seconds and on the same pod of Grafana.
- The attacker must delete the datasource, then someone must recreate it.
- The n</t>
        </is>
      </c>
      <c r="D1386" s="190" t="n">
        <v>2.6</v>
      </c>
      <c r="E1386" s="190" t="inlineStr">
        <is>
          <t>LOW</t>
        </is>
      </c>
      <c r="F1386" s="190" t="n">
        <v>2</v>
      </c>
      <c r="G1386" s="190" t="n">
        <v>1</v>
      </c>
      <c r="H1386" s="190" t="inlineStr">
        <is>
          <t>LOW</t>
        </is>
      </c>
      <c r="I1386" s="190" t="n">
        <v>4.6</v>
      </c>
      <c r="J1386" s="190" t="inlineStr">
        <is>
          <t>NO</t>
        </is>
      </c>
      <c r="K1386" s="190" t="inlineStr">
        <is>
          <t>https://nvd.nist.gov/vuln/detail/CVE-2026-21725</t>
        </is>
      </c>
      <c r="L1386" s="190" t="inlineStr">
        <is>
          <t>2026-02-26 00:15</t>
        </is>
      </c>
      <c r="M1386" s="190" t="inlineStr">
        <is>
          <t>CHECK_VENDOR</t>
        </is>
      </c>
      <c r="N1386" s="190" t="inlineStr">
        <is>
          <t>See NVD references</t>
        </is>
      </c>
      <c r="O1386" s="190" t="inlineStr">
        <is>
          <t>Apply vendor patches</t>
        </is>
      </c>
      <c r="P1386" s="190" t="inlineStr">
        <is>
          <t>See CVE details</t>
        </is>
      </c>
      <c r="Q1386" s="190" t="inlineStr">
        <is>
          <t>P4</t>
        </is>
      </c>
      <c r="R1386" s="190" t="inlineStr">
        <is>
          <t>📅 Schedule patch deployment within 30 days | 🔍 Monitor for exploitation attempts</t>
        </is>
      </c>
      <c r="S1386" s="190" t="inlineStr">
        <is>
          <t>CVE - IP enrichment n/a</t>
        </is>
      </c>
      <c r="T1386" s="190" t="n">
        <v>0</v>
      </c>
      <c r="U1386" s="190" t="n">
        <v>0</v>
      </c>
      <c r="V1386" s="190" t="inlineStr">
        <is>
          <t>T1190:Exploit Public-Facing Application</t>
        </is>
      </c>
      <c r="W1386" s="190" t="n">
        <v>1</v>
      </c>
      <c r="X1386" s="190" t="inlineStr">
        <is>
          <t>LOW (40%)</t>
        </is>
      </c>
      <c r="Y1386" s="190" t="inlineStr">
        <is>
          <t>UNLIKELY</t>
        </is>
      </c>
      <c r="Z1386" s="190" t="inlineStr">
        <is>
          <t>CHECK_VENDOR</t>
        </is>
      </c>
      <c r="AA1386" s="190" t="inlineStr">
        <is>
          <t>https://nvd.nist.gov/vuln/detail/CVE-2026-21725</t>
        </is>
      </c>
      <c r="AB1386" s="190" t="inlineStr">
        <is>
          <t>NONE</t>
        </is>
      </c>
      <c r="AC1386" s="190" t="n">
        <v>0</v>
      </c>
      <c r="AD1386" s="190" t="inlineStr"/>
    </row>
    <row r="1387">
      <c r="A1387" s="189" t="inlineStr">
        <is>
          <t>CVE</t>
        </is>
      </c>
      <c r="B1387" s="189" t="inlineStr">
        <is>
          <t>CVE-2026-2624</t>
        </is>
      </c>
      <c r="C1387" s="189" t="inlineStr">
        <is>
          <t>Missing Authentication for Critical Function vulnerability in ePati Cyber ​​Security Technologies Inc. Antikor Next Generation Firewall (NGFW) allows Authentication Bypass.This issue affects Antikor Next Generation Firewall (NGFW): from v.2.0.1298 before v.2.0.1301.</t>
        </is>
      </c>
      <c r="D1387" s="189" t="n">
        <v>9.800000000000001</v>
      </c>
      <c r="E1387" s="189" t="inlineStr">
        <is>
          <t>CRITICAL</t>
        </is>
      </c>
      <c r="F1387" s="189" t="n">
        <v>2</v>
      </c>
      <c r="G1387" s="189" t="n">
        <v>3</v>
      </c>
      <c r="H1387" s="189" t="inlineStr">
        <is>
          <t>HIGH</t>
        </is>
      </c>
      <c r="I1387" s="189" t="n">
        <v>15.8</v>
      </c>
      <c r="J1387" s="189" t="inlineStr">
        <is>
          <t>NO</t>
        </is>
      </c>
      <c r="K1387" s="189" t="inlineStr">
        <is>
          <t>https://nvd.nist.gov/vuln/detail/CVE-2026-2624</t>
        </is>
      </c>
      <c r="L1387" s="189" t="inlineStr">
        <is>
          <t>2026-02-26 00:15</t>
        </is>
      </c>
      <c r="M1387" s="189" t="inlineStr">
        <is>
          <t>CHECK_VENDOR</t>
        </is>
      </c>
      <c r="N1387" s="189" t="inlineStr">
        <is>
          <t>See NVD references</t>
        </is>
      </c>
      <c r="O1387" s="189" t="inlineStr">
        <is>
          <t>Apply vendor patches</t>
        </is>
      </c>
      <c r="P1387" s="189" t="inlineStr">
        <is>
          <t>See CVE details</t>
        </is>
      </c>
      <c r="Q1387" s="189" t="inlineStr">
        <is>
          <t>P3</t>
        </is>
      </c>
      <c r="R1387" s="189" t="inlineStr">
        <is>
          <t>🚨 URGENT: Apply vendor patches immediately | 🔒 Isolate affected systems if patch unavailable | 🛡️ Enable additional monitoring/IDS rules</t>
        </is>
      </c>
      <c r="S1387" s="189" t="inlineStr">
        <is>
          <t>CVE - IP enrichment n/a</t>
        </is>
      </c>
      <c r="T1387" s="189" t="n">
        <v>0</v>
      </c>
      <c r="U1387" s="189" t="n">
        <v>0</v>
      </c>
      <c r="V1387" s="189" t="inlineStr">
        <is>
          <t>T1078:Valid Accounts | T1562:Impair Defenses</t>
        </is>
      </c>
      <c r="W1387" s="189" t="n">
        <v>1</v>
      </c>
      <c r="X1387" s="189" t="inlineStr">
        <is>
          <t>LOW (40%)</t>
        </is>
      </c>
      <c r="Y1387" s="189" t="inlineStr">
        <is>
          <t>UNLIKELY</t>
        </is>
      </c>
      <c r="Z1387" s="189" t="inlineStr">
        <is>
          <t>CHECK_VENDOR</t>
        </is>
      </c>
      <c r="AA1387" s="189" t="inlineStr">
        <is>
          <t>https://nvd.nist.gov/vuln/detail/CVE-2026-2624</t>
        </is>
      </c>
      <c r="AB1387" s="189" t="inlineStr">
        <is>
          <t>NONE</t>
        </is>
      </c>
      <c r="AC1387" s="189" t="n">
        <v>0</v>
      </c>
      <c r="AD1387" s="189" t="inlineStr"/>
    </row>
    <row r="1388">
      <c r="A1388" s="188" t="inlineStr">
        <is>
          <t>CVE</t>
        </is>
      </c>
      <c r="B1388" s="188" t="inlineStr">
        <is>
          <t>CVE-2026-28193</t>
        </is>
      </c>
      <c r="C1388" s="188" t="inlineStr">
        <is>
          <t>In JetBrains YouTrack before 2025.3.121962 apps were able to send requests to the app permissions endpoint</t>
        </is>
      </c>
      <c r="D1388" s="188" t="n">
        <v>8.800000000000001</v>
      </c>
      <c r="E1388" s="188" t="inlineStr">
        <is>
          <t>HIGH</t>
        </is>
      </c>
      <c r="F1388" s="188" t="n">
        <v>2</v>
      </c>
      <c r="G1388" s="188" t="n">
        <v>3</v>
      </c>
      <c r="H1388" s="188" t="inlineStr">
        <is>
          <t>HIGH</t>
        </is>
      </c>
      <c r="I1388" s="188" t="n">
        <v>14.8</v>
      </c>
      <c r="J1388" s="188" t="inlineStr">
        <is>
          <t>NO</t>
        </is>
      </c>
      <c r="K1388" s="188" t="inlineStr">
        <is>
          <t>https://nvd.nist.gov/vuln/detail/CVE-2026-28193</t>
        </is>
      </c>
      <c r="L1388" s="188" t="inlineStr">
        <is>
          <t>2026-02-26 00:15</t>
        </is>
      </c>
      <c r="M1388" s="188" t="inlineStr">
        <is>
          <t>CHECK_VENDOR</t>
        </is>
      </c>
      <c r="N1388" s="188" t="inlineStr">
        <is>
          <t>See NVD references</t>
        </is>
      </c>
      <c r="O1388" s="188" t="inlineStr">
        <is>
          <t>Apply vendor patches</t>
        </is>
      </c>
      <c r="P1388" s="188" t="inlineStr">
        <is>
          <t>See CVE details</t>
        </is>
      </c>
      <c r="Q1388" s="188" t="inlineStr">
        <is>
          <t>P3</t>
        </is>
      </c>
      <c r="R1388" s="188" t="inlineStr">
        <is>
          <t>🚨 URGENT: Apply vendor patches immediately | 🔒 Isolate affected systems if patch unavailable | 🛡️ Enable additional monitoring/IDS rules</t>
        </is>
      </c>
      <c r="S1388" s="188" t="inlineStr">
        <is>
          <t>CVE - IP enrichment n/a</t>
        </is>
      </c>
      <c r="T1388" s="188" t="n">
        <v>0</v>
      </c>
      <c r="U1388" s="188" t="n">
        <v>0</v>
      </c>
      <c r="V1388" s="188" t="inlineStr">
        <is>
          <t>T1190:Exploit Public-Facing Application</t>
        </is>
      </c>
      <c r="W1388" s="188" t="n">
        <v>1</v>
      </c>
      <c r="X1388" s="188" t="inlineStr">
        <is>
          <t>LOW (40%)</t>
        </is>
      </c>
      <c r="Y1388" s="188" t="inlineStr">
        <is>
          <t>UNLIKELY</t>
        </is>
      </c>
      <c r="Z1388" s="188" t="inlineStr">
        <is>
          <t>CHECK_VENDOR</t>
        </is>
      </c>
      <c r="AA1388" s="188" t="inlineStr">
        <is>
          <t>https://nvd.nist.gov/vuln/detail/CVE-2026-28193</t>
        </is>
      </c>
      <c r="AB1388" s="188" t="inlineStr">
        <is>
          <t>NONE</t>
        </is>
      </c>
      <c r="AC1388" s="188" t="n">
        <v>0</v>
      </c>
      <c r="AD1388" s="188" t="inlineStr"/>
    </row>
    <row r="1389">
      <c r="A1389" s="187" t="inlineStr">
        <is>
          <t>CVE</t>
        </is>
      </c>
      <c r="B1389" s="187" t="inlineStr">
        <is>
          <t>CVE-2026-28194</t>
        </is>
      </c>
      <c r="C1389" s="187" t="inlineStr">
        <is>
          <t>In JetBrains TeamCity before 2025.11.3 open redirect was possible in the React project creation flow</t>
        </is>
      </c>
      <c r="D1389" s="187" t="n">
        <v>4.3</v>
      </c>
      <c r="E1389" s="187" t="inlineStr">
        <is>
          <t>MEDIUM</t>
        </is>
      </c>
      <c r="F1389" s="187" t="n">
        <v>2</v>
      </c>
      <c r="G1389" s="187" t="n">
        <v>2</v>
      </c>
      <c r="H1389" s="187" t="inlineStr">
        <is>
          <t>MEDIUM</t>
        </is>
      </c>
      <c r="I1389" s="187" t="n">
        <v>8.300000000000001</v>
      </c>
      <c r="J1389" s="187" t="inlineStr">
        <is>
          <t>NO</t>
        </is>
      </c>
      <c r="K1389" s="187" t="inlineStr">
        <is>
          <t>https://nvd.nist.gov/vuln/detail/CVE-2026-28194</t>
        </is>
      </c>
      <c r="L1389" s="187" t="inlineStr">
        <is>
          <t>2026-02-26 00:15</t>
        </is>
      </c>
      <c r="M1389" s="187" t="inlineStr">
        <is>
          <t>YES</t>
        </is>
      </c>
      <c r="N1389" s="187" t="inlineStr">
        <is>
          <t>https://www.jetbrains.com/privacy-security/issues-fixed/</t>
        </is>
      </c>
      <c r="O1389" s="187" t="inlineStr">
        <is>
          <t>Apply vendor patches</t>
        </is>
      </c>
      <c r="P1389" s="187" t="inlineStr">
        <is>
          <t>jetbrains teamcity *</t>
        </is>
      </c>
      <c r="Q1389" s="187" t="inlineStr">
        <is>
          <t>P4</t>
        </is>
      </c>
      <c r="R1389" s="187" t="inlineStr">
        <is>
          <t>📅 Schedule patch deployment within 30 days | 🔍 Monitor for exploitation attempts</t>
        </is>
      </c>
      <c r="S1389" s="187" t="inlineStr">
        <is>
          <t>CVE - IP enrichment n/a</t>
        </is>
      </c>
      <c r="T1389" s="187" t="n">
        <v>0</v>
      </c>
      <c r="U1389" s="187" t="n">
        <v>0</v>
      </c>
      <c r="V1389" s="187" t="inlineStr">
        <is>
          <t>T1189:Drive-by Compromise</t>
        </is>
      </c>
      <c r="W1389" s="187" t="n">
        <v>1</v>
      </c>
      <c r="X1389" s="187" t="inlineStr">
        <is>
          <t>LOW (40%)</t>
        </is>
      </c>
      <c r="Y1389" s="187" t="inlineStr">
        <is>
          <t>UNLIKELY</t>
        </is>
      </c>
      <c r="Z1389" s="187" t="inlineStr">
        <is>
          <t>PATCH_AVAILABLE</t>
        </is>
      </c>
      <c r="AA1389" s="187" t="inlineStr">
        <is>
          <t>https://nvd.nist.gov/vuln/detail/CVE-2026-28194</t>
        </is>
      </c>
      <c r="AB1389" s="187" t="inlineStr">
        <is>
          <t>NONE</t>
        </is>
      </c>
      <c r="AC1389" s="187" t="n">
        <v>0</v>
      </c>
      <c r="AD1389" s="187" t="inlineStr"/>
    </row>
    <row r="1390">
      <c r="A1390" s="187" t="inlineStr">
        <is>
          <t>CVE</t>
        </is>
      </c>
      <c r="B1390" s="187" t="inlineStr">
        <is>
          <t>CVE-2026-28195</t>
        </is>
      </c>
      <c r="C1390" s="187" t="inlineStr">
        <is>
          <t>In JetBrains TeamCity before 2025.11.3 missing authorization allowed project developers to add parameters to build configurations</t>
        </is>
      </c>
      <c r="D1390" s="187" t="n">
        <v>4.3</v>
      </c>
      <c r="E1390" s="187" t="inlineStr">
        <is>
          <t>MEDIUM</t>
        </is>
      </c>
      <c r="F1390" s="187" t="n">
        <v>2</v>
      </c>
      <c r="G1390" s="187" t="n">
        <v>2</v>
      </c>
      <c r="H1390" s="187" t="inlineStr">
        <is>
          <t>MEDIUM</t>
        </is>
      </c>
      <c r="I1390" s="187" t="n">
        <v>8.300000000000001</v>
      </c>
      <c r="J1390" s="187" t="inlineStr">
        <is>
          <t>NO</t>
        </is>
      </c>
      <c r="K1390" s="187" t="inlineStr">
        <is>
          <t>https://nvd.nist.gov/vuln/detail/CVE-2026-28195</t>
        </is>
      </c>
      <c r="L1390" s="187" t="inlineStr">
        <is>
          <t>2026-02-26 00:15</t>
        </is>
      </c>
      <c r="M1390" s="187" t="inlineStr">
        <is>
          <t>YES</t>
        </is>
      </c>
      <c r="N1390" s="187" t="inlineStr">
        <is>
          <t>https://www.jetbrains.com/privacy-security/issues-fixed/</t>
        </is>
      </c>
      <c r="O1390" s="187" t="inlineStr">
        <is>
          <t>Apply vendor patches</t>
        </is>
      </c>
      <c r="P1390" s="187" t="inlineStr">
        <is>
          <t>jetbrains teamcity *</t>
        </is>
      </c>
      <c r="Q1390" s="187" t="inlineStr">
        <is>
          <t>P4</t>
        </is>
      </c>
      <c r="R1390" s="187" t="inlineStr">
        <is>
          <t>📅 Schedule patch deployment within 30 days | 🔍 Monitor for exploitation attempts</t>
        </is>
      </c>
      <c r="S1390" s="187" t="inlineStr">
        <is>
          <t>CVE - IP enrichment n/a</t>
        </is>
      </c>
      <c r="T1390" s="187" t="n">
        <v>0</v>
      </c>
      <c r="U1390" s="187" t="n">
        <v>0</v>
      </c>
      <c r="V1390" s="187" t="inlineStr">
        <is>
          <t>T1190:Exploit Public-Facing Application</t>
        </is>
      </c>
      <c r="W1390" s="187" t="n">
        <v>1</v>
      </c>
      <c r="X1390" s="187" t="inlineStr">
        <is>
          <t>LOW (40%)</t>
        </is>
      </c>
      <c r="Y1390" s="187" t="inlineStr">
        <is>
          <t>UNLIKELY</t>
        </is>
      </c>
      <c r="Z1390" s="187" t="inlineStr">
        <is>
          <t>PATCH_AVAILABLE</t>
        </is>
      </c>
      <c r="AA1390" s="187" t="inlineStr">
        <is>
          <t>https://nvd.nist.gov/vuln/detail/CVE-2026-28195</t>
        </is>
      </c>
      <c r="AB1390" s="187" t="inlineStr">
        <is>
          <t>NONE</t>
        </is>
      </c>
      <c r="AC1390" s="187" t="n">
        <v>0</v>
      </c>
      <c r="AD1390" s="187" t="inlineStr"/>
    </row>
    <row r="1391">
      <c r="A1391" s="190" t="inlineStr">
        <is>
          <t>CVE</t>
        </is>
      </c>
      <c r="B1391" s="190" t="inlineStr">
        <is>
          <t>CVE-2026-28196</t>
        </is>
      </c>
      <c r="C1391" s="190" t="inlineStr">
        <is>
          <t>In JetBrains TeamCity before 2025.11.3 disabling versioned settings left a credentials config on disk</t>
        </is>
      </c>
      <c r="D1391" s="190" t="n">
        <v>2.3</v>
      </c>
      <c r="E1391" s="190" t="inlineStr">
        <is>
          <t>LOW</t>
        </is>
      </c>
      <c r="F1391" s="190" t="n">
        <v>2</v>
      </c>
      <c r="G1391" s="190" t="n">
        <v>1</v>
      </c>
      <c r="H1391" s="190" t="inlineStr">
        <is>
          <t>LOW</t>
        </is>
      </c>
      <c r="I1391" s="190" t="n">
        <v>4.3</v>
      </c>
      <c r="J1391" s="190" t="inlineStr">
        <is>
          <t>NO</t>
        </is>
      </c>
      <c r="K1391" s="190" t="inlineStr">
        <is>
          <t>https://nvd.nist.gov/vuln/detail/CVE-2026-28196</t>
        </is>
      </c>
      <c r="L1391" s="190" t="inlineStr">
        <is>
          <t>2026-02-26 00:15</t>
        </is>
      </c>
      <c r="M1391" s="190" t="inlineStr">
        <is>
          <t>YES</t>
        </is>
      </c>
      <c r="N1391" s="190" t="inlineStr">
        <is>
          <t>https://www.jetbrains.com/privacy-security/issues-fixed/</t>
        </is>
      </c>
      <c r="O1391" s="190" t="inlineStr">
        <is>
          <t>Apply vendor patches</t>
        </is>
      </c>
      <c r="P1391" s="190" t="inlineStr">
        <is>
          <t>jetbrains teamcity *</t>
        </is>
      </c>
      <c r="Q1391" s="190" t="inlineStr">
        <is>
          <t>P4</t>
        </is>
      </c>
      <c r="R1391" s="190" t="inlineStr">
        <is>
          <t>📅 Schedule patch deployment within 30 days | 🔍 Monitor for exploitation attempts</t>
        </is>
      </c>
      <c r="S1391" s="190" t="inlineStr">
        <is>
          <t>CVE - IP enrichment n/a</t>
        </is>
      </c>
      <c r="T1391" s="190" t="n">
        <v>0</v>
      </c>
      <c r="U1391" s="190" t="n">
        <v>0</v>
      </c>
      <c r="V1391" s="190" t="inlineStr">
        <is>
          <t>T1552:Unsecured Credentials</t>
        </is>
      </c>
      <c r="W1391" s="190" t="n">
        <v>1</v>
      </c>
      <c r="X1391" s="190" t="inlineStr">
        <is>
          <t>LOW (40%)</t>
        </is>
      </c>
      <c r="Y1391" s="190" t="inlineStr">
        <is>
          <t>UNLIKELY</t>
        </is>
      </c>
      <c r="Z1391" s="190" t="inlineStr">
        <is>
          <t>PATCH_AVAILABLE</t>
        </is>
      </c>
      <c r="AA1391" s="190" t="inlineStr">
        <is>
          <t>https://nvd.nist.gov/vuln/detail/CVE-2026-28196</t>
        </is>
      </c>
      <c r="AB1391" s="190" t="inlineStr">
        <is>
          <t>NONE</t>
        </is>
      </c>
      <c r="AC1391" s="190" t="n">
        <v>0</v>
      </c>
      <c r="AD1391" s="190" t="inlineStr"/>
    </row>
    <row r="1392">
      <c r="A1392" s="187" t="inlineStr">
        <is>
          <t>CVE</t>
        </is>
      </c>
      <c r="B1392" s="187" t="inlineStr">
        <is>
          <t>CVE-2026-3185</t>
        </is>
      </c>
      <c r="C1392" s="187" t="inlineStr">
        <is>
          <t>A vulnerability was found in feiyuchuixue sz-boot-parent up to 1.3.2-beta. Affected is an unknown function of the file /api/admin/sys-message/ of the component API Endpoint. The manipulation of the argument messageId results in authorization bypass. The attack can be launched remotely. The exploit has been made public and could be used. Upgrading to version 1.3.3-beta is able to address this issue. The patch is identified as aefaabfd7527188bfba3c8c9eee17c316d094802. The affected component should</t>
        </is>
      </c>
      <c r="D1392" s="187" t="n">
        <v>5.3</v>
      </c>
      <c r="E1392" s="187" t="inlineStr">
        <is>
          <t>MEDIUM</t>
        </is>
      </c>
      <c r="F1392" s="187" t="n">
        <v>2</v>
      </c>
      <c r="G1392" s="187" t="n">
        <v>2</v>
      </c>
      <c r="H1392" s="187" t="inlineStr">
        <is>
          <t>MEDIUM</t>
        </is>
      </c>
      <c r="I1392" s="187" t="n">
        <v>9.300000000000001</v>
      </c>
      <c r="J1392" s="187" t="inlineStr">
        <is>
          <t>NO</t>
        </is>
      </c>
      <c r="K1392" s="187" t="inlineStr">
        <is>
          <t>https://nvd.nist.gov/vuln/detail/CVE-2026-3185</t>
        </is>
      </c>
      <c r="L1392" s="187" t="inlineStr">
        <is>
          <t>2026-02-26 00:15</t>
        </is>
      </c>
      <c r="M1392" s="187" t="inlineStr">
        <is>
          <t>CHECK_VENDOR</t>
        </is>
      </c>
      <c r="N1392" s="187" t="inlineStr">
        <is>
          <t>See NVD references</t>
        </is>
      </c>
      <c r="O1392" s="187" t="inlineStr">
        <is>
          <t>Apply vendor patches</t>
        </is>
      </c>
      <c r="P1392" s="187" t="inlineStr">
        <is>
          <t>See CVE details</t>
        </is>
      </c>
      <c r="Q1392" s="187" t="inlineStr">
        <is>
          <t>P4</t>
        </is>
      </c>
      <c r="R1392" s="187" t="inlineStr">
        <is>
          <t>📅 Schedule patch deployment within 30 days | 🔍 Monitor for exploitation attempts</t>
        </is>
      </c>
      <c r="S1392" s="187" t="inlineStr">
        <is>
          <t>CVE - IP enrichment n/a</t>
        </is>
      </c>
      <c r="T1392" s="187" t="n">
        <v>0</v>
      </c>
      <c r="U1392" s="187" t="n">
        <v>0</v>
      </c>
      <c r="V1392" s="187" t="inlineStr">
        <is>
          <t>T1190:Exploit Public-Facing Application</t>
        </is>
      </c>
      <c r="W1392" s="187" t="n">
        <v>1</v>
      </c>
      <c r="X1392" s="187" t="inlineStr">
        <is>
          <t>LOW (40%)</t>
        </is>
      </c>
      <c r="Y1392" s="187" t="inlineStr">
        <is>
          <t>UNLIKELY</t>
        </is>
      </c>
      <c r="Z1392" s="187" t="inlineStr">
        <is>
          <t>CHECK_VENDOR</t>
        </is>
      </c>
      <c r="AA1392" s="187" t="inlineStr">
        <is>
          <t>https://nvd.nist.gov/vuln/detail/CVE-2026-3185</t>
        </is>
      </c>
      <c r="AB1392" s="187" t="inlineStr">
        <is>
          <t>NONE</t>
        </is>
      </c>
      <c r="AC1392" s="187" t="n">
        <v>0</v>
      </c>
      <c r="AD1392" s="187" t="inlineStr"/>
    </row>
    <row r="1393">
      <c r="A1393" s="187" t="inlineStr">
        <is>
          <t>CVE</t>
        </is>
      </c>
      <c r="B1393" s="187" t="inlineStr">
        <is>
          <t>CVE-2026-3186</t>
        </is>
      </c>
      <c r="C1393" s="187" t="inlineStr">
        <is>
          <t>A vulnerability was determined in feiyuchuixue sz-boot-parent up to 1.3.2-beta. Affected by this vulnerability is an unknown functionality of the file /api/admin/sys-user/reset/password/ of the component Password Reset Handler. This manipulation of the argument userId causes use of default password. The attack may be initiated remotely. The exploit has been publicly disclosed and may be utilized. Upgrading to version 1.3.3-beta addresses this issue. Patch name: aefaabfd7527188bfba3c8c9eee17c316d</t>
        </is>
      </c>
      <c r="D1393" s="187" t="n">
        <v>6.3</v>
      </c>
      <c r="E1393" s="187" t="inlineStr">
        <is>
          <t>MEDIUM</t>
        </is>
      </c>
      <c r="F1393" s="187" t="n">
        <v>2</v>
      </c>
      <c r="G1393" s="187" t="n">
        <v>2</v>
      </c>
      <c r="H1393" s="187" t="inlineStr">
        <is>
          <t>MEDIUM</t>
        </is>
      </c>
      <c r="I1393" s="187" t="n">
        <v>10.3</v>
      </c>
      <c r="J1393" s="187" t="inlineStr">
        <is>
          <t>NO</t>
        </is>
      </c>
      <c r="K1393" s="187" t="inlineStr">
        <is>
          <t>https://nvd.nist.gov/vuln/detail/CVE-2026-3186</t>
        </is>
      </c>
      <c r="L1393" s="187" t="inlineStr">
        <is>
          <t>2026-02-26 00:15</t>
        </is>
      </c>
      <c r="M1393" s="187" t="inlineStr">
        <is>
          <t>CHECK_VENDOR</t>
        </is>
      </c>
      <c r="N1393" s="187" t="inlineStr">
        <is>
          <t>See NVD references</t>
        </is>
      </c>
      <c r="O1393" s="187" t="inlineStr">
        <is>
          <t>Apply vendor patches</t>
        </is>
      </c>
      <c r="P1393" s="187" t="inlineStr">
        <is>
          <t>See CVE details</t>
        </is>
      </c>
      <c r="Q1393" s="187" t="inlineStr">
        <is>
          <t>P4</t>
        </is>
      </c>
      <c r="R1393" s="187" t="inlineStr">
        <is>
          <t>📅 Schedule patch deployment within 30 days | 🔍 Monitor for exploitation attempts</t>
        </is>
      </c>
      <c r="S1393" s="187" t="inlineStr">
        <is>
          <t>CVE - IP enrichment n/a</t>
        </is>
      </c>
      <c r="T1393" s="187" t="n">
        <v>0</v>
      </c>
      <c r="U1393" s="187" t="n">
        <v>0</v>
      </c>
      <c r="V1393" s="187" t="inlineStr">
        <is>
          <t>T1190:Exploit Public-Facing Application</t>
        </is>
      </c>
      <c r="W1393" s="187" t="n">
        <v>1</v>
      </c>
      <c r="X1393" s="187" t="inlineStr">
        <is>
          <t>LOW (40%)</t>
        </is>
      </c>
      <c r="Y1393" s="187" t="inlineStr">
        <is>
          <t>UNLIKELY</t>
        </is>
      </c>
      <c r="Z1393" s="187" t="inlineStr">
        <is>
          <t>CHECK_VENDOR</t>
        </is>
      </c>
      <c r="AA1393" s="187" t="inlineStr">
        <is>
          <t>https://nvd.nist.gov/vuln/detail/CVE-2026-3186</t>
        </is>
      </c>
      <c r="AB1393" s="187" t="inlineStr">
        <is>
          <t>NONE</t>
        </is>
      </c>
      <c r="AC1393" s="187" t="n">
        <v>0</v>
      </c>
      <c r="AD1393" s="187" t="inlineStr"/>
    </row>
    <row r="1394">
      <c r="A1394" s="187" t="inlineStr">
        <is>
          <t>CVE</t>
        </is>
      </c>
      <c r="B1394" s="187" t="inlineStr">
        <is>
          <t>CVE-2026-27691</t>
        </is>
      </c>
      <c r="C1394" s="187" t="inlineStr">
        <is>
          <t>iccDEV provides a set of libraries and tools for working with ICC color management profiles. In versions up to and including 2.3.1.4, signed integer overflow in iccFromCube.cpp during multiplication triggers undefined behavior, potentially causing crashes or incorrect ICC profile generation when processing crafted/large cube inputs. Commit 43ae18dd69fc70190d3632a18a3af2f3da1e052a fixes the issue. No known workarounds are available.</t>
        </is>
      </c>
      <c r="D1394" s="187" t="n">
        <v>6.2</v>
      </c>
      <c r="E1394" s="187" t="inlineStr">
        <is>
          <t>MEDIUM</t>
        </is>
      </c>
      <c r="F1394" s="187" t="n">
        <v>2</v>
      </c>
      <c r="G1394" s="187" t="n">
        <v>2</v>
      </c>
      <c r="H1394" s="187" t="inlineStr">
        <is>
          <t>MEDIUM</t>
        </is>
      </c>
      <c r="I1394" s="187" t="n">
        <v>10.2</v>
      </c>
      <c r="J1394" s="187" t="inlineStr">
        <is>
          <t>NO</t>
        </is>
      </c>
      <c r="K1394" s="187" t="inlineStr">
        <is>
          <t>https://nvd.nist.gov/vuln/detail/CVE-2026-27691</t>
        </is>
      </c>
      <c r="L1394" s="187" t="inlineStr">
        <is>
          <t>2026-02-26 00:15</t>
        </is>
      </c>
      <c r="M1394" s="187" t="inlineStr">
        <is>
          <t>CHECK_VENDOR</t>
        </is>
      </c>
      <c r="N1394" s="187" t="inlineStr">
        <is>
          <t>See NVD references</t>
        </is>
      </c>
      <c r="O1394" s="187" t="inlineStr">
        <is>
          <t>Apply vendor patches</t>
        </is>
      </c>
      <c r="P1394" s="187" t="inlineStr">
        <is>
          <t>See CVE details</t>
        </is>
      </c>
      <c r="Q1394" s="187" t="inlineStr">
        <is>
          <t>P4</t>
        </is>
      </c>
      <c r="R1394" s="187" t="inlineStr">
        <is>
          <t>📅 Schedule patch deployment within 30 days | 🔍 Monitor for exploitation attempts</t>
        </is>
      </c>
      <c r="S1394" s="187" t="inlineStr">
        <is>
          <t>CVE - IP enrichment n/a</t>
        </is>
      </c>
      <c r="T1394" s="187" t="n">
        <v>0</v>
      </c>
      <c r="U1394" s="187" t="n">
        <v>0</v>
      </c>
      <c r="V1394" s="187" t="inlineStr">
        <is>
          <t>T1190:Exploit Public-Facing Application | T1203:Exploitation for Client Execution</t>
        </is>
      </c>
      <c r="W1394" s="187" t="n">
        <v>1</v>
      </c>
      <c r="X1394" s="187" t="inlineStr">
        <is>
          <t>LOW (40%)</t>
        </is>
      </c>
      <c r="Y1394" s="187" t="inlineStr">
        <is>
          <t>UNLIKELY</t>
        </is>
      </c>
      <c r="Z1394" s="187" t="inlineStr">
        <is>
          <t>CHECK_VENDOR</t>
        </is>
      </c>
      <c r="AA1394" s="187" t="inlineStr">
        <is>
          <t>https://nvd.nist.gov/vuln/detail/CVE-2026-27691</t>
        </is>
      </c>
      <c r="AB1394" s="187" t="inlineStr">
        <is>
          <t>NONE</t>
        </is>
      </c>
      <c r="AC1394" s="187" t="n">
        <v>0</v>
      </c>
      <c r="AD1394" s="187" t="inlineStr"/>
    </row>
    <row r="1395">
      <c r="A1395" s="188" t="inlineStr">
        <is>
          <t>CVE</t>
        </is>
      </c>
      <c r="B1395" s="188" t="inlineStr">
        <is>
          <t>CVE-2026-27692</t>
        </is>
      </c>
      <c r="C1395" s="188" t="inlineStr">
        <is>
          <t>iccDEV provides a set of libraries and tools for working with ICC color management profiles. In versions up to and including 2.3.1.4, heap-buffer-overflow read occurs during CIccTagTextDescription::Release() when strlen() reads past a heap buffer while parsing ICC profile XML text description tags, causing a crash. Commit 29d088840b962a7cdd35993dfabc2cb35a049847 fixes the issue. No known workarounds are available.</t>
        </is>
      </c>
      <c r="D1395" s="188" t="n">
        <v>7.1</v>
      </c>
      <c r="E1395" s="188" t="inlineStr">
        <is>
          <t>HIGH</t>
        </is>
      </c>
      <c r="F1395" s="188" t="n">
        <v>2</v>
      </c>
      <c r="G1395" s="188" t="n">
        <v>3</v>
      </c>
      <c r="H1395" s="188" t="inlineStr">
        <is>
          <t>HIGH</t>
        </is>
      </c>
      <c r="I1395" s="188" t="n">
        <v>13.1</v>
      </c>
      <c r="J1395" s="188" t="inlineStr">
        <is>
          <t>NO</t>
        </is>
      </c>
      <c r="K1395" s="188" t="inlineStr">
        <is>
          <t>https://nvd.nist.gov/vuln/detail/CVE-2026-27692</t>
        </is>
      </c>
      <c r="L1395" s="188" t="inlineStr">
        <is>
          <t>2026-02-26 00:15</t>
        </is>
      </c>
      <c r="M1395" s="188" t="inlineStr">
        <is>
          <t>CHECK_VENDOR</t>
        </is>
      </c>
      <c r="N1395" s="188" t="inlineStr">
        <is>
          <t>See NVD references</t>
        </is>
      </c>
      <c r="O1395" s="188" t="inlineStr">
        <is>
          <t>Apply vendor patches</t>
        </is>
      </c>
      <c r="P1395" s="188" t="inlineStr">
        <is>
          <t>See CVE details</t>
        </is>
      </c>
      <c r="Q1395" s="188" t="inlineStr">
        <is>
          <t>P3</t>
        </is>
      </c>
      <c r="R1395" s="188" t="inlineStr">
        <is>
          <t>🚨 URGENT: Apply vendor patches immediately | 🔒 Isolate affected systems if patch unavailable | 🛡️ Enable additional monitoring/IDS rules</t>
        </is>
      </c>
      <c r="S1395" s="188" t="inlineStr">
        <is>
          <t>CVE - IP enrichment n/a</t>
        </is>
      </c>
      <c r="T1395" s="188" t="n">
        <v>0</v>
      </c>
      <c r="U1395" s="188" t="n">
        <v>0</v>
      </c>
      <c r="V1395" s="188" t="inlineStr">
        <is>
          <t>T1203:Exploitation for Client Execution</t>
        </is>
      </c>
      <c r="W1395" s="188" t="n">
        <v>1</v>
      </c>
      <c r="X1395" s="188" t="inlineStr">
        <is>
          <t>LOW (40%)</t>
        </is>
      </c>
      <c r="Y1395" s="188" t="inlineStr">
        <is>
          <t>UNLIKELY</t>
        </is>
      </c>
      <c r="Z1395" s="188" t="inlineStr">
        <is>
          <t>CHECK_VENDOR</t>
        </is>
      </c>
      <c r="AA1395" s="188" t="inlineStr">
        <is>
          <t>https://nvd.nist.gov/vuln/detail/CVE-2026-27692</t>
        </is>
      </c>
      <c r="AB1395" s="188" t="inlineStr">
        <is>
          <t>NONE</t>
        </is>
      </c>
      <c r="AC1395" s="188" t="n">
        <v>0</v>
      </c>
      <c r="AD1395" s="188" t="inlineStr"/>
    </row>
    <row r="1396">
      <c r="A1396" s="187" t="inlineStr">
        <is>
          <t>CVE</t>
        </is>
      </c>
      <c r="B1396" s="187" t="inlineStr">
        <is>
          <t>CVE-2026-27695</t>
        </is>
      </c>
      <c r="C1396" s="187" t="inlineStr">
        <is>
          <t>zae-limiter is a rate limiting library using the token bucket algorithm. Prior to version 0.10.1, all rate limit buckets for a single entity share the same DynamoDB partition key (`namespace/ENTITY#{id}`). A high-traffic entity can exceed DynamoDB's per-partition throughput limits (~1,000 WCU/sec), causing throttling that degrades service for that entity — and potentially co-located entities in the same partition. Version 0.10.1 fixes the issue.</t>
        </is>
      </c>
      <c r="D1396" s="187" t="n">
        <v>4.3</v>
      </c>
      <c r="E1396" s="187" t="inlineStr">
        <is>
          <t>MEDIUM</t>
        </is>
      </c>
      <c r="F1396" s="187" t="n">
        <v>2</v>
      </c>
      <c r="G1396" s="187" t="n">
        <v>2</v>
      </c>
      <c r="H1396" s="187" t="inlineStr">
        <is>
          <t>MEDIUM</t>
        </is>
      </c>
      <c r="I1396" s="187" t="n">
        <v>8.300000000000001</v>
      </c>
      <c r="J1396" s="187" t="inlineStr">
        <is>
          <t>NO</t>
        </is>
      </c>
      <c r="K1396" s="187" t="inlineStr">
        <is>
          <t>https://nvd.nist.gov/vuln/detail/CVE-2026-27695</t>
        </is>
      </c>
      <c r="L1396" s="187" t="inlineStr">
        <is>
          <t>2026-02-26 00:15</t>
        </is>
      </c>
      <c r="M1396" s="187" t="inlineStr">
        <is>
          <t>CHECK_VENDOR</t>
        </is>
      </c>
      <c r="N1396" s="187" t="inlineStr">
        <is>
          <t>See NVD references</t>
        </is>
      </c>
      <c r="O1396" s="187" t="inlineStr">
        <is>
          <t>Apply vendor patches</t>
        </is>
      </c>
      <c r="P1396" s="187" t="inlineStr">
        <is>
          <t>See CVE details</t>
        </is>
      </c>
      <c r="Q1396" s="187" t="inlineStr">
        <is>
          <t>P4</t>
        </is>
      </c>
      <c r="R1396" s="187" t="inlineStr">
        <is>
          <t>📅 Schedule patch deployment within 30 days | 🔍 Monitor for exploitation attempts</t>
        </is>
      </c>
      <c r="S1396" s="187" t="inlineStr">
        <is>
          <t>CVE - IP enrichment n/a</t>
        </is>
      </c>
      <c r="T1396" s="187" t="n">
        <v>0</v>
      </c>
      <c r="U1396" s="187" t="n">
        <v>0</v>
      </c>
      <c r="V1396" s="187" t="inlineStr">
        <is>
          <t>T1190:Exploit Public-Facing Application</t>
        </is>
      </c>
      <c r="W1396" s="187" t="n">
        <v>1</v>
      </c>
      <c r="X1396" s="187" t="inlineStr">
        <is>
          <t>LOW (40%)</t>
        </is>
      </c>
      <c r="Y1396" s="187" t="inlineStr">
        <is>
          <t>UNLIKELY</t>
        </is>
      </c>
      <c r="Z1396" s="187" t="inlineStr">
        <is>
          <t>CHECK_VENDOR</t>
        </is>
      </c>
      <c r="AA1396" s="187" t="inlineStr">
        <is>
          <t>https://nvd.nist.gov/vuln/detail/CVE-2026-27695</t>
        </is>
      </c>
      <c r="AB1396" s="187" t="inlineStr">
        <is>
          <t>NONE</t>
        </is>
      </c>
      <c r="AC1396" s="187" t="n">
        <v>0</v>
      </c>
      <c r="AD1396" s="187" t="inlineStr"/>
    </row>
    <row r="1397">
      <c r="A1397" s="189" t="inlineStr">
        <is>
          <t>CVE</t>
        </is>
      </c>
      <c r="B1397" s="189" t="inlineStr">
        <is>
          <t>CVE-2026-27699</t>
        </is>
      </c>
      <c r="C1397" s="189" t="inlineStr">
        <is>
          <t>The `basic-ftp` FTP client library for Node.js contains a path traversal vulnerability (CWE-22) in versions prior to 5.2.0 in the `downloadToDir()` method. A malicious FTP server can send directory listings with filenames containing path traversal sequences (`../`) that cause files to be written outside the intended download directory. Version 5.2.0 patches the issue.</t>
        </is>
      </c>
      <c r="D1397" s="189" t="n">
        <v>9.1</v>
      </c>
      <c r="E1397" s="189" t="inlineStr">
        <is>
          <t>CRITICAL</t>
        </is>
      </c>
      <c r="F1397" s="189" t="n">
        <v>2</v>
      </c>
      <c r="G1397" s="189" t="n">
        <v>3</v>
      </c>
      <c r="H1397" s="189" t="inlineStr">
        <is>
          <t>HIGH</t>
        </is>
      </c>
      <c r="I1397" s="189" t="n">
        <v>15.1</v>
      </c>
      <c r="J1397" s="189" t="inlineStr">
        <is>
          <t>NO</t>
        </is>
      </c>
      <c r="K1397" s="189" t="inlineStr">
        <is>
          <t>https://nvd.nist.gov/vuln/detail/CVE-2026-27699</t>
        </is>
      </c>
      <c r="L1397" s="189" t="inlineStr">
        <is>
          <t>2026-02-26 00:15</t>
        </is>
      </c>
      <c r="M1397" s="189" t="inlineStr">
        <is>
          <t>CHECK_VENDOR</t>
        </is>
      </c>
      <c r="N1397" s="189" t="inlineStr">
        <is>
          <t>See NVD references</t>
        </is>
      </c>
      <c r="O1397" s="189" t="inlineStr">
        <is>
          <t>Apply vendor patches</t>
        </is>
      </c>
      <c r="P1397" s="189" t="inlineStr">
        <is>
          <t>See CVE details</t>
        </is>
      </c>
      <c r="Q1397" s="189" t="inlineStr">
        <is>
          <t>P3</t>
        </is>
      </c>
      <c r="R1397" s="189" t="inlineStr">
        <is>
          <t>🚨 URGENT: Apply vendor patches immediately | 🔒 Isolate affected systems if patch unavailable | 🛡️ Enable additional monitoring/IDS rules</t>
        </is>
      </c>
      <c r="S1397" s="189" t="inlineStr">
        <is>
          <t>CVE - IP enrichment n/a</t>
        </is>
      </c>
      <c r="T1397" s="189" t="n">
        <v>0</v>
      </c>
      <c r="U1397" s="189" t="n">
        <v>0</v>
      </c>
      <c r="V1397" s="189" t="inlineStr">
        <is>
          <t>T1083:File and Directory Discovery</t>
        </is>
      </c>
      <c r="W1397" s="189" t="n">
        <v>1</v>
      </c>
      <c r="X1397" s="189" t="inlineStr">
        <is>
          <t>LOW (40%)</t>
        </is>
      </c>
      <c r="Y1397" s="189" t="inlineStr">
        <is>
          <t>UNLIKELY</t>
        </is>
      </c>
      <c r="Z1397" s="189" t="inlineStr">
        <is>
          <t>CHECK_VENDOR</t>
        </is>
      </c>
      <c r="AA1397" s="189" t="inlineStr">
        <is>
          <t>https://nvd.nist.gov/vuln/detail/CVE-2026-27699</t>
        </is>
      </c>
      <c r="AB1397" s="189" t="inlineStr">
        <is>
          <t>NONE</t>
        </is>
      </c>
      <c r="AC1397" s="189" t="n">
        <v>0</v>
      </c>
      <c r="AD1397" s="189" t="inlineStr"/>
    </row>
    <row r="1398">
      <c r="A1398" s="187" t="inlineStr">
        <is>
          <t>CVE</t>
        </is>
      </c>
      <c r="B1398" s="187" t="inlineStr">
        <is>
          <t>CVE-2026-2878</t>
        </is>
      </c>
      <c r="C1398" s="187" t="inlineStr">
        <is>
          <t>In Progress® Telerik® UI for AJAX, versions prior to 2026.1.225, an insufficient entropy vulnerability exists in RadAsyncUpload, where a predictable temporary identifier, based on timestamp and filename, can enable collisions and file content tampering.</t>
        </is>
      </c>
      <c r="D1398" s="187" t="n">
        <v>5.3</v>
      </c>
      <c r="E1398" s="187" t="inlineStr">
        <is>
          <t>MEDIUM</t>
        </is>
      </c>
      <c r="F1398" s="187" t="n">
        <v>2</v>
      </c>
      <c r="G1398" s="187" t="n">
        <v>2</v>
      </c>
      <c r="H1398" s="187" t="inlineStr">
        <is>
          <t>MEDIUM</t>
        </is>
      </c>
      <c r="I1398" s="187" t="n">
        <v>9.300000000000001</v>
      </c>
      <c r="J1398" s="187" t="inlineStr">
        <is>
          <t>NO</t>
        </is>
      </c>
      <c r="K1398" s="187" t="inlineStr">
        <is>
          <t>https://nvd.nist.gov/vuln/detail/CVE-2026-2878</t>
        </is>
      </c>
      <c r="L1398" s="187" t="inlineStr">
        <is>
          <t>2026-02-26 00:15</t>
        </is>
      </c>
      <c r="M1398" s="187" t="inlineStr">
        <is>
          <t>CHECK_VENDOR</t>
        </is>
      </c>
      <c r="N1398" s="187" t="inlineStr">
        <is>
          <t>See NVD references</t>
        </is>
      </c>
      <c r="O1398" s="187" t="inlineStr">
        <is>
          <t>Apply vendor patches</t>
        </is>
      </c>
      <c r="P1398" s="187" t="inlineStr">
        <is>
          <t>See CVE details</t>
        </is>
      </c>
      <c r="Q1398" s="187" t="inlineStr">
        <is>
          <t>P4</t>
        </is>
      </c>
      <c r="R1398" s="187" t="inlineStr">
        <is>
          <t>📅 Schedule patch deployment within 30 days | 🔍 Monitor for exploitation attempts</t>
        </is>
      </c>
      <c r="S1398" s="187" t="inlineStr">
        <is>
          <t>CVE - IP enrichment n/a</t>
        </is>
      </c>
      <c r="T1398" s="187" t="n">
        <v>0</v>
      </c>
      <c r="U1398" s="187" t="n">
        <v>0</v>
      </c>
      <c r="V1398" s="187" t="inlineStr">
        <is>
          <t>T1190:Exploit Public-Facing Application</t>
        </is>
      </c>
      <c r="W1398" s="187" t="n">
        <v>1</v>
      </c>
      <c r="X1398" s="187" t="inlineStr">
        <is>
          <t>LOW (40%)</t>
        </is>
      </c>
      <c r="Y1398" s="187" t="inlineStr">
        <is>
          <t>UNLIKELY</t>
        </is>
      </c>
      <c r="Z1398" s="187" t="inlineStr">
        <is>
          <t>CHECK_VENDOR</t>
        </is>
      </c>
      <c r="AA1398" s="187" t="inlineStr">
        <is>
          <t>https://nvd.nist.gov/vuln/detail/CVE-2026-2878</t>
        </is>
      </c>
      <c r="AB1398" s="187" t="inlineStr">
        <is>
          <t>NONE</t>
        </is>
      </c>
      <c r="AC1398" s="187" t="n">
        <v>0</v>
      </c>
      <c r="AD1398" s="187" t="inlineStr"/>
    </row>
    <row r="1399">
      <c r="A1399" s="187" t="inlineStr">
        <is>
          <t>CVE</t>
        </is>
      </c>
      <c r="B1399" s="187" t="inlineStr">
        <is>
          <t>CVE-2026-3187</t>
        </is>
      </c>
      <c r="C1399" s="187" t="inlineStr">
        <is>
          <t xml:space="preserve">A vulnerability was identified in feiyuchuixue sz-boot-parent up to 1.3.2-beta. Affected by this issue is some unknown functionality of the file /api/admin/sys-file/upload of the component API Endpoint. Such manipulation leads to unrestricted upload. The attack may be launched remotely. The exploit is publicly available and might be used. Upgrading to version 1.3.3-beta can resolve this issue. The name of the patch is aefaabfd7527188bfba3c8c9eee17c316d094802. Upgrading the affected component is </t>
        </is>
      </c>
      <c r="D1399" s="187" t="n">
        <v>6.3</v>
      </c>
      <c r="E1399" s="187" t="inlineStr">
        <is>
          <t>MEDIUM</t>
        </is>
      </c>
      <c r="F1399" s="187" t="n">
        <v>2</v>
      </c>
      <c r="G1399" s="187" t="n">
        <v>2</v>
      </c>
      <c r="H1399" s="187" t="inlineStr">
        <is>
          <t>MEDIUM</t>
        </is>
      </c>
      <c r="I1399" s="187" t="n">
        <v>10.3</v>
      </c>
      <c r="J1399" s="187" t="inlineStr">
        <is>
          <t>NO</t>
        </is>
      </c>
      <c r="K1399" s="187" t="inlineStr">
        <is>
          <t>https://nvd.nist.gov/vuln/detail/CVE-2026-3187</t>
        </is>
      </c>
      <c r="L1399" s="187" t="inlineStr">
        <is>
          <t>2026-02-26 00:15</t>
        </is>
      </c>
      <c r="M1399" s="187" t="inlineStr">
        <is>
          <t>CHECK_VENDOR</t>
        </is>
      </c>
      <c r="N1399" s="187" t="inlineStr">
        <is>
          <t>See NVD references</t>
        </is>
      </c>
      <c r="O1399" s="187" t="inlineStr">
        <is>
          <t>Apply vendor patches</t>
        </is>
      </c>
      <c r="P1399" s="187" t="inlineStr">
        <is>
          <t>See CVE details</t>
        </is>
      </c>
      <c r="Q1399" s="187" t="inlineStr">
        <is>
          <t>P4</t>
        </is>
      </c>
      <c r="R1399" s="187" t="inlineStr">
        <is>
          <t>📅 Schedule patch deployment within 30 days | 🔍 Monitor for exploitation attempts</t>
        </is>
      </c>
      <c r="S1399" s="187" t="inlineStr">
        <is>
          <t>CVE - IP enrichment n/a</t>
        </is>
      </c>
      <c r="T1399" s="187" t="n">
        <v>0</v>
      </c>
      <c r="U1399" s="187" t="n">
        <v>0</v>
      </c>
      <c r="V1399" s="187" t="inlineStr">
        <is>
          <t>T1190:Exploit Public-Facing Application</t>
        </is>
      </c>
      <c r="W1399" s="187" t="n">
        <v>1</v>
      </c>
      <c r="X1399" s="187" t="inlineStr">
        <is>
          <t>LOW (40%)</t>
        </is>
      </c>
      <c r="Y1399" s="187" t="inlineStr">
        <is>
          <t>UNLIKELY</t>
        </is>
      </c>
      <c r="Z1399" s="187" t="inlineStr">
        <is>
          <t>CHECK_VENDOR</t>
        </is>
      </c>
      <c r="AA1399" s="187" t="inlineStr">
        <is>
          <t>https://nvd.nist.gov/vuln/detail/CVE-2026-3187</t>
        </is>
      </c>
      <c r="AB1399" s="187" t="inlineStr">
        <is>
          <t>NONE</t>
        </is>
      </c>
      <c r="AC1399" s="187" t="n">
        <v>0</v>
      </c>
      <c r="AD1399" s="187" t="inlineStr"/>
    </row>
    <row r="1400">
      <c r="A1400" s="187" t="inlineStr">
        <is>
          <t>CVE</t>
        </is>
      </c>
      <c r="B1400" s="187" t="inlineStr">
        <is>
          <t>CVE-2026-3197</t>
        </is>
      </c>
      <c r="C1400" s="187" t="inlineStr">
        <is>
          <t>Rejected reason: ** REJECT ** DO NOT USE THIS CANDIDATE NUMBER. Reason: This candidate was issued in error. Notes: All references and descriptions in this candidate have been removed to prevent accidental usage.</t>
        </is>
      </c>
      <c r="D1400" s="187" t="n">
        <v>5</v>
      </c>
      <c r="E1400" s="187" t="inlineStr">
        <is>
          <t>MEDIUM</t>
        </is>
      </c>
      <c r="F1400" s="187" t="n">
        <v>2</v>
      </c>
      <c r="G1400" s="187" t="n">
        <v>2</v>
      </c>
      <c r="H1400" s="187" t="inlineStr">
        <is>
          <t>MEDIUM</t>
        </is>
      </c>
      <c r="I1400" s="187" t="n">
        <v>9</v>
      </c>
      <c r="J1400" s="187" t="inlineStr">
        <is>
          <t>NO</t>
        </is>
      </c>
      <c r="K1400" s="187" t="inlineStr">
        <is>
          <t>https://nvd.nist.gov/vuln/detail/CVE-2026-3197</t>
        </is>
      </c>
      <c r="L1400" s="187" t="inlineStr">
        <is>
          <t>2026-02-26 00:15</t>
        </is>
      </c>
      <c r="M1400" s="187" t="inlineStr">
        <is>
          <t>CHECK_VENDOR</t>
        </is>
      </c>
      <c r="N1400" s="187" t="inlineStr">
        <is>
          <t>See NVD references</t>
        </is>
      </c>
      <c r="O1400" s="187" t="inlineStr">
        <is>
          <t>Apply vendor patches</t>
        </is>
      </c>
      <c r="P1400" s="187" t="inlineStr">
        <is>
          <t>See CVE details</t>
        </is>
      </c>
      <c r="Q1400" s="187" t="inlineStr">
        <is>
          <t>P4</t>
        </is>
      </c>
      <c r="R1400" s="187" t="inlineStr">
        <is>
          <t>📅 Schedule patch deployment within 30 days | 🔍 Monitor for exploitation attempts</t>
        </is>
      </c>
      <c r="S1400" s="187" t="inlineStr">
        <is>
          <t>CVE - IP enrichment n/a</t>
        </is>
      </c>
      <c r="T1400" s="187" t="n">
        <v>0</v>
      </c>
      <c r="U1400" s="187" t="n">
        <v>0</v>
      </c>
      <c r="V1400" s="187" t="inlineStr">
        <is>
          <t>T1190:Exploit Public-Facing Application</t>
        </is>
      </c>
      <c r="W1400" s="187" t="n">
        <v>1</v>
      </c>
      <c r="X1400" s="187" t="inlineStr">
        <is>
          <t>LOW (40%)</t>
        </is>
      </c>
      <c r="Y1400" s="187" t="inlineStr">
        <is>
          <t>UNLIKELY</t>
        </is>
      </c>
      <c r="Z1400" s="187" t="inlineStr">
        <is>
          <t>CHECK_VENDOR</t>
        </is>
      </c>
      <c r="AA1400" s="187" t="inlineStr">
        <is>
          <t>https://nvd.nist.gov/vuln/detail/CVE-2026-3197</t>
        </is>
      </c>
      <c r="AB1400" s="187" t="inlineStr">
        <is>
          <t>NONE</t>
        </is>
      </c>
      <c r="AC1400" s="187" t="n">
        <v>0</v>
      </c>
      <c r="AD1400" s="187" t="inlineStr"/>
    </row>
    <row r="1401">
      <c r="A1401" s="187" t="inlineStr">
        <is>
          <t>CVE</t>
        </is>
      </c>
      <c r="B1401" s="187" t="inlineStr">
        <is>
          <t>CVE-2026-3201</t>
        </is>
      </c>
      <c r="C1401" s="187" t="inlineStr">
        <is>
          <t>USB HID protocol dissector memory exhaustion in Wireshark 4.6.0 to 4.6.3 and 4.4.0 to 4.4.13 allows denial of service</t>
        </is>
      </c>
      <c r="D1401" s="187" t="n">
        <v>4.7</v>
      </c>
      <c r="E1401" s="187" t="inlineStr">
        <is>
          <t>MEDIUM</t>
        </is>
      </c>
      <c r="F1401" s="187" t="n">
        <v>2</v>
      </c>
      <c r="G1401" s="187" t="n">
        <v>2</v>
      </c>
      <c r="H1401" s="187" t="inlineStr">
        <is>
          <t>MEDIUM</t>
        </is>
      </c>
      <c r="I1401" s="187" t="n">
        <v>8.699999999999999</v>
      </c>
      <c r="J1401" s="187" t="inlineStr">
        <is>
          <t>NO</t>
        </is>
      </c>
      <c r="K1401" s="187" t="inlineStr">
        <is>
          <t>https://nvd.nist.gov/vuln/detail/CVE-2026-3201</t>
        </is>
      </c>
      <c r="L1401" s="187" t="inlineStr">
        <is>
          <t>2026-02-26 00:15</t>
        </is>
      </c>
      <c r="M1401" s="187" t="inlineStr">
        <is>
          <t>CHECK_VENDOR</t>
        </is>
      </c>
      <c r="N1401" s="187" t="inlineStr">
        <is>
          <t>See NVD references</t>
        </is>
      </c>
      <c r="O1401" s="187" t="inlineStr">
        <is>
          <t>Apply vendor patches</t>
        </is>
      </c>
      <c r="P1401" s="187" t="inlineStr">
        <is>
          <t>See CVE details</t>
        </is>
      </c>
      <c r="Q1401" s="187" t="inlineStr">
        <is>
          <t>P4</t>
        </is>
      </c>
      <c r="R1401" s="187" t="inlineStr">
        <is>
          <t>📅 Schedule patch deployment within 30 days | 🔍 Monitor for exploitation attempts</t>
        </is>
      </c>
      <c r="S1401" s="187" t="inlineStr">
        <is>
          <t>CVE - IP enrichment n/a</t>
        </is>
      </c>
      <c r="T1401" s="187" t="n">
        <v>0</v>
      </c>
      <c r="U1401" s="187" t="n">
        <v>0</v>
      </c>
      <c r="V1401" s="187" t="inlineStr">
        <is>
          <t>T1499:Endpoint Denial of Service</t>
        </is>
      </c>
      <c r="W1401" s="187" t="n">
        <v>1</v>
      </c>
      <c r="X1401" s="187" t="inlineStr">
        <is>
          <t>LOW (40%)</t>
        </is>
      </c>
      <c r="Y1401" s="187" t="inlineStr">
        <is>
          <t>UNLIKELY</t>
        </is>
      </c>
      <c r="Z1401" s="187" t="inlineStr">
        <is>
          <t>CHECK_VENDOR</t>
        </is>
      </c>
      <c r="AA1401" s="187" t="inlineStr">
        <is>
          <t>https://nvd.nist.gov/vuln/detail/CVE-2026-3201</t>
        </is>
      </c>
      <c r="AB1401" s="187" t="inlineStr">
        <is>
          <t>NONE</t>
        </is>
      </c>
      <c r="AC1401" s="187" t="n">
        <v>0</v>
      </c>
      <c r="AD1401" s="187" t="inlineStr"/>
    </row>
    <row r="1402">
      <c r="A1402" s="187" t="inlineStr">
        <is>
          <t>CVE</t>
        </is>
      </c>
      <c r="B1402" s="187" t="inlineStr">
        <is>
          <t>CVE-2026-3202</t>
        </is>
      </c>
      <c r="C1402" s="187" t="inlineStr">
        <is>
          <t>NTS-KE protocol dissector crash in Wireshark 4.6.0 to 4.6.3 allows denial of service</t>
        </is>
      </c>
      <c r="D1402" s="187" t="n">
        <v>4.7</v>
      </c>
      <c r="E1402" s="187" t="inlineStr">
        <is>
          <t>MEDIUM</t>
        </is>
      </c>
      <c r="F1402" s="187" t="n">
        <v>2</v>
      </c>
      <c r="G1402" s="187" t="n">
        <v>2</v>
      </c>
      <c r="H1402" s="187" t="inlineStr">
        <is>
          <t>MEDIUM</t>
        </is>
      </c>
      <c r="I1402" s="187" t="n">
        <v>8.699999999999999</v>
      </c>
      <c r="J1402" s="187" t="inlineStr">
        <is>
          <t>NO</t>
        </is>
      </c>
      <c r="K1402" s="187" t="inlineStr">
        <is>
          <t>https://nvd.nist.gov/vuln/detail/CVE-2026-3202</t>
        </is>
      </c>
      <c r="L1402" s="187" t="inlineStr">
        <is>
          <t>2026-02-26 00:15</t>
        </is>
      </c>
      <c r="M1402" s="187" t="inlineStr">
        <is>
          <t>CHECK_VENDOR</t>
        </is>
      </c>
      <c r="N1402" s="187" t="inlineStr">
        <is>
          <t>See NVD references</t>
        </is>
      </c>
      <c r="O1402" s="187" t="inlineStr">
        <is>
          <t>Apply vendor patches</t>
        </is>
      </c>
      <c r="P1402" s="187" t="inlineStr">
        <is>
          <t>See CVE details</t>
        </is>
      </c>
      <c r="Q1402" s="187" t="inlineStr">
        <is>
          <t>P4</t>
        </is>
      </c>
      <c r="R1402" s="187" t="inlineStr">
        <is>
          <t>📅 Schedule patch deployment within 30 days | 🔍 Monitor for exploitation attempts</t>
        </is>
      </c>
      <c r="S1402" s="187" t="inlineStr">
        <is>
          <t>CVE - IP enrichment n/a</t>
        </is>
      </c>
      <c r="T1402" s="187" t="n">
        <v>0</v>
      </c>
      <c r="U1402" s="187" t="n">
        <v>0</v>
      </c>
      <c r="V1402" s="187" t="inlineStr">
        <is>
          <t>T1499:Endpoint Denial of Service</t>
        </is>
      </c>
      <c r="W1402" s="187" t="n">
        <v>1</v>
      </c>
      <c r="X1402" s="187" t="inlineStr">
        <is>
          <t>LOW (40%)</t>
        </is>
      </c>
      <c r="Y1402" s="187" t="inlineStr">
        <is>
          <t>UNLIKELY</t>
        </is>
      </c>
      <c r="Z1402" s="187" t="inlineStr">
        <is>
          <t>CHECK_VENDOR</t>
        </is>
      </c>
      <c r="AA1402" s="187" t="inlineStr">
        <is>
          <t>https://nvd.nist.gov/vuln/detail/CVE-2026-3202</t>
        </is>
      </c>
      <c r="AB1402" s="187" t="inlineStr">
        <is>
          <t>NONE</t>
        </is>
      </c>
      <c r="AC1402" s="187" t="n">
        <v>0</v>
      </c>
      <c r="AD1402" s="187" t="inlineStr"/>
    </row>
    <row r="1403">
      <c r="A1403" s="187" t="inlineStr">
        <is>
          <t>CVE</t>
        </is>
      </c>
      <c r="B1403" s="187" t="inlineStr">
        <is>
          <t>CVE-2026-3203</t>
        </is>
      </c>
      <c r="C1403" s="187" t="inlineStr">
        <is>
          <t>RF4CE Profile protocol dissector crash in Wireshark 4.6.0 to 4.6.3 and 4.4.0 to 4.4.13 allows denial of service</t>
        </is>
      </c>
      <c r="D1403" s="187" t="n">
        <v>5.5</v>
      </c>
      <c r="E1403" s="187" t="inlineStr">
        <is>
          <t>MEDIUM</t>
        </is>
      </c>
      <c r="F1403" s="187" t="n">
        <v>2</v>
      </c>
      <c r="G1403" s="187" t="n">
        <v>2</v>
      </c>
      <c r="H1403" s="187" t="inlineStr">
        <is>
          <t>MEDIUM</t>
        </is>
      </c>
      <c r="I1403" s="187" t="n">
        <v>9.5</v>
      </c>
      <c r="J1403" s="187" t="inlineStr">
        <is>
          <t>NO</t>
        </is>
      </c>
      <c r="K1403" s="187" t="inlineStr">
        <is>
          <t>https://nvd.nist.gov/vuln/detail/CVE-2026-3203</t>
        </is>
      </c>
      <c r="L1403" s="187" t="inlineStr">
        <is>
          <t>2026-02-26 00:15</t>
        </is>
      </c>
      <c r="M1403" s="187" t="inlineStr">
        <is>
          <t>CHECK_VENDOR</t>
        </is>
      </c>
      <c r="N1403" s="187" t="inlineStr">
        <is>
          <t>See NVD references</t>
        </is>
      </c>
      <c r="O1403" s="187" t="inlineStr">
        <is>
          <t>Apply vendor patches</t>
        </is>
      </c>
      <c r="P1403" s="187" t="inlineStr">
        <is>
          <t>See CVE details</t>
        </is>
      </c>
      <c r="Q1403" s="187" t="inlineStr">
        <is>
          <t>P4</t>
        </is>
      </c>
      <c r="R1403" s="187" t="inlineStr">
        <is>
          <t>📅 Schedule patch deployment within 30 days | 🔍 Monitor for exploitation attempts</t>
        </is>
      </c>
      <c r="S1403" s="187" t="inlineStr">
        <is>
          <t>CVE - IP enrichment n/a</t>
        </is>
      </c>
      <c r="T1403" s="187" t="n">
        <v>0</v>
      </c>
      <c r="U1403" s="187" t="n">
        <v>0</v>
      </c>
      <c r="V1403" s="187" t="inlineStr">
        <is>
          <t>T1499:Endpoint Denial of Service</t>
        </is>
      </c>
      <c r="W1403" s="187" t="n">
        <v>1</v>
      </c>
      <c r="X1403" s="187" t="inlineStr">
        <is>
          <t>LOW (40%)</t>
        </is>
      </c>
      <c r="Y1403" s="187" t="inlineStr">
        <is>
          <t>UNLIKELY</t>
        </is>
      </c>
      <c r="Z1403" s="187" t="inlineStr">
        <is>
          <t>CHECK_VENDOR</t>
        </is>
      </c>
      <c r="AA1403" s="187" t="inlineStr">
        <is>
          <t>https://nvd.nist.gov/vuln/detail/CVE-2026-3203</t>
        </is>
      </c>
      <c r="AB1403" s="187" t="inlineStr">
        <is>
          <t>NONE</t>
        </is>
      </c>
      <c r="AC1403" s="187" t="n">
        <v>0</v>
      </c>
      <c r="AD1403" s="187" t="inlineStr"/>
    </row>
    <row r="1404">
      <c r="A1404" s="189" t="inlineStr">
        <is>
          <t>CVE</t>
        </is>
      </c>
      <c r="B1404" s="189" t="inlineStr">
        <is>
          <t>CVE-2025-1242</t>
        </is>
      </c>
      <c r="C1404" s="189" t="inlineStr">
        <is>
          <t>The administrative credentials can be extracted through application API responses, mobile application reverse engineering, and device firmware reverse engineering. The exposure may result in an attacker gaining  full administrative access to the Gardyn IoT Hub exposing connected devices to malicious control.</t>
        </is>
      </c>
      <c r="D1404" s="189" t="n">
        <v>9.1</v>
      </c>
      <c r="E1404" s="189" t="inlineStr">
        <is>
          <t>CRITICAL</t>
        </is>
      </c>
      <c r="F1404" s="189" t="n">
        <v>2</v>
      </c>
      <c r="G1404" s="189" t="n">
        <v>3</v>
      </c>
      <c r="H1404" s="189" t="inlineStr">
        <is>
          <t>HIGH</t>
        </is>
      </c>
      <c r="I1404" s="189" t="n">
        <v>15.1</v>
      </c>
      <c r="J1404" s="189" t="inlineStr">
        <is>
          <t>NO</t>
        </is>
      </c>
      <c r="K1404" s="189" t="inlineStr">
        <is>
          <t>https://nvd.nist.gov/vuln/detail/CVE-2025-1242</t>
        </is>
      </c>
      <c r="L1404" s="189" t="inlineStr">
        <is>
          <t>2026-02-26 00:15</t>
        </is>
      </c>
      <c r="M1404" s="189" t="inlineStr">
        <is>
          <t>CHECK_VENDOR</t>
        </is>
      </c>
      <c r="N1404" s="189" t="inlineStr">
        <is>
          <t>See NVD references</t>
        </is>
      </c>
      <c r="O1404" s="189" t="inlineStr">
        <is>
          <t>Apply vendor patches</t>
        </is>
      </c>
      <c r="P1404" s="189" t="inlineStr">
        <is>
          <t>See CVE details</t>
        </is>
      </c>
      <c r="Q1404" s="189" t="inlineStr">
        <is>
          <t>P3</t>
        </is>
      </c>
      <c r="R1404" s="189" t="inlineStr">
        <is>
          <t>🚨 URGENT: Apply vendor patches immediately | 🔒 Isolate affected systems if patch unavailable | 🛡️ Enable additional monitoring/IDS rules</t>
        </is>
      </c>
      <c r="S1404" s="189" t="inlineStr">
        <is>
          <t>CVE - IP enrichment n/a</t>
        </is>
      </c>
      <c r="T1404" s="189" t="n">
        <v>0</v>
      </c>
      <c r="U1404" s="189" t="n">
        <v>0</v>
      </c>
      <c r="V1404" s="189" t="inlineStr">
        <is>
          <t>T1552:Unsecured Credentials</t>
        </is>
      </c>
      <c r="W1404" s="189" t="n">
        <v>1</v>
      </c>
      <c r="X1404" s="189" t="inlineStr">
        <is>
          <t>LOW (40%)</t>
        </is>
      </c>
      <c r="Y1404" s="189" t="inlineStr">
        <is>
          <t>UNLIKELY</t>
        </is>
      </c>
      <c r="Z1404" s="189" t="inlineStr">
        <is>
          <t>CHECK_VENDOR</t>
        </is>
      </c>
      <c r="AA1404" s="189" t="inlineStr">
        <is>
          <t>https://nvd.nist.gov/vuln/detail/CVE-2025-1242</t>
        </is>
      </c>
      <c r="AB1404" s="189" t="inlineStr">
        <is>
          <t>NONE</t>
        </is>
      </c>
      <c r="AC1404" s="189" t="n">
        <v>0</v>
      </c>
      <c r="AD1404" s="189" t="inlineStr"/>
    </row>
    <row r="1405">
      <c r="A1405" s="187" t="inlineStr">
        <is>
          <t>CVE</t>
        </is>
      </c>
      <c r="B1405" s="187" t="inlineStr">
        <is>
          <t>CVE-2025-50180</t>
        </is>
      </c>
      <c r="C1405" s="187" t="inlineStr">
        <is>
          <t>esm.sh is a no-build content delivery network (CDN) for web development. In version 136, esm.sh is vulnerable to a full-response SSRF, allowing an attacker to retrieve information from internal websites through the vulnerability. Version 137 fixes the vulnerability.</t>
        </is>
      </c>
      <c r="D1405" s="187" t="n">
        <v>5</v>
      </c>
      <c r="E1405" s="187" t="inlineStr">
        <is>
          <t>MEDIUM</t>
        </is>
      </c>
      <c r="F1405" s="187" t="n">
        <v>2</v>
      </c>
      <c r="G1405" s="187" t="n">
        <v>2</v>
      </c>
      <c r="H1405" s="187" t="inlineStr">
        <is>
          <t>MEDIUM</t>
        </is>
      </c>
      <c r="I1405" s="187" t="n">
        <v>9</v>
      </c>
      <c r="J1405" s="187" t="inlineStr">
        <is>
          <t>NO</t>
        </is>
      </c>
      <c r="K1405" s="187" t="inlineStr">
        <is>
          <t>https://nvd.nist.gov/vuln/detail/CVE-2025-50180</t>
        </is>
      </c>
      <c r="L1405" s="187" t="inlineStr">
        <is>
          <t>2026-02-26 00:15</t>
        </is>
      </c>
      <c r="M1405" s="187" t="inlineStr">
        <is>
          <t>CHECK_VENDOR</t>
        </is>
      </c>
      <c r="N1405" s="187" t="inlineStr">
        <is>
          <t>See NVD references</t>
        </is>
      </c>
      <c r="O1405" s="187" t="inlineStr">
        <is>
          <t>Apply vendor patches</t>
        </is>
      </c>
      <c r="P1405" s="187" t="inlineStr">
        <is>
          <t>See CVE details</t>
        </is>
      </c>
      <c r="Q1405" s="187" t="inlineStr">
        <is>
          <t>P4</t>
        </is>
      </c>
      <c r="R1405" s="187" t="inlineStr">
        <is>
          <t>📅 Schedule patch deployment within 30 days | 🔍 Monitor for exploitation attempts</t>
        </is>
      </c>
      <c r="S1405" s="187" t="inlineStr">
        <is>
          <t>CVE - IP enrichment n/a</t>
        </is>
      </c>
      <c r="T1405" s="187" t="n">
        <v>0</v>
      </c>
      <c r="U1405" s="187" t="n">
        <v>0</v>
      </c>
      <c r="V1405" s="187" t="inlineStr">
        <is>
          <t>T1090:Proxy</t>
        </is>
      </c>
      <c r="W1405" s="187" t="n">
        <v>1</v>
      </c>
      <c r="X1405" s="187" t="inlineStr">
        <is>
          <t>LOW (40%)</t>
        </is>
      </c>
      <c r="Y1405" s="187" t="inlineStr">
        <is>
          <t>UNLIKELY</t>
        </is>
      </c>
      <c r="Z1405" s="187" t="inlineStr">
        <is>
          <t>CHECK_VENDOR</t>
        </is>
      </c>
      <c r="AA1405" s="187" t="inlineStr">
        <is>
          <t>https://nvd.nist.gov/vuln/detail/CVE-2025-50180</t>
        </is>
      </c>
      <c r="AB1405" s="187" t="inlineStr">
        <is>
          <t>NONE</t>
        </is>
      </c>
      <c r="AC1405" s="187" t="n">
        <v>0</v>
      </c>
      <c r="AD1405" s="187" t="inlineStr"/>
    </row>
    <row r="1406">
      <c r="A1406" s="187" t="inlineStr">
        <is>
          <t>CVE</t>
        </is>
      </c>
      <c r="B1406" s="187" t="inlineStr">
        <is>
          <t>CVE-2025-69771</t>
        </is>
      </c>
      <c r="C1406" s="187" t="inlineStr">
        <is>
          <t>An arbitrary file upload vulnerability in the subtitle loading function of asbplayer v1.13.0 allows attackers to execute arbitrary code via uploading a crafted subtitle file.</t>
        </is>
      </c>
      <c r="D1406" s="187" t="n">
        <v>5</v>
      </c>
      <c r="E1406" s="187" t="inlineStr">
        <is>
          <t>MEDIUM</t>
        </is>
      </c>
      <c r="F1406" s="187" t="n">
        <v>2</v>
      </c>
      <c r="G1406" s="187" t="n">
        <v>2</v>
      </c>
      <c r="H1406" s="187" t="inlineStr">
        <is>
          <t>MEDIUM</t>
        </is>
      </c>
      <c r="I1406" s="187" t="n">
        <v>9</v>
      </c>
      <c r="J1406" s="187" t="inlineStr">
        <is>
          <t>NO</t>
        </is>
      </c>
      <c r="K1406" s="187" t="inlineStr">
        <is>
          <t>https://nvd.nist.gov/vuln/detail/CVE-2025-69771</t>
        </is>
      </c>
      <c r="L1406" s="187" t="inlineStr">
        <is>
          <t>2026-02-26 00:15</t>
        </is>
      </c>
      <c r="M1406" s="187" t="inlineStr">
        <is>
          <t>CHECK_VENDOR</t>
        </is>
      </c>
      <c r="N1406" s="187" t="inlineStr">
        <is>
          <t>See NVD references</t>
        </is>
      </c>
      <c r="O1406" s="187" t="inlineStr">
        <is>
          <t>Apply vendor patches</t>
        </is>
      </c>
      <c r="P1406" s="187" t="inlineStr">
        <is>
          <t>See CVE details</t>
        </is>
      </c>
      <c r="Q1406" s="187" t="inlineStr">
        <is>
          <t>P4</t>
        </is>
      </c>
      <c r="R1406" s="187" t="inlineStr">
        <is>
          <t>📅 Schedule patch deployment within 30 days | 🔍 Monitor for exploitation attempts</t>
        </is>
      </c>
      <c r="S1406" s="187" t="inlineStr">
        <is>
          <t>CVE - IP enrichment n/a</t>
        </is>
      </c>
      <c r="T1406" s="187" t="n">
        <v>0</v>
      </c>
      <c r="U1406" s="187" t="n">
        <v>0</v>
      </c>
      <c r="V1406" s="187" t="inlineStr">
        <is>
          <t>T1203:Exploitation for Client Execution</t>
        </is>
      </c>
      <c r="W1406" s="187" t="n">
        <v>1</v>
      </c>
      <c r="X1406" s="187" t="inlineStr">
        <is>
          <t>LOW (40%)</t>
        </is>
      </c>
      <c r="Y1406" s="187" t="inlineStr">
        <is>
          <t>UNLIKELY</t>
        </is>
      </c>
      <c r="Z1406" s="187" t="inlineStr">
        <is>
          <t>CHECK_VENDOR</t>
        </is>
      </c>
      <c r="AA1406" s="187" t="inlineStr">
        <is>
          <t>https://nvd.nist.gov/vuln/detail/CVE-2025-69771</t>
        </is>
      </c>
      <c r="AB1406" s="187" t="inlineStr">
        <is>
          <t>NONE</t>
        </is>
      </c>
      <c r="AC1406" s="187" t="n">
        <v>0</v>
      </c>
      <c r="AD1406" s="187" t="inlineStr"/>
    </row>
    <row r="1407">
      <c r="A1407" s="187" t="inlineStr">
        <is>
          <t>CVE</t>
        </is>
      </c>
      <c r="B1407" s="187" t="inlineStr">
        <is>
          <t>CVE-2026-22866</t>
        </is>
      </c>
      <c r="C1407" s="187" t="inlineStr">
        <is>
          <t>Ethereum Name Service (ENS) is a distributed, open, and extensible naming system based on the Ethereum blockchain. In versions 1.6.2 and prior, the `RSASHA256Algorithm` and `RSASHA1Algorithm` contracts fail to validate PKCS#1 v1.5 padding structure when verifying RSA signatures. The contracts only check if the last 32 (or 20) bytes of the decrypted signature match the expected hash. This enables Bleichenbacher's 2006 signature forgery attack against DNS zones using RSA keys with low public expon</t>
        </is>
      </c>
      <c r="D1407" s="187" t="n">
        <v>5</v>
      </c>
      <c r="E1407" s="187" t="inlineStr">
        <is>
          <t>MEDIUM</t>
        </is>
      </c>
      <c r="F1407" s="187" t="n">
        <v>2</v>
      </c>
      <c r="G1407" s="187" t="n">
        <v>2</v>
      </c>
      <c r="H1407" s="187" t="inlineStr">
        <is>
          <t>MEDIUM</t>
        </is>
      </c>
      <c r="I1407" s="187" t="n">
        <v>9</v>
      </c>
      <c r="J1407" s="187" t="inlineStr">
        <is>
          <t>NO</t>
        </is>
      </c>
      <c r="K1407" s="187" t="inlineStr">
        <is>
          <t>https://nvd.nist.gov/vuln/detail/CVE-2026-22866</t>
        </is>
      </c>
      <c r="L1407" s="187" t="inlineStr">
        <is>
          <t>2026-02-26 00:15</t>
        </is>
      </c>
      <c r="M1407" s="187" t="inlineStr">
        <is>
          <t>CHECK_VENDOR</t>
        </is>
      </c>
      <c r="N1407" s="187" t="inlineStr">
        <is>
          <t>See NVD references</t>
        </is>
      </c>
      <c r="O1407" s="187" t="inlineStr">
        <is>
          <t>Apply vendor patches</t>
        </is>
      </c>
      <c r="P1407" s="187" t="inlineStr">
        <is>
          <t>See CVE details</t>
        </is>
      </c>
      <c r="Q1407" s="187" t="inlineStr">
        <is>
          <t>P4</t>
        </is>
      </c>
      <c r="R1407" s="187" t="inlineStr">
        <is>
          <t>📅 Schedule patch deployment within 30 days | 🔍 Monitor for exploitation attempts</t>
        </is>
      </c>
      <c r="S1407" s="187" t="inlineStr">
        <is>
          <t>CVE - IP enrichment n/a</t>
        </is>
      </c>
      <c r="T1407" s="187" t="n">
        <v>0</v>
      </c>
      <c r="U1407" s="187" t="n">
        <v>0</v>
      </c>
      <c r="V1407" s="187" t="inlineStr">
        <is>
          <t>T1190:Exploit Public-Facing Application</t>
        </is>
      </c>
      <c r="W1407" s="187" t="n">
        <v>1</v>
      </c>
      <c r="X1407" s="187" t="inlineStr">
        <is>
          <t>LOW (40%)</t>
        </is>
      </c>
      <c r="Y1407" s="187" t="inlineStr">
        <is>
          <t>UNLIKELY</t>
        </is>
      </c>
      <c r="Z1407" s="187" t="inlineStr">
        <is>
          <t>CHECK_VENDOR</t>
        </is>
      </c>
      <c r="AA1407" s="187" t="inlineStr">
        <is>
          <t>https://nvd.nist.gov/vuln/detail/CVE-2026-22866</t>
        </is>
      </c>
      <c r="AB1407" s="187" t="inlineStr">
        <is>
          <t>NONE</t>
        </is>
      </c>
      <c r="AC1407" s="187" t="n">
        <v>0</v>
      </c>
      <c r="AD1407" s="187" t="inlineStr"/>
    </row>
    <row r="1408">
      <c r="A1408" s="188" t="inlineStr">
        <is>
          <t>CVE</t>
        </is>
      </c>
      <c r="B1408" s="188" t="inlineStr">
        <is>
          <t>CVE-2026-27700</t>
        </is>
      </c>
      <c r="C1408" s="188" t="inlineStr">
        <is>
          <t>Hono is a Web application framework that provides support for any JavaScript runtime. In versions 4.12.0 and 4.12.1, when using the AWS Lambda adapter (`hono/aws-lambda`) behind an Application Load Balancer (ALB), the `getConnInfo()` function incorrectly selected the first value from the `X-Forwarded-For` header. Because AWS ALB appends the real client IP address to the end of the `X-Forwarded-For` header, the first value can be attacker-controlled. This could allow IP-based access control mecha</t>
        </is>
      </c>
      <c r="D1408" s="188" t="n">
        <v>8.199999999999999</v>
      </c>
      <c r="E1408" s="188" t="inlineStr">
        <is>
          <t>HIGH</t>
        </is>
      </c>
      <c r="F1408" s="188" t="n">
        <v>2</v>
      </c>
      <c r="G1408" s="188" t="n">
        <v>3</v>
      </c>
      <c r="H1408" s="188" t="inlineStr">
        <is>
          <t>HIGH</t>
        </is>
      </c>
      <c r="I1408" s="188" t="n">
        <v>14.2</v>
      </c>
      <c r="J1408" s="188" t="inlineStr">
        <is>
          <t>NO</t>
        </is>
      </c>
      <c r="K1408" s="188" t="inlineStr">
        <is>
          <t>https://nvd.nist.gov/vuln/detail/CVE-2026-27700</t>
        </is>
      </c>
      <c r="L1408" s="188" t="inlineStr">
        <is>
          <t>2026-02-26 00:15</t>
        </is>
      </c>
      <c r="M1408" s="188" t="inlineStr">
        <is>
          <t>CHECK_VENDOR</t>
        </is>
      </c>
      <c r="N1408" s="188" t="inlineStr">
        <is>
          <t>See NVD references</t>
        </is>
      </c>
      <c r="O1408" s="188" t="inlineStr">
        <is>
          <t>Apply vendor patches</t>
        </is>
      </c>
      <c r="P1408" s="188" t="inlineStr">
        <is>
          <t>See CVE details</t>
        </is>
      </c>
      <c r="Q1408" s="188" t="inlineStr">
        <is>
          <t>P3</t>
        </is>
      </c>
      <c r="R1408" s="188" t="inlineStr">
        <is>
          <t>🚨 URGENT: Apply vendor patches immediately | 🔒 Isolate affected systems if patch unavailable | 🛡️ Enable additional monitoring/IDS rules</t>
        </is>
      </c>
      <c r="S1408" s="188" t="inlineStr">
        <is>
          <t>CVE - IP enrichment n/a</t>
        </is>
      </c>
      <c r="T1408" s="188" t="n">
        <v>0</v>
      </c>
      <c r="U1408" s="188" t="n">
        <v>0</v>
      </c>
      <c r="V1408" s="188" t="inlineStr">
        <is>
          <t>T1190:Exploit Public-Facing Application</t>
        </is>
      </c>
      <c r="W1408" s="188" t="n">
        <v>1</v>
      </c>
      <c r="X1408" s="188" t="inlineStr">
        <is>
          <t>LOW (40%)</t>
        </is>
      </c>
      <c r="Y1408" s="188" t="inlineStr">
        <is>
          <t>UNLIKELY</t>
        </is>
      </c>
      <c r="Z1408" s="188" t="inlineStr">
        <is>
          <t>CHECK_VENDOR</t>
        </is>
      </c>
      <c r="AA1408" s="188" t="inlineStr">
        <is>
          <t>https://nvd.nist.gov/vuln/detail/CVE-2026-27700</t>
        </is>
      </c>
      <c r="AB1408" s="188" t="inlineStr">
        <is>
          <t>NONE</t>
        </is>
      </c>
      <c r="AC1408" s="188" t="n">
        <v>0</v>
      </c>
      <c r="AD1408" s="188" t="inlineStr"/>
    </row>
    <row r="1409">
      <c r="A1409" s="188" t="inlineStr">
        <is>
          <t>CVE</t>
        </is>
      </c>
      <c r="B1409" s="188" t="inlineStr">
        <is>
          <t>CVE-2026-27701</t>
        </is>
      </c>
      <c r="C1409" s="188" t="inlineStr">
        <is>
          <t>LiveCode is an open-source, client-side code playground. Prior to commit e151c64c2bd80d2d53ac1333f1df9429fe6a1a11, LiveCode's `i18n-update-pull` GitHub Actions workflow is vulnerable to JavaScript injection. The title of the Pull Request associated with the triggering issue comment is interpolated directly into a `actions/github-script` JavaScript block using a GitHub Actions template expression. An attacker who opens a PR with a crafted title can inject arbitrary JavaScript that executes with t</t>
        </is>
      </c>
      <c r="D1409" s="188" t="n">
        <v>8.5</v>
      </c>
      <c r="E1409" s="188" t="inlineStr">
        <is>
          <t>HIGH</t>
        </is>
      </c>
      <c r="F1409" s="188" t="n">
        <v>2</v>
      </c>
      <c r="G1409" s="188" t="n">
        <v>3</v>
      </c>
      <c r="H1409" s="188" t="inlineStr">
        <is>
          <t>HIGH</t>
        </is>
      </c>
      <c r="I1409" s="188" t="n">
        <v>14.5</v>
      </c>
      <c r="J1409" s="188" t="inlineStr">
        <is>
          <t>NO</t>
        </is>
      </c>
      <c r="K1409" s="188" t="inlineStr">
        <is>
          <t>https://nvd.nist.gov/vuln/detail/CVE-2026-27701</t>
        </is>
      </c>
      <c r="L1409" s="188" t="inlineStr">
        <is>
          <t>2026-02-26 00:15</t>
        </is>
      </c>
      <c r="M1409" s="188" t="inlineStr">
        <is>
          <t>CHECK_VENDOR</t>
        </is>
      </c>
      <c r="N1409" s="188" t="inlineStr">
        <is>
          <t>See NVD references</t>
        </is>
      </c>
      <c r="O1409" s="188" t="inlineStr">
        <is>
          <t>Apply vendor patches</t>
        </is>
      </c>
      <c r="P1409" s="188" t="inlineStr">
        <is>
          <t>See CVE details</t>
        </is>
      </c>
      <c r="Q1409" s="188" t="inlineStr">
        <is>
          <t>P3</t>
        </is>
      </c>
      <c r="R1409" s="188" t="inlineStr">
        <is>
          <t>🚨 URGENT: Apply vendor patches immediately | 🔒 Isolate affected systems if patch unavailable | 🛡️ Enable additional monitoring/IDS rules</t>
        </is>
      </c>
      <c r="S1409" s="188" t="inlineStr">
        <is>
          <t>CVE - IP enrichment n/a</t>
        </is>
      </c>
      <c r="T1409" s="188" t="n">
        <v>0</v>
      </c>
      <c r="U1409" s="188" t="n">
        <v>0</v>
      </c>
      <c r="V1409" s="188" t="inlineStr">
        <is>
          <t>T1059:Command and Scripting Interpreter | T1190:Exploit Public-Facing Application</t>
        </is>
      </c>
      <c r="W1409" s="188" t="n">
        <v>1</v>
      </c>
      <c r="X1409" s="188" t="inlineStr">
        <is>
          <t>LOW (40%)</t>
        </is>
      </c>
      <c r="Y1409" s="188" t="inlineStr">
        <is>
          <t>UNLIKELY</t>
        </is>
      </c>
      <c r="Z1409" s="188" t="inlineStr">
        <is>
          <t>CHECK_VENDOR</t>
        </is>
      </c>
      <c r="AA1409" s="188" t="inlineStr">
        <is>
          <t>https://nvd.nist.gov/vuln/detail/CVE-2026-27701</t>
        </is>
      </c>
      <c r="AB1409" s="188" t="inlineStr">
        <is>
          <t>NONE</t>
        </is>
      </c>
      <c r="AC1409" s="188" t="n">
        <v>0</v>
      </c>
      <c r="AD1409" s="188" t="inlineStr"/>
    </row>
    <row r="1410">
      <c r="A1410" s="189" t="inlineStr">
        <is>
          <t>CVE</t>
        </is>
      </c>
      <c r="B1410" s="189" t="inlineStr">
        <is>
          <t>CVE-2026-27702</t>
        </is>
      </c>
      <c r="C1410" s="189" t="inlineStr">
        <is>
          <t>Budibase is a low code platform for creating internal tools, workflows, and admin panels. Prior to version 3.30.4, an unsafe `eval()` vulnerability in Budibase's view filtering implementation allows any authenticated user (including free tier accounts) to execute arbitrary JavaScript code on the server. This vulnerability ONLY affects Budibase Cloud (SaaS) - self-hosted deployments use native CouchDB views and are not vulnerable. The vulnerability exists in `packages/server/src/db/inMemoryView.t</t>
        </is>
      </c>
      <c r="D1410" s="189" t="n">
        <v>9.9</v>
      </c>
      <c r="E1410" s="189" t="inlineStr">
        <is>
          <t>CRITICAL</t>
        </is>
      </c>
      <c r="F1410" s="189" t="n">
        <v>2</v>
      </c>
      <c r="G1410" s="189" t="n">
        <v>3</v>
      </c>
      <c r="H1410" s="189" t="inlineStr">
        <is>
          <t>HIGH</t>
        </is>
      </c>
      <c r="I1410" s="189" t="n">
        <v>15.9</v>
      </c>
      <c r="J1410" s="189" t="inlineStr">
        <is>
          <t>NO</t>
        </is>
      </c>
      <c r="K1410" s="189" t="inlineStr">
        <is>
          <t>https://nvd.nist.gov/vuln/detail/CVE-2026-27702</t>
        </is>
      </c>
      <c r="L1410" s="189" t="inlineStr">
        <is>
          <t>2026-02-26 00:15</t>
        </is>
      </c>
      <c r="M1410" s="189" t="inlineStr">
        <is>
          <t>CHECK_VENDOR</t>
        </is>
      </c>
      <c r="N1410" s="189" t="inlineStr">
        <is>
          <t>See NVD references</t>
        </is>
      </c>
      <c r="O1410" s="189" t="inlineStr">
        <is>
          <t>Apply vendor patches</t>
        </is>
      </c>
      <c r="P1410" s="189" t="inlineStr">
        <is>
          <t>See CVE details</t>
        </is>
      </c>
      <c r="Q1410" s="189" t="inlineStr">
        <is>
          <t>P3</t>
        </is>
      </c>
      <c r="R1410" s="189" t="inlineStr">
        <is>
          <t>🚨 URGENT: Apply vendor patches immediately | 🔒 Isolate affected systems if patch unavailable | 🛡️ Enable additional monitoring/IDS rules</t>
        </is>
      </c>
      <c r="S1410" s="189" t="inlineStr">
        <is>
          <t>CVE - IP enrichment n/a</t>
        </is>
      </c>
      <c r="T1410" s="189" t="n">
        <v>0</v>
      </c>
      <c r="U1410" s="189" t="n">
        <v>0</v>
      </c>
      <c r="V1410" s="189" t="inlineStr">
        <is>
          <t>T1552:Unsecured Credentials</t>
        </is>
      </c>
      <c r="W1410" s="189" t="n">
        <v>1</v>
      </c>
      <c r="X1410" s="189" t="inlineStr">
        <is>
          <t>LOW (40%)</t>
        </is>
      </c>
      <c r="Y1410" s="189" t="inlineStr">
        <is>
          <t>UNLIKELY</t>
        </is>
      </c>
      <c r="Z1410" s="189" t="inlineStr">
        <is>
          <t>CHECK_VENDOR</t>
        </is>
      </c>
      <c r="AA1410" s="189" t="inlineStr">
        <is>
          <t>https://nvd.nist.gov/vuln/detail/CVE-2026-27702</t>
        </is>
      </c>
      <c r="AB1410" s="189" t="inlineStr">
        <is>
          <t>NONE</t>
        </is>
      </c>
      <c r="AC1410" s="189" t="n">
        <v>0</v>
      </c>
      <c r="AD1410" s="189" t="inlineStr"/>
    </row>
    <row r="1411">
      <c r="A1411" s="187" t="inlineStr">
        <is>
          <t>CVE</t>
        </is>
      </c>
      <c r="B1411" s="187" t="inlineStr">
        <is>
          <t>CVE-2026-27704</t>
        </is>
      </c>
      <c r="C1411" s="187" t="inlineStr">
        <is>
          <t>The Dart and Flutter SDKs provide software development kits for the Dart programming language. In versions of the Dart SDK prior to 3.11.0 and the Flutter SDK prior to version 3.41.0, when the pub client (`dart pub` and `flutter pub`) extracts a package in the pub cache, a malicious package archive can have files extracted outside the destination directory in the `PUB_CACHE`.  A fix has been landed in commit 26c6985c742593d081f8b58450f463a584a4203a. By normalizing the file path before writing fi</t>
        </is>
      </c>
      <c r="D1411" s="187" t="n">
        <v>5</v>
      </c>
      <c r="E1411" s="187" t="inlineStr">
        <is>
          <t>MEDIUM</t>
        </is>
      </c>
      <c r="F1411" s="187" t="n">
        <v>2</v>
      </c>
      <c r="G1411" s="187" t="n">
        <v>2</v>
      </c>
      <c r="H1411" s="187" t="inlineStr">
        <is>
          <t>MEDIUM</t>
        </is>
      </c>
      <c r="I1411" s="187" t="n">
        <v>9</v>
      </c>
      <c r="J1411" s="187" t="inlineStr">
        <is>
          <t>NO</t>
        </is>
      </c>
      <c r="K1411" s="187" t="inlineStr">
        <is>
          <t>https://nvd.nist.gov/vuln/detail/CVE-2026-27704</t>
        </is>
      </c>
      <c r="L1411" s="187" t="inlineStr">
        <is>
          <t>2026-02-26 00:15</t>
        </is>
      </c>
      <c r="M1411" s="187" t="inlineStr">
        <is>
          <t>CHECK_VENDOR</t>
        </is>
      </c>
      <c r="N1411" s="187" t="inlineStr">
        <is>
          <t>See NVD references</t>
        </is>
      </c>
      <c r="O1411" s="187" t="inlineStr">
        <is>
          <t>Apply vendor patches</t>
        </is>
      </c>
      <c r="P1411" s="187" t="inlineStr">
        <is>
          <t>See CVE details</t>
        </is>
      </c>
      <c r="Q1411" s="187" t="inlineStr">
        <is>
          <t>P4</t>
        </is>
      </c>
      <c r="R1411" s="187" t="inlineStr">
        <is>
          <t>📅 Schedule patch deployment within 30 days | 🔍 Monitor for exploitation attempts</t>
        </is>
      </c>
      <c r="S1411" s="187" t="inlineStr">
        <is>
          <t>CVE - IP enrichment n/a</t>
        </is>
      </c>
      <c r="T1411" s="187" t="n">
        <v>0</v>
      </c>
      <c r="U1411" s="187" t="n">
        <v>0</v>
      </c>
      <c r="V1411" s="187" t="inlineStr">
        <is>
          <t>T1083:File and Directory Discovery</t>
        </is>
      </c>
      <c r="W1411" s="187" t="n">
        <v>1</v>
      </c>
      <c r="X1411" s="187" t="inlineStr">
        <is>
          <t>LOW (40%)</t>
        </is>
      </c>
      <c r="Y1411" s="187" t="inlineStr">
        <is>
          <t>UNLIKELY</t>
        </is>
      </c>
      <c r="Z1411" s="187" t="inlineStr">
        <is>
          <t>CHECK_VENDOR</t>
        </is>
      </c>
      <c r="AA1411" s="187" t="inlineStr">
        <is>
          <t>https://nvd.nist.gov/vuln/detail/CVE-2026-27704</t>
        </is>
      </c>
      <c r="AB1411" s="187" t="inlineStr">
        <is>
          <t>NONE</t>
        </is>
      </c>
      <c r="AC1411" s="187" t="n">
        <v>0</v>
      </c>
      <c r="AD1411" s="187" t="inlineStr"/>
    </row>
    <row r="1412">
      <c r="A1412" s="188" t="inlineStr">
        <is>
          <t>CVE</t>
        </is>
      </c>
      <c r="B1412" s="188" t="inlineStr">
        <is>
          <t>CVE-2026-27730</t>
        </is>
      </c>
      <c r="C1412" s="188" t="inlineStr">
        <is>
          <t>esm.sh is a no-build content delivery network (CDN) for web development. Versions up to and including 137 have an SSRF vulnerability (CWE-918) in esm.sh’s `/http(s)` fetch route. The service tries to block localhost/internal targets, but the validation is based on hostname string checks and can be bypassed using DNS alias domains. This allows an external requester to make the esm.sh server fetch internal localhost services. As of time of publication, no known patched versions exist.</t>
        </is>
      </c>
      <c r="D1412" s="188" t="n">
        <v>8.6</v>
      </c>
      <c r="E1412" s="188" t="inlineStr">
        <is>
          <t>HIGH</t>
        </is>
      </c>
      <c r="F1412" s="188" t="n">
        <v>2</v>
      </c>
      <c r="G1412" s="188" t="n">
        <v>3</v>
      </c>
      <c r="H1412" s="188" t="inlineStr">
        <is>
          <t>HIGH</t>
        </is>
      </c>
      <c r="I1412" s="188" t="n">
        <v>14.6</v>
      </c>
      <c r="J1412" s="188" t="inlineStr">
        <is>
          <t>NO</t>
        </is>
      </c>
      <c r="K1412" s="188" t="inlineStr">
        <is>
          <t>https://nvd.nist.gov/vuln/detail/CVE-2026-27730</t>
        </is>
      </c>
      <c r="L1412" s="188" t="inlineStr">
        <is>
          <t>2026-02-26 00:15</t>
        </is>
      </c>
      <c r="M1412" s="188" t="inlineStr">
        <is>
          <t>CHECK_VENDOR</t>
        </is>
      </c>
      <c r="N1412" s="188" t="inlineStr">
        <is>
          <t>See NVD references</t>
        </is>
      </c>
      <c r="O1412" s="188" t="inlineStr">
        <is>
          <t>Apply vendor patches</t>
        </is>
      </c>
      <c r="P1412" s="188" t="inlineStr">
        <is>
          <t>See CVE details</t>
        </is>
      </c>
      <c r="Q1412" s="188" t="inlineStr">
        <is>
          <t>P3</t>
        </is>
      </c>
      <c r="R1412" s="188" t="inlineStr">
        <is>
          <t>🚨 URGENT: Apply vendor patches immediately | 🔒 Isolate affected systems if patch unavailable | 🛡️ Enable additional monitoring/IDS rules</t>
        </is>
      </c>
      <c r="S1412" s="188" t="inlineStr">
        <is>
          <t>CVE - IP enrichment n/a</t>
        </is>
      </c>
      <c r="T1412" s="188" t="n">
        <v>0</v>
      </c>
      <c r="U1412" s="188" t="n">
        <v>0</v>
      </c>
      <c r="V1412" s="188" t="inlineStr">
        <is>
          <t>T1090:Proxy</t>
        </is>
      </c>
      <c r="W1412" s="188" t="n">
        <v>1</v>
      </c>
      <c r="X1412" s="188" t="inlineStr">
        <is>
          <t>LOW (40%)</t>
        </is>
      </c>
      <c r="Y1412" s="188" t="inlineStr">
        <is>
          <t>UNLIKELY</t>
        </is>
      </c>
      <c r="Z1412" s="188" t="inlineStr">
        <is>
          <t>CHECK_VENDOR</t>
        </is>
      </c>
      <c r="AA1412" s="188" t="inlineStr">
        <is>
          <t>https://nvd.nist.gov/vuln/detail/CVE-2026-27730</t>
        </is>
      </c>
      <c r="AB1412" s="188" t="inlineStr">
        <is>
          <t>NONE</t>
        </is>
      </c>
      <c r="AC1412" s="188" t="n">
        <v>0</v>
      </c>
      <c r="AD1412" s="188" t="inlineStr"/>
    </row>
    <row r="1413">
      <c r="A1413" s="187" t="inlineStr">
        <is>
          <t>CVE</t>
        </is>
      </c>
      <c r="B1413" s="187" t="inlineStr">
        <is>
          <t>CVE-2026-27846</t>
        </is>
      </c>
      <c r="C1413" s="187" t="inlineStr">
        <is>
          <t>Due to missing authentication, a user with physical access to the device can misuse the mesh functionality for adding a new mesh device to the network 
to gain access to sensitive information, including the password for admin access to the web interface and the Wi-Fi passwords.This issue affects MR9600: 1.0.4.205530; MX4200: 1.0.13.210200.</t>
        </is>
      </c>
      <c r="D1413" s="187" t="n">
        <v>6.2</v>
      </c>
      <c r="E1413" s="187" t="inlineStr">
        <is>
          <t>MEDIUM</t>
        </is>
      </c>
      <c r="F1413" s="187" t="n">
        <v>2</v>
      </c>
      <c r="G1413" s="187" t="n">
        <v>2</v>
      </c>
      <c r="H1413" s="187" t="inlineStr">
        <is>
          <t>MEDIUM</t>
        </is>
      </c>
      <c r="I1413" s="187" t="n">
        <v>10.2</v>
      </c>
      <c r="J1413" s="187" t="inlineStr">
        <is>
          <t>NO</t>
        </is>
      </c>
      <c r="K1413" s="187" t="inlineStr">
        <is>
          <t>https://nvd.nist.gov/vuln/detail/CVE-2026-27846</t>
        </is>
      </c>
      <c r="L1413" s="187" t="inlineStr">
        <is>
          <t>2026-02-26 00:15</t>
        </is>
      </c>
      <c r="M1413" s="187" t="inlineStr">
        <is>
          <t>CHECK_VENDOR</t>
        </is>
      </c>
      <c r="N1413" s="187" t="inlineStr">
        <is>
          <t>See NVD references</t>
        </is>
      </c>
      <c r="O1413" s="187" t="inlineStr">
        <is>
          <t>Apply vendor patches</t>
        </is>
      </c>
      <c r="P1413" s="187" t="inlineStr">
        <is>
          <t>See CVE details</t>
        </is>
      </c>
      <c r="Q1413" s="187" t="inlineStr">
        <is>
          <t>P4</t>
        </is>
      </c>
      <c r="R1413" s="187" t="inlineStr">
        <is>
          <t>📅 Schedule patch deployment within 30 days | 🔍 Monitor for exploitation attempts</t>
        </is>
      </c>
      <c r="S1413" s="187" t="inlineStr">
        <is>
          <t>CVE - IP enrichment n/a</t>
        </is>
      </c>
      <c r="T1413" s="187" t="n">
        <v>0</v>
      </c>
      <c r="U1413" s="187" t="n">
        <v>0</v>
      </c>
      <c r="V1413" s="187" t="inlineStr">
        <is>
          <t>T1078:Valid Accounts</t>
        </is>
      </c>
      <c r="W1413" s="187" t="n">
        <v>1</v>
      </c>
      <c r="X1413" s="187" t="inlineStr">
        <is>
          <t>LOW (40%)</t>
        </is>
      </c>
      <c r="Y1413" s="187" t="inlineStr">
        <is>
          <t>UNLIKELY</t>
        </is>
      </c>
      <c r="Z1413" s="187" t="inlineStr">
        <is>
          <t>CHECK_VENDOR</t>
        </is>
      </c>
      <c r="AA1413" s="187" t="inlineStr">
        <is>
          <t>https://nvd.nist.gov/vuln/detail/CVE-2026-27846</t>
        </is>
      </c>
      <c r="AB1413" s="187" t="inlineStr">
        <is>
          <t>NONE</t>
        </is>
      </c>
      <c r="AC1413" s="187" t="n">
        <v>0</v>
      </c>
      <c r="AD1413" s="187" t="inlineStr"/>
    </row>
    <row r="1414">
      <c r="A1414" s="187" t="inlineStr">
        <is>
          <t>CVE</t>
        </is>
      </c>
      <c r="B1414" s="187" t="inlineStr">
        <is>
          <t>CVE-2026-27847</t>
        </is>
      </c>
      <c r="C1414" s="187" t="inlineStr">
        <is>
          <t>Due to improper neutralization of special elements, SQL statements can be injected via the handshake of a TLS-SRP connection. This can be used to inject known credentials into the database that can be utilized to successfully complete the handshake and use the protected service.
This issue affects MR9600: 1.0.4.205530; MX4200: 1.0.13.210200.</t>
        </is>
      </c>
      <c r="D1414" s="187" t="n">
        <v>5</v>
      </c>
      <c r="E1414" s="187" t="inlineStr">
        <is>
          <t>MEDIUM</t>
        </is>
      </c>
      <c r="F1414" s="187" t="n">
        <v>2</v>
      </c>
      <c r="G1414" s="187" t="n">
        <v>2</v>
      </c>
      <c r="H1414" s="187" t="inlineStr">
        <is>
          <t>MEDIUM</t>
        </is>
      </c>
      <c r="I1414" s="187" t="n">
        <v>9</v>
      </c>
      <c r="J1414" s="187" t="inlineStr">
        <is>
          <t>NO</t>
        </is>
      </c>
      <c r="K1414" s="187" t="inlineStr">
        <is>
          <t>https://nvd.nist.gov/vuln/detail/CVE-2026-27847</t>
        </is>
      </c>
      <c r="L1414" s="187" t="inlineStr">
        <is>
          <t>2026-02-26 00:15</t>
        </is>
      </c>
      <c r="M1414" s="187" t="inlineStr">
        <is>
          <t>CHECK_VENDOR</t>
        </is>
      </c>
      <c r="N1414" s="187" t="inlineStr">
        <is>
          <t>See NVD references</t>
        </is>
      </c>
      <c r="O1414" s="187" t="inlineStr">
        <is>
          <t>Apply vendor patches</t>
        </is>
      </c>
      <c r="P1414" s="187" t="inlineStr">
        <is>
          <t>See CVE details</t>
        </is>
      </c>
      <c r="Q1414" s="187" t="inlineStr">
        <is>
          <t>P4</t>
        </is>
      </c>
      <c r="R1414" s="187" t="inlineStr">
        <is>
          <t>📅 Schedule patch deployment within 30 days | 🔍 Monitor for exploitation attempts</t>
        </is>
      </c>
      <c r="S1414" s="187" t="inlineStr">
        <is>
          <t>CVE - IP enrichment n/a</t>
        </is>
      </c>
      <c r="T1414" s="187" t="n">
        <v>0</v>
      </c>
      <c r="U1414" s="187" t="n">
        <v>0</v>
      </c>
      <c r="V1414" s="187" t="inlineStr">
        <is>
          <t>T1190:Exploit Public-Facing Application | T1552:Unsecured Credentials</t>
        </is>
      </c>
      <c r="W1414" s="187" t="n">
        <v>1</v>
      </c>
      <c r="X1414" s="187" t="inlineStr">
        <is>
          <t>LOW (40%)</t>
        </is>
      </c>
      <c r="Y1414" s="187" t="inlineStr">
        <is>
          <t>UNLIKELY</t>
        </is>
      </c>
      <c r="Z1414" s="187" t="inlineStr">
        <is>
          <t>CHECK_VENDOR</t>
        </is>
      </c>
      <c r="AA1414" s="187" t="inlineStr">
        <is>
          <t>https://nvd.nist.gov/vuln/detail/CVE-2026-27847</t>
        </is>
      </c>
      <c r="AB1414" s="187" t="inlineStr">
        <is>
          <t>NONE</t>
        </is>
      </c>
      <c r="AC1414" s="187" t="n">
        <v>0</v>
      </c>
      <c r="AD1414" s="187" t="inlineStr"/>
    </row>
    <row r="1415">
      <c r="A1415" s="187" t="inlineStr">
        <is>
          <t>CVE</t>
        </is>
      </c>
      <c r="B1415" s="187" t="inlineStr">
        <is>
          <t>CVE-2026-27848</t>
        </is>
      </c>
      <c r="C1415" s="187" t="inlineStr">
        <is>
          <t>Due to missing neutralization of special elements, OS commands can be injected via the handshake of a TLS-SRP connection, which are ultimately run as the root user.
This issue affects MR9600: 1.0.4.205530; MX4200: 1.0.13.210200.</t>
        </is>
      </c>
      <c r="D1415" s="187" t="n">
        <v>5</v>
      </c>
      <c r="E1415" s="187" t="inlineStr">
        <is>
          <t>MEDIUM</t>
        </is>
      </c>
      <c r="F1415" s="187" t="n">
        <v>2</v>
      </c>
      <c r="G1415" s="187" t="n">
        <v>2</v>
      </c>
      <c r="H1415" s="187" t="inlineStr">
        <is>
          <t>MEDIUM</t>
        </is>
      </c>
      <c r="I1415" s="187" t="n">
        <v>9</v>
      </c>
      <c r="J1415" s="187" t="inlineStr">
        <is>
          <t>NO</t>
        </is>
      </c>
      <c r="K1415" s="187" t="inlineStr">
        <is>
          <t>https://nvd.nist.gov/vuln/detail/CVE-2026-27848</t>
        </is>
      </c>
      <c r="L1415" s="187" t="inlineStr">
        <is>
          <t>2026-02-26 00:15</t>
        </is>
      </c>
      <c r="M1415" s="187" t="inlineStr">
        <is>
          <t>CHECK_VENDOR</t>
        </is>
      </c>
      <c r="N1415" s="187" t="inlineStr">
        <is>
          <t>See NVD references</t>
        </is>
      </c>
      <c r="O1415" s="187" t="inlineStr">
        <is>
          <t>Apply vendor patches</t>
        </is>
      </c>
      <c r="P1415" s="187" t="inlineStr">
        <is>
          <t>See CVE details</t>
        </is>
      </c>
      <c r="Q1415" s="187" t="inlineStr">
        <is>
          <t>P4</t>
        </is>
      </c>
      <c r="R1415" s="187" t="inlineStr">
        <is>
          <t>📅 Schedule patch deployment within 30 days | 🔍 Monitor for exploitation attempts</t>
        </is>
      </c>
      <c r="S1415" s="187" t="inlineStr">
        <is>
          <t>CVE - IP enrichment n/a</t>
        </is>
      </c>
      <c r="T1415" s="187" t="n">
        <v>0</v>
      </c>
      <c r="U1415" s="187" t="n">
        <v>0</v>
      </c>
      <c r="V1415" s="187" t="inlineStr">
        <is>
          <t>T1059:Command and Scripting Interpreter</t>
        </is>
      </c>
      <c r="W1415" s="187" t="n">
        <v>1</v>
      </c>
      <c r="X1415" s="187" t="inlineStr">
        <is>
          <t>LOW (40%)</t>
        </is>
      </c>
      <c r="Y1415" s="187" t="inlineStr">
        <is>
          <t>UNLIKELY</t>
        </is>
      </c>
      <c r="Z1415" s="187" t="inlineStr">
        <is>
          <t>CHECK_VENDOR</t>
        </is>
      </c>
      <c r="AA1415" s="187" t="inlineStr">
        <is>
          <t>https://nvd.nist.gov/vuln/detail/CVE-2026-27848</t>
        </is>
      </c>
      <c r="AB1415" s="187" t="inlineStr">
        <is>
          <t>NONE</t>
        </is>
      </c>
      <c r="AC1415" s="187" t="n">
        <v>0</v>
      </c>
      <c r="AD1415" s="187" t="inlineStr"/>
    </row>
    <row r="1416">
      <c r="A1416" s="187" t="inlineStr">
        <is>
          <t>CVE</t>
        </is>
      </c>
      <c r="B1416" s="187" t="inlineStr">
        <is>
          <t>CVE-2026-3188</t>
        </is>
      </c>
      <c r="C1416" s="187" t="inlineStr">
        <is>
          <t>A security flaw has been discovered in feiyuchuixue sz-boot-parent up to 1.3.2-beta. This affects an unknown part of the file /api/admin/common/download/templates of the component API. Performing a manipulation of the argument templateName results in path traversal. Remote exploitation of the attack is possible. The exploit has been released to the public and may be used for attacks. Upgrading to version 1.3.3-beta is able to mitigate this issue. The patch is named aefaabfd7527188bfba3c8c9eee17c</t>
        </is>
      </c>
      <c r="D1416" s="187" t="n">
        <v>4.3</v>
      </c>
      <c r="E1416" s="187" t="inlineStr">
        <is>
          <t>MEDIUM</t>
        </is>
      </c>
      <c r="F1416" s="187" t="n">
        <v>2</v>
      </c>
      <c r="G1416" s="187" t="n">
        <v>2</v>
      </c>
      <c r="H1416" s="187" t="inlineStr">
        <is>
          <t>MEDIUM</t>
        </is>
      </c>
      <c r="I1416" s="187" t="n">
        <v>8.300000000000001</v>
      </c>
      <c r="J1416" s="187" t="inlineStr">
        <is>
          <t>NO</t>
        </is>
      </c>
      <c r="K1416" s="187" t="inlineStr">
        <is>
          <t>https://nvd.nist.gov/vuln/detail/CVE-2026-3188</t>
        </is>
      </c>
      <c r="L1416" s="187" t="inlineStr">
        <is>
          <t>2026-02-26 00:15</t>
        </is>
      </c>
      <c r="M1416" s="187" t="inlineStr">
        <is>
          <t>CHECK_VENDOR</t>
        </is>
      </c>
      <c r="N1416" s="187" t="inlineStr">
        <is>
          <t>See NVD references</t>
        </is>
      </c>
      <c r="O1416" s="187" t="inlineStr">
        <is>
          <t>Apply vendor patches</t>
        </is>
      </c>
      <c r="P1416" s="187" t="inlineStr">
        <is>
          <t>See CVE details</t>
        </is>
      </c>
      <c r="Q1416" s="187" t="inlineStr">
        <is>
          <t>P4</t>
        </is>
      </c>
      <c r="R1416" s="187" t="inlineStr">
        <is>
          <t>📅 Schedule patch deployment within 30 days | 🔍 Monitor for exploitation attempts</t>
        </is>
      </c>
      <c r="S1416" s="187" t="inlineStr">
        <is>
          <t>CVE - IP enrichment n/a</t>
        </is>
      </c>
      <c r="T1416" s="187" t="n">
        <v>0</v>
      </c>
      <c r="U1416" s="187" t="n">
        <v>0</v>
      </c>
      <c r="V1416" s="187" t="inlineStr">
        <is>
          <t>T1083:File and Directory Discovery</t>
        </is>
      </c>
      <c r="W1416" s="187" t="n">
        <v>1</v>
      </c>
      <c r="X1416" s="187" t="inlineStr">
        <is>
          <t>LOW (40%)</t>
        </is>
      </c>
      <c r="Y1416" s="187" t="inlineStr">
        <is>
          <t>UNLIKELY</t>
        </is>
      </c>
      <c r="Z1416" s="187" t="inlineStr">
        <is>
          <t>CHECK_VENDOR</t>
        </is>
      </c>
      <c r="AA1416" s="187" t="inlineStr">
        <is>
          <t>https://nvd.nist.gov/vuln/detail/CVE-2026-3188</t>
        </is>
      </c>
      <c r="AB1416" s="187" t="inlineStr">
        <is>
          <t>NONE</t>
        </is>
      </c>
      <c r="AC1416" s="187" t="n">
        <v>0</v>
      </c>
      <c r="AD1416" s="187" t="inlineStr"/>
    </row>
    <row r="1417">
      <c r="A1417" s="188" t="inlineStr">
        <is>
          <t>CVE</t>
        </is>
      </c>
      <c r="B1417" s="188" t="inlineStr">
        <is>
          <t>CVE-2026-3206</t>
        </is>
      </c>
      <c r="C1417" s="188" t="inlineStr">
        <is>
          <t>Improper Resource Shutdown or Release vulnerability in KrakenD, SLU KrakenD-CE (CircuitBreaker modules), KrakenD, SLU KrakenD-EE (CircuitBreaker modules). This issue affects KrakenD-CE: before 2.13.1; KrakenD-EE: before 2.12.5.</t>
        </is>
      </c>
      <c r="D1417" s="188" t="n">
        <v>8.5</v>
      </c>
      <c r="E1417" s="188" t="inlineStr">
        <is>
          <t>HIGH</t>
        </is>
      </c>
      <c r="F1417" s="188" t="n">
        <v>2</v>
      </c>
      <c r="G1417" s="188" t="n">
        <v>3</v>
      </c>
      <c r="H1417" s="188" t="inlineStr">
        <is>
          <t>HIGH</t>
        </is>
      </c>
      <c r="I1417" s="188" t="n">
        <v>14.5</v>
      </c>
      <c r="J1417" s="188" t="inlineStr">
        <is>
          <t>NO</t>
        </is>
      </c>
      <c r="K1417" s="188" t="inlineStr">
        <is>
          <t>https://nvd.nist.gov/vuln/detail/CVE-2026-3206</t>
        </is>
      </c>
      <c r="L1417" s="188" t="inlineStr">
        <is>
          <t>2026-02-26 00:15</t>
        </is>
      </c>
      <c r="M1417" s="188" t="inlineStr">
        <is>
          <t>CHECK_VENDOR</t>
        </is>
      </c>
      <c r="N1417" s="188" t="inlineStr">
        <is>
          <t>See NVD references</t>
        </is>
      </c>
      <c r="O1417" s="188" t="inlineStr">
        <is>
          <t>Apply vendor patches</t>
        </is>
      </c>
      <c r="P1417" s="188" t="inlineStr">
        <is>
          <t>See CVE details</t>
        </is>
      </c>
      <c r="Q1417" s="188" t="inlineStr">
        <is>
          <t>P3</t>
        </is>
      </c>
      <c r="R1417" s="188" t="inlineStr">
        <is>
          <t>🚨 URGENT: Apply vendor patches immediately | 🔒 Isolate affected systems if patch unavailable | 🛡️ Enable additional monitoring/IDS rules</t>
        </is>
      </c>
      <c r="S1417" s="188" t="inlineStr">
        <is>
          <t>CVE - IP enrichment n/a</t>
        </is>
      </c>
      <c r="T1417" s="188" t="n">
        <v>0</v>
      </c>
      <c r="U1417" s="188" t="n">
        <v>0</v>
      </c>
      <c r="V1417" s="188" t="inlineStr">
        <is>
          <t>T1190:Exploit Public-Facing Application</t>
        </is>
      </c>
      <c r="W1417" s="188" t="n">
        <v>1</v>
      </c>
      <c r="X1417" s="188" t="inlineStr">
        <is>
          <t>LOW (40%)</t>
        </is>
      </c>
      <c r="Y1417" s="188" t="inlineStr">
        <is>
          <t>UNLIKELY</t>
        </is>
      </c>
      <c r="Z1417" s="188" t="inlineStr">
        <is>
          <t>CHECK_VENDOR</t>
        </is>
      </c>
      <c r="AA1417" s="188" t="inlineStr">
        <is>
          <t>https://nvd.nist.gov/vuln/detail/CVE-2026-3206</t>
        </is>
      </c>
      <c r="AB1417" s="188" t="inlineStr">
        <is>
          <t>NONE</t>
        </is>
      </c>
      <c r="AC1417" s="188" t="n">
        <v>0</v>
      </c>
      <c r="AD1417" s="188" t="inlineStr"/>
    </row>
    <row r="1418">
      <c r="A1418" s="188" t="inlineStr">
        <is>
          <t>CVE</t>
        </is>
      </c>
      <c r="B1418" s="188" t="inlineStr">
        <is>
          <t>CVE-2026-20010</t>
        </is>
      </c>
      <c r="C1418" s="188" t="inlineStr">
        <is>
          <t xml:space="preserve">A vulnerability in the Link Layer Discovery Protocol (LLDP) feature of Cisco NX-OS Software could allow an unauthenticated, adjacent attacker to cause the LLDP process to restart, which could cause an affected device to reload unexpectedly.
This vulnerability is due to improper handling of specific fields in an LLDP frame. An attacker could exploit this vulnerability by sending a crafted LLDP packet to an interface of an affected device. A successful exploit could allow the attacker to cause </t>
        </is>
      </c>
      <c r="D1418" s="188" t="n">
        <v>7.4</v>
      </c>
      <c r="E1418" s="188" t="inlineStr">
        <is>
          <t>HIGH</t>
        </is>
      </c>
      <c r="F1418" s="188" t="n">
        <v>2</v>
      </c>
      <c r="G1418" s="188" t="n">
        <v>3</v>
      </c>
      <c r="H1418" s="188" t="inlineStr">
        <is>
          <t>HIGH</t>
        </is>
      </c>
      <c r="I1418" s="188" t="n">
        <v>13.4</v>
      </c>
      <c r="J1418" s="188" t="inlineStr">
        <is>
          <t>NO</t>
        </is>
      </c>
      <c r="K1418" s="188" t="inlineStr">
        <is>
          <t>https://nvd.nist.gov/vuln/detail/CVE-2026-20010</t>
        </is>
      </c>
      <c r="L1418" s="188" t="inlineStr">
        <is>
          <t>2026-02-26 00:15</t>
        </is>
      </c>
      <c r="M1418" s="188" t="inlineStr">
        <is>
          <t>CHECK_VENDOR</t>
        </is>
      </c>
      <c r="N1418" s="188" t="inlineStr">
        <is>
          <t>See NVD references</t>
        </is>
      </c>
      <c r="O1418" s="188" t="inlineStr">
        <is>
          <t>Apply vendor patches</t>
        </is>
      </c>
      <c r="P1418" s="188" t="inlineStr">
        <is>
          <t>See CVE details</t>
        </is>
      </c>
      <c r="Q1418" s="188" t="inlineStr">
        <is>
          <t>P3</t>
        </is>
      </c>
      <c r="R1418" s="188" t="inlineStr">
        <is>
          <t>🚨 URGENT: Apply vendor patches immediately | 🔒 Isolate affected systems if patch unavailable | 🛡️ Enable additional monitoring/IDS rules</t>
        </is>
      </c>
      <c r="S1418" s="188" t="inlineStr">
        <is>
          <t>CVE - IP enrichment n/a</t>
        </is>
      </c>
      <c r="T1418" s="188" t="n">
        <v>0</v>
      </c>
      <c r="U1418" s="188" t="n">
        <v>0</v>
      </c>
      <c r="V1418" s="188" t="inlineStr">
        <is>
          <t>T1499:Endpoint Denial of Service</t>
        </is>
      </c>
      <c r="W1418" s="188" t="n">
        <v>1</v>
      </c>
      <c r="X1418" s="188" t="inlineStr">
        <is>
          <t>LOW (40%)</t>
        </is>
      </c>
      <c r="Y1418" s="188" t="inlineStr">
        <is>
          <t>UNLIKELY</t>
        </is>
      </c>
      <c r="Z1418" s="188" t="inlineStr">
        <is>
          <t>CHECK_VENDOR</t>
        </is>
      </c>
      <c r="AA1418" s="188" t="inlineStr">
        <is>
          <t>https://nvd.nist.gov/vuln/detail/CVE-2026-20010</t>
        </is>
      </c>
      <c r="AB1418" s="188" t="inlineStr">
        <is>
          <t>NONE</t>
        </is>
      </c>
      <c r="AC1418" s="188" t="n">
        <v>0</v>
      </c>
      <c r="AD1418" s="188" t="inlineStr"/>
    </row>
    <row r="1419">
      <c r="A1419" s="188" t="inlineStr">
        <is>
          <t>CVE</t>
        </is>
      </c>
      <c r="B1419" s="188" t="inlineStr">
        <is>
          <t>CVE-2026-20033</t>
        </is>
      </c>
      <c r="C1419" s="188" t="inlineStr">
        <is>
          <t xml:space="preserve">A vulnerability in Cisco Nexus 9000 Series Fabric Switches in ACI mode could allow an unauthenticated, adjacent attacker to cause a denial of service (DoS) condition on an affected device.
This vulnerability is due to insufficient validation when processing specific Ethernet frames. An attacker could exploit this vulnerability by sending a crafted Ethernet frame to the&amp;nbsp;management interface of an affected device. A successful exploit could allow the attacker to cause the device to reload </t>
        </is>
      </c>
      <c r="D1419" s="188" t="n">
        <v>7.4</v>
      </c>
      <c r="E1419" s="188" t="inlineStr">
        <is>
          <t>HIGH</t>
        </is>
      </c>
      <c r="F1419" s="188" t="n">
        <v>2</v>
      </c>
      <c r="G1419" s="188" t="n">
        <v>3</v>
      </c>
      <c r="H1419" s="188" t="inlineStr">
        <is>
          <t>HIGH</t>
        </is>
      </c>
      <c r="I1419" s="188" t="n">
        <v>13.4</v>
      </c>
      <c r="J1419" s="188" t="inlineStr">
        <is>
          <t>NO</t>
        </is>
      </c>
      <c r="K1419" s="188" t="inlineStr">
        <is>
          <t>https://nvd.nist.gov/vuln/detail/CVE-2026-20033</t>
        </is>
      </c>
      <c r="L1419" s="188" t="inlineStr">
        <is>
          <t>2026-02-26 00:15</t>
        </is>
      </c>
      <c r="M1419" s="188" t="inlineStr">
        <is>
          <t>CHECK_VENDOR</t>
        </is>
      </c>
      <c r="N1419" s="188" t="inlineStr">
        <is>
          <t>See NVD references</t>
        </is>
      </c>
      <c r="O1419" s="188" t="inlineStr">
        <is>
          <t>Apply vendor patches</t>
        </is>
      </c>
      <c r="P1419" s="188" t="inlineStr">
        <is>
          <t>See CVE details</t>
        </is>
      </c>
      <c r="Q1419" s="188" t="inlineStr">
        <is>
          <t>P3</t>
        </is>
      </c>
      <c r="R1419" s="188" t="inlineStr">
        <is>
          <t>🚨 URGENT: Apply vendor patches immediately | 🔒 Isolate affected systems if patch unavailable | 🛡️ Enable additional monitoring/IDS rules</t>
        </is>
      </c>
      <c r="S1419" s="188" t="inlineStr">
        <is>
          <t>CVE - IP enrichment n/a</t>
        </is>
      </c>
      <c r="T1419" s="188" t="n">
        <v>0</v>
      </c>
      <c r="U1419" s="188" t="n">
        <v>0</v>
      </c>
      <c r="V1419" s="188" t="inlineStr">
        <is>
          <t>T1499:Endpoint Denial of Service</t>
        </is>
      </c>
      <c r="W1419" s="188" t="n">
        <v>1</v>
      </c>
      <c r="X1419" s="188" t="inlineStr">
        <is>
          <t>LOW (40%)</t>
        </is>
      </c>
      <c r="Y1419" s="188" t="inlineStr">
        <is>
          <t>UNLIKELY</t>
        </is>
      </c>
      <c r="Z1419" s="188" t="inlineStr">
        <is>
          <t>CHECK_VENDOR</t>
        </is>
      </c>
      <c r="AA1419" s="188" t="inlineStr">
        <is>
          <t>https://nvd.nist.gov/vuln/detail/CVE-2026-20033</t>
        </is>
      </c>
      <c r="AB1419" s="188" t="inlineStr">
        <is>
          <t>NONE</t>
        </is>
      </c>
      <c r="AC1419" s="188" t="n">
        <v>0</v>
      </c>
      <c r="AD1419" s="188" t="inlineStr"/>
    </row>
    <row r="1420">
      <c r="A1420" s="187" t="inlineStr">
        <is>
          <t>CVE</t>
        </is>
      </c>
      <c r="B1420" s="187" t="inlineStr">
        <is>
          <t>CVE-2026-20036</t>
        </is>
      </c>
      <c r="C1420" s="187" t="inlineStr">
        <is>
          <t xml:space="preserve">A vulnerability in the CLI and web-based management interface of Cisco UCS Manager Software could allow an authenticated, remote attacker with valid administrative privileges to execute arbitrary commands on the underlying operating system of an affected device.&amp;nbsp;
&amp;nbsp;
This vulnerability is due to insufficient input validation of command arguments that are supplied by the user. An attacker could exploit this vulnerability by authenticating to a device and submitting crafted input to the </t>
        </is>
      </c>
      <c r="D1420" s="187" t="n">
        <v>6.5</v>
      </c>
      <c r="E1420" s="187" t="inlineStr">
        <is>
          <t>MEDIUM</t>
        </is>
      </c>
      <c r="F1420" s="187" t="n">
        <v>2</v>
      </c>
      <c r="G1420" s="187" t="n">
        <v>2</v>
      </c>
      <c r="H1420" s="187" t="inlineStr">
        <is>
          <t>MEDIUM</t>
        </is>
      </c>
      <c r="I1420" s="187" t="n">
        <v>10.5</v>
      </c>
      <c r="J1420" s="187" t="inlineStr">
        <is>
          <t>NO</t>
        </is>
      </c>
      <c r="K1420" s="187" t="inlineStr">
        <is>
          <t>https://nvd.nist.gov/vuln/detail/CVE-2026-20036</t>
        </is>
      </c>
      <c r="L1420" s="187" t="inlineStr">
        <is>
          <t>2026-02-26 00:15</t>
        </is>
      </c>
      <c r="M1420" s="187" t="inlineStr">
        <is>
          <t>CHECK_VENDOR</t>
        </is>
      </c>
      <c r="N1420" s="187" t="inlineStr">
        <is>
          <t>See NVD references</t>
        </is>
      </c>
      <c r="O1420" s="187" t="inlineStr">
        <is>
          <t>Apply vendor patches</t>
        </is>
      </c>
      <c r="P1420" s="187" t="inlineStr">
        <is>
          <t>See CVE details</t>
        </is>
      </c>
      <c r="Q1420" s="187" t="inlineStr">
        <is>
          <t>P4</t>
        </is>
      </c>
      <c r="R1420" s="187" t="inlineStr">
        <is>
          <t>📅 Schedule patch deployment within 30 days | 🔍 Monitor for exploitation attempts</t>
        </is>
      </c>
      <c r="S1420" s="187" t="inlineStr">
        <is>
          <t>CVE - IP enrichment n/a</t>
        </is>
      </c>
      <c r="T1420" s="187" t="n">
        <v>0</v>
      </c>
      <c r="U1420" s="187" t="n">
        <v>0</v>
      </c>
      <c r="V1420" s="187" t="inlineStr">
        <is>
          <t>T1059:Command and Scripting Interpreter</t>
        </is>
      </c>
      <c r="W1420" s="187" t="n">
        <v>1</v>
      </c>
      <c r="X1420" s="187" t="inlineStr">
        <is>
          <t>LOW (40%)</t>
        </is>
      </c>
      <c r="Y1420" s="187" t="inlineStr">
        <is>
          <t>UNLIKELY</t>
        </is>
      </c>
      <c r="Z1420" s="187" t="inlineStr">
        <is>
          <t>CHECK_VENDOR</t>
        </is>
      </c>
      <c r="AA1420" s="187" t="inlineStr">
        <is>
          <t>https://nvd.nist.gov/vuln/detail/CVE-2026-20036</t>
        </is>
      </c>
      <c r="AB1420" s="187" t="inlineStr">
        <is>
          <t>NONE</t>
        </is>
      </c>
      <c r="AC1420" s="187" t="n">
        <v>0</v>
      </c>
      <c r="AD1420" s="187" t="inlineStr"/>
    </row>
    <row r="1421">
      <c r="A1421" s="187" t="inlineStr">
        <is>
          <t>CVE</t>
        </is>
      </c>
      <c r="B1421" s="187" t="inlineStr">
        <is>
          <t>CVE-2026-20037</t>
        </is>
      </c>
      <c r="C1421" s="187" t="inlineStr">
        <is>
          <t>A vulnerability in the NX-OS CLI privilege levels of Cisco UCS Manager Software could allow an authenticated, local attacker with read-only privileges to modify files and perform unauthorized actions on an affected system.
&amp;nbsp;
This vulnerability exists because unnecessary privileges are given to the user. An attacker could exploit this vulnerability by authenticating to a device as a read-only user and connecting to the NX-OS CLI. A successful exploit could allow the attacker to create or o</t>
        </is>
      </c>
      <c r="D1421" s="187" t="n">
        <v>4.4</v>
      </c>
      <c r="E1421" s="187" t="inlineStr">
        <is>
          <t>MEDIUM</t>
        </is>
      </c>
      <c r="F1421" s="187" t="n">
        <v>2</v>
      </c>
      <c r="G1421" s="187" t="n">
        <v>2</v>
      </c>
      <c r="H1421" s="187" t="inlineStr">
        <is>
          <t>MEDIUM</t>
        </is>
      </c>
      <c r="I1421" s="187" t="n">
        <v>8.4</v>
      </c>
      <c r="J1421" s="187" t="inlineStr">
        <is>
          <t>NO</t>
        </is>
      </c>
      <c r="K1421" s="187" t="inlineStr">
        <is>
          <t>https://nvd.nist.gov/vuln/detail/CVE-2026-20037</t>
        </is>
      </c>
      <c r="L1421" s="187" t="inlineStr">
        <is>
          <t>2026-02-26 00:15</t>
        </is>
      </c>
      <c r="M1421" s="187" t="inlineStr">
        <is>
          <t>CHECK_VENDOR</t>
        </is>
      </c>
      <c r="N1421" s="187" t="inlineStr">
        <is>
          <t>See NVD references</t>
        </is>
      </c>
      <c r="O1421" s="187" t="inlineStr">
        <is>
          <t>Apply vendor patches</t>
        </is>
      </c>
      <c r="P1421" s="187" t="inlineStr">
        <is>
          <t>See CVE details</t>
        </is>
      </c>
      <c r="Q1421" s="187" t="inlineStr">
        <is>
          <t>P4</t>
        </is>
      </c>
      <c r="R1421" s="187" t="inlineStr">
        <is>
          <t>📅 Schedule patch deployment within 30 days | 🔍 Monitor for exploitation attempts</t>
        </is>
      </c>
      <c r="S1421" s="187" t="inlineStr">
        <is>
          <t>CVE - IP enrichment n/a</t>
        </is>
      </c>
      <c r="T1421" s="187" t="n">
        <v>0</v>
      </c>
      <c r="U1421" s="187" t="n">
        <v>0</v>
      </c>
      <c r="V1421" s="187" t="inlineStr">
        <is>
          <t>T1190:Exploit Public-Facing Application</t>
        </is>
      </c>
      <c r="W1421" s="187" t="n">
        <v>1</v>
      </c>
      <c r="X1421" s="187" t="inlineStr">
        <is>
          <t>LOW (40%)</t>
        </is>
      </c>
      <c r="Y1421" s="187" t="inlineStr">
        <is>
          <t>UNLIKELY</t>
        </is>
      </c>
      <c r="Z1421" s="187" t="inlineStr">
        <is>
          <t>CHECK_VENDOR</t>
        </is>
      </c>
      <c r="AA1421" s="187" t="inlineStr">
        <is>
          <t>https://nvd.nist.gov/vuln/detail/CVE-2026-20037</t>
        </is>
      </c>
      <c r="AB1421" s="187" t="inlineStr">
        <is>
          <t>NONE</t>
        </is>
      </c>
      <c r="AC1421" s="187" t="n">
        <v>0</v>
      </c>
      <c r="AD1421" s="187" t="inlineStr"/>
    </row>
    <row r="1422">
      <c r="A1422" s="188" t="inlineStr">
        <is>
          <t>CVE</t>
        </is>
      </c>
      <c r="B1422" s="188" t="inlineStr">
        <is>
          <t>CVE-2026-20048</t>
        </is>
      </c>
      <c r="C1422" s="188" t="inlineStr">
        <is>
          <t>A vulnerability in the Simple Network Management Protocol (SNMP) subsystem of Cisco Nexus 9000 Series Fabric Switches in ACI mode could allow an authenticated, remote attacker to cause a denial of service (DoS) condition on an affected device.
This vulnerability is due to improper processing when parsing SNMP requests. An attacker could exploit this vulnerability by continuously sending SNMP queries&amp;nbsp;to a specific MIB of an affected device. A successful exploit could allow the attacker to</t>
        </is>
      </c>
      <c r="D1422" s="188" t="n">
        <v>7.7</v>
      </c>
      <c r="E1422" s="188" t="inlineStr">
        <is>
          <t>HIGH</t>
        </is>
      </c>
      <c r="F1422" s="188" t="n">
        <v>2</v>
      </c>
      <c r="G1422" s="188" t="n">
        <v>3</v>
      </c>
      <c r="H1422" s="188" t="inlineStr">
        <is>
          <t>HIGH</t>
        </is>
      </c>
      <c r="I1422" s="188" t="n">
        <v>13.7</v>
      </c>
      <c r="J1422" s="188" t="inlineStr">
        <is>
          <t>NO</t>
        </is>
      </c>
      <c r="K1422" s="188" t="inlineStr">
        <is>
          <t>https://nvd.nist.gov/vuln/detail/CVE-2026-20048</t>
        </is>
      </c>
      <c r="L1422" s="188" t="inlineStr">
        <is>
          <t>2026-02-26 00:15</t>
        </is>
      </c>
      <c r="M1422" s="188" t="inlineStr">
        <is>
          <t>CHECK_VENDOR</t>
        </is>
      </c>
      <c r="N1422" s="188" t="inlineStr">
        <is>
          <t>See NVD references</t>
        </is>
      </c>
      <c r="O1422" s="188" t="inlineStr">
        <is>
          <t>Apply vendor patches</t>
        </is>
      </c>
      <c r="P1422" s="188" t="inlineStr">
        <is>
          <t>See CVE details</t>
        </is>
      </c>
      <c r="Q1422" s="188" t="inlineStr">
        <is>
          <t>P3</t>
        </is>
      </c>
      <c r="R1422" s="188" t="inlineStr">
        <is>
          <t>🚨 URGENT: Apply vendor patches immediately | 🔒 Isolate affected systems if patch unavailable | 🛡️ Enable additional monitoring/IDS rules</t>
        </is>
      </c>
      <c r="S1422" s="188" t="inlineStr">
        <is>
          <t>CVE - IP enrichment n/a</t>
        </is>
      </c>
      <c r="T1422" s="188" t="n">
        <v>0</v>
      </c>
      <c r="U1422" s="188" t="n">
        <v>0</v>
      </c>
      <c r="V1422" s="188" t="inlineStr">
        <is>
          <t>T1552:Unsecured Credentials | T1499:Endpoint Denial of Service</t>
        </is>
      </c>
      <c r="W1422" s="188" t="n">
        <v>1</v>
      </c>
      <c r="X1422" s="188" t="inlineStr">
        <is>
          <t>LOW (40%)</t>
        </is>
      </c>
      <c r="Y1422" s="188" t="inlineStr">
        <is>
          <t>UNLIKELY</t>
        </is>
      </c>
      <c r="Z1422" s="188" t="inlineStr">
        <is>
          <t>CHECK_VENDOR</t>
        </is>
      </c>
      <c r="AA1422" s="188" t="inlineStr">
        <is>
          <t>https://nvd.nist.gov/vuln/detail/CVE-2026-20048</t>
        </is>
      </c>
      <c r="AB1422" s="188" t="inlineStr">
        <is>
          <t>NONE</t>
        </is>
      </c>
      <c r="AC1422" s="188" t="n">
        <v>0</v>
      </c>
      <c r="AD1422" s="188" t="inlineStr"/>
    </row>
    <row r="1423">
      <c r="A1423" s="188" t="inlineStr">
        <is>
          <t>CVE</t>
        </is>
      </c>
      <c r="B1423" s="188" t="inlineStr">
        <is>
          <t>CVE-2026-20051</t>
        </is>
      </c>
      <c r="C1423" s="188" t="inlineStr">
        <is>
          <t>A vulnerability with the Ethernet VPN (EVPN) Layer 2 ingress packet processing of Cisco Nexus 3600 Platform Switches and Cisco Nexus 9500-R Series Switching Platforms could allow an unauthenticated, adjacent attacker to trigger a Layer 2 traffic loop.
This vulnerability is due to a logic error when processing a crafted Layer 2 ingress frame. An attacker could exploit this vulnerability by sending a stream of crafted Ethernet frames through the targeted device. A successful exploit could allow</t>
        </is>
      </c>
      <c r="D1423" s="188" t="n">
        <v>7.4</v>
      </c>
      <c r="E1423" s="188" t="inlineStr">
        <is>
          <t>HIGH</t>
        </is>
      </c>
      <c r="F1423" s="188" t="n">
        <v>2</v>
      </c>
      <c r="G1423" s="188" t="n">
        <v>3</v>
      </c>
      <c r="H1423" s="188" t="inlineStr">
        <is>
          <t>HIGH</t>
        </is>
      </c>
      <c r="I1423" s="188" t="n">
        <v>13.4</v>
      </c>
      <c r="J1423" s="188" t="inlineStr">
        <is>
          <t>NO</t>
        </is>
      </c>
      <c r="K1423" s="188" t="inlineStr">
        <is>
          <t>https://nvd.nist.gov/vuln/detail/CVE-2026-20051</t>
        </is>
      </c>
      <c r="L1423" s="188" t="inlineStr">
        <is>
          <t>2026-02-26 00:15</t>
        </is>
      </c>
      <c r="M1423" s="188" t="inlineStr">
        <is>
          <t>CHECK_VENDOR</t>
        </is>
      </c>
      <c r="N1423" s="188" t="inlineStr">
        <is>
          <t>See NVD references</t>
        </is>
      </c>
      <c r="O1423" s="188" t="inlineStr">
        <is>
          <t>Apply vendor patches</t>
        </is>
      </c>
      <c r="P1423" s="188" t="inlineStr">
        <is>
          <t>See CVE details</t>
        </is>
      </c>
      <c r="Q1423" s="188" t="inlineStr">
        <is>
          <t>P3</t>
        </is>
      </c>
      <c r="R1423" s="188" t="inlineStr">
        <is>
          <t>🚨 URGENT: Apply vendor patches immediately | 🔒 Isolate affected systems if patch unavailable | 🛡️ Enable additional monitoring/IDS rules</t>
        </is>
      </c>
      <c r="S1423" s="188" t="inlineStr">
        <is>
          <t>CVE - IP enrichment n/a</t>
        </is>
      </c>
      <c r="T1423" s="188" t="n">
        <v>0</v>
      </c>
      <c r="U1423" s="188" t="n">
        <v>0</v>
      </c>
      <c r="V1423" s="188" t="inlineStr">
        <is>
          <t>T1499:Endpoint Denial of Service | T1133:External Remote Services</t>
        </is>
      </c>
      <c r="W1423" s="188" t="n">
        <v>1</v>
      </c>
      <c r="X1423" s="188" t="inlineStr">
        <is>
          <t>LOW (40%)</t>
        </is>
      </c>
      <c r="Y1423" s="188" t="inlineStr">
        <is>
          <t>UNLIKELY</t>
        </is>
      </c>
      <c r="Z1423" s="188" t="inlineStr">
        <is>
          <t>CHECK_VENDOR</t>
        </is>
      </c>
      <c r="AA1423" s="188" t="inlineStr">
        <is>
          <t>https://nvd.nist.gov/vuln/detail/CVE-2026-20051</t>
        </is>
      </c>
      <c r="AB1423" s="188" t="inlineStr">
        <is>
          <t>NONE</t>
        </is>
      </c>
      <c r="AC1423" s="188" t="n">
        <v>0</v>
      </c>
      <c r="AD1423" s="188" t="inlineStr"/>
    </row>
    <row r="1424">
      <c r="A1424" s="187" t="inlineStr">
        <is>
          <t>CVE</t>
        </is>
      </c>
      <c r="B1424" s="187" t="inlineStr">
        <is>
          <t>CVE-2026-20091</t>
        </is>
      </c>
      <c r="C1424" s="187" t="inlineStr">
        <is>
          <t>A vulnerability in the web-based management interface of Cisco FXOS Software and Cisco UCS Manager Software could allow an authenticated, remote attacker to conduct a stored cross-site scripting (XSS) attack against a user of the interface.
This vulnerability is due to insufficient validation of user-supplied input by the web-based management interface of an affected system. An attacker could exploit this vulnerability by injecting malicious data into specific pages of the interface. A succes</t>
        </is>
      </c>
      <c r="D1424" s="187" t="n">
        <v>4.8</v>
      </c>
      <c r="E1424" s="187" t="inlineStr">
        <is>
          <t>MEDIUM</t>
        </is>
      </c>
      <c r="F1424" s="187" t="n">
        <v>2</v>
      </c>
      <c r="G1424" s="187" t="n">
        <v>2</v>
      </c>
      <c r="H1424" s="187" t="inlineStr">
        <is>
          <t>MEDIUM</t>
        </is>
      </c>
      <c r="I1424" s="187" t="n">
        <v>8.800000000000001</v>
      </c>
      <c r="J1424" s="187" t="inlineStr">
        <is>
          <t>NO</t>
        </is>
      </c>
      <c r="K1424" s="187" t="inlineStr">
        <is>
          <t>https://nvd.nist.gov/vuln/detail/CVE-2026-20091</t>
        </is>
      </c>
      <c r="L1424" s="187" t="inlineStr">
        <is>
          <t>2026-02-26 00:15</t>
        </is>
      </c>
      <c r="M1424" s="187" t="inlineStr">
        <is>
          <t>CHECK_VENDOR</t>
        </is>
      </c>
      <c r="N1424" s="187" t="inlineStr">
        <is>
          <t>See NVD references</t>
        </is>
      </c>
      <c r="O1424" s="187" t="inlineStr">
        <is>
          <t>Apply vendor patches</t>
        </is>
      </c>
      <c r="P1424" s="187" t="inlineStr">
        <is>
          <t>See CVE details</t>
        </is>
      </c>
      <c r="Q1424" s="187" t="inlineStr">
        <is>
          <t>P4</t>
        </is>
      </c>
      <c r="R1424" s="187" t="inlineStr">
        <is>
          <t>📅 Schedule patch deployment within 30 days | 🔍 Monitor for exploitation attempts</t>
        </is>
      </c>
      <c r="S1424" s="187" t="inlineStr">
        <is>
          <t>CVE - IP enrichment n/a</t>
        </is>
      </c>
      <c r="T1424" s="187" t="n">
        <v>0</v>
      </c>
      <c r="U1424" s="187" t="n">
        <v>0</v>
      </c>
      <c r="V1424" s="187" t="inlineStr">
        <is>
          <t>T1189:Drive-by Compromise | T1552:Unsecured Credentials</t>
        </is>
      </c>
      <c r="W1424" s="187" t="n">
        <v>1</v>
      </c>
      <c r="X1424" s="187" t="inlineStr">
        <is>
          <t>LOW (40%)</t>
        </is>
      </c>
      <c r="Y1424" s="187" t="inlineStr">
        <is>
          <t>UNLIKELY</t>
        </is>
      </c>
      <c r="Z1424" s="187" t="inlineStr">
        <is>
          <t>CHECK_VENDOR</t>
        </is>
      </c>
      <c r="AA1424" s="187" t="inlineStr">
        <is>
          <t>https://nvd.nist.gov/vuln/detail/CVE-2026-20091</t>
        </is>
      </c>
      <c r="AB1424" s="187" t="inlineStr">
        <is>
          <t>NONE</t>
        </is>
      </c>
      <c r="AC1424" s="187" t="n">
        <v>0</v>
      </c>
      <c r="AD1424" s="187" t="inlineStr"/>
    </row>
    <row r="1425">
      <c r="A1425" s="187" t="inlineStr">
        <is>
          <t>CVE</t>
        </is>
      </c>
      <c r="B1425" s="187" t="inlineStr">
        <is>
          <t>CVE-2026-20099</t>
        </is>
      </c>
      <c r="C1425" s="187" t="inlineStr">
        <is>
          <t xml:space="preserve">A vulnerability in the web-based management interface of Cisco FXOS Software and Cisco&amp;nbsp;UCS Manager Software could allow an authenticated, local attacker with administrative privileges to perform command injection attacks on an affected system and elevate privileges to&amp;nbsp;root.&amp;nbsp;
This vulnerability is due to insufficient input validation of command arguments supplied by the user. An attacker could exploit this vulnerability by authenticating to a device and submitting crafted input </t>
        </is>
      </c>
      <c r="D1425" s="187" t="n">
        <v>6.7</v>
      </c>
      <c r="E1425" s="187" t="inlineStr">
        <is>
          <t>MEDIUM</t>
        </is>
      </c>
      <c r="F1425" s="187" t="n">
        <v>2</v>
      </c>
      <c r="G1425" s="187" t="n">
        <v>2</v>
      </c>
      <c r="H1425" s="187" t="inlineStr">
        <is>
          <t>MEDIUM</t>
        </is>
      </c>
      <c r="I1425" s="187" t="n">
        <v>10.7</v>
      </c>
      <c r="J1425" s="187" t="inlineStr">
        <is>
          <t>NO</t>
        </is>
      </c>
      <c r="K1425" s="187" t="inlineStr">
        <is>
          <t>https://nvd.nist.gov/vuln/detail/CVE-2026-20099</t>
        </is>
      </c>
      <c r="L1425" s="187" t="inlineStr">
        <is>
          <t>2026-02-26 00:15</t>
        </is>
      </c>
      <c r="M1425" s="187" t="inlineStr">
        <is>
          <t>CHECK_VENDOR</t>
        </is>
      </c>
      <c r="N1425" s="187" t="inlineStr">
        <is>
          <t>See NVD references</t>
        </is>
      </c>
      <c r="O1425" s="187" t="inlineStr">
        <is>
          <t>Apply vendor patches</t>
        </is>
      </c>
      <c r="P1425" s="187" t="inlineStr">
        <is>
          <t>See CVE details</t>
        </is>
      </c>
      <c r="Q1425" s="187" t="inlineStr">
        <is>
          <t>P4</t>
        </is>
      </c>
      <c r="R1425" s="187" t="inlineStr">
        <is>
          <t>📅 Schedule patch deployment within 30 days | 🔍 Monitor for exploitation attempts</t>
        </is>
      </c>
      <c r="S1425" s="187" t="inlineStr">
        <is>
          <t>CVE - IP enrichment n/a</t>
        </is>
      </c>
      <c r="T1425" s="187" t="n">
        <v>0</v>
      </c>
      <c r="U1425" s="187" t="n">
        <v>0</v>
      </c>
      <c r="V1425" s="187" t="inlineStr">
        <is>
          <t>T1059:Command and Scripting Interpreter</t>
        </is>
      </c>
      <c r="W1425" s="187" t="n">
        <v>1</v>
      </c>
      <c r="X1425" s="187" t="inlineStr">
        <is>
          <t>LOW (40%)</t>
        </is>
      </c>
      <c r="Y1425" s="187" t="inlineStr">
        <is>
          <t>UNLIKELY</t>
        </is>
      </c>
      <c r="Z1425" s="187" t="inlineStr">
        <is>
          <t>CHECK_VENDOR</t>
        </is>
      </c>
      <c r="AA1425" s="187" t="inlineStr">
        <is>
          <t>https://nvd.nist.gov/vuln/detail/CVE-2026-20099</t>
        </is>
      </c>
      <c r="AB1425" s="187" t="inlineStr">
        <is>
          <t>NONE</t>
        </is>
      </c>
      <c r="AC1425" s="187" t="n">
        <v>0</v>
      </c>
      <c r="AD1425" s="187" t="inlineStr"/>
    </row>
    <row r="1426">
      <c r="A1426" s="187" t="inlineStr">
        <is>
          <t>CVE</t>
        </is>
      </c>
      <c r="B1426" s="187" t="inlineStr">
        <is>
          <t>CVE-2026-20107</t>
        </is>
      </c>
      <c r="C1426" s="187" t="inlineStr">
        <is>
          <t>A vulnerability in the Object Model CLI component of Cisco Application Policy Infrastructure Controller (APIC) could allow an authenticated, local attacker to cause an affected device to reload unexpectedly, resulting in a denial of service (DoS) condition. To exploit this vulnerability, the attacker must have valid user credentials and any role that includes CLI access.
This vulnerability is due to insufficient input validation. An attacker could exploit this vulnerability by issuing crafted</t>
        </is>
      </c>
      <c r="D1426" s="187" t="n">
        <v>5.5</v>
      </c>
      <c r="E1426" s="187" t="inlineStr">
        <is>
          <t>MEDIUM</t>
        </is>
      </c>
      <c r="F1426" s="187" t="n">
        <v>2</v>
      </c>
      <c r="G1426" s="187" t="n">
        <v>2</v>
      </c>
      <c r="H1426" s="187" t="inlineStr">
        <is>
          <t>MEDIUM</t>
        </is>
      </c>
      <c r="I1426" s="187" t="n">
        <v>9.5</v>
      </c>
      <c r="J1426" s="187" t="inlineStr">
        <is>
          <t>NO</t>
        </is>
      </c>
      <c r="K1426" s="187" t="inlineStr">
        <is>
          <t>https://nvd.nist.gov/vuln/detail/CVE-2026-20107</t>
        </is>
      </c>
      <c r="L1426" s="187" t="inlineStr">
        <is>
          <t>2026-02-26 00:15</t>
        </is>
      </c>
      <c r="M1426" s="187" t="inlineStr">
        <is>
          <t>CHECK_VENDOR</t>
        </is>
      </c>
      <c r="N1426" s="187" t="inlineStr">
        <is>
          <t>See NVD references</t>
        </is>
      </c>
      <c r="O1426" s="187" t="inlineStr">
        <is>
          <t>Apply vendor patches</t>
        </is>
      </c>
      <c r="P1426" s="187" t="inlineStr">
        <is>
          <t>See CVE details</t>
        </is>
      </c>
      <c r="Q1426" s="187" t="inlineStr">
        <is>
          <t>P4</t>
        </is>
      </c>
      <c r="R1426" s="187" t="inlineStr">
        <is>
          <t>📅 Schedule patch deployment within 30 days | 🔍 Monitor for exploitation attempts</t>
        </is>
      </c>
      <c r="S1426" s="187" t="inlineStr">
        <is>
          <t>CVE - IP enrichment n/a</t>
        </is>
      </c>
      <c r="T1426" s="187" t="n">
        <v>0</v>
      </c>
      <c r="U1426" s="187" t="n">
        <v>0</v>
      </c>
      <c r="V1426" s="187" t="inlineStr">
        <is>
          <t>T1552:Unsecured Credentials | T1499:Endpoint Denial of Service</t>
        </is>
      </c>
      <c r="W1426" s="187" t="n">
        <v>1</v>
      </c>
      <c r="X1426" s="187" t="inlineStr">
        <is>
          <t>LOW (40%)</t>
        </is>
      </c>
      <c r="Y1426" s="187" t="inlineStr">
        <is>
          <t>UNLIKELY</t>
        </is>
      </c>
      <c r="Z1426" s="187" t="inlineStr">
        <is>
          <t>CHECK_VENDOR</t>
        </is>
      </c>
      <c r="AA1426" s="187" t="inlineStr">
        <is>
          <t>https://nvd.nist.gov/vuln/detail/CVE-2026-20107</t>
        </is>
      </c>
      <c r="AB1426" s="187" t="inlineStr">
        <is>
          <t>NONE</t>
        </is>
      </c>
      <c r="AC1426" s="187" t="n">
        <v>0</v>
      </c>
      <c r="AD1426" s="187" t="inlineStr"/>
    </row>
    <row r="1427">
      <c r="A1427" s="187" t="inlineStr">
        <is>
          <t>CVE</t>
        </is>
      </c>
      <c r="B1427" s="187" t="inlineStr">
        <is>
          <t>CVE-2026-20122</t>
        </is>
      </c>
      <c r="C1427" s="187" t="inlineStr">
        <is>
          <t>A vulnerability in the API of Cisco Catalyst SD-WAN Manager could allow an authenticated, remote attacker to overwrite arbitrary files on the local file system. To exploit this vulnerability, the attacker must have valid read-only credentials with API access on the affected system.
This vulnerability is due to improper file handling on the API interface of an affected system. An attacker could exploit this vulnerability by uploading a malicious file on the local file system. A successful expl</t>
        </is>
      </c>
      <c r="D1427" s="187" t="n">
        <v>5.4</v>
      </c>
      <c r="E1427" s="187" t="inlineStr">
        <is>
          <t>MEDIUM</t>
        </is>
      </c>
      <c r="F1427" s="187" t="n">
        <v>2</v>
      </c>
      <c r="G1427" s="187" t="n">
        <v>2</v>
      </c>
      <c r="H1427" s="187" t="inlineStr">
        <is>
          <t>MEDIUM</t>
        </is>
      </c>
      <c r="I1427" s="187" t="n">
        <v>9.4</v>
      </c>
      <c r="J1427" s="187" t="inlineStr">
        <is>
          <t>NO</t>
        </is>
      </c>
      <c r="K1427" s="187" t="inlineStr">
        <is>
          <t>https://nvd.nist.gov/vuln/detail/CVE-2026-20122</t>
        </is>
      </c>
      <c r="L1427" s="187" t="inlineStr">
        <is>
          <t>2026-02-26 00:15</t>
        </is>
      </c>
      <c r="M1427" s="187" t="inlineStr">
        <is>
          <t>CHECK_VENDOR</t>
        </is>
      </c>
      <c r="N1427" s="187" t="inlineStr">
        <is>
          <t>See NVD references</t>
        </is>
      </c>
      <c r="O1427" s="187" t="inlineStr">
        <is>
          <t>Apply vendor patches</t>
        </is>
      </c>
      <c r="P1427" s="187" t="inlineStr">
        <is>
          <t>See CVE details</t>
        </is>
      </c>
      <c r="Q1427" s="187" t="inlineStr">
        <is>
          <t>P4</t>
        </is>
      </c>
      <c r="R1427" s="187" t="inlineStr">
        <is>
          <t>📅 Schedule patch deployment within 30 days | 🔍 Monitor for exploitation attempts</t>
        </is>
      </c>
      <c r="S1427" s="187" t="inlineStr">
        <is>
          <t>CVE - IP enrichment n/a</t>
        </is>
      </c>
      <c r="T1427" s="187" t="n">
        <v>0</v>
      </c>
      <c r="U1427" s="187" t="n">
        <v>0</v>
      </c>
      <c r="V1427" s="187" t="inlineStr">
        <is>
          <t>T1552:Unsecured Credentials</t>
        </is>
      </c>
      <c r="W1427" s="187" t="n">
        <v>1</v>
      </c>
      <c r="X1427" s="187" t="inlineStr">
        <is>
          <t>LOW (40%)</t>
        </is>
      </c>
      <c r="Y1427" s="187" t="inlineStr">
        <is>
          <t>UNLIKELY</t>
        </is>
      </c>
      <c r="Z1427" s="187" t="inlineStr">
        <is>
          <t>CHECK_VENDOR</t>
        </is>
      </c>
      <c r="AA1427" s="187" t="inlineStr">
        <is>
          <t>https://nvd.nist.gov/vuln/detail/CVE-2026-20122</t>
        </is>
      </c>
      <c r="AB1427" s="187" t="inlineStr">
        <is>
          <t>NONE</t>
        </is>
      </c>
      <c r="AC1427" s="187" t="n">
        <v>0</v>
      </c>
      <c r="AD1427" s="187" t="inlineStr"/>
    </row>
    <row r="1428">
      <c r="A1428" s="188" t="inlineStr">
        <is>
          <t>CVE</t>
        </is>
      </c>
      <c r="B1428" s="188" t="inlineStr">
        <is>
          <t>CVE-2026-20126</t>
        </is>
      </c>
      <c r="C1428" s="188" t="inlineStr">
        <is>
          <t>A vulnerability in Cisco Catalyst SD-WAN Manager could allow an authenticated, local attacker with low privileges to gain root privileges on the underlying operating system.
This vulnerability is due to an insufficient user authentication mechanism in the REST API. An attacker could exploit this vulnerability by sending a request to the REST API of the affected system. A successful exploit could allow the attacker to&amp;nbsp;gain root privileges on the underlying operating system.</t>
        </is>
      </c>
      <c r="D1428" s="188" t="n">
        <v>8.800000000000001</v>
      </c>
      <c r="E1428" s="188" t="inlineStr">
        <is>
          <t>HIGH</t>
        </is>
      </c>
      <c r="F1428" s="188" t="n">
        <v>2</v>
      </c>
      <c r="G1428" s="188" t="n">
        <v>3</v>
      </c>
      <c r="H1428" s="188" t="inlineStr">
        <is>
          <t>HIGH</t>
        </is>
      </c>
      <c r="I1428" s="188" t="n">
        <v>14.8</v>
      </c>
      <c r="J1428" s="188" t="inlineStr">
        <is>
          <t>NO</t>
        </is>
      </c>
      <c r="K1428" s="188" t="inlineStr">
        <is>
          <t>https://nvd.nist.gov/vuln/detail/CVE-2026-20126</t>
        </is>
      </c>
      <c r="L1428" s="188" t="inlineStr">
        <is>
          <t>2026-02-26 00:15</t>
        </is>
      </c>
      <c r="M1428" s="188" t="inlineStr">
        <is>
          <t>CHECK_VENDOR</t>
        </is>
      </c>
      <c r="N1428" s="188" t="inlineStr">
        <is>
          <t>See NVD references</t>
        </is>
      </c>
      <c r="O1428" s="188" t="inlineStr">
        <is>
          <t>Apply vendor patches</t>
        </is>
      </c>
      <c r="P1428" s="188" t="inlineStr">
        <is>
          <t>See CVE details</t>
        </is>
      </c>
      <c r="Q1428" s="188" t="inlineStr">
        <is>
          <t>P3</t>
        </is>
      </c>
      <c r="R1428" s="188" t="inlineStr">
        <is>
          <t>🚨 URGENT: Apply vendor patches immediately | 🔒 Isolate affected systems if patch unavailable | 🛡️ Enable additional monitoring/IDS rules</t>
        </is>
      </c>
      <c r="S1428" s="188" t="inlineStr">
        <is>
          <t>CVE - IP enrichment n/a</t>
        </is>
      </c>
      <c r="T1428" s="188" t="n">
        <v>0</v>
      </c>
      <c r="U1428" s="188" t="n">
        <v>0</v>
      </c>
      <c r="V1428" s="188" t="inlineStr">
        <is>
          <t>T1190:Exploit Public-Facing Application</t>
        </is>
      </c>
      <c r="W1428" s="188" t="n">
        <v>1</v>
      </c>
      <c r="X1428" s="188" t="inlineStr">
        <is>
          <t>LOW (40%)</t>
        </is>
      </c>
      <c r="Y1428" s="188" t="inlineStr">
        <is>
          <t>UNLIKELY</t>
        </is>
      </c>
      <c r="Z1428" s="188" t="inlineStr">
        <is>
          <t>CHECK_VENDOR</t>
        </is>
      </c>
      <c r="AA1428" s="188" t="inlineStr">
        <is>
          <t>https://nvd.nist.gov/vuln/detail/CVE-2026-20126</t>
        </is>
      </c>
      <c r="AB1428" s="188" t="inlineStr">
        <is>
          <t>NONE</t>
        </is>
      </c>
      <c r="AC1428" s="188" t="n">
        <v>0</v>
      </c>
      <c r="AD1428" s="188" t="inlineStr"/>
    </row>
    <row r="1429">
      <c r="A1429" s="189" t="inlineStr">
        <is>
          <t>CVE</t>
        </is>
      </c>
      <c r="B1429" s="189" t="inlineStr">
        <is>
          <t>CVE-2026-20127</t>
        </is>
      </c>
      <c r="C1429" s="189" t="inlineStr">
        <is>
          <t xml:space="preserve">A vulnerability in the peering authentication in Cisco Catalyst SD-WAN Controller, formerly SD-WAN vSmart, and Cisco Catalyst SD-WAN Manager, formerly SD-WAN vManage, could allow an unauthenticated, remote attacker to bypass authentication and obtain administrative privileges on an affected system.
This vulnerability exists because the peering authentication mechanism in an affected system is not working properly. An attacker could exploit this vulnerability by sending crafted requests to an </t>
        </is>
      </c>
      <c r="D1429" s="189" t="n">
        <v>10</v>
      </c>
      <c r="E1429" s="189" t="inlineStr">
        <is>
          <t>CRITICAL</t>
        </is>
      </c>
      <c r="F1429" s="189" t="n">
        <v>3</v>
      </c>
      <c r="G1429" s="189" t="n">
        <v>3</v>
      </c>
      <c r="H1429" s="189" t="inlineStr">
        <is>
          <t>CRITICAL</t>
        </is>
      </c>
      <c r="I1429" s="189" t="n">
        <v>19</v>
      </c>
      <c r="J1429" s="189" t="inlineStr">
        <is>
          <t>YES</t>
        </is>
      </c>
      <c r="K1429" s="189" t="inlineStr">
        <is>
          <t>https://nvd.nist.gov/vuln/detail/CVE-2026-20127</t>
        </is>
      </c>
      <c r="L1429" s="189" t="inlineStr">
        <is>
          <t>2026-02-26 00:15</t>
        </is>
      </c>
      <c r="M1429" s="189" t="inlineStr">
        <is>
          <t>CHECK_VENDOR</t>
        </is>
      </c>
      <c r="N1429" s="189" t="inlineStr">
        <is>
          <t>See NVD references</t>
        </is>
      </c>
      <c r="O1429" s="189" t="inlineStr">
        <is>
          <t>Apply vendor patches</t>
        </is>
      </c>
      <c r="P1429" s="189" t="inlineStr">
        <is>
          <t>See CVE details</t>
        </is>
      </c>
      <c r="Q1429" s="189" t="inlineStr">
        <is>
          <t>P1</t>
        </is>
      </c>
      <c r="R1429" s="189" t="inlineStr">
        <is>
          <t>🚨 URGENT: Apply vendor patches immediately | 🔒 Isolate affected systems if patch unavailable | 🛡️ Enable additional monitoring/IDS rules</t>
        </is>
      </c>
      <c r="S1429" s="189" t="inlineStr">
        <is>
          <t>CVE - IP enrichment n/a</t>
        </is>
      </c>
      <c r="T1429" s="189" t="n">
        <v>0</v>
      </c>
      <c r="U1429" s="189" t="n">
        <v>0</v>
      </c>
      <c r="V1429" s="189" t="inlineStr">
        <is>
          <t>T1078:Valid Accounts | T1110:Brute Force</t>
        </is>
      </c>
      <c r="W1429" s="189" t="n">
        <v>2</v>
      </c>
      <c r="X1429" s="189" t="inlineStr">
        <is>
          <t>HIGH (72%)</t>
        </is>
      </c>
      <c r="Y1429" s="189" t="inlineStr">
        <is>
          <t>CONFIRMED</t>
        </is>
      </c>
      <c r="Z1429" s="189" t="inlineStr">
        <is>
          <t>CHECK_VENDOR</t>
        </is>
      </c>
      <c r="AA1429" s="189" t="inlineStr">
        <is>
          <t>https://nvd.nist.gov/vuln/detail/CVE-2026-20127</t>
        </is>
      </c>
      <c r="AB1429" s="189" t="inlineStr">
        <is>
          <t>NONE</t>
        </is>
      </c>
      <c r="AC1429" s="189" t="n">
        <v>0</v>
      </c>
      <c r="AD1429" s="189" t="inlineStr">
        <is>
          <t>[BleepingComputer] Critical Cisco SD-WAN bug exploited in zero-day attacks since 2023</t>
        </is>
      </c>
    </row>
    <row r="1430">
      <c r="A1430" s="188" t="inlineStr">
        <is>
          <t>CVE</t>
        </is>
      </c>
      <c r="B1430" s="188" t="inlineStr">
        <is>
          <t>CVE-2026-20128</t>
        </is>
      </c>
      <c r="C1430" s="188" t="inlineStr">
        <is>
          <t>A vulnerability in the Data Collection Agent (DCA) feature of Cisco Catalyst SD-WAN Manager could allow an authenticated, local attacker to gain DCA user privileges on an affected system. To exploit this vulnerability, the attacker must have valid&amp;nbsp;vmanage credentials on the affected system.
This vulnerability is due to the presence of a credential file for the DCA user on an affected system. An attacker could exploit this vulnerability by accessing the filesystem as a low-privileged user</t>
        </is>
      </c>
      <c r="D1430" s="188" t="n">
        <v>7.5</v>
      </c>
      <c r="E1430" s="188" t="inlineStr">
        <is>
          <t>HIGH</t>
        </is>
      </c>
      <c r="F1430" s="188" t="n">
        <v>2</v>
      </c>
      <c r="G1430" s="188" t="n">
        <v>3</v>
      </c>
      <c r="H1430" s="188" t="inlineStr">
        <is>
          <t>HIGH</t>
        </is>
      </c>
      <c r="I1430" s="188" t="n">
        <v>13.5</v>
      </c>
      <c r="J1430" s="188" t="inlineStr">
        <is>
          <t>NO</t>
        </is>
      </c>
      <c r="K1430" s="188" t="inlineStr">
        <is>
          <t>https://nvd.nist.gov/vuln/detail/CVE-2026-20128</t>
        </is>
      </c>
      <c r="L1430" s="188" t="inlineStr">
        <is>
          <t>2026-02-26 00:15</t>
        </is>
      </c>
      <c r="M1430" s="188" t="inlineStr">
        <is>
          <t>CHECK_VENDOR</t>
        </is>
      </c>
      <c r="N1430" s="188" t="inlineStr">
        <is>
          <t>See NVD references</t>
        </is>
      </c>
      <c r="O1430" s="188" t="inlineStr">
        <is>
          <t>Apply vendor patches</t>
        </is>
      </c>
      <c r="P1430" s="188" t="inlineStr">
        <is>
          <t>See CVE details</t>
        </is>
      </c>
      <c r="Q1430" s="188" t="inlineStr">
        <is>
          <t>P3</t>
        </is>
      </c>
      <c r="R1430" s="188" t="inlineStr">
        <is>
          <t>🚨 URGENT: Apply vendor patches immediately | 🔒 Isolate affected systems if patch unavailable | 🛡️ Enable additional monitoring/IDS rules</t>
        </is>
      </c>
      <c r="S1430" s="188" t="inlineStr">
        <is>
          <t>CVE - IP enrichment n/a</t>
        </is>
      </c>
      <c r="T1430" s="188" t="n">
        <v>0</v>
      </c>
      <c r="U1430" s="188" t="n">
        <v>0</v>
      </c>
      <c r="V1430" s="188" t="inlineStr">
        <is>
          <t>T1552:Unsecured Credentials</t>
        </is>
      </c>
      <c r="W1430" s="188" t="n">
        <v>1</v>
      </c>
      <c r="X1430" s="188" t="inlineStr">
        <is>
          <t>LOW (40%)</t>
        </is>
      </c>
      <c r="Y1430" s="188" t="inlineStr">
        <is>
          <t>UNLIKELY</t>
        </is>
      </c>
      <c r="Z1430" s="188" t="inlineStr">
        <is>
          <t>CHECK_VENDOR</t>
        </is>
      </c>
      <c r="AA1430" s="188" t="inlineStr">
        <is>
          <t>https://nvd.nist.gov/vuln/detail/CVE-2026-20128</t>
        </is>
      </c>
      <c r="AB1430" s="188" t="inlineStr">
        <is>
          <t>NONE</t>
        </is>
      </c>
      <c r="AC1430" s="188" t="n">
        <v>0</v>
      </c>
      <c r="AD1430" s="188" t="inlineStr"/>
    </row>
    <row r="1431">
      <c r="A1431" s="189" t="inlineStr">
        <is>
          <t>CVE</t>
        </is>
      </c>
      <c r="B1431" s="189" t="inlineStr">
        <is>
          <t>CVE-2026-20129</t>
        </is>
      </c>
      <c r="C1431" s="189" t="inlineStr">
        <is>
          <t>A vulnerability in the API user authentication of Cisco Catalyst SD-WAN Manager could allow an unauthenticated, remote attacker to gain access to an affected system as a user who has the&amp;nbsp;netadmin role.
The vulnerability is due to improper authentication for requests that are sent to the API. An attacker could exploit this vulnerability by sending a crafted request to the API of an affected system. A successful exploit could allow the attacker to execute commands with the privileges of th</t>
        </is>
      </c>
      <c r="D1431" s="189" t="n">
        <v>9.800000000000001</v>
      </c>
      <c r="E1431" s="189" t="inlineStr">
        <is>
          <t>CRITICAL</t>
        </is>
      </c>
      <c r="F1431" s="189" t="n">
        <v>2</v>
      </c>
      <c r="G1431" s="189" t="n">
        <v>3</v>
      </c>
      <c r="H1431" s="189" t="inlineStr">
        <is>
          <t>HIGH</t>
        </is>
      </c>
      <c r="I1431" s="189" t="n">
        <v>15.8</v>
      </c>
      <c r="J1431" s="189" t="inlineStr">
        <is>
          <t>NO</t>
        </is>
      </c>
      <c r="K1431" s="189" t="inlineStr">
        <is>
          <t>https://nvd.nist.gov/vuln/detail/CVE-2026-20129</t>
        </is>
      </c>
      <c r="L1431" s="189" t="inlineStr">
        <is>
          <t>2026-02-26 00:15</t>
        </is>
      </c>
      <c r="M1431" s="189" t="inlineStr">
        <is>
          <t>CHECK_VENDOR</t>
        </is>
      </c>
      <c r="N1431" s="189" t="inlineStr">
        <is>
          <t>See NVD references</t>
        </is>
      </c>
      <c r="O1431" s="189" t="inlineStr">
        <is>
          <t>Apply vendor patches</t>
        </is>
      </c>
      <c r="P1431" s="189" t="inlineStr">
        <is>
          <t>See CVE details</t>
        </is>
      </c>
      <c r="Q1431" s="189" t="inlineStr">
        <is>
          <t>P3</t>
        </is>
      </c>
      <c r="R1431" s="189" t="inlineStr">
        <is>
          <t>🚨 URGENT: Apply vendor patches immediately | 🔒 Isolate affected systems if patch unavailable | 🛡️ Enable additional monitoring/IDS rules</t>
        </is>
      </c>
      <c r="S1431" s="189" t="inlineStr">
        <is>
          <t>CVE - IP enrichment n/a</t>
        </is>
      </c>
      <c r="T1431" s="189" t="n">
        <v>0</v>
      </c>
      <c r="U1431" s="189" t="n">
        <v>0</v>
      </c>
      <c r="V1431" s="189" t="inlineStr">
        <is>
          <t>T1078:Valid Accounts | T1110:Brute Force</t>
        </is>
      </c>
      <c r="W1431" s="189" t="n">
        <v>1</v>
      </c>
      <c r="X1431" s="189" t="inlineStr">
        <is>
          <t>LOW (40%)</t>
        </is>
      </c>
      <c r="Y1431" s="189" t="inlineStr">
        <is>
          <t>UNLIKELY</t>
        </is>
      </c>
      <c r="Z1431" s="189" t="inlineStr">
        <is>
          <t>CHECK_VENDOR</t>
        </is>
      </c>
      <c r="AA1431" s="189" t="inlineStr">
        <is>
          <t>https://nvd.nist.gov/vuln/detail/CVE-2026-20129</t>
        </is>
      </c>
      <c r="AB1431" s="189" t="inlineStr">
        <is>
          <t>NONE</t>
        </is>
      </c>
      <c r="AC1431" s="189" t="n">
        <v>0</v>
      </c>
      <c r="AD1431" s="189" t="inlineStr"/>
    </row>
    <row r="1432">
      <c r="A1432" s="187" t="inlineStr">
        <is>
          <t>CVE</t>
        </is>
      </c>
      <c r="B1432" s="187" t="inlineStr">
        <is>
          <t>CVE-2026-20133</t>
        </is>
      </c>
      <c r="C1432" s="187" t="inlineStr">
        <is>
          <t>A vulnerability in Cisco Catalyst SD-WAN Manager could allow an unauthenticated, remote attacker to view sensitive information on an affected system.
This vulnerability is due to insufficient file system access restrictions. An attacker could exploit this vulnerability by accessing the API of an affected system. A successful exploit could allow the attacker to read sensitive information on the underlying operating system.</t>
        </is>
      </c>
      <c r="D1432" s="187" t="n">
        <v>6.5</v>
      </c>
      <c r="E1432" s="187" t="inlineStr">
        <is>
          <t>MEDIUM</t>
        </is>
      </c>
      <c r="F1432" s="187" t="n">
        <v>2</v>
      </c>
      <c r="G1432" s="187" t="n">
        <v>2</v>
      </c>
      <c r="H1432" s="187" t="inlineStr">
        <is>
          <t>MEDIUM</t>
        </is>
      </c>
      <c r="I1432" s="187" t="n">
        <v>10.5</v>
      </c>
      <c r="J1432" s="187" t="inlineStr">
        <is>
          <t>NO</t>
        </is>
      </c>
      <c r="K1432" s="187" t="inlineStr">
        <is>
          <t>https://nvd.nist.gov/vuln/detail/CVE-2026-20133</t>
        </is>
      </c>
      <c r="L1432" s="187" t="inlineStr">
        <is>
          <t>2026-02-26 00:15</t>
        </is>
      </c>
      <c r="M1432" s="187" t="inlineStr">
        <is>
          <t>CHECK_VENDOR</t>
        </is>
      </c>
      <c r="N1432" s="187" t="inlineStr">
        <is>
          <t>See NVD references</t>
        </is>
      </c>
      <c r="O1432" s="187" t="inlineStr">
        <is>
          <t>Apply vendor patches</t>
        </is>
      </c>
      <c r="P1432" s="187" t="inlineStr">
        <is>
          <t>See CVE details</t>
        </is>
      </c>
      <c r="Q1432" s="187" t="inlineStr">
        <is>
          <t>P4</t>
        </is>
      </c>
      <c r="R1432" s="187" t="inlineStr">
        <is>
          <t>📅 Schedule patch deployment within 30 days | 🔍 Monitor for exploitation attempts</t>
        </is>
      </c>
      <c r="S1432" s="187" t="inlineStr">
        <is>
          <t>CVE - IP enrichment n/a</t>
        </is>
      </c>
      <c r="T1432" s="187" t="n">
        <v>0</v>
      </c>
      <c r="U1432" s="187" t="n">
        <v>0</v>
      </c>
      <c r="V1432" s="187" t="inlineStr">
        <is>
          <t>T1213:Data from Information Repositories</t>
        </is>
      </c>
      <c r="W1432" s="187" t="n">
        <v>1</v>
      </c>
      <c r="X1432" s="187" t="inlineStr">
        <is>
          <t>LOW (40%)</t>
        </is>
      </c>
      <c r="Y1432" s="187" t="inlineStr">
        <is>
          <t>UNLIKELY</t>
        </is>
      </c>
      <c r="Z1432" s="187" t="inlineStr">
        <is>
          <t>CHECK_VENDOR</t>
        </is>
      </c>
      <c r="AA1432" s="187" t="inlineStr">
        <is>
          <t>https://nvd.nist.gov/vuln/detail/CVE-2026-20133</t>
        </is>
      </c>
      <c r="AB1432" s="187" t="inlineStr">
        <is>
          <t>NONE</t>
        </is>
      </c>
      <c r="AC1432" s="187" t="n">
        <v>0</v>
      </c>
      <c r="AD1432" s="187" t="inlineStr"/>
    </row>
    <row r="1433">
      <c r="A1433" s="187" t="inlineStr">
        <is>
          <t>CVE</t>
        </is>
      </c>
      <c r="B1433" s="187" t="inlineStr">
        <is>
          <t>CVE-2026-26717</t>
        </is>
      </c>
      <c r="C1433" s="187" t="inlineStr">
        <is>
          <t>An issue in OpenFUN Richie (LMS) in src/richie/apps/courses/api.py. The application used the non-constant time == operator for HMAC signature verification in the sync_course_run_from_request function. This allows remote attackers to forge valid signatures and bypass authentication by measuring response time discrepancies</t>
        </is>
      </c>
      <c r="D1433" s="187" t="n">
        <v>5</v>
      </c>
      <c r="E1433" s="187" t="inlineStr">
        <is>
          <t>MEDIUM</t>
        </is>
      </c>
      <c r="F1433" s="187" t="n">
        <v>2</v>
      </c>
      <c r="G1433" s="187" t="n">
        <v>2</v>
      </c>
      <c r="H1433" s="187" t="inlineStr">
        <is>
          <t>MEDIUM</t>
        </is>
      </c>
      <c r="I1433" s="187" t="n">
        <v>9</v>
      </c>
      <c r="J1433" s="187" t="inlineStr">
        <is>
          <t>NO</t>
        </is>
      </c>
      <c r="K1433" s="187" t="inlineStr">
        <is>
          <t>https://nvd.nist.gov/vuln/detail/CVE-2026-26717</t>
        </is>
      </c>
      <c r="L1433" s="187" t="inlineStr">
        <is>
          <t>2026-02-26 00:15</t>
        </is>
      </c>
      <c r="M1433" s="187" t="inlineStr">
        <is>
          <t>CHECK_VENDOR</t>
        </is>
      </c>
      <c r="N1433" s="187" t="inlineStr">
        <is>
          <t>See NVD references</t>
        </is>
      </c>
      <c r="O1433" s="187" t="inlineStr">
        <is>
          <t>Apply vendor patches</t>
        </is>
      </c>
      <c r="P1433" s="187" t="inlineStr">
        <is>
          <t>See CVE details</t>
        </is>
      </c>
      <c r="Q1433" s="187" t="inlineStr">
        <is>
          <t>P4</t>
        </is>
      </c>
      <c r="R1433" s="187" t="inlineStr">
        <is>
          <t>📅 Schedule patch deployment within 30 days | 🔍 Monitor for exploitation attempts</t>
        </is>
      </c>
      <c r="S1433" s="187" t="inlineStr">
        <is>
          <t>CVE - IP enrichment n/a</t>
        </is>
      </c>
      <c r="T1433" s="187" t="n">
        <v>0</v>
      </c>
      <c r="U1433" s="187" t="n">
        <v>0</v>
      </c>
      <c r="V1433" s="187" t="inlineStr">
        <is>
          <t>T1190:Exploit Public-Facing Application</t>
        </is>
      </c>
      <c r="W1433" s="187" t="n">
        <v>1</v>
      </c>
      <c r="X1433" s="187" t="inlineStr">
        <is>
          <t>LOW (40%)</t>
        </is>
      </c>
      <c r="Y1433" s="187" t="inlineStr">
        <is>
          <t>UNLIKELY</t>
        </is>
      </c>
      <c r="Z1433" s="187" t="inlineStr">
        <is>
          <t>CHECK_VENDOR</t>
        </is>
      </c>
      <c r="AA1433" s="187" t="inlineStr">
        <is>
          <t>https://nvd.nist.gov/vuln/detail/CVE-2026-26717</t>
        </is>
      </c>
      <c r="AB1433" s="187" t="inlineStr">
        <is>
          <t>NONE</t>
        </is>
      </c>
      <c r="AC1433" s="187" t="n">
        <v>0</v>
      </c>
      <c r="AD1433" s="187" t="inlineStr"/>
    </row>
    <row r="1434">
      <c r="A1434" s="188" t="inlineStr">
        <is>
          <t>CVE</t>
        </is>
      </c>
      <c r="B1434" s="188" t="inlineStr">
        <is>
          <t>CVE-2026-27705</t>
        </is>
      </c>
      <c r="C1434" s="188" t="inlineStr">
        <is>
          <t>Plane is an an open-source project management tool. Prior to version 1.2.2, the `ProjectAssetEndpoint.patch()` method in `apps/api/plane/app/views/asset/v2.py` (lines 579–593) performs a global asset lookup using only the asset ID (`pk`) via `FileAsset.objects.get(id=pk)`, without verifying that the asset belongs to the workspace and project specified in the URL path. This allows any authenticated user (including those with the GUEST role) to modify the `attributes` and `is_uploaded` status of a</t>
        </is>
      </c>
      <c r="D1434" s="188" t="n">
        <v>8.5</v>
      </c>
      <c r="E1434" s="188" t="inlineStr">
        <is>
          <t>HIGH</t>
        </is>
      </c>
      <c r="F1434" s="188" t="n">
        <v>2</v>
      </c>
      <c r="G1434" s="188" t="n">
        <v>3</v>
      </c>
      <c r="H1434" s="188" t="inlineStr">
        <is>
          <t>HIGH</t>
        </is>
      </c>
      <c r="I1434" s="188" t="n">
        <v>14.5</v>
      </c>
      <c r="J1434" s="188" t="inlineStr">
        <is>
          <t>NO</t>
        </is>
      </c>
      <c r="K1434" s="188" t="inlineStr">
        <is>
          <t>https://nvd.nist.gov/vuln/detail/CVE-2026-27705</t>
        </is>
      </c>
      <c r="L1434" s="188" t="inlineStr">
        <is>
          <t>2026-02-26 00:15</t>
        </is>
      </c>
      <c r="M1434" s="188" t="inlineStr">
        <is>
          <t>CHECK_VENDOR</t>
        </is>
      </c>
      <c r="N1434" s="188" t="inlineStr">
        <is>
          <t>See NVD references</t>
        </is>
      </c>
      <c r="O1434" s="188" t="inlineStr">
        <is>
          <t>Apply vendor patches</t>
        </is>
      </c>
      <c r="P1434" s="188" t="inlineStr">
        <is>
          <t>See CVE details</t>
        </is>
      </c>
      <c r="Q1434" s="188" t="inlineStr">
        <is>
          <t>P3</t>
        </is>
      </c>
      <c r="R1434" s="188" t="inlineStr">
        <is>
          <t>🚨 URGENT: Apply vendor patches immediately | 🔒 Isolate affected systems if patch unavailable | 🛡️ Enable additional monitoring/IDS rules</t>
        </is>
      </c>
      <c r="S1434" s="188" t="inlineStr">
        <is>
          <t>CVE - IP enrichment n/a</t>
        </is>
      </c>
      <c r="T1434" s="188" t="n">
        <v>0</v>
      </c>
      <c r="U1434" s="188" t="n">
        <v>0</v>
      </c>
      <c r="V1434" s="188" t="inlineStr">
        <is>
          <t>T1190:Exploit Public-Facing Application</t>
        </is>
      </c>
      <c r="W1434" s="188" t="n">
        <v>1</v>
      </c>
      <c r="X1434" s="188" t="inlineStr">
        <is>
          <t>LOW (40%)</t>
        </is>
      </c>
      <c r="Y1434" s="188" t="inlineStr">
        <is>
          <t>UNLIKELY</t>
        </is>
      </c>
      <c r="Z1434" s="188" t="inlineStr">
        <is>
          <t>CHECK_VENDOR</t>
        </is>
      </c>
      <c r="AA1434" s="188" t="inlineStr">
        <is>
          <t>https://nvd.nist.gov/vuln/detail/CVE-2026-27705</t>
        </is>
      </c>
      <c r="AB1434" s="188" t="inlineStr">
        <is>
          <t>NONE</t>
        </is>
      </c>
      <c r="AC1434" s="188" t="n">
        <v>0</v>
      </c>
      <c r="AD1434" s="188" t="inlineStr"/>
    </row>
    <row r="1435">
      <c r="A1435" s="188" t="inlineStr">
        <is>
          <t>CVE</t>
        </is>
      </c>
      <c r="B1435" s="188" t="inlineStr">
        <is>
          <t>CVE-2026-27706</t>
        </is>
      </c>
      <c r="C1435" s="188" t="inlineStr">
        <is>
          <t>Plane is an an open-source project management tool. Prior to version 1.2.2, a Full Read Server-Side Request Forgery (SSRF) vulnerability has been identified in the "Add Link" feature. This flaw allows an authenticated attacker with general user privileges to send arbitrary GET requests to the internal network and exfiltrate the full response body. By exploiting this vulnerability, an attacker can steal sensitive data from internal services and cloud metadata endpoints. Version 1.2.2 fixes the is</t>
        </is>
      </c>
      <c r="D1435" s="188" t="n">
        <v>7.7</v>
      </c>
      <c r="E1435" s="188" t="inlineStr">
        <is>
          <t>HIGH</t>
        </is>
      </c>
      <c r="F1435" s="188" t="n">
        <v>2</v>
      </c>
      <c r="G1435" s="188" t="n">
        <v>3</v>
      </c>
      <c r="H1435" s="188" t="inlineStr">
        <is>
          <t>HIGH</t>
        </is>
      </c>
      <c r="I1435" s="188" t="n">
        <v>13.7</v>
      </c>
      <c r="J1435" s="188" t="inlineStr">
        <is>
          <t>NO</t>
        </is>
      </c>
      <c r="K1435" s="188" t="inlineStr">
        <is>
          <t>https://nvd.nist.gov/vuln/detail/CVE-2026-27706</t>
        </is>
      </c>
      <c r="L1435" s="188" t="inlineStr">
        <is>
          <t>2026-02-26 00:15</t>
        </is>
      </c>
      <c r="M1435" s="188" t="inlineStr">
        <is>
          <t>CHECK_VENDOR</t>
        </is>
      </c>
      <c r="N1435" s="188" t="inlineStr">
        <is>
          <t>See NVD references</t>
        </is>
      </c>
      <c r="O1435" s="188" t="inlineStr">
        <is>
          <t>Apply vendor patches</t>
        </is>
      </c>
      <c r="P1435" s="188" t="inlineStr">
        <is>
          <t>See CVE details</t>
        </is>
      </c>
      <c r="Q1435" s="188" t="inlineStr">
        <is>
          <t>P3</t>
        </is>
      </c>
      <c r="R1435" s="188" t="inlineStr">
        <is>
          <t>🚨 URGENT: Apply vendor patches immediately | 🔒 Isolate affected systems if patch unavailable | 🛡️ Enable additional monitoring/IDS rules</t>
        </is>
      </c>
      <c r="S1435" s="188" t="inlineStr">
        <is>
          <t>CVE - IP enrichment n/a</t>
        </is>
      </c>
      <c r="T1435" s="188" t="n">
        <v>0</v>
      </c>
      <c r="U1435" s="188" t="n">
        <v>0</v>
      </c>
      <c r="V1435" s="188" t="inlineStr">
        <is>
          <t>T1090:Proxy | T1190:Exploit Public-Facing Application</t>
        </is>
      </c>
      <c r="W1435" s="188" t="n">
        <v>1</v>
      </c>
      <c r="X1435" s="188" t="inlineStr">
        <is>
          <t>LOW (40%)</t>
        </is>
      </c>
      <c r="Y1435" s="188" t="inlineStr">
        <is>
          <t>UNLIKELY</t>
        </is>
      </c>
      <c r="Z1435" s="188" t="inlineStr">
        <is>
          <t>CHECK_VENDOR</t>
        </is>
      </c>
      <c r="AA1435" s="188" t="inlineStr">
        <is>
          <t>https://nvd.nist.gov/vuln/detail/CVE-2026-27706</t>
        </is>
      </c>
      <c r="AB1435" s="188" t="inlineStr">
        <is>
          <t>NONE</t>
        </is>
      </c>
      <c r="AC1435" s="188" t="n">
        <v>0</v>
      </c>
      <c r="AD1435" s="188" t="inlineStr"/>
    </row>
    <row r="1436">
      <c r="A1436" s="187" t="inlineStr">
        <is>
          <t>CVE</t>
        </is>
      </c>
      <c r="B1436" s="187" t="inlineStr">
        <is>
          <t>CVE-2026-27727</t>
        </is>
      </c>
      <c r="C1436" s="187" t="inlineStr">
        <is>
          <t>mchange-commons-java, a library that provides Java utilities, includes code that mirrors early implementations of JNDI functionality, including support for remote `factoryClassLocation` values, by which code can be downloaded and invoked within a running application. If an attacker can provoke an application to read a maliciously crafted `jaxax.naming.Reference` or serialized object, they can provoke the download and execution of malicious code. Implementations of this functionality within the J</t>
        </is>
      </c>
      <c r="D1436" s="187" t="n">
        <v>5</v>
      </c>
      <c r="E1436" s="187" t="inlineStr">
        <is>
          <t>MEDIUM</t>
        </is>
      </c>
      <c r="F1436" s="187" t="n">
        <v>2</v>
      </c>
      <c r="G1436" s="187" t="n">
        <v>2</v>
      </c>
      <c r="H1436" s="187" t="inlineStr">
        <is>
          <t>MEDIUM</t>
        </is>
      </c>
      <c r="I1436" s="187" t="n">
        <v>9</v>
      </c>
      <c r="J1436" s="187" t="inlineStr">
        <is>
          <t>NO</t>
        </is>
      </c>
      <c r="K1436" s="187" t="inlineStr">
        <is>
          <t>https://nvd.nist.gov/vuln/detail/CVE-2026-27727</t>
        </is>
      </c>
      <c r="L1436" s="187" t="inlineStr">
        <is>
          <t>2026-02-26 00:15</t>
        </is>
      </c>
      <c r="M1436" s="187" t="inlineStr">
        <is>
          <t>CHECK_VENDOR</t>
        </is>
      </c>
      <c r="N1436" s="187" t="inlineStr">
        <is>
          <t>See NVD references</t>
        </is>
      </c>
      <c r="O1436" s="187" t="inlineStr">
        <is>
          <t>Apply vendor patches</t>
        </is>
      </c>
      <c r="P1436" s="187" t="inlineStr">
        <is>
          <t>See CVE details</t>
        </is>
      </c>
      <c r="Q1436" s="187" t="inlineStr">
        <is>
          <t>P4</t>
        </is>
      </c>
      <c r="R1436" s="187" t="inlineStr">
        <is>
          <t>📅 Schedule patch deployment within 30 days | 🔍 Monitor for exploitation attempts</t>
        </is>
      </c>
      <c r="S1436" s="187" t="inlineStr">
        <is>
          <t>CVE - IP enrichment n/a</t>
        </is>
      </c>
      <c r="T1436" s="187" t="n">
        <v>0</v>
      </c>
      <c r="U1436" s="187" t="n">
        <v>0</v>
      </c>
      <c r="V1436" s="187" t="inlineStr">
        <is>
          <t>T1190:Exploit Public-Facing Application</t>
        </is>
      </c>
      <c r="W1436" s="187" t="n">
        <v>1</v>
      </c>
      <c r="X1436" s="187" t="inlineStr">
        <is>
          <t>LOW (40%)</t>
        </is>
      </c>
      <c r="Y1436" s="187" t="inlineStr">
        <is>
          <t>UNLIKELY</t>
        </is>
      </c>
      <c r="Z1436" s="187" t="inlineStr">
        <is>
          <t>CHECK_VENDOR</t>
        </is>
      </c>
      <c r="AA1436" s="187" t="inlineStr">
        <is>
          <t>https://nvd.nist.gov/vuln/detail/CVE-2026-27727</t>
        </is>
      </c>
      <c r="AB1436" s="187" t="inlineStr">
        <is>
          <t>NONE</t>
        </is>
      </c>
      <c r="AC1436" s="187" t="n">
        <v>0</v>
      </c>
      <c r="AD1436" s="187" t="inlineStr"/>
    </row>
    <row r="1437">
      <c r="A1437" s="189" t="inlineStr">
        <is>
          <t>CVE</t>
        </is>
      </c>
      <c r="B1437" s="189" t="inlineStr">
        <is>
          <t>CVE-2026-27728</t>
        </is>
      </c>
      <c r="C1437" s="189" t="inlineStr">
        <is>
          <t>OneUptime is a solution for monitoring and managing online services. Prior to version 10.0.7, an OS command injection vulnerability in `NetworkPathMonitor.performTraceroute()` allows any authenticated project user to execute arbitrary operating system commands on the Probe server by injecting shell metacharacters into a monitor's destination field. Version 10.0.7 fixes the vulnerability.</t>
        </is>
      </c>
      <c r="D1437" s="189" t="n">
        <v>9.9</v>
      </c>
      <c r="E1437" s="189" t="inlineStr">
        <is>
          <t>CRITICAL</t>
        </is>
      </c>
      <c r="F1437" s="189" t="n">
        <v>2</v>
      </c>
      <c r="G1437" s="189" t="n">
        <v>3</v>
      </c>
      <c r="H1437" s="189" t="inlineStr">
        <is>
          <t>HIGH</t>
        </is>
      </c>
      <c r="I1437" s="189" t="n">
        <v>15.9</v>
      </c>
      <c r="J1437" s="189" t="inlineStr">
        <is>
          <t>NO</t>
        </is>
      </c>
      <c r="K1437" s="189" t="inlineStr">
        <is>
          <t>https://nvd.nist.gov/vuln/detail/CVE-2026-27728</t>
        </is>
      </c>
      <c r="L1437" s="189" t="inlineStr">
        <is>
          <t>2026-02-26 00:15</t>
        </is>
      </c>
      <c r="M1437" s="189" t="inlineStr">
        <is>
          <t>CHECK_VENDOR</t>
        </is>
      </c>
      <c r="N1437" s="189" t="inlineStr">
        <is>
          <t>See NVD references</t>
        </is>
      </c>
      <c r="O1437" s="189" t="inlineStr">
        <is>
          <t>Apply vendor patches</t>
        </is>
      </c>
      <c r="P1437" s="189" t="inlineStr">
        <is>
          <t>See CVE details</t>
        </is>
      </c>
      <c r="Q1437" s="189" t="inlineStr">
        <is>
          <t>P3</t>
        </is>
      </c>
      <c r="R1437" s="189" t="inlineStr">
        <is>
          <t>🚨 URGENT: Apply vendor patches immediately | 🔒 Isolate affected systems if patch unavailable | 🛡️ Enable additional monitoring/IDS rules</t>
        </is>
      </c>
      <c r="S1437" s="189" t="inlineStr">
        <is>
          <t>CVE - IP enrichment n/a</t>
        </is>
      </c>
      <c r="T1437" s="189" t="n">
        <v>0</v>
      </c>
      <c r="U1437" s="189" t="n">
        <v>0</v>
      </c>
      <c r="V1437" s="189" t="inlineStr">
        <is>
          <t>T1059:Command and Scripting Interpreter</t>
        </is>
      </c>
      <c r="W1437" s="189" t="n">
        <v>1</v>
      </c>
      <c r="X1437" s="189" t="inlineStr">
        <is>
          <t>LOW (40%)</t>
        </is>
      </c>
      <c r="Y1437" s="189" t="inlineStr">
        <is>
          <t>UNLIKELY</t>
        </is>
      </c>
      <c r="Z1437" s="189" t="inlineStr">
        <is>
          <t>CHECK_VENDOR</t>
        </is>
      </c>
      <c r="AA1437" s="189" t="inlineStr">
        <is>
          <t>https://nvd.nist.gov/vuln/detail/CVE-2026-27728</t>
        </is>
      </c>
      <c r="AB1437" s="189" t="inlineStr">
        <is>
          <t>NONE</t>
        </is>
      </c>
      <c r="AC1437" s="189" t="n">
        <v>0</v>
      </c>
      <c r="AD1437" s="189" t="inlineStr"/>
    </row>
    <row r="1438">
      <c r="A1438" s="187" t="inlineStr">
        <is>
          <t>CVE</t>
        </is>
      </c>
      <c r="B1438" s="187" t="inlineStr">
        <is>
          <t>CVE-2026-27736</t>
        </is>
      </c>
      <c r="C1438" s="187" t="inlineStr">
        <is>
          <t>BigBlueButton is an open-source virtual classroom. In versions on the 3.x branch prior to 3.0.20, the string received with errorRedirectUrl lacks validation, using it directly in the respondWithRedirect function leads to an Open Redirect vulnerability. BigBlueButton 3.0.20 patches the issue. No known workarounds are available.</t>
        </is>
      </c>
      <c r="D1438" s="187" t="n">
        <v>6.1</v>
      </c>
      <c r="E1438" s="187" t="inlineStr">
        <is>
          <t>MEDIUM</t>
        </is>
      </c>
      <c r="F1438" s="187" t="n">
        <v>2</v>
      </c>
      <c r="G1438" s="187" t="n">
        <v>2</v>
      </c>
      <c r="H1438" s="187" t="inlineStr">
        <is>
          <t>MEDIUM</t>
        </is>
      </c>
      <c r="I1438" s="187" t="n">
        <v>10.1</v>
      </c>
      <c r="J1438" s="187" t="inlineStr">
        <is>
          <t>NO</t>
        </is>
      </c>
      <c r="K1438" s="187" t="inlineStr">
        <is>
          <t>https://nvd.nist.gov/vuln/detail/CVE-2026-27736</t>
        </is>
      </c>
      <c r="L1438" s="187" t="inlineStr">
        <is>
          <t>2026-02-26 00:15</t>
        </is>
      </c>
      <c r="M1438" s="187" t="inlineStr">
        <is>
          <t>CHECK_VENDOR</t>
        </is>
      </c>
      <c r="N1438" s="187" t="inlineStr">
        <is>
          <t>See NVD references</t>
        </is>
      </c>
      <c r="O1438" s="187" t="inlineStr">
        <is>
          <t>Apply vendor patches</t>
        </is>
      </c>
      <c r="P1438" s="187" t="inlineStr">
        <is>
          <t>See CVE details</t>
        </is>
      </c>
      <c r="Q1438" s="187" t="inlineStr">
        <is>
          <t>P4</t>
        </is>
      </c>
      <c r="R1438" s="187" t="inlineStr">
        <is>
          <t>📅 Schedule patch deployment within 30 days | 🔍 Monitor for exploitation attempts</t>
        </is>
      </c>
      <c r="S1438" s="187" t="inlineStr">
        <is>
          <t>CVE - IP enrichment n/a</t>
        </is>
      </c>
      <c r="T1438" s="187" t="n">
        <v>0</v>
      </c>
      <c r="U1438" s="187" t="n">
        <v>0</v>
      </c>
      <c r="V1438" s="187" t="inlineStr">
        <is>
          <t>T1189:Drive-by Compromise | T1190:Exploit Public-Facing Application</t>
        </is>
      </c>
      <c r="W1438" s="187" t="n">
        <v>1</v>
      </c>
      <c r="X1438" s="187" t="inlineStr">
        <is>
          <t>LOW (40%)</t>
        </is>
      </c>
      <c r="Y1438" s="187" t="inlineStr">
        <is>
          <t>UNLIKELY</t>
        </is>
      </c>
      <c r="Z1438" s="187" t="inlineStr">
        <is>
          <t>CHECK_VENDOR</t>
        </is>
      </c>
      <c r="AA1438" s="187" t="inlineStr">
        <is>
          <t>https://nvd.nist.gov/vuln/detail/CVE-2026-27736</t>
        </is>
      </c>
      <c r="AB1438" s="187" t="inlineStr">
        <is>
          <t>NONE</t>
        </is>
      </c>
      <c r="AC1438" s="187" t="n">
        <v>0</v>
      </c>
      <c r="AD1438" s="187" t="inlineStr"/>
    </row>
    <row r="1439">
      <c r="A1439" s="187" t="inlineStr">
        <is>
          <t>CVE</t>
        </is>
      </c>
      <c r="B1439" s="187" t="inlineStr">
        <is>
          <t>CVE-2026-27738</t>
        </is>
      </c>
      <c r="C1439" s="187" t="inlineStr">
        <is>
          <t>The Angular SSR is a server-rise rendering tool for Angular applications. An Open Redirect vulnerability exists in the internal URL processing logic in versions on the 19.x branch prior to 19.2.21, the 20.x branch prior to 20.3.17, and the 21.x branch prior to 21.1.5 and 21.2.0-rc.1. The logic normalizes URL segments by stripping leading slashes; however, it only removes a single leading slash. When an Angular SSR application is deployed behind a proxy that passes the `X-Forwarded-Prefix` header</t>
        </is>
      </c>
      <c r="D1439" s="187" t="n">
        <v>5</v>
      </c>
      <c r="E1439" s="187" t="inlineStr">
        <is>
          <t>MEDIUM</t>
        </is>
      </c>
      <c r="F1439" s="187" t="n">
        <v>2</v>
      </c>
      <c r="G1439" s="187" t="n">
        <v>2</v>
      </c>
      <c r="H1439" s="187" t="inlineStr">
        <is>
          <t>MEDIUM</t>
        </is>
      </c>
      <c r="I1439" s="187" t="n">
        <v>9</v>
      </c>
      <c r="J1439" s="187" t="inlineStr">
        <is>
          <t>NO</t>
        </is>
      </c>
      <c r="K1439" s="187" t="inlineStr">
        <is>
          <t>https://nvd.nist.gov/vuln/detail/CVE-2026-27738</t>
        </is>
      </c>
      <c r="L1439" s="187" t="inlineStr">
        <is>
          <t>2026-02-26 00:15</t>
        </is>
      </c>
      <c r="M1439" s="187" t="inlineStr">
        <is>
          <t>CHECK_VENDOR</t>
        </is>
      </c>
      <c r="N1439" s="187" t="inlineStr">
        <is>
          <t>See NVD references</t>
        </is>
      </c>
      <c r="O1439" s="187" t="inlineStr">
        <is>
          <t>Apply vendor patches</t>
        </is>
      </c>
      <c r="P1439" s="187" t="inlineStr">
        <is>
          <t>See CVE details</t>
        </is>
      </c>
      <c r="Q1439" s="187" t="inlineStr">
        <is>
          <t>P4</t>
        </is>
      </c>
      <c r="R1439" s="187" t="inlineStr">
        <is>
          <t>📅 Schedule patch deployment within 30 days | 🔍 Monitor for exploitation attempts</t>
        </is>
      </c>
      <c r="S1439" s="187" t="inlineStr">
        <is>
          <t>CVE - IP enrichment n/a</t>
        </is>
      </c>
      <c r="T1439" s="187" t="n">
        <v>0</v>
      </c>
      <c r="U1439" s="187" t="n">
        <v>0</v>
      </c>
      <c r="V1439" s="187" t="inlineStr">
        <is>
          <t>T1189:Drive-by Compromise | T1566:Phishing</t>
        </is>
      </c>
      <c r="W1439" s="187" t="n">
        <v>1</v>
      </c>
      <c r="X1439" s="187" t="inlineStr">
        <is>
          <t>LOW (40%)</t>
        </is>
      </c>
      <c r="Y1439" s="187" t="inlineStr">
        <is>
          <t>UNLIKELY</t>
        </is>
      </c>
      <c r="Z1439" s="187" t="inlineStr">
        <is>
          <t>CHECK_VENDOR</t>
        </is>
      </c>
      <c r="AA1439" s="187" t="inlineStr">
        <is>
          <t>https://nvd.nist.gov/vuln/detail/CVE-2026-27738</t>
        </is>
      </c>
      <c r="AB1439" s="187" t="inlineStr">
        <is>
          <t>NONE</t>
        </is>
      </c>
      <c r="AC1439" s="187" t="n">
        <v>0</v>
      </c>
      <c r="AD1439" s="187" t="inlineStr"/>
    </row>
    <row r="1440">
      <c r="A1440" s="187" t="inlineStr">
        <is>
          <t>CVE</t>
        </is>
      </c>
      <c r="B1440" s="187" t="inlineStr">
        <is>
          <t>CVE-2026-27849</t>
        </is>
      </c>
      <c r="C1440" s="187" t="inlineStr">
        <is>
          <t>Due to missing neutralization of special elements, OS commands can be injected via the update functionality of a TLS-SRP connection, which is normally used for configuring devices inside the mesh network.
This issue affects MR9600: 1.0.4.205530; MX4200: 1.0.13.210200.</t>
        </is>
      </c>
      <c r="D1440" s="187" t="n">
        <v>5</v>
      </c>
      <c r="E1440" s="187" t="inlineStr">
        <is>
          <t>MEDIUM</t>
        </is>
      </c>
      <c r="F1440" s="187" t="n">
        <v>2</v>
      </c>
      <c r="G1440" s="187" t="n">
        <v>2</v>
      </c>
      <c r="H1440" s="187" t="inlineStr">
        <is>
          <t>MEDIUM</t>
        </is>
      </c>
      <c r="I1440" s="187" t="n">
        <v>9</v>
      </c>
      <c r="J1440" s="187" t="inlineStr">
        <is>
          <t>NO</t>
        </is>
      </c>
      <c r="K1440" s="187" t="inlineStr">
        <is>
          <t>https://nvd.nist.gov/vuln/detail/CVE-2026-27849</t>
        </is>
      </c>
      <c r="L1440" s="187" t="inlineStr">
        <is>
          <t>2026-02-26 00:15</t>
        </is>
      </c>
      <c r="M1440" s="187" t="inlineStr">
        <is>
          <t>CHECK_VENDOR</t>
        </is>
      </c>
      <c r="N1440" s="187" t="inlineStr">
        <is>
          <t>See NVD references</t>
        </is>
      </c>
      <c r="O1440" s="187" t="inlineStr">
        <is>
          <t>Apply vendor patches</t>
        </is>
      </c>
      <c r="P1440" s="187" t="inlineStr">
        <is>
          <t>See CVE details</t>
        </is>
      </c>
      <c r="Q1440" s="187" t="inlineStr">
        <is>
          <t>P4</t>
        </is>
      </c>
      <c r="R1440" s="187" t="inlineStr">
        <is>
          <t>📅 Schedule patch deployment within 30 days | 🔍 Monitor for exploitation attempts</t>
        </is>
      </c>
      <c r="S1440" s="187" t="inlineStr">
        <is>
          <t>CVE - IP enrichment n/a</t>
        </is>
      </c>
      <c r="T1440" s="187" t="n">
        <v>0</v>
      </c>
      <c r="U1440" s="187" t="n">
        <v>0</v>
      </c>
      <c r="V1440" s="187" t="inlineStr">
        <is>
          <t>T1059:Command and Scripting Interpreter</t>
        </is>
      </c>
      <c r="W1440" s="187" t="n">
        <v>1</v>
      </c>
      <c r="X1440" s="187" t="inlineStr">
        <is>
          <t>LOW (40%)</t>
        </is>
      </c>
      <c r="Y1440" s="187" t="inlineStr">
        <is>
          <t>UNLIKELY</t>
        </is>
      </c>
      <c r="Z1440" s="187" t="inlineStr">
        <is>
          <t>CHECK_VENDOR</t>
        </is>
      </c>
      <c r="AA1440" s="187" t="inlineStr">
        <is>
          <t>https://nvd.nist.gov/vuln/detail/CVE-2026-27849</t>
        </is>
      </c>
      <c r="AB1440" s="187" t="inlineStr">
        <is>
          <t>NONE</t>
        </is>
      </c>
      <c r="AC1440" s="187" t="n">
        <v>0</v>
      </c>
      <c r="AD1440" s="187" t="inlineStr"/>
    </row>
    <row r="1441">
      <c r="A1441" s="190" t="inlineStr">
        <is>
          <t>CVE</t>
        </is>
      </c>
      <c r="B1441" s="190" t="inlineStr">
        <is>
          <t>CVE-2026-3189</t>
        </is>
      </c>
      <c r="C1441" s="190" t="inlineStr">
        <is>
          <t>A weakness has been identified in feiyuchuixue sz-boot-parent up to 1.3.2-beta. This vulnerability affects unknown code of the file /api/admin/common/files/download. Executing a manipulation of the argument url can lead to server-side request forgery. The attack can be executed remotely. Attacks of this nature are highly complex. It is stated that the exploitability is difficult. Upgrading to version 1.3.3-beta is able to resolve this issue. This patch is called aefaabfd7527188bfba3c8c9eee17c316</t>
        </is>
      </c>
      <c r="D1441" s="190" t="n">
        <v>3.1</v>
      </c>
      <c r="E1441" s="190" t="inlineStr">
        <is>
          <t>LOW</t>
        </is>
      </c>
      <c r="F1441" s="190" t="n">
        <v>2</v>
      </c>
      <c r="G1441" s="190" t="n">
        <v>1</v>
      </c>
      <c r="H1441" s="190" t="inlineStr">
        <is>
          <t>LOW</t>
        </is>
      </c>
      <c r="I1441" s="190" t="n">
        <v>5.1</v>
      </c>
      <c r="J1441" s="190" t="inlineStr">
        <is>
          <t>NO</t>
        </is>
      </c>
      <c r="K1441" s="190" t="inlineStr">
        <is>
          <t>https://nvd.nist.gov/vuln/detail/CVE-2026-3189</t>
        </is>
      </c>
      <c r="L1441" s="190" t="inlineStr">
        <is>
          <t>2026-02-26 00:15</t>
        </is>
      </c>
      <c r="M1441" s="190" t="inlineStr">
        <is>
          <t>CHECK_VENDOR</t>
        </is>
      </c>
      <c r="N1441" s="190" t="inlineStr">
        <is>
          <t>See NVD references</t>
        </is>
      </c>
      <c r="O1441" s="190" t="inlineStr">
        <is>
          <t>Apply vendor patches</t>
        </is>
      </c>
      <c r="P1441" s="190" t="inlineStr">
        <is>
          <t>See CVE details</t>
        </is>
      </c>
      <c r="Q1441" s="190" t="inlineStr">
        <is>
          <t>P4</t>
        </is>
      </c>
      <c r="R1441" s="190" t="inlineStr">
        <is>
          <t>📅 Schedule patch deployment within 30 days | 🔍 Monitor for exploitation attempts</t>
        </is>
      </c>
      <c r="S1441" s="190" t="inlineStr">
        <is>
          <t>CVE - IP enrichment n/a</t>
        </is>
      </c>
      <c r="T1441" s="190" t="n">
        <v>0</v>
      </c>
      <c r="U1441" s="190" t="n">
        <v>0</v>
      </c>
      <c r="V1441" s="190" t="inlineStr">
        <is>
          <t>T1090:Proxy</t>
        </is>
      </c>
      <c r="W1441" s="190" t="n">
        <v>1</v>
      </c>
      <c r="X1441" s="190" t="inlineStr">
        <is>
          <t>LOW (40%)</t>
        </is>
      </c>
      <c r="Y1441" s="190" t="inlineStr">
        <is>
          <t>UNLIKELY</t>
        </is>
      </c>
      <c r="Z1441" s="190" t="inlineStr">
        <is>
          <t>CHECK_VENDOR</t>
        </is>
      </c>
      <c r="AA1441" s="190" t="inlineStr">
        <is>
          <t>https://nvd.nist.gov/vuln/detail/CVE-2026-3189</t>
        </is>
      </c>
      <c r="AB1441" s="190" t="inlineStr">
        <is>
          <t>NONE</t>
        </is>
      </c>
      <c r="AC1441" s="190" t="n">
        <v>0</v>
      </c>
      <c r="AD1441" s="190" t="inlineStr"/>
    </row>
    <row r="1442">
      <c r="A1442" s="187" t="inlineStr">
        <is>
          <t>CVE</t>
        </is>
      </c>
      <c r="B1442" s="187" t="inlineStr">
        <is>
          <t>CVE-2026-3192</t>
        </is>
      </c>
      <c r="C1442" s="187" t="inlineStr">
        <is>
          <t xml:space="preserve">A security vulnerability has been detected in Chia Blockchain 2.1.0. This issue affects the function _authenticate of the file rpc_server_base.py of the component RPC Credential Handler. The manipulation leads to improper authentication. The attack is possible to be carried out remotely. The attack is considered to have high complexity. The exploitability is assessed as difficult. The exploit has been disclosed publicly and may be used. The vendor was informed early via email. A separate report </t>
        </is>
      </c>
      <c r="D1442" s="187" t="n">
        <v>5.6</v>
      </c>
      <c r="E1442" s="187" t="inlineStr">
        <is>
          <t>MEDIUM</t>
        </is>
      </c>
      <c r="F1442" s="187" t="n">
        <v>2</v>
      </c>
      <c r="G1442" s="187" t="n">
        <v>2</v>
      </c>
      <c r="H1442" s="187" t="inlineStr">
        <is>
          <t>MEDIUM</t>
        </is>
      </c>
      <c r="I1442" s="187" t="n">
        <v>9.6</v>
      </c>
      <c r="J1442" s="187" t="inlineStr">
        <is>
          <t>NO</t>
        </is>
      </c>
      <c r="K1442" s="187" t="inlineStr">
        <is>
          <t>https://nvd.nist.gov/vuln/detail/CVE-2026-3192</t>
        </is>
      </c>
      <c r="L1442" s="187" t="inlineStr">
        <is>
          <t>2026-02-26 00:15</t>
        </is>
      </c>
      <c r="M1442" s="187" t="inlineStr">
        <is>
          <t>CHECK_VENDOR</t>
        </is>
      </c>
      <c r="N1442" s="187" t="inlineStr">
        <is>
          <t>See NVD references</t>
        </is>
      </c>
      <c r="O1442" s="187" t="inlineStr">
        <is>
          <t>Apply vendor patches</t>
        </is>
      </c>
      <c r="P1442" s="187" t="inlineStr">
        <is>
          <t>See CVE details</t>
        </is>
      </c>
      <c r="Q1442" s="187" t="inlineStr">
        <is>
          <t>P4</t>
        </is>
      </c>
      <c r="R1442" s="187" t="inlineStr">
        <is>
          <t>📅 Schedule patch deployment within 30 days | 🔍 Monitor for exploitation attempts</t>
        </is>
      </c>
      <c r="S1442" s="187" t="inlineStr">
        <is>
          <t>CVE - IP enrichment n/a</t>
        </is>
      </c>
      <c r="T1442" s="187" t="n">
        <v>0</v>
      </c>
      <c r="U1442" s="187" t="n">
        <v>0</v>
      </c>
      <c r="V1442" s="187" t="inlineStr">
        <is>
          <t>T1078:Valid Accounts | T1110:Brute Force | T1552:Unsecured Credentials</t>
        </is>
      </c>
      <c r="W1442" s="187" t="n">
        <v>1</v>
      </c>
      <c r="X1442" s="187" t="inlineStr">
        <is>
          <t>LOW (40%)</t>
        </is>
      </c>
      <c r="Y1442" s="187" t="inlineStr">
        <is>
          <t>UNLIKELY</t>
        </is>
      </c>
      <c r="Z1442" s="187" t="inlineStr">
        <is>
          <t>CHECK_VENDOR</t>
        </is>
      </c>
      <c r="AA1442" s="187" t="inlineStr">
        <is>
          <t>https://nvd.nist.gov/vuln/detail/CVE-2026-3192</t>
        </is>
      </c>
      <c r="AB1442" s="187" t="inlineStr">
        <is>
          <t>NONE</t>
        </is>
      </c>
      <c r="AC1442" s="187" t="n">
        <v>0</v>
      </c>
      <c r="AD1442" s="187" t="inlineStr"/>
    </row>
    <row r="1443">
      <c r="A1443" s="190" t="inlineStr">
        <is>
          <t>CVE</t>
        </is>
      </c>
      <c r="B1443" s="190" t="inlineStr">
        <is>
          <t>CVE-2026-3193</t>
        </is>
      </c>
      <c r="C1443" s="190" t="inlineStr">
        <is>
          <t xml:space="preserve">A vulnerability was detected in Chia Blockchain 2.1.0. Impacted is an unknown function of the file /send_transaction. The manipulation results in cross-site request forgery. The attack may be performed from remote. The attack requires a high level of complexity. The exploitability is considered difficult. The exploit is now public and may be used. The vendor was informed early via email. A separate report via bugbounty was rejected with the reason "This is by design. The user is responsible for </t>
        </is>
      </c>
      <c r="D1443" s="190" t="n">
        <v>3.1</v>
      </c>
      <c r="E1443" s="190" t="inlineStr">
        <is>
          <t>LOW</t>
        </is>
      </c>
      <c r="F1443" s="190" t="n">
        <v>2</v>
      </c>
      <c r="G1443" s="190" t="n">
        <v>1</v>
      </c>
      <c r="H1443" s="190" t="inlineStr">
        <is>
          <t>LOW</t>
        </is>
      </c>
      <c r="I1443" s="190" t="n">
        <v>5.1</v>
      </c>
      <c r="J1443" s="190" t="inlineStr">
        <is>
          <t>NO</t>
        </is>
      </c>
      <c r="K1443" s="190" t="inlineStr">
        <is>
          <t>https://nvd.nist.gov/vuln/detail/CVE-2026-3193</t>
        </is>
      </c>
      <c r="L1443" s="190" t="inlineStr">
        <is>
          <t>2026-02-26 00:15</t>
        </is>
      </c>
      <c r="M1443" s="190" t="inlineStr">
        <is>
          <t>CHECK_VENDOR</t>
        </is>
      </c>
      <c r="N1443" s="190" t="inlineStr">
        <is>
          <t>See NVD references</t>
        </is>
      </c>
      <c r="O1443" s="190" t="inlineStr">
        <is>
          <t>Apply vendor patches</t>
        </is>
      </c>
      <c r="P1443" s="190" t="inlineStr">
        <is>
          <t>See CVE details</t>
        </is>
      </c>
      <c r="Q1443" s="190" t="inlineStr">
        <is>
          <t>P4</t>
        </is>
      </c>
      <c r="R1443" s="190" t="inlineStr">
        <is>
          <t>📅 Schedule patch deployment within 30 days | 🔍 Monitor for exploitation attempts</t>
        </is>
      </c>
      <c r="S1443" s="190" t="inlineStr">
        <is>
          <t>CVE - IP enrichment n/a</t>
        </is>
      </c>
      <c r="T1443" s="190" t="n">
        <v>0</v>
      </c>
      <c r="U1443" s="190" t="n">
        <v>0</v>
      </c>
      <c r="V1443" s="190" t="inlineStr">
        <is>
          <t>T1185:Browser Session Hijacking</t>
        </is>
      </c>
      <c r="W1443" s="190" t="n">
        <v>1</v>
      </c>
      <c r="X1443" s="190" t="inlineStr">
        <is>
          <t>LOW (40%)</t>
        </is>
      </c>
      <c r="Y1443" s="190" t="inlineStr">
        <is>
          <t>UNLIKELY</t>
        </is>
      </c>
      <c r="Z1443" s="190" t="inlineStr">
        <is>
          <t>CHECK_VENDOR</t>
        </is>
      </c>
      <c r="AA1443" s="190" t="inlineStr">
        <is>
          <t>https://nvd.nist.gov/vuln/detail/CVE-2026-3193</t>
        </is>
      </c>
      <c r="AB1443" s="190" t="inlineStr">
        <is>
          <t>NONE</t>
        </is>
      </c>
      <c r="AC1443" s="190" t="n">
        <v>0</v>
      </c>
      <c r="AD1443" s="190" t="inlineStr"/>
    </row>
    <row r="1444">
      <c r="A1444" s="189" t="inlineStr">
        <is>
          <t>CVE</t>
        </is>
      </c>
      <c r="B1444" s="189" t="inlineStr">
        <is>
          <t>CVE-2026-21902</t>
        </is>
      </c>
      <c r="C1444" s="189" t="inlineStr">
        <is>
          <t>An Incorrect Permission Assignment for Critical Resource vulnerability in the On-Box Anomaly detection framework of Juniper Networks Junos OS Evolved on PTX Series allows an unauthenticated, network-based attacker to execute code as root.
The On-Box Anomaly detection framework should only be reachable by other internal processes over the internal routing instance, but not over an externally exposed port. With the ability to access and manipulate the service to execute code as root a remote atta</t>
        </is>
      </c>
      <c r="D1444" s="189" t="n">
        <v>9.800000000000001</v>
      </c>
      <c r="E1444" s="189" t="inlineStr">
        <is>
          <t>CRITICAL</t>
        </is>
      </c>
      <c r="F1444" s="189" t="n">
        <v>2</v>
      </c>
      <c r="G1444" s="189" t="n">
        <v>3</v>
      </c>
      <c r="H1444" s="189" t="inlineStr">
        <is>
          <t>HIGH</t>
        </is>
      </c>
      <c r="I1444" s="189" t="n">
        <v>15.8</v>
      </c>
      <c r="J1444" s="189" t="inlineStr">
        <is>
          <t>NO</t>
        </is>
      </c>
      <c r="K1444" s="189" t="inlineStr">
        <is>
          <t>https://nvd.nist.gov/vuln/detail/CVE-2026-21902</t>
        </is>
      </c>
      <c r="L1444" s="189" t="inlineStr">
        <is>
          <t>2026-02-26 00:15</t>
        </is>
      </c>
      <c r="M1444" s="189" t="inlineStr">
        <is>
          <t>CHECK_VENDOR</t>
        </is>
      </c>
      <c r="N1444" s="189" t="inlineStr">
        <is>
          <t>See NVD references</t>
        </is>
      </c>
      <c r="O1444" s="189" t="inlineStr">
        <is>
          <t>Apply vendor patches</t>
        </is>
      </c>
      <c r="P1444" s="189" t="inlineStr">
        <is>
          <t>See CVE details</t>
        </is>
      </c>
      <c r="Q1444" s="189" t="inlineStr">
        <is>
          <t>P3</t>
        </is>
      </c>
      <c r="R1444" s="189" t="inlineStr">
        <is>
          <t>🚨 URGENT: Apply vendor patches immediately | 🔒 Isolate affected systems if patch unavailable | 🛡️ Enable additional monitoring/IDS rules</t>
        </is>
      </c>
      <c r="S1444" s="189" t="inlineStr">
        <is>
          <t>CVE - IP enrichment n/a</t>
        </is>
      </c>
      <c r="T1444" s="189" t="n">
        <v>0</v>
      </c>
      <c r="U1444" s="189" t="n">
        <v>0</v>
      </c>
      <c r="V1444" s="189" t="inlineStr">
        <is>
          <t>T1190:Exploit Public-Facing Application</t>
        </is>
      </c>
      <c r="W1444" s="189" t="n">
        <v>1</v>
      </c>
      <c r="X1444" s="189" t="inlineStr">
        <is>
          <t>LOW (40%)</t>
        </is>
      </c>
      <c r="Y1444" s="189" t="inlineStr">
        <is>
          <t>UNLIKELY</t>
        </is>
      </c>
      <c r="Z1444" s="189" t="inlineStr">
        <is>
          <t>CHECK_VENDOR</t>
        </is>
      </c>
      <c r="AA1444" s="189" t="inlineStr">
        <is>
          <t>https://nvd.nist.gov/vuln/detail/CVE-2026-21902</t>
        </is>
      </c>
      <c r="AB1444" s="189" t="inlineStr">
        <is>
          <t>NONE</t>
        </is>
      </c>
      <c r="AC1444" s="189" t="n">
        <v>0</v>
      </c>
      <c r="AD1444" s="189" t="inlineStr"/>
    </row>
    <row r="1445">
      <c r="A1445" s="187" t="inlineStr">
        <is>
          <t>CVE</t>
        </is>
      </c>
      <c r="B1445" s="187" t="inlineStr">
        <is>
          <t>CVE-2026-25554</t>
        </is>
      </c>
      <c r="C1445" s="187" t="inlineStr">
        <is>
          <t xml:space="preserve">OpenSIPS versions 3.1 before 3.6.4 containing the auth_jwt module (prior to commit 3822d33) contain a SQL injection vulnerability in the jwt_db_authorize() function in modules/auth_jwt/authorize.c when db_mode is enabled and a SQL database backend is used. The function extracts the tag claim from a JWT without prior signature verification and incorporates the unescaped value directly into a SQL query. An attacker can supply a crafted JWT with a malicious tag claim to manipulate the query result </t>
        </is>
      </c>
      <c r="D1445" s="187" t="n">
        <v>5</v>
      </c>
      <c r="E1445" s="187" t="inlineStr">
        <is>
          <t>MEDIUM</t>
        </is>
      </c>
      <c r="F1445" s="187" t="n">
        <v>2</v>
      </c>
      <c r="G1445" s="187" t="n">
        <v>2</v>
      </c>
      <c r="H1445" s="187" t="inlineStr">
        <is>
          <t>MEDIUM</t>
        </is>
      </c>
      <c r="I1445" s="187" t="n">
        <v>9</v>
      </c>
      <c r="J1445" s="187" t="inlineStr">
        <is>
          <t>NO</t>
        </is>
      </c>
      <c r="K1445" s="187" t="inlineStr">
        <is>
          <t>https://nvd.nist.gov/vuln/detail/CVE-2026-25554</t>
        </is>
      </c>
      <c r="L1445" s="187" t="inlineStr">
        <is>
          <t>2026-02-26 00:15</t>
        </is>
      </c>
      <c r="M1445" s="187" t="inlineStr">
        <is>
          <t>CHECK_VENDOR</t>
        </is>
      </c>
      <c r="N1445" s="187" t="inlineStr">
        <is>
          <t>See NVD references</t>
        </is>
      </c>
      <c r="O1445" s="187" t="inlineStr">
        <is>
          <t>Apply vendor patches</t>
        </is>
      </c>
      <c r="P1445" s="187" t="inlineStr">
        <is>
          <t>See CVE details</t>
        </is>
      </c>
      <c r="Q1445" s="187" t="inlineStr">
        <is>
          <t>P4</t>
        </is>
      </c>
      <c r="R1445" s="187" t="inlineStr">
        <is>
          <t>📅 Schedule patch deployment within 30 days | 🔍 Monitor for exploitation attempts</t>
        </is>
      </c>
      <c r="S1445" s="187" t="inlineStr">
        <is>
          <t>CVE - IP enrichment n/a</t>
        </is>
      </c>
      <c r="T1445" s="187" t="n">
        <v>0</v>
      </c>
      <c r="U1445" s="187" t="n">
        <v>0</v>
      </c>
      <c r="V1445" s="187" t="inlineStr">
        <is>
          <t>T1190:Exploit Public-Facing Application</t>
        </is>
      </c>
      <c r="W1445" s="187" t="n">
        <v>1</v>
      </c>
      <c r="X1445" s="187" t="inlineStr">
        <is>
          <t>LOW (40%)</t>
        </is>
      </c>
      <c r="Y1445" s="187" t="inlineStr">
        <is>
          <t>UNLIKELY</t>
        </is>
      </c>
      <c r="Z1445" s="187" t="inlineStr">
        <is>
          <t>CHECK_VENDOR</t>
        </is>
      </c>
      <c r="AA1445" s="187" t="inlineStr">
        <is>
          <t>https://nvd.nist.gov/vuln/detail/CVE-2026-25554</t>
        </is>
      </c>
      <c r="AB1445" s="187" t="inlineStr">
        <is>
          <t>NONE</t>
        </is>
      </c>
      <c r="AC1445" s="187" t="n">
        <v>0</v>
      </c>
      <c r="AD1445" s="187" t="inlineStr"/>
    </row>
    <row r="1446">
      <c r="A1446" s="188" t="inlineStr">
        <is>
          <t>CVE</t>
        </is>
      </c>
      <c r="B1446" s="188" t="inlineStr">
        <is>
          <t>CVE-2026-27739</t>
        </is>
      </c>
      <c r="C1446" s="188" t="inlineStr">
        <is>
          <t>The Angular SSR is a server-rise rendering tool for Angular applications. Versions prior to 21.2.0-rc.1, 21.1.5, 20.3.17, and 19.2.21 have a Server-Side Request Forgery (SSRF) vulnerability in the Angular SSR request handling pipeline. The vulnerability exists because Angular’s internal URL reconstruction logic directly trusts and consumes user-controlled HTTP headers specifically the Host and `X-Forwarded-*` family to determine the application's base origin without any validation of the destina</t>
        </is>
      </c>
      <c r="D1446" s="188" t="n">
        <v>8.5</v>
      </c>
      <c r="E1446" s="188" t="inlineStr">
        <is>
          <t>HIGH</t>
        </is>
      </c>
      <c r="F1446" s="188" t="n">
        <v>2</v>
      </c>
      <c r="G1446" s="188" t="n">
        <v>3</v>
      </c>
      <c r="H1446" s="188" t="inlineStr">
        <is>
          <t>HIGH</t>
        </is>
      </c>
      <c r="I1446" s="188" t="n">
        <v>14.5</v>
      </c>
      <c r="J1446" s="188" t="inlineStr">
        <is>
          <t>NO</t>
        </is>
      </c>
      <c r="K1446" s="188" t="inlineStr">
        <is>
          <t>https://nvd.nist.gov/vuln/detail/CVE-2026-27739</t>
        </is>
      </c>
      <c r="L1446" s="188" t="inlineStr">
        <is>
          <t>2026-02-26 00:15</t>
        </is>
      </c>
      <c r="M1446" s="188" t="inlineStr">
        <is>
          <t>CHECK_VENDOR</t>
        </is>
      </c>
      <c r="N1446" s="188" t="inlineStr">
        <is>
          <t>See NVD references</t>
        </is>
      </c>
      <c r="O1446" s="188" t="inlineStr">
        <is>
          <t>Apply vendor patches</t>
        </is>
      </c>
      <c r="P1446" s="188" t="inlineStr">
        <is>
          <t>See CVE details</t>
        </is>
      </c>
      <c r="Q1446" s="188" t="inlineStr">
        <is>
          <t>P3</t>
        </is>
      </c>
      <c r="R1446" s="188" t="inlineStr">
        <is>
          <t>🚨 URGENT: Apply vendor patches immediately | 🔒 Isolate affected systems if patch unavailable | 🛡️ Enable additional monitoring/IDS rules</t>
        </is>
      </c>
      <c r="S1446" s="188" t="inlineStr">
        <is>
          <t>CVE - IP enrichment n/a</t>
        </is>
      </c>
      <c r="T1446" s="188" t="n">
        <v>0</v>
      </c>
      <c r="U1446" s="188" t="n">
        <v>0</v>
      </c>
      <c r="V1446" s="188" t="inlineStr">
        <is>
          <t>T1090:Proxy | T1190:Exploit Public-Facing Application | T1552:Unsecured Credentials</t>
        </is>
      </c>
      <c r="W1446" s="188" t="n">
        <v>1</v>
      </c>
      <c r="X1446" s="188" t="inlineStr">
        <is>
          <t>LOW (40%)</t>
        </is>
      </c>
      <c r="Y1446" s="188" t="inlineStr">
        <is>
          <t>UNLIKELY</t>
        </is>
      </c>
      <c r="Z1446" s="188" t="inlineStr">
        <is>
          <t>CHECK_VENDOR</t>
        </is>
      </c>
      <c r="AA1446" s="188" t="inlineStr">
        <is>
          <t>https://nvd.nist.gov/vuln/detail/CVE-2026-27739</t>
        </is>
      </c>
      <c r="AB1446" s="188" t="inlineStr">
        <is>
          <t>NONE</t>
        </is>
      </c>
      <c r="AC1446" s="188" t="n">
        <v>0</v>
      </c>
      <c r="AD1446" s="188" t="inlineStr"/>
    </row>
    <row r="1447">
      <c r="A1447" s="187" t="inlineStr">
        <is>
          <t>CVE</t>
        </is>
      </c>
      <c r="B1447" s="187" t="inlineStr">
        <is>
          <t>CVE-2026-27794</t>
        </is>
      </c>
      <c r="C1447" s="187" t="inlineStr">
        <is>
          <t>LangGraph Checkpoint defines the base interface for LangGraph checkpointers. Prior to version 4.0.0, a Remote Code Execution vulnerability exists in LangGraph's caching layer when applications enable cache backends that inherit from `BaseCache` and opt nodes into caching via `CachePolicy`. Prior to `langgraph-checkpoint` 4.0.0, `BaseCache` defaults to `JsonPlusSerializer(pickle_fallback=True)`. When msgpack serialization fails, cached values can be deserialized via `pickle.loads(...)`. Caching i</t>
        </is>
      </c>
      <c r="D1447" s="187" t="n">
        <v>6.6</v>
      </c>
      <c r="E1447" s="187" t="inlineStr">
        <is>
          <t>MEDIUM</t>
        </is>
      </c>
      <c r="F1447" s="187" t="n">
        <v>2</v>
      </c>
      <c r="G1447" s="187" t="n">
        <v>2</v>
      </c>
      <c r="H1447" s="187" t="inlineStr">
        <is>
          <t>MEDIUM</t>
        </is>
      </c>
      <c r="I1447" s="187" t="n">
        <v>10.6</v>
      </c>
      <c r="J1447" s="187" t="inlineStr">
        <is>
          <t>NO</t>
        </is>
      </c>
      <c r="K1447" s="187" t="inlineStr">
        <is>
          <t>https://nvd.nist.gov/vuln/detail/CVE-2026-27794</t>
        </is>
      </c>
      <c r="L1447" s="187" t="inlineStr">
        <is>
          <t>2026-02-26 00:15</t>
        </is>
      </c>
      <c r="M1447" s="187" t="inlineStr">
        <is>
          <t>CHECK_VENDOR</t>
        </is>
      </c>
      <c r="N1447" s="187" t="inlineStr">
        <is>
          <t>See NVD references</t>
        </is>
      </c>
      <c r="O1447" s="187" t="inlineStr">
        <is>
          <t>Apply vendor patches</t>
        </is>
      </c>
      <c r="P1447" s="187" t="inlineStr">
        <is>
          <t>See CVE details</t>
        </is>
      </c>
      <c r="Q1447" s="187" t="inlineStr">
        <is>
          <t>P4</t>
        </is>
      </c>
      <c r="R1447" s="187" t="inlineStr">
        <is>
          <t>📅 Schedule patch deployment within 30 days | 🔍 Monitor for exploitation attempts</t>
        </is>
      </c>
      <c r="S1447" s="187" t="inlineStr">
        <is>
          <t>CVE - IP enrichment n/a</t>
        </is>
      </c>
      <c r="T1447" s="187" t="n">
        <v>0</v>
      </c>
      <c r="U1447" s="187" t="n">
        <v>0</v>
      </c>
      <c r="V1447" s="187" t="inlineStr">
        <is>
          <t>T1059:Command and Scripting Interpreter | T1190:Exploit Public-Facing Application | T1210:Exploitation of Remote Services</t>
        </is>
      </c>
      <c r="W1447" s="187" t="n">
        <v>1</v>
      </c>
      <c r="X1447" s="187" t="inlineStr">
        <is>
          <t>LOW (40%)</t>
        </is>
      </c>
      <c r="Y1447" s="187" t="inlineStr">
        <is>
          <t>UNLIKELY</t>
        </is>
      </c>
      <c r="Z1447" s="187" t="inlineStr">
        <is>
          <t>CHECK_VENDOR</t>
        </is>
      </c>
      <c r="AA1447" s="187" t="inlineStr">
        <is>
          <t>https://nvd.nist.gov/vuln/detail/CVE-2026-27794</t>
        </is>
      </c>
      <c r="AB1447" s="187" t="inlineStr">
        <is>
          <t>NONE</t>
        </is>
      </c>
      <c r="AC1447" s="187" t="n">
        <v>0</v>
      </c>
      <c r="AD1447" s="187" t="inlineStr"/>
    </row>
    <row r="1448">
      <c r="A1448" s="187" t="inlineStr">
        <is>
          <t>CVE</t>
        </is>
      </c>
      <c r="B1448" s="187" t="inlineStr">
        <is>
          <t>CVE-2026-27795</t>
        </is>
      </c>
      <c r="C1448" s="187" t="inlineStr">
        <is>
          <t>LangChain is a framework for building LLM-powered applications. Prior to version 1.1.8, a redirect-based Server-Side Request Forgery (SSRF) bypass exists in `RecursiveUrlLoader` in `@langchain/community`. The loader validates the initial URL but allows the underlying fetch to follow redirects automatically, which permits a transition from a safe public URL to an internal or metadata endpoint without revalidation. This is a bypass of the SSRF protections introduced in 1.1.14 (CVE-2026-26019). Use</t>
        </is>
      </c>
      <c r="D1448" s="187" t="n">
        <v>4.1</v>
      </c>
      <c r="E1448" s="187" t="inlineStr">
        <is>
          <t>MEDIUM</t>
        </is>
      </c>
      <c r="F1448" s="187" t="n">
        <v>2</v>
      </c>
      <c r="G1448" s="187" t="n">
        <v>2</v>
      </c>
      <c r="H1448" s="187" t="inlineStr">
        <is>
          <t>MEDIUM</t>
        </is>
      </c>
      <c r="I1448" s="187" t="n">
        <v>8.1</v>
      </c>
      <c r="J1448" s="187" t="inlineStr">
        <is>
          <t>NO</t>
        </is>
      </c>
      <c r="K1448" s="187" t="inlineStr">
        <is>
          <t>https://nvd.nist.gov/vuln/detail/CVE-2026-27795</t>
        </is>
      </c>
      <c r="L1448" s="187" t="inlineStr">
        <is>
          <t>2026-02-26 00:15</t>
        </is>
      </c>
      <c r="M1448" s="187" t="inlineStr">
        <is>
          <t>CHECK_VENDOR</t>
        </is>
      </c>
      <c r="N1448" s="187" t="inlineStr">
        <is>
          <t>See NVD references</t>
        </is>
      </c>
      <c r="O1448" s="187" t="inlineStr">
        <is>
          <t>Apply vendor patches</t>
        </is>
      </c>
      <c r="P1448" s="187" t="inlineStr">
        <is>
          <t>See CVE details</t>
        </is>
      </c>
      <c r="Q1448" s="187" t="inlineStr">
        <is>
          <t>P4</t>
        </is>
      </c>
      <c r="R1448" s="187" t="inlineStr">
        <is>
          <t>📅 Schedule patch deployment within 30 days | 🔍 Monitor for exploitation attempts</t>
        </is>
      </c>
      <c r="S1448" s="187" t="inlineStr">
        <is>
          <t>CVE - IP enrichment n/a</t>
        </is>
      </c>
      <c r="T1448" s="187" t="n">
        <v>0</v>
      </c>
      <c r="U1448" s="187" t="n">
        <v>0</v>
      </c>
      <c r="V1448" s="187" t="inlineStr">
        <is>
          <t>T1090:Proxy</t>
        </is>
      </c>
      <c r="W1448" s="187" t="n">
        <v>1</v>
      </c>
      <c r="X1448" s="187" t="inlineStr">
        <is>
          <t>LOW (40%)</t>
        </is>
      </c>
      <c r="Y1448" s="187" t="inlineStr">
        <is>
          <t>UNLIKELY</t>
        </is>
      </c>
      <c r="Z1448" s="187" t="inlineStr">
        <is>
          <t>CHECK_VENDOR</t>
        </is>
      </c>
      <c r="AA1448" s="187" t="inlineStr">
        <is>
          <t>https://nvd.nist.gov/vuln/detail/CVE-2026-27795</t>
        </is>
      </c>
      <c r="AB1448" s="187" t="inlineStr">
        <is>
          <t>NONE</t>
        </is>
      </c>
      <c r="AC1448" s="187" t="n">
        <v>0</v>
      </c>
      <c r="AD1448" s="187" t="inlineStr"/>
    </row>
    <row r="1449">
      <c r="A1449" s="188" t="inlineStr">
        <is>
          <t>CVE</t>
        </is>
      </c>
      <c r="B1449" s="188" t="inlineStr">
        <is>
          <t>CVE-2026-27850</t>
        </is>
      </c>
      <c r="C1449" s="188" t="inlineStr">
        <is>
          <t>Due to an improperly configured firewall rule, the router will accept any connection on the WAN port with the source port 5222, exposing all services which are normally only accessible through the local network.
This issue affects MR9600: 1.0.4.205530; MX4200: 1.0.13.210200.</t>
        </is>
      </c>
      <c r="D1449" s="188" t="n">
        <v>7.5</v>
      </c>
      <c r="E1449" s="188" t="inlineStr">
        <is>
          <t>HIGH</t>
        </is>
      </c>
      <c r="F1449" s="188" t="n">
        <v>2</v>
      </c>
      <c r="G1449" s="188" t="n">
        <v>3</v>
      </c>
      <c r="H1449" s="188" t="inlineStr">
        <is>
          <t>HIGH</t>
        </is>
      </c>
      <c r="I1449" s="188" t="n">
        <v>13.5</v>
      </c>
      <c r="J1449" s="188" t="inlineStr">
        <is>
          <t>NO</t>
        </is>
      </c>
      <c r="K1449" s="188" t="inlineStr">
        <is>
          <t>https://nvd.nist.gov/vuln/detail/CVE-2026-27850</t>
        </is>
      </c>
      <c r="L1449" s="188" t="inlineStr">
        <is>
          <t>2026-02-26 00:15</t>
        </is>
      </c>
      <c r="M1449" s="188" t="inlineStr">
        <is>
          <t>CHECK_VENDOR</t>
        </is>
      </c>
      <c r="N1449" s="188" t="inlineStr">
        <is>
          <t>See NVD references</t>
        </is>
      </c>
      <c r="O1449" s="188" t="inlineStr">
        <is>
          <t>Apply vendor patches</t>
        </is>
      </c>
      <c r="P1449" s="188" t="inlineStr">
        <is>
          <t>See CVE details</t>
        </is>
      </c>
      <c r="Q1449" s="188" t="inlineStr">
        <is>
          <t>P3</t>
        </is>
      </c>
      <c r="R1449" s="188" t="inlineStr">
        <is>
          <t>🚨 URGENT: Apply vendor patches immediately | 🔒 Isolate affected systems if patch unavailable | 🛡️ Enable additional monitoring/IDS rules</t>
        </is>
      </c>
      <c r="S1449" s="188" t="inlineStr">
        <is>
          <t>CVE - IP enrichment n/a</t>
        </is>
      </c>
      <c r="T1449" s="188" t="n">
        <v>0</v>
      </c>
      <c r="U1449" s="188" t="n">
        <v>0</v>
      </c>
      <c r="V1449" s="188" t="inlineStr">
        <is>
          <t>T1190:Exploit Public-Facing Application | T1562:Impair Defenses</t>
        </is>
      </c>
      <c r="W1449" s="188" t="n">
        <v>1</v>
      </c>
      <c r="X1449" s="188" t="inlineStr">
        <is>
          <t>LOW (40%)</t>
        </is>
      </c>
      <c r="Y1449" s="188" t="inlineStr">
        <is>
          <t>UNLIKELY</t>
        </is>
      </c>
      <c r="Z1449" s="188" t="inlineStr">
        <is>
          <t>CHECK_VENDOR</t>
        </is>
      </c>
      <c r="AA1449" s="188" t="inlineStr">
        <is>
          <t>https://nvd.nist.gov/vuln/detail/CVE-2026-27850</t>
        </is>
      </c>
      <c r="AB1449" s="188" t="inlineStr">
        <is>
          <t>NONE</t>
        </is>
      </c>
      <c r="AC1449" s="188" t="n">
        <v>0</v>
      </c>
      <c r="AD1449" s="188" t="inlineStr"/>
    </row>
    <row r="1450">
      <c r="A1450" s="187" t="inlineStr">
        <is>
          <t>CVE</t>
        </is>
      </c>
      <c r="B1450" s="187" t="inlineStr">
        <is>
          <t>CVE-2026-3194</t>
        </is>
      </c>
      <c r="C1450" s="187" t="inlineStr">
        <is>
          <t>A flaw has been found in Chia Blockchain 2.1.0. The affected element is the function send_transaction/get_private_key of the component RPC Server Master Passphrase Handler. This manipulation causes missing authentication. The attack can only be executed locally. The attack's complexity is rated as high. The exploitability is described as difficult. The exploit has been published and may be used. The vendor was informed early via email. A separate report via bugbounty was rejected with the reason</t>
        </is>
      </c>
      <c r="D1450" s="187" t="n">
        <v>4.5</v>
      </c>
      <c r="E1450" s="187" t="inlineStr">
        <is>
          <t>MEDIUM</t>
        </is>
      </c>
      <c r="F1450" s="187" t="n">
        <v>2</v>
      </c>
      <c r="G1450" s="187" t="n">
        <v>2</v>
      </c>
      <c r="H1450" s="187" t="inlineStr">
        <is>
          <t>MEDIUM</t>
        </is>
      </c>
      <c r="I1450" s="187" t="n">
        <v>8.5</v>
      </c>
      <c r="J1450" s="187" t="inlineStr">
        <is>
          <t>NO</t>
        </is>
      </c>
      <c r="K1450" s="187" t="inlineStr">
        <is>
          <t>https://nvd.nist.gov/vuln/detail/CVE-2026-3194</t>
        </is>
      </c>
      <c r="L1450" s="187" t="inlineStr">
        <is>
          <t>2026-02-26 00:15</t>
        </is>
      </c>
      <c r="M1450" s="187" t="inlineStr">
        <is>
          <t>CHECK_VENDOR</t>
        </is>
      </c>
      <c r="N1450" s="187" t="inlineStr">
        <is>
          <t>See NVD references</t>
        </is>
      </c>
      <c r="O1450" s="187" t="inlineStr">
        <is>
          <t>Apply vendor patches</t>
        </is>
      </c>
      <c r="P1450" s="187" t="inlineStr">
        <is>
          <t>See CVE details</t>
        </is>
      </c>
      <c r="Q1450" s="187" t="inlineStr">
        <is>
          <t>P4</t>
        </is>
      </c>
      <c r="R1450" s="187" t="inlineStr">
        <is>
          <t>📅 Schedule patch deployment within 30 days | 🔍 Monitor for exploitation attempts</t>
        </is>
      </c>
      <c r="S1450" s="187" t="inlineStr">
        <is>
          <t>CVE - IP enrichment n/a</t>
        </is>
      </c>
      <c r="T1450" s="187" t="n">
        <v>0</v>
      </c>
      <c r="U1450" s="187" t="n">
        <v>0</v>
      </c>
      <c r="V1450" s="187" t="inlineStr">
        <is>
          <t>T1078:Valid Accounts | T1110:Brute Force</t>
        </is>
      </c>
      <c r="W1450" s="187" t="n">
        <v>1</v>
      </c>
      <c r="X1450" s="187" t="inlineStr">
        <is>
          <t>LOW (40%)</t>
        </is>
      </c>
      <c r="Y1450" s="187" t="inlineStr">
        <is>
          <t>UNLIKELY</t>
        </is>
      </c>
      <c r="Z1450" s="187" t="inlineStr">
        <is>
          <t>CHECK_VENDOR</t>
        </is>
      </c>
      <c r="AA1450" s="187" t="inlineStr">
        <is>
          <t>https://nvd.nist.gov/vuln/detail/CVE-2026-3194</t>
        </is>
      </c>
      <c r="AB1450" s="187" t="inlineStr">
        <is>
          <t>NONE</t>
        </is>
      </c>
      <c r="AC1450" s="187" t="n">
        <v>0</v>
      </c>
      <c r="AD1450" s="187" t="inlineStr"/>
    </row>
    <row r="1451">
      <c r="A1451" s="188" t="inlineStr">
        <is>
          <t>CVE</t>
        </is>
      </c>
      <c r="B1451" s="188" t="inlineStr">
        <is>
          <t>CVE-2026-23627</t>
        </is>
      </c>
      <c r="C1451" s="188" t="inlineStr">
        <is>
          <t>OpenEMR is a free and open source electronic health records and medical practice management application. Prior to version 8.0.0, an SQL injection vulnerability in the Immunization module allows any authenticated user to execute arbitrary SQL queries, leading to complete database compromise, PHI exfiltration, credential theft, and potential remote code execution. The vulnerability exists because user-supplied `patient_id` values are directly concatenated into SQL WHERE clauses without parameteriz</t>
        </is>
      </c>
      <c r="D1451" s="188" t="n">
        <v>8.5</v>
      </c>
      <c r="E1451" s="188" t="inlineStr">
        <is>
          <t>HIGH</t>
        </is>
      </c>
      <c r="F1451" s="188" t="n">
        <v>2</v>
      </c>
      <c r="G1451" s="188" t="n">
        <v>3</v>
      </c>
      <c r="H1451" s="188" t="inlineStr">
        <is>
          <t>HIGH</t>
        </is>
      </c>
      <c r="I1451" s="188" t="n">
        <v>14.5</v>
      </c>
      <c r="J1451" s="188" t="inlineStr">
        <is>
          <t>NO</t>
        </is>
      </c>
      <c r="K1451" s="188" t="inlineStr">
        <is>
          <t>https://nvd.nist.gov/vuln/detail/CVE-2026-23627</t>
        </is>
      </c>
      <c r="L1451" s="188" t="inlineStr">
        <is>
          <t>2026-02-26 00:15</t>
        </is>
      </c>
      <c r="M1451" s="188" t="inlineStr">
        <is>
          <t>CHECK_VENDOR</t>
        </is>
      </c>
      <c r="N1451" s="188" t="inlineStr">
        <is>
          <t>See NVD references</t>
        </is>
      </c>
      <c r="O1451" s="188" t="inlineStr">
        <is>
          <t>Apply vendor patches</t>
        </is>
      </c>
      <c r="P1451" s="188" t="inlineStr">
        <is>
          <t>See CVE details</t>
        </is>
      </c>
      <c r="Q1451" s="188" t="inlineStr">
        <is>
          <t>P3</t>
        </is>
      </c>
      <c r="R1451" s="188" t="inlineStr">
        <is>
          <t>🚨 URGENT: Apply vendor patches immediately | 🔒 Isolate affected systems if patch unavailable | 🛡️ Enable additional monitoring/IDS rules</t>
        </is>
      </c>
      <c r="S1451" s="188" t="inlineStr">
        <is>
          <t>CVE - IP enrichment n/a</t>
        </is>
      </c>
      <c r="T1451" s="188" t="n">
        <v>0</v>
      </c>
      <c r="U1451" s="188" t="n">
        <v>0</v>
      </c>
      <c r="V1451" s="188" t="inlineStr">
        <is>
          <t>T1190:Exploit Public-Facing Application | T1210:Exploitation of Remote Services | T1552:Unsecured Credentials</t>
        </is>
      </c>
      <c r="W1451" s="188" t="n">
        <v>1</v>
      </c>
      <c r="X1451" s="188" t="inlineStr">
        <is>
          <t>LOW (40%)</t>
        </is>
      </c>
      <c r="Y1451" s="188" t="inlineStr">
        <is>
          <t>UNLIKELY</t>
        </is>
      </c>
      <c r="Z1451" s="188" t="inlineStr">
        <is>
          <t>CHECK_VENDOR</t>
        </is>
      </c>
      <c r="AA1451" s="188" t="inlineStr">
        <is>
          <t>https://nvd.nist.gov/vuln/detail/CVE-2026-23627</t>
        </is>
      </c>
      <c r="AB1451" s="188" t="inlineStr">
        <is>
          <t>NONE</t>
        </is>
      </c>
      <c r="AC1451" s="188" t="n">
        <v>0</v>
      </c>
      <c r="AD1451" s="188" t="inlineStr"/>
    </row>
    <row r="1452">
      <c r="A1452" s="191" t="inlineStr">
        <is>
          <t>CVE</t>
        </is>
      </c>
      <c r="B1452" s="191" t="inlineStr">
        <is>
          <t>CVE-2026-24005</t>
        </is>
      </c>
      <c r="C1452" s="191" t="inlineStr">
        <is>
          <t xml:space="preserve">Kruise provides automated management of large-scale applications on Kubernetes. Prior to versions 1.8.3 and 1.7.5, PodProbeMarker allows defining custom probes with TCPSocket or HTTPGet handlers. The webhook validation does not restrict the Host field in these probe configurations. Since kruise-daemon runs with hostNetwork=true, it executes probes from the node network namespace. An attacker with PodProbeMarker creation permission can specify arbitrary Host values to trigger SSRF from the node, </t>
        </is>
      </c>
      <c r="D1452" s="191" t="n">
        <v>0</v>
      </c>
      <c r="E1452" s="191" t="inlineStr">
        <is>
          <t>NONE</t>
        </is>
      </c>
      <c r="F1452" s="191" t="n">
        <v>2</v>
      </c>
      <c r="G1452" s="191" t="n">
        <v>1</v>
      </c>
      <c r="H1452" s="191" t="inlineStr">
        <is>
          <t>LOW</t>
        </is>
      </c>
      <c r="I1452" s="191" t="n">
        <v>2</v>
      </c>
      <c r="J1452" s="191" t="inlineStr">
        <is>
          <t>NO</t>
        </is>
      </c>
      <c r="K1452" s="191" t="inlineStr">
        <is>
          <t>https://nvd.nist.gov/vuln/detail/CVE-2026-24005</t>
        </is>
      </c>
      <c r="L1452" s="191" t="inlineStr">
        <is>
          <t>2026-02-26 00:15</t>
        </is>
      </c>
      <c r="M1452" s="191" t="inlineStr">
        <is>
          <t>CHECK_VENDOR</t>
        </is>
      </c>
      <c r="N1452" s="191" t="inlineStr">
        <is>
          <t>See NVD references</t>
        </is>
      </c>
      <c r="O1452" s="191" t="inlineStr">
        <is>
          <t>Apply vendor patches</t>
        </is>
      </c>
      <c r="P1452" s="191" t="inlineStr">
        <is>
          <t>See CVE details</t>
        </is>
      </c>
      <c r="Q1452" s="191" t="inlineStr">
        <is>
          <t>P4</t>
        </is>
      </c>
      <c r="R1452" s="191" t="inlineStr">
        <is>
          <t>📅 Schedule patch deployment within 30 days | 🔍 Monitor for exploitation attempts</t>
        </is>
      </c>
      <c r="S1452" s="191" t="inlineStr">
        <is>
          <t>CVE - IP enrichment n/a</t>
        </is>
      </c>
      <c r="T1452" s="191" t="n">
        <v>0</v>
      </c>
      <c r="U1452" s="191" t="n">
        <v>0</v>
      </c>
      <c r="V1452" s="191" t="inlineStr">
        <is>
          <t>T1090:Proxy</t>
        </is>
      </c>
      <c r="W1452" s="191" t="n">
        <v>1</v>
      </c>
      <c r="X1452" s="191" t="inlineStr">
        <is>
          <t>LOW (40%)</t>
        </is>
      </c>
      <c r="Y1452" s="191" t="inlineStr">
        <is>
          <t>UNLIKELY</t>
        </is>
      </c>
      <c r="Z1452" s="191" t="inlineStr">
        <is>
          <t>CHECK_VENDOR</t>
        </is>
      </c>
      <c r="AA1452" s="191" t="inlineStr">
        <is>
          <t>https://nvd.nist.gov/vuln/detail/CVE-2026-24005</t>
        </is>
      </c>
      <c r="AB1452" s="191" t="inlineStr">
        <is>
          <t>NONE</t>
        </is>
      </c>
      <c r="AC1452" s="191" t="n">
        <v>0</v>
      </c>
      <c r="AD1452" s="191" t="inlineStr"/>
    </row>
    <row r="1453">
      <c r="A1453" s="188" t="inlineStr">
        <is>
          <t>CVE</t>
        </is>
      </c>
      <c r="B1453" s="188" t="inlineStr">
        <is>
          <t>CVE-2026-24487</t>
        </is>
      </c>
      <c r="C1453" s="188" t="inlineStr">
        <is>
          <t>OpenEMR is a free and open source electronic health records and medical practice management application. Prior to version 8.0.0, an authorization bypass vulnerability in the FHIR CareTeam resource endpoint allows patient-scoped FHIR tokens to access care team data for all patients instead of being restricted to only the authenticated patient's data. This could potentially lead to unauthorized disclosure of Protected Health Information (PHI), including patient-provider relationships and care team</t>
        </is>
      </c>
      <c r="D1453" s="188" t="n">
        <v>8.5</v>
      </c>
      <c r="E1453" s="188" t="inlineStr">
        <is>
          <t>HIGH</t>
        </is>
      </c>
      <c r="F1453" s="188" t="n">
        <v>2</v>
      </c>
      <c r="G1453" s="188" t="n">
        <v>3</v>
      </c>
      <c r="H1453" s="188" t="inlineStr">
        <is>
          <t>HIGH</t>
        </is>
      </c>
      <c r="I1453" s="188" t="n">
        <v>14.5</v>
      </c>
      <c r="J1453" s="188" t="inlineStr">
        <is>
          <t>NO</t>
        </is>
      </c>
      <c r="K1453" s="188" t="inlineStr">
        <is>
          <t>https://nvd.nist.gov/vuln/detail/CVE-2026-24487</t>
        </is>
      </c>
      <c r="L1453" s="188" t="inlineStr">
        <is>
          <t>2026-02-26 00:15</t>
        </is>
      </c>
      <c r="M1453" s="188" t="inlineStr">
        <is>
          <t>CHECK_VENDOR</t>
        </is>
      </c>
      <c r="N1453" s="188" t="inlineStr">
        <is>
          <t>See NVD references</t>
        </is>
      </c>
      <c r="O1453" s="188" t="inlineStr">
        <is>
          <t>Apply vendor patches</t>
        </is>
      </c>
      <c r="P1453" s="188" t="inlineStr">
        <is>
          <t>See CVE details</t>
        </is>
      </c>
      <c r="Q1453" s="188" t="inlineStr">
        <is>
          <t>P3</t>
        </is>
      </c>
      <c r="R1453" s="188" t="inlineStr">
        <is>
          <t>🚨 URGENT: Apply vendor patches immediately | 🔒 Isolate affected systems if patch unavailable | 🛡️ Enable additional monitoring/IDS rules</t>
        </is>
      </c>
      <c r="S1453" s="188" t="inlineStr">
        <is>
          <t>CVE - IP enrichment n/a</t>
        </is>
      </c>
      <c r="T1453" s="188" t="n">
        <v>0</v>
      </c>
      <c r="U1453" s="188" t="n">
        <v>0</v>
      </c>
      <c r="V1453" s="188" t="inlineStr">
        <is>
          <t>T1213:Data from Information Repositories | T1190:Exploit Public-Facing Application</t>
        </is>
      </c>
      <c r="W1453" s="188" t="n">
        <v>1</v>
      </c>
      <c r="X1453" s="188" t="inlineStr">
        <is>
          <t>LOW (40%)</t>
        </is>
      </c>
      <c r="Y1453" s="188" t="inlineStr">
        <is>
          <t>UNLIKELY</t>
        </is>
      </c>
      <c r="Z1453" s="188" t="inlineStr">
        <is>
          <t>CHECK_VENDOR</t>
        </is>
      </c>
      <c r="AA1453" s="188" t="inlineStr">
        <is>
          <t>https://nvd.nist.gov/vuln/detail/CVE-2026-24487</t>
        </is>
      </c>
      <c r="AB1453" s="188" t="inlineStr">
        <is>
          <t>NONE</t>
        </is>
      </c>
      <c r="AC1453" s="188" t="n">
        <v>0</v>
      </c>
      <c r="AD1453" s="188" t="inlineStr"/>
    </row>
    <row r="1454">
      <c r="A1454" s="188" t="inlineStr">
        <is>
          <t>CVE</t>
        </is>
      </c>
      <c r="B1454" s="188" t="inlineStr">
        <is>
          <t>CVE-2026-24890</t>
        </is>
      </c>
      <c r="C1454" s="188" t="inlineStr">
        <is>
          <t>OpenEMR is a free and open source electronic health records and medical practice management application. Prior to version 8.0.0, an authorization bypass vulnerability in the patient portal signature endpoint allows authenticated portal users to upload and overwrite provider signatures by setting `type=admin-signature` and specifying any provider user ID. This could potentially lead to signature forgery on medical documents, legal compliance violations, and fraud. The issue occurs when portal use</t>
        </is>
      </c>
      <c r="D1454" s="188" t="n">
        <v>8.1</v>
      </c>
      <c r="E1454" s="188" t="inlineStr">
        <is>
          <t>HIGH</t>
        </is>
      </c>
      <c r="F1454" s="188" t="n">
        <v>2</v>
      </c>
      <c r="G1454" s="188" t="n">
        <v>3</v>
      </c>
      <c r="H1454" s="188" t="inlineStr">
        <is>
          <t>HIGH</t>
        </is>
      </c>
      <c r="I1454" s="188" t="n">
        <v>14.1</v>
      </c>
      <c r="J1454" s="188" t="inlineStr">
        <is>
          <t>NO</t>
        </is>
      </c>
      <c r="K1454" s="188" t="inlineStr">
        <is>
          <t>https://nvd.nist.gov/vuln/detail/CVE-2026-24890</t>
        </is>
      </c>
      <c r="L1454" s="188" t="inlineStr">
        <is>
          <t>2026-02-26 00:15</t>
        </is>
      </c>
      <c r="M1454" s="188" t="inlineStr">
        <is>
          <t>CHECK_VENDOR</t>
        </is>
      </c>
      <c r="N1454" s="188" t="inlineStr">
        <is>
          <t>See NVD references</t>
        </is>
      </c>
      <c r="O1454" s="188" t="inlineStr">
        <is>
          <t>Apply vendor patches</t>
        </is>
      </c>
      <c r="P1454" s="188" t="inlineStr">
        <is>
          <t>See CVE details</t>
        </is>
      </c>
      <c r="Q1454" s="188" t="inlineStr">
        <is>
          <t>P3</t>
        </is>
      </c>
      <c r="R1454" s="188" t="inlineStr">
        <is>
          <t>🚨 URGENT: Apply vendor patches immediately | 🔒 Isolate affected systems if patch unavailable | 🛡️ Enable additional monitoring/IDS rules</t>
        </is>
      </c>
      <c r="S1454" s="188" t="inlineStr">
        <is>
          <t>CVE - IP enrichment n/a</t>
        </is>
      </c>
      <c r="T1454" s="188" t="n">
        <v>0</v>
      </c>
      <c r="U1454" s="188" t="n">
        <v>0</v>
      </c>
      <c r="V1454" s="188" t="inlineStr">
        <is>
          <t>T1190:Exploit Public-Facing Application</t>
        </is>
      </c>
      <c r="W1454" s="188" t="n">
        <v>1</v>
      </c>
      <c r="X1454" s="188" t="inlineStr">
        <is>
          <t>LOW (40%)</t>
        </is>
      </c>
      <c r="Y1454" s="188" t="inlineStr">
        <is>
          <t>UNLIKELY</t>
        </is>
      </c>
      <c r="Z1454" s="188" t="inlineStr">
        <is>
          <t>CHECK_VENDOR</t>
        </is>
      </c>
      <c r="AA1454" s="188" t="inlineStr">
        <is>
          <t>https://nvd.nist.gov/vuln/detail/CVE-2026-24890</t>
        </is>
      </c>
      <c r="AB1454" s="188" t="inlineStr">
        <is>
          <t>NONE</t>
        </is>
      </c>
      <c r="AC1454" s="188" t="n">
        <v>0</v>
      </c>
      <c r="AD1454" s="188" t="inlineStr"/>
    </row>
    <row r="1455">
      <c r="A1455" s="189" t="inlineStr">
        <is>
          <t>CVE</t>
        </is>
      </c>
      <c r="B1455" s="189" t="inlineStr">
        <is>
          <t>CVE-2026-24908</t>
        </is>
      </c>
      <c r="C1455" s="189" t="inlineStr">
        <is>
          <t>OpenEMR is a free and open source electronic health records and medical practice management application. Prior to version 8.0.0, an SQL injection vulnerability in the Patient REST API endpoint allows authenticated users with API access to execute arbitrary SQL queries through the `_sort` parameter. This could potentially lead to database access, PHI (Protected Health Information) exposure, and credential compromise. The issue occurs when user-supplied sort field names are used in ORDER BY clause</t>
        </is>
      </c>
      <c r="D1455" s="189" t="n">
        <v>9.9</v>
      </c>
      <c r="E1455" s="189" t="inlineStr">
        <is>
          <t>CRITICAL</t>
        </is>
      </c>
      <c r="F1455" s="189" t="n">
        <v>2</v>
      </c>
      <c r="G1455" s="189" t="n">
        <v>3</v>
      </c>
      <c r="H1455" s="189" t="inlineStr">
        <is>
          <t>HIGH</t>
        </is>
      </c>
      <c r="I1455" s="189" t="n">
        <v>15.9</v>
      </c>
      <c r="J1455" s="189" t="inlineStr">
        <is>
          <t>NO</t>
        </is>
      </c>
      <c r="K1455" s="189" t="inlineStr">
        <is>
          <t>https://nvd.nist.gov/vuln/detail/CVE-2026-24908</t>
        </is>
      </c>
      <c r="L1455" s="189" t="inlineStr">
        <is>
          <t>2026-02-26 00:15</t>
        </is>
      </c>
      <c r="M1455" s="189" t="inlineStr">
        <is>
          <t>CHECK_VENDOR</t>
        </is>
      </c>
      <c r="N1455" s="189" t="inlineStr">
        <is>
          <t>See NVD references</t>
        </is>
      </c>
      <c r="O1455" s="189" t="inlineStr">
        <is>
          <t>Apply vendor patches</t>
        </is>
      </c>
      <c r="P1455" s="189" t="inlineStr">
        <is>
          <t>See CVE details</t>
        </is>
      </c>
      <c r="Q1455" s="189" t="inlineStr">
        <is>
          <t>P3</t>
        </is>
      </c>
      <c r="R1455" s="189" t="inlineStr">
        <is>
          <t>🚨 URGENT: Apply vendor patches immediately | 🔒 Isolate affected systems if patch unavailable | 🛡️ Enable additional monitoring/IDS rules</t>
        </is>
      </c>
      <c r="S1455" s="189" t="inlineStr">
        <is>
          <t>CVE - IP enrichment n/a</t>
        </is>
      </c>
      <c r="T1455" s="189" t="n">
        <v>0</v>
      </c>
      <c r="U1455" s="189" t="n">
        <v>0</v>
      </c>
      <c r="V1455" s="189" t="inlineStr">
        <is>
          <t>T1190:Exploit Public-Facing Application | T1552:Unsecured Credentials</t>
        </is>
      </c>
      <c r="W1455" s="189" t="n">
        <v>1</v>
      </c>
      <c r="X1455" s="189" t="inlineStr">
        <is>
          <t>LOW (40%)</t>
        </is>
      </c>
      <c r="Y1455" s="189" t="inlineStr">
        <is>
          <t>UNLIKELY</t>
        </is>
      </c>
      <c r="Z1455" s="189" t="inlineStr">
        <is>
          <t>CHECK_VENDOR</t>
        </is>
      </c>
      <c r="AA1455" s="189" t="inlineStr">
        <is>
          <t>https://nvd.nist.gov/vuln/detail/CVE-2026-24908</t>
        </is>
      </c>
      <c r="AB1455" s="189" t="inlineStr">
        <is>
          <t>NONE</t>
        </is>
      </c>
      <c r="AC1455" s="189" t="n">
        <v>0</v>
      </c>
      <c r="AD1455" s="189" t="inlineStr"/>
    </row>
    <row r="1456">
      <c r="A1456" s="188" t="inlineStr">
        <is>
          <t>CVE</t>
        </is>
      </c>
      <c r="B1456" s="188" t="inlineStr">
        <is>
          <t>CVE-2026-25164</t>
        </is>
      </c>
      <c r="C1456" s="188" t="inlineStr">
        <is>
          <t>OpenEMR is a free and open source electronic health records and medical practice management application. Prior to version 8.0.0, the REST API route table in `apis/routes/_rest_routes_standard.inc.php` does not call `RestConfig::request_authorization_check()` for the document and insurance routes. Other patient routes in the same file (e.g. encounters, patients/med) call it with the appropriate ACL. As a result, any valid API bearer token can access or modify every patient's documents and insuran</t>
        </is>
      </c>
      <c r="D1456" s="188" t="n">
        <v>8.1</v>
      </c>
      <c r="E1456" s="188" t="inlineStr">
        <is>
          <t>HIGH</t>
        </is>
      </c>
      <c r="F1456" s="188" t="n">
        <v>2</v>
      </c>
      <c r="G1456" s="188" t="n">
        <v>3</v>
      </c>
      <c r="H1456" s="188" t="inlineStr">
        <is>
          <t>HIGH</t>
        </is>
      </c>
      <c r="I1456" s="188" t="n">
        <v>14.1</v>
      </c>
      <c r="J1456" s="188" t="inlineStr">
        <is>
          <t>NO</t>
        </is>
      </c>
      <c r="K1456" s="188" t="inlineStr">
        <is>
          <t>https://nvd.nist.gov/vuln/detail/CVE-2026-25164</t>
        </is>
      </c>
      <c r="L1456" s="188" t="inlineStr">
        <is>
          <t>2026-02-26 00:15</t>
        </is>
      </c>
      <c r="M1456" s="188" t="inlineStr">
        <is>
          <t>CHECK_VENDOR</t>
        </is>
      </c>
      <c r="N1456" s="188" t="inlineStr">
        <is>
          <t>See NVD references</t>
        </is>
      </c>
      <c r="O1456" s="188" t="inlineStr">
        <is>
          <t>Apply vendor patches</t>
        </is>
      </c>
      <c r="P1456" s="188" t="inlineStr">
        <is>
          <t>See CVE details</t>
        </is>
      </c>
      <c r="Q1456" s="188" t="inlineStr">
        <is>
          <t>P3</t>
        </is>
      </c>
      <c r="R1456" s="188" t="inlineStr">
        <is>
          <t>🚨 URGENT: Apply vendor patches immediately | 🔒 Isolate affected systems if patch unavailable | 🛡️ Enable additional monitoring/IDS rules</t>
        </is>
      </c>
      <c r="S1456" s="188" t="inlineStr">
        <is>
          <t>CVE - IP enrichment n/a</t>
        </is>
      </c>
      <c r="T1456" s="188" t="n">
        <v>0</v>
      </c>
      <c r="U1456" s="188" t="n">
        <v>0</v>
      </c>
      <c r="V1456" s="188" t="inlineStr">
        <is>
          <t>T1190:Exploit Public-Facing Application</t>
        </is>
      </c>
      <c r="W1456" s="188" t="n">
        <v>1</v>
      </c>
      <c r="X1456" s="188" t="inlineStr">
        <is>
          <t>LOW (40%)</t>
        </is>
      </c>
      <c r="Y1456" s="188" t="inlineStr">
        <is>
          <t>UNLIKELY</t>
        </is>
      </c>
      <c r="Z1456" s="188" t="inlineStr">
        <is>
          <t>CHECK_VENDOR</t>
        </is>
      </c>
      <c r="AA1456" s="188" t="inlineStr">
        <is>
          <t>https://nvd.nist.gov/vuln/detail/CVE-2026-25164</t>
        </is>
      </c>
      <c r="AB1456" s="188" t="inlineStr">
        <is>
          <t>NONE</t>
        </is>
      </c>
      <c r="AC1456" s="188" t="n">
        <v>0</v>
      </c>
      <c r="AD1456" s="188" t="inlineStr"/>
    </row>
    <row r="1457">
      <c r="A1457" s="188" t="inlineStr">
        <is>
          <t>CVE</t>
        </is>
      </c>
      <c r="B1457" s="188" t="inlineStr">
        <is>
          <t>CVE-2026-25220</t>
        </is>
      </c>
      <c r="C1457" s="188" t="inlineStr">
        <is>
          <t xml:space="preserve">OpenEMR is a free and open source electronic health records and medical practice management application. Prior to version 8.0.0, the Message Center accepts the URL parameter `show_all=yes` and passes it to `getPnotesByUser()`, which returns all internal messages (all users’ notes). The backend does not verify that the requesting user is an administrator before honoring `show_all=yes`. The "Show All" link is also visible to non-admin users. As a result, any authenticated user can view the entire </t>
        </is>
      </c>
      <c r="D1457" s="188" t="n">
        <v>8.5</v>
      </c>
      <c r="E1457" s="188" t="inlineStr">
        <is>
          <t>HIGH</t>
        </is>
      </c>
      <c r="F1457" s="188" t="n">
        <v>2</v>
      </c>
      <c r="G1457" s="188" t="n">
        <v>3</v>
      </c>
      <c r="H1457" s="188" t="inlineStr">
        <is>
          <t>HIGH</t>
        </is>
      </c>
      <c r="I1457" s="188" t="n">
        <v>14.5</v>
      </c>
      <c r="J1457" s="188" t="inlineStr">
        <is>
          <t>NO</t>
        </is>
      </c>
      <c r="K1457" s="188" t="inlineStr">
        <is>
          <t>https://nvd.nist.gov/vuln/detail/CVE-2026-25220</t>
        </is>
      </c>
      <c r="L1457" s="188" t="inlineStr">
        <is>
          <t>2026-02-26 00:15</t>
        </is>
      </c>
      <c r="M1457" s="188" t="inlineStr">
        <is>
          <t>CHECK_VENDOR</t>
        </is>
      </c>
      <c r="N1457" s="188" t="inlineStr">
        <is>
          <t>See NVD references</t>
        </is>
      </c>
      <c r="O1457" s="188" t="inlineStr">
        <is>
          <t>Apply vendor patches</t>
        </is>
      </c>
      <c r="P1457" s="188" t="inlineStr">
        <is>
          <t>See CVE details</t>
        </is>
      </c>
      <c r="Q1457" s="188" t="inlineStr">
        <is>
          <t>P3</t>
        </is>
      </c>
      <c r="R1457" s="188" t="inlineStr">
        <is>
          <t>🚨 URGENT: Apply vendor patches immediately | 🔒 Isolate affected systems if patch unavailable | 🛡️ Enable additional monitoring/IDS rules</t>
        </is>
      </c>
      <c r="S1457" s="188" t="inlineStr">
        <is>
          <t>CVE - IP enrichment n/a</t>
        </is>
      </c>
      <c r="T1457" s="188" t="n">
        <v>0</v>
      </c>
      <c r="U1457" s="188" t="n">
        <v>0</v>
      </c>
      <c r="V1457" s="188" t="inlineStr">
        <is>
          <t>T1190:Exploit Public-Facing Application</t>
        </is>
      </c>
      <c r="W1457" s="188" t="n">
        <v>1</v>
      </c>
      <c r="X1457" s="188" t="inlineStr">
        <is>
          <t>LOW (40%)</t>
        </is>
      </c>
      <c r="Y1457" s="188" t="inlineStr">
        <is>
          <t>UNLIKELY</t>
        </is>
      </c>
      <c r="Z1457" s="188" t="inlineStr">
        <is>
          <t>CHECK_VENDOR</t>
        </is>
      </c>
      <c r="AA1457" s="188" t="inlineStr">
        <is>
          <t>https://nvd.nist.gov/vuln/detail/CVE-2026-25220</t>
        </is>
      </c>
      <c r="AB1457" s="188" t="inlineStr">
        <is>
          <t>NONE</t>
        </is>
      </c>
      <c r="AC1457" s="188" t="n">
        <v>0</v>
      </c>
      <c r="AD1457" s="188" t="inlineStr"/>
    </row>
    <row r="1458">
      <c r="A1458" s="188" t="inlineStr">
        <is>
          <t>CVE</t>
        </is>
      </c>
      <c r="B1458" s="188" t="inlineStr">
        <is>
          <t>CVE-2026-25476</t>
        </is>
      </c>
      <c r="C1458" s="188" t="inlineStr">
        <is>
          <t xml:space="preserve">OpenEMR is a free and open source electronic health records and medical practice management application. Prior to version 8.0.0, the session expiration check in `library/auth.inc.php` runs only when `skip_timeout_reset` is not present in the request. When `skip_timeout_reset=1` is sent, the entire block that calls `SessionTracker::isSessionExpired()` and forces logout on timeout is skipped. As a result, any request that includes this parameter (e.g. from auto-refresh pages like the Patient Flow </t>
        </is>
      </c>
      <c r="D1458" s="188" t="n">
        <v>7.5</v>
      </c>
      <c r="E1458" s="188" t="inlineStr">
        <is>
          <t>HIGH</t>
        </is>
      </c>
      <c r="F1458" s="188" t="n">
        <v>2</v>
      </c>
      <c r="G1458" s="188" t="n">
        <v>3</v>
      </c>
      <c r="H1458" s="188" t="inlineStr">
        <is>
          <t>HIGH</t>
        </is>
      </c>
      <c r="I1458" s="188" t="n">
        <v>13.5</v>
      </c>
      <c r="J1458" s="188" t="inlineStr">
        <is>
          <t>NO</t>
        </is>
      </c>
      <c r="K1458" s="188" t="inlineStr">
        <is>
          <t>https://nvd.nist.gov/vuln/detail/CVE-2026-25476</t>
        </is>
      </c>
      <c r="L1458" s="188" t="inlineStr">
        <is>
          <t>2026-02-26 00:15</t>
        </is>
      </c>
      <c r="M1458" s="188" t="inlineStr">
        <is>
          <t>CHECK_VENDOR</t>
        </is>
      </c>
      <c r="N1458" s="188" t="inlineStr">
        <is>
          <t>See NVD references</t>
        </is>
      </c>
      <c r="O1458" s="188" t="inlineStr">
        <is>
          <t>Apply vendor patches</t>
        </is>
      </c>
      <c r="P1458" s="188" t="inlineStr">
        <is>
          <t>See CVE details</t>
        </is>
      </c>
      <c r="Q1458" s="188" t="inlineStr">
        <is>
          <t>P3</t>
        </is>
      </c>
      <c r="R1458" s="188" t="inlineStr">
        <is>
          <t>🚨 URGENT: Apply vendor patches immediately | 🔒 Isolate affected systems if patch unavailable | 🛡️ Enable additional monitoring/IDS rules</t>
        </is>
      </c>
      <c r="S1458" s="188" t="inlineStr">
        <is>
          <t>CVE - IP enrichment n/a</t>
        </is>
      </c>
      <c r="T1458" s="188" t="n">
        <v>0</v>
      </c>
      <c r="U1458" s="188" t="n">
        <v>0</v>
      </c>
      <c r="V1458" s="188" t="inlineStr">
        <is>
          <t>T1190:Exploit Public-Facing Application</t>
        </is>
      </c>
      <c r="W1458" s="188" t="n">
        <v>1</v>
      </c>
      <c r="X1458" s="188" t="inlineStr">
        <is>
          <t>LOW (40%)</t>
        </is>
      </c>
      <c r="Y1458" s="188" t="inlineStr">
        <is>
          <t>UNLIKELY</t>
        </is>
      </c>
      <c r="Z1458" s="188" t="inlineStr">
        <is>
          <t>CHECK_VENDOR</t>
        </is>
      </c>
      <c r="AA1458" s="188" t="inlineStr">
        <is>
          <t>https://nvd.nist.gov/vuln/detail/CVE-2026-25476</t>
        </is>
      </c>
      <c r="AB1458" s="188" t="inlineStr">
        <is>
          <t>NONE</t>
        </is>
      </c>
      <c r="AC1458" s="188" t="n">
        <v>0</v>
      </c>
      <c r="AD1458" s="188" t="inlineStr"/>
    </row>
    <row r="1459">
      <c r="A1459" s="188" t="inlineStr">
        <is>
          <t>CVE</t>
        </is>
      </c>
      <c r="B1459" s="188" t="inlineStr">
        <is>
          <t>CVE-2026-25743</t>
        </is>
      </c>
      <c r="C1459" s="188" t="inlineStr">
        <is>
          <t>OpenEMR is a free and open source electronic health records and medical practice management application. Prior to version 8.0.0, users with the "Forms administration" role can fill questionnaires ("forms") in patient encounters. The answers to the forms are displayed on the encounter page and in the visit history for the users with the same role. There exists a stored cross-site scripting (XSS) vulnerability in the function to display the form answers, allowing any authenticated attacker with th</t>
        </is>
      </c>
      <c r="D1459" s="188" t="n">
        <v>8.5</v>
      </c>
      <c r="E1459" s="188" t="inlineStr">
        <is>
          <t>HIGH</t>
        </is>
      </c>
      <c r="F1459" s="188" t="n">
        <v>2</v>
      </c>
      <c r="G1459" s="188" t="n">
        <v>3</v>
      </c>
      <c r="H1459" s="188" t="inlineStr">
        <is>
          <t>HIGH</t>
        </is>
      </c>
      <c r="I1459" s="188" t="n">
        <v>14.5</v>
      </c>
      <c r="J1459" s="188" t="inlineStr">
        <is>
          <t>NO</t>
        </is>
      </c>
      <c r="K1459" s="188" t="inlineStr">
        <is>
          <t>https://nvd.nist.gov/vuln/detail/CVE-2026-25743</t>
        </is>
      </c>
      <c r="L1459" s="188" t="inlineStr">
        <is>
          <t>2026-02-26 00:15</t>
        </is>
      </c>
      <c r="M1459" s="188" t="inlineStr">
        <is>
          <t>CHECK_VENDOR</t>
        </is>
      </c>
      <c r="N1459" s="188" t="inlineStr">
        <is>
          <t>See NVD references</t>
        </is>
      </c>
      <c r="O1459" s="188" t="inlineStr">
        <is>
          <t>Apply vendor patches</t>
        </is>
      </c>
      <c r="P1459" s="188" t="inlineStr">
        <is>
          <t>See CVE details</t>
        </is>
      </c>
      <c r="Q1459" s="188" t="inlineStr">
        <is>
          <t>P3</t>
        </is>
      </c>
      <c r="R1459" s="188" t="inlineStr">
        <is>
          <t>🚨 URGENT: Apply vendor patches immediately | 🔒 Isolate affected systems if patch unavailable | 🛡️ Enable additional monitoring/IDS rules</t>
        </is>
      </c>
      <c r="S1459" s="188" t="inlineStr">
        <is>
          <t>CVE - IP enrichment n/a</t>
        </is>
      </c>
      <c r="T1459" s="188" t="n">
        <v>0</v>
      </c>
      <c r="U1459" s="188" t="n">
        <v>0</v>
      </c>
      <c r="V1459" s="188" t="inlineStr">
        <is>
          <t>T1189:Drive-by Compromise | T1190:Exploit Public-Facing Application</t>
        </is>
      </c>
      <c r="W1459" s="188" t="n">
        <v>1</v>
      </c>
      <c r="X1459" s="188" t="inlineStr">
        <is>
          <t>LOW (40%)</t>
        </is>
      </c>
      <c r="Y1459" s="188" t="inlineStr">
        <is>
          <t>UNLIKELY</t>
        </is>
      </c>
      <c r="Z1459" s="188" t="inlineStr">
        <is>
          <t>CHECK_VENDOR</t>
        </is>
      </c>
      <c r="AA1459" s="188" t="inlineStr">
        <is>
          <t>https://nvd.nist.gov/vuln/detail/CVE-2026-25743</t>
        </is>
      </c>
      <c r="AB1459" s="188" t="inlineStr">
        <is>
          <t>NONE</t>
        </is>
      </c>
      <c r="AC1459" s="188" t="n">
        <v>0</v>
      </c>
      <c r="AD1459" s="188" t="inlineStr"/>
    </row>
    <row r="1460">
      <c r="A1460" s="188" t="inlineStr">
        <is>
          <t>CVE</t>
        </is>
      </c>
      <c r="B1460" s="188" t="inlineStr">
        <is>
          <t>CVE-2026-25746</t>
        </is>
      </c>
      <c r="C1460" s="188" t="inlineStr">
        <is>
          <t>OpenEMR is a free and open source electronic health records and medical practice management application. Versions prior to 8.0.0 contain a SQL injection vulnerability in prescription that can be exploited by authenticated attackers. The vulnerability exists due to insufficient input validation in the prescription listing functionality. Version 8.0.0 fixes the vulnerability.</t>
        </is>
      </c>
      <c r="D1460" s="188" t="n">
        <v>8.800000000000001</v>
      </c>
      <c r="E1460" s="188" t="inlineStr">
        <is>
          <t>HIGH</t>
        </is>
      </c>
      <c r="F1460" s="188" t="n">
        <v>2</v>
      </c>
      <c r="G1460" s="188" t="n">
        <v>3</v>
      </c>
      <c r="H1460" s="188" t="inlineStr">
        <is>
          <t>HIGH</t>
        </is>
      </c>
      <c r="I1460" s="188" t="n">
        <v>14.8</v>
      </c>
      <c r="J1460" s="188" t="inlineStr">
        <is>
          <t>NO</t>
        </is>
      </c>
      <c r="K1460" s="188" t="inlineStr">
        <is>
          <t>https://nvd.nist.gov/vuln/detail/CVE-2026-25746</t>
        </is>
      </c>
      <c r="L1460" s="188" t="inlineStr">
        <is>
          <t>2026-02-26 00:15</t>
        </is>
      </c>
      <c r="M1460" s="188" t="inlineStr">
        <is>
          <t>CHECK_VENDOR</t>
        </is>
      </c>
      <c r="N1460" s="188" t="inlineStr">
        <is>
          <t>See NVD references</t>
        </is>
      </c>
      <c r="O1460" s="188" t="inlineStr">
        <is>
          <t>Apply vendor patches</t>
        </is>
      </c>
      <c r="P1460" s="188" t="inlineStr">
        <is>
          <t>See CVE details</t>
        </is>
      </c>
      <c r="Q1460" s="188" t="inlineStr">
        <is>
          <t>P3</t>
        </is>
      </c>
      <c r="R1460" s="188" t="inlineStr">
        <is>
          <t>🚨 URGENT: Apply vendor patches immediately | 🔒 Isolate affected systems if patch unavailable | 🛡️ Enable additional monitoring/IDS rules</t>
        </is>
      </c>
      <c r="S1460" s="188" t="inlineStr">
        <is>
          <t>CVE - IP enrichment n/a</t>
        </is>
      </c>
      <c r="T1460" s="188" t="n">
        <v>0</v>
      </c>
      <c r="U1460" s="188" t="n">
        <v>0</v>
      </c>
      <c r="V1460" s="188" t="inlineStr">
        <is>
          <t>T1190:Exploit Public-Facing Application</t>
        </is>
      </c>
      <c r="W1460" s="188" t="n">
        <v>1</v>
      </c>
      <c r="X1460" s="188" t="inlineStr">
        <is>
          <t>LOW (40%)</t>
        </is>
      </c>
      <c r="Y1460" s="188" t="inlineStr">
        <is>
          <t>UNLIKELY</t>
        </is>
      </c>
      <c r="Z1460" s="188" t="inlineStr">
        <is>
          <t>CHECK_VENDOR</t>
        </is>
      </c>
      <c r="AA1460" s="188" t="inlineStr">
        <is>
          <t>https://nvd.nist.gov/vuln/detail/CVE-2026-25746</t>
        </is>
      </c>
      <c r="AB1460" s="188" t="inlineStr">
        <is>
          <t>NONE</t>
        </is>
      </c>
      <c r="AC1460" s="188" t="n">
        <v>0</v>
      </c>
      <c r="AD1460" s="188" t="inlineStr"/>
    </row>
    <row r="1461">
      <c r="A1461" s="188" t="inlineStr">
        <is>
          <t>CVE</t>
        </is>
      </c>
      <c r="B1461" s="188" t="inlineStr">
        <is>
          <t>CVE-2026-25927</t>
        </is>
      </c>
      <c r="C1461" s="188" t="inlineStr">
        <is>
          <t>OpenEMR is a free and open source electronic health records and medical practice management application. Prior to version 8.0.0,  the DICOM viewer state API (e.g. upload or state save/load) accepts a document ID (`doc_id`) without verifying that the document belongs to the current user’s authorized patient or encounter. An authenticated user can read or modify DICOM viewer state (e.g. annotations, view settings) for any document by enumerating document IDs. Version 8.0.0 fixes the issue.</t>
        </is>
      </c>
      <c r="D1461" s="188" t="n">
        <v>7.1</v>
      </c>
      <c r="E1461" s="188" t="inlineStr">
        <is>
          <t>HIGH</t>
        </is>
      </c>
      <c r="F1461" s="188" t="n">
        <v>2</v>
      </c>
      <c r="G1461" s="188" t="n">
        <v>3</v>
      </c>
      <c r="H1461" s="188" t="inlineStr">
        <is>
          <t>HIGH</t>
        </is>
      </c>
      <c r="I1461" s="188" t="n">
        <v>13.1</v>
      </c>
      <c r="J1461" s="188" t="inlineStr">
        <is>
          <t>NO</t>
        </is>
      </c>
      <c r="K1461" s="188" t="inlineStr">
        <is>
          <t>https://nvd.nist.gov/vuln/detail/CVE-2026-25927</t>
        </is>
      </c>
      <c r="L1461" s="188" t="inlineStr">
        <is>
          <t>2026-02-26 00:15</t>
        </is>
      </c>
      <c r="M1461" s="188" t="inlineStr">
        <is>
          <t>CHECK_VENDOR</t>
        </is>
      </c>
      <c r="N1461" s="188" t="inlineStr">
        <is>
          <t>See NVD references</t>
        </is>
      </c>
      <c r="O1461" s="188" t="inlineStr">
        <is>
          <t>Apply vendor patches</t>
        </is>
      </c>
      <c r="P1461" s="188" t="inlineStr">
        <is>
          <t>See CVE details</t>
        </is>
      </c>
      <c r="Q1461" s="188" t="inlineStr">
        <is>
          <t>P3</t>
        </is>
      </c>
      <c r="R1461" s="188" t="inlineStr">
        <is>
          <t>🚨 URGENT: Apply vendor patches immediately | 🔒 Isolate affected systems if patch unavailable | 🛡️ Enable additional monitoring/IDS rules</t>
        </is>
      </c>
      <c r="S1461" s="188" t="inlineStr">
        <is>
          <t>CVE - IP enrichment n/a</t>
        </is>
      </c>
      <c r="T1461" s="188" t="n">
        <v>0</v>
      </c>
      <c r="U1461" s="188" t="n">
        <v>0</v>
      </c>
      <c r="V1461" s="188" t="inlineStr">
        <is>
          <t>T1190:Exploit Public-Facing Application</t>
        </is>
      </c>
      <c r="W1461" s="188" t="n">
        <v>1</v>
      </c>
      <c r="X1461" s="188" t="inlineStr">
        <is>
          <t>LOW (40%)</t>
        </is>
      </c>
      <c r="Y1461" s="188" t="inlineStr">
        <is>
          <t>UNLIKELY</t>
        </is>
      </c>
      <c r="Z1461" s="188" t="inlineStr">
        <is>
          <t>CHECK_VENDOR</t>
        </is>
      </c>
      <c r="AA1461" s="188" t="inlineStr">
        <is>
          <t>https://nvd.nist.gov/vuln/detail/CVE-2026-25927</t>
        </is>
      </c>
      <c r="AB1461" s="188" t="inlineStr">
        <is>
          <t>NONE</t>
        </is>
      </c>
      <c r="AC1461" s="188" t="n">
        <v>0</v>
      </c>
      <c r="AD1461" s="188" t="inlineStr"/>
    </row>
    <row r="1462">
      <c r="A1462" s="187" t="inlineStr">
        <is>
          <t>CVE</t>
        </is>
      </c>
      <c r="B1462" s="187" t="inlineStr">
        <is>
          <t>CVE-2026-25929</t>
        </is>
      </c>
      <c r="C1462" s="187" t="inlineStr">
        <is>
          <t>OpenEMR is a free and open source electronic health records and medical practice management application. Prior to version 8.0.0, the document controller’s `patient_picture` context serves the patient’s photo by document ID or patient ID without verifying that the current user is authorized to access that patient. An authenticated user with document ACL can supply another patient’s ID and retrieve their photo. Version 8.0.0 fixes the issue.</t>
        </is>
      </c>
      <c r="D1462" s="187" t="n">
        <v>6.5</v>
      </c>
      <c r="E1462" s="187" t="inlineStr">
        <is>
          <t>MEDIUM</t>
        </is>
      </c>
      <c r="F1462" s="187" t="n">
        <v>2</v>
      </c>
      <c r="G1462" s="187" t="n">
        <v>2</v>
      </c>
      <c r="H1462" s="187" t="inlineStr">
        <is>
          <t>MEDIUM</t>
        </is>
      </c>
      <c r="I1462" s="187" t="n">
        <v>10.5</v>
      </c>
      <c r="J1462" s="187" t="inlineStr">
        <is>
          <t>NO</t>
        </is>
      </c>
      <c r="K1462" s="187" t="inlineStr">
        <is>
          <t>https://nvd.nist.gov/vuln/detail/CVE-2026-25929</t>
        </is>
      </c>
      <c r="L1462" s="187" t="inlineStr">
        <is>
          <t>2026-02-26 00:15</t>
        </is>
      </c>
      <c r="M1462" s="187" t="inlineStr">
        <is>
          <t>CHECK_VENDOR</t>
        </is>
      </c>
      <c r="N1462" s="187" t="inlineStr">
        <is>
          <t>See NVD references</t>
        </is>
      </c>
      <c r="O1462" s="187" t="inlineStr">
        <is>
          <t>Apply vendor patches</t>
        </is>
      </c>
      <c r="P1462" s="187" t="inlineStr">
        <is>
          <t>See CVE details</t>
        </is>
      </c>
      <c r="Q1462" s="187" t="inlineStr">
        <is>
          <t>P4</t>
        </is>
      </c>
      <c r="R1462" s="187" t="inlineStr">
        <is>
          <t>📅 Schedule patch deployment within 30 days | 🔍 Monitor for exploitation attempts</t>
        </is>
      </c>
      <c r="S1462" s="187" t="inlineStr">
        <is>
          <t>CVE - IP enrichment n/a</t>
        </is>
      </c>
      <c r="T1462" s="187" t="n">
        <v>0</v>
      </c>
      <c r="U1462" s="187" t="n">
        <v>0</v>
      </c>
      <c r="V1462" s="187" t="inlineStr">
        <is>
          <t>T1190:Exploit Public-Facing Application</t>
        </is>
      </c>
      <c r="W1462" s="187" t="n">
        <v>1</v>
      </c>
      <c r="X1462" s="187" t="inlineStr">
        <is>
          <t>LOW (40%)</t>
        </is>
      </c>
      <c r="Y1462" s="187" t="inlineStr">
        <is>
          <t>UNLIKELY</t>
        </is>
      </c>
      <c r="Z1462" s="187" t="inlineStr">
        <is>
          <t>CHECK_VENDOR</t>
        </is>
      </c>
      <c r="AA1462" s="187" t="inlineStr">
        <is>
          <t>https://nvd.nist.gov/vuln/detail/CVE-2026-25929</t>
        </is>
      </c>
      <c r="AB1462" s="187" t="inlineStr">
        <is>
          <t>NONE</t>
        </is>
      </c>
      <c r="AC1462" s="187" t="n">
        <v>0</v>
      </c>
      <c r="AD1462" s="187" t="inlineStr"/>
    </row>
    <row r="1463">
      <c r="A1463" s="187" t="inlineStr">
        <is>
          <t>CVE</t>
        </is>
      </c>
      <c r="B1463" s="187" t="inlineStr">
        <is>
          <t>CVE-2026-25930</t>
        </is>
      </c>
      <c r="C1463" s="187" t="inlineStr">
        <is>
          <t>OpenEMR is a free and open source electronic health records and medical practice management application. Prior to version 8.0.0, the Layout-Based Form (LBF) printable view accepts `formid` and `visitid` (or `patientid`) from the request and does not verify that the form belongs to the current user’s authorized patient/encounter. An authenticated user with LBF access can enumerate form IDs and view or print any patient’s encounter forms. Version 8.0.0 fixes the issue.</t>
        </is>
      </c>
      <c r="D1463" s="187" t="n">
        <v>6.5</v>
      </c>
      <c r="E1463" s="187" t="inlineStr">
        <is>
          <t>MEDIUM</t>
        </is>
      </c>
      <c r="F1463" s="187" t="n">
        <v>2</v>
      </c>
      <c r="G1463" s="187" t="n">
        <v>2</v>
      </c>
      <c r="H1463" s="187" t="inlineStr">
        <is>
          <t>MEDIUM</t>
        </is>
      </c>
      <c r="I1463" s="187" t="n">
        <v>10.5</v>
      </c>
      <c r="J1463" s="187" t="inlineStr">
        <is>
          <t>NO</t>
        </is>
      </c>
      <c r="K1463" s="187" t="inlineStr">
        <is>
          <t>https://nvd.nist.gov/vuln/detail/CVE-2026-25930</t>
        </is>
      </c>
      <c r="L1463" s="187" t="inlineStr">
        <is>
          <t>2026-02-26 00:15</t>
        </is>
      </c>
      <c r="M1463" s="187" t="inlineStr">
        <is>
          <t>CHECK_VENDOR</t>
        </is>
      </c>
      <c r="N1463" s="187" t="inlineStr">
        <is>
          <t>See NVD references</t>
        </is>
      </c>
      <c r="O1463" s="187" t="inlineStr">
        <is>
          <t>Apply vendor patches</t>
        </is>
      </c>
      <c r="P1463" s="187" t="inlineStr">
        <is>
          <t>See CVE details</t>
        </is>
      </c>
      <c r="Q1463" s="187" t="inlineStr">
        <is>
          <t>P4</t>
        </is>
      </c>
      <c r="R1463" s="187" t="inlineStr">
        <is>
          <t>📅 Schedule patch deployment within 30 days | 🔍 Monitor for exploitation attempts</t>
        </is>
      </c>
      <c r="S1463" s="187" t="inlineStr">
        <is>
          <t>CVE - IP enrichment n/a</t>
        </is>
      </c>
      <c r="T1463" s="187" t="n">
        <v>0</v>
      </c>
      <c r="U1463" s="187" t="n">
        <v>0</v>
      </c>
      <c r="V1463" s="187" t="inlineStr">
        <is>
          <t>T1190:Exploit Public-Facing Application</t>
        </is>
      </c>
      <c r="W1463" s="187" t="n">
        <v>1</v>
      </c>
      <c r="X1463" s="187" t="inlineStr">
        <is>
          <t>LOW (40%)</t>
        </is>
      </c>
      <c r="Y1463" s="187" t="inlineStr">
        <is>
          <t>UNLIKELY</t>
        </is>
      </c>
      <c r="Z1463" s="187" t="inlineStr">
        <is>
          <t>CHECK_VENDOR</t>
        </is>
      </c>
      <c r="AA1463" s="187" t="inlineStr">
        <is>
          <t>https://nvd.nist.gov/vuln/detail/CVE-2026-25930</t>
        </is>
      </c>
      <c r="AB1463" s="187" t="inlineStr">
        <is>
          <t>NONE</t>
        </is>
      </c>
      <c r="AC1463" s="187" t="n">
        <v>0</v>
      </c>
      <c r="AD1463" s="187" t="inlineStr"/>
    </row>
    <row r="1464">
      <c r="A1464" s="187" t="inlineStr">
        <is>
          <t>CVE</t>
        </is>
      </c>
      <c r="B1464" s="187" t="inlineStr">
        <is>
          <t>CVE-2026-3221</t>
        </is>
      </c>
      <c r="C1464" s="187" t="inlineStr">
        <is>
          <t>Sensitive
 user account information is not encrypted in the database in Devolutions Server 2025.3.14 and earlier, which allows an attacker with 
access to the database to obtain sensitive user 
information via direct database access.</t>
        </is>
      </c>
      <c r="D1464" s="187" t="n">
        <v>5</v>
      </c>
      <c r="E1464" s="187" t="inlineStr">
        <is>
          <t>MEDIUM</t>
        </is>
      </c>
      <c r="F1464" s="187" t="n">
        <v>2</v>
      </c>
      <c r="G1464" s="187" t="n">
        <v>2</v>
      </c>
      <c r="H1464" s="187" t="inlineStr">
        <is>
          <t>MEDIUM</t>
        </is>
      </c>
      <c r="I1464" s="187" t="n">
        <v>9</v>
      </c>
      <c r="J1464" s="187" t="inlineStr">
        <is>
          <t>NO</t>
        </is>
      </c>
      <c r="K1464" s="187" t="inlineStr">
        <is>
          <t>https://nvd.nist.gov/vuln/detail/CVE-2026-3221</t>
        </is>
      </c>
      <c r="L1464" s="187" t="inlineStr">
        <is>
          <t>2026-02-26 00:15</t>
        </is>
      </c>
      <c r="M1464" s="187" t="inlineStr">
        <is>
          <t>CHECK_VENDOR</t>
        </is>
      </c>
      <c r="N1464" s="187" t="inlineStr">
        <is>
          <t>See NVD references</t>
        </is>
      </c>
      <c r="O1464" s="187" t="inlineStr">
        <is>
          <t>Apply vendor patches</t>
        </is>
      </c>
      <c r="P1464" s="187" t="inlineStr">
        <is>
          <t>See CVE details</t>
        </is>
      </c>
      <c r="Q1464" s="187" t="inlineStr">
        <is>
          <t>P4</t>
        </is>
      </c>
      <c r="R1464" s="187" t="inlineStr">
        <is>
          <t>📅 Schedule patch deployment within 30 days | 🔍 Monitor for exploitation attempts</t>
        </is>
      </c>
      <c r="S1464" s="187" t="inlineStr">
        <is>
          <t>CVE - IP enrichment n/a</t>
        </is>
      </c>
      <c r="T1464" s="187" t="n">
        <v>0</v>
      </c>
      <c r="U1464" s="187" t="n">
        <v>0</v>
      </c>
      <c r="V1464" s="187" t="inlineStr">
        <is>
          <t>T1190:Exploit Public-Facing Application</t>
        </is>
      </c>
      <c r="W1464" s="187" t="n">
        <v>1</v>
      </c>
      <c r="X1464" s="187" t="inlineStr">
        <is>
          <t>LOW (40%)</t>
        </is>
      </c>
      <c r="Y1464" s="187" t="inlineStr">
        <is>
          <t>UNLIKELY</t>
        </is>
      </c>
      <c r="Z1464" s="187" t="inlineStr">
        <is>
          <t>CHECK_VENDOR</t>
        </is>
      </c>
      <c r="AA1464" s="187" t="inlineStr">
        <is>
          <t>https://nvd.nist.gov/vuln/detail/CVE-2026-3221</t>
        </is>
      </c>
      <c r="AB1464" s="187" t="inlineStr">
        <is>
          <t>NONE</t>
        </is>
      </c>
      <c r="AC1464" s="187" t="n">
        <v>0</v>
      </c>
      <c r="AD1464" s="187" t="inlineStr"/>
    </row>
    <row r="1465">
      <c r="A1465" s="187" t="inlineStr">
        <is>
          <t>CVE</t>
        </is>
      </c>
      <c r="B1465" s="187" t="inlineStr">
        <is>
          <t>CVE-2025-14103</t>
        </is>
      </c>
      <c r="C1465" s="187" t="inlineStr">
        <is>
          <t>GitLab has remediated an issue in GitLab CE/EE affecting all versions from 17.7 before 18.7.5, 18.8 before 18.8.5, and 18.9 before 18.9.1 that could have allowed an unauthorized user with Developer-role permissions to set pipeline variables for manually triggered jobs under certain conditions.</t>
        </is>
      </c>
      <c r="D1465" s="187" t="n">
        <v>4.3</v>
      </c>
      <c r="E1465" s="187" t="inlineStr">
        <is>
          <t>MEDIUM</t>
        </is>
      </c>
      <c r="F1465" s="187" t="n">
        <v>2</v>
      </c>
      <c r="G1465" s="187" t="n">
        <v>2</v>
      </c>
      <c r="H1465" s="187" t="inlineStr">
        <is>
          <t>MEDIUM</t>
        </is>
      </c>
      <c r="I1465" s="187" t="n">
        <v>8.300000000000001</v>
      </c>
      <c r="J1465" s="187" t="inlineStr">
        <is>
          <t>NO</t>
        </is>
      </c>
      <c r="K1465" s="187" t="inlineStr">
        <is>
          <t>https://nvd.nist.gov/vuln/detail/CVE-2025-14103</t>
        </is>
      </c>
      <c r="L1465" s="187" t="inlineStr">
        <is>
          <t>2026-02-26 00:15</t>
        </is>
      </c>
      <c r="M1465" s="187" t="inlineStr">
        <is>
          <t>CHECK_VENDOR</t>
        </is>
      </c>
      <c r="N1465" s="187" t="inlineStr">
        <is>
          <t>See NVD references</t>
        </is>
      </c>
      <c r="O1465" s="187" t="inlineStr">
        <is>
          <t>Apply vendor patches</t>
        </is>
      </c>
      <c r="P1465" s="187" t="inlineStr">
        <is>
          <t>See CVE details</t>
        </is>
      </c>
      <c r="Q1465" s="187" t="inlineStr">
        <is>
          <t>P4</t>
        </is>
      </c>
      <c r="R1465" s="187" t="inlineStr">
        <is>
          <t>📅 Schedule patch deployment within 30 days | 🔍 Monitor for exploitation attempts</t>
        </is>
      </c>
      <c r="S1465" s="187" t="inlineStr">
        <is>
          <t>CVE - IP enrichment n/a</t>
        </is>
      </c>
      <c r="T1465" s="187" t="n">
        <v>0</v>
      </c>
      <c r="U1465" s="187" t="n">
        <v>0</v>
      </c>
      <c r="V1465" s="187" t="inlineStr">
        <is>
          <t>T1190:Exploit Public-Facing Application</t>
        </is>
      </c>
      <c r="W1465" s="187" t="n">
        <v>1</v>
      </c>
      <c r="X1465" s="187" t="inlineStr">
        <is>
          <t>LOW (40%)</t>
        </is>
      </c>
      <c r="Y1465" s="187" t="inlineStr">
        <is>
          <t>UNLIKELY</t>
        </is>
      </c>
      <c r="Z1465" s="187" t="inlineStr">
        <is>
          <t>CHECK_VENDOR</t>
        </is>
      </c>
      <c r="AA1465" s="187" t="inlineStr">
        <is>
          <t>https://nvd.nist.gov/vuln/detail/CVE-2025-14103</t>
        </is>
      </c>
      <c r="AB1465" s="187" t="inlineStr">
        <is>
          <t>NONE</t>
        </is>
      </c>
      <c r="AC1465" s="187" t="n">
        <v>0</v>
      </c>
      <c r="AD1465" s="187" t="inlineStr"/>
    </row>
    <row r="1466">
      <c r="A1466" s="187" t="inlineStr">
        <is>
          <t>CVE</t>
        </is>
      </c>
      <c r="B1466" s="187" t="inlineStr">
        <is>
          <t>CVE-2025-3525</t>
        </is>
      </c>
      <c r="C1466" s="187" t="inlineStr">
        <is>
          <t>GitLab has remediated an issue in GitLab CE/EE affecting all versions from 9.0 before 18.7.5, 18.8 before 18.8.5, and 18.9 before 18.9.1 that could have, under certain circumstances, allowed an authenticated user with certain access to cause Denial of Service by creating specially crafted CI triggers via the API.</t>
        </is>
      </c>
      <c r="D1466" s="187" t="n">
        <v>6.5</v>
      </c>
      <c r="E1466" s="187" t="inlineStr">
        <is>
          <t>MEDIUM</t>
        </is>
      </c>
      <c r="F1466" s="187" t="n">
        <v>2</v>
      </c>
      <c r="G1466" s="187" t="n">
        <v>2</v>
      </c>
      <c r="H1466" s="187" t="inlineStr">
        <is>
          <t>MEDIUM</t>
        </is>
      </c>
      <c r="I1466" s="187" t="n">
        <v>10.5</v>
      </c>
      <c r="J1466" s="187" t="inlineStr">
        <is>
          <t>NO</t>
        </is>
      </c>
      <c r="K1466" s="187" t="inlineStr">
        <is>
          <t>https://nvd.nist.gov/vuln/detail/CVE-2025-3525</t>
        </is>
      </c>
      <c r="L1466" s="187" t="inlineStr">
        <is>
          <t>2026-02-26 00:15</t>
        </is>
      </c>
      <c r="M1466" s="187" t="inlineStr">
        <is>
          <t>CHECK_VENDOR</t>
        </is>
      </c>
      <c r="N1466" s="187" t="inlineStr">
        <is>
          <t>See NVD references</t>
        </is>
      </c>
      <c r="O1466" s="187" t="inlineStr">
        <is>
          <t>Apply vendor patches</t>
        </is>
      </c>
      <c r="P1466" s="187" t="inlineStr">
        <is>
          <t>See CVE details</t>
        </is>
      </c>
      <c r="Q1466" s="187" t="inlineStr">
        <is>
          <t>P4</t>
        </is>
      </c>
      <c r="R1466" s="187" t="inlineStr">
        <is>
          <t>📅 Schedule patch deployment within 30 days | 🔍 Monitor for exploitation attempts</t>
        </is>
      </c>
      <c r="S1466" s="187" t="inlineStr">
        <is>
          <t>CVE - IP enrichment n/a</t>
        </is>
      </c>
      <c r="T1466" s="187" t="n">
        <v>0</v>
      </c>
      <c r="U1466" s="187" t="n">
        <v>0</v>
      </c>
      <c r="V1466" s="187" t="inlineStr">
        <is>
          <t>T1499:Endpoint Denial of Service</t>
        </is>
      </c>
      <c r="W1466" s="187" t="n">
        <v>1</v>
      </c>
      <c r="X1466" s="187" t="inlineStr">
        <is>
          <t>LOW (40%)</t>
        </is>
      </c>
      <c r="Y1466" s="187" t="inlineStr">
        <is>
          <t>UNLIKELY</t>
        </is>
      </c>
      <c r="Z1466" s="187" t="inlineStr">
        <is>
          <t>CHECK_VENDOR</t>
        </is>
      </c>
      <c r="AA1466" s="187" t="inlineStr">
        <is>
          <t>https://nvd.nist.gov/vuln/detail/CVE-2025-3525</t>
        </is>
      </c>
      <c r="AB1466" s="187" t="inlineStr">
        <is>
          <t>NONE</t>
        </is>
      </c>
      <c r="AC1466" s="187" t="n">
        <v>0</v>
      </c>
      <c r="AD1466" s="187" t="inlineStr"/>
    </row>
    <row r="1467">
      <c r="A1467" s="188" t="inlineStr">
        <is>
          <t>CVE</t>
        </is>
      </c>
      <c r="B1467" s="188" t="inlineStr">
        <is>
          <t>CVE-2026-22719</t>
        </is>
      </c>
      <c r="C1467" s="188" t="inlineStr">
        <is>
          <t xml:space="preserve">VMware Aria Operations contains a command injection vulnerability. A malicious unauthenticated actor may exploit this issue to execute arbitrary commands which may lead to remote code execution in VMware Aria Operations while support-assisted product migration is in progress. 
To remediate CVE-2026-22719, apply the patches listed in the 'Fixed Version' column of the ' Response Matrix https://support.broadcom.com/web/ecx/support-content-notification/-/external/content/SecurityAdvisories/0/36947 </t>
        </is>
      </c>
      <c r="D1467" s="188" t="n">
        <v>8.1</v>
      </c>
      <c r="E1467" s="188" t="inlineStr">
        <is>
          <t>HIGH</t>
        </is>
      </c>
      <c r="F1467" s="188" t="n">
        <v>2</v>
      </c>
      <c r="G1467" s="188" t="n">
        <v>3</v>
      </c>
      <c r="H1467" s="188" t="inlineStr">
        <is>
          <t>HIGH</t>
        </is>
      </c>
      <c r="I1467" s="188" t="n">
        <v>14.1</v>
      </c>
      <c r="J1467" s="188" t="inlineStr">
        <is>
          <t>NO</t>
        </is>
      </c>
      <c r="K1467" s="188" t="inlineStr">
        <is>
          <t>https://nvd.nist.gov/vuln/detail/CVE-2026-22719</t>
        </is>
      </c>
      <c r="L1467" s="188" t="inlineStr">
        <is>
          <t>2026-02-26 00:15</t>
        </is>
      </c>
      <c r="M1467" s="188" t="inlineStr">
        <is>
          <t>CHECK_VENDOR</t>
        </is>
      </c>
      <c r="N1467" s="188" t="inlineStr">
        <is>
          <t>See NVD references</t>
        </is>
      </c>
      <c r="O1467" s="188" t="inlineStr">
        <is>
          <t>Apply vendor patches</t>
        </is>
      </c>
      <c r="P1467" s="188" t="inlineStr">
        <is>
          <t>See CVE details</t>
        </is>
      </c>
      <c r="Q1467" s="188" t="inlineStr">
        <is>
          <t>P3</t>
        </is>
      </c>
      <c r="R1467" s="188" t="inlineStr">
        <is>
          <t>🚨 URGENT: Apply vendor patches immediately | 🔒 Isolate affected systems if patch unavailable | 🛡️ Enable additional monitoring/IDS rules</t>
        </is>
      </c>
      <c r="S1467" s="188" t="inlineStr">
        <is>
          <t>CVE - IP enrichment n/a</t>
        </is>
      </c>
      <c r="T1467" s="188" t="n">
        <v>0</v>
      </c>
      <c r="U1467" s="188" t="n">
        <v>0</v>
      </c>
      <c r="V1467" s="188" t="inlineStr">
        <is>
          <t>T1190:Exploit Public-Facing Application | T1210:Exploitation of Remote Services | T1059:Command and Scripting Interpreter</t>
        </is>
      </c>
      <c r="W1467" s="188" t="n">
        <v>1</v>
      </c>
      <c r="X1467" s="188" t="inlineStr">
        <is>
          <t>LOW (40%)</t>
        </is>
      </c>
      <c r="Y1467" s="188" t="inlineStr">
        <is>
          <t>UNLIKELY</t>
        </is>
      </c>
      <c r="Z1467" s="188" t="inlineStr">
        <is>
          <t>CHECK_VENDOR</t>
        </is>
      </c>
      <c r="AA1467" s="188" t="inlineStr">
        <is>
          <t>https://nvd.nist.gov/vuln/detail/CVE-2026-22719</t>
        </is>
      </c>
      <c r="AB1467" s="188" t="inlineStr">
        <is>
          <t>NONE</t>
        </is>
      </c>
      <c r="AC1467" s="188" t="n">
        <v>0</v>
      </c>
      <c r="AD1467" s="188" t="inlineStr"/>
    </row>
    <row r="1468">
      <c r="A1468" s="188" t="inlineStr">
        <is>
          <t>CVE</t>
        </is>
      </c>
      <c r="B1468" s="188" t="inlineStr">
        <is>
          <t>CVE-2026-22720</t>
        </is>
      </c>
      <c r="C1468" s="188" t="inlineStr">
        <is>
          <t>VMware Aria Operations contains a stored cross-site scripting vulnerability. A malicious actor with privileges to create custom benchmarks may be able to inject script to perform administrative actions in VMware Aria Operations. 
To remediate CVE-2026-22720, apply the patches listed in the 'Fixed Version' column of the 'Response Matrix' of  VMSA-2026-0001 https://support.broadcom.com/web/ecx/support-content-notification/-/external/content/SecurityAdvisories/0/36947https:// .</t>
        </is>
      </c>
      <c r="D1468" s="188" t="n">
        <v>8</v>
      </c>
      <c r="E1468" s="188" t="inlineStr">
        <is>
          <t>HIGH</t>
        </is>
      </c>
      <c r="F1468" s="188" t="n">
        <v>2</v>
      </c>
      <c r="G1468" s="188" t="n">
        <v>3</v>
      </c>
      <c r="H1468" s="188" t="inlineStr">
        <is>
          <t>HIGH</t>
        </is>
      </c>
      <c r="I1468" s="188" t="n">
        <v>14</v>
      </c>
      <c r="J1468" s="188" t="inlineStr">
        <is>
          <t>NO</t>
        </is>
      </c>
      <c r="K1468" s="188" t="inlineStr">
        <is>
          <t>https://nvd.nist.gov/vuln/detail/CVE-2026-22720</t>
        </is>
      </c>
      <c r="L1468" s="188" t="inlineStr">
        <is>
          <t>2026-02-26 00:15</t>
        </is>
      </c>
      <c r="M1468" s="188" t="inlineStr">
        <is>
          <t>CHECK_VENDOR</t>
        </is>
      </c>
      <c r="N1468" s="188" t="inlineStr">
        <is>
          <t>See NVD references</t>
        </is>
      </c>
      <c r="O1468" s="188" t="inlineStr">
        <is>
          <t>Apply vendor patches</t>
        </is>
      </c>
      <c r="P1468" s="188" t="inlineStr">
        <is>
          <t>See CVE details</t>
        </is>
      </c>
      <c r="Q1468" s="188" t="inlineStr">
        <is>
          <t>P3</t>
        </is>
      </c>
      <c r="R1468" s="188" t="inlineStr">
        <is>
          <t>🚨 URGENT: Apply vendor patches immediately | 🔒 Isolate affected systems if patch unavailable | 🛡️ Enable additional monitoring/IDS rules</t>
        </is>
      </c>
      <c r="S1468" s="188" t="inlineStr">
        <is>
          <t>CVE - IP enrichment n/a</t>
        </is>
      </c>
      <c r="T1468" s="188" t="n">
        <v>0</v>
      </c>
      <c r="U1468" s="188" t="n">
        <v>0</v>
      </c>
      <c r="V1468" s="188" t="inlineStr">
        <is>
          <t>T1189:Drive-by Compromise</t>
        </is>
      </c>
      <c r="W1468" s="188" t="n">
        <v>1</v>
      </c>
      <c r="X1468" s="188" t="inlineStr">
        <is>
          <t>LOW (40%)</t>
        </is>
      </c>
      <c r="Y1468" s="188" t="inlineStr">
        <is>
          <t>UNLIKELY</t>
        </is>
      </c>
      <c r="Z1468" s="188" t="inlineStr">
        <is>
          <t>CHECK_VENDOR</t>
        </is>
      </c>
      <c r="AA1468" s="188" t="inlineStr">
        <is>
          <t>https://nvd.nist.gov/vuln/detail/CVE-2026-22720</t>
        </is>
      </c>
      <c r="AB1468" s="188" t="inlineStr">
        <is>
          <t>NONE</t>
        </is>
      </c>
      <c r="AC1468" s="188" t="n">
        <v>0</v>
      </c>
      <c r="AD1468" s="188" t="inlineStr"/>
    </row>
    <row r="1469">
      <c r="A1469" s="188" t="inlineStr">
        <is>
          <t>CVE</t>
        </is>
      </c>
      <c r="B1469" s="188" t="inlineStr">
        <is>
          <t>CVE-2026-25136</t>
        </is>
      </c>
      <c r="C1469" s="188" t="inlineStr">
        <is>
          <t>Rucio is a software framework that provides functionality to organize, manage, and access large volumes of scientific data using customizable policies. A reflected Cross-site Scripting vulnerability was located in versions prior to 35.8.3, 38.5.4, and 39.3.1 in the rendering of the ExceptionMessage of the WebUI 500 error which could allow attackers to steal login session tokens of users who navigate to a specially crafted URL. Versions 35.8.3, 38.5.4, and 39.3.1 fix the issue.</t>
        </is>
      </c>
      <c r="D1469" s="188" t="n">
        <v>8.1</v>
      </c>
      <c r="E1469" s="188" t="inlineStr">
        <is>
          <t>HIGH</t>
        </is>
      </c>
      <c r="F1469" s="188" t="n">
        <v>2</v>
      </c>
      <c r="G1469" s="188" t="n">
        <v>3</v>
      </c>
      <c r="H1469" s="188" t="inlineStr">
        <is>
          <t>HIGH</t>
        </is>
      </c>
      <c r="I1469" s="188" t="n">
        <v>14.1</v>
      </c>
      <c r="J1469" s="188" t="inlineStr">
        <is>
          <t>NO</t>
        </is>
      </c>
      <c r="K1469" s="188" t="inlineStr">
        <is>
          <t>https://nvd.nist.gov/vuln/detail/CVE-2026-25136</t>
        </is>
      </c>
      <c r="L1469" s="188" t="inlineStr">
        <is>
          <t>2026-02-26 00:15</t>
        </is>
      </c>
      <c r="M1469" s="188" t="inlineStr">
        <is>
          <t>CHECK_VENDOR</t>
        </is>
      </c>
      <c r="N1469" s="188" t="inlineStr">
        <is>
          <t>See NVD references</t>
        </is>
      </c>
      <c r="O1469" s="188" t="inlineStr">
        <is>
          <t>Apply vendor patches</t>
        </is>
      </c>
      <c r="P1469" s="188" t="inlineStr">
        <is>
          <t>See CVE details</t>
        </is>
      </c>
      <c r="Q1469" s="188" t="inlineStr">
        <is>
          <t>P3</t>
        </is>
      </c>
      <c r="R1469" s="188" t="inlineStr">
        <is>
          <t>🚨 URGENT: Apply vendor patches immediately | 🔒 Isolate affected systems if patch unavailable | 🛡️ Enable additional monitoring/IDS rules</t>
        </is>
      </c>
      <c r="S1469" s="188" t="inlineStr">
        <is>
          <t>CVE - IP enrichment n/a</t>
        </is>
      </c>
      <c r="T1469" s="188" t="n">
        <v>0</v>
      </c>
      <c r="U1469" s="188" t="n">
        <v>0</v>
      </c>
      <c r="V1469" s="188" t="inlineStr">
        <is>
          <t>T1189:Drive-by Compromise</t>
        </is>
      </c>
      <c r="W1469" s="188" t="n">
        <v>1</v>
      </c>
      <c r="X1469" s="188" t="inlineStr">
        <is>
          <t>LOW (40%)</t>
        </is>
      </c>
      <c r="Y1469" s="188" t="inlineStr">
        <is>
          <t>UNLIKELY</t>
        </is>
      </c>
      <c r="Z1469" s="188" t="inlineStr">
        <is>
          <t>CHECK_VENDOR</t>
        </is>
      </c>
      <c r="AA1469" s="188" t="inlineStr">
        <is>
          <t>https://nvd.nist.gov/vuln/detail/CVE-2026-25136</t>
        </is>
      </c>
      <c r="AB1469" s="188" t="inlineStr">
        <is>
          <t>NONE</t>
        </is>
      </c>
      <c r="AC1469" s="188" t="n">
        <v>0</v>
      </c>
      <c r="AD1469" s="188" t="inlineStr"/>
    </row>
    <row r="1470">
      <c r="A1470" s="187" t="inlineStr">
        <is>
          <t>CVE</t>
        </is>
      </c>
      <c r="B1470" s="187" t="inlineStr">
        <is>
          <t>CVE-2026-25138</t>
        </is>
      </c>
      <c r="C1470" s="187" t="inlineStr">
        <is>
          <t>Rucio is a software framework that provides functionality to organize, manage, and access large volumes of scientific data using customizable policies. Prior to versions 35.8.3, 38.5.4, and 39.3.1, the WebUI login endpoint returns distinct error messages depending on whether a supplied username exists, allowing unauthenticated attackers to enumerate valid usernames. Versions 35.8.3, 38.5.4, and 39.3.1 fix the issue.</t>
        </is>
      </c>
      <c r="D1470" s="187" t="n">
        <v>5.3</v>
      </c>
      <c r="E1470" s="187" t="inlineStr">
        <is>
          <t>MEDIUM</t>
        </is>
      </c>
      <c r="F1470" s="187" t="n">
        <v>2</v>
      </c>
      <c r="G1470" s="187" t="n">
        <v>2</v>
      </c>
      <c r="H1470" s="187" t="inlineStr">
        <is>
          <t>MEDIUM</t>
        </is>
      </c>
      <c r="I1470" s="187" t="n">
        <v>9.300000000000001</v>
      </c>
      <c r="J1470" s="187" t="inlineStr">
        <is>
          <t>NO</t>
        </is>
      </c>
      <c r="K1470" s="187" t="inlineStr">
        <is>
          <t>https://nvd.nist.gov/vuln/detail/CVE-2026-25138</t>
        </is>
      </c>
      <c r="L1470" s="187" t="inlineStr">
        <is>
          <t>2026-02-26 00:15</t>
        </is>
      </c>
      <c r="M1470" s="187" t="inlineStr">
        <is>
          <t>CHECK_VENDOR</t>
        </is>
      </c>
      <c r="N1470" s="187" t="inlineStr">
        <is>
          <t>See NVD references</t>
        </is>
      </c>
      <c r="O1470" s="187" t="inlineStr">
        <is>
          <t>Apply vendor patches</t>
        </is>
      </c>
      <c r="P1470" s="187" t="inlineStr">
        <is>
          <t>See CVE details</t>
        </is>
      </c>
      <c r="Q1470" s="187" t="inlineStr">
        <is>
          <t>P4</t>
        </is>
      </c>
      <c r="R1470" s="187" t="inlineStr">
        <is>
          <t>📅 Schedule patch deployment within 30 days | 🔍 Monitor for exploitation attempts</t>
        </is>
      </c>
      <c r="S1470" s="187" t="inlineStr">
        <is>
          <t>CVE - IP enrichment n/a</t>
        </is>
      </c>
      <c r="T1470" s="187" t="n">
        <v>0</v>
      </c>
      <c r="U1470" s="187" t="n">
        <v>0</v>
      </c>
      <c r="V1470" s="187" t="inlineStr">
        <is>
          <t>T1190:Exploit Public-Facing Application</t>
        </is>
      </c>
      <c r="W1470" s="187" t="n">
        <v>1</v>
      </c>
      <c r="X1470" s="187" t="inlineStr">
        <is>
          <t>LOW (40%)</t>
        </is>
      </c>
      <c r="Y1470" s="187" t="inlineStr">
        <is>
          <t>UNLIKELY</t>
        </is>
      </c>
      <c r="Z1470" s="187" t="inlineStr">
        <is>
          <t>CHECK_VENDOR</t>
        </is>
      </c>
      <c r="AA1470" s="187" t="inlineStr">
        <is>
          <t>https://nvd.nist.gov/vuln/detail/CVE-2026-25138</t>
        </is>
      </c>
      <c r="AB1470" s="187" t="inlineStr">
        <is>
          <t>NONE</t>
        </is>
      </c>
      <c r="AC1470" s="187" t="n">
        <v>0</v>
      </c>
      <c r="AD1470" s="187" t="inlineStr"/>
    </row>
    <row r="1471">
      <c r="A1471" s="188" t="inlineStr">
        <is>
          <t>CVE</t>
        </is>
      </c>
      <c r="B1471" s="188" t="inlineStr">
        <is>
          <t>CVE-2026-25733</t>
        </is>
      </c>
      <c r="C1471" s="188" t="inlineStr">
        <is>
          <t>Rucio is a software framework that provides functionality to organize, manage, and access large volumes of scientific data using customizable policies. Versions prior to 35.8.3, 38.5.4, and 39.3.1 have a stored Cross-Site Scripting (XSS) vulnerability in the Custom Rules function of the WebUI where attacker-controlled input is persisted by the backend and later rendered in the WebUI without proper output encoding. This allows arbitrary JavaScript execution in the context of the WebUI for users w</t>
        </is>
      </c>
      <c r="D1471" s="188" t="n">
        <v>7.3</v>
      </c>
      <c r="E1471" s="188" t="inlineStr">
        <is>
          <t>HIGH</t>
        </is>
      </c>
      <c r="F1471" s="188" t="n">
        <v>2</v>
      </c>
      <c r="G1471" s="188" t="n">
        <v>3</v>
      </c>
      <c r="H1471" s="188" t="inlineStr">
        <is>
          <t>HIGH</t>
        </is>
      </c>
      <c r="I1471" s="188" t="n">
        <v>13.3</v>
      </c>
      <c r="J1471" s="188" t="inlineStr">
        <is>
          <t>NO</t>
        </is>
      </c>
      <c r="K1471" s="188" t="inlineStr">
        <is>
          <t>https://nvd.nist.gov/vuln/detail/CVE-2026-25733</t>
        </is>
      </c>
      <c r="L1471" s="188" t="inlineStr">
        <is>
          <t>2026-02-26 00:15</t>
        </is>
      </c>
      <c r="M1471" s="188" t="inlineStr">
        <is>
          <t>CHECK_VENDOR</t>
        </is>
      </c>
      <c r="N1471" s="188" t="inlineStr">
        <is>
          <t>See NVD references</t>
        </is>
      </c>
      <c r="O1471" s="188" t="inlineStr">
        <is>
          <t>Apply vendor patches</t>
        </is>
      </c>
      <c r="P1471" s="188" t="inlineStr">
        <is>
          <t>See CVE details</t>
        </is>
      </c>
      <c r="Q1471" s="188" t="inlineStr">
        <is>
          <t>P3</t>
        </is>
      </c>
      <c r="R1471" s="188" t="inlineStr">
        <is>
          <t>🚨 URGENT: Apply vendor patches immediately | 🔒 Isolate affected systems if patch unavailable | 🛡️ Enable additional monitoring/IDS rules</t>
        </is>
      </c>
      <c r="S1471" s="188" t="inlineStr">
        <is>
          <t>CVE - IP enrichment n/a</t>
        </is>
      </c>
      <c r="T1471" s="188" t="n">
        <v>0</v>
      </c>
      <c r="U1471" s="188" t="n">
        <v>0</v>
      </c>
      <c r="V1471" s="188" t="inlineStr">
        <is>
          <t>T1189:Drive-by Compromise</t>
        </is>
      </c>
      <c r="W1471" s="188" t="n">
        <v>1</v>
      </c>
      <c r="X1471" s="188" t="inlineStr">
        <is>
          <t>LOW (40%)</t>
        </is>
      </c>
      <c r="Y1471" s="188" t="inlineStr">
        <is>
          <t>UNLIKELY</t>
        </is>
      </c>
      <c r="Z1471" s="188" t="inlineStr">
        <is>
          <t>CHECK_VENDOR</t>
        </is>
      </c>
      <c r="AA1471" s="188" t="inlineStr">
        <is>
          <t>https://nvd.nist.gov/vuln/detail/CVE-2026-25733</t>
        </is>
      </c>
      <c r="AB1471" s="188" t="inlineStr">
        <is>
          <t>NONE</t>
        </is>
      </c>
      <c r="AC1471" s="188" t="n">
        <v>0</v>
      </c>
      <c r="AD1471" s="188" t="inlineStr"/>
    </row>
    <row r="1472">
      <c r="A1472" s="187" t="inlineStr">
        <is>
          <t>CVE</t>
        </is>
      </c>
      <c r="B1472" s="187" t="inlineStr">
        <is>
          <t>CVE-2026-25734</t>
        </is>
      </c>
      <c r="C1472" s="187" t="inlineStr">
        <is>
          <t>Rucio is a software framework that provides functionality to organize, manage, and access large volumes of scientific data using customizable policies. Versions prior to 35.8.3, 38.5.4, and 39.3.1 have a stored Cross-Site Scripting (XSS) vulnerability in the RSE metadata of the WebUI where attacker-controlled input is persisted by the backend and later rendered in the WebUI without proper output encoding. This allows arbitrary JavaScript execution in the context of the WebUI for users who view a</t>
        </is>
      </c>
      <c r="D1472" s="187" t="n">
        <v>6.1</v>
      </c>
      <c r="E1472" s="187" t="inlineStr">
        <is>
          <t>MEDIUM</t>
        </is>
      </c>
      <c r="F1472" s="187" t="n">
        <v>2</v>
      </c>
      <c r="G1472" s="187" t="n">
        <v>2</v>
      </c>
      <c r="H1472" s="187" t="inlineStr">
        <is>
          <t>MEDIUM</t>
        </is>
      </c>
      <c r="I1472" s="187" t="n">
        <v>10.1</v>
      </c>
      <c r="J1472" s="187" t="inlineStr">
        <is>
          <t>NO</t>
        </is>
      </c>
      <c r="K1472" s="187" t="inlineStr">
        <is>
          <t>https://nvd.nist.gov/vuln/detail/CVE-2026-25734</t>
        </is>
      </c>
      <c r="L1472" s="187" t="inlineStr">
        <is>
          <t>2026-02-26 00:15</t>
        </is>
      </c>
      <c r="M1472" s="187" t="inlineStr">
        <is>
          <t>CHECK_VENDOR</t>
        </is>
      </c>
      <c r="N1472" s="187" t="inlineStr">
        <is>
          <t>See NVD references</t>
        </is>
      </c>
      <c r="O1472" s="187" t="inlineStr">
        <is>
          <t>Apply vendor patches</t>
        </is>
      </c>
      <c r="P1472" s="187" t="inlineStr">
        <is>
          <t>See CVE details</t>
        </is>
      </c>
      <c r="Q1472" s="187" t="inlineStr">
        <is>
          <t>P4</t>
        </is>
      </c>
      <c r="R1472" s="187" t="inlineStr">
        <is>
          <t>📅 Schedule patch deployment within 30 days | 🔍 Monitor for exploitation attempts</t>
        </is>
      </c>
      <c r="S1472" s="187" t="inlineStr">
        <is>
          <t>CVE - IP enrichment n/a</t>
        </is>
      </c>
      <c r="T1472" s="187" t="n">
        <v>0</v>
      </c>
      <c r="U1472" s="187" t="n">
        <v>0</v>
      </c>
      <c r="V1472" s="187" t="inlineStr">
        <is>
          <t>T1189:Drive-by Compromise</t>
        </is>
      </c>
      <c r="W1472" s="187" t="n">
        <v>1</v>
      </c>
      <c r="X1472" s="187" t="inlineStr">
        <is>
          <t>LOW (40%)</t>
        </is>
      </c>
      <c r="Y1472" s="187" t="inlineStr">
        <is>
          <t>UNLIKELY</t>
        </is>
      </c>
      <c r="Z1472" s="187" t="inlineStr">
        <is>
          <t>CHECK_VENDOR</t>
        </is>
      </c>
      <c r="AA1472" s="187" t="inlineStr">
        <is>
          <t>https://nvd.nist.gov/vuln/detail/CVE-2026-25734</t>
        </is>
      </c>
      <c r="AB1472" s="187" t="inlineStr">
        <is>
          <t>NONE</t>
        </is>
      </c>
      <c r="AC1472" s="187" t="n">
        <v>0</v>
      </c>
      <c r="AD1472" s="187" t="inlineStr"/>
    </row>
    <row r="1473">
      <c r="A1473" s="187" t="inlineStr">
        <is>
          <t>CVE</t>
        </is>
      </c>
      <c r="B1473" s="187" t="inlineStr">
        <is>
          <t>CVE-2026-25735</t>
        </is>
      </c>
      <c r="C1473" s="187" t="inlineStr">
        <is>
          <t xml:space="preserve">Rucio is a software framework that provides functionality to organize, manage, and access large volumes of scientific data using customizable policies. Versions prior to 35.8.3, 38.5.4, and 39.3.1 have a stored Cross-Site Scripting (XSS) vulnerability in the Identity Name of the WebUI where attacker-controlled input is persisted by the backend and later rendered in the WebUI without proper output encoding. This allows arbitrary JavaScript execution in the context of the WebUI for users who view </t>
        </is>
      </c>
      <c r="D1473" s="187" t="n">
        <v>6.1</v>
      </c>
      <c r="E1473" s="187" t="inlineStr">
        <is>
          <t>MEDIUM</t>
        </is>
      </c>
      <c r="F1473" s="187" t="n">
        <v>2</v>
      </c>
      <c r="G1473" s="187" t="n">
        <v>2</v>
      </c>
      <c r="H1473" s="187" t="inlineStr">
        <is>
          <t>MEDIUM</t>
        </is>
      </c>
      <c r="I1473" s="187" t="n">
        <v>10.1</v>
      </c>
      <c r="J1473" s="187" t="inlineStr">
        <is>
          <t>NO</t>
        </is>
      </c>
      <c r="K1473" s="187" t="inlineStr">
        <is>
          <t>https://nvd.nist.gov/vuln/detail/CVE-2026-25735</t>
        </is>
      </c>
      <c r="L1473" s="187" t="inlineStr">
        <is>
          <t>2026-02-26 00:15</t>
        </is>
      </c>
      <c r="M1473" s="187" t="inlineStr">
        <is>
          <t>CHECK_VENDOR</t>
        </is>
      </c>
      <c r="N1473" s="187" t="inlineStr">
        <is>
          <t>See NVD references</t>
        </is>
      </c>
      <c r="O1473" s="187" t="inlineStr">
        <is>
          <t>Apply vendor patches</t>
        </is>
      </c>
      <c r="P1473" s="187" t="inlineStr">
        <is>
          <t>See CVE details</t>
        </is>
      </c>
      <c r="Q1473" s="187" t="inlineStr">
        <is>
          <t>P4</t>
        </is>
      </c>
      <c r="R1473" s="187" t="inlineStr">
        <is>
          <t>📅 Schedule patch deployment within 30 days | 🔍 Monitor for exploitation attempts</t>
        </is>
      </c>
      <c r="S1473" s="187" t="inlineStr">
        <is>
          <t>CVE - IP enrichment n/a</t>
        </is>
      </c>
      <c r="T1473" s="187" t="n">
        <v>0</v>
      </c>
      <c r="U1473" s="187" t="n">
        <v>0</v>
      </c>
      <c r="V1473" s="187" t="inlineStr">
        <is>
          <t>T1189:Drive-by Compromise</t>
        </is>
      </c>
      <c r="W1473" s="187" t="n">
        <v>1</v>
      </c>
      <c r="X1473" s="187" t="inlineStr">
        <is>
          <t>LOW (40%)</t>
        </is>
      </c>
      <c r="Y1473" s="187" t="inlineStr">
        <is>
          <t>UNLIKELY</t>
        </is>
      </c>
      <c r="Z1473" s="187" t="inlineStr">
        <is>
          <t>CHECK_VENDOR</t>
        </is>
      </c>
      <c r="AA1473" s="187" t="inlineStr">
        <is>
          <t>https://nvd.nist.gov/vuln/detail/CVE-2026-25735</t>
        </is>
      </c>
      <c r="AB1473" s="187" t="inlineStr">
        <is>
          <t>NONE</t>
        </is>
      </c>
      <c r="AC1473" s="187" t="n">
        <v>0</v>
      </c>
      <c r="AD1473" s="187" t="inlineStr"/>
    </row>
    <row r="1474">
      <c r="A1474" s="187" t="inlineStr">
        <is>
          <t>CVE</t>
        </is>
      </c>
      <c r="B1474" s="187" t="inlineStr">
        <is>
          <t>CVE-2026-25736</t>
        </is>
      </c>
      <c r="C1474" s="187" t="inlineStr">
        <is>
          <t>Rucio is a software framework that provides functionality to organize, manage, and access large volumes of scientific data using customizable policies. Versions prior to 35.8.3, 38.5.4, and 39.3.1 have a stored Cross-Site Scripting (XSS) vulnerability in the Custom RSE Attribute of the WebUI where attacker-controlled input is persisted by the backend and later rendered in the WebUI without proper output encoding. This allows arbitrary JavaScript execution in the context of the WebUI for users wh</t>
        </is>
      </c>
      <c r="D1474" s="187" t="n">
        <v>6.1</v>
      </c>
      <c r="E1474" s="187" t="inlineStr">
        <is>
          <t>MEDIUM</t>
        </is>
      </c>
      <c r="F1474" s="187" t="n">
        <v>2</v>
      </c>
      <c r="G1474" s="187" t="n">
        <v>2</v>
      </c>
      <c r="H1474" s="187" t="inlineStr">
        <is>
          <t>MEDIUM</t>
        </is>
      </c>
      <c r="I1474" s="187" t="n">
        <v>10.1</v>
      </c>
      <c r="J1474" s="187" t="inlineStr">
        <is>
          <t>NO</t>
        </is>
      </c>
      <c r="K1474" s="187" t="inlineStr">
        <is>
          <t>https://nvd.nist.gov/vuln/detail/CVE-2026-25736</t>
        </is>
      </c>
      <c r="L1474" s="187" t="inlineStr">
        <is>
          <t>2026-02-26 00:15</t>
        </is>
      </c>
      <c r="M1474" s="187" t="inlineStr">
        <is>
          <t>CHECK_VENDOR</t>
        </is>
      </c>
      <c r="N1474" s="187" t="inlineStr">
        <is>
          <t>See NVD references</t>
        </is>
      </c>
      <c r="O1474" s="187" t="inlineStr">
        <is>
          <t>Apply vendor patches</t>
        </is>
      </c>
      <c r="P1474" s="187" t="inlineStr">
        <is>
          <t>See CVE details</t>
        </is>
      </c>
      <c r="Q1474" s="187" t="inlineStr">
        <is>
          <t>P4</t>
        </is>
      </c>
      <c r="R1474" s="187" t="inlineStr">
        <is>
          <t>📅 Schedule patch deployment within 30 days | 🔍 Monitor for exploitation attempts</t>
        </is>
      </c>
      <c r="S1474" s="187" t="inlineStr">
        <is>
          <t>CVE - IP enrichment n/a</t>
        </is>
      </c>
      <c r="T1474" s="187" t="n">
        <v>0</v>
      </c>
      <c r="U1474" s="187" t="n">
        <v>0</v>
      </c>
      <c r="V1474" s="187" t="inlineStr">
        <is>
          <t>T1189:Drive-by Compromise</t>
        </is>
      </c>
      <c r="W1474" s="187" t="n">
        <v>1</v>
      </c>
      <c r="X1474" s="187" t="inlineStr">
        <is>
          <t>LOW (40%)</t>
        </is>
      </c>
      <c r="Y1474" s="187" t="inlineStr">
        <is>
          <t>UNLIKELY</t>
        </is>
      </c>
      <c r="Z1474" s="187" t="inlineStr">
        <is>
          <t>CHECK_VENDOR</t>
        </is>
      </c>
      <c r="AA1474" s="187" t="inlineStr">
        <is>
          <t>https://nvd.nist.gov/vuln/detail/CVE-2026-25736</t>
        </is>
      </c>
      <c r="AB1474" s="187" t="inlineStr">
        <is>
          <t>NONE</t>
        </is>
      </c>
      <c r="AC1474" s="187" t="n">
        <v>0</v>
      </c>
      <c r="AD1474" s="187" t="inlineStr"/>
    </row>
    <row r="1475">
      <c r="A1475" s="187" t="inlineStr">
        <is>
          <t>CVE</t>
        </is>
      </c>
      <c r="B1475" s="187" t="inlineStr">
        <is>
          <t>CVE-2026-25941</t>
        </is>
      </c>
      <c r="C1475" s="187" t="inlineStr">
        <is>
          <t xml:space="preserve">FreeRDP is a free implementation of the Remote Desktop Protocol. Versions on the 2.x branch prior to to 2.11.8 and on the 3.x branch prior to 3.23.0 have an out-of-bounds read vulnerability in the FreeRDP client's RDPGFX channel that allows a malicious RDP server to read uninitialized heap memory by sending a crafted WIRE_TO_SURFACE_2 PDU with a `bitmapDataLength` value larger than the actual data in the packet. This can lead to information disclosure or client crashes when a user connects to a </t>
        </is>
      </c>
      <c r="D1475" s="187" t="n">
        <v>4.3</v>
      </c>
      <c r="E1475" s="187" t="inlineStr">
        <is>
          <t>MEDIUM</t>
        </is>
      </c>
      <c r="F1475" s="187" t="n">
        <v>2</v>
      </c>
      <c r="G1475" s="187" t="n">
        <v>2</v>
      </c>
      <c r="H1475" s="187" t="inlineStr">
        <is>
          <t>MEDIUM</t>
        </is>
      </c>
      <c r="I1475" s="187" t="n">
        <v>8.300000000000001</v>
      </c>
      <c r="J1475" s="187" t="inlineStr">
        <is>
          <t>NO</t>
        </is>
      </c>
      <c r="K1475" s="187" t="inlineStr">
        <is>
          <t>https://nvd.nist.gov/vuln/detail/CVE-2026-25941</t>
        </is>
      </c>
      <c r="L1475" s="187" t="inlineStr">
        <is>
          <t>2026-02-26 00:15</t>
        </is>
      </c>
      <c r="M1475" s="187" t="inlineStr">
        <is>
          <t>CHECK_VENDOR</t>
        </is>
      </c>
      <c r="N1475" s="187" t="inlineStr">
        <is>
          <t>See NVD references</t>
        </is>
      </c>
      <c r="O1475" s="187" t="inlineStr">
        <is>
          <t>Apply vendor patches</t>
        </is>
      </c>
      <c r="P1475" s="187" t="inlineStr">
        <is>
          <t>See CVE details</t>
        </is>
      </c>
      <c r="Q1475" s="187" t="inlineStr">
        <is>
          <t>P4</t>
        </is>
      </c>
      <c r="R1475" s="187" t="inlineStr">
        <is>
          <t>📅 Schedule patch deployment within 30 days | 🔍 Monitor for exploitation attempts</t>
        </is>
      </c>
      <c r="S1475" s="187" t="inlineStr">
        <is>
          <t>CVE - IP enrichment n/a</t>
        </is>
      </c>
      <c r="T1475" s="187" t="n">
        <v>0</v>
      </c>
      <c r="U1475" s="187" t="n">
        <v>0</v>
      </c>
      <c r="V1475" s="187" t="inlineStr">
        <is>
          <t>T1203:Exploitation for Client Execution | T1213:Data from Information Repositories</t>
        </is>
      </c>
      <c r="W1475" s="187" t="n">
        <v>1</v>
      </c>
      <c r="X1475" s="187" t="inlineStr">
        <is>
          <t>LOW (40%)</t>
        </is>
      </c>
      <c r="Y1475" s="187" t="inlineStr">
        <is>
          <t>UNLIKELY</t>
        </is>
      </c>
      <c r="Z1475" s="187" t="inlineStr">
        <is>
          <t>CHECK_VENDOR</t>
        </is>
      </c>
      <c r="AA1475" s="187" t="inlineStr">
        <is>
          <t>https://nvd.nist.gov/vuln/detail/CVE-2026-25941</t>
        </is>
      </c>
      <c r="AB1475" s="187" t="inlineStr">
        <is>
          <t>NONE</t>
        </is>
      </c>
      <c r="AC1475" s="187" t="n">
        <v>0</v>
      </c>
      <c r="AD1475" s="187" t="inlineStr"/>
    </row>
    <row r="1476">
      <c r="A1476" s="187" t="inlineStr">
        <is>
          <t>CVE</t>
        </is>
      </c>
      <c r="B1476" s="187" t="inlineStr">
        <is>
          <t>CVE-2026-2636</t>
        </is>
      </c>
      <c r="C1476" s="187" t="inlineStr">
        <is>
          <t>This vulnerability is caused by a CWE‑159: "Improper Handling of Invalid Use of Special Elements" weakness, which leads to an unrecoverable inconsistency in the CLFS.sys driver. This condition forces a call to the KeBugCheckEx function, allowing an unprivileged user to trigger a system crash. Microsoft silently fixed this vulnerability in the September 2025 cumulative update for Windows 11 2024 LTSC and Windows Server 2025. Windows 25H2 (released in September) was released with the patch. Window</t>
        </is>
      </c>
      <c r="D1476" s="187" t="n">
        <v>5.5</v>
      </c>
      <c r="E1476" s="187" t="inlineStr">
        <is>
          <t>MEDIUM</t>
        </is>
      </c>
      <c r="F1476" s="187" t="n">
        <v>2</v>
      </c>
      <c r="G1476" s="187" t="n">
        <v>2</v>
      </c>
      <c r="H1476" s="187" t="inlineStr">
        <is>
          <t>MEDIUM</t>
        </is>
      </c>
      <c r="I1476" s="187" t="n">
        <v>9.5</v>
      </c>
      <c r="J1476" s="187" t="inlineStr">
        <is>
          <t>NO</t>
        </is>
      </c>
      <c r="K1476" s="187" t="inlineStr">
        <is>
          <t>https://nvd.nist.gov/vuln/detail/CVE-2026-2636</t>
        </is>
      </c>
      <c r="L1476" s="187" t="inlineStr">
        <is>
          <t>2026-02-26 00:15</t>
        </is>
      </c>
      <c r="M1476" s="187" t="inlineStr">
        <is>
          <t>CHECK_VENDOR</t>
        </is>
      </c>
      <c r="N1476" s="187" t="inlineStr">
        <is>
          <t>See NVD references</t>
        </is>
      </c>
      <c r="O1476" s="187" t="inlineStr">
        <is>
          <t>Apply vendor patches</t>
        </is>
      </c>
      <c r="P1476" s="187" t="inlineStr">
        <is>
          <t>See CVE details</t>
        </is>
      </c>
      <c r="Q1476" s="187" t="inlineStr">
        <is>
          <t>P3</t>
        </is>
      </c>
      <c r="R1476" s="187" t="inlineStr">
        <is>
          <t>📅 Schedule patch deployment within 30 days | 🔍 Monitor for exploitation attempts</t>
        </is>
      </c>
      <c r="S1476" s="187" t="inlineStr">
        <is>
          <t>CVE - IP enrichment n/a</t>
        </is>
      </c>
      <c r="T1476" s="187" t="n">
        <v>0</v>
      </c>
      <c r="U1476" s="187" t="n">
        <v>0</v>
      </c>
      <c r="V1476" s="187" t="inlineStr">
        <is>
          <t>T1190:Exploit Public-Facing Application</t>
        </is>
      </c>
      <c r="W1476" s="187" t="n">
        <v>2</v>
      </c>
      <c r="X1476" s="187" t="inlineStr">
        <is>
          <t>MEDIUM (52%)</t>
        </is>
      </c>
      <c r="Y1476" s="187" t="inlineStr">
        <is>
          <t>UNLIKELY</t>
        </is>
      </c>
      <c r="Z1476" s="187" t="inlineStr">
        <is>
          <t>CHECK_VENDOR</t>
        </is>
      </c>
      <c r="AA1476" s="187" t="inlineStr">
        <is>
          <t>https://nvd.nist.gov/vuln/detail/CVE-2026-2636</t>
        </is>
      </c>
      <c r="AB1476" s="187" t="inlineStr">
        <is>
          <t>NONE</t>
        </is>
      </c>
      <c r="AC1476" s="187" t="n">
        <v>0</v>
      </c>
      <c r="AD1476" s="187" t="inlineStr"/>
    </row>
    <row r="1477">
      <c r="A1477" s="188" t="inlineStr">
        <is>
          <t>CVE</t>
        </is>
      </c>
      <c r="B1477" s="188" t="inlineStr">
        <is>
          <t>CVE-2025-14511</t>
        </is>
      </c>
      <c r="C1477" s="188" t="inlineStr">
        <is>
          <t>GitLab has remediated an issue in GitLab CE/EE affecting all versions from 12.2 before 18.7.5, 18.8 before 18.8.5, and 18.9 before 18.9.1 that could have allowed an unauthenticated user to cause denial of service by sending specially crafted files to the container registry event endpoint under certain conditions.</t>
        </is>
      </c>
      <c r="D1477" s="188" t="n">
        <v>7.5</v>
      </c>
      <c r="E1477" s="188" t="inlineStr">
        <is>
          <t>HIGH</t>
        </is>
      </c>
      <c r="F1477" s="188" t="n">
        <v>2</v>
      </c>
      <c r="G1477" s="188" t="n">
        <v>3</v>
      </c>
      <c r="H1477" s="188" t="inlineStr">
        <is>
          <t>HIGH</t>
        </is>
      </c>
      <c r="I1477" s="188" t="n">
        <v>13.5</v>
      </c>
      <c r="J1477" s="188" t="inlineStr">
        <is>
          <t>NO</t>
        </is>
      </c>
      <c r="K1477" s="188" t="inlineStr">
        <is>
          <t>https://nvd.nist.gov/vuln/detail/CVE-2025-14511</t>
        </is>
      </c>
      <c r="L1477" s="188" t="inlineStr">
        <is>
          <t>2026-02-26 00:15</t>
        </is>
      </c>
      <c r="M1477" s="188" t="inlineStr">
        <is>
          <t>CHECK_VENDOR</t>
        </is>
      </c>
      <c r="N1477" s="188" t="inlineStr">
        <is>
          <t>See NVD references</t>
        </is>
      </c>
      <c r="O1477" s="188" t="inlineStr">
        <is>
          <t>Apply vendor patches</t>
        </is>
      </c>
      <c r="P1477" s="188" t="inlineStr">
        <is>
          <t>See CVE details</t>
        </is>
      </c>
      <c r="Q1477" s="188" t="inlineStr">
        <is>
          <t>P3</t>
        </is>
      </c>
      <c r="R1477" s="188" t="inlineStr">
        <is>
          <t>🚨 URGENT: Apply vendor patches immediately | 🔒 Isolate affected systems if patch unavailable | 🛡️ Enable additional monitoring/IDS rules</t>
        </is>
      </c>
      <c r="S1477" s="188" t="inlineStr">
        <is>
          <t>CVE - IP enrichment n/a</t>
        </is>
      </c>
      <c r="T1477" s="188" t="n">
        <v>0</v>
      </c>
      <c r="U1477" s="188" t="n">
        <v>0</v>
      </c>
      <c r="V1477" s="188" t="inlineStr">
        <is>
          <t>T1499:Endpoint Denial of Service</t>
        </is>
      </c>
      <c r="W1477" s="188" t="n">
        <v>1</v>
      </c>
      <c r="X1477" s="188" t="inlineStr">
        <is>
          <t>LOW (40%)</t>
        </is>
      </c>
      <c r="Y1477" s="188" t="inlineStr">
        <is>
          <t>UNLIKELY</t>
        </is>
      </c>
      <c r="Z1477" s="188" t="inlineStr">
        <is>
          <t>CHECK_VENDOR</t>
        </is>
      </c>
      <c r="AA1477" s="188" t="inlineStr">
        <is>
          <t>https://nvd.nist.gov/vuln/detail/CVE-2025-14511</t>
        </is>
      </c>
      <c r="AB1477" s="188" t="inlineStr">
        <is>
          <t>NONE</t>
        </is>
      </c>
      <c r="AC1477" s="188" t="n">
        <v>0</v>
      </c>
      <c r="AD1477" s="188" t="inlineStr"/>
    </row>
    <row r="1478">
      <c r="A1478" s="188" t="inlineStr">
        <is>
          <t>CVE</t>
        </is>
      </c>
      <c r="B1478" s="188" t="inlineStr">
        <is>
          <t>CVE-2026-0542</t>
        </is>
      </c>
      <c r="C1478" s="188" t="inlineStr">
        <is>
          <t>ServiceNow has addressed a remote code execution vulnerability that was identified in the ServiceNow AI platform.  This vulnerability could enable an unauthenticated user, in certain circumstances, to execute code within the ServiceNow Sandbox.   
ServiceNow addressed this vulnerability by deploying a security update to hosted instances. Relevant security updates also have been provided to ServiceNow self-hosted customers and partners. Further, the vulnerability is addressed in the listed p</t>
        </is>
      </c>
      <c r="D1478" s="188" t="n">
        <v>8.5</v>
      </c>
      <c r="E1478" s="188" t="inlineStr">
        <is>
          <t>HIGH</t>
        </is>
      </c>
      <c r="F1478" s="188" t="n">
        <v>2</v>
      </c>
      <c r="G1478" s="188" t="n">
        <v>3</v>
      </c>
      <c r="H1478" s="188" t="inlineStr">
        <is>
          <t>HIGH</t>
        </is>
      </c>
      <c r="I1478" s="188" t="n">
        <v>14.5</v>
      </c>
      <c r="J1478" s="188" t="inlineStr">
        <is>
          <t>NO</t>
        </is>
      </c>
      <c r="K1478" s="188" t="inlineStr">
        <is>
          <t>https://nvd.nist.gov/vuln/detail/CVE-2026-0542</t>
        </is>
      </c>
      <c r="L1478" s="188" t="inlineStr">
        <is>
          <t>2026-02-26 00:15</t>
        </is>
      </c>
      <c r="M1478" s="188" t="inlineStr">
        <is>
          <t>CHECK_VENDOR</t>
        </is>
      </c>
      <c r="N1478" s="188" t="inlineStr">
        <is>
          <t>See NVD references</t>
        </is>
      </c>
      <c r="O1478" s="188" t="inlineStr">
        <is>
          <t>Apply vendor patches</t>
        </is>
      </c>
      <c r="P1478" s="188" t="inlineStr">
        <is>
          <t>See CVE details</t>
        </is>
      </c>
      <c r="Q1478" s="188" t="inlineStr">
        <is>
          <t>P3</t>
        </is>
      </c>
      <c r="R1478" s="188" t="inlineStr">
        <is>
          <t>🚨 URGENT: Apply vendor patches immediately | 🔒 Isolate affected systems if patch unavailable | 🛡️ Enable additional monitoring/IDS rules</t>
        </is>
      </c>
      <c r="S1478" s="188" t="inlineStr">
        <is>
          <t>CVE - IP enrichment n/a</t>
        </is>
      </c>
      <c r="T1478" s="188" t="n">
        <v>0</v>
      </c>
      <c r="U1478" s="188" t="n">
        <v>0</v>
      </c>
      <c r="V1478" s="188" t="inlineStr">
        <is>
          <t>T1190:Exploit Public-Facing Application | T1210:Exploitation of Remote Services</t>
        </is>
      </c>
      <c r="W1478" s="188" t="n">
        <v>1</v>
      </c>
      <c r="X1478" s="188" t="inlineStr">
        <is>
          <t>LOW (40%)</t>
        </is>
      </c>
      <c r="Y1478" s="188" t="inlineStr">
        <is>
          <t>UNLIKELY</t>
        </is>
      </c>
      <c r="Z1478" s="188" t="inlineStr">
        <is>
          <t>CHECK_VENDOR</t>
        </is>
      </c>
      <c r="AA1478" s="188" t="inlineStr">
        <is>
          <t>https://nvd.nist.gov/vuln/detail/CVE-2026-0542</t>
        </is>
      </c>
      <c r="AB1478" s="188" t="inlineStr">
        <is>
          <t>NONE</t>
        </is>
      </c>
      <c r="AC1478" s="188" t="n">
        <v>0</v>
      </c>
      <c r="AD1478" s="188" t="inlineStr"/>
    </row>
    <row r="1479">
      <c r="A1479" s="188" t="inlineStr">
        <is>
          <t>CVE</t>
        </is>
      </c>
      <c r="B1479" s="188" t="inlineStr">
        <is>
          <t>CVE-2026-0752</t>
        </is>
      </c>
      <c r="C1479" s="188" t="inlineStr">
        <is>
          <t>GitLab has remediated an issue in GitLab CE/EE affecting all versions from 16.2 before 18.7.5, 18.8 before 18.8.5, and 18.9 before 18.9.1 that under certain circumstances, could have allowed an unauthenticated user to inject arbitrary scripts into the Mermaid sandbox UI.</t>
        </is>
      </c>
      <c r="D1479" s="188" t="n">
        <v>8</v>
      </c>
      <c r="E1479" s="188" t="inlineStr">
        <is>
          <t>HIGH</t>
        </is>
      </c>
      <c r="F1479" s="188" t="n">
        <v>2</v>
      </c>
      <c r="G1479" s="188" t="n">
        <v>3</v>
      </c>
      <c r="H1479" s="188" t="inlineStr">
        <is>
          <t>HIGH</t>
        </is>
      </c>
      <c r="I1479" s="188" t="n">
        <v>14</v>
      </c>
      <c r="J1479" s="188" t="inlineStr">
        <is>
          <t>NO</t>
        </is>
      </c>
      <c r="K1479" s="188" t="inlineStr">
        <is>
          <t>https://nvd.nist.gov/vuln/detail/CVE-2026-0752</t>
        </is>
      </c>
      <c r="L1479" s="188" t="inlineStr">
        <is>
          <t>2026-02-26 00:15</t>
        </is>
      </c>
      <c r="M1479" s="188" t="inlineStr">
        <is>
          <t>CHECK_VENDOR</t>
        </is>
      </c>
      <c r="N1479" s="188" t="inlineStr">
        <is>
          <t>See NVD references</t>
        </is>
      </c>
      <c r="O1479" s="188" t="inlineStr">
        <is>
          <t>Apply vendor patches</t>
        </is>
      </c>
      <c r="P1479" s="188" t="inlineStr">
        <is>
          <t>See CVE details</t>
        </is>
      </c>
      <c r="Q1479" s="188" t="inlineStr">
        <is>
          <t>P3</t>
        </is>
      </c>
      <c r="R1479" s="188" t="inlineStr">
        <is>
          <t>🚨 URGENT: Apply vendor patches immediately | 🔒 Isolate affected systems if patch unavailable | 🛡️ Enable additional monitoring/IDS rules</t>
        </is>
      </c>
      <c r="S1479" s="188" t="inlineStr">
        <is>
          <t>CVE - IP enrichment n/a</t>
        </is>
      </c>
      <c r="T1479" s="188" t="n">
        <v>0</v>
      </c>
      <c r="U1479" s="188" t="n">
        <v>0</v>
      </c>
      <c r="V1479" s="188" t="inlineStr">
        <is>
          <t>T1189:Drive-by Compromise</t>
        </is>
      </c>
      <c r="W1479" s="188" t="n">
        <v>1</v>
      </c>
      <c r="X1479" s="188" t="inlineStr">
        <is>
          <t>LOW (40%)</t>
        </is>
      </c>
      <c r="Y1479" s="188" t="inlineStr">
        <is>
          <t>UNLIKELY</t>
        </is>
      </c>
      <c r="Z1479" s="188" t="inlineStr">
        <is>
          <t>CHECK_VENDOR</t>
        </is>
      </c>
      <c r="AA1479" s="188" t="inlineStr">
        <is>
          <t>https://nvd.nist.gov/vuln/detail/CVE-2026-0752</t>
        </is>
      </c>
      <c r="AB1479" s="188" t="inlineStr">
        <is>
          <t>NONE</t>
        </is>
      </c>
      <c r="AC1479" s="188" t="n">
        <v>0</v>
      </c>
      <c r="AD1479" s="188" t="inlineStr"/>
    </row>
    <row r="1480">
      <c r="A1480" s="188" t="inlineStr">
        <is>
          <t>CVE</t>
        </is>
      </c>
      <c r="B1480" s="188" t="inlineStr">
        <is>
          <t>CVE-2026-1388</t>
        </is>
      </c>
      <c r="C1480" s="188" t="inlineStr">
        <is>
          <t>GitLab has remediated an issue in GitLab CE/EE affecting all versions from 9.2 before 18.7.5, 18.8 before 18.8.5, and 18.9 before 18.9.1 that could have allowed an unauthenticated user to cause regular expression denial of service by sending specially crafted input to a merge request endpoint under certain conditions.</t>
        </is>
      </c>
      <c r="D1480" s="188" t="n">
        <v>7.5</v>
      </c>
      <c r="E1480" s="188" t="inlineStr">
        <is>
          <t>HIGH</t>
        </is>
      </c>
      <c r="F1480" s="188" t="n">
        <v>2</v>
      </c>
      <c r="G1480" s="188" t="n">
        <v>3</v>
      </c>
      <c r="H1480" s="188" t="inlineStr">
        <is>
          <t>HIGH</t>
        </is>
      </c>
      <c r="I1480" s="188" t="n">
        <v>13.5</v>
      </c>
      <c r="J1480" s="188" t="inlineStr">
        <is>
          <t>NO</t>
        </is>
      </c>
      <c r="K1480" s="188" t="inlineStr">
        <is>
          <t>https://nvd.nist.gov/vuln/detail/CVE-2026-1388</t>
        </is>
      </c>
      <c r="L1480" s="188" t="inlineStr">
        <is>
          <t>2026-02-26 00:15</t>
        </is>
      </c>
      <c r="M1480" s="188" t="inlineStr">
        <is>
          <t>CHECK_VENDOR</t>
        </is>
      </c>
      <c r="N1480" s="188" t="inlineStr">
        <is>
          <t>See NVD references</t>
        </is>
      </c>
      <c r="O1480" s="188" t="inlineStr">
        <is>
          <t>Apply vendor patches</t>
        </is>
      </c>
      <c r="P1480" s="188" t="inlineStr">
        <is>
          <t>See CVE details</t>
        </is>
      </c>
      <c r="Q1480" s="188" t="inlineStr">
        <is>
          <t>P3</t>
        </is>
      </c>
      <c r="R1480" s="188" t="inlineStr">
        <is>
          <t>🚨 URGENT: Apply vendor patches immediately | 🔒 Isolate affected systems if patch unavailable | 🛡️ Enable additional monitoring/IDS rules</t>
        </is>
      </c>
      <c r="S1480" s="188" t="inlineStr">
        <is>
          <t>CVE - IP enrichment n/a</t>
        </is>
      </c>
      <c r="T1480" s="188" t="n">
        <v>0</v>
      </c>
      <c r="U1480" s="188" t="n">
        <v>0</v>
      </c>
      <c r="V1480" s="188" t="inlineStr">
        <is>
          <t>T1499:Endpoint Denial of Service</t>
        </is>
      </c>
      <c r="W1480" s="188" t="n">
        <v>1</v>
      </c>
      <c r="X1480" s="188" t="inlineStr">
        <is>
          <t>LOW (40%)</t>
        </is>
      </c>
      <c r="Y1480" s="188" t="inlineStr">
        <is>
          <t>UNLIKELY</t>
        </is>
      </c>
      <c r="Z1480" s="188" t="inlineStr">
        <is>
          <t>CHECK_VENDOR</t>
        </is>
      </c>
      <c r="AA1480" s="188" t="inlineStr">
        <is>
          <t>https://nvd.nist.gov/vuln/detail/CVE-2026-1388</t>
        </is>
      </c>
      <c r="AB1480" s="188" t="inlineStr">
        <is>
          <t>NONE</t>
        </is>
      </c>
      <c r="AC1480" s="188" t="n">
        <v>0</v>
      </c>
      <c r="AD1480" s="188" t="inlineStr"/>
    </row>
    <row r="1481">
      <c r="A1481" s="188" t="inlineStr">
        <is>
          <t>CVE</t>
        </is>
      </c>
      <c r="B1481" s="188" t="inlineStr">
        <is>
          <t>CVE-2026-1662</t>
        </is>
      </c>
      <c r="C1481" s="188" t="inlineStr">
        <is>
          <t>GitLab has remediated an issue in GitLab CE/EE affecting all versions from 14.4 before 18.7.5, 18.8 before 18.8.5, and 18.9 before 18.9.1 that could have allowed an unauthenticated user to cause Denial of Service by sending specially crafted requests to the Jira events endpoint.</t>
        </is>
      </c>
      <c r="D1481" s="188" t="n">
        <v>7.5</v>
      </c>
      <c r="E1481" s="188" t="inlineStr">
        <is>
          <t>HIGH</t>
        </is>
      </c>
      <c r="F1481" s="188" t="n">
        <v>2</v>
      </c>
      <c r="G1481" s="188" t="n">
        <v>3</v>
      </c>
      <c r="H1481" s="188" t="inlineStr">
        <is>
          <t>HIGH</t>
        </is>
      </c>
      <c r="I1481" s="188" t="n">
        <v>13.5</v>
      </c>
      <c r="J1481" s="188" t="inlineStr">
        <is>
          <t>NO</t>
        </is>
      </c>
      <c r="K1481" s="188" t="inlineStr">
        <is>
          <t>https://nvd.nist.gov/vuln/detail/CVE-2026-1662</t>
        </is>
      </c>
      <c r="L1481" s="188" t="inlineStr">
        <is>
          <t>2026-02-26 00:15</t>
        </is>
      </c>
      <c r="M1481" s="188" t="inlineStr">
        <is>
          <t>CHECK_VENDOR</t>
        </is>
      </c>
      <c r="N1481" s="188" t="inlineStr">
        <is>
          <t>See NVD references</t>
        </is>
      </c>
      <c r="O1481" s="188" t="inlineStr">
        <is>
          <t>Apply vendor patches</t>
        </is>
      </c>
      <c r="P1481" s="188" t="inlineStr">
        <is>
          <t>See CVE details</t>
        </is>
      </c>
      <c r="Q1481" s="188" t="inlineStr">
        <is>
          <t>P3</t>
        </is>
      </c>
      <c r="R1481" s="188" t="inlineStr">
        <is>
          <t>🚨 URGENT: Apply vendor patches immediately | 🔒 Isolate affected systems if patch unavailable | 🛡️ Enable additional monitoring/IDS rules</t>
        </is>
      </c>
      <c r="S1481" s="188" t="inlineStr">
        <is>
          <t>CVE - IP enrichment n/a</t>
        </is>
      </c>
      <c r="T1481" s="188" t="n">
        <v>0</v>
      </c>
      <c r="U1481" s="188" t="n">
        <v>0</v>
      </c>
      <c r="V1481" s="188" t="inlineStr">
        <is>
          <t>T1499:Endpoint Denial of Service</t>
        </is>
      </c>
      <c r="W1481" s="188" t="n">
        <v>1</v>
      </c>
      <c r="X1481" s="188" t="inlineStr">
        <is>
          <t>LOW (40%)</t>
        </is>
      </c>
      <c r="Y1481" s="188" t="inlineStr">
        <is>
          <t>UNLIKELY</t>
        </is>
      </c>
      <c r="Z1481" s="188" t="inlineStr">
        <is>
          <t>CHECK_VENDOR</t>
        </is>
      </c>
      <c r="AA1481" s="188" t="inlineStr">
        <is>
          <t>https://nvd.nist.gov/vuln/detail/CVE-2026-1662</t>
        </is>
      </c>
      <c r="AB1481" s="188" t="inlineStr">
        <is>
          <t>NONE</t>
        </is>
      </c>
      <c r="AC1481" s="188" t="n">
        <v>0</v>
      </c>
      <c r="AD1481" s="188" t="inlineStr"/>
    </row>
    <row r="1482">
      <c r="A1482" s="187" t="inlineStr">
        <is>
          <t>CVE</t>
        </is>
      </c>
      <c r="B1482" s="187" t="inlineStr">
        <is>
          <t>CVE-2026-1725</t>
        </is>
      </c>
      <c r="C1482" s="187" t="inlineStr">
        <is>
          <t>GitLab has remediated an issue in GitLab CE/EE affecting versions from 18.9 before 18.9.1 that could have under certain conditions, allowed an unauthenticated user to cause denial of service by sending specially crafted requests to a CI jobs API endpoint.</t>
        </is>
      </c>
      <c r="D1482" s="187" t="n">
        <v>5.3</v>
      </c>
      <c r="E1482" s="187" t="inlineStr">
        <is>
          <t>MEDIUM</t>
        </is>
      </c>
      <c r="F1482" s="187" t="n">
        <v>2</v>
      </c>
      <c r="G1482" s="187" t="n">
        <v>2</v>
      </c>
      <c r="H1482" s="187" t="inlineStr">
        <is>
          <t>MEDIUM</t>
        </is>
      </c>
      <c r="I1482" s="187" t="n">
        <v>9.300000000000001</v>
      </c>
      <c r="J1482" s="187" t="inlineStr">
        <is>
          <t>NO</t>
        </is>
      </c>
      <c r="K1482" s="187" t="inlineStr">
        <is>
          <t>https://nvd.nist.gov/vuln/detail/CVE-2026-1725</t>
        </is>
      </c>
      <c r="L1482" s="187" t="inlineStr">
        <is>
          <t>2026-02-26 00:15</t>
        </is>
      </c>
      <c r="M1482" s="187" t="inlineStr">
        <is>
          <t>CHECK_VENDOR</t>
        </is>
      </c>
      <c r="N1482" s="187" t="inlineStr">
        <is>
          <t>See NVD references</t>
        </is>
      </c>
      <c r="O1482" s="187" t="inlineStr">
        <is>
          <t>Apply vendor patches</t>
        </is>
      </c>
      <c r="P1482" s="187" t="inlineStr">
        <is>
          <t>See CVE details</t>
        </is>
      </c>
      <c r="Q1482" s="187" t="inlineStr">
        <is>
          <t>P4</t>
        </is>
      </c>
      <c r="R1482" s="187" t="inlineStr">
        <is>
          <t>📅 Schedule patch deployment within 30 days | 🔍 Monitor for exploitation attempts</t>
        </is>
      </c>
      <c r="S1482" s="187" t="inlineStr">
        <is>
          <t>CVE - IP enrichment n/a</t>
        </is>
      </c>
      <c r="T1482" s="187" t="n">
        <v>0</v>
      </c>
      <c r="U1482" s="187" t="n">
        <v>0</v>
      </c>
      <c r="V1482" s="187" t="inlineStr">
        <is>
          <t>T1499:Endpoint Denial of Service</t>
        </is>
      </c>
      <c r="W1482" s="187" t="n">
        <v>1</v>
      </c>
      <c r="X1482" s="187" t="inlineStr">
        <is>
          <t>LOW (40%)</t>
        </is>
      </c>
      <c r="Y1482" s="187" t="inlineStr">
        <is>
          <t>UNLIKELY</t>
        </is>
      </c>
      <c r="Z1482" s="187" t="inlineStr">
        <is>
          <t>CHECK_VENDOR</t>
        </is>
      </c>
      <c r="AA1482" s="187" t="inlineStr">
        <is>
          <t>https://nvd.nist.gov/vuln/detail/CVE-2026-1725</t>
        </is>
      </c>
      <c r="AB1482" s="187" t="inlineStr">
        <is>
          <t>NONE</t>
        </is>
      </c>
      <c r="AC1482" s="187" t="n">
        <v>0</v>
      </c>
      <c r="AD1482" s="187" t="inlineStr"/>
    </row>
    <row r="1483">
      <c r="A1483" s="187" t="inlineStr">
        <is>
          <t>CVE</t>
        </is>
      </c>
      <c r="B1483" s="187" t="inlineStr">
        <is>
          <t>CVE-2026-1747</t>
        </is>
      </c>
      <c r="C1483" s="187" t="inlineStr">
        <is>
          <t>GitLab has remediated an issue in GitLab EE affecting all versions from 17.11 before 18.7.5, 18.8 before 18.8.5, and 18.9 before 18.9.1 that, under certain conditions, could have allowed Developer-role users with insufficient privileges to make unauthorized modifications to protected Conan packages.</t>
        </is>
      </c>
      <c r="D1483" s="187" t="n">
        <v>4.3</v>
      </c>
      <c r="E1483" s="187" t="inlineStr">
        <is>
          <t>MEDIUM</t>
        </is>
      </c>
      <c r="F1483" s="187" t="n">
        <v>2</v>
      </c>
      <c r="G1483" s="187" t="n">
        <v>2</v>
      </c>
      <c r="H1483" s="187" t="inlineStr">
        <is>
          <t>MEDIUM</t>
        </is>
      </c>
      <c r="I1483" s="187" t="n">
        <v>8.300000000000001</v>
      </c>
      <c r="J1483" s="187" t="inlineStr">
        <is>
          <t>NO</t>
        </is>
      </c>
      <c r="K1483" s="187" t="inlineStr">
        <is>
          <t>https://nvd.nist.gov/vuln/detail/CVE-2026-1747</t>
        </is>
      </c>
      <c r="L1483" s="187" t="inlineStr">
        <is>
          <t>2026-02-26 00:15</t>
        </is>
      </c>
      <c r="M1483" s="187" t="inlineStr">
        <is>
          <t>CHECK_VENDOR</t>
        </is>
      </c>
      <c r="N1483" s="187" t="inlineStr">
        <is>
          <t>See NVD references</t>
        </is>
      </c>
      <c r="O1483" s="187" t="inlineStr">
        <is>
          <t>Apply vendor patches</t>
        </is>
      </c>
      <c r="P1483" s="187" t="inlineStr">
        <is>
          <t>See CVE details</t>
        </is>
      </c>
      <c r="Q1483" s="187" t="inlineStr">
        <is>
          <t>P4</t>
        </is>
      </c>
      <c r="R1483" s="187" t="inlineStr">
        <is>
          <t>📅 Schedule patch deployment within 30 days | 🔍 Monitor for exploitation attempts</t>
        </is>
      </c>
      <c r="S1483" s="187" t="inlineStr">
        <is>
          <t>CVE - IP enrichment n/a</t>
        </is>
      </c>
      <c r="T1483" s="187" t="n">
        <v>0</v>
      </c>
      <c r="U1483" s="187" t="n">
        <v>0</v>
      </c>
      <c r="V1483" s="187" t="inlineStr">
        <is>
          <t>T1190:Exploit Public-Facing Application</t>
        </is>
      </c>
      <c r="W1483" s="187" t="n">
        <v>1</v>
      </c>
      <c r="X1483" s="187" t="inlineStr">
        <is>
          <t>LOW (40%)</t>
        </is>
      </c>
      <c r="Y1483" s="187" t="inlineStr">
        <is>
          <t>UNLIKELY</t>
        </is>
      </c>
      <c r="Z1483" s="187" t="inlineStr">
        <is>
          <t>CHECK_VENDOR</t>
        </is>
      </c>
      <c r="AA1483" s="187" t="inlineStr">
        <is>
          <t>https://nvd.nist.gov/vuln/detail/CVE-2026-1747</t>
        </is>
      </c>
      <c r="AB1483" s="187" t="inlineStr">
        <is>
          <t>NONE</t>
        </is>
      </c>
      <c r="AC1483" s="187" t="n">
        <v>0</v>
      </c>
      <c r="AD1483" s="187" t="inlineStr"/>
    </row>
    <row r="1484">
      <c r="A1484" s="187" t="inlineStr">
        <is>
          <t>CVE</t>
        </is>
      </c>
      <c r="B1484" s="187" t="inlineStr">
        <is>
          <t>CVE-2026-22721</t>
        </is>
      </c>
      <c r="C1484" s="187" t="inlineStr">
        <is>
          <t>VMware Aria Operations contains a privilege escalation vulnerability. A malicious actor with privileges in vCenter to access Aria Operations may leverage this vulnerability to obtain administrative access in VMware Aria Operations. To remediate CVE-2026-22721, apply the patches listed in the 'Fixed Version' column of the 'Response Matrix' found in  VMSA-2026-0001 https://support.broadcom.com/web/ecx/support-content-notification/-/external/content/SecurityAdvisories/0/36947 .</t>
        </is>
      </c>
      <c r="D1484" s="187" t="n">
        <v>6.2</v>
      </c>
      <c r="E1484" s="187" t="inlineStr">
        <is>
          <t>MEDIUM</t>
        </is>
      </c>
      <c r="F1484" s="187" t="n">
        <v>2</v>
      </c>
      <c r="G1484" s="187" t="n">
        <v>2</v>
      </c>
      <c r="H1484" s="187" t="inlineStr">
        <is>
          <t>MEDIUM</t>
        </is>
      </c>
      <c r="I1484" s="187" t="n">
        <v>10.2</v>
      </c>
      <c r="J1484" s="187" t="inlineStr">
        <is>
          <t>NO</t>
        </is>
      </c>
      <c r="K1484" s="187" t="inlineStr">
        <is>
          <t>https://nvd.nist.gov/vuln/detail/CVE-2026-22721</t>
        </is>
      </c>
      <c r="L1484" s="187" t="inlineStr">
        <is>
          <t>2026-02-26 00:15</t>
        </is>
      </c>
      <c r="M1484" s="187" t="inlineStr">
        <is>
          <t>CHECK_VENDOR</t>
        </is>
      </c>
      <c r="N1484" s="187" t="inlineStr">
        <is>
          <t>See NVD references</t>
        </is>
      </c>
      <c r="O1484" s="187" t="inlineStr">
        <is>
          <t>Apply vendor patches</t>
        </is>
      </c>
      <c r="P1484" s="187" t="inlineStr">
        <is>
          <t>See CVE details</t>
        </is>
      </c>
      <c r="Q1484" s="187" t="inlineStr">
        <is>
          <t>P4</t>
        </is>
      </c>
      <c r="R1484" s="187" t="inlineStr">
        <is>
          <t>📅 Schedule patch deployment within 30 days | 🔍 Monitor for exploitation attempts</t>
        </is>
      </c>
      <c r="S1484" s="187" t="inlineStr">
        <is>
          <t>CVE - IP enrichment n/a</t>
        </is>
      </c>
      <c r="T1484" s="187" t="n">
        <v>0</v>
      </c>
      <c r="U1484" s="187" t="n">
        <v>0</v>
      </c>
      <c r="V1484" s="187" t="inlineStr">
        <is>
          <t>T1068:Exploitation for Privilege Escalation</t>
        </is>
      </c>
      <c r="W1484" s="187" t="n">
        <v>1</v>
      </c>
      <c r="X1484" s="187" t="inlineStr">
        <is>
          <t>LOW (40%)</t>
        </is>
      </c>
      <c r="Y1484" s="187" t="inlineStr">
        <is>
          <t>UNLIKELY</t>
        </is>
      </c>
      <c r="Z1484" s="187" t="inlineStr">
        <is>
          <t>CHECK_VENDOR</t>
        </is>
      </c>
      <c r="AA1484" s="187" t="inlineStr">
        <is>
          <t>https://nvd.nist.gov/vuln/detail/CVE-2026-22721</t>
        </is>
      </c>
      <c r="AB1484" s="187" t="inlineStr">
        <is>
          <t>NONE</t>
        </is>
      </c>
      <c r="AC1484" s="187" t="n">
        <v>0</v>
      </c>
      <c r="AD1484" s="187" t="inlineStr"/>
    </row>
    <row r="1485">
      <c r="A1485" s="187" t="inlineStr">
        <is>
          <t>CVE</t>
        </is>
      </c>
      <c r="B1485" s="187" t="inlineStr">
        <is>
          <t>CVE-2026-25942</t>
        </is>
      </c>
      <c r="C1485" s="187" t="inlineStr">
        <is>
          <t>FreeRDP is a free implementation of the Remote Desktop Protocol. Prior to version 3.23.0, `xf_rail_server_execute_result` indexes the global `error_code_names[]` array (7 elements, indices 0–6) with an unchecked `execResult-&gt;execResult` value received from the server, allowing an out-of-bounds read when the server sends an `execResult` value of 7 or greater. Version 3.23.0 fixes the issue.</t>
        </is>
      </c>
      <c r="D1485" s="187" t="n">
        <v>5</v>
      </c>
      <c r="E1485" s="187" t="inlineStr">
        <is>
          <t>MEDIUM</t>
        </is>
      </c>
      <c r="F1485" s="187" t="n">
        <v>2</v>
      </c>
      <c r="G1485" s="187" t="n">
        <v>2</v>
      </c>
      <c r="H1485" s="187" t="inlineStr">
        <is>
          <t>MEDIUM</t>
        </is>
      </c>
      <c r="I1485" s="187" t="n">
        <v>9</v>
      </c>
      <c r="J1485" s="187" t="inlineStr">
        <is>
          <t>NO</t>
        </is>
      </c>
      <c r="K1485" s="187" t="inlineStr">
        <is>
          <t>https://nvd.nist.gov/vuln/detail/CVE-2026-25942</t>
        </is>
      </c>
      <c r="L1485" s="187" t="inlineStr">
        <is>
          <t>2026-02-26 00:15</t>
        </is>
      </c>
      <c r="M1485" s="187" t="inlineStr">
        <is>
          <t>CHECK_VENDOR</t>
        </is>
      </c>
      <c r="N1485" s="187" t="inlineStr">
        <is>
          <t>See NVD references</t>
        </is>
      </c>
      <c r="O1485" s="187" t="inlineStr">
        <is>
          <t>Apply vendor patches</t>
        </is>
      </c>
      <c r="P1485" s="187" t="inlineStr">
        <is>
          <t>See CVE details</t>
        </is>
      </c>
      <c r="Q1485" s="187" t="inlineStr">
        <is>
          <t>P4</t>
        </is>
      </c>
      <c r="R1485" s="187" t="inlineStr">
        <is>
          <t>📅 Schedule patch deployment within 30 days | 🔍 Monitor for exploitation attempts</t>
        </is>
      </c>
      <c r="S1485" s="187" t="inlineStr">
        <is>
          <t>CVE - IP enrichment n/a</t>
        </is>
      </c>
      <c r="T1485" s="187" t="n">
        <v>0</v>
      </c>
      <c r="U1485" s="187" t="n">
        <v>0</v>
      </c>
      <c r="V1485" s="187" t="inlineStr">
        <is>
          <t>T1203:Exploitation for Client Execution</t>
        </is>
      </c>
      <c r="W1485" s="187" t="n">
        <v>1</v>
      </c>
      <c r="X1485" s="187" t="inlineStr">
        <is>
          <t>LOW (40%)</t>
        </is>
      </c>
      <c r="Y1485" s="187" t="inlineStr">
        <is>
          <t>UNLIKELY</t>
        </is>
      </c>
      <c r="Z1485" s="187" t="inlineStr">
        <is>
          <t>CHECK_VENDOR</t>
        </is>
      </c>
      <c r="AA1485" s="187" t="inlineStr">
        <is>
          <t>https://nvd.nist.gov/vuln/detail/CVE-2026-25942</t>
        </is>
      </c>
      <c r="AB1485" s="187" t="inlineStr">
        <is>
          <t>NONE</t>
        </is>
      </c>
      <c r="AC1485" s="187" t="n">
        <v>0</v>
      </c>
      <c r="AD1485" s="187" t="inlineStr"/>
    </row>
    <row r="1486">
      <c r="A1486" s="187" t="inlineStr">
        <is>
          <t>CVE</t>
        </is>
      </c>
      <c r="B1486" s="187" t="inlineStr">
        <is>
          <t>CVE-2026-25952</t>
        </is>
      </c>
      <c r="C1486" s="187" t="inlineStr">
        <is>
          <t>FreeRDP is a free implementation of the Remote Desktop Protocol. Prior to version 3.23.0, `xf_SetWindowMinMaxInfo` dereferences a freed `xfAppWindow` pointer because `xf_rail_get_window` in `xf_rail_server_min_max_info` returns an unprotected pointer from the `railWindows` hash table, and the main thread can concurrently delete the window (via a window delete order) while the RAIL channel thread is still using the pointer. Version 3.23.0 fixes the issue.</t>
        </is>
      </c>
      <c r="D1486" s="187" t="n">
        <v>5</v>
      </c>
      <c r="E1486" s="187" t="inlineStr">
        <is>
          <t>MEDIUM</t>
        </is>
      </c>
      <c r="F1486" s="187" t="n">
        <v>2</v>
      </c>
      <c r="G1486" s="187" t="n">
        <v>2</v>
      </c>
      <c r="H1486" s="187" t="inlineStr">
        <is>
          <t>MEDIUM</t>
        </is>
      </c>
      <c r="I1486" s="187" t="n">
        <v>9</v>
      </c>
      <c r="J1486" s="187" t="inlineStr">
        <is>
          <t>NO</t>
        </is>
      </c>
      <c r="K1486" s="187" t="inlineStr">
        <is>
          <t>https://nvd.nist.gov/vuln/detail/CVE-2026-25952</t>
        </is>
      </c>
      <c r="L1486" s="187" t="inlineStr">
        <is>
          <t>2026-02-26 00:15</t>
        </is>
      </c>
      <c r="M1486" s="187" t="inlineStr">
        <is>
          <t>CHECK_VENDOR</t>
        </is>
      </c>
      <c r="N1486" s="187" t="inlineStr">
        <is>
          <t>See NVD references</t>
        </is>
      </c>
      <c r="O1486" s="187" t="inlineStr">
        <is>
          <t>Apply vendor patches</t>
        </is>
      </c>
      <c r="P1486" s="187" t="inlineStr">
        <is>
          <t>See CVE details</t>
        </is>
      </c>
      <c r="Q1486" s="187" t="inlineStr">
        <is>
          <t>P4</t>
        </is>
      </c>
      <c r="R1486" s="187" t="inlineStr">
        <is>
          <t>📅 Schedule patch deployment within 30 days | 🔍 Monitor for exploitation attempts</t>
        </is>
      </c>
      <c r="S1486" s="187" t="inlineStr">
        <is>
          <t>CVE - IP enrichment n/a</t>
        </is>
      </c>
      <c r="T1486" s="187" t="n">
        <v>0</v>
      </c>
      <c r="U1486" s="187" t="n">
        <v>0</v>
      </c>
      <c r="V1486" s="187" t="inlineStr">
        <is>
          <t>T1203:Exploitation for Client Execution</t>
        </is>
      </c>
      <c r="W1486" s="187" t="n">
        <v>1</v>
      </c>
      <c r="X1486" s="187" t="inlineStr">
        <is>
          <t>LOW (40%)</t>
        </is>
      </c>
      <c r="Y1486" s="187" t="inlineStr">
        <is>
          <t>UNLIKELY</t>
        </is>
      </c>
      <c r="Z1486" s="187" t="inlineStr">
        <is>
          <t>CHECK_VENDOR</t>
        </is>
      </c>
      <c r="AA1486" s="187" t="inlineStr">
        <is>
          <t>https://nvd.nist.gov/vuln/detail/CVE-2026-25952</t>
        </is>
      </c>
      <c r="AB1486" s="187" t="inlineStr">
        <is>
          <t>NONE</t>
        </is>
      </c>
      <c r="AC1486" s="187" t="n">
        <v>0</v>
      </c>
      <c r="AD1486" s="187" t="inlineStr"/>
    </row>
    <row r="1487">
      <c r="A1487" s="187" t="inlineStr">
        <is>
          <t>CVE</t>
        </is>
      </c>
      <c r="B1487" s="187" t="inlineStr">
        <is>
          <t>CVE-2026-25953</t>
        </is>
      </c>
      <c r="C1487" s="187" t="inlineStr">
        <is>
          <t>FreeRDP is a free implementation of the Remote Desktop Protocol. Prior to version 3.23.0, `xf_AppUpdateWindowFromSurface` reads from a freed `xfAppWindow` because the RDPGFX DVC thread obtains a bare pointer via `xf_rail_get_window` without any lifetime protection, while the main thread can concurrently delete the window through a fastpath window-delete order. Version 3.23.0 fixes the issue.</t>
        </is>
      </c>
      <c r="D1487" s="187" t="n">
        <v>5</v>
      </c>
      <c r="E1487" s="187" t="inlineStr">
        <is>
          <t>MEDIUM</t>
        </is>
      </c>
      <c r="F1487" s="187" t="n">
        <v>2</v>
      </c>
      <c r="G1487" s="187" t="n">
        <v>2</v>
      </c>
      <c r="H1487" s="187" t="inlineStr">
        <is>
          <t>MEDIUM</t>
        </is>
      </c>
      <c r="I1487" s="187" t="n">
        <v>9</v>
      </c>
      <c r="J1487" s="187" t="inlineStr">
        <is>
          <t>NO</t>
        </is>
      </c>
      <c r="K1487" s="187" t="inlineStr">
        <is>
          <t>https://nvd.nist.gov/vuln/detail/CVE-2026-25953</t>
        </is>
      </c>
      <c r="L1487" s="187" t="inlineStr">
        <is>
          <t>2026-02-26 00:15</t>
        </is>
      </c>
      <c r="M1487" s="187" t="inlineStr">
        <is>
          <t>CHECK_VENDOR</t>
        </is>
      </c>
      <c r="N1487" s="187" t="inlineStr">
        <is>
          <t>See NVD references</t>
        </is>
      </c>
      <c r="O1487" s="187" t="inlineStr">
        <is>
          <t>Apply vendor patches</t>
        </is>
      </c>
      <c r="P1487" s="187" t="inlineStr">
        <is>
          <t>See CVE details</t>
        </is>
      </c>
      <c r="Q1487" s="187" t="inlineStr">
        <is>
          <t>P4</t>
        </is>
      </c>
      <c r="R1487" s="187" t="inlineStr">
        <is>
          <t>📅 Schedule patch deployment within 30 days | 🔍 Monitor for exploitation attempts</t>
        </is>
      </c>
      <c r="S1487" s="187" t="inlineStr">
        <is>
          <t>CVE - IP enrichment n/a</t>
        </is>
      </c>
      <c r="T1487" s="187" t="n">
        <v>0</v>
      </c>
      <c r="U1487" s="187" t="n">
        <v>0</v>
      </c>
      <c r="V1487" s="187" t="inlineStr">
        <is>
          <t>T1203:Exploitation for Client Execution</t>
        </is>
      </c>
      <c r="W1487" s="187" t="n">
        <v>1</v>
      </c>
      <c r="X1487" s="187" t="inlineStr">
        <is>
          <t>LOW (40%)</t>
        </is>
      </c>
      <c r="Y1487" s="187" t="inlineStr">
        <is>
          <t>UNLIKELY</t>
        </is>
      </c>
      <c r="Z1487" s="187" t="inlineStr">
        <is>
          <t>CHECK_VENDOR</t>
        </is>
      </c>
      <c r="AA1487" s="187" t="inlineStr">
        <is>
          <t>https://nvd.nist.gov/vuln/detail/CVE-2026-25953</t>
        </is>
      </c>
      <c r="AB1487" s="187" t="inlineStr">
        <is>
          <t>NONE</t>
        </is>
      </c>
      <c r="AC1487" s="187" t="n">
        <v>0</v>
      </c>
      <c r="AD1487" s="187" t="inlineStr"/>
    </row>
    <row r="1488">
      <c r="A1488" s="187" t="inlineStr">
        <is>
          <t>CVE</t>
        </is>
      </c>
      <c r="B1488" s="187" t="inlineStr">
        <is>
          <t>CVE-2026-25954</t>
        </is>
      </c>
      <c r="C1488" s="187" t="inlineStr">
        <is>
          <t>FreeRDP is a free implementation of the Remote Desktop Protocol. Prior to version 3.23.0, `xf_rail_server_local_move_size` dereferences a freed `xfAppWindow` pointer because `xf_rail_get_window` returns an unprotected pointer from the `railWindows` hash table, and the main thread can concurrently delete the window (via a window delete order) while the RAIL channel thread is still using the pointer. Version 3.23.0 fixes the issue.</t>
        </is>
      </c>
      <c r="D1488" s="187" t="n">
        <v>5</v>
      </c>
      <c r="E1488" s="187" t="inlineStr">
        <is>
          <t>MEDIUM</t>
        </is>
      </c>
      <c r="F1488" s="187" t="n">
        <v>2</v>
      </c>
      <c r="G1488" s="187" t="n">
        <v>2</v>
      </c>
      <c r="H1488" s="187" t="inlineStr">
        <is>
          <t>MEDIUM</t>
        </is>
      </c>
      <c r="I1488" s="187" t="n">
        <v>9</v>
      </c>
      <c r="J1488" s="187" t="inlineStr">
        <is>
          <t>NO</t>
        </is>
      </c>
      <c r="K1488" s="187" t="inlineStr">
        <is>
          <t>https://nvd.nist.gov/vuln/detail/CVE-2026-25954</t>
        </is>
      </c>
      <c r="L1488" s="187" t="inlineStr">
        <is>
          <t>2026-02-26 00:15</t>
        </is>
      </c>
      <c r="M1488" s="187" t="inlineStr">
        <is>
          <t>CHECK_VENDOR</t>
        </is>
      </c>
      <c r="N1488" s="187" t="inlineStr">
        <is>
          <t>See NVD references</t>
        </is>
      </c>
      <c r="O1488" s="187" t="inlineStr">
        <is>
          <t>Apply vendor patches</t>
        </is>
      </c>
      <c r="P1488" s="187" t="inlineStr">
        <is>
          <t>See CVE details</t>
        </is>
      </c>
      <c r="Q1488" s="187" t="inlineStr">
        <is>
          <t>P4</t>
        </is>
      </c>
      <c r="R1488" s="187" t="inlineStr">
        <is>
          <t>📅 Schedule patch deployment within 30 days | 🔍 Monitor for exploitation attempts</t>
        </is>
      </c>
      <c r="S1488" s="187" t="inlineStr">
        <is>
          <t>CVE - IP enrichment n/a</t>
        </is>
      </c>
      <c r="T1488" s="187" t="n">
        <v>0</v>
      </c>
      <c r="U1488" s="187" t="n">
        <v>0</v>
      </c>
      <c r="V1488" s="187" t="inlineStr">
        <is>
          <t>T1203:Exploitation for Client Execution</t>
        </is>
      </c>
      <c r="W1488" s="187" t="n">
        <v>1</v>
      </c>
      <c r="X1488" s="187" t="inlineStr">
        <is>
          <t>LOW (40%)</t>
        </is>
      </c>
      <c r="Y1488" s="187" t="inlineStr">
        <is>
          <t>UNLIKELY</t>
        </is>
      </c>
      <c r="Z1488" s="187" t="inlineStr">
        <is>
          <t>CHECK_VENDOR</t>
        </is>
      </c>
      <c r="AA1488" s="187" t="inlineStr">
        <is>
          <t>https://nvd.nist.gov/vuln/detail/CVE-2026-25954</t>
        </is>
      </c>
      <c r="AB1488" s="187" t="inlineStr">
        <is>
          <t>NONE</t>
        </is>
      </c>
      <c r="AC1488" s="187" t="n">
        <v>0</v>
      </c>
      <c r="AD1488" s="187" t="inlineStr"/>
    </row>
    <row r="1489">
      <c r="A1489" s="187" t="inlineStr">
        <is>
          <t>CVE</t>
        </is>
      </c>
      <c r="B1489" s="187" t="inlineStr">
        <is>
          <t>CVE-2026-25955</t>
        </is>
      </c>
      <c r="C1489" s="187" t="inlineStr">
        <is>
          <t>FreeRDP is a free implementation of the Remote Desktop Protocol. Prior to version 3.23.0, `xf_AppUpdateWindowFromSurface` reuses a cached `XImage` whose `data` pointer references a freed RDPGFX surface buffer, because `gdi_DeleteSurface` frees `surface-&gt;data` without invalidating the `appWindow-&gt;image` that aliases it. Version 3.23.0 fixes the issue.</t>
        </is>
      </c>
      <c r="D1489" s="187" t="n">
        <v>5</v>
      </c>
      <c r="E1489" s="187" t="inlineStr">
        <is>
          <t>MEDIUM</t>
        </is>
      </c>
      <c r="F1489" s="187" t="n">
        <v>2</v>
      </c>
      <c r="G1489" s="187" t="n">
        <v>2</v>
      </c>
      <c r="H1489" s="187" t="inlineStr">
        <is>
          <t>MEDIUM</t>
        </is>
      </c>
      <c r="I1489" s="187" t="n">
        <v>9</v>
      </c>
      <c r="J1489" s="187" t="inlineStr">
        <is>
          <t>NO</t>
        </is>
      </c>
      <c r="K1489" s="187" t="inlineStr">
        <is>
          <t>https://nvd.nist.gov/vuln/detail/CVE-2026-25955</t>
        </is>
      </c>
      <c r="L1489" s="187" t="inlineStr">
        <is>
          <t>2026-02-26 00:15</t>
        </is>
      </c>
      <c r="M1489" s="187" t="inlineStr">
        <is>
          <t>CHECK_VENDOR</t>
        </is>
      </c>
      <c r="N1489" s="187" t="inlineStr">
        <is>
          <t>See NVD references</t>
        </is>
      </c>
      <c r="O1489" s="187" t="inlineStr">
        <is>
          <t>Apply vendor patches</t>
        </is>
      </c>
      <c r="P1489" s="187" t="inlineStr">
        <is>
          <t>See CVE details</t>
        </is>
      </c>
      <c r="Q1489" s="187" t="inlineStr">
        <is>
          <t>P4</t>
        </is>
      </c>
      <c r="R1489" s="187" t="inlineStr">
        <is>
          <t>📅 Schedule patch deployment within 30 days | 🔍 Monitor for exploitation attempts</t>
        </is>
      </c>
      <c r="S1489" s="187" t="inlineStr">
        <is>
          <t>CVE - IP enrichment n/a</t>
        </is>
      </c>
      <c r="T1489" s="187" t="n">
        <v>0</v>
      </c>
      <c r="U1489" s="187" t="n">
        <v>0</v>
      </c>
      <c r="V1489" s="187" t="inlineStr">
        <is>
          <t>T1203:Exploitation for Client Execution</t>
        </is>
      </c>
      <c r="W1489" s="187" t="n">
        <v>1</v>
      </c>
      <c r="X1489" s="187" t="inlineStr">
        <is>
          <t>LOW (40%)</t>
        </is>
      </c>
      <c r="Y1489" s="187" t="inlineStr">
        <is>
          <t>UNLIKELY</t>
        </is>
      </c>
      <c r="Z1489" s="187" t="inlineStr">
        <is>
          <t>CHECK_VENDOR</t>
        </is>
      </c>
      <c r="AA1489" s="187" t="inlineStr">
        <is>
          <t>https://nvd.nist.gov/vuln/detail/CVE-2026-25955</t>
        </is>
      </c>
      <c r="AB1489" s="187" t="inlineStr">
        <is>
          <t>NONE</t>
        </is>
      </c>
      <c r="AC1489" s="187" t="n">
        <v>0</v>
      </c>
      <c r="AD1489" s="187" t="inlineStr"/>
    </row>
    <row r="1490">
      <c r="A1490" s="187" t="inlineStr">
        <is>
          <t>CVE</t>
        </is>
      </c>
      <c r="B1490" s="187" t="inlineStr">
        <is>
          <t>CVE-2026-25959</t>
        </is>
      </c>
      <c r="C1490" s="187" t="inlineStr">
        <is>
          <t>FreeRDP is a free implementation of the Remote Desktop Protocol. Prior to version 3.23.0, `xf_cliprdr_provide_data_` passes freed `pDstData` to `XChangeProperty` because the cliprdr channel thread calls `xf_cliprdr_server_format_data_response` which converts and uses the clipboard data without holding any lock, while the X11 event thread concurrently calls `xf_cliprdr_clear_cached_data` → `HashTable_Clear` which frees the same data via `xf_cached_data_free`, triggering a heap use after free. Ver</t>
        </is>
      </c>
      <c r="D1490" s="187" t="n">
        <v>5</v>
      </c>
      <c r="E1490" s="187" t="inlineStr">
        <is>
          <t>MEDIUM</t>
        </is>
      </c>
      <c r="F1490" s="187" t="n">
        <v>2</v>
      </c>
      <c r="G1490" s="187" t="n">
        <v>2</v>
      </c>
      <c r="H1490" s="187" t="inlineStr">
        <is>
          <t>MEDIUM</t>
        </is>
      </c>
      <c r="I1490" s="187" t="n">
        <v>9</v>
      </c>
      <c r="J1490" s="187" t="inlineStr">
        <is>
          <t>NO</t>
        </is>
      </c>
      <c r="K1490" s="187" t="inlineStr">
        <is>
          <t>https://nvd.nist.gov/vuln/detail/CVE-2026-25959</t>
        </is>
      </c>
      <c r="L1490" s="187" t="inlineStr">
        <is>
          <t>2026-02-26 00:15</t>
        </is>
      </c>
      <c r="M1490" s="187" t="inlineStr">
        <is>
          <t>CHECK_VENDOR</t>
        </is>
      </c>
      <c r="N1490" s="187" t="inlineStr">
        <is>
          <t>See NVD references</t>
        </is>
      </c>
      <c r="O1490" s="187" t="inlineStr">
        <is>
          <t>Apply vendor patches</t>
        </is>
      </c>
      <c r="P1490" s="187" t="inlineStr">
        <is>
          <t>See CVE details</t>
        </is>
      </c>
      <c r="Q1490" s="187" t="inlineStr">
        <is>
          <t>P4</t>
        </is>
      </c>
      <c r="R1490" s="187" t="inlineStr">
        <is>
          <t>📅 Schedule patch deployment within 30 days | 🔍 Monitor for exploitation attempts</t>
        </is>
      </c>
      <c r="S1490" s="187" t="inlineStr">
        <is>
          <t>CVE - IP enrichment n/a</t>
        </is>
      </c>
      <c r="T1490" s="187" t="n">
        <v>0</v>
      </c>
      <c r="U1490" s="187" t="n">
        <v>0</v>
      </c>
      <c r="V1490" s="187" t="inlineStr">
        <is>
          <t>T1203:Exploitation for Client Execution</t>
        </is>
      </c>
      <c r="W1490" s="187" t="n">
        <v>1</v>
      </c>
      <c r="X1490" s="187" t="inlineStr">
        <is>
          <t>LOW (40%)</t>
        </is>
      </c>
      <c r="Y1490" s="187" t="inlineStr">
        <is>
          <t>UNLIKELY</t>
        </is>
      </c>
      <c r="Z1490" s="187" t="inlineStr">
        <is>
          <t>CHECK_VENDOR</t>
        </is>
      </c>
      <c r="AA1490" s="187" t="inlineStr">
        <is>
          <t>https://nvd.nist.gov/vuln/detail/CVE-2026-25959</t>
        </is>
      </c>
      <c r="AB1490" s="187" t="inlineStr">
        <is>
          <t>NONE</t>
        </is>
      </c>
      <c r="AC1490" s="187" t="n">
        <v>0</v>
      </c>
      <c r="AD1490" s="187" t="inlineStr"/>
    </row>
    <row r="1491">
      <c r="A1491" s="187" t="inlineStr">
        <is>
          <t>CVE</t>
        </is>
      </c>
      <c r="B1491" s="187" t="inlineStr">
        <is>
          <t>CVE-2026-25997</t>
        </is>
      </c>
      <c r="C1491" s="187" t="inlineStr">
        <is>
          <t>FreeRDP is a free implementation of the Remote Desktop Protocol. Prior to version 3.23.0, `xf_clipboard_format_equal` reads freed `lastSentFormats` memory because `xf_clipboard_formats_free` (called from the cliprdr channel thread during auto-reconnect) frees the array while the X11 event thread concurrently iterates it in `xf_clipboard_changed`, triggering a heap use after free. Version 3.23.0 fixes the issue.</t>
        </is>
      </c>
      <c r="D1491" s="187" t="n">
        <v>5</v>
      </c>
      <c r="E1491" s="187" t="inlineStr">
        <is>
          <t>MEDIUM</t>
        </is>
      </c>
      <c r="F1491" s="187" t="n">
        <v>2</v>
      </c>
      <c r="G1491" s="187" t="n">
        <v>2</v>
      </c>
      <c r="H1491" s="187" t="inlineStr">
        <is>
          <t>MEDIUM</t>
        </is>
      </c>
      <c r="I1491" s="187" t="n">
        <v>9</v>
      </c>
      <c r="J1491" s="187" t="inlineStr">
        <is>
          <t>NO</t>
        </is>
      </c>
      <c r="K1491" s="187" t="inlineStr">
        <is>
          <t>https://nvd.nist.gov/vuln/detail/CVE-2026-25997</t>
        </is>
      </c>
      <c r="L1491" s="187" t="inlineStr">
        <is>
          <t>2026-02-26 00:15</t>
        </is>
      </c>
      <c r="M1491" s="187" t="inlineStr">
        <is>
          <t>CHECK_VENDOR</t>
        </is>
      </c>
      <c r="N1491" s="187" t="inlineStr">
        <is>
          <t>See NVD references</t>
        </is>
      </c>
      <c r="O1491" s="187" t="inlineStr">
        <is>
          <t>Apply vendor patches</t>
        </is>
      </c>
      <c r="P1491" s="187" t="inlineStr">
        <is>
          <t>See CVE details</t>
        </is>
      </c>
      <c r="Q1491" s="187" t="inlineStr">
        <is>
          <t>P4</t>
        </is>
      </c>
      <c r="R1491" s="187" t="inlineStr">
        <is>
          <t>📅 Schedule patch deployment within 30 days | 🔍 Monitor for exploitation attempts</t>
        </is>
      </c>
      <c r="S1491" s="187" t="inlineStr">
        <is>
          <t>CVE - IP enrichment n/a</t>
        </is>
      </c>
      <c r="T1491" s="187" t="n">
        <v>0</v>
      </c>
      <c r="U1491" s="187" t="n">
        <v>0</v>
      </c>
      <c r="V1491" s="187" t="inlineStr">
        <is>
          <t>T1203:Exploitation for Client Execution</t>
        </is>
      </c>
      <c r="W1491" s="187" t="n">
        <v>1</v>
      </c>
      <c r="X1491" s="187" t="inlineStr">
        <is>
          <t>LOW (40%)</t>
        </is>
      </c>
      <c r="Y1491" s="187" t="inlineStr">
        <is>
          <t>UNLIKELY</t>
        </is>
      </c>
      <c r="Z1491" s="187" t="inlineStr">
        <is>
          <t>CHECK_VENDOR</t>
        </is>
      </c>
      <c r="AA1491" s="187" t="inlineStr">
        <is>
          <t>https://nvd.nist.gov/vuln/detail/CVE-2026-25997</t>
        </is>
      </c>
      <c r="AB1491" s="187" t="inlineStr">
        <is>
          <t>NONE</t>
        </is>
      </c>
      <c r="AC1491" s="187" t="n">
        <v>0</v>
      </c>
      <c r="AD1491" s="187" t="inlineStr"/>
    </row>
    <row r="1492">
      <c r="A1492" s="187" t="inlineStr">
        <is>
          <t>CVE</t>
        </is>
      </c>
      <c r="B1492" s="187" t="inlineStr">
        <is>
          <t>CVE-2026-26271</t>
        </is>
      </c>
      <c r="C1492" s="187" t="inlineStr">
        <is>
          <t>FreeRDP is a free implementation of the Remote Desktop Protocol. Prior to version 3.23.0, a buffer overread in `freerdp_image_copy_from_icon_data()` (libfreerdp/codec/color.c) can be triggered by crafted RDP Window Icon (TS_ICON_INFO) data. The bug is reachable over the network when a client processes icon data from an RDP server (or from a man-in-the-middle). Version 3.23.0 fixes the issue.</t>
        </is>
      </c>
      <c r="D1492" s="187" t="n">
        <v>5</v>
      </c>
      <c r="E1492" s="187" t="inlineStr">
        <is>
          <t>MEDIUM</t>
        </is>
      </c>
      <c r="F1492" s="187" t="n">
        <v>2</v>
      </c>
      <c r="G1492" s="187" t="n">
        <v>2</v>
      </c>
      <c r="H1492" s="187" t="inlineStr">
        <is>
          <t>MEDIUM</t>
        </is>
      </c>
      <c r="I1492" s="187" t="n">
        <v>9</v>
      </c>
      <c r="J1492" s="187" t="inlineStr">
        <is>
          <t>NO</t>
        </is>
      </c>
      <c r="K1492" s="187" t="inlineStr">
        <is>
          <t>https://nvd.nist.gov/vuln/detail/CVE-2026-26271</t>
        </is>
      </c>
      <c r="L1492" s="187" t="inlineStr">
        <is>
          <t>2026-02-26 00:15</t>
        </is>
      </c>
      <c r="M1492" s="187" t="inlineStr">
        <is>
          <t>CHECK_VENDOR</t>
        </is>
      </c>
      <c r="N1492" s="187" t="inlineStr">
        <is>
          <t>See NVD references</t>
        </is>
      </c>
      <c r="O1492" s="187" t="inlineStr">
        <is>
          <t>Apply vendor patches</t>
        </is>
      </c>
      <c r="P1492" s="187" t="inlineStr">
        <is>
          <t>See CVE details</t>
        </is>
      </c>
      <c r="Q1492" s="187" t="inlineStr">
        <is>
          <t>P4</t>
        </is>
      </c>
      <c r="R1492" s="187" t="inlineStr">
        <is>
          <t>📅 Schedule patch deployment within 30 days | 🔍 Monitor for exploitation attempts</t>
        </is>
      </c>
      <c r="S1492" s="187" t="inlineStr">
        <is>
          <t>CVE - IP enrichment n/a</t>
        </is>
      </c>
      <c r="T1492" s="187" t="n">
        <v>0</v>
      </c>
      <c r="U1492" s="187" t="n">
        <v>0</v>
      </c>
      <c r="V1492" s="187" t="inlineStr">
        <is>
          <t>T1557:Adversary-in-the-Middle</t>
        </is>
      </c>
      <c r="W1492" s="187" t="n">
        <v>1</v>
      </c>
      <c r="X1492" s="187" t="inlineStr">
        <is>
          <t>LOW (40%)</t>
        </is>
      </c>
      <c r="Y1492" s="187" t="inlineStr">
        <is>
          <t>UNLIKELY</t>
        </is>
      </c>
      <c r="Z1492" s="187" t="inlineStr">
        <is>
          <t>CHECK_VENDOR</t>
        </is>
      </c>
      <c r="AA1492" s="187" t="inlineStr">
        <is>
          <t>https://nvd.nist.gov/vuln/detail/CVE-2026-26271</t>
        </is>
      </c>
      <c r="AB1492" s="187" t="inlineStr">
        <is>
          <t>NONE</t>
        </is>
      </c>
      <c r="AC1492" s="187" t="n">
        <v>0</v>
      </c>
      <c r="AD1492" s="187" t="inlineStr"/>
    </row>
    <row r="1493">
      <c r="A1493" s="188" t="inlineStr">
        <is>
          <t>CVE</t>
        </is>
      </c>
      <c r="B1493" s="188" t="inlineStr">
        <is>
          <t>CVE-2026-26955</t>
        </is>
      </c>
      <c r="C1493" s="188" t="inlineStr">
        <is>
          <t>FreeRDP is a free implementation of the Remote Desktop Protocol. Prior to version 3.23.0, a malicious RDP server can trigger a heap buffer overflow in FreeRDP clients using the GDI surface pipeline (e.g., `xfreerdp`) by sending an RDPGFX ClearCodec surface command with an out-of-bounds destination rectangle. The `gdi_SurfaceCommand_ClearCodec()` handler does not call `is_within_surface()` to validate the command rectangle against the destination surface dimensions, allowing attacker-controlled `</t>
        </is>
      </c>
      <c r="D1493" s="188" t="n">
        <v>8.800000000000001</v>
      </c>
      <c r="E1493" s="188" t="inlineStr">
        <is>
          <t>HIGH</t>
        </is>
      </c>
      <c r="F1493" s="188" t="n">
        <v>2</v>
      </c>
      <c r="G1493" s="188" t="n">
        <v>3</v>
      </c>
      <c r="H1493" s="188" t="inlineStr">
        <is>
          <t>HIGH</t>
        </is>
      </c>
      <c r="I1493" s="188" t="n">
        <v>14.8</v>
      </c>
      <c r="J1493" s="188" t="inlineStr">
        <is>
          <t>NO</t>
        </is>
      </c>
      <c r="K1493" s="188" t="inlineStr">
        <is>
          <t>https://nvd.nist.gov/vuln/detail/CVE-2026-26955</t>
        </is>
      </c>
      <c r="L1493" s="188" t="inlineStr">
        <is>
          <t>2026-02-26 00:15</t>
        </is>
      </c>
      <c r="M1493" s="188" t="inlineStr">
        <is>
          <t>CHECK_VENDOR</t>
        </is>
      </c>
      <c r="N1493" s="188" t="inlineStr">
        <is>
          <t>See NVD references</t>
        </is>
      </c>
      <c r="O1493" s="188" t="inlineStr">
        <is>
          <t>Apply vendor patches</t>
        </is>
      </c>
      <c r="P1493" s="188" t="inlineStr">
        <is>
          <t>See CVE details</t>
        </is>
      </c>
      <c r="Q1493" s="188" t="inlineStr">
        <is>
          <t>P3</t>
        </is>
      </c>
      <c r="R1493" s="188" t="inlineStr">
        <is>
          <t>🚨 URGENT: Apply vendor patches immediately | 🔒 Isolate affected systems if patch unavailable | 🛡️ Enable additional monitoring/IDS rules</t>
        </is>
      </c>
      <c r="S1493" s="188" t="inlineStr">
        <is>
          <t>CVE - IP enrichment n/a</t>
        </is>
      </c>
      <c r="T1493" s="188" t="n">
        <v>0</v>
      </c>
      <c r="U1493" s="188" t="n">
        <v>0</v>
      </c>
      <c r="V1493" s="188" t="inlineStr">
        <is>
          <t>T1203:Exploitation for Client Execution | T1190:Exploit Public-Facing Application</t>
        </is>
      </c>
      <c r="W1493" s="188" t="n">
        <v>1</v>
      </c>
      <c r="X1493" s="188" t="inlineStr">
        <is>
          <t>LOW (40%)</t>
        </is>
      </c>
      <c r="Y1493" s="188" t="inlineStr">
        <is>
          <t>UNLIKELY</t>
        </is>
      </c>
      <c r="Z1493" s="188" t="inlineStr">
        <is>
          <t>CHECK_VENDOR</t>
        </is>
      </c>
      <c r="AA1493" s="188" t="inlineStr">
        <is>
          <t>https://nvd.nist.gov/vuln/detail/CVE-2026-26955</t>
        </is>
      </c>
      <c r="AB1493" s="188" t="inlineStr">
        <is>
          <t>NONE</t>
        </is>
      </c>
      <c r="AC1493" s="188" t="n">
        <v>0</v>
      </c>
      <c r="AD1493" s="188" t="inlineStr"/>
    </row>
    <row r="1494">
      <c r="A1494" s="188" t="inlineStr">
        <is>
          <t>CVE</t>
        </is>
      </c>
      <c r="B1494" s="188" t="inlineStr">
        <is>
          <t>CVE-2026-26965</t>
        </is>
      </c>
      <c r="C1494" s="188" t="inlineStr">
        <is>
          <t>FreeRDP is a free implementation of the Remote Desktop Protocol. Prior to version 3.23.0, in the RLE planar decode path, `planar_decompress_plane_rle()` writes into `pDstData` at `((nYDst+y) * nDstStep) + (4*nXDst) + nChannel` without verifying that `(nYDst+nSrcHeight)` fits in the destination height or that `(nXDst+nSrcWidth)` fits in the destination stride. When `TempFormat != DstFormat`, `pDstData` becomes `planar-&gt;pTempData` (sized for the desktop), while `nYDst` is only validated against th</t>
        </is>
      </c>
      <c r="D1494" s="188" t="n">
        <v>8.800000000000001</v>
      </c>
      <c r="E1494" s="188" t="inlineStr">
        <is>
          <t>HIGH</t>
        </is>
      </c>
      <c r="F1494" s="188" t="n">
        <v>2</v>
      </c>
      <c r="G1494" s="188" t="n">
        <v>3</v>
      </c>
      <c r="H1494" s="188" t="inlineStr">
        <is>
          <t>HIGH</t>
        </is>
      </c>
      <c r="I1494" s="188" t="n">
        <v>14.8</v>
      </c>
      <c r="J1494" s="188" t="inlineStr">
        <is>
          <t>NO</t>
        </is>
      </c>
      <c r="K1494" s="188" t="inlineStr">
        <is>
          <t>https://nvd.nist.gov/vuln/detail/CVE-2026-26965</t>
        </is>
      </c>
      <c r="L1494" s="188" t="inlineStr">
        <is>
          <t>2026-02-26 00:15</t>
        </is>
      </c>
      <c r="M1494" s="188" t="inlineStr">
        <is>
          <t>CHECK_VENDOR</t>
        </is>
      </c>
      <c r="N1494" s="188" t="inlineStr">
        <is>
          <t>See NVD references</t>
        </is>
      </c>
      <c r="O1494" s="188" t="inlineStr">
        <is>
          <t>Apply vendor patches</t>
        </is>
      </c>
      <c r="P1494" s="188" t="inlineStr">
        <is>
          <t>See CVE details</t>
        </is>
      </c>
      <c r="Q1494" s="188" t="inlineStr">
        <is>
          <t>P3</t>
        </is>
      </c>
      <c r="R1494" s="188" t="inlineStr">
        <is>
          <t>🚨 URGENT: Apply vendor patches immediately | 🔒 Isolate affected systems if patch unavailable | 🛡️ Enable additional monitoring/IDS rules</t>
        </is>
      </c>
      <c r="S1494" s="188" t="inlineStr">
        <is>
          <t>CVE - IP enrichment n/a</t>
        </is>
      </c>
      <c r="T1494" s="188" t="n">
        <v>0</v>
      </c>
      <c r="U1494" s="188" t="n">
        <v>0</v>
      </c>
      <c r="V1494" s="188" t="inlineStr">
        <is>
          <t>T1203:Exploitation for Client Execution</t>
        </is>
      </c>
      <c r="W1494" s="188" t="n">
        <v>1</v>
      </c>
      <c r="X1494" s="188" t="inlineStr">
        <is>
          <t>LOW (40%)</t>
        </is>
      </c>
      <c r="Y1494" s="188" t="inlineStr">
        <is>
          <t>UNLIKELY</t>
        </is>
      </c>
      <c r="Z1494" s="188" t="inlineStr">
        <is>
          <t>CHECK_VENDOR</t>
        </is>
      </c>
      <c r="AA1494" s="188" t="inlineStr">
        <is>
          <t>https://nvd.nist.gov/vuln/detail/CVE-2026-26965</t>
        </is>
      </c>
      <c r="AB1494" s="188" t="inlineStr">
        <is>
          <t>NONE</t>
        </is>
      </c>
      <c r="AC1494" s="188" t="n">
        <v>0</v>
      </c>
      <c r="AD1494" s="188" t="inlineStr"/>
    </row>
    <row r="1495">
      <c r="A1495" s="187" t="inlineStr">
        <is>
          <t>CVE</t>
        </is>
      </c>
      <c r="B1495" s="187" t="inlineStr">
        <is>
          <t>CVE-2026-27015</t>
        </is>
      </c>
      <c r="C1495" s="187" t="inlineStr">
        <is>
          <t>FreeRDP is a free implementation of the Remote Desktop Protocol. Prior to version 3.23.0, a missing bounds check in `smartcard_unpack_read_size_align()` (`libfreerdp/utils/smartcard_pack.c:1703`) allows a malicious RDP server to crash the FreeRDP client via a reachable `WINPR_ASSERT` → `abort()`. The crash occurs in upstream builds where `WITH_VERBOSE_WINPR_ASSERT=ON` (default in FreeRDP 3.22.0 / current WinPR CMake defaults). Smartcard redirection must be explicitly enabled by the user (e.g., `</t>
        </is>
      </c>
      <c r="D1495" s="187" t="n">
        <v>5</v>
      </c>
      <c r="E1495" s="187" t="inlineStr">
        <is>
          <t>MEDIUM</t>
        </is>
      </c>
      <c r="F1495" s="187" t="n">
        <v>2</v>
      </c>
      <c r="G1495" s="187" t="n">
        <v>2</v>
      </c>
      <c r="H1495" s="187" t="inlineStr">
        <is>
          <t>MEDIUM</t>
        </is>
      </c>
      <c r="I1495" s="187" t="n">
        <v>9</v>
      </c>
      <c r="J1495" s="187" t="inlineStr">
        <is>
          <t>NO</t>
        </is>
      </c>
      <c r="K1495" s="187" t="inlineStr">
        <is>
          <t>https://nvd.nist.gov/vuln/detail/CVE-2026-27015</t>
        </is>
      </c>
      <c r="L1495" s="187" t="inlineStr">
        <is>
          <t>2026-02-26 00:15</t>
        </is>
      </c>
      <c r="M1495" s="187" t="inlineStr">
        <is>
          <t>CHECK_VENDOR</t>
        </is>
      </c>
      <c r="N1495" s="187" t="inlineStr">
        <is>
          <t>See NVD references</t>
        </is>
      </c>
      <c r="O1495" s="187" t="inlineStr">
        <is>
          <t>Apply vendor patches</t>
        </is>
      </c>
      <c r="P1495" s="187" t="inlineStr">
        <is>
          <t>See CVE details</t>
        </is>
      </c>
      <c r="Q1495" s="187" t="inlineStr">
        <is>
          <t>P4</t>
        </is>
      </c>
      <c r="R1495" s="187" t="inlineStr">
        <is>
          <t>📅 Schedule patch deployment within 30 days | 🔍 Monitor for exploitation attempts</t>
        </is>
      </c>
      <c r="S1495" s="187" t="inlineStr">
        <is>
          <t>CVE - IP enrichment n/a</t>
        </is>
      </c>
      <c r="T1495" s="187" t="n">
        <v>0</v>
      </c>
      <c r="U1495" s="187" t="n">
        <v>0</v>
      </c>
      <c r="V1495" s="187" t="inlineStr">
        <is>
          <t>T1190:Exploit Public-Facing Application</t>
        </is>
      </c>
      <c r="W1495" s="187" t="n">
        <v>1</v>
      </c>
      <c r="X1495" s="187" t="inlineStr">
        <is>
          <t>LOW (40%)</t>
        </is>
      </c>
      <c r="Y1495" s="187" t="inlineStr">
        <is>
          <t>UNLIKELY</t>
        </is>
      </c>
      <c r="Z1495" s="187" t="inlineStr">
        <is>
          <t>CHECK_VENDOR</t>
        </is>
      </c>
      <c r="AA1495" s="187" t="inlineStr">
        <is>
          <t>https://nvd.nist.gov/vuln/detail/CVE-2026-27015</t>
        </is>
      </c>
      <c r="AB1495" s="187" t="inlineStr">
        <is>
          <t>NONE</t>
        </is>
      </c>
      <c r="AC1495" s="187" t="n">
        <v>0</v>
      </c>
      <c r="AD1495" s="187" t="inlineStr"/>
    </row>
    <row r="1496">
      <c r="A1496" s="187" t="inlineStr">
        <is>
          <t>CVE</t>
        </is>
      </c>
      <c r="B1496" s="187" t="inlineStr">
        <is>
          <t>CVE-2026-2845</t>
        </is>
      </c>
      <c r="C1496" s="187" t="inlineStr">
        <is>
          <t>An issue has been discovered in GitLab CE/EE affecting all versions from 11.2 before 18.7.5, 18.8 before 18.8.5, and 18.9 before 18.9.1 that could have allowed an authenticated user to cause denial of service by exploiting a Bitbucket Server import endpoint via repeatedly sending large responses.</t>
        </is>
      </c>
      <c r="D1496" s="187" t="n">
        <v>6.5</v>
      </c>
      <c r="E1496" s="187" t="inlineStr">
        <is>
          <t>MEDIUM</t>
        </is>
      </c>
      <c r="F1496" s="187" t="n">
        <v>2</v>
      </c>
      <c r="G1496" s="187" t="n">
        <v>2</v>
      </c>
      <c r="H1496" s="187" t="inlineStr">
        <is>
          <t>MEDIUM</t>
        </is>
      </c>
      <c r="I1496" s="187" t="n">
        <v>10.5</v>
      </c>
      <c r="J1496" s="187" t="inlineStr">
        <is>
          <t>NO</t>
        </is>
      </c>
      <c r="K1496" s="187" t="inlineStr">
        <is>
          <t>https://nvd.nist.gov/vuln/detail/CVE-2026-2845</t>
        </is>
      </c>
      <c r="L1496" s="187" t="inlineStr">
        <is>
          <t>2026-02-26 00:15</t>
        </is>
      </c>
      <c r="M1496" s="187" t="inlineStr">
        <is>
          <t>CHECK_VENDOR</t>
        </is>
      </c>
      <c r="N1496" s="187" t="inlineStr">
        <is>
          <t>See NVD references</t>
        </is>
      </c>
      <c r="O1496" s="187" t="inlineStr">
        <is>
          <t>Apply vendor patches</t>
        </is>
      </c>
      <c r="P1496" s="187" t="inlineStr">
        <is>
          <t>See CVE details</t>
        </is>
      </c>
      <c r="Q1496" s="187" t="inlineStr">
        <is>
          <t>P4</t>
        </is>
      </c>
      <c r="R1496" s="187" t="inlineStr">
        <is>
          <t>📅 Schedule patch deployment within 30 days | 🔍 Monitor for exploitation attempts</t>
        </is>
      </c>
      <c r="S1496" s="187" t="inlineStr">
        <is>
          <t>CVE - IP enrichment n/a</t>
        </is>
      </c>
      <c r="T1496" s="187" t="n">
        <v>0</v>
      </c>
      <c r="U1496" s="187" t="n">
        <v>0</v>
      </c>
      <c r="V1496" s="187" t="inlineStr">
        <is>
          <t>T1499:Endpoint Denial of Service</t>
        </is>
      </c>
      <c r="W1496" s="187" t="n">
        <v>1</v>
      </c>
      <c r="X1496" s="187" t="inlineStr">
        <is>
          <t>LOW (40%)</t>
        </is>
      </c>
      <c r="Y1496" s="187" t="inlineStr">
        <is>
          <t>UNLIKELY</t>
        </is>
      </c>
      <c r="Z1496" s="187" t="inlineStr">
        <is>
          <t>CHECK_VENDOR</t>
        </is>
      </c>
      <c r="AA1496" s="187" t="inlineStr">
        <is>
          <t>https://nvd.nist.gov/vuln/detail/CVE-2026-2845</t>
        </is>
      </c>
      <c r="AB1496" s="187" t="inlineStr">
        <is>
          <t>NONE</t>
        </is>
      </c>
      <c r="AC1496" s="187" t="n">
        <v>0</v>
      </c>
      <c r="AD1496" s="187" t="inlineStr"/>
    </row>
    <row r="1497">
      <c r="A1497" s="188" t="inlineStr">
        <is>
          <t>CVE</t>
        </is>
      </c>
      <c r="B1497" s="188" t="inlineStr">
        <is>
          <t>CVE-2026-3172</t>
        </is>
      </c>
      <c r="C1497" s="188" t="inlineStr">
        <is>
          <t>Buffer overflow in parallel HNSW index build in pgvector 0.6.0 through 0.8.1 allows a database user to leak sensitive data from other relations or crash the database server.</t>
        </is>
      </c>
      <c r="D1497" s="188" t="n">
        <v>8.1</v>
      </c>
      <c r="E1497" s="188" t="inlineStr">
        <is>
          <t>HIGH</t>
        </is>
      </c>
      <c r="F1497" s="188" t="n">
        <v>2</v>
      </c>
      <c r="G1497" s="188" t="n">
        <v>3</v>
      </c>
      <c r="H1497" s="188" t="inlineStr">
        <is>
          <t>HIGH</t>
        </is>
      </c>
      <c r="I1497" s="188" t="n">
        <v>14.1</v>
      </c>
      <c r="J1497" s="188" t="inlineStr">
        <is>
          <t>NO</t>
        </is>
      </c>
      <c r="K1497" s="188" t="inlineStr">
        <is>
          <t>https://nvd.nist.gov/vuln/detail/CVE-2026-3172</t>
        </is>
      </c>
      <c r="L1497" s="188" t="inlineStr">
        <is>
          <t>2026-02-26 00:15</t>
        </is>
      </c>
      <c r="M1497" s="188" t="inlineStr">
        <is>
          <t>CHECK_VENDOR</t>
        </is>
      </c>
      <c r="N1497" s="188" t="inlineStr">
        <is>
          <t>See NVD references</t>
        </is>
      </c>
      <c r="O1497" s="188" t="inlineStr">
        <is>
          <t>Apply vendor patches</t>
        </is>
      </c>
      <c r="P1497" s="188" t="inlineStr">
        <is>
          <t>See CVE details</t>
        </is>
      </c>
      <c r="Q1497" s="188" t="inlineStr">
        <is>
          <t>P3</t>
        </is>
      </c>
      <c r="R1497" s="188" t="inlineStr">
        <is>
          <t>🚨 URGENT: Apply vendor patches immediately | 🔒 Isolate affected systems if patch unavailable | 🛡️ Enable additional monitoring/IDS rules</t>
        </is>
      </c>
      <c r="S1497" s="188" t="inlineStr">
        <is>
          <t>CVE - IP enrichment n/a</t>
        </is>
      </c>
      <c r="T1497" s="188" t="n">
        <v>0</v>
      </c>
      <c r="U1497" s="188" t="n">
        <v>0</v>
      </c>
      <c r="V1497" s="188" t="inlineStr">
        <is>
          <t>T1203:Exploitation for Client Execution</t>
        </is>
      </c>
      <c r="W1497" s="188" t="n">
        <v>1</v>
      </c>
      <c r="X1497" s="188" t="inlineStr">
        <is>
          <t>LOW (40%)</t>
        </is>
      </c>
      <c r="Y1497" s="188" t="inlineStr">
        <is>
          <t>UNLIKELY</t>
        </is>
      </c>
      <c r="Z1497" s="188" t="inlineStr">
        <is>
          <t>CHECK_VENDOR</t>
        </is>
      </c>
      <c r="AA1497" s="188" t="inlineStr">
        <is>
          <t>https://nvd.nist.gov/vuln/detail/CVE-2026-3172</t>
        </is>
      </c>
      <c r="AB1497" s="188" t="inlineStr">
        <is>
          <t>NONE</t>
        </is>
      </c>
      <c r="AC1497" s="188" t="n">
        <v>0</v>
      </c>
      <c r="AD1497" s="188" t="inlineStr"/>
    </row>
    <row r="1498">
      <c r="A1498" s="188" t="inlineStr">
        <is>
          <t>CVE</t>
        </is>
      </c>
      <c r="B1498" s="188" t="inlineStr">
        <is>
          <t>CVE-2026-3200</t>
        </is>
      </c>
      <c r="C1498" s="188" t="inlineStr">
        <is>
          <t>A vulnerability was identified in z-9527 admin 1.0/2.0. The affected element is the function checkName/register/login/getUser/getUsers of the file /server/controller/user.js. The manipulation leads to sql injection. The attack can be initiated remotely. The exploit is publicly available and might be used. The vendor was contacted early about this disclosure but did not respond in any way.</t>
        </is>
      </c>
      <c r="D1498" s="188" t="n">
        <v>7.3</v>
      </c>
      <c r="E1498" s="188" t="inlineStr">
        <is>
          <t>HIGH</t>
        </is>
      </c>
      <c r="F1498" s="188" t="n">
        <v>2</v>
      </c>
      <c r="G1498" s="188" t="n">
        <v>3</v>
      </c>
      <c r="H1498" s="188" t="inlineStr">
        <is>
          <t>HIGH</t>
        </is>
      </c>
      <c r="I1498" s="188" t="n">
        <v>13.3</v>
      </c>
      <c r="J1498" s="188" t="inlineStr">
        <is>
          <t>NO</t>
        </is>
      </c>
      <c r="K1498" s="188" t="inlineStr">
        <is>
          <t>https://nvd.nist.gov/vuln/detail/CVE-2026-3200</t>
        </is>
      </c>
      <c r="L1498" s="188" t="inlineStr">
        <is>
          <t>2026-02-26 00:15</t>
        </is>
      </c>
      <c r="M1498" s="188" t="inlineStr">
        <is>
          <t>CHECK_VENDOR</t>
        </is>
      </c>
      <c r="N1498" s="188" t="inlineStr">
        <is>
          <t>See NVD references</t>
        </is>
      </c>
      <c r="O1498" s="188" t="inlineStr">
        <is>
          <t>Apply vendor patches</t>
        </is>
      </c>
      <c r="P1498" s="188" t="inlineStr">
        <is>
          <t>See CVE details</t>
        </is>
      </c>
      <c r="Q1498" s="188" t="inlineStr">
        <is>
          <t>P3</t>
        </is>
      </c>
      <c r="R1498" s="188" t="inlineStr">
        <is>
          <t>🚨 URGENT: Apply vendor patches immediately | 🔒 Isolate affected systems if patch unavailable | 🛡️ Enable additional monitoring/IDS rules</t>
        </is>
      </c>
      <c r="S1498" s="188" t="inlineStr">
        <is>
          <t>CVE - IP enrichment n/a</t>
        </is>
      </c>
      <c r="T1498" s="188" t="n">
        <v>0</v>
      </c>
      <c r="U1498" s="188" t="n">
        <v>0</v>
      </c>
      <c r="V1498" s="188" t="inlineStr">
        <is>
          <t>T1190:Exploit Public-Facing Application</t>
        </is>
      </c>
      <c r="W1498" s="188" t="n">
        <v>1</v>
      </c>
      <c r="X1498" s="188" t="inlineStr">
        <is>
          <t>LOW (40%)</t>
        </is>
      </c>
      <c r="Y1498" s="188" t="inlineStr">
        <is>
          <t>UNLIKELY</t>
        </is>
      </c>
      <c r="Z1498" s="188" t="inlineStr">
        <is>
          <t>CHECK_VENDOR</t>
        </is>
      </c>
      <c r="AA1498" s="188" t="inlineStr">
        <is>
          <t>https://nvd.nist.gov/vuln/detail/CVE-2026-3200</t>
        </is>
      </c>
      <c r="AB1498" s="188" t="inlineStr">
        <is>
          <t>NONE</t>
        </is>
      </c>
      <c r="AC1498" s="188" t="n">
        <v>0</v>
      </c>
      <c r="AD1498" s="188" t="inlineStr"/>
    </row>
    <row r="1499">
      <c r="A1499" s="188" t="inlineStr">
        <is>
          <t>EXPLOIT</t>
        </is>
      </c>
      <c r="B1499" s="188" t="inlineStr">
        <is>
          <t>264ee764a350</t>
        </is>
      </c>
      <c r="C1499" s="188" t="inlineStr">
        <is>
          <t>[webapps] motionEye 0.43.1b4 - RCE</t>
        </is>
      </c>
      <c r="D1499" s="188" t="n">
        <v>7.5</v>
      </c>
      <c r="E1499" s="188" t="inlineStr">
        <is>
          <t>HIGH</t>
        </is>
      </c>
      <c r="F1499" s="188" t="n">
        <v>3</v>
      </c>
      <c r="G1499" s="188" t="n">
        <v>3</v>
      </c>
      <c r="H1499" s="188" t="inlineStr">
        <is>
          <t>CRITICAL</t>
        </is>
      </c>
      <c r="I1499" s="188" t="n">
        <v>16.5</v>
      </c>
      <c r="J1499" s="188" t="inlineStr">
        <is>
          <t>NO</t>
        </is>
      </c>
      <c r="K1499" s="188" t="inlineStr">
        <is>
          <t>https://www.exploit-db.com/exploits/52481</t>
        </is>
      </c>
      <c r="L1499" s="188" t="inlineStr">
        <is>
          <t>2026-02-11 00:00</t>
        </is>
      </c>
      <c r="M1499" s="188" t="inlineStr">
        <is>
          <t>CHECK_VENDOR</t>
        </is>
      </c>
      <c r="N1499" s="188" t="inlineStr">
        <is>
          <t>https://www.exploit-db.com/exploits/52481</t>
        </is>
      </c>
      <c r="O1499" s="188" t="inlineStr">
        <is>
          <t>Block exploit signatures at perimeter</t>
        </is>
      </c>
      <c r="P1499" s="188" t="inlineStr">
        <is>
          <t>Various</t>
        </is>
      </c>
      <c r="Q1499" s="188" t="inlineStr">
        <is>
          <t>P1</t>
        </is>
      </c>
      <c r="R1499" s="188" t="inlineStr">
        <is>
          <t>⚠️ Active exploit detected - prioritize patching | 🚫 Block exploit signatures at perimeter | 🔎 Scan environment for IOCs</t>
        </is>
      </c>
      <c r="S1499" s="188" t="inlineStr">
        <is>
          <t>Exploit - IP enrichment N/A</t>
        </is>
      </c>
      <c r="T1499" s="188" t="n">
        <v>0</v>
      </c>
      <c r="U1499" s="188" t="n">
        <v>0</v>
      </c>
      <c r="V1499" s="188" t="inlineStr">
        <is>
          <t>T1203:Exploitation for Client Execution</t>
        </is>
      </c>
      <c r="W1499" s="188" t="n">
        <v>1</v>
      </c>
      <c r="X1499" s="188" t="inlineStr">
        <is>
          <t>LOW (40%)</t>
        </is>
      </c>
      <c r="Y1499" s="188" t="inlineStr">
        <is>
          <t>YES</t>
        </is>
      </c>
      <c r="Z1499" s="188" t="inlineStr">
        <is>
          <t>CHECK_VENDOR</t>
        </is>
      </c>
      <c r="AA1499" s="188" t="inlineStr">
        <is>
          <t>https://www.exploit-db.com/exploits/52481</t>
        </is>
      </c>
      <c r="AB1499" s="188" t="inlineStr">
        <is>
          <t>NONE</t>
        </is>
      </c>
      <c r="AC1499" s="188" t="n">
        <v>0</v>
      </c>
      <c r="AD1499" s="188" t="inlineStr"/>
    </row>
    <row r="1500">
      <c r="A1500" s="188" t="inlineStr">
        <is>
          <t>EXPLOIT</t>
        </is>
      </c>
      <c r="B1500" s="188" t="inlineStr">
        <is>
          <t>16c218acca5e</t>
        </is>
      </c>
      <c r="C1500" s="188" t="inlineStr">
        <is>
          <t>[remote] Windows 10.0.17763.7009 - spoofing vulnerability</t>
        </is>
      </c>
      <c r="D1500" s="188" t="n">
        <v>7.5</v>
      </c>
      <c r="E1500" s="188" t="inlineStr">
        <is>
          <t>HIGH</t>
        </is>
      </c>
      <c r="F1500" s="188" t="n">
        <v>3</v>
      </c>
      <c r="G1500" s="188" t="n">
        <v>3</v>
      </c>
      <c r="H1500" s="188" t="inlineStr">
        <is>
          <t>CRITICAL</t>
        </is>
      </c>
      <c r="I1500" s="188" t="n">
        <v>16.5</v>
      </c>
      <c r="J1500" s="188" t="inlineStr">
        <is>
          <t>NO</t>
        </is>
      </c>
      <c r="K1500" s="188" t="inlineStr">
        <is>
          <t>https://www.exploit-db.com/exploits/52480</t>
        </is>
      </c>
      <c r="L1500" s="188" t="inlineStr">
        <is>
          <t>2026-02-11 00:00</t>
        </is>
      </c>
      <c r="M1500" s="188" t="inlineStr">
        <is>
          <t>CHECK_VENDOR</t>
        </is>
      </c>
      <c r="N1500" s="188" t="inlineStr">
        <is>
          <t>https://www.exploit-db.com/exploits/52480</t>
        </is>
      </c>
      <c r="O1500" s="188" t="inlineStr">
        <is>
          <t>Block exploit signatures at perimeter</t>
        </is>
      </c>
      <c r="P1500" s="188" t="inlineStr">
        <is>
          <t>Various</t>
        </is>
      </c>
      <c r="Q1500" s="188" t="inlineStr">
        <is>
          <t>P1</t>
        </is>
      </c>
      <c r="R1500" s="188" t="inlineStr">
        <is>
          <t>⚠️ Active exploit detected - prioritize patching | 🚫 Block exploit signatures at perimeter | 🔎 Scan environment for IOCs</t>
        </is>
      </c>
      <c r="S1500" s="188" t="inlineStr">
        <is>
          <t>Exploit - IP enrichment N/A</t>
        </is>
      </c>
      <c r="T1500" s="188" t="n">
        <v>0</v>
      </c>
      <c r="U1500" s="188" t="n">
        <v>0</v>
      </c>
      <c r="V1500" s="188" t="inlineStr">
        <is>
          <t>T1203:Exploitation for Client Execution</t>
        </is>
      </c>
      <c r="W1500" s="188" t="n">
        <v>1</v>
      </c>
      <c r="X1500" s="188" t="inlineStr">
        <is>
          <t>LOW (40%)</t>
        </is>
      </c>
      <c r="Y1500" s="188" t="inlineStr">
        <is>
          <t>YES</t>
        </is>
      </c>
      <c r="Z1500" s="188" t="inlineStr">
        <is>
          <t>CHECK_VENDOR</t>
        </is>
      </c>
      <c r="AA1500" s="188" t="inlineStr">
        <is>
          <t>https://www.exploit-db.com/exploits/52480</t>
        </is>
      </c>
      <c r="AB1500" s="188" t="inlineStr">
        <is>
          <t>NONE</t>
        </is>
      </c>
      <c r="AC1500" s="188" t="n">
        <v>0</v>
      </c>
      <c r="AD1500" s="188" t="inlineStr"/>
    </row>
    <row r="1501">
      <c r="A1501" s="188" t="inlineStr">
        <is>
          <t>EXPLOIT</t>
        </is>
      </c>
      <c r="B1501" s="188" t="inlineStr">
        <is>
          <t>08ba2a1cd543</t>
        </is>
      </c>
      <c r="C1501" s="188" t="inlineStr">
        <is>
          <t>[local] glibc 2.38 - Buffer Overflow</t>
        </is>
      </c>
      <c r="D1501" s="188" t="n">
        <v>7.5</v>
      </c>
      <c r="E1501" s="188" t="inlineStr">
        <is>
          <t>HIGH</t>
        </is>
      </c>
      <c r="F1501" s="188" t="n">
        <v>3</v>
      </c>
      <c r="G1501" s="188" t="n">
        <v>3</v>
      </c>
      <c r="H1501" s="188" t="inlineStr">
        <is>
          <t>CRITICAL</t>
        </is>
      </c>
      <c r="I1501" s="188" t="n">
        <v>16.5</v>
      </c>
      <c r="J1501" s="188" t="inlineStr">
        <is>
          <t>NO</t>
        </is>
      </c>
      <c r="K1501" s="188" t="inlineStr">
        <is>
          <t>https://www.exploit-db.com/exploits/52479</t>
        </is>
      </c>
      <c r="L1501" s="188" t="inlineStr">
        <is>
          <t>2026-02-11 00:00</t>
        </is>
      </c>
      <c r="M1501" s="188" t="inlineStr">
        <is>
          <t>CHECK_VENDOR</t>
        </is>
      </c>
      <c r="N1501" s="188" t="inlineStr">
        <is>
          <t>https://www.exploit-db.com/exploits/52479</t>
        </is>
      </c>
      <c r="O1501" s="188" t="inlineStr">
        <is>
          <t>Block exploit signatures at perimeter</t>
        </is>
      </c>
      <c r="P1501" s="188" t="inlineStr">
        <is>
          <t>Various</t>
        </is>
      </c>
      <c r="Q1501" s="188" t="inlineStr">
        <is>
          <t>P1</t>
        </is>
      </c>
      <c r="R1501" s="188" t="inlineStr">
        <is>
          <t>⚠️ Active exploit detected - prioritize patching | 🚫 Block exploit signatures at perimeter | 🔎 Scan environment for IOCs</t>
        </is>
      </c>
      <c r="S1501" s="188" t="inlineStr">
        <is>
          <t>Exploit - IP enrichment N/A</t>
        </is>
      </c>
      <c r="T1501" s="188" t="n">
        <v>0</v>
      </c>
      <c r="U1501" s="188" t="n">
        <v>0</v>
      </c>
      <c r="V1501" s="188" t="inlineStr">
        <is>
          <t>T1203:Exploitation for Client Execution</t>
        </is>
      </c>
      <c r="W1501" s="188" t="n">
        <v>1</v>
      </c>
      <c r="X1501" s="188" t="inlineStr">
        <is>
          <t>LOW (40%)</t>
        </is>
      </c>
      <c r="Y1501" s="188" t="inlineStr">
        <is>
          <t>YES</t>
        </is>
      </c>
      <c r="Z1501" s="188" t="inlineStr">
        <is>
          <t>CHECK_VENDOR</t>
        </is>
      </c>
      <c r="AA1501" s="188" t="inlineStr">
        <is>
          <t>https://www.exploit-db.com/exploits/52479</t>
        </is>
      </c>
      <c r="AB1501" s="188" t="inlineStr">
        <is>
          <t>NONE</t>
        </is>
      </c>
      <c r="AC1501" s="188" t="n">
        <v>0</v>
      </c>
      <c r="AD1501" s="188" t="inlineStr"/>
    </row>
    <row r="1502">
      <c r="A1502" s="188" t="inlineStr">
        <is>
          <t>EXPLOIT</t>
        </is>
      </c>
      <c r="B1502" s="188" t="inlineStr">
        <is>
          <t>e684f84451aa</t>
        </is>
      </c>
      <c r="C1502" s="188" t="inlineStr">
        <is>
          <t>[remote] windows 10/11 - NTLM Hash Disclosure Spoofing</t>
        </is>
      </c>
      <c r="D1502" s="188" t="n">
        <v>7.5</v>
      </c>
      <c r="E1502" s="188" t="inlineStr">
        <is>
          <t>HIGH</t>
        </is>
      </c>
      <c r="F1502" s="188" t="n">
        <v>3</v>
      </c>
      <c r="G1502" s="188" t="n">
        <v>3</v>
      </c>
      <c r="H1502" s="188" t="inlineStr">
        <is>
          <t>CRITICAL</t>
        </is>
      </c>
      <c r="I1502" s="188" t="n">
        <v>16.5</v>
      </c>
      <c r="J1502" s="188" t="inlineStr">
        <is>
          <t>NO</t>
        </is>
      </c>
      <c r="K1502" s="188" t="inlineStr">
        <is>
          <t>https://www.exploit-db.com/exploits/52478</t>
        </is>
      </c>
      <c r="L1502" s="188" t="inlineStr">
        <is>
          <t>2026-02-04 00:00</t>
        </is>
      </c>
      <c r="M1502" s="188" t="inlineStr">
        <is>
          <t>CHECK_VENDOR</t>
        </is>
      </c>
      <c r="N1502" s="188" t="inlineStr">
        <is>
          <t>https://www.exploit-db.com/exploits/52478</t>
        </is>
      </c>
      <c r="O1502" s="188" t="inlineStr">
        <is>
          <t>Block exploit signatures at perimeter</t>
        </is>
      </c>
      <c r="P1502" s="188" t="inlineStr">
        <is>
          <t>Various</t>
        </is>
      </c>
      <c r="Q1502" s="188" t="inlineStr">
        <is>
          <t>P1</t>
        </is>
      </c>
      <c r="R1502" s="188" t="inlineStr">
        <is>
          <t>⚠️ Active exploit detected - prioritize patching | 🚫 Block exploit signatures at perimeter | 🔎 Scan environment for IOCs</t>
        </is>
      </c>
      <c r="S1502" s="188" t="inlineStr">
        <is>
          <t>Exploit - IP enrichment N/A</t>
        </is>
      </c>
      <c r="T1502" s="188" t="n">
        <v>0</v>
      </c>
      <c r="U1502" s="188" t="n">
        <v>0</v>
      </c>
      <c r="V1502" s="188" t="inlineStr">
        <is>
          <t>T1203:Exploitation for Client Execution</t>
        </is>
      </c>
      <c r="W1502" s="188" t="n">
        <v>1</v>
      </c>
      <c r="X1502" s="188" t="inlineStr">
        <is>
          <t>LOW (40%)</t>
        </is>
      </c>
      <c r="Y1502" s="188" t="inlineStr">
        <is>
          <t>YES</t>
        </is>
      </c>
      <c r="Z1502" s="188" t="inlineStr">
        <is>
          <t>CHECK_VENDOR</t>
        </is>
      </c>
      <c r="AA1502" s="188" t="inlineStr">
        <is>
          <t>https://www.exploit-db.com/exploits/52478</t>
        </is>
      </c>
      <c r="AB1502" s="188" t="inlineStr">
        <is>
          <t>NONE</t>
        </is>
      </c>
      <c r="AC1502" s="188" t="n">
        <v>0</v>
      </c>
      <c r="AD1502" s="188" t="inlineStr"/>
    </row>
    <row r="1503">
      <c r="A1503" s="188" t="inlineStr">
        <is>
          <t>EXPLOIT</t>
        </is>
      </c>
      <c r="B1503" s="188" t="inlineStr">
        <is>
          <t>fdac721057d5</t>
        </is>
      </c>
      <c r="C1503" s="188" t="inlineStr">
        <is>
          <t>[remote] Redis 8.0.2 - RCE</t>
        </is>
      </c>
      <c r="D1503" s="188" t="n">
        <v>7.5</v>
      </c>
      <c r="E1503" s="188" t="inlineStr">
        <is>
          <t>HIGH</t>
        </is>
      </c>
      <c r="F1503" s="188" t="n">
        <v>3</v>
      </c>
      <c r="G1503" s="188" t="n">
        <v>3</v>
      </c>
      <c r="H1503" s="188" t="inlineStr">
        <is>
          <t>CRITICAL</t>
        </is>
      </c>
      <c r="I1503" s="188" t="n">
        <v>16.5</v>
      </c>
      <c r="J1503" s="188" t="inlineStr">
        <is>
          <t>NO</t>
        </is>
      </c>
      <c r="K1503" s="188" t="inlineStr">
        <is>
          <t>https://www.exploit-db.com/exploits/52477</t>
        </is>
      </c>
      <c r="L1503" s="188" t="inlineStr">
        <is>
          <t>2026-02-04 00:00</t>
        </is>
      </c>
      <c r="M1503" s="188" t="inlineStr">
        <is>
          <t>CHECK_VENDOR</t>
        </is>
      </c>
      <c r="N1503" s="188" t="inlineStr">
        <is>
          <t>https://www.exploit-db.com/exploits/52477</t>
        </is>
      </c>
      <c r="O1503" s="188" t="inlineStr">
        <is>
          <t>Block exploit signatures at perimeter</t>
        </is>
      </c>
      <c r="P1503" s="188" t="inlineStr">
        <is>
          <t>Various</t>
        </is>
      </c>
      <c r="Q1503" s="188" t="inlineStr">
        <is>
          <t>P1</t>
        </is>
      </c>
      <c r="R1503" s="188" t="inlineStr">
        <is>
          <t>⚠️ Active exploit detected - prioritize patching | 🚫 Block exploit signatures at perimeter | 🔎 Scan environment for IOCs</t>
        </is>
      </c>
      <c r="S1503" s="188" t="inlineStr">
        <is>
          <t>Exploit - IP enrichment N/A</t>
        </is>
      </c>
      <c r="T1503" s="188" t="n">
        <v>0</v>
      </c>
      <c r="U1503" s="188" t="n">
        <v>0</v>
      </c>
      <c r="V1503" s="188" t="inlineStr">
        <is>
          <t>T1203:Exploitation for Client Execution</t>
        </is>
      </c>
      <c r="W1503" s="188" t="n">
        <v>1</v>
      </c>
      <c r="X1503" s="188" t="inlineStr">
        <is>
          <t>LOW (40%)</t>
        </is>
      </c>
      <c r="Y1503" s="188" t="inlineStr">
        <is>
          <t>YES</t>
        </is>
      </c>
      <c r="Z1503" s="188" t="inlineStr">
        <is>
          <t>CHECK_VENDOR</t>
        </is>
      </c>
      <c r="AA1503" s="188" t="inlineStr">
        <is>
          <t>https://www.exploit-db.com/exploits/52477</t>
        </is>
      </c>
      <c r="AB1503" s="188" t="inlineStr">
        <is>
          <t>NONE</t>
        </is>
      </c>
      <c r="AC1503" s="188" t="n">
        <v>0</v>
      </c>
      <c r="AD1503" s="188" t="inlineStr"/>
    </row>
    <row r="1504">
      <c r="A1504" s="188" t="inlineStr">
        <is>
          <t>EXPLOIT</t>
        </is>
      </c>
      <c r="B1504" s="188" t="inlineStr">
        <is>
          <t>b844108c7945</t>
        </is>
      </c>
      <c r="C1504" s="188" t="inlineStr">
        <is>
          <t>[webapps] OctoPrint 1.11.2 - File Upload</t>
        </is>
      </c>
      <c r="D1504" s="188" t="n">
        <v>7.5</v>
      </c>
      <c r="E1504" s="188" t="inlineStr">
        <is>
          <t>HIGH</t>
        </is>
      </c>
      <c r="F1504" s="188" t="n">
        <v>3</v>
      </c>
      <c r="G1504" s="188" t="n">
        <v>3</v>
      </c>
      <c r="H1504" s="188" t="inlineStr">
        <is>
          <t>CRITICAL</t>
        </is>
      </c>
      <c r="I1504" s="188" t="n">
        <v>16.5</v>
      </c>
      <c r="J1504" s="188" t="inlineStr">
        <is>
          <t>NO</t>
        </is>
      </c>
      <c r="K1504" s="188" t="inlineStr">
        <is>
          <t>https://www.exploit-db.com/exploits/52476</t>
        </is>
      </c>
      <c r="L1504" s="188" t="inlineStr">
        <is>
          <t>2026-02-04 00:00</t>
        </is>
      </c>
      <c r="M1504" s="188" t="inlineStr">
        <is>
          <t>CHECK_VENDOR</t>
        </is>
      </c>
      <c r="N1504" s="188" t="inlineStr">
        <is>
          <t>https://www.exploit-db.com/exploits/52476</t>
        </is>
      </c>
      <c r="O1504" s="188" t="inlineStr">
        <is>
          <t>Block exploit signatures at perimeter</t>
        </is>
      </c>
      <c r="P1504" s="188" t="inlineStr">
        <is>
          <t>Various</t>
        </is>
      </c>
      <c r="Q1504" s="188" t="inlineStr">
        <is>
          <t>P1</t>
        </is>
      </c>
      <c r="R1504" s="188" t="inlineStr">
        <is>
          <t>⚠️ Active exploit detected - prioritize patching | 🚫 Block exploit signatures at perimeter | 🔎 Scan environment for IOCs</t>
        </is>
      </c>
      <c r="S1504" s="188" t="inlineStr">
        <is>
          <t>Exploit - IP enrichment N/A</t>
        </is>
      </c>
      <c r="T1504" s="188" t="n">
        <v>0</v>
      </c>
      <c r="U1504" s="188" t="n">
        <v>0</v>
      </c>
      <c r="V1504" s="188" t="inlineStr">
        <is>
          <t>T1203:Exploitation for Client Execution</t>
        </is>
      </c>
      <c r="W1504" s="188" t="n">
        <v>1</v>
      </c>
      <c r="X1504" s="188" t="inlineStr">
        <is>
          <t>LOW (40%)</t>
        </is>
      </c>
      <c r="Y1504" s="188" t="inlineStr">
        <is>
          <t>YES</t>
        </is>
      </c>
      <c r="Z1504" s="188" t="inlineStr">
        <is>
          <t>CHECK_VENDOR</t>
        </is>
      </c>
      <c r="AA1504" s="188" t="inlineStr">
        <is>
          <t>https://www.exploit-db.com/exploits/52476</t>
        </is>
      </c>
      <c r="AB1504" s="188" t="inlineStr">
        <is>
          <t>NONE</t>
        </is>
      </c>
      <c r="AC1504" s="188" t="n">
        <v>0</v>
      </c>
      <c r="AD1504" s="188" t="inlineStr"/>
    </row>
    <row r="1505">
      <c r="A1505" s="188" t="inlineStr">
        <is>
          <t>EXPLOIT</t>
        </is>
      </c>
      <c r="B1505" s="188" t="inlineStr">
        <is>
          <t>1453e19b6a2e</t>
        </is>
      </c>
      <c r="C1505" s="188" t="inlineStr">
        <is>
          <t>[remote] Ingress-NGINX Admission Controller v1.11.1 - FD Injection to RCE</t>
        </is>
      </c>
      <c r="D1505" s="188" t="n">
        <v>7.5</v>
      </c>
      <c r="E1505" s="188" t="inlineStr">
        <is>
          <t>HIGH</t>
        </is>
      </c>
      <c r="F1505" s="188" t="n">
        <v>3</v>
      </c>
      <c r="G1505" s="188" t="n">
        <v>3</v>
      </c>
      <c r="H1505" s="188" t="inlineStr">
        <is>
          <t>CRITICAL</t>
        </is>
      </c>
      <c r="I1505" s="188" t="n">
        <v>16.5</v>
      </c>
      <c r="J1505" s="188" t="inlineStr">
        <is>
          <t>NO</t>
        </is>
      </c>
      <c r="K1505" s="188" t="inlineStr">
        <is>
          <t>https://www.exploit-db.com/exploits/52475</t>
        </is>
      </c>
      <c r="L1505" s="188" t="inlineStr">
        <is>
          <t>2026-02-04 00:00</t>
        </is>
      </c>
      <c r="M1505" s="188" t="inlineStr">
        <is>
          <t>CHECK_VENDOR</t>
        </is>
      </c>
      <c r="N1505" s="188" t="inlineStr">
        <is>
          <t>https://www.exploit-db.com/exploits/52475</t>
        </is>
      </c>
      <c r="O1505" s="188" t="inlineStr">
        <is>
          <t>Block exploit signatures at perimeter</t>
        </is>
      </c>
      <c r="P1505" s="188" t="inlineStr">
        <is>
          <t>Various</t>
        </is>
      </c>
      <c r="Q1505" s="188" t="inlineStr">
        <is>
          <t>P1</t>
        </is>
      </c>
      <c r="R1505" s="188" t="inlineStr">
        <is>
          <t>⚠️ Active exploit detected - prioritize patching | 🚫 Block exploit signatures at perimeter | 🔎 Scan environment for IOCs</t>
        </is>
      </c>
      <c r="S1505" s="188" t="inlineStr">
        <is>
          <t>Exploit - IP enrichment N/A</t>
        </is>
      </c>
      <c r="T1505" s="188" t="n">
        <v>0</v>
      </c>
      <c r="U1505" s="188" t="n">
        <v>0</v>
      </c>
      <c r="V1505" s="188" t="inlineStr">
        <is>
          <t>T1203:Exploitation for Client Execution</t>
        </is>
      </c>
      <c r="W1505" s="188" t="n">
        <v>1</v>
      </c>
      <c r="X1505" s="188" t="inlineStr">
        <is>
          <t>LOW (40%)</t>
        </is>
      </c>
      <c r="Y1505" s="188" t="inlineStr">
        <is>
          <t>YES</t>
        </is>
      </c>
      <c r="Z1505" s="188" t="inlineStr">
        <is>
          <t>CHECK_VENDOR</t>
        </is>
      </c>
      <c r="AA1505" s="188" t="inlineStr">
        <is>
          <t>https://www.exploit-db.com/exploits/52475</t>
        </is>
      </c>
      <c r="AB1505" s="188" t="inlineStr">
        <is>
          <t>NONE</t>
        </is>
      </c>
      <c r="AC1505" s="188" t="n">
        <v>0</v>
      </c>
      <c r="AD1505" s="188" t="inlineStr"/>
    </row>
    <row r="1506">
      <c r="A1506" s="188" t="inlineStr">
        <is>
          <t>EXPLOIT</t>
        </is>
      </c>
      <c r="B1506" s="188" t="inlineStr">
        <is>
          <t>4430cf019b0f</t>
        </is>
      </c>
      <c r="C1506" s="188" t="inlineStr">
        <is>
          <t>[webapps] aiohttp 3.9.1 - directory traversal PoC</t>
        </is>
      </c>
      <c r="D1506" s="188" t="n">
        <v>7.5</v>
      </c>
      <c r="E1506" s="188" t="inlineStr">
        <is>
          <t>HIGH</t>
        </is>
      </c>
      <c r="F1506" s="188" t="n">
        <v>3</v>
      </c>
      <c r="G1506" s="188" t="n">
        <v>3</v>
      </c>
      <c r="H1506" s="188" t="inlineStr">
        <is>
          <t>CRITICAL</t>
        </is>
      </c>
      <c r="I1506" s="188" t="n">
        <v>16.5</v>
      </c>
      <c r="J1506" s="188" t="inlineStr">
        <is>
          <t>NO</t>
        </is>
      </c>
      <c r="K1506" s="188" t="inlineStr">
        <is>
          <t>https://www.exploit-db.com/exploits/52474</t>
        </is>
      </c>
      <c r="L1506" s="188" t="inlineStr">
        <is>
          <t>2026-02-04 00:00</t>
        </is>
      </c>
      <c r="M1506" s="188" t="inlineStr">
        <is>
          <t>CHECK_VENDOR</t>
        </is>
      </c>
      <c r="N1506" s="188" t="inlineStr">
        <is>
          <t>https://www.exploit-db.com/exploits/52474</t>
        </is>
      </c>
      <c r="O1506" s="188" t="inlineStr">
        <is>
          <t>Block exploit signatures at perimeter</t>
        </is>
      </c>
      <c r="P1506" s="188" t="inlineStr">
        <is>
          <t>Various</t>
        </is>
      </c>
      <c r="Q1506" s="188" t="inlineStr">
        <is>
          <t>P1</t>
        </is>
      </c>
      <c r="R1506" s="188" t="inlineStr">
        <is>
          <t>⚠️ Active exploit detected - prioritize patching | 🚫 Block exploit signatures at perimeter | 🔎 Scan environment for IOCs</t>
        </is>
      </c>
      <c r="S1506" s="188" t="inlineStr">
        <is>
          <t>Exploit - IP enrichment N/A</t>
        </is>
      </c>
      <c r="T1506" s="188" t="n">
        <v>0</v>
      </c>
      <c r="U1506" s="188" t="n">
        <v>0</v>
      </c>
      <c r="V1506" s="188" t="inlineStr">
        <is>
          <t>T1203:Exploitation for Client Execution</t>
        </is>
      </c>
      <c r="W1506" s="188" t="n">
        <v>1</v>
      </c>
      <c r="X1506" s="188" t="inlineStr">
        <is>
          <t>LOW (40%)</t>
        </is>
      </c>
      <c r="Y1506" s="188" t="inlineStr">
        <is>
          <t>YES</t>
        </is>
      </c>
      <c r="Z1506" s="188" t="inlineStr">
        <is>
          <t>CHECK_VENDOR</t>
        </is>
      </c>
      <c r="AA1506" s="188" t="inlineStr">
        <is>
          <t>https://www.exploit-db.com/exploits/52474</t>
        </is>
      </c>
      <c r="AB1506" s="188" t="inlineStr">
        <is>
          <t>NONE</t>
        </is>
      </c>
      <c r="AC1506" s="188" t="n">
        <v>0</v>
      </c>
      <c r="AD1506" s="188" t="inlineStr"/>
    </row>
    <row r="1507">
      <c r="A1507" s="188" t="inlineStr">
        <is>
          <t>EXPLOIT</t>
        </is>
      </c>
      <c r="B1507" s="188" t="inlineStr">
        <is>
          <t>6789a52381fc</t>
        </is>
      </c>
      <c r="C1507" s="188" t="inlineStr">
        <is>
          <t>[webapps] FortiWeb Fabric Connector 7.6.x - SQL Injection to Remote Code Execution</t>
        </is>
      </c>
      <c r="D1507" s="188" t="n">
        <v>7.5</v>
      </c>
      <c r="E1507" s="188" t="inlineStr">
        <is>
          <t>HIGH</t>
        </is>
      </c>
      <c r="F1507" s="188" t="n">
        <v>3</v>
      </c>
      <c r="G1507" s="188" t="n">
        <v>3</v>
      </c>
      <c r="H1507" s="188" t="inlineStr">
        <is>
          <t>CRITICAL</t>
        </is>
      </c>
      <c r="I1507" s="188" t="n">
        <v>16.5</v>
      </c>
      <c r="J1507" s="188" t="inlineStr">
        <is>
          <t>NO</t>
        </is>
      </c>
      <c r="K1507" s="188" t="inlineStr">
        <is>
          <t>https://www.exploit-db.com/exploits/52473</t>
        </is>
      </c>
      <c r="L1507" s="188" t="inlineStr">
        <is>
          <t>2026-02-04 00:00</t>
        </is>
      </c>
      <c r="M1507" s="188" t="inlineStr">
        <is>
          <t>CHECK_VENDOR</t>
        </is>
      </c>
      <c r="N1507" s="188" t="inlineStr">
        <is>
          <t>https://www.exploit-db.com/exploits/52473</t>
        </is>
      </c>
      <c r="O1507" s="188" t="inlineStr">
        <is>
          <t>Block exploit signatures at perimeter</t>
        </is>
      </c>
      <c r="P1507" s="188" t="inlineStr">
        <is>
          <t>Various</t>
        </is>
      </c>
      <c r="Q1507" s="188" t="inlineStr">
        <is>
          <t>P1</t>
        </is>
      </c>
      <c r="R1507" s="188" t="inlineStr">
        <is>
          <t>⚠️ Active exploit detected - prioritize patching | 🚫 Block exploit signatures at perimeter | 🔎 Scan environment for IOCs</t>
        </is>
      </c>
      <c r="S1507" s="188" t="inlineStr">
        <is>
          <t>Exploit - IP enrichment N/A</t>
        </is>
      </c>
      <c r="T1507" s="188" t="n">
        <v>0</v>
      </c>
      <c r="U1507" s="188" t="n">
        <v>0</v>
      </c>
      <c r="V1507" s="188" t="inlineStr">
        <is>
          <t>T1203:Exploitation for Client Execution</t>
        </is>
      </c>
      <c r="W1507" s="188" t="n">
        <v>1</v>
      </c>
      <c r="X1507" s="188" t="inlineStr">
        <is>
          <t>LOW (40%)</t>
        </is>
      </c>
      <c r="Y1507" s="188" t="inlineStr">
        <is>
          <t>YES</t>
        </is>
      </c>
      <c r="Z1507" s="188" t="inlineStr">
        <is>
          <t>CHECK_VENDOR</t>
        </is>
      </c>
      <c r="AA1507" s="188" t="inlineStr">
        <is>
          <t>https://www.exploit-db.com/exploits/52473</t>
        </is>
      </c>
      <c r="AB1507" s="188" t="inlineStr">
        <is>
          <t>NONE</t>
        </is>
      </c>
      <c r="AC1507" s="188" t="n">
        <v>0</v>
      </c>
      <c r="AD1507" s="188" t="inlineStr"/>
    </row>
    <row r="1508">
      <c r="A1508" s="188" t="inlineStr">
        <is>
          <t>EXPLOIT</t>
        </is>
      </c>
      <c r="B1508" s="188" t="inlineStr">
        <is>
          <t>8aa4096ab8cc</t>
        </is>
      </c>
      <c r="C1508" s="188" t="inlineStr">
        <is>
          <t>[local] Docker Desktop 4.44.3 - Unauthenticated  API Exposure</t>
        </is>
      </c>
      <c r="D1508" s="188" t="n">
        <v>7.5</v>
      </c>
      <c r="E1508" s="188" t="inlineStr">
        <is>
          <t>HIGH</t>
        </is>
      </c>
      <c r="F1508" s="188" t="n">
        <v>3</v>
      </c>
      <c r="G1508" s="188" t="n">
        <v>3</v>
      </c>
      <c r="H1508" s="188" t="inlineStr">
        <is>
          <t>CRITICAL</t>
        </is>
      </c>
      <c r="I1508" s="188" t="n">
        <v>16.5</v>
      </c>
      <c r="J1508" s="188" t="inlineStr">
        <is>
          <t>NO</t>
        </is>
      </c>
      <c r="K1508" s="188" t="inlineStr">
        <is>
          <t>https://www.exploit-db.com/exploits/52472</t>
        </is>
      </c>
      <c r="L1508" s="188" t="inlineStr">
        <is>
          <t>2026-02-04 00:00</t>
        </is>
      </c>
      <c r="M1508" s="188" t="inlineStr">
        <is>
          <t>CHECK_VENDOR</t>
        </is>
      </c>
      <c r="N1508" s="188" t="inlineStr">
        <is>
          <t>https://www.exploit-db.com/exploits/52472</t>
        </is>
      </c>
      <c r="O1508" s="188" t="inlineStr">
        <is>
          <t>Block exploit signatures at perimeter</t>
        </is>
      </c>
      <c r="P1508" s="188" t="inlineStr">
        <is>
          <t>Various</t>
        </is>
      </c>
      <c r="Q1508" s="188" t="inlineStr">
        <is>
          <t>P1</t>
        </is>
      </c>
      <c r="R1508" s="188" t="inlineStr">
        <is>
          <t>⚠️ Active exploit detected - prioritize patching | 🚫 Block exploit signatures at perimeter | 🔎 Scan environment for IOCs</t>
        </is>
      </c>
      <c r="S1508" s="188" t="inlineStr">
        <is>
          <t>Exploit - IP enrichment N/A</t>
        </is>
      </c>
      <c r="T1508" s="188" t="n">
        <v>0</v>
      </c>
      <c r="U1508" s="188" t="n">
        <v>0</v>
      </c>
      <c r="V1508" s="188" t="inlineStr">
        <is>
          <t>T1203:Exploitation for Client Execution</t>
        </is>
      </c>
      <c r="W1508" s="188" t="n">
        <v>1</v>
      </c>
      <c r="X1508" s="188" t="inlineStr">
        <is>
          <t>LOW (40%)</t>
        </is>
      </c>
      <c r="Y1508" s="188" t="inlineStr">
        <is>
          <t>YES</t>
        </is>
      </c>
      <c r="Z1508" s="188" t="inlineStr">
        <is>
          <t>CHECK_VENDOR</t>
        </is>
      </c>
      <c r="AA1508" s="188" t="inlineStr">
        <is>
          <t>https://www.exploit-db.com/exploits/52472</t>
        </is>
      </c>
      <c r="AB1508" s="188" t="inlineStr">
        <is>
          <t>NONE</t>
        </is>
      </c>
      <c r="AC1508" s="188" t="n">
        <v>0</v>
      </c>
      <c r="AD1508" s="188" t="inlineStr"/>
    </row>
    <row r="1509">
      <c r="A1509" s="188" t="inlineStr">
        <is>
          <t>EXPLOIT</t>
        </is>
      </c>
      <c r="B1509" s="188" t="inlineStr">
        <is>
          <t>76316903045d</t>
        </is>
      </c>
      <c r="C1509" s="188" t="inlineStr">
        <is>
          <t>[webapps] Piranha CMS 12.0 - Stored XSS in Text Block</t>
        </is>
      </c>
      <c r="D1509" s="188" t="n">
        <v>7.5</v>
      </c>
      <c r="E1509" s="188" t="inlineStr">
        <is>
          <t>HIGH</t>
        </is>
      </c>
      <c r="F1509" s="188" t="n">
        <v>3</v>
      </c>
      <c r="G1509" s="188" t="n">
        <v>3</v>
      </c>
      <c r="H1509" s="188" t="inlineStr">
        <is>
          <t>CRITICAL</t>
        </is>
      </c>
      <c r="I1509" s="188" t="n">
        <v>16.5</v>
      </c>
      <c r="J1509" s="188" t="inlineStr">
        <is>
          <t>NO</t>
        </is>
      </c>
      <c r="K1509" s="188" t="inlineStr">
        <is>
          <t>https://www.exploit-db.com/exploits/52471</t>
        </is>
      </c>
      <c r="L1509" s="188" t="inlineStr">
        <is>
          <t>2026-02-02 00:00</t>
        </is>
      </c>
      <c r="M1509" s="188" t="inlineStr">
        <is>
          <t>CHECK_VENDOR</t>
        </is>
      </c>
      <c r="N1509" s="188" t="inlineStr">
        <is>
          <t>https://www.exploit-db.com/exploits/52471</t>
        </is>
      </c>
      <c r="O1509" s="188" t="inlineStr">
        <is>
          <t>Block exploit signatures at perimeter</t>
        </is>
      </c>
      <c r="P1509" s="188" t="inlineStr">
        <is>
          <t>Various</t>
        </is>
      </c>
      <c r="Q1509" s="188" t="inlineStr">
        <is>
          <t>P1</t>
        </is>
      </c>
      <c r="R1509" s="188" t="inlineStr">
        <is>
          <t>⚠️ Active exploit detected - prioritize patching | 🚫 Block exploit signatures at perimeter | 🔎 Scan environment for IOCs</t>
        </is>
      </c>
      <c r="S1509" s="188" t="inlineStr">
        <is>
          <t>Exploit - IP enrichment N/A</t>
        </is>
      </c>
      <c r="T1509" s="188" t="n">
        <v>0</v>
      </c>
      <c r="U1509" s="188" t="n">
        <v>0</v>
      </c>
      <c r="V1509" s="188" t="inlineStr">
        <is>
          <t>T1203:Exploitation for Client Execution</t>
        </is>
      </c>
      <c r="W1509" s="188" t="n">
        <v>1</v>
      </c>
      <c r="X1509" s="188" t="inlineStr">
        <is>
          <t>LOW (40%)</t>
        </is>
      </c>
      <c r="Y1509" s="188" t="inlineStr">
        <is>
          <t>YES</t>
        </is>
      </c>
      <c r="Z1509" s="188" t="inlineStr">
        <is>
          <t>CHECK_VENDOR</t>
        </is>
      </c>
      <c r="AA1509" s="188" t="inlineStr">
        <is>
          <t>https://www.exploit-db.com/exploits/52471</t>
        </is>
      </c>
      <c r="AB1509" s="188" t="inlineStr">
        <is>
          <t>NONE</t>
        </is>
      </c>
      <c r="AC1509" s="188" t="n">
        <v>0</v>
      </c>
      <c r="AD1509" s="188" t="inlineStr"/>
    </row>
    <row r="1510">
      <c r="A1510" s="188" t="inlineStr">
        <is>
          <t>EXPLOIT</t>
        </is>
      </c>
      <c r="B1510" s="188" t="inlineStr">
        <is>
          <t>e89317565977</t>
        </is>
      </c>
      <c r="C1510" s="188" t="inlineStr">
        <is>
          <t>[webapps] RPi-Jukebox-RFID 2.8.0 - Stored Cross-Site Scripting (XSS)</t>
        </is>
      </c>
      <c r="D1510" s="188" t="n">
        <v>7.5</v>
      </c>
      <c r="E1510" s="188" t="inlineStr">
        <is>
          <t>HIGH</t>
        </is>
      </c>
      <c r="F1510" s="188" t="n">
        <v>3</v>
      </c>
      <c r="G1510" s="188" t="n">
        <v>3</v>
      </c>
      <c r="H1510" s="188" t="inlineStr">
        <is>
          <t>CRITICAL</t>
        </is>
      </c>
      <c r="I1510" s="188" t="n">
        <v>16.5</v>
      </c>
      <c r="J1510" s="188" t="inlineStr">
        <is>
          <t>NO</t>
        </is>
      </c>
      <c r="K1510" s="188" t="inlineStr">
        <is>
          <t>https://www.exploit-db.com/exploits/52470</t>
        </is>
      </c>
      <c r="L1510" s="188" t="inlineStr">
        <is>
          <t>2026-02-02 00:00</t>
        </is>
      </c>
      <c r="M1510" s="188" t="inlineStr">
        <is>
          <t>CHECK_VENDOR</t>
        </is>
      </c>
      <c r="N1510" s="188" t="inlineStr">
        <is>
          <t>https://www.exploit-db.com/exploits/52470</t>
        </is>
      </c>
      <c r="O1510" s="188" t="inlineStr">
        <is>
          <t>Block exploit signatures at perimeter</t>
        </is>
      </c>
      <c r="P1510" s="188" t="inlineStr">
        <is>
          <t>Various</t>
        </is>
      </c>
      <c r="Q1510" s="188" t="inlineStr">
        <is>
          <t>P1</t>
        </is>
      </c>
      <c r="R1510" s="188" t="inlineStr">
        <is>
          <t>⚠️ Active exploit detected - prioritize patching | 🚫 Block exploit signatures at perimeter | 🔎 Scan environment for IOCs</t>
        </is>
      </c>
      <c r="S1510" s="188" t="inlineStr">
        <is>
          <t>Exploit - IP enrichment N/A</t>
        </is>
      </c>
      <c r="T1510" s="188" t="n">
        <v>0</v>
      </c>
      <c r="U1510" s="188" t="n">
        <v>0</v>
      </c>
      <c r="V1510" s="188" t="inlineStr">
        <is>
          <t>T1203:Exploitation for Client Execution</t>
        </is>
      </c>
      <c r="W1510" s="188" t="n">
        <v>1</v>
      </c>
      <c r="X1510" s="188" t="inlineStr">
        <is>
          <t>LOW (40%)</t>
        </is>
      </c>
      <c r="Y1510" s="188" t="inlineStr">
        <is>
          <t>YES</t>
        </is>
      </c>
      <c r="Z1510" s="188" t="inlineStr">
        <is>
          <t>CHECK_VENDOR</t>
        </is>
      </c>
      <c r="AA1510" s="188" t="inlineStr">
        <is>
          <t>https://www.exploit-db.com/exploits/52470</t>
        </is>
      </c>
      <c r="AB1510" s="188" t="inlineStr">
        <is>
          <t>NONE</t>
        </is>
      </c>
      <c r="AC1510" s="188" t="n">
        <v>0</v>
      </c>
      <c r="AD1510" s="188" t="inlineStr"/>
    </row>
    <row r="1511">
      <c r="A1511" s="188" t="inlineStr">
        <is>
          <t>EXPLOIT</t>
        </is>
      </c>
      <c r="B1511" s="188" t="inlineStr">
        <is>
          <t>1c351f3b56ac</t>
        </is>
      </c>
      <c r="C1511" s="188" t="inlineStr">
        <is>
          <t>[hardware] D-Link DIR-825 Rev.B 2.10 - Stack Buffer Overflow (DoS)</t>
        </is>
      </c>
      <c r="D1511" s="188" t="n">
        <v>7.5</v>
      </c>
      <c r="E1511" s="188" t="inlineStr">
        <is>
          <t>HIGH</t>
        </is>
      </c>
      <c r="F1511" s="188" t="n">
        <v>3</v>
      </c>
      <c r="G1511" s="188" t="n">
        <v>3</v>
      </c>
      <c r="H1511" s="188" t="inlineStr">
        <is>
          <t>CRITICAL</t>
        </is>
      </c>
      <c r="I1511" s="188" t="n">
        <v>16.5</v>
      </c>
      <c r="J1511" s="188" t="inlineStr">
        <is>
          <t>NO</t>
        </is>
      </c>
      <c r="K1511" s="188" t="inlineStr">
        <is>
          <t>https://www.exploit-db.com/exploits/52469</t>
        </is>
      </c>
      <c r="L1511" s="188" t="inlineStr">
        <is>
          <t>2026-02-02 00:00</t>
        </is>
      </c>
      <c r="M1511" s="188" t="inlineStr">
        <is>
          <t>CHECK_VENDOR</t>
        </is>
      </c>
      <c r="N1511" s="188" t="inlineStr">
        <is>
          <t>https://www.exploit-db.com/exploits/52469</t>
        </is>
      </c>
      <c r="O1511" s="188" t="inlineStr">
        <is>
          <t>Block exploit signatures at perimeter</t>
        </is>
      </c>
      <c r="P1511" s="188" t="inlineStr">
        <is>
          <t>Various</t>
        </is>
      </c>
      <c r="Q1511" s="188" t="inlineStr">
        <is>
          <t>P1</t>
        </is>
      </c>
      <c r="R1511" s="188" t="inlineStr">
        <is>
          <t>⚠️ Active exploit detected - prioritize patching | 🚫 Block exploit signatures at perimeter | 🔎 Scan environment for IOCs</t>
        </is>
      </c>
      <c r="S1511" s="188" t="inlineStr">
        <is>
          <t>Exploit - IP enrichment N/A</t>
        </is>
      </c>
      <c r="T1511" s="188" t="n">
        <v>0</v>
      </c>
      <c r="U1511" s="188" t="n">
        <v>0</v>
      </c>
      <c r="V1511" s="188" t="inlineStr">
        <is>
          <t>T1203:Exploitation for Client Execution</t>
        </is>
      </c>
      <c r="W1511" s="188" t="n">
        <v>1</v>
      </c>
      <c r="X1511" s="188" t="inlineStr">
        <is>
          <t>LOW (40%)</t>
        </is>
      </c>
      <c r="Y1511" s="188" t="inlineStr">
        <is>
          <t>YES</t>
        </is>
      </c>
      <c r="Z1511" s="188" t="inlineStr">
        <is>
          <t>CHECK_VENDOR</t>
        </is>
      </c>
      <c r="AA1511" s="188" t="inlineStr">
        <is>
          <t>https://www.exploit-db.com/exploits/52469</t>
        </is>
      </c>
      <c r="AB1511" s="188" t="inlineStr">
        <is>
          <t>NONE</t>
        </is>
      </c>
      <c r="AC1511" s="188" t="n">
        <v>0</v>
      </c>
      <c r="AD1511" s="188" t="inlineStr"/>
    </row>
    <row r="1512">
      <c r="A1512" s="189" t="inlineStr">
        <is>
          <t>GH_ADVISORY</t>
        </is>
      </c>
      <c r="B1512" s="189" t="inlineStr">
        <is>
          <t>GHSA-vpcf-gvg4-6qwr</t>
        </is>
      </c>
      <c r="C1512" s="189" t="inlineStr">
        <is>
          <t>n8n: Expression Sandbox Escape Leads to RCE</t>
        </is>
      </c>
      <c r="D1512" s="189" t="n">
        <v>10</v>
      </c>
      <c r="E1512" s="189" t="inlineStr">
        <is>
          <t>CRITICAL</t>
        </is>
      </c>
      <c r="F1512" s="189" t="n">
        <v>2</v>
      </c>
      <c r="G1512" s="189" t="n">
        <v>2</v>
      </c>
      <c r="H1512" s="189" t="inlineStr">
        <is>
          <t>MEDIUM</t>
        </is>
      </c>
      <c r="I1512" s="189" t="n">
        <v>14</v>
      </c>
      <c r="J1512" s="189" t="inlineStr">
        <is>
          <t>NO</t>
        </is>
      </c>
      <c r="K1512" s="189" t="inlineStr">
        <is>
          <t>https://github.com/advisories/GHSA-vpcf-gvg4-6qwr</t>
        </is>
      </c>
      <c r="L1512" s="189" t="inlineStr">
        <is>
          <t>2026-02-25T22:05:09Z</t>
        </is>
      </c>
      <c r="M1512" s="189" t="inlineStr">
        <is>
          <t>CHECK_GITHUB</t>
        </is>
      </c>
      <c r="N1512" s="189" t="inlineStr">
        <is>
          <t>https://github.com/advisories/GHSA-vpcf-gvg4-6qwr</t>
        </is>
      </c>
      <c r="O1512" s="189" t="inlineStr">
        <is>
          <t>Update affected packages per GitHub advisory</t>
        </is>
      </c>
      <c r="P1512" s="189" t="inlineStr">
        <is>
          <t>n8n, n8n, n8n</t>
        </is>
      </c>
      <c r="Q1512" s="189" t="inlineStr">
        <is>
          <t>P4</t>
        </is>
      </c>
      <c r="R1512" s="189" t="inlineStr">
        <is>
          <t>🔍 Investigate and apply appropriate controls</t>
        </is>
      </c>
      <c r="S1512" s="189" t="inlineStr">
        <is>
          <t>Advisory - IP enrichment N/A</t>
        </is>
      </c>
      <c r="T1512" s="189" t="n">
        <v>0</v>
      </c>
      <c r="U1512" s="189" t="n">
        <v>0</v>
      </c>
      <c r="V1512" s="189" t="inlineStr">
        <is>
          <t>T1190:Exploit Public-Facing Application</t>
        </is>
      </c>
      <c r="W1512" s="189" t="n">
        <v>1</v>
      </c>
      <c r="X1512" s="189" t="inlineStr">
        <is>
          <t>LOW (40%)</t>
        </is>
      </c>
      <c r="Y1512" s="189" t="inlineStr">
        <is>
          <t>CHECK_GITHUB</t>
        </is>
      </c>
      <c r="Z1512" s="189" t="inlineStr">
        <is>
          <t>YES</t>
        </is>
      </c>
      <c r="AA1512" s="189" t="inlineStr">
        <is>
          <t>https://github.com/advisories/GHSA-vpcf-gvg4-6qwr</t>
        </is>
      </c>
      <c r="AB1512" s="189" t="inlineStr">
        <is>
          <t>NONE</t>
        </is>
      </c>
      <c r="AC1512" s="189" t="n">
        <v>0</v>
      </c>
      <c r="AD1512" s="189" t="inlineStr"/>
    </row>
    <row r="1513">
      <c r="A1513" s="189" t="inlineStr">
        <is>
          <t>GH_ADVISORY</t>
        </is>
      </c>
      <c r="B1513" s="189" t="inlineStr">
        <is>
          <t>GHSA-3ccg-x393-96v8</t>
        </is>
      </c>
      <c r="C1513" s="189" t="inlineStr">
        <is>
          <t>Vijkunja has Weak Password Policy Combined with Persistent Sessions After Password Change</t>
        </is>
      </c>
      <c r="D1513" s="189" t="n">
        <v>9.1</v>
      </c>
      <c r="E1513" s="189" t="inlineStr">
        <is>
          <t>CRITICAL</t>
        </is>
      </c>
      <c r="F1513" s="189" t="n">
        <v>2</v>
      </c>
      <c r="G1513" s="189" t="n">
        <v>2</v>
      </c>
      <c r="H1513" s="189" t="inlineStr">
        <is>
          <t>MEDIUM</t>
        </is>
      </c>
      <c r="I1513" s="189" t="n">
        <v>13.1</v>
      </c>
      <c r="J1513" s="189" t="inlineStr">
        <is>
          <t>NO</t>
        </is>
      </c>
      <c r="K1513" s="189" t="inlineStr">
        <is>
          <t>https://github.com/advisories/GHSA-3ccg-x393-96v8</t>
        </is>
      </c>
      <c r="L1513" s="189" t="inlineStr">
        <is>
          <t>2026-02-25T22:02:37Z</t>
        </is>
      </c>
      <c r="M1513" s="189" t="inlineStr">
        <is>
          <t>CHECK_GITHUB</t>
        </is>
      </c>
      <c r="N1513" s="189" t="inlineStr">
        <is>
          <t>https://github.com/advisories/GHSA-3ccg-x393-96v8</t>
        </is>
      </c>
      <c r="O1513" s="189" t="inlineStr">
        <is>
          <t>Update affected packages per GitHub advisory</t>
        </is>
      </c>
      <c r="P1513" s="189" t="inlineStr">
        <is>
          <t>code.vikunja.io/api</t>
        </is>
      </c>
      <c r="Q1513" s="189" t="inlineStr">
        <is>
          <t>P4</t>
        </is>
      </c>
      <c r="R1513" s="189" t="inlineStr">
        <is>
          <t>🔍 Investigate and apply appropriate controls</t>
        </is>
      </c>
      <c r="S1513" s="189" t="inlineStr">
        <is>
          <t>Advisory - IP enrichment N/A</t>
        </is>
      </c>
      <c r="T1513" s="189" t="n">
        <v>0</v>
      </c>
      <c r="U1513" s="189" t="n">
        <v>0</v>
      </c>
      <c r="V1513" s="189" t="inlineStr">
        <is>
          <t>T1190:Exploit Public-Facing Application</t>
        </is>
      </c>
      <c r="W1513" s="189" t="n">
        <v>1</v>
      </c>
      <c r="X1513" s="189" t="inlineStr">
        <is>
          <t>LOW (40%)</t>
        </is>
      </c>
      <c r="Y1513" s="189" t="inlineStr">
        <is>
          <t>CHECK_GITHUB</t>
        </is>
      </c>
      <c r="Z1513" s="189" t="inlineStr">
        <is>
          <t>YES</t>
        </is>
      </c>
      <c r="AA1513" s="189" t="inlineStr">
        <is>
          <t>https://github.com/advisories/GHSA-3ccg-x393-96v8</t>
        </is>
      </c>
      <c r="AB1513" s="189" t="inlineStr">
        <is>
          <t>NONE</t>
        </is>
      </c>
      <c r="AC1513" s="189" t="n">
        <v>0</v>
      </c>
      <c r="AD1513" s="189" t="inlineStr"/>
    </row>
    <row r="1514">
      <c r="A1514" s="187" t="inlineStr">
        <is>
          <t>GH_ADVISORY</t>
        </is>
      </c>
      <c r="B1514" s="187" t="inlineStr">
        <is>
          <t>GHSA-4qgr-4h56-8895</t>
        </is>
      </c>
      <c r="C1514" s="187" t="inlineStr">
        <is>
          <t>Vikunja has Reflected HTML Injection via filter Parameter in its Projects Module</t>
        </is>
      </c>
      <c r="D1514" s="187" t="n">
        <v>6.1</v>
      </c>
      <c r="E1514" s="187" t="inlineStr">
        <is>
          <t>MEDIUM</t>
        </is>
      </c>
      <c r="F1514" s="187" t="n">
        <v>2</v>
      </c>
      <c r="G1514" s="187" t="n">
        <v>2</v>
      </c>
      <c r="H1514" s="187" t="inlineStr">
        <is>
          <t>MEDIUM</t>
        </is>
      </c>
      <c r="I1514" s="187" t="n">
        <v>10.1</v>
      </c>
      <c r="J1514" s="187" t="inlineStr">
        <is>
          <t>NO</t>
        </is>
      </c>
      <c r="K1514" s="187" t="inlineStr">
        <is>
          <t>https://github.com/advisories/GHSA-4qgr-4h56-8895</t>
        </is>
      </c>
      <c r="L1514" s="187" t="inlineStr">
        <is>
          <t>2026-02-25T22:01:25Z</t>
        </is>
      </c>
      <c r="M1514" s="187" t="inlineStr">
        <is>
          <t>CHECK_GITHUB</t>
        </is>
      </c>
      <c r="N1514" s="187" t="inlineStr">
        <is>
          <t>https://github.com/advisories/GHSA-4qgr-4h56-8895</t>
        </is>
      </c>
      <c r="O1514" s="187" t="inlineStr">
        <is>
          <t>Update affected packages per GitHub advisory</t>
        </is>
      </c>
      <c r="P1514" s="187" t="inlineStr">
        <is>
          <t>code.vikunja.io/api</t>
        </is>
      </c>
      <c r="Q1514" s="187" t="inlineStr">
        <is>
          <t>P4</t>
        </is>
      </c>
      <c r="R1514" s="187" t="inlineStr">
        <is>
          <t>🔍 Investigate and apply appropriate controls</t>
        </is>
      </c>
      <c r="S1514" s="187" t="inlineStr">
        <is>
          <t>Advisory - IP enrichment N/A</t>
        </is>
      </c>
      <c r="T1514" s="187" t="n">
        <v>0</v>
      </c>
      <c r="U1514" s="187" t="n">
        <v>0</v>
      </c>
      <c r="V1514" s="187" t="inlineStr">
        <is>
          <t>T1190:Exploit Public-Facing Application</t>
        </is>
      </c>
      <c r="W1514" s="187" t="n">
        <v>1</v>
      </c>
      <c r="X1514" s="187" t="inlineStr">
        <is>
          <t>LOW (40%)</t>
        </is>
      </c>
      <c r="Y1514" s="187" t="inlineStr">
        <is>
          <t>CHECK_GITHUB</t>
        </is>
      </c>
      <c r="Z1514" s="187" t="inlineStr">
        <is>
          <t>YES</t>
        </is>
      </c>
      <c r="AA1514" s="187" t="inlineStr">
        <is>
          <t>https://github.com/advisories/GHSA-4qgr-4h56-8895</t>
        </is>
      </c>
      <c r="AB1514" s="187" t="inlineStr">
        <is>
          <t>NONE</t>
        </is>
      </c>
      <c r="AC1514" s="187" t="n">
        <v>0</v>
      </c>
      <c r="AD1514" s="187" t="inlineStr"/>
    </row>
    <row r="1515">
      <c r="A1515" s="189" t="inlineStr">
        <is>
          <t>GH_ADVISORY</t>
        </is>
      </c>
      <c r="B1515" s="189" t="inlineStr">
        <is>
          <t>GHSA-x2mw-7j39-93xq</t>
        </is>
      </c>
      <c r="C1515" s="189" t="inlineStr">
        <is>
          <t>n8n has Arbitrary Command Execution via File Write and Git Operations</t>
        </is>
      </c>
      <c r="D1515" s="189" t="n">
        <v>8.6</v>
      </c>
      <c r="E1515" s="189" t="inlineStr">
        <is>
          <t>CRITICAL</t>
        </is>
      </c>
      <c r="F1515" s="189" t="n">
        <v>2</v>
      </c>
      <c r="G1515" s="189" t="n">
        <v>2</v>
      </c>
      <c r="H1515" s="189" t="inlineStr">
        <is>
          <t>MEDIUM</t>
        </is>
      </c>
      <c r="I1515" s="189" t="n">
        <v>12.6</v>
      </c>
      <c r="J1515" s="189" t="inlineStr">
        <is>
          <t>NO</t>
        </is>
      </c>
      <c r="K1515" s="189" t="inlineStr">
        <is>
          <t>https://github.com/advisories/GHSA-x2mw-7j39-93xq</t>
        </is>
      </c>
      <c r="L1515" s="189" t="inlineStr">
        <is>
          <t>2026-02-25T21:54:19Z</t>
        </is>
      </c>
      <c r="M1515" s="189" t="inlineStr">
        <is>
          <t>CHECK_GITHUB</t>
        </is>
      </c>
      <c r="N1515" s="189" t="inlineStr">
        <is>
          <t>https://github.com/advisories/GHSA-x2mw-7j39-93xq</t>
        </is>
      </c>
      <c r="O1515" s="189" t="inlineStr">
        <is>
          <t>Update affected packages per GitHub advisory</t>
        </is>
      </c>
      <c r="P1515" s="189" t="inlineStr">
        <is>
          <t>n8n, n8n</t>
        </is>
      </c>
      <c r="Q1515" s="189" t="inlineStr">
        <is>
          <t>P4</t>
        </is>
      </c>
      <c r="R1515" s="189" t="inlineStr">
        <is>
          <t>🔍 Investigate and apply appropriate controls</t>
        </is>
      </c>
      <c r="S1515" s="189" t="inlineStr">
        <is>
          <t>Advisory - IP enrichment N/A</t>
        </is>
      </c>
      <c r="T1515" s="189" t="n">
        <v>0</v>
      </c>
      <c r="U1515" s="189" t="n">
        <v>0</v>
      </c>
      <c r="V1515" s="189" t="inlineStr">
        <is>
          <t>T1190:Exploit Public-Facing Application</t>
        </is>
      </c>
      <c r="W1515" s="189" t="n">
        <v>1</v>
      </c>
      <c r="X1515" s="189" t="inlineStr">
        <is>
          <t>LOW (40%)</t>
        </is>
      </c>
      <c r="Y1515" s="189" t="inlineStr">
        <is>
          <t>CHECK_GITHUB</t>
        </is>
      </c>
      <c r="Z1515" s="189" t="inlineStr">
        <is>
          <t>YES</t>
        </is>
      </c>
      <c r="AA1515" s="189" t="inlineStr">
        <is>
          <t>https://github.com/advisories/GHSA-x2mw-7j39-93xq</t>
        </is>
      </c>
      <c r="AB1515" s="189" t="inlineStr">
        <is>
          <t>NONE</t>
        </is>
      </c>
      <c r="AC1515" s="189" t="n">
        <v>0</v>
      </c>
      <c r="AD1515" s="189" t="inlineStr"/>
    </row>
    <row r="1516">
      <c r="A1516" s="189" t="inlineStr">
        <is>
          <t>GH_ADVISORY</t>
        </is>
      </c>
      <c r="B1516" s="189" t="inlineStr">
        <is>
          <t>GHSA-wxx7-mcgf-j869</t>
        </is>
      </c>
      <c r="C1516" s="189" t="inlineStr">
        <is>
          <t>n8n has Potential Remote Code Execution via Merge Node</t>
        </is>
      </c>
      <c r="D1516" s="189" t="n">
        <v>10</v>
      </c>
      <c r="E1516" s="189" t="inlineStr">
        <is>
          <t>CRITICAL</t>
        </is>
      </c>
      <c r="F1516" s="189" t="n">
        <v>2</v>
      </c>
      <c r="G1516" s="189" t="n">
        <v>2</v>
      </c>
      <c r="H1516" s="189" t="inlineStr">
        <is>
          <t>MEDIUM</t>
        </is>
      </c>
      <c r="I1516" s="189" t="n">
        <v>14</v>
      </c>
      <c r="J1516" s="189" t="inlineStr">
        <is>
          <t>NO</t>
        </is>
      </c>
      <c r="K1516" s="189" t="inlineStr">
        <is>
          <t>https://github.com/advisories/GHSA-wxx7-mcgf-j869</t>
        </is>
      </c>
      <c r="L1516" s="189" t="inlineStr">
        <is>
          <t>2026-02-25T21:23:30Z</t>
        </is>
      </c>
      <c r="M1516" s="189" t="inlineStr">
        <is>
          <t>CHECK_GITHUB</t>
        </is>
      </c>
      <c r="N1516" s="189" t="inlineStr">
        <is>
          <t>https://github.com/advisories/GHSA-wxx7-mcgf-j869</t>
        </is>
      </c>
      <c r="O1516" s="189" t="inlineStr">
        <is>
          <t>Update affected packages per GitHub advisory</t>
        </is>
      </c>
      <c r="P1516" s="189" t="inlineStr">
        <is>
          <t>n8n, n8n, n8n</t>
        </is>
      </c>
      <c r="Q1516" s="189" t="inlineStr">
        <is>
          <t>P4</t>
        </is>
      </c>
      <c r="R1516" s="189" t="inlineStr">
        <is>
          <t>🔍 Investigate and apply appropriate controls</t>
        </is>
      </c>
      <c r="S1516" s="189" t="inlineStr">
        <is>
          <t>Advisory - IP enrichment N/A</t>
        </is>
      </c>
      <c r="T1516" s="189" t="n">
        <v>0</v>
      </c>
      <c r="U1516" s="189" t="n">
        <v>0</v>
      </c>
      <c r="V1516" s="189" t="inlineStr">
        <is>
          <t>T1190:Exploit Public-Facing Application</t>
        </is>
      </c>
      <c r="W1516" s="189" t="n">
        <v>1</v>
      </c>
      <c r="X1516" s="189" t="inlineStr">
        <is>
          <t>LOW (40%)</t>
        </is>
      </c>
      <c r="Y1516" s="189" t="inlineStr">
        <is>
          <t>CHECK_GITHUB</t>
        </is>
      </c>
      <c r="Z1516" s="189" t="inlineStr">
        <is>
          <t>YES</t>
        </is>
      </c>
      <c r="AA1516" s="189" t="inlineStr">
        <is>
          <t>https://github.com/advisories/GHSA-wxx7-mcgf-j869</t>
        </is>
      </c>
      <c r="AB1516" s="189" t="inlineStr">
        <is>
          <t>NONE</t>
        </is>
      </c>
      <c r="AC1516" s="189" t="n">
        <v>0</v>
      </c>
      <c r="AD1516" s="189" t="inlineStr"/>
    </row>
    <row r="1517">
      <c r="A1517" s="189" t="inlineStr">
        <is>
          <t>GH_ADVISORY</t>
        </is>
      </c>
      <c r="B1517" s="189" t="inlineStr">
        <is>
          <t>GHSA-jjpj-p2wh-qf23</t>
        </is>
      </c>
      <c r="C1517" s="189" t="inlineStr">
        <is>
          <t>n8n has a Sandbox Escape in its JavaScript Task Runner</t>
        </is>
      </c>
      <c r="D1517" s="189" t="n">
        <v>7</v>
      </c>
      <c r="E1517" s="189" t="inlineStr">
        <is>
          <t>CRITICAL</t>
        </is>
      </c>
      <c r="F1517" s="189" t="n">
        <v>2</v>
      </c>
      <c r="G1517" s="189" t="n">
        <v>2</v>
      </c>
      <c r="H1517" s="189" t="inlineStr">
        <is>
          <t>MEDIUM</t>
        </is>
      </c>
      <c r="I1517" s="189" t="n">
        <v>11</v>
      </c>
      <c r="J1517" s="189" t="inlineStr">
        <is>
          <t>NO</t>
        </is>
      </c>
      <c r="K1517" s="189" t="inlineStr">
        <is>
          <t>https://github.com/advisories/GHSA-jjpj-p2wh-qf23</t>
        </is>
      </c>
      <c r="L1517" s="189" t="inlineStr">
        <is>
          <t>2026-02-25T21:23:15Z</t>
        </is>
      </c>
      <c r="M1517" s="189" t="inlineStr">
        <is>
          <t>CHECK_GITHUB</t>
        </is>
      </c>
      <c r="N1517" s="189" t="inlineStr">
        <is>
          <t>https://github.com/advisories/GHSA-jjpj-p2wh-qf23</t>
        </is>
      </c>
      <c r="O1517" s="189" t="inlineStr">
        <is>
          <t>Update affected packages per GitHub advisory</t>
        </is>
      </c>
      <c r="P1517" s="189" t="inlineStr">
        <is>
          <t>n8n, n8n, n8n</t>
        </is>
      </c>
      <c r="Q1517" s="189" t="inlineStr">
        <is>
          <t>P4</t>
        </is>
      </c>
      <c r="R1517" s="189" t="inlineStr">
        <is>
          <t>🔍 Investigate and apply appropriate controls</t>
        </is>
      </c>
      <c r="S1517" s="189" t="inlineStr">
        <is>
          <t>Advisory - IP enrichment N/A</t>
        </is>
      </c>
      <c r="T1517" s="189" t="n">
        <v>0</v>
      </c>
      <c r="U1517" s="189" t="n">
        <v>0</v>
      </c>
      <c r="V1517" s="189" t="inlineStr">
        <is>
          <t>T1190:Exploit Public-Facing Application</t>
        </is>
      </c>
      <c r="W1517" s="189" t="n">
        <v>1</v>
      </c>
      <c r="X1517" s="189" t="inlineStr">
        <is>
          <t>LOW (40%)</t>
        </is>
      </c>
      <c r="Y1517" s="189" t="inlineStr">
        <is>
          <t>CHECK_GITHUB</t>
        </is>
      </c>
      <c r="Z1517" s="189" t="inlineStr">
        <is>
          <t>YES</t>
        </is>
      </c>
      <c r="AA1517" s="189" t="inlineStr">
        <is>
          <t>https://github.com/advisories/GHSA-jjpj-p2wh-qf23</t>
        </is>
      </c>
      <c r="AB1517" s="189" t="inlineStr">
        <is>
          <t>NONE</t>
        </is>
      </c>
      <c r="AC1517" s="189" t="n">
        <v>0</v>
      </c>
      <c r="AD1517" s="189" t="inlineStr"/>
    </row>
    <row r="1518">
      <c r="A1518" s="188" t="inlineStr">
        <is>
          <t>GH_ADVISORY</t>
        </is>
      </c>
      <c r="B1518" s="188" t="inlineStr">
        <is>
          <t>GHSA-mmgg-m5j7-f83h</t>
        </is>
      </c>
      <c r="C1518" s="188" t="inlineStr">
        <is>
          <t>n8n has Arbitrary File Read via Python Code Node Sandbox Escape</t>
        </is>
      </c>
      <c r="D1518" s="188" t="n">
        <v>10</v>
      </c>
      <c r="E1518" s="188" t="inlineStr">
        <is>
          <t>HIGH</t>
        </is>
      </c>
      <c r="F1518" s="188" t="n">
        <v>2</v>
      </c>
      <c r="G1518" s="188" t="n">
        <v>2</v>
      </c>
      <c r="H1518" s="188" t="inlineStr">
        <is>
          <t>MEDIUM</t>
        </is>
      </c>
      <c r="I1518" s="188" t="n">
        <v>14</v>
      </c>
      <c r="J1518" s="188" t="inlineStr">
        <is>
          <t>NO</t>
        </is>
      </c>
      <c r="K1518" s="188" t="inlineStr">
        <is>
          <t>https://github.com/advisories/GHSA-mmgg-m5j7-f83h</t>
        </is>
      </c>
      <c r="L1518" s="188" t="inlineStr">
        <is>
          <t>2026-02-25T21:22:39Z</t>
        </is>
      </c>
      <c r="M1518" s="188" t="inlineStr">
        <is>
          <t>CHECK_GITHUB</t>
        </is>
      </c>
      <c r="N1518" s="188" t="inlineStr">
        <is>
          <t>https://github.com/advisories/GHSA-mmgg-m5j7-f83h</t>
        </is>
      </c>
      <c r="O1518" s="188" t="inlineStr">
        <is>
          <t>Update affected packages per GitHub advisory</t>
        </is>
      </c>
      <c r="P1518" s="188" t="inlineStr">
        <is>
          <t>n8n, n8n, n8n</t>
        </is>
      </c>
      <c r="Q1518" s="188" t="inlineStr">
        <is>
          <t>P4</t>
        </is>
      </c>
      <c r="R1518" s="188" t="inlineStr">
        <is>
          <t>🔍 Investigate and apply appropriate controls</t>
        </is>
      </c>
      <c r="S1518" s="188" t="inlineStr">
        <is>
          <t>Advisory - IP enrichment N/A</t>
        </is>
      </c>
      <c r="T1518" s="188" t="n">
        <v>0</v>
      </c>
      <c r="U1518" s="188" t="n">
        <v>0</v>
      </c>
      <c r="V1518" s="188" t="inlineStr">
        <is>
          <t>T1190:Exploit Public-Facing Application</t>
        </is>
      </c>
      <c r="W1518" s="188" t="n">
        <v>1</v>
      </c>
      <c r="X1518" s="188" t="inlineStr">
        <is>
          <t>LOW (40%)</t>
        </is>
      </c>
      <c r="Y1518" s="188" t="inlineStr">
        <is>
          <t>CHECK_GITHUB</t>
        </is>
      </c>
      <c r="Z1518" s="188" t="inlineStr">
        <is>
          <t>YES</t>
        </is>
      </c>
      <c r="AA1518" s="188" t="inlineStr">
        <is>
          <t>https://github.com/advisories/GHSA-mmgg-m5j7-f83h</t>
        </is>
      </c>
      <c r="AB1518" s="188" t="inlineStr">
        <is>
          <t>NONE</t>
        </is>
      </c>
      <c r="AC1518" s="188" t="n">
        <v>0</v>
      </c>
      <c r="AD1518" s="188" t="inlineStr"/>
    </row>
    <row r="1519">
      <c r="A1519" s="189" t="inlineStr">
        <is>
          <t>GH_ADVISORY</t>
        </is>
      </c>
      <c r="B1519" s="189" t="inlineStr">
        <is>
          <t>GHSA-75g8-rv7v-32f7</t>
        </is>
      </c>
      <c r="C1519" s="189" t="inlineStr">
        <is>
          <t>n8n has Unauthenticated Expression Evaluation via Form Node</t>
        </is>
      </c>
      <c r="D1519" s="189" t="n">
        <v>9.1</v>
      </c>
      <c r="E1519" s="189" t="inlineStr">
        <is>
          <t>CRITICAL</t>
        </is>
      </c>
      <c r="F1519" s="189" t="n">
        <v>2</v>
      </c>
      <c r="G1519" s="189" t="n">
        <v>2</v>
      </c>
      <c r="H1519" s="189" t="inlineStr">
        <is>
          <t>MEDIUM</t>
        </is>
      </c>
      <c r="I1519" s="189" t="n">
        <v>13.1</v>
      </c>
      <c r="J1519" s="189" t="inlineStr">
        <is>
          <t>NO</t>
        </is>
      </c>
      <c r="K1519" s="189" t="inlineStr">
        <is>
          <t>https://github.com/advisories/GHSA-75g8-rv7v-32f7</t>
        </is>
      </c>
      <c r="L1519" s="189" t="inlineStr">
        <is>
          <t>2026-02-25T21:21:36Z</t>
        </is>
      </c>
      <c r="M1519" s="189" t="inlineStr">
        <is>
          <t>CHECK_GITHUB</t>
        </is>
      </c>
      <c r="N1519" s="189" t="inlineStr">
        <is>
          <t>https://github.com/advisories/GHSA-75g8-rv7v-32f7</t>
        </is>
      </c>
      <c r="O1519" s="189" t="inlineStr">
        <is>
          <t>Update affected packages per GitHub advisory</t>
        </is>
      </c>
      <c r="P1519" s="189" t="inlineStr">
        <is>
          <t>n8n, n8n, n8n</t>
        </is>
      </c>
      <c r="Q1519" s="189" t="inlineStr">
        <is>
          <t>P4</t>
        </is>
      </c>
      <c r="R1519" s="189" t="inlineStr">
        <is>
          <t>🔍 Investigate and apply appropriate controls</t>
        </is>
      </c>
      <c r="S1519" s="189" t="inlineStr">
        <is>
          <t>Advisory - IP enrichment N/A</t>
        </is>
      </c>
      <c r="T1519" s="189" t="n">
        <v>0</v>
      </c>
      <c r="U1519" s="189" t="n">
        <v>0</v>
      </c>
      <c r="V1519" s="189" t="inlineStr">
        <is>
          <t>T1190:Exploit Public-Facing Application</t>
        </is>
      </c>
      <c r="W1519" s="189" t="n">
        <v>1</v>
      </c>
      <c r="X1519" s="189" t="inlineStr">
        <is>
          <t>LOW (40%)</t>
        </is>
      </c>
      <c r="Y1519" s="189" t="inlineStr">
        <is>
          <t>CHECK_GITHUB</t>
        </is>
      </c>
      <c r="Z1519" s="189" t="inlineStr">
        <is>
          <t>YES</t>
        </is>
      </c>
      <c r="AA1519" s="189" t="inlineStr">
        <is>
          <t>https://github.com/advisories/GHSA-75g8-rv7v-32f7</t>
        </is>
      </c>
      <c r="AB1519" s="189" t="inlineStr">
        <is>
          <t>NONE</t>
        </is>
      </c>
      <c r="AC1519" s="189" t="n">
        <v>0</v>
      </c>
      <c r="AD1519" s="189" t="inlineStr"/>
    </row>
    <row r="1520">
      <c r="A1520" s="187" t="inlineStr">
        <is>
          <t>GH_ADVISORY</t>
        </is>
      </c>
      <c r="B1520" s="187" t="inlineStr">
        <is>
          <t>GHSA-fq4f-4738-rqxm</t>
        </is>
      </c>
      <c r="C1520" s="187" t="inlineStr">
        <is>
          <t>Rucio WebUI has a Stored Cross-site Scripting (XSS) Vulnerability in its Custom RSE Attribute</t>
        </is>
      </c>
      <c r="D1520" s="187" t="n">
        <v>6.1</v>
      </c>
      <c r="E1520" s="187" t="inlineStr">
        <is>
          <t>MEDIUM</t>
        </is>
      </c>
      <c r="F1520" s="187" t="n">
        <v>2</v>
      </c>
      <c r="G1520" s="187" t="n">
        <v>2</v>
      </c>
      <c r="H1520" s="187" t="inlineStr">
        <is>
          <t>MEDIUM</t>
        </is>
      </c>
      <c r="I1520" s="187" t="n">
        <v>10.1</v>
      </c>
      <c r="J1520" s="187" t="inlineStr">
        <is>
          <t>NO</t>
        </is>
      </c>
      <c r="K1520" s="187" t="inlineStr">
        <is>
          <t>https://github.com/advisories/GHSA-fq4f-4738-rqxm</t>
        </is>
      </c>
      <c r="L1520" s="187" t="inlineStr">
        <is>
          <t>2026-02-25T19:37:27Z</t>
        </is>
      </c>
      <c r="M1520" s="187" t="inlineStr">
        <is>
          <t>CHECK_GITHUB</t>
        </is>
      </c>
      <c r="N1520" s="187" t="inlineStr">
        <is>
          <t>https://github.com/advisories/GHSA-fq4f-4738-rqxm</t>
        </is>
      </c>
      <c r="O1520" s="187" t="inlineStr">
        <is>
          <t>Update affected packages per GitHub advisory</t>
        </is>
      </c>
      <c r="P1520" s="187" t="inlineStr">
        <is>
          <t>rucio-webui, rucio-webui, rucio-webui</t>
        </is>
      </c>
      <c r="Q1520" s="187" t="inlineStr">
        <is>
          <t>P4</t>
        </is>
      </c>
      <c r="R1520" s="187" t="inlineStr">
        <is>
          <t>🔍 Investigate and apply appropriate controls</t>
        </is>
      </c>
      <c r="S1520" s="187" t="inlineStr">
        <is>
          <t>Advisory - IP enrichment N/A</t>
        </is>
      </c>
      <c r="T1520" s="187" t="n">
        <v>0</v>
      </c>
      <c r="U1520" s="187" t="n">
        <v>0</v>
      </c>
      <c r="V1520" s="187" t="inlineStr">
        <is>
          <t>T1190:Exploit Public-Facing Application</t>
        </is>
      </c>
      <c r="W1520" s="187" t="n">
        <v>1</v>
      </c>
      <c r="X1520" s="187" t="inlineStr">
        <is>
          <t>LOW (40%)</t>
        </is>
      </c>
      <c r="Y1520" s="187" t="inlineStr">
        <is>
          <t>CHECK_GITHUB</t>
        </is>
      </c>
      <c r="Z1520" s="187" t="inlineStr">
        <is>
          <t>YES</t>
        </is>
      </c>
      <c r="AA1520" s="187" t="inlineStr">
        <is>
          <t>https://github.com/advisories/GHSA-fq4f-4738-rqxm</t>
        </is>
      </c>
      <c r="AB1520" s="187" t="inlineStr">
        <is>
          <t>NONE</t>
        </is>
      </c>
      <c r="AC1520" s="187" t="n">
        <v>0</v>
      </c>
      <c r="AD1520" s="187" t="inlineStr"/>
    </row>
    <row r="1521">
      <c r="A1521" s="187" t="inlineStr">
        <is>
          <t>GH_ADVISORY</t>
        </is>
      </c>
      <c r="B1521" s="187" t="inlineStr">
        <is>
          <t>GHSA-8wpv-6x3f-3rm5</t>
        </is>
      </c>
      <c r="C1521" s="187" t="inlineStr">
        <is>
          <t>Rucio WebUI has a Stored Cross-site Scripting (XSS) vulnerability its Identity Name</t>
        </is>
      </c>
      <c r="D1521" s="187" t="n">
        <v>6.1</v>
      </c>
      <c r="E1521" s="187" t="inlineStr">
        <is>
          <t>MEDIUM</t>
        </is>
      </c>
      <c r="F1521" s="187" t="n">
        <v>2</v>
      </c>
      <c r="G1521" s="187" t="n">
        <v>2</v>
      </c>
      <c r="H1521" s="187" t="inlineStr">
        <is>
          <t>MEDIUM</t>
        </is>
      </c>
      <c r="I1521" s="187" t="n">
        <v>10.1</v>
      </c>
      <c r="J1521" s="187" t="inlineStr">
        <is>
          <t>NO</t>
        </is>
      </c>
      <c r="K1521" s="187" t="inlineStr">
        <is>
          <t>https://github.com/advisories/GHSA-8wpv-6x3f-3rm5</t>
        </is>
      </c>
      <c r="L1521" s="187" t="inlineStr">
        <is>
          <t>2026-02-25T19:29:37Z</t>
        </is>
      </c>
      <c r="M1521" s="187" t="inlineStr">
        <is>
          <t>CHECK_GITHUB</t>
        </is>
      </c>
      <c r="N1521" s="187" t="inlineStr">
        <is>
          <t>https://github.com/advisories/GHSA-8wpv-6x3f-3rm5</t>
        </is>
      </c>
      <c r="O1521" s="187" t="inlineStr">
        <is>
          <t>Update affected packages per GitHub advisory</t>
        </is>
      </c>
      <c r="P1521" s="187" t="inlineStr">
        <is>
          <t>rucio-webui, rucio-webui, rucio-webui</t>
        </is>
      </c>
      <c r="Q1521" s="187" t="inlineStr">
        <is>
          <t>P4</t>
        </is>
      </c>
      <c r="R1521" s="187" t="inlineStr">
        <is>
          <t>🔍 Investigate and apply appropriate controls</t>
        </is>
      </c>
      <c r="S1521" s="187" t="inlineStr">
        <is>
          <t>Advisory - IP enrichment N/A</t>
        </is>
      </c>
      <c r="T1521" s="187" t="n">
        <v>0</v>
      </c>
      <c r="U1521" s="187" t="n">
        <v>0</v>
      </c>
      <c r="V1521" s="187" t="inlineStr">
        <is>
          <t>T1190:Exploit Public-Facing Application</t>
        </is>
      </c>
      <c r="W1521" s="187" t="n">
        <v>1</v>
      </c>
      <c r="X1521" s="187" t="inlineStr">
        <is>
          <t>LOW (40%)</t>
        </is>
      </c>
      <c r="Y1521" s="187" t="inlineStr">
        <is>
          <t>CHECK_GITHUB</t>
        </is>
      </c>
      <c r="Z1521" s="187" t="inlineStr">
        <is>
          <t>YES</t>
        </is>
      </c>
      <c r="AA1521" s="187" t="inlineStr">
        <is>
          <t>https://github.com/advisories/GHSA-8wpv-6x3f-3rm5</t>
        </is>
      </c>
      <c r="AB1521" s="187" t="inlineStr">
        <is>
          <t>NONE</t>
        </is>
      </c>
      <c r="AC1521" s="187" t="n">
        <v>0</v>
      </c>
      <c r="AD1521" s="187" t="inlineStr"/>
    </row>
    <row r="1522">
      <c r="A1522" s="187" t="inlineStr">
        <is>
          <t>GH_ADVISORY</t>
        </is>
      </c>
      <c r="B1522" s="187" t="inlineStr">
        <is>
          <t>GHSA-h9fp-p2p9-873q</t>
        </is>
      </c>
      <c r="C1522" s="187" t="inlineStr">
        <is>
          <t xml:space="preserve"> Rucio WebUI has Stored Cross-site Scripting (XSS) in RSE Metadata</t>
        </is>
      </c>
      <c r="D1522" s="187" t="n">
        <v>6.1</v>
      </c>
      <c r="E1522" s="187" t="inlineStr">
        <is>
          <t>MEDIUM</t>
        </is>
      </c>
      <c r="F1522" s="187" t="n">
        <v>2</v>
      </c>
      <c r="G1522" s="187" t="n">
        <v>2</v>
      </c>
      <c r="H1522" s="187" t="inlineStr">
        <is>
          <t>MEDIUM</t>
        </is>
      </c>
      <c r="I1522" s="187" t="n">
        <v>10.1</v>
      </c>
      <c r="J1522" s="187" t="inlineStr">
        <is>
          <t>NO</t>
        </is>
      </c>
      <c r="K1522" s="187" t="inlineStr">
        <is>
          <t>https://github.com/advisories/GHSA-h9fp-p2p9-873q</t>
        </is>
      </c>
      <c r="L1522" s="187" t="inlineStr">
        <is>
          <t>2026-02-25T19:29:22Z</t>
        </is>
      </c>
      <c r="M1522" s="187" t="inlineStr">
        <is>
          <t>CHECK_GITHUB</t>
        </is>
      </c>
      <c r="N1522" s="187" t="inlineStr">
        <is>
          <t>https://github.com/advisories/GHSA-h9fp-p2p9-873q</t>
        </is>
      </c>
      <c r="O1522" s="187" t="inlineStr">
        <is>
          <t>Update affected packages per GitHub advisory</t>
        </is>
      </c>
      <c r="P1522" s="187" t="inlineStr">
        <is>
          <t>rucio-webui, rucio-webui, rucio-webui</t>
        </is>
      </c>
      <c r="Q1522" s="187" t="inlineStr">
        <is>
          <t>P4</t>
        </is>
      </c>
      <c r="R1522" s="187" t="inlineStr">
        <is>
          <t>🔍 Investigate and apply appropriate controls</t>
        </is>
      </c>
      <c r="S1522" s="187" t="inlineStr">
        <is>
          <t>Advisory - IP enrichment N/A</t>
        </is>
      </c>
      <c r="T1522" s="187" t="n">
        <v>0</v>
      </c>
      <c r="U1522" s="187" t="n">
        <v>0</v>
      </c>
      <c r="V1522" s="187" t="inlineStr">
        <is>
          <t>T1190:Exploit Public-Facing Application</t>
        </is>
      </c>
      <c r="W1522" s="187" t="n">
        <v>1</v>
      </c>
      <c r="X1522" s="187" t="inlineStr">
        <is>
          <t>LOW (40%)</t>
        </is>
      </c>
      <c r="Y1522" s="187" t="inlineStr">
        <is>
          <t>CHECK_GITHUB</t>
        </is>
      </c>
      <c r="Z1522" s="187" t="inlineStr">
        <is>
          <t>YES</t>
        </is>
      </c>
      <c r="AA1522" s="187" t="inlineStr">
        <is>
          <t>https://github.com/advisories/GHSA-h9fp-p2p9-873q</t>
        </is>
      </c>
      <c r="AB1522" s="187" t="inlineStr">
        <is>
          <t>NONE</t>
        </is>
      </c>
      <c r="AC1522" s="187" t="n">
        <v>0</v>
      </c>
      <c r="AD1522" s="187" t="inlineStr"/>
    </row>
    <row r="1523">
      <c r="A1523" s="188" t="inlineStr">
        <is>
          <t>GH_ADVISORY</t>
        </is>
      </c>
      <c r="B1523" s="188" t="inlineStr">
        <is>
          <t>GHSA-r5j5-q42h-fc93</t>
        </is>
      </c>
      <c r="C1523" s="188" t="inlineStr">
        <is>
          <t>Mautic is Vulnerable to SQL Injection through Contact Activity API Sorting</t>
        </is>
      </c>
      <c r="D1523" s="188" t="n">
        <v>7.6</v>
      </c>
      <c r="E1523" s="188" t="inlineStr">
        <is>
          <t>HIGH</t>
        </is>
      </c>
      <c r="F1523" s="188" t="n">
        <v>2</v>
      </c>
      <c r="G1523" s="188" t="n">
        <v>2</v>
      </c>
      <c r="H1523" s="188" t="inlineStr">
        <is>
          <t>MEDIUM</t>
        </is>
      </c>
      <c r="I1523" s="188" t="n">
        <v>11.6</v>
      </c>
      <c r="J1523" s="188" t="inlineStr">
        <is>
          <t>NO</t>
        </is>
      </c>
      <c r="K1523" s="188" t="inlineStr">
        <is>
          <t>https://github.com/advisories/GHSA-r5j5-q42h-fc93</t>
        </is>
      </c>
      <c r="L1523" s="188" t="inlineStr">
        <is>
          <t>2026-02-25T19:28:39Z</t>
        </is>
      </c>
      <c r="M1523" s="188" t="inlineStr">
        <is>
          <t>CHECK_GITHUB</t>
        </is>
      </c>
      <c r="N1523" s="188" t="inlineStr">
        <is>
          <t>https://github.com/advisories/GHSA-r5j5-q42h-fc93</t>
        </is>
      </c>
      <c r="O1523" s="188" t="inlineStr">
        <is>
          <t>Update affected packages per GitHub advisory</t>
        </is>
      </c>
      <c r="P1523" s="188" t="inlineStr">
        <is>
          <t>mautic/core, mautic/core, mautic/core</t>
        </is>
      </c>
      <c r="Q1523" s="188" t="inlineStr">
        <is>
          <t>P4</t>
        </is>
      </c>
      <c r="R1523" s="188" t="inlineStr">
        <is>
          <t>🔍 Investigate and apply appropriate controls</t>
        </is>
      </c>
      <c r="S1523" s="188" t="inlineStr">
        <is>
          <t>Advisory - IP enrichment N/A</t>
        </is>
      </c>
      <c r="T1523" s="188" t="n">
        <v>0</v>
      </c>
      <c r="U1523" s="188" t="n">
        <v>0</v>
      </c>
      <c r="V1523" s="188" t="inlineStr">
        <is>
          <t>T1190:Exploit Public-Facing Application</t>
        </is>
      </c>
      <c r="W1523" s="188" t="n">
        <v>1</v>
      </c>
      <c r="X1523" s="188" t="inlineStr">
        <is>
          <t>LOW (40%)</t>
        </is>
      </c>
      <c r="Y1523" s="188" t="inlineStr">
        <is>
          <t>CHECK_GITHUB</t>
        </is>
      </c>
      <c r="Z1523" s="188" t="inlineStr">
        <is>
          <t>YES</t>
        </is>
      </c>
      <c r="AA1523" s="188" t="inlineStr">
        <is>
          <t>https://github.com/advisories/GHSA-r5j5-q42h-fc93</t>
        </is>
      </c>
      <c r="AB1523" s="188" t="inlineStr">
        <is>
          <t>NONE</t>
        </is>
      </c>
      <c r="AC1523" s="188" t="n">
        <v>0</v>
      </c>
      <c r="AD1523" s="188" t="inlineStr"/>
    </row>
    <row r="1524">
      <c r="A1524" s="187" t="inlineStr">
        <is>
          <t>GH_ADVISORY</t>
        </is>
      </c>
      <c r="B1524" s="187" t="inlineStr">
        <is>
          <t>GHSA-r99p-5442-q2x2</t>
        </is>
      </c>
      <c r="C1524" s="187" t="inlineStr">
        <is>
          <t>ImageMagick has a heap Buffer Over-read  in its DJVU image format handler</t>
        </is>
      </c>
      <c r="D1524" s="187" t="n">
        <v>4</v>
      </c>
      <c r="E1524" s="187" t="inlineStr">
        <is>
          <t>MEDIUM</t>
        </is>
      </c>
      <c r="F1524" s="187" t="n">
        <v>2</v>
      </c>
      <c r="G1524" s="187" t="n">
        <v>2</v>
      </c>
      <c r="H1524" s="187" t="inlineStr">
        <is>
          <t>MEDIUM</t>
        </is>
      </c>
      <c r="I1524" s="187" t="n">
        <v>8</v>
      </c>
      <c r="J1524" s="187" t="inlineStr">
        <is>
          <t>NO</t>
        </is>
      </c>
      <c r="K1524" s="187" t="inlineStr">
        <is>
          <t>https://github.com/advisories/GHSA-r99p-5442-q2x2</t>
        </is>
      </c>
      <c r="L1524" s="187" t="inlineStr">
        <is>
          <t>2026-02-25T19:24:24Z</t>
        </is>
      </c>
      <c r="M1524" s="187" t="inlineStr">
        <is>
          <t>CHECK_GITHUB</t>
        </is>
      </c>
      <c r="N1524" s="187" t="inlineStr">
        <is>
          <t>https://github.com/advisories/GHSA-r99p-5442-q2x2</t>
        </is>
      </c>
      <c r="O1524" s="187" t="inlineStr">
        <is>
          <t>Update affected packages per GitHub advisory</t>
        </is>
      </c>
      <c r="P1524" s="187" t="inlineStr">
        <is>
          <t>Magick.NET-Q16-AnyCPU, Magick.NET-Q16-HDRI-AnyCPU, Magick.NET-Q16-HDRI-OpenMP-arm64</t>
        </is>
      </c>
      <c r="Q1524" s="187" t="inlineStr">
        <is>
          <t>P4</t>
        </is>
      </c>
      <c r="R1524" s="187" t="inlineStr">
        <is>
          <t>🔍 Investigate and apply appropriate controls</t>
        </is>
      </c>
      <c r="S1524" s="187" t="inlineStr">
        <is>
          <t>Advisory - IP enrichment N/A</t>
        </is>
      </c>
      <c r="T1524" s="187" t="n">
        <v>0</v>
      </c>
      <c r="U1524" s="187" t="n">
        <v>0</v>
      </c>
      <c r="V1524" s="187" t="inlineStr">
        <is>
          <t>T1190:Exploit Public-Facing Application</t>
        </is>
      </c>
      <c r="W1524" s="187" t="n">
        <v>1</v>
      </c>
      <c r="X1524" s="187" t="inlineStr">
        <is>
          <t>LOW (40%)</t>
        </is>
      </c>
      <c r="Y1524" s="187" t="inlineStr">
        <is>
          <t>CHECK_GITHUB</t>
        </is>
      </c>
      <c r="Z1524" s="187" t="inlineStr">
        <is>
          <t>YES</t>
        </is>
      </c>
      <c r="AA1524" s="187" t="inlineStr">
        <is>
          <t>https://github.com/advisories/GHSA-r99p-5442-q2x2</t>
        </is>
      </c>
      <c r="AB1524" s="187" t="inlineStr">
        <is>
          <t>NONE</t>
        </is>
      </c>
      <c r="AC1524" s="187" t="n">
        <v>0</v>
      </c>
      <c r="AD1524" s="187" t="inlineStr"/>
    </row>
    <row r="1525">
      <c r="A1525" s="187" t="inlineStr">
        <is>
          <t>GH_ADVISORY</t>
        </is>
      </c>
      <c r="B1525" s="187" t="inlineStr">
        <is>
          <t>GHSA-qpgx-jfcq-r59f</t>
        </is>
      </c>
      <c r="C1525" s="187" t="inlineStr">
        <is>
          <t>ImageMagick: Heap Buffer Over-read in WaveletDenoise when processing small images</t>
        </is>
      </c>
      <c r="D1525" s="187" t="n">
        <v>4</v>
      </c>
      <c r="E1525" s="187" t="inlineStr">
        <is>
          <t>MEDIUM</t>
        </is>
      </c>
      <c r="F1525" s="187" t="n">
        <v>2</v>
      </c>
      <c r="G1525" s="187" t="n">
        <v>2</v>
      </c>
      <c r="H1525" s="187" t="inlineStr">
        <is>
          <t>MEDIUM</t>
        </is>
      </c>
      <c r="I1525" s="187" t="n">
        <v>8</v>
      </c>
      <c r="J1525" s="187" t="inlineStr">
        <is>
          <t>NO</t>
        </is>
      </c>
      <c r="K1525" s="187" t="inlineStr">
        <is>
          <t>https://github.com/advisories/GHSA-qpgx-jfcq-r59f</t>
        </is>
      </c>
      <c r="L1525" s="187" t="inlineStr">
        <is>
          <t>2026-02-25T19:24:05Z</t>
        </is>
      </c>
      <c r="M1525" s="187" t="inlineStr">
        <is>
          <t>CHECK_GITHUB</t>
        </is>
      </c>
      <c r="N1525" s="187" t="inlineStr">
        <is>
          <t>https://github.com/advisories/GHSA-qpgx-jfcq-r59f</t>
        </is>
      </c>
      <c r="O1525" s="187" t="inlineStr">
        <is>
          <t>Update affected packages per GitHub advisory</t>
        </is>
      </c>
      <c r="P1525" s="187" t="inlineStr">
        <is>
          <t>Magick.NET-Q16-AnyCPU, Magick.NET-Q16-HDRI-AnyCPU, Magick.NET-Q16-HDRI-OpenMP-arm64</t>
        </is>
      </c>
      <c r="Q1525" s="187" t="inlineStr">
        <is>
          <t>P4</t>
        </is>
      </c>
      <c r="R1525" s="187" t="inlineStr">
        <is>
          <t>🔍 Investigate and apply appropriate controls</t>
        </is>
      </c>
      <c r="S1525" s="187" t="inlineStr">
        <is>
          <t>Advisory - IP enrichment N/A</t>
        </is>
      </c>
      <c r="T1525" s="187" t="n">
        <v>0</v>
      </c>
      <c r="U1525" s="187" t="n">
        <v>0</v>
      </c>
      <c r="V1525" s="187" t="inlineStr">
        <is>
          <t>T1190:Exploit Public-Facing Application</t>
        </is>
      </c>
      <c r="W1525" s="187" t="n">
        <v>1</v>
      </c>
      <c r="X1525" s="187" t="inlineStr">
        <is>
          <t>LOW (40%)</t>
        </is>
      </c>
      <c r="Y1525" s="187" t="inlineStr">
        <is>
          <t>CHECK_GITHUB</t>
        </is>
      </c>
      <c r="Z1525" s="187" t="inlineStr">
        <is>
          <t>YES</t>
        </is>
      </c>
      <c r="AA1525" s="187" t="inlineStr">
        <is>
          <t>https://github.com/advisories/GHSA-qpgx-jfcq-r59f</t>
        </is>
      </c>
      <c r="AB1525" s="187" t="inlineStr">
        <is>
          <t>NONE</t>
        </is>
      </c>
      <c r="AC1525" s="187" t="n">
        <v>0</v>
      </c>
      <c r="AD1525" s="187" t="inlineStr"/>
    </row>
    <row r="1526">
      <c r="A1526" s="188" t="inlineStr">
        <is>
          <t>GH_ADVISORY</t>
        </is>
      </c>
      <c r="B1526" s="188" t="inlineStr">
        <is>
          <t>GHSA-x43w-ph7m-pfjx</t>
        </is>
      </c>
      <c r="C1526" s="188" t="inlineStr">
        <is>
          <t>hexchat crate has a Use After Free vulnerability</t>
        </is>
      </c>
      <c r="D1526" s="188" t="n">
        <v>7</v>
      </c>
      <c r="E1526" s="188" t="inlineStr">
        <is>
          <t>HIGH</t>
        </is>
      </c>
      <c r="F1526" s="188" t="n">
        <v>2</v>
      </c>
      <c r="G1526" s="188" t="n">
        <v>2</v>
      </c>
      <c r="H1526" s="188" t="inlineStr">
        <is>
          <t>MEDIUM</t>
        </is>
      </c>
      <c r="I1526" s="188" t="n">
        <v>11</v>
      </c>
      <c r="J1526" s="188" t="inlineStr">
        <is>
          <t>NO</t>
        </is>
      </c>
      <c r="K1526" s="188" t="inlineStr">
        <is>
          <t>https://github.com/advisories/GHSA-x43w-ph7m-pfjx</t>
        </is>
      </c>
      <c r="L1526" s="188" t="inlineStr">
        <is>
          <t>2026-02-25T19:23:47Z</t>
        </is>
      </c>
      <c r="M1526" s="188" t="inlineStr">
        <is>
          <t>CHECK_GITHUB</t>
        </is>
      </c>
      <c r="N1526" s="188" t="inlineStr">
        <is>
          <t>https://github.com/advisories/GHSA-x43w-ph7m-pfjx</t>
        </is>
      </c>
      <c r="O1526" s="188" t="inlineStr">
        <is>
          <t>Update affected packages per GitHub advisory</t>
        </is>
      </c>
      <c r="P1526" s="188" t="inlineStr">
        <is>
          <t>hexchat</t>
        </is>
      </c>
      <c r="Q1526" s="188" t="inlineStr">
        <is>
          <t>P4</t>
        </is>
      </c>
      <c r="R1526" s="188" t="inlineStr">
        <is>
          <t>🔍 Investigate and apply appropriate controls</t>
        </is>
      </c>
      <c r="S1526" s="188" t="inlineStr">
        <is>
          <t>Advisory - IP enrichment N/A</t>
        </is>
      </c>
      <c r="T1526" s="188" t="n">
        <v>0</v>
      </c>
      <c r="U1526" s="188" t="n">
        <v>0</v>
      </c>
      <c r="V1526" s="188" t="inlineStr">
        <is>
          <t>T1190:Exploit Public-Facing Application</t>
        </is>
      </c>
      <c r="W1526" s="188" t="n">
        <v>1</v>
      </c>
      <c r="X1526" s="188" t="inlineStr">
        <is>
          <t>LOW (40%)</t>
        </is>
      </c>
      <c r="Y1526" s="188" t="inlineStr">
        <is>
          <t>CHECK_GITHUB</t>
        </is>
      </c>
      <c r="Z1526" s="188" t="inlineStr">
        <is>
          <t>YES</t>
        </is>
      </c>
      <c r="AA1526" s="188" t="inlineStr">
        <is>
          <t>https://github.com/advisories/GHSA-x43w-ph7m-pfjx</t>
        </is>
      </c>
      <c r="AB1526" s="188" t="inlineStr">
        <is>
          <t>NONE</t>
        </is>
      </c>
      <c r="AC1526" s="188" t="n">
        <v>0</v>
      </c>
      <c r="AD1526" s="188" t="inlineStr"/>
    </row>
    <row r="1527">
      <c r="A1527" s="190" t="inlineStr">
        <is>
          <t>GH_ADVISORY</t>
        </is>
      </c>
      <c r="B1527" s="190" t="inlineStr">
        <is>
          <t>GHSA-q9hv-hpm4-hj6x</t>
        </is>
      </c>
      <c r="C1527" s="190" t="inlineStr">
        <is>
          <t>CIRCL has an incorrect calculation in secp384r1 CombinedMult</t>
        </is>
      </c>
      <c r="D1527" s="190" t="n">
        <v>7</v>
      </c>
      <c r="E1527" s="190" t="inlineStr">
        <is>
          <t>LOW</t>
        </is>
      </c>
      <c r="F1527" s="190" t="n">
        <v>2</v>
      </c>
      <c r="G1527" s="190" t="n">
        <v>2</v>
      </c>
      <c r="H1527" s="190" t="inlineStr">
        <is>
          <t>MEDIUM</t>
        </is>
      </c>
      <c r="I1527" s="190" t="n">
        <v>11</v>
      </c>
      <c r="J1527" s="190" t="inlineStr">
        <is>
          <t>NO</t>
        </is>
      </c>
      <c r="K1527" s="190" t="inlineStr">
        <is>
          <t>https://github.com/advisories/GHSA-q9hv-hpm4-hj6x</t>
        </is>
      </c>
      <c r="L1527" s="190" t="inlineStr">
        <is>
          <t>2026-02-25T19:17:50Z</t>
        </is>
      </c>
      <c r="M1527" s="190" t="inlineStr">
        <is>
          <t>CHECK_GITHUB</t>
        </is>
      </c>
      <c r="N1527" s="190" t="inlineStr">
        <is>
          <t>https://github.com/advisories/GHSA-q9hv-hpm4-hj6x</t>
        </is>
      </c>
      <c r="O1527" s="190" t="inlineStr">
        <is>
          <t>Update affected packages per GitHub advisory</t>
        </is>
      </c>
      <c r="P1527" s="190" t="inlineStr">
        <is>
          <t>github.com/cloudflare/circl</t>
        </is>
      </c>
      <c r="Q1527" s="190" t="inlineStr">
        <is>
          <t>P4</t>
        </is>
      </c>
      <c r="R1527" s="190" t="inlineStr">
        <is>
          <t>🔍 Investigate and apply appropriate controls</t>
        </is>
      </c>
      <c r="S1527" s="190" t="inlineStr">
        <is>
          <t>Advisory - IP enrichment N/A</t>
        </is>
      </c>
      <c r="T1527" s="190" t="n">
        <v>0</v>
      </c>
      <c r="U1527" s="190" t="n">
        <v>0</v>
      </c>
      <c r="V1527" s="190" t="inlineStr">
        <is>
          <t>T1190:Exploit Public-Facing Application</t>
        </is>
      </c>
      <c r="W1527" s="190" t="n">
        <v>1</v>
      </c>
      <c r="X1527" s="190" t="inlineStr">
        <is>
          <t>LOW (40%)</t>
        </is>
      </c>
      <c r="Y1527" s="190" t="inlineStr">
        <is>
          <t>CHECK_GITHUB</t>
        </is>
      </c>
      <c r="Z1527" s="190" t="inlineStr">
        <is>
          <t>YES</t>
        </is>
      </c>
      <c r="AA1527" s="190" t="inlineStr">
        <is>
          <t>https://github.com/advisories/GHSA-q9hv-hpm4-hj6x</t>
        </is>
      </c>
      <c r="AB1527" s="190" t="inlineStr">
        <is>
          <t>NONE</t>
        </is>
      </c>
      <c r="AC1527" s="190" t="n">
        <v>0</v>
      </c>
      <c r="AD1527" s="190" t="inlineStr"/>
    </row>
    <row r="1528">
      <c r="A1528" s="190" t="inlineStr">
        <is>
          <t>GH_ADVISORY</t>
        </is>
      </c>
      <c r="B1528" s="190" t="inlineStr">
        <is>
          <t>GHSA-gq5v-qf8q-fp77</t>
        </is>
      </c>
      <c r="C1528" s="190" t="inlineStr">
        <is>
          <t>ImageMagick: Heap-based Buffer Overflow in GetPixelIndex due to metadata-cache desynchronization</t>
        </is>
      </c>
      <c r="D1528" s="190" t="n">
        <v>3.3</v>
      </c>
      <c r="E1528" s="190" t="inlineStr">
        <is>
          <t>LOW</t>
        </is>
      </c>
      <c r="F1528" s="190" t="n">
        <v>2</v>
      </c>
      <c r="G1528" s="190" t="n">
        <v>2</v>
      </c>
      <c r="H1528" s="190" t="inlineStr">
        <is>
          <t>MEDIUM</t>
        </is>
      </c>
      <c r="I1528" s="190" t="n">
        <v>7.3</v>
      </c>
      <c r="J1528" s="190" t="inlineStr">
        <is>
          <t>NO</t>
        </is>
      </c>
      <c r="K1528" s="190" t="inlineStr">
        <is>
          <t>https://github.com/advisories/GHSA-gq5v-qf8q-fp77</t>
        </is>
      </c>
      <c r="L1528" s="190" t="inlineStr">
        <is>
          <t>2026-02-25T19:15:56Z</t>
        </is>
      </c>
      <c r="M1528" s="190" t="inlineStr">
        <is>
          <t>CHECK_GITHUB</t>
        </is>
      </c>
      <c r="N1528" s="190" t="inlineStr">
        <is>
          <t>https://github.com/advisories/GHSA-gq5v-qf8q-fp77</t>
        </is>
      </c>
      <c r="O1528" s="190" t="inlineStr">
        <is>
          <t>Update affected packages per GitHub advisory</t>
        </is>
      </c>
      <c r="P1528" s="190" t="inlineStr">
        <is>
          <t>Magick.NET-Q16-AnyCPU, Magick.NET-Q16-HDRI-AnyCPU, Magick.NET-Q16-HDRI-OpenMP-arm64</t>
        </is>
      </c>
      <c r="Q1528" s="190" t="inlineStr">
        <is>
          <t>P4</t>
        </is>
      </c>
      <c r="R1528" s="190" t="inlineStr">
        <is>
          <t>🔍 Investigate and apply appropriate controls</t>
        </is>
      </c>
      <c r="S1528" s="190" t="inlineStr">
        <is>
          <t>Advisory - IP enrichment N/A</t>
        </is>
      </c>
      <c r="T1528" s="190" t="n">
        <v>0</v>
      </c>
      <c r="U1528" s="190" t="n">
        <v>0</v>
      </c>
      <c r="V1528" s="190" t="inlineStr">
        <is>
          <t>T1190:Exploit Public-Facing Application</t>
        </is>
      </c>
      <c r="W1528" s="190" t="n">
        <v>1</v>
      </c>
      <c r="X1528" s="190" t="inlineStr">
        <is>
          <t>LOW (40%)</t>
        </is>
      </c>
      <c r="Y1528" s="190" t="inlineStr">
        <is>
          <t>CHECK_GITHUB</t>
        </is>
      </c>
      <c r="Z1528" s="190" t="inlineStr">
        <is>
          <t>YES</t>
        </is>
      </c>
      <c r="AA1528" s="190" t="inlineStr">
        <is>
          <t>https://github.com/advisories/GHSA-gq5v-qf8q-fp77</t>
        </is>
      </c>
      <c r="AB1528" s="190" t="inlineStr">
        <is>
          <t>NONE</t>
        </is>
      </c>
      <c r="AC1528" s="190" t="n">
        <v>0</v>
      </c>
      <c r="AD1528" s="190" t="inlineStr"/>
    </row>
    <row r="1529">
      <c r="A1529" s="190" t="inlineStr">
        <is>
          <t>GH_ADVISORY</t>
        </is>
      </c>
      <c r="B1529" s="190" t="inlineStr">
        <is>
          <t>GHSA-wfx3-6g53-9fgc</t>
        </is>
      </c>
      <c r="C1529" s="190" t="inlineStr">
        <is>
          <t xml:space="preserve">ImageMagick: Memory Leak in multiple coders that write raw pixel data </t>
        </is>
      </c>
      <c r="D1529" s="190" t="n">
        <v>3.7</v>
      </c>
      <c r="E1529" s="190" t="inlineStr">
        <is>
          <t>LOW</t>
        </is>
      </c>
      <c r="F1529" s="190" t="n">
        <v>2</v>
      </c>
      <c r="G1529" s="190" t="n">
        <v>2</v>
      </c>
      <c r="H1529" s="190" t="inlineStr">
        <is>
          <t>MEDIUM</t>
        </is>
      </c>
      <c r="I1529" s="190" t="n">
        <v>7.7</v>
      </c>
      <c r="J1529" s="190" t="inlineStr">
        <is>
          <t>NO</t>
        </is>
      </c>
      <c r="K1529" s="190" t="inlineStr">
        <is>
          <t>https://github.com/advisories/GHSA-wfx3-6g53-9fgc</t>
        </is>
      </c>
      <c r="L1529" s="190" t="inlineStr">
        <is>
          <t>2026-02-25T19:13:32Z</t>
        </is>
      </c>
      <c r="M1529" s="190" t="inlineStr">
        <is>
          <t>CHECK_GITHUB</t>
        </is>
      </c>
      <c r="N1529" s="190" t="inlineStr">
        <is>
          <t>https://github.com/advisories/GHSA-wfx3-6g53-9fgc</t>
        </is>
      </c>
      <c r="O1529" s="190" t="inlineStr">
        <is>
          <t>Update affected packages per GitHub advisory</t>
        </is>
      </c>
      <c r="P1529" s="190" t="inlineStr">
        <is>
          <t>Magick.NET-Q16-AnyCPU, Magick.NET-Q16-HDRI-AnyCPU, Magick.NET-Q16-HDRI-OpenMP-arm64</t>
        </is>
      </c>
      <c r="Q1529" s="190" t="inlineStr">
        <is>
          <t>P4</t>
        </is>
      </c>
      <c r="R1529" s="190" t="inlineStr">
        <is>
          <t>🔍 Investigate and apply appropriate controls</t>
        </is>
      </c>
      <c r="S1529" s="190" t="inlineStr">
        <is>
          <t>Advisory - IP enrichment N/A</t>
        </is>
      </c>
      <c r="T1529" s="190" t="n">
        <v>0</v>
      </c>
      <c r="U1529" s="190" t="n">
        <v>0</v>
      </c>
      <c r="V1529" s="190" t="inlineStr">
        <is>
          <t>T1190:Exploit Public-Facing Application</t>
        </is>
      </c>
      <c r="W1529" s="190" t="n">
        <v>1</v>
      </c>
      <c r="X1529" s="190" t="inlineStr">
        <is>
          <t>LOW (40%)</t>
        </is>
      </c>
      <c r="Y1529" s="190" t="inlineStr">
        <is>
          <t>CHECK_GITHUB</t>
        </is>
      </c>
      <c r="Z1529" s="190" t="inlineStr">
        <is>
          <t>YES</t>
        </is>
      </c>
      <c r="AA1529" s="190" t="inlineStr">
        <is>
          <t>https://github.com/advisories/GHSA-wfx3-6g53-9fgc</t>
        </is>
      </c>
      <c r="AB1529" s="190" t="inlineStr">
        <is>
          <t>NONE</t>
        </is>
      </c>
      <c r="AC1529" s="190" t="n">
        <v>0</v>
      </c>
      <c r="AD1529" s="190" t="inlineStr"/>
    </row>
    <row r="1530">
      <c r="A1530" s="190" t="inlineStr">
        <is>
          <t>GH_ADVISORY</t>
        </is>
      </c>
      <c r="B1530" s="190" t="inlineStr">
        <is>
          <t>GHSA-3q5f-gmjc-38r8</t>
        </is>
      </c>
      <c r="C1530" s="190" t="inlineStr">
        <is>
          <t>ImageMagick: Memory leak in coders/txt.c without freetype</t>
        </is>
      </c>
      <c r="D1530" s="190" t="n">
        <v>7</v>
      </c>
      <c r="E1530" s="190" t="inlineStr">
        <is>
          <t>LOW</t>
        </is>
      </c>
      <c r="F1530" s="190" t="n">
        <v>2</v>
      </c>
      <c r="G1530" s="190" t="n">
        <v>2</v>
      </c>
      <c r="H1530" s="190" t="inlineStr">
        <is>
          <t>MEDIUM</t>
        </is>
      </c>
      <c r="I1530" s="190" t="n">
        <v>11</v>
      </c>
      <c r="J1530" s="190" t="inlineStr">
        <is>
          <t>NO</t>
        </is>
      </c>
      <c r="K1530" s="190" t="inlineStr">
        <is>
          <t>https://github.com/advisories/GHSA-3q5f-gmjc-38r8</t>
        </is>
      </c>
      <c r="L1530" s="190" t="inlineStr">
        <is>
          <t>2026-02-25T19:13:08Z</t>
        </is>
      </c>
      <c r="M1530" s="190" t="inlineStr">
        <is>
          <t>CHECK_GITHUB</t>
        </is>
      </c>
      <c r="N1530" s="190" t="inlineStr">
        <is>
          <t>https://github.com/advisories/GHSA-3q5f-gmjc-38r8</t>
        </is>
      </c>
      <c r="O1530" s="190" t="inlineStr">
        <is>
          <t>Update affected packages per GitHub advisory</t>
        </is>
      </c>
      <c r="P1530" s="190" t="inlineStr">
        <is>
          <t>Magick.NET-Q16-AnyCPU, Magick.NET-Q16-HDRI-AnyCPU, Magick.NET-Q16-HDRI-OpenMP-arm64</t>
        </is>
      </c>
      <c r="Q1530" s="190" t="inlineStr">
        <is>
          <t>P4</t>
        </is>
      </c>
      <c r="R1530" s="190" t="inlineStr">
        <is>
          <t>🔍 Investigate and apply appropriate controls</t>
        </is>
      </c>
      <c r="S1530" s="190" t="inlineStr">
        <is>
          <t>Advisory - IP enrichment N/A</t>
        </is>
      </c>
      <c r="T1530" s="190" t="n">
        <v>0</v>
      </c>
      <c r="U1530" s="190" t="n">
        <v>0</v>
      </c>
      <c r="V1530" s="190" t="inlineStr">
        <is>
          <t>T1190:Exploit Public-Facing Application</t>
        </is>
      </c>
      <c r="W1530" s="190" t="n">
        <v>1</v>
      </c>
      <c r="X1530" s="190" t="inlineStr">
        <is>
          <t>LOW (40%)</t>
        </is>
      </c>
      <c r="Y1530" s="190" t="inlineStr">
        <is>
          <t>CHECK_GITHUB</t>
        </is>
      </c>
      <c r="Z1530" s="190" t="inlineStr">
        <is>
          <t>YES</t>
        </is>
      </c>
      <c r="AA1530" s="190" t="inlineStr">
        <is>
          <t>https://github.com/advisories/GHSA-3q5f-gmjc-38r8</t>
        </is>
      </c>
      <c r="AB1530" s="190" t="inlineStr">
        <is>
          <t>NONE</t>
        </is>
      </c>
      <c r="AC1530" s="190" t="n">
        <v>0</v>
      </c>
      <c r="AD1530" s="190" t="inlineStr"/>
    </row>
    <row r="1531">
      <c r="A1531" s="190" t="inlineStr">
        <is>
          <t>GH_ADVISORY</t>
        </is>
      </c>
      <c r="B1531" s="190" t="inlineStr">
        <is>
          <t>GHSA-xpg8-7m6m-jf56</t>
        </is>
      </c>
      <c r="C1531" s="190" t="inlineStr">
        <is>
          <t>ImageMagick: SVG-to-MVG Command Injection via coders/svg.c</t>
        </is>
      </c>
      <c r="D1531" s="190" t="n">
        <v>7</v>
      </c>
      <c r="E1531" s="190" t="inlineStr">
        <is>
          <t>LOW</t>
        </is>
      </c>
      <c r="F1531" s="190" t="n">
        <v>2</v>
      </c>
      <c r="G1531" s="190" t="n">
        <v>2</v>
      </c>
      <c r="H1531" s="190" t="inlineStr">
        <is>
          <t>MEDIUM</t>
        </is>
      </c>
      <c r="I1531" s="190" t="n">
        <v>11</v>
      </c>
      <c r="J1531" s="190" t="inlineStr">
        <is>
          <t>NO</t>
        </is>
      </c>
      <c r="K1531" s="190" t="inlineStr">
        <is>
          <t>https://github.com/advisories/GHSA-xpg8-7m6m-jf56</t>
        </is>
      </c>
      <c r="L1531" s="190" t="inlineStr">
        <is>
          <t>2026-02-25T19:12:48Z</t>
        </is>
      </c>
      <c r="M1531" s="190" t="inlineStr">
        <is>
          <t>CHECK_GITHUB</t>
        </is>
      </c>
      <c r="N1531" s="190" t="inlineStr">
        <is>
          <t>https://github.com/advisories/GHSA-xpg8-7m6m-jf56</t>
        </is>
      </c>
      <c r="O1531" s="190" t="inlineStr">
        <is>
          <t>Update affected packages per GitHub advisory</t>
        </is>
      </c>
      <c r="P1531" s="190" t="inlineStr">
        <is>
          <t>Magick.NET-Q16-AnyCPU, Magick.NET-Q16-HDRI-AnyCPU, Magick.NET-Q16-HDRI-OpenMP-arm64</t>
        </is>
      </c>
      <c r="Q1531" s="190" t="inlineStr">
        <is>
          <t>P4</t>
        </is>
      </c>
      <c r="R1531" s="190" t="inlineStr">
        <is>
          <t>🔍 Investigate and apply appropriate controls</t>
        </is>
      </c>
      <c r="S1531" s="190" t="inlineStr">
        <is>
          <t>Advisory - IP enrichment N/A</t>
        </is>
      </c>
      <c r="T1531" s="190" t="n">
        <v>0</v>
      </c>
      <c r="U1531" s="190" t="n">
        <v>0</v>
      </c>
      <c r="V1531" s="190" t="inlineStr">
        <is>
          <t>T1190:Exploit Public-Facing Application</t>
        </is>
      </c>
      <c r="W1531" s="190" t="n">
        <v>1</v>
      </c>
      <c r="X1531" s="190" t="inlineStr">
        <is>
          <t>LOW (40%)</t>
        </is>
      </c>
      <c r="Y1531" s="190" t="inlineStr">
        <is>
          <t>CHECK_GITHUB</t>
        </is>
      </c>
      <c r="Z1531" s="190" t="inlineStr">
        <is>
          <t>YES</t>
        </is>
      </c>
      <c r="AA1531" s="190" t="inlineStr">
        <is>
          <t>https://github.com/advisories/GHSA-xpg8-7m6m-jf56</t>
        </is>
      </c>
      <c r="AB1531" s="190" t="inlineStr">
        <is>
          <t>NONE</t>
        </is>
      </c>
      <c r="AC1531" s="190" t="n">
        <v>0</v>
      </c>
      <c r="AD1531" s="190" t="inlineStr"/>
    </row>
    <row r="1532">
      <c r="A1532" s="188" t="inlineStr">
        <is>
          <t>MAL_URL</t>
        </is>
      </c>
      <c r="B1532" s="188" t="inlineStr">
        <is>
          <t>3785716</t>
        </is>
      </c>
      <c r="C1532" s="188" t="inlineStr">
        <is>
          <t>Malware Host [online]: https://github.com/flowwysh/Swift-Executor/raw/refs/heads/main/Swift.exe | Threat: malware_download | Tags: BRAT,exe</t>
        </is>
      </c>
      <c r="D1532" s="188" t="n">
        <v>7.5</v>
      </c>
      <c r="E1532" s="188" t="inlineStr">
        <is>
          <t>HIGH</t>
        </is>
      </c>
      <c r="F1532" s="188" t="n">
        <v>3</v>
      </c>
      <c r="G1532" s="188" t="n">
        <v>2</v>
      </c>
      <c r="H1532" s="188" t="inlineStr">
        <is>
          <t>HIGH</t>
        </is>
      </c>
      <c r="I1532" s="188" t="n">
        <v>13.5</v>
      </c>
      <c r="J1532" s="188" t="inlineStr">
        <is>
          <t>NO</t>
        </is>
      </c>
      <c r="K1532" s="188" t="inlineStr">
        <is>
          <t>https://urlhaus.abuse.ch/url/3785716/</t>
        </is>
      </c>
      <c r="L1532" s="188" t="inlineStr">
        <is>
          <t>2026-02-25 22:07:09</t>
        </is>
      </c>
      <c r="M1532" s="188" t="inlineStr">
        <is>
          <t>Block URL</t>
        </is>
      </c>
      <c r="N1532" s="188" t="inlineStr">
        <is>
          <t>https://urlhaus.abuse.ch/url/3785716/</t>
        </is>
      </c>
      <c r="O1532" s="188" t="inlineStr">
        <is>
          <t>Block URL in proxy/firewall: https://github.com/flowwysh/Swift-Executor/raw/refs/heads/main/Swift.exe</t>
        </is>
      </c>
      <c r="P1532" s="188" t="inlineStr">
        <is>
          <t>Network/Web Proxy</t>
        </is>
      </c>
      <c r="Q1532" s="188" t="inlineStr">
        <is>
          <t>P3</t>
        </is>
      </c>
      <c r="R1532" s="188" t="inlineStr">
        <is>
          <t>🚫 Block URLs in web proxy/firewall | 📧 Update email security filters | 👥 User awareness training recommended</t>
        </is>
      </c>
      <c r="S1532" s="188" t="inlineStr">
        <is>
          <t>URL IOC - check host IP separately</t>
        </is>
      </c>
      <c r="T1532" s="188" t="n">
        <v>0</v>
      </c>
      <c r="U1532" s="188" t="n">
        <v>0</v>
      </c>
      <c r="V1532" s="188" t="inlineStr">
        <is>
          <t>T1189:Drive-by Compromise | T1566:Phishing</t>
        </is>
      </c>
      <c r="W1532" s="188" t="n">
        <v>1</v>
      </c>
      <c r="X1532" s="188" t="inlineStr">
        <is>
          <t>LOW (40%)</t>
        </is>
      </c>
      <c r="Y1532" s="188" t="inlineStr">
        <is>
          <t>YES</t>
        </is>
      </c>
      <c r="Z1532" s="188" t="inlineStr">
        <is>
          <t>Block URL</t>
        </is>
      </c>
      <c r="AA1532" s="188" t="inlineStr">
        <is>
          <t>https://urlhaus.abuse.ch/url/3785716/</t>
        </is>
      </c>
      <c r="AB1532" s="188" t="inlineStr">
        <is>
          <t>NONE</t>
        </is>
      </c>
      <c r="AC1532" s="188" t="n">
        <v>0</v>
      </c>
      <c r="AD1532" s="188" t="inlineStr"/>
    </row>
    <row r="1533">
      <c r="A1533" s="188" t="inlineStr">
        <is>
          <t>MAL_URL</t>
        </is>
      </c>
      <c r="B1533" s="188" t="inlineStr">
        <is>
          <t>3785715</t>
        </is>
      </c>
      <c r="C1533" s="188" t="inlineStr">
        <is>
          <t>Malware Host [offline]: https://13nq2ksp.lunarbridge.digital/?=check&amp;&amp;actmn=eAgRfIrSvsPSjmzE | Threat: malware_download | Tags: ClearFake</t>
        </is>
      </c>
      <c r="D1533" s="188" t="n">
        <v>7.5</v>
      </c>
      <c r="E1533" s="188" t="inlineStr">
        <is>
          <t>HIGH</t>
        </is>
      </c>
      <c r="F1533" s="188" t="n">
        <v>3</v>
      </c>
      <c r="G1533" s="188" t="n">
        <v>2</v>
      </c>
      <c r="H1533" s="188" t="inlineStr">
        <is>
          <t>HIGH</t>
        </is>
      </c>
      <c r="I1533" s="188" t="n">
        <v>13.5</v>
      </c>
      <c r="J1533" s="188" t="inlineStr">
        <is>
          <t>NO</t>
        </is>
      </c>
      <c r="K1533" s="188" t="inlineStr">
        <is>
          <t>https://urlhaus.abuse.ch/url/3785715/</t>
        </is>
      </c>
      <c r="L1533" s="188" t="inlineStr">
        <is>
          <t>2026-02-25 22:06:05</t>
        </is>
      </c>
      <c r="M1533" s="188" t="inlineStr">
        <is>
          <t>Block URL</t>
        </is>
      </c>
      <c r="N1533" s="188" t="inlineStr">
        <is>
          <t>https://urlhaus.abuse.ch/url/3785715/</t>
        </is>
      </c>
      <c r="O1533" s="188" t="inlineStr">
        <is>
          <t>Block URL in proxy/firewall: https://13nq2ksp.lunarbridge.digital/?=check&amp;&amp;actmn=eAgRfIrSvsPSjmzE</t>
        </is>
      </c>
      <c r="P1533" s="188" t="inlineStr">
        <is>
          <t>Network/Web Proxy</t>
        </is>
      </c>
      <c r="Q1533" s="188" t="inlineStr">
        <is>
          <t>P3</t>
        </is>
      </c>
      <c r="R1533" s="188" t="inlineStr">
        <is>
          <t>🚫 Block URLs in web proxy/firewall | 📧 Update email security filters | 👥 User awareness training recommended</t>
        </is>
      </c>
      <c r="S1533" s="188" t="inlineStr">
        <is>
          <t>URL IOC - check host IP separately</t>
        </is>
      </c>
      <c r="T1533" s="188" t="n">
        <v>0</v>
      </c>
      <c r="U1533" s="188" t="n">
        <v>0</v>
      </c>
      <c r="V1533" s="188" t="inlineStr">
        <is>
          <t>T1189:Drive-by Compromise | T1566:Phishing</t>
        </is>
      </c>
      <c r="W1533" s="188" t="n">
        <v>1</v>
      </c>
      <c r="X1533" s="188" t="inlineStr">
        <is>
          <t>LOW (40%)</t>
        </is>
      </c>
      <c r="Y1533" s="188" t="inlineStr">
        <is>
          <t>YES</t>
        </is>
      </c>
      <c r="Z1533" s="188" t="inlineStr">
        <is>
          <t>Block URL</t>
        </is>
      </c>
      <c r="AA1533" s="188" t="inlineStr">
        <is>
          <t>https://urlhaus.abuse.ch/url/3785715/</t>
        </is>
      </c>
      <c r="AB1533" s="188" t="inlineStr">
        <is>
          <t>NONE</t>
        </is>
      </c>
      <c r="AC1533" s="188" t="n">
        <v>0</v>
      </c>
      <c r="AD1533" s="188" t="inlineStr"/>
    </row>
    <row r="1534">
      <c r="A1534" s="188" t="inlineStr">
        <is>
          <t>MAL_URL</t>
        </is>
      </c>
      <c r="B1534" s="188" t="inlineStr">
        <is>
          <t>3785714</t>
        </is>
      </c>
      <c r="C1534" s="188" t="inlineStr">
        <is>
          <t>Malware Host [online]: https://github.com/bebasmaingta5-rgb/Load/releases/download/lol/loader.zip | Threat: malware_download | Tags: zip</t>
        </is>
      </c>
      <c r="D1534" s="188" t="n">
        <v>7.5</v>
      </c>
      <c r="E1534" s="188" t="inlineStr">
        <is>
          <t>HIGH</t>
        </is>
      </c>
      <c r="F1534" s="188" t="n">
        <v>3</v>
      </c>
      <c r="G1534" s="188" t="n">
        <v>2</v>
      </c>
      <c r="H1534" s="188" t="inlineStr">
        <is>
          <t>HIGH</t>
        </is>
      </c>
      <c r="I1534" s="188" t="n">
        <v>13.5</v>
      </c>
      <c r="J1534" s="188" t="inlineStr">
        <is>
          <t>NO</t>
        </is>
      </c>
      <c r="K1534" s="188" t="inlineStr">
        <is>
          <t>https://urlhaus.abuse.ch/url/3785714/</t>
        </is>
      </c>
      <c r="L1534" s="188" t="inlineStr">
        <is>
          <t>2026-02-25 22:02:14</t>
        </is>
      </c>
      <c r="M1534" s="188" t="inlineStr">
        <is>
          <t>Block URL</t>
        </is>
      </c>
      <c r="N1534" s="188" t="inlineStr">
        <is>
          <t>https://urlhaus.abuse.ch/url/3785714/</t>
        </is>
      </c>
      <c r="O1534" s="188" t="inlineStr">
        <is>
          <t>Block URL in proxy/firewall: https://github.com/bebasmaingta5-rgb/Load/releases/download/lol/loader.zip</t>
        </is>
      </c>
      <c r="P1534" s="188" t="inlineStr">
        <is>
          <t>Network/Web Proxy</t>
        </is>
      </c>
      <c r="Q1534" s="188" t="inlineStr">
        <is>
          <t>P3</t>
        </is>
      </c>
      <c r="R1534" s="188" t="inlineStr">
        <is>
          <t>🚫 Block URLs in web proxy/firewall | 📧 Update email security filters | 👥 User awareness training recommended</t>
        </is>
      </c>
      <c r="S1534" s="188" t="inlineStr">
        <is>
          <t>URL IOC - check host IP separately</t>
        </is>
      </c>
      <c r="T1534" s="188" t="n">
        <v>0</v>
      </c>
      <c r="U1534" s="188" t="n">
        <v>0</v>
      </c>
      <c r="V1534" s="188" t="inlineStr">
        <is>
          <t>T1189:Drive-by Compromise | T1566:Phishing</t>
        </is>
      </c>
      <c r="W1534" s="188" t="n">
        <v>1</v>
      </c>
      <c r="X1534" s="188" t="inlineStr">
        <is>
          <t>LOW (40%)</t>
        </is>
      </c>
      <c r="Y1534" s="188" t="inlineStr">
        <is>
          <t>YES</t>
        </is>
      </c>
      <c r="Z1534" s="188" t="inlineStr">
        <is>
          <t>Block URL</t>
        </is>
      </c>
      <c r="AA1534" s="188" t="inlineStr">
        <is>
          <t>https://urlhaus.abuse.ch/url/3785714/</t>
        </is>
      </c>
      <c r="AB1534" s="188" t="inlineStr">
        <is>
          <t>NONE</t>
        </is>
      </c>
      <c r="AC1534" s="188" t="n">
        <v>0</v>
      </c>
      <c r="AD1534" s="188" t="inlineStr"/>
    </row>
    <row r="1535">
      <c r="A1535" s="188" t="inlineStr">
        <is>
          <t>MAL_URL</t>
        </is>
      </c>
      <c r="B1535" s="188" t="inlineStr">
        <is>
          <t>3785713</t>
        </is>
      </c>
      <c r="C1535" s="188" t="inlineStr">
        <is>
          <t>Malware Host [online]: http://130.12.180.43/files/7782139129/uGBzsmr.exe | Threat: malware_download | Tags: dropped-by-amadey,fbf543</t>
        </is>
      </c>
      <c r="D1535" s="188" t="n">
        <v>7.5</v>
      </c>
      <c r="E1535" s="188" t="inlineStr">
        <is>
          <t>HIGH</t>
        </is>
      </c>
      <c r="F1535" s="188" t="n">
        <v>3</v>
      </c>
      <c r="G1535" s="188" t="n">
        <v>2</v>
      </c>
      <c r="H1535" s="188" t="inlineStr">
        <is>
          <t>HIGH</t>
        </is>
      </c>
      <c r="I1535" s="188" t="n">
        <v>13.5</v>
      </c>
      <c r="J1535" s="188" t="inlineStr">
        <is>
          <t>NO</t>
        </is>
      </c>
      <c r="K1535" s="188" t="inlineStr">
        <is>
          <t>https://urlhaus.abuse.ch/url/3785713/</t>
        </is>
      </c>
      <c r="L1535" s="188" t="inlineStr">
        <is>
          <t>2026-02-25 22:01:06</t>
        </is>
      </c>
      <c r="M1535" s="188" t="inlineStr">
        <is>
          <t>Block URL</t>
        </is>
      </c>
      <c r="N1535" s="188" t="inlineStr">
        <is>
          <t>https://urlhaus.abuse.ch/url/3785713/</t>
        </is>
      </c>
      <c r="O1535" s="188" t="inlineStr">
        <is>
          <t>Block URL in proxy/firewall: http://130.12.180.43/files/7782139129/uGBzsmr.exe</t>
        </is>
      </c>
      <c r="P1535" s="188" t="inlineStr">
        <is>
          <t>Network/Web Proxy</t>
        </is>
      </c>
      <c r="Q1535" s="188" t="inlineStr">
        <is>
          <t>P3</t>
        </is>
      </c>
      <c r="R1535" s="188" t="inlineStr">
        <is>
          <t>🚫 Block URLs in web proxy/firewall | 📧 Update email security filters | 👥 User awareness training recommended</t>
        </is>
      </c>
      <c r="S1535" s="188" t="inlineStr">
        <is>
          <t>URL IOC - check host IP separately</t>
        </is>
      </c>
      <c r="T1535" s="188" t="n">
        <v>0</v>
      </c>
      <c r="U1535" s="188" t="n">
        <v>0</v>
      </c>
      <c r="V1535" s="188" t="inlineStr">
        <is>
          <t>T1189:Drive-by Compromise | T1566:Phishing</t>
        </is>
      </c>
      <c r="W1535" s="188" t="n">
        <v>1</v>
      </c>
      <c r="X1535" s="188" t="inlineStr">
        <is>
          <t>LOW (40%)</t>
        </is>
      </c>
      <c r="Y1535" s="188" t="inlineStr">
        <is>
          <t>YES</t>
        </is>
      </c>
      <c r="Z1535" s="188" t="inlineStr">
        <is>
          <t>Block URL</t>
        </is>
      </c>
      <c r="AA1535" s="188" t="inlineStr">
        <is>
          <t>https://urlhaus.abuse.ch/url/3785713/</t>
        </is>
      </c>
      <c r="AB1535" s="188" t="inlineStr">
        <is>
          <t>NONE</t>
        </is>
      </c>
      <c r="AC1535" s="188" t="n">
        <v>0</v>
      </c>
      <c r="AD1535" s="188" t="inlineStr"/>
    </row>
    <row r="1536">
      <c r="A1536" s="188" t="inlineStr">
        <is>
          <t>MAL_URL</t>
        </is>
      </c>
      <c r="B1536" s="188" t="inlineStr">
        <is>
          <t>3785712</t>
        </is>
      </c>
      <c r="C1536" s="188" t="inlineStr">
        <is>
          <t>Malware Host [online]: https://github.com/utwb0/app/raw/refs/heads/main/Application.zip | Threat: malware_download | Tags: SmartLoader,zip</t>
        </is>
      </c>
      <c r="D1536" s="188" t="n">
        <v>7.5</v>
      </c>
      <c r="E1536" s="188" t="inlineStr">
        <is>
          <t>HIGH</t>
        </is>
      </c>
      <c r="F1536" s="188" t="n">
        <v>3</v>
      </c>
      <c r="G1536" s="188" t="n">
        <v>2</v>
      </c>
      <c r="H1536" s="188" t="inlineStr">
        <is>
          <t>HIGH</t>
        </is>
      </c>
      <c r="I1536" s="188" t="n">
        <v>13.5</v>
      </c>
      <c r="J1536" s="188" t="inlineStr">
        <is>
          <t>NO</t>
        </is>
      </c>
      <c r="K1536" s="188" t="inlineStr">
        <is>
          <t>https://urlhaus.abuse.ch/url/3785712/</t>
        </is>
      </c>
      <c r="L1536" s="188" t="inlineStr">
        <is>
          <t>2026-02-25 22:00:12</t>
        </is>
      </c>
      <c r="M1536" s="188" t="inlineStr">
        <is>
          <t>Block URL</t>
        </is>
      </c>
      <c r="N1536" s="188" t="inlineStr">
        <is>
          <t>https://urlhaus.abuse.ch/url/3785712/</t>
        </is>
      </c>
      <c r="O1536" s="188" t="inlineStr">
        <is>
          <t>Block URL in proxy/firewall: https://github.com/utwb0/app/raw/refs/heads/main/Application.zip</t>
        </is>
      </c>
      <c r="P1536" s="188" t="inlineStr">
        <is>
          <t>Network/Web Proxy</t>
        </is>
      </c>
      <c r="Q1536" s="188" t="inlineStr">
        <is>
          <t>P3</t>
        </is>
      </c>
      <c r="R1536" s="188" t="inlineStr">
        <is>
          <t>🚫 Block URLs in web proxy/firewall | 📧 Update email security filters | 👥 User awareness training recommended</t>
        </is>
      </c>
      <c r="S1536" s="188" t="inlineStr">
        <is>
          <t>URL IOC - check host IP separately</t>
        </is>
      </c>
      <c r="T1536" s="188" t="n">
        <v>0</v>
      </c>
      <c r="U1536" s="188" t="n">
        <v>0</v>
      </c>
      <c r="V1536" s="188" t="inlineStr">
        <is>
          <t>T1189:Drive-by Compromise | T1566:Phishing</t>
        </is>
      </c>
      <c r="W1536" s="188" t="n">
        <v>1</v>
      </c>
      <c r="X1536" s="188" t="inlineStr">
        <is>
          <t>LOW (40%)</t>
        </is>
      </c>
      <c r="Y1536" s="188" t="inlineStr">
        <is>
          <t>YES</t>
        </is>
      </c>
      <c r="Z1536" s="188" t="inlineStr">
        <is>
          <t>Block URL</t>
        </is>
      </c>
      <c r="AA1536" s="188" t="inlineStr">
        <is>
          <t>https://urlhaus.abuse.ch/url/3785712/</t>
        </is>
      </c>
      <c r="AB1536" s="188" t="inlineStr">
        <is>
          <t>NONE</t>
        </is>
      </c>
      <c r="AC1536" s="188" t="n">
        <v>0</v>
      </c>
      <c r="AD1536" s="188" t="inlineStr"/>
    </row>
    <row r="1537">
      <c r="A1537" s="188" t="inlineStr">
        <is>
          <t>MAL_URL</t>
        </is>
      </c>
      <c r="B1537" s="188" t="inlineStr">
        <is>
          <t>3785711</t>
        </is>
      </c>
      <c r="C1537" s="188" t="inlineStr">
        <is>
          <t>Malware Host [online]: https://github.com/kgssss7342/Launcher/raw/refs/heads/main/Application.zip | Threat: malware_download | Tags: SmartLoader,zip</t>
        </is>
      </c>
      <c r="D1537" s="188" t="n">
        <v>7.5</v>
      </c>
      <c r="E1537" s="188" t="inlineStr">
        <is>
          <t>HIGH</t>
        </is>
      </c>
      <c r="F1537" s="188" t="n">
        <v>3</v>
      </c>
      <c r="G1537" s="188" t="n">
        <v>2</v>
      </c>
      <c r="H1537" s="188" t="inlineStr">
        <is>
          <t>HIGH</t>
        </is>
      </c>
      <c r="I1537" s="188" t="n">
        <v>13.5</v>
      </c>
      <c r="J1537" s="188" t="inlineStr">
        <is>
          <t>NO</t>
        </is>
      </c>
      <c r="K1537" s="188" t="inlineStr">
        <is>
          <t>https://urlhaus.abuse.ch/url/3785711/</t>
        </is>
      </c>
      <c r="L1537" s="188" t="inlineStr">
        <is>
          <t>2026-02-25 21:59:08</t>
        </is>
      </c>
      <c r="M1537" s="188" t="inlineStr">
        <is>
          <t>Block URL</t>
        </is>
      </c>
      <c r="N1537" s="188" t="inlineStr">
        <is>
          <t>https://urlhaus.abuse.ch/url/3785711/</t>
        </is>
      </c>
      <c r="O1537" s="188" t="inlineStr">
        <is>
          <t>Block URL in proxy/firewall: https://github.com/kgssss7342/Launcher/raw/refs/heads/main/Application.zip</t>
        </is>
      </c>
      <c r="P1537" s="188" t="inlineStr">
        <is>
          <t>Network/Web Proxy</t>
        </is>
      </c>
      <c r="Q1537" s="188" t="inlineStr">
        <is>
          <t>P3</t>
        </is>
      </c>
      <c r="R1537" s="188" t="inlineStr">
        <is>
          <t>🚫 Block URLs in web proxy/firewall | 📧 Update email security filters | 👥 User awareness training recommended</t>
        </is>
      </c>
      <c r="S1537" s="188" t="inlineStr">
        <is>
          <t>URL IOC - check host IP separately</t>
        </is>
      </c>
      <c r="T1537" s="188" t="n">
        <v>0</v>
      </c>
      <c r="U1537" s="188" t="n">
        <v>0</v>
      </c>
      <c r="V1537" s="188" t="inlineStr">
        <is>
          <t>T1189:Drive-by Compromise | T1566:Phishing</t>
        </is>
      </c>
      <c r="W1537" s="188" t="n">
        <v>1</v>
      </c>
      <c r="X1537" s="188" t="inlineStr">
        <is>
          <t>LOW (40%)</t>
        </is>
      </c>
      <c r="Y1537" s="188" t="inlineStr">
        <is>
          <t>YES</t>
        </is>
      </c>
      <c r="Z1537" s="188" t="inlineStr">
        <is>
          <t>Block URL</t>
        </is>
      </c>
      <c r="AA1537" s="188" t="inlineStr">
        <is>
          <t>https://urlhaus.abuse.ch/url/3785711/</t>
        </is>
      </c>
      <c r="AB1537" s="188" t="inlineStr">
        <is>
          <t>NONE</t>
        </is>
      </c>
      <c r="AC1537" s="188" t="n">
        <v>0</v>
      </c>
      <c r="AD1537" s="188" t="inlineStr"/>
    </row>
    <row r="1538">
      <c r="A1538" s="188" t="inlineStr">
        <is>
          <t>MAL_URL</t>
        </is>
      </c>
      <c r="B1538" s="188" t="inlineStr">
        <is>
          <t>3785710</t>
        </is>
      </c>
      <c r="C1538" s="188" t="inlineStr">
        <is>
          <t>Malware Host [online]: https://raw.githubusercontent.com/zombieworldv3/tools/refs/heads/main/Application.zip | Threat: malware_download | Tags: SmartLoader,zip</t>
        </is>
      </c>
      <c r="D1538" s="188" t="n">
        <v>7.5</v>
      </c>
      <c r="E1538" s="188" t="inlineStr">
        <is>
          <t>HIGH</t>
        </is>
      </c>
      <c r="F1538" s="188" t="n">
        <v>3</v>
      </c>
      <c r="G1538" s="188" t="n">
        <v>2</v>
      </c>
      <c r="H1538" s="188" t="inlineStr">
        <is>
          <t>HIGH</t>
        </is>
      </c>
      <c r="I1538" s="188" t="n">
        <v>13.5</v>
      </c>
      <c r="J1538" s="188" t="inlineStr">
        <is>
          <t>NO</t>
        </is>
      </c>
      <c r="K1538" s="188" t="inlineStr">
        <is>
          <t>https://urlhaus.abuse.ch/url/3785710/</t>
        </is>
      </c>
      <c r="L1538" s="188" t="inlineStr">
        <is>
          <t>2026-02-25 21:56:06</t>
        </is>
      </c>
      <c r="M1538" s="188" t="inlineStr">
        <is>
          <t>Block URL</t>
        </is>
      </c>
      <c r="N1538" s="188" t="inlineStr">
        <is>
          <t>https://urlhaus.abuse.ch/url/3785710/</t>
        </is>
      </c>
      <c r="O1538" s="188" t="inlineStr">
        <is>
          <t>Block URL in proxy/firewall: https://raw.githubusercontent.com/zombieworldv3/tools/refs/heads/main/Application.zip</t>
        </is>
      </c>
      <c r="P1538" s="188" t="inlineStr">
        <is>
          <t>Network/Web Proxy</t>
        </is>
      </c>
      <c r="Q1538" s="188" t="inlineStr">
        <is>
          <t>P3</t>
        </is>
      </c>
      <c r="R1538" s="188" t="inlineStr">
        <is>
          <t>🚫 Block URLs in web proxy/firewall | 📧 Update email security filters | 👥 User awareness training recommended</t>
        </is>
      </c>
      <c r="S1538" s="188" t="inlineStr">
        <is>
          <t>URL IOC - check host IP separately</t>
        </is>
      </c>
      <c r="T1538" s="188" t="n">
        <v>0</v>
      </c>
      <c r="U1538" s="188" t="n">
        <v>0</v>
      </c>
      <c r="V1538" s="188" t="inlineStr">
        <is>
          <t>T1189:Drive-by Compromise | T1566:Phishing</t>
        </is>
      </c>
      <c r="W1538" s="188" t="n">
        <v>1</v>
      </c>
      <c r="X1538" s="188" t="inlineStr">
        <is>
          <t>LOW (40%)</t>
        </is>
      </c>
      <c r="Y1538" s="188" t="inlineStr">
        <is>
          <t>YES</t>
        </is>
      </c>
      <c r="Z1538" s="188" t="inlineStr">
        <is>
          <t>Block URL</t>
        </is>
      </c>
      <c r="AA1538" s="188" t="inlineStr">
        <is>
          <t>https://urlhaus.abuse.ch/url/3785710/</t>
        </is>
      </c>
      <c r="AB1538" s="188" t="inlineStr">
        <is>
          <t>NONE</t>
        </is>
      </c>
      <c r="AC1538" s="188" t="n">
        <v>0</v>
      </c>
      <c r="AD1538" s="188" t="inlineStr"/>
    </row>
    <row r="1539">
      <c r="A1539" s="188" t="inlineStr">
        <is>
          <t>MAL_URL</t>
        </is>
      </c>
      <c r="B1539" s="188" t="inlineStr">
        <is>
          <t>3785709</t>
        </is>
      </c>
      <c r="C1539" s="188" t="inlineStr">
        <is>
          <t>Malware Host [online]: http://182.121.237.248:50400/bin.sh | Threat: malware_download | Tags: 32-bit,elf,mips,Mozi</t>
        </is>
      </c>
      <c r="D1539" s="188" t="n">
        <v>7.5</v>
      </c>
      <c r="E1539" s="188" t="inlineStr">
        <is>
          <t>HIGH</t>
        </is>
      </c>
      <c r="F1539" s="188" t="n">
        <v>3</v>
      </c>
      <c r="G1539" s="188" t="n">
        <v>2</v>
      </c>
      <c r="H1539" s="188" t="inlineStr">
        <is>
          <t>HIGH</t>
        </is>
      </c>
      <c r="I1539" s="188" t="n">
        <v>13.5</v>
      </c>
      <c r="J1539" s="188" t="inlineStr">
        <is>
          <t>NO</t>
        </is>
      </c>
      <c r="K1539" s="188" t="inlineStr">
        <is>
          <t>https://urlhaus.abuse.ch/url/3785709/</t>
        </is>
      </c>
      <c r="L1539" s="188" t="inlineStr">
        <is>
          <t>2026-02-25 21:54:14</t>
        </is>
      </c>
      <c r="M1539" s="188" t="inlineStr">
        <is>
          <t>Block URL</t>
        </is>
      </c>
      <c r="N1539" s="188" t="inlineStr">
        <is>
          <t>https://urlhaus.abuse.ch/url/3785709/</t>
        </is>
      </c>
      <c r="O1539" s="188" t="inlineStr">
        <is>
          <t>Block URL in proxy/firewall: http://182.121.237.248:50400/bin.sh</t>
        </is>
      </c>
      <c r="P1539" s="188" t="inlineStr">
        <is>
          <t>Network/Web Proxy</t>
        </is>
      </c>
      <c r="Q1539" s="188" t="inlineStr">
        <is>
          <t>P3</t>
        </is>
      </c>
      <c r="R1539" s="188" t="inlineStr">
        <is>
          <t>🚫 Block URLs in web proxy/firewall | 📧 Update email security filters | 👥 User awareness training recommended</t>
        </is>
      </c>
      <c r="S1539" s="188" t="inlineStr">
        <is>
          <t>URL IOC - check host IP separately</t>
        </is>
      </c>
      <c r="T1539" s="188" t="n">
        <v>0</v>
      </c>
      <c r="U1539" s="188" t="n">
        <v>0</v>
      </c>
      <c r="V1539" s="188" t="inlineStr">
        <is>
          <t>T1189:Drive-by Compromise | T1566:Phishing</t>
        </is>
      </c>
      <c r="W1539" s="188" t="n">
        <v>1</v>
      </c>
      <c r="X1539" s="188" t="inlineStr">
        <is>
          <t>LOW (40%)</t>
        </is>
      </c>
      <c r="Y1539" s="188" t="inlineStr">
        <is>
          <t>YES</t>
        </is>
      </c>
      <c r="Z1539" s="188" t="inlineStr">
        <is>
          <t>Block URL</t>
        </is>
      </c>
      <c r="AA1539" s="188" t="inlineStr">
        <is>
          <t>https://urlhaus.abuse.ch/url/3785709/</t>
        </is>
      </c>
      <c r="AB1539" s="188" t="inlineStr">
        <is>
          <t>NONE</t>
        </is>
      </c>
      <c r="AC1539" s="188" t="n">
        <v>0</v>
      </c>
      <c r="AD1539" s="188" t="inlineStr"/>
    </row>
    <row r="1540">
      <c r="A1540" s="188" t="inlineStr">
        <is>
          <t>MAL_URL</t>
        </is>
      </c>
      <c r="B1540" s="188" t="inlineStr">
        <is>
          <t>3785708</t>
        </is>
      </c>
      <c r="C1540" s="188" t="inlineStr">
        <is>
          <t>Malware Host [online]: http://221.15.191.111:45932/bin.sh | Threat: malware_download | Tags: 32-bit,elf,mips,Mozi</t>
        </is>
      </c>
      <c r="D1540" s="188" t="n">
        <v>7.5</v>
      </c>
      <c r="E1540" s="188" t="inlineStr">
        <is>
          <t>HIGH</t>
        </is>
      </c>
      <c r="F1540" s="188" t="n">
        <v>3</v>
      </c>
      <c r="G1540" s="188" t="n">
        <v>2</v>
      </c>
      <c r="H1540" s="188" t="inlineStr">
        <is>
          <t>HIGH</t>
        </is>
      </c>
      <c r="I1540" s="188" t="n">
        <v>13.5</v>
      </c>
      <c r="J1540" s="188" t="inlineStr">
        <is>
          <t>NO</t>
        </is>
      </c>
      <c r="K1540" s="188" t="inlineStr">
        <is>
          <t>https://urlhaus.abuse.ch/url/3785708/</t>
        </is>
      </c>
      <c r="L1540" s="188" t="inlineStr">
        <is>
          <t>2026-02-25 21:45:12</t>
        </is>
      </c>
      <c r="M1540" s="188" t="inlineStr">
        <is>
          <t>Block URL</t>
        </is>
      </c>
      <c r="N1540" s="188" t="inlineStr">
        <is>
          <t>https://urlhaus.abuse.ch/url/3785708/</t>
        </is>
      </c>
      <c r="O1540" s="188" t="inlineStr">
        <is>
          <t>Block URL in proxy/firewall: http://221.15.191.111:45932/bin.sh</t>
        </is>
      </c>
      <c r="P1540" s="188" t="inlineStr">
        <is>
          <t>Network/Web Proxy</t>
        </is>
      </c>
      <c r="Q1540" s="188" t="inlineStr">
        <is>
          <t>P3</t>
        </is>
      </c>
      <c r="R1540" s="188" t="inlineStr">
        <is>
          <t>🚫 Block URLs in web proxy/firewall | 📧 Update email security filters | 👥 User awareness training recommended</t>
        </is>
      </c>
      <c r="S1540" s="188" t="inlineStr">
        <is>
          <t>URL IOC - check host IP separately</t>
        </is>
      </c>
      <c r="T1540" s="188" t="n">
        <v>0</v>
      </c>
      <c r="U1540" s="188" t="n">
        <v>0</v>
      </c>
      <c r="V1540" s="188" t="inlineStr">
        <is>
          <t>T1189:Drive-by Compromise | T1566:Phishing</t>
        </is>
      </c>
      <c r="W1540" s="188" t="n">
        <v>1</v>
      </c>
      <c r="X1540" s="188" t="inlineStr">
        <is>
          <t>LOW (40%)</t>
        </is>
      </c>
      <c r="Y1540" s="188" t="inlineStr">
        <is>
          <t>YES</t>
        </is>
      </c>
      <c r="Z1540" s="188" t="inlineStr">
        <is>
          <t>Block URL</t>
        </is>
      </c>
      <c r="AA1540" s="188" t="inlineStr">
        <is>
          <t>https://urlhaus.abuse.ch/url/3785708/</t>
        </is>
      </c>
      <c r="AB1540" s="188" t="inlineStr">
        <is>
          <t>NONE</t>
        </is>
      </c>
      <c r="AC1540" s="188" t="n">
        <v>0</v>
      </c>
      <c r="AD1540" s="188" t="inlineStr"/>
    </row>
    <row r="1541">
      <c r="A1541" s="188" t="inlineStr">
        <is>
          <t>MAL_URL</t>
        </is>
      </c>
      <c r="B1541" s="188" t="inlineStr">
        <is>
          <t>3785707</t>
        </is>
      </c>
      <c r="C1541" s="188" t="inlineStr">
        <is>
          <t>Malware Host [online]: http://42.238.161.131:35367/i | Threat: malware_download | Tags: 32-bit,elf,mips,Mozi</t>
        </is>
      </c>
      <c r="D1541" s="188" t="n">
        <v>7.5</v>
      </c>
      <c r="E1541" s="188" t="inlineStr">
        <is>
          <t>HIGH</t>
        </is>
      </c>
      <c r="F1541" s="188" t="n">
        <v>3</v>
      </c>
      <c r="G1541" s="188" t="n">
        <v>2</v>
      </c>
      <c r="H1541" s="188" t="inlineStr">
        <is>
          <t>HIGH</t>
        </is>
      </c>
      <c r="I1541" s="188" t="n">
        <v>13.5</v>
      </c>
      <c r="J1541" s="188" t="inlineStr">
        <is>
          <t>NO</t>
        </is>
      </c>
      <c r="K1541" s="188" t="inlineStr">
        <is>
          <t>https://urlhaus.abuse.ch/url/3785707/</t>
        </is>
      </c>
      <c r="L1541" s="188" t="inlineStr">
        <is>
          <t>2026-02-25 21:44:11</t>
        </is>
      </c>
      <c r="M1541" s="188" t="inlineStr">
        <is>
          <t>Block URL</t>
        </is>
      </c>
      <c r="N1541" s="188" t="inlineStr">
        <is>
          <t>https://urlhaus.abuse.ch/url/3785707/</t>
        </is>
      </c>
      <c r="O1541" s="188" t="inlineStr">
        <is>
          <t>Block URL in proxy/firewall: http://42.238.161.131:35367/i</t>
        </is>
      </c>
      <c r="P1541" s="188" t="inlineStr">
        <is>
          <t>Network/Web Proxy</t>
        </is>
      </c>
      <c r="Q1541" s="188" t="inlineStr">
        <is>
          <t>P3</t>
        </is>
      </c>
      <c r="R1541" s="188" t="inlineStr">
        <is>
          <t>🚫 Block URLs in web proxy/firewall | 📧 Update email security filters | 👥 User awareness training recommended</t>
        </is>
      </c>
      <c r="S1541" s="188" t="inlineStr">
        <is>
          <t>URL IOC - check host IP separately</t>
        </is>
      </c>
      <c r="T1541" s="188" t="n">
        <v>0</v>
      </c>
      <c r="U1541" s="188" t="n">
        <v>0</v>
      </c>
      <c r="V1541" s="188" t="inlineStr">
        <is>
          <t>T1189:Drive-by Compromise | T1566:Phishing</t>
        </is>
      </c>
      <c r="W1541" s="188" t="n">
        <v>1</v>
      </c>
      <c r="X1541" s="188" t="inlineStr">
        <is>
          <t>LOW (40%)</t>
        </is>
      </c>
      <c r="Y1541" s="188" t="inlineStr">
        <is>
          <t>YES</t>
        </is>
      </c>
      <c r="Z1541" s="188" t="inlineStr">
        <is>
          <t>Block URL</t>
        </is>
      </c>
      <c r="AA1541" s="188" t="inlineStr">
        <is>
          <t>https://urlhaus.abuse.ch/url/3785707/</t>
        </is>
      </c>
      <c r="AB1541" s="188" t="inlineStr">
        <is>
          <t>NONE</t>
        </is>
      </c>
      <c r="AC1541" s="188" t="n">
        <v>0</v>
      </c>
      <c r="AD1541" s="188" t="inlineStr"/>
    </row>
    <row r="1542">
      <c r="A1542" s="188" t="inlineStr">
        <is>
          <t>MAL_URL</t>
        </is>
      </c>
      <c r="B1542" s="188" t="inlineStr">
        <is>
          <t>3785706</t>
        </is>
      </c>
      <c r="C1542" s="188" t="inlineStr">
        <is>
          <t>Malware Host [online]: https://github.com/szenoky/app/raw/refs/heads/main/Application.zip | Threat: malware_download | Tags: SmartLoader,zip</t>
        </is>
      </c>
      <c r="D1542" s="188" t="n">
        <v>7.5</v>
      </c>
      <c r="E1542" s="188" t="inlineStr">
        <is>
          <t>HIGH</t>
        </is>
      </c>
      <c r="F1542" s="188" t="n">
        <v>3</v>
      </c>
      <c r="G1542" s="188" t="n">
        <v>2</v>
      </c>
      <c r="H1542" s="188" t="inlineStr">
        <is>
          <t>HIGH</t>
        </is>
      </c>
      <c r="I1542" s="188" t="n">
        <v>13.5</v>
      </c>
      <c r="J1542" s="188" t="inlineStr">
        <is>
          <t>NO</t>
        </is>
      </c>
      <c r="K1542" s="188" t="inlineStr">
        <is>
          <t>https://urlhaus.abuse.ch/url/3785706/</t>
        </is>
      </c>
      <c r="L1542" s="188" t="inlineStr">
        <is>
          <t>2026-02-25 21:35:09</t>
        </is>
      </c>
      <c r="M1542" s="188" t="inlineStr">
        <is>
          <t>Block URL</t>
        </is>
      </c>
      <c r="N1542" s="188" t="inlineStr">
        <is>
          <t>https://urlhaus.abuse.ch/url/3785706/</t>
        </is>
      </c>
      <c r="O1542" s="188" t="inlineStr">
        <is>
          <t>Block URL in proxy/firewall: https://github.com/szenoky/app/raw/refs/heads/main/Application.zip</t>
        </is>
      </c>
      <c r="P1542" s="188" t="inlineStr">
        <is>
          <t>Network/Web Proxy</t>
        </is>
      </c>
      <c r="Q1542" s="188" t="inlineStr">
        <is>
          <t>P3</t>
        </is>
      </c>
      <c r="R1542" s="188" t="inlineStr">
        <is>
          <t>🚫 Block URLs in web proxy/firewall | 📧 Update email security filters | 👥 User awareness training recommended</t>
        </is>
      </c>
      <c r="S1542" s="188" t="inlineStr">
        <is>
          <t>URL IOC - check host IP separately</t>
        </is>
      </c>
      <c r="T1542" s="188" t="n">
        <v>0</v>
      </c>
      <c r="U1542" s="188" t="n">
        <v>0</v>
      </c>
      <c r="V1542" s="188" t="inlineStr">
        <is>
          <t>T1189:Drive-by Compromise | T1566:Phishing</t>
        </is>
      </c>
      <c r="W1542" s="188" t="n">
        <v>1</v>
      </c>
      <c r="X1542" s="188" t="inlineStr">
        <is>
          <t>LOW (40%)</t>
        </is>
      </c>
      <c r="Y1542" s="188" t="inlineStr">
        <is>
          <t>YES</t>
        </is>
      </c>
      <c r="Z1542" s="188" t="inlineStr">
        <is>
          <t>Block URL</t>
        </is>
      </c>
      <c r="AA1542" s="188" t="inlineStr">
        <is>
          <t>https://urlhaus.abuse.ch/url/3785706/</t>
        </is>
      </c>
      <c r="AB1542" s="188" t="inlineStr">
        <is>
          <t>NONE</t>
        </is>
      </c>
      <c r="AC1542" s="188" t="n">
        <v>0</v>
      </c>
      <c r="AD1542" s="188" t="inlineStr"/>
    </row>
    <row r="1543">
      <c r="A1543" s="188" t="inlineStr">
        <is>
          <t>MAL_URL</t>
        </is>
      </c>
      <c r="B1543" s="188" t="inlineStr">
        <is>
          <t>3785705</t>
        </is>
      </c>
      <c r="C1543" s="188" t="inlineStr">
        <is>
          <t>Malware Host [online]: http://115.54.165.141:47408/i | Threat: malware_download | Tags: 32-bit,elf,mips,Mozi</t>
        </is>
      </c>
      <c r="D1543" s="188" t="n">
        <v>7.5</v>
      </c>
      <c r="E1543" s="188" t="inlineStr">
        <is>
          <t>HIGH</t>
        </is>
      </c>
      <c r="F1543" s="188" t="n">
        <v>3</v>
      </c>
      <c r="G1543" s="188" t="n">
        <v>2</v>
      </c>
      <c r="H1543" s="188" t="inlineStr">
        <is>
          <t>HIGH</t>
        </is>
      </c>
      <c r="I1543" s="188" t="n">
        <v>13.5</v>
      </c>
      <c r="J1543" s="188" t="inlineStr">
        <is>
          <t>NO</t>
        </is>
      </c>
      <c r="K1543" s="188" t="inlineStr">
        <is>
          <t>https://urlhaus.abuse.ch/url/3785705/</t>
        </is>
      </c>
      <c r="L1543" s="188" t="inlineStr">
        <is>
          <t>2026-02-25 21:32:19</t>
        </is>
      </c>
      <c r="M1543" s="188" t="inlineStr">
        <is>
          <t>Block URL</t>
        </is>
      </c>
      <c r="N1543" s="188" t="inlineStr">
        <is>
          <t>https://urlhaus.abuse.ch/url/3785705/</t>
        </is>
      </c>
      <c r="O1543" s="188" t="inlineStr">
        <is>
          <t>Block URL in proxy/firewall: http://115.54.165.141:47408/i</t>
        </is>
      </c>
      <c r="P1543" s="188" t="inlineStr">
        <is>
          <t>Network/Web Proxy</t>
        </is>
      </c>
      <c r="Q1543" s="188" t="inlineStr">
        <is>
          <t>P3</t>
        </is>
      </c>
      <c r="R1543" s="188" t="inlineStr">
        <is>
          <t>🚫 Block URLs in web proxy/firewall | 📧 Update email security filters | 👥 User awareness training recommended</t>
        </is>
      </c>
      <c r="S1543" s="188" t="inlineStr">
        <is>
          <t>URL IOC - check host IP separately</t>
        </is>
      </c>
      <c r="T1543" s="188" t="n">
        <v>0</v>
      </c>
      <c r="U1543" s="188" t="n">
        <v>0</v>
      </c>
      <c r="V1543" s="188" t="inlineStr">
        <is>
          <t>T1189:Drive-by Compromise | T1566:Phishing</t>
        </is>
      </c>
      <c r="W1543" s="188" t="n">
        <v>1</v>
      </c>
      <c r="X1543" s="188" t="inlineStr">
        <is>
          <t>LOW (40%)</t>
        </is>
      </c>
      <c r="Y1543" s="188" t="inlineStr">
        <is>
          <t>YES</t>
        </is>
      </c>
      <c r="Z1543" s="188" t="inlineStr">
        <is>
          <t>Block URL</t>
        </is>
      </c>
      <c r="AA1543" s="188" t="inlineStr">
        <is>
          <t>https://urlhaus.abuse.ch/url/3785705/</t>
        </is>
      </c>
      <c r="AB1543" s="188" t="inlineStr">
        <is>
          <t>NONE</t>
        </is>
      </c>
      <c r="AC1543" s="188" t="n">
        <v>0</v>
      </c>
      <c r="AD1543" s="188" t="inlineStr"/>
    </row>
    <row r="1544">
      <c r="A1544" s="188" t="inlineStr">
        <is>
          <t>MAL_URL</t>
        </is>
      </c>
      <c r="B1544" s="188" t="inlineStr">
        <is>
          <t>3785703</t>
        </is>
      </c>
      <c r="C1544" s="188" t="inlineStr">
        <is>
          <t>Malware Host [online]: http://42.227.203.228:42179/i | Threat: malware_download | Tags: 32-bit,elf,mips,Mozi</t>
        </is>
      </c>
      <c r="D1544" s="188" t="n">
        <v>7.5</v>
      </c>
      <c r="E1544" s="188" t="inlineStr">
        <is>
          <t>HIGH</t>
        </is>
      </c>
      <c r="F1544" s="188" t="n">
        <v>3</v>
      </c>
      <c r="G1544" s="188" t="n">
        <v>2</v>
      </c>
      <c r="H1544" s="188" t="inlineStr">
        <is>
          <t>HIGH</t>
        </is>
      </c>
      <c r="I1544" s="188" t="n">
        <v>13.5</v>
      </c>
      <c r="J1544" s="188" t="inlineStr">
        <is>
          <t>NO</t>
        </is>
      </c>
      <c r="K1544" s="188" t="inlineStr">
        <is>
          <t>https://urlhaus.abuse.ch/url/3785703/</t>
        </is>
      </c>
      <c r="L1544" s="188" t="inlineStr">
        <is>
          <t>2026-02-25 21:07:10</t>
        </is>
      </c>
      <c r="M1544" s="188" t="inlineStr">
        <is>
          <t>Block URL</t>
        </is>
      </c>
      <c r="N1544" s="188" t="inlineStr">
        <is>
          <t>https://urlhaus.abuse.ch/url/3785703/</t>
        </is>
      </c>
      <c r="O1544" s="188" t="inlineStr">
        <is>
          <t>Block URL in proxy/firewall: http://42.227.203.228:42179/i</t>
        </is>
      </c>
      <c r="P1544" s="188" t="inlineStr">
        <is>
          <t>Network/Web Proxy</t>
        </is>
      </c>
      <c r="Q1544" s="188" t="inlineStr">
        <is>
          <t>P3</t>
        </is>
      </c>
      <c r="R1544" s="188" t="inlineStr">
        <is>
          <t>🚫 Block URLs in web proxy/firewall | 📧 Update email security filters | 👥 User awareness training recommended</t>
        </is>
      </c>
      <c r="S1544" s="188" t="inlineStr">
        <is>
          <t>URL IOC - check host IP separately</t>
        </is>
      </c>
      <c r="T1544" s="188" t="n">
        <v>0</v>
      </c>
      <c r="U1544" s="188" t="n">
        <v>0</v>
      </c>
      <c r="V1544" s="188" t="inlineStr">
        <is>
          <t>T1189:Drive-by Compromise | T1566:Phishing</t>
        </is>
      </c>
      <c r="W1544" s="188" t="n">
        <v>1</v>
      </c>
      <c r="X1544" s="188" t="inlineStr">
        <is>
          <t>LOW (40%)</t>
        </is>
      </c>
      <c r="Y1544" s="188" t="inlineStr">
        <is>
          <t>YES</t>
        </is>
      </c>
      <c r="Z1544" s="188" t="inlineStr">
        <is>
          <t>Block URL</t>
        </is>
      </c>
      <c r="AA1544" s="188" t="inlineStr">
        <is>
          <t>https://urlhaus.abuse.ch/url/3785703/</t>
        </is>
      </c>
      <c r="AB1544" s="188" t="inlineStr">
        <is>
          <t>NONE</t>
        </is>
      </c>
      <c r="AC1544" s="188" t="n">
        <v>0</v>
      </c>
      <c r="AD1544" s="188" t="inlineStr"/>
    </row>
    <row r="1545">
      <c r="A1545" s="188" t="inlineStr">
        <is>
          <t>MAL_URL</t>
        </is>
      </c>
      <c r="B1545" s="188" t="inlineStr">
        <is>
          <t>3785704</t>
        </is>
      </c>
      <c r="C1545" s="188" t="inlineStr">
        <is>
          <t>Malware Host [online]: http://115.54.165.141:47408/bin.sh | Threat: malware_download | Tags: 32-bit,elf,mips,Mozi</t>
        </is>
      </c>
      <c r="D1545" s="188" t="n">
        <v>7.5</v>
      </c>
      <c r="E1545" s="188" t="inlineStr">
        <is>
          <t>HIGH</t>
        </is>
      </c>
      <c r="F1545" s="188" t="n">
        <v>3</v>
      </c>
      <c r="G1545" s="188" t="n">
        <v>2</v>
      </c>
      <c r="H1545" s="188" t="inlineStr">
        <is>
          <t>HIGH</t>
        </is>
      </c>
      <c r="I1545" s="188" t="n">
        <v>13.5</v>
      </c>
      <c r="J1545" s="188" t="inlineStr">
        <is>
          <t>NO</t>
        </is>
      </c>
      <c r="K1545" s="188" t="inlineStr">
        <is>
          <t>https://urlhaus.abuse.ch/url/3785704/</t>
        </is>
      </c>
      <c r="L1545" s="188" t="inlineStr">
        <is>
          <t>2026-02-25 21:07:10</t>
        </is>
      </c>
      <c r="M1545" s="188" t="inlineStr">
        <is>
          <t>Block URL</t>
        </is>
      </c>
      <c r="N1545" s="188" t="inlineStr">
        <is>
          <t>https://urlhaus.abuse.ch/url/3785704/</t>
        </is>
      </c>
      <c r="O1545" s="188" t="inlineStr">
        <is>
          <t>Block URL in proxy/firewall: http://115.54.165.141:47408/bin.sh</t>
        </is>
      </c>
      <c r="P1545" s="188" t="inlineStr">
        <is>
          <t>Network/Web Proxy</t>
        </is>
      </c>
      <c r="Q1545" s="188" t="inlineStr">
        <is>
          <t>P3</t>
        </is>
      </c>
      <c r="R1545" s="188" t="inlineStr">
        <is>
          <t>🚫 Block URLs in web proxy/firewall | 📧 Update email security filters | 👥 User awareness training recommended</t>
        </is>
      </c>
      <c r="S1545" s="188" t="inlineStr">
        <is>
          <t>URL IOC - check host IP separately</t>
        </is>
      </c>
      <c r="T1545" s="188" t="n">
        <v>0</v>
      </c>
      <c r="U1545" s="188" t="n">
        <v>0</v>
      </c>
      <c r="V1545" s="188" t="inlineStr">
        <is>
          <t>T1189:Drive-by Compromise | T1566:Phishing</t>
        </is>
      </c>
      <c r="W1545" s="188" t="n">
        <v>1</v>
      </c>
      <c r="X1545" s="188" t="inlineStr">
        <is>
          <t>LOW (40%)</t>
        </is>
      </c>
      <c r="Y1545" s="188" t="inlineStr">
        <is>
          <t>YES</t>
        </is>
      </c>
      <c r="Z1545" s="188" t="inlineStr">
        <is>
          <t>Block URL</t>
        </is>
      </c>
      <c r="AA1545" s="188" t="inlineStr">
        <is>
          <t>https://urlhaus.abuse.ch/url/3785704/</t>
        </is>
      </c>
      <c r="AB1545" s="188" t="inlineStr">
        <is>
          <t>NONE</t>
        </is>
      </c>
      <c r="AC1545" s="188" t="n">
        <v>0</v>
      </c>
      <c r="AD1545" s="188" t="inlineStr"/>
    </row>
    <row r="1546">
      <c r="A1546" s="188" t="inlineStr">
        <is>
          <t>MAL_URL</t>
        </is>
      </c>
      <c r="B1546" s="188" t="inlineStr">
        <is>
          <t>3785702</t>
        </is>
      </c>
      <c r="C1546" s="188" t="inlineStr">
        <is>
          <t>Malware Host [online]: https://github.com/kotobubu/kotobubu.github.io/raw/refs/heads/main/sinapic/kotobubu_github_io_gaud.zip | Threat: malware_download | Tags: SmartLoader,zip</t>
        </is>
      </c>
      <c r="D1546" s="188" t="n">
        <v>7.5</v>
      </c>
      <c r="E1546" s="188" t="inlineStr">
        <is>
          <t>HIGH</t>
        </is>
      </c>
      <c r="F1546" s="188" t="n">
        <v>3</v>
      </c>
      <c r="G1546" s="188" t="n">
        <v>2</v>
      </c>
      <c r="H1546" s="188" t="inlineStr">
        <is>
          <t>HIGH</t>
        </is>
      </c>
      <c r="I1546" s="188" t="n">
        <v>13.5</v>
      </c>
      <c r="J1546" s="188" t="inlineStr">
        <is>
          <t>NO</t>
        </is>
      </c>
      <c r="K1546" s="188" t="inlineStr">
        <is>
          <t>https://urlhaus.abuse.ch/url/3785702/</t>
        </is>
      </c>
      <c r="L1546" s="188" t="inlineStr">
        <is>
          <t>2026-02-25 21:04:06</t>
        </is>
      </c>
      <c r="M1546" s="188" t="inlineStr">
        <is>
          <t>Block URL</t>
        </is>
      </c>
      <c r="N1546" s="188" t="inlineStr">
        <is>
          <t>https://urlhaus.abuse.ch/url/3785702/</t>
        </is>
      </c>
      <c r="O1546" s="188" t="inlineStr">
        <is>
          <t>Block URL in proxy/firewall: https://github.com/kotobubu/kotobubu.github.io/raw/refs/heads/main/sinapic/kotobubu_github_io_gaud.z</t>
        </is>
      </c>
      <c r="P1546" s="188" t="inlineStr">
        <is>
          <t>Network/Web Proxy</t>
        </is>
      </c>
      <c r="Q1546" s="188" t="inlineStr">
        <is>
          <t>P3</t>
        </is>
      </c>
      <c r="R1546" s="188" t="inlineStr">
        <is>
          <t>🚫 Block URLs in web proxy/firewall | 📧 Update email security filters | 👥 User awareness training recommended</t>
        </is>
      </c>
      <c r="S1546" s="188" t="inlineStr">
        <is>
          <t>URL IOC - check host IP separately</t>
        </is>
      </c>
      <c r="T1546" s="188" t="n">
        <v>0</v>
      </c>
      <c r="U1546" s="188" t="n">
        <v>0</v>
      </c>
      <c r="V1546" s="188" t="inlineStr">
        <is>
          <t>T1189:Drive-by Compromise | T1566:Phishing</t>
        </is>
      </c>
      <c r="W1546" s="188" t="n">
        <v>1</v>
      </c>
      <c r="X1546" s="188" t="inlineStr">
        <is>
          <t>LOW (40%)</t>
        </is>
      </c>
      <c r="Y1546" s="188" t="inlineStr">
        <is>
          <t>YES</t>
        </is>
      </c>
      <c r="Z1546" s="188" t="inlineStr">
        <is>
          <t>Block URL</t>
        </is>
      </c>
      <c r="AA1546" s="188" t="inlineStr">
        <is>
          <t>https://urlhaus.abuse.ch/url/3785702/</t>
        </is>
      </c>
      <c r="AB1546" s="188" t="inlineStr">
        <is>
          <t>NONE</t>
        </is>
      </c>
      <c r="AC1546" s="188" t="n">
        <v>0</v>
      </c>
      <c r="AD1546" s="188" t="inlineStr"/>
    </row>
    <row r="1547">
      <c r="A1547" s="188" t="inlineStr">
        <is>
          <t>MAL_URL</t>
        </is>
      </c>
      <c r="B1547" s="188" t="inlineStr">
        <is>
          <t>3785701</t>
        </is>
      </c>
      <c r="C1547" s="188" t="inlineStr">
        <is>
          <t>Malware Host [offline]: https://github.com/kotobubu/roblox-executor/blob/main/tertiarian/roblox_executor_1.4.zip | Threat: malware_download | Tags: SmartLoader,zip</t>
        </is>
      </c>
      <c r="D1547" s="188" t="n">
        <v>7.5</v>
      </c>
      <c r="E1547" s="188" t="inlineStr">
        <is>
          <t>HIGH</t>
        </is>
      </c>
      <c r="F1547" s="188" t="n">
        <v>3</v>
      </c>
      <c r="G1547" s="188" t="n">
        <v>2</v>
      </c>
      <c r="H1547" s="188" t="inlineStr">
        <is>
          <t>HIGH</t>
        </is>
      </c>
      <c r="I1547" s="188" t="n">
        <v>13.5</v>
      </c>
      <c r="J1547" s="188" t="inlineStr">
        <is>
          <t>NO</t>
        </is>
      </c>
      <c r="K1547" s="188" t="inlineStr">
        <is>
          <t>https://urlhaus.abuse.ch/url/3785701/</t>
        </is>
      </c>
      <c r="L1547" s="188" t="inlineStr">
        <is>
          <t>2026-02-25 21:00:07</t>
        </is>
      </c>
      <c r="M1547" s="188" t="inlineStr">
        <is>
          <t>Block URL</t>
        </is>
      </c>
      <c r="N1547" s="188" t="inlineStr">
        <is>
          <t>https://urlhaus.abuse.ch/url/3785701/</t>
        </is>
      </c>
      <c r="O1547" s="188" t="inlineStr">
        <is>
          <t>Block URL in proxy/firewall: https://github.com/kotobubu/roblox-executor/blob/main/tertiarian/roblox_executor_1.4.zip</t>
        </is>
      </c>
      <c r="P1547" s="188" t="inlineStr">
        <is>
          <t>Network/Web Proxy</t>
        </is>
      </c>
      <c r="Q1547" s="188" t="inlineStr">
        <is>
          <t>P3</t>
        </is>
      </c>
      <c r="R1547" s="188" t="inlineStr">
        <is>
          <t>🚫 Block URLs in web proxy/firewall | 📧 Update email security filters | 👥 User awareness training recommended</t>
        </is>
      </c>
      <c r="S1547" s="188" t="inlineStr">
        <is>
          <t>URL IOC - check host IP separately</t>
        </is>
      </c>
      <c r="T1547" s="188" t="n">
        <v>0</v>
      </c>
      <c r="U1547" s="188" t="n">
        <v>0</v>
      </c>
      <c r="V1547" s="188" t="inlineStr">
        <is>
          <t>T1189:Drive-by Compromise | T1566:Phishing</t>
        </is>
      </c>
      <c r="W1547" s="188" t="n">
        <v>1</v>
      </c>
      <c r="X1547" s="188" t="inlineStr">
        <is>
          <t>LOW (40%)</t>
        </is>
      </c>
      <c r="Y1547" s="188" t="inlineStr">
        <is>
          <t>YES</t>
        </is>
      </c>
      <c r="Z1547" s="188" t="inlineStr">
        <is>
          <t>Block URL</t>
        </is>
      </c>
      <c r="AA1547" s="188" t="inlineStr">
        <is>
          <t>https://urlhaus.abuse.ch/url/3785701/</t>
        </is>
      </c>
      <c r="AB1547" s="188" t="inlineStr">
        <is>
          <t>NONE</t>
        </is>
      </c>
      <c r="AC1547" s="188" t="n">
        <v>0</v>
      </c>
      <c r="AD1547" s="188" t="inlineStr"/>
    </row>
    <row r="1548">
      <c r="A1548" s="188" t="inlineStr">
        <is>
          <t>MAL_URL</t>
        </is>
      </c>
      <c r="B1548" s="188" t="inlineStr">
        <is>
          <t>3785700</t>
        </is>
      </c>
      <c r="C1548" s="188" t="inlineStr">
        <is>
          <t>Malware Host [online]: https://github.com/st1xres/Xeno-Executor/raw/refs/heads/main/Xeno.exe | Threat: malware_download | Tags: BRAT,exe</t>
        </is>
      </c>
      <c r="D1548" s="188" t="n">
        <v>7.5</v>
      </c>
      <c r="E1548" s="188" t="inlineStr">
        <is>
          <t>HIGH</t>
        </is>
      </c>
      <c r="F1548" s="188" t="n">
        <v>3</v>
      </c>
      <c r="G1548" s="188" t="n">
        <v>2</v>
      </c>
      <c r="H1548" s="188" t="inlineStr">
        <is>
          <t>HIGH</t>
        </is>
      </c>
      <c r="I1548" s="188" t="n">
        <v>13.5</v>
      </c>
      <c r="J1548" s="188" t="inlineStr">
        <is>
          <t>NO</t>
        </is>
      </c>
      <c r="K1548" s="188" t="inlineStr">
        <is>
          <t>https://urlhaus.abuse.ch/url/3785700/</t>
        </is>
      </c>
      <c r="L1548" s="188" t="inlineStr">
        <is>
          <t>2026-02-25 20:58:09</t>
        </is>
      </c>
      <c r="M1548" s="188" t="inlineStr">
        <is>
          <t>Block URL</t>
        </is>
      </c>
      <c r="N1548" s="188" t="inlineStr">
        <is>
          <t>https://urlhaus.abuse.ch/url/3785700/</t>
        </is>
      </c>
      <c r="O1548" s="188" t="inlineStr">
        <is>
          <t>Block URL in proxy/firewall: https://github.com/st1xres/Xeno-Executor/raw/refs/heads/main/Xeno.exe</t>
        </is>
      </c>
      <c r="P1548" s="188" t="inlineStr">
        <is>
          <t>Network/Web Proxy</t>
        </is>
      </c>
      <c r="Q1548" s="188" t="inlineStr">
        <is>
          <t>P3</t>
        </is>
      </c>
      <c r="R1548" s="188" t="inlineStr">
        <is>
          <t>🚫 Block URLs in web proxy/firewall | 📧 Update email security filters | 👥 User awareness training recommended</t>
        </is>
      </c>
      <c r="S1548" s="188" t="inlineStr">
        <is>
          <t>URL IOC - check host IP separately</t>
        </is>
      </c>
      <c r="T1548" s="188" t="n">
        <v>0</v>
      </c>
      <c r="U1548" s="188" t="n">
        <v>0</v>
      </c>
      <c r="V1548" s="188" t="inlineStr">
        <is>
          <t>T1189:Drive-by Compromise | T1566:Phishing</t>
        </is>
      </c>
      <c r="W1548" s="188" t="n">
        <v>1</v>
      </c>
      <c r="X1548" s="188" t="inlineStr">
        <is>
          <t>LOW (40%)</t>
        </is>
      </c>
      <c r="Y1548" s="188" t="inlineStr">
        <is>
          <t>YES</t>
        </is>
      </c>
      <c r="Z1548" s="188" t="inlineStr">
        <is>
          <t>Block URL</t>
        </is>
      </c>
      <c r="AA1548" s="188" t="inlineStr">
        <is>
          <t>https://urlhaus.abuse.ch/url/3785700/</t>
        </is>
      </c>
      <c r="AB1548" s="188" t="inlineStr">
        <is>
          <t>NONE</t>
        </is>
      </c>
      <c r="AC1548" s="188" t="n">
        <v>0</v>
      </c>
      <c r="AD1548" s="188" t="inlineStr"/>
    </row>
    <row r="1549">
      <c r="A1549" s="188" t="inlineStr">
        <is>
          <t>MAL_URL</t>
        </is>
      </c>
      <c r="B1549" s="188" t="inlineStr">
        <is>
          <t>3785699</t>
        </is>
      </c>
      <c r="C1549" s="188" t="inlineStr">
        <is>
          <t>Malware Host [online]: http://130.12.182.211:25196/el | Threat: malware_download | Tags: Kaiji,mirai,opendir</t>
        </is>
      </c>
      <c r="D1549" s="188" t="n">
        <v>7.5</v>
      </c>
      <c r="E1549" s="188" t="inlineStr">
        <is>
          <t>HIGH</t>
        </is>
      </c>
      <c r="F1549" s="188" t="n">
        <v>3</v>
      </c>
      <c r="G1549" s="188" t="n">
        <v>2</v>
      </c>
      <c r="H1549" s="188" t="inlineStr">
        <is>
          <t>HIGH</t>
        </is>
      </c>
      <c r="I1549" s="188" t="n">
        <v>13.5</v>
      </c>
      <c r="J1549" s="188" t="inlineStr">
        <is>
          <t>NO</t>
        </is>
      </c>
      <c r="K1549" s="188" t="inlineStr">
        <is>
          <t>https://urlhaus.abuse.ch/url/3785699/</t>
        </is>
      </c>
      <c r="L1549" s="188" t="inlineStr">
        <is>
          <t>2026-02-25 20:24:20</t>
        </is>
      </c>
      <c r="M1549" s="188" t="inlineStr">
        <is>
          <t>Block URL</t>
        </is>
      </c>
      <c r="N1549" s="188" t="inlineStr">
        <is>
          <t>https://urlhaus.abuse.ch/url/3785699/</t>
        </is>
      </c>
      <c r="O1549" s="188" t="inlineStr">
        <is>
          <t>Block URL in proxy/firewall: http://130.12.182.211:25196/el</t>
        </is>
      </c>
      <c r="P1549" s="188" t="inlineStr">
        <is>
          <t>Network/Web Proxy</t>
        </is>
      </c>
      <c r="Q1549" s="188" t="inlineStr">
        <is>
          <t>P3</t>
        </is>
      </c>
      <c r="R1549" s="188" t="inlineStr">
        <is>
          <t>🚫 Block URLs in web proxy/firewall | 📧 Update email security filters | 👥 User awareness training recommended</t>
        </is>
      </c>
      <c r="S1549" s="188" t="inlineStr">
        <is>
          <t>URL IOC - check host IP separately</t>
        </is>
      </c>
      <c r="T1549" s="188" t="n">
        <v>0</v>
      </c>
      <c r="U1549" s="188" t="n">
        <v>0</v>
      </c>
      <c r="V1549" s="188" t="inlineStr">
        <is>
          <t>T1189:Drive-by Compromise | T1566:Phishing</t>
        </is>
      </c>
      <c r="W1549" s="188" t="n">
        <v>1</v>
      </c>
      <c r="X1549" s="188" t="inlineStr">
        <is>
          <t>LOW (40%)</t>
        </is>
      </c>
      <c r="Y1549" s="188" t="inlineStr">
        <is>
          <t>YES</t>
        </is>
      </c>
      <c r="Z1549" s="188" t="inlineStr">
        <is>
          <t>Block URL</t>
        </is>
      </c>
      <c r="AA1549" s="188" t="inlineStr">
        <is>
          <t>https://urlhaus.abuse.ch/url/3785699/</t>
        </is>
      </c>
      <c r="AB1549" s="188" t="inlineStr">
        <is>
          <t>NONE</t>
        </is>
      </c>
      <c r="AC1549" s="188" t="n">
        <v>0</v>
      </c>
      <c r="AD1549" s="188" t="inlineStr"/>
    </row>
    <row r="1550">
      <c r="A1550" s="188" t="inlineStr">
        <is>
          <t>MAL_URL</t>
        </is>
      </c>
      <c r="B1550" s="188" t="inlineStr">
        <is>
          <t>3785698</t>
        </is>
      </c>
      <c r="C1550" s="188" t="inlineStr">
        <is>
          <t>Malware Host [online]: http://118.107.41.238:808/linux_mipsel_softfloat | Threat: malware_download | Tags: Kaiji,mirai,opendir</t>
        </is>
      </c>
      <c r="D1550" s="188" t="n">
        <v>7.5</v>
      </c>
      <c r="E1550" s="188" t="inlineStr">
        <is>
          <t>HIGH</t>
        </is>
      </c>
      <c r="F1550" s="188" t="n">
        <v>3</v>
      </c>
      <c r="G1550" s="188" t="n">
        <v>2</v>
      </c>
      <c r="H1550" s="188" t="inlineStr">
        <is>
          <t>HIGH</t>
        </is>
      </c>
      <c r="I1550" s="188" t="n">
        <v>13.5</v>
      </c>
      <c r="J1550" s="188" t="inlineStr">
        <is>
          <t>NO</t>
        </is>
      </c>
      <c r="K1550" s="188" t="inlineStr">
        <is>
          <t>https://urlhaus.abuse.ch/url/3785698/</t>
        </is>
      </c>
      <c r="L1550" s="188" t="inlineStr">
        <is>
          <t>2026-02-25 20:24:15</t>
        </is>
      </c>
      <c r="M1550" s="188" t="inlineStr">
        <is>
          <t>Block URL</t>
        </is>
      </c>
      <c r="N1550" s="188" t="inlineStr">
        <is>
          <t>https://urlhaus.abuse.ch/url/3785698/</t>
        </is>
      </c>
      <c r="O1550" s="188" t="inlineStr">
        <is>
          <t>Block URL in proxy/firewall: http://118.107.41.238:808/linux_mipsel_softfloat</t>
        </is>
      </c>
      <c r="P1550" s="188" t="inlineStr">
        <is>
          <t>Network/Web Proxy</t>
        </is>
      </c>
      <c r="Q1550" s="188" t="inlineStr">
        <is>
          <t>P3</t>
        </is>
      </c>
      <c r="R1550" s="188" t="inlineStr">
        <is>
          <t>🚫 Block URLs in web proxy/firewall | 📧 Update email security filters | 👥 User awareness training recommended</t>
        </is>
      </c>
      <c r="S1550" s="188" t="inlineStr">
        <is>
          <t>URL IOC - check host IP separately</t>
        </is>
      </c>
      <c r="T1550" s="188" t="n">
        <v>0</v>
      </c>
      <c r="U1550" s="188" t="n">
        <v>0</v>
      </c>
      <c r="V1550" s="188" t="inlineStr">
        <is>
          <t>T1189:Drive-by Compromise | T1566:Phishing</t>
        </is>
      </c>
      <c r="W1550" s="188" t="n">
        <v>1</v>
      </c>
      <c r="X1550" s="188" t="inlineStr">
        <is>
          <t>LOW (40%)</t>
        </is>
      </c>
      <c r="Y1550" s="188" t="inlineStr">
        <is>
          <t>YES</t>
        </is>
      </c>
      <c r="Z1550" s="188" t="inlineStr">
        <is>
          <t>Block URL</t>
        </is>
      </c>
      <c r="AA1550" s="188" t="inlineStr">
        <is>
          <t>https://urlhaus.abuse.ch/url/3785698/</t>
        </is>
      </c>
      <c r="AB1550" s="188" t="inlineStr">
        <is>
          <t>NONE</t>
        </is>
      </c>
      <c r="AC1550" s="188" t="n">
        <v>0</v>
      </c>
      <c r="AD1550" s="188" t="inlineStr"/>
    </row>
    <row r="1551">
      <c r="A1551" s="188" t="inlineStr">
        <is>
          <t>MAL_URL</t>
        </is>
      </c>
      <c r="B1551" s="188" t="inlineStr">
        <is>
          <t>3785690</t>
        </is>
      </c>
      <c r="C1551" s="188" t="inlineStr">
        <is>
          <t>Malware Host [online]: http://118.107.41.238:808/linux_mips_softfloat | Threat: malware_download | Tags: Kaiji,mirai,opendir</t>
        </is>
      </c>
      <c r="D1551" s="188" t="n">
        <v>7.5</v>
      </c>
      <c r="E1551" s="188" t="inlineStr">
        <is>
          <t>HIGH</t>
        </is>
      </c>
      <c r="F1551" s="188" t="n">
        <v>3</v>
      </c>
      <c r="G1551" s="188" t="n">
        <v>2</v>
      </c>
      <c r="H1551" s="188" t="inlineStr">
        <is>
          <t>HIGH</t>
        </is>
      </c>
      <c r="I1551" s="188" t="n">
        <v>13.5</v>
      </c>
      <c r="J1551" s="188" t="inlineStr">
        <is>
          <t>NO</t>
        </is>
      </c>
      <c r="K1551" s="188" t="inlineStr">
        <is>
          <t>https://urlhaus.abuse.ch/url/3785690/</t>
        </is>
      </c>
      <c r="L1551" s="188" t="inlineStr">
        <is>
          <t>2026-02-25 20:24:02</t>
        </is>
      </c>
      <c r="M1551" s="188" t="inlineStr">
        <is>
          <t>Block URL</t>
        </is>
      </c>
      <c r="N1551" s="188" t="inlineStr">
        <is>
          <t>https://urlhaus.abuse.ch/url/3785690/</t>
        </is>
      </c>
      <c r="O1551" s="188" t="inlineStr">
        <is>
          <t>Block URL in proxy/firewall: http://118.107.41.238:808/linux_mips_softfloat</t>
        </is>
      </c>
      <c r="P1551" s="188" t="inlineStr">
        <is>
          <t>Network/Web Proxy</t>
        </is>
      </c>
      <c r="Q1551" s="188" t="inlineStr">
        <is>
          <t>P3</t>
        </is>
      </c>
      <c r="R1551" s="188" t="inlineStr">
        <is>
          <t>🚫 Block URLs in web proxy/firewall | 📧 Update email security filters | 👥 User awareness training recommended</t>
        </is>
      </c>
      <c r="S1551" s="188" t="inlineStr">
        <is>
          <t>URL IOC - check host IP separately</t>
        </is>
      </c>
      <c r="T1551" s="188" t="n">
        <v>0</v>
      </c>
      <c r="U1551" s="188" t="n">
        <v>0</v>
      </c>
      <c r="V1551" s="188" t="inlineStr">
        <is>
          <t>T1189:Drive-by Compromise | T1566:Phishing</t>
        </is>
      </c>
      <c r="W1551" s="188" t="n">
        <v>1</v>
      </c>
      <c r="X1551" s="188" t="inlineStr">
        <is>
          <t>LOW (40%)</t>
        </is>
      </c>
      <c r="Y1551" s="188" t="inlineStr">
        <is>
          <t>YES</t>
        </is>
      </c>
      <c r="Z1551" s="188" t="inlineStr">
        <is>
          <t>Block URL</t>
        </is>
      </c>
      <c r="AA1551" s="188" t="inlineStr">
        <is>
          <t>https://urlhaus.abuse.ch/url/3785690/</t>
        </is>
      </c>
      <c r="AB1551" s="188" t="inlineStr">
        <is>
          <t>NONE</t>
        </is>
      </c>
      <c r="AC1551" s="188" t="n">
        <v>0</v>
      </c>
      <c r="AD1551" s="188" t="inlineStr"/>
    </row>
    <row r="1552">
      <c r="A1552" s="188" t="inlineStr">
        <is>
          <t>MAL_URL</t>
        </is>
      </c>
      <c r="B1552" s="188" t="inlineStr">
        <is>
          <t>3785691</t>
        </is>
      </c>
      <c r="C1552" s="188" t="inlineStr">
        <is>
          <t>Malware Host [online]: http://118.107.41.238:808/linux_mips64el | Threat: malware_download | Tags: Kaiji,mirai,opendir</t>
        </is>
      </c>
      <c r="D1552" s="188" t="n">
        <v>7.5</v>
      </c>
      <c r="E1552" s="188" t="inlineStr">
        <is>
          <t>HIGH</t>
        </is>
      </c>
      <c r="F1552" s="188" t="n">
        <v>3</v>
      </c>
      <c r="G1552" s="188" t="n">
        <v>2</v>
      </c>
      <c r="H1552" s="188" t="inlineStr">
        <is>
          <t>HIGH</t>
        </is>
      </c>
      <c r="I1552" s="188" t="n">
        <v>13.5</v>
      </c>
      <c r="J1552" s="188" t="inlineStr">
        <is>
          <t>NO</t>
        </is>
      </c>
      <c r="K1552" s="188" t="inlineStr">
        <is>
          <t>https://urlhaus.abuse.ch/url/3785691/</t>
        </is>
      </c>
      <c r="L1552" s="188" t="inlineStr">
        <is>
          <t>2026-02-25 20:24:02</t>
        </is>
      </c>
      <c r="M1552" s="188" t="inlineStr">
        <is>
          <t>Block URL</t>
        </is>
      </c>
      <c r="N1552" s="188" t="inlineStr">
        <is>
          <t>https://urlhaus.abuse.ch/url/3785691/</t>
        </is>
      </c>
      <c r="O1552" s="188" t="inlineStr">
        <is>
          <t>Block URL in proxy/firewall: http://118.107.41.238:808/linux_mips64el</t>
        </is>
      </c>
      <c r="P1552" s="188" t="inlineStr">
        <is>
          <t>Network/Web Proxy</t>
        </is>
      </c>
      <c r="Q1552" s="188" t="inlineStr">
        <is>
          <t>P3</t>
        </is>
      </c>
      <c r="R1552" s="188" t="inlineStr">
        <is>
          <t>🚫 Block URLs in web proxy/firewall | 📧 Update email security filters | 👥 User awareness training recommended</t>
        </is>
      </c>
      <c r="S1552" s="188" t="inlineStr">
        <is>
          <t>URL IOC - check host IP separately</t>
        </is>
      </c>
      <c r="T1552" s="188" t="n">
        <v>0</v>
      </c>
      <c r="U1552" s="188" t="n">
        <v>0</v>
      </c>
      <c r="V1552" s="188" t="inlineStr">
        <is>
          <t>T1189:Drive-by Compromise | T1566:Phishing</t>
        </is>
      </c>
      <c r="W1552" s="188" t="n">
        <v>1</v>
      </c>
      <c r="X1552" s="188" t="inlineStr">
        <is>
          <t>LOW (40%)</t>
        </is>
      </c>
      <c r="Y1552" s="188" t="inlineStr">
        <is>
          <t>YES</t>
        </is>
      </c>
      <c r="Z1552" s="188" t="inlineStr">
        <is>
          <t>Block URL</t>
        </is>
      </c>
      <c r="AA1552" s="188" t="inlineStr">
        <is>
          <t>https://urlhaus.abuse.ch/url/3785691/</t>
        </is>
      </c>
      <c r="AB1552" s="188" t="inlineStr">
        <is>
          <t>NONE</t>
        </is>
      </c>
      <c r="AC1552" s="188" t="n">
        <v>0</v>
      </c>
      <c r="AD1552" s="188" t="inlineStr"/>
    </row>
    <row r="1553">
      <c r="A1553" s="188" t="inlineStr">
        <is>
          <t>MAL_URL</t>
        </is>
      </c>
      <c r="B1553" s="188" t="inlineStr">
        <is>
          <t>3785692</t>
        </is>
      </c>
      <c r="C1553" s="188" t="inlineStr">
        <is>
          <t>Malware Host [online]: http://118.107.41.238:808/linux_mips64_softfloat | Threat: malware_download | Tags: Kaiji,mirai,opendir</t>
        </is>
      </c>
      <c r="D1553" s="188" t="n">
        <v>7.5</v>
      </c>
      <c r="E1553" s="188" t="inlineStr">
        <is>
          <t>HIGH</t>
        </is>
      </c>
      <c r="F1553" s="188" t="n">
        <v>3</v>
      </c>
      <c r="G1553" s="188" t="n">
        <v>2</v>
      </c>
      <c r="H1553" s="188" t="inlineStr">
        <is>
          <t>HIGH</t>
        </is>
      </c>
      <c r="I1553" s="188" t="n">
        <v>13.5</v>
      </c>
      <c r="J1553" s="188" t="inlineStr">
        <is>
          <t>NO</t>
        </is>
      </c>
      <c r="K1553" s="188" t="inlineStr">
        <is>
          <t>https://urlhaus.abuse.ch/url/3785692/</t>
        </is>
      </c>
      <c r="L1553" s="188" t="inlineStr">
        <is>
          <t>2026-02-25 20:24:02</t>
        </is>
      </c>
      <c r="M1553" s="188" t="inlineStr">
        <is>
          <t>Block URL</t>
        </is>
      </c>
      <c r="N1553" s="188" t="inlineStr">
        <is>
          <t>https://urlhaus.abuse.ch/url/3785692/</t>
        </is>
      </c>
      <c r="O1553" s="188" t="inlineStr">
        <is>
          <t>Block URL in proxy/firewall: http://118.107.41.238:808/linux_mips64_softfloat</t>
        </is>
      </c>
      <c r="P1553" s="188" t="inlineStr">
        <is>
          <t>Network/Web Proxy</t>
        </is>
      </c>
      <c r="Q1553" s="188" t="inlineStr">
        <is>
          <t>P3</t>
        </is>
      </c>
      <c r="R1553" s="188" t="inlineStr">
        <is>
          <t>🚫 Block URLs in web proxy/firewall | 📧 Update email security filters | 👥 User awareness training recommended</t>
        </is>
      </c>
      <c r="S1553" s="188" t="inlineStr">
        <is>
          <t>URL IOC - check host IP separately</t>
        </is>
      </c>
      <c r="T1553" s="188" t="n">
        <v>0</v>
      </c>
      <c r="U1553" s="188" t="n">
        <v>0</v>
      </c>
      <c r="V1553" s="188" t="inlineStr">
        <is>
          <t>T1189:Drive-by Compromise | T1566:Phishing</t>
        </is>
      </c>
      <c r="W1553" s="188" t="n">
        <v>1</v>
      </c>
      <c r="X1553" s="188" t="inlineStr">
        <is>
          <t>LOW (40%)</t>
        </is>
      </c>
      <c r="Y1553" s="188" t="inlineStr">
        <is>
          <t>YES</t>
        </is>
      </c>
      <c r="Z1553" s="188" t="inlineStr">
        <is>
          <t>Block URL</t>
        </is>
      </c>
      <c r="AA1553" s="188" t="inlineStr">
        <is>
          <t>https://urlhaus.abuse.ch/url/3785692/</t>
        </is>
      </c>
      <c r="AB1553" s="188" t="inlineStr">
        <is>
          <t>NONE</t>
        </is>
      </c>
      <c r="AC1553" s="188" t="n">
        <v>0</v>
      </c>
      <c r="AD1553" s="188" t="inlineStr"/>
    </row>
    <row r="1554">
      <c r="A1554" s="188" t="inlineStr">
        <is>
          <t>MAL_URL</t>
        </is>
      </c>
      <c r="B1554" s="188" t="inlineStr">
        <is>
          <t>3785693</t>
        </is>
      </c>
      <c r="C1554" s="188" t="inlineStr">
        <is>
          <t>Malware Host [online]: http://118.107.41.238:808/linux_arm5 | Threat: malware_download | Tags: Kaiji,mirai,opendir</t>
        </is>
      </c>
      <c r="D1554" s="188" t="n">
        <v>7.5</v>
      </c>
      <c r="E1554" s="188" t="inlineStr">
        <is>
          <t>HIGH</t>
        </is>
      </c>
      <c r="F1554" s="188" t="n">
        <v>3</v>
      </c>
      <c r="G1554" s="188" t="n">
        <v>2</v>
      </c>
      <c r="H1554" s="188" t="inlineStr">
        <is>
          <t>HIGH</t>
        </is>
      </c>
      <c r="I1554" s="188" t="n">
        <v>13.5</v>
      </c>
      <c r="J1554" s="188" t="inlineStr">
        <is>
          <t>NO</t>
        </is>
      </c>
      <c r="K1554" s="188" t="inlineStr">
        <is>
          <t>https://urlhaus.abuse.ch/url/3785693/</t>
        </is>
      </c>
      <c r="L1554" s="188" t="inlineStr">
        <is>
          <t>2026-02-25 20:24:02</t>
        </is>
      </c>
      <c r="M1554" s="188" t="inlineStr">
        <is>
          <t>Block URL</t>
        </is>
      </c>
      <c r="N1554" s="188" t="inlineStr">
        <is>
          <t>https://urlhaus.abuse.ch/url/3785693/</t>
        </is>
      </c>
      <c r="O1554" s="188" t="inlineStr">
        <is>
          <t>Block URL in proxy/firewall: http://118.107.41.238:808/linux_arm5</t>
        </is>
      </c>
      <c r="P1554" s="188" t="inlineStr">
        <is>
          <t>Network/Web Proxy</t>
        </is>
      </c>
      <c r="Q1554" s="188" t="inlineStr">
        <is>
          <t>P3</t>
        </is>
      </c>
      <c r="R1554" s="188" t="inlineStr">
        <is>
          <t>🚫 Block URLs in web proxy/firewall | 📧 Update email security filters | 👥 User awareness training recommended</t>
        </is>
      </c>
      <c r="S1554" s="188" t="inlineStr">
        <is>
          <t>URL IOC - check host IP separately</t>
        </is>
      </c>
      <c r="T1554" s="188" t="n">
        <v>0</v>
      </c>
      <c r="U1554" s="188" t="n">
        <v>0</v>
      </c>
      <c r="V1554" s="188" t="inlineStr">
        <is>
          <t>T1189:Drive-by Compromise | T1566:Phishing</t>
        </is>
      </c>
      <c r="W1554" s="188" t="n">
        <v>1</v>
      </c>
      <c r="X1554" s="188" t="inlineStr">
        <is>
          <t>LOW (40%)</t>
        </is>
      </c>
      <c r="Y1554" s="188" t="inlineStr">
        <is>
          <t>YES</t>
        </is>
      </c>
      <c r="Z1554" s="188" t="inlineStr">
        <is>
          <t>Block URL</t>
        </is>
      </c>
      <c r="AA1554" s="188" t="inlineStr">
        <is>
          <t>https://urlhaus.abuse.ch/url/3785693/</t>
        </is>
      </c>
      <c r="AB1554" s="188" t="inlineStr">
        <is>
          <t>NONE</t>
        </is>
      </c>
      <c r="AC1554" s="188" t="n">
        <v>0</v>
      </c>
      <c r="AD1554" s="188" t="inlineStr"/>
    </row>
    <row r="1555">
      <c r="A1555" s="188" t="inlineStr">
        <is>
          <t>MAL_URL</t>
        </is>
      </c>
      <c r="B1555" s="188" t="inlineStr">
        <is>
          <t>3785694</t>
        </is>
      </c>
      <c r="C1555" s="188" t="inlineStr">
        <is>
          <t>Malware Host [online]: http://118.107.41.238:808/linux_ppc64 | Threat: malware_download | Tags: Kaiji,mirai,opendir</t>
        </is>
      </c>
      <c r="D1555" s="188" t="n">
        <v>7.5</v>
      </c>
      <c r="E1555" s="188" t="inlineStr">
        <is>
          <t>HIGH</t>
        </is>
      </c>
      <c r="F1555" s="188" t="n">
        <v>3</v>
      </c>
      <c r="G1555" s="188" t="n">
        <v>2</v>
      </c>
      <c r="H1555" s="188" t="inlineStr">
        <is>
          <t>HIGH</t>
        </is>
      </c>
      <c r="I1555" s="188" t="n">
        <v>13.5</v>
      </c>
      <c r="J1555" s="188" t="inlineStr">
        <is>
          <t>NO</t>
        </is>
      </c>
      <c r="K1555" s="188" t="inlineStr">
        <is>
          <t>https://urlhaus.abuse.ch/url/3785694/</t>
        </is>
      </c>
      <c r="L1555" s="188" t="inlineStr">
        <is>
          <t>2026-02-25 20:24:02</t>
        </is>
      </c>
      <c r="M1555" s="188" t="inlineStr">
        <is>
          <t>Block URL</t>
        </is>
      </c>
      <c r="N1555" s="188" t="inlineStr">
        <is>
          <t>https://urlhaus.abuse.ch/url/3785694/</t>
        </is>
      </c>
      <c r="O1555" s="188" t="inlineStr">
        <is>
          <t>Block URL in proxy/firewall: http://118.107.41.238:808/linux_ppc64</t>
        </is>
      </c>
      <c r="P1555" s="188" t="inlineStr">
        <is>
          <t>Network/Web Proxy</t>
        </is>
      </c>
      <c r="Q1555" s="188" t="inlineStr">
        <is>
          <t>P3</t>
        </is>
      </c>
      <c r="R1555" s="188" t="inlineStr">
        <is>
          <t>🚫 Block URLs in web proxy/firewall | 📧 Update email security filters | 👥 User awareness training recommended</t>
        </is>
      </c>
      <c r="S1555" s="188" t="inlineStr">
        <is>
          <t>URL IOC - check host IP separately</t>
        </is>
      </c>
      <c r="T1555" s="188" t="n">
        <v>0</v>
      </c>
      <c r="U1555" s="188" t="n">
        <v>0</v>
      </c>
      <c r="V1555" s="188" t="inlineStr">
        <is>
          <t>T1189:Drive-by Compromise | T1566:Phishing</t>
        </is>
      </c>
      <c r="W1555" s="188" t="n">
        <v>1</v>
      </c>
      <c r="X1555" s="188" t="inlineStr">
        <is>
          <t>LOW (40%)</t>
        </is>
      </c>
      <c r="Y1555" s="188" t="inlineStr">
        <is>
          <t>YES</t>
        </is>
      </c>
      <c r="Z1555" s="188" t="inlineStr">
        <is>
          <t>Block URL</t>
        </is>
      </c>
      <c r="AA1555" s="188" t="inlineStr">
        <is>
          <t>https://urlhaus.abuse.ch/url/3785694/</t>
        </is>
      </c>
      <c r="AB1555" s="188" t="inlineStr">
        <is>
          <t>NONE</t>
        </is>
      </c>
      <c r="AC1555" s="188" t="n">
        <v>0</v>
      </c>
      <c r="AD1555" s="188" t="inlineStr"/>
    </row>
    <row r="1556">
      <c r="A1556" s="188" t="inlineStr">
        <is>
          <t>MAL_URL</t>
        </is>
      </c>
      <c r="B1556" s="188" t="inlineStr">
        <is>
          <t>3785695</t>
        </is>
      </c>
      <c r="C1556" s="188" t="inlineStr">
        <is>
          <t>Malware Host [online]: http://118.107.41.238:808/linux_arm64 | Threat: malware_download | Tags: Kaiji,mirai,opendir</t>
        </is>
      </c>
      <c r="D1556" s="188" t="n">
        <v>7.5</v>
      </c>
      <c r="E1556" s="188" t="inlineStr">
        <is>
          <t>HIGH</t>
        </is>
      </c>
      <c r="F1556" s="188" t="n">
        <v>3</v>
      </c>
      <c r="G1556" s="188" t="n">
        <v>2</v>
      </c>
      <c r="H1556" s="188" t="inlineStr">
        <is>
          <t>HIGH</t>
        </is>
      </c>
      <c r="I1556" s="188" t="n">
        <v>13.5</v>
      </c>
      <c r="J1556" s="188" t="inlineStr">
        <is>
          <t>NO</t>
        </is>
      </c>
      <c r="K1556" s="188" t="inlineStr">
        <is>
          <t>https://urlhaus.abuse.ch/url/3785695/</t>
        </is>
      </c>
      <c r="L1556" s="188" t="inlineStr">
        <is>
          <t>2026-02-25 20:24:02</t>
        </is>
      </c>
      <c r="M1556" s="188" t="inlineStr">
        <is>
          <t>Block URL</t>
        </is>
      </c>
      <c r="N1556" s="188" t="inlineStr">
        <is>
          <t>https://urlhaus.abuse.ch/url/3785695/</t>
        </is>
      </c>
      <c r="O1556" s="188" t="inlineStr">
        <is>
          <t>Block URL in proxy/firewall: http://118.107.41.238:808/linux_arm64</t>
        </is>
      </c>
      <c r="P1556" s="188" t="inlineStr">
        <is>
          <t>Network/Web Proxy</t>
        </is>
      </c>
      <c r="Q1556" s="188" t="inlineStr">
        <is>
          <t>P3</t>
        </is>
      </c>
      <c r="R1556" s="188" t="inlineStr">
        <is>
          <t>🚫 Block URLs in web proxy/firewall | 📧 Update email security filters | 👥 User awareness training recommended</t>
        </is>
      </c>
      <c r="S1556" s="188" t="inlineStr">
        <is>
          <t>URL IOC - check host IP separately</t>
        </is>
      </c>
      <c r="T1556" s="188" t="n">
        <v>0</v>
      </c>
      <c r="U1556" s="188" t="n">
        <v>0</v>
      </c>
      <c r="V1556" s="188" t="inlineStr">
        <is>
          <t>T1189:Drive-by Compromise | T1566:Phishing</t>
        </is>
      </c>
      <c r="W1556" s="188" t="n">
        <v>1</v>
      </c>
      <c r="X1556" s="188" t="inlineStr">
        <is>
          <t>LOW (40%)</t>
        </is>
      </c>
      <c r="Y1556" s="188" t="inlineStr">
        <is>
          <t>YES</t>
        </is>
      </c>
      <c r="Z1556" s="188" t="inlineStr">
        <is>
          <t>Block URL</t>
        </is>
      </c>
      <c r="AA1556" s="188" t="inlineStr">
        <is>
          <t>https://urlhaus.abuse.ch/url/3785695/</t>
        </is>
      </c>
      <c r="AB1556" s="188" t="inlineStr">
        <is>
          <t>NONE</t>
        </is>
      </c>
      <c r="AC1556" s="188" t="n">
        <v>0</v>
      </c>
      <c r="AD1556" s="188" t="inlineStr"/>
    </row>
    <row r="1557">
      <c r="A1557" s="188" t="inlineStr">
        <is>
          <t>MAL_URL</t>
        </is>
      </c>
      <c r="B1557" s="188" t="inlineStr">
        <is>
          <t>3785696</t>
        </is>
      </c>
      <c r="C1557" s="188" t="inlineStr">
        <is>
          <t>Malware Host [online]: http://118.107.41.238:808/linux_mips | Threat: malware_download | Tags: Kaiji,mirai,opendir</t>
        </is>
      </c>
      <c r="D1557" s="188" t="n">
        <v>7.5</v>
      </c>
      <c r="E1557" s="188" t="inlineStr">
        <is>
          <t>HIGH</t>
        </is>
      </c>
      <c r="F1557" s="188" t="n">
        <v>3</v>
      </c>
      <c r="G1557" s="188" t="n">
        <v>2</v>
      </c>
      <c r="H1557" s="188" t="inlineStr">
        <is>
          <t>HIGH</t>
        </is>
      </c>
      <c r="I1557" s="188" t="n">
        <v>13.5</v>
      </c>
      <c r="J1557" s="188" t="inlineStr">
        <is>
          <t>NO</t>
        </is>
      </c>
      <c r="K1557" s="188" t="inlineStr">
        <is>
          <t>https://urlhaus.abuse.ch/url/3785696/</t>
        </is>
      </c>
      <c r="L1557" s="188" t="inlineStr">
        <is>
          <t>2026-02-25 20:24:02</t>
        </is>
      </c>
      <c r="M1557" s="188" t="inlineStr">
        <is>
          <t>Block URL</t>
        </is>
      </c>
      <c r="N1557" s="188" t="inlineStr">
        <is>
          <t>https://urlhaus.abuse.ch/url/3785696/</t>
        </is>
      </c>
      <c r="O1557" s="188" t="inlineStr">
        <is>
          <t>Block URL in proxy/firewall: http://118.107.41.238:808/linux_mips</t>
        </is>
      </c>
      <c r="P1557" s="188" t="inlineStr">
        <is>
          <t>Network/Web Proxy</t>
        </is>
      </c>
      <c r="Q1557" s="188" t="inlineStr">
        <is>
          <t>P3</t>
        </is>
      </c>
      <c r="R1557" s="188" t="inlineStr">
        <is>
          <t>🚫 Block URLs in web proxy/firewall | 📧 Update email security filters | 👥 User awareness training recommended</t>
        </is>
      </c>
      <c r="S1557" s="188" t="inlineStr">
        <is>
          <t>URL IOC - check host IP separately</t>
        </is>
      </c>
      <c r="T1557" s="188" t="n">
        <v>0</v>
      </c>
      <c r="U1557" s="188" t="n">
        <v>0</v>
      </c>
      <c r="V1557" s="188" t="inlineStr">
        <is>
          <t>T1189:Drive-by Compromise | T1566:Phishing</t>
        </is>
      </c>
      <c r="W1557" s="188" t="n">
        <v>1</v>
      </c>
      <c r="X1557" s="188" t="inlineStr">
        <is>
          <t>LOW (40%)</t>
        </is>
      </c>
      <c r="Y1557" s="188" t="inlineStr">
        <is>
          <t>YES</t>
        </is>
      </c>
      <c r="Z1557" s="188" t="inlineStr">
        <is>
          <t>Block URL</t>
        </is>
      </c>
      <c r="AA1557" s="188" t="inlineStr">
        <is>
          <t>https://urlhaus.abuse.ch/url/3785696/</t>
        </is>
      </c>
      <c r="AB1557" s="188" t="inlineStr">
        <is>
          <t>NONE</t>
        </is>
      </c>
      <c r="AC1557" s="188" t="n">
        <v>0</v>
      </c>
      <c r="AD1557" s="188" t="inlineStr"/>
    </row>
    <row r="1558">
      <c r="A1558" s="188" t="inlineStr">
        <is>
          <t>MAL_URL</t>
        </is>
      </c>
      <c r="B1558" s="188" t="inlineStr">
        <is>
          <t>3785697</t>
        </is>
      </c>
      <c r="C1558" s="188" t="inlineStr">
        <is>
          <t>Malware Host [online]: http://118.107.41.238:808/linux_arm6 | Threat: malware_download | Tags: Kaiji,mirai,opendir</t>
        </is>
      </c>
      <c r="D1558" s="188" t="n">
        <v>7.5</v>
      </c>
      <c r="E1558" s="188" t="inlineStr">
        <is>
          <t>HIGH</t>
        </is>
      </c>
      <c r="F1558" s="188" t="n">
        <v>3</v>
      </c>
      <c r="G1558" s="188" t="n">
        <v>2</v>
      </c>
      <c r="H1558" s="188" t="inlineStr">
        <is>
          <t>HIGH</t>
        </is>
      </c>
      <c r="I1558" s="188" t="n">
        <v>13.5</v>
      </c>
      <c r="J1558" s="188" t="inlineStr">
        <is>
          <t>NO</t>
        </is>
      </c>
      <c r="K1558" s="188" t="inlineStr">
        <is>
          <t>https://urlhaus.abuse.ch/url/3785697/</t>
        </is>
      </c>
      <c r="L1558" s="188" t="inlineStr">
        <is>
          <t>2026-02-25 20:24:02</t>
        </is>
      </c>
      <c r="M1558" s="188" t="inlineStr">
        <is>
          <t>Block URL</t>
        </is>
      </c>
      <c r="N1558" s="188" t="inlineStr">
        <is>
          <t>https://urlhaus.abuse.ch/url/3785697/</t>
        </is>
      </c>
      <c r="O1558" s="188" t="inlineStr">
        <is>
          <t>Block URL in proxy/firewall: http://118.107.41.238:808/linux_arm6</t>
        </is>
      </c>
      <c r="P1558" s="188" t="inlineStr">
        <is>
          <t>Network/Web Proxy</t>
        </is>
      </c>
      <c r="Q1558" s="188" t="inlineStr">
        <is>
          <t>P3</t>
        </is>
      </c>
      <c r="R1558" s="188" t="inlineStr">
        <is>
          <t>🚫 Block URLs in web proxy/firewall | 📧 Update email security filters | 👥 User awareness training recommended</t>
        </is>
      </c>
      <c r="S1558" s="188" t="inlineStr">
        <is>
          <t>URL IOC - check host IP separately</t>
        </is>
      </c>
      <c r="T1558" s="188" t="n">
        <v>0</v>
      </c>
      <c r="U1558" s="188" t="n">
        <v>0</v>
      </c>
      <c r="V1558" s="188" t="inlineStr">
        <is>
          <t>T1189:Drive-by Compromise | T1566:Phishing</t>
        </is>
      </c>
      <c r="W1558" s="188" t="n">
        <v>1</v>
      </c>
      <c r="X1558" s="188" t="inlineStr">
        <is>
          <t>LOW (40%)</t>
        </is>
      </c>
      <c r="Y1558" s="188" t="inlineStr">
        <is>
          <t>YES</t>
        </is>
      </c>
      <c r="Z1558" s="188" t="inlineStr">
        <is>
          <t>Block URL</t>
        </is>
      </c>
      <c r="AA1558" s="188" t="inlineStr">
        <is>
          <t>https://urlhaus.abuse.ch/url/3785697/</t>
        </is>
      </c>
      <c r="AB1558" s="188" t="inlineStr">
        <is>
          <t>NONE</t>
        </is>
      </c>
      <c r="AC1558" s="188" t="n">
        <v>0</v>
      </c>
      <c r="AD1558" s="188" t="inlineStr"/>
    </row>
    <row r="1559">
      <c r="A1559" s="188" t="inlineStr">
        <is>
          <t>MAL_URL</t>
        </is>
      </c>
      <c r="B1559" s="188" t="inlineStr">
        <is>
          <t>3785689</t>
        </is>
      </c>
      <c r="C1559" s="188" t="inlineStr">
        <is>
          <t>Malware Host [online]: http://118.107.41.238:808/linux_arm7 | Threat: malware_download | Tags: Kaiji,mirai,opendir</t>
        </is>
      </c>
      <c r="D1559" s="188" t="n">
        <v>7.5</v>
      </c>
      <c r="E1559" s="188" t="inlineStr">
        <is>
          <t>HIGH</t>
        </is>
      </c>
      <c r="F1559" s="188" t="n">
        <v>3</v>
      </c>
      <c r="G1559" s="188" t="n">
        <v>2</v>
      </c>
      <c r="H1559" s="188" t="inlineStr">
        <is>
          <t>HIGH</t>
        </is>
      </c>
      <c r="I1559" s="188" t="n">
        <v>13.5</v>
      </c>
      <c r="J1559" s="188" t="inlineStr">
        <is>
          <t>NO</t>
        </is>
      </c>
      <c r="K1559" s="188" t="inlineStr">
        <is>
          <t>https://urlhaus.abuse.ch/url/3785689/</t>
        </is>
      </c>
      <c r="L1559" s="188" t="inlineStr">
        <is>
          <t>2026-02-25 20:24:01</t>
        </is>
      </c>
      <c r="M1559" s="188" t="inlineStr">
        <is>
          <t>Block URL</t>
        </is>
      </c>
      <c r="N1559" s="188" t="inlineStr">
        <is>
          <t>https://urlhaus.abuse.ch/url/3785689/</t>
        </is>
      </c>
      <c r="O1559" s="188" t="inlineStr">
        <is>
          <t>Block URL in proxy/firewall: http://118.107.41.238:808/linux_arm7</t>
        </is>
      </c>
      <c r="P1559" s="188" t="inlineStr">
        <is>
          <t>Network/Web Proxy</t>
        </is>
      </c>
      <c r="Q1559" s="188" t="inlineStr">
        <is>
          <t>P3</t>
        </is>
      </c>
      <c r="R1559" s="188" t="inlineStr">
        <is>
          <t>🚫 Block URLs in web proxy/firewall | 📧 Update email security filters | 👥 User awareness training recommended</t>
        </is>
      </c>
      <c r="S1559" s="188" t="inlineStr">
        <is>
          <t>URL IOC - check host IP separately</t>
        </is>
      </c>
      <c r="T1559" s="188" t="n">
        <v>0</v>
      </c>
      <c r="U1559" s="188" t="n">
        <v>0</v>
      </c>
      <c r="V1559" s="188" t="inlineStr">
        <is>
          <t>T1189:Drive-by Compromise | T1566:Phishing</t>
        </is>
      </c>
      <c r="W1559" s="188" t="n">
        <v>1</v>
      </c>
      <c r="X1559" s="188" t="inlineStr">
        <is>
          <t>LOW (40%)</t>
        </is>
      </c>
      <c r="Y1559" s="188" t="inlineStr">
        <is>
          <t>YES</t>
        </is>
      </c>
      <c r="Z1559" s="188" t="inlineStr">
        <is>
          <t>Block URL</t>
        </is>
      </c>
      <c r="AA1559" s="188" t="inlineStr">
        <is>
          <t>https://urlhaus.abuse.ch/url/3785689/</t>
        </is>
      </c>
      <c r="AB1559" s="188" t="inlineStr">
        <is>
          <t>NONE</t>
        </is>
      </c>
      <c r="AC1559" s="188" t="n">
        <v>0</v>
      </c>
      <c r="AD1559" s="188" t="inlineStr"/>
    </row>
    <row r="1560">
      <c r="A1560" s="188" t="inlineStr">
        <is>
          <t>MAL_URL</t>
        </is>
      </c>
      <c r="B1560" s="188" t="inlineStr">
        <is>
          <t>3785688</t>
        </is>
      </c>
      <c r="C1560" s="188" t="inlineStr">
        <is>
          <t>Malware Host [online]: http://118.107.41.238:808/linux_mips64 | Threat: malware_download | Tags: Kaiji,mirai,opendir</t>
        </is>
      </c>
      <c r="D1560" s="188" t="n">
        <v>7.5</v>
      </c>
      <c r="E1560" s="188" t="inlineStr">
        <is>
          <t>HIGH</t>
        </is>
      </c>
      <c r="F1560" s="188" t="n">
        <v>3</v>
      </c>
      <c r="G1560" s="188" t="n">
        <v>2</v>
      </c>
      <c r="H1560" s="188" t="inlineStr">
        <is>
          <t>HIGH</t>
        </is>
      </c>
      <c r="I1560" s="188" t="n">
        <v>13.5</v>
      </c>
      <c r="J1560" s="188" t="inlineStr">
        <is>
          <t>NO</t>
        </is>
      </c>
      <c r="K1560" s="188" t="inlineStr">
        <is>
          <t>https://urlhaus.abuse.ch/url/3785688/</t>
        </is>
      </c>
      <c r="L1560" s="188" t="inlineStr">
        <is>
          <t>2026-02-25 20:23:58</t>
        </is>
      </c>
      <c r="M1560" s="188" t="inlineStr">
        <is>
          <t>Block URL</t>
        </is>
      </c>
      <c r="N1560" s="188" t="inlineStr">
        <is>
          <t>https://urlhaus.abuse.ch/url/3785688/</t>
        </is>
      </c>
      <c r="O1560" s="188" t="inlineStr">
        <is>
          <t>Block URL in proxy/firewall: http://118.107.41.238:808/linux_mips64</t>
        </is>
      </c>
      <c r="P1560" s="188" t="inlineStr">
        <is>
          <t>Network/Web Proxy</t>
        </is>
      </c>
      <c r="Q1560" s="188" t="inlineStr">
        <is>
          <t>P3</t>
        </is>
      </c>
      <c r="R1560" s="188" t="inlineStr">
        <is>
          <t>🚫 Block URLs in web proxy/firewall | 📧 Update email security filters | 👥 User awareness training recommended</t>
        </is>
      </c>
      <c r="S1560" s="188" t="inlineStr">
        <is>
          <t>URL IOC - check host IP separately</t>
        </is>
      </c>
      <c r="T1560" s="188" t="n">
        <v>0</v>
      </c>
      <c r="U1560" s="188" t="n">
        <v>0</v>
      </c>
      <c r="V1560" s="188" t="inlineStr">
        <is>
          <t>T1189:Drive-by Compromise | T1566:Phishing</t>
        </is>
      </c>
      <c r="W1560" s="188" t="n">
        <v>1</v>
      </c>
      <c r="X1560" s="188" t="inlineStr">
        <is>
          <t>LOW (40%)</t>
        </is>
      </c>
      <c r="Y1560" s="188" t="inlineStr">
        <is>
          <t>YES</t>
        </is>
      </c>
      <c r="Z1560" s="188" t="inlineStr">
        <is>
          <t>Block URL</t>
        </is>
      </c>
      <c r="AA1560" s="188" t="inlineStr">
        <is>
          <t>https://urlhaus.abuse.ch/url/3785688/</t>
        </is>
      </c>
      <c r="AB1560" s="188" t="inlineStr">
        <is>
          <t>NONE</t>
        </is>
      </c>
      <c r="AC1560" s="188" t="n">
        <v>0</v>
      </c>
      <c r="AD1560" s="188" t="inlineStr"/>
    </row>
    <row r="1561">
      <c r="A1561" s="188" t="inlineStr">
        <is>
          <t>MAL_URL</t>
        </is>
      </c>
      <c r="B1561" s="188" t="inlineStr">
        <is>
          <t>3785687</t>
        </is>
      </c>
      <c r="C1561" s="188" t="inlineStr">
        <is>
          <t>Malware Host [online]: http://118.107.41.238:808/linux_amd64 | Threat: malware_download | Tags: Kaiji,mirai,opendir</t>
        </is>
      </c>
      <c r="D1561" s="188" t="n">
        <v>7.5</v>
      </c>
      <c r="E1561" s="188" t="inlineStr">
        <is>
          <t>HIGH</t>
        </is>
      </c>
      <c r="F1561" s="188" t="n">
        <v>3</v>
      </c>
      <c r="G1561" s="188" t="n">
        <v>2</v>
      </c>
      <c r="H1561" s="188" t="inlineStr">
        <is>
          <t>HIGH</t>
        </is>
      </c>
      <c r="I1561" s="188" t="n">
        <v>13.5</v>
      </c>
      <c r="J1561" s="188" t="inlineStr">
        <is>
          <t>NO</t>
        </is>
      </c>
      <c r="K1561" s="188" t="inlineStr">
        <is>
          <t>https://urlhaus.abuse.ch/url/3785687/</t>
        </is>
      </c>
      <c r="L1561" s="188" t="inlineStr">
        <is>
          <t>2026-02-25 20:23:57</t>
        </is>
      </c>
      <c r="M1561" s="188" t="inlineStr">
        <is>
          <t>Block URL</t>
        </is>
      </c>
      <c r="N1561" s="188" t="inlineStr">
        <is>
          <t>https://urlhaus.abuse.ch/url/3785687/</t>
        </is>
      </c>
      <c r="O1561" s="188" t="inlineStr">
        <is>
          <t>Block URL in proxy/firewall: http://118.107.41.238:808/linux_amd64</t>
        </is>
      </c>
      <c r="P1561" s="188" t="inlineStr">
        <is>
          <t>Network/Web Proxy</t>
        </is>
      </c>
      <c r="Q1561" s="188" t="inlineStr">
        <is>
          <t>P3</t>
        </is>
      </c>
      <c r="R1561" s="188" t="inlineStr">
        <is>
          <t>🚫 Block URLs in web proxy/firewall | 📧 Update email security filters | 👥 User awareness training recommended</t>
        </is>
      </c>
      <c r="S1561" s="188" t="inlineStr">
        <is>
          <t>URL IOC - check host IP separately</t>
        </is>
      </c>
      <c r="T1561" s="188" t="n">
        <v>0</v>
      </c>
      <c r="U1561" s="188" t="n">
        <v>0</v>
      </c>
      <c r="V1561" s="188" t="inlineStr">
        <is>
          <t>T1189:Drive-by Compromise | T1566:Phishing</t>
        </is>
      </c>
      <c r="W1561" s="188" t="n">
        <v>1</v>
      </c>
      <c r="X1561" s="188" t="inlineStr">
        <is>
          <t>LOW (40%)</t>
        </is>
      </c>
      <c r="Y1561" s="188" t="inlineStr">
        <is>
          <t>YES</t>
        </is>
      </c>
      <c r="Z1561" s="188" t="inlineStr">
        <is>
          <t>Block URL</t>
        </is>
      </c>
      <c r="AA1561" s="188" t="inlineStr">
        <is>
          <t>https://urlhaus.abuse.ch/url/3785687/</t>
        </is>
      </c>
      <c r="AB1561" s="188" t="inlineStr">
        <is>
          <t>NONE</t>
        </is>
      </c>
      <c r="AC1561" s="188" t="n">
        <v>0</v>
      </c>
      <c r="AD1561" s="188" t="inlineStr"/>
    </row>
    <row r="1562">
      <c r="A1562" s="187" t="inlineStr">
        <is>
          <t>PHISH</t>
        </is>
      </c>
      <c r="B1562" s="187" t="inlineStr"/>
      <c r="C1562" s="187" t="inlineStr">
        <is>
          <t>Phishing site targeting: www.roblox.com.ml | URL: https://www.roblox.com.ml/users/5374857739/profile</t>
        </is>
      </c>
      <c r="D1562" s="187" t="n">
        <v>6</v>
      </c>
      <c r="E1562" s="187" t="inlineStr">
        <is>
          <t>MEDIUM</t>
        </is>
      </c>
      <c r="F1562" s="187" t="n">
        <v>3</v>
      </c>
      <c r="G1562" s="187" t="n">
        <v>1</v>
      </c>
      <c r="H1562" s="187" t="inlineStr">
        <is>
          <t>MEDIUM</t>
        </is>
      </c>
      <c r="I1562" s="187" t="n">
        <v>9</v>
      </c>
      <c r="J1562" s="187" t="inlineStr">
        <is>
          <t>NO</t>
        </is>
      </c>
      <c r="K1562" s="187" t="inlineStr">
        <is>
          <t>https://www.roblox.com.ml/users/5374857739/profile</t>
        </is>
      </c>
      <c r="L1562" s="187" t="inlineStr">
        <is>
          <t>2026-02-25T22:13:13+00:00</t>
        </is>
      </c>
      <c r="M1562" s="187" t="inlineStr">
        <is>
          <t>Block URL</t>
        </is>
      </c>
      <c r="N1562" s="187" t="inlineStr">
        <is>
          <t>https://www.roblox.com.ml/users/5374857739/profile</t>
        </is>
      </c>
      <c r="O1562" s="187" t="inlineStr">
        <is>
          <t>Block phishing URL | Warn users about www.roblox.com.ml impersonation</t>
        </is>
      </c>
      <c r="P1562" s="187" t="inlineStr">
        <is>
          <t>Email users / www.roblox.com.ml</t>
        </is>
      </c>
      <c r="Q1562" s="187" t="inlineStr">
        <is>
          <t>P4</t>
        </is>
      </c>
      <c r="R1562" s="187" t="inlineStr">
        <is>
          <t>🚫 Block URLs in web proxy/firewall | 📧 Update email security filters | 👥 User awareness training recommended</t>
        </is>
      </c>
      <c r="S1562" s="187" t="inlineStr">
        <is>
          <t>Phishing URL</t>
        </is>
      </c>
      <c r="T1562" s="187" t="n">
        <v>0</v>
      </c>
      <c r="U1562" s="187" t="n">
        <v>0</v>
      </c>
      <c r="V1562" s="187" t="inlineStr">
        <is>
          <t>T1566:Phishing | T1566.002:Spearphishing Link</t>
        </is>
      </c>
      <c r="W1562" s="187" t="n">
        <v>1</v>
      </c>
      <c r="X1562" s="187" t="inlineStr">
        <is>
          <t>LOW (40%)</t>
        </is>
      </c>
      <c r="Y1562" s="187" t="inlineStr">
        <is>
          <t>NONE</t>
        </is>
      </c>
      <c r="Z1562" s="187" t="inlineStr">
        <is>
          <t>NONE</t>
        </is>
      </c>
      <c r="AA1562" s="187" t="inlineStr">
        <is>
          <t>https://www.roblox.com.ml/users/5374857739/profile</t>
        </is>
      </c>
      <c r="AB1562" s="187" t="inlineStr">
        <is>
          <t>NONE</t>
        </is>
      </c>
      <c r="AC1562" s="187" t="n">
        <v>0</v>
      </c>
      <c r="AD1562" s="187" t="inlineStr"/>
    </row>
    <row r="1563">
      <c r="A1563" s="187" t="inlineStr">
        <is>
          <t>PHISH</t>
        </is>
      </c>
      <c r="B1563" s="187" t="inlineStr"/>
      <c r="C1563" s="187" t="inlineStr">
        <is>
          <t>Phishing site targeting: chhayajat.github.io | URL: http://chhayajat.github.io/Netflix-Clone</t>
        </is>
      </c>
      <c r="D1563" s="187" t="n">
        <v>6</v>
      </c>
      <c r="E1563" s="187" t="inlineStr">
        <is>
          <t>MEDIUM</t>
        </is>
      </c>
      <c r="F1563" s="187" t="n">
        <v>3</v>
      </c>
      <c r="G1563" s="187" t="n">
        <v>1</v>
      </c>
      <c r="H1563" s="187" t="inlineStr">
        <is>
          <t>MEDIUM</t>
        </is>
      </c>
      <c r="I1563" s="187" t="n">
        <v>9</v>
      </c>
      <c r="J1563" s="187" t="inlineStr">
        <is>
          <t>NO</t>
        </is>
      </c>
      <c r="K1563" s="187" t="inlineStr">
        <is>
          <t>http://chhayajat.github.io/Netflix-Clone</t>
        </is>
      </c>
      <c r="L1563" s="187" t="inlineStr">
        <is>
          <t>2026-02-25T22:13:13+00:00</t>
        </is>
      </c>
      <c r="M1563" s="187" t="inlineStr">
        <is>
          <t>Block URL</t>
        </is>
      </c>
      <c r="N1563" s="187" t="inlineStr">
        <is>
          <t>http://chhayajat.github.io/Netflix-Clone</t>
        </is>
      </c>
      <c r="O1563" s="187" t="inlineStr">
        <is>
          <t>Block phishing URL | Warn users about chhayajat.github.io impersonation</t>
        </is>
      </c>
      <c r="P1563" s="187" t="inlineStr">
        <is>
          <t>Email users / chhayajat.github.io</t>
        </is>
      </c>
      <c r="Q1563" s="187" t="inlineStr">
        <is>
          <t>P4</t>
        </is>
      </c>
      <c r="R1563" s="187" t="inlineStr">
        <is>
          <t>🚫 Block URLs in web proxy/firewall | 📧 Update email security filters | 👥 User awareness training recommended</t>
        </is>
      </c>
      <c r="S1563" s="187" t="inlineStr">
        <is>
          <t>Phishing URL</t>
        </is>
      </c>
      <c r="T1563" s="187" t="n">
        <v>0</v>
      </c>
      <c r="U1563" s="187" t="n">
        <v>0</v>
      </c>
      <c r="V1563" s="187" t="inlineStr">
        <is>
          <t>T1566:Phishing | T1566.002:Spearphishing Link</t>
        </is>
      </c>
      <c r="W1563" s="187" t="n">
        <v>1</v>
      </c>
      <c r="X1563" s="187" t="inlineStr">
        <is>
          <t>LOW (40%)</t>
        </is>
      </c>
      <c r="Y1563" s="187" t="inlineStr">
        <is>
          <t>NONE</t>
        </is>
      </c>
      <c r="Z1563" s="187" t="inlineStr">
        <is>
          <t>NONE</t>
        </is>
      </c>
      <c r="AA1563" s="187" t="inlineStr">
        <is>
          <t>http://chhayajat.github.io/Netflix-Clone</t>
        </is>
      </c>
      <c r="AB1563" s="187" t="inlineStr">
        <is>
          <t>NONE</t>
        </is>
      </c>
      <c r="AC1563" s="187" t="n">
        <v>0</v>
      </c>
      <c r="AD1563" s="187" t="inlineStr"/>
    </row>
    <row r="1564">
      <c r="A1564" s="187" t="inlineStr">
        <is>
          <t>PHISH</t>
        </is>
      </c>
      <c r="B1564" s="187" t="inlineStr"/>
      <c r="C1564" s="187" t="inlineStr">
        <is>
          <t>Phishing site targeting: meetbatra.github.io | URL: http://meetbatra.github.io/netflix-clone</t>
        </is>
      </c>
      <c r="D1564" s="187" t="n">
        <v>6</v>
      </c>
      <c r="E1564" s="187" t="inlineStr">
        <is>
          <t>MEDIUM</t>
        </is>
      </c>
      <c r="F1564" s="187" t="n">
        <v>3</v>
      </c>
      <c r="G1564" s="187" t="n">
        <v>1</v>
      </c>
      <c r="H1564" s="187" t="inlineStr">
        <is>
          <t>MEDIUM</t>
        </is>
      </c>
      <c r="I1564" s="187" t="n">
        <v>9</v>
      </c>
      <c r="J1564" s="187" t="inlineStr">
        <is>
          <t>NO</t>
        </is>
      </c>
      <c r="K1564" s="187" t="inlineStr">
        <is>
          <t>http://meetbatra.github.io/netflix-clone</t>
        </is>
      </c>
      <c r="L1564" s="187" t="inlineStr">
        <is>
          <t>2026-02-25T22:13:13+00:00</t>
        </is>
      </c>
      <c r="M1564" s="187" t="inlineStr">
        <is>
          <t>Block URL</t>
        </is>
      </c>
      <c r="N1564" s="187" t="inlineStr">
        <is>
          <t>http://meetbatra.github.io/netflix-clone</t>
        </is>
      </c>
      <c r="O1564" s="187" t="inlineStr">
        <is>
          <t>Block phishing URL | Warn users about meetbatra.github.io impersonation</t>
        </is>
      </c>
      <c r="P1564" s="187" t="inlineStr">
        <is>
          <t>Email users / meetbatra.github.io</t>
        </is>
      </c>
      <c r="Q1564" s="187" t="inlineStr">
        <is>
          <t>P4</t>
        </is>
      </c>
      <c r="R1564" s="187" t="inlineStr">
        <is>
          <t>🚫 Block URLs in web proxy/firewall | 📧 Update email security filters | 👥 User awareness training recommended</t>
        </is>
      </c>
      <c r="S1564" s="187" t="inlineStr">
        <is>
          <t>Phishing URL</t>
        </is>
      </c>
      <c r="T1564" s="187" t="n">
        <v>0</v>
      </c>
      <c r="U1564" s="187" t="n">
        <v>0</v>
      </c>
      <c r="V1564" s="187" t="inlineStr">
        <is>
          <t>T1566:Phishing | T1566.002:Spearphishing Link</t>
        </is>
      </c>
      <c r="W1564" s="187" t="n">
        <v>1</v>
      </c>
      <c r="X1564" s="187" t="inlineStr">
        <is>
          <t>LOW (40%)</t>
        </is>
      </c>
      <c r="Y1564" s="187" t="inlineStr">
        <is>
          <t>NONE</t>
        </is>
      </c>
      <c r="Z1564" s="187" t="inlineStr">
        <is>
          <t>NONE</t>
        </is>
      </c>
      <c r="AA1564" s="187" t="inlineStr">
        <is>
          <t>http://meetbatra.github.io/netflix-clone</t>
        </is>
      </c>
      <c r="AB1564" s="187" t="inlineStr">
        <is>
          <t>NONE</t>
        </is>
      </c>
      <c r="AC1564" s="187" t="n">
        <v>0</v>
      </c>
      <c r="AD1564" s="187" t="inlineStr"/>
    </row>
    <row r="1565">
      <c r="A1565" s="187" t="inlineStr">
        <is>
          <t>PHISH</t>
        </is>
      </c>
      <c r="B1565" s="187" t="inlineStr"/>
      <c r="C1565" s="187" t="inlineStr">
        <is>
          <t>Phishing site targeting: ashutoshp-dev.github.io | URL: http://ashutoshp-dev.github.io/NetFlix-Home-UI-Clone</t>
        </is>
      </c>
      <c r="D1565" s="187" t="n">
        <v>6</v>
      </c>
      <c r="E1565" s="187" t="inlineStr">
        <is>
          <t>MEDIUM</t>
        </is>
      </c>
      <c r="F1565" s="187" t="n">
        <v>3</v>
      </c>
      <c r="G1565" s="187" t="n">
        <v>1</v>
      </c>
      <c r="H1565" s="187" t="inlineStr">
        <is>
          <t>MEDIUM</t>
        </is>
      </c>
      <c r="I1565" s="187" t="n">
        <v>9</v>
      </c>
      <c r="J1565" s="187" t="inlineStr">
        <is>
          <t>NO</t>
        </is>
      </c>
      <c r="K1565" s="187" t="inlineStr">
        <is>
          <t>http://ashutoshp-dev.github.io/NetFlix-Home-UI-Clone</t>
        </is>
      </c>
      <c r="L1565" s="187" t="inlineStr">
        <is>
          <t>2026-02-25T22:13:13+00:00</t>
        </is>
      </c>
      <c r="M1565" s="187" t="inlineStr">
        <is>
          <t>Block URL</t>
        </is>
      </c>
      <c r="N1565" s="187" t="inlineStr">
        <is>
          <t>http://ashutoshp-dev.github.io/NetFlix-Home-UI-Clone</t>
        </is>
      </c>
      <c r="O1565" s="187" t="inlineStr">
        <is>
          <t>Block phishing URL | Warn users about ashutoshp-dev.github.io impersonation</t>
        </is>
      </c>
      <c r="P1565" s="187" t="inlineStr">
        <is>
          <t>Email users / ashutoshp-dev.github.io</t>
        </is>
      </c>
      <c r="Q1565" s="187" t="inlineStr">
        <is>
          <t>P4</t>
        </is>
      </c>
      <c r="R1565" s="187" t="inlineStr">
        <is>
          <t>🚫 Block URLs in web proxy/firewall | 📧 Update email security filters | 👥 User awareness training recommended</t>
        </is>
      </c>
      <c r="S1565" s="187" t="inlineStr">
        <is>
          <t>Phishing URL</t>
        </is>
      </c>
      <c r="T1565" s="187" t="n">
        <v>0</v>
      </c>
      <c r="U1565" s="187" t="n">
        <v>0</v>
      </c>
      <c r="V1565" s="187" t="inlineStr">
        <is>
          <t>T1566:Phishing | T1566.002:Spearphishing Link</t>
        </is>
      </c>
      <c r="W1565" s="187" t="n">
        <v>1</v>
      </c>
      <c r="X1565" s="187" t="inlineStr">
        <is>
          <t>LOW (40%)</t>
        </is>
      </c>
      <c r="Y1565" s="187" t="inlineStr">
        <is>
          <t>NONE</t>
        </is>
      </c>
      <c r="Z1565" s="187" t="inlineStr">
        <is>
          <t>NONE</t>
        </is>
      </c>
      <c r="AA1565" s="187" t="inlineStr">
        <is>
          <t>http://ashutoshp-dev.github.io/NetFlix-Home-UI-Clone</t>
        </is>
      </c>
      <c r="AB1565" s="187" t="inlineStr">
        <is>
          <t>NONE</t>
        </is>
      </c>
      <c r="AC1565" s="187" t="n">
        <v>0</v>
      </c>
      <c r="AD1565" s="187" t="inlineStr"/>
    </row>
    <row r="1566">
      <c r="A1566" s="187" t="inlineStr">
        <is>
          <t>PHISH</t>
        </is>
      </c>
      <c r="B1566" s="187" t="inlineStr"/>
      <c r="C1566" s="187" t="inlineStr">
        <is>
          <t>Phishing site targeting: lzrstbg6gtre5.af849df.workers.dev | URL: http://lzrstbg6gtre5.af849df.workers.dev/</t>
        </is>
      </c>
      <c r="D1566" s="187" t="n">
        <v>6</v>
      </c>
      <c r="E1566" s="187" t="inlineStr">
        <is>
          <t>MEDIUM</t>
        </is>
      </c>
      <c r="F1566" s="187" t="n">
        <v>3</v>
      </c>
      <c r="G1566" s="187" t="n">
        <v>1</v>
      </c>
      <c r="H1566" s="187" t="inlineStr">
        <is>
          <t>MEDIUM</t>
        </is>
      </c>
      <c r="I1566" s="187" t="n">
        <v>9</v>
      </c>
      <c r="J1566" s="187" t="inlineStr">
        <is>
          <t>NO</t>
        </is>
      </c>
      <c r="K1566" s="187" t="inlineStr">
        <is>
          <t>http://lzrstbg6gtre5.af849df.workers.dev/</t>
        </is>
      </c>
      <c r="L1566" s="187" t="inlineStr">
        <is>
          <t>2026-02-25T22:13:13+00:00</t>
        </is>
      </c>
      <c r="M1566" s="187" t="inlineStr">
        <is>
          <t>Block URL</t>
        </is>
      </c>
      <c r="N1566" s="187" t="inlineStr">
        <is>
          <t>http://lzrstbg6gtre5.af849df.workers.dev/</t>
        </is>
      </c>
      <c r="O1566" s="187" t="inlineStr">
        <is>
          <t>Block phishing URL | Warn users about lzrstbg6gtre5.af849df.workers.dev impersonation</t>
        </is>
      </c>
      <c r="P1566" s="187" t="inlineStr">
        <is>
          <t>Email users / lzrstbg6gtre5.af849df.workers.dev</t>
        </is>
      </c>
      <c r="Q1566" s="187" t="inlineStr">
        <is>
          <t>P4</t>
        </is>
      </c>
      <c r="R1566" s="187" t="inlineStr">
        <is>
          <t>🚫 Block URLs in web proxy/firewall | 📧 Update email security filters | 👥 User awareness training recommended</t>
        </is>
      </c>
      <c r="S1566" s="187" t="inlineStr">
        <is>
          <t>Phishing URL</t>
        </is>
      </c>
      <c r="T1566" s="187" t="n">
        <v>0</v>
      </c>
      <c r="U1566" s="187" t="n">
        <v>0</v>
      </c>
      <c r="V1566" s="187" t="inlineStr">
        <is>
          <t>T1566:Phishing | T1566.002:Spearphishing Link</t>
        </is>
      </c>
      <c r="W1566" s="187" t="n">
        <v>1</v>
      </c>
      <c r="X1566" s="187" t="inlineStr">
        <is>
          <t>LOW (40%)</t>
        </is>
      </c>
      <c r="Y1566" s="187" t="inlineStr">
        <is>
          <t>NONE</t>
        </is>
      </c>
      <c r="Z1566" s="187" t="inlineStr">
        <is>
          <t>NONE</t>
        </is>
      </c>
      <c r="AA1566" s="187" t="inlineStr">
        <is>
          <t>http://lzrstbg6gtre5.af849df.workers.dev/</t>
        </is>
      </c>
      <c r="AB1566" s="187" t="inlineStr">
        <is>
          <t>NONE</t>
        </is>
      </c>
      <c r="AC1566" s="187" t="n">
        <v>0</v>
      </c>
      <c r="AD1566" s="187" t="inlineStr"/>
    </row>
    <row r="1567">
      <c r="A1567" s="187" t="inlineStr">
        <is>
          <t>PHISH</t>
        </is>
      </c>
      <c r="B1567" s="187" t="inlineStr"/>
      <c r="C1567" s="187" t="inlineStr">
        <is>
          <t>Phishing site targeting: www.e135k.xyz | URL: http://www.e135k.xyz/</t>
        </is>
      </c>
      <c r="D1567" s="187" t="n">
        <v>6</v>
      </c>
      <c r="E1567" s="187" t="inlineStr">
        <is>
          <t>MEDIUM</t>
        </is>
      </c>
      <c r="F1567" s="187" t="n">
        <v>3</v>
      </c>
      <c r="G1567" s="187" t="n">
        <v>1</v>
      </c>
      <c r="H1567" s="187" t="inlineStr">
        <is>
          <t>MEDIUM</t>
        </is>
      </c>
      <c r="I1567" s="187" t="n">
        <v>9</v>
      </c>
      <c r="J1567" s="187" t="inlineStr">
        <is>
          <t>NO</t>
        </is>
      </c>
      <c r="K1567" s="187" t="inlineStr">
        <is>
          <t>http://www.e135k.xyz/</t>
        </is>
      </c>
      <c r="L1567" s="187" t="inlineStr">
        <is>
          <t>2026-02-25T22:13:13+00:00</t>
        </is>
      </c>
      <c r="M1567" s="187" t="inlineStr">
        <is>
          <t>Block URL</t>
        </is>
      </c>
      <c r="N1567" s="187" t="inlineStr">
        <is>
          <t>http://www.e135k.xyz/</t>
        </is>
      </c>
      <c r="O1567" s="187" t="inlineStr">
        <is>
          <t>Block phishing URL | Warn users about www.e135k.xyz impersonation</t>
        </is>
      </c>
      <c r="P1567" s="187" t="inlineStr">
        <is>
          <t>Email users / www.e135k.xyz</t>
        </is>
      </c>
      <c r="Q1567" s="187" t="inlineStr">
        <is>
          <t>P4</t>
        </is>
      </c>
      <c r="R1567" s="187" t="inlineStr">
        <is>
          <t>🚫 Block URLs in web proxy/firewall | 📧 Update email security filters | 👥 User awareness training recommended</t>
        </is>
      </c>
      <c r="S1567" s="187" t="inlineStr">
        <is>
          <t>Phishing URL</t>
        </is>
      </c>
      <c r="T1567" s="187" t="n">
        <v>0</v>
      </c>
      <c r="U1567" s="187" t="n">
        <v>0</v>
      </c>
      <c r="V1567" s="187" t="inlineStr">
        <is>
          <t>T1566:Phishing | T1566.002:Spearphishing Link</t>
        </is>
      </c>
      <c r="W1567" s="187" t="n">
        <v>1</v>
      </c>
      <c r="X1567" s="187" t="inlineStr">
        <is>
          <t>LOW (40%)</t>
        </is>
      </c>
      <c r="Y1567" s="187" t="inlineStr">
        <is>
          <t>NONE</t>
        </is>
      </c>
      <c r="Z1567" s="187" t="inlineStr">
        <is>
          <t>NONE</t>
        </is>
      </c>
      <c r="AA1567" s="187" t="inlineStr">
        <is>
          <t>http://www.e135k.xyz/</t>
        </is>
      </c>
      <c r="AB1567" s="187" t="inlineStr">
        <is>
          <t>NONE</t>
        </is>
      </c>
      <c r="AC1567" s="187" t="n">
        <v>0</v>
      </c>
      <c r="AD1567" s="187" t="inlineStr"/>
    </row>
    <row r="1568">
      <c r="A1568" s="187" t="inlineStr">
        <is>
          <t>PHISH</t>
        </is>
      </c>
      <c r="B1568" s="187" t="inlineStr"/>
      <c r="C1568" s="187" t="inlineStr">
        <is>
          <t>Phishing site targeting: chaitanybhute.github.io | URL: http://chaitanybhute.github.io/Netflix_Frontend</t>
        </is>
      </c>
      <c r="D1568" s="187" t="n">
        <v>6</v>
      </c>
      <c r="E1568" s="187" t="inlineStr">
        <is>
          <t>MEDIUM</t>
        </is>
      </c>
      <c r="F1568" s="187" t="n">
        <v>3</v>
      </c>
      <c r="G1568" s="187" t="n">
        <v>1</v>
      </c>
      <c r="H1568" s="187" t="inlineStr">
        <is>
          <t>MEDIUM</t>
        </is>
      </c>
      <c r="I1568" s="187" t="n">
        <v>9</v>
      </c>
      <c r="J1568" s="187" t="inlineStr">
        <is>
          <t>NO</t>
        </is>
      </c>
      <c r="K1568" s="187" t="inlineStr">
        <is>
          <t>http://chaitanybhute.github.io/Netflix_Frontend</t>
        </is>
      </c>
      <c r="L1568" s="187" t="inlineStr">
        <is>
          <t>2026-02-25T22:13:13+00:00</t>
        </is>
      </c>
      <c r="M1568" s="187" t="inlineStr">
        <is>
          <t>Block URL</t>
        </is>
      </c>
      <c r="N1568" s="187" t="inlineStr">
        <is>
          <t>http://chaitanybhute.github.io/Netflix_Frontend</t>
        </is>
      </c>
      <c r="O1568" s="187" t="inlineStr">
        <is>
          <t>Block phishing URL | Warn users about chaitanybhute.github.io impersonation</t>
        </is>
      </c>
      <c r="P1568" s="187" t="inlineStr">
        <is>
          <t>Email users / chaitanybhute.github.io</t>
        </is>
      </c>
      <c r="Q1568" s="187" t="inlineStr">
        <is>
          <t>P4</t>
        </is>
      </c>
      <c r="R1568" s="187" t="inlineStr">
        <is>
          <t>🚫 Block URLs in web proxy/firewall | 📧 Update email security filters | 👥 User awareness training recommended</t>
        </is>
      </c>
      <c r="S1568" s="187" t="inlineStr">
        <is>
          <t>Phishing URL</t>
        </is>
      </c>
      <c r="T1568" s="187" t="n">
        <v>0</v>
      </c>
      <c r="U1568" s="187" t="n">
        <v>0</v>
      </c>
      <c r="V1568" s="187" t="inlineStr">
        <is>
          <t>T1566:Phishing | T1566.002:Spearphishing Link</t>
        </is>
      </c>
      <c r="W1568" s="187" t="n">
        <v>1</v>
      </c>
      <c r="X1568" s="187" t="inlineStr">
        <is>
          <t>LOW (40%)</t>
        </is>
      </c>
      <c r="Y1568" s="187" t="inlineStr">
        <is>
          <t>NONE</t>
        </is>
      </c>
      <c r="Z1568" s="187" t="inlineStr">
        <is>
          <t>NONE</t>
        </is>
      </c>
      <c r="AA1568" s="187" t="inlineStr">
        <is>
          <t>http://chaitanybhute.github.io/Netflix_Frontend</t>
        </is>
      </c>
      <c r="AB1568" s="187" t="inlineStr">
        <is>
          <t>NONE</t>
        </is>
      </c>
      <c r="AC1568" s="187" t="n">
        <v>0</v>
      </c>
      <c r="AD1568" s="187" t="inlineStr"/>
    </row>
    <row r="1569">
      <c r="A1569" s="187" t="inlineStr">
        <is>
          <t>PHISH</t>
        </is>
      </c>
      <c r="B1569" s="187" t="inlineStr"/>
      <c r="C1569" s="187" t="inlineStr">
        <is>
          <t>Phishing site targeting: swisspost.photocollect.io | URL: https://swisspost.photocollect.io/auth/login</t>
        </is>
      </c>
      <c r="D1569" s="187" t="n">
        <v>6</v>
      </c>
      <c r="E1569" s="187" t="inlineStr">
        <is>
          <t>MEDIUM</t>
        </is>
      </c>
      <c r="F1569" s="187" t="n">
        <v>3</v>
      </c>
      <c r="G1569" s="187" t="n">
        <v>1</v>
      </c>
      <c r="H1569" s="187" t="inlineStr">
        <is>
          <t>MEDIUM</t>
        </is>
      </c>
      <c r="I1569" s="187" t="n">
        <v>9</v>
      </c>
      <c r="J1569" s="187" t="inlineStr">
        <is>
          <t>NO</t>
        </is>
      </c>
      <c r="K1569" s="187" t="inlineStr">
        <is>
          <t>https://swisspost.photocollect.io/auth/login</t>
        </is>
      </c>
      <c r="L1569" s="187" t="inlineStr">
        <is>
          <t>2026-02-25T22:13:13+00:00</t>
        </is>
      </c>
      <c r="M1569" s="187" t="inlineStr">
        <is>
          <t>Block URL</t>
        </is>
      </c>
      <c r="N1569" s="187" t="inlineStr">
        <is>
          <t>https://swisspost.photocollect.io/auth/login</t>
        </is>
      </c>
      <c r="O1569" s="187" t="inlineStr">
        <is>
          <t>Block phishing URL | Warn users about swisspost.photocollect.io impersonation</t>
        </is>
      </c>
      <c r="P1569" s="187" t="inlineStr">
        <is>
          <t>Email users / swisspost.photocollect.io</t>
        </is>
      </c>
      <c r="Q1569" s="187" t="inlineStr">
        <is>
          <t>P4</t>
        </is>
      </c>
      <c r="R1569" s="187" t="inlineStr">
        <is>
          <t>🚫 Block URLs in web proxy/firewall | 📧 Update email security filters | 👥 User awareness training recommended</t>
        </is>
      </c>
      <c r="S1569" s="187" t="inlineStr">
        <is>
          <t>Phishing URL</t>
        </is>
      </c>
      <c r="T1569" s="187" t="n">
        <v>0</v>
      </c>
      <c r="U1569" s="187" t="n">
        <v>0</v>
      </c>
      <c r="V1569" s="187" t="inlineStr">
        <is>
          <t>T1566:Phishing | T1566.002:Spearphishing Link</t>
        </is>
      </c>
      <c r="W1569" s="187" t="n">
        <v>1</v>
      </c>
      <c r="X1569" s="187" t="inlineStr">
        <is>
          <t>LOW (40%)</t>
        </is>
      </c>
      <c r="Y1569" s="187" t="inlineStr">
        <is>
          <t>NONE</t>
        </is>
      </c>
      <c r="Z1569" s="187" t="inlineStr">
        <is>
          <t>NONE</t>
        </is>
      </c>
      <c r="AA1569" s="187" t="inlineStr">
        <is>
          <t>https://swisspost.photocollect.io/auth/login</t>
        </is>
      </c>
      <c r="AB1569" s="187" t="inlineStr">
        <is>
          <t>NONE</t>
        </is>
      </c>
      <c r="AC1569" s="187" t="n">
        <v>0</v>
      </c>
      <c r="AD1569" s="187" t="inlineStr"/>
    </row>
    <row r="1570">
      <c r="A1570" s="187" t="inlineStr">
        <is>
          <t>PHISH</t>
        </is>
      </c>
      <c r="B1570" s="187" t="inlineStr"/>
      <c r="C1570" s="187" t="inlineStr">
        <is>
          <t>Phishing site targeting: swisspost.photocollect.io | URL: https://swisspost.photocollect.io/</t>
        </is>
      </c>
      <c r="D1570" s="187" t="n">
        <v>6</v>
      </c>
      <c r="E1570" s="187" t="inlineStr">
        <is>
          <t>MEDIUM</t>
        </is>
      </c>
      <c r="F1570" s="187" t="n">
        <v>3</v>
      </c>
      <c r="G1570" s="187" t="n">
        <v>1</v>
      </c>
      <c r="H1570" s="187" t="inlineStr">
        <is>
          <t>MEDIUM</t>
        </is>
      </c>
      <c r="I1570" s="187" t="n">
        <v>9</v>
      </c>
      <c r="J1570" s="187" t="inlineStr">
        <is>
          <t>NO</t>
        </is>
      </c>
      <c r="K1570" s="187" t="inlineStr">
        <is>
          <t>https://swisspost.photocollect.io/</t>
        </is>
      </c>
      <c r="L1570" s="187" t="inlineStr">
        <is>
          <t>2026-02-25T22:13:13+00:00</t>
        </is>
      </c>
      <c r="M1570" s="187" t="inlineStr">
        <is>
          <t>Block URL</t>
        </is>
      </c>
      <c r="N1570" s="187" t="inlineStr">
        <is>
          <t>https://swisspost.photocollect.io/</t>
        </is>
      </c>
      <c r="O1570" s="187" t="inlineStr">
        <is>
          <t>Block phishing URL | Warn users about swisspost.photocollect.io impersonation</t>
        </is>
      </c>
      <c r="P1570" s="187" t="inlineStr">
        <is>
          <t>Email users / swisspost.photocollect.io</t>
        </is>
      </c>
      <c r="Q1570" s="187" t="inlineStr">
        <is>
          <t>P4</t>
        </is>
      </c>
      <c r="R1570" s="187" t="inlineStr">
        <is>
          <t>🚫 Block URLs in web proxy/firewall | 📧 Update email security filters | 👥 User awareness training recommended</t>
        </is>
      </c>
      <c r="S1570" s="187" t="inlineStr">
        <is>
          <t>Phishing URL</t>
        </is>
      </c>
      <c r="T1570" s="187" t="n">
        <v>0</v>
      </c>
      <c r="U1570" s="187" t="n">
        <v>0</v>
      </c>
      <c r="V1570" s="187" t="inlineStr">
        <is>
          <t>T1566:Phishing | T1566.002:Spearphishing Link</t>
        </is>
      </c>
      <c r="W1570" s="187" t="n">
        <v>1</v>
      </c>
      <c r="X1570" s="187" t="inlineStr">
        <is>
          <t>LOW (40%)</t>
        </is>
      </c>
      <c r="Y1570" s="187" t="inlineStr">
        <is>
          <t>NONE</t>
        </is>
      </c>
      <c r="Z1570" s="187" t="inlineStr">
        <is>
          <t>NONE</t>
        </is>
      </c>
      <c r="AA1570" s="187" t="inlineStr">
        <is>
          <t>https://swisspost.photocollect.io/</t>
        </is>
      </c>
      <c r="AB1570" s="187" t="inlineStr">
        <is>
          <t>NONE</t>
        </is>
      </c>
      <c r="AC1570" s="187" t="n">
        <v>0</v>
      </c>
      <c r="AD1570" s="187" t="inlineStr"/>
    </row>
    <row r="1571">
      <c r="A1571" s="187" t="inlineStr">
        <is>
          <t>PHISH</t>
        </is>
      </c>
      <c r="B1571" s="187" t="inlineStr"/>
      <c r="C1571" s="187" t="inlineStr">
        <is>
          <t>Phishing site targeting: kucoin_x_logi.godaddysites.com | URL: https://kucoin_x_logi.godaddysites.com/</t>
        </is>
      </c>
      <c r="D1571" s="187" t="n">
        <v>6</v>
      </c>
      <c r="E1571" s="187" t="inlineStr">
        <is>
          <t>MEDIUM</t>
        </is>
      </c>
      <c r="F1571" s="187" t="n">
        <v>3</v>
      </c>
      <c r="G1571" s="187" t="n">
        <v>1</v>
      </c>
      <c r="H1571" s="187" t="inlineStr">
        <is>
          <t>MEDIUM</t>
        </is>
      </c>
      <c r="I1571" s="187" t="n">
        <v>9</v>
      </c>
      <c r="J1571" s="187" t="inlineStr">
        <is>
          <t>NO</t>
        </is>
      </c>
      <c r="K1571" s="187" t="inlineStr">
        <is>
          <t>https://kucoin_x_logi.godaddysites.com/</t>
        </is>
      </c>
      <c r="L1571" s="187" t="inlineStr">
        <is>
          <t>2026-02-25T22:13:13+00:00</t>
        </is>
      </c>
      <c r="M1571" s="187" t="inlineStr">
        <is>
          <t>Block URL</t>
        </is>
      </c>
      <c r="N1571" s="187" t="inlineStr">
        <is>
          <t>https://kucoin_x_logi.godaddysites.com/</t>
        </is>
      </c>
      <c r="O1571" s="187" t="inlineStr">
        <is>
          <t>Block phishing URL | Warn users about kucoin_x_logi.godaddysites.com impersonation</t>
        </is>
      </c>
      <c r="P1571" s="187" t="inlineStr">
        <is>
          <t>Email users / kucoin_x_logi.godaddysites.com</t>
        </is>
      </c>
      <c r="Q1571" s="187" t="inlineStr">
        <is>
          <t>P4</t>
        </is>
      </c>
      <c r="R1571" s="187" t="inlineStr">
        <is>
          <t>🚫 Block URLs in web proxy/firewall | 📧 Update email security filters | 👥 User awareness training recommended</t>
        </is>
      </c>
      <c r="S1571" s="187" t="inlineStr">
        <is>
          <t>Phishing URL</t>
        </is>
      </c>
      <c r="T1571" s="187" t="n">
        <v>0</v>
      </c>
      <c r="U1571" s="187" t="n">
        <v>0</v>
      </c>
      <c r="V1571" s="187" t="inlineStr">
        <is>
          <t>T1566:Phishing | T1566.002:Spearphishing Link</t>
        </is>
      </c>
      <c r="W1571" s="187" t="n">
        <v>1</v>
      </c>
      <c r="X1571" s="187" t="inlineStr">
        <is>
          <t>LOW (40%)</t>
        </is>
      </c>
      <c r="Y1571" s="187" t="inlineStr">
        <is>
          <t>NONE</t>
        </is>
      </c>
      <c r="Z1571" s="187" t="inlineStr">
        <is>
          <t>NONE</t>
        </is>
      </c>
      <c r="AA1571" s="187" t="inlineStr">
        <is>
          <t>https://kucoin_x_logi.godaddysites.com/</t>
        </is>
      </c>
      <c r="AB1571" s="187" t="inlineStr">
        <is>
          <t>NONE</t>
        </is>
      </c>
      <c r="AC1571" s="187" t="n">
        <v>0</v>
      </c>
      <c r="AD1571" s="187" t="inlineStr"/>
    </row>
    <row r="1572">
      <c r="A1572" s="187" t="inlineStr">
        <is>
          <t>PHISH</t>
        </is>
      </c>
      <c r="B1572" s="187" t="inlineStr"/>
      <c r="C1572" s="187" t="inlineStr">
        <is>
          <t>Phishing site targeting: roblox.com.ge | URL: https://roblox.com.ge/users/4587284650/profile</t>
        </is>
      </c>
      <c r="D1572" s="187" t="n">
        <v>6</v>
      </c>
      <c r="E1572" s="187" t="inlineStr">
        <is>
          <t>MEDIUM</t>
        </is>
      </c>
      <c r="F1572" s="187" t="n">
        <v>3</v>
      </c>
      <c r="G1572" s="187" t="n">
        <v>1</v>
      </c>
      <c r="H1572" s="187" t="inlineStr">
        <is>
          <t>MEDIUM</t>
        </is>
      </c>
      <c r="I1572" s="187" t="n">
        <v>9</v>
      </c>
      <c r="J1572" s="187" t="inlineStr">
        <is>
          <t>NO</t>
        </is>
      </c>
      <c r="K1572" s="187" t="inlineStr">
        <is>
          <t>https://roblox.com.ge/users/4587284650/profile</t>
        </is>
      </c>
      <c r="L1572" s="187" t="inlineStr">
        <is>
          <t>2026-02-25T22:13:13+00:00</t>
        </is>
      </c>
      <c r="M1572" s="187" t="inlineStr">
        <is>
          <t>Block URL</t>
        </is>
      </c>
      <c r="N1572" s="187" t="inlineStr">
        <is>
          <t>https://roblox.com.ge/users/4587284650/profile</t>
        </is>
      </c>
      <c r="O1572" s="187" t="inlineStr">
        <is>
          <t>Block phishing URL | Warn users about roblox.com.ge impersonation</t>
        </is>
      </c>
      <c r="P1572" s="187" t="inlineStr">
        <is>
          <t>Email users / roblox.com.ge</t>
        </is>
      </c>
      <c r="Q1572" s="187" t="inlineStr">
        <is>
          <t>P4</t>
        </is>
      </c>
      <c r="R1572" s="187" t="inlineStr">
        <is>
          <t>🚫 Block URLs in web proxy/firewall | 📧 Update email security filters | 👥 User awareness training recommended</t>
        </is>
      </c>
      <c r="S1572" s="187" t="inlineStr">
        <is>
          <t>Phishing URL</t>
        </is>
      </c>
      <c r="T1572" s="187" t="n">
        <v>0</v>
      </c>
      <c r="U1572" s="187" t="n">
        <v>0</v>
      </c>
      <c r="V1572" s="187" t="inlineStr">
        <is>
          <t>T1566:Phishing | T1566.002:Spearphishing Link</t>
        </is>
      </c>
      <c r="W1572" s="187" t="n">
        <v>1</v>
      </c>
      <c r="X1572" s="187" t="inlineStr">
        <is>
          <t>LOW (40%)</t>
        </is>
      </c>
      <c r="Y1572" s="187" t="inlineStr">
        <is>
          <t>NONE</t>
        </is>
      </c>
      <c r="Z1572" s="187" t="inlineStr">
        <is>
          <t>NONE</t>
        </is>
      </c>
      <c r="AA1572" s="187" t="inlineStr">
        <is>
          <t>https://roblox.com.ge/users/4587284650/profile</t>
        </is>
      </c>
      <c r="AB1572" s="187" t="inlineStr">
        <is>
          <t>NONE</t>
        </is>
      </c>
      <c r="AC1572" s="187" t="n">
        <v>0</v>
      </c>
      <c r="AD1572" s="187" t="inlineStr"/>
    </row>
    <row r="1573">
      <c r="A1573" s="187" t="inlineStr">
        <is>
          <t>PHISH</t>
        </is>
      </c>
      <c r="B1573" s="187" t="inlineStr"/>
      <c r="C1573" s="187" t="inlineStr">
        <is>
          <t>Phishing site targeting: www.robiox.com.ua | URL: https://www.robiox.com.ua/communities/9764817946/KHMER</t>
        </is>
      </c>
      <c r="D1573" s="187" t="n">
        <v>6</v>
      </c>
      <c r="E1573" s="187" t="inlineStr">
        <is>
          <t>MEDIUM</t>
        </is>
      </c>
      <c r="F1573" s="187" t="n">
        <v>3</v>
      </c>
      <c r="G1573" s="187" t="n">
        <v>1</v>
      </c>
      <c r="H1573" s="187" t="inlineStr">
        <is>
          <t>MEDIUM</t>
        </is>
      </c>
      <c r="I1573" s="187" t="n">
        <v>9</v>
      </c>
      <c r="J1573" s="187" t="inlineStr">
        <is>
          <t>NO</t>
        </is>
      </c>
      <c r="K1573" s="187" t="inlineStr">
        <is>
          <t>https://www.robiox.com.ua/communities/9764817946/KHMER</t>
        </is>
      </c>
      <c r="L1573" s="187" t="inlineStr">
        <is>
          <t>2026-02-25T22:13:13+00:00</t>
        </is>
      </c>
      <c r="M1573" s="187" t="inlineStr">
        <is>
          <t>Block URL</t>
        </is>
      </c>
      <c r="N1573" s="187" t="inlineStr">
        <is>
          <t>https://www.robiox.com.ua/communities/9764817946/KHMER</t>
        </is>
      </c>
      <c r="O1573" s="187" t="inlineStr">
        <is>
          <t>Block phishing URL | Warn users about www.robiox.com.ua impersonation</t>
        </is>
      </c>
      <c r="P1573" s="187" t="inlineStr">
        <is>
          <t>Email users / www.robiox.com.ua</t>
        </is>
      </c>
      <c r="Q1573" s="187" t="inlineStr">
        <is>
          <t>P4</t>
        </is>
      </c>
      <c r="R1573" s="187" t="inlineStr">
        <is>
          <t>🚫 Block URLs in web proxy/firewall | 📧 Update email security filters | 👥 User awareness training recommended</t>
        </is>
      </c>
      <c r="S1573" s="187" t="inlineStr">
        <is>
          <t>Phishing URL</t>
        </is>
      </c>
      <c r="T1573" s="187" t="n">
        <v>0</v>
      </c>
      <c r="U1573" s="187" t="n">
        <v>0</v>
      </c>
      <c r="V1573" s="187" t="inlineStr">
        <is>
          <t>T1566:Phishing | T1566.002:Spearphishing Link</t>
        </is>
      </c>
      <c r="W1573" s="187" t="n">
        <v>1</v>
      </c>
      <c r="X1573" s="187" t="inlineStr">
        <is>
          <t>LOW (40%)</t>
        </is>
      </c>
      <c r="Y1573" s="187" t="inlineStr">
        <is>
          <t>NONE</t>
        </is>
      </c>
      <c r="Z1573" s="187" t="inlineStr">
        <is>
          <t>NONE</t>
        </is>
      </c>
      <c r="AA1573" s="187" t="inlineStr">
        <is>
          <t>https://www.robiox.com.ua/communities/9764817946/KHMER</t>
        </is>
      </c>
      <c r="AB1573" s="187" t="inlineStr">
        <is>
          <t>NONE</t>
        </is>
      </c>
      <c r="AC1573" s="187" t="n">
        <v>0</v>
      </c>
      <c r="AD1573" s="187" t="inlineStr"/>
    </row>
    <row r="1574">
      <c r="A1574" s="187" t="inlineStr">
        <is>
          <t>PHISH</t>
        </is>
      </c>
      <c r="B1574" s="187" t="inlineStr"/>
      <c r="C1574" s="187" t="inlineStr">
        <is>
          <t>Phishing site targeting: afb9f33ad7.nxcli.io | URL: http://afb9f33ad7.nxcli.io/wp-admin/hol/login.php</t>
        </is>
      </c>
      <c r="D1574" s="187" t="n">
        <v>6</v>
      </c>
      <c r="E1574" s="187" t="inlineStr">
        <is>
          <t>MEDIUM</t>
        </is>
      </c>
      <c r="F1574" s="187" t="n">
        <v>3</v>
      </c>
      <c r="G1574" s="187" t="n">
        <v>1</v>
      </c>
      <c r="H1574" s="187" t="inlineStr">
        <is>
          <t>MEDIUM</t>
        </is>
      </c>
      <c r="I1574" s="187" t="n">
        <v>9</v>
      </c>
      <c r="J1574" s="187" t="inlineStr">
        <is>
          <t>NO</t>
        </is>
      </c>
      <c r="K1574" s="187" t="inlineStr">
        <is>
          <t>http://afb9f33ad7.nxcli.io/wp-admin/hol/login.php</t>
        </is>
      </c>
      <c r="L1574" s="187" t="inlineStr">
        <is>
          <t>2026-02-25T22:13:13+00:00</t>
        </is>
      </c>
      <c r="M1574" s="187" t="inlineStr">
        <is>
          <t>Block URL</t>
        </is>
      </c>
      <c r="N1574" s="187" t="inlineStr">
        <is>
          <t>http://afb9f33ad7.nxcli.io/wp-admin/hol/login.php</t>
        </is>
      </c>
      <c r="O1574" s="187" t="inlineStr">
        <is>
          <t>Block phishing URL | Warn users about afb9f33ad7.nxcli.io impersonation</t>
        </is>
      </c>
      <c r="P1574" s="187" t="inlineStr">
        <is>
          <t>Email users / afb9f33ad7.nxcli.io</t>
        </is>
      </c>
      <c r="Q1574" s="187" t="inlineStr">
        <is>
          <t>P4</t>
        </is>
      </c>
      <c r="R1574" s="187" t="inlineStr">
        <is>
          <t>🚫 Block URLs in web proxy/firewall | 📧 Update email security filters | 👥 User awareness training recommended</t>
        </is>
      </c>
      <c r="S1574" s="187" t="inlineStr">
        <is>
          <t>Phishing URL</t>
        </is>
      </c>
      <c r="T1574" s="187" t="n">
        <v>0</v>
      </c>
      <c r="U1574" s="187" t="n">
        <v>0</v>
      </c>
      <c r="V1574" s="187" t="inlineStr">
        <is>
          <t>T1566:Phishing | T1566.002:Spearphishing Link</t>
        </is>
      </c>
      <c r="W1574" s="187" t="n">
        <v>1</v>
      </c>
      <c r="X1574" s="187" t="inlineStr">
        <is>
          <t>LOW (40%)</t>
        </is>
      </c>
      <c r="Y1574" s="187" t="inlineStr">
        <is>
          <t>NONE</t>
        </is>
      </c>
      <c r="Z1574" s="187" t="inlineStr">
        <is>
          <t>NONE</t>
        </is>
      </c>
      <c r="AA1574" s="187" t="inlineStr">
        <is>
          <t>http://afb9f33ad7.nxcli.io/wp-admin/hol/login.php</t>
        </is>
      </c>
      <c r="AB1574" s="187" t="inlineStr">
        <is>
          <t>NONE</t>
        </is>
      </c>
      <c r="AC1574" s="187" t="n">
        <v>0</v>
      </c>
      <c r="AD1574" s="187" t="inlineStr"/>
    </row>
    <row r="1575">
      <c r="A1575" s="187" t="inlineStr">
        <is>
          <t>PHISH</t>
        </is>
      </c>
      <c r="B1575" s="187" t="inlineStr"/>
      <c r="C1575" s="187" t="inlineStr">
        <is>
          <t>Phishing site targeting: accounts.bmwweb.black | URL: http://accounts.bmwweb.black/en/login</t>
        </is>
      </c>
      <c r="D1575" s="187" t="n">
        <v>6</v>
      </c>
      <c r="E1575" s="187" t="inlineStr">
        <is>
          <t>MEDIUM</t>
        </is>
      </c>
      <c r="F1575" s="187" t="n">
        <v>3</v>
      </c>
      <c r="G1575" s="187" t="n">
        <v>1</v>
      </c>
      <c r="H1575" s="187" t="inlineStr">
        <is>
          <t>MEDIUM</t>
        </is>
      </c>
      <c r="I1575" s="187" t="n">
        <v>9</v>
      </c>
      <c r="J1575" s="187" t="inlineStr">
        <is>
          <t>NO</t>
        </is>
      </c>
      <c r="K1575" s="187" t="inlineStr">
        <is>
          <t>http://accounts.bmwweb.black/en/login</t>
        </is>
      </c>
      <c r="L1575" s="187" t="inlineStr">
        <is>
          <t>2026-02-25T22:13:13+00:00</t>
        </is>
      </c>
      <c r="M1575" s="187" t="inlineStr">
        <is>
          <t>Block URL</t>
        </is>
      </c>
      <c r="N1575" s="187" t="inlineStr">
        <is>
          <t>http://accounts.bmwweb.black/en/login</t>
        </is>
      </c>
      <c r="O1575" s="187" t="inlineStr">
        <is>
          <t>Block phishing URL | Warn users about accounts.bmwweb.black impersonation</t>
        </is>
      </c>
      <c r="P1575" s="187" t="inlineStr">
        <is>
          <t>Email users / accounts.bmwweb.black</t>
        </is>
      </c>
      <c r="Q1575" s="187" t="inlineStr">
        <is>
          <t>P4</t>
        </is>
      </c>
      <c r="R1575" s="187" t="inlineStr">
        <is>
          <t>🚫 Block URLs in web proxy/firewall | 📧 Update email security filters | 👥 User awareness training recommended</t>
        </is>
      </c>
      <c r="S1575" s="187" t="inlineStr">
        <is>
          <t>Phishing URL</t>
        </is>
      </c>
      <c r="T1575" s="187" t="n">
        <v>0</v>
      </c>
      <c r="U1575" s="187" t="n">
        <v>0</v>
      </c>
      <c r="V1575" s="187" t="inlineStr">
        <is>
          <t>T1566:Phishing | T1566.002:Spearphishing Link</t>
        </is>
      </c>
      <c r="W1575" s="187" t="n">
        <v>1</v>
      </c>
      <c r="X1575" s="187" t="inlineStr">
        <is>
          <t>LOW (40%)</t>
        </is>
      </c>
      <c r="Y1575" s="187" t="inlineStr">
        <is>
          <t>NONE</t>
        </is>
      </c>
      <c r="Z1575" s="187" t="inlineStr">
        <is>
          <t>NONE</t>
        </is>
      </c>
      <c r="AA1575" s="187" t="inlineStr">
        <is>
          <t>http://accounts.bmwweb.black/en/login</t>
        </is>
      </c>
      <c r="AB1575" s="187" t="inlineStr">
        <is>
          <t>NONE</t>
        </is>
      </c>
      <c r="AC1575" s="187" t="n">
        <v>0</v>
      </c>
      <c r="AD1575" s="187" t="inlineStr"/>
    </row>
    <row r="1576">
      <c r="A1576" s="187" t="inlineStr">
        <is>
          <t>PHISH</t>
        </is>
      </c>
      <c r="B1576" s="187" t="inlineStr"/>
      <c r="C1576" s="187" t="inlineStr">
        <is>
          <t>Phishing site targeting: rodoviaspedagioonline.sbs | URL: https://rodoviaspedagioonline.sbs/</t>
        </is>
      </c>
      <c r="D1576" s="187" t="n">
        <v>6</v>
      </c>
      <c r="E1576" s="187" t="inlineStr">
        <is>
          <t>MEDIUM</t>
        </is>
      </c>
      <c r="F1576" s="187" t="n">
        <v>3</v>
      </c>
      <c r="G1576" s="187" t="n">
        <v>1</v>
      </c>
      <c r="H1576" s="187" t="inlineStr">
        <is>
          <t>MEDIUM</t>
        </is>
      </c>
      <c r="I1576" s="187" t="n">
        <v>9</v>
      </c>
      <c r="J1576" s="187" t="inlineStr">
        <is>
          <t>NO</t>
        </is>
      </c>
      <c r="K1576" s="187" t="inlineStr">
        <is>
          <t>https://rodoviaspedagioonline.sbs/</t>
        </is>
      </c>
      <c r="L1576" s="187" t="inlineStr">
        <is>
          <t>2026-02-25T22:13:13+00:00</t>
        </is>
      </c>
      <c r="M1576" s="187" t="inlineStr">
        <is>
          <t>Block URL</t>
        </is>
      </c>
      <c r="N1576" s="187" t="inlineStr">
        <is>
          <t>https://rodoviaspedagioonline.sbs/</t>
        </is>
      </c>
      <c r="O1576" s="187" t="inlineStr">
        <is>
          <t>Block phishing URL | Warn users about rodoviaspedagioonline.sbs impersonation</t>
        </is>
      </c>
      <c r="P1576" s="187" t="inlineStr">
        <is>
          <t>Email users / rodoviaspedagioonline.sbs</t>
        </is>
      </c>
      <c r="Q1576" s="187" t="inlineStr">
        <is>
          <t>P4</t>
        </is>
      </c>
      <c r="R1576" s="187" t="inlineStr">
        <is>
          <t>🚫 Block URLs in web proxy/firewall | 📧 Update email security filters | 👥 User awareness training recommended</t>
        </is>
      </c>
      <c r="S1576" s="187" t="inlineStr">
        <is>
          <t>Phishing URL</t>
        </is>
      </c>
      <c r="T1576" s="187" t="n">
        <v>0</v>
      </c>
      <c r="U1576" s="187" t="n">
        <v>0</v>
      </c>
      <c r="V1576" s="187" t="inlineStr">
        <is>
          <t>T1566:Phishing | T1566.002:Spearphishing Link</t>
        </is>
      </c>
      <c r="W1576" s="187" t="n">
        <v>1</v>
      </c>
      <c r="X1576" s="187" t="inlineStr">
        <is>
          <t>LOW (40%)</t>
        </is>
      </c>
      <c r="Y1576" s="187" t="inlineStr">
        <is>
          <t>NONE</t>
        </is>
      </c>
      <c r="Z1576" s="187" t="inlineStr">
        <is>
          <t>NONE</t>
        </is>
      </c>
      <c r="AA1576" s="187" t="inlineStr">
        <is>
          <t>https://rodoviaspedagioonline.sbs/</t>
        </is>
      </c>
      <c r="AB1576" s="187" t="inlineStr">
        <is>
          <t>NONE</t>
        </is>
      </c>
      <c r="AC1576" s="187" t="n">
        <v>0</v>
      </c>
      <c r="AD1576" s="187" t="inlineStr"/>
    </row>
    <row r="1577">
      <c r="A1577" s="187" t="inlineStr">
        <is>
          <t>PHISH</t>
        </is>
      </c>
      <c r="B1577" s="187" t="inlineStr"/>
      <c r="C1577" s="187" t="inlineStr">
        <is>
          <t>Phishing site targeting: www.pedagiovirtual.com | URL: https://www.pedagiovirtual.com/</t>
        </is>
      </c>
      <c r="D1577" s="187" t="n">
        <v>6</v>
      </c>
      <c r="E1577" s="187" t="inlineStr">
        <is>
          <t>MEDIUM</t>
        </is>
      </c>
      <c r="F1577" s="187" t="n">
        <v>3</v>
      </c>
      <c r="G1577" s="187" t="n">
        <v>1</v>
      </c>
      <c r="H1577" s="187" t="inlineStr">
        <is>
          <t>MEDIUM</t>
        </is>
      </c>
      <c r="I1577" s="187" t="n">
        <v>9</v>
      </c>
      <c r="J1577" s="187" t="inlineStr">
        <is>
          <t>NO</t>
        </is>
      </c>
      <c r="K1577" s="187" t="inlineStr">
        <is>
          <t>https://www.pedagiovirtual.com/</t>
        </is>
      </c>
      <c r="L1577" s="187" t="inlineStr">
        <is>
          <t>2026-02-25T22:13:13+00:00</t>
        </is>
      </c>
      <c r="M1577" s="187" t="inlineStr">
        <is>
          <t>Block URL</t>
        </is>
      </c>
      <c r="N1577" s="187" t="inlineStr">
        <is>
          <t>https://www.pedagiovirtual.com/</t>
        </is>
      </c>
      <c r="O1577" s="187" t="inlineStr">
        <is>
          <t>Block phishing URL | Warn users about www.pedagiovirtual.com impersonation</t>
        </is>
      </c>
      <c r="P1577" s="187" t="inlineStr">
        <is>
          <t>Email users / www.pedagiovirtual.com</t>
        </is>
      </c>
      <c r="Q1577" s="187" t="inlineStr">
        <is>
          <t>P4</t>
        </is>
      </c>
      <c r="R1577" s="187" t="inlineStr">
        <is>
          <t>🚫 Block URLs in web proxy/firewall | 📧 Update email security filters | 👥 User awareness training recommended</t>
        </is>
      </c>
      <c r="S1577" s="187" t="inlineStr">
        <is>
          <t>Phishing URL</t>
        </is>
      </c>
      <c r="T1577" s="187" t="n">
        <v>0</v>
      </c>
      <c r="U1577" s="187" t="n">
        <v>0</v>
      </c>
      <c r="V1577" s="187" t="inlineStr">
        <is>
          <t>T1566:Phishing | T1566.002:Spearphishing Link</t>
        </is>
      </c>
      <c r="W1577" s="187" t="n">
        <v>1</v>
      </c>
      <c r="X1577" s="187" t="inlineStr">
        <is>
          <t>LOW (40%)</t>
        </is>
      </c>
      <c r="Y1577" s="187" t="inlineStr">
        <is>
          <t>NONE</t>
        </is>
      </c>
      <c r="Z1577" s="187" t="inlineStr">
        <is>
          <t>NONE</t>
        </is>
      </c>
      <c r="AA1577" s="187" t="inlineStr">
        <is>
          <t>https://www.pedagiovirtual.com/</t>
        </is>
      </c>
      <c r="AB1577" s="187" t="inlineStr">
        <is>
          <t>NONE</t>
        </is>
      </c>
      <c r="AC1577" s="187" t="n">
        <v>0</v>
      </c>
      <c r="AD1577" s="187" t="inlineStr"/>
    </row>
    <row r="1578">
      <c r="A1578" s="187" t="inlineStr">
        <is>
          <t>PHISH</t>
        </is>
      </c>
      <c r="B1578" s="187" t="inlineStr"/>
      <c r="C1578" s="187" t="inlineStr">
        <is>
          <t>Phishing site targeting: www.roblox.com.ml | URL: https://www.roblox.com.ml/users/180467424/profile</t>
        </is>
      </c>
      <c r="D1578" s="187" t="n">
        <v>6</v>
      </c>
      <c r="E1578" s="187" t="inlineStr">
        <is>
          <t>MEDIUM</t>
        </is>
      </c>
      <c r="F1578" s="187" t="n">
        <v>3</v>
      </c>
      <c r="G1578" s="187" t="n">
        <v>1</v>
      </c>
      <c r="H1578" s="187" t="inlineStr">
        <is>
          <t>MEDIUM</t>
        </is>
      </c>
      <c r="I1578" s="187" t="n">
        <v>9</v>
      </c>
      <c r="J1578" s="187" t="inlineStr">
        <is>
          <t>NO</t>
        </is>
      </c>
      <c r="K1578" s="187" t="inlineStr">
        <is>
          <t>https://www.roblox.com.ml/users/180467424/profile</t>
        </is>
      </c>
      <c r="L1578" s="187" t="inlineStr">
        <is>
          <t>2026-02-25T22:13:13+00:00</t>
        </is>
      </c>
      <c r="M1578" s="187" t="inlineStr">
        <is>
          <t>Block URL</t>
        </is>
      </c>
      <c r="N1578" s="187" t="inlineStr">
        <is>
          <t>https://www.roblox.com.ml/users/180467424/profile</t>
        </is>
      </c>
      <c r="O1578" s="187" t="inlineStr">
        <is>
          <t>Block phishing URL | Warn users about www.roblox.com.ml impersonation</t>
        </is>
      </c>
      <c r="P1578" s="187" t="inlineStr">
        <is>
          <t>Email users / www.roblox.com.ml</t>
        </is>
      </c>
      <c r="Q1578" s="187" t="inlineStr">
        <is>
          <t>P4</t>
        </is>
      </c>
      <c r="R1578" s="187" t="inlineStr">
        <is>
          <t>🚫 Block URLs in web proxy/firewall | 📧 Update email security filters | 👥 User awareness training recommended</t>
        </is>
      </c>
      <c r="S1578" s="187" t="inlineStr">
        <is>
          <t>Phishing URL</t>
        </is>
      </c>
      <c r="T1578" s="187" t="n">
        <v>0</v>
      </c>
      <c r="U1578" s="187" t="n">
        <v>0</v>
      </c>
      <c r="V1578" s="187" t="inlineStr">
        <is>
          <t>T1566:Phishing | T1566.002:Spearphishing Link</t>
        </is>
      </c>
      <c r="W1578" s="187" t="n">
        <v>1</v>
      </c>
      <c r="X1578" s="187" t="inlineStr">
        <is>
          <t>LOW (40%)</t>
        </is>
      </c>
      <c r="Y1578" s="187" t="inlineStr">
        <is>
          <t>NONE</t>
        </is>
      </c>
      <c r="Z1578" s="187" t="inlineStr">
        <is>
          <t>NONE</t>
        </is>
      </c>
      <c r="AA1578" s="187" t="inlineStr">
        <is>
          <t>https://www.roblox.com.ml/users/180467424/profile</t>
        </is>
      </c>
      <c r="AB1578" s="187" t="inlineStr">
        <is>
          <t>NONE</t>
        </is>
      </c>
      <c r="AC1578" s="187" t="n">
        <v>0</v>
      </c>
      <c r="AD1578" s="187" t="inlineStr"/>
    </row>
    <row r="1579">
      <c r="A1579" s="187" t="inlineStr">
        <is>
          <t>PHISH</t>
        </is>
      </c>
      <c r="B1579" s="187" t="inlineStr"/>
      <c r="C1579" s="187" t="inlineStr">
        <is>
          <t>Phishing site targeting: pedagio-freefllow.site | URL: https://pedagio-freefllow.site/</t>
        </is>
      </c>
      <c r="D1579" s="187" t="n">
        <v>6</v>
      </c>
      <c r="E1579" s="187" t="inlineStr">
        <is>
          <t>MEDIUM</t>
        </is>
      </c>
      <c r="F1579" s="187" t="n">
        <v>3</v>
      </c>
      <c r="G1579" s="187" t="n">
        <v>1</v>
      </c>
      <c r="H1579" s="187" t="inlineStr">
        <is>
          <t>MEDIUM</t>
        </is>
      </c>
      <c r="I1579" s="187" t="n">
        <v>9</v>
      </c>
      <c r="J1579" s="187" t="inlineStr">
        <is>
          <t>NO</t>
        </is>
      </c>
      <c r="K1579" s="187" t="inlineStr">
        <is>
          <t>https://pedagio-freefllow.site/</t>
        </is>
      </c>
      <c r="L1579" s="187" t="inlineStr">
        <is>
          <t>2026-02-25T22:13:13+00:00</t>
        </is>
      </c>
      <c r="M1579" s="187" t="inlineStr">
        <is>
          <t>Block URL</t>
        </is>
      </c>
      <c r="N1579" s="187" t="inlineStr">
        <is>
          <t>https://pedagio-freefllow.site/</t>
        </is>
      </c>
      <c r="O1579" s="187" t="inlineStr">
        <is>
          <t>Block phishing URL | Warn users about pedagio-freefllow.site impersonation</t>
        </is>
      </c>
      <c r="P1579" s="187" t="inlineStr">
        <is>
          <t>Email users / pedagio-freefllow.site</t>
        </is>
      </c>
      <c r="Q1579" s="187" t="inlineStr">
        <is>
          <t>P4</t>
        </is>
      </c>
      <c r="R1579" s="187" t="inlineStr">
        <is>
          <t>🚫 Block URLs in web proxy/firewall | 📧 Update email security filters | 👥 User awareness training recommended</t>
        </is>
      </c>
      <c r="S1579" s="187" t="inlineStr">
        <is>
          <t>Phishing URL</t>
        </is>
      </c>
      <c r="T1579" s="187" t="n">
        <v>0</v>
      </c>
      <c r="U1579" s="187" t="n">
        <v>0</v>
      </c>
      <c r="V1579" s="187" t="inlineStr">
        <is>
          <t>T1566:Phishing | T1566.002:Spearphishing Link</t>
        </is>
      </c>
      <c r="W1579" s="187" t="n">
        <v>1</v>
      </c>
      <c r="X1579" s="187" t="inlineStr">
        <is>
          <t>LOW (40%)</t>
        </is>
      </c>
      <c r="Y1579" s="187" t="inlineStr">
        <is>
          <t>NONE</t>
        </is>
      </c>
      <c r="Z1579" s="187" t="inlineStr">
        <is>
          <t>NONE</t>
        </is>
      </c>
      <c r="AA1579" s="187" t="inlineStr">
        <is>
          <t>https://pedagio-freefllow.site/</t>
        </is>
      </c>
      <c r="AB1579" s="187" t="inlineStr">
        <is>
          <t>NONE</t>
        </is>
      </c>
      <c r="AC1579" s="187" t="n">
        <v>0</v>
      </c>
      <c r="AD1579" s="187" t="inlineStr"/>
    </row>
    <row r="1580">
      <c r="A1580" s="187" t="inlineStr">
        <is>
          <t>PHISH</t>
        </is>
      </c>
      <c r="B1580" s="187" t="inlineStr"/>
      <c r="C1580" s="187" t="inlineStr">
        <is>
          <t>Phishing site targeting: 38cf0019a-5b00b-4f35-84f00-1095e4a28249.es-mad-1.linodeobjects.com | URL: https://38cf0019a-5b00b-4f35-84f00-1095e4a28249.es-mad-1.linodeobjects.com/fa4002131-984f-43e8-90019-d58c358918c00.html?email@example.com</t>
        </is>
      </c>
      <c r="D1580" s="187" t="n">
        <v>6</v>
      </c>
      <c r="E1580" s="187" t="inlineStr">
        <is>
          <t>MEDIUM</t>
        </is>
      </c>
      <c r="F1580" s="187" t="n">
        <v>3</v>
      </c>
      <c r="G1580" s="187" t="n">
        <v>1</v>
      </c>
      <c r="H1580" s="187" t="inlineStr">
        <is>
          <t>MEDIUM</t>
        </is>
      </c>
      <c r="I1580" s="187" t="n">
        <v>9</v>
      </c>
      <c r="J1580" s="187" t="inlineStr">
        <is>
          <t>NO</t>
        </is>
      </c>
      <c r="K1580" s="187" t="inlineStr">
        <is>
          <t>https://38cf0019a-5b00b-4f35-84f00-1095e4a28249.es-mad-1.linodeobjects.com/fa4002131-984f-43e8-90019-d58c358918c00.html?email@example.com</t>
        </is>
      </c>
      <c r="L1580" s="187" t="inlineStr">
        <is>
          <t>2026-02-25T22:13:13+00:00</t>
        </is>
      </c>
      <c r="M1580" s="187" t="inlineStr">
        <is>
          <t>Block URL</t>
        </is>
      </c>
      <c r="N1580" s="187" t="inlineStr">
        <is>
          <t>https://38cf0019a-5b00b-4f35-84f00-1095e4a28249.es-mad-1.linodeobjects.com/fa4002131-984f-43e8-90019-d58c358918c00.html?email@example.com</t>
        </is>
      </c>
      <c r="O1580" s="187" t="inlineStr">
        <is>
          <t>Block phishing URL | Warn users about 38cf0019a-5b00b-4f35-84f00-1095e4a28249.es-mad-1.linodeobjects.com impersonation</t>
        </is>
      </c>
      <c r="P1580" s="187" t="inlineStr">
        <is>
          <t>Email users / 38cf0019a-5b00b-4f35-84f00-1095e4a28249.es-mad-1.linodeobjects.com</t>
        </is>
      </c>
      <c r="Q1580" s="187" t="inlineStr">
        <is>
          <t>P4</t>
        </is>
      </c>
      <c r="R1580" s="187" t="inlineStr">
        <is>
          <t>🚫 Block URLs in web proxy/firewall | 📧 Update email security filters | 👥 User awareness training recommended</t>
        </is>
      </c>
      <c r="S1580" s="187" t="inlineStr">
        <is>
          <t>Phishing URL</t>
        </is>
      </c>
      <c r="T1580" s="187" t="n">
        <v>0</v>
      </c>
      <c r="U1580" s="187" t="n">
        <v>0</v>
      </c>
      <c r="V1580" s="187" t="inlineStr">
        <is>
          <t>T1566:Phishing | T1566.002:Spearphishing Link</t>
        </is>
      </c>
      <c r="W1580" s="187" t="n">
        <v>1</v>
      </c>
      <c r="X1580" s="187" t="inlineStr">
        <is>
          <t>LOW (40%)</t>
        </is>
      </c>
      <c r="Y1580" s="187" t="inlineStr">
        <is>
          <t>NONE</t>
        </is>
      </c>
      <c r="Z1580" s="187" t="inlineStr">
        <is>
          <t>NONE</t>
        </is>
      </c>
      <c r="AA1580" s="187" t="inlineStr">
        <is>
          <t>https://38cf0019a-5b00b-4f35-84f00-1095e4a28249.es-mad-1.linodeobjects.com/fa4002131-984f-43e8-90019-d58c358918c00.html?email@example.com</t>
        </is>
      </c>
      <c r="AB1580" s="187" t="inlineStr">
        <is>
          <t>NONE</t>
        </is>
      </c>
      <c r="AC1580" s="187" t="n">
        <v>0</v>
      </c>
      <c r="AD1580" s="187" t="inlineStr"/>
    </row>
    <row r="1581">
      <c r="A1581" s="187" t="inlineStr">
        <is>
          <t>PHISH</t>
        </is>
      </c>
      <c r="B1581" s="187" t="inlineStr"/>
      <c r="C1581" s="187" t="inlineStr">
        <is>
          <t>Phishing site targeting: roblox.com.ly | URL: https://roblox.com.ly/games/121864768012064/Fish-It?privateServerLinkCode=41402951051112464317465848973194</t>
        </is>
      </c>
      <c r="D1581" s="187" t="n">
        <v>6</v>
      </c>
      <c r="E1581" s="187" t="inlineStr">
        <is>
          <t>MEDIUM</t>
        </is>
      </c>
      <c r="F1581" s="187" t="n">
        <v>3</v>
      </c>
      <c r="G1581" s="187" t="n">
        <v>1</v>
      </c>
      <c r="H1581" s="187" t="inlineStr">
        <is>
          <t>MEDIUM</t>
        </is>
      </c>
      <c r="I1581" s="187" t="n">
        <v>9</v>
      </c>
      <c r="J1581" s="187" t="inlineStr">
        <is>
          <t>NO</t>
        </is>
      </c>
      <c r="K1581" s="187" t="inlineStr">
        <is>
          <t>https://roblox.com.ly/games/121864768012064/Fish-It?privateServerLinkCode=41402951051112464317465848973194</t>
        </is>
      </c>
      <c r="L1581" s="187" t="inlineStr">
        <is>
          <t>2026-02-25T22:13:13+00:00</t>
        </is>
      </c>
      <c r="M1581" s="187" t="inlineStr">
        <is>
          <t>Block URL</t>
        </is>
      </c>
      <c r="N1581" s="187" t="inlineStr">
        <is>
          <t>https://roblox.com.ly/games/121864768012064/Fish-It?privateServerLinkCode=41402951051112464317465848973194</t>
        </is>
      </c>
      <c r="O1581" s="187" t="inlineStr">
        <is>
          <t>Block phishing URL | Warn users about roblox.com.ly impersonation</t>
        </is>
      </c>
      <c r="P1581" s="187" t="inlineStr">
        <is>
          <t>Email users / roblox.com.ly</t>
        </is>
      </c>
      <c r="Q1581" s="187" t="inlineStr">
        <is>
          <t>P4</t>
        </is>
      </c>
      <c r="R1581" s="187" t="inlineStr">
        <is>
          <t>🚫 Block URLs in web proxy/firewall | 📧 Update email security filters | 👥 User awareness training recommended</t>
        </is>
      </c>
      <c r="S1581" s="187" t="inlineStr">
        <is>
          <t>Phishing URL</t>
        </is>
      </c>
      <c r="T1581" s="187" t="n">
        <v>0</v>
      </c>
      <c r="U1581" s="187" t="n">
        <v>0</v>
      </c>
      <c r="V1581" s="187" t="inlineStr">
        <is>
          <t>T1566:Phishing | T1566.002:Spearphishing Link</t>
        </is>
      </c>
      <c r="W1581" s="187" t="n">
        <v>1</v>
      </c>
      <c r="X1581" s="187" t="inlineStr">
        <is>
          <t>LOW (40%)</t>
        </is>
      </c>
      <c r="Y1581" s="187" t="inlineStr">
        <is>
          <t>NONE</t>
        </is>
      </c>
      <c r="Z1581" s="187" t="inlineStr">
        <is>
          <t>NONE</t>
        </is>
      </c>
      <c r="AA1581" s="187" t="inlineStr">
        <is>
          <t>https://roblox.com.ly/games/121864768012064/Fish-It?privateServerLinkCode=41402951051112464317465848973194</t>
        </is>
      </c>
      <c r="AB1581" s="187" t="inlineStr">
        <is>
          <t>NONE</t>
        </is>
      </c>
      <c r="AC1581" s="187" t="n">
        <v>0</v>
      </c>
      <c r="AD1581" s="187" t="inlineStr"/>
    </row>
    <row r="1582">
      <c r="A1582" s="187" t="inlineStr">
        <is>
          <t>PHISH</t>
        </is>
      </c>
      <c r="B1582" s="187" t="inlineStr"/>
      <c r="C1582" s="187" t="inlineStr">
        <is>
          <t>Phishing site targeting: roblox.com.ge | URL: https://roblox.com.ge/users/3343788587/profile</t>
        </is>
      </c>
      <c r="D1582" s="187" t="n">
        <v>6</v>
      </c>
      <c r="E1582" s="187" t="inlineStr">
        <is>
          <t>MEDIUM</t>
        </is>
      </c>
      <c r="F1582" s="187" t="n">
        <v>3</v>
      </c>
      <c r="G1582" s="187" t="n">
        <v>1</v>
      </c>
      <c r="H1582" s="187" t="inlineStr">
        <is>
          <t>MEDIUM</t>
        </is>
      </c>
      <c r="I1582" s="187" t="n">
        <v>9</v>
      </c>
      <c r="J1582" s="187" t="inlineStr">
        <is>
          <t>NO</t>
        </is>
      </c>
      <c r="K1582" s="187" t="inlineStr">
        <is>
          <t>https://roblox.com.ge/users/3343788587/profile</t>
        </is>
      </c>
      <c r="L1582" s="187" t="inlineStr">
        <is>
          <t>2026-02-25T22:13:13+00:00</t>
        </is>
      </c>
      <c r="M1582" s="187" t="inlineStr">
        <is>
          <t>Block URL</t>
        </is>
      </c>
      <c r="N1582" s="187" t="inlineStr">
        <is>
          <t>https://roblox.com.ge/users/3343788587/profile</t>
        </is>
      </c>
      <c r="O1582" s="187" t="inlineStr">
        <is>
          <t>Block phishing URL | Warn users about roblox.com.ge impersonation</t>
        </is>
      </c>
      <c r="P1582" s="187" t="inlineStr">
        <is>
          <t>Email users / roblox.com.ge</t>
        </is>
      </c>
      <c r="Q1582" s="187" t="inlineStr">
        <is>
          <t>P4</t>
        </is>
      </c>
      <c r="R1582" s="187" t="inlineStr">
        <is>
          <t>🚫 Block URLs in web proxy/firewall | 📧 Update email security filters | 👥 User awareness training recommended</t>
        </is>
      </c>
      <c r="S1582" s="187" t="inlineStr">
        <is>
          <t>Phishing URL</t>
        </is>
      </c>
      <c r="T1582" s="187" t="n">
        <v>0</v>
      </c>
      <c r="U1582" s="187" t="n">
        <v>0</v>
      </c>
      <c r="V1582" s="187" t="inlineStr">
        <is>
          <t>T1566:Phishing | T1566.002:Spearphishing Link</t>
        </is>
      </c>
      <c r="W1582" s="187" t="n">
        <v>1</v>
      </c>
      <c r="X1582" s="187" t="inlineStr">
        <is>
          <t>LOW (40%)</t>
        </is>
      </c>
      <c r="Y1582" s="187" t="inlineStr">
        <is>
          <t>NONE</t>
        </is>
      </c>
      <c r="Z1582" s="187" t="inlineStr">
        <is>
          <t>NONE</t>
        </is>
      </c>
      <c r="AA1582" s="187" t="inlineStr">
        <is>
          <t>https://roblox.com.ge/users/3343788587/profile</t>
        </is>
      </c>
      <c r="AB1582" s="187" t="inlineStr">
        <is>
          <t>NONE</t>
        </is>
      </c>
      <c r="AC1582" s="187" t="n">
        <v>0</v>
      </c>
      <c r="AD1582" s="187" t="inlineStr"/>
    </row>
    <row r="1583">
      <c r="A1583" s="187" t="inlineStr">
        <is>
          <t>PHISH</t>
        </is>
      </c>
      <c r="B1583" s="187" t="inlineStr"/>
      <c r="C1583" s="187" t="inlineStr">
        <is>
          <t>Phishing site targeting: legendgroup-bd.com | URL: http://legendgroup-bd.com/login.plala/jpn/webmai1/index.php</t>
        </is>
      </c>
      <c r="D1583" s="187" t="n">
        <v>6</v>
      </c>
      <c r="E1583" s="187" t="inlineStr">
        <is>
          <t>MEDIUM</t>
        </is>
      </c>
      <c r="F1583" s="187" t="n">
        <v>3</v>
      </c>
      <c r="G1583" s="187" t="n">
        <v>1</v>
      </c>
      <c r="H1583" s="187" t="inlineStr">
        <is>
          <t>MEDIUM</t>
        </is>
      </c>
      <c r="I1583" s="187" t="n">
        <v>9</v>
      </c>
      <c r="J1583" s="187" t="inlineStr">
        <is>
          <t>NO</t>
        </is>
      </c>
      <c r="K1583" s="187" t="inlineStr">
        <is>
          <t>http://legendgroup-bd.com/login.plala/jpn/webmai1/index.php</t>
        </is>
      </c>
      <c r="L1583" s="187" t="inlineStr">
        <is>
          <t>2026-02-25T22:13:13+00:00</t>
        </is>
      </c>
      <c r="M1583" s="187" t="inlineStr">
        <is>
          <t>Block URL</t>
        </is>
      </c>
      <c r="N1583" s="187" t="inlineStr">
        <is>
          <t>http://legendgroup-bd.com/login.plala/jpn/webmai1/index.php</t>
        </is>
      </c>
      <c r="O1583" s="187" t="inlineStr">
        <is>
          <t>Block phishing URL | Warn users about legendgroup-bd.com impersonation</t>
        </is>
      </c>
      <c r="P1583" s="187" t="inlineStr">
        <is>
          <t>Email users / legendgroup-bd.com</t>
        </is>
      </c>
      <c r="Q1583" s="187" t="inlineStr">
        <is>
          <t>P4</t>
        </is>
      </c>
      <c r="R1583" s="187" t="inlineStr">
        <is>
          <t>🚫 Block URLs in web proxy/firewall | 📧 Update email security filters | 👥 User awareness training recommended</t>
        </is>
      </c>
      <c r="S1583" s="187" t="inlineStr">
        <is>
          <t>Phishing URL</t>
        </is>
      </c>
      <c r="T1583" s="187" t="n">
        <v>0</v>
      </c>
      <c r="U1583" s="187" t="n">
        <v>0</v>
      </c>
      <c r="V1583" s="187" t="inlineStr">
        <is>
          <t>T1566:Phishing | T1566.002:Spearphishing Link</t>
        </is>
      </c>
      <c r="W1583" s="187" t="n">
        <v>1</v>
      </c>
      <c r="X1583" s="187" t="inlineStr">
        <is>
          <t>LOW (40%)</t>
        </is>
      </c>
      <c r="Y1583" s="187" t="inlineStr">
        <is>
          <t>NONE</t>
        </is>
      </c>
      <c r="Z1583" s="187" t="inlineStr">
        <is>
          <t>NONE</t>
        </is>
      </c>
      <c r="AA1583" s="187" t="inlineStr">
        <is>
          <t>http://legendgroup-bd.com/login.plala/jpn/webmai1/index.php</t>
        </is>
      </c>
      <c r="AB1583" s="187" t="inlineStr">
        <is>
          <t>NONE</t>
        </is>
      </c>
      <c r="AC1583" s="187" t="n">
        <v>0</v>
      </c>
      <c r="AD1583" s="187" t="inlineStr"/>
    </row>
    <row r="1584">
      <c r="A1584" s="187" t="inlineStr">
        <is>
          <t>PHISH</t>
        </is>
      </c>
      <c r="B1584" s="187" t="inlineStr"/>
      <c r="C1584" s="187" t="inlineStr">
        <is>
          <t>Phishing site targeting: roblox.com.py | URL: https://roblox.com.py/communities/6232784528/</t>
        </is>
      </c>
      <c r="D1584" s="187" t="n">
        <v>6</v>
      </c>
      <c r="E1584" s="187" t="inlineStr">
        <is>
          <t>MEDIUM</t>
        </is>
      </c>
      <c r="F1584" s="187" t="n">
        <v>3</v>
      </c>
      <c r="G1584" s="187" t="n">
        <v>1</v>
      </c>
      <c r="H1584" s="187" t="inlineStr">
        <is>
          <t>MEDIUM</t>
        </is>
      </c>
      <c r="I1584" s="187" t="n">
        <v>9</v>
      </c>
      <c r="J1584" s="187" t="inlineStr">
        <is>
          <t>NO</t>
        </is>
      </c>
      <c r="K1584" s="187" t="inlineStr">
        <is>
          <t>https://roblox.com.py/communities/6232784528/</t>
        </is>
      </c>
      <c r="L1584" s="187" t="inlineStr">
        <is>
          <t>2026-02-25T22:13:13+00:00</t>
        </is>
      </c>
      <c r="M1584" s="187" t="inlineStr">
        <is>
          <t>Block URL</t>
        </is>
      </c>
      <c r="N1584" s="187" t="inlineStr">
        <is>
          <t>https://roblox.com.py/communities/6232784528/</t>
        </is>
      </c>
      <c r="O1584" s="187" t="inlineStr">
        <is>
          <t>Block phishing URL | Warn users about roblox.com.py impersonation</t>
        </is>
      </c>
      <c r="P1584" s="187" t="inlineStr">
        <is>
          <t>Email users / roblox.com.py</t>
        </is>
      </c>
      <c r="Q1584" s="187" t="inlineStr">
        <is>
          <t>P4</t>
        </is>
      </c>
      <c r="R1584" s="187" t="inlineStr">
        <is>
          <t>🚫 Block URLs in web proxy/firewall | 📧 Update email security filters | 👥 User awareness training recommended</t>
        </is>
      </c>
      <c r="S1584" s="187" t="inlineStr">
        <is>
          <t>Phishing URL</t>
        </is>
      </c>
      <c r="T1584" s="187" t="n">
        <v>0</v>
      </c>
      <c r="U1584" s="187" t="n">
        <v>0</v>
      </c>
      <c r="V1584" s="187" t="inlineStr">
        <is>
          <t>T1566:Phishing | T1566.002:Spearphishing Link</t>
        </is>
      </c>
      <c r="W1584" s="187" t="n">
        <v>1</v>
      </c>
      <c r="X1584" s="187" t="inlineStr">
        <is>
          <t>LOW (40%)</t>
        </is>
      </c>
      <c r="Y1584" s="187" t="inlineStr">
        <is>
          <t>NONE</t>
        </is>
      </c>
      <c r="Z1584" s="187" t="inlineStr">
        <is>
          <t>NONE</t>
        </is>
      </c>
      <c r="AA1584" s="187" t="inlineStr">
        <is>
          <t>https://roblox.com.py/communities/6232784528/</t>
        </is>
      </c>
      <c r="AB1584" s="187" t="inlineStr">
        <is>
          <t>NONE</t>
        </is>
      </c>
      <c r="AC1584" s="187" t="n">
        <v>0</v>
      </c>
      <c r="AD1584" s="187" t="inlineStr"/>
    </row>
    <row r="1585">
      <c r="A1585" s="187" t="inlineStr">
        <is>
          <t>PHISH</t>
        </is>
      </c>
      <c r="B1585" s="187" t="inlineStr"/>
      <c r="C1585" s="187" t="inlineStr">
        <is>
          <t>Phishing site targeting: naveen-gudiwada.github.io | URL: https://naveen-gudiwada.github.io/Netflix-Clone</t>
        </is>
      </c>
      <c r="D1585" s="187" t="n">
        <v>6</v>
      </c>
      <c r="E1585" s="187" t="inlineStr">
        <is>
          <t>MEDIUM</t>
        </is>
      </c>
      <c r="F1585" s="187" t="n">
        <v>3</v>
      </c>
      <c r="G1585" s="187" t="n">
        <v>1</v>
      </c>
      <c r="H1585" s="187" t="inlineStr">
        <is>
          <t>MEDIUM</t>
        </is>
      </c>
      <c r="I1585" s="187" t="n">
        <v>9</v>
      </c>
      <c r="J1585" s="187" t="inlineStr">
        <is>
          <t>NO</t>
        </is>
      </c>
      <c r="K1585" s="187" t="inlineStr">
        <is>
          <t>https://naveen-gudiwada.github.io/Netflix-Clone</t>
        </is>
      </c>
      <c r="L1585" s="187" t="inlineStr">
        <is>
          <t>2026-02-25T22:13:13+00:00</t>
        </is>
      </c>
      <c r="M1585" s="187" t="inlineStr">
        <is>
          <t>Block URL</t>
        </is>
      </c>
      <c r="N1585" s="187" t="inlineStr">
        <is>
          <t>https://naveen-gudiwada.github.io/Netflix-Clone</t>
        </is>
      </c>
      <c r="O1585" s="187" t="inlineStr">
        <is>
          <t>Block phishing URL | Warn users about naveen-gudiwada.github.io impersonation</t>
        </is>
      </c>
      <c r="P1585" s="187" t="inlineStr">
        <is>
          <t>Email users / naveen-gudiwada.github.io</t>
        </is>
      </c>
      <c r="Q1585" s="187" t="inlineStr">
        <is>
          <t>P4</t>
        </is>
      </c>
      <c r="R1585" s="187" t="inlineStr">
        <is>
          <t>🚫 Block URLs in web proxy/firewall | 📧 Update email security filters | 👥 User awareness training recommended</t>
        </is>
      </c>
      <c r="S1585" s="187" t="inlineStr">
        <is>
          <t>Phishing URL</t>
        </is>
      </c>
      <c r="T1585" s="187" t="n">
        <v>0</v>
      </c>
      <c r="U1585" s="187" t="n">
        <v>0</v>
      </c>
      <c r="V1585" s="187" t="inlineStr">
        <is>
          <t>T1566:Phishing | T1566.002:Spearphishing Link</t>
        </is>
      </c>
      <c r="W1585" s="187" t="n">
        <v>1</v>
      </c>
      <c r="X1585" s="187" t="inlineStr">
        <is>
          <t>LOW (40%)</t>
        </is>
      </c>
      <c r="Y1585" s="187" t="inlineStr">
        <is>
          <t>NONE</t>
        </is>
      </c>
      <c r="Z1585" s="187" t="inlineStr">
        <is>
          <t>NONE</t>
        </is>
      </c>
      <c r="AA1585" s="187" t="inlineStr">
        <is>
          <t>https://naveen-gudiwada.github.io/Netflix-Clone</t>
        </is>
      </c>
      <c r="AB1585" s="187" t="inlineStr">
        <is>
          <t>NONE</t>
        </is>
      </c>
      <c r="AC1585" s="187" t="n">
        <v>0</v>
      </c>
      <c r="AD1585" s="187" t="inlineStr"/>
    </row>
    <row r="1586">
      <c r="A1586" s="187" t="inlineStr">
        <is>
          <t>PHISH</t>
        </is>
      </c>
      <c r="B1586" s="187" t="inlineStr"/>
      <c r="C1586" s="187" t="inlineStr">
        <is>
          <t>Phishing site targeting: ledgerlivelogn--selct.webflow.io | URL: http://ledgerlivelogn--selct.webflow.io/</t>
        </is>
      </c>
      <c r="D1586" s="187" t="n">
        <v>6</v>
      </c>
      <c r="E1586" s="187" t="inlineStr">
        <is>
          <t>MEDIUM</t>
        </is>
      </c>
      <c r="F1586" s="187" t="n">
        <v>3</v>
      </c>
      <c r="G1586" s="187" t="n">
        <v>1</v>
      </c>
      <c r="H1586" s="187" t="inlineStr">
        <is>
          <t>MEDIUM</t>
        </is>
      </c>
      <c r="I1586" s="187" t="n">
        <v>9</v>
      </c>
      <c r="J1586" s="187" t="inlineStr">
        <is>
          <t>NO</t>
        </is>
      </c>
      <c r="K1586" s="187" t="inlineStr">
        <is>
          <t>http://ledgerlivelogn--selct.webflow.io/</t>
        </is>
      </c>
      <c r="L1586" s="187" t="inlineStr">
        <is>
          <t>2026-02-25T22:13:13+00:00</t>
        </is>
      </c>
      <c r="M1586" s="187" t="inlineStr">
        <is>
          <t>Block URL</t>
        </is>
      </c>
      <c r="N1586" s="187" t="inlineStr">
        <is>
          <t>http://ledgerlivelogn--selct.webflow.io/</t>
        </is>
      </c>
      <c r="O1586" s="187" t="inlineStr">
        <is>
          <t>Block phishing URL | Warn users about ledgerlivelogn--selct.webflow.io impersonation</t>
        </is>
      </c>
      <c r="P1586" s="187" t="inlineStr">
        <is>
          <t>Email users / ledgerlivelogn--selct.webflow.io</t>
        </is>
      </c>
      <c r="Q1586" s="187" t="inlineStr">
        <is>
          <t>P4</t>
        </is>
      </c>
      <c r="R1586" s="187" t="inlineStr">
        <is>
          <t>🚫 Block URLs in web proxy/firewall | 📧 Update email security filters | 👥 User awareness training recommended</t>
        </is>
      </c>
      <c r="S1586" s="187" t="inlineStr">
        <is>
          <t>Phishing URL</t>
        </is>
      </c>
      <c r="T1586" s="187" t="n">
        <v>0</v>
      </c>
      <c r="U1586" s="187" t="n">
        <v>0</v>
      </c>
      <c r="V1586" s="187" t="inlineStr">
        <is>
          <t>T1566:Phishing | T1566.002:Spearphishing Link</t>
        </is>
      </c>
      <c r="W1586" s="187" t="n">
        <v>1</v>
      </c>
      <c r="X1586" s="187" t="inlineStr">
        <is>
          <t>LOW (40%)</t>
        </is>
      </c>
      <c r="Y1586" s="187" t="inlineStr">
        <is>
          <t>NONE</t>
        </is>
      </c>
      <c r="Z1586" s="187" t="inlineStr">
        <is>
          <t>NONE</t>
        </is>
      </c>
      <c r="AA1586" s="187" t="inlineStr">
        <is>
          <t>http://ledgerlivelogn--selct.webflow.io/</t>
        </is>
      </c>
      <c r="AB1586" s="187" t="inlineStr">
        <is>
          <t>NONE</t>
        </is>
      </c>
      <c r="AC1586" s="187" t="n">
        <v>0</v>
      </c>
      <c r="AD1586" s="187" t="inlineStr"/>
    </row>
    <row r="1587">
      <c r="A1587" s="187" t="inlineStr">
        <is>
          <t>PHISH</t>
        </is>
      </c>
      <c r="B1587" s="187" t="inlineStr"/>
      <c r="C1587" s="187" t="inlineStr">
        <is>
          <t>Phishing site targeting: jain-ishita-45.github.io | URL: http://jain-ishita-45.github.io/netflix_clone</t>
        </is>
      </c>
      <c r="D1587" s="187" t="n">
        <v>6</v>
      </c>
      <c r="E1587" s="187" t="inlineStr">
        <is>
          <t>MEDIUM</t>
        </is>
      </c>
      <c r="F1587" s="187" t="n">
        <v>3</v>
      </c>
      <c r="G1587" s="187" t="n">
        <v>1</v>
      </c>
      <c r="H1587" s="187" t="inlineStr">
        <is>
          <t>MEDIUM</t>
        </is>
      </c>
      <c r="I1587" s="187" t="n">
        <v>9</v>
      </c>
      <c r="J1587" s="187" t="inlineStr">
        <is>
          <t>NO</t>
        </is>
      </c>
      <c r="K1587" s="187" t="inlineStr">
        <is>
          <t>http://jain-ishita-45.github.io/netflix_clone</t>
        </is>
      </c>
      <c r="L1587" s="187" t="inlineStr">
        <is>
          <t>2026-02-25T22:13:13+00:00</t>
        </is>
      </c>
      <c r="M1587" s="187" t="inlineStr">
        <is>
          <t>Block URL</t>
        </is>
      </c>
      <c r="N1587" s="187" t="inlineStr">
        <is>
          <t>http://jain-ishita-45.github.io/netflix_clone</t>
        </is>
      </c>
      <c r="O1587" s="187" t="inlineStr">
        <is>
          <t>Block phishing URL | Warn users about jain-ishita-45.github.io impersonation</t>
        </is>
      </c>
      <c r="P1587" s="187" t="inlineStr">
        <is>
          <t>Email users / jain-ishita-45.github.io</t>
        </is>
      </c>
      <c r="Q1587" s="187" t="inlineStr">
        <is>
          <t>P4</t>
        </is>
      </c>
      <c r="R1587" s="187" t="inlineStr">
        <is>
          <t>🚫 Block URLs in web proxy/firewall | 📧 Update email security filters | 👥 User awareness training recommended</t>
        </is>
      </c>
      <c r="S1587" s="187" t="inlineStr">
        <is>
          <t>Phishing URL</t>
        </is>
      </c>
      <c r="T1587" s="187" t="n">
        <v>0</v>
      </c>
      <c r="U1587" s="187" t="n">
        <v>0</v>
      </c>
      <c r="V1587" s="187" t="inlineStr">
        <is>
          <t>T1566:Phishing | T1566.002:Spearphishing Link</t>
        </is>
      </c>
      <c r="W1587" s="187" t="n">
        <v>1</v>
      </c>
      <c r="X1587" s="187" t="inlineStr">
        <is>
          <t>LOW (40%)</t>
        </is>
      </c>
      <c r="Y1587" s="187" t="inlineStr">
        <is>
          <t>NONE</t>
        </is>
      </c>
      <c r="Z1587" s="187" t="inlineStr">
        <is>
          <t>NONE</t>
        </is>
      </c>
      <c r="AA1587" s="187" t="inlineStr">
        <is>
          <t>http://jain-ishita-45.github.io/netflix_clone</t>
        </is>
      </c>
      <c r="AB1587" s="187" t="inlineStr">
        <is>
          <t>NONE</t>
        </is>
      </c>
      <c r="AC1587" s="187" t="n">
        <v>0</v>
      </c>
      <c r="AD1587" s="187" t="inlineStr"/>
    </row>
    <row r="1588">
      <c r="A1588" s="187" t="inlineStr">
        <is>
          <t>PHISH</t>
        </is>
      </c>
      <c r="B1588" s="187" t="inlineStr"/>
      <c r="C1588" s="187" t="inlineStr">
        <is>
          <t>Phishing site targeting: roblox.com.py | URL: https://roblox.com.py/users/6708440705/profile</t>
        </is>
      </c>
      <c r="D1588" s="187" t="n">
        <v>6</v>
      </c>
      <c r="E1588" s="187" t="inlineStr">
        <is>
          <t>MEDIUM</t>
        </is>
      </c>
      <c r="F1588" s="187" t="n">
        <v>3</v>
      </c>
      <c r="G1588" s="187" t="n">
        <v>1</v>
      </c>
      <c r="H1588" s="187" t="inlineStr">
        <is>
          <t>MEDIUM</t>
        </is>
      </c>
      <c r="I1588" s="187" t="n">
        <v>9</v>
      </c>
      <c r="J1588" s="187" t="inlineStr">
        <is>
          <t>NO</t>
        </is>
      </c>
      <c r="K1588" s="187" t="inlineStr">
        <is>
          <t>https://roblox.com.py/users/6708440705/profile</t>
        </is>
      </c>
      <c r="L1588" s="187" t="inlineStr">
        <is>
          <t>2026-02-25T22:13:13+00:00</t>
        </is>
      </c>
      <c r="M1588" s="187" t="inlineStr">
        <is>
          <t>Block URL</t>
        </is>
      </c>
      <c r="N1588" s="187" t="inlineStr">
        <is>
          <t>https://roblox.com.py/users/6708440705/profile</t>
        </is>
      </c>
      <c r="O1588" s="187" t="inlineStr">
        <is>
          <t>Block phishing URL | Warn users about roblox.com.py impersonation</t>
        </is>
      </c>
      <c r="P1588" s="187" t="inlineStr">
        <is>
          <t>Email users / roblox.com.py</t>
        </is>
      </c>
      <c r="Q1588" s="187" t="inlineStr">
        <is>
          <t>P4</t>
        </is>
      </c>
      <c r="R1588" s="187" t="inlineStr">
        <is>
          <t>🚫 Block URLs in web proxy/firewall | 📧 Update email security filters | 👥 User awareness training recommended</t>
        </is>
      </c>
      <c r="S1588" s="187" t="inlineStr">
        <is>
          <t>Phishing URL</t>
        </is>
      </c>
      <c r="T1588" s="187" t="n">
        <v>0</v>
      </c>
      <c r="U1588" s="187" t="n">
        <v>0</v>
      </c>
      <c r="V1588" s="187" t="inlineStr">
        <is>
          <t>T1566:Phishing | T1566.002:Spearphishing Link</t>
        </is>
      </c>
      <c r="W1588" s="187" t="n">
        <v>1</v>
      </c>
      <c r="X1588" s="187" t="inlineStr">
        <is>
          <t>LOW (40%)</t>
        </is>
      </c>
      <c r="Y1588" s="187" t="inlineStr">
        <is>
          <t>NONE</t>
        </is>
      </c>
      <c r="Z1588" s="187" t="inlineStr">
        <is>
          <t>NONE</t>
        </is>
      </c>
      <c r="AA1588" s="187" t="inlineStr">
        <is>
          <t>https://roblox.com.py/users/6708440705/profile</t>
        </is>
      </c>
      <c r="AB1588" s="187" t="inlineStr">
        <is>
          <t>NONE</t>
        </is>
      </c>
      <c r="AC1588" s="187" t="n">
        <v>0</v>
      </c>
      <c r="AD1588" s="187" t="inlineStr"/>
    </row>
    <row r="1589">
      <c r="A1589" s="187" t="inlineStr">
        <is>
          <t>PHISH</t>
        </is>
      </c>
      <c r="B1589" s="187" t="inlineStr"/>
      <c r="C1589" s="187" t="inlineStr">
        <is>
          <t>Phishing site targeting: roblox.com.py | URL: https://roblox.com.py/users/73434891/profile</t>
        </is>
      </c>
      <c r="D1589" s="187" t="n">
        <v>6</v>
      </c>
      <c r="E1589" s="187" t="inlineStr">
        <is>
          <t>MEDIUM</t>
        </is>
      </c>
      <c r="F1589" s="187" t="n">
        <v>3</v>
      </c>
      <c r="G1589" s="187" t="n">
        <v>1</v>
      </c>
      <c r="H1589" s="187" t="inlineStr">
        <is>
          <t>MEDIUM</t>
        </is>
      </c>
      <c r="I1589" s="187" t="n">
        <v>9</v>
      </c>
      <c r="J1589" s="187" t="inlineStr">
        <is>
          <t>NO</t>
        </is>
      </c>
      <c r="K1589" s="187" t="inlineStr">
        <is>
          <t>https://roblox.com.py/users/73434891/profile</t>
        </is>
      </c>
      <c r="L1589" s="187" t="inlineStr">
        <is>
          <t>2026-02-25T22:13:13+00:00</t>
        </is>
      </c>
      <c r="M1589" s="187" t="inlineStr">
        <is>
          <t>Block URL</t>
        </is>
      </c>
      <c r="N1589" s="187" t="inlineStr">
        <is>
          <t>https://roblox.com.py/users/73434891/profile</t>
        </is>
      </c>
      <c r="O1589" s="187" t="inlineStr">
        <is>
          <t>Block phishing URL | Warn users about roblox.com.py impersonation</t>
        </is>
      </c>
      <c r="P1589" s="187" t="inlineStr">
        <is>
          <t>Email users / roblox.com.py</t>
        </is>
      </c>
      <c r="Q1589" s="187" t="inlineStr">
        <is>
          <t>P4</t>
        </is>
      </c>
      <c r="R1589" s="187" t="inlineStr">
        <is>
          <t>🚫 Block URLs in web proxy/firewall | 📧 Update email security filters | 👥 User awareness training recommended</t>
        </is>
      </c>
      <c r="S1589" s="187" t="inlineStr">
        <is>
          <t>Phishing URL</t>
        </is>
      </c>
      <c r="T1589" s="187" t="n">
        <v>0</v>
      </c>
      <c r="U1589" s="187" t="n">
        <v>0</v>
      </c>
      <c r="V1589" s="187" t="inlineStr">
        <is>
          <t>T1566:Phishing | T1566.002:Spearphishing Link</t>
        </is>
      </c>
      <c r="W1589" s="187" t="n">
        <v>1</v>
      </c>
      <c r="X1589" s="187" t="inlineStr">
        <is>
          <t>LOW (40%)</t>
        </is>
      </c>
      <c r="Y1589" s="187" t="inlineStr">
        <is>
          <t>NONE</t>
        </is>
      </c>
      <c r="Z1589" s="187" t="inlineStr">
        <is>
          <t>NONE</t>
        </is>
      </c>
      <c r="AA1589" s="187" t="inlineStr">
        <is>
          <t>https://roblox.com.py/users/73434891/profile</t>
        </is>
      </c>
      <c r="AB1589" s="187" t="inlineStr">
        <is>
          <t>NONE</t>
        </is>
      </c>
      <c r="AC1589" s="187" t="n">
        <v>0</v>
      </c>
      <c r="AD1589" s="187" t="inlineStr"/>
    </row>
    <row r="1590">
      <c r="A1590" s="187" t="inlineStr">
        <is>
          <t>PHISH</t>
        </is>
      </c>
      <c r="B1590" s="187" t="inlineStr"/>
      <c r="C1590" s="187" t="inlineStr">
        <is>
          <t>Phishing site targeting: roblox.com.py | URL: https://roblox.com.py/users/4460735874/profile</t>
        </is>
      </c>
      <c r="D1590" s="187" t="n">
        <v>6</v>
      </c>
      <c r="E1590" s="187" t="inlineStr">
        <is>
          <t>MEDIUM</t>
        </is>
      </c>
      <c r="F1590" s="187" t="n">
        <v>3</v>
      </c>
      <c r="G1590" s="187" t="n">
        <v>1</v>
      </c>
      <c r="H1590" s="187" t="inlineStr">
        <is>
          <t>MEDIUM</t>
        </is>
      </c>
      <c r="I1590" s="187" t="n">
        <v>9</v>
      </c>
      <c r="J1590" s="187" t="inlineStr">
        <is>
          <t>NO</t>
        </is>
      </c>
      <c r="K1590" s="187" t="inlineStr">
        <is>
          <t>https://roblox.com.py/users/4460735874/profile</t>
        </is>
      </c>
      <c r="L1590" s="187" t="inlineStr">
        <is>
          <t>2026-02-25T22:13:13+00:00</t>
        </is>
      </c>
      <c r="M1590" s="187" t="inlineStr">
        <is>
          <t>Block URL</t>
        </is>
      </c>
      <c r="N1590" s="187" t="inlineStr">
        <is>
          <t>https://roblox.com.py/users/4460735874/profile</t>
        </is>
      </c>
      <c r="O1590" s="187" t="inlineStr">
        <is>
          <t>Block phishing URL | Warn users about roblox.com.py impersonation</t>
        </is>
      </c>
      <c r="P1590" s="187" t="inlineStr">
        <is>
          <t>Email users / roblox.com.py</t>
        </is>
      </c>
      <c r="Q1590" s="187" t="inlineStr">
        <is>
          <t>P4</t>
        </is>
      </c>
      <c r="R1590" s="187" t="inlineStr">
        <is>
          <t>🚫 Block URLs in web proxy/firewall | 📧 Update email security filters | 👥 User awareness training recommended</t>
        </is>
      </c>
      <c r="S1590" s="187" t="inlineStr">
        <is>
          <t>Phishing URL</t>
        </is>
      </c>
      <c r="T1590" s="187" t="n">
        <v>0</v>
      </c>
      <c r="U1590" s="187" t="n">
        <v>0</v>
      </c>
      <c r="V1590" s="187" t="inlineStr">
        <is>
          <t>T1566:Phishing | T1566.002:Spearphishing Link</t>
        </is>
      </c>
      <c r="W1590" s="187" t="n">
        <v>1</v>
      </c>
      <c r="X1590" s="187" t="inlineStr">
        <is>
          <t>LOW (40%)</t>
        </is>
      </c>
      <c r="Y1590" s="187" t="inlineStr">
        <is>
          <t>NONE</t>
        </is>
      </c>
      <c r="Z1590" s="187" t="inlineStr">
        <is>
          <t>NONE</t>
        </is>
      </c>
      <c r="AA1590" s="187" t="inlineStr">
        <is>
          <t>https://roblox.com.py/users/4460735874/profile</t>
        </is>
      </c>
      <c r="AB1590" s="187" t="inlineStr">
        <is>
          <t>NONE</t>
        </is>
      </c>
      <c r="AC1590" s="187" t="n">
        <v>0</v>
      </c>
      <c r="AD1590" s="187" t="inlineStr"/>
    </row>
    <row r="1591">
      <c r="A1591" s="187" t="inlineStr">
        <is>
          <t>PHISH</t>
        </is>
      </c>
      <c r="B1591" s="187" t="inlineStr"/>
      <c r="C1591" s="187" t="inlineStr">
        <is>
          <t>Phishing site targeting: www.roblox.com.py | URL: https://www.roblox.com.py/upgrades/robux?ctx=navpopover</t>
        </is>
      </c>
      <c r="D1591" s="187" t="n">
        <v>6</v>
      </c>
      <c r="E1591" s="187" t="inlineStr">
        <is>
          <t>MEDIUM</t>
        </is>
      </c>
      <c r="F1591" s="187" t="n">
        <v>3</v>
      </c>
      <c r="G1591" s="187" t="n">
        <v>1</v>
      </c>
      <c r="H1591" s="187" t="inlineStr">
        <is>
          <t>MEDIUM</t>
        </is>
      </c>
      <c r="I1591" s="187" t="n">
        <v>9</v>
      </c>
      <c r="J1591" s="187" t="inlineStr">
        <is>
          <t>NO</t>
        </is>
      </c>
      <c r="K1591" s="187" t="inlineStr">
        <is>
          <t>https://www.roblox.com.py/upgrades/robux?ctx=navpopover</t>
        </is>
      </c>
      <c r="L1591" s="187" t="inlineStr">
        <is>
          <t>2026-02-25T22:13:13+00:00</t>
        </is>
      </c>
      <c r="M1591" s="187" t="inlineStr">
        <is>
          <t>Block URL</t>
        </is>
      </c>
      <c r="N1591" s="187" t="inlineStr">
        <is>
          <t>https://www.roblox.com.py/upgrades/robux?ctx=navpopover</t>
        </is>
      </c>
      <c r="O1591" s="187" t="inlineStr">
        <is>
          <t>Block phishing URL | Warn users about www.roblox.com.py impersonation</t>
        </is>
      </c>
      <c r="P1591" s="187" t="inlineStr">
        <is>
          <t>Email users / www.roblox.com.py</t>
        </is>
      </c>
      <c r="Q1591" s="187" t="inlineStr">
        <is>
          <t>P4</t>
        </is>
      </c>
      <c r="R1591" s="187" t="inlineStr">
        <is>
          <t>🚫 Block URLs in web proxy/firewall | 📧 Update email security filters | 👥 User awareness training recommended</t>
        </is>
      </c>
      <c r="S1591" s="187" t="inlineStr">
        <is>
          <t>Phishing URL</t>
        </is>
      </c>
      <c r="T1591" s="187" t="n">
        <v>0</v>
      </c>
      <c r="U1591" s="187" t="n">
        <v>0</v>
      </c>
      <c r="V1591" s="187" t="inlineStr">
        <is>
          <t>T1566:Phishing | T1566.002:Spearphishing Link</t>
        </is>
      </c>
      <c r="W1591" s="187" t="n">
        <v>1</v>
      </c>
      <c r="X1591" s="187" t="inlineStr">
        <is>
          <t>LOW (40%)</t>
        </is>
      </c>
      <c r="Y1591" s="187" t="inlineStr">
        <is>
          <t>NONE</t>
        </is>
      </c>
      <c r="Z1591" s="187" t="inlineStr">
        <is>
          <t>NONE</t>
        </is>
      </c>
      <c r="AA1591" s="187" t="inlineStr">
        <is>
          <t>https://www.roblox.com.py/upgrades/robux?ctx=navpopover</t>
        </is>
      </c>
      <c r="AB1591" s="187" t="inlineStr">
        <is>
          <t>NONE</t>
        </is>
      </c>
      <c r="AC1591" s="187" t="n">
        <v>0</v>
      </c>
      <c r="AD1591" s="187" t="inlineStr"/>
    </row>
    <row r="1592">
      <c r="A1592" s="188" t="inlineStr">
        <is>
          <t>OTX_PULSE</t>
        </is>
      </c>
      <c r="B1592" s="188" t="inlineStr">
        <is>
          <t>699f5536e9f0860107bbaba7</t>
        </is>
      </c>
      <c r="C1592" s="188" t="inlineStr">
        <is>
          <t>Unmasking Agent Tesla: A Deep Dive into a Multi-Stage Campaign: This analysis examines a sophisticated multi-stage infection chain utilizing Agent Tesla malware. The attack begins with a phishing email containing a RAR file, which includes an obfuscated JSE file. This initial stage triggers a series of script-based evasions, leading to the download and decryption of a PowerShell script. The malware then employs process hollowing to inject its payload into a legitimate Windows process, evading de</t>
        </is>
      </c>
      <c r="D1592" s="188" t="n">
        <v>7</v>
      </c>
      <c r="E1592" s="188" t="inlineStr">
        <is>
          <t>HIGH</t>
        </is>
      </c>
      <c r="F1592" s="188" t="n">
        <v>3</v>
      </c>
      <c r="G1592" s="188" t="n">
        <v>2</v>
      </c>
      <c r="H1592" s="188" t="inlineStr">
        <is>
          <t>HIGH</t>
        </is>
      </c>
      <c r="I1592" s="188" t="n">
        <v>13</v>
      </c>
      <c r="J1592" s="188" t="inlineStr">
        <is>
          <t>NO</t>
        </is>
      </c>
      <c r="K1592" s="188" t="inlineStr">
        <is>
          <t>https://www.fortinet.com/blog/threat-research/unmasking-agent-tesla-deep-dive-into-multi-stage-campaign</t>
        </is>
      </c>
      <c r="L1592" s="188" t="inlineStr">
        <is>
          <t>2026-02-25T20:01:58.886000</t>
        </is>
      </c>
      <c r="M1592" s="188" t="inlineStr">
        <is>
          <t>SEE_PULSE</t>
        </is>
      </c>
      <c r="N1592" s="188" t="inlineStr">
        <is>
          <t>https://www.fortinet.com/blog/threat-research/unmasking-agent-tesla-deep-dive-into-multi-stage-campaign</t>
        </is>
      </c>
      <c r="O1592" s="188" t="inlineStr">
        <is>
          <t>Block IOCs from pulse | Review pulse for indicators</t>
        </is>
      </c>
      <c r="P1592" s="188" t="inlineStr">
        <is>
          <t>credential harvesting, smtp, data exfiltration, anti-analysis, phishing, process hollowing, in-memory execution, agent tesla, multi-stage attack</t>
        </is>
      </c>
      <c r="Q1592" s="188" t="inlineStr">
        <is>
          <t>P3</t>
        </is>
      </c>
      <c r="R1592" s="188" t="inlineStr">
        <is>
          <t>🔍 Investigate and apply appropriate controls</t>
        </is>
      </c>
      <c r="S1592" s="188" t="inlineStr">
        <is>
          <t>OTX Pulse - check IP IOCs separately</t>
        </is>
      </c>
      <c r="T1592" s="188" t="n">
        <v>0</v>
      </c>
      <c r="U1592" s="188" t="n">
        <v>0</v>
      </c>
      <c r="V1592" s="188" t="inlineStr">
        <is>
          <t>See OTX pulse tags</t>
        </is>
      </c>
      <c r="W1592" s="188" t="n">
        <v>1</v>
      </c>
      <c r="X1592" s="188" t="inlineStr">
        <is>
          <t>LOW (40%)</t>
        </is>
      </c>
      <c r="Y1592" s="188" t="inlineStr">
        <is>
          <t>NONE</t>
        </is>
      </c>
      <c r="Z1592" s="188" t="inlineStr">
        <is>
          <t>NONE</t>
        </is>
      </c>
      <c r="AA1592" s="188" t="inlineStr">
        <is>
          <t>NONE</t>
        </is>
      </c>
      <c r="AB1592" s="188" t="inlineStr">
        <is>
          <t>NONE</t>
        </is>
      </c>
      <c r="AC1592" s="188" t="n">
        <v>0</v>
      </c>
      <c r="AD1592" s="188" t="inlineStr"/>
    </row>
    <row r="1593">
      <c r="A1593" s="188" t="inlineStr">
        <is>
          <t>OTX_PULSE</t>
        </is>
      </c>
      <c r="B1593" s="188" t="inlineStr">
        <is>
          <t>6894566bd94b79b7fbdbade1</t>
        </is>
      </c>
      <c r="C1593" s="188" t="inlineStr">
        <is>
          <t>Infrastructure of Interest: Medium Confidence InfoStealer: These indicators of compromise (IOCs) were identified through LevelBlue Labs' proprietary collection and threat hunting processes, leveraging AI-driven heuristics to detect anomalous patterns, behavioral analysis of malicious activity, and cross-referenced intelligence from endpoint telemetry and external sources. The IOCs included in this pulse are associated with infostealer malware, designed to harvest sensitive data such as credentia</t>
        </is>
      </c>
      <c r="D1593" s="188" t="n">
        <v>7</v>
      </c>
      <c r="E1593" s="188" t="inlineStr">
        <is>
          <t>HIGH</t>
        </is>
      </c>
      <c r="F1593" s="188" t="n">
        <v>3</v>
      </c>
      <c r="G1593" s="188" t="n">
        <v>2</v>
      </c>
      <c r="H1593" s="188" t="inlineStr">
        <is>
          <t>HIGH</t>
        </is>
      </c>
      <c r="I1593" s="188" t="n">
        <v>13</v>
      </c>
      <c r="J1593" s="188" t="inlineStr">
        <is>
          <t>NO</t>
        </is>
      </c>
      <c r="K1593" s="188" t="inlineStr">
        <is>
          <t>https://otx.alienvault.com</t>
        </is>
      </c>
      <c r="L1593" s="188" t="inlineStr">
        <is>
          <t>2025-08-07T07:31:55.617000</t>
        </is>
      </c>
      <c r="M1593" s="188" t="inlineStr">
        <is>
          <t>SEE_PULSE</t>
        </is>
      </c>
      <c r="N1593" s="188" t="inlineStr">
        <is>
          <t>https://otx.alienvault.com</t>
        </is>
      </c>
      <c r="O1593" s="188" t="inlineStr">
        <is>
          <t>Block IOCs from pulse | Review pulse for indicators</t>
        </is>
      </c>
      <c r="P1593" s="188" t="inlineStr">
        <is>
          <t>Various</t>
        </is>
      </c>
      <c r="Q1593" s="188" t="inlineStr">
        <is>
          <t>P3</t>
        </is>
      </c>
      <c r="R1593" s="188" t="inlineStr">
        <is>
          <t>🔍 Investigate and apply appropriate controls</t>
        </is>
      </c>
      <c r="S1593" s="188" t="inlineStr">
        <is>
          <t>OTX Pulse - check IP IOCs separately</t>
        </is>
      </c>
      <c r="T1593" s="188" t="n">
        <v>0</v>
      </c>
      <c r="U1593" s="188" t="n">
        <v>0</v>
      </c>
      <c r="V1593" s="188" t="inlineStr">
        <is>
          <t>See OTX pulse tags</t>
        </is>
      </c>
      <c r="W1593" s="188" t="n">
        <v>1</v>
      </c>
      <c r="X1593" s="188" t="inlineStr">
        <is>
          <t>LOW (40%)</t>
        </is>
      </c>
      <c r="Y1593" s="188" t="inlineStr">
        <is>
          <t>NONE</t>
        </is>
      </c>
      <c r="Z1593" s="188" t="inlineStr">
        <is>
          <t>NONE</t>
        </is>
      </c>
      <c r="AA1593" s="188" t="inlineStr">
        <is>
          <t>NONE</t>
        </is>
      </c>
      <c r="AB1593" s="188" t="inlineStr">
        <is>
          <t>NONE</t>
        </is>
      </c>
      <c r="AC1593" s="188" t="n">
        <v>0</v>
      </c>
      <c r="AD1593" s="188" t="inlineStr"/>
    </row>
    <row r="1594">
      <c r="A1594" s="188" t="inlineStr">
        <is>
          <t>OTX_PULSE</t>
        </is>
      </c>
      <c r="B1594" s="188" t="inlineStr">
        <is>
          <t>689455e11e25236fe810364b</t>
        </is>
      </c>
      <c r="C1594" s="188" t="inlineStr">
        <is>
          <t>Infrastructure of Interest: Medium Confidence Command And Control: These indicators of compromise (IOCs) were identified through LevelBlue Labs' proprietary collection and threat hunting processes, leveraging AI-driven heuristics to detect anomalous patterns, behavioral analysis of malicious activity, and cross-referenced intelligence from endpoint telemetry and external sources. The IOCs included in this pulse are associated with command and control (C2) infrastructure, facilitating malware com</t>
        </is>
      </c>
      <c r="D1594" s="188" t="n">
        <v>7</v>
      </c>
      <c r="E1594" s="188" t="inlineStr">
        <is>
          <t>HIGH</t>
        </is>
      </c>
      <c r="F1594" s="188" t="n">
        <v>3</v>
      </c>
      <c r="G1594" s="188" t="n">
        <v>2</v>
      </c>
      <c r="H1594" s="188" t="inlineStr">
        <is>
          <t>HIGH</t>
        </is>
      </c>
      <c r="I1594" s="188" t="n">
        <v>13</v>
      </c>
      <c r="J1594" s="188" t="inlineStr">
        <is>
          <t>NO</t>
        </is>
      </c>
      <c r="K1594" s="188" t="inlineStr">
        <is>
          <t>https://otx.alienvault.com</t>
        </is>
      </c>
      <c r="L1594" s="188" t="inlineStr">
        <is>
          <t>2025-08-07T07:29:37.542000</t>
        </is>
      </c>
      <c r="M1594" s="188" t="inlineStr">
        <is>
          <t>SEE_PULSE</t>
        </is>
      </c>
      <c r="N1594" s="188" t="inlineStr">
        <is>
          <t>https://otx.alienvault.com</t>
        </is>
      </c>
      <c r="O1594" s="188" t="inlineStr">
        <is>
          <t>Block IOCs from pulse | Review pulse for indicators</t>
        </is>
      </c>
      <c r="P1594" s="188" t="inlineStr">
        <is>
          <t>Various</t>
        </is>
      </c>
      <c r="Q1594" s="188" t="inlineStr">
        <is>
          <t>P3</t>
        </is>
      </c>
      <c r="R1594" s="188" t="inlineStr">
        <is>
          <t>🔍 Investigate and apply appropriate controls</t>
        </is>
      </c>
      <c r="S1594" s="188" t="inlineStr">
        <is>
          <t>OTX Pulse - check IP IOCs separately</t>
        </is>
      </c>
      <c r="T1594" s="188" t="n">
        <v>0</v>
      </c>
      <c r="U1594" s="188" t="n">
        <v>0</v>
      </c>
      <c r="V1594" s="188" t="inlineStr">
        <is>
          <t>See OTX pulse tags</t>
        </is>
      </c>
      <c r="W1594" s="188" t="n">
        <v>1</v>
      </c>
      <c r="X1594" s="188" t="inlineStr">
        <is>
          <t>LOW (40%)</t>
        </is>
      </c>
      <c r="Y1594" s="188" t="inlineStr">
        <is>
          <t>NONE</t>
        </is>
      </c>
      <c r="Z1594" s="188" t="inlineStr">
        <is>
          <t>NONE</t>
        </is>
      </c>
      <c r="AA1594" s="188" t="inlineStr">
        <is>
          <t>NONE</t>
        </is>
      </c>
      <c r="AB1594" s="188" t="inlineStr">
        <is>
          <t>NONE</t>
        </is>
      </c>
      <c r="AC1594" s="188" t="n">
        <v>0</v>
      </c>
      <c r="AD1594" s="188" t="inlineStr"/>
    </row>
    <row r="1595">
      <c r="A1595" s="188" t="inlineStr">
        <is>
          <t>OTX_PULSE</t>
        </is>
      </c>
      <c r="B1595" s="188" t="inlineStr">
        <is>
          <t>689453a1603f3d4b93557f2a</t>
        </is>
      </c>
      <c r="C1595" s="188" t="inlineStr">
        <is>
          <t>Infrastructure of Interest: Medium Confidence Phishing: These indicators of compromise (IOCs) were identified through LevelBlue Labs' proprietary collection and threat hunting processes, leveraging AI-driven heuristics to detect anomalous patterns, behavioral analysis of malicious activity, and cross-referenced intelligence from endpoint telemetry and external sources. The IOCs included in this pulse are associated with phishing campaigns, targeting credential theft and fraudulent resource acces</t>
        </is>
      </c>
      <c r="D1595" s="188" t="n">
        <v>7</v>
      </c>
      <c r="E1595" s="188" t="inlineStr">
        <is>
          <t>HIGH</t>
        </is>
      </c>
      <c r="F1595" s="188" t="n">
        <v>3</v>
      </c>
      <c r="G1595" s="188" t="n">
        <v>2</v>
      </c>
      <c r="H1595" s="188" t="inlineStr">
        <is>
          <t>HIGH</t>
        </is>
      </c>
      <c r="I1595" s="188" t="n">
        <v>13</v>
      </c>
      <c r="J1595" s="188" t="inlineStr">
        <is>
          <t>NO</t>
        </is>
      </c>
      <c r="K1595" s="188" t="inlineStr">
        <is>
          <t>https://otx.alienvault.com</t>
        </is>
      </c>
      <c r="L1595" s="188" t="inlineStr">
        <is>
          <t>2025-08-07T07:20:01.253000</t>
        </is>
      </c>
      <c r="M1595" s="188" t="inlineStr">
        <is>
          <t>SEE_PULSE</t>
        </is>
      </c>
      <c r="N1595" s="188" t="inlineStr">
        <is>
          <t>https://otx.alienvault.com</t>
        </is>
      </c>
      <c r="O1595" s="188" t="inlineStr">
        <is>
          <t>Block IOCs from pulse | Review pulse for indicators</t>
        </is>
      </c>
      <c r="P1595" s="188" t="inlineStr">
        <is>
          <t>Various</t>
        </is>
      </c>
      <c r="Q1595" s="188" t="inlineStr">
        <is>
          <t>P3</t>
        </is>
      </c>
      <c r="R1595" s="188" t="inlineStr">
        <is>
          <t>🔍 Investigate and apply appropriate controls</t>
        </is>
      </c>
      <c r="S1595" s="188" t="inlineStr">
        <is>
          <t>OTX Pulse - check IP IOCs separately</t>
        </is>
      </c>
      <c r="T1595" s="188" t="n">
        <v>0</v>
      </c>
      <c r="U1595" s="188" t="n">
        <v>0</v>
      </c>
      <c r="V1595" s="188" t="inlineStr">
        <is>
          <t>See OTX pulse tags</t>
        </is>
      </c>
      <c r="W1595" s="188" t="n">
        <v>1</v>
      </c>
      <c r="X1595" s="188" t="inlineStr">
        <is>
          <t>LOW (40%)</t>
        </is>
      </c>
      <c r="Y1595" s="188" t="inlineStr">
        <is>
          <t>NONE</t>
        </is>
      </c>
      <c r="Z1595" s="188" t="inlineStr">
        <is>
          <t>NONE</t>
        </is>
      </c>
      <c r="AA1595" s="188" t="inlineStr">
        <is>
          <t>NONE</t>
        </is>
      </c>
      <c r="AB1595" s="188" t="inlineStr">
        <is>
          <t>NONE</t>
        </is>
      </c>
      <c r="AC1595" s="188" t="n">
        <v>0</v>
      </c>
      <c r="AD1595" s="188" t="inlineStr"/>
    </row>
    <row r="1596">
      <c r="A1596" s="188" t="inlineStr">
        <is>
          <t>OTX_PULSE</t>
        </is>
      </c>
      <c r="B1596" s="188" t="inlineStr">
        <is>
          <t>69778aef872cffc134e67ace</t>
        </is>
      </c>
      <c r="C1596" s="188" t="inlineStr">
        <is>
          <t>Chrome Extensions: Are you getting more than you bargained for?: This analysis reveals the hidden dangers of certain Chrome extensions available on the Google Chrome Web Store. Despite the store's vetting process, some malicious extensions have slipped through, compromising user security. The study examines four examples of extensions with combined user bases exceeding 100,000, showcasing various security risks. These include undisclosed clipboard access to remote domains, data exfiltration, rem</t>
        </is>
      </c>
      <c r="D1596" s="188" t="n">
        <v>7</v>
      </c>
      <c r="E1596" s="188" t="inlineStr">
        <is>
          <t>HIGH</t>
        </is>
      </c>
      <c r="F1596" s="188" t="n">
        <v>3</v>
      </c>
      <c r="G1596" s="188" t="n">
        <v>2</v>
      </c>
      <c r="H1596" s="188" t="inlineStr">
        <is>
          <t>HIGH</t>
        </is>
      </c>
      <c r="I1596" s="188" t="n">
        <v>13</v>
      </c>
      <c r="J1596" s="188" t="inlineStr">
        <is>
          <t>NO</t>
        </is>
      </c>
      <c r="K1596" s="188" t="inlineStr">
        <is>
          <t>https://www.security.com/threat-intelligence/chrome-extensions-are-you-getting-more-you-bargained</t>
        </is>
      </c>
      <c r="L1596" s="188" t="inlineStr">
        <is>
          <t>2026-01-26T15:40:31.078000</t>
        </is>
      </c>
      <c r="M1596" s="188" t="inlineStr">
        <is>
          <t>SEE_PULSE</t>
        </is>
      </c>
      <c r="N1596" s="188" t="inlineStr">
        <is>
          <t>https://www.security.com/threat-intelligence/chrome-extensions-are-you-getting-more-you-bargained</t>
        </is>
      </c>
      <c r="O1596" s="188" t="inlineStr">
        <is>
          <t>Block IOCs from pulse | Review pulse for indicators</t>
        </is>
      </c>
      <c r="P1596" s="188" t="inlineStr">
        <is>
          <t>data exfiltration, malicious extensions, xss vulnerability, security risks, cve-2020-28707, search hijacking, chrome extensions, remote code execution, clipboard access</t>
        </is>
      </c>
      <c r="Q1596" s="188" t="inlineStr">
        <is>
          <t>P3</t>
        </is>
      </c>
      <c r="R1596" s="188" t="inlineStr">
        <is>
          <t>🔍 Investigate and apply appropriate controls</t>
        </is>
      </c>
      <c r="S1596" s="188" t="inlineStr">
        <is>
          <t>OTX Pulse - check IP IOCs separately</t>
        </is>
      </c>
      <c r="T1596" s="188" t="n">
        <v>0</v>
      </c>
      <c r="U1596" s="188" t="n">
        <v>0</v>
      </c>
      <c r="V1596" s="188" t="inlineStr">
        <is>
          <t>See OTX pulse tags</t>
        </is>
      </c>
      <c r="W1596" s="188" t="n">
        <v>1</v>
      </c>
      <c r="X1596" s="188" t="inlineStr">
        <is>
          <t>LOW (40%)</t>
        </is>
      </c>
      <c r="Y1596" s="188" t="inlineStr">
        <is>
          <t>NONE</t>
        </is>
      </c>
      <c r="Z1596" s="188" t="inlineStr">
        <is>
          <t>NONE</t>
        </is>
      </c>
      <c r="AA1596" s="188" t="inlineStr">
        <is>
          <t>NONE</t>
        </is>
      </c>
      <c r="AB1596" s="188" t="inlineStr">
        <is>
          <t>NONE</t>
        </is>
      </c>
      <c r="AC1596" s="188" t="n">
        <v>0</v>
      </c>
      <c r="AD1596" s="188" t="inlineStr"/>
    </row>
    <row r="1597">
      <c r="A1597" s="188" t="inlineStr">
        <is>
          <t>OTX_PULSE</t>
        </is>
      </c>
      <c r="B1597" s="188" t="inlineStr">
        <is>
          <t>69777a203745e70e7425106f</t>
        </is>
      </c>
      <c r="C1597" s="188" t="inlineStr">
        <is>
          <t xml:space="preserve">Malware MoonPeak Executed via LNK Files: In January 2026, IIJ observed malicious LNK files targeting Korean users to execute the MoonPeak malware, attributed to North Korean threat actors. The infection chain begins with a LNK file that runs an obfuscated PowerShell script, which checks for analysis environments, creates additional scripts, and sets up persistence. The second stage downloads and executes a payload from GitHub, which is actually the MoonPeak malware. MoonPeak is obfuscated using </t>
        </is>
      </c>
      <c r="D1597" s="188" t="n">
        <v>7</v>
      </c>
      <c r="E1597" s="188" t="inlineStr">
        <is>
          <t>HIGH</t>
        </is>
      </c>
      <c r="F1597" s="188" t="n">
        <v>3</v>
      </c>
      <c r="G1597" s="188" t="n">
        <v>2</v>
      </c>
      <c r="H1597" s="188" t="inlineStr">
        <is>
          <t>HIGH</t>
        </is>
      </c>
      <c r="I1597" s="188" t="n">
        <v>13</v>
      </c>
      <c r="J1597" s="188" t="inlineStr">
        <is>
          <t>NO</t>
        </is>
      </c>
      <c r="K1597" s="188" t="inlineStr">
        <is>
          <t>https://sect.iij.ad.jp/blog/2026/01/dprk-moonpeak-executed-via-malicious-lnk-file</t>
        </is>
      </c>
      <c r="L1597" s="188" t="inlineStr">
        <is>
          <t>2026-01-26T14:28:48.027000</t>
        </is>
      </c>
      <c r="M1597" s="188" t="inlineStr">
        <is>
          <t>SEE_PULSE</t>
        </is>
      </c>
      <c r="N1597" s="188" t="inlineStr">
        <is>
          <t>https://sect.iij.ad.jp/blog/2026/01/dprk-moonpeak-executed-via-malicious-lnk-file</t>
        </is>
      </c>
      <c r="O1597" s="188" t="inlineStr">
        <is>
          <t>Block IOCs from pulse | Review pulse for indicators</t>
        </is>
      </c>
      <c r="P1597" s="188" t="inlineStr">
        <is>
          <t>lots, korea, persistence, github, lnk files, xenorat, powershell, moonpeak, confuserex</t>
        </is>
      </c>
      <c r="Q1597" s="188" t="inlineStr">
        <is>
          <t>P3</t>
        </is>
      </c>
      <c r="R1597" s="188" t="inlineStr">
        <is>
          <t>🔍 Investigate and apply appropriate controls</t>
        </is>
      </c>
      <c r="S1597" s="188" t="inlineStr">
        <is>
          <t>OTX Pulse - check IP IOCs separately</t>
        </is>
      </c>
      <c r="T1597" s="188" t="n">
        <v>0</v>
      </c>
      <c r="U1597" s="188" t="n">
        <v>0</v>
      </c>
      <c r="V1597" s="188" t="inlineStr">
        <is>
          <t>See OTX pulse tags</t>
        </is>
      </c>
      <c r="W1597" s="188" t="n">
        <v>1</v>
      </c>
      <c r="X1597" s="188" t="inlineStr">
        <is>
          <t>LOW (40%)</t>
        </is>
      </c>
      <c r="Y1597" s="188" t="inlineStr">
        <is>
          <t>NONE</t>
        </is>
      </c>
      <c r="Z1597" s="188" t="inlineStr">
        <is>
          <t>NONE</t>
        </is>
      </c>
      <c r="AA1597" s="188" t="inlineStr">
        <is>
          <t>NONE</t>
        </is>
      </c>
      <c r="AB1597" s="188" t="inlineStr">
        <is>
          <t>NONE</t>
        </is>
      </c>
      <c r="AC1597" s="188" t="n">
        <v>0</v>
      </c>
      <c r="AD1597" s="188" t="inlineStr"/>
    </row>
    <row r="1598">
      <c r="A1598" s="188" t="inlineStr">
        <is>
          <t>OTX_PULSE</t>
        </is>
      </c>
      <c r="B1598" s="188" t="inlineStr">
        <is>
          <t>699ee10d4bfa4e5fcf71399d</t>
        </is>
      </c>
      <c r="C1598" s="188" t="inlineStr">
        <is>
          <t>Inside the Fix: Analysis of In-the-Wild Exploit of CVE-2026-21513: This analysis examines CVE-2026-21513, a security bypass vulnerability in Microsoft's MSHTML framework, patched in February 2026. The flaw, actively exploited by Russian state-sponsored actor APT28, affects all Windows versions and has a CVSS score of 8.8. Using PatchDiff-AI, researchers identified the root cause in ieframe.dll's hyperlink navigation handling, allowing arbitrary file execution outside the browser's security conte</t>
        </is>
      </c>
      <c r="D1598" s="188" t="n">
        <v>7</v>
      </c>
      <c r="E1598" s="188" t="inlineStr">
        <is>
          <t>HIGH</t>
        </is>
      </c>
      <c r="F1598" s="188" t="n">
        <v>3</v>
      </c>
      <c r="G1598" s="188" t="n">
        <v>2</v>
      </c>
      <c r="H1598" s="188" t="inlineStr">
        <is>
          <t>HIGH</t>
        </is>
      </c>
      <c r="I1598" s="188" t="n">
        <v>13</v>
      </c>
      <c r="J1598" s="188" t="inlineStr">
        <is>
          <t>NO</t>
        </is>
      </c>
      <c r="K1598" s="188" t="inlineStr">
        <is>
          <t>https://www.akamai.com/blog/security-research/2026/feb/inside-the-fix-cve-2026-21513-mshtml-exploit-analysis</t>
        </is>
      </c>
      <c r="L1598" s="188" t="inlineStr">
        <is>
          <t>2026-02-25T11:46:21.970000</t>
        </is>
      </c>
      <c r="M1598" s="188" t="inlineStr">
        <is>
          <t>SEE_PULSE</t>
        </is>
      </c>
      <c r="N1598" s="188" t="inlineStr">
        <is>
          <t>https://www.akamai.com/blog/security-research/2026/feb/inside-the-fix-cve-2026-21513-mshtml-exploit-analysis</t>
        </is>
      </c>
      <c r="O1598" s="188" t="inlineStr">
        <is>
          <t>Block IOCs from pulse | Review pulse for indicators</t>
        </is>
      </c>
      <c r="P1598" s="188" t="inlineStr">
        <is>
          <t>exploit, patchdiff-ai, windows, ieframe.dll, cve-2026-21513, shellexecuteexw, mshtml, zero-day</t>
        </is>
      </c>
      <c r="Q1598" s="188" t="inlineStr">
        <is>
          <t>P3</t>
        </is>
      </c>
      <c r="R1598" s="188" t="inlineStr">
        <is>
          <t>🔍 Investigate and apply appropriate controls</t>
        </is>
      </c>
      <c r="S1598" s="188" t="inlineStr">
        <is>
          <t>OTX Pulse - check IP IOCs separately</t>
        </is>
      </c>
      <c r="T1598" s="188" t="n">
        <v>0</v>
      </c>
      <c r="U1598" s="188" t="n">
        <v>0</v>
      </c>
      <c r="V1598" s="188" t="inlineStr">
        <is>
          <t>See OTX pulse tags</t>
        </is>
      </c>
      <c r="W1598" s="188" t="n">
        <v>1</v>
      </c>
      <c r="X1598" s="188" t="inlineStr">
        <is>
          <t>LOW (40%)</t>
        </is>
      </c>
      <c r="Y1598" s="188" t="inlineStr">
        <is>
          <t>NONE</t>
        </is>
      </c>
      <c r="Z1598" s="188" t="inlineStr">
        <is>
          <t>NONE</t>
        </is>
      </c>
      <c r="AA1598" s="188" t="inlineStr">
        <is>
          <t>NONE</t>
        </is>
      </c>
      <c r="AB1598" s="188" t="inlineStr">
        <is>
          <t>NONE</t>
        </is>
      </c>
      <c r="AC1598" s="188" t="n">
        <v>0</v>
      </c>
      <c r="AD1598" s="188" t="inlineStr"/>
    </row>
    <row r="1599">
      <c r="A1599" s="188" t="inlineStr">
        <is>
          <t>OTX_PULSE</t>
        </is>
      </c>
      <c r="B1599" s="188" t="inlineStr">
        <is>
          <t>689456eba72f618e9d63e8dd</t>
        </is>
      </c>
      <c r="C1599" s="188" t="inlineStr">
        <is>
          <t>Infrastructure of Interest: Medium Confidence FastFlux: These indicators of compromise (IOCs) were identified through LevelBlue Labs' proprietary collection and threat hunting processes, leveraging AI-driven heuristics to detect anomalous DNS patterns, behavioral analysis of rapid IP rotation, and cross-referenced intelligence from global sinkhole data and network telemetry. The IOCs included in this pulse are associated with Fastflux networks, characterized by constantly changing IP addresses a</t>
        </is>
      </c>
      <c r="D1599" s="188" t="n">
        <v>7</v>
      </c>
      <c r="E1599" s="188" t="inlineStr">
        <is>
          <t>HIGH</t>
        </is>
      </c>
      <c r="F1599" s="188" t="n">
        <v>3</v>
      </c>
      <c r="G1599" s="188" t="n">
        <v>2</v>
      </c>
      <c r="H1599" s="188" t="inlineStr">
        <is>
          <t>HIGH</t>
        </is>
      </c>
      <c r="I1599" s="188" t="n">
        <v>13</v>
      </c>
      <c r="J1599" s="188" t="inlineStr">
        <is>
          <t>NO</t>
        </is>
      </c>
      <c r="K1599" s="188" t="inlineStr">
        <is>
          <t>https://otx.alienvault.com</t>
        </is>
      </c>
      <c r="L1599" s="188" t="inlineStr">
        <is>
          <t>2025-08-07T07:34:03.778000</t>
        </is>
      </c>
      <c r="M1599" s="188" t="inlineStr">
        <is>
          <t>SEE_PULSE</t>
        </is>
      </c>
      <c r="N1599" s="188" t="inlineStr">
        <is>
          <t>https://otx.alienvault.com</t>
        </is>
      </c>
      <c r="O1599" s="188" t="inlineStr">
        <is>
          <t>Block IOCs from pulse | Review pulse for indicators</t>
        </is>
      </c>
      <c r="P1599" s="188" t="inlineStr">
        <is>
          <t>Various</t>
        </is>
      </c>
      <c r="Q1599" s="188" t="inlineStr">
        <is>
          <t>P3</t>
        </is>
      </c>
      <c r="R1599" s="188" t="inlineStr">
        <is>
          <t>🔍 Investigate and apply appropriate controls</t>
        </is>
      </c>
      <c r="S1599" s="188" t="inlineStr">
        <is>
          <t>OTX Pulse - check IP IOCs separately</t>
        </is>
      </c>
      <c r="T1599" s="188" t="n">
        <v>0</v>
      </c>
      <c r="U1599" s="188" t="n">
        <v>0</v>
      </c>
      <c r="V1599" s="188" t="inlineStr">
        <is>
          <t>See OTX pulse tags</t>
        </is>
      </c>
      <c r="W1599" s="188" t="n">
        <v>1</v>
      </c>
      <c r="X1599" s="188" t="inlineStr">
        <is>
          <t>LOW (40%)</t>
        </is>
      </c>
      <c r="Y1599" s="188" t="inlineStr">
        <is>
          <t>NONE</t>
        </is>
      </c>
      <c r="Z1599" s="188" t="inlineStr">
        <is>
          <t>NONE</t>
        </is>
      </c>
      <c r="AA1599" s="188" t="inlineStr">
        <is>
          <t>NONE</t>
        </is>
      </c>
      <c r="AB1599" s="188" t="inlineStr">
        <is>
          <t>NONE</t>
        </is>
      </c>
      <c r="AC1599" s="188" t="n">
        <v>0</v>
      </c>
      <c r="AD1599" s="188" t="inlineStr"/>
    </row>
    <row r="1600">
      <c r="A1600" s="188" t="inlineStr">
        <is>
          <t>OTX_PULSE</t>
        </is>
      </c>
      <c r="B1600" s="188" t="inlineStr">
        <is>
          <t>699ede794dd30674f7d583d5</t>
        </is>
      </c>
      <c r="C1600" s="188" t="inlineStr">
        <is>
          <t>Mercenary Akula Hits Ukraine-Supporting Financial...: A European financial institution involved in regional development and reconstruction initiatives was targeted by a social engineering attack attributed to the Russia-aligned Mercenary Akula. The attack used a spoofed Ukrainian judicial domain to deliver an email containing a link to a remote access payload. The target was a senior legal and policy advisor involved in procurement. The attack employed a multi-stage extraction process and deploy</t>
        </is>
      </c>
      <c r="D1600" s="188" t="n">
        <v>7</v>
      </c>
      <c r="E1600" s="188" t="inlineStr">
        <is>
          <t>HIGH</t>
        </is>
      </c>
      <c r="F1600" s="188" t="n">
        <v>3</v>
      </c>
      <c r="G1600" s="188" t="n">
        <v>2</v>
      </c>
      <c r="H1600" s="188" t="inlineStr">
        <is>
          <t>HIGH</t>
        </is>
      </c>
      <c r="I1600" s="188" t="n">
        <v>13</v>
      </c>
      <c r="J1600" s="188" t="inlineStr">
        <is>
          <t>NO</t>
        </is>
      </c>
      <c r="K1600" s="188" t="inlineStr">
        <is>
          <t>https://www.bluevoyant.com/blog/mercenary-akula-hits-financial-institution</t>
        </is>
      </c>
      <c r="L1600" s="188" t="inlineStr">
        <is>
          <t>2026-02-25T11:35:21.172000</t>
        </is>
      </c>
      <c r="M1600" s="188" t="inlineStr">
        <is>
          <t>SEE_PULSE</t>
        </is>
      </c>
      <c r="N1600" s="188" t="inlineStr">
        <is>
          <t>https://www.bluevoyant.com/blog/mercenary-akula-hits-financial-institution</t>
        </is>
      </c>
      <c r="O1600" s="188" t="inlineStr">
        <is>
          <t>Block IOCs from pulse | Review pulse for indicators</t>
        </is>
      </c>
      <c r="P1600" s="188" t="inlineStr">
        <is>
          <t>remote manipulator system, quasarrat, fire cells group, uac-0050, spearphishing, remote access, cyber espionage, financial theft, remcos, social engineering, davinci group</t>
        </is>
      </c>
      <c r="Q1600" s="188" t="inlineStr">
        <is>
          <t>P3</t>
        </is>
      </c>
      <c r="R1600" s="188" t="inlineStr">
        <is>
          <t>🔍 Investigate and apply appropriate controls</t>
        </is>
      </c>
      <c r="S1600" s="188" t="inlineStr">
        <is>
          <t>OTX Pulse - check IP IOCs separately</t>
        </is>
      </c>
      <c r="T1600" s="188" t="n">
        <v>0</v>
      </c>
      <c r="U1600" s="188" t="n">
        <v>0</v>
      </c>
      <c r="V1600" s="188" t="inlineStr">
        <is>
          <t>See OTX pulse tags</t>
        </is>
      </c>
      <c r="W1600" s="188" t="n">
        <v>1</v>
      </c>
      <c r="X1600" s="188" t="inlineStr">
        <is>
          <t>LOW (40%)</t>
        </is>
      </c>
      <c r="Y1600" s="188" t="inlineStr">
        <is>
          <t>NONE</t>
        </is>
      </c>
      <c r="Z1600" s="188" t="inlineStr">
        <is>
          <t>NONE</t>
        </is>
      </c>
      <c r="AA1600" s="188" t="inlineStr">
        <is>
          <t>NONE</t>
        </is>
      </c>
      <c r="AB1600" s="188" t="inlineStr">
        <is>
          <t>NONE</t>
        </is>
      </c>
      <c r="AC1600" s="188" t="n">
        <v>0</v>
      </c>
      <c r="AD1600" s="188" t="inlineStr"/>
    </row>
    <row r="1601">
      <c r="A1601" s="188" t="inlineStr">
        <is>
          <t>OTX_PULSE</t>
        </is>
      </c>
      <c r="B1601" s="188" t="inlineStr">
        <is>
          <t>699edea96aa1a8d035261fc9</t>
        </is>
      </c>
      <c r="C1601" s="188" t="inlineStr">
        <is>
          <t>The Latest PlugX Variant Executed by STATICPLUGIN: In January 2026, a new variant of the PlugX malware was observed being used in targeted attacks. Analysis suggests involvement of the UNC6384 APT group, linked to Mustang Panda, targeting government agencies in Southeast Asia. The malware uses a browser updater disguise to download and execute a malicious MSI file, leading to PlugX infection. The STATICPLUGIN downloader uses a revoked code-signing certificate from a Chinese company. The PlugX va</t>
        </is>
      </c>
      <c r="D1601" s="188" t="n">
        <v>7</v>
      </c>
      <c r="E1601" s="188" t="inlineStr">
        <is>
          <t>HIGH</t>
        </is>
      </c>
      <c r="F1601" s="188" t="n">
        <v>3</v>
      </c>
      <c r="G1601" s="188" t="n">
        <v>2</v>
      </c>
      <c r="H1601" s="188" t="inlineStr">
        <is>
          <t>HIGH</t>
        </is>
      </c>
      <c r="I1601" s="188" t="n">
        <v>13</v>
      </c>
      <c r="J1601" s="188" t="inlineStr">
        <is>
          <t>NO</t>
        </is>
      </c>
      <c r="K1601" s="188" t="inlineStr">
        <is>
          <t>https://sect.iij.ad.jp/blog/2026/02/plugx-executed-via-staticplugin/</t>
        </is>
      </c>
      <c r="L1601" s="188" t="inlineStr">
        <is>
          <t>2026-02-25T11:36:09.887000</t>
        </is>
      </c>
      <c r="M1601" s="188" t="inlineStr">
        <is>
          <t>SEE_PULSE</t>
        </is>
      </c>
      <c r="N1601" s="188" t="inlineStr">
        <is>
          <t>https://sect.iij.ad.jp/blog/2026/02/plugx-executed-via-staticplugin/</t>
        </is>
      </c>
      <c r="O1601" s="188" t="inlineStr">
        <is>
          <t>Block IOCs from pulse | Review pulse for indicators</t>
        </is>
      </c>
      <c r="P1601" s="188" t="inlineStr">
        <is>
          <t>rc4-encryption, apt, targeted-attack, plugx, staticplugin, valleyrat, dll-sideloading, code-signing</t>
        </is>
      </c>
      <c r="Q1601" s="188" t="inlineStr">
        <is>
          <t>P3</t>
        </is>
      </c>
      <c r="R1601" s="188" t="inlineStr">
        <is>
          <t>🔍 Investigate and apply appropriate controls</t>
        </is>
      </c>
      <c r="S1601" s="188" t="inlineStr">
        <is>
          <t>OTX Pulse - check IP IOCs separately</t>
        </is>
      </c>
      <c r="T1601" s="188" t="n">
        <v>0</v>
      </c>
      <c r="U1601" s="188" t="n">
        <v>0</v>
      </c>
      <c r="V1601" s="188" t="inlineStr">
        <is>
          <t>See OTX pulse tags</t>
        </is>
      </c>
      <c r="W1601" s="188" t="n">
        <v>1</v>
      </c>
      <c r="X1601" s="188" t="inlineStr">
        <is>
          <t>LOW (40%)</t>
        </is>
      </c>
      <c r="Y1601" s="188" t="inlineStr">
        <is>
          <t>NONE</t>
        </is>
      </c>
      <c r="Z1601" s="188" t="inlineStr">
        <is>
          <t>NONE</t>
        </is>
      </c>
      <c r="AA1601" s="188" t="inlineStr">
        <is>
          <t>NONE</t>
        </is>
      </c>
      <c r="AB1601" s="188" t="inlineStr">
        <is>
          <t>NONE</t>
        </is>
      </c>
      <c r="AC1601" s="188" t="n">
        <v>0</v>
      </c>
      <c r="AD1601" s="188" t="inlineStr"/>
    </row>
    <row r="1602">
      <c r="A1602" s="188" t="inlineStr">
        <is>
          <t>OTX_PULSE</t>
        </is>
      </c>
      <c r="B1602" s="188" t="inlineStr">
        <is>
          <t>69772b44fe2e1c30ec984e32</t>
        </is>
      </c>
      <c r="C1602" s="188" t="inlineStr">
        <is>
          <t>A $6,000 Russian Malware Toolkit with Chrome Web Store Guarantee: A new malware-as-a-service toolkit called 'Stanley' is being sold on Russian cybercrime forums for $2,000 to $6,000. It provides a turnkey website-spoofing operation disguised as a Chrome extension, with the premium tier promising guaranteed publication on the Chrome Web Store. The toolkit allows full-page website spoofing, element injection, push notifications, and backup domain rotation. It uses victims' IP addresses for trackin</t>
        </is>
      </c>
      <c r="D1602" s="188" t="n">
        <v>7</v>
      </c>
      <c r="E1602" s="188" t="inlineStr">
        <is>
          <t>HIGH</t>
        </is>
      </c>
      <c r="F1602" s="188" t="n">
        <v>3</v>
      </c>
      <c r="G1602" s="188" t="n">
        <v>2</v>
      </c>
      <c r="H1602" s="188" t="inlineStr">
        <is>
          <t>HIGH</t>
        </is>
      </c>
      <c r="I1602" s="188" t="n">
        <v>13</v>
      </c>
      <c r="J1602" s="188" t="inlineStr">
        <is>
          <t>NO</t>
        </is>
      </c>
      <c r="K1602" s="188" t="inlineStr">
        <is>
          <t>https://www.varonis.com/blog/stanley-malware-kit</t>
        </is>
      </c>
      <c r="L1602" s="188" t="inlineStr">
        <is>
          <t>2026-01-26T08:52:20.218000</t>
        </is>
      </c>
      <c r="M1602" s="188" t="inlineStr">
        <is>
          <t>SEE_PULSE</t>
        </is>
      </c>
      <c r="N1602" s="188" t="inlineStr">
        <is>
          <t>https://www.varonis.com/blog/stanley-malware-kit</t>
        </is>
      </c>
      <c r="O1602" s="188" t="inlineStr">
        <is>
          <t>Block IOCs from pulse | Review pulse for indicators</t>
        </is>
      </c>
      <c r="P1602" s="188" t="inlineStr">
        <is>
          <t>chrome web store, phishing, credential theft, browser extension, malware-as-service, website spoofing, russian cybercrime, stanley</t>
        </is>
      </c>
      <c r="Q1602" s="188" t="inlineStr">
        <is>
          <t>P3</t>
        </is>
      </c>
      <c r="R1602" s="188" t="inlineStr">
        <is>
          <t>🔍 Investigate and apply appropriate controls</t>
        </is>
      </c>
      <c r="S1602" s="188" t="inlineStr">
        <is>
          <t>OTX Pulse - check IP IOCs separately</t>
        </is>
      </c>
      <c r="T1602" s="188" t="n">
        <v>0</v>
      </c>
      <c r="U1602" s="188" t="n">
        <v>0</v>
      </c>
      <c r="V1602" s="188" t="inlineStr">
        <is>
          <t>See OTX pulse tags</t>
        </is>
      </c>
      <c r="W1602" s="188" t="n">
        <v>1</v>
      </c>
      <c r="X1602" s="188" t="inlineStr">
        <is>
          <t>LOW (40%)</t>
        </is>
      </c>
      <c r="Y1602" s="188" t="inlineStr">
        <is>
          <t>NONE</t>
        </is>
      </c>
      <c r="Z1602" s="188" t="inlineStr">
        <is>
          <t>NONE</t>
        </is>
      </c>
      <c r="AA1602" s="188" t="inlineStr">
        <is>
          <t>NONE</t>
        </is>
      </c>
      <c r="AB1602" s="188" t="inlineStr">
        <is>
          <t>NONE</t>
        </is>
      </c>
      <c r="AC1602" s="188" t="n">
        <v>0</v>
      </c>
      <c r="AD1602" s="188" t="inlineStr"/>
    </row>
    <row r="1603">
      <c r="A1603" s="188" t="inlineStr">
        <is>
          <t>OTX_PULSE</t>
        </is>
      </c>
      <c r="B1603" s="188" t="inlineStr">
        <is>
          <t>699e18510d30e21605243f81</t>
        </is>
      </c>
      <c r="C1603" s="188" t="inlineStr">
        <is>
          <t>Developer-targeting campaign using malicious Next.js repositories: A coordinated campaign is targeting developers through malicious repositories disguised as legitimate Next.js projects and technical assessment materials. The attack uses multiple entry points that lead to runtime retrieval and local execution of attacker-controlled JavaScript, transitioning into staged command-and-control. The campaign employs three main execution paths: Visual Studio Code workspace automation, build-time execut</t>
        </is>
      </c>
      <c r="D1603" s="188" t="n">
        <v>7</v>
      </c>
      <c r="E1603" s="188" t="inlineStr">
        <is>
          <t>HIGH</t>
        </is>
      </c>
      <c r="F1603" s="188" t="n">
        <v>3</v>
      </c>
      <c r="G1603" s="188" t="n">
        <v>2</v>
      </c>
      <c r="H1603" s="188" t="inlineStr">
        <is>
          <t>HIGH</t>
        </is>
      </c>
      <c r="I1603" s="188" t="n">
        <v>13</v>
      </c>
      <c r="J1603" s="188" t="inlineStr">
        <is>
          <t>NO</t>
        </is>
      </c>
      <c r="K1603" s="188" t="inlineStr">
        <is>
          <t>https://www.microsoft.com/en-us/security/blog/2026/02/24/c2-developer-targeting-campaign/</t>
        </is>
      </c>
      <c r="L1603" s="188" t="inlineStr">
        <is>
          <t>2026-02-24T21:29:53.984000</t>
        </is>
      </c>
      <c r="M1603" s="188" t="inlineStr">
        <is>
          <t>SEE_PULSE</t>
        </is>
      </c>
      <c r="N1603" s="188" t="inlineStr">
        <is>
          <t>https://www.microsoft.com/en-us/security/blog/2026/02/24/c2-developer-targeting-campaign/</t>
        </is>
      </c>
      <c r="O1603" s="188" t="inlineStr">
        <is>
          <t>Block IOCs from pulse | Review pulse for indicators</t>
        </is>
      </c>
      <c r="P1603" s="188" t="inlineStr">
        <is>
          <t>next.js, command-and-control, javascript, remote code execution, node.js, developer-targeting, visual studio code, environment variable exfiltration</t>
        </is>
      </c>
      <c r="Q1603" s="188" t="inlineStr">
        <is>
          <t>P3</t>
        </is>
      </c>
      <c r="R1603" s="188" t="inlineStr">
        <is>
          <t>🔍 Investigate and apply appropriate controls</t>
        </is>
      </c>
      <c r="S1603" s="188" t="inlineStr">
        <is>
          <t>OTX Pulse - check IP IOCs separately</t>
        </is>
      </c>
      <c r="T1603" s="188" t="n">
        <v>0</v>
      </c>
      <c r="U1603" s="188" t="n">
        <v>0</v>
      </c>
      <c r="V1603" s="188" t="inlineStr">
        <is>
          <t>See OTX pulse tags</t>
        </is>
      </c>
      <c r="W1603" s="188" t="n">
        <v>1</v>
      </c>
      <c r="X1603" s="188" t="inlineStr">
        <is>
          <t>LOW (40%)</t>
        </is>
      </c>
      <c r="Y1603" s="188" t="inlineStr">
        <is>
          <t>NONE</t>
        </is>
      </c>
      <c r="Z1603" s="188" t="inlineStr">
        <is>
          <t>NONE</t>
        </is>
      </c>
      <c r="AA1603" s="188" t="inlineStr">
        <is>
          <t>NONE</t>
        </is>
      </c>
      <c r="AB1603" s="188" t="inlineStr">
        <is>
          <t>NONE</t>
        </is>
      </c>
      <c r="AC1603" s="188" t="n">
        <v>0</v>
      </c>
      <c r="AD1603" s="188" t="inlineStr"/>
    </row>
    <row r="1604">
      <c r="A1604" s="188" t="inlineStr">
        <is>
          <t>OTX_PULSE</t>
        </is>
      </c>
      <c r="B1604" s="188" t="inlineStr">
        <is>
          <t>699e0c85428adcee039ff420</t>
        </is>
      </c>
      <c r="C1604" s="188" t="inlineStr">
        <is>
          <t>Fake Zoom meeting 'update' silently installs surveillance software: A deceptive campaign is using a fake Zoom meeting website to covertly install Teramind, a commercial monitoring tool, on unsuspecting users' Windows machines. The operation begins with a convincing imitation of a Zoom video call, complete with scripted participants and artificial technical issues. An automatic 'Update Available' prompt then initiates the download of a malicious installer without user consent. The installed softw</t>
        </is>
      </c>
      <c r="D1604" s="188" t="n">
        <v>7</v>
      </c>
      <c r="E1604" s="188" t="inlineStr">
        <is>
          <t>HIGH</t>
        </is>
      </c>
      <c r="F1604" s="188" t="n">
        <v>3</v>
      </c>
      <c r="G1604" s="188" t="n">
        <v>2</v>
      </c>
      <c r="H1604" s="188" t="inlineStr">
        <is>
          <t>HIGH</t>
        </is>
      </c>
      <c r="I1604" s="188" t="n">
        <v>13</v>
      </c>
      <c r="J1604" s="188" t="inlineStr">
        <is>
          <t>NO</t>
        </is>
      </c>
      <c r="K1604" s="188" t="inlineStr">
        <is>
          <t>https://securityboulevard.com/2026/02/fake-zoom-meeting-update-silently-installs-surveillance-software/</t>
        </is>
      </c>
      <c r="L1604" s="188" t="inlineStr">
        <is>
          <t>2026-02-24T20:39:33.261000</t>
        </is>
      </c>
      <c r="M1604" s="188" t="inlineStr">
        <is>
          <t>SEE_PULSE</t>
        </is>
      </c>
      <c r="N1604" s="188" t="inlineStr">
        <is>
          <t>https://securityboulevard.com/2026/02/fake-zoom-meeting-update-silently-installs-surveillance-software/</t>
        </is>
      </c>
      <c r="O1604" s="188" t="inlineStr">
        <is>
          <t>Block IOCs from pulse | Review pulse for indicators</t>
        </is>
      </c>
      <c r="P1604" s="188" t="inlineStr">
        <is>
          <t>surveillance software, zoom impersonation, social engineering, teramind, stealth installation, fake update</t>
        </is>
      </c>
      <c r="Q1604" s="188" t="inlineStr">
        <is>
          <t>P3</t>
        </is>
      </c>
      <c r="R1604" s="188" t="inlineStr">
        <is>
          <t>🔍 Investigate and apply appropriate controls</t>
        </is>
      </c>
      <c r="S1604" s="188" t="inlineStr">
        <is>
          <t>OTX Pulse - check IP IOCs separately</t>
        </is>
      </c>
      <c r="T1604" s="188" t="n">
        <v>0</v>
      </c>
      <c r="U1604" s="188" t="n">
        <v>0</v>
      </c>
      <c r="V1604" s="188" t="inlineStr">
        <is>
          <t>See OTX pulse tags</t>
        </is>
      </c>
      <c r="W1604" s="188" t="n">
        <v>1</v>
      </c>
      <c r="X1604" s="188" t="inlineStr">
        <is>
          <t>LOW (40%)</t>
        </is>
      </c>
      <c r="Y1604" s="188" t="inlineStr">
        <is>
          <t>NONE</t>
        </is>
      </c>
      <c r="Z1604" s="188" t="inlineStr">
        <is>
          <t>NONE</t>
        </is>
      </c>
      <c r="AA1604" s="188" t="inlineStr">
        <is>
          <t>NONE</t>
        </is>
      </c>
      <c r="AB1604" s="188" t="inlineStr">
        <is>
          <t>NONE</t>
        </is>
      </c>
      <c r="AC1604" s="188" t="n">
        <v>0</v>
      </c>
      <c r="AD1604" s="188" t="inlineStr"/>
    </row>
    <row r="1605">
      <c r="A1605" s="188" t="inlineStr">
        <is>
          <t>OTX_PULSE</t>
        </is>
      </c>
      <c r="B1605" s="188" t="inlineStr">
        <is>
          <t>699dd914e2e8434b78e71749</t>
        </is>
      </c>
      <c r="C1605" s="188" t="inlineStr">
        <is>
          <t>Nefilim Ransomware: Nefilim ransomware emerged in March 2020, evolving from Nemty's code. It targets vulnerabilities in Citrix gateway devices and uses exposed Remote Desktop Protocol for initial access. The malware exfiltrates sensitive data before encryption and threatens to publish it if ransom isn't paid. Nefilim uses tools like PsExec, Mimikatz, and LaZagne for lateral movement and credential theft. It employs AES-128 encryption and drops a ransom note named 'NEFILIM-DECRYPT.txt'. The ranso</t>
        </is>
      </c>
      <c r="D1605" s="188" t="n">
        <v>7</v>
      </c>
      <c r="E1605" s="188" t="inlineStr">
        <is>
          <t>HIGH</t>
        </is>
      </c>
      <c r="F1605" s="188" t="n">
        <v>3</v>
      </c>
      <c r="G1605" s="188" t="n">
        <v>2</v>
      </c>
      <c r="H1605" s="188" t="inlineStr">
        <is>
          <t>HIGH</t>
        </is>
      </c>
      <c r="I1605" s="188" t="n">
        <v>13</v>
      </c>
      <c r="J1605" s="188" t="inlineStr">
        <is>
          <t>NO</t>
        </is>
      </c>
      <c r="K1605" s="188" t="inlineStr">
        <is>
          <t>https://blog.qualys.com/vulnerabilities-threat-research/2021/05/12/nefilim-ransomware</t>
        </is>
      </c>
      <c r="L1605" s="188" t="inlineStr">
        <is>
          <t>2026-02-24T17:00:03.998000</t>
        </is>
      </c>
      <c r="M1605" s="188" t="inlineStr">
        <is>
          <t>SEE_PULSE</t>
        </is>
      </c>
      <c r="N1605" s="188" t="inlineStr">
        <is>
          <t>https://blog.qualys.com/vulnerabilities-threat-research/2021/05/12/nefilim-ransomware</t>
        </is>
      </c>
      <c r="O1605" s="188" t="inlineStr">
        <is>
          <t>Block IOCs from pulse | Review pulse for indicators</t>
        </is>
      </c>
      <c r="P1605" s="188" t="inlineStr">
        <is>
          <t>credential theft, lateral movement, encryption, aes-128, netwalker, cve-2019-19781, nemty, nefilim, cve-2019-11634, ransomware, citrix, data exfiltration, rdp</t>
        </is>
      </c>
      <c r="Q1605" s="188" t="inlineStr">
        <is>
          <t>P3</t>
        </is>
      </c>
      <c r="R1605" s="188" t="inlineStr">
        <is>
          <t>🔍 Investigate and apply appropriate controls</t>
        </is>
      </c>
      <c r="S1605" s="188" t="inlineStr">
        <is>
          <t>OTX Pulse - check IP IOCs separately</t>
        </is>
      </c>
      <c r="T1605" s="188" t="n">
        <v>0</v>
      </c>
      <c r="U1605" s="188" t="n">
        <v>0</v>
      </c>
      <c r="V1605" s="188" t="inlineStr">
        <is>
          <t>See OTX pulse tags</t>
        </is>
      </c>
      <c r="W1605" s="188" t="n">
        <v>1</v>
      </c>
      <c r="X1605" s="188" t="inlineStr">
        <is>
          <t>LOW (40%)</t>
        </is>
      </c>
      <c r="Y1605" s="188" t="inlineStr">
        <is>
          <t>NONE</t>
        </is>
      </c>
      <c r="Z1605" s="188" t="inlineStr">
        <is>
          <t>NONE</t>
        </is>
      </c>
      <c r="AA1605" s="188" t="inlineStr">
        <is>
          <t>NONE</t>
        </is>
      </c>
      <c r="AB1605" s="188" t="inlineStr">
        <is>
          <t>NONE</t>
        </is>
      </c>
      <c r="AC1605" s="188" t="n">
        <v>0</v>
      </c>
      <c r="AD1605" s="188" t="inlineStr"/>
    </row>
    <row r="1606">
      <c r="A1606" s="188" t="inlineStr">
        <is>
          <t>OTX_PULSE</t>
        </is>
      </c>
      <c r="B1606" s="188" t="inlineStr">
        <is>
          <t>699dd912a5b53c853ec6c4c4</t>
        </is>
      </c>
      <c r="C1606" s="188" t="inlineStr">
        <is>
          <t>Moonrise RAT: A New Low-Detection Threat with High-Cost Consequences: A new Go-based remote access trojan named Moonrise has been discovered, operating without early static detection and establishing active C2 communication before vendor alerts. The RAT supports credential theft, remote command execution, persistence, and user monitoring, enabling full remote control of infected endpoints. Its capabilities include stealing passwords, executing remote commands, uploading files, capturing screens,</t>
        </is>
      </c>
      <c r="D1606" s="188" t="n">
        <v>7</v>
      </c>
      <c r="E1606" s="188" t="inlineStr">
        <is>
          <t>HIGH</t>
        </is>
      </c>
      <c r="F1606" s="188" t="n">
        <v>3</v>
      </c>
      <c r="G1606" s="188" t="n">
        <v>2</v>
      </c>
      <c r="H1606" s="188" t="inlineStr">
        <is>
          <t>HIGH</t>
        </is>
      </c>
      <c r="I1606" s="188" t="n">
        <v>13</v>
      </c>
      <c r="J1606" s="188" t="inlineStr">
        <is>
          <t>NO</t>
        </is>
      </c>
      <c r="K1606" s="188" t="inlineStr">
        <is>
          <t>https://any.run/cybersecurity-blog/moonrise-rat-detected/</t>
        </is>
      </c>
      <c r="L1606" s="188" t="inlineStr">
        <is>
          <t>2026-02-24T17:00:02.783000</t>
        </is>
      </c>
      <c r="M1606" s="188" t="inlineStr">
        <is>
          <t>SEE_PULSE</t>
        </is>
      </c>
      <c r="N1606" s="188" t="inlineStr">
        <is>
          <t>https://any.run/cybersecurity-blog/moonrise-rat-detected/</t>
        </is>
      </c>
      <c r="O1606" s="188" t="inlineStr">
        <is>
          <t>Block IOCs from pulse | Review pulse for indicators</t>
        </is>
      </c>
      <c r="P1606" s="188" t="inlineStr">
        <is>
          <t>credential theft, remote access trojan, moonrise rat, rat, moonrise, go-based, c2 communication, low-detection</t>
        </is>
      </c>
      <c r="Q1606" s="188" t="inlineStr">
        <is>
          <t>P3</t>
        </is>
      </c>
      <c r="R1606" s="188" t="inlineStr">
        <is>
          <t>🔍 Investigate and apply appropriate controls</t>
        </is>
      </c>
      <c r="S1606" s="188" t="inlineStr">
        <is>
          <t>OTX Pulse - check IP IOCs separately</t>
        </is>
      </c>
      <c r="T1606" s="188" t="n">
        <v>0</v>
      </c>
      <c r="U1606" s="188" t="n">
        <v>0</v>
      </c>
      <c r="V1606" s="188" t="inlineStr">
        <is>
          <t>See OTX pulse tags</t>
        </is>
      </c>
      <c r="W1606" s="188" t="n">
        <v>1</v>
      </c>
      <c r="X1606" s="188" t="inlineStr">
        <is>
          <t>LOW (40%)</t>
        </is>
      </c>
      <c r="Y1606" s="188" t="inlineStr">
        <is>
          <t>NONE</t>
        </is>
      </c>
      <c r="Z1606" s="188" t="inlineStr">
        <is>
          <t>NONE</t>
        </is>
      </c>
      <c r="AA1606" s="188" t="inlineStr">
        <is>
          <t>NONE</t>
        </is>
      </c>
      <c r="AB1606" s="188" t="inlineStr">
        <is>
          <t>NONE</t>
        </is>
      </c>
      <c r="AC1606" s="188" t="n">
        <v>0</v>
      </c>
      <c r="AD1606" s="188" t="inlineStr"/>
    </row>
    <row r="1607">
      <c r="A1607" s="188" t="inlineStr">
        <is>
          <t>OTX_PULSE</t>
        </is>
      </c>
      <c r="B1607" s="188" t="inlineStr">
        <is>
          <t>699d9c44cde3077f50063a24</t>
        </is>
      </c>
      <c r="C1607" s="188" t="inlineStr">
        <is>
          <t>North Korean Lazarus Group Now Working With Medusa Ransomware: North Korean state-backed attackers are utilizing Medusa ransomware in their ongoing extortion attacks against the U.S. healthcare sector. The Symantec and Carbon Black Threat Hunter Team discovered evidence of North Korean actors employing Medusa in an attack on a Middle Eastern target and an unsuccessful attempt on a U.S. healthcare organization. Medusa, launched in 2023, operates as a ransomware-as-a-service. The Lazarus sub-group</t>
        </is>
      </c>
      <c r="D1607" s="188" t="n">
        <v>7</v>
      </c>
      <c r="E1607" s="188" t="inlineStr">
        <is>
          <t>HIGH</t>
        </is>
      </c>
      <c r="F1607" s="188" t="n">
        <v>3</v>
      </c>
      <c r="G1607" s="188" t="n">
        <v>2</v>
      </c>
      <c r="H1607" s="188" t="inlineStr">
        <is>
          <t>HIGH</t>
        </is>
      </c>
      <c r="I1607" s="188" t="n">
        <v>13</v>
      </c>
      <c r="J1607" s="188" t="inlineStr">
        <is>
          <t>NO</t>
        </is>
      </c>
      <c r="K1607" s="188" t="inlineStr">
        <is>
          <t>https://www.security.com/blog-post/lazarus-medusa-ransomware</t>
        </is>
      </c>
      <c r="L1607" s="188" t="inlineStr">
        <is>
          <t>2026-02-24T12:40:36.075000</t>
        </is>
      </c>
      <c r="M1607" s="188" t="inlineStr">
        <is>
          <t>SEE_PULSE</t>
        </is>
      </c>
      <c r="N1607" s="188" t="inlineStr">
        <is>
          <t>https://www.security.com/blog-post/lazarus-medusa-ransomware</t>
        </is>
      </c>
      <c r="O1607" s="188" t="inlineStr">
        <is>
          <t>Block IOCs from pulse | Review pulse for indicators</t>
        </is>
      </c>
      <c r="P1607" s="188" t="inlineStr">
        <is>
          <t>stonefly, blindingcan, rp_proxy, north korea, medusa, chromestealer, ransomware, comebacker, healthcare, mimikatz, extortion, infohook</t>
        </is>
      </c>
      <c r="Q1607" s="188" t="inlineStr">
        <is>
          <t>P3</t>
        </is>
      </c>
      <c r="R1607" s="188" t="inlineStr">
        <is>
          <t>🔍 Investigate and apply appropriate controls</t>
        </is>
      </c>
      <c r="S1607" s="188" t="inlineStr">
        <is>
          <t>OTX Pulse - check IP IOCs separately</t>
        </is>
      </c>
      <c r="T1607" s="188" t="n">
        <v>0</v>
      </c>
      <c r="U1607" s="188" t="n">
        <v>0</v>
      </c>
      <c r="V1607" s="188" t="inlineStr">
        <is>
          <t>See OTX pulse tags</t>
        </is>
      </c>
      <c r="W1607" s="188" t="n">
        <v>1</v>
      </c>
      <c r="X1607" s="188" t="inlineStr">
        <is>
          <t>LOW (40%)</t>
        </is>
      </c>
      <c r="Y1607" s="188" t="inlineStr">
        <is>
          <t>NONE</t>
        </is>
      </c>
      <c r="Z1607" s="188" t="inlineStr">
        <is>
          <t>NONE</t>
        </is>
      </c>
      <c r="AA1607" s="188" t="inlineStr">
        <is>
          <t>NONE</t>
        </is>
      </c>
      <c r="AB1607" s="188" t="inlineStr">
        <is>
          <t>NONE</t>
        </is>
      </c>
      <c r="AC1607" s="188" t="n">
        <v>0</v>
      </c>
      <c r="AD1607" s="188" t="inlineStr"/>
    </row>
    <row r="1608">
      <c r="A1608" s="188" t="inlineStr">
        <is>
          <t>OTX_PULSE</t>
        </is>
      </c>
      <c r="B1608" s="188" t="inlineStr">
        <is>
          <t>699d5baa21c5722498f88433</t>
        </is>
      </c>
      <c r="C1608" s="188" t="inlineStr">
        <is>
          <t>Four Malicious NuGet Packages Target ASP.NET Developers With JIT Hooking and Credential Exfiltration: A NuGet supply chain attack involving four malicious packages targeting ASP.NET web application developers has been discovered. The campaign deploys a multi-stage payload where NCryptYo acts as a dropper, establishing a local proxy, while companion packages exfiltrate ASP.NET Identity data and accept threat actor-controlled authorization rules, creating backdoors in victim applications. The pack</t>
        </is>
      </c>
      <c r="D1608" s="188" t="n">
        <v>7</v>
      </c>
      <c r="E1608" s="188" t="inlineStr">
        <is>
          <t>HIGH</t>
        </is>
      </c>
      <c r="F1608" s="188" t="n">
        <v>3</v>
      </c>
      <c r="G1608" s="188" t="n">
        <v>2</v>
      </c>
      <c r="H1608" s="188" t="inlineStr">
        <is>
          <t>HIGH</t>
        </is>
      </c>
      <c r="I1608" s="188" t="n">
        <v>13</v>
      </c>
      <c r="J1608" s="188" t="inlineStr">
        <is>
          <t>NO</t>
        </is>
      </c>
      <c r="K1608" s="188" t="inlineStr">
        <is>
          <t>https://socket.dev/blog/four-malicious-nuget-packages-target-asp-net-developers-with-jit-hooking-and-credential</t>
        </is>
      </c>
      <c r="L1608" s="188" t="inlineStr">
        <is>
          <t>2026-02-24T08:04:58.411000</t>
        </is>
      </c>
      <c r="M1608" s="188" t="inlineStr">
        <is>
          <t>SEE_PULSE</t>
        </is>
      </c>
      <c r="N1608" s="188" t="inlineStr">
        <is>
          <t>https://socket.dev/blog/four-malicious-nuget-packages-target-asp-net-developers-with-jit-hooking-and-credential</t>
        </is>
      </c>
      <c r="O1608" s="188" t="inlineStr">
        <is>
          <t>Block IOCs from pulse | Review pulse for indicators</t>
        </is>
      </c>
      <c r="P1608" s="188" t="inlineStr">
        <is>
          <t>typosquatting, credential-exfiltration, simplewriter_, ncryptyo, iraoauth2.0, domoauth2_, obfuscation, jit-manipulation, supply-chain-attack, backdoor, nuget, asp.net</t>
        </is>
      </c>
      <c r="Q1608" s="188" t="inlineStr">
        <is>
          <t>P3</t>
        </is>
      </c>
      <c r="R1608" s="188" t="inlineStr">
        <is>
          <t>🔍 Investigate and apply appropriate controls</t>
        </is>
      </c>
      <c r="S1608" s="188" t="inlineStr">
        <is>
          <t>OTX Pulse - check IP IOCs separately</t>
        </is>
      </c>
      <c r="T1608" s="188" t="n">
        <v>0</v>
      </c>
      <c r="U1608" s="188" t="n">
        <v>0</v>
      </c>
      <c r="V1608" s="188" t="inlineStr">
        <is>
          <t>See OTX pulse tags</t>
        </is>
      </c>
      <c r="W1608" s="188" t="n">
        <v>1</v>
      </c>
      <c r="X1608" s="188" t="inlineStr">
        <is>
          <t>LOW (40%)</t>
        </is>
      </c>
      <c r="Y1608" s="188" t="inlineStr">
        <is>
          <t>NONE</t>
        </is>
      </c>
      <c r="Z1608" s="188" t="inlineStr">
        <is>
          <t>NONE</t>
        </is>
      </c>
      <c r="AA1608" s="188" t="inlineStr">
        <is>
          <t>NONE</t>
        </is>
      </c>
      <c r="AB1608" s="188" t="inlineStr">
        <is>
          <t>NONE</t>
        </is>
      </c>
      <c r="AC1608" s="188" t="n">
        <v>0</v>
      </c>
      <c r="AD1608" s="188" t="inlineStr"/>
    </row>
    <row r="1609">
      <c r="A1609" s="188" t="inlineStr">
        <is>
          <t>OTX_PULSE</t>
        </is>
      </c>
      <c r="B1609" s="188" t="inlineStr">
        <is>
          <t>699cd6ee7d755d4afd290651</t>
        </is>
      </c>
      <c r="C1609" s="188" t="inlineStr">
        <is>
          <t>Malicious OpenClaw Skills Used to Distribute Atomic MacOS Stealer: A new campaign exploits OpenClaw skills to distribute the Atomic MacOS Stealer (AMOS). This evolution in supply chain attacks manipulates AI agentic workflows to install malware. The campaign spans multiple repositories with hundreds of malicious skills uploaded to ClawHub and SkillsMP. The infection chain begins with a seemingly harmless SKILL.md file that installs a prerequisite, leading to the download of a Mach-O universal bi</t>
        </is>
      </c>
      <c r="D1609" s="188" t="n">
        <v>7</v>
      </c>
      <c r="E1609" s="188" t="inlineStr">
        <is>
          <t>HIGH</t>
        </is>
      </c>
      <c r="F1609" s="188" t="n">
        <v>3</v>
      </c>
      <c r="G1609" s="188" t="n">
        <v>2</v>
      </c>
      <c r="H1609" s="188" t="inlineStr">
        <is>
          <t>HIGH</t>
        </is>
      </c>
      <c r="I1609" s="188" t="n">
        <v>13</v>
      </c>
      <c r="J1609" s="188" t="inlineStr">
        <is>
          <t>NO</t>
        </is>
      </c>
      <c r="K1609" s="188" t="inlineStr">
        <is>
          <t>https://www.trendmicro.com/en_us/research/26/b/openclaw-skills-used-to-distribute-atomic-macos-stealer.html</t>
        </is>
      </c>
      <c r="L1609" s="188" t="inlineStr">
        <is>
          <t>2026-02-23T22:38:38.076000</t>
        </is>
      </c>
      <c r="M1609" s="188" t="inlineStr">
        <is>
          <t>SEE_PULSE</t>
        </is>
      </c>
      <c r="N1609" s="188" t="inlineStr">
        <is>
          <t>https://www.trendmicro.com/en_us/research/26/b/openclaw-skills-used-to-distribute-atomic-macos-stealer.html</t>
        </is>
      </c>
      <c r="O1609" s="188" t="inlineStr">
        <is>
          <t>Block IOCs from pulse | Review pulse for indicators</t>
        </is>
      </c>
      <c r="P1609" s="188" t="inlineStr">
        <is>
          <t>amos, skillsmp, clawhub, supply chain attack, stealer, ai manipulation, atomic macos stealer (amos), openclaw, macos</t>
        </is>
      </c>
      <c r="Q1609" s="188" t="inlineStr">
        <is>
          <t>P3</t>
        </is>
      </c>
      <c r="R1609" s="188" t="inlineStr">
        <is>
          <t>🔍 Investigate and apply appropriate controls</t>
        </is>
      </c>
      <c r="S1609" s="188" t="inlineStr">
        <is>
          <t>OTX Pulse - check IP IOCs separately</t>
        </is>
      </c>
      <c r="T1609" s="188" t="n">
        <v>0</v>
      </c>
      <c r="U1609" s="188" t="n">
        <v>0</v>
      </c>
      <c r="V1609" s="188" t="inlineStr">
        <is>
          <t>See OTX pulse tags</t>
        </is>
      </c>
      <c r="W1609" s="188" t="n">
        <v>1</v>
      </c>
      <c r="X1609" s="188" t="inlineStr">
        <is>
          <t>LOW (40%)</t>
        </is>
      </c>
      <c r="Y1609" s="188" t="inlineStr">
        <is>
          <t>NONE</t>
        </is>
      </c>
      <c r="Z1609" s="188" t="inlineStr">
        <is>
          <t>NONE</t>
        </is>
      </c>
      <c r="AA1609" s="188" t="inlineStr">
        <is>
          <t>NONE</t>
        </is>
      </c>
      <c r="AB1609" s="188" t="inlineStr">
        <is>
          <t>NONE</t>
        </is>
      </c>
      <c r="AC1609" s="188" t="n">
        <v>0</v>
      </c>
      <c r="AD1609" s="188" t="inlineStr"/>
    </row>
    <row r="1610">
      <c r="A1610" s="188" t="inlineStr">
        <is>
          <t>OTX_PULSE</t>
        </is>
      </c>
      <c r="B1610" s="188" t="inlineStr">
        <is>
          <t>6996ee44a7b3d1015da4ed4b</t>
        </is>
      </c>
      <c r="C1610" s="188" t="inlineStr">
        <is>
          <t>Uncovering Malicious OAuth Campaigns in Entra ID: This analysis reveals the growing threat of malicious OAuth applications in Microsoft Entra ID, which attackers use for persistence and privilege escalation. The report details how these apps blend in with legitimate integrations, making detection challenging. It describes the creation of OAuth Apps Scout, an automated detection pipeline that identifies emerging malicious OAuth apps. The research uncovered multiple campaigns, including one involv</t>
        </is>
      </c>
      <c r="D1610" s="188" t="n">
        <v>7</v>
      </c>
      <c r="E1610" s="188" t="inlineStr">
        <is>
          <t>HIGH</t>
        </is>
      </c>
      <c r="F1610" s="188" t="n">
        <v>3</v>
      </c>
      <c r="G1610" s="188" t="n">
        <v>2</v>
      </c>
      <c r="H1610" s="188" t="inlineStr">
        <is>
          <t>HIGH</t>
        </is>
      </c>
      <c r="I1610" s="188" t="n">
        <v>13</v>
      </c>
      <c r="J1610" s="188" t="inlineStr">
        <is>
          <t>NO</t>
        </is>
      </c>
      <c r="K1610" s="188" t="inlineStr">
        <is>
          <t>https://www.wiz.io/blog/detecting-malicious-oauth-applications</t>
        </is>
      </c>
      <c r="L1610" s="188" t="inlineStr">
        <is>
          <t>2026-02-19T11:04:36.008000</t>
        </is>
      </c>
      <c r="M1610" s="188" t="inlineStr">
        <is>
          <t>SEE_PULSE</t>
        </is>
      </c>
      <c r="N1610" s="188" t="inlineStr">
        <is>
          <t>https://www.wiz.io/blog/detecting-malicious-oauth-applications</t>
        </is>
      </c>
      <c r="O1610" s="188" t="inlineStr">
        <is>
          <t>Block IOCs from pulse | Review pulse for indicators</t>
        </is>
      </c>
      <c r="P1610" s="188" t="inlineStr">
        <is>
          <t>identity security, application impersonation, cloud security, phishing, oauth, consent abuse, entra id</t>
        </is>
      </c>
      <c r="Q1610" s="188" t="inlineStr">
        <is>
          <t>P3</t>
        </is>
      </c>
      <c r="R1610" s="188" t="inlineStr">
        <is>
          <t>🔍 Investigate and apply appropriate controls</t>
        </is>
      </c>
      <c r="S1610" s="188" t="inlineStr">
        <is>
          <t>OTX Pulse - check IP IOCs separately</t>
        </is>
      </c>
      <c r="T1610" s="188" t="n">
        <v>0</v>
      </c>
      <c r="U1610" s="188" t="n">
        <v>0</v>
      </c>
      <c r="V1610" s="188" t="inlineStr">
        <is>
          <t>See OTX pulse tags</t>
        </is>
      </c>
      <c r="W1610" s="188" t="n">
        <v>1</v>
      </c>
      <c r="X1610" s="188" t="inlineStr">
        <is>
          <t>LOW (40%)</t>
        </is>
      </c>
      <c r="Y1610" s="188" t="inlineStr">
        <is>
          <t>NONE</t>
        </is>
      </c>
      <c r="Z1610" s="188" t="inlineStr">
        <is>
          <t>NONE</t>
        </is>
      </c>
      <c r="AA1610" s="188" t="inlineStr">
        <is>
          <t>NONE</t>
        </is>
      </c>
      <c r="AB1610" s="188" t="inlineStr">
        <is>
          <t>NONE</t>
        </is>
      </c>
      <c r="AC1610" s="188" t="n">
        <v>0</v>
      </c>
      <c r="AD1610" s="188" t="inlineStr"/>
    </row>
    <row r="1611">
      <c r="A1611" s="188" t="inlineStr">
        <is>
          <t>OTX_PULSE</t>
        </is>
      </c>
      <c r="B1611" s="188" t="inlineStr">
        <is>
          <t>699cd6eed9db04bd8dc60dc9</t>
        </is>
      </c>
      <c r="C1611" s="188" t="inlineStr">
        <is>
          <t xml:space="preserve">Apache ActiveMQ Exploit Leads to LockBit Ransomware: A threat actor exploited CVE-2023-46604 on an exposed Apache ActiveMQ server, gaining initial access and later returning after being evicted. The attacker used Metasploit for post-exploitation activities, including privilege escalation, credential access, and lateral movement. Upon regaining access, they swiftly deployed LockBit ransomware via RDP using previously extracted credentials. The ransomware binary matched LockBit signatures but was </t>
        </is>
      </c>
      <c r="D1611" s="188" t="n">
        <v>7</v>
      </c>
      <c r="E1611" s="188" t="inlineStr">
        <is>
          <t>HIGH</t>
        </is>
      </c>
      <c r="F1611" s="188" t="n">
        <v>3</v>
      </c>
      <c r="G1611" s="188" t="n">
        <v>2</v>
      </c>
      <c r="H1611" s="188" t="inlineStr">
        <is>
          <t>HIGH</t>
        </is>
      </c>
      <c r="I1611" s="188" t="n">
        <v>13</v>
      </c>
      <c r="J1611" s="188" t="inlineStr">
        <is>
          <t>NO</t>
        </is>
      </c>
      <c r="K1611" s="188" t="inlineStr">
        <is>
          <t>https://thedfirreport.com/2026/02/23/apache-activemq-exploit-leads-to-lockbit-ransomware/</t>
        </is>
      </c>
      <c r="L1611" s="188" t="inlineStr">
        <is>
          <t>2026-02-23T22:38:38.675000</t>
        </is>
      </c>
      <c r="M1611" s="188" t="inlineStr">
        <is>
          <t>SEE_PULSE</t>
        </is>
      </c>
      <c r="N1611" s="188" t="inlineStr">
        <is>
          <t>https://thedfirreport.com/2026/02/23/apache-activemq-exploit-leads-to-lockbit-ransomware/</t>
        </is>
      </c>
      <c r="O1611" s="188" t="inlineStr">
        <is>
          <t>Block IOCs from pulse | Review pulse for indicators</t>
        </is>
      </c>
      <c r="P1611" s="188" t="inlineStr">
        <is>
          <t>rdp, lateral movement, credential theft, cve-2023-46604, lockbit, ransomware, metasploit, apache activemq</t>
        </is>
      </c>
      <c r="Q1611" s="188" t="inlineStr">
        <is>
          <t>P3</t>
        </is>
      </c>
      <c r="R1611" s="188" t="inlineStr">
        <is>
          <t>🔍 Investigate and apply appropriate controls</t>
        </is>
      </c>
      <c r="S1611" s="188" t="inlineStr">
        <is>
          <t>OTX Pulse - check IP IOCs separately</t>
        </is>
      </c>
      <c r="T1611" s="188" t="n">
        <v>0</v>
      </c>
      <c r="U1611" s="188" t="n">
        <v>0</v>
      </c>
      <c r="V1611" s="188" t="inlineStr">
        <is>
          <t>See OTX pulse tags</t>
        </is>
      </c>
      <c r="W1611" s="188" t="n">
        <v>1</v>
      </c>
      <c r="X1611" s="188" t="inlineStr">
        <is>
          <t>LOW (40%)</t>
        </is>
      </c>
      <c r="Y1611" s="188" t="inlineStr">
        <is>
          <t>NONE</t>
        </is>
      </c>
      <c r="Z1611" s="188" t="inlineStr">
        <is>
          <t>NONE</t>
        </is>
      </c>
      <c r="AA1611" s="188" t="inlineStr">
        <is>
          <t>NONE</t>
        </is>
      </c>
      <c r="AB1611" s="188" t="inlineStr">
        <is>
          <t>NONE</t>
        </is>
      </c>
      <c r="AC1611" s="188" t="n">
        <v>0</v>
      </c>
      <c r="AD1611" s="188" t="inlineStr"/>
    </row>
    <row r="1612">
      <c r="A1612" s="188" t="inlineStr">
        <is>
          <t>THREATFOX_IOC</t>
        </is>
      </c>
      <c r="B1612" s="188" t="inlineStr">
        <is>
          <t>1754879</t>
        </is>
      </c>
      <c r="C1612" s="188" t="inlineStr">
        <is>
          <t>ip:port IOC:  | Malware: Mirai | Confidence: 80%</t>
        </is>
      </c>
      <c r="D1612" s="188" t="n">
        <v>7.5</v>
      </c>
      <c r="E1612" s="188" t="inlineStr">
        <is>
          <t>HIGH</t>
        </is>
      </c>
      <c r="F1612" s="188" t="n">
        <v>3</v>
      </c>
      <c r="G1612" s="188" t="n">
        <v>2</v>
      </c>
      <c r="H1612" s="188" t="inlineStr">
        <is>
          <t>HIGH</t>
        </is>
      </c>
      <c r="I1612" s="188" t="n">
        <v>13.5</v>
      </c>
      <c r="J1612" s="188" t="inlineStr">
        <is>
          <t>NO</t>
        </is>
      </c>
      <c r="K1612" s="188" t="inlineStr">
        <is>
          <t>https://threatfox.abuse.ch/ioc/1754879/</t>
        </is>
      </c>
      <c r="L1612" s="188" t="inlineStr">
        <is>
          <t>2026-02-25 22:09:02 UTC</t>
        </is>
      </c>
      <c r="M1612" s="188" t="inlineStr">
        <is>
          <t>Block IOC</t>
        </is>
      </c>
      <c r="N1612" s="188" t="inlineStr">
        <is>
          <t>https://threatfox.abuse.ch/ioc/1754879/</t>
        </is>
      </c>
      <c r="O1612" s="188" t="inlineStr">
        <is>
          <t>Block ip:port:</t>
        </is>
      </c>
      <c r="P1612" s="188" t="inlineStr">
        <is>
          <t>botnet_cc</t>
        </is>
      </c>
      <c r="Q1612" s="188" t="inlineStr">
        <is>
          <t>P3</t>
        </is>
      </c>
      <c r="R1612" s="188" t="inlineStr">
        <is>
          <t>🚫 Block IOC at network perimeter | 🔎 Hunt for IOC across environment | 📋 Document and share with threat intel team</t>
        </is>
      </c>
      <c r="S1612" s="188" t="inlineStr">
        <is>
          <t>Classification: hosting-provider | Context: 🌍 Sweden | Stockholm | 🏢 AWS EC2 (eu-north-1) | ASN: AS16509 Amazon.com, Inc. | 🖥️ Hosting/DC | Name: AWS EC2 (eu-north-1)</t>
        </is>
      </c>
      <c r="T1612" s="188" t="n">
        <v>0</v>
      </c>
      <c r="U1612" s="188" t="n">
        <v>0</v>
      </c>
      <c r="V1612" s="188" t="inlineStr">
        <is>
          <t>T1071:Application Layer Protocol | T1102:Web Service</t>
        </is>
      </c>
      <c r="W1612" s="188" t="n">
        <v>1</v>
      </c>
      <c r="X1612" s="188" t="inlineStr">
        <is>
          <t>LOW (40%)</t>
        </is>
      </c>
      <c r="Y1612" s="188" t="inlineStr">
        <is>
          <t>NONE</t>
        </is>
      </c>
      <c r="Z1612" s="188" t="inlineStr">
        <is>
          <t>NONE</t>
        </is>
      </c>
      <c r="AA1612" s="188" t="inlineStr">
        <is>
          <t>NONE</t>
        </is>
      </c>
      <c r="AB1612" s="188" t="inlineStr">
        <is>
          <t>NONE</t>
        </is>
      </c>
      <c r="AC1612" s="188" t="n">
        <v>0</v>
      </c>
      <c r="AD1612" s="188" t="inlineStr"/>
    </row>
    <row r="1613">
      <c r="A1613" s="188" t="inlineStr">
        <is>
          <t>THREATFOX_IOC</t>
        </is>
      </c>
      <c r="B1613" s="188" t="inlineStr">
        <is>
          <t>1754878</t>
        </is>
      </c>
      <c r="C1613" s="188" t="inlineStr">
        <is>
          <t>domain IOC:  | Malware: ClearFake | Confidence: 100%</t>
        </is>
      </c>
      <c r="D1613" s="188" t="n">
        <v>7.5</v>
      </c>
      <c r="E1613" s="188" t="inlineStr">
        <is>
          <t>HIGH</t>
        </is>
      </c>
      <c r="F1613" s="188" t="n">
        <v>3</v>
      </c>
      <c r="G1613" s="188" t="n">
        <v>2</v>
      </c>
      <c r="H1613" s="188" t="inlineStr">
        <is>
          <t>HIGH</t>
        </is>
      </c>
      <c r="I1613" s="188" t="n">
        <v>13.5</v>
      </c>
      <c r="J1613" s="188" t="inlineStr">
        <is>
          <t>NO</t>
        </is>
      </c>
      <c r="K1613" s="188" t="inlineStr">
        <is>
          <t>https://threatfox.abuse.ch/ioc/1754878/</t>
        </is>
      </c>
      <c r="L1613" s="188" t="inlineStr">
        <is>
          <t>2026-02-25 22:05:06 UTC</t>
        </is>
      </c>
      <c r="M1613" s="188" t="inlineStr">
        <is>
          <t>Block IOC</t>
        </is>
      </c>
      <c r="N1613" s="188" t="inlineStr">
        <is>
          <t>https://threatfox.abuse.ch/ioc/1754878/</t>
        </is>
      </c>
      <c r="O1613" s="188" t="inlineStr">
        <is>
          <t>Block domain:</t>
        </is>
      </c>
      <c r="P1613" s="188" t="inlineStr">
        <is>
          <t>payload_delivery</t>
        </is>
      </c>
      <c r="Q1613" s="188" t="inlineStr">
        <is>
          <t>P3</t>
        </is>
      </c>
      <c r="R1613" s="188" t="inlineStr">
        <is>
          <t>🚫 Block IOC at network perimeter | 🔎 Hunt for IOC across environment | 📋 Document and share with threat intel team</t>
        </is>
      </c>
      <c r="S1613" s="188" t="inlineStr">
        <is>
          <t>Classification: Not checked | Context: Not enriched | Name: Not indexed</t>
        </is>
      </c>
      <c r="T1613" s="188" t="n">
        <v>0</v>
      </c>
      <c r="U1613" s="188" t="n">
        <v>0</v>
      </c>
      <c r="V1613" s="188" t="inlineStr">
        <is>
          <t>T1071:Application Layer Protocol | T1102:Web Service</t>
        </is>
      </c>
      <c r="W1613" s="188" t="n">
        <v>1</v>
      </c>
      <c r="X1613" s="188" t="inlineStr">
        <is>
          <t>LOW (40%)</t>
        </is>
      </c>
      <c r="Y1613" s="188" t="inlineStr">
        <is>
          <t>NONE</t>
        </is>
      </c>
      <c r="Z1613" s="188" t="inlineStr">
        <is>
          <t>NONE</t>
        </is>
      </c>
      <c r="AA1613" s="188" t="inlineStr">
        <is>
          <t>NONE</t>
        </is>
      </c>
      <c r="AB1613" s="188" t="inlineStr">
        <is>
          <t>NONE</t>
        </is>
      </c>
      <c r="AC1613" s="188" t="n">
        <v>0</v>
      </c>
      <c r="AD1613" s="188" t="inlineStr"/>
    </row>
    <row r="1614">
      <c r="A1614" s="188" t="inlineStr">
        <is>
          <t>THREATFOX_IOC</t>
        </is>
      </c>
      <c r="B1614" s="188" t="inlineStr">
        <is>
          <t>1754877</t>
        </is>
      </c>
      <c r="C1614" s="188" t="inlineStr">
        <is>
          <t>domain IOC:  | Malware: ClearFake | Confidence: 100%</t>
        </is>
      </c>
      <c r="D1614" s="188" t="n">
        <v>7.5</v>
      </c>
      <c r="E1614" s="188" t="inlineStr">
        <is>
          <t>HIGH</t>
        </is>
      </c>
      <c r="F1614" s="188" t="n">
        <v>3</v>
      </c>
      <c r="G1614" s="188" t="n">
        <v>2</v>
      </c>
      <c r="H1614" s="188" t="inlineStr">
        <is>
          <t>HIGH</t>
        </is>
      </c>
      <c r="I1614" s="188" t="n">
        <v>13.5</v>
      </c>
      <c r="J1614" s="188" t="inlineStr">
        <is>
          <t>NO</t>
        </is>
      </c>
      <c r="K1614" s="188" t="inlineStr">
        <is>
          <t>https://threatfox.abuse.ch/ioc/1754877/</t>
        </is>
      </c>
      <c r="L1614" s="188" t="inlineStr">
        <is>
          <t>2026-02-25 22:02:28 UTC</t>
        </is>
      </c>
      <c r="M1614" s="188" t="inlineStr">
        <is>
          <t>Block IOC</t>
        </is>
      </c>
      <c r="N1614" s="188" t="inlineStr">
        <is>
          <t>https://threatfox.abuse.ch/ioc/1754877/</t>
        </is>
      </c>
      <c r="O1614" s="188" t="inlineStr">
        <is>
          <t>Block domain:</t>
        </is>
      </c>
      <c r="P1614" s="188" t="inlineStr">
        <is>
          <t>payload_delivery</t>
        </is>
      </c>
      <c r="Q1614" s="188" t="inlineStr">
        <is>
          <t>P3</t>
        </is>
      </c>
      <c r="R1614" s="188" t="inlineStr">
        <is>
          <t>🚫 Block IOC at network perimeter | 🔎 Hunt for IOC across environment | 📋 Document and share with threat intel team</t>
        </is>
      </c>
      <c r="S1614" s="188" t="inlineStr">
        <is>
          <t>Classification: Not checked | Context: Not enriched | Name: Not indexed</t>
        </is>
      </c>
      <c r="T1614" s="188" t="n">
        <v>0</v>
      </c>
      <c r="U1614" s="188" t="n">
        <v>0</v>
      </c>
      <c r="V1614" s="188" t="inlineStr">
        <is>
          <t>T1071:Application Layer Protocol | T1102:Web Service</t>
        </is>
      </c>
      <c r="W1614" s="188" t="n">
        <v>1</v>
      </c>
      <c r="X1614" s="188" t="inlineStr">
        <is>
          <t>LOW (40%)</t>
        </is>
      </c>
      <c r="Y1614" s="188" t="inlineStr">
        <is>
          <t>NONE</t>
        </is>
      </c>
      <c r="Z1614" s="188" t="inlineStr">
        <is>
          <t>NONE</t>
        </is>
      </c>
      <c r="AA1614" s="188" t="inlineStr">
        <is>
          <t>NONE</t>
        </is>
      </c>
      <c r="AB1614" s="188" t="inlineStr">
        <is>
          <t>NONE</t>
        </is>
      </c>
      <c r="AC1614" s="188" t="n">
        <v>0</v>
      </c>
      <c r="AD1614" s="188" t="inlineStr"/>
    </row>
    <row r="1615">
      <c r="A1615" s="188" t="inlineStr">
        <is>
          <t>THREATFOX_IOC</t>
        </is>
      </c>
      <c r="B1615" s="188" t="inlineStr">
        <is>
          <t>1754876</t>
        </is>
      </c>
      <c r="C1615" s="188" t="inlineStr">
        <is>
          <t>domain IOC:  | Malware: Remcos | Confidence: 100%</t>
        </is>
      </c>
      <c r="D1615" s="188" t="n">
        <v>7.5</v>
      </c>
      <c r="E1615" s="188" t="inlineStr">
        <is>
          <t>HIGH</t>
        </is>
      </c>
      <c r="F1615" s="188" t="n">
        <v>3</v>
      </c>
      <c r="G1615" s="188" t="n">
        <v>2</v>
      </c>
      <c r="H1615" s="188" t="inlineStr">
        <is>
          <t>HIGH</t>
        </is>
      </c>
      <c r="I1615" s="188" t="n">
        <v>13.5</v>
      </c>
      <c r="J1615" s="188" t="inlineStr">
        <is>
          <t>NO</t>
        </is>
      </c>
      <c r="K1615" s="188" t="inlineStr">
        <is>
          <t>https://threatfox.abuse.ch/ioc/1754876/</t>
        </is>
      </c>
      <c r="L1615" s="188" t="inlineStr">
        <is>
          <t>2026-02-25 20:56:38 UTC</t>
        </is>
      </c>
      <c r="M1615" s="188" t="inlineStr">
        <is>
          <t>Block IOC</t>
        </is>
      </c>
      <c r="N1615" s="188" t="inlineStr">
        <is>
          <t>https://threatfox.abuse.ch/ioc/1754876/</t>
        </is>
      </c>
      <c r="O1615" s="188" t="inlineStr">
        <is>
          <t>Block domain:</t>
        </is>
      </c>
      <c r="P1615" s="188" t="inlineStr">
        <is>
          <t>botnet_cc</t>
        </is>
      </c>
      <c r="Q1615" s="188" t="inlineStr">
        <is>
          <t>P3</t>
        </is>
      </c>
      <c r="R1615" s="188" t="inlineStr">
        <is>
          <t>🚫 Block IOC at network perimeter | 🔎 Hunt for IOC across environment | 📋 Document and share with threat intel team</t>
        </is>
      </c>
      <c r="S1615" s="188" t="inlineStr">
        <is>
          <t>Classification: Not checked | Context: Not enriched | Name: Not indexed</t>
        </is>
      </c>
      <c r="T1615" s="188" t="n">
        <v>0</v>
      </c>
      <c r="U1615" s="188" t="n">
        <v>0</v>
      </c>
      <c r="V1615" s="188" t="inlineStr">
        <is>
          <t>T1071:Application Layer Protocol | T1102:Web Service</t>
        </is>
      </c>
      <c r="W1615" s="188" t="n">
        <v>1</v>
      </c>
      <c r="X1615" s="188" t="inlineStr">
        <is>
          <t>LOW (40%)</t>
        </is>
      </c>
      <c r="Y1615" s="188" t="inlineStr">
        <is>
          <t>NONE</t>
        </is>
      </c>
      <c r="Z1615" s="188" t="inlineStr">
        <is>
          <t>NONE</t>
        </is>
      </c>
      <c r="AA1615" s="188" t="inlineStr">
        <is>
          <t>NONE</t>
        </is>
      </c>
      <c r="AB1615" s="188" t="inlineStr">
        <is>
          <t>NONE</t>
        </is>
      </c>
      <c r="AC1615" s="188" t="n">
        <v>0</v>
      </c>
      <c r="AD1615" s="188" t="inlineStr"/>
    </row>
    <row r="1616">
      <c r="A1616" s="188" t="inlineStr">
        <is>
          <t>THREATFOX_IOC</t>
        </is>
      </c>
      <c r="B1616" s="188" t="inlineStr">
        <is>
          <t>1754875</t>
        </is>
      </c>
      <c r="C1616" s="188" t="inlineStr">
        <is>
          <t>ip:port IOC:  | Malware: Mirai | Confidence: 100%</t>
        </is>
      </c>
      <c r="D1616" s="188" t="n">
        <v>7.5</v>
      </c>
      <c r="E1616" s="188" t="inlineStr">
        <is>
          <t>HIGH</t>
        </is>
      </c>
      <c r="F1616" s="188" t="n">
        <v>3</v>
      </c>
      <c r="G1616" s="188" t="n">
        <v>2</v>
      </c>
      <c r="H1616" s="188" t="inlineStr">
        <is>
          <t>HIGH</t>
        </is>
      </c>
      <c r="I1616" s="188" t="n">
        <v>13.5</v>
      </c>
      <c r="J1616" s="188" t="inlineStr">
        <is>
          <t>NO</t>
        </is>
      </c>
      <c r="K1616" s="188" t="inlineStr">
        <is>
          <t>https://threatfox.abuse.ch/ioc/1754875/</t>
        </is>
      </c>
      <c r="L1616" s="188" t="inlineStr">
        <is>
          <t>2026-02-25 20:52:39 UTC</t>
        </is>
      </c>
      <c r="M1616" s="188" t="inlineStr">
        <is>
          <t>Block IOC</t>
        </is>
      </c>
      <c r="N1616" s="188" t="inlineStr">
        <is>
          <t>https://threatfox.abuse.ch/ioc/1754875/</t>
        </is>
      </c>
      <c r="O1616" s="188" t="inlineStr">
        <is>
          <t>Block ip:port:</t>
        </is>
      </c>
      <c r="P1616" s="188" t="inlineStr">
        <is>
          <t>botnet_cc</t>
        </is>
      </c>
      <c r="Q1616" s="188" t="inlineStr">
        <is>
          <t>P3</t>
        </is>
      </c>
      <c r="R1616" s="188" t="inlineStr">
        <is>
          <t>🚫 Block IOC at network perimeter | 🔎 Hunt for IOC across environment | 📋 Document and share with threat intel team</t>
        </is>
      </c>
      <c r="S1616" s="188" t="inlineStr">
        <is>
          <t>Classification: hosting-provider | Context: 🌍 Sweden | Stockholm | 🏢 AWS EC2 (eu-north-1) | ASN: AS16509 Amazon.com, Inc. | 🖥️ Hosting/DC | Name: AWS EC2 (eu-north-1)</t>
        </is>
      </c>
      <c r="T1616" s="188" t="n">
        <v>0</v>
      </c>
      <c r="U1616" s="188" t="n">
        <v>0</v>
      </c>
      <c r="V1616" s="188" t="inlineStr">
        <is>
          <t>T1071:Application Layer Protocol | T1102:Web Service</t>
        </is>
      </c>
      <c r="W1616" s="188" t="n">
        <v>1</v>
      </c>
      <c r="X1616" s="188" t="inlineStr">
        <is>
          <t>LOW (40%)</t>
        </is>
      </c>
      <c r="Y1616" s="188" t="inlineStr">
        <is>
          <t>NONE</t>
        </is>
      </c>
      <c r="Z1616" s="188" t="inlineStr">
        <is>
          <t>NONE</t>
        </is>
      </c>
      <c r="AA1616" s="188" t="inlineStr">
        <is>
          <t>NONE</t>
        </is>
      </c>
      <c r="AB1616" s="188" t="inlineStr">
        <is>
          <t>NONE</t>
        </is>
      </c>
      <c r="AC1616" s="188" t="n">
        <v>0</v>
      </c>
      <c r="AD1616" s="188" t="inlineStr"/>
    </row>
    <row r="1617">
      <c r="A1617" s="188" t="inlineStr">
        <is>
          <t>THREATFOX_IOC</t>
        </is>
      </c>
      <c r="B1617" s="188" t="inlineStr">
        <is>
          <t>1754874</t>
        </is>
      </c>
      <c r="C1617" s="188" t="inlineStr">
        <is>
          <t>ip:port IOC:  | Malware: AdaptixC2 | Confidence: 100%</t>
        </is>
      </c>
      <c r="D1617" s="188" t="n">
        <v>7.5</v>
      </c>
      <c r="E1617" s="188" t="inlineStr">
        <is>
          <t>HIGH</t>
        </is>
      </c>
      <c r="F1617" s="188" t="n">
        <v>3</v>
      </c>
      <c r="G1617" s="188" t="n">
        <v>2</v>
      </c>
      <c r="H1617" s="188" t="inlineStr">
        <is>
          <t>HIGH</t>
        </is>
      </c>
      <c r="I1617" s="188" t="n">
        <v>13.5</v>
      </c>
      <c r="J1617" s="188" t="inlineStr">
        <is>
          <t>NO</t>
        </is>
      </c>
      <c r="K1617" s="188" t="inlineStr">
        <is>
          <t>https://threatfox.abuse.ch/ioc/1754874/</t>
        </is>
      </c>
      <c r="L1617" s="188" t="inlineStr">
        <is>
          <t>2026-02-25 20:50:02 UTC</t>
        </is>
      </c>
      <c r="M1617" s="188" t="inlineStr">
        <is>
          <t>Block IOC</t>
        </is>
      </c>
      <c r="N1617" s="188" t="inlineStr">
        <is>
          <t>https://threatfox.abuse.ch/ioc/1754874/</t>
        </is>
      </c>
      <c r="O1617" s="188" t="inlineStr">
        <is>
          <t>Block ip:port:</t>
        </is>
      </c>
      <c r="P1617" s="188" t="inlineStr">
        <is>
          <t>botnet_cc</t>
        </is>
      </c>
      <c r="Q1617" s="188" t="inlineStr">
        <is>
          <t>P3</t>
        </is>
      </c>
      <c r="R1617" s="188" t="inlineStr">
        <is>
          <t>🚫 Block IOC at network perimeter | 🔎 Hunt for IOC across environment | 📋 Document and share with threat intel team</t>
        </is>
      </c>
      <c r="S1617" s="188" t="inlineStr">
        <is>
          <t>Classification: hosting-provider | Context: 🌍 Sweden | Stockholm | 🏢 AWS EC2 (eu-north-1) | ASN: AS16509 Amazon.com, Inc. | 🖥️ Hosting/DC | Name: AWS EC2 (eu-north-1)</t>
        </is>
      </c>
      <c r="T1617" s="188" t="n">
        <v>0</v>
      </c>
      <c r="U1617" s="188" t="n">
        <v>0</v>
      </c>
      <c r="V1617" s="188" t="inlineStr">
        <is>
          <t>T1071:Application Layer Protocol | T1102:Web Service</t>
        </is>
      </c>
      <c r="W1617" s="188" t="n">
        <v>1</v>
      </c>
      <c r="X1617" s="188" t="inlineStr">
        <is>
          <t>LOW (40%)</t>
        </is>
      </c>
      <c r="Y1617" s="188" t="inlineStr">
        <is>
          <t>NONE</t>
        </is>
      </c>
      <c r="Z1617" s="188" t="inlineStr">
        <is>
          <t>NONE</t>
        </is>
      </c>
      <c r="AA1617" s="188" t="inlineStr">
        <is>
          <t>NONE</t>
        </is>
      </c>
      <c r="AB1617" s="188" t="inlineStr">
        <is>
          <t>NONE</t>
        </is>
      </c>
      <c r="AC1617" s="188" t="n">
        <v>0</v>
      </c>
      <c r="AD1617" s="188" t="inlineStr"/>
    </row>
    <row r="1618">
      <c r="A1618" s="188" t="inlineStr">
        <is>
          <t>THREATFOX_IOC</t>
        </is>
      </c>
      <c r="B1618" s="188" t="inlineStr">
        <is>
          <t>1754873</t>
        </is>
      </c>
      <c r="C1618" s="188" t="inlineStr">
        <is>
          <t>ip:port IOC:  | Malware: AdaptixC2 | Confidence: 100%</t>
        </is>
      </c>
      <c r="D1618" s="188" t="n">
        <v>7.5</v>
      </c>
      <c r="E1618" s="188" t="inlineStr">
        <is>
          <t>HIGH</t>
        </is>
      </c>
      <c r="F1618" s="188" t="n">
        <v>3</v>
      </c>
      <c r="G1618" s="188" t="n">
        <v>2</v>
      </c>
      <c r="H1618" s="188" t="inlineStr">
        <is>
          <t>HIGH</t>
        </is>
      </c>
      <c r="I1618" s="188" t="n">
        <v>13.5</v>
      </c>
      <c r="J1618" s="188" t="inlineStr">
        <is>
          <t>NO</t>
        </is>
      </c>
      <c r="K1618" s="188" t="inlineStr">
        <is>
          <t>https://threatfox.abuse.ch/ioc/1754873/</t>
        </is>
      </c>
      <c r="L1618" s="188" t="inlineStr">
        <is>
          <t>2026-02-25 20:46:15 UTC</t>
        </is>
      </c>
      <c r="M1618" s="188" t="inlineStr">
        <is>
          <t>Block IOC</t>
        </is>
      </c>
      <c r="N1618" s="188" t="inlineStr">
        <is>
          <t>https://threatfox.abuse.ch/ioc/1754873/</t>
        </is>
      </c>
      <c r="O1618" s="188" t="inlineStr">
        <is>
          <t>Block ip:port:</t>
        </is>
      </c>
      <c r="P1618" s="188" t="inlineStr">
        <is>
          <t>botnet_cc</t>
        </is>
      </c>
      <c r="Q1618" s="188" t="inlineStr">
        <is>
          <t>P3</t>
        </is>
      </c>
      <c r="R1618" s="188" t="inlineStr">
        <is>
          <t>🚫 Block IOC at network perimeter | 🔎 Hunt for IOC across environment | 📋 Document and share with threat intel team</t>
        </is>
      </c>
      <c r="S1618" s="188" t="inlineStr">
        <is>
          <t>Classification: hosting-provider | Context: 🌍 Sweden | Stockholm | 🏢 AWS EC2 (eu-north-1) | ASN: AS16509 Amazon.com, Inc. | 🖥️ Hosting/DC | Name: AWS EC2 (eu-north-1)</t>
        </is>
      </c>
      <c r="T1618" s="188" t="n">
        <v>0</v>
      </c>
      <c r="U1618" s="188" t="n">
        <v>0</v>
      </c>
      <c r="V1618" s="188" t="inlineStr">
        <is>
          <t>T1071:Application Layer Protocol | T1102:Web Service</t>
        </is>
      </c>
      <c r="W1618" s="188" t="n">
        <v>1</v>
      </c>
      <c r="X1618" s="188" t="inlineStr">
        <is>
          <t>LOW (40%)</t>
        </is>
      </c>
      <c r="Y1618" s="188" t="inlineStr">
        <is>
          <t>NONE</t>
        </is>
      </c>
      <c r="Z1618" s="188" t="inlineStr">
        <is>
          <t>NONE</t>
        </is>
      </c>
      <c r="AA1618" s="188" t="inlineStr">
        <is>
          <t>NONE</t>
        </is>
      </c>
      <c r="AB1618" s="188" t="inlineStr">
        <is>
          <t>NONE</t>
        </is>
      </c>
      <c r="AC1618" s="188" t="n">
        <v>0</v>
      </c>
      <c r="AD1618" s="188" t="inlineStr"/>
    </row>
    <row r="1619">
      <c r="A1619" s="188" t="inlineStr">
        <is>
          <t>THREATFOX_IOC</t>
        </is>
      </c>
      <c r="B1619" s="188" t="inlineStr">
        <is>
          <t>1754872</t>
        </is>
      </c>
      <c r="C1619" s="188" t="inlineStr">
        <is>
          <t>domain IOC:  | Malware: AdaptixC2 | Confidence: 100%</t>
        </is>
      </c>
      <c r="D1619" s="188" t="n">
        <v>7.5</v>
      </c>
      <c r="E1619" s="188" t="inlineStr">
        <is>
          <t>HIGH</t>
        </is>
      </c>
      <c r="F1619" s="188" t="n">
        <v>3</v>
      </c>
      <c r="G1619" s="188" t="n">
        <v>2</v>
      </c>
      <c r="H1619" s="188" t="inlineStr">
        <is>
          <t>HIGH</t>
        </is>
      </c>
      <c r="I1619" s="188" t="n">
        <v>13.5</v>
      </c>
      <c r="J1619" s="188" t="inlineStr">
        <is>
          <t>NO</t>
        </is>
      </c>
      <c r="K1619" s="188" t="inlineStr">
        <is>
          <t>https://threatfox.abuse.ch/ioc/1754872/</t>
        </is>
      </c>
      <c r="L1619" s="188" t="inlineStr">
        <is>
          <t>2026-02-25 20:45:06 UTC</t>
        </is>
      </c>
      <c r="M1619" s="188" t="inlineStr">
        <is>
          <t>Block IOC</t>
        </is>
      </c>
      <c r="N1619" s="188" t="inlineStr">
        <is>
          <t>https://threatfox.abuse.ch/ioc/1754872/</t>
        </is>
      </c>
      <c r="O1619" s="188" t="inlineStr">
        <is>
          <t>Block domain:</t>
        </is>
      </c>
      <c r="P1619" s="188" t="inlineStr">
        <is>
          <t>botnet_cc</t>
        </is>
      </c>
      <c r="Q1619" s="188" t="inlineStr">
        <is>
          <t>P3</t>
        </is>
      </c>
      <c r="R1619" s="188" t="inlineStr">
        <is>
          <t>🚫 Block IOC at network perimeter | 🔎 Hunt for IOC across environment | 📋 Document and share with threat intel team</t>
        </is>
      </c>
      <c r="S1619" s="188" t="inlineStr">
        <is>
          <t>Classification: Not checked | Context: Not enriched | Name: Not indexed</t>
        </is>
      </c>
      <c r="T1619" s="188" t="n">
        <v>0</v>
      </c>
      <c r="U1619" s="188" t="n">
        <v>0</v>
      </c>
      <c r="V1619" s="188" t="inlineStr">
        <is>
          <t>T1071:Application Layer Protocol | T1102:Web Service</t>
        </is>
      </c>
      <c r="W1619" s="188" t="n">
        <v>1</v>
      </c>
      <c r="X1619" s="188" t="inlineStr">
        <is>
          <t>LOW (40%)</t>
        </is>
      </c>
      <c r="Y1619" s="188" t="inlineStr">
        <is>
          <t>NONE</t>
        </is>
      </c>
      <c r="Z1619" s="188" t="inlineStr">
        <is>
          <t>NONE</t>
        </is>
      </c>
      <c r="AA1619" s="188" t="inlineStr">
        <is>
          <t>NONE</t>
        </is>
      </c>
      <c r="AB1619" s="188" t="inlineStr">
        <is>
          <t>NONE</t>
        </is>
      </c>
      <c r="AC1619" s="188" t="n">
        <v>0</v>
      </c>
      <c r="AD1619" s="188" t="inlineStr"/>
    </row>
    <row r="1620">
      <c r="A1620" s="188" t="inlineStr">
        <is>
          <t>THREATFOX_IOC</t>
        </is>
      </c>
      <c r="B1620" s="188" t="inlineStr">
        <is>
          <t>1754871</t>
        </is>
      </c>
      <c r="C1620" s="188" t="inlineStr">
        <is>
          <t>ip:port IOC:  | Malware: Kaiji | Confidence: 100%</t>
        </is>
      </c>
      <c r="D1620" s="188" t="n">
        <v>7.5</v>
      </c>
      <c r="E1620" s="188" t="inlineStr">
        <is>
          <t>HIGH</t>
        </is>
      </c>
      <c r="F1620" s="188" t="n">
        <v>3</v>
      </c>
      <c r="G1620" s="188" t="n">
        <v>2</v>
      </c>
      <c r="H1620" s="188" t="inlineStr">
        <is>
          <t>HIGH</t>
        </is>
      </c>
      <c r="I1620" s="188" t="n">
        <v>13.5</v>
      </c>
      <c r="J1620" s="188" t="inlineStr">
        <is>
          <t>NO</t>
        </is>
      </c>
      <c r="K1620" s="188" t="inlineStr">
        <is>
          <t>https://threatfox.abuse.ch/ioc/1754871/</t>
        </is>
      </c>
      <c r="L1620" s="188" t="inlineStr">
        <is>
          <t>2026-02-25 20:41:12 UTC</t>
        </is>
      </c>
      <c r="M1620" s="188" t="inlineStr">
        <is>
          <t>Block IOC</t>
        </is>
      </c>
      <c r="N1620" s="188" t="inlineStr">
        <is>
          <t>https://threatfox.abuse.ch/ioc/1754871/</t>
        </is>
      </c>
      <c r="O1620" s="188" t="inlineStr">
        <is>
          <t>Block ip:port:</t>
        </is>
      </c>
      <c r="P1620" s="188" t="inlineStr">
        <is>
          <t>botnet_cc</t>
        </is>
      </c>
      <c r="Q1620" s="188" t="inlineStr">
        <is>
          <t>P3</t>
        </is>
      </c>
      <c r="R1620" s="188" t="inlineStr">
        <is>
          <t>🚫 Block IOC at network perimeter | 🔎 Hunt for IOC across environment | 📋 Document and share with threat intel team</t>
        </is>
      </c>
      <c r="S1620" s="188" t="inlineStr">
        <is>
          <t>Classification: hosting-provider | Context: 🌍 Sweden | Stockholm | 🏢 AWS EC2 (eu-north-1) | ASN: AS16509 Amazon.com, Inc. | 🖥️ Hosting/DC | Name: AWS EC2 (eu-north-1)</t>
        </is>
      </c>
      <c r="T1620" s="188" t="n">
        <v>0</v>
      </c>
      <c r="U1620" s="188" t="n">
        <v>0</v>
      </c>
      <c r="V1620" s="188" t="inlineStr">
        <is>
          <t>T1071:Application Layer Protocol | T1102:Web Service</t>
        </is>
      </c>
      <c r="W1620" s="188" t="n">
        <v>1</v>
      </c>
      <c r="X1620" s="188" t="inlineStr">
        <is>
          <t>LOW (40%)</t>
        </is>
      </c>
      <c r="Y1620" s="188" t="inlineStr">
        <is>
          <t>NONE</t>
        </is>
      </c>
      <c r="Z1620" s="188" t="inlineStr">
        <is>
          <t>NONE</t>
        </is>
      </c>
      <c r="AA1620" s="188" t="inlineStr">
        <is>
          <t>NONE</t>
        </is>
      </c>
      <c r="AB1620" s="188" t="inlineStr">
        <is>
          <t>NONE</t>
        </is>
      </c>
      <c r="AC1620" s="188" t="n">
        <v>0</v>
      </c>
      <c r="AD1620" s="188" t="inlineStr"/>
    </row>
    <row r="1621">
      <c r="A1621" s="188" t="inlineStr">
        <is>
          <t>THREATFOX_IOC</t>
        </is>
      </c>
      <c r="B1621" s="188" t="inlineStr">
        <is>
          <t>1754870</t>
        </is>
      </c>
      <c r="C1621" s="188" t="inlineStr">
        <is>
          <t>domain IOC:  | Malware: AdaptixC2 | Confidence: 100%</t>
        </is>
      </c>
      <c r="D1621" s="188" t="n">
        <v>7.5</v>
      </c>
      <c r="E1621" s="188" t="inlineStr">
        <is>
          <t>HIGH</t>
        </is>
      </c>
      <c r="F1621" s="188" t="n">
        <v>3</v>
      </c>
      <c r="G1621" s="188" t="n">
        <v>2</v>
      </c>
      <c r="H1621" s="188" t="inlineStr">
        <is>
          <t>HIGH</t>
        </is>
      </c>
      <c r="I1621" s="188" t="n">
        <v>13.5</v>
      </c>
      <c r="J1621" s="188" t="inlineStr">
        <is>
          <t>NO</t>
        </is>
      </c>
      <c r="K1621" s="188" t="inlineStr">
        <is>
          <t>https://threatfox.abuse.ch/ioc/1754870/</t>
        </is>
      </c>
      <c r="L1621" s="188" t="inlineStr">
        <is>
          <t>2026-02-25 20:40:43 UTC</t>
        </is>
      </c>
      <c r="M1621" s="188" t="inlineStr">
        <is>
          <t>Block IOC</t>
        </is>
      </c>
      <c r="N1621" s="188" t="inlineStr">
        <is>
          <t>https://threatfox.abuse.ch/ioc/1754870/</t>
        </is>
      </c>
      <c r="O1621" s="188" t="inlineStr">
        <is>
          <t>Block domain:</t>
        </is>
      </c>
      <c r="P1621" s="188" t="inlineStr">
        <is>
          <t>botnet_cc</t>
        </is>
      </c>
      <c r="Q1621" s="188" t="inlineStr">
        <is>
          <t>P3</t>
        </is>
      </c>
      <c r="R1621" s="188" t="inlineStr">
        <is>
          <t>🚫 Block IOC at network perimeter | 🔎 Hunt for IOC across environment | 📋 Document and share with threat intel team</t>
        </is>
      </c>
      <c r="S1621" s="188" t="inlineStr">
        <is>
          <t>Classification: Not checked | Context: Not enriched | Name: Not indexed</t>
        </is>
      </c>
      <c r="T1621" s="188" t="n">
        <v>0</v>
      </c>
      <c r="U1621" s="188" t="n">
        <v>0</v>
      </c>
      <c r="V1621" s="188" t="inlineStr">
        <is>
          <t>T1071:Application Layer Protocol | T1102:Web Service</t>
        </is>
      </c>
      <c r="W1621" s="188" t="n">
        <v>1</v>
      </c>
      <c r="X1621" s="188" t="inlineStr">
        <is>
          <t>LOW (40%)</t>
        </is>
      </c>
      <c r="Y1621" s="188" t="inlineStr">
        <is>
          <t>NONE</t>
        </is>
      </c>
      <c r="Z1621" s="188" t="inlineStr">
        <is>
          <t>NONE</t>
        </is>
      </c>
      <c r="AA1621" s="188" t="inlineStr">
        <is>
          <t>NONE</t>
        </is>
      </c>
      <c r="AB1621" s="188" t="inlineStr">
        <is>
          <t>NONE</t>
        </is>
      </c>
      <c r="AC1621" s="188" t="n">
        <v>0</v>
      </c>
      <c r="AD1621" s="188" t="inlineStr"/>
    </row>
    <row r="1622">
      <c r="A1622" s="188" t="inlineStr">
        <is>
          <t>THREATFOX_IOC</t>
        </is>
      </c>
      <c r="B1622" s="188" t="inlineStr">
        <is>
          <t>1754869</t>
        </is>
      </c>
      <c r="C1622" s="188" t="inlineStr">
        <is>
          <t>ip:port IOC:  | Malware: AdaptixC2 | Confidence: 100%</t>
        </is>
      </c>
      <c r="D1622" s="188" t="n">
        <v>7.5</v>
      </c>
      <c r="E1622" s="188" t="inlineStr">
        <is>
          <t>HIGH</t>
        </is>
      </c>
      <c r="F1622" s="188" t="n">
        <v>3</v>
      </c>
      <c r="G1622" s="188" t="n">
        <v>2</v>
      </c>
      <c r="H1622" s="188" t="inlineStr">
        <is>
          <t>HIGH</t>
        </is>
      </c>
      <c r="I1622" s="188" t="n">
        <v>13.5</v>
      </c>
      <c r="J1622" s="188" t="inlineStr">
        <is>
          <t>NO</t>
        </is>
      </c>
      <c r="K1622" s="188" t="inlineStr">
        <is>
          <t>https://threatfox.abuse.ch/ioc/1754869/</t>
        </is>
      </c>
      <c r="L1622" s="188" t="inlineStr">
        <is>
          <t>2026-02-25 20:37:51 UTC</t>
        </is>
      </c>
      <c r="M1622" s="188" t="inlineStr">
        <is>
          <t>Block IOC</t>
        </is>
      </c>
      <c r="N1622" s="188" t="inlineStr">
        <is>
          <t>https://threatfox.abuse.ch/ioc/1754869/</t>
        </is>
      </c>
      <c r="O1622" s="188" t="inlineStr">
        <is>
          <t>Block ip:port:</t>
        </is>
      </c>
      <c r="P1622" s="188" t="inlineStr">
        <is>
          <t>botnet_cc</t>
        </is>
      </c>
      <c r="Q1622" s="188" t="inlineStr">
        <is>
          <t>P3</t>
        </is>
      </c>
      <c r="R1622" s="188" t="inlineStr">
        <is>
          <t>🚫 Block IOC at network perimeter | 🔎 Hunt for IOC across environment | 📋 Document and share with threat intel team</t>
        </is>
      </c>
      <c r="S1622" s="188" t="inlineStr">
        <is>
          <t>Classification: hosting-provider | Context: 🌍 Sweden | Stockholm | 🏢 AWS EC2 (eu-north-1) | ASN: AS16509 Amazon.com, Inc. | 🖥️ Hosting/DC | Name: AWS EC2 (eu-north-1)</t>
        </is>
      </c>
      <c r="T1622" s="188" t="n">
        <v>0</v>
      </c>
      <c r="U1622" s="188" t="n">
        <v>0</v>
      </c>
      <c r="V1622" s="188" t="inlineStr">
        <is>
          <t>T1071:Application Layer Protocol | T1102:Web Service</t>
        </is>
      </c>
      <c r="W1622" s="188" t="n">
        <v>1</v>
      </c>
      <c r="X1622" s="188" t="inlineStr">
        <is>
          <t>LOW (40%)</t>
        </is>
      </c>
      <c r="Y1622" s="188" t="inlineStr">
        <is>
          <t>NONE</t>
        </is>
      </c>
      <c r="Z1622" s="188" t="inlineStr">
        <is>
          <t>NONE</t>
        </is>
      </c>
      <c r="AA1622" s="188" t="inlineStr">
        <is>
          <t>NONE</t>
        </is>
      </c>
      <c r="AB1622" s="188" t="inlineStr">
        <is>
          <t>NONE</t>
        </is>
      </c>
      <c r="AC1622" s="188" t="n">
        <v>0</v>
      </c>
      <c r="AD1622" s="188" t="inlineStr"/>
    </row>
    <row r="1623">
      <c r="A1623" s="188" t="inlineStr">
        <is>
          <t>THREATFOX_IOC</t>
        </is>
      </c>
      <c r="B1623" s="188" t="inlineStr">
        <is>
          <t>1754868</t>
        </is>
      </c>
      <c r="C1623" s="188" t="inlineStr">
        <is>
          <t>url IOC:  | Malware: Unknown malware | Confidence: 90%</t>
        </is>
      </c>
      <c r="D1623" s="188" t="n">
        <v>7.5</v>
      </c>
      <c r="E1623" s="188" t="inlineStr">
        <is>
          <t>HIGH</t>
        </is>
      </c>
      <c r="F1623" s="188" t="n">
        <v>3</v>
      </c>
      <c r="G1623" s="188" t="n">
        <v>2</v>
      </c>
      <c r="H1623" s="188" t="inlineStr">
        <is>
          <t>HIGH</t>
        </is>
      </c>
      <c r="I1623" s="188" t="n">
        <v>13.5</v>
      </c>
      <c r="J1623" s="188" t="inlineStr">
        <is>
          <t>NO</t>
        </is>
      </c>
      <c r="K1623" s="188" t="inlineStr">
        <is>
          <t>https://threatfox.abuse.ch/ioc/1754868/</t>
        </is>
      </c>
      <c r="L1623" s="188" t="inlineStr">
        <is>
          <t>2026-02-25 20:31:04 UTC</t>
        </is>
      </c>
      <c r="M1623" s="188" t="inlineStr">
        <is>
          <t>Block IOC</t>
        </is>
      </c>
      <c r="N1623" s="188" t="inlineStr">
        <is>
          <t>https://threatfox.abuse.ch/ioc/1754868/</t>
        </is>
      </c>
      <c r="O1623" s="188" t="inlineStr">
        <is>
          <t>Block url:</t>
        </is>
      </c>
      <c r="P1623" s="188" t="inlineStr">
        <is>
          <t>payload_delivery</t>
        </is>
      </c>
      <c r="Q1623" s="188" t="inlineStr">
        <is>
          <t>P3</t>
        </is>
      </c>
      <c r="R1623" s="188" t="inlineStr">
        <is>
          <t>🚫 Block IOC at network perimeter | 🔎 Hunt for IOC across environment | 📋 Document and share with threat intel team</t>
        </is>
      </c>
      <c r="S1623" s="188" t="inlineStr">
        <is>
          <t>Classification: Not checked | Context: Not enriched | Name: Not indexed</t>
        </is>
      </c>
      <c r="T1623" s="188" t="n">
        <v>0</v>
      </c>
      <c r="U1623" s="188" t="n">
        <v>0</v>
      </c>
      <c r="V1623" s="188" t="inlineStr">
        <is>
          <t>T1071:Application Layer Protocol | T1102:Web Service</t>
        </is>
      </c>
      <c r="W1623" s="188" t="n">
        <v>1</v>
      </c>
      <c r="X1623" s="188" t="inlineStr">
        <is>
          <t>LOW (40%)</t>
        </is>
      </c>
      <c r="Y1623" s="188" t="inlineStr">
        <is>
          <t>NONE</t>
        </is>
      </c>
      <c r="Z1623" s="188" t="inlineStr">
        <is>
          <t>NONE</t>
        </is>
      </c>
      <c r="AA1623" s="188" t="inlineStr">
        <is>
          <t>NONE</t>
        </is>
      </c>
      <c r="AB1623" s="188" t="inlineStr">
        <is>
          <t>NONE</t>
        </is>
      </c>
      <c r="AC1623" s="188" t="n">
        <v>0</v>
      </c>
      <c r="AD1623" s="188" t="inlineStr"/>
    </row>
    <row r="1624">
      <c r="A1624" s="188" t="inlineStr">
        <is>
          <t>THREATFOX_IOC</t>
        </is>
      </c>
      <c r="B1624" s="188" t="inlineStr">
        <is>
          <t>1754865</t>
        </is>
      </c>
      <c r="C1624" s="188" t="inlineStr">
        <is>
          <t>ip:port IOC:  | Malware: KongTuke | Confidence: 75%</t>
        </is>
      </c>
      <c r="D1624" s="188" t="n">
        <v>7.5</v>
      </c>
      <c r="E1624" s="188" t="inlineStr">
        <is>
          <t>HIGH</t>
        </is>
      </c>
      <c r="F1624" s="188" t="n">
        <v>3</v>
      </c>
      <c r="G1624" s="188" t="n">
        <v>2</v>
      </c>
      <c r="H1624" s="188" t="inlineStr">
        <is>
          <t>HIGH</t>
        </is>
      </c>
      <c r="I1624" s="188" t="n">
        <v>13.5</v>
      </c>
      <c r="J1624" s="188" t="inlineStr">
        <is>
          <t>NO</t>
        </is>
      </c>
      <c r="K1624" s="188" t="inlineStr">
        <is>
          <t>https://threatfox.abuse.ch/ioc/1754865/</t>
        </is>
      </c>
      <c r="L1624" s="188" t="inlineStr">
        <is>
          <t>2026-02-25 20:18:36 UTC</t>
        </is>
      </c>
      <c r="M1624" s="188" t="inlineStr">
        <is>
          <t>Block IOC</t>
        </is>
      </c>
      <c r="N1624" s="188" t="inlineStr">
        <is>
          <t>https://threatfox.abuse.ch/ioc/1754865/</t>
        </is>
      </c>
      <c r="O1624" s="188" t="inlineStr">
        <is>
          <t>Block ip:port:</t>
        </is>
      </c>
      <c r="P1624" s="188" t="inlineStr">
        <is>
          <t>botnet_cc</t>
        </is>
      </c>
      <c r="Q1624" s="188" t="inlineStr">
        <is>
          <t>P3</t>
        </is>
      </c>
      <c r="R1624" s="188" t="inlineStr">
        <is>
          <t>🚫 Block IOC at network perimeter | 🔎 Hunt for IOC across environment | 📋 Document and share with threat intel team</t>
        </is>
      </c>
      <c r="S1624" s="188" t="inlineStr">
        <is>
          <t>Classification: hosting-provider | Context: 🌍 Sweden | Stockholm | 🏢 AWS EC2 (eu-north-1) | ASN: AS16509 Amazon.com, Inc. | 🖥️ Hosting/DC | Name: AWS EC2 (eu-north-1)</t>
        </is>
      </c>
      <c r="T1624" s="188" t="n">
        <v>0</v>
      </c>
      <c r="U1624" s="188" t="n">
        <v>0</v>
      </c>
      <c r="V1624" s="188" t="inlineStr">
        <is>
          <t>T1071:Application Layer Protocol | T1102:Web Service</t>
        </is>
      </c>
      <c r="W1624" s="188" t="n">
        <v>1</v>
      </c>
      <c r="X1624" s="188" t="inlineStr">
        <is>
          <t>LOW (40%)</t>
        </is>
      </c>
      <c r="Y1624" s="188" t="inlineStr">
        <is>
          <t>NONE</t>
        </is>
      </c>
      <c r="Z1624" s="188" t="inlineStr">
        <is>
          <t>NONE</t>
        </is>
      </c>
      <c r="AA1624" s="188" t="inlineStr">
        <is>
          <t>NONE</t>
        </is>
      </c>
      <c r="AB1624" s="188" t="inlineStr">
        <is>
          <t>NONE</t>
        </is>
      </c>
      <c r="AC1624" s="188" t="n">
        <v>0</v>
      </c>
      <c r="AD1624" s="188" t="inlineStr"/>
    </row>
    <row r="1625">
      <c r="A1625" s="188" t="inlineStr">
        <is>
          <t>THREATFOX_IOC</t>
        </is>
      </c>
      <c r="B1625" s="188" t="inlineStr">
        <is>
          <t>1754866</t>
        </is>
      </c>
      <c r="C1625" s="188" t="inlineStr">
        <is>
          <t>ip:port IOC:  | Malware: KongTuke | Confidence: 75%</t>
        </is>
      </c>
      <c r="D1625" s="188" t="n">
        <v>7.5</v>
      </c>
      <c r="E1625" s="188" t="inlineStr">
        <is>
          <t>HIGH</t>
        </is>
      </c>
      <c r="F1625" s="188" t="n">
        <v>3</v>
      </c>
      <c r="G1625" s="188" t="n">
        <v>2</v>
      </c>
      <c r="H1625" s="188" t="inlineStr">
        <is>
          <t>HIGH</t>
        </is>
      </c>
      <c r="I1625" s="188" t="n">
        <v>13.5</v>
      </c>
      <c r="J1625" s="188" t="inlineStr">
        <is>
          <t>NO</t>
        </is>
      </c>
      <c r="K1625" s="188" t="inlineStr">
        <is>
          <t>https://threatfox.abuse.ch/ioc/1754866/</t>
        </is>
      </c>
      <c r="L1625" s="188" t="inlineStr">
        <is>
          <t>2026-02-25 20:18:36 UTC</t>
        </is>
      </c>
      <c r="M1625" s="188" t="inlineStr">
        <is>
          <t>Block IOC</t>
        </is>
      </c>
      <c r="N1625" s="188" t="inlineStr">
        <is>
          <t>https://threatfox.abuse.ch/ioc/1754866/</t>
        </is>
      </c>
      <c r="O1625" s="188" t="inlineStr">
        <is>
          <t>Block ip:port:</t>
        </is>
      </c>
      <c r="P1625" s="188" t="inlineStr">
        <is>
          <t>botnet_cc</t>
        </is>
      </c>
      <c r="Q1625" s="188" t="inlineStr">
        <is>
          <t>P3</t>
        </is>
      </c>
      <c r="R1625" s="188" t="inlineStr">
        <is>
          <t>🚫 Block IOC at network perimeter | 🔎 Hunt for IOC across environment | 📋 Document and share with threat intel team</t>
        </is>
      </c>
      <c r="S1625" s="188" t="inlineStr">
        <is>
          <t>Classification: hosting-provider | Context: 🌍 Sweden | Stockholm | 🏢 AWS EC2 (eu-north-1) | ASN: AS16509 Amazon.com, Inc. | 🖥️ Hosting/DC | Name: AWS EC2 (eu-north-1)</t>
        </is>
      </c>
      <c r="T1625" s="188" t="n">
        <v>0</v>
      </c>
      <c r="U1625" s="188" t="n">
        <v>0</v>
      </c>
      <c r="V1625" s="188" t="inlineStr">
        <is>
          <t>T1071:Application Layer Protocol | T1102:Web Service</t>
        </is>
      </c>
      <c r="W1625" s="188" t="n">
        <v>1</v>
      </c>
      <c r="X1625" s="188" t="inlineStr">
        <is>
          <t>LOW (40%)</t>
        </is>
      </c>
      <c r="Y1625" s="188" t="inlineStr">
        <is>
          <t>NONE</t>
        </is>
      </c>
      <c r="Z1625" s="188" t="inlineStr">
        <is>
          <t>NONE</t>
        </is>
      </c>
      <c r="AA1625" s="188" t="inlineStr">
        <is>
          <t>NONE</t>
        </is>
      </c>
      <c r="AB1625" s="188" t="inlineStr">
        <is>
          <t>NONE</t>
        </is>
      </c>
      <c r="AC1625" s="188" t="n">
        <v>0</v>
      </c>
      <c r="AD1625" s="188" t="inlineStr"/>
    </row>
    <row r="1626">
      <c r="A1626" s="188" t="inlineStr">
        <is>
          <t>THREATFOX_IOC</t>
        </is>
      </c>
      <c r="B1626" s="188" t="inlineStr">
        <is>
          <t>1754867</t>
        </is>
      </c>
      <c r="C1626" s="188" t="inlineStr">
        <is>
          <t>ip:port IOC:  | Malware: KongTuke | Confidence: 75%</t>
        </is>
      </c>
      <c r="D1626" s="188" t="n">
        <v>7.5</v>
      </c>
      <c r="E1626" s="188" t="inlineStr">
        <is>
          <t>HIGH</t>
        </is>
      </c>
      <c r="F1626" s="188" t="n">
        <v>3</v>
      </c>
      <c r="G1626" s="188" t="n">
        <v>2</v>
      </c>
      <c r="H1626" s="188" t="inlineStr">
        <is>
          <t>HIGH</t>
        </is>
      </c>
      <c r="I1626" s="188" t="n">
        <v>13.5</v>
      </c>
      <c r="J1626" s="188" t="inlineStr">
        <is>
          <t>NO</t>
        </is>
      </c>
      <c r="K1626" s="188" t="inlineStr">
        <is>
          <t>https://threatfox.abuse.ch/ioc/1754867/</t>
        </is>
      </c>
      <c r="L1626" s="188" t="inlineStr">
        <is>
          <t>2026-02-25 20:18:36 UTC</t>
        </is>
      </c>
      <c r="M1626" s="188" t="inlineStr">
        <is>
          <t>Block IOC</t>
        </is>
      </c>
      <c r="N1626" s="188" t="inlineStr">
        <is>
          <t>https://threatfox.abuse.ch/ioc/1754867/</t>
        </is>
      </c>
      <c r="O1626" s="188" t="inlineStr">
        <is>
          <t>Block ip:port:</t>
        </is>
      </c>
      <c r="P1626" s="188" t="inlineStr">
        <is>
          <t>botnet_cc</t>
        </is>
      </c>
      <c r="Q1626" s="188" t="inlineStr">
        <is>
          <t>P3</t>
        </is>
      </c>
      <c r="R1626" s="188" t="inlineStr">
        <is>
          <t>🚫 Block IOC at network perimeter | 🔎 Hunt for IOC across environment | 📋 Document and share with threat intel team</t>
        </is>
      </c>
      <c r="S1626" s="188" t="inlineStr">
        <is>
          <t>Classification: hosting-provider | Context: 🌍 Sweden | Stockholm | 🏢 AWS EC2 (eu-north-1) | ASN: AS16509 Amazon.com, Inc. | 🖥️ Hosting/DC | Name: AWS EC2 (eu-north-1)</t>
        </is>
      </c>
      <c r="T1626" s="188" t="n">
        <v>0</v>
      </c>
      <c r="U1626" s="188" t="n">
        <v>0</v>
      </c>
      <c r="V1626" s="188" t="inlineStr">
        <is>
          <t>T1071:Application Layer Protocol | T1102:Web Service</t>
        </is>
      </c>
      <c r="W1626" s="188" t="n">
        <v>1</v>
      </c>
      <c r="X1626" s="188" t="inlineStr">
        <is>
          <t>LOW (40%)</t>
        </is>
      </c>
      <c r="Y1626" s="188" t="inlineStr">
        <is>
          <t>NONE</t>
        </is>
      </c>
      <c r="Z1626" s="188" t="inlineStr">
        <is>
          <t>NONE</t>
        </is>
      </c>
      <c r="AA1626" s="188" t="inlineStr">
        <is>
          <t>NONE</t>
        </is>
      </c>
      <c r="AB1626" s="188" t="inlineStr">
        <is>
          <t>NONE</t>
        </is>
      </c>
      <c r="AC1626" s="188" t="n">
        <v>0</v>
      </c>
      <c r="AD1626" s="188" t="inlineStr"/>
    </row>
    <row r="1627">
      <c r="A1627" s="188" t="inlineStr">
        <is>
          <t>THREATFOX_IOC</t>
        </is>
      </c>
      <c r="B1627" s="188" t="inlineStr">
        <is>
          <t>1754864</t>
        </is>
      </c>
      <c r="C1627" s="188" t="inlineStr">
        <is>
          <t>domain IOC:  | Malware: Remcos | Confidence: 100%</t>
        </is>
      </c>
      <c r="D1627" s="188" t="n">
        <v>7.5</v>
      </c>
      <c r="E1627" s="188" t="inlineStr">
        <is>
          <t>HIGH</t>
        </is>
      </c>
      <c r="F1627" s="188" t="n">
        <v>3</v>
      </c>
      <c r="G1627" s="188" t="n">
        <v>2</v>
      </c>
      <c r="H1627" s="188" t="inlineStr">
        <is>
          <t>HIGH</t>
        </is>
      </c>
      <c r="I1627" s="188" t="n">
        <v>13.5</v>
      </c>
      <c r="J1627" s="188" t="inlineStr">
        <is>
          <t>NO</t>
        </is>
      </c>
      <c r="K1627" s="188" t="inlineStr">
        <is>
          <t>https://threatfox.abuse.ch/ioc/1754864/</t>
        </is>
      </c>
      <c r="L1627" s="188" t="inlineStr">
        <is>
          <t>2026-02-25 20:16:39 UTC</t>
        </is>
      </c>
      <c r="M1627" s="188" t="inlineStr">
        <is>
          <t>Block IOC</t>
        </is>
      </c>
      <c r="N1627" s="188" t="inlineStr">
        <is>
          <t>https://threatfox.abuse.ch/ioc/1754864/</t>
        </is>
      </c>
      <c r="O1627" s="188" t="inlineStr">
        <is>
          <t>Block domain:</t>
        </is>
      </c>
      <c r="P1627" s="188" t="inlineStr">
        <is>
          <t>botnet_cc</t>
        </is>
      </c>
      <c r="Q1627" s="188" t="inlineStr">
        <is>
          <t>P3</t>
        </is>
      </c>
      <c r="R1627" s="188" t="inlineStr">
        <is>
          <t>🚫 Block IOC at network perimeter | 🔎 Hunt for IOC across environment | 📋 Document and share with threat intel team</t>
        </is>
      </c>
      <c r="S1627" s="188" t="inlineStr">
        <is>
          <t>Classification: Not checked | Context: Not enriched | Name: Not indexed</t>
        </is>
      </c>
      <c r="T1627" s="188" t="n">
        <v>0</v>
      </c>
      <c r="U1627" s="188" t="n">
        <v>0</v>
      </c>
      <c r="V1627" s="188" t="inlineStr">
        <is>
          <t>T1071:Application Layer Protocol | T1102:Web Service</t>
        </is>
      </c>
      <c r="W1627" s="188" t="n">
        <v>1</v>
      </c>
      <c r="X1627" s="188" t="inlineStr">
        <is>
          <t>LOW (40%)</t>
        </is>
      </c>
      <c r="Y1627" s="188" t="inlineStr">
        <is>
          <t>NONE</t>
        </is>
      </c>
      <c r="Z1627" s="188" t="inlineStr">
        <is>
          <t>NONE</t>
        </is>
      </c>
      <c r="AA1627" s="188" t="inlineStr">
        <is>
          <t>NONE</t>
        </is>
      </c>
      <c r="AB1627" s="188" t="inlineStr">
        <is>
          <t>NONE</t>
        </is>
      </c>
      <c r="AC1627" s="188" t="n">
        <v>0</v>
      </c>
      <c r="AD1627" s="188" t="inlineStr"/>
    </row>
    <row r="1628">
      <c r="A1628" s="188" t="inlineStr">
        <is>
          <t>THREATFOX_IOC</t>
        </is>
      </c>
      <c r="B1628" s="188" t="inlineStr">
        <is>
          <t>1754863</t>
        </is>
      </c>
      <c r="C1628" s="188" t="inlineStr">
        <is>
          <t>domain IOC:  | Malware: KongTuke | Confidence: 75%</t>
        </is>
      </c>
      <c r="D1628" s="188" t="n">
        <v>7.5</v>
      </c>
      <c r="E1628" s="188" t="inlineStr">
        <is>
          <t>HIGH</t>
        </is>
      </c>
      <c r="F1628" s="188" t="n">
        <v>3</v>
      </c>
      <c r="G1628" s="188" t="n">
        <v>2</v>
      </c>
      <c r="H1628" s="188" t="inlineStr">
        <is>
          <t>HIGH</t>
        </is>
      </c>
      <c r="I1628" s="188" t="n">
        <v>13.5</v>
      </c>
      <c r="J1628" s="188" t="inlineStr">
        <is>
          <t>NO</t>
        </is>
      </c>
      <c r="K1628" s="188" t="inlineStr">
        <is>
          <t>https://threatfox.abuse.ch/ioc/1754863/</t>
        </is>
      </c>
      <c r="L1628" s="188" t="inlineStr">
        <is>
          <t>2026-02-25 20:14:12 UTC</t>
        </is>
      </c>
      <c r="M1628" s="188" t="inlineStr">
        <is>
          <t>Block IOC</t>
        </is>
      </c>
      <c r="N1628" s="188" t="inlineStr">
        <is>
          <t>https://threatfox.abuse.ch/ioc/1754863/</t>
        </is>
      </c>
      <c r="O1628" s="188" t="inlineStr">
        <is>
          <t>Block domain:</t>
        </is>
      </c>
      <c r="P1628" s="188" t="inlineStr">
        <is>
          <t>botnet_cc</t>
        </is>
      </c>
      <c r="Q1628" s="188" t="inlineStr">
        <is>
          <t>P3</t>
        </is>
      </c>
      <c r="R1628" s="188" t="inlineStr">
        <is>
          <t>🚫 Block IOC at network perimeter | 🔎 Hunt for IOC across environment | 📋 Document and share with threat intel team</t>
        </is>
      </c>
      <c r="S1628" s="188" t="inlineStr">
        <is>
          <t>Classification: Not checked | Context: Not enriched | Name: Not indexed</t>
        </is>
      </c>
      <c r="T1628" s="188" t="n">
        <v>0</v>
      </c>
      <c r="U1628" s="188" t="n">
        <v>0</v>
      </c>
      <c r="V1628" s="188" t="inlineStr">
        <is>
          <t>T1071:Application Layer Protocol | T1102:Web Service</t>
        </is>
      </c>
      <c r="W1628" s="188" t="n">
        <v>1</v>
      </c>
      <c r="X1628" s="188" t="inlineStr">
        <is>
          <t>LOW (40%)</t>
        </is>
      </c>
      <c r="Y1628" s="188" t="inlineStr">
        <is>
          <t>NONE</t>
        </is>
      </c>
      <c r="Z1628" s="188" t="inlineStr">
        <is>
          <t>NONE</t>
        </is>
      </c>
      <c r="AA1628" s="188" t="inlineStr">
        <is>
          <t>NONE</t>
        </is>
      </c>
      <c r="AB1628" s="188" t="inlineStr">
        <is>
          <t>NONE</t>
        </is>
      </c>
      <c r="AC1628" s="188" t="n">
        <v>0</v>
      </c>
      <c r="AD1628" s="188" t="inlineStr"/>
    </row>
    <row r="1629">
      <c r="A1629" s="188" t="inlineStr">
        <is>
          <t>THREATFOX_IOC</t>
        </is>
      </c>
      <c r="B1629" s="188" t="inlineStr">
        <is>
          <t>1754857</t>
        </is>
      </c>
      <c r="C1629" s="188" t="inlineStr">
        <is>
          <t>domain IOC:  | Malware: KongTuke | Confidence: 75%</t>
        </is>
      </c>
      <c r="D1629" s="188" t="n">
        <v>7.5</v>
      </c>
      <c r="E1629" s="188" t="inlineStr">
        <is>
          <t>HIGH</t>
        </is>
      </c>
      <c r="F1629" s="188" t="n">
        <v>3</v>
      </c>
      <c r="G1629" s="188" t="n">
        <v>2</v>
      </c>
      <c r="H1629" s="188" t="inlineStr">
        <is>
          <t>HIGH</t>
        </is>
      </c>
      <c r="I1629" s="188" t="n">
        <v>13.5</v>
      </c>
      <c r="J1629" s="188" t="inlineStr">
        <is>
          <t>NO</t>
        </is>
      </c>
      <c r="K1629" s="188" t="inlineStr">
        <is>
          <t>https://threatfox.abuse.ch/ioc/1754857/</t>
        </is>
      </c>
      <c r="L1629" s="188" t="inlineStr">
        <is>
          <t>2026-02-25 20:14:11 UTC</t>
        </is>
      </c>
      <c r="M1629" s="188" t="inlineStr">
        <is>
          <t>Block IOC</t>
        </is>
      </c>
      <c r="N1629" s="188" t="inlineStr">
        <is>
          <t>https://threatfox.abuse.ch/ioc/1754857/</t>
        </is>
      </c>
      <c r="O1629" s="188" t="inlineStr">
        <is>
          <t>Block domain:</t>
        </is>
      </c>
      <c r="P1629" s="188" t="inlineStr">
        <is>
          <t>botnet_cc</t>
        </is>
      </c>
      <c r="Q1629" s="188" t="inlineStr">
        <is>
          <t>P3</t>
        </is>
      </c>
      <c r="R1629" s="188" t="inlineStr">
        <is>
          <t>🚫 Block IOC at network perimeter | 🔎 Hunt for IOC across environment | 📋 Document and share with threat intel team</t>
        </is>
      </c>
      <c r="S1629" s="188" t="inlineStr">
        <is>
          <t>Classification: Not checked | Context: Not enriched | Name: Not indexed</t>
        </is>
      </c>
      <c r="T1629" s="188" t="n">
        <v>0</v>
      </c>
      <c r="U1629" s="188" t="n">
        <v>0</v>
      </c>
      <c r="V1629" s="188" t="inlineStr">
        <is>
          <t>T1071:Application Layer Protocol | T1102:Web Service</t>
        </is>
      </c>
      <c r="W1629" s="188" t="n">
        <v>1</v>
      </c>
      <c r="X1629" s="188" t="inlineStr">
        <is>
          <t>LOW (40%)</t>
        </is>
      </c>
      <c r="Y1629" s="188" t="inlineStr">
        <is>
          <t>NONE</t>
        </is>
      </c>
      <c r="Z1629" s="188" t="inlineStr">
        <is>
          <t>NONE</t>
        </is>
      </c>
      <c r="AA1629" s="188" t="inlineStr">
        <is>
          <t>NONE</t>
        </is>
      </c>
      <c r="AB1629" s="188" t="inlineStr">
        <is>
          <t>NONE</t>
        </is>
      </c>
      <c r="AC1629" s="188" t="n">
        <v>0</v>
      </c>
      <c r="AD1629" s="188" t="inlineStr"/>
    </row>
    <row r="1630">
      <c r="A1630" s="188" t="inlineStr">
        <is>
          <t>THREATFOX_IOC</t>
        </is>
      </c>
      <c r="B1630" s="188" t="inlineStr">
        <is>
          <t>1754858</t>
        </is>
      </c>
      <c r="C1630" s="188" t="inlineStr">
        <is>
          <t>domain IOC:  | Malware: KongTuke | Confidence: 75%</t>
        </is>
      </c>
      <c r="D1630" s="188" t="n">
        <v>7.5</v>
      </c>
      <c r="E1630" s="188" t="inlineStr">
        <is>
          <t>HIGH</t>
        </is>
      </c>
      <c r="F1630" s="188" t="n">
        <v>3</v>
      </c>
      <c r="G1630" s="188" t="n">
        <v>2</v>
      </c>
      <c r="H1630" s="188" t="inlineStr">
        <is>
          <t>HIGH</t>
        </is>
      </c>
      <c r="I1630" s="188" t="n">
        <v>13.5</v>
      </c>
      <c r="J1630" s="188" t="inlineStr">
        <is>
          <t>NO</t>
        </is>
      </c>
      <c r="K1630" s="188" t="inlineStr">
        <is>
          <t>https://threatfox.abuse.ch/ioc/1754858/</t>
        </is>
      </c>
      <c r="L1630" s="188" t="inlineStr">
        <is>
          <t>2026-02-25 20:14:11 UTC</t>
        </is>
      </c>
      <c r="M1630" s="188" t="inlineStr">
        <is>
          <t>Block IOC</t>
        </is>
      </c>
      <c r="N1630" s="188" t="inlineStr">
        <is>
          <t>https://threatfox.abuse.ch/ioc/1754858/</t>
        </is>
      </c>
      <c r="O1630" s="188" t="inlineStr">
        <is>
          <t>Block domain:</t>
        </is>
      </c>
      <c r="P1630" s="188" t="inlineStr">
        <is>
          <t>botnet_cc</t>
        </is>
      </c>
      <c r="Q1630" s="188" t="inlineStr">
        <is>
          <t>P3</t>
        </is>
      </c>
      <c r="R1630" s="188" t="inlineStr">
        <is>
          <t>🚫 Block IOC at network perimeter | 🔎 Hunt for IOC across environment | 📋 Document and share with threat intel team</t>
        </is>
      </c>
      <c r="S1630" s="188" t="inlineStr">
        <is>
          <t>Classification: Not checked | Context: Not enriched | Name: Not indexed</t>
        </is>
      </c>
      <c r="T1630" s="188" t="n">
        <v>0</v>
      </c>
      <c r="U1630" s="188" t="n">
        <v>0</v>
      </c>
      <c r="V1630" s="188" t="inlineStr">
        <is>
          <t>T1071:Application Layer Protocol | T1102:Web Service</t>
        </is>
      </c>
      <c r="W1630" s="188" t="n">
        <v>1</v>
      </c>
      <c r="X1630" s="188" t="inlineStr">
        <is>
          <t>LOW (40%)</t>
        </is>
      </c>
      <c r="Y1630" s="188" t="inlineStr">
        <is>
          <t>NONE</t>
        </is>
      </c>
      <c r="Z1630" s="188" t="inlineStr">
        <is>
          <t>NONE</t>
        </is>
      </c>
      <c r="AA1630" s="188" t="inlineStr">
        <is>
          <t>NONE</t>
        </is>
      </c>
      <c r="AB1630" s="188" t="inlineStr">
        <is>
          <t>NONE</t>
        </is>
      </c>
      <c r="AC1630" s="188" t="n">
        <v>0</v>
      </c>
      <c r="AD1630" s="188" t="inlineStr"/>
    </row>
    <row r="1631">
      <c r="A1631" s="188" t="inlineStr">
        <is>
          <t>THREATFOX_IOC</t>
        </is>
      </c>
      <c r="B1631" s="188" t="inlineStr">
        <is>
          <t>1754859</t>
        </is>
      </c>
      <c r="C1631" s="188" t="inlineStr">
        <is>
          <t>domain IOC:  | Malware: KongTuke | Confidence: 75%</t>
        </is>
      </c>
      <c r="D1631" s="188" t="n">
        <v>7.5</v>
      </c>
      <c r="E1631" s="188" t="inlineStr">
        <is>
          <t>HIGH</t>
        </is>
      </c>
      <c r="F1631" s="188" t="n">
        <v>3</v>
      </c>
      <c r="G1631" s="188" t="n">
        <v>2</v>
      </c>
      <c r="H1631" s="188" t="inlineStr">
        <is>
          <t>HIGH</t>
        </is>
      </c>
      <c r="I1631" s="188" t="n">
        <v>13.5</v>
      </c>
      <c r="J1631" s="188" t="inlineStr">
        <is>
          <t>NO</t>
        </is>
      </c>
      <c r="K1631" s="188" t="inlineStr">
        <is>
          <t>https://threatfox.abuse.ch/ioc/1754859/</t>
        </is>
      </c>
      <c r="L1631" s="188" t="inlineStr">
        <is>
          <t>2026-02-25 20:14:11 UTC</t>
        </is>
      </c>
      <c r="M1631" s="188" t="inlineStr">
        <is>
          <t>Block IOC</t>
        </is>
      </c>
      <c r="N1631" s="188" t="inlineStr">
        <is>
          <t>https://threatfox.abuse.ch/ioc/1754859/</t>
        </is>
      </c>
      <c r="O1631" s="188" t="inlineStr">
        <is>
          <t>Block domain:</t>
        </is>
      </c>
      <c r="P1631" s="188" t="inlineStr">
        <is>
          <t>botnet_cc</t>
        </is>
      </c>
      <c r="Q1631" s="188" t="inlineStr">
        <is>
          <t>P3</t>
        </is>
      </c>
      <c r="R1631" s="188" t="inlineStr">
        <is>
          <t>🚫 Block IOC at network perimeter | 🔎 Hunt for IOC across environment | 📋 Document and share with threat intel team</t>
        </is>
      </c>
      <c r="S1631" s="188" t="inlineStr">
        <is>
          <t>Classification: Not checked | Context: Not enriched | Name: Not indexed</t>
        </is>
      </c>
      <c r="T1631" s="188" t="n">
        <v>0</v>
      </c>
      <c r="U1631" s="188" t="n">
        <v>0</v>
      </c>
      <c r="V1631" s="188" t="inlineStr">
        <is>
          <t>T1071:Application Layer Protocol | T1102:Web Service</t>
        </is>
      </c>
      <c r="W1631" s="188" t="n">
        <v>1</v>
      </c>
      <c r="X1631" s="188" t="inlineStr">
        <is>
          <t>LOW (40%)</t>
        </is>
      </c>
      <c r="Y1631" s="188" t="inlineStr">
        <is>
          <t>NONE</t>
        </is>
      </c>
      <c r="Z1631" s="188" t="inlineStr">
        <is>
          <t>NONE</t>
        </is>
      </c>
      <c r="AA1631" s="188" t="inlineStr">
        <is>
          <t>NONE</t>
        </is>
      </c>
      <c r="AB1631" s="188" t="inlineStr">
        <is>
          <t>NONE</t>
        </is>
      </c>
      <c r="AC1631" s="188" t="n">
        <v>0</v>
      </c>
      <c r="AD1631" s="188" t="inlineStr"/>
    </row>
    <row r="1632">
      <c r="A1632" s="188" t="inlineStr">
        <is>
          <t>THREATFOX_IOC</t>
        </is>
      </c>
      <c r="B1632" s="188" t="inlineStr">
        <is>
          <t>1754860</t>
        </is>
      </c>
      <c r="C1632" s="188" t="inlineStr">
        <is>
          <t>domain IOC:  | Malware: KongTuke | Confidence: 75%</t>
        </is>
      </c>
      <c r="D1632" s="188" t="n">
        <v>7.5</v>
      </c>
      <c r="E1632" s="188" t="inlineStr">
        <is>
          <t>HIGH</t>
        </is>
      </c>
      <c r="F1632" s="188" t="n">
        <v>3</v>
      </c>
      <c r="G1632" s="188" t="n">
        <v>2</v>
      </c>
      <c r="H1632" s="188" t="inlineStr">
        <is>
          <t>HIGH</t>
        </is>
      </c>
      <c r="I1632" s="188" t="n">
        <v>13.5</v>
      </c>
      <c r="J1632" s="188" t="inlineStr">
        <is>
          <t>NO</t>
        </is>
      </c>
      <c r="K1632" s="188" t="inlineStr">
        <is>
          <t>https://threatfox.abuse.ch/ioc/1754860/</t>
        </is>
      </c>
      <c r="L1632" s="188" t="inlineStr">
        <is>
          <t>2026-02-25 20:14:11 UTC</t>
        </is>
      </c>
      <c r="M1632" s="188" t="inlineStr">
        <is>
          <t>Block IOC</t>
        </is>
      </c>
      <c r="N1632" s="188" t="inlineStr">
        <is>
          <t>https://threatfox.abuse.ch/ioc/1754860/</t>
        </is>
      </c>
      <c r="O1632" s="188" t="inlineStr">
        <is>
          <t>Block domain:</t>
        </is>
      </c>
      <c r="P1632" s="188" t="inlineStr">
        <is>
          <t>botnet_cc</t>
        </is>
      </c>
      <c r="Q1632" s="188" t="inlineStr">
        <is>
          <t>P3</t>
        </is>
      </c>
      <c r="R1632" s="188" t="inlineStr">
        <is>
          <t>🚫 Block IOC at network perimeter | 🔎 Hunt for IOC across environment | 📋 Document and share with threat intel team</t>
        </is>
      </c>
      <c r="S1632" s="188" t="inlineStr">
        <is>
          <t>Classification: skipped | Context: Skipped (20/run IOC cap) | Name: N/A</t>
        </is>
      </c>
      <c r="T1632" s="188" t="n">
        <v>0</v>
      </c>
      <c r="U1632" s="188" t="n">
        <v>0</v>
      </c>
      <c r="V1632" s="188" t="inlineStr">
        <is>
          <t>T1071:Application Layer Protocol | T1102:Web Service</t>
        </is>
      </c>
      <c r="W1632" s="188" t="n">
        <v>1</v>
      </c>
      <c r="X1632" s="188" t="inlineStr">
        <is>
          <t>LOW (40%)</t>
        </is>
      </c>
      <c r="Y1632" s="188" t="inlineStr">
        <is>
          <t>NONE</t>
        </is>
      </c>
      <c r="Z1632" s="188" t="inlineStr">
        <is>
          <t>NONE</t>
        </is>
      </c>
      <c r="AA1632" s="188" t="inlineStr">
        <is>
          <t>NONE</t>
        </is>
      </c>
      <c r="AB1632" s="188" t="inlineStr">
        <is>
          <t>NONE</t>
        </is>
      </c>
      <c r="AC1632" s="188" t="n">
        <v>0</v>
      </c>
      <c r="AD1632" s="188" t="inlineStr"/>
    </row>
    <row r="1633">
      <c r="A1633" s="188" t="inlineStr">
        <is>
          <t>THREATFOX_IOC</t>
        </is>
      </c>
      <c r="B1633" s="188" t="inlineStr">
        <is>
          <t>1754861</t>
        </is>
      </c>
      <c r="C1633" s="188" t="inlineStr">
        <is>
          <t>domain IOC:  | Malware: KongTuke | Confidence: 75%</t>
        </is>
      </c>
      <c r="D1633" s="188" t="n">
        <v>7.5</v>
      </c>
      <c r="E1633" s="188" t="inlineStr">
        <is>
          <t>HIGH</t>
        </is>
      </c>
      <c r="F1633" s="188" t="n">
        <v>3</v>
      </c>
      <c r="G1633" s="188" t="n">
        <v>2</v>
      </c>
      <c r="H1633" s="188" t="inlineStr">
        <is>
          <t>HIGH</t>
        </is>
      </c>
      <c r="I1633" s="188" t="n">
        <v>13.5</v>
      </c>
      <c r="J1633" s="188" t="inlineStr">
        <is>
          <t>NO</t>
        </is>
      </c>
      <c r="K1633" s="188" t="inlineStr">
        <is>
          <t>https://threatfox.abuse.ch/ioc/1754861/</t>
        </is>
      </c>
      <c r="L1633" s="188" t="inlineStr">
        <is>
          <t>2026-02-25 20:14:11 UTC</t>
        </is>
      </c>
      <c r="M1633" s="188" t="inlineStr">
        <is>
          <t>Block IOC</t>
        </is>
      </c>
      <c r="N1633" s="188" t="inlineStr">
        <is>
          <t>https://threatfox.abuse.ch/ioc/1754861/</t>
        </is>
      </c>
      <c r="O1633" s="188" t="inlineStr">
        <is>
          <t>Block domain:</t>
        </is>
      </c>
      <c r="P1633" s="188" t="inlineStr">
        <is>
          <t>botnet_cc</t>
        </is>
      </c>
      <c r="Q1633" s="188" t="inlineStr">
        <is>
          <t>P3</t>
        </is>
      </c>
      <c r="R1633" s="188" t="inlineStr">
        <is>
          <t>🚫 Block IOC at network perimeter | 🔎 Hunt for IOC across environment | 📋 Document and share with threat intel team</t>
        </is>
      </c>
      <c r="S1633" s="188" t="inlineStr">
        <is>
          <t>Classification: skipped | Context: Skipped (20/run IOC cap) | Name: N/A</t>
        </is>
      </c>
      <c r="T1633" s="188" t="n">
        <v>0</v>
      </c>
      <c r="U1633" s="188" t="n">
        <v>0</v>
      </c>
      <c r="V1633" s="188" t="inlineStr">
        <is>
          <t>T1071:Application Layer Protocol | T1102:Web Service</t>
        </is>
      </c>
      <c r="W1633" s="188" t="n">
        <v>1</v>
      </c>
      <c r="X1633" s="188" t="inlineStr">
        <is>
          <t>LOW (40%)</t>
        </is>
      </c>
      <c r="Y1633" s="188" t="inlineStr">
        <is>
          <t>NONE</t>
        </is>
      </c>
      <c r="Z1633" s="188" t="inlineStr">
        <is>
          <t>NONE</t>
        </is>
      </c>
      <c r="AA1633" s="188" t="inlineStr">
        <is>
          <t>NONE</t>
        </is>
      </c>
      <c r="AB1633" s="188" t="inlineStr">
        <is>
          <t>NONE</t>
        </is>
      </c>
      <c r="AC1633" s="188" t="n">
        <v>0</v>
      </c>
      <c r="AD1633" s="188" t="inlineStr"/>
    </row>
    <row r="1634">
      <c r="A1634" s="188" t="inlineStr">
        <is>
          <t>THREATFOX_IOC</t>
        </is>
      </c>
      <c r="B1634" s="188" t="inlineStr">
        <is>
          <t>1754862</t>
        </is>
      </c>
      <c r="C1634" s="188" t="inlineStr">
        <is>
          <t>domain IOC:  | Malware: KongTuke | Confidence: 75%</t>
        </is>
      </c>
      <c r="D1634" s="188" t="n">
        <v>7.5</v>
      </c>
      <c r="E1634" s="188" t="inlineStr">
        <is>
          <t>HIGH</t>
        </is>
      </c>
      <c r="F1634" s="188" t="n">
        <v>3</v>
      </c>
      <c r="G1634" s="188" t="n">
        <v>2</v>
      </c>
      <c r="H1634" s="188" t="inlineStr">
        <is>
          <t>HIGH</t>
        </is>
      </c>
      <c r="I1634" s="188" t="n">
        <v>13.5</v>
      </c>
      <c r="J1634" s="188" t="inlineStr">
        <is>
          <t>NO</t>
        </is>
      </c>
      <c r="K1634" s="188" t="inlineStr">
        <is>
          <t>https://threatfox.abuse.ch/ioc/1754862/</t>
        </is>
      </c>
      <c r="L1634" s="188" t="inlineStr">
        <is>
          <t>2026-02-25 20:14:11 UTC</t>
        </is>
      </c>
      <c r="M1634" s="188" t="inlineStr">
        <is>
          <t>Block IOC</t>
        </is>
      </c>
      <c r="N1634" s="188" t="inlineStr">
        <is>
          <t>https://threatfox.abuse.ch/ioc/1754862/</t>
        </is>
      </c>
      <c r="O1634" s="188" t="inlineStr">
        <is>
          <t>Block domain:</t>
        </is>
      </c>
      <c r="P1634" s="188" t="inlineStr">
        <is>
          <t>botnet_cc</t>
        </is>
      </c>
      <c r="Q1634" s="188" t="inlineStr">
        <is>
          <t>P3</t>
        </is>
      </c>
      <c r="R1634" s="188" t="inlineStr">
        <is>
          <t>🚫 Block IOC at network perimeter | 🔎 Hunt for IOC across environment | 📋 Document and share with threat intel team</t>
        </is>
      </c>
      <c r="S1634" s="188" t="inlineStr">
        <is>
          <t>Classification: skipped | Context: Skipped (20/run IOC cap) | Name: N/A</t>
        </is>
      </c>
      <c r="T1634" s="188" t="n">
        <v>0</v>
      </c>
      <c r="U1634" s="188" t="n">
        <v>0</v>
      </c>
      <c r="V1634" s="188" t="inlineStr">
        <is>
          <t>T1071:Application Layer Protocol | T1102:Web Service</t>
        </is>
      </c>
      <c r="W1634" s="188" t="n">
        <v>1</v>
      </c>
      <c r="X1634" s="188" t="inlineStr">
        <is>
          <t>LOW (40%)</t>
        </is>
      </c>
      <c r="Y1634" s="188" t="inlineStr">
        <is>
          <t>NONE</t>
        </is>
      </c>
      <c r="Z1634" s="188" t="inlineStr">
        <is>
          <t>NONE</t>
        </is>
      </c>
      <c r="AA1634" s="188" t="inlineStr">
        <is>
          <t>NONE</t>
        </is>
      </c>
      <c r="AB1634" s="188" t="inlineStr">
        <is>
          <t>NONE</t>
        </is>
      </c>
      <c r="AC1634" s="188" t="n">
        <v>0</v>
      </c>
      <c r="AD1634" s="188" t="inlineStr"/>
    </row>
    <row r="1635">
      <c r="A1635" s="188" t="inlineStr">
        <is>
          <t>THREATFOX_IOC</t>
        </is>
      </c>
      <c r="B1635" s="188" t="inlineStr">
        <is>
          <t>1754854</t>
        </is>
      </c>
      <c r="C1635" s="188" t="inlineStr">
        <is>
          <t>domain IOC:  | Malware: Unknown malware | Confidence: 100%</t>
        </is>
      </c>
      <c r="D1635" s="188" t="n">
        <v>7.5</v>
      </c>
      <c r="E1635" s="188" t="inlineStr">
        <is>
          <t>HIGH</t>
        </is>
      </c>
      <c r="F1635" s="188" t="n">
        <v>3</v>
      </c>
      <c r="G1635" s="188" t="n">
        <v>2</v>
      </c>
      <c r="H1635" s="188" t="inlineStr">
        <is>
          <t>HIGH</t>
        </is>
      </c>
      <c r="I1635" s="188" t="n">
        <v>13.5</v>
      </c>
      <c r="J1635" s="188" t="inlineStr">
        <is>
          <t>NO</t>
        </is>
      </c>
      <c r="K1635" s="188" t="inlineStr">
        <is>
          <t>https://threatfox.abuse.ch/ioc/1754854/</t>
        </is>
      </c>
      <c r="L1635" s="188" t="inlineStr">
        <is>
          <t>2026-02-25 20:06:55 UTC</t>
        </is>
      </c>
      <c r="M1635" s="188" t="inlineStr">
        <is>
          <t>Block IOC</t>
        </is>
      </c>
      <c r="N1635" s="188" t="inlineStr">
        <is>
          <t>https://threatfox.abuse.ch/ioc/1754854/</t>
        </is>
      </c>
      <c r="O1635" s="188" t="inlineStr">
        <is>
          <t>Block domain:</t>
        </is>
      </c>
      <c r="P1635" s="188" t="inlineStr">
        <is>
          <t>botnet_cc</t>
        </is>
      </c>
      <c r="Q1635" s="188" t="inlineStr">
        <is>
          <t>P3</t>
        </is>
      </c>
      <c r="R1635" s="188" t="inlineStr">
        <is>
          <t>🚫 Block IOC at network perimeter | 🔎 Hunt for IOC across environment | 📋 Document and share with threat intel team</t>
        </is>
      </c>
      <c r="S1635" s="188" t="inlineStr">
        <is>
          <t>Classification: skipped | Context: Skipped (20/run IOC cap) | Name: N/A</t>
        </is>
      </c>
      <c r="T1635" s="188" t="n">
        <v>0</v>
      </c>
      <c r="U1635" s="188" t="n">
        <v>0</v>
      </c>
      <c r="V1635" s="188" t="inlineStr">
        <is>
          <t>T1071:Application Layer Protocol | T1102:Web Service</t>
        </is>
      </c>
      <c r="W1635" s="188" t="n">
        <v>1</v>
      </c>
      <c r="X1635" s="188" t="inlineStr">
        <is>
          <t>LOW (40%)</t>
        </is>
      </c>
      <c r="Y1635" s="188" t="inlineStr">
        <is>
          <t>NONE</t>
        </is>
      </c>
      <c r="Z1635" s="188" t="inlineStr">
        <is>
          <t>NONE</t>
        </is>
      </c>
      <c r="AA1635" s="188" t="inlineStr">
        <is>
          <t>NONE</t>
        </is>
      </c>
      <c r="AB1635" s="188" t="inlineStr">
        <is>
          <t>NONE</t>
        </is>
      </c>
      <c r="AC1635" s="188" t="n">
        <v>0</v>
      </c>
      <c r="AD1635" s="188" t="inlineStr"/>
    </row>
    <row r="1636">
      <c r="A1636" s="188" t="inlineStr">
        <is>
          <t>THREATFOX_IOC</t>
        </is>
      </c>
      <c r="B1636" s="188" t="inlineStr">
        <is>
          <t>1754855</t>
        </is>
      </c>
      <c r="C1636" s="188" t="inlineStr">
        <is>
          <t>domain IOC:  | Malware: Unknown malware | Confidence: 100%</t>
        </is>
      </c>
      <c r="D1636" s="188" t="n">
        <v>7.5</v>
      </c>
      <c r="E1636" s="188" t="inlineStr">
        <is>
          <t>HIGH</t>
        </is>
      </c>
      <c r="F1636" s="188" t="n">
        <v>3</v>
      </c>
      <c r="G1636" s="188" t="n">
        <v>2</v>
      </c>
      <c r="H1636" s="188" t="inlineStr">
        <is>
          <t>HIGH</t>
        </is>
      </c>
      <c r="I1636" s="188" t="n">
        <v>13.5</v>
      </c>
      <c r="J1636" s="188" t="inlineStr">
        <is>
          <t>NO</t>
        </is>
      </c>
      <c r="K1636" s="188" t="inlineStr">
        <is>
          <t>https://threatfox.abuse.ch/ioc/1754855/</t>
        </is>
      </c>
      <c r="L1636" s="188" t="inlineStr">
        <is>
          <t>2026-02-25 20:06:55 UTC</t>
        </is>
      </c>
      <c r="M1636" s="188" t="inlineStr">
        <is>
          <t>Block IOC</t>
        </is>
      </c>
      <c r="N1636" s="188" t="inlineStr">
        <is>
          <t>https://threatfox.abuse.ch/ioc/1754855/</t>
        </is>
      </c>
      <c r="O1636" s="188" t="inlineStr">
        <is>
          <t>Block domain:</t>
        </is>
      </c>
      <c r="P1636" s="188" t="inlineStr">
        <is>
          <t>botnet_cc</t>
        </is>
      </c>
      <c r="Q1636" s="188" t="inlineStr">
        <is>
          <t>P3</t>
        </is>
      </c>
      <c r="R1636" s="188" t="inlineStr">
        <is>
          <t>🚫 Block IOC at network perimeter | 🔎 Hunt for IOC across environment | 📋 Document and share with threat intel team</t>
        </is>
      </c>
      <c r="S1636" s="188" t="inlineStr">
        <is>
          <t>Classification: skipped | Context: Skipped (20/run IOC cap) | Name: N/A</t>
        </is>
      </c>
      <c r="T1636" s="188" t="n">
        <v>0</v>
      </c>
      <c r="U1636" s="188" t="n">
        <v>0</v>
      </c>
      <c r="V1636" s="188" t="inlineStr">
        <is>
          <t>T1071:Application Layer Protocol | T1102:Web Service</t>
        </is>
      </c>
      <c r="W1636" s="188" t="n">
        <v>1</v>
      </c>
      <c r="X1636" s="188" t="inlineStr">
        <is>
          <t>LOW (40%)</t>
        </is>
      </c>
      <c r="Y1636" s="188" t="inlineStr">
        <is>
          <t>NONE</t>
        </is>
      </c>
      <c r="Z1636" s="188" t="inlineStr">
        <is>
          <t>NONE</t>
        </is>
      </c>
      <c r="AA1636" s="188" t="inlineStr">
        <is>
          <t>NONE</t>
        </is>
      </c>
      <c r="AB1636" s="188" t="inlineStr">
        <is>
          <t>NONE</t>
        </is>
      </c>
      <c r="AC1636" s="188" t="n">
        <v>0</v>
      </c>
      <c r="AD1636" s="188" t="inlineStr"/>
    </row>
    <row r="1637">
      <c r="A1637" s="188" t="inlineStr">
        <is>
          <t>THREATFOX_IOC</t>
        </is>
      </c>
      <c r="B1637" s="188" t="inlineStr">
        <is>
          <t>1754856</t>
        </is>
      </c>
      <c r="C1637" s="188" t="inlineStr">
        <is>
          <t>domain IOC:  | Malware: Unknown malware | Confidence: 100%</t>
        </is>
      </c>
      <c r="D1637" s="188" t="n">
        <v>7.5</v>
      </c>
      <c r="E1637" s="188" t="inlineStr">
        <is>
          <t>HIGH</t>
        </is>
      </c>
      <c r="F1637" s="188" t="n">
        <v>3</v>
      </c>
      <c r="G1637" s="188" t="n">
        <v>2</v>
      </c>
      <c r="H1637" s="188" t="inlineStr">
        <is>
          <t>HIGH</t>
        </is>
      </c>
      <c r="I1637" s="188" t="n">
        <v>13.5</v>
      </c>
      <c r="J1637" s="188" t="inlineStr">
        <is>
          <t>NO</t>
        </is>
      </c>
      <c r="K1637" s="188" t="inlineStr">
        <is>
          <t>https://threatfox.abuse.ch/ioc/1754856/</t>
        </is>
      </c>
      <c r="L1637" s="188" t="inlineStr">
        <is>
          <t>2026-02-25 20:06:55 UTC</t>
        </is>
      </c>
      <c r="M1637" s="188" t="inlineStr">
        <is>
          <t>Block IOC</t>
        </is>
      </c>
      <c r="N1637" s="188" t="inlineStr">
        <is>
          <t>https://threatfox.abuse.ch/ioc/1754856/</t>
        </is>
      </c>
      <c r="O1637" s="188" t="inlineStr">
        <is>
          <t>Block domain:</t>
        </is>
      </c>
      <c r="P1637" s="188" t="inlineStr">
        <is>
          <t>botnet_cc</t>
        </is>
      </c>
      <c r="Q1637" s="188" t="inlineStr">
        <is>
          <t>P3</t>
        </is>
      </c>
      <c r="R1637" s="188" t="inlineStr">
        <is>
          <t>🚫 Block IOC at network perimeter | 🔎 Hunt for IOC across environment | 📋 Document and share with threat intel team</t>
        </is>
      </c>
      <c r="S1637" s="188" t="inlineStr">
        <is>
          <t>Classification: skipped | Context: Skipped (20/run IOC cap) | Name: N/A</t>
        </is>
      </c>
      <c r="T1637" s="188" t="n">
        <v>0</v>
      </c>
      <c r="U1637" s="188" t="n">
        <v>0</v>
      </c>
      <c r="V1637" s="188" t="inlineStr">
        <is>
          <t>T1071:Application Layer Protocol | T1102:Web Service</t>
        </is>
      </c>
      <c r="W1637" s="188" t="n">
        <v>1</v>
      </c>
      <c r="X1637" s="188" t="inlineStr">
        <is>
          <t>LOW (40%)</t>
        </is>
      </c>
      <c r="Y1637" s="188" t="inlineStr">
        <is>
          <t>NONE</t>
        </is>
      </c>
      <c r="Z1637" s="188" t="inlineStr">
        <is>
          <t>NONE</t>
        </is>
      </c>
      <c r="AA1637" s="188" t="inlineStr">
        <is>
          <t>NONE</t>
        </is>
      </c>
      <c r="AB1637" s="188" t="inlineStr">
        <is>
          <t>NONE</t>
        </is>
      </c>
      <c r="AC1637" s="188" t="n">
        <v>0</v>
      </c>
      <c r="AD1637" s="188" t="inlineStr"/>
    </row>
    <row r="1638">
      <c r="A1638" s="188" t="inlineStr">
        <is>
          <t>THREATFOX_IOC</t>
        </is>
      </c>
      <c r="B1638" s="188" t="inlineStr">
        <is>
          <t>1754853</t>
        </is>
      </c>
      <c r="C1638" s="188" t="inlineStr">
        <is>
          <t>ip:port IOC:  | Malware: AdaptixC2 | Confidence: 100%</t>
        </is>
      </c>
      <c r="D1638" s="188" t="n">
        <v>7.5</v>
      </c>
      <c r="E1638" s="188" t="inlineStr">
        <is>
          <t>HIGH</t>
        </is>
      </c>
      <c r="F1638" s="188" t="n">
        <v>3</v>
      </c>
      <c r="G1638" s="188" t="n">
        <v>2</v>
      </c>
      <c r="H1638" s="188" t="inlineStr">
        <is>
          <t>HIGH</t>
        </is>
      </c>
      <c r="I1638" s="188" t="n">
        <v>13.5</v>
      </c>
      <c r="J1638" s="188" t="inlineStr">
        <is>
          <t>NO</t>
        </is>
      </c>
      <c r="K1638" s="188" t="inlineStr">
        <is>
          <t>https://threatfox.abuse.ch/ioc/1754853/</t>
        </is>
      </c>
      <c r="L1638" s="188" t="inlineStr">
        <is>
          <t>2026-02-25 20:05:42 UTC</t>
        </is>
      </c>
      <c r="M1638" s="188" t="inlineStr">
        <is>
          <t>Block IOC</t>
        </is>
      </c>
      <c r="N1638" s="188" t="inlineStr">
        <is>
          <t>https://threatfox.abuse.ch/ioc/1754853/</t>
        </is>
      </c>
      <c r="O1638" s="188" t="inlineStr">
        <is>
          <t>Block ip:port:</t>
        </is>
      </c>
      <c r="P1638" s="188" t="inlineStr">
        <is>
          <t>botnet_cc</t>
        </is>
      </c>
      <c r="Q1638" s="188" t="inlineStr">
        <is>
          <t>P3</t>
        </is>
      </c>
      <c r="R1638" s="188" t="inlineStr">
        <is>
          <t>🚫 Block IOC at network perimeter | 🔎 Hunt for IOC across environment | 📋 Document and share with threat intel team</t>
        </is>
      </c>
      <c r="S1638" s="188" t="inlineStr">
        <is>
          <t>Classification: skipped | Context: Skipped (20/run IOC cap) | Name: N/A</t>
        </is>
      </c>
      <c r="T1638" s="188" t="n">
        <v>0</v>
      </c>
      <c r="U1638" s="188" t="n">
        <v>0</v>
      </c>
      <c r="V1638" s="188" t="inlineStr">
        <is>
          <t>T1071:Application Layer Protocol | T1102:Web Service</t>
        </is>
      </c>
      <c r="W1638" s="188" t="n">
        <v>1</v>
      </c>
      <c r="X1638" s="188" t="inlineStr">
        <is>
          <t>LOW (40%)</t>
        </is>
      </c>
      <c r="Y1638" s="188" t="inlineStr">
        <is>
          <t>NONE</t>
        </is>
      </c>
      <c r="Z1638" s="188" t="inlineStr">
        <is>
          <t>NONE</t>
        </is>
      </c>
      <c r="AA1638" s="188" t="inlineStr">
        <is>
          <t>NONE</t>
        </is>
      </c>
      <c r="AB1638" s="188" t="inlineStr">
        <is>
          <t>NONE</t>
        </is>
      </c>
      <c r="AC1638" s="188" t="n">
        <v>0</v>
      </c>
      <c r="AD1638" s="188" t="inlineStr"/>
    </row>
    <row r="1639">
      <c r="A1639" s="188" t="inlineStr">
        <is>
          <t>THREATFOX_IOC</t>
        </is>
      </c>
      <c r="B1639" s="188" t="inlineStr">
        <is>
          <t>1754852</t>
        </is>
      </c>
      <c r="C1639" s="188" t="inlineStr">
        <is>
          <t>ip:port IOC:  | Malware: Mirai | Confidence: 100%</t>
        </is>
      </c>
      <c r="D1639" s="188" t="n">
        <v>7.5</v>
      </c>
      <c r="E1639" s="188" t="inlineStr">
        <is>
          <t>HIGH</t>
        </is>
      </c>
      <c r="F1639" s="188" t="n">
        <v>3</v>
      </c>
      <c r="G1639" s="188" t="n">
        <v>2</v>
      </c>
      <c r="H1639" s="188" t="inlineStr">
        <is>
          <t>HIGH</t>
        </is>
      </c>
      <c r="I1639" s="188" t="n">
        <v>13.5</v>
      </c>
      <c r="J1639" s="188" t="inlineStr">
        <is>
          <t>NO</t>
        </is>
      </c>
      <c r="K1639" s="188" t="inlineStr">
        <is>
          <t>https://threatfox.abuse.ch/ioc/1754852/</t>
        </is>
      </c>
      <c r="L1639" s="188" t="inlineStr">
        <is>
          <t>2026-02-25 20:05:25 UTC</t>
        </is>
      </c>
      <c r="M1639" s="188" t="inlineStr">
        <is>
          <t>Block IOC</t>
        </is>
      </c>
      <c r="N1639" s="188" t="inlineStr">
        <is>
          <t>https://threatfox.abuse.ch/ioc/1754852/</t>
        </is>
      </c>
      <c r="O1639" s="188" t="inlineStr">
        <is>
          <t>Block ip:port:</t>
        </is>
      </c>
      <c r="P1639" s="188" t="inlineStr">
        <is>
          <t>botnet_cc</t>
        </is>
      </c>
      <c r="Q1639" s="188" t="inlineStr">
        <is>
          <t>P3</t>
        </is>
      </c>
      <c r="R1639" s="188" t="inlineStr">
        <is>
          <t>🚫 Block IOC at network perimeter | 🔎 Hunt for IOC across environment | 📋 Document and share with threat intel team</t>
        </is>
      </c>
      <c r="S1639" s="188" t="inlineStr">
        <is>
          <t>Classification: skipped | Context: Skipped (20/run IOC cap) | Name: N/A</t>
        </is>
      </c>
      <c r="T1639" s="188" t="n">
        <v>0</v>
      </c>
      <c r="U1639" s="188" t="n">
        <v>0</v>
      </c>
      <c r="V1639" s="188" t="inlineStr">
        <is>
          <t>T1071:Application Layer Protocol | T1102:Web Service</t>
        </is>
      </c>
      <c r="W1639" s="188" t="n">
        <v>1</v>
      </c>
      <c r="X1639" s="188" t="inlineStr">
        <is>
          <t>LOW (40%)</t>
        </is>
      </c>
      <c r="Y1639" s="188" t="inlineStr">
        <is>
          <t>NONE</t>
        </is>
      </c>
      <c r="Z1639" s="188" t="inlineStr">
        <is>
          <t>NONE</t>
        </is>
      </c>
      <c r="AA1639" s="188" t="inlineStr">
        <is>
          <t>NONE</t>
        </is>
      </c>
      <c r="AB1639" s="188" t="inlineStr">
        <is>
          <t>NONE</t>
        </is>
      </c>
      <c r="AC1639" s="188" t="n">
        <v>0</v>
      </c>
      <c r="AD1639" s="188" t="inlineStr"/>
    </row>
    <row r="1640">
      <c r="A1640" s="188" t="inlineStr">
        <is>
          <t>THREATFOX_IOC</t>
        </is>
      </c>
      <c r="B1640" s="188" t="inlineStr">
        <is>
          <t>1754851</t>
        </is>
      </c>
      <c r="C1640" s="188" t="inlineStr">
        <is>
          <t>ip:port IOC:  | Malware: NetSupportManager RAT | Confidence: 100%</t>
        </is>
      </c>
      <c r="D1640" s="188" t="n">
        <v>7.5</v>
      </c>
      <c r="E1640" s="188" t="inlineStr">
        <is>
          <t>HIGH</t>
        </is>
      </c>
      <c r="F1640" s="188" t="n">
        <v>3</v>
      </c>
      <c r="G1640" s="188" t="n">
        <v>2</v>
      </c>
      <c r="H1640" s="188" t="inlineStr">
        <is>
          <t>HIGH</t>
        </is>
      </c>
      <c r="I1640" s="188" t="n">
        <v>13.5</v>
      </c>
      <c r="J1640" s="188" t="inlineStr">
        <is>
          <t>NO</t>
        </is>
      </c>
      <c r="K1640" s="188" t="inlineStr">
        <is>
          <t>https://threatfox.abuse.ch/ioc/1754851/</t>
        </is>
      </c>
      <c r="L1640" s="188" t="inlineStr">
        <is>
          <t>2026-02-25 20:05:17 UTC</t>
        </is>
      </c>
      <c r="M1640" s="188" t="inlineStr">
        <is>
          <t>Block IOC</t>
        </is>
      </c>
      <c r="N1640" s="188" t="inlineStr">
        <is>
          <t>https://threatfox.abuse.ch/ioc/1754851/</t>
        </is>
      </c>
      <c r="O1640" s="188" t="inlineStr">
        <is>
          <t>Block ip:port:</t>
        </is>
      </c>
      <c r="P1640" s="188" t="inlineStr">
        <is>
          <t>botnet_cc</t>
        </is>
      </c>
      <c r="Q1640" s="188" t="inlineStr">
        <is>
          <t>P3</t>
        </is>
      </c>
      <c r="R1640" s="188" t="inlineStr">
        <is>
          <t>🚫 Block IOC at network perimeter | 🔎 Hunt for IOC across environment | 📋 Document and share with threat intel team</t>
        </is>
      </c>
      <c r="S1640" s="188" t="inlineStr">
        <is>
          <t>Classification: skipped | Context: Skipped (20/run IOC cap) | Name: N/A</t>
        </is>
      </c>
      <c r="T1640" s="188" t="n">
        <v>0</v>
      </c>
      <c r="U1640" s="188" t="n">
        <v>0</v>
      </c>
      <c r="V1640" s="188" t="inlineStr">
        <is>
          <t>T1071:Application Layer Protocol | T1102:Web Service</t>
        </is>
      </c>
      <c r="W1640" s="188" t="n">
        <v>1</v>
      </c>
      <c r="X1640" s="188" t="inlineStr">
        <is>
          <t>LOW (40%)</t>
        </is>
      </c>
      <c r="Y1640" s="188" t="inlineStr">
        <is>
          <t>NONE</t>
        </is>
      </c>
      <c r="Z1640" s="188" t="inlineStr">
        <is>
          <t>NONE</t>
        </is>
      </c>
      <c r="AA1640" s="188" t="inlineStr">
        <is>
          <t>NONE</t>
        </is>
      </c>
      <c r="AB1640" s="188" t="inlineStr">
        <is>
          <t>NONE</t>
        </is>
      </c>
      <c r="AC1640" s="188" t="n">
        <v>0</v>
      </c>
      <c r="AD1640" s="188" t="inlineStr"/>
    </row>
    <row r="1641">
      <c r="A1641" s="188" t="inlineStr">
        <is>
          <t>THREATFOX_IOC</t>
        </is>
      </c>
      <c r="B1641" s="188" t="inlineStr">
        <is>
          <t>1754850</t>
        </is>
      </c>
      <c r="C1641" s="188" t="inlineStr">
        <is>
          <t>ip:port IOC:  | Malware: DCRat | Confidence: 100%</t>
        </is>
      </c>
      <c r="D1641" s="188" t="n">
        <v>7.5</v>
      </c>
      <c r="E1641" s="188" t="inlineStr">
        <is>
          <t>HIGH</t>
        </is>
      </c>
      <c r="F1641" s="188" t="n">
        <v>3</v>
      </c>
      <c r="G1641" s="188" t="n">
        <v>2</v>
      </c>
      <c r="H1641" s="188" t="inlineStr">
        <is>
          <t>HIGH</t>
        </is>
      </c>
      <c r="I1641" s="188" t="n">
        <v>13.5</v>
      </c>
      <c r="J1641" s="188" t="inlineStr">
        <is>
          <t>NO</t>
        </is>
      </c>
      <c r="K1641" s="188" t="inlineStr">
        <is>
          <t>https://threatfox.abuse.ch/ioc/1754850/</t>
        </is>
      </c>
      <c r="L1641" s="188" t="inlineStr">
        <is>
          <t>2026-02-25 20:05:15 UTC</t>
        </is>
      </c>
      <c r="M1641" s="188" t="inlineStr">
        <is>
          <t>Block IOC</t>
        </is>
      </c>
      <c r="N1641" s="188" t="inlineStr">
        <is>
          <t>https://threatfox.abuse.ch/ioc/1754850/</t>
        </is>
      </c>
      <c r="O1641" s="188" t="inlineStr">
        <is>
          <t>Block ip:port:</t>
        </is>
      </c>
      <c r="P1641" s="188" t="inlineStr">
        <is>
          <t>botnet_cc</t>
        </is>
      </c>
      <c r="Q1641" s="188" t="inlineStr">
        <is>
          <t>P3</t>
        </is>
      </c>
      <c r="R1641" s="188" t="inlineStr">
        <is>
          <t>🚫 Block IOC at network perimeter | 🔎 Hunt for IOC across environment | 📋 Document and share with threat intel team</t>
        </is>
      </c>
      <c r="S1641" s="188" t="inlineStr">
        <is>
          <t>Classification: skipped | Context: Skipped (20/run IOC cap) | Name: N/A</t>
        </is>
      </c>
      <c r="T1641" s="188" t="n">
        <v>0</v>
      </c>
      <c r="U1641" s="188" t="n">
        <v>0</v>
      </c>
      <c r="V1641" s="188" t="inlineStr">
        <is>
          <t>T1071:Application Layer Protocol | T1102:Web Service</t>
        </is>
      </c>
      <c r="W1641" s="188" t="n">
        <v>1</v>
      </c>
      <c r="X1641" s="188" t="inlineStr">
        <is>
          <t>LOW (40%)</t>
        </is>
      </c>
      <c r="Y1641" s="188" t="inlineStr">
        <is>
          <t>NONE</t>
        </is>
      </c>
      <c r="Z1641" s="188" t="inlineStr">
        <is>
          <t>NONE</t>
        </is>
      </c>
      <c r="AA1641" s="188" t="inlineStr">
        <is>
          <t>NONE</t>
        </is>
      </c>
      <c r="AB1641" s="188" t="inlineStr">
        <is>
          <t>NONE</t>
        </is>
      </c>
      <c r="AC1641" s="188" t="n">
        <v>0</v>
      </c>
      <c r="AD1641" s="188" t="inlineStr"/>
    </row>
    <row r="1642">
      <c r="A1642" s="187" t="inlineStr">
        <is>
          <t>THREATMINER</t>
        </is>
      </c>
      <c r="B1642" s="187" t="inlineStr">
        <is>
          <t>d41d8cd98f00</t>
        </is>
      </c>
      <c r="C1642" s="187" t="inlineStr">
        <is>
          <t xml:space="preserve">Malicious domain:  | IP: 91.224.92.78 | Last seen: </t>
        </is>
      </c>
      <c r="D1642" s="187" t="n">
        <v>6.5</v>
      </c>
      <c r="E1642" s="187" t="inlineStr">
        <is>
          <t>MEDIUM</t>
        </is>
      </c>
      <c r="F1642" s="187" t="n">
        <v>2</v>
      </c>
      <c r="G1642" s="187" t="n">
        <v>2</v>
      </c>
      <c r="H1642" s="187" t="inlineStr">
        <is>
          <t>MEDIUM</t>
        </is>
      </c>
      <c r="I1642" s="187" t="n">
        <v>10.5</v>
      </c>
      <c r="J1642" s="187" t="inlineStr">
        <is>
          <t>NO</t>
        </is>
      </c>
      <c r="K1642" s="187" t="inlineStr">
        <is>
          <t>https://www.threatminer.org/domain.php?q=</t>
        </is>
      </c>
      <c r="L1642" s="187" t="inlineStr"/>
      <c r="M1642" s="187" t="inlineStr">
        <is>
          <t>Block domain</t>
        </is>
      </c>
      <c r="N1642" s="187" t="inlineStr">
        <is>
          <t>https://www.threatminer.org/domain.php?q=</t>
        </is>
      </c>
      <c r="O1642" s="187" t="inlineStr">
        <is>
          <t>Block domain  at DNS/firewall</t>
        </is>
      </c>
      <c r="P1642" s="187" t="inlineStr">
        <is>
          <t>DNS/Network</t>
        </is>
      </c>
      <c r="Q1642" s="187" t="inlineStr">
        <is>
          <t>P4</t>
        </is>
      </c>
      <c r="R1642" s="187" t="inlineStr">
        <is>
          <t>🔍 Investigate and apply appropriate controls</t>
        </is>
      </c>
      <c r="S1642" s="187" t="inlineStr">
        <is>
          <t>Domain IOC - check IP separately</t>
        </is>
      </c>
      <c r="T1642" s="187" t="n">
        <v>0</v>
      </c>
      <c r="U1642" s="187" t="n">
        <v>0</v>
      </c>
      <c r="V1642" s="187" t="inlineStr">
        <is>
          <t>T1071.001:Web Protocols | T1568:Dynamic Resolution</t>
        </is>
      </c>
      <c r="W1642" s="187" t="n">
        <v>1</v>
      </c>
      <c r="X1642" s="187" t="inlineStr">
        <is>
          <t>LOW (40%)</t>
        </is>
      </c>
      <c r="Y1642" s="187" t="inlineStr">
        <is>
          <t>NONE</t>
        </is>
      </c>
      <c r="Z1642" s="187" t="inlineStr">
        <is>
          <t>NONE</t>
        </is>
      </c>
      <c r="AA1642" s="187" t="inlineStr">
        <is>
          <t>NONE</t>
        </is>
      </c>
      <c r="AB1642" s="187" t="inlineStr">
        <is>
          <t>NONE</t>
        </is>
      </c>
      <c r="AC1642" s="187" t="n">
        <v>0</v>
      </c>
      <c r="AD1642" s="187" t="inlineStr"/>
    </row>
    <row r="1643">
      <c r="A1643" s="187" t="inlineStr">
        <is>
          <t>THREATMINER</t>
        </is>
      </c>
      <c r="B1643" s="187" t="inlineStr">
        <is>
          <t>d41d8cd98f00</t>
        </is>
      </c>
      <c r="C1643" s="187" t="inlineStr">
        <is>
          <t xml:space="preserve">Malicious domain:  | IP: 91.224.92.190 | Last seen: </t>
        </is>
      </c>
      <c r="D1643" s="187" t="n">
        <v>6.5</v>
      </c>
      <c r="E1643" s="187" t="inlineStr">
        <is>
          <t>MEDIUM</t>
        </is>
      </c>
      <c r="F1643" s="187" t="n">
        <v>2</v>
      </c>
      <c r="G1643" s="187" t="n">
        <v>2</v>
      </c>
      <c r="H1643" s="187" t="inlineStr">
        <is>
          <t>MEDIUM</t>
        </is>
      </c>
      <c r="I1643" s="187" t="n">
        <v>10.5</v>
      </c>
      <c r="J1643" s="187" t="inlineStr">
        <is>
          <t>NO</t>
        </is>
      </c>
      <c r="K1643" s="187" t="inlineStr">
        <is>
          <t>https://www.threatminer.org/domain.php?q=</t>
        </is>
      </c>
      <c r="L1643" s="187" t="inlineStr"/>
      <c r="M1643" s="187" t="inlineStr">
        <is>
          <t>Block domain</t>
        </is>
      </c>
      <c r="N1643" s="187" t="inlineStr">
        <is>
          <t>https://www.threatminer.org/domain.php?q=</t>
        </is>
      </c>
      <c r="O1643" s="187" t="inlineStr">
        <is>
          <t>Block domain  at DNS/firewall</t>
        </is>
      </c>
      <c r="P1643" s="187" t="inlineStr">
        <is>
          <t>DNS/Network</t>
        </is>
      </c>
      <c r="Q1643" s="187" t="inlineStr">
        <is>
          <t>P4</t>
        </is>
      </c>
      <c r="R1643" s="187" t="inlineStr">
        <is>
          <t>🔍 Investigate and apply appropriate controls</t>
        </is>
      </c>
      <c r="S1643" s="187" t="inlineStr">
        <is>
          <t>Domain IOC - check IP separately</t>
        </is>
      </c>
      <c r="T1643" s="187" t="n">
        <v>0</v>
      </c>
      <c r="U1643" s="187" t="n">
        <v>0</v>
      </c>
      <c r="V1643" s="187" t="inlineStr">
        <is>
          <t>T1071.001:Web Protocols | T1568:Dynamic Resolution</t>
        </is>
      </c>
      <c r="W1643" s="187" t="n">
        <v>1</v>
      </c>
      <c r="X1643" s="187" t="inlineStr">
        <is>
          <t>LOW (40%)</t>
        </is>
      </c>
      <c r="Y1643" s="187" t="inlineStr">
        <is>
          <t>NONE</t>
        </is>
      </c>
      <c r="Z1643" s="187" t="inlineStr">
        <is>
          <t>NONE</t>
        </is>
      </c>
      <c r="AA1643" s="187" t="inlineStr">
        <is>
          <t>NONE</t>
        </is>
      </c>
      <c r="AB1643" s="187" t="inlineStr">
        <is>
          <t>NONE</t>
        </is>
      </c>
      <c r="AC1643" s="187" t="n">
        <v>0</v>
      </c>
      <c r="AD1643" s="187" t="inlineStr"/>
    </row>
    <row r="1644">
      <c r="A1644" s="187" t="inlineStr">
        <is>
          <t>THREATMINER</t>
        </is>
      </c>
      <c r="B1644" s="187" t="inlineStr">
        <is>
          <t>d41d8cd98f00</t>
        </is>
      </c>
      <c r="C1644" s="187" t="inlineStr">
        <is>
          <t xml:space="preserve">Malicious domain:  | IP: 103.218.241.106 | Last seen: </t>
        </is>
      </c>
      <c r="D1644" s="187" t="n">
        <v>6.5</v>
      </c>
      <c r="E1644" s="187" t="inlineStr">
        <is>
          <t>MEDIUM</t>
        </is>
      </c>
      <c r="F1644" s="187" t="n">
        <v>2</v>
      </c>
      <c r="G1644" s="187" t="n">
        <v>2</v>
      </c>
      <c r="H1644" s="187" t="inlineStr">
        <is>
          <t>MEDIUM</t>
        </is>
      </c>
      <c r="I1644" s="187" t="n">
        <v>10.5</v>
      </c>
      <c r="J1644" s="187" t="inlineStr">
        <is>
          <t>NO</t>
        </is>
      </c>
      <c r="K1644" s="187" t="inlineStr">
        <is>
          <t>https://www.threatminer.org/domain.php?q=</t>
        </is>
      </c>
      <c r="L1644" s="187" t="inlineStr"/>
      <c r="M1644" s="187" t="inlineStr">
        <is>
          <t>Block domain</t>
        </is>
      </c>
      <c r="N1644" s="187" t="inlineStr">
        <is>
          <t>https://www.threatminer.org/domain.php?q=</t>
        </is>
      </c>
      <c r="O1644" s="187" t="inlineStr">
        <is>
          <t>Block domain  at DNS/firewall</t>
        </is>
      </c>
      <c r="P1644" s="187" t="inlineStr">
        <is>
          <t>DNS/Network</t>
        </is>
      </c>
      <c r="Q1644" s="187" t="inlineStr">
        <is>
          <t>P4</t>
        </is>
      </c>
      <c r="R1644" s="187" t="inlineStr">
        <is>
          <t>🔍 Investigate and apply appropriate controls</t>
        </is>
      </c>
      <c r="S1644" s="187" t="inlineStr">
        <is>
          <t>Domain IOC - check IP separately</t>
        </is>
      </c>
      <c r="T1644" s="187" t="n">
        <v>0</v>
      </c>
      <c r="U1644" s="187" t="n">
        <v>0</v>
      </c>
      <c r="V1644" s="187" t="inlineStr">
        <is>
          <t>T1071.001:Web Protocols | T1568:Dynamic Resolution</t>
        </is>
      </c>
      <c r="W1644" s="187" t="n">
        <v>1</v>
      </c>
      <c r="X1644" s="187" t="inlineStr">
        <is>
          <t>LOW (40%)</t>
        </is>
      </c>
      <c r="Y1644" s="187" t="inlineStr">
        <is>
          <t>NONE</t>
        </is>
      </c>
      <c r="Z1644" s="187" t="inlineStr">
        <is>
          <t>NONE</t>
        </is>
      </c>
      <c r="AA1644" s="187" t="inlineStr">
        <is>
          <t>NONE</t>
        </is>
      </c>
      <c r="AB1644" s="187" t="inlineStr">
        <is>
          <t>NONE</t>
        </is>
      </c>
      <c r="AC1644" s="187" t="n">
        <v>0</v>
      </c>
      <c r="AD1644" s="187" t="inlineStr"/>
    </row>
    <row r="1645">
      <c r="A1645" s="187" t="inlineStr">
        <is>
          <t>THREATMINER</t>
        </is>
      </c>
      <c r="B1645" s="187" t="inlineStr">
        <is>
          <t>d41d8cd98f00</t>
        </is>
      </c>
      <c r="C1645" s="187" t="inlineStr">
        <is>
          <t xml:space="preserve">Malicious domain:  | IP: 185.91.69.217 | Last seen: </t>
        </is>
      </c>
      <c r="D1645" s="187" t="n">
        <v>6.5</v>
      </c>
      <c r="E1645" s="187" t="inlineStr">
        <is>
          <t>MEDIUM</t>
        </is>
      </c>
      <c r="F1645" s="187" t="n">
        <v>2</v>
      </c>
      <c r="G1645" s="187" t="n">
        <v>2</v>
      </c>
      <c r="H1645" s="187" t="inlineStr">
        <is>
          <t>MEDIUM</t>
        </is>
      </c>
      <c r="I1645" s="187" t="n">
        <v>10.5</v>
      </c>
      <c r="J1645" s="187" t="inlineStr">
        <is>
          <t>NO</t>
        </is>
      </c>
      <c r="K1645" s="187" t="inlineStr">
        <is>
          <t>https://www.threatminer.org/domain.php?q=</t>
        </is>
      </c>
      <c r="L1645" s="187" t="inlineStr"/>
      <c r="M1645" s="187" t="inlineStr">
        <is>
          <t>Block domain</t>
        </is>
      </c>
      <c r="N1645" s="187" t="inlineStr">
        <is>
          <t>https://www.threatminer.org/domain.php?q=</t>
        </is>
      </c>
      <c r="O1645" s="187" t="inlineStr">
        <is>
          <t>Block domain  at DNS/firewall</t>
        </is>
      </c>
      <c r="P1645" s="187" t="inlineStr">
        <is>
          <t>DNS/Network</t>
        </is>
      </c>
      <c r="Q1645" s="187" t="inlineStr">
        <is>
          <t>P4</t>
        </is>
      </c>
      <c r="R1645" s="187" t="inlineStr">
        <is>
          <t>🔍 Investigate and apply appropriate controls</t>
        </is>
      </c>
      <c r="S1645" s="187" t="inlineStr">
        <is>
          <t>Domain IOC - check IP separately</t>
        </is>
      </c>
      <c r="T1645" s="187" t="n">
        <v>0</v>
      </c>
      <c r="U1645" s="187" t="n">
        <v>0</v>
      </c>
      <c r="V1645" s="187" t="inlineStr">
        <is>
          <t>T1071.001:Web Protocols | T1568:Dynamic Resolution</t>
        </is>
      </c>
      <c r="W1645" s="187" t="n">
        <v>1</v>
      </c>
      <c r="X1645" s="187" t="inlineStr">
        <is>
          <t>LOW (40%)</t>
        </is>
      </c>
      <c r="Y1645" s="187" t="inlineStr">
        <is>
          <t>NONE</t>
        </is>
      </c>
      <c r="Z1645" s="187" t="inlineStr">
        <is>
          <t>NONE</t>
        </is>
      </c>
      <c r="AA1645" s="187" t="inlineStr">
        <is>
          <t>NONE</t>
        </is>
      </c>
      <c r="AB1645" s="187" t="inlineStr">
        <is>
          <t>NONE</t>
        </is>
      </c>
      <c r="AC1645" s="187" t="n">
        <v>0</v>
      </c>
      <c r="AD1645" s="187" t="inlineStr"/>
    </row>
    <row r="1646">
      <c r="A1646" s="187" t="inlineStr">
        <is>
          <t>THREATMINER</t>
        </is>
      </c>
      <c r="B1646" s="187" t="inlineStr">
        <is>
          <t>d41d8cd98f00</t>
        </is>
      </c>
      <c r="C1646" s="187" t="inlineStr">
        <is>
          <t xml:space="preserve">Malicious domain:  | IP: 2.57.121.25 | Last seen: </t>
        </is>
      </c>
      <c r="D1646" s="187" t="n">
        <v>6.5</v>
      </c>
      <c r="E1646" s="187" t="inlineStr">
        <is>
          <t>MEDIUM</t>
        </is>
      </c>
      <c r="F1646" s="187" t="n">
        <v>2</v>
      </c>
      <c r="G1646" s="187" t="n">
        <v>2</v>
      </c>
      <c r="H1646" s="187" t="inlineStr">
        <is>
          <t>MEDIUM</t>
        </is>
      </c>
      <c r="I1646" s="187" t="n">
        <v>10.5</v>
      </c>
      <c r="J1646" s="187" t="inlineStr">
        <is>
          <t>NO</t>
        </is>
      </c>
      <c r="K1646" s="187" t="inlineStr">
        <is>
          <t>https://www.threatminer.org/domain.php?q=</t>
        </is>
      </c>
      <c r="L1646" s="187" t="inlineStr"/>
      <c r="M1646" s="187" t="inlineStr">
        <is>
          <t>Block domain</t>
        </is>
      </c>
      <c r="N1646" s="187" t="inlineStr">
        <is>
          <t>https://www.threatminer.org/domain.php?q=</t>
        </is>
      </c>
      <c r="O1646" s="187" t="inlineStr">
        <is>
          <t>Block domain  at DNS/firewall</t>
        </is>
      </c>
      <c r="P1646" s="187" t="inlineStr">
        <is>
          <t>DNS/Network</t>
        </is>
      </c>
      <c r="Q1646" s="187" t="inlineStr">
        <is>
          <t>P4</t>
        </is>
      </c>
      <c r="R1646" s="187" t="inlineStr">
        <is>
          <t>🔍 Investigate and apply appropriate controls</t>
        </is>
      </c>
      <c r="S1646" s="187" t="inlineStr">
        <is>
          <t>Domain IOC - check IP separately</t>
        </is>
      </c>
      <c r="T1646" s="187" t="n">
        <v>0</v>
      </c>
      <c r="U1646" s="187" t="n">
        <v>0</v>
      </c>
      <c r="V1646" s="187" t="inlineStr">
        <is>
          <t>T1071.001:Web Protocols | T1568:Dynamic Resolution</t>
        </is>
      </c>
      <c r="W1646" s="187" t="n">
        <v>1</v>
      </c>
      <c r="X1646" s="187" t="inlineStr">
        <is>
          <t>LOW (40%)</t>
        </is>
      </c>
      <c r="Y1646" s="187" t="inlineStr">
        <is>
          <t>NONE</t>
        </is>
      </c>
      <c r="Z1646" s="187" t="inlineStr">
        <is>
          <t>NONE</t>
        </is>
      </c>
      <c r="AA1646" s="187" t="inlineStr">
        <is>
          <t>NONE</t>
        </is>
      </c>
      <c r="AB1646" s="187" t="inlineStr">
        <is>
          <t>NONE</t>
        </is>
      </c>
      <c r="AC1646" s="187" t="n">
        <v>0</v>
      </c>
      <c r="AD1646" s="187" t="inlineStr"/>
    </row>
    <row r="1647">
      <c r="A1647" s="187" t="inlineStr">
        <is>
          <t>THREATMINER</t>
        </is>
      </c>
      <c r="B1647" s="187" t="inlineStr">
        <is>
          <t>d41d8cd98f00</t>
        </is>
      </c>
      <c r="C1647" s="187" t="inlineStr">
        <is>
          <t xml:space="preserve">Malicious domain:  | IP: 2.57.122.238 | Last seen: </t>
        </is>
      </c>
      <c r="D1647" s="187" t="n">
        <v>6.5</v>
      </c>
      <c r="E1647" s="187" t="inlineStr">
        <is>
          <t>MEDIUM</t>
        </is>
      </c>
      <c r="F1647" s="187" t="n">
        <v>2</v>
      </c>
      <c r="G1647" s="187" t="n">
        <v>2</v>
      </c>
      <c r="H1647" s="187" t="inlineStr">
        <is>
          <t>MEDIUM</t>
        </is>
      </c>
      <c r="I1647" s="187" t="n">
        <v>10.5</v>
      </c>
      <c r="J1647" s="187" t="inlineStr">
        <is>
          <t>NO</t>
        </is>
      </c>
      <c r="K1647" s="187" t="inlineStr">
        <is>
          <t>https://www.threatminer.org/domain.php?q=</t>
        </is>
      </c>
      <c r="L1647" s="187" t="inlineStr"/>
      <c r="M1647" s="187" t="inlineStr">
        <is>
          <t>Block domain</t>
        </is>
      </c>
      <c r="N1647" s="187" t="inlineStr">
        <is>
          <t>https://www.threatminer.org/domain.php?q=</t>
        </is>
      </c>
      <c r="O1647" s="187" t="inlineStr">
        <is>
          <t>Block domain  at DNS/firewall</t>
        </is>
      </c>
      <c r="P1647" s="187" t="inlineStr">
        <is>
          <t>DNS/Network</t>
        </is>
      </c>
      <c r="Q1647" s="187" t="inlineStr">
        <is>
          <t>P4</t>
        </is>
      </c>
      <c r="R1647" s="187" t="inlineStr">
        <is>
          <t>🔍 Investigate and apply appropriate controls</t>
        </is>
      </c>
      <c r="S1647" s="187" t="inlineStr">
        <is>
          <t>Domain IOC - check IP separately</t>
        </is>
      </c>
      <c r="T1647" s="187" t="n">
        <v>0</v>
      </c>
      <c r="U1647" s="187" t="n">
        <v>0</v>
      </c>
      <c r="V1647" s="187" t="inlineStr">
        <is>
          <t>T1071.001:Web Protocols | T1568:Dynamic Resolution</t>
        </is>
      </c>
      <c r="W1647" s="187" t="n">
        <v>1</v>
      </c>
      <c r="X1647" s="187" t="inlineStr">
        <is>
          <t>LOW (40%)</t>
        </is>
      </c>
      <c r="Y1647" s="187" t="inlineStr">
        <is>
          <t>NONE</t>
        </is>
      </c>
      <c r="Z1647" s="187" t="inlineStr">
        <is>
          <t>NONE</t>
        </is>
      </c>
      <c r="AA1647" s="187" t="inlineStr">
        <is>
          <t>NONE</t>
        </is>
      </c>
      <c r="AB1647" s="187" t="inlineStr">
        <is>
          <t>NONE</t>
        </is>
      </c>
      <c r="AC1647" s="187" t="n">
        <v>0</v>
      </c>
      <c r="AD1647" s="187" t="inlineStr"/>
    </row>
    <row r="1648">
      <c r="A1648" s="187" t="inlineStr">
        <is>
          <t>THREATMINER</t>
        </is>
      </c>
      <c r="B1648" s="187" t="inlineStr">
        <is>
          <t>d41d8cd98f00</t>
        </is>
      </c>
      <c r="C1648" s="187" t="inlineStr">
        <is>
          <t xml:space="preserve">Malicious domain:  | IP: 45.148.10.141 | Last seen: </t>
        </is>
      </c>
      <c r="D1648" s="187" t="n">
        <v>6.5</v>
      </c>
      <c r="E1648" s="187" t="inlineStr">
        <is>
          <t>MEDIUM</t>
        </is>
      </c>
      <c r="F1648" s="187" t="n">
        <v>2</v>
      </c>
      <c r="G1648" s="187" t="n">
        <v>2</v>
      </c>
      <c r="H1648" s="187" t="inlineStr">
        <is>
          <t>MEDIUM</t>
        </is>
      </c>
      <c r="I1648" s="187" t="n">
        <v>10.5</v>
      </c>
      <c r="J1648" s="187" t="inlineStr">
        <is>
          <t>NO</t>
        </is>
      </c>
      <c r="K1648" s="187" t="inlineStr">
        <is>
          <t>https://www.threatminer.org/domain.php?q=</t>
        </is>
      </c>
      <c r="L1648" s="187" t="inlineStr"/>
      <c r="M1648" s="187" t="inlineStr">
        <is>
          <t>Block domain</t>
        </is>
      </c>
      <c r="N1648" s="187" t="inlineStr">
        <is>
          <t>https://www.threatminer.org/domain.php?q=</t>
        </is>
      </c>
      <c r="O1648" s="187" t="inlineStr">
        <is>
          <t>Block domain  at DNS/firewall</t>
        </is>
      </c>
      <c r="P1648" s="187" t="inlineStr">
        <is>
          <t>DNS/Network</t>
        </is>
      </c>
      <c r="Q1648" s="187" t="inlineStr">
        <is>
          <t>P4</t>
        </is>
      </c>
      <c r="R1648" s="187" t="inlineStr">
        <is>
          <t>🔍 Investigate and apply appropriate controls</t>
        </is>
      </c>
      <c r="S1648" s="187" t="inlineStr">
        <is>
          <t>Domain IOC - check IP separately</t>
        </is>
      </c>
      <c r="T1648" s="187" t="n">
        <v>0</v>
      </c>
      <c r="U1648" s="187" t="n">
        <v>0</v>
      </c>
      <c r="V1648" s="187" t="inlineStr">
        <is>
          <t>T1071.001:Web Protocols | T1568:Dynamic Resolution</t>
        </is>
      </c>
      <c r="W1648" s="187" t="n">
        <v>1</v>
      </c>
      <c r="X1648" s="187" t="inlineStr">
        <is>
          <t>LOW (40%)</t>
        </is>
      </c>
      <c r="Y1648" s="187" t="inlineStr">
        <is>
          <t>NONE</t>
        </is>
      </c>
      <c r="Z1648" s="187" t="inlineStr">
        <is>
          <t>NONE</t>
        </is>
      </c>
      <c r="AA1648" s="187" t="inlineStr">
        <is>
          <t>NONE</t>
        </is>
      </c>
      <c r="AB1648" s="187" t="inlineStr">
        <is>
          <t>NONE</t>
        </is>
      </c>
      <c r="AC1648" s="187" t="n">
        <v>0</v>
      </c>
      <c r="AD1648" s="187" t="inlineStr"/>
    </row>
    <row r="1649">
      <c r="A1649" s="187" t="inlineStr">
        <is>
          <t>THREATMINER</t>
        </is>
      </c>
      <c r="B1649" s="187" t="inlineStr">
        <is>
          <t>d41d8cd98f00</t>
        </is>
      </c>
      <c r="C1649" s="187" t="inlineStr">
        <is>
          <t xml:space="preserve">Malicious domain:  | IP: 45.148.10.147 | Last seen: </t>
        </is>
      </c>
      <c r="D1649" s="187" t="n">
        <v>6.5</v>
      </c>
      <c r="E1649" s="187" t="inlineStr">
        <is>
          <t>MEDIUM</t>
        </is>
      </c>
      <c r="F1649" s="187" t="n">
        <v>2</v>
      </c>
      <c r="G1649" s="187" t="n">
        <v>2</v>
      </c>
      <c r="H1649" s="187" t="inlineStr">
        <is>
          <t>MEDIUM</t>
        </is>
      </c>
      <c r="I1649" s="187" t="n">
        <v>10.5</v>
      </c>
      <c r="J1649" s="187" t="inlineStr">
        <is>
          <t>NO</t>
        </is>
      </c>
      <c r="K1649" s="187" t="inlineStr">
        <is>
          <t>https://www.threatminer.org/domain.php?q=</t>
        </is>
      </c>
      <c r="L1649" s="187" t="inlineStr"/>
      <c r="M1649" s="187" t="inlineStr">
        <is>
          <t>Block domain</t>
        </is>
      </c>
      <c r="N1649" s="187" t="inlineStr">
        <is>
          <t>https://www.threatminer.org/domain.php?q=</t>
        </is>
      </c>
      <c r="O1649" s="187" t="inlineStr">
        <is>
          <t>Block domain  at DNS/firewall</t>
        </is>
      </c>
      <c r="P1649" s="187" t="inlineStr">
        <is>
          <t>DNS/Network</t>
        </is>
      </c>
      <c r="Q1649" s="187" t="inlineStr">
        <is>
          <t>P4</t>
        </is>
      </c>
      <c r="R1649" s="187" t="inlineStr">
        <is>
          <t>🔍 Investigate and apply appropriate controls</t>
        </is>
      </c>
      <c r="S1649" s="187" t="inlineStr">
        <is>
          <t>Domain IOC - check IP separately</t>
        </is>
      </c>
      <c r="T1649" s="187" t="n">
        <v>0</v>
      </c>
      <c r="U1649" s="187" t="n">
        <v>0</v>
      </c>
      <c r="V1649" s="187" t="inlineStr">
        <is>
          <t>T1071.001:Web Protocols | T1568:Dynamic Resolution</t>
        </is>
      </c>
      <c r="W1649" s="187" t="n">
        <v>1</v>
      </c>
      <c r="X1649" s="187" t="inlineStr">
        <is>
          <t>LOW (40%)</t>
        </is>
      </c>
      <c r="Y1649" s="187" t="inlineStr">
        <is>
          <t>NONE</t>
        </is>
      </c>
      <c r="Z1649" s="187" t="inlineStr">
        <is>
          <t>NONE</t>
        </is>
      </c>
      <c r="AA1649" s="187" t="inlineStr">
        <is>
          <t>NONE</t>
        </is>
      </c>
      <c r="AB1649" s="187" t="inlineStr">
        <is>
          <t>NONE</t>
        </is>
      </c>
      <c r="AC1649" s="187" t="n">
        <v>0</v>
      </c>
      <c r="AD1649" s="187" t="inlineStr"/>
    </row>
    <row r="1650">
      <c r="A1650" s="187" t="inlineStr">
        <is>
          <t>THREATMINER</t>
        </is>
      </c>
      <c r="B1650" s="187" t="inlineStr">
        <is>
          <t>d41d8cd98f00</t>
        </is>
      </c>
      <c r="C1650" s="187" t="inlineStr">
        <is>
          <t xml:space="preserve">Malicious domain:  | IP: 45.148.10.151 | Last seen: </t>
        </is>
      </c>
      <c r="D1650" s="187" t="n">
        <v>6.5</v>
      </c>
      <c r="E1650" s="187" t="inlineStr">
        <is>
          <t>MEDIUM</t>
        </is>
      </c>
      <c r="F1650" s="187" t="n">
        <v>2</v>
      </c>
      <c r="G1650" s="187" t="n">
        <v>2</v>
      </c>
      <c r="H1650" s="187" t="inlineStr">
        <is>
          <t>MEDIUM</t>
        </is>
      </c>
      <c r="I1650" s="187" t="n">
        <v>10.5</v>
      </c>
      <c r="J1650" s="187" t="inlineStr">
        <is>
          <t>NO</t>
        </is>
      </c>
      <c r="K1650" s="187" t="inlineStr">
        <is>
          <t>https://www.threatminer.org/domain.php?q=</t>
        </is>
      </c>
      <c r="L1650" s="187" t="inlineStr"/>
      <c r="M1650" s="187" t="inlineStr">
        <is>
          <t>Block domain</t>
        </is>
      </c>
      <c r="N1650" s="187" t="inlineStr">
        <is>
          <t>https://www.threatminer.org/domain.php?q=</t>
        </is>
      </c>
      <c r="O1650" s="187" t="inlineStr">
        <is>
          <t>Block domain  at DNS/firewall</t>
        </is>
      </c>
      <c r="P1650" s="187" t="inlineStr">
        <is>
          <t>DNS/Network</t>
        </is>
      </c>
      <c r="Q1650" s="187" t="inlineStr">
        <is>
          <t>P4</t>
        </is>
      </c>
      <c r="R1650" s="187" t="inlineStr">
        <is>
          <t>🔍 Investigate and apply appropriate controls</t>
        </is>
      </c>
      <c r="S1650" s="187" t="inlineStr">
        <is>
          <t>Domain IOC - check IP separately</t>
        </is>
      </c>
      <c r="T1650" s="187" t="n">
        <v>0</v>
      </c>
      <c r="U1650" s="187" t="n">
        <v>0</v>
      </c>
      <c r="V1650" s="187" t="inlineStr">
        <is>
          <t>T1071.001:Web Protocols | T1568:Dynamic Resolution</t>
        </is>
      </c>
      <c r="W1650" s="187" t="n">
        <v>1</v>
      </c>
      <c r="X1650" s="187" t="inlineStr">
        <is>
          <t>LOW (40%)</t>
        </is>
      </c>
      <c r="Y1650" s="187" t="inlineStr">
        <is>
          <t>NONE</t>
        </is>
      </c>
      <c r="Z1650" s="187" t="inlineStr">
        <is>
          <t>NONE</t>
        </is>
      </c>
      <c r="AA1650" s="187" t="inlineStr">
        <is>
          <t>NONE</t>
        </is>
      </c>
      <c r="AB1650" s="187" t="inlineStr">
        <is>
          <t>NONE</t>
        </is>
      </c>
      <c r="AC1650" s="187" t="n">
        <v>0</v>
      </c>
      <c r="AD1650" s="187" t="inlineStr"/>
    </row>
    <row r="1651">
      <c r="A1651" s="187" t="inlineStr">
        <is>
          <t>THREATMINER</t>
        </is>
      </c>
      <c r="B1651" s="187" t="inlineStr">
        <is>
          <t>d41d8cd98f00</t>
        </is>
      </c>
      <c r="C1651" s="187" t="inlineStr">
        <is>
          <t xml:space="preserve">Malicious domain:  | IP: 45.148.10.152 | Last seen: </t>
        </is>
      </c>
      <c r="D1651" s="187" t="n">
        <v>6.5</v>
      </c>
      <c r="E1651" s="187" t="inlineStr">
        <is>
          <t>MEDIUM</t>
        </is>
      </c>
      <c r="F1651" s="187" t="n">
        <v>2</v>
      </c>
      <c r="G1651" s="187" t="n">
        <v>2</v>
      </c>
      <c r="H1651" s="187" t="inlineStr">
        <is>
          <t>MEDIUM</t>
        </is>
      </c>
      <c r="I1651" s="187" t="n">
        <v>10.5</v>
      </c>
      <c r="J1651" s="187" t="inlineStr">
        <is>
          <t>NO</t>
        </is>
      </c>
      <c r="K1651" s="187" t="inlineStr">
        <is>
          <t>https://www.threatminer.org/domain.php?q=</t>
        </is>
      </c>
      <c r="L1651" s="187" t="inlineStr"/>
      <c r="M1651" s="187" t="inlineStr">
        <is>
          <t>Block domain</t>
        </is>
      </c>
      <c r="N1651" s="187" t="inlineStr">
        <is>
          <t>https://www.threatminer.org/domain.php?q=</t>
        </is>
      </c>
      <c r="O1651" s="187" t="inlineStr">
        <is>
          <t>Block domain  at DNS/firewall</t>
        </is>
      </c>
      <c r="P1651" s="187" t="inlineStr">
        <is>
          <t>DNS/Network</t>
        </is>
      </c>
      <c r="Q1651" s="187" t="inlineStr">
        <is>
          <t>P4</t>
        </is>
      </c>
      <c r="R1651" s="187" t="inlineStr">
        <is>
          <t>🔍 Investigate and apply appropriate controls</t>
        </is>
      </c>
      <c r="S1651" s="187" t="inlineStr">
        <is>
          <t>Domain IOC - check IP separately</t>
        </is>
      </c>
      <c r="T1651" s="187" t="n">
        <v>0</v>
      </c>
      <c r="U1651" s="187" t="n">
        <v>0</v>
      </c>
      <c r="V1651" s="187" t="inlineStr">
        <is>
          <t>T1071.001:Web Protocols | T1568:Dynamic Resolution</t>
        </is>
      </c>
      <c r="W1651" s="187" t="n">
        <v>1</v>
      </c>
      <c r="X1651" s="187" t="inlineStr">
        <is>
          <t>LOW (40%)</t>
        </is>
      </c>
      <c r="Y1651" s="187" t="inlineStr">
        <is>
          <t>NONE</t>
        </is>
      </c>
      <c r="Z1651" s="187" t="inlineStr">
        <is>
          <t>NONE</t>
        </is>
      </c>
      <c r="AA1651" s="187" t="inlineStr">
        <is>
          <t>NONE</t>
        </is>
      </c>
      <c r="AB1651" s="187" t="inlineStr">
        <is>
          <t>NONE</t>
        </is>
      </c>
      <c r="AC1651" s="187" t="n">
        <v>0</v>
      </c>
      <c r="AD1651" s="187" t="inlineStr"/>
    </row>
    <row r="1652">
      <c r="A1652" s="187" t="inlineStr">
        <is>
          <t>THREATMINER</t>
        </is>
      </c>
      <c r="B1652" s="187" t="inlineStr">
        <is>
          <t>d41d8cd98f00</t>
        </is>
      </c>
      <c r="C1652" s="187" t="inlineStr">
        <is>
          <t xml:space="preserve">Malicious domain:  | IP: 45.148.10.157 | Last seen: </t>
        </is>
      </c>
      <c r="D1652" s="187" t="n">
        <v>6.5</v>
      </c>
      <c r="E1652" s="187" t="inlineStr">
        <is>
          <t>MEDIUM</t>
        </is>
      </c>
      <c r="F1652" s="187" t="n">
        <v>2</v>
      </c>
      <c r="G1652" s="187" t="n">
        <v>2</v>
      </c>
      <c r="H1652" s="187" t="inlineStr">
        <is>
          <t>MEDIUM</t>
        </is>
      </c>
      <c r="I1652" s="187" t="n">
        <v>10.5</v>
      </c>
      <c r="J1652" s="187" t="inlineStr">
        <is>
          <t>NO</t>
        </is>
      </c>
      <c r="K1652" s="187" t="inlineStr">
        <is>
          <t>https://www.threatminer.org/domain.php?q=</t>
        </is>
      </c>
      <c r="L1652" s="187" t="inlineStr"/>
      <c r="M1652" s="187" t="inlineStr">
        <is>
          <t>Block domain</t>
        </is>
      </c>
      <c r="N1652" s="187" t="inlineStr">
        <is>
          <t>https://www.threatminer.org/domain.php?q=</t>
        </is>
      </c>
      <c r="O1652" s="187" t="inlineStr">
        <is>
          <t>Block domain  at DNS/firewall</t>
        </is>
      </c>
      <c r="P1652" s="187" t="inlineStr">
        <is>
          <t>DNS/Network</t>
        </is>
      </c>
      <c r="Q1652" s="187" t="inlineStr">
        <is>
          <t>P4</t>
        </is>
      </c>
      <c r="R1652" s="187" t="inlineStr">
        <is>
          <t>🔍 Investigate and apply appropriate controls</t>
        </is>
      </c>
      <c r="S1652" s="187" t="inlineStr">
        <is>
          <t>Domain IOC - check IP separately</t>
        </is>
      </c>
      <c r="T1652" s="187" t="n">
        <v>0</v>
      </c>
      <c r="U1652" s="187" t="n">
        <v>0</v>
      </c>
      <c r="V1652" s="187" t="inlineStr">
        <is>
          <t>T1071.001:Web Protocols | T1568:Dynamic Resolution</t>
        </is>
      </c>
      <c r="W1652" s="187" t="n">
        <v>1</v>
      </c>
      <c r="X1652" s="187" t="inlineStr">
        <is>
          <t>LOW (40%)</t>
        </is>
      </c>
      <c r="Y1652" s="187" t="inlineStr">
        <is>
          <t>NONE</t>
        </is>
      </c>
      <c r="Z1652" s="187" t="inlineStr">
        <is>
          <t>NONE</t>
        </is>
      </c>
      <c r="AA1652" s="187" t="inlineStr">
        <is>
          <t>NONE</t>
        </is>
      </c>
      <c r="AB1652" s="187" t="inlineStr">
        <is>
          <t>NONE</t>
        </is>
      </c>
      <c r="AC1652" s="187" t="n">
        <v>0</v>
      </c>
      <c r="AD1652" s="187" t="inlineStr"/>
    </row>
    <row r="1653">
      <c r="A1653" s="187" t="inlineStr">
        <is>
          <t>THREATMINER</t>
        </is>
      </c>
      <c r="B1653" s="187" t="inlineStr">
        <is>
          <t>d41d8cd98f00</t>
        </is>
      </c>
      <c r="C1653" s="187" t="inlineStr">
        <is>
          <t xml:space="preserve">Malicious domain:  | IP: 45.249.244.185 | Last seen: </t>
        </is>
      </c>
      <c r="D1653" s="187" t="n">
        <v>6.5</v>
      </c>
      <c r="E1653" s="187" t="inlineStr">
        <is>
          <t>MEDIUM</t>
        </is>
      </c>
      <c r="F1653" s="187" t="n">
        <v>2</v>
      </c>
      <c r="G1653" s="187" t="n">
        <v>2</v>
      </c>
      <c r="H1653" s="187" t="inlineStr">
        <is>
          <t>MEDIUM</t>
        </is>
      </c>
      <c r="I1653" s="187" t="n">
        <v>10.5</v>
      </c>
      <c r="J1653" s="187" t="inlineStr">
        <is>
          <t>NO</t>
        </is>
      </c>
      <c r="K1653" s="187" t="inlineStr">
        <is>
          <t>https://www.threatminer.org/domain.php?q=</t>
        </is>
      </c>
      <c r="L1653" s="187" t="inlineStr"/>
      <c r="M1653" s="187" t="inlineStr">
        <is>
          <t>Block domain</t>
        </is>
      </c>
      <c r="N1653" s="187" t="inlineStr">
        <is>
          <t>https://www.threatminer.org/domain.php?q=</t>
        </is>
      </c>
      <c r="O1653" s="187" t="inlineStr">
        <is>
          <t>Block domain  at DNS/firewall</t>
        </is>
      </c>
      <c r="P1653" s="187" t="inlineStr">
        <is>
          <t>DNS/Network</t>
        </is>
      </c>
      <c r="Q1653" s="187" t="inlineStr">
        <is>
          <t>P4</t>
        </is>
      </c>
      <c r="R1653" s="187" t="inlineStr">
        <is>
          <t>🔍 Investigate and apply appropriate controls</t>
        </is>
      </c>
      <c r="S1653" s="187" t="inlineStr">
        <is>
          <t>Domain IOC - check IP separately</t>
        </is>
      </c>
      <c r="T1653" s="187" t="n">
        <v>0</v>
      </c>
      <c r="U1653" s="187" t="n">
        <v>0</v>
      </c>
      <c r="V1653" s="187" t="inlineStr">
        <is>
          <t>T1071.001:Web Protocols | T1568:Dynamic Resolution</t>
        </is>
      </c>
      <c r="W1653" s="187" t="n">
        <v>1</v>
      </c>
      <c r="X1653" s="187" t="inlineStr">
        <is>
          <t>LOW (40%)</t>
        </is>
      </c>
      <c r="Y1653" s="187" t="inlineStr">
        <is>
          <t>NONE</t>
        </is>
      </c>
      <c r="Z1653" s="187" t="inlineStr">
        <is>
          <t>NONE</t>
        </is>
      </c>
      <c r="AA1653" s="187" t="inlineStr">
        <is>
          <t>NONE</t>
        </is>
      </c>
      <c r="AB1653" s="187" t="inlineStr">
        <is>
          <t>NONE</t>
        </is>
      </c>
      <c r="AC1653" s="187" t="n">
        <v>0</v>
      </c>
      <c r="AD1653" s="187" t="inlineStr"/>
    </row>
    <row r="1654">
      <c r="A1654" s="187" t="inlineStr">
        <is>
          <t>THREATMINER</t>
        </is>
      </c>
      <c r="B1654" s="187" t="inlineStr">
        <is>
          <t>d41d8cd98f00</t>
        </is>
      </c>
      <c r="C1654" s="187" t="inlineStr">
        <is>
          <t xml:space="preserve">Malicious domain:  | IP: 47.252.35.152 | Last seen: </t>
        </is>
      </c>
      <c r="D1654" s="187" t="n">
        <v>6.5</v>
      </c>
      <c r="E1654" s="187" t="inlineStr">
        <is>
          <t>MEDIUM</t>
        </is>
      </c>
      <c r="F1654" s="187" t="n">
        <v>2</v>
      </c>
      <c r="G1654" s="187" t="n">
        <v>2</v>
      </c>
      <c r="H1654" s="187" t="inlineStr">
        <is>
          <t>MEDIUM</t>
        </is>
      </c>
      <c r="I1654" s="187" t="n">
        <v>10.5</v>
      </c>
      <c r="J1654" s="187" t="inlineStr">
        <is>
          <t>NO</t>
        </is>
      </c>
      <c r="K1654" s="187" t="inlineStr">
        <is>
          <t>https://www.threatminer.org/domain.php?q=</t>
        </is>
      </c>
      <c r="L1654" s="187" t="inlineStr"/>
      <c r="M1654" s="187" t="inlineStr">
        <is>
          <t>Block domain</t>
        </is>
      </c>
      <c r="N1654" s="187" t="inlineStr">
        <is>
          <t>https://www.threatminer.org/domain.php?q=</t>
        </is>
      </c>
      <c r="O1654" s="187" t="inlineStr">
        <is>
          <t>Block domain  at DNS/firewall</t>
        </is>
      </c>
      <c r="P1654" s="187" t="inlineStr">
        <is>
          <t>DNS/Network</t>
        </is>
      </c>
      <c r="Q1654" s="187" t="inlineStr">
        <is>
          <t>P4</t>
        </is>
      </c>
      <c r="R1654" s="187" t="inlineStr">
        <is>
          <t>🔍 Investigate and apply appropriate controls</t>
        </is>
      </c>
      <c r="S1654" s="187" t="inlineStr">
        <is>
          <t>Domain IOC - check IP separately</t>
        </is>
      </c>
      <c r="T1654" s="187" t="n">
        <v>0</v>
      </c>
      <c r="U1654" s="187" t="n">
        <v>0</v>
      </c>
      <c r="V1654" s="187" t="inlineStr">
        <is>
          <t>T1071.001:Web Protocols | T1568:Dynamic Resolution</t>
        </is>
      </c>
      <c r="W1654" s="187" t="n">
        <v>1</v>
      </c>
      <c r="X1654" s="187" t="inlineStr">
        <is>
          <t>LOW (40%)</t>
        </is>
      </c>
      <c r="Y1654" s="187" t="inlineStr">
        <is>
          <t>NONE</t>
        </is>
      </c>
      <c r="Z1654" s="187" t="inlineStr">
        <is>
          <t>NONE</t>
        </is>
      </c>
      <c r="AA1654" s="187" t="inlineStr">
        <is>
          <t>NONE</t>
        </is>
      </c>
      <c r="AB1654" s="187" t="inlineStr">
        <is>
          <t>NONE</t>
        </is>
      </c>
      <c r="AC1654" s="187" t="n">
        <v>0</v>
      </c>
      <c r="AD1654" s="187" t="inlineStr"/>
    </row>
    <row r="1655">
      <c r="A1655" s="187" t="inlineStr">
        <is>
          <t>THREATMINER</t>
        </is>
      </c>
      <c r="B1655" s="187" t="inlineStr">
        <is>
          <t>d41d8cd98f00</t>
        </is>
      </c>
      <c r="C1655" s="187" t="inlineStr">
        <is>
          <t xml:space="preserve">Malicious domain:  | IP: 61.245.11.87 | Last seen: </t>
        </is>
      </c>
      <c r="D1655" s="187" t="n">
        <v>6.5</v>
      </c>
      <c r="E1655" s="187" t="inlineStr">
        <is>
          <t>MEDIUM</t>
        </is>
      </c>
      <c r="F1655" s="187" t="n">
        <v>2</v>
      </c>
      <c r="G1655" s="187" t="n">
        <v>2</v>
      </c>
      <c r="H1655" s="187" t="inlineStr">
        <is>
          <t>MEDIUM</t>
        </is>
      </c>
      <c r="I1655" s="187" t="n">
        <v>10.5</v>
      </c>
      <c r="J1655" s="187" t="inlineStr">
        <is>
          <t>NO</t>
        </is>
      </c>
      <c r="K1655" s="187" t="inlineStr">
        <is>
          <t>https://www.threatminer.org/domain.php?q=</t>
        </is>
      </c>
      <c r="L1655" s="187" t="inlineStr"/>
      <c r="M1655" s="187" t="inlineStr">
        <is>
          <t>Block domain</t>
        </is>
      </c>
      <c r="N1655" s="187" t="inlineStr">
        <is>
          <t>https://www.threatminer.org/domain.php?q=</t>
        </is>
      </c>
      <c r="O1655" s="187" t="inlineStr">
        <is>
          <t>Block domain  at DNS/firewall</t>
        </is>
      </c>
      <c r="P1655" s="187" t="inlineStr">
        <is>
          <t>DNS/Network</t>
        </is>
      </c>
      <c r="Q1655" s="187" t="inlineStr">
        <is>
          <t>P4</t>
        </is>
      </c>
      <c r="R1655" s="187" t="inlineStr">
        <is>
          <t>🔍 Investigate and apply appropriate controls</t>
        </is>
      </c>
      <c r="S1655" s="187" t="inlineStr">
        <is>
          <t>Domain IOC - check IP separately</t>
        </is>
      </c>
      <c r="T1655" s="187" t="n">
        <v>0</v>
      </c>
      <c r="U1655" s="187" t="n">
        <v>0</v>
      </c>
      <c r="V1655" s="187" t="inlineStr">
        <is>
          <t>T1071.001:Web Protocols | T1568:Dynamic Resolution</t>
        </is>
      </c>
      <c r="W1655" s="187" t="n">
        <v>1</v>
      </c>
      <c r="X1655" s="187" t="inlineStr">
        <is>
          <t>LOW (40%)</t>
        </is>
      </c>
      <c r="Y1655" s="187" t="inlineStr">
        <is>
          <t>NONE</t>
        </is>
      </c>
      <c r="Z1655" s="187" t="inlineStr">
        <is>
          <t>NONE</t>
        </is>
      </c>
      <c r="AA1655" s="187" t="inlineStr">
        <is>
          <t>NONE</t>
        </is>
      </c>
      <c r="AB1655" s="187" t="inlineStr">
        <is>
          <t>NONE</t>
        </is>
      </c>
      <c r="AC1655" s="187" t="n">
        <v>0</v>
      </c>
      <c r="AD1655" s="187" t="inlineStr"/>
    </row>
    <row r="1656">
      <c r="A1656" s="187" t="inlineStr">
        <is>
          <t>THREATMINER</t>
        </is>
      </c>
      <c r="B1656" s="187" t="inlineStr">
        <is>
          <t>d41d8cd98f00</t>
        </is>
      </c>
      <c r="C1656" s="187" t="inlineStr">
        <is>
          <t xml:space="preserve">Malicious domain:  | IP: 66.132.153.133 | Last seen: </t>
        </is>
      </c>
      <c r="D1656" s="187" t="n">
        <v>6.5</v>
      </c>
      <c r="E1656" s="187" t="inlineStr">
        <is>
          <t>MEDIUM</t>
        </is>
      </c>
      <c r="F1656" s="187" t="n">
        <v>2</v>
      </c>
      <c r="G1656" s="187" t="n">
        <v>2</v>
      </c>
      <c r="H1656" s="187" t="inlineStr">
        <is>
          <t>MEDIUM</t>
        </is>
      </c>
      <c r="I1656" s="187" t="n">
        <v>10.5</v>
      </c>
      <c r="J1656" s="187" t="inlineStr">
        <is>
          <t>NO</t>
        </is>
      </c>
      <c r="K1656" s="187" t="inlineStr">
        <is>
          <t>https://www.threatminer.org/domain.php?q=</t>
        </is>
      </c>
      <c r="L1656" s="187" t="inlineStr"/>
      <c r="M1656" s="187" t="inlineStr">
        <is>
          <t>Block domain</t>
        </is>
      </c>
      <c r="N1656" s="187" t="inlineStr">
        <is>
          <t>https://www.threatminer.org/domain.php?q=</t>
        </is>
      </c>
      <c r="O1656" s="187" t="inlineStr">
        <is>
          <t>Block domain  at DNS/firewall</t>
        </is>
      </c>
      <c r="P1656" s="187" t="inlineStr">
        <is>
          <t>DNS/Network</t>
        </is>
      </c>
      <c r="Q1656" s="187" t="inlineStr">
        <is>
          <t>P4</t>
        </is>
      </c>
      <c r="R1656" s="187" t="inlineStr">
        <is>
          <t>🔍 Investigate and apply appropriate controls</t>
        </is>
      </c>
      <c r="S1656" s="187" t="inlineStr">
        <is>
          <t>Domain IOC - check IP separately</t>
        </is>
      </c>
      <c r="T1656" s="187" t="n">
        <v>0</v>
      </c>
      <c r="U1656" s="187" t="n">
        <v>0</v>
      </c>
      <c r="V1656" s="187" t="inlineStr">
        <is>
          <t>T1071.001:Web Protocols | T1568:Dynamic Resolution</t>
        </is>
      </c>
      <c r="W1656" s="187" t="n">
        <v>1</v>
      </c>
      <c r="X1656" s="187" t="inlineStr">
        <is>
          <t>LOW (40%)</t>
        </is>
      </c>
      <c r="Y1656" s="187" t="inlineStr">
        <is>
          <t>NONE</t>
        </is>
      </c>
      <c r="Z1656" s="187" t="inlineStr">
        <is>
          <t>NONE</t>
        </is>
      </c>
      <c r="AA1656" s="187" t="inlineStr">
        <is>
          <t>NONE</t>
        </is>
      </c>
      <c r="AB1656" s="187" t="inlineStr">
        <is>
          <t>NONE</t>
        </is>
      </c>
      <c r="AC1656" s="187" t="n">
        <v>0</v>
      </c>
      <c r="AD1656" s="187" t="inlineStr"/>
    </row>
    <row r="1657">
      <c r="A1657" s="187" t="inlineStr">
        <is>
          <t>THREATMINER</t>
        </is>
      </c>
      <c r="B1657" s="187" t="inlineStr">
        <is>
          <t>d41d8cd98f00</t>
        </is>
      </c>
      <c r="C1657" s="187" t="inlineStr">
        <is>
          <t xml:space="preserve">Malicious domain:  | IP: 80.94.92.171 | Last seen: </t>
        </is>
      </c>
      <c r="D1657" s="187" t="n">
        <v>6.5</v>
      </c>
      <c r="E1657" s="187" t="inlineStr">
        <is>
          <t>MEDIUM</t>
        </is>
      </c>
      <c r="F1657" s="187" t="n">
        <v>2</v>
      </c>
      <c r="G1657" s="187" t="n">
        <v>2</v>
      </c>
      <c r="H1657" s="187" t="inlineStr">
        <is>
          <t>MEDIUM</t>
        </is>
      </c>
      <c r="I1657" s="187" t="n">
        <v>10.5</v>
      </c>
      <c r="J1657" s="187" t="inlineStr">
        <is>
          <t>NO</t>
        </is>
      </c>
      <c r="K1657" s="187" t="inlineStr">
        <is>
          <t>https://www.threatminer.org/domain.php?q=</t>
        </is>
      </c>
      <c r="L1657" s="187" t="inlineStr"/>
      <c r="M1657" s="187" t="inlineStr">
        <is>
          <t>Block domain</t>
        </is>
      </c>
      <c r="N1657" s="187" t="inlineStr">
        <is>
          <t>https://www.threatminer.org/domain.php?q=</t>
        </is>
      </c>
      <c r="O1657" s="187" t="inlineStr">
        <is>
          <t>Block domain  at DNS/firewall</t>
        </is>
      </c>
      <c r="P1657" s="187" t="inlineStr">
        <is>
          <t>DNS/Network</t>
        </is>
      </c>
      <c r="Q1657" s="187" t="inlineStr">
        <is>
          <t>P4</t>
        </is>
      </c>
      <c r="R1657" s="187" t="inlineStr">
        <is>
          <t>🔍 Investigate and apply appropriate controls</t>
        </is>
      </c>
      <c r="S1657" s="187" t="inlineStr">
        <is>
          <t>Domain IOC - check IP separately</t>
        </is>
      </c>
      <c r="T1657" s="187" t="n">
        <v>0</v>
      </c>
      <c r="U1657" s="187" t="n">
        <v>0</v>
      </c>
      <c r="V1657" s="187" t="inlineStr">
        <is>
          <t>T1071.001:Web Protocols | T1568:Dynamic Resolution</t>
        </is>
      </c>
      <c r="W1657" s="187" t="n">
        <v>1</v>
      </c>
      <c r="X1657" s="187" t="inlineStr">
        <is>
          <t>LOW (40%)</t>
        </is>
      </c>
      <c r="Y1657" s="187" t="inlineStr">
        <is>
          <t>NONE</t>
        </is>
      </c>
      <c r="Z1657" s="187" t="inlineStr">
        <is>
          <t>NONE</t>
        </is>
      </c>
      <c r="AA1657" s="187" t="inlineStr">
        <is>
          <t>NONE</t>
        </is>
      </c>
      <c r="AB1657" s="187" t="inlineStr">
        <is>
          <t>NONE</t>
        </is>
      </c>
      <c r="AC1657" s="187" t="n">
        <v>0</v>
      </c>
      <c r="AD1657" s="187" t="inlineStr"/>
    </row>
    <row r="1658">
      <c r="A1658" s="187" t="inlineStr">
        <is>
          <t>THREATMINER</t>
        </is>
      </c>
      <c r="B1658" s="187" t="inlineStr">
        <is>
          <t>d41d8cd98f00</t>
        </is>
      </c>
      <c r="C1658" s="187" t="inlineStr">
        <is>
          <t xml:space="preserve">Malicious domain:  | IP: 80.94.95.115 | Last seen: </t>
        </is>
      </c>
      <c r="D1658" s="187" t="n">
        <v>6.5</v>
      </c>
      <c r="E1658" s="187" t="inlineStr">
        <is>
          <t>MEDIUM</t>
        </is>
      </c>
      <c r="F1658" s="187" t="n">
        <v>2</v>
      </c>
      <c r="G1658" s="187" t="n">
        <v>2</v>
      </c>
      <c r="H1658" s="187" t="inlineStr">
        <is>
          <t>MEDIUM</t>
        </is>
      </c>
      <c r="I1658" s="187" t="n">
        <v>10.5</v>
      </c>
      <c r="J1658" s="187" t="inlineStr">
        <is>
          <t>NO</t>
        </is>
      </c>
      <c r="K1658" s="187" t="inlineStr">
        <is>
          <t>https://www.threatminer.org/domain.php?q=</t>
        </is>
      </c>
      <c r="L1658" s="187" t="inlineStr"/>
      <c r="M1658" s="187" t="inlineStr">
        <is>
          <t>Block domain</t>
        </is>
      </c>
      <c r="N1658" s="187" t="inlineStr">
        <is>
          <t>https://www.threatminer.org/domain.php?q=</t>
        </is>
      </c>
      <c r="O1658" s="187" t="inlineStr">
        <is>
          <t>Block domain  at DNS/firewall</t>
        </is>
      </c>
      <c r="P1658" s="187" t="inlineStr">
        <is>
          <t>DNS/Network</t>
        </is>
      </c>
      <c r="Q1658" s="187" t="inlineStr">
        <is>
          <t>P4</t>
        </is>
      </c>
      <c r="R1658" s="187" t="inlineStr">
        <is>
          <t>🔍 Investigate and apply appropriate controls</t>
        </is>
      </c>
      <c r="S1658" s="187" t="inlineStr">
        <is>
          <t>Domain IOC - check IP separately</t>
        </is>
      </c>
      <c r="T1658" s="187" t="n">
        <v>0</v>
      </c>
      <c r="U1658" s="187" t="n">
        <v>0</v>
      </c>
      <c r="V1658" s="187" t="inlineStr">
        <is>
          <t>T1071.001:Web Protocols | T1568:Dynamic Resolution</t>
        </is>
      </c>
      <c r="W1658" s="187" t="n">
        <v>1</v>
      </c>
      <c r="X1658" s="187" t="inlineStr">
        <is>
          <t>LOW (40%)</t>
        </is>
      </c>
      <c r="Y1658" s="187" t="inlineStr">
        <is>
          <t>NONE</t>
        </is>
      </c>
      <c r="Z1658" s="187" t="inlineStr">
        <is>
          <t>NONE</t>
        </is>
      </c>
      <c r="AA1658" s="187" t="inlineStr">
        <is>
          <t>NONE</t>
        </is>
      </c>
      <c r="AB1658" s="187" t="inlineStr">
        <is>
          <t>NONE</t>
        </is>
      </c>
      <c r="AC1658" s="187" t="n">
        <v>0</v>
      </c>
      <c r="AD1658" s="187" t="inlineStr"/>
    </row>
    <row r="1659">
      <c r="A1659" s="187" t="inlineStr">
        <is>
          <t>THREATMINER</t>
        </is>
      </c>
      <c r="B1659" s="187" t="inlineStr">
        <is>
          <t>d41d8cd98f00</t>
        </is>
      </c>
      <c r="C1659" s="187" t="inlineStr">
        <is>
          <t xml:space="preserve">Malicious domain:  | IP: 80.94.95.116 | Last seen: </t>
        </is>
      </c>
      <c r="D1659" s="187" t="n">
        <v>6.5</v>
      </c>
      <c r="E1659" s="187" t="inlineStr">
        <is>
          <t>MEDIUM</t>
        </is>
      </c>
      <c r="F1659" s="187" t="n">
        <v>2</v>
      </c>
      <c r="G1659" s="187" t="n">
        <v>2</v>
      </c>
      <c r="H1659" s="187" t="inlineStr">
        <is>
          <t>MEDIUM</t>
        </is>
      </c>
      <c r="I1659" s="187" t="n">
        <v>10.5</v>
      </c>
      <c r="J1659" s="187" t="inlineStr">
        <is>
          <t>NO</t>
        </is>
      </c>
      <c r="K1659" s="187" t="inlineStr">
        <is>
          <t>https://www.threatminer.org/domain.php?q=</t>
        </is>
      </c>
      <c r="L1659" s="187" t="inlineStr"/>
      <c r="M1659" s="187" t="inlineStr">
        <is>
          <t>Block domain</t>
        </is>
      </c>
      <c r="N1659" s="187" t="inlineStr">
        <is>
          <t>https://www.threatminer.org/domain.php?q=</t>
        </is>
      </c>
      <c r="O1659" s="187" t="inlineStr">
        <is>
          <t>Block domain  at DNS/firewall</t>
        </is>
      </c>
      <c r="P1659" s="187" t="inlineStr">
        <is>
          <t>DNS/Network</t>
        </is>
      </c>
      <c r="Q1659" s="187" t="inlineStr">
        <is>
          <t>P4</t>
        </is>
      </c>
      <c r="R1659" s="187" t="inlineStr">
        <is>
          <t>🔍 Investigate and apply appropriate controls</t>
        </is>
      </c>
      <c r="S1659" s="187" t="inlineStr">
        <is>
          <t>Domain IOC - check IP separately</t>
        </is>
      </c>
      <c r="T1659" s="187" t="n">
        <v>0</v>
      </c>
      <c r="U1659" s="187" t="n">
        <v>0</v>
      </c>
      <c r="V1659" s="187" t="inlineStr">
        <is>
          <t>T1071.001:Web Protocols | T1568:Dynamic Resolution</t>
        </is>
      </c>
      <c r="W1659" s="187" t="n">
        <v>1</v>
      </c>
      <c r="X1659" s="187" t="inlineStr">
        <is>
          <t>LOW (40%)</t>
        </is>
      </c>
      <c r="Y1659" s="187" t="inlineStr">
        <is>
          <t>NONE</t>
        </is>
      </c>
      <c r="Z1659" s="187" t="inlineStr">
        <is>
          <t>NONE</t>
        </is>
      </c>
      <c r="AA1659" s="187" t="inlineStr">
        <is>
          <t>NONE</t>
        </is>
      </c>
      <c r="AB1659" s="187" t="inlineStr">
        <is>
          <t>NONE</t>
        </is>
      </c>
      <c r="AC1659" s="187" t="n">
        <v>0</v>
      </c>
      <c r="AD1659" s="187" t="inlineStr"/>
    </row>
    <row r="1660">
      <c r="A1660" s="187" t="inlineStr">
        <is>
          <t>THREATMINER</t>
        </is>
      </c>
      <c r="B1660" s="187" t="inlineStr">
        <is>
          <t>d41d8cd98f00</t>
        </is>
      </c>
      <c r="C1660" s="187" t="inlineStr">
        <is>
          <t xml:space="preserve">Malicious domain:  | IP: 91.224.92.54 | Last seen: </t>
        </is>
      </c>
      <c r="D1660" s="187" t="n">
        <v>6.5</v>
      </c>
      <c r="E1660" s="187" t="inlineStr">
        <is>
          <t>MEDIUM</t>
        </is>
      </c>
      <c r="F1660" s="187" t="n">
        <v>2</v>
      </c>
      <c r="G1660" s="187" t="n">
        <v>2</v>
      </c>
      <c r="H1660" s="187" t="inlineStr">
        <is>
          <t>MEDIUM</t>
        </is>
      </c>
      <c r="I1660" s="187" t="n">
        <v>10.5</v>
      </c>
      <c r="J1660" s="187" t="inlineStr">
        <is>
          <t>NO</t>
        </is>
      </c>
      <c r="K1660" s="187" t="inlineStr">
        <is>
          <t>https://www.threatminer.org/domain.php?q=</t>
        </is>
      </c>
      <c r="L1660" s="187" t="inlineStr"/>
      <c r="M1660" s="187" t="inlineStr">
        <is>
          <t>Block domain</t>
        </is>
      </c>
      <c r="N1660" s="187" t="inlineStr">
        <is>
          <t>https://www.threatminer.org/domain.php?q=</t>
        </is>
      </c>
      <c r="O1660" s="187" t="inlineStr">
        <is>
          <t>Block domain  at DNS/firewall</t>
        </is>
      </c>
      <c r="P1660" s="187" t="inlineStr">
        <is>
          <t>DNS/Network</t>
        </is>
      </c>
      <c r="Q1660" s="187" t="inlineStr">
        <is>
          <t>P4</t>
        </is>
      </c>
      <c r="R1660" s="187" t="inlineStr">
        <is>
          <t>🔍 Investigate and apply appropriate controls</t>
        </is>
      </c>
      <c r="S1660" s="187" t="inlineStr">
        <is>
          <t>Domain IOC - check IP separately</t>
        </is>
      </c>
      <c r="T1660" s="187" t="n">
        <v>0</v>
      </c>
      <c r="U1660" s="187" t="n">
        <v>0</v>
      </c>
      <c r="V1660" s="187" t="inlineStr">
        <is>
          <t>T1071.001:Web Protocols | T1568:Dynamic Resolution</t>
        </is>
      </c>
      <c r="W1660" s="187" t="n">
        <v>1</v>
      </c>
      <c r="X1660" s="187" t="inlineStr">
        <is>
          <t>LOW (40%)</t>
        </is>
      </c>
      <c r="Y1660" s="187" t="inlineStr">
        <is>
          <t>NONE</t>
        </is>
      </c>
      <c r="Z1660" s="187" t="inlineStr">
        <is>
          <t>NONE</t>
        </is>
      </c>
      <c r="AA1660" s="187" t="inlineStr">
        <is>
          <t>NONE</t>
        </is>
      </c>
      <c r="AB1660" s="187" t="inlineStr">
        <is>
          <t>NONE</t>
        </is>
      </c>
      <c r="AC1660" s="187" t="n">
        <v>0</v>
      </c>
      <c r="AD1660" s="187" t="inlineStr"/>
    </row>
    <row r="1661">
      <c r="A1661" s="187" t="inlineStr">
        <is>
          <t>THREATMINER</t>
        </is>
      </c>
      <c r="B1661" s="187" t="inlineStr">
        <is>
          <t>d41d8cd98f00</t>
        </is>
      </c>
      <c r="C1661" s="187" t="inlineStr">
        <is>
          <t xml:space="preserve">Malicious domain:  | IP: 91.224.92.108 | Last seen: </t>
        </is>
      </c>
      <c r="D1661" s="187" t="n">
        <v>6.5</v>
      </c>
      <c r="E1661" s="187" t="inlineStr">
        <is>
          <t>MEDIUM</t>
        </is>
      </c>
      <c r="F1661" s="187" t="n">
        <v>2</v>
      </c>
      <c r="G1661" s="187" t="n">
        <v>2</v>
      </c>
      <c r="H1661" s="187" t="inlineStr">
        <is>
          <t>MEDIUM</t>
        </is>
      </c>
      <c r="I1661" s="187" t="n">
        <v>10.5</v>
      </c>
      <c r="J1661" s="187" t="inlineStr">
        <is>
          <t>NO</t>
        </is>
      </c>
      <c r="K1661" s="187" t="inlineStr">
        <is>
          <t>https://www.threatminer.org/domain.php?q=</t>
        </is>
      </c>
      <c r="L1661" s="187" t="inlineStr"/>
      <c r="M1661" s="187" t="inlineStr">
        <is>
          <t>Block domain</t>
        </is>
      </c>
      <c r="N1661" s="187" t="inlineStr">
        <is>
          <t>https://www.threatminer.org/domain.php?q=</t>
        </is>
      </c>
      <c r="O1661" s="187" t="inlineStr">
        <is>
          <t>Block domain  at DNS/firewall</t>
        </is>
      </c>
      <c r="P1661" s="187" t="inlineStr">
        <is>
          <t>DNS/Network</t>
        </is>
      </c>
      <c r="Q1661" s="187" t="inlineStr">
        <is>
          <t>P4</t>
        </is>
      </c>
      <c r="R1661" s="187" t="inlineStr">
        <is>
          <t>🔍 Investigate and apply appropriate controls</t>
        </is>
      </c>
      <c r="S1661" s="187" t="inlineStr">
        <is>
          <t>Domain IOC - check IP separately</t>
        </is>
      </c>
      <c r="T1661" s="187" t="n">
        <v>0</v>
      </c>
      <c r="U1661" s="187" t="n">
        <v>0</v>
      </c>
      <c r="V1661" s="187" t="inlineStr">
        <is>
          <t>T1071.001:Web Protocols | T1568:Dynamic Resolution</t>
        </is>
      </c>
      <c r="W1661" s="187" t="n">
        <v>1</v>
      </c>
      <c r="X1661" s="187" t="inlineStr">
        <is>
          <t>LOW (40%)</t>
        </is>
      </c>
      <c r="Y1661" s="187" t="inlineStr">
        <is>
          <t>NONE</t>
        </is>
      </c>
      <c r="Z1661" s="187" t="inlineStr">
        <is>
          <t>NONE</t>
        </is>
      </c>
      <c r="AA1661" s="187" t="inlineStr">
        <is>
          <t>NONE</t>
        </is>
      </c>
      <c r="AB1661" s="187" t="inlineStr">
        <is>
          <t>NONE</t>
        </is>
      </c>
      <c r="AC1661" s="187" t="n">
        <v>0</v>
      </c>
      <c r="AD1661" s="187" t="inlineStr"/>
    </row>
    <row r="1662">
      <c r="A1662" s="187" t="inlineStr">
        <is>
          <t>THREATMINER</t>
        </is>
      </c>
      <c r="B1662" s="187" t="inlineStr">
        <is>
          <t>d41d8cd98f00</t>
        </is>
      </c>
      <c r="C1662" s="187" t="inlineStr">
        <is>
          <t xml:space="preserve">Malicious domain:  | IP: 92.118.39.56 | Last seen: </t>
        </is>
      </c>
      <c r="D1662" s="187" t="n">
        <v>6.5</v>
      </c>
      <c r="E1662" s="187" t="inlineStr">
        <is>
          <t>MEDIUM</t>
        </is>
      </c>
      <c r="F1662" s="187" t="n">
        <v>2</v>
      </c>
      <c r="G1662" s="187" t="n">
        <v>2</v>
      </c>
      <c r="H1662" s="187" t="inlineStr">
        <is>
          <t>MEDIUM</t>
        </is>
      </c>
      <c r="I1662" s="187" t="n">
        <v>10.5</v>
      </c>
      <c r="J1662" s="187" t="inlineStr">
        <is>
          <t>NO</t>
        </is>
      </c>
      <c r="K1662" s="187" t="inlineStr">
        <is>
          <t>https://www.threatminer.org/domain.php?q=</t>
        </is>
      </c>
      <c r="L1662" s="187" t="inlineStr"/>
      <c r="M1662" s="187" t="inlineStr">
        <is>
          <t>Block domain</t>
        </is>
      </c>
      <c r="N1662" s="187" t="inlineStr">
        <is>
          <t>https://www.threatminer.org/domain.php?q=</t>
        </is>
      </c>
      <c r="O1662" s="187" t="inlineStr">
        <is>
          <t>Block domain  at DNS/firewall</t>
        </is>
      </c>
      <c r="P1662" s="187" t="inlineStr">
        <is>
          <t>DNS/Network</t>
        </is>
      </c>
      <c r="Q1662" s="187" t="inlineStr">
        <is>
          <t>P4</t>
        </is>
      </c>
      <c r="R1662" s="187" t="inlineStr">
        <is>
          <t>🔍 Investigate and apply appropriate controls</t>
        </is>
      </c>
      <c r="S1662" s="187" t="inlineStr">
        <is>
          <t>Domain IOC - check IP separately</t>
        </is>
      </c>
      <c r="T1662" s="187" t="n">
        <v>0</v>
      </c>
      <c r="U1662" s="187" t="n">
        <v>0</v>
      </c>
      <c r="V1662" s="187" t="inlineStr">
        <is>
          <t>T1071.001:Web Protocols | T1568:Dynamic Resolution</t>
        </is>
      </c>
      <c r="W1662" s="187" t="n">
        <v>1</v>
      </c>
      <c r="X1662" s="187" t="inlineStr">
        <is>
          <t>LOW (40%)</t>
        </is>
      </c>
      <c r="Y1662" s="187" t="inlineStr">
        <is>
          <t>NONE</t>
        </is>
      </c>
      <c r="Z1662" s="187" t="inlineStr">
        <is>
          <t>NONE</t>
        </is>
      </c>
      <c r="AA1662" s="187" t="inlineStr">
        <is>
          <t>NONE</t>
        </is>
      </c>
      <c r="AB1662" s="187" t="inlineStr">
        <is>
          <t>NONE</t>
        </is>
      </c>
      <c r="AC1662" s="187" t="n">
        <v>0</v>
      </c>
      <c r="AD1662" s="187" t="inlineStr"/>
    </row>
    <row r="1663">
      <c r="A1663" s="187" t="inlineStr">
        <is>
          <t>THREATMINER</t>
        </is>
      </c>
      <c r="B1663" s="187" t="inlineStr">
        <is>
          <t>d41d8cd98f00</t>
        </is>
      </c>
      <c r="C1663" s="187" t="inlineStr">
        <is>
          <t xml:space="preserve">Malicious domain:  | IP: 92.118.39.76 | Last seen: </t>
        </is>
      </c>
      <c r="D1663" s="187" t="n">
        <v>6.5</v>
      </c>
      <c r="E1663" s="187" t="inlineStr">
        <is>
          <t>MEDIUM</t>
        </is>
      </c>
      <c r="F1663" s="187" t="n">
        <v>2</v>
      </c>
      <c r="G1663" s="187" t="n">
        <v>2</v>
      </c>
      <c r="H1663" s="187" t="inlineStr">
        <is>
          <t>MEDIUM</t>
        </is>
      </c>
      <c r="I1663" s="187" t="n">
        <v>10.5</v>
      </c>
      <c r="J1663" s="187" t="inlineStr">
        <is>
          <t>NO</t>
        </is>
      </c>
      <c r="K1663" s="187" t="inlineStr">
        <is>
          <t>https://www.threatminer.org/domain.php?q=</t>
        </is>
      </c>
      <c r="L1663" s="187" t="inlineStr"/>
      <c r="M1663" s="187" t="inlineStr">
        <is>
          <t>Block domain</t>
        </is>
      </c>
      <c r="N1663" s="187" t="inlineStr">
        <is>
          <t>https://www.threatminer.org/domain.php?q=</t>
        </is>
      </c>
      <c r="O1663" s="187" t="inlineStr">
        <is>
          <t>Block domain  at DNS/firewall</t>
        </is>
      </c>
      <c r="P1663" s="187" t="inlineStr">
        <is>
          <t>DNS/Network</t>
        </is>
      </c>
      <c r="Q1663" s="187" t="inlineStr">
        <is>
          <t>P4</t>
        </is>
      </c>
      <c r="R1663" s="187" t="inlineStr">
        <is>
          <t>🔍 Investigate and apply appropriate controls</t>
        </is>
      </c>
      <c r="S1663" s="187" t="inlineStr">
        <is>
          <t>Domain IOC - check IP separately</t>
        </is>
      </c>
      <c r="T1663" s="187" t="n">
        <v>0</v>
      </c>
      <c r="U1663" s="187" t="n">
        <v>0</v>
      </c>
      <c r="V1663" s="187" t="inlineStr">
        <is>
          <t>T1071.001:Web Protocols | T1568:Dynamic Resolution</t>
        </is>
      </c>
      <c r="W1663" s="187" t="n">
        <v>1</v>
      </c>
      <c r="X1663" s="187" t="inlineStr">
        <is>
          <t>LOW (40%)</t>
        </is>
      </c>
      <c r="Y1663" s="187" t="inlineStr">
        <is>
          <t>NONE</t>
        </is>
      </c>
      <c r="Z1663" s="187" t="inlineStr">
        <is>
          <t>NONE</t>
        </is>
      </c>
      <c r="AA1663" s="187" t="inlineStr">
        <is>
          <t>NONE</t>
        </is>
      </c>
      <c r="AB1663" s="187" t="inlineStr">
        <is>
          <t>NONE</t>
        </is>
      </c>
      <c r="AC1663" s="187" t="n">
        <v>0</v>
      </c>
      <c r="AD1663" s="187" t="inlineStr"/>
    </row>
    <row r="1664">
      <c r="A1664" s="187" t="inlineStr">
        <is>
          <t>THREATMINER</t>
        </is>
      </c>
      <c r="B1664" s="187" t="inlineStr">
        <is>
          <t>d41d8cd98f00</t>
        </is>
      </c>
      <c r="C1664" s="187" t="inlineStr">
        <is>
          <t xml:space="preserve">Malicious domain:  | IP: 101.36.104.242 | Last seen: </t>
        </is>
      </c>
      <c r="D1664" s="187" t="n">
        <v>6.5</v>
      </c>
      <c r="E1664" s="187" t="inlineStr">
        <is>
          <t>MEDIUM</t>
        </is>
      </c>
      <c r="F1664" s="187" t="n">
        <v>2</v>
      </c>
      <c r="G1664" s="187" t="n">
        <v>2</v>
      </c>
      <c r="H1664" s="187" t="inlineStr">
        <is>
          <t>MEDIUM</t>
        </is>
      </c>
      <c r="I1664" s="187" t="n">
        <v>10.5</v>
      </c>
      <c r="J1664" s="187" t="inlineStr">
        <is>
          <t>NO</t>
        </is>
      </c>
      <c r="K1664" s="187" t="inlineStr">
        <is>
          <t>https://www.threatminer.org/domain.php?q=</t>
        </is>
      </c>
      <c r="L1664" s="187" t="inlineStr"/>
      <c r="M1664" s="187" t="inlineStr">
        <is>
          <t>Block domain</t>
        </is>
      </c>
      <c r="N1664" s="187" t="inlineStr">
        <is>
          <t>https://www.threatminer.org/domain.php?q=</t>
        </is>
      </c>
      <c r="O1664" s="187" t="inlineStr">
        <is>
          <t>Block domain  at DNS/firewall</t>
        </is>
      </c>
      <c r="P1664" s="187" t="inlineStr">
        <is>
          <t>DNS/Network</t>
        </is>
      </c>
      <c r="Q1664" s="187" t="inlineStr">
        <is>
          <t>P4</t>
        </is>
      </c>
      <c r="R1664" s="187" t="inlineStr">
        <is>
          <t>🔍 Investigate and apply appropriate controls</t>
        </is>
      </c>
      <c r="S1664" s="187" t="inlineStr">
        <is>
          <t>Domain IOC - check IP separately</t>
        </is>
      </c>
      <c r="T1664" s="187" t="n">
        <v>0</v>
      </c>
      <c r="U1664" s="187" t="n">
        <v>0</v>
      </c>
      <c r="V1664" s="187" t="inlineStr">
        <is>
          <t>T1071.001:Web Protocols | T1568:Dynamic Resolution</t>
        </is>
      </c>
      <c r="W1664" s="187" t="n">
        <v>1</v>
      </c>
      <c r="X1664" s="187" t="inlineStr">
        <is>
          <t>LOW (40%)</t>
        </is>
      </c>
      <c r="Y1664" s="187" t="inlineStr">
        <is>
          <t>NONE</t>
        </is>
      </c>
      <c r="Z1664" s="187" t="inlineStr">
        <is>
          <t>NONE</t>
        </is>
      </c>
      <c r="AA1664" s="187" t="inlineStr">
        <is>
          <t>NONE</t>
        </is>
      </c>
      <c r="AB1664" s="187" t="inlineStr">
        <is>
          <t>NONE</t>
        </is>
      </c>
      <c r="AC1664" s="187" t="n">
        <v>0</v>
      </c>
      <c r="AD1664" s="187" t="inlineStr"/>
    </row>
    <row r="1665">
      <c r="A1665" s="187" t="inlineStr">
        <is>
          <t>THREATMINER</t>
        </is>
      </c>
      <c r="B1665" s="187" t="inlineStr">
        <is>
          <t>d41d8cd98f00</t>
        </is>
      </c>
      <c r="C1665" s="187" t="inlineStr">
        <is>
          <t xml:space="preserve">Malicious domain:  | IP: 103.40.61.98 | Last seen: </t>
        </is>
      </c>
      <c r="D1665" s="187" t="n">
        <v>6.5</v>
      </c>
      <c r="E1665" s="187" t="inlineStr">
        <is>
          <t>MEDIUM</t>
        </is>
      </c>
      <c r="F1665" s="187" t="n">
        <v>2</v>
      </c>
      <c r="G1665" s="187" t="n">
        <v>2</v>
      </c>
      <c r="H1665" s="187" t="inlineStr">
        <is>
          <t>MEDIUM</t>
        </is>
      </c>
      <c r="I1665" s="187" t="n">
        <v>10.5</v>
      </c>
      <c r="J1665" s="187" t="inlineStr">
        <is>
          <t>NO</t>
        </is>
      </c>
      <c r="K1665" s="187" t="inlineStr">
        <is>
          <t>https://www.threatminer.org/domain.php?q=</t>
        </is>
      </c>
      <c r="L1665" s="187" t="inlineStr"/>
      <c r="M1665" s="187" t="inlineStr">
        <is>
          <t>Block domain</t>
        </is>
      </c>
      <c r="N1665" s="187" t="inlineStr">
        <is>
          <t>https://www.threatminer.org/domain.php?q=</t>
        </is>
      </c>
      <c r="O1665" s="187" t="inlineStr">
        <is>
          <t>Block domain  at DNS/firewall</t>
        </is>
      </c>
      <c r="P1665" s="187" t="inlineStr">
        <is>
          <t>DNS/Network</t>
        </is>
      </c>
      <c r="Q1665" s="187" t="inlineStr">
        <is>
          <t>P4</t>
        </is>
      </c>
      <c r="R1665" s="187" t="inlineStr">
        <is>
          <t>🔍 Investigate and apply appropriate controls</t>
        </is>
      </c>
      <c r="S1665" s="187" t="inlineStr">
        <is>
          <t>Domain IOC - check IP separately</t>
        </is>
      </c>
      <c r="T1665" s="187" t="n">
        <v>0</v>
      </c>
      <c r="U1665" s="187" t="n">
        <v>0</v>
      </c>
      <c r="V1665" s="187" t="inlineStr">
        <is>
          <t>T1071.001:Web Protocols | T1568:Dynamic Resolution</t>
        </is>
      </c>
      <c r="W1665" s="187" t="n">
        <v>1</v>
      </c>
      <c r="X1665" s="187" t="inlineStr">
        <is>
          <t>LOW (40%)</t>
        </is>
      </c>
      <c r="Y1665" s="187" t="inlineStr">
        <is>
          <t>NONE</t>
        </is>
      </c>
      <c r="Z1665" s="187" t="inlineStr">
        <is>
          <t>NONE</t>
        </is>
      </c>
      <c r="AA1665" s="187" t="inlineStr">
        <is>
          <t>NONE</t>
        </is>
      </c>
      <c r="AB1665" s="187" t="inlineStr">
        <is>
          <t>NONE</t>
        </is>
      </c>
      <c r="AC1665" s="187" t="n">
        <v>0</v>
      </c>
      <c r="AD1665" s="187" t="inlineStr"/>
    </row>
    <row r="1666">
      <c r="A1666" s="187" t="inlineStr">
        <is>
          <t>THREATMINER</t>
        </is>
      </c>
      <c r="B1666" s="187" t="inlineStr">
        <is>
          <t>d41d8cd98f00</t>
        </is>
      </c>
      <c r="C1666" s="187" t="inlineStr">
        <is>
          <t xml:space="preserve">Malicious domain:  | IP: 154.81.14.244 | Last seen: </t>
        </is>
      </c>
      <c r="D1666" s="187" t="n">
        <v>6.5</v>
      </c>
      <c r="E1666" s="187" t="inlineStr">
        <is>
          <t>MEDIUM</t>
        </is>
      </c>
      <c r="F1666" s="187" t="n">
        <v>2</v>
      </c>
      <c r="G1666" s="187" t="n">
        <v>2</v>
      </c>
      <c r="H1666" s="187" t="inlineStr">
        <is>
          <t>MEDIUM</t>
        </is>
      </c>
      <c r="I1666" s="187" t="n">
        <v>10.5</v>
      </c>
      <c r="J1666" s="187" t="inlineStr">
        <is>
          <t>NO</t>
        </is>
      </c>
      <c r="K1666" s="187" t="inlineStr">
        <is>
          <t>https://www.threatminer.org/domain.php?q=</t>
        </is>
      </c>
      <c r="L1666" s="187" t="inlineStr"/>
      <c r="M1666" s="187" t="inlineStr">
        <is>
          <t>Block domain</t>
        </is>
      </c>
      <c r="N1666" s="187" t="inlineStr">
        <is>
          <t>https://www.threatminer.org/domain.php?q=</t>
        </is>
      </c>
      <c r="O1666" s="187" t="inlineStr">
        <is>
          <t>Block domain  at DNS/firewall</t>
        </is>
      </c>
      <c r="P1666" s="187" t="inlineStr">
        <is>
          <t>DNS/Network</t>
        </is>
      </c>
      <c r="Q1666" s="187" t="inlineStr">
        <is>
          <t>P4</t>
        </is>
      </c>
      <c r="R1666" s="187" t="inlineStr">
        <is>
          <t>🔍 Investigate and apply appropriate controls</t>
        </is>
      </c>
      <c r="S1666" s="187" t="inlineStr">
        <is>
          <t>Domain IOC - check IP separately</t>
        </is>
      </c>
      <c r="T1666" s="187" t="n">
        <v>0</v>
      </c>
      <c r="U1666" s="187" t="n">
        <v>0</v>
      </c>
      <c r="V1666" s="187" t="inlineStr">
        <is>
          <t>T1071.001:Web Protocols | T1568:Dynamic Resolution</t>
        </is>
      </c>
      <c r="W1666" s="187" t="n">
        <v>1</v>
      </c>
      <c r="X1666" s="187" t="inlineStr">
        <is>
          <t>LOW (40%)</t>
        </is>
      </c>
      <c r="Y1666" s="187" t="inlineStr">
        <is>
          <t>NONE</t>
        </is>
      </c>
      <c r="Z1666" s="187" t="inlineStr">
        <is>
          <t>NONE</t>
        </is>
      </c>
      <c r="AA1666" s="187" t="inlineStr">
        <is>
          <t>NONE</t>
        </is>
      </c>
      <c r="AB1666" s="187" t="inlineStr">
        <is>
          <t>NONE</t>
        </is>
      </c>
      <c r="AC1666" s="187" t="n">
        <v>0</v>
      </c>
      <c r="AD1666" s="187" t="inlineStr"/>
    </row>
    <row r="1667">
      <c r="A1667" s="187" t="inlineStr">
        <is>
          <t>THREATMINER</t>
        </is>
      </c>
      <c r="B1667" s="187" t="inlineStr">
        <is>
          <t>d41d8cd98f00</t>
        </is>
      </c>
      <c r="C1667" s="187" t="inlineStr">
        <is>
          <t xml:space="preserve">Malicious domain:  | IP: 162.142.125.207 | Last seen: </t>
        </is>
      </c>
      <c r="D1667" s="187" t="n">
        <v>6.5</v>
      </c>
      <c r="E1667" s="187" t="inlineStr">
        <is>
          <t>MEDIUM</t>
        </is>
      </c>
      <c r="F1667" s="187" t="n">
        <v>2</v>
      </c>
      <c r="G1667" s="187" t="n">
        <v>2</v>
      </c>
      <c r="H1667" s="187" t="inlineStr">
        <is>
          <t>MEDIUM</t>
        </is>
      </c>
      <c r="I1667" s="187" t="n">
        <v>10.5</v>
      </c>
      <c r="J1667" s="187" t="inlineStr">
        <is>
          <t>NO</t>
        </is>
      </c>
      <c r="K1667" s="187" t="inlineStr">
        <is>
          <t>https://www.threatminer.org/domain.php?q=</t>
        </is>
      </c>
      <c r="L1667" s="187" t="inlineStr"/>
      <c r="M1667" s="187" t="inlineStr">
        <is>
          <t>Block domain</t>
        </is>
      </c>
      <c r="N1667" s="187" t="inlineStr">
        <is>
          <t>https://www.threatminer.org/domain.php?q=</t>
        </is>
      </c>
      <c r="O1667" s="187" t="inlineStr">
        <is>
          <t>Block domain  at DNS/firewall</t>
        </is>
      </c>
      <c r="P1667" s="187" t="inlineStr">
        <is>
          <t>DNS/Network</t>
        </is>
      </c>
      <c r="Q1667" s="187" t="inlineStr">
        <is>
          <t>P4</t>
        </is>
      </c>
      <c r="R1667" s="187" t="inlineStr">
        <is>
          <t>🔍 Investigate and apply appropriate controls</t>
        </is>
      </c>
      <c r="S1667" s="187" t="inlineStr">
        <is>
          <t>Domain IOC - check IP separately</t>
        </is>
      </c>
      <c r="T1667" s="187" t="n">
        <v>0</v>
      </c>
      <c r="U1667" s="187" t="n">
        <v>0</v>
      </c>
      <c r="V1667" s="187" t="inlineStr">
        <is>
          <t>T1071.001:Web Protocols | T1568:Dynamic Resolution</t>
        </is>
      </c>
      <c r="W1667" s="187" t="n">
        <v>1</v>
      </c>
      <c r="X1667" s="187" t="inlineStr">
        <is>
          <t>LOW (40%)</t>
        </is>
      </c>
      <c r="Y1667" s="187" t="inlineStr">
        <is>
          <t>NONE</t>
        </is>
      </c>
      <c r="Z1667" s="187" t="inlineStr">
        <is>
          <t>NONE</t>
        </is>
      </c>
      <c r="AA1667" s="187" t="inlineStr">
        <is>
          <t>NONE</t>
        </is>
      </c>
      <c r="AB1667" s="187" t="inlineStr">
        <is>
          <t>NONE</t>
        </is>
      </c>
      <c r="AC1667" s="187" t="n">
        <v>0</v>
      </c>
      <c r="AD1667" s="187" t="inlineStr"/>
    </row>
    <row r="1668">
      <c r="A1668" s="187" t="inlineStr">
        <is>
          <t>THREATMINER</t>
        </is>
      </c>
      <c r="B1668" s="187" t="inlineStr">
        <is>
          <t>d41d8cd98f00</t>
        </is>
      </c>
      <c r="C1668" s="187" t="inlineStr">
        <is>
          <t xml:space="preserve">Malicious domain:  | IP: 185.156.73.233 | Last seen: </t>
        </is>
      </c>
      <c r="D1668" s="187" t="n">
        <v>6.5</v>
      </c>
      <c r="E1668" s="187" t="inlineStr">
        <is>
          <t>MEDIUM</t>
        </is>
      </c>
      <c r="F1668" s="187" t="n">
        <v>2</v>
      </c>
      <c r="G1668" s="187" t="n">
        <v>2</v>
      </c>
      <c r="H1668" s="187" t="inlineStr">
        <is>
          <t>MEDIUM</t>
        </is>
      </c>
      <c r="I1668" s="187" t="n">
        <v>10.5</v>
      </c>
      <c r="J1668" s="187" t="inlineStr">
        <is>
          <t>NO</t>
        </is>
      </c>
      <c r="K1668" s="187" t="inlineStr">
        <is>
          <t>https://www.threatminer.org/domain.php?q=</t>
        </is>
      </c>
      <c r="L1668" s="187" t="inlineStr"/>
      <c r="M1668" s="187" t="inlineStr">
        <is>
          <t>Block domain</t>
        </is>
      </c>
      <c r="N1668" s="187" t="inlineStr">
        <is>
          <t>https://www.threatminer.org/domain.php?q=</t>
        </is>
      </c>
      <c r="O1668" s="187" t="inlineStr">
        <is>
          <t>Block domain  at DNS/firewall</t>
        </is>
      </c>
      <c r="P1668" s="187" t="inlineStr">
        <is>
          <t>DNS/Network</t>
        </is>
      </c>
      <c r="Q1668" s="187" t="inlineStr">
        <is>
          <t>P4</t>
        </is>
      </c>
      <c r="R1668" s="187" t="inlineStr">
        <is>
          <t>🔍 Investigate and apply appropriate controls</t>
        </is>
      </c>
      <c r="S1668" s="187" t="inlineStr">
        <is>
          <t>Domain IOC - check IP separately</t>
        </is>
      </c>
      <c r="T1668" s="187" t="n">
        <v>0</v>
      </c>
      <c r="U1668" s="187" t="n">
        <v>0</v>
      </c>
      <c r="V1668" s="187" t="inlineStr">
        <is>
          <t>T1071.001:Web Protocols | T1568:Dynamic Resolution</t>
        </is>
      </c>
      <c r="W1668" s="187" t="n">
        <v>1</v>
      </c>
      <c r="X1668" s="187" t="inlineStr">
        <is>
          <t>LOW (40%)</t>
        </is>
      </c>
      <c r="Y1668" s="187" t="inlineStr">
        <is>
          <t>NONE</t>
        </is>
      </c>
      <c r="Z1668" s="187" t="inlineStr">
        <is>
          <t>NONE</t>
        </is>
      </c>
      <c r="AA1668" s="187" t="inlineStr">
        <is>
          <t>NONE</t>
        </is>
      </c>
      <c r="AB1668" s="187" t="inlineStr">
        <is>
          <t>NONE</t>
        </is>
      </c>
      <c r="AC1668" s="187" t="n">
        <v>0</v>
      </c>
      <c r="AD1668" s="187" t="inlineStr"/>
    </row>
    <row r="1669">
      <c r="A1669" s="187" t="inlineStr">
        <is>
          <t>THREATMINER</t>
        </is>
      </c>
      <c r="B1669" s="187" t="inlineStr">
        <is>
          <t>d41d8cd98f00</t>
        </is>
      </c>
      <c r="C1669" s="187" t="inlineStr">
        <is>
          <t xml:space="preserve">Malicious domain:  | IP: 195.178.110.15 | Last seen: </t>
        </is>
      </c>
      <c r="D1669" s="187" t="n">
        <v>6.5</v>
      </c>
      <c r="E1669" s="187" t="inlineStr">
        <is>
          <t>MEDIUM</t>
        </is>
      </c>
      <c r="F1669" s="187" t="n">
        <v>2</v>
      </c>
      <c r="G1669" s="187" t="n">
        <v>2</v>
      </c>
      <c r="H1669" s="187" t="inlineStr">
        <is>
          <t>MEDIUM</t>
        </is>
      </c>
      <c r="I1669" s="187" t="n">
        <v>10.5</v>
      </c>
      <c r="J1669" s="187" t="inlineStr">
        <is>
          <t>NO</t>
        </is>
      </c>
      <c r="K1669" s="187" t="inlineStr">
        <is>
          <t>https://www.threatminer.org/domain.php?q=</t>
        </is>
      </c>
      <c r="L1669" s="187" t="inlineStr"/>
      <c r="M1669" s="187" t="inlineStr">
        <is>
          <t>Block domain</t>
        </is>
      </c>
      <c r="N1669" s="187" t="inlineStr">
        <is>
          <t>https://www.threatminer.org/domain.php?q=</t>
        </is>
      </c>
      <c r="O1669" s="187" t="inlineStr">
        <is>
          <t>Block domain  at DNS/firewall</t>
        </is>
      </c>
      <c r="P1669" s="187" t="inlineStr">
        <is>
          <t>DNS/Network</t>
        </is>
      </c>
      <c r="Q1669" s="187" t="inlineStr">
        <is>
          <t>P4</t>
        </is>
      </c>
      <c r="R1669" s="187" t="inlineStr">
        <is>
          <t>🔍 Investigate and apply appropriate controls</t>
        </is>
      </c>
      <c r="S1669" s="187" t="inlineStr">
        <is>
          <t>Domain IOC - check IP separately</t>
        </is>
      </c>
      <c r="T1669" s="187" t="n">
        <v>0</v>
      </c>
      <c r="U1669" s="187" t="n">
        <v>0</v>
      </c>
      <c r="V1669" s="187" t="inlineStr">
        <is>
          <t>T1071.001:Web Protocols | T1568:Dynamic Resolution</t>
        </is>
      </c>
      <c r="W1669" s="187" t="n">
        <v>1</v>
      </c>
      <c r="X1669" s="187" t="inlineStr">
        <is>
          <t>LOW (40%)</t>
        </is>
      </c>
      <c r="Y1669" s="187" t="inlineStr">
        <is>
          <t>NONE</t>
        </is>
      </c>
      <c r="Z1669" s="187" t="inlineStr">
        <is>
          <t>NONE</t>
        </is>
      </c>
      <c r="AA1669" s="187" t="inlineStr">
        <is>
          <t>NONE</t>
        </is>
      </c>
      <c r="AB1669" s="187" t="inlineStr">
        <is>
          <t>NONE</t>
        </is>
      </c>
      <c r="AC1669" s="187" t="n">
        <v>0</v>
      </c>
      <c r="AD1669" s="187" t="inlineStr"/>
    </row>
    <row r="1670">
      <c r="A1670" s="187" t="inlineStr">
        <is>
          <t>THREATMINER</t>
        </is>
      </c>
      <c r="B1670" s="187" t="inlineStr">
        <is>
          <t>d41d8cd98f00</t>
        </is>
      </c>
      <c r="C1670" s="187" t="inlineStr">
        <is>
          <t xml:space="preserve">Malicious domain:  | IP: 217.154.69.208 | Last seen: </t>
        </is>
      </c>
      <c r="D1670" s="187" t="n">
        <v>6.5</v>
      </c>
      <c r="E1670" s="187" t="inlineStr">
        <is>
          <t>MEDIUM</t>
        </is>
      </c>
      <c r="F1670" s="187" t="n">
        <v>2</v>
      </c>
      <c r="G1670" s="187" t="n">
        <v>2</v>
      </c>
      <c r="H1670" s="187" t="inlineStr">
        <is>
          <t>MEDIUM</t>
        </is>
      </c>
      <c r="I1670" s="187" t="n">
        <v>10.5</v>
      </c>
      <c r="J1670" s="187" t="inlineStr">
        <is>
          <t>NO</t>
        </is>
      </c>
      <c r="K1670" s="187" t="inlineStr">
        <is>
          <t>https://www.threatminer.org/domain.php?q=</t>
        </is>
      </c>
      <c r="L1670" s="187" t="inlineStr"/>
      <c r="M1670" s="187" t="inlineStr">
        <is>
          <t>Block domain</t>
        </is>
      </c>
      <c r="N1670" s="187" t="inlineStr">
        <is>
          <t>https://www.threatminer.org/domain.php?q=</t>
        </is>
      </c>
      <c r="O1670" s="187" t="inlineStr">
        <is>
          <t>Block domain  at DNS/firewall</t>
        </is>
      </c>
      <c r="P1670" s="187" t="inlineStr">
        <is>
          <t>DNS/Network</t>
        </is>
      </c>
      <c r="Q1670" s="187" t="inlineStr">
        <is>
          <t>P4</t>
        </is>
      </c>
      <c r="R1670" s="187" t="inlineStr">
        <is>
          <t>🔍 Investigate and apply appropriate controls</t>
        </is>
      </c>
      <c r="S1670" s="187" t="inlineStr">
        <is>
          <t>Domain IOC - check IP separately</t>
        </is>
      </c>
      <c r="T1670" s="187" t="n">
        <v>0</v>
      </c>
      <c r="U1670" s="187" t="n">
        <v>0</v>
      </c>
      <c r="V1670" s="187" t="inlineStr">
        <is>
          <t>T1071.001:Web Protocols | T1568:Dynamic Resolution</t>
        </is>
      </c>
      <c r="W1670" s="187" t="n">
        <v>1</v>
      </c>
      <c r="X1670" s="187" t="inlineStr">
        <is>
          <t>LOW (40%)</t>
        </is>
      </c>
      <c r="Y1670" s="187" t="inlineStr">
        <is>
          <t>NONE</t>
        </is>
      </c>
      <c r="Z1670" s="187" t="inlineStr">
        <is>
          <t>NONE</t>
        </is>
      </c>
      <c r="AA1670" s="187" t="inlineStr">
        <is>
          <t>NONE</t>
        </is>
      </c>
      <c r="AB1670" s="187" t="inlineStr">
        <is>
          <t>NONE</t>
        </is>
      </c>
      <c r="AC1670" s="187" t="n">
        <v>0</v>
      </c>
      <c r="AD1670" s="187" t="inlineStr"/>
    </row>
    <row r="1671">
      <c r="A1671" s="187" t="inlineStr">
        <is>
          <t>THREATMINER</t>
        </is>
      </c>
      <c r="B1671" s="187" t="inlineStr">
        <is>
          <t>d41d8cd98f00</t>
        </is>
      </c>
      <c r="C1671" s="187" t="inlineStr">
        <is>
          <t xml:space="preserve">Malicious domain:  | IP: 2.57.121.112 | Last seen: </t>
        </is>
      </c>
      <c r="D1671" s="187" t="n">
        <v>6.5</v>
      </c>
      <c r="E1671" s="187" t="inlineStr">
        <is>
          <t>MEDIUM</t>
        </is>
      </c>
      <c r="F1671" s="187" t="n">
        <v>2</v>
      </c>
      <c r="G1671" s="187" t="n">
        <v>2</v>
      </c>
      <c r="H1671" s="187" t="inlineStr">
        <is>
          <t>MEDIUM</t>
        </is>
      </c>
      <c r="I1671" s="187" t="n">
        <v>10.5</v>
      </c>
      <c r="J1671" s="187" t="inlineStr">
        <is>
          <t>NO</t>
        </is>
      </c>
      <c r="K1671" s="187" t="inlineStr">
        <is>
          <t>https://www.threatminer.org/domain.php?q=</t>
        </is>
      </c>
      <c r="L1671" s="187" t="inlineStr"/>
      <c r="M1671" s="187" t="inlineStr">
        <is>
          <t>Block domain</t>
        </is>
      </c>
      <c r="N1671" s="187" t="inlineStr">
        <is>
          <t>https://www.threatminer.org/domain.php?q=</t>
        </is>
      </c>
      <c r="O1671" s="187" t="inlineStr">
        <is>
          <t>Block domain  at DNS/firewall</t>
        </is>
      </c>
      <c r="P1671" s="187" t="inlineStr">
        <is>
          <t>DNS/Network</t>
        </is>
      </c>
      <c r="Q1671" s="187" t="inlineStr">
        <is>
          <t>P4</t>
        </is>
      </c>
      <c r="R1671" s="187" t="inlineStr">
        <is>
          <t>🔍 Investigate and apply appropriate controls</t>
        </is>
      </c>
      <c r="S1671" s="187" t="inlineStr">
        <is>
          <t>Domain IOC - check IP separately</t>
        </is>
      </c>
      <c r="T1671" s="187" t="n">
        <v>0</v>
      </c>
      <c r="U1671" s="187" t="n">
        <v>0</v>
      </c>
      <c r="V1671" s="187" t="inlineStr">
        <is>
          <t>T1071.001:Web Protocols | T1568:Dynamic Resolution</t>
        </is>
      </c>
      <c r="W1671" s="187" t="n">
        <v>1</v>
      </c>
      <c r="X1671" s="187" t="inlineStr">
        <is>
          <t>LOW (40%)</t>
        </is>
      </c>
      <c r="Y1671" s="187" t="inlineStr">
        <is>
          <t>NONE</t>
        </is>
      </c>
      <c r="Z1671" s="187" t="inlineStr">
        <is>
          <t>NONE</t>
        </is>
      </c>
      <c r="AA1671" s="187" t="inlineStr">
        <is>
          <t>NONE</t>
        </is>
      </c>
      <c r="AB1671" s="187" t="inlineStr">
        <is>
          <t>NONE</t>
        </is>
      </c>
      <c r="AC1671" s="187" t="n">
        <v>0</v>
      </c>
      <c r="AD1671" s="187" t="inlineStr"/>
    </row>
    <row r="1672">
      <c r="A1672" s="188" t="inlineStr">
        <is>
          <t>SHODAN_VULN</t>
        </is>
      </c>
      <c r="B1672" s="188" t="inlineStr">
        <is>
          <t>7270e450f7f1</t>
        </is>
      </c>
      <c r="C1672" s="188" t="inlineStr">
        <is>
          <t>InternetDB: 162.243.103.246 | Ports: 22, 80, 443, 8080 | wearoddball.com | CVE: CVE-2014-3470 | Tags: cloud</t>
        </is>
      </c>
      <c r="D1672" s="188" t="n">
        <v>7.5</v>
      </c>
      <c r="E1672" s="188" t="inlineStr">
        <is>
          <t>HIGH</t>
        </is>
      </c>
      <c r="F1672" s="188" t="n">
        <v>2</v>
      </c>
      <c r="G1672" s="188" t="n">
        <v>2</v>
      </c>
      <c r="H1672" s="188" t="inlineStr">
        <is>
          <t>MEDIUM</t>
        </is>
      </c>
      <c r="I1672" s="188" t="n">
        <v>11.5</v>
      </c>
      <c r="J1672" s="188" t="inlineStr">
        <is>
          <t>NO</t>
        </is>
      </c>
      <c r="K1672" s="188" t="inlineStr">
        <is>
          <t>https://www.shodan.io/host/162.243.103.246</t>
        </is>
      </c>
      <c r="L1672" s="188" t="inlineStr">
        <is>
          <t>2026-02-26 00:15</t>
        </is>
      </c>
      <c r="M1672" s="188" t="inlineStr">
        <is>
          <t>Apply patch and restrict exposed ports</t>
        </is>
      </c>
      <c r="N1672" s="188" t="inlineStr">
        <is>
          <t>https://www.shodan.io/host/162.243.103.246</t>
        </is>
      </c>
      <c r="O1672" s="188" t="inlineStr">
        <is>
          <t>Close or firewall port(s) 22, 80, 443, 8080 on 162.243.103.246</t>
        </is>
      </c>
      <c r="P1672" s="188" t="inlineStr">
        <is>
          <t>wearoddball.com</t>
        </is>
      </c>
      <c r="Q1672" s="188" t="inlineStr">
        <is>
          <t>P4</t>
        </is>
      </c>
      <c r="R1672" s="188" t="inlineStr">
        <is>
          <t>🔍 Investigate and apply appropriate controls</t>
        </is>
      </c>
      <c r="S1672" s="188" t="inlineStr">
        <is>
          <t>Shodan InternetDB — see ip-api.com context for scanner classification</t>
        </is>
      </c>
      <c r="T1672" s="188" t="n">
        <v>0</v>
      </c>
      <c r="U1672" s="188" t="n">
        <v>0</v>
      </c>
      <c r="V1672" s="188" t="inlineStr">
        <is>
          <t>T1190:Exploit Public-Facing Application | T1046:Network Service Discovery</t>
        </is>
      </c>
      <c r="W1672" s="188" t="n">
        <v>1</v>
      </c>
      <c r="X1672" s="188" t="inlineStr">
        <is>
          <t>LOW (40%)</t>
        </is>
      </c>
      <c r="Y1672" s="188" t="inlineStr">
        <is>
          <t>CHECK_VULNS</t>
        </is>
      </c>
      <c r="Z1672" s="188" t="inlineStr">
        <is>
          <t>Restrict access</t>
        </is>
      </c>
      <c r="AA1672" s="188" t="inlineStr">
        <is>
          <t>https://www.shodan.io/host/162.243.103.246</t>
        </is>
      </c>
      <c r="AB1672" s="188" t="inlineStr">
        <is>
          <t>NONE</t>
        </is>
      </c>
      <c r="AC1672" s="188" t="n">
        <v>0</v>
      </c>
      <c r="AD1672" s="188" t="inlineStr"/>
    </row>
    <row r="1673">
      <c r="A1673" s="188" t="inlineStr">
        <is>
          <t>SHODAN_VULN</t>
        </is>
      </c>
      <c r="B1673" s="188" t="inlineStr">
        <is>
          <t>ff59c7fe2f68</t>
        </is>
      </c>
      <c r="C1673" s="188" t="inlineStr">
        <is>
          <t>InternetDB: 162.243.103.246 | Ports: 22, 80, 443, 8080 | wearoddball.com | CVE: CVE-2014-2497 | Tags: cloud</t>
        </is>
      </c>
      <c r="D1673" s="188" t="n">
        <v>7.5</v>
      </c>
      <c r="E1673" s="188" t="inlineStr">
        <is>
          <t>HIGH</t>
        </is>
      </c>
      <c r="F1673" s="188" t="n">
        <v>2</v>
      </c>
      <c r="G1673" s="188" t="n">
        <v>2</v>
      </c>
      <c r="H1673" s="188" t="inlineStr">
        <is>
          <t>MEDIUM</t>
        </is>
      </c>
      <c r="I1673" s="188" t="n">
        <v>11.5</v>
      </c>
      <c r="J1673" s="188" t="inlineStr">
        <is>
          <t>NO</t>
        </is>
      </c>
      <c r="K1673" s="188" t="inlineStr">
        <is>
          <t>https://www.shodan.io/host/162.243.103.246</t>
        </is>
      </c>
      <c r="L1673" s="188" t="inlineStr">
        <is>
          <t>2026-02-26 00:15</t>
        </is>
      </c>
      <c r="M1673" s="188" t="inlineStr">
        <is>
          <t>Apply patch and restrict exposed ports</t>
        </is>
      </c>
      <c r="N1673" s="188" t="inlineStr">
        <is>
          <t>https://www.shodan.io/host/162.243.103.246</t>
        </is>
      </c>
      <c r="O1673" s="188" t="inlineStr">
        <is>
          <t>Close or firewall port(s) 22, 80, 443, 8080 on 162.243.103.246</t>
        </is>
      </c>
      <c r="P1673" s="188" t="inlineStr">
        <is>
          <t>wearoddball.com</t>
        </is>
      </c>
      <c r="Q1673" s="188" t="inlineStr">
        <is>
          <t>P4</t>
        </is>
      </c>
      <c r="R1673" s="188" t="inlineStr">
        <is>
          <t>🔍 Investigate and apply appropriate controls</t>
        </is>
      </c>
      <c r="S1673" s="188" t="inlineStr">
        <is>
          <t>Shodan InternetDB — see ip-api.com context for scanner classification</t>
        </is>
      </c>
      <c r="T1673" s="188" t="n">
        <v>0</v>
      </c>
      <c r="U1673" s="188" t="n">
        <v>0</v>
      </c>
      <c r="V1673" s="188" t="inlineStr">
        <is>
          <t>T1190:Exploit Public-Facing Application | T1046:Network Service Discovery</t>
        </is>
      </c>
      <c r="W1673" s="188" t="n">
        <v>1</v>
      </c>
      <c r="X1673" s="188" t="inlineStr">
        <is>
          <t>LOW (40%)</t>
        </is>
      </c>
      <c r="Y1673" s="188" t="inlineStr">
        <is>
          <t>CHECK_VULNS</t>
        </is>
      </c>
      <c r="Z1673" s="188" t="inlineStr">
        <is>
          <t>Restrict access</t>
        </is>
      </c>
      <c r="AA1673" s="188" t="inlineStr">
        <is>
          <t>https://www.shodan.io/host/162.243.103.246</t>
        </is>
      </c>
      <c r="AB1673" s="188" t="inlineStr">
        <is>
          <t>NONE</t>
        </is>
      </c>
      <c r="AC1673" s="188" t="n">
        <v>0</v>
      </c>
      <c r="AD1673" s="188" t="inlineStr"/>
    </row>
    <row r="1674">
      <c r="A1674" s="188" t="inlineStr">
        <is>
          <t>SHODAN_VULN</t>
        </is>
      </c>
      <c r="B1674" s="188" t="inlineStr">
        <is>
          <t>5551873c0fb5</t>
        </is>
      </c>
      <c r="C1674" s="188" t="inlineStr">
        <is>
          <t>InternetDB: 162.243.103.246 | Ports: 22, 80, 443, 8080 | wearoddball.com | CVE: CVE-2019-9641 | Tags: cloud</t>
        </is>
      </c>
      <c r="D1674" s="188" t="n">
        <v>7.5</v>
      </c>
      <c r="E1674" s="188" t="inlineStr">
        <is>
          <t>HIGH</t>
        </is>
      </c>
      <c r="F1674" s="188" t="n">
        <v>2</v>
      </c>
      <c r="G1674" s="188" t="n">
        <v>2</v>
      </c>
      <c r="H1674" s="188" t="inlineStr">
        <is>
          <t>MEDIUM</t>
        </is>
      </c>
      <c r="I1674" s="188" t="n">
        <v>11.5</v>
      </c>
      <c r="J1674" s="188" t="inlineStr">
        <is>
          <t>NO</t>
        </is>
      </c>
      <c r="K1674" s="188" t="inlineStr">
        <is>
          <t>https://www.shodan.io/host/162.243.103.246</t>
        </is>
      </c>
      <c r="L1674" s="188" t="inlineStr">
        <is>
          <t>2026-02-26 00:15</t>
        </is>
      </c>
      <c r="M1674" s="188" t="inlineStr">
        <is>
          <t>Apply patch and restrict exposed ports</t>
        </is>
      </c>
      <c r="N1674" s="188" t="inlineStr">
        <is>
          <t>https://www.shodan.io/host/162.243.103.246</t>
        </is>
      </c>
      <c r="O1674" s="188" t="inlineStr">
        <is>
          <t>Close or firewall port(s) 22, 80, 443, 8080 on 162.243.103.246</t>
        </is>
      </c>
      <c r="P1674" s="188" t="inlineStr">
        <is>
          <t>wearoddball.com</t>
        </is>
      </c>
      <c r="Q1674" s="188" t="inlineStr">
        <is>
          <t>P4</t>
        </is>
      </c>
      <c r="R1674" s="188" t="inlineStr">
        <is>
          <t>🔍 Investigate and apply appropriate controls</t>
        </is>
      </c>
      <c r="S1674" s="188" t="inlineStr">
        <is>
          <t>Shodan InternetDB — see ip-api.com context for scanner classification</t>
        </is>
      </c>
      <c r="T1674" s="188" t="n">
        <v>0</v>
      </c>
      <c r="U1674" s="188" t="n">
        <v>0</v>
      </c>
      <c r="V1674" s="188" t="inlineStr">
        <is>
          <t>T1190:Exploit Public-Facing Application | T1046:Network Service Discovery</t>
        </is>
      </c>
      <c r="W1674" s="188" t="n">
        <v>1</v>
      </c>
      <c r="X1674" s="188" t="inlineStr">
        <is>
          <t>LOW (40%)</t>
        </is>
      </c>
      <c r="Y1674" s="188" t="inlineStr">
        <is>
          <t>CHECK_VULNS</t>
        </is>
      </c>
      <c r="Z1674" s="188" t="inlineStr">
        <is>
          <t>Restrict access</t>
        </is>
      </c>
      <c r="AA1674" s="188" t="inlineStr">
        <is>
          <t>https://www.shodan.io/host/162.243.103.246</t>
        </is>
      </c>
      <c r="AB1674" s="188" t="inlineStr">
        <is>
          <t>NONE</t>
        </is>
      </c>
      <c r="AC1674" s="188" t="n">
        <v>0</v>
      </c>
      <c r="AD1674" s="188" t="inlineStr"/>
    </row>
    <row r="1675">
      <c r="A1675" s="187" t="inlineStr">
        <is>
          <t>SHODAN_VULN</t>
        </is>
      </c>
      <c r="B1675" s="187" t="inlineStr">
        <is>
          <t>f357a582e404</t>
        </is>
      </c>
      <c r="C1675" s="187" t="inlineStr">
        <is>
          <t>InternetDB: 178.62.3.223 | Ports: 22, 25, 53, 80, 443, 587, 993, 995 | box.nautadb.com | Tags: starttls, cloud</t>
        </is>
      </c>
      <c r="D1675" s="187" t="n">
        <v>5</v>
      </c>
      <c r="E1675" s="187" t="inlineStr">
        <is>
          <t>MEDIUM</t>
        </is>
      </c>
      <c r="F1675" s="187" t="n">
        <v>1</v>
      </c>
      <c r="G1675" s="187" t="n">
        <v>2</v>
      </c>
      <c r="H1675" s="187" t="inlineStr">
        <is>
          <t>LOW</t>
        </is>
      </c>
      <c r="I1675" s="187" t="n">
        <v>7</v>
      </c>
      <c r="J1675" s="187" t="inlineStr">
        <is>
          <t>NO</t>
        </is>
      </c>
      <c r="K1675" s="187" t="inlineStr">
        <is>
          <t>https://www.shodan.io/host/178.62.3.223</t>
        </is>
      </c>
      <c r="L1675" s="187" t="inlineStr">
        <is>
          <t>2026-02-26 00:15</t>
        </is>
      </c>
      <c r="M1675" s="187" t="inlineStr">
        <is>
          <t>Review and firewall exposed ports</t>
        </is>
      </c>
      <c r="N1675" s="187" t="inlineStr">
        <is>
          <t>https://www.shodan.io/host/178.62.3.223</t>
        </is>
      </c>
      <c r="O1675" s="187" t="inlineStr">
        <is>
          <t>Review and restrict port(s) 22, 25, 53, 80, 443, 587, 993, 995 on 178.62.3.223</t>
        </is>
      </c>
      <c r="P1675" s="187" t="inlineStr">
        <is>
          <t>box.nautadb.com</t>
        </is>
      </c>
      <c r="Q1675" s="187" t="inlineStr">
        <is>
          <t>P4</t>
        </is>
      </c>
      <c r="R1675" s="187" t="inlineStr">
        <is>
          <t>🔍 Investigate and apply appropriate controls</t>
        </is>
      </c>
      <c r="S1675" s="187" t="inlineStr">
        <is>
          <t>Shodan InternetDB — open ports, no known CVEs indexed</t>
        </is>
      </c>
      <c r="T1675" s="187" t="n">
        <v>0</v>
      </c>
      <c r="U1675" s="187" t="n">
        <v>0</v>
      </c>
      <c r="V1675" s="187" t="inlineStr">
        <is>
          <t>T1046:Network Service Discovery</t>
        </is>
      </c>
      <c r="W1675" s="187" t="n">
        <v>1</v>
      </c>
      <c r="X1675" s="187" t="inlineStr">
        <is>
          <t>LOW (40%)</t>
        </is>
      </c>
      <c r="Y1675" s="187" t="inlineStr">
        <is>
          <t>NONE</t>
        </is>
      </c>
      <c r="Z1675" s="187" t="inlineStr">
        <is>
          <t>Restrict access</t>
        </is>
      </c>
      <c r="AA1675" s="187" t="inlineStr">
        <is>
          <t>https://www.shodan.io/host/178.62.3.223</t>
        </is>
      </c>
      <c r="AB1675" s="187" t="inlineStr">
        <is>
          <t>NONE</t>
        </is>
      </c>
      <c r="AC1675" s="187" t="n">
        <v>0</v>
      </c>
      <c r="AD1675" s="187" t="inlineStr"/>
    </row>
    <row r="1676">
      <c r="A1676" s="187" t="inlineStr">
        <is>
          <t>SHODAN_VULN</t>
        </is>
      </c>
      <c r="B1676" s="187" t="inlineStr">
        <is>
          <t>126704e0a40b</t>
        </is>
      </c>
      <c r="C1676" s="187" t="inlineStr">
        <is>
          <t>InternetDB: 34.204.119.63 | Ports: 80, 443 | ec2-34-204-119-63.compute-1.amazonaws.com | Tags: cloud</t>
        </is>
      </c>
      <c r="D1676" s="187" t="n">
        <v>5</v>
      </c>
      <c r="E1676" s="187" t="inlineStr">
        <is>
          <t>MEDIUM</t>
        </is>
      </c>
      <c r="F1676" s="187" t="n">
        <v>1</v>
      </c>
      <c r="G1676" s="187" t="n">
        <v>2</v>
      </c>
      <c r="H1676" s="187" t="inlineStr">
        <is>
          <t>LOW</t>
        </is>
      </c>
      <c r="I1676" s="187" t="n">
        <v>7</v>
      </c>
      <c r="J1676" s="187" t="inlineStr">
        <is>
          <t>NO</t>
        </is>
      </c>
      <c r="K1676" s="187" t="inlineStr">
        <is>
          <t>https://www.shodan.io/host/34.204.119.63</t>
        </is>
      </c>
      <c r="L1676" s="187" t="inlineStr">
        <is>
          <t>2026-02-26 00:15</t>
        </is>
      </c>
      <c r="M1676" s="187" t="inlineStr">
        <is>
          <t>Review and firewall exposed ports</t>
        </is>
      </c>
      <c r="N1676" s="187" t="inlineStr">
        <is>
          <t>https://www.shodan.io/host/34.204.119.63</t>
        </is>
      </c>
      <c r="O1676" s="187" t="inlineStr">
        <is>
          <t>Review and restrict port(s) 80, 443 on 34.204.119.63</t>
        </is>
      </c>
      <c r="P1676" s="187" t="inlineStr">
        <is>
          <t>ec2-34-204-119-63.compute-1.amazonaws.com</t>
        </is>
      </c>
      <c r="Q1676" s="187" t="inlineStr">
        <is>
          <t>P4</t>
        </is>
      </c>
      <c r="R1676" s="187" t="inlineStr">
        <is>
          <t>🔍 Investigate and apply appropriate controls</t>
        </is>
      </c>
      <c r="S1676" s="187" t="inlineStr">
        <is>
          <t>Shodan InternetDB — open ports, no known CVEs indexed</t>
        </is>
      </c>
      <c r="T1676" s="187" t="n">
        <v>0</v>
      </c>
      <c r="U1676" s="187" t="n">
        <v>0</v>
      </c>
      <c r="V1676" s="187" t="inlineStr">
        <is>
          <t>T1046:Network Service Discovery</t>
        </is>
      </c>
      <c r="W1676" s="187" t="n">
        <v>1</v>
      </c>
      <c r="X1676" s="187" t="inlineStr">
        <is>
          <t>LOW (40%)</t>
        </is>
      </c>
      <c r="Y1676" s="187" t="inlineStr">
        <is>
          <t>NONE</t>
        </is>
      </c>
      <c r="Z1676" s="187" t="inlineStr">
        <is>
          <t>Restrict access</t>
        </is>
      </c>
      <c r="AA1676" s="187" t="inlineStr">
        <is>
          <t>https://www.shodan.io/host/34.204.119.63</t>
        </is>
      </c>
      <c r="AB1676" s="187" t="inlineStr">
        <is>
          <t>NONE</t>
        </is>
      </c>
      <c r="AC1676" s="187" t="n">
        <v>0</v>
      </c>
      <c r="AD1676" s="187" t="inlineStr"/>
    </row>
    <row r="1677">
      <c r="A1677" s="187" t="inlineStr">
        <is>
          <t>ABUSE_IP</t>
        </is>
      </c>
      <c r="B1677" s="187" t="inlineStr">
        <is>
          <t>dfd5770bda5f</t>
        </is>
      </c>
      <c r="C1677" s="187" t="inlineStr">
        <is>
          <t>Malicious IP: 185.177.72.23 | Country: FR | ISP: Unknown | Confidence: 100% | Sources: ABUSEIPDB</t>
        </is>
      </c>
      <c r="D1677" s="187" t="n">
        <v>6.5</v>
      </c>
      <c r="E1677" s="187" t="inlineStr">
        <is>
          <t>MEDIUM</t>
        </is>
      </c>
      <c r="F1677" s="187" t="n">
        <v>3</v>
      </c>
      <c r="G1677" s="187" t="n">
        <v>1</v>
      </c>
      <c r="H1677" s="187" t="inlineStr">
        <is>
          <t>MEDIUM</t>
        </is>
      </c>
      <c r="I1677" s="187" t="n">
        <v>9.5</v>
      </c>
      <c r="J1677" s="187" t="inlineStr">
        <is>
          <t>NO</t>
        </is>
      </c>
      <c r="K1677" s="187" t="inlineStr">
        <is>
          <t>https://www.abuseipdb.com/check/185.177.72.23</t>
        </is>
      </c>
      <c r="L1677" s="187" t="inlineStr">
        <is>
          <t>2026-02-25T18:17:02+00:00</t>
        </is>
      </c>
      <c r="M1677" s="187" t="inlineStr">
        <is>
          <t>Block IP</t>
        </is>
      </c>
      <c r="N1677" s="187" t="inlineStr">
        <is>
          <t>https://www.abuseipdb.com/check/185.177.72.23</t>
        </is>
      </c>
      <c r="O1677" s="187" t="inlineStr">
        <is>
          <t>Block IP 185.177.72.23 at firewall | Monitor for new reports</t>
        </is>
      </c>
      <c r="P1677" s="187" t="inlineStr">
        <is>
          <t>Firewall/Network</t>
        </is>
      </c>
      <c r="Q1677" s="187" t="inlineStr">
        <is>
          <t>P4</t>
        </is>
      </c>
      <c r="R1677" s="187" t="inlineStr">
        <is>
          <t>🚫 Block IP at firewall immediately | 🔍 Check logs for existing connections | 🛡️ Add to threat intelligence blocklist</t>
        </is>
      </c>
      <c r="S1677" s="187" t="inlineStr">
        <is>
          <t>Skipped (20/run cap)</t>
        </is>
      </c>
      <c r="T1677" s="187" t="n">
        <v>0</v>
      </c>
      <c r="U1677" s="187" t="n">
        <v>0</v>
      </c>
      <c r="V1677" s="187" t="inlineStr">
        <is>
          <t>T1110:Brute Force | T1078:Valid Accounts</t>
        </is>
      </c>
      <c r="W1677" s="187" t="n">
        <v>1</v>
      </c>
      <c r="X1677" s="187" t="inlineStr">
        <is>
          <t>LOW (40%)</t>
        </is>
      </c>
      <c r="Y1677" s="187" t="inlineStr">
        <is>
          <t>NONE</t>
        </is>
      </c>
      <c r="Z1677" s="187" t="inlineStr">
        <is>
          <t>NONE</t>
        </is>
      </c>
      <c r="AA1677" s="187" t="inlineStr">
        <is>
          <t>NONE</t>
        </is>
      </c>
      <c r="AB1677" s="187" t="inlineStr">
        <is>
          <t>NONE</t>
        </is>
      </c>
      <c r="AC1677" s="187" t="n">
        <v>0</v>
      </c>
      <c r="AD1677" s="187" t="inlineStr"/>
    </row>
    <row r="1678">
      <c r="A1678" s="187" t="inlineStr">
        <is>
          <t>ABUSE_IP</t>
        </is>
      </c>
      <c r="B1678" s="187" t="inlineStr">
        <is>
          <t>dd854949fc6c</t>
        </is>
      </c>
      <c r="C1678" s="187" t="inlineStr">
        <is>
          <t>Malicious IP: 147.45.126.28 | Country: PL | ISP: Unknown | Confidence: 100% | Sources: ABUSEIPDB</t>
        </is>
      </c>
      <c r="D1678" s="187" t="n">
        <v>6.5</v>
      </c>
      <c r="E1678" s="187" t="inlineStr">
        <is>
          <t>MEDIUM</t>
        </is>
      </c>
      <c r="F1678" s="187" t="n">
        <v>3</v>
      </c>
      <c r="G1678" s="187" t="n">
        <v>1</v>
      </c>
      <c r="H1678" s="187" t="inlineStr">
        <is>
          <t>MEDIUM</t>
        </is>
      </c>
      <c r="I1678" s="187" t="n">
        <v>9.5</v>
      </c>
      <c r="J1678" s="187" t="inlineStr">
        <is>
          <t>NO</t>
        </is>
      </c>
      <c r="K1678" s="187" t="inlineStr">
        <is>
          <t>https://www.abuseipdb.com/check/147.45.126.28</t>
        </is>
      </c>
      <c r="L1678" s="187" t="inlineStr">
        <is>
          <t>2026-02-25T18:17:01+00:00</t>
        </is>
      </c>
      <c r="M1678" s="187" t="inlineStr">
        <is>
          <t>Block IP</t>
        </is>
      </c>
      <c r="N1678" s="187" t="inlineStr">
        <is>
          <t>https://www.abuseipdb.com/check/147.45.126.28</t>
        </is>
      </c>
      <c r="O1678" s="187" t="inlineStr">
        <is>
          <t>Block IP 147.45.126.28 at firewall | Monitor for new reports</t>
        </is>
      </c>
      <c r="P1678" s="187" t="inlineStr">
        <is>
          <t>Firewall/Network</t>
        </is>
      </c>
      <c r="Q1678" s="187" t="inlineStr">
        <is>
          <t>P4</t>
        </is>
      </c>
      <c r="R1678" s="187" t="inlineStr">
        <is>
          <t>🚫 Block IP at firewall immediately | 🔍 Check logs for existing connections | 🛡️ Add to threat intelligence blocklist</t>
        </is>
      </c>
      <c r="S1678" s="187" t="inlineStr">
        <is>
          <t>🚨 MALICIOUS: Global Connectivity Solutions LLP | 🌍 Finland | Helsinki | 🏢 Global Connectivity Solutions LLP | ASN: AS215540 GLOBAL CONNECTIVITY SOLUTIONS LLP | 🚨 AbuseIPDB: 100% malicious (Data Center/Web Hosting/Transit)</t>
        </is>
      </c>
      <c r="T1678" s="187" t="n">
        <v>0</v>
      </c>
      <c r="U1678" s="187" t="n">
        <v>0</v>
      </c>
      <c r="V1678" s="187" t="inlineStr">
        <is>
          <t>T1110:Brute Force | T1078:Valid Accounts</t>
        </is>
      </c>
      <c r="W1678" s="187" t="n">
        <v>1</v>
      </c>
      <c r="X1678" s="187" t="inlineStr">
        <is>
          <t>LOW (40%)</t>
        </is>
      </c>
      <c r="Y1678" s="187" t="inlineStr">
        <is>
          <t>NONE</t>
        </is>
      </c>
      <c r="Z1678" s="187" t="inlineStr">
        <is>
          <t>NONE</t>
        </is>
      </c>
      <c r="AA1678" s="187" t="inlineStr">
        <is>
          <t>NONE</t>
        </is>
      </c>
      <c r="AB1678" s="187" t="inlineStr">
        <is>
          <t>NONE</t>
        </is>
      </c>
      <c r="AC1678" s="187" t="n">
        <v>0</v>
      </c>
      <c r="AD1678" s="187" t="inlineStr"/>
    </row>
    <row r="1679">
      <c r="A1679" s="187" t="inlineStr">
        <is>
          <t>ABUSE_IP</t>
        </is>
      </c>
      <c r="B1679" s="187" t="inlineStr">
        <is>
          <t>a0b2dfe63d7b</t>
        </is>
      </c>
      <c r="C1679" s="187" t="inlineStr">
        <is>
          <t>Malicious IP: 52.186.171.52 | Country: US | ISP: Unknown | Confidence: 100% | Sources: ABUSEIPDB</t>
        </is>
      </c>
      <c r="D1679" s="187" t="n">
        <v>6.5</v>
      </c>
      <c r="E1679" s="187" t="inlineStr">
        <is>
          <t>MEDIUM</t>
        </is>
      </c>
      <c r="F1679" s="187" t="n">
        <v>3</v>
      </c>
      <c r="G1679" s="187" t="n">
        <v>1</v>
      </c>
      <c r="H1679" s="187" t="inlineStr">
        <is>
          <t>MEDIUM</t>
        </is>
      </c>
      <c r="I1679" s="187" t="n">
        <v>9.5</v>
      </c>
      <c r="J1679" s="187" t="inlineStr">
        <is>
          <t>NO</t>
        </is>
      </c>
      <c r="K1679" s="187" t="inlineStr">
        <is>
          <t>https://www.abuseipdb.com/check/52.186.171.52</t>
        </is>
      </c>
      <c r="L1679" s="187" t="inlineStr">
        <is>
          <t>2026-02-25T18:17:01+00:00</t>
        </is>
      </c>
      <c r="M1679" s="187" t="inlineStr">
        <is>
          <t>Block IP</t>
        </is>
      </c>
      <c r="N1679" s="187" t="inlineStr">
        <is>
          <t>https://www.abuseipdb.com/check/52.186.171.52</t>
        </is>
      </c>
      <c r="O1679" s="187" t="inlineStr">
        <is>
          <t>Block IP 52.186.171.52 at firewall | Monitor for new reports</t>
        </is>
      </c>
      <c r="P1679" s="187" t="inlineStr">
        <is>
          <t>Firewall/Network</t>
        </is>
      </c>
      <c r="Q1679" s="187" t="inlineStr">
        <is>
          <t>P4</t>
        </is>
      </c>
      <c r="R1679" s="187" t="inlineStr">
        <is>
          <t>🚫 Block IP at firewall immediately | 🔍 Check logs for existing connections | 🛡️ Add to threat intelligence blocklist</t>
        </is>
      </c>
      <c r="S1679" s="187" t="inlineStr">
        <is>
          <t>🚨 MALICIOUS: Microsoft Azure Cloud (eastus) | 🌍 United States | Boydton | 🏢 Microsoft Azure Cloud (eastus) | ASN: AS8075 Microsoft Corporation | 🖥️ Hosting/DC | 🚨 AbuseIPDB: 100% malicious (Data Center/Web Hosting/Transit)</t>
        </is>
      </c>
      <c r="T1679" s="187" t="n">
        <v>0</v>
      </c>
      <c r="U1679" s="187" t="n">
        <v>0</v>
      </c>
      <c r="V1679" s="187" t="inlineStr">
        <is>
          <t>T1110:Brute Force | T1078:Valid Accounts</t>
        </is>
      </c>
      <c r="W1679" s="187" t="n">
        <v>1</v>
      </c>
      <c r="X1679" s="187" t="inlineStr">
        <is>
          <t>LOW (40%)</t>
        </is>
      </c>
      <c r="Y1679" s="187" t="inlineStr">
        <is>
          <t>NONE</t>
        </is>
      </c>
      <c r="Z1679" s="187" t="inlineStr">
        <is>
          <t>NONE</t>
        </is>
      </c>
      <c r="AA1679" s="187" t="inlineStr">
        <is>
          <t>NONE</t>
        </is>
      </c>
      <c r="AB1679" s="187" t="inlineStr">
        <is>
          <t>NONE</t>
        </is>
      </c>
      <c r="AC1679" s="187" t="n">
        <v>0</v>
      </c>
      <c r="AD1679" s="187" t="inlineStr"/>
    </row>
    <row r="1680">
      <c r="A1680" s="187" t="inlineStr">
        <is>
          <t>ABUSE_IP</t>
        </is>
      </c>
      <c r="B1680" s="187" t="inlineStr">
        <is>
          <t>5760f5b453f2</t>
        </is>
      </c>
      <c r="C1680" s="187" t="inlineStr">
        <is>
          <t>Malicious IP: 185.12.59.117 | Country: NO | ISP: Unknown | Confidence: 100% | Sources: ABUSEIPDB</t>
        </is>
      </c>
      <c r="D1680" s="187" t="n">
        <v>6.5</v>
      </c>
      <c r="E1680" s="187" t="inlineStr">
        <is>
          <t>MEDIUM</t>
        </is>
      </c>
      <c r="F1680" s="187" t="n">
        <v>3</v>
      </c>
      <c r="G1680" s="187" t="n">
        <v>1</v>
      </c>
      <c r="H1680" s="187" t="inlineStr">
        <is>
          <t>MEDIUM</t>
        </is>
      </c>
      <c r="I1680" s="187" t="n">
        <v>9.5</v>
      </c>
      <c r="J1680" s="187" t="inlineStr">
        <is>
          <t>NO</t>
        </is>
      </c>
      <c r="K1680" s="187" t="inlineStr">
        <is>
          <t>https://www.abuseipdb.com/check/185.12.59.117</t>
        </is>
      </c>
      <c r="L1680" s="187" t="inlineStr">
        <is>
          <t>2026-02-25T18:17:01+00:00</t>
        </is>
      </c>
      <c r="M1680" s="187" t="inlineStr">
        <is>
          <t>Block IP</t>
        </is>
      </c>
      <c r="N1680" s="187" t="inlineStr">
        <is>
          <t>https://www.abuseipdb.com/check/185.12.59.117</t>
        </is>
      </c>
      <c r="O1680" s="187" t="inlineStr">
        <is>
          <t>Block IP 185.12.59.117 at firewall | Monitor for new reports</t>
        </is>
      </c>
      <c r="P1680" s="187" t="inlineStr">
        <is>
          <t>Firewall/Network</t>
        </is>
      </c>
      <c r="Q1680" s="187" t="inlineStr">
        <is>
          <t>P4</t>
        </is>
      </c>
      <c r="R1680" s="187" t="inlineStr">
        <is>
          <t>🚫 Block IP at firewall immediately | 🔍 Check logs for existing connections | 🛡️ Add to threat intelligence blocklist</t>
        </is>
      </c>
      <c r="S1680" s="187" t="inlineStr">
        <is>
          <t>Skipped (20/run cap)</t>
        </is>
      </c>
      <c r="T1680" s="187" t="n">
        <v>0</v>
      </c>
      <c r="U1680" s="187" t="n">
        <v>0</v>
      </c>
      <c r="V1680" s="187" t="inlineStr">
        <is>
          <t>T1110:Brute Force | T1078:Valid Accounts</t>
        </is>
      </c>
      <c r="W1680" s="187" t="n">
        <v>1</v>
      </c>
      <c r="X1680" s="187" t="inlineStr">
        <is>
          <t>LOW (40%)</t>
        </is>
      </c>
      <c r="Y1680" s="187" t="inlineStr">
        <is>
          <t>NONE</t>
        </is>
      </c>
      <c r="Z1680" s="187" t="inlineStr">
        <is>
          <t>NONE</t>
        </is>
      </c>
      <c r="AA1680" s="187" t="inlineStr">
        <is>
          <t>NONE</t>
        </is>
      </c>
      <c r="AB1680" s="187" t="inlineStr">
        <is>
          <t>NONE</t>
        </is>
      </c>
      <c r="AC1680" s="187" t="n">
        <v>0</v>
      </c>
      <c r="AD1680" s="187" t="inlineStr"/>
    </row>
    <row r="1681">
      <c r="A1681" s="187" t="inlineStr">
        <is>
          <t>ABUSE_IP</t>
        </is>
      </c>
      <c r="B1681" s="187" t="inlineStr">
        <is>
          <t>6a92a3bd1ef4</t>
        </is>
      </c>
      <c r="C1681" s="187" t="inlineStr">
        <is>
          <t>Malicious IP: 34.158.168.101 | Country: NL | ISP: Unknown | Confidence: 100% | Sources: ABUSEIPDB</t>
        </is>
      </c>
      <c r="D1681" s="187" t="n">
        <v>6.5</v>
      </c>
      <c r="E1681" s="187" t="inlineStr">
        <is>
          <t>MEDIUM</t>
        </is>
      </c>
      <c r="F1681" s="187" t="n">
        <v>3</v>
      </c>
      <c r="G1681" s="187" t="n">
        <v>1</v>
      </c>
      <c r="H1681" s="187" t="inlineStr">
        <is>
          <t>MEDIUM</t>
        </is>
      </c>
      <c r="I1681" s="187" t="n">
        <v>9.5</v>
      </c>
      <c r="J1681" s="187" t="inlineStr">
        <is>
          <t>NO</t>
        </is>
      </c>
      <c r="K1681" s="187" t="inlineStr">
        <is>
          <t>https://www.abuseipdb.com/check/34.158.168.101</t>
        </is>
      </c>
      <c r="L1681" s="187" t="inlineStr">
        <is>
          <t>2026-02-25T18:17:01+00:00</t>
        </is>
      </c>
      <c r="M1681" s="187" t="inlineStr">
        <is>
          <t>Block IP</t>
        </is>
      </c>
      <c r="N1681" s="187" t="inlineStr">
        <is>
          <t>https://www.abuseipdb.com/check/34.158.168.101</t>
        </is>
      </c>
      <c r="O1681" s="187" t="inlineStr">
        <is>
          <t>Block IP 34.158.168.101 at firewall | Monitor for new reports</t>
        </is>
      </c>
      <c r="P1681" s="187" t="inlineStr">
        <is>
          <t>Firewall/Network</t>
        </is>
      </c>
      <c r="Q1681" s="187" t="inlineStr">
        <is>
          <t>P4</t>
        </is>
      </c>
      <c r="R1681" s="187" t="inlineStr">
        <is>
          <t>🚫 Block IP at firewall immediately | 🔍 Check logs for existing connections | 🛡️ Add to threat intelligence blocklist</t>
        </is>
      </c>
      <c r="S1681" s="187" t="inlineStr">
        <is>
          <t>Skipped (20/run cap)</t>
        </is>
      </c>
      <c r="T1681" s="187" t="n">
        <v>0</v>
      </c>
      <c r="U1681" s="187" t="n">
        <v>0</v>
      </c>
      <c r="V1681" s="187" t="inlineStr">
        <is>
          <t>T1110:Brute Force | T1078:Valid Accounts</t>
        </is>
      </c>
      <c r="W1681" s="187" t="n">
        <v>1</v>
      </c>
      <c r="X1681" s="187" t="inlineStr">
        <is>
          <t>LOW (40%)</t>
        </is>
      </c>
      <c r="Y1681" s="187" t="inlineStr">
        <is>
          <t>NONE</t>
        </is>
      </c>
      <c r="Z1681" s="187" t="inlineStr">
        <is>
          <t>NONE</t>
        </is>
      </c>
      <c r="AA1681" s="187" t="inlineStr">
        <is>
          <t>NONE</t>
        </is>
      </c>
      <c r="AB1681" s="187" t="inlineStr">
        <is>
          <t>NONE</t>
        </is>
      </c>
      <c r="AC1681" s="187" t="n">
        <v>0</v>
      </c>
      <c r="AD1681" s="187" t="inlineStr"/>
    </row>
    <row r="1682">
      <c r="A1682" s="187" t="inlineStr">
        <is>
          <t>ABUSE_IP</t>
        </is>
      </c>
      <c r="B1682" s="187" t="inlineStr">
        <is>
          <t>a81f664284be</t>
        </is>
      </c>
      <c r="C1682" s="187" t="inlineStr">
        <is>
          <t>Malicious IP: 205.198.89.246 | Country: JP | ISP: Unknown | Confidence: 100% | Sources: ABUSEIPDB</t>
        </is>
      </c>
      <c r="D1682" s="187" t="n">
        <v>6.5</v>
      </c>
      <c r="E1682" s="187" t="inlineStr">
        <is>
          <t>MEDIUM</t>
        </is>
      </c>
      <c r="F1682" s="187" t="n">
        <v>3</v>
      </c>
      <c r="G1682" s="187" t="n">
        <v>1</v>
      </c>
      <c r="H1682" s="187" t="inlineStr">
        <is>
          <t>MEDIUM</t>
        </is>
      </c>
      <c r="I1682" s="187" t="n">
        <v>9.5</v>
      </c>
      <c r="J1682" s="187" t="inlineStr">
        <is>
          <t>NO</t>
        </is>
      </c>
      <c r="K1682" s="187" t="inlineStr">
        <is>
          <t>https://www.abuseipdb.com/check/205.198.89.246</t>
        </is>
      </c>
      <c r="L1682" s="187" t="inlineStr">
        <is>
          <t>2026-02-25T18:17:01+00:00</t>
        </is>
      </c>
      <c r="M1682" s="187" t="inlineStr">
        <is>
          <t>Block IP</t>
        </is>
      </c>
      <c r="N1682" s="187" t="inlineStr">
        <is>
          <t>https://www.abuseipdb.com/check/205.198.89.246</t>
        </is>
      </c>
      <c r="O1682" s="187" t="inlineStr">
        <is>
          <t>Block IP 205.198.89.246 at firewall | Monitor for new reports</t>
        </is>
      </c>
      <c r="P1682" s="187" t="inlineStr">
        <is>
          <t>Firewall/Network</t>
        </is>
      </c>
      <c r="Q1682" s="187" t="inlineStr">
        <is>
          <t>P4</t>
        </is>
      </c>
      <c r="R1682" s="187" t="inlineStr">
        <is>
          <t>🚫 Block IP at firewall immediately | 🔍 Check logs for existing connections | 🛡️ Add to threat intelligence blocklist</t>
        </is>
      </c>
      <c r="S1682" s="187" t="inlineStr">
        <is>
          <t>Skipped (20/run cap)</t>
        </is>
      </c>
      <c r="T1682" s="187" t="n">
        <v>0</v>
      </c>
      <c r="U1682" s="187" t="n">
        <v>0</v>
      </c>
      <c r="V1682" s="187" t="inlineStr">
        <is>
          <t>T1110:Brute Force | T1078:Valid Accounts</t>
        </is>
      </c>
      <c r="W1682" s="187" t="n">
        <v>1</v>
      </c>
      <c r="X1682" s="187" t="inlineStr">
        <is>
          <t>LOW (40%)</t>
        </is>
      </c>
      <c r="Y1682" s="187" t="inlineStr">
        <is>
          <t>NONE</t>
        </is>
      </c>
      <c r="Z1682" s="187" t="inlineStr">
        <is>
          <t>NONE</t>
        </is>
      </c>
      <c r="AA1682" s="187" t="inlineStr">
        <is>
          <t>NONE</t>
        </is>
      </c>
      <c r="AB1682" s="187" t="inlineStr">
        <is>
          <t>NONE</t>
        </is>
      </c>
      <c r="AC1682" s="187" t="n">
        <v>0</v>
      </c>
      <c r="AD1682" s="187" t="inlineStr"/>
    </row>
    <row r="1683">
      <c r="A1683" s="187" t="inlineStr">
        <is>
          <t>ABUSE_IP</t>
        </is>
      </c>
      <c r="B1683" s="187" t="inlineStr">
        <is>
          <t>0db7d87cf57c</t>
        </is>
      </c>
      <c r="C1683" s="187" t="inlineStr">
        <is>
          <t>Malicious IP: 114.10.47.96 | Country: ID | ISP: Unknown | Confidence: 100% | Sources: ABUSEIPDB</t>
        </is>
      </c>
      <c r="D1683" s="187" t="n">
        <v>6.5</v>
      </c>
      <c r="E1683" s="187" t="inlineStr">
        <is>
          <t>MEDIUM</t>
        </is>
      </c>
      <c r="F1683" s="187" t="n">
        <v>3</v>
      </c>
      <c r="G1683" s="187" t="n">
        <v>1</v>
      </c>
      <c r="H1683" s="187" t="inlineStr">
        <is>
          <t>MEDIUM</t>
        </is>
      </c>
      <c r="I1683" s="187" t="n">
        <v>9.5</v>
      </c>
      <c r="J1683" s="187" t="inlineStr">
        <is>
          <t>NO</t>
        </is>
      </c>
      <c r="K1683" s="187" t="inlineStr">
        <is>
          <t>https://www.abuseipdb.com/check/114.10.47.96</t>
        </is>
      </c>
      <c r="L1683" s="187" t="inlineStr">
        <is>
          <t>2026-02-25T18:17:00+00:00</t>
        </is>
      </c>
      <c r="M1683" s="187" t="inlineStr">
        <is>
          <t>Block IP</t>
        </is>
      </c>
      <c r="N1683" s="187" t="inlineStr">
        <is>
          <t>https://www.abuseipdb.com/check/114.10.47.96</t>
        </is>
      </c>
      <c r="O1683" s="187" t="inlineStr">
        <is>
          <t>Block IP 114.10.47.96 at firewall | Monitor for new reports</t>
        </is>
      </c>
      <c r="P1683" s="187" t="inlineStr">
        <is>
          <t>Firewall/Network</t>
        </is>
      </c>
      <c r="Q1683" s="187" t="inlineStr">
        <is>
          <t>P4</t>
        </is>
      </c>
      <c r="R1683" s="187" t="inlineStr">
        <is>
          <t>🚫 Block IP at firewall immediately | 🔍 Check logs for existing connections | 🛡️ Add to threat intelligence blocklist</t>
        </is>
      </c>
      <c r="S1683" s="187" t="inlineStr">
        <is>
          <t>🚨 MALICIOUS: IOH B2B | 🌍 Indonesia | Surabaya | 🏢 IOH B2B | ASN: AS4761 INDOSAT Internet Network Provider | 🚨 AbuseIPDB: 100% malicious (Mobile ISP)</t>
        </is>
      </c>
      <c r="T1683" s="187" t="n">
        <v>0</v>
      </c>
      <c r="U1683" s="187" t="n">
        <v>0</v>
      </c>
      <c r="V1683" s="187" t="inlineStr">
        <is>
          <t>T1110:Brute Force | T1078:Valid Accounts</t>
        </is>
      </c>
      <c r="W1683" s="187" t="n">
        <v>1</v>
      </c>
      <c r="X1683" s="187" t="inlineStr">
        <is>
          <t>LOW (40%)</t>
        </is>
      </c>
      <c r="Y1683" s="187" t="inlineStr">
        <is>
          <t>NONE</t>
        </is>
      </c>
      <c r="Z1683" s="187" t="inlineStr">
        <is>
          <t>NONE</t>
        </is>
      </c>
      <c r="AA1683" s="187" t="inlineStr">
        <is>
          <t>NONE</t>
        </is>
      </c>
      <c r="AB1683" s="187" t="inlineStr">
        <is>
          <t>NONE</t>
        </is>
      </c>
      <c r="AC1683" s="187" t="n">
        <v>0</v>
      </c>
      <c r="AD1683" s="187" t="inlineStr"/>
    </row>
    <row r="1684">
      <c r="A1684" s="187" t="inlineStr">
        <is>
          <t>ABUSE_IP</t>
        </is>
      </c>
      <c r="B1684" s="187" t="inlineStr">
        <is>
          <t>1b6ce6521615</t>
        </is>
      </c>
      <c r="C1684" s="187" t="inlineStr">
        <is>
          <t>Malicious IP: 183.207.186.22 | Country: CN | ISP: Unknown | Confidence: 100% | Sources: ABUSEIPDB</t>
        </is>
      </c>
      <c r="D1684" s="187" t="n">
        <v>6.5</v>
      </c>
      <c r="E1684" s="187" t="inlineStr">
        <is>
          <t>MEDIUM</t>
        </is>
      </c>
      <c r="F1684" s="187" t="n">
        <v>3</v>
      </c>
      <c r="G1684" s="187" t="n">
        <v>1</v>
      </c>
      <c r="H1684" s="187" t="inlineStr">
        <is>
          <t>MEDIUM</t>
        </is>
      </c>
      <c r="I1684" s="187" t="n">
        <v>9.5</v>
      </c>
      <c r="J1684" s="187" t="inlineStr">
        <is>
          <t>NO</t>
        </is>
      </c>
      <c r="K1684" s="187" t="inlineStr">
        <is>
          <t>https://www.abuseipdb.com/check/183.207.186.22</t>
        </is>
      </c>
      <c r="L1684" s="187" t="inlineStr">
        <is>
          <t>2026-02-25T18:17:00+00:00</t>
        </is>
      </c>
      <c r="M1684" s="187" t="inlineStr">
        <is>
          <t>Block IP</t>
        </is>
      </c>
      <c r="N1684" s="187" t="inlineStr">
        <is>
          <t>https://www.abuseipdb.com/check/183.207.186.22</t>
        </is>
      </c>
      <c r="O1684" s="187" t="inlineStr">
        <is>
          <t>Block IP 183.207.186.22 at firewall | Monitor for new reports</t>
        </is>
      </c>
      <c r="P1684" s="187" t="inlineStr">
        <is>
          <t>Firewall/Network</t>
        </is>
      </c>
      <c r="Q1684" s="187" t="inlineStr">
        <is>
          <t>P4</t>
        </is>
      </c>
      <c r="R1684" s="187" t="inlineStr">
        <is>
          <t>🚫 Block IP at firewall immediately | 🔍 Check logs for existing connections | 🛡️ Add to threat intelligence blocklist</t>
        </is>
      </c>
      <c r="S1684" s="187" t="inlineStr">
        <is>
          <t>🚨 MALICIOUS: China Mobile Communications Corporation | 🌍 China | Nanjing | 🏢 China Mobile Communications Corporation | ASN: AS56046 China Mobile communications corporation | 🚨 AbuseIPDB: 100% malicious (Fixed Line ISP)</t>
        </is>
      </c>
      <c r="T1684" s="187" t="n">
        <v>0</v>
      </c>
      <c r="U1684" s="187" t="n">
        <v>0</v>
      </c>
      <c r="V1684" s="187" t="inlineStr">
        <is>
          <t>T1110:Brute Force | T1078:Valid Accounts</t>
        </is>
      </c>
      <c r="W1684" s="187" t="n">
        <v>1</v>
      </c>
      <c r="X1684" s="187" t="inlineStr">
        <is>
          <t>LOW (40%)</t>
        </is>
      </c>
      <c r="Y1684" s="187" t="inlineStr">
        <is>
          <t>NONE</t>
        </is>
      </c>
      <c r="Z1684" s="187" t="inlineStr">
        <is>
          <t>NONE</t>
        </is>
      </c>
      <c r="AA1684" s="187" t="inlineStr">
        <is>
          <t>NONE</t>
        </is>
      </c>
      <c r="AB1684" s="187" t="inlineStr">
        <is>
          <t>NONE</t>
        </is>
      </c>
      <c r="AC1684" s="187" t="n">
        <v>0</v>
      </c>
      <c r="AD1684" s="187" t="inlineStr"/>
    </row>
    <row r="1685">
      <c r="A1685" s="187" t="inlineStr">
        <is>
          <t>ABUSE_IP</t>
        </is>
      </c>
      <c r="B1685" s="187" t="inlineStr">
        <is>
          <t>d17f57d23cc8</t>
        </is>
      </c>
      <c r="C1685" s="187" t="inlineStr">
        <is>
          <t>Malicious IP: 176.65.148.95 | Country: NL | ISP: Unknown | Confidence: 100% | Sources: ABUSEIPDB</t>
        </is>
      </c>
      <c r="D1685" s="187" t="n">
        <v>6.5</v>
      </c>
      <c r="E1685" s="187" t="inlineStr">
        <is>
          <t>MEDIUM</t>
        </is>
      </c>
      <c r="F1685" s="187" t="n">
        <v>3</v>
      </c>
      <c r="G1685" s="187" t="n">
        <v>1</v>
      </c>
      <c r="H1685" s="187" t="inlineStr">
        <is>
          <t>MEDIUM</t>
        </is>
      </c>
      <c r="I1685" s="187" t="n">
        <v>9.5</v>
      </c>
      <c r="J1685" s="187" t="inlineStr">
        <is>
          <t>NO</t>
        </is>
      </c>
      <c r="K1685" s="187" t="inlineStr">
        <is>
          <t>https://www.abuseipdb.com/check/176.65.148.95</t>
        </is>
      </c>
      <c r="L1685" s="187" t="inlineStr">
        <is>
          <t>2026-02-25T18:17:00+00:00</t>
        </is>
      </c>
      <c r="M1685" s="187" t="inlineStr">
        <is>
          <t>Block IP</t>
        </is>
      </c>
      <c r="N1685" s="187" t="inlineStr">
        <is>
          <t>https://www.abuseipdb.com/check/176.65.148.95</t>
        </is>
      </c>
      <c r="O1685" s="187" t="inlineStr">
        <is>
          <t>Block IP 176.65.148.95 at firewall | Monitor for new reports</t>
        </is>
      </c>
      <c r="P1685" s="187" t="inlineStr">
        <is>
          <t>Firewall/Network</t>
        </is>
      </c>
      <c r="Q1685" s="187" t="inlineStr">
        <is>
          <t>P4</t>
        </is>
      </c>
      <c r="R1685" s="187" t="inlineStr">
        <is>
          <t>🚫 Block IP at firewall immediately | 🔍 Check logs for existing connections | 🛡️ Add to threat intelligence blocklist</t>
        </is>
      </c>
      <c r="S1685" s="187" t="inlineStr">
        <is>
          <t>🚨 MALICIOUS: Pfcloud UG | 🌍 Netherlands | Eygelshoven | 🏢 Pfcloud UG | ASN: AS51396 Pfcloud UG | 🚨 AbuseIPDB: 100% malicious (Data Center/Web Hosting/Transit)</t>
        </is>
      </c>
      <c r="T1685" s="187" t="n">
        <v>0</v>
      </c>
      <c r="U1685" s="187" t="n">
        <v>0</v>
      </c>
      <c r="V1685" s="187" t="inlineStr">
        <is>
          <t>T1110:Brute Force | T1078:Valid Accounts</t>
        </is>
      </c>
      <c r="W1685" s="187" t="n">
        <v>1</v>
      </c>
      <c r="X1685" s="187" t="inlineStr">
        <is>
          <t>LOW (40%)</t>
        </is>
      </c>
      <c r="Y1685" s="187" t="inlineStr">
        <is>
          <t>NONE</t>
        </is>
      </c>
      <c r="Z1685" s="187" t="inlineStr">
        <is>
          <t>NONE</t>
        </is>
      </c>
      <c r="AA1685" s="187" t="inlineStr">
        <is>
          <t>NONE</t>
        </is>
      </c>
      <c r="AB1685" s="187" t="inlineStr">
        <is>
          <t>NONE</t>
        </is>
      </c>
      <c r="AC1685" s="187" t="n">
        <v>0</v>
      </c>
      <c r="AD1685" s="187" t="inlineStr"/>
    </row>
    <row r="1686">
      <c r="A1686" s="187" t="inlineStr">
        <is>
          <t>ABUSE_IP</t>
        </is>
      </c>
      <c r="B1686" s="187" t="inlineStr">
        <is>
          <t>e2bc62306578</t>
        </is>
      </c>
      <c r="C1686" s="187" t="inlineStr">
        <is>
          <t>Malicious IP: 43.246.139.120 | Country: IN | ISP: Unknown | Confidence: 100% | Sources: ABUSEIPDB</t>
        </is>
      </c>
      <c r="D1686" s="187" t="n">
        <v>6.5</v>
      </c>
      <c r="E1686" s="187" t="inlineStr">
        <is>
          <t>MEDIUM</t>
        </is>
      </c>
      <c r="F1686" s="187" t="n">
        <v>3</v>
      </c>
      <c r="G1686" s="187" t="n">
        <v>1</v>
      </c>
      <c r="H1686" s="187" t="inlineStr">
        <is>
          <t>MEDIUM</t>
        </is>
      </c>
      <c r="I1686" s="187" t="n">
        <v>9.5</v>
      </c>
      <c r="J1686" s="187" t="inlineStr">
        <is>
          <t>NO</t>
        </is>
      </c>
      <c r="K1686" s="187" t="inlineStr">
        <is>
          <t>https://www.abuseipdb.com/check/43.246.139.120</t>
        </is>
      </c>
      <c r="L1686" s="187" t="inlineStr">
        <is>
          <t>2026-02-25T18:17:00+00:00</t>
        </is>
      </c>
      <c r="M1686" s="187" t="inlineStr">
        <is>
          <t>Block IP</t>
        </is>
      </c>
      <c r="N1686" s="187" t="inlineStr">
        <is>
          <t>https://www.abuseipdb.com/check/43.246.139.120</t>
        </is>
      </c>
      <c r="O1686" s="187" t="inlineStr">
        <is>
          <t>Block IP 43.246.139.120 at firewall | Monitor for new reports</t>
        </is>
      </c>
      <c r="P1686" s="187" t="inlineStr">
        <is>
          <t>Firewall/Network</t>
        </is>
      </c>
      <c r="Q1686" s="187" t="inlineStr">
        <is>
          <t>P4</t>
        </is>
      </c>
      <c r="R1686" s="187" t="inlineStr">
        <is>
          <t>🚫 Block IP at firewall immediately | 🔍 Check logs for existing connections | 🛡️ Add to threat intelligence blocklist</t>
        </is>
      </c>
      <c r="S1686" s="187" t="inlineStr">
        <is>
          <t>🚨 MALICIOUS: Airdesign Broadcast Media Pvt Ltd | 🌍 India | Coimbatore | 🏢 Airdesign Broadcast Media Pvt Ltd | ASN: AS134326 Airdesign Broadcast Media Pvt Ltd | 🚨 AbuseIPDB: 100% malicious (Fixed Line ISP)</t>
        </is>
      </c>
      <c r="T1686" s="187" t="n">
        <v>0</v>
      </c>
      <c r="U1686" s="187" t="n">
        <v>0</v>
      </c>
      <c r="V1686" s="187" t="inlineStr">
        <is>
          <t>T1110:Brute Force | T1078:Valid Accounts</t>
        </is>
      </c>
      <c r="W1686" s="187" t="n">
        <v>1</v>
      </c>
      <c r="X1686" s="187" t="inlineStr">
        <is>
          <t>LOW (40%)</t>
        </is>
      </c>
      <c r="Y1686" s="187" t="inlineStr">
        <is>
          <t>NONE</t>
        </is>
      </c>
      <c r="Z1686" s="187" t="inlineStr">
        <is>
          <t>NONE</t>
        </is>
      </c>
      <c r="AA1686" s="187" t="inlineStr">
        <is>
          <t>NONE</t>
        </is>
      </c>
      <c r="AB1686" s="187" t="inlineStr">
        <is>
          <t>NONE</t>
        </is>
      </c>
      <c r="AC1686" s="187" t="n">
        <v>0</v>
      </c>
      <c r="AD1686" s="187" t="inlineStr"/>
    </row>
    <row r="1687">
      <c r="A1687" s="187" t="inlineStr">
        <is>
          <t>ABUSE_IP</t>
        </is>
      </c>
      <c r="B1687" s="187" t="inlineStr">
        <is>
          <t>b0a16e0aaeba</t>
        </is>
      </c>
      <c r="C1687" s="187" t="inlineStr">
        <is>
          <t>Malicious IP: 185.208.159.129 | Country: CH | ISP: Unknown | Confidence: 100% | Sources: ABUSEIPDB</t>
        </is>
      </c>
      <c r="D1687" s="187" t="n">
        <v>6.5</v>
      </c>
      <c r="E1687" s="187" t="inlineStr">
        <is>
          <t>MEDIUM</t>
        </is>
      </c>
      <c r="F1687" s="187" t="n">
        <v>3</v>
      </c>
      <c r="G1687" s="187" t="n">
        <v>1</v>
      </c>
      <c r="H1687" s="187" t="inlineStr">
        <is>
          <t>MEDIUM</t>
        </is>
      </c>
      <c r="I1687" s="187" t="n">
        <v>9.5</v>
      </c>
      <c r="J1687" s="187" t="inlineStr">
        <is>
          <t>NO</t>
        </is>
      </c>
      <c r="K1687" s="187" t="inlineStr">
        <is>
          <t>https://www.abuseipdb.com/check/185.208.159.129</t>
        </is>
      </c>
      <c r="L1687" s="187" t="inlineStr">
        <is>
          <t>2026-02-25T18:17:00+00:00</t>
        </is>
      </c>
      <c r="M1687" s="187" t="inlineStr">
        <is>
          <t>Block IP</t>
        </is>
      </c>
      <c r="N1687" s="187" t="inlineStr">
        <is>
          <t>https://www.abuseipdb.com/check/185.208.159.129</t>
        </is>
      </c>
      <c r="O1687" s="187" t="inlineStr">
        <is>
          <t>Block IP 185.208.159.129 at firewall | Monitor for new reports</t>
        </is>
      </c>
      <c r="P1687" s="187" t="inlineStr">
        <is>
          <t>Firewall/Network</t>
        </is>
      </c>
      <c r="Q1687" s="187" t="inlineStr">
        <is>
          <t>P4</t>
        </is>
      </c>
      <c r="R1687" s="187" t="inlineStr">
        <is>
          <t>🚫 Block IP at firewall immediately | 🔍 Check logs for existing connections | 🛡️ Add to threat intelligence blocklist</t>
        </is>
      </c>
      <c r="S1687" s="187" t="inlineStr">
        <is>
          <t>Skipped (20/run cap)</t>
        </is>
      </c>
      <c r="T1687" s="187" t="n">
        <v>0</v>
      </c>
      <c r="U1687" s="187" t="n">
        <v>0</v>
      </c>
      <c r="V1687" s="187" t="inlineStr">
        <is>
          <t>T1110:Brute Force | T1078:Valid Accounts</t>
        </is>
      </c>
      <c r="W1687" s="187" t="n">
        <v>1</v>
      </c>
      <c r="X1687" s="187" t="inlineStr">
        <is>
          <t>LOW (40%)</t>
        </is>
      </c>
      <c r="Y1687" s="187" t="inlineStr">
        <is>
          <t>NONE</t>
        </is>
      </c>
      <c r="Z1687" s="187" t="inlineStr">
        <is>
          <t>NONE</t>
        </is>
      </c>
      <c r="AA1687" s="187" t="inlineStr">
        <is>
          <t>NONE</t>
        </is>
      </c>
      <c r="AB1687" s="187" t="inlineStr">
        <is>
          <t>NONE</t>
        </is>
      </c>
      <c r="AC1687" s="187" t="n">
        <v>0</v>
      </c>
      <c r="AD1687" s="187" t="inlineStr"/>
    </row>
    <row r="1688">
      <c r="A1688" s="187" t="inlineStr">
        <is>
          <t>ABUSE_IP</t>
        </is>
      </c>
      <c r="B1688" s="187" t="inlineStr">
        <is>
          <t>d685a8e17881</t>
        </is>
      </c>
      <c r="C1688" s="187" t="inlineStr">
        <is>
          <t>Malicious IP: 103.97.135.244 | Country: VN | ISP: Unknown | Confidence: 100% | Sources: ABUSEIPDB</t>
        </is>
      </c>
      <c r="D1688" s="187" t="n">
        <v>6.5</v>
      </c>
      <c r="E1688" s="187" t="inlineStr">
        <is>
          <t>MEDIUM</t>
        </is>
      </c>
      <c r="F1688" s="187" t="n">
        <v>3</v>
      </c>
      <c r="G1688" s="187" t="n">
        <v>1</v>
      </c>
      <c r="H1688" s="187" t="inlineStr">
        <is>
          <t>MEDIUM</t>
        </is>
      </c>
      <c r="I1688" s="187" t="n">
        <v>9.5</v>
      </c>
      <c r="J1688" s="187" t="inlineStr">
        <is>
          <t>NO</t>
        </is>
      </c>
      <c r="K1688" s="187" t="inlineStr">
        <is>
          <t>https://www.abuseipdb.com/check/103.97.135.244</t>
        </is>
      </c>
      <c r="L1688" s="187" t="inlineStr">
        <is>
          <t>2026-02-25T18:17:00+00:00</t>
        </is>
      </c>
      <c r="M1688" s="187" t="inlineStr">
        <is>
          <t>Block IP</t>
        </is>
      </c>
      <c r="N1688" s="187" t="inlineStr">
        <is>
          <t>https://www.abuseipdb.com/check/103.97.135.244</t>
        </is>
      </c>
      <c r="O1688" s="187" t="inlineStr">
        <is>
          <t>Block IP 103.97.135.244 at firewall | Monitor for new reports</t>
        </is>
      </c>
      <c r="P1688" s="187" t="inlineStr">
        <is>
          <t>Firewall/Network</t>
        </is>
      </c>
      <c r="Q1688" s="187" t="inlineStr">
        <is>
          <t>P4</t>
        </is>
      </c>
      <c r="R1688" s="187" t="inlineStr">
        <is>
          <t>🚫 Block IP at firewall immediately | 🔍 Check logs for existing connections | 🛡️ Add to threat intelligence blocklist</t>
        </is>
      </c>
      <c r="S1688" s="187" t="inlineStr">
        <is>
          <t>Skipped (20/run cap)</t>
        </is>
      </c>
      <c r="T1688" s="187" t="n">
        <v>0</v>
      </c>
      <c r="U1688" s="187" t="n">
        <v>0</v>
      </c>
      <c r="V1688" s="187" t="inlineStr">
        <is>
          <t>T1110:Brute Force | T1078:Valid Accounts</t>
        </is>
      </c>
      <c r="W1688" s="187" t="n">
        <v>1</v>
      </c>
      <c r="X1688" s="187" t="inlineStr">
        <is>
          <t>LOW (40%)</t>
        </is>
      </c>
      <c r="Y1688" s="187" t="inlineStr">
        <is>
          <t>NONE</t>
        </is>
      </c>
      <c r="Z1688" s="187" t="inlineStr">
        <is>
          <t>NONE</t>
        </is>
      </c>
      <c r="AA1688" s="187" t="inlineStr">
        <is>
          <t>NONE</t>
        </is>
      </c>
      <c r="AB1688" s="187" t="inlineStr">
        <is>
          <t>NONE</t>
        </is>
      </c>
      <c r="AC1688" s="187" t="n">
        <v>0</v>
      </c>
      <c r="AD1688" s="187" t="inlineStr"/>
    </row>
    <row r="1689">
      <c r="A1689" s="187" t="inlineStr">
        <is>
          <t>ABUSE_IP</t>
        </is>
      </c>
      <c r="B1689" s="187" t="inlineStr">
        <is>
          <t>723e9092accf</t>
        </is>
      </c>
      <c r="C1689" s="187" t="inlineStr">
        <is>
          <t>Malicious IP: 92.118.39.63 | Country: RO | ISP: Unknown | Confidence: 100% | Sources: ABUSEIPDB</t>
        </is>
      </c>
      <c r="D1689" s="187" t="n">
        <v>6.5</v>
      </c>
      <c r="E1689" s="187" t="inlineStr">
        <is>
          <t>MEDIUM</t>
        </is>
      </c>
      <c r="F1689" s="187" t="n">
        <v>3</v>
      </c>
      <c r="G1689" s="187" t="n">
        <v>1</v>
      </c>
      <c r="H1689" s="187" t="inlineStr">
        <is>
          <t>MEDIUM</t>
        </is>
      </c>
      <c r="I1689" s="187" t="n">
        <v>9.5</v>
      </c>
      <c r="J1689" s="187" t="inlineStr">
        <is>
          <t>NO</t>
        </is>
      </c>
      <c r="K1689" s="187" t="inlineStr">
        <is>
          <t>https://www.abuseipdb.com/check/92.118.39.63</t>
        </is>
      </c>
      <c r="L1689" s="187" t="inlineStr">
        <is>
          <t>2026-02-25T18:17:00+00:00</t>
        </is>
      </c>
      <c r="M1689" s="187" t="inlineStr">
        <is>
          <t>Block IP</t>
        </is>
      </c>
      <c r="N1689" s="187" t="inlineStr">
        <is>
          <t>https://www.abuseipdb.com/check/92.118.39.63</t>
        </is>
      </c>
      <c r="O1689" s="187" t="inlineStr">
        <is>
          <t>Block IP 92.118.39.63 at firewall | Monitor for new reports</t>
        </is>
      </c>
      <c r="P1689" s="187" t="inlineStr">
        <is>
          <t>Firewall/Network</t>
        </is>
      </c>
      <c r="Q1689" s="187" t="inlineStr">
        <is>
          <t>P4</t>
        </is>
      </c>
      <c r="R1689" s="187" t="inlineStr">
        <is>
          <t>🚫 Block IP at firewall immediately | 🔍 Check logs for existing connections | 🛡️ Add to threat intelligence blocklist</t>
        </is>
      </c>
      <c r="S1689" s="187" t="inlineStr">
        <is>
          <t>Skipped (20/run cap)</t>
        </is>
      </c>
      <c r="T1689" s="187" t="n">
        <v>0</v>
      </c>
      <c r="U1689" s="187" t="n">
        <v>0</v>
      </c>
      <c r="V1689" s="187" t="inlineStr">
        <is>
          <t>T1110:Brute Force | T1078:Valid Accounts</t>
        </is>
      </c>
      <c r="W1689" s="187" t="n">
        <v>1</v>
      </c>
      <c r="X1689" s="187" t="inlineStr">
        <is>
          <t>LOW (40%)</t>
        </is>
      </c>
      <c r="Y1689" s="187" t="inlineStr">
        <is>
          <t>NONE</t>
        </is>
      </c>
      <c r="Z1689" s="187" t="inlineStr">
        <is>
          <t>NONE</t>
        </is>
      </c>
      <c r="AA1689" s="187" t="inlineStr">
        <is>
          <t>NONE</t>
        </is>
      </c>
      <c r="AB1689" s="187" t="inlineStr">
        <is>
          <t>NONE</t>
        </is>
      </c>
      <c r="AC1689" s="187" t="n">
        <v>0</v>
      </c>
      <c r="AD1689" s="187" t="inlineStr"/>
    </row>
    <row r="1690">
      <c r="A1690" s="187" t="inlineStr">
        <is>
          <t>ABUSE_IP</t>
        </is>
      </c>
      <c r="B1690" s="187" t="inlineStr">
        <is>
          <t>755123ad66e5</t>
        </is>
      </c>
      <c r="C1690" s="187" t="inlineStr">
        <is>
          <t>Malicious IP: 20.198.0.58 | Country: IN | ISP: Unknown | Confidence: 100% | Sources: ABUSEIPDB</t>
        </is>
      </c>
      <c r="D1690" s="187" t="n">
        <v>6.5</v>
      </c>
      <c r="E1690" s="187" t="inlineStr">
        <is>
          <t>MEDIUM</t>
        </is>
      </c>
      <c r="F1690" s="187" t="n">
        <v>3</v>
      </c>
      <c r="G1690" s="187" t="n">
        <v>1</v>
      </c>
      <c r="H1690" s="187" t="inlineStr">
        <is>
          <t>MEDIUM</t>
        </is>
      </c>
      <c r="I1690" s="187" t="n">
        <v>9.5</v>
      </c>
      <c r="J1690" s="187" t="inlineStr">
        <is>
          <t>NO</t>
        </is>
      </c>
      <c r="K1690" s="187" t="inlineStr">
        <is>
          <t>https://www.abuseipdb.com/check/20.198.0.58</t>
        </is>
      </c>
      <c r="L1690" s="187" t="inlineStr">
        <is>
          <t>2026-02-25T18:16:59+00:00</t>
        </is>
      </c>
      <c r="M1690" s="187" t="inlineStr">
        <is>
          <t>Block IP</t>
        </is>
      </c>
      <c r="N1690" s="187" t="inlineStr">
        <is>
          <t>https://www.abuseipdb.com/check/20.198.0.58</t>
        </is>
      </c>
      <c r="O1690" s="187" t="inlineStr">
        <is>
          <t>Block IP 20.198.0.58 at firewall | Monitor for new reports</t>
        </is>
      </c>
      <c r="P1690" s="187" t="inlineStr">
        <is>
          <t>Firewall/Network</t>
        </is>
      </c>
      <c r="Q1690" s="187" t="inlineStr">
        <is>
          <t>P4</t>
        </is>
      </c>
      <c r="R1690" s="187" t="inlineStr">
        <is>
          <t>🚫 Block IP at firewall immediately | 🔍 Check logs for existing connections | 🛡️ Add to threat intelligence blocklist</t>
        </is>
      </c>
      <c r="S1690" s="187" t="inlineStr">
        <is>
          <t>🚨 MALICIOUS: Microsoft Azure Cloud (centralindia) | 🌍 India | Pune | 🏢 Microsoft Azure Cloud (centralindia) | ASN: AS8075 Microsoft Corporation | 🖥️ Hosting/DC | 🚨 AbuseIPDB: 100% malicious (Data Center/Web Hosting/Transit)</t>
        </is>
      </c>
      <c r="T1690" s="187" t="n">
        <v>0</v>
      </c>
      <c r="U1690" s="187" t="n">
        <v>0</v>
      </c>
      <c r="V1690" s="187" t="inlineStr">
        <is>
          <t>T1110:Brute Force | T1078:Valid Accounts</t>
        </is>
      </c>
      <c r="W1690" s="187" t="n">
        <v>1</v>
      </c>
      <c r="X1690" s="187" t="inlineStr">
        <is>
          <t>LOW (40%)</t>
        </is>
      </c>
      <c r="Y1690" s="187" t="inlineStr">
        <is>
          <t>NONE</t>
        </is>
      </c>
      <c r="Z1690" s="187" t="inlineStr">
        <is>
          <t>NONE</t>
        </is>
      </c>
      <c r="AA1690" s="187" t="inlineStr">
        <is>
          <t>NONE</t>
        </is>
      </c>
      <c r="AB1690" s="187" t="inlineStr">
        <is>
          <t>NONE</t>
        </is>
      </c>
      <c r="AC1690" s="187" t="n">
        <v>0</v>
      </c>
      <c r="AD1690" s="187" t="inlineStr"/>
    </row>
    <row r="1691">
      <c r="A1691" s="187" t="inlineStr">
        <is>
          <t>ABUSE_IP</t>
        </is>
      </c>
      <c r="B1691" s="187" t="inlineStr">
        <is>
          <t>4790a7c771b9</t>
        </is>
      </c>
      <c r="C1691" s="187" t="inlineStr">
        <is>
          <t>Malicious IP: 195.178.110.187 | Country: NL | ISP: Unknown | Confidence: 100% | Sources: ABUSEIPDB</t>
        </is>
      </c>
      <c r="D1691" s="187" t="n">
        <v>6.5</v>
      </c>
      <c r="E1691" s="187" t="inlineStr">
        <is>
          <t>MEDIUM</t>
        </is>
      </c>
      <c r="F1691" s="187" t="n">
        <v>3</v>
      </c>
      <c r="G1691" s="187" t="n">
        <v>1</v>
      </c>
      <c r="H1691" s="187" t="inlineStr">
        <is>
          <t>MEDIUM</t>
        </is>
      </c>
      <c r="I1691" s="187" t="n">
        <v>9.5</v>
      </c>
      <c r="J1691" s="187" t="inlineStr">
        <is>
          <t>NO</t>
        </is>
      </c>
      <c r="K1691" s="187" t="inlineStr">
        <is>
          <t>https://www.abuseipdb.com/check/195.178.110.187</t>
        </is>
      </c>
      <c r="L1691" s="187" t="inlineStr">
        <is>
          <t>2026-02-25T18:16:59+00:00</t>
        </is>
      </c>
      <c r="M1691" s="187" t="inlineStr">
        <is>
          <t>Block IP</t>
        </is>
      </c>
      <c r="N1691" s="187" t="inlineStr">
        <is>
          <t>https://www.abuseipdb.com/check/195.178.110.187</t>
        </is>
      </c>
      <c r="O1691" s="187" t="inlineStr">
        <is>
          <t>Block IP 195.178.110.187 at firewall | Monitor for new reports</t>
        </is>
      </c>
      <c r="P1691" s="187" t="inlineStr">
        <is>
          <t>Firewall/Network</t>
        </is>
      </c>
      <c r="Q1691" s="187" t="inlineStr">
        <is>
          <t>P4</t>
        </is>
      </c>
      <c r="R1691" s="187" t="inlineStr">
        <is>
          <t>🚫 Block IP at firewall immediately | 🔍 Check logs for existing connections | 🛡️ Add to threat intelligence blocklist</t>
        </is>
      </c>
      <c r="S1691" s="187" t="inlineStr">
        <is>
          <t>Skipped (20/run cap)</t>
        </is>
      </c>
      <c r="T1691" s="187" t="n">
        <v>0</v>
      </c>
      <c r="U1691" s="187" t="n">
        <v>0</v>
      </c>
      <c r="V1691" s="187" t="inlineStr">
        <is>
          <t>T1110:Brute Force | T1078:Valid Accounts</t>
        </is>
      </c>
      <c r="W1691" s="187" t="n">
        <v>1</v>
      </c>
      <c r="X1691" s="187" t="inlineStr">
        <is>
          <t>LOW (40%)</t>
        </is>
      </c>
      <c r="Y1691" s="187" t="inlineStr">
        <is>
          <t>NONE</t>
        </is>
      </c>
      <c r="Z1691" s="187" t="inlineStr">
        <is>
          <t>NONE</t>
        </is>
      </c>
      <c r="AA1691" s="187" t="inlineStr">
        <is>
          <t>NONE</t>
        </is>
      </c>
      <c r="AB1691" s="187" t="inlineStr">
        <is>
          <t>NONE</t>
        </is>
      </c>
      <c r="AC1691" s="187" t="n">
        <v>0</v>
      </c>
      <c r="AD1691" s="187" t="inlineStr"/>
    </row>
    <row r="1692">
      <c r="A1692" s="187" t="inlineStr">
        <is>
          <t>ABUSE_IP</t>
        </is>
      </c>
      <c r="B1692" s="187" t="inlineStr">
        <is>
          <t>70fcc4f029e0</t>
        </is>
      </c>
      <c r="C1692" s="187" t="inlineStr">
        <is>
          <t>Malicious IP: 101.47.142.111 | Country: SG | ISP: Unknown | Confidence: 100% | Sources: ABUSEIPDB</t>
        </is>
      </c>
      <c r="D1692" s="187" t="n">
        <v>6.5</v>
      </c>
      <c r="E1692" s="187" t="inlineStr">
        <is>
          <t>MEDIUM</t>
        </is>
      </c>
      <c r="F1692" s="187" t="n">
        <v>3</v>
      </c>
      <c r="G1692" s="187" t="n">
        <v>1</v>
      </c>
      <c r="H1692" s="187" t="inlineStr">
        <is>
          <t>MEDIUM</t>
        </is>
      </c>
      <c r="I1692" s="187" t="n">
        <v>9.5</v>
      </c>
      <c r="J1692" s="187" t="inlineStr">
        <is>
          <t>NO</t>
        </is>
      </c>
      <c r="K1692" s="187" t="inlineStr">
        <is>
          <t>https://www.abuseipdb.com/check/101.47.142.111</t>
        </is>
      </c>
      <c r="L1692" s="187" t="inlineStr">
        <is>
          <t>2026-02-25T18:16:59+00:00</t>
        </is>
      </c>
      <c r="M1692" s="187" t="inlineStr">
        <is>
          <t>Block IP</t>
        </is>
      </c>
      <c r="N1692" s="187" t="inlineStr">
        <is>
          <t>https://www.abuseipdb.com/check/101.47.142.111</t>
        </is>
      </c>
      <c r="O1692" s="187" t="inlineStr">
        <is>
          <t>Block IP 101.47.142.111 at firewall | Monitor for new reports</t>
        </is>
      </c>
      <c r="P1692" s="187" t="inlineStr">
        <is>
          <t>Firewall/Network</t>
        </is>
      </c>
      <c r="Q1692" s="187" t="inlineStr">
        <is>
          <t>P4</t>
        </is>
      </c>
      <c r="R1692" s="187" t="inlineStr">
        <is>
          <t>🚫 Block IP at firewall immediately | 🔍 Check logs for existing connections | 🛡️ Add to threat intelligence blocklist</t>
        </is>
      </c>
      <c r="S1692" s="187" t="inlineStr">
        <is>
          <t>🚨 MALICIOUS: Shanghai Great Wall Broadband Network Service Co., Ltd. | 🌍 Singapore | Singapore | 🏢 Shanghai Great Wall Broadband Network Service Co., Ltd. | ASN: AS150436 Byteplus Pte. Ltd. | 🚨 AbuseIPDB: 100% malicious (Data Center/Web Hosting/Transit)</t>
        </is>
      </c>
      <c r="T1692" s="187" t="n">
        <v>0</v>
      </c>
      <c r="U1692" s="187" t="n">
        <v>0</v>
      </c>
      <c r="V1692" s="187" t="inlineStr">
        <is>
          <t>T1110:Brute Force | T1078:Valid Accounts</t>
        </is>
      </c>
      <c r="W1692" s="187" t="n">
        <v>1</v>
      </c>
      <c r="X1692" s="187" t="inlineStr">
        <is>
          <t>LOW (40%)</t>
        </is>
      </c>
      <c r="Y1692" s="187" t="inlineStr">
        <is>
          <t>NONE</t>
        </is>
      </c>
      <c r="Z1692" s="187" t="inlineStr">
        <is>
          <t>NONE</t>
        </is>
      </c>
      <c r="AA1692" s="187" t="inlineStr">
        <is>
          <t>NONE</t>
        </is>
      </c>
      <c r="AB1692" s="187" t="inlineStr">
        <is>
          <t>NONE</t>
        </is>
      </c>
      <c r="AC1692" s="187" t="n">
        <v>0</v>
      </c>
      <c r="AD1692" s="187" t="inlineStr"/>
    </row>
    <row r="1693">
      <c r="A1693" s="187" t="inlineStr">
        <is>
          <t>ABUSE_IP</t>
        </is>
      </c>
      <c r="B1693" s="187" t="inlineStr">
        <is>
          <t>b353e00e1b84</t>
        </is>
      </c>
      <c r="C1693" s="187" t="inlineStr">
        <is>
          <t>Malicious IP: 51.15.80.4 | Country: NL | ISP: Unknown | Confidence: 100% | Sources: ABUSEIPDB</t>
        </is>
      </c>
      <c r="D1693" s="187" t="n">
        <v>6.5</v>
      </c>
      <c r="E1693" s="187" t="inlineStr">
        <is>
          <t>MEDIUM</t>
        </is>
      </c>
      <c r="F1693" s="187" t="n">
        <v>3</v>
      </c>
      <c r="G1693" s="187" t="n">
        <v>1</v>
      </c>
      <c r="H1693" s="187" t="inlineStr">
        <is>
          <t>MEDIUM</t>
        </is>
      </c>
      <c r="I1693" s="187" t="n">
        <v>9.5</v>
      </c>
      <c r="J1693" s="187" t="inlineStr">
        <is>
          <t>NO</t>
        </is>
      </c>
      <c r="K1693" s="187" t="inlineStr">
        <is>
          <t>https://www.abuseipdb.com/check/51.15.80.4</t>
        </is>
      </c>
      <c r="L1693" s="187" t="inlineStr">
        <is>
          <t>2026-02-25T18:16:59+00:00</t>
        </is>
      </c>
      <c r="M1693" s="187" t="inlineStr">
        <is>
          <t>Block IP</t>
        </is>
      </c>
      <c r="N1693" s="187" t="inlineStr">
        <is>
          <t>https://www.abuseipdb.com/check/51.15.80.4</t>
        </is>
      </c>
      <c r="O1693" s="187" t="inlineStr">
        <is>
          <t>Block IP 51.15.80.4 at firewall | Monitor for new reports</t>
        </is>
      </c>
      <c r="P1693" s="187" t="inlineStr">
        <is>
          <t>Firewall/Network</t>
        </is>
      </c>
      <c r="Q1693" s="187" t="inlineStr">
        <is>
          <t>P4</t>
        </is>
      </c>
      <c r="R1693" s="187" t="inlineStr">
        <is>
          <t>🚫 Block IP at firewall immediately | 🔍 Check logs for existing connections | 🛡️ Add to threat intelligence blocklist</t>
        </is>
      </c>
      <c r="S1693" s="187" t="inlineStr">
        <is>
          <t>🚨 MALICIOUS: AS12876 SCALEWAY S.A.S. | 🌍 Netherlands | Haarlem | 🏢  | ASN: AS12876 SCALEWAY S.A.S. | 🖥️ Hosting/DC | 🚨 AbuseIPDB: 100% malicious (Data Center/Web Hosting/Transit)</t>
        </is>
      </c>
      <c r="T1693" s="187" t="n">
        <v>0</v>
      </c>
      <c r="U1693" s="187" t="n">
        <v>0</v>
      </c>
      <c r="V1693" s="187" t="inlineStr">
        <is>
          <t>T1110:Brute Force | T1078:Valid Accounts</t>
        </is>
      </c>
      <c r="W1693" s="187" t="n">
        <v>1</v>
      </c>
      <c r="X1693" s="187" t="inlineStr">
        <is>
          <t>LOW (40%)</t>
        </is>
      </c>
      <c r="Y1693" s="187" t="inlineStr">
        <is>
          <t>NONE</t>
        </is>
      </c>
      <c r="Z1693" s="187" t="inlineStr">
        <is>
          <t>NONE</t>
        </is>
      </c>
      <c r="AA1693" s="187" t="inlineStr">
        <is>
          <t>NONE</t>
        </is>
      </c>
      <c r="AB1693" s="187" t="inlineStr">
        <is>
          <t>NONE</t>
        </is>
      </c>
      <c r="AC1693" s="187" t="n">
        <v>0</v>
      </c>
      <c r="AD1693" s="187" t="inlineStr"/>
    </row>
    <row r="1694">
      <c r="A1694" s="187" t="inlineStr">
        <is>
          <t>ABUSE_IP</t>
        </is>
      </c>
      <c r="B1694" s="187" t="inlineStr">
        <is>
          <t>7e05ed1c15e1</t>
        </is>
      </c>
      <c r="C1694" s="187" t="inlineStr">
        <is>
          <t>Malicious IP: 4.193.97.168 | Country: SG | ISP: Unknown | Confidence: 100% | Sources: ABUSEIPDB</t>
        </is>
      </c>
      <c r="D1694" s="187" t="n">
        <v>6.5</v>
      </c>
      <c r="E1694" s="187" t="inlineStr">
        <is>
          <t>MEDIUM</t>
        </is>
      </c>
      <c r="F1694" s="187" t="n">
        <v>3</v>
      </c>
      <c r="G1694" s="187" t="n">
        <v>1</v>
      </c>
      <c r="H1694" s="187" t="inlineStr">
        <is>
          <t>MEDIUM</t>
        </is>
      </c>
      <c r="I1694" s="187" t="n">
        <v>9.5</v>
      </c>
      <c r="J1694" s="187" t="inlineStr">
        <is>
          <t>NO</t>
        </is>
      </c>
      <c r="K1694" s="187" t="inlineStr">
        <is>
          <t>https://www.abuseipdb.com/check/4.193.97.168</t>
        </is>
      </c>
      <c r="L1694" s="187" t="inlineStr">
        <is>
          <t>2026-02-25T18:16:59+00:00</t>
        </is>
      </c>
      <c r="M1694" s="187" t="inlineStr">
        <is>
          <t>Block IP</t>
        </is>
      </c>
      <c r="N1694" s="187" t="inlineStr">
        <is>
          <t>https://www.abuseipdb.com/check/4.193.97.168</t>
        </is>
      </c>
      <c r="O1694" s="187" t="inlineStr">
        <is>
          <t>Block IP 4.193.97.168 at firewall | Monitor for new reports</t>
        </is>
      </c>
      <c r="P1694" s="187" t="inlineStr">
        <is>
          <t>Firewall/Network</t>
        </is>
      </c>
      <c r="Q1694" s="187" t="inlineStr">
        <is>
          <t>P4</t>
        </is>
      </c>
      <c r="R1694" s="187" t="inlineStr">
        <is>
          <t>🚫 Block IP at firewall immediately | 🔍 Check logs for existing connections | 🛡️ Add to threat intelligence blocklist</t>
        </is>
      </c>
      <c r="S1694" s="187" t="inlineStr">
        <is>
          <t>🚨 MALICIOUS: Microsoft Azure Cloud (southeastasia) | 🌍 Singapore | Singapore | 🏢 Microsoft Azure Cloud (southeastasia) | ASN: AS8075 Microsoft Corporation | 🖥️ Hosting/DC | 🚨 AbuseIPDB: 100% malicious (Data Center/Web Hosting/Transit)</t>
        </is>
      </c>
      <c r="T1694" s="187" t="n">
        <v>0</v>
      </c>
      <c r="U1694" s="187" t="n">
        <v>0</v>
      </c>
      <c r="V1694" s="187" t="inlineStr">
        <is>
          <t>T1110:Brute Force | T1078:Valid Accounts</t>
        </is>
      </c>
      <c r="W1694" s="187" t="n">
        <v>1</v>
      </c>
      <c r="X1694" s="187" t="inlineStr">
        <is>
          <t>LOW (40%)</t>
        </is>
      </c>
      <c r="Y1694" s="187" t="inlineStr">
        <is>
          <t>NONE</t>
        </is>
      </c>
      <c r="Z1694" s="187" t="inlineStr">
        <is>
          <t>NONE</t>
        </is>
      </c>
      <c r="AA1694" s="187" t="inlineStr">
        <is>
          <t>NONE</t>
        </is>
      </c>
      <c r="AB1694" s="187" t="inlineStr">
        <is>
          <t>NONE</t>
        </is>
      </c>
      <c r="AC1694" s="187" t="n">
        <v>0</v>
      </c>
      <c r="AD1694" s="187" t="inlineStr"/>
    </row>
    <row r="1695">
      <c r="A1695" s="187" t="inlineStr">
        <is>
          <t>ABUSE_IP</t>
        </is>
      </c>
      <c r="B1695" s="187" t="inlineStr">
        <is>
          <t>4041af17ff05</t>
        </is>
      </c>
      <c r="C1695" s="187" t="inlineStr">
        <is>
          <t>Malicious IP: 61.0.23.246 | Country: IN | ISP: Unknown | Confidence: 100% | Sources: ABUSEIPDB</t>
        </is>
      </c>
      <c r="D1695" s="187" t="n">
        <v>6.5</v>
      </c>
      <c r="E1695" s="187" t="inlineStr">
        <is>
          <t>MEDIUM</t>
        </is>
      </c>
      <c r="F1695" s="187" t="n">
        <v>3</v>
      </c>
      <c r="G1695" s="187" t="n">
        <v>1</v>
      </c>
      <c r="H1695" s="187" t="inlineStr">
        <is>
          <t>MEDIUM</t>
        </is>
      </c>
      <c r="I1695" s="187" t="n">
        <v>9.5</v>
      </c>
      <c r="J1695" s="187" t="inlineStr">
        <is>
          <t>NO</t>
        </is>
      </c>
      <c r="K1695" s="187" t="inlineStr">
        <is>
          <t>https://www.abuseipdb.com/check/61.0.23.246</t>
        </is>
      </c>
      <c r="L1695" s="187" t="inlineStr">
        <is>
          <t>2026-02-25T18:16:59+00:00</t>
        </is>
      </c>
      <c r="M1695" s="187" t="inlineStr">
        <is>
          <t>Block IP</t>
        </is>
      </c>
      <c r="N1695" s="187" t="inlineStr">
        <is>
          <t>https://www.abuseipdb.com/check/61.0.23.246</t>
        </is>
      </c>
      <c r="O1695" s="187" t="inlineStr">
        <is>
          <t>Block IP 61.0.23.246 at firewall | Monitor for new reports</t>
        </is>
      </c>
      <c r="P1695" s="187" t="inlineStr">
        <is>
          <t>Firewall/Network</t>
        </is>
      </c>
      <c r="Q1695" s="187" t="inlineStr">
        <is>
          <t>P4</t>
        </is>
      </c>
      <c r="R1695" s="187" t="inlineStr">
        <is>
          <t>🚫 Block IP at firewall immediately | 🔍 Check logs for existing connections | 🛡️ Add to threat intelligence blocklist</t>
        </is>
      </c>
      <c r="S1695" s="187" t="inlineStr">
        <is>
          <t>Skipped (20/run cap)</t>
        </is>
      </c>
      <c r="T1695" s="187" t="n">
        <v>0</v>
      </c>
      <c r="U1695" s="187" t="n">
        <v>0</v>
      </c>
      <c r="V1695" s="187" t="inlineStr">
        <is>
          <t>T1110:Brute Force | T1078:Valid Accounts</t>
        </is>
      </c>
      <c r="W1695" s="187" t="n">
        <v>1</v>
      </c>
      <c r="X1695" s="187" t="inlineStr">
        <is>
          <t>LOW (40%)</t>
        </is>
      </c>
      <c r="Y1695" s="187" t="inlineStr">
        <is>
          <t>NONE</t>
        </is>
      </c>
      <c r="Z1695" s="187" t="inlineStr">
        <is>
          <t>NONE</t>
        </is>
      </c>
      <c r="AA1695" s="187" t="inlineStr">
        <is>
          <t>NONE</t>
        </is>
      </c>
      <c r="AB1695" s="187" t="inlineStr">
        <is>
          <t>NONE</t>
        </is>
      </c>
      <c r="AC1695" s="187" t="n">
        <v>0</v>
      </c>
      <c r="AD1695" s="187" t="inlineStr"/>
    </row>
    <row r="1696">
      <c r="A1696" s="187" t="inlineStr">
        <is>
          <t>ABUSE_IP</t>
        </is>
      </c>
      <c r="B1696" s="187" t="inlineStr">
        <is>
          <t>165f3ce79aa9</t>
        </is>
      </c>
      <c r="C1696" s="187" t="inlineStr">
        <is>
          <t>Malicious IP: 12.156.67.18 | Country: US | ISP: Unknown | Confidence: 100% | Sources: ABUSEIPDB</t>
        </is>
      </c>
      <c r="D1696" s="187" t="n">
        <v>6.5</v>
      </c>
      <c r="E1696" s="187" t="inlineStr">
        <is>
          <t>MEDIUM</t>
        </is>
      </c>
      <c r="F1696" s="187" t="n">
        <v>3</v>
      </c>
      <c r="G1696" s="187" t="n">
        <v>1</v>
      </c>
      <c r="H1696" s="187" t="inlineStr">
        <is>
          <t>MEDIUM</t>
        </is>
      </c>
      <c r="I1696" s="187" t="n">
        <v>9.5</v>
      </c>
      <c r="J1696" s="187" t="inlineStr">
        <is>
          <t>NO</t>
        </is>
      </c>
      <c r="K1696" s="187" t="inlineStr">
        <is>
          <t>https://www.abuseipdb.com/check/12.156.67.18</t>
        </is>
      </c>
      <c r="L1696" s="187" t="inlineStr">
        <is>
          <t>2026-02-25T18:16:59+00:00</t>
        </is>
      </c>
      <c r="M1696" s="187" t="inlineStr">
        <is>
          <t>Block IP</t>
        </is>
      </c>
      <c r="N1696" s="187" t="inlineStr">
        <is>
          <t>https://www.abuseipdb.com/check/12.156.67.18</t>
        </is>
      </c>
      <c r="O1696" s="187" t="inlineStr">
        <is>
          <t>Block IP 12.156.67.18 at firewall | Monitor for new reports</t>
        </is>
      </c>
      <c r="P1696" s="187" t="inlineStr">
        <is>
          <t>Firewall/Network</t>
        </is>
      </c>
      <c r="Q1696" s="187" t="inlineStr">
        <is>
          <t>P4</t>
        </is>
      </c>
      <c r="R1696" s="187" t="inlineStr">
        <is>
          <t>🚫 Block IP at firewall immediately | 🔍 Check logs for existing connections | 🛡️ Add to threat intelligence blocklist</t>
        </is>
      </c>
      <c r="S1696" s="187" t="inlineStr">
        <is>
          <t>🚨 MALICIOUS: Sikh Gurdwara-sj | 🌍 United States | Oakland | 🏢 Sikh Gurdwara-sj | ASN: AS7018 AT&amp;T Enterprises, LLC | 🚨 AbuseIPDB: 100% malicious (Fixed Line ISP)</t>
        </is>
      </c>
      <c r="T1696" s="187" t="n">
        <v>0</v>
      </c>
      <c r="U1696" s="187" t="n">
        <v>0</v>
      </c>
      <c r="V1696" s="187" t="inlineStr">
        <is>
          <t>T1110:Brute Force | T1078:Valid Accounts</t>
        </is>
      </c>
      <c r="W1696" s="187" t="n">
        <v>1</v>
      </c>
      <c r="X1696" s="187" t="inlineStr">
        <is>
          <t>LOW (40%)</t>
        </is>
      </c>
      <c r="Y1696" s="187" t="inlineStr">
        <is>
          <t>NONE</t>
        </is>
      </c>
      <c r="Z1696" s="187" t="inlineStr">
        <is>
          <t>NONE</t>
        </is>
      </c>
      <c r="AA1696" s="187" t="inlineStr">
        <is>
          <t>NONE</t>
        </is>
      </c>
      <c r="AB1696" s="187" t="inlineStr">
        <is>
          <t>NONE</t>
        </is>
      </c>
      <c r="AC1696" s="187" t="n">
        <v>0</v>
      </c>
      <c r="AD1696" s="187" t="inlineStr"/>
    </row>
    <row r="1697">
      <c r="A1697" s="187" t="inlineStr">
        <is>
          <t>ABUSE_IP</t>
        </is>
      </c>
      <c r="B1697" s="187" t="inlineStr">
        <is>
          <t>7eee188cd454</t>
        </is>
      </c>
      <c r="C1697" s="187" t="inlineStr">
        <is>
          <t>Malicious IP: 117.72.13.23 | Country: CN | ISP: Unknown | Confidence: 100% | Sources: ABUSEIPDB</t>
        </is>
      </c>
      <c r="D1697" s="187" t="n">
        <v>6.5</v>
      </c>
      <c r="E1697" s="187" t="inlineStr">
        <is>
          <t>MEDIUM</t>
        </is>
      </c>
      <c r="F1697" s="187" t="n">
        <v>3</v>
      </c>
      <c r="G1697" s="187" t="n">
        <v>1</v>
      </c>
      <c r="H1697" s="187" t="inlineStr">
        <is>
          <t>MEDIUM</t>
        </is>
      </c>
      <c r="I1697" s="187" t="n">
        <v>9.5</v>
      </c>
      <c r="J1697" s="187" t="inlineStr">
        <is>
          <t>NO</t>
        </is>
      </c>
      <c r="K1697" s="187" t="inlineStr">
        <is>
          <t>https://www.abuseipdb.com/check/117.72.13.23</t>
        </is>
      </c>
      <c r="L1697" s="187" t="inlineStr">
        <is>
          <t>2026-02-25T18:16:59+00:00</t>
        </is>
      </c>
      <c r="M1697" s="187" t="inlineStr">
        <is>
          <t>Block IP</t>
        </is>
      </c>
      <c r="N1697" s="187" t="inlineStr">
        <is>
          <t>https://www.abuseipdb.com/check/117.72.13.23</t>
        </is>
      </c>
      <c r="O1697" s="187" t="inlineStr">
        <is>
          <t>Block IP 117.72.13.23 at firewall | Monitor for new reports</t>
        </is>
      </c>
      <c r="P1697" s="187" t="inlineStr">
        <is>
          <t>Firewall/Network</t>
        </is>
      </c>
      <c r="Q1697" s="187" t="inlineStr">
        <is>
          <t>P4</t>
        </is>
      </c>
      <c r="R1697" s="187" t="inlineStr">
        <is>
          <t>🚫 Block IP at firewall immediately | 🔍 Check logs for existing connections | 🛡️ Add to threat intelligence blocklist</t>
        </is>
      </c>
      <c r="S1697" s="187" t="inlineStr">
        <is>
          <t>🚨 MALICIOUS: Beijing Jingdong 360 Degree E-commerce Co., Ltd. | 🌍 China | Chaowai | 🏢 Beijing Jingdong 360 Degree E-commerce Co., Ltd. | ASN: AS141679 China Telecom Beijing Tianjin Hebei Big Data Industry Park Branch | 🚨 AbuseIPDB: 100% malicious (Data Center/Web Hosting/Transit)</t>
        </is>
      </c>
      <c r="T1697" s="187" t="n">
        <v>0</v>
      </c>
      <c r="U1697" s="187" t="n">
        <v>0</v>
      </c>
      <c r="V1697" s="187" t="inlineStr">
        <is>
          <t>T1110:Brute Force | T1078:Valid Accounts</t>
        </is>
      </c>
      <c r="W1697" s="187" t="n">
        <v>1</v>
      </c>
      <c r="X1697" s="187" t="inlineStr">
        <is>
          <t>LOW (40%)</t>
        </is>
      </c>
      <c r="Y1697" s="187" t="inlineStr">
        <is>
          <t>NONE</t>
        </is>
      </c>
      <c r="Z1697" s="187" t="inlineStr">
        <is>
          <t>NONE</t>
        </is>
      </c>
      <c r="AA1697" s="187" t="inlineStr">
        <is>
          <t>NONE</t>
        </is>
      </c>
      <c r="AB1697" s="187" t="inlineStr">
        <is>
          <t>NONE</t>
        </is>
      </c>
      <c r="AC1697" s="187" t="n">
        <v>0</v>
      </c>
      <c r="AD1697" s="187" t="inlineStr"/>
    </row>
    <row r="1698">
      <c r="A1698" s="187" t="inlineStr">
        <is>
          <t>ABUSE_IP</t>
        </is>
      </c>
      <c r="B1698" s="187" t="inlineStr">
        <is>
          <t>43a4ecb0788d</t>
        </is>
      </c>
      <c r="C1698" s="187" t="inlineStr">
        <is>
          <t>Malicious IP: 109.228.18.139 | Country: GB | ISP: Unknown | Confidence: 100% | Sources: ABUSEIPDB</t>
        </is>
      </c>
      <c r="D1698" s="187" t="n">
        <v>6.5</v>
      </c>
      <c r="E1698" s="187" t="inlineStr">
        <is>
          <t>MEDIUM</t>
        </is>
      </c>
      <c r="F1698" s="187" t="n">
        <v>3</v>
      </c>
      <c r="G1698" s="187" t="n">
        <v>1</v>
      </c>
      <c r="H1698" s="187" t="inlineStr">
        <is>
          <t>MEDIUM</t>
        </is>
      </c>
      <c r="I1698" s="187" t="n">
        <v>9.5</v>
      </c>
      <c r="J1698" s="187" t="inlineStr">
        <is>
          <t>NO</t>
        </is>
      </c>
      <c r="K1698" s="187" t="inlineStr">
        <is>
          <t>https://www.abuseipdb.com/check/109.228.18.139</t>
        </is>
      </c>
      <c r="L1698" s="187" t="inlineStr">
        <is>
          <t>2026-02-25T18:16:59+00:00</t>
        </is>
      </c>
      <c r="M1698" s="187" t="inlineStr">
        <is>
          <t>Block IP</t>
        </is>
      </c>
      <c r="N1698" s="187" t="inlineStr">
        <is>
          <t>https://www.abuseipdb.com/check/109.228.18.139</t>
        </is>
      </c>
      <c r="O1698" s="187" t="inlineStr">
        <is>
          <t>Block IP 109.228.18.139 at firewall | Monitor for new reports</t>
        </is>
      </c>
      <c r="P1698" s="187" t="inlineStr">
        <is>
          <t>Firewall/Network</t>
        </is>
      </c>
      <c r="Q1698" s="187" t="inlineStr">
        <is>
          <t>P4</t>
        </is>
      </c>
      <c r="R1698" s="187" t="inlineStr">
        <is>
          <t>🚫 Block IP at firewall immediately | 🔍 Check logs for existing connections | 🛡️ Add to threat intelligence blocklist</t>
        </is>
      </c>
      <c r="S1698" s="187" t="inlineStr">
        <is>
          <t>🚨 MALICIOUS: IONOS SE | 🌍 United Kingdom | London | 🏢 IONOS SE | ASN: AS8560 IONOS SE | 🖥️ Hosting/DC | 🚨 AbuseIPDB: 100% malicious (Data Center/Web Hosting/Transit)</t>
        </is>
      </c>
      <c r="T1698" s="187" t="n">
        <v>0</v>
      </c>
      <c r="U1698" s="187" t="n">
        <v>0</v>
      </c>
      <c r="V1698" s="187" t="inlineStr">
        <is>
          <t>T1110:Brute Force | T1078:Valid Accounts</t>
        </is>
      </c>
      <c r="W1698" s="187" t="n">
        <v>1</v>
      </c>
      <c r="X1698" s="187" t="inlineStr">
        <is>
          <t>LOW (40%)</t>
        </is>
      </c>
      <c r="Y1698" s="187" t="inlineStr">
        <is>
          <t>NONE</t>
        </is>
      </c>
      <c r="Z1698" s="187" t="inlineStr">
        <is>
          <t>NONE</t>
        </is>
      </c>
      <c r="AA1698" s="187" t="inlineStr">
        <is>
          <t>NONE</t>
        </is>
      </c>
      <c r="AB1698" s="187" t="inlineStr">
        <is>
          <t>NONE</t>
        </is>
      </c>
      <c r="AC1698" s="187" t="n">
        <v>0</v>
      </c>
      <c r="AD1698" s="187" t="inlineStr"/>
    </row>
    <row r="1699">
      <c r="A1699" s="187" t="inlineStr">
        <is>
          <t>ABUSE_IP</t>
        </is>
      </c>
      <c r="B1699" s="187" t="inlineStr">
        <is>
          <t>56362e505e20</t>
        </is>
      </c>
      <c r="C1699" s="187" t="inlineStr">
        <is>
          <t>Malicious IP: 112.163.119.199 | Country: KR | ISP: Unknown | Confidence: 100% | Sources: ABUSEIPDB, EMERGING_THREATS</t>
        </is>
      </c>
      <c r="D1699" s="187" t="n">
        <v>6.5</v>
      </c>
      <c r="E1699" s="187" t="inlineStr">
        <is>
          <t>MEDIUM</t>
        </is>
      </c>
      <c r="F1699" s="187" t="n">
        <v>3</v>
      </c>
      <c r="G1699" s="187" t="n">
        <v>1</v>
      </c>
      <c r="H1699" s="187" t="inlineStr">
        <is>
          <t>MEDIUM</t>
        </is>
      </c>
      <c r="I1699" s="187" t="n">
        <v>9.5</v>
      </c>
      <c r="J1699" s="187" t="inlineStr">
        <is>
          <t>NO</t>
        </is>
      </c>
      <c r="K1699" s="187" t="inlineStr">
        <is>
          <t>https://www.abuseipdb.com/check/112.163.119.199</t>
        </is>
      </c>
      <c r="L1699" s="187" t="inlineStr">
        <is>
          <t>2026-02-25T18:16:59+00:00</t>
        </is>
      </c>
      <c r="M1699" s="187" t="inlineStr">
        <is>
          <t>Block IP</t>
        </is>
      </c>
      <c r="N1699" s="187" t="inlineStr">
        <is>
          <t>https://www.abuseipdb.com/check/112.163.119.199</t>
        </is>
      </c>
      <c r="O1699" s="187" t="inlineStr">
        <is>
          <t>Block IP 112.163.119.199 at firewall | Monitor for new reports</t>
        </is>
      </c>
      <c r="P1699" s="187" t="inlineStr">
        <is>
          <t>Firewall/Network</t>
        </is>
      </c>
      <c r="Q1699" s="187" t="inlineStr">
        <is>
          <t>P3</t>
        </is>
      </c>
      <c r="R1699" s="187" t="inlineStr">
        <is>
          <t>🚫 Block IP at firewall immediately | 🔍 Check logs for existing connections | 🛡️ Add to threat intelligence blocklist</t>
        </is>
      </c>
      <c r="S1699" s="187" t="inlineStr">
        <is>
          <t>🚨 MALICIOUS: Kornet | 🌍 South Korea | Changwon | 🏢 Kornet | ASN: AS4766 Korea Telecom | 🚨 AbuseIPDB: 100% malicious (Fixed Line ISP)</t>
        </is>
      </c>
      <c r="T1699" s="187" t="n">
        <v>0</v>
      </c>
      <c r="U1699" s="187" t="n">
        <v>0</v>
      </c>
      <c r="V1699" s="187" t="inlineStr">
        <is>
          <t>T1110:Brute Force | T1078:Valid Accounts</t>
        </is>
      </c>
      <c r="W1699" s="187" t="n">
        <v>2</v>
      </c>
      <c r="X1699" s="187" t="inlineStr">
        <is>
          <t>MEDIUM (52%)</t>
        </is>
      </c>
      <c r="Y1699" s="187" t="inlineStr">
        <is>
          <t>NONE</t>
        </is>
      </c>
      <c r="Z1699" s="187" t="inlineStr">
        <is>
          <t>NONE</t>
        </is>
      </c>
      <c r="AA1699" s="187" t="inlineStr">
        <is>
          <t>NONE</t>
        </is>
      </c>
      <c r="AB1699" s="187" t="inlineStr">
        <is>
          <t>NONE</t>
        </is>
      </c>
      <c r="AC1699" s="187" t="n">
        <v>0</v>
      </c>
      <c r="AD1699" s="187" t="inlineStr"/>
    </row>
    <row r="1700">
      <c r="A1700" s="187" t="inlineStr">
        <is>
          <t>ABUSE_IP</t>
        </is>
      </c>
      <c r="B1700" s="187" t="inlineStr">
        <is>
          <t>95d1e828d918</t>
        </is>
      </c>
      <c r="C1700" s="187" t="inlineStr">
        <is>
          <t>Malicious IP: 210.16.168.11 | Country: CN | ISP: Unknown | Confidence: 100% | Sources: ABUSEIPDB</t>
        </is>
      </c>
      <c r="D1700" s="187" t="n">
        <v>6.5</v>
      </c>
      <c r="E1700" s="187" t="inlineStr">
        <is>
          <t>MEDIUM</t>
        </is>
      </c>
      <c r="F1700" s="187" t="n">
        <v>3</v>
      </c>
      <c r="G1700" s="187" t="n">
        <v>1</v>
      </c>
      <c r="H1700" s="187" t="inlineStr">
        <is>
          <t>MEDIUM</t>
        </is>
      </c>
      <c r="I1700" s="187" t="n">
        <v>9.5</v>
      </c>
      <c r="J1700" s="187" t="inlineStr">
        <is>
          <t>NO</t>
        </is>
      </c>
      <c r="K1700" s="187" t="inlineStr">
        <is>
          <t>https://www.abuseipdb.com/check/210.16.168.11</t>
        </is>
      </c>
      <c r="L1700" s="187" t="inlineStr">
        <is>
          <t>2026-02-25T18:16:59+00:00</t>
        </is>
      </c>
      <c r="M1700" s="187" t="inlineStr">
        <is>
          <t>Block IP</t>
        </is>
      </c>
      <c r="N1700" s="187" t="inlineStr">
        <is>
          <t>https://www.abuseipdb.com/check/210.16.168.11</t>
        </is>
      </c>
      <c r="O1700" s="187" t="inlineStr">
        <is>
          <t>Block IP 210.16.168.11 at firewall | Monitor for new reports</t>
        </is>
      </c>
      <c r="P1700" s="187" t="inlineStr">
        <is>
          <t>Firewall/Network</t>
        </is>
      </c>
      <c r="Q1700" s="187" t="inlineStr">
        <is>
          <t>P4</t>
        </is>
      </c>
      <c r="R1700" s="187" t="inlineStr">
        <is>
          <t>🚫 Block IP at firewall immediately | 🔍 Check logs for existing connections | 🛡️ Add to threat intelligence blocklist</t>
        </is>
      </c>
      <c r="S1700" s="187" t="inlineStr">
        <is>
          <t>🚨 MALICIOUS: Hubei Feixun Network Co., Ltd | 🌍 China | Beijing | 🏢 Hubei Feixun Network Co., Ltd | ASN: AS146817 Hubei Feixun Network Co., Ltd | 🚨 AbuseIPDB: 100% malicious (Data Center/Web Hosting/Transit)</t>
        </is>
      </c>
      <c r="T1700" s="187" t="n">
        <v>0</v>
      </c>
      <c r="U1700" s="187" t="n">
        <v>0</v>
      </c>
      <c r="V1700" s="187" t="inlineStr">
        <is>
          <t>T1110:Brute Force | T1078:Valid Accounts</t>
        </is>
      </c>
      <c r="W1700" s="187" t="n">
        <v>1</v>
      </c>
      <c r="X1700" s="187" t="inlineStr">
        <is>
          <t>LOW (40%)</t>
        </is>
      </c>
      <c r="Y1700" s="187" t="inlineStr">
        <is>
          <t>NONE</t>
        </is>
      </c>
      <c r="Z1700" s="187" t="inlineStr">
        <is>
          <t>NONE</t>
        </is>
      </c>
      <c r="AA1700" s="187" t="inlineStr">
        <is>
          <t>NONE</t>
        </is>
      </c>
      <c r="AB1700" s="187" t="inlineStr">
        <is>
          <t>NONE</t>
        </is>
      </c>
      <c r="AC1700" s="187" t="n">
        <v>0</v>
      </c>
      <c r="AD1700" s="187" t="inlineStr"/>
    </row>
    <row r="1701">
      <c r="A1701" s="187" t="inlineStr">
        <is>
          <t>ABUSE_IP</t>
        </is>
      </c>
      <c r="B1701" s="187" t="inlineStr">
        <is>
          <t>ffe77f3f08d3</t>
        </is>
      </c>
      <c r="C1701" s="187" t="inlineStr">
        <is>
          <t>Malicious IP: 162.243.201.163 | Country: US | ISP: Unknown | Confidence: 100% | Sources: ABUSEIPDB</t>
        </is>
      </c>
      <c r="D1701" s="187" t="n">
        <v>6.5</v>
      </c>
      <c r="E1701" s="187" t="inlineStr">
        <is>
          <t>MEDIUM</t>
        </is>
      </c>
      <c r="F1701" s="187" t="n">
        <v>3</v>
      </c>
      <c r="G1701" s="187" t="n">
        <v>1</v>
      </c>
      <c r="H1701" s="187" t="inlineStr">
        <is>
          <t>MEDIUM</t>
        </is>
      </c>
      <c r="I1701" s="187" t="n">
        <v>9.5</v>
      </c>
      <c r="J1701" s="187" t="inlineStr">
        <is>
          <t>NO</t>
        </is>
      </c>
      <c r="K1701" s="187" t="inlineStr">
        <is>
          <t>https://www.abuseipdb.com/check/162.243.201.163</t>
        </is>
      </c>
      <c r="L1701" s="187" t="inlineStr">
        <is>
          <t>2026-02-25T18:16:59+00:00</t>
        </is>
      </c>
      <c r="M1701" s="187" t="inlineStr">
        <is>
          <t>Block IP</t>
        </is>
      </c>
      <c r="N1701" s="187" t="inlineStr">
        <is>
          <t>https://www.abuseipdb.com/check/162.243.201.163</t>
        </is>
      </c>
      <c r="O1701" s="187" t="inlineStr">
        <is>
          <t>Block IP 162.243.201.163 at firewall | Monitor for new reports</t>
        </is>
      </c>
      <c r="P1701" s="187" t="inlineStr">
        <is>
          <t>Firewall/Network</t>
        </is>
      </c>
      <c r="Q1701" s="187" t="inlineStr">
        <is>
          <t>P4</t>
        </is>
      </c>
      <c r="R1701" s="187" t="inlineStr">
        <is>
          <t>🚫 Block IP at firewall immediately | 🔍 Check logs for existing connections | 🛡️ Add to threat intelligence blocklist</t>
        </is>
      </c>
      <c r="S1701" s="187" t="inlineStr">
        <is>
          <t>Skipped (20/run cap)</t>
        </is>
      </c>
      <c r="T1701" s="187" t="n">
        <v>0</v>
      </c>
      <c r="U1701" s="187" t="n">
        <v>0</v>
      </c>
      <c r="V1701" s="187" t="inlineStr">
        <is>
          <t>T1110:Brute Force | T1078:Valid Accounts</t>
        </is>
      </c>
      <c r="W1701" s="187" t="n">
        <v>1</v>
      </c>
      <c r="X1701" s="187" t="inlineStr">
        <is>
          <t>LOW (40%)</t>
        </is>
      </c>
      <c r="Y1701" s="187" t="inlineStr">
        <is>
          <t>NONE</t>
        </is>
      </c>
      <c r="Z1701" s="187" t="inlineStr">
        <is>
          <t>NONE</t>
        </is>
      </c>
      <c r="AA1701" s="187" t="inlineStr">
        <is>
          <t>NONE</t>
        </is>
      </c>
      <c r="AB1701" s="187" t="inlineStr">
        <is>
          <t>NONE</t>
        </is>
      </c>
      <c r="AC1701" s="187" t="n">
        <v>0</v>
      </c>
      <c r="AD1701" s="187" t="inlineStr"/>
    </row>
    <row r="1702">
      <c r="A1702" s="188" t="inlineStr">
        <is>
          <t>FEODO_C2</t>
        </is>
      </c>
      <c r="B1702" s="188" t="inlineStr">
        <is>
          <t>dd4f0099a454</t>
        </is>
      </c>
      <c r="C1702" s="188" t="inlineStr">
        <is>
          <t>Botnet C2 [Emotet]: 162.243.103.246:8080 | Country: US | Last online: 2026-02-06 | Also in: FEODO</t>
        </is>
      </c>
      <c r="D1702" s="188" t="n">
        <v>8</v>
      </c>
      <c r="E1702" s="188" t="inlineStr">
        <is>
          <t>HIGH</t>
        </is>
      </c>
      <c r="F1702" s="188" t="n">
        <v>3</v>
      </c>
      <c r="G1702" s="188" t="n">
        <v>3</v>
      </c>
      <c r="H1702" s="188" t="inlineStr">
        <is>
          <t>CRITICAL</t>
        </is>
      </c>
      <c r="I1702" s="188" t="n">
        <v>17</v>
      </c>
      <c r="J1702" s="188" t="inlineStr">
        <is>
          <t>NO</t>
        </is>
      </c>
      <c r="K1702" s="188" t="inlineStr">
        <is>
          <t>https://feodotracker.abuse.ch/</t>
        </is>
      </c>
      <c r="L1702" s="188" t="inlineStr">
        <is>
          <t>2026-02-06</t>
        </is>
      </c>
      <c r="M1702" s="188" t="inlineStr">
        <is>
          <t>Block C2 immediately</t>
        </is>
      </c>
      <c r="N1702" s="188" t="inlineStr">
        <is>
          <t>https://feodotracker.abuse.ch/browse.php?search=162.243.103.246</t>
        </is>
      </c>
      <c r="O1702" s="188" t="inlineStr">
        <is>
          <t>Block C2 IP 162.243.103.246:8080 immediately | Hunt for infected hosts</t>
        </is>
      </c>
      <c r="P1702" s="188" t="inlineStr">
        <is>
          <t>Network/Endpoints</t>
        </is>
      </c>
      <c r="Q1702" s="188" t="inlineStr">
        <is>
          <t>P1</t>
        </is>
      </c>
      <c r="R1702" s="188" t="inlineStr">
        <is>
          <t>🚫 Block IP at firewall immediately | 🔍 Check logs for existing connections | 🛡️ Add to threat intelligence blocklist</t>
        </is>
      </c>
      <c r="S1702" s="188" t="inlineStr">
        <is>
          <t>Skipped (20/run cap)</t>
        </is>
      </c>
      <c r="T1702" s="188" t="n">
        <v>0</v>
      </c>
      <c r="U1702" s="188" t="n">
        <v>0</v>
      </c>
      <c r="V1702" s="188" t="inlineStr">
        <is>
          <t>T1071:Application Layer Protocol | T1041:Exfiltration Over C2 Channel | T1486:Data Encrypted for Impact</t>
        </is>
      </c>
      <c r="W1702" s="188" t="n">
        <v>1</v>
      </c>
      <c r="X1702" s="188" t="inlineStr">
        <is>
          <t>HIGH (70%)</t>
        </is>
      </c>
      <c r="Y1702" s="188" t="inlineStr">
        <is>
          <t>NONE</t>
        </is>
      </c>
      <c r="Z1702" s="188" t="inlineStr">
        <is>
          <t>NONE</t>
        </is>
      </c>
      <c r="AA1702" s="188" t="inlineStr">
        <is>
          <t>NONE</t>
        </is>
      </c>
      <c r="AB1702" s="188" t="inlineStr">
        <is>
          <t>NONE</t>
        </is>
      </c>
      <c r="AC1702" s="188" t="n">
        <v>0</v>
      </c>
      <c r="AD1702" s="188" t="inlineStr"/>
    </row>
    <row r="1703">
      <c r="A1703" s="188" t="inlineStr">
        <is>
          <t>FEODO_C2</t>
        </is>
      </c>
      <c r="B1703" s="188" t="inlineStr">
        <is>
          <t>5c72177d8436</t>
        </is>
      </c>
      <c r="C1703" s="188" t="inlineStr">
        <is>
          <t>Botnet C2 [QakBot]: 34.204.119.63:443 | Country: US | Last online: 2026-02-25 | Also in: FEODO</t>
        </is>
      </c>
      <c r="D1703" s="188" t="n">
        <v>8</v>
      </c>
      <c r="E1703" s="188" t="inlineStr">
        <is>
          <t>HIGH</t>
        </is>
      </c>
      <c r="F1703" s="188" t="n">
        <v>3</v>
      </c>
      <c r="G1703" s="188" t="n">
        <v>3</v>
      </c>
      <c r="H1703" s="188" t="inlineStr">
        <is>
          <t>CRITICAL</t>
        </is>
      </c>
      <c r="I1703" s="188" t="n">
        <v>17</v>
      </c>
      <c r="J1703" s="188" t="inlineStr">
        <is>
          <t>NO</t>
        </is>
      </c>
      <c r="K1703" s="188" t="inlineStr">
        <is>
          <t>https://feodotracker.abuse.ch/</t>
        </is>
      </c>
      <c r="L1703" s="188" t="inlineStr">
        <is>
          <t>2026-02-25</t>
        </is>
      </c>
      <c r="M1703" s="188" t="inlineStr">
        <is>
          <t>Block C2 immediately</t>
        </is>
      </c>
      <c r="N1703" s="188" t="inlineStr">
        <is>
          <t>https://feodotracker.abuse.ch/browse.php?search=34.204.119.63</t>
        </is>
      </c>
      <c r="O1703" s="188" t="inlineStr">
        <is>
          <t>Block C2 IP 34.204.119.63:443 immediately | Hunt for infected hosts</t>
        </is>
      </c>
      <c r="P1703" s="188" t="inlineStr">
        <is>
          <t>Network/Endpoints</t>
        </is>
      </c>
      <c r="Q1703" s="188" t="inlineStr">
        <is>
          <t>P1</t>
        </is>
      </c>
      <c r="R1703" s="188" t="inlineStr">
        <is>
          <t>🚫 Block IP at firewall immediately | 🔍 Check logs for existing connections | 🛡️ Add to threat intelligence blocklist</t>
        </is>
      </c>
      <c r="S1703" s="188" t="inlineStr">
        <is>
          <t>Skipped (20/run cap)</t>
        </is>
      </c>
      <c r="T1703" s="188" t="n">
        <v>0</v>
      </c>
      <c r="U1703" s="188" t="n">
        <v>0</v>
      </c>
      <c r="V1703" s="188" t="inlineStr">
        <is>
          <t>T1071:Application Layer Protocol | T1041:Exfiltration Over C2 Channel | T1486:Data Encrypted for Impact</t>
        </is>
      </c>
      <c r="W1703" s="188" t="n">
        <v>1</v>
      </c>
      <c r="X1703" s="188" t="inlineStr">
        <is>
          <t>HIGH (70%)</t>
        </is>
      </c>
      <c r="Y1703" s="188" t="inlineStr">
        <is>
          <t>NONE</t>
        </is>
      </c>
      <c r="Z1703" s="188" t="inlineStr">
        <is>
          <t>NONE</t>
        </is>
      </c>
      <c r="AA1703" s="188" t="inlineStr">
        <is>
          <t>NONE</t>
        </is>
      </c>
      <c r="AB1703" s="188" t="inlineStr">
        <is>
          <t>NONE</t>
        </is>
      </c>
      <c r="AC1703" s="188" t="n">
        <v>0</v>
      </c>
      <c r="AD1703" s="188" t="inlineStr"/>
    </row>
    <row r="1704">
      <c r="A1704" s="188" t="inlineStr">
        <is>
          <t>FEODO_C2</t>
        </is>
      </c>
      <c r="B1704" s="188" t="inlineStr">
        <is>
          <t>3e7bffdfcbae</t>
        </is>
      </c>
      <c r="C1704" s="188" t="inlineStr">
        <is>
          <t>Botnet C2 [QakBot]: 178.62.3.223:443 | Country: GB | Last online: 2026-02-18 | Also in: FEODO</t>
        </is>
      </c>
      <c r="D1704" s="188" t="n">
        <v>8</v>
      </c>
      <c r="E1704" s="188" t="inlineStr">
        <is>
          <t>HIGH</t>
        </is>
      </c>
      <c r="F1704" s="188" t="n">
        <v>3</v>
      </c>
      <c r="G1704" s="188" t="n">
        <v>3</v>
      </c>
      <c r="H1704" s="188" t="inlineStr">
        <is>
          <t>CRITICAL</t>
        </is>
      </c>
      <c r="I1704" s="188" t="n">
        <v>17</v>
      </c>
      <c r="J1704" s="188" t="inlineStr">
        <is>
          <t>NO</t>
        </is>
      </c>
      <c r="K1704" s="188" t="inlineStr">
        <is>
          <t>https://feodotracker.abuse.ch/</t>
        </is>
      </c>
      <c r="L1704" s="188" t="inlineStr">
        <is>
          <t>2026-02-18</t>
        </is>
      </c>
      <c r="M1704" s="188" t="inlineStr">
        <is>
          <t>Block C2 immediately</t>
        </is>
      </c>
      <c r="N1704" s="188" t="inlineStr">
        <is>
          <t>https://feodotracker.abuse.ch/browse.php?search=178.62.3.223</t>
        </is>
      </c>
      <c r="O1704" s="188" t="inlineStr">
        <is>
          <t>Block C2 IP 178.62.3.223:443 immediately | Hunt for infected hosts</t>
        </is>
      </c>
      <c r="P1704" s="188" t="inlineStr">
        <is>
          <t>Network/Endpoints</t>
        </is>
      </c>
      <c r="Q1704" s="188" t="inlineStr">
        <is>
          <t>P1</t>
        </is>
      </c>
      <c r="R1704" s="188" t="inlineStr">
        <is>
          <t>🚫 Block IP at firewall immediately | 🔍 Check logs for existing connections | 🛡️ Add to threat intelligence blocklist</t>
        </is>
      </c>
      <c r="S1704" s="188" t="inlineStr">
        <is>
          <t>Skipped (20/run cap)</t>
        </is>
      </c>
      <c r="T1704" s="188" t="n">
        <v>0</v>
      </c>
      <c r="U1704" s="188" t="n">
        <v>0</v>
      </c>
      <c r="V1704" s="188" t="inlineStr">
        <is>
          <t>T1071:Application Layer Protocol | T1041:Exfiltration Over C2 Channel | T1486:Data Encrypted for Impact</t>
        </is>
      </c>
      <c r="W1704" s="188" t="n">
        <v>1</v>
      </c>
      <c r="X1704" s="188" t="inlineStr">
        <is>
          <t>HIGH (70%)</t>
        </is>
      </c>
      <c r="Y1704" s="188" t="inlineStr">
        <is>
          <t>NONE</t>
        </is>
      </c>
      <c r="Z1704" s="188" t="inlineStr">
        <is>
          <t>NONE</t>
        </is>
      </c>
      <c r="AA1704" s="188" t="inlineStr">
        <is>
          <t>NONE</t>
        </is>
      </c>
      <c r="AB1704" s="188" t="inlineStr">
        <is>
          <t>NONE</t>
        </is>
      </c>
      <c r="AC1704" s="188" t="n">
        <v>0</v>
      </c>
      <c r="AD1704" s="188" t="inlineStr"/>
    </row>
    <row r="1705">
      <c r="A1705" s="187" t="inlineStr">
        <is>
          <t>FIREHOL_THREAT</t>
        </is>
      </c>
      <c r="B1705" s="187" t="inlineStr">
        <is>
          <t>41744fea4be9</t>
        </is>
      </c>
      <c r="C1705" s="187" t="inlineStr">
        <is>
          <t>DROP List CIDR: 0.0.0.0/8 | FireHOL L1 threat IP/CIDR | ASN: FireHOL-L1</t>
        </is>
      </c>
      <c r="D1705" s="187" t="n">
        <v>6</v>
      </c>
      <c r="E1705" s="187" t="inlineStr">
        <is>
          <t>MEDIUM</t>
        </is>
      </c>
      <c r="F1705" s="187" t="n">
        <v>2</v>
      </c>
      <c r="G1705" s="187" t="n">
        <v>2</v>
      </c>
      <c r="H1705" s="187" t="inlineStr">
        <is>
          <t>MEDIUM</t>
        </is>
      </c>
      <c r="I1705" s="187" t="n">
        <v>10</v>
      </c>
      <c r="J1705" s="187" t="inlineStr">
        <is>
          <t>NO</t>
        </is>
      </c>
      <c r="K1705" s="187" t="inlineStr">
        <is>
          <t>https://www.spamhaus.org/drop/</t>
        </is>
      </c>
      <c r="L1705" s="187" t="inlineStr">
        <is>
          <t>2026-02-26 00:15</t>
        </is>
      </c>
      <c r="M1705" s="187" t="inlineStr">
        <is>
          <t>Block CIDR</t>
        </is>
      </c>
      <c r="N1705" s="187" t="inlineStr">
        <is>
          <t>https://www.spamhaus.org/drop/</t>
        </is>
      </c>
      <c r="O1705" s="187" t="inlineStr">
        <is>
          <t>Block CIDR 0.0.0.0/8 at firewall</t>
        </is>
      </c>
      <c r="P1705" s="187" t="inlineStr">
        <is>
          <t>Firewall/Email</t>
        </is>
      </c>
      <c r="Q1705" s="187" t="inlineStr">
        <is>
          <t>P4</t>
        </is>
      </c>
      <c r="R1705" s="187" t="inlineStr">
        <is>
          <t>🔍 Investigate and apply appropriate controls</t>
        </is>
      </c>
      <c r="S1705" s="187" t="inlineStr">
        <is>
          <t>Spamhaus - CIDR range</t>
        </is>
      </c>
      <c r="T1705" s="187" t="n">
        <v>0</v>
      </c>
      <c r="U1705" s="187" t="n">
        <v>0</v>
      </c>
      <c r="V1705" s="187" t="inlineStr">
        <is>
          <t>T1566:Phishing | T1078:Valid Accounts</t>
        </is>
      </c>
      <c r="W1705" s="187" t="n">
        <v>1</v>
      </c>
      <c r="X1705" s="187" t="inlineStr">
        <is>
          <t>LOW (40%)</t>
        </is>
      </c>
      <c r="Y1705" s="187" t="inlineStr">
        <is>
          <t>NONE</t>
        </is>
      </c>
      <c r="Z1705" s="187" t="inlineStr">
        <is>
          <t>NONE</t>
        </is>
      </c>
      <c r="AA1705" s="187" t="inlineStr">
        <is>
          <t>NONE</t>
        </is>
      </c>
      <c r="AB1705" s="187" t="inlineStr">
        <is>
          <t>NONE</t>
        </is>
      </c>
      <c r="AC1705" s="187" t="n">
        <v>0</v>
      </c>
      <c r="AD1705" s="187" t="inlineStr"/>
    </row>
    <row r="1706">
      <c r="A1706" s="187" t="inlineStr">
        <is>
          <t>FIREHOL_THREAT</t>
        </is>
      </c>
      <c r="B1706" s="187" t="inlineStr">
        <is>
          <t>16557aba7819</t>
        </is>
      </c>
      <c r="C1706" s="187" t="inlineStr">
        <is>
          <t>DROP List CIDR: 1.10.16.0/20 | FireHOL L1 threat IP/CIDR | ASN: FireHOL-L1</t>
        </is>
      </c>
      <c r="D1706" s="187" t="n">
        <v>6</v>
      </c>
      <c r="E1706" s="187" t="inlineStr">
        <is>
          <t>MEDIUM</t>
        </is>
      </c>
      <c r="F1706" s="187" t="n">
        <v>2</v>
      </c>
      <c r="G1706" s="187" t="n">
        <v>2</v>
      </c>
      <c r="H1706" s="187" t="inlineStr">
        <is>
          <t>MEDIUM</t>
        </is>
      </c>
      <c r="I1706" s="187" t="n">
        <v>10</v>
      </c>
      <c r="J1706" s="187" t="inlineStr">
        <is>
          <t>NO</t>
        </is>
      </c>
      <c r="K1706" s="187" t="inlineStr">
        <is>
          <t>https://www.spamhaus.org/drop/</t>
        </is>
      </c>
      <c r="L1706" s="187" t="inlineStr">
        <is>
          <t>2026-02-26 00:15</t>
        </is>
      </c>
      <c r="M1706" s="187" t="inlineStr">
        <is>
          <t>Block CIDR</t>
        </is>
      </c>
      <c r="N1706" s="187" t="inlineStr">
        <is>
          <t>https://www.spamhaus.org/drop/</t>
        </is>
      </c>
      <c r="O1706" s="187" t="inlineStr">
        <is>
          <t>Block CIDR 1.10.16.0/20 at firewall</t>
        </is>
      </c>
      <c r="P1706" s="187" t="inlineStr">
        <is>
          <t>Firewall/Email</t>
        </is>
      </c>
      <c r="Q1706" s="187" t="inlineStr">
        <is>
          <t>P4</t>
        </is>
      </c>
      <c r="R1706" s="187" t="inlineStr">
        <is>
          <t>🔍 Investigate and apply appropriate controls</t>
        </is>
      </c>
      <c r="S1706" s="187" t="inlineStr">
        <is>
          <t>Spamhaus - CIDR range</t>
        </is>
      </c>
      <c r="T1706" s="187" t="n">
        <v>0</v>
      </c>
      <c r="U1706" s="187" t="n">
        <v>0</v>
      </c>
      <c r="V1706" s="187" t="inlineStr">
        <is>
          <t>T1566:Phishing | T1078:Valid Accounts</t>
        </is>
      </c>
      <c r="W1706" s="187" t="n">
        <v>1</v>
      </c>
      <c r="X1706" s="187" t="inlineStr">
        <is>
          <t>LOW (40%)</t>
        </is>
      </c>
      <c r="Y1706" s="187" t="inlineStr">
        <is>
          <t>NONE</t>
        </is>
      </c>
      <c r="Z1706" s="187" t="inlineStr">
        <is>
          <t>NONE</t>
        </is>
      </c>
      <c r="AA1706" s="187" t="inlineStr">
        <is>
          <t>NONE</t>
        </is>
      </c>
      <c r="AB1706" s="187" t="inlineStr">
        <is>
          <t>NONE</t>
        </is>
      </c>
      <c r="AC1706" s="187" t="n">
        <v>0</v>
      </c>
      <c r="AD1706" s="187" t="inlineStr"/>
    </row>
    <row r="1707">
      <c r="A1707" s="187" t="inlineStr">
        <is>
          <t>FIREHOL_THREAT</t>
        </is>
      </c>
      <c r="B1707" s="187" t="inlineStr">
        <is>
          <t>036d6cf17ed5</t>
        </is>
      </c>
      <c r="C1707" s="187" t="inlineStr">
        <is>
          <t>DROP List CIDR: 1.19.0.0/16 | FireHOL L1 threat IP/CIDR | ASN: FireHOL-L1</t>
        </is>
      </c>
      <c r="D1707" s="187" t="n">
        <v>6</v>
      </c>
      <c r="E1707" s="187" t="inlineStr">
        <is>
          <t>MEDIUM</t>
        </is>
      </c>
      <c r="F1707" s="187" t="n">
        <v>2</v>
      </c>
      <c r="G1707" s="187" t="n">
        <v>2</v>
      </c>
      <c r="H1707" s="187" t="inlineStr">
        <is>
          <t>MEDIUM</t>
        </is>
      </c>
      <c r="I1707" s="187" t="n">
        <v>10</v>
      </c>
      <c r="J1707" s="187" t="inlineStr">
        <is>
          <t>NO</t>
        </is>
      </c>
      <c r="K1707" s="187" t="inlineStr">
        <is>
          <t>https://www.spamhaus.org/drop/</t>
        </is>
      </c>
      <c r="L1707" s="187" t="inlineStr">
        <is>
          <t>2026-02-26 00:15</t>
        </is>
      </c>
      <c r="M1707" s="187" t="inlineStr">
        <is>
          <t>Block CIDR</t>
        </is>
      </c>
      <c r="N1707" s="187" t="inlineStr">
        <is>
          <t>https://www.spamhaus.org/drop/</t>
        </is>
      </c>
      <c r="O1707" s="187" t="inlineStr">
        <is>
          <t>Block CIDR 1.19.0.0/16 at firewall</t>
        </is>
      </c>
      <c r="P1707" s="187" t="inlineStr">
        <is>
          <t>Firewall/Email</t>
        </is>
      </c>
      <c r="Q1707" s="187" t="inlineStr">
        <is>
          <t>P4</t>
        </is>
      </c>
      <c r="R1707" s="187" t="inlineStr">
        <is>
          <t>🔍 Investigate and apply appropriate controls</t>
        </is>
      </c>
      <c r="S1707" s="187" t="inlineStr">
        <is>
          <t>Spamhaus - CIDR range</t>
        </is>
      </c>
      <c r="T1707" s="187" t="n">
        <v>0</v>
      </c>
      <c r="U1707" s="187" t="n">
        <v>0</v>
      </c>
      <c r="V1707" s="187" t="inlineStr">
        <is>
          <t>T1566:Phishing | T1078:Valid Accounts</t>
        </is>
      </c>
      <c r="W1707" s="187" t="n">
        <v>1</v>
      </c>
      <c r="X1707" s="187" t="inlineStr">
        <is>
          <t>LOW (40%)</t>
        </is>
      </c>
      <c r="Y1707" s="187" t="inlineStr">
        <is>
          <t>NONE</t>
        </is>
      </c>
      <c r="Z1707" s="187" t="inlineStr">
        <is>
          <t>NONE</t>
        </is>
      </c>
      <c r="AA1707" s="187" t="inlineStr">
        <is>
          <t>NONE</t>
        </is>
      </c>
      <c r="AB1707" s="187" t="inlineStr">
        <is>
          <t>NONE</t>
        </is>
      </c>
      <c r="AC1707" s="187" t="n">
        <v>0</v>
      </c>
      <c r="AD1707" s="187" t="inlineStr"/>
    </row>
    <row r="1708">
      <c r="A1708" s="187" t="inlineStr">
        <is>
          <t>FIREHOL_THREAT</t>
        </is>
      </c>
      <c r="B1708" s="187" t="inlineStr">
        <is>
          <t>087f73381bbd</t>
        </is>
      </c>
      <c r="C1708" s="187" t="inlineStr">
        <is>
          <t>DROP List CIDR: 1.32.128.0/18 | FireHOL L1 threat IP/CIDR | ASN: FireHOL-L1</t>
        </is>
      </c>
      <c r="D1708" s="187" t="n">
        <v>6</v>
      </c>
      <c r="E1708" s="187" t="inlineStr">
        <is>
          <t>MEDIUM</t>
        </is>
      </c>
      <c r="F1708" s="187" t="n">
        <v>2</v>
      </c>
      <c r="G1708" s="187" t="n">
        <v>2</v>
      </c>
      <c r="H1708" s="187" t="inlineStr">
        <is>
          <t>MEDIUM</t>
        </is>
      </c>
      <c r="I1708" s="187" t="n">
        <v>10</v>
      </c>
      <c r="J1708" s="187" t="inlineStr">
        <is>
          <t>NO</t>
        </is>
      </c>
      <c r="K1708" s="187" t="inlineStr">
        <is>
          <t>https://www.spamhaus.org/drop/</t>
        </is>
      </c>
      <c r="L1708" s="187" t="inlineStr">
        <is>
          <t>2026-02-26 00:15</t>
        </is>
      </c>
      <c r="M1708" s="187" t="inlineStr">
        <is>
          <t>Block CIDR</t>
        </is>
      </c>
      <c r="N1708" s="187" t="inlineStr">
        <is>
          <t>https://www.spamhaus.org/drop/</t>
        </is>
      </c>
      <c r="O1708" s="187" t="inlineStr">
        <is>
          <t>Block CIDR 1.32.128.0/18 at firewall</t>
        </is>
      </c>
      <c r="P1708" s="187" t="inlineStr">
        <is>
          <t>Firewall/Email</t>
        </is>
      </c>
      <c r="Q1708" s="187" t="inlineStr">
        <is>
          <t>P4</t>
        </is>
      </c>
      <c r="R1708" s="187" t="inlineStr">
        <is>
          <t>🔍 Investigate and apply appropriate controls</t>
        </is>
      </c>
      <c r="S1708" s="187" t="inlineStr">
        <is>
          <t>Spamhaus - CIDR range</t>
        </is>
      </c>
      <c r="T1708" s="187" t="n">
        <v>0</v>
      </c>
      <c r="U1708" s="187" t="n">
        <v>0</v>
      </c>
      <c r="V1708" s="187" t="inlineStr">
        <is>
          <t>T1566:Phishing | T1078:Valid Accounts</t>
        </is>
      </c>
      <c r="W1708" s="187" t="n">
        <v>1</v>
      </c>
      <c r="X1708" s="187" t="inlineStr">
        <is>
          <t>LOW (40%)</t>
        </is>
      </c>
      <c r="Y1708" s="187" t="inlineStr">
        <is>
          <t>NONE</t>
        </is>
      </c>
      <c r="Z1708" s="187" t="inlineStr">
        <is>
          <t>NONE</t>
        </is>
      </c>
      <c r="AA1708" s="187" t="inlineStr">
        <is>
          <t>NONE</t>
        </is>
      </c>
      <c r="AB1708" s="187" t="inlineStr">
        <is>
          <t>NONE</t>
        </is>
      </c>
      <c r="AC1708" s="187" t="n">
        <v>0</v>
      </c>
      <c r="AD1708" s="187" t="inlineStr"/>
    </row>
    <row r="1709">
      <c r="A1709" s="187" t="inlineStr">
        <is>
          <t>FIREHOL_THREAT</t>
        </is>
      </c>
      <c r="B1709" s="187" t="inlineStr">
        <is>
          <t>452c623d084c</t>
        </is>
      </c>
      <c r="C1709" s="187" t="inlineStr">
        <is>
          <t>DROP List CIDR: 2.56.192.0/22 | FireHOL L1 threat IP/CIDR | ASN: FireHOL-L1</t>
        </is>
      </c>
      <c r="D1709" s="187" t="n">
        <v>6</v>
      </c>
      <c r="E1709" s="187" t="inlineStr">
        <is>
          <t>MEDIUM</t>
        </is>
      </c>
      <c r="F1709" s="187" t="n">
        <v>2</v>
      </c>
      <c r="G1709" s="187" t="n">
        <v>2</v>
      </c>
      <c r="H1709" s="187" t="inlineStr">
        <is>
          <t>MEDIUM</t>
        </is>
      </c>
      <c r="I1709" s="187" t="n">
        <v>10</v>
      </c>
      <c r="J1709" s="187" t="inlineStr">
        <is>
          <t>NO</t>
        </is>
      </c>
      <c r="K1709" s="187" t="inlineStr">
        <is>
          <t>https://www.spamhaus.org/drop/</t>
        </is>
      </c>
      <c r="L1709" s="187" t="inlineStr">
        <is>
          <t>2026-02-26 00:15</t>
        </is>
      </c>
      <c r="M1709" s="187" t="inlineStr">
        <is>
          <t>Block CIDR</t>
        </is>
      </c>
      <c r="N1709" s="187" t="inlineStr">
        <is>
          <t>https://www.spamhaus.org/drop/</t>
        </is>
      </c>
      <c r="O1709" s="187" t="inlineStr">
        <is>
          <t>Block CIDR 2.56.192.0/22 at firewall</t>
        </is>
      </c>
      <c r="P1709" s="187" t="inlineStr">
        <is>
          <t>Firewall/Email</t>
        </is>
      </c>
      <c r="Q1709" s="187" t="inlineStr">
        <is>
          <t>P4</t>
        </is>
      </c>
      <c r="R1709" s="187" t="inlineStr">
        <is>
          <t>🔍 Investigate and apply appropriate controls</t>
        </is>
      </c>
      <c r="S1709" s="187" t="inlineStr">
        <is>
          <t>Spamhaus - CIDR range</t>
        </is>
      </c>
      <c r="T1709" s="187" t="n">
        <v>0</v>
      </c>
      <c r="U1709" s="187" t="n">
        <v>0</v>
      </c>
      <c r="V1709" s="187" t="inlineStr">
        <is>
          <t>T1566:Phishing | T1078:Valid Accounts</t>
        </is>
      </c>
      <c r="W1709" s="187" t="n">
        <v>1</v>
      </c>
      <c r="X1709" s="187" t="inlineStr">
        <is>
          <t>LOW (40%)</t>
        </is>
      </c>
      <c r="Y1709" s="187" t="inlineStr">
        <is>
          <t>NONE</t>
        </is>
      </c>
      <c r="Z1709" s="187" t="inlineStr">
        <is>
          <t>NONE</t>
        </is>
      </c>
      <c r="AA1709" s="187" t="inlineStr">
        <is>
          <t>NONE</t>
        </is>
      </c>
      <c r="AB1709" s="187" t="inlineStr">
        <is>
          <t>NONE</t>
        </is>
      </c>
      <c r="AC1709" s="187" t="n">
        <v>0</v>
      </c>
      <c r="AD1709" s="187" t="inlineStr"/>
    </row>
    <row r="1710">
      <c r="A1710" s="187" t="inlineStr">
        <is>
          <t>FIREHOL_THREAT</t>
        </is>
      </c>
      <c r="B1710" s="187" t="inlineStr">
        <is>
          <t>7ceaa959d06d</t>
        </is>
      </c>
      <c r="C1710" s="187" t="inlineStr">
        <is>
          <t>DROP List CIDR: 2.57.122.0/24 | FireHOL L1 threat IP/CIDR | ASN: FireHOL-L1</t>
        </is>
      </c>
      <c r="D1710" s="187" t="n">
        <v>6</v>
      </c>
      <c r="E1710" s="187" t="inlineStr">
        <is>
          <t>MEDIUM</t>
        </is>
      </c>
      <c r="F1710" s="187" t="n">
        <v>2</v>
      </c>
      <c r="G1710" s="187" t="n">
        <v>2</v>
      </c>
      <c r="H1710" s="187" t="inlineStr">
        <is>
          <t>MEDIUM</t>
        </is>
      </c>
      <c r="I1710" s="187" t="n">
        <v>10</v>
      </c>
      <c r="J1710" s="187" t="inlineStr">
        <is>
          <t>NO</t>
        </is>
      </c>
      <c r="K1710" s="187" t="inlineStr">
        <is>
          <t>https://www.spamhaus.org/drop/</t>
        </is>
      </c>
      <c r="L1710" s="187" t="inlineStr">
        <is>
          <t>2026-02-26 00:15</t>
        </is>
      </c>
      <c r="M1710" s="187" t="inlineStr">
        <is>
          <t>Block CIDR</t>
        </is>
      </c>
      <c r="N1710" s="187" t="inlineStr">
        <is>
          <t>https://www.spamhaus.org/drop/</t>
        </is>
      </c>
      <c r="O1710" s="187" t="inlineStr">
        <is>
          <t>Block CIDR 2.57.122.0/24 at firewall</t>
        </is>
      </c>
      <c r="P1710" s="187" t="inlineStr">
        <is>
          <t>Firewall/Email</t>
        </is>
      </c>
      <c r="Q1710" s="187" t="inlineStr">
        <is>
          <t>P4</t>
        </is>
      </c>
      <c r="R1710" s="187" t="inlineStr">
        <is>
          <t>🔍 Investigate and apply appropriate controls</t>
        </is>
      </c>
      <c r="S1710" s="187" t="inlineStr">
        <is>
          <t>Spamhaus - CIDR range</t>
        </is>
      </c>
      <c r="T1710" s="187" t="n">
        <v>0</v>
      </c>
      <c r="U1710" s="187" t="n">
        <v>0</v>
      </c>
      <c r="V1710" s="187" t="inlineStr">
        <is>
          <t>T1566:Phishing | T1078:Valid Accounts</t>
        </is>
      </c>
      <c r="W1710" s="187" t="n">
        <v>1</v>
      </c>
      <c r="X1710" s="187" t="inlineStr">
        <is>
          <t>LOW (40%)</t>
        </is>
      </c>
      <c r="Y1710" s="187" t="inlineStr">
        <is>
          <t>NONE</t>
        </is>
      </c>
      <c r="Z1710" s="187" t="inlineStr">
        <is>
          <t>NONE</t>
        </is>
      </c>
      <c r="AA1710" s="187" t="inlineStr">
        <is>
          <t>NONE</t>
        </is>
      </c>
      <c r="AB1710" s="187" t="inlineStr">
        <is>
          <t>NONE</t>
        </is>
      </c>
      <c r="AC1710" s="187" t="n">
        <v>0</v>
      </c>
      <c r="AD1710" s="187" t="inlineStr"/>
    </row>
    <row r="1711">
      <c r="A1711" s="187" t="inlineStr">
        <is>
          <t>FIREHOL_THREAT</t>
        </is>
      </c>
      <c r="B1711" s="187" t="inlineStr">
        <is>
          <t>b7c5eff6534b</t>
        </is>
      </c>
      <c r="C1711" s="187" t="inlineStr">
        <is>
          <t>DROP List CIDR: 2.57.149.0/24 | FireHOL L1 threat IP/CIDR | ASN: FireHOL-L1</t>
        </is>
      </c>
      <c r="D1711" s="187" t="n">
        <v>6</v>
      </c>
      <c r="E1711" s="187" t="inlineStr">
        <is>
          <t>MEDIUM</t>
        </is>
      </c>
      <c r="F1711" s="187" t="n">
        <v>2</v>
      </c>
      <c r="G1711" s="187" t="n">
        <v>2</v>
      </c>
      <c r="H1711" s="187" t="inlineStr">
        <is>
          <t>MEDIUM</t>
        </is>
      </c>
      <c r="I1711" s="187" t="n">
        <v>10</v>
      </c>
      <c r="J1711" s="187" t="inlineStr">
        <is>
          <t>NO</t>
        </is>
      </c>
      <c r="K1711" s="187" t="inlineStr">
        <is>
          <t>https://www.spamhaus.org/drop/</t>
        </is>
      </c>
      <c r="L1711" s="187" t="inlineStr">
        <is>
          <t>2026-02-26 00:15</t>
        </is>
      </c>
      <c r="M1711" s="187" t="inlineStr">
        <is>
          <t>Block CIDR</t>
        </is>
      </c>
      <c r="N1711" s="187" t="inlineStr">
        <is>
          <t>https://www.spamhaus.org/drop/</t>
        </is>
      </c>
      <c r="O1711" s="187" t="inlineStr">
        <is>
          <t>Block CIDR 2.57.149.0/24 at firewall</t>
        </is>
      </c>
      <c r="P1711" s="187" t="inlineStr">
        <is>
          <t>Firewall/Email</t>
        </is>
      </c>
      <c r="Q1711" s="187" t="inlineStr">
        <is>
          <t>P4</t>
        </is>
      </c>
      <c r="R1711" s="187" t="inlineStr">
        <is>
          <t>🔍 Investigate and apply appropriate controls</t>
        </is>
      </c>
      <c r="S1711" s="187" t="inlineStr">
        <is>
          <t>Spamhaus - CIDR range</t>
        </is>
      </c>
      <c r="T1711" s="187" t="n">
        <v>0</v>
      </c>
      <c r="U1711" s="187" t="n">
        <v>0</v>
      </c>
      <c r="V1711" s="187" t="inlineStr">
        <is>
          <t>T1566:Phishing | T1078:Valid Accounts</t>
        </is>
      </c>
      <c r="W1711" s="187" t="n">
        <v>1</v>
      </c>
      <c r="X1711" s="187" t="inlineStr">
        <is>
          <t>LOW (40%)</t>
        </is>
      </c>
      <c r="Y1711" s="187" t="inlineStr">
        <is>
          <t>NONE</t>
        </is>
      </c>
      <c r="Z1711" s="187" t="inlineStr">
        <is>
          <t>NONE</t>
        </is>
      </c>
      <c r="AA1711" s="187" t="inlineStr">
        <is>
          <t>NONE</t>
        </is>
      </c>
      <c r="AB1711" s="187" t="inlineStr">
        <is>
          <t>NONE</t>
        </is>
      </c>
      <c r="AC1711" s="187" t="n">
        <v>0</v>
      </c>
      <c r="AD1711" s="187" t="inlineStr"/>
    </row>
    <row r="1712">
      <c r="A1712" s="187" t="inlineStr">
        <is>
          <t>FIREHOL_THREAT</t>
        </is>
      </c>
      <c r="B1712" s="187" t="inlineStr">
        <is>
          <t>211aeb418ce4</t>
        </is>
      </c>
      <c r="C1712" s="187" t="inlineStr">
        <is>
          <t>DROP List CIDR: 2.57.232.0/22 | FireHOL L1 threat IP/CIDR | ASN: FireHOL-L1</t>
        </is>
      </c>
      <c r="D1712" s="187" t="n">
        <v>6</v>
      </c>
      <c r="E1712" s="187" t="inlineStr">
        <is>
          <t>MEDIUM</t>
        </is>
      </c>
      <c r="F1712" s="187" t="n">
        <v>2</v>
      </c>
      <c r="G1712" s="187" t="n">
        <v>2</v>
      </c>
      <c r="H1712" s="187" t="inlineStr">
        <is>
          <t>MEDIUM</t>
        </is>
      </c>
      <c r="I1712" s="187" t="n">
        <v>10</v>
      </c>
      <c r="J1712" s="187" t="inlineStr">
        <is>
          <t>NO</t>
        </is>
      </c>
      <c r="K1712" s="187" t="inlineStr">
        <is>
          <t>https://www.spamhaus.org/drop/</t>
        </is>
      </c>
      <c r="L1712" s="187" t="inlineStr">
        <is>
          <t>2026-02-26 00:15</t>
        </is>
      </c>
      <c r="M1712" s="187" t="inlineStr">
        <is>
          <t>Block CIDR</t>
        </is>
      </c>
      <c r="N1712" s="187" t="inlineStr">
        <is>
          <t>https://www.spamhaus.org/drop/</t>
        </is>
      </c>
      <c r="O1712" s="187" t="inlineStr">
        <is>
          <t>Block CIDR 2.57.232.0/22 at firewall</t>
        </is>
      </c>
      <c r="P1712" s="187" t="inlineStr">
        <is>
          <t>Firewall/Email</t>
        </is>
      </c>
      <c r="Q1712" s="187" t="inlineStr">
        <is>
          <t>P4</t>
        </is>
      </c>
      <c r="R1712" s="187" t="inlineStr">
        <is>
          <t>🔍 Investigate and apply appropriate controls</t>
        </is>
      </c>
      <c r="S1712" s="187" t="inlineStr">
        <is>
          <t>Spamhaus - CIDR range</t>
        </is>
      </c>
      <c r="T1712" s="187" t="n">
        <v>0</v>
      </c>
      <c r="U1712" s="187" t="n">
        <v>0</v>
      </c>
      <c r="V1712" s="187" t="inlineStr">
        <is>
          <t>T1566:Phishing | T1078:Valid Accounts</t>
        </is>
      </c>
      <c r="W1712" s="187" t="n">
        <v>1</v>
      </c>
      <c r="X1712" s="187" t="inlineStr">
        <is>
          <t>LOW (40%)</t>
        </is>
      </c>
      <c r="Y1712" s="187" t="inlineStr">
        <is>
          <t>NONE</t>
        </is>
      </c>
      <c r="Z1712" s="187" t="inlineStr">
        <is>
          <t>NONE</t>
        </is>
      </c>
      <c r="AA1712" s="187" t="inlineStr">
        <is>
          <t>NONE</t>
        </is>
      </c>
      <c r="AB1712" s="187" t="inlineStr">
        <is>
          <t>NONE</t>
        </is>
      </c>
      <c r="AC1712" s="187" t="n">
        <v>0</v>
      </c>
      <c r="AD1712" s="187" t="inlineStr"/>
    </row>
    <row r="1713">
      <c r="A1713" s="187" t="inlineStr">
        <is>
          <t>FIREHOL_THREAT</t>
        </is>
      </c>
      <c r="B1713" s="187" t="inlineStr">
        <is>
          <t>b25bffd553fe</t>
        </is>
      </c>
      <c r="C1713" s="187" t="inlineStr">
        <is>
          <t>DROP List CIDR: 2.58.56.0/24 | FireHOL L1 threat IP/CIDR | ASN: FireHOL-L1</t>
        </is>
      </c>
      <c r="D1713" s="187" t="n">
        <v>6</v>
      </c>
      <c r="E1713" s="187" t="inlineStr">
        <is>
          <t>MEDIUM</t>
        </is>
      </c>
      <c r="F1713" s="187" t="n">
        <v>2</v>
      </c>
      <c r="G1713" s="187" t="n">
        <v>2</v>
      </c>
      <c r="H1713" s="187" t="inlineStr">
        <is>
          <t>MEDIUM</t>
        </is>
      </c>
      <c r="I1713" s="187" t="n">
        <v>10</v>
      </c>
      <c r="J1713" s="187" t="inlineStr">
        <is>
          <t>NO</t>
        </is>
      </c>
      <c r="K1713" s="187" t="inlineStr">
        <is>
          <t>https://www.spamhaus.org/drop/</t>
        </is>
      </c>
      <c r="L1713" s="187" t="inlineStr">
        <is>
          <t>2026-02-26 00:15</t>
        </is>
      </c>
      <c r="M1713" s="187" t="inlineStr">
        <is>
          <t>Block CIDR</t>
        </is>
      </c>
      <c r="N1713" s="187" t="inlineStr">
        <is>
          <t>https://www.spamhaus.org/drop/</t>
        </is>
      </c>
      <c r="O1713" s="187" t="inlineStr">
        <is>
          <t>Block CIDR 2.58.56.0/24 at firewall</t>
        </is>
      </c>
      <c r="P1713" s="187" t="inlineStr">
        <is>
          <t>Firewall/Email</t>
        </is>
      </c>
      <c r="Q1713" s="187" t="inlineStr">
        <is>
          <t>P4</t>
        </is>
      </c>
      <c r="R1713" s="187" t="inlineStr">
        <is>
          <t>🔍 Investigate and apply appropriate controls</t>
        </is>
      </c>
      <c r="S1713" s="187" t="inlineStr">
        <is>
          <t>Spamhaus - CIDR range</t>
        </is>
      </c>
      <c r="T1713" s="187" t="n">
        <v>0</v>
      </c>
      <c r="U1713" s="187" t="n">
        <v>0</v>
      </c>
      <c r="V1713" s="187" t="inlineStr">
        <is>
          <t>T1566:Phishing | T1078:Valid Accounts</t>
        </is>
      </c>
      <c r="W1713" s="187" t="n">
        <v>1</v>
      </c>
      <c r="X1713" s="187" t="inlineStr">
        <is>
          <t>LOW (40%)</t>
        </is>
      </c>
      <c r="Y1713" s="187" t="inlineStr">
        <is>
          <t>NONE</t>
        </is>
      </c>
      <c r="Z1713" s="187" t="inlineStr">
        <is>
          <t>NONE</t>
        </is>
      </c>
      <c r="AA1713" s="187" t="inlineStr">
        <is>
          <t>NONE</t>
        </is>
      </c>
      <c r="AB1713" s="187" t="inlineStr">
        <is>
          <t>NONE</t>
        </is>
      </c>
      <c r="AC1713" s="187" t="n">
        <v>0</v>
      </c>
      <c r="AD1713" s="187" t="inlineStr"/>
    </row>
    <row r="1714">
      <c r="A1714" s="187" t="inlineStr">
        <is>
          <t>FIREHOL_THREAT</t>
        </is>
      </c>
      <c r="B1714" s="187" t="inlineStr">
        <is>
          <t>28fb5dc4a3f6</t>
        </is>
      </c>
      <c r="C1714" s="187" t="inlineStr">
        <is>
          <t>DROP List CIDR: 2.58.95.0/24 | FireHOL L1 threat IP/CIDR | ASN: FireHOL-L1</t>
        </is>
      </c>
      <c r="D1714" s="187" t="n">
        <v>6</v>
      </c>
      <c r="E1714" s="187" t="inlineStr">
        <is>
          <t>MEDIUM</t>
        </is>
      </c>
      <c r="F1714" s="187" t="n">
        <v>2</v>
      </c>
      <c r="G1714" s="187" t="n">
        <v>2</v>
      </c>
      <c r="H1714" s="187" t="inlineStr">
        <is>
          <t>MEDIUM</t>
        </is>
      </c>
      <c r="I1714" s="187" t="n">
        <v>10</v>
      </c>
      <c r="J1714" s="187" t="inlineStr">
        <is>
          <t>NO</t>
        </is>
      </c>
      <c r="K1714" s="187" t="inlineStr">
        <is>
          <t>https://www.spamhaus.org/drop/</t>
        </is>
      </c>
      <c r="L1714" s="187" t="inlineStr">
        <is>
          <t>2026-02-26 00:15</t>
        </is>
      </c>
      <c r="M1714" s="187" t="inlineStr">
        <is>
          <t>Block CIDR</t>
        </is>
      </c>
      <c r="N1714" s="187" t="inlineStr">
        <is>
          <t>https://www.spamhaus.org/drop/</t>
        </is>
      </c>
      <c r="O1714" s="187" t="inlineStr">
        <is>
          <t>Block CIDR 2.58.95.0/24 at firewall</t>
        </is>
      </c>
      <c r="P1714" s="187" t="inlineStr">
        <is>
          <t>Firewall/Email</t>
        </is>
      </c>
      <c r="Q1714" s="187" t="inlineStr">
        <is>
          <t>P4</t>
        </is>
      </c>
      <c r="R1714" s="187" t="inlineStr">
        <is>
          <t>🔍 Investigate and apply appropriate controls</t>
        </is>
      </c>
      <c r="S1714" s="187" t="inlineStr">
        <is>
          <t>Spamhaus - CIDR range</t>
        </is>
      </c>
      <c r="T1714" s="187" t="n">
        <v>0</v>
      </c>
      <c r="U1714" s="187" t="n">
        <v>0</v>
      </c>
      <c r="V1714" s="187" t="inlineStr">
        <is>
          <t>T1566:Phishing | T1078:Valid Accounts</t>
        </is>
      </c>
      <c r="W1714" s="187" t="n">
        <v>1</v>
      </c>
      <c r="X1714" s="187" t="inlineStr">
        <is>
          <t>LOW (40%)</t>
        </is>
      </c>
      <c r="Y1714" s="187" t="inlineStr">
        <is>
          <t>NONE</t>
        </is>
      </c>
      <c r="Z1714" s="187" t="inlineStr">
        <is>
          <t>NONE</t>
        </is>
      </c>
      <c r="AA1714" s="187" t="inlineStr">
        <is>
          <t>NONE</t>
        </is>
      </c>
      <c r="AB1714" s="187" t="inlineStr">
        <is>
          <t>NONE</t>
        </is>
      </c>
      <c r="AC1714" s="187" t="n">
        <v>0</v>
      </c>
      <c r="AD1714" s="187" t="inlineStr"/>
    </row>
    <row r="1715">
      <c r="A1715" s="187" t="inlineStr">
        <is>
          <t>FIREHOL_THREAT</t>
        </is>
      </c>
      <c r="B1715" s="187" t="inlineStr">
        <is>
          <t>dcb2a79dd6f5</t>
        </is>
      </c>
      <c r="C1715" s="187" t="inlineStr">
        <is>
          <t>DROP List CIDR: 2.59.152.0/24 | FireHOL L1 threat IP/CIDR | ASN: FireHOL-L1</t>
        </is>
      </c>
      <c r="D1715" s="187" t="n">
        <v>6</v>
      </c>
      <c r="E1715" s="187" t="inlineStr">
        <is>
          <t>MEDIUM</t>
        </is>
      </c>
      <c r="F1715" s="187" t="n">
        <v>2</v>
      </c>
      <c r="G1715" s="187" t="n">
        <v>2</v>
      </c>
      <c r="H1715" s="187" t="inlineStr">
        <is>
          <t>MEDIUM</t>
        </is>
      </c>
      <c r="I1715" s="187" t="n">
        <v>10</v>
      </c>
      <c r="J1715" s="187" t="inlineStr">
        <is>
          <t>NO</t>
        </is>
      </c>
      <c r="K1715" s="187" t="inlineStr">
        <is>
          <t>https://www.spamhaus.org/drop/</t>
        </is>
      </c>
      <c r="L1715" s="187" t="inlineStr">
        <is>
          <t>2026-02-26 00:15</t>
        </is>
      </c>
      <c r="M1715" s="187" t="inlineStr">
        <is>
          <t>Block CIDR</t>
        </is>
      </c>
      <c r="N1715" s="187" t="inlineStr">
        <is>
          <t>https://www.spamhaus.org/drop/</t>
        </is>
      </c>
      <c r="O1715" s="187" t="inlineStr">
        <is>
          <t>Block CIDR 2.59.152.0/24 at firewall</t>
        </is>
      </c>
      <c r="P1715" s="187" t="inlineStr">
        <is>
          <t>Firewall/Email</t>
        </is>
      </c>
      <c r="Q1715" s="187" t="inlineStr">
        <is>
          <t>P4</t>
        </is>
      </c>
      <c r="R1715" s="187" t="inlineStr">
        <is>
          <t>🔍 Investigate and apply appropriate controls</t>
        </is>
      </c>
      <c r="S1715" s="187" t="inlineStr">
        <is>
          <t>Spamhaus - CIDR range</t>
        </is>
      </c>
      <c r="T1715" s="187" t="n">
        <v>0</v>
      </c>
      <c r="U1715" s="187" t="n">
        <v>0</v>
      </c>
      <c r="V1715" s="187" t="inlineStr">
        <is>
          <t>T1566:Phishing | T1078:Valid Accounts</t>
        </is>
      </c>
      <c r="W1715" s="187" t="n">
        <v>1</v>
      </c>
      <c r="X1715" s="187" t="inlineStr">
        <is>
          <t>LOW (40%)</t>
        </is>
      </c>
      <c r="Y1715" s="187" t="inlineStr">
        <is>
          <t>NONE</t>
        </is>
      </c>
      <c r="Z1715" s="187" t="inlineStr">
        <is>
          <t>NONE</t>
        </is>
      </c>
      <c r="AA1715" s="187" t="inlineStr">
        <is>
          <t>NONE</t>
        </is>
      </c>
      <c r="AB1715" s="187" t="inlineStr">
        <is>
          <t>NONE</t>
        </is>
      </c>
      <c r="AC1715" s="187" t="n">
        <v>0</v>
      </c>
      <c r="AD1715" s="187" t="inlineStr"/>
    </row>
    <row r="1716">
      <c r="A1716" s="187" t="inlineStr">
        <is>
          <t>FIREHOL_THREAT</t>
        </is>
      </c>
      <c r="B1716" s="187" t="inlineStr">
        <is>
          <t>74eb2ddc71aa</t>
        </is>
      </c>
      <c r="C1716" s="187" t="inlineStr">
        <is>
          <t>DROP List CIDR: 5.42.64.0/22 | FireHOL L1 threat IP/CIDR | ASN: FireHOL-L1</t>
        </is>
      </c>
      <c r="D1716" s="187" t="n">
        <v>6</v>
      </c>
      <c r="E1716" s="187" t="inlineStr">
        <is>
          <t>MEDIUM</t>
        </is>
      </c>
      <c r="F1716" s="187" t="n">
        <v>2</v>
      </c>
      <c r="G1716" s="187" t="n">
        <v>2</v>
      </c>
      <c r="H1716" s="187" t="inlineStr">
        <is>
          <t>MEDIUM</t>
        </is>
      </c>
      <c r="I1716" s="187" t="n">
        <v>10</v>
      </c>
      <c r="J1716" s="187" t="inlineStr">
        <is>
          <t>NO</t>
        </is>
      </c>
      <c r="K1716" s="187" t="inlineStr">
        <is>
          <t>https://www.spamhaus.org/drop/</t>
        </is>
      </c>
      <c r="L1716" s="187" t="inlineStr">
        <is>
          <t>2026-02-26 00:15</t>
        </is>
      </c>
      <c r="M1716" s="187" t="inlineStr">
        <is>
          <t>Block CIDR</t>
        </is>
      </c>
      <c r="N1716" s="187" t="inlineStr">
        <is>
          <t>https://www.spamhaus.org/drop/</t>
        </is>
      </c>
      <c r="O1716" s="187" t="inlineStr">
        <is>
          <t>Block CIDR 5.42.64.0/22 at firewall</t>
        </is>
      </c>
      <c r="P1716" s="187" t="inlineStr">
        <is>
          <t>Firewall/Email</t>
        </is>
      </c>
      <c r="Q1716" s="187" t="inlineStr">
        <is>
          <t>P4</t>
        </is>
      </c>
      <c r="R1716" s="187" t="inlineStr">
        <is>
          <t>🔍 Investigate and apply appropriate controls</t>
        </is>
      </c>
      <c r="S1716" s="187" t="inlineStr">
        <is>
          <t>Spamhaus - CIDR range</t>
        </is>
      </c>
      <c r="T1716" s="187" t="n">
        <v>0</v>
      </c>
      <c r="U1716" s="187" t="n">
        <v>0</v>
      </c>
      <c r="V1716" s="187" t="inlineStr">
        <is>
          <t>T1566:Phishing | T1078:Valid Accounts</t>
        </is>
      </c>
      <c r="W1716" s="187" t="n">
        <v>1</v>
      </c>
      <c r="X1716" s="187" t="inlineStr">
        <is>
          <t>LOW (40%)</t>
        </is>
      </c>
      <c r="Y1716" s="187" t="inlineStr">
        <is>
          <t>NONE</t>
        </is>
      </c>
      <c r="Z1716" s="187" t="inlineStr">
        <is>
          <t>NONE</t>
        </is>
      </c>
      <c r="AA1716" s="187" t="inlineStr">
        <is>
          <t>NONE</t>
        </is>
      </c>
      <c r="AB1716" s="187" t="inlineStr">
        <is>
          <t>NONE</t>
        </is>
      </c>
      <c r="AC1716" s="187" t="n">
        <v>0</v>
      </c>
      <c r="AD1716" s="187" t="inlineStr"/>
    </row>
    <row r="1717">
      <c r="A1717" s="187" t="inlineStr">
        <is>
          <t>FIREHOL_THREAT</t>
        </is>
      </c>
      <c r="B1717" s="187" t="inlineStr">
        <is>
          <t>73e8123fa2f9</t>
        </is>
      </c>
      <c r="C1717" s="187" t="inlineStr">
        <is>
          <t>DROP List CIDR: 5.42.92.0/24 | FireHOL L1 threat IP/CIDR | ASN: FireHOL-L1</t>
        </is>
      </c>
      <c r="D1717" s="187" t="n">
        <v>6</v>
      </c>
      <c r="E1717" s="187" t="inlineStr">
        <is>
          <t>MEDIUM</t>
        </is>
      </c>
      <c r="F1717" s="187" t="n">
        <v>2</v>
      </c>
      <c r="G1717" s="187" t="n">
        <v>2</v>
      </c>
      <c r="H1717" s="187" t="inlineStr">
        <is>
          <t>MEDIUM</t>
        </is>
      </c>
      <c r="I1717" s="187" t="n">
        <v>10</v>
      </c>
      <c r="J1717" s="187" t="inlineStr">
        <is>
          <t>NO</t>
        </is>
      </c>
      <c r="K1717" s="187" t="inlineStr">
        <is>
          <t>https://www.spamhaus.org/drop/</t>
        </is>
      </c>
      <c r="L1717" s="187" t="inlineStr">
        <is>
          <t>2026-02-26 00:15</t>
        </is>
      </c>
      <c r="M1717" s="187" t="inlineStr">
        <is>
          <t>Block CIDR</t>
        </is>
      </c>
      <c r="N1717" s="187" t="inlineStr">
        <is>
          <t>https://www.spamhaus.org/drop/</t>
        </is>
      </c>
      <c r="O1717" s="187" t="inlineStr">
        <is>
          <t>Block CIDR 5.42.92.0/24 at firewall</t>
        </is>
      </c>
      <c r="P1717" s="187" t="inlineStr">
        <is>
          <t>Firewall/Email</t>
        </is>
      </c>
      <c r="Q1717" s="187" t="inlineStr">
        <is>
          <t>P4</t>
        </is>
      </c>
      <c r="R1717" s="187" t="inlineStr">
        <is>
          <t>🔍 Investigate and apply appropriate controls</t>
        </is>
      </c>
      <c r="S1717" s="187" t="inlineStr">
        <is>
          <t>Spamhaus - CIDR range</t>
        </is>
      </c>
      <c r="T1717" s="187" t="n">
        <v>0</v>
      </c>
      <c r="U1717" s="187" t="n">
        <v>0</v>
      </c>
      <c r="V1717" s="187" t="inlineStr">
        <is>
          <t>T1566:Phishing | T1078:Valid Accounts</t>
        </is>
      </c>
      <c r="W1717" s="187" t="n">
        <v>1</v>
      </c>
      <c r="X1717" s="187" t="inlineStr">
        <is>
          <t>LOW (40%)</t>
        </is>
      </c>
      <c r="Y1717" s="187" t="inlineStr">
        <is>
          <t>NONE</t>
        </is>
      </c>
      <c r="Z1717" s="187" t="inlineStr">
        <is>
          <t>NONE</t>
        </is>
      </c>
      <c r="AA1717" s="187" t="inlineStr">
        <is>
          <t>NONE</t>
        </is>
      </c>
      <c r="AB1717" s="187" t="inlineStr">
        <is>
          <t>NONE</t>
        </is>
      </c>
      <c r="AC1717" s="187" t="n">
        <v>0</v>
      </c>
      <c r="AD1717" s="187" t="inlineStr"/>
    </row>
    <row r="1718">
      <c r="A1718" s="187" t="inlineStr">
        <is>
          <t>FIREHOL_THREAT</t>
        </is>
      </c>
      <c r="B1718" s="187" t="inlineStr">
        <is>
          <t>5546223b9d75</t>
        </is>
      </c>
      <c r="C1718" s="187" t="inlineStr">
        <is>
          <t>DROP List CIDR: 5.42.96.0/24 | FireHOL L1 threat IP/CIDR | ASN: FireHOL-L1</t>
        </is>
      </c>
      <c r="D1718" s="187" t="n">
        <v>6</v>
      </c>
      <c r="E1718" s="187" t="inlineStr">
        <is>
          <t>MEDIUM</t>
        </is>
      </c>
      <c r="F1718" s="187" t="n">
        <v>2</v>
      </c>
      <c r="G1718" s="187" t="n">
        <v>2</v>
      </c>
      <c r="H1718" s="187" t="inlineStr">
        <is>
          <t>MEDIUM</t>
        </is>
      </c>
      <c r="I1718" s="187" t="n">
        <v>10</v>
      </c>
      <c r="J1718" s="187" t="inlineStr">
        <is>
          <t>NO</t>
        </is>
      </c>
      <c r="K1718" s="187" t="inlineStr">
        <is>
          <t>https://www.spamhaus.org/drop/</t>
        </is>
      </c>
      <c r="L1718" s="187" t="inlineStr">
        <is>
          <t>2026-02-26 00:15</t>
        </is>
      </c>
      <c r="M1718" s="187" t="inlineStr">
        <is>
          <t>Block CIDR</t>
        </is>
      </c>
      <c r="N1718" s="187" t="inlineStr">
        <is>
          <t>https://www.spamhaus.org/drop/</t>
        </is>
      </c>
      <c r="O1718" s="187" t="inlineStr">
        <is>
          <t>Block CIDR 5.42.96.0/24 at firewall</t>
        </is>
      </c>
      <c r="P1718" s="187" t="inlineStr">
        <is>
          <t>Firewall/Email</t>
        </is>
      </c>
      <c r="Q1718" s="187" t="inlineStr">
        <is>
          <t>P4</t>
        </is>
      </c>
      <c r="R1718" s="187" t="inlineStr">
        <is>
          <t>🔍 Investigate and apply appropriate controls</t>
        </is>
      </c>
      <c r="S1718" s="187" t="inlineStr">
        <is>
          <t>Spamhaus - CIDR range</t>
        </is>
      </c>
      <c r="T1718" s="187" t="n">
        <v>0</v>
      </c>
      <c r="U1718" s="187" t="n">
        <v>0</v>
      </c>
      <c r="V1718" s="187" t="inlineStr">
        <is>
          <t>T1566:Phishing | T1078:Valid Accounts</t>
        </is>
      </c>
      <c r="W1718" s="187" t="n">
        <v>1</v>
      </c>
      <c r="X1718" s="187" t="inlineStr">
        <is>
          <t>LOW (40%)</t>
        </is>
      </c>
      <c r="Y1718" s="187" t="inlineStr">
        <is>
          <t>NONE</t>
        </is>
      </c>
      <c r="Z1718" s="187" t="inlineStr">
        <is>
          <t>NONE</t>
        </is>
      </c>
      <c r="AA1718" s="187" t="inlineStr">
        <is>
          <t>NONE</t>
        </is>
      </c>
      <c r="AB1718" s="187" t="inlineStr">
        <is>
          <t>NONE</t>
        </is>
      </c>
      <c r="AC1718" s="187" t="n">
        <v>0</v>
      </c>
      <c r="AD1718" s="187" t="inlineStr"/>
    </row>
    <row r="1719">
      <c r="A1719" s="187" t="inlineStr">
        <is>
          <t>FIREHOL_THREAT</t>
        </is>
      </c>
      <c r="B1719" s="187" t="inlineStr">
        <is>
          <t>b77d61d1245c</t>
        </is>
      </c>
      <c r="C1719" s="187" t="inlineStr">
        <is>
          <t>DROP List CIDR: 5.101.82.0/24 | FireHOL L1 threat IP/CIDR | ASN: FireHOL-L1</t>
        </is>
      </c>
      <c r="D1719" s="187" t="n">
        <v>6</v>
      </c>
      <c r="E1719" s="187" t="inlineStr">
        <is>
          <t>MEDIUM</t>
        </is>
      </c>
      <c r="F1719" s="187" t="n">
        <v>2</v>
      </c>
      <c r="G1719" s="187" t="n">
        <v>2</v>
      </c>
      <c r="H1719" s="187" t="inlineStr">
        <is>
          <t>MEDIUM</t>
        </is>
      </c>
      <c r="I1719" s="187" t="n">
        <v>10</v>
      </c>
      <c r="J1719" s="187" t="inlineStr">
        <is>
          <t>NO</t>
        </is>
      </c>
      <c r="K1719" s="187" t="inlineStr">
        <is>
          <t>https://www.spamhaus.org/drop/</t>
        </is>
      </c>
      <c r="L1719" s="187" t="inlineStr">
        <is>
          <t>2026-02-26 00:15</t>
        </is>
      </c>
      <c r="M1719" s="187" t="inlineStr">
        <is>
          <t>Block CIDR</t>
        </is>
      </c>
      <c r="N1719" s="187" t="inlineStr">
        <is>
          <t>https://www.spamhaus.org/drop/</t>
        </is>
      </c>
      <c r="O1719" s="187" t="inlineStr">
        <is>
          <t>Block CIDR 5.101.82.0/24 at firewall</t>
        </is>
      </c>
      <c r="P1719" s="187" t="inlineStr">
        <is>
          <t>Firewall/Email</t>
        </is>
      </c>
      <c r="Q1719" s="187" t="inlineStr">
        <is>
          <t>P4</t>
        </is>
      </c>
      <c r="R1719" s="187" t="inlineStr">
        <is>
          <t>🔍 Investigate and apply appropriate controls</t>
        </is>
      </c>
      <c r="S1719" s="187" t="inlineStr">
        <is>
          <t>Spamhaus - CIDR range</t>
        </is>
      </c>
      <c r="T1719" s="187" t="n">
        <v>0</v>
      </c>
      <c r="U1719" s="187" t="n">
        <v>0</v>
      </c>
      <c r="V1719" s="187" t="inlineStr">
        <is>
          <t>T1566:Phishing | T1078:Valid Accounts</t>
        </is>
      </c>
      <c r="W1719" s="187" t="n">
        <v>1</v>
      </c>
      <c r="X1719" s="187" t="inlineStr">
        <is>
          <t>LOW (40%)</t>
        </is>
      </c>
      <c r="Y1719" s="187" t="inlineStr">
        <is>
          <t>NONE</t>
        </is>
      </c>
      <c r="Z1719" s="187" t="inlineStr">
        <is>
          <t>NONE</t>
        </is>
      </c>
      <c r="AA1719" s="187" t="inlineStr">
        <is>
          <t>NONE</t>
        </is>
      </c>
      <c r="AB1719" s="187" t="inlineStr">
        <is>
          <t>NONE</t>
        </is>
      </c>
      <c r="AC1719" s="187" t="n">
        <v>0</v>
      </c>
      <c r="AD1719" s="187" t="inlineStr"/>
    </row>
    <row r="1720">
      <c r="A1720" s="187" t="inlineStr">
        <is>
          <t>FIREHOL_THREAT</t>
        </is>
      </c>
      <c r="B1720" s="187" t="inlineStr">
        <is>
          <t>ccba24c5f897</t>
        </is>
      </c>
      <c r="C1720" s="187" t="inlineStr">
        <is>
          <t>DROP List CIDR: 5.105.62.0/24 | FireHOL L1 threat IP/CIDR | ASN: FireHOL-L1</t>
        </is>
      </c>
      <c r="D1720" s="187" t="n">
        <v>6</v>
      </c>
      <c r="E1720" s="187" t="inlineStr">
        <is>
          <t>MEDIUM</t>
        </is>
      </c>
      <c r="F1720" s="187" t="n">
        <v>2</v>
      </c>
      <c r="G1720" s="187" t="n">
        <v>2</v>
      </c>
      <c r="H1720" s="187" t="inlineStr">
        <is>
          <t>MEDIUM</t>
        </is>
      </c>
      <c r="I1720" s="187" t="n">
        <v>10</v>
      </c>
      <c r="J1720" s="187" t="inlineStr">
        <is>
          <t>NO</t>
        </is>
      </c>
      <c r="K1720" s="187" t="inlineStr">
        <is>
          <t>https://www.spamhaus.org/drop/</t>
        </is>
      </c>
      <c r="L1720" s="187" t="inlineStr">
        <is>
          <t>2026-02-26 00:15</t>
        </is>
      </c>
      <c r="M1720" s="187" t="inlineStr">
        <is>
          <t>Block CIDR</t>
        </is>
      </c>
      <c r="N1720" s="187" t="inlineStr">
        <is>
          <t>https://www.spamhaus.org/drop/</t>
        </is>
      </c>
      <c r="O1720" s="187" t="inlineStr">
        <is>
          <t>Block CIDR 5.105.62.0/24 at firewall</t>
        </is>
      </c>
      <c r="P1720" s="187" t="inlineStr">
        <is>
          <t>Firewall/Email</t>
        </is>
      </c>
      <c r="Q1720" s="187" t="inlineStr">
        <is>
          <t>P4</t>
        </is>
      </c>
      <c r="R1720" s="187" t="inlineStr">
        <is>
          <t>🔍 Investigate and apply appropriate controls</t>
        </is>
      </c>
      <c r="S1720" s="187" t="inlineStr">
        <is>
          <t>Spamhaus - CIDR range</t>
        </is>
      </c>
      <c r="T1720" s="187" t="n">
        <v>0</v>
      </c>
      <c r="U1720" s="187" t="n">
        <v>0</v>
      </c>
      <c r="V1720" s="187" t="inlineStr">
        <is>
          <t>T1566:Phishing | T1078:Valid Accounts</t>
        </is>
      </c>
      <c r="W1720" s="187" t="n">
        <v>1</v>
      </c>
      <c r="X1720" s="187" t="inlineStr">
        <is>
          <t>LOW (40%)</t>
        </is>
      </c>
      <c r="Y1720" s="187" t="inlineStr">
        <is>
          <t>NONE</t>
        </is>
      </c>
      <c r="Z1720" s="187" t="inlineStr">
        <is>
          <t>NONE</t>
        </is>
      </c>
      <c r="AA1720" s="187" t="inlineStr">
        <is>
          <t>NONE</t>
        </is>
      </c>
      <c r="AB1720" s="187" t="inlineStr">
        <is>
          <t>NONE</t>
        </is>
      </c>
      <c r="AC1720" s="187" t="n">
        <v>0</v>
      </c>
      <c r="AD1720" s="187" t="inlineStr"/>
    </row>
    <row r="1721">
      <c r="A1721" s="187" t="inlineStr">
        <is>
          <t>FIREHOL_THREAT</t>
        </is>
      </c>
      <c r="B1721" s="187" t="inlineStr">
        <is>
          <t>b7923b1de143</t>
        </is>
      </c>
      <c r="C1721" s="187" t="inlineStr">
        <is>
          <t>DROP List CIDR: 5.105.220.0/24 | FireHOL L1 threat IP/CIDR | ASN: FireHOL-L1</t>
        </is>
      </c>
      <c r="D1721" s="187" t="n">
        <v>6</v>
      </c>
      <c r="E1721" s="187" t="inlineStr">
        <is>
          <t>MEDIUM</t>
        </is>
      </c>
      <c r="F1721" s="187" t="n">
        <v>2</v>
      </c>
      <c r="G1721" s="187" t="n">
        <v>2</v>
      </c>
      <c r="H1721" s="187" t="inlineStr">
        <is>
          <t>MEDIUM</t>
        </is>
      </c>
      <c r="I1721" s="187" t="n">
        <v>10</v>
      </c>
      <c r="J1721" s="187" t="inlineStr">
        <is>
          <t>NO</t>
        </is>
      </c>
      <c r="K1721" s="187" t="inlineStr">
        <is>
          <t>https://www.spamhaus.org/drop/</t>
        </is>
      </c>
      <c r="L1721" s="187" t="inlineStr">
        <is>
          <t>2026-02-26 00:15</t>
        </is>
      </c>
      <c r="M1721" s="187" t="inlineStr">
        <is>
          <t>Block CIDR</t>
        </is>
      </c>
      <c r="N1721" s="187" t="inlineStr">
        <is>
          <t>https://www.spamhaus.org/drop/</t>
        </is>
      </c>
      <c r="O1721" s="187" t="inlineStr">
        <is>
          <t>Block CIDR 5.105.220.0/24 at firewall</t>
        </is>
      </c>
      <c r="P1721" s="187" t="inlineStr">
        <is>
          <t>Firewall/Email</t>
        </is>
      </c>
      <c r="Q1721" s="187" t="inlineStr">
        <is>
          <t>P4</t>
        </is>
      </c>
      <c r="R1721" s="187" t="inlineStr">
        <is>
          <t>🔍 Investigate and apply appropriate controls</t>
        </is>
      </c>
      <c r="S1721" s="187" t="inlineStr">
        <is>
          <t>Spamhaus - CIDR range</t>
        </is>
      </c>
      <c r="T1721" s="187" t="n">
        <v>0</v>
      </c>
      <c r="U1721" s="187" t="n">
        <v>0</v>
      </c>
      <c r="V1721" s="187" t="inlineStr">
        <is>
          <t>T1566:Phishing | T1078:Valid Accounts</t>
        </is>
      </c>
      <c r="W1721" s="187" t="n">
        <v>1</v>
      </c>
      <c r="X1721" s="187" t="inlineStr">
        <is>
          <t>LOW (40%)</t>
        </is>
      </c>
      <c r="Y1721" s="187" t="inlineStr">
        <is>
          <t>NONE</t>
        </is>
      </c>
      <c r="Z1721" s="187" t="inlineStr">
        <is>
          <t>NONE</t>
        </is>
      </c>
      <c r="AA1721" s="187" t="inlineStr">
        <is>
          <t>NONE</t>
        </is>
      </c>
      <c r="AB1721" s="187" t="inlineStr">
        <is>
          <t>NONE</t>
        </is>
      </c>
      <c r="AC1721" s="187" t="n">
        <v>0</v>
      </c>
      <c r="AD1721" s="187" t="inlineStr"/>
    </row>
    <row r="1722">
      <c r="A1722" s="187" t="inlineStr">
        <is>
          <t>FIREHOL_THREAT</t>
        </is>
      </c>
      <c r="B1722" s="187" t="inlineStr">
        <is>
          <t>5d964bd4d6cf</t>
        </is>
      </c>
      <c r="C1722" s="187" t="inlineStr">
        <is>
          <t>DROP List CIDR: 5.133.101.0/24 | FireHOL L1 threat IP/CIDR | ASN: FireHOL-L1</t>
        </is>
      </c>
      <c r="D1722" s="187" t="n">
        <v>6</v>
      </c>
      <c r="E1722" s="187" t="inlineStr">
        <is>
          <t>MEDIUM</t>
        </is>
      </c>
      <c r="F1722" s="187" t="n">
        <v>2</v>
      </c>
      <c r="G1722" s="187" t="n">
        <v>2</v>
      </c>
      <c r="H1722" s="187" t="inlineStr">
        <is>
          <t>MEDIUM</t>
        </is>
      </c>
      <c r="I1722" s="187" t="n">
        <v>10</v>
      </c>
      <c r="J1722" s="187" t="inlineStr">
        <is>
          <t>NO</t>
        </is>
      </c>
      <c r="K1722" s="187" t="inlineStr">
        <is>
          <t>https://www.spamhaus.org/drop/</t>
        </is>
      </c>
      <c r="L1722" s="187" t="inlineStr">
        <is>
          <t>2026-02-26 00:15</t>
        </is>
      </c>
      <c r="M1722" s="187" t="inlineStr">
        <is>
          <t>Block CIDR</t>
        </is>
      </c>
      <c r="N1722" s="187" t="inlineStr">
        <is>
          <t>https://www.spamhaus.org/drop/</t>
        </is>
      </c>
      <c r="O1722" s="187" t="inlineStr">
        <is>
          <t>Block CIDR 5.133.101.0/24 at firewall</t>
        </is>
      </c>
      <c r="P1722" s="187" t="inlineStr">
        <is>
          <t>Firewall/Email</t>
        </is>
      </c>
      <c r="Q1722" s="187" t="inlineStr">
        <is>
          <t>P4</t>
        </is>
      </c>
      <c r="R1722" s="187" t="inlineStr">
        <is>
          <t>🔍 Investigate and apply appropriate controls</t>
        </is>
      </c>
      <c r="S1722" s="187" t="inlineStr">
        <is>
          <t>Spamhaus - CIDR range</t>
        </is>
      </c>
      <c r="T1722" s="187" t="n">
        <v>0</v>
      </c>
      <c r="U1722" s="187" t="n">
        <v>0</v>
      </c>
      <c r="V1722" s="187" t="inlineStr">
        <is>
          <t>T1566:Phishing | T1078:Valid Accounts</t>
        </is>
      </c>
      <c r="W1722" s="187" t="n">
        <v>1</v>
      </c>
      <c r="X1722" s="187" t="inlineStr">
        <is>
          <t>LOW (40%)</t>
        </is>
      </c>
      <c r="Y1722" s="187" t="inlineStr">
        <is>
          <t>NONE</t>
        </is>
      </c>
      <c r="Z1722" s="187" t="inlineStr">
        <is>
          <t>NONE</t>
        </is>
      </c>
      <c r="AA1722" s="187" t="inlineStr">
        <is>
          <t>NONE</t>
        </is>
      </c>
      <c r="AB1722" s="187" t="inlineStr">
        <is>
          <t>NONE</t>
        </is>
      </c>
      <c r="AC1722" s="187" t="n">
        <v>0</v>
      </c>
      <c r="AD1722" s="187" t="inlineStr"/>
    </row>
    <row r="1723">
      <c r="A1723" s="187" t="inlineStr">
        <is>
          <t>FIREHOL_THREAT</t>
        </is>
      </c>
      <c r="B1723" s="187" t="inlineStr">
        <is>
          <t>c4fe416e3720</t>
        </is>
      </c>
      <c r="C1723" s="187" t="inlineStr">
        <is>
          <t>DROP List CIDR: 5.182.210.0/23 | FireHOL L1 threat IP/CIDR | ASN: FireHOL-L1</t>
        </is>
      </c>
      <c r="D1723" s="187" t="n">
        <v>6</v>
      </c>
      <c r="E1723" s="187" t="inlineStr">
        <is>
          <t>MEDIUM</t>
        </is>
      </c>
      <c r="F1723" s="187" t="n">
        <v>2</v>
      </c>
      <c r="G1723" s="187" t="n">
        <v>2</v>
      </c>
      <c r="H1723" s="187" t="inlineStr">
        <is>
          <t>MEDIUM</t>
        </is>
      </c>
      <c r="I1723" s="187" t="n">
        <v>10</v>
      </c>
      <c r="J1723" s="187" t="inlineStr">
        <is>
          <t>NO</t>
        </is>
      </c>
      <c r="K1723" s="187" t="inlineStr">
        <is>
          <t>https://www.spamhaus.org/drop/</t>
        </is>
      </c>
      <c r="L1723" s="187" t="inlineStr">
        <is>
          <t>2026-02-26 00:15</t>
        </is>
      </c>
      <c r="M1723" s="187" t="inlineStr">
        <is>
          <t>Block CIDR</t>
        </is>
      </c>
      <c r="N1723" s="187" t="inlineStr">
        <is>
          <t>https://www.spamhaus.org/drop/</t>
        </is>
      </c>
      <c r="O1723" s="187" t="inlineStr">
        <is>
          <t>Block CIDR 5.182.210.0/23 at firewall</t>
        </is>
      </c>
      <c r="P1723" s="187" t="inlineStr">
        <is>
          <t>Firewall/Email</t>
        </is>
      </c>
      <c r="Q1723" s="187" t="inlineStr">
        <is>
          <t>P4</t>
        </is>
      </c>
      <c r="R1723" s="187" t="inlineStr">
        <is>
          <t>🔍 Investigate and apply appropriate controls</t>
        </is>
      </c>
      <c r="S1723" s="187" t="inlineStr">
        <is>
          <t>Spamhaus - CIDR range</t>
        </is>
      </c>
      <c r="T1723" s="187" t="n">
        <v>0</v>
      </c>
      <c r="U1723" s="187" t="n">
        <v>0</v>
      </c>
      <c r="V1723" s="187" t="inlineStr">
        <is>
          <t>T1566:Phishing | T1078:Valid Accounts</t>
        </is>
      </c>
      <c r="W1723" s="187" t="n">
        <v>1</v>
      </c>
      <c r="X1723" s="187" t="inlineStr">
        <is>
          <t>LOW (40%)</t>
        </is>
      </c>
      <c r="Y1723" s="187" t="inlineStr">
        <is>
          <t>NONE</t>
        </is>
      </c>
      <c r="Z1723" s="187" t="inlineStr">
        <is>
          <t>NONE</t>
        </is>
      </c>
      <c r="AA1723" s="187" t="inlineStr">
        <is>
          <t>NONE</t>
        </is>
      </c>
      <c r="AB1723" s="187" t="inlineStr">
        <is>
          <t>NONE</t>
        </is>
      </c>
      <c r="AC1723" s="187" t="n">
        <v>0</v>
      </c>
      <c r="AD1723" s="187" t="inlineStr"/>
    </row>
    <row r="1724">
      <c r="A1724" s="187" t="inlineStr">
        <is>
          <t>FIREHOL_THREAT</t>
        </is>
      </c>
      <c r="B1724" s="187" t="inlineStr">
        <is>
          <t>abf3929f9458</t>
        </is>
      </c>
      <c r="C1724" s="187" t="inlineStr">
        <is>
          <t>DROP List CIDR: 5.183.60.0/22 | FireHOL L1 threat IP/CIDR | ASN: FireHOL-L1</t>
        </is>
      </c>
      <c r="D1724" s="187" t="n">
        <v>6</v>
      </c>
      <c r="E1724" s="187" t="inlineStr">
        <is>
          <t>MEDIUM</t>
        </is>
      </c>
      <c r="F1724" s="187" t="n">
        <v>2</v>
      </c>
      <c r="G1724" s="187" t="n">
        <v>2</v>
      </c>
      <c r="H1724" s="187" t="inlineStr">
        <is>
          <t>MEDIUM</t>
        </is>
      </c>
      <c r="I1724" s="187" t="n">
        <v>10</v>
      </c>
      <c r="J1724" s="187" t="inlineStr">
        <is>
          <t>NO</t>
        </is>
      </c>
      <c r="K1724" s="187" t="inlineStr">
        <is>
          <t>https://www.spamhaus.org/drop/</t>
        </is>
      </c>
      <c r="L1724" s="187" t="inlineStr">
        <is>
          <t>2026-02-26 00:15</t>
        </is>
      </c>
      <c r="M1724" s="187" t="inlineStr">
        <is>
          <t>Block CIDR</t>
        </is>
      </c>
      <c r="N1724" s="187" t="inlineStr">
        <is>
          <t>https://www.spamhaus.org/drop/</t>
        </is>
      </c>
      <c r="O1724" s="187" t="inlineStr">
        <is>
          <t>Block CIDR 5.183.60.0/22 at firewall</t>
        </is>
      </c>
      <c r="P1724" s="187" t="inlineStr">
        <is>
          <t>Firewall/Email</t>
        </is>
      </c>
      <c r="Q1724" s="187" t="inlineStr">
        <is>
          <t>P4</t>
        </is>
      </c>
      <c r="R1724" s="187" t="inlineStr">
        <is>
          <t>🔍 Investigate and apply appropriate controls</t>
        </is>
      </c>
      <c r="S1724" s="187" t="inlineStr">
        <is>
          <t>Spamhaus - CIDR range</t>
        </is>
      </c>
      <c r="T1724" s="187" t="n">
        <v>0</v>
      </c>
      <c r="U1724" s="187" t="n">
        <v>0</v>
      </c>
      <c r="V1724" s="187" t="inlineStr">
        <is>
          <t>T1566:Phishing | T1078:Valid Accounts</t>
        </is>
      </c>
      <c r="W1724" s="187" t="n">
        <v>1</v>
      </c>
      <c r="X1724" s="187" t="inlineStr">
        <is>
          <t>LOW (40%)</t>
        </is>
      </c>
      <c r="Y1724" s="187" t="inlineStr">
        <is>
          <t>NONE</t>
        </is>
      </c>
      <c r="Z1724" s="187" t="inlineStr">
        <is>
          <t>NONE</t>
        </is>
      </c>
      <c r="AA1724" s="187" t="inlineStr">
        <is>
          <t>NONE</t>
        </is>
      </c>
      <c r="AB1724" s="187" t="inlineStr">
        <is>
          <t>NONE</t>
        </is>
      </c>
      <c r="AC1724" s="187" t="n">
        <v>0</v>
      </c>
      <c r="AD1724" s="187" t="inlineStr"/>
    </row>
    <row r="1725">
      <c r="A1725" s="187" t="inlineStr">
        <is>
          <t>FIREHOL_THREAT</t>
        </is>
      </c>
      <c r="B1725" s="187" t="inlineStr">
        <is>
          <t>37c61e81282e</t>
        </is>
      </c>
      <c r="C1725" s="187" t="inlineStr">
        <is>
          <t>DROP List CIDR: 5.188.11.0/24 | FireHOL L1 threat IP/CIDR | ASN: FireHOL-L1</t>
        </is>
      </c>
      <c r="D1725" s="187" t="n">
        <v>6</v>
      </c>
      <c r="E1725" s="187" t="inlineStr">
        <is>
          <t>MEDIUM</t>
        </is>
      </c>
      <c r="F1725" s="187" t="n">
        <v>2</v>
      </c>
      <c r="G1725" s="187" t="n">
        <v>2</v>
      </c>
      <c r="H1725" s="187" t="inlineStr">
        <is>
          <t>MEDIUM</t>
        </is>
      </c>
      <c r="I1725" s="187" t="n">
        <v>10</v>
      </c>
      <c r="J1725" s="187" t="inlineStr">
        <is>
          <t>NO</t>
        </is>
      </c>
      <c r="K1725" s="187" t="inlineStr">
        <is>
          <t>https://www.spamhaus.org/drop/</t>
        </is>
      </c>
      <c r="L1725" s="187" t="inlineStr">
        <is>
          <t>2026-02-26 00:15</t>
        </is>
      </c>
      <c r="M1725" s="187" t="inlineStr">
        <is>
          <t>Block CIDR</t>
        </is>
      </c>
      <c r="N1725" s="187" t="inlineStr">
        <is>
          <t>https://www.spamhaus.org/drop/</t>
        </is>
      </c>
      <c r="O1725" s="187" t="inlineStr">
        <is>
          <t>Block CIDR 5.188.11.0/24 at firewall</t>
        </is>
      </c>
      <c r="P1725" s="187" t="inlineStr">
        <is>
          <t>Firewall/Email</t>
        </is>
      </c>
      <c r="Q1725" s="187" t="inlineStr">
        <is>
          <t>P4</t>
        </is>
      </c>
      <c r="R1725" s="187" t="inlineStr">
        <is>
          <t>🔍 Investigate and apply appropriate controls</t>
        </is>
      </c>
      <c r="S1725" s="187" t="inlineStr">
        <is>
          <t>Spamhaus - CIDR range</t>
        </is>
      </c>
      <c r="T1725" s="187" t="n">
        <v>0</v>
      </c>
      <c r="U1725" s="187" t="n">
        <v>0</v>
      </c>
      <c r="V1725" s="187" t="inlineStr">
        <is>
          <t>T1566:Phishing | T1078:Valid Accounts</t>
        </is>
      </c>
      <c r="W1725" s="187" t="n">
        <v>1</v>
      </c>
      <c r="X1725" s="187" t="inlineStr">
        <is>
          <t>LOW (40%)</t>
        </is>
      </c>
      <c r="Y1725" s="187" t="inlineStr">
        <is>
          <t>NONE</t>
        </is>
      </c>
      <c r="Z1725" s="187" t="inlineStr">
        <is>
          <t>NONE</t>
        </is>
      </c>
      <c r="AA1725" s="187" t="inlineStr">
        <is>
          <t>NONE</t>
        </is>
      </c>
      <c r="AB1725" s="187" t="inlineStr">
        <is>
          <t>NONE</t>
        </is>
      </c>
      <c r="AC1725" s="187" t="n">
        <v>0</v>
      </c>
      <c r="AD1725" s="187" t="inlineStr"/>
    </row>
    <row r="1726">
      <c r="A1726" s="187" t="inlineStr">
        <is>
          <t>FIREHOL_THREAT</t>
        </is>
      </c>
      <c r="B1726" s="187" t="inlineStr">
        <is>
          <t>67385c68666e</t>
        </is>
      </c>
      <c r="C1726" s="187" t="inlineStr">
        <is>
          <t>DROP List CIDR: 5.188.236.0/23 | FireHOL L1 threat IP/CIDR | ASN: FireHOL-L1</t>
        </is>
      </c>
      <c r="D1726" s="187" t="n">
        <v>6</v>
      </c>
      <c r="E1726" s="187" t="inlineStr">
        <is>
          <t>MEDIUM</t>
        </is>
      </c>
      <c r="F1726" s="187" t="n">
        <v>2</v>
      </c>
      <c r="G1726" s="187" t="n">
        <v>2</v>
      </c>
      <c r="H1726" s="187" t="inlineStr">
        <is>
          <t>MEDIUM</t>
        </is>
      </c>
      <c r="I1726" s="187" t="n">
        <v>10</v>
      </c>
      <c r="J1726" s="187" t="inlineStr">
        <is>
          <t>NO</t>
        </is>
      </c>
      <c r="K1726" s="187" t="inlineStr">
        <is>
          <t>https://www.spamhaus.org/drop/</t>
        </is>
      </c>
      <c r="L1726" s="187" t="inlineStr">
        <is>
          <t>2026-02-26 00:15</t>
        </is>
      </c>
      <c r="M1726" s="187" t="inlineStr">
        <is>
          <t>Block CIDR</t>
        </is>
      </c>
      <c r="N1726" s="187" t="inlineStr">
        <is>
          <t>https://www.spamhaus.org/drop/</t>
        </is>
      </c>
      <c r="O1726" s="187" t="inlineStr">
        <is>
          <t>Block CIDR 5.188.236.0/23 at firewall</t>
        </is>
      </c>
      <c r="P1726" s="187" t="inlineStr">
        <is>
          <t>Firewall/Email</t>
        </is>
      </c>
      <c r="Q1726" s="187" t="inlineStr">
        <is>
          <t>P4</t>
        </is>
      </c>
      <c r="R1726" s="187" t="inlineStr">
        <is>
          <t>🔍 Investigate and apply appropriate controls</t>
        </is>
      </c>
      <c r="S1726" s="187" t="inlineStr">
        <is>
          <t>Spamhaus - CIDR range</t>
        </is>
      </c>
      <c r="T1726" s="187" t="n">
        <v>0</v>
      </c>
      <c r="U1726" s="187" t="n">
        <v>0</v>
      </c>
      <c r="V1726" s="187" t="inlineStr">
        <is>
          <t>T1566:Phishing | T1078:Valid Accounts</t>
        </is>
      </c>
      <c r="W1726" s="187" t="n">
        <v>1</v>
      </c>
      <c r="X1726" s="187" t="inlineStr">
        <is>
          <t>LOW (40%)</t>
        </is>
      </c>
      <c r="Y1726" s="187" t="inlineStr">
        <is>
          <t>NONE</t>
        </is>
      </c>
      <c r="Z1726" s="187" t="inlineStr">
        <is>
          <t>NONE</t>
        </is>
      </c>
      <c r="AA1726" s="187" t="inlineStr">
        <is>
          <t>NONE</t>
        </is>
      </c>
      <c r="AB1726" s="187" t="inlineStr">
        <is>
          <t>NONE</t>
        </is>
      </c>
      <c r="AC1726" s="187" t="n">
        <v>0</v>
      </c>
      <c r="AD1726" s="187" t="inlineStr"/>
    </row>
    <row r="1727">
      <c r="A1727" s="187" t="inlineStr">
        <is>
          <t>FIREHOL_THREAT</t>
        </is>
      </c>
      <c r="B1727" s="187" t="inlineStr">
        <is>
          <t>d4714d0e2eaa</t>
        </is>
      </c>
      <c r="C1727" s="187" t="inlineStr">
        <is>
          <t>DROP List CIDR: 10.0.0.0/8 | FireHOL L1 threat IP/CIDR | ASN: FireHOL-L1</t>
        </is>
      </c>
      <c r="D1727" s="187" t="n">
        <v>6</v>
      </c>
      <c r="E1727" s="187" t="inlineStr">
        <is>
          <t>MEDIUM</t>
        </is>
      </c>
      <c r="F1727" s="187" t="n">
        <v>2</v>
      </c>
      <c r="G1727" s="187" t="n">
        <v>2</v>
      </c>
      <c r="H1727" s="187" t="inlineStr">
        <is>
          <t>MEDIUM</t>
        </is>
      </c>
      <c r="I1727" s="187" t="n">
        <v>10</v>
      </c>
      <c r="J1727" s="187" t="inlineStr">
        <is>
          <t>NO</t>
        </is>
      </c>
      <c r="K1727" s="187" t="inlineStr">
        <is>
          <t>https://www.spamhaus.org/drop/</t>
        </is>
      </c>
      <c r="L1727" s="187" t="inlineStr">
        <is>
          <t>2026-02-26 00:15</t>
        </is>
      </c>
      <c r="M1727" s="187" t="inlineStr">
        <is>
          <t>Block CIDR</t>
        </is>
      </c>
      <c r="N1727" s="187" t="inlineStr">
        <is>
          <t>https://www.spamhaus.org/drop/</t>
        </is>
      </c>
      <c r="O1727" s="187" t="inlineStr">
        <is>
          <t>Block CIDR 10.0.0.0/8 at firewall</t>
        </is>
      </c>
      <c r="P1727" s="187" t="inlineStr">
        <is>
          <t>Firewall/Email</t>
        </is>
      </c>
      <c r="Q1727" s="187" t="inlineStr">
        <is>
          <t>P4</t>
        </is>
      </c>
      <c r="R1727" s="187" t="inlineStr">
        <is>
          <t>🔍 Investigate and apply appropriate controls</t>
        </is>
      </c>
      <c r="S1727" s="187" t="inlineStr">
        <is>
          <t>Spamhaus - CIDR range</t>
        </is>
      </c>
      <c r="T1727" s="187" t="n">
        <v>0</v>
      </c>
      <c r="U1727" s="187" t="n">
        <v>0</v>
      </c>
      <c r="V1727" s="187" t="inlineStr">
        <is>
          <t>T1566:Phishing | T1078:Valid Accounts</t>
        </is>
      </c>
      <c r="W1727" s="187" t="n">
        <v>1</v>
      </c>
      <c r="X1727" s="187" t="inlineStr">
        <is>
          <t>LOW (40%)</t>
        </is>
      </c>
      <c r="Y1727" s="187" t="inlineStr">
        <is>
          <t>NONE</t>
        </is>
      </c>
      <c r="Z1727" s="187" t="inlineStr">
        <is>
          <t>NONE</t>
        </is>
      </c>
      <c r="AA1727" s="187" t="inlineStr">
        <is>
          <t>NONE</t>
        </is>
      </c>
      <c r="AB1727" s="187" t="inlineStr">
        <is>
          <t>NONE</t>
        </is>
      </c>
      <c r="AC1727" s="187" t="n">
        <v>0</v>
      </c>
      <c r="AD1727" s="187" t="inlineStr"/>
    </row>
    <row r="1728">
      <c r="A1728" s="187" t="inlineStr">
        <is>
          <t>FIREHOL_THREAT</t>
        </is>
      </c>
      <c r="B1728" s="187" t="inlineStr">
        <is>
          <t>19418b89cc5a</t>
        </is>
      </c>
      <c r="C1728" s="187" t="inlineStr">
        <is>
          <t>DROP List CIDR: 14.102.240.0/20 | FireHOL L1 threat IP/CIDR | ASN: FireHOL-L1</t>
        </is>
      </c>
      <c r="D1728" s="187" t="n">
        <v>6</v>
      </c>
      <c r="E1728" s="187" t="inlineStr">
        <is>
          <t>MEDIUM</t>
        </is>
      </c>
      <c r="F1728" s="187" t="n">
        <v>2</v>
      </c>
      <c r="G1728" s="187" t="n">
        <v>2</v>
      </c>
      <c r="H1728" s="187" t="inlineStr">
        <is>
          <t>MEDIUM</t>
        </is>
      </c>
      <c r="I1728" s="187" t="n">
        <v>10</v>
      </c>
      <c r="J1728" s="187" t="inlineStr">
        <is>
          <t>NO</t>
        </is>
      </c>
      <c r="K1728" s="187" t="inlineStr">
        <is>
          <t>https://www.spamhaus.org/drop/</t>
        </is>
      </c>
      <c r="L1728" s="187" t="inlineStr">
        <is>
          <t>2026-02-26 00:15</t>
        </is>
      </c>
      <c r="M1728" s="187" t="inlineStr">
        <is>
          <t>Block CIDR</t>
        </is>
      </c>
      <c r="N1728" s="187" t="inlineStr">
        <is>
          <t>https://www.spamhaus.org/drop/</t>
        </is>
      </c>
      <c r="O1728" s="187" t="inlineStr">
        <is>
          <t>Block CIDR 14.102.240.0/20 at firewall</t>
        </is>
      </c>
      <c r="P1728" s="187" t="inlineStr">
        <is>
          <t>Firewall/Email</t>
        </is>
      </c>
      <c r="Q1728" s="187" t="inlineStr">
        <is>
          <t>P4</t>
        </is>
      </c>
      <c r="R1728" s="187" t="inlineStr">
        <is>
          <t>🔍 Investigate and apply appropriate controls</t>
        </is>
      </c>
      <c r="S1728" s="187" t="inlineStr">
        <is>
          <t>Spamhaus - CIDR range</t>
        </is>
      </c>
      <c r="T1728" s="187" t="n">
        <v>0</v>
      </c>
      <c r="U1728" s="187" t="n">
        <v>0</v>
      </c>
      <c r="V1728" s="187" t="inlineStr">
        <is>
          <t>T1566:Phishing | T1078:Valid Accounts</t>
        </is>
      </c>
      <c r="W1728" s="187" t="n">
        <v>1</v>
      </c>
      <c r="X1728" s="187" t="inlineStr">
        <is>
          <t>LOW (40%)</t>
        </is>
      </c>
      <c r="Y1728" s="187" t="inlineStr">
        <is>
          <t>NONE</t>
        </is>
      </c>
      <c r="Z1728" s="187" t="inlineStr">
        <is>
          <t>NONE</t>
        </is>
      </c>
      <c r="AA1728" s="187" t="inlineStr">
        <is>
          <t>NONE</t>
        </is>
      </c>
      <c r="AB1728" s="187" t="inlineStr">
        <is>
          <t>NONE</t>
        </is>
      </c>
      <c r="AC1728" s="187" t="n">
        <v>0</v>
      </c>
      <c r="AD1728" s="187" t="inlineStr"/>
    </row>
    <row r="1729">
      <c r="A1729" s="187" t="inlineStr">
        <is>
          <t>FIREHOL_THREAT</t>
        </is>
      </c>
      <c r="B1729" s="187" t="inlineStr">
        <is>
          <t>45af21402405</t>
        </is>
      </c>
      <c r="C1729" s="187" t="inlineStr">
        <is>
          <t>DROP List CIDR: 14.128.32.0/20 | FireHOL L1 threat IP/CIDR | ASN: FireHOL-L1</t>
        </is>
      </c>
      <c r="D1729" s="187" t="n">
        <v>6</v>
      </c>
      <c r="E1729" s="187" t="inlineStr">
        <is>
          <t>MEDIUM</t>
        </is>
      </c>
      <c r="F1729" s="187" t="n">
        <v>2</v>
      </c>
      <c r="G1729" s="187" t="n">
        <v>2</v>
      </c>
      <c r="H1729" s="187" t="inlineStr">
        <is>
          <t>MEDIUM</t>
        </is>
      </c>
      <c r="I1729" s="187" t="n">
        <v>10</v>
      </c>
      <c r="J1729" s="187" t="inlineStr">
        <is>
          <t>NO</t>
        </is>
      </c>
      <c r="K1729" s="187" t="inlineStr">
        <is>
          <t>https://www.spamhaus.org/drop/</t>
        </is>
      </c>
      <c r="L1729" s="187" t="inlineStr">
        <is>
          <t>2026-02-26 00:15</t>
        </is>
      </c>
      <c r="M1729" s="187" t="inlineStr">
        <is>
          <t>Block CIDR</t>
        </is>
      </c>
      <c r="N1729" s="187" t="inlineStr">
        <is>
          <t>https://www.spamhaus.org/drop/</t>
        </is>
      </c>
      <c r="O1729" s="187" t="inlineStr">
        <is>
          <t>Block CIDR 14.128.32.0/20 at firewall</t>
        </is>
      </c>
      <c r="P1729" s="187" t="inlineStr">
        <is>
          <t>Firewall/Email</t>
        </is>
      </c>
      <c r="Q1729" s="187" t="inlineStr">
        <is>
          <t>P4</t>
        </is>
      </c>
      <c r="R1729" s="187" t="inlineStr">
        <is>
          <t>🔍 Investigate and apply appropriate controls</t>
        </is>
      </c>
      <c r="S1729" s="187" t="inlineStr">
        <is>
          <t>Spamhaus - CIDR range</t>
        </is>
      </c>
      <c r="T1729" s="187" t="n">
        <v>0</v>
      </c>
      <c r="U1729" s="187" t="n">
        <v>0</v>
      </c>
      <c r="V1729" s="187" t="inlineStr">
        <is>
          <t>T1566:Phishing | T1078:Valid Accounts</t>
        </is>
      </c>
      <c r="W1729" s="187" t="n">
        <v>1</v>
      </c>
      <c r="X1729" s="187" t="inlineStr">
        <is>
          <t>LOW (40%)</t>
        </is>
      </c>
      <c r="Y1729" s="187" t="inlineStr">
        <is>
          <t>NONE</t>
        </is>
      </c>
      <c r="Z1729" s="187" t="inlineStr">
        <is>
          <t>NONE</t>
        </is>
      </c>
      <c r="AA1729" s="187" t="inlineStr">
        <is>
          <t>NONE</t>
        </is>
      </c>
      <c r="AB1729" s="187" t="inlineStr">
        <is>
          <t>NONE</t>
        </is>
      </c>
      <c r="AC1729" s="187" t="n">
        <v>0</v>
      </c>
      <c r="AD1729" s="187" t="inlineStr"/>
    </row>
    <row r="1730">
      <c r="A1730" s="187" t="inlineStr">
        <is>
          <t>FIREHOL_THREAT</t>
        </is>
      </c>
      <c r="B1730" s="187" t="inlineStr">
        <is>
          <t>88b39c15dff0</t>
        </is>
      </c>
      <c r="C1730" s="187" t="inlineStr">
        <is>
          <t>DROP List CIDR: 1.1.179.83 | FireHOL L2 threat IP/CIDR | ASN: FireHOL-L2</t>
        </is>
      </c>
      <c r="D1730" s="187" t="n">
        <v>6</v>
      </c>
      <c r="E1730" s="187" t="inlineStr">
        <is>
          <t>MEDIUM</t>
        </is>
      </c>
      <c r="F1730" s="187" t="n">
        <v>2</v>
      </c>
      <c r="G1730" s="187" t="n">
        <v>2</v>
      </c>
      <c r="H1730" s="187" t="inlineStr">
        <is>
          <t>MEDIUM</t>
        </is>
      </c>
      <c r="I1730" s="187" t="n">
        <v>10</v>
      </c>
      <c r="J1730" s="187" t="inlineStr">
        <is>
          <t>NO</t>
        </is>
      </c>
      <c r="K1730" s="187" t="inlineStr">
        <is>
          <t>https://www.spamhaus.org/drop/</t>
        </is>
      </c>
      <c r="L1730" s="187" t="inlineStr">
        <is>
          <t>2026-02-26 00:15</t>
        </is>
      </c>
      <c r="M1730" s="187" t="inlineStr">
        <is>
          <t>Block CIDR</t>
        </is>
      </c>
      <c r="N1730" s="187" t="inlineStr">
        <is>
          <t>https://www.spamhaus.org/drop/</t>
        </is>
      </c>
      <c r="O1730" s="187" t="inlineStr">
        <is>
          <t>Block CIDR 1.1.179.83 at firewall</t>
        </is>
      </c>
      <c r="P1730" s="187" t="inlineStr">
        <is>
          <t>Firewall/Email</t>
        </is>
      </c>
      <c r="Q1730" s="187" t="inlineStr">
        <is>
          <t>P4</t>
        </is>
      </c>
      <c r="R1730" s="187" t="inlineStr">
        <is>
          <t>🔍 Investigate and apply appropriate controls</t>
        </is>
      </c>
      <c r="S1730" s="187" t="inlineStr">
        <is>
          <t>Spamhaus - CIDR range</t>
        </is>
      </c>
      <c r="T1730" s="187" t="n">
        <v>0</v>
      </c>
      <c r="U1730" s="187" t="n">
        <v>0</v>
      </c>
      <c r="V1730" s="187" t="inlineStr">
        <is>
          <t>T1566:Phishing | T1078:Valid Accounts</t>
        </is>
      </c>
      <c r="W1730" s="187" t="n">
        <v>1</v>
      </c>
      <c r="X1730" s="187" t="inlineStr">
        <is>
          <t>LOW (40%)</t>
        </is>
      </c>
      <c r="Y1730" s="187" t="inlineStr">
        <is>
          <t>NONE</t>
        </is>
      </c>
      <c r="Z1730" s="187" t="inlineStr">
        <is>
          <t>NONE</t>
        </is>
      </c>
      <c r="AA1730" s="187" t="inlineStr">
        <is>
          <t>NONE</t>
        </is>
      </c>
      <c r="AB1730" s="187" t="inlineStr">
        <is>
          <t>NONE</t>
        </is>
      </c>
      <c r="AC1730" s="187" t="n">
        <v>0</v>
      </c>
      <c r="AD1730" s="187" t="inlineStr"/>
    </row>
    <row r="1731">
      <c r="A1731" s="187" t="inlineStr">
        <is>
          <t>FIREHOL_THREAT</t>
        </is>
      </c>
      <c r="B1731" s="187" t="inlineStr">
        <is>
          <t>0b0d18fbf54e</t>
        </is>
      </c>
      <c r="C1731" s="187" t="inlineStr">
        <is>
          <t>DROP List CIDR: 1.14.12.141 | FireHOL L2 threat IP/CIDR | ASN: FireHOL-L2</t>
        </is>
      </c>
      <c r="D1731" s="187" t="n">
        <v>6</v>
      </c>
      <c r="E1731" s="187" t="inlineStr">
        <is>
          <t>MEDIUM</t>
        </is>
      </c>
      <c r="F1731" s="187" t="n">
        <v>2</v>
      </c>
      <c r="G1731" s="187" t="n">
        <v>2</v>
      </c>
      <c r="H1731" s="187" t="inlineStr">
        <is>
          <t>MEDIUM</t>
        </is>
      </c>
      <c r="I1731" s="187" t="n">
        <v>10</v>
      </c>
      <c r="J1731" s="187" t="inlineStr">
        <is>
          <t>NO</t>
        </is>
      </c>
      <c r="K1731" s="187" t="inlineStr">
        <is>
          <t>https://www.spamhaus.org/drop/</t>
        </is>
      </c>
      <c r="L1731" s="187" t="inlineStr">
        <is>
          <t>2026-02-26 00:15</t>
        </is>
      </c>
      <c r="M1731" s="187" t="inlineStr">
        <is>
          <t>Block CIDR</t>
        </is>
      </c>
      <c r="N1731" s="187" t="inlineStr">
        <is>
          <t>https://www.spamhaus.org/drop/</t>
        </is>
      </c>
      <c r="O1731" s="187" t="inlineStr">
        <is>
          <t>Block CIDR 1.14.12.141 at firewall</t>
        </is>
      </c>
      <c r="P1731" s="187" t="inlineStr">
        <is>
          <t>Firewall/Email</t>
        </is>
      </c>
      <c r="Q1731" s="187" t="inlineStr">
        <is>
          <t>P4</t>
        </is>
      </c>
      <c r="R1731" s="187" t="inlineStr">
        <is>
          <t>🔍 Investigate and apply appropriate controls</t>
        </is>
      </c>
      <c r="S1731" s="187" t="inlineStr">
        <is>
          <t>Spamhaus - CIDR range</t>
        </is>
      </c>
      <c r="T1731" s="187" t="n">
        <v>0</v>
      </c>
      <c r="U1731" s="187" t="n">
        <v>0</v>
      </c>
      <c r="V1731" s="187" t="inlineStr">
        <is>
          <t>T1566:Phishing | T1078:Valid Accounts</t>
        </is>
      </c>
      <c r="W1731" s="187" t="n">
        <v>1</v>
      </c>
      <c r="X1731" s="187" t="inlineStr">
        <is>
          <t>LOW (40%)</t>
        </is>
      </c>
      <c r="Y1731" s="187" t="inlineStr">
        <is>
          <t>NONE</t>
        </is>
      </c>
      <c r="Z1731" s="187" t="inlineStr">
        <is>
          <t>NONE</t>
        </is>
      </c>
      <c r="AA1731" s="187" t="inlineStr">
        <is>
          <t>NONE</t>
        </is>
      </c>
      <c r="AB1731" s="187" t="inlineStr">
        <is>
          <t>NONE</t>
        </is>
      </c>
      <c r="AC1731" s="187" t="n">
        <v>0</v>
      </c>
      <c r="AD1731" s="187" t="inlineStr"/>
    </row>
    <row r="1732">
      <c r="A1732" s="187" t="inlineStr">
        <is>
          <t>FIREHOL_THREAT</t>
        </is>
      </c>
      <c r="B1732" s="187" t="inlineStr">
        <is>
          <t>1c994f7ff000</t>
        </is>
      </c>
      <c r="C1732" s="187" t="inlineStr">
        <is>
          <t>DROP List CIDR: 1.14.254.146 | FireHOL L2 threat IP/CIDR | ASN: FireHOL-L2</t>
        </is>
      </c>
      <c r="D1732" s="187" t="n">
        <v>6</v>
      </c>
      <c r="E1732" s="187" t="inlineStr">
        <is>
          <t>MEDIUM</t>
        </is>
      </c>
      <c r="F1732" s="187" t="n">
        <v>2</v>
      </c>
      <c r="G1732" s="187" t="n">
        <v>2</v>
      </c>
      <c r="H1732" s="187" t="inlineStr">
        <is>
          <t>MEDIUM</t>
        </is>
      </c>
      <c r="I1732" s="187" t="n">
        <v>10</v>
      </c>
      <c r="J1732" s="187" t="inlineStr">
        <is>
          <t>NO</t>
        </is>
      </c>
      <c r="K1732" s="187" t="inlineStr">
        <is>
          <t>https://www.spamhaus.org/drop/</t>
        </is>
      </c>
      <c r="L1732" s="187" t="inlineStr">
        <is>
          <t>2026-02-26 00:15</t>
        </is>
      </c>
      <c r="M1732" s="187" t="inlineStr">
        <is>
          <t>Block CIDR</t>
        </is>
      </c>
      <c r="N1732" s="187" t="inlineStr">
        <is>
          <t>https://www.spamhaus.org/drop/</t>
        </is>
      </c>
      <c r="O1732" s="187" t="inlineStr">
        <is>
          <t>Block CIDR 1.14.254.146 at firewall</t>
        </is>
      </c>
      <c r="P1732" s="187" t="inlineStr">
        <is>
          <t>Firewall/Email</t>
        </is>
      </c>
      <c r="Q1732" s="187" t="inlineStr">
        <is>
          <t>P4</t>
        </is>
      </c>
      <c r="R1732" s="187" t="inlineStr">
        <is>
          <t>🔍 Investigate and apply appropriate controls</t>
        </is>
      </c>
      <c r="S1732" s="187" t="inlineStr">
        <is>
          <t>Spamhaus - CIDR range</t>
        </is>
      </c>
      <c r="T1732" s="187" t="n">
        <v>0</v>
      </c>
      <c r="U1732" s="187" t="n">
        <v>0</v>
      </c>
      <c r="V1732" s="187" t="inlineStr">
        <is>
          <t>T1566:Phishing | T1078:Valid Accounts</t>
        </is>
      </c>
      <c r="W1732" s="187" t="n">
        <v>1</v>
      </c>
      <c r="X1732" s="187" t="inlineStr">
        <is>
          <t>LOW (40%)</t>
        </is>
      </c>
      <c r="Y1732" s="187" t="inlineStr">
        <is>
          <t>NONE</t>
        </is>
      </c>
      <c r="Z1732" s="187" t="inlineStr">
        <is>
          <t>NONE</t>
        </is>
      </c>
      <c r="AA1732" s="187" t="inlineStr">
        <is>
          <t>NONE</t>
        </is>
      </c>
      <c r="AB1732" s="187" t="inlineStr">
        <is>
          <t>NONE</t>
        </is>
      </c>
      <c r="AC1732" s="187" t="n">
        <v>0</v>
      </c>
      <c r="AD1732" s="187" t="inlineStr"/>
    </row>
    <row r="1733">
      <c r="A1733" s="187" t="inlineStr">
        <is>
          <t>FIREHOL_THREAT</t>
        </is>
      </c>
      <c r="B1733" s="187" t="inlineStr">
        <is>
          <t>310a1440e95a</t>
        </is>
      </c>
      <c r="C1733" s="187" t="inlineStr">
        <is>
          <t>DROP List CIDR: 1.15.77.170 | FireHOL L2 threat IP/CIDR | ASN: FireHOL-L2</t>
        </is>
      </c>
      <c r="D1733" s="187" t="n">
        <v>6</v>
      </c>
      <c r="E1733" s="187" t="inlineStr">
        <is>
          <t>MEDIUM</t>
        </is>
      </c>
      <c r="F1733" s="187" t="n">
        <v>2</v>
      </c>
      <c r="G1733" s="187" t="n">
        <v>2</v>
      </c>
      <c r="H1733" s="187" t="inlineStr">
        <is>
          <t>MEDIUM</t>
        </is>
      </c>
      <c r="I1733" s="187" t="n">
        <v>10</v>
      </c>
      <c r="J1733" s="187" t="inlineStr">
        <is>
          <t>NO</t>
        </is>
      </c>
      <c r="K1733" s="187" t="inlineStr">
        <is>
          <t>https://www.spamhaus.org/drop/</t>
        </is>
      </c>
      <c r="L1733" s="187" t="inlineStr">
        <is>
          <t>2026-02-26 00:15</t>
        </is>
      </c>
      <c r="M1733" s="187" t="inlineStr">
        <is>
          <t>Block CIDR</t>
        </is>
      </c>
      <c r="N1733" s="187" t="inlineStr">
        <is>
          <t>https://www.spamhaus.org/drop/</t>
        </is>
      </c>
      <c r="O1733" s="187" t="inlineStr">
        <is>
          <t>Block CIDR 1.15.77.170 at firewall</t>
        </is>
      </c>
      <c r="P1733" s="187" t="inlineStr">
        <is>
          <t>Firewall/Email</t>
        </is>
      </c>
      <c r="Q1733" s="187" t="inlineStr">
        <is>
          <t>P4</t>
        </is>
      </c>
      <c r="R1733" s="187" t="inlineStr">
        <is>
          <t>🔍 Investigate and apply appropriate controls</t>
        </is>
      </c>
      <c r="S1733" s="187" t="inlineStr">
        <is>
          <t>Spamhaus - CIDR range</t>
        </is>
      </c>
      <c r="T1733" s="187" t="n">
        <v>0</v>
      </c>
      <c r="U1733" s="187" t="n">
        <v>0</v>
      </c>
      <c r="V1733" s="187" t="inlineStr">
        <is>
          <t>T1566:Phishing | T1078:Valid Accounts</t>
        </is>
      </c>
      <c r="W1733" s="187" t="n">
        <v>1</v>
      </c>
      <c r="X1733" s="187" t="inlineStr">
        <is>
          <t>LOW (40%)</t>
        </is>
      </c>
      <c r="Y1733" s="187" t="inlineStr">
        <is>
          <t>NONE</t>
        </is>
      </c>
      <c r="Z1733" s="187" t="inlineStr">
        <is>
          <t>NONE</t>
        </is>
      </c>
      <c r="AA1733" s="187" t="inlineStr">
        <is>
          <t>NONE</t>
        </is>
      </c>
      <c r="AB1733" s="187" t="inlineStr">
        <is>
          <t>NONE</t>
        </is>
      </c>
      <c r="AC1733" s="187" t="n">
        <v>0</v>
      </c>
      <c r="AD1733" s="187" t="inlineStr"/>
    </row>
    <row r="1734">
      <c r="A1734" s="187" t="inlineStr">
        <is>
          <t>FIREHOL_THREAT</t>
        </is>
      </c>
      <c r="B1734" s="187" t="inlineStr">
        <is>
          <t>017abc159f47</t>
        </is>
      </c>
      <c r="C1734" s="187" t="inlineStr">
        <is>
          <t>DROP List CIDR: 1.15.116.189 | FireHOL L2 threat IP/CIDR | ASN: FireHOL-L2</t>
        </is>
      </c>
      <c r="D1734" s="187" t="n">
        <v>6</v>
      </c>
      <c r="E1734" s="187" t="inlineStr">
        <is>
          <t>MEDIUM</t>
        </is>
      </c>
      <c r="F1734" s="187" t="n">
        <v>2</v>
      </c>
      <c r="G1734" s="187" t="n">
        <v>2</v>
      </c>
      <c r="H1734" s="187" t="inlineStr">
        <is>
          <t>MEDIUM</t>
        </is>
      </c>
      <c r="I1734" s="187" t="n">
        <v>10</v>
      </c>
      <c r="J1734" s="187" t="inlineStr">
        <is>
          <t>NO</t>
        </is>
      </c>
      <c r="K1734" s="187" t="inlineStr">
        <is>
          <t>https://www.spamhaus.org/drop/</t>
        </is>
      </c>
      <c r="L1734" s="187" t="inlineStr">
        <is>
          <t>2026-02-26 00:15</t>
        </is>
      </c>
      <c r="M1734" s="187" t="inlineStr">
        <is>
          <t>Block CIDR</t>
        </is>
      </c>
      <c r="N1734" s="187" t="inlineStr">
        <is>
          <t>https://www.spamhaus.org/drop/</t>
        </is>
      </c>
      <c r="O1734" s="187" t="inlineStr">
        <is>
          <t>Block CIDR 1.15.116.189 at firewall</t>
        </is>
      </c>
      <c r="P1734" s="187" t="inlineStr">
        <is>
          <t>Firewall/Email</t>
        </is>
      </c>
      <c r="Q1734" s="187" t="inlineStr">
        <is>
          <t>P4</t>
        </is>
      </c>
      <c r="R1734" s="187" t="inlineStr">
        <is>
          <t>🔍 Investigate and apply appropriate controls</t>
        </is>
      </c>
      <c r="S1734" s="187" t="inlineStr">
        <is>
          <t>Spamhaus - CIDR range</t>
        </is>
      </c>
      <c r="T1734" s="187" t="n">
        <v>0</v>
      </c>
      <c r="U1734" s="187" t="n">
        <v>0</v>
      </c>
      <c r="V1734" s="187" t="inlineStr">
        <is>
          <t>T1566:Phishing | T1078:Valid Accounts</t>
        </is>
      </c>
      <c r="W1734" s="187" t="n">
        <v>1</v>
      </c>
      <c r="X1734" s="187" t="inlineStr">
        <is>
          <t>LOW (40%)</t>
        </is>
      </c>
      <c r="Y1734" s="187" t="inlineStr">
        <is>
          <t>NONE</t>
        </is>
      </c>
      <c r="Z1734" s="187" t="inlineStr">
        <is>
          <t>NONE</t>
        </is>
      </c>
      <c r="AA1734" s="187" t="inlineStr">
        <is>
          <t>NONE</t>
        </is>
      </c>
      <c r="AB1734" s="187" t="inlineStr">
        <is>
          <t>NONE</t>
        </is>
      </c>
      <c r="AC1734" s="187" t="n">
        <v>0</v>
      </c>
      <c r="AD1734" s="187" t="inlineStr"/>
    </row>
    <row r="1735">
      <c r="A1735" s="187" t="inlineStr">
        <is>
          <t>FIREHOL_THREAT</t>
        </is>
      </c>
      <c r="B1735" s="187" t="inlineStr">
        <is>
          <t>b2c07aa1d291</t>
        </is>
      </c>
      <c r="C1735" s="187" t="inlineStr">
        <is>
          <t>DROP List CIDR: 1.15.136.28 | FireHOL L2 threat IP/CIDR | ASN: FireHOL-L2</t>
        </is>
      </c>
      <c r="D1735" s="187" t="n">
        <v>6</v>
      </c>
      <c r="E1735" s="187" t="inlineStr">
        <is>
          <t>MEDIUM</t>
        </is>
      </c>
      <c r="F1735" s="187" t="n">
        <v>2</v>
      </c>
      <c r="G1735" s="187" t="n">
        <v>2</v>
      </c>
      <c r="H1735" s="187" t="inlineStr">
        <is>
          <t>MEDIUM</t>
        </is>
      </c>
      <c r="I1735" s="187" t="n">
        <v>10</v>
      </c>
      <c r="J1735" s="187" t="inlineStr">
        <is>
          <t>NO</t>
        </is>
      </c>
      <c r="K1735" s="187" t="inlineStr">
        <is>
          <t>https://www.spamhaus.org/drop/</t>
        </is>
      </c>
      <c r="L1735" s="187" t="inlineStr">
        <is>
          <t>2026-02-26 00:15</t>
        </is>
      </c>
      <c r="M1735" s="187" t="inlineStr">
        <is>
          <t>Block CIDR</t>
        </is>
      </c>
      <c r="N1735" s="187" t="inlineStr">
        <is>
          <t>https://www.spamhaus.org/drop/</t>
        </is>
      </c>
      <c r="O1735" s="187" t="inlineStr">
        <is>
          <t>Block CIDR 1.15.136.28 at firewall</t>
        </is>
      </c>
      <c r="P1735" s="187" t="inlineStr">
        <is>
          <t>Firewall/Email</t>
        </is>
      </c>
      <c r="Q1735" s="187" t="inlineStr">
        <is>
          <t>P4</t>
        </is>
      </c>
      <c r="R1735" s="187" t="inlineStr">
        <is>
          <t>🔍 Investigate and apply appropriate controls</t>
        </is>
      </c>
      <c r="S1735" s="187" t="inlineStr">
        <is>
          <t>Spamhaus - CIDR range</t>
        </is>
      </c>
      <c r="T1735" s="187" t="n">
        <v>0</v>
      </c>
      <c r="U1735" s="187" t="n">
        <v>0</v>
      </c>
      <c r="V1735" s="187" t="inlineStr">
        <is>
          <t>T1566:Phishing | T1078:Valid Accounts</t>
        </is>
      </c>
      <c r="W1735" s="187" t="n">
        <v>1</v>
      </c>
      <c r="X1735" s="187" t="inlineStr">
        <is>
          <t>LOW (40%)</t>
        </is>
      </c>
      <c r="Y1735" s="187" t="inlineStr">
        <is>
          <t>NONE</t>
        </is>
      </c>
      <c r="Z1735" s="187" t="inlineStr">
        <is>
          <t>NONE</t>
        </is>
      </c>
      <c r="AA1735" s="187" t="inlineStr">
        <is>
          <t>NONE</t>
        </is>
      </c>
      <c r="AB1735" s="187" t="inlineStr">
        <is>
          <t>NONE</t>
        </is>
      </c>
      <c r="AC1735" s="187" t="n">
        <v>0</v>
      </c>
      <c r="AD1735" s="187" t="inlineStr"/>
    </row>
    <row r="1736">
      <c r="A1736" s="187" t="inlineStr">
        <is>
          <t>FIREHOL_THREAT</t>
        </is>
      </c>
      <c r="B1736" s="187" t="inlineStr">
        <is>
          <t>d28316cdbee2</t>
        </is>
      </c>
      <c r="C1736" s="187" t="inlineStr">
        <is>
          <t>DROP List CIDR: 1.24.210.27 | FireHOL L2 threat IP/CIDR | ASN: FireHOL-L2</t>
        </is>
      </c>
      <c r="D1736" s="187" t="n">
        <v>6</v>
      </c>
      <c r="E1736" s="187" t="inlineStr">
        <is>
          <t>MEDIUM</t>
        </is>
      </c>
      <c r="F1736" s="187" t="n">
        <v>2</v>
      </c>
      <c r="G1736" s="187" t="n">
        <v>2</v>
      </c>
      <c r="H1736" s="187" t="inlineStr">
        <is>
          <t>MEDIUM</t>
        </is>
      </c>
      <c r="I1736" s="187" t="n">
        <v>10</v>
      </c>
      <c r="J1736" s="187" t="inlineStr">
        <is>
          <t>NO</t>
        </is>
      </c>
      <c r="K1736" s="187" t="inlineStr">
        <is>
          <t>https://www.spamhaus.org/drop/</t>
        </is>
      </c>
      <c r="L1736" s="187" t="inlineStr">
        <is>
          <t>2026-02-26 00:15</t>
        </is>
      </c>
      <c r="M1736" s="187" t="inlineStr">
        <is>
          <t>Block CIDR</t>
        </is>
      </c>
      <c r="N1736" s="187" t="inlineStr">
        <is>
          <t>https://www.spamhaus.org/drop/</t>
        </is>
      </c>
      <c r="O1736" s="187" t="inlineStr">
        <is>
          <t>Block CIDR 1.24.210.27 at firewall</t>
        </is>
      </c>
      <c r="P1736" s="187" t="inlineStr">
        <is>
          <t>Firewall/Email</t>
        </is>
      </c>
      <c r="Q1736" s="187" t="inlineStr">
        <is>
          <t>P4</t>
        </is>
      </c>
      <c r="R1736" s="187" t="inlineStr">
        <is>
          <t>🔍 Investigate and apply appropriate controls</t>
        </is>
      </c>
      <c r="S1736" s="187" t="inlineStr">
        <is>
          <t>Spamhaus - CIDR range</t>
        </is>
      </c>
      <c r="T1736" s="187" t="n">
        <v>0</v>
      </c>
      <c r="U1736" s="187" t="n">
        <v>0</v>
      </c>
      <c r="V1736" s="187" t="inlineStr">
        <is>
          <t>T1566:Phishing | T1078:Valid Accounts</t>
        </is>
      </c>
      <c r="W1736" s="187" t="n">
        <v>1</v>
      </c>
      <c r="X1736" s="187" t="inlineStr">
        <is>
          <t>LOW (40%)</t>
        </is>
      </c>
      <c r="Y1736" s="187" t="inlineStr">
        <is>
          <t>NONE</t>
        </is>
      </c>
      <c r="Z1736" s="187" t="inlineStr">
        <is>
          <t>NONE</t>
        </is>
      </c>
      <c r="AA1736" s="187" t="inlineStr">
        <is>
          <t>NONE</t>
        </is>
      </c>
      <c r="AB1736" s="187" t="inlineStr">
        <is>
          <t>NONE</t>
        </is>
      </c>
      <c r="AC1736" s="187" t="n">
        <v>0</v>
      </c>
      <c r="AD1736" s="187" t="inlineStr"/>
    </row>
    <row r="1737">
      <c r="A1737" s="187" t="inlineStr">
        <is>
          <t>FIREHOL_THREAT</t>
        </is>
      </c>
      <c r="B1737" s="187" t="inlineStr">
        <is>
          <t>286e31c4d50b</t>
        </is>
      </c>
      <c r="C1737" s="187" t="inlineStr">
        <is>
          <t>DROP List CIDR: 1.30.20.98 | FireHOL L2 threat IP/CIDR | ASN: FireHOL-L2</t>
        </is>
      </c>
      <c r="D1737" s="187" t="n">
        <v>6</v>
      </c>
      <c r="E1737" s="187" t="inlineStr">
        <is>
          <t>MEDIUM</t>
        </is>
      </c>
      <c r="F1737" s="187" t="n">
        <v>2</v>
      </c>
      <c r="G1737" s="187" t="n">
        <v>2</v>
      </c>
      <c r="H1737" s="187" t="inlineStr">
        <is>
          <t>MEDIUM</t>
        </is>
      </c>
      <c r="I1737" s="187" t="n">
        <v>10</v>
      </c>
      <c r="J1737" s="187" t="inlineStr">
        <is>
          <t>NO</t>
        </is>
      </c>
      <c r="K1737" s="187" t="inlineStr">
        <is>
          <t>https://www.spamhaus.org/drop/</t>
        </is>
      </c>
      <c r="L1737" s="187" t="inlineStr">
        <is>
          <t>2026-02-26 00:15</t>
        </is>
      </c>
      <c r="M1737" s="187" t="inlineStr">
        <is>
          <t>Block CIDR</t>
        </is>
      </c>
      <c r="N1737" s="187" t="inlineStr">
        <is>
          <t>https://www.spamhaus.org/drop/</t>
        </is>
      </c>
      <c r="O1737" s="187" t="inlineStr">
        <is>
          <t>Block CIDR 1.30.20.98 at firewall</t>
        </is>
      </c>
      <c r="P1737" s="187" t="inlineStr">
        <is>
          <t>Firewall/Email</t>
        </is>
      </c>
      <c r="Q1737" s="187" t="inlineStr">
        <is>
          <t>P4</t>
        </is>
      </c>
      <c r="R1737" s="187" t="inlineStr">
        <is>
          <t>🔍 Investigate and apply appropriate controls</t>
        </is>
      </c>
      <c r="S1737" s="187" t="inlineStr">
        <is>
          <t>Spamhaus - CIDR range</t>
        </is>
      </c>
      <c r="T1737" s="187" t="n">
        <v>0</v>
      </c>
      <c r="U1737" s="187" t="n">
        <v>0</v>
      </c>
      <c r="V1737" s="187" t="inlineStr">
        <is>
          <t>T1566:Phishing | T1078:Valid Accounts</t>
        </is>
      </c>
      <c r="W1737" s="187" t="n">
        <v>1</v>
      </c>
      <c r="X1737" s="187" t="inlineStr">
        <is>
          <t>LOW (40%)</t>
        </is>
      </c>
      <c r="Y1737" s="187" t="inlineStr">
        <is>
          <t>NONE</t>
        </is>
      </c>
      <c r="Z1737" s="187" t="inlineStr">
        <is>
          <t>NONE</t>
        </is>
      </c>
      <c r="AA1737" s="187" t="inlineStr">
        <is>
          <t>NONE</t>
        </is>
      </c>
      <c r="AB1737" s="187" t="inlineStr">
        <is>
          <t>NONE</t>
        </is>
      </c>
      <c r="AC1737" s="187" t="n">
        <v>0</v>
      </c>
      <c r="AD1737" s="187" t="inlineStr"/>
    </row>
    <row r="1738">
      <c r="A1738" s="187" t="inlineStr">
        <is>
          <t>FIREHOL_THREAT</t>
        </is>
      </c>
      <c r="B1738" s="187" t="inlineStr">
        <is>
          <t>a6c72b943d06</t>
        </is>
      </c>
      <c r="C1738" s="187" t="inlineStr">
        <is>
          <t>DROP List CIDR: 1.30.20.238 | FireHOL L2 threat IP/CIDR | ASN: FireHOL-L2</t>
        </is>
      </c>
      <c r="D1738" s="187" t="n">
        <v>6</v>
      </c>
      <c r="E1738" s="187" t="inlineStr">
        <is>
          <t>MEDIUM</t>
        </is>
      </c>
      <c r="F1738" s="187" t="n">
        <v>2</v>
      </c>
      <c r="G1738" s="187" t="n">
        <v>2</v>
      </c>
      <c r="H1738" s="187" t="inlineStr">
        <is>
          <t>MEDIUM</t>
        </is>
      </c>
      <c r="I1738" s="187" t="n">
        <v>10</v>
      </c>
      <c r="J1738" s="187" t="inlineStr">
        <is>
          <t>NO</t>
        </is>
      </c>
      <c r="K1738" s="187" t="inlineStr">
        <is>
          <t>https://www.spamhaus.org/drop/</t>
        </is>
      </c>
      <c r="L1738" s="187" t="inlineStr">
        <is>
          <t>2026-02-26 00:15</t>
        </is>
      </c>
      <c r="M1738" s="187" t="inlineStr">
        <is>
          <t>Block CIDR</t>
        </is>
      </c>
      <c r="N1738" s="187" t="inlineStr">
        <is>
          <t>https://www.spamhaus.org/drop/</t>
        </is>
      </c>
      <c r="O1738" s="187" t="inlineStr">
        <is>
          <t>Block CIDR 1.30.20.238 at firewall</t>
        </is>
      </c>
      <c r="P1738" s="187" t="inlineStr">
        <is>
          <t>Firewall/Email</t>
        </is>
      </c>
      <c r="Q1738" s="187" t="inlineStr">
        <is>
          <t>P4</t>
        </is>
      </c>
      <c r="R1738" s="187" t="inlineStr">
        <is>
          <t>🔍 Investigate and apply appropriate controls</t>
        </is>
      </c>
      <c r="S1738" s="187" t="inlineStr">
        <is>
          <t>Spamhaus - CIDR range</t>
        </is>
      </c>
      <c r="T1738" s="187" t="n">
        <v>0</v>
      </c>
      <c r="U1738" s="187" t="n">
        <v>0</v>
      </c>
      <c r="V1738" s="187" t="inlineStr">
        <is>
          <t>T1566:Phishing | T1078:Valid Accounts</t>
        </is>
      </c>
      <c r="W1738" s="187" t="n">
        <v>1</v>
      </c>
      <c r="X1738" s="187" t="inlineStr">
        <is>
          <t>LOW (40%)</t>
        </is>
      </c>
      <c r="Y1738" s="187" t="inlineStr">
        <is>
          <t>NONE</t>
        </is>
      </c>
      <c r="Z1738" s="187" t="inlineStr">
        <is>
          <t>NONE</t>
        </is>
      </c>
      <c r="AA1738" s="187" t="inlineStr">
        <is>
          <t>NONE</t>
        </is>
      </c>
      <c r="AB1738" s="187" t="inlineStr">
        <is>
          <t>NONE</t>
        </is>
      </c>
      <c r="AC1738" s="187" t="n">
        <v>0</v>
      </c>
      <c r="AD1738" s="187" t="inlineStr"/>
    </row>
    <row r="1739">
      <c r="A1739" s="187" t="inlineStr">
        <is>
          <t>FIREHOL_THREAT</t>
        </is>
      </c>
      <c r="B1739" s="187" t="inlineStr">
        <is>
          <t>4e6db5098243</t>
        </is>
      </c>
      <c r="C1739" s="187" t="inlineStr">
        <is>
          <t>DROP List CIDR: 1.30.199.218 | FireHOL L2 threat IP/CIDR | ASN: FireHOL-L2</t>
        </is>
      </c>
      <c r="D1739" s="187" t="n">
        <v>6</v>
      </c>
      <c r="E1739" s="187" t="inlineStr">
        <is>
          <t>MEDIUM</t>
        </is>
      </c>
      <c r="F1739" s="187" t="n">
        <v>2</v>
      </c>
      <c r="G1739" s="187" t="n">
        <v>2</v>
      </c>
      <c r="H1739" s="187" t="inlineStr">
        <is>
          <t>MEDIUM</t>
        </is>
      </c>
      <c r="I1739" s="187" t="n">
        <v>10</v>
      </c>
      <c r="J1739" s="187" t="inlineStr">
        <is>
          <t>NO</t>
        </is>
      </c>
      <c r="K1739" s="187" t="inlineStr">
        <is>
          <t>https://www.spamhaus.org/drop/</t>
        </is>
      </c>
      <c r="L1739" s="187" t="inlineStr">
        <is>
          <t>2026-02-26 00:15</t>
        </is>
      </c>
      <c r="M1739" s="187" t="inlineStr">
        <is>
          <t>Block CIDR</t>
        </is>
      </c>
      <c r="N1739" s="187" t="inlineStr">
        <is>
          <t>https://www.spamhaus.org/drop/</t>
        </is>
      </c>
      <c r="O1739" s="187" t="inlineStr">
        <is>
          <t>Block CIDR 1.30.199.218 at firewall</t>
        </is>
      </c>
      <c r="P1739" s="187" t="inlineStr">
        <is>
          <t>Firewall/Email</t>
        </is>
      </c>
      <c r="Q1739" s="187" t="inlineStr">
        <is>
          <t>P4</t>
        </is>
      </c>
      <c r="R1739" s="187" t="inlineStr">
        <is>
          <t>🔍 Investigate and apply appropriate controls</t>
        </is>
      </c>
      <c r="S1739" s="187" t="inlineStr">
        <is>
          <t>Spamhaus - CIDR range</t>
        </is>
      </c>
      <c r="T1739" s="187" t="n">
        <v>0</v>
      </c>
      <c r="U1739" s="187" t="n">
        <v>0</v>
      </c>
      <c r="V1739" s="187" t="inlineStr">
        <is>
          <t>T1566:Phishing | T1078:Valid Accounts</t>
        </is>
      </c>
      <c r="W1739" s="187" t="n">
        <v>1</v>
      </c>
      <c r="X1739" s="187" t="inlineStr">
        <is>
          <t>LOW (40%)</t>
        </is>
      </c>
      <c r="Y1739" s="187" t="inlineStr">
        <is>
          <t>NONE</t>
        </is>
      </c>
      <c r="Z1739" s="187" t="inlineStr">
        <is>
          <t>NONE</t>
        </is>
      </c>
      <c r="AA1739" s="187" t="inlineStr">
        <is>
          <t>NONE</t>
        </is>
      </c>
      <c r="AB1739" s="187" t="inlineStr">
        <is>
          <t>NONE</t>
        </is>
      </c>
      <c r="AC1739" s="187" t="n">
        <v>0</v>
      </c>
      <c r="AD1739" s="187" t="inlineStr"/>
    </row>
    <row r="1740">
      <c r="A1740" s="187" t="inlineStr">
        <is>
          <t>FIREHOL_THREAT</t>
        </is>
      </c>
      <c r="B1740" s="187" t="inlineStr">
        <is>
          <t>12bfaf24ccb6</t>
        </is>
      </c>
      <c r="C1740" s="187" t="inlineStr">
        <is>
          <t>DROP List CIDR: 1.31.80.222 | FireHOL L2 threat IP/CIDR | ASN: FireHOL-L2</t>
        </is>
      </c>
      <c r="D1740" s="187" t="n">
        <v>6</v>
      </c>
      <c r="E1740" s="187" t="inlineStr">
        <is>
          <t>MEDIUM</t>
        </is>
      </c>
      <c r="F1740" s="187" t="n">
        <v>2</v>
      </c>
      <c r="G1740" s="187" t="n">
        <v>2</v>
      </c>
      <c r="H1740" s="187" t="inlineStr">
        <is>
          <t>MEDIUM</t>
        </is>
      </c>
      <c r="I1740" s="187" t="n">
        <v>10</v>
      </c>
      <c r="J1740" s="187" t="inlineStr">
        <is>
          <t>NO</t>
        </is>
      </c>
      <c r="K1740" s="187" t="inlineStr">
        <is>
          <t>https://www.spamhaus.org/drop/</t>
        </is>
      </c>
      <c r="L1740" s="187" t="inlineStr">
        <is>
          <t>2026-02-26 00:15</t>
        </is>
      </c>
      <c r="M1740" s="187" t="inlineStr">
        <is>
          <t>Block CIDR</t>
        </is>
      </c>
      <c r="N1740" s="187" t="inlineStr">
        <is>
          <t>https://www.spamhaus.org/drop/</t>
        </is>
      </c>
      <c r="O1740" s="187" t="inlineStr">
        <is>
          <t>Block CIDR 1.31.80.222 at firewall</t>
        </is>
      </c>
      <c r="P1740" s="187" t="inlineStr">
        <is>
          <t>Firewall/Email</t>
        </is>
      </c>
      <c r="Q1740" s="187" t="inlineStr">
        <is>
          <t>P4</t>
        </is>
      </c>
      <c r="R1740" s="187" t="inlineStr">
        <is>
          <t>🔍 Investigate and apply appropriate controls</t>
        </is>
      </c>
      <c r="S1740" s="187" t="inlineStr">
        <is>
          <t>Spamhaus - CIDR range</t>
        </is>
      </c>
      <c r="T1740" s="187" t="n">
        <v>0</v>
      </c>
      <c r="U1740" s="187" t="n">
        <v>0</v>
      </c>
      <c r="V1740" s="187" t="inlineStr">
        <is>
          <t>T1566:Phishing | T1078:Valid Accounts</t>
        </is>
      </c>
      <c r="W1740" s="187" t="n">
        <v>1</v>
      </c>
      <c r="X1740" s="187" t="inlineStr">
        <is>
          <t>LOW (40%)</t>
        </is>
      </c>
      <c r="Y1740" s="187" t="inlineStr">
        <is>
          <t>NONE</t>
        </is>
      </c>
      <c r="Z1740" s="187" t="inlineStr">
        <is>
          <t>NONE</t>
        </is>
      </c>
      <c r="AA1740" s="187" t="inlineStr">
        <is>
          <t>NONE</t>
        </is>
      </c>
      <c r="AB1740" s="187" t="inlineStr">
        <is>
          <t>NONE</t>
        </is>
      </c>
      <c r="AC1740" s="187" t="n">
        <v>0</v>
      </c>
      <c r="AD1740" s="187" t="inlineStr"/>
    </row>
    <row r="1741">
      <c r="A1741" s="187" t="inlineStr">
        <is>
          <t>FIREHOL_THREAT</t>
        </is>
      </c>
      <c r="B1741" s="187" t="inlineStr">
        <is>
          <t>74a3da35f7f1</t>
        </is>
      </c>
      <c r="C1741" s="187" t="inlineStr">
        <is>
          <t>DROP List CIDR: 1.34.219.246 | FireHOL L2 threat IP/CIDR | ASN: FireHOL-L2</t>
        </is>
      </c>
      <c r="D1741" s="187" t="n">
        <v>6</v>
      </c>
      <c r="E1741" s="187" t="inlineStr">
        <is>
          <t>MEDIUM</t>
        </is>
      </c>
      <c r="F1741" s="187" t="n">
        <v>2</v>
      </c>
      <c r="G1741" s="187" t="n">
        <v>2</v>
      </c>
      <c r="H1741" s="187" t="inlineStr">
        <is>
          <t>MEDIUM</t>
        </is>
      </c>
      <c r="I1741" s="187" t="n">
        <v>10</v>
      </c>
      <c r="J1741" s="187" t="inlineStr">
        <is>
          <t>NO</t>
        </is>
      </c>
      <c r="K1741" s="187" t="inlineStr">
        <is>
          <t>https://www.spamhaus.org/drop/</t>
        </is>
      </c>
      <c r="L1741" s="187" t="inlineStr">
        <is>
          <t>2026-02-26 00:15</t>
        </is>
      </c>
      <c r="M1741" s="187" t="inlineStr">
        <is>
          <t>Block CIDR</t>
        </is>
      </c>
      <c r="N1741" s="187" t="inlineStr">
        <is>
          <t>https://www.spamhaus.org/drop/</t>
        </is>
      </c>
      <c r="O1741" s="187" t="inlineStr">
        <is>
          <t>Block CIDR 1.34.219.246 at firewall</t>
        </is>
      </c>
      <c r="P1741" s="187" t="inlineStr">
        <is>
          <t>Firewall/Email</t>
        </is>
      </c>
      <c r="Q1741" s="187" t="inlineStr">
        <is>
          <t>P4</t>
        </is>
      </c>
      <c r="R1741" s="187" t="inlineStr">
        <is>
          <t>🔍 Investigate and apply appropriate controls</t>
        </is>
      </c>
      <c r="S1741" s="187" t="inlineStr">
        <is>
          <t>Spamhaus - CIDR range</t>
        </is>
      </c>
      <c r="T1741" s="187" t="n">
        <v>0</v>
      </c>
      <c r="U1741" s="187" t="n">
        <v>0</v>
      </c>
      <c r="V1741" s="187" t="inlineStr">
        <is>
          <t>T1566:Phishing | T1078:Valid Accounts</t>
        </is>
      </c>
      <c r="W1741" s="187" t="n">
        <v>1</v>
      </c>
      <c r="X1741" s="187" t="inlineStr">
        <is>
          <t>LOW (40%)</t>
        </is>
      </c>
      <c r="Y1741" s="187" t="inlineStr">
        <is>
          <t>NONE</t>
        </is>
      </c>
      <c r="Z1741" s="187" t="inlineStr">
        <is>
          <t>NONE</t>
        </is>
      </c>
      <c r="AA1741" s="187" t="inlineStr">
        <is>
          <t>NONE</t>
        </is>
      </c>
      <c r="AB1741" s="187" t="inlineStr">
        <is>
          <t>NONE</t>
        </is>
      </c>
      <c r="AC1741" s="187" t="n">
        <v>0</v>
      </c>
      <c r="AD1741" s="187" t="inlineStr"/>
    </row>
    <row r="1742">
      <c r="A1742" s="187" t="inlineStr">
        <is>
          <t>FIREHOL_THREAT</t>
        </is>
      </c>
      <c r="B1742" s="187" t="inlineStr">
        <is>
          <t>8dc6aeadd95a</t>
        </is>
      </c>
      <c r="C1742" s="187" t="inlineStr">
        <is>
          <t>DROP List CIDR: 1.55.33.86 | FireHOL L2 threat IP/CIDR | ASN: FireHOL-L2</t>
        </is>
      </c>
      <c r="D1742" s="187" t="n">
        <v>6</v>
      </c>
      <c r="E1742" s="187" t="inlineStr">
        <is>
          <t>MEDIUM</t>
        </is>
      </c>
      <c r="F1742" s="187" t="n">
        <v>2</v>
      </c>
      <c r="G1742" s="187" t="n">
        <v>2</v>
      </c>
      <c r="H1742" s="187" t="inlineStr">
        <is>
          <t>MEDIUM</t>
        </is>
      </c>
      <c r="I1742" s="187" t="n">
        <v>10</v>
      </c>
      <c r="J1742" s="187" t="inlineStr">
        <is>
          <t>NO</t>
        </is>
      </c>
      <c r="K1742" s="187" t="inlineStr">
        <is>
          <t>https://www.spamhaus.org/drop/</t>
        </is>
      </c>
      <c r="L1742" s="187" t="inlineStr">
        <is>
          <t>2026-02-26 00:15</t>
        </is>
      </c>
      <c r="M1742" s="187" t="inlineStr">
        <is>
          <t>Block CIDR</t>
        </is>
      </c>
      <c r="N1742" s="187" t="inlineStr">
        <is>
          <t>https://www.spamhaus.org/drop/</t>
        </is>
      </c>
      <c r="O1742" s="187" t="inlineStr">
        <is>
          <t>Block CIDR 1.55.33.86 at firewall</t>
        </is>
      </c>
      <c r="P1742" s="187" t="inlineStr">
        <is>
          <t>Firewall/Email</t>
        </is>
      </c>
      <c r="Q1742" s="187" t="inlineStr">
        <is>
          <t>P4</t>
        </is>
      </c>
      <c r="R1742" s="187" t="inlineStr">
        <is>
          <t>🔍 Investigate and apply appropriate controls</t>
        </is>
      </c>
      <c r="S1742" s="187" t="inlineStr">
        <is>
          <t>Spamhaus - CIDR range</t>
        </is>
      </c>
      <c r="T1742" s="187" t="n">
        <v>0</v>
      </c>
      <c r="U1742" s="187" t="n">
        <v>0</v>
      </c>
      <c r="V1742" s="187" t="inlineStr">
        <is>
          <t>T1566:Phishing | T1078:Valid Accounts</t>
        </is>
      </c>
      <c r="W1742" s="187" t="n">
        <v>1</v>
      </c>
      <c r="X1742" s="187" t="inlineStr">
        <is>
          <t>LOW (40%)</t>
        </is>
      </c>
      <c r="Y1742" s="187" t="inlineStr">
        <is>
          <t>NONE</t>
        </is>
      </c>
      <c r="Z1742" s="187" t="inlineStr">
        <is>
          <t>NONE</t>
        </is>
      </c>
      <c r="AA1742" s="187" t="inlineStr">
        <is>
          <t>NONE</t>
        </is>
      </c>
      <c r="AB1742" s="187" t="inlineStr">
        <is>
          <t>NONE</t>
        </is>
      </c>
      <c r="AC1742" s="187" t="n">
        <v>0</v>
      </c>
      <c r="AD1742" s="187" t="inlineStr"/>
    </row>
    <row r="1743">
      <c r="A1743" s="187" t="inlineStr">
        <is>
          <t>FIREHOL_THREAT</t>
        </is>
      </c>
      <c r="B1743" s="187" t="inlineStr">
        <is>
          <t>fba6f4c95a9c</t>
        </is>
      </c>
      <c r="C1743" s="187" t="inlineStr">
        <is>
          <t>DROP List CIDR: 1.62.89.39 | FireHOL L2 threat IP/CIDR | ASN: FireHOL-L2</t>
        </is>
      </c>
      <c r="D1743" s="187" t="n">
        <v>6</v>
      </c>
      <c r="E1743" s="187" t="inlineStr">
        <is>
          <t>MEDIUM</t>
        </is>
      </c>
      <c r="F1743" s="187" t="n">
        <v>2</v>
      </c>
      <c r="G1743" s="187" t="n">
        <v>2</v>
      </c>
      <c r="H1743" s="187" t="inlineStr">
        <is>
          <t>MEDIUM</t>
        </is>
      </c>
      <c r="I1743" s="187" t="n">
        <v>10</v>
      </c>
      <c r="J1743" s="187" t="inlineStr">
        <is>
          <t>NO</t>
        </is>
      </c>
      <c r="K1743" s="187" t="inlineStr">
        <is>
          <t>https://www.spamhaus.org/drop/</t>
        </is>
      </c>
      <c r="L1743" s="187" t="inlineStr">
        <is>
          <t>2026-02-26 00:15</t>
        </is>
      </c>
      <c r="M1743" s="187" t="inlineStr">
        <is>
          <t>Block CIDR</t>
        </is>
      </c>
      <c r="N1743" s="187" t="inlineStr">
        <is>
          <t>https://www.spamhaus.org/drop/</t>
        </is>
      </c>
      <c r="O1743" s="187" t="inlineStr">
        <is>
          <t>Block CIDR 1.62.89.39 at firewall</t>
        </is>
      </c>
      <c r="P1743" s="187" t="inlineStr">
        <is>
          <t>Firewall/Email</t>
        </is>
      </c>
      <c r="Q1743" s="187" t="inlineStr">
        <is>
          <t>P4</t>
        </is>
      </c>
      <c r="R1743" s="187" t="inlineStr">
        <is>
          <t>🔍 Investigate and apply appropriate controls</t>
        </is>
      </c>
      <c r="S1743" s="187" t="inlineStr">
        <is>
          <t>Spamhaus - CIDR range</t>
        </is>
      </c>
      <c r="T1743" s="187" t="n">
        <v>0</v>
      </c>
      <c r="U1743" s="187" t="n">
        <v>0</v>
      </c>
      <c r="V1743" s="187" t="inlineStr">
        <is>
          <t>T1566:Phishing | T1078:Valid Accounts</t>
        </is>
      </c>
      <c r="W1743" s="187" t="n">
        <v>1</v>
      </c>
      <c r="X1743" s="187" t="inlineStr">
        <is>
          <t>LOW (40%)</t>
        </is>
      </c>
      <c r="Y1743" s="187" t="inlineStr">
        <is>
          <t>NONE</t>
        </is>
      </c>
      <c r="Z1743" s="187" t="inlineStr">
        <is>
          <t>NONE</t>
        </is>
      </c>
      <c r="AA1743" s="187" t="inlineStr">
        <is>
          <t>NONE</t>
        </is>
      </c>
      <c r="AB1743" s="187" t="inlineStr">
        <is>
          <t>NONE</t>
        </is>
      </c>
      <c r="AC1743" s="187" t="n">
        <v>0</v>
      </c>
      <c r="AD1743" s="187" t="inlineStr"/>
    </row>
    <row r="1744">
      <c r="A1744" s="187" t="inlineStr">
        <is>
          <t>FIREHOL_THREAT</t>
        </is>
      </c>
      <c r="B1744" s="187" t="inlineStr">
        <is>
          <t>b62e4a29d9bd</t>
        </is>
      </c>
      <c r="C1744" s="187" t="inlineStr">
        <is>
          <t>DROP List CIDR: 1.64.160.133 | FireHOL L2 threat IP/CIDR | ASN: FireHOL-L2</t>
        </is>
      </c>
      <c r="D1744" s="187" t="n">
        <v>6</v>
      </c>
      <c r="E1744" s="187" t="inlineStr">
        <is>
          <t>MEDIUM</t>
        </is>
      </c>
      <c r="F1744" s="187" t="n">
        <v>2</v>
      </c>
      <c r="G1744" s="187" t="n">
        <v>2</v>
      </c>
      <c r="H1744" s="187" t="inlineStr">
        <is>
          <t>MEDIUM</t>
        </is>
      </c>
      <c r="I1744" s="187" t="n">
        <v>10</v>
      </c>
      <c r="J1744" s="187" t="inlineStr">
        <is>
          <t>NO</t>
        </is>
      </c>
      <c r="K1744" s="187" t="inlineStr">
        <is>
          <t>https://www.spamhaus.org/drop/</t>
        </is>
      </c>
      <c r="L1744" s="187" t="inlineStr">
        <is>
          <t>2026-02-26 00:15</t>
        </is>
      </c>
      <c r="M1744" s="187" t="inlineStr">
        <is>
          <t>Block CIDR</t>
        </is>
      </c>
      <c r="N1744" s="187" t="inlineStr">
        <is>
          <t>https://www.spamhaus.org/drop/</t>
        </is>
      </c>
      <c r="O1744" s="187" t="inlineStr">
        <is>
          <t>Block CIDR 1.64.160.133 at firewall</t>
        </is>
      </c>
      <c r="P1744" s="187" t="inlineStr">
        <is>
          <t>Firewall/Email</t>
        </is>
      </c>
      <c r="Q1744" s="187" t="inlineStr">
        <is>
          <t>P4</t>
        </is>
      </c>
      <c r="R1744" s="187" t="inlineStr">
        <is>
          <t>🔍 Investigate and apply appropriate controls</t>
        </is>
      </c>
      <c r="S1744" s="187" t="inlineStr">
        <is>
          <t>Spamhaus - CIDR range</t>
        </is>
      </c>
      <c r="T1744" s="187" t="n">
        <v>0</v>
      </c>
      <c r="U1744" s="187" t="n">
        <v>0</v>
      </c>
      <c r="V1744" s="187" t="inlineStr">
        <is>
          <t>T1566:Phishing | T1078:Valid Accounts</t>
        </is>
      </c>
      <c r="W1744" s="187" t="n">
        <v>1</v>
      </c>
      <c r="X1744" s="187" t="inlineStr">
        <is>
          <t>LOW (40%)</t>
        </is>
      </c>
      <c r="Y1744" s="187" t="inlineStr">
        <is>
          <t>NONE</t>
        </is>
      </c>
      <c r="Z1744" s="187" t="inlineStr">
        <is>
          <t>NONE</t>
        </is>
      </c>
      <c r="AA1744" s="187" t="inlineStr">
        <is>
          <t>NONE</t>
        </is>
      </c>
      <c r="AB1744" s="187" t="inlineStr">
        <is>
          <t>NONE</t>
        </is>
      </c>
      <c r="AC1744" s="187" t="n">
        <v>0</v>
      </c>
      <c r="AD1744" s="187" t="inlineStr"/>
    </row>
    <row r="1745">
      <c r="A1745" s="187" t="inlineStr">
        <is>
          <t>FIREHOL_THREAT</t>
        </is>
      </c>
      <c r="B1745" s="187" t="inlineStr">
        <is>
          <t>008a9291a602</t>
        </is>
      </c>
      <c r="C1745" s="187" t="inlineStr">
        <is>
          <t>DROP List CIDR: 1.82.135.154 | FireHOL L2 threat IP/CIDR | ASN: FireHOL-L2</t>
        </is>
      </c>
      <c r="D1745" s="187" t="n">
        <v>6</v>
      </c>
      <c r="E1745" s="187" t="inlineStr">
        <is>
          <t>MEDIUM</t>
        </is>
      </c>
      <c r="F1745" s="187" t="n">
        <v>2</v>
      </c>
      <c r="G1745" s="187" t="n">
        <v>2</v>
      </c>
      <c r="H1745" s="187" t="inlineStr">
        <is>
          <t>MEDIUM</t>
        </is>
      </c>
      <c r="I1745" s="187" t="n">
        <v>10</v>
      </c>
      <c r="J1745" s="187" t="inlineStr">
        <is>
          <t>NO</t>
        </is>
      </c>
      <c r="K1745" s="187" t="inlineStr">
        <is>
          <t>https://www.spamhaus.org/drop/</t>
        </is>
      </c>
      <c r="L1745" s="187" t="inlineStr">
        <is>
          <t>2026-02-26 00:15</t>
        </is>
      </c>
      <c r="M1745" s="187" t="inlineStr">
        <is>
          <t>Block CIDR</t>
        </is>
      </c>
      <c r="N1745" s="187" t="inlineStr">
        <is>
          <t>https://www.spamhaus.org/drop/</t>
        </is>
      </c>
      <c r="O1745" s="187" t="inlineStr">
        <is>
          <t>Block CIDR 1.82.135.154 at firewall</t>
        </is>
      </c>
      <c r="P1745" s="187" t="inlineStr">
        <is>
          <t>Firewall/Email</t>
        </is>
      </c>
      <c r="Q1745" s="187" t="inlineStr">
        <is>
          <t>P4</t>
        </is>
      </c>
      <c r="R1745" s="187" t="inlineStr">
        <is>
          <t>🔍 Investigate and apply appropriate controls</t>
        </is>
      </c>
      <c r="S1745" s="187" t="inlineStr">
        <is>
          <t>Spamhaus - CIDR range</t>
        </is>
      </c>
      <c r="T1745" s="187" t="n">
        <v>0</v>
      </c>
      <c r="U1745" s="187" t="n">
        <v>0</v>
      </c>
      <c r="V1745" s="187" t="inlineStr">
        <is>
          <t>T1566:Phishing | T1078:Valid Accounts</t>
        </is>
      </c>
      <c r="W1745" s="187" t="n">
        <v>1</v>
      </c>
      <c r="X1745" s="187" t="inlineStr">
        <is>
          <t>LOW (40%)</t>
        </is>
      </c>
      <c r="Y1745" s="187" t="inlineStr">
        <is>
          <t>NONE</t>
        </is>
      </c>
      <c r="Z1745" s="187" t="inlineStr">
        <is>
          <t>NONE</t>
        </is>
      </c>
      <c r="AA1745" s="187" t="inlineStr">
        <is>
          <t>NONE</t>
        </is>
      </c>
      <c r="AB1745" s="187" t="inlineStr">
        <is>
          <t>NONE</t>
        </is>
      </c>
      <c r="AC1745" s="187" t="n">
        <v>0</v>
      </c>
      <c r="AD1745" s="187" t="inlineStr"/>
    </row>
    <row r="1746">
      <c r="A1746" s="187" t="inlineStr">
        <is>
          <t>FIREHOL_THREAT</t>
        </is>
      </c>
      <c r="B1746" s="187" t="inlineStr">
        <is>
          <t>5c4d9dca84ca</t>
        </is>
      </c>
      <c r="C1746" s="187" t="inlineStr">
        <is>
          <t>DROP List CIDR: 1.83.169.79 | FireHOL L2 threat IP/CIDR | ASN: FireHOL-L2</t>
        </is>
      </c>
      <c r="D1746" s="187" t="n">
        <v>6</v>
      </c>
      <c r="E1746" s="187" t="inlineStr">
        <is>
          <t>MEDIUM</t>
        </is>
      </c>
      <c r="F1746" s="187" t="n">
        <v>2</v>
      </c>
      <c r="G1746" s="187" t="n">
        <v>2</v>
      </c>
      <c r="H1746" s="187" t="inlineStr">
        <is>
          <t>MEDIUM</t>
        </is>
      </c>
      <c r="I1746" s="187" t="n">
        <v>10</v>
      </c>
      <c r="J1746" s="187" t="inlineStr">
        <is>
          <t>NO</t>
        </is>
      </c>
      <c r="K1746" s="187" t="inlineStr">
        <is>
          <t>https://www.spamhaus.org/drop/</t>
        </is>
      </c>
      <c r="L1746" s="187" t="inlineStr">
        <is>
          <t>2026-02-26 00:15</t>
        </is>
      </c>
      <c r="M1746" s="187" t="inlineStr">
        <is>
          <t>Block CIDR</t>
        </is>
      </c>
      <c r="N1746" s="187" t="inlineStr">
        <is>
          <t>https://www.spamhaus.org/drop/</t>
        </is>
      </c>
      <c r="O1746" s="187" t="inlineStr">
        <is>
          <t>Block CIDR 1.83.169.79 at firewall</t>
        </is>
      </c>
      <c r="P1746" s="187" t="inlineStr">
        <is>
          <t>Firewall/Email</t>
        </is>
      </c>
      <c r="Q1746" s="187" t="inlineStr">
        <is>
          <t>P4</t>
        </is>
      </c>
      <c r="R1746" s="187" t="inlineStr">
        <is>
          <t>🔍 Investigate and apply appropriate controls</t>
        </is>
      </c>
      <c r="S1746" s="187" t="inlineStr">
        <is>
          <t>Spamhaus - CIDR range</t>
        </is>
      </c>
      <c r="T1746" s="187" t="n">
        <v>0</v>
      </c>
      <c r="U1746" s="187" t="n">
        <v>0</v>
      </c>
      <c r="V1746" s="187" t="inlineStr">
        <is>
          <t>T1566:Phishing | T1078:Valid Accounts</t>
        </is>
      </c>
      <c r="W1746" s="187" t="n">
        <v>1</v>
      </c>
      <c r="X1746" s="187" t="inlineStr">
        <is>
          <t>LOW (40%)</t>
        </is>
      </c>
      <c r="Y1746" s="187" t="inlineStr">
        <is>
          <t>NONE</t>
        </is>
      </c>
      <c r="Z1746" s="187" t="inlineStr">
        <is>
          <t>NONE</t>
        </is>
      </c>
      <c r="AA1746" s="187" t="inlineStr">
        <is>
          <t>NONE</t>
        </is>
      </c>
      <c r="AB1746" s="187" t="inlineStr">
        <is>
          <t>NONE</t>
        </is>
      </c>
      <c r="AC1746" s="187" t="n">
        <v>0</v>
      </c>
      <c r="AD1746" s="187" t="inlineStr"/>
    </row>
    <row r="1747">
      <c r="A1747" s="187" t="inlineStr">
        <is>
          <t>FIREHOL_THREAT</t>
        </is>
      </c>
      <c r="B1747" s="187" t="inlineStr">
        <is>
          <t>cfaf0f274d54</t>
        </is>
      </c>
      <c r="C1747" s="187" t="inlineStr">
        <is>
          <t>DROP List CIDR: 1.85.42.195 | FireHOL L2 threat IP/CIDR | ASN: FireHOL-L2</t>
        </is>
      </c>
      <c r="D1747" s="187" t="n">
        <v>6</v>
      </c>
      <c r="E1747" s="187" t="inlineStr">
        <is>
          <t>MEDIUM</t>
        </is>
      </c>
      <c r="F1747" s="187" t="n">
        <v>2</v>
      </c>
      <c r="G1747" s="187" t="n">
        <v>2</v>
      </c>
      <c r="H1747" s="187" t="inlineStr">
        <is>
          <t>MEDIUM</t>
        </is>
      </c>
      <c r="I1747" s="187" t="n">
        <v>10</v>
      </c>
      <c r="J1747" s="187" t="inlineStr">
        <is>
          <t>NO</t>
        </is>
      </c>
      <c r="K1747" s="187" t="inlineStr">
        <is>
          <t>https://www.spamhaus.org/drop/</t>
        </is>
      </c>
      <c r="L1747" s="187" t="inlineStr">
        <is>
          <t>2026-02-26 00:15</t>
        </is>
      </c>
      <c r="M1747" s="187" t="inlineStr">
        <is>
          <t>Block CIDR</t>
        </is>
      </c>
      <c r="N1747" s="187" t="inlineStr">
        <is>
          <t>https://www.spamhaus.org/drop/</t>
        </is>
      </c>
      <c r="O1747" s="187" t="inlineStr">
        <is>
          <t>Block CIDR 1.85.42.195 at firewall</t>
        </is>
      </c>
      <c r="P1747" s="187" t="inlineStr">
        <is>
          <t>Firewall/Email</t>
        </is>
      </c>
      <c r="Q1747" s="187" t="inlineStr">
        <is>
          <t>P4</t>
        </is>
      </c>
      <c r="R1747" s="187" t="inlineStr">
        <is>
          <t>🔍 Investigate and apply appropriate controls</t>
        </is>
      </c>
      <c r="S1747" s="187" t="inlineStr">
        <is>
          <t>Spamhaus - CIDR range</t>
        </is>
      </c>
      <c r="T1747" s="187" t="n">
        <v>0</v>
      </c>
      <c r="U1747" s="187" t="n">
        <v>0</v>
      </c>
      <c r="V1747" s="187" t="inlineStr">
        <is>
          <t>T1566:Phishing | T1078:Valid Accounts</t>
        </is>
      </c>
      <c r="W1747" s="187" t="n">
        <v>1</v>
      </c>
      <c r="X1747" s="187" t="inlineStr">
        <is>
          <t>LOW (40%)</t>
        </is>
      </c>
      <c r="Y1747" s="187" t="inlineStr">
        <is>
          <t>NONE</t>
        </is>
      </c>
      <c r="Z1747" s="187" t="inlineStr">
        <is>
          <t>NONE</t>
        </is>
      </c>
      <c r="AA1747" s="187" t="inlineStr">
        <is>
          <t>NONE</t>
        </is>
      </c>
      <c r="AB1747" s="187" t="inlineStr">
        <is>
          <t>NONE</t>
        </is>
      </c>
      <c r="AC1747" s="187" t="n">
        <v>0</v>
      </c>
      <c r="AD1747" s="187" t="inlineStr"/>
    </row>
    <row r="1748">
      <c r="A1748" s="187" t="inlineStr">
        <is>
          <t>FIREHOL_THREAT</t>
        </is>
      </c>
      <c r="B1748" s="187" t="inlineStr">
        <is>
          <t>07c6179971a8</t>
        </is>
      </c>
      <c r="C1748" s="187" t="inlineStr">
        <is>
          <t>DROP List CIDR: 1.92.79.150 | FireHOL L2 threat IP/CIDR | ASN: FireHOL-L2</t>
        </is>
      </c>
      <c r="D1748" s="187" t="n">
        <v>6</v>
      </c>
      <c r="E1748" s="187" t="inlineStr">
        <is>
          <t>MEDIUM</t>
        </is>
      </c>
      <c r="F1748" s="187" t="n">
        <v>2</v>
      </c>
      <c r="G1748" s="187" t="n">
        <v>2</v>
      </c>
      <c r="H1748" s="187" t="inlineStr">
        <is>
          <t>MEDIUM</t>
        </is>
      </c>
      <c r="I1748" s="187" t="n">
        <v>10</v>
      </c>
      <c r="J1748" s="187" t="inlineStr">
        <is>
          <t>NO</t>
        </is>
      </c>
      <c r="K1748" s="187" t="inlineStr">
        <is>
          <t>https://www.spamhaus.org/drop/</t>
        </is>
      </c>
      <c r="L1748" s="187" t="inlineStr">
        <is>
          <t>2026-02-26 00:15</t>
        </is>
      </c>
      <c r="M1748" s="187" t="inlineStr">
        <is>
          <t>Block CIDR</t>
        </is>
      </c>
      <c r="N1748" s="187" t="inlineStr">
        <is>
          <t>https://www.spamhaus.org/drop/</t>
        </is>
      </c>
      <c r="O1748" s="187" t="inlineStr">
        <is>
          <t>Block CIDR 1.92.79.150 at firewall</t>
        </is>
      </c>
      <c r="P1748" s="187" t="inlineStr">
        <is>
          <t>Firewall/Email</t>
        </is>
      </c>
      <c r="Q1748" s="187" t="inlineStr">
        <is>
          <t>P4</t>
        </is>
      </c>
      <c r="R1748" s="187" t="inlineStr">
        <is>
          <t>🔍 Investigate and apply appropriate controls</t>
        </is>
      </c>
      <c r="S1748" s="187" t="inlineStr">
        <is>
          <t>Spamhaus - CIDR range</t>
        </is>
      </c>
      <c r="T1748" s="187" t="n">
        <v>0</v>
      </c>
      <c r="U1748" s="187" t="n">
        <v>0</v>
      </c>
      <c r="V1748" s="187" t="inlineStr">
        <is>
          <t>T1566:Phishing | T1078:Valid Accounts</t>
        </is>
      </c>
      <c r="W1748" s="187" t="n">
        <v>1</v>
      </c>
      <c r="X1748" s="187" t="inlineStr">
        <is>
          <t>LOW (40%)</t>
        </is>
      </c>
      <c r="Y1748" s="187" t="inlineStr">
        <is>
          <t>NONE</t>
        </is>
      </c>
      <c r="Z1748" s="187" t="inlineStr">
        <is>
          <t>NONE</t>
        </is>
      </c>
      <c r="AA1748" s="187" t="inlineStr">
        <is>
          <t>NONE</t>
        </is>
      </c>
      <c r="AB1748" s="187" t="inlineStr">
        <is>
          <t>NONE</t>
        </is>
      </c>
      <c r="AC1748" s="187" t="n">
        <v>0</v>
      </c>
      <c r="AD1748" s="187" t="inlineStr"/>
    </row>
    <row r="1749">
      <c r="A1749" s="187" t="inlineStr">
        <is>
          <t>FIREHOL_THREAT</t>
        </is>
      </c>
      <c r="B1749" s="187" t="inlineStr">
        <is>
          <t>e8b551b81fc4</t>
        </is>
      </c>
      <c r="C1749" s="187" t="inlineStr">
        <is>
          <t>DROP List CIDR: 1.94.179.216 | FireHOL L2 threat IP/CIDR | ASN: FireHOL-L2</t>
        </is>
      </c>
      <c r="D1749" s="187" t="n">
        <v>6</v>
      </c>
      <c r="E1749" s="187" t="inlineStr">
        <is>
          <t>MEDIUM</t>
        </is>
      </c>
      <c r="F1749" s="187" t="n">
        <v>2</v>
      </c>
      <c r="G1749" s="187" t="n">
        <v>2</v>
      </c>
      <c r="H1749" s="187" t="inlineStr">
        <is>
          <t>MEDIUM</t>
        </is>
      </c>
      <c r="I1749" s="187" t="n">
        <v>10</v>
      </c>
      <c r="J1749" s="187" t="inlineStr">
        <is>
          <t>NO</t>
        </is>
      </c>
      <c r="K1749" s="187" t="inlineStr">
        <is>
          <t>https://www.spamhaus.org/drop/</t>
        </is>
      </c>
      <c r="L1749" s="187" t="inlineStr">
        <is>
          <t>2026-02-26 00:15</t>
        </is>
      </c>
      <c r="M1749" s="187" t="inlineStr">
        <is>
          <t>Block CIDR</t>
        </is>
      </c>
      <c r="N1749" s="187" t="inlineStr">
        <is>
          <t>https://www.spamhaus.org/drop/</t>
        </is>
      </c>
      <c r="O1749" s="187" t="inlineStr">
        <is>
          <t>Block CIDR 1.94.179.216 at firewall</t>
        </is>
      </c>
      <c r="P1749" s="187" t="inlineStr">
        <is>
          <t>Firewall/Email</t>
        </is>
      </c>
      <c r="Q1749" s="187" t="inlineStr">
        <is>
          <t>P4</t>
        </is>
      </c>
      <c r="R1749" s="187" t="inlineStr">
        <is>
          <t>🔍 Investigate and apply appropriate controls</t>
        </is>
      </c>
      <c r="S1749" s="187" t="inlineStr">
        <is>
          <t>Spamhaus - CIDR range</t>
        </is>
      </c>
      <c r="T1749" s="187" t="n">
        <v>0</v>
      </c>
      <c r="U1749" s="187" t="n">
        <v>0</v>
      </c>
      <c r="V1749" s="187" t="inlineStr">
        <is>
          <t>T1566:Phishing | T1078:Valid Accounts</t>
        </is>
      </c>
      <c r="W1749" s="187" t="n">
        <v>1</v>
      </c>
      <c r="X1749" s="187" t="inlineStr">
        <is>
          <t>LOW (40%)</t>
        </is>
      </c>
      <c r="Y1749" s="187" t="inlineStr">
        <is>
          <t>NONE</t>
        </is>
      </c>
      <c r="Z1749" s="187" t="inlineStr">
        <is>
          <t>NONE</t>
        </is>
      </c>
      <c r="AA1749" s="187" t="inlineStr">
        <is>
          <t>NONE</t>
        </is>
      </c>
      <c r="AB1749" s="187" t="inlineStr">
        <is>
          <t>NONE</t>
        </is>
      </c>
      <c r="AC1749" s="187" t="n">
        <v>0</v>
      </c>
      <c r="AD1749" s="187" t="inlineStr"/>
    </row>
    <row r="1750">
      <c r="A1750" s="187" t="inlineStr">
        <is>
          <t>FIREHOL_THREAT</t>
        </is>
      </c>
      <c r="B1750" s="187" t="inlineStr">
        <is>
          <t>21608329d094</t>
        </is>
      </c>
      <c r="C1750" s="187" t="inlineStr">
        <is>
          <t>DROP List CIDR: 1.95.124.235 | FireHOL L2 threat IP/CIDR | ASN: FireHOL-L2</t>
        </is>
      </c>
      <c r="D1750" s="187" t="n">
        <v>6</v>
      </c>
      <c r="E1750" s="187" t="inlineStr">
        <is>
          <t>MEDIUM</t>
        </is>
      </c>
      <c r="F1750" s="187" t="n">
        <v>2</v>
      </c>
      <c r="G1750" s="187" t="n">
        <v>2</v>
      </c>
      <c r="H1750" s="187" t="inlineStr">
        <is>
          <t>MEDIUM</t>
        </is>
      </c>
      <c r="I1750" s="187" t="n">
        <v>10</v>
      </c>
      <c r="J1750" s="187" t="inlineStr">
        <is>
          <t>NO</t>
        </is>
      </c>
      <c r="K1750" s="187" t="inlineStr">
        <is>
          <t>https://www.spamhaus.org/drop/</t>
        </is>
      </c>
      <c r="L1750" s="187" t="inlineStr">
        <is>
          <t>2026-02-26 00:15</t>
        </is>
      </c>
      <c r="M1750" s="187" t="inlineStr">
        <is>
          <t>Block CIDR</t>
        </is>
      </c>
      <c r="N1750" s="187" t="inlineStr">
        <is>
          <t>https://www.spamhaus.org/drop/</t>
        </is>
      </c>
      <c r="O1750" s="187" t="inlineStr">
        <is>
          <t>Block CIDR 1.95.124.235 at firewall</t>
        </is>
      </c>
      <c r="P1750" s="187" t="inlineStr">
        <is>
          <t>Firewall/Email</t>
        </is>
      </c>
      <c r="Q1750" s="187" t="inlineStr">
        <is>
          <t>P4</t>
        </is>
      </c>
      <c r="R1750" s="187" t="inlineStr">
        <is>
          <t>🔍 Investigate and apply appropriate controls</t>
        </is>
      </c>
      <c r="S1750" s="187" t="inlineStr">
        <is>
          <t>Spamhaus - CIDR range</t>
        </is>
      </c>
      <c r="T1750" s="187" t="n">
        <v>0</v>
      </c>
      <c r="U1750" s="187" t="n">
        <v>0</v>
      </c>
      <c r="V1750" s="187" t="inlineStr">
        <is>
          <t>T1566:Phishing | T1078:Valid Accounts</t>
        </is>
      </c>
      <c r="W1750" s="187" t="n">
        <v>1</v>
      </c>
      <c r="X1750" s="187" t="inlineStr">
        <is>
          <t>LOW (40%)</t>
        </is>
      </c>
      <c r="Y1750" s="187" t="inlineStr">
        <is>
          <t>NONE</t>
        </is>
      </c>
      <c r="Z1750" s="187" t="inlineStr">
        <is>
          <t>NONE</t>
        </is>
      </c>
      <c r="AA1750" s="187" t="inlineStr">
        <is>
          <t>NONE</t>
        </is>
      </c>
      <c r="AB1750" s="187" t="inlineStr">
        <is>
          <t>NONE</t>
        </is>
      </c>
      <c r="AC1750" s="187" t="n">
        <v>0</v>
      </c>
      <c r="AD1750" s="187" t="inlineStr"/>
    </row>
    <row r="1751">
      <c r="A1751" s="187" t="inlineStr">
        <is>
          <t>FIREHOL_THREAT</t>
        </is>
      </c>
      <c r="B1751" s="187" t="inlineStr">
        <is>
          <t>2f0cae4d1445</t>
        </is>
      </c>
      <c r="C1751" s="187" t="inlineStr">
        <is>
          <t>DROP List CIDR: 1.165.130.253 | FireHOL L2 threat IP/CIDR | ASN: FireHOL-L2</t>
        </is>
      </c>
      <c r="D1751" s="187" t="n">
        <v>6</v>
      </c>
      <c r="E1751" s="187" t="inlineStr">
        <is>
          <t>MEDIUM</t>
        </is>
      </c>
      <c r="F1751" s="187" t="n">
        <v>2</v>
      </c>
      <c r="G1751" s="187" t="n">
        <v>2</v>
      </c>
      <c r="H1751" s="187" t="inlineStr">
        <is>
          <t>MEDIUM</t>
        </is>
      </c>
      <c r="I1751" s="187" t="n">
        <v>10</v>
      </c>
      <c r="J1751" s="187" t="inlineStr">
        <is>
          <t>NO</t>
        </is>
      </c>
      <c r="K1751" s="187" t="inlineStr">
        <is>
          <t>https://www.spamhaus.org/drop/</t>
        </is>
      </c>
      <c r="L1751" s="187" t="inlineStr">
        <is>
          <t>2026-02-26 00:15</t>
        </is>
      </c>
      <c r="M1751" s="187" t="inlineStr">
        <is>
          <t>Block CIDR</t>
        </is>
      </c>
      <c r="N1751" s="187" t="inlineStr">
        <is>
          <t>https://www.spamhaus.org/drop/</t>
        </is>
      </c>
      <c r="O1751" s="187" t="inlineStr">
        <is>
          <t>Block CIDR 1.165.130.253 at firewall</t>
        </is>
      </c>
      <c r="P1751" s="187" t="inlineStr">
        <is>
          <t>Firewall/Email</t>
        </is>
      </c>
      <c r="Q1751" s="187" t="inlineStr">
        <is>
          <t>P4</t>
        </is>
      </c>
      <c r="R1751" s="187" t="inlineStr">
        <is>
          <t>🔍 Investigate and apply appropriate controls</t>
        </is>
      </c>
      <c r="S1751" s="187" t="inlineStr">
        <is>
          <t>Spamhaus - CIDR range</t>
        </is>
      </c>
      <c r="T1751" s="187" t="n">
        <v>0</v>
      </c>
      <c r="U1751" s="187" t="n">
        <v>0</v>
      </c>
      <c r="V1751" s="187" t="inlineStr">
        <is>
          <t>T1566:Phishing | T1078:Valid Accounts</t>
        </is>
      </c>
      <c r="W1751" s="187" t="n">
        <v>1</v>
      </c>
      <c r="X1751" s="187" t="inlineStr">
        <is>
          <t>LOW (40%)</t>
        </is>
      </c>
      <c r="Y1751" s="187" t="inlineStr">
        <is>
          <t>NONE</t>
        </is>
      </c>
      <c r="Z1751" s="187" t="inlineStr">
        <is>
          <t>NONE</t>
        </is>
      </c>
      <c r="AA1751" s="187" t="inlineStr">
        <is>
          <t>NONE</t>
        </is>
      </c>
      <c r="AB1751" s="187" t="inlineStr">
        <is>
          <t>NONE</t>
        </is>
      </c>
      <c r="AC1751" s="187" t="n">
        <v>0</v>
      </c>
      <c r="AD1751" s="187" t="inlineStr"/>
    </row>
    <row r="1752">
      <c r="A1752" s="187" t="inlineStr">
        <is>
          <t>FIREHOL_THREAT</t>
        </is>
      </c>
      <c r="B1752" s="187" t="inlineStr">
        <is>
          <t>3ef74e21375a</t>
        </is>
      </c>
      <c r="C1752" s="187" t="inlineStr">
        <is>
          <t>DROP List CIDR: 1.168.156.32 | FireHOL L2 threat IP/CIDR | ASN: FireHOL-L2</t>
        </is>
      </c>
      <c r="D1752" s="187" t="n">
        <v>6</v>
      </c>
      <c r="E1752" s="187" t="inlineStr">
        <is>
          <t>MEDIUM</t>
        </is>
      </c>
      <c r="F1752" s="187" t="n">
        <v>2</v>
      </c>
      <c r="G1752" s="187" t="n">
        <v>2</v>
      </c>
      <c r="H1752" s="187" t="inlineStr">
        <is>
          <t>MEDIUM</t>
        </is>
      </c>
      <c r="I1752" s="187" t="n">
        <v>10</v>
      </c>
      <c r="J1752" s="187" t="inlineStr">
        <is>
          <t>NO</t>
        </is>
      </c>
      <c r="K1752" s="187" t="inlineStr">
        <is>
          <t>https://www.spamhaus.org/drop/</t>
        </is>
      </c>
      <c r="L1752" s="187" t="inlineStr">
        <is>
          <t>2026-02-26 00:15</t>
        </is>
      </c>
      <c r="M1752" s="187" t="inlineStr">
        <is>
          <t>Block CIDR</t>
        </is>
      </c>
      <c r="N1752" s="187" t="inlineStr">
        <is>
          <t>https://www.spamhaus.org/drop/</t>
        </is>
      </c>
      <c r="O1752" s="187" t="inlineStr">
        <is>
          <t>Block CIDR 1.168.156.32 at firewall</t>
        </is>
      </c>
      <c r="P1752" s="187" t="inlineStr">
        <is>
          <t>Firewall/Email</t>
        </is>
      </c>
      <c r="Q1752" s="187" t="inlineStr">
        <is>
          <t>P4</t>
        </is>
      </c>
      <c r="R1752" s="187" t="inlineStr">
        <is>
          <t>🔍 Investigate and apply appropriate controls</t>
        </is>
      </c>
      <c r="S1752" s="187" t="inlineStr">
        <is>
          <t>Spamhaus - CIDR range</t>
        </is>
      </c>
      <c r="T1752" s="187" t="n">
        <v>0</v>
      </c>
      <c r="U1752" s="187" t="n">
        <v>0</v>
      </c>
      <c r="V1752" s="187" t="inlineStr">
        <is>
          <t>T1566:Phishing | T1078:Valid Accounts</t>
        </is>
      </c>
      <c r="W1752" s="187" t="n">
        <v>1</v>
      </c>
      <c r="X1752" s="187" t="inlineStr">
        <is>
          <t>LOW (40%)</t>
        </is>
      </c>
      <c r="Y1752" s="187" t="inlineStr">
        <is>
          <t>NONE</t>
        </is>
      </c>
      <c r="Z1752" s="187" t="inlineStr">
        <is>
          <t>NONE</t>
        </is>
      </c>
      <c r="AA1752" s="187" t="inlineStr">
        <is>
          <t>NONE</t>
        </is>
      </c>
      <c r="AB1752" s="187" t="inlineStr">
        <is>
          <t>NONE</t>
        </is>
      </c>
      <c r="AC1752" s="187" t="n">
        <v>0</v>
      </c>
      <c r="AD1752" s="187" t="inlineStr"/>
    </row>
    <row r="1753">
      <c r="A1753" s="187" t="inlineStr">
        <is>
          <t>FIREHOL_THREAT</t>
        </is>
      </c>
      <c r="B1753" s="187" t="inlineStr">
        <is>
          <t>2fbdd1028b90</t>
        </is>
      </c>
      <c r="C1753" s="187" t="inlineStr">
        <is>
          <t>DROP List CIDR: 1.183.3.58 | FireHOL L2 threat IP/CIDR | ASN: FireHOL-L2</t>
        </is>
      </c>
      <c r="D1753" s="187" t="n">
        <v>6</v>
      </c>
      <c r="E1753" s="187" t="inlineStr">
        <is>
          <t>MEDIUM</t>
        </is>
      </c>
      <c r="F1753" s="187" t="n">
        <v>2</v>
      </c>
      <c r="G1753" s="187" t="n">
        <v>2</v>
      </c>
      <c r="H1753" s="187" t="inlineStr">
        <is>
          <t>MEDIUM</t>
        </is>
      </c>
      <c r="I1753" s="187" t="n">
        <v>10</v>
      </c>
      <c r="J1753" s="187" t="inlineStr">
        <is>
          <t>NO</t>
        </is>
      </c>
      <c r="K1753" s="187" t="inlineStr">
        <is>
          <t>https://www.spamhaus.org/drop/</t>
        </is>
      </c>
      <c r="L1753" s="187" t="inlineStr">
        <is>
          <t>2026-02-26 00:15</t>
        </is>
      </c>
      <c r="M1753" s="187" t="inlineStr">
        <is>
          <t>Block CIDR</t>
        </is>
      </c>
      <c r="N1753" s="187" t="inlineStr">
        <is>
          <t>https://www.spamhaus.org/drop/</t>
        </is>
      </c>
      <c r="O1753" s="187" t="inlineStr">
        <is>
          <t>Block CIDR 1.183.3.58 at firewall</t>
        </is>
      </c>
      <c r="P1753" s="187" t="inlineStr">
        <is>
          <t>Firewall/Email</t>
        </is>
      </c>
      <c r="Q1753" s="187" t="inlineStr">
        <is>
          <t>P4</t>
        </is>
      </c>
      <c r="R1753" s="187" t="inlineStr">
        <is>
          <t>🔍 Investigate and apply appropriate controls</t>
        </is>
      </c>
      <c r="S1753" s="187" t="inlineStr">
        <is>
          <t>Spamhaus - CIDR range</t>
        </is>
      </c>
      <c r="T1753" s="187" t="n">
        <v>0</v>
      </c>
      <c r="U1753" s="187" t="n">
        <v>0</v>
      </c>
      <c r="V1753" s="187" t="inlineStr">
        <is>
          <t>T1566:Phishing | T1078:Valid Accounts</t>
        </is>
      </c>
      <c r="W1753" s="187" t="n">
        <v>1</v>
      </c>
      <c r="X1753" s="187" t="inlineStr">
        <is>
          <t>LOW (40%)</t>
        </is>
      </c>
      <c r="Y1753" s="187" t="inlineStr">
        <is>
          <t>NONE</t>
        </is>
      </c>
      <c r="Z1753" s="187" t="inlineStr">
        <is>
          <t>NONE</t>
        </is>
      </c>
      <c r="AA1753" s="187" t="inlineStr">
        <is>
          <t>NONE</t>
        </is>
      </c>
      <c r="AB1753" s="187" t="inlineStr">
        <is>
          <t>NONE</t>
        </is>
      </c>
      <c r="AC1753" s="187" t="n">
        <v>0</v>
      </c>
      <c r="AD1753" s="187" t="inlineStr"/>
    </row>
    <row r="1754">
      <c r="A1754" s="187" t="inlineStr">
        <is>
          <t>FIREHOL_THREAT</t>
        </is>
      </c>
      <c r="B1754" s="187" t="inlineStr">
        <is>
          <t>9fdfa884d26a</t>
        </is>
      </c>
      <c r="C1754" s="187" t="inlineStr">
        <is>
          <t>DROP List CIDR: 1.193.163.2 | FireHOL L2 threat IP/CIDR | ASN: FireHOL-L2</t>
        </is>
      </c>
      <c r="D1754" s="187" t="n">
        <v>6</v>
      </c>
      <c r="E1754" s="187" t="inlineStr">
        <is>
          <t>MEDIUM</t>
        </is>
      </c>
      <c r="F1754" s="187" t="n">
        <v>2</v>
      </c>
      <c r="G1754" s="187" t="n">
        <v>2</v>
      </c>
      <c r="H1754" s="187" t="inlineStr">
        <is>
          <t>MEDIUM</t>
        </is>
      </c>
      <c r="I1754" s="187" t="n">
        <v>10</v>
      </c>
      <c r="J1754" s="187" t="inlineStr">
        <is>
          <t>NO</t>
        </is>
      </c>
      <c r="K1754" s="187" t="inlineStr">
        <is>
          <t>https://www.spamhaus.org/drop/</t>
        </is>
      </c>
      <c r="L1754" s="187" t="inlineStr">
        <is>
          <t>2026-02-26 00:15</t>
        </is>
      </c>
      <c r="M1754" s="187" t="inlineStr">
        <is>
          <t>Block CIDR</t>
        </is>
      </c>
      <c r="N1754" s="187" t="inlineStr">
        <is>
          <t>https://www.spamhaus.org/drop/</t>
        </is>
      </c>
      <c r="O1754" s="187" t="inlineStr">
        <is>
          <t>Block CIDR 1.193.163.2 at firewall</t>
        </is>
      </c>
      <c r="P1754" s="187" t="inlineStr">
        <is>
          <t>Firewall/Email</t>
        </is>
      </c>
      <c r="Q1754" s="187" t="inlineStr">
        <is>
          <t>P4</t>
        </is>
      </c>
      <c r="R1754" s="187" t="inlineStr">
        <is>
          <t>🔍 Investigate and apply appropriate controls</t>
        </is>
      </c>
      <c r="S1754" s="187" t="inlineStr">
        <is>
          <t>Spamhaus - CIDR range</t>
        </is>
      </c>
      <c r="T1754" s="187" t="n">
        <v>0</v>
      </c>
      <c r="U1754" s="187" t="n">
        <v>0</v>
      </c>
      <c r="V1754" s="187" t="inlineStr">
        <is>
          <t>T1566:Phishing | T1078:Valid Accounts</t>
        </is>
      </c>
      <c r="W1754" s="187" t="n">
        <v>1</v>
      </c>
      <c r="X1754" s="187" t="inlineStr">
        <is>
          <t>LOW (40%)</t>
        </is>
      </c>
      <c r="Y1754" s="187" t="inlineStr">
        <is>
          <t>NONE</t>
        </is>
      </c>
      <c r="Z1754" s="187" t="inlineStr">
        <is>
          <t>NONE</t>
        </is>
      </c>
      <c r="AA1754" s="187" t="inlineStr">
        <is>
          <t>NONE</t>
        </is>
      </c>
      <c r="AB1754" s="187" t="inlineStr">
        <is>
          <t>NONE</t>
        </is>
      </c>
      <c r="AC1754" s="187" t="n">
        <v>0</v>
      </c>
      <c r="AD1754" s="187" t="inlineStr"/>
    </row>
    <row r="1755">
      <c r="A1755" s="187" t="inlineStr">
        <is>
          <t>UBUNTU_SEC</t>
        </is>
      </c>
      <c r="B1755" s="187" t="inlineStr">
        <is>
          <t>USN-8064-1</t>
        </is>
      </c>
      <c r="C1755" s="187" t="inlineStr">
        <is>
          <t>USN-8064-1: MongoDB vulnerabilities | Eliot Horowitz discovered that MongoDB may fail to validate some instances of malformed BSON. A remote attacker could possibly use this issue to cause MongoDB to crash, resulting in a denial of servic</t>
        </is>
      </c>
      <c r="D1755" s="187" t="n">
        <v>6.5</v>
      </c>
      <c r="E1755" s="187" t="inlineStr">
        <is>
          <t>MEDIUM</t>
        </is>
      </c>
      <c r="F1755" s="187" t="n">
        <v>2</v>
      </c>
      <c r="G1755" s="187" t="n">
        <v>2</v>
      </c>
      <c r="H1755" s="187" t="inlineStr">
        <is>
          <t>MEDIUM</t>
        </is>
      </c>
      <c r="I1755" s="187" t="n">
        <v>10.5</v>
      </c>
      <c r="J1755" s="187" t="inlineStr">
        <is>
          <t>NO</t>
        </is>
      </c>
      <c r="K1755" s="187" t="inlineStr">
        <is>
          <t>https://ubuntu.com/security/notices/USN-8064-1</t>
        </is>
      </c>
      <c r="L1755" s="187" t="inlineStr">
        <is>
          <t>2026-02-25</t>
        </is>
      </c>
      <c r="M1755" s="187" t="inlineStr">
        <is>
          <t>YES</t>
        </is>
      </c>
      <c r="N1755" s="187" t="inlineStr">
        <is>
          <t>apt-get update &amp;&amp; apt-get upgrade</t>
        </is>
      </c>
      <c r="O1755" s="187" t="inlineStr">
        <is>
          <t>Run: sudo apt-get update &amp;&amp; sudo apt-get upgrade</t>
        </is>
      </c>
      <c r="P1755" s="187" t="inlineStr">
        <is>
          <t>Ubuntu Linux</t>
        </is>
      </c>
      <c r="Q1755" s="187" t="inlineStr">
        <is>
          <t>P4</t>
        </is>
      </c>
      <c r="R1755" s="187" t="inlineStr">
        <is>
          <t>🔍 Investigate and apply appropriate controls</t>
        </is>
      </c>
      <c r="S1755" s="187" t="inlineStr">
        <is>
          <t>Ubuntu advisory - no IP context</t>
        </is>
      </c>
      <c r="T1755" s="187" t="n">
        <v>0</v>
      </c>
      <c r="U1755" s="187" t="n">
        <v>0</v>
      </c>
      <c r="V1755" s="187" t="inlineStr">
        <is>
          <t>T1068:Exploitation for Privilege Escalation</t>
        </is>
      </c>
      <c r="W1755" s="187" t="n">
        <v>1</v>
      </c>
      <c r="X1755" s="187" t="inlineStr">
        <is>
          <t>LOW (40%)</t>
        </is>
      </c>
      <c r="Y1755" s="187" t="inlineStr">
        <is>
          <t>CHECK_USN</t>
        </is>
      </c>
      <c r="Z1755" s="187" t="inlineStr">
        <is>
          <t>YES</t>
        </is>
      </c>
      <c r="AA1755" s="187" t="inlineStr">
        <is>
          <t>https://ubuntu.com/security/notices/USN-8064-1</t>
        </is>
      </c>
      <c r="AB1755" s="187" t="inlineStr">
        <is>
          <t>NONE</t>
        </is>
      </c>
      <c r="AC1755" s="187" t="n">
        <v>0</v>
      </c>
      <c r="AD1755" s="187" t="inlineStr"/>
    </row>
    <row r="1756">
      <c r="A1756" s="187" t="inlineStr">
        <is>
          <t>UBUNTU_SEC</t>
        </is>
      </c>
      <c r="B1756" s="187" t="inlineStr">
        <is>
          <t>USN-5376-4</t>
        </is>
      </c>
      <c r="C1756" s="187" t="inlineStr">
        <is>
          <t>USN-5376-4: Git regression | USN-5376-1 fixed a vulnerability in Git. It was discovered that the safety checks introduced in the update were not able to be set using the command line, contrary to expectations. This update fixes t</t>
        </is>
      </c>
      <c r="D1756" s="187" t="n">
        <v>6.5</v>
      </c>
      <c r="E1756" s="187" t="inlineStr">
        <is>
          <t>MEDIUM</t>
        </is>
      </c>
      <c r="F1756" s="187" t="n">
        <v>2</v>
      </c>
      <c r="G1756" s="187" t="n">
        <v>2</v>
      </c>
      <c r="H1756" s="187" t="inlineStr">
        <is>
          <t>MEDIUM</t>
        </is>
      </c>
      <c r="I1756" s="187" t="n">
        <v>10.5</v>
      </c>
      <c r="J1756" s="187" t="inlineStr">
        <is>
          <t>NO</t>
        </is>
      </c>
      <c r="K1756" s="187" t="inlineStr">
        <is>
          <t>https://ubuntu.com/security/notices/USN-5376-4</t>
        </is>
      </c>
      <c r="L1756" s="187" t="inlineStr">
        <is>
          <t>2026-02-25</t>
        </is>
      </c>
      <c r="M1756" s="187" t="inlineStr">
        <is>
          <t>YES</t>
        </is>
      </c>
      <c r="N1756" s="187" t="inlineStr">
        <is>
          <t>apt-get update &amp;&amp; apt-get upgrade</t>
        </is>
      </c>
      <c r="O1756" s="187" t="inlineStr">
        <is>
          <t>Run: sudo apt-get update &amp;&amp; sudo apt-get upgrade</t>
        </is>
      </c>
      <c r="P1756" s="187" t="inlineStr">
        <is>
          <t>Ubuntu Linux</t>
        </is>
      </c>
      <c r="Q1756" s="187" t="inlineStr">
        <is>
          <t>P4</t>
        </is>
      </c>
      <c r="R1756" s="187" t="inlineStr">
        <is>
          <t>🔍 Investigate and apply appropriate controls</t>
        </is>
      </c>
      <c r="S1756" s="187" t="inlineStr">
        <is>
          <t>Ubuntu advisory - no IP context</t>
        </is>
      </c>
      <c r="T1756" s="187" t="n">
        <v>0</v>
      </c>
      <c r="U1756" s="187" t="n">
        <v>0</v>
      </c>
      <c r="V1756" s="187" t="inlineStr">
        <is>
          <t>T1068:Exploitation for Privilege Escalation</t>
        </is>
      </c>
      <c r="W1756" s="187" t="n">
        <v>1</v>
      </c>
      <c r="X1756" s="187" t="inlineStr">
        <is>
          <t>LOW (40%)</t>
        </is>
      </c>
      <c r="Y1756" s="187" t="inlineStr">
        <is>
          <t>CHECK_USN</t>
        </is>
      </c>
      <c r="Z1756" s="187" t="inlineStr">
        <is>
          <t>YES</t>
        </is>
      </c>
      <c r="AA1756" s="187" t="inlineStr">
        <is>
          <t>https://ubuntu.com/security/notices/USN-5376-4</t>
        </is>
      </c>
      <c r="AB1756" s="187" t="inlineStr">
        <is>
          <t>NONE</t>
        </is>
      </c>
      <c r="AC1756" s="187" t="n">
        <v>0</v>
      </c>
      <c r="AD1756" s="187" t="inlineStr"/>
    </row>
    <row r="1757">
      <c r="A1757" s="187" t="inlineStr">
        <is>
          <t>UBUNTU_SEC</t>
        </is>
      </c>
      <c r="B1757" s="187" t="inlineStr">
        <is>
          <t>USN-8063-1</t>
        </is>
      </c>
      <c r="C1757" s="187" t="inlineStr">
        <is>
          <t>USN-8063-1: Protocol Buffers vulnerability | It was discovered that Protocol Buffers incorrectly handled recursion when the Python google.protobuf.json_format.ParseDict() function is being used. An attacker could possibly use this issue to cause</t>
        </is>
      </c>
      <c r="D1757" s="187" t="n">
        <v>6.5</v>
      </c>
      <c r="E1757" s="187" t="inlineStr">
        <is>
          <t>MEDIUM</t>
        </is>
      </c>
      <c r="F1757" s="187" t="n">
        <v>2</v>
      </c>
      <c r="G1757" s="187" t="n">
        <v>2</v>
      </c>
      <c r="H1757" s="187" t="inlineStr">
        <is>
          <t>MEDIUM</t>
        </is>
      </c>
      <c r="I1757" s="187" t="n">
        <v>10.5</v>
      </c>
      <c r="J1757" s="187" t="inlineStr">
        <is>
          <t>NO</t>
        </is>
      </c>
      <c r="K1757" s="187" t="inlineStr">
        <is>
          <t>https://ubuntu.com/security/notices/USN-8063-1</t>
        </is>
      </c>
      <c r="L1757" s="187" t="inlineStr">
        <is>
          <t>2026-02-25</t>
        </is>
      </c>
      <c r="M1757" s="187" t="inlineStr">
        <is>
          <t>YES</t>
        </is>
      </c>
      <c r="N1757" s="187" t="inlineStr">
        <is>
          <t>apt-get update &amp;&amp; apt-get upgrade</t>
        </is>
      </c>
      <c r="O1757" s="187" t="inlineStr">
        <is>
          <t>Run: sudo apt-get update &amp;&amp; sudo apt-get upgrade</t>
        </is>
      </c>
      <c r="P1757" s="187" t="inlineStr">
        <is>
          <t>Ubuntu Linux</t>
        </is>
      </c>
      <c r="Q1757" s="187" t="inlineStr">
        <is>
          <t>P4</t>
        </is>
      </c>
      <c r="R1757" s="187" t="inlineStr">
        <is>
          <t>🔍 Investigate and apply appropriate controls</t>
        </is>
      </c>
      <c r="S1757" s="187" t="inlineStr">
        <is>
          <t>Ubuntu advisory - no IP context</t>
        </is>
      </c>
      <c r="T1757" s="187" t="n">
        <v>0</v>
      </c>
      <c r="U1757" s="187" t="n">
        <v>0</v>
      </c>
      <c r="V1757" s="187" t="inlineStr">
        <is>
          <t>T1068:Exploitation for Privilege Escalation</t>
        </is>
      </c>
      <c r="W1757" s="187" t="n">
        <v>1</v>
      </c>
      <c r="X1757" s="187" t="inlineStr">
        <is>
          <t>LOW (40%)</t>
        </is>
      </c>
      <c r="Y1757" s="187" t="inlineStr">
        <is>
          <t>CHECK_USN</t>
        </is>
      </c>
      <c r="Z1757" s="187" t="inlineStr">
        <is>
          <t>YES</t>
        </is>
      </c>
      <c r="AA1757" s="187" t="inlineStr">
        <is>
          <t>https://ubuntu.com/security/notices/USN-8063-1</t>
        </is>
      </c>
      <c r="AB1757" s="187" t="inlineStr">
        <is>
          <t>NONE</t>
        </is>
      </c>
      <c r="AC1757" s="187" t="n">
        <v>0</v>
      </c>
      <c r="AD1757" s="187" t="inlineStr"/>
    </row>
    <row r="1758">
      <c r="A1758" s="187" t="inlineStr">
        <is>
          <t>UBUNTU_SEC</t>
        </is>
      </c>
      <c r="B1758" s="187" t="inlineStr">
        <is>
          <t>USN-8060-4</t>
        </is>
      </c>
      <c r="C1758" s="187" t="inlineStr">
        <is>
          <t>USN-8060-4: Linux kernel (FIPS) vulnerabilities | Several security issues were discovered in the Linux kernel. An attacker could possibly use these to compromise the system. This update corrects flaws in the following subsystems: - GPU drivers; - MMC</t>
        </is>
      </c>
      <c r="D1758" s="187" t="n">
        <v>6.5</v>
      </c>
      <c r="E1758" s="187" t="inlineStr">
        <is>
          <t>MEDIUM</t>
        </is>
      </c>
      <c r="F1758" s="187" t="n">
        <v>2</v>
      </c>
      <c r="G1758" s="187" t="n">
        <v>2</v>
      </c>
      <c r="H1758" s="187" t="inlineStr">
        <is>
          <t>MEDIUM</t>
        </is>
      </c>
      <c r="I1758" s="187" t="n">
        <v>10.5</v>
      </c>
      <c r="J1758" s="187" t="inlineStr">
        <is>
          <t>NO</t>
        </is>
      </c>
      <c r="K1758" s="187" t="inlineStr">
        <is>
          <t>https://ubuntu.com/security/notices/USN-8060-4</t>
        </is>
      </c>
      <c r="L1758" s="187" t="inlineStr">
        <is>
          <t>2026-02-25</t>
        </is>
      </c>
      <c r="M1758" s="187" t="inlineStr">
        <is>
          <t>YES</t>
        </is>
      </c>
      <c r="N1758" s="187" t="inlineStr">
        <is>
          <t>apt-get update &amp;&amp; apt-get upgrade</t>
        </is>
      </c>
      <c r="O1758" s="187" t="inlineStr">
        <is>
          <t>Run: sudo apt-get update &amp;&amp; sudo apt-get upgrade</t>
        </is>
      </c>
      <c r="P1758" s="187" t="inlineStr">
        <is>
          <t>Ubuntu Linux</t>
        </is>
      </c>
      <c r="Q1758" s="187" t="inlineStr">
        <is>
          <t>P4</t>
        </is>
      </c>
      <c r="R1758" s="187" t="inlineStr">
        <is>
          <t>🔍 Investigate and apply appropriate controls</t>
        </is>
      </c>
      <c r="S1758" s="187" t="inlineStr">
        <is>
          <t>Ubuntu advisory - no IP context</t>
        </is>
      </c>
      <c r="T1758" s="187" t="n">
        <v>0</v>
      </c>
      <c r="U1758" s="187" t="n">
        <v>0</v>
      </c>
      <c r="V1758" s="187" t="inlineStr">
        <is>
          <t>T1068:Exploitation for Privilege Escalation</t>
        </is>
      </c>
      <c r="W1758" s="187" t="n">
        <v>1</v>
      </c>
      <c r="X1758" s="187" t="inlineStr">
        <is>
          <t>LOW (40%)</t>
        </is>
      </c>
      <c r="Y1758" s="187" t="inlineStr">
        <is>
          <t>CHECK_USN</t>
        </is>
      </c>
      <c r="Z1758" s="187" t="inlineStr">
        <is>
          <t>YES</t>
        </is>
      </c>
      <c r="AA1758" s="187" t="inlineStr">
        <is>
          <t>https://ubuntu.com/security/notices/USN-8060-4</t>
        </is>
      </c>
      <c r="AB1758" s="187" t="inlineStr">
        <is>
          <t>NONE</t>
        </is>
      </c>
      <c r="AC1758" s="187" t="n">
        <v>0</v>
      </c>
      <c r="AD1758" s="187" t="inlineStr"/>
    </row>
    <row r="1759">
      <c r="A1759" s="187" t="inlineStr">
        <is>
          <t>UBUNTU_SEC</t>
        </is>
      </c>
      <c r="B1759" s="187" t="inlineStr">
        <is>
          <t>USN-8059-5</t>
        </is>
      </c>
      <c r="C1759" s="187" t="inlineStr">
        <is>
          <t>USN-8059-5: Linux kernel (FIPS) vulnerabilities | Several security issues were discovered in the Linux kernel. An attacker could possibly use these to compromise the system. This update corrects flaws in the following subsystems: - SMB network file s</t>
        </is>
      </c>
      <c r="D1759" s="187" t="n">
        <v>6.5</v>
      </c>
      <c r="E1759" s="187" t="inlineStr">
        <is>
          <t>MEDIUM</t>
        </is>
      </c>
      <c r="F1759" s="187" t="n">
        <v>2</v>
      </c>
      <c r="G1759" s="187" t="n">
        <v>2</v>
      </c>
      <c r="H1759" s="187" t="inlineStr">
        <is>
          <t>MEDIUM</t>
        </is>
      </c>
      <c r="I1759" s="187" t="n">
        <v>10.5</v>
      </c>
      <c r="J1759" s="187" t="inlineStr">
        <is>
          <t>NO</t>
        </is>
      </c>
      <c r="K1759" s="187" t="inlineStr">
        <is>
          <t>https://ubuntu.com/security/notices/USN-8059-5</t>
        </is>
      </c>
      <c r="L1759" s="187" t="inlineStr">
        <is>
          <t>2026-02-25</t>
        </is>
      </c>
      <c r="M1759" s="187" t="inlineStr">
        <is>
          <t>YES</t>
        </is>
      </c>
      <c r="N1759" s="187" t="inlineStr">
        <is>
          <t>apt-get update &amp;&amp; apt-get upgrade</t>
        </is>
      </c>
      <c r="O1759" s="187" t="inlineStr">
        <is>
          <t>Run: sudo apt-get update &amp;&amp; sudo apt-get upgrade</t>
        </is>
      </c>
      <c r="P1759" s="187" t="inlineStr">
        <is>
          <t>Ubuntu Linux</t>
        </is>
      </c>
      <c r="Q1759" s="187" t="inlineStr">
        <is>
          <t>P4</t>
        </is>
      </c>
      <c r="R1759" s="187" t="inlineStr">
        <is>
          <t>🔍 Investigate and apply appropriate controls</t>
        </is>
      </c>
      <c r="S1759" s="187" t="inlineStr">
        <is>
          <t>Ubuntu advisory - no IP context</t>
        </is>
      </c>
      <c r="T1759" s="187" t="n">
        <v>0</v>
      </c>
      <c r="U1759" s="187" t="n">
        <v>0</v>
      </c>
      <c r="V1759" s="187" t="inlineStr">
        <is>
          <t>T1068:Exploitation for Privilege Escalation</t>
        </is>
      </c>
      <c r="W1759" s="187" t="n">
        <v>1</v>
      </c>
      <c r="X1759" s="187" t="inlineStr">
        <is>
          <t>LOW (40%)</t>
        </is>
      </c>
      <c r="Y1759" s="187" t="inlineStr">
        <is>
          <t>CHECK_USN</t>
        </is>
      </c>
      <c r="Z1759" s="187" t="inlineStr">
        <is>
          <t>YES</t>
        </is>
      </c>
      <c r="AA1759" s="187" t="inlineStr">
        <is>
          <t>https://ubuntu.com/security/notices/USN-8059-5</t>
        </is>
      </c>
      <c r="AB1759" s="187" t="inlineStr">
        <is>
          <t>NONE</t>
        </is>
      </c>
      <c r="AC1759" s="187" t="n">
        <v>0</v>
      </c>
      <c r="AD1759" s="187" t="inlineStr"/>
    </row>
    <row r="1760">
      <c r="A1760" s="187" t="inlineStr">
        <is>
          <t>UBUNTU_SEC</t>
        </is>
      </c>
      <c r="B1760" s="187" t="inlineStr">
        <is>
          <t>USN-8059-4</t>
        </is>
      </c>
      <c r="C1760" s="187" t="inlineStr">
        <is>
          <t>USN-8059-4: Linux kernel (Real-time) vulnerabilities | Several security issues were discovered in the Linux kernel. An attacker could possibly use these to compromise the system. This update corrects flaws in the following subsystems: - SMB network file s</t>
        </is>
      </c>
      <c r="D1760" s="187" t="n">
        <v>6.5</v>
      </c>
      <c r="E1760" s="187" t="inlineStr">
        <is>
          <t>MEDIUM</t>
        </is>
      </c>
      <c r="F1760" s="187" t="n">
        <v>2</v>
      </c>
      <c r="G1760" s="187" t="n">
        <v>2</v>
      </c>
      <c r="H1760" s="187" t="inlineStr">
        <is>
          <t>MEDIUM</t>
        </is>
      </c>
      <c r="I1760" s="187" t="n">
        <v>10.5</v>
      </c>
      <c r="J1760" s="187" t="inlineStr">
        <is>
          <t>NO</t>
        </is>
      </c>
      <c r="K1760" s="187" t="inlineStr">
        <is>
          <t>https://ubuntu.com/security/notices/USN-8059-4</t>
        </is>
      </c>
      <c r="L1760" s="187" t="inlineStr">
        <is>
          <t>2026-02-25</t>
        </is>
      </c>
      <c r="M1760" s="187" t="inlineStr">
        <is>
          <t>YES</t>
        </is>
      </c>
      <c r="N1760" s="187" t="inlineStr">
        <is>
          <t>apt-get update &amp;&amp; apt-get upgrade</t>
        </is>
      </c>
      <c r="O1760" s="187" t="inlineStr">
        <is>
          <t>Run: sudo apt-get update &amp;&amp; sudo apt-get upgrade</t>
        </is>
      </c>
      <c r="P1760" s="187" t="inlineStr">
        <is>
          <t>Ubuntu Linux</t>
        </is>
      </c>
      <c r="Q1760" s="187" t="inlineStr">
        <is>
          <t>P4</t>
        </is>
      </c>
      <c r="R1760" s="187" t="inlineStr">
        <is>
          <t>🔍 Investigate and apply appropriate controls</t>
        </is>
      </c>
      <c r="S1760" s="187" t="inlineStr">
        <is>
          <t>Ubuntu advisory - no IP context</t>
        </is>
      </c>
      <c r="T1760" s="187" t="n">
        <v>0</v>
      </c>
      <c r="U1760" s="187" t="n">
        <v>0</v>
      </c>
      <c r="V1760" s="187" t="inlineStr">
        <is>
          <t>T1068:Exploitation for Privilege Escalation</t>
        </is>
      </c>
      <c r="W1760" s="187" t="n">
        <v>1</v>
      </c>
      <c r="X1760" s="187" t="inlineStr">
        <is>
          <t>LOW (40%)</t>
        </is>
      </c>
      <c r="Y1760" s="187" t="inlineStr">
        <is>
          <t>CHECK_USN</t>
        </is>
      </c>
      <c r="Z1760" s="187" t="inlineStr">
        <is>
          <t>YES</t>
        </is>
      </c>
      <c r="AA1760" s="187" t="inlineStr">
        <is>
          <t>https://ubuntu.com/security/notices/USN-8059-4</t>
        </is>
      </c>
      <c r="AB1760" s="187" t="inlineStr">
        <is>
          <t>NONE</t>
        </is>
      </c>
      <c r="AC1760" s="187" t="n">
        <v>0</v>
      </c>
      <c r="AD1760" s="187" t="inlineStr"/>
    </row>
    <row r="1761">
      <c r="A1761" s="187" t="inlineStr">
        <is>
          <t>UBUNTU_SEC</t>
        </is>
      </c>
      <c r="B1761" s="187" t="inlineStr">
        <is>
          <t>USN-8059-3</t>
        </is>
      </c>
      <c r="C1761" s="187" t="inlineStr">
        <is>
          <t>USN-8059-3: Linux kernel vulnerabilities | Several security issues were discovered in the Linux kernel. An attacker could possibly use these to compromise the system. This update corrects flaws in the following subsystems: - SMB network file s</t>
        </is>
      </c>
      <c r="D1761" s="187" t="n">
        <v>6.5</v>
      </c>
      <c r="E1761" s="187" t="inlineStr">
        <is>
          <t>MEDIUM</t>
        </is>
      </c>
      <c r="F1761" s="187" t="n">
        <v>2</v>
      </c>
      <c r="G1761" s="187" t="n">
        <v>2</v>
      </c>
      <c r="H1761" s="187" t="inlineStr">
        <is>
          <t>MEDIUM</t>
        </is>
      </c>
      <c r="I1761" s="187" t="n">
        <v>10.5</v>
      </c>
      <c r="J1761" s="187" t="inlineStr">
        <is>
          <t>NO</t>
        </is>
      </c>
      <c r="K1761" s="187" t="inlineStr">
        <is>
          <t>https://ubuntu.com/security/notices/USN-8059-3</t>
        </is>
      </c>
      <c r="L1761" s="187" t="inlineStr">
        <is>
          <t>2026-02-25</t>
        </is>
      </c>
      <c r="M1761" s="187" t="inlineStr">
        <is>
          <t>YES</t>
        </is>
      </c>
      <c r="N1761" s="187" t="inlineStr">
        <is>
          <t>apt-get update &amp;&amp; apt-get upgrade</t>
        </is>
      </c>
      <c r="O1761" s="187" t="inlineStr">
        <is>
          <t>Run: sudo apt-get update &amp;&amp; sudo apt-get upgrade</t>
        </is>
      </c>
      <c r="P1761" s="187" t="inlineStr">
        <is>
          <t>Ubuntu Linux</t>
        </is>
      </c>
      <c r="Q1761" s="187" t="inlineStr">
        <is>
          <t>P4</t>
        </is>
      </c>
      <c r="R1761" s="187" t="inlineStr">
        <is>
          <t>🔍 Investigate and apply appropriate controls</t>
        </is>
      </c>
      <c r="S1761" s="187" t="inlineStr">
        <is>
          <t>Ubuntu advisory - no IP context</t>
        </is>
      </c>
      <c r="T1761" s="187" t="n">
        <v>0</v>
      </c>
      <c r="U1761" s="187" t="n">
        <v>0</v>
      </c>
      <c r="V1761" s="187" t="inlineStr">
        <is>
          <t>T1068:Exploitation for Privilege Escalation</t>
        </is>
      </c>
      <c r="W1761" s="187" t="n">
        <v>1</v>
      </c>
      <c r="X1761" s="187" t="inlineStr">
        <is>
          <t>LOW (40%)</t>
        </is>
      </c>
      <c r="Y1761" s="187" t="inlineStr">
        <is>
          <t>CHECK_USN</t>
        </is>
      </c>
      <c r="Z1761" s="187" t="inlineStr">
        <is>
          <t>YES</t>
        </is>
      </c>
      <c r="AA1761" s="187" t="inlineStr">
        <is>
          <t>https://ubuntu.com/security/notices/USN-8059-3</t>
        </is>
      </c>
      <c r="AB1761" s="187" t="inlineStr">
        <is>
          <t>NONE</t>
        </is>
      </c>
      <c r="AC1761" s="187" t="n">
        <v>0</v>
      </c>
      <c r="AD1761" s="187" t="inlineStr"/>
    </row>
    <row r="1762">
      <c r="A1762" s="187" t="inlineStr">
        <is>
          <t>UBUNTU_SEC</t>
        </is>
      </c>
      <c r="B1762" s="187" t="inlineStr">
        <is>
          <t>USN-8062-1</t>
        </is>
      </c>
      <c r="C1762" s="187" t="inlineStr">
        <is>
          <t>USN-8062-1: curl vulnerabilities | It was discovered that curl incorrectly handled cookies when redirected from secure to insecure connections. An attacker could possibly use this issue to cause a denial of service, or obtain sensitive</t>
        </is>
      </c>
      <c r="D1762" s="187" t="n">
        <v>6.5</v>
      </c>
      <c r="E1762" s="187" t="inlineStr">
        <is>
          <t>MEDIUM</t>
        </is>
      </c>
      <c r="F1762" s="187" t="n">
        <v>2</v>
      </c>
      <c r="G1762" s="187" t="n">
        <v>2</v>
      </c>
      <c r="H1762" s="187" t="inlineStr">
        <is>
          <t>MEDIUM</t>
        </is>
      </c>
      <c r="I1762" s="187" t="n">
        <v>10.5</v>
      </c>
      <c r="J1762" s="187" t="inlineStr">
        <is>
          <t>NO</t>
        </is>
      </c>
      <c r="K1762" s="187" t="inlineStr">
        <is>
          <t>https://ubuntu.com/security/notices/USN-8062-1</t>
        </is>
      </c>
      <c r="L1762" s="187" t="inlineStr">
        <is>
          <t>2026-02-25</t>
        </is>
      </c>
      <c r="M1762" s="187" t="inlineStr">
        <is>
          <t>YES</t>
        </is>
      </c>
      <c r="N1762" s="187" t="inlineStr">
        <is>
          <t>apt-get update &amp;&amp; apt-get upgrade</t>
        </is>
      </c>
      <c r="O1762" s="187" t="inlineStr">
        <is>
          <t>Run: sudo apt-get update &amp;&amp; sudo apt-get upgrade</t>
        </is>
      </c>
      <c r="P1762" s="187" t="inlineStr">
        <is>
          <t>Ubuntu Linux</t>
        </is>
      </c>
      <c r="Q1762" s="187" t="inlineStr">
        <is>
          <t>P4</t>
        </is>
      </c>
      <c r="R1762" s="187" t="inlineStr">
        <is>
          <t>🔍 Investigate and apply appropriate controls</t>
        </is>
      </c>
      <c r="S1762" s="187" t="inlineStr">
        <is>
          <t>Ubuntu advisory - no IP context</t>
        </is>
      </c>
      <c r="T1762" s="187" t="n">
        <v>0</v>
      </c>
      <c r="U1762" s="187" t="n">
        <v>0</v>
      </c>
      <c r="V1762" s="187" t="inlineStr">
        <is>
          <t>T1068:Exploitation for Privilege Escalation</t>
        </is>
      </c>
      <c r="W1762" s="187" t="n">
        <v>1</v>
      </c>
      <c r="X1762" s="187" t="inlineStr">
        <is>
          <t>LOW (40%)</t>
        </is>
      </c>
      <c r="Y1762" s="187" t="inlineStr">
        <is>
          <t>CHECK_USN</t>
        </is>
      </c>
      <c r="Z1762" s="187" t="inlineStr">
        <is>
          <t>YES</t>
        </is>
      </c>
      <c r="AA1762" s="187" t="inlineStr">
        <is>
          <t>https://ubuntu.com/security/notices/USN-8062-1</t>
        </is>
      </c>
      <c r="AB1762" s="187" t="inlineStr">
        <is>
          <t>NONE</t>
        </is>
      </c>
      <c r="AC1762" s="187" t="n">
        <v>0</v>
      </c>
      <c r="AD1762" s="187" t="inlineStr"/>
    </row>
    <row r="1763">
      <c r="A1763" s="187" t="inlineStr">
        <is>
          <t>UBUNTU_SEC</t>
        </is>
      </c>
      <c r="B1763" s="187" t="inlineStr">
        <is>
          <t>USN-8045-1</t>
        </is>
      </c>
      <c r="C1763" s="187" t="inlineStr">
        <is>
          <t>USN-8045-1: Ceph vulnerabilities | Martin Schobert discovered that Ceph did not properly verify SSL certificates when using Pybind for secure mail connections, which could result in accepting invalid certificates. An attacker could pos</t>
        </is>
      </c>
      <c r="D1763" s="187" t="n">
        <v>6.5</v>
      </c>
      <c r="E1763" s="187" t="inlineStr">
        <is>
          <t>MEDIUM</t>
        </is>
      </c>
      <c r="F1763" s="187" t="n">
        <v>2</v>
      </c>
      <c r="G1763" s="187" t="n">
        <v>2</v>
      </c>
      <c r="H1763" s="187" t="inlineStr">
        <is>
          <t>MEDIUM</t>
        </is>
      </c>
      <c r="I1763" s="187" t="n">
        <v>10.5</v>
      </c>
      <c r="J1763" s="187" t="inlineStr">
        <is>
          <t>NO</t>
        </is>
      </c>
      <c r="K1763" s="187" t="inlineStr">
        <is>
          <t>https://ubuntu.com/security/notices/USN-8045-1</t>
        </is>
      </c>
      <c r="L1763" s="187" t="inlineStr">
        <is>
          <t>2026-02-24</t>
        </is>
      </c>
      <c r="M1763" s="187" t="inlineStr">
        <is>
          <t>YES</t>
        </is>
      </c>
      <c r="N1763" s="187" t="inlineStr">
        <is>
          <t>apt-get update &amp;&amp; apt-get upgrade</t>
        </is>
      </c>
      <c r="O1763" s="187" t="inlineStr">
        <is>
          <t>Run: sudo apt-get update &amp;&amp; sudo apt-get upgrade</t>
        </is>
      </c>
      <c r="P1763" s="187" t="inlineStr">
        <is>
          <t>Ubuntu Linux</t>
        </is>
      </c>
      <c r="Q1763" s="187" t="inlineStr">
        <is>
          <t>P4</t>
        </is>
      </c>
      <c r="R1763" s="187" t="inlineStr">
        <is>
          <t>🔍 Investigate and apply appropriate controls</t>
        </is>
      </c>
      <c r="S1763" s="187" t="inlineStr">
        <is>
          <t>Ubuntu advisory - no IP context</t>
        </is>
      </c>
      <c r="T1763" s="187" t="n">
        <v>0</v>
      </c>
      <c r="U1763" s="187" t="n">
        <v>0</v>
      </c>
      <c r="V1763" s="187" t="inlineStr">
        <is>
          <t>T1068:Exploitation for Privilege Escalation</t>
        </is>
      </c>
      <c r="W1763" s="187" t="n">
        <v>1</v>
      </c>
      <c r="X1763" s="187" t="inlineStr">
        <is>
          <t>LOW (40%)</t>
        </is>
      </c>
      <c r="Y1763" s="187" t="inlineStr">
        <is>
          <t>CHECK_USN</t>
        </is>
      </c>
      <c r="Z1763" s="187" t="inlineStr">
        <is>
          <t>YES</t>
        </is>
      </c>
      <c r="AA1763" s="187" t="inlineStr">
        <is>
          <t>https://ubuntu.com/security/notices/USN-8045-1</t>
        </is>
      </c>
      <c r="AB1763" s="187" t="inlineStr">
        <is>
          <t>NONE</t>
        </is>
      </c>
      <c r="AC1763" s="187" t="n">
        <v>0</v>
      </c>
      <c r="AD1763" s="187" t="inlineStr"/>
    </row>
    <row r="1764">
      <c r="A1764" s="187" t="inlineStr">
        <is>
          <t>UBUNTU_SEC</t>
        </is>
      </c>
      <c r="B1764" s="187" t="inlineStr">
        <is>
          <t>USN-8052-2</t>
        </is>
      </c>
      <c r="C1764" s="187" t="inlineStr">
        <is>
          <t>USN-8052-2: Linux kernel (Xilinx) vulnerabilities | It was discovered that improper initialization of CPU cache memory could allow a local attacker with hypervisor access to overwrite SEV-SNP guest memory resulting in loss of data integrity. (CVE-2024-</t>
        </is>
      </c>
      <c r="D1764" s="187" t="n">
        <v>6.5</v>
      </c>
      <c r="E1764" s="187" t="inlineStr">
        <is>
          <t>MEDIUM</t>
        </is>
      </c>
      <c r="F1764" s="187" t="n">
        <v>2</v>
      </c>
      <c r="G1764" s="187" t="n">
        <v>2</v>
      </c>
      <c r="H1764" s="187" t="inlineStr">
        <is>
          <t>MEDIUM</t>
        </is>
      </c>
      <c r="I1764" s="187" t="n">
        <v>10.5</v>
      </c>
      <c r="J1764" s="187" t="inlineStr">
        <is>
          <t>NO</t>
        </is>
      </c>
      <c r="K1764" s="187" t="inlineStr">
        <is>
          <t>https://ubuntu.com/security/notices/USN-8052-2</t>
        </is>
      </c>
      <c r="L1764" s="187" t="inlineStr">
        <is>
          <t>2026-02-24</t>
        </is>
      </c>
      <c r="M1764" s="187" t="inlineStr">
        <is>
          <t>YES</t>
        </is>
      </c>
      <c r="N1764" s="187" t="inlineStr">
        <is>
          <t>apt-get update &amp;&amp; apt-get upgrade</t>
        </is>
      </c>
      <c r="O1764" s="187" t="inlineStr">
        <is>
          <t>Run: sudo apt-get update &amp;&amp; sudo apt-get upgrade</t>
        </is>
      </c>
      <c r="P1764" s="187" t="inlineStr">
        <is>
          <t>Ubuntu Linux</t>
        </is>
      </c>
      <c r="Q1764" s="187" t="inlineStr">
        <is>
          <t>P4</t>
        </is>
      </c>
      <c r="R1764" s="187" t="inlineStr">
        <is>
          <t>🔍 Investigate and apply appropriate controls</t>
        </is>
      </c>
      <c r="S1764" s="187" t="inlineStr">
        <is>
          <t>Ubuntu advisory - no IP context</t>
        </is>
      </c>
      <c r="T1764" s="187" t="n">
        <v>0</v>
      </c>
      <c r="U1764" s="187" t="n">
        <v>0</v>
      </c>
      <c r="V1764" s="187" t="inlineStr">
        <is>
          <t>T1068:Exploitation for Privilege Escalation</t>
        </is>
      </c>
      <c r="W1764" s="187" t="n">
        <v>1</v>
      </c>
      <c r="X1764" s="187" t="inlineStr">
        <is>
          <t>LOW (40%)</t>
        </is>
      </c>
      <c r="Y1764" s="187" t="inlineStr">
        <is>
          <t>CHECK_USN</t>
        </is>
      </c>
      <c r="Z1764" s="187" t="inlineStr">
        <is>
          <t>YES</t>
        </is>
      </c>
      <c r="AA1764" s="187" t="inlineStr">
        <is>
          <t>https://ubuntu.com/security/notices/USN-8052-2</t>
        </is>
      </c>
      <c r="AB1764" s="187" t="inlineStr">
        <is>
          <t>NONE</t>
        </is>
      </c>
      <c r="AC1764" s="187" t="n">
        <v>0</v>
      </c>
      <c r="AD1764" s="187" t="inlineStr"/>
    </row>
    <row r="1765">
      <c r="A1765" s="187" t="inlineStr">
        <is>
          <t>TOR_EXIT</t>
        </is>
      </c>
      <c r="B1765" s="187" t="inlineStr">
        <is>
          <t>030224e70e4c</t>
        </is>
      </c>
      <c r="C1765" s="187" t="inlineStr">
        <is>
          <t>Tor Exit Node: 185.129.61.5 | Traffic from this IP may be anonymized/malicious</t>
        </is>
      </c>
      <c r="D1765" s="187" t="n">
        <v>5</v>
      </c>
      <c r="E1765" s="187" t="inlineStr">
        <is>
          <t>MEDIUM</t>
        </is>
      </c>
      <c r="F1765" s="187" t="n">
        <v>2</v>
      </c>
      <c r="G1765" s="187" t="n">
        <v>1</v>
      </c>
      <c r="H1765" s="187" t="inlineStr">
        <is>
          <t>LOW</t>
        </is>
      </c>
      <c r="I1765" s="187" t="n">
        <v>7</v>
      </c>
      <c r="J1765" s="187" t="inlineStr">
        <is>
          <t>NO</t>
        </is>
      </c>
      <c r="K1765" s="187" t="inlineStr">
        <is>
          <t>https://check.torproject.org/</t>
        </is>
      </c>
      <c r="L1765" s="187" t="inlineStr">
        <is>
          <t>2026-02-26 00:15</t>
        </is>
      </c>
      <c r="M1765" s="187" t="inlineStr">
        <is>
          <t>Block or monitor</t>
        </is>
      </c>
      <c r="N1765" s="187" t="inlineStr">
        <is>
          <t>https://check.torproject.org/torbulkexitlist</t>
        </is>
      </c>
      <c r="O1765" s="187" t="inlineStr">
        <is>
          <t>Monitor traffic from Tor exit 185.129.61.5 | Apply policy controls</t>
        </is>
      </c>
      <c r="P1765" s="187" t="inlineStr">
        <is>
          <t>Network perimeter</t>
        </is>
      </c>
      <c r="Q1765" s="187" t="inlineStr">
        <is>
          <t>P4</t>
        </is>
      </c>
      <c r="R1765" s="187" t="inlineStr">
        <is>
          <t>🔍 Investigate and apply appropriate controls</t>
        </is>
      </c>
      <c r="S1765" s="187" t="inlineStr">
        <is>
          <t>Tor exit node - known anonymization service</t>
        </is>
      </c>
      <c r="T1765" s="187" t="n">
        <v>0</v>
      </c>
      <c r="U1765" s="187" t="n">
        <v>0</v>
      </c>
      <c r="V1765" s="187" t="inlineStr">
        <is>
          <t>T1090.003:Multi-hop Proxy</t>
        </is>
      </c>
      <c r="W1765" s="187" t="n">
        <v>1</v>
      </c>
      <c r="X1765" s="187" t="inlineStr">
        <is>
          <t>LOW (40%)</t>
        </is>
      </c>
      <c r="Y1765" s="187" t="inlineStr">
        <is>
          <t>NONE</t>
        </is>
      </c>
      <c r="Z1765" s="187" t="inlineStr">
        <is>
          <t>NONE</t>
        </is>
      </c>
      <c r="AA1765" s="187" t="inlineStr">
        <is>
          <t>NONE</t>
        </is>
      </c>
      <c r="AB1765" s="187" t="inlineStr">
        <is>
          <t>NONE</t>
        </is>
      </c>
      <c r="AC1765" s="187" t="n">
        <v>0</v>
      </c>
      <c r="AD1765" s="187" t="inlineStr"/>
    </row>
    <row r="1766">
      <c r="A1766" s="187" t="inlineStr">
        <is>
          <t>TOR_EXIT</t>
        </is>
      </c>
      <c r="B1766" s="187" t="inlineStr">
        <is>
          <t>5965873462ea</t>
        </is>
      </c>
      <c r="C1766" s="187" t="inlineStr">
        <is>
          <t>Tor Exit Node: 194.195.120.132 | Traffic from this IP may be anonymized/malicious</t>
        </is>
      </c>
      <c r="D1766" s="187" t="n">
        <v>5</v>
      </c>
      <c r="E1766" s="187" t="inlineStr">
        <is>
          <t>MEDIUM</t>
        </is>
      </c>
      <c r="F1766" s="187" t="n">
        <v>2</v>
      </c>
      <c r="G1766" s="187" t="n">
        <v>1</v>
      </c>
      <c r="H1766" s="187" t="inlineStr">
        <is>
          <t>LOW</t>
        </is>
      </c>
      <c r="I1766" s="187" t="n">
        <v>7</v>
      </c>
      <c r="J1766" s="187" t="inlineStr">
        <is>
          <t>NO</t>
        </is>
      </c>
      <c r="K1766" s="187" t="inlineStr">
        <is>
          <t>https://check.torproject.org/</t>
        </is>
      </c>
      <c r="L1766" s="187" t="inlineStr">
        <is>
          <t>2026-02-26 00:15</t>
        </is>
      </c>
      <c r="M1766" s="187" t="inlineStr">
        <is>
          <t>Block or monitor</t>
        </is>
      </c>
      <c r="N1766" s="187" t="inlineStr">
        <is>
          <t>https://check.torproject.org/torbulkexitlist</t>
        </is>
      </c>
      <c r="O1766" s="187" t="inlineStr">
        <is>
          <t>Monitor traffic from Tor exit 194.195.120.132 | Apply policy controls</t>
        </is>
      </c>
      <c r="P1766" s="187" t="inlineStr">
        <is>
          <t>Network perimeter</t>
        </is>
      </c>
      <c r="Q1766" s="187" t="inlineStr">
        <is>
          <t>P4</t>
        </is>
      </c>
      <c r="R1766" s="187" t="inlineStr">
        <is>
          <t>🔍 Investigate and apply appropriate controls</t>
        </is>
      </c>
      <c r="S1766" s="187" t="inlineStr">
        <is>
          <t>Tor exit node - known anonymization service</t>
        </is>
      </c>
      <c r="T1766" s="187" t="n">
        <v>0</v>
      </c>
      <c r="U1766" s="187" t="n">
        <v>0</v>
      </c>
      <c r="V1766" s="187" t="inlineStr">
        <is>
          <t>T1090.003:Multi-hop Proxy</t>
        </is>
      </c>
      <c r="W1766" s="187" t="n">
        <v>1</v>
      </c>
      <c r="X1766" s="187" t="inlineStr">
        <is>
          <t>LOW (40%)</t>
        </is>
      </c>
      <c r="Y1766" s="187" t="inlineStr">
        <is>
          <t>NONE</t>
        </is>
      </c>
      <c r="Z1766" s="187" t="inlineStr">
        <is>
          <t>NONE</t>
        </is>
      </c>
      <c r="AA1766" s="187" t="inlineStr">
        <is>
          <t>NONE</t>
        </is>
      </c>
      <c r="AB1766" s="187" t="inlineStr">
        <is>
          <t>NONE</t>
        </is>
      </c>
      <c r="AC1766" s="187" t="n">
        <v>0</v>
      </c>
      <c r="AD1766" s="187" t="inlineStr"/>
    </row>
    <row r="1767">
      <c r="A1767" s="187" t="inlineStr">
        <is>
          <t>TOR_EXIT</t>
        </is>
      </c>
      <c r="B1767" s="187" t="inlineStr">
        <is>
          <t>9296bd7c30e8</t>
        </is>
      </c>
      <c r="C1767" s="187" t="inlineStr">
        <is>
          <t>Tor Exit Node: 212.95.50.77 | Traffic from this IP may be anonymized/malicious</t>
        </is>
      </c>
      <c r="D1767" s="187" t="n">
        <v>5</v>
      </c>
      <c r="E1767" s="187" t="inlineStr">
        <is>
          <t>MEDIUM</t>
        </is>
      </c>
      <c r="F1767" s="187" t="n">
        <v>2</v>
      </c>
      <c r="G1767" s="187" t="n">
        <v>1</v>
      </c>
      <c r="H1767" s="187" t="inlineStr">
        <is>
          <t>LOW</t>
        </is>
      </c>
      <c r="I1767" s="187" t="n">
        <v>7</v>
      </c>
      <c r="J1767" s="187" t="inlineStr">
        <is>
          <t>NO</t>
        </is>
      </c>
      <c r="K1767" s="187" t="inlineStr">
        <is>
          <t>https://check.torproject.org/</t>
        </is>
      </c>
      <c r="L1767" s="187" t="inlineStr">
        <is>
          <t>2026-02-26 00:15</t>
        </is>
      </c>
      <c r="M1767" s="187" t="inlineStr">
        <is>
          <t>Block or monitor</t>
        </is>
      </c>
      <c r="N1767" s="187" t="inlineStr">
        <is>
          <t>https://check.torproject.org/torbulkexitlist</t>
        </is>
      </c>
      <c r="O1767" s="187" t="inlineStr">
        <is>
          <t>Monitor traffic from Tor exit 212.95.50.77 | Apply policy controls</t>
        </is>
      </c>
      <c r="P1767" s="187" t="inlineStr">
        <is>
          <t>Network perimeter</t>
        </is>
      </c>
      <c r="Q1767" s="187" t="inlineStr">
        <is>
          <t>P4</t>
        </is>
      </c>
      <c r="R1767" s="187" t="inlineStr">
        <is>
          <t>🔍 Investigate and apply appropriate controls</t>
        </is>
      </c>
      <c r="S1767" s="187" t="inlineStr">
        <is>
          <t>Tor exit node - known anonymization service</t>
        </is>
      </c>
      <c r="T1767" s="187" t="n">
        <v>0</v>
      </c>
      <c r="U1767" s="187" t="n">
        <v>0</v>
      </c>
      <c r="V1767" s="187" t="inlineStr">
        <is>
          <t>T1090.003:Multi-hop Proxy</t>
        </is>
      </c>
      <c r="W1767" s="187" t="n">
        <v>1</v>
      </c>
      <c r="X1767" s="187" t="inlineStr">
        <is>
          <t>LOW (40%)</t>
        </is>
      </c>
      <c r="Y1767" s="187" t="inlineStr">
        <is>
          <t>NONE</t>
        </is>
      </c>
      <c r="Z1767" s="187" t="inlineStr">
        <is>
          <t>NONE</t>
        </is>
      </c>
      <c r="AA1767" s="187" t="inlineStr">
        <is>
          <t>NONE</t>
        </is>
      </c>
      <c r="AB1767" s="187" t="inlineStr">
        <is>
          <t>NONE</t>
        </is>
      </c>
      <c r="AC1767" s="187" t="n">
        <v>0</v>
      </c>
      <c r="AD1767" s="187" t="inlineStr"/>
    </row>
    <row r="1768">
      <c r="A1768" s="187" t="inlineStr">
        <is>
          <t>TOR_EXIT</t>
        </is>
      </c>
      <c r="B1768" s="187" t="inlineStr">
        <is>
          <t>9424c062fc9a</t>
        </is>
      </c>
      <c r="C1768" s="187" t="inlineStr">
        <is>
          <t>Tor Exit Node: 5.255.99.147 | Traffic from this IP may be anonymized/malicious</t>
        </is>
      </c>
      <c r="D1768" s="187" t="n">
        <v>5</v>
      </c>
      <c r="E1768" s="187" t="inlineStr">
        <is>
          <t>MEDIUM</t>
        </is>
      </c>
      <c r="F1768" s="187" t="n">
        <v>2</v>
      </c>
      <c r="G1768" s="187" t="n">
        <v>1</v>
      </c>
      <c r="H1768" s="187" t="inlineStr">
        <is>
          <t>LOW</t>
        </is>
      </c>
      <c r="I1768" s="187" t="n">
        <v>7</v>
      </c>
      <c r="J1768" s="187" t="inlineStr">
        <is>
          <t>NO</t>
        </is>
      </c>
      <c r="K1768" s="187" t="inlineStr">
        <is>
          <t>https://check.torproject.org/</t>
        </is>
      </c>
      <c r="L1768" s="187" t="inlineStr">
        <is>
          <t>2026-02-26 00:15</t>
        </is>
      </c>
      <c r="M1768" s="187" t="inlineStr">
        <is>
          <t>Block or monitor</t>
        </is>
      </c>
      <c r="N1768" s="187" t="inlineStr">
        <is>
          <t>https://check.torproject.org/torbulkexitlist</t>
        </is>
      </c>
      <c r="O1768" s="187" t="inlineStr">
        <is>
          <t>Monitor traffic from Tor exit 5.255.99.147 | Apply policy controls</t>
        </is>
      </c>
      <c r="P1768" s="187" t="inlineStr">
        <is>
          <t>Network perimeter</t>
        </is>
      </c>
      <c r="Q1768" s="187" t="inlineStr">
        <is>
          <t>P4</t>
        </is>
      </c>
      <c r="R1768" s="187" t="inlineStr">
        <is>
          <t>🔍 Investigate and apply appropriate controls</t>
        </is>
      </c>
      <c r="S1768" s="187" t="inlineStr">
        <is>
          <t>Tor exit node - known anonymization service</t>
        </is>
      </c>
      <c r="T1768" s="187" t="n">
        <v>0</v>
      </c>
      <c r="U1768" s="187" t="n">
        <v>0</v>
      </c>
      <c r="V1768" s="187" t="inlineStr">
        <is>
          <t>T1090.003:Multi-hop Proxy</t>
        </is>
      </c>
      <c r="W1768" s="187" t="n">
        <v>1</v>
      </c>
      <c r="X1768" s="187" t="inlineStr">
        <is>
          <t>LOW (40%)</t>
        </is>
      </c>
      <c r="Y1768" s="187" t="inlineStr">
        <is>
          <t>NONE</t>
        </is>
      </c>
      <c r="Z1768" s="187" t="inlineStr">
        <is>
          <t>NONE</t>
        </is>
      </c>
      <c r="AA1768" s="187" t="inlineStr">
        <is>
          <t>NONE</t>
        </is>
      </c>
      <c r="AB1768" s="187" t="inlineStr">
        <is>
          <t>NONE</t>
        </is>
      </c>
      <c r="AC1768" s="187" t="n">
        <v>0</v>
      </c>
      <c r="AD1768" s="187" t="inlineStr"/>
    </row>
    <row r="1769">
      <c r="A1769" s="187" t="inlineStr">
        <is>
          <t>TOR_EXIT</t>
        </is>
      </c>
      <c r="B1769" s="187" t="inlineStr">
        <is>
          <t>3dafa8d99cb4</t>
        </is>
      </c>
      <c r="C1769" s="187" t="inlineStr">
        <is>
          <t>Tor Exit Node: 185.220.101.148 | Traffic from this IP may be anonymized/malicious</t>
        </is>
      </c>
      <c r="D1769" s="187" t="n">
        <v>5</v>
      </c>
      <c r="E1769" s="187" t="inlineStr">
        <is>
          <t>MEDIUM</t>
        </is>
      </c>
      <c r="F1769" s="187" t="n">
        <v>2</v>
      </c>
      <c r="G1769" s="187" t="n">
        <v>1</v>
      </c>
      <c r="H1769" s="187" t="inlineStr">
        <is>
          <t>LOW</t>
        </is>
      </c>
      <c r="I1769" s="187" t="n">
        <v>7</v>
      </c>
      <c r="J1769" s="187" t="inlineStr">
        <is>
          <t>NO</t>
        </is>
      </c>
      <c r="K1769" s="187" t="inlineStr">
        <is>
          <t>https://check.torproject.org/</t>
        </is>
      </c>
      <c r="L1769" s="187" t="inlineStr">
        <is>
          <t>2026-02-26 00:15</t>
        </is>
      </c>
      <c r="M1769" s="187" t="inlineStr">
        <is>
          <t>Block or monitor</t>
        </is>
      </c>
      <c r="N1769" s="187" t="inlineStr">
        <is>
          <t>https://check.torproject.org/torbulkexitlist</t>
        </is>
      </c>
      <c r="O1769" s="187" t="inlineStr">
        <is>
          <t>Monitor traffic from Tor exit 185.220.101.148 | Apply policy controls</t>
        </is>
      </c>
      <c r="P1769" s="187" t="inlineStr">
        <is>
          <t>Network perimeter</t>
        </is>
      </c>
      <c r="Q1769" s="187" t="inlineStr">
        <is>
          <t>P4</t>
        </is>
      </c>
      <c r="R1769" s="187" t="inlineStr">
        <is>
          <t>🔍 Investigate and apply appropriate controls</t>
        </is>
      </c>
      <c r="S1769" s="187" t="inlineStr">
        <is>
          <t>Tor exit node - known anonymization service</t>
        </is>
      </c>
      <c r="T1769" s="187" t="n">
        <v>0</v>
      </c>
      <c r="U1769" s="187" t="n">
        <v>0</v>
      </c>
      <c r="V1769" s="187" t="inlineStr">
        <is>
          <t>T1090.003:Multi-hop Proxy</t>
        </is>
      </c>
      <c r="W1769" s="187" t="n">
        <v>1</v>
      </c>
      <c r="X1769" s="187" t="inlineStr">
        <is>
          <t>LOW (40%)</t>
        </is>
      </c>
      <c r="Y1769" s="187" t="inlineStr">
        <is>
          <t>NONE</t>
        </is>
      </c>
      <c r="Z1769" s="187" t="inlineStr">
        <is>
          <t>NONE</t>
        </is>
      </c>
      <c r="AA1769" s="187" t="inlineStr">
        <is>
          <t>NONE</t>
        </is>
      </c>
      <c r="AB1769" s="187" t="inlineStr">
        <is>
          <t>NONE</t>
        </is>
      </c>
      <c r="AC1769" s="187" t="n">
        <v>0</v>
      </c>
      <c r="AD1769" s="187" t="inlineStr"/>
    </row>
    <row r="1770">
      <c r="A1770" s="187" t="inlineStr">
        <is>
          <t>TOR_EXIT</t>
        </is>
      </c>
      <c r="B1770" s="187" t="inlineStr">
        <is>
          <t>637585e2e724</t>
        </is>
      </c>
      <c r="C1770" s="187" t="inlineStr">
        <is>
          <t>Tor Exit Node: 107.189.1.96 | Traffic from this IP may be anonymized/malicious</t>
        </is>
      </c>
      <c r="D1770" s="187" t="n">
        <v>5</v>
      </c>
      <c r="E1770" s="187" t="inlineStr">
        <is>
          <t>MEDIUM</t>
        </is>
      </c>
      <c r="F1770" s="187" t="n">
        <v>2</v>
      </c>
      <c r="G1770" s="187" t="n">
        <v>1</v>
      </c>
      <c r="H1770" s="187" t="inlineStr">
        <is>
          <t>LOW</t>
        </is>
      </c>
      <c r="I1770" s="187" t="n">
        <v>7</v>
      </c>
      <c r="J1770" s="187" t="inlineStr">
        <is>
          <t>NO</t>
        </is>
      </c>
      <c r="K1770" s="187" t="inlineStr">
        <is>
          <t>https://check.torproject.org/</t>
        </is>
      </c>
      <c r="L1770" s="187" t="inlineStr">
        <is>
          <t>2026-02-26 00:15</t>
        </is>
      </c>
      <c r="M1770" s="187" t="inlineStr">
        <is>
          <t>Block or monitor</t>
        </is>
      </c>
      <c r="N1770" s="187" t="inlineStr">
        <is>
          <t>https://check.torproject.org/torbulkexitlist</t>
        </is>
      </c>
      <c r="O1770" s="187" t="inlineStr">
        <is>
          <t>Monitor traffic from Tor exit 107.189.1.96 | Apply policy controls</t>
        </is>
      </c>
      <c r="P1770" s="187" t="inlineStr">
        <is>
          <t>Network perimeter</t>
        </is>
      </c>
      <c r="Q1770" s="187" t="inlineStr">
        <is>
          <t>P4</t>
        </is>
      </c>
      <c r="R1770" s="187" t="inlineStr">
        <is>
          <t>🔍 Investigate and apply appropriate controls</t>
        </is>
      </c>
      <c r="S1770" s="187" t="inlineStr">
        <is>
          <t>Tor exit node - known anonymization service</t>
        </is>
      </c>
      <c r="T1770" s="187" t="n">
        <v>0</v>
      </c>
      <c r="U1770" s="187" t="n">
        <v>0</v>
      </c>
      <c r="V1770" s="187" t="inlineStr">
        <is>
          <t>T1090.003:Multi-hop Proxy</t>
        </is>
      </c>
      <c r="W1770" s="187" t="n">
        <v>1</v>
      </c>
      <c r="X1770" s="187" t="inlineStr">
        <is>
          <t>LOW (40%)</t>
        </is>
      </c>
      <c r="Y1770" s="187" t="inlineStr">
        <is>
          <t>NONE</t>
        </is>
      </c>
      <c r="Z1770" s="187" t="inlineStr">
        <is>
          <t>NONE</t>
        </is>
      </c>
      <c r="AA1770" s="187" t="inlineStr">
        <is>
          <t>NONE</t>
        </is>
      </c>
      <c r="AB1770" s="187" t="inlineStr">
        <is>
          <t>NONE</t>
        </is>
      </c>
      <c r="AC1770" s="187" t="n">
        <v>0</v>
      </c>
      <c r="AD1770" s="187" t="inlineStr"/>
    </row>
    <row r="1771">
      <c r="A1771" s="187" t="inlineStr">
        <is>
          <t>TOR_EXIT</t>
        </is>
      </c>
      <c r="B1771" s="187" t="inlineStr">
        <is>
          <t>5bf9359c197e</t>
        </is>
      </c>
      <c r="C1771" s="187" t="inlineStr">
        <is>
          <t>Tor Exit Node: 103.196.37.111 | Traffic from this IP may be anonymized/malicious</t>
        </is>
      </c>
      <c r="D1771" s="187" t="n">
        <v>5</v>
      </c>
      <c r="E1771" s="187" t="inlineStr">
        <is>
          <t>MEDIUM</t>
        </is>
      </c>
      <c r="F1771" s="187" t="n">
        <v>2</v>
      </c>
      <c r="G1771" s="187" t="n">
        <v>1</v>
      </c>
      <c r="H1771" s="187" t="inlineStr">
        <is>
          <t>LOW</t>
        </is>
      </c>
      <c r="I1771" s="187" t="n">
        <v>7</v>
      </c>
      <c r="J1771" s="187" t="inlineStr">
        <is>
          <t>NO</t>
        </is>
      </c>
      <c r="K1771" s="187" t="inlineStr">
        <is>
          <t>https://check.torproject.org/</t>
        </is>
      </c>
      <c r="L1771" s="187" t="inlineStr">
        <is>
          <t>2026-02-26 00:15</t>
        </is>
      </c>
      <c r="M1771" s="187" t="inlineStr">
        <is>
          <t>Block or monitor</t>
        </is>
      </c>
      <c r="N1771" s="187" t="inlineStr">
        <is>
          <t>https://check.torproject.org/torbulkexitlist</t>
        </is>
      </c>
      <c r="O1771" s="187" t="inlineStr">
        <is>
          <t>Monitor traffic from Tor exit 103.196.37.111 | Apply policy controls</t>
        </is>
      </c>
      <c r="P1771" s="187" t="inlineStr">
        <is>
          <t>Network perimeter</t>
        </is>
      </c>
      <c r="Q1771" s="187" t="inlineStr">
        <is>
          <t>P4</t>
        </is>
      </c>
      <c r="R1771" s="187" t="inlineStr">
        <is>
          <t>🔍 Investigate and apply appropriate controls</t>
        </is>
      </c>
      <c r="S1771" s="187" t="inlineStr">
        <is>
          <t>Tor exit node - known anonymization service</t>
        </is>
      </c>
      <c r="T1771" s="187" t="n">
        <v>0</v>
      </c>
      <c r="U1771" s="187" t="n">
        <v>0</v>
      </c>
      <c r="V1771" s="187" t="inlineStr">
        <is>
          <t>T1090.003:Multi-hop Proxy</t>
        </is>
      </c>
      <c r="W1771" s="187" t="n">
        <v>1</v>
      </c>
      <c r="X1771" s="187" t="inlineStr">
        <is>
          <t>LOW (40%)</t>
        </is>
      </c>
      <c r="Y1771" s="187" t="inlineStr">
        <is>
          <t>NONE</t>
        </is>
      </c>
      <c r="Z1771" s="187" t="inlineStr">
        <is>
          <t>NONE</t>
        </is>
      </c>
      <c r="AA1771" s="187" t="inlineStr">
        <is>
          <t>NONE</t>
        </is>
      </c>
      <c r="AB1771" s="187" t="inlineStr">
        <is>
          <t>NONE</t>
        </is>
      </c>
      <c r="AC1771" s="187" t="n">
        <v>0</v>
      </c>
      <c r="AD1771" s="187" t="inlineStr"/>
    </row>
    <row r="1772">
      <c r="A1772" s="187" t="inlineStr">
        <is>
          <t>TOR_EXIT</t>
        </is>
      </c>
      <c r="B1772" s="187" t="inlineStr">
        <is>
          <t>183e9f2cd945</t>
        </is>
      </c>
      <c r="C1772" s="187" t="inlineStr">
        <is>
          <t>Tor Exit Node: 94.228.169.70 | Traffic from this IP may be anonymized/malicious</t>
        </is>
      </c>
      <c r="D1772" s="187" t="n">
        <v>5</v>
      </c>
      <c r="E1772" s="187" t="inlineStr">
        <is>
          <t>MEDIUM</t>
        </is>
      </c>
      <c r="F1772" s="187" t="n">
        <v>2</v>
      </c>
      <c r="G1772" s="187" t="n">
        <v>1</v>
      </c>
      <c r="H1772" s="187" t="inlineStr">
        <is>
          <t>LOW</t>
        </is>
      </c>
      <c r="I1772" s="187" t="n">
        <v>7</v>
      </c>
      <c r="J1772" s="187" t="inlineStr">
        <is>
          <t>NO</t>
        </is>
      </c>
      <c r="K1772" s="187" t="inlineStr">
        <is>
          <t>https://check.torproject.org/</t>
        </is>
      </c>
      <c r="L1772" s="187" t="inlineStr">
        <is>
          <t>2026-02-26 00:15</t>
        </is>
      </c>
      <c r="M1772" s="187" t="inlineStr">
        <is>
          <t>Block or monitor</t>
        </is>
      </c>
      <c r="N1772" s="187" t="inlineStr">
        <is>
          <t>https://check.torproject.org/torbulkexitlist</t>
        </is>
      </c>
      <c r="O1772" s="187" t="inlineStr">
        <is>
          <t>Monitor traffic from Tor exit 94.228.169.70 | Apply policy controls</t>
        </is>
      </c>
      <c r="P1772" s="187" t="inlineStr">
        <is>
          <t>Network perimeter</t>
        </is>
      </c>
      <c r="Q1772" s="187" t="inlineStr">
        <is>
          <t>P4</t>
        </is>
      </c>
      <c r="R1772" s="187" t="inlineStr">
        <is>
          <t>🔍 Investigate and apply appropriate controls</t>
        </is>
      </c>
      <c r="S1772" s="187" t="inlineStr">
        <is>
          <t>Tor exit node - known anonymization service</t>
        </is>
      </c>
      <c r="T1772" s="187" t="n">
        <v>0</v>
      </c>
      <c r="U1772" s="187" t="n">
        <v>0</v>
      </c>
      <c r="V1772" s="187" t="inlineStr">
        <is>
          <t>T1090.003:Multi-hop Proxy</t>
        </is>
      </c>
      <c r="W1772" s="187" t="n">
        <v>1</v>
      </c>
      <c r="X1772" s="187" t="inlineStr">
        <is>
          <t>LOW (40%)</t>
        </is>
      </c>
      <c r="Y1772" s="187" t="inlineStr">
        <is>
          <t>NONE</t>
        </is>
      </c>
      <c r="Z1772" s="187" t="inlineStr">
        <is>
          <t>NONE</t>
        </is>
      </c>
      <c r="AA1772" s="187" t="inlineStr">
        <is>
          <t>NONE</t>
        </is>
      </c>
      <c r="AB1772" s="187" t="inlineStr">
        <is>
          <t>NONE</t>
        </is>
      </c>
      <c r="AC1772" s="187" t="n">
        <v>0</v>
      </c>
      <c r="AD1772" s="187" t="inlineStr"/>
    </row>
    <row r="1773">
      <c r="A1773" s="187" t="inlineStr">
        <is>
          <t>TOR_EXIT</t>
        </is>
      </c>
      <c r="B1773" s="187" t="inlineStr">
        <is>
          <t>6786e37bd358</t>
        </is>
      </c>
      <c r="C1773" s="187" t="inlineStr">
        <is>
          <t>Tor Exit Node: 93.99.104.18 | Traffic from this IP may be anonymized/malicious</t>
        </is>
      </c>
      <c r="D1773" s="187" t="n">
        <v>5</v>
      </c>
      <c r="E1773" s="187" t="inlineStr">
        <is>
          <t>MEDIUM</t>
        </is>
      </c>
      <c r="F1773" s="187" t="n">
        <v>2</v>
      </c>
      <c r="G1773" s="187" t="n">
        <v>1</v>
      </c>
      <c r="H1773" s="187" t="inlineStr">
        <is>
          <t>LOW</t>
        </is>
      </c>
      <c r="I1773" s="187" t="n">
        <v>7</v>
      </c>
      <c r="J1773" s="187" t="inlineStr">
        <is>
          <t>NO</t>
        </is>
      </c>
      <c r="K1773" s="187" t="inlineStr">
        <is>
          <t>https://check.torproject.org/</t>
        </is>
      </c>
      <c r="L1773" s="187" t="inlineStr">
        <is>
          <t>2026-02-26 00:15</t>
        </is>
      </c>
      <c r="M1773" s="187" t="inlineStr">
        <is>
          <t>Block or monitor</t>
        </is>
      </c>
      <c r="N1773" s="187" t="inlineStr">
        <is>
          <t>https://check.torproject.org/torbulkexitlist</t>
        </is>
      </c>
      <c r="O1773" s="187" t="inlineStr">
        <is>
          <t>Monitor traffic from Tor exit 93.99.104.18 | Apply policy controls</t>
        </is>
      </c>
      <c r="P1773" s="187" t="inlineStr">
        <is>
          <t>Network perimeter</t>
        </is>
      </c>
      <c r="Q1773" s="187" t="inlineStr">
        <is>
          <t>P4</t>
        </is>
      </c>
      <c r="R1773" s="187" t="inlineStr">
        <is>
          <t>🔍 Investigate and apply appropriate controls</t>
        </is>
      </c>
      <c r="S1773" s="187" t="inlineStr">
        <is>
          <t>Tor exit node - known anonymization service</t>
        </is>
      </c>
      <c r="T1773" s="187" t="n">
        <v>0</v>
      </c>
      <c r="U1773" s="187" t="n">
        <v>0</v>
      </c>
      <c r="V1773" s="187" t="inlineStr">
        <is>
          <t>T1090.003:Multi-hop Proxy</t>
        </is>
      </c>
      <c r="W1773" s="187" t="n">
        <v>1</v>
      </c>
      <c r="X1773" s="187" t="inlineStr">
        <is>
          <t>LOW (40%)</t>
        </is>
      </c>
      <c r="Y1773" s="187" t="inlineStr">
        <is>
          <t>NONE</t>
        </is>
      </c>
      <c r="Z1773" s="187" t="inlineStr">
        <is>
          <t>NONE</t>
        </is>
      </c>
      <c r="AA1773" s="187" t="inlineStr">
        <is>
          <t>NONE</t>
        </is>
      </c>
      <c r="AB1773" s="187" t="inlineStr">
        <is>
          <t>NONE</t>
        </is>
      </c>
      <c r="AC1773" s="187" t="n">
        <v>0</v>
      </c>
      <c r="AD1773" s="187" t="inlineStr"/>
    </row>
    <row r="1774">
      <c r="A1774" s="187" t="inlineStr">
        <is>
          <t>TOR_EXIT</t>
        </is>
      </c>
      <c r="B1774" s="187" t="inlineStr">
        <is>
          <t>b6866cf9f5ac</t>
        </is>
      </c>
      <c r="C1774" s="187" t="inlineStr">
        <is>
          <t>Tor Exit Node: 109.70.100.2 | Traffic from this IP may be anonymized/malicious</t>
        </is>
      </c>
      <c r="D1774" s="187" t="n">
        <v>5</v>
      </c>
      <c r="E1774" s="187" t="inlineStr">
        <is>
          <t>MEDIUM</t>
        </is>
      </c>
      <c r="F1774" s="187" t="n">
        <v>2</v>
      </c>
      <c r="G1774" s="187" t="n">
        <v>1</v>
      </c>
      <c r="H1774" s="187" t="inlineStr">
        <is>
          <t>LOW</t>
        </is>
      </c>
      <c r="I1774" s="187" t="n">
        <v>7</v>
      </c>
      <c r="J1774" s="187" t="inlineStr">
        <is>
          <t>NO</t>
        </is>
      </c>
      <c r="K1774" s="187" t="inlineStr">
        <is>
          <t>https://check.torproject.org/</t>
        </is>
      </c>
      <c r="L1774" s="187" t="inlineStr">
        <is>
          <t>2026-02-26 00:15</t>
        </is>
      </c>
      <c r="M1774" s="187" t="inlineStr">
        <is>
          <t>Block or monitor</t>
        </is>
      </c>
      <c r="N1774" s="187" t="inlineStr">
        <is>
          <t>https://check.torproject.org/torbulkexitlist</t>
        </is>
      </c>
      <c r="O1774" s="187" t="inlineStr">
        <is>
          <t>Monitor traffic from Tor exit 109.70.100.2 | Apply policy controls</t>
        </is>
      </c>
      <c r="P1774" s="187" t="inlineStr">
        <is>
          <t>Network perimeter</t>
        </is>
      </c>
      <c r="Q1774" s="187" t="inlineStr">
        <is>
          <t>P4</t>
        </is>
      </c>
      <c r="R1774" s="187" t="inlineStr">
        <is>
          <t>🔍 Investigate and apply appropriate controls</t>
        </is>
      </c>
      <c r="S1774" s="187" t="inlineStr">
        <is>
          <t>Tor exit node - known anonymization service</t>
        </is>
      </c>
      <c r="T1774" s="187" t="n">
        <v>0</v>
      </c>
      <c r="U1774" s="187" t="n">
        <v>0</v>
      </c>
      <c r="V1774" s="187" t="inlineStr">
        <is>
          <t>T1090.003:Multi-hop Proxy</t>
        </is>
      </c>
      <c r="W1774" s="187" t="n">
        <v>1</v>
      </c>
      <c r="X1774" s="187" t="inlineStr">
        <is>
          <t>LOW (40%)</t>
        </is>
      </c>
      <c r="Y1774" s="187" t="inlineStr">
        <is>
          <t>NONE</t>
        </is>
      </c>
      <c r="Z1774" s="187" t="inlineStr">
        <is>
          <t>NONE</t>
        </is>
      </c>
      <c r="AA1774" s="187" t="inlineStr">
        <is>
          <t>NONE</t>
        </is>
      </c>
      <c r="AB1774" s="187" t="inlineStr">
        <is>
          <t>NONE</t>
        </is>
      </c>
      <c r="AC1774" s="187" t="n">
        <v>0</v>
      </c>
      <c r="AD1774" s="187" t="inlineStr"/>
    </row>
    <row r="1775">
      <c r="A1775" s="187" t="inlineStr">
        <is>
          <t>TOR_EXIT</t>
        </is>
      </c>
      <c r="B1775" s="187" t="inlineStr">
        <is>
          <t>b300d0a61618</t>
        </is>
      </c>
      <c r="C1775" s="187" t="inlineStr">
        <is>
          <t>Tor Exit Node: 107.189.5.121 | Traffic from this IP may be anonymized/malicious</t>
        </is>
      </c>
      <c r="D1775" s="187" t="n">
        <v>5</v>
      </c>
      <c r="E1775" s="187" t="inlineStr">
        <is>
          <t>MEDIUM</t>
        </is>
      </c>
      <c r="F1775" s="187" t="n">
        <v>2</v>
      </c>
      <c r="G1775" s="187" t="n">
        <v>1</v>
      </c>
      <c r="H1775" s="187" t="inlineStr">
        <is>
          <t>LOW</t>
        </is>
      </c>
      <c r="I1775" s="187" t="n">
        <v>7</v>
      </c>
      <c r="J1775" s="187" t="inlineStr">
        <is>
          <t>NO</t>
        </is>
      </c>
      <c r="K1775" s="187" t="inlineStr">
        <is>
          <t>https://check.torproject.org/</t>
        </is>
      </c>
      <c r="L1775" s="187" t="inlineStr">
        <is>
          <t>2026-02-26 00:15</t>
        </is>
      </c>
      <c r="M1775" s="187" t="inlineStr">
        <is>
          <t>Block or monitor</t>
        </is>
      </c>
      <c r="N1775" s="187" t="inlineStr">
        <is>
          <t>https://check.torproject.org/torbulkexitlist</t>
        </is>
      </c>
      <c r="O1775" s="187" t="inlineStr">
        <is>
          <t>Monitor traffic from Tor exit 107.189.5.121 | Apply policy controls</t>
        </is>
      </c>
      <c r="P1775" s="187" t="inlineStr">
        <is>
          <t>Network perimeter</t>
        </is>
      </c>
      <c r="Q1775" s="187" t="inlineStr">
        <is>
          <t>P4</t>
        </is>
      </c>
      <c r="R1775" s="187" t="inlineStr">
        <is>
          <t>🔍 Investigate and apply appropriate controls</t>
        </is>
      </c>
      <c r="S1775" s="187" t="inlineStr">
        <is>
          <t>Tor exit node - known anonymization service</t>
        </is>
      </c>
      <c r="T1775" s="187" t="n">
        <v>0</v>
      </c>
      <c r="U1775" s="187" t="n">
        <v>0</v>
      </c>
      <c r="V1775" s="187" t="inlineStr">
        <is>
          <t>T1090.003:Multi-hop Proxy</t>
        </is>
      </c>
      <c r="W1775" s="187" t="n">
        <v>1</v>
      </c>
      <c r="X1775" s="187" t="inlineStr">
        <is>
          <t>LOW (40%)</t>
        </is>
      </c>
      <c r="Y1775" s="187" t="inlineStr">
        <is>
          <t>NONE</t>
        </is>
      </c>
      <c r="Z1775" s="187" t="inlineStr">
        <is>
          <t>NONE</t>
        </is>
      </c>
      <c r="AA1775" s="187" t="inlineStr">
        <is>
          <t>NONE</t>
        </is>
      </c>
      <c r="AB1775" s="187" t="inlineStr">
        <is>
          <t>NONE</t>
        </is>
      </c>
      <c r="AC1775" s="187" t="n">
        <v>0</v>
      </c>
      <c r="AD1775" s="187" t="inlineStr"/>
    </row>
    <row r="1776">
      <c r="A1776" s="187" t="inlineStr">
        <is>
          <t>TOR_EXIT</t>
        </is>
      </c>
      <c r="B1776" s="187" t="inlineStr">
        <is>
          <t>33f57930a071</t>
        </is>
      </c>
      <c r="C1776" s="187" t="inlineStr">
        <is>
          <t>Tor Exit Node: 185.220.101.97 | Traffic from this IP may be anonymized/malicious</t>
        </is>
      </c>
      <c r="D1776" s="187" t="n">
        <v>5</v>
      </c>
      <c r="E1776" s="187" t="inlineStr">
        <is>
          <t>MEDIUM</t>
        </is>
      </c>
      <c r="F1776" s="187" t="n">
        <v>2</v>
      </c>
      <c r="G1776" s="187" t="n">
        <v>1</v>
      </c>
      <c r="H1776" s="187" t="inlineStr">
        <is>
          <t>LOW</t>
        </is>
      </c>
      <c r="I1776" s="187" t="n">
        <v>7</v>
      </c>
      <c r="J1776" s="187" t="inlineStr">
        <is>
          <t>NO</t>
        </is>
      </c>
      <c r="K1776" s="187" t="inlineStr">
        <is>
          <t>https://check.torproject.org/</t>
        </is>
      </c>
      <c r="L1776" s="187" t="inlineStr">
        <is>
          <t>2026-02-26 00:15</t>
        </is>
      </c>
      <c r="M1776" s="187" t="inlineStr">
        <is>
          <t>Block or monitor</t>
        </is>
      </c>
      <c r="N1776" s="187" t="inlineStr">
        <is>
          <t>https://check.torproject.org/torbulkexitlist</t>
        </is>
      </c>
      <c r="O1776" s="187" t="inlineStr">
        <is>
          <t>Monitor traffic from Tor exit 185.220.101.97 | Apply policy controls</t>
        </is>
      </c>
      <c r="P1776" s="187" t="inlineStr">
        <is>
          <t>Network perimeter</t>
        </is>
      </c>
      <c r="Q1776" s="187" t="inlineStr">
        <is>
          <t>P4</t>
        </is>
      </c>
      <c r="R1776" s="187" t="inlineStr">
        <is>
          <t>🔍 Investigate and apply appropriate controls</t>
        </is>
      </c>
      <c r="S1776" s="187" t="inlineStr">
        <is>
          <t>Tor exit node - known anonymization service</t>
        </is>
      </c>
      <c r="T1776" s="187" t="n">
        <v>0</v>
      </c>
      <c r="U1776" s="187" t="n">
        <v>0</v>
      </c>
      <c r="V1776" s="187" t="inlineStr">
        <is>
          <t>T1090.003:Multi-hop Proxy</t>
        </is>
      </c>
      <c r="W1776" s="187" t="n">
        <v>1</v>
      </c>
      <c r="X1776" s="187" t="inlineStr">
        <is>
          <t>LOW (40%)</t>
        </is>
      </c>
      <c r="Y1776" s="187" t="inlineStr">
        <is>
          <t>NONE</t>
        </is>
      </c>
      <c r="Z1776" s="187" t="inlineStr">
        <is>
          <t>NONE</t>
        </is>
      </c>
      <c r="AA1776" s="187" t="inlineStr">
        <is>
          <t>NONE</t>
        </is>
      </c>
      <c r="AB1776" s="187" t="inlineStr">
        <is>
          <t>NONE</t>
        </is>
      </c>
      <c r="AC1776" s="187" t="n">
        <v>0</v>
      </c>
      <c r="AD1776" s="187" t="inlineStr"/>
    </row>
    <row r="1777">
      <c r="A1777" s="187" t="inlineStr">
        <is>
          <t>TOR_EXIT</t>
        </is>
      </c>
      <c r="B1777" s="187" t="inlineStr">
        <is>
          <t>0b84642c50f4</t>
        </is>
      </c>
      <c r="C1777" s="187" t="inlineStr">
        <is>
          <t>Tor Exit Node: 198.98.50.199 | Traffic from this IP may be anonymized/malicious</t>
        </is>
      </c>
      <c r="D1777" s="187" t="n">
        <v>5</v>
      </c>
      <c r="E1777" s="187" t="inlineStr">
        <is>
          <t>MEDIUM</t>
        </is>
      </c>
      <c r="F1777" s="187" t="n">
        <v>2</v>
      </c>
      <c r="G1777" s="187" t="n">
        <v>1</v>
      </c>
      <c r="H1777" s="187" t="inlineStr">
        <is>
          <t>LOW</t>
        </is>
      </c>
      <c r="I1777" s="187" t="n">
        <v>7</v>
      </c>
      <c r="J1777" s="187" t="inlineStr">
        <is>
          <t>NO</t>
        </is>
      </c>
      <c r="K1777" s="187" t="inlineStr">
        <is>
          <t>https://check.torproject.org/</t>
        </is>
      </c>
      <c r="L1777" s="187" t="inlineStr">
        <is>
          <t>2026-02-26 00:15</t>
        </is>
      </c>
      <c r="M1777" s="187" t="inlineStr">
        <is>
          <t>Block or monitor</t>
        </is>
      </c>
      <c r="N1777" s="187" t="inlineStr">
        <is>
          <t>https://check.torproject.org/torbulkexitlist</t>
        </is>
      </c>
      <c r="O1777" s="187" t="inlineStr">
        <is>
          <t>Monitor traffic from Tor exit 198.98.50.199 | Apply policy controls</t>
        </is>
      </c>
      <c r="P1777" s="187" t="inlineStr">
        <is>
          <t>Network perimeter</t>
        </is>
      </c>
      <c r="Q1777" s="187" t="inlineStr">
        <is>
          <t>P4</t>
        </is>
      </c>
      <c r="R1777" s="187" t="inlineStr">
        <is>
          <t>🔍 Investigate and apply appropriate controls</t>
        </is>
      </c>
      <c r="S1777" s="187" t="inlineStr">
        <is>
          <t>Tor exit node - known anonymization service</t>
        </is>
      </c>
      <c r="T1777" s="187" t="n">
        <v>0</v>
      </c>
      <c r="U1777" s="187" t="n">
        <v>0</v>
      </c>
      <c r="V1777" s="187" t="inlineStr">
        <is>
          <t>T1090.003:Multi-hop Proxy</t>
        </is>
      </c>
      <c r="W1777" s="187" t="n">
        <v>1</v>
      </c>
      <c r="X1777" s="187" t="inlineStr">
        <is>
          <t>LOW (40%)</t>
        </is>
      </c>
      <c r="Y1777" s="187" t="inlineStr">
        <is>
          <t>NONE</t>
        </is>
      </c>
      <c r="Z1777" s="187" t="inlineStr">
        <is>
          <t>NONE</t>
        </is>
      </c>
      <c r="AA1777" s="187" t="inlineStr">
        <is>
          <t>NONE</t>
        </is>
      </c>
      <c r="AB1777" s="187" t="inlineStr">
        <is>
          <t>NONE</t>
        </is>
      </c>
      <c r="AC1777" s="187" t="n">
        <v>0</v>
      </c>
      <c r="AD1777" s="187" t="inlineStr"/>
    </row>
    <row r="1778">
      <c r="A1778" s="187" t="inlineStr">
        <is>
          <t>TOR_EXIT</t>
        </is>
      </c>
      <c r="B1778" s="187" t="inlineStr">
        <is>
          <t>71a45d92177a</t>
        </is>
      </c>
      <c r="C1778" s="187" t="inlineStr">
        <is>
          <t>Tor Exit Node: 171.25.193.80 | Traffic from this IP may be anonymized/malicious</t>
        </is>
      </c>
      <c r="D1778" s="187" t="n">
        <v>5</v>
      </c>
      <c r="E1778" s="187" t="inlineStr">
        <is>
          <t>MEDIUM</t>
        </is>
      </c>
      <c r="F1778" s="187" t="n">
        <v>2</v>
      </c>
      <c r="G1778" s="187" t="n">
        <v>1</v>
      </c>
      <c r="H1778" s="187" t="inlineStr">
        <is>
          <t>LOW</t>
        </is>
      </c>
      <c r="I1778" s="187" t="n">
        <v>7</v>
      </c>
      <c r="J1778" s="187" t="inlineStr">
        <is>
          <t>NO</t>
        </is>
      </c>
      <c r="K1778" s="187" t="inlineStr">
        <is>
          <t>https://check.torproject.org/</t>
        </is>
      </c>
      <c r="L1778" s="187" t="inlineStr">
        <is>
          <t>2026-02-26 00:15</t>
        </is>
      </c>
      <c r="M1778" s="187" t="inlineStr">
        <is>
          <t>Block or monitor</t>
        </is>
      </c>
      <c r="N1778" s="187" t="inlineStr">
        <is>
          <t>https://check.torproject.org/torbulkexitlist</t>
        </is>
      </c>
      <c r="O1778" s="187" t="inlineStr">
        <is>
          <t>Monitor traffic from Tor exit 171.25.193.80 | Apply policy controls</t>
        </is>
      </c>
      <c r="P1778" s="187" t="inlineStr">
        <is>
          <t>Network perimeter</t>
        </is>
      </c>
      <c r="Q1778" s="187" t="inlineStr">
        <is>
          <t>P4</t>
        </is>
      </c>
      <c r="R1778" s="187" t="inlineStr">
        <is>
          <t>🔍 Investigate and apply appropriate controls</t>
        </is>
      </c>
      <c r="S1778" s="187" t="inlineStr">
        <is>
          <t>Tor exit node - known anonymization service</t>
        </is>
      </c>
      <c r="T1778" s="187" t="n">
        <v>0</v>
      </c>
      <c r="U1778" s="187" t="n">
        <v>0</v>
      </c>
      <c r="V1778" s="187" t="inlineStr">
        <is>
          <t>T1090.003:Multi-hop Proxy</t>
        </is>
      </c>
      <c r="W1778" s="187" t="n">
        <v>1</v>
      </c>
      <c r="X1778" s="187" t="inlineStr">
        <is>
          <t>LOW (40%)</t>
        </is>
      </c>
      <c r="Y1778" s="187" t="inlineStr">
        <is>
          <t>NONE</t>
        </is>
      </c>
      <c r="Z1778" s="187" t="inlineStr">
        <is>
          <t>NONE</t>
        </is>
      </c>
      <c r="AA1778" s="187" t="inlineStr">
        <is>
          <t>NONE</t>
        </is>
      </c>
      <c r="AB1778" s="187" t="inlineStr">
        <is>
          <t>NONE</t>
        </is>
      </c>
      <c r="AC1778" s="187" t="n">
        <v>0</v>
      </c>
      <c r="AD1778" s="187" t="inlineStr"/>
    </row>
    <row r="1779">
      <c r="A1779" s="187" t="inlineStr">
        <is>
          <t>TOR_EXIT</t>
        </is>
      </c>
      <c r="B1779" s="187" t="inlineStr">
        <is>
          <t>a92549c0154b</t>
        </is>
      </c>
      <c r="C1779" s="187" t="inlineStr">
        <is>
          <t>Tor Exit Node: 109.70.100.65 | Traffic from this IP may be anonymized/malicious</t>
        </is>
      </c>
      <c r="D1779" s="187" t="n">
        <v>5</v>
      </c>
      <c r="E1779" s="187" t="inlineStr">
        <is>
          <t>MEDIUM</t>
        </is>
      </c>
      <c r="F1779" s="187" t="n">
        <v>2</v>
      </c>
      <c r="G1779" s="187" t="n">
        <v>1</v>
      </c>
      <c r="H1779" s="187" t="inlineStr">
        <is>
          <t>LOW</t>
        </is>
      </c>
      <c r="I1779" s="187" t="n">
        <v>7</v>
      </c>
      <c r="J1779" s="187" t="inlineStr">
        <is>
          <t>NO</t>
        </is>
      </c>
      <c r="K1779" s="187" t="inlineStr">
        <is>
          <t>https://check.torproject.org/</t>
        </is>
      </c>
      <c r="L1779" s="187" t="inlineStr">
        <is>
          <t>2026-02-26 00:15</t>
        </is>
      </c>
      <c r="M1779" s="187" t="inlineStr">
        <is>
          <t>Block or monitor</t>
        </is>
      </c>
      <c r="N1779" s="187" t="inlineStr">
        <is>
          <t>https://check.torproject.org/torbulkexitlist</t>
        </is>
      </c>
      <c r="O1779" s="187" t="inlineStr">
        <is>
          <t>Monitor traffic from Tor exit 109.70.100.65 | Apply policy controls</t>
        </is>
      </c>
      <c r="P1779" s="187" t="inlineStr">
        <is>
          <t>Network perimeter</t>
        </is>
      </c>
      <c r="Q1779" s="187" t="inlineStr">
        <is>
          <t>P4</t>
        </is>
      </c>
      <c r="R1779" s="187" t="inlineStr">
        <is>
          <t>🔍 Investigate and apply appropriate controls</t>
        </is>
      </c>
      <c r="S1779" s="187" t="inlineStr">
        <is>
          <t>Tor exit node - known anonymization service</t>
        </is>
      </c>
      <c r="T1779" s="187" t="n">
        <v>0</v>
      </c>
      <c r="U1779" s="187" t="n">
        <v>0</v>
      </c>
      <c r="V1779" s="187" t="inlineStr">
        <is>
          <t>T1090.003:Multi-hop Proxy</t>
        </is>
      </c>
      <c r="W1779" s="187" t="n">
        <v>1</v>
      </c>
      <c r="X1779" s="187" t="inlineStr">
        <is>
          <t>LOW (40%)</t>
        </is>
      </c>
      <c r="Y1779" s="187" t="inlineStr">
        <is>
          <t>NONE</t>
        </is>
      </c>
      <c r="Z1779" s="187" t="inlineStr">
        <is>
          <t>NONE</t>
        </is>
      </c>
      <c r="AA1779" s="187" t="inlineStr">
        <is>
          <t>NONE</t>
        </is>
      </c>
      <c r="AB1779" s="187" t="inlineStr">
        <is>
          <t>NONE</t>
        </is>
      </c>
      <c r="AC1779" s="187" t="n">
        <v>0</v>
      </c>
      <c r="AD1779" s="187" t="inlineStr"/>
    </row>
    <row r="1780">
      <c r="A1780" s="187" t="inlineStr">
        <is>
          <t>TOR_EXIT</t>
        </is>
      </c>
      <c r="B1780" s="187" t="inlineStr">
        <is>
          <t>c0e70b28e0cb</t>
        </is>
      </c>
      <c r="C1780" s="187" t="inlineStr">
        <is>
          <t>Tor Exit Node: 45.138.16.230 | Traffic from this IP may be anonymized/malicious</t>
        </is>
      </c>
      <c r="D1780" s="187" t="n">
        <v>5</v>
      </c>
      <c r="E1780" s="187" t="inlineStr">
        <is>
          <t>MEDIUM</t>
        </is>
      </c>
      <c r="F1780" s="187" t="n">
        <v>2</v>
      </c>
      <c r="G1780" s="187" t="n">
        <v>1</v>
      </c>
      <c r="H1780" s="187" t="inlineStr">
        <is>
          <t>LOW</t>
        </is>
      </c>
      <c r="I1780" s="187" t="n">
        <v>7</v>
      </c>
      <c r="J1780" s="187" t="inlineStr">
        <is>
          <t>NO</t>
        </is>
      </c>
      <c r="K1780" s="187" t="inlineStr">
        <is>
          <t>https://check.torproject.org/</t>
        </is>
      </c>
      <c r="L1780" s="187" t="inlineStr">
        <is>
          <t>2026-02-26 00:15</t>
        </is>
      </c>
      <c r="M1780" s="187" t="inlineStr">
        <is>
          <t>Block or monitor</t>
        </is>
      </c>
      <c r="N1780" s="187" t="inlineStr">
        <is>
          <t>https://check.torproject.org/torbulkexitlist</t>
        </is>
      </c>
      <c r="O1780" s="187" t="inlineStr">
        <is>
          <t>Monitor traffic from Tor exit 45.138.16.230 | Apply policy controls</t>
        </is>
      </c>
      <c r="P1780" s="187" t="inlineStr">
        <is>
          <t>Network perimeter</t>
        </is>
      </c>
      <c r="Q1780" s="187" t="inlineStr">
        <is>
          <t>P4</t>
        </is>
      </c>
      <c r="R1780" s="187" t="inlineStr">
        <is>
          <t>🔍 Investigate and apply appropriate controls</t>
        </is>
      </c>
      <c r="S1780" s="187" t="inlineStr">
        <is>
          <t>Tor exit node - known anonymization service</t>
        </is>
      </c>
      <c r="T1780" s="187" t="n">
        <v>0</v>
      </c>
      <c r="U1780" s="187" t="n">
        <v>0</v>
      </c>
      <c r="V1780" s="187" t="inlineStr">
        <is>
          <t>T1090.003:Multi-hop Proxy</t>
        </is>
      </c>
      <c r="W1780" s="187" t="n">
        <v>1</v>
      </c>
      <c r="X1780" s="187" t="inlineStr">
        <is>
          <t>LOW (40%)</t>
        </is>
      </c>
      <c r="Y1780" s="187" t="inlineStr">
        <is>
          <t>NONE</t>
        </is>
      </c>
      <c r="Z1780" s="187" t="inlineStr">
        <is>
          <t>NONE</t>
        </is>
      </c>
      <c r="AA1780" s="187" t="inlineStr">
        <is>
          <t>NONE</t>
        </is>
      </c>
      <c r="AB1780" s="187" t="inlineStr">
        <is>
          <t>NONE</t>
        </is>
      </c>
      <c r="AC1780" s="187" t="n">
        <v>0</v>
      </c>
      <c r="AD1780" s="187" t="inlineStr"/>
    </row>
    <row r="1781">
      <c r="A1781" s="187" t="inlineStr">
        <is>
          <t>TOR_EXIT</t>
        </is>
      </c>
      <c r="B1781" s="187" t="inlineStr">
        <is>
          <t>535ea850575d</t>
        </is>
      </c>
      <c r="C1781" s="187" t="inlineStr">
        <is>
          <t>Tor Exit Node: 85.215.76.62 | Traffic from this IP may be anonymized/malicious</t>
        </is>
      </c>
      <c r="D1781" s="187" t="n">
        <v>5</v>
      </c>
      <c r="E1781" s="187" t="inlineStr">
        <is>
          <t>MEDIUM</t>
        </is>
      </c>
      <c r="F1781" s="187" t="n">
        <v>2</v>
      </c>
      <c r="G1781" s="187" t="n">
        <v>1</v>
      </c>
      <c r="H1781" s="187" t="inlineStr">
        <is>
          <t>LOW</t>
        </is>
      </c>
      <c r="I1781" s="187" t="n">
        <v>7</v>
      </c>
      <c r="J1781" s="187" t="inlineStr">
        <is>
          <t>NO</t>
        </is>
      </c>
      <c r="K1781" s="187" t="inlineStr">
        <is>
          <t>https://check.torproject.org/</t>
        </is>
      </c>
      <c r="L1781" s="187" t="inlineStr">
        <is>
          <t>2026-02-26 00:15</t>
        </is>
      </c>
      <c r="M1781" s="187" t="inlineStr">
        <is>
          <t>Block or monitor</t>
        </is>
      </c>
      <c r="N1781" s="187" t="inlineStr">
        <is>
          <t>https://check.torproject.org/torbulkexitlist</t>
        </is>
      </c>
      <c r="O1781" s="187" t="inlineStr">
        <is>
          <t>Monitor traffic from Tor exit 85.215.76.62 | Apply policy controls</t>
        </is>
      </c>
      <c r="P1781" s="187" t="inlineStr">
        <is>
          <t>Network perimeter</t>
        </is>
      </c>
      <c r="Q1781" s="187" t="inlineStr">
        <is>
          <t>P4</t>
        </is>
      </c>
      <c r="R1781" s="187" t="inlineStr">
        <is>
          <t>🔍 Investigate and apply appropriate controls</t>
        </is>
      </c>
      <c r="S1781" s="187" t="inlineStr">
        <is>
          <t>Tor exit node - known anonymization service</t>
        </is>
      </c>
      <c r="T1781" s="187" t="n">
        <v>0</v>
      </c>
      <c r="U1781" s="187" t="n">
        <v>0</v>
      </c>
      <c r="V1781" s="187" t="inlineStr">
        <is>
          <t>T1090.003:Multi-hop Proxy</t>
        </is>
      </c>
      <c r="W1781" s="187" t="n">
        <v>1</v>
      </c>
      <c r="X1781" s="187" t="inlineStr">
        <is>
          <t>LOW (40%)</t>
        </is>
      </c>
      <c r="Y1781" s="187" t="inlineStr">
        <is>
          <t>NONE</t>
        </is>
      </c>
      <c r="Z1781" s="187" t="inlineStr">
        <is>
          <t>NONE</t>
        </is>
      </c>
      <c r="AA1781" s="187" t="inlineStr">
        <is>
          <t>NONE</t>
        </is>
      </c>
      <c r="AB1781" s="187" t="inlineStr">
        <is>
          <t>NONE</t>
        </is>
      </c>
      <c r="AC1781" s="187" t="n">
        <v>0</v>
      </c>
      <c r="AD1781" s="187" t="inlineStr"/>
    </row>
    <row r="1782">
      <c r="A1782" s="187" t="inlineStr">
        <is>
          <t>TOR_EXIT</t>
        </is>
      </c>
      <c r="B1782" s="187" t="inlineStr">
        <is>
          <t>bd41091803cf</t>
        </is>
      </c>
      <c r="C1782" s="187" t="inlineStr">
        <is>
          <t>Tor Exit Node: 87.118.116.103 | Traffic from this IP may be anonymized/malicious</t>
        </is>
      </c>
      <c r="D1782" s="187" t="n">
        <v>5</v>
      </c>
      <c r="E1782" s="187" t="inlineStr">
        <is>
          <t>MEDIUM</t>
        </is>
      </c>
      <c r="F1782" s="187" t="n">
        <v>2</v>
      </c>
      <c r="G1782" s="187" t="n">
        <v>1</v>
      </c>
      <c r="H1782" s="187" t="inlineStr">
        <is>
          <t>LOW</t>
        </is>
      </c>
      <c r="I1782" s="187" t="n">
        <v>7</v>
      </c>
      <c r="J1782" s="187" t="inlineStr">
        <is>
          <t>NO</t>
        </is>
      </c>
      <c r="K1782" s="187" t="inlineStr">
        <is>
          <t>https://check.torproject.org/</t>
        </is>
      </c>
      <c r="L1782" s="187" t="inlineStr">
        <is>
          <t>2026-02-26 00:15</t>
        </is>
      </c>
      <c r="M1782" s="187" t="inlineStr">
        <is>
          <t>Block or monitor</t>
        </is>
      </c>
      <c r="N1782" s="187" t="inlineStr">
        <is>
          <t>https://check.torproject.org/torbulkexitlist</t>
        </is>
      </c>
      <c r="O1782" s="187" t="inlineStr">
        <is>
          <t>Monitor traffic from Tor exit 87.118.116.103 | Apply policy controls</t>
        </is>
      </c>
      <c r="P1782" s="187" t="inlineStr">
        <is>
          <t>Network perimeter</t>
        </is>
      </c>
      <c r="Q1782" s="187" t="inlineStr">
        <is>
          <t>P4</t>
        </is>
      </c>
      <c r="R1782" s="187" t="inlineStr">
        <is>
          <t>🔍 Investigate and apply appropriate controls</t>
        </is>
      </c>
      <c r="S1782" s="187" t="inlineStr">
        <is>
          <t>Tor exit node - known anonymization service</t>
        </is>
      </c>
      <c r="T1782" s="187" t="n">
        <v>0</v>
      </c>
      <c r="U1782" s="187" t="n">
        <v>0</v>
      </c>
      <c r="V1782" s="187" t="inlineStr">
        <is>
          <t>T1090.003:Multi-hop Proxy</t>
        </is>
      </c>
      <c r="W1782" s="187" t="n">
        <v>1</v>
      </c>
      <c r="X1782" s="187" t="inlineStr">
        <is>
          <t>LOW (40%)</t>
        </is>
      </c>
      <c r="Y1782" s="187" t="inlineStr">
        <is>
          <t>NONE</t>
        </is>
      </c>
      <c r="Z1782" s="187" t="inlineStr">
        <is>
          <t>NONE</t>
        </is>
      </c>
      <c r="AA1782" s="187" t="inlineStr">
        <is>
          <t>NONE</t>
        </is>
      </c>
      <c r="AB1782" s="187" t="inlineStr">
        <is>
          <t>NONE</t>
        </is>
      </c>
      <c r="AC1782" s="187" t="n">
        <v>0</v>
      </c>
      <c r="AD1782" s="187" t="inlineStr"/>
    </row>
    <row r="1783">
      <c r="A1783" s="187" t="inlineStr">
        <is>
          <t>TOR_EXIT</t>
        </is>
      </c>
      <c r="B1783" s="187" t="inlineStr">
        <is>
          <t>9066fcaea3d4</t>
        </is>
      </c>
      <c r="C1783" s="187" t="inlineStr">
        <is>
          <t>Tor Exit Node: 185.35.202.222 | Traffic from this IP may be anonymized/malicious</t>
        </is>
      </c>
      <c r="D1783" s="187" t="n">
        <v>5</v>
      </c>
      <c r="E1783" s="187" t="inlineStr">
        <is>
          <t>MEDIUM</t>
        </is>
      </c>
      <c r="F1783" s="187" t="n">
        <v>2</v>
      </c>
      <c r="G1783" s="187" t="n">
        <v>1</v>
      </c>
      <c r="H1783" s="187" t="inlineStr">
        <is>
          <t>LOW</t>
        </is>
      </c>
      <c r="I1783" s="187" t="n">
        <v>7</v>
      </c>
      <c r="J1783" s="187" t="inlineStr">
        <is>
          <t>NO</t>
        </is>
      </c>
      <c r="K1783" s="187" t="inlineStr">
        <is>
          <t>https://check.torproject.org/</t>
        </is>
      </c>
      <c r="L1783" s="187" t="inlineStr">
        <is>
          <t>2026-02-26 00:15</t>
        </is>
      </c>
      <c r="M1783" s="187" t="inlineStr">
        <is>
          <t>Block or monitor</t>
        </is>
      </c>
      <c r="N1783" s="187" t="inlineStr">
        <is>
          <t>https://check.torproject.org/torbulkexitlist</t>
        </is>
      </c>
      <c r="O1783" s="187" t="inlineStr">
        <is>
          <t>Monitor traffic from Tor exit 185.35.202.222 | Apply policy controls</t>
        </is>
      </c>
      <c r="P1783" s="187" t="inlineStr">
        <is>
          <t>Network perimeter</t>
        </is>
      </c>
      <c r="Q1783" s="187" t="inlineStr">
        <is>
          <t>P4</t>
        </is>
      </c>
      <c r="R1783" s="187" t="inlineStr">
        <is>
          <t>🔍 Investigate and apply appropriate controls</t>
        </is>
      </c>
      <c r="S1783" s="187" t="inlineStr">
        <is>
          <t>Tor exit node - known anonymization service</t>
        </is>
      </c>
      <c r="T1783" s="187" t="n">
        <v>0</v>
      </c>
      <c r="U1783" s="187" t="n">
        <v>0</v>
      </c>
      <c r="V1783" s="187" t="inlineStr">
        <is>
          <t>T1090.003:Multi-hop Proxy</t>
        </is>
      </c>
      <c r="W1783" s="187" t="n">
        <v>1</v>
      </c>
      <c r="X1783" s="187" t="inlineStr">
        <is>
          <t>LOW (40%)</t>
        </is>
      </c>
      <c r="Y1783" s="187" t="inlineStr">
        <is>
          <t>NONE</t>
        </is>
      </c>
      <c r="Z1783" s="187" t="inlineStr">
        <is>
          <t>NONE</t>
        </is>
      </c>
      <c r="AA1783" s="187" t="inlineStr">
        <is>
          <t>NONE</t>
        </is>
      </c>
      <c r="AB1783" s="187" t="inlineStr">
        <is>
          <t>NONE</t>
        </is>
      </c>
      <c r="AC1783" s="187" t="n">
        <v>0</v>
      </c>
      <c r="AD1783" s="187" t="inlineStr"/>
    </row>
    <row r="1784">
      <c r="A1784" s="187" t="inlineStr">
        <is>
          <t>TOR_EXIT</t>
        </is>
      </c>
      <c r="B1784" s="187" t="inlineStr">
        <is>
          <t>299ae5cfdd9d</t>
        </is>
      </c>
      <c r="C1784" s="187" t="inlineStr">
        <is>
          <t>Tor Exit Node: 185.165.171.84 | Traffic from this IP may be anonymized/malicious</t>
        </is>
      </c>
      <c r="D1784" s="187" t="n">
        <v>5</v>
      </c>
      <c r="E1784" s="187" t="inlineStr">
        <is>
          <t>MEDIUM</t>
        </is>
      </c>
      <c r="F1784" s="187" t="n">
        <v>2</v>
      </c>
      <c r="G1784" s="187" t="n">
        <v>1</v>
      </c>
      <c r="H1784" s="187" t="inlineStr">
        <is>
          <t>LOW</t>
        </is>
      </c>
      <c r="I1784" s="187" t="n">
        <v>7</v>
      </c>
      <c r="J1784" s="187" t="inlineStr">
        <is>
          <t>NO</t>
        </is>
      </c>
      <c r="K1784" s="187" t="inlineStr">
        <is>
          <t>https://check.torproject.org/</t>
        </is>
      </c>
      <c r="L1784" s="187" t="inlineStr">
        <is>
          <t>2026-02-26 00:15</t>
        </is>
      </c>
      <c r="M1784" s="187" t="inlineStr">
        <is>
          <t>Block or monitor</t>
        </is>
      </c>
      <c r="N1784" s="187" t="inlineStr">
        <is>
          <t>https://check.torproject.org/torbulkexitlist</t>
        </is>
      </c>
      <c r="O1784" s="187" t="inlineStr">
        <is>
          <t>Monitor traffic from Tor exit 185.165.171.84 | Apply policy controls</t>
        </is>
      </c>
      <c r="P1784" s="187" t="inlineStr">
        <is>
          <t>Network perimeter</t>
        </is>
      </c>
      <c r="Q1784" s="187" t="inlineStr">
        <is>
          <t>P4</t>
        </is>
      </c>
      <c r="R1784" s="187" t="inlineStr">
        <is>
          <t>🔍 Investigate and apply appropriate controls</t>
        </is>
      </c>
      <c r="S1784" s="187" t="inlineStr">
        <is>
          <t>Tor exit node - known anonymization service</t>
        </is>
      </c>
      <c r="T1784" s="187" t="n">
        <v>0</v>
      </c>
      <c r="U1784" s="187" t="n">
        <v>0</v>
      </c>
      <c r="V1784" s="187" t="inlineStr">
        <is>
          <t>T1090.003:Multi-hop Proxy</t>
        </is>
      </c>
      <c r="W1784" s="187" t="n">
        <v>1</v>
      </c>
      <c r="X1784" s="187" t="inlineStr">
        <is>
          <t>LOW (40%)</t>
        </is>
      </c>
      <c r="Y1784" s="187" t="inlineStr">
        <is>
          <t>NONE</t>
        </is>
      </c>
      <c r="Z1784" s="187" t="inlineStr">
        <is>
          <t>NONE</t>
        </is>
      </c>
      <c r="AA1784" s="187" t="inlineStr">
        <is>
          <t>NONE</t>
        </is>
      </c>
      <c r="AB1784" s="187" t="inlineStr">
        <is>
          <t>NONE</t>
        </is>
      </c>
      <c r="AC1784" s="187" t="n">
        <v>0</v>
      </c>
      <c r="AD1784" s="187" t="inlineStr"/>
    </row>
    <row r="1785">
      <c r="A1785" s="187" t="inlineStr">
        <is>
          <t>TOR_EXIT</t>
        </is>
      </c>
      <c r="B1785" s="187" t="inlineStr">
        <is>
          <t>267563bdcbf7</t>
        </is>
      </c>
      <c r="C1785" s="187" t="inlineStr">
        <is>
          <t>Tor Exit Node: 192.42.116.201 | Traffic from this IP may be anonymized/malicious</t>
        </is>
      </c>
      <c r="D1785" s="187" t="n">
        <v>5</v>
      </c>
      <c r="E1785" s="187" t="inlineStr">
        <is>
          <t>MEDIUM</t>
        </is>
      </c>
      <c r="F1785" s="187" t="n">
        <v>2</v>
      </c>
      <c r="G1785" s="187" t="n">
        <v>1</v>
      </c>
      <c r="H1785" s="187" t="inlineStr">
        <is>
          <t>LOW</t>
        </is>
      </c>
      <c r="I1785" s="187" t="n">
        <v>7</v>
      </c>
      <c r="J1785" s="187" t="inlineStr">
        <is>
          <t>NO</t>
        </is>
      </c>
      <c r="K1785" s="187" t="inlineStr">
        <is>
          <t>https://check.torproject.org/</t>
        </is>
      </c>
      <c r="L1785" s="187" t="inlineStr">
        <is>
          <t>2026-02-26 00:15</t>
        </is>
      </c>
      <c r="M1785" s="187" t="inlineStr">
        <is>
          <t>Block or monitor</t>
        </is>
      </c>
      <c r="N1785" s="187" t="inlineStr">
        <is>
          <t>https://check.torproject.org/torbulkexitlist</t>
        </is>
      </c>
      <c r="O1785" s="187" t="inlineStr">
        <is>
          <t>Monitor traffic from Tor exit 192.42.116.201 | Apply policy controls</t>
        </is>
      </c>
      <c r="P1785" s="187" t="inlineStr">
        <is>
          <t>Network perimeter</t>
        </is>
      </c>
      <c r="Q1785" s="187" t="inlineStr">
        <is>
          <t>P4</t>
        </is>
      </c>
      <c r="R1785" s="187" t="inlineStr">
        <is>
          <t>🔍 Investigate and apply appropriate controls</t>
        </is>
      </c>
      <c r="S1785" s="187" t="inlineStr">
        <is>
          <t>Tor exit node - known anonymization service</t>
        </is>
      </c>
      <c r="T1785" s="187" t="n">
        <v>0</v>
      </c>
      <c r="U1785" s="187" t="n">
        <v>0</v>
      </c>
      <c r="V1785" s="187" t="inlineStr">
        <is>
          <t>T1090.003:Multi-hop Proxy</t>
        </is>
      </c>
      <c r="W1785" s="187" t="n">
        <v>1</v>
      </c>
      <c r="X1785" s="187" t="inlineStr">
        <is>
          <t>LOW (40%)</t>
        </is>
      </c>
      <c r="Y1785" s="187" t="inlineStr">
        <is>
          <t>NONE</t>
        </is>
      </c>
      <c r="Z1785" s="187" t="inlineStr">
        <is>
          <t>NONE</t>
        </is>
      </c>
      <c r="AA1785" s="187" t="inlineStr">
        <is>
          <t>NONE</t>
        </is>
      </c>
      <c r="AB1785" s="187" t="inlineStr">
        <is>
          <t>NONE</t>
        </is>
      </c>
      <c r="AC1785" s="187" t="n">
        <v>0</v>
      </c>
      <c r="AD1785" s="187" t="inlineStr"/>
    </row>
    <row r="1786">
      <c r="A1786" s="187" t="inlineStr">
        <is>
          <t>TOR_EXIT</t>
        </is>
      </c>
      <c r="B1786" s="187" t="inlineStr">
        <is>
          <t>e86752926b56</t>
        </is>
      </c>
      <c r="C1786" s="187" t="inlineStr">
        <is>
          <t>Tor Exit Node: 93.95.228.205 | Traffic from this IP may be anonymized/malicious</t>
        </is>
      </c>
      <c r="D1786" s="187" t="n">
        <v>5</v>
      </c>
      <c r="E1786" s="187" t="inlineStr">
        <is>
          <t>MEDIUM</t>
        </is>
      </c>
      <c r="F1786" s="187" t="n">
        <v>2</v>
      </c>
      <c r="G1786" s="187" t="n">
        <v>1</v>
      </c>
      <c r="H1786" s="187" t="inlineStr">
        <is>
          <t>LOW</t>
        </is>
      </c>
      <c r="I1786" s="187" t="n">
        <v>7</v>
      </c>
      <c r="J1786" s="187" t="inlineStr">
        <is>
          <t>NO</t>
        </is>
      </c>
      <c r="K1786" s="187" t="inlineStr">
        <is>
          <t>https://check.torproject.org/</t>
        </is>
      </c>
      <c r="L1786" s="187" t="inlineStr">
        <is>
          <t>2026-02-26 00:15</t>
        </is>
      </c>
      <c r="M1786" s="187" t="inlineStr">
        <is>
          <t>Block or monitor</t>
        </is>
      </c>
      <c r="N1786" s="187" t="inlineStr">
        <is>
          <t>https://check.torproject.org/torbulkexitlist</t>
        </is>
      </c>
      <c r="O1786" s="187" t="inlineStr">
        <is>
          <t>Monitor traffic from Tor exit 93.95.228.205 | Apply policy controls</t>
        </is>
      </c>
      <c r="P1786" s="187" t="inlineStr">
        <is>
          <t>Network perimeter</t>
        </is>
      </c>
      <c r="Q1786" s="187" t="inlineStr">
        <is>
          <t>P4</t>
        </is>
      </c>
      <c r="R1786" s="187" t="inlineStr">
        <is>
          <t>🔍 Investigate and apply appropriate controls</t>
        </is>
      </c>
      <c r="S1786" s="187" t="inlineStr">
        <is>
          <t>Tor exit node - known anonymization service</t>
        </is>
      </c>
      <c r="T1786" s="187" t="n">
        <v>0</v>
      </c>
      <c r="U1786" s="187" t="n">
        <v>0</v>
      </c>
      <c r="V1786" s="187" t="inlineStr">
        <is>
          <t>T1090.003:Multi-hop Proxy</t>
        </is>
      </c>
      <c r="W1786" s="187" t="n">
        <v>1</v>
      </c>
      <c r="X1786" s="187" t="inlineStr">
        <is>
          <t>LOW (40%)</t>
        </is>
      </c>
      <c r="Y1786" s="187" t="inlineStr">
        <is>
          <t>NONE</t>
        </is>
      </c>
      <c r="Z1786" s="187" t="inlineStr">
        <is>
          <t>NONE</t>
        </is>
      </c>
      <c r="AA1786" s="187" t="inlineStr">
        <is>
          <t>NONE</t>
        </is>
      </c>
      <c r="AB1786" s="187" t="inlineStr">
        <is>
          <t>NONE</t>
        </is>
      </c>
      <c r="AC1786" s="187" t="n">
        <v>0</v>
      </c>
      <c r="AD1786" s="187" t="inlineStr"/>
    </row>
    <row r="1787">
      <c r="A1787" s="187" t="inlineStr">
        <is>
          <t>TOR_EXIT</t>
        </is>
      </c>
      <c r="B1787" s="187" t="inlineStr">
        <is>
          <t>be1fc8bacd6e</t>
        </is>
      </c>
      <c r="C1787" s="187" t="inlineStr">
        <is>
          <t>Tor Exit Node: 5.2.67.226 | Traffic from this IP may be anonymized/malicious</t>
        </is>
      </c>
      <c r="D1787" s="187" t="n">
        <v>5</v>
      </c>
      <c r="E1787" s="187" t="inlineStr">
        <is>
          <t>MEDIUM</t>
        </is>
      </c>
      <c r="F1787" s="187" t="n">
        <v>2</v>
      </c>
      <c r="G1787" s="187" t="n">
        <v>1</v>
      </c>
      <c r="H1787" s="187" t="inlineStr">
        <is>
          <t>LOW</t>
        </is>
      </c>
      <c r="I1787" s="187" t="n">
        <v>7</v>
      </c>
      <c r="J1787" s="187" t="inlineStr">
        <is>
          <t>NO</t>
        </is>
      </c>
      <c r="K1787" s="187" t="inlineStr">
        <is>
          <t>https://check.torproject.org/</t>
        </is>
      </c>
      <c r="L1787" s="187" t="inlineStr">
        <is>
          <t>2026-02-26 00:15</t>
        </is>
      </c>
      <c r="M1787" s="187" t="inlineStr">
        <is>
          <t>Block or monitor</t>
        </is>
      </c>
      <c r="N1787" s="187" t="inlineStr">
        <is>
          <t>https://check.torproject.org/torbulkexitlist</t>
        </is>
      </c>
      <c r="O1787" s="187" t="inlineStr">
        <is>
          <t>Monitor traffic from Tor exit 5.2.67.226 | Apply policy controls</t>
        </is>
      </c>
      <c r="P1787" s="187" t="inlineStr">
        <is>
          <t>Network perimeter</t>
        </is>
      </c>
      <c r="Q1787" s="187" t="inlineStr">
        <is>
          <t>P4</t>
        </is>
      </c>
      <c r="R1787" s="187" t="inlineStr">
        <is>
          <t>🔍 Investigate and apply appropriate controls</t>
        </is>
      </c>
      <c r="S1787" s="187" t="inlineStr">
        <is>
          <t>Tor exit node - known anonymization service</t>
        </is>
      </c>
      <c r="T1787" s="187" t="n">
        <v>0</v>
      </c>
      <c r="U1787" s="187" t="n">
        <v>0</v>
      </c>
      <c r="V1787" s="187" t="inlineStr">
        <is>
          <t>T1090.003:Multi-hop Proxy</t>
        </is>
      </c>
      <c r="W1787" s="187" t="n">
        <v>1</v>
      </c>
      <c r="X1787" s="187" t="inlineStr">
        <is>
          <t>LOW (40%)</t>
        </is>
      </c>
      <c r="Y1787" s="187" t="inlineStr">
        <is>
          <t>NONE</t>
        </is>
      </c>
      <c r="Z1787" s="187" t="inlineStr">
        <is>
          <t>NONE</t>
        </is>
      </c>
      <c r="AA1787" s="187" t="inlineStr">
        <is>
          <t>NONE</t>
        </is>
      </c>
      <c r="AB1787" s="187" t="inlineStr">
        <is>
          <t>NONE</t>
        </is>
      </c>
      <c r="AC1787" s="187" t="n">
        <v>0</v>
      </c>
      <c r="AD1787" s="187" t="inlineStr"/>
    </row>
    <row r="1788">
      <c r="A1788" s="187" t="inlineStr">
        <is>
          <t>TOR_EXIT</t>
        </is>
      </c>
      <c r="B1788" s="187" t="inlineStr">
        <is>
          <t>445ad503a1ad</t>
        </is>
      </c>
      <c r="C1788" s="187" t="inlineStr">
        <is>
          <t>Tor Exit Node: 185.220.101.135 | Traffic from this IP may be anonymized/malicious</t>
        </is>
      </c>
      <c r="D1788" s="187" t="n">
        <v>5</v>
      </c>
      <c r="E1788" s="187" t="inlineStr">
        <is>
          <t>MEDIUM</t>
        </is>
      </c>
      <c r="F1788" s="187" t="n">
        <v>2</v>
      </c>
      <c r="G1788" s="187" t="n">
        <v>1</v>
      </c>
      <c r="H1788" s="187" t="inlineStr">
        <is>
          <t>LOW</t>
        </is>
      </c>
      <c r="I1788" s="187" t="n">
        <v>7</v>
      </c>
      <c r="J1788" s="187" t="inlineStr">
        <is>
          <t>NO</t>
        </is>
      </c>
      <c r="K1788" s="187" t="inlineStr">
        <is>
          <t>https://check.torproject.org/</t>
        </is>
      </c>
      <c r="L1788" s="187" t="inlineStr">
        <is>
          <t>2026-02-26 00:15</t>
        </is>
      </c>
      <c r="M1788" s="187" t="inlineStr">
        <is>
          <t>Block or monitor</t>
        </is>
      </c>
      <c r="N1788" s="187" t="inlineStr">
        <is>
          <t>https://check.torproject.org/torbulkexitlist</t>
        </is>
      </c>
      <c r="O1788" s="187" t="inlineStr">
        <is>
          <t>Monitor traffic from Tor exit 185.220.101.135 | Apply policy controls</t>
        </is>
      </c>
      <c r="P1788" s="187" t="inlineStr">
        <is>
          <t>Network perimeter</t>
        </is>
      </c>
      <c r="Q1788" s="187" t="inlineStr">
        <is>
          <t>P4</t>
        </is>
      </c>
      <c r="R1788" s="187" t="inlineStr">
        <is>
          <t>🔍 Investigate and apply appropriate controls</t>
        </is>
      </c>
      <c r="S1788" s="187" t="inlineStr">
        <is>
          <t>Tor exit node - known anonymization service</t>
        </is>
      </c>
      <c r="T1788" s="187" t="n">
        <v>0</v>
      </c>
      <c r="U1788" s="187" t="n">
        <v>0</v>
      </c>
      <c r="V1788" s="187" t="inlineStr">
        <is>
          <t>T1090.003:Multi-hop Proxy</t>
        </is>
      </c>
      <c r="W1788" s="187" t="n">
        <v>1</v>
      </c>
      <c r="X1788" s="187" t="inlineStr">
        <is>
          <t>LOW (40%)</t>
        </is>
      </c>
      <c r="Y1788" s="187" t="inlineStr">
        <is>
          <t>NONE</t>
        </is>
      </c>
      <c r="Z1788" s="187" t="inlineStr">
        <is>
          <t>NONE</t>
        </is>
      </c>
      <c r="AA1788" s="187" t="inlineStr">
        <is>
          <t>NONE</t>
        </is>
      </c>
      <c r="AB1788" s="187" t="inlineStr">
        <is>
          <t>NONE</t>
        </is>
      </c>
      <c r="AC1788" s="187" t="n">
        <v>0</v>
      </c>
      <c r="AD1788" s="187" t="inlineStr"/>
    </row>
    <row r="1789">
      <c r="A1789" s="187" t="inlineStr">
        <is>
          <t>TOR_EXIT</t>
        </is>
      </c>
      <c r="B1789" s="187" t="inlineStr">
        <is>
          <t>fa338c91fd7c</t>
        </is>
      </c>
      <c r="C1789" s="187" t="inlineStr">
        <is>
          <t>Tor Exit Node: 5.255.117.56 | Traffic from this IP may be anonymized/malicious</t>
        </is>
      </c>
      <c r="D1789" s="187" t="n">
        <v>5</v>
      </c>
      <c r="E1789" s="187" t="inlineStr">
        <is>
          <t>MEDIUM</t>
        </is>
      </c>
      <c r="F1789" s="187" t="n">
        <v>2</v>
      </c>
      <c r="G1789" s="187" t="n">
        <v>1</v>
      </c>
      <c r="H1789" s="187" t="inlineStr">
        <is>
          <t>LOW</t>
        </is>
      </c>
      <c r="I1789" s="187" t="n">
        <v>7</v>
      </c>
      <c r="J1789" s="187" t="inlineStr">
        <is>
          <t>NO</t>
        </is>
      </c>
      <c r="K1789" s="187" t="inlineStr">
        <is>
          <t>https://check.torproject.org/</t>
        </is>
      </c>
      <c r="L1789" s="187" t="inlineStr">
        <is>
          <t>2026-02-26 00:15</t>
        </is>
      </c>
      <c r="M1789" s="187" t="inlineStr">
        <is>
          <t>Block or monitor</t>
        </is>
      </c>
      <c r="N1789" s="187" t="inlineStr">
        <is>
          <t>https://check.torproject.org/torbulkexitlist</t>
        </is>
      </c>
      <c r="O1789" s="187" t="inlineStr">
        <is>
          <t>Monitor traffic from Tor exit 5.255.117.56 | Apply policy controls</t>
        </is>
      </c>
      <c r="P1789" s="187" t="inlineStr">
        <is>
          <t>Network perimeter</t>
        </is>
      </c>
      <c r="Q1789" s="187" t="inlineStr">
        <is>
          <t>P4</t>
        </is>
      </c>
      <c r="R1789" s="187" t="inlineStr">
        <is>
          <t>🔍 Investigate and apply appropriate controls</t>
        </is>
      </c>
      <c r="S1789" s="187" t="inlineStr">
        <is>
          <t>Tor exit node - known anonymization service</t>
        </is>
      </c>
      <c r="T1789" s="187" t="n">
        <v>0</v>
      </c>
      <c r="U1789" s="187" t="n">
        <v>0</v>
      </c>
      <c r="V1789" s="187" t="inlineStr">
        <is>
          <t>T1090.003:Multi-hop Proxy</t>
        </is>
      </c>
      <c r="W1789" s="187" t="n">
        <v>1</v>
      </c>
      <c r="X1789" s="187" t="inlineStr">
        <is>
          <t>LOW (40%)</t>
        </is>
      </c>
      <c r="Y1789" s="187" t="inlineStr">
        <is>
          <t>NONE</t>
        </is>
      </c>
      <c r="Z1789" s="187" t="inlineStr">
        <is>
          <t>NONE</t>
        </is>
      </c>
      <c r="AA1789" s="187" t="inlineStr">
        <is>
          <t>NONE</t>
        </is>
      </c>
      <c r="AB1789" s="187" t="inlineStr">
        <is>
          <t>NONE</t>
        </is>
      </c>
      <c r="AC1789" s="187" t="n">
        <v>0</v>
      </c>
      <c r="AD1789" s="187" t="inlineStr"/>
    </row>
    <row r="1790">
      <c r="A1790" s="187" t="inlineStr">
        <is>
          <t>TOR_EXIT</t>
        </is>
      </c>
      <c r="B1790" s="187" t="inlineStr">
        <is>
          <t>4b8694ab5ceb</t>
        </is>
      </c>
      <c r="C1790" s="187" t="inlineStr">
        <is>
          <t>Tor Exit Node: 144.217.80.80 | Traffic from this IP may be anonymized/malicious</t>
        </is>
      </c>
      <c r="D1790" s="187" t="n">
        <v>5</v>
      </c>
      <c r="E1790" s="187" t="inlineStr">
        <is>
          <t>MEDIUM</t>
        </is>
      </c>
      <c r="F1790" s="187" t="n">
        <v>2</v>
      </c>
      <c r="G1790" s="187" t="n">
        <v>1</v>
      </c>
      <c r="H1790" s="187" t="inlineStr">
        <is>
          <t>LOW</t>
        </is>
      </c>
      <c r="I1790" s="187" t="n">
        <v>7</v>
      </c>
      <c r="J1790" s="187" t="inlineStr">
        <is>
          <t>NO</t>
        </is>
      </c>
      <c r="K1790" s="187" t="inlineStr">
        <is>
          <t>https://check.torproject.org/</t>
        </is>
      </c>
      <c r="L1790" s="187" t="inlineStr">
        <is>
          <t>2026-02-26 00:15</t>
        </is>
      </c>
      <c r="M1790" s="187" t="inlineStr">
        <is>
          <t>Block or monitor</t>
        </is>
      </c>
      <c r="N1790" s="187" t="inlineStr">
        <is>
          <t>https://check.torproject.org/torbulkexitlist</t>
        </is>
      </c>
      <c r="O1790" s="187" t="inlineStr">
        <is>
          <t>Monitor traffic from Tor exit 144.217.80.80 | Apply policy controls</t>
        </is>
      </c>
      <c r="P1790" s="187" t="inlineStr">
        <is>
          <t>Network perimeter</t>
        </is>
      </c>
      <c r="Q1790" s="187" t="inlineStr">
        <is>
          <t>P4</t>
        </is>
      </c>
      <c r="R1790" s="187" t="inlineStr">
        <is>
          <t>🔍 Investigate and apply appropriate controls</t>
        </is>
      </c>
      <c r="S1790" s="187" t="inlineStr">
        <is>
          <t>Tor exit node - known anonymization service</t>
        </is>
      </c>
      <c r="T1790" s="187" t="n">
        <v>0</v>
      </c>
      <c r="U1790" s="187" t="n">
        <v>0</v>
      </c>
      <c r="V1790" s="187" t="inlineStr">
        <is>
          <t>T1090.003:Multi-hop Proxy</t>
        </is>
      </c>
      <c r="W1790" s="187" t="n">
        <v>1</v>
      </c>
      <c r="X1790" s="187" t="inlineStr">
        <is>
          <t>LOW (40%)</t>
        </is>
      </c>
      <c r="Y1790" s="187" t="inlineStr">
        <is>
          <t>NONE</t>
        </is>
      </c>
      <c r="Z1790" s="187" t="inlineStr">
        <is>
          <t>NONE</t>
        </is>
      </c>
      <c r="AA1790" s="187" t="inlineStr">
        <is>
          <t>NONE</t>
        </is>
      </c>
      <c r="AB1790" s="187" t="inlineStr">
        <is>
          <t>NONE</t>
        </is>
      </c>
      <c r="AC1790" s="187" t="n">
        <v>0</v>
      </c>
      <c r="AD1790" s="187" t="inlineStr"/>
    </row>
    <row r="1791">
      <c r="A1791" s="187" t="inlineStr">
        <is>
          <t>TOR_EXIT</t>
        </is>
      </c>
      <c r="B1791" s="187" t="inlineStr">
        <is>
          <t>d8325e3ec2a4</t>
        </is>
      </c>
      <c r="C1791" s="187" t="inlineStr">
        <is>
          <t>Tor Exit Node: 103.251.167.20 | Traffic from this IP may be anonymized/malicious</t>
        </is>
      </c>
      <c r="D1791" s="187" t="n">
        <v>5</v>
      </c>
      <c r="E1791" s="187" t="inlineStr">
        <is>
          <t>MEDIUM</t>
        </is>
      </c>
      <c r="F1791" s="187" t="n">
        <v>2</v>
      </c>
      <c r="G1791" s="187" t="n">
        <v>1</v>
      </c>
      <c r="H1791" s="187" t="inlineStr">
        <is>
          <t>LOW</t>
        </is>
      </c>
      <c r="I1791" s="187" t="n">
        <v>7</v>
      </c>
      <c r="J1791" s="187" t="inlineStr">
        <is>
          <t>NO</t>
        </is>
      </c>
      <c r="K1791" s="187" t="inlineStr">
        <is>
          <t>https://check.torproject.org/</t>
        </is>
      </c>
      <c r="L1791" s="187" t="inlineStr">
        <is>
          <t>2026-02-26 00:15</t>
        </is>
      </c>
      <c r="M1791" s="187" t="inlineStr">
        <is>
          <t>Block or monitor</t>
        </is>
      </c>
      <c r="N1791" s="187" t="inlineStr">
        <is>
          <t>https://check.torproject.org/torbulkexitlist</t>
        </is>
      </c>
      <c r="O1791" s="187" t="inlineStr">
        <is>
          <t>Monitor traffic from Tor exit 103.251.167.20 | Apply policy controls</t>
        </is>
      </c>
      <c r="P1791" s="187" t="inlineStr">
        <is>
          <t>Network perimeter</t>
        </is>
      </c>
      <c r="Q1791" s="187" t="inlineStr">
        <is>
          <t>P4</t>
        </is>
      </c>
      <c r="R1791" s="187" t="inlineStr">
        <is>
          <t>🔍 Investigate and apply appropriate controls</t>
        </is>
      </c>
      <c r="S1791" s="187" t="inlineStr">
        <is>
          <t>Tor exit node - known anonymization service</t>
        </is>
      </c>
      <c r="T1791" s="187" t="n">
        <v>0</v>
      </c>
      <c r="U1791" s="187" t="n">
        <v>0</v>
      </c>
      <c r="V1791" s="187" t="inlineStr">
        <is>
          <t>T1090.003:Multi-hop Proxy</t>
        </is>
      </c>
      <c r="W1791" s="187" t="n">
        <v>1</v>
      </c>
      <c r="X1791" s="187" t="inlineStr">
        <is>
          <t>LOW (40%)</t>
        </is>
      </c>
      <c r="Y1791" s="187" t="inlineStr">
        <is>
          <t>NONE</t>
        </is>
      </c>
      <c r="Z1791" s="187" t="inlineStr">
        <is>
          <t>NONE</t>
        </is>
      </c>
      <c r="AA1791" s="187" t="inlineStr">
        <is>
          <t>NONE</t>
        </is>
      </c>
      <c r="AB1791" s="187" t="inlineStr">
        <is>
          <t>NONE</t>
        </is>
      </c>
      <c r="AC1791" s="187" t="n">
        <v>0</v>
      </c>
      <c r="AD1791" s="187" t="inlineStr"/>
    </row>
    <row r="1792">
      <c r="A1792" s="187" t="inlineStr">
        <is>
          <t>TOR_EXIT</t>
        </is>
      </c>
      <c r="B1792" s="187" t="inlineStr">
        <is>
          <t>b66652544656</t>
        </is>
      </c>
      <c r="C1792" s="187" t="inlineStr">
        <is>
          <t>Tor Exit Node: 198.98.53.136 | Traffic from this IP may be anonymized/malicious</t>
        </is>
      </c>
      <c r="D1792" s="187" t="n">
        <v>5</v>
      </c>
      <c r="E1792" s="187" t="inlineStr">
        <is>
          <t>MEDIUM</t>
        </is>
      </c>
      <c r="F1792" s="187" t="n">
        <v>2</v>
      </c>
      <c r="G1792" s="187" t="n">
        <v>1</v>
      </c>
      <c r="H1792" s="187" t="inlineStr">
        <is>
          <t>LOW</t>
        </is>
      </c>
      <c r="I1792" s="187" t="n">
        <v>7</v>
      </c>
      <c r="J1792" s="187" t="inlineStr">
        <is>
          <t>NO</t>
        </is>
      </c>
      <c r="K1792" s="187" t="inlineStr">
        <is>
          <t>https://check.torproject.org/</t>
        </is>
      </c>
      <c r="L1792" s="187" t="inlineStr">
        <is>
          <t>2026-02-26 00:15</t>
        </is>
      </c>
      <c r="M1792" s="187" t="inlineStr">
        <is>
          <t>Block or monitor</t>
        </is>
      </c>
      <c r="N1792" s="187" t="inlineStr">
        <is>
          <t>https://check.torproject.org/torbulkexitlist</t>
        </is>
      </c>
      <c r="O1792" s="187" t="inlineStr">
        <is>
          <t>Monitor traffic from Tor exit 198.98.53.136 | Apply policy controls</t>
        </is>
      </c>
      <c r="P1792" s="187" t="inlineStr">
        <is>
          <t>Network perimeter</t>
        </is>
      </c>
      <c r="Q1792" s="187" t="inlineStr">
        <is>
          <t>P4</t>
        </is>
      </c>
      <c r="R1792" s="187" t="inlineStr">
        <is>
          <t>🔍 Investigate and apply appropriate controls</t>
        </is>
      </c>
      <c r="S1792" s="187" t="inlineStr">
        <is>
          <t>Tor exit node - known anonymization service</t>
        </is>
      </c>
      <c r="T1792" s="187" t="n">
        <v>0</v>
      </c>
      <c r="U1792" s="187" t="n">
        <v>0</v>
      </c>
      <c r="V1792" s="187" t="inlineStr">
        <is>
          <t>T1090.003:Multi-hop Proxy</t>
        </is>
      </c>
      <c r="W1792" s="187" t="n">
        <v>1</v>
      </c>
      <c r="X1792" s="187" t="inlineStr">
        <is>
          <t>LOW (40%)</t>
        </is>
      </c>
      <c r="Y1792" s="187" t="inlineStr">
        <is>
          <t>NONE</t>
        </is>
      </c>
      <c r="Z1792" s="187" t="inlineStr">
        <is>
          <t>NONE</t>
        </is>
      </c>
      <c r="AA1792" s="187" t="inlineStr">
        <is>
          <t>NONE</t>
        </is>
      </c>
      <c r="AB1792" s="187" t="inlineStr">
        <is>
          <t>NONE</t>
        </is>
      </c>
      <c r="AC1792" s="187" t="n">
        <v>0</v>
      </c>
      <c r="AD1792" s="187" t="inlineStr"/>
    </row>
    <row r="1793">
      <c r="A1793" s="187" t="inlineStr">
        <is>
          <t>TOR_EXIT</t>
        </is>
      </c>
      <c r="B1793" s="187" t="inlineStr">
        <is>
          <t>9b401cbe3a06</t>
        </is>
      </c>
      <c r="C1793" s="187" t="inlineStr">
        <is>
          <t>Tor Exit Node: 104.244.73.136 | Traffic from this IP may be anonymized/malicious</t>
        </is>
      </c>
      <c r="D1793" s="187" t="n">
        <v>5</v>
      </c>
      <c r="E1793" s="187" t="inlineStr">
        <is>
          <t>MEDIUM</t>
        </is>
      </c>
      <c r="F1793" s="187" t="n">
        <v>2</v>
      </c>
      <c r="G1793" s="187" t="n">
        <v>1</v>
      </c>
      <c r="H1793" s="187" t="inlineStr">
        <is>
          <t>LOW</t>
        </is>
      </c>
      <c r="I1793" s="187" t="n">
        <v>7</v>
      </c>
      <c r="J1793" s="187" t="inlineStr">
        <is>
          <t>NO</t>
        </is>
      </c>
      <c r="K1793" s="187" t="inlineStr">
        <is>
          <t>https://check.torproject.org/</t>
        </is>
      </c>
      <c r="L1793" s="187" t="inlineStr">
        <is>
          <t>2026-02-26 00:15</t>
        </is>
      </c>
      <c r="M1793" s="187" t="inlineStr">
        <is>
          <t>Block or monitor</t>
        </is>
      </c>
      <c r="N1793" s="187" t="inlineStr">
        <is>
          <t>https://check.torproject.org/torbulkexitlist</t>
        </is>
      </c>
      <c r="O1793" s="187" t="inlineStr">
        <is>
          <t>Monitor traffic from Tor exit 104.244.73.136 | Apply policy controls</t>
        </is>
      </c>
      <c r="P1793" s="187" t="inlineStr">
        <is>
          <t>Network perimeter</t>
        </is>
      </c>
      <c r="Q1793" s="187" t="inlineStr">
        <is>
          <t>P4</t>
        </is>
      </c>
      <c r="R1793" s="187" t="inlineStr">
        <is>
          <t>🔍 Investigate and apply appropriate controls</t>
        </is>
      </c>
      <c r="S1793" s="187" t="inlineStr">
        <is>
          <t>Tor exit node - known anonymization service</t>
        </is>
      </c>
      <c r="T1793" s="187" t="n">
        <v>0</v>
      </c>
      <c r="U1793" s="187" t="n">
        <v>0</v>
      </c>
      <c r="V1793" s="187" t="inlineStr">
        <is>
          <t>T1090.003:Multi-hop Proxy</t>
        </is>
      </c>
      <c r="W1793" s="187" t="n">
        <v>1</v>
      </c>
      <c r="X1793" s="187" t="inlineStr">
        <is>
          <t>LOW (40%)</t>
        </is>
      </c>
      <c r="Y1793" s="187" t="inlineStr">
        <is>
          <t>NONE</t>
        </is>
      </c>
      <c r="Z1793" s="187" t="inlineStr">
        <is>
          <t>NONE</t>
        </is>
      </c>
      <c r="AA1793" s="187" t="inlineStr">
        <is>
          <t>NONE</t>
        </is>
      </c>
      <c r="AB1793" s="187" t="inlineStr">
        <is>
          <t>NONE</t>
        </is>
      </c>
      <c r="AC1793" s="187" t="n">
        <v>0</v>
      </c>
      <c r="AD1793" s="187" t="inlineStr"/>
    </row>
    <row r="1794">
      <c r="A1794" s="187" t="inlineStr">
        <is>
          <t>TOR_EXIT</t>
        </is>
      </c>
      <c r="B1794" s="187" t="inlineStr">
        <is>
          <t>3262bc49b597</t>
        </is>
      </c>
      <c r="C1794" s="187" t="inlineStr">
        <is>
          <t>Tor Exit Node: 144.172.73.6 | Traffic from this IP may be anonymized/malicious</t>
        </is>
      </c>
      <c r="D1794" s="187" t="n">
        <v>5</v>
      </c>
      <c r="E1794" s="187" t="inlineStr">
        <is>
          <t>MEDIUM</t>
        </is>
      </c>
      <c r="F1794" s="187" t="n">
        <v>2</v>
      </c>
      <c r="G1794" s="187" t="n">
        <v>1</v>
      </c>
      <c r="H1794" s="187" t="inlineStr">
        <is>
          <t>LOW</t>
        </is>
      </c>
      <c r="I1794" s="187" t="n">
        <v>7</v>
      </c>
      <c r="J1794" s="187" t="inlineStr">
        <is>
          <t>NO</t>
        </is>
      </c>
      <c r="K1794" s="187" t="inlineStr">
        <is>
          <t>https://check.torproject.org/</t>
        </is>
      </c>
      <c r="L1794" s="187" t="inlineStr">
        <is>
          <t>2026-02-26 00:15</t>
        </is>
      </c>
      <c r="M1794" s="187" t="inlineStr">
        <is>
          <t>Block or monitor</t>
        </is>
      </c>
      <c r="N1794" s="187" t="inlineStr">
        <is>
          <t>https://check.torproject.org/torbulkexitlist</t>
        </is>
      </c>
      <c r="O1794" s="187" t="inlineStr">
        <is>
          <t>Monitor traffic from Tor exit 144.172.73.6 | Apply policy controls</t>
        </is>
      </c>
      <c r="P1794" s="187" t="inlineStr">
        <is>
          <t>Network perimeter</t>
        </is>
      </c>
      <c r="Q1794" s="187" t="inlineStr">
        <is>
          <t>P4</t>
        </is>
      </c>
      <c r="R1794" s="187" t="inlineStr">
        <is>
          <t>🔍 Investigate and apply appropriate controls</t>
        </is>
      </c>
      <c r="S1794" s="187" t="inlineStr">
        <is>
          <t>Tor exit node - known anonymization service</t>
        </is>
      </c>
      <c r="T1794" s="187" t="n">
        <v>0</v>
      </c>
      <c r="U1794" s="187" t="n">
        <v>0</v>
      </c>
      <c r="V1794" s="187" t="inlineStr">
        <is>
          <t>T1090.003:Multi-hop Proxy</t>
        </is>
      </c>
      <c r="W1794" s="187" t="n">
        <v>1</v>
      </c>
      <c r="X1794" s="187" t="inlineStr">
        <is>
          <t>LOW (40%)</t>
        </is>
      </c>
      <c r="Y1794" s="187" t="inlineStr">
        <is>
          <t>NONE</t>
        </is>
      </c>
      <c r="Z1794" s="187" t="inlineStr">
        <is>
          <t>NONE</t>
        </is>
      </c>
      <c r="AA1794" s="187" t="inlineStr">
        <is>
          <t>NONE</t>
        </is>
      </c>
      <c r="AB1794" s="187" t="inlineStr">
        <is>
          <t>NONE</t>
        </is>
      </c>
      <c r="AC1794" s="187" t="n">
        <v>0</v>
      </c>
      <c r="AD1794" s="187" t="inlineStr"/>
    </row>
    <row r="1795">
      <c r="A1795" s="187" t="inlineStr">
        <is>
          <t>BLOCKLIST_DE</t>
        </is>
      </c>
      <c r="B1795" s="187" t="inlineStr">
        <is>
          <t>0b0d18fbf54e</t>
        </is>
      </c>
      <c r="C1795" s="187" t="inlineStr">
        <is>
          <t>Blocklist.de: 1.14.12.141 | Attack activity reported | Sources: BLOCKLIST_DE</t>
        </is>
      </c>
      <c r="D1795" s="187" t="n">
        <v>6</v>
      </c>
      <c r="E1795" s="187" t="inlineStr">
        <is>
          <t>MEDIUM</t>
        </is>
      </c>
      <c r="F1795" s="187" t="n">
        <v>2</v>
      </c>
      <c r="G1795" s="187" t="n">
        <v>2</v>
      </c>
      <c r="H1795" s="187" t="inlineStr">
        <is>
          <t>MEDIUM</t>
        </is>
      </c>
      <c r="I1795" s="187" t="n">
        <v>10</v>
      </c>
      <c r="J1795" s="187" t="inlineStr">
        <is>
          <t>NO</t>
        </is>
      </c>
      <c r="K1795" s="187" t="inlineStr">
        <is>
          <t>https://www.blocklist.de/</t>
        </is>
      </c>
      <c r="L1795" s="187" t="inlineStr">
        <is>
          <t>2026-02-26 00:15</t>
        </is>
      </c>
      <c r="M1795" s="187" t="inlineStr">
        <is>
          <t>Block IP</t>
        </is>
      </c>
      <c r="N1795" s="187" t="inlineStr">
        <is>
          <t>https://www.blocklist.de/</t>
        </is>
      </c>
      <c r="O1795" s="187" t="inlineStr">
        <is>
          <t>Block IP 1.14.12.141 at firewall | Check SIEM for existing connections</t>
        </is>
      </c>
      <c r="P1795" s="187" t="inlineStr">
        <is>
          <t>Firewall/Network</t>
        </is>
      </c>
      <c r="Q1795" s="187" t="inlineStr">
        <is>
          <t>P4</t>
        </is>
      </c>
      <c r="R1795" s="187" t="inlineStr">
        <is>
          <t>🚫 Block IP at firewall immediately | 🔍 Check logs for existing connections | 🛡️ Add to threat intelligence blocklist</t>
        </is>
      </c>
      <c r="S1795" s="187" t="inlineStr">
        <is>
          <t>Blocklist IP — ip-api.com context available</t>
        </is>
      </c>
      <c r="T1795" s="187" t="n">
        <v>0</v>
      </c>
      <c r="U1795" s="187" t="n">
        <v>0</v>
      </c>
      <c r="V1795" s="187" t="inlineStr">
        <is>
          <t>T1110:Brute Force | T1190:Exploit Public-Facing Application</t>
        </is>
      </c>
      <c r="W1795" s="187" t="n">
        <v>1</v>
      </c>
      <c r="X1795" s="187" t="inlineStr">
        <is>
          <t>LOW (40%)</t>
        </is>
      </c>
      <c r="Y1795" s="187" t="inlineStr">
        <is>
          <t>NONE</t>
        </is>
      </c>
      <c r="Z1795" s="187" t="inlineStr">
        <is>
          <t>NONE</t>
        </is>
      </c>
      <c r="AA1795" s="187" t="inlineStr">
        <is>
          <t>NONE</t>
        </is>
      </c>
      <c r="AB1795" s="187" t="inlineStr">
        <is>
          <t>NONE</t>
        </is>
      </c>
      <c r="AC1795" s="187" t="n">
        <v>0</v>
      </c>
      <c r="AD1795" s="187" t="inlineStr"/>
    </row>
    <row r="1796">
      <c r="A1796" s="187" t="inlineStr">
        <is>
          <t>BLOCKLIST_DE</t>
        </is>
      </c>
      <c r="B1796" s="187" t="inlineStr">
        <is>
          <t>1c994f7ff000</t>
        </is>
      </c>
      <c r="C1796" s="187" t="inlineStr">
        <is>
          <t>Blocklist.de: 1.14.254.146 | Attack activity reported | Sources: BLOCKLIST_DE</t>
        </is>
      </c>
      <c r="D1796" s="187" t="n">
        <v>6</v>
      </c>
      <c r="E1796" s="187" t="inlineStr">
        <is>
          <t>MEDIUM</t>
        </is>
      </c>
      <c r="F1796" s="187" t="n">
        <v>2</v>
      </c>
      <c r="G1796" s="187" t="n">
        <v>2</v>
      </c>
      <c r="H1796" s="187" t="inlineStr">
        <is>
          <t>MEDIUM</t>
        </is>
      </c>
      <c r="I1796" s="187" t="n">
        <v>10</v>
      </c>
      <c r="J1796" s="187" t="inlineStr">
        <is>
          <t>NO</t>
        </is>
      </c>
      <c r="K1796" s="187" t="inlineStr">
        <is>
          <t>https://www.blocklist.de/</t>
        </is>
      </c>
      <c r="L1796" s="187" t="inlineStr">
        <is>
          <t>2026-02-26 00:15</t>
        </is>
      </c>
      <c r="M1796" s="187" t="inlineStr">
        <is>
          <t>Block IP</t>
        </is>
      </c>
      <c r="N1796" s="187" t="inlineStr">
        <is>
          <t>https://www.blocklist.de/</t>
        </is>
      </c>
      <c r="O1796" s="187" t="inlineStr">
        <is>
          <t>Block IP 1.14.254.146 at firewall | Check SIEM for existing connections</t>
        </is>
      </c>
      <c r="P1796" s="187" t="inlineStr">
        <is>
          <t>Firewall/Network</t>
        </is>
      </c>
      <c r="Q1796" s="187" t="inlineStr">
        <is>
          <t>P4</t>
        </is>
      </c>
      <c r="R1796" s="187" t="inlineStr">
        <is>
          <t>🚫 Block IP at firewall immediately | 🔍 Check logs for existing connections | 🛡️ Add to threat intelligence blocklist</t>
        </is>
      </c>
      <c r="S1796" s="187" t="inlineStr">
        <is>
          <t>Blocklist IP — ip-api.com context available</t>
        </is>
      </c>
      <c r="T1796" s="187" t="n">
        <v>0</v>
      </c>
      <c r="U1796" s="187" t="n">
        <v>0</v>
      </c>
      <c r="V1796" s="187" t="inlineStr">
        <is>
          <t>T1110:Brute Force | T1190:Exploit Public-Facing Application</t>
        </is>
      </c>
      <c r="W1796" s="187" t="n">
        <v>1</v>
      </c>
      <c r="X1796" s="187" t="inlineStr">
        <is>
          <t>LOW (40%)</t>
        </is>
      </c>
      <c r="Y1796" s="187" t="inlineStr">
        <is>
          <t>NONE</t>
        </is>
      </c>
      <c r="Z1796" s="187" t="inlineStr">
        <is>
          <t>NONE</t>
        </is>
      </c>
      <c r="AA1796" s="187" t="inlineStr">
        <is>
          <t>NONE</t>
        </is>
      </c>
      <c r="AB1796" s="187" t="inlineStr">
        <is>
          <t>NONE</t>
        </is>
      </c>
      <c r="AC1796" s="187" t="n">
        <v>0</v>
      </c>
      <c r="AD1796" s="187" t="inlineStr"/>
    </row>
    <row r="1797">
      <c r="A1797" s="187" t="inlineStr">
        <is>
          <t>BLOCKLIST_DE</t>
        </is>
      </c>
      <c r="B1797" s="187" t="inlineStr">
        <is>
          <t>017abc159f47</t>
        </is>
      </c>
      <c r="C1797" s="187" t="inlineStr">
        <is>
          <t>Blocklist.de: 1.15.116.189 | Attack activity reported | Sources: TALOS, BLOCKLIST_DE</t>
        </is>
      </c>
      <c r="D1797" s="187" t="n">
        <v>6</v>
      </c>
      <c r="E1797" s="187" t="inlineStr">
        <is>
          <t>MEDIUM</t>
        </is>
      </c>
      <c r="F1797" s="187" t="n">
        <v>2</v>
      </c>
      <c r="G1797" s="187" t="n">
        <v>2</v>
      </c>
      <c r="H1797" s="187" t="inlineStr">
        <is>
          <t>MEDIUM</t>
        </is>
      </c>
      <c r="I1797" s="187" t="n">
        <v>10</v>
      </c>
      <c r="J1797" s="187" t="inlineStr">
        <is>
          <t>NO</t>
        </is>
      </c>
      <c r="K1797" s="187" t="inlineStr">
        <is>
          <t>https://www.blocklist.de/</t>
        </is>
      </c>
      <c r="L1797" s="187" t="inlineStr">
        <is>
          <t>2026-02-26 00:15</t>
        </is>
      </c>
      <c r="M1797" s="187" t="inlineStr">
        <is>
          <t>Block IP</t>
        </is>
      </c>
      <c r="N1797" s="187" t="inlineStr">
        <is>
          <t>https://www.blocklist.de/</t>
        </is>
      </c>
      <c r="O1797" s="187" t="inlineStr">
        <is>
          <t>Block IP 1.15.116.189 at firewall | Check SIEM for existing connections</t>
        </is>
      </c>
      <c r="P1797" s="187" t="inlineStr">
        <is>
          <t>Firewall/Network</t>
        </is>
      </c>
      <c r="Q1797" s="187" t="inlineStr">
        <is>
          <t>P3</t>
        </is>
      </c>
      <c r="R1797" s="187" t="inlineStr">
        <is>
          <t>🚫 Block IP at firewall immediately | 🔍 Check logs for existing connections | 🛡️ Add to threat intelligence blocklist</t>
        </is>
      </c>
      <c r="S1797" s="187" t="inlineStr">
        <is>
          <t>Blocklist IP — ip-api.com context available</t>
        </is>
      </c>
      <c r="T1797" s="187" t="n">
        <v>0</v>
      </c>
      <c r="U1797" s="187" t="n">
        <v>0</v>
      </c>
      <c r="V1797" s="187" t="inlineStr">
        <is>
          <t>T1110:Brute Force | T1190:Exploit Public-Facing Application</t>
        </is>
      </c>
      <c r="W1797" s="187" t="n">
        <v>2</v>
      </c>
      <c r="X1797" s="187" t="inlineStr">
        <is>
          <t>HIGH (72%)</t>
        </is>
      </c>
      <c r="Y1797" s="187" t="inlineStr">
        <is>
          <t>NONE</t>
        </is>
      </c>
      <c r="Z1797" s="187" t="inlineStr">
        <is>
          <t>NONE</t>
        </is>
      </c>
      <c r="AA1797" s="187" t="inlineStr">
        <is>
          <t>NONE</t>
        </is>
      </c>
      <c r="AB1797" s="187" t="inlineStr">
        <is>
          <t>NONE</t>
        </is>
      </c>
      <c r="AC1797" s="187" t="n">
        <v>0</v>
      </c>
      <c r="AD1797" s="187" t="inlineStr"/>
    </row>
    <row r="1798">
      <c r="A1798" s="187" t="inlineStr">
        <is>
          <t>BLOCKLIST_DE</t>
        </is>
      </c>
      <c r="B1798" s="187" t="inlineStr">
        <is>
          <t>b2c07aa1d291</t>
        </is>
      </c>
      <c r="C1798" s="187" t="inlineStr">
        <is>
          <t>Blocklist.de: 1.15.136.28 | Attack activity reported | Sources: BLOCKLIST_DE</t>
        </is>
      </c>
      <c r="D1798" s="187" t="n">
        <v>6</v>
      </c>
      <c r="E1798" s="187" t="inlineStr">
        <is>
          <t>MEDIUM</t>
        </is>
      </c>
      <c r="F1798" s="187" t="n">
        <v>2</v>
      </c>
      <c r="G1798" s="187" t="n">
        <v>2</v>
      </c>
      <c r="H1798" s="187" t="inlineStr">
        <is>
          <t>MEDIUM</t>
        </is>
      </c>
      <c r="I1798" s="187" t="n">
        <v>10</v>
      </c>
      <c r="J1798" s="187" t="inlineStr">
        <is>
          <t>NO</t>
        </is>
      </c>
      <c r="K1798" s="187" t="inlineStr">
        <is>
          <t>https://www.blocklist.de/</t>
        </is>
      </c>
      <c r="L1798" s="187" t="inlineStr">
        <is>
          <t>2026-02-26 00:15</t>
        </is>
      </c>
      <c r="M1798" s="187" t="inlineStr">
        <is>
          <t>Block IP</t>
        </is>
      </c>
      <c r="N1798" s="187" t="inlineStr">
        <is>
          <t>https://www.blocklist.de/</t>
        </is>
      </c>
      <c r="O1798" s="187" t="inlineStr">
        <is>
          <t>Block IP 1.15.136.28 at firewall | Check SIEM for existing connections</t>
        </is>
      </c>
      <c r="P1798" s="187" t="inlineStr">
        <is>
          <t>Firewall/Network</t>
        </is>
      </c>
      <c r="Q1798" s="187" t="inlineStr">
        <is>
          <t>P4</t>
        </is>
      </c>
      <c r="R1798" s="187" t="inlineStr">
        <is>
          <t>🚫 Block IP at firewall immediately | 🔍 Check logs for existing connections | 🛡️ Add to threat intelligence blocklist</t>
        </is>
      </c>
      <c r="S1798" s="187" t="inlineStr">
        <is>
          <t>Blocklist IP — ip-api.com context available</t>
        </is>
      </c>
      <c r="T1798" s="187" t="n">
        <v>0</v>
      </c>
      <c r="U1798" s="187" t="n">
        <v>0</v>
      </c>
      <c r="V1798" s="187" t="inlineStr">
        <is>
          <t>T1110:Brute Force | T1190:Exploit Public-Facing Application</t>
        </is>
      </c>
      <c r="W1798" s="187" t="n">
        <v>1</v>
      </c>
      <c r="X1798" s="187" t="inlineStr">
        <is>
          <t>LOW (40%)</t>
        </is>
      </c>
      <c r="Y1798" s="187" t="inlineStr">
        <is>
          <t>NONE</t>
        </is>
      </c>
      <c r="Z1798" s="187" t="inlineStr">
        <is>
          <t>NONE</t>
        </is>
      </c>
      <c r="AA1798" s="187" t="inlineStr">
        <is>
          <t>NONE</t>
        </is>
      </c>
      <c r="AB1798" s="187" t="inlineStr">
        <is>
          <t>NONE</t>
        </is>
      </c>
      <c r="AC1798" s="187" t="n">
        <v>0</v>
      </c>
      <c r="AD1798" s="187" t="inlineStr"/>
    </row>
    <row r="1799">
      <c r="A1799" s="187" t="inlineStr">
        <is>
          <t>BLOCKLIST_DE</t>
        </is>
      </c>
      <c r="B1799" s="187" t="inlineStr">
        <is>
          <t>310a1440e95a</t>
        </is>
      </c>
      <c r="C1799" s="187" t="inlineStr">
        <is>
          <t>Blocklist.de: 1.15.77.170 | Attack activity reported | Sources: BLOCKLIST_DE</t>
        </is>
      </c>
      <c r="D1799" s="187" t="n">
        <v>6</v>
      </c>
      <c r="E1799" s="187" t="inlineStr">
        <is>
          <t>MEDIUM</t>
        </is>
      </c>
      <c r="F1799" s="187" t="n">
        <v>2</v>
      </c>
      <c r="G1799" s="187" t="n">
        <v>2</v>
      </c>
      <c r="H1799" s="187" t="inlineStr">
        <is>
          <t>MEDIUM</t>
        </is>
      </c>
      <c r="I1799" s="187" t="n">
        <v>10</v>
      </c>
      <c r="J1799" s="187" t="inlineStr">
        <is>
          <t>NO</t>
        </is>
      </c>
      <c r="K1799" s="187" t="inlineStr">
        <is>
          <t>https://www.blocklist.de/</t>
        </is>
      </c>
      <c r="L1799" s="187" t="inlineStr">
        <is>
          <t>2026-02-26 00:15</t>
        </is>
      </c>
      <c r="M1799" s="187" t="inlineStr">
        <is>
          <t>Block IP</t>
        </is>
      </c>
      <c r="N1799" s="187" t="inlineStr">
        <is>
          <t>https://www.blocklist.de/</t>
        </is>
      </c>
      <c r="O1799" s="187" t="inlineStr">
        <is>
          <t>Block IP 1.15.77.170 at firewall | Check SIEM for existing connections</t>
        </is>
      </c>
      <c r="P1799" s="187" t="inlineStr">
        <is>
          <t>Firewall/Network</t>
        </is>
      </c>
      <c r="Q1799" s="187" t="inlineStr">
        <is>
          <t>P4</t>
        </is>
      </c>
      <c r="R1799" s="187" t="inlineStr">
        <is>
          <t>🚫 Block IP at firewall immediately | 🔍 Check logs for existing connections | 🛡️ Add to threat intelligence blocklist</t>
        </is>
      </c>
      <c r="S1799" s="187" t="inlineStr">
        <is>
          <t>Blocklist IP — ip-api.com context available</t>
        </is>
      </c>
      <c r="T1799" s="187" t="n">
        <v>0</v>
      </c>
      <c r="U1799" s="187" t="n">
        <v>0</v>
      </c>
      <c r="V1799" s="187" t="inlineStr">
        <is>
          <t>T1110:Brute Force | T1190:Exploit Public-Facing Application</t>
        </is>
      </c>
      <c r="W1799" s="187" t="n">
        <v>1</v>
      </c>
      <c r="X1799" s="187" t="inlineStr">
        <is>
          <t>LOW (40%)</t>
        </is>
      </c>
      <c r="Y1799" s="187" t="inlineStr">
        <is>
          <t>NONE</t>
        </is>
      </c>
      <c r="Z1799" s="187" t="inlineStr">
        <is>
          <t>NONE</t>
        </is>
      </c>
      <c r="AA1799" s="187" t="inlineStr">
        <is>
          <t>NONE</t>
        </is>
      </c>
      <c r="AB1799" s="187" t="inlineStr">
        <is>
          <t>NONE</t>
        </is>
      </c>
      <c r="AC1799" s="187" t="n">
        <v>0</v>
      </c>
      <c r="AD1799" s="187" t="inlineStr"/>
    </row>
    <row r="1800">
      <c r="A1800" s="187" t="inlineStr">
        <is>
          <t>BLOCKLIST_DE</t>
        </is>
      </c>
      <c r="B1800" s="187" t="inlineStr">
        <is>
          <t>3ef74e21375a</t>
        </is>
      </c>
      <c r="C1800" s="187" t="inlineStr">
        <is>
          <t>Blocklist.de: 1.168.156.32 | Attack activity reported | Sources: BLOCKLIST_DE</t>
        </is>
      </c>
      <c r="D1800" s="187" t="n">
        <v>6</v>
      </c>
      <c r="E1800" s="187" t="inlineStr">
        <is>
          <t>MEDIUM</t>
        </is>
      </c>
      <c r="F1800" s="187" t="n">
        <v>2</v>
      </c>
      <c r="G1800" s="187" t="n">
        <v>2</v>
      </c>
      <c r="H1800" s="187" t="inlineStr">
        <is>
          <t>MEDIUM</t>
        </is>
      </c>
      <c r="I1800" s="187" t="n">
        <v>10</v>
      </c>
      <c r="J1800" s="187" t="inlineStr">
        <is>
          <t>NO</t>
        </is>
      </c>
      <c r="K1800" s="187" t="inlineStr">
        <is>
          <t>https://www.blocklist.de/</t>
        </is>
      </c>
      <c r="L1800" s="187" t="inlineStr">
        <is>
          <t>2026-02-26 00:15</t>
        </is>
      </c>
      <c r="M1800" s="187" t="inlineStr">
        <is>
          <t>Block IP</t>
        </is>
      </c>
      <c r="N1800" s="187" t="inlineStr">
        <is>
          <t>https://www.blocklist.de/</t>
        </is>
      </c>
      <c r="O1800" s="187" t="inlineStr">
        <is>
          <t>Block IP 1.168.156.32 at firewall | Check SIEM for existing connections</t>
        </is>
      </c>
      <c r="P1800" s="187" t="inlineStr">
        <is>
          <t>Firewall/Network</t>
        </is>
      </c>
      <c r="Q1800" s="187" t="inlineStr">
        <is>
          <t>P4</t>
        </is>
      </c>
      <c r="R1800" s="187" t="inlineStr">
        <is>
          <t>🚫 Block IP at firewall immediately | 🔍 Check logs for existing connections | 🛡️ Add to threat intelligence blocklist</t>
        </is>
      </c>
      <c r="S1800" s="187" t="inlineStr">
        <is>
          <t>Blocklist IP — ip-api.com context available</t>
        </is>
      </c>
      <c r="T1800" s="187" t="n">
        <v>0</v>
      </c>
      <c r="U1800" s="187" t="n">
        <v>0</v>
      </c>
      <c r="V1800" s="187" t="inlineStr">
        <is>
          <t>T1110:Brute Force | T1190:Exploit Public-Facing Application</t>
        </is>
      </c>
      <c r="W1800" s="187" t="n">
        <v>1</v>
      </c>
      <c r="X1800" s="187" t="inlineStr">
        <is>
          <t>LOW (40%)</t>
        </is>
      </c>
      <c r="Y1800" s="187" t="inlineStr">
        <is>
          <t>NONE</t>
        </is>
      </c>
      <c r="Z1800" s="187" t="inlineStr">
        <is>
          <t>NONE</t>
        </is>
      </c>
      <c r="AA1800" s="187" t="inlineStr">
        <is>
          <t>NONE</t>
        </is>
      </c>
      <c r="AB1800" s="187" t="inlineStr">
        <is>
          <t>NONE</t>
        </is>
      </c>
      <c r="AC1800" s="187" t="n">
        <v>0</v>
      </c>
      <c r="AD1800" s="187" t="inlineStr"/>
    </row>
    <row r="1801">
      <c r="A1801" s="187" t="inlineStr">
        <is>
          <t>BLOCKLIST_DE</t>
        </is>
      </c>
      <c r="B1801" s="187" t="inlineStr">
        <is>
          <t>e0d3994d4cc5</t>
        </is>
      </c>
      <c r="C1801" s="187" t="inlineStr">
        <is>
          <t>Blocklist.de: 1.180.62.41 | Attack activity reported | Sources: BLOCKLIST_DE</t>
        </is>
      </c>
      <c r="D1801" s="187" t="n">
        <v>6</v>
      </c>
      <c r="E1801" s="187" t="inlineStr">
        <is>
          <t>MEDIUM</t>
        </is>
      </c>
      <c r="F1801" s="187" t="n">
        <v>2</v>
      </c>
      <c r="G1801" s="187" t="n">
        <v>2</v>
      </c>
      <c r="H1801" s="187" t="inlineStr">
        <is>
          <t>MEDIUM</t>
        </is>
      </c>
      <c r="I1801" s="187" t="n">
        <v>10</v>
      </c>
      <c r="J1801" s="187" t="inlineStr">
        <is>
          <t>NO</t>
        </is>
      </c>
      <c r="K1801" s="187" t="inlineStr">
        <is>
          <t>https://www.blocklist.de/</t>
        </is>
      </c>
      <c r="L1801" s="187" t="inlineStr">
        <is>
          <t>2026-02-26 00:15</t>
        </is>
      </c>
      <c r="M1801" s="187" t="inlineStr">
        <is>
          <t>Block IP</t>
        </is>
      </c>
      <c r="N1801" s="187" t="inlineStr">
        <is>
          <t>https://www.blocklist.de/</t>
        </is>
      </c>
      <c r="O1801" s="187" t="inlineStr">
        <is>
          <t>Block IP 1.180.62.41 at firewall | Check SIEM for existing connections</t>
        </is>
      </c>
      <c r="P1801" s="187" t="inlineStr">
        <is>
          <t>Firewall/Network</t>
        </is>
      </c>
      <c r="Q1801" s="187" t="inlineStr">
        <is>
          <t>P4</t>
        </is>
      </c>
      <c r="R1801" s="187" t="inlineStr">
        <is>
          <t>🚫 Block IP at firewall immediately | 🔍 Check logs for existing connections | 🛡️ Add to threat intelligence blocklist</t>
        </is>
      </c>
      <c r="S1801" s="187" t="inlineStr">
        <is>
          <t>Blocklist IP — ip-api.com context available</t>
        </is>
      </c>
      <c r="T1801" s="187" t="n">
        <v>0</v>
      </c>
      <c r="U1801" s="187" t="n">
        <v>0</v>
      </c>
      <c r="V1801" s="187" t="inlineStr">
        <is>
          <t>T1110:Brute Force | T1190:Exploit Public-Facing Application</t>
        </is>
      </c>
      <c r="W1801" s="187" t="n">
        <v>1</v>
      </c>
      <c r="X1801" s="187" t="inlineStr">
        <is>
          <t>LOW (40%)</t>
        </is>
      </c>
      <c r="Y1801" s="187" t="inlineStr">
        <is>
          <t>NONE</t>
        </is>
      </c>
      <c r="Z1801" s="187" t="inlineStr">
        <is>
          <t>NONE</t>
        </is>
      </c>
      <c r="AA1801" s="187" t="inlineStr">
        <is>
          <t>NONE</t>
        </is>
      </c>
      <c r="AB1801" s="187" t="inlineStr">
        <is>
          <t>NONE</t>
        </is>
      </c>
      <c r="AC1801" s="187" t="n">
        <v>0</v>
      </c>
      <c r="AD1801" s="187" t="inlineStr"/>
    </row>
    <row r="1802">
      <c r="A1802" s="187" t="inlineStr">
        <is>
          <t>BLOCKLIST_DE</t>
        </is>
      </c>
      <c r="B1802" s="187" t="inlineStr">
        <is>
          <t>9fdfa884d26a</t>
        </is>
      </c>
      <c r="C1802" s="187" t="inlineStr">
        <is>
          <t>Blocklist.de: 1.193.163.2 | Attack activity reported | Sources: BLOCKLIST_DE</t>
        </is>
      </c>
      <c r="D1802" s="187" t="n">
        <v>6</v>
      </c>
      <c r="E1802" s="187" t="inlineStr">
        <is>
          <t>MEDIUM</t>
        </is>
      </c>
      <c r="F1802" s="187" t="n">
        <v>2</v>
      </c>
      <c r="G1802" s="187" t="n">
        <v>2</v>
      </c>
      <c r="H1802" s="187" t="inlineStr">
        <is>
          <t>MEDIUM</t>
        </is>
      </c>
      <c r="I1802" s="187" t="n">
        <v>10</v>
      </c>
      <c r="J1802" s="187" t="inlineStr">
        <is>
          <t>NO</t>
        </is>
      </c>
      <c r="K1802" s="187" t="inlineStr">
        <is>
          <t>https://www.blocklist.de/</t>
        </is>
      </c>
      <c r="L1802" s="187" t="inlineStr">
        <is>
          <t>2026-02-26 00:15</t>
        </is>
      </c>
      <c r="M1802" s="187" t="inlineStr">
        <is>
          <t>Block IP</t>
        </is>
      </c>
      <c r="N1802" s="187" t="inlineStr">
        <is>
          <t>https://www.blocklist.de/</t>
        </is>
      </c>
      <c r="O1802" s="187" t="inlineStr">
        <is>
          <t>Block IP 1.193.163.2 at firewall | Check SIEM for existing connections</t>
        </is>
      </c>
      <c r="P1802" s="187" t="inlineStr">
        <is>
          <t>Firewall/Network</t>
        </is>
      </c>
      <c r="Q1802" s="187" t="inlineStr">
        <is>
          <t>P4</t>
        </is>
      </c>
      <c r="R1802" s="187" t="inlineStr">
        <is>
          <t>🚫 Block IP at firewall immediately | 🔍 Check logs for existing connections | 🛡️ Add to threat intelligence blocklist</t>
        </is>
      </c>
      <c r="S1802" s="187" t="inlineStr">
        <is>
          <t>Blocklist IP — ip-api.com context available</t>
        </is>
      </c>
      <c r="T1802" s="187" t="n">
        <v>0</v>
      </c>
      <c r="U1802" s="187" t="n">
        <v>0</v>
      </c>
      <c r="V1802" s="187" t="inlineStr">
        <is>
          <t>T1110:Brute Force | T1190:Exploit Public-Facing Application</t>
        </is>
      </c>
      <c r="W1802" s="187" t="n">
        <v>1</v>
      </c>
      <c r="X1802" s="187" t="inlineStr">
        <is>
          <t>LOW (40%)</t>
        </is>
      </c>
      <c r="Y1802" s="187" t="inlineStr">
        <is>
          <t>NONE</t>
        </is>
      </c>
      <c r="Z1802" s="187" t="inlineStr">
        <is>
          <t>NONE</t>
        </is>
      </c>
      <c r="AA1802" s="187" t="inlineStr">
        <is>
          <t>NONE</t>
        </is>
      </c>
      <c r="AB1802" s="187" t="inlineStr">
        <is>
          <t>NONE</t>
        </is>
      </c>
      <c r="AC1802" s="187" t="n">
        <v>0</v>
      </c>
      <c r="AD1802" s="187" t="inlineStr"/>
    </row>
    <row r="1803">
      <c r="A1803" s="187" t="inlineStr">
        <is>
          <t>BLOCKLIST_DE</t>
        </is>
      </c>
      <c r="B1803" s="187" t="inlineStr">
        <is>
          <t>13ca9928126d</t>
        </is>
      </c>
      <c r="C1803" s="187" t="inlineStr">
        <is>
          <t>Blocklist.de: 1.194.219.159 | Attack activity reported | Sources: BLOCKLIST_DE</t>
        </is>
      </c>
      <c r="D1803" s="187" t="n">
        <v>6</v>
      </c>
      <c r="E1803" s="187" t="inlineStr">
        <is>
          <t>MEDIUM</t>
        </is>
      </c>
      <c r="F1803" s="187" t="n">
        <v>2</v>
      </c>
      <c r="G1803" s="187" t="n">
        <v>2</v>
      </c>
      <c r="H1803" s="187" t="inlineStr">
        <is>
          <t>MEDIUM</t>
        </is>
      </c>
      <c r="I1803" s="187" t="n">
        <v>10</v>
      </c>
      <c r="J1803" s="187" t="inlineStr">
        <is>
          <t>NO</t>
        </is>
      </c>
      <c r="K1803" s="187" t="inlineStr">
        <is>
          <t>https://www.blocklist.de/</t>
        </is>
      </c>
      <c r="L1803" s="187" t="inlineStr">
        <is>
          <t>2026-02-26 00:15</t>
        </is>
      </c>
      <c r="M1803" s="187" t="inlineStr">
        <is>
          <t>Block IP</t>
        </is>
      </c>
      <c r="N1803" s="187" t="inlineStr">
        <is>
          <t>https://www.blocklist.de/</t>
        </is>
      </c>
      <c r="O1803" s="187" t="inlineStr">
        <is>
          <t>Block IP 1.194.219.159 at firewall | Check SIEM for existing connections</t>
        </is>
      </c>
      <c r="P1803" s="187" t="inlineStr">
        <is>
          <t>Firewall/Network</t>
        </is>
      </c>
      <c r="Q1803" s="187" t="inlineStr">
        <is>
          <t>P4</t>
        </is>
      </c>
      <c r="R1803" s="187" t="inlineStr">
        <is>
          <t>🚫 Block IP at firewall immediately | 🔍 Check logs for existing connections | 🛡️ Add to threat intelligence blocklist</t>
        </is>
      </c>
      <c r="S1803" s="187" t="inlineStr">
        <is>
          <t>Blocklist IP — ip-api.com context available</t>
        </is>
      </c>
      <c r="T1803" s="187" t="n">
        <v>0</v>
      </c>
      <c r="U1803" s="187" t="n">
        <v>0</v>
      </c>
      <c r="V1803" s="187" t="inlineStr">
        <is>
          <t>T1110:Brute Force | T1190:Exploit Public-Facing Application</t>
        </is>
      </c>
      <c r="W1803" s="187" t="n">
        <v>1</v>
      </c>
      <c r="X1803" s="187" t="inlineStr">
        <is>
          <t>LOW (40%)</t>
        </is>
      </c>
      <c r="Y1803" s="187" t="inlineStr">
        <is>
          <t>NONE</t>
        </is>
      </c>
      <c r="Z1803" s="187" t="inlineStr">
        <is>
          <t>NONE</t>
        </is>
      </c>
      <c r="AA1803" s="187" t="inlineStr">
        <is>
          <t>NONE</t>
        </is>
      </c>
      <c r="AB1803" s="187" t="inlineStr">
        <is>
          <t>NONE</t>
        </is>
      </c>
      <c r="AC1803" s="187" t="n">
        <v>0</v>
      </c>
      <c r="AD1803" s="187" t="inlineStr"/>
    </row>
    <row r="1804">
      <c r="A1804" s="187" t="inlineStr">
        <is>
          <t>BLOCKLIST_DE</t>
        </is>
      </c>
      <c r="B1804" s="187" t="inlineStr">
        <is>
          <t>a166dd92f267</t>
        </is>
      </c>
      <c r="C1804" s="187" t="inlineStr">
        <is>
          <t>Blocklist.de: 1.204.58.120 | Attack activity reported | Sources: BLOCKLIST_DE</t>
        </is>
      </c>
      <c r="D1804" s="187" t="n">
        <v>6</v>
      </c>
      <c r="E1804" s="187" t="inlineStr">
        <is>
          <t>MEDIUM</t>
        </is>
      </c>
      <c r="F1804" s="187" t="n">
        <v>2</v>
      </c>
      <c r="G1804" s="187" t="n">
        <v>2</v>
      </c>
      <c r="H1804" s="187" t="inlineStr">
        <is>
          <t>MEDIUM</t>
        </is>
      </c>
      <c r="I1804" s="187" t="n">
        <v>10</v>
      </c>
      <c r="J1804" s="187" t="inlineStr">
        <is>
          <t>NO</t>
        </is>
      </c>
      <c r="K1804" s="187" t="inlineStr">
        <is>
          <t>https://www.blocklist.de/</t>
        </is>
      </c>
      <c r="L1804" s="187" t="inlineStr">
        <is>
          <t>2026-02-26 00:15</t>
        </is>
      </c>
      <c r="M1804" s="187" t="inlineStr">
        <is>
          <t>Block IP</t>
        </is>
      </c>
      <c r="N1804" s="187" t="inlineStr">
        <is>
          <t>https://www.blocklist.de/</t>
        </is>
      </c>
      <c r="O1804" s="187" t="inlineStr">
        <is>
          <t>Block IP 1.204.58.120 at firewall | Check SIEM for existing connections</t>
        </is>
      </c>
      <c r="P1804" s="187" t="inlineStr">
        <is>
          <t>Firewall/Network</t>
        </is>
      </c>
      <c r="Q1804" s="187" t="inlineStr">
        <is>
          <t>P4</t>
        </is>
      </c>
      <c r="R1804" s="187" t="inlineStr">
        <is>
          <t>🚫 Block IP at firewall immediately | 🔍 Check logs for existing connections | 🛡️ Add to threat intelligence blocklist</t>
        </is>
      </c>
      <c r="S1804" s="187" t="inlineStr">
        <is>
          <t>Blocklist IP — ip-api.com context available</t>
        </is>
      </c>
      <c r="T1804" s="187" t="n">
        <v>0</v>
      </c>
      <c r="U1804" s="187" t="n">
        <v>0</v>
      </c>
      <c r="V1804" s="187" t="inlineStr">
        <is>
          <t>T1110:Brute Force | T1190:Exploit Public-Facing Application</t>
        </is>
      </c>
      <c r="W1804" s="187" t="n">
        <v>1</v>
      </c>
      <c r="X1804" s="187" t="inlineStr">
        <is>
          <t>LOW (40%)</t>
        </is>
      </c>
      <c r="Y1804" s="187" t="inlineStr">
        <is>
          <t>NONE</t>
        </is>
      </c>
      <c r="Z1804" s="187" t="inlineStr">
        <is>
          <t>NONE</t>
        </is>
      </c>
      <c r="AA1804" s="187" t="inlineStr">
        <is>
          <t>NONE</t>
        </is>
      </c>
      <c r="AB1804" s="187" t="inlineStr">
        <is>
          <t>NONE</t>
        </is>
      </c>
      <c r="AC1804" s="187" t="n">
        <v>0</v>
      </c>
      <c r="AD1804" s="187" t="inlineStr"/>
    </row>
    <row r="1805">
      <c r="A1805" s="187" t="inlineStr">
        <is>
          <t>BLOCKLIST_DE</t>
        </is>
      </c>
      <c r="B1805" s="187" t="inlineStr">
        <is>
          <t>adaaac596473</t>
        </is>
      </c>
      <c r="C1805" s="187" t="inlineStr">
        <is>
          <t>Blocklist.de: 1.212.225.99 | Attack activity reported | Sources: BLOCKLIST_DE</t>
        </is>
      </c>
      <c r="D1805" s="187" t="n">
        <v>6</v>
      </c>
      <c r="E1805" s="187" t="inlineStr">
        <is>
          <t>MEDIUM</t>
        </is>
      </c>
      <c r="F1805" s="187" t="n">
        <v>2</v>
      </c>
      <c r="G1805" s="187" t="n">
        <v>2</v>
      </c>
      <c r="H1805" s="187" t="inlineStr">
        <is>
          <t>MEDIUM</t>
        </is>
      </c>
      <c r="I1805" s="187" t="n">
        <v>10</v>
      </c>
      <c r="J1805" s="187" t="inlineStr">
        <is>
          <t>NO</t>
        </is>
      </c>
      <c r="K1805" s="187" t="inlineStr">
        <is>
          <t>https://www.blocklist.de/</t>
        </is>
      </c>
      <c r="L1805" s="187" t="inlineStr">
        <is>
          <t>2026-02-26 00:15</t>
        </is>
      </c>
      <c r="M1805" s="187" t="inlineStr">
        <is>
          <t>Block IP</t>
        </is>
      </c>
      <c r="N1805" s="187" t="inlineStr">
        <is>
          <t>https://www.blocklist.de/</t>
        </is>
      </c>
      <c r="O1805" s="187" t="inlineStr">
        <is>
          <t>Block IP 1.212.225.99 at firewall | Check SIEM for existing connections</t>
        </is>
      </c>
      <c r="P1805" s="187" t="inlineStr">
        <is>
          <t>Firewall/Network</t>
        </is>
      </c>
      <c r="Q1805" s="187" t="inlineStr">
        <is>
          <t>P4</t>
        </is>
      </c>
      <c r="R1805" s="187" t="inlineStr">
        <is>
          <t>🚫 Block IP at firewall immediately | 🔍 Check logs for existing connections | 🛡️ Add to threat intelligence blocklist</t>
        </is>
      </c>
      <c r="S1805" s="187" t="inlineStr">
        <is>
          <t>Blocklist IP — ip-api.com context available</t>
        </is>
      </c>
      <c r="T1805" s="187" t="n">
        <v>0</v>
      </c>
      <c r="U1805" s="187" t="n">
        <v>0</v>
      </c>
      <c r="V1805" s="187" t="inlineStr">
        <is>
          <t>T1110:Brute Force | T1190:Exploit Public-Facing Application</t>
        </is>
      </c>
      <c r="W1805" s="187" t="n">
        <v>1</v>
      </c>
      <c r="X1805" s="187" t="inlineStr">
        <is>
          <t>LOW (40%)</t>
        </is>
      </c>
      <c r="Y1805" s="187" t="inlineStr">
        <is>
          <t>NONE</t>
        </is>
      </c>
      <c r="Z1805" s="187" t="inlineStr">
        <is>
          <t>NONE</t>
        </is>
      </c>
      <c r="AA1805" s="187" t="inlineStr">
        <is>
          <t>NONE</t>
        </is>
      </c>
      <c r="AB1805" s="187" t="inlineStr">
        <is>
          <t>NONE</t>
        </is>
      </c>
      <c r="AC1805" s="187" t="n">
        <v>0</v>
      </c>
      <c r="AD1805" s="187" t="inlineStr"/>
    </row>
    <row r="1806">
      <c r="A1806" s="187" t="inlineStr">
        <is>
          <t>BLOCKLIST_DE</t>
        </is>
      </c>
      <c r="B1806" s="187" t="inlineStr">
        <is>
          <t>8662ad84ec1d</t>
        </is>
      </c>
      <c r="C1806" s="187" t="inlineStr">
        <is>
          <t>Blocklist.de: 1.214.117.218 | Attack activity reported | Sources: BLOCKLIST_DE</t>
        </is>
      </c>
      <c r="D1806" s="187" t="n">
        <v>6</v>
      </c>
      <c r="E1806" s="187" t="inlineStr">
        <is>
          <t>MEDIUM</t>
        </is>
      </c>
      <c r="F1806" s="187" t="n">
        <v>2</v>
      </c>
      <c r="G1806" s="187" t="n">
        <v>2</v>
      </c>
      <c r="H1806" s="187" t="inlineStr">
        <is>
          <t>MEDIUM</t>
        </is>
      </c>
      <c r="I1806" s="187" t="n">
        <v>10</v>
      </c>
      <c r="J1806" s="187" t="inlineStr">
        <is>
          <t>NO</t>
        </is>
      </c>
      <c r="K1806" s="187" t="inlineStr">
        <is>
          <t>https://www.blocklist.de/</t>
        </is>
      </c>
      <c r="L1806" s="187" t="inlineStr">
        <is>
          <t>2026-02-26 00:15</t>
        </is>
      </c>
      <c r="M1806" s="187" t="inlineStr">
        <is>
          <t>Block IP</t>
        </is>
      </c>
      <c r="N1806" s="187" t="inlineStr">
        <is>
          <t>https://www.blocklist.de/</t>
        </is>
      </c>
      <c r="O1806" s="187" t="inlineStr">
        <is>
          <t>Block IP 1.214.117.218 at firewall | Check SIEM for existing connections</t>
        </is>
      </c>
      <c r="P1806" s="187" t="inlineStr">
        <is>
          <t>Firewall/Network</t>
        </is>
      </c>
      <c r="Q1806" s="187" t="inlineStr">
        <is>
          <t>P4</t>
        </is>
      </c>
      <c r="R1806" s="187" t="inlineStr">
        <is>
          <t>🚫 Block IP at firewall immediately | 🔍 Check logs for existing connections | 🛡️ Add to threat intelligence blocklist</t>
        </is>
      </c>
      <c r="S1806" s="187" t="inlineStr">
        <is>
          <t>Blocklist IP — ip-api.com context available</t>
        </is>
      </c>
      <c r="T1806" s="187" t="n">
        <v>0</v>
      </c>
      <c r="U1806" s="187" t="n">
        <v>0</v>
      </c>
      <c r="V1806" s="187" t="inlineStr">
        <is>
          <t>T1110:Brute Force | T1190:Exploit Public-Facing Application</t>
        </is>
      </c>
      <c r="W1806" s="187" t="n">
        <v>1</v>
      </c>
      <c r="X1806" s="187" t="inlineStr">
        <is>
          <t>LOW (40%)</t>
        </is>
      </c>
      <c r="Y1806" s="187" t="inlineStr">
        <is>
          <t>NONE</t>
        </is>
      </c>
      <c r="Z1806" s="187" t="inlineStr">
        <is>
          <t>NONE</t>
        </is>
      </c>
      <c r="AA1806" s="187" t="inlineStr">
        <is>
          <t>NONE</t>
        </is>
      </c>
      <c r="AB1806" s="187" t="inlineStr">
        <is>
          <t>NONE</t>
        </is>
      </c>
      <c r="AC1806" s="187" t="n">
        <v>0</v>
      </c>
      <c r="AD1806" s="187" t="inlineStr"/>
    </row>
    <row r="1807">
      <c r="A1807" s="187" t="inlineStr">
        <is>
          <t>BLOCKLIST_DE</t>
        </is>
      </c>
      <c r="B1807" s="187" t="inlineStr">
        <is>
          <t>0d07829f1a7f</t>
        </is>
      </c>
      <c r="C1807" s="187" t="inlineStr">
        <is>
          <t>Blocklist.de: 1.214.197.163 | Attack activity reported | Sources: BLOCKLIST_DE</t>
        </is>
      </c>
      <c r="D1807" s="187" t="n">
        <v>6</v>
      </c>
      <c r="E1807" s="187" t="inlineStr">
        <is>
          <t>MEDIUM</t>
        </is>
      </c>
      <c r="F1807" s="187" t="n">
        <v>2</v>
      </c>
      <c r="G1807" s="187" t="n">
        <v>2</v>
      </c>
      <c r="H1807" s="187" t="inlineStr">
        <is>
          <t>MEDIUM</t>
        </is>
      </c>
      <c r="I1807" s="187" t="n">
        <v>10</v>
      </c>
      <c r="J1807" s="187" t="inlineStr">
        <is>
          <t>NO</t>
        </is>
      </c>
      <c r="K1807" s="187" t="inlineStr">
        <is>
          <t>https://www.blocklist.de/</t>
        </is>
      </c>
      <c r="L1807" s="187" t="inlineStr">
        <is>
          <t>2026-02-26 00:15</t>
        </is>
      </c>
      <c r="M1807" s="187" t="inlineStr">
        <is>
          <t>Block IP</t>
        </is>
      </c>
      <c r="N1807" s="187" t="inlineStr">
        <is>
          <t>https://www.blocklist.de/</t>
        </is>
      </c>
      <c r="O1807" s="187" t="inlineStr">
        <is>
          <t>Block IP 1.214.197.163 at firewall | Check SIEM for existing connections</t>
        </is>
      </c>
      <c r="P1807" s="187" t="inlineStr">
        <is>
          <t>Firewall/Network</t>
        </is>
      </c>
      <c r="Q1807" s="187" t="inlineStr">
        <is>
          <t>P4</t>
        </is>
      </c>
      <c r="R1807" s="187" t="inlineStr">
        <is>
          <t>🚫 Block IP at firewall immediately | 🔍 Check logs for existing connections | 🛡️ Add to threat intelligence blocklist</t>
        </is>
      </c>
      <c r="S1807" s="187" t="inlineStr">
        <is>
          <t>Blocklist IP — ip-api.com context available</t>
        </is>
      </c>
      <c r="T1807" s="187" t="n">
        <v>0</v>
      </c>
      <c r="U1807" s="187" t="n">
        <v>0</v>
      </c>
      <c r="V1807" s="187" t="inlineStr">
        <is>
          <t>T1110:Brute Force | T1190:Exploit Public-Facing Application</t>
        </is>
      </c>
      <c r="W1807" s="187" t="n">
        <v>1</v>
      </c>
      <c r="X1807" s="187" t="inlineStr">
        <is>
          <t>LOW (40%)</t>
        </is>
      </c>
      <c r="Y1807" s="187" t="inlineStr">
        <is>
          <t>NONE</t>
        </is>
      </c>
      <c r="Z1807" s="187" t="inlineStr">
        <is>
          <t>NONE</t>
        </is>
      </c>
      <c r="AA1807" s="187" t="inlineStr">
        <is>
          <t>NONE</t>
        </is>
      </c>
      <c r="AB1807" s="187" t="inlineStr">
        <is>
          <t>NONE</t>
        </is>
      </c>
      <c r="AC1807" s="187" t="n">
        <v>0</v>
      </c>
      <c r="AD1807" s="187" t="inlineStr"/>
    </row>
    <row r="1808">
      <c r="A1808" s="187" t="inlineStr">
        <is>
          <t>BLOCKLIST_DE</t>
        </is>
      </c>
      <c r="B1808" s="187" t="inlineStr">
        <is>
          <t>537208cb5a69</t>
        </is>
      </c>
      <c r="C1808" s="187" t="inlineStr">
        <is>
          <t>Blocklist.de: 1.227.228.131 | Attack activity reported | Sources: BLOCKLIST_DE</t>
        </is>
      </c>
      <c r="D1808" s="187" t="n">
        <v>6</v>
      </c>
      <c r="E1808" s="187" t="inlineStr">
        <is>
          <t>MEDIUM</t>
        </is>
      </c>
      <c r="F1808" s="187" t="n">
        <v>2</v>
      </c>
      <c r="G1808" s="187" t="n">
        <v>2</v>
      </c>
      <c r="H1808" s="187" t="inlineStr">
        <is>
          <t>MEDIUM</t>
        </is>
      </c>
      <c r="I1808" s="187" t="n">
        <v>10</v>
      </c>
      <c r="J1808" s="187" t="inlineStr">
        <is>
          <t>NO</t>
        </is>
      </c>
      <c r="K1808" s="187" t="inlineStr">
        <is>
          <t>https://www.blocklist.de/</t>
        </is>
      </c>
      <c r="L1808" s="187" t="inlineStr">
        <is>
          <t>2026-02-26 00:15</t>
        </is>
      </c>
      <c r="M1808" s="187" t="inlineStr">
        <is>
          <t>Block IP</t>
        </is>
      </c>
      <c r="N1808" s="187" t="inlineStr">
        <is>
          <t>https://www.blocklist.de/</t>
        </is>
      </c>
      <c r="O1808" s="187" t="inlineStr">
        <is>
          <t>Block IP 1.227.228.131 at firewall | Check SIEM for existing connections</t>
        </is>
      </c>
      <c r="P1808" s="187" t="inlineStr">
        <is>
          <t>Firewall/Network</t>
        </is>
      </c>
      <c r="Q1808" s="187" t="inlineStr">
        <is>
          <t>P4</t>
        </is>
      </c>
      <c r="R1808" s="187" t="inlineStr">
        <is>
          <t>🚫 Block IP at firewall immediately | 🔍 Check logs for existing connections | 🛡️ Add to threat intelligence blocklist</t>
        </is>
      </c>
      <c r="S1808" s="187" t="inlineStr">
        <is>
          <t>Blocklist IP — ip-api.com context available</t>
        </is>
      </c>
      <c r="T1808" s="187" t="n">
        <v>0</v>
      </c>
      <c r="U1808" s="187" t="n">
        <v>0</v>
      </c>
      <c r="V1808" s="187" t="inlineStr">
        <is>
          <t>T1110:Brute Force | T1190:Exploit Public-Facing Application</t>
        </is>
      </c>
      <c r="W1808" s="187" t="n">
        <v>1</v>
      </c>
      <c r="X1808" s="187" t="inlineStr">
        <is>
          <t>LOW (40%)</t>
        </is>
      </c>
      <c r="Y1808" s="187" t="inlineStr">
        <is>
          <t>NONE</t>
        </is>
      </c>
      <c r="Z1808" s="187" t="inlineStr">
        <is>
          <t>NONE</t>
        </is>
      </c>
      <c r="AA1808" s="187" t="inlineStr">
        <is>
          <t>NONE</t>
        </is>
      </c>
      <c r="AB1808" s="187" t="inlineStr">
        <is>
          <t>NONE</t>
        </is>
      </c>
      <c r="AC1808" s="187" t="n">
        <v>0</v>
      </c>
      <c r="AD1808" s="187" t="inlineStr"/>
    </row>
    <row r="1809">
      <c r="A1809" s="187" t="inlineStr">
        <is>
          <t>BLOCKLIST_DE</t>
        </is>
      </c>
      <c r="B1809" s="187" t="inlineStr">
        <is>
          <t>0e9f17a8a39c</t>
        </is>
      </c>
      <c r="C1809" s="187" t="inlineStr">
        <is>
          <t>Blocklist.de: 1.233.104.29 | Attack activity reported | Sources: BLOCKLIST_DE</t>
        </is>
      </c>
      <c r="D1809" s="187" t="n">
        <v>6</v>
      </c>
      <c r="E1809" s="187" t="inlineStr">
        <is>
          <t>MEDIUM</t>
        </is>
      </c>
      <c r="F1809" s="187" t="n">
        <v>2</v>
      </c>
      <c r="G1809" s="187" t="n">
        <v>2</v>
      </c>
      <c r="H1809" s="187" t="inlineStr">
        <is>
          <t>MEDIUM</t>
        </is>
      </c>
      <c r="I1809" s="187" t="n">
        <v>10</v>
      </c>
      <c r="J1809" s="187" t="inlineStr">
        <is>
          <t>NO</t>
        </is>
      </c>
      <c r="K1809" s="187" t="inlineStr">
        <is>
          <t>https://www.blocklist.de/</t>
        </is>
      </c>
      <c r="L1809" s="187" t="inlineStr">
        <is>
          <t>2026-02-26 00:15</t>
        </is>
      </c>
      <c r="M1809" s="187" t="inlineStr">
        <is>
          <t>Block IP</t>
        </is>
      </c>
      <c r="N1809" s="187" t="inlineStr">
        <is>
          <t>https://www.blocklist.de/</t>
        </is>
      </c>
      <c r="O1809" s="187" t="inlineStr">
        <is>
          <t>Block IP 1.233.104.29 at firewall | Check SIEM for existing connections</t>
        </is>
      </c>
      <c r="P1809" s="187" t="inlineStr">
        <is>
          <t>Firewall/Network</t>
        </is>
      </c>
      <c r="Q1809" s="187" t="inlineStr">
        <is>
          <t>P4</t>
        </is>
      </c>
      <c r="R1809" s="187" t="inlineStr">
        <is>
          <t>🚫 Block IP at firewall immediately | 🔍 Check logs for existing connections | 🛡️ Add to threat intelligence blocklist</t>
        </is>
      </c>
      <c r="S1809" s="187" t="inlineStr">
        <is>
          <t>Blocklist IP — ip-api.com context available</t>
        </is>
      </c>
      <c r="T1809" s="187" t="n">
        <v>0</v>
      </c>
      <c r="U1809" s="187" t="n">
        <v>0</v>
      </c>
      <c r="V1809" s="187" t="inlineStr">
        <is>
          <t>T1110:Brute Force | T1190:Exploit Public-Facing Application</t>
        </is>
      </c>
      <c r="W1809" s="187" t="n">
        <v>1</v>
      </c>
      <c r="X1809" s="187" t="inlineStr">
        <is>
          <t>LOW (40%)</t>
        </is>
      </c>
      <c r="Y1809" s="187" t="inlineStr">
        <is>
          <t>NONE</t>
        </is>
      </c>
      <c r="Z1809" s="187" t="inlineStr">
        <is>
          <t>NONE</t>
        </is>
      </c>
      <c r="AA1809" s="187" t="inlineStr">
        <is>
          <t>NONE</t>
        </is>
      </c>
      <c r="AB1809" s="187" t="inlineStr">
        <is>
          <t>NONE</t>
        </is>
      </c>
      <c r="AC1809" s="187" t="n">
        <v>0</v>
      </c>
      <c r="AD1809" s="187" t="inlineStr"/>
    </row>
    <row r="1810">
      <c r="A1810" s="187" t="inlineStr">
        <is>
          <t>BLOCKLIST_DE</t>
        </is>
      </c>
      <c r="B1810" s="187" t="inlineStr">
        <is>
          <t>22149440783b</t>
        </is>
      </c>
      <c r="C1810" s="187" t="inlineStr">
        <is>
          <t>Blocklist.de: 1.234.23.221 | Attack activity reported | Sources: BLOCKLIST_DE</t>
        </is>
      </c>
      <c r="D1810" s="187" t="n">
        <v>6</v>
      </c>
      <c r="E1810" s="187" t="inlineStr">
        <is>
          <t>MEDIUM</t>
        </is>
      </c>
      <c r="F1810" s="187" t="n">
        <v>2</v>
      </c>
      <c r="G1810" s="187" t="n">
        <v>2</v>
      </c>
      <c r="H1810" s="187" t="inlineStr">
        <is>
          <t>MEDIUM</t>
        </is>
      </c>
      <c r="I1810" s="187" t="n">
        <v>10</v>
      </c>
      <c r="J1810" s="187" t="inlineStr">
        <is>
          <t>NO</t>
        </is>
      </c>
      <c r="K1810" s="187" t="inlineStr">
        <is>
          <t>https://www.blocklist.de/</t>
        </is>
      </c>
      <c r="L1810" s="187" t="inlineStr">
        <is>
          <t>2026-02-26 00:15</t>
        </is>
      </c>
      <c r="M1810" s="187" t="inlineStr">
        <is>
          <t>Block IP</t>
        </is>
      </c>
      <c r="N1810" s="187" t="inlineStr">
        <is>
          <t>https://www.blocklist.de/</t>
        </is>
      </c>
      <c r="O1810" s="187" t="inlineStr">
        <is>
          <t>Block IP 1.234.23.221 at firewall | Check SIEM for existing connections</t>
        </is>
      </c>
      <c r="P1810" s="187" t="inlineStr">
        <is>
          <t>Firewall/Network</t>
        </is>
      </c>
      <c r="Q1810" s="187" t="inlineStr">
        <is>
          <t>P4</t>
        </is>
      </c>
      <c r="R1810" s="187" t="inlineStr">
        <is>
          <t>🚫 Block IP at firewall immediately | 🔍 Check logs for existing connections | 🛡️ Add to threat intelligence blocklist</t>
        </is>
      </c>
      <c r="S1810" s="187" t="inlineStr">
        <is>
          <t>Blocklist IP — ip-api.com context available</t>
        </is>
      </c>
      <c r="T1810" s="187" t="n">
        <v>0</v>
      </c>
      <c r="U1810" s="187" t="n">
        <v>0</v>
      </c>
      <c r="V1810" s="187" t="inlineStr">
        <is>
          <t>T1110:Brute Force | T1190:Exploit Public-Facing Application</t>
        </is>
      </c>
      <c r="W1810" s="187" t="n">
        <v>1</v>
      </c>
      <c r="X1810" s="187" t="inlineStr">
        <is>
          <t>LOW (40%)</t>
        </is>
      </c>
      <c r="Y1810" s="187" t="inlineStr">
        <is>
          <t>NONE</t>
        </is>
      </c>
      <c r="Z1810" s="187" t="inlineStr">
        <is>
          <t>NONE</t>
        </is>
      </c>
      <c r="AA1810" s="187" t="inlineStr">
        <is>
          <t>NONE</t>
        </is>
      </c>
      <c r="AB1810" s="187" t="inlineStr">
        <is>
          <t>NONE</t>
        </is>
      </c>
      <c r="AC1810" s="187" t="n">
        <v>0</v>
      </c>
      <c r="AD1810" s="187" t="inlineStr"/>
    </row>
    <row r="1811">
      <c r="A1811" s="187" t="inlineStr">
        <is>
          <t>BLOCKLIST_DE</t>
        </is>
      </c>
      <c r="B1811" s="187" t="inlineStr">
        <is>
          <t>8c9b3a8d25de</t>
        </is>
      </c>
      <c r="C1811" s="187" t="inlineStr">
        <is>
          <t>Blocklist.de: 1.234.27.159 | Attack activity reported | Sources: BLOCKLIST_DE</t>
        </is>
      </c>
      <c r="D1811" s="187" t="n">
        <v>6</v>
      </c>
      <c r="E1811" s="187" t="inlineStr">
        <is>
          <t>MEDIUM</t>
        </is>
      </c>
      <c r="F1811" s="187" t="n">
        <v>2</v>
      </c>
      <c r="G1811" s="187" t="n">
        <v>2</v>
      </c>
      <c r="H1811" s="187" t="inlineStr">
        <is>
          <t>MEDIUM</t>
        </is>
      </c>
      <c r="I1811" s="187" t="n">
        <v>10</v>
      </c>
      <c r="J1811" s="187" t="inlineStr">
        <is>
          <t>NO</t>
        </is>
      </c>
      <c r="K1811" s="187" t="inlineStr">
        <is>
          <t>https://www.blocklist.de/</t>
        </is>
      </c>
      <c r="L1811" s="187" t="inlineStr">
        <is>
          <t>2026-02-26 00:15</t>
        </is>
      </c>
      <c r="M1811" s="187" t="inlineStr">
        <is>
          <t>Block IP</t>
        </is>
      </c>
      <c r="N1811" s="187" t="inlineStr">
        <is>
          <t>https://www.blocklist.de/</t>
        </is>
      </c>
      <c r="O1811" s="187" t="inlineStr">
        <is>
          <t>Block IP 1.234.27.159 at firewall | Check SIEM for existing connections</t>
        </is>
      </c>
      <c r="P1811" s="187" t="inlineStr">
        <is>
          <t>Firewall/Network</t>
        </is>
      </c>
      <c r="Q1811" s="187" t="inlineStr">
        <is>
          <t>P4</t>
        </is>
      </c>
      <c r="R1811" s="187" t="inlineStr">
        <is>
          <t>🚫 Block IP at firewall immediately | 🔍 Check logs for existing connections | 🛡️ Add to threat intelligence blocklist</t>
        </is>
      </c>
      <c r="S1811" s="187" t="inlineStr">
        <is>
          <t>Blocklist IP — ip-api.com context available</t>
        </is>
      </c>
      <c r="T1811" s="187" t="n">
        <v>0</v>
      </c>
      <c r="U1811" s="187" t="n">
        <v>0</v>
      </c>
      <c r="V1811" s="187" t="inlineStr">
        <is>
          <t>T1110:Brute Force | T1190:Exploit Public-Facing Application</t>
        </is>
      </c>
      <c r="W1811" s="187" t="n">
        <v>1</v>
      </c>
      <c r="X1811" s="187" t="inlineStr">
        <is>
          <t>LOW (40%)</t>
        </is>
      </c>
      <c r="Y1811" s="187" t="inlineStr">
        <is>
          <t>NONE</t>
        </is>
      </c>
      <c r="Z1811" s="187" t="inlineStr">
        <is>
          <t>NONE</t>
        </is>
      </c>
      <c r="AA1811" s="187" t="inlineStr">
        <is>
          <t>NONE</t>
        </is>
      </c>
      <c r="AB1811" s="187" t="inlineStr">
        <is>
          <t>NONE</t>
        </is>
      </c>
      <c r="AC1811" s="187" t="n">
        <v>0</v>
      </c>
      <c r="AD1811" s="187" t="inlineStr"/>
    </row>
    <row r="1812">
      <c r="A1812" s="187" t="inlineStr">
        <is>
          <t>BLOCKLIST_DE</t>
        </is>
      </c>
      <c r="B1812" s="187" t="inlineStr">
        <is>
          <t>7f8bda0bd561</t>
        </is>
      </c>
      <c r="C1812" s="187" t="inlineStr">
        <is>
          <t>Blocklist.de: 1.235.192.130 | Attack activity reported | Sources: BLOCKLIST_DE</t>
        </is>
      </c>
      <c r="D1812" s="187" t="n">
        <v>6</v>
      </c>
      <c r="E1812" s="187" t="inlineStr">
        <is>
          <t>MEDIUM</t>
        </is>
      </c>
      <c r="F1812" s="187" t="n">
        <v>2</v>
      </c>
      <c r="G1812" s="187" t="n">
        <v>2</v>
      </c>
      <c r="H1812" s="187" t="inlineStr">
        <is>
          <t>MEDIUM</t>
        </is>
      </c>
      <c r="I1812" s="187" t="n">
        <v>10</v>
      </c>
      <c r="J1812" s="187" t="inlineStr">
        <is>
          <t>NO</t>
        </is>
      </c>
      <c r="K1812" s="187" t="inlineStr">
        <is>
          <t>https://www.blocklist.de/</t>
        </is>
      </c>
      <c r="L1812" s="187" t="inlineStr">
        <is>
          <t>2026-02-26 00:15</t>
        </is>
      </c>
      <c r="M1812" s="187" t="inlineStr">
        <is>
          <t>Block IP</t>
        </is>
      </c>
      <c r="N1812" s="187" t="inlineStr">
        <is>
          <t>https://www.blocklist.de/</t>
        </is>
      </c>
      <c r="O1812" s="187" t="inlineStr">
        <is>
          <t>Block IP 1.235.192.130 at firewall | Check SIEM for existing connections</t>
        </is>
      </c>
      <c r="P1812" s="187" t="inlineStr">
        <is>
          <t>Firewall/Network</t>
        </is>
      </c>
      <c r="Q1812" s="187" t="inlineStr">
        <is>
          <t>P4</t>
        </is>
      </c>
      <c r="R1812" s="187" t="inlineStr">
        <is>
          <t>🚫 Block IP at firewall immediately | 🔍 Check logs for existing connections | 🛡️ Add to threat intelligence blocklist</t>
        </is>
      </c>
      <c r="S1812" s="187" t="inlineStr">
        <is>
          <t>Blocklist IP — ip-api.com context available</t>
        </is>
      </c>
      <c r="T1812" s="187" t="n">
        <v>0</v>
      </c>
      <c r="U1812" s="187" t="n">
        <v>0</v>
      </c>
      <c r="V1812" s="187" t="inlineStr">
        <is>
          <t>T1110:Brute Force | T1190:Exploit Public-Facing Application</t>
        </is>
      </c>
      <c r="W1812" s="187" t="n">
        <v>1</v>
      </c>
      <c r="X1812" s="187" t="inlineStr">
        <is>
          <t>LOW (40%)</t>
        </is>
      </c>
      <c r="Y1812" s="187" t="inlineStr">
        <is>
          <t>NONE</t>
        </is>
      </c>
      <c r="Z1812" s="187" t="inlineStr">
        <is>
          <t>NONE</t>
        </is>
      </c>
      <c r="AA1812" s="187" t="inlineStr">
        <is>
          <t>NONE</t>
        </is>
      </c>
      <c r="AB1812" s="187" t="inlineStr">
        <is>
          <t>NONE</t>
        </is>
      </c>
      <c r="AC1812" s="187" t="n">
        <v>0</v>
      </c>
      <c r="AD1812" s="187" t="inlineStr"/>
    </row>
    <row r="1813">
      <c r="A1813" s="187" t="inlineStr">
        <is>
          <t>BLOCKLIST_DE</t>
        </is>
      </c>
      <c r="B1813" s="187" t="inlineStr">
        <is>
          <t>9c698c7f2054</t>
        </is>
      </c>
      <c r="C1813" s="187" t="inlineStr">
        <is>
          <t>Blocklist.de: 1.235.192.131 | Attack activity reported | Sources: BLOCKLIST_DE</t>
        </is>
      </c>
      <c r="D1813" s="187" t="n">
        <v>6</v>
      </c>
      <c r="E1813" s="187" t="inlineStr">
        <is>
          <t>MEDIUM</t>
        </is>
      </c>
      <c r="F1813" s="187" t="n">
        <v>2</v>
      </c>
      <c r="G1813" s="187" t="n">
        <v>2</v>
      </c>
      <c r="H1813" s="187" t="inlineStr">
        <is>
          <t>MEDIUM</t>
        </is>
      </c>
      <c r="I1813" s="187" t="n">
        <v>10</v>
      </c>
      <c r="J1813" s="187" t="inlineStr">
        <is>
          <t>NO</t>
        </is>
      </c>
      <c r="K1813" s="187" t="inlineStr">
        <is>
          <t>https://www.blocklist.de/</t>
        </is>
      </c>
      <c r="L1813" s="187" t="inlineStr">
        <is>
          <t>2026-02-26 00:15</t>
        </is>
      </c>
      <c r="M1813" s="187" t="inlineStr">
        <is>
          <t>Block IP</t>
        </is>
      </c>
      <c r="N1813" s="187" t="inlineStr">
        <is>
          <t>https://www.blocklist.de/</t>
        </is>
      </c>
      <c r="O1813" s="187" t="inlineStr">
        <is>
          <t>Block IP 1.235.192.131 at firewall | Check SIEM for existing connections</t>
        </is>
      </c>
      <c r="P1813" s="187" t="inlineStr">
        <is>
          <t>Firewall/Network</t>
        </is>
      </c>
      <c r="Q1813" s="187" t="inlineStr">
        <is>
          <t>P4</t>
        </is>
      </c>
      <c r="R1813" s="187" t="inlineStr">
        <is>
          <t>🚫 Block IP at firewall immediately | 🔍 Check logs for existing connections | 🛡️ Add to threat intelligence blocklist</t>
        </is>
      </c>
      <c r="S1813" s="187" t="inlineStr">
        <is>
          <t>Blocklist IP — ip-api.com context available</t>
        </is>
      </c>
      <c r="T1813" s="187" t="n">
        <v>0</v>
      </c>
      <c r="U1813" s="187" t="n">
        <v>0</v>
      </c>
      <c r="V1813" s="187" t="inlineStr">
        <is>
          <t>T1110:Brute Force | T1190:Exploit Public-Facing Application</t>
        </is>
      </c>
      <c r="W1813" s="187" t="n">
        <v>1</v>
      </c>
      <c r="X1813" s="187" t="inlineStr">
        <is>
          <t>LOW (40%)</t>
        </is>
      </c>
      <c r="Y1813" s="187" t="inlineStr">
        <is>
          <t>NONE</t>
        </is>
      </c>
      <c r="Z1813" s="187" t="inlineStr">
        <is>
          <t>NONE</t>
        </is>
      </c>
      <c r="AA1813" s="187" t="inlineStr">
        <is>
          <t>NONE</t>
        </is>
      </c>
      <c r="AB1813" s="187" t="inlineStr">
        <is>
          <t>NONE</t>
        </is>
      </c>
      <c r="AC1813" s="187" t="n">
        <v>0</v>
      </c>
      <c r="AD1813" s="187" t="inlineStr"/>
    </row>
    <row r="1814">
      <c r="A1814" s="187" t="inlineStr">
        <is>
          <t>BLOCKLIST_DE</t>
        </is>
      </c>
      <c r="B1814" s="187" t="inlineStr">
        <is>
          <t>55fb149617b5</t>
        </is>
      </c>
      <c r="C1814" s="187" t="inlineStr">
        <is>
          <t>Blocklist.de: 1.238.106.229 | Attack activity reported | Sources: BLOCKLIST_DE</t>
        </is>
      </c>
      <c r="D1814" s="187" t="n">
        <v>6</v>
      </c>
      <c r="E1814" s="187" t="inlineStr">
        <is>
          <t>MEDIUM</t>
        </is>
      </c>
      <c r="F1814" s="187" t="n">
        <v>2</v>
      </c>
      <c r="G1814" s="187" t="n">
        <v>2</v>
      </c>
      <c r="H1814" s="187" t="inlineStr">
        <is>
          <t>MEDIUM</t>
        </is>
      </c>
      <c r="I1814" s="187" t="n">
        <v>10</v>
      </c>
      <c r="J1814" s="187" t="inlineStr">
        <is>
          <t>NO</t>
        </is>
      </c>
      <c r="K1814" s="187" t="inlineStr">
        <is>
          <t>https://www.blocklist.de/</t>
        </is>
      </c>
      <c r="L1814" s="187" t="inlineStr">
        <is>
          <t>2026-02-26 00:15</t>
        </is>
      </c>
      <c r="M1814" s="187" t="inlineStr">
        <is>
          <t>Block IP</t>
        </is>
      </c>
      <c r="N1814" s="187" t="inlineStr">
        <is>
          <t>https://www.blocklist.de/</t>
        </is>
      </c>
      <c r="O1814" s="187" t="inlineStr">
        <is>
          <t>Block IP 1.238.106.229 at firewall | Check SIEM for existing connections</t>
        </is>
      </c>
      <c r="P1814" s="187" t="inlineStr">
        <is>
          <t>Firewall/Network</t>
        </is>
      </c>
      <c r="Q1814" s="187" t="inlineStr">
        <is>
          <t>P4</t>
        </is>
      </c>
      <c r="R1814" s="187" t="inlineStr">
        <is>
          <t>🚫 Block IP at firewall immediately | 🔍 Check logs for existing connections | 🛡️ Add to threat intelligence blocklist</t>
        </is>
      </c>
      <c r="S1814" s="187" t="inlineStr">
        <is>
          <t>Blocklist IP — ip-api.com context available</t>
        </is>
      </c>
      <c r="T1814" s="187" t="n">
        <v>0</v>
      </c>
      <c r="U1814" s="187" t="n">
        <v>0</v>
      </c>
      <c r="V1814" s="187" t="inlineStr">
        <is>
          <t>T1110:Brute Force | T1190:Exploit Public-Facing Application</t>
        </is>
      </c>
      <c r="W1814" s="187" t="n">
        <v>1</v>
      </c>
      <c r="X1814" s="187" t="inlineStr">
        <is>
          <t>LOW (40%)</t>
        </is>
      </c>
      <c r="Y1814" s="187" t="inlineStr">
        <is>
          <t>NONE</t>
        </is>
      </c>
      <c r="Z1814" s="187" t="inlineStr">
        <is>
          <t>NONE</t>
        </is>
      </c>
      <c r="AA1814" s="187" t="inlineStr">
        <is>
          <t>NONE</t>
        </is>
      </c>
      <c r="AB1814" s="187" t="inlineStr">
        <is>
          <t>NONE</t>
        </is>
      </c>
      <c r="AC1814" s="187" t="n">
        <v>0</v>
      </c>
      <c r="AD1814" s="187" t="inlineStr"/>
    </row>
    <row r="1815">
      <c r="A1815" s="187" t="inlineStr">
        <is>
          <t>BLOCKLIST_DE</t>
        </is>
      </c>
      <c r="B1815" s="187" t="inlineStr">
        <is>
          <t>d28316cdbee2</t>
        </is>
      </c>
      <c r="C1815" s="187" t="inlineStr">
        <is>
          <t>Blocklist.de: 1.24.210.27 | Attack activity reported | Sources: BLOCKLIST_DE</t>
        </is>
      </c>
      <c r="D1815" s="187" t="n">
        <v>6</v>
      </c>
      <c r="E1815" s="187" t="inlineStr">
        <is>
          <t>MEDIUM</t>
        </is>
      </c>
      <c r="F1815" s="187" t="n">
        <v>2</v>
      </c>
      <c r="G1815" s="187" t="n">
        <v>2</v>
      </c>
      <c r="H1815" s="187" t="inlineStr">
        <is>
          <t>MEDIUM</t>
        </is>
      </c>
      <c r="I1815" s="187" t="n">
        <v>10</v>
      </c>
      <c r="J1815" s="187" t="inlineStr">
        <is>
          <t>NO</t>
        </is>
      </c>
      <c r="K1815" s="187" t="inlineStr">
        <is>
          <t>https://www.blocklist.de/</t>
        </is>
      </c>
      <c r="L1815" s="187" t="inlineStr">
        <is>
          <t>2026-02-26 00:15</t>
        </is>
      </c>
      <c r="M1815" s="187" t="inlineStr">
        <is>
          <t>Block IP</t>
        </is>
      </c>
      <c r="N1815" s="187" t="inlineStr">
        <is>
          <t>https://www.blocklist.de/</t>
        </is>
      </c>
      <c r="O1815" s="187" t="inlineStr">
        <is>
          <t>Block IP 1.24.210.27 at firewall | Check SIEM for existing connections</t>
        </is>
      </c>
      <c r="P1815" s="187" t="inlineStr">
        <is>
          <t>Firewall/Network</t>
        </is>
      </c>
      <c r="Q1815" s="187" t="inlineStr">
        <is>
          <t>P4</t>
        </is>
      </c>
      <c r="R1815" s="187" t="inlineStr">
        <is>
          <t>🚫 Block IP at firewall immediately | 🔍 Check logs for existing connections | 🛡️ Add to threat intelligence blocklist</t>
        </is>
      </c>
      <c r="S1815" s="187" t="inlineStr">
        <is>
          <t>Blocklist IP — ip-api.com context available</t>
        </is>
      </c>
      <c r="T1815" s="187" t="n">
        <v>0</v>
      </c>
      <c r="U1815" s="187" t="n">
        <v>0</v>
      </c>
      <c r="V1815" s="187" t="inlineStr">
        <is>
          <t>T1110:Brute Force | T1190:Exploit Public-Facing Application</t>
        </is>
      </c>
      <c r="W1815" s="187" t="n">
        <v>1</v>
      </c>
      <c r="X1815" s="187" t="inlineStr">
        <is>
          <t>LOW (40%)</t>
        </is>
      </c>
      <c r="Y1815" s="187" t="inlineStr">
        <is>
          <t>NONE</t>
        </is>
      </c>
      <c r="Z1815" s="187" t="inlineStr">
        <is>
          <t>NONE</t>
        </is>
      </c>
      <c r="AA1815" s="187" t="inlineStr">
        <is>
          <t>NONE</t>
        </is>
      </c>
      <c r="AB1815" s="187" t="inlineStr">
        <is>
          <t>NONE</t>
        </is>
      </c>
      <c r="AC1815" s="187" t="n">
        <v>0</v>
      </c>
      <c r="AD1815" s="187" t="inlineStr"/>
    </row>
    <row r="1816">
      <c r="A1816" s="187" t="inlineStr">
        <is>
          <t>BLOCKLIST_DE</t>
        </is>
      </c>
      <c r="B1816" s="187" t="inlineStr">
        <is>
          <t>92b46c4f478f</t>
        </is>
      </c>
      <c r="C1816" s="187" t="inlineStr">
        <is>
          <t>Blocklist.de: 1.241.162.20 | Attack activity reported | Sources: BLOCKLIST_DE</t>
        </is>
      </c>
      <c r="D1816" s="187" t="n">
        <v>6</v>
      </c>
      <c r="E1816" s="187" t="inlineStr">
        <is>
          <t>MEDIUM</t>
        </is>
      </c>
      <c r="F1816" s="187" t="n">
        <v>2</v>
      </c>
      <c r="G1816" s="187" t="n">
        <v>2</v>
      </c>
      <c r="H1816" s="187" t="inlineStr">
        <is>
          <t>MEDIUM</t>
        </is>
      </c>
      <c r="I1816" s="187" t="n">
        <v>10</v>
      </c>
      <c r="J1816" s="187" t="inlineStr">
        <is>
          <t>NO</t>
        </is>
      </c>
      <c r="K1816" s="187" t="inlineStr">
        <is>
          <t>https://www.blocklist.de/</t>
        </is>
      </c>
      <c r="L1816" s="187" t="inlineStr">
        <is>
          <t>2026-02-26 00:15</t>
        </is>
      </c>
      <c r="M1816" s="187" t="inlineStr">
        <is>
          <t>Block IP</t>
        </is>
      </c>
      <c r="N1816" s="187" t="inlineStr">
        <is>
          <t>https://www.blocklist.de/</t>
        </is>
      </c>
      <c r="O1816" s="187" t="inlineStr">
        <is>
          <t>Block IP 1.241.162.20 at firewall | Check SIEM for existing connections</t>
        </is>
      </c>
      <c r="P1816" s="187" t="inlineStr">
        <is>
          <t>Firewall/Network</t>
        </is>
      </c>
      <c r="Q1816" s="187" t="inlineStr">
        <is>
          <t>P4</t>
        </is>
      </c>
      <c r="R1816" s="187" t="inlineStr">
        <is>
          <t>🚫 Block IP at firewall immediately | 🔍 Check logs for existing connections | 🛡️ Add to threat intelligence blocklist</t>
        </is>
      </c>
      <c r="S1816" s="187" t="inlineStr">
        <is>
          <t>Blocklist IP — ip-api.com context available</t>
        </is>
      </c>
      <c r="T1816" s="187" t="n">
        <v>0</v>
      </c>
      <c r="U1816" s="187" t="n">
        <v>0</v>
      </c>
      <c r="V1816" s="187" t="inlineStr">
        <is>
          <t>T1110:Brute Force | T1190:Exploit Public-Facing Application</t>
        </is>
      </c>
      <c r="W1816" s="187" t="n">
        <v>1</v>
      </c>
      <c r="X1816" s="187" t="inlineStr">
        <is>
          <t>LOW (40%)</t>
        </is>
      </c>
      <c r="Y1816" s="187" t="inlineStr">
        <is>
          <t>NONE</t>
        </is>
      </c>
      <c r="Z1816" s="187" t="inlineStr">
        <is>
          <t>NONE</t>
        </is>
      </c>
      <c r="AA1816" s="187" t="inlineStr">
        <is>
          <t>NONE</t>
        </is>
      </c>
      <c r="AB1816" s="187" t="inlineStr">
        <is>
          <t>NONE</t>
        </is>
      </c>
      <c r="AC1816" s="187" t="n">
        <v>0</v>
      </c>
      <c r="AD1816" s="187" t="inlineStr"/>
    </row>
    <row r="1817">
      <c r="A1817" s="187" t="inlineStr">
        <is>
          <t>BLOCKLIST_DE</t>
        </is>
      </c>
      <c r="B1817" s="187" t="inlineStr">
        <is>
          <t>7b84ff55afa8</t>
        </is>
      </c>
      <c r="C1817" s="187" t="inlineStr">
        <is>
          <t>Blocklist.de: 1.241.174.81 | Attack activity reported | Sources: BLOCKLIST_DE</t>
        </is>
      </c>
      <c r="D1817" s="187" t="n">
        <v>6</v>
      </c>
      <c r="E1817" s="187" t="inlineStr">
        <is>
          <t>MEDIUM</t>
        </is>
      </c>
      <c r="F1817" s="187" t="n">
        <v>2</v>
      </c>
      <c r="G1817" s="187" t="n">
        <v>2</v>
      </c>
      <c r="H1817" s="187" t="inlineStr">
        <is>
          <t>MEDIUM</t>
        </is>
      </c>
      <c r="I1817" s="187" t="n">
        <v>10</v>
      </c>
      <c r="J1817" s="187" t="inlineStr">
        <is>
          <t>NO</t>
        </is>
      </c>
      <c r="K1817" s="187" t="inlineStr">
        <is>
          <t>https://www.blocklist.de/</t>
        </is>
      </c>
      <c r="L1817" s="187" t="inlineStr">
        <is>
          <t>2026-02-26 00:15</t>
        </is>
      </c>
      <c r="M1817" s="187" t="inlineStr">
        <is>
          <t>Block IP</t>
        </is>
      </c>
      <c r="N1817" s="187" t="inlineStr">
        <is>
          <t>https://www.blocklist.de/</t>
        </is>
      </c>
      <c r="O1817" s="187" t="inlineStr">
        <is>
          <t>Block IP 1.241.174.81 at firewall | Check SIEM for existing connections</t>
        </is>
      </c>
      <c r="P1817" s="187" t="inlineStr">
        <is>
          <t>Firewall/Network</t>
        </is>
      </c>
      <c r="Q1817" s="187" t="inlineStr">
        <is>
          <t>P4</t>
        </is>
      </c>
      <c r="R1817" s="187" t="inlineStr">
        <is>
          <t>🚫 Block IP at firewall immediately | 🔍 Check logs for existing connections | 🛡️ Add to threat intelligence blocklist</t>
        </is>
      </c>
      <c r="S1817" s="187" t="inlineStr">
        <is>
          <t>Blocklist IP — ip-api.com context available</t>
        </is>
      </c>
      <c r="T1817" s="187" t="n">
        <v>0</v>
      </c>
      <c r="U1817" s="187" t="n">
        <v>0</v>
      </c>
      <c r="V1817" s="187" t="inlineStr">
        <is>
          <t>T1110:Brute Force | T1190:Exploit Public-Facing Application</t>
        </is>
      </c>
      <c r="W1817" s="187" t="n">
        <v>1</v>
      </c>
      <c r="X1817" s="187" t="inlineStr">
        <is>
          <t>LOW (40%)</t>
        </is>
      </c>
      <c r="Y1817" s="187" t="inlineStr">
        <is>
          <t>NONE</t>
        </is>
      </c>
      <c r="Z1817" s="187" t="inlineStr">
        <is>
          <t>NONE</t>
        </is>
      </c>
      <c r="AA1817" s="187" t="inlineStr">
        <is>
          <t>NONE</t>
        </is>
      </c>
      <c r="AB1817" s="187" t="inlineStr">
        <is>
          <t>NONE</t>
        </is>
      </c>
      <c r="AC1817" s="187" t="n">
        <v>0</v>
      </c>
      <c r="AD1817" s="187" t="inlineStr"/>
    </row>
    <row r="1818">
      <c r="A1818" s="187" t="inlineStr">
        <is>
          <t>BLOCKLIST_DE</t>
        </is>
      </c>
      <c r="B1818" s="187" t="inlineStr">
        <is>
          <t>982ec68d54bb</t>
        </is>
      </c>
      <c r="C1818" s="187" t="inlineStr">
        <is>
          <t>Blocklist.de: 1.244.246.221 | Attack activity reported | Sources: BLOCKLIST_DE</t>
        </is>
      </c>
      <c r="D1818" s="187" t="n">
        <v>6</v>
      </c>
      <c r="E1818" s="187" t="inlineStr">
        <is>
          <t>MEDIUM</t>
        </is>
      </c>
      <c r="F1818" s="187" t="n">
        <v>2</v>
      </c>
      <c r="G1818" s="187" t="n">
        <v>2</v>
      </c>
      <c r="H1818" s="187" t="inlineStr">
        <is>
          <t>MEDIUM</t>
        </is>
      </c>
      <c r="I1818" s="187" t="n">
        <v>10</v>
      </c>
      <c r="J1818" s="187" t="inlineStr">
        <is>
          <t>NO</t>
        </is>
      </c>
      <c r="K1818" s="187" t="inlineStr">
        <is>
          <t>https://www.blocklist.de/</t>
        </is>
      </c>
      <c r="L1818" s="187" t="inlineStr">
        <is>
          <t>2026-02-26 00:15</t>
        </is>
      </c>
      <c r="M1818" s="187" t="inlineStr">
        <is>
          <t>Block IP</t>
        </is>
      </c>
      <c r="N1818" s="187" t="inlineStr">
        <is>
          <t>https://www.blocklist.de/</t>
        </is>
      </c>
      <c r="O1818" s="187" t="inlineStr">
        <is>
          <t>Block IP 1.244.246.221 at firewall | Check SIEM for existing connections</t>
        </is>
      </c>
      <c r="P1818" s="187" t="inlineStr">
        <is>
          <t>Firewall/Network</t>
        </is>
      </c>
      <c r="Q1818" s="187" t="inlineStr">
        <is>
          <t>P4</t>
        </is>
      </c>
      <c r="R1818" s="187" t="inlineStr">
        <is>
          <t>🚫 Block IP at firewall immediately | 🔍 Check logs for existing connections | 🛡️ Add to threat intelligence blocklist</t>
        </is>
      </c>
      <c r="S1818" s="187" t="inlineStr">
        <is>
          <t>Blocklist IP — ip-api.com context available</t>
        </is>
      </c>
      <c r="T1818" s="187" t="n">
        <v>0</v>
      </c>
      <c r="U1818" s="187" t="n">
        <v>0</v>
      </c>
      <c r="V1818" s="187" t="inlineStr">
        <is>
          <t>T1110:Brute Force | T1190:Exploit Public-Facing Application</t>
        </is>
      </c>
      <c r="W1818" s="187" t="n">
        <v>1</v>
      </c>
      <c r="X1818" s="187" t="inlineStr">
        <is>
          <t>LOW (40%)</t>
        </is>
      </c>
      <c r="Y1818" s="187" t="inlineStr">
        <is>
          <t>NONE</t>
        </is>
      </c>
      <c r="Z1818" s="187" t="inlineStr">
        <is>
          <t>NONE</t>
        </is>
      </c>
      <c r="AA1818" s="187" t="inlineStr">
        <is>
          <t>NONE</t>
        </is>
      </c>
      <c r="AB1818" s="187" t="inlineStr">
        <is>
          <t>NONE</t>
        </is>
      </c>
      <c r="AC1818" s="187" t="n">
        <v>0</v>
      </c>
      <c r="AD1818" s="187" t="inlineStr"/>
    </row>
    <row r="1819">
      <c r="A1819" s="187" t="inlineStr">
        <is>
          <t>BLOCKLIST_DE</t>
        </is>
      </c>
      <c r="B1819" s="187" t="inlineStr">
        <is>
          <t>da77d21102b8</t>
        </is>
      </c>
      <c r="C1819" s="187" t="inlineStr">
        <is>
          <t>Blocklist.de: 1.245.207.104 | Attack activity reported | Sources: BLOCKLIST_DE</t>
        </is>
      </c>
      <c r="D1819" s="187" t="n">
        <v>6</v>
      </c>
      <c r="E1819" s="187" t="inlineStr">
        <is>
          <t>MEDIUM</t>
        </is>
      </c>
      <c r="F1819" s="187" t="n">
        <v>2</v>
      </c>
      <c r="G1819" s="187" t="n">
        <v>2</v>
      </c>
      <c r="H1819" s="187" t="inlineStr">
        <is>
          <t>MEDIUM</t>
        </is>
      </c>
      <c r="I1819" s="187" t="n">
        <v>10</v>
      </c>
      <c r="J1819" s="187" t="inlineStr">
        <is>
          <t>NO</t>
        </is>
      </c>
      <c r="K1819" s="187" t="inlineStr">
        <is>
          <t>https://www.blocklist.de/</t>
        </is>
      </c>
      <c r="L1819" s="187" t="inlineStr">
        <is>
          <t>2026-02-26 00:15</t>
        </is>
      </c>
      <c r="M1819" s="187" t="inlineStr">
        <is>
          <t>Block IP</t>
        </is>
      </c>
      <c r="N1819" s="187" t="inlineStr">
        <is>
          <t>https://www.blocklist.de/</t>
        </is>
      </c>
      <c r="O1819" s="187" t="inlineStr">
        <is>
          <t>Block IP 1.245.207.104 at firewall | Check SIEM for existing connections</t>
        </is>
      </c>
      <c r="P1819" s="187" t="inlineStr">
        <is>
          <t>Firewall/Network</t>
        </is>
      </c>
      <c r="Q1819" s="187" t="inlineStr">
        <is>
          <t>P4</t>
        </is>
      </c>
      <c r="R1819" s="187" t="inlineStr">
        <is>
          <t>🚫 Block IP at firewall immediately | 🔍 Check logs for existing connections | 🛡️ Add to threat intelligence blocklist</t>
        </is>
      </c>
      <c r="S1819" s="187" t="inlineStr">
        <is>
          <t>Blocklist IP — ip-api.com context available</t>
        </is>
      </c>
      <c r="T1819" s="187" t="n">
        <v>0</v>
      </c>
      <c r="U1819" s="187" t="n">
        <v>0</v>
      </c>
      <c r="V1819" s="187" t="inlineStr">
        <is>
          <t>T1110:Brute Force | T1190:Exploit Public-Facing Application</t>
        </is>
      </c>
      <c r="W1819" s="187" t="n">
        <v>1</v>
      </c>
      <c r="X1819" s="187" t="inlineStr">
        <is>
          <t>LOW (40%)</t>
        </is>
      </c>
      <c r="Y1819" s="187" t="inlineStr">
        <is>
          <t>NONE</t>
        </is>
      </c>
      <c r="Z1819" s="187" t="inlineStr">
        <is>
          <t>NONE</t>
        </is>
      </c>
      <c r="AA1819" s="187" t="inlineStr">
        <is>
          <t>NONE</t>
        </is>
      </c>
      <c r="AB1819" s="187" t="inlineStr">
        <is>
          <t>NONE</t>
        </is>
      </c>
      <c r="AC1819" s="187" t="n">
        <v>0</v>
      </c>
      <c r="AD1819" s="187" t="inlineStr"/>
    </row>
    <row r="1820">
      <c r="A1820" s="187" t="inlineStr">
        <is>
          <t>BLOCKLIST_DE</t>
        </is>
      </c>
      <c r="B1820" s="187" t="inlineStr">
        <is>
          <t>3a96bb34832f</t>
        </is>
      </c>
      <c r="C1820" s="187" t="inlineStr">
        <is>
          <t>Blocklist.de: 1.246.14.175 | Attack activity reported | Sources: BLOCKLIST_DE</t>
        </is>
      </c>
      <c r="D1820" s="187" t="n">
        <v>6</v>
      </c>
      <c r="E1820" s="187" t="inlineStr">
        <is>
          <t>MEDIUM</t>
        </is>
      </c>
      <c r="F1820" s="187" t="n">
        <v>2</v>
      </c>
      <c r="G1820" s="187" t="n">
        <v>2</v>
      </c>
      <c r="H1820" s="187" t="inlineStr">
        <is>
          <t>MEDIUM</t>
        </is>
      </c>
      <c r="I1820" s="187" t="n">
        <v>10</v>
      </c>
      <c r="J1820" s="187" t="inlineStr">
        <is>
          <t>NO</t>
        </is>
      </c>
      <c r="K1820" s="187" t="inlineStr">
        <is>
          <t>https://www.blocklist.de/</t>
        </is>
      </c>
      <c r="L1820" s="187" t="inlineStr">
        <is>
          <t>2026-02-26 00:15</t>
        </is>
      </c>
      <c r="M1820" s="187" t="inlineStr">
        <is>
          <t>Block IP</t>
        </is>
      </c>
      <c r="N1820" s="187" t="inlineStr">
        <is>
          <t>https://www.blocklist.de/</t>
        </is>
      </c>
      <c r="O1820" s="187" t="inlineStr">
        <is>
          <t>Block IP 1.246.14.175 at firewall | Check SIEM for existing connections</t>
        </is>
      </c>
      <c r="P1820" s="187" t="inlineStr">
        <is>
          <t>Firewall/Network</t>
        </is>
      </c>
      <c r="Q1820" s="187" t="inlineStr">
        <is>
          <t>P4</t>
        </is>
      </c>
      <c r="R1820" s="187" t="inlineStr">
        <is>
          <t>🚫 Block IP at firewall immediately | 🔍 Check logs for existing connections | 🛡️ Add to threat intelligence blocklist</t>
        </is>
      </c>
      <c r="S1820" s="187" t="inlineStr">
        <is>
          <t>Blocklist IP — ip-api.com context available</t>
        </is>
      </c>
      <c r="T1820" s="187" t="n">
        <v>0</v>
      </c>
      <c r="U1820" s="187" t="n">
        <v>0</v>
      </c>
      <c r="V1820" s="187" t="inlineStr">
        <is>
          <t>T1110:Brute Force | T1190:Exploit Public-Facing Application</t>
        </is>
      </c>
      <c r="W1820" s="187" t="n">
        <v>1</v>
      </c>
      <c r="X1820" s="187" t="inlineStr">
        <is>
          <t>LOW (40%)</t>
        </is>
      </c>
      <c r="Y1820" s="187" t="inlineStr">
        <is>
          <t>NONE</t>
        </is>
      </c>
      <c r="Z1820" s="187" t="inlineStr">
        <is>
          <t>NONE</t>
        </is>
      </c>
      <c r="AA1820" s="187" t="inlineStr">
        <is>
          <t>NONE</t>
        </is>
      </c>
      <c r="AB1820" s="187" t="inlineStr">
        <is>
          <t>NONE</t>
        </is>
      </c>
      <c r="AC1820" s="187" t="n">
        <v>0</v>
      </c>
      <c r="AD1820" s="187" t="inlineStr"/>
    </row>
    <row r="1821">
      <c r="A1821" s="187" t="inlineStr">
        <is>
          <t>BLOCKLIST_DE</t>
        </is>
      </c>
      <c r="B1821" s="187" t="inlineStr">
        <is>
          <t>ae41c4e1204a</t>
        </is>
      </c>
      <c r="C1821" s="187" t="inlineStr">
        <is>
          <t>Blocklist.de: 1.247.216.26 | Attack activity reported | Sources: BLOCKLIST_DE</t>
        </is>
      </c>
      <c r="D1821" s="187" t="n">
        <v>6</v>
      </c>
      <c r="E1821" s="187" t="inlineStr">
        <is>
          <t>MEDIUM</t>
        </is>
      </c>
      <c r="F1821" s="187" t="n">
        <v>2</v>
      </c>
      <c r="G1821" s="187" t="n">
        <v>2</v>
      </c>
      <c r="H1821" s="187" t="inlineStr">
        <is>
          <t>MEDIUM</t>
        </is>
      </c>
      <c r="I1821" s="187" t="n">
        <v>10</v>
      </c>
      <c r="J1821" s="187" t="inlineStr">
        <is>
          <t>NO</t>
        </is>
      </c>
      <c r="K1821" s="187" t="inlineStr">
        <is>
          <t>https://www.blocklist.de/</t>
        </is>
      </c>
      <c r="L1821" s="187" t="inlineStr">
        <is>
          <t>2026-02-26 00:15</t>
        </is>
      </c>
      <c r="M1821" s="187" t="inlineStr">
        <is>
          <t>Block IP</t>
        </is>
      </c>
      <c r="N1821" s="187" t="inlineStr">
        <is>
          <t>https://www.blocklist.de/</t>
        </is>
      </c>
      <c r="O1821" s="187" t="inlineStr">
        <is>
          <t>Block IP 1.247.216.26 at firewall | Check SIEM for existing connections</t>
        </is>
      </c>
      <c r="P1821" s="187" t="inlineStr">
        <is>
          <t>Firewall/Network</t>
        </is>
      </c>
      <c r="Q1821" s="187" t="inlineStr">
        <is>
          <t>P4</t>
        </is>
      </c>
      <c r="R1821" s="187" t="inlineStr">
        <is>
          <t>🚫 Block IP at firewall immediately | 🔍 Check logs for existing connections | 🛡️ Add to threat intelligence blocklist</t>
        </is>
      </c>
      <c r="S1821" s="187" t="inlineStr">
        <is>
          <t>Blocklist IP — ip-api.com context available</t>
        </is>
      </c>
      <c r="T1821" s="187" t="n">
        <v>0</v>
      </c>
      <c r="U1821" s="187" t="n">
        <v>0</v>
      </c>
      <c r="V1821" s="187" t="inlineStr">
        <is>
          <t>T1110:Brute Force | T1190:Exploit Public-Facing Application</t>
        </is>
      </c>
      <c r="W1821" s="187" t="n">
        <v>1</v>
      </c>
      <c r="X1821" s="187" t="inlineStr">
        <is>
          <t>LOW (40%)</t>
        </is>
      </c>
      <c r="Y1821" s="187" t="inlineStr">
        <is>
          <t>NONE</t>
        </is>
      </c>
      <c r="Z1821" s="187" t="inlineStr">
        <is>
          <t>NONE</t>
        </is>
      </c>
      <c r="AA1821" s="187" t="inlineStr">
        <is>
          <t>NONE</t>
        </is>
      </c>
      <c r="AB1821" s="187" t="inlineStr">
        <is>
          <t>NONE</t>
        </is>
      </c>
      <c r="AC1821" s="187" t="n">
        <v>0</v>
      </c>
      <c r="AD1821" s="187" t="inlineStr"/>
    </row>
    <row r="1822">
      <c r="A1822" s="187" t="inlineStr">
        <is>
          <t>BLOCKLIST_DE</t>
        </is>
      </c>
      <c r="B1822" s="187" t="inlineStr">
        <is>
          <t>fc947da86e5f</t>
        </is>
      </c>
      <c r="C1822" s="187" t="inlineStr">
        <is>
          <t>Blocklist.de: 1.247.245.61 | Attack activity reported | Sources: BLOCKLIST_DE</t>
        </is>
      </c>
      <c r="D1822" s="187" t="n">
        <v>6</v>
      </c>
      <c r="E1822" s="187" t="inlineStr">
        <is>
          <t>MEDIUM</t>
        </is>
      </c>
      <c r="F1822" s="187" t="n">
        <v>2</v>
      </c>
      <c r="G1822" s="187" t="n">
        <v>2</v>
      </c>
      <c r="H1822" s="187" t="inlineStr">
        <is>
          <t>MEDIUM</t>
        </is>
      </c>
      <c r="I1822" s="187" t="n">
        <v>10</v>
      </c>
      <c r="J1822" s="187" t="inlineStr">
        <is>
          <t>NO</t>
        </is>
      </c>
      <c r="K1822" s="187" t="inlineStr">
        <is>
          <t>https://www.blocklist.de/</t>
        </is>
      </c>
      <c r="L1822" s="187" t="inlineStr">
        <is>
          <t>2026-02-26 00:15</t>
        </is>
      </c>
      <c r="M1822" s="187" t="inlineStr">
        <is>
          <t>Block IP</t>
        </is>
      </c>
      <c r="N1822" s="187" t="inlineStr">
        <is>
          <t>https://www.blocklist.de/</t>
        </is>
      </c>
      <c r="O1822" s="187" t="inlineStr">
        <is>
          <t>Block IP 1.247.245.61 at firewall | Check SIEM for existing connections</t>
        </is>
      </c>
      <c r="P1822" s="187" t="inlineStr">
        <is>
          <t>Firewall/Network</t>
        </is>
      </c>
      <c r="Q1822" s="187" t="inlineStr">
        <is>
          <t>P4</t>
        </is>
      </c>
      <c r="R1822" s="187" t="inlineStr">
        <is>
          <t>🚫 Block IP at firewall immediately | 🔍 Check logs for existing connections | 🛡️ Add to threat intelligence blocklist</t>
        </is>
      </c>
      <c r="S1822" s="187" t="inlineStr">
        <is>
          <t>Blocklist IP — ip-api.com context available</t>
        </is>
      </c>
      <c r="T1822" s="187" t="n">
        <v>0</v>
      </c>
      <c r="U1822" s="187" t="n">
        <v>0</v>
      </c>
      <c r="V1822" s="187" t="inlineStr">
        <is>
          <t>T1110:Brute Force | T1190:Exploit Public-Facing Application</t>
        </is>
      </c>
      <c r="W1822" s="187" t="n">
        <v>1</v>
      </c>
      <c r="X1822" s="187" t="inlineStr">
        <is>
          <t>LOW (40%)</t>
        </is>
      </c>
      <c r="Y1822" s="187" t="inlineStr">
        <is>
          <t>NONE</t>
        </is>
      </c>
      <c r="Z1822" s="187" t="inlineStr">
        <is>
          <t>NONE</t>
        </is>
      </c>
      <c r="AA1822" s="187" t="inlineStr">
        <is>
          <t>NONE</t>
        </is>
      </c>
      <c r="AB1822" s="187" t="inlineStr">
        <is>
          <t>NONE</t>
        </is>
      </c>
      <c r="AC1822" s="187" t="n">
        <v>0</v>
      </c>
      <c r="AD1822" s="187" t="inlineStr"/>
    </row>
    <row r="1823">
      <c r="A1823" s="187" t="inlineStr">
        <is>
          <t>BLOCKLIST_DE</t>
        </is>
      </c>
      <c r="B1823" s="187" t="inlineStr">
        <is>
          <t>f1207548d599</t>
        </is>
      </c>
      <c r="C1823" s="187" t="inlineStr">
        <is>
          <t>Blocklist.de: 1.250.67.114 | Attack activity reported | Sources: BLOCKLIST_DE</t>
        </is>
      </c>
      <c r="D1823" s="187" t="n">
        <v>6</v>
      </c>
      <c r="E1823" s="187" t="inlineStr">
        <is>
          <t>MEDIUM</t>
        </is>
      </c>
      <c r="F1823" s="187" t="n">
        <v>2</v>
      </c>
      <c r="G1823" s="187" t="n">
        <v>2</v>
      </c>
      <c r="H1823" s="187" t="inlineStr">
        <is>
          <t>MEDIUM</t>
        </is>
      </c>
      <c r="I1823" s="187" t="n">
        <v>10</v>
      </c>
      <c r="J1823" s="187" t="inlineStr">
        <is>
          <t>NO</t>
        </is>
      </c>
      <c r="K1823" s="187" t="inlineStr">
        <is>
          <t>https://www.blocklist.de/</t>
        </is>
      </c>
      <c r="L1823" s="187" t="inlineStr">
        <is>
          <t>2026-02-26 00:15</t>
        </is>
      </c>
      <c r="M1823" s="187" t="inlineStr">
        <is>
          <t>Block IP</t>
        </is>
      </c>
      <c r="N1823" s="187" t="inlineStr">
        <is>
          <t>https://www.blocklist.de/</t>
        </is>
      </c>
      <c r="O1823" s="187" t="inlineStr">
        <is>
          <t>Block IP 1.250.67.114 at firewall | Check SIEM for existing connections</t>
        </is>
      </c>
      <c r="P1823" s="187" t="inlineStr">
        <is>
          <t>Firewall/Network</t>
        </is>
      </c>
      <c r="Q1823" s="187" t="inlineStr">
        <is>
          <t>P4</t>
        </is>
      </c>
      <c r="R1823" s="187" t="inlineStr">
        <is>
          <t>🚫 Block IP at firewall immediately | 🔍 Check logs for existing connections | 🛡️ Add to threat intelligence blocklist</t>
        </is>
      </c>
      <c r="S1823" s="187" t="inlineStr">
        <is>
          <t>Blocklist IP — ip-api.com context available</t>
        </is>
      </c>
      <c r="T1823" s="187" t="n">
        <v>0</v>
      </c>
      <c r="U1823" s="187" t="n">
        <v>0</v>
      </c>
      <c r="V1823" s="187" t="inlineStr">
        <is>
          <t>T1110:Brute Force | T1190:Exploit Public-Facing Application</t>
        </is>
      </c>
      <c r="W1823" s="187" t="n">
        <v>1</v>
      </c>
      <c r="X1823" s="187" t="inlineStr">
        <is>
          <t>LOW (40%)</t>
        </is>
      </c>
      <c r="Y1823" s="187" t="inlineStr">
        <is>
          <t>NONE</t>
        </is>
      </c>
      <c r="Z1823" s="187" t="inlineStr">
        <is>
          <t>NONE</t>
        </is>
      </c>
      <c r="AA1823" s="187" t="inlineStr">
        <is>
          <t>NONE</t>
        </is>
      </c>
      <c r="AB1823" s="187" t="inlineStr">
        <is>
          <t>NONE</t>
        </is>
      </c>
      <c r="AC1823" s="187" t="n">
        <v>0</v>
      </c>
      <c r="AD1823" s="187" t="inlineStr"/>
    </row>
    <row r="1824">
      <c r="A1824" s="187" t="inlineStr">
        <is>
          <t>BLOCKLIST_DE</t>
        </is>
      </c>
      <c r="B1824" s="187" t="inlineStr">
        <is>
          <t>f5aac2a1b427</t>
        </is>
      </c>
      <c r="C1824" s="187" t="inlineStr">
        <is>
          <t>Blocklist.de: 1.250.67.190 | Attack activity reported | Sources: BLOCKLIST_DE</t>
        </is>
      </c>
      <c r="D1824" s="187" t="n">
        <v>6</v>
      </c>
      <c r="E1824" s="187" t="inlineStr">
        <is>
          <t>MEDIUM</t>
        </is>
      </c>
      <c r="F1824" s="187" t="n">
        <v>2</v>
      </c>
      <c r="G1824" s="187" t="n">
        <v>2</v>
      </c>
      <c r="H1824" s="187" t="inlineStr">
        <is>
          <t>MEDIUM</t>
        </is>
      </c>
      <c r="I1824" s="187" t="n">
        <v>10</v>
      </c>
      <c r="J1824" s="187" t="inlineStr">
        <is>
          <t>NO</t>
        </is>
      </c>
      <c r="K1824" s="187" t="inlineStr">
        <is>
          <t>https://www.blocklist.de/</t>
        </is>
      </c>
      <c r="L1824" s="187" t="inlineStr">
        <is>
          <t>2026-02-26 00:15</t>
        </is>
      </c>
      <c r="M1824" s="187" t="inlineStr">
        <is>
          <t>Block IP</t>
        </is>
      </c>
      <c r="N1824" s="187" t="inlineStr">
        <is>
          <t>https://www.blocklist.de/</t>
        </is>
      </c>
      <c r="O1824" s="187" t="inlineStr">
        <is>
          <t>Block IP 1.250.67.190 at firewall | Check SIEM for existing connections</t>
        </is>
      </c>
      <c r="P1824" s="187" t="inlineStr">
        <is>
          <t>Firewall/Network</t>
        </is>
      </c>
      <c r="Q1824" s="187" t="inlineStr">
        <is>
          <t>P4</t>
        </is>
      </c>
      <c r="R1824" s="187" t="inlineStr">
        <is>
          <t>🚫 Block IP at firewall immediately | 🔍 Check logs for existing connections | 🛡️ Add to threat intelligence blocklist</t>
        </is>
      </c>
      <c r="S1824" s="187" t="inlineStr">
        <is>
          <t>Blocklist IP — ip-api.com context available</t>
        </is>
      </c>
      <c r="T1824" s="187" t="n">
        <v>0</v>
      </c>
      <c r="U1824" s="187" t="n">
        <v>0</v>
      </c>
      <c r="V1824" s="187" t="inlineStr">
        <is>
          <t>T1110:Brute Force | T1190:Exploit Public-Facing Application</t>
        </is>
      </c>
      <c r="W1824" s="187" t="n">
        <v>1</v>
      </c>
      <c r="X1824" s="187" t="inlineStr">
        <is>
          <t>LOW (40%)</t>
        </is>
      </c>
      <c r="Y1824" s="187" t="inlineStr">
        <is>
          <t>NONE</t>
        </is>
      </c>
      <c r="Z1824" s="187" t="inlineStr">
        <is>
          <t>NONE</t>
        </is>
      </c>
      <c r="AA1824" s="187" t="inlineStr">
        <is>
          <t>NONE</t>
        </is>
      </c>
      <c r="AB1824" s="187" t="inlineStr">
        <is>
          <t>NONE</t>
        </is>
      </c>
      <c r="AC1824" s="187" t="n">
        <v>0</v>
      </c>
      <c r="AD1824" s="187" t="inlineStr"/>
    </row>
    <row r="1825">
      <c r="A1825" s="188" t="inlineStr">
        <is>
          <t>MSF_MODULE</t>
        </is>
      </c>
      <c r="B1825" s="188" t="inlineStr">
        <is>
          <t>CVE-2007-4387</t>
        </is>
      </c>
      <c r="C1825" s="188" t="inlineStr">
        <is>
          <t>Metasploit module available: 2Wire Cross-Site Request Forgery Password Reset Vulnerability | Type: auxiliary_admin | CVE-2007-4387</t>
        </is>
      </c>
      <c r="D1825" s="188" t="n">
        <v>7.5</v>
      </c>
      <c r="E1825" s="188" t="inlineStr">
        <is>
          <t>HIGH</t>
        </is>
      </c>
      <c r="F1825" s="188" t="n">
        <v>3</v>
      </c>
      <c r="G1825" s="188" t="n">
        <v>3</v>
      </c>
      <c r="H1825" s="188" t="inlineStr">
        <is>
          <t>CRITICAL</t>
        </is>
      </c>
      <c r="I1825" s="188" t="n">
        <v>16.5</v>
      </c>
      <c r="J1825" s="188" t="inlineStr">
        <is>
          <t>NO</t>
        </is>
      </c>
      <c r="K1825" s="188" t="inlineStr">
        <is>
          <t>https://nvd.nist.gov/vuln/detail/CVE-2007-4387</t>
        </is>
      </c>
      <c r="L1825" s="188" t="inlineStr">
        <is>
          <t>2026-02-26 00:15</t>
        </is>
      </c>
      <c r="M1825" s="188" t="inlineStr">
        <is>
          <t>PATCH_IMMEDIATELY</t>
        </is>
      </c>
      <c r="N1825" s="188" t="inlineStr">
        <is>
          <t>https://nvd.nist.gov/vuln/detail/CVE-2007-4387</t>
        </is>
      </c>
      <c r="O1825" s="188" t="inlineStr">
        <is>
          <t>Patch CVE-2007-4387 immediately — weaponized Metasploit module in public release | Module: 2Wire Cross-Site Request Forgery Password Reset Vulnerability</t>
        </is>
      </c>
      <c r="P1825" s="188" t="inlineStr">
        <is>
          <t>See CVE details</t>
        </is>
      </c>
      <c r="Q1825" s="188" t="inlineStr">
        <is>
          <t>P2</t>
        </is>
      </c>
      <c r="R1825" s="188" t="inlineStr">
        <is>
          <t>🔍 Investigate and apply appropriate controls</t>
        </is>
      </c>
      <c r="S1825" s="188" t="inlineStr">
        <is>
          <t>Rapid7 MSF: 2Wire Cross-Site Request Forgery Password Reset Vulnerability | Module type: auxiliary_admin</t>
        </is>
      </c>
      <c r="T1825" s="188" t="n">
        <v>0</v>
      </c>
      <c r="U1825" s="188" t="n">
        <v>0</v>
      </c>
      <c r="V1825" s="188" t="inlineStr">
        <is>
          <t>T1203:Exploitation for Client Execution | T1190:Exploit Public-Facing Application</t>
        </is>
      </c>
      <c r="W1825" s="188" t="n">
        <v>2</v>
      </c>
      <c r="X1825" s="188" t="inlineStr">
        <is>
          <t>HIGH (72%)</t>
        </is>
      </c>
      <c r="Y1825" s="188" t="inlineStr">
        <is>
          <t>WEAPONIZED</t>
        </is>
      </c>
      <c r="Z1825" s="188" t="inlineStr">
        <is>
          <t>CHECK_VENDOR</t>
        </is>
      </c>
      <c r="AA1825" s="188" t="inlineStr">
        <is>
          <t>https://www.rapid7.com/db/search/?q=CVE-2007-4387</t>
        </is>
      </c>
      <c r="AB1825" s="188" t="inlineStr">
        <is>
          <t>NONE</t>
        </is>
      </c>
      <c r="AC1825" s="188" t="n">
        <v>0</v>
      </c>
      <c r="AD1825" s="188" t="inlineStr"/>
    </row>
    <row r="1826">
      <c r="A1826" s="188" t="inlineStr">
        <is>
          <t>MSF_MODULE</t>
        </is>
      </c>
      <c r="B1826" s="188" t="inlineStr">
        <is>
          <t>CVE-2014-6041</t>
        </is>
      </c>
      <c r="C1826" s="188" t="inlineStr">
        <is>
          <t>Metasploit module available: Android Browser RCE Through Google Play Store XFO | Type: auxiliary_admin | CVE-2014-6041</t>
        </is>
      </c>
      <c r="D1826" s="188" t="n">
        <v>7.5</v>
      </c>
      <c r="E1826" s="188" t="inlineStr">
        <is>
          <t>HIGH</t>
        </is>
      </c>
      <c r="F1826" s="188" t="n">
        <v>3</v>
      </c>
      <c r="G1826" s="188" t="n">
        <v>3</v>
      </c>
      <c r="H1826" s="188" t="inlineStr">
        <is>
          <t>CRITICAL</t>
        </is>
      </c>
      <c r="I1826" s="188" t="n">
        <v>16.5</v>
      </c>
      <c r="J1826" s="188" t="inlineStr">
        <is>
          <t>NO</t>
        </is>
      </c>
      <c r="K1826" s="188" t="inlineStr">
        <is>
          <t>https://nvd.nist.gov/vuln/detail/CVE-2014-6041</t>
        </is>
      </c>
      <c r="L1826" s="188" t="inlineStr">
        <is>
          <t>2026-02-26 00:15</t>
        </is>
      </c>
      <c r="M1826" s="188" t="inlineStr">
        <is>
          <t>PATCH_IMMEDIATELY</t>
        </is>
      </c>
      <c r="N1826" s="188" t="inlineStr">
        <is>
          <t>https://nvd.nist.gov/vuln/detail/CVE-2014-6041</t>
        </is>
      </c>
      <c r="O1826" s="188" t="inlineStr">
        <is>
          <t>Patch CVE-2014-6041 immediately — weaponized Metasploit module in public release | Module: Android Browser RCE Through Google Play Store XFO</t>
        </is>
      </c>
      <c r="P1826" s="188" t="inlineStr">
        <is>
          <t>See CVE details</t>
        </is>
      </c>
      <c r="Q1826" s="188" t="inlineStr">
        <is>
          <t>P2</t>
        </is>
      </c>
      <c r="R1826" s="188" t="inlineStr">
        <is>
          <t>🔍 Investigate and apply appropriate controls</t>
        </is>
      </c>
      <c r="S1826" s="188" t="inlineStr">
        <is>
          <t>Rapid7 MSF: Android Browser RCE Through Google Play Store XFO | Module type: auxiliary_admin</t>
        </is>
      </c>
      <c r="T1826" s="188" t="n">
        <v>0</v>
      </c>
      <c r="U1826" s="188" t="n">
        <v>0</v>
      </c>
      <c r="V1826" s="188" t="inlineStr">
        <is>
          <t>T1203:Exploitation for Client Execution | T1190:Exploit Public-Facing Application</t>
        </is>
      </c>
      <c r="W1826" s="188" t="n">
        <v>2</v>
      </c>
      <c r="X1826" s="188" t="inlineStr">
        <is>
          <t>HIGH (72%)</t>
        </is>
      </c>
      <c r="Y1826" s="188" t="inlineStr">
        <is>
          <t>WEAPONIZED</t>
        </is>
      </c>
      <c r="Z1826" s="188" t="inlineStr">
        <is>
          <t>CHECK_VENDOR</t>
        </is>
      </c>
      <c r="AA1826" s="188" t="inlineStr">
        <is>
          <t>https://www.rapid7.com/db/search/?q=CVE-2014-6041</t>
        </is>
      </c>
      <c r="AB1826" s="188" t="inlineStr">
        <is>
          <t>NONE</t>
        </is>
      </c>
      <c r="AC1826" s="188" t="n">
        <v>0</v>
      </c>
      <c r="AD1826" s="188" t="inlineStr"/>
    </row>
    <row r="1827">
      <c r="A1827" s="188" t="inlineStr">
        <is>
          <t>MSF_MODULE</t>
        </is>
      </c>
      <c r="B1827" s="188" t="inlineStr">
        <is>
          <t>CVE-2005-2611</t>
        </is>
      </c>
      <c r="C1827" s="188" t="inlineStr">
        <is>
          <t>Metasploit module available: Veritas Backup Exec Windows Remote File Access | Type: auxiliary_admin | CVE-2005-2611</t>
        </is>
      </c>
      <c r="D1827" s="188" t="n">
        <v>7.5</v>
      </c>
      <c r="E1827" s="188" t="inlineStr">
        <is>
          <t>HIGH</t>
        </is>
      </c>
      <c r="F1827" s="188" t="n">
        <v>3</v>
      </c>
      <c r="G1827" s="188" t="n">
        <v>3</v>
      </c>
      <c r="H1827" s="188" t="inlineStr">
        <is>
          <t>CRITICAL</t>
        </is>
      </c>
      <c r="I1827" s="188" t="n">
        <v>16.5</v>
      </c>
      <c r="J1827" s="188" t="inlineStr">
        <is>
          <t>NO</t>
        </is>
      </c>
      <c r="K1827" s="188" t="inlineStr">
        <is>
          <t>https://nvd.nist.gov/vuln/detail/CVE-2005-2611</t>
        </is>
      </c>
      <c r="L1827" s="188" t="inlineStr">
        <is>
          <t>2026-02-26 00:15</t>
        </is>
      </c>
      <c r="M1827" s="188" t="inlineStr">
        <is>
          <t>PATCH_IMMEDIATELY</t>
        </is>
      </c>
      <c r="N1827" s="188" t="inlineStr">
        <is>
          <t>https://nvd.nist.gov/vuln/detail/CVE-2005-2611</t>
        </is>
      </c>
      <c r="O1827" s="188" t="inlineStr">
        <is>
          <t>Patch CVE-2005-2611 immediately — weaponized Metasploit module in public release | Module: Veritas Backup Exec Windows Remote File Access</t>
        </is>
      </c>
      <c r="P1827" s="188" t="inlineStr">
        <is>
          <t>See CVE details</t>
        </is>
      </c>
      <c r="Q1827" s="188" t="inlineStr">
        <is>
          <t>P2</t>
        </is>
      </c>
      <c r="R1827" s="188" t="inlineStr">
        <is>
          <t>🔍 Investigate and apply appropriate controls</t>
        </is>
      </c>
      <c r="S1827" s="188" t="inlineStr">
        <is>
          <t>Rapid7 MSF: Veritas Backup Exec Windows Remote File Access | Module type: auxiliary_admin</t>
        </is>
      </c>
      <c r="T1827" s="188" t="n">
        <v>0</v>
      </c>
      <c r="U1827" s="188" t="n">
        <v>0</v>
      </c>
      <c r="V1827" s="188" t="inlineStr">
        <is>
          <t>T1203:Exploitation for Client Execution | T1190:Exploit Public-Facing Application</t>
        </is>
      </c>
      <c r="W1827" s="188" t="n">
        <v>2</v>
      </c>
      <c r="X1827" s="188" t="inlineStr">
        <is>
          <t>HIGH (72%)</t>
        </is>
      </c>
      <c r="Y1827" s="188" t="inlineStr">
        <is>
          <t>WEAPONIZED</t>
        </is>
      </c>
      <c r="Z1827" s="188" t="inlineStr">
        <is>
          <t>CHECK_VENDOR</t>
        </is>
      </c>
      <c r="AA1827" s="188" t="inlineStr">
        <is>
          <t>https://www.rapid7.com/db/search/?q=CVE-2005-2611</t>
        </is>
      </c>
      <c r="AB1827" s="188" t="inlineStr">
        <is>
          <t>NONE</t>
        </is>
      </c>
      <c r="AC1827" s="188" t="n">
        <v>0</v>
      </c>
      <c r="AD1827" s="188" t="inlineStr"/>
    </row>
    <row r="1828">
      <c r="A1828" s="188" t="inlineStr">
        <is>
          <t>MSF_MODULE</t>
        </is>
      </c>
      <c r="B1828" s="188" t="inlineStr">
        <is>
          <t>CVE-2005-0771</t>
        </is>
      </c>
      <c r="C1828" s="188" t="inlineStr">
        <is>
          <t>Metasploit module available: Veritas Backup Exec Server Registry Access | Type: auxiliary_admin | CVE-2005-0771</t>
        </is>
      </c>
      <c r="D1828" s="188" t="n">
        <v>7.5</v>
      </c>
      <c r="E1828" s="188" t="inlineStr">
        <is>
          <t>HIGH</t>
        </is>
      </c>
      <c r="F1828" s="188" t="n">
        <v>3</v>
      </c>
      <c r="G1828" s="188" t="n">
        <v>3</v>
      </c>
      <c r="H1828" s="188" t="inlineStr">
        <is>
          <t>CRITICAL</t>
        </is>
      </c>
      <c r="I1828" s="188" t="n">
        <v>16.5</v>
      </c>
      <c r="J1828" s="188" t="inlineStr">
        <is>
          <t>NO</t>
        </is>
      </c>
      <c r="K1828" s="188" t="inlineStr">
        <is>
          <t>https://nvd.nist.gov/vuln/detail/CVE-2005-0771</t>
        </is>
      </c>
      <c r="L1828" s="188" t="inlineStr">
        <is>
          <t>2026-02-26 00:15</t>
        </is>
      </c>
      <c r="M1828" s="188" t="inlineStr">
        <is>
          <t>PATCH_IMMEDIATELY</t>
        </is>
      </c>
      <c r="N1828" s="188" t="inlineStr">
        <is>
          <t>https://nvd.nist.gov/vuln/detail/CVE-2005-0771</t>
        </is>
      </c>
      <c r="O1828" s="188" t="inlineStr">
        <is>
          <t>Patch CVE-2005-0771 immediately — weaponized Metasploit module in public release | Module: Veritas Backup Exec Server Registry Access</t>
        </is>
      </c>
      <c r="P1828" s="188" t="inlineStr">
        <is>
          <t>See CVE details</t>
        </is>
      </c>
      <c r="Q1828" s="188" t="inlineStr">
        <is>
          <t>P2</t>
        </is>
      </c>
      <c r="R1828" s="188" t="inlineStr">
        <is>
          <t>🔍 Investigate and apply appropriate controls</t>
        </is>
      </c>
      <c r="S1828" s="188" t="inlineStr">
        <is>
          <t>Rapid7 MSF: Veritas Backup Exec Server Registry Access | Module type: auxiliary_admin</t>
        </is>
      </c>
      <c r="T1828" s="188" t="n">
        <v>0</v>
      </c>
      <c r="U1828" s="188" t="n">
        <v>0</v>
      </c>
      <c r="V1828" s="188" t="inlineStr">
        <is>
          <t>T1203:Exploitation for Client Execution | T1190:Exploit Public-Facing Application</t>
        </is>
      </c>
      <c r="W1828" s="188" t="n">
        <v>2</v>
      </c>
      <c r="X1828" s="188" t="inlineStr">
        <is>
          <t>HIGH (72%)</t>
        </is>
      </c>
      <c r="Y1828" s="188" t="inlineStr">
        <is>
          <t>WEAPONIZED</t>
        </is>
      </c>
      <c r="Z1828" s="188" t="inlineStr">
        <is>
          <t>CHECK_VENDOR</t>
        </is>
      </c>
      <c r="AA1828" s="188" t="inlineStr">
        <is>
          <t>https://www.rapid7.com/db/search/?q=CVE-2005-0771</t>
        </is>
      </c>
      <c r="AB1828" s="188" t="inlineStr">
        <is>
          <t>NONE</t>
        </is>
      </c>
      <c r="AC1828" s="188" t="n">
        <v>0</v>
      </c>
      <c r="AD1828" s="188" t="inlineStr"/>
    </row>
    <row r="1829">
      <c r="A1829" s="188" t="inlineStr">
        <is>
          <t>MSF_MODULE</t>
        </is>
      </c>
      <c r="B1829" s="188" t="inlineStr">
        <is>
          <t>CVE-2004-0795</t>
        </is>
      </c>
      <c r="C1829" s="188" t="inlineStr">
        <is>
          <t>Metasploit module available: IBM DB2 db2rcmd.exe Command Execution Vulnerability | Type: auxiliary_admin | CVE-2004-0795</t>
        </is>
      </c>
      <c r="D1829" s="188" t="n">
        <v>7.5</v>
      </c>
      <c r="E1829" s="188" t="inlineStr">
        <is>
          <t>HIGH</t>
        </is>
      </c>
      <c r="F1829" s="188" t="n">
        <v>3</v>
      </c>
      <c r="G1829" s="188" t="n">
        <v>3</v>
      </c>
      <c r="H1829" s="188" t="inlineStr">
        <is>
          <t>CRITICAL</t>
        </is>
      </c>
      <c r="I1829" s="188" t="n">
        <v>16.5</v>
      </c>
      <c r="J1829" s="188" t="inlineStr">
        <is>
          <t>NO</t>
        </is>
      </c>
      <c r="K1829" s="188" t="inlineStr">
        <is>
          <t>https://nvd.nist.gov/vuln/detail/CVE-2004-0795</t>
        </is>
      </c>
      <c r="L1829" s="188" t="inlineStr">
        <is>
          <t>2026-02-26 00:15</t>
        </is>
      </c>
      <c r="M1829" s="188" t="inlineStr">
        <is>
          <t>PATCH_IMMEDIATELY</t>
        </is>
      </c>
      <c r="N1829" s="188" t="inlineStr">
        <is>
          <t>https://nvd.nist.gov/vuln/detail/CVE-2004-0795</t>
        </is>
      </c>
      <c r="O1829" s="188" t="inlineStr">
        <is>
          <t>Patch CVE-2004-0795 immediately — weaponized Metasploit module in public release | Module: IBM DB2 db2rcmd.exe Command Execution Vulnerability</t>
        </is>
      </c>
      <c r="P1829" s="188" t="inlineStr">
        <is>
          <t>See CVE details</t>
        </is>
      </c>
      <c r="Q1829" s="188" t="inlineStr">
        <is>
          <t>P2</t>
        </is>
      </c>
      <c r="R1829" s="188" t="inlineStr">
        <is>
          <t>🔍 Investigate and apply appropriate controls</t>
        </is>
      </c>
      <c r="S1829" s="188" t="inlineStr">
        <is>
          <t>Rapid7 MSF: IBM DB2 db2rcmd.exe Command Execution Vulnerability | Module type: auxiliary_admin</t>
        </is>
      </c>
      <c r="T1829" s="188" t="n">
        <v>0</v>
      </c>
      <c r="U1829" s="188" t="n">
        <v>0</v>
      </c>
      <c r="V1829" s="188" t="inlineStr">
        <is>
          <t>T1203:Exploitation for Client Execution | T1190:Exploit Public-Facing Application</t>
        </is>
      </c>
      <c r="W1829" s="188" t="n">
        <v>2</v>
      </c>
      <c r="X1829" s="188" t="inlineStr">
        <is>
          <t>HIGH (72%)</t>
        </is>
      </c>
      <c r="Y1829" s="188" t="inlineStr">
        <is>
          <t>WEAPONIZED</t>
        </is>
      </c>
      <c r="Z1829" s="188" t="inlineStr">
        <is>
          <t>CHECK_VENDOR</t>
        </is>
      </c>
      <c r="AA1829" s="188" t="inlineStr">
        <is>
          <t>https://www.rapid7.com/db/search/?q=CVE-2004-0795</t>
        </is>
      </c>
      <c r="AB1829" s="188" t="inlineStr">
        <is>
          <t>NONE</t>
        </is>
      </c>
      <c r="AC1829" s="188" t="n">
        <v>0</v>
      </c>
      <c r="AD1829" s="188" t="inlineStr"/>
    </row>
    <row r="1830">
      <c r="A1830" s="188" t="inlineStr">
        <is>
          <t>MSF_MODULE</t>
        </is>
      </c>
      <c r="B1830" s="188" t="inlineStr">
        <is>
          <t>CVE-2020-1472</t>
        </is>
      </c>
      <c r="C1830" s="188" t="inlineStr">
        <is>
          <t>Metasploit module available: Netlogon Weak Cryptographic Authentication | Type: auxiliary_admin | CVE-2020-1472</t>
        </is>
      </c>
      <c r="D1830" s="188" t="n">
        <v>7.5</v>
      </c>
      <c r="E1830" s="188" t="inlineStr">
        <is>
          <t>HIGH</t>
        </is>
      </c>
      <c r="F1830" s="188" t="n">
        <v>3</v>
      </c>
      <c r="G1830" s="188" t="n">
        <v>3</v>
      </c>
      <c r="H1830" s="188" t="inlineStr">
        <is>
          <t>CRITICAL</t>
        </is>
      </c>
      <c r="I1830" s="188" t="n">
        <v>16.5</v>
      </c>
      <c r="J1830" s="188" t="inlineStr">
        <is>
          <t>YES</t>
        </is>
      </c>
      <c r="K1830" s="188" t="inlineStr">
        <is>
          <t>https://nvd.nist.gov/vuln/detail/CVE-2020-1472</t>
        </is>
      </c>
      <c r="L1830" s="188" t="inlineStr">
        <is>
          <t>2026-02-26 00:15</t>
        </is>
      </c>
      <c r="M1830" s="188" t="inlineStr">
        <is>
          <t>PATCH_IMMEDIATELY</t>
        </is>
      </c>
      <c r="N1830" s="188" t="inlineStr">
        <is>
          <t>https://nvd.nist.gov/vuln/detail/CVE-2020-1472</t>
        </is>
      </c>
      <c r="O1830" s="188" t="inlineStr">
        <is>
          <t>Patch CVE-2020-1472 immediately — weaponized Metasploit module in public release | Module: Netlogon Weak Cryptographic Authentication</t>
        </is>
      </c>
      <c r="P1830" s="188" t="inlineStr">
        <is>
          <t>See CVE details</t>
        </is>
      </c>
      <c r="Q1830" s="188" t="inlineStr">
        <is>
          <t>P1</t>
        </is>
      </c>
      <c r="R1830" s="188" t="inlineStr">
        <is>
          <t>🔍 Investigate and apply appropriate controls</t>
        </is>
      </c>
      <c r="S1830" s="188" t="inlineStr">
        <is>
          <t>Rapid7 MSF: Netlogon Weak Cryptographic Authentication | Module type: auxiliary_admin</t>
        </is>
      </c>
      <c r="T1830" s="188" t="n">
        <v>0</v>
      </c>
      <c r="U1830" s="188" t="n">
        <v>0</v>
      </c>
      <c r="V1830" s="188" t="inlineStr">
        <is>
          <t>T1203:Exploitation for Client Execution | T1190:Exploit Public-Facing Application</t>
        </is>
      </c>
      <c r="W1830" s="188" t="n">
        <v>2</v>
      </c>
      <c r="X1830" s="188" t="inlineStr">
        <is>
          <t>HIGH (72%)</t>
        </is>
      </c>
      <c r="Y1830" s="188" t="inlineStr">
        <is>
          <t>WEAPONIZED</t>
        </is>
      </c>
      <c r="Z1830" s="188" t="inlineStr">
        <is>
          <t>CHECK_VENDOR</t>
        </is>
      </c>
      <c r="AA1830" s="188" t="inlineStr">
        <is>
          <t>https://www.rapid7.com/db/search/?q=CVE-2020-1472</t>
        </is>
      </c>
      <c r="AB1830" s="188" t="inlineStr">
        <is>
          <t>NONE</t>
        </is>
      </c>
      <c r="AC1830" s="188" t="n">
        <v>0</v>
      </c>
      <c r="AD1830" s="188" t="inlineStr"/>
    </row>
    <row r="1831">
      <c r="A1831" s="188" t="inlineStr">
        <is>
          <t>MSF_MODULE</t>
        </is>
      </c>
      <c r="B1831" s="188" t="inlineStr">
        <is>
          <t>CVE-2022-26923</t>
        </is>
      </c>
      <c r="C1831" s="188" t="inlineStr">
        <is>
          <t>Metasploit module available: Active Directory Certificate Services (ADCS) privilege escalation (Certifried) | Type: auxiliary_admin | CVE-2022-26923</t>
        </is>
      </c>
      <c r="D1831" s="188" t="n">
        <v>7.5</v>
      </c>
      <c r="E1831" s="188" t="inlineStr">
        <is>
          <t>HIGH</t>
        </is>
      </c>
      <c r="F1831" s="188" t="n">
        <v>3</v>
      </c>
      <c r="G1831" s="188" t="n">
        <v>3</v>
      </c>
      <c r="H1831" s="188" t="inlineStr">
        <is>
          <t>CRITICAL</t>
        </is>
      </c>
      <c r="I1831" s="188" t="n">
        <v>16.5</v>
      </c>
      <c r="J1831" s="188" t="inlineStr">
        <is>
          <t>YES</t>
        </is>
      </c>
      <c r="K1831" s="188" t="inlineStr">
        <is>
          <t>https://nvd.nist.gov/vuln/detail/CVE-2022-26923</t>
        </is>
      </c>
      <c r="L1831" s="188" t="inlineStr">
        <is>
          <t>2026-02-26 00:15</t>
        </is>
      </c>
      <c r="M1831" s="188" t="inlineStr">
        <is>
          <t>PATCH_IMMEDIATELY</t>
        </is>
      </c>
      <c r="N1831" s="188" t="inlineStr">
        <is>
          <t>https://nvd.nist.gov/vuln/detail/CVE-2022-26923</t>
        </is>
      </c>
      <c r="O1831" s="188" t="inlineStr">
        <is>
          <t>Patch CVE-2022-26923 immediately — weaponized Metasploit module in public release | Module: Active Directory Certificate Services (ADCS) privilege escalation (Certifried)</t>
        </is>
      </c>
      <c r="P1831" s="188" t="inlineStr">
        <is>
          <t>See CVE details</t>
        </is>
      </c>
      <c r="Q1831" s="188" t="inlineStr">
        <is>
          <t>P1</t>
        </is>
      </c>
      <c r="R1831" s="188" t="inlineStr">
        <is>
          <t>🔍 Investigate and apply appropriate controls</t>
        </is>
      </c>
      <c r="S1831" s="188" t="inlineStr">
        <is>
          <t>Rapid7 MSF: Active Directory Certificate Services (ADCS) privilege escalation (Certifried) | Module type: auxiliary_admin</t>
        </is>
      </c>
      <c r="T1831" s="188" t="n">
        <v>0</v>
      </c>
      <c r="U1831" s="188" t="n">
        <v>0</v>
      </c>
      <c r="V1831" s="188" t="inlineStr">
        <is>
          <t>T1203:Exploitation for Client Execution | T1190:Exploit Public-Facing Application</t>
        </is>
      </c>
      <c r="W1831" s="188" t="n">
        <v>2</v>
      </c>
      <c r="X1831" s="188" t="inlineStr">
        <is>
          <t>HIGH (72%)</t>
        </is>
      </c>
      <c r="Y1831" s="188" t="inlineStr">
        <is>
          <t>WEAPONIZED</t>
        </is>
      </c>
      <c r="Z1831" s="188" t="inlineStr">
        <is>
          <t>CHECK_VENDOR</t>
        </is>
      </c>
      <c r="AA1831" s="188" t="inlineStr">
        <is>
          <t>https://www.rapid7.com/db/search/?q=CVE-2022-26923</t>
        </is>
      </c>
      <c r="AB1831" s="188" t="inlineStr">
        <is>
          <t>NONE</t>
        </is>
      </c>
      <c r="AC1831" s="188" t="n">
        <v>0</v>
      </c>
      <c r="AD1831" s="188" t="inlineStr"/>
    </row>
    <row r="1832">
      <c r="A1832" s="188" t="inlineStr">
        <is>
          <t>MSF_MODULE</t>
        </is>
      </c>
      <c r="B1832" s="188" t="inlineStr">
        <is>
          <t>CVE-2009-4655</t>
        </is>
      </c>
      <c r="C1832" s="188" t="inlineStr">
        <is>
          <t>Metasploit module available: Novell eDirectory DHOST Predictable Session Cookie | Type: auxiliary_admin | CVE-2009-4655</t>
        </is>
      </c>
      <c r="D1832" s="188" t="n">
        <v>7.5</v>
      </c>
      <c r="E1832" s="188" t="inlineStr">
        <is>
          <t>HIGH</t>
        </is>
      </c>
      <c r="F1832" s="188" t="n">
        <v>3</v>
      </c>
      <c r="G1832" s="188" t="n">
        <v>3</v>
      </c>
      <c r="H1832" s="188" t="inlineStr">
        <is>
          <t>CRITICAL</t>
        </is>
      </c>
      <c r="I1832" s="188" t="n">
        <v>16.5</v>
      </c>
      <c r="J1832" s="188" t="inlineStr">
        <is>
          <t>NO</t>
        </is>
      </c>
      <c r="K1832" s="188" t="inlineStr">
        <is>
          <t>https://nvd.nist.gov/vuln/detail/CVE-2009-4655</t>
        </is>
      </c>
      <c r="L1832" s="188" t="inlineStr">
        <is>
          <t>2026-02-26 00:15</t>
        </is>
      </c>
      <c r="M1832" s="188" t="inlineStr">
        <is>
          <t>PATCH_IMMEDIATELY</t>
        </is>
      </c>
      <c r="N1832" s="188" t="inlineStr">
        <is>
          <t>https://nvd.nist.gov/vuln/detail/CVE-2009-4655</t>
        </is>
      </c>
      <c r="O1832" s="188" t="inlineStr">
        <is>
          <t>Patch CVE-2009-4655 immediately — weaponized Metasploit module in public release | Module: Novell eDirectory DHOST Predictable Session Cookie</t>
        </is>
      </c>
      <c r="P1832" s="188" t="inlineStr">
        <is>
          <t>See CVE details</t>
        </is>
      </c>
      <c r="Q1832" s="188" t="inlineStr">
        <is>
          <t>P2</t>
        </is>
      </c>
      <c r="R1832" s="188" t="inlineStr">
        <is>
          <t>🔍 Investigate and apply appropriate controls</t>
        </is>
      </c>
      <c r="S1832" s="188" t="inlineStr">
        <is>
          <t>Rapid7 MSF: Novell eDirectory DHOST Predictable Session Cookie | Module type: auxiliary_admin</t>
        </is>
      </c>
      <c r="T1832" s="188" t="n">
        <v>0</v>
      </c>
      <c r="U1832" s="188" t="n">
        <v>0</v>
      </c>
      <c r="V1832" s="188" t="inlineStr">
        <is>
          <t>T1203:Exploitation for Client Execution | T1190:Exploit Public-Facing Application</t>
        </is>
      </c>
      <c r="W1832" s="188" t="n">
        <v>2</v>
      </c>
      <c r="X1832" s="188" t="inlineStr">
        <is>
          <t>HIGH (72%)</t>
        </is>
      </c>
      <c r="Y1832" s="188" t="inlineStr">
        <is>
          <t>WEAPONIZED</t>
        </is>
      </c>
      <c r="Z1832" s="188" t="inlineStr">
        <is>
          <t>CHECK_VENDOR</t>
        </is>
      </c>
      <c r="AA1832" s="188" t="inlineStr">
        <is>
          <t>https://www.rapid7.com/db/search/?q=CVE-2009-4655</t>
        </is>
      </c>
      <c r="AB1832" s="188" t="inlineStr">
        <is>
          <t>NONE</t>
        </is>
      </c>
      <c r="AC1832" s="188" t="n">
        <v>0</v>
      </c>
      <c r="AD1832" s="188" t="inlineStr"/>
    </row>
    <row r="1833">
      <c r="A1833" s="188" t="inlineStr">
        <is>
          <t>MSF_MODULE</t>
        </is>
      </c>
      <c r="B1833" s="188" t="inlineStr">
        <is>
          <t>CVE-2008-0926</t>
        </is>
      </c>
      <c r="C1833" s="188" t="inlineStr">
        <is>
          <t>Metasploit module available: Novell eDirectory eMBox Unauthenticated File Access | Type: auxiliary_admin | CVE-2008-0926</t>
        </is>
      </c>
      <c r="D1833" s="188" t="n">
        <v>7.5</v>
      </c>
      <c r="E1833" s="188" t="inlineStr">
        <is>
          <t>HIGH</t>
        </is>
      </c>
      <c r="F1833" s="188" t="n">
        <v>3</v>
      </c>
      <c r="G1833" s="188" t="n">
        <v>3</v>
      </c>
      <c r="H1833" s="188" t="inlineStr">
        <is>
          <t>CRITICAL</t>
        </is>
      </c>
      <c r="I1833" s="188" t="n">
        <v>16.5</v>
      </c>
      <c r="J1833" s="188" t="inlineStr">
        <is>
          <t>NO</t>
        </is>
      </c>
      <c r="K1833" s="188" t="inlineStr">
        <is>
          <t>https://nvd.nist.gov/vuln/detail/CVE-2008-0926</t>
        </is>
      </c>
      <c r="L1833" s="188" t="inlineStr">
        <is>
          <t>2026-02-26 00:15</t>
        </is>
      </c>
      <c r="M1833" s="188" t="inlineStr">
        <is>
          <t>PATCH_IMMEDIATELY</t>
        </is>
      </c>
      <c r="N1833" s="188" t="inlineStr">
        <is>
          <t>https://nvd.nist.gov/vuln/detail/CVE-2008-0926</t>
        </is>
      </c>
      <c r="O1833" s="188" t="inlineStr">
        <is>
          <t>Patch CVE-2008-0926 immediately — weaponized Metasploit module in public release | Module: Novell eDirectory eMBox Unauthenticated File Access</t>
        </is>
      </c>
      <c r="P1833" s="188" t="inlineStr">
        <is>
          <t>See CVE details</t>
        </is>
      </c>
      <c r="Q1833" s="188" t="inlineStr">
        <is>
          <t>P2</t>
        </is>
      </c>
      <c r="R1833" s="188" t="inlineStr">
        <is>
          <t>🔍 Investigate and apply appropriate controls</t>
        </is>
      </c>
      <c r="S1833" s="188" t="inlineStr">
        <is>
          <t>Rapid7 MSF: Novell eDirectory eMBox Unauthenticated File Access | Module type: auxiliary_admin</t>
        </is>
      </c>
      <c r="T1833" s="188" t="n">
        <v>0</v>
      </c>
      <c r="U1833" s="188" t="n">
        <v>0</v>
      </c>
      <c r="V1833" s="188" t="inlineStr">
        <is>
          <t>T1203:Exploitation for Client Execution | T1190:Exploit Public-Facing Application</t>
        </is>
      </c>
      <c r="W1833" s="188" t="n">
        <v>2</v>
      </c>
      <c r="X1833" s="188" t="inlineStr">
        <is>
          <t>HIGH (72%)</t>
        </is>
      </c>
      <c r="Y1833" s="188" t="inlineStr">
        <is>
          <t>WEAPONIZED</t>
        </is>
      </c>
      <c r="Z1833" s="188" t="inlineStr">
        <is>
          <t>CHECK_VENDOR</t>
        </is>
      </c>
      <c r="AA1833" s="188" t="inlineStr">
        <is>
          <t>https://www.rapid7.com/db/search/?q=CVE-2008-0926</t>
        </is>
      </c>
      <c r="AB1833" s="188" t="inlineStr">
        <is>
          <t>NONE</t>
        </is>
      </c>
      <c r="AC1833" s="188" t="n">
        <v>0</v>
      </c>
      <c r="AD1833" s="188" t="inlineStr"/>
    </row>
    <row r="1834">
      <c r="A1834" s="188" t="inlineStr">
        <is>
          <t>MSF_MODULE</t>
        </is>
      </c>
      <c r="B1834" s="188" t="inlineStr">
        <is>
          <t>CVE-2008-2157</t>
        </is>
      </c>
      <c r="C1834" s="188" t="inlineStr">
        <is>
          <t>Metasploit module available: EMC AlphaStor Device Manager Arbitrary Command Execution | Type: auxiliary_admin | CVE-2008-2157</t>
        </is>
      </c>
      <c r="D1834" s="188" t="n">
        <v>7.5</v>
      </c>
      <c r="E1834" s="188" t="inlineStr">
        <is>
          <t>HIGH</t>
        </is>
      </c>
      <c r="F1834" s="188" t="n">
        <v>3</v>
      </c>
      <c r="G1834" s="188" t="n">
        <v>3</v>
      </c>
      <c r="H1834" s="188" t="inlineStr">
        <is>
          <t>CRITICAL</t>
        </is>
      </c>
      <c r="I1834" s="188" t="n">
        <v>16.5</v>
      </c>
      <c r="J1834" s="188" t="inlineStr">
        <is>
          <t>NO</t>
        </is>
      </c>
      <c r="K1834" s="188" t="inlineStr">
        <is>
          <t>https://nvd.nist.gov/vuln/detail/CVE-2008-2157</t>
        </is>
      </c>
      <c r="L1834" s="188" t="inlineStr">
        <is>
          <t>2026-02-26 00:15</t>
        </is>
      </c>
      <c r="M1834" s="188" t="inlineStr">
        <is>
          <t>PATCH_IMMEDIATELY</t>
        </is>
      </c>
      <c r="N1834" s="188" t="inlineStr">
        <is>
          <t>https://nvd.nist.gov/vuln/detail/CVE-2008-2157</t>
        </is>
      </c>
      <c r="O1834" s="188" t="inlineStr">
        <is>
          <t>Patch CVE-2008-2157 immediately — weaponized Metasploit module in public release | Module: EMC AlphaStor Device Manager Arbitrary Command Execution</t>
        </is>
      </c>
      <c r="P1834" s="188" t="inlineStr">
        <is>
          <t>See CVE details</t>
        </is>
      </c>
      <c r="Q1834" s="188" t="inlineStr">
        <is>
          <t>P2</t>
        </is>
      </c>
      <c r="R1834" s="188" t="inlineStr">
        <is>
          <t>🔍 Investigate and apply appropriate controls</t>
        </is>
      </c>
      <c r="S1834" s="188" t="inlineStr">
        <is>
          <t>Rapid7 MSF: EMC AlphaStor Device Manager Arbitrary Command Execution | Module type: auxiliary_admin</t>
        </is>
      </c>
      <c r="T1834" s="188" t="n">
        <v>0</v>
      </c>
      <c r="U1834" s="188" t="n">
        <v>0</v>
      </c>
      <c r="V1834" s="188" t="inlineStr">
        <is>
          <t>T1203:Exploitation for Client Execution | T1190:Exploit Public-Facing Application</t>
        </is>
      </c>
      <c r="W1834" s="188" t="n">
        <v>2</v>
      </c>
      <c r="X1834" s="188" t="inlineStr">
        <is>
          <t>HIGH (72%)</t>
        </is>
      </c>
      <c r="Y1834" s="188" t="inlineStr">
        <is>
          <t>WEAPONIZED</t>
        </is>
      </c>
      <c r="Z1834" s="188" t="inlineStr">
        <is>
          <t>CHECK_VENDOR</t>
        </is>
      </c>
      <c r="AA1834" s="188" t="inlineStr">
        <is>
          <t>https://www.rapid7.com/db/search/?q=CVE-2008-2157</t>
        </is>
      </c>
      <c r="AB1834" s="188" t="inlineStr">
        <is>
          <t>NONE</t>
        </is>
      </c>
      <c r="AC1834" s="188" t="n">
        <v>0</v>
      </c>
      <c r="AD1834" s="188" t="inlineStr"/>
    </row>
    <row r="1835">
      <c r="A1835" s="188" t="inlineStr">
        <is>
          <t>MSF_MODULE</t>
        </is>
      </c>
      <c r="B1835" s="188" t="inlineStr">
        <is>
          <t>CVE-2011-0923</t>
        </is>
      </c>
      <c r="C1835" s="188" t="inlineStr">
        <is>
          <t>Metasploit module available: HP Data Protector 6.1 EXEC_CMD Command Execution | Type: auxiliary_admin | CVE-2011-0923</t>
        </is>
      </c>
      <c r="D1835" s="188" t="n">
        <v>7.5</v>
      </c>
      <c r="E1835" s="188" t="inlineStr">
        <is>
          <t>HIGH</t>
        </is>
      </c>
      <c r="F1835" s="188" t="n">
        <v>3</v>
      </c>
      <c r="G1835" s="188" t="n">
        <v>3</v>
      </c>
      <c r="H1835" s="188" t="inlineStr">
        <is>
          <t>CRITICAL</t>
        </is>
      </c>
      <c r="I1835" s="188" t="n">
        <v>16.5</v>
      </c>
      <c r="J1835" s="188" t="inlineStr">
        <is>
          <t>NO</t>
        </is>
      </c>
      <c r="K1835" s="188" t="inlineStr">
        <is>
          <t>https://nvd.nist.gov/vuln/detail/CVE-2011-0923</t>
        </is>
      </c>
      <c r="L1835" s="188" t="inlineStr">
        <is>
          <t>2026-02-26 00:15</t>
        </is>
      </c>
      <c r="M1835" s="188" t="inlineStr">
        <is>
          <t>PATCH_IMMEDIATELY</t>
        </is>
      </c>
      <c r="N1835" s="188" t="inlineStr">
        <is>
          <t>https://nvd.nist.gov/vuln/detail/CVE-2011-0923</t>
        </is>
      </c>
      <c r="O1835" s="188" t="inlineStr">
        <is>
          <t>Patch CVE-2011-0923 immediately — weaponized Metasploit module in public release | Module: HP Data Protector 6.1 EXEC_CMD Command Execution</t>
        </is>
      </c>
      <c r="P1835" s="188" t="inlineStr">
        <is>
          <t>See CVE details</t>
        </is>
      </c>
      <c r="Q1835" s="188" t="inlineStr">
        <is>
          <t>P2</t>
        </is>
      </c>
      <c r="R1835" s="188" t="inlineStr">
        <is>
          <t>🔍 Investigate and apply appropriate controls</t>
        </is>
      </c>
      <c r="S1835" s="188" t="inlineStr">
        <is>
          <t>Rapid7 MSF: HP Data Protector 6.1 EXEC_CMD Command Execution | Module type: auxiliary_admin</t>
        </is>
      </c>
      <c r="T1835" s="188" t="n">
        <v>0</v>
      </c>
      <c r="U1835" s="188" t="n">
        <v>0</v>
      </c>
      <c r="V1835" s="188" t="inlineStr">
        <is>
          <t>T1203:Exploitation for Client Execution | T1190:Exploit Public-Facing Application</t>
        </is>
      </c>
      <c r="W1835" s="188" t="n">
        <v>2</v>
      </c>
      <c r="X1835" s="188" t="inlineStr">
        <is>
          <t>HIGH (72%)</t>
        </is>
      </c>
      <c r="Y1835" s="188" t="inlineStr">
        <is>
          <t>WEAPONIZED</t>
        </is>
      </c>
      <c r="Z1835" s="188" t="inlineStr">
        <is>
          <t>CHECK_VENDOR</t>
        </is>
      </c>
      <c r="AA1835" s="188" t="inlineStr">
        <is>
          <t>https://www.rapid7.com/db/search/?q=CVE-2011-0923</t>
        </is>
      </c>
      <c r="AB1835" s="188" t="inlineStr">
        <is>
          <t>NONE</t>
        </is>
      </c>
      <c r="AC1835" s="188" t="n">
        <v>0</v>
      </c>
      <c r="AD1835" s="188" t="inlineStr"/>
    </row>
    <row r="1836">
      <c r="A1836" s="188" t="inlineStr">
        <is>
          <t>MSF_MODULE</t>
        </is>
      </c>
      <c r="B1836" s="188" t="inlineStr">
        <is>
          <t>CVE-2017-12542</t>
        </is>
      </c>
      <c r="C1836" s="188" t="inlineStr">
        <is>
          <t>Metasploit module available: HP iLO 4 1.00-2.50 Authentication Bypass Administrator Account Creation | Type: auxiliary_admin | CVE-2017-12542</t>
        </is>
      </c>
      <c r="D1836" s="188" t="n">
        <v>7.5</v>
      </c>
      <c r="E1836" s="188" t="inlineStr">
        <is>
          <t>HIGH</t>
        </is>
      </c>
      <c r="F1836" s="188" t="n">
        <v>3</v>
      </c>
      <c r="G1836" s="188" t="n">
        <v>3</v>
      </c>
      <c r="H1836" s="188" t="inlineStr">
        <is>
          <t>CRITICAL</t>
        </is>
      </c>
      <c r="I1836" s="188" t="n">
        <v>16.5</v>
      </c>
      <c r="J1836" s="188" t="inlineStr">
        <is>
          <t>NO</t>
        </is>
      </c>
      <c r="K1836" s="188" t="inlineStr">
        <is>
          <t>https://nvd.nist.gov/vuln/detail/CVE-2017-12542</t>
        </is>
      </c>
      <c r="L1836" s="188" t="inlineStr">
        <is>
          <t>2026-02-26 00:15</t>
        </is>
      </c>
      <c r="M1836" s="188" t="inlineStr">
        <is>
          <t>PATCH_IMMEDIATELY</t>
        </is>
      </c>
      <c r="N1836" s="188" t="inlineStr">
        <is>
          <t>https://nvd.nist.gov/vuln/detail/CVE-2017-12542</t>
        </is>
      </c>
      <c r="O1836" s="188" t="inlineStr">
        <is>
          <t>Patch CVE-2017-12542 immediately — weaponized Metasploit module in public release | Module: HP iLO 4 1.00-2.50 Authentication Bypass Administrator Account Creation</t>
        </is>
      </c>
      <c r="P1836" s="188" t="inlineStr">
        <is>
          <t>See CVE details</t>
        </is>
      </c>
      <c r="Q1836" s="188" t="inlineStr">
        <is>
          <t>P2</t>
        </is>
      </c>
      <c r="R1836" s="188" t="inlineStr">
        <is>
          <t>🔍 Investigate and apply appropriate controls</t>
        </is>
      </c>
      <c r="S1836" s="188" t="inlineStr">
        <is>
          <t>Rapid7 MSF: HP iLO 4 1.00-2.50 Authentication Bypass Administrator Account Creation | Module type: auxiliary_admin</t>
        </is>
      </c>
      <c r="T1836" s="188" t="n">
        <v>0</v>
      </c>
      <c r="U1836" s="188" t="n">
        <v>0</v>
      </c>
      <c r="V1836" s="188" t="inlineStr">
        <is>
          <t>T1203:Exploitation for Client Execution | T1190:Exploit Public-Facing Application</t>
        </is>
      </c>
      <c r="W1836" s="188" t="n">
        <v>2</v>
      </c>
      <c r="X1836" s="188" t="inlineStr">
        <is>
          <t>HIGH (72%)</t>
        </is>
      </c>
      <c r="Y1836" s="188" t="inlineStr">
        <is>
          <t>WEAPONIZED</t>
        </is>
      </c>
      <c r="Z1836" s="188" t="inlineStr">
        <is>
          <t>CHECK_VENDOR</t>
        </is>
      </c>
      <c r="AA1836" s="188" t="inlineStr">
        <is>
          <t>https://www.rapid7.com/db/search/?q=CVE-2017-12542</t>
        </is>
      </c>
      <c r="AB1836" s="188" t="inlineStr">
        <is>
          <t>NONE</t>
        </is>
      </c>
      <c r="AC1836" s="188" t="n">
        <v>0</v>
      </c>
      <c r="AD1836" s="188" t="inlineStr"/>
    </row>
    <row r="1837">
      <c r="A1837" s="188" t="inlineStr">
        <is>
          <t>MSF_MODULE</t>
        </is>
      </c>
      <c r="B1837" s="188" t="inlineStr">
        <is>
          <t>CVE-2013-4824</t>
        </is>
      </c>
      <c r="C1837" s="188" t="inlineStr">
        <is>
          <t>Metasploit module available: HP Intelligent Management SOM Account Creation | Type: auxiliary_admin | CVE-2013-4824</t>
        </is>
      </c>
      <c r="D1837" s="188" t="n">
        <v>7.5</v>
      </c>
      <c r="E1837" s="188" t="inlineStr">
        <is>
          <t>HIGH</t>
        </is>
      </c>
      <c r="F1837" s="188" t="n">
        <v>3</v>
      </c>
      <c r="G1837" s="188" t="n">
        <v>3</v>
      </c>
      <c r="H1837" s="188" t="inlineStr">
        <is>
          <t>CRITICAL</t>
        </is>
      </c>
      <c r="I1837" s="188" t="n">
        <v>16.5</v>
      </c>
      <c r="J1837" s="188" t="inlineStr">
        <is>
          <t>NO</t>
        </is>
      </c>
      <c r="K1837" s="188" t="inlineStr">
        <is>
          <t>https://nvd.nist.gov/vuln/detail/CVE-2013-4824</t>
        </is>
      </c>
      <c r="L1837" s="188" t="inlineStr">
        <is>
          <t>2026-02-26 00:15</t>
        </is>
      </c>
      <c r="M1837" s="188" t="inlineStr">
        <is>
          <t>PATCH_IMMEDIATELY</t>
        </is>
      </c>
      <c r="N1837" s="188" t="inlineStr">
        <is>
          <t>https://nvd.nist.gov/vuln/detail/CVE-2013-4824</t>
        </is>
      </c>
      <c r="O1837" s="188" t="inlineStr">
        <is>
          <t>Patch CVE-2013-4824 immediately — weaponized Metasploit module in public release | Module: HP Intelligent Management SOM Account Creation</t>
        </is>
      </c>
      <c r="P1837" s="188" t="inlineStr">
        <is>
          <t>See CVE details</t>
        </is>
      </c>
      <c r="Q1837" s="188" t="inlineStr">
        <is>
          <t>P2</t>
        </is>
      </c>
      <c r="R1837" s="188" t="inlineStr">
        <is>
          <t>🔍 Investigate and apply appropriate controls</t>
        </is>
      </c>
      <c r="S1837" s="188" t="inlineStr">
        <is>
          <t>Rapid7 MSF: HP Intelligent Management SOM Account Creation | Module type: auxiliary_admin</t>
        </is>
      </c>
      <c r="T1837" s="188" t="n">
        <v>0</v>
      </c>
      <c r="U1837" s="188" t="n">
        <v>0</v>
      </c>
      <c r="V1837" s="188" t="inlineStr">
        <is>
          <t>T1203:Exploitation for Client Execution | T1190:Exploit Public-Facing Application</t>
        </is>
      </c>
      <c r="W1837" s="188" t="n">
        <v>2</v>
      </c>
      <c r="X1837" s="188" t="inlineStr">
        <is>
          <t>HIGH (72%)</t>
        </is>
      </c>
      <c r="Y1837" s="188" t="inlineStr">
        <is>
          <t>WEAPONIZED</t>
        </is>
      </c>
      <c r="Z1837" s="188" t="inlineStr">
        <is>
          <t>CHECK_VENDOR</t>
        </is>
      </c>
      <c r="AA1837" s="188" t="inlineStr">
        <is>
          <t>https://www.rapid7.com/db/search/?q=CVE-2013-4824</t>
        </is>
      </c>
      <c r="AB1837" s="188" t="inlineStr">
        <is>
          <t>NONE</t>
        </is>
      </c>
      <c r="AC1837" s="188" t="n">
        <v>0</v>
      </c>
      <c r="AD1837" s="188" t="inlineStr"/>
    </row>
    <row r="1838">
      <c r="A1838" s="188" t="inlineStr">
        <is>
          <t>MSF_MODULE</t>
        </is>
      </c>
      <c r="B1838" s="188" t="inlineStr">
        <is>
          <t>CVE-2014-9222</t>
        </is>
      </c>
      <c r="C1838" s="188" t="inlineStr">
        <is>
          <t>Metasploit module available: Allegro Software RomPager 'Misfortune Cookie' (CVE-2014-9222) Authentication Byp | Type: auxiliary_admin | CVE-2014-9222</t>
        </is>
      </c>
      <c r="D1838" s="188" t="n">
        <v>7.5</v>
      </c>
      <c r="E1838" s="188" t="inlineStr">
        <is>
          <t>HIGH</t>
        </is>
      </c>
      <c r="F1838" s="188" t="n">
        <v>3</v>
      </c>
      <c r="G1838" s="188" t="n">
        <v>3</v>
      </c>
      <c r="H1838" s="188" t="inlineStr">
        <is>
          <t>CRITICAL</t>
        </is>
      </c>
      <c r="I1838" s="188" t="n">
        <v>16.5</v>
      </c>
      <c r="J1838" s="188" t="inlineStr">
        <is>
          <t>NO</t>
        </is>
      </c>
      <c r="K1838" s="188" t="inlineStr">
        <is>
          <t>https://nvd.nist.gov/vuln/detail/CVE-2014-9222</t>
        </is>
      </c>
      <c r="L1838" s="188" t="inlineStr">
        <is>
          <t>2026-02-26 00:15</t>
        </is>
      </c>
      <c r="M1838" s="188" t="inlineStr">
        <is>
          <t>PATCH_IMMEDIATELY</t>
        </is>
      </c>
      <c r="N1838" s="188" t="inlineStr">
        <is>
          <t>https://nvd.nist.gov/vuln/detail/CVE-2014-9222</t>
        </is>
      </c>
      <c r="O1838" s="188" t="inlineStr">
        <is>
          <t>Patch CVE-2014-9222 immediately — weaponized Metasploit module in public release | Module: Allegro Software RomPager 'Misfortune Cookie' (CVE-2014-9222) Authentication Byp</t>
        </is>
      </c>
      <c r="P1838" s="188" t="inlineStr">
        <is>
          <t>See CVE details</t>
        </is>
      </c>
      <c r="Q1838" s="188" t="inlineStr">
        <is>
          <t>P2</t>
        </is>
      </c>
      <c r="R1838" s="188" t="inlineStr">
        <is>
          <t>🔍 Investigate and apply appropriate controls</t>
        </is>
      </c>
      <c r="S1838" s="188" t="inlineStr">
        <is>
          <t>Rapid7 MSF: Allegro Software RomPager 'Misfortune Cookie' (CVE-2014-9222) Authentication Byp | Module type: auxiliary_admin</t>
        </is>
      </c>
      <c r="T1838" s="188" t="n">
        <v>0</v>
      </c>
      <c r="U1838" s="188" t="n">
        <v>0</v>
      </c>
      <c r="V1838" s="188" t="inlineStr">
        <is>
          <t>T1203:Exploitation for Client Execution | T1190:Exploit Public-Facing Application</t>
        </is>
      </c>
      <c r="W1838" s="188" t="n">
        <v>2</v>
      </c>
      <c r="X1838" s="188" t="inlineStr">
        <is>
          <t>HIGH (72%)</t>
        </is>
      </c>
      <c r="Y1838" s="188" t="inlineStr">
        <is>
          <t>WEAPONIZED</t>
        </is>
      </c>
      <c r="Z1838" s="188" t="inlineStr">
        <is>
          <t>CHECK_VENDOR</t>
        </is>
      </c>
      <c r="AA1838" s="188" t="inlineStr">
        <is>
          <t>https://www.rapid7.com/db/search/?q=CVE-2014-9222</t>
        </is>
      </c>
      <c r="AB1838" s="188" t="inlineStr">
        <is>
          <t>NONE</t>
        </is>
      </c>
      <c r="AC1838" s="188" t="n">
        <v>0</v>
      </c>
      <c r="AD1838" s="188" t="inlineStr"/>
    </row>
    <row r="1839">
      <c r="A1839" s="188" t="inlineStr">
        <is>
          <t>MSF_MODULE</t>
        </is>
      </c>
      <c r="B1839" s="188" t="inlineStr">
        <is>
          <t>CVE-2015-0964</t>
        </is>
      </c>
      <c r="C1839" s="188" t="inlineStr">
        <is>
          <t>Metasploit module available: Arris / Motorola Surfboard SBG6580 Web Interface Takeover | Type: auxiliary_admin | CVE-2015-0964</t>
        </is>
      </c>
      <c r="D1839" s="188" t="n">
        <v>7.5</v>
      </c>
      <c r="E1839" s="188" t="inlineStr">
        <is>
          <t>HIGH</t>
        </is>
      </c>
      <c r="F1839" s="188" t="n">
        <v>3</v>
      </c>
      <c r="G1839" s="188" t="n">
        <v>3</v>
      </c>
      <c r="H1839" s="188" t="inlineStr">
        <is>
          <t>CRITICAL</t>
        </is>
      </c>
      <c r="I1839" s="188" t="n">
        <v>16.5</v>
      </c>
      <c r="J1839" s="188" t="inlineStr">
        <is>
          <t>NO</t>
        </is>
      </c>
      <c r="K1839" s="188" t="inlineStr">
        <is>
          <t>https://nvd.nist.gov/vuln/detail/CVE-2015-0964</t>
        </is>
      </c>
      <c r="L1839" s="188" t="inlineStr">
        <is>
          <t>2026-02-26 00:15</t>
        </is>
      </c>
      <c r="M1839" s="188" t="inlineStr">
        <is>
          <t>PATCH_IMMEDIATELY</t>
        </is>
      </c>
      <c r="N1839" s="188" t="inlineStr">
        <is>
          <t>https://nvd.nist.gov/vuln/detail/CVE-2015-0964</t>
        </is>
      </c>
      <c r="O1839" s="188" t="inlineStr">
        <is>
          <t>Patch CVE-2015-0964 immediately — weaponized Metasploit module in public release | Module: Arris / Motorola Surfboard SBG6580 Web Interface Takeover</t>
        </is>
      </c>
      <c r="P1839" s="188" t="inlineStr">
        <is>
          <t>See CVE details</t>
        </is>
      </c>
      <c r="Q1839" s="188" t="inlineStr">
        <is>
          <t>P2</t>
        </is>
      </c>
      <c r="R1839" s="188" t="inlineStr">
        <is>
          <t>🔍 Investigate and apply appropriate controls</t>
        </is>
      </c>
      <c r="S1839" s="188" t="inlineStr">
        <is>
          <t>Rapid7 MSF: Arris / Motorola Surfboard SBG6580 Web Interface Takeover | Module type: auxiliary_admin</t>
        </is>
      </c>
      <c r="T1839" s="188" t="n">
        <v>0</v>
      </c>
      <c r="U1839" s="188" t="n">
        <v>0</v>
      </c>
      <c r="V1839" s="188" t="inlineStr">
        <is>
          <t>T1203:Exploitation for Client Execution | T1190:Exploit Public-Facing Application</t>
        </is>
      </c>
      <c r="W1839" s="188" t="n">
        <v>2</v>
      </c>
      <c r="X1839" s="188" t="inlineStr">
        <is>
          <t>HIGH (72%)</t>
        </is>
      </c>
      <c r="Y1839" s="188" t="inlineStr">
        <is>
          <t>WEAPONIZED</t>
        </is>
      </c>
      <c r="Z1839" s="188" t="inlineStr">
        <is>
          <t>CHECK_VENDOR</t>
        </is>
      </c>
      <c r="AA1839" s="188" t="inlineStr">
        <is>
          <t>https://www.rapid7.com/db/search/?q=CVE-2015-0964</t>
        </is>
      </c>
      <c r="AB1839" s="188" t="inlineStr">
        <is>
          <t>NONE</t>
        </is>
      </c>
      <c r="AC1839" s="188" t="n">
        <v>0</v>
      </c>
      <c r="AD1839" s="188" t="inlineStr"/>
    </row>
    <row r="1840">
      <c r="A1840" s="188" t="inlineStr">
        <is>
          <t>MSF_MODULE</t>
        </is>
      </c>
      <c r="B1840" s="188" t="inlineStr">
        <is>
          <t>CVE-2015-0965</t>
        </is>
      </c>
      <c r="C1840" s="188" t="inlineStr">
        <is>
          <t>Metasploit module available: Arris / Motorola Surfboard SBG6580 Web Interface Takeover | Type: auxiliary_admin | CVE-2015-0965</t>
        </is>
      </c>
      <c r="D1840" s="188" t="n">
        <v>7.5</v>
      </c>
      <c r="E1840" s="188" t="inlineStr">
        <is>
          <t>HIGH</t>
        </is>
      </c>
      <c r="F1840" s="188" t="n">
        <v>3</v>
      </c>
      <c r="G1840" s="188" t="n">
        <v>3</v>
      </c>
      <c r="H1840" s="188" t="inlineStr">
        <is>
          <t>CRITICAL</t>
        </is>
      </c>
      <c r="I1840" s="188" t="n">
        <v>16.5</v>
      </c>
      <c r="J1840" s="188" t="inlineStr">
        <is>
          <t>NO</t>
        </is>
      </c>
      <c r="K1840" s="188" t="inlineStr">
        <is>
          <t>https://nvd.nist.gov/vuln/detail/CVE-2015-0965</t>
        </is>
      </c>
      <c r="L1840" s="188" t="inlineStr">
        <is>
          <t>2026-02-26 00:15</t>
        </is>
      </c>
      <c r="M1840" s="188" t="inlineStr">
        <is>
          <t>PATCH_IMMEDIATELY</t>
        </is>
      </c>
      <c r="N1840" s="188" t="inlineStr">
        <is>
          <t>https://nvd.nist.gov/vuln/detail/CVE-2015-0965</t>
        </is>
      </c>
      <c r="O1840" s="188" t="inlineStr">
        <is>
          <t>Patch CVE-2015-0965 immediately — weaponized Metasploit module in public release | Module: Arris / Motorola Surfboard SBG6580 Web Interface Takeover</t>
        </is>
      </c>
      <c r="P1840" s="188" t="inlineStr">
        <is>
          <t>See CVE details</t>
        </is>
      </c>
      <c r="Q1840" s="188" t="inlineStr">
        <is>
          <t>P2</t>
        </is>
      </c>
      <c r="R1840" s="188" t="inlineStr">
        <is>
          <t>🔍 Investigate and apply appropriate controls</t>
        </is>
      </c>
      <c r="S1840" s="188" t="inlineStr">
        <is>
          <t>Rapid7 MSF: Arris / Motorola Surfboard SBG6580 Web Interface Takeover | Module type: auxiliary_admin</t>
        </is>
      </c>
      <c r="T1840" s="188" t="n">
        <v>0</v>
      </c>
      <c r="U1840" s="188" t="n">
        <v>0</v>
      </c>
      <c r="V1840" s="188" t="inlineStr">
        <is>
          <t>T1203:Exploitation for Client Execution | T1190:Exploit Public-Facing Application</t>
        </is>
      </c>
      <c r="W1840" s="188" t="n">
        <v>2</v>
      </c>
      <c r="X1840" s="188" t="inlineStr">
        <is>
          <t>HIGH (72%)</t>
        </is>
      </c>
      <c r="Y1840" s="188" t="inlineStr">
        <is>
          <t>WEAPONIZED</t>
        </is>
      </c>
      <c r="Z1840" s="188" t="inlineStr">
        <is>
          <t>CHECK_VENDOR</t>
        </is>
      </c>
      <c r="AA1840" s="188" t="inlineStr">
        <is>
          <t>https://www.rapid7.com/db/search/?q=CVE-2015-0965</t>
        </is>
      </c>
      <c r="AB1840" s="188" t="inlineStr">
        <is>
          <t>NONE</t>
        </is>
      </c>
      <c r="AC1840" s="188" t="n">
        <v>0</v>
      </c>
      <c r="AD1840" s="188" t="inlineStr"/>
    </row>
    <row r="1841">
      <c r="A1841" s="188" t="inlineStr">
        <is>
          <t>MSF_MODULE</t>
        </is>
      </c>
      <c r="B1841" s="188" t="inlineStr">
        <is>
          <t>CVE-2015-0966</t>
        </is>
      </c>
      <c r="C1841" s="188" t="inlineStr">
        <is>
          <t>Metasploit module available: Arris / Motorola Surfboard SBG6580 Web Interface Takeover | Type: auxiliary_admin | CVE-2015-0966</t>
        </is>
      </c>
      <c r="D1841" s="188" t="n">
        <v>7.5</v>
      </c>
      <c r="E1841" s="188" t="inlineStr">
        <is>
          <t>HIGH</t>
        </is>
      </c>
      <c r="F1841" s="188" t="n">
        <v>3</v>
      </c>
      <c r="G1841" s="188" t="n">
        <v>3</v>
      </c>
      <c r="H1841" s="188" t="inlineStr">
        <is>
          <t>CRITICAL</t>
        </is>
      </c>
      <c r="I1841" s="188" t="n">
        <v>16.5</v>
      </c>
      <c r="J1841" s="188" t="inlineStr">
        <is>
          <t>NO</t>
        </is>
      </c>
      <c r="K1841" s="188" t="inlineStr">
        <is>
          <t>https://nvd.nist.gov/vuln/detail/CVE-2015-0966</t>
        </is>
      </c>
      <c r="L1841" s="188" t="inlineStr">
        <is>
          <t>2026-02-26 00:15</t>
        </is>
      </c>
      <c r="M1841" s="188" t="inlineStr">
        <is>
          <t>PATCH_IMMEDIATELY</t>
        </is>
      </c>
      <c r="N1841" s="188" t="inlineStr">
        <is>
          <t>https://nvd.nist.gov/vuln/detail/CVE-2015-0966</t>
        </is>
      </c>
      <c r="O1841" s="188" t="inlineStr">
        <is>
          <t>Patch CVE-2015-0966 immediately — weaponized Metasploit module in public release | Module: Arris / Motorola Surfboard SBG6580 Web Interface Takeover</t>
        </is>
      </c>
      <c r="P1841" s="188" t="inlineStr">
        <is>
          <t>See CVE details</t>
        </is>
      </c>
      <c r="Q1841" s="188" t="inlineStr">
        <is>
          <t>P2</t>
        </is>
      </c>
      <c r="R1841" s="188" t="inlineStr">
        <is>
          <t>🔍 Investigate and apply appropriate controls</t>
        </is>
      </c>
      <c r="S1841" s="188" t="inlineStr">
        <is>
          <t>Rapid7 MSF: Arris / Motorola Surfboard SBG6580 Web Interface Takeover | Module type: auxiliary_admin</t>
        </is>
      </c>
      <c r="T1841" s="188" t="n">
        <v>0</v>
      </c>
      <c r="U1841" s="188" t="n">
        <v>0</v>
      </c>
      <c r="V1841" s="188" t="inlineStr">
        <is>
          <t>T1203:Exploitation for Client Execution | T1190:Exploit Public-Facing Application</t>
        </is>
      </c>
      <c r="W1841" s="188" t="n">
        <v>2</v>
      </c>
      <c r="X1841" s="188" t="inlineStr">
        <is>
          <t>HIGH (72%)</t>
        </is>
      </c>
      <c r="Y1841" s="188" t="inlineStr">
        <is>
          <t>WEAPONIZED</t>
        </is>
      </c>
      <c r="Z1841" s="188" t="inlineStr">
        <is>
          <t>CHECK_VENDOR</t>
        </is>
      </c>
      <c r="AA1841" s="188" t="inlineStr">
        <is>
          <t>https://www.rapid7.com/db/search/?q=CVE-2015-0966</t>
        </is>
      </c>
      <c r="AB1841" s="188" t="inlineStr">
        <is>
          <t>NONE</t>
        </is>
      </c>
      <c r="AC1841" s="188" t="n">
        <v>0</v>
      </c>
      <c r="AD1841" s="188" t="inlineStr"/>
    </row>
    <row r="1842">
      <c r="A1842" s="188" t="inlineStr">
        <is>
          <t>MSF_MODULE</t>
        </is>
      </c>
      <c r="B1842" s="188" t="inlineStr">
        <is>
          <t>CVE-2023-22515</t>
        </is>
      </c>
      <c r="C1842" s="188" t="inlineStr">
        <is>
          <t>Metasploit module available: Atlassian Confluence Data Center and Server Authentication Bypass via Broken Acc | Type: auxiliary_admin | CVE-2023-22515</t>
        </is>
      </c>
      <c r="D1842" s="188" t="n">
        <v>7.5</v>
      </c>
      <c r="E1842" s="188" t="inlineStr">
        <is>
          <t>HIGH</t>
        </is>
      </c>
      <c r="F1842" s="188" t="n">
        <v>3</v>
      </c>
      <c r="G1842" s="188" t="n">
        <v>3</v>
      </c>
      <c r="H1842" s="188" t="inlineStr">
        <is>
          <t>CRITICAL</t>
        </is>
      </c>
      <c r="I1842" s="188" t="n">
        <v>16.5</v>
      </c>
      <c r="J1842" s="188" t="inlineStr">
        <is>
          <t>YES</t>
        </is>
      </c>
      <c r="K1842" s="188" t="inlineStr">
        <is>
          <t>https://nvd.nist.gov/vuln/detail/CVE-2023-22515</t>
        </is>
      </c>
      <c r="L1842" s="188" t="inlineStr">
        <is>
          <t>2026-02-26 00:15</t>
        </is>
      </c>
      <c r="M1842" s="188" t="inlineStr">
        <is>
          <t>PATCH_IMMEDIATELY</t>
        </is>
      </c>
      <c r="N1842" s="188" t="inlineStr">
        <is>
          <t>https://nvd.nist.gov/vuln/detail/CVE-2023-22515</t>
        </is>
      </c>
      <c r="O1842" s="188" t="inlineStr">
        <is>
          <t>Patch CVE-2023-22515 immediately — weaponized Metasploit module in public release | Module: Atlassian Confluence Data Center and Server Authentication Bypass via Broken Acc</t>
        </is>
      </c>
      <c r="P1842" s="188" t="inlineStr">
        <is>
          <t>See CVE details</t>
        </is>
      </c>
      <c r="Q1842" s="188" t="inlineStr">
        <is>
          <t>P1</t>
        </is>
      </c>
      <c r="R1842" s="188" t="inlineStr">
        <is>
          <t>🔍 Investigate and apply appropriate controls</t>
        </is>
      </c>
      <c r="S1842" s="188" t="inlineStr">
        <is>
          <t>Rapid7 MSF: Atlassian Confluence Data Center and Server Authentication Bypass via Broken Acc | Module type: auxiliary_admin</t>
        </is>
      </c>
      <c r="T1842" s="188" t="n">
        <v>0</v>
      </c>
      <c r="U1842" s="188" t="n">
        <v>0</v>
      </c>
      <c r="V1842" s="188" t="inlineStr">
        <is>
          <t>T1203:Exploitation for Client Execution | T1190:Exploit Public-Facing Application</t>
        </is>
      </c>
      <c r="W1842" s="188" t="n">
        <v>2</v>
      </c>
      <c r="X1842" s="188" t="inlineStr">
        <is>
          <t>HIGH (72%)</t>
        </is>
      </c>
      <c r="Y1842" s="188" t="inlineStr">
        <is>
          <t>WEAPONIZED</t>
        </is>
      </c>
      <c r="Z1842" s="188" t="inlineStr">
        <is>
          <t>CHECK_VENDOR</t>
        </is>
      </c>
      <c r="AA1842" s="188" t="inlineStr">
        <is>
          <t>https://www.rapid7.com/db/search/?q=CVE-2023-22515</t>
        </is>
      </c>
      <c r="AB1842" s="188" t="inlineStr">
        <is>
          <t>NONE</t>
        </is>
      </c>
      <c r="AC1842" s="188" t="n">
        <v>0</v>
      </c>
      <c r="AD1842" s="188" t="inlineStr"/>
    </row>
    <row r="1843">
      <c r="A1843" s="188" t="inlineStr">
        <is>
          <t>MSF_MODULE</t>
        </is>
      </c>
      <c r="B1843" s="188" t="inlineStr">
        <is>
          <t>CVE-2012-4940</t>
        </is>
      </c>
      <c r="C1843" s="188" t="inlineStr">
        <is>
          <t>Metasploit module available: Axigen Arbitrary File Read and Delete | Type: auxiliary_admin | CVE-2012-4940</t>
        </is>
      </c>
      <c r="D1843" s="188" t="n">
        <v>7.5</v>
      </c>
      <c r="E1843" s="188" t="inlineStr">
        <is>
          <t>HIGH</t>
        </is>
      </c>
      <c r="F1843" s="188" t="n">
        <v>3</v>
      </c>
      <c r="G1843" s="188" t="n">
        <v>3</v>
      </c>
      <c r="H1843" s="188" t="inlineStr">
        <is>
          <t>CRITICAL</t>
        </is>
      </c>
      <c r="I1843" s="188" t="n">
        <v>16.5</v>
      </c>
      <c r="J1843" s="188" t="inlineStr">
        <is>
          <t>NO</t>
        </is>
      </c>
      <c r="K1843" s="188" t="inlineStr">
        <is>
          <t>https://nvd.nist.gov/vuln/detail/CVE-2012-4940</t>
        </is>
      </c>
      <c r="L1843" s="188" t="inlineStr">
        <is>
          <t>2026-02-26 00:15</t>
        </is>
      </c>
      <c r="M1843" s="188" t="inlineStr">
        <is>
          <t>PATCH_IMMEDIATELY</t>
        </is>
      </c>
      <c r="N1843" s="188" t="inlineStr">
        <is>
          <t>https://nvd.nist.gov/vuln/detail/CVE-2012-4940</t>
        </is>
      </c>
      <c r="O1843" s="188" t="inlineStr">
        <is>
          <t>Patch CVE-2012-4940 immediately — weaponized Metasploit module in public release | Module: Axigen Arbitrary File Read and Delete</t>
        </is>
      </c>
      <c r="P1843" s="188" t="inlineStr">
        <is>
          <t>See CVE details</t>
        </is>
      </c>
      <c r="Q1843" s="188" t="inlineStr">
        <is>
          <t>P2</t>
        </is>
      </c>
      <c r="R1843" s="188" t="inlineStr">
        <is>
          <t>🔍 Investigate and apply appropriate controls</t>
        </is>
      </c>
      <c r="S1843" s="188" t="inlineStr">
        <is>
          <t>Rapid7 MSF: Axigen Arbitrary File Read and Delete | Module type: auxiliary_admin</t>
        </is>
      </c>
      <c r="T1843" s="188" t="n">
        <v>0</v>
      </c>
      <c r="U1843" s="188" t="n">
        <v>0</v>
      </c>
      <c r="V1843" s="188" t="inlineStr">
        <is>
          <t>T1203:Exploitation for Client Execution | T1190:Exploit Public-Facing Application</t>
        </is>
      </c>
      <c r="W1843" s="188" t="n">
        <v>2</v>
      </c>
      <c r="X1843" s="188" t="inlineStr">
        <is>
          <t>HIGH (72%)</t>
        </is>
      </c>
      <c r="Y1843" s="188" t="inlineStr">
        <is>
          <t>WEAPONIZED</t>
        </is>
      </c>
      <c r="Z1843" s="188" t="inlineStr">
        <is>
          <t>CHECK_VENDOR</t>
        </is>
      </c>
      <c r="AA1843" s="188" t="inlineStr">
        <is>
          <t>https://www.rapid7.com/db/search/?q=CVE-2012-4940</t>
        </is>
      </c>
      <c r="AB1843" s="188" t="inlineStr">
        <is>
          <t>NONE</t>
        </is>
      </c>
      <c r="AC1843" s="188" t="n">
        <v>0</v>
      </c>
      <c r="AD1843" s="188" t="inlineStr"/>
    </row>
    <row r="1844">
      <c r="A1844" s="188" t="inlineStr">
        <is>
          <t>MSF_MODULE</t>
        </is>
      </c>
      <c r="B1844" s="188" t="inlineStr">
        <is>
          <t>CVE-2013-2050</t>
        </is>
      </c>
      <c r="C1844" s="188" t="inlineStr">
        <is>
          <t>Metasploit module available: Red Hat CloudForms Management Engine 5.1 miq_policy/explorer SQL Injection | Type: auxiliary_admin | CVE-2013-2050</t>
        </is>
      </c>
      <c r="D1844" s="188" t="n">
        <v>7.5</v>
      </c>
      <c r="E1844" s="188" t="inlineStr">
        <is>
          <t>HIGH</t>
        </is>
      </c>
      <c r="F1844" s="188" t="n">
        <v>3</v>
      </c>
      <c r="G1844" s="188" t="n">
        <v>3</v>
      </c>
      <c r="H1844" s="188" t="inlineStr">
        <is>
          <t>CRITICAL</t>
        </is>
      </c>
      <c r="I1844" s="188" t="n">
        <v>16.5</v>
      </c>
      <c r="J1844" s="188" t="inlineStr">
        <is>
          <t>NO</t>
        </is>
      </c>
      <c r="K1844" s="188" t="inlineStr">
        <is>
          <t>https://nvd.nist.gov/vuln/detail/CVE-2013-2050</t>
        </is>
      </c>
      <c r="L1844" s="188" t="inlineStr">
        <is>
          <t>2026-02-26 00:15</t>
        </is>
      </c>
      <c r="M1844" s="188" t="inlineStr">
        <is>
          <t>PATCH_IMMEDIATELY</t>
        </is>
      </c>
      <c r="N1844" s="188" t="inlineStr">
        <is>
          <t>https://nvd.nist.gov/vuln/detail/CVE-2013-2050</t>
        </is>
      </c>
      <c r="O1844" s="188" t="inlineStr">
        <is>
          <t>Patch CVE-2013-2050 immediately — weaponized Metasploit module in public release | Module: Red Hat CloudForms Management Engine 5.1 miq_policy/explorer SQL Injection</t>
        </is>
      </c>
      <c r="P1844" s="188" t="inlineStr">
        <is>
          <t>See CVE details</t>
        </is>
      </c>
      <c r="Q1844" s="188" t="inlineStr">
        <is>
          <t>P2</t>
        </is>
      </c>
      <c r="R1844" s="188" t="inlineStr">
        <is>
          <t>🔍 Investigate and apply appropriate controls</t>
        </is>
      </c>
      <c r="S1844" s="188" t="inlineStr">
        <is>
          <t>Rapid7 MSF: Red Hat CloudForms Management Engine 5.1 miq_policy/explorer SQL Injection | Module type: auxiliary_admin</t>
        </is>
      </c>
      <c r="T1844" s="188" t="n">
        <v>0</v>
      </c>
      <c r="U1844" s="188" t="n">
        <v>0</v>
      </c>
      <c r="V1844" s="188" t="inlineStr">
        <is>
          <t>T1203:Exploitation for Client Execution | T1190:Exploit Public-Facing Application</t>
        </is>
      </c>
      <c r="W1844" s="188" t="n">
        <v>2</v>
      </c>
      <c r="X1844" s="188" t="inlineStr">
        <is>
          <t>HIGH (72%)</t>
        </is>
      </c>
      <c r="Y1844" s="188" t="inlineStr">
        <is>
          <t>WEAPONIZED</t>
        </is>
      </c>
      <c r="Z1844" s="188" t="inlineStr">
        <is>
          <t>CHECK_VENDOR</t>
        </is>
      </c>
      <c r="AA1844" s="188" t="inlineStr">
        <is>
          <t>https://www.rapid7.com/db/search/?q=CVE-2013-2050</t>
        </is>
      </c>
      <c r="AB1844" s="188" t="inlineStr">
        <is>
          <t>NONE</t>
        </is>
      </c>
      <c r="AC1844" s="188" t="n">
        <v>0</v>
      </c>
      <c r="AD1844" s="188" t="inlineStr"/>
    </row>
    <row r="1845">
      <c r="A1845" s="188" t="inlineStr">
        <is>
          <t>MSF_MODULE</t>
        </is>
      </c>
      <c r="B1845" s="188" t="inlineStr">
        <is>
          <t>CVE-2020-16137</t>
        </is>
      </c>
      <c r="C1845" s="188" t="inlineStr">
        <is>
          <t>Metasploit module available: Cisco 7937G SSH Privilege Escalation | Type: auxiliary_admin | CVE-2020-16137</t>
        </is>
      </c>
      <c r="D1845" s="188" t="n">
        <v>7.5</v>
      </c>
      <c r="E1845" s="188" t="inlineStr">
        <is>
          <t>HIGH</t>
        </is>
      </c>
      <c r="F1845" s="188" t="n">
        <v>3</v>
      </c>
      <c r="G1845" s="188" t="n">
        <v>3</v>
      </c>
      <c r="H1845" s="188" t="inlineStr">
        <is>
          <t>CRITICAL</t>
        </is>
      </c>
      <c r="I1845" s="188" t="n">
        <v>16.5</v>
      </c>
      <c r="J1845" s="188" t="inlineStr">
        <is>
          <t>NO</t>
        </is>
      </c>
      <c r="K1845" s="188" t="inlineStr">
        <is>
          <t>https://nvd.nist.gov/vuln/detail/CVE-2020-16137</t>
        </is>
      </c>
      <c r="L1845" s="188" t="inlineStr">
        <is>
          <t>2026-02-26 00:15</t>
        </is>
      </c>
      <c r="M1845" s="188" t="inlineStr">
        <is>
          <t>PATCH_IMMEDIATELY</t>
        </is>
      </c>
      <c r="N1845" s="188" t="inlineStr">
        <is>
          <t>https://nvd.nist.gov/vuln/detail/CVE-2020-16137</t>
        </is>
      </c>
      <c r="O1845" s="188" t="inlineStr">
        <is>
          <t>Patch CVE-2020-16137 immediately — weaponized Metasploit module in public release | Module: Cisco 7937G SSH Privilege Escalation</t>
        </is>
      </c>
      <c r="P1845" s="188" t="inlineStr">
        <is>
          <t>See CVE details</t>
        </is>
      </c>
      <c r="Q1845" s="188" t="inlineStr">
        <is>
          <t>P2</t>
        </is>
      </c>
      <c r="R1845" s="188" t="inlineStr">
        <is>
          <t>🔍 Investigate and apply appropriate controls</t>
        </is>
      </c>
      <c r="S1845" s="188" t="inlineStr">
        <is>
          <t>Rapid7 MSF: Cisco 7937G SSH Privilege Escalation | Module type: auxiliary_admin</t>
        </is>
      </c>
      <c r="T1845" s="188" t="n">
        <v>0</v>
      </c>
      <c r="U1845" s="188" t="n">
        <v>0</v>
      </c>
      <c r="V1845" s="188" t="inlineStr">
        <is>
          <t>T1203:Exploitation for Client Execution | T1190:Exploit Public-Facing Application</t>
        </is>
      </c>
      <c r="W1845" s="188" t="n">
        <v>2</v>
      </c>
      <c r="X1845" s="188" t="inlineStr">
        <is>
          <t>HIGH (72%)</t>
        </is>
      </c>
      <c r="Y1845" s="188" t="inlineStr">
        <is>
          <t>WEAPONIZED</t>
        </is>
      </c>
      <c r="Z1845" s="188" t="inlineStr">
        <is>
          <t>CHECK_VENDOR</t>
        </is>
      </c>
      <c r="AA1845" s="188" t="inlineStr">
        <is>
          <t>https://www.rapid7.com/db/search/?q=CVE-2020-16137</t>
        </is>
      </c>
      <c r="AB1845" s="188" t="inlineStr">
        <is>
          <t>NONE</t>
        </is>
      </c>
      <c r="AC1845" s="188" t="n">
        <v>0</v>
      </c>
      <c r="AD1845" s="188" t="inlineStr"/>
    </row>
    <row r="1846">
      <c r="A1846" s="188" t="inlineStr">
        <is>
          <t>MSF_MODULE</t>
        </is>
      </c>
      <c r="B1846" s="188" t="inlineStr">
        <is>
          <t>CVE-2023-20198</t>
        </is>
      </c>
      <c r="C1846" s="188" t="inlineStr">
        <is>
          <t>Metasploit module available: Cisco IOX XE unauthenticated Command Line Interface (CLI) execution | Type: auxiliary_admin | CVE-2023-20198</t>
        </is>
      </c>
      <c r="D1846" s="188" t="n">
        <v>7.5</v>
      </c>
      <c r="E1846" s="188" t="inlineStr">
        <is>
          <t>HIGH</t>
        </is>
      </c>
      <c r="F1846" s="188" t="n">
        <v>3</v>
      </c>
      <c r="G1846" s="188" t="n">
        <v>3</v>
      </c>
      <c r="H1846" s="188" t="inlineStr">
        <is>
          <t>CRITICAL</t>
        </is>
      </c>
      <c r="I1846" s="188" t="n">
        <v>16.5</v>
      </c>
      <c r="J1846" s="188" t="inlineStr">
        <is>
          <t>YES</t>
        </is>
      </c>
      <c r="K1846" s="188" t="inlineStr">
        <is>
          <t>https://nvd.nist.gov/vuln/detail/CVE-2023-20198</t>
        </is>
      </c>
      <c r="L1846" s="188" t="inlineStr">
        <is>
          <t>2026-02-26 00:15</t>
        </is>
      </c>
      <c r="M1846" s="188" t="inlineStr">
        <is>
          <t>PATCH_IMMEDIATELY</t>
        </is>
      </c>
      <c r="N1846" s="188" t="inlineStr">
        <is>
          <t>https://nvd.nist.gov/vuln/detail/CVE-2023-20198</t>
        </is>
      </c>
      <c r="O1846" s="188" t="inlineStr">
        <is>
          <t>Patch CVE-2023-20198 immediately — weaponized Metasploit module in public release | Module: Cisco IOX XE unauthenticated Command Line Interface (CLI) execution</t>
        </is>
      </c>
      <c r="P1846" s="188" t="inlineStr">
        <is>
          <t>See CVE details</t>
        </is>
      </c>
      <c r="Q1846" s="188" t="inlineStr">
        <is>
          <t>P1</t>
        </is>
      </c>
      <c r="R1846" s="188" t="inlineStr">
        <is>
          <t>🔍 Investigate and apply appropriate controls</t>
        </is>
      </c>
      <c r="S1846" s="188" t="inlineStr">
        <is>
          <t>Rapid7 MSF: Cisco IOX XE unauthenticated Command Line Interface (CLI) execution | Module type: auxiliary_admin</t>
        </is>
      </c>
      <c r="T1846" s="188" t="n">
        <v>0</v>
      </c>
      <c r="U1846" s="188" t="n">
        <v>0</v>
      </c>
      <c r="V1846" s="188" t="inlineStr">
        <is>
          <t>T1203:Exploitation for Client Execution | T1190:Exploit Public-Facing Application</t>
        </is>
      </c>
      <c r="W1846" s="188" t="n">
        <v>2</v>
      </c>
      <c r="X1846" s="188" t="inlineStr">
        <is>
          <t>HIGH (72%)</t>
        </is>
      </c>
      <c r="Y1846" s="188" t="inlineStr">
        <is>
          <t>WEAPONIZED</t>
        </is>
      </c>
      <c r="Z1846" s="188" t="inlineStr">
        <is>
          <t>CHECK_VENDOR</t>
        </is>
      </c>
      <c r="AA1846" s="188" t="inlineStr">
        <is>
          <t>https://www.rapid7.com/db/search/?q=CVE-2023-20198</t>
        </is>
      </c>
      <c r="AB1846" s="188" t="inlineStr">
        <is>
          <t>NONE</t>
        </is>
      </c>
      <c r="AC1846" s="188" t="n">
        <v>0</v>
      </c>
      <c r="AD1846" s="188" t="inlineStr"/>
    </row>
    <row r="1847">
      <c r="A1847" s="188" t="inlineStr">
        <is>
          <t>MSF_MODULE</t>
        </is>
      </c>
      <c r="B1847" s="188" t="inlineStr">
        <is>
          <t>CVE-2023-20273</t>
        </is>
      </c>
      <c r="C1847" s="188" t="inlineStr">
        <is>
          <t>Metasploit module available: Cisco IOX XE unauthenticated OS command execution | Type: auxiliary_admin | CVE-2023-20273</t>
        </is>
      </c>
      <c r="D1847" s="188" t="n">
        <v>7.5</v>
      </c>
      <c r="E1847" s="188" t="inlineStr">
        <is>
          <t>HIGH</t>
        </is>
      </c>
      <c r="F1847" s="188" t="n">
        <v>3</v>
      </c>
      <c r="G1847" s="188" t="n">
        <v>3</v>
      </c>
      <c r="H1847" s="188" t="inlineStr">
        <is>
          <t>CRITICAL</t>
        </is>
      </c>
      <c r="I1847" s="188" t="n">
        <v>16.5</v>
      </c>
      <c r="J1847" s="188" t="inlineStr">
        <is>
          <t>YES</t>
        </is>
      </c>
      <c r="K1847" s="188" t="inlineStr">
        <is>
          <t>https://nvd.nist.gov/vuln/detail/CVE-2023-20273</t>
        </is>
      </c>
      <c r="L1847" s="188" t="inlineStr">
        <is>
          <t>2026-02-26 00:15</t>
        </is>
      </c>
      <c r="M1847" s="188" t="inlineStr">
        <is>
          <t>PATCH_IMMEDIATELY</t>
        </is>
      </c>
      <c r="N1847" s="188" t="inlineStr">
        <is>
          <t>https://nvd.nist.gov/vuln/detail/CVE-2023-20273</t>
        </is>
      </c>
      <c r="O1847" s="188" t="inlineStr">
        <is>
          <t>Patch CVE-2023-20273 immediately — weaponized Metasploit module in public release | Module: Cisco IOX XE unauthenticated OS command execution</t>
        </is>
      </c>
      <c r="P1847" s="188" t="inlineStr">
        <is>
          <t>See CVE details</t>
        </is>
      </c>
      <c r="Q1847" s="188" t="inlineStr">
        <is>
          <t>P1</t>
        </is>
      </c>
      <c r="R1847" s="188" t="inlineStr">
        <is>
          <t>🔍 Investigate and apply appropriate controls</t>
        </is>
      </c>
      <c r="S1847" s="188" t="inlineStr">
        <is>
          <t>Rapid7 MSF: Cisco IOX XE unauthenticated OS command execution | Module type: auxiliary_admin</t>
        </is>
      </c>
      <c r="T1847" s="188" t="n">
        <v>0</v>
      </c>
      <c r="U1847" s="188" t="n">
        <v>0</v>
      </c>
      <c r="V1847" s="188" t="inlineStr">
        <is>
          <t>T1203:Exploitation for Client Execution | T1190:Exploit Public-Facing Application</t>
        </is>
      </c>
      <c r="W1847" s="188" t="n">
        <v>2</v>
      </c>
      <c r="X1847" s="188" t="inlineStr">
        <is>
          <t>HIGH (72%)</t>
        </is>
      </c>
      <c r="Y1847" s="188" t="inlineStr">
        <is>
          <t>WEAPONIZED</t>
        </is>
      </c>
      <c r="Z1847" s="188" t="inlineStr">
        <is>
          <t>CHECK_VENDOR</t>
        </is>
      </c>
      <c r="AA1847" s="188" t="inlineStr">
        <is>
          <t>https://www.rapid7.com/db/search/?q=CVE-2023-20273</t>
        </is>
      </c>
      <c r="AB1847" s="188" t="inlineStr">
        <is>
          <t>NONE</t>
        </is>
      </c>
      <c r="AC1847" s="188" t="n">
        <v>0</v>
      </c>
      <c r="AD1847" s="188" t="inlineStr"/>
    </row>
    <row r="1848">
      <c r="A1848" s="188" t="inlineStr">
        <is>
          <t>MSF_MODULE</t>
        </is>
      </c>
      <c r="B1848" s="188" t="inlineStr">
        <is>
          <t>CVE-2024-20419</t>
        </is>
      </c>
      <c r="C1848" s="188" t="inlineStr">
        <is>
          <t>Metasploit module available: Cisco Smart Software Manager (SSM) On-Prem Account Takeover (CVE-2024-20419) | Type: auxiliary_admin | CVE-2024-20419</t>
        </is>
      </c>
      <c r="D1848" s="188" t="n">
        <v>7.5</v>
      </c>
      <c r="E1848" s="188" t="inlineStr">
        <is>
          <t>HIGH</t>
        </is>
      </c>
      <c r="F1848" s="188" t="n">
        <v>3</v>
      </c>
      <c r="G1848" s="188" t="n">
        <v>3</v>
      </c>
      <c r="H1848" s="188" t="inlineStr">
        <is>
          <t>CRITICAL</t>
        </is>
      </c>
      <c r="I1848" s="188" t="n">
        <v>16.5</v>
      </c>
      <c r="J1848" s="188" t="inlineStr">
        <is>
          <t>NO</t>
        </is>
      </c>
      <c r="K1848" s="188" t="inlineStr">
        <is>
          <t>https://nvd.nist.gov/vuln/detail/CVE-2024-20419</t>
        </is>
      </c>
      <c r="L1848" s="188" t="inlineStr">
        <is>
          <t>2026-02-26 00:15</t>
        </is>
      </c>
      <c r="M1848" s="188" t="inlineStr">
        <is>
          <t>PATCH_IMMEDIATELY</t>
        </is>
      </c>
      <c r="N1848" s="188" t="inlineStr">
        <is>
          <t>https://nvd.nist.gov/vuln/detail/CVE-2024-20419</t>
        </is>
      </c>
      <c r="O1848" s="188" t="inlineStr">
        <is>
          <t>Patch CVE-2024-20419 immediately — weaponized Metasploit module in public release | Module: Cisco Smart Software Manager (SSM) On-Prem Account Takeover (CVE-2024-20419)</t>
        </is>
      </c>
      <c r="P1848" s="188" t="inlineStr">
        <is>
          <t>See CVE details</t>
        </is>
      </c>
      <c r="Q1848" s="188" t="inlineStr">
        <is>
          <t>P2</t>
        </is>
      </c>
      <c r="R1848" s="188" t="inlineStr">
        <is>
          <t>🔍 Investigate and apply appropriate controls</t>
        </is>
      </c>
      <c r="S1848" s="188" t="inlineStr">
        <is>
          <t>Rapid7 MSF: Cisco Smart Software Manager (SSM) On-Prem Account Takeover (CVE-2024-20419) | Module type: auxiliary_admin</t>
        </is>
      </c>
      <c r="T1848" s="188" t="n">
        <v>0</v>
      </c>
      <c r="U1848" s="188" t="n">
        <v>0</v>
      </c>
      <c r="V1848" s="188" t="inlineStr">
        <is>
          <t>T1203:Exploitation for Client Execution | T1190:Exploit Public-Facing Application</t>
        </is>
      </c>
      <c r="W1848" s="188" t="n">
        <v>2</v>
      </c>
      <c r="X1848" s="188" t="inlineStr">
        <is>
          <t>HIGH (72%)</t>
        </is>
      </c>
      <c r="Y1848" s="188" t="inlineStr">
        <is>
          <t>WEAPONIZED</t>
        </is>
      </c>
      <c r="Z1848" s="188" t="inlineStr">
        <is>
          <t>CHECK_VENDOR</t>
        </is>
      </c>
      <c r="AA1848" s="188" t="inlineStr">
        <is>
          <t>https://www.rapid7.com/db/search/?q=CVE-2024-20419</t>
        </is>
      </c>
      <c r="AB1848" s="188" t="inlineStr">
        <is>
          <t>NONE</t>
        </is>
      </c>
      <c r="AC1848" s="188" t="n">
        <v>0</v>
      </c>
      <c r="AD1848" s="188" t="inlineStr"/>
    </row>
    <row r="1849">
      <c r="A1849" s="188" t="inlineStr">
        <is>
          <t>MSF_MODULE</t>
        </is>
      </c>
      <c r="B1849" s="188" t="inlineStr">
        <is>
          <t>CVE-2017-5259</t>
        </is>
      </c>
      <c r="C1849" s="188" t="inlineStr">
        <is>
          <t>Metasploit module available: Cambium cnPilot r200/r201 Command Execution as 'root' | Type: auxiliary_admin | CVE-2017-5259</t>
        </is>
      </c>
      <c r="D1849" s="188" t="n">
        <v>7.5</v>
      </c>
      <c r="E1849" s="188" t="inlineStr">
        <is>
          <t>HIGH</t>
        </is>
      </c>
      <c r="F1849" s="188" t="n">
        <v>3</v>
      </c>
      <c r="G1849" s="188" t="n">
        <v>3</v>
      </c>
      <c r="H1849" s="188" t="inlineStr">
        <is>
          <t>CRITICAL</t>
        </is>
      </c>
      <c r="I1849" s="188" t="n">
        <v>16.5</v>
      </c>
      <c r="J1849" s="188" t="inlineStr">
        <is>
          <t>NO</t>
        </is>
      </c>
      <c r="K1849" s="188" t="inlineStr">
        <is>
          <t>https://nvd.nist.gov/vuln/detail/CVE-2017-5259</t>
        </is>
      </c>
      <c r="L1849" s="188" t="inlineStr">
        <is>
          <t>2026-02-26 00:15</t>
        </is>
      </c>
      <c r="M1849" s="188" t="inlineStr">
        <is>
          <t>PATCH_IMMEDIATELY</t>
        </is>
      </c>
      <c r="N1849" s="188" t="inlineStr">
        <is>
          <t>https://nvd.nist.gov/vuln/detail/CVE-2017-5259</t>
        </is>
      </c>
      <c r="O1849" s="188" t="inlineStr">
        <is>
          <t>Patch CVE-2017-5259 immediately — weaponized Metasploit module in public release | Module: Cambium cnPilot r200/r201 Command Execution as 'root'</t>
        </is>
      </c>
      <c r="P1849" s="188" t="inlineStr">
        <is>
          <t>See CVE details</t>
        </is>
      </c>
      <c r="Q1849" s="188" t="inlineStr">
        <is>
          <t>P2</t>
        </is>
      </c>
      <c r="R1849" s="188" t="inlineStr">
        <is>
          <t>🔍 Investigate and apply appropriate controls</t>
        </is>
      </c>
      <c r="S1849" s="188" t="inlineStr">
        <is>
          <t>Rapid7 MSF: Cambium cnPilot r200/r201 Command Execution as 'root' | Module type: auxiliary_admin</t>
        </is>
      </c>
      <c r="T1849" s="188" t="n">
        <v>0</v>
      </c>
      <c r="U1849" s="188" t="n">
        <v>0</v>
      </c>
      <c r="V1849" s="188" t="inlineStr">
        <is>
          <t>T1203:Exploitation for Client Execution | T1190:Exploit Public-Facing Application</t>
        </is>
      </c>
      <c r="W1849" s="188" t="n">
        <v>2</v>
      </c>
      <c r="X1849" s="188" t="inlineStr">
        <is>
          <t>HIGH (72%)</t>
        </is>
      </c>
      <c r="Y1849" s="188" t="inlineStr">
        <is>
          <t>WEAPONIZED</t>
        </is>
      </c>
      <c r="Z1849" s="188" t="inlineStr">
        <is>
          <t>CHECK_VENDOR</t>
        </is>
      </c>
      <c r="AA1849" s="188" t="inlineStr">
        <is>
          <t>https://www.rapid7.com/db/search/?q=CVE-2017-5259</t>
        </is>
      </c>
      <c r="AB1849" s="188" t="inlineStr">
        <is>
          <t>NONE</t>
        </is>
      </c>
      <c r="AC1849" s="188" t="n">
        <v>0</v>
      </c>
      <c r="AD1849" s="188" t="inlineStr"/>
    </row>
    <row r="1850">
      <c r="A1850" s="188" t="inlineStr">
        <is>
          <t>MSF_MODULE</t>
        </is>
      </c>
      <c r="B1850" s="188" t="inlineStr">
        <is>
          <t>CVE-2017-5261</t>
        </is>
      </c>
      <c r="C1850" s="188" t="inlineStr">
        <is>
          <t>Metasploit module available: Cambium cnPilot r200/r201 File Path Traversal | Type: auxiliary_admin | CVE-2017-5261</t>
        </is>
      </c>
      <c r="D1850" s="188" t="n">
        <v>7.5</v>
      </c>
      <c r="E1850" s="188" t="inlineStr">
        <is>
          <t>HIGH</t>
        </is>
      </c>
      <c r="F1850" s="188" t="n">
        <v>3</v>
      </c>
      <c r="G1850" s="188" t="n">
        <v>3</v>
      </c>
      <c r="H1850" s="188" t="inlineStr">
        <is>
          <t>CRITICAL</t>
        </is>
      </c>
      <c r="I1850" s="188" t="n">
        <v>16.5</v>
      </c>
      <c r="J1850" s="188" t="inlineStr">
        <is>
          <t>NO</t>
        </is>
      </c>
      <c r="K1850" s="188" t="inlineStr">
        <is>
          <t>https://nvd.nist.gov/vuln/detail/CVE-2017-5261</t>
        </is>
      </c>
      <c r="L1850" s="188" t="inlineStr">
        <is>
          <t>2026-02-26 00:15</t>
        </is>
      </c>
      <c r="M1850" s="188" t="inlineStr">
        <is>
          <t>PATCH_IMMEDIATELY</t>
        </is>
      </c>
      <c r="N1850" s="188" t="inlineStr">
        <is>
          <t>https://nvd.nist.gov/vuln/detail/CVE-2017-5261</t>
        </is>
      </c>
      <c r="O1850" s="188" t="inlineStr">
        <is>
          <t>Patch CVE-2017-5261 immediately — weaponized Metasploit module in public release | Module: Cambium cnPilot r200/r201 File Path Traversal</t>
        </is>
      </c>
      <c r="P1850" s="188" t="inlineStr">
        <is>
          <t>See CVE details</t>
        </is>
      </c>
      <c r="Q1850" s="188" t="inlineStr">
        <is>
          <t>P2</t>
        </is>
      </c>
      <c r="R1850" s="188" t="inlineStr">
        <is>
          <t>🔍 Investigate and apply appropriate controls</t>
        </is>
      </c>
      <c r="S1850" s="188" t="inlineStr">
        <is>
          <t>Rapid7 MSF: Cambium cnPilot r200/r201 File Path Traversal | Module type: auxiliary_admin</t>
        </is>
      </c>
      <c r="T1850" s="188" t="n">
        <v>0</v>
      </c>
      <c r="U1850" s="188" t="n">
        <v>0</v>
      </c>
      <c r="V1850" s="188" t="inlineStr">
        <is>
          <t>T1203:Exploitation for Client Execution | T1190:Exploit Public-Facing Application</t>
        </is>
      </c>
      <c r="W1850" s="188" t="n">
        <v>2</v>
      </c>
      <c r="X1850" s="188" t="inlineStr">
        <is>
          <t>HIGH (72%)</t>
        </is>
      </c>
      <c r="Y1850" s="188" t="inlineStr">
        <is>
          <t>WEAPONIZED</t>
        </is>
      </c>
      <c r="Z1850" s="188" t="inlineStr">
        <is>
          <t>CHECK_VENDOR</t>
        </is>
      </c>
      <c r="AA1850" s="188" t="inlineStr">
        <is>
          <t>https://www.rapid7.com/db/search/?q=CVE-2017-5261</t>
        </is>
      </c>
      <c r="AB1850" s="188" t="inlineStr">
        <is>
          <t>NONE</t>
        </is>
      </c>
      <c r="AC1850" s="188" t="n">
        <v>0</v>
      </c>
      <c r="AD1850" s="188" t="inlineStr"/>
    </row>
    <row r="1851">
      <c r="A1851" s="188" t="inlineStr">
        <is>
          <t>MSF_MODULE</t>
        </is>
      </c>
      <c r="B1851" s="188" t="inlineStr">
        <is>
          <t>CVE-2009-10005</t>
        </is>
      </c>
      <c r="C1851" s="188" t="inlineStr">
        <is>
          <t>Metasploit module available: ContentKeeper Web Appliance mimencode File Access | Type: auxiliary_admin | CVE-2009-10005</t>
        </is>
      </c>
      <c r="D1851" s="188" t="n">
        <v>7.5</v>
      </c>
      <c r="E1851" s="188" t="inlineStr">
        <is>
          <t>HIGH</t>
        </is>
      </c>
      <c r="F1851" s="188" t="n">
        <v>3</v>
      </c>
      <c r="G1851" s="188" t="n">
        <v>3</v>
      </c>
      <c r="H1851" s="188" t="inlineStr">
        <is>
          <t>CRITICAL</t>
        </is>
      </c>
      <c r="I1851" s="188" t="n">
        <v>16.5</v>
      </c>
      <c r="J1851" s="188" t="inlineStr">
        <is>
          <t>NO</t>
        </is>
      </c>
      <c r="K1851" s="188" t="inlineStr">
        <is>
          <t>https://nvd.nist.gov/vuln/detail/CVE-2009-10005</t>
        </is>
      </c>
      <c r="L1851" s="188" t="inlineStr">
        <is>
          <t>2026-02-26 00:15</t>
        </is>
      </c>
      <c r="M1851" s="188" t="inlineStr">
        <is>
          <t>PATCH_IMMEDIATELY</t>
        </is>
      </c>
      <c r="N1851" s="188" t="inlineStr">
        <is>
          <t>https://nvd.nist.gov/vuln/detail/CVE-2009-10005</t>
        </is>
      </c>
      <c r="O1851" s="188" t="inlineStr">
        <is>
          <t>Patch CVE-2009-10005 immediately — weaponized Metasploit module in public release | Module: ContentKeeper Web Appliance mimencode File Access</t>
        </is>
      </c>
      <c r="P1851" s="188" t="inlineStr">
        <is>
          <t>See CVE details</t>
        </is>
      </c>
      <c r="Q1851" s="188" t="inlineStr">
        <is>
          <t>P2</t>
        </is>
      </c>
      <c r="R1851" s="188" t="inlineStr">
        <is>
          <t>🔍 Investigate and apply appropriate controls</t>
        </is>
      </c>
      <c r="S1851" s="188" t="inlineStr">
        <is>
          <t>Rapid7 MSF: ContentKeeper Web Appliance mimencode File Access | Module type: auxiliary_admin</t>
        </is>
      </c>
      <c r="T1851" s="188" t="n">
        <v>0</v>
      </c>
      <c r="U1851" s="188" t="n">
        <v>0</v>
      </c>
      <c r="V1851" s="188" t="inlineStr">
        <is>
          <t>T1203:Exploitation for Client Execution | T1190:Exploit Public-Facing Application</t>
        </is>
      </c>
      <c r="W1851" s="188" t="n">
        <v>2</v>
      </c>
      <c r="X1851" s="188" t="inlineStr">
        <is>
          <t>HIGH (72%)</t>
        </is>
      </c>
      <c r="Y1851" s="188" t="inlineStr">
        <is>
          <t>WEAPONIZED</t>
        </is>
      </c>
      <c r="Z1851" s="188" t="inlineStr">
        <is>
          <t>CHECK_VENDOR</t>
        </is>
      </c>
      <c r="AA1851" s="188" t="inlineStr">
        <is>
          <t>https://www.rapid7.com/db/search/?q=CVE-2009-10005</t>
        </is>
      </c>
      <c r="AB1851" s="188" t="inlineStr">
        <is>
          <t>NONE</t>
        </is>
      </c>
      <c r="AC1851" s="188" t="n">
        <v>0</v>
      </c>
      <c r="AD1851" s="188" t="inlineStr"/>
    </row>
    <row r="1852">
      <c r="A1852" s="188" t="inlineStr">
        <is>
          <t>MSF_MODULE</t>
        </is>
      </c>
      <c r="B1852" s="188" t="inlineStr">
        <is>
          <t>CVE-2013-10069</t>
        </is>
      </c>
      <c r="C1852" s="188" t="inlineStr">
        <is>
          <t>Metasploit module available: D-Link DIR-600 / DIR-300 Unauthenticated Remote Command Execution | Type: auxiliary_admin | CVE-2013-10069</t>
        </is>
      </c>
      <c r="D1852" s="188" t="n">
        <v>7.5</v>
      </c>
      <c r="E1852" s="188" t="inlineStr">
        <is>
          <t>HIGH</t>
        </is>
      </c>
      <c r="F1852" s="188" t="n">
        <v>3</v>
      </c>
      <c r="G1852" s="188" t="n">
        <v>3</v>
      </c>
      <c r="H1852" s="188" t="inlineStr">
        <is>
          <t>CRITICAL</t>
        </is>
      </c>
      <c r="I1852" s="188" t="n">
        <v>16.5</v>
      </c>
      <c r="J1852" s="188" t="inlineStr">
        <is>
          <t>NO</t>
        </is>
      </c>
      <c r="K1852" s="188" t="inlineStr">
        <is>
          <t>https://nvd.nist.gov/vuln/detail/CVE-2013-10069</t>
        </is>
      </c>
      <c r="L1852" s="188" t="inlineStr">
        <is>
          <t>2026-02-26 00:15</t>
        </is>
      </c>
      <c r="M1852" s="188" t="inlineStr">
        <is>
          <t>PATCH_IMMEDIATELY</t>
        </is>
      </c>
      <c r="N1852" s="188" t="inlineStr">
        <is>
          <t>https://nvd.nist.gov/vuln/detail/CVE-2013-10069</t>
        </is>
      </c>
      <c r="O1852" s="188" t="inlineStr">
        <is>
          <t>Patch CVE-2013-10069 immediately — weaponized Metasploit module in public release | Module: D-Link DIR-600 / DIR-300 Unauthenticated Remote Command Execution</t>
        </is>
      </c>
      <c r="P1852" s="188" t="inlineStr">
        <is>
          <t>See CVE details</t>
        </is>
      </c>
      <c r="Q1852" s="188" t="inlineStr">
        <is>
          <t>P2</t>
        </is>
      </c>
      <c r="R1852" s="188" t="inlineStr">
        <is>
          <t>🔍 Investigate and apply appropriate controls</t>
        </is>
      </c>
      <c r="S1852" s="188" t="inlineStr">
        <is>
          <t>Rapid7 MSF: D-Link DIR-600 / DIR-300 Unauthenticated Remote Command Execution | Module type: auxiliary_admin</t>
        </is>
      </c>
      <c r="T1852" s="188" t="n">
        <v>0</v>
      </c>
      <c r="U1852" s="188" t="n">
        <v>0</v>
      </c>
      <c r="V1852" s="188" t="inlineStr">
        <is>
          <t>T1203:Exploitation for Client Execution | T1190:Exploit Public-Facing Application</t>
        </is>
      </c>
      <c r="W1852" s="188" t="n">
        <v>2</v>
      </c>
      <c r="X1852" s="188" t="inlineStr">
        <is>
          <t>HIGH (72%)</t>
        </is>
      </c>
      <c r="Y1852" s="188" t="inlineStr">
        <is>
          <t>WEAPONIZED</t>
        </is>
      </c>
      <c r="Z1852" s="188" t="inlineStr">
        <is>
          <t>CHECK_VENDOR</t>
        </is>
      </c>
      <c r="AA1852" s="188" t="inlineStr">
        <is>
          <t>https://www.rapid7.com/db/search/?q=CVE-2013-10069</t>
        </is>
      </c>
      <c r="AB1852" s="188" t="inlineStr">
        <is>
          <t>NONE</t>
        </is>
      </c>
      <c r="AC1852" s="188" t="n">
        <v>0</v>
      </c>
      <c r="AD1852" s="188" t="inlineStr"/>
    </row>
    <row r="1853">
      <c r="A1853" s="188" t="inlineStr">
        <is>
          <t>MSF_MODULE</t>
        </is>
      </c>
      <c r="B1853" s="188" t="inlineStr">
        <is>
          <t>CVE-2013-2113</t>
        </is>
      </c>
      <c r="C1853" s="188" t="inlineStr">
        <is>
          <t>Metasploit module available: Foreman (Red Hat OpenStack/Satellite) users/create Mass Assignment | Type: auxiliary_admin | CVE-2013-2113</t>
        </is>
      </c>
      <c r="D1853" s="188" t="n">
        <v>7.5</v>
      </c>
      <c r="E1853" s="188" t="inlineStr">
        <is>
          <t>HIGH</t>
        </is>
      </c>
      <c r="F1853" s="188" t="n">
        <v>3</v>
      </c>
      <c r="G1853" s="188" t="n">
        <v>3</v>
      </c>
      <c r="H1853" s="188" t="inlineStr">
        <is>
          <t>CRITICAL</t>
        </is>
      </c>
      <c r="I1853" s="188" t="n">
        <v>16.5</v>
      </c>
      <c r="J1853" s="188" t="inlineStr">
        <is>
          <t>NO</t>
        </is>
      </c>
      <c r="K1853" s="188" t="inlineStr">
        <is>
          <t>https://nvd.nist.gov/vuln/detail/CVE-2013-2113</t>
        </is>
      </c>
      <c r="L1853" s="188" t="inlineStr">
        <is>
          <t>2026-02-26 00:15</t>
        </is>
      </c>
      <c r="M1853" s="188" t="inlineStr">
        <is>
          <t>PATCH_IMMEDIATELY</t>
        </is>
      </c>
      <c r="N1853" s="188" t="inlineStr">
        <is>
          <t>https://nvd.nist.gov/vuln/detail/CVE-2013-2113</t>
        </is>
      </c>
      <c r="O1853" s="188" t="inlineStr">
        <is>
          <t>Patch CVE-2013-2113 immediately — weaponized Metasploit module in public release | Module: Foreman (Red Hat OpenStack/Satellite) users/create Mass Assignment</t>
        </is>
      </c>
      <c r="P1853" s="188" t="inlineStr">
        <is>
          <t>See CVE details</t>
        </is>
      </c>
      <c r="Q1853" s="188" t="inlineStr">
        <is>
          <t>P2</t>
        </is>
      </c>
      <c r="R1853" s="188" t="inlineStr">
        <is>
          <t>🔍 Investigate and apply appropriate controls</t>
        </is>
      </c>
      <c r="S1853" s="188" t="inlineStr">
        <is>
          <t>Rapid7 MSF: Foreman (Red Hat OpenStack/Satellite) users/create Mass Assignment | Module type: auxiliary_admin</t>
        </is>
      </c>
      <c r="T1853" s="188" t="n">
        <v>0</v>
      </c>
      <c r="U1853" s="188" t="n">
        <v>0</v>
      </c>
      <c r="V1853" s="188" t="inlineStr">
        <is>
          <t>T1203:Exploitation for Client Execution | T1190:Exploit Public-Facing Application</t>
        </is>
      </c>
      <c r="W1853" s="188" t="n">
        <v>2</v>
      </c>
      <c r="X1853" s="188" t="inlineStr">
        <is>
          <t>HIGH (72%)</t>
        </is>
      </c>
      <c r="Y1853" s="188" t="inlineStr">
        <is>
          <t>WEAPONIZED</t>
        </is>
      </c>
      <c r="Z1853" s="188" t="inlineStr">
        <is>
          <t>CHECK_VENDOR</t>
        </is>
      </c>
      <c r="AA1853" s="188" t="inlineStr">
        <is>
          <t>https://www.rapid7.com/db/search/?q=CVE-2013-2113</t>
        </is>
      </c>
      <c r="AB1853" s="188" t="inlineStr">
        <is>
          <t>NONE</t>
        </is>
      </c>
      <c r="AC1853" s="188" t="n">
        <v>0</v>
      </c>
      <c r="AD1853" s="188" t="inlineStr"/>
    </row>
    <row r="1854">
      <c r="A1854" s="188" t="inlineStr">
        <is>
          <t>MSF_MODULE</t>
        </is>
      </c>
      <c r="B1854" s="188" t="inlineStr">
        <is>
          <t>CVE-2025-64446</t>
        </is>
      </c>
      <c r="C1854" s="188" t="inlineStr">
        <is>
          <t>Metasploit module available: Fortinet FortiWeb create new local admin | Type: auxiliary_admin | CVE-2025-64446</t>
        </is>
      </c>
      <c r="D1854" s="188" t="n">
        <v>7.5</v>
      </c>
      <c r="E1854" s="188" t="inlineStr">
        <is>
          <t>HIGH</t>
        </is>
      </c>
      <c r="F1854" s="188" t="n">
        <v>3</v>
      </c>
      <c r="G1854" s="188" t="n">
        <v>3</v>
      </c>
      <c r="H1854" s="188" t="inlineStr">
        <is>
          <t>CRITICAL</t>
        </is>
      </c>
      <c r="I1854" s="188" t="n">
        <v>16.5</v>
      </c>
      <c r="J1854" s="188" t="inlineStr">
        <is>
          <t>YES</t>
        </is>
      </c>
      <c r="K1854" s="188" t="inlineStr">
        <is>
          <t>https://nvd.nist.gov/vuln/detail/CVE-2025-64446</t>
        </is>
      </c>
      <c r="L1854" s="188" t="inlineStr">
        <is>
          <t>2026-02-26 00:15</t>
        </is>
      </c>
      <c r="M1854" s="188" t="inlineStr">
        <is>
          <t>PATCH_IMMEDIATELY</t>
        </is>
      </c>
      <c r="N1854" s="188" t="inlineStr">
        <is>
          <t>https://nvd.nist.gov/vuln/detail/CVE-2025-64446</t>
        </is>
      </c>
      <c r="O1854" s="188" t="inlineStr">
        <is>
          <t>Patch CVE-2025-64446 immediately — weaponized Metasploit module in public release | Module: Fortinet FortiWeb create new local admin</t>
        </is>
      </c>
      <c r="P1854" s="188" t="inlineStr">
        <is>
          <t>See CVE details</t>
        </is>
      </c>
      <c r="Q1854" s="188" t="inlineStr">
        <is>
          <t>P1</t>
        </is>
      </c>
      <c r="R1854" s="188" t="inlineStr">
        <is>
          <t>🔍 Investigate and apply appropriate controls</t>
        </is>
      </c>
      <c r="S1854" s="188" t="inlineStr">
        <is>
          <t>Rapid7 MSF: Fortinet FortiWeb create new local admin | Module type: auxiliary_admin</t>
        </is>
      </c>
      <c r="T1854" s="188" t="n">
        <v>0</v>
      </c>
      <c r="U1854" s="188" t="n">
        <v>0</v>
      </c>
      <c r="V1854" s="188" t="inlineStr">
        <is>
          <t>T1203:Exploitation for Client Execution | T1190:Exploit Public-Facing Application</t>
        </is>
      </c>
      <c r="W1854" s="188" t="n">
        <v>2</v>
      </c>
      <c r="X1854" s="188" t="inlineStr">
        <is>
          <t>HIGH (72%)</t>
        </is>
      </c>
      <c r="Y1854" s="188" t="inlineStr">
        <is>
          <t>WEAPONIZED</t>
        </is>
      </c>
      <c r="Z1854" s="188" t="inlineStr">
        <is>
          <t>CHECK_VENDOR</t>
        </is>
      </c>
      <c r="AA1854" s="188" t="inlineStr">
        <is>
          <t>https://www.rapid7.com/db/search/?q=CVE-2025-64446</t>
        </is>
      </c>
      <c r="AB1854" s="188" t="inlineStr">
        <is>
          <t>NONE</t>
        </is>
      </c>
      <c r="AC1854" s="188" t="n">
        <v>0</v>
      </c>
      <c r="AD1854" s="188" t="inlineStr"/>
    </row>
    <row r="1855">
      <c r="A1855" s="188" t="inlineStr">
        <is>
          <t>MSF_MODULE</t>
        </is>
      </c>
      <c r="B1855" s="188" t="inlineStr">
        <is>
          <t>CVE-2024-5276</t>
        </is>
      </c>
      <c r="C1855" s="188" t="inlineStr">
        <is>
          <t>Metasploit module available: Fortra FileCatalyst Workflow SQL Injection (CVE-2024-5276) | Type: auxiliary_admin | CVE-2024-5276</t>
        </is>
      </c>
      <c r="D1855" s="188" t="n">
        <v>7.5</v>
      </c>
      <c r="E1855" s="188" t="inlineStr">
        <is>
          <t>HIGH</t>
        </is>
      </c>
      <c r="F1855" s="188" t="n">
        <v>3</v>
      </c>
      <c r="G1855" s="188" t="n">
        <v>3</v>
      </c>
      <c r="H1855" s="188" t="inlineStr">
        <is>
          <t>CRITICAL</t>
        </is>
      </c>
      <c r="I1855" s="188" t="n">
        <v>16.5</v>
      </c>
      <c r="J1855" s="188" t="inlineStr">
        <is>
          <t>NO</t>
        </is>
      </c>
      <c r="K1855" s="188" t="inlineStr">
        <is>
          <t>https://nvd.nist.gov/vuln/detail/CVE-2024-5276</t>
        </is>
      </c>
      <c r="L1855" s="188" t="inlineStr">
        <is>
          <t>2026-02-26 00:15</t>
        </is>
      </c>
      <c r="M1855" s="188" t="inlineStr">
        <is>
          <t>PATCH_IMMEDIATELY</t>
        </is>
      </c>
      <c r="N1855" s="188" t="inlineStr">
        <is>
          <t>https://nvd.nist.gov/vuln/detail/CVE-2024-5276</t>
        </is>
      </c>
      <c r="O1855" s="188" t="inlineStr">
        <is>
          <t>Patch CVE-2024-5276 immediately — weaponized Metasploit module in public release | Module: Fortra FileCatalyst Workflow SQL Injection (CVE-2024-5276)</t>
        </is>
      </c>
      <c r="P1855" s="188" t="inlineStr">
        <is>
          <t>See CVE details</t>
        </is>
      </c>
      <c r="Q1855" s="188" t="inlineStr">
        <is>
          <t>P2</t>
        </is>
      </c>
      <c r="R1855" s="188" t="inlineStr">
        <is>
          <t>🔍 Investigate and apply appropriate controls</t>
        </is>
      </c>
      <c r="S1855" s="188" t="inlineStr">
        <is>
          <t>Rapid7 MSF: Fortra FileCatalyst Workflow SQL Injection (CVE-2024-5276) | Module type: auxiliary_admin</t>
        </is>
      </c>
      <c r="T1855" s="188" t="n">
        <v>0</v>
      </c>
      <c r="U1855" s="188" t="n">
        <v>0</v>
      </c>
      <c r="V1855" s="188" t="inlineStr">
        <is>
          <t>T1203:Exploitation for Client Execution | T1190:Exploit Public-Facing Application</t>
        </is>
      </c>
      <c r="W1855" s="188" t="n">
        <v>2</v>
      </c>
      <c r="X1855" s="188" t="inlineStr">
        <is>
          <t>HIGH (72%)</t>
        </is>
      </c>
      <c r="Y1855" s="188" t="inlineStr">
        <is>
          <t>WEAPONIZED</t>
        </is>
      </c>
      <c r="Z1855" s="188" t="inlineStr">
        <is>
          <t>CHECK_VENDOR</t>
        </is>
      </c>
      <c r="AA1855" s="188" t="inlineStr">
        <is>
          <t>https://www.rapid7.com/db/search/?q=CVE-2024-5276</t>
        </is>
      </c>
      <c r="AB1855" s="188" t="inlineStr">
        <is>
          <t>NONE</t>
        </is>
      </c>
      <c r="AC1855" s="188" t="n">
        <v>0</v>
      </c>
      <c r="AD1855" s="188" t="inlineStr"/>
    </row>
    <row r="1856">
      <c r="A1856" s="188" t="inlineStr">
        <is>
          <t>MSF_MODULE</t>
        </is>
      </c>
      <c r="B1856" s="188" t="inlineStr">
        <is>
          <t>CVE-2023-7028</t>
        </is>
      </c>
      <c r="C1856" s="188" t="inlineStr">
        <is>
          <t>Metasploit module available: GitLab Password Reset Account Takeover | Type: auxiliary_admin | CVE-2023-7028</t>
        </is>
      </c>
      <c r="D1856" s="188" t="n">
        <v>7.5</v>
      </c>
      <c r="E1856" s="188" t="inlineStr">
        <is>
          <t>HIGH</t>
        </is>
      </c>
      <c r="F1856" s="188" t="n">
        <v>3</v>
      </c>
      <c r="G1856" s="188" t="n">
        <v>3</v>
      </c>
      <c r="H1856" s="188" t="inlineStr">
        <is>
          <t>CRITICAL</t>
        </is>
      </c>
      <c r="I1856" s="188" t="n">
        <v>16.5</v>
      </c>
      <c r="J1856" s="188" t="inlineStr">
        <is>
          <t>YES</t>
        </is>
      </c>
      <c r="K1856" s="188" t="inlineStr">
        <is>
          <t>https://nvd.nist.gov/vuln/detail/CVE-2023-7028</t>
        </is>
      </c>
      <c r="L1856" s="188" t="inlineStr">
        <is>
          <t>2026-02-26 00:15</t>
        </is>
      </c>
      <c r="M1856" s="188" t="inlineStr">
        <is>
          <t>PATCH_IMMEDIATELY</t>
        </is>
      </c>
      <c r="N1856" s="188" t="inlineStr">
        <is>
          <t>https://nvd.nist.gov/vuln/detail/CVE-2023-7028</t>
        </is>
      </c>
      <c r="O1856" s="188" t="inlineStr">
        <is>
          <t>Patch CVE-2023-7028 immediately — weaponized Metasploit module in public release | Module: GitLab Password Reset Account Takeover</t>
        </is>
      </c>
      <c r="P1856" s="188" t="inlineStr">
        <is>
          <t>See CVE details</t>
        </is>
      </c>
      <c r="Q1856" s="188" t="inlineStr">
        <is>
          <t>P1</t>
        </is>
      </c>
      <c r="R1856" s="188" t="inlineStr">
        <is>
          <t>🔍 Investigate and apply appropriate controls</t>
        </is>
      </c>
      <c r="S1856" s="188" t="inlineStr">
        <is>
          <t>Rapid7 MSF: GitLab Password Reset Account Takeover | Module type: auxiliary_admin</t>
        </is>
      </c>
      <c r="T1856" s="188" t="n">
        <v>0</v>
      </c>
      <c r="U1856" s="188" t="n">
        <v>0</v>
      </c>
      <c r="V1856" s="188" t="inlineStr">
        <is>
          <t>T1203:Exploitation for Client Execution | T1190:Exploit Public-Facing Application</t>
        </is>
      </c>
      <c r="W1856" s="188" t="n">
        <v>2</v>
      </c>
      <c r="X1856" s="188" t="inlineStr">
        <is>
          <t>HIGH (72%)</t>
        </is>
      </c>
      <c r="Y1856" s="188" t="inlineStr">
        <is>
          <t>WEAPONIZED</t>
        </is>
      </c>
      <c r="Z1856" s="188" t="inlineStr">
        <is>
          <t>CHECK_VENDOR</t>
        </is>
      </c>
      <c r="AA1856" s="188" t="inlineStr">
        <is>
          <t>https://www.rapid7.com/db/search/?q=CVE-2023-7028</t>
        </is>
      </c>
      <c r="AB1856" s="188" t="inlineStr">
        <is>
          <t>NONE</t>
        </is>
      </c>
      <c r="AC1856" s="188" t="n">
        <v>0</v>
      </c>
      <c r="AD1856" s="188" t="inlineStr"/>
    </row>
    <row r="1857">
      <c r="A1857" s="188" t="inlineStr">
        <is>
          <t>MSF_MODULE</t>
        </is>
      </c>
      <c r="B1857" s="188" t="inlineStr">
        <is>
          <t>CVE-2018-5955</t>
        </is>
      </c>
      <c r="C1857" s="188" t="inlineStr">
        <is>
          <t>Metasploit module available: GitStack Unauthenticated REST API Requests | Type: auxiliary_admin | CVE-2018-5955</t>
        </is>
      </c>
      <c r="D1857" s="188" t="n">
        <v>7.5</v>
      </c>
      <c r="E1857" s="188" t="inlineStr">
        <is>
          <t>HIGH</t>
        </is>
      </c>
      <c r="F1857" s="188" t="n">
        <v>3</v>
      </c>
      <c r="G1857" s="188" t="n">
        <v>3</v>
      </c>
      <c r="H1857" s="188" t="inlineStr">
        <is>
          <t>CRITICAL</t>
        </is>
      </c>
      <c r="I1857" s="188" t="n">
        <v>16.5</v>
      </c>
      <c r="J1857" s="188" t="inlineStr">
        <is>
          <t>NO</t>
        </is>
      </c>
      <c r="K1857" s="188" t="inlineStr">
        <is>
          <t>https://nvd.nist.gov/vuln/detail/CVE-2018-5955</t>
        </is>
      </c>
      <c r="L1857" s="188" t="inlineStr">
        <is>
          <t>2026-02-26 00:15</t>
        </is>
      </c>
      <c r="M1857" s="188" t="inlineStr">
        <is>
          <t>PATCH_IMMEDIATELY</t>
        </is>
      </c>
      <c r="N1857" s="188" t="inlineStr">
        <is>
          <t>https://nvd.nist.gov/vuln/detail/CVE-2018-5955</t>
        </is>
      </c>
      <c r="O1857" s="188" t="inlineStr">
        <is>
          <t>Patch CVE-2018-5955 immediately — weaponized Metasploit module in public release | Module: GitStack Unauthenticated REST API Requests</t>
        </is>
      </c>
      <c r="P1857" s="188" t="inlineStr">
        <is>
          <t>See CVE details</t>
        </is>
      </c>
      <c r="Q1857" s="188" t="inlineStr">
        <is>
          <t>P2</t>
        </is>
      </c>
      <c r="R1857" s="188" t="inlineStr">
        <is>
          <t>🔍 Investigate and apply appropriate controls</t>
        </is>
      </c>
      <c r="S1857" s="188" t="inlineStr">
        <is>
          <t>Rapid7 MSF: GitStack Unauthenticated REST API Requests | Module type: auxiliary_admin</t>
        </is>
      </c>
      <c r="T1857" s="188" t="n">
        <v>0</v>
      </c>
      <c r="U1857" s="188" t="n">
        <v>0</v>
      </c>
      <c r="V1857" s="188" t="inlineStr">
        <is>
          <t>T1203:Exploitation for Client Execution | T1190:Exploit Public-Facing Application</t>
        </is>
      </c>
      <c r="W1857" s="188" t="n">
        <v>2</v>
      </c>
      <c r="X1857" s="188" t="inlineStr">
        <is>
          <t>HIGH (72%)</t>
        </is>
      </c>
      <c r="Y1857" s="188" t="inlineStr">
        <is>
          <t>WEAPONIZED</t>
        </is>
      </c>
      <c r="Z1857" s="188" t="inlineStr">
        <is>
          <t>CHECK_VENDOR</t>
        </is>
      </c>
      <c r="AA1857" s="188" t="inlineStr">
        <is>
          <t>https://www.rapid7.com/db/search/?q=CVE-2018-5955</t>
        </is>
      </c>
      <c r="AB1857" s="188" t="inlineStr">
        <is>
          <t>NONE</t>
        </is>
      </c>
      <c r="AC1857" s="188" t="n">
        <v>0</v>
      </c>
      <c r="AD1857" s="188" t="inlineStr"/>
    </row>
    <row r="1858">
      <c r="A1858" s="188" t="inlineStr">
        <is>
          <t>MSF_MODULE</t>
        </is>
      </c>
      <c r="B1858" s="188" t="inlineStr">
        <is>
          <t>CVE-2018-15727</t>
        </is>
      </c>
      <c r="C1858" s="188" t="inlineStr">
        <is>
          <t>Metasploit module available: Grafana 2.0 through 5.2.2 authentication bypass for LDAP and OAuth | Type: auxiliary_admin | CVE-2018-15727</t>
        </is>
      </c>
      <c r="D1858" s="188" t="n">
        <v>7.5</v>
      </c>
      <c r="E1858" s="188" t="inlineStr">
        <is>
          <t>HIGH</t>
        </is>
      </c>
      <c r="F1858" s="188" t="n">
        <v>3</v>
      </c>
      <c r="G1858" s="188" t="n">
        <v>3</v>
      </c>
      <c r="H1858" s="188" t="inlineStr">
        <is>
          <t>CRITICAL</t>
        </is>
      </c>
      <c r="I1858" s="188" t="n">
        <v>16.5</v>
      </c>
      <c r="J1858" s="188" t="inlineStr">
        <is>
          <t>NO</t>
        </is>
      </c>
      <c r="K1858" s="188" t="inlineStr">
        <is>
          <t>https://nvd.nist.gov/vuln/detail/CVE-2018-15727</t>
        </is>
      </c>
      <c r="L1858" s="188" t="inlineStr">
        <is>
          <t>2026-02-26 00:15</t>
        </is>
      </c>
      <c r="M1858" s="188" t="inlineStr">
        <is>
          <t>PATCH_IMMEDIATELY</t>
        </is>
      </c>
      <c r="N1858" s="188" t="inlineStr">
        <is>
          <t>https://nvd.nist.gov/vuln/detail/CVE-2018-15727</t>
        </is>
      </c>
      <c r="O1858" s="188" t="inlineStr">
        <is>
          <t>Patch CVE-2018-15727 immediately — weaponized Metasploit module in public release | Module: Grafana 2.0 through 5.2.2 authentication bypass for LDAP and OAuth</t>
        </is>
      </c>
      <c r="P1858" s="188" t="inlineStr">
        <is>
          <t>See CVE details</t>
        </is>
      </c>
      <c r="Q1858" s="188" t="inlineStr">
        <is>
          <t>P2</t>
        </is>
      </c>
      <c r="R1858" s="188" t="inlineStr">
        <is>
          <t>🔍 Investigate and apply appropriate controls</t>
        </is>
      </c>
      <c r="S1858" s="188" t="inlineStr">
        <is>
          <t>Rapid7 MSF: Grafana 2.0 through 5.2.2 authentication bypass for LDAP and OAuth | Module type: auxiliary_admin</t>
        </is>
      </c>
      <c r="T1858" s="188" t="n">
        <v>0</v>
      </c>
      <c r="U1858" s="188" t="n">
        <v>0</v>
      </c>
      <c r="V1858" s="188" t="inlineStr">
        <is>
          <t>T1203:Exploitation for Client Execution | T1190:Exploit Public-Facing Application</t>
        </is>
      </c>
      <c r="W1858" s="188" t="n">
        <v>2</v>
      </c>
      <c r="X1858" s="188" t="inlineStr">
        <is>
          <t>HIGH (72%)</t>
        </is>
      </c>
      <c r="Y1858" s="188" t="inlineStr">
        <is>
          <t>WEAPONIZED</t>
        </is>
      </c>
      <c r="Z1858" s="188" t="inlineStr">
        <is>
          <t>CHECK_VENDOR</t>
        </is>
      </c>
      <c r="AA1858" s="188" t="inlineStr">
        <is>
          <t>https://www.rapid7.com/db/search/?q=CVE-2018-15727</t>
        </is>
      </c>
      <c r="AB1858" s="188" t="inlineStr">
        <is>
          <t>NONE</t>
        </is>
      </c>
      <c r="AC1858" s="188" t="n">
        <v>0</v>
      </c>
      <c r="AD1858" s="188" t="inlineStr"/>
    </row>
    <row r="1859">
      <c r="A1859" s="188" t="inlineStr">
        <is>
          <t>MSF_MODULE</t>
        </is>
      </c>
      <c r="B1859" s="188" t="inlineStr">
        <is>
          <t>CVE-2017-7921</t>
        </is>
      </c>
      <c r="C1859" s="188" t="inlineStr">
        <is>
          <t>Metasploit module available: Hikvision IP Camera Unauthenticated Password Change Via Improper Authentication  | Type: auxiliary_admin | CVE-2017-7921</t>
        </is>
      </c>
      <c r="D1859" s="188" t="n">
        <v>7.5</v>
      </c>
      <c r="E1859" s="188" t="inlineStr">
        <is>
          <t>HIGH</t>
        </is>
      </c>
      <c r="F1859" s="188" t="n">
        <v>3</v>
      </c>
      <c r="G1859" s="188" t="n">
        <v>3</v>
      </c>
      <c r="H1859" s="188" t="inlineStr">
        <is>
          <t>CRITICAL</t>
        </is>
      </c>
      <c r="I1859" s="188" t="n">
        <v>16.5</v>
      </c>
      <c r="J1859" s="188" t="inlineStr">
        <is>
          <t>NO</t>
        </is>
      </c>
      <c r="K1859" s="188" t="inlineStr">
        <is>
          <t>https://nvd.nist.gov/vuln/detail/CVE-2017-7921</t>
        </is>
      </c>
      <c r="L1859" s="188" t="inlineStr">
        <is>
          <t>2026-02-26 00:15</t>
        </is>
      </c>
      <c r="M1859" s="188" t="inlineStr">
        <is>
          <t>PATCH_IMMEDIATELY</t>
        </is>
      </c>
      <c r="N1859" s="188" t="inlineStr">
        <is>
          <t>https://nvd.nist.gov/vuln/detail/CVE-2017-7921</t>
        </is>
      </c>
      <c r="O1859" s="188" t="inlineStr">
        <is>
          <t xml:space="preserve">Patch CVE-2017-7921 immediately — weaponized Metasploit module in public release | Module: Hikvision IP Camera Unauthenticated Password Change Via Improper Authentication </t>
        </is>
      </c>
      <c r="P1859" s="188" t="inlineStr">
        <is>
          <t>See CVE details</t>
        </is>
      </c>
      <c r="Q1859" s="188" t="inlineStr">
        <is>
          <t>P2</t>
        </is>
      </c>
      <c r="R1859" s="188" t="inlineStr">
        <is>
          <t>🔍 Investigate and apply appropriate controls</t>
        </is>
      </c>
      <c r="S1859" s="188" t="inlineStr">
        <is>
          <t>Rapid7 MSF: Hikvision IP Camera Unauthenticated Password Change Via Improper Authentication  | Module type: auxiliary_admin</t>
        </is>
      </c>
      <c r="T1859" s="188" t="n">
        <v>0</v>
      </c>
      <c r="U1859" s="188" t="n">
        <v>0</v>
      </c>
      <c r="V1859" s="188" t="inlineStr">
        <is>
          <t>T1203:Exploitation for Client Execution | T1190:Exploit Public-Facing Application</t>
        </is>
      </c>
      <c r="W1859" s="188" t="n">
        <v>2</v>
      </c>
      <c r="X1859" s="188" t="inlineStr">
        <is>
          <t>HIGH (72%)</t>
        </is>
      </c>
      <c r="Y1859" s="188" t="inlineStr">
        <is>
          <t>WEAPONIZED</t>
        </is>
      </c>
      <c r="Z1859" s="188" t="inlineStr">
        <is>
          <t>CHECK_VENDOR</t>
        </is>
      </c>
      <c r="AA1859" s="188" t="inlineStr">
        <is>
          <t>https://www.rapid7.com/db/search/?q=CVE-2017-7921</t>
        </is>
      </c>
      <c r="AB1859" s="188" t="inlineStr">
        <is>
          <t>NONE</t>
        </is>
      </c>
      <c r="AC1859" s="188" t="n">
        <v>0</v>
      </c>
      <c r="AD1859" s="188" t="inlineStr"/>
    </row>
    <row r="1860">
      <c r="A1860" s="188" t="inlineStr">
        <is>
          <t>MSF_MODULE</t>
        </is>
      </c>
      <c r="B1860" s="188" t="inlineStr">
        <is>
          <t>CVE-2020-4427</t>
        </is>
      </c>
      <c r="C1860" s="188" t="inlineStr">
        <is>
          <t>Metasploit module available: IBM Data Risk Manager Arbitrary File Download | Type: auxiliary_admin | CVE-2020-4427</t>
        </is>
      </c>
      <c r="D1860" s="188" t="n">
        <v>7.5</v>
      </c>
      <c r="E1860" s="188" t="inlineStr">
        <is>
          <t>HIGH</t>
        </is>
      </c>
      <c r="F1860" s="188" t="n">
        <v>3</v>
      </c>
      <c r="G1860" s="188" t="n">
        <v>3</v>
      </c>
      <c r="H1860" s="188" t="inlineStr">
        <is>
          <t>CRITICAL</t>
        </is>
      </c>
      <c r="I1860" s="188" t="n">
        <v>16.5</v>
      </c>
      <c r="J1860" s="188" t="inlineStr">
        <is>
          <t>YES</t>
        </is>
      </c>
      <c r="K1860" s="188" t="inlineStr">
        <is>
          <t>https://nvd.nist.gov/vuln/detail/CVE-2020-4427</t>
        </is>
      </c>
      <c r="L1860" s="188" t="inlineStr">
        <is>
          <t>2026-02-26 00:15</t>
        </is>
      </c>
      <c r="M1860" s="188" t="inlineStr">
        <is>
          <t>PATCH_IMMEDIATELY</t>
        </is>
      </c>
      <c r="N1860" s="188" t="inlineStr">
        <is>
          <t>https://nvd.nist.gov/vuln/detail/CVE-2020-4427</t>
        </is>
      </c>
      <c r="O1860" s="188" t="inlineStr">
        <is>
          <t>Patch CVE-2020-4427 immediately — weaponized Metasploit module in public release | Module: IBM Data Risk Manager Arbitrary File Download</t>
        </is>
      </c>
      <c r="P1860" s="188" t="inlineStr">
        <is>
          <t>See CVE details</t>
        </is>
      </c>
      <c r="Q1860" s="188" t="inlineStr">
        <is>
          <t>P1</t>
        </is>
      </c>
      <c r="R1860" s="188" t="inlineStr">
        <is>
          <t>🔍 Investigate and apply appropriate controls</t>
        </is>
      </c>
      <c r="S1860" s="188" t="inlineStr">
        <is>
          <t>Rapid7 MSF: IBM Data Risk Manager Arbitrary File Download | Module type: auxiliary_admin</t>
        </is>
      </c>
      <c r="T1860" s="188" t="n">
        <v>0</v>
      </c>
      <c r="U1860" s="188" t="n">
        <v>0</v>
      </c>
      <c r="V1860" s="188" t="inlineStr">
        <is>
          <t>T1203:Exploitation for Client Execution | T1190:Exploit Public-Facing Application</t>
        </is>
      </c>
      <c r="W1860" s="188" t="n">
        <v>2</v>
      </c>
      <c r="X1860" s="188" t="inlineStr">
        <is>
          <t>HIGH (72%)</t>
        </is>
      </c>
      <c r="Y1860" s="188" t="inlineStr">
        <is>
          <t>WEAPONIZED</t>
        </is>
      </c>
      <c r="Z1860" s="188" t="inlineStr">
        <is>
          <t>CHECK_VENDOR</t>
        </is>
      </c>
      <c r="AA1860" s="188" t="inlineStr">
        <is>
          <t>https://www.rapid7.com/db/search/?q=CVE-2020-4427</t>
        </is>
      </c>
      <c r="AB1860" s="188" t="inlineStr">
        <is>
          <t>NONE</t>
        </is>
      </c>
      <c r="AC1860" s="188" t="n">
        <v>0</v>
      </c>
      <c r="AD1860" s="188" t="inlineStr"/>
    </row>
    <row r="1861">
      <c r="A1861" s="188" t="inlineStr">
        <is>
          <t>MSF_MODULE</t>
        </is>
      </c>
      <c r="B1861" s="188" t="inlineStr">
        <is>
          <t>CVE-2020-4429</t>
        </is>
      </c>
      <c r="C1861" s="188" t="inlineStr">
        <is>
          <t>Metasploit module available: IBM Data Risk Manager Arbitrary File Download | Type: auxiliary_admin | CVE-2020-4429</t>
        </is>
      </c>
      <c r="D1861" s="188" t="n">
        <v>7.5</v>
      </c>
      <c r="E1861" s="188" t="inlineStr">
        <is>
          <t>HIGH</t>
        </is>
      </c>
      <c r="F1861" s="188" t="n">
        <v>3</v>
      </c>
      <c r="G1861" s="188" t="n">
        <v>3</v>
      </c>
      <c r="H1861" s="188" t="inlineStr">
        <is>
          <t>CRITICAL</t>
        </is>
      </c>
      <c r="I1861" s="188" t="n">
        <v>16.5</v>
      </c>
      <c r="J1861" s="188" t="inlineStr">
        <is>
          <t>NO</t>
        </is>
      </c>
      <c r="K1861" s="188" t="inlineStr">
        <is>
          <t>https://nvd.nist.gov/vuln/detail/CVE-2020-4429</t>
        </is>
      </c>
      <c r="L1861" s="188" t="inlineStr">
        <is>
          <t>2026-02-26 00:15</t>
        </is>
      </c>
      <c r="M1861" s="188" t="inlineStr">
        <is>
          <t>PATCH_IMMEDIATELY</t>
        </is>
      </c>
      <c r="N1861" s="188" t="inlineStr">
        <is>
          <t>https://nvd.nist.gov/vuln/detail/CVE-2020-4429</t>
        </is>
      </c>
      <c r="O1861" s="188" t="inlineStr">
        <is>
          <t>Patch CVE-2020-4429 immediately — weaponized Metasploit module in public release | Module: IBM Data Risk Manager Arbitrary File Download</t>
        </is>
      </c>
      <c r="P1861" s="188" t="inlineStr">
        <is>
          <t>See CVE details</t>
        </is>
      </c>
      <c r="Q1861" s="188" t="inlineStr">
        <is>
          <t>P2</t>
        </is>
      </c>
      <c r="R1861" s="188" t="inlineStr">
        <is>
          <t>🔍 Investigate and apply appropriate controls</t>
        </is>
      </c>
      <c r="S1861" s="188" t="inlineStr">
        <is>
          <t>Rapid7 MSF: IBM Data Risk Manager Arbitrary File Download | Module type: auxiliary_admin</t>
        </is>
      </c>
      <c r="T1861" s="188" t="n">
        <v>0</v>
      </c>
      <c r="U1861" s="188" t="n">
        <v>0</v>
      </c>
      <c r="V1861" s="188" t="inlineStr">
        <is>
          <t>T1203:Exploitation for Client Execution | T1190:Exploit Public-Facing Application</t>
        </is>
      </c>
      <c r="W1861" s="188" t="n">
        <v>2</v>
      </c>
      <c r="X1861" s="188" t="inlineStr">
        <is>
          <t>HIGH (72%)</t>
        </is>
      </c>
      <c r="Y1861" s="188" t="inlineStr">
        <is>
          <t>WEAPONIZED</t>
        </is>
      </c>
      <c r="Z1861" s="188" t="inlineStr">
        <is>
          <t>CHECK_VENDOR</t>
        </is>
      </c>
      <c r="AA1861" s="188" t="inlineStr">
        <is>
          <t>https://www.rapid7.com/db/search/?q=CVE-2020-4429</t>
        </is>
      </c>
      <c r="AB1861" s="188" t="inlineStr">
        <is>
          <t>NONE</t>
        </is>
      </c>
      <c r="AC1861" s="188" t="n">
        <v>0</v>
      </c>
      <c r="AD1861" s="188" t="inlineStr"/>
    </row>
    <row r="1862">
      <c r="A1862" s="188" t="inlineStr">
        <is>
          <t>MSF_MODULE</t>
        </is>
      </c>
      <c r="B1862" s="188" t="inlineStr">
        <is>
          <t>CVE-2023-6329</t>
        </is>
      </c>
      <c r="C1862" s="188" t="inlineStr">
        <is>
          <t>Metasploit module available: Control iD iDSecure Authentication Bypass (CVE-2023-6329) | Type: auxiliary_admin | CVE-2023-6329</t>
        </is>
      </c>
      <c r="D1862" s="188" t="n">
        <v>7.5</v>
      </c>
      <c r="E1862" s="188" t="inlineStr">
        <is>
          <t>HIGH</t>
        </is>
      </c>
      <c r="F1862" s="188" t="n">
        <v>3</v>
      </c>
      <c r="G1862" s="188" t="n">
        <v>3</v>
      </c>
      <c r="H1862" s="188" t="inlineStr">
        <is>
          <t>CRITICAL</t>
        </is>
      </c>
      <c r="I1862" s="188" t="n">
        <v>16.5</v>
      </c>
      <c r="J1862" s="188" t="inlineStr">
        <is>
          <t>NO</t>
        </is>
      </c>
      <c r="K1862" s="188" t="inlineStr">
        <is>
          <t>https://nvd.nist.gov/vuln/detail/CVE-2023-6329</t>
        </is>
      </c>
      <c r="L1862" s="188" t="inlineStr">
        <is>
          <t>2026-02-26 00:15</t>
        </is>
      </c>
      <c r="M1862" s="188" t="inlineStr">
        <is>
          <t>PATCH_IMMEDIATELY</t>
        </is>
      </c>
      <c r="N1862" s="188" t="inlineStr">
        <is>
          <t>https://nvd.nist.gov/vuln/detail/CVE-2023-6329</t>
        </is>
      </c>
      <c r="O1862" s="188" t="inlineStr">
        <is>
          <t>Patch CVE-2023-6329 immediately — weaponized Metasploit module in public release | Module: Control iD iDSecure Authentication Bypass (CVE-2023-6329)</t>
        </is>
      </c>
      <c r="P1862" s="188" t="inlineStr">
        <is>
          <t>See CVE details</t>
        </is>
      </c>
      <c r="Q1862" s="188" t="inlineStr">
        <is>
          <t>P2</t>
        </is>
      </c>
      <c r="R1862" s="188" t="inlineStr">
        <is>
          <t>🔍 Investigate and apply appropriate controls</t>
        </is>
      </c>
      <c r="S1862" s="188" t="inlineStr">
        <is>
          <t>Rapid7 MSF: Control iD iDSecure Authentication Bypass (CVE-2023-6329) | Module type: auxiliary_admin</t>
        </is>
      </c>
      <c r="T1862" s="188" t="n">
        <v>0</v>
      </c>
      <c r="U1862" s="188" t="n">
        <v>0</v>
      </c>
      <c r="V1862" s="188" t="inlineStr">
        <is>
          <t>T1203:Exploitation for Client Execution | T1190:Exploit Public-Facing Application</t>
        </is>
      </c>
      <c r="W1862" s="188" t="n">
        <v>2</v>
      </c>
      <c r="X1862" s="188" t="inlineStr">
        <is>
          <t>HIGH (72%)</t>
        </is>
      </c>
      <c r="Y1862" s="188" t="inlineStr">
        <is>
          <t>WEAPONIZED</t>
        </is>
      </c>
      <c r="Z1862" s="188" t="inlineStr">
        <is>
          <t>CHECK_VENDOR</t>
        </is>
      </c>
      <c r="AA1862" s="188" t="inlineStr">
        <is>
          <t>https://www.rapid7.com/db/search/?q=CVE-2023-6329</t>
        </is>
      </c>
      <c r="AB1862" s="188" t="inlineStr">
        <is>
          <t>NONE</t>
        </is>
      </c>
      <c r="AC1862" s="188" t="n">
        <v>0</v>
      </c>
      <c r="AD1862" s="188" t="inlineStr"/>
    </row>
    <row r="1863">
      <c r="A1863" s="188" t="inlineStr">
        <is>
          <t>MSF_MODULE</t>
        </is>
      </c>
      <c r="B1863" s="188" t="inlineStr">
        <is>
          <t>CVE-2010-2731</t>
        </is>
      </c>
      <c r="C1863" s="188" t="inlineStr">
        <is>
          <t>Metasploit module available: MS10-065 Microsoft IIS 5 NTFS Stream Authentication Bypass | Type: auxiliary_admin | CVE-2010-2731</t>
        </is>
      </c>
      <c r="D1863" s="188" t="n">
        <v>7.5</v>
      </c>
      <c r="E1863" s="188" t="inlineStr">
        <is>
          <t>HIGH</t>
        </is>
      </c>
      <c r="F1863" s="188" t="n">
        <v>3</v>
      </c>
      <c r="G1863" s="188" t="n">
        <v>3</v>
      </c>
      <c r="H1863" s="188" t="inlineStr">
        <is>
          <t>CRITICAL</t>
        </is>
      </c>
      <c r="I1863" s="188" t="n">
        <v>16.5</v>
      </c>
      <c r="J1863" s="188" t="inlineStr">
        <is>
          <t>NO</t>
        </is>
      </c>
      <c r="K1863" s="188" t="inlineStr">
        <is>
          <t>https://nvd.nist.gov/vuln/detail/CVE-2010-2731</t>
        </is>
      </c>
      <c r="L1863" s="188" t="inlineStr">
        <is>
          <t>2026-02-26 00:15</t>
        </is>
      </c>
      <c r="M1863" s="188" t="inlineStr">
        <is>
          <t>PATCH_IMMEDIATELY</t>
        </is>
      </c>
      <c r="N1863" s="188" t="inlineStr">
        <is>
          <t>https://nvd.nist.gov/vuln/detail/CVE-2010-2731</t>
        </is>
      </c>
      <c r="O1863" s="188" t="inlineStr">
        <is>
          <t>Patch CVE-2010-2731 immediately — weaponized Metasploit module in public release | Module: MS10-065 Microsoft IIS 5 NTFS Stream Authentication Bypass</t>
        </is>
      </c>
      <c r="P1863" s="188" t="inlineStr">
        <is>
          <t>See CVE details</t>
        </is>
      </c>
      <c r="Q1863" s="188" t="inlineStr">
        <is>
          <t>P2</t>
        </is>
      </c>
      <c r="R1863" s="188" t="inlineStr">
        <is>
          <t>🔍 Investigate and apply appropriate controls</t>
        </is>
      </c>
      <c r="S1863" s="188" t="inlineStr">
        <is>
          <t>Rapid7 MSF: MS10-065 Microsoft IIS 5 NTFS Stream Authentication Bypass | Module type: auxiliary_admin</t>
        </is>
      </c>
      <c r="T1863" s="188" t="n">
        <v>0</v>
      </c>
      <c r="U1863" s="188" t="n">
        <v>0</v>
      </c>
      <c r="V1863" s="188" t="inlineStr">
        <is>
          <t>T1203:Exploitation for Client Execution | T1190:Exploit Public-Facing Application</t>
        </is>
      </c>
      <c r="W1863" s="188" t="n">
        <v>2</v>
      </c>
      <c r="X1863" s="188" t="inlineStr">
        <is>
          <t>HIGH (72%)</t>
        </is>
      </c>
      <c r="Y1863" s="188" t="inlineStr">
        <is>
          <t>WEAPONIZED</t>
        </is>
      </c>
      <c r="Z1863" s="188" t="inlineStr">
        <is>
          <t>CHECK_VENDOR</t>
        </is>
      </c>
      <c r="AA1863" s="188" t="inlineStr">
        <is>
          <t>https://www.rapid7.com/db/search/?q=CVE-2010-2731</t>
        </is>
      </c>
      <c r="AB1863" s="188" t="inlineStr">
        <is>
          <t>NONE</t>
        </is>
      </c>
      <c r="AC1863" s="188" t="n">
        <v>0</v>
      </c>
      <c r="AD1863" s="188" t="inlineStr"/>
    </row>
    <row r="1864">
      <c r="A1864" s="188" t="inlineStr">
        <is>
          <t>MSF_MODULE</t>
        </is>
      </c>
      <c r="B1864" s="188" t="inlineStr">
        <is>
          <t>CVE-2007-4915</t>
        </is>
      </c>
      <c r="C1864" s="188" t="inlineStr">
        <is>
          <t>Metasploit module available: Intersil (Boa) HTTPd Basic Authentication Password Reset | Type: auxiliary_admin | CVE-2007-4915</t>
        </is>
      </c>
      <c r="D1864" s="188" t="n">
        <v>7.5</v>
      </c>
      <c r="E1864" s="188" t="inlineStr">
        <is>
          <t>HIGH</t>
        </is>
      </c>
      <c r="F1864" s="188" t="n">
        <v>3</v>
      </c>
      <c r="G1864" s="188" t="n">
        <v>3</v>
      </c>
      <c r="H1864" s="188" t="inlineStr">
        <is>
          <t>CRITICAL</t>
        </is>
      </c>
      <c r="I1864" s="188" t="n">
        <v>16.5</v>
      </c>
      <c r="J1864" s="188" t="inlineStr">
        <is>
          <t>NO</t>
        </is>
      </c>
      <c r="K1864" s="188" t="inlineStr">
        <is>
          <t>https://nvd.nist.gov/vuln/detail/CVE-2007-4915</t>
        </is>
      </c>
      <c r="L1864" s="188" t="inlineStr">
        <is>
          <t>2026-02-26 00:15</t>
        </is>
      </c>
      <c r="M1864" s="188" t="inlineStr">
        <is>
          <t>PATCH_IMMEDIATELY</t>
        </is>
      </c>
      <c r="N1864" s="188" t="inlineStr">
        <is>
          <t>https://nvd.nist.gov/vuln/detail/CVE-2007-4915</t>
        </is>
      </c>
      <c r="O1864" s="188" t="inlineStr">
        <is>
          <t>Patch CVE-2007-4915 immediately — weaponized Metasploit module in public release | Module: Intersil (Boa) HTTPd Basic Authentication Password Reset</t>
        </is>
      </c>
      <c r="P1864" s="188" t="inlineStr">
        <is>
          <t>See CVE details</t>
        </is>
      </c>
      <c r="Q1864" s="188" t="inlineStr">
        <is>
          <t>P2</t>
        </is>
      </c>
      <c r="R1864" s="188" t="inlineStr">
        <is>
          <t>🔍 Investigate and apply appropriate controls</t>
        </is>
      </c>
      <c r="S1864" s="188" t="inlineStr">
        <is>
          <t>Rapid7 MSF: Intersil (Boa) HTTPd Basic Authentication Password Reset | Module type: auxiliary_admin</t>
        </is>
      </c>
      <c r="T1864" s="188" t="n">
        <v>0</v>
      </c>
      <c r="U1864" s="188" t="n">
        <v>0</v>
      </c>
      <c r="V1864" s="188" t="inlineStr">
        <is>
          <t>T1203:Exploitation for Client Execution | T1190:Exploit Public-Facing Application</t>
        </is>
      </c>
      <c r="W1864" s="188" t="n">
        <v>2</v>
      </c>
      <c r="X1864" s="188" t="inlineStr">
        <is>
          <t>HIGH (72%)</t>
        </is>
      </c>
      <c r="Y1864" s="188" t="inlineStr">
        <is>
          <t>WEAPONIZED</t>
        </is>
      </c>
      <c r="Z1864" s="188" t="inlineStr">
        <is>
          <t>CHECK_VENDOR</t>
        </is>
      </c>
      <c r="AA1864" s="188" t="inlineStr">
        <is>
          <t>https://www.rapid7.com/db/search/?q=CVE-2007-4915</t>
        </is>
      </c>
      <c r="AB1864" s="188" t="inlineStr">
        <is>
          <t>NONE</t>
        </is>
      </c>
      <c r="AC1864" s="188" t="n">
        <v>0</v>
      </c>
      <c r="AD1864" s="188" t="inlineStr"/>
    </row>
    <row r="1865">
      <c r="A1865" s="188" t="inlineStr">
        <is>
          <t>MSF_MODULE</t>
        </is>
      </c>
      <c r="B1865" s="188" t="inlineStr">
        <is>
          <t>CVE-2009-2367</t>
        </is>
      </c>
      <c r="C1865" s="188" t="inlineStr">
        <is>
          <t>Metasploit module available: Iomega StorCenter Pro NAS Web Authentication Bypass | Type: auxiliary_admin | CVE-2009-2367</t>
        </is>
      </c>
      <c r="D1865" s="188" t="n">
        <v>7.5</v>
      </c>
      <c r="E1865" s="188" t="inlineStr">
        <is>
          <t>HIGH</t>
        </is>
      </c>
      <c r="F1865" s="188" t="n">
        <v>3</v>
      </c>
      <c r="G1865" s="188" t="n">
        <v>3</v>
      </c>
      <c r="H1865" s="188" t="inlineStr">
        <is>
          <t>CRITICAL</t>
        </is>
      </c>
      <c r="I1865" s="188" t="n">
        <v>16.5</v>
      </c>
      <c r="J1865" s="188" t="inlineStr">
        <is>
          <t>NO</t>
        </is>
      </c>
      <c r="K1865" s="188" t="inlineStr">
        <is>
          <t>https://nvd.nist.gov/vuln/detail/CVE-2009-2367</t>
        </is>
      </c>
      <c r="L1865" s="188" t="inlineStr">
        <is>
          <t>2026-02-26 00:15</t>
        </is>
      </c>
      <c r="M1865" s="188" t="inlineStr">
        <is>
          <t>PATCH_IMMEDIATELY</t>
        </is>
      </c>
      <c r="N1865" s="188" t="inlineStr">
        <is>
          <t>https://nvd.nist.gov/vuln/detail/CVE-2009-2367</t>
        </is>
      </c>
      <c r="O1865" s="188" t="inlineStr">
        <is>
          <t>Patch CVE-2009-2367 immediately — weaponized Metasploit module in public release | Module: Iomega StorCenter Pro NAS Web Authentication Bypass</t>
        </is>
      </c>
      <c r="P1865" s="188" t="inlineStr">
        <is>
          <t>See CVE details</t>
        </is>
      </c>
      <c r="Q1865" s="188" t="inlineStr">
        <is>
          <t>P2</t>
        </is>
      </c>
      <c r="R1865" s="188" t="inlineStr">
        <is>
          <t>🔍 Investigate and apply appropriate controls</t>
        </is>
      </c>
      <c r="S1865" s="188" t="inlineStr">
        <is>
          <t>Rapid7 MSF: Iomega StorCenter Pro NAS Web Authentication Bypass | Module type: auxiliary_admin</t>
        </is>
      </c>
      <c r="T1865" s="188" t="n">
        <v>0</v>
      </c>
      <c r="U1865" s="188" t="n">
        <v>0</v>
      </c>
      <c r="V1865" s="188" t="inlineStr">
        <is>
          <t>T1203:Exploitation for Client Execution | T1190:Exploit Public-Facing Application</t>
        </is>
      </c>
      <c r="W1865" s="188" t="n">
        <v>2</v>
      </c>
      <c r="X1865" s="188" t="inlineStr">
        <is>
          <t>HIGH (72%)</t>
        </is>
      </c>
      <c r="Y1865" s="188" t="inlineStr">
        <is>
          <t>WEAPONIZED</t>
        </is>
      </c>
      <c r="Z1865" s="188" t="inlineStr">
        <is>
          <t>CHECK_VENDOR</t>
        </is>
      </c>
      <c r="AA1865" s="188" t="inlineStr">
        <is>
          <t>https://www.rapid7.com/db/search/?q=CVE-2009-2367</t>
        </is>
      </c>
      <c r="AB1865" s="188" t="inlineStr">
        <is>
          <t>NONE</t>
        </is>
      </c>
      <c r="AC1865" s="188" t="n">
        <v>0</v>
      </c>
      <c r="AD1865" s="188" t="inlineStr"/>
    </row>
    <row r="1866">
      <c r="A1866" s="188" t="inlineStr">
        <is>
          <t>MSF_MODULE</t>
        </is>
      </c>
      <c r="B1866" s="188" t="inlineStr">
        <is>
          <t>CVE-2024-7593</t>
        </is>
      </c>
      <c r="C1866" s="188" t="inlineStr">
        <is>
          <t>Metasploit module available: Ivanti Virtual Traffic Manager Authentication Bypass (CVE-2024-7593) | Type: auxiliary_admin | CVE-2024-7593</t>
        </is>
      </c>
      <c r="D1866" s="188" t="n">
        <v>7.5</v>
      </c>
      <c r="E1866" s="188" t="inlineStr">
        <is>
          <t>HIGH</t>
        </is>
      </c>
      <c r="F1866" s="188" t="n">
        <v>3</v>
      </c>
      <c r="G1866" s="188" t="n">
        <v>3</v>
      </c>
      <c r="H1866" s="188" t="inlineStr">
        <is>
          <t>CRITICAL</t>
        </is>
      </c>
      <c r="I1866" s="188" t="n">
        <v>16.5</v>
      </c>
      <c r="J1866" s="188" t="inlineStr">
        <is>
          <t>YES</t>
        </is>
      </c>
      <c r="K1866" s="188" t="inlineStr">
        <is>
          <t>https://nvd.nist.gov/vuln/detail/CVE-2024-7593</t>
        </is>
      </c>
      <c r="L1866" s="188" t="inlineStr">
        <is>
          <t>2026-02-26 00:15</t>
        </is>
      </c>
      <c r="M1866" s="188" t="inlineStr">
        <is>
          <t>PATCH_IMMEDIATELY</t>
        </is>
      </c>
      <c r="N1866" s="188" t="inlineStr">
        <is>
          <t>https://nvd.nist.gov/vuln/detail/CVE-2024-7593</t>
        </is>
      </c>
      <c r="O1866" s="188" t="inlineStr">
        <is>
          <t>Patch CVE-2024-7593 immediately — weaponized Metasploit module in public release | Module: Ivanti Virtual Traffic Manager Authentication Bypass (CVE-2024-7593)</t>
        </is>
      </c>
      <c r="P1866" s="188" t="inlineStr">
        <is>
          <t>See CVE details</t>
        </is>
      </c>
      <c r="Q1866" s="188" t="inlineStr">
        <is>
          <t>P1</t>
        </is>
      </c>
      <c r="R1866" s="188" t="inlineStr">
        <is>
          <t>🔍 Investigate and apply appropriate controls</t>
        </is>
      </c>
      <c r="S1866" s="188" t="inlineStr">
        <is>
          <t>Rapid7 MSF: Ivanti Virtual Traffic Manager Authentication Bypass (CVE-2024-7593) | Module type: auxiliary_admin</t>
        </is>
      </c>
      <c r="T1866" s="188" t="n">
        <v>0</v>
      </c>
      <c r="U1866" s="188" t="n">
        <v>0</v>
      </c>
      <c r="V1866" s="188" t="inlineStr">
        <is>
          <t>T1203:Exploitation for Client Execution | T1190:Exploit Public-Facing Application</t>
        </is>
      </c>
      <c r="W1866" s="188" t="n">
        <v>2</v>
      </c>
      <c r="X1866" s="188" t="inlineStr">
        <is>
          <t>HIGH (72%)</t>
        </is>
      </c>
      <c r="Y1866" s="188" t="inlineStr">
        <is>
          <t>WEAPONIZED</t>
        </is>
      </c>
      <c r="Z1866" s="188" t="inlineStr">
        <is>
          <t>CHECK_VENDOR</t>
        </is>
      </c>
      <c r="AA1866" s="188" t="inlineStr">
        <is>
          <t>https://www.rapid7.com/db/search/?q=CVE-2024-7593</t>
        </is>
      </c>
      <c r="AB1866" s="188" t="inlineStr">
        <is>
          <t>NONE</t>
        </is>
      </c>
      <c r="AC1866" s="188" t="n">
        <v>0</v>
      </c>
      <c r="AD1866" s="188" t="inlineStr"/>
    </row>
    <row r="1867">
      <c r="A1867" s="188" t="inlineStr">
        <is>
          <t>MSF_MODULE</t>
        </is>
      </c>
      <c r="B1867" s="188" t="inlineStr">
        <is>
          <t>CVE-2010-0738</t>
        </is>
      </c>
      <c r="C1867" s="188" t="inlineStr">
        <is>
          <t>Metasploit module available: JBoss JMX Console Beanshell Deployer WAR Upload and Deployment | Type: auxiliary_admin | CVE-2010-0738</t>
        </is>
      </c>
      <c r="D1867" s="188" t="n">
        <v>7.5</v>
      </c>
      <c r="E1867" s="188" t="inlineStr">
        <is>
          <t>HIGH</t>
        </is>
      </c>
      <c r="F1867" s="188" t="n">
        <v>3</v>
      </c>
      <c r="G1867" s="188" t="n">
        <v>3</v>
      </c>
      <c r="H1867" s="188" t="inlineStr">
        <is>
          <t>CRITICAL</t>
        </is>
      </c>
      <c r="I1867" s="188" t="n">
        <v>16.5</v>
      </c>
      <c r="J1867" s="188" t="inlineStr">
        <is>
          <t>YES</t>
        </is>
      </c>
      <c r="K1867" s="188" t="inlineStr">
        <is>
          <t>https://nvd.nist.gov/vuln/detail/CVE-2010-0738</t>
        </is>
      </c>
      <c r="L1867" s="188" t="inlineStr">
        <is>
          <t>2026-02-26 00:15</t>
        </is>
      </c>
      <c r="M1867" s="188" t="inlineStr">
        <is>
          <t>PATCH_IMMEDIATELY</t>
        </is>
      </c>
      <c r="N1867" s="188" t="inlineStr">
        <is>
          <t>https://nvd.nist.gov/vuln/detail/CVE-2010-0738</t>
        </is>
      </c>
      <c r="O1867" s="188" t="inlineStr">
        <is>
          <t>Patch CVE-2010-0738 immediately — weaponized Metasploit module in public release | Module: JBoss JMX Console Beanshell Deployer WAR Upload and Deployment</t>
        </is>
      </c>
      <c r="P1867" s="188" t="inlineStr">
        <is>
          <t>See CVE details</t>
        </is>
      </c>
      <c r="Q1867" s="188" t="inlineStr">
        <is>
          <t>P1</t>
        </is>
      </c>
      <c r="R1867" s="188" t="inlineStr">
        <is>
          <t>🔍 Investigate and apply appropriate controls</t>
        </is>
      </c>
      <c r="S1867" s="188" t="inlineStr">
        <is>
          <t>Rapid7 MSF: JBoss JMX Console Beanshell Deployer WAR Upload and Deployment | Module type: auxiliary_admin</t>
        </is>
      </c>
      <c r="T1867" s="188" t="n">
        <v>0.9085</v>
      </c>
      <c r="U1867" s="188" t="n">
        <v>0.9962</v>
      </c>
      <c r="V1867" s="188" t="inlineStr">
        <is>
          <t>T1203:Exploitation for Client Execution | T1190:Exploit Public-Facing Application</t>
        </is>
      </c>
      <c r="W1867" s="188" t="n">
        <v>2</v>
      </c>
      <c r="X1867" s="188" t="inlineStr">
        <is>
          <t>HIGH (72%)</t>
        </is>
      </c>
      <c r="Y1867" s="188" t="inlineStr">
        <is>
          <t>WEAPONIZED</t>
        </is>
      </c>
      <c r="Z1867" s="188" t="inlineStr">
        <is>
          <t>CHECK_VENDOR</t>
        </is>
      </c>
      <c r="AA1867" s="188" t="inlineStr">
        <is>
          <t>https://www.rapid7.com/db/search/?q=CVE-2010-0738</t>
        </is>
      </c>
      <c r="AB1867" s="188" t="inlineStr">
        <is>
          <t>NONE</t>
        </is>
      </c>
      <c r="AC1867" s="188" t="n">
        <v>0</v>
      </c>
      <c r="AD1867" s="188" t="inlineStr"/>
    </row>
    <row r="1868">
      <c r="A1868" s="188" t="inlineStr">
        <is>
          <t>MSF_MODULE</t>
        </is>
      </c>
      <c r="B1868" s="188" t="inlineStr">
        <is>
          <t>CVE-2010-1871</t>
        </is>
      </c>
      <c r="C1868" s="188" t="inlineStr">
        <is>
          <t>Metasploit module available: JBoss Seam 2 Remote Command Execution | Type: auxiliary_admin | CVE-2010-1871</t>
        </is>
      </c>
      <c r="D1868" s="188" t="n">
        <v>7.5</v>
      </c>
      <c r="E1868" s="188" t="inlineStr">
        <is>
          <t>HIGH</t>
        </is>
      </c>
      <c r="F1868" s="188" t="n">
        <v>3</v>
      </c>
      <c r="G1868" s="188" t="n">
        <v>3</v>
      </c>
      <c r="H1868" s="188" t="inlineStr">
        <is>
          <t>CRITICAL</t>
        </is>
      </c>
      <c r="I1868" s="188" t="n">
        <v>16.5</v>
      </c>
      <c r="J1868" s="188" t="inlineStr">
        <is>
          <t>YES</t>
        </is>
      </c>
      <c r="K1868" s="188" t="inlineStr">
        <is>
          <t>https://nvd.nist.gov/vuln/detail/CVE-2010-1871</t>
        </is>
      </c>
      <c r="L1868" s="188" t="inlineStr">
        <is>
          <t>2026-02-26 00:15</t>
        </is>
      </c>
      <c r="M1868" s="188" t="inlineStr">
        <is>
          <t>PATCH_IMMEDIATELY</t>
        </is>
      </c>
      <c r="N1868" s="188" t="inlineStr">
        <is>
          <t>https://nvd.nist.gov/vuln/detail/CVE-2010-1871</t>
        </is>
      </c>
      <c r="O1868" s="188" t="inlineStr">
        <is>
          <t>Patch CVE-2010-1871 immediately — weaponized Metasploit module in public release | Module: JBoss Seam 2 Remote Command Execution</t>
        </is>
      </c>
      <c r="P1868" s="188" t="inlineStr">
        <is>
          <t>See CVE details</t>
        </is>
      </c>
      <c r="Q1868" s="188" t="inlineStr">
        <is>
          <t>P1</t>
        </is>
      </c>
      <c r="R1868" s="188" t="inlineStr">
        <is>
          <t>🔍 Investigate and apply appropriate controls</t>
        </is>
      </c>
      <c r="S1868" s="188" t="inlineStr">
        <is>
          <t>Rapid7 MSF: JBoss Seam 2 Remote Command Execution | Module type: auxiliary_admin</t>
        </is>
      </c>
      <c r="T1868" s="188" t="n">
        <v>0.9379</v>
      </c>
      <c r="U1868" s="188" t="n">
        <v>0.9985000000000001</v>
      </c>
      <c r="V1868" s="188" t="inlineStr">
        <is>
          <t>T1203:Exploitation for Client Execution | T1190:Exploit Public-Facing Application</t>
        </is>
      </c>
      <c r="W1868" s="188" t="n">
        <v>2</v>
      </c>
      <c r="X1868" s="188" t="inlineStr">
        <is>
          <t>HIGH (72%)</t>
        </is>
      </c>
      <c r="Y1868" s="188" t="inlineStr">
        <is>
          <t>WEAPONIZED</t>
        </is>
      </c>
      <c r="Z1868" s="188" t="inlineStr">
        <is>
          <t>CHECK_VENDOR</t>
        </is>
      </c>
      <c r="AA1868" s="188" t="inlineStr">
        <is>
          <t>https://www.rapid7.com/db/search/?q=CVE-2010-1871</t>
        </is>
      </c>
      <c r="AB1868" s="188" t="inlineStr">
        <is>
          <t>NONE</t>
        </is>
      </c>
      <c r="AC1868" s="188" t="n">
        <v>0</v>
      </c>
      <c r="AD1868" s="188" t="inlineStr"/>
    </row>
    <row r="1869">
      <c r="A1869" s="188" t="inlineStr">
        <is>
          <t>MSF_MODULE</t>
        </is>
      </c>
      <c r="B1869" s="188" t="inlineStr">
        <is>
          <t>CVE-2016-8869</t>
        </is>
      </c>
      <c r="C1869" s="188" t="inlineStr">
        <is>
          <t>Metasploit module available: Joomla Account Creation and Privilege Escalation | Type: auxiliary_admin | CVE-2016-8869</t>
        </is>
      </c>
      <c r="D1869" s="188" t="n">
        <v>7.5</v>
      </c>
      <c r="E1869" s="188" t="inlineStr">
        <is>
          <t>HIGH</t>
        </is>
      </c>
      <c r="F1869" s="188" t="n">
        <v>3</v>
      </c>
      <c r="G1869" s="188" t="n">
        <v>3</v>
      </c>
      <c r="H1869" s="188" t="inlineStr">
        <is>
          <t>CRITICAL</t>
        </is>
      </c>
      <c r="I1869" s="188" t="n">
        <v>16.5</v>
      </c>
      <c r="J1869" s="188" t="inlineStr">
        <is>
          <t>NO</t>
        </is>
      </c>
      <c r="K1869" s="188" t="inlineStr">
        <is>
          <t>https://nvd.nist.gov/vuln/detail/CVE-2016-8869</t>
        </is>
      </c>
      <c r="L1869" s="188" t="inlineStr">
        <is>
          <t>2026-02-26 00:15</t>
        </is>
      </c>
      <c r="M1869" s="188" t="inlineStr">
        <is>
          <t>PATCH_IMMEDIATELY</t>
        </is>
      </c>
      <c r="N1869" s="188" t="inlineStr">
        <is>
          <t>https://nvd.nist.gov/vuln/detail/CVE-2016-8869</t>
        </is>
      </c>
      <c r="O1869" s="188" t="inlineStr">
        <is>
          <t>Patch CVE-2016-8869 immediately — weaponized Metasploit module in public release | Module: Joomla Account Creation and Privilege Escalation</t>
        </is>
      </c>
      <c r="P1869" s="188" t="inlineStr">
        <is>
          <t>See CVE details</t>
        </is>
      </c>
      <c r="Q1869" s="188" t="inlineStr">
        <is>
          <t>P2</t>
        </is>
      </c>
      <c r="R1869" s="188" t="inlineStr">
        <is>
          <t>🔍 Investigate and apply appropriate controls</t>
        </is>
      </c>
      <c r="S1869" s="188" t="inlineStr">
        <is>
          <t>Rapid7 MSF: Joomla Account Creation and Privilege Escalation | Module type: auxiliary_admin</t>
        </is>
      </c>
      <c r="T1869" s="188" t="n">
        <v>0</v>
      </c>
      <c r="U1869" s="188" t="n">
        <v>0</v>
      </c>
      <c r="V1869" s="188" t="inlineStr">
        <is>
          <t>T1203:Exploitation for Client Execution | T1190:Exploit Public-Facing Application</t>
        </is>
      </c>
      <c r="W1869" s="188" t="n">
        <v>2</v>
      </c>
      <c r="X1869" s="188" t="inlineStr">
        <is>
          <t>HIGH (72%)</t>
        </is>
      </c>
      <c r="Y1869" s="188" t="inlineStr">
        <is>
          <t>WEAPONIZED</t>
        </is>
      </c>
      <c r="Z1869" s="188" t="inlineStr">
        <is>
          <t>CHECK_VENDOR</t>
        </is>
      </c>
      <c r="AA1869" s="188" t="inlineStr">
        <is>
          <t>https://www.rapid7.com/db/search/?q=CVE-2016-8869</t>
        </is>
      </c>
      <c r="AB1869" s="188" t="inlineStr">
        <is>
          <t>NONE</t>
        </is>
      </c>
      <c r="AC1869" s="188" t="n">
        <v>0</v>
      </c>
      <c r="AD1869" s="188" t="inlineStr"/>
    </row>
    <row r="1870">
      <c r="A1870" s="188" t="inlineStr">
        <is>
          <t>MSF_MODULE</t>
        </is>
      </c>
      <c r="B1870" s="188" t="inlineStr">
        <is>
          <t>CVE-2016-8870</t>
        </is>
      </c>
      <c r="C1870" s="188" t="inlineStr">
        <is>
          <t>Metasploit module available: Joomla Account Creation and Privilege Escalation | Type: auxiliary_admin | CVE-2016-8870</t>
        </is>
      </c>
      <c r="D1870" s="188" t="n">
        <v>7.5</v>
      </c>
      <c r="E1870" s="188" t="inlineStr">
        <is>
          <t>HIGH</t>
        </is>
      </c>
      <c r="F1870" s="188" t="n">
        <v>3</v>
      </c>
      <c r="G1870" s="188" t="n">
        <v>3</v>
      </c>
      <c r="H1870" s="188" t="inlineStr">
        <is>
          <t>CRITICAL</t>
        </is>
      </c>
      <c r="I1870" s="188" t="n">
        <v>16.5</v>
      </c>
      <c r="J1870" s="188" t="inlineStr">
        <is>
          <t>NO</t>
        </is>
      </c>
      <c r="K1870" s="188" t="inlineStr">
        <is>
          <t>https://nvd.nist.gov/vuln/detail/CVE-2016-8870</t>
        </is>
      </c>
      <c r="L1870" s="188" t="inlineStr">
        <is>
          <t>2026-02-26 00:15</t>
        </is>
      </c>
      <c r="M1870" s="188" t="inlineStr">
        <is>
          <t>PATCH_IMMEDIATELY</t>
        </is>
      </c>
      <c r="N1870" s="188" t="inlineStr">
        <is>
          <t>https://nvd.nist.gov/vuln/detail/CVE-2016-8870</t>
        </is>
      </c>
      <c r="O1870" s="188" t="inlineStr">
        <is>
          <t>Patch CVE-2016-8870 immediately — weaponized Metasploit module in public release | Module: Joomla Account Creation and Privilege Escalation</t>
        </is>
      </c>
      <c r="P1870" s="188" t="inlineStr">
        <is>
          <t>See CVE details</t>
        </is>
      </c>
      <c r="Q1870" s="188" t="inlineStr">
        <is>
          <t>P2</t>
        </is>
      </c>
      <c r="R1870" s="188" t="inlineStr">
        <is>
          <t>🔍 Investigate and apply appropriate controls</t>
        </is>
      </c>
      <c r="S1870" s="188" t="inlineStr">
        <is>
          <t>Rapid7 MSF: Joomla Account Creation and Privilege Escalation | Module type: auxiliary_admin</t>
        </is>
      </c>
      <c r="T1870" s="188" t="n">
        <v>0</v>
      </c>
      <c r="U1870" s="188" t="n">
        <v>0</v>
      </c>
      <c r="V1870" s="188" t="inlineStr">
        <is>
          <t>T1203:Exploitation for Client Execution | T1190:Exploit Public-Facing Application</t>
        </is>
      </c>
      <c r="W1870" s="188" t="n">
        <v>2</v>
      </c>
      <c r="X1870" s="188" t="inlineStr">
        <is>
          <t>HIGH (72%)</t>
        </is>
      </c>
      <c r="Y1870" s="188" t="inlineStr">
        <is>
          <t>WEAPONIZED</t>
        </is>
      </c>
      <c r="Z1870" s="188" t="inlineStr">
        <is>
          <t>CHECK_VENDOR</t>
        </is>
      </c>
      <c r="AA1870" s="188" t="inlineStr">
        <is>
          <t>https://www.rapid7.com/db/search/?q=CVE-2016-8870</t>
        </is>
      </c>
      <c r="AB1870" s="188" t="inlineStr">
        <is>
          <t>NONE</t>
        </is>
      </c>
      <c r="AC1870" s="188" t="n">
        <v>0</v>
      </c>
      <c r="AD1870" s="188" t="inlineStr"/>
    </row>
    <row r="1871">
      <c r="A1871" s="188" t="inlineStr">
        <is>
          <t>MSF_MODULE</t>
        </is>
      </c>
      <c r="B1871" s="188" t="inlineStr">
        <is>
          <t>CVE-2015-6922</t>
        </is>
      </c>
      <c r="C1871" s="188" t="inlineStr">
        <is>
          <t>Metasploit module available: Kaseya VSA Master Administrator Account Creation | Type: auxiliary_admin | CVE-2015-6922</t>
        </is>
      </c>
      <c r="D1871" s="188" t="n">
        <v>7.5</v>
      </c>
      <c r="E1871" s="188" t="inlineStr">
        <is>
          <t>HIGH</t>
        </is>
      </c>
      <c r="F1871" s="188" t="n">
        <v>3</v>
      </c>
      <c r="G1871" s="188" t="n">
        <v>3</v>
      </c>
      <c r="H1871" s="188" t="inlineStr">
        <is>
          <t>CRITICAL</t>
        </is>
      </c>
      <c r="I1871" s="188" t="n">
        <v>16.5</v>
      </c>
      <c r="J1871" s="188" t="inlineStr">
        <is>
          <t>NO</t>
        </is>
      </c>
      <c r="K1871" s="188" t="inlineStr">
        <is>
          <t>https://nvd.nist.gov/vuln/detail/CVE-2015-6922</t>
        </is>
      </c>
      <c r="L1871" s="188" t="inlineStr">
        <is>
          <t>2026-02-26 00:15</t>
        </is>
      </c>
      <c r="M1871" s="188" t="inlineStr">
        <is>
          <t>PATCH_IMMEDIATELY</t>
        </is>
      </c>
      <c r="N1871" s="188" t="inlineStr">
        <is>
          <t>https://nvd.nist.gov/vuln/detail/CVE-2015-6922</t>
        </is>
      </c>
      <c r="O1871" s="188" t="inlineStr">
        <is>
          <t>Patch CVE-2015-6922 immediately — weaponized Metasploit module in public release | Module: Kaseya VSA Master Administrator Account Creation</t>
        </is>
      </c>
      <c r="P1871" s="188" t="inlineStr">
        <is>
          <t>See CVE details</t>
        </is>
      </c>
      <c r="Q1871" s="188" t="inlineStr">
        <is>
          <t>P2</t>
        </is>
      </c>
      <c r="R1871" s="188" t="inlineStr">
        <is>
          <t>🔍 Investigate and apply appropriate controls</t>
        </is>
      </c>
      <c r="S1871" s="188" t="inlineStr">
        <is>
          <t>Rapid7 MSF: Kaseya VSA Master Administrator Account Creation | Module type: auxiliary_admin</t>
        </is>
      </c>
      <c r="T1871" s="188" t="n">
        <v>0</v>
      </c>
      <c r="U1871" s="188" t="n">
        <v>0</v>
      </c>
      <c r="V1871" s="188" t="inlineStr">
        <is>
          <t>T1203:Exploitation for Client Execution | T1190:Exploit Public-Facing Application</t>
        </is>
      </c>
      <c r="W1871" s="188" t="n">
        <v>2</v>
      </c>
      <c r="X1871" s="188" t="inlineStr">
        <is>
          <t>HIGH (72%)</t>
        </is>
      </c>
      <c r="Y1871" s="188" t="inlineStr">
        <is>
          <t>WEAPONIZED</t>
        </is>
      </c>
      <c r="Z1871" s="188" t="inlineStr">
        <is>
          <t>CHECK_VENDOR</t>
        </is>
      </c>
      <c r="AA1871" s="188" t="inlineStr">
        <is>
          <t>https://www.rapid7.com/db/search/?q=CVE-2015-6922</t>
        </is>
      </c>
      <c r="AB1871" s="188" t="inlineStr">
        <is>
          <t>NONE</t>
        </is>
      </c>
      <c r="AC1871" s="188" t="n">
        <v>0</v>
      </c>
      <c r="AD1871" s="188" t="inlineStr"/>
    </row>
    <row r="1872">
      <c r="A1872" s="188" t="inlineStr">
        <is>
          <t>MSF_MODULE</t>
        </is>
      </c>
      <c r="B1872" s="188" t="inlineStr">
        <is>
          <t>CVE-2013-2143</t>
        </is>
      </c>
      <c r="C1872" s="188" t="inlineStr">
        <is>
          <t>Metasploit module available: Katello (Red Hat Satellite) users/update_roles Missing Authorization | Type: auxiliary_admin | CVE-2013-2143</t>
        </is>
      </c>
      <c r="D1872" s="188" t="n">
        <v>7.5</v>
      </c>
      <c r="E1872" s="188" t="inlineStr">
        <is>
          <t>HIGH</t>
        </is>
      </c>
      <c r="F1872" s="188" t="n">
        <v>3</v>
      </c>
      <c r="G1872" s="188" t="n">
        <v>3</v>
      </c>
      <c r="H1872" s="188" t="inlineStr">
        <is>
          <t>CRITICAL</t>
        </is>
      </c>
      <c r="I1872" s="188" t="n">
        <v>16.5</v>
      </c>
      <c r="J1872" s="188" t="inlineStr">
        <is>
          <t>NO</t>
        </is>
      </c>
      <c r="K1872" s="188" t="inlineStr">
        <is>
          <t>https://nvd.nist.gov/vuln/detail/CVE-2013-2143</t>
        </is>
      </c>
      <c r="L1872" s="188" t="inlineStr">
        <is>
          <t>2026-02-26 00:15</t>
        </is>
      </c>
      <c r="M1872" s="188" t="inlineStr">
        <is>
          <t>PATCH_IMMEDIATELY</t>
        </is>
      </c>
      <c r="N1872" s="188" t="inlineStr">
        <is>
          <t>https://nvd.nist.gov/vuln/detail/CVE-2013-2143</t>
        </is>
      </c>
      <c r="O1872" s="188" t="inlineStr">
        <is>
          <t>Patch CVE-2013-2143 immediately — weaponized Metasploit module in public release | Module: Katello (Red Hat Satellite) users/update_roles Missing Authorization</t>
        </is>
      </c>
      <c r="P1872" s="188" t="inlineStr">
        <is>
          <t>See CVE details</t>
        </is>
      </c>
      <c r="Q1872" s="188" t="inlineStr">
        <is>
          <t>P2</t>
        </is>
      </c>
      <c r="R1872" s="188" t="inlineStr">
        <is>
          <t>🔍 Investigate and apply appropriate controls</t>
        </is>
      </c>
      <c r="S1872" s="188" t="inlineStr">
        <is>
          <t>Rapid7 MSF: Katello (Red Hat Satellite) users/update_roles Missing Authorization | Module type: auxiliary_admin</t>
        </is>
      </c>
      <c r="T1872" s="188" t="n">
        <v>0</v>
      </c>
      <c r="U1872" s="188" t="n">
        <v>0</v>
      </c>
      <c r="V1872" s="188" t="inlineStr">
        <is>
          <t>T1203:Exploitation for Client Execution | T1190:Exploit Public-Facing Application</t>
        </is>
      </c>
      <c r="W1872" s="188" t="n">
        <v>2</v>
      </c>
      <c r="X1872" s="188" t="inlineStr">
        <is>
          <t>HIGH (72%)</t>
        </is>
      </c>
      <c r="Y1872" s="188" t="inlineStr">
        <is>
          <t>WEAPONIZED</t>
        </is>
      </c>
      <c r="Z1872" s="188" t="inlineStr">
        <is>
          <t>CHECK_VENDOR</t>
        </is>
      </c>
      <c r="AA1872" s="188" t="inlineStr">
        <is>
          <t>https://www.rapid7.com/db/search/?q=CVE-2013-2143</t>
        </is>
      </c>
      <c r="AB1872" s="188" t="inlineStr">
        <is>
          <t>NONE</t>
        </is>
      </c>
      <c r="AC1872" s="188" t="n">
        <v>0</v>
      </c>
      <c r="AD1872" s="188" t="inlineStr"/>
    </row>
    <row r="1873">
      <c r="A1873" s="188" t="inlineStr">
        <is>
          <t>MSF_MODULE</t>
        </is>
      </c>
      <c r="B1873" s="188" t="inlineStr">
        <is>
          <t>CVE-2025-34120</t>
        </is>
      </c>
      <c r="C1873" s="188" t="inlineStr">
        <is>
          <t>Metasploit module available: Limesurvey Unauthenticated File Download | Type: auxiliary_admin | CVE-2025-34120</t>
        </is>
      </c>
      <c r="D1873" s="188" t="n">
        <v>7.5</v>
      </c>
      <c r="E1873" s="188" t="inlineStr">
        <is>
          <t>HIGH</t>
        </is>
      </c>
      <c r="F1873" s="188" t="n">
        <v>3</v>
      </c>
      <c r="G1873" s="188" t="n">
        <v>3</v>
      </c>
      <c r="H1873" s="188" t="inlineStr">
        <is>
          <t>CRITICAL</t>
        </is>
      </c>
      <c r="I1873" s="188" t="n">
        <v>16.5</v>
      </c>
      <c r="J1873" s="188" t="inlineStr">
        <is>
          <t>NO</t>
        </is>
      </c>
      <c r="K1873" s="188" t="inlineStr">
        <is>
          <t>https://nvd.nist.gov/vuln/detail/CVE-2025-34120</t>
        </is>
      </c>
      <c r="L1873" s="188" t="inlineStr">
        <is>
          <t>2026-02-26 00:15</t>
        </is>
      </c>
      <c r="M1873" s="188" t="inlineStr">
        <is>
          <t>PATCH_IMMEDIATELY</t>
        </is>
      </c>
      <c r="N1873" s="188" t="inlineStr">
        <is>
          <t>https://nvd.nist.gov/vuln/detail/CVE-2025-34120</t>
        </is>
      </c>
      <c r="O1873" s="188" t="inlineStr">
        <is>
          <t>Patch CVE-2025-34120 immediately — weaponized Metasploit module in public release | Module: Limesurvey Unauthenticated File Download</t>
        </is>
      </c>
      <c r="P1873" s="188" t="inlineStr">
        <is>
          <t>See CVE details</t>
        </is>
      </c>
      <c r="Q1873" s="188" t="inlineStr">
        <is>
          <t>P2</t>
        </is>
      </c>
      <c r="R1873" s="188" t="inlineStr">
        <is>
          <t>🔍 Investigate and apply appropriate controls</t>
        </is>
      </c>
      <c r="S1873" s="188" t="inlineStr">
        <is>
          <t>Rapid7 MSF: Limesurvey Unauthenticated File Download | Module type: auxiliary_admin</t>
        </is>
      </c>
      <c r="T1873" s="188" t="n">
        <v>0</v>
      </c>
      <c r="U1873" s="188" t="n">
        <v>0</v>
      </c>
      <c r="V1873" s="188" t="inlineStr">
        <is>
          <t>T1203:Exploitation for Client Execution | T1190:Exploit Public-Facing Application</t>
        </is>
      </c>
      <c r="W1873" s="188" t="n">
        <v>2</v>
      </c>
      <c r="X1873" s="188" t="inlineStr">
        <is>
          <t>HIGH (72%)</t>
        </is>
      </c>
      <c r="Y1873" s="188" t="inlineStr">
        <is>
          <t>WEAPONIZED</t>
        </is>
      </c>
      <c r="Z1873" s="188" t="inlineStr">
        <is>
          <t>CHECK_VENDOR</t>
        </is>
      </c>
      <c r="AA1873" s="188" t="inlineStr">
        <is>
          <t>https://www.rapid7.com/db/search/?q=CVE-2025-34120</t>
        </is>
      </c>
      <c r="AB1873" s="188" t="inlineStr">
        <is>
          <t>NONE</t>
        </is>
      </c>
      <c r="AC1873" s="188" t="n">
        <v>0</v>
      </c>
      <c r="AD1873" s="188" t="inlineStr"/>
    </row>
    <row r="1874">
      <c r="A1874" s="188" t="inlineStr">
        <is>
          <t>MSF_MODULE</t>
        </is>
      </c>
      <c r="B1874" s="188" t="inlineStr">
        <is>
          <t>CVE-2018-3953</t>
        </is>
      </c>
      <c r="C1874" s="188" t="inlineStr">
        <is>
          <t>Metasploit module available: Linksys E1500/E2500 Remote Command Execution | Type: auxiliary_admin | CVE-2018-3953</t>
        </is>
      </c>
      <c r="D1874" s="188" t="n">
        <v>7.5</v>
      </c>
      <c r="E1874" s="188" t="inlineStr">
        <is>
          <t>HIGH</t>
        </is>
      </c>
      <c r="F1874" s="188" t="n">
        <v>3</v>
      </c>
      <c r="G1874" s="188" t="n">
        <v>3</v>
      </c>
      <c r="H1874" s="188" t="inlineStr">
        <is>
          <t>CRITICAL</t>
        </is>
      </c>
      <c r="I1874" s="188" t="n">
        <v>16.5</v>
      </c>
      <c r="J1874" s="188" t="inlineStr">
        <is>
          <t>NO</t>
        </is>
      </c>
      <c r="K1874" s="188" t="inlineStr">
        <is>
          <t>https://nvd.nist.gov/vuln/detail/CVE-2018-3953</t>
        </is>
      </c>
      <c r="L1874" s="188" t="inlineStr">
        <is>
          <t>2026-02-26 00:15</t>
        </is>
      </c>
      <c r="M1874" s="188" t="inlineStr">
        <is>
          <t>PATCH_IMMEDIATELY</t>
        </is>
      </c>
      <c r="N1874" s="188" t="inlineStr">
        <is>
          <t>https://nvd.nist.gov/vuln/detail/CVE-2018-3953</t>
        </is>
      </c>
      <c r="O1874" s="188" t="inlineStr">
        <is>
          <t>Patch CVE-2018-3953 immediately — weaponized Metasploit module in public release | Module: Linksys E1500/E2500 Remote Command Execution</t>
        </is>
      </c>
      <c r="P1874" s="188" t="inlineStr">
        <is>
          <t>See CVE details</t>
        </is>
      </c>
      <c r="Q1874" s="188" t="inlineStr">
        <is>
          <t>P2</t>
        </is>
      </c>
      <c r="R1874" s="188" t="inlineStr">
        <is>
          <t>🔍 Investigate and apply appropriate controls</t>
        </is>
      </c>
      <c r="S1874" s="188" t="inlineStr">
        <is>
          <t>Rapid7 MSF: Linksys E1500/E2500 Remote Command Execution | Module type: auxiliary_admin</t>
        </is>
      </c>
      <c r="T1874" s="188" t="n">
        <v>0</v>
      </c>
      <c r="U1874" s="188" t="n">
        <v>0</v>
      </c>
      <c r="V1874" s="188" t="inlineStr">
        <is>
          <t>T1203:Exploitation for Client Execution | T1190:Exploit Public-Facing Application</t>
        </is>
      </c>
      <c r="W1874" s="188" t="n">
        <v>2</v>
      </c>
      <c r="X1874" s="188" t="inlineStr">
        <is>
          <t>HIGH (72%)</t>
        </is>
      </c>
      <c r="Y1874" s="188" t="inlineStr">
        <is>
          <t>WEAPONIZED</t>
        </is>
      </c>
      <c r="Z1874" s="188" t="inlineStr">
        <is>
          <t>CHECK_VENDOR</t>
        </is>
      </c>
      <c r="AA1874" s="188" t="inlineStr">
        <is>
          <t>https://www.rapid7.com/db/search/?q=CVE-2018-3953</t>
        </is>
      </c>
      <c r="AB1874" s="188" t="inlineStr">
        <is>
          <t>NONE</t>
        </is>
      </c>
      <c r="AC1874" s="188" t="n">
        <v>0</v>
      </c>
      <c r="AD1874" s="188" t="inlineStr"/>
    </row>
    <row r="1875">
      <c r="A1875" s="187" t="inlineStr">
        <is>
          <t>CENSYS_EXPOSED</t>
        </is>
      </c>
      <c r="B1875" s="187" t="inlineStr">
        <is>
          <t>35.183.100.42</t>
        </is>
      </c>
      <c r="C1875" s="187" t="inlineStr">
        <is>
          <t>Exposed RDP: 35.183.100.42 | Unknown | Location: Unknown</t>
        </is>
      </c>
      <c r="D1875" s="187" t="n">
        <v>6.5</v>
      </c>
      <c r="E1875" s="187" t="inlineStr">
        <is>
          <t>MEDIUM</t>
        </is>
      </c>
      <c r="F1875" s="187" t="n">
        <v>2</v>
      </c>
      <c r="G1875" s="187" t="n">
        <v>2</v>
      </c>
      <c r="H1875" s="187" t="inlineStr">
        <is>
          <t>MEDIUM</t>
        </is>
      </c>
      <c r="I1875" s="187" t="n">
        <v>10.5</v>
      </c>
      <c r="J1875" s="187" t="inlineStr">
        <is>
          <t>NO</t>
        </is>
      </c>
      <c r="K1875" s="187" t="inlineStr">
        <is>
          <t>https://leakix.net/host/35.183.100.42</t>
        </is>
      </c>
      <c r="L1875" s="187" t="inlineStr">
        <is>
          <t>2026-02-26 00:15</t>
        </is>
      </c>
      <c r="M1875" s="187" t="inlineStr">
        <is>
          <t>Restrict access</t>
        </is>
      </c>
      <c r="N1875" s="187" t="inlineStr">
        <is>
          <t>https://leakix.net/host/35.183.100.42</t>
        </is>
      </c>
      <c r="O1875" s="187" t="inlineStr">
        <is>
          <t>Restrict RDP access | Firewall rule | VPN required</t>
        </is>
      </c>
      <c r="P1875" s="187" t="inlineStr">
        <is>
          <t>Unknown</t>
        </is>
      </c>
      <c r="Q1875" s="187" t="inlineStr">
        <is>
          <t>P4</t>
        </is>
      </c>
      <c r="R1875" s="187" t="inlineStr">
        <is>
          <t>🔍 Investigate and apply appropriate controls</t>
        </is>
      </c>
      <c r="S1875" s="187" t="inlineStr">
        <is>
          <t>See LeakIX for exposed service details</t>
        </is>
      </c>
      <c r="T1875" s="187" t="n">
        <v>0</v>
      </c>
      <c r="U1875" s="187" t="n">
        <v>0</v>
      </c>
      <c r="V1875" s="187" t="inlineStr">
        <is>
          <t>T1021:Remote Services | T1133:External Remote Services</t>
        </is>
      </c>
      <c r="W1875" s="187" t="n">
        <v>1</v>
      </c>
      <c r="X1875" s="187" t="inlineStr">
        <is>
          <t>LOW (40%)</t>
        </is>
      </c>
      <c r="Y1875" s="187" t="inlineStr">
        <is>
          <t>NONE</t>
        </is>
      </c>
      <c r="Z1875" s="187" t="inlineStr">
        <is>
          <t>NONE</t>
        </is>
      </c>
      <c r="AA1875" s="187" t="inlineStr">
        <is>
          <t>NONE</t>
        </is>
      </c>
      <c r="AB1875" s="187" t="inlineStr">
        <is>
          <t>NONE</t>
        </is>
      </c>
      <c r="AC1875" s="187" t="n">
        <v>0</v>
      </c>
      <c r="AD1875" s="187" t="inlineStr"/>
    </row>
    <row r="1876">
      <c r="A1876" s="187" t="inlineStr">
        <is>
          <t>CENSYS_EXPOSED</t>
        </is>
      </c>
      <c r="B1876" s="187" t="inlineStr">
        <is>
          <t>47.91.29.151</t>
        </is>
      </c>
      <c r="C1876" s="187" t="inlineStr">
        <is>
          <t>Exposed RDP: 47.91.29.151 | Unknown | Location: Unknown</t>
        </is>
      </c>
      <c r="D1876" s="187" t="n">
        <v>6.5</v>
      </c>
      <c r="E1876" s="187" t="inlineStr">
        <is>
          <t>MEDIUM</t>
        </is>
      </c>
      <c r="F1876" s="187" t="n">
        <v>2</v>
      </c>
      <c r="G1876" s="187" t="n">
        <v>2</v>
      </c>
      <c r="H1876" s="187" t="inlineStr">
        <is>
          <t>MEDIUM</t>
        </is>
      </c>
      <c r="I1876" s="187" t="n">
        <v>10.5</v>
      </c>
      <c r="J1876" s="187" t="inlineStr">
        <is>
          <t>NO</t>
        </is>
      </c>
      <c r="K1876" s="187" t="inlineStr">
        <is>
          <t>https://leakix.net/host/47.91.29.151</t>
        </is>
      </c>
      <c r="L1876" s="187" t="inlineStr">
        <is>
          <t>2026-02-26 00:15</t>
        </is>
      </c>
      <c r="M1876" s="187" t="inlineStr">
        <is>
          <t>Restrict access</t>
        </is>
      </c>
      <c r="N1876" s="187" t="inlineStr">
        <is>
          <t>https://leakix.net/host/47.91.29.151</t>
        </is>
      </c>
      <c r="O1876" s="187" t="inlineStr">
        <is>
          <t>Restrict RDP access | Firewall rule | VPN required</t>
        </is>
      </c>
      <c r="P1876" s="187" t="inlineStr">
        <is>
          <t>Unknown</t>
        </is>
      </c>
      <c r="Q1876" s="187" t="inlineStr">
        <is>
          <t>P4</t>
        </is>
      </c>
      <c r="R1876" s="187" t="inlineStr">
        <is>
          <t>🔍 Investigate and apply appropriate controls</t>
        </is>
      </c>
      <c r="S1876" s="187" t="inlineStr">
        <is>
          <t>See LeakIX for exposed service details</t>
        </is>
      </c>
      <c r="T1876" s="187" t="n">
        <v>0</v>
      </c>
      <c r="U1876" s="187" t="n">
        <v>0</v>
      </c>
      <c r="V1876" s="187" t="inlineStr">
        <is>
          <t>T1021:Remote Services | T1133:External Remote Services</t>
        </is>
      </c>
      <c r="W1876" s="187" t="n">
        <v>1</v>
      </c>
      <c r="X1876" s="187" t="inlineStr">
        <is>
          <t>LOW (40%)</t>
        </is>
      </c>
      <c r="Y1876" s="187" t="inlineStr">
        <is>
          <t>NONE</t>
        </is>
      </c>
      <c r="Z1876" s="187" t="inlineStr">
        <is>
          <t>NONE</t>
        </is>
      </c>
      <c r="AA1876" s="187" t="inlineStr">
        <is>
          <t>NONE</t>
        </is>
      </c>
      <c r="AB1876" s="187" t="inlineStr">
        <is>
          <t>NONE</t>
        </is>
      </c>
      <c r="AC1876" s="187" t="n">
        <v>0</v>
      </c>
      <c r="AD1876" s="187" t="inlineStr"/>
    </row>
    <row r="1877">
      <c r="A1877" s="187" t="inlineStr">
        <is>
          <t>CENSYS_EXPOSED</t>
        </is>
      </c>
      <c r="B1877" s="187" t="inlineStr">
        <is>
          <t>151.145.87.110</t>
        </is>
      </c>
      <c r="C1877" s="187" t="inlineStr">
        <is>
          <t>Exposed RDP: 151.145.87.110 | Unknown | Location: Unknown</t>
        </is>
      </c>
      <c r="D1877" s="187" t="n">
        <v>6.5</v>
      </c>
      <c r="E1877" s="187" t="inlineStr">
        <is>
          <t>MEDIUM</t>
        </is>
      </c>
      <c r="F1877" s="187" t="n">
        <v>2</v>
      </c>
      <c r="G1877" s="187" t="n">
        <v>2</v>
      </c>
      <c r="H1877" s="187" t="inlineStr">
        <is>
          <t>MEDIUM</t>
        </is>
      </c>
      <c r="I1877" s="187" t="n">
        <v>10.5</v>
      </c>
      <c r="J1877" s="187" t="inlineStr">
        <is>
          <t>NO</t>
        </is>
      </c>
      <c r="K1877" s="187" t="inlineStr">
        <is>
          <t>https://leakix.net/host/151.145.87.110</t>
        </is>
      </c>
      <c r="L1877" s="187" t="inlineStr">
        <is>
          <t>2026-02-26 00:15</t>
        </is>
      </c>
      <c r="M1877" s="187" t="inlineStr">
        <is>
          <t>Restrict access</t>
        </is>
      </c>
      <c r="N1877" s="187" t="inlineStr">
        <is>
          <t>https://leakix.net/host/151.145.87.110</t>
        </is>
      </c>
      <c r="O1877" s="187" t="inlineStr">
        <is>
          <t>Restrict RDP access | Firewall rule | VPN required</t>
        </is>
      </c>
      <c r="P1877" s="187" t="inlineStr">
        <is>
          <t>Unknown</t>
        </is>
      </c>
      <c r="Q1877" s="187" t="inlineStr">
        <is>
          <t>P4</t>
        </is>
      </c>
      <c r="R1877" s="187" t="inlineStr">
        <is>
          <t>🔍 Investigate and apply appropriate controls</t>
        </is>
      </c>
      <c r="S1877" s="187" t="inlineStr">
        <is>
          <t>See LeakIX for exposed service details</t>
        </is>
      </c>
      <c r="T1877" s="187" t="n">
        <v>0</v>
      </c>
      <c r="U1877" s="187" t="n">
        <v>0</v>
      </c>
      <c r="V1877" s="187" t="inlineStr">
        <is>
          <t>T1021:Remote Services | T1133:External Remote Services</t>
        </is>
      </c>
      <c r="W1877" s="187" t="n">
        <v>1</v>
      </c>
      <c r="X1877" s="187" t="inlineStr">
        <is>
          <t>LOW (40%)</t>
        </is>
      </c>
      <c r="Y1877" s="187" t="inlineStr">
        <is>
          <t>NONE</t>
        </is>
      </c>
      <c r="Z1877" s="187" t="inlineStr">
        <is>
          <t>NONE</t>
        </is>
      </c>
      <c r="AA1877" s="187" t="inlineStr">
        <is>
          <t>NONE</t>
        </is>
      </c>
      <c r="AB1877" s="187" t="inlineStr">
        <is>
          <t>NONE</t>
        </is>
      </c>
      <c r="AC1877" s="187" t="n">
        <v>0</v>
      </c>
      <c r="AD1877" s="187" t="inlineStr"/>
    </row>
    <row r="1878">
      <c r="A1878" s="187" t="inlineStr">
        <is>
          <t>CENSYS_EXPOSED</t>
        </is>
      </c>
      <c r="B1878" s="187" t="inlineStr">
        <is>
          <t>146.190.115.50</t>
        </is>
      </c>
      <c r="C1878" s="187" t="inlineStr">
        <is>
          <t>Exposed RDP: 146.190.115.50 | Unknown | Location: Unknown</t>
        </is>
      </c>
      <c r="D1878" s="187" t="n">
        <v>6.5</v>
      </c>
      <c r="E1878" s="187" t="inlineStr">
        <is>
          <t>MEDIUM</t>
        </is>
      </c>
      <c r="F1878" s="187" t="n">
        <v>2</v>
      </c>
      <c r="G1878" s="187" t="n">
        <v>2</v>
      </c>
      <c r="H1878" s="187" t="inlineStr">
        <is>
          <t>MEDIUM</t>
        </is>
      </c>
      <c r="I1878" s="187" t="n">
        <v>10.5</v>
      </c>
      <c r="J1878" s="187" t="inlineStr">
        <is>
          <t>NO</t>
        </is>
      </c>
      <c r="K1878" s="187" t="inlineStr">
        <is>
          <t>https://leakix.net/host/146.190.115.50</t>
        </is>
      </c>
      <c r="L1878" s="187" t="inlineStr">
        <is>
          <t>2026-02-26 00:15</t>
        </is>
      </c>
      <c r="M1878" s="187" t="inlineStr">
        <is>
          <t>Restrict access</t>
        </is>
      </c>
      <c r="N1878" s="187" t="inlineStr">
        <is>
          <t>https://leakix.net/host/146.190.115.50</t>
        </is>
      </c>
      <c r="O1878" s="187" t="inlineStr">
        <is>
          <t>Restrict RDP access | Firewall rule | VPN required</t>
        </is>
      </c>
      <c r="P1878" s="187" t="inlineStr">
        <is>
          <t>Unknown</t>
        </is>
      </c>
      <c r="Q1878" s="187" t="inlineStr">
        <is>
          <t>P4</t>
        </is>
      </c>
      <c r="R1878" s="187" t="inlineStr">
        <is>
          <t>🔍 Investigate and apply appropriate controls</t>
        </is>
      </c>
      <c r="S1878" s="187" t="inlineStr">
        <is>
          <t>See LeakIX for exposed service details</t>
        </is>
      </c>
      <c r="T1878" s="187" t="n">
        <v>0</v>
      </c>
      <c r="U1878" s="187" t="n">
        <v>0</v>
      </c>
      <c r="V1878" s="187" t="inlineStr">
        <is>
          <t>T1021:Remote Services | T1133:External Remote Services</t>
        </is>
      </c>
      <c r="W1878" s="187" t="n">
        <v>1</v>
      </c>
      <c r="X1878" s="187" t="inlineStr">
        <is>
          <t>LOW (40%)</t>
        </is>
      </c>
      <c r="Y1878" s="187" t="inlineStr">
        <is>
          <t>NONE</t>
        </is>
      </c>
      <c r="Z1878" s="187" t="inlineStr">
        <is>
          <t>NONE</t>
        </is>
      </c>
      <c r="AA1878" s="187" t="inlineStr">
        <is>
          <t>NONE</t>
        </is>
      </c>
      <c r="AB1878" s="187" t="inlineStr">
        <is>
          <t>NONE</t>
        </is>
      </c>
      <c r="AC1878" s="187" t="n">
        <v>0</v>
      </c>
      <c r="AD1878" s="187" t="inlineStr"/>
    </row>
    <row r="1879">
      <c r="A1879" s="187" t="inlineStr">
        <is>
          <t>CENSYS_EXPOSED</t>
        </is>
      </c>
      <c r="B1879" s="187" t="inlineStr">
        <is>
          <t>85.214.104.29</t>
        </is>
      </c>
      <c r="C1879" s="187" t="inlineStr">
        <is>
          <t>Exposed RDP: 85.214.104.29 | Unknown | Location: Unknown</t>
        </is>
      </c>
      <c r="D1879" s="187" t="n">
        <v>6.5</v>
      </c>
      <c r="E1879" s="187" t="inlineStr">
        <is>
          <t>MEDIUM</t>
        </is>
      </c>
      <c r="F1879" s="187" t="n">
        <v>2</v>
      </c>
      <c r="G1879" s="187" t="n">
        <v>2</v>
      </c>
      <c r="H1879" s="187" t="inlineStr">
        <is>
          <t>MEDIUM</t>
        </is>
      </c>
      <c r="I1879" s="187" t="n">
        <v>10.5</v>
      </c>
      <c r="J1879" s="187" t="inlineStr">
        <is>
          <t>NO</t>
        </is>
      </c>
      <c r="K1879" s="187" t="inlineStr">
        <is>
          <t>https://leakix.net/host/85.214.104.29</t>
        </is>
      </c>
      <c r="L1879" s="187" t="inlineStr">
        <is>
          <t>2026-02-26 00:15</t>
        </is>
      </c>
      <c r="M1879" s="187" t="inlineStr">
        <is>
          <t>Restrict access</t>
        </is>
      </c>
      <c r="N1879" s="187" t="inlineStr">
        <is>
          <t>https://leakix.net/host/85.214.104.29</t>
        </is>
      </c>
      <c r="O1879" s="187" t="inlineStr">
        <is>
          <t>Restrict RDP access | Firewall rule | VPN required</t>
        </is>
      </c>
      <c r="P1879" s="187" t="inlineStr">
        <is>
          <t>Unknown</t>
        </is>
      </c>
      <c r="Q1879" s="187" t="inlineStr">
        <is>
          <t>P4</t>
        </is>
      </c>
      <c r="R1879" s="187" t="inlineStr">
        <is>
          <t>🔍 Investigate and apply appropriate controls</t>
        </is>
      </c>
      <c r="S1879" s="187" t="inlineStr">
        <is>
          <t>See LeakIX for exposed service details</t>
        </is>
      </c>
      <c r="T1879" s="187" t="n">
        <v>0</v>
      </c>
      <c r="U1879" s="187" t="n">
        <v>0</v>
      </c>
      <c r="V1879" s="187" t="inlineStr">
        <is>
          <t>T1021:Remote Services | T1133:External Remote Services</t>
        </is>
      </c>
      <c r="W1879" s="187" t="n">
        <v>1</v>
      </c>
      <c r="X1879" s="187" t="inlineStr">
        <is>
          <t>LOW (40%)</t>
        </is>
      </c>
      <c r="Y1879" s="187" t="inlineStr">
        <is>
          <t>NONE</t>
        </is>
      </c>
      <c r="Z1879" s="187" t="inlineStr">
        <is>
          <t>NONE</t>
        </is>
      </c>
      <c r="AA1879" s="187" t="inlineStr">
        <is>
          <t>NONE</t>
        </is>
      </c>
      <c r="AB1879" s="187" t="inlineStr">
        <is>
          <t>NONE</t>
        </is>
      </c>
      <c r="AC1879" s="187" t="n">
        <v>0</v>
      </c>
      <c r="AD1879" s="187" t="inlineStr"/>
    </row>
    <row r="1880">
      <c r="A1880" s="187" t="inlineStr">
        <is>
          <t>CENSYS_EXPOSED</t>
        </is>
      </c>
      <c r="B1880" s="187" t="inlineStr">
        <is>
          <t>5.78.71.11</t>
        </is>
      </c>
      <c r="C1880" s="187" t="inlineStr">
        <is>
          <t>Exposed RDP: 5.78.71.11 | Unknown | Location: Unknown</t>
        </is>
      </c>
      <c r="D1880" s="187" t="n">
        <v>6.5</v>
      </c>
      <c r="E1880" s="187" t="inlineStr">
        <is>
          <t>MEDIUM</t>
        </is>
      </c>
      <c r="F1880" s="187" t="n">
        <v>2</v>
      </c>
      <c r="G1880" s="187" t="n">
        <v>2</v>
      </c>
      <c r="H1880" s="187" t="inlineStr">
        <is>
          <t>MEDIUM</t>
        </is>
      </c>
      <c r="I1880" s="187" t="n">
        <v>10.5</v>
      </c>
      <c r="J1880" s="187" t="inlineStr">
        <is>
          <t>NO</t>
        </is>
      </c>
      <c r="K1880" s="187" t="inlineStr">
        <is>
          <t>https://leakix.net/host/5.78.71.11</t>
        </is>
      </c>
      <c r="L1880" s="187" t="inlineStr">
        <is>
          <t>2026-02-26 00:15</t>
        </is>
      </c>
      <c r="M1880" s="187" t="inlineStr">
        <is>
          <t>Restrict access</t>
        </is>
      </c>
      <c r="N1880" s="187" t="inlineStr">
        <is>
          <t>https://leakix.net/host/5.78.71.11</t>
        </is>
      </c>
      <c r="O1880" s="187" t="inlineStr">
        <is>
          <t>Restrict RDP access | Firewall rule | VPN required</t>
        </is>
      </c>
      <c r="P1880" s="187" t="inlineStr">
        <is>
          <t>Unknown</t>
        </is>
      </c>
      <c r="Q1880" s="187" t="inlineStr">
        <is>
          <t>P4</t>
        </is>
      </c>
      <c r="R1880" s="187" t="inlineStr">
        <is>
          <t>🔍 Investigate and apply appropriate controls</t>
        </is>
      </c>
      <c r="S1880" s="187" t="inlineStr">
        <is>
          <t>See LeakIX for exposed service details</t>
        </is>
      </c>
      <c r="T1880" s="187" t="n">
        <v>0</v>
      </c>
      <c r="U1880" s="187" t="n">
        <v>0</v>
      </c>
      <c r="V1880" s="187" t="inlineStr">
        <is>
          <t>T1021:Remote Services | T1133:External Remote Services</t>
        </is>
      </c>
      <c r="W1880" s="187" t="n">
        <v>1</v>
      </c>
      <c r="X1880" s="187" t="inlineStr">
        <is>
          <t>LOW (40%)</t>
        </is>
      </c>
      <c r="Y1880" s="187" t="inlineStr">
        <is>
          <t>NONE</t>
        </is>
      </c>
      <c r="Z1880" s="187" t="inlineStr">
        <is>
          <t>NONE</t>
        </is>
      </c>
      <c r="AA1880" s="187" t="inlineStr">
        <is>
          <t>NONE</t>
        </is>
      </c>
      <c r="AB1880" s="187" t="inlineStr">
        <is>
          <t>NONE</t>
        </is>
      </c>
      <c r="AC1880" s="187" t="n">
        <v>0</v>
      </c>
      <c r="AD1880" s="187" t="inlineStr"/>
    </row>
    <row r="1881">
      <c r="A1881" s="187" t="inlineStr">
        <is>
          <t>CENSYS_EXPOSED</t>
        </is>
      </c>
      <c r="B1881" s="187" t="inlineStr">
        <is>
          <t>5.78.132.159</t>
        </is>
      </c>
      <c r="C1881" s="187" t="inlineStr">
        <is>
          <t>Exposed RDP: 5.78.132.159 | Unknown | Location: Unknown</t>
        </is>
      </c>
      <c r="D1881" s="187" t="n">
        <v>6.5</v>
      </c>
      <c r="E1881" s="187" t="inlineStr">
        <is>
          <t>MEDIUM</t>
        </is>
      </c>
      <c r="F1881" s="187" t="n">
        <v>2</v>
      </c>
      <c r="G1881" s="187" t="n">
        <v>2</v>
      </c>
      <c r="H1881" s="187" t="inlineStr">
        <is>
          <t>MEDIUM</t>
        </is>
      </c>
      <c r="I1881" s="187" t="n">
        <v>10.5</v>
      </c>
      <c r="J1881" s="187" t="inlineStr">
        <is>
          <t>NO</t>
        </is>
      </c>
      <c r="K1881" s="187" t="inlineStr">
        <is>
          <t>https://leakix.net/host/5.78.132.159</t>
        </is>
      </c>
      <c r="L1881" s="187" t="inlineStr">
        <is>
          <t>2026-02-26 00:15</t>
        </is>
      </c>
      <c r="M1881" s="187" t="inlineStr">
        <is>
          <t>Restrict access</t>
        </is>
      </c>
      <c r="N1881" s="187" t="inlineStr">
        <is>
          <t>https://leakix.net/host/5.78.132.159</t>
        </is>
      </c>
      <c r="O1881" s="187" t="inlineStr">
        <is>
          <t>Restrict RDP access | Firewall rule | VPN required</t>
        </is>
      </c>
      <c r="P1881" s="187" t="inlineStr">
        <is>
          <t>Unknown</t>
        </is>
      </c>
      <c r="Q1881" s="187" t="inlineStr">
        <is>
          <t>P4</t>
        </is>
      </c>
      <c r="R1881" s="187" t="inlineStr">
        <is>
          <t>🔍 Investigate and apply appropriate controls</t>
        </is>
      </c>
      <c r="S1881" s="187" t="inlineStr">
        <is>
          <t>See LeakIX for exposed service details</t>
        </is>
      </c>
      <c r="T1881" s="187" t="n">
        <v>0</v>
      </c>
      <c r="U1881" s="187" t="n">
        <v>0</v>
      </c>
      <c r="V1881" s="187" t="inlineStr">
        <is>
          <t>T1021:Remote Services | T1133:External Remote Services</t>
        </is>
      </c>
      <c r="W1881" s="187" t="n">
        <v>1</v>
      </c>
      <c r="X1881" s="187" t="inlineStr">
        <is>
          <t>LOW (40%)</t>
        </is>
      </c>
      <c r="Y1881" s="187" t="inlineStr">
        <is>
          <t>NONE</t>
        </is>
      </c>
      <c r="Z1881" s="187" t="inlineStr">
        <is>
          <t>NONE</t>
        </is>
      </c>
      <c r="AA1881" s="187" t="inlineStr">
        <is>
          <t>NONE</t>
        </is>
      </c>
      <c r="AB1881" s="187" t="inlineStr">
        <is>
          <t>NONE</t>
        </is>
      </c>
      <c r="AC1881" s="187" t="n">
        <v>0</v>
      </c>
      <c r="AD1881" s="187" t="inlineStr"/>
    </row>
    <row r="1882">
      <c r="A1882" s="187" t="inlineStr">
        <is>
          <t>CENSYS_EXPOSED</t>
        </is>
      </c>
      <c r="B1882" s="187" t="inlineStr">
        <is>
          <t>208.73.204.167</t>
        </is>
      </c>
      <c r="C1882" s="187" t="inlineStr">
        <is>
          <t>Exposed RDP: 208.73.204.167 | Unknown | Location: Unknown</t>
        </is>
      </c>
      <c r="D1882" s="187" t="n">
        <v>6.5</v>
      </c>
      <c r="E1882" s="187" t="inlineStr">
        <is>
          <t>MEDIUM</t>
        </is>
      </c>
      <c r="F1882" s="187" t="n">
        <v>2</v>
      </c>
      <c r="G1882" s="187" t="n">
        <v>2</v>
      </c>
      <c r="H1882" s="187" t="inlineStr">
        <is>
          <t>MEDIUM</t>
        </is>
      </c>
      <c r="I1882" s="187" t="n">
        <v>10.5</v>
      </c>
      <c r="J1882" s="187" t="inlineStr">
        <is>
          <t>NO</t>
        </is>
      </c>
      <c r="K1882" s="187" t="inlineStr">
        <is>
          <t>https://leakix.net/host/208.73.204.167</t>
        </is>
      </c>
      <c r="L1882" s="187" t="inlineStr">
        <is>
          <t>2026-02-26 00:15</t>
        </is>
      </c>
      <c r="M1882" s="187" t="inlineStr">
        <is>
          <t>Restrict access</t>
        </is>
      </c>
      <c r="N1882" s="187" t="inlineStr">
        <is>
          <t>https://leakix.net/host/208.73.204.167</t>
        </is>
      </c>
      <c r="O1882" s="187" t="inlineStr">
        <is>
          <t>Restrict RDP access | Firewall rule | VPN required</t>
        </is>
      </c>
      <c r="P1882" s="187" t="inlineStr">
        <is>
          <t>Unknown</t>
        </is>
      </c>
      <c r="Q1882" s="187" t="inlineStr">
        <is>
          <t>P4</t>
        </is>
      </c>
      <c r="R1882" s="187" t="inlineStr">
        <is>
          <t>🔍 Investigate and apply appropriate controls</t>
        </is>
      </c>
      <c r="S1882" s="187" t="inlineStr">
        <is>
          <t>See LeakIX for exposed service details</t>
        </is>
      </c>
      <c r="T1882" s="187" t="n">
        <v>0</v>
      </c>
      <c r="U1882" s="187" t="n">
        <v>0</v>
      </c>
      <c r="V1882" s="187" t="inlineStr">
        <is>
          <t>T1021:Remote Services | T1133:External Remote Services</t>
        </is>
      </c>
      <c r="W1882" s="187" t="n">
        <v>1</v>
      </c>
      <c r="X1882" s="187" t="inlineStr">
        <is>
          <t>LOW (40%)</t>
        </is>
      </c>
      <c r="Y1882" s="187" t="inlineStr">
        <is>
          <t>NONE</t>
        </is>
      </c>
      <c r="Z1882" s="187" t="inlineStr">
        <is>
          <t>NONE</t>
        </is>
      </c>
      <c r="AA1882" s="187" t="inlineStr">
        <is>
          <t>NONE</t>
        </is>
      </c>
      <c r="AB1882" s="187" t="inlineStr">
        <is>
          <t>NONE</t>
        </is>
      </c>
      <c r="AC1882" s="187" t="n">
        <v>0</v>
      </c>
      <c r="AD1882" s="187" t="inlineStr"/>
    </row>
    <row r="1883">
      <c r="A1883" s="187" t="inlineStr">
        <is>
          <t>CENSYS_EXPOSED</t>
        </is>
      </c>
      <c r="B1883" s="187" t="inlineStr">
        <is>
          <t>87.106.96.112</t>
        </is>
      </c>
      <c r="C1883" s="187" t="inlineStr">
        <is>
          <t>Exposed RDP: 87.106.96.112 | Unknown | Location: Unknown</t>
        </is>
      </c>
      <c r="D1883" s="187" t="n">
        <v>6.5</v>
      </c>
      <c r="E1883" s="187" t="inlineStr">
        <is>
          <t>MEDIUM</t>
        </is>
      </c>
      <c r="F1883" s="187" t="n">
        <v>2</v>
      </c>
      <c r="G1883" s="187" t="n">
        <v>2</v>
      </c>
      <c r="H1883" s="187" t="inlineStr">
        <is>
          <t>MEDIUM</t>
        </is>
      </c>
      <c r="I1883" s="187" t="n">
        <v>10.5</v>
      </c>
      <c r="J1883" s="187" t="inlineStr">
        <is>
          <t>NO</t>
        </is>
      </c>
      <c r="K1883" s="187" t="inlineStr">
        <is>
          <t>https://leakix.net/host/87.106.96.112</t>
        </is>
      </c>
      <c r="L1883" s="187" t="inlineStr">
        <is>
          <t>2026-02-26 00:15</t>
        </is>
      </c>
      <c r="M1883" s="187" t="inlineStr">
        <is>
          <t>Restrict access</t>
        </is>
      </c>
      <c r="N1883" s="187" t="inlineStr">
        <is>
          <t>https://leakix.net/host/87.106.96.112</t>
        </is>
      </c>
      <c r="O1883" s="187" t="inlineStr">
        <is>
          <t>Restrict RDP access | Firewall rule | VPN required</t>
        </is>
      </c>
      <c r="P1883" s="187" t="inlineStr">
        <is>
          <t>Unknown</t>
        </is>
      </c>
      <c r="Q1883" s="187" t="inlineStr">
        <is>
          <t>P4</t>
        </is>
      </c>
      <c r="R1883" s="187" t="inlineStr">
        <is>
          <t>🔍 Investigate and apply appropriate controls</t>
        </is>
      </c>
      <c r="S1883" s="187" t="inlineStr">
        <is>
          <t>See LeakIX for exposed service details</t>
        </is>
      </c>
      <c r="T1883" s="187" t="n">
        <v>0</v>
      </c>
      <c r="U1883" s="187" t="n">
        <v>0</v>
      </c>
      <c r="V1883" s="187" t="inlineStr">
        <is>
          <t>T1021:Remote Services | T1133:External Remote Services</t>
        </is>
      </c>
      <c r="W1883" s="187" t="n">
        <v>1</v>
      </c>
      <c r="X1883" s="187" t="inlineStr">
        <is>
          <t>LOW (40%)</t>
        </is>
      </c>
      <c r="Y1883" s="187" t="inlineStr">
        <is>
          <t>NONE</t>
        </is>
      </c>
      <c r="Z1883" s="187" t="inlineStr">
        <is>
          <t>NONE</t>
        </is>
      </c>
      <c r="AA1883" s="187" t="inlineStr">
        <is>
          <t>NONE</t>
        </is>
      </c>
      <c r="AB1883" s="187" t="inlineStr">
        <is>
          <t>NONE</t>
        </is>
      </c>
      <c r="AC1883" s="187" t="n">
        <v>0</v>
      </c>
      <c r="AD1883" s="187" t="inlineStr"/>
    </row>
    <row r="1884">
      <c r="A1884" s="187" t="inlineStr">
        <is>
          <t>CENSYS_EXPOSED</t>
        </is>
      </c>
      <c r="B1884" s="187" t="inlineStr">
        <is>
          <t>158.101.231.11</t>
        </is>
      </c>
      <c r="C1884" s="187" t="inlineStr">
        <is>
          <t>Exposed RDP: 158.101.231.11 | Unknown | Location: Unknown</t>
        </is>
      </c>
      <c r="D1884" s="187" t="n">
        <v>6.5</v>
      </c>
      <c r="E1884" s="187" t="inlineStr">
        <is>
          <t>MEDIUM</t>
        </is>
      </c>
      <c r="F1884" s="187" t="n">
        <v>2</v>
      </c>
      <c r="G1884" s="187" t="n">
        <v>2</v>
      </c>
      <c r="H1884" s="187" t="inlineStr">
        <is>
          <t>MEDIUM</t>
        </is>
      </c>
      <c r="I1884" s="187" t="n">
        <v>10.5</v>
      </c>
      <c r="J1884" s="187" t="inlineStr">
        <is>
          <t>NO</t>
        </is>
      </c>
      <c r="K1884" s="187" t="inlineStr">
        <is>
          <t>https://leakix.net/host/158.101.231.11</t>
        </is>
      </c>
      <c r="L1884" s="187" t="inlineStr">
        <is>
          <t>2026-02-26 00:15</t>
        </is>
      </c>
      <c r="M1884" s="187" t="inlineStr">
        <is>
          <t>Restrict access</t>
        </is>
      </c>
      <c r="N1884" s="187" t="inlineStr">
        <is>
          <t>https://leakix.net/host/158.101.231.11</t>
        </is>
      </c>
      <c r="O1884" s="187" t="inlineStr">
        <is>
          <t>Restrict RDP access | Firewall rule | VPN required</t>
        </is>
      </c>
      <c r="P1884" s="187" t="inlineStr">
        <is>
          <t>Unknown</t>
        </is>
      </c>
      <c r="Q1884" s="187" t="inlineStr">
        <is>
          <t>P4</t>
        </is>
      </c>
      <c r="R1884" s="187" t="inlineStr">
        <is>
          <t>🔍 Investigate and apply appropriate controls</t>
        </is>
      </c>
      <c r="S1884" s="187" t="inlineStr">
        <is>
          <t>See LeakIX for exposed service details</t>
        </is>
      </c>
      <c r="T1884" s="187" t="n">
        <v>0</v>
      </c>
      <c r="U1884" s="187" t="n">
        <v>0</v>
      </c>
      <c r="V1884" s="187" t="inlineStr">
        <is>
          <t>T1021:Remote Services | T1133:External Remote Services</t>
        </is>
      </c>
      <c r="W1884" s="187" t="n">
        <v>1</v>
      </c>
      <c r="X1884" s="187" t="inlineStr">
        <is>
          <t>LOW (40%)</t>
        </is>
      </c>
      <c r="Y1884" s="187" t="inlineStr">
        <is>
          <t>NONE</t>
        </is>
      </c>
      <c r="Z1884" s="187" t="inlineStr">
        <is>
          <t>NONE</t>
        </is>
      </c>
      <c r="AA1884" s="187" t="inlineStr">
        <is>
          <t>NONE</t>
        </is>
      </c>
      <c r="AB1884" s="187" t="inlineStr">
        <is>
          <t>NONE</t>
        </is>
      </c>
      <c r="AC1884" s="187" t="n">
        <v>0</v>
      </c>
      <c r="AD1884" s="187" t="inlineStr"/>
    </row>
    <row r="1885">
      <c r="A1885" s="187" t="inlineStr">
        <is>
          <t>CENSYS_EXPOSED</t>
        </is>
      </c>
      <c r="B1885" s="187" t="inlineStr">
        <is>
          <t>3.147.67.229</t>
        </is>
      </c>
      <c r="C1885" s="187" t="inlineStr">
        <is>
          <t>Exposed RDP: 3.147.67.229 | Unknown | Location: Unknown</t>
        </is>
      </c>
      <c r="D1885" s="187" t="n">
        <v>6.5</v>
      </c>
      <c r="E1885" s="187" t="inlineStr">
        <is>
          <t>MEDIUM</t>
        </is>
      </c>
      <c r="F1885" s="187" t="n">
        <v>2</v>
      </c>
      <c r="G1885" s="187" t="n">
        <v>2</v>
      </c>
      <c r="H1885" s="187" t="inlineStr">
        <is>
          <t>MEDIUM</t>
        </is>
      </c>
      <c r="I1885" s="187" t="n">
        <v>10.5</v>
      </c>
      <c r="J1885" s="187" t="inlineStr">
        <is>
          <t>NO</t>
        </is>
      </c>
      <c r="K1885" s="187" t="inlineStr">
        <is>
          <t>https://leakix.net/host/3.147.67.229</t>
        </is>
      </c>
      <c r="L1885" s="187" t="inlineStr">
        <is>
          <t>2026-02-26 00:15</t>
        </is>
      </c>
      <c r="M1885" s="187" t="inlineStr">
        <is>
          <t>Restrict access</t>
        </is>
      </c>
      <c r="N1885" s="187" t="inlineStr">
        <is>
          <t>https://leakix.net/host/3.147.67.229</t>
        </is>
      </c>
      <c r="O1885" s="187" t="inlineStr">
        <is>
          <t>Restrict RDP access | Firewall rule | VPN required</t>
        </is>
      </c>
      <c r="P1885" s="187" t="inlineStr">
        <is>
          <t>Unknown</t>
        </is>
      </c>
      <c r="Q1885" s="187" t="inlineStr">
        <is>
          <t>P4</t>
        </is>
      </c>
      <c r="R1885" s="187" t="inlineStr">
        <is>
          <t>🔍 Investigate and apply appropriate controls</t>
        </is>
      </c>
      <c r="S1885" s="187" t="inlineStr">
        <is>
          <t>See LeakIX for exposed service details</t>
        </is>
      </c>
      <c r="T1885" s="187" t="n">
        <v>0</v>
      </c>
      <c r="U1885" s="187" t="n">
        <v>0</v>
      </c>
      <c r="V1885" s="187" t="inlineStr">
        <is>
          <t>T1021:Remote Services | T1133:External Remote Services</t>
        </is>
      </c>
      <c r="W1885" s="187" t="n">
        <v>1</v>
      </c>
      <c r="X1885" s="187" t="inlineStr">
        <is>
          <t>LOW (40%)</t>
        </is>
      </c>
      <c r="Y1885" s="187" t="inlineStr">
        <is>
          <t>NONE</t>
        </is>
      </c>
      <c r="Z1885" s="187" t="inlineStr">
        <is>
          <t>NONE</t>
        </is>
      </c>
      <c r="AA1885" s="187" t="inlineStr">
        <is>
          <t>NONE</t>
        </is>
      </c>
      <c r="AB1885" s="187" t="inlineStr">
        <is>
          <t>NONE</t>
        </is>
      </c>
      <c r="AC1885" s="187" t="n">
        <v>0</v>
      </c>
      <c r="AD1885" s="187" t="inlineStr"/>
    </row>
    <row r="1886">
      <c r="A1886" s="187" t="inlineStr">
        <is>
          <t>CENSYS_EXPOSED</t>
        </is>
      </c>
      <c r="B1886" s="187" t="inlineStr">
        <is>
          <t>139.59.243.113</t>
        </is>
      </c>
      <c r="C1886" s="187" t="inlineStr">
        <is>
          <t>Exposed RDP: 139.59.243.113 | Unknown | Location: Unknown</t>
        </is>
      </c>
      <c r="D1886" s="187" t="n">
        <v>6.5</v>
      </c>
      <c r="E1886" s="187" t="inlineStr">
        <is>
          <t>MEDIUM</t>
        </is>
      </c>
      <c r="F1886" s="187" t="n">
        <v>2</v>
      </c>
      <c r="G1886" s="187" t="n">
        <v>2</v>
      </c>
      <c r="H1886" s="187" t="inlineStr">
        <is>
          <t>MEDIUM</t>
        </is>
      </c>
      <c r="I1886" s="187" t="n">
        <v>10.5</v>
      </c>
      <c r="J1886" s="187" t="inlineStr">
        <is>
          <t>NO</t>
        </is>
      </c>
      <c r="K1886" s="187" t="inlineStr">
        <is>
          <t>https://leakix.net/host/139.59.243.113</t>
        </is>
      </c>
      <c r="L1886" s="187" t="inlineStr">
        <is>
          <t>2026-02-26 00:15</t>
        </is>
      </c>
      <c r="M1886" s="187" t="inlineStr">
        <is>
          <t>Restrict access</t>
        </is>
      </c>
      <c r="N1886" s="187" t="inlineStr">
        <is>
          <t>https://leakix.net/host/139.59.243.113</t>
        </is>
      </c>
      <c r="O1886" s="187" t="inlineStr">
        <is>
          <t>Restrict RDP access | Firewall rule | VPN required</t>
        </is>
      </c>
      <c r="P1886" s="187" t="inlineStr">
        <is>
          <t>Unknown</t>
        </is>
      </c>
      <c r="Q1886" s="187" t="inlineStr">
        <is>
          <t>P4</t>
        </is>
      </c>
      <c r="R1886" s="187" t="inlineStr">
        <is>
          <t>🔍 Investigate and apply appropriate controls</t>
        </is>
      </c>
      <c r="S1886" s="187" t="inlineStr">
        <is>
          <t>See LeakIX for exposed service details</t>
        </is>
      </c>
      <c r="T1886" s="187" t="n">
        <v>0</v>
      </c>
      <c r="U1886" s="187" t="n">
        <v>0</v>
      </c>
      <c r="V1886" s="187" t="inlineStr">
        <is>
          <t>T1021:Remote Services | T1133:External Remote Services</t>
        </is>
      </c>
      <c r="W1886" s="187" t="n">
        <v>1</v>
      </c>
      <c r="X1886" s="187" t="inlineStr">
        <is>
          <t>LOW (40%)</t>
        </is>
      </c>
      <c r="Y1886" s="187" t="inlineStr">
        <is>
          <t>NONE</t>
        </is>
      </c>
      <c r="Z1886" s="187" t="inlineStr">
        <is>
          <t>NONE</t>
        </is>
      </c>
      <c r="AA1886" s="187" t="inlineStr">
        <is>
          <t>NONE</t>
        </is>
      </c>
      <c r="AB1886" s="187" t="inlineStr">
        <is>
          <t>NONE</t>
        </is>
      </c>
      <c r="AC1886" s="187" t="n">
        <v>0</v>
      </c>
      <c r="AD1886" s="187" t="inlineStr"/>
    </row>
    <row r="1887">
      <c r="A1887" s="187" t="inlineStr">
        <is>
          <t>CENSYS_EXPOSED</t>
        </is>
      </c>
      <c r="B1887" s="187" t="inlineStr">
        <is>
          <t>42.96.5.209</t>
        </is>
      </c>
      <c r="C1887" s="187" t="inlineStr">
        <is>
          <t>Exposed RDP: 42.96.5.209 | Unknown | Location: Unknown</t>
        </is>
      </c>
      <c r="D1887" s="187" t="n">
        <v>6.5</v>
      </c>
      <c r="E1887" s="187" t="inlineStr">
        <is>
          <t>MEDIUM</t>
        </is>
      </c>
      <c r="F1887" s="187" t="n">
        <v>2</v>
      </c>
      <c r="G1887" s="187" t="n">
        <v>2</v>
      </c>
      <c r="H1887" s="187" t="inlineStr">
        <is>
          <t>MEDIUM</t>
        </is>
      </c>
      <c r="I1887" s="187" t="n">
        <v>10.5</v>
      </c>
      <c r="J1887" s="187" t="inlineStr">
        <is>
          <t>NO</t>
        </is>
      </c>
      <c r="K1887" s="187" t="inlineStr">
        <is>
          <t>https://leakix.net/host/42.96.5.209</t>
        </is>
      </c>
      <c r="L1887" s="187" t="inlineStr">
        <is>
          <t>2026-02-26 00:15</t>
        </is>
      </c>
      <c r="M1887" s="187" t="inlineStr">
        <is>
          <t>Restrict access</t>
        </is>
      </c>
      <c r="N1887" s="187" t="inlineStr">
        <is>
          <t>https://leakix.net/host/42.96.5.209</t>
        </is>
      </c>
      <c r="O1887" s="187" t="inlineStr">
        <is>
          <t>Restrict RDP access | Firewall rule | VPN required</t>
        </is>
      </c>
      <c r="P1887" s="187" t="inlineStr">
        <is>
          <t>Unknown</t>
        </is>
      </c>
      <c r="Q1887" s="187" t="inlineStr">
        <is>
          <t>P4</t>
        </is>
      </c>
      <c r="R1887" s="187" t="inlineStr">
        <is>
          <t>🔍 Investigate and apply appropriate controls</t>
        </is>
      </c>
      <c r="S1887" s="187" t="inlineStr">
        <is>
          <t>See LeakIX for exposed service details</t>
        </is>
      </c>
      <c r="T1887" s="187" t="n">
        <v>0</v>
      </c>
      <c r="U1887" s="187" t="n">
        <v>0</v>
      </c>
      <c r="V1887" s="187" t="inlineStr">
        <is>
          <t>T1021:Remote Services | T1133:External Remote Services</t>
        </is>
      </c>
      <c r="W1887" s="187" t="n">
        <v>1</v>
      </c>
      <c r="X1887" s="187" t="inlineStr">
        <is>
          <t>LOW (40%)</t>
        </is>
      </c>
      <c r="Y1887" s="187" t="inlineStr">
        <is>
          <t>NONE</t>
        </is>
      </c>
      <c r="Z1887" s="187" t="inlineStr">
        <is>
          <t>NONE</t>
        </is>
      </c>
      <c r="AA1887" s="187" t="inlineStr">
        <is>
          <t>NONE</t>
        </is>
      </c>
      <c r="AB1887" s="187" t="inlineStr">
        <is>
          <t>NONE</t>
        </is>
      </c>
      <c r="AC1887" s="187" t="n">
        <v>0</v>
      </c>
      <c r="AD1887" s="187" t="inlineStr"/>
    </row>
    <row r="1888">
      <c r="A1888" s="187" t="inlineStr">
        <is>
          <t>CENSYS_EXPOSED</t>
        </is>
      </c>
      <c r="B1888" s="187" t="inlineStr">
        <is>
          <t>47.108.159.61</t>
        </is>
      </c>
      <c r="C1888" s="187" t="inlineStr">
        <is>
          <t>Exposed RDP: 47.108.159.61 | Unknown | Location: Unknown</t>
        </is>
      </c>
      <c r="D1888" s="187" t="n">
        <v>6.5</v>
      </c>
      <c r="E1888" s="187" t="inlineStr">
        <is>
          <t>MEDIUM</t>
        </is>
      </c>
      <c r="F1888" s="187" t="n">
        <v>2</v>
      </c>
      <c r="G1888" s="187" t="n">
        <v>2</v>
      </c>
      <c r="H1888" s="187" t="inlineStr">
        <is>
          <t>MEDIUM</t>
        </is>
      </c>
      <c r="I1888" s="187" t="n">
        <v>10.5</v>
      </c>
      <c r="J1888" s="187" t="inlineStr">
        <is>
          <t>NO</t>
        </is>
      </c>
      <c r="K1888" s="187" t="inlineStr">
        <is>
          <t>https://leakix.net/host/47.108.159.61</t>
        </is>
      </c>
      <c r="L1888" s="187" t="inlineStr">
        <is>
          <t>2026-02-26 00:15</t>
        </is>
      </c>
      <c r="M1888" s="187" t="inlineStr">
        <is>
          <t>Restrict access</t>
        </is>
      </c>
      <c r="N1888" s="187" t="inlineStr">
        <is>
          <t>https://leakix.net/host/47.108.159.61</t>
        </is>
      </c>
      <c r="O1888" s="187" t="inlineStr">
        <is>
          <t>Restrict RDP access | Firewall rule | VPN required</t>
        </is>
      </c>
      <c r="P1888" s="187" t="inlineStr">
        <is>
          <t>Unknown</t>
        </is>
      </c>
      <c r="Q1888" s="187" t="inlineStr">
        <is>
          <t>P4</t>
        </is>
      </c>
      <c r="R1888" s="187" t="inlineStr">
        <is>
          <t>🔍 Investigate and apply appropriate controls</t>
        </is>
      </c>
      <c r="S1888" s="187" t="inlineStr">
        <is>
          <t>See LeakIX for exposed service details</t>
        </is>
      </c>
      <c r="T1888" s="187" t="n">
        <v>0</v>
      </c>
      <c r="U1888" s="187" t="n">
        <v>0</v>
      </c>
      <c r="V1888" s="187" t="inlineStr">
        <is>
          <t>T1021:Remote Services | T1133:External Remote Services</t>
        </is>
      </c>
      <c r="W1888" s="187" t="n">
        <v>1</v>
      </c>
      <c r="X1888" s="187" t="inlineStr">
        <is>
          <t>LOW (40%)</t>
        </is>
      </c>
      <c r="Y1888" s="187" t="inlineStr">
        <is>
          <t>NONE</t>
        </is>
      </c>
      <c r="Z1888" s="187" t="inlineStr">
        <is>
          <t>NONE</t>
        </is>
      </c>
      <c r="AA1888" s="187" t="inlineStr">
        <is>
          <t>NONE</t>
        </is>
      </c>
      <c r="AB1888" s="187" t="inlineStr">
        <is>
          <t>NONE</t>
        </is>
      </c>
      <c r="AC1888" s="187" t="n">
        <v>0</v>
      </c>
      <c r="AD1888" s="187" t="inlineStr"/>
    </row>
    <row r="1889">
      <c r="A1889" s="187" t="inlineStr">
        <is>
          <t>CENSYS_EXPOSED</t>
        </is>
      </c>
      <c r="B1889" s="187" t="inlineStr">
        <is>
          <t>113.44.209.27</t>
        </is>
      </c>
      <c r="C1889" s="187" t="inlineStr">
        <is>
          <t>Exposed RDP: 113.44.209.27 | Unknown | Location: Unknown</t>
        </is>
      </c>
      <c r="D1889" s="187" t="n">
        <v>6.5</v>
      </c>
      <c r="E1889" s="187" t="inlineStr">
        <is>
          <t>MEDIUM</t>
        </is>
      </c>
      <c r="F1889" s="187" t="n">
        <v>2</v>
      </c>
      <c r="G1889" s="187" t="n">
        <v>2</v>
      </c>
      <c r="H1889" s="187" t="inlineStr">
        <is>
          <t>MEDIUM</t>
        </is>
      </c>
      <c r="I1889" s="187" t="n">
        <v>10.5</v>
      </c>
      <c r="J1889" s="187" t="inlineStr">
        <is>
          <t>NO</t>
        </is>
      </c>
      <c r="K1889" s="187" t="inlineStr">
        <is>
          <t>https://leakix.net/host/113.44.209.27</t>
        </is>
      </c>
      <c r="L1889" s="187" t="inlineStr">
        <is>
          <t>2026-02-26 00:15</t>
        </is>
      </c>
      <c r="M1889" s="187" t="inlineStr">
        <is>
          <t>Restrict access</t>
        </is>
      </c>
      <c r="N1889" s="187" t="inlineStr">
        <is>
          <t>https://leakix.net/host/113.44.209.27</t>
        </is>
      </c>
      <c r="O1889" s="187" t="inlineStr">
        <is>
          <t>Restrict RDP access | Firewall rule | VPN required</t>
        </is>
      </c>
      <c r="P1889" s="187" t="inlineStr">
        <is>
          <t>Unknown</t>
        </is>
      </c>
      <c r="Q1889" s="187" t="inlineStr">
        <is>
          <t>P4</t>
        </is>
      </c>
      <c r="R1889" s="187" t="inlineStr">
        <is>
          <t>🔍 Investigate and apply appropriate controls</t>
        </is>
      </c>
      <c r="S1889" s="187" t="inlineStr">
        <is>
          <t>See LeakIX for exposed service details</t>
        </is>
      </c>
      <c r="T1889" s="187" t="n">
        <v>0</v>
      </c>
      <c r="U1889" s="187" t="n">
        <v>0</v>
      </c>
      <c r="V1889" s="187" t="inlineStr">
        <is>
          <t>T1021:Remote Services | T1133:External Remote Services</t>
        </is>
      </c>
      <c r="W1889" s="187" t="n">
        <v>1</v>
      </c>
      <c r="X1889" s="187" t="inlineStr">
        <is>
          <t>LOW (40%)</t>
        </is>
      </c>
      <c r="Y1889" s="187" t="inlineStr">
        <is>
          <t>NONE</t>
        </is>
      </c>
      <c r="Z1889" s="187" t="inlineStr">
        <is>
          <t>NONE</t>
        </is>
      </c>
      <c r="AA1889" s="187" t="inlineStr">
        <is>
          <t>NONE</t>
        </is>
      </c>
      <c r="AB1889" s="187" t="inlineStr">
        <is>
          <t>NONE</t>
        </is>
      </c>
      <c r="AC1889" s="187" t="n">
        <v>0</v>
      </c>
      <c r="AD1889" s="187" t="inlineStr"/>
    </row>
    <row r="1890">
      <c r="A1890" s="187" t="inlineStr">
        <is>
          <t>CENSYS_EXPOSED</t>
        </is>
      </c>
      <c r="B1890" s="187" t="inlineStr">
        <is>
          <t>193.95.206.25</t>
        </is>
      </c>
      <c r="C1890" s="187" t="inlineStr">
        <is>
          <t>Exposed RDP: 193.95.206.25 | Unknown | Location: Unknown</t>
        </is>
      </c>
      <c r="D1890" s="187" t="n">
        <v>6.5</v>
      </c>
      <c r="E1890" s="187" t="inlineStr">
        <is>
          <t>MEDIUM</t>
        </is>
      </c>
      <c r="F1890" s="187" t="n">
        <v>2</v>
      </c>
      <c r="G1890" s="187" t="n">
        <v>2</v>
      </c>
      <c r="H1890" s="187" t="inlineStr">
        <is>
          <t>MEDIUM</t>
        </is>
      </c>
      <c r="I1890" s="187" t="n">
        <v>10.5</v>
      </c>
      <c r="J1890" s="187" t="inlineStr">
        <is>
          <t>NO</t>
        </is>
      </c>
      <c r="K1890" s="187" t="inlineStr">
        <is>
          <t>https://leakix.net/host/193.95.206.25</t>
        </is>
      </c>
      <c r="L1890" s="187" t="inlineStr">
        <is>
          <t>2026-02-26 00:15</t>
        </is>
      </c>
      <c r="M1890" s="187" t="inlineStr">
        <is>
          <t>Restrict access</t>
        </is>
      </c>
      <c r="N1890" s="187" t="inlineStr">
        <is>
          <t>https://leakix.net/host/193.95.206.25</t>
        </is>
      </c>
      <c r="O1890" s="187" t="inlineStr">
        <is>
          <t>Restrict RDP access | Firewall rule | VPN required</t>
        </is>
      </c>
      <c r="P1890" s="187" t="inlineStr">
        <is>
          <t>Unknown</t>
        </is>
      </c>
      <c r="Q1890" s="187" t="inlineStr">
        <is>
          <t>P4</t>
        </is>
      </c>
      <c r="R1890" s="187" t="inlineStr">
        <is>
          <t>🔍 Investigate and apply appropriate controls</t>
        </is>
      </c>
      <c r="S1890" s="187" t="inlineStr">
        <is>
          <t>See LeakIX for exposed service details</t>
        </is>
      </c>
      <c r="T1890" s="187" t="n">
        <v>0</v>
      </c>
      <c r="U1890" s="187" t="n">
        <v>0</v>
      </c>
      <c r="V1890" s="187" t="inlineStr">
        <is>
          <t>T1021:Remote Services | T1133:External Remote Services</t>
        </is>
      </c>
      <c r="W1890" s="187" t="n">
        <v>1</v>
      </c>
      <c r="X1890" s="187" t="inlineStr">
        <is>
          <t>LOW (40%)</t>
        </is>
      </c>
      <c r="Y1890" s="187" t="inlineStr">
        <is>
          <t>NONE</t>
        </is>
      </c>
      <c r="Z1890" s="187" t="inlineStr">
        <is>
          <t>NONE</t>
        </is>
      </c>
      <c r="AA1890" s="187" t="inlineStr">
        <is>
          <t>NONE</t>
        </is>
      </c>
      <c r="AB1890" s="187" t="inlineStr">
        <is>
          <t>NONE</t>
        </is>
      </c>
      <c r="AC1890" s="187" t="n">
        <v>0</v>
      </c>
      <c r="AD1890" s="187" t="inlineStr"/>
    </row>
    <row r="1891">
      <c r="A1891" s="187" t="inlineStr">
        <is>
          <t>CENSYS_EXPOSED</t>
        </is>
      </c>
      <c r="B1891" s="187" t="inlineStr">
        <is>
          <t>15.161.80.239</t>
        </is>
      </c>
      <c r="C1891" s="187" t="inlineStr">
        <is>
          <t>Exposed RDP: 15.161.80.239 | Unknown | Location: Unknown</t>
        </is>
      </c>
      <c r="D1891" s="187" t="n">
        <v>6.5</v>
      </c>
      <c r="E1891" s="187" t="inlineStr">
        <is>
          <t>MEDIUM</t>
        </is>
      </c>
      <c r="F1891" s="187" t="n">
        <v>2</v>
      </c>
      <c r="G1891" s="187" t="n">
        <v>2</v>
      </c>
      <c r="H1891" s="187" t="inlineStr">
        <is>
          <t>MEDIUM</t>
        </is>
      </c>
      <c r="I1891" s="187" t="n">
        <v>10.5</v>
      </c>
      <c r="J1891" s="187" t="inlineStr">
        <is>
          <t>NO</t>
        </is>
      </c>
      <c r="K1891" s="187" t="inlineStr">
        <is>
          <t>https://leakix.net/host/15.161.80.239</t>
        </is>
      </c>
      <c r="L1891" s="187" t="inlineStr">
        <is>
          <t>2026-02-26 00:15</t>
        </is>
      </c>
      <c r="M1891" s="187" t="inlineStr">
        <is>
          <t>Restrict access</t>
        </is>
      </c>
      <c r="N1891" s="187" t="inlineStr">
        <is>
          <t>https://leakix.net/host/15.161.80.239</t>
        </is>
      </c>
      <c r="O1891" s="187" t="inlineStr">
        <is>
          <t>Restrict RDP access | Firewall rule | VPN required</t>
        </is>
      </c>
      <c r="P1891" s="187" t="inlineStr">
        <is>
          <t>Unknown</t>
        </is>
      </c>
      <c r="Q1891" s="187" t="inlineStr">
        <is>
          <t>P4</t>
        </is>
      </c>
      <c r="R1891" s="187" t="inlineStr">
        <is>
          <t>🔍 Investigate and apply appropriate controls</t>
        </is>
      </c>
      <c r="S1891" s="187" t="inlineStr">
        <is>
          <t>See LeakIX for exposed service details</t>
        </is>
      </c>
      <c r="T1891" s="187" t="n">
        <v>0</v>
      </c>
      <c r="U1891" s="187" t="n">
        <v>0</v>
      </c>
      <c r="V1891" s="187" t="inlineStr">
        <is>
          <t>T1021:Remote Services | T1133:External Remote Services</t>
        </is>
      </c>
      <c r="W1891" s="187" t="n">
        <v>1</v>
      </c>
      <c r="X1891" s="187" t="inlineStr">
        <is>
          <t>LOW (40%)</t>
        </is>
      </c>
      <c r="Y1891" s="187" t="inlineStr">
        <is>
          <t>NONE</t>
        </is>
      </c>
      <c r="Z1891" s="187" t="inlineStr">
        <is>
          <t>NONE</t>
        </is>
      </c>
      <c r="AA1891" s="187" t="inlineStr">
        <is>
          <t>NONE</t>
        </is>
      </c>
      <c r="AB1891" s="187" t="inlineStr">
        <is>
          <t>NONE</t>
        </is>
      </c>
      <c r="AC1891" s="187" t="n">
        <v>0</v>
      </c>
      <c r="AD1891" s="187" t="inlineStr"/>
    </row>
    <row r="1892">
      <c r="A1892" s="187" t="inlineStr">
        <is>
          <t>CENSYS_EXPOSED</t>
        </is>
      </c>
      <c r="B1892" s="187" t="inlineStr">
        <is>
          <t>80.211.198.26</t>
        </is>
      </c>
      <c r="C1892" s="187" t="inlineStr">
        <is>
          <t>Exposed RDP: 80.211.198.26 | Unknown | Location: Unknown</t>
        </is>
      </c>
      <c r="D1892" s="187" t="n">
        <v>6.5</v>
      </c>
      <c r="E1892" s="187" t="inlineStr">
        <is>
          <t>MEDIUM</t>
        </is>
      </c>
      <c r="F1892" s="187" t="n">
        <v>2</v>
      </c>
      <c r="G1892" s="187" t="n">
        <v>2</v>
      </c>
      <c r="H1892" s="187" t="inlineStr">
        <is>
          <t>MEDIUM</t>
        </is>
      </c>
      <c r="I1892" s="187" t="n">
        <v>10.5</v>
      </c>
      <c r="J1892" s="187" t="inlineStr">
        <is>
          <t>NO</t>
        </is>
      </c>
      <c r="K1892" s="187" t="inlineStr">
        <is>
          <t>https://leakix.net/host/80.211.198.26</t>
        </is>
      </c>
      <c r="L1892" s="187" t="inlineStr">
        <is>
          <t>2026-02-26 00:15</t>
        </is>
      </c>
      <c r="M1892" s="187" t="inlineStr">
        <is>
          <t>Restrict access</t>
        </is>
      </c>
      <c r="N1892" s="187" t="inlineStr">
        <is>
          <t>https://leakix.net/host/80.211.198.26</t>
        </is>
      </c>
      <c r="O1892" s="187" t="inlineStr">
        <is>
          <t>Restrict RDP access | Firewall rule | VPN required</t>
        </is>
      </c>
      <c r="P1892" s="187" t="inlineStr">
        <is>
          <t>Unknown</t>
        </is>
      </c>
      <c r="Q1892" s="187" t="inlineStr">
        <is>
          <t>P4</t>
        </is>
      </c>
      <c r="R1892" s="187" t="inlineStr">
        <is>
          <t>🔍 Investigate and apply appropriate controls</t>
        </is>
      </c>
      <c r="S1892" s="187" t="inlineStr">
        <is>
          <t>See LeakIX for exposed service details</t>
        </is>
      </c>
      <c r="T1892" s="187" t="n">
        <v>0</v>
      </c>
      <c r="U1892" s="187" t="n">
        <v>0</v>
      </c>
      <c r="V1892" s="187" t="inlineStr">
        <is>
          <t>T1021:Remote Services | T1133:External Remote Services</t>
        </is>
      </c>
      <c r="W1892" s="187" t="n">
        <v>1</v>
      </c>
      <c r="X1892" s="187" t="inlineStr">
        <is>
          <t>LOW (40%)</t>
        </is>
      </c>
      <c r="Y1892" s="187" t="inlineStr">
        <is>
          <t>NONE</t>
        </is>
      </c>
      <c r="Z1892" s="187" t="inlineStr">
        <is>
          <t>NONE</t>
        </is>
      </c>
      <c r="AA1892" s="187" t="inlineStr">
        <is>
          <t>NONE</t>
        </is>
      </c>
      <c r="AB1892" s="187" t="inlineStr">
        <is>
          <t>NONE</t>
        </is>
      </c>
      <c r="AC1892" s="187" t="n">
        <v>0</v>
      </c>
      <c r="AD1892" s="187" t="inlineStr"/>
    </row>
    <row r="1893">
      <c r="A1893" s="187" t="inlineStr">
        <is>
          <t>CENSYS_EXPOSED</t>
        </is>
      </c>
      <c r="B1893" s="187" t="inlineStr">
        <is>
          <t>161.97.173.159</t>
        </is>
      </c>
      <c r="C1893" s="187" t="inlineStr">
        <is>
          <t>Exposed RDP: 161.97.173.159 | Unknown | Location: Unknown</t>
        </is>
      </c>
      <c r="D1893" s="187" t="n">
        <v>6.5</v>
      </c>
      <c r="E1893" s="187" t="inlineStr">
        <is>
          <t>MEDIUM</t>
        </is>
      </c>
      <c r="F1893" s="187" t="n">
        <v>2</v>
      </c>
      <c r="G1893" s="187" t="n">
        <v>2</v>
      </c>
      <c r="H1893" s="187" t="inlineStr">
        <is>
          <t>MEDIUM</t>
        </is>
      </c>
      <c r="I1893" s="187" t="n">
        <v>10.5</v>
      </c>
      <c r="J1893" s="187" t="inlineStr">
        <is>
          <t>NO</t>
        </is>
      </c>
      <c r="K1893" s="187" t="inlineStr">
        <is>
          <t>https://leakix.net/host/161.97.173.159</t>
        </is>
      </c>
      <c r="L1893" s="187" t="inlineStr">
        <is>
          <t>2026-02-26 00:15</t>
        </is>
      </c>
      <c r="M1893" s="187" t="inlineStr">
        <is>
          <t>Restrict access</t>
        </is>
      </c>
      <c r="N1893" s="187" t="inlineStr">
        <is>
          <t>https://leakix.net/host/161.97.173.159</t>
        </is>
      </c>
      <c r="O1893" s="187" t="inlineStr">
        <is>
          <t>Restrict RDP access | Firewall rule | VPN required</t>
        </is>
      </c>
      <c r="P1893" s="187" t="inlineStr">
        <is>
          <t>Unknown</t>
        </is>
      </c>
      <c r="Q1893" s="187" t="inlineStr">
        <is>
          <t>P4</t>
        </is>
      </c>
      <c r="R1893" s="187" t="inlineStr">
        <is>
          <t>🔍 Investigate and apply appropriate controls</t>
        </is>
      </c>
      <c r="S1893" s="187" t="inlineStr">
        <is>
          <t>See LeakIX for exposed service details</t>
        </is>
      </c>
      <c r="T1893" s="187" t="n">
        <v>0</v>
      </c>
      <c r="U1893" s="187" t="n">
        <v>0</v>
      </c>
      <c r="V1893" s="187" t="inlineStr">
        <is>
          <t>T1021:Remote Services | T1133:External Remote Services</t>
        </is>
      </c>
      <c r="W1893" s="187" t="n">
        <v>1</v>
      </c>
      <c r="X1893" s="187" t="inlineStr">
        <is>
          <t>LOW (40%)</t>
        </is>
      </c>
      <c r="Y1893" s="187" t="inlineStr">
        <is>
          <t>NONE</t>
        </is>
      </c>
      <c r="Z1893" s="187" t="inlineStr">
        <is>
          <t>NONE</t>
        </is>
      </c>
      <c r="AA1893" s="187" t="inlineStr">
        <is>
          <t>NONE</t>
        </is>
      </c>
      <c r="AB1893" s="187" t="inlineStr">
        <is>
          <t>NONE</t>
        </is>
      </c>
      <c r="AC1893" s="187" t="n">
        <v>0</v>
      </c>
      <c r="AD1893" s="187" t="inlineStr"/>
    </row>
    <row r="1894">
      <c r="A1894" s="187" t="inlineStr">
        <is>
          <t>CENSYS_EXPOSED</t>
        </is>
      </c>
      <c r="B1894" s="187" t="inlineStr">
        <is>
          <t>163.245.209.65</t>
        </is>
      </c>
      <c r="C1894" s="187" t="inlineStr">
        <is>
          <t>Exposed RDP: 163.245.209.65 | Unknown | Location: Unknown</t>
        </is>
      </c>
      <c r="D1894" s="187" t="n">
        <v>6.5</v>
      </c>
      <c r="E1894" s="187" t="inlineStr">
        <is>
          <t>MEDIUM</t>
        </is>
      </c>
      <c r="F1894" s="187" t="n">
        <v>2</v>
      </c>
      <c r="G1894" s="187" t="n">
        <v>2</v>
      </c>
      <c r="H1894" s="187" t="inlineStr">
        <is>
          <t>MEDIUM</t>
        </is>
      </c>
      <c r="I1894" s="187" t="n">
        <v>10.5</v>
      </c>
      <c r="J1894" s="187" t="inlineStr">
        <is>
          <t>NO</t>
        </is>
      </c>
      <c r="K1894" s="187" t="inlineStr">
        <is>
          <t>https://leakix.net/host/163.245.209.65</t>
        </is>
      </c>
      <c r="L1894" s="187" t="inlineStr">
        <is>
          <t>2026-02-26 00:15</t>
        </is>
      </c>
      <c r="M1894" s="187" t="inlineStr">
        <is>
          <t>Restrict access</t>
        </is>
      </c>
      <c r="N1894" s="187" t="inlineStr">
        <is>
          <t>https://leakix.net/host/163.245.209.65</t>
        </is>
      </c>
      <c r="O1894" s="187" t="inlineStr">
        <is>
          <t>Restrict RDP access | Firewall rule | VPN required</t>
        </is>
      </c>
      <c r="P1894" s="187" t="inlineStr">
        <is>
          <t>Unknown</t>
        </is>
      </c>
      <c r="Q1894" s="187" t="inlineStr">
        <is>
          <t>P4</t>
        </is>
      </c>
      <c r="R1894" s="187" t="inlineStr">
        <is>
          <t>🔍 Investigate and apply appropriate controls</t>
        </is>
      </c>
      <c r="S1894" s="187" t="inlineStr">
        <is>
          <t>See LeakIX for exposed service details</t>
        </is>
      </c>
      <c r="T1894" s="187" t="n">
        <v>0</v>
      </c>
      <c r="U1894" s="187" t="n">
        <v>0</v>
      </c>
      <c r="V1894" s="187" t="inlineStr">
        <is>
          <t>T1021:Remote Services | T1133:External Remote Services</t>
        </is>
      </c>
      <c r="W1894" s="187" t="n">
        <v>1</v>
      </c>
      <c r="X1894" s="187" t="inlineStr">
        <is>
          <t>LOW (40%)</t>
        </is>
      </c>
      <c r="Y1894" s="187" t="inlineStr">
        <is>
          <t>NONE</t>
        </is>
      </c>
      <c r="Z1894" s="187" t="inlineStr">
        <is>
          <t>NONE</t>
        </is>
      </c>
      <c r="AA1894" s="187" t="inlineStr">
        <is>
          <t>NONE</t>
        </is>
      </c>
      <c r="AB1894" s="187" t="inlineStr">
        <is>
          <t>NONE</t>
        </is>
      </c>
      <c r="AC1894" s="187" t="n">
        <v>0</v>
      </c>
      <c r="AD1894" s="187" t="inlineStr"/>
    </row>
    <row r="1895">
      <c r="A1895" s="187" t="inlineStr">
        <is>
          <t>REDHAT_CVE</t>
        </is>
      </c>
      <c r="B1895" s="187" t="inlineStr">
        <is>
          <t>CVE-2026-3190</t>
        </is>
      </c>
      <c r="C1895" s="187" t="inlineStr">
        <is>
          <t>Red Hat Advisory: 2442572</t>
        </is>
      </c>
      <c r="D1895" s="187" t="n">
        <v>5</v>
      </c>
      <c r="E1895" s="187" t="inlineStr">
        <is>
          <t>MEDIUM</t>
        </is>
      </c>
      <c r="F1895" s="187" t="n">
        <v>2</v>
      </c>
      <c r="G1895" s="187" t="n">
        <v>2</v>
      </c>
      <c r="H1895" s="187" t="inlineStr">
        <is>
          <t>MEDIUM</t>
        </is>
      </c>
      <c r="I1895" s="187" t="n">
        <v>9</v>
      </c>
      <c r="J1895" s="187" t="inlineStr">
        <is>
          <t>NO</t>
        </is>
      </c>
      <c r="K1895" s="187" t="inlineStr">
        <is>
          <t>https://access.redhat.com/security/cve/CVE-2026-3190</t>
        </is>
      </c>
      <c r="L1895" s="187" t="inlineStr">
        <is>
          <t>2026-02-25T07:07:00Z</t>
        </is>
      </c>
      <c r="M1895" s="187" t="inlineStr">
        <is>
          <t>YES</t>
        </is>
      </c>
      <c r="N1895" s="187" t="inlineStr">
        <is>
          <t>https://access.redhat.com/security/cve/CVE-2026-3190</t>
        </is>
      </c>
      <c r="O1895" s="187" t="inlineStr">
        <is>
          <t>Apply Red Hat patches via yum/dnf update</t>
        </is>
      </c>
      <c r="P1895" s="187" t="inlineStr">
        <is>
          <t>See Red Hat advisory</t>
        </is>
      </c>
      <c r="Q1895" s="187" t="inlineStr">
        <is>
          <t>P4</t>
        </is>
      </c>
      <c r="R1895" s="187" t="inlineStr">
        <is>
          <t>📅 Schedule patch deployment within 30 days | 🔍 Monitor for exploitation attempts</t>
        </is>
      </c>
      <c r="S1895" s="187" t="inlineStr">
        <is>
          <t>CVE advisory - no IP context</t>
        </is>
      </c>
      <c r="T1895" s="187" t="n">
        <v>0</v>
      </c>
      <c r="U1895" s="187" t="n">
        <v>0</v>
      </c>
      <c r="V1895" s="187" t="inlineStr">
        <is>
          <t>T1068:Exploitation for Privilege Escalation</t>
        </is>
      </c>
      <c r="W1895" s="187" t="n">
        <v>1</v>
      </c>
      <c r="X1895" s="187" t="inlineStr">
        <is>
          <t>LOW (40%)</t>
        </is>
      </c>
      <c r="Y1895" s="187" t="inlineStr">
        <is>
          <t>CHECK_REDHAT</t>
        </is>
      </c>
      <c r="Z1895" s="187" t="inlineStr">
        <is>
          <t>YES</t>
        </is>
      </c>
      <c r="AA1895" s="187" t="inlineStr">
        <is>
          <t>https://access.redhat.com/security/cve/CVE-2026-3190</t>
        </is>
      </c>
      <c r="AB1895" s="187" t="inlineStr">
        <is>
          <t>NONE</t>
        </is>
      </c>
      <c r="AC1895" s="187" t="n">
        <v>0</v>
      </c>
      <c r="AD1895" s="187" t="inlineStr"/>
    </row>
    <row r="1896">
      <c r="A1896" s="187" t="inlineStr">
        <is>
          <t>REDHAT_CVE</t>
        </is>
      </c>
      <c r="B1896" s="187" t="inlineStr">
        <is>
          <t>CVE-2026-3184</t>
        </is>
      </c>
      <c r="C1896" s="187" t="inlineStr">
        <is>
          <t>Red Hat Advisory: 2442570</t>
        </is>
      </c>
      <c r="D1896" s="187" t="n">
        <v>5</v>
      </c>
      <c r="E1896" s="187" t="inlineStr">
        <is>
          <t>MEDIUM</t>
        </is>
      </c>
      <c r="F1896" s="187" t="n">
        <v>2</v>
      </c>
      <c r="G1896" s="187" t="n">
        <v>2</v>
      </c>
      <c r="H1896" s="187" t="inlineStr">
        <is>
          <t>MEDIUM</t>
        </is>
      </c>
      <c r="I1896" s="187" t="n">
        <v>9</v>
      </c>
      <c r="J1896" s="187" t="inlineStr">
        <is>
          <t>NO</t>
        </is>
      </c>
      <c r="K1896" s="187" t="inlineStr">
        <is>
          <t>https://access.redhat.com/security/cve/CVE-2026-3184</t>
        </is>
      </c>
      <c r="L1896" s="187" t="inlineStr">
        <is>
          <t>2026-02-25T04:04:00Z</t>
        </is>
      </c>
      <c r="M1896" s="187" t="inlineStr">
        <is>
          <t>YES</t>
        </is>
      </c>
      <c r="N1896" s="187" t="inlineStr">
        <is>
          <t>https://access.redhat.com/security/cve/CVE-2026-3184</t>
        </is>
      </c>
      <c r="O1896" s="187" t="inlineStr">
        <is>
          <t>Apply Red Hat patches via yum/dnf update</t>
        </is>
      </c>
      <c r="P1896" s="187" t="inlineStr">
        <is>
          <t>See Red Hat advisory</t>
        </is>
      </c>
      <c r="Q1896" s="187" t="inlineStr">
        <is>
          <t>P4</t>
        </is>
      </c>
      <c r="R1896" s="187" t="inlineStr">
        <is>
          <t>📅 Schedule patch deployment within 30 days | 🔍 Monitor for exploitation attempts</t>
        </is>
      </c>
      <c r="S1896" s="187" t="inlineStr">
        <is>
          <t>CVE advisory - no IP context</t>
        </is>
      </c>
      <c r="T1896" s="187" t="n">
        <v>0</v>
      </c>
      <c r="U1896" s="187" t="n">
        <v>0</v>
      </c>
      <c r="V1896" s="187" t="inlineStr">
        <is>
          <t>T1068:Exploitation for Privilege Escalation</t>
        </is>
      </c>
      <c r="W1896" s="187" t="n">
        <v>1</v>
      </c>
      <c r="X1896" s="187" t="inlineStr">
        <is>
          <t>LOW (40%)</t>
        </is>
      </c>
      <c r="Y1896" s="187" t="inlineStr">
        <is>
          <t>CHECK_REDHAT</t>
        </is>
      </c>
      <c r="Z1896" s="187" t="inlineStr">
        <is>
          <t>YES</t>
        </is>
      </c>
      <c r="AA1896" s="187" t="inlineStr">
        <is>
          <t>https://access.redhat.com/security/cve/CVE-2026-3184</t>
        </is>
      </c>
      <c r="AB1896" s="187" t="inlineStr">
        <is>
          <t>NONE</t>
        </is>
      </c>
      <c r="AC1896" s="187" t="n">
        <v>0</v>
      </c>
      <c r="AD1896" s="187" t="inlineStr"/>
    </row>
    <row r="1897">
      <c r="A1897" s="187" t="inlineStr">
        <is>
          <t>MSRC_UPDATE</t>
        </is>
      </c>
      <c r="B1897" s="187" t="inlineStr">
        <is>
          <t>CVE-2026-0948</t>
        </is>
      </c>
      <c r="C1897" s="187" t="inlineStr">
        <is>
          <t>Microsoft Update: Authentication Bypass Using an Alternate Path or Channel vulnerability in Drupal Microsoft Entra ID SSO Login allows Privilege Escalation.This issue affects Microsoft Entra ID SSO Login: from 0.0.0 be</t>
        </is>
      </c>
      <c r="D1897" s="187" t="n">
        <v>6.5</v>
      </c>
      <c r="E1897" s="187" t="inlineStr">
        <is>
          <t>MEDIUM</t>
        </is>
      </c>
      <c r="F1897" s="187" t="n">
        <v>2</v>
      </c>
      <c r="G1897" s="187" t="n">
        <v>2</v>
      </c>
      <c r="H1897" s="187" t="inlineStr">
        <is>
          <t>MEDIUM</t>
        </is>
      </c>
      <c r="I1897" s="187" t="n">
        <v>10.5</v>
      </c>
      <c r="J1897" s="187" t="inlineStr">
        <is>
          <t>NO</t>
        </is>
      </c>
      <c r="K1897" s="187" t="inlineStr">
        <is>
          <t>https://msrc.microsoft.com/update-guide/vulnerability/CVE-2026-0948</t>
        </is>
      </c>
      <c r="L1897" s="187" t="inlineStr">
        <is>
          <t>2026-02-04T21:15:59.143</t>
        </is>
      </c>
      <c r="M1897" s="187" t="inlineStr">
        <is>
          <t>YES</t>
        </is>
      </c>
      <c r="N1897" s="187" t="inlineStr">
        <is>
          <t>https://msrc.microsoft.com/update-guide/vulnerability/CVE-2026-0948</t>
        </is>
      </c>
      <c r="O1897" s="187" t="inlineStr">
        <is>
          <t>Apply via Windows Update | WSUS | SCCM</t>
        </is>
      </c>
      <c r="P1897" s="187" t="inlineStr">
        <is>
          <t>Microsoft Windows</t>
        </is>
      </c>
      <c r="Q1897" s="187" t="inlineStr">
        <is>
          <t>P4</t>
        </is>
      </c>
      <c r="R1897" s="187" t="inlineStr">
        <is>
          <t>📅 Schedule patch deployment within 30 days | 🔍 Monitor for exploitation attempts</t>
        </is>
      </c>
      <c r="S1897" s="187" t="inlineStr">
        <is>
          <t>Microsoft CVE - no IP context</t>
        </is>
      </c>
      <c r="T1897" s="187" t="n">
        <v>0</v>
      </c>
      <c r="U1897" s="187" t="n">
        <v>0</v>
      </c>
      <c r="V1897" s="187" t="inlineStr">
        <is>
          <t>T1203:Exploitation for Client Execution | T1068:Exploitation for Privilege Escalation</t>
        </is>
      </c>
      <c r="W1897" s="187" t="n">
        <v>1</v>
      </c>
      <c r="X1897" s="187" t="inlineStr">
        <is>
          <t>LOW (40%)</t>
        </is>
      </c>
      <c r="Y1897" s="187" t="inlineStr">
        <is>
          <t>CHECK_MSRC</t>
        </is>
      </c>
      <c r="Z1897" s="187" t="inlineStr">
        <is>
          <t>YES</t>
        </is>
      </c>
      <c r="AA1897" s="187" t="inlineStr">
        <is>
          <t>https://msrc.microsoft.com/update-guide/vulnerability/CVE-2026-0948</t>
        </is>
      </c>
      <c r="AB1897" s="187" t="inlineStr">
        <is>
          <t>NONE</t>
        </is>
      </c>
      <c r="AC1897" s="187" t="n">
        <v>0</v>
      </c>
      <c r="AD1897" s="187" t="inlineStr"/>
    </row>
    <row r="1898">
      <c r="A1898" s="187" t="inlineStr">
        <is>
          <t>MSRC_UPDATE</t>
        </is>
      </c>
      <c r="B1898" s="187" t="inlineStr">
        <is>
          <t>CVE-2026-0391</t>
        </is>
      </c>
      <c r="C1898" s="187" t="inlineStr">
        <is>
          <t>Microsoft Update: User interface (ui) misrepresentation of critical information in Microsoft Edge for Android allows an unauthorized attacker to perform spoofing over a network.</t>
        </is>
      </c>
      <c r="D1898" s="187" t="n">
        <v>6.5</v>
      </c>
      <c r="E1898" s="187" t="inlineStr">
        <is>
          <t>MEDIUM</t>
        </is>
      </c>
      <c r="F1898" s="187" t="n">
        <v>2</v>
      </c>
      <c r="G1898" s="187" t="n">
        <v>2</v>
      </c>
      <c r="H1898" s="187" t="inlineStr">
        <is>
          <t>MEDIUM</t>
        </is>
      </c>
      <c r="I1898" s="187" t="n">
        <v>10.5</v>
      </c>
      <c r="J1898" s="187" t="inlineStr">
        <is>
          <t>NO</t>
        </is>
      </c>
      <c r="K1898" s="187" t="inlineStr">
        <is>
          <t>https://msrc.microsoft.com/update-guide/vulnerability/CVE-2026-0391</t>
        </is>
      </c>
      <c r="L1898" s="187" t="inlineStr">
        <is>
          <t>2026-02-05T23:15:54.093</t>
        </is>
      </c>
      <c r="M1898" s="187" t="inlineStr">
        <is>
          <t>YES</t>
        </is>
      </c>
      <c r="N1898" s="187" t="inlineStr">
        <is>
          <t>https://msrc.microsoft.com/update-guide/vulnerability/CVE-2026-0391</t>
        </is>
      </c>
      <c r="O1898" s="187" t="inlineStr">
        <is>
          <t>Apply via Windows Update | WSUS | SCCM</t>
        </is>
      </c>
      <c r="P1898" s="187" t="inlineStr">
        <is>
          <t>Microsoft Windows</t>
        </is>
      </c>
      <c r="Q1898" s="187" t="inlineStr">
        <is>
          <t>P4</t>
        </is>
      </c>
      <c r="R1898" s="187" t="inlineStr">
        <is>
          <t>📅 Schedule patch deployment within 30 days | 🔍 Monitor for exploitation attempts</t>
        </is>
      </c>
      <c r="S1898" s="187" t="inlineStr">
        <is>
          <t>Microsoft CVE - no IP context</t>
        </is>
      </c>
      <c r="T1898" s="187" t="n">
        <v>0</v>
      </c>
      <c r="U1898" s="187" t="n">
        <v>0</v>
      </c>
      <c r="V1898" s="187" t="inlineStr">
        <is>
          <t>T1203:Exploitation for Client Execution | T1068:Exploitation for Privilege Escalation</t>
        </is>
      </c>
      <c r="W1898" s="187" t="n">
        <v>1</v>
      </c>
      <c r="X1898" s="187" t="inlineStr">
        <is>
          <t>LOW (40%)</t>
        </is>
      </c>
      <c r="Y1898" s="187" t="inlineStr">
        <is>
          <t>CHECK_MSRC</t>
        </is>
      </c>
      <c r="Z1898" s="187" t="inlineStr">
        <is>
          <t>YES</t>
        </is>
      </c>
      <c r="AA1898" s="187" t="inlineStr">
        <is>
          <t>https://msrc.microsoft.com/update-guide/vulnerability/CVE-2026-0391</t>
        </is>
      </c>
      <c r="AB1898" s="187" t="inlineStr">
        <is>
          <t>NONE</t>
        </is>
      </c>
      <c r="AC1898" s="187" t="n">
        <v>0</v>
      </c>
      <c r="AD1898" s="187" t="inlineStr"/>
    </row>
    <row r="1899">
      <c r="A1899" s="189" t="inlineStr">
        <is>
          <t>MSRC_UPDATE</t>
        </is>
      </c>
      <c r="B1899" s="189" t="inlineStr">
        <is>
          <t>CVE-2026-25592</t>
        </is>
      </c>
      <c r="C1899" s="189" t="inlineStr">
        <is>
          <t>Microsoft Update: Semantic Kernel is an SDK used to build, orchestrate, and deploy AI agents and multi-agent systems. Prior to 1.71.0, an Arbitrary File Write vulnerability has been identified in Microsoft's Semantic K</t>
        </is>
      </c>
      <c r="D1899" s="189" t="n">
        <v>9.9</v>
      </c>
      <c r="E1899" s="189" t="inlineStr">
        <is>
          <t>CRITICAL</t>
        </is>
      </c>
      <c r="F1899" s="189" t="n">
        <v>2</v>
      </c>
      <c r="G1899" s="189" t="n">
        <v>2</v>
      </c>
      <c r="H1899" s="189" t="inlineStr">
        <is>
          <t>MEDIUM</t>
        </is>
      </c>
      <c r="I1899" s="189" t="n">
        <v>13.9</v>
      </c>
      <c r="J1899" s="189" t="inlineStr">
        <is>
          <t>NO</t>
        </is>
      </c>
      <c r="K1899" s="189" t="inlineStr">
        <is>
          <t>https://msrc.microsoft.com/update-guide/vulnerability/CVE-2026-25592</t>
        </is>
      </c>
      <c r="L1899" s="189" t="inlineStr">
        <is>
          <t>2026-02-06T21:16:17.647</t>
        </is>
      </c>
      <c r="M1899" s="189" t="inlineStr">
        <is>
          <t>YES</t>
        </is>
      </c>
      <c r="N1899" s="189" t="inlineStr">
        <is>
          <t>https://msrc.microsoft.com/update-guide/vulnerability/CVE-2026-25592</t>
        </is>
      </c>
      <c r="O1899" s="189" t="inlineStr">
        <is>
          <t>Apply via Windows Update | WSUS | SCCM</t>
        </is>
      </c>
      <c r="P1899" s="189" t="inlineStr">
        <is>
          <t>Microsoft Windows</t>
        </is>
      </c>
      <c r="Q1899" s="189" t="inlineStr">
        <is>
          <t>P4</t>
        </is>
      </c>
      <c r="R1899" s="189" t="inlineStr">
        <is>
          <t>📅 Schedule patch deployment within 30 days | 🔍 Monitor for exploitation attempts</t>
        </is>
      </c>
      <c r="S1899" s="189" t="inlineStr">
        <is>
          <t>Microsoft CVE - no IP context</t>
        </is>
      </c>
      <c r="T1899" s="189" t="n">
        <v>0</v>
      </c>
      <c r="U1899" s="189" t="n">
        <v>0</v>
      </c>
      <c r="V1899" s="189" t="inlineStr">
        <is>
          <t>T1203:Exploitation for Client Execution | T1068:Exploitation for Privilege Escalation</t>
        </is>
      </c>
      <c r="W1899" s="189" t="n">
        <v>1</v>
      </c>
      <c r="X1899" s="189" t="inlineStr">
        <is>
          <t>LOW (40%)</t>
        </is>
      </c>
      <c r="Y1899" s="189" t="inlineStr">
        <is>
          <t>CHECK_MSRC</t>
        </is>
      </c>
      <c r="Z1899" s="189" t="inlineStr">
        <is>
          <t>YES</t>
        </is>
      </c>
      <c r="AA1899" s="189" t="inlineStr">
        <is>
          <t>https://msrc.microsoft.com/update-guide/vulnerability/CVE-2026-25592</t>
        </is>
      </c>
      <c r="AB1899" s="189" t="inlineStr">
        <is>
          <t>NONE</t>
        </is>
      </c>
      <c r="AC1899" s="189" t="n">
        <v>0</v>
      </c>
      <c r="AD1899" s="189" t="inlineStr"/>
    </row>
    <row r="1900">
      <c r="A1900" s="188" t="inlineStr">
        <is>
          <t>MSRC_UPDATE</t>
        </is>
      </c>
      <c r="B1900" s="188" t="inlineStr">
        <is>
          <t>CVE-2026-21235</t>
        </is>
      </c>
      <c r="C1900" s="188" t="inlineStr">
        <is>
          <t>Microsoft Update: Use after free in Microsoft Graphics Component allows an authorized attacker to elevate privileges locally.</t>
        </is>
      </c>
      <c r="D1900" s="188" t="n">
        <v>7.3</v>
      </c>
      <c r="E1900" s="188" t="inlineStr">
        <is>
          <t>HIGH</t>
        </is>
      </c>
      <c r="F1900" s="188" t="n">
        <v>2</v>
      </c>
      <c r="G1900" s="188" t="n">
        <v>2</v>
      </c>
      <c r="H1900" s="188" t="inlineStr">
        <is>
          <t>MEDIUM</t>
        </is>
      </c>
      <c r="I1900" s="188" t="n">
        <v>11.3</v>
      </c>
      <c r="J1900" s="188" t="inlineStr">
        <is>
          <t>NO</t>
        </is>
      </c>
      <c r="K1900" s="188" t="inlineStr">
        <is>
          <t>https://msrc.microsoft.com/update-guide/vulnerability/CVE-2026-21235</t>
        </is>
      </c>
      <c r="L1900" s="188" t="inlineStr">
        <is>
          <t>2026-02-10T18:16:24.090</t>
        </is>
      </c>
      <c r="M1900" s="188" t="inlineStr">
        <is>
          <t>YES</t>
        </is>
      </c>
      <c r="N1900" s="188" t="inlineStr">
        <is>
          <t>https://msrc.microsoft.com/update-guide/vulnerability/CVE-2026-21235</t>
        </is>
      </c>
      <c r="O1900" s="188" t="inlineStr">
        <is>
          <t>Apply via Windows Update | WSUS | SCCM</t>
        </is>
      </c>
      <c r="P1900" s="188" t="inlineStr">
        <is>
          <t>Microsoft Windows</t>
        </is>
      </c>
      <c r="Q1900" s="188" t="inlineStr">
        <is>
          <t>P4</t>
        </is>
      </c>
      <c r="R1900" s="188" t="inlineStr">
        <is>
          <t>📅 Schedule patch deployment within 30 days | 🔍 Monitor for exploitation attempts</t>
        </is>
      </c>
      <c r="S1900" s="188" t="inlineStr">
        <is>
          <t>Microsoft CVE - no IP context</t>
        </is>
      </c>
      <c r="T1900" s="188" t="n">
        <v>0</v>
      </c>
      <c r="U1900" s="188" t="n">
        <v>0</v>
      </c>
      <c r="V1900" s="188" t="inlineStr">
        <is>
          <t>T1203:Exploitation for Client Execution | T1068:Exploitation for Privilege Escalation</t>
        </is>
      </c>
      <c r="W1900" s="188" t="n">
        <v>1</v>
      </c>
      <c r="X1900" s="188" t="inlineStr">
        <is>
          <t>LOW (40%)</t>
        </is>
      </c>
      <c r="Y1900" s="188" t="inlineStr">
        <is>
          <t>CHECK_MSRC</t>
        </is>
      </c>
      <c r="Z1900" s="188" t="inlineStr">
        <is>
          <t>YES</t>
        </is>
      </c>
      <c r="AA1900" s="188" t="inlineStr">
        <is>
          <t>https://msrc.microsoft.com/update-guide/vulnerability/CVE-2026-21235</t>
        </is>
      </c>
      <c r="AB1900" s="188" t="inlineStr">
        <is>
          <t>NONE</t>
        </is>
      </c>
      <c r="AC1900" s="188" t="n">
        <v>0</v>
      </c>
      <c r="AD1900" s="188" t="inlineStr"/>
    </row>
    <row r="1901">
      <c r="A1901" s="188" t="inlineStr">
        <is>
          <t>MSRC_UPDATE</t>
        </is>
      </c>
      <c r="B1901" s="188" t="inlineStr">
        <is>
          <t>CVE-2026-21246</t>
        </is>
      </c>
      <c r="C1901" s="188" t="inlineStr">
        <is>
          <t>Microsoft Update: Heap-based buffer overflow in Microsoft Graphics Component allows an authorized attacker to elevate privileges locally.</t>
        </is>
      </c>
      <c r="D1901" s="188" t="n">
        <v>7.8</v>
      </c>
      <c r="E1901" s="188" t="inlineStr">
        <is>
          <t>HIGH</t>
        </is>
      </c>
      <c r="F1901" s="188" t="n">
        <v>2</v>
      </c>
      <c r="G1901" s="188" t="n">
        <v>2</v>
      </c>
      <c r="H1901" s="188" t="inlineStr">
        <is>
          <t>MEDIUM</t>
        </is>
      </c>
      <c r="I1901" s="188" t="n">
        <v>11.8</v>
      </c>
      <c r="J1901" s="188" t="inlineStr">
        <is>
          <t>NO</t>
        </is>
      </c>
      <c r="K1901" s="188" t="inlineStr">
        <is>
          <t>https://msrc.microsoft.com/update-guide/vulnerability/CVE-2026-21246</t>
        </is>
      </c>
      <c r="L1901" s="188" t="inlineStr">
        <is>
          <t>2026-02-10T18:16:26.010</t>
        </is>
      </c>
      <c r="M1901" s="188" t="inlineStr">
        <is>
          <t>YES</t>
        </is>
      </c>
      <c r="N1901" s="188" t="inlineStr">
        <is>
          <t>https://msrc.microsoft.com/update-guide/vulnerability/CVE-2026-21246</t>
        </is>
      </c>
      <c r="O1901" s="188" t="inlineStr">
        <is>
          <t>Apply via Windows Update | WSUS | SCCM</t>
        </is>
      </c>
      <c r="P1901" s="188" t="inlineStr">
        <is>
          <t>Microsoft Windows</t>
        </is>
      </c>
      <c r="Q1901" s="188" t="inlineStr">
        <is>
          <t>P4</t>
        </is>
      </c>
      <c r="R1901" s="188" t="inlineStr">
        <is>
          <t>📅 Schedule patch deployment within 30 days | 🔍 Monitor for exploitation attempts</t>
        </is>
      </c>
      <c r="S1901" s="188" t="inlineStr">
        <is>
          <t>Microsoft CVE - no IP context</t>
        </is>
      </c>
      <c r="T1901" s="188" t="n">
        <v>0</v>
      </c>
      <c r="U1901" s="188" t="n">
        <v>0</v>
      </c>
      <c r="V1901" s="188" t="inlineStr">
        <is>
          <t>T1203:Exploitation for Client Execution | T1068:Exploitation for Privilege Escalation</t>
        </is>
      </c>
      <c r="W1901" s="188" t="n">
        <v>1</v>
      </c>
      <c r="X1901" s="188" t="inlineStr">
        <is>
          <t>LOW (40%)</t>
        </is>
      </c>
      <c r="Y1901" s="188" t="inlineStr">
        <is>
          <t>CHECK_MSRC</t>
        </is>
      </c>
      <c r="Z1901" s="188" t="inlineStr">
        <is>
          <t>YES</t>
        </is>
      </c>
      <c r="AA1901" s="188" t="inlineStr">
        <is>
          <t>https://msrc.microsoft.com/update-guide/vulnerability/CVE-2026-21246</t>
        </is>
      </c>
      <c r="AB1901" s="188" t="inlineStr">
        <is>
          <t>NONE</t>
        </is>
      </c>
      <c r="AC1901" s="188" t="n">
        <v>0</v>
      </c>
      <c r="AD1901" s="188" t="inlineStr"/>
    </row>
    <row r="1902">
      <c r="A1902" s="187" t="inlineStr">
        <is>
          <t>MSRC_UPDATE</t>
        </is>
      </c>
      <c r="B1902" s="187" t="inlineStr">
        <is>
          <t>CVE-2026-21258</t>
        </is>
      </c>
      <c r="C1902" s="187" t="inlineStr">
        <is>
          <t>Microsoft Update: Improper input validation in Microsoft Office Excel allows an unauthorized attacker to disclose information locally.</t>
        </is>
      </c>
      <c r="D1902" s="187" t="n">
        <v>5.5</v>
      </c>
      <c r="E1902" s="187" t="inlineStr">
        <is>
          <t>MEDIUM</t>
        </is>
      </c>
      <c r="F1902" s="187" t="n">
        <v>2</v>
      </c>
      <c r="G1902" s="187" t="n">
        <v>2</v>
      </c>
      <c r="H1902" s="187" t="inlineStr">
        <is>
          <t>MEDIUM</t>
        </is>
      </c>
      <c r="I1902" s="187" t="n">
        <v>9.5</v>
      </c>
      <c r="J1902" s="187" t="inlineStr">
        <is>
          <t>NO</t>
        </is>
      </c>
      <c r="K1902" s="187" t="inlineStr">
        <is>
          <t>https://msrc.microsoft.com/update-guide/vulnerability/CVE-2026-21258</t>
        </is>
      </c>
      <c r="L1902" s="187" t="inlineStr">
        <is>
          <t>2026-02-10T18:16:27.637</t>
        </is>
      </c>
      <c r="M1902" s="187" t="inlineStr">
        <is>
          <t>YES</t>
        </is>
      </c>
      <c r="N1902" s="187" t="inlineStr">
        <is>
          <t>https://msrc.microsoft.com/update-guide/vulnerability/CVE-2026-21258</t>
        </is>
      </c>
      <c r="O1902" s="187" t="inlineStr">
        <is>
          <t>Apply via Windows Update | WSUS | SCCM</t>
        </is>
      </c>
      <c r="P1902" s="187" t="inlineStr">
        <is>
          <t>Microsoft Windows</t>
        </is>
      </c>
      <c r="Q1902" s="187" t="inlineStr">
        <is>
          <t>P4</t>
        </is>
      </c>
      <c r="R1902" s="187" t="inlineStr">
        <is>
          <t>📅 Schedule patch deployment within 30 days | 🔍 Monitor for exploitation attempts</t>
        </is>
      </c>
      <c r="S1902" s="187" t="inlineStr">
        <is>
          <t>Microsoft CVE - no IP context</t>
        </is>
      </c>
      <c r="T1902" s="187" t="n">
        <v>0</v>
      </c>
      <c r="U1902" s="187" t="n">
        <v>0</v>
      </c>
      <c r="V1902" s="187" t="inlineStr">
        <is>
          <t>T1203:Exploitation for Client Execution | T1068:Exploitation for Privilege Escalation</t>
        </is>
      </c>
      <c r="W1902" s="187" t="n">
        <v>1</v>
      </c>
      <c r="X1902" s="187" t="inlineStr">
        <is>
          <t>LOW (40%)</t>
        </is>
      </c>
      <c r="Y1902" s="187" t="inlineStr">
        <is>
          <t>CHECK_MSRC</t>
        </is>
      </c>
      <c r="Z1902" s="187" t="inlineStr">
        <is>
          <t>YES</t>
        </is>
      </c>
      <c r="AA1902" s="187" t="inlineStr">
        <is>
          <t>https://msrc.microsoft.com/update-guide/vulnerability/CVE-2026-21258</t>
        </is>
      </c>
      <c r="AB1902" s="187" t="inlineStr">
        <is>
          <t>NONE</t>
        </is>
      </c>
      <c r="AC1902" s="187" t="n">
        <v>0</v>
      </c>
      <c r="AD1902" s="187" t="inlineStr"/>
    </row>
    <row r="1903">
      <c r="A1903" s="188" t="inlineStr">
        <is>
          <t>MSRC_UPDATE</t>
        </is>
      </c>
      <c r="B1903" s="188" t="inlineStr">
        <is>
          <t>CVE-2026-21259</t>
        </is>
      </c>
      <c r="C1903" s="188" t="inlineStr">
        <is>
          <t>Microsoft Update: Heap-based buffer overflow in Microsoft Office Excel allows an unauthorized attacker to elevate privileges locally.</t>
        </is>
      </c>
      <c r="D1903" s="188" t="n">
        <v>7.8</v>
      </c>
      <c r="E1903" s="188" t="inlineStr">
        <is>
          <t>HIGH</t>
        </is>
      </c>
      <c r="F1903" s="188" t="n">
        <v>2</v>
      </c>
      <c r="G1903" s="188" t="n">
        <v>2</v>
      </c>
      <c r="H1903" s="188" t="inlineStr">
        <is>
          <t>MEDIUM</t>
        </is>
      </c>
      <c r="I1903" s="188" t="n">
        <v>11.8</v>
      </c>
      <c r="J1903" s="188" t="inlineStr">
        <is>
          <t>NO</t>
        </is>
      </c>
      <c r="K1903" s="188" t="inlineStr">
        <is>
          <t>https://msrc.microsoft.com/update-guide/vulnerability/CVE-2026-21259</t>
        </is>
      </c>
      <c r="L1903" s="188" t="inlineStr">
        <is>
          <t>2026-02-10T18:16:27.790</t>
        </is>
      </c>
      <c r="M1903" s="188" t="inlineStr">
        <is>
          <t>YES</t>
        </is>
      </c>
      <c r="N1903" s="188" t="inlineStr">
        <is>
          <t>https://msrc.microsoft.com/update-guide/vulnerability/CVE-2026-21259</t>
        </is>
      </c>
      <c r="O1903" s="188" t="inlineStr">
        <is>
          <t>Apply via Windows Update | WSUS | SCCM</t>
        </is>
      </c>
      <c r="P1903" s="188" t="inlineStr">
        <is>
          <t>Microsoft Windows</t>
        </is>
      </c>
      <c r="Q1903" s="188" t="inlineStr">
        <is>
          <t>P4</t>
        </is>
      </c>
      <c r="R1903" s="188" t="inlineStr">
        <is>
          <t>📅 Schedule patch deployment within 30 days | 🔍 Monitor for exploitation attempts</t>
        </is>
      </c>
      <c r="S1903" s="188" t="inlineStr">
        <is>
          <t>Microsoft CVE - no IP context</t>
        </is>
      </c>
      <c r="T1903" s="188" t="n">
        <v>0</v>
      </c>
      <c r="U1903" s="188" t="n">
        <v>0</v>
      </c>
      <c r="V1903" s="188" t="inlineStr">
        <is>
          <t>T1203:Exploitation for Client Execution | T1068:Exploitation for Privilege Escalation</t>
        </is>
      </c>
      <c r="W1903" s="188" t="n">
        <v>1</v>
      </c>
      <c r="X1903" s="188" t="inlineStr">
        <is>
          <t>LOW (40%)</t>
        </is>
      </c>
      <c r="Y1903" s="188" t="inlineStr">
        <is>
          <t>CHECK_MSRC</t>
        </is>
      </c>
      <c r="Z1903" s="188" t="inlineStr">
        <is>
          <t>YES</t>
        </is>
      </c>
      <c r="AA1903" s="188" t="inlineStr">
        <is>
          <t>https://msrc.microsoft.com/update-guide/vulnerability/CVE-2026-21259</t>
        </is>
      </c>
      <c r="AB1903" s="188" t="inlineStr">
        <is>
          <t>NONE</t>
        </is>
      </c>
      <c r="AC1903" s="188" t="n">
        <v>0</v>
      </c>
      <c r="AD1903" s="188" t="inlineStr"/>
    </row>
    <row r="1904">
      <c r="A1904" s="188" t="inlineStr">
        <is>
          <t>MSRC_UPDATE</t>
        </is>
      </c>
      <c r="B1904" s="188" t="inlineStr">
        <is>
          <t>CVE-2026-21260</t>
        </is>
      </c>
      <c r="C1904" s="188" t="inlineStr">
        <is>
          <t>Microsoft Update: Exposure of sensitive information to an unauthorized actor in Microsoft Office Outlook allows an unauthorized attacker to perform spoofing over a network.</t>
        </is>
      </c>
      <c r="D1904" s="188" t="n">
        <v>7.5</v>
      </c>
      <c r="E1904" s="188" t="inlineStr">
        <is>
          <t>HIGH</t>
        </is>
      </c>
      <c r="F1904" s="188" t="n">
        <v>2</v>
      </c>
      <c r="G1904" s="188" t="n">
        <v>2</v>
      </c>
      <c r="H1904" s="188" t="inlineStr">
        <is>
          <t>MEDIUM</t>
        </is>
      </c>
      <c r="I1904" s="188" t="n">
        <v>11.5</v>
      </c>
      <c r="J1904" s="188" t="inlineStr">
        <is>
          <t>NO</t>
        </is>
      </c>
      <c r="K1904" s="188" t="inlineStr">
        <is>
          <t>https://msrc.microsoft.com/update-guide/vulnerability/CVE-2026-21260</t>
        </is>
      </c>
      <c r="L1904" s="188" t="inlineStr">
        <is>
          <t>2026-02-10T18:16:27.947</t>
        </is>
      </c>
      <c r="M1904" s="188" t="inlineStr">
        <is>
          <t>YES</t>
        </is>
      </c>
      <c r="N1904" s="188" t="inlineStr">
        <is>
          <t>https://msrc.microsoft.com/update-guide/vulnerability/CVE-2026-21260</t>
        </is>
      </c>
      <c r="O1904" s="188" t="inlineStr">
        <is>
          <t>Apply via Windows Update | WSUS | SCCM</t>
        </is>
      </c>
      <c r="P1904" s="188" t="inlineStr">
        <is>
          <t>Microsoft Windows</t>
        </is>
      </c>
      <c r="Q1904" s="188" t="inlineStr">
        <is>
          <t>P4</t>
        </is>
      </c>
      <c r="R1904" s="188" t="inlineStr">
        <is>
          <t>📅 Schedule patch deployment within 30 days | 🔍 Monitor for exploitation attempts</t>
        </is>
      </c>
      <c r="S1904" s="188" t="inlineStr">
        <is>
          <t>Microsoft CVE - no IP context</t>
        </is>
      </c>
      <c r="T1904" s="188" t="n">
        <v>0</v>
      </c>
      <c r="U1904" s="188" t="n">
        <v>0</v>
      </c>
      <c r="V1904" s="188" t="inlineStr">
        <is>
          <t>T1203:Exploitation for Client Execution | T1068:Exploitation for Privilege Escalation</t>
        </is>
      </c>
      <c r="W1904" s="188" t="n">
        <v>1</v>
      </c>
      <c r="X1904" s="188" t="inlineStr">
        <is>
          <t>LOW (40%)</t>
        </is>
      </c>
      <c r="Y1904" s="188" t="inlineStr">
        <is>
          <t>CHECK_MSRC</t>
        </is>
      </c>
      <c r="Z1904" s="188" t="inlineStr">
        <is>
          <t>YES</t>
        </is>
      </c>
      <c r="AA1904" s="188" t="inlineStr">
        <is>
          <t>https://msrc.microsoft.com/update-guide/vulnerability/CVE-2026-21260</t>
        </is>
      </c>
      <c r="AB1904" s="188" t="inlineStr">
        <is>
          <t>NONE</t>
        </is>
      </c>
      <c r="AC1904" s="188" t="n">
        <v>0</v>
      </c>
      <c r="AD1904" s="188" t="inlineStr"/>
    </row>
    <row r="1905">
      <c r="A1905" s="187" t="inlineStr">
        <is>
          <t>MSRC_UPDATE</t>
        </is>
      </c>
      <c r="B1905" s="187" t="inlineStr">
        <is>
          <t>CVE-2026-21261</t>
        </is>
      </c>
      <c r="C1905" s="187" t="inlineStr">
        <is>
          <t>Microsoft Update: Out-of-bounds read in Microsoft Office Excel allows an unauthorized attacker to disclose information locally.</t>
        </is>
      </c>
      <c r="D1905" s="187" t="n">
        <v>5.5</v>
      </c>
      <c r="E1905" s="187" t="inlineStr">
        <is>
          <t>MEDIUM</t>
        </is>
      </c>
      <c r="F1905" s="187" t="n">
        <v>2</v>
      </c>
      <c r="G1905" s="187" t="n">
        <v>2</v>
      </c>
      <c r="H1905" s="187" t="inlineStr">
        <is>
          <t>MEDIUM</t>
        </is>
      </c>
      <c r="I1905" s="187" t="n">
        <v>9.5</v>
      </c>
      <c r="J1905" s="187" t="inlineStr">
        <is>
          <t>NO</t>
        </is>
      </c>
      <c r="K1905" s="187" t="inlineStr">
        <is>
          <t>https://msrc.microsoft.com/update-guide/vulnerability/CVE-2026-21261</t>
        </is>
      </c>
      <c r="L1905" s="187" t="inlineStr">
        <is>
          <t>2026-02-10T18:16:28.107</t>
        </is>
      </c>
      <c r="M1905" s="187" t="inlineStr">
        <is>
          <t>YES</t>
        </is>
      </c>
      <c r="N1905" s="187" t="inlineStr">
        <is>
          <t>https://msrc.microsoft.com/update-guide/vulnerability/CVE-2026-21261</t>
        </is>
      </c>
      <c r="O1905" s="187" t="inlineStr">
        <is>
          <t>Apply via Windows Update | WSUS | SCCM</t>
        </is>
      </c>
      <c r="P1905" s="187" t="inlineStr">
        <is>
          <t>Microsoft Windows</t>
        </is>
      </c>
      <c r="Q1905" s="187" t="inlineStr">
        <is>
          <t>P4</t>
        </is>
      </c>
      <c r="R1905" s="187" t="inlineStr">
        <is>
          <t>📅 Schedule patch deployment within 30 days | 🔍 Monitor for exploitation attempts</t>
        </is>
      </c>
      <c r="S1905" s="187" t="inlineStr">
        <is>
          <t>Microsoft CVE - no IP context</t>
        </is>
      </c>
      <c r="T1905" s="187" t="n">
        <v>0</v>
      </c>
      <c r="U1905" s="187" t="n">
        <v>0</v>
      </c>
      <c r="V1905" s="187" t="inlineStr">
        <is>
          <t>T1203:Exploitation for Client Execution | T1068:Exploitation for Privilege Escalation</t>
        </is>
      </c>
      <c r="W1905" s="187" t="n">
        <v>1</v>
      </c>
      <c r="X1905" s="187" t="inlineStr">
        <is>
          <t>LOW (40%)</t>
        </is>
      </c>
      <c r="Y1905" s="187" t="inlineStr">
        <is>
          <t>CHECK_MSRC</t>
        </is>
      </c>
      <c r="Z1905" s="187" t="inlineStr">
        <is>
          <t>YES</t>
        </is>
      </c>
      <c r="AA1905" s="187" t="inlineStr">
        <is>
          <t>https://msrc.microsoft.com/update-guide/vulnerability/CVE-2026-21261</t>
        </is>
      </c>
      <c r="AB1905" s="187" t="inlineStr">
        <is>
          <t>NONE</t>
        </is>
      </c>
      <c r="AC1905" s="187" t="n">
        <v>0</v>
      </c>
      <c r="AD1905" s="187" t="inlineStr"/>
    </row>
    <row r="1906">
      <c r="A1906" s="188" t="inlineStr">
        <is>
          <t>MSRC_UPDATE</t>
        </is>
      </c>
      <c r="B1906" s="188" t="inlineStr">
        <is>
          <t>CVE-2026-21511</t>
        </is>
      </c>
      <c r="C1906" s="188" t="inlineStr">
        <is>
          <t>Microsoft Update: Deserialization of untrusted data in Microsoft Office Outlook allows an unauthorized attacker to perform spoofing over a network.</t>
        </is>
      </c>
      <c r="D1906" s="188" t="n">
        <v>7.5</v>
      </c>
      <c r="E1906" s="188" t="inlineStr">
        <is>
          <t>HIGH</t>
        </is>
      </c>
      <c r="F1906" s="188" t="n">
        <v>2</v>
      </c>
      <c r="G1906" s="188" t="n">
        <v>2</v>
      </c>
      <c r="H1906" s="188" t="inlineStr">
        <is>
          <t>MEDIUM</t>
        </is>
      </c>
      <c r="I1906" s="188" t="n">
        <v>11.5</v>
      </c>
      <c r="J1906" s="188" t="inlineStr">
        <is>
          <t>NO</t>
        </is>
      </c>
      <c r="K1906" s="188" t="inlineStr">
        <is>
          <t>https://msrc.microsoft.com/update-guide/vulnerability/CVE-2026-21511</t>
        </is>
      </c>
      <c r="L1906" s="188" t="inlineStr">
        <is>
          <t>2026-02-10T18:16:33.337</t>
        </is>
      </c>
      <c r="M1906" s="188" t="inlineStr">
        <is>
          <t>YES</t>
        </is>
      </c>
      <c r="N1906" s="188" t="inlineStr">
        <is>
          <t>https://msrc.microsoft.com/update-guide/vulnerability/CVE-2026-21511</t>
        </is>
      </c>
      <c r="O1906" s="188" t="inlineStr">
        <is>
          <t>Apply via Windows Update | WSUS | SCCM</t>
        </is>
      </c>
      <c r="P1906" s="188" t="inlineStr">
        <is>
          <t>Microsoft Windows</t>
        </is>
      </c>
      <c r="Q1906" s="188" t="inlineStr">
        <is>
          <t>P4</t>
        </is>
      </c>
      <c r="R1906" s="188" t="inlineStr">
        <is>
          <t>📅 Schedule patch deployment within 30 days | 🔍 Monitor for exploitation attempts</t>
        </is>
      </c>
      <c r="S1906" s="188" t="inlineStr">
        <is>
          <t>Microsoft CVE - no IP context</t>
        </is>
      </c>
      <c r="T1906" s="188" t="n">
        <v>0</v>
      </c>
      <c r="U1906" s="188" t="n">
        <v>0</v>
      </c>
      <c r="V1906" s="188" t="inlineStr">
        <is>
          <t>T1203:Exploitation for Client Execution | T1068:Exploitation for Privilege Escalation</t>
        </is>
      </c>
      <c r="W1906" s="188" t="n">
        <v>1</v>
      </c>
      <c r="X1906" s="188" t="inlineStr">
        <is>
          <t>LOW (40%)</t>
        </is>
      </c>
      <c r="Y1906" s="188" t="inlineStr">
        <is>
          <t>CHECK_MSRC</t>
        </is>
      </c>
      <c r="Z1906" s="188" t="inlineStr">
        <is>
          <t>YES</t>
        </is>
      </c>
      <c r="AA1906" s="188" t="inlineStr">
        <is>
          <t>https://msrc.microsoft.com/update-guide/vulnerability/CVE-2026-21511</t>
        </is>
      </c>
      <c r="AB1906" s="188" t="inlineStr">
        <is>
          <t>NONE</t>
        </is>
      </c>
      <c r="AC1906" s="188" t="n">
        <v>0</v>
      </c>
      <c r="AD1906" s="188" t="inlineStr"/>
    </row>
    <row r="1907">
      <c r="A1907" s="188" t="inlineStr">
        <is>
          <t>MSRC_UPDATE</t>
        </is>
      </c>
      <c r="B1907" s="188" t="inlineStr">
        <is>
          <t>CVE-2026-21514</t>
        </is>
      </c>
      <c r="C1907" s="188" t="inlineStr">
        <is>
          <t>Microsoft Update: Reliance on untrusted inputs in a security decision in Microsoft Office Word allows an unauthorized attacker to bypass a security feature locally.</t>
        </is>
      </c>
      <c r="D1907" s="188" t="n">
        <v>7.8</v>
      </c>
      <c r="E1907" s="188" t="inlineStr">
        <is>
          <t>HIGH</t>
        </is>
      </c>
      <c r="F1907" s="188" t="n">
        <v>2</v>
      </c>
      <c r="G1907" s="188" t="n">
        <v>2</v>
      </c>
      <c r="H1907" s="188" t="inlineStr">
        <is>
          <t>MEDIUM</t>
        </is>
      </c>
      <c r="I1907" s="188" t="n">
        <v>11.8</v>
      </c>
      <c r="J1907" s="188" t="inlineStr">
        <is>
          <t>NO</t>
        </is>
      </c>
      <c r="K1907" s="188" t="inlineStr">
        <is>
          <t>https://msrc.microsoft.com/update-guide/vulnerability/CVE-2026-21514</t>
        </is>
      </c>
      <c r="L1907" s="188" t="inlineStr">
        <is>
          <t>2026-02-10T18:16:33.803</t>
        </is>
      </c>
      <c r="M1907" s="188" t="inlineStr">
        <is>
          <t>YES</t>
        </is>
      </c>
      <c r="N1907" s="188" t="inlineStr">
        <is>
          <t>https://msrc.microsoft.com/update-guide/vulnerability/CVE-2026-21514</t>
        </is>
      </c>
      <c r="O1907" s="188" t="inlineStr">
        <is>
          <t>Apply via Windows Update | WSUS | SCCM</t>
        </is>
      </c>
      <c r="P1907" s="188" t="inlineStr">
        <is>
          <t>Microsoft Windows</t>
        </is>
      </c>
      <c r="Q1907" s="188" t="inlineStr">
        <is>
          <t>P4</t>
        </is>
      </c>
      <c r="R1907" s="188" t="inlineStr">
        <is>
          <t>📅 Schedule patch deployment within 30 days | 🔍 Monitor for exploitation attempts</t>
        </is>
      </c>
      <c r="S1907" s="188" t="inlineStr">
        <is>
          <t>Microsoft CVE - no IP context</t>
        </is>
      </c>
      <c r="T1907" s="188" t="n">
        <v>0</v>
      </c>
      <c r="U1907" s="188" t="n">
        <v>0</v>
      </c>
      <c r="V1907" s="188" t="inlineStr">
        <is>
          <t>T1203:Exploitation for Client Execution | T1068:Exploitation for Privilege Escalation</t>
        </is>
      </c>
      <c r="W1907" s="188" t="n">
        <v>1</v>
      </c>
      <c r="X1907" s="188" t="inlineStr">
        <is>
          <t>LOW (40%)</t>
        </is>
      </c>
      <c r="Y1907" s="188" t="inlineStr">
        <is>
          <t>CHECK_MSRC</t>
        </is>
      </c>
      <c r="Z1907" s="188" t="inlineStr">
        <is>
          <t>YES</t>
        </is>
      </c>
      <c r="AA1907" s="188" t="inlineStr">
        <is>
          <t>https://msrc.microsoft.com/update-guide/vulnerability/CVE-2026-21514</t>
        </is>
      </c>
      <c r="AB1907" s="188" t="inlineStr">
        <is>
          <t>NONE</t>
        </is>
      </c>
      <c r="AC1907" s="188" t="n">
        <v>0</v>
      </c>
      <c r="AD1907" s="188" t="inlineStr"/>
    </row>
    <row r="1908">
      <c r="A1908" s="187" t="inlineStr">
        <is>
          <t>MSRC_UPDATE</t>
        </is>
      </c>
      <c r="B1908" s="187" t="inlineStr">
        <is>
          <t>CVE-2026-21527</t>
        </is>
      </c>
      <c r="C1908" s="187" t="inlineStr">
        <is>
          <t>Microsoft Update: User interface (ui) misrepresentation of critical information in Microsoft Exchange Server allows an unauthorized attacker to perform spoofing over a network.</t>
        </is>
      </c>
      <c r="D1908" s="187" t="n">
        <v>6.5</v>
      </c>
      <c r="E1908" s="187" t="inlineStr">
        <is>
          <t>MEDIUM</t>
        </is>
      </c>
      <c r="F1908" s="187" t="n">
        <v>2</v>
      </c>
      <c r="G1908" s="187" t="n">
        <v>2</v>
      </c>
      <c r="H1908" s="187" t="inlineStr">
        <is>
          <t>MEDIUM</t>
        </is>
      </c>
      <c r="I1908" s="187" t="n">
        <v>10.5</v>
      </c>
      <c r="J1908" s="187" t="inlineStr">
        <is>
          <t>NO</t>
        </is>
      </c>
      <c r="K1908" s="187" t="inlineStr">
        <is>
          <t>https://msrc.microsoft.com/update-guide/vulnerability/CVE-2026-21527</t>
        </is>
      </c>
      <c r="L1908" s="187" t="inlineStr">
        <is>
          <t>2026-02-10T18:16:35.093</t>
        </is>
      </c>
      <c r="M1908" s="187" t="inlineStr">
        <is>
          <t>YES</t>
        </is>
      </c>
      <c r="N1908" s="187" t="inlineStr">
        <is>
          <t>https://msrc.microsoft.com/update-guide/vulnerability/CVE-2026-21527</t>
        </is>
      </c>
      <c r="O1908" s="187" t="inlineStr">
        <is>
          <t>Apply via Windows Update | WSUS | SCCM</t>
        </is>
      </c>
      <c r="P1908" s="187" t="inlineStr">
        <is>
          <t>Microsoft Windows</t>
        </is>
      </c>
      <c r="Q1908" s="187" t="inlineStr">
        <is>
          <t>P4</t>
        </is>
      </c>
      <c r="R1908" s="187" t="inlineStr">
        <is>
          <t>📅 Schedule patch deployment within 30 days | 🔍 Monitor for exploitation attempts</t>
        </is>
      </c>
      <c r="S1908" s="187" t="inlineStr">
        <is>
          <t>Microsoft CVE - no IP context</t>
        </is>
      </c>
      <c r="T1908" s="187" t="n">
        <v>0</v>
      </c>
      <c r="U1908" s="187" t="n">
        <v>0</v>
      </c>
      <c r="V1908" s="187" t="inlineStr">
        <is>
          <t>T1203:Exploitation for Client Execution | T1068:Exploitation for Privilege Escalation</t>
        </is>
      </c>
      <c r="W1908" s="187" t="n">
        <v>1</v>
      </c>
      <c r="X1908" s="187" t="inlineStr">
        <is>
          <t>LOW (40%)</t>
        </is>
      </c>
      <c r="Y1908" s="187" t="inlineStr">
        <is>
          <t>CHECK_MSRC</t>
        </is>
      </c>
      <c r="Z1908" s="187" t="inlineStr">
        <is>
          <t>YES</t>
        </is>
      </c>
      <c r="AA1908" s="187" t="inlineStr">
        <is>
          <t>https://msrc.microsoft.com/update-guide/vulnerability/CVE-2026-21527</t>
        </is>
      </c>
      <c r="AB1908" s="187" t="inlineStr">
        <is>
          <t>NONE</t>
        </is>
      </c>
      <c r="AC1908" s="187" t="n">
        <v>0</v>
      </c>
      <c r="AD1908" s="187" t="inlineStr"/>
    </row>
    <row r="1909">
      <c r="A1909" s="188" t="inlineStr">
        <is>
          <t>MSRC_UPDATE</t>
        </is>
      </c>
      <c r="B1909" s="188" t="inlineStr">
        <is>
          <t>CVE-2026-21537</t>
        </is>
      </c>
      <c r="C1909" s="188" t="inlineStr">
        <is>
          <t>Microsoft Update: Improper control of generation of code ('code injection') in Microsoft Defender for Linux allows an unauthorized attacker to execute code over an adjacent network.</t>
        </is>
      </c>
      <c r="D1909" s="188" t="n">
        <v>8.800000000000001</v>
      </c>
      <c r="E1909" s="188" t="inlineStr">
        <is>
          <t>HIGH</t>
        </is>
      </c>
      <c r="F1909" s="188" t="n">
        <v>2</v>
      </c>
      <c r="G1909" s="188" t="n">
        <v>2</v>
      </c>
      <c r="H1909" s="188" t="inlineStr">
        <is>
          <t>MEDIUM</t>
        </is>
      </c>
      <c r="I1909" s="188" t="n">
        <v>12.8</v>
      </c>
      <c r="J1909" s="188" t="inlineStr">
        <is>
          <t>NO</t>
        </is>
      </c>
      <c r="K1909" s="188" t="inlineStr">
        <is>
          <t>https://msrc.microsoft.com/update-guide/vulnerability/CVE-2026-21537</t>
        </is>
      </c>
      <c r="L1909" s="188" t="inlineStr">
        <is>
          <t>2026-02-10T18:16:35.970</t>
        </is>
      </c>
      <c r="M1909" s="188" t="inlineStr">
        <is>
          <t>YES</t>
        </is>
      </c>
      <c r="N1909" s="188" t="inlineStr">
        <is>
          <t>https://msrc.microsoft.com/update-guide/vulnerability/CVE-2026-21537</t>
        </is>
      </c>
      <c r="O1909" s="188" t="inlineStr">
        <is>
          <t>Apply via Windows Update | WSUS | SCCM</t>
        </is>
      </c>
      <c r="P1909" s="188" t="inlineStr">
        <is>
          <t>Microsoft Windows</t>
        </is>
      </c>
      <c r="Q1909" s="188" t="inlineStr">
        <is>
          <t>P4</t>
        </is>
      </c>
      <c r="R1909" s="188" t="inlineStr">
        <is>
          <t>📅 Schedule patch deployment within 30 days | 🔍 Monitor for exploitation attempts</t>
        </is>
      </c>
      <c r="S1909" s="188" t="inlineStr">
        <is>
          <t>Microsoft CVE - no IP context</t>
        </is>
      </c>
      <c r="T1909" s="188" t="n">
        <v>0</v>
      </c>
      <c r="U1909" s="188" t="n">
        <v>0</v>
      </c>
      <c r="V1909" s="188" t="inlineStr">
        <is>
          <t>T1203:Exploitation for Client Execution | T1068:Exploitation for Privilege Escalation</t>
        </is>
      </c>
      <c r="W1909" s="188" t="n">
        <v>1</v>
      </c>
      <c r="X1909" s="188" t="inlineStr">
        <is>
          <t>LOW (40%)</t>
        </is>
      </c>
      <c r="Y1909" s="188" t="inlineStr">
        <is>
          <t>CHECK_MSRC</t>
        </is>
      </c>
      <c r="Z1909" s="188" t="inlineStr">
        <is>
          <t>YES</t>
        </is>
      </c>
      <c r="AA1909" s="188" t="inlineStr">
        <is>
          <t>https://msrc.microsoft.com/update-guide/vulnerability/CVE-2026-21537</t>
        </is>
      </c>
      <c r="AB1909" s="188" t="inlineStr">
        <is>
          <t>NONE</t>
        </is>
      </c>
      <c r="AC1909" s="188" t="n">
        <v>0</v>
      </c>
      <c r="AD1909" s="188" t="inlineStr"/>
    </row>
    <row r="1910">
      <c r="A1910" s="188" t="inlineStr">
        <is>
          <t>MSRC_UPDATE</t>
        </is>
      </c>
      <c r="B1910" s="188" t="inlineStr">
        <is>
          <t>CVE-2026-22048</t>
        </is>
      </c>
      <c r="C1910" s="188" t="inlineStr">
        <is>
          <t xml:space="preserve">Microsoft Update: StorageGRID (formerly StorageGRID Webscale) versions prior to 11.9.0.12 and 12.0.0.4 with Single Sign-on enabled and configured to use Microsoft Entra ID (formerly Azure AD) as an IdP are susceptible </t>
        </is>
      </c>
      <c r="D1910" s="188" t="n">
        <v>7.1</v>
      </c>
      <c r="E1910" s="188" t="inlineStr">
        <is>
          <t>HIGH</t>
        </is>
      </c>
      <c r="F1910" s="188" t="n">
        <v>2</v>
      </c>
      <c r="G1910" s="188" t="n">
        <v>2</v>
      </c>
      <c r="H1910" s="188" t="inlineStr">
        <is>
          <t>MEDIUM</t>
        </is>
      </c>
      <c r="I1910" s="188" t="n">
        <v>11.1</v>
      </c>
      <c r="J1910" s="188" t="inlineStr">
        <is>
          <t>NO</t>
        </is>
      </c>
      <c r="K1910" s="188" t="inlineStr">
        <is>
          <t>https://msrc.microsoft.com/update-guide/vulnerability/CVE-2026-22048</t>
        </is>
      </c>
      <c r="L1910" s="188" t="inlineStr">
        <is>
          <t>2026-02-18T00:16:18.700</t>
        </is>
      </c>
      <c r="M1910" s="188" t="inlineStr">
        <is>
          <t>YES</t>
        </is>
      </c>
      <c r="N1910" s="188" t="inlineStr">
        <is>
          <t>https://msrc.microsoft.com/update-guide/vulnerability/CVE-2026-22048</t>
        </is>
      </c>
      <c r="O1910" s="188" t="inlineStr">
        <is>
          <t>Apply via Windows Update | WSUS | SCCM</t>
        </is>
      </c>
      <c r="P1910" s="188" t="inlineStr">
        <is>
          <t>Microsoft Windows</t>
        </is>
      </c>
      <c r="Q1910" s="188" t="inlineStr">
        <is>
          <t>P4</t>
        </is>
      </c>
      <c r="R1910" s="188" t="inlineStr">
        <is>
          <t>📅 Schedule patch deployment within 30 days | 🔍 Monitor for exploitation attempts</t>
        </is>
      </c>
      <c r="S1910" s="188" t="inlineStr">
        <is>
          <t>Microsoft CVE - no IP context</t>
        </is>
      </c>
      <c r="T1910" s="188" t="n">
        <v>0</v>
      </c>
      <c r="U1910" s="188" t="n">
        <v>0</v>
      </c>
      <c r="V1910" s="188" t="inlineStr">
        <is>
          <t>T1203:Exploitation for Client Execution | T1068:Exploitation for Privilege Escalation</t>
        </is>
      </c>
      <c r="W1910" s="188" t="n">
        <v>1</v>
      </c>
      <c r="X1910" s="188" t="inlineStr">
        <is>
          <t>LOW (40%)</t>
        </is>
      </c>
      <c r="Y1910" s="188" t="inlineStr">
        <is>
          <t>CHECK_MSRC</t>
        </is>
      </c>
      <c r="Z1910" s="188" t="inlineStr">
        <is>
          <t>YES</t>
        </is>
      </c>
      <c r="AA1910" s="188" t="inlineStr">
        <is>
          <t>https://msrc.microsoft.com/update-guide/vulnerability/CVE-2026-22048</t>
        </is>
      </c>
      <c r="AB1910" s="188" t="inlineStr">
        <is>
          <t>NONE</t>
        </is>
      </c>
      <c r="AC1910" s="188" t="n">
        <v>0</v>
      </c>
      <c r="AD1910" s="188" t="inlineStr"/>
    </row>
    <row r="1911">
      <c r="A1911" s="190" t="inlineStr">
        <is>
          <t>PATCH_TUESDAY</t>
        </is>
      </c>
      <c r="B1911" s="190" t="inlineStr">
        <is>
          <t>PT-February-2026</t>
        </is>
      </c>
      <c r="C1911" s="190" t="inlineStr">
        <is>
          <t>Patch Tuesday February 2026: Patch Tuesday: February 10, 2026 - Status: Released</t>
        </is>
      </c>
      <c r="D1911" s="190" t="n">
        <v>0</v>
      </c>
      <c r="E1911" s="190" t="inlineStr">
        <is>
          <t>LOW</t>
        </is>
      </c>
      <c r="F1911" s="190" t="n">
        <v>1</v>
      </c>
      <c r="G1911" s="190" t="n">
        <v>1</v>
      </c>
      <c r="H1911" s="190" t="inlineStr">
        <is>
          <t>LOW</t>
        </is>
      </c>
      <c r="I1911" s="190" t="n">
        <v>1</v>
      </c>
      <c r="J1911" s="190" t="inlineStr">
        <is>
          <t>NO</t>
        </is>
      </c>
      <c r="K1911" s="190" t="inlineStr">
        <is>
          <t>https://msrc.microsoft.com/update-guide/</t>
        </is>
      </c>
      <c r="L1911" s="190" t="inlineStr">
        <is>
          <t>2026-02-10</t>
        </is>
      </c>
      <c r="M1911" s="190" t="inlineStr">
        <is>
          <t>Released</t>
        </is>
      </c>
      <c r="N1911" s="190" t="inlineStr">
        <is>
          <t>https://msrc.microsoft.com/update-guide/</t>
        </is>
      </c>
      <c r="O1911" s="190" t="inlineStr">
        <is>
          <t>Schedule patching cycle</t>
        </is>
      </c>
      <c r="P1911" s="190" t="inlineStr">
        <is>
          <t>Microsoft Windows / Microsoft 365</t>
        </is>
      </c>
      <c r="Q1911" s="190" t="inlineStr">
        <is>
          <t>P4</t>
        </is>
      </c>
      <c r="R1911" s="190" t="inlineStr">
        <is>
          <t>🔍 Investigate and apply appropriate controls</t>
        </is>
      </c>
      <c r="S1911" s="190" t="inlineStr">
        <is>
          <t>Informational - no IP context</t>
        </is>
      </c>
      <c r="T1911" s="190" t="n">
        <v>0</v>
      </c>
      <c r="U1911" s="190" t="n">
        <v>0</v>
      </c>
      <c r="V1911" s="190" t="inlineStr">
        <is>
          <t>Informational</t>
        </is>
      </c>
      <c r="W1911" s="190" t="n">
        <v>1</v>
      </c>
      <c r="X1911" s="190" t="inlineStr">
        <is>
          <t>LOW (40%)</t>
        </is>
      </c>
      <c r="Y1911" s="190" t="inlineStr">
        <is>
          <t>NONE</t>
        </is>
      </c>
      <c r="Z1911" s="190" t="inlineStr">
        <is>
          <t>NONE</t>
        </is>
      </c>
      <c r="AA1911" s="190" t="inlineStr">
        <is>
          <t>NONE</t>
        </is>
      </c>
      <c r="AB1911" s="190" t="inlineStr">
        <is>
          <t>NONE</t>
        </is>
      </c>
      <c r="AC1911" s="190" t="n">
        <v>0</v>
      </c>
      <c r="AD1911" s="190" t="inlineStr"/>
    </row>
    <row r="1912">
      <c r="A1912" s="188" t="inlineStr">
        <is>
          <t>TALOS_IP</t>
        </is>
      </c>
      <c r="B1912" s="188" t="inlineStr">
        <is>
          <t>2c31de6ea534</t>
        </is>
      </c>
      <c r="C1912" s="188" t="inlineStr">
        <is>
          <t>Cisco Talos Blacklisted IP: 1.10.247.213 | Verified malicious | Sources: TALOS</t>
        </is>
      </c>
      <c r="D1912" s="188" t="n">
        <v>7</v>
      </c>
      <c r="E1912" s="188" t="inlineStr">
        <is>
          <t>HIGH</t>
        </is>
      </c>
      <c r="F1912" s="188" t="n">
        <v>3</v>
      </c>
      <c r="G1912" s="188" t="n">
        <v>2</v>
      </c>
      <c r="H1912" s="188" t="inlineStr">
        <is>
          <t>HIGH</t>
        </is>
      </c>
      <c r="I1912" s="188" t="n">
        <v>13</v>
      </c>
      <c r="J1912" s="188" t="inlineStr">
        <is>
          <t>NO</t>
        </is>
      </c>
      <c r="K1912" s="188" t="inlineStr">
        <is>
          <t>https://talosintelligence.com/reputation_center/lookup?search=1.10.247.213</t>
        </is>
      </c>
      <c r="L1912" s="188" t="inlineStr">
        <is>
          <t>2026-02-26 00:15</t>
        </is>
      </c>
      <c r="M1912" s="188" t="inlineStr">
        <is>
          <t>Block IP</t>
        </is>
      </c>
      <c r="N1912" s="188" t="inlineStr">
        <is>
          <t>https://talosintelligence.com/reputation_center/lookup?search=1.10.247.213</t>
        </is>
      </c>
      <c r="O1912" s="188" t="inlineStr">
        <is>
          <t>Block IP 1.10.247.213 at firewall | Cisco Talos confirmed malicious</t>
        </is>
      </c>
      <c r="P1912" s="188" t="inlineStr">
        <is>
          <t>Network perimeter / Email / Web</t>
        </is>
      </c>
      <c r="Q1912" s="188" t="inlineStr">
        <is>
          <t>P3</t>
        </is>
      </c>
      <c r="R1912" s="188" t="inlineStr">
        <is>
          <t>🚫 Block IP at firewall immediately | 🔍 Check logs for existing connections | 🛡️ Add to threat intelligence blocklist</t>
        </is>
      </c>
      <c r="S1912" s="188" t="inlineStr">
        <is>
          <t>Check ip-api.com + AbuseIPDB for context</t>
        </is>
      </c>
      <c r="T1912" s="188" t="n">
        <v>0</v>
      </c>
      <c r="U1912" s="188" t="n">
        <v>0</v>
      </c>
      <c r="V1912" s="188" t="inlineStr">
        <is>
          <t>T1110:Brute Force | T1190:Exploit Public-Facing Application | T1566:Phishing</t>
        </is>
      </c>
      <c r="W1912" s="188" t="n">
        <v>1</v>
      </c>
      <c r="X1912" s="188" t="inlineStr">
        <is>
          <t>MEDIUM (60%)</t>
        </is>
      </c>
      <c r="Y1912" s="188" t="inlineStr">
        <is>
          <t>NONE</t>
        </is>
      </c>
      <c r="Z1912" s="188" t="inlineStr">
        <is>
          <t>NONE</t>
        </is>
      </c>
      <c r="AA1912" s="188" t="inlineStr">
        <is>
          <t>NONE</t>
        </is>
      </c>
      <c r="AB1912" s="188" t="inlineStr">
        <is>
          <t>NONE</t>
        </is>
      </c>
      <c r="AC1912" s="188" t="n">
        <v>0</v>
      </c>
      <c r="AD1912" s="188" t="inlineStr"/>
    </row>
    <row r="1913">
      <c r="A1913" s="188" t="inlineStr">
        <is>
          <t>TALOS_IP</t>
        </is>
      </c>
      <c r="B1913" s="188" t="inlineStr">
        <is>
          <t>2458a0aeb01c</t>
        </is>
      </c>
      <c r="C1913" s="188" t="inlineStr">
        <is>
          <t>Cisco Talos Blacklisted IP: 1.11.132.194 | Verified malicious | Sources: TALOS</t>
        </is>
      </c>
      <c r="D1913" s="188" t="n">
        <v>7</v>
      </c>
      <c r="E1913" s="188" t="inlineStr">
        <is>
          <t>HIGH</t>
        </is>
      </c>
      <c r="F1913" s="188" t="n">
        <v>3</v>
      </c>
      <c r="G1913" s="188" t="n">
        <v>2</v>
      </c>
      <c r="H1913" s="188" t="inlineStr">
        <is>
          <t>HIGH</t>
        </is>
      </c>
      <c r="I1913" s="188" t="n">
        <v>13</v>
      </c>
      <c r="J1913" s="188" t="inlineStr">
        <is>
          <t>NO</t>
        </is>
      </c>
      <c r="K1913" s="188" t="inlineStr">
        <is>
          <t>https://talosintelligence.com/reputation_center/lookup?search=1.11.132.194</t>
        </is>
      </c>
      <c r="L1913" s="188" t="inlineStr">
        <is>
          <t>2026-02-26 00:15</t>
        </is>
      </c>
      <c r="M1913" s="188" t="inlineStr">
        <is>
          <t>Block IP</t>
        </is>
      </c>
      <c r="N1913" s="188" t="inlineStr">
        <is>
          <t>https://talosintelligence.com/reputation_center/lookup?search=1.11.132.194</t>
        </is>
      </c>
      <c r="O1913" s="188" t="inlineStr">
        <is>
          <t>Block IP 1.11.132.194 at firewall | Cisco Talos confirmed malicious</t>
        </is>
      </c>
      <c r="P1913" s="188" t="inlineStr">
        <is>
          <t>Network perimeter / Email / Web</t>
        </is>
      </c>
      <c r="Q1913" s="188" t="inlineStr">
        <is>
          <t>P3</t>
        </is>
      </c>
      <c r="R1913" s="188" t="inlineStr">
        <is>
          <t>🚫 Block IP at firewall immediately | 🔍 Check logs for existing connections | 🛡️ Add to threat intelligence blocklist</t>
        </is>
      </c>
      <c r="S1913" s="188" t="inlineStr">
        <is>
          <t>Check ip-api.com + AbuseIPDB for context</t>
        </is>
      </c>
      <c r="T1913" s="188" t="n">
        <v>0</v>
      </c>
      <c r="U1913" s="188" t="n">
        <v>0</v>
      </c>
      <c r="V1913" s="188" t="inlineStr">
        <is>
          <t>T1110:Brute Force | T1190:Exploit Public-Facing Application | T1566:Phishing</t>
        </is>
      </c>
      <c r="W1913" s="188" t="n">
        <v>1</v>
      </c>
      <c r="X1913" s="188" t="inlineStr">
        <is>
          <t>MEDIUM (60%)</t>
        </is>
      </c>
      <c r="Y1913" s="188" t="inlineStr">
        <is>
          <t>NONE</t>
        </is>
      </c>
      <c r="Z1913" s="188" t="inlineStr">
        <is>
          <t>NONE</t>
        </is>
      </c>
      <c r="AA1913" s="188" t="inlineStr">
        <is>
          <t>NONE</t>
        </is>
      </c>
      <c r="AB1913" s="188" t="inlineStr">
        <is>
          <t>NONE</t>
        </is>
      </c>
      <c r="AC1913" s="188" t="n">
        <v>0</v>
      </c>
      <c r="AD1913" s="188" t="inlineStr"/>
    </row>
    <row r="1914">
      <c r="A1914" s="188" t="inlineStr">
        <is>
          <t>TALOS_IP</t>
        </is>
      </c>
      <c r="B1914" s="188" t="inlineStr">
        <is>
          <t>017abc159f47</t>
        </is>
      </c>
      <c r="C1914" s="188" t="inlineStr">
        <is>
          <t>Cisco Talos Blacklisted IP: 1.15.116.189 | Verified malicious | Sources: TALOS, BLOCKLIST_DE</t>
        </is>
      </c>
      <c r="D1914" s="188" t="n">
        <v>7</v>
      </c>
      <c r="E1914" s="188" t="inlineStr">
        <is>
          <t>HIGH</t>
        </is>
      </c>
      <c r="F1914" s="188" t="n">
        <v>3</v>
      </c>
      <c r="G1914" s="188" t="n">
        <v>2</v>
      </c>
      <c r="H1914" s="188" t="inlineStr">
        <is>
          <t>HIGH</t>
        </is>
      </c>
      <c r="I1914" s="188" t="n">
        <v>13</v>
      </c>
      <c r="J1914" s="188" t="inlineStr">
        <is>
          <t>NO</t>
        </is>
      </c>
      <c r="K1914" s="188" t="inlineStr">
        <is>
          <t>https://talosintelligence.com/reputation_center/lookup?search=1.15.116.189</t>
        </is>
      </c>
      <c r="L1914" s="188" t="inlineStr">
        <is>
          <t>2026-02-26 00:15</t>
        </is>
      </c>
      <c r="M1914" s="188" t="inlineStr">
        <is>
          <t>Block IP</t>
        </is>
      </c>
      <c r="N1914" s="188" t="inlineStr">
        <is>
          <t>https://talosintelligence.com/reputation_center/lookup?search=1.15.116.189</t>
        </is>
      </c>
      <c r="O1914" s="188" t="inlineStr">
        <is>
          <t>Block IP 1.15.116.189 at firewall | Cisco Talos confirmed malicious</t>
        </is>
      </c>
      <c r="P1914" s="188" t="inlineStr">
        <is>
          <t>Network perimeter / Email / Web</t>
        </is>
      </c>
      <c r="Q1914" s="188" t="inlineStr">
        <is>
          <t>P3</t>
        </is>
      </c>
      <c r="R1914" s="188" t="inlineStr">
        <is>
          <t>🚫 Block IP at firewall immediately | 🔍 Check logs for existing connections | 🛡️ Add to threat intelligence blocklist</t>
        </is>
      </c>
      <c r="S1914" s="188" t="inlineStr">
        <is>
          <t>Skipped (20/run cap)</t>
        </is>
      </c>
      <c r="T1914" s="188" t="n">
        <v>0</v>
      </c>
      <c r="U1914" s="188" t="n">
        <v>0</v>
      </c>
      <c r="V1914" s="188" t="inlineStr">
        <is>
          <t>T1110:Brute Force | T1190:Exploit Public-Facing Application | T1566:Phishing</t>
        </is>
      </c>
      <c r="W1914" s="188" t="n">
        <v>2</v>
      </c>
      <c r="X1914" s="188" t="inlineStr">
        <is>
          <t>HIGH (72%)</t>
        </is>
      </c>
      <c r="Y1914" s="188" t="inlineStr">
        <is>
          <t>NONE</t>
        </is>
      </c>
      <c r="Z1914" s="188" t="inlineStr">
        <is>
          <t>NONE</t>
        </is>
      </c>
      <c r="AA1914" s="188" t="inlineStr">
        <is>
          <t>NONE</t>
        </is>
      </c>
      <c r="AB1914" s="188" t="inlineStr">
        <is>
          <t>NONE</t>
        </is>
      </c>
      <c r="AC1914" s="188" t="n">
        <v>0</v>
      </c>
      <c r="AD1914" s="188" t="inlineStr"/>
    </row>
    <row r="1915">
      <c r="A1915" s="188" t="inlineStr">
        <is>
          <t>TALOS_IP</t>
        </is>
      </c>
      <c r="B1915" s="188" t="inlineStr">
        <is>
          <t>52f5c2f32e8d</t>
        </is>
      </c>
      <c r="C1915" s="188" t="inlineStr">
        <is>
          <t>Cisco Talos Blacklisted IP: 1.15.22.112 | Verified malicious | Sources: TALOS</t>
        </is>
      </c>
      <c r="D1915" s="188" t="n">
        <v>7</v>
      </c>
      <c r="E1915" s="188" t="inlineStr">
        <is>
          <t>HIGH</t>
        </is>
      </c>
      <c r="F1915" s="188" t="n">
        <v>3</v>
      </c>
      <c r="G1915" s="188" t="n">
        <v>2</v>
      </c>
      <c r="H1915" s="188" t="inlineStr">
        <is>
          <t>HIGH</t>
        </is>
      </c>
      <c r="I1915" s="188" t="n">
        <v>13</v>
      </c>
      <c r="J1915" s="188" t="inlineStr">
        <is>
          <t>NO</t>
        </is>
      </c>
      <c r="K1915" s="188" t="inlineStr">
        <is>
          <t>https://talosintelligence.com/reputation_center/lookup?search=1.15.22.112</t>
        </is>
      </c>
      <c r="L1915" s="188" t="inlineStr">
        <is>
          <t>2026-02-26 00:15</t>
        </is>
      </c>
      <c r="M1915" s="188" t="inlineStr">
        <is>
          <t>Block IP</t>
        </is>
      </c>
      <c r="N1915" s="188" t="inlineStr">
        <is>
          <t>https://talosintelligence.com/reputation_center/lookup?search=1.15.22.112</t>
        </is>
      </c>
      <c r="O1915" s="188" t="inlineStr">
        <is>
          <t>Block IP 1.15.22.112 at firewall | Cisco Talos confirmed malicious</t>
        </is>
      </c>
      <c r="P1915" s="188" t="inlineStr">
        <is>
          <t>Network perimeter / Email / Web</t>
        </is>
      </c>
      <c r="Q1915" s="188" t="inlineStr">
        <is>
          <t>P3</t>
        </is>
      </c>
      <c r="R1915" s="188" t="inlineStr">
        <is>
          <t>🚫 Block IP at firewall immediately | 🔍 Check logs for existing connections | 🛡️ Add to threat intelligence blocklist</t>
        </is>
      </c>
      <c r="S1915" s="188" t="inlineStr">
        <is>
          <t>Check ip-api.com + AbuseIPDB for context</t>
        </is>
      </c>
      <c r="T1915" s="188" t="n">
        <v>0</v>
      </c>
      <c r="U1915" s="188" t="n">
        <v>0</v>
      </c>
      <c r="V1915" s="188" t="inlineStr">
        <is>
          <t>T1110:Brute Force | T1190:Exploit Public-Facing Application | T1566:Phishing</t>
        </is>
      </c>
      <c r="W1915" s="188" t="n">
        <v>1</v>
      </c>
      <c r="X1915" s="188" t="inlineStr">
        <is>
          <t>MEDIUM (60%)</t>
        </is>
      </c>
      <c r="Y1915" s="188" t="inlineStr">
        <is>
          <t>NONE</t>
        </is>
      </c>
      <c r="Z1915" s="188" t="inlineStr">
        <is>
          <t>NONE</t>
        </is>
      </c>
      <c r="AA1915" s="188" t="inlineStr">
        <is>
          <t>NONE</t>
        </is>
      </c>
      <c r="AB1915" s="188" t="inlineStr">
        <is>
          <t>NONE</t>
        </is>
      </c>
      <c r="AC1915" s="188" t="n">
        <v>0</v>
      </c>
      <c r="AD1915" s="188" t="inlineStr"/>
    </row>
    <row r="1916">
      <c r="A1916" s="188" t="inlineStr">
        <is>
          <t>TALOS_IP</t>
        </is>
      </c>
      <c r="B1916" s="188" t="inlineStr">
        <is>
          <t>77e9c106704e</t>
        </is>
      </c>
      <c r="C1916" s="188" t="inlineStr">
        <is>
          <t>Cisco Talos Blacklisted IP: 1.157.81.197 | Verified malicious | Sources: TALOS</t>
        </is>
      </c>
      <c r="D1916" s="188" t="n">
        <v>7</v>
      </c>
      <c r="E1916" s="188" t="inlineStr">
        <is>
          <t>HIGH</t>
        </is>
      </c>
      <c r="F1916" s="188" t="n">
        <v>3</v>
      </c>
      <c r="G1916" s="188" t="n">
        <v>2</v>
      </c>
      <c r="H1916" s="188" t="inlineStr">
        <is>
          <t>HIGH</t>
        </is>
      </c>
      <c r="I1916" s="188" t="n">
        <v>13</v>
      </c>
      <c r="J1916" s="188" t="inlineStr">
        <is>
          <t>NO</t>
        </is>
      </c>
      <c r="K1916" s="188" t="inlineStr">
        <is>
          <t>https://talosintelligence.com/reputation_center/lookup?search=1.157.81.197</t>
        </is>
      </c>
      <c r="L1916" s="188" t="inlineStr">
        <is>
          <t>2026-02-26 00:15</t>
        </is>
      </c>
      <c r="M1916" s="188" t="inlineStr">
        <is>
          <t>Block IP</t>
        </is>
      </c>
      <c r="N1916" s="188" t="inlineStr">
        <is>
          <t>https://talosintelligence.com/reputation_center/lookup?search=1.157.81.197</t>
        </is>
      </c>
      <c r="O1916" s="188" t="inlineStr">
        <is>
          <t>Block IP 1.157.81.197 at firewall | Cisco Talos confirmed malicious</t>
        </is>
      </c>
      <c r="P1916" s="188" t="inlineStr">
        <is>
          <t>Network perimeter / Email / Web</t>
        </is>
      </c>
      <c r="Q1916" s="188" t="inlineStr">
        <is>
          <t>P3</t>
        </is>
      </c>
      <c r="R1916" s="188" t="inlineStr">
        <is>
          <t>🚫 Block IP at firewall immediately | 🔍 Check logs for existing connections | 🛡️ Add to threat intelligence blocklist</t>
        </is>
      </c>
      <c r="S1916" s="188" t="inlineStr">
        <is>
          <t>Check ip-api.com + AbuseIPDB for context</t>
        </is>
      </c>
      <c r="T1916" s="188" t="n">
        <v>0</v>
      </c>
      <c r="U1916" s="188" t="n">
        <v>0</v>
      </c>
      <c r="V1916" s="188" t="inlineStr">
        <is>
          <t>T1110:Brute Force | T1190:Exploit Public-Facing Application | T1566:Phishing</t>
        </is>
      </c>
      <c r="W1916" s="188" t="n">
        <v>1</v>
      </c>
      <c r="X1916" s="188" t="inlineStr">
        <is>
          <t>MEDIUM (60%)</t>
        </is>
      </c>
      <c r="Y1916" s="188" t="inlineStr">
        <is>
          <t>NONE</t>
        </is>
      </c>
      <c r="Z1916" s="188" t="inlineStr">
        <is>
          <t>NONE</t>
        </is>
      </c>
      <c r="AA1916" s="188" t="inlineStr">
        <is>
          <t>NONE</t>
        </is>
      </c>
      <c r="AB1916" s="188" t="inlineStr">
        <is>
          <t>NONE</t>
        </is>
      </c>
      <c r="AC1916" s="188" t="n">
        <v>0</v>
      </c>
      <c r="AD1916" s="188" t="inlineStr"/>
    </row>
    <row r="1917">
      <c r="A1917" s="188" t="inlineStr">
        <is>
          <t>TALOS_IP</t>
        </is>
      </c>
      <c r="B1917" s="188" t="inlineStr">
        <is>
          <t>2fd8b650656f</t>
        </is>
      </c>
      <c r="C1917" s="188" t="inlineStr">
        <is>
          <t>Cisco Talos Blacklisted IP: 1.172.205.106 | Verified malicious | Sources: TALOS</t>
        </is>
      </c>
      <c r="D1917" s="188" t="n">
        <v>7</v>
      </c>
      <c r="E1917" s="188" t="inlineStr">
        <is>
          <t>HIGH</t>
        </is>
      </c>
      <c r="F1917" s="188" t="n">
        <v>3</v>
      </c>
      <c r="G1917" s="188" t="n">
        <v>2</v>
      </c>
      <c r="H1917" s="188" t="inlineStr">
        <is>
          <t>HIGH</t>
        </is>
      </c>
      <c r="I1917" s="188" t="n">
        <v>13</v>
      </c>
      <c r="J1917" s="188" t="inlineStr">
        <is>
          <t>NO</t>
        </is>
      </c>
      <c r="K1917" s="188" t="inlineStr">
        <is>
          <t>https://talosintelligence.com/reputation_center/lookup?search=1.172.205.106</t>
        </is>
      </c>
      <c r="L1917" s="188" t="inlineStr">
        <is>
          <t>2026-02-26 00:15</t>
        </is>
      </c>
      <c r="M1917" s="188" t="inlineStr">
        <is>
          <t>Block IP</t>
        </is>
      </c>
      <c r="N1917" s="188" t="inlineStr">
        <is>
          <t>https://talosintelligence.com/reputation_center/lookup?search=1.172.205.106</t>
        </is>
      </c>
      <c r="O1917" s="188" t="inlineStr">
        <is>
          <t>Block IP 1.172.205.106 at firewall | Cisco Talos confirmed malicious</t>
        </is>
      </c>
      <c r="P1917" s="188" t="inlineStr">
        <is>
          <t>Network perimeter / Email / Web</t>
        </is>
      </c>
      <c r="Q1917" s="188" t="inlineStr">
        <is>
          <t>P3</t>
        </is>
      </c>
      <c r="R1917" s="188" t="inlineStr">
        <is>
          <t>🚫 Block IP at firewall immediately | 🔍 Check logs for existing connections | 🛡️ Add to threat intelligence blocklist</t>
        </is>
      </c>
      <c r="S1917" s="188" t="inlineStr">
        <is>
          <t>Check ip-api.com + AbuseIPDB for context</t>
        </is>
      </c>
      <c r="T1917" s="188" t="n">
        <v>0</v>
      </c>
      <c r="U1917" s="188" t="n">
        <v>0</v>
      </c>
      <c r="V1917" s="188" t="inlineStr">
        <is>
          <t>T1110:Brute Force | T1190:Exploit Public-Facing Application | T1566:Phishing</t>
        </is>
      </c>
      <c r="W1917" s="188" t="n">
        <v>1</v>
      </c>
      <c r="X1917" s="188" t="inlineStr">
        <is>
          <t>MEDIUM (60%)</t>
        </is>
      </c>
      <c r="Y1917" s="188" t="inlineStr">
        <is>
          <t>NONE</t>
        </is>
      </c>
      <c r="Z1917" s="188" t="inlineStr">
        <is>
          <t>NONE</t>
        </is>
      </c>
      <c r="AA1917" s="188" t="inlineStr">
        <is>
          <t>NONE</t>
        </is>
      </c>
      <c r="AB1917" s="188" t="inlineStr">
        <is>
          <t>NONE</t>
        </is>
      </c>
      <c r="AC1917" s="188" t="n">
        <v>0</v>
      </c>
      <c r="AD1917" s="188" t="inlineStr"/>
    </row>
    <row r="1918">
      <c r="A1918" s="188" t="inlineStr">
        <is>
          <t>TALOS_IP</t>
        </is>
      </c>
      <c r="B1918" s="188" t="inlineStr">
        <is>
          <t>2dcd29bbf4c9</t>
        </is>
      </c>
      <c r="C1918" s="188" t="inlineStr">
        <is>
          <t>Cisco Talos Blacklisted IP: 1.177.162.2 | Verified malicious | Sources: TALOS</t>
        </is>
      </c>
      <c r="D1918" s="188" t="n">
        <v>7</v>
      </c>
      <c r="E1918" s="188" t="inlineStr">
        <is>
          <t>HIGH</t>
        </is>
      </c>
      <c r="F1918" s="188" t="n">
        <v>3</v>
      </c>
      <c r="G1918" s="188" t="n">
        <v>2</v>
      </c>
      <c r="H1918" s="188" t="inlineStr">
        <is>
          <t>HIGH</t>
        </is>
      </c>
      <c r="I1918" s="188" t="n">
        <v>13</v>
      </c>
      <c r="J1918" s="188" t="inlineStr">
        <is>
          <t>NO</t>
        </is>
      </c>
      <c r="K1918" s="188" t="inlineStr">
        <is>
          <t>https://talosintelligence.com/reputation_center/lookup?search=1.177.162.2</t>
        </is>
      </c>
      <c r="L1918" s="188" t="inlineStr">
        <is>
          <t>2026-02-26 00:15</t>
        </is>
      </c>
      <c r="M1918" s="188" t="inlineStr">
        <is>
          <t>Block IP</t>
        </is>
      </c>
      <c r="N1918" s="188" t="inlineStr">
        <is>
          <t>https://talosintelligence.com/reputation_center/lookup?search=1.177.162.2</t>
        </is>
      </c>
      <c r="O1918" s="188" t="inlineStr">
        <is>
          <t>Block IP 1.177.162.2 at firewall | Cisco Talos confirmed malicious</t>
        </is>
      </c>
      <c r="P1918" s="188" t="inlineStr">
        <is>
          <t>Network perimeter / Email / Web</t>
        </is>
      </c>
      <c r="Q1918" s="188" t="inlineStr">
        <is>
          <t>P3</t>
        </is>
      </c>
      <c r="R1918" s="188" t="inlineStr">
        <is>
          <t>🚫 Block IP at firewall immediately | 🔍 Check logs for existing connections | 🛡️ Add to threat intelligence blocklist</t>
        </is>
      </c>
      <c r="S1918" s="188" t="inlineStr">
        <is>
          <t>Check ip-api.com + AbuseIPDB for context</t>
        </is>
      </c>
      <c r="T1918" s="188" t="n">
        <v>0</v>
      </c>
      <c r="U1918" s="188" t="n">
        <v>0</v>
      </c>
      <c r="V1918" s="188" t="inlineStr">
        <is>
          <t>T1110:Brute Force | T1190:Exploit Public-Facing Application | T1566:Phishing</t>
        </is>
      </c>
      <c r="W1918" s="188" t="n">
        <v>1</v>
      </c>
      <c r="X1918" s="188" t="inlineStr">
        <is>
          <t>MEDIUM (60%)</t>
        </is>
      </c>
      <c r="Y1918" s="188" t="inlineStr">
        <is>
          <t>NONE</t>
        </is>
      </c>
      <c r="Z1918" s="188" t="inlineStr">
        <is>
          <t>NONE</t>
        </is>
      </c>
      <c r="AA1918" s="188" t="inlineStr">
        <is>
          <t>NONE</t>
        </is>
      </c>
      <c r="AB1918" s="188" t="inlineStr">
        <is>
          <t>NONE</t>
        </is>
      </c>
      <c r="AC1918" s="188" t="n">
        <v>0</v>
      </c>
      <c r="AD1918" s="188" t="inlineStr"/>
    </row>
    <row r="1919">
      <c r="A1919" s="188" t="inlineStr">
        <is>
          <t>TALOS_IP</t>
        </is>
      </c>
      <c r="B1919" s="188" t="inlineStr">
        <is>
          <t>f8a3d4a117d1</t>
        </is>
      </c>
      <c r="C1919" s="188" t="inlineStr">
        <is>
          <t>Cisco Talos Blacklisted IP: 1.188.102.135 | Verified malicious | Sources: TALOS</t>
        </is>
      </c>
      <c r="D1919" s="188" t="n">
        <v>7</v>
      </c>
      <c r="E1919" s="188" t="inlineStr">
        <is>
          <t>HIGH</t>
        </is>
      </c>
      <c r="F1919" s="188" t="n">
        <v>3</v>
      </c>
      <c r="G1919" s="188" t="n">
        <v>2</v>
      </c>
      <c r="H1919" s="188" t="inlineStr">
        <is>
          <t>HIGH</t>
        </is>
      </c>
      <c r="I1919" s="188" t="n">
        <v>13</v>
      </c>
      <c r="J1919" s="188" t="inlineStr">
        <is>
          <t>NO</t>
        </is>
      </c>
      <c r="K1919" s="188" t="inlineStr">
        <is>
          <t>https://talosintelligence.com/reputation_center/lookup?search=1.188.102.135</t>
        </is>
      </c>
      <c r="L1919" s="188" t="inlineStr">
        <is>
          <t>2026-02-26 00:15</t>
        </is>
      </c>
      <c r="M1919" s="188" t="inlineStr">
        <is>
          <t>Block IP</t>
        </is>
      </c>
      <c r="N1919" s="188" t="inlineStr">
        <is>
          <t>https://talosintelligence.com/reputation_center/lookup?search=1.188.102.135</t>
        </is>
      </c>
      <c r="O1919" s="188" t="inlineStr">
        <is>
          <t>Block IP 1.188.102.135 at firewall | Cisco Talos confirmed malicious</t>
        </is>
      </c>
      <c r="P1919" s="188" t="inlineStr">
        <is>
          <t>Network perimeter / Email / Web</t>
        </is>
      </c>
      <c r="Q1919" s="188" t="inlineStr">
        <is>
          <t>P3</t>
        </is>
      </c>
      <c r="R1919" s="188" t="inlineStr">
        <is>
          <t>🚫 Block IP at firewall immediately | 🔍 Check logs for existing connections | 🛡️ Add to threat intelligence blocklist</t>
        </is>
      </c>
      <c r="S1919" s="188" t="inlineStr">
        <is>
          <t>Check ip-api.com + AbuseIPDB for context</t>
        </is>
      </c>
      <c r="T1919" s="188" t="n">
        <v>0</v>
      </c>
      <c r="U1919" s="188" t="n">
        <v>0</v>
      </c>
      <c r="V1919" s="188" t="inlineStr">
        <is>
          <t>T1110:Brute Force | T1190:Exploit Public-Facing Application | T1566:Phishing</t>
        </is>
      </c>
      <c r="W1919" s="188" t="n">
        <v>1</v>
      </c>
      <c r="X1919" s="188" t="inlineStr">
        <is>
          <t>MEDIUM (60%)</t>
        </is>
      </c>
      <c r="Y1919" s="188" t="inlineStr">
        <is>
          <t>NONE</t>
        </is>
      </c>
      <c r="Z1919" s="188" t="inlineStr">
        <is>
          <t>NONE</t>
        </is>
      </c>
      <c r="AA1919" s="188" t="inlineStr">
        <is>
          <t>NONE</t>
        </is>
      </c>
      <c r="AB1919" s="188" t="inlineStr">
        <is>
          <t>NONE</t>
        </is>
      </c>
      <c r="AC1919" s="188" t="n">
        <v>0</v>
      </c>
      <c r="AD1919" s="188" t="inlineStr"/>
    </row>
    <row r="1920">
      <c r="A1920" s="188" t="inlineStr">
        <is>
          <t>TALOS_IP</t>
        </is>
      </c>
      <c r="B1920" s="188" t="inlineStr">
        <is>
          <t>26b1ef02ca90</t>
        </is>
      </c>
      <c r="C1920" s="188" t="inlineStr">
        <is>
          <t>Cisco Talos Blacklisted IP: 1.192.129.106 | Verified malicious | Sources: TALOS</t>
        </is>
      </c>
      <c r="D1920" s="188" t="n">
        <v>7</v>
      </c>
      <c r="E1920" s="188" t="inlineStr">
        <is>
          <t>HIGH</t>
        </is>
      </c>
      <c r="F1920" s="188" t="n">
        <v>3</v>
      </c>
      <c r="G1920" s="188" t="n">
        <v>2</v>
      </c>
      <c r="H1920" s="188" t="inlineStr">
        <is>
          <t>HIGH</t>
        </is>
      </c>
      <c r="I1920" s="188" t="n">
        <v>13</v>
      </c>
      <c r="J1920" s="188" t="inlineStr">
        <is>
          <t>NO</t>
        </is>
      </c>
      <c r="K1920" s="188" t="inlineStr">
        <is>
          <t>https://talosintelligence.com/reputation_center/lookup?search=1.192.129.106</t>
        </is>
      </c>
      <c r="L1920" s="188" t="inlineStr">
        <is>
          <t>2026-02-26 00:15</t>
        </is>
      </c>
      <c r="M1920" s="188" t="inlineStr">
        <is>
          <t>Block IP</t>
        </is>
      </c>
      <c r="N1920" s="188" t="inlineStr">
        <is>
          <t>https://talosintelligence.com/reputation_center/lookup?search=1.192.129.106</t>
        </is>
      </c>
      <c r="O1920" s="188" t="inlineStr">
        <is>
          <t>Block IP 1.192.129.106 at firewall | Cisco Talos confirmed malicious</t>
        </is>
      </c>
      <c r="P1920" s="188" t="inlineStr">
        <is>
          <t>Network perimeter / Email / Web</t>
        </is>
      </c>
      <c r="Q1920" s="188" t="inlineStr">
        <is>
          <t>P3</t>
        </is>
      </c>
      <c r="R1920" s="188" t="inlineStr">
        <is>
          <t>🚫 Block IP at firewall immediately | 🔍 Check logs for existing connections | 🛡️ Add to threat intelligence blocklist</t>
        </is>
      </c>
      <c r="S1920" s="188" t="inlineStr">
        <is>
          <t>Check ip-api.com + AbuseIPDB for context</t>
        </is>
      </c>
      <c r="T1920" s="188" t="n">
        <v>0</v>
      </c>
      <c r="U1920" s="188" t="n">
        <v>0</v>
      </c>
      <c r="V1920" s="188" t="inlineStr">
        <is>
          <t>T1110:Brute Force | T1190:Exploit Public-Facing Application | T1566:Phishing</t>
        </is>
      </c>
      <c r="W1920" s="188" t="n">
        <v>1</v>
      </c>
      <c r="X1920" s="188" t="inlineStr">
        <is>
          <t>MEDIUM (60%)</t>
        </is>
      </c>
      <c r="Y1920" s="188" t="inlineStr">
        <is>
          <t>NONE</t>
        </is>
      </c>
      <c r="Z1920" s="188" t="inlineStr">
        <is>
          <t>NONE</t>
        </is>
      </c>
      <c r="AA1920" s="188" t="inlineStr">
        <is>
          <t>NONE</t>
        </is>
      </c>
      <c r="AB1920" s="188" t="inlineStr">
        <is>
          <t>NONE</t>
        </is>
      </c>
      <c r="AC1920" s="188" t="n">
        <v>0</v>
      </c>
      <c r="AD1920" s="188" t="inlineStr"/>
    </row>
    <row r="1921">
      <c r="A1921" s="188" t="inlineStr">
        <is>
          <t>TALOS_IP</t>
        </is>
      </c>
      <c r="B1921" s="188" t="inlineStr">
        <is>
          <t>f67e6f1f894a</t>
        </is>
      </c>
      <c r="C1921" s="188" t="inlineStr">
        <is>
          <t>Cisco Talos Blacklisted IP: 1.192.21.22 | Verified malicious | Sources: TALOS</t>
        </is>
      </c>
      <c r="D1921" s="188" t="n">
        <v>7</v>
      </c>
      <c r="E1921" s="188" t="inlineStr">
        <is>
          <t>HIGH</t>
        </is>
      </c>
      <c r="F1921" s="188" t="n">
        <v>3</v>
      </c>
      <c r="G1921" s="188" t="n">
        <v>2</v>
      </c>
      <c r="H1921" s="188" t="inlineStr">
        <is>
          <t>HIGH</t>
        </is>
      </c>
      <c r="I1921" s="188" t="n">
        <v>13</v>
      </c>
      <c r="J1921" s="188" t="inlineStr">
        <is>
          <t>NO</t>
        </is>
      </c>
      <c r="K1921" s="188" t="inlineStr">
        <is>
          <t>https://talosintelligence.com/reputation_center/lookup?search=1.192.21.22</t>
        </is>
      </c>
      <c r="L1921" s="188" t="inlineStr">
        <is>
          <t>2026-02-26 00:15</t>
        </is>
      </c>
      <c r="M1921" s="188" t="inlineStr">
        <is>
          <t>Block IP</t>
        </is>
      </c>
      <c r="N1921" s="188" t="inlineStr">
        <is>
          <t>https://talosintelligence.com/reputation_center/lookup?search=1.192.21.22</t>
        </is>
      </c>
      <c r="O1921" s="188" t="inlineStr">
        <is>
          <t>Block IP 1.192.21.22 at firewall | Cisco Talos confirmed malicious</t>
        </is>
      </c>
      <c r="P1921" s="188" t="inlineStr">
        <is>
          <t>Network perimeter / Email / Web</t>
        </is>
      </c>
      <c r="Q1921" s="188" t="inlineStr">
        <is>
          <t>P3</t>
        </is>
      </c>
      <c r="R1921" s="188" t="inlineStr">
        <is>
          <t>🚫 Block IP at firewall immediately | 🔍 Check logs for existing connections | 🛡️ Add to threat intelligence blocklist</t>
        </is>
      </c>
      <c r="S1921" s="188" t="inlineStr">
        <is>
          <t>Check ip-api.com + AbuseIPDB for context</t>
        </is>
      </c>
      <c r="T1921" s="188" t="n">
        <v>0</v>
      </c>
      <c r="U1921" s="188" t="n">
        <v>0</v>
      </c>
      <c r="V1921" s="188" t="inlineStr">
        <is>
          <t>T1110:Brute Force | T1190:Exploit Public-Facing Application | T1566:Phishing</t>
        </is>
      </c>
      <c r="W1921" s="188" t="n">
        <v>1</v>
      </c>
      <c r="X1921" s="188" t="inlineStr">
        <is>
          <t>MEDIUM (60%)</t>
        </is>
      </c>
      <c r="Y1921" s="188" t="inlineStr">
        <is>
          <t>NONE</t>
        </is>
      </c>
      <c r="Z1921" s="188" t="inlineStr">
        <is>
          <t>NONE</t>
        </is>
      </c>
      <c r="AA1921" s="188" t="inlineStr">
        <is>
          <t>NONE</t>
        </is>
      </c>
      <c r="AB1921" s="188" t="inlineStr">
        <is>
          <t>NONE</t>
        </is>
      </c>
      <c r="AC1921" s="188" t="n">
        <v>0</v>
      </c>
      <c r="AD1921" s="188" t="inlineStr"/>
    </row>
    <row r="1922">
      <c r="A1922" s="188" t="inlineStr">
        <is>
          <t>TALOS_IP</t>
        </is>
      </c>
      <c r="B1922" s="188" t="inlineStr">
        <is>
          <t>29e7c0080b66</t>
        </is>
      </c>
      <c r="C1922" s="188" t="inlineStr">
        <is>
          <t>Cisco Talos Blacklisted IP: 1.192.3.139 | Verified malicious | Sources: TALOS</t>
        </is>
      </c>
      <c r="D1922" s="188" t="n">
        <v>7</v>
      </c>
      <c r="E1922" s="188" t="inlineStr">
        <is>
          <t>HIGH</t>
        </is>
      </c>
      <c r="F1922" s="188" t="n">
        <v>3</v>
      </c>
      <c r="G1922" s="188" t="n">
        <v>2</v>
      </c>
      <c r="H1922" s="188" t="inlineStr">
        <is>
          <t>HIGH</t>
        </is>
      </c>
      <c r="I1922" s="188" t="n">
        <v>13</v>
      </c>
      <c r="J1922" s="188" t="inlineStr">
        <is>
          <t>NO</t>
        </is>
      </c>
      <c r="K1922" s="188" t="inlineStr">
        <is>
          <t>https://talosintelligence.com/reputation_center/lookup?search=1.192.3.139</t>
        </is>
      </c>
      <c r="L1922" s="188" t="inlineStr">
        <is>
          <t>2026-02-26 00:15</t>
        </is>
      </c>
      <c r="M1922" s="188" t="inlineStr">
        <is>
          <t>Block IP</t>
        </is>
      </c>
      <c r="N1922" s="188" t="inlineStr">
        <is>
          <t>https://talosintelligence.com/reputation_center/lookup?search=1.192.3.139</t>
        </is>
      </c>
      <c r="O1922" s="188" t="inlineStr">
        <is>
          <t>Block IP 1.192.3.139 at firewall | Cisco Talos confirmed malicious</t>
        </is>
      </c>
      <c r="P1922" s="188" t="inlineStr">
        <is>
          <t>Network perimeter / Email / Web</t>
        </is>
      </c>
      <c r="Q1922" s="188" t="inlineStr">
        <is>
          <t>P3</t>
        </is>
      </c>
      <c r="R1922" s="188" t="inlineStr">
        <is>
          <t>🚫 Block IP at firewall immediately | 🔍 Check logs for existing connections | 🛡️ Add to threat intelligence blocklist</t>
        </is>
      </c>
      <c r="S1922" s="188" t="inlineStr">
        <is>
          <t>Check ip-api.com + AbuseIPDB for context</t>
        </is>
      </c>
      <c r="T1922" s="188" t="n">
        <v>0</v>
      </c>
      <c r="U1922" s="188" t="n">
        <v>0</v>
      </c>
      <c r="V1922" s="188" t="inlineStr">
        <is>
          <t>T1110:Brute Force | T1190:Exploit Public-Facing Application | T1566:Phishing</t>
        </is>
      </c>
      <c r="W1922" s="188" t="n">
        <v>1</v>
      </c>
      <c r="X1922" s="188" t="inlineStr">
        <is>
          <t>MEDIUM (60%)</t>
        </is>
      </c>
      <c r="Y1922" s="188" t="inlineStr">
        <is>
          <t>NONE</t>
        </is>
      </c>
      <c r="Z1922" s="188" t="inlineStr">
        <is>
          <t>NONE</t>
        </is>
      </c>
      <c r="AA1922" s="188" t="inlineStr">
        <is>
          <t>NONE</t>
        </is>
      </c>
      <c r="AB1922" s="188" t="inlineStr">
        <is>
          <t>NONE</t>
        </is>
      </c>
      <c r="AC1922" s="188" t="n">
        <v>0</v>
      </c>
      <c r="AD1922" s="188" t="inlineStr"/>
    </row>
    <row r="1923">
      <c r="A1923" s="188" t="inlineStr">
        <is>
          <t>TALOS_IP</t>
        </is>
      </c>
      <c r="B1923" s="188" t="inlineStr">
        <is>
          <t>ecb88cf966c1</t>
        </is>
      </c>
      <c r="C1923" s="188" t="inlineStr">
        <is>
          <t>Cisco Talos Blacklisted IP: 1.193.63.180 | Verified malicious | Sources: TALOS</t>
        </is>
      </c>
      <c r="D1923" s="188" t="n">
        <v>7</v>
      </c>
      <c r="E1923" s="188" t="inlineStr">
        <is>
          <t>HIGH</t>
        </is>
      </c>
      <c r="F1923" s="188" t="n">
        <v>3</v>
      </c>
      <c r="G1923" s="188" t="n">
        <v>2</v>
      </c>
      <c r="H1923" s="188" t="inlineStr">
        <is>
          <t>HIGH</t>
        </is>
      </c>
      <c r="I1923" s="188" t="n">
        <v>13</v>
      </c>
      <c r="J1923" s="188" t="inlineStr">
        <is>
          <t>NO</t>
        </is>
      </c>
      <c r="K1923" s="188" t="inlineStr">
        <is>
          <t>https://talosintelligence.com/reputation_center/lookup?search=1.193.63.180</t>
        </is>
      </c>
      <c r="L1923" s="188" t="inlineStr">
        <is>
          <t>2026-02-26 00:15</t>
        </is>
      </c>
      <c r="M1923" s="188" t="inlineStr">
        <is>
          <t>Block IP</t>
        </is>
      </c>
      <c r="N1923" s="188" t="inlineStr">
        <is>
          <t>https://talosintelligence.com/reputation_center/lookup?search=1.193.63.180</t>
        </is>
      </c>
      <c r="O1923" s="188" t="inlineStr">
        <is>
          <t>Block IP 1.193.63.180 at firewall | Cisco Talos confirmed malicious</t>
        </is>
      </c>
      <c r="P1923" s="188" t="inlineStr">
        <is>
          <t>Network perimeter / Email / Web</t>
        </is>
      </c>
      <c r="Q1923" s="188" t="inlineStr">
        <is>
          <t>P3</t>
        </is>
      </c>
      <c r="R1923" s="188" t="inlineStr">
        <is>
          <t>🚫 Block IP at firewall immediately | 🔍 Check logs for existing connections | 🛡️ Add to threat intelligence blocklist</t>
        </is>
      </c>
      <c r="S1923" s="188" t="inlineStr">
        <is>
          <t>Check ip-api.com + AbuseIPDB for context</t>
        </is>
      </c>
      <c r="T1923" s="188" t="n">
        <v>0</v>
      </c>
      <c r="U1923" s="188" t="n">
        <v>0</v>
      </c>
      <c r="V1923" s="188" t="inlineStr">
        <is>
          <t>T1110:Brute Force | T1190:Exploit Public-Facing Application | T1566:Phishing</t>
        </is>
      </c>
      <c r="W1923" s="188" t="n">
        <v>1</v>
      </c>
      <c r="X1923" s="188" t="inlineStr">
        <is>
          <t>MEDIUM (60%)</t>
        </is>
      </c>
      <c r="Y1923" s="188" t="inlineStr">
        <is>
          <t>NONE</t>
        </is>
      </c>
      <c r="Z1923" s="188" t="inlineStr">
        <is>
          <t>NONE</t>
        </is>
      </c>
      <c r="AA1923" s="188" t="inlineStr">
        <is>
          <t>NONE</t>
        </is>
      </c>
      <c r="AB1923" s="188" t="inlineStr">
        <is>
          <t>NONE</t>
        </is>
      </c>
      <c r="AC1923" s="188" t="n">
        <v>0</v>
      </c>
      <c r="AD1923" s="188" t="inlineStr"/>
    </row>
    <row r="1924">
      <c r="A1924" s="188" t="inlineStr">
        <is>
          <t>TALOS_IP</t>
        </is>
      </c>
      <c r="B1924" s="188" t="inlineStr">
        <is>
          <t>a1f79af10495</t>
        </is>
      </c>
      <c r="C1924" s="188" t="inlineStr">
        <is>
          <t>Cisco Talos Blacklisted IP: 1.193.63.9 | Verified malicious | Sources: TALOS</t>
        </is>
      </c>
      <c r="D1924" s="188" t="n">
        <v>7</v>
      </c>
      <c r="E1924" s="188" t="inlineStr">
        <is>
          <t>HIGH</t>
        </is>
      </c>
      <c r="F1924" s="188" t="n">
        <v>3</v>
      </c>
      <c r="G1924" s="188" t="n">
        <v>2</v>
      </c>
      <c r="H1924" s="188" t="inlineStr">
        <is>
          <t>HIGH</t>
        </is>
      </c>
      <c r="I1924" s="188" t="n">
        <v>13</v>
      </c>
      <c r="J1924" s="188" t="inlineStr">
        <is>
          <t>NO</t>
        </is>
      </c>
      <c r="K1924" s="188" t="inlineStr">
        <is>
          <t>https://talosintelligence.com/reputation_center/lookup?search=1.193.63.9</t>
        </is>
      </c>
      <c r="L1924" s="188" t="inlineStr">
        <is>
          <t>2026-02-26 00:15</t>
        </is>
      </c>
      <c r="M1924" s="188" t="inlineStr">
        <is>
          <t>Block IP</t>
        </is>
      </c>
      <c r="N1924" s="188" t="inlineStr">
        <is>
          <t>https://talosintelligence.com/reputation_center/lookup?search=1.193.63.9</t>
        </is>
      </c>
      <c r="O1924" s="188" t="inlineStr">
        <is>
          <t>Block IP 1.193.63.9 at firewall | Cisco Talos confirmed malicious</t>
        </is>
      </c>
      <c r="P1924" s="188" t="inlineStr">
        <is>
          <t>Network perimeter / Email / Web</t>
        </is>
      </c>
      <c r="Q1924" s="188" t="inlineStr">
        <is>
          <t>P3</t>
        </is>
      </c>
      <c r="R1924" s="188" t="inlineStr">
        <is>
          <t>🚫 Block IP at firewall immediately | 🔍 Check logs for existing connections | 🛡️ Add to threat intelligence blocklist</t>
        </is>
      </c>
      <c r="S1924" s="188" t="inlineStr">
        <is>
          <t>Check ip-api.com + AbuseIPDB for context</t>
        </is>
      </c>
      <c r="T1924" s="188" t="n">
        <v>0</v>
      </c>
      <c r="U1924" s="188" t="n">
        <v>0</v>
      </c>
      <c r="V1924" s="188" t="inlineStr">
        <is>
          <t>T1110:Brute Force | T1190:Exploit Public-Facing Application | T1566:Phishing</t>
        </is>
      </c>
      <c r="W1924" s="188" t="n">
        <v>1</v>
      </c>
      <c r="X1924" s="188" t="inlineStr">
        <is>
          <t>MEDIUM (60%)</t>
        </is>
      </c>
      <c r="Y1924" s="188" t="inlineStr">
        <is>
          <t>NONE</t>
        </is>
      </c>
      <c r="Z1924" s="188" t="inlineStr">
        <is>
          <t>NONE</t>
        </is>
      </c>
      <c r="AA1924" s="188" t="inlineStr">
        <is>
          <t>NONE</t>
        </is>
      </c>
      <c r="AB1924" s="188" t="inlineStr">
        <is>
          <t>NONE</t>
        </is>
      </c>
      <c r="AC1924" s="188" t="n">
        <v>0</v>
      </c>
      <c r="AD1924" s="188" t="inlineStr"/>
    </row>
    <row r="1925">
      <c r="A1925" s="188" t="inlineStr">
        <is>
          <t>TALOS_IP</t>
        </is>
      </c>
      <c r="B1925" s="188" t="inlineStr">
        <is>
          <t>af8f50773166</t>
        </is>
      </c>
      <c r="C1925" s="188" t="inlineStr">
        <is>
          <t>Cisco Talos Blacklisted IP: 1.197.46.11 | Verified malicious | Sources: TALOS</t>
        </is>
      </c>
      <c r="D1925" s="188" t="n">
        <v>7</v>
      </c>
      <c r="E1925" s="188" t="inlineStr">
        <is>
          <t>HIGH</t>
        </is>
      </c>
      <c r="F1925" s="188" t="n">
        <v>3</v>
      </c>
      <c r="G1925" s="188" t="n">
        <v>2</v>
      </c>
      <c r="H1925" s="188" t="inlineStr">
        <is>
          <t>HIGH</t>
        </is>
      </c>
      <c r="I1925" s="188" t="n">
        <v>13</v>
      </c>
      <c r="J1925" s="188" t="inlineStr">
        <is>
          <t>NO</t>
        </is>
      </c>
      <c r="K1925" s="188" t="inlineStr">
        <is>
          <t>https://talosintelligence.com/reputation_center/lookup?search=1.197.46.11</t>
        </is>
      </c>
      <c r="L1925" s="188" t="inlineStr">
        <is>
          <t>2026-02-26 00:15</t>
        </is>
      </c>
      <c r="M1925" s="188" t="inlineStr">
        <is>
          <t>Block IP</t>
        </is>
      </c>
      <c r="N1925" s="188" t="inlineStr">
        <is>
          <t>https://talosintelligence.com/reputation_center/lookup?search=1.197.46.11</t>
        </is>
      </c>
      <c r="O1925" s="188" t="inlineStr">
        <is>
          <t>Block IP 1.197.46.11 at firewall | Cisco Talos confirmed malicious</t>
        </is>
      </c>
      <c r="P1925" s="188" t="inlineStr">
        <is>
          <t>Network perimeter / Email / Web</t>
        </is>
      </c>
      <c r="Q1925" s="188" t="inlineStr">
        <is>
          <t>P3</t>
        </is>
      </c>
      <c r="R1925" s="188" t="inlineStr">
        <is>
          <t>🚫 Block IP at firewall immediately | 🔍 Check logs for existing connections | 🛡️ Add to threat intelligence blocklist</t>
        </is>
      </c>
      <c r="S1925" s="188" t="inlineStr">
        <is>
          <t>Check ip-api.com + AbuseIPDB for context</t>
        </is>
      </c>
      <c r="T1925" s="188" t="n">
        <v>0</v>
      </c>
      <c r="U1925" s="188" t="n">
        <v>0</v>
      </c>
      <c r="V1925" s="188" t="inlineStr">
        <is>
          <t>T1110:Brute Force | T1190:Exploit Public-Facing Application | T1566:Phishing</t>
        </is>
      </c>
      <c r="W1925" s="188" t="n">
        <v>1</v>
      </c>
      <c r="X1925" s="188" t="inlineStr">
        <is>
          <t>MEDIUM (60%)</t>
        </is>
      </c>
      <c r="Y1925" s="188" t="inlineStr">
        <is>
          <t>NONE</t>
        </is>
      </c>
      <c r="Z1925" s="188" t="inlineStr">
        <is>
          <t>NONE</t>
        </is>
      </c>
      <c r="AA1925" s="188" t="inlineStr">
        <is>
          <t>NONE</t>
        </is>
      </c>
      <c r="AB1925" s="188" t="inlineStr">
        <is>
          <t>NONE</t>
        </is>
      </c>
      <c r="AC1925" s="188" t="n">
        <v>0</v>
      </c>
      <c r="AD1925" s="188" t="inlineStr"/>
    </row>
    <row r="1926">
      <c r="A1926" s="188" t="inlineStr">
        <is>
          <t>TALOS_IP</t>
        </is>
      </c>
      <c r="B1926" s="188" t="inlineStr">
        <is>
          <t>91a367098d84</t>
        </is>
      </c>
      <c r="C1926" s="188" t="inlineStr">
        <is>
          <t>Cisco Talos Blacklisted IP: 1.197.59.220 | Verified malicious | Sources: TALOS</t>
        </is>
      </c>
      <c r="D1926" s="188" t="n">
        <v>7</v>
      </c>
      <c r="E1926" s="188" t="inlineStr">
        <is>
          <t>HIGH</t>
        </is>
      </c>
      <c r="F1926" s="188" t="n">
        <v>3</v>
      </c>
      <c r="G1926" s="188" t="n">
        <v>2</v>
      </c>
      <c r="H1926" s="188" t="inlineStr">
        <is>
          <t>HIGH</t>
        </is>
      </c>
      <c r="I1926" s="188" t="n">
        <v>13</v>
      </c>
      <c r="J1926" s="188" t="inlineStr">
        <is>
          <t>NO</t>
        </is>
      </c>
      <c r="K1926" s="188" t="inlineStr">
        <is>
          <t>https://talosintelligence.com/reputation_center/lookup?search=1.197.59.220</t>
        </is>
      </c>
      <c r="L1926" s="188" t="inlineStr">
        <is>
          <t>2026-02-26 00:15</t>
        </is>
      </c>
      <c r="M1926" s="188" t="inlineStr">
        <is>
          <t>Block IP</t>
        </is>
      </c>
      <c r="N1926" s="188" t="inlineStr">
        <is>
          <t>https://talosintelligence.com/reputation_center/lookup?search=1.197.59.220</t>
        </is>
      </c>
      <c r="O1926" s="188" t="inlineStr">
        <is>
          <t>Block IP 1.197.59.220 at firewall | Cisco Talos confirmed malicious</t>
        </is>
      </c>
      <c r="P1926" s="188" t="inlineStr">
        <is>
          <t>Network perimeter / Email / Web</t>
        </is>
      </c>
      <c r="Q1926" s="188" t="inlineStr">
        <is>
          <t>P3</t>
        </is>
      </c>
      <c r="R1926" s="188" t="inlineStr">
        <is>
          <t>🚫 Block IP at firewall immediately | 🔍 Check logs for existing connections | 🛡️ Add to threat intelligence blocklist</t>
        </is>
      </c>
      <c r="S1926" s="188" t="inlineStr">
        <is>
          <t>Check ip-api.com + AbuseIPDB for context</t>
        </is>
      </c>
      <c r="T1926" s="188" t="n">
        <v>0</v>
      </c>
      <c r="U1926" s="188" t="n">
        <v>0</v>
      </c>
      <c r="V1926" s="188" t="inlineStr">
        <is>
          <t>T1110:Brute Force | T1190:Exploit Public-Facing Application | T1566:Phishing</t>
        </is>
      </c>
      <c r="W1926" s="188" t="n">
        <v>1</v>
      </c>
      <c r="X1926" s="188" t="inlineStr">
        <is>
          <t>MEDIUM (60%)</t>
        </is>
      </c>
      <c r="Y1926" s="188" t="inlineStr">
        <is>
          <t>NONE</t>
        </is>
      </c>
      <c r="Z1926" s="188" t="inlineStr">
        <is>
          <t>NONE</t>
        </is>
      </c>
      <c r="AA1926" s="188" t="inlineStr">
        <is>
          <t>NONE</t>
        </is>
      </c>
      <c r="AB1926" s="188" t="inlineStr">
        <is>
          <t>NONE</t>
        </is>
      </c>
      <c r="AC1926" s="188" t="n">
        <v>0</v>
      </c>
      <c r="AD1926" s="188" t="inlineStr"/>
    </row>
    <row r="1927">
      <c r="A1927" s="188" t="inlineStr">
        <is>
          <t>TALOS_IP</t>
        </is>
      </c>
      <c r="B1927" s="188" t="inlineStr">
        <is>
          <t>f9ed7dcf18b1</t>
        </is>
      </c>
      <c r="C1927" s="188" t="inlineStr">
        <is>
          <t>Cisco Talos Blacklisted IP: 1.20.93.92 | Verified malicious | Sources: TALOS</t>
        </is>
      </c>
      <c r="D1927" s="188" t="n">
        <v>7</v>
      </c>
      <c r="E1927" s="188" t="inlineStr">
        <is>
          <t>HIGH</t>
        </is>
      </c>
      <c r="F1927" s="188" t="n">
        <v>3</v>
      </c>
      <c r="G1927" s="188" t="n">
        <v>2</v>
      </c>
      <c r="H1927" s="188" t="inlineStr">
        <is>
          <t>HIGH</t>
        </is>
      </c>
      <c r="I1927" s="188" t="n">
        <v>13</v>
      </c>
      <c r="J1927" s="188" t="inlineStr">
        <is>
          <t>NO</t>
        </is>
      </c>
      <c r="K1927" s="188" t="inlineStr">
        <is>
          <t>https://talosintelligence.com/reputation_center/lookup?search=1.20.93.92</t>
        </is>
      </c>
      <c r="L1927" s="188" t="inlineStr">
        <is>
          <t>2026-02-26 00:15</t>
        </is>
      </c>
      <c r="M1927" s="188" t="inlineStr">
        <is>
          <t>Block IP</t>
        </is>
      </c>
      <c r="N1927" s="188" t="inlineStr">
        <is>
          <t>https://talosintelligence.com/reputation_center/lookup?search=1.20.93.92</t>
        </is>
      </c>
      <c r="O1927" s="188" t="inlineStr">
        <is>
          <t>Block IP 1.20.93.92 at firewall | Cisco Talos confirmed malicious</t>
        </is>
      </c>
      <c r="P1927" s="188" t="inlineStr">
        <is>
          <t>Network perimeter / Email / Web</t>
        </is>
      </c>
      <c r="Q1927" s="188" t="inlineStr">
        <is>
          <t>P3</t>
        </is>
      </c>
      <c r="R1927" s="188" t="inlineStr">
        <is>
          <t>🚫 Block IP at firewall immediately | 🔍 Check logs for existing connections | 🛡️ Add to threat intelligence blocklist</t>
        </is>
      </c>
      <c r="S1927" s="188" t="inlineStr">
        <is>
          <t>Check ip-api.com + AbuseIPDB for context</t>
        </is>
      </c>
      <c r="T1927" s="188" t="n">
        <v>0</v>
      </c>
      <c r="U1927" s="188" t="n">
        <v>0</v>
      </c>
      <c r="V1927" s="188" t="inlineStr">
        <is>
          <t>T1110:Brute Force | T1190:Exploit Public-Facing Application | T1566:Phishing</t>
        </is>
      </c>
      <c r="W1927" s="188" t="n">
        <v>1</v>
      </c>
      <c r="X1927" s="188" t="inlineStr">
        <is>
          <t>MEDIUM (60%)</t>
        </is>
      </c>
      <c r="Y1927" s="188" t="inlineStr">
        <is>
          <t>NONE</t>
        </is>
      </c>
      <c r="Z1927" s="188" t="inlineStr">
        <is>
          <t>NONE</t>
        </is>
      </c>
      <c r="AA1927" s="188" t="inlineStr">
        <is>
          <t>NONE</t>
        </is>
      </c>
      <c r="AB1927" s="188" t="inlineStr">
        <is>
          <t>NONE</t>
        </is>
      </c>
      <c r="AC1927" s="188" t="n">
        <v>0</v>
      </c>
      <c r="AD1927" s="188" t="inlineStr"/>
    </row>
    <row r="1928">
      <c r="A1928" s="188" t="inlineStr">
        <is>
          <t>TALOS_IP</t>
        </is>
      </c>
      <c r="B1928" s="188" t="inlineStr">
        <is>
          <t>8d3b91712ecd</t>
        </is>
      </c>
      <c r="C1928" s="188" t="inlineStr">
        <is>
          <t>Cisco Talos Blacklisted IP: 1.2.164.108 | Verified malicious | Sources: TALOS</t>
        </is>
      </c>
      <c r="D1928" s="188" t="n">
        <v>7</v>
      </c>
      <c r="E1928" s="188" t="inlineStr">
        <is>
          <t>HIGH</t>
        </is>
      </c>
      <c r="F1928" s="188" t="n">
        <v>3</v>
      </c>
      <c r="G1928" s="188" t="n">
        <v>2</v>
      </c>
      <c r="H1928" s="188" t="inlineStr">
        <is>
          <t>HIGH</t>
        </is>
      </c>
      <c r="I1928" s="188" t="n">
        <v>13</v>
      </c>
      <c r="J1928" s="188" t="inlineStr">
        <is>
          <t>NO</t>
        </is>
      </c>
      <c r="K1928" s="188" t="inlineStr">
        <is>
          <t>https://talosintelligence.com/reputation_center/lookup?search=1.2.164.108</t>
        </is>
      </c>
      <c r="L1928" s="188" t="inlineStr">
        <is>
          <t>2026-02-26 00:15</t>
        </is>
      </c>
      <c r="M1928" s="188" t="inlineStr">
        <is>
          <t>Block IP</t>
        </is>
      </c>
      <c r="N1928" s="188" t="inlineStr">
        <is>
          <t>https://talosintelligence.com/reputation_center/lookup?search=1.2.164.108</t>
        </is>
      </c>
      <c r="O1928" s="188" t="inlineStr">
        <is>
          <t>Block IP 1.2.164.108 at firewall | Cisco Talos confirmed malicious</t>
        </is>
      </c>
      <c r="P1928" s="188" t="inlineStr">
        <is>
          <t>Network perimeter / Email / Web</t>
        </is>
      </c>
      <c r="Q1928" s="188" t="inlineStr">
        <is>
          <t>P3</t>
        </is>
      </c>
      <c r="R1928" s="188" t="inlineStr">
        <is>
          <t>🚫 Block IP at firewall immediately | 🔍 Check logs for existing connections | 🛡️ Add to threat intelligence blocklist</t>
        </is>
      </c>
      <c r="S1928" s="188" t="inlineStr">
        <is>
          <t>Check ip-api.com + AbuseIPDB for context</t>
        </is>
      </c>
      <c r="T1928" s="188" t="n">
        <v>0</v>
      </c>
      <c r="U1928" s="188" t="n">
        <v>0</v>
      </c>
      <c r="V1928" s="188" t="inlineStr">
        <is>
          <t>T1110:Brute Force | T1190:Exploit Public-Facing Application | T1566:Phishing</t>
        </is>
      </c>
      <c r="W1928" s="188" t="n">
        <v>1</v>
      </c>
      <c r="X1928" s="188" t="inlineStr">
        <is>
          <t>MEDIUM (60%)</t>
        </is>
      </c>
      <c r="Y1928" s="188" t="inlineStr">
        <is>
          <t>NONE</t>
        </is>
      </c>
      <c r="Z1928" s="188" t="inlineStr">
        <is>
          <t>NONE</t>
        </is>
      </c>
      <c r="AA1928" s="188" t="inlineStr">
        <is>
          <t>NONE</t>
        </is>
      </c>
      <c r="AB1928" s="188" t="inlineStr">
        <is>
          <t>NONE</t>
        </is>
      </c>
      <c r="AC1928" s="188" t="n">
        <v>0</v>
      </c>
      <c r="AD1928" s="188" t="inlineStr"/>
    </row>
    <row r="1929">
      <c r="A1929" s="188" t="inlineStr">
        <is>
          <t>TALOS_IP</t>
        </is>
      </c>
      <c r="B1929" s="188" t="inlineStr">
        <is>
          <t>e2824185e33a</t>
        </is>
      </c>
      <c r="C1929" s="188" t="inlineStr">
        <is>
          <t>Cisco Talos Blacklisted IP: 1.203.97.227 | Verified malicious | Sources: TALOS</t>
        </is>
      </c>
      <c r="D1929" s="188" t="n">
        <v>7</v>
      </c>
      <c r="E1929" s="188" t="inlineStr">
        <is>
          <t>HIGH</t>
        </is>
      </c>
      <c r="F1929" s="188" t="n">
        <v>3</v>
      </c>
      <c r="G1929" s="188" t="n">
        <v>2</v>
      </c>
      <c r="H1929" s="188" t="inlineStr">
        <is>
          <t>HIGH</t>
        </is>
      </c>
      <c r="I1929" s="188" t="n">
        <v>13</v>
      </c>
      <c r="J1929" s="188" t="inlineStr">
        <is>
          <t>NO</t>
        </is>
      </c>
      <c r="K1929" s="188" t="inlineStr">
        <is>
          <t>https://talosintelligence.com/reputation_center/lookup?search=1.203.97.227</t>
        </is>
      </c>
      <c r="L1929" s="188" t="inlineStr">
        <is>
          <t>2026-02-26 00:15</t>
        </is>
      </c>
      <c r="M1929" s="188" t="inlineStr">
        <is>
          <t>Block IP</t>
        </is>
      </c>
      <c r="N1929" s="188" t="inlineStr">
        <is>
          <t>https://talosintelligence.com/reputation_center/lookup?search=1.203.97.227</t>
        </is>
      </c>
      <c r="O1929" s="188" t="inlineStr">
        <is>
          <t>Block IP 1.203.97.227 at firewall | Cisco Talos confirmed malicious</t>
        </is>
      </c>
      <c r="P1929" s="188" t="inlineStr">
        <is>
          <t>Network perimeter / Email / Web</t>
        </is>
      </c>
      <c r="Q1929" s="188" t="inlineStr">
        <is>
          <t>P3</t>
        </is>
      </c>
      <c r="R1929" s="188" t="inlineStr">
        <is>
          <t>🚫 Block IP at firewall immediately | 🔍 Check logs for existing connections | 🛡️ Add to threat intelligence blocklist</t>
        </is>
      </c>
      <c r="S1929" s="188" t="inlineStr">
        <is>
          <t>Check ip-api.com + AbuseIPDB for context</t>
        </is>
      </c>
      <c r="T1929" s="188" t="n">
        <v>0</v>
      </c>
      <c r="U1929" s="188" t="n">
        <v>0</v>
      </c>
      <c r="V1929" s="188" t="inlineStr">
        <is>
          <t>T1110:Brute Force | T1190:Exploit Public-Facing Application | T1566:Phishing</t>
        </is>
      </c>
      <c r="W1929" s="188" t="n">
        <v>1</v>
      </c>
      <c r="X1929" s="188" t="inlineStr">
        <is>
          <t>MEDIUM (60%)</t>
        </is>
      </c>
      <c r="Y1929" s="188" t="inlineStr">
        <is>
          <t>NONE</t>
        </is>
      </c>
      <c r="Z1929" s="188" t="inlineStr">
        <is>
          <t>NONE</t>
        </is>
      </c>
      <c r="AA1929" s="188" t="inlineStr">
        <is>
          <t>NONE</t>
        </is>
      </c>
      <c r="AB1929" s="188" t="inlineStr">
        <is>
          <t>NONE</t>
        </is>
      </c>
      <c r="AC1929" s="188" t="n">
        <v>0</v>
      </c>
      <c r="AD1929" s="188" t="inlineStr"/>
    </row>
    <row r="1930">
      <c r="A1930" s="188" t="inlineStr">
        <is>
          <t>TALOS_IP</t>
        </is>
      </c>
      <c r="B1930" s="188" t="inlineStr">
        <is>
          <t>b8b92207ea43</t>
        </is>
      </c>
      <c r="C1930" s="188" t="inlineStr">
        <is>
          <t>Cisco Talos Blacklisted IP: 1.213.196.20 | Verified malicious | Sources: TALOS</t>
        </is>
      </c>
      <c r="D1930" s="188" t="n">
        <v>7</v>
      </c>
      <c r="E1930" s="188" t="inlineStr">
        <is>
          <t>HIGH</t>
        </is>
      </c>
      <c r="F1930" s="188" t="n">
        <v>3</v>
      </c>
      <c r="G1930" s="188" t="n">
        <v>2</v>
      </c>
      <c r="H1930" s="188" t="inlineStr">
        <is>
          <t>HIGH</t>
        </is>
      </c>
      <c r="I1930" s="188" t="n">
        <v>13</v>
      </c>
      <c r="J1930" s="188" t="inlineStr">
        <is>
          <t>NO</t>
        </is>
      </c>
      <c r="K1930" s="188" t="inlineStr">
        <is>
          <t>https://talosintelligence.com/reputation_center/lookup?search=1.213.196.20</t>
        </is>
      </c>
      <c r="L1930" s="188" t="inlineStr">
        <is>
          <t>2026-02-26 00:15</t>
        </is>
      </c>
      <c r="M1930" s="188" t="inlineStr">
        <is>
          <t>Block IP</t>
        </is>
      </c>
      <c r="N1930" s="188" t="inlineStr">
        <is>
          <t>https://talosintelligence.com/reputation_center/lookup?search=1.213.196.20</t>
        </is>
      </c>
      <c r="O1930" s="188" t="inlineStr">
        <is>
          <t>Block IP 1.213.196.20 at firewall | Cisco Talos confirmed malicious</t>
        </is>
      </c>
      <c r="P1930" s="188" t="inlineStr">
        <is>
          <t>Network perimeter / Email / Web</t>
        </is>
      </c>
      <c r="Q1930" s="188" t="inlineStr">
        <is>
          <t>P3</t>
        </is>
      </c>
      <c r="R1930" s="188" t="inlineStr">
        <is>
          <t>🚫 Block IP at firewall immediately | 🔍 Check logs for existing connections | 🛡️ Add to threat intelligence blocklist</t>
        </is>
      </c>
      <c r="S1930" s="188" t="inlineStr">
        <is>
          <t>Check ip-api.com + AbuseIPDB for context</t>
        </is>
      </c>
      <c r="T1930" s="188" t="n">
        <v>0</v>
      </c>
      <c r="U1930" s="188" t="n">
        <v>0</v>
      </c>
      <c r="V1930" s="188" t="inlineStr">
        <is>
          <t>T1110:Brute Force | T1190:Exploit Public-Facing Application | T1566:Phishing</t>
        </is>
      </c>
      <c r="W1930" s="188" t="n">
        <v>1</v>
      </c>
      <c r="X1930" s="188" t="inlineStr">
        <is>
          <t>MEDIUM (60%)</t>
        </is>
      </c>
      <c r="Y1930" s="188" t="inlineStr">
        <is>
          <t>NONE</t>
        </is>
      </c>
      <c r="Z1930" s="188" t="inlineStr">
        <is>
          <t>NONE</t>
        </is>
      </c>
      <c r="AA1930" s="188" t="inlineStr">
        <is>
          <t>NONE</t>
        </is>
      </c>
      <c r="AB1930" s="188" t="inlineStr">
        <is>
          <t>NONE</t>
        </is>
      </c>
      <c r="AC1930" s="188" t="n">
        <v>0</v>
      </c>
      <c r="AD1930" s="188" t="inlineStr"/>
    </row>
    <row r="1931">
      <c r="A1931" s="188" t="inlineStr">
        <is>
          <t>TALOS_IP</t>
        </is>
      </c>
      <c r="B1931" s="188" t="inlineStr">
        <is>
          <t>7e1448079186</t>
        </is>
      </c>
      <c r="C1931" s="188" t="inlineStr">
        <is>
          <t>Cisco Talos Blacklisted IP: 1.213.214.233 | Verified malicious | Sources: TALOS</t>
        </is>
      </c>
      <c r="D1931" s="188" t="n">
        <v>7</v>
      </c>
      <c r="E1931" s="188" t="inlineStr">
        <is>
          <t>HIGH</t>
        </is>
      </c>
      <c r="F1931" s="188" t="n">
        <v>3</v>
      </c>
      <c r="G1931" s="188" t="n">
        <v>2</v>
      </c>
      <c r="H1931" s="188" t="inlineStr">
        <is>
          <t>HIGH</t>
        </is>
      </c>
      <c r="I1931" s="188" t="n">
        <v>13</v>
      </c>
      <c r="J1931" s="188" t="inlineStr">
        <is>
          <t>NO</t>
        </is>
      </c>
      <c r="K1931" s="188" t="inlineStr">
        <is>
          <t>https://talosintelligence.com/reputation_center/lookup?search=1.213.214.233</t>
        </is>
      </c>
      <c r="L1931" s="188" t="inlineStr">
        <is>
          <t>2026-02-26 00:15</t>
        </is>
      </c>
      <c r="M1931" s="188" t="inlineStr">
        <is>
          <t>Block IP</t>
        </is>
      </c>
      <c r="N1931" s="188" t="inlineStr">
        <is>
          <t>https://talosintelligence.com/reputation_center/lookup?search=1.213.214.233</t>
        </is>
      </c>
      <c r="O1931" s="188" t="inlineStr">
        <is>
          <t>Block IP 1.213.214.233 at firewall | Cisco Talos confirmed malicious</t>
        </is>
      </c>
      <c r="P1931" s="188" t="inlineStr">
        <is>
          <t>Network perimeter / Email / Web</t>
        </is>
      </c>
      <c r="Q1931" s="188" t="inlineStr">
        <is>
          <t>P3</t>
        </is>
      </c>
      <c r="R1931" s="188" t="inlineStr">
        <is>
          <t>🚫 Block IP at firewall immediately | 🔍 Check logs for existing connections | 🛡️ Add to threat intelligence blocklist</t>
        </is>
      </c>
      <c r="S1931" s="188" t="inlineStr">
        <is>
          <t>Check ip-api.com + AbuseIPDB for context</t>
        </is>
      </c>
      <c r="T1931" s="188" t="n">
        <v>0</v>
      </c>
      <c r="U1931" s="188" t="n">
        <v>0</v>
      </c>
      <c r="V1931" s="188" t="inlineStr">
        <is>
          <t>T1110:Brute Force | T1190:Exploit Public-Facing Application | T1566:Phishing</t>
        </is>
      </c>
      <c r="W1931" s="188" t="n">
        <v>1</v>
      </c>
      <c r="X1931" s="188" t="inlineStr">
        <is>
          <t>MEDIUM (60%)</t>
        </is>
      </c>
      <c r="Y1931" s="188" t="inlineStr">
        <is>
          <t>NONE</t>
        </is>
      </c>
      <c r="Z1931" s="188" t="inlineStr">
        <is>
          <t>NONE</t>
        </is>
      </c>
      <c r="AA1931" s="188" t="inlineStr">
        <is>
          <t>NONE</t>
        </is>
      </c>
      <c r="AB1931" s="188" t="inlineStr">
        <is>
          <t>NONE</t>
        </is>
      </c>
      <c r="AC1931" s="188" t="n">
        <v>0</v>
      </c>
      <c r="AD1931" s="188" t="inlineStr"/>
    </row>
    <row r="1932">
      <c r="A1932" s="188" t="inlineStr">
        <is>
          <t>TALOS_IP</t>
        </is>
      </c>
      <c r="B1932" s="188" t="inlineStr">
        <is>
          <t>a0d989b54343</t>
        </is>
      </c>
      <c r="C1932" s="188" t="inlineStr">
        <is>
          <t>Cisco Talos Blacklisted IP: 1.215.138.43 | Verified malicious | Sources: TALOS</t>
        </is>
      </c>
      <c r="D1932" s="188" t="n">
        <v>7</v>
      </c>
      <c r="E1932" s="188" t="inlineStr">
        <is>
          <t>HIGH</t>
        </is>
      </c>
      <c r="F1932" s="188" t="n">
        <v>3</v>
      </c>
      <c r="G1932" s="188" t="n">
        <v>2</v>
      </c>
      <c r="H1932" s="188" t="inlineStr">
        <is>
          <t>HIGH</t>
        </is>
      </c>
      <c r="I1932" s="188" t="n">
        <v>13</v>
      </c>
      <c r="J1932" s="188" t="inlineStr">
        <is>
          <t>NO</t>
        </is>
      </c>
      <c r="K1932" s="188" t="inlineStr">
        <is>
          <t>https://talosintelligence.com/reputation_center/lookup?search=1.215.138.43</t>
        </is>
      </c>
      <c r="L1932" s="188" t="inlineStr">
        <is>
          <t>2026-02-26 00:15</t>
        </is>
      </c>
      <c r="M1932" s="188" t="inlineStr">
        <is>
          <t>Block IP</t>
        </is>
      </c>
      <c r="N1932" s="188" t="inlineStr">
        <is>
          <t>https://talosintelligence.com/reputation_center/lookup?search=1.215.138.43</t>
        </is>
      </c>
      <c r="O1932" s="188" t="inlineStr">
        <is>
          <t>Block IP 1.215.138.43 at firewall | Cisco Talos confirmed malicious</t>
        </is>
      </c>
      <c r="P1932" s="188" t="inlineStr">
        <is>
          <t>Network perimeter / Email / Web</t>
        </is>
      </c>
      <c r="Q1932" s="188" t="inlineStr">
        <is>
          <t>P3</t>
        </is>
      </c>
      <c r="R1932" s="188" t="inlineStr">
        <is>
          <t>🚫 Block IP at firewall immediately | 🔍 Check logs for existing connections | 🛡️ Add to threat intelligence blocklist</t>
        </is>
      </c>
      <c r="S1932" s="188" t="inlineStr">
        <is>
          <t>Check ip-api.com + AbuseIPDB for context</t>
        </is>
      </c>
      <c r="T1932" s="188" t="n">
        <v>0</v>
      </c>
      <c r="U1932" s="188" t="n">
        <v>0</v>
      </c>
      <c r="V1932" s="188" t="inlineStr">
        <is>
          <t>T1110:Brute Force | T1190:Exploit Public-Facing Application | T1566:Phishing</t>
        </is>
      </c>
      <c r="W1932" s="188" t="n">
        <v>1</v>
      </c>
      <c r="X1932" s="188" t="inlineStr">
        <is>
          <t>MEDIUM (60%)</t>
        </is>
      </c>
      <c r="Y1932" s="188" t="inlineStr">
        <is>
          <t>NONE</t>
        </is>
      </c>
      <c r="Z1932" s="188" t="inlineStr">
        <is>
          <t>NONE</t>
        </is>
      </c>
      <c r="AA1932" s="188" t="inlineStr">
        <is>
          <t>NONE</t>
        </is>
      </c>
      <c r="AB1932" s="188" t="inlineStr">
        <is>
          <t>NONE</t>
        </is>
      </c>
      <c r="AC1932" s="188" t="n">
        <v>0</v>
      </c>
      <c r="AD1932" s="188" t="inlineStr"/>
    </row>
    <row r="1933">
      <c r="A1933" s="188" t="inlineStr">
        <is>
          <t>TALOS_IP</t>
        </is>
      </c>
      <c r="B1933" s="188" t="inlineStr">
        <is>
          <t>8300ed1e8614</t>
        </is>
      </c>
      <c r="C1933" s="188" t="inlineStr">
        <is>
          <t>Cisco Talos Blacklisted IP: 1.24.16.103 | Verified malicious | Sources: TALOS</t>
        </is>
      </c>
      <c r="D1933" s="188" t="n">
        <v>7</v>
      </c>
      <c r="E1933" s="188" t="inlineStr">
        <is>
          <t>HIGH</t>
        </is>
      </c>
      <c r="F1933" s="188" t="n">
        <v>3</v>
      </c>
      <c r="G1933" s="188" t="n">
        <v>2</v>
      </c>
      <c r="H1933" s="188" t="inlineStr">
        <is>
          <t>HIGH</t>
        </is>
      </c>
      <c r="I1933" s="188" t="n">
        <v>13</v>
      </c>
      <c r="J1933" s="188" t="inlineStr">
        <is>
          <t>NO</t>
        </is>
      </c>
      <c r="K1933" s="188" t="inlineStr">
        <is>
          <t>https://talosintelligence.com/reputation_center/lookup?search=1.24.16.103</t>
        </is>
      </c>
      <c r="L1933" s="188" t="inlineStr">
        <is>
          <t>2026-02-26 00:15</t>
        </is>
      </c>
      <c r="M1933" s="188" t="inlineStr">
        <is>
          <t>Block IP</t>
        </is>
      </c>
      <c r="N1933" s="188" t="inlineStr">
        <is>
          <t>https://talosintelligence.com/reputation_center/lookup?search=1.24.16.103</t>
        </is>
      </c>
      <c r="O1933" s="188" t="inlineStr">
        <is>
          <t>Block IP 1.24.16.103 at firewall | Cisco Talos confirmed malicious</t>
        </is>
      </c>
      <c r="P1933" s="188" t="inlineStr">
        <is>
          <t>Network perimeter / Email / Web</t>
        </is>
      </c>
      <c r="Q1933" s="188" t="inlineStr">
        <is>
          <t>P3</t>
        </is>
      </c>
      <c r="R1933" s="188" t="inlineStr">
        <is>
          <t>🚫 Block IP at firewall immediately | 🔍 Check logs for existing connections | 🛡️ Add to threat intelligence blocklist</t>
        </is>
      </c>
      <c r="S1933" s="188" t="inlineStr">
        <is>
          <t>Check ip-api.com + AbuseIPDB for context</t>
        </is>
      </c>
      <c r="T1933" s="188" t="n">
        <v>0</v>
      </c>
      <c r="U1933" s="188" t="n">
        <v>0</v>
      </c>
      <c r="V1933" s="188" t="inlineStr">
        <is>
          <t>T1110:Brute Force | T1190:Exploit Public-Facing Application | T1566:Phishing</t>
        </is>
      </c>
      <c r="W1933" s="188" t="n">
        <v>1</v>
      </c>
      <c r="X1933" s="188" t="inlineStr">
        <is>
          <t>MEDIUM (60%)</t>
        </is>
      </c>
      <c r="Y1933" s="188" t="inlineStr">
        <is>
          <t>NONE</t>
        </is>
      </c>
      <c r="Z1933" s="188" t="inlineStr">
        <is>
          <t>NONE</t>
        </is>
      </c>
      <c r="AA1933" s="188" t="inlineStr">
        <is>
          <t>NONE</t>
        </is>
      </c>
      <c r="AB1933" s="188" t="inlineStr">
        <is>
          <t>NONE</t>
        </is>
      </c>
      <c r="AC1933" s="188" t="n">
        <v>0</v>
      </c>
      <c r="AD1933" s="188" t="inlineStr"/>
    </row>
    <row r="1934">
      <c r="A1934" s="188" t="inlineStr">
        <is>
          <t>TALOS_IP</t>
        </is>
      </c>
      <c r="B1934" s="188" t="inlineStr">
        <is>
          <t>015abd9a7678</t>
        </is>
      </c>
      <c r="C1934" s="188" t="inlineStr">
        <is>
          <t>Cisco Talos Blacklisted IP: 1.24.16.107 | Verified malicious | Sources: TALOS</t>
        </is>
      </c>
      <c r="D1934" s="188" t="n">
        <v>7</v>
      </c>
      <c r="E1934" s="188" t="inlineStr">
        <is>
          <t>HIGH</t>
        </is>
      </c>
      <c r="F1934" s="188" t="n">
        <v>3</v>
      </c>
      <c r="G1934" s="188" t="n">
        <v>2</v>
      </c>
      <c r="H1934" s="188" t="inlineStr">
        <is>
          <t>HIGH</t>
        </is>
      </c>
      <c r="I1934" s="188" t="n">
        <v>13</v>
      </c>
      <c r="J1934" s="188" t="inlineStr">
        <is>
          <t>NO</t>
        </is>
      </c>
      <c r="K1934" s="188" t="inlineStr">
        <is>
          <t>https://talosintelligence.com/reputation_center/lookup?search=1.24.16.107</t>
        </is>
      </c>
      <c r="L1934" s="188" t="inlineStr">
        <is>
          <t>2026-02-26 00:15</t>
        </is>
      </c>
      <c r="M1934" s="188" t="inlineStr">
        <is>
          <t>Block IP</t>
        </is>
      </c>
      <c r="N1934" s="188" t="inlineStr">
        <is>
          <t>https://talosintelligence.com/reputation_center/lookup?search=1.24.16.107</t>
        </is>
      </c>
      <c r="O1934" s="188" t="inlineStr">
        <is>
          <t>Block IP 1.24.16.107 at firewall | Cisco Talos confirmed malicious</t>
        </is>
      </c>
      <c r="P1934" s="188" t="inlineStr">
        <is>
          <t>Network perimeter / Email / Web</t>
        </is>
      </c>
      <c r="Q1934" s="188" t="inlineStr">
        <is>
          <t>P3</t>
        </is>
      </c>
      <c r="R1934" s="188" t="inlineStr">
        <is>
          <t>🚫 Block IP at firewall immediately | 🔍 Check logs for existing connections | 🛡️ Add to threat intelligence blocklist</t>
        </is>
      </c>
      <c r="S1934" s="188" t="inlineStr">
        <is>
          <t>Check ip-api.com + AbuseIPDB for context</t>
        </is>
      </c>
      <c r="T1934" s="188" t="n">
        <v>0</v>
      </c>
      <c r="U1934" s="188" t="n">
        <v>0</v>
      </c>
      <c r="V1934" s="188" t="inlineStr">
        <is>
          <t>T1110:Brute Force | T1190:Exploit Public-Facing Application | T1566:Phishing</t>
        </is>
      </c>
      <c r="W1934" s="188" t="n">
        <v>1</v>
      </c>
      <c r="X1934" s="188" t="inlineStr">
        <is>
          <t>MEDIUM (60%)</t>
        </is>
      </c>
      <c r="Y1934" s="188" t="inlineStr">
        <is>
          <t>NONE</t>
        </is>
      </c>
      <c r="Z1934" s="188" t="inlineStr">
        <is>
          <t>NONE</t>
        </is>
      </c>
      <c r="AA1934" s="188" t="inlineStr">
        <is>
          <t>NONE</t>
        </is>
      </c>
      <c r="AB1934" s="188" t="inlineStr">
        <is>
          <t>NONE</t>
        </is>
      </c>
      <c r="AC1934" s="188" t="n">
        <v>0</v>
      </c>
      <c r="AD1934" s="188" t="inlineStr"/>
    </row>
    <row r="1935">
      <c r="A1935" s="188" t="inlineStr">
        <is>
          <t>TALOS_IP</t>
        </is>
      </c>
      <c r="B1935" s="188" t="inlineStr">
        <is>
          <t>b803d2e10ab5</t>
        </is>
      </c>
      <c r="C1935" s="188" t="inlineStr">
        <is>
          <t>Cisco Talos Blacklisted IP: 1.24.16.109 | Verified malicious | Sources: TALOS</t>
        </is>
      </c>
      <c r="D1935" s="188" t="n">
        <v>7</v>
      </c>
      <c r="E1935" s="188" t="inlineStr">
        <is>
          <t>HIGH</t>
        </is>
      </c>
      <c r="F1935" s="188" t="n">
        <v>3</v>
      </c>
      <c r="G1935" s="188" t="n">
        <v>2</v>
      </c>
      <c r="H1935" s="188" t="inlineStr">
        <is>
          <t>HIGH</t>
        </is>
      </c>
      <c r="I1935" s="188" t="n">
        <v>13</v>
      </c>
      <c r="J1935" s="188" t="inlineStr">
        <is>
          <t>NO</t>
        </is>
      </c>
      <c r="K1935" s="188" t="inlineStr">
        <is>
          <t>https://talosintelligence.com/reputation_center/lookup?search=1.24.16.109</t>
        </is>
      </c>
      <c r="L1935" s="188" t="inlineStr">
        <is>
          <t>2026-02-26 00:15</t>
        </is>
      </c>
      <c r="M1935" s="188" t="inlineStr">
        <is>
          <t>Block IP</t>
        </is>
      </c>
      <c r="N1935" s="188" t="inlineStr">
        <is>
          <t>https://talosintelligence.com/reputation_center/lookup?search=1.24.16.109</t>
        </is>
      </c>
      <c r="O1935" s="188" t="inlineStr">
        <is>
          <t>Block IP 1.24.16.109 at firewall | Cisco Talos confirmed malicious</t>
        </is>
      </c>
      <c r="P1935" s="188" t="inlineStr">
        <is>
          <t>Network perimeter / Email / Web</t>
        </is>
      </c>
      <c r="Q1935" s="188" t="inlineStr">
        <is>
          <t>P3</t>
        </is>
      </c>
      <c r="R1935" s="188" t="inlineStr">
        <is>
          <t>🚫 Block IP at firewall immediately | 🔍 Check logs for existing connections | 🛡️ Add to threat intelligence blocklist</t>
        </is>
      </c>
      <c r="S1935" s="188" t="inlineStr">
        <is>
          <t>Check ip-api.com + AbuseIPDB for context</t>
        </is>
      </c>
      <c r="T1935" s="188" t="n">
        <v>0</v>
      </c>
      <c r="U1935" s="188" t="n">
        <v>0</v>
      </c>
      <c r="V1935" s="188" t="inlineStr">
        <is>
          <t>T1110:Brute Force | T1190:Exploit Public-Facing Application | T1566:Phishing</t>
        </is>
      </c>
      <c r="W1935" s="188" t="n">
        <v>1</v>
      </c>
      <c r="X1935" s="188" t="inlineStr">
        <is>
          <t>MEDIUM (60%)</t>
        </is>
      </c>
      <c r="Y1935" s="188" t="inlineStr">
        <is>
          <t>NONE</t>
        </is>
      </c>
      <c r="Z1935" s="188" t="inlineStr">
        <is>
          <t>NONE</t>
        </is>
      </c>
      <c r="AA1935" s="188" t="inlineStr">
        <is>
          <t>NONE</t>
        </is>
      </c>
      <c r="AB1935" s="188" t="inlineStr">
        <is>
          <t>NONE</t>
        </is>
      </c>
      <c r="AC1935" s="188" t="n">
        <v>0</v>
      </c>
      <c r="AD1935" s="188" t="inlineStr"/>
    </row>
    <row r="1936">
      <c r="A1936" s="188" t="inlineStr">
        <is>
          <t>TALOS_IP</t>
        </is>
      </c>
      <c r="B1936" s="188" t="inlineStr">
        <is>
          <t>44a96359c6ae</t>
        </is>
      </c>
      <c r="C1936" s="188" t="inlineStr">
        <is>
          <t>Cisco Talos Blacklisted IP: 1.24.16.110 | Verified malicious | Sources: TALOS</t>
        </is>
      </c>
      <c r="D1936" s="188" t="n">
        <v>7</v>
      </c>
      <c r="E1936" s="188" t="inlineStr">
        <is>
          <t>HIGH</t>
        </is>
      </c>
      <c r="F1936" s="188" t="n">
        <v>3</v>
      </c>
      <c r="G1936" s="188" t="n">
        <v>2</v>
      </c>
      <c r="H1936" s="188" t="inlineStr">
        <is>
          <t>HIGH</t>
        </is>
      </c>
      <c r="I1936" s="188" t="n">
        <v>13</v>
      </c>
      <c r="J1936" s="188" t="inlineStr">
        <is>
          <t>NO</t>
        </is>
      </c>
      <c r="K1936" s="188" t="inlineStr">
        <is>
          <t>https://talosintelligence.com/reputation_center/lookup?search=1.24.16.110</t>
        </is>
      </c>
      <c r="L1936" s="188" t="inlineStr">
        <is>
          <t>2026-02-26 00:15</t>
        </is>
      </c>
      <c r="M1936" s="188" t="inlineStr">
        <is>
          <t>Block IP</t>
        </is>
      </c>
      <c r="N1936" s="188" t="inlineStr">
        <is>
          <t>https://talosintelligence.com/reputation_center/lookup?search=1.24.16.110</t>
        </is>
      </c>
      <c r="O1936" s="188" t="inlineStr">
        <is>
          <t>Block IP 1.24.16.110 at firewall | Cisco Talos confirmed malicious</t>
        </is>
      </c>
      <c r="P1936" s="188" t="inlineStr">
        <is>
          <t>Network perimeter / Email / Web</t>
        </is>
      </c>
      <c r="Q1936" s="188" t="inlineStr">
        <is>
          <t>P3</t>
        </is>
      </c>
      <c r="R1936" s="188" t="inlineStr">
        <is>
          <t>🚫 Block IP at firewall immediately | 🔍 Check logs for existing connections | 🛡️ Add to threat intelligence blocklist</t>
        </is>
      </c>
      <c r="S1936" s="188" t="inlineStr">
        <is>
          <t>Check ip-api.com + AbuseIPDB for context</t>
        </is>
      </c>
      <c r="T1936" s="188" t="n">
        <v>0</v>
      </c>
      <c r="U1936" s="188" t="n">
        <v>0</v>
      </c>
      <c r="V1936" s="188" t="inlineStr">
        <is>
          <t>T1110:Brute Force | T1190:Exploit Public-Facing Application | T1566:Phishing</t>
        </is>
      </c>
      <c r="W1936" s="188" t="n">
        <v>1</v>
      </c>
      <c r="X1936" s="188" t="inlineStr">
        <is>
          <t>MEDIUM (60%)</t>
        </is>
      </c>
      <c r="Y1936" s="188" t="inlineStr">
        <is>
          <t>NONE</t>
        </is>
      </c>
      <c r="Z1936" s="188" t="inlineStr">
        <is>
          <t>NONE</t>
        </is>
      </c>
      <c r="AA1936" s="188" t="inlineStr">
        <is>
          <t>NONE</t>
        </is>
      </c>
      <c r="AB1936" s="188" t="inlineStr">
        <is>
          <t>NONE</t>
        </is>
      </c>
      <c r="AC1936" s="188" t="n">
        <v>0</v>
      </c>
      <c r="AD1936" s="188" t="inlineStr"/>
    </row>
    <row r="1937">
      <c r="A1937" s="188" t="inlineStr">
        <is>
          <t>TALOS_IP</t>
        </is>
      </c>
      <c r="B1937" s="188" t="inlineStr">
        <is>
          <t>d543ed6c9a51</t>
        </is>
      </c>
      <c r="C1937" s="188" t="inlineStr">
        <is>
          <t>Cisco Talos Blacklisted IP: 1.24.16.114 | Verified malicious | Sources: TALOS</t>
        </is>
      </c>
      <c r="D1937" s="188" t="n">
        <v>7</v>
      </c>
      <c r="E1937" s="188" t="inlineStr">
        <is>
          <t>HIGH</t>
        </is>
      </c>
      <c r="F1937" s="188" t="n">
        <v>3</v>
      </c>
      <c r="G1937" s="188" t="n">
        <v>2</v>
      </c>
      <c r="H1937" s="188" t="inlineStr">
        <is>
          <t>HIGH</t>
        </is>
      </c>
      <c r="I1937" s="188" t="n">
        <v>13</v>
      </c>
      <c r="J1937" s="188" t="inlineStr">
        <is>
          <t>NO</t>
        </is>
      </c>
      <c r="K1937" s="188" t="inlineStr">
        <is>
          <t>https://talosintelligence.com/reputation_center/lookup?search=1.24.16.114</t>
        </is>
      </c>
      <c r="L1937" s="188" t="inlineStr">
        <is>
          <t>2026-02-26 00:15</t>
        </is>
      </c>
      <c r="M1937" s="188" t="inlineStr">
        <is>
          <t>Block IP</t>
        </is>
      </c>
      <c r="N1937" s="188" t="inlineStr">
        <is>
          <t>https://talosintelligence.com/reputation_center/lookup?search=1.24.16.114</t>
        </is>
      </c>
      <c r="O1937" s="188" t="inlineStr">
        <is>
          <t>Block IP 1.24.16.114 at firewall | Cisco Talos confirmed malicious</t>
        </is>
      </c>
      <c r="P1937" s="188" t="inlineStr">
        <is>
          <t>Network perimeter / Email / Web</t>
        </is>
      </c>
      <c r="Q1937" s="188" t="inlineStr">
        <is>
          <t>P3</t>
        </is>
      </c>
      <c r="R1937" s="188" t="inlineStr">
        <is>
          <t>🚫 Block IP at firewall immediately | 🔍 Check logs for existing connections | 🛡️ Add to threat intelligence blocklist</t>
        </is>
      </c>
      <c r="S1937" s="188" t="inlineStr">
        <is>
          <t>Check ip-api.com + AbuseIPDB for context</t>
        </is>
      </c>
      <c r="T1937" s="188" t="n">
        <v>0</v>
      </c>
      <c r="U1937" s="188" t="n">
        <v>0</v>
      </c>
      <c r="V1937" s="188" t="inlineStr">
        <is>
          <t>T1110:Brute Force | T1190:Exploit Public-Facing Application | T1566:Phishing</t>
        </is>
      </c>
      <c r="W1937" s="188" t="n">
        <v>1</v>
      </c>
      <c r="X1937" s="188" t="inlineStr">
        <is>
          <t>MEDIUM (60%)</t>
        </is>
      </c>
      <c r="Y1937" s="188" t="inlineStr">
        <is>
          <t>NONE</t>
        </is>
      </c>
      <c r="Z1937" s="188" t="inlineStr">
        <is>
          <t>NONE</t>
        </is>
      </c>
      <c r="AA1937" s="188" t="inlineStr">
        <is>
          <t>NONE</t>
        </is>
      </c>
      <c r="AB1937" s="188" t="inlineStr">
        <is>
          <t>NONE</t>
        </is>
      </c>
      <c r="AC1937" s="188" t="n">
        <v>0</v>
      </c>
      <c r="AD1937" s="188" t="inlineStr"/>
    </row>
    <row r="1938">
      <c r="A1938" s="188" t="inlineStr">
        <is>
          <t>TALOS_IP</t>
        </is>
      </c>
      <c r="B1938" s="188" t="inlineStr">
        <is>
          <t>3448c1a47254</t>
        </is>
      </c>
      <c r="C1938" s="188" t="inlineStr">
        <is>
          <t>Cisco Talos Blacklisted IP: 1.24.16.116 | Verified malicious | Sources: TALOS</t>
        </is>
      </c>
      <c r="D1938" s="188" t="n">
        <v>7</v>
      </c>
      <c r="E1938" s="188" t="inlineStr">
        <is>
          <t>HIGH</t>
        </is>
      </c>
      <c r="F1938" s="188" t="n">
        <v>3</v>
      </c>
      <c r="G1938" s="188" t="n">
        <v>2</v>
      </c>
      <c r="H1938" s="188" t="inlineStr">
        <is>
          <t>HIGH</t>
        </is>
      </c>
      <c r="I1938" s="188" t="n">
        <v>13</v>
      </c>
      <c r="J1938" s="188" t="inlineStr">
        <is>
          <t>NO</t>
        </is>
      </c>
      <c r="K1938" s="188" t="inlineStr">
        <is>
          <t>https://talosintelligence.com/reputation_center/lookup?search=1.24.16.116</t>
        </is>
      </c>
      <c r="L1938" s="188" t="inlineStr">
        <is>
          <t>2026-02-26 00:15</t>
        </is>
      </c>
      <c r="M1938" s="188" t="inlineStr">
        <is>
          <t>Block IP</t>
        </is>
      </c>
      <c r="N1938" s="188" t="inlineStr">
        <is>
          <t>https://talosintelligence.com/reputation_center/lookup?search=1.24.16.116</t>
        </is>
      </c>
      <c r="O1938" s="188" t="inlineStr">
        <is>
          <t>Block IP 1.24.16.116 at firewall | Cisco Talos confirmed malicious</t>
        </is>
      </c>
      <c r="P1938" s="188" t="inlineStr">
        <is>
          <t>Network perimeter / Email / Web</t>
        </is>
      </c>
      <c r="Q1938" s="188" t="inlineStr">
        <is>
          <t>P3</t>
        </is>
      </c>
      <c r="R1938" s="188" t="inlineStr">
        <is>
          <t>🚫 Block IP at firewall immediately | 🔍 Check logs for existing connections | 🛡️ Add to threat intelligence blocklist</t>
        </is>
      </c>
      <c r="S1938" s="188" t="inlineStr">
        <is>
          <t>Check ip-api.com + AbuseIPDB for context</t>
        </is>
      </c>
      <c r="T1938" s="188" t="n">
        <v>0</v>
      </c>
      <c r="U1938" s="188" t="n">
        <v>0</v>
      </c>
      <c r="V1938" s="188" t="inlineStr">
        <is>
          <t>T1110:Brute Force | T1190:Exploit Public-Facing Application | T1566:Phishing</t>
        </is>
      </c>
      <c r="W1938" s="188" t="n">
        <v>1</v>
      </c>
      <c r="X1938" s="188" t="inlineStr">
        <is>
          <t>MEDIUM (60%)</t>
        </is>
      </c>
      <c r="Y1938" s="188" t="inlineStr">
        <is>
          <t>NONE</t>
        </is>
      </c>
      <c r="Z1938" s="188" t="inlineStr">
        <is>
          <t>NONE</t>
        </is>
      </c>
      <c r="AA1938" s="188" t="inlineStr">
        <is>
          <t>NONE</t>
        </is>
      </c>
      <c r="AB1938" s="188" t="inlineStr">
        <is>
          <t>NONE</t>
        </is>
      </c>
      <c r="AC1938" s="188" t="n">
        <v>0</v>
      </c>
      <c r="AD1938" s="188" t="inlineStr"/>
    </row>
    <row r="1939">
      <c r="A1939" s="188" t="inlineStr">
        <is>
          <t>TALOS_IP</t>
        </is>
      </c>
      <c r="B1939" s="188" t="inlineStr">
        <is>
          <t>399883f21afe</t>
        </is>
      </c>
      <c r="C1939" s="188" t="inlineStr">
        <is>
          <t>Cisco Talos Blacklisted IP: 1.24.16.117 | Verified malicious | Sources: TALOS</t>
        </is>
      </c>
      <c r="D1939" s="188" t="n">
        <v>7</v>
      </c>
      <c r="E1939" s="188" t="inlineStr">
        <is>
          <t>HIGH</t>
        </is>
      </c>
      <c r="F1939" s="188" t="n">
        <v>3</v>
      </c>
      <c r="G1939" s="188" t="n">
        <v>2</v>
      </c>
      <c r="H1939" s="188" t="inlineStr">
        <is>
          <t>HIGH</t>
        </is>
      </c>
      <c r="I1939" s="188" t="n">
        <v>13</v>
      </c>
      <c r="J1939" s="188" t="inlineStr">
        <is>
          <t>NO</t>
        </is>
      </c>
      <c r="K1939" s="188" t="inlineStr">
        <is>
          <t>https://talosintelligence.com/reputation_center/lookup?search=1.24.16.117</t>
        </is>
      </c>
      <c r="L1939" s="188" t="inlineStr">
        <is>
          <t>2026-02-26 00:15</t>
        </is>
      </c>
      <c r="M1939" s="188" t="inlineStr">
        <is>
          <t>Block IP</t>
        </is>
      </c>
      <c r="N1939" s="188" t="inlineStr">
        <is>
          <t>https://talosintelligence.com/reputation_center/lookup?search=1.24.16.117</t>
        </is>
      </c>
      <c r="O1939" s="188" t="inlineStr">
        <is>
          <t>Block IP 1.24.16.117 at firewall | Cisco Talos confirmed malicious</t>
        </is>
      </c>
      <c r="P1939" s="188" t="inlineStr">
        <is>
          <t>Network perimeter / Email / Web</t>
        </is>
      </c>
      <c r="Q1939" s="188" t="inlineStr">
        <is>
          <t>P3</t>
        </is>
      </c>
      <c r="R1939" s="188" t="inlineStr">
        <is>
          <t>🚫 Block IP at firewall immediately | 🔍 Check logs for existing connections | 🛡️ Add to threat intelligence blocklist</t>
        </is>
      </c>
      <c r="S1939" s="188" t="inlineStr">
        <is>
          <t>Check ip-api.com + AbuseIPDB for context</t>
        </is>
      </c>
      <c r="T1939" s="188" t="n">
        <v>0</v>
      </c>
      <c r="U1939" s="188" t="n">
        <v>0</v>
      </c>
      <c r="V1939" s="188" t="inlineStr">
        <is>
          <t>T1110:Brute Force | T1190:Exploit Public-Facing Application | T1566:Phishing</t>
        </is>
      </c>
      <c r="W1939" s="188" t="n">
        <v>1</v>
      </c>
      <c r="X1939" s="188" t="inlineStr">
        <is>
          <t>MEDIUM (60%)</t>
        </is>
      </c>
      <c r="Y1939" s="188" t="inlineStr">
        <is>
          <t>NONE</t>
        </is>
      </c>
      <c r="Z1939" s="188" t="inlineStr">
        <is>
          <t>NONE</t>
        </is>
      </c>
      <c r="AA1939" s="188" t="inlineStr">
        <is>
          <t>NONE</t>
        </is>
      </c>
      <c r="AB1939" s="188" t="inlineStr">
        <is>
          <t>NONE</t>
        </is>
      </c>
      <c r="AC1939" s="188" t="n">
        <v>0</v>
      </c>
      <c r="AD1939" s="188" t="inlineStr"/>
    </row>
    <row r="1940">
      <c r="A1940" s="188" t="inlineStr">
        <is>
          <t>TALOS_IP</t>
        </is>
      </c>
      <c r="B1940" s="188" t="inlineStr">
        <is>
          <t>afc5eebd3e59</t>
        </is>
      </c>
      <c r="C1940" s="188" t="inlineStr">
        <is>
          <t>Cisco Talos Blacklisted IP: 1.24.16.118 | Verified malicious | Sources: TALOS</t>
        </is>
      </c>
      <c r="D1940" s="188" t="n">
        <v>7</v>
      </c>
      <c r="E1940" s="188" t="inlineStr">
        <is>
          <t>HIGH</t>
        </is>
      </c>
      <c r="F1940" s="188" t="n">
        <v>3</v>
      </c>
      <c r="G1940" s="188" t="n">
        <v>2</v>
      </c>
      <c r="H1940" s="188" t="inlineStr">
        <is>
          <t>HIGH</t>
        </is>
      </c>
      <c r="I1940" s="188" t="n">
        <v>13</v>
      </c>
      <c r="J1940" s="188" t="inlineStr">
        <is>
          <t>NO</t>
        </is>
      </c>
      <c r="K1940" s="188" t="inlineStr">
        <is>
          <t>https://talosintelligence.com/reputation_center/lookup?search=1.24.16.118</t>
        </is>
      </c>
      <c r="L1940" s="188" t="inlineStr">
        <is>
          <t>2026-02-26 00:15</t>
        </is>
      </c>
      <c r="M1940" s="188" t="inlineStr">
        <is>
          <t>Block IP</t>
        </is>
      </c>
      <c r="N1940" s="188" t="inlineStr">
        <is>
          <t>https://talosintelligence.com/reputation_center/lookup?search=1.24.16.118</t>
        </is>
      </c>
      <c r="O1940" s="188" t="inlineStr">
        <is>
          <t>Block IP 1.24.16.118 at firewall | Cisco Talos confirmed malicious</t>
        </is>
      </c>
      <c r="P1940" s="188" t="inlineStr">
        <is>
          <t>Network perimeter / Email / Web</t>
        </is>
      </c>
      <c r="Q1940" s="188" t="inlineStr">
        <is>
          <t>P3</t>
        </is>
      </c>
      <c r="R1940" s="188" t="inlineStr">
        <is>
          <t>🚫 Block IP at firewall immediately | 🔍 Check logs for existing connections | 🛡️ Add to threat intelligence blocklist</t>
        </is>
      </c>
      <c r="S1940" s="188" t="inlineStr">
        <is>
          <t>Check ip-api.com + AbuseIPDB for context</t>
        </is>
      </c>
      <c r="T1940" s="188" t="n">
        <v>0</v>
      </c>
      <c r="U1940" s="188" t="n">
        <v>0</v>
      </c>
      <c r="V1940" s="188" t="inlineStr">
        <is>
          <t>T1110:Brute Force | T1190:Exploit Public-Facing Application | T1566:Phishing</t>
        </is>
      </c>
      <c r="W1940" s="188" t="n">
        <v>1</v>
      </c>
      <c r="X1940" s="188" t="inlineStr">
        <is>
          <t>MEDIUM (60%)</t>
        </is>
      </c>
      <c r="Y1940" s="188" t="inlineStr">
        <is>
          <t>NONE</t>
        </is>
      </c>
      <c r="Z1940" s="188" t="inlineStr">
        <is>
          <t>NONE</t>
        </is>
      </c>
      <c r="AA1940" s="188" t="inlineStr">
        <is>
          <t>NONE</t>
        </is>
      </c>
      <c r="AB1940" s="188" t="inlineStr">
        <is>
          <t>NONE</t>
        </is>
      </c>
      <c r="AC1940" s="188" t="n">
        <v>0</v>
      </c>
      <c r="AD1940" s="188" t="inlineStr"/>
    </row>
    <row r="1941">
      <c r="A1941" s="188" t="inlineStr">
        <is>
          <t>TALOS_IP</t>
        </is>
      </c>
      <c r="B1941" s="188" t="inlineStr">
        <is>
          <t>b10436b0accc</t>
        </is>
      </c>
      <c r="C1941" s="188" t="inlineStr">
        <is>
          <t>Cisco Talos Blacklisted IP: 1.24.16.121 | Verified malicious | Sources: TALOS</t>
        </is>
      </c>
      <c r="D1941" s="188" t="n">
        <v>7</v>
      </c>
      <c r="E1941" s="188" t="inlineStr">
        <is>
          <t>HIGH</t>
        </is>
      </c>
      <c r="F1941" s="188" t="n">
        <v>3</v>
      </c>
      <c r="G1941" s="188" t="n">
        <v>2</v>
      </c>
      <c r="H1941" s="188" t="inlineStr">
        <is>
          <t>HIGH</t>
        </is>
      </c>
      <c r="I1941" s="188" t="n">
        <v>13</v>
      </c>
      <c r="J1941" s="188" t="inlineStr">
        <is>
          <t>NO</t>
        </is>
      </c>
      <c r="K1941" s="188" t="inlineStr">
        <is>
          <t>https://talosintelligence.com/reputation_center/lookup?search=1.24.16.121</t>
        </is>
      </c>
      <c r="L1941" s="188" t="inlineStr">
        <is>
          <t>2026-02-26 00:15</t>
        </is>
      </c>
      <c r="M1941" s="188" t="inlineStr">
        <is>
          <t>Block IP</t>
        </is>
      </c>
      <c r="N1941" s="188" t="inlineStr">
        <is>
          <t>https://talosintelligence.com/reputation_center/lookup?search=1.24.16.121</t>
        </is>
      </c>
      <c r="O1941" s="188" t="inlineStr">
        <is>
          <t>Block IP 1.24.16.121 at firewall | Cisco Talos confirmed malicious</t>
        </is>
      </c>
      <c r="P1941" s="188" t="inlineStr">
        <is>
          <t>Network perimeter / Email / Web</t>
        </is>
      </c>
      <c r="Q1941" s="188" t="inlineStr">
        <is>
          <t>P3</t>
        </is>
      </c>
      <c r="R1941" s="188" t="inlineStr">
        <is>
          <t>🚫 Block IP at firewall immediately | 🔍 Check logs for existing connections | 🛡️ Add to threat intelligence blocklist</t>
        </is>
      </c>
      <c r="S1941" s="188" t="inlineStr">
        <is>
          <t>Check ip-api.com + AbuseIPDB for context</t>
        </is>
      </c>
      <c r="T1941" s="188" t="n">
        <v>0</v>
      </c>
      <c r="U1941" s="188" t="n">
        <v>0</v>
      </c>
      <c r="V1941" s="188" t="inlineStr">
        <is>
          <t>T1110:Brute Force | T1190:Exploit Public-Facing Application | T1566:Phishing</t>
        </is>
      </c>
      <c r="W1941" s="188" t="n">
        <v>1</v>
      </c>
      <c r="X1941" s="188" t="inlineStr">
        <is>
          <t>MEDIUM (60%)</t>
        </is>
      </c>
      <c r="Y1941" s="188" t="inlineStr">
        <is>
          <t>NONE</t>
        </is>
      </c>
      <c r="Z1941" s="188" t="inlineStr">
        <is>
          <t>NONE</t>
        </is>
      </c>
      <c r="AA1941" s="188" t="inlineStr">
        <is>
          <t>NONE</t>
        </is>
      </c>
      <c r="AB1941" s="188" t="inlineStr">
        <is>
          <t>NONE</t>
        </is>
      </c>
      <c r="AC1941" s="188" t="n">
        <v>0</v>
      </c>
      <c r="AD1941" s="188" t="inlineStr"/>
    </row>
    <row r="1942">
      <c r="A1942" s="188" t="inlineStr">
        <is>
          <t>TALOS_IP</t>
        </is>
      </c>
      <c r="B1942" s="188" t="inlineStr">
        <is>
          <t>962e43692313</t>
        </is>
      </c>
      <c r="C1942" s="188" t="inlineStr">
        <is>
          <t>Cisco Talos Blacklisted IP: 1.24.16.124 | Verified malicious | Sources: TALOS</t>
        </is>
      </c>
      <c r="D1942" s="188" t="n">
        <v>7</v>
      </c>
      <c r="E1942" s="188" t="inlineStr">
        <is>
          <t>HIGH</t>
        </is>
      </c>
      <c r="F1942" s="188" t="n">
        <v>3</v>
      </c>
      <c r="G1942" s="188" t="n">
        <v>2</v>
      </c>
      <c r="H1942" s="188" t="inlineStr">
        <is>
          <t>HIGH</t>
        </is>
      </c>
      <c r="I1942" s="188" t="n">
        <v>13</v>
      </c>
      <c r="J1942" s="188" t="inlineStr">
        <is>
          <t>NO</t>
        </is>
      </c>
      <c r="K1942" s="188" t="inlineStr">
        <is>
          <t>https://talosintelligence.com/reputation_center/lookup?search=1.24.16.124</t>
        </is>
      </c>
      <c r="L1942" s="188" t="inlineStr">
        <is>
          <t>2026-02-26 00:15</t>
        </is>
      </c>
      <c r="M1942" s="188" t="inlineStr">
        <is>
          <t>Block IP</t>
        </is>
      </c>
      <c r="N1942" s="188" t="inlineStr">
        <is>
          <t>https://talosintelligence.com/reputation_center/lookup?search=1.24.16.124</t>
        </is>
      </c>
      <c r="O1942" s="188" t="inlineStr">
        <is>
          <t>Block IP 1.24.16.124 at firewall | Cisco Talos confirmed malicious</t>
        </is>
      </c>
      <c r="P1942" s="188" t="inlineStr">
        <is>
          <t>Network perimeter / Email / Web</t>
        </is>
      </c>
      <c r="Q1942" s="188" t="inlineStr">
        <is>
          <t>P3</t>
        </is>
      </c>
      <c r="R1942" s="188" t="inlineStr">
        <is>
          <t>🚫 Block IP at firewall immediately | 🔍 Check logs for existing connections | 🛡️ Add to threat intelligence blocklist</t>
        </is>
      </c>
      <c r="S1942" s="188" t="inlineStr">
        <is>
          <t>Check ip-api.com + AbuseIPDB for context</t>
        </is>
      </c>
      <c r="T1942" s="188" t="n">
        <v>0</v>
      </c>
      <c r="U1942" s="188" t="n">
        <v>0</v>
      </c>
      <c r="V1942" s="188" t="inlineStr">
        <is>
          <t>T1110:Brute Force | T1190:Exploit Public-Facing Application | T1566:Phishing</t>
        </is>
      </c>
      <c r="W1942" s="188" t="n">
        <v>1</v>
      </c>
      <c r="X1942" s="188" t="inlineStr">
        <is>
          <t>MEDIUM (60%)</t>
        </is>
      </c>
      <c r="Y1942" s="188" t="inlineStr">
        <is>
          <t>NONE</t>
        </is>
      </c>
      <c r="Z1942" s="188" t="inlineStr">
        <is>
          <t>NONE</t>
        </is>
      </c>
      <c r="AA1942" s="188" t="inlineStr">
        <is>
          <t>NONE</t>
        </is>
      </c>
      <c r="AB1942" s="188" t="inlineStr">
        <is>
          <t>NONE</t>
        </is>
      </c>
      <c r="AC1942" s="188" t="n">
        <v>0</v>
      </c>
      <c r="AD1942" s="188" t="inlineStr"/>
    </row>
    <row r="1943">
      <c r="A1943" s="188" t="inlineStr">
        <is>
          <t>TALOS_IP</t>
        </is>
      </c>
      <c r="B1943" s="188" t="inlineStr">
        <is>
          <t>01240ae7e801</t>
        </is>
      </c>
      <c r="C1943" s="188" t="inlineStr">
        <is>
          <t>Cisco Talos Blacklisted IP: 1.24.16.125 | Verified malicious | Sources: TALOS</t>
        </is>
      </c>
      <c r="D1943" s="188" t="n">
        <v>7</v>
      </c>
      <c r="E1943" s="188" t="inlineStr">
        <is>
          <t>HIGH</t>
        </is>
      </c>
      <c r="F1943" s="188" t="n">
        <v>3</v>
      </c>
      <c r="G1943" s="188" t="n">
        <v>2</v>
      </c>
      <c r="H1943" s="188" t="inlineStr">
        <is>
          <t>HIGH</t>
        </is>
      </c>
      <c r="I1943" s="188" t="n">
        <v>13</v>
      </c>
      <c r="J1943" s="188" t="inlineStr">
        <is>
          <t>NO</t>
        </is>
      </c>
      <c r="K1943" s="188" t="inlineStr">
        <is>
          <t>https://talosintelligence.com/reputation_center/lookup?search=1.24.16.125</t>
        </is>
      </c>
      <c r="L1943" s="188" t="inlineStr">
        <is>
          <t>2026-02-26 00:15</t>
        </is>
      </c>
      <c r="M1943" s="188" t="inlineStr">
        <is>
          <t>Block IP</t>
        </is>
      </c>
      <c r="N1943" s="188" t="inlineStr">
        <is>
          <t>https://talosintelligence.com/reputation_center/lookup?search=1.24.16.125</t>
        </is>
      </c>
      <c r="O1943" s="188" t="inlineStr">
        <is>
          <t>Block IP 1.24.16.125 at firewall | Cisco Talos confirmed malicious</t>
        </is>
      </c>
      <c r="P1943" s="188" t="inlineStr">
        <is>
          <t>Network perimeter / Email / Web</t>
        </is>
      </c>
      <c r="Q1943" s="188" t="inlineStr">
        <is>
          <t>P3</t>
        </is>
      </c>
      <c r="R1943" s="188" t="inlineStr">
        <is>
          <t>🚫 Block IP at firewall immediately | 🔍 Check logs for existing connections | 🛡️ Add to threat intelligence blocklist</t>
        </is>
      </c>
      <c r="S1943" s="188" t="inlineStr">
        <is>
          <t>Check ip-api.com + AbuseIPDB for context</t>
        </is>
      </c>
      <c r="T1943" s="188" t="n">
        <v>0</v>
      </c>
      <c r="U1943" s="188" t="n">
        <v>0</v>
      </c>
      <c r="V1943" s="188" t="inlineStr">
        <is>
          <t>T1110:Brute Force | T1190:Exploit Public-Facing Application | T1566:Phishing</t>
        </is>
      </c>
      <c r="W1943" s="188" t="n">
        <v>1</v>
      </c>
      <c r="X1943" s="188" t="inlineStr">
        <is>
          <t>MEDIUM (60%)</t>
        </is>
      </c>
      <c r="Y1943" s="188" t="inlineStr">
        <is>
          <t>NONE</t>
        </is>
      </c>
      <c r="Z1943" s="188" t="inlineStr">
        <is>
          <t>NONE</t>
        </is>
      </c>
      <c r="AA1943" s="188" t="inlineStr">
        <is>
          <t>NONE</t>
        </is>
      </c>
      <c r="AB1943" s="188" t="inlineStr">
        <is>
          <t>NONE</t>
        </is>
      </c>
      <c r="AC1943" s="188" t="n">
        <v>0</v>
      </c>
      <c r="AD1943" s="188" t="inlineStr"/>
    </row>
    <row r="1944">
      <c r="A1944" s="188" t="inlineStr">
        <is>
          <t>TALOS_IP</t>
        </is>
      </c>
      <c r="B1944" s="188" t="inlineStr">
        <is>
          <t>c48dc9d90351</t>
        </is>
      </c>
      <c r="C1944" s="188" t="inlineStr">
        <is>
          <t>Cisco Talos Blacklisted IP: 1.24.16.138 | Verified malicious | Sources: TALOS</t>
        </is>
      </c>
      <c r="D1944" s="188" t="n">
        <v>7</v>
      </c>
      <c r="E1944" s="188" t="inlineStr">
        <is>
          <t>HIGH</t>
        </is>
      </c>
      <c r="F1944" s="188" t="n">
        <v>3</v>
      </c>
      <c r="G1944" s="188" t="n">
        <v>2</v>
      </c>
      <c r="H1944" s="188" t="inlineStr">
        <is>
          <t>HIGH</t>
        </is>
      </c>
      <c r="I1944" s="188" t="n">
        <v>13</v>
      </c>
      <c r="J1944" s="188" t="inlineStr">
        <is>
          <t>NO</t>
        </is>
      </c>
      <c r="K1944" s="188" t="inlineStr">
        <is>
          <t>https://talosintelligence.com/reputation_center/lookup?search=1.24.16.138</t>
        </is>
      </c>
      <c r="L1944" s="188" t="inlineStr">
        <is>
          <t>2026-02-26 00:15</t>
        </is>
      </c>
      <c r="M1944" s="188" t="inlineStr">
        <is>
          <t>Block IP</t>
        </is>
      </c>
      <c r="N1944" s="188" t="inlineStr">
        <is>
          <t>https://talosintelligence.com/reputation_center/lookup?search=1.24.16.138</t>
        </is>
      </c>
      <c r="O1944" s="188" t="inlineStr">
        <is>
          <t>Block IP 1.24.16.138 at firewall | Cisco Talos confirmed malicious</t>
        </is>
      </c>
      <c r="P1944" s="188" t="inlineStr">
        <is>
          <t>Network perimeter / Email / Web</t>
        </is>
      </c>
      <c r="Q1944" s="188" t="inlineStr">
        <is>
          <t>P3</t>
        </is>
      </c>
      <c r="R1944" s="188" t="inlineStr">
        <is>
          <t>🚫 Block IP at firewall immediately | 🔍 Check logs for existing connections | 🛡️ Add to threat intelligence blocklist</t>
        </is>
      </c>
      <c r="S1944" s="188" t="inlineStr">
        <is>
          <t>Check ip-api.com + AbuseIPDB for context</t>
        </is>
      </c>
      <c r="T1944" s="188" t="n">
        <v>0</v>
      </c>
      <c r="U1944" s="188" t="n">
        <v>0</v>
      </c>
      <c r="V1944" s="188" t="inlineStr">
        <is>
          <t>T1110:Brute Force | T1190:Exploit Public-Facing Application | T1566:Phishing</t>
        </is>
      </c>
      <c r="W1944" s="188" t="n">
        <v>1</v>
      </c>
      <c r="X1944" s="188" t="inlineStr">
        <is>
          <t>MEDIUM (60%)</t>
        </is>
      </c>
      <c r="Y1944" s="188" t="inlineStr">
        <is>
          <t>NONE</t>
        </is>
      </c>
      <c r="Z1944" s="188" t="inlineStr">
        <is>
          <t>NONE</t>
        </is>
      </c>
      <c r="AA1944" s="188" t="inlineStr">
        <is>
          <t>NONE</t>
        </is>
      </c>
      <c r="AB1944" s="188" t="inlineStr">
        <is>
          <t>NONE</t>
        </is>
      </c>
      <c r="AC1944" s="188" t="n">
        <v>0</v>
      </c>
      <c r="AD1944" s="188" t="inlineStr"/>
    </row>
    <row r="1945">
      <c r="A1945" s="188" t="inlineStr">
        <is>
          <t>TALOS_IP</t>
        </is>
      </c>
      <c r="B1945" s="188" t="inlineStr">
        <is>
          <t>30dbd1a40fae</t>
        </is>
      </c>
      <c r="C1945" s="188" t="inlineStr">
        <is>
          <t>Cisco Talos Blacklisted IP: 1.24.16.141 | Verified malicious | Sources: TALOS</t>
        </is>
      </c>
      <c r="D1945" s="188" t="n">
        <v>7</v>
      </c>
      <c r="E1945" s="188" t="inlineStr">
        <is>
          <t>HIGH</t>
        </is>
      </c>
      <c r="F1945" s="188" t="n">
        <v>3</v>
      </c>
      <c r="G1945" s="188" t="n">
        <v>2</v>
      </c>
      <c r="H1945" s="188" t="inlineStr">
        <is>
          <t>HIGH</t>
        </is>
      </c>
      <c r="I1945" s="188" t="n">
        <v>13</v>
      </c>
      <c r="J1945" s="188" t="inlineStr">
        <is>
          <t>NO</t>
        </is>
      </c>
      <c r="K1945" s="188" t="inlineStr">
        <is>
          <t>https://talosintelligence.com/reputation_center/lookup?search=1.24.16.141</t>
        </is>
      </c>
      <c r="L1945" s="188" t="inlineStr">
        <is>
          <t>2026-02-26 00:15</t>
        </is>
      </c>
      <c r="M1945" s="188" t="inlineStr">
        <is>
          <t>Block IP</t>
        </is>
      </c>
      <c r="N1945" s="188" t="inlineStr">
        <is>
          <t>https://talosintelligence.com/reputation_center/lookup?search=1.24.16.141</t>
        </is>
      </c>
      <c r="O1945" s="188" t="inlineStr">
        <is>
          <t>Block IP 1.24.16.141 at firewall | Cisco Talos confirmed malicious</t>
        </is>
      </c>
      <c r="P1945" s="188" t="inlineStr">
        <is>
          <t>Network perimeter / Email / Web</t>
        </is>
      </c>
      <c r="Q1945" s="188" t="inlineStr">
        <is>
          <t>P3</t>
        </is>
      </c>
      <c r="R1945" s="188" t="inlineStr">
        <is>
          <t>🚫 Block IP at firewall immediately | 🔍 Check logs for existing connections | 🛡️ Add to threat intelligence blocklist</t>
        </is>
      </c>
      <c r="S1945" s="188" t="inlineStr">
        <is>
          <t>Check ip-api.com + AbuseIPDB for context</t>
        </is>
      </c>
      <c r="T1945" s="188" t="n">
        <v>0</v>
      </c>
      <c r="U1945" s="188" t="n">
        <v>0</v>
      </c>
      <c r="V1945" s="188" t="inlineStr">
        <is>
          <t>T1110:Brute Force | T1190:Exploit Public-Facing Application | T1566:Phishing</t>
        </is>
      </c>
      <c r="W1945" s="188" t="n">
        <v>1</v>
      </c>
      <c r="X1945" s="188" t="inlineStr">
        <is>
          <t>MEDIUM (60%)</t>
        </is>
      </c>
      <c r="Y1945" s="188" t="inlineStr">
        <is>
          <t>NONE</t>
        </is>
      </c>
      <c r="Z1945" s="188" t="inlineStr">
        <is>
          <t>NONE</t>
        </is>
      </c>
      <c r="AA1945" s="188" t="inlineStr">
        <is>
          <t>NONE</t>
        </is>
      </c>
      <c r="AB1945" s="188" t="inlineStr">
        <is>
          <t>NONE</t>
        </is>
      </c>
      <c r="AC1945" s="188" t="n">
        <v>0</v>
      </c>
      <c r="AD1945" s="188" t="inlineStr"/>
    </row>
    <row r="1946">
      <c r="A1946" s="188" t="inlineStr">
        <is>
          <t>TALOS_IP</t>
        </is>
      </c>
      <c r="B1946" s="188" t="inlineStr">
        <is>
          <t>2a2a04184afc</t>
        </is>
      </c>
      <c r="C1946" s="188" t="inlineStr">
        <is>
          <t>Cisco Talos Blacklisted IP: 1.24.16.142 | Verified malicious | Sources: TALOS</t>
        </is>
      </c>
      <c r="D1946" s="188" t="n">
        <v>7</v>
      </c>
      <c r="E1946" s="188" t="inlineStr">
        <is>
          <t>HIGH</t>
        </is>
      </c>
      <c r="F1946" s="188" t="n">
        <v>3</v>
      </c>
      <c r="G1946" s="188" t="n">
        <v>2</v>
      </c>
      <c r="H1946" s="188" t="inlineStr">
        <is>
          <t>HIGH</t>
        </is>
      </c>
      <c r="I1946" s="188" t="n">
        <v>13</v>
      </c>
      <c r="J1946" s="188" t="inlineStr">
        <is>
          <t>NO</t>
        </is>
      </c>
      <c r="K1946" s="188" t="inlineStr">
        <is>
          <t>https://talosintelligence.com/reputation_center/lookup?search=1.24.16.142</t>
        </is>
      </c>
      <c r="L1946" s="188" t="inlineStr">
        <is>
          <t>2026-02-26 00:15</t>
        </is>
      </c>
      <c r="M1946" s="188" t="inlineStr">
        <is>
          <t>Block IP</t>
        </is>
      </c>
      <c r="N1946" s="188" t="inlineStr">
        <is>
          <t>https://talosintelligence.com/reputation_center/lookup?search=1.24.16.142</t>
        </is>
      </c>
      <c r="O1946" s="188" t="inlineStr">
        <is>
          <t>Block IP 1.24.16.142 at firewall | Cisco Talos confirmed malicious</t>
        </is>
      </c>
      <c r="P1946" s="188" t="inlineStr">
        <is>
          <t>Network perimeter / Email / Web</t>
        </is>
      </c>
      <c r="Q1946" s="188" t="inlineStr">
        <is>
          <t>P3</t>
        </is>
      </c>
      <c r="R1946" s="188" t="inlineStr">
        <is>
          <t>🚫 Block IP at firewall immediately | 🔍 Check logs for existing connections | 🛡️ Add to threat intelligence blocklist</t>
        </is>
      </c>
      <c r="S1946" s="188" t="inlineStr">
        <is>
          <t>Check ip-api.com + AbuseIPDB for context</t>
        </is>
      </c>
      <c r="T1946" s="188" t="n">
        <v>0</v>
      </c>
      <c r="U1946" s="188" t="n">
        <v>0</v>
      </c>
      <c r="V1946" s="188" t="inlineStr">
        <is>
          <t>T1110:Brute Force | T1190:Exploit Public-Facing Application | T1566:Phishing</t>
        </is>
      </c>
      <c r="W1946" s="188" t="n">
        <v>1</v>
      </c>
      <c r="X1946" s="188" t="inlineStr">
        <is>
          <t>MEDIUM (60%)</t>
        </is>
      </c>
      <c r="Y1946" s="188" t="inlineStr">
        <is>
          <t>NONE</t>
        </is>
      </c>
      <c r="Z1946" s="188" t="inlineStr">
        <is>
          <t>NONE</t>
        </is>
      </c>
      <c r="AA1946" s="188" t="inlineStr">
        <is>
          <t>NONE</t>
        </is>
      </c>
      <c r="AB1946" s="188" t="inlineStr">
        <is>
          <t>NONE</t>
        </is>
      </c>
      <c r="AC1946" s="188" t="n">
        <v>0</v>
      </c>
      <c r="AD1946" s="188" t="inlineStr"/>
    </row>
    <row r="1947">
      <c r="A1947" s="188" t="inlineStr">
        <is>
          <t>TALOS_IP</t>
        </is>
      </c>
      <c r="B1947" s="188" t="inlineStr">
        <is>
          <t>8da4d4448563</t>
        </is>
      </c>
      <c r="C1947" s="188" t="inlineStr">
        <is>
          <t>Cisco Talos Blacklisted IP: 1.24.16.143 | Verified malicious | Sources: TALOS</t>
        </is>
      </c>
      <c r="D1947" s="188" t="n">
        <v>7</v>
      </c>
      <c r="E1947" s="188" t="inlineStr">
        <is>
          <t>HIGH</t>
        </is>
      </c>
      <c r="F1947" s="188" t="n">
        <v>3</v>
      </c>
      <c r="G1947" s="188" t="n">
        <v>2</v>
      </c>
      <c r="H1947" s="188" t="inlineStr">
        <is>
          <t>HIGH</t>
        </is>
      </c>
      <c r="I1947" s="188" t="n">
        <v>13</v>
      </c>
      <c r="J1947" s="188" t="inlineStr">
        <is>
          <t>NO</t>
        </is>
      </c>
      <c r="K1947" s="188" t="inlineStr">
        <is>
          <t>https://talosintelligence.com/reputation_center/lookup?search=1.24.16.143</t>
        </is>
      </c>
      <c r="L1947" s="188" t="inlineStr">
        <is>
          <t>2026-02-26 00:15</t>
        </is>
      </c>
      <c r="M1947" s="188" t="inlineStr">
        <is>
          <t>Block IP</t>
        </is>
      </c>
      <c r="N1947" s="188" t="inlineStr">
        <is>
          <t>https://talosintelligence.com/reputation_center/lookup?search=1.24.16.143</t>
        </is>
      </c>
      <c r="O1947" s="188" t="inlineStr">
        <is>
          <t>Block IP 1.24.16.143 at firewall | Cisco Talos confirmed malicious</t>
        </is>
      </c>
      <c r="P1947" s="188" t="inlineStr">
        <is>
          <t>Network perimeter / Email / Web</t>
        </is>
      </c>
      <c r="Q1947" s="188" t="inlineStr">
        <is>
          <t>P3</t>
        </is>
      </c>
      <c r="R1947" s="188" t="inlineStr">
        <is>
          <t>🚫 Block IP at firewall immediately | 🔍 Check logs for existing connections | 🛡️ Add to threat intelligence blocklist</t>
        </is>
      </c>
      <c r="S1947" s="188" t="inlineStr">
        <is>
          <t>Check ip-api.com + AbuseIPDB for context</t>
        </is>
      </c>
      <c r="T1947" s="188" t="n">
        <v>0</v>
      </c>
      <c r="U1947" s="188" t="n">
        <v>0</v>
      </c>
      <c r="V1947" s="188" t="inlineStr">
        <is>
          <t>T1110:Brute Force | T1190:Exploit Public-Facing Application | T1566:Phishing</t>
        </is>
      </c>
      <c r="W1947" s="188" t="n">
        <v>1</v>
      </c>
      <c r="X1947" s="188" t="inlineStr">
        <is>
          <t>MEDIUM (60%)</t>
        </is>
      </c>
      <c r="Y1947" s="188" t="inlineStr">
        <is>
          <t>NONE</t>
        </is>
      </c>
      <c r="Z1947" s="188" t="inlineStr">
        <is>
          <t>NONE</t>
        </is>
      </c>
      <c r="AA1947" s="188" t="inlineStr">
        <is>
          <t>NONE</t>
        </is>
      </c>
      <c r="AB1947" s="188" t="inlineStr">
        <is>
          <t>NONE</t>
        </is>
      </c>
      <c r="AC1947" s="188" t="n">
        <v>0</v>
      </c>
      <c r="AD1947" s="188" t="inlineStr"/>
    </row>
    <row r="1948">
      <c r="A1948" s="188" t="inlineStr">
        <is>
          <t>TALOS_IP</t>
        </is>
      </c>
      <c r="B1948" s="188" t="inlineStr">
        <is>
          <t>367105c805fe</t>
        </is>
      </c>
      <c r="C1948" s="188" t="inlineStr">
        <is>
          <t>Cisco Talos Blacklisted IP: 1.24.16.144 | Verified malicious | Sources: TALOS</t>
        </is>
      </c>
      <c r="D1948" s="188" t="n">
        <v>7</v>
      </c>
      <c r="E1948" s="188" t="inlineStr">
        <is>
          <t>HIGH</t>
        </is>
      </c>
      <c r="F1948" s="188" t="n">
        <v>3</v>
      </c>
      <c r="G1948" s="188" t="n">
        <v>2</v>
      </c>
      <c r="H1948" s="188" t="inlineStr">
        <is>
          <t>HIGH</t>
        </is>
      </c>
      <c r="I1948" s="188" t="n">
        <v>13</v>
      </c>
      <c r="J1948" s="188" t="inlineStr">
        <is>
          <t>NO</t>
        </is>
      </c>
      <c r="K1948" s="188" t="inlineStr">
        <is>
          <t>https://talosintelligence.com/reputation_center/lookup?search=1.24.16.144</t>
        </is>
      </c>
      <c r="L1948" s="188" t="inlineStr">
        <is>
          <t>2026-02-26 00:15</t>
        </is>
      </c>
      <c r="M1948" s="188" t="inlineStr">
        <is>
          <t>Block IP</t>
        </is>
      </c>
      <c r="N1948" s="188" t="inlineStr">
        <is>
          <t>https://talosintelligence.com/reputation_center/lookup?search=1.24.16.144</t>
        </is>
      </c>
      <c r="O1948" s="188" t="inlineStr">
        <is>
          <t>Block IP 1.24.16.144 at firewall | Cisco Talos confirmed malicious</t>
        </is>
      </c>
      <c r="P1948" s="188" t="inlineStr">
        <is>
          <t>Network perimeter / Email / Web</t>
        </is>
      </c>
      <c r="Q1948" s="188" t="inlineStr">
        <is>
          <t>P3</t>
        </is>
      </c>
      <c r="R1948" s="188" t="inlineStr">
        <is>
          <t>🚫 Block IP at firewall immediately | 🔍 Check logs for existing connections | 🛡️ Add to threat intelligence blocklist</t>
        </is>
      </c>
      <c r="S1948" s="188" t="inlineStr">
        <is>
          <t>Check ip-api.com + AbuseIPDB for context</t>
        </is>
      </c>
      <c r="T1948" s="188" t="n">
        <v>0</v>
      </c>
      <c r="U1948" s="188" t="n">
        <v>0</v>
      </c>
      <c r="V1948" s="188" t="inlineStr">
        <is>
          <t>T1110:Brute Force | T1190:Exploit Public-Facing Application | T1566:Phishing</t>
        </is>
      </c>
      <c r="W1948" s="188" t="n">
        <v>1</v>
      </c>
      <c r="X1948" s="188" t="inlineStr">
        <is>
          <t>MEDIUM (60%)</t>
        </is>
      </c>
      <c r="Y1948" s="188" t="inlineStr">
        <is>
          <t>NONE</t>
        </is>
      </c>
      <c r="Z1948" s="188" t="inlineStr">
        <is>
          <t>NONE</t>
        </is>
      </c>
      <c r="AA1948" s="188" t="inlineStr">
        <is>
          <t>NONE</t>
        </is>
      </c>
      <c r="AB1948" s="188" t="inlineStr">
        <is>
          <t>NONE</t>
        </is>
      </c>
      <c r="AC1948" s="188" t="n">
        <v>0</v>
      </c>
      <c r="AD1948" s="188" t="inlineStr"/>
    </row>
    <row r="1949">
      <c r="A1949" s="188" t="inlineStr">
        <is>
          <t>TALOS_IP</t>
        </is>
      </c>
      <c r="B1949" s="188" t="inlineStr">
        <is>
          <t>e0945f150a44</t>
        </is>
      </c>
      <c r="C1949" s="188" t="inlineStr">
        <is>
          <t>Cisco Talos Blacklisted IP: 1.24.16.146 | Verified malicious | Sources: TALOS</t>
        </is>
      </c>
      <c r="D1949" s="188" t="n">
        <v>7</v>
      </c>
      <c r="E1949" s="188" t="inlineStr">
        <is>
          <t>HIGH</t>
        </is>
      </c>
      <c r="F1949" s="188" t="n">
        <v>3</v>
      </c>
      <c r="G1949" s="188" t="n">
        <v>2</v>
      </c>
      <c r="H1949" s="188" t="inlineStr">
        <is>
          <t>HIGH</t>
        </is>
      </c>
      <c r="I1949" s="188" t="n">
        <v>13</v>
      </c>
      <c r="J1949" s="188" t="inlineStr">
        <is>
          <t>NO</t>
        </is>
      </c>
      <c r="K1949" s="188" t="inlineStr">
        <is>
          <t>https://talosintelligence.com/reputation_center/lookup?search=1.24.16.146</t>
        </is>
      </c>
      <c r="L1949" s="188" t="inlineStr">
        <is>
          <t>2026-02-26 00:15</t>
        </is>
      </c>
      <c r="M1949" s="188" t="inlineStr">
        <is>
          <t>Block IP</t>
        </is>
      </c>
      <c r="N1949" s="188" t="inlineStr">
        <is>
          <t>https://talosintelligence.com/reputation_center/lookup?search=1.24.16.146</t>
        </is>
      </c>
      <c r="O1949" s="188" t="inlineStr">
        <is>
          <t>Block IP 1.24.16.146 at firewall | Cisco Talos confirmed malicious</t>
        </is>
      </c>
      <c r="P1949" s="188" t="inlineStr">
        <is>
          <t>Network perimeter / Email / Web</t>
        </is>
      </c>
      <c r="Q1949" s="188" t="inlineStr">
        <is>
          <t>P3</t>
        </is>
      </c>
      <c r="R1949" s="188" t="inlineStr">
        <is>
          <t>🚫 Block IP at firewall immediately | 🔍 Check logs for existing connections | 🛡️ Add to threat intelligence blocklist</t>
        </is>
      </c>
      <c r="S1949" s="188" t="inlineStr">
        <is>
          <t>Check ip-api.com + AbuseIPDB for context</t>
        </is>
      </c>
      <c r="T1949" s="188" t="n">
        <v>0</v>
      </c>
      <c r="U1949" s="188" t="n">
        <v>0</v>
      </c>
      <c r="V1949" s="188" t="inlineStr">
        <is>
          <t>T1110:Brute Force | T1190:Exploit Public-Facing Application | T1566:Phishing</t>
        </is>
      </c>
      <c r="W1949" s="188" t="n">
        <v>1</v>
      </c>
      <c r="X1949" s="188" t="inlineStr">
        <is>
          <t>MEDIUM (60%)</t>
        </is>
      </c>
      <c r="Y1949" s="188" t="inlineStr">
        <is>
          <t>NONE</t>
        </is>
      </c>
      <c r="Z1949" s="188" t="inlineStr">
        <is>
          <t>NONE</t>
        </is>
      </c>
      <c r="AA1949" s="188" t="inlineStr">
        <is>
          <t>NONE</t>
        </is>
      </c>
      <c r="AB1949" s="188" t="inlineStr">
        <is>
          <t>NONE</t>
        </is>
      </c>
      <c r="AC1949" s="188" t="n">
        <v>0</v>
      </c>
      <c r="AD1949" s="188" t="inlineStr"/>
    </row>
    <row r="1950">
      <c r="A1950" s="188" t="inlineStr">
        <is>
          <t>TALOS_IP</t>
        </is>
      </c>
      <c r="B1950" s="188" t="inlineStr">
        <is>
          <t>4dbd3477f324</t>
        </is>
      </c>
      <c r="C1950" s="188" t="inlineStr">
        <is>
          <t>Cisco Talos Blacklisted IP: 1.24.16.155 | Verified malicious | Sources: TALOS</t>
        </is>
      </c>
      <c r="D1950" s="188" t="n">
        <v>7</v>
      </c>
      <c r="E1950" s="188" t="inlineStr">
        <is>
          <t>HIGH</t>
        </is>
      </c>
      <c r="F1950" s="188" t="n">
        <v>3</v>
      </c>
      <c r="G1950" s="188" t="n">
        <v>2</v>
      </c>
      <c r="H1950" s="188" t="inlineStr">
        <is>
          <t>HIGH</t>
        </is>
      </c>
      <c r="I1950" s="188" t="n">
        <v>13</v>
      </c>
      <c r="J1950" s="188" t="inlineStr">
        <is>
          <t>NO</t>
        </is>
      </c>
      <c r="K1950" s="188" t="inlineStr">
        <is>
          <t>https://talosintelligence.com/reputation_center/lookup?search=1.24.16.155</t>
        </is>
      </c>
      <c r="L1950" s="188" t="inlineStr">
        <is>
          <t>2026-02-26 00:15</t>
        </is>
      </c>
      <c r="M1950" s="188" t="inlineStr">
        <is>
          <t>Block IP</t>
        </is>
      </c>
      <c r="N1950" s="188" t="inlineStr">
        <is>
          <t>https://talosintelligence.com/reputation_center/lookup?search=1.24.16.155</t>
        </is>
      </c>
      <c r="O1950" s="188" t="inlineStr">
        <is>
          <t>Block IP 1.24.16.155 at firewall | Cisco Talos confirmed malicious</t>
        </is>
      </c>
      <c r="P1950" s="188" t="inlineStr">
        <is>
          <t>Network perimeter / Email / Web</t>
        </is>
      </c>
      <c r="Q1950" s="188" t="inlineStr">
        <is>
          <t>P3</t>
        </is>
      </c>
      <c r="R1950" s="188" t="inlineStr">
        <is>
          <t>🚫 Block IP at firewall immediately | 🔍 Check logs for existing connections | 🛡️ Add to threat intelligence blocklist</t>
        </is>
      </c>
      <c r="S1950" s="188" t="inlineStr">
        <is>
          <t>Check ip-api.com + AbuseIPDB for context</t>
        </is>
      </c>
      <c r="T1950" s="188" t="n">
        <v>0</v>
      </c>
      <c r="U1950" s="188" t="n">
        <v>0</v>
      </c>
      <c r="V1950" s="188" t="inlineStr">
        <is>
          <t>T1110:Brute Force | T1190:Exploit Public-Facing Application | T1566:Phishing</t>
        </is>
      </c>
      <c r="W1950" s="188" t="n">
        <v>1</v>
      </c>
      <c r="X1950" s="188" t="inlineStr">
        <is>
          <t>MEDIUM (60%)</t>
        </is>
      </c>
      <c r="Y1950" s="188" t="inlineStr">
        <is>
          <t>NONE</t>
        </is>
      </c>
      <c r="Z1950" s="188" t="inlineStr">
        <is>
          <t>NONE</t>
        </is>
      </c>
      <c r="AA1950" s="188" t="inlineStr">
        <is>
          <t>NONE</t>
        </is>
      </c>
      <c r="AB1950" s="188" t="inlineStr">
        <is>
          <t>NONE</t>
        </is>
      </c>
      <c r="AC1950" s="188" t="n">
        <v>0</v>
      </c>
      <c r="AD1950" s="188" t="inlineStr"/>
    </row>
    <row r="1951">
      <c r="A1951" s="188" t="inlineStr">
        <is>
          <t>TALOS_IP</t>
        </is>
      </c>
      <c r="B1951" s="188" t="inlineStr">
        <is>
          <t>9ff8dcf6ffa6</t>
        </is>
      </c>
      <c r="C1951" s="188" t="inlineStr">
        <is>
          <t>Cisco Talos Blacklisted IP: 1.24.16.156 | Verified malicious | Sources: TALOS</t>
        </is>
      </c>
      <c r="D1951" s="188" t="n">
        <v>7</v>
      </c>
      <c r="E1951" s="188" t="inlineStr">
        <is>
          <t>HIGH</t>
        </is>
      </c>
      <c r="F1951" s="188" t="n">
        <v>3</v>
      </c>
      <c r="G1951" s="188" t="n">
        <v>2</v>
      </c>
      <c r="H1951" s="188" t="inlineStr">
        <is>
          <t>HIGH</t>
        </is>
      </c>
      <c r="I1951" s="188" t="n">
        <v>13</v>
      </c>
      <c r="J1951" s="188" t="inlineStr">
        <is>
          <t>NO</t>
        </is>
      </c>
      <c r="K1951" s="188" t="inlineStr">
        <is>
          <t>https://talosintelligence.com/reputation_center/lookup?search=1.24.16.156</t>
        </is>
      </c>
      <c r="L1951" s="188" t="inlineStr">
        <is>
          <t>2026-02-26 00:15</t>
        </is>
      </c>
      <c r="M1951" s="188" t="inlineStr">
        <is>
          <t>Block IP</t>
        </is>
      </c>
      <c r="N1951" s="188" t="inlineStr">
        <is>
          <t>https://talosintelligence.com/reputation_center/lookup?search=1.24.16.156</t>
        </is>
      </c>
      <c r="O1951" s="188" t="inlineStr">
        <is>
          <t>Block IP 1.24.16.156 at firewall | Cisco Talos confirmed malicious</t>
        </is>
      </c>
      <c r="P1951" s="188" t="inlineStr">
        <is>
          <t>Network perimeter / Email / Web</t>
        </is>
      </c>
      <c r="Q1951" s="188" t="inlineStr">
        <is>
          <t>P3</t>
        </is>
      </c>
      <c r="R1951" s="188" t="inlineStr">
        <is>
          <t>🚫 Block IP at firewall immediately | 🔍 Check logs for existing connections | 🛡️ Add to threat intelligence blocklist</t>
        </is>
      </c>
      <c r="S1951" s="188" t="inlineStr">
        <is>
          <t>Check ip-api.com + AbuseIPDB for context</t>
        </is>
      </c>
      <c r="T1951" s="188" t="n">
        <v>0</v>
      </c>
      <c r="U1951" s="188" t="n">
        <v>0</v>
      </c>
      <c r="V1951" s="188" t="inlineStr">
        <is>
          <t>T1110:Brute Force | T1190:Exploit Public-Facing Application | T1566:Phishing</t>
        </is>
      </c>
      <c r="W1951" s="188" t="n">
        <v>1</v>
      </c>
      <c r="X1951" s="188" t="inlineStr">
        <is>
          <t>MEDIUM (60%)</t>
        </is>
      </c>
      <c r="Y1951" s="188" t="inlineStr">
        <is>
          <t>NONE</t>
        </is>
      </c>
      <c r="Z1951" s="188" t="inlineStr">
        <is>
          <t>NONE</t>
        </is>
      </c>
      <c r="AA1951" s="188" t="inlineStr">
        <is>
          <t>NONE</t>
        </is>
      </c>
      <c r="AB1951" s="188" t="inlineStr">
        <is>
          <t>NONE</t>
        </is>
      </c>
      <c r="AC1951" s="188" t="n">
        <v>0</v>
      </c>
      <c r="AD1951" s="188" t="inlineStr"/>
    </row>
    <row r="1952">
      <c r="A1952" s="188" t="inlineStr">
        <is>
          <t>TALOS_IP</t>
        </is>
      </c>
      <c r="B1952" s="188" t="inlineStr">
        <is>
          <t>a080d8384952</t>
        </is>
      </c>
      <c r="C1952" s="188" t="inlineStr">
        <is>
          <t>Cisco Talos Blacklisted IP: 1.24.16.157 | Verified malicious | Sources: TALOS</t>
        </is>
      </c>
      <c r="D1952" s="188" t="n">
        <v>7</v>
      </c>
      <c r="E1952" s="188" t="inlineStr">
        <is>
          <t>HIGH</t>
        </is>
      </c>
      <c r="F1952" s="188" t="n">
        <v>3</v>
      </c>
      <c r="G1952" s="188" t="n">
        <v>2</v>
      </c>
      <c r="H1952" s="188" t="inlineStr">
        <is>
          <t>HIGH</t>
        </is>
      </c>
      <c r="I1952" s="188" t="n">
        <v>13</v>
      </c>
      <c r="J1952" s="188" t="inlineStr">
        <is>
          <t>NO</t>
        </is>
      </c>
      <c r="K1952" s="188" t="inlineStr">
        <is>
          <t>https://talosintelligence.com/reputation_center/lookup?search=1.24.16.157</t>
        </is>
      </c>
      <c r="L1952" s="188" t="inlineStr">
        <is>
          <t>2026-02-26 00:15</t>
        </is>
      </c>
      <c r="M1952" s="188" t="inlineStr">
        <is>
          <t>Block IP</t>
        </is>
      </c>
      <c r="N1952" s="188" t="inlineStr">
        <is>
          <t>https://talosintelligence.com/reputation_center/lookup?search=1.24.16.157</t>
        </is>
      </c>
      <c r="O1952" s="188" t="inlineStr">
        <is>
          <t>Block IP 1.24.16.157 at firewall | Cisco Talos confirmed malicious</t>
        </is>
      </c>
      <c r="P1952" s="188" t="inlineStr">
        <is>
          <t>Network perimeter / Email / Web</t>
        </is>
      </c>
      <c r="Q1952" s="188" t="inlineStr">
        <is>
          <t>P3</t>
        </is>
      </c>
      <c r="R1952" s="188" t="inlineStr">
        <is>
          <t>🚫 Block IP at firewall immediately | 🔍 Check logs for existing connections | 🛡️ Add to threat intelligence blocklist</t>
        </is>
      </c>
      <c r="S1952" s="188" t="inlineStr">
        <is>
          <t>Check ip-api.com + AbuseIPDB for context</t>
        </is>
      </c>
      <c r="T1952" s="188" t="n">
        <v>0</v>
      </c>
      <c r="U1952" s="188" t="n">
        <v>0</v>
      </c>
      <c r="V1952" s="188" t="inlineStr">
        <is>
          <t>T1110:Brute Force | T1190:Exploit Public-Facing Application | T1566:Phishing</t>
        </is>
      </c>
      <c r="W1952" s="188" t="n">
        <v>1</v>
      </c>
      <c r="X1952" s="188" t="inlineStr">
        <is>
          <t>MEDIUM (60%)</t>
        </is>
      </c>
      <c r="Y1952" s="188" t="inlineStr">
        <is>
          <t>NONE</t>
        </is>
      </c>
      <c r="Z1952" s="188" t="inlineStr">
        <is>
          <t>NONE</t>
        </is>
      </c>
      <c r="AA1952" s="188" t="inlineStr">
        <is>
          <t>NONE</t>
        </is>
      </c>
      <c r="AB1952" s="188" t="inlineStr">
        <is>
          <t>NONE</t>
        </is>
      </c>
      <c r="AC1952" s="188" t="n">
        <v>0</v>
      </c>
      <c r="AD1952" s="188" t="inlineStr"/>
    </row>
    <row r="1953">
      <c r="A1953" s="188" t="inlineStr">
        <is>
          <t>TALOS_IP</t>
        </is>
      </c>
      <c r="B1953" s="188" t="inlineStr">
        <is>
          <t>9bde7a56c487</t>
        </is>
      </c>
      <c r="C1953" s="188" t="inlineStr">
        <is>
          <t>Cisco Talos Blacklisted IP: 1.24.16.159 | Verified malicious | Sources: TALOS</t>
        </is>
      </c>
      <c r="D1953" s="188" t="n">
        <v>7</v>
      </c>
      <c r="E1953" s="188" t="inlineStr">
        <is>
          <t>HIGH</t>
        </is>
      </c>
      <c r="F1953" s="188" t="n">
        <v>3</v>
      </c>
      <c r="G1953" s="188" t="n">
        <v>2</v>
      </c>
      <c r="H1953" s="188" t="inlineStr">
        <is>
          <t>HIGH</t>
        </is>
      </c>
      <c r="I1953" s="188" t="n">
        <v>13</v>
      </c>
      <c r="J1953" s="188" t="inlineStr">
        <is>
          <t>NO</t>
        </is>
      </c>
      <c r="K1953" s="188" t="inlineStr">
        <is>
          <t>https://talosintelligence.com/reputation_center/lookup?search=1.24.16.159</t>
        </is>
      </c>
      <c r="L1953" s="188" t="inlineStr">
        <is>
          <t>2026-02-26 00:15</t>
        </is>
      </c>
      <c r="M1953" s="188" t="inlineStr">
        <is>
          <t>Block IP</t>
        </is>
      </c>
      <c r="N1953" s="188" t="inlineStr">
        <is>
          <t>https://talosintelligence.com/reputation_center/lookup?search=1.24.16.159</t>
        </is>
      </c>
      <c r="O1953" s="188" t="inlineStr">
        <is>
          <t>Block IP 1.24.16.159 at firewall | Cisco Talos confirmed malicious</t>
        </is>
      </c>
      <c r="P1953" s="188" t="inlineStr">
        <is>
          <t>Network perimeter / Email / Web</t>
        </is>
      </c>
      <c r="Q1953" s="188" t="inlineStr">
        <is>
          <t>P3</t>
        </is>
      </c>
      <c r="R1953" s="188" t="inlineStr">
        <is>
          <t>🚫 Block IP at firewall immediately | 🔍 Check logs for existing connections | 🛡️ Add to threat intelligence blocklist</t>
        </is>
      </c>
      <c r="S1953" s="188" t="inlineStr">
        <is>
          <t>Check ip-api.com + AbuseIPDB for context</t>
        </is>
      </c>
      <c r="T1953" s="188" t="n">
        <v>0</v>
      </c>
      <c r="U1953" s="188" t="n">
        <v>0</v>
      </c>
      <c r="V1953" s="188" t="inlineStr">
        <is>
          <t>T1110:Brute Force | T1190:Exploit Public-Facing Application | T1566:Phishing</t>
        </is>
      </c>
      <c r="W1953" s="188" t="n">
        <v>1</v>
      </c>
      <c r="X1953" s="188" t="inlineStr">
        <is>
          <t>MEDIUM (60%)</t>
        </is>
      </c>
      <c r="Y1953" s="188" t="inlineStr">
        <is>
          <t>NONE</t>
        </is>
      </c>
      <c r="Z1953" s="188" t="inlineStr">
        <is>
          <t>NONE</t>
        </is>
      </c>
      <c r="AA1953" s="188" t="inlineStr">
        <is>
          <t>NONE</t>
        </is>
      </c>
      <c r="AB1953" s="188" t="inlineStr">
        <is>
          <t>NONE</t>
        </is>
      </c>
      <c r="AC1953" s="188" t="n">
        <v>0</v>
      </c>
      <c r="AD1953" s="188" t="inlineStr"/>
    </row>
    <row r="1954">
      <c r="A1954" s="188" t="inlineStr">
        <is>
          <t>TALOS_IP</t>
        </is>
      </c>
      <c r="B1954" s="188" t="inlineStr">
        <is>
          <t>afd5213b6785</t>
        </is>
      </c>
      <c r="C1954" s="188" t="inlineStr">
        <is>
          <t>Cisco Talos Blacklisted IP: 1.24.16.162 | Verified malicious | Sources: TALOS</t>
        </is>
      </c>
      <c r="D1954" s="188" t="n">
        <v>7</v>
      </c>
      <c r="E1954" s="188" t="inlineStr">
        <is>
          <t>HIGH</t>
        </is>
      </c>
      <c r="F1954" s="188" t="n">
        <v>3</v>
      </c>
      <c r="G1954" s="188" t="n">
        <v>2</v>
      </c>
      <c r="H1954" s="188" t="inlineStr">
        <is>
          <t>HIGH</t>
        </is>
      </c>
      <c r="I1954" s="188" t="n">
        <v>13</v>
      </c>
      <c r="J1954" s="188" t="inlineStr">
        <is>
          <t>NO</t>
        </is>
      </c>
      <c r="K1954" s="188" t="inlineStr">
        <is>
          <t>https://talosintelligence.com/reputation_center/lookup?search=1.24.16.162</t>
        </is>
      </c>
      <c r="L1954" s="188" t="inlineStr">
        <is>
          <t>2026-02-26 00:15</t>
        </is>
      </c>
      <c r="M1954" s="188" t="inlineStr">
        <is>
          <t>Block IP</t>
        </is>
      </c>
      <c r="N1954" s="188" t="inlineStr">
        <is>
          <t>https://talosintelligence.com/reputation_center/lookup?search=1.24.16.162</t>
        </is>
      </c>
      <c r="O1954" s="188" t="inlineStr">
        <is>
          <t>Block IP 1.24.16.162 at firewall | Cisco Talos confirmed malicious</t>
        </is>
      </c>
      <c r="P1954" s="188" t="inlineStr">
        <is>
          <t>Network perimeter / Email / Web</t>
        </is>
      </c>
      <c r="Q1954" s="188" t="inlineStr">
        <is>
          <t>P3</t>
        </is>
      </c>
      <c r="R1954" s="188" t="inlineStr">
        <is>
          <t>🚫 Block IP at firewall immediately | 🔍 Check logs for existing connections | 🛡️ Add to threat intelligence blocklist</t>
        </is>
      </c>
      <c r="S1954" s="188" t="inlineStr">
        <is>
          <t>Check ip-api.com + AbuseIPDB for context</t>
        </is>
      </c>
      <c r="T1954" s="188" t="n">
        <v>0</v>
      </c>
      <c r="U1954" s="188" t="n">
        <v>0</v>
      </c>
      <c r="V1954" s="188" t="inlineStr">
        <is>
          <t>T1110:Brute Force | T1190:Exploit Public-Facing Application | T1566:Phishing</t>
        </is>
      </c>
      <c r="W1954" s="188" t="n">
        <v>1</v>
      </c>
      <c r="X1954" s="188" t="inlineStr">
        <is>
          <t>MEDIUM (60%)</t>
        </is>
      </c>
      <c r="Y1954" s="188" t="inlineStr">
        <is>
          <t>NONE</t>
        </is>
      </c>
      <c r="Z1954" s="188" t="inlineStr">
        <is>
          <t>NONE</t>
        </is>
      </c>
      <c r="AA1954" s="188" t="inlineStr">
        <is>
          <t>NONE</t>
        </is>
      </c>
      <c r="AB1954" s="188" t="inlineStr">
        <is>
          <t>NONE</t>
        </is>
      </c>
      <c r="AC1954" s="188" t="n">
        <v>0</v>
      </c>
      <c r="AD1954" s="188" t="inlineStr"/>
    </row>
    <row r="1955">
      <c r="A1955" s="188" t="inlineStr">
        <is>
          <t>TALOS_IP</t>
        </is>
      </c>
      <c r="B1955" s="188" t="inlineStr">
        <is>
          <t>5711df958d2c</t>
        </is>
      </c>
      <c r="C1955" s="188" t="inlineStr">
        <is>
          <t>Cisco Talos Blacklisted IP: 1.24.16.163 | Verified malicious | Sources: TALOS</t>
        </is>
      </c>
      <c r="D1955" s="188" t="n">
        <v>7</v>
      </c>
      <c r="E1955" s="188" t="inlineStr">
        <is>
          <t>HIGH</t>
        </is>
      </c>
      <c r="F1955" s="188" t="n">
        <v>3</v>
      </c>
      <c r="G1955" s="188" t="n">
        <v>2</v>
      </c>
      <c r="H1955" s="188" t="inlineStr">
        <is>
          <t>HIGH</t>
        </is>
      </c>
      <c r="I1955" s="188" t="n">
        <v>13</v>
      </c>
      <c r="J1955" s="188" t="inlineStr">
        <is>
          <t>NO</t>
        </is>
      </c>
      <c r="K1955" s="188" t="inlineStr">
        <is>
          <t>https://talosintelligence.com/reputation_center/lookup?search=1.24.16.163</t>
        </is>
      </c>
      <c r="L1955" s="188" t="inlineStr">
        <is>
          <t>2026-02-26 00:15</t>
        </is>
      </c>
      <c r="M1955" s="188" t="inlineStr">
        <is>
          <t>Block IP</t>
        </is>
      </c>
      <c r="N1955" s="188" t="inlineStr">
        <is>
          <t>https://talosintelligence.com/reputation_center/lookup?search=1.24.16.163</t>
        </is>
      </c>
      <c r="O1955" s="188" t="inlineStr">
        <is>
          <t>Block IP 1.24.16.163 at firewall | Cisco Talos confirmed malicious</t>
        </is>
      </c>
      <c r="P1955" s="188" t="inlineStr">
        <is>
          <t>Network perimeter / Email / Web</t>
        </is>
      </c>
      <c r="Q1955" s="188" t="inlineStr">
        <is>
          <t>P3</t>
        </is>
      </c>
      <c r="R1955" s="188" t="inlineStr">
        <is>
          <t>🚫 Block IP at firewall immediately | 🔍 Check logs for existing connections | 🛡️ Add to threat intelligence blocklist</t>
        </is>
      </c>
      <c r="S1955" s="188" t="inlineStr">
        <is>
          <t>Check ip-api.com + AbuseIPDB for context</t>
        </is>
      </c>
      <c r="T1955" s="188" t="n">
        <v>0</v>
      </c>
      <c r="U1955" s="188" t="n">
        <v>0</v>
      </c>
      <c r="V1955" s="188" t="inlineStr">
        <is>
          <t>T1110:Brute Force | T1190:Exploit Public-Facing Application | T1566:Phishing</t>
        </is>
      </c>
      <c r="W1955" s="188" t="n">
        <v>1</v>
      </c>
      <c r="X1955" s="188" t="inlineStr">
        <is>
          <t>MEDIUM (60%)</t>
        </is>
      </c>
      <c r="Y1955" s="188" t="inlineStr">
        <is>
          <t>NONE</t>
        </is>
      </c>
      <c r="Z1955" s="188" t="inlineStr">
        <is>
          <t>NONE</t>
        </is>
      </c>
      <c r="AA1955" s="188" t="inlineStr">
        <is>
          <t>NONE</t>
        </is>
      </c>
      <c r="AB1955" s="188" t="inlineStr">
        <is>
          <t>NONE</t>
        </is>
      </c>
      <c r="AC1955" s="188" t="n">
        <v>0</v>
      </c>
      <c r="AD1955" s="188" t="inlineStr"/>
    </row>
    <row r="1956">
      <c r="A1956" s="188" t="inlineStr">
        <is>
          <t>TALOS_IP</t>
        </is>
      </c>
      <c r="B1956" s="188" t="inlineStr">
        <is>
          <t>0e3151df8d7a</t>
        </is>
      </c>
      <c r="C1956" s="188" t="inlineStr">
        <is>
          <t>Cisco Talos Blacklisted IP: 1.24.16.167 | Verified malicious | Sources: TALOS</t>
        </is>
      </c>
      <c r="D1956" s="188" t="n">
        <v>7</v>
      </c>
      <c r="E1956" s="188" t="inlineStr">
        <is>
          <t>HIGH</t>
        </is>
      </c>
      <c r="F1956" s="188" t="n">
        <v>3</v>
      </c>
      <c r="G1956" s="188" t="n">
        <v>2</v>
      </c>
      <c r="H1956" s="188" t="inlineStr">
        <is>
          <t>HIGH</t>
        </is>
      </c>
      <c r="I1956" s="188" t="n">
        <v>13</v>
      </c>
      <c r="J1956" s="188" t="inlineStr">
        <is>
          <t>NO</t>
        </is>
      </c>
      <c r="K1956" s="188" t="inlineStr">
        <is>
          <t>https://talosintelligence.com/reputation_center/lookup?search=1.24.16.167</t>
        </is>
      </c>
      <c r="L1956" s="188" t="inlineStr">
        <is>
          <t>2026-02-26 00:15</t>
        </is>
      </c>
      <c r="M1956" s="188" t="inlineStr">
        <is>
          <t>Block IP</t>
        </is>
      </c>
      <c r="N1956" s="188" t="inlineStr">
        <is>
          <t>https://talosintelligence.com/reputation_center/lookup?search=1.24.16.167</t>
        </is>
      </c>
      <c r="O1956" s="188" t="inlineStr">
        <is>
          <t>Block IP 1.24.16.167 at firewall | Cisco Talos confirmed malicious</t>
        </is>
      </c>
      <c r="P1956" s="188" t="inlineStr">
        <is>
          <t>Network perimeter / Email / Web</t>
        </is>
      </c>
      <c r="Q1956" s="188" t="inlineStr">
        <is>
          <t>P3</t>
        </is>
      </c>
      <c r="R1956" s="188" t="inlineStr">
        <is>
          <t>🚫 Block IP at firewall immediately | 🔍 Check logs for existing connections | 🛡️ Add to threat intelligence blocklist</t>
        </is>
      </c>
      <c r="S1956" s="188" t="inlineStr">
        <is>
          <t>Check ip-api.com + AbuseIPDB for context</t>
        </is>
      </c>
      <c r="T1956" s="188" t="n">
        <v>0</v>
      </c>
      <c r="U1956" s="188" t="n">
        <v>0</v>
      </c>
      <c r="V1956" s="188" t="inlineStr">
        <is>
          <t>T1110:Brute Force | T1190:Exploit Public-Facing Application | T1566:Phishing</t>
        </is>
      </c>
      <c r="W1956" s="188" t="n">
        <v>1</v>
      </c>
      <c r="X1956" s="188" t="inlineStr">
        <is>
          <t>MEDIUM (60%)</t>
        </is>
      </c>
      <c r="Y1956" s="188" t="inlineStr">
        <is>
          <t>NONE</t>
        </is>
      </c>
      <c r="Z1956" s="188" t="inlineStr">
        <is>
          <t>NONE</t>
        </is>
      </c>
      <c r="AA1956" s="188" t="inlineStr">
        <is>
          <t>NONE</t>
        </is>
      </c>
      <c r="AB1956" s="188" t="inlineStr">
        <is>
          <t>NONE</t>
        </is>
      </c>
      <c r="AC1956" s="188" t="n">
        <v>0</v>
      </c>
      <c r="AD1956" s="188" t="inlineStr"/>
    </row>
    <row r="1957">
      <c r="A1957" s="188" t="inlineStr">
        <is>
          <t>TALOS_IP</t>
        </is>
      </c>
      <c r="B1957" s="188" t="inlineStr">
        <is>
          <t>70086f3b4106</t>
        </is>
      </c>
      <c r="C1957" s="188" t="inlineStr">
        <is>
          <t>Cisco Talos Blacklisted IP: 1.24.16.169 | Verified malicious | Sources: TALOS</t>
        </is>
      </c>
      <c r="D1957" s="188" t="n">
        <v>7</v>
      </c>
      <c r="E1957" s="188" t="inlineStr">
        <is>
          <t>HIGH</t>
        </is>
      </c>
      <c r="F1957" s="188" t="n">
        <v>3</v>
      </c>
      <c r="G1957" s="188" t="n">
        <v>2</v>
      </c>
      <c r="H1957" s="188" t="inlineStr">
        <is>
          <t>HIGH</t>
        </is>
      </c>
      <c r="I1957" s="188" t="n">
        <v>13</v>
      </c>
      <c r="J1957" s="188" t="inlineStr">
        <is>
          <t>NO</t>
        </is>
      </c>
      <c r="K1957" s="188" t="inlineStr">
        <is>
          <t>https://talosintelligence.com/reputation_center/lookup?search=1.24.16.169</t>
        </is>
      </c>
      <c r="L1957" s="188" t="inlineStr">
        <is>
          <t>2026-02-26 00:15</t>
        </is>
      </c>
      <c r="M1957" s="188" t="inlineStr">
        <is>
          <t>Block IP</t>
        </is>
      </c>
      <c r="N1957" s="188" t="inlineStr">
        <is>
          <t>https://talosintelligence.com/reputation_center/lookup?search=1.24.16.169</t>
        </is>
      </c>
      <c r="O1957" s="188" t="inlineStr">
        <is>
          <t>Block IP 1.24.16.169 at firewall | Cisco Talos confirmed malicious</t>
        </is>
      </c>
      <c r="P1957" s="188" t="inlineStr">
        <is>
          <t>Network perimeter / Email / Web</t>
        </is>
      </c>
      <c r="Q1957" s="188" t="inlineStr">
        <is>
          <t>P3</t>
        </is>
      </c>
      <c r="R1957" s="188" t="inlineStr">
        <is>
          <t>🚫 Block IP at firewall immediately | 🔍 Check logs for existing connections | 🛡️ Add to threat intelligence blocklist</t>
        </is>
      </c>
      <c r="S1957" s="188" t="inlineStr">
        <is>
          <t>Check ip-api.com + AbuseIPDB for context</t>
        </is>
      </c>
      <c r="T1957" s="188" t="n">
        <v>0</v>
      </c>
      <c r="U1957" s="188" t="n">
        <v>0</v>
      </c>
      <c r="V1957" s="188" t="inlineStr">
        <is>
          <t>T1110:Brute Force | T1190:Exploit Public-Facing Application | T1566:Phishing</t>
        </is>
      </c>
      <c r="W1957" s="188" t="n">
        <v>1</v>
      </c>
      <c r="X1957" s="188" t="inlineStr">
        <is>
          <t>MEDIUM (60%)</t>
        </is>
      </c>
      <c r="Y1957" s="188" t="inlineStr">
        <is>
          <t>NONE</t>
        </is>
      </c>
      <c r="Z1957" s="188" t="inlineStr">
        <is>
          <t>NONE</t>
        </is>
      </c>
      <c r="AA1957" s="188" t="inlineStr">
        <is>
          <t>NONE</t>
        </is>
      </c>
      <c r="AB1957" s="188" t="inlineStr">
        <is>
          <t>NONE</t>
        </is>
      </c>
      <c r="AC1957" s="188" t="n">
        <v>0</v>
      </c>
      <c r="AD1957" s="188" t="inlineStr"/>
    </row>
    <row r="1958">
      <c r="A1958" s="188" t="inlineStr">
        <is>
          <t>TALOS_IP</t>
        </is>
      </c>
      <c r="B1958" s="188" t="inlineStr">
        <is>
          <t>2343dae07c3d</t>
        </is>
      </c>
      <c r="C1958" s="188" t="inlineStr">
        <is>
          <t>Cisco Talos Blacklisted IP: 1.24.16.17 | Verified malicious | Sources: TALOS</t>
        </is>
      </c>
      <c r="D1958" s="188" t="n">
        <v>7</v>
      </c>
      <c r="E1958" s="188" t="inlineStr">
        <is>
          <t>HIGH</t>
        </is>
      </c>
      <c r="F1958" s="188" t="n">
        <v>3</v>
      </c>
      <c r="G1958" s="188" t="n">
        <v>2</v>
      </c>
      <c r="H1958" s="188" t="inlineStr">
        <is>
          <t>HIGH</t>
        </is>
      </c>
      <c r="I1958" s="188" t="n">
        <v>13</v>
      </c>
      <c r="J1958" s="188" t="inlineStr">
        <is>
          <t>NO</t>
        </is>
      </c>
      <c r="K1958" s="188" t="inlineStr">
        <is>
          <t>https://talosintelligence.com/reputation_center/lookup?search=1.24.16.17</t>
        </is>
      </c>
      <c r="L1958" s="188" t="inlineStr">
        <is>
          <t>2026-02-26 00:15</t>
        </is>
      </c>
      <c r="M1958" s="188" t="inlineStr">
        <is>
          <t>Block IP</t>
        </is>
      </c>
      <c r="N1958" s="188" t="inlineStr">
        <is>
          <t>https://talosintelligence.com/reputation_center/lookup?search=1.24.16.17</t>
        </is>
      </c>
      <c r="O1958" s="188" t="inlineStr">
        <is>
          <t>Block IP 1.24.16.17 at firewall | Cisco Talos confirmed malicious</t>
        </is>
      </c>
      <c r="P1958" s="188" t="inlineStr">
        <is>
          <t>Network perimeter / Email / Web</t>
        </is>
      </c>
      <c r="Q1958" s="188" t="inlineStr">
        <is>
          <t>P3</t>
        </is>
      </c>
      <c r="R1958" s="188" t="inlineStr">
        <is>
          <t>🚫 Block IP at firewall immediately | 🔍 Check logs for existing connections | 🛡️ Add to threat intelligence blocklist</t>
        </is>
      </c>
      <c r="S1958" s="188" t="inlineStr">
        <is>
          <t>Check ip-api.com + AbuseIPDB for context</t>
        </is>
      </c>
      <c r="T1958" s="188" t="n">
        <v>0</v>
      </c>
      <c r="U1958" s="188" t="n">
        <v>0</v>
      </c>
      <c r="V1958" s="188" t="inlineStr">
        <is>
          <t>T1110:Brute Force | T1190:Exploit Public-Facing Application | T1566:Phishing</t>
        </is>
      </c>
      <c r="W1958" s="188" t="n">
        <v>1</v>
      </c>
      <c r="X1958" s="188" t="inlineStr">
        <is>
          <t>MEDIUM (60%)</t>
        </is>
      </c>
      <c r="Y1958" s="188" t="inlineStr">
        <is>
          <t>NONE</t>
        </is>
      </c>
      <c r="Z1958" s="188" t="inlineStr">
        <is>
          <t>NONE</t>
        </is>
      </c>
      <c r="AA1958" s="188" t="inlineStr">
        <is>
          <t>NONE</t>
        </is>
      </c>
      <c r="AB1958" s="188" t="inlineStr">
        <is>
          <t>NONE</t>
        </is>
      </c>
      <c r="AC1958" s="188" t="n">
        <v>0</v>
      </c>
      <c r="AD1958" s="188" t="inlineStr"/>
    </row>
    <row r="1959">
      <c r="A1959" s="188" t="inlineStr">
        <is>
          <t>TALOS_IP</t>
        </is>
      </c>
      <c r="B1959" s="188" t="inlineStr">
        <is>
          <t>cfbbfa6538bf</t>
        </is>
      </c>
      <c r="C1959" s="188" t="inlineStr">
        <is>
          <t>Cisco Talos Blacklisted IP: 1.24.16.170 | Verified malicious | Sources: TALOS</t>
        </is>
      </c>
      <c r="D1959" s="188" t="n">
        <v>7</v>
      </c>
      <c r="E1959" s="188" t="inlineStr">
        <is>
          <t>HIGH</t>
        </is>
      </c>
      <c r="F1959" s="188" t="n">
        <v>3</v>
      </c>
      <c r="G1959" s="188" t="n">
        <v>2</v>
      </c>
      <c r="H1959" s="188" t="inlineStr">
        <is>
          <t>HIGH</t>
        </is>
      </c>
      <c r="I1959" s="188" t="n">
        <v>13</v>
      </c>
      <c r="J1959" s="188" t="inlineStr">
        <is>
          <t>NO</t>
        </is>
      </c>
      <c r="K1959" s="188" t="inlineStr">
        <is>
          <t>https://talosintelligence.com/reputation_center/lookup?search=1.24.16.170</t>
        </is>
      </c>
      <c r="L1959" s="188" t="inlineStr">
        <is>
          <t>2026-02-26 00:15</t>
        </is>
      </c>
      <c r="M1959" s="188" t="inlineStr">
        <is>
          <t>Block IP</t>
        </is>
      </c>
      <c r="N1959" s="188" t="inlineStr">
        <is>
          <t>https://talosintelligence.com/reputation_center/lookup?search=1.24.16.170</t>
        </is>
      </c>
      <c r="O1959" s="188" t="inlineStr">
        <is>
          <t>Block IP 1.24.16.170 at firewall | Cisco Talos confirmed malicious</t>
        </is>
      </c>
      <c r="P1959" s="188" t="inlineStr">
        <is>
          <t>Network perimeter / Email / Web</t>
        </is>
      </c>
      <c r="Q1959" s="188" t="inlineStr">
        <is>
          <t>P3</t>
        </is>
      </c>
      <c r="R1959" s="188" t="inlineStr">
        <is>
          <t>🚫 Block IP at firewall immediately | 🔍 Check logs for existing connections | 🛡️ Add to threat intelligence blocklist</t>
        </is>
      </c>
      <c r="S1959" s="188" t="inlineStr">
        <is>
          <t>Check ip-api.com + AbuseIPDB for context</t>
        </is>
      </c>
      <c r="T1959" s="188" t="n">
        <v>0</v>
      </c>
      <c r="U1959" s="188" t="n">
        <v>0</v>
      </c>
      <c r="V1959" s="188" t="inlineStr">
        <is>
          <t>T1110:Brute Force | T1190:Exploit Public-Facing Application | T1566:Phishing</t>
        </is>
      </c>
      <c r="W1959" s="188" t="n">
        <v>1</v>
      </c>
      <c r="X1959" s="188" t="inlineStr">
        <is>
          <t>MEDIUM (60%)</t>
        </is>
      </c>
      <c r="Y1959" s="188" t="inlineStr">
        <is>
          <t>NONE</t>
        </is>
      </c>
      <c r="Z1959" s="188" t="inlineStr">
        <is>
          <t>NONE</t>
        </is>
      </c>
      <c r="AA1959" s="188" t="inlineStr">
        <is>
          <t>NONE</t>
        </is>
      </c>
      <c r="AB1959" s="188" t="inlineStr">
        <is>
          <t>NONE</t>
        </is>
      </c>
      <c r="AC1959" s="188" t="n">
        <v>0</v>
      </c>
      <c r="AD1959" s="188" t="inlineStr"/>
    </row>
    <row r="1960">
      <c r="A1960" s="188" t="inlineStr">
        <is>
          <t>TALOS_IP</t>
        </is>
      </c>
      <c r="B1960" s="188" t="inlineStr">
        <is>
          <t>da24ba105918</t>
        </is>
      </c>
      <c r="C1960" s="188" t="inlineStr">
        <is>
          <t>Cisco Talos Blacklisted IP: 1.24.16.173 | Verified malicious | Sources: TALOS</t>
        </is>
      </c>
      <c r="D1960" s="188" t="n">
        <v>7</v>
      </c>
      <c r="E1960" s="188" t="inlineStr">
        <is>
          <t>HIGH</t>
        </is>
      </c>
      <c r="F1960" s="188" t="n">
        <v>3</v>
      </c>
      <c r="G1960" s="188" t="n">
        <v>2</v>
      </c>
      <c r="H1960" s="188" t="inlineStr">
        <is>
          <t>HIGH</t>
        </is>
      </c>
      <c r="I1960" s="188" t="n">
        <v>13</v>
      </c>
      <c r="J1960" s="188" t="inlineStr">
        <is>
          <t>NO</t>
        </is>
      </c>
      <c r="K1960" s="188" t="inlineStr">
        <is>
          <t>https://talosintelligence.com/reputation_center/lookup?search=1.24.16.173</t>
        </is>
      </c>
      <c r="L1960" s="188" t="inlineStr">
        <is>
          <t>2026-02-26 00:15</t>
        </is>
      </c>
      <c r="M1960" s="188" t="inlineStr">
        <is>
          <t>Block IP</t>
        </is>
      </c>
      <c r="N1960" s="188" t="inlineStr">
        <is>
          <t>https://talosintelligence.com/reputation_center/lookup?search=1.24.16.173</t>
        </is>
      </c>
      <c r="O1960" s="188" t="inlineStr">
        <is>
          <t>Block IP 1.24.16.173 at firewall | Cisco Talos confirmed malicious</t>
        </is>
      </c>
      <c r="P1960" s="188" t="inlineStr">
        <is>
          <t>Network perimeter / Email / Web</t>
        </is>
      </c>
      <c r="Q1960" s="188" t="inlineStr">
        <is>
          <t>P3</t>
        </is>
      </c>
      <c r="R1960" s="188" t="inlineStr">
        <is>
          <t>🚫 Block IP at firewall immediately | 🔍 Check logs for existing connections | 🛡️ Add to threat intelligence blocklist</t>
        </is>
      </c>
      <c r="S1960" s="188" t="inlineStr">
        <is>
          <t>Check ip-api.com + AbuseIPDB for context</t>
        </is>
      </c>
      <c r="T1960" s="188" t="n">
        <v>0</v>
      </c>
      <c r="U1960" s="188" t="n">
        <v>0</v>
      </c>
      <c r="V1960" s="188" t="inlineStr">
        <is>
          <t>T1110:Brute Force | T1190:Exploit Public-Facing Application | T1566:Phishing</t>
        </is>
      </c>
      <c r="W1960" s="188" t="n">
        <v>1</v>
      </c>
      <c r="X1960" s="188" t="inlineStr">
        <is>
          <t>MEDIUM (60%)</t>
        </is>
      </c>
      <c r="Y1960" s="188" t="inlineStr">
        <is>
          <t>NONE</t>
        </is>
      </c>
      <c r="Z1960" s="188" t="inlineStr">
        <is>
          <t>NONE</t>
        </is>
      </c>
      <c r="AA1960" s="188" t="inlineStr">
        <is>
          <t>NONE</t>
        </is>
      </c>
      <c r="AB1960" s="188" t="inlineStr">
        <is>
          <t>NONE</t>
        </is>
      </c>
      <c r="AC1960" s="188" t="n">
        <v>0</v>
      </c>
      <c r="AD1960" s="188" t="inlineStr"/>
    </row>
    <row r="1961">
      <c r="A1961" s="188" t="inlineStr">
        <is>
          <t>TALOS_IP</t>
        </is>
      </c>
      <c r="B1961" s="188" t="inlineStr">
        <is>
          <t>8f372f2c27e4</t>
        </is>
      </c>
      <c r="C1961" s="188" t="inlineStr">
        <is>
          <t>Cisco Talos Blacklisted IP: 1.24.16.175 | Verified malicious | Sources: TALOS</t>
        </is>
      </c>
      <c r="D1961" s="188" t="n">
        <v>7</v>
      </c>
      <c r="E1961" s="188" t="inlineStr">
        <is>
          <t>HIGH</t>
        </is>
      </c>
      <c r="F1961" s="188" t="n">
        <v>3</v>
      </c>
      <c r="G1961" s="188" t="n">
        <v>2</v>
      </c>
      <c r="H1961" s="188" t="inlineStr">
        <is>
          <t>HIGH</t>
        </is>
      </c>
      <c r="I1961" s="188" t="n">
        <v>13</v>
      </c>
      <c r="J1961" s="188" t="inlineStr">
        <is>
          <t>NO</t>
        </is>
      </c>
      <c r="K1961" s="188" t="inlineStr">
        <is>
          <t>https://talosintelligence.com/reputation_center/lookup?search=1.24.16.175</t>
        </is>
      </c>
      <c r="L1961" s="188" t="inlineStr">
        <is>
          <t>2026-02-26 00:15</t>
        </is>
      </c>
      <c r="M1961" s="188" t="inlineStr">
        <is>
          <t>Block IP</t>
        </is>
      </c>
      <c r="N1961" s="188" t="inlineStr">
        <is>
          <t>https://talosintelligence.com/reputation_center/lookup?search=1.24.16.175</t>
        </is>
      </c>
      <c r="O1961" s="188" t="inlineStr">
        <is>
          <t>Block IP 1.24.16.175 at firewall | Cisco Talos confirmed malicious</t>
        </is>
      </c>
      <c r="P1961" s="188" t="inlineStr">
        <is>
          <t>Network perimeter / Email / Web</t>
        </is>
      </c>
      <c r="Q1961" s="188" t="inlineStr">
        <is>
          <t>P3</t>
        </is>
      </c>
      <c r="R1961" s="188" t="inlineStr">
        <is>
          <t>🚫 Block IP at firewall immediately | 🔍 Check logs for existing connections | 🛡️ Add to threat intelligence blocklist</t>
        </is>
      </c>
      <c r="S1961" s="188" t="inlineStr">
        <is>
          <t>Check ip-api.com + AbuseIPDB for context</t>
        </is>
      </c>
      <c r="T1961" s="188" t="n">
        <v>0</v>
      </c>
      <c r="U1961" s="188" t="n">
        <v>0</v>
      </c>
      <c r="V1961" s="188" t="inlineStr">
        <is>
          <t>T1110:Brute Force | T1190:Exploit Public-Facing Application | T1566:Phishing</t>
        </is>
      </c>
      <c r="W1961" s="188" t="n">
        <v>1</v>
      </c>
      <c r="X1961" s="188" t="inlineStr">
        <is>
          <t>MEDIUM (60%)</t>
        </is>
      </c>
      <c r="Y1961" s="188" t="inlineStr">
        <is>
          <t>NONE</t>
        </is>
      </c>
      <c r="Z1961" s="188" t="inlineStr">
        <is>
          <t>NONE</t>
        </is>
      </c>
      <c r="AA1961" s="188" t="inlineStr">
        <is>
          <t>NONE</t>
        </is>
      </c>
      <c r="AB1961" s="188" t="inlineStr">
        <is>
          <t>NONE</t>
        </is>
      </c>
      <c r="AC1961" s="188" t="n">
        <v>0</v>
      </c>
      <c r="AD1961" s="188" t="inlineStr"/>
    </row>
    <row r="1962">
      <c r="A1962" s="188" t="inlineStr">
        <is>
          <t>TALOS_IP</t>
        </is>
      </c>
      <c r="B1962" s="188" t="inlineStr">
        <is>
          <t>5b81ec84d11d</t>
        </is>
      </c>
      <c r="C1962" s="188" t="inlineStr">
        <is>
          <t>Cisco Talos Blacklisted IP: 1.24.16.179 | Verified malicious | Sources: TALOS</t>
        </is>
      </c>
      <c r="D1962" s="188" t="n">
        <v>7</v>
      </c>
      <c r="E1962" s="188" t="inlineStr">
        <is>
          <t>HIGH</t>
        </is>
      </c>
      <c r="F1962" s="188" t="n">
        <v>3</v>
      </c>
      <c r="G1962" s="188" t="n">
        <v>2</v>
      </c>
      <c r="H1962" s="188" t="inlineStr">
        <is>
          <t>HIGH</t>
        </is>
      </c>
      <c r="I1962" s="188" t="n">
        <v>13</v>
      </c>
      <c r="J1962" s="188" t="inlineStr">
        <is>
          <t>NO</t>
        </is>
      </c>
      <c r="K1962" s="188" t="inlineStr">
        <is>
          <t>https://talosintelligence.com/reputation_center/lookup?search=1.24.16.179</t>
        </is>
      </c>
      <c r="L1962" s="188" t="inlineStr">
        <is>
          <t>2026-02-26 00:15</t>
        </is>
      </c>
      <c r="M1962" s="188" t="inlineStr">
        <is>
          <t>Block IP</t>
        </is>
      </c>
      <c r="N1962" s="188" t="inlineStr">
        <is>
          <t>https://talosintelligence.com/reputation_center/lookup?search=1.24.16.179</t>
        </is>
      </c>
      <c r="O1962" s="188" t="inlineStr">
        <is>
          <t>Block IP 1.24.16.179 at firewall | Cisco Talos confirmed malicious</t>
        </is>
      </c>
      <c r="P1962" s="188" t="inlineStr">
        <is>
          <t>Network perimeter / Email / Web</t>
        </is>
      </c>
      <c r="Q1962" s="188" t="inlineStr">
        <is>
          <t>P3</t>
        </is>
      </c>
      <c r="R1962" s="188" t="inlineStr">
        <is>
          <t>🚫 Block IP at firewall immediately | 🔍 Check logs for existing connections | 🛡️ Add to threat intelligence blocklist</t>
        </is>
      </c>
      <c r="S1962" s="188" t="inlineStr">
        <is>
          <t>Check ip-api.com + AbuseIPDB for context</t>
        </is>
      </c>
      <c r="T1962" s="188" t="n">
        <v>0</v>
      </c>
      <c r="U1962" s="188" t="n">
        <v>0</v>
      </c>
      <c r="V1962" s="188" t="inlineStr">
        <is>
          <t>T1110:Brute Force | T1190:Exploit Public-Facing Application | T1566:Phishing</t>
        </is>
      </c>
      <c r="W1962" s="188" t="n">
        <v>1</v>
      </c>
      <c r="X1962" s="188" t="inlineStr">
        <is>
          <t>MEDIUM (60%)</t>
        </is>
      </c>
      <c r="Y1962" s="188" t="inlineStr">
        <is>
          <t>NONE</t>
        </is>
      </c>
      <c r="Z1962" s="188" t="inlineStr">
        <is>
          <t>NONE</t>
        </is>
      </c>
      <c r="AA1962" s="188" t="inlineStr">
        <is>
          <t>NONE</t>
        </is>
      </c>
      <c r="AB1962" s="188" t="inlineStr">
        <is>
          <t>NONE</t>
        </is>
      </c>
      <c r="AC1962" s="188" t="n">
        <v>0</v>
      </c>
      <c r="AD1962" s="188" t="inlineStr"/>
    </row>
    <row r="1963">
      <c r="A1963" s="188" t="inlineStr">
        <is>
          <t>TALOS_IP</t>
        </is>
      </c>
      <c r="B1963" s="188" t="inlineStr">
        <is>
          <t>5f61f9d3f17f</t>
        </is>
      </c>
      <c r="C1963" s="188" t="inlineStr">
        <is>
          <t>Cisco Talos Blacklisted IP: 1.24.16.180 | Verified malicious | Sources: TALOS</t>
        </is>
      </c>
      <c r="D1963" s="188" t="n">
        <v>7</v>
      </c>
      <c r="E1963" s="188" t="inlineStr">
        <is>
          <t>HIGH</t>
        </is>
      </c>
      <c r="F1963" s="188" t="n">
        <v>3</v>
      </c>
      <c r="G1963" s="188" t="n">
        <v>2</v>
      </c>
      <c r="H1963" s="188" t="inlineStr">
        <is>
          <t>HIGH</t>
        </is>
      </c>
      <c r="I1963" s="188" t="n">
        <v>13</v>
      </c>
      <c r="J1963" s="188" t="inlineStr">
        <is>
          <t>NO</t>
        </is>
      </c>
      <c r="K1963" s="188" t="inlineStr">
        <is>
          <t>https://talosintelligence.com/reputation_center/lookup?search=1.24.16.180</t>
        </is>
      </c>
      <c r="L1963" s="188" t="inlineStr">
        <is>
          <t>2026-02-26 00:15</t>
        </is>
      </c>
      <c r="M1963" s="188" t="inlineStr">
        <is>
          <t>Block IP</t>
        </is>
      </c>
      <c r="N1963" s="188" t="inlineStr">
        <is>
          <t>https://talosintelligence.com/reputation_center/lookup?search=1.24.16.180</t>
        </is>
      </c>
      <c r="O1963" s="188" t="inlineStr">
        <is>
          <t>Block IP 1.24.16.180 at firewall | Cisco Talos confirmed malicious</t>
        </is>
      </c>
      <c r="P1963" s="188" t="inlineStr">
        <is>
          <t>Network perimeter / Email / Web</t>
        </is>
      </c>
      <c r="Q1963" s="188" t="inlineStr">
        <is>
          <t>P3</t>
        </is>
      </c>
      <c r="R1963" s="188" t="inlineStr">
        <is>
          <t>🚫 Block IP at firewall immediately | 🔍 Check logs for existing connections | 🛡️ Add to threat intelligence blocklist</t>
        </is>
      </c>
      <c r="S1963" s="188" t="inlineStr">
        <is>
          <t>Check ip-api.com + AbuseIPDB for context</t>
        </is>
      </c>
      <c r="T1963" s="188" t="n">
        <v>0</v>
      </c>
      <c r="U1963" s="188" t="n">
        <v>0</v>
      </c>
      <c r="V1963" s="188" t="inlineStr">
        <is>
          <t>T1110:Brute Force | T1190:Exploit Public-Facing Application | T1566:Phishing</t>
        </is>
      </c>
      <c r="W1963" s="188" t="n">
        <v>1</v>
      </c>
      <c r="X1963" s="188" t="inlineStr">
        <is>
          <t>MEDIUM (60%)</t>
        </is>
      </c>
      <c r="Y1963" s="188" t="inlineStr">
        <is>
          <t>NONE</t>
        </is>
      </c>
      <c r="Z1963" s="188" t="inlineStr">
        <is>
          <t>NONE</t>
        </is>
      </c>
      <c r="AA1963" s="188" t="inlineStr">
        <is>
          <t>NONE</t>
        </is>
      </c>
      <c r="AB1963" s="188" t="inlineStr">
        <is>
          <t>NONE</t>
        </is>
      </c>
      <c r="AC1963" s="188" t="n">
        <v>0</v>
      </c>
      <c r="AD1963" s="188" t="inlineStr"/>
    </row>
    <row r="1964">
      <c r="A1964" s="188" t="inlineStr">
        <is>
          <t>TALOS_IP</t>
        </is>
      </c>
      <c r="B1964" s="188" t="inlineStr">
        <is>
          <t>df69890b86b8</t>
        </is>
      </c>
      <c r="C1964" s="188" t="inlineStr">
        <is>
          <t>Cisco Talos Blacklisted IP: 1.24.16.181 | Verified malicious | Sources: TALOS</t>
        </is>
      </c>
      <c r="D1964" s="188" t="n">
        <v>7</v>
      </c>
      <c r="E1964" s="188" t="inlineStr">
        <is>
          <t>HIGH</t>
        </is>
      </c>
      <c r="F1964" s="188" t="n">
        <v>3</v>
      </c>
      <c r="G1964" s="188" t="n">
        <v>2</v>
      </c>
      <c r="H1964" s="188" t="inlineStr">
        <is>
          <t>HIGH</t>
        </is>
      </c>
      <c r="I1964" s="188" t="n">
        <v>13</v>
      </c>
      <c r="J1964" s="188" t="inlineStr">
        <is>
          <t>NO</t>
        </is>
      </c>
      <c r="K1964" s="188" t="inlineStr">
        <is>
          <t>https://talosintelligence.com/reputation_center/lookup?search=1.24.16.181</t>
        </is>
      </c>
      <c r="L1964" s="188" t="inlineStr">
        <is>
          <t>2026-02-26 00:15</t>
        </is>
      </c>
      <c r="M1964" s="188" t="inlineStr">
        <is>
          <t>Block IP</t>
        </is>
      </c>
      <c r="N1964" s="188" t="inlineStr">
        <is>
          <t>https://talosintelligence.com/reputation_center/lookup?search=1.24.16.181</t>
        </is>
      </c>
      <c r="O1964" s="188" t="inlineStr">
        <is>
          <t>Block IP 1.24.16.181 at firewall | Cisco Talos confirmed malicious</t>
        </is>
      </c>
      <c r="P1964" s="188" t="inlineStr">
        <is>
          <t>Network perimeter / Email / Web</t>
        </is>
      </c>
      <c r="Q1964" s="188" t="inlineStr">
        <is>
          <t>P3</t>
        </is>
      </c>
      <c r="R1964" s="188" t="inlineStr">
        <is>
          <t>🚫 Block IP at firewall immediately | 🔍 Check logs for existing connections | 🛡️ Add to threat intelligence blocklist</t>
        </is>
      </c>
      <c r="S1964" s="188" t="inlineStr">
        <is>
          <t>Check ip-api.com + AbuseIPDB for context</t>
        </is>
      </c>
      <c r="T1964" s="188" t="n">
        <v>0</v>
      </c>
      <c r="U1964" s="188" t="n">
        <v>0</v>
      </c>
      <c r="V1964" s="188" t="inlineStr">
        <is>
          <t>T1110:Brute Force | T1190:Exploit Public-Facing Application | T1566:Phishing</t>
        </is>
      </c>
      <c r="W1964" s="188" t="n">
        <v>1</v>
      </c>
      <c r="X1964" s="188" t="inlineStr">
        <is>
          <t>MEDIUM (60%)</t>
        </is>
      </c>
      <c r="Y1964" s="188" t="inlineStr">
        <is>
          <t>NONE</t>
        </is>
      </c>
      <c r="Z1964" s="188" t="inlineStr">
        <is>
          <t>NONE</t>
        </is>
      </c>
      <c r="AA1964" s="188" t="inlineStr">
        <is>
          <t>NONE</t>
        </is>
      </c>
      <c r="AB1964" s="188" t="inlineStr">
        <is>
          <t>NONE</t>
        </is>
      </c>
      <c r="AC1964" s="188" t="n">
        <v>0</v>
      </c>
      <c r="AD1964" s="188" t="inlineStr"/>
    </row>
    <row r="1965">
      <c r="A1965" s="188" t="inlineStr">
        <is>
          <t>TALOS_IP</t>
        </is>
      </c>
      <c r="B1965" s="188" t="inlineStr">
        <is>
          <t>01c1d2775c7f</t>
        </is>
      </c>
      <c r="C1965" s="188" t="inlineStr">
        <is>
          <t>Cisco Talos Blacklisted IP: 1.24.16.182 | Verified malicious | Sources: TALOS</t>
        </is>
      </c>
      <c r="D1965" s="188" t="n">
        <v>7</v>
      </c>
      <c r="E1965" s="188" t="inlineStr">
        <is>
          <t>HIGH</t>
        </is>
      </c>
      <c r="F1965" s="188" t="n">
        <v>3</v>
      </c>
      <c r="G1965" s="188" t="n">
        <v>2</v>
      </c>
      <c r="H1965" s="188" t="inlineStr">
        <is>
          <t>HIGH</t>
        </is>
      </c>
      <c r="I1965" s="188" t="n">
        <v>13</v>
      </c>
      <c r="J1965" s="188" t="inlineStr">
        <is>
          <t>NO</t>
        </is>
      </c>
      <c r="K1965" s="188" t="inlineStr">
        <is>
          <t>https://talosintelligence.com/reputation_center/lookup?search=1.24.16.182</t>
        </is>
      </c>
      <c r="L1965" s="188" t="inlineStr">
        <is>
          <t>2026-02-26 00:15</t>
        </is>
      </c>
      <c r="M1965" s="188" t="inlineStr">
        <is>
          <t>Block IP</t>
        </is>
      </c>
      <c r="N1965" s="188" t="inlineStr">
        <is>
          <t>https://talosintelligence.com/reputation_center/lookup?search=1.24.16.182</t>
        </is>
      </c>
      <c r="O1965" s="188" t="inlineStr">
        <is>
          <t>Block IP 1.24.16.182 at firewall | Cisco Talos confirmed malicious</t>
        </is>
      </c>
      <c r="P1965" s="188" t="inlineStr">
        <is>
          <t>Network perimeter / Email / Web</t>
        </is>
      </c>
      <c r="Q1965" s="188" t="inlineStr">
        <is>
          <t>P3</t>
        </is>
      </c>
      <c r="R1965" s="188" t="inlineStr">
        <is>
          <t>🚫 Block IP at firewall immediately | 🔍 Check logs for existing connections | 🛡️ Add to threat intelligence blocklist</t>
        </is>
      </c>
      <c r="S1965" s="188" t="inlineStr">
        <is>
          <t>Check ip-api.com + AbuseIPDB for context</t>
        </is>
      </c>
      <c r="T1965" s="188" t="n">
        <v>0</v>
      </c>
      <c r="U1965" s="188" t="n">
        <v>0</v>
      </c>
      <c r="V1965" s="188" t="inlineStr">
        <is>
          <t>T1110:Brute Force | T1190:Exploit Public-Facing Application | T1566:Phishing</t>
        </is>
      </c>
      <c r="W1965" s="188" t="n">
        <v>1</v>
      </c>
      <c r="X1965" s="188" t="inlineStr">
        <is>
          <t>MEDIUM (60%)</t>
        </is>
      </c>
      <c r="Y1965" s="188" t="inlineStr">
        <is>
          <t>NONE</t>
        </is>
      </c>
      <c r="Z1965" s="188" t="inlineStr">
        <is>
          <t>NONE</t>
        </is>
      </c>
      <c r="AA1965" s="188" t="inlineStr">
        <is>
          <t>NONE</t>
        </is>
      </c>
      <c r="AB1965" s="188" t="inlineStr">
        <is>
          <t>NONE</t>
        </is>
      </c>
      <c r="AC1965" s="188" t="n">
        <v>0</v>
      </c>
      <c r="AD1965" s="188" t="inlineStr"/>
    </row>
    <row r="1966">
      <c r="A1966" s="188" t="inlineStr">
        <is>
          <t>TALOS_IP</t>
        </is>
      </c>
      <c r="B1966" s="188" t="inlineStr">
        <is>
          <t>16a495dd4783</t>
        </is>
      </c>
      <c r="C1966" s="188" t="inlineStr">
        <is>
          <t>Cisco Talos Blacklisted IP: 1.24.16.185 | Verified malicious | Sources: TALOS</t>
        </is>
      </c>
      <c r="D1966" s="188" t="n">
        <v>7</v>
      </c>
      <c r="E1966" s="188" t="inlineStr">
        <is>
          <t>HIGH</t>
        </is>
      </c>
      <c r="F1966" s="188" t="n">
        <v>3</v>
      </c>
      <c r="G1966" s="188" t="n">
        <v>2</v>
      </c>
      <c r="H1966" s="188" t="inlineStr">
        <is>
          <t>HIGH</t>
        </is>
      </c>
      <c r="I1966" s="188" t="n">
        <v>13</v>
      </c>
      <c r="J1966" s="188" t="inlineStr">
        <is>
          <t>NO</t>
        </is>
      </c>
      <c r="K1966" s="188" t="inlineStr">
        <is>
          <t>https://talosintelligence.com/reputation_center/lookup?search=1.24.16.185</t>
        </is>
      </c>
      <c r="L1966" s="188" t="inlineStr">
        <is>
          <t>2026-02-26 00:15</t>
        </is>
      </c>
      <c r="M1966" s="188" t="inlineStr">
        <is>
          <t>Block IP</t>
        </is>
      </c>
      <c r="N1966" s="188" t="inlineStr">
        <is>
          <t>https://talosintelligence.com/reputation_center/lookup?search=1.24.16.185</t>
        </is>
      </c>
      <c r="O1966" s="188" t="inlineStr">
        <is>
          <t>Block IP 1.24.16.185 at firewall | Cisco Talos confirmed malicious</t>
        </is>
      </c>
      <c r="P1966" s="188" t="inlineStr">
        <is>
          <t>Network perimeter / Email / Web</t>
        </is>
      </c>
      <c r="Q1966" s="188" t="inlineStr">
        <is>
          <t>P3</t>
        </is>
      </c>
      <c r="R1966" s="188" t="inlineStr">
        <is>
          <t>🚫 Block IP at firewall immediately | 🔍 Check logs for existing connections | 🛡️ Add to threat intelligence blocklist</t>
        </is>
      </c>
      <c r="S1966" s="188" t="inlineStr">
        <is>
          <t>Check ip-api.com + AbuseIPDB for context</t>
        </is>
      </c>
      <c r="T1966" s="188" t="n">
        <v>0</v>
      </c>
      <c r="U1966" s="188" t="n">
        <v>0</v>
      </c>
      <c r="V1966" s="188" t="inlineStr">
        <is>
          <t>T1110:Brute Force | T1190:Exploit Public-Facing Application | T1566:Phishing</t>
        </is>
      </c>
      <c r="W1966" s="188" t="n">
        <v>1</v>
      </c>
      <c r="X1966" s="188" t="inlineStr">
        <is>
          <t>MEDIUM (60%)</t>
        </is>
      </c>
      <c r="Y1966" s="188" t="inlineStr">
        <is>
          <t>NONE</t>
        </is>
      </c>
      <c r="Z1966" s="188" t="inlineStr">
        <is>
          <t>NONE</t>
        </is>
      </c>
      <c r="AA1966" s="188" t="inlineStr">
        <is>
          <t>NONE</t>
        </is>
      </c>
      <c r="AB1966" s="188" t="inlineStr">
        <is>
          <t>NONE</t>
        </is>
      </c>
      <c r="AC1966" s="188" t="n">
        <v>0</v>
      </c>
      <c r="AD1966" s="188" t="inlineStr"/>
    </row>
    <row r="1967">
      <c r="A1967" s="188" t="inlineStr">
        <is>
          <t>TALOS_IP</t>
        </is>
      </c>
      <c r="B1967" s="188" t="inlineStr">
        <is>
          <t>60b95873f2e3</t>
        </is>
      </c>
      <c r="C1967" s="188" t="inlineStr">
        <is>
          <t>Cisco Talos Blacklisted IP: 1.24.16.187 | Verified malicious | Sources: TALOS</t>
        </is>
      </c>
      <c r="D1967" s="188" t="n">
        <v>7</v>
      </c>
      <c r="E1967" s="188" t="inlineStr">
        <is>
          <t>HIGH</t>
        </is>
      </c>
      <c r="F1967" s="188" t="n">
        <v>3</v>
      </c>
      <c r="G1967" s="188" t="n">
        <v>2</v>
      </c>
      <c r="H1967" s="188" t="inlineStr">
        <is>
          <t>HIGH</t>
        </is>
      </c>
      <c r="I1967" s="188" t="n">
        <v>13</v>
      </c>
      <c r="J1967" s="188" t="inlineStr">
        <is>
          <t>NO</t>
        </is>
      </c>
      <c r="K1967" s="188" t="inlineStr">
        <is>
          <t>https://talosintelligence.com/reputation_center/lookup?search=1.24.16.187</t>
        </is>
      </c>
      <c r="L1967" s="188" t="inlineStr">
        <is>
          <t>2026-02-26 00:15</t>
        </is>
      </c>
      <c r="M1967" s="188" t="inlineStr">
        <is>
          <t>Block IP</t>
        </is>
      </c>
      <c r="N1967" s="188" t="inlineStr">
        <is>
          <t>https://talosintelligence.com/reputation_center/lookup?search=1.24.16.187</t>
        </is>
      </c>
      <c r="O1967" s="188" t="inlineStr">
        <is>
          <t>Block IP 1.24.16.187 at firewall | Cisco Talos confirmed malicious</t>
        </is>
      </c>
      <c r="P1967" s="188" t="inlineStr">
        <is>
          <t>Network perimeter / Email / Web</t>
        </is>
      </c>
      <c r="Q1967" s="188" t="inlineStr">
        <is>
          <t>P3</t>
        </is>
      </c>
      <c r="R1967" s="188" t="inlineStr">
        <is>
          <t>🚫 Block IP at firewall immediately | 🔍 Check logs for existing connections | 🛡️ Add to threat intelligence blocklist</t>
        </is>
      </c>
      <c r="S1967" s="188" t="inlineStr">
        <is>
          <t>Check ip-api.com + AbuseIPDB for context</t>
        </is>
      </c>
      <c r="T1967" s="188" t="n">
        <v>0</v>
      </c>
      <c r="U1967" s="188" t="n">
        <v>0</v>
      </c>
      <c r="V1967" s="188" t="inlineStr">
        <is>
          <t>T1110:Brute Force | T1190:Exploit Public-Facing Application | T1566:Phishing</t>
        </is>
      </c>
      <c r="W1967" s="188" t="n">
        <v>1</v>
      </c>
      <c r="X1967" s="188" t="inlineStr">
        <is>
          <t>MEDIUM (60%)</t>
        </is>
      </c>
      <c r="Y1967" s="188" t="inlineStr">
        <is>
          <t>NONE</t>
        </is>
      </c>
      <c r="Z1967" s="188" t="inlineStr">
        <is>
          <t>NONE</t>
        </is>
      </c>
      <c r="AA1967" s="188" t="inlineStr">
        <is>
          <t>NONE</t>
        </is>
      </c>
      <c r="AB1967" s="188" t="inlineStr">
        <is>
          <t>NONE</t>
        </is>
      </c>
      <c r="AC1967" s="188" t="n">
        <v>0</v>
      </c>
      <c r="AD1967" s="188" t="inlineStr"/>
    </row>
    <row r="1968">
      <c r="A1968" s="188" t="inlineStr">
        <is>
          <t>TALOS_IP</t>
        </is>
      </c>
      <c r="B1968" s="188" t="inlineStr">
        <is>
          <t>f7358660f9d7</t>
        </is>
      </c>
      <c r="C1968" s="188" t="inlineStr">
        <is>
          <t>Cisco Talos Blacklisted IP: 1.24.16.193 | Verified malicious | Sources: TALOS</t>
        </is>
      </c>
      <c r="D1968" s="188" t="n">
        <v>7</v>
      </c>
      <c r="E1968" s="188" t="inlineStr">
        <is>
          <t>HIGH</t>
        </is>
      </c>
      <c r="F1968" s="188" t="n">
        <v>3</v>
      </c>
      <c r="G1968" s="188" t="n">
        <v>2</v>
      </c>
      <c r="H1968" s="188" t="inlineStr">
        <is>
          <t>HIGH</t>
        </is>
      </c>
      <c r="I1968" s="188" t="n">
        <v>13</v>
      </c>
      <c r="J1968" s="188" t="inlineStr">
        <is>
          <t>NO</t>
        </is>
      </c>
      <c r="K1968" s="188" t="inlineStr">
        <is>
          <t>https://talosintelligence.com/reputation_center/lookup?search=1.24.16.193</t>
        </is>
      </c>
      <c r="L1968" s="188" t="inlineStr">
        <is>
          <t>2026-02-26 00:15</t>
        </is>
      </c>
      <c r="M1968" s="188" t="inlineStr">
        <is>
          <t>Block IP</t>
        </is>
      </c>
      <c r="N1968" s="188" t="inlineStr">
        <is>
          <t>https://talosintelligence.com/reputation_center/lookup?search=1.24.16.193</t>
        </is>
      </c>
      <c r="O1968" s="188" t="inlineStr">
        <is>
          <t>Block IP 1.24.16.193 at firewall | Cisco Talos confirmed malicious</t>
        </is>
      </c>
      <c r="P1968" s="188" t="inlineStr">
        <is>
          <t>Network perimeter / Email / Web</t>
        </is>
      </c>
      <c r="Q1968" s="188" t="inlineStr">
        <is>
          <t>P3</t>
        </is>
      </c>
      <c r="R1968" s="188" t="inlineStr">
        <is>
          <t>🚫 Block IP at firewall immediately | 🔍 Check logs for existing connections | 🛡️ Add to threat intelligence blocklist</t>
        </is>
      </c>
      <c r="S1968" s="188" t="inlineStr">
        <is>
          <t>Check ip-api.com + AbuseIPDB for context</t>
        </is>
      </c>
      <c r="T1968" s="188" t="n">
        <v>0</v>
      </c>
      <c r="U1968" s="188" t="n">
        <v>0</v>
      </c>
      <c r="V1968" s="188" t="inlineStr">
        <is>
          <t>T1110:Brute Force | T1190:Exploit Public-Facing Application | T1566:Phishing</t>
        </is>
      </c>
      <c r="W1968" s="188" t="n">
        <v>1</v>
      </c>
      <c r="X1968" s="188" t="inlineStr">
        <is>
          <t>MEDIUM (60%)</t>
        </is>
      </c>
      <c r="Y1968" s="188" t="inlineStr">
        <is>
          <t>NONE</t>
        </is>
      </c>
      <c r="Z1968" s="188" t="inlineStr">
        <is>
          <t>NONE</t>
        </is>
      </c>
      <c r="AA1968" s="188" t="inlineStr">
        <is>
          <t>NONE</t>
        </is>
      </c>
      <c r="AB1968" s="188" t="inlineStr">
        <is>
          <t>NONE</t>
        </is>
      </c>
      <c r="AC1968" s="188" t="n">
        <v>0</v>
      </c>
      <c r="AD1968" s="188" t="inlineStr"/>
    </row>
    <row r="1969">
      <c r="A1969" s="188" t="inlineStr">
        <is>
          <t>TALOS_IP</t>
        </is>
      </c>
      <c r="B1969" s="188" t="inlineStr">
        <is>
          <t>f38c7afc0425</t>
        </is>
      </c>
      <c r="C1969" s="188" t="inlineStr">
        <is>
          <t>Cisco Talos Blacklisted IP: 1.24.16.198 | Verified malicious | Sources: TALOS</t>
        </is>
      </c>
      <c r="D1969" s="188" t="n">
        <v>7</v>
      </c>
      <c r="E1969" s="188" t="inlineStr">
        <is>
          <t>HIGH</t>
        </is>
      </c>
      <c r="F1969" s="188" t="n">
        <v>3</v>
      </c>
      <c r="G1969" s="188" t="n">
        <v>2</v>
      </c>
      <c r="H1969" s="188" t="inlineStr">
        <is>
          <t>HIGH</t>
        </is>
      </c>
      <c r="I1969" s="188" t="n">
        <v>13</v>
      </c>
      <c r="J1969" s="188" t="inlineStr">
        <is>
          <t>NO</t>
        </is>
      </c>
      <c r="K1969" s="188" t="inlineStr">
        <is>
          <t>https://talosintelligence.com/reputation_center/lookup?search=1.24.16.198</t>
        </is>
      </c>
      <c r="L1969" s="188" t="inlineStr">
        <is>
          <t>2026-02-26 00:15</t>
        </is>
      </c>
      <c r="M1969" s="188" t="inlineStr">
        <is>
          <t>Block IP</t>
        </is>
      </c>
      <c r="N1969" s="188" t="inlineStr">
        <is>
          <t>https://talosintelligence.com/reputation_center/lookup?search=1.24.16.198</t>
        </is>
      </c>
      <c r="O1969" s="188" t="inlineStr">
        <is>
          <t>Block IP 1.24.16.198 at firewall | Cisco Talos confirmed malicious</t>
        </is>
      </c>
      <c r="P1969" s="188" t="inlineStr">
        <is>
          <t>Network perimeter / Email / Web</t>
        </is>
      </c>
      <c r="Q1969" s="188" t="inlineStr">
        <is>
          <t>P3</t>
        </is>
      </c>
      <c r="R1969" s="188" t="inlineStr">
        <is>
          <t>🚫 Block IP at firewall immediately | 🔍 Check logs for existing connections | 🛡️ Add to threat intelligence blocklist</t>
        </is>
      </c>
      <c r="S1969" s="188" t="inlineStr">
        <is>
          <t>Check ip-api.com + AbuseIPDB for context</t>
        </is>
      </c>
      <c r="T1969" s="188" t="n">
        <v>0</v>
      </c>
      <c r="U1969" s="188" t="n">
        <v>0</v>
      </c>
      <c r="V1969" s="188" t="inlineStr">
        <is>
          <t>T1110:Brute Force | T1190:Exploit Public-Facing Application | T1566:Phishing</t>
        </is>
      </c>
      <c r="W1969" s="188" t="n">
        <v>1</v>
      </c>
      <c r="X1969" s="188" t="inlineStr">
        <is>
          <t>MEDIUM (60%)</t>
        </is>
      </c>
      <c r="Y1969" s="188" t="inlineStr">
        <is>
          <t>NONE</t>
        </is>
      </c>
      <c r="Z1969" s="188" t="inlineStr">
        <is>
          <t>NONE</t>
        </is>
      </c>
      <c r="AA1969" s="188" t="inlineStr">
        <is>
          <t>NONE</t>
        </is>
      </c>
      <c r="AB1969" s="188" t="inlineStr">
        <is>
          <t>NONE</t>
        </is>
      </c>
      <c r="AC1969" s="188" t="n">
        <v>0</v>
      </c>
      <c r="AD1969" s="188" t="inlineStr"/>
    </row>
    <row r="1970">
      <c r="A1970" s="188" t="inlineStr">
        <is>
          <t>TALOS_IP</t>
        </is>
      </c>
      <c r="B1970" s="188" t="inlineStr">
        <is>
          <t>b9c7d532eb2f</t>
        </is>
      </c>
      <c r="C1970" s="188" t="inlineStr">
        <is>
          <t>Cisco Talos Blacklisted IP: 1.24.16.202 | Verified malicious | Sources: TALOS</t>
        </is>
      </c>
      <c r="D1970" s="188" t="n">
        <v>7</v>
      </c>
      <c r="E1970" s="188" t="inlineStr">
        <is>
          <t>HIGH</t>
        </is>
      </c>
      <c r="F1970" s="188" t="n">
        <v>3</v>
      </c>
      <c r="G1970" s="188" t="n">
        <v>2</v>
      </c>
      <c r="H1970" s="188" t="inlineStr">
        <is>
          <t>HIGH</t>
        </is>
      </c>
      <c r="I1970" s="188" t="n">
        <v>13</v>
      </c>
      <c r="J1970" s="188" t="inlineStr">
        <is>
          <t>NO</t>
        </is>
      </c>
      <c r="K1970" s="188" t="inlineStr">
        <is>
          <t>https://talosintelligence.com/reputation_center/lookup?search=1.24.16.202</t>
        </is>
      </c>
      <c r="L1970" s="188" t="inlineStr">
        <is>
          <t>2026-02-26 00:15</t>
        </is>
      </c>
      <c r="M1970" s="188" t="inlineStr">
        <is>
          <t>Block IP</t>
        </is>
      </c>
      <c r="N1970" s="188" t="inlineStr">
        <is>
          <t>https://talosintelligence.com/reputation_center/lookup?search=1.24.16.202</t>
        </is>
      </c>
      <c r="O1970" s="188" t="inlineStr">
        <is>
          <t>Block IP 1.24.16.202 at firewall | Cisco Talos confirmed malicious</t>
        </is>
      </c>
      <c r="P1970" s="188" t="inlineStr">
        <is>
          <t>Network perimeter / Email / Web</t>
        </is>
      </c>
      <c r="Q1970" s="188" t="inlineStr">
        <is>
          <t>P3</t>
        </is>
      </c>
      <c r="R1970" s="188" t="inlineStr">
        <is>
          <t>🚫 Block IP at firewall immediately | 🔍 Check logs for existing connections | 🛡️ Add to threat intelligence blocklist</t>
        </is>
      </c>
      <c r="S1970" s="188" t="inlineStr">
        <is>
          <t>Check ip-api.com + AbuseIPDB for context</t>
        </is>
      </c>
      <c r="T1970" s="188" t="n">
        <v>0</v>
      </c>
      <c r="U1970" s="188" t="n">
        <v>0</v>
      </c>
      <c r="V1970" s="188" t="inlineStr">
        <is>
          <t>T1110:Brute Force | T1190:Exploit Public-Facing Application | T1566:Phishing</t>
        </is>
      </c>
      <c r="W1970" s="188" t="n">
        <v>1</v>
      </c>
      <c r="X1970" s="188" t="inlineStr">
        <is>
          <t>MEDIUM (60%)</t>
        </is>
      </c>
      <c r="Y1970" s="188" t="inlineStr">
        <is>
          <t>NONE</t>
        </is>
      </c>
      <c r="Z1970" s="188" t="inlineStr">
        <is>
          <t>NONE</t>
        </is>
      </c>
      <c r="AA1970" s="188" t="inlineStr">
        <is>
          <t>NONE</t>
        </is>
      </c>
      <c r="AB1970" s="188" t="inlineStr">
        <is>
          <t>NONE</t>
        </is>
      </c>
      <c r="AC1970" s="188" t="n">
        <v>0</v>
      </c>
      <c r="AD1970" s="188" t="inlineStr"/>
    </row>
    <row r="1971">
      <c r="A1971" s="188" t="inlineStr">
        <is>
          <t>TALOS_IP</t>
        </is>
      </c>
      <c r="B1971" s="188" t="inlineStr">
        <is>
          <t>aa4102808368</t>
        </is>
      </c>
      <c r="C1971" s="188" t="inlineStr">
        <is>
          <t>Cisco Talos Blacklisted IP: 1.24.16.203 | Verified malicious | Sources: TALOS</t>
        </is>
      </c>
      <c r="D1971" s="188" t="n">
        <v>7</v>
      </c>
      <c r="E1971" s="188" t="inlineStr">
        <is>
          <t>HIGH</t>
        </is>
      </c>
      <c r="F1971" s="188" t="n">
        <v>3</v>
      </c>
      <c r="G1971" s="188" t="n">
        <v>2</v>
      </c>
      <c r="H1971" s="188" t="inlineStr">
        <is>
          <t>HIGH</t>
        </is>
      </c>
      <c r="I1971" s="188" t="n">
        <v>13</v>
      </c>
      <c r="J1971" s="188" t="inlineStr">
        <is>
          <t>NO</t>
        </is>
      </c>
      <c r="K1971" s="188" t="inlineStr">
        <is>
          <t>https://talosintelligence.com/reputation_center/lookup?search=1.24.16.203</t>
        </is>
      </c>
      <c r="L1971" s="188" t="inlineStr">
        <is>
          <t>2026-02-26 00:15</t>
        </is>
      </c>
      <c r="M1971" s="188" t="inlineStr">
        <is>
          <t>Block IP</t>
        </is>
      </c>
      <c r="N1971" s="188" t="inlineStr">
        <is>
          <t>https://talosintelligence.com/reputation_center/lookup?search=1.24.16.203</t>
        </is>
      </c>
      <c r="O1971" s="188" t="inlineStr">
        <is>
          <t>Block IP 1.24.16.203 at firewall | Cisco Talos confirmed malicious</t>
        </is>
      </c>
      <c r="P1971" s="188" t="inlineStr">
        <is>
          <t>Network perimeter / Email / Web</t>
        </is>
      </c>
      <c r="Q1971" s="188" t="inlineStr">
        <is>
          <t>P3</t>
        </is>
      </c>
      <c r="R1971" s="188" t="inlineStr">
        <is>
          <t>🚫 Block IP at firewall immediately | 🔍 Check logs for existing connections | 🛡️ Add to threat intelligence blocklist</t>
        </is>
      </c>
      <c r="S1971" s="188" t="inlineStr">
        <is>
          <t>Check ip-api.com + AbuseIPDB for context</t>
        </is>
      </c>
      <c r="T1971" s="188" t="n">
        <v>0</v>
      </c>
      <c r="U1971" s="188" t="n">
        <v>0</v>
      </c>
      <c r="V1971" s="188" t="inlineStr">
        <is>
          <t>T1110:Brute Force | T1190:Exploit Public-Facing Application | T1566:Phishing</t>
        </is>
      </c>
      <c r="W1971" s="188" t="n">
        <v>1</v>
      </c>
      <c r="X1971" s="188" t="inlineStr">
        <is>
          <t>MEDIUM (60%)</t>
        </is>
      </c>
      <c r="Y1971" s="188" t="inlineStr">
        <is>
          <t>NONE</t>
        </is>
      </c>
      <c r="Z1971" s="188" t="inlineStr">
        <is>
          <t>NONE</t>
        </is>
      </c>
      <c r="AA1971" s="188" t="inlineStr">
        <is>
          <t>NONE</t>
        </is>
      </c>
      <c r="AB1971" s="188" t="inlineStr">
        <is>
          <t>NONE</t>
        </is>
      </c>
      <c r="AC1971" s="188" t="n">
        <v>0</v>
      </c>
      <c r="AD1971" s="188" t="inlineStr"/>
    </row>
    <row r="1972">
      <c r="A1972" s="188" t="inlineStr">
        <is>
          <t>TALOS_IP</t>
        </is>
      </c>
      <c r="B1972" s="188" t="inlineStr">
        <is>
          <t>35a9c287f305</t>
        </is>
      </c>
      <c r="C1972" s="188" t="inlineStr">
        <is>
          <t>Cisco Talos Blacklisted IP: 1.24.16.210 | Verified malicious | Sources: TALOS</t>
        </is>
      </c>
      <c r="D1972" s="188" t="n">
        <v>7</v>
      </c>
      <c r="E1972" s="188" t="inlineStr">
        <is>
          <t>HIGH</t>
        </is>
      </c>
      <c r="F1972" s="188" t="n">
        <v>3</v>
      </c>
      <c r="G1972" s="188" t="n">
        <v>2</v>
      </c>
      <c r="H1972" s="188" t="inlineStr">
        <is>
          <t>HIGH</t>
        </is>
      </c>
      <c r="I1972" s="188" t="n">
        <v>13</v>
      </c>
      <c r="J1972" s="188" t="inlineStr">
        <is>
          <t>NO</t>
        </is>
      </c>
      <c r="K1972" s="188" t="inlineStr">
        <is>
          <t>https://talosintelligence.com/reputation_center/lookup?search=1.24.16.210</t>
        </is>
      </c>
      <c r="L1972" s="188" t="inlineStr">
        <is>
          <t>2026-02-26 00:15</t>
        </is>
      </c>
      <c r="M1972" s="188" t="inlineStr">
        <is>
          <t>Block IP</t>
        </is>
      </c>
      <c r="N1972" s="188" t="inlineStr">
        <is>
          <t>https://talosintelligence.com/reputation_center/lookup?search=1.24.16.210</t>
        </is>
      </c>
      <c r="O1972" s="188" t="inlineStr">
        <is>
          <t>Block IP 1.24.16.210 at firewall | Cisco Talos confirmed malicious</t>
        </is>
      </c>
      <c r="P1972" s="188" t="inlineStr">
        <is>
          <t>Network perimeter / Email / Web</t>
        </is>
      </c>
      <c r="Q1972" s="188" t="inlineStr">
        <is>
          <t>P3</t>
        </is>
      </c>
      <c r="R1972" s="188" t="inlineStr">
        <is>
          <t>🚫 Block IP at firewall immediately | 🔍 Check logs for existing connections | 🛡️ Add to threat intelligence blocklist</t>
        </is>
      </c>
      <c r="S1972" s="188" t="inlineStr">
        <is>
          <t>Check ip-api.com + AbuseIPDB for context</t>
        </is>
      </c>
      <c r="T1972" s="188" t="n">
        <v>0</v>
      </c>
      <c r="U1972" s="188" t="n">
        <v>0</v>
      </c>
      <c r="V1972" s="188" t="inlineStr">
        <is>
          <t>T1110:Brute Force | T1190:Exploit Public-Facing Application | T1566:Phishing</t>
        </is>
      </c>
      <c r="W1972" s="188" t="n">
        <v>1</v>
      </c>
      <c r="X1972" s="188" t="inlineStr">
        <is>
          <t>MEDIUM (60%)</t>
        </is>
      </c>
      <c r="Y1972" s="188" t="inlineStr">
        <is>
          <t>NONE</t>
        </is>
      </c>
      <c r="Z1972" s="188" t="inlineStr">
        <is>
          <t>NONE</t>
        </is>
      </c>
      <c r="AA1972" s="188" t="inlineStr">
        <is>
          <t>NONE</t>
        </is>
      </c>
      <c r="AB1972" s="188" t="inlineStr">
        <is>
          <t>NONE</t>
        </is>
      </c>
      <c r="AC1972" s="188" t="n">
        <v>0</v>
      </c>
      <c r="AD1972" s="188" t="inlineStr"/>
    </row>
    <row r="1973">
      <c r="A1973" s="188" t="inlineStr">
        <is>
          <t>TALOS_IP</t>
        </is>
      </c>
      <c r="B1973" s="188" t="inlineStr">
        <is>
          <t>46c0c881078a</t>
        </is>
      </c>
      <c r="C1973" s="188" t="inlineStr">
        <is>
          <t>Cisco Talos Blacklisted IP: 1.24.16.211 | Verified malicious | Sources: TALOS</t>
        </is>
      </c>
      <c r="D1973" s="188" t="n">
        <v>7</v>
      </c>
      <c r="E1973" s="188" t="inlineStr">
        <is>
          <t>HIGH</t>
        </is>
      </c>
      <c r="F1973" s="188" t="n">
        <v>3</v>
      </c>
      <c r="G1973" s="188" t="n">
        <v>2</v>
      </c>
      <c r="H1973" s="188" t="inlineStr">
        <is>
          <t>HIGH</t>
        </is>
      </c>
      <c r="I1973" s="188" t="n">
        <v>13</v>
      </c>
      <c r="J1973" s="188" t="inlineStr">
        <is>
          <t>NO</t>
        </is>
      </c>
      <c r="K1973" s="188" t="inlineStr">
        <is>
          <t>https://talosintelligence.com/reputation_center/lookup?search=1.24.16.211</t>
        </is>
      </c>
      <c r="L1973" s="188" t="inlineStr">
        <is>
          <t>2026-02-26 00:15</t>
        </is>
      </c>
      <c r="M1973" s="188" t="inlineStr">
        <is>
          <t>Block IP</t>
        </is>
      </c>
      <c r="N1973" s="188" t="inlineStr">
        <is>
          <t>https://talosintelligence.com/reputation_center/lookup?search=1.24.16.211</t>
        </is>
      </c>
      <c r="O1973" s="188" t="inlineStr">
        <is>
          <t>Block IP 1.24.16.211 at firewall | Cisco Talos confirmed malicious</t>
        </is>
      </c>
      <c r="P1973" s="188" t="inlineStr">
        <is>
          <t>Network perimeter / Email / Web</t>
        </is>
      </c>
      <c r="Q1973" s="188" t="inlineStr">
        <is>
          <t>P3</t>
        </is>
      </c>
      <c r="R1973" s="188" t="inlineStr">
        <is>
          <t>🚫 Block IP at firewall immediately | 🔍 Check logs for existing connections | 🛡️ Add to threat intelligence blocklist</t>
        </is>
      </c>
      <c r="S1973" s="188" t="inlineStr">
        <is>
          <t>Check ip-api.com + AbuseIPDB for context</t>
        </is>
      </c>
      <c r="T1973" s="188" t="n">
        <v>0</v>
      </c>
      <c r="U1973" s="188" t="n">
        <v>0</v>
      </c>
      <c r="V1973" s="188" t="inlineStr">
        <is>
          <t>T1110:Brute Force | T1190:Exploit Public-Facing Application | T1566:Phishing</t>
        </is>
      </c>
      <c r="W1973" s="188" t="n">
        <v>1</v>
      </c>
      <c r="X1973" s="188" t="inlineStr">
        <is>
          <t>MEDIUM (60%)</t>
        </is>
      </c>
      <c r="Y1973" s="188" t="inlineStr">
        <is>
          <t>NONE</t>
        </is>
      </c>
      <c r="Z1973" s="188" t="inlineStr">
        <is>
          <t>NONE</t>
        </is>
      </c>
      <c r="AA1973" s="188" t="inlineStr">
        <is>
          <t>NONE</t>
        </is>
      </c>
      <c r="AB1973" s="188" t="inlineStr">
        <is>
          <t>NONE</t>
        </is>
      </c>
      <c r="AC1973" s="188" t="n">
        <v>0</v>
      </c>
      <c r="AD1973" s="188" t="inlineStr"/>
    </row>
    <row r="1974">
      <c r="A1974" s="188" t="inlineStr">
        <is>
          <t>TALOS_IP</t>
        </is>
      </c>
      <c r="B1974" s="188" t="inlineStr">
        <is>
          <t>95ebea08c652</t>
        </is>
      </c>
      <c r="C1974" s="188" t="inlineStr">
        <is>
          <t>Cisco Talos Blacklisted IP: 1.24.16.215 | Verified malicious | Sources: TALOS</t>
        </is>
      </c>
      <c r="D1974" s="188" t="n">
        <v>7</v>
      </c>
      <c r="E1974" s="188" t="inlineStr">
        <is>
          <t>HIGH</t>
        </is>
      </c>
      <c r="F1974" s="188" t="n">
        <v>3</v>
      </c>
      <c r="G1974" s="188" t="n">
        <v>2</v>
      </c>
      <c r="H1974" s="188" t="inlineStr">
        <is>
          <t>HIGH</t>
        </is>
      </c>
      <c r="I1974" s="188" t="n">
        <v>13</v>
      </c>
      <c r="J1974" s="188" t="inlineStr">
        <is>
          <t>NO</t>
        </is>
      </c>
      <c r="K1974" s="188" t="inlineStr">
        <is>
          <t>https://talosintelligence.com/reputation_center/lookup?search=1.24.16.215</t>
        </is>
      </c>
      <c r="L1974" s="188" t="inlineStr">
        <is>
          <t>2026-02-26 00:15</t>
        </is>
      </c>
      <c r="M1974" s="188" t="inlineStr">
        <is>
          <t>Block IP</t>
        </is>
      </c>
      <c r="N1974" s="188" t="inlineStr">
        <is>
          <t>https://talosintelligence.com/reputation_center/lookup?search=1.24.16.215</t>
        </is>
      </c>
      <c r="O1974" s="188" t="inlineStr">
        <is>
          <t>Block IP 1.24.16.215 at firewall | Cisco Talos confirmed malicious</t>
        </is>
      </c>
      <c r="P1974" s="188" t="inlineStr">
        <is>
          <t>Network perimeter / Email / Web</t>
        </is>
      </c>
      <c r="Q1974" s="188" t="inlineStr">
        <is>
          <t>P3</t>
        </is>
      </c>
      <c r="R1974" s="188" t="inlineStr">
        <is>
          <t>🚫 Block IP at firewall immediately | 🔍 Check logs for existing connections | 🛡️ Add to threat intelligence blocklist</t>
        </is>
      </c>
      <c r="S1974" s="188" t="inlineStr">
        <is>
          <t>Check ip-api.com + AbuseIPDB for context</t>
        </is>
      </c>
      <c r="T1974" s="188" t="n">
        <v>0</v>
      </c>
      <c r="U1974" s="188" t="n">
        <v>0</v>
      </c>
      <c r="V1974" s="188" t="inlineStr">
        <is>
          <t>T1110:Brute Force | T1190:Exploit Public-Facing Application | T1566:Phishing</t>
        </is>
      </c>
      <c r="W1974" s="188" t="n">
        <v>1</v>
      </c>
      <c r="X1974" s="188" t="inlineStr">
        <is>
          <t>MEDIUM (60%)</t>
        </is>
      </c>
      <c r="Y1974" s="188" t="inlineStr">
        <is>
          <t>NONE</t>
        </is>
      </c>
      <c r="Z1974" s="188" t="inlineStr">
        <is>
          <t>NONE</t>
        </is>
      </c>
      <c r="AA1974" s="188" t="inlineStr">
        <is>
          <t>NONE</t>
        </is>
      </c>
      <c r="AB1974" s="188" t="inlineStr">
        <is>
          <t>NONE</t>
        </is>
      </c>
      <c r="AC1974" s="188" t="n">
        <v>0</v>
      </c>
      <c r="AD1974" s="188" t="inlineStr"/>
    </row>
    <row r="1975">
      <c r="A1975" s="188" t="inlineStr">
        <is>
          <t>TALOS_IP</t>
        </is>
      </c>
      <c r="B1975" s="188" t="inlineStr">
        <is>
          <t>84bd8e9a7aef</t>
        </is>
      </c>
      <c r="C1975" s="188" t="inlineStr">
        <is>
          <t>Cisco Talos Blacklisted IP: 1.24.16.216 | Verified malicious | Sources: TALOS</t>
        </is>
      </c>
      <c r="D1975" s="188" t="n">
        <v>7</v>
      </c>
      <c r="E1975" s="188" t="inlineStr">
        <is>
          <t>HIGH</t>
        </is>
      </c>
      <c r="F1975" s="188" t="n">
        <v>3</v>
      </c>
      <c r="G1975" s="188" t="n">
        <v>2</v>
      </c>
      <c r="H1975" s="188" t="inlineStr">
        <is>
          <t>HIGH</t>
        </is>
      </c>
      <c r="I1975" s="188" t="n">
        <v>13</v>
      </c>
      <c r="J1975" s="188" t="inlineStr">
        <is>
          <t>NO</t>
        </is>
      </c>
      <c r="K1975" s="188" t="inlineStr">
        <is>
          <t>https://talosintelligence.com/reputation_center/lookup?search=1.24.16.216</t>
        </is>
      </c>
      <c r="L1975" s="188" t="inlineStr">
        <is>
          <t>2026-02-26 00:15</t>
        </is>
      </c>
      <c r="M1975" s="188" t="inlineStr">
        <is>
          <t>Block IP</t>
        </is>
      </c>
      <c r="N1975" s="188" t="inlineStr">
        <is>
          <t>https://talosintelligence.com/reputation_center/lookup?search=1.24.16.216</t>
        </is>
      </c>
      <c r="O1975" s="188" t="inlineStr">
        <is>
          <t>Block IP 1.24.16.216 at firewall | Cisco Talos confirmed malicious</t>
        </is>
      </c>
      <c r="P1975" s="188" t="inlineStr">
        <is>
          <t>Network perimeter / Email / Web</t>
        </is>
      </c>
      <c r="Q1975" s="188" t="inlineStr">
        <is>
          <t>P3</t>
        </is>
      </c>
      <c r="R1975" s="188" t="inlineStr">
        <is>
          <t>🚫 Block IP at firewall immediately | 🔍 Check logs for existing connections | 🛡️ Add to threat intelligence blocklist</t>
        </is>
      </c>
      <c r="S1975" s="188" t="inlineStr">
        <is>
          <t>Check ip-api.com + AbuseIPDB for context</t>
        </is>
      </c>
      <c r="T1975" s="188" t="n">
        <v>0</v>
      </c>
      <c r="U1975" s="188" t="n">
        <v>0</v>
      </c>
      <c r="V1975" s="188" t="inlineStr">
        <is>
          <t>T1110:Brute Force | T1190:Exploit Public-Facing Application | T1566:Phishing</t>
        </is>
      </c>
      <c r="W1975" s="188" t="n">
        <v>1</v>
      </c>
      <c r="X1975" s="188" t="inlineStr">
        <is>
          <t>MEDIUM (60%)</t>
        </is>
      </c>
      <c r="Y1975" s="188" t="inlineStr">
        <is>
          <t>NONE</t>
        </is>
      </c>
      <c r="Z1975" s="188" t="inlineStr">
        <is>
          <t>NONE</t>
        </is>
      </c>
      <c r="AA1975" s="188" t="inlineStr">
        <is>
          <t>NONE</t>
        </is>
      </c>
      <c r="AB1975" s="188" t="inlineStr">
        <is>
          <t>NONE</t>
        </is>
      </c>
      <c r="AC1975" s="188" t="n">
        <v>0</v>
      </c>
      <c r="AD1975" s="188" t="inlineStr"/>
    </row>
    <row r="1976">
      <c r="A1976" s="188" t="inlineStr">
        <is>
          <t>TALOS_IP</t>
        </is>
      </c>
      <c r="B1976" s="188" t="inlineStr">
        <is>
          <t>cb5135145440</t>
        </is>
      </c>
      <c r="C1976" s="188" t="inlineStr">
        <is>
          <t>Cisco Talos Blacklisted IP: 1.24.16.219 | Verified malicious | Sources: TALOS</t>
        </is>
      </c>
      <c r="D1976" s="188" t="n">
        <v>7</v>
      </c>
      <c r="E1976" s="188" t="inlineStr">
        <is>
          <t>HIGH</t>
        </is>
      </c>
      <c r="F1976" s="188" t="n">
        <v>3</v>
      </c>
      <c r="G1976" s="188" t="n">
        <v>2</v>
      </c>
      <c r="H1976" s="188" t="inlineStr">
        <is>
          <t>HIGH</t>
        </is>
      </c>
      <c r="I1976" s="188" t="n">
        <v>13</v>
      </c>
      <c r="J1976" s="188" t="inlineStr">
        <is>
          <t>NO</t>
        </is>
      </c>
      <c r="K1976" s="188" t="inlineStr">
        <is>
          <t>https://talosintelligence.com/reputation_center/lookup?search=1.24.16.219</t>
        </is>
      </c>
      <c r="L1976" s="188" t="inlineStr">
        <is>
          <t>2026-02-26 00:15</t>
        </is>
      </c>
      <c r="M1976" s="188" t="inlineStr">
        <is>
          <t>Block IP</t>
        </is>
      </c>
      <c r="N1976" s="188" t="inlineStr">
        <is>
          <t>https://talosintelligence.com/reputation_center/lookup?search=1.24.16.219</t>
        </is>
      </c>
      <c r="O1976" s="188" t="inlineStr">
        <is>
          <t>Block IP 1.24.16.219 at firewall | Cisco Talos confirmed malicious</t>
        </is>
      </c>
      <c r="P1976" s="188" t="inlineStr">
        <is>
          <t>Network perimeter / Email / Web</t>
        </is>
      </c>
      <c r="Q1976" s="188" t="inlineStr">
        <is>
          <t>P3</t>
        </is>
      </c>
      <c r="R1976" s="188" t="inlineStr">
        <is>
          <t>🚫 Block IP at firewall immediately | 🔍 Check logs for existing connections | 🛡️ Add to threat intelligence blocklist</t>
        </is>
      </c>
      <c r="S1976" s="188" t="inlineStr">
        <is>
          <t>Check ip-api.com + AbuseIPDB for context</t>
        </is>
      </c>
      <c r="T1976" s="188" t="n">
        <v>0</v>
      </c>
      <c r="U1976" s="188" t="n">
        <v>0</v>
      </c>
      <c r="V1976" s="188" t="inlineStr">
        <is>
          <t>T1110:Brute Force | T1190:Exploit Public-Facing Application | T1566:Phishing</t>
        </is>
      </c>
      <c r="W1976" s="188" t="n">
        <v>1</v>
      </c>
      <c r="X1976" s="188" t="inlineStr">
        <is>
          <t>MEDIUM (60%)</t>
        </is>
      </c>
      <c r="Y1976" s="188" t="inlineStr">
        <is>
          <t>NONE</t>
        </is>
      </c>
      <c r="Z1976" s="188" t="inlineStr">
        <is>
          <t>NONE</t>
        </is>
      </c>
      <c r="AA1976" s="188" t="inlineStr">
        <is>
          <t>NONE</t>
        </is>
      </c>
      <c r="AB1976" s="188" t="inlineStr">
        <is>
          <t>NONE</t>
        </is>
      </c>
      <c r="AC1976" s="188" t="n">
        <v>0</v>
      </c>
      <c r="AD1976" s="188" t="inlineStr"/>
    </row>
    <row r="1977">
      <c r="A1977" s="188" t="inlineStr">
        <is>
          <t>TALOS_IP</t>
        </is>
      </c>
      <c r="B1977" s="188" t="inlineStr">
        <is>
          <t>da9f273355ef</t>
        </is>
      </c>
      <c r="C1977" s="188" t="inlineStr">
        <is>
          <t>Cisco Talos Blacklisted IP: 1.24.16.226 | Verified malicious | Sources: TALOS</t>
        </is>
      </c>
      <c r="D1977" s="188" t="n">
        <v>7</v>
      </c>
      <c r="E1977" s="188" t="inlineStr">
        <is>
          <t>HIGH</t>
        </is>
      </c>
      <c r="F1977" s="188" t="n">
        <v>3</v>
      </c>
      <c r="G1977" s="188" t="n">
        <v>2</v>
      </c>
      <c r="H1977" s="188" t="inlineStr">
        <is>
          <t>HIGH</t>
        </is>
      </c>
      <c r="I1977" s="188" t="n">
        <v>13</v>
      </c>
      <c r="J1977" s="188" t="inlineStr">
        <is>
          <t>NO</t>
        </is>
      </c>
      <c r="K1977" s="188" t="inlineStr">
        <is>
          <t>https://talosintelligence.com/reputation_center/lookup?search=1.24.16.226</t>
        </is>
      </c>
      <c r="L1977" s="188" t="inlineStr">
        <is>
          <t>2026-02-26 00:15</t>
        </is>
      </c>
      <c r="M1977" s="188" t="inlineStr">
        <is>
          <t>Block IP</t>
        </is>
      </c>
      <c r="N1977" s="188" t="inlineStr">
        <is>
          <t>https://talosintelligence.com/reputation_center/lookup?search=1.24.16.226</t>
        </is>
      </c>
      <c r="O1977" s="188" t="inlineStr">
        <is>
          <t>Block IP 1.24.16.226 at firewall | Cisco Talos confirmed malicious</t>
        </is>
      </c>
      <c r="P1977" s="188" t="inlineStr">
        <is>
          <t>Network perimeter / Email / Web</t>
        </is>
      </c>
      <c r="Q1977" s="188" t="inlineStr">
        <is>
          <t>P3</t>
        </is>
      </c>
      <c r="R1977" s="188" t="inlineStr">
        <is>
          <t>🚫 Block IP at firewall immediately | 🔍 Check logs for existing connections | 🛡️ Add to threat intelligence blocklist</t>
        </is>
      </c>
      <c r="S1977" s="188" t="inlineStr">
        <is>
          <t>Check ip-api.com + AbuseIPDB for context</t>
        </is>
      </c>
      <c r="T1977" s="188" t="n">
        <v>0</v>
      </c>
      <c r="U1977" s="188" t="n">
        <v>0</v>
      </c>
      <c r="V1977" s="188" t="inlineStr">
        <is>
          <t>T1110:Brute Force | T1190:Exploit Public-Facing Application | T1566:Phishing</t>
        </is>
      </c>
      <c r="W1977" s="188" t="n">
        <v>1</v>
      </c>
      <c r="X1977" s="188" t="inlineStr">
        <is>
          <t>MEDIUM (60%)</t>
        </is>
      </c>
      <c r="Y1977" s="188" t="inlineStr">
        <is>
          <t>NONE</t>
        </is>
      </c>
      <c r="Z1977" s="188" t="inlineStr">
        <is>
          <t>NONE</t>
        </is>
      </c>
      <c r="AA1977" s="188" t="inlineStr">
        <is>
          <t>NONE</t>
        </is>
      </c>
      <c r="AB1977" s="188" t="inlineStr">
        <is>
          <t>NONE</t>
        </is>
      </c>
      <c r="AC1977" s="188" t="n">
        <v>0</v>
      </c>
      <c r="AD1977" s="188" t="inlineStr"/>
    </row>
    <row r="1978">
      <c r="A1978" s="188" t="inlineStr">
        <is>
          <t>TALOS_IP</t>
        </is>
      </c>
      <c r="B1978" s="188" t="inlineStr">
        <is>
          <t>5f66be6fc095</t>
        </is>
      </c>
      <c r="C1978" s="188" t="inlineStr">
        <is>
          <t>Cisco Talos Blacklisted IP: 1.24.16.227 | Verified malicious | Sources: TALOS</t>
        </is>
      </c>
      <c r="D1978" s="188" t="n">
        <v>7</v>
      </c>
      <c r="E1978" s="188" t="inlineStr">
        <is>
          <t>HIGH</t>
        </is>
      </c>
      <c r="F1978" s="188" t="n">
        <v>3</v>
      </c>
      <c r="G1978" s="188" t="n">
        <v>2</v>
      </c>
      <c r="H1978" s="188" t="inlineStr">
        <is>
          <t>HIGH</t>
        </is>
      </c>
      <c r="I1978" s="188" t="n">
        <v>13</v>
      </c>
      <c r="J1978" s="188" t="inlineStr">
        <is>
          <t>NO</t>
        </is>
      </c>
      <c r="K1978" s="188" t="inlineStr">
        <is>
          <t>https://talosintelligence.com/reputation_center/lookup?search=1.24.16.227</t>
        </is>
      </c>
      <c r="L1978" s="188" t="inlineStr">
        <is>
          <t>2026-02-26 00:15</t>
        </is>
      </c>
      <c r="M1978" s="188" t="inlineStr">
        <is>
          <t>Block IP</t>
        </is>
      </c>
      <c r="N1978" s="188" t="inlineStr">
        <is>
          <t>https://talosintelligence.com/reputation_center/lookup?search=1.24.16.227</t>
        </is>
      </c>
      <c r="O1978" s="188" t="inlineStr">
        <is>
          <t>Block IP 1.24.16.227 at firewall | Cisco Talos confirmed malicious</t>
        </is>
      </c>
      <c r="P1978" s="188" t="inlineStr">
        <is>
          <t>Network perimeter / Email / Web</t>
        </is>
      </c>
      <c r="Q1978" s="188" t="inlineStr">
        <is>
          <t>P3</t>
        </is>
      </c>
      <c r="R1978" s="188" t="inlineStr">
        <is>
          <t>🚫 Block IP at firewall immediately | 🔍 Check logs for existing connections | 🛡️ Add to threat intelligence blocklist</t>
        </is>
      </c>
      <c r="S1978" s="188" t="inlineStr">
        <is>
          <t>Check ip-api.com + AbuseIPDB for context</t>
        </is>
      </c>
      <c r="T1978" s="188" t="n">
        <v>0</v>
      </c>
      <c r="U1978" s="188" t="n">
        <v>0</v>
      </c>
      <c r="V1978" s="188" t="inlineStr">
        <is>
          <t>T1110:Brute Force | T1190:Exploit Public-Facing Application | T1566:Phishing</t>
        </is>
      </c>
      <c r="W1978" s="188" t="n">
        <v>1</v>
      </c>
      <c r="X1978" s="188" t="inlineStr">
        <is>
          <t>MEDIUM (60%)</t>
        </is>
      </c>
      <c r="Y1978" s="188" t="inlineStr">
        <is>
          <t>NONE</t>
        </is>
      </c>
      <c r="Z1978" s="188" t="inlineStr">
        <is>
          <t>NONE</t>
        </is>
      </c>
      <c r="AA1978" s="188" t="inlineStr">
        <is>
          <t>NONE</t>
        </is>
      </c>
      <c r="AB1978" s="188" t="inlineStr">
        <is>
          <t>NONE</t>
        </is>
      </c>
      <c r="AC1978" s="188" t="n">
        <v>0</v>
      </c>
      <c r="AD1978" s="188" t="inlineStr"/>
    </row>
    <row r="1979">
      <c r="A1979" s="188" t="inlineStr">
        <is>
          <t>TALOS_IP</t>
        </is>
      </c>
      <c r="B1979" s="188" t="inlineStr">
        <is>
          <t>0f90570d60ea</t>
        </is>
      </c>
      <c r="C1979" s="188" t="inlineStr">
        <is>
          <t>Cisco Talos Blacklisted IP: 1.24.16.228 | Verified malicious | Sources: TALOS</t>
        </is>
      </c>
      <c r="D1979" s="188" t="n">
        <v>7</v>
      </c>
      <c r="E1979" s="188" t="inlineStr">
        <is>
          <t>HIGH</t>
        </is>
      </c>
      <c r="F1979" s="188" t="n">
        <v>3</v>
      </c>
      <c r="G1979" s="188" t="n">
        <v>2</v>
      </c>
      <c r="H1979" s="188" t="inlineStr">
        <is>
          <t>HIGH</t>
        </is>
      </c>
      <c r="I1979" s="188" t="n">
        <v>13</v>
      </c>
      <c r="J1979" s="188" t="inlineStr">
        <is>
          <t>NO</t>
        </is>
      </c>
      <c r="K1979" s="188" t="inlineStr">
        <is>
          <t>https://talosintelligence.com/reputation_center/lookup?search=1.24.16.228</t>
        </is>
      </c>
      <c r="L1979" s="188" t="inlineStr">
        <is>
          <t>2026-02-26 00:15</t>
        </is>
      </c>
      <c r="M1979" s="188" t="inlineStr">
        <is>
          <t>Block IP</t>
        </is>
      </c>
      <c r="N1979" s="188" t="inlineStr">
        <is>
          <t>https://talosintelligence.com/reputation_center/lookup?search=1.24.16.228</t>
        </is>
      </c>
      <c r="O1979" s="188" t="inlineStr">
        <is>
          <t>Block IP 1.24.16.228 at firewall | Cisco Talos confirmed malicious</t>
        </is>
      </c>
      <c r="P1979" s="188" t="inlineStr">
        <is>
          <t>Network perimeter / Email / Web</t>
        </is>
      </c>
      <c r="Q1979" s="188" t="inlineStr">
        <is>
          <t>P3</t>
        </is>
      </c>
      <c r="R1979" s="188" t="inlineStr">
        <is>
          <t>🚫 Block IP at firewall immediately | 🔍 Check logs for existing connections | 🛡️ Add to threat intelligence blocklist</t>
        </is>
      </c>
      <c r="S1979" s="188" t="inlineStr">
        <is>
          <t>Check ip-api.com + AbuseIPDB for context</t>
        </is>
      </c>
      <c r="T1979" s="188" t="n">
        <v>0</v>
      </c>
      <c r="U1979" s="188" t="n">
        <v>0</v>
      </c>
      <c r="V1979" s="188" t="inlineStr">
        <is>
          <t>T1110:Brute Force | T1190:Exploit Public-Facing Application | T1566:Phishing</t>
        </is>
      </c>
      <c r="W1979" s="188" t="n">
        <v>1</v>
      </c>
      <c r="X1979" s="188" t="inlineStr">
        <is>
          <t>MEDIUM (60%)</t>
        </is>
      </c>
      <c r="Y1979" s="188" t="inlineStr">
        <is>
          <t>NONE</t>
        </is>
      </c>
      <c r="Z1979" s="188" t="inlineStr">
        <is>
          <t>NONE</t>
        </is>
      </c>
      <c r="AA1979" s="188" t="inlineStr">
        <is>
          <t>NONE</t>
        </is>
      </c>
      <c r="AB1979" s="188" t="inlineStr">
        <is>
          <t>NONE</t>
        </is>
      </c>
      <c r="AC1979" s="188" t="n">
        <v>0</v>
      </c>
      <c r="AD1979" s="188" t="inlineStr"/>
    </row>
    <row r="1980">
      <c r="A1980" s="188" t="inlineStr">
        <is>
          <t>TALOS_IP</t>
        </is>
      </c>
      <c r="B1980" s="188" t="inlineStr">
        <is>
          <t>143e0a515cac</t>
        </is>
      </c>
      <c r="C1980" s="188" t="inlineStr">
        <is>
          <t>Cisco Talos Blacklisted IP: 1.24.16.229 | Verified malicious | Sources: TALOS</t>
        </is>
      </c>
      <c r="D1980" s="188" t="n">
        <v>7</v>
      </c>
      <c r="E1980" s="188" t="inlineStr">
        <is>
          <t>HIGH</t>
        </is>
      </c>
      <c r="F1980" s="188" t="n">
        <v>3</v>
      </c>
      <c r="G1980" s="188" t="n">
        <v>2</v>
      </c>
      <c r="H1980" s="188" t="inlineStr">
        <is>
          <t>HIGH</t>
        </is>
      </c>
      <c r="I1980" s="188" t="n">
        <v>13</v>
      </c>
      <c r="J1980" s="188" t="inlineStr">
        <is>
          <t>NO</t>
        </is>
      </c>
      <c r="K1980" s="188" t="inlineStr">
        <is>
          <t>https://talosintelligence.com/reputation_center/lookup?search=1.24.16.229</t>
        </is>
      </c>
      <c r="L1980" s="188" t="inlineStr">
        <is>
          <t>2026-02-26 00:15</t>
        </is>
      </c>
      <c r="M1980" s="188" t="inlineStr">
        <is>
          <t>Block IP</t>
        </is>
      </c>
      <c r="N1980" s="188" t="inlineStr">
        <is>
          <t>https://talosintelligence.com/reputation_center/lookup?search=1.24.16.229</t>
        </is>
      </c>
      <c r="O1980" s="188" t="inlineStr">
        <is>
          <t>Block IP 1.24.16.229 at firewall | Cisco Talos confirmed malicious</t>
        </is>
      </c>
      <c r="P1980" s="188" t="inlineStr">
        <is>
          <t>Network perimeter / Email / Web</t>
        </is>
      </c>
      <c r="Q1980" s="188" t="inlineStr">
        <is>
          <t>P3</t>
        </is>
      </c>
      <c r="R1980" s="188" t="inlineStr">
        <is>
          <t>🚫 Block IP at firewall immediately | 🔍 Check logs for existing connections | 🛡️ Add to threat intelligence blocklist</t>
        </is>
      </c>
      <c r="S1980" s="188" t="inlineStr">
        <is>
          <t>Check ip-api.com + AbuseIPDB for context</t>
        </is>
      </c>
      <c r="T1980" s="188" t="n">
        <v>0</v>
      </c>
      <c r="U1980" s="188" t="n">
        <v>0</v>
      </c>
      <c r="V1980" s="188" t="inlineStr">
        <is>
          <t>T1110:Brute Force | T1190:Exploit Public-Facing Application | T1566:Phishing</t>
        </is>
      </c>
      <c r="W1980" s="188" t="n">
        <v>1</v>
      </c>
      <c r="X1980" s="188" t="inlineStr">
        <is>
          <t>MEDIUM (60%)</t>
        </is>
      </c>
      <c r="Y1980" s="188" t="inlineStr">
        <is>
          <t>NONE</t>
        </is>
      </c>
      <c r="Z1980" s="188" t="inlineStr">
        <is>
          <t>NONE</t>
        </is>
      </c>
      <c r="AA1980" s="188" t="inlineStr">
        <is>
          <t>NONE</t>
        </is>
      </c>
      <c r="AB1980" s="188" t="inlineStr">
        <is>
          <t>NONE</t>
        </is>
      </c>
      <c r="AC1980" s="188" t="n">
        <v>0</v>
      </c>
      <c r="AD1980" s="188" t="inlineStr"/>
    </row>
    <row r="1981">
      <c r="A1981" s="188" t="inlineStr">
        <is>
          <t>TALOS_IP</t>
        </is>
      </c>
      <c r="B1981" s="188" t="inlineStr">
        <is>
          <t>59d75bed3139</t>
        </is>
      </c>
      <c r="C1981" s="188" t="inlineStr">
        <is>
          <t>Cisco Talos Blacklisted IP: 1.24.16.230 | Verified malicious | Sources: TALOS</t>
        </is>
      </c>
      <c r="D1981" s="188" t="n">
        <v>7</v>
      </c>
      <c r="E1981" s="188" t="inlineStr">
        <is>
          <t>HIGH</t>
        </is>
      </c>
      <c r="F1981" s="188" t="n">
        <v>3</v>
      </c>
      <c r="G1981" s="188" t="n">
        <v>2</v>
      </c>
      <c r="H1981" s="188" t="inlineStr">
        <is>
          <t>HIGH</t>
        </is>
      </c>
      <c r="I1981" s="188" t="n">
        <v>13</v>
      </c>
      <c r="J1981" s="188" t="inlineStr">
        <is>
          <t>NO</t>
        </is>
      </c>
      <c r="K1981" s="188" t="inlineStr">
        <is>
          <t>https://talosintelligence.com/reputation_center/lookup?search=1.24.16.230</t>
        </is>
      </c>
      <c r="L1981" s="188" t="inlineStr">
        <is>
          <t>2026-02-26 00:15</t>
        </is>
      </c>
      <c r="M1981" s="188" t="inlineStr">
        <is>
          <t>Block IP</t>
        </is>
      </c>
      <c r="N1981" s="188" t="inlineStr">
        <is>
          <t>https://talosintelligence.com/reputation_center/lookup?search=1.24.16.230</t>
        </is>
      </c>
      <c r="O1981" s="188" t="inlineStr">
        <is>
          <t>Block IP 1.24.16.230 at firewall | Cisco Talos confirmed malicious</t>
        </is>
      </c>
      <c r="P1981" s="188" t="inlineStr">
        <is>
          <t>Network perimeter / Email / Web</t>
        </is>
      </c>
      <c r="Q1981" s="188" t="inlineStr">
        <is>
          <t>P3</t>
        </is>
      </c>
      <c r="R1981" s="188" t="inlineStr">
        <is>
          <t>🚫 Block IP at firewall immediately | 🔍 Check logs for existing connections | 🛡️ Add to threat intelligence blocklist</t>
        </is>
      </c>
      <c r="S1981" s="188" t="inlineStr">
        <is>
          <t>Check ip-api.com + AbuseIPDB for context</t>
        </is>
      </c>
      <c r="T1981" s="188" t="n">
        <v>0</v>
      </c>
      <c r="U1981" s="188" t="n">
        <v>0</v>
      </c>
      <c r="V1981" s="188" t="inlineStr">
        <is>
          <t>T1110:Brute Force | T1190:Exploit Public-Facing Application | T1566:Phishing</t>
        </is>
      </c>
      <c r="W1981" s="188" t="n">
        <v>1</v>
      </c>
      <c r="X1981" s="188" t="inlineStr">
        <is>
          <t>MEDIUM (60%)</t>
        </is>
      </c>
      <c r="Y1981" s="188" t="inlineStr">
        <is>
          <t>NONE</t>
        </is>
      </c>
      <c r="Z1981" s="188" t="inlineStr">
        <is>
          <t>NONE</t>
        </is>
      </c>
      <c r="AA1981" s="188" t="inlineStr">
        <is>
          <t>NONE</t>
        </is>
      </c>
      <c r="AB1981" s="188" t="inlineStr">
        <is>
          <t>NONE</t>
        </is>
      </c>
      <c r="AC1981" s="188" t="n">
        <v>0</v>
      </c>
      <c r="AD1981" s="188" t="inlineStr"/>
    </row>
    <row r="1982">
      <c r="A1982" s="188" t="inlineStr">
        <is>
          <t>TALOS_IP</t>
        </is>
      </c>
      <c r="B1982" s="188" t="inlineStr">
        <is>
          <t>44e6378597e0</t>
        </is>
      </c>
      <c r="C1982" s="188" t="inlineStr">
        <is>
          <t>Cisco Talos Blacklisted IP: 1.24.16.231 | Verified malicious | Sources: TALOS</t>
        </is>
      </c>
      <c r="D1982" s="188" t="n">
        <v>7</v>
      </c>
      <c r="E1982" s="188" t="inlineStr">
        <is>
          <t>HIGH</t>
        </is>
      </c>
      <c r="F1982" s="188" t="n">
        <v>3</v>
      </c>
      <c r="G1982" s="188" t="n">
        <v>2</v>
      </c>
      <c r="H1982" s="188" t="inlineStr">
        <is>
          <t>HIGH</t>
        </is>
      </c>
      <c r="I1982" s="188" t="n">
        <v>13</v>
      </c>
      <c r="J1982" s="188" t="inlineStr">
        <is>
          <t>NO</t>
        </is>
      </c>
      <c r="K1982" s="188" t="inlineStr">
        <is>
          <t>https://talosintelligence.com/reputation_center/lookup?search=1.24.16.231</t>
        </is>
      </c>
      <c r="L1982" s="188" t="inlineStr">
        <is>
          <t>2026-02-26 00:15</t>
        </is>
      </c>
      <c r="M1982" s="188" t="inlineStr">
        <is>
          <t>Block IP</t>
        </is>
      </c>
      <c r="N1982" s="188" t="inlineStr">
        <is>
          <t>https://talosintelligence.com/reputation_center/lookup?search=1.24.16.231</t>
        </is>
      </c>
      <c r="O1982" s="188" t="inlineStr">
        <is>
          <t>Block IP 1.24.16.231 at firewall | Cisco Talos confirmed malicious</t>
        </is>
      </c>
      <c r="P1982" s="188" t="inlineStr">
        <is>
          <t>Network perimeter / Email / Web</t>
        </is>
      </c>
      <c r="Q1982" s="188" t="inlineStr">
        <is>
          <t>P3</t>
        </is>
      </c>
      <c r="R1982" s="188" t="inlineStr">
        <is>
          <t>🚫 Block IP at firewall immediately | 🔍 Check logs for existing connections | 🛡️ Add to threat intelligence blocklist</t>
        </is>
      </c>
      <c r="S1982" s="188" t="inlineStr">
        <is>
          <t>Check ip-api.com + AbuseIPDB for context</t>
        </is>
      </c>
      <c r="T1982" s="188" t="n">
        <v>0</v>
      </c>
      <c r="U1982" s="188" t="n">
        <v>0</v>
      </c>
      <c r="V1982" s="188" t="inlineStr">
        <is>
          <t>T1110:Brute Force | T1190:Exploit Public-Facing Application | T1566:Phishing</t>
        </is>
      </c>
      <c r="W1982" s="188" t="n">
        <v>1</v>
      </c>
      <c r="X1982" s="188" t="inlineStr">
        <is>
          <t>MEDIUM (60%)</t>
        </is>
      </c>
      <c r="Y1982" s="188" t="inlineStr">
        <is>
          <t>NONE</t>
        </is>
      </c>
      <c r="Z1982" s="188" t="inlineStr">
        <is>
          <t>NONE</t>
        </is>
      </c>
      <c r="AA1982" s="188" t="inlineStr">
        <is>
          <t>NONE</t>
        </is>
      </c>
      <c r="AB1982" s="188" t="inlineStr">
        <is>
          <t>NONE</t>
        </is>
      </c>
      <c r="AC1982" s="188" t="n">
        <v>0</v>
      </c>
      <c r="AD1982" s="188" t="inlineStr"/>
    </row>
    <row r="1983">
      <c r="A1983" s="188" t="inlineStr">
        <is>
          <t>TALOS_IP</t>
        </is>
      </c>
      <c r="B1983" s="188" t="inlineStr">
        <is>
          <t>82cd4df5288a</t>
        </is>
      </c>
      <c r="C1983" s="188" t="inlineStr">
        <is>
          <t>Cisco Talos Blacklisted IP: 1.24.16.234 | Verified malicious | Sources: TALOS</t>
        </is>
      </c>
      <c r="D1983" s="188" t="n">
        <v>7</v>
      </c>
      <c r="E1983" s="188" t="inlineStr">
        <is>
          <t>HIGH</t>
        </is>
      </c>
      <c r="F1983" s="188" t="n">
        <v>3</v>
      </c>
      <c r="G1983" s="188" t="n">
        <v>2</v>
      </c>
      <c r="H1983" s="188" t="inlineStr">
        <is>
          <t>HIGH</t>
        </is>
      </c>
      <c r="I1983" s="188" t="n">
        <v>13</v>
      </c>
      <c r="J1983" s="188" t="inlineStr">
        <is>
          <t>NO</t>
        </is>
      </c>
      <c r="K1983" s="188" t="inlineStr">
        <is>
          <t>https://talosintelligence.com/reputation_center/lookup?search=1.24.16.234</t>
        </is>
      </c>
      <c r="L1983" s="188" t="inlineStr">
        <is>
          <t>2026-02-26 00:15</t>
        </is>
      </c>
      <c r="M1983" s="188" t="inlineStr">
        <is>
          <t>Block IP</t>
        </is>
      </c>
      <c r="N1983" s="188" t="inlineStr">
        <is>
          <t>https://talosintelligence.com/reputation_center/lookup?search=1.24.16.234</t>
        </is>
      </c>
      <c r="O1983" s="188" t="inlineStr">
        <is>
          <t>Block IP 1.24.16.234 at firewall | Cisco Talos confirmed malicious</t>
        </is>
      </c>
      <c r="P1983" s="188" t="inlineStr">
        <is>
          <t>Network perimeter / Email / Web</t>
        </is>
      </c>
      <c r="Q1983" s="188" t="inlineStr">
        <is>
          <t>P3</t>
        </is>
      </c>
      <c r="R1983" s="188" t="inlineStr">
        <is>
          <t>🚫 Block IP at firewall immediately | 🔍 Check logs for existing connections | 🛡️ Add to threat intelligence blocklist</t>
        </is>
      </c>
      <c r="S1983" s="188" t="inlineStr">
        <is>
          <t>Check ip-api.com + AbuseIPDB for context</t>
        </is>
      </c>
      <c r="T1983" s="188" t="n">
        <v>0</v>
      </c>
      <c r="U1983" s="188" t="n">
        <v>0</v>
      </c>
      <c r="V1983" s="188" t="inlineStr">
        <is>
          <t>T1110:Brute Force | T1190:Exploit Public-Facing Application | T1566:Phishing</t>
        </is>
      </c>
      <c r="W1983" s="188" t="n">
        <v>1</v>
      </c>
      <c r="X1983" s="188" t="inlineStr">
        <is>
          <t>MEDIUM (60%)</t>
        </is>
      </c>
      <c r="Y1983" s="188" t="inlineStr">
        <is>
          <t>NONE</t>
        </is>
      </c>
      <c r="Z1983" s="188" t="inlineStr">
        <is>
          <t>NONE</t>
        </is>
      </c>
      <c r="AA1983" s="188" t="inlineStr">
        <is>
          <t>NONE</t>
        </is>
      </c>
      <c r="AB1983" s="188" t="inlineStr">
        <is>
          <t>NONE</t>
        </is>
      </c>
      <c r="AC1983" s="188" t="n">
        <v>0</v>
      </c>
      <c r="AD1983" s="188" t="inlineStr"/>
    </row>
    <row r="1984">
      <c r="A1984" s="188" t="inlineStr">
        <is>
          <t>TALOS_IP</t>
        </is>
      </c>
      <c r="B1984" s="188" t="inlineStr">
        <is>
          <t>c2a63acc67c0</t>
        </is>
      </c>
      <c r="C1984" s="188" t="inlineStr">
        <is>
          <t>Cisco Talos Blacklisted IP: 1.24.16.238 | Verified malicious | Sources: TALOS</t>
        </is>
      </c>
      <c r="D1984" s="188" t="n">
        <v>7</v>
      </c>
      <c r="E1984" s="188" t="inlineStr">
        <is>
          <t>HIGH</t>
        </is>
      </c>
      <c r="F1984" s="188" t="n">
        <v>3</v>
      </c>
      <c r="G1984" s="188" t="n">
        <v>2</v>
      </c>
      <c r="H1984" s="188" t="inlineStr">
        <is>
          <t>HIGH</t>
        </is>
      </c>
      <c r="I1984" s="188" t="n">
        <v>13</v>
      </c>
      <c r="J1984" s="188" t="inlineStr">
        <is>
          <t>NO</t>
        </is>
      </c>
      <c r="K1984" s="188" t="inlineStr">
        <is>
          <t>https://talosintelligence.com/reputation_center/lookup?search=1.24.16.238</t>
        </is>
      </c>
      <c r="L1984" s="188" t="inlineStr">
        <is>
          <t>2026-02-26 00:15</t>
        </is>
      </c>
      <c r="M1984" s="188" t="inlineStr">
        <is>
          <t>Block IP</t>
        </is>
      </c>
      <c r="N1984" s="188" t="inlineStr">
        <is>
          <t>https://talosintelligence.com/reputation_center/lookup?search=1.24.16.238</t>
        </is>
      </c>
      <c r="O1984" s="188" t="inlineStr">
        <is>
          <t>Block IP 1.24.16.238 at firewall | Cisco Talos confirmed malicious</t>
        </is>
      </c>
      <c r="P1984" s="188" t="inlineStr">
        <is>
          <t>Network perimeter / Email / Web</t>
        </is>
      </c>
      <c r="Q1984" s="188" t="inlineStr">
        <is>
          <t>P3</t>
        </is>
      </c>
      <c r="R1984" s="188" t="inlineStr">
        <is>
          <t>🚫 Block IP at firewall immediately | 🔍 Check logs for existing connections | 🛡️ Add to threat intelligence blocklist</t>
        </is>
      </c>
      <c r="S1984" s="188" t="inlineStr">
        <is>
          <t>Check ip-api.com + AbuseIPDB for context</t>
        </is>
      </c>
      <c r="T1984" s="188" t="n">
        <v>0</v>
      </c>
      <c r="U1984" s="188" t="n">
        <v>0</v>
      </c>
      <c r="V1984" s="188" t="inlineStr">
        <is>
          <t>T1110:Brute Force | T1190:Exploit Public-Facing Application | T1566:Phishing</t>
        </is>
      </c>
      <c r="W1984" s="188" t="n">
        <v>1</v>
      </c>
      <c r="X1984" s="188" t="inlineStr">
        <is>
          <t>MEDIUM (60%)</t>
        </is>
      </c>
      <c r="Y1984" s="188" t="inlineStr">
        <is>
          <t>NONE</t>
        </is>
      </c>
      <c r="Z1984" s="188" t="inlineStr">
        <is>
          <t>NONE</t>
        </is>
      </c>
      <c r="AA1984" s="188" t="inlineStr">
        <is>
          <t>NONE</t>
        </is>
      </c>
      <c r="AB1984" s="188" t="inlineStr">
        <is>
          <t>NONE</t>
        </is>
      </c>
      <c r="AC1984" s="188" t="n">
        <v>0</v>
      </c>
      <c r="AD1984" s="188" t="inlineStr"/>
    </row>
    <row r="1985">
      <c r="A1985" s="188" t="inlineStr">
        <is>
          <t>TALOS_IP</t>
        </is>
      </c>
      <c r="B1985" s="188" t="inlineStr">
        <is>
          <t>d2a9a604a368</t>
        </is>
      </c>
      <c r="C1985" s="188" t="inlineStr">
        <is>
          <t>Cisco Talos Blacklisted IP: 1.24.16.244 | Verified malicious | Sources: TALOS</t>
        </is>
      </c>
      <c r="D1985" s="188" t="n">
        <v>7</v>
      </c>
      <c r="E1985" s="188" t="inlineStr">
        <is>
          <t>HIGH</t>
        </is>
      </c>
      <c r="F1985" s="188" t="n">
        <v>3</v>
      </c>
      <c r="G1985" s="188" t="n">
        <v>2</v>
      </c>
      <c r="H1985" s="188" t="inlineStr">
        <is>
          <t>HIGH</t>
        </is>
      </c>
      <c r="I1985" s="188" t="n">
        <v>13</v>
      </c>
      <c r="J1985" s="188" t="inlineStr">
        <is>
          <t>NO</t>
        </is>
      </c>
      <c r="K1985" s="188" t="inlineStr">
        <is>
          <t>https://talosintelligence.com/reputation_center/lookup?search=1.24.16.244</t>
        </is>
      </c>
      <c r="L1985" s="188" t="inlineStr">
        <is>
          <t>2026-02-26 00:15</t>
        </is>
      </c>
      <c r="M1985" s="188" t="inlineStr">
        <is>
          <t>Block IP</t>
        </is>
      </c>
      <c r="N1985" s="188" t="inlineStr">
        <is>
          <t>https://talosintelligence.com/reputation_center/lookup?search=1.24.16.244</t>
        </is>
      </c>
      <c r="O1985" s="188" t="inlineStr">
        <is>
          <t>Block IP 1.24.16.244 at firewall | Cisco Talos confirmed malicious</t>
        </is>
      </c>
      <c r="P1985" s="188" t="inlineStr">
        <is>
          <t>Network perimeter / Email / Web</t>
        </is>
      </c>
      <c r="Q1985" s="188" t="inlineStr">
        <is>
          <t>P3</t>
        </is>
      </c>
      <c r="R1985" s="188" t="inlineStr">
        <is>
          <t>🚫 Block IP at firewall immediately | 🔍 Check logs for existing connections | 🛡️ Add to threat intelligence blocklist</t>
        </is>
      </c>
      <c r="S1985" s="188" t="inlineStr">
        <is>
          <t>Check ip-api.com + AbuseIPDB for context</t>
        </is>
      </c>
      <c r="T1985" s="188" t="n">
        <v>0</v>
      </c>
      <c r="U1985" s="188" t="n">
        <v>0</v>
      </c>
      <c r="V1985" s="188" t="inlineStr">
        <is>
          <t>T1110:Brute Force | T1190:Exploit Public-Facing Application | T1566:Phishing</t>
        </is>
      </c>
      <c r="W1985" s="188" t="n">
        <v>1</v>
      </c>
      <c r="X1985" s="188" t="inlineStr">
        <is>
          <t>MEDIUM (60%)</t>
        </is>
      </c>
      <c r="Y1985" s="188" t="inlineStr">
        <is>
          <t>NONE</t>
        </is>
      </c>
      <c r="Z1985" s="188" t="inlineStr">
        <is>
          <t>NONE</t>
        </is>
      </c>
      <c r="AA1985" s="188" t="inlineStr">
        <is>
          <t>NONE</t>
        </is>
      </c>
      <c r="AB1985" s="188" t="inlineStr">
        <is>
          <t>NONE</t>
        </is>
      </c>
      <c r="AC1985" s="188" t="n">
        <v>0</v>
      </c>
      <c r="AD1985" s="188" t="inlineStr"/>
    </row>
    <row r="1986">
      <c r="A1986" s="188" t="inlineStr">
        <is>
          <t>TALOS_IP</t>
        </is>
      </c>
      <c r="B1986" s="188" t="inlineStr">
        <is>
          <t>736146810d07</t>
        </is>
      </c>
      <c r="C1986" s="188" t="inlineStr">
        <is>
          <t>Cisco Talos Blacklisted IP: 1.24.16.246 | Verified malicious | Sources: TALOS</t>
        </is>
      </c>
      <c r="D1986" s="188" t="n">
        <v>7</v>
      </c>
      <c r="E1986" s="188" t="inlineStr">
        <is>
          <t>HIGH</t>
        </is>
      </c>
      <c r="F1986" s="188" t="n">
        <v>3</v>
      </c>
      <c r="G1986" s="188" t="n">
        <v>2</v>
      </c>
      <c r="H1986" s="188" t="inlineStr">
        <is>
          <t>HIGH</t>
        </is>
      </c>
      <c r="I1986" s="188" t="n">
        <v>13</v>
      </c>
      <c r="J1986" s="188" t="inlineStr">
        <is>
          <t>NO</t>
        </is>
      </c>
      <c r="K1986" s="188" t="inlineStr">
        <is>
          <t>https://talosintelligence.com/reputation_center/lookup?search=1.24.16.246</t>
        </is>
      </c>
      <c r="L1986" s="188" t="inlineStr">
        <is>
          <t>2026-02-26 00:15</t>
        </is>
      </c>
      <c r="M1986" s="188" t="inlineStr">
        <is>
          <t>Block IP</t>
        </is>
      </c>
      <c r="N1986" s="188" t="inlineStr">
        <is>
          <t>https://talosintelligence.com/reputation_center/lookup?search=1.24.16.246</t>
        </is>
      </c>
      <c r="O1986" s="188" t="inlineStr">
        <is>
          <t>Block IP 1.24.16.246 at firewall | Cisco Talos confirmed malicious</t>
        </is>
      </c>
      <c r="P1986" s="188" t="inlineStr">
        <is>
          <t>Network perimeter / Email / Web</t>
        </is>
      </c>
      <c r="Q1986" s="188" t="inlineStr">
        <is>
          <t>P3</t>
        </is>
      </c>
      <c r="R1986" s="188" t="inlineStr">
        <is>
          <t>🚫 Block IP at firewall immediately | 🔍 Check logs for existing connections | 🛡️ Add to threat intelligence blocklist</t>
        </is>
      </c>
      <c r="S1986" s="188" t="inlineStr">
        <is>
          <t>Check ip-api.com + AbuseIPDB for context</t>
        </is>
      </c>
      <c r="T1986" s="188" t="n">
        <v>0</v>
      </c>
      <c r="U1986" s="188" t="n">
        <v>0</v>
      </c>
      <c r="V1986" s="188" t="inlineStr">
        <is>
          <t>T1110:Brute Force | T1190:Exploit Public-Facing Application | T1566:Phishing</t>
        </is>
      </c>
      <c r="W1986" s="188" t="n">
        <v>1</v>
      </c>
      <c r="X1986" s="188" t="inlineStr">
        <is>
          <t>MEDIUM (60%)</t>
        </is>
      </c>
      <c r="Y1986" s="188" t="inlineStr">
        <is>
          <t>NONE</t>
        </is>
      </c>
      <c r="Z1986" s="188" t="inlineStr">
        <is>
          <t>NONE</t>
        </is>
      </c>
      <c r="AA1986" s="188" t="inlineStr">
        <is>
          <t>NONE</t>
        </is>
      </c>
      <c r="AB1986" s="188" t="inlineStr">
        <is>
          <t>NONE</t>
        </is>
      </c>
      <c r="AC1986" s="188" t="n">
        <v>0</v>
      </c>
      <c r="AD1986" s="188" t="inlineStr"/>
    </row>
    <row r="1987">
      <c r="A1987" s="188" t="inlineStr">
        <is>
          <t>TALOS_IP</t>
        </is>
      </c>
      <c r="B1987" s="188" t="inlineStr">
        <is>
          <t>429075cae2a9</t>
        </is>
      </c>
      <c r="C1987" s="188" t="inlineStr">
        <is>
          <t>Cisco Talos Blacklisted IP: 1.24.16.249 | Verified malicious | Sources: TALOS</t>
        </is>
      </c>
      <c r="D1987" s="188" t="n">
        <v>7</v>
      </c>
      <c r="E1987" s="188" t="inlineStr">
        <is>
          <t>HIGH</t>
        </is>
      </c>
      <c r="F1987" s="188" t="n">
        <v>3</v>
      </c>
      <c r="G1987" s="188" t="n">
        <v>2</v>
      </c>
      <c r="H1987" s="188" t="inlineStr">
        <is>
          <t>HIGH</t>
        </is>
      </c>
      <c r="I1987" s="188" t="n">
        <v>13</v>
      </c>
      <c r="J1987" s="188" t="inlineStr">
        <is>
          <t>NO</t>
        </is>
      </c>
      <c r="K1987" s="188" t="inlineStr">
        <is>
          <t>https://talosintelligence.com/reputation_center/lookup?search=1.24.16.249</t>
        </is>
      </c>
      <c r="L1987" s="188" t="inlineStr">
        <is>
          <t>2026-02-26 00:15</t>
        </is>
      </c>
      <c r="M1987" s="188" t="inlineStr">
        <is>
          <t>Block IP</t>
        </is>
      </c>
      <c r="N1987" s="188" t="inlineStr">
        <is>
          <t>https://talosintelligence.com/reputation_center/lookup?search=1.24.16.249</t>
        </is>
      </c>
      <c r="O1987" s="188" t="inlineStr">
        <is>
          <t>Block IP 1.24.16.249 at firewall | Cisco Talos confirmed malicious</t>
        </is>
      </c>
      <c r="P1987" s="188" t="inlineStr">
        <is>
          <t>Network perimeter / Email / Web</t>
        </is>
      </c>
      <c r="Q1987" s="188" t="inlineStr">
        <is>
          <t>P3</t>
        </is>
      </c>
      <c r="R1987" s="188" t="inlineStr">
        <is>
          <t>🚫 Block IP at firewall immediately | 🔍 Check logs for existing connections | 🛡️ Add to threat intelligence blocklist</t>
        </is>
      </c>
      <c r="S1987" s="188" t="inlineStr">
        <is>
          <t>Check ip-api.com + AbuseIPDB for context</t>
        </is>
      </c>
      <c r="T1987" s="188" t="n">
        <v>0</v>
      </c>
      <c r="U1987" s="188" t="n">
        <v>0</v>
      </c>
      <c r="V1987" s="188" t="inlineStr">
        <is>
          <t>T1110:Brute Force | T1190:Exploit Public-Facing Application | T1566:Phishing</t>
        </is>
      </c>
      <c r="W1987" s="188" t="n">
        <v>1</v>
      </c>
      <c r="X1987" s="188" t="inlineStr">
        <is>
          <t>MEDIUM (60%)</t>
        </is>
      </c>
      <c r="Y1987" s="188" t="inlineStr">
        <is>
          <t>NONE</t>
        </is>
      </c>
      <c r="Z1987" s="188" t="inlineStr">
        <is>
          <t>NONE</t>
        </is>
      </c>
      <c r="AA1987" s="188" t="inlineStr">
        <is>
          <t>NONE</t>
        </is>
      </c>
      <c r="AB1987" s="188" t="inlineStr">
        <is>
          <t>NONE</t>
        </is>
      </c>
      <c r="AC1987" s="188" t="n">
        <v>0</v>
      </c>
      <c r="AD1987" s="188" t="inlineStr"/>
    </row>
    <row r="1988">
      <c r="A1988" s="188" t="inlineStr">
        <is>
          <t>TALOS_IP</t>
        </is>
      </c>
      <c r="B1988" s="188" t="inlineStr">
        <is>
          <t>70744d953256</t>
        </is>
      </c>
      <c r="C1988" s="188" t="inlineStr">
        <is>
          <t>Cisco Talos Blacklisted IP: 1.24.16.254 | Verified malicious | Sources: TALOS</t>
        </is>
      </c>
      <c r="D1988" s="188" t="n">
        <v>7</v>
      </c>
      <c r="E1988" s="188" t="inlineStr">
        <is>
          <t>HIGH</t>
        </is>
      </c>
      <c r="F1988" s="188" t="n">
        <v>3</v>
      </c>
      <c r="G1988" s="188" t="n">
        <v>2</v>
      </c>
      <c r="H1988" s="188" t="inlineStr">
        <is>
          <t>HIGH</t>
        </is>
      </c>
      <c r="I1988" s="188" t="n">
        <v>13</v>
      </c>
      <c r="J1988" s="188" t="inlineStr">
        <is>
          <t>NO</t>
        </is>
      </c>
      <c r="K1988" s="188" t="inlineStr">
        <is>
          <t>https://talosintelligence.com/reputation_center/lookup?search=1.24.16.254</t>
        </is>
      </c>
      <c r="L1988" s="188" t="inlineStr">
        <is>
          <t>2026-02-26 00:15</t>
        </is>
      </c>
      <c r="M1988" s="188" t="inlineStr">
        <is>
          <t>Block IP</t>
        </is>
      </c>
      <c r="N1988" s="188" t="inlineStr">
        <is>
          <t>https://talosintelligence.com/reputation_center/lookup?search=1.24.16.254</t>
        </is>
      </c>
      <c r="O1988" s="188" t="inlineStr">
        <is>
          <t>Block IP 1.24.16.254 at firewall | Cisco Talos confirmed malicious</t>
        </is>
      </c>
      <c r="P1988" s="188" t="inlineStr">
        <is>
          <t>Network perimeter / Email / Web</t>
        </is>
      </c>
      <c r="Q1988" s="188" t="inlineStr">
        <is>
          <t>P3</t>
        </is>
      </c>
      <c r="R1988" s="188" t="inlineStr">
        <is>
          <t>🚫 Block IP at firewall immediately | 🔍 Check logs for existing connections | 🛡️ Add to threat intelligence blocklist</t>
        </is>
      </c>
      <c r="S1988" s="188" t="inlineStr">
        <is>
          <t>Check ip-api.com + AbuseIPDB for context</t>
        </is>
      </c>
      <c r="T1988" s="188" t="n">
        <v>0</v>
      </c>
      <c r="U1988" s="188" t="n">
        <v>0</v>
      </c>
      <c r="V1988" s="188" t="inlineStr">
        <is>
          <t>T1110:Brute Force | T1190:Exploit Public-Facing Application | T1566:Phishing</t>
        </is>
      </c>
      <c r="W1988" s="188" t="n">
        <v>1</v>
      </c>
      <c r="X1988" s="188" t="inlineStr">
        <is>
          <t>MEDIUM (60%)</t>
        </is>
      </c>
      <c r="Y1988" s="188" t="inlineStr">
        <is>
          <t>NONE</t>
        </is>
      </c>
      <c r="Z1988" s="188" t="inlineStr">
        <is>
          <t>NONE</t>
        </is>
      </c>
      <c r="AA1988" s="188" t="inlineStr">
        <is>
          <t>NONE</t>
        </is>
      </c>
      <c r="AB1988" s="188" t="inlineStr">
        <is>
          <t>NONE</t>
        </is>
      </c>
      <c r="AC1988" s="188" t="n">
        <v>0</v>
      </c>
      <c r="AD1988" s="188" t="inlineStr"/>
    </row>
    <row r="1989">
      <c r="A1989" s="188" t="inlineStr">
        <is>
          <t>TALOS_IP</t>
        </is>
      </c>
      <c r="B1989" s="188" t="inlineStr">
        <is>
          <t>0539073cce49</t>
        </is>
      </c>
      <c r="C1989" s="188" t="inlineStr">
        <is>
          <t>Cisco Talos Blacklisted IP: 1.24.16.26 | Verified malicious | Sources: TALOS</t>
        </is>
      </c>
      <c r="D1989" s="188" t="n">
        <v>7</v>
      </c>
      <c r="E1989" s="188" t="inlineStr">
        <is>
          <t>HIGH</t>
        </is>
      </c>
      <c r="F1989" s="188" t="n">
        <v>3</v>
      </c>
      <c r="G1989" s="188" t="n">
        <v>2</v>
      </c>
      <c r="H1989" s="188" t="inlineStr">
        <is>
          <t>HIGH</t>
        </is>
      </c>
      <c r="I1989" s="188" t="n">
        <v>13</v>
      </c>
      <c r="J1989" s="188" t="inlineStr">
        <is>
          <t>NO</t>
        </is>
      </c>
      <c r="K1989" s="188" t="inlineStr">
        <is>
          <t>https://talosintelligence.com/reputation_center/lookup?search=1.24.16.26</t>
        </is>
      </c>
      <c r="L1989" s="188" t="inlineStr">
        <is>
          <t>2026-02-26 00:15</t>
        </is>
      </c>
      <c r="M1989" s="188" t="inlineStr">
        <is>
          <t>Block IP</t>
        </is>
      </c>
      <c r="N1989" s="188" t="inlineStr">
        <is>
          <t>https://talosintelligence.com/reputation_center/lookup?search=1.24.16.26</t>
        </is>
      </c>
      <c r="O1989" s="188" t="inlineStr">
        <is>
          <t>Block IP 1.24.16.26 at firewall | Cisco Talos confirmed malicious</t>
        </is>
      </c>
      <c r="P1989" s="188" t="inlineStr">
        <is>
          <t>Network perimeter / Email / Web</t>
        </is>
      </c>
      <c r="Q1989" s="188" t="inlineStr">
        <is>
          <t>P3</t>
        </is>
      </c>
      <c r="R1989" s="188" t="inlineStr">
        <is>
          <t>🚫 Block IP at firewall immediately | 🔍 Check logs for existing connections | 🛡️ Add to threat intelligence blocklist</t>
        </is>
      </c>
      <c r="S1989" s="188" t="inlineStr">
        <is>
          <t>Check ip-api.com + AbuseIPDB for context</t>
        </is>
      </c>
      <c r="T1989" s="188" t="n">
        <v>0</v>
      </c>
      <c r="U1989" s="188" t="n">
        <v>0</v>
      </c>
      <c r="V1989" s="188" t="inlineStr">
        <is>
          <t>T1110:Brute Force | T1190:Exploit Public-Facing Application | T1566:Phishing</t>
        </is>
      </c>
      <c r="W1989" s="188" t="n">
        <v>1</v>
      </c>
      <c r="X1989" s="188" t="inlineStr">
        <is>
          <t>MEDIUM (60%)</t>
        </is>
      </c>
      <c r="Y1989" s="188" t="inlineStr">
        <is>
          <t>NONE</t>
        </is>
      </c>
      <c r="Z1989" s="188" t="inlineStr">
        <is>
          <t>NONE</t>
        </is>
      </c>
      <c r="AA1989" s="188" t="inlineStr">
        <is>
          <t>NONE</t>
        </is>
      </c>
      <c r="AB1989" s="188" t="inlineStr">
        <is>
          <t>NONE</t>
        </is>
      </c>
      <c r="AC1989" s="188" t="n">
        <v>0</v>
      </c>
      <c r="AD1989" s="188" t="inlineStr"/>
    </row>
    <row r="1990">
      <c r="A1990" s="188" t="inlineStr">
        <is>
          <t>TALOS_IP</t>
        </is>
      </c>
      <c r="B1990" s="188" t="inlineStr">
        <is>
          <t>415b73f6c3a9</t>
        </is>
      </c>
      <c r="C1990" s="188" t="inlineStr">
        <is>
          <t>Cisco Talos Blacklisted IP: 1.24.16.27 | Verified malicious | Sources: TALOS</t>
        </is>
      </c>
      <c r="D1990" s="188" t="n">
        <v>7</v>
      </c>
      <c r="E1990" s="188" t="inlineStr">
        <is>
          <t>HIGH</t>
        </is>
      </c>
      <c r="F1990" s="188" t="n">
        <v>3</v>
      </c>
      <c r="G1990" s="188" t="n">
        <v>2</v>
      </c>
      <c r="H1990" s="188" t="inlineStr">
        <is>
          <t>HIGH</t>
        </is>
      </c>
      <c r="I1990" s="188" t="n">
        <v>13</v>
      </c>
      <c r="J1990" s="188" t="inlineStr">
        <is>
          <t>NO</t>
        </is>
      </c>
      <c r="K1990" s="188" t="inlineStr">
        <is>
          <t>https://talosintelligence.com/reputation_center/lookup?search=1.24.16.27</t>
        </is>
      </c>
      <c r="L1990" s="188" t="inlineStr">
        <is>
          <t>2026-02-26 00:15</t>
        </is>
      </c>
      <c r="M1990" s="188" t="inlineStr">
        <is>
          <t>Block IP</t>
        </is>
      </c>
      <c r="N1990" s="188" t="inlineStr">
        <is>
          <t>https://talosintelligence.com/reputation_center/lookup?search=1.24.16.27</t>
        </is>
      </c>
      <c r="O1990" s="188" t="inlineStr">
        <is>
          <t>Block IP 1.24.16.27 at firewall | Cisco Talos confirmed malicious</t>
        </is>
      </c>
      <c r="P1990" s="188" t="inlineStr">
        <is>
          <t>Network perimeter / Email / Web</t>
        </is>
      </c>
      <c r="Q1990" s="188" t="inlineStr">
        <is>
          <t>P3</t>
        </is>
      </c>
      <c r="R1990" s="188" t="inlineStr">
        <is>
          <t>🚫 Block IP at firewall immediately | 🔍 Check logs for existing connections | 🛡️ Add to threat intelligence blocklist</t>
        </is>
      </c>
      <c r="S1990" s="188" t="inlineStr">
        <is>
          <t>Check ip-api.com + AbuseIPDB for context</t>
        </is>
      </c>
      <c r="T1990" s="188" t="n">
        <v>0</v>
      </c>
      <c r="U1990" s="188" t="n">
        <v>0</v>
      </c>
      <c r="V1990" s="188" t="inlineStr">
        <is>
          <t>T1110:Brute Force | T1190:Exploit Public-Facing Application | T1566:Phishing</t>
        </is>
      </c>
      <c r="W1990" s="188" t="n">
        <v>1</v>
      </c>
      <c r="X1990" s="188" t="inlineStr">
        <is>
          <t>MEDIUM (60%)</t>
        </is>
      </c>
      <c r="Y1990" s="188" t="inlineStr">
        <is>
          <t>NONE</t>
        </is>
      </c>
      <c r="Z1990" s="188" t="inlineStr">
        <is>
          <t>NONE</t>
        </is>
      </c>
      <c r="AA1990" s="188" t="inlineStr">
        <is>
          <t>NONE</t>
        </is>
      </c>
      <c r="AB1990" s="188" t="inlineStr">
        <is>
          <t>NONE</t>
        </is>
      </c>
      <c r="AC1990" s="188" t="n">
        <v>0</v>
      </c>
      <c r="AD1990" s="188" t="inlineStr"/>
    </row>
    <row r="1991">
      <c r="A1991" s="188" t="inlineStr">
        <is>
          <t>TALOS_IP</t>
        </is>
      </c>
      <c r="B1991" s="188" t="inlineStr">
        <is>
          <t>e6be7c4cc1bb</t>
        </is>
      </c>
      <c r="C1991" s="188" t="inlineStr">
        <is>
          <t>Cisco Talos Blacklisted IP: 1.24.16.35 | Verified malicious | Sources: TALOS</t>
        </is>
      </c>
      <c r="D1991" s="188" t="n">
        <v>7</v>
      </c>
      <c r="E1991" s="188" t="inlineStr">
        <is>
          <t>HIGH</t>
        </is>
      </c>
      <c r="F1991" s="188" t="n">
        <v>3</v>
      </c>
      <c r="G1991" s="188" t="n">
        <v>2</v>
      </c>
      <c r="H1991" s="188" t="inlineStr">
        <is>
          <t>HIGH</t>
        </is>
      </c>
      <c r="I1991" s="188" t="n">
        <v>13</v>
      </c>
      <c r="J1991" s="188" t="inlineStr">
        <is>
          <t>NO</t>
        </is>
      </c>
      <c r="K1991" s="188" t="inlineStr">
        <is>
          <t>https://talosintelligence.com/reputation_center/lookup?search=1.24.16.35</t>
        </is>
      </c>
      <c r="L1991" s="188" t="inlineStr">
        <is>
          <t>2026-02-26 00:15</t>
        </is>
      </c>
      <c r="M1991" s="188" t="inlineStr">
        <is>
          <t>Block IP</t>
        </is>
      </c>
      <c r="N1991" s="188" t="inlineStr">
        <is>
          <t>https://talosintelligence.com/reputation_center/lookup?search=1.24.16.35</t>
        </is>
      </c>
      <c r="O1991" s="188" t="inlineStr">
        <is>
          <t>Block IP 1.24.16.35 at firewall | Cisco Talos confirmed malicious</t>
        </is>
      </c>
      <c r="P1991" s="188" t="inlineStr">
        <is>
          <t>Network perimeter / Email / Web</t>
        </is>
      </c>
      <c r="Q1991" s="188" t="inlineStr">
        <is>
          <t>P3</t>
        </is>
      </c>
      <c r="R1991" s="188" t="inlineStr">
        <is>
          <t>🚫 Block IP at firewall immediately | 🔍 Check logs for existing connections | 🛡️ Add to threat intelligence blocklist</t>
        </is>
      </c>
      <c r="S1991" s="188" t="inlineStr">
        <is>
          <t>Check ip-api.com + AbuseIPDB for context</t>
        </is>
      </c>
      <c r="T1991" s="188" t="n">
        <v>0</v>
      </c>
      <c r="U1991" s="188" t="n">
        <v>0</v>
      </c>
      <c r="V1991" s="188" t="inlineStr">
        <is>
          <t>T1110:Brute Force | T1190:Exploit Public-Facing Application | T1566:Phishing</t>
        </is>
      </c>
      <c r="W1991" s="188" t="n">
        <v>1</v>
      </c>
      <c r="X1991" s="188" t="inlineStr">
        <is>
          <t>MEDIUM (60%)</t>
        </is>
      </c>
      <c r="Y1991" s="188" t="inlineStr">
        <is>
          <t>NONE</t>
        </is>
      </c>
      <c r="Z1991" s="188" t="inlineStr">
        <is>
          <t>NONE</t>
        </is>
      </c>
      <c r="AA1991" s="188" t="inlineStr">
        <is>
          <t>NONE</t>
        </is>
      </c>
      <c r="AB1991" s="188" t="inlineStr">
        <is>
          <t>NONE</t>
        </is>
      </c>
      <c r="AC1991" s="188" t="n">
        <v>0</v>
      </c>
      <c r="AD1991" s="188" t="inlineStr"/>
    </row>
    <row r="1992">
      <c r="A1992" s="188" t="inlineStr">
        <is>
          <t>TALOS_IP</t>
        </is>
      </c>
      <c r="B1992" s="188" t="inlineStr">
        <is>
          <t>a6e1e1a422ed</t>
        </is>
      </c>
      <c r="C1992" s="188" t="inlineStr">
        <is>
          <t>Cisco Talos Blacklisted IP: 1.24.16.38 | Verified malicious | Sources: TALOS</t>
        </is>
      </c>
      <c r="D1992" s="188" t="n">
        <v>7</v>
      </c>
      <c r="E1992" s="188" t="inlineStr">
        <is>
          <t>HIGH</t>
        </is>
      </c>
      <c r="F1992" s="188" t="n">
        <v>3</v>
      </c>
      <c r="G1992" s="188" t="n">
        <v>2</v>
      </c>
      <c r="H1992" s="188" t="inlineStr">
        <is>
          <t>HIGH</t>
        </is>
      </c>
      <c r="I1992" s="188" t="n">
        <v>13</v>
      </c>
      <c r="J1992" s="188" t="inlineStr">
        <is>
          <t>NO</t>
        </is>
      </c>
      <c r="K1992" s="188" t="inlineStr">
        <is>
          <t>https://talosintelligence.com/reputation_center/lookup?search=1.24.16.38</t>
        </is>
      </c>
      <c r="L1992" s="188" t="inlineStr">
        <is>
          <t>2026-02-26 00:15</t>
        </is>
      </c>
      <c r="M1992" s="188" t="inlineStr">
        <is>
          <t>Block IP</t>
        </is>
      </c>
      <c r="N1992" s="188" t="inlineStr">
        <is>
          <t>https://talosintelligence.com/reputation_center/lookup?search=1.24.16.38</t>
        </is>
      </c>
      <c r="O1992" s="188" t="inlineStr">
        <is>
          <t>Block IP 1.24.16.38 at firewall | Cisco Talos confirmed malicious</t>
        </is>
      </c>
      <c r="P1992" s="188" t="inlineStr">
        <is>
          <t>Network perimeter / Email / Web</t>
        </is>
      </c>
      <c r="Q1992" s="188" t="inlineStr">
        <is>
          <t>P3</t>
        </is>
      </c>
      <c r="R1992" s="188" t="inlineStr">
        <is>
          <t>🚫 Block IP at firewall immediately | 🔍 Check logs for existing connections | 🛡️ Add to threat intelligence blocklist</t>
        </is>
      </c>
      <c r="S1992" s="188" t="inlineStr">
        <is>
          <t>Check ip-api.com + AbuseIPDB for context</t>
        </is>
      </c>
      <c r="T1992" s="188" t="n">
        <v>0</v>
      </c>
      <c r="U1992" s="188" t="n">
        <v>0</v>
      </c>
      <c r="V1992" s="188" t="inlineStr">
        <is>
          <t>T1110:Brute Force | T1190:Exploit Public-Facing Application | T1566:Phishing</t>
        </is>
      </c>
      <c r="W1992" s="188" t="n">
        <v>1</v>
      </c>
      <c r="X1992" s="188" t="inlineStr">
        <is>
          <t>MEDIUM (60%)</t>
        </is>
      </c>
      <c r="Y1992" s="188" t="inlineStr">
        <is>
          <t>NONE</t>
        </is>
      </c>
      <c r="Z1992" s="188" t="inlineStr">
        <is>
          <t>NONE</t>
        </is>
      </c>
      <c r="AA1992" s="188" t="inlineStr">
        <is>
          <t>NONE</t>
        </is>
      </c>
      <c r="AB1992" s="188" t="inlineStr">
        <is>
          <t>NONE</t>
        </is>
      </c>
      <c r="AC1992" s="188" t="n">
        <v>0</v>
      </c>
      <c r="AD1992" s="188" t="inlineStr"/>
    </row>
    <row r="1993">
      <c r="A1993" s="188" t="inlineStr">
        <is>
          <t>TALOS_IP</t>
        </is>
      </c>
      <c r="B1993" s="188" t="inlineStr">
        <is>
          <t>1fb59ca1ba3a</t>
        </is>
      </c>
      <c r="C1993" s="188" t="inlineStr">
        <is>
          <t>Cisco Talos Blacklisted IP: 1.24.16.40 | Verified malicious | Sources: TALOS</t>
        </is>
      </c>
      <c r="D1993" s="188" t="n">
        <v>7</v>
      </c>
      <c r="E1993" s="188" t="inlineStr">
        <is>
          <t>HIGH</t>
        </is>
      </c>
      <c r="F1993" s="188" t="n">
        <v>3</v>
      </c>
      <c r="G1993" s="188" t="n">
        <v>2</v>
      </c>
      <c r="H1993" s="188" t="inlineStr">
        <is>
          <t>HIGH</t>
        </is>
      </c>
      <c r="I1993" s="188" t="n">
        <v>13</v>
      </c>
      <c r="J1993" s="188" t="inlineStr">
        <is>
          <t>NO</t>
        </is>
      </c>
      <c r="K1993" s="188" t="inlineStr">
        <is>
          <t>https://talosintelligence.com/reputation_center/lookup?search=1.24.16.40</t>
        </is>
      </c>
      <c r="L1993" s="188" t="inlineStr">
        <is>
          <t>2026-02-26 00:15</t>
        </is>
      </c>
      <c r="M1993" s="188" t="inlineStr">
        <is>
          <t>Block IP</t>
        </is>
      </c>
      <c r="N1993" s="188" t="inlineStr">
        <is>
          <t>https://talosintelligence.com/reputation_center/lookup?search=1.24.16.40</t>
        </is>
      </c>
      <c r="O1993" s="188" t="inlineStr">
        <is>
          <t>Block IP 1.24.16.40 at firewall | Cisco Talos confirmed malicious</t>
        </is>
      </c>
      <c r="P1993" s="188" t="inlineStr">
        <is>
          <t>Network perimeter / Email / Web</t>
        </is>
      </c>
      <c r="Q1993" s="188" t="inlineStr">
        <is>
          <t>P3</t>
        </is>
      </c>
      <c r="R1993" s="188" t="inlineStr">
        <is>
          <t>🚫 Block IP at firewall immediately | 🔍 Check logs for existing connections | 🛡️ Add to threat intelligence blocklist</t>
        </is>
      </c>
      <c r="S1993" s="188" t="inlineStr">
        <is>
          <t>Check ip-api.com + AbuseIPDB for context</t>
        </is>
      </c>
      <c r="T1993" s="188" t="n">
        <v>0</v>
      </c>
      <c r="U1993" s="188" t="n">
        <v>0</v>
      </c>
      <c r="V1993" s="188" t="inlineStr">
        <is>
          <t>T1110:Brute Force | T1190:Exploit Public-Facing Application | T1566:Phishing</t>
        </is>
      </c>
      <c r="W1993" s="188" t="n">
        <v>1</v>
      </c>
      <c r="X1993" s="188" t="inlineStr">
        <is>
          <t>MEDIUM (60%)</t>
        </is>
      </c>
      <c r="Y1993" s="188" t="inlineStr">
        <is>
          <t>NONE</t>
        </is>
      </c>
      <c r="Z1993" s="188" t="inlineStr">
        <is>
          <t>NONE</t>
        </is>
      </c>
      <c r="AA1993" s="188" t="inlineStr">
        <is>
          <t>NONE</t>
        </is>
      </c>
      <c r="AB1993" s="188" t="inlineStr">
        <is>
          <t>NONE</t>
        </is>
      </c>
      <c r="AC1993" s="188" t="n">
        <v>0</v>
      </c>
      <c r="AD1993" s="188" t="inlineStr"/>
    </row>
    <row r="1994">
      <c r="A1994" s="188" t="inlineStr">
        <is>
          <t>TALOS_IP</t>
        </is>
      </c>
      <c r="B1994" s="188" t="inlineStr">
        <is>
          <t>dd36a1c7a05e</t>
        </is>
      </c>
      <c r="C1994" s="188" t="inlineStr">
        <is>
          <t>Cisco Talos Blacklisted IP: 1.24.16.42 | Verified malicious | Sources: TALOS</t>
        </is>
      </c>
      <c r="D1994" s="188" t="n">
        <v>7</v>
      </c>
      <c r="E1994" s="188" t="inlineStr">
        <is>
          <t>HIGH</t>
        </is>
      </c>
      <c r="F1994" s="188" t="n">
        <v>3</v>
      </c>
      <c r="G1994" s="188" t="n">
        <v>2</v>
      </c>
      <c r="H1994" s="188" t="inlineStr">
        <is>
          <t>HIGH</t>
        </is>
      </c>
      <c r="I1994" s="188" t="n">
        <v>13</v>
      </c>
      <c r="J1994" s="188" t="inlineStr">
        <is>
          <t>NO</t>
        </is>
      </c>
      <c r="K1994" s="188" t="inlineStr">
        <is>
          <t>https://talosintelligence.com/reputation_center/lookup?search=1.24.16.42</t>
        </is>
      </c>
      <c r="L1994" s="188" t="inlineStr">
        <is>
          <t>2026-02-26 00:15</t>
        </is>
      </c>
      <c r="M1994" s="188" t="inlineStr">
        <is>
          <t>Block IP</t>
        </is>
      </c>
      <c r="N1994" s="188" t="inlineStr">
        <is>
          <t>https://talosintelligence.com/reputation_center/lookup?search=1.24.16.42</t>
        </is>
      </c>
      <c r="O1994" s="188" t="inlineStr">
        <is>
          <t>Block IP 1.24.16.42 at firewall | Cisco Talos confirmed malicious</t>
        </is>
      </c>
      <c r="P1994" s="188" t="inlineStr">
        <is>
          <t>Network perimeter / Email / Web</t>
        </is>
      </c>
      <c r="Q1994" s="188" t="inlineStr">
        <is>
          <t>P3</t>
        </is>
      </c>
      <c r="R1994" s="188" t="inlineStr">
        <is>
          <t>🚫 Block IP at firewall immediately | 🔍 Check logs for existing connections | 🛡️ Add to threat intelligence blocklist</t>
        </is>
      </c>
      <c r="S1994" s="188" t="inlineStr">
        <is>
          <t>Check ip-api.com + AbuseIPDB for context</t>
        </is>
      </c>
      <c r="T1994" s="188" t="n">
        <v>0</v>
      </c>
      <c r="U1994" s="188" t="n">
        <v>0</v>
      </c>
      <c r="V1994" s="188" t="inlineStr">
        <is>
          <t>T1110:Brute Force | T1190:Exploit Public-Facing Application | T1566:Phishing</t>
        </is>
      </c>
      <c r="W1994" s="188" t="n">
        <v>1</v>
      </c>
      <c r="X1994" s="188" t="inlineStr">
        <is>
          <t>MEDIUM (60%)</t>
        </is>
      </c>
      <c r="Y1994" s="188" t="inlineStr">
        <is>
          <t>NONE</t>
        </is>
      </c>
      <c r="Z1994" s="188" t="inlineStr">
        <is>
          <t>NONE</t>
        </is>
      </c>
      <c r="AA1994" s="188" t="inlineStr">
        <is>
          <t>NONE</t>
        </is>
      </c>
      <c r="AB1994" s="188" t="inlineStr">
        <is>
          <t>NONE</t>
        </is>
      </c>
      <c r="AC1994" s="188" t="n">
        <v>0</v>
      </c>
      <c r="AD1994" s="188" t="inlineStr"/>
    </row>
    <row r="1995">
      <c r="A1995" s="188" t="inlineStr">
        <is>
          <t>TALOS_IP</t>
        </is>
      </c>
      <c r="B1995" s="188" t="inlineStr">
        <is>
          <t>5ed2b43f8e62</t>
        </is>
      </c>
      <c r="C1995" s="188" t="inlineStr">
        <is>
          <t>Cisco Talos Blacklisted IP: 1.24.16.45 | Verified malicious | Sources: TALOS</t>
        </is>
      </c>
      <c r="D1995" s="188" t="n">
        <v>7</v>
      </c>
      <c r="E1995" s="188" t="inlineStr">
        <is>
          <t>HIGH</t>
        </is>
      </c>
      <c r="F1995" s="188" t="n">
        <v>3</v>
      </c>
      <c r="G1995" s="188" t="n">
        <v>2</v>
      </c>
      <c r="H1995" s="188" t="inlineStr">
        <is>
          <t>HIGH</t>
        </is>
      </c>
      <c r="I1995" s="188" t="n">
        <v>13</v>
      </c>
      <c r="J1995" s="188" t="inlineStr">
        <is>
          <t>NO</t>
        </is>
      </c>
      <c r="K1995" s="188" t="inlineStr">
        <is>
          <t>https://talosintelligence.com/reputation_center/lookup?search=1.24.16.45</t>
        </is>
      </c>
      <c r="L1995" s="188" t="inlineStr">
        <is>
          <t>2026-02-26 00:15</t>
        </is>
      </c>
      <c r="M1995" s="188" t="inlineStr">
        <is>
          <t>Block IP</t>
        </is>
      </c>
      <c r="N1995" s="188" t="inlineStr">
        <is>
          <t>https://talosintelligence.com/reputation_center/lookup?search=1.24.16.45</t>
        </is>
      </c>
      <c r="O1995" s="188" t="inlineStr">
        <is>
          <t>Block IP 1.24.16.45 at firewall | Cisco Talos confirmed malicious</t>
        </is>
      </c>
      <c r="P1995" s="188" t="inlineStr">
        <is>
          <t>Network perimeter / Email / Web</t>
        </is>
      </c>
      <c r="Q1995" s="188" t="inlineStr">
        <is>
          <t>P3</t>
        </is>
      </c>
      <c r="R1995" s="188" t="inlineStr">
        <is>
          <t>🚫 Block IP at firewall immediately | 🔍 Check logs for existing connections | 🛡️ Add to threat intelligence blocklist</t>
        </is>
      </c>
      <c r="S1995" s="188" t="inlineStr">
        <is>
          <t>Check ip-api.com + AbuseIPDB for context</t>
        </is>
      </c>
      <c r="T1995" s="188" t="n">
        <v>0</v>
      </c>
      <c r="U1995" s="188" t="n">
        <v>0</v>
      </c>
      <c r="V1995" s="188" t="inlineStr">
        <is>
          <t>T1110:Brute Force | T1190:Exploit Public-Facing Application | T1566:Phishing</t>
        </is>
      </c>
      <c r="W1995" s="188" t="n">
        <v>1</v>
      </c>
      <c r="X1995" s="188" t="inlineStr">
        <is>
          <t>MEDIUM (60%)</t>
        </is>
      </c>
      <c r="Y1995" s="188" t="inlineStr">
        <is>
          <t>NONE</t>
        </is>
      </c>
      <c r="Z1995" s="188" t="inlineStr">
        <is>
          <t>NONE</t>
        </is>
      </c>
      <c r="AA1995" s="188" t="inlineStr">
        <is>
          <t>NONE</t>
        </is>
      </c>
      <c r="AB1995" s="188" t="inlineStr">
        <is>
          <t>NONE</t>
        </is>
      </c>
      <c r="AC1995" s="188" t="n">
        <v>0</v>
      </c>
      <c r="AD1995" s="188" t="inlineStr"/>
    </row>
    <row r="1996">
      <c r="A1996" s="188" t="inlineStr">
        <is>
          <t>TALOS_IP</t>
        </is>
      </c>
      <c r="B1996" s="188" t="inlineStr">
        <is>
          <t>47ea4e8f5906</t>
        </is>
      </c>
      <c r="C1996" s="188" t="inlineStr">
        <is>
          <t>Cisco Talos Blacklisted IP: 1.24.16.47 | Verified malicious | Sources: TALOS</t>
        </is>
      </c>
      <c r="D1996" s="188" t="n">
        <v>7</v>
      </c>
      <c r="E1996" s="188" t="inlineStr">
        <is>
          <t>HIGH</t>
        </is>
      </c>
      <c r="F1996" s="188" t="n">
        <v>3</v>
      </c>
      <c r="G1996" s="188" t="n">
        <v>2</v>
      </c>
      <c r="H1996" s="188" t="inlineStr">
        <is>
          <t>HIGH</t>
        </is>
      </c>
      <c r="I1996" s="188" t="n">
        <v>13</v>
      </c>
      <c r="J1996" s="188" t="inlineStr">
        <is>
          <t>NO</t>
        </is>
      </c>
      <c r="K1996" s="188" t="inlineStr">
        <is>
          <t>https://talosintelligence.com/reputation_center/lookup?search=1.24.16.47</t>
        </is>
      </c>
      <c r="L1996" s="188" t="inlineStr">
        <is>
          <t>2026-02-26 00:15</t>
        </is>
      </c>
      <c r="M1996" s="188" t="inlineStr">
        <is>
          <t>Block IP</t>
        </is>
      </c>
      <c r="N1996" s="188" t="inlineStr">
        <is>
          <t>https://talosintelligence.com/reputation_center/lookup?search=1.24.16.47</t>
        </is>
      </c>
      <c r="O1996" s="188" t="inlineStr">
        <is>
          <t>Block IP 1.24.16.47 at firewall | Cisco Talos confirmed malicious</t>
        </is>
      </c>
      <c r="P1996" s="188" t="inlineStr">
        <is>
          <t>Network perimeter / Email / Web</t>
        </is>
      </c>
      <c r="Q1996" s="188" t="inlineStr">
        <is>
          <t>P3</t>
        </is>
      </c>
      <c r="R1996" s="188" t="inlineStr">
        <is>
          <t>🚫 Block IP at firewall immediately | 🔍 Check logs for existing connections | 🛡️ Add to threat intelligence blocklist</t>
        </is>
      </c>
      <c r="S1996" s="188" t="inlineStr">
        <is>
          <t>Check ip-api.com + AbuseIPDB for context</t>
        </is>
      </c>
      <c r="T1996" s="188" t="n">
        <v>0</v>
      </c>
      <c r="U1996" s="188" t="n">
        <v>0</v>
      </c>
      <c r="V1996" s="188" t="inlineStr">
        <is>
          <t>T1110:Brute Force | T1190:Exploit Public-Facing Application | T1566:Phishing</t>
        </is>
      </c>
      <c r="W1996" s="188" t="n">
        <v>1</v>
      </c>
      <c r="X1996" s="188" t="inlineStr">
        <is>
          <t>MEDIUM (60%)</t>
        </is>
      </c>
      <c r="Y1996" s="188" t="inlineStr">
        <is>
          <t>NONE</t>
        </is>
      </c>
      <c r="Z1996" s="188" t="inlineStr">
        <is>
          <t>NONE</t>
        </is>
      </c>
      <c r="AA1996" s="188" t="inlineStr">
        <is>
          <t>NONE</t>
        </is>
      </c>
      <c r="AB1996" s="188" t="inlineStr">
        <is>
          <t>NONE</t>
        </is>
      </c>
      <c r="AC1996" s="188" t="n">
        <v>0</v>
      </c>
      <c r="AD1996" s="188" t="inlineStr"/>
    </row>
    <row r="1997">
      <c r="A1997" s="188" t="inlineStr">
        <is>
          <t>TALOS_IP</t>
        </is>
      </c>
      <c r="B1997" s="188" t="inlineStr">
        <is>
          <t>3c597cf3df38</t>
        </is>
      </c>
      <c r="C1997" s="188" t="inlineStr">
        <is>
          <t>Cisco Talos Blacklisted IP: 1.24.16.54 | Verified malicious | Sources: TALOS</t>
        </is>
      </c>
      <c r="D1997" s="188" t="n">
        <v>7</v>
      </c>
      <c r="E1997" s="188" t="inlineStr">
        <is>
          <t>HIGH</t>
        </is>
      </c>
      <c r="F1997" s="188" t="n">
        <v>3</v>
      </c>
      <c r="G1997" s="188" t="n">
        <v>2</v>
      </c>
      <c r="H1997" s="188" t="inlineStr">
        <is>
          <t>HIGH</t>
        </is>
      </c>
      <c r="I1997" s="188" t="n">
        <v>13</v>
      </c>
      <c r="J1997" s="188" t="inlineStr">
        <is>
          <t>NO</t>
        </is>
      </c>
      <c r="K1997" s="188" t="inlineStr">
        <is>
          <t>https://talosintelligence.com/reputation_center/lookup?search=1.24.16.54</t>
        </is>
      </c>
      <c r="L1997" s="188" t="inlineStr">
        <is>
          <t>2026-02-26 00:15</t>
        </is>
      </c>
      <c r="M1997" s="188" t="inlineStr">
        <is>
          <t>Block IP</t>
        </is>
      </c>
      <c r="N1997" s="188" t="inlineStr">
        <is>
          <t>https://talosintelligence.com/reputation_center/lookup?search=1.24.16.54</t>
        </is>
      </c>
      <c r="O1997" s="188" t="inlineStr">
        <is>
          <t>Block IP 1.24.16.54 at firewall | Cisco Talos confirmed malicious</t>
        </is>
      </c>
      <c r="P1997" s="188" t="inlineStr">
        <is>
          <t>Network perimeter / Email / Web</t>
        </is>
      </c>
      <c r="Q1997" s="188" t="inlineStr">
        <is>
          <t>P3</t>
        </is>
      </c>
      <c r="R1997" s="188" t="inlineStr">
        <is>
          <t>🚫 Block IP at firewall immediately | 🔍 Check logs for existing connections | 🛡️ Add to threat intelligence blocklist</t>
        </is>
      </c>
      <c r="S1997" s="188" t="inlineStr">
        <is>
          <t>Check ip-api.com + AbuseIPDB for context</t>
        </is>
      </c>
      <c r="T1997" s="188" t="n">
        <v>0</v>
      </c>
      <c r="U1997" s="188" t="n">
        <v>0</v>
      </c>
      <c r="V1997" s="188" t="inlineStr">
        <is>
          <t>T1110:Brute Force | T1190:Exploit Public-Facing Application | T1566:Phishing</t>
        </is>
      </c>
      <c r="W1997" s="188" t="n">
        <v>1</v>
      </c>
      <c r="X1997" s="188" t="inlineStr">
        <is>
          <t>MEDIUM (60%)</t>
        </is>
      </c>
      <c r="Y1997" s="188" t="inlineStr">
        <is>
          <t>NONE</t>
        </is>
      </c>
      <c r="Z1997" s="188" t="inlineStr">
        <is>
          <t>NONE</t>
        </is>
      </c>
      <c r="AA1997" s="188" t="inlineStr">
        <is>
          <t>NONE</t>
        </is>
      </c>
      <c r="AB1997" s="188" t="inlineStr">
        <is>
          <t>NONE</t>
        </is>
      </c>
      <c r="AC1997" s="188" t="n">
        <v>0</v>
      </c>
      <c r="AD1997" s="188" t="inlineStr"/>
    </row>
    <row r="1998">
      <c r="A1998" s="188" t="inlineStr">
        <is>
          <t>TALOS_IP</t>
        </is>
      </c>
      <c r="B1998" s="188" t="inlineStr">
        <is>
          <t>71b182573a6e</t>
        </is>
      </c>
      <c r="C1998" s="188" t="inlineStr">
        <is>
          <t>Cisco Talos Blacklisted IP: 1.24.16.55 | Verified malicious | Sources: TALOS</t>
        </is>
      </c>
      <c r="D1998" s="188" t="n">
        <v>7</v>
      </c>
      <c r="E1998" s="188" t="inlineStr">
        <is>
          <t>HIGH</t>
        </is>
      </c>
      <c r="F1998" s="188" t="n">
        <v>3</v>
      </c>
      <c r="G1998" s="188" t="n">
        <v>2</v>
      </c>
      <c r="H1998" s="188" t="inlineStr">
        <is>
          <t>HIGH</t>
        </is>
      </c>
      <c r="I1998" s="188" t="n">
        <v>13</v>
      </c>
      <c r="J1998" s="188" t="inlineStr">
        <is>
          <t>NO</t>
        </is>
      </c>
      <c r="K1998" s="188" t="inlineStr">
        <is>
          <t>https://talosintelligence.com/reputation_center/lookup?search=1.24.16.55</t>
        </is>
      </c>
      <c r="L1998" s="188" t="inlineStr">
        <is>
          <t>2026-02-26 00:15</t>
        </is>
      </c>
      <c r="M1998" s="188" t="inlineStr">
        <is>
          <t>Block IP</t>
        </is>
      </c>
      <c r="N1998" s="188" t="inlineStr">
        <is>
          <t>https://talosintelligence.com/reputation_center/lookup?search=1.24.16.55</t>
        </is>
      </c>
      <c r="O1998" s="188" t="inlineStr">
        <is>
          <t>Block IP 1.24.16.55 at firewall | Cisco Talos confirmed malicious</t>
        </is>
      </c>
      <c r="P1998" s="188" t="inlineStr">
        <is>
          <t>Network perimeter / Email / Web</t>
        </is>
      </c>
      <c r="Q1998" s="188" t="inlineStr">
        <is>
          <t>P3</t>
        </is>
      </c>
      <c r="R1998" s="188" t="inlineStr">
        <is>
          <t>🚫 Block IP at firewall immediately | 🔍 Check logs for existing connections | 🛡️ Add to threat intelligence blocklist</t>
        </is>
      </c>
      <c r="S1998" s="188" t="inlineStr">
        <is>
          <t>Check ip-api.com + AbuseIPDB for context</t>
        </is>
      </c>
      <c r="T1998" s="188" t="n">
        <v>0</v>
      </c>
      <c r="U1998" s="188" t="n">
        <v>0</v>
      </c>
      <c r="V1998" s="188" t="inlineStr">
        <is>
          <t>T1110:Brute Force | T1190:Exploit Public-Facing Application | T1566:Phishing</t>
        </is>
      </c>
      <c r="W1998" s="188" t="n">
        <v>1</v>
      </c>
      <c r="X1998" s="188" t="inlineStr">
        <is>
          <t>MEDIUM (60%)</t>
        </is>
      </c>
      <c r="Y1998" s="188" t="inlineStr">
        <is>
          <t>NONE</t>
        </is>
      </c>
      <c r="Z1998" s="188" t="inlineStr">
        <is>
          <t>NONE</t>
        </is>
      </c>
      <c r="AA1998" s="188" t="inlineStr">
        <is>
          <t>NONE</t>
        </is>
      </c>
      <c r="AB1998" s="188" t="inlineStr">
        <is>
          <t>NONE</t>
        </is>
      </c>
      <c r="AC1998" s="188" t="n">
        <v>0</v>
      </c>
      <c r="AD1998" s="188" t="inlineStr"/>
    </row>
    <row r="1999">
      <c r="A1999" s="188" t="inlineStr">
        <is>
          <t>TALOS_IP</t>
        </is>
      </c>
      <c r="B1999" s="188" t="inlineStr">
        <is>
          <t>f8d37b2e81c8</t>
        </is>
      </c>
      <c r="C1999" s="188" t="inlineStr">
        <is>
          <t>Cisco Talos Blacklisted IP: 1.24.16.58 | Verified malicious | Sources: TALOS</t>
        </is>
      </c>
      <c r="D1999" s="188" t="n">
        <v>7</v>
      </c>
      <c r="E1999" s="188" t="inlineStr">
        <is>
          <t>HIGH</t>
        </is>
      </c>
      <c r="F1999" s="188" t="n">
        <v>3</v>
      </c>
      <c r="G1999" s="188" t="n">
        <v>2</v>
      </c>
      <c r="H1999" s="188" t="inlineStr">
        <is>
          <t>HIGH</t>
        </is>
      </c>
      <c r="I1999" s="188" t="n">
        <v>13</v>
      </c>
      <c r="J1999" s="188" t="inlineStr">
        <is>
          <t>NO</t>
        </is>
      </c>
      <c r="K1999" s="188" t="inlineStr">
        <is>
          <t>https://talosintelligence.com/reputation_center/lookup?search=1.24.16.58</t>
        </is>
      </c>
      <c r="L1999" s="188" t="inlineStr">
        <is>
          <t>2026-02-26 00:15</t>
        </is>
      </c>
      <c r="M1999" s="188" t="inlineStr">
        <is>
          <t>Block IP</t>
        </is>
      </c>
      <c r="N1999" s="188" t="inlineStr">
        <is>
          <t>https://talosintelligence.com/reputation_center/lookup?search=1.24.16.58</t>
        </is>
      </c>
      <c r="O1999" s="188" t="inlineStr">
        <is>
          <t>Block IP 1.24.16.58 at firewall | Cisco Talos confirmed malicious</t>
        </is>
      </c>
      <c r="P1999" s="188" t="inlineStr">
        <is>
          <t>Network perimeter / Email / Web</t>
        </is>
      </c>
      <c r="Q1999" s="188" t="inlineStr">
        <is>
          <t>P3</t>
        </is>
      </c>
      <c r="R1999" s="188" t="inlineStr">
        <is>
          <t>🚫 Block IP at firewall immediately | 🔍 Check logs for existing connections | 🛡️ Add to threat intelligence blocklist</t>
        </is>
      </c>
      <c r="S1999" s="188" t="inlineStr">
        <is>
          <t>Check ip-api.com + AbuseIPDB for context</t>
        </is>
      </c>
      <c r="T1999" s="188" t="n">
        <v>0</v>
      </c>
      <c r="U1999" s="188" t="n">
        <v>0</v>
      </c>
      <c r="V1999" s="188" t="inlineStr">
        <is>
          <t>T1110:Brute Force | T1190:Exploit Public-Facing Application | T1566:Phishing</t>
        </is>
      </c>
      <c r="W1999" s="188" t="n">
        <v>1</v>
      </c>
      <c r="X1999" s="188" t="inlineStr">
        <is>
          <t>MEDIUM (60%)</t>
        </is>
      </c>
      <c r="Y1999" s="188" t="inlineStr">
        <is>
          <t>NONE</t>
        </is>
      </c>
      <c r="Z1999" s="188" t="inlineStr">
        <is>
          <t>NONE</t>
        </is>
      </c>
      <c r="AA1999" s="188" t="inlineStr">
        <is>
          <t>NONE</t>
        </is>
      </c>
      <c r="AB1999" s="188" t="inlineStr">
        <is>
          <t>NONE</t>
        </is>
      </c>
      <c r="AC1999" s="188" t="n">
        <v>0</v>
      </c>
      <c r="AD1999" s="188" t="inlineStr"/>
    </row>
    <row r="2000">
      <c r="A2000" s="188" t="inlineStr">
        <is>
          <t>TALOS_IP</t>
        </is>
      </c>
      <c r="B2000" s="188" t="inlineStr">
        <is>
          <t>5bbdb599e6ae</t>
        </is>
      </c>
      <c r="C2000" s="188" t="inlineStr">
        <is>
          <t>Cisco Talos Blacklisted IP: 1.24.16.59 | Verified malicious | Sources: TALOS</t>
        </is>
      </c>
      <c r="D2000" s="188" t="n">
        <v>7</v>
      </c>
      <c r="E2000" s="188" t="inlineStr">
        <is>
          <t>HIGH</t>
        </is>
      </c>
      <c r="F2000" s="188" t="n">
        <v>3</v>
      </c>
      <c r="G2000" s="188" t="n">
        <v>2</v>
      </c>
      <c r="H2000" s="188" t="inlineStr">
        <is>
          <t>HIGH</t>
        </is>
      </c>
      <c r="I2000" s="188" t="n">
        <v>13</v>
      </c>
      <c r="J2000" s="188" t="inlineStr">
        <is>
          <t>NO</t>
        </is>
      </c>
      <c r="K2000" s="188" t="inlineStr">
        <is>
          <t>https://talosintelligence.com/reputation_center/lookup?search=1.24.16.59</t>
        </is>
      </c>
      <c r="L2000" s="188" t="inlineStr">
        <is>
          <t>2026-02-26 00:15</t>
        </is>
      </c>
      <c r="M2000" s="188" t="inlineStr">
        <is>
          <t>Block IP</t>
        </is>
      </c>
      <c r="N2000" s="188" t="inlineStr">
        <is>
          <t>https://talosintelligence.com/reputation_center/lookup?search=1.24.16.59</t>
        </is>
      </c>
      <c r="O2000" s="188" t="inlineStr">
        <is>
          <t>Block IP 1.24.16.59 at firewall | Cisco Talos confirmed malicious</t>
        </is>
      </c>
      <c r="P2000" s="188" t="inlineStr">
        <is>
          <t>Network perimeter / Email / Web</t>
        </is>
      </c>
      <c r="Q2000" s="188" t="inlineStr">
        <is>
          <t>P3</t>
        </is>
      </c>
      <c r="R2000" s="188" t="inlineStr">
        <is>
          <t>🚫 Block IP at firewall immediately | 🔍 Check logs for existing connections | 🛡️ Add to threat intelligence blocklist</t>
        </is>
      </c>
      <c r="S2000" s="188" t="inlineStr">
        <is>
          <t>Check ip-api.com + AbuseIPDB for context</t>
        </is>
      </c>
      <c r="T2000" s="188" t="n">
        <v>0</v>
      </c>
      <c r="U2000" s="188" t="n">
        <v>0</v>
      </c>
      <c r="V2000" s="188" t="inlineStr">
        <is>
          <t>T1110:Brute Force | T1190:Exploit Public-Facing Application | T1566:Phishing</t>
        </is>
      </c>
      <c r="W2000" s="188" t="n">
        <v>1</v>
      </c>
      <c r="X2000" s="188" t="inlineStr">
        <is>
          <t>MEDIUM (60%)</t>
        </is>
      </c>
      <c r="Y2000" s="188" t="inlineStr">
        <is>
          <t>NONE</t>
        </is>
      </c>
      <c r="Z2000" s="188" t="inlineStr">
        <is>
          <t>NONE</t>
        </is>
      </c>
      <c r="AA2000" s="188" t="inlineStr">
        <is>
          <t>NONE</t>
        </is>
      </c>
      <c r="AB2000" s="188" t="inlineStr">
        <is>
          <t>NONE</t>
        </is>
      </c>
      <c r="AC2000" s="188" t="n">
        <v>0</v>
      </c>
      <c r="AD2000" s="188" t="inlineStr"/>
    </row>
    <row r="2001">
      <c r="A2001" s="188" t="inlineStr">
        <is>
          <t>TALOS_IP</t>
        </is>
      </c>
      <c r="B2001" s="188" t="inlineStr">
        <is>
          <t>e67a7705152f</t>
        </is>
      </c>
      <c r="C2001" s="188" t="inlineStr">
        <is>
          <t>Cisco Talos Blacklisted IP: 1.24.16.61 | Verified malicious | Sources: TALOS</t>
        </is>
      </c>
      <c r="D2001" s="188" t="n">
        <v>7</v>
      </c>
      <c r="E2001" s="188" t="inlineStr">
        <is>
          <t>HIGH</t>
        </is>
      </c>
      <c r="F2001" s="188" t="n">
        <v>3</v>
      </c>
      <c r="G2001" s="188" t="n">
        <v>2</v>
      </c>
      <c r="H2001" s="188" t="inlineStr">
        <is>
          <t>HIGH</t>
        </is>
      </c>
      <c r="I2001" s="188" t="n">
        <v>13</v>
      </c>
      <c r="J2001" s="188" t="inlineStr">
        <is>
          <t>NO</t>
        </is>
      </c>
      <c r="K2001" s="188" t="inlineStr">
        <is>
          <t>https://talosintelligence.com/reputation_center/lookup?search=1.24.16.61</t>
        </is>
      </c>
      <c r="L2001" s="188" t="inlineStr">
        <is>
          <t>2026-02-26 00:15</t>
        </is>
      </c>
      <c r="M2001" s="188" t="inlineStr">
        <is>
          <t>Block IP</t>
        </is>
      </c>
      <c r="N2001" s="188" t="inlineStr">
        <is>
          <t>https://talosintelligence.com/reputation_center/lookup?search=1.24.16.61</t>
        </is>
      </c>
      <c r="O2001" s="188" t="inlineStr">
        <is>
          <t>Block IP 1.24.16.61 at firewall | Cisco Talos confirmed malicious</t>
        </is>
      </c>
      <c r="P2001" s="188" t="inlineStr">
        <is>
          <t>Network perimeter / Email / Web</t>
        </is>
      </c>
      <c r="Q2001" s="188" t="inlineStr">
        <is>
          <t>P3</t>
        </is>
      </c>
      <c r="R2001" s="188" t="inlineStr">
        <is>
          <t>🚫 Block IP at firewall immediately | 🔍 Check logs for existing connections | 🛡️ Add to threat intelligence blocklist</t>
        </is>
      </c>
      <c r="S2001" s="188" t="inlineStr">
        <is>
          <t>Check ip-api.com + AbuseIPDB for context</t>
        </is>
      </c>
      <c r="T2001" s="188" t="n">
        <v>0</v>
      </c>
      <c r="U2001" s="188" t="n">
        <v>0</v>
      </c>
      <c r="V2001" s="188" t="inlineStr">
        <is>
          <t>T1110:Brute Force | T1190:Exploit Public-Facing Application | T1566:Phishing</t>
        </is>
      </c>
      <c r="W2001" s="188" t="n">
        <v>1</v>
      </c>
      <c r="X2001" s="188" t="inlineStr">
        <is>
          <t>MEDIUM (60%)</t>
        </is>
      </c>
      <c r="Y2001" s="188" t="inlineStr">
        <is>
          <t>NONE</t>
        </is>
      </c>
      <c r="Z2001" s="188" t="inlineStr">
        <is>
          <t>NONE</t>
        </is>
      </c>
      <c r="AA2001" s="188" t="inlineStr">
        <is>
          <t>NONE</t>
        </is>
      </c>
      <c r="AB2001" s="188" t="inlineStr">
        <is>
          <t>NONE</t>
        </is>
      </c>
      <c r="AC2001" s="188" t="n">
        <v>0</v>
      </c>
      <c r="AD2001" s="188" t="inlineStr"/>
    </row>
    <row r="2002">
      <c r="A2002" s="188" t="inlineStr">
        <is>
          <t>TALOS_IP</t>
        </is>
      </c>
      <c r="B2002" s="188" t="inlineStr">
        <is>
          <t>5620e8aa7008</t>
        </is>
      </c>
      <c r="C2002" s="188" t="inlineStr">
        <is>
          <t>Cisco Talos Blacklisted IP: 1.24.16.63 | Verified malicious | Sources: TALOS</t>
        </is>
      </c>
      <c r="D2002" s="188" t="n">
        <v>7</v>
      </c>
      <c r="E2002" s="188" t="inlineStr">
        <is>
          <t>HIGH</t>
        </is>
      </c>
      <c r="F2002" s="188" t="n">
        <v>3</v>
      </c>
      <c r="G2002" s="188" t="n">
        <v>2</v>
      </c>
      <c r="H2002" s="188" t="inlineStr">
        <is>
          <t>HIGH</t>
        </is>
      </c>
      <c r="I2002" s="188" t="n">
        <v>13</v>
      </c>
      <c r="J2002" s="188" t="inlineStr">
        <is>
          <t>NO</t>
        </is>
      </c>
      <c r="K2002" s="188" t="inlineStr">
        <is>
          <t>https://talosintelligence.com/reputation_center/lookup?search=1.24.16.63</t>
        </is>
      </c>
      <c r="L2002" s="188" t="inlineStr">
        <is>
          <t>2026-02-26 00:15</t>
        </is>
      </c>
      <c r="M2002" s="188" t="inlineStr">
        <is>
          <t>Block IP</t>
        </is>
      </c>
      <c r="N2002" s="188" t="inlineStr">
        <is>
          <t>https://talosintelligence.com/reputation_center/lookup?search=1.24.16.63</t>
        </is>
      </c>
      <c r="O2002" s="188" t="inlineStr">
        <is>
          <t>Block IP 1.24.16.63 at firewall | Cisco Talos confirmed malicious</t>
        </is>
      </c>
      <c r="P2002" s="188" t="inlineStr">
        <is>
          <t>Network perimeter / Email / Web</t>
        </is>
      </c>
      <c r="Q2002" s="188" t="inlineStr">
        <is>
          <t>P3</t>
        </is>
      </c>
      <c r="R2002" s="188" t="inlineStr">
        <is>
          <t>🚫 Block IP at firewall immediately | 🔍 Check logs for existing connections | 🛡️ Add to threat intelligence blocklist</t>
        </is>
      </c>
      <c r="S2002" s="188" t="inlineStr">
        <is>
          <t>Check ip-api.com + AbuseIPDB for context</t>
        </is>
      </c>
      <c r="T2002" s="188" t="n">
        <v>0</v>
      </c>
      <c r="U2002" s="188" t="n">
        <v>0</v>
      </c>
      <c r="V2002" s="188" t="inlineStr">
        <is>
          <t>T1110:Brute Force | T1190:Exploit Public-Facing Application | T1566:Phishing</t>
        </is>
      </c>
      <c r="W2002" s="188" t="n">
        <v>1</v>
      </c>
      <c r="X2002" s="188" t="inlineStr">
        <is>
          <t>MEDIUM (60%)</t>
        </is>
      </c>
      <c r="Y2002" s="188" t="inlineStr">
        <is>
          <t>NONE</t>
        </is>
      </c>
      <c r="Z2002" s="188" t="inlineStr">
        <is>
          <t>NONE</t>
        </is>
      </c>
      <c r="AA2002" s="188" t="inlineStr">
        <is>
          <t>NONE</t>
        </is>
      </c>
      <c r="AB2002" s="188" t="inlineStr">
        <is>
          <t>NONE</t>
        </is>
      </c>
      <c r="AC2002" s="188" t="n">
        <v>0</v>
      </c>
      <c r="AD2002" s="188" t="inlineStr"/>
    </row>
    <row r="2003">
      <c r="A2003" s="188" t="inlineStr">
        <is>
          <t>TALOS_IP</t>
        </is>
      </c>
      <c r="B2003" s="188" t="inlineStr">
        <is>
          <t>0c9b77fa8b75</t>
        </is>
      </c>
      <c r="C2003" s="188" t="inlineStr">
        <is>
          <t>Cisco Talos Blacklisted IP: 1.24.16.66 | Verified malicious | Sources: TALOS</t>
        </is>
      </c>
      <c r="D2003" s="188" t="n">
        <v>7</v>
      </c>
      <c r="E2003" s="188" t="inlineStr">
        <is>
          <t>HIGH</t>
        </is>
      </c>
      <c r="F2003" s="188" t="n">
        <v>3</v>
      </c>
      <c r="G2003" s="188" t="n">
        <v>2</v>
      </c>
      <c r="H2003" s="188" t="inlineStr">
        <is>
          <t>HIGH</t>
        </is>
      </c>
      <c r="I2003" s="188" t="n">
        <v>13</v>
      </c>
      <c r="J2003" s="188" t="inlineStr">
        <is>
          <t>NO</t>
        </is>
      </c>
      <c r="K2003" s="188" t="inlineStr">
        <is>
          <t>https://talosintelligence.com/reputation_center/lookup?search=1.24.16.66</t>
        </is>
      </c>
      <c r="L2003" s="188" t="inlineStr">
        <is>
          <t>2026-02-26 00:15</t>
        </is>
      </c>
      <c r="M2003" s="188" t="inlineStr">
        <is>
          <t>Block IP</t>
        </is>
      </c>
      <c r="N2003" s="188" t="inlineStr">
        <is>
          <t>https://talosintelligence.com/reputation_center/lookup?search=1.24.16.66</t>
        </is>
      </c>
      <c r="O2003" s="188" t="inlineStr">
        <is>
          <t>Block IP 1.24.16.66 at firewall | Cisco Talos confirmed malicious</t>
        </is>
      </c>
      <c r="P2003" s="188" t="inlineStr">
        <is>
          <t>Network perimeter / Email / Web</t>
        </is>
      </c>
      <c r="Q2003" s="188" t="inlineStr">
        <is>
          <t>P3</t>
        </is>
      </c>
      <c r="R2003" s="188" t="inlineStr">
        <is>
          <t>🚫 Block IP at firewall immediately | 🔍 Check logs for existing connections | 🛡️ Add to threat intelligence blocklist</t>
        </is>
      </c>
      <c r="S2003" s="188" t="inlineStr">
        <is>
          <t>Check ip-api.com + AbuseIPDB for context</t>
        </is>
      </c>
      <c r="T2003" s="188" t="n">
        <v>0</v>
      </c>
      <c r="U2003" s="188" t="n">
        <v>0</v>
      </c>
      <c r="V2003" s="188" t="inlineStr">
        <is>
          <t>T1110:Brute Force | T1190:Exploit Public-Facing Application | T1566:Phishing</t>
        </is>
      </c>
      <c r="W2003" s="188" t="n">
        <v>1</v>
      </c>
      <c r="X2003" s="188" t="inlineStr">
        <is>
          <t>MEDIUM (60%)</t>
        </is>
      </c>
      <c r="Y2003" s="188" t="inlineStr">
        <is>
          <t>NONE</t>
        </is>
      </c>
      <c r="Z2003" s="188" t="inlineStr">
        <is>
          <t>NONE</t>
        </is>
      </c>
      <c r="AA2003" s="188" t="inlineStr">
        <is>
          <t>NONE</t>
        </is>
      </c>
      <c r="AB2003" s="188" t="inlineStr">
        <is>
          <t>NONE</t>
        </is>
      </c>
      <c r="AC2003" s="188" t="n">
        <v>0</v>
      </c>
      <c r="AD2003" s="188" t="inlineStr"/>
    </row>
    <row r="2004">
      <c r="A2004" s="188" t="inlineStr">
        <is>
          <t>TALOS_IP</t>
        </is>
      </c>
      <c r="B2004" s="188" t="inlineStr">
        <is>
          <t>6a936e986f9e</t>
        </is>
      </c>
      <c r="C2004" s="188" t="inlineStr">
        <is>
          <t>Cisco Talos Blacklisted IP: 1.24.16.71 | Verified malicious | Sources: TALOS</t>
        </is>
      </c>
      <c r="D2004" s="188" t="n">
        <v>7</v>
      </c>
      <c r="E2004" s="188" t="inlineStr">
        <is>
          <t>HIGH</t>
        </is>
      </c>
      <c r="F2004" s="188" t="n">
        <v>3</v>
      </c>
      <c r="G2004" s="188" t="n">
        <v>2</v>
      </c>
      <c r="H2004" s="188" t="inlineStr">
        <is>
          <t>HIGH</t>
        </is>
      </c>
      <c r="I2004" s="188" t="n">
        <v>13</v>
      </c>
      <c r="J2004" s="188" t="inlineStr">
        <is>
          <t>NO</t>
        </is>
      </c>
      <c r="K2004" s="188" t="inlineStr">
        <is>
          <t>https://talosintelligence.com/reputation_center/lookup?search=1.24.16.71</t>
        </is>
      </c>
      <c r="L2004" s="188" t="inlineStr">
        <is>
          <t>2026-02-26 00:15</t>
        </is>
      </c>
      <c r="M2004" s="188" t="inlineStr">
        <is>
          <t>Block IP</t>
        </is>
      </c>
      <c r="N2004" s="188" t="inlineStr">
        <is>
          <t>https://talosintelligence.com/reputation_center/lookup?search=1.24.16.71</t>
        </is>
      </c>
      <c r="O2004" s="188" t="inlineStr">
        <is>
          <t>Block IP 1.24.16.71 at firewall | Cisco Talos confirmed malicious</t>
        </is>
      </c>
      <c r="P2004" s="188" t="inlineStr">
        <is>
          <t>Network perimeter / Email / Web</t>
        </is>
      </c>
      <c r="Q2004" s="188" t="inlineStr">
        <is>
          <t>P3</t>
        </is>
      </c>
      <c r="R2004" s="188" t="inlineStr">
        <is>
          <t>🚫 Block IP at firewall immediately | 🔍 Check logs for existing connections | 🛡️ Add to threat intelligence blocklist</t>
        </is>
      </c>
      <c r="S2004" s="188" t="inlineStr">
        <is>
          <t>Check ip-api.com + AbuseIPDB for context</t>
        </is>
      </c>
      <c r="T2004" s="188" t="n">
        <v>0</v>
      </c>
      <c r="U2004" s="188" t="n">
        <v>0</v>
      </c>
      <c r="V2004" s="188" t="inlineStr">
        <is>
          <t>T1110:Brute Force | T1190:Exploit Public-Facing Application | T1566:Phishing</t>
        </is>
      </c>
      <c r="W2004" s="188" t="n">
        <v>1</v>
      </c>
      <c r="X2004" s="188" t="inlineStr">
        <is>
          <t>MEDIUM (60%)</t>
        </is>
      </c>
      <c r="Y2004" s="188" t="inlineStr">
        <is>
          <t>NONE</t>
        </is>
      </c>
      <c r="Z2004" s="188" t="inlineStr">
        <is>
          <t>NONE</t>
        </is>
      </c>
      <c r="AA2004" s="188" t="inlineStr">
        <is>
          <t>NONE</t>
        </is>
      </c>
      <c r="AB2004" s="188" t="inlineStr">
        <is>
          <t>NONE</t>
        </is>
      </c>
      <c r="AC2004" s="188" t="n">
        <v>0</v>
      </c>
      <c r="AD2004" s="188" t="inlineStr"/>
    </row>
    <row r="2005">
      <c r="A2005" s="188" t="inlineStr">
        <is>
          <t>TALOS_IP</t>
        </is>
      </c>
      <c r="B2005" s="188" t="inlineStr">
        <is>
          <t>fb8f913d77ff</t>
        </is>
      </c>
      <c r="C2005" s="188" t="inlineStr">
        <is>
          <t>Cisco Talos Blacklisted IP: 1.24.16.75 | Verified malicious | Sources: TALOS</t>
        </is>
      </c>
      <c r="D2005" s="188" t="n">
        <v>7</v>
      </c>
      <c r="E2005" s="188" t="inlineStr">
        <is>
          <t>HIGH</t>
        </is>
      </c>
      <c r="F2005" s="188" t="n">
        <v>3</v>
      </c>
      <c r="G2005" s="188" t="n">
        <v>2</v>
      </c>
      <c r="H2005" s="188" t="inlineStr">
        <is>
          <t>HIGH</t>
        </is>
      </c>
      <c r="I2005" s="188" t="n">
        <v>13</v>
      </c>
      <c r="J2005" s="188" t="inlineStr">
        <is>
          <t>NO</t>
        </is>
      </c>
      <c r="K2005" s="188" t="inlineStr">
        <is>
          <t>https://talosintelligence.com/reputation_center/lookup?search=1.24.16.75</t>
        </is>
      </c>
      <c r="L2005" s="188" t="inlineStr">
        <is>
          <t>2026-02-26 00:15</t>
        </is>
      </c>
      <c r="M2005" s="188" t="inlineStr">
        <is>
          <t>Block IP</t>
        </is>
      </c>
      <c r="N2005" s="188" t="inlineStr">
        <is>
          <t>https://talosintelligence.com/reputation_center/lookup?search=1.24.16.75</t>
        </is>
      </c>
      <c r="O2005" s="188" t="inlineStr">
        <is>
          <t>Block IP 1.24.16.75 at firewall | Cisco Talos confirmed malicious</t>
        </is>
      </c>
      <c r="P2005" s="188" t="inlineStr">
        <is>
          <t>Network perimeter / Email / Web</t>
        </is>
      </c>
      <c r="Q2005" s="188" t="inlineStr">
        <is>
          <t>P3</t>
        </is>
      </c>
      <c r="R2005" s="188" t="inlineStr">
        <is>
          <t>🚫 Block IP at firewall immediately | 🔍 Check logs for existing connections | 🛡️ Add to threat intelligence blocklist</t>
        </is>
      </c>
      <c r="S2005" s="188" t="inlineStr">
        <is>
          <t>Check ip-api.com + AbuseIPDB for context</t>
        </is>
      </c>
      <c r="T2005" s="188" t="n">
        <v>0</v>
      </c>
      <c r="U2005" s="188" t="n">
        <v>0</v>
      </c>
      <c r="V2005" s="188" t="inlineStr">
        <is>
          <t>T1110:Brute Force | T1190:Exploit Public-Facing Application | T1566:Phishing</t>
        </is>
      </c>
      <c r="W2005" s="188" t="n">
        <v>1</v>
      </c>
      <c r="X2005" s="188" t="inlineStr">
        <is>
          <t>MEDIUM (60%)</t>
        </is>
      </c>
      <c r="Y2005" s="188" t="inlineStr">
        <is>
          <t>NONE</t>
        </is>
      </c>
      <c r="Z2005" s="188" t="inlineStr">
        <is>
          <t>NONE</t>
        </is>
      </c>
      <c r="AA2005" s="188" t="inlineStr">
        <is>
          <t>NONE</t>
        </is>
      </c>
      <c r="AB2005" s="188" t="inlineStr">
        <is>
          <t>NONE</t>
        </is>
      </c>
      <c r="AC2005" s="188" t="n">
        <v>0</v>
      </c>
      <c r="AD2005" s="188" t="inlineStr"/>
    </row>
    <row r="2006">
      <c r="A2006" s="188" t="inlineStr">
        <is>
          <t>TALOS_IP</t>
        </is>
      </c>
      <c r="B2006" s="188" t="inlineStr">
        <is>
          <t>a4199695ff2e</t>
        </is>
      </c>
      <c r="C2006" s="188" t="inlineStr">
        <is>
          <t>Cisco Talos Blacklisted IP: 1.24.16.77 | Verified malicious | Sources: TALOS</t>
        </is>
      </c>
      <c r="D2006" s="188" t="n">
        <v>7</v>
      </c>
      <c r="E2006" s="188" t="inlineStr">
        <is>
          <t>HIGH</t>
        </is>
      </c>
      <c r="F2006" s="188" t="n">
        <v>3</v>
      </c>
      <c r="G2006" s="188" t="n">
        <v>2</v>
      </c>
      <c r="H2006" s="188" t="inlineStr">
        <is>
          <t>HIGH</t>
        </is>
      </c>
      <c r="I2006" s="188" t="n">
        <v>13</v>
      </c>
      <c r="J2006" s="188" t="inlineStr">
        <is>
          <t>NO</t>
        </is>
      </c>
      <c r="K2006" s="188" t="inlineStr">
        <is>
          <t>https://talosintelligence.com/reputation_center/lookup?search=1.24.16.77</t>
        </is>
      </c>
      <c r="L2006" s="188" t="inlineStr">
        <is>
          <t>2026-02-26 00:15</t>
        </is>
      </c>
      <c r="M2006" s="188" t="inlineStr">
        <is>
          <t>Block IP</t>
        </is>
      </c>
      <c r="N2006" s="188" t="inlineStr">
        <is>
          <t>https://talosintelligence.com/reputation_center/lookup?search=1.24.16.77</t>
        </is>
      </c>
      <c r="O2006" s="188" t="inlineStr">
        <is>
          <t>Block IP 1.24.16.77 at firewall | Cisco Talos confirmed malicious</t>
        </is>
      </c>
      <c r="P2006" s="188" t="inlineStr">
        <is>
          <t>Network perimeter / Email / Web</t>
        </is>
      </c>
      <c r="Q2006" s="188" t="inlineStr">
        <is>
          <t>P3</t>
        </is>
      </c>
      <c r="R2006" s="188" t="inlineStr">
        <is>
          <t>🚫 Block IP at firewall immediately | 🔍 Check logs for existing connections | 🛡️ Add to threat intelligence blocklist</t>
        </is>
      </c>
      <c r="S2006" s="188" t="inlineStr">
        <is>
          <t>Check ip-api.com + AbuseIPDB for context</t>
        </is>
      </c>
      <c r="T2006" s="188" t="n">
        <v>0</v>
      </c>
      <c r="U2006" s="188" t="n">
        <v>0</v>
      </c>
      <c r="V2006" s="188" t="inlineStr">
        <is>
          <t>T1110:Brute Force | T1190:Exploit Public-Facing Application | T1566:Phishing</t>
        </is>
      </c>
      <c r="W2006" s="188" t="n">
        <v>1</v>
      </c>
      <c r="X2006" s="188" t="inlineStr">
        <is>
          <t>MEDIUM (60%)</t>
        </is>
      </c>
      <c r="Y2006" s="188" t="inlineStr">
        <is>
          <t>NONE</t>
        </is>
      </c>
      <c r="Z2006" s="188" t="inlineStr">
        <is>
          <t>NONE</t>
        </is>
      </c>
      <c r="AA2006" s="188" t="inlineStr">
        <is>
          <t>NONE</t>
        </is>
      </c>
      <c r="AB2006" s="188" t="inlineStr">
        <is>
          <t>NONE</t>
        </is>
      </c>
      <c r="AC2006" s="188" t="n">
        <v>0</v>
      </c>
      <c r="AD2006" s="188" t="inlineStr"/>
    </row>
    <row r="2007">
      <c r="A2007" s="188" t="inlineStr">
        <is>
          <t>TALOS_IP</t>
        </is>
      </c>
      <c r="B2007" s="188" t="inlineStr">
        <is>
          <t>789cef1cf16d</t>
        </is>
      </c>
      <c r="C2007" s="188" t="inlineStr">
        <is>
          <t>Cisco Talos Blacklisted IP: 1.24.16.8 | Verified malicious | Sources: TALOS</t>
        </is>
      </c>
      <c r="D2007" s="188" t="n">
        <v>7</v>
      </c>
      <c r="E2007" s="188" t="inlineStr">
        <is>
          <t>HIGH</t>
        </is>
      </c>
      <c r="F2007" s="188" t="n">
        <v>3</v>
      </c>
      <c r="G2007" s="188" t="n">
        <v>2</v>
      </c>
      <c r="H2007" s="188" t="inlineStr">
        <is>
          <t>HIGH</t>
        </is>
      </c>
      <c r="I2007" s="188" t="n">
        <v>13</v>
      </c>
      <c r="J2007" s="188" t="inlineStr">
        <is>
          <t>NO</t>
        </is>
      </c>
      <c r="K2007" s="188" t="inlineStr">
        <is>
          <t>https://talosintelligence.com/reputation_center/lookup?search=1.24.16.8</t>
        </is>
      </c>
      <c r="L2007" s="188" t="inlineStr">
        <is>
          <t>2026-02-26 00:15</t>
        </is>
      </c>
      <c r="M2007" s="188" t="inlineStr">
        <is>
          <t>Block IP</t>
        </is>
      </c>
      <c r="N2007" s="188" t="inlineStr">
        <is>
          <t>https://talosintelligence.com/reputation_center/lookup?search=1.24.16.8</t>
        </is>
      </c>
      <c r="O2007" s="188" t="inlineStr">
        <is>
          <t>Block IP 1.24.16.8 at firewall | Cisco Talos confirmed malicious</t>
        </is>
      </c>
      <c r="P2007" s="188" t="inlineStr">
        <is>
          <t>Network perimeter / Email / Web</t>
        </is>
      </c>
      <c r="Q2007" s="188" t="inlineStr">
        <is>
          <t>P3</t>
        </is>
      </c>
      <c r="R2007" s="188" t="inlineStr">
        <is>
          <t>🚫 Block IP at firewall immediately | 🔍 Check logs for existing connections | 🛡️ Add to threat intelligence blocklist</t>
        </is>
      </c>
      <c r="S2007" s="188" t="inlineStr">
        <is>
          <t>Check ip-api.com + AbuseIPDB for context</t>
        </is>
      </c>
      <c r="T2007" s="188" t="n">
        <v>0</v>
      </c>
      <c r="U2007" s="188" t="n">
        <v>0</v>
      </c>
      <c r="V2007" s="188" t="inlineStr">
        <is>
          <t>T1110:Brute Force | T1190:Exploit Public-Facing Application | T1566:Phishing</t>
        </is>
      </c>
      <c r="W2007" s="188" t="n">
        <v>1</v>
      </c>
      <c r="X2007" s="188" t="inlineStr">
        <is>
          <t>MEDIUM (60%)</t>
        </is>
      </c>
      <c r="Y2007" s="188" t="inlineStr">
        <is>
          <t>NONE</t>
        </is>
      </c>
      <c r="Z2007" s="188" t="inlineStr">
        <is>
          <t>NONE</t>
        </is>
      </c>
      <c r="AA2007" s="188" t="inlineStr">
        <is>
          <t>NONE</t>
        </is>
      </c>
      <c r="AB2007" s="188" t="inlineStr">
        <is>
          <t>NONE</t>
        </is>
      </c>
      <c r="AC2007" s="188" t="n">
        <v>0</v>
      </c>
      <c r="AD2007" s="188" t="inlineStr"/>
    </row>
    <row r="2008">
      <c r="A2008" s="188" t="inlineStr">
        <is>
          <t>TALOS_IP</t>
        </is>
      </c>
      <c r="B2008" s="188" t="inlineStr">
        <is>
          <t>20f4b4b695b3</t>
        </is>
      </c>
      <c r="C2008" s="188" t="inlineStr">
        <is>
          <t>Cisco Talos Blacklisted IP: 1.24.16.94 | Verified malicious | Sources: TALOS</t>
        </is>
      </c>
      <c r="D2008" s="188" t="n">
        <v>7</v>
      </c>
      <c r="E2008" s="188" t="inlineStr">
        <is>
          <t>HIGH</t>
        </is>
      </c>
      <c r="F2008" s="188" t="n">
        <v>3</v>
      </c>
      <c r="G2008" s="188" t="n">
        <v>2</v>
      </c>
      <c r="H2008" s="188" t="inlineStr">
        <is>
          <t>HIGH</t>
        </is>
      </c>
      <c r="I2008" s="188" t="n">
        <v>13</v>
      </c>
      <c r="J2008" s="188" t="inlineStr">
        <is>
          <t>NO</t>
        </is>
      </c>
      <c r="K2008" s="188" t="inlineStr">
        <is>
          <t>https://talosintelligence.com/reputation_center/lookup?search=1.24.16.94</t>
        </is>
      </c>
      <c r="L2008" s="188" t="inlineStr">
        <is>
          <t>2026-02-26 00:15</t>
        </is>
      </c>
      <c r="M2008" s="188" t="inlineStr">
        <is>
          <t>Block IP</t>
        </is>
      </c>
      <c r="N2008" s="188" t="inlineStr">
        <is>
          <t>https://talosintelligence.com/reputation_center/lookup?search=1.24.16.94</t>
        </is>
      </c>
      <c r="O2008" s="188" t="inlineStr">
        <is>
          <t>Block IP 1.24.16.94 at firewall | Cisco Talos confirmed malicious</t>
        </is>
      </c>
      <c r="P2008" s="188" t="inlineStr">
        <is>
          <t>Network perimeter / Email / Web</t>
        </is>
      </c>
      <c r="Q2008" s="188" t="inlineStr">
        <is>
          <t>P3</t>
        </is>
      </c>
      <c r="R2008" s="188" t="inlineStr">
        <is>
          <t>🚫 Block IP at firewall immediately | 🔍 Check logs for existing connections | 🛡️ Add to threat intelligence blocklist</t>
        </is>
      </c>
      <c r="S2008" s="188" t="inlineStr">
        <is>
          <t>Check ip-api.com + AbuseIPDB for context</t>
        </is>
      </c>
      <c r="T2008" s="188" t="n">
        <v>0</v>
      </c>
      <c r="U2008" s="188" t="n">
        <v>0</v>
      </c>
      <c r="V2008" s="188" t="inlineStr">
        <is>
          <t>T1110:Brute Force | T1190:Exploit Public-Facing Application | T1566:Phishing</t>
        </is>
      </c>
      <c r="W2008" s="188" t="n">
        <v>1</v>
      </c>
      <c r="X2008" s="188" t="inlineStr">
        <is>
          <t>MEDIUM (60%)</t>
        </is>
      </c>
      <c r="Y2008" s="188" t="inlineStr">
        <is>
          <t>NONE</t>
        </is>
      </c>
      <c r="Z2008" s="188" t="inlineStr">
        <is>
          <t>NONE</t>
        </is>
      </c>
      <c r="AA2008" s="188" t="inlineStr">
        <is>
          <t>NONE</t>
        </is>
      </c>
      <c r="AB2008" s="188" t="inlineStr">
        <is>
          <t>NONE</t>
        </is>
      </c>
      <c r="AC2008" s="188" t="n">
        <v>0</v>
      </c>
      <c r="AD2008" s="188" t="inlineStr"/>
    </row>
    <row r="2009">
      <c r="A2009" s="188" t="inlineStr">
        <is>
          <t>TALOS_IP</t>
        </is>
      </c>
      <c r="B2009" s="188" t="inlineStr">
        <is>
          <t>fe3bd451483c</t>
        </is>
      </c>
      <c r="C2009" s="188" t="inlineStr">
        <is>
          <t>Cisco Talos Blacklisted IP: 1.24.16.97 | Verified malicious | Sources: TALOS</t>
        </is>
      </c>
      <c r="D2009" s="188" t="n">
        <v>7</v>
      </c>
      <c r="E2009" s="188" t="inlineStr">
        <is>
          <t>HIGH</t>
        </is>
      </c>
      <c r="F2009" s="188" t="n">
        <v>3</v>
      </c>
      <c r="G2009" s="188" t="n">
        <v>2</v>
      </c>
      <c r="H2009" s="188" t="inlineStr">
        <is>
          <t>HIGH</t>
        </is>
      </c>
      <c r="I2009" s="188" t="n">
        <v>13</v>
      </c>
      <c r="J2009" s="188" t="inlineStr">
        <is>
          <t>NO</t>
        </is>
      </c>
      <c r="K2009" s="188" t="inlineStr">
        <is>
          <t>https://talosintelligence.com/reputation_center/lookup?search=1.24.16.97</t>
        </is>
      </c>
      <c r="L2009" s="188" t="inlineStr">
        <is>
          <t>2026-02-26 00:15</t>
        </is>
      </c>
      <c r="M2009" s="188" t="inlineStr">
        <is>
          <t>Block IP</t>
        </is>
      </c>
      <c r="N2009" s="188" t="inlineStr">
        <is>
          <t>https://talosintelligence.com/reputation_center/lookup?search=1.24.16.97</t>
        </is>
      </c>
      <c r="O2009" s="188" t="inlineStr">
        <is>
          <t>Block IP 1.24.16.97 at firewall | Cisco Talos confirmed malicious</t>
        </is>
      </c>
      <c r="P2009" s="188" t="inlineStr">
        <is>
          <t>Network perimeter / Email / Web</t>
        </is>
      </c>
      <c r="Q2009" s="188" t="inlineStr">
        <is>
          <t>P3</t>
        </is>
      </c>
      <c r="R2009" s="188" t="inlineStr">
        <is>
          <t>🚫 Block IP at firewall immediately | 🔍 Check logs for existing connections | 🛡️ Add to threat intelligence blocklist</t>
        </is>
      </c>
      <c r="S2009" s="188" t="inlineStr">
        <is>
          <t>Check ip-api.com + AbuseIPDB for context</t>
        </is>
      </c>
      <c r="T2009" s="188" t="n">
        <v>0</v>
      </c>
      <c r="U2009" s="188" t="n">
        <v>0</v>
      </c>
      <c r="V2009" s="188" t="inlineStr">
        <is>
          <t>T1110:Brute Force | T1190:Exploit Public-Facing Application | T1566:Phishing</t>
        </is>
      </c>
      <c r="W2009" s="188" t="n">
        <v>1</v>
      </c>
      <c r="X2009" s="188" t="inlineStr">
        <is>
          <t>MEDIUM (60%)</t>
        </is>
      </c>
      <c r="Y2009" s="188" t="inlineStr">
        <is>
          <t>NONE</t>
        </is>
      </c>
      <c r="Z2009" s="188" t="inlineStr">
        <is>
          <t>NONE</t>
        </is>
      </c>
      <c r="AA2009" s="188" t="inlineStr">
        <is>
          <t>NONE</t>
        </is>
      </c>
      <c r="AB2009" s="188" t="inlineStr">
        <is>
          <t>NONE</t>
        </is>
      </c>
      <c r="AC2009" s="188" t="n">
        <v>0</v>
      </c>
      <c r="AD2009" s="188" t="inlineStr"/>
    </row>
    <row r="2010">
      <c r="A2010" s="188" t="inlineStr">
        <is>
          <t>TALOS_IP</t>
        </is>
      </c>
      <c r="B2010" s="188" t="inlineStr">
        <is>
          <t>e73baabdb69c</t>
        </is>
      </c>
      <c r="C2010" s="188" t="inlineStr">
        <is>
          <t>Cisco Talos Blacklisted IP: 1.24.16.98 | Verified malicious | Sources: TALOS</t>
        </is>
      </c>
      <c r="D2010" s="188" t="n">
        <v>7</v>
      </c>
      <c r="E2010" s="188" t="inlineStr">
        <is>
          <t>HIGH</t>
        </is>
      </c>
      <c r="F2010" s="188" t="n">
        <v>3</v>
      </c>
      <c r="G2010" s="188" t="n">
        <v>2</v>
      </c>
      <c r="H2010" s="188" t="inlineStr">
        <is>
          <t>HIGH</t>
        </is>
      </c>
      <c r="I2010" s="188" t="n">
        <v>13</v>
      </c>
      <c r="J2010" s="188" t="inlineStr">
        <is>
          <t>NO</t>
        </is>
      </c>
      <c r="K2010" s="188" t="inlineStr">
        <is>
          <t>https://talosintelligence.com/reputation_center/lookup?search=1.24.16.98</t>
        </is>
      </c>
      <c r="L2010" s="188" t="inlineStr">
        <is>
          <t>2026-02-26 00:15</t>
        </is>
      </c>
      <c r="M2010" s="188" t="inlineStr">
        <is>
          <t>Block IP</t>
        </is>
      </c>
      <c r="N2010" s="188" t="inlineStr">
        <is>
          <t>https://talosintelligence.com/reputation_center/lookup?search=1.24.16.98</t>
        </is>
      </c>
      <c r="O2010" s="188" t="inlineStr">
        <is>
          <t>Block IP 1.24.16.98 at firewall | Cisco Talos confirmed malicious</t>
        </is>
      </c>
      <c r="P2010" s="188" t="inlineStr">
        <is>
          <t>Network perimeter / Email / Web</t>
        </is>
      </c>
      <c r="Q2010" s="188" t="inlineStr">
        <is>
          <t>P3</t>
        </is>
      </c>
      <c r="R2010" s="188" t="inlineStr">
        <is>
          <t>🚫 Block IP at firewall immediately | 🔍 Check logs for existing connections | 🛡️ Add to threat intelligence blocklist</t>
        </is>
      </c>
      <c r="S2010" s="188" t="inlineStr">
        <is>
          <t>Check ip-api.com + AbuseIPDB for context</t>
        </is>
      </c>
      <c r="T2010" s="188" t="n">
        <v>0</v>
      </c>
      <c r="U2010" s="188" t="n">
        <v>0</v>
      </c>
      <c r="V2010" s="188" t="inlineStr">
        <is>
          <t>T1110:Brute Force | T1190:Exploit Public-Facing Application | T1566:Phishing</t>
        </is>
      </c>
      <c r="W2010" s="188" t="n">
        <v>1</v>
      </c>
      <c r="X2010" s="188" t="inlineStr">
        <is>
          <t>MEDIUM (60%)</t>
        </is>
      </c>
      <c r="Y2010" s="188" t="inlineStr">
        <is>
          <t>NONE</t>
        </is>
      </c>
      <c r="Z2010" s="188" t="inlineStr">
        <is>
          <t>NONE</t>
        </is>
      </c>
      <c r="AA2010" s="188" t="inlineStr">
        <is>
          <t>NONE</t>
        </is>
      </c>
      <c r="AB2010" s="188" t="inlineStr">
        <is>
          <t>NONE</t>
        </is>
      </c>
      <c r="AC2010" s="188" t="n">
        <v>0</v>
      </c>
      <c r="AD2010" s="188" t="inlineStr"/>
    </row>
    <row r="2011">
      <c r="A2011" s="188" t="inlineStr">
        <is>
          <t>TALOS_IP</t>
        </is>
      </c>
      <c r="B2011" s="188" t="inlineStr">
        <is>
          <t>60db860282e2</t>
        </is>
      </c>
      <c r="C2011" s="188" t="inlineStr">
        <is>
          <t>Cisco Talos Blacklisted IP: 1.24.16.99 | Verified malicious | Sources: TALOS</t>
        </is>
      </c>
      <c r="D2011" s="188" t="n">
        <v>7</v>
      </c>
      <c r="E2011" s="188" t="inlineStr">
        <is>
          <t>HIGH</t>
        </is>
      </c>
      <c r="F2011" s="188" t="n">
        <v>3</v>
      </c>
      <c r="G2011" s="188" t="n">
        <v>2</v>
      </c>
      <c r="H2011" s="188" t="inlineStr">
        <is>
          <t>HIGH</t>
        </is>
      </c>
      <c r="I2011" s="188" t="n">
        <v>13</v>
      </c>
      <c r="J2011" s="188" t="inlineStr">
        <is>
          <t>NO</t>
        </is>
      </c>
      <c r="K2011" s="188" t="inlineStr">
        <is>
          <t>https://talosintelligence.com/reputation_center/lookup?search=1.24.16.99</t>
        </is>
      </c>
      <c r="L2011" s="188" t="inlineStr">
        <is>
          <t>2026-02-26 00:15</t>
        </is>
      </c>
      <c r="M2011" s="188" t="inlineStr">
        <is>
          <t>Block IP</t>
        </is>
      </c>
      <c r="N2011" s="188" t="inlineStr">
        <is>
          <t>https://talosintelligence.com/reputation_center/lookup?search=1.24.16.99</t>
        </is>
      </c>
      <c r="O2011" s="188" t="inlineStr">
        <is>
          <t>Block IP 1.24.16.99 at firewall | Cisco Talos confirmed malicious</t>
        </is>
      </c>
      <c r="P2011" s="188" t="inlineStr">
        <is>
          <t>Network perimeter / Email / Web</t>
        </is>
      </c>
      <c r="Q2011" s="188" t="inlineStr">
        <is>
          <t>P3</t>
        </is>
      </c>
      <c r="R2011" s="188" t="inlineStr">
        <is>
          <t>🚫 Block IP at firewall immediately | 🔍 Check logs for existing connections | 🛡️ Add to threat intelligence blocklist</t>
        </is>
      </c>
      <c r="S2011" s="188" t="inlineStr">
        <is>
          <t>Check ip-api.com + AbuseIPDB for context</t>
        </is>
      </c>
      <c r="T2011" s="188" t="n">
        <v>0</v>
      </c>
      <c r="U2011" s="188" t="n">
        <v>0</v>
      </c>
      <c r="V2011" s="188" t="inlineStr">
        <is>
          <t>T1110:Brute Force | T1190:Exploit Public-Facing Application | T1566:Phishing</t>
        </is>
      </c>
      <c r="W2011" s="188" t="n">
        <v>1</v>
      </c>
      <c r="X2011" s="188" t="inlineStr">
        <is>
          <t>MEDIUM (60%)</t>
        </is>
      </c>
      <c r="Y2011" s="188" t="inlineStr">
        <is>
          <t>NONE</t>
        </is>
      </c>
      <c r="Z2011" s="188" t="inlineStr">
        <is>
          <t>NONE</t>
        </is>
      </c>
      <c r="AA2011" s="188" t="inlineStr">
        <is>
          <t>NONE</t>
        </is>
      </c>
      <c r="AB2011" s="188" t="inlineStr">
        <is>
          <t>NONE</t>
        </is>
      </c>
      <c r="AC2011" s="188" t="n">
        <v>0</v>
      </c>
      <c r="AD2011" s="188" t="inlineStr"/>
    </row>
    <row r="2012">
      <c r="A2012" s="188" t="inlineStr">
        <is>
          <t>EMERGING_THREAT_IP</t>
        </is>
      </c>
      <c r="B2012" s="188" t="inlineStr">
        <is>
          <t>383c44b46f35</t>
        </is>
      </c>
      <c r="C2012" s="188" t="inlineStr">
        <is>
          <t>Emerging Threats Compromised IP: 101.36.104.242 | Sources: EMERGING_THREATS</t>
        </is>
      </c>
      <c r="D2012" s="188" t="n">
        <v>6.5</v>
      </c>
      <c r="E2012" s="188" t="inlineStr">
        <is>
          <t>HIGH</t>
        </is>
      </c>
      <c r="F2012" s="188" t="n">
        <v>3</v>
      </c>
      <c r="G2012" s="188" t="n">
        <v>2</v>
      </c>
      <c r="H2012" s="188" t="inlineStr">
        <is>
          <t>HIGH</t>
        </is>
      </c>
      <c r="I2012" s="188" t="n">
        <v>12.5</v>
      </c>
      <c r="J2012" s="188" t="inlineStr">
        <is>
          <t>NO</t>
        </is>
      </c>
      <c r="K2012" s="188" t="inlineStr">
        <is>
          <t>https://rules.emergingthreats.net/</t>
        </is>
      </c>
      <c r="L2012" s="188" t="inlineStr">
        <is>
          <t>2026-02-26 00:15</t>
        </is>
      </c>
      <c r="M2012" s="188" t="inlineStr">
        <is>
          <t>Block IP</t>
        </is>
      </c>
      <c r="N2012" s="188" t="inlineStr">
        <is>
          <t>https://rules.emergingthreats.net/blockrules/compromised-ips.txt</t>
        </is>
      </c>
      <c r="O2012" s="188" t="inlineStr">
        <is>
          <t>Block IP 101.36.104.242 at firewall | Emerging Threats compromised host</t>
        </is>
      </c>
      <c r="P2012" s="188" t="inlineStr">
        <is>
          <t>Network perimeter</t>
        </is>
      </c>
      <c r="Q2012" s="188" t="inlineStr">
        <is>
          <t>P3</t>
        </is>
      </c>
      <c r="R2012" s="188" t="inlineStr">
        <is>
          <t>🚫 Block IP at firewall immediately | 🔍 Check logs for existing connections | 🛡️ Add to threat intelligence blocklist</t>
        </is>
      </c>
      <c r="S2012" s="188" t="inlineStr">
        <is>
          <t>Check ip-api.com + AbuseIPDB for context</t>
        </is>
      </c>
      <c r="T2012" s="188" t="n">
        <v>0</v>
      </c>
      <c r="U2012" s="188" t="n">
        <v>0</v>
      </c>
      <c r="V2012" s="188" t="inlineStr">
        <is>
          <t>T1110:Brute Force | T1190:Exploit Public-Facing Application</t>
        </is>
      </c>
      <c r="W2012" s="188" t="n">
        <v>1</v>
      </c>
      <c r="X2012" s="188" t="inlineStr">
        <is>
          <t>LOW (40%)</t>
        </is>
      </c>
      <c r="Y2012" s="188" t="inlineStr">
        <is>
          <t>NONE</t>
        </is>
      </c>
      <c r="Z2012" s="188" t="inlineStr">
        <is>
          <t>NONE</t>
        </is>
      </c>
      <c r="AA2012" s="188" t="inlineStr">
        <is>
          <t>NONE</t>
        </is>
      </c>
      <c r="AB2012" s="188" t="inlineStr">
        <is>
          <t>NONE</t>
        </is>
      </c>
      <c r="AC2012" s="188" t="n">
        <v>0</v>
      </c>
      <c r="AD2012" s="188" t="inlineStr"/>
    </row>
    <row r="2013">
      <c r="A2013" s="188" t="inlineStr">
        <is>
          <t>EMERGING_THREAT_IP</t>
        </is>
      </c>
      <c r="B2013" s="188" t="inlineStr">
        <is>
          <t>fae96200765a</t>
        </is>
      </c>
      <c r="C2013" s="188" t="inlineStr">
        <is>
          <t>Emerging Threats Compromised IP: 101.36.118.177 | Sources: EMERGING_THREATS</t>
        </is>
      </c>
      <c r="D2013" s="188" t="n">
        <v>6.5</v>
      </c>
      <c r="E2013" s="188" t="inlineStr">
        <is>
          <t>HIGH</t>
        </is>
      </c>
      <c r="F2013" s="188" t="n">
        <v>3</v>
      </c>
      <c r="G2013" s="188" t="n">
        <v>2</v>
      </c>
      <c r="H2013" s="188" t="inlineStr">
        <is>
          <t>HIGH</t>
        </is>
      </c>
      <c r="I2013" s="188" t="n">
        <v>12.5</v>
      </c>
      <c r="J2013" s="188" t="inlineStr">
        <is>
          <t>NO</t>
        </is>
      </c>
      <c r="K2013" s="188" t="inlineStr">
        <is>
          <t>https://rules.emergingthreats.net/</t>
        </is>
      </c>
      <c r="L2013" s="188" t="inlineStr">
        <is>
          <t>2026-02-26 00:15</t>
        </is>
      </c>
      <c r="M2013" s="188" t="inlineStr">
        <is>
          <t>Block IP</t>
        </is>
      </c>
      <c r="N2013" s="188" t="inlineStr">
        <is>
          <t>https://rules.emergingthreats.net/blockrules/compromised-ips.txt</t>
        </is>
      </c>
      <c r="O2013" s="188" t="inlineStr">
        <is>
          <t>Block IP 101.36.118.177 at firewall | Emerging Threats compromised host</t>
        </is>
      </c>
      <c r="P2013" s="188" t="inlineStr">
        <is>
          <t>Network perimeter</t>
        </is>
      </c>
      <c r="Q2013" s="188" t="inlineStr">
        <is>
          <t>P3</t>
        </is>
      </c>
      <c r="R2013" s="188" t="inlineStr">
        <is>
          <t>🚫 Block IP at firewall immediately | 🔍 Check logs for existing connections | 🛡️ Add to threat intelligence blocklist</t>
        </is>
      </c>
      <c r="S2013" s="188" t="inlineStr">
        <is>
          <t>Check ip-api.com + AbuseIPDB for context</t>
        </is>
      </c>
      <c r="T2013" s="188" t="n">
        <v>0</v>
      </c>
      <c r="U2013" s="188" t="n">
        <v>0</v>
      </c>
      <c r="V2013" s="188" t="inlineStr">
        <is>
          <t>T1110:Brute Force | T1190:Exploit Public-Facing Application</t>
        </is>
      </c>
      <c r="W2013" s="188" t="n">
        <v>1</v>
      </c>
      <c r="X2013" s="188" t="inlineStr">
        <is>
          <t>LOW (40%)</t>
        </is>
      </c>
      <c r="Y2013" s="188" t="inlineStr">
        <is>
          <t>NONE</t>
        </is>
      </c>
      <c r="Z2013" s="188" t="inlineStr">
        <is>
          <t>NONE</t>
        </is>
      </c>
      <c r="AA2013" s="188" t="inlineStr">
        <is>
          <t>NONE</t>
        </is>
      </c>
      <c r="AB2013" s="188" t="inlineStr">
        <is>
          <t>NONE</t>
        </is>
      </c>
      <c r="AC2013" s="188" t="n">
        <v>0</v>
      </c>
      <c r="AD2013" s="188" t="inlineStr"/>
    </row>
    <row r="2014">
      <c r="A2014" s="188" t="inlineStr">
        <is>
          <t>EMERGING_THREAT_IP</t>
        </is>
      </c>
      <c r="B2014" s="188" t="inlineStr">
        <is>
          <t>455b8822a4a2</t>
        </is>
      </c>
      <c r="C2014" s="188" t="inlineStr">
        <is>
          <t>Emerging Threats Compromised IP: 101.36.123.102 | Sources: EMERGING_THREATS</t>
        </is>
      </c>
      <c r="D2014" s="188" t="n">
        <v>6.5</v>
      </c>
      <c r="E2014" s="188" t="inlineStr">
        <is>
          <t>HIGH</t>
        </is>
      </c>
      <c r="F2014" s="188" t="n">
        <v>3</v>
      </c>
      <c r="G2014" s="188" t="n">
        <v>2</v>
      </c>
      <c r="H2014" s="188" t="inlineStr">
        <is>
          <t>HIGH</t>
        </is>
      </c>
      <c r="I2014" s="188" t="n">
        <v>12.5</v>
      </c>
      <c r="J2014" s="188" t="inlineStr">
        <is>
          <t>NO</t>
        </is>
      </c>
      <c r="K2014" s="188" t="inlineStr">
        <is>
          <t>https://rules.emergingthreats.net/</t>
        </is>
      </c>
      <c r="L2014" s="188" t="inlineStr">
        <is>
          <t>2026-02-26 00:15</t>
        </is>
      </c>
      <c r="M2014" s="188" t="inlineStr">
        <is>
          <t>Block IP</t>
        </is>
      </c>
      <c r="N2014" s="188" t="inlineStr">
        <is>
          <t>https://rules.emergingthreats.net/blockrules/compromised-ips.txt</t>
        </is>
      </c>
      <c r="O2014" s="188" t="inlineStr">
        <is>
          <t>Block IP 101.36.123.102 at firewall | Emerging Threats compromised host</t>
        </is>
      </c>
      <c r="P2014" s="188" t="inlineStr">
        <is>
          <t>Network perimeter</t>
        </is>
      </c>
      <c r="Q2014" s="188" t="inlineStr">
        <is>
          <t>P3</t>
        </is>
      </c>
      <c r="R2014" s="188" t="inlineStr">
        <is>
          <t>🚫 Block IP at firewall immediately | 🔍 Check logs for existing connections | 🛡️ Add to threat intelligence blocklist</t>
        </is>
      </c>
      <c r="S2014" s="188" t="inlineStr">
        <is>
          <t>Check ip-api.com + AbuseIPDB for context</t>
        </is>
      </c>
      <c r="T2014" s="188" t="n">
        <v>0</v>
      </c>
      <c r="U2014" s="188" t="n">
        <v>0</v>
      </c>
      <c r="V2014" s="188" t="inlineStr">
        <is>
          <t>T1110:Brute Force | T1190:Exploit Public-Facing Application</t>
        </is>
      </c>
      <c r="W2014" s="188" t="n">
        <v>1</v>
      </c>
      <c r="X2014" s="188" t="inlineStr">
        <is>
          <t>LOW (40%)</t>
        </is>
      </c>
      <c r="Y2014" s="188" t="inlineStr">
        <is>
          <t>NONE</t>
        </is>
      </c>
      <c r="Z2014" s="188" t="inlineStr">
        <is>
          <t>NONE</t>
        </is>
      </c>
      <c r="AA2014" s="188" t="inlineStr">
        <is>
          <t>NONE</t>
        </is>
      </c>
      <c r="AB2014" s="188" t="inlineStr">
        <is>
          <t>NONE</t>
        </is>
      </c>
      <c r="AC2014" s="188" t="n">
        <v>0</v>
      </c>
      <c r="AD2014" s="188" t="inlineStr"/>
    </row>
    <row r="2015">
      <c r="A2015" s="188" t="inlineStr">
        <is>
          <t>EMERGING_THREAT_IP</t>
        </is>
      </c>
      <c r="B2015" s="188" t="inlineStr">
        <is>
          <t>356717d3fb41</t>
        </is>
      </c>
      <c r="C2015" s="188" t="inlineStr">
        <is>
          <t>Emerging Threats Compromised IP: 102.244.97.183 | Sources: EMERGING_THREATS</t>
        </is>
      </c>
      <c r="D2015" s="188" t="n">
        <v>6.5</v>
      </c>
      <c r="E2015" s="188" t="inlineStr">
        <is>
          <t>HIGH</t>
        </is>
      </c>
      <c r="F2015" s="188" t="n">
        <v>3</v>
      </c>
      <c r="G2015" s="188" t="n">
        <v>2</v>
      </c>
      <c r="H2015" s="188" t="inlineStr">
        <is>
          <t>HIGH</t>
        </is>
      </c>
      <c r="I2015" s="188" t="n">
        <v>12.5</v>
      </c>
      <c r="J2015" s="188" t="inlineStr">
        <is>
          <t>NO</t>
        </is>
      </c>
      <c r="K2015" s="188" t="inlineStr">
        <is>
          <t>https://rules.emergingthreats.net/</t>
        </is>
      </c>
      <c r="L2015" s="188" t="inlineStr">
        <is>
          <t>2026-02-26 00:15</t>
        </is>
      </c>
      <c r="M2015" s="188" t="inlineStr">
        <is>
          <t>Block IP</t>
        </is>
      </c>
      <c r="N2015" s="188" t="inlineStr">
        <is>
          <t>https://rules.emergingthreats.net/blockrules/compromised-ips.txt</t>
        </is>
      </c>
      <c r="O2015" s="188" t="inlineStr">
        <is>
          <t>Block IP 102.244.97.183 at firewall | Emerging Threats compromised host</t>
        </is>
      </c>
      <c r="P2015" s="188" t="inlineStr">
        <is>
          <t>Network perimeter</t>
        </is>
      </c>
      <c r="Q2015" s="188" t="inlineStr">
        <is>
          <t>P3</t>
        </is>
      </c>
      <c r="R2015" s="188" t="inlineStr">
        <is>
          <t>🚫 Block IP at firewall immediately | 🔍 Check logs for existing connections | 🛡️ Add to threat intelligence blocklist</t>
        </is>
      </c>
      <c r="S2015" s="188" t="inlineStr">
        <is>
          <t>Check ip-api.com + AbuseIPDB for context</t>
        </is>
      </c>
      <c r="T2015" s="188" t="n">
        <v>0</v>
      </c>
      <c r="U2015" s="188" t="n">
        <v>0</v>
      </c>
      <c r="V2015" s="188" t="inlineStr">
        <is>
          <t>T1110:Brute Force | T1190:Exploit Public-Facing Application</t>
        </is>
      </c>
      <c r="W2015" s="188" t="n">
        <v>1</v>
      </c>
      <c r="X2015" s="188" t="inlineStr">
        <is>
          <t>LOW (40%)</t>
        </is>
      </c>
      <c r="Y2015" s="188" t="inlineStr">
        <is>
          <t>NONE</t>
        </is>
      </c>
      <c r="Z2015" s="188" t="inlineStr">
        <is>
          <t>NONE</t>
        </is>
      </c>
      <c r="AA2015" s="188" t="inlineStr">
        <is>
          <t>NONE</t>
        </is>
      </c>
      <c r="AB2015" s="188" t="inlineStr">
        <is>
          <t>NONE</t>
        </is>
      </c>
      <c r="AC2015" s="188" t="n">
        <v>0</v>
      </c>
      <c r="AD2015" s="188" t="inlineStr"/>
    </row>
    <row r="2016">
      <c r="A2016" s="188" t="inlineStr">
        <is>
          <t>EMERGING_THREAT_IP</t>
        </is>
      </c>
      <c r="B2016" s="188" t="inlineStr">
        <is>
          <t>340ffbe1b705</t>
        </is>
      </c>
      <c r="C2016" s="188" t="inlineStr">
        <is>
          <t>Emerging Threats Compromised IP: 103.103.21.109 | Sources: EMERGING_THREATS</t>
        </is>
      </c>
      <c r="D2016" s="188" t="n">
        <v>6.5</v>
      </c>
      <c r="E2016" s="188" t="inlineStr">
        <is>
          <t>HIGH</t>
        </is>
      </c>
      <c r="F2016" s="188" t="n">
        <v>3</v>
      </c>
      <c r="G2016" s="188" t="n">
        <v>2</v>
      </c>
      <c r="H2016" s="188" t="inlineStr">
        <is>
          <t>HIGH</t>
        </is>
      </c>
      <c r="I2016" s="188" t="n">
        <v>12.5</v>
      </c>
      <c r="J2016" s="188" t="inlineStr">
        <is>
          <t>NO</t>
        </is>
      </c>
      <c r="K2016" s="188" t="inlineStr">
        <is>
          <t>https://rules.emergingthreats.net/</t>
        </is>
      </c>
      <c r="L2016" s="188" t="inlineStr">
        <is>
          <t>2026-02-26 00:15</t>
        </is>
      </c>
      <c r="M2016" s="188" t="inlineStr">
        <is>
          <t>Block IP</t>
        </is>
      </c>
      <c r="N2016" s="188" t="inlineStr">
        <is>
          <t>https://rules.emergingthreats.net/blockrules/compromised-ips.txt</t>
        </is>
      </c>
      <c r="O2016" s="188" t="inlineStr">
        <is>
          <t>Block IP 103.103.21.109 at firewall | Emerging Threats compromised host</t>
        </is>
      </c>
      <c r="P2016" s="188" t="inlineStr">
        <is>
          <t>Network perimeter</t>
        </is>
      </c>
      <c r="Q2016" s="188" t="inlineStr">
        <is>
          <t>P3</t>
        </is>
      </c>
      <c r="R2016" s="188" t="inlineStr">
        <is>
          <t>🚫 Block IP at firewall immediately | 🔍 Check logs for existing connections | 🛡️ Add to threat intelligence blocklist</t>
        </is>
      </c>
      <c r="S2016" s="188" t="inlineStr">
        <is>
          <t>Check ip-api.com + AbuseIPDB for context</t>
        </is>
      </c>
      <c r="T2016" s="188" t="n">
        <v>0</v>
      </c>
      <c r="U2016" s="188" t="n">
        <v>0</v>
      </c>
      <c r="V2016" s="188" t="inlineStr">
        <is>
          <t>T1110:Brute Force | T1190:Exploit Public-Facing Application</t>
        </is>
      </c>
      <c r="W2016" s="188" t="n">
        <v>1</v>
      </c>
      <c r="X2016" s="188" t="inlineStr">
        <is>
          <t>LOW (40%)</t>
        </is>
      </c>
      <c r="Y2016" s="188" t="inlineStr">
        <is>
          <t>NONE</t>
        </is>
      </c>
      <c r="Z2016" s="188" t="inlineStr">
        <is>
          <t>NONE</t>
        </is>
      </c>
      <c r="AA2016" s="188" t="inlineStr">
        <is>
          <t>NONE</t>
        </is>
      </c>
      <c r="AB2016" s="188" t="inlineStr">
        <is>
          <t>NONE</t>
        </is>
      </c>
      <c r="AC2016" s="188" t="n">
        <v>0</v>
      </c>
      <c r="AD2016" s="188" t="inlineStr"/>
    </row>
    <row r="2017">
      <c r="A2017" s="188" t="inlineStr">
        <is>
          <t>EMERGING_THREAT_IP</t>
        </is>
      </c>
      <c r="B2017" s="188" t="inlineStr">
        <is>
          <t>034ed7f153b4</t>
        </is>
      </c>
      <c r="C2017" s="188" t="inlineStr">
        <is>
          <t>Emerging Threats Compromised IP: 103.121.91.144 | Sources: EMERGING_THREATS</t>
        </is>
      </c>
      <c r="D2017" s="188" t="n">
        <v>6.5</v>
      </c>
      <c r="E2017" s="188" t="inlineStr">
        <is>
          <t>HIGH</t>
        </is>
      </c>
      <c r="F2017" s="188" t="n">
        <v>3</v>
      </c>
      <c r="G2017" s="188" t="n">
        <v>2</v>
      </c>
      <c r="H2017" s="188" t="inlineStr">
        <is>
          <t>HIGH</t>
        </is>
      </c>
      <c r="I2017" s="188" t="n">
        <v>12.5</v>
      </c>
      <c r="J2017" s="188" t="inlineStr">
        <is>
          <t>NO</t>
        </is>
      </c>
      <c r="K2017" s="188" t="inlineStr">
        <is>
          <t>https://rules.emergingthreats.net/</t>
        </is>
      </c>
      <c r="L2017" s="188" t="inlineStr">
        <is>
          <t>2026-02-26 00:15</t>
        </is>
      </c>
      <c r="M2017" s="188" t="inlineStr">
        <is>
          <t>Block IP</t>
        </is>
      </c>
      <c r="N2017" s="188" t="inlineStr">
        <is>
          <t>https://rules.emergingthreats.net/blockrules/compromised-ips.txt</t>
        </is>
      </c>
      <c r="O2017" s="188" t="inlineStr">
        <is>
          <t>Block IP 103.121.91.144 at firewall | Emerging Threats compromised host</t>
        </is>
      </c>
      <c r="P2017" s="188" t="inlineStr">
        <is>
          <t>Network perimeter</t>
        </is>
      </c>
      <c r="Q2017" s="188" t="inlineStr">
        <is>
          <t>P3</t>
        </is>
      </c>
      <c r="R2017" s="188" t="inlineStr">
        <is>
          <t>🚫 Block IP at firewall immediately | 🔍 Check logs for existing connections | 🛡️ Add to threat intelligence blocklist</t>
        </is>
      </c>
      <c r="S2017" s="188" t="inlineStr">
        <is>
          <t>Check ip-api.com + AbuseIPDB for context</t>
        </is>
      </c>
      <c r="T2017" s="188" t="n">
        <v>0</v>
      </c>
      <c r="U2017" s="188" t="n">
        <v>0</v>
      </c>
      <c r="V2017" s="188" t="inlineStr">
        <is>
          <t>T1110:Brute Force | T1190:Exploit Public-Facing Application</t>
        </is>
      </c>
      <c r="W2017" s="188" t="n">
        <v>1</v>
      </c>
      <c r="X2017" s="188" t="inlineStr">
        <is>
          <t>LOW (40%)</t>
        </is>
      </c>
      <c r="Y2017" s="188" t="inlineStr">
        <is>
          <t>NONE</t>
        </is>
      </c>
      <c r="Z2017" s="188" t="inlineStr">
        <is>
          <t>NONE</t>
        </is>
      </c>
      <c r="AA2017" s="188" t="inlineStr">
        <is>
          <t>NONE</t>
        </is>
      </c>
      <c r="AB2017" s="188" t="inlineStr">
        <is>
          <t>NONE</t>
        </is>
      </c>
      <c r="AC2017" s="188" t="n">
        <v>0</v>
      </c>
      <c r="AD2017" s="188" t="inlineStr"/>
    </row>
    <row r="2018">
      <c r="A2018" s="188" t="inlineStr">
        <is>
          <t>EMERGING_THREAT_IP</t>
        </is>
      </c>
      <c r="B2018" s="188" t="inlineStr">
        <is>
          <t>ffec239995ac</t>
        </is>
      </c>
      <c r="C2018" s="188" t="inlineStr">
        <is>
          <t>Emerging Threats Compromised IP: 103.148.118.211 | Sources: EMERGING_THREATS</t>
        </is>
      </c>
      <c r="D2018" s="188" t="n">
        <v>6.5</v>
      </c>
      <c r="E2018" s="188" t="inlineStr">
        <is>
          <t>HIGH</t>
        </is>
      </c>
      <c r="F2018" s="188" t="n">
        <v>3</v>
      </c>
      <c r="G2018" s="188" t="n">
        <v>2</v>
      </c>
      <c r="H2018" s="188" t="inlineStr">
        <is>
          <t>HIGH</t>
        </is>
      </c>
      <c r="I2018" s="188" t="n">
        <v>12.5</v>
      </c>
      <c r="J2018" s="188" t="inlineStr">
        <is>
          <t>NO</t>
        </is>
      </c>
      <c r="K2018" s="188" t="inlineStr">
        <is>
          <t>https://rules.emergingthreats.net/</t>
        </is>
      </c>
      <c r="L2018" s="188" t="inlineStr">
        <is>
          <t>2026-02-26 00:15</t>
        </is>
      </c>
      <c r="M2018" s="188" t="inlineStr">
        <is>
          <t>Block IP</t>
        </is>
      </c>
      <c r="N2018" s="188" t="inlineStr">
        <is>
          <t>https://rules.emergingthreats.net/blockrules/compromised-ips.txt</t>
        </is>
      </c>
      <c r="O2018" s="188" t="inlineStr">
        <is>
          <t>Block IP 103.148.118.211 at firewall | Emerging Threats compromised host</t>
        </is>
      </c>
      <c r="P2018" s="188" t="inlineStr">
        <is>
          <t>Network perimeter</t>
        </is>
      </c>
      <c r="Q2018" s="188" t="inlineStr">
        <is>
          <t>P3</t>
        </is>
      </c>
      <c r="R2018" s="188" t="inlineStr">
        <is>
          <t>🚫 Block IP at firewall immediately | 🔍 Check logs for existing connections | 🛡️ Add to threat intelligence blocklist</t>
        </is>
      </c>
      <c r="S2018" s="188" t="inlineStr">
        <is>
          <t>Check ip-api.com + AbuseIPDB for context</t>
        </is>
      </c>
      <c r="T2018" s="188" t="n">
        <v>0</v>
      </c>
      <c r="U2018" s="188" t="n">
        <v>0</v>
      </c>
      <c r="V2018" s="188" t="inlineStr">
        <is>
          <t>T1110:Brute Force | T1190:Exploit Public-Facing Application</t>
        </is>
      </c>
      <c r="W2018" s="188" t="n">
        <v>1</v>
      </c>
      <c r="X2018" s="188" t="inlineStr">
        <is>
          <t>LOW (40%)</t>
        </is>
      </c>
      <c r="Y2018" s="188" t="inlineStr">
        <is>
          <t>NONE</t>
        </is>
      </c>
      <c r="Z2018" s="188" t="inlineStr">
        <is>
          <t>NONE</t>
        </is>
      </c>
      <c r="AA2018" s="188" t="inlineStr">
        <is>
          <t>NONE</t>
        </is>
      </c>
      <c r="AB2018" s="188" t="inlineStr">
        <is>
          <t>NONE</t>
        </is>
      </c>
      <c r="AC2018" s="188" t="n">
        <v>0</v>
      </c>
      <c r="AD2018" s="188" t="inlineStr"/>
    </row>
    <row r="2019">
      <c r="A2019" s="188" t="inlineStr">
        <is>
          <t>EMERGING_THREAT_IP</t>
        </is>
      </c>
      <c r="B2019" s="188" t="inlineStr">
        <is>
          <t>fe6b4e19212f</t>
        </is>
      </c>
      <c r="C2019" s="188" t="inlineStr">
        <is>
          <t>Emerging Threats Compromised IP: 103.148.195.198 | Sources: EMERGING_THREATS</t>
        </is>
      </c>
      <c r="D2019" s="188" t="n">
        <v>6.5</v>
      </c>
      <c r="E2019" s="188" t="inlineStr">
        <is>
          <t>HIGH</t>
        </is>
      </c>
      <c r="F2019" s="188" t="n">
        <v>3</v>
      </c>
      <c r="G2019" s="188" t="n">
        <v>2</v>
      </c>
      <c r="H2019" s="188" t="inlineStr">
        <is>
          <t>HIGH</t>
        </is>
      </c>
      <c r="I2019" s="188" t="n">
        <v>12.5</v>
      </c>
      <c r="J2019" s="188" t="inlineStr">
        <is>
          <t>NO</t>
        </is>
      </c>
      <c r="K2019" s="188" t="inlineStr">
        <is>
          <t>https://rules.emergingthreats.net/</t>
        </is>
      </c>
      <c r="L2019" s="188" t="inlineStr">
        <is>
          <t>2026-02-26 00:15</t>
        </is>
      </c>
      <c r="M2019" s="188" t="inlineStr">
        <is>
          <t>Block IP</t>
        </is>
      </c>
      <c r="N2019" s="188" t="inlineStr">
        <is>
          <t>https://rules.emergingthreats.net/blockrules/compromised-ips.txt</t>
        </is>
      </c>
      <c r="O2019" s="188" t="inlineStr">
        <is>
          <t>Block IP 103.148.195.198 at firewall | Emerging Threats compromised host</t>
        </is>
      </c>
      <c r="P2019" s="188" t="inlineStr">
        <is>
          <t>Network perimeter</t>
        </is>
      </c>
      <c r="Q2019" s="188" t="inlineStr">
        <is>
          <t>P3</t>
        </is>
      </c>
      <c r="R2019" s="188" t="inlineStr">
        <is>
          <t>🚫 Block IP at firewall immediately | 🔍 Check logs for existing connections | 🛡️ Add to threat intelligence blocklist</t>
        </is>
      </c>
      <c r="S2019" s="188" t="inlineStr">
        <is>
          <t>Check ip-api.com + AbuseIPDB for context</t>
        </is>
      </c>
      <c r="T2019" s="188" t="n">
        <v>0</v>
      </c>
      <c r="U2019" s="188" t="n">
        <v>0</v>
      </c>
      <c r="V2019" s="188" t="inlineStr">
        <is>
          <t>T1110:Brute Force | T1190:Exploit Public-Facing Application</t>
        </is>
      </c>
      <c r="W2019" s="188" t="n">
        <v>1</v>
      </c>
      <c r="X2019" s="188" t="inlineStr">
        <is>
          <t>LOW (40%)</t>
        </is>
      </c>
      <c r="Y2019" s="188" t="inlineStr">
        <is>
          <t>NONE</t>
        </is>
      </c>
      <c r="Z2019" s="188" t="inlineStr">
        <is>
          <t>NONE</t>
        </is>
      </c>
      <c r="AA2019" s="188" t="inlineStr">
        <is>
          <t>NONE</t>
        </is>
      </c>
      <c r="AB2019" s="188" t="inlineStr">
        <is>
          <t>NONE</t>
        </is>
      </c>
      <c r="AC2019" s="188" t="n">
        <v>0</v>
      </c>
      <c r="AD2019" s="188" t="inlineStr"/>
    </row>
    <row r="2020">
      <c r="A2020" s="188" t="inlineStr">
        <is>
          <t>EMERGING_THREAT_IP</t>
        </is>
      </c>
      <c r="B2020" s="188" t="inlineStr">
        <is>
          <t>760e3739b969</t>
        </is>
      </c>
      <c r="C2020" s="188" t="inlineStr">
        <is>
          <t>Emerging Threats Compromised IP: 103.160.5.123 | Sources: EMERGING_THREATS</t>
        </is>
      </c>
      <c r="D2020" s="188" t="n">
        <v>6.5</v>
      </c>
      <c r="E2020" s="188" t="inlineStr">
        <is>
          <t>HIGH</t>
        </is>
      </c>
      <c r="F2020" s="188" t="n">
        <v>3</v>
      </c>
      <c r="G2020" s="188" t="n">
        <v>2</v>
      </c>
      <c r="H2020" s="188" t="inlineStr">
        <is>
          <t>HIGH</t>
        </is>
      </c>
      <c r="I2020" s="188" t="n">
        <v>12.5</v>
      </c>
      <c r="J2020" s="188" t="inlineStr">
        <is>
          <t>NO</t>
        </is>
      </c>
      <c r="K2020" s="188" t="inlineStr">
        <is>
          <t>https://rules.emergingthreats.net/</t>
        </is>
      </c>
      <c r="L2020" s="188" t="inlineStr">
        <is>
          <t>2026-02-26 00:15</t>
        </is>
      </c>
      <c r="M2020" s="188" t="inlineStr">
        <is>
          <t>Block IP</t>
        </is>
      </c>
      <c r="N2020" s="188" t="inlineStr">
        <is>
          <t>https://rules.emergingthreats.net/blockrules/compromised-ips.txt</t>
        </is>
      </c>
      <c r="O2020" s="188" t="inlineStr">
        <is>
          <t>Block IP 103.160.5.123 at firewall | Emerging Threats compromised host</t>
        </is>
      </c>
      <c r="P2020" s="188" t="inlineStr">
        <is>
          <t>Network perimeter</t>
        </is>
      </c>
      <c r="Q2020" s="188" t="inlineStr">
        <is>
          <t>P3</t>
        </is>
      </c>
      <c r="R2020" s="188" t="inlineStr">
        <is>
          <t>🚫 Block IP at firewall immediately | 🔍 Check logs for existing connections | 🛡️ Add to threat intelligence blocklist</t>
        </is>
      </c>
      <c r="S2020" s="188" t="inlineStr">
        <is>
          <t>Check ip-api.com + AbuseIPDB for context</t>
        </is>
      </c>
      <c r="T2020" s="188" t="n">
        <v>0</v>
      </c>
      <c r="U2020" s="188" t="n">
        <v>0</v>
      </c>
      <c r="V2020" s="188" t="inlineStr">
        <is>
          <t>T1110:Brute Force | T1190:Exploit Public-Facing Application</t>
        </is>
      </c>
      <c r="W2020" s="188" t="n">
        <v>1</v>
      </c>
      <c r="X2020" s="188" t="inlineStr">
        <is>
          <t>LOW (40%)</t>
        </is>
      </c>
      <c r="Y2020" s="188" t="inlineStr">
        <is>
          <t>NONE</t>
        </is>
      </c>
      <c r="Z2020" s="188" t="inlineStr">
        <is>
          <t>NONE</t>
        </is>
      </c>
      <c r="AA2020" s="188" t="inlineStr">
        <is>
          <t>NONE</t>
        </is>
      </c>
      <c r="AB2020" s="188" t="inlineStr">
        <is>
          <t>NONE</t>
        </is>
      </c>
      <c r="AC2020" s="188" t="n">
        <v>0</v>
      </c>
      <c r="AD2020" s="188" t="inlineStr"/>
    </row>
    <row r="2021">
      <c r="A2021" s="188" t="inlineStr">
        <is>
          <t>EMERGING_THREAT_IP</t>
        </is>
      </c>
      <c r="B2021" s="188" t="inlineStr">
        <is>
          <t>cdf077fccefb</t>
        </is>
      </c>
      <c r="C2021" s="188" t="inlineStr">
        <is>
          <t>Emerging Threats Compromised IP: 103.218.241.106 | Sources: EMERGING_THREATS</t>
        </is>
      </c>
      <c r="D2021" s="188" t="n">
        <v>6.5</v>
      </c>
      <c r="E2021" s="188" t="inlineStr">
        <is>
          <t>HIGH</t>
        </is>
      </c>
      <c r="F2021" s="188" t="n">
        <v>3</v>
      </c>
      <c r="G2021" s="188" t="n">
        <v>2</v>
      </c>
      <c r="H2021" s="188" t="inlineStr">
        <is>
          <t>HIGH</t>
        </is>
      </c>
      <c r="I2021" s="188" t="n">
        <v>12.5</v>
      </c>
      <c r="J2021" s="188" t="inlineStr">
        <is>
          <t>NO</t>
        </is>
      </c>
      <c r="K2021" s="188" t="inlineStr">
        <is>
          <t>https://rules.emergingthreats.net/</t>
        </is>
      </c>
      <c r="L2021" s="188" t="inlineStr">
        <is>
          <t>2026-02-26 00:15</t>
        </is>
      </c>
      <c r="M2021" s="188" t="inlineStr">
        <is>
          <t>Block IP</t>
        </is>
      </c>
      <c r="N2021" s="188" t="inlineStr">
        <is>
          <t>https://rules.emergingthreats.net/blockrules/compromised-ips.txt</t>
        </is>
      </c>
      <c r="O2021" s="188" t="inlineStr">
        <is>
          <t>Block IP 103.218.241.106 at firewall | Emerging Threats compromised host</t>
        </is>
      </c>
      <c r="P2021" s="188" t="inlineStr">
        <is>
          <t>Network perimeter</t>
        </is>
      </c>
      <c r="Q2021" s="188" t="inlineStr">
        <is>
          <t>P3</t>
        </is>
      </c>
      <c r="R2021" s="188" t="inlineStr">
        <is>
          <t>🚫 Block IP at firewall immediately | 🔍 Check logs for existing connections | 🛡️ Add to threat intelligence blocklist</t>
        </is>
      </c>
      <c r="S2021" s="188" t="inlineStr">
        <is>
          <t>Check ip-api.com + AbuseIPDB for context</t>
        </is>
      </c>
      <c r="T2021" s="188" t="n">
        <v>0</v>
      </c>
      <c r="U2021" s="188" t="n">
        <v>0</v>
      </c>
      <c r="V2021" s="188" t="inlineStr">
        <is>
          <t>T1110:Brute Force | T1190:Exploit Public-Facing Application</t>
        </is>
      </c>
      <c r="W2021" s="188" t="n">
        <v>1</v>
      </c>
      <c r="X2021" s="188" t="inlineStr">
        <is>
          <t>LOW (40%)</t>
        </is>
      </c>
      <c r="Y2021" s="188" t="inlineStr">
        <is>
          <t>NONE</t>
        </is>
      </c>
      <c r="Z2021" s="188" t="inlineStr">
        <is>
          <t>NONE</t>
        </is>
      </c>
      <c r="AA2021" s="188" t="inlineStr">
        <is>
          <t>NONE</t>
        </is>
      </c>
      <c r="AB2021" s="188" t="inlineStr">
        <is>
          <t>NONE</t>
        </is>
      </c>
      <c r="AC2021" s="188" t="n">
        <v>0</v>
      </c>
      <c r="AD2021" s="188" t="inlineStr"/>
    </row>
    <row r="2022">
      <c r="A2022" s="188" t="inlineStr">
        <is>
          <t>EMERGING_THREAT_IP</t>
        </is>
      </c>
      <c r="B2022" s="188" t="inlineStr">
        <is>
          <t>64210da85eb5</t>
        </is>
      </c>
      <c r="C2022" s="188" t="inlineStr">
        <is>
          <t>Emerging Threats Compromised IP: 103.232.121.71 | Sources: EMERGING_THREATS</t>
        </is>
      </c>
      <c r="D2022" s="188" t="n">
        <v>6.5</v>
      </c>
      <c r="E2022" s="188" t="inlineStr">
        <is>
          <t>HIGH</t>
        </is>
      </c>
      <c r="F2022" s="188" t="n">
        <v>3</v>
      </c>
      <c r="G2022" s="188" t="n">
        <v>2</v>
      </c>
      <c r="H2022" s="188" t="inlineStr">
        <is>
          <t>HIGH</t>
        </is>
      </c>
      <c r="I2022" s="188" t="n">
        <v>12.5</v>
      </c>
      <c r="J2022" s="188" t="inlineStr">
        <is>
          <t>NO</t>
        </is>
      </c>
      <c r="K2022" s="188" t="inlineStr">
        <is>
          <t>https://rules.emergingthreats.net/</t>
        </is>
      </c>
      <c r="L2022" s="188" t="inlineStr">
        <is>
          <t>2026-02-26 00:15</t>
        </is>
      </c>
      <c r="M2022" s="188" t="inlineStr">
        <is>
          <t>Block IP</t>
        </is>
      </c>
      <c r="N2022" s="188" t="inlineStr">
        <is>
          <t>https://rules.emergingthreats.net/blockrules/compromised-ips.txt</t>
        </is>
      </c>
      <c r="O2022" s="188" t="inlineStr">
        <is>
          <t>Block IP 103.232.121.71 at firewall | Emerging Threats compromised host</t>
        </is>
      </c>
      <c r="P2022" s="188" t="inlineStr">
        <is>
          <t>Network perimeter</t>
        </is>
      </c>
      <c r="Q2022" s="188" t="inlineStr">
        <is>
          <t>P3</t>
        </is>
      </c>
      <c r="R2022" s="188" t="inlineStr">
        <is>
          <t>🚫 Block IP at firewall immediately | 🔍 Check logs for existing connections | 🛡️ Add to threat intelligence blocklist</t>
        </is>
      </c>
      <c r="S2022" s="188" t="inlineStr">
        <is>
          <t>Check ip-api.com + AbuseIPDB for context</t>
        </is>
      </c>
      <c r="T2022" s="188" t="n">
        <v>0</v>
      </c>
      <c r="U2022" s="188" t="n">
        <v>0</v>
      </c>
      <c r="V2022" s="188" t="inlineStr">
        <is>
          <t>T1110:Brute Force | T1190:Exploit Public-Facing Application</t>
        </is>
      </c>
      <c r="W2022" s="188" t="n">
        <v>1</v>
      </c>
      <c r="X2022" s="188" t="inlineStr">
        <is>
          <t>LOW (40%)</t>
        </is>
      </c>
      <c r="Y2022" s="188" t="inlineStr">
        <is>
          <t>NONE</t>
        </is>
      </c>
      <c r="Z2022" s="188" t="inlineStr">
        <is>
          <t>NONE</t>
        </is>
      </c>
      <c r="AA2022" s="188" t="inlineStr">
        <is>
          <t>NONE</t>
        </is>
      </c>
      <c r="AB2022" s="188" t="inlineStr">
        <is>
          <t>NONE</t>
        </is>
      </c>
      <c r="AC2022" s="188" t="n">
        <v>0</v>
      </c>
      <c r="AD2022" s="188" t="inlineStr"/>
    </row>
    <row r="2023">
      <c r="A2023" s="188" t="inlineStr">
        <is>
          <t>EMERGING_THREAT_IP</t>
        </is>
      </c>
      <c r="B2023" s="188" t="inlineStr">
        <is>
          <t>278177fd6008</t>
        </is>
      </c>
      <c r="C2023" s="188" t="inlineStr">
        <is>
          <t>Emerging Threats Compromised IP: 103.236.75.87 | Sources: EMERGING_THREATS</t>
        </is>
      </c>
      <c r="D2023" s="188" t="n">
        <v>6.5</v>
      </c>
      <c r="E2023" s="188" t="inlineStr">
        <is>
          <t>HIGH</t>
        </is>
      </c>
      <c r="F2023" s="188" t="n">
        <v>3</v>
      </c>
      <c r="G2023" s="188" t="n">
        <v>2</v>
      </c>
      <c r="H2023" s="188" t="inlineStr">
        <is>
          <t>HIGH</t>
        </is>
      </c>
      <c r="I2023" s="188" t="n">
        <v>12.5</v>
      </c>
      <c r="J2023" s="188" t="inlineStr">
        <is>
          <t>NO</t>
        </is>
      </c>
      <c r="K2023" s="188" t="inlineStr">
        <is>
          <t>https://rules.emergingthreats.net/</t>
        </is>
      </c>
      <c r="L2023" s="188" t="inlineStr">
        <is>
          <t>2026-02-26 00:15</t>
        </is>
      </c>
      <c r="M2023" s="188" t="inlineStr">
        <is>
          <t>Block IP</t>
        </is>
      </c>
      <c r="N2023" s="188" t="inlineStr">
        <is>
          <t>https://rules.emergingthreats.net/blockrules/compromised-ips.txt</t>
        </is>
      </c>
      <c r="O2023" s="188" t="inlineStr">
        <is>
          <t>Block IP 103.236.75.87 at firewall | Emerging Threats compromised host</t>
        </is>
      </c>
      <c r="P2023" s="188" t="inlineStr">
        <is>
          <t>Network perimeter</t>
        </is>
      </c>
      <c r="Q2023" s="188" t="inlineStr">
        <is>
          <t>P3</t>
        </is>
      </c>
      <c r="R2023" s="188" t="inlineStr">
        <is>
          <t>🚫 Block IP at firewall immediately | 🔍 Check logs for existing connections | 🛡️ Add to threat intelligence blocklist</t>
        </is>
      </c>
      <c r="S2023" s="188" t="inlineStr">
        <is>
          <t>Check ip-api.com + AbuseIPDB for context</t>
        </is>
      </c>
      <c r="T2023" s="188" t="n">
        <v>0</v>
      </c>
      <c r="U2023" s="188" t="n">
        <v>0</v>
      </c>
      <c r="V2023" s="188" t="inlineStr">
        <is>
          <t>T1110:Brute Force | T1190:Exploit Public-Facing Application</t>
        </is>
      </c>
      <c r="W2023" s="188" t="n">
        <v>1</v>
      </c>
      <c r="X2023" s="188" t="inlineStr">
        <is>
          <t>LOW (40%)</t>
        </is>
      </c>
      <c r="Y2023" s="188" t="inlineStr">
        <is>
          <t>NONE</t>
        </is>
      </c>
      <c r="Z2023" s="188" t="inlineStr">
        <is>
          <t>NONE</t>
        </is>
      </c>
      <c r="AA2023" s="188" t="inlineStr">
        <is>
          <t>NONE</t>
        </is>
      </c>
      <c r="AB2023" s="188" t="inlineStr">
        <is>
          <t>NONE</t>
        </is>
      </c>
      <c r="AC2023" s="188" t="n">
        <v>0</v>
      </c>
      <c r="AD2023" s="188" t="inlineStr"/>
    </row>
    <row r="2024">
      <c r="A2024" s="188" t="inlineStr">
        <is>
          <t>EMERGING_THREAT_IP</t>
        </is>
      </c>
      <c r="B2024" s="188" t="inlineStr">
        <is>
          <t>5c383c76de68</t>
        </is>
      </c>
      <c r="C2024" s="188" t="inlineStr">
        <is>
          <t>Emerging Threats Compromised IP: 103.239.252.132 | Sources: EMERGING_THREATS</t>
        </is>
      </c>
      <c r="D2024" s="188" t="n">
        <v>6.5</v>
      </c>
      <c r="E2024" s="188" t="inlineStr">
        <is>
          <t>HIGH</t>
        </is>
      </c>
      <c r="F2024" s="188" t="n">
        <v>3</v>
      </c>
      <c r="G2024" s="188" t="n">
        <v>2</v>
      </c>
      <c r="H2024" s="188" t="inlineStr">
        <is>
          <t>HIGH</t>
        </is>
      </c>
      <c r="I2024" s="188" t="n">
        <v>12.5</v>
      </c>
      <c r="J2024" s="188" t="inlineStr">
        <is>
          <t>NO</t>
        </is>
      </c>
      <c r="K2024" s="188" t="inlineStr">
        <is>
          <t>https://rules.emergingthreats.net/</t>
        </is>
      </c>
      <c r="L2024" s="188" t="inlineStr">
        <is>
          <t>2026-02-26 00:15</t>
        </is>
      </c>
      <c r="M2024" s="188" t="inlineStr">
        <is>
          <t>Block IP</t>
        </is>
      </c>
      <c r="N2024" s="188" t="inlineStr">
        <is>
          <t>https://rules.emergingthreats.net/blockrules/compromised-ips.txt</t>
        </is>
      </c>
      <c r="O2024" s="188" t="inlineStr">
        <is>
          <t>Block IP 103.239.252.132 at firewall | Emerging Threats compromised host</t>
        </is>
      </c>
      <c r="P2024" s="188" t="inlineStr">
        <is>
          <t>Network perimeter</t>
        </is>
      </c>
      <c r="Q2024" s="188" t="inlineStr">
        <is>
          <t>P3</t>
        </is>
      </c>
      <c r="R2024" s="188" t="inlineStr">
        <is>
          <t>🚫 Block IP at firewall immediately | 🔍 Check logs for existing connections | 🛡️ Add to threat intelligence blocklist</t>
        </is>
      </c>
      <c r="S2024" s="188" t="inlineStr">
        <is>
          <t>Check ip-api.com + AbuseIPDB for context</t>
        </is>
      </c>
      <c r="T2024" s="188" t="n">
        <v>0</v>
      </c>
      <c r="U2024" s="188" t="n">
        <v>0</v>
      </c>
      <c r="V2024" s="188" t="inlineStr">
        <is>
          <t>T1110:Brute Force | T1190:Exploit Public-Facing Application</t>
        </is>
      </c>
      <c r="W2024" s="188" t="n">
        <v>1</v>
      </c>
      <c r="X2024" s="188" t="inlineStr">
        <is>
          <t>LOW (40%)</t>
        </is>
      </c>
      <c r="Y2024" s="188" t="inlineStr">
        <is>
          <t>NONE</t>
        </is>
      </c>
      <c r="Z2024" s="188" t="inlineStr">
        <is>
          <t>NONE</t>
        </is>
      </c>
      <c r="AA2024" s="188" t="inlineStr">
        <is>
          <t>NONE</t>
        </is>
      </c>
      <c r="AB2024" s="188" t="inlineStr">
        <is>
          <t>NONE</t>
        </is>
      </c>
      <c r="AC2024" s="188" t="n">
        <v>0</v>
      </c>
      <c r="AD2024" s="188" t="inlineStr"/>
    </row>
    <row r="2025">
      <c r="A2025" s="188" t="inlineStr">
        <is>
          <t>EMERGING_THREAT_IP</t>
        </is>
      </c>
      <c r="B2025" s="188" t="inlineStr">
        <is>
          <t>5583c88d0b92</t>
        </is>
      </c>
      <c r="C2025" s="188" t="inlineStr">
        <is>
          <t>Emerging Threats Compromised IP: 103.249.200.230 | Sources: EMERGING_THREATS</t>
        </is>
      </c>
      <c r="D2025" s="188" t="n">
        <v>6.5</v>
      </c>
      <c r="E2025" s="188" t="inlineStr">
        <is>
          <t>HIGH</t>
        </is>
      </c>
      <c r="F2025" s="188" t="n">
        <v>3</v>
      </c>
      <c r="G2025" s="188" t="n">
        <v>2</v>
      </c>
      <c r="H2025" s="188" t="inlineStr">
        <is>
          <t>HIGH</t>
        </is>
      </c>
      <c r="I2025" s="188" t="n">
        <v>12.5</v>
      </c>
      <c r="J2025" s="188" t="inlineStr">
        <is>
          <t>NO</t>
        </is>
      </c>
      <c r="K2025" s="188" t="inlineStr">
        <is>
          <t>https://rules.emergingthreats.net/</t>
        </is>
      </c>
      <c r="L2025" s="188" t="inlineStr">
        <is>
          <t>2026-02-26 00:15</t>
        </is>
      </c>
      <c r="M2025" s="188" t="inlineStr">
        <is>
          <t>Block IP</t>
        </is>
      </c>
      <c r="N2025" s="188" t="inlineStr">
        <is>
          <t>https://rules.emergingthreats.net/blockrules/compromised-ips.txt</t>
        </is>
      </c>
      <c r="O2025" s="188" t="inlineStr">
        <is>
          <t>Block IP 103.249.200.230 at firewall | Emerging Threats compromised host</t>
        </is>
      </c>
      <c r="P2025" s="188" t="inlineStr">
        <is>
          <t>Network perimeter</t>
        </is>
      </c>
      <c r="Q2025" s="188" t="inlineStr">
        <is>
          <t>P3</t>
        </is>
      </c>
      <c r="R2025" s="188" t="inlineStr">
        <is>
          <t>🚫 Block IP at firewall immediately | 🔍 Check logs for existing connections | 🛡️ Add to threat intelligence blocklist</t>
        </is>
      </c>
      <c r="S2025" s="188" t="inlineStr">
        <is>
          <t>Check ip-api.com + AbuseIPDB for context</t>
        </is>
      </c>
      <c r="T2025" s="188" t="n">
        <v>0</v>
      </c>
      <c r="U2025" s="188" t="n">
        <v>0</v>
      </c>
      <c r="V2025" s="188" t="inlineStr">
        <is>
          <t>T1110:Brute Force | T1190:Exploit Public-Facing Application</t>
        </is>
      </c>
      <c r="W2025" s="188" t="n">
        <v>1</v>
      </c>
      <c r="X2025" s="188" t="inlineStr">
        <is>
          <t>LOW (40%)</t>
        </is>
      </c>
      <c r="Y2025" s="188" t="inlineStr">
        <is>
          <t>NONE</t>
        </is>
      </c>
      <c r="Z2025" s="188" t="inlineStr">
        <is>
          <t>NONE</t>
        </is>
      </c>
      <c r="AA2025" s="188" t="inlineStr">
        <is>
          <t>NONE</t>
        </is>
      </c>
      <c r="AB2025" s="188" t="inlineStr">
        <is>
          <t>NONE</t>
        </is>
      </c>
      <c r="AC2025" s="188" t="n">
        <v>0</v>
      </c>
      <c r="AD2025" s="188" t="inlineStr"/>
    </row>
    <row r="2026">
      <c r="A2026" s="188" t="inlineStr">
        <is>
          <t>EMERGING_THREAT_IP</t>
        </is>
      </c>
      <c r="B2026" s="188" t="inlineStr">
        <is>
          <t>890c9c3b7ae6</t>
        </is>
      </c>
      <c r="C2026" s="188" t="inlineStr">
        <is>
          <t>Emerging Threats Compromised IP: 103.252.73.37 | Sources: EMERGING_THREATS</t>
        </is>
      </c>
      <c r="D2026" s="188" t="n">
        <v>6.5</v>
      </c>
      <c r="E2026" s="188" t="inlineStr">
        <is>
          <t>HIGH</t>
        </is>
      </c>
      <c r="F2026" s="188" t="n">
        <v>3</v>
      </c>
      <c r="G2026" s="188" t="n">
        <v>2</v>
      </c>
      <c r="H2026" s="188" t="inlineStr">
        <is>
          <t>HIGH</t>
        </is>
      </c>
      <c r="I2026" s="188" t="n">
        <v>12.5</v>
      </c>
      <c r="J2026" s="188" t="inlineStr">
        <is>
          <t>NO</t>
        </is>
      </c>
      <c r="K2026" s="188" t="inlineStr">
        <is>
          <t>https://rules.emergingthreats.net/</t>
        </is>
      </c>
      <c r="L2026" s="188" t="inlineStr">
        <is>
          <t>2026-02-26 00:15</t>
        </is>
      </c>
      <c r="M2026" s="188" t="inlineStr">
        <is>
          <t>Block IP</t>
        </is>
      </c>
      <c r="N2026" s="188" t="inlineStr">
        <is>
          <t>https://rules.emergingthreats.net/blockrules/compromised-ips.txt</t>
        </is>
      </c>
      <c r="O2026" s="188" t="inlineStr">
        <is>
          <t>Block IP 103.252.73.37 at firewall | Emerging Threats compromised host</t>
        </is>
      </c>
      <c r="P2026" s="188" t="inlineStr">
        <is>
          <t>Network perimeter</t>
        </is>
      </c>
      <c r="Q2026" s="188" t="inlineStr">
        <is>
          <t>P3</t>
        </is>
      </c>
      <c r="R2026" s="188" t="inlineStr">
        <is>
          <t>🚫 Block IP at firewall immediately | 🔍 Check logs for existing connections | 🛡️ Add to threat intelligence blocklist</t>
        </is>
      </c>
      <c r="S2026" s="188" t="inlineStr">
        <is>
          <t>Check ip-api.com + AbuseIPDB for context</t>
        </is>
      </c>
      <c r="T2026" s="188" t="n">
        <v>0</v>
      </c>
      <c r="U2026" s="188" t="n">
        <v>0</v>
      </c>
      <c r="V2026" s="188" t="inlineStr">
        <is>
          <t>T1110:Brute Force | T1190:Exploit Public-Facing Application</t>
        </is>
      </c>
      <c r="W2026" s="188" t="n">
        <v>1</v>
      </c>
      <c r="X2026" s="188" t="inlineStr">
        <is>
          <t>LOW (40%)</t>
        </is>
      </c>
      <c r="Y2026" s="188" t="inlineStr">
        <is>
          <t>NONE</t>
        </is>
      </c>
      <c r="Z2026" s="188" t="inlineStr">
        <is>
          <t>NONE</t>
        </is>
      </c>
      <c r="AA2026" s="188" t="inlineStr">
        <is>
          <t>NONE</t>
        </is>
      </c>
      <c r="AB2026" s="188" t="inlineStr">
        <is>
          <t>NONE</t>
        </is>
      </c>
      <c r="AC2026" s="188" t="n">
        <v>0</v>
      </c>
      <c r="AD2026" s="188" t="inlineStr"/>
    </row>
    <row r="2027">
      <c r="A2027" s="188" t="inlineStr">
        <is>
          <t>EMERGING_THREAT_IP</t>
        </is>
      </c>
      <c r="B2027" s="188" t="inlineStr">
        <is>
          <t>e7df42bbb1e6</t>
        </is>
      </c>
      <c r="C2027" s="188" t="inlineStr">
        <is>
          <t>Emerging Threats Compromised IP: 103.39.222.143 | Sources: EMERGING_THREATS</t>
        </is>
      </c>
      <c r="D2027" s="188" t="n">
        <v>6.5</v>
      </c>
      <c r="E2027" s="188" t="inlineStr">
        <is>
          <t>HIGH</t>
        </is>
      </c>
      <c r="F2027" s="188" t="n">
        <v>3</v>
      </c>
      <c r="G2027" s="188" t="n">
        <v>2</v>
      </c>
      <c r="H2027" s="188" t="inlineStr">
        <is>
          <t>HIGH</t>
        </is>
      </c>
      <c r="I2027" s="188" t="n">
        <v>12.5</v>
      </c>
      <c r="J2027" s="188" t="inlineStr">
        <is>
          <t>NO</t>
        </is>
      </c>
      <c r="K2027" s="188" t="inlineStr">
        <is>
          <t>https://rules.emergingthreats.net/</t>
        </is>
      </c>
      <c r="L2027" s="188" t="inlineStr">
        <is>
          <t>2026-02-26 00:15</t>
        </is>
      </c>
      <c r="M2027" s="188" t="inlineStr">
        <is>
          <t>Block IP</t>
        </is>
      </c>
      <c r="N2027" s="188" t="inlineStr">
        <is>
          <t>https://rules.emergingthreats.net/blockrules/compromised-ips.txt</t>
        </is>
      </c>
      <c r="O2027" s="188" t="inlineStr">
        <is>
          <t>Block IP 103.39.222.143 at firewall | Emerging Threats compromised host</t>
        </is>
      </c>
      <c r="P2027" s="188" t="inlineStr">
        <is>
          <t>Network perimeter</t>
        </is>
      </c>
      <c r="Q2027" s="188" t="inlineStr">
        <is>
          <t>P3</t>
        </is>
      </c>
      <c r="R2027" s="188" t="inlineStr">
        <is>
          <t>🚫 Block IP at firewall immediately | 🔍 Check logs for existing connections | 🛡️ Add to threat intelligence blocklist</t>
        </is>
      </c>
      <c r="S2027" s="188" t="inlineStr">
        <is>
          <t>Check ip-api.com + AbuseIPDB for context</t>
        </is>
      </c>
      <c r="T2027" s="188" t="n">
        <v>0</v>
      </c>
      <c r="U2027" s="188" t="n">
        <v>0</v>
      </c>
      <c r="V2027" s="188" t="inlineStr">
        <is>
          <t>T1110:Brute Force | T1190:Exploit Public-Facing Application</t>
        </is>
      </c>
      <c r="W2027" s="188" t="n">
        <v>1</v>
      </c>
      <c r="X2027" s="188" t="inlineStr">
        <is>
          <t>LOW (40%)</t>
        </is>
      </c>
      <c r="Y2027" s="188" t="inlineStr">
        <is>
          <t>NONE</t>
        </is>
      </c>
      <c r="Z2027" s="188" t="inlineStr">
        <is>
          <t>NONE</t>
        </is>
      </c>
      <c r="AA2027" s="188" t="inlineStr">
        <is>
          <t>NONE</t>
        </is>
      </c>
      <c r="AB2027" s="188" t="inlineStr">
        <is>
          <t>NONE</t>
        </is>
      </c>
      <c r="AC2027" s="188" t="n">
        <v>0</v>
      </c>
      <c r="AD2027" s="188" t="inlineStr"/>
    </row>
    <row r="2028">
      <c r="A2028" s="188" t="inlineStr">
        <is>
          <t>EMERGING_THREAT_IP</t>
        </is>
      </c>
      <c r="B2028" s="188" t="inlineStr">
        <is>
          <t>ae885b936d47</t>
        </is>
      </c>
      <c r="C2028" s="188" t="inlineStr">
        <is>
          <t>Emerging Threats Compromised IP: 103.40.61.98 | Sources: EMERGING_THREATS</t>
        </is>
      </c>
      <c r="D2028" s="188" t="n">
        <v>6.5</v>
      </c>
      <c r="E2028" s="188" t="inlineStr">
        <is>
          <t>HIGH</t>
        </is>
      </c>
      <c r="F2028" s="188" t="n">
        <v>3</v>
      </c>
      <c r="G2028" s="188" t="n">
        <v>2</v>
      </c>
      <c r="H2028" s="188" t="inlineStr">
        <is>
          <t>HIGH</t>
        </is>
      </c>
      <c r="I2028" s="188" t="n">
        <v>12.5</v>
      </c>
      <c r="J2028" s="188" t="inlineStr">
        <is>
          <t>NO</t>
        </is>
      </c>
      <c r="K2028" s="188" t="inlineStr">
        <is>
          <t>https://rules.emergingthreats.net/</t>
        </is>
      </c>
      <c r="L2028" s="188" t="inlineStr">
        <is>
          <t>2026-02-26 00:15</t>
        </is>
      </c>
      <c r="M2028" s="188" t="inlineStr">
        <is>
          <t>Block IP</t>
        </is>
      </c>
      <c r="N2028" s="188" t="inlineStr">
        <is>
          <t>https://rules.emergingthreats.net/blockrules/compromised-ips.txt</t>
        </is>
      </c>
      <c r="O2028" s="188" t="inlineStr">
        <is>
          <t>Block IP 103.40.61.98 at firewall | Emerging Threats compromised host</t>
        </is>
      </c>
      <c r="P2028" s="188" t="inlineStr">
        <is>
          <t>Network perimeter</t>
        </is>
      </c>
      <c r="Q2028" s="188" t="inlineStr">
        <is>
          <t>P3</t>
        </is>
      </c>
      <c r="R2028" s="188" t="inlineStr">
        <is>
          <t>🚫 Block IP at firewall immediately | 🔍 Check logs for existing connections | 🛡️ Add to threat intelligence blocklist</t>
        </is>
      </c>
      <c r="S2028" s="188" t="inlineStr">
        <is>
          <t>Check ip-api.com + AbuseIPDB for context</t>
        </is>
      </c>
      <c r="T2028" s="188" t="n">
        <v>0</v>
      </c>
      <c r="U2028" s="188" t="n">
        <v>0</v>
      </c>
      <c r="V2028" s="188" t="inlineStr">
        <is>
          <t>T1110:Brute Force | T1190:Exploit Public-Facing Application</t>
        </is>
      </c>
      <c r="W2028" s="188" t="n">
        <v>1</v>
      </c>
      <c r="X2028" s="188" t="inlineStr">
        <is>
          <t>LOW (40%)</t>
        </is>
      </c>
      <c r="Y2028" s="188" t="inlineStr">
        <is>
          <t>NONE</t>
        </is>
      </c>
      <c r="Z2028" s="188" t="inlineStr">
        <is>
          <t>NONE</t>
        </is>
      </c>
      <c r="AA2028" s="188" t="inlineStr">
        <is>
          <t>NONE</t>
        </is>
      </c>
      <c r="AB2028" s="188" t="inlineStr">
        <is>
          <t>NONE</t>
        </is>
      </c>
      <c r="AC2028" s="188" t="n">
        <v>0</v>
      </c>
      <c r="AD2028" s="188" t="inlineStr"/>
    </row>
    <row r="2029">
      <c r="A2029" s="188" t="inlineStr">
        <is>
          <t>EMERGING_THREAT_IP</t>
        </is>
      </c>
      <c r="B2029" s="188" t="inlineStr">
        <is>
          <t>2ba8853e01d2</t>
        </is>
      </c>
      <c r="C2029" s="188" t="inlineStr">
        <is>
          <t>Emerging Threats Compromised IP: 103.63.24.38 | Sources: EMERGING_THREATS</t>
        </is>
      </c>
      <c r="D2029" s="188" t="n">
        <v>6.5</v>
      </c>
      <c r="E2029" s="188" t="inlineStr">
        <is>
          <t>HIGH</t>
        </is>
      </c>
      <c r="F2029" s="188" t="n">
        <v>3</v>
      </c>
      <c r="G2029" s="188" t="n">
        <v>2</v>
      </c>
      <c r="H2029" s="188" t="inlineStr">
        <is>
          <t>HIGH</t>
        </is>
      </c>
      <c r="I2029" s="188" t="n">
        <v>12.5</v>
      </c>
      <c r="J2029" s="188" t="inlineStr">
        <is>
          <t>NO</t>
        </is>
      </c>
      <c r="K2029" s="188" t="inlineStr">
        <is>
          <t>https://rules.emergingthreats.net/</t>
        </is>
      </c>
      <c r="L2029" s="188" t="inlineStr">
        <is>
          <t>2026-02-26 00:15</t>
        </is>
      </c>
      <c r="M2029" s="188" t="inlineStr">
        <is>
          <t>Block IP</t>
        </is>
      </c>
      <c r="N2029" s="188" t="inlineStr">
        <is>
          <t>https://rules.emergingthreats.net/blockrules/compromised-ips.txt</t>
        </is>
      </c>
      <c r="O2029" s="188" t="inlineStr">
        <is>
          <t>Block IP 103.63.24.38 at firewall | Emerging Threats compromised host</t>
        </is>
      </c>
      <c r="P2029" s="188" t="inlineStr">
        <is>
          <t>Network perimeter</t>
        </is>
      </c>
      <c r="Q2029" s="188" t="inlineStr">
        <is>
          <t>P3</t>
        </is>
      </c>
      <c r="R2029" s="188" t="inlineStr">
        <is>
          <t>🚫 Block IP at firewall immediately | 🔍 Check logs for existing connections | 🛡️ Add to threat intelligence blocklist</t>
        </is>
      </c>
      <c r="S2029" s="188" t="inlineStr">
        <is>
          <t>Check ip-api.com + AbuseIPDB for context</t>
        </is>
      </c>
      <c r="T2029" s="188" t="n">
        <v>0</v>
      </c>
      <c r="U2029" s="188" t="n">
        <v>0</v>
      </c>
      <c r="V2029" s="188" t="inlineStr">
        <is>
          <t>T1110:Brute Force | T1190:Exploit Public-Facing Application</t>
        </is>
      </c>
      <c r="W2029" s="188" t="n">
        <v>1</v>
      </c>
      <c r="X2029" s="188" t="inlineStr">
        <is>
          <t>LOW (40%)</t>
        </is>
      </c>
      <c r="Y2029" s="188" t="inlineStr">
        <is>
          <t>NONE</t>
        </is>
      </c>
      <c r="Z2029" s="188" t="inlineStr">
        <is>
          <t>NONE</t>
        </is>
      </c>
      <c r="AA2029" s="188" t="inlineStr">
        <is>
          <t>NONE</t>
        </is>
      </c>
      <c r="AB2029" s="188" t="inlineStr">
        <is>
          <t>NONE</t>
        </is>
      </c>
      <c r="AC2029" s="188" t="n">
        <v>0</v>
      </c>
      <c r="AD2029" s="188" t="inlineStr"/>
    </row>
    <row r="2030">
      <c r="A2030" s="188" t="inlineStr">
        <is>
          <t>EMERGING_THREAT_IP</t>
        </is>
      </c>
      <c r="B2030" s="188" t="inlineStr">
        <is>
          <t>935a49ba8025</t>
        </is>
      </c>
      <c r="C2030" s="188" t="inlineStr">
        <is>
          <t>Emerging Threats Compromised IP: 104.131.20.206 | Sources: EMERGING_THREATS</t>
        </is>
      </c>
      <c r="D2030" s="188" t="n">
        <v>6.5</v>
      </c>
      <c r="E2030" s="188" t="inlineStr">
        <is>
          <t>HIGH</t>
        </is>
      </c>
      <c r="F2030" s="188" t="n">
        <v>3</v>
      </c>
      <c r="G2030" s="188" t="n">
        <v>2</v>
      </c>
      <c r="H2030" s="188" t="inlineStr">
        <is>
          <t>HIGH</t>
        </is>
      </c>
      <c r="I2030" s="188" t="n">
        <v>12.5</v>
      </c>
      <c r="J2030" s="188" t="inlineStr">
        <is>
          <t>NO</t>
        </is>
      </c>
      <c r="K2030" s="188" t="inlineStr">
        <is>
          <t>https://rules.emergingthreats.net/</t>
        </is>
      </c>
      <c r="L2030" s="188" t="inlineStr">
        <is>
          <t>2026-02-26 00:15</t>
        </is>
      </c>
      <c r="M2030" s="188" t="inlineStr">
        <is>
          <t>Block IP</t>
        </is>
      </c>
      <c r="N2030" s="188" t="inlineStr">
        <is>
          <t>https://rules.emergingthreats.net/blockrules/compromised-ips.txt</t>
        </is>
      </c>
      <c r="O2030" s="188" t="inlineStr">
        <is>
          <t>Block IP 104.131.20.206 at firewall | Emerging Threats compromised host</t>
        </is>
      </c>
      <c r="P2030" s="188" t="inlineStr">
        <is>
          <t>Network perimeter</t>
        </is>
      </c>
      <c r="Q2030" s="188" t="inlineStr">
        <is>
          <t>P3</t>
        </is>
      </c>
      <c r="R2030" s="188" t="inlineStr">
        <is>
          <t>🚫 Block IP at firewall immediately | 🔍 Check logs for existing connections | 🛡️ Add to threat intelligence blocklist</t>
        </is>
      </c>
      <c r="S2030" s="188" t="inlineStr">
        <is>
          <t>Check ip-api.com + AbuseIPDB for context</t>
        </is>
      </c>
      <c r="T2030" s="188" t="n">
        <v>0</v>
      </c>
      <c r="U2030" s="188" t="n">
        <v>0</v>
      </c>
      <c r="V2030" s="188" t="inlineStr">
        <is>
          <t>T1110:Brute Force | T1190:Exploit Public-Facing Application</t>
        </is>
      </c>
      <c r="W2030" s="188" t="n">
        <v>1</v>
      </c>
      <c r="X2030" s="188" t="inlineStr">
        <is>
          <t>LOW (40%)</t>
        </is>
      </c>
      <c r="Y2030" s="188" t="inlineStr">
        <is>
          <t>NONE</t>
        </is>
      </c>
      <c r="Z2030" s="188" t="inlineStr">
        <is>
          <t>NONE</t>
        </is>
      </c>
      <c r="AA2030" s="188" t="inlineStr">
        <is>
          <t>NONE</t>
        </is>
      </c>
      <c r="AB2030" s="188" t="inlineStr">
        <is>
          <t>NONE</t>
        </is>
      </c>
      <c r="AC2030" s="188" t="n">
        <v>0</v>
      </c>
      <c r="AD2030" s="188" t="inlineStr"/>
    </row>
    <row r="2031">
      <c r="A2031" s="188" t="inlineStr">
        <is>
          <t>EMERGING_THREAT_IP</t>
        </is>
      </c>
      <c r="B2031" s="188" t="inlineStr">
        <is>
          <t>47a83752a21b</t>
        </is>
      </c>
      <c r="C2031" s="188" t="inlineStr">
        <is>
          <t>Emerging Threats Compromised IP: 104.131.4.130 | Sources: EMERGING_THREATS</t>
        </is>
      </c>
      <c r="D2031" s="188" t="n">
        <v>6.5</v>
      </c>
      <c r="E2031" s="188" t="inlineStr">
        <is>
          <t>HIGH</t>
        </is>
      </c>
      <c r="F2031" s="188" t="n">
        <v>3</v>
      </c>
      <c r="G2031" s="188" t="n">
        <v>2</v>
      </c>
      <c r="H2031" s="188" t="inlineStr">
        <is>
          <t>HIGH</t>
        </is>
      </c>
      <c r="I2031" s="188" t="n">
        <v>12.5</v>
      </c>
      <c r="J2031" s="188" t="inlineStr">
        <is>
          <t>NO</t>
        </is>
      </c>
      <c r="K2031" s="188" t="inlineStr">
        <is>
          <t>https://rules.emergingthreats.net/</t>
        </is>
      </c>
      <c r="L2031" s="188" t="inlineStr">
        <is>
          <t>2026-02-26 00:15</t>
        </is>
      </c>
      <c r="M2031" s="188" t="inlineStr">
        <is>
          <t>Block IP</t>
        </is>
      </c>
      <c r="N2031" s="188" t="inlineStr">
        <is>
          <t>https://rules.emergingthreats.net/blockrules/compromised-ips.txt</t>
        </is>
      </c>
      <c r="O2031" s="188" t="inlineStr">
        <is>
          <t>Block IP 104.131.4.130 at firewall | Emerging Threats compromised host</t>
        </is>
      </c>
      <c r="P2031" s="188" t="inlineStr">
        <is>
          <t>Network perimeter</t>
        </is>
      </c>
      <c r="Q2031" s="188" t="inlineStr">
        <is>
          <t>P3</t>
        </is>
      </c>
      <c r="R2031" s="188" t="inlineStr">
        <is>
          <t>🚫 Block IP at firewall immediately | 🔍 Check logs for existing connections | 🛡️ Add to threat intelligence blocklist</t>
        </is>
      </c>
      <c r="S2031" s="188" t="inlineStr">
        <is>
          <t>Check ip-api.com + AbuseIPDB for context</t>
        </is>
      </c>
      <c r="T2031" s="188" t="n">
        <v>0</v>
      </c>
      <c r="U2031" s="188" t="n">
        <v>0</v>
      </c>
      <c r="V2031" s="188" t="inlineStr">
        <is>
          <t>T1110:Brute Force | T1190:Exploit Public-Facing Application</t>
        </is>
      </c>
      <c r="W2031" s="188" t="n">
        <v>1</v>
      </c>
      <c r="X2031" s="188" t="inlineStr">
        <is>
          <t>LOW (40%)</t>
        </is>
      </c>
      <c r="Y2031" s="188" t="inlineStr">
        <is>
          <t>NONE</t>
        </is>
      </c>
      <c r="Z2031" s="188" t="inlineStr">
        <is>
          <t>NONE</t>
        </is>
      </c>
      <c r="AA2031" s="188" t="inlineStr">
        <is>
          <t>NONE</t>
        </is>
      </c>
      <c r="AB2031" s="188" t="inlineStr">
        <is>
          <t>NONE</t>
        </is>
      </c>
      <c r="AC2031" s="188" t="n">
        <v>0</v>
      </c>
      <c r="AD2031" s="188" t="inlineStr"/>
    </row>
    <row r="2032">
      <c r="A2032" s="188" t="inlineStr">
        <is>
          <t>EMERGING_THREAT_IP</t>
        </is>
      </c>
      <c r="B2032" s="188" t="inlineStr">
        <is>
          <t>4125319882fc</t>
        </is>
      </c>
      <c r="C2032" s="188" t="inlineStr">
        <is>
          <t>Emerging Threats Compromised IP: 104.168.4.152 | Sources: EMERGING_THREATS</t>
        </is>
      </c>
      <c r="D2032" s="188" t="n">
        <v>6.5</v>
      </c>
      <c r="E2032" s="188" t="inlineStr">
        <is>
          <t>HIGH</t>
        </is>
      </c>
      <c r="F2032" s="188" t="n">
        <v>3</v>
      </c>
      <c r="G2032" s="188" t="n">
        <v>2</v>
      </c>
      <c r="H2032" s="188" t="inlineStr">
        <is>
          <t>HIGH</t>
        </is>
      </c>
      <c r="I2032" s="188" t="n">
        <v>12.5</v>
      </c>
      <c r="J2032" s="188" t="inlineStr">
        <is>
          <t>NO</t>
        </is>
      </c>
      <c r="K2032" s="188" t="inlineStr">
        <is>
          <t>https://rules.emergingthreats.net/</t>
        </is>
      </c>
      <c r="L2032" s="188" t="inlineStr">
        <is>
          <t>2026-02-26 00:15</t>
        </is>
      </c>
      <c r="M2032" s="188" t="inlineStr">
        <is>
          <t>Block IP</t>
        </is>
      </c>
      <c r="N2032" s="188" t="inlineStr">
        <is>
          <t>https://rules.emergingthreats.net/blockrules/compromised-ips.txt</t>
        </is>
      </c>
      <c r="O2032" s="188" t="inlineStr">
        <is>
          <t>Block IP 104.168.4.152 at firewall | Emerging Threats compromised host</t>
        </is>
      </c>
      <c r="P2032" s="188" t="inlineStr">
        <is>
          <t>Network perimeter</t>
        </is>
      </c>
      <c r="Q2032" s="188" t="inlineStr">
        <is>
          <t>P3</t>
        </is>
      </c>
      <c r="R2032" s="188" t="inlineStr">
        <is>
          <t>🚫 Block IP at firewall immediately | 🔍 Check logs for existing connections | 🛡️ Add to threat intelligence blocklist</t>
        </is>
      </c>
      <c r="S2032" s="188" t="inlineStr">
        <is>
          <t>Check ip-api.com + AbuseIPDB for context</t>
        </is>
      </c>
      <c r="T2032" s="188" t="n">
        <v>0</v>
      </c>
      <c r="U2032" s="188" t="n">
        <v>0</v>
      </c>
      <c r="V2032" s="188" t="inlineStr">
        <is>
          <t>T1110:Brute Force | T1190:Exploit Public-Facing Application</t>
        </is>
      </c>
      <c r="W2032" s="188" t="n">
        <v>1</v>
      </c>
      <c r="X2032" s="188" t="inlineStr">
        <is>
          <t>LOW (40%)</t>
        </is>
      </c>
      <c r="Y2032" s="188" t="inlineStr">
        <is>
          <t>NONE</t>
        </is>
      </c>
      <c r="Z2032" s="188" t="inlineStr">
        <is>
          <t>NONE</t>
        </is>
      </c>
      <c r="AA2032" s="188" t="inlineStr">
        <is>
          <t>NONE</t>
        </is>
      </c>
      <c r="AB2032" s="188" t="inlineStr">
        <is>
          <t>NONE</t>
        </is>
      </c>
      <c r="AC2032" s="188" t="n">
        <v>0</v>
      </c>
      <c r="AD2032" s="188" t="inlineStr"/>
    </row>
    <row r="2033">
      <c r="A2033" s="188" t="inlineStr">
        <is>
          <t>EMERGING_THREAT_IP</t>
        </is>
      </c>
      <c r="B2033" s="188" t="inlineStr">
        <is>
          <t>55063dd94c21</t>
        </is>
      </c>
      <c r="C2033" s="188" t="inlineStr">
        <is>
          <t>Emerging Threats Compromised IP: 104.236.80.177 | Sources: EMERGING_THREATS</t>
        </is>
      </c>
      <c r="D2033" s="188" t="n">
        <v>6.5</v>
      </c>
      <c r="E2033" s="188" t="inlineStr">
        <is>
          <t>HIGH</t>
        </is>
      </c>
      <c r="F2033" s="188" t="n">
        <v>3</v>
      </c>
      <c r="G2033" s="188" t="n">
        <v>2</v>
      </c>
      <c r="H2033" s="188" t="inlineStr">
        <is>
          <t>HIGH</t>
        </is>
      </c>
      <c r="I2033" s="188" t="n">
        <v>12.5</v>
      </c>
      <c r="J2033" s="188" t="inlineStr">
        <is>
          <t>NO</t>
        </is>
      </c>
      <c r="K2033" s="188" t="inlineStr">
        <is>
          <t>https://rules.emergingthreats.net/</t>
        </is>
      </c>
      <c r="L2033" s="188" t="inlineStr">
        <is>
          <t>2026-02-26 00:15</t>
        </is>
      </c>
      <c r="M2033" s="188" t="inlineStr">
        <is>
          <t>Block IP</t>
        </is>
      </c>
      <c r="N2033" s="188" t="inlineStr">
        <is>
          <t>https://rules.emergingthreats.net/blockrules/compromised-ips.txt</t>
        </is>
      </c>
      <c r="O2033" s="188" t="inlineStr">
        <is>
          <t>Block IP 104.236.80.177 at firewall | Emerging Threats compromised host</t>
        </is>
      </c>
      <c r="P2033" s="188" t="inlineStr">
        <is>
          <t>Network perimeter</t>
        </is>
      </c>
      <c r="Q2033" s="188" t="inlineStr">
        <is>
          <t>P3</t>
        </is>
      </c>
      <c r="R2033" s="188" t="inlineStr">
        <is>
          <t>🚫 Block IP at firewall immediately | 🔍 Check logs for existing connections | 🛡️ Add to threat intelligence blocklist</t>
        </is>
      </c>
      <c r="S2033" s="188" t="inlineStr">
        <is>
          <t>Check ip-api.com + AbuseIPDB for context</t>
        </is>
      </c>
      <c r="T2033" s="188" t="n">
        <v>0</v>
      </c>
      <c r="U2033" s="188" t="n">
        <v>0</v>
      </c>
      <c r="V2033" s="188" t="inlineStr">
        <is>
          <t>T1110:Brute Force | T1190:Exploit Public-Facing Application</t>
        </is>
      </c>
      <c r="W2033" s="188" t="n">
        <v>1</v>
      </c>
      <c r="X2033" s="188" t="inlineStr">
        <is>
          <t>LOW (40%)</t>
        </is>
      </c>
      <c r="Y2033" s="188" t="inlineStr">
        <is>
          <t>NONE</t>
        </is>
      </c>
      <c r="Z2033" s="188" t="inlineStr">
        <is>
          <t>NONE</t>
        </is>
      </c>
      <c r="AA2033" s="188" t="inlineStr">
        <is>
          <t>NONE</t>
        </is>
      </c>
      <c r="AB2033" s="188" t="inlineStr">
        <is>
          <t>NONE</t>
        </is>
      </c>
      <c r="AC2033" s="188" t="n">
        <v>0</v>
      </c>
      <c r="AD2033" s="188" t="inlineStr"/>
    </row>
    <row r="2034">
      <c r="A2034" s="188" t="inlineStr">
        <is>
          <t>EMERGING_THREAT_IP</t>
        </is>
      </c>
      <c r="B2034" s="188" t="inlineStr">
        <is>
          <t>50750a0dd5f6</t>
        </is>
      </c>
      <c r="C2034" s="188" t="inlineStr">
        <is>
          <t>Emerging Threats Compromised IP: 104.236.84.17 | Sources: EMERGING_THREATS</t>
        </is>
      </c>
      <c r="D2034" s="188" t="n">
        <v>6.5</v>
      </c>
      <c r="E2034" s="188" t="inlineStr">
        <is>
          <t>HIGH</t>
        </is>
      </c>
      <c r="F2034" s="188" t="n">
        <v>3</v>
      </c>
      <c r="G2034" s="188" t="n">
        <v>2</v>
      </c>
      <c r="H2034" s="188" t="inlineStr">
        <is>
          <t>HIGH</t>
        </is>
      </c>
      <c r="I2034" s="188" t="n">
        <v>12.5</v>
      </c>
      <c r="J2034" s="188" t="inlineStr">
        <is>
          <t>NO</t>
        </is>
      </c>
      <c r="K2034" s="188" t="inlineStr">
        <is>
          <t>https://rules.emergingthreats.net/</t>
        </is>
      </c>
      <c r="L2034" s="188" t="inlineStr">
        <is>
          <t>2026-02-26 00:15</t>
        </is>
      </c>
      <c r="M2034" s="188" t="inlineStr">
        <is>
          <t>Block IP</t>
        </is>
      </c>
      <c r="N2034" s="188" t="inlineStr">
        <is>
          <t>https://rules.emergingthreats.net/blockrules/compromised-ips.txt</t>
        </is>
      </c>
      <c r="O2034" s="188" t="inlineStr">
        <is>
          <t>Block IP 104.236.84.17 at firewall | Emerging Threats compromised host</t>
        </is>
      </c>
      <c r="P2034" s="188" t="inlineStr">
        <is>
          <t>Network perimeter</t>
        </is>
      </c>
      <c r="Q2034" s="188" t="inlineStr">
        <is>
          <t>P3</t>
        </is>
      </c>
      <c r="R2034" s="188" t="inlineStr">
        <is>
          <t>🚫 Block IP at firewall immediately | 🔍 Check logs for existing connections | 🛡️ Add to threat intelligence blocklist</t>
        </is>
      </c>
      <c r="S2034" s="188" t="inlineStr">
        <is>
          <t>Check ip-api.com + AbuseIPDB for context</t>
        </is>
      </c>
      <c r="T2034" s="188" t="n">
        <v>0</v>
      </c>
      <c r="U2034" s="188" t="n">
        <v>0</v>
      </c>
      <c r="V2034" s="188" t="inlineStr">
        <is>
          <t>T1110:Brute Force | T1190:Exploit Public-Facing Application</t>
        </is>
      </c>
      <c r="W2034" s="188" t="n">
        <v>1</v>
      </c>
      <c r="X2034" s="188" t="inlineStr">
        <is>
          <t>LOW (40%)</t>
        </is>
      </c>
      <c r="Y2034" s="188" t="inlineStr">
        <is>
          <t>NONE</t>
        </is>
      </c>
      <c r="Z2034" s="188" t="inlineStr">
        <is>
          <t>NONE</t>
        </is>
      </c>
      <c r="AA2034" s="188" t="inlineStr">
        <is>
          <t>NONE</t>
        </is>
      </c>
      <c r="AB2034" s="188" t="inlineStr">
        <is>
          <t>NONE</t>
        </is>
      </c>
      <c r="AC2034" s="188" t="n">
        <v>0</v>
      </c>
      <c r="AD2034" s="188" t="inlineStr"/>
    </row>
    <row r="2035">
      <c r="A2035" s="188" t="inlineStr">
        <is>
          <t>EMERGING_THREAT_IP</t>
        </is>
      </c>
      <c r="B2035" s="188" t="inlineStr">
        <is>
          <t>5ea9455342e5</t>
        </is>
      </c>
      <c r="C2035" s="188" t="inlineStr">
        <is>
          <t>Emerging Threats Compromised IP: 104.236.95.108 | Sources: EMERGING_THREATS</t>
        </is>
      </c>
      <c r="D2035" s="188" t="n">
        <v>6.5</v>
      </c>
      <c r="E2035" s="188" t="inlineStr">
        <is>
          <t>HIGH</t>
        </is>
      </c>
      <c r="F2035" s="188" t="n">
        <v>3</v>
      </c>
      <c r="G2035" s="188" t="n">
        <v>2</v>
      </c>
      <c r="H2035" s="188" t="inlineStr">
        <is>
          <t>HIGH</t>
        </is>
      </c>
      <c r="I2035" s="188" t="n">
        <v>12.5</v>
      </c>
      <c r="J2035" s="188" t="inlineStr">
        <is>
          <t>NO</t>
        </is>
      </c>
      <c r="K2035" s="188" t="inlineStr">
        <is>
          <t>https://rules.emergingthreats.net/</t>
        </is>
      </c>
      <c r="L2035" s="188" t="inlineStr">
        <is>
          <t>2026-02-26 00:15</t>
        </is>
      </c>
      <c r="M2035" s="188" t="inlineStr">
        <is>
          <t>Block IP</t>
        </is>
      </c>
      <c r="N2035" s="188" t="inlineStr">
        <is>
          <t>https://rules.emergingthreats.net/blockrules/compromised-ips.txt</t>
        </is>
      </c>
      <c r="O2035" s="188" t="inlineStr">
        <is>
          <t>Block IP 104.236.95.108 at firewall | Emerging Threats compromised host</t>
        </is>
      </c>
      <c r="P2035" s="188" t="inlineStr">
        <is>
          <t>Network perimeter</t>
        </is>
      </c>
      <c r="Q2035" s="188" t="inlineStr">
        <is>
          <t>P3</t>
        </is>
      </c>
      <c r="R2035" s="188" t="inlineStr">
        <is>
          <t>🚫 Block IP at firewall immediately | 🔍 Check logs for existing connections | 🛡️ Add to threat intelligence blocklist</t>
        </is>
      </c>
      <c r="S2035" s="188" t="inlineStr">
        <is>
          <t>Check ip-api.com + AbuseIPDB for context</t>
        </is>
      </c>
      <c r="T2035" s="188" t="n">
        <v>0</v>
      </c>
      <c r="U2035" s="188" t="n">
        <v>0</v>
      </c>
      <c r="V2035" s="188" t="inlineStr">
        <is>
          <t>T1110:Brute Force | T1190:Exploit Public-Facing Application</t>
        </is>
      </c>
      <c r="W2035" s="188" t="n">
        <v>1</v>
      </c>
      <c r="X2035" s="188" t="inlineStr">
        <is>
          <t>LOW (40%)</t>
        </is>
      </c>
      <c r="Y2035" s="188" t="inlineStr">
        <is>
          <t>NONE</t>
        </is>
      </c>
      <c r="Z2035" s="188" t="inlineStr">
        <is>
          <t>NONE</t>
        </is>
      </c>
      <c r="AA2035" s="188" t="inlineStr">
        <is>
          <t>NONE</t>
        </is>
      </c>
      <c r="AB2035" s="188" t="inlineStr">
        <is>
          <t>NONE</t>
        </is>
      </c>
      <c r="AC2035" s="188" t="n">
        <v>0</v>
      </c>
      <c r="AD2035" s="188" t="inlineStr"/>
    </row>
    <row r="2036">
      <c r="A2036" s="188" t="inlineStr">
        <is>
          <t>EMERGING_THREAT_IP</t>
        </is>
      </c>
      <c r="B2036" s="188" t="inlineStr">
        <is>
          <t>7b158df7da56</t>
        </is>
      </c>
      <c r="C2036" s="188" t="inlineStr">
        <is>
          <t>Emerging Threats Compromised IP: 104.248.41.74 | Sources: EMERGING_THREATS</t>
        </is>
      </c>
      <c r="D2036" s="188" t="n">
        <v>6.5</v>
      </c>
      <c r="E2036" s="188" t="inlineStr">
        <is>
          <t>HIGH</t>
        </is>
      </c>
      <c r="F2036" s="188" t="n">
        <v>3</v>
      </c>
      <c r="G2036" s="188" t="n">
        <v>2</v>
      </c>
      <c r="H2036" s="188" t="inlineStr">
        <is>
          <t>HIGH</t>
        </is>
      </c>
      <c r="I2036" s="188" t="n">
        <v>12.5</v>
      </c>
      <c r="J2036" s="188" t="inlineStr">
        <is>
          <t>NO</t>
        </is>
      </c>
      <c r="K2036" s="188" t="inlineStr">
        <is>
          <t>https://rules.emergingthreats.net/</t>
        </is>
      </c>
      <c r="L2036" s="188" t="inlineStr">
        <is>
          <t>2026-02-26 00:15</t>
        </is>
      </c>
      <c r="M2036" s="188" t="inlineStr">
        <is>
          <t>Block IP</t>
        </is>
      </c>
      <c r="N2036" s="188" t="inlineStr">
        <is>
          <t>https://rules.emergingthreats.net/blockrules/compromised-ips.txt</t>
        </is>
      </c>
      <c r="O2036" s="188" t="inlineStr">
        <is>
          <t>Block IP 104.248.41.74 at firewall | Emerging Threats compromised host</t>
        </is>
      </c>
      <c r="P2036" s="188" t="inlineStr">
        <is>
          <t>Network perimeter</t>
        </is>
      </c>
      <c r="Q2036" s="188" t="inlineStr">
        <is>
          <t>P3</t>
        </is>
      </c>
      <c r="R2036" s="188" t="inlineStr">
        <is>
          <t>🚫 Block IP at firewall immediately | 🔍 Check logs for existing connections | 🛡️ Add to threat intelligence blocklist</t>
        </is>
      </c>
      <c r="S2036" s="188" t="inlineStr">
        <is>
          <t>Check ip-api.com + AbuseIPDB for context</t>
        </is>
      </c>
      <c r="T2036" s="188" t="n">
        <v>0</v>
      </c>
      <c r="U2036" s="188" t="n">
        <v>0</v>
      </c>
      <c r="V2036" s="188" t="inlineStr">
        <is>
          <t>T1110:Brute Force | T1190:Exploit Public-Facing Application</t>
        </is>
      </c>
      <c r="W2036" s="188" t="n">
        <v>1</v>
      </c>
      <c r="X2036" s="188" t="inlineStr">
        <is>
          <t>LOW (40%)</t>
        </is>
      </c>
      <c r="Y2036" s="188" t="inlineStr">
        <is>
          <t>NONE</t>
        </is>
      </c>
      <c r="Z2036" s="188" t="inlineStr">
        <is>
          <t>NONE</t>
        </is>
      </c>
      <c r="AA2036" s="188" t="inlineStr">
        <is>
          <t>NONE</t>
        </is>
      </c>
      <c r="AB2036" s="188" t="inlineStr">
        <is>
          <t>NONE</t>
        </is>
      </c>
      <c r="AC2036" s="188" t="n">
        <v>0</v>
      </c>
      <c r="AD2036" s="188" t="inlineStr"/>
    </row>
    <row r="2037">
      <c r="A2037" s="188" t="inlineStr">
        <is>
          <t>EMERGING_THREAT_IP</t>
        </is>
      </c>
      <c r="B2037" s="188" t="inlineStr">
        <is>
          <t>0f5bdeffdf57</t>
        </is>
      </c>
      <c r="C2037" s="188" t="inlineStr">
        <is>
          <t>Emerging Threats Compromised IP: 104.248.84.27 | Sources: EMERGING_THREATS</t>
        </is>
      </c>
      <c r="D2037" s="188" t="n">
        <v>6.5</v>
      </c>
      <c r="E2037" s="188" t="inlineStr">
        <is>
          <t>HIGH</t>
        </is>
      </c>
      <c r="F2037" s="188" t="n">
        <v>3</v>
      </c>
      <c r="G2037" s="188" t="n">
        <v>2</v>
      </c>
      <c r="H2037" s="188" t="inlineStr">
        <is>
          <t>HIGH</t>
        </is>
      </c>
      <c r="I2037" s="188" t="n">
        <v>12.5</v>
      </c>
      <c r="J2037" s="188" t="inlineStr">
        <is>
          <t>NO</t>
        </is>
      </c>
      <c r="K2037" s="188" t="inlineStr">
        <is>
          <t>https://rules.emergingthreats.net/</t>
        </is>
      </c>
      <c r="L2037" s="188" t="inlineStr">
        <is>
          <t>2026-02-26 00:15</t>
        </is>
      </c>
      <c r="M2037" s="188" t="inlineStr">
        <is>
          <t>Block IP</t>
        </is>
      </c>
      <c r="N2037" s="188" t="inlineStr">
        <is>
          <t>https://rules.emergingthreats.net/blockrules/compromised-ips.txt</t>
        </is>
      </c>
      <c r="O2037" s="188" t="inlineStr">
        <is>
          <t>Block IP 104.248.84.27 at firewall | Emerging Threats compromised host</t>
        </is>
      </c>
      <c r="P2037" s="188" t="inlineStr">
        <is>
          <t>Network perimeter</t>
        </is>
      </c>
      <c r="Q2037" s="188" t="inlineStr">
        <is>
          <t>P3</t>
        </is>
      </c>
      <c r="R2037" s="188" t="inlineStr">
        <is>
          <t>🚫 Block IP at firewall immediately | 🔍 Check logs for existing connections | 🛡️ Add to threat intelligence blocklist</t>
        </is>
      </c>
      <c r="S2037" s="188" t="inlineStr">
        <is>
          <t>Check ip-api.com + AbuseIPDB for context</t>
        </is>
      </c>
      <c r="T2037" s="188" t="n">
        <v>0</v>
      </c>
      <c r="U2037" s="188" t="n">
        <v>0</v>
      </c>
      <c r="V2037" s="188" t="inlineStr">
        <is>
          <t>T1110:Brute Force | T1190:Exploit Public-Facing Application</t>
        </is>
      </c>
      <c r="W2037" s="188" t="n">
        <v>1</v>
      </c>
      <c r="X2037" s="188" t="inlineStr">
        <is>
          <t>LOW (40%)</t>
        </is>
      </c>
      <c r="Y2037" s="188" t="inlineStr">
        <is>
          <t>NONE</t>
        </is>
      </c>
      <c r="Z2037" s="188" t="inlineStr">
        <is>
          <t>NONE</t>
        </is>
      </c>
      <c r="AA2037" s="188" t="inlineStr">
        <is>
          <t>NONE</t>
        </is>
      </c>
      <c r="AB2037" s="188" t="inlineStr">
        <is>
          <t>NONE</t>
        </is>
      </c>
      <c r="AC2037" s="188" t="n">
        <v>0</v>
      </c>
      <c r="AD2037" s="188" t="inlineStr"/>
    </row>
    <row r="2038">
      <c r="A2038" s="188" t="inlineStr">
        <is>
          <t>EMERGING_THREAT_IP</t>
        </is>
      </c>
      <c r="B2038" s="188" t="inlineStr">
        <is>
          <t>3f924c0230ce</t>
        </is>
      </c>
      <c r="C2038" s="188" t="inlineStr">
        <is>
          <t>Emerging Threats Compromised IP: 106.124.137.21 | Sources: EMERGING_THREATS</t>
        </is>
      </c>
      <c r="D2038" s="188" t="n">
        <v>6.5</v>
      </c>
      <c r="E2038" s="188" t="inlineStr">
        <is>
          <t>HIGH</t>
        </is>
      </c>
      <c r="F2038" s="188" t="n">
        <v>3</v>
      </c>
      <c r="G2038" s="188" t="n">
        <v>2</v>
      </c>
      <c r="H2038" s="188" t="inlineStr">
        <is>
          <t>HIGH</t>
        </is>
      </c>
      <c r="I2038" s="188" t="n">
        <v>12.5</v>
      </c>
      <c r="J2038" s="188" t="inlineStr">
        <is>
          <t>NO</t>
        </is>
      </c>
      <c r="K2038" s="188" t="inlineStr">
        <is>
          <t>https://rules.emergingthreats.net/</t>
        </is>
      </c>
      <c r="L2038" s="188" t="inlineStr">
        <is>
          <t>2026-02-26 00:15</t>
        </is>
      </c>
      <c r="M2038" s="188" t="inlineStr">
        <is>
          <t>Block IP</t>
        </is>
      </c>
      <c r="N2038" s="188" t="inlineStr">
        <is>
          <t>https://rules.emergingthreats.net/blockrules/compromised-ips.txt</t>
        </is>
      </c>
      <c r="O2038" s="188" t="inlineStr">
        <is>
          <t>Block IP 106.124.137.21 at firewall | Emerging Threats compromised host</t>
        </is>
      </c>
      <c r="P2038" s="188" t="inlineStr">
        <is>
          <t>Network perimeter</t>
        </is>
      </c>
      <c r="Q2038" s="188" t="inlineStr">
        <is>
          <t>P3</t>
        </is>
      </c>
      <c r="R2038" s="188" t="inlineStr">
        <is>
          <t>🚫 Block IP at firewall immediately | 🔍 Check logs for existing connections | 🛡️ Add to threat intelligence blocklist</t>
        </is>
      </c>
      <c r="S2038" s="188" t="inlineStr">
        <is>
          <t>Check ip-api.com + AbuseIPDB for context</t>
        </is>
      </c>
      <c r="T2038" s="188" t="n">
        <v>0</v>
      </c>
      <c r="U2038" s="188" t="n">
        <v>0</v>
      </c>
      <c r="V2038" s="188" t="inlineStr">
        <is>
          <t>T1110:Brute Force | T1190:Exploit Public-Facing Application</t>
        </is>
      </c>
      <c r="W2038" s="188" t="n">
        <v>1</v>
      </c>
      <c r="X2038" s="188" t="inlineStr">
        <is>
          <t>LOW (40%)</t>
        </is>
      </c>
      <c r="Y2038" s="188" t="inlineStr">
        <is>
          <t>NONE</t>
        </is>
      </c>
      <c r="Z2038" s="188" t="inlineStr">
        <is>
          <t>NONE</t>
        </is>
      </c>
      <c r="AA2038" s="188" t="inlineStr">
        <is>
          <t>NONE</t>
        </is>
      </c>
      <c r="AB2038" s="188" t="inlineStr">
        <is>
          <t>NONE</t>
        </is>
      </c>
      <c r="AC2038" s="188" t="n">
        <v>0</v>
      </c>
      <c r="AD2038" s="188" t="inlineStr"/>
    </row>
    <row r="2039">
      <c r="A2039" s="188" t="inlineStr">
        <is>
          <t>EMERGING_THREAT_IP</t>
        </is>
      </c>
      <c r="B2039" s="188" t="inlineStr">
        <is>
          <t>9129fa0e480d</t>
        </is>
      </c>
      <c r="C2039" s="188" t="inlineStr">
        <is>
          <t>Emerging Threats Compromised IP: 106.74.27.94 | Sources: EMERGING_THREATS</t>
        </is>
      </c>
      <c r="D2039" s="188" t="n">
        <v>6.5</v>
      </c>
      <c r="E2039" s="188" t="inlineStr">
        <is>
          <t>HIGH</t>
        </is>
      </c>
      <c r="F2039" s="188" t="n">
        <v>3</v>
      </c>
      <c r="G2039" s="188" t="n">
        <v>2</v>
      </c>
      <c r="H2039" s="188" t="inlineStr">
        <is>
          <t>HIGH</t>
        </is>
      </c>
      <c r="I2039" s="188" t="n">
        <v>12.5</v>
      </c>
      <c r="J2039" s="188" t="inlineStr">
        <is>
          <t>NO</t>
        </is>
      </c>
      <c r="K2039" s="188" t="inlineStr">
        <is>
          <t>https://rules.emergingthreats.net/</t>
        </is>
      </c>
      <c r="L2039" s="188" t="inlineStr">
        <is>
          <t>2026-02-26 00:15</t>
        </is>
      </c>
      <c r="M2039" s="188" t="inlineStr">
        <is>
          <t>Block IP</t>
        </is>
      </c>
      <c r="N2039" s="188" t="inlineStr">
        <is>
          <t>https://rules.emergingthreats.net/blockrules/compromised-ips.txt</t>
        </is>
      </c>
      <c r="O2039" s="188" t="inlineStr">
        <is>
          <t>Block IP 106.74.27.94 at firewall | Emerging Threats compromised host</t>
        </is>
      </c>
      <c r="P2039" s="188" t="inlineStr">
        <is>
          <t>Network perimeter</t>
        </is>
      </c>
      <c r="Q2039" s="188" t="inlineStr">
        <is>
          <t>P3</t>
        </is>
      </c>
      <c r="R2039" s="188" t="inlineStr">
        <is>
          <t>🚫 Block IP at firewall immediately | 🔍 Check logs for existing connections | 🛡️ Add to threat intelligence blocklist</t>
        </is>
      </c>
      <c r="S2039" s="188" t="inlineStr">
        <is>
          <t>Check ip-api.com + AbuseIPDB for context</t>
        </is>
      </c>
      <c r="T2039" s="188" t="n">
        <v>0</v>
      </c>
      <c r="U2039" s="188" t="n">
        <v>0</v>
      </c>
      <c r="V2039" s="188" t="inlineStr">
        <is>
          <t>T1110:Brute Force | T1190:Exploit Public-Facing Application</t>
        </is>
      </c>
      <c r="W2039" s="188" t="n">
        <v>1</v>
      </c>
      <c r="X2039" s="188" t="inlineStr">
        <is>
          <t>LOW (40%)</t>
        </is>
      </c>
      <c r="Y2039" s="188" t="inlineStr">
        <is>
          <t>NONE</t>
        </is>
      </c>
      <c r="Z2039" s="188" t="inlineStr">
        <is>
          <t>NONE</t>
        </is>
      </c>
      <c r="AA2039" s="188" t="inlineStr">
        <is>
          <t>NONE</t>
        </is>
      </c>
      <c r="AB2039" s="188" t="inlineStr">
        <is>
          <t>NONE</t>
        </is>
      </c>
      <c r="AC2039" s="188" t="n">
        <v>0</v>
      </c>
      <c r="AD2039" s="188" t="inlineStr"/>
    </row>
    <row r="2040">
      <c r="A2040" s="188" t="inlineStr">
        <is>
          <t>EMERGING_THREAT_IP</t>
        </is>
      </c>
      <c r="B2040" s="188" t="inlineStr">
        <is>
          <t>f70533669fa1</t>
        </is>
      </c>
      <c r="C2040" s="188" t="inlineStr">
        <is>
          <t>Emerging Threats Compromised IP: 107.175.114.119 | Sources: EMERGING_THREATS</t>
        </is>
      </c>
      <c r="D2040" s="188" t="n">
        <v>6.5</v>
      </c>
      <c r="E2040" s="188" t="inlineStr">
        <is>
          <t>HIGH</t>
        </is>
      </c>
      <c r="F2040" s="188" t="n">
        <v>3</v>
      </c>
      <c r="G2040" s="188" t="n">
        <v>2</v>
      </c>
      <c r="H2040" s="188" t="inlineStr">
        <is>
          <t>HIGH</t>
        </is>
      </c>
      <c r="I2040" s="188" t="n">
        <v>12.5</v>
      </c>
      <c r="J2040" s="188" t="inlineStr">
        <is>
          <t>NO</t>
        </is>
      </c>
      <c r="K2040" s="188" t="inlineStr">
        <is>
          <t>https://rules.emergingthreats.net/</t>
        </is>
      </c>
      <c r="L2040" s="188" t="inlineStr">
        <is>
          <t>2026-02-26 00:15</t>
        </is>
      </c>
      <c r="M2040" s="188" t="inlineStr">
        <is>
          <t>Block IP</t>
        </is>
      </c>
      <c r="N2040" s="188" t="inlineStr">
        <is>
          <t>https://rules.emergingthreats.net/blockrules/compromised-ips.txt</t>
        </is>
      </c>
      <c r="O2040" s="188" t="inlineStr">
        <is>
          <t>Block IP 107.175.114.119 at firewall | Emerging Threats compromised host</t>
        </is>
      </c>
      <c r="P2040" s="188" t="inlineStr">
        <is>
          <t>Network perimeter</t>
        </is>
      </c>
      <c r="Q2040" s="188" t="inlineStr">
        <is>
          <t>P3</t>
        </is>
      </c>
      <c r="R2040" s="188" t="inlineStr">
        <is>
          <t>🚫 Block IP at firewall immediately | 🔍 Check logs for existing connections | 🛡️ Add to threat intelligence blocklist</t>
        </is>
      </c>
      <c r="S2040" s="188" t="inlineStr">
        <is>
          <t>Check ip-api.com + AbuseIPDB for context</t>
        </is>
      </c>
      <c r="T2040" s="188" t="n">
        <v>0</v>
      </c>
      <c r="U2040" s="188" t="n">
        <v>0</v>
      </c>
      <c r="V2040" s="188" t="inlineStr">
        <is>
          <t>T1110:Brute Force | T1190:Exploit Public-Facing Application</t>
        </is>
      </c>
      <c r="W2040" s="188" t="n">
        <v>1</v>
      </c>
      <c r="X2040" s="188" t="inlineStr">
        <is>
          <t>LOW (40%)</t>
        </is>
      </c>
      <c r="Y2040" s="188" t="inlineStr">
        <is>
          <t>NONE</t>
        </is>
      </c>
      <c r="Z2040" s="188" t="inlineStr">
        <is>
          <t>NONE</t>
        </is>
      </c>
      <c r="AA2040" s="188" t="inlineStr">
        <is>
          <t>NONE</t>
        </is>
      </c>
      <c r="AB2040" s="188" t="inlineStr">
        <is>
          <t>NONE</t>
        </is>
      </c>
      <c r="AC2040" s="188" t="n">
        <v>0</v>
      </c>
      <c r="AD2040" s="188" t="inlineStr"/>
    </row>
    <row r="2041">
      <c r="A2041" s="188" t="inlineStr">
        <is>
          <t>EMERGING_THREAT_IP</t>
        </is>
      </c>
      <c r="B2041" s="188" t="inlineStr">
        <is>
          <t>8d4c992d158f</t>
        </is>
      </c>
      <c r="C2041" s="188" t="inlineStr">
        <is>
          <t>Emerging Threats Compromised IP: 109.122.196.176 | Sources: EMERGING_THREATS</t>
        </is>
      </c>
      <c r="D2041" s="188" t="n">
        <v>6.5</v>
      </c>
      <c r="E2041" s="188" t="inlineStr">
        <is>
          <t>HIGH</t>
        </is>
      </c>
      <c r="F2041" s="188" t="n">
        <v>3</v>
      </c>
      <c r="G2041" s="188" t="n">
        <v>2</v>
      </c>
      <c r="H2041" s="188" t="inlineStr">
        <is>
          <t>HIGH</t>
        </is>
      </c>
      <c r="I2041" s="188" t="n">
        <v>12.5</v>
      </c>
      <c r="J2041" s="188" t="inlineStr">
        <is>
          <t>NO</t>
        </is>
      </c>
      <c r="K2041" s="188" t="inlineStr">
        <is>
          <t>https://rules.emergingthreats.net/</t>
        </is>
      </c>
      <c r="L2041" s="188" t="inlineStr">
        <is>
          <t>2026-02-26 00:15</t>
        </is>
      </c>
      <c r="M2041" s="188" t="inlineStr">
        <is>
          <t>Block IP</t>
        </is>
      </c>
      <c r="N2041" s="188" t="inlineStr">
        <is>
          <t>https://rules.emergingthreats.net/blockrules/compromised-ips.txt</t>
        </is>
      </c>
      <c r="O2041" s="188" t="inlineStr">
        <is>
          <t>Block IP 109.122.196.176 at firewall | Emerging Threats compromised host</t>
        </is>
      </c>
      <c r="P2041" s="188" t="inlineStr">
        <is>
          <t>Network perimeter</t>
        </is>
      </c>
      <c r="Q2041" s="188" t="inlineStr">
        <is>
          <t>P3</t>
        </is>
      </c>
      <c r="R2041" s="188" t="inlineStr">
        <is>
          <t>🚫 Block IP at firewall immediately | 🔍 Check logs for existing connections | 🛡️ Add to threat intelligence blocklist</t>
        </is>
      </c>
      <c r="S2041" s="188" t="inlineStr">
        <is>
          <t>Check ip-api.com + AbuseIPDB for context</t>
        </is>
      </c>
      <c r="T2041" s="188" t="n">
        <v>0</v>
      </c>
      <c r="U2041" s="188" t="n">
        <v>0</v>
      </c>
      <c r="V2041" s="188" t="inlineStr">
        <is>
          <t>T1110:Brute Force | T1190:Exploit Public-Facing Application</t>
        </is>
      </c>
      <c r="W2041" s="188" t="n">
        <v>1</v>
      </c>
      <c r="X2041" s="188" t="inlineStr">
        <is>
          <t>LOW (40%)</t>
        </is>
      </c>
      <c r="Y2041" s="188" t="inlineStr">
        <is>
          <t>NONE</t>
        </is>
      </c>
      <c r="Z2041" s="188" t="inlineStr">
        <is>
          <t>NONE</t>
        </is>
      </c>
      <c r="AA2041" s="188" t="inlineStr">
        <is>
          <t>NONE</t>
        </is>
      </c>
      <c r="AB2041" s="188" t="inlineStr">
        <is>
          <t>NONE</t>
        </is>
      </c>
      <c r="AC2041" s="188" t="n">
        <v>0</v>
      </c>
      <c r="AD2041" s="188" t="inlineStr"/>
    </row>
    <row r="2042">
      <c r="A2042" s="188" t="inlineStr">
        <is>
          <t>EMERGING_THREAT_IP</t>
        </is>
      </c>
      <c r="B2042" s="188" t="inlineStr">
        <is>
          <t>c90196742a73</t>
        </is>
      </c>
      <c r="C2042" s="188" t="inlineStr">
        <is>
          <t>Emerging Threats Compromised IP: 109.172.55.64 | Sources: EMERGING_THREATS</t>
        </is>
      </c>
      <c r="D2042" s="188" t="n">
        <v>6.5</v>
      </c>
      <c r="E2042" s="188" t="inlineStr">
        <is>
          <t>HIGH</t>
        </is>
      </c>
      <c r="F2042" s="188" t="n">
        <v>3</v>
      </c>
      <c r="G2042" s="188" t="n">
        <v>2</v>
      </c>
      <c r="H2042" s="188" t="inlineStr">
        <is>
          <t>HIGH</t>
        </is>
      </c>
      <c r="I2042" s="188" t="n">
        <v>12.5</v>
      </c>
      <c r="J2042" s="188" t="inlineStr">
        <is>
          <t>NO</t>
        </is>
      </c>
      <c r="K2042" s="188" t="inlineStr">
        <is>
          <t>https://rules.emergingthreats.net/</t>
        </is>
      </c>
      <c r="L2042" s="188" t="inlineStr">
        <is>
          <t>2026-02-26 00:15</t>
        </is>
      </c>
      <c r="M2042" s="188" t="inlineStr">
        <is>
          <t>Block IP</t>
        </is>
      </c>
      <c r="N2042" s="188" t="inlineStr">
        <is>
          <t>https://rules.emergingthreats.net/blockrules/compromised-ips.txt</t>
        </is>
      </c>
      <c r="O2042" s="188" t="inlineStr">
        <is>
          <t>Block IP 109.172.55.64 at firewall | Emerging Threats compromised host</t>
        </is>
      </c>
      <c r="P2042" s="188" t="inlineStr">
        <is>
          <t>Network perimeter</t>
        </is>
      </c>
      <c r="Q2042" s="188" t="inlineStr">
        <is>
          <t>P3</t>
        </is>
      </c>
      <c r="R2042" s="188" t="inlineStr">
        <is>
          <t>🚫 Block IP at firewall immediately | 🔍 Check logs for existing connections | 🛡️ Add to threat intelligence blocklist</t>
        </is>
      </c>
      <c r="S2042" s="188" t="inlineStr">
        <is>
          <t>Check ip-api.com + AbuseIPDB for context</t>
        </is>
      </c>
      <c r="T2042" s="188" t="n">
        <v>0</v>
      </c>
      <c r="U2042" s="188" t="n">
        <v>0</v>
      </c>
      <c r="V2042" s="188" t="inlineStr">
        <is>
          <t>T1110:Brute Force | T1190:Exploit Public-Facing Application</t>
        </is>
      </c>
      <c r="W2042" s="188" t="n">
        <v>1</v>
      </c>
      <c r="X2042" s="188" t="inlineStr">
        <is>
          <t>LOW (40%)</t>
        </is>
      </c>
      <c r="Y2042" s="188" t="inlineStr">
        <is>
          <t>NONE</t>
        </is>
      </c>
      <c r="Z2042" s="188" t="inlineStr">
        <is>
          <t>NONE</t>
        </is>
      </c>
      <c r="AA2042" s="188" t="inlineStr">
        <is>
          <t>NONE</t>
        </is>
      </c>
      <c r="AB2042" s="188" t="inlineStr">
        <is>
          <t>NONE</t>
        </is>
      </c>
      <c r="AC2042" s="188" t="n">
        <v>0</v>
      </c>
      <c r="AD2042" s="188" t="inlineStr"/>
    </row>
    <row r="2043">
      <c r="A2043" s="188" t="inlineStr">
        <is>
          <t>EMERGING_THREAT_IP</t>
        </is>
      </c>
      <c r="B2043" s="188" t="inlineStr">
        <is>
          <t>58a732101248</t>
        </is>
      </c>
      <c r="C2043" s="188" t="inlineStr">
        <is>
          <t>Emerging Threats Compromised IP: 111.160.133.62 | Sources: EMERGING_THREATS</t>
        </is>
      </c>
      <c r="D2043" s="188" t="n">
        <v>6.5</v>
      </c>
      <c r="E2043" s="188" t="inlineStr">
        <is>
          <t>HIGH</t>
        </is>
      </c>
      <c r="F2043" s="188" t="n">
        <v>3</v>
      </c>
      <c r="G2043" s="188" t="n">
        <v>2</v>
      </c>
      <c r="H2043" s="188" t="inlineStr">
        <is>
          <t>HIGH</t>
        </is>
      </c>
      <c r="I2043" s="188" t="n">
        <v>12.5</v>
      </c>
      <c r="J2043" s="188" t="inlineStr">
        <is>
          <t>NO</t>
        </is>
      </c>
      <c r="K2043" s="188" t="inlineStr">
        <is>
          <t>https://rules.emergingthreats.net/</t>
        </is>
      </c>
      <c r="L2043" s="188" t="inlineStr">
        <is>
          <t>2026-02-26 00:15</t>
        </is>
      </c>
      <c r="M2043" s="188" t="inlineStr">
        <is>
          <t>Block IP</t>
        </is>
      </c>
      <c r="N2043" s="188" t="inlineStr">
        <is>
          <t>https://rules.emergingthreats.net/blockrules/compromised-ips.txt</t>
        </is>
      </c>
      <c r="O2043" s="188" t="inlineStr">
        <is>
          <t>Block IP 111.160.133.62 at firewall | Emerging Threats compromised host</t>
        </is>
      </c>
      <c r="P2043" s="188" t="inlineStr">
        <is>
          <t>Network perimeter</t>
        </is>
      </c>
      <c r="Q2043" s="188" t="inlineStr">
        <is>
          <t>P3</t>
        </is>
      </c>
      <c r="R2043" s="188" t="inlineStr">
        <is>
          <t>🚫 Block IP at firewall immediately | 🔍 Check logs for existing connections | 🛡️ Add to threat intelligence blocklist</t>
        </is>
      </c>
      <c r="S2043" s="188" t="inlineStr">
        <is>
          <t>Check ip-api.com + AbuseIPDB for context</t>
        </is>
      </c>
      <c r="T2043" s="188" t="n">
        <v>0</v>
      </c>
      <c r="U2043" s="188" t="n">
        <v>0</v>
      </c>
      <c r="V2043" s="188" t="inlineStr">
        <is>
          <t>T1110:Brute Force | T1190:Exploit Public-Facing Application</t>
        </is>
      </c>
      <c r="W2043" s="188" t="n">
        <v>1</v>
      </c>
      <c r="X2043" s="188" t="inlineStr">
        <is>
          <t>LOW (40%)</t>
        </is>
      </c>
      <c r="Y2043" s="188" t="inlineStr">
        <is>
          <t>NONE</t>
        </is>
      </c>
      <c r="Z2043" s="188" t="inlineStr">
        <is>
          <t>NONE</t>
        </is>
      </c>
      <c r="AA2043" s="188" t="inlineStr">
        <is>
          <t>NONE</t>
        </is>
      </c>
      <c r="AB2043" s="188" t="inlineStr">
        <is>
          <t>NONE</t>
        </is>
      </c>
      <c r="AC2043" s="188" t="n">
        <v>0</v>
      </c>
      <c r="AD2043" s="188" t="inlineStr"/>
    </row>
    <row r="2044">
      <c r="A2044" s="188" t="inlineStr">
        <is>
          <t>EMERGING_THREAT_IP</t>
        </is>
      </c>
      <c r="B2044" s="188" t="inlineStr">
        <is>
          <t>153710cc82cd</t>
        </is>
      </c>
      <c r="C2044" s="188" t="inlineStr">
        <is>
          <t>Emerging Threats Compromised IP: 111.32.36.226 | Sources: EMERGING_THREATS</t>
        </is>
      </c>
      <c r="D2044" s="188" t="n">
        <v>6.5</v>
      </c>
      <c r="E2044" s="188" t="inlineStr">
        <is>
          <t>HIGH</t>
        </is>
      </c>
      <c r="F2044" s="188" t="n">
        <v>3</v>
      </c>
      <c r="G2044" s="188" t="n">
        <v>2</v>
      </c>
      <c r="H2044" s="188" t="inlineStr">
        <is>
          <t>HIGH</t>
        </is>
      </c>
      <c r="I2044" s="188" t="n">
        <v>12.5</v>
      </c>
      <c r="J2044" s="188" t="inlineStr">
        <is>
          <t>NO</t>
        </is>
      </c>
      <c r="K2044" s="188" t="inlineStr">
        <is>
          <t>https://rules.emergingthreats.net/</t>
        </is>
      </c>
      <c r="L2044" s="188" t="inlineStr">
        <is>
          <t>2026-02-26 00:15</t>
        </is>
      </c>
      <c r="M2044" s="188" t="inlineStr">
        <is>
          <t>Block IP</t>
        </is>
      </c>
      <c r="N2044" s="188" t="inlineStr">
        <is>
          <t>https://rules.emergingthreats.net/blockrules/compromised-ips.txt</t>
        </is>
      </c>
      <c r="O2044" s="188" t="inlineStr">
        <is>
          <t>Block IP 111.32.36.226 at firewall | Emerging Threats compromised host</t>
        </is>
      </c>
      <c r="P2044" s="188" t="inlineStr">
        <is>
          <t>Network perimeter</t>
        </is>
      </c>
      <c r="Q2044" s="188" t="inlineStr">
        <is>
          <t>P3</t>
        </is>
      </c>
      <c r="R2044" s="188" t="inlineStr">
        <is>
          <t>🚫 Block IP at firewall immediately | 🔍 Check logs for existing connections | 🛡️ Add to threat intelligence blocklist</t>
        </is>
      </c>
      <c r="S2044" s="188" t="inlineStr">
        <is>
          <t>Check ip-api.com + AbuseIPDB for context</t>
        </is>
      </c>
      <c r="T2044" s="188" t="n">
        <v>0</v>
      </c>
      <c r="U2044" s="188" t="n">
        <v>0</v>
      </c>
      <c r="V2044" s="188" t="inlineStr">
        <is>
          <t>T1110:Brute Force | T1190:Exploit Public-Facing Application</t>
        </is>
      </c>
      <c r="W2044" s="188" t="n">
        <v>1</v>
      </c>
      <c r="X2044" s="188" t="inlineStr">
        <is>
          <t>LOW (40%)</t>
        </is>
      </c>
      <c r="Y2044" s="188" t="inlineStr">
        <is>
          <t>NONE</t>
        </is>
      </c>
      <c r="Z2044" s="188" t="inlineStr">
        <is>
          <t>NONE</t>
        </is>
      </c>
      <c r="AA2044" s="188" t="inlineStr">
        <is>
          <t>NONE</t>
        </is>
      </c>
      <c r="AB2044" s="188" t="inlineStr">
        <is>
          <t>NONE</t>
        </is>
      </c>
      <c r="AC2044" s="188" t="n">
        <v>0</v>
      </c>
      <c r="AD2044" s="188" t="inlineStr"/>
    </row>
    <row r="2045">
      <c r="A2045" s="188" t="inlineStr">
        <is>
          <t>EMERGING_THREAT_IP</t>
        </is>
      </c>
      <c r="B2045" s="188" t="inlineStr">
        <is>
          <t>56362e505e20</t>
        </is>
      </c>
      <c r="C2045" s="188" t="inlineStr">
        <is>
          <t>Emerging Threats Compromised IP: 112.163.119.199 | Sources: ABUSEIPDB, EMERGING_THREATS</t>
        </is>
      </c>
      <c r="D2045" s="188" t="n">
        <v>6.5</v>
      </c>
      <c r="E2045" s="188" t="inlineStr">
        <is>
          <t>HIGH</t>
        </is>
      </c>
      <c r="F2045" s="188" t="n">
        <v>3</v>
      </c>
      <c r="G2045" s="188" t="n">
        <v>2</v>
      </c>
      <c r="H2045" s="188" t="inlineStr">
        <is>
          <t>HIGH</t>
        </is>
      </c>
      <c r="I2045" s="188" t="n">
        <v>12.5</v>
      </c>
      <c r="J2045" s="188" t="inlineStr">
        <is>
          <t>NO</t>
        </is>
      </c>
      <c r="K2045" s="188" t="inlineStr">
        <is>
          <t>https://rules.emergingthreats.net/</t>
        </is>
      </c>
      <c r="L2045" s="188" t="inlineStr">
        <is>
          <t>2026-02-26 00:15</t>
        </is>
      </c>
      <c r="M2045" s="188" t="inlineStr">
        <is>
          <t>Block IP</t>
        </is>
      </c>
      <c r="N2045" s="188" t="inlineStr">
        <is>
          <t>https://rules.emergingthreats.net/blockrules/compromised-ips.txt</t>
        </is>
      </c>
      <c r="O2045" s="188" t="inlineStr">
        <is>
          <t>Block IP 112.163.119.199 at firewall | Emerging Threats compromised host</t>
        </is>
      </c>
      <c r="P2045" s="188" t="inlineStr">
        <is>
          <t>Network perimeter</t>
        </is>
      </c>
      <c r="Q2045" s="188" t="inlineStr">
        <is>
          <t>P3</t>
        </is>
      </c>
      <c r="R2045" s="188" t="inlineStr">
        <is>
          <t>🚫 Block IP at firewall immediately | 🔍 Check logs for existing connections | 🛡️ Add to threat intelligence blocklist</t>
        </is>
      </c>
      <c r="S2045" s="188" t="inlineStr">
        <is>
          <t>🚨 MALICIOUS: Kornet | 🌍 South Korea | Changwon | 🏢 Kornet | ASN: AS4766 Korea Telecom | 🚨 AbuseIPDB: 100% malicious (Fixed Line ISP)</t>
        </is>
      </c>
      <c r="T2045" s="188" t="n">
        <v>0</v>
      </c>
      <c r="U2045" s="188" t="n">
        <v>0</v>
      </c>
      <c r="V2045" s="188" t="inlineStr">
        <is>
          <t>T1110:Brute Force | T1190:Exploit Public-Facing Application</t>
        </is>
      </c>
      <c r="W2045" s="188" t="n">
        <v>2</v>
      </c>
      <c r="X2045" s="188" t="inlineStr">
        <is>
          <t>MEDIUM (52%)</t>
        </is>
      </c>
      <c r="Y2045" s="188" t="inlineStr">
        <is>
          <t>NONE</t>
        </is>
      </c>
      <c r="Z2045" s="188" t="inlineStr">
        <is>
          <t>NONE</t>
        </is>
      </c>
      <c r="AA2045" s="188" t="inlineStr">
        <is>
          <t>NONE</t>
        </is>
      </c>
      <c r="AB2045" s="188" t="inlineStr">
        <is>
          <t>NONE</t>
        </is>
      </c>
      <c r="AC2045" s="188" t="n">
        <v>0</v>
      </c>
      <c r="AD2045" s="188" t="inlineStr"/>
    </row>
    <row r="2046">
      <c r="A2046" s="188" t="inlineStr">
        <is>
          <t>EMERGING_THREAT_IP</t>
        </is>
      </c>
      <c r="B2046" s="188" t="inlineStr">
        <is>
          <t>a5391b0ff482</t>
        </is>
      </c>
      <c r="C2046" s="188" t="inlineStr">
        <is>
          <t>Emerging Threats Compromised IP: 112.203.76.195 | Sources: EMERGING_THREATS</t>
        </is>
      </c>
      <c r="D2046" s="188" t="n">
        <v>6.5</v>
      </c>
      <c r="E2046" s="188" t="inlineStr">
        <is>
          <t>HIGH</t>
        </is>
      </c>
      <c r="F2046" s="188" t="n">
        <v>3</v>
      </c>
      <c r="G2046" s="188" t="n">
        <v>2</v>
      </c>
      <c r="H2046" s="188" t="inlineStr">
        <is>
          <t>HIGH</t>
        </is>
      </c>
      <c r="I2046" s="188" t="n">
        <v>12.5</v>
      </c>
      <c r="J2046" s="188" t="inlineStr">
        <is>
          <t>NO</t>
        </is>
      </c>
      <c r="K2046" s="188" t="inlineStr">
        <is>
          <t>https://rules.emergingthreats.net/</t>
        </is>
      </c>
      <c r="L2046" s="188" t="inlineStr">
        <is>
          <t>2026-02-26 00:15</t>
        </is>
      </c>
      <c r="M2046" s="188" t="inlineStr">
        <is>
          <t>Block IP</t>
        </is>
      </c>
      <c r="N2046" s="188" t="inlineStr">
        <is>
          <t>https://rules.emergingthreats.net/blockrules/compromised-ips.txt</t>
        </is>
      </c>
      <c r="O2046" s="188" t="inlineStr">
        <is>
          <t>Block IP 112.203.76.195 at firewall | Emerging Threats compromised host</t>
        </is>
      </c>
      <c r="P2046" s="188" t="inlineStr">
        <is>
          <t>Network perimeter</t>
        </is>
      </c>
      <c r="Q2046" s="188" t="inlineStr">
        <is>
          <t>P3</t>
        </is>
      </c>
      <c r="R2046" s="188" t="inlineStr">
        <is>
          <t>🚫 Block IP at firewall immediately | 🔍 Check logs for existing connections | 🛡️ Add to threat intelligence blocklist</t>
        </is>
      </c>
      <c r="S2046" s="188" t="inlineStr">
        <is>
          <t>Check ip-api.com + AbuseIPDB for context</t>
        </is>
      </c>
      <c r="T2046" s="188" t="n">
        <v>0</v>
      </c>
      <c r="U2046" s="188" t="n">
        <v>0</v>
      </c>
      <c r="V2046" s="188" t="inlineStr">
        <is>
          <t>T1110:Brute Force | T1190:Exploit Public-Facing Application</t>
        </is>
      </c>
      <c r="W2046" s="188" t="n">
        <v>1</v>
      </c>
      <c r="X2046" s="188" t="inlineStr">
        <is>
          <t>LOW (40%)</t>
        </is>
      </c>
      <c r="Y2046" s="188" t="inlineStr">
        <is>
          <t>NONE</t>
        </is>
      </c>
      <c r="Z2046" s="188" t="inlineStr">
        <is>
          <t>NONE</t>
        </is>
      </c>
      <c r="AA2046" s="188" t="inlineStr">
        <is>
          <t>NONE</t>
        </is>
      </c>
      <c r="AB2046" s="188" t="inlineStr">
        <is>
          <t>NONE</t>
        </is>
      </c>
      <c r="AC2046" s="188" t="n">
        <v>0</v>
      </c>
      <c r="AD2046" s="188" t="inlineStr"/>
    </row>
    <row r="2047">
      <c r="A2047" s="188" t="inlineStr">
        <is>
          <t>EMERGING_THREAT_IP</t>
        </is>
      </c>
      <c r="B2047" s="188" t="inlineStr">
        <is>
          <t>fb69466d3c6c</t>
        </is>
      </c>
      <c r="C2047" s="188" t="inlineStr">
        <is>
          <t>Emerging Threats Compromised IP: 113.240.110.0 | Sources: EMERGING_THREATS</t>
        </is>
      </c>
      <c r="D2047" s="188" t="n">
        <v>6.5</v>
      </c>
      <c r="E2047" s="188" t="inlineStr">
        <is>
          <t>HIGH</t>
        </is>
      </c>
      <c r="F2047" s="188" t="n">
        <v>3</v>
      </c>
      <c r="G2047" s="188" t="n">
        <v>2</v>
      </c>
      <c r="H2047" s="188" t="inlineStr">
        <is>
          <t>HIGH</t>
        </is>
      </c>
      <c r="I2047" s="188" t="n">
        <v>12.5</v>
      </c>
      <c r="J2047" s="188" t="inlineStr">
        <is>
          <t>NO</t>
        </is>
      </c>
      <c r="K2047" s="188" t="inlineStr">
        <is>
          <t>https://rules.emergingthreats.net/</t>
        </is>
      </c>
      <c r="L2047" s="188" t="inlineStr">
        <is>
          <t>2026-02-26 00:15</t>
        </is>
      </c>
      <c r="M2047" s="188" t="inlineStr">
        <is>
          <t>Block IP</t>
        </is>
      </c>
      <c r="N2047" s="188" t="inlineStr">
        <is>
          <t>https://rules.emergingthreats.net/blockrules/compromised-ips.txt</t>
        </is>
      </c>
      <c r="O2047" s="188" t="inlineStr">
        <is>
          <t>Block IP 113.240.110.0 at firewall | Emerging Threats compromised host</t>
        </is>
      </c>
      <c r="P2047" s="188" t="inlineStr">
        <is>
          <t>Network perimeter</t>
        </is>
      </c>
      <c r="Q2047" s="188" t="inlineStr">
        <is>
          <t>P3</t>
        </is>
      </c>
      <c r="R2047" s="188" t="inlineStr">
        <is>
          <t>🚫 Block IP at firewall immediately | 🔍 Check logs for existing connections | 🛡️ Add to threat intelligence blocklist</t>
        </is>
      </c>
      <c r="S2047" s="188" t="inlineStr">
        <is>
          <t>Check ip-api.com + AbuseIPDB for context</t>
        </is>
      </c>
      <c r="T2047" s="188" t="n">
        <v>0</v>
      </c>
      <c r="U2047" s="188" t="n">
        <v>0</v>
      </c>
      <c r="V2047" s="188" t="inlineStr">
        <is>
          <t>T1110:Brute Force | T1190:Exploit Public-Facing Application</t>
        </is>
      </c>
      <c r="W2047" s="188" t="n">
        <v>1</v>
      </c>
      <c r="X2047" s="188" t="inlineStr">
        <is>
          <t>LOW (40%)</t>
        </is>
      </c>
      <c r="Y2047" s="188" t="inlineStr">
        <is>
          <t>NONE</t>
        </is>
      </c>
      <c r="Z2047" s="188" t="inlineStr">
        <is>
          <t>NONE</t>
        </is>
      </c>
      <c r="AA2047" s="188" t="inlineStr">
        <is>
          <t>NONE</t>
        </is>
      </c>
      <c r="AB2047" s="188" t="inlineStr">
        <is>
          <t>NONE</t>
        </is>
      </c>
      <c r="AC2047" s="188" t="n">
        <v>0</v>
      </c>
      <c r="AD2047" s="188" t="inlineStr"/>
    </row>
    <row r="2048">
      <c r="A2048" s="188" t="inlineStr">
        <is>
          <t>EMERGING_THREAT_IP</t>
        </is>
      </c>
      <c r="B2048" s="188" t="inlineStr">
        <is>
          <t>2bc8ac825e6b</t>
        </is>
      </c>
      <c r="C2048" s="188" t="inlineStr">
        <is>
          <t>Emerging Threats Compromised IP: 114.246.36.108 | Sources: EMERGING_THREATS</t>
        </is>
      </c>
      <c r="D2048" s="188" t="n">
        <v>6.5</v>
      </c>
      <c r="E2048" s="188" t="inlineStr">
        <is>
          <t>HIGH</t>
        </is>
      </c>
      <c r="F2048" s="188" t="n">
        <v>3</v>
      </c>
      <c r="G2048" s="188" t="n">
        <v>2</v>
      </c>
      <c r="H2048" s="188" t="inlineStr">
        <is>
          <t>HIGH</t>
        </is>
      </c>
      <c r="I2048" s="188" t="n">
        <v>12.5</v>
      </c>
      <c r="J2048" s="188" t="inlineStr">
        <is>
          <t>NO</t>
        </is>
      </c>
      <c r="K2048" s="188" t="inlineStr">
        <is>
          <t>https://rules.emergingthreats.net/</t>
        </is>
      </c>
      <c r="L2048" s="188" t="inlineStr">
        <is>
          <t>2026-02-26 00:15</t>
        </is>
      </c>
      <c r="M2048" s="188" t="inlineStr">
        <is>
          <t>Block IP</t>
        </is>
      </c>
      <c r="N2048" s="188" t="inlineStr">
        <is>
          <t>https://rules.emergingthreats.net/blockrules/compromised-ips.txt</t>
        </is>
      </c>
      <c r="O2048" s="188" t="inlineStr">
        <is>
          <t>Block IP 114.246.36.108 at firewall | Emerging Threats compromised host</t>
        </is>
      </c>
      <c r="P2048" s="188" t="inlineStr">
        <is>
          <t>Network perimeter</t>
        </is>
      </c>
      <c r="Q2048" s="188" t="inlineStr">
        <is>
          <t>P3</t>
        </is>
      </c>
      <c r="R2048" s="188" t="inlineStr">
        <is>
          <t>🚫 Block IP at firewall immediately | 🔍 Check logs for existing connections | 🛡️ Add to threat intelligence blocklist</t>
        </is>
      </c>
      <c r="S2048" s="188" t="inlineStr">
        <is>
          <t>Check ip-api.com + AbuseIPDB for context</t>
        </is>
      </c>
      <c r="T2048" s="188" t="n">
        <v>0</v>
      </c>
      <c r="U2048" s="188" t="n">
        <v>0</v>
      </c>
      <c r="V2048" s="188" t="inlineStr">
        <is>
          <t>T1110:Brute Force | T1190:Exploit Public-Facing Application</t>
        </is>
      </c>
      <c r="W2048" s="188" t="n">
        <v>1</v>
      </c>
      <c r="X2048" s="188" t="inlineStr">
        <is>
          <t>LOW (40%)</t>
        </is>
      </c>
      <c r="Y2048" s="188" t="inlineStr">
        <is>
          <t>NONE</t>
        </is>
      </c>
      <c r="Z2048" s="188" t="inlineStr">
        <is>
          <t>NONE</t>
        </is>
      </c>
      <c r="AA2048" s="188" t="inlineStr">
        <is>
          <t>NONE</t>
        </is>
      </c>
      <c r="AB2048" s="188" t="inlineStr">
        <is>
          <t>NONE</t>
        </is>
      </c>
      <c r="AC2048" s="188" t="n">
        <v>0</v>
      </c>
      <c r="AD2048" s="188" t="inlineStr"/>
    </row>
    <row r="2049">
      <c r="A2049" s="188" t="inlineStr">
        <is>
          <t>EMERGING_THREAT_IP</t>
        </is>
      </c>
      <c r="B2049" s="188" t="inlineStr">
        <is>
          <t>0d9c0ca40d1b</t>
        </is>
      </c>
      <c r="C2049" s="188" t="inlineStr">
        <is>
          <t>Emerging Threats Compromised IP: 115.140.161.61 | Sources: EMERGING_THREATS</t>
        </is>
      </c>
      <c r="D2049" s="188" t="n">
        <v>6.5</v>
      </c>
      <c r="E2049" s="188" t="inlineStr">
        <is>
          <t>HIGH</t>
        </is>
      </c>
      <c r="F2049" s="188" t="n">
        <v>3</v>
      </c>
      <c r="G2049" s="188" t="n">
        <v>2</v>
      </c>
      <c r="H2049" s="188" t="inlineStr">
        <is>
          <t>HIGH</t>
        </is>
      </c>
      <c r="I2049" s="188" t="n">
        <v>12.5</v>
      </c>
      <c r="J2049" s="188" t="inlineStr">
        <is>
          <t>NO</t>
        </is>
      </c>
      <c r="K2049" s="188" t="inlineStr">
        <is>
          <t>https://rules.emergingthreats.net/</t>
        </is>
      </c>
      <c r="L2049" s="188" t="inlineStr">
        <is>
          <t>2026-02-26 00:15</t>
        </is>
      </c>
      <c r="M2049" s="188" t="inlineStr">
        <is>
          <t>Block IP</t>
        </is>
      </c>
      <c r="N2049" s="188" t="inlineStr">
        <is>
          <t>https://rules.emergingthreats.net/blockrules/compromised-ips.txt</t>
        </is>
      </c>
      <c r="O2049" s="188" t="inlineStr">
        <is>
          <t>Block IP 115.140.161.61 at firewall | Emerging Threats compromised host</t>
        </is>
      </c>
      <c r="P2049" s="188" t="inlineStr">
        <is>
          <t>Network perimeter</t>
        </is>
      </c>
      <c r="Q2049" s="188" t="inlineStr">
        <is>
          <t>P3</t>
        </is>
      </c>
      <c r="R2049" s="188" t="inlineStr">
        <is>
          <t>🚫 Block IP at firewall immediately | 🔍 Check logs for existing connections | 🛡️ Add to threat intelligence blocklist</t>
        </is>
      </c>
      <c r="S2049" s="188" t="inlineStr">
        <is>
          <t>Check ip-api.com + AbuseIPDB for context</t>
        </is>
      </c>
      <c r="T2049" s="188" t="n">
        <v>0</v>
      </c>
      <c r="U2049" s="188" t="n">
        <v>0</v>
      </c>
      <c r="V2049" s="188" t="inlineStr">
        <is>
          <t>T1110:Brute Force | T1190:Exploit Public-Facing Application</t>
        </is>
      </c>
      <c r="W2049" s="188" t="n">
        <v>1</v>
      </c>
      <c r="X2049" s="188" t="inlineStr">
        <is>
          <t>LOW (40%)</t>
        </is>
      </c>
      <c r="Y2049" s="188" t="inlineStr">
        <is>
          <t>NONE</t>
        </is>
      </c>
      <c r="Z2049" s="188" t="inlineStr">
        <is>
          <t>NONE</t>
        </is>
      </c>
      <c r="AA2049" s="188" t="inlineStr">
        <is>
          <t>NONE</t>
        </is>
      </c>
      <c r="AB2049" s="188" t="inlineStr">
        <is>
          <t>NONE</t>
        </is>
      </c>
      <c r="AC2049" s="188" t="n">
        <v>0</v>
      </c>
      <c r="AD2049" s="188" t="inlineStr"/>
    </row>
    <row r="2050">
      <c r="A2050" s="188" t="inlineStr">
        <is>
          <t>EMERGING_THREAT_IP</t>
        </is>
      </c>
      <c r="B2050" s="188" t="inlineStr">
        <is>
          <t>b193ce1c8118</t>
        </is>
      </c>
      <c r="C2050" s="188" t="inlineStr">
        <is>
          <t>Emerging Threats Compromised IP: 115.160.79.71 | Sources: EMERGING_THREATS</t>
        </is>
      </c>
      <c r="D2050" s="188" t="n">
        <v>6.5</v>
      </c>
      <c r="E2050" s="188" t="inlineStr">
        <is>
          <t>HIGH</t>
        </is>
      </c>
      <c r="F2050" s="188" t="n">
        <v>3</v>
      </c>
      <c r="G2050" s="188" t="n">
        <v>2</v>
      </c>
      <c r="H2050" s="188" t="inlineStr">
        <is>
          <t>HIGH</t>
        </is>
      </c>
      <c r="I2050" s="188" t="n">
        <v>12.5</v>
      </c>
      <c r="J2050" s="188" t="inlineStr">
        <is>
          <t>NO</t>
        </is>
      </c>
      <c r="K2050" s="188" t="inlineStr">
        <is>
          <t>https://rules.emergingthreats.net/</t>
        </is>
      </c>
      <c r="L2050" s="188" t="inlineStr">
        <is>
          <t>2026-02-26 00:15</t>
        </is>
      </c>
      <c r="M2050" s="188" t="inlineStr">
        <is>
          <t>Block IP</t>
        </is>
      </c>
      <c r="N2050" s="188" t="inlineStr">
        <is>
          <t>https://rules.emergingthreats.net/blockrules/compromised-ips.txt</t>
        </is>
      </c>
      <c r="O2050" s="188" t="inlineStr">
        <is>
          <t>Block IP 115.160.79.71 at firewall | Emerging Threats compromised host</t>
        </is>
      </c>
      <c r="P2050" s="188" t="inlineStr">
        <is>
          <t>Network perimeter</t>
        </is>
      </c>
      <c r="Q2050" s="188" t="inlineStr">
        <is>
          <t>P3</t>
        </is>
      </c>
      <c r="R2050" s="188" t="inlineStr">
        <is>
          <t>🚫 Block IP at firewall immediately | 🔍 Check logs for existing connections | 🛡️ Add to threat intelligence blocklist</t>
        </is>
      </c>
      <c r="S2050" s="188" t="inlineStr">
        <is>
          <t>Check ip-api.com + AbuseIPDB for context</t>
        </is>
      </c>
      <c r="T2050" s="188" t="n">
        <v>0</v>
      </c>
      <c r="U2050" s="188" t="n">
        <v>0</v>
      </c>
      <c r="V2050" s="188" t="inlineStr">
        <is>
          <t>T1110:Brute Force | T1190:Exploit Public-Facing Application</t>
        </is>
      </c>
      <c r="W2050" s="188" t="n">
        <v>1</v>
      </c>
      <c r="X2050" s="188" t="inlineStr">
        <is>
          <t>LOW (40%)</t>
        </is>
      </c>
      <c r="Y2050" s="188" t="inlineStr">
        <is>
          <t>NONE</t>
        </is>
      </c>
      <c r="Z2050" s="188" t="inlineStr">
        <is>
          <t>NONE</t>
        </is>
      </c>
      <c r="AA2050" s="188" t="inlineStr">
        <is>
          <t>NONE</t>
        </is>
      </c>
      <c r="AB2050" s="188" t="inlineStr">
        <is>
          <t>NONE</t>
        </is>
      </c>
      <c r="AC2050" s="188" t="n">
        <v>0</v>
      </c>
      <c r="AD2050" s="188" t="inlineStr"/>
    </row>
    <row r="2051">
      <c r="A2051" s="188" t="inlineStr">
        <is>
          <t>EMERGING_THREAT_IP</t>
        </is>
      </c>
      <c r="B2051" s="188" t="inlineStr">
        <is>
          <t>98108d97a1e0</t>
        </is>
      </c>
      <c r="C2051" s="188" t="inlineStr">
        <is>
          <t>Emerging Threats Compromised IP: 115.190.14.206 | Sources: EMERGING_THREATS</t>
        </is>
      </c>
      <c r="D2051" s="188" t="n">
        <v>6.5</v>
      </c>
      <c r="E2051" s="188" t="inlineStr">
        <is>
          <t>HIGH</t>
        </is>
      </c>
      <c r="F2051" s="188" t="n">
        <v>3</v>
      </c>
      <c r="G2051" s="188" t="n">
        <v>2</v>
      </c>
      <c r="H2051" s="188" t="inlineStr">
        <is>
          <t>HIGH</t>
        </is>
      </c>
      <c r="I2051" s="188" t="n">
        <v>12.5</v>
      </c>
      <c r="J2051" s="188" t="inlineStr">
        <is>
          <t>NO</t>
        </is>
      </c>
      <c r="K2051" s="188" t="inlineStr">
        <is>
          <t>https://rules.emergingthreats.net/</t>
        </is>
      </c>
      <c r="L2051" s="188" t="inlineStr">
        <is>
          <t>2026-02-26 00:15</t>
        </is>
      </c>
      <c r="M2051" s="188" t="inlineStr">
        <is>
          <t>Block IP</t>
        </is>
      </c>
      <c r="N2051" s="188" t="inlineStr">
        <is>
          <t>https://rules.emergingthreats.net/blockrules/compromised-ips.txt</t>
        </is>
      </c>
      <c r="O2051" s="188" t="inlineStr">
        <is>
          <t>Block IP 115.190.14.206 at firewall | Emerging Threats compromised host</t>
        </is>
      </c>
      <c r="P2051" s="188" t="inlineStr">
        <is>
          <t>Network perimeter</t>
        </is>
      </c>
      <c r="Q2051" s="188" t="inlineStr">
        <is>
          <t>P3</t>
        </is>
      </c>
      <c r="R2051" s="188" t="inlineStr">
        <is>
          <t>🚫 Block IP at firewall immediately | 🔍 Check logs for existing connections | 🛡️ Add to threat intelligence blocklist</t>
        </is>
      </c>
      <c r="S2051" s="188" t="inlineStr">
        <is>
          <t>Check ip-api.com + AbuseIPDB for context</t>
        </is>
      </c>
      <c r="T2051" s="188" t="n">
        <v>0</v>
      </c>
      <c r="U2051" s="188" t="n">
        <v>0</v>
      </c>
      <c r="V2051" s="188" t="inlineStr">
        <is>
          <t>T1110:Brute Force | T1190:Exploit Public-Facing Application</t>
        </is>
      </c>
      <c r="W2051" s="188" t="n">
        <v>1</v>
      </c>
      <c r="X2051" s="188" t="inlineStr">
        <is>
          <t>LOW (40%)</t>
        </is>
      </c>
      <c r="Y2051" s="188" t="inlineStr">
        <is>
          <t>NONE</t>
        </is>
      </c>
      <c r="Z2051" s="188" t="inlineStr">
        <is>
          <t>NONE</t>
        </is>
      </c>
      <c r="AA2051" s="188" t="inlineStr">
        <is>
          <t>NONE</t>
        </is>
      </c>
      <c r="AB2051" s="188" t="inlineStr">
        <is>
          <t>NONE</t>
        </is>
      </c>
      <c r="AC2051" s="188" t="n">
        <v>0</v>
      </c>
      <c r="AD2051" s="188" t="inlineStr"/>
    </row>
    <row r="2052">
      <c r="A2052" s="188" t="inlineStr">
        <is>
          <t>EMERGING_THREAT_IP</t>
        </is>
      </c>
      <c r="B2052" s="188" t="inlineStr">
        <is>
          <t>f6a22beb1877</t>
        </is>
      </c>
      <c r="C2052" s="188" t="inlineStr">
        <is>
          <t>Emerging Threats Compromised IP: 115.190.20.70 | Sources: EMERGING_THREATS</t>
        </is>
      </c>
      <c r="D2052" s="188" t="n">
        <v>6.5</v>
      </c>
      <c r="E2052" s="188" t="inlineStr">
        <is>
          <t>HIGH</t>
        </is>
      </c>
      <c r="F2052" s="188" t="n">
        <v>3</v>
      </c>
      <c r="G2052" s="188" t="n">
        <v>2</v>
      </c>
      <c r="H2052" s="188" t="inlineStr">
        <is>
          <t>HIGH</t>
        </is>
      </c>
      <c r="I2052" s="188" t="n">
        <v>12.5</v>
      </c>
      <c r="J2052" s="188" t="inlineStr">
        <is>
          <t>NO</t>
        </is>
      </c>
      <c r="K2052" s="188" t="inlineStr">
        <is>
          <t>https://rules.emergingthreats.net/</t>
        </is>
      </c>
      <c r="L2052" s="188" t="inlineStr">
        <is>
          <t>2026-02-26 00:15</t>
        </is>
      </c>
      <c r="M2052" s="188" t="inlineStr">
        <is>
          <t>Block IP</t>
        </is>
      </c>
      <c r="N2052" s="188" t="inlineStr">
        <is>
          <t>https://rules.emergingthreats.net/blockrules/compromised-ips.txt</t>
        </is>
      </c>
      <c r="O2052" s="188" t="inlineStr">
        <is>
          <t>Block IP 115.190.20.70 at firewall | Emerging Threats compromised host</t>
        </is>
      </c>
      <c r="P2052" s="188" t="inlineStr">
        <is>
          <t>Network perimeter</t>
        </is>
      </c>
      <c r="Q2052" s="188" t="inlineStr">
        <is>
          <t>P3</t>
        </is>
      </c>
      <c r="R2052" s="188" t="inlineStr">
        <is>
          <t>🚫 Block IP at firewall immediately | 🔍 Check logs for existing connections | 🛡️ Add to threat intelligence blocklist</t>
        </is>
      </c>
      <c r="S2052" s="188" t="inlineStr">
        <is>
          <t>Check ip-api.com + AbuseIPDB for context</t>
        </is>
      </c>
      <c r="T2052" s="188" t="n">
        <v>0</v>
      </c>
      <c r="U2052" s="188" t="n">
        <v>0</v>
      </c>
      <c r="V2052" s="188" t="inlineStr">
        <is>
          <t>T1110:Brute Force | T1190:Exploit Public-Facing Application</t>
        </is>
      </c>
      <c r="W2052" s="188" t="n">
        <v>1</v>
      </c>
      <c r="X2052" s="188" t="inlineStr">
        <is>
          <t>LOW (40%)</t>
        </is>
      </c>
      <c r="Y2052" s="188" t="inlineStr">
        <is>
          <t>NONE</t>
        </is>
      </c>
      <c r="Z2052" s="188" t="inlineStr">
        <is>
          <t>NONE</t>
        </is>
      </c>
      <c r="AA2052" s="188" t="inlineStr">
        <is>
          <t>NONE</t>
        </is>
      </c>
      <c r="AB2052" s="188" t="inlineStr">
        <is>
          <t>NONE</t>
        </is>
      </c>
      <c r="AC2052" s="188" t="n">
        <v>0</v>
      </c>
      <c r="AD2052" s="188" t="inlineStr"/>
    </row>
    <row r="2053">
      <c r="A2053" s="188" t="inlineStr">
        <is>
          <t>EMERGING_THREAT_IP</t>
        </is>
      </c>
      <c r="B2053" s="188" t="inlineStr">
        <is>
          <t>601857c09b38</t>
        </is>
      </c>
      <c r="C2053" s="188" t="inlineStr">
        <is>
          <t>Emerging Threats Compromised IP: 115.190.87.147 | Sources: EMERGING_THREATS</t>
        </is>
      </c>
      <c r="D2053" s="188" t="n">
        <v>6.5</v>
      </c>
      <c r="E2053" s="188" t="inlineStr">
        <is>
          <t>HIGH</t>
        </is>
      </c>
      <c r="F2053" s="188" t="n">
        <v>3</v>
      </c>
      <c r="G2053" s="188" t="n">
        <v>2</v>
      </c>
      <c r="H2053" s="188" t="inlineStr">
        <is>
          <t>HIGH</t>
        </is>
      </c>
      <c r="I2053" s="188" t="n">
        <v>12.5</v>
      </c>
      <c r="J2053" s="188" t="inlineStr">
        <is>
          <t>NO</t>
        </is>
      </c>
      <c r="K2053" s="188" t="inlineStr">
        <is>
          <t>https://rules.emergingthreats.net/</t>
        </is>
      </c>
      <c r="L2053" s="188" t="inlineStr">
        <is>
          <t>2026-02-26 00:15</t>
        </is>
      </c>
      <c r="M2053" s="188" t="inlineStr">
        <is>
          <t>Block IP</t>
        </is>
      </c>
      <c r="N2053" s="188" t="inlineStr">
        <is>
          <t>https://rules.emergingthreats.net/blockrules/compromised-ips.txt</t>
        </is>
      </c>
      <c r="O2053" s="188" t="inlineStr">
        <is>
          <t>Block IP 115.190.87.147 at firewall | Emerging Threats compromised host</t>
        </is>
      </c>
      <c r="P2053" s="188" t="inlineStr">
        <is>
          <t>Network perimeter</t>
        </is>
      </c>
      <c r="Q2053" s="188" t="inlineStr">
        <is>
          <t>P3</t>
        </is>
      </c>
      <c r="R2053" s="188" t="inlineStr">
        <is>
          <t>🚫 Block IP at firewall immediately | 🔍 Check logs for existing connections | 🛡️ Add to threat intelligence blocklist</t>
        </is>
      </c>
      <c r="S2053" s="188" t="inlineStr">
        <is>
          <t>Check ip-api.com + AbuseIPDB for context</t>
        </is>
      </c>
      <c r="T2053" s="188" t="n">
        <v>0</v>
      </c>
      <c r="U2053" s="188" t="n">
        <v>0</v>
      </c>
      <c r="V2053" s="188" t="inlineStr">
        <is>
          <t>T1110:Brute Force | T1190:Exploit Public-Facing Application</t>
        </is>
      </c>
      <c r="W2053" s="188" t="n">
        <v>1</v>
      </c>
      <c r="X2053" s="188" t="inlineStr">
        <is>
          <t>LOW (40%)</t>
        </is>
      </c>
      <c r="Y2053" s="188" t="inlineStr">
        <is>
          <t>NONE</t>
        </is>
      </c>
      <c r="Z2053" s="188" t="inlineStr">
        <is>
          <t>NONE</t>
        </is>
      </c>
      <c r="AA2053" s="188" t="inlineStr">
        <is>
          <t>NONE</t>
        </is>
      </c>
      <c r="AB2053" s="188" t="inlineStr">
        <is>
          <t>NONE</t>
        </is>
      </c>
      <c r="AC2053" s="188" t="n">
        <v>0</v>
      </c>
      <c r="AD2053" s="188" t="inlineStr"/>
    </row>
    <row r="2054">
      <c r="A2054" s="188" t="inlineStr">
        <is>
          <t>EMERGING_THREAT_IP</t>
        </is>
      </c>
      <c r="B2054" s="188" t="inlineStr">
        <is>
          <t>a39bf180eb6c</t>
        </is>
      </c>
      <c r="C2054" s="188" t="inlineStr">
        <is>
          <t>Emerging Threats Compromised IP: 115.245.162.218 | Sources: EMERGING_THREATS</t>
        </is>
      </c>
      <c r="D2054" s="188" t="n">
        <v>6.5</v>
      </c>
      <c r="E2054" s="188" t="inlineStr">
        <is>
          <t>HIGH</t>
        </is>
      </c>
      <c r="F2054" s="188" t="n">
        <v>3</v>
      </c>
      <c r="G2054" s="188" t="n">
        <v>2</v>
      </c>
      <c r="H2054" s="188" t="inlineStr">
        <is>
          <t>HIGH</t>
        </is>
      </c>
      <c r="I2054" s="188" t="n">
        <v>12.5</v>
      </c>
      <c r="J2054" s="188" t="inlineStr">
        <is>
          <t>NO</t>
        </is>
      </c>
      <c r="K2054" s="188" t="inlineStr">
        <is>
          <t>https://rules.emergingthreats.net/</t>
        </is>
      </c>
      <c r="L2054" s="188" t="inlineStr">
        <is>
          <t>2026-02-26 00:15</t>
        </is>
      </c>
      <c r="M2054" s="188" t="inlineStr">
        <is>
          <t>Block IP</t>
        </is>
      </c>
      <c r="N2054" s="188" t="inlineStr">
        <is>
          <t>https://rules.emergingthreats.net/blockrules/compromised-ips.txt</t>
        </is>
      </c>
      <c r="O2054" s="188" t="inlineStr">
        <is>
          <t>Block IP 115.245.162.218 at firewall | Emerging Threats compromised host</t>
        </is>
      </c>
      <c r="P2054" s="188" t="inlineStr">
        <is>
          <t>Network perimeter</t>
        </is>
      </c>
      <c r="Q2054" s="188" t="inlineStr">
        <is>
          <t>P3</t>
        </is>
      </c>
      <c r="R2054" s="188" t="inlineStr">
        <is>
          <t>🚫 Block IP at firewall immediately | 🔍 Check logs for existing connections | 🛡️ Add to threat intelligence blocklist</t>
        </is>
      </c>
      <c r="S2054" s="188" t="inlineStr">
        <is>
          <t>Check ip-api.com + AbuseIPDB for context</t>
        </is>
      </c>
      <c r="T2054" s="188" t="n">
        <v>0</v>
      </c>
      <c r="U2054" s="188" t="n">
        <v>0</v>
      </c>
      <c r="V2054" s="188" t="inlineStr">
        <is>
          <t>T1110:Brute Force | T1190:Exploit Public-Facing Application</t>
        </is>
      </c>
      <c r="W2054" s="188" t="n">
        <v>1</v>
      </c>
      <c r="X2054" s="188" t="inlineStr">
        <is>
          <t>LOW (40%)</t>
        </is>
      </c>
      <c r="Y2054" s="188" t="inlineStr">
        <is>
          <t>NONE</t>
        </is>
      </c>
      <c r="Z2054" s="188" t="inlineStr">
        <is>
          <t>NONE</t>
        </is>
      </c>
      <c r="AA2054" s="188" t="inlineStr">
        <is>
          <t>NONE</t>
        </is>
      </c>
      <c r="AB2054" s="188" t="inlineStr">
        <is>
          <t>NONE</t>
        </is>
      </c>
      <c r="AC2054" s="188" t="n">
        <v>0</v>
      </c>
      <c r="AD2054" s="188" t="inlineStr"/>
    </row>
    <row r="2055">
      <c r="A2055" s="188" t="inlineStr">
        <is>
          <t>EMERGING_THREAT_IP</t>
        </is>
      </c>
      <c r="B2055" s="188" t="inlineStr">
        <is>
          <t>c251342adada</t>
        </is>
      </c>
      <c r="C2055" s="188" t="inlineStr">
        <is>
          <t>Emerging Threats Compromised IP: 116.110.13.198 | Sources: EMERGING_THREATS</t>
        </is>
      </c>
      <c r="D2055" s="188" t="n">
        <v>6.5</v>
      </c>
      <c r="E2055" s="188" t="inlineStr">
        <is>
          <t>HIGH</t>
        </is>
      </c>
      <c r="F2055" s="188" t="n">
        <v>3</v>
      </c>
      <c r="G2055" s="188" t="n">
        <v>2</v>
      </c>
      <c r="H2055" s="188" t="inlineStr">
        <is>
          <t>HIGH</t>
        </is>
      </c>
      <c r="I2055" s="188" t="n">
        <v>12.5</v>
      </c>
      <c r="J2055" s="188" t="inlineStr">
        <is>
          <t>NO</t>
        </is>
      </c>
      <c r="K2055" s="188" t="inlineStr">
        <is>
          <t>https://rules.emergingthreats.net/</t>
        </is>
      </c>
      <c r="L2055" s="188" t="inlineStr">
        <is>
          <t>2026-02-26 00:15</t>
        </is>
      </c>
      <c r="M2055" s="188" t="inlineStr">
        <is>
          <t>Block IP</t>
        </is>
      </c>
      <c r="N2055" s="188" t="inlineStr">
        <is>
          <t>https://rules.emergingthreats.net/blockrules/compromised-ips.txt</t>
        </is>
      </c>
      <c r="O2055" s="188" t="inlineStr">
        <is>
          <t>Block IP 116.110.13.198 at firewall | Emerging Threats compromised host</t>
        </is>
      </c>
      <c r="P2055" s="188" t="inlineStr">
        <is>
          <t>Network perimeter</t>
        </is>
      </c>
      <c r="Q2055" s="188" t="inlineStr">
        <is>
          <t>P3</t>
        </is>
      </c>
      <c r="R2055" s="188" t="inlineStr">
        <is>
          <t>🚫 Block IP at firewall immediately | 🔍 Check logs for existing connections | 🛡️ Add to threat intelligence blocklist</t>
        </is>
      </c>
      <c r="S2055" s="188" t="inlineStr">
        <is>
          <t>Check ip-api.com + AbuseIPDB for context</t>
        </is>
      </c>
      <c r="T2055" s="188" t="n">
        <v>0</v>
      </c>
      <c r="U2055" s="188" t="n">
        <v>0</v>
      </c>
      <c r="V2055" s="188" t="inlineStr">
        <is>
          <t>T1110:Brute Force | T1190:Exploit Public-Facing Application</t>
        </is>
      </c>
      <c r="W2055" s="188" t="n">
        <v>1</v>
      </c>
      <c r="X2055" s="188" t="inlineStr">
        <is>
          <t>LOW (40%)</t>
        </is>
      </c>
      <c r="Y2055" s="188" t="inlineStr">
        <is>
          <t>NONE</t>
        </is>
      </c>
      <c r="Z2055" s="188" t="inlineStr">
        <is>
          <t>NONE</t>
        </is>
      </c>
      <c r="AA2055" s="188" t="inlineStr">
        <is>
          <t>NONE</t>
        </is>
      </c>
      <c r="AB2055" s="188" t="inlineStr">
        <is>
          <t>NONE</t>
        </is>
      </c>
      <c r="AC2055" s="188" t="n">
        <v>0</v>
      </c>
      <c r="AD2055" s="188" t="inlineStr"/>
    </row>
    <row r="2056">
      <c r="A2056" s="188" t="inlineStr">
        <is>
          <t>EMERGING_THREAT_IP</t>
        </is>
      </c>
      <c r="B2056" s="188" t="inlineStr">
        <is>
          <t>689af0729f7f</t>
        </is>
      </c>
      <c r="C2056" s="188" t="inlineStr">
        <is>
          <t>Emerging Threats Compromised IP: 116.110.146.223 | Sources: EMERGING_THREATS</t>
        </is>
      </c>
      <c r="D2056" s="188" t="n">
        <v>6.5</v>
      </c>
      <c r="E2056" s="188" t="inlineStr">
        <is>
          <t>HIGH</t>
        </is>
      </c>
      <c r="F2056" s="188" t="n">
        <v>3</v>
      </c>
      <c r="G2056" s="188" t="n">
        <v>2</v>
      </c>
      <c r="H2056" s="188" t="inlineStr">
        <is>
          <t>HIGH</t>
        </is>
      </c>
      <c r="I2056" s="188" t="n">
        <v>12.5</v>
      </c>
      <c r="J2056" s="188" t="inlineStr">
        <is>
          <t>NO</t>
        </is>
      </c>
      <c r="K2056" s="188" t="inlineStr">
        <is>
          <t>https://rules.emergingthreats.net/</t>
        </is>
      </c>
      <c r="L2056" s="188" t="inlineStr">
        <is>
          <t>2026-02-26 00:15</t>
        </is>
      </c>
      <c r="M2056" s="188" t="inlineStr">
        <is>
          <t>Block IP</t>
        </is>
      </c>
      <c r="N2056" s="188" t="inlineStr">
        <is>
          <t>https://rules.emergingthreats.net/blockrules/compromised-ips.txt</t>
        </is>
      </c>
      <c r="O2056" s="188" t="inlineStr">
        <is>
          <t>Block IP 116.110.146.223 at firewall | Emerging Threats compromised host</t>
        </is>
      </c>
      <c r="P2056" s="188" t="inlineStr">
        <is>
          <t>Network perimeter</t>
        </is>
      </c>
      <c r="Q2056" s="188" t="inlineStr">
        <is>
          <t>P3</t>
        </is>
      </c>
      <c r="R2056" s="188" t="inlineStr">
        <is>
          <t>🚫 Block IP at firewall immediately | 🔍 Check logs for existing connections | 🛡️ Add to threat intelligence blocklist</t>
        </is>
      </c>
      <c r="S2056" s="188" t="inlineStr">
        <is>
          <t>Check ip-api.com + AbuseIPDB for context</t>
        </is>
      </c>
      <c r="T2056" s="188" t="n">
        <v>0</v>
      </c>
      <c r="U2056" s="188" t="n">
        <v>0</v>
      </c>
      <c r="V2056" s="188" t="inlineStr">
        <is>
          <t>T1110:Brute Force | T1190:Exploit Public-Facing Application</t>
        </is>
      </c>
      <c r="W2056" s="188" t="n">
        <v>1</v>
      </c>
      <c r="X2056" s="188" t="inlineStr">
        <is>
          <t>LOW (40%)</t>
        </is>
      </c>
      <c r="Y2056" s="188" t="inlineStr">
        <is>
          <t>NONE</t>
        </is>
      </c>
      <c r="Z2056" s="188" t="inlineStr">
        <is>
          <t>NONE</t>
        </is>
      </c>
      <c r="AA2056" s="188" t="inlineStr">
        <is>
          <t>NONE</t>
        </is>
      </c>
      <c r="AB2056" s="188" t="inlineStr">
        <is>
          <t>NONE</t>
        </is>
      </c>
      <c r="AC2056" s="188" t="n">
        <v>0</v>
      </c>
      <c r="AD2056" s="188" t="inlineStr"/>
    </row>
    <row r="2057">
      <c r="A2057" s="188" t="inlineStr">
        <is>
          <t>EMERGING_THREAT_IP</t>
        </is>
      </c>
      <c r="B2057" s="188" t="inlineStr">
        <is>
          <t>b2f16ddb6fcd</t>
        </is>
      </c>
      <c r="C2057" s="188" t="inlineStr">
        <is>
          <t>Emerging Threats Compromised IP: 116.110.155.60 | Sources: EMERGING_THREATS</t>
        </is>
      </c>
      <c r="D2057" s="188" t="n">
        <v>6.5</v>
      </c>
      <c r="E2057" s="188" t="inlineStr">
        <is>
          <t>HIGH</t>
        </is>
      </c>
      <c r="F2057" s="188" t="n">
        <v>3</v>
      </c>
      <c r="G2057" s="188" t="n">
        <v>2</v>
      </c>
      <c r="H2057" s="188" t="inlineStr">
        <is>
          <t>HIGH</t>
        </is>
      </c>
      <c r="I2057" s="188" t="n">
        <v>12.5</v>
      </c>
      <c r="J2057" s="188" t="inlineStr">
        <is>
          <t>NO</t>
        </is>
      </c>
      <c r="K2057" s="188" t="inlineStr">
        <is>
          <t>https://rules.emergingthreats.net/</t>
        </is>
      </c>
      <c r="L2057" s="188" t="inlineStr">
        <is>
          <t>2026-02-26 00:15</t>
        </is>
      </c>
      <c r="M2057" s="188" t="inlineStr">
        <is>
          <t>Block IP</t>
        </is>
      </c>
      <c r="N2057" s="188" t="inlineStr">
        <is>
          <t>https://rules.emergingthreats.net/blockrules/compromised-ips.txt</t>
        </is>
      </c>
      <c r="O2057" s="188" t="inlineStr">
        <is>
          <t>Block IP 116.110.155.60 at firewall | Emerging Threats compromised host</t>
        </is>
      </c>
      <c r="P2057" s="188" t="inlineStr">
        <is>
          <t>Network perimeter</t>
        </is>
      </c>
      <c r="Q2057" s="188" t="inlineStr">
        <is>
          <t>P3</t>
        </is>
      </c>
      <c r="R2057" s="188" t="inlineStr">
        <is>
          <t>🚫 Block IP at firewall immediately | 🔍 Check logs for existing connections | 🛡️ Add to threat intelligence blocklist</t>
        </is>
      </c>
      <c r="S2057" s="188" t="inlineStr">
        <is>
          <t>Check ip-api.com + AbuseIPDB for context</t>
        </is>
      </c>
      <c r="T2057" s="188" t="n">
        <v>0</v>
      </c>
      <c r="U2057" s="188" t="n">
        <v>0</v>
      </c>
      <c r="V2057" s="188" t="inlineStr">
        <is>
          <t>T1110:Brute Force | T1190:Exploit Public-Facing Application</t>
        </is>
      </c>
      <c r="W2057" s="188" t="n">
        <v>1</v>
      </c>
      <c r="X2057" s="188" t="inlineStr">
        <is>
          <t>LOW (40%)</t>
        </is>
      </c>
      <c r="Y2057" s="188" t="inlineStr">
        <is>
          <t>NONE</t>
        </is>
      </c>
      <c r="Z2057" s="188" t="inlineStr">
        <is>
          <t>NONE</t>
        </is>
      </c>
      <c r="AA2057" s="188" t="inlineStr">
        <is>
          <t>NONE</t>
        </is>
      </c>
      <c r="AB2057" s="188" t="inlineStr">
        <is>
          <t>NONE</t>
        </is>
      </c>
      <c r="AC2057" s="188" t="n">
        <v>0</v>
      </c>
      <c r="AD2057" s="188" t="inlineStr"/>
    </row>
    <row r="2058">
      <c r="A2058" s="188" t="inlineStr">
        <is>
          <t>EMERGING_THREAT_IP</t>
        </is>
      </c>
      <c r="B2058" s="188" t="inlineStr">
        <is>
          <t>e6d676090bbd</t>
        </is>
      </c>
      <c r="C2058" s="188" t="inlineStr">
        <is>
          <t>Emerging Threats Compromised IP: 116.110.212.22 | Sources: EMERGING_THREATS</t>
        </is>
      </c>
      <c r="D2058" s="188" t="n">
        <v>6.5</v>
      </c>
      <c r="E2058" s="188" t="inlineStr">
        <is>
          <t>HIGH</t>
        </is>
      </c>
      <c r="F2058" s="188" t="n">
        <v>3</v>
      </c>
      <c r="G2058" s="188" t="n">
        <v>2</v>
      </c>
      <c r="H2058" s="188" t="inlineStr">
        <is>
          <t>HIGH</t>
        </is>
      </c>
      <c r="I2058" s="188" t="n">
        <v>12.5</v>
      </c>
      <c r="J2058" s="188" t="inlineStr">
        <is>
          <t>NO</t>
        </is>
      </c>
      <c r="K2058" s="188" t="inlineStr">
        <is>
          <t>https://rules.emergingthreats.net/</t>
        </is>
      </c>
      <c r="L2058" s="188" t="inlineStr">
        <is>
          <t>2026-02-26 00:15</t>
        </is>
      </c>
      <c r="M2058" s="188" t="inlineStr">
        <is>
          <t>Block IP</t>
        </is>
      </c>
      <c r="N2058" s="188" t="inlineStr">
        <is>
          <t>https://rules.emergingthreats.net/blockrules/compromised-ips.txt</t>
        </is>
      </c>
      <c r="O2058" s="188" t="inlineStr">
        <is>
          <t>Block IP 116.110.212.22 at firewall | Emerging Threats compromised host</t>
        </is>
      </c>
      <c r="P2058" s="188" t="inlineStr">
        <is>
          <t>Network perimeter</t>
        </is>
      </c>
      <c r="Q2058" s="188" t="inlineStr">
        <is>
          <t>P3</t>
        </is>
      </c>
      <c r="R2058" s="188" t="inlineStr">
        <is>
          <t>🚫 Block IP at firewall immediately | 🔍 Check logs for existing connections | 🛡️ Add to threat intelligence blocklist</t>
        </is>
      </c>
      <c r="S2058" s="188" t="inlineStr">
        <is>
          <t>Check ip-api.com + AbuseIPDB for context</t>
        </is>
      </c>
      <c r="T2058" s="188" t="n">
        <v>0</v>
      </c>
      <c r="U2058" s="188" t="n">
        <v>0</v>
      </c>
      <c r="V2058" s="188" t="inlineStr">
        <is>
          <t>T1110:Brute Force | T1190:Exploit Public-Facing Application</t>
        </is>
      </c>
      <c r="W2058" s="188" t="n">
        <v>1</v>
      </c>
      <c r="X2058" s="188" t="inlineStr">
        <is>
          <t>LOW (40%)</t>
        </is>
      </c>
      <c r="Y2058" s="188" t="inlineStr">
        <is>
          <t>NONE</t>
        </is>
      </c>
      <c r="Z2058" s="188" t="inlineStr">
        <is>
          <t>NONE</t>
        </is>
      </c>
      <c r="AA2058" s="188" t="inlineStr">
        <is>
          <t>NONE</t>
        </is>
      </c>
      <c r="AB2058" s="188" t="inlineStr">
        <is>
          <t>NONE</t>
        </is>
      </c>
      <c r="AC2058" s="188" t="n">
        <v>0</v>
      </c>
      <c r="AD2058" s="188" t="inlineStr"/>
    </row>
    <row r="2059">
      <c r="A2059" s="188" t="inlineStr">
        <is>
          <t>EMERGING_THREAT_IP</t>
        </is>
      </c>
      <c r="B2059" s="188" t="inlineStr">
        <is>
          <t>fe1a3a1be248</t>
        </is>
      </c>
      <c r="C2059" s="188" t="inlineStr">
        <is>
          <t>Emerging Threats Compromised IP: 116.110.213.68 | Sources: EMERGING_THREATS</t>
        </is>
      </c>
      <c r="D2059" s="188" t="n">
        <v>6.5</v>
      </c>
      <c r="E2059" s="188" t="inlineStr">
        <is>
          <t>HIGH</t>
        </is>
      </c>
      <c r="F2059" s="188" t="n">
        <v>3</v>
      </c>
      <c r="G2059" s="188" t="n">
        <v>2</v>
      </c>
      <c r="H2059" s="188" t="inlineStr">
        <is>
          <t>HIGH</t>
        </is>
      </c>
      <c r="I2059" s="188" t="n">
        <v>12.5</v>
      </c>
      <c r="J2059" s="188" t="inlineStr">
        <is>
          <t>NO</t>
        </is>
      </c>
      <c r="K2059" s="188" t="inlineStr">
        <is>
          <t>https://rules.emergingthreats.net/</t>
        </is>
      </c>
      <c r="L2059" s="188" t="inlineStr">
        <is>
          <t>2026-02-26 00:15</t>
        </is>
      </c>
      <c r="M2059" s="188" t="inlineStr">
        <is>
          <t>Block IP</t>
        </is>
      </c>
      <c r="N2059" s="188" t="inlineStr">
        <is>
          <t>https://rules.emergingthreats.net/blockrules/compromised-ips.txt</t>
        </is>
      </c>
      <c r="O2059" s="188" t="inlineStr">
        <is>
          <t>Block IP 116.110.213.68 at firewall | Emerging Threats compromised host</t>
        </is>
      </c>
      <c r="P2059" s="188" t="inlineStr">
        <is>
          <t>Network perimeter</t>
        </is>
      </c>
      <c r="Q2059" s="188" t="inlineStr">
        <is>
          <t>P3</t>
        </is>
      </c>
      <c r="R2059" s="188" t="inlineStr">
        <is>
          <t>🚫 Block IP at firewall immediately | 🔍 Check logs for existing connections | 🛡️ Add to threat intelligence blocklist</t>
        </is>
      </c>
      <c r="S2059" s="188" t="inlineStr">
        <is>
          <t>Check ip-api.com + AbuseIPDB for context</t>
        </is>
      </c>
      <c r="T2059" s="188" t="n">
        <v>0</v>
      </c>
      <c r="U2059" s="188" t="n">
        <v>0</v>
      </c>
      <c r="V2059" s="188" t="inlineStr">
        <is>
          <t>T1110:Brute Force | T1190:Exploit Public-Facing Application</t>
        </is>
      </c>
      <c r="W2059" s="188" t="n">
        <v>1</v>
      </c>
      <c r="X2059" s="188" t="inlineStr">
        <is>
          <t>LOW (40%)</t>
        </is>
      </c>
      <c r="Y2059" s="188" t="inlineStr">
        <is>
          <t>NONE</t>
        </is>
      </c>
      <c r="Z2059" s="188" t="inlineStr">
        <is>
          <t>NONE</t>
        </is>
      </c>
      <c r="AA2059" s="188" t="inlineStr">
        <is>
          <t>NONE</t>
        </is>
      </c>
      <c r="AB2059" s="188" t="inlineStr">
        <is>
          <t>NONE</t>
        </is>
      </c>
      <c r="AC2059" s="188" t="n">
        <v>0</v>
      </c>
      <c r="AD2059" s="188" t="inlineStr"/>
    </row>
    <row r="2060">
      <c r="A2060" s="188" t="inlineStr">
        <is>
          <t>EMERGING_THREAT_IP</t>
        </is>
      </c>
      <c r="B2060" s="188" t="inlineStr">
        <is>
          <t>c3a5ec83daeb</t>
        </is>
      </c>
      <c r="C2060" s="188" t="inlineStr">
        <is>
          <t>Emerging Threats Compromised IP: 116.110.213.79 | Sources: EMERGING_THREATS</t>
        </is>
      </c>
      <c r="D2060" s="188" t="n">
        <v>6.5</v>
      </c>
      <c r="E2060" s="188" t="inlineStr">
        <is>
          <t>HIGH</t>
        </is>
      </c>
      <c r="F2060" s="188" t="n">
        <v>3</v>
      </c>
      <c r="G2060" s="188" t="n">
        <v>2</v>
      </c>
      <c r="H2060" s="188" t="inlineStr">
        <is>
          <t>HIGH</t>
        </is>
      </c>
      <c r="I2060" s="188" t="n">
        <v>12.5</v>
      </c>
      <c r="J2060" s="188" t="inlineStr">
        <is>
          <t>NO</t>
        </is>
      </c>
      <c r="K2060" s="188" t="inlineStr">
        <is>
          <t>https://rules.emergingthreats.net/</t>
        </is>
      </c>
      <c r="L2060" s="188" t="inlineStr">
        <is>
          <t>2026-02-26 00:15</t>
        </is>
      </c>
      <c r="M2060" s="188" t="inlineStr">
        <is>
          <t>Block IP</t>
        </is>
      </c>
      <c r="N2060" s="188" t="inlineStr">
        <is>
          <t>https://rules.emergingthreats.net/blockrules/compromised-ips.txt</t>
        </is>
      </c>
      <c r="O2060" s="188" t="inlineStr">
        <is>
          <t>Block IP 116.110.213.79 at firewall | Emerging Threats compromised host</t>
        </is>
      </c>
      <c r="P2060" s="188" t="inlineStr">
        <is>
          <t>Network perimeter</t>
        </is>
      </c>
      <c r="Q2060" s="188" t="inlineStr">
        <is>
          <t>P3</t>
        </is>
      </c>
      <c r="R2060" s="188" t="inlineStr">
        <is>
          <t>🚫 Block IP at firewall immediately | 🔍 Check logs for existing connections | 🛡️ Add to threat intelligence blocklist</t>
        </is>
      </c>
      <c r="S2060" s="188" t="inlineStr">
        <is>
          <t>Check ip-api.com + AbuseIPDB for context</t>
        </is>
      </c>
      <c r="T2060" s="188" t="n">
        <v>0</v>
      </c>
      <c r="U2060" s="188" t="n">
        <v>0</v>
      </c>
      <c r="V2060" s="188" t="inlineStr">
        <is>
          <t>T1110:Brute Force | T1190:Exploit Public-Facing Application</t>
        </is>
      </c>
      <c r="W2060" s="188" t="n">
        <v>1</v>
      </c>
      <c r="X2060" s="188" t="inlineStr">
        <is>
          <t>LOW (40%)</t>
        </is>
      </c>
      <c r="Y2060" s="188" t="inlineStr">
        <is>
          <t>NONE</t>
        </is>
      </c>
      <c r="Z2060" s="188" t="inlineStr">
        <is>
          <t>NONE</t>
        </is>
      </c>
      <c r="AA2060" s="188" t="inlineStr">
        <is>
          <t>NONE</t>
        </is>
      </c>
      <c r="AB2060" s="188" t="inlineStr">
        <is>
          <t>NONE</t>
        </is>
      </c>
      <c r="AC2060" s="188" t="n">
        <v>0</v>
      </c>
      <c r="AD2060" s="188" t="inlineStr"/>
    </row>
    <row r="2061">
      <c r="A2061" s="188" t="inlineStr">
        <is>
          <t>EMERGING_THREAT_IP</t>
        </is>
      </c>
      <c r="B2061" s="188" t="inlineStr">
        <is>
          <t>b8c1dec11568</t>
        </is>
      </c>
      <c r="C2061" s="188" t="inlineStr">
        <is>
          <t>Emerging Threats Compromised IP: 116.110.215.164 | Sources: EMERGING_THREATS</t>
        </is>
      </c>
      <c r="D2061" s="188" t="n">
        <v>6.5</v>
      </c>
      <c r="E2061" s="188" t="inlineStr">
        <is>
          <t>HIGH</t>
        </is>
      </c>
      <c r="F2061" s="188" t="n">
        <v>3</v>
      </c>
      <c r="G2061" s="188" t="n">
        <v>2</v>
      </c>
      <c r="H2061" s="188" t="inlineStr">
        <is>
          <t>HIGH</t>
        </is>
      </c>
      <c r="I2061" s="188" t="n">
        <v>12.5</v>
      </c>
      <c r="J2061" s="188" t="inlineStr">
        <is>
          <t>NO</t>
        </is>
      </c>
      <c r="K2061" s="188" t="inlineStr">
        <is>
          <t>https://rules.emergingthreats.net/</t>
        </is>
      </c>
      <c r="L2061" s="188" t="inlineStr">
        <is>
          <t>2026-02-26 00:15</t>
        </is>
      </c>
      <c r="M2061" s="188" t="inlineStr">
        <is>
          <t>Block IP</t>
        </is>
      </c>
      <c r="N2061" s="188" t="inlineStr">
        <is>
          <t>https://rules.emergingthreats.net/blockrules/compromised-ips.txt</t>
        </is>
      </c>
      <c r="O2061" s="188" t="inlineStr">
        <is>
          <t>Block IP 116.110.215.164 at firewall | Emerging Threats compromised host</t>
        </is>
      </c>
      <c r="P2061" s="188" t="inlineStr">
        <is>
          <t>Network perimeter</t>
        </is>
      </c>
      <c r="Q2061" s="188" t="inlineStr">
        <is>
          <t>P3</t>
        </is>
      </c>
      <c r="R2061" s="188" t="inlineStr">
        <is>
          <t>🚫 Block IP at firewall immediately | 🔍 Check logs for existing connections | 🛡️ Add to threat intelligence blocklist</t>
        </is>
      </c>
      <c r="S2061" s="188" t="inlineStr">
        <is>
          <t>Check ip-api.com + AbuseIPDB for context</t>
        </is>
      </c>
      <c r="T2061" s="188" t="n">
        <v>0</v>
      </c>
      <c r="U2061" s="188" t="n">
        <v>0</v>
      </c>
      <c r="V2061" s="188" t="inlineStr">
        <is>
          <t>T1110:Brute Force | T1190:Exploit Public-Facing Application</t>
        </is>
      </c>
      <c r="W2061" s="188" t="n">
        <v>1</v>
      </c>
      <c r="X2061" s="188" t="inlineStr">
        <is>
          <t>LOW (40%)</t>
        </is>
      </c>
      <c r="Y2061" s="188" t="inlineStr">
        <is>
          <t>NONE</t>
        </is>
      </c>
      <c r="Z2061" s="188" t="inlineStr">
        <is>
          <t>NONE</t>
        </is>
      </c>
      <c r="AA2061" s="188" t="inlineStr">
        <is>
          <t>NONE</t>
        </is>
      </c>
      <c r="AB2061" s="188" t="inlineStr">
        <is>
          <t>NONE</t>
        </is>
      </c>
      <c r="AC2061" s="188" t="n">
        <v>0</v>
      </c>
      <c r="AD2061" s="188" t="inlineStr"/>
    </row>
    <row r="2062">
      <c r="A2062" s="188" t="inlineStr">
        <is>
          <t>VULNCHECK_KEV</t>
        </is>
      </c>
      <c r="B2062" s="188" t="inlineStr">
        <is>
          <t>f708391a9e44</t>
        </is>
      </c>
      <c r="C2062" s="188" t="inlineStr">
        <is>
          <t>VulnCheck KEV: Fortinet FortiOS through 7.6.6 allows attackers to decrypt LDAP credentials stored in device configuration files, as exploited in the wild from 2025-12-16 through 2026 (by default, the encryption key is the same across all customers' installations). NOTE: the Supplier's position is that the instance | CVEs: CVE-2026-25815</t>
        </is>
      </c>
      <c r="D2062" s="188" t="n">
        <v>7</v>
      </c>
      <c r="E2062" s="188" t="inlineStr">
        <is>
          <t>HIGH</t>
        </is>
      </c>
      <c r="F2062" s="188" t="n">
        <v>3</v>
      </c>
      <c r="G2062" s="188" t="n">
        <v>2</v>
      </c>
      <c r="H2062" s="188" t="inlineStr">
        <is>
          <t>HIGH</t>
        </is>
      </c>
      <c r="I2062" s="188" t="n">
        <v>13</v>
      </c>
      <c r="J2062" s="188" t="inlineStr">
        <is>
          <t>YES</t>
        </is>
      </c>
      <c r="K2062" s="188" t="inlineStr">
        <is>
          <t>https://vulncheck.com/blog/vuln-check-kev</t>
        </is>
      </c>
      <c r="L2062" s="188" t="inlineStr"/>
      <c r="M2062" s="188" t="inlineStr">
        <is>
          <t>URGENT - actively exploited</t>
        </is>
      </c>
      <c r="N2062" s="188" t="inlineStr">
        <is>
          <t>https://vulncheck.com/blog/vuln-check-kev</t>
        </is>
      </c>
      <c r="O2062" s="188" t="inlineStr">
        <is>
          <t>Patch immediately - known exploited</t>
        </is>
      </c>
      <c r="P2062" s="188" t="inlineStr">
        <is>
          <t>CVE-2026-25815</t>
        </is>
      </c>
      <c r="Q2062" s="188" t="inlineStr">
        <is>
          <t>P1</t>
        </is>
      </c>
      <c r="R2062" s="188" t="inlineStr">
        <is>
          <t>🔍 Investigate and apply appropriate controls</t>
        </is>
      </c>
      <c r="S2062" s="188" t="inlineStr">
        <is>
          <t>KEV entry - check specific CVEs for IP context</t>
        </is>
      </c>
      <c r="T2062" s="188" t="n">
        <v>0</v>
      </c>
      <c r="U2062" s="188" t="n">
        <v>0</v>
      </c>
      <c r="V2062" s="188" t="inlineStr">
        <is>
          <t>T1190:Exploit Public-Facing Application</t>
        </is>
      </c>
      <c r="W2062" s="188" t="n">
        <v>2</v>
      </c>
      <c r="X2062" s="188" t="inlineStr">
        <is>
          <t>CONFIRMED (82%)</t>
        </is>
      </c>
      <c r="Y2062" s="188" t="inlineStr">
        <is>
          <t>YES</t>
        </is>
      </c>
      <c r="Z2062" s="188" t="inlineStr">
        <is>
          <t>URGENT</t>
        </is>
      </c>
      <c r="AA2062" s="188" t="inlineStr">
        <is>
          <t>https://vulncheck.com/blog/vuln-check-kev</t>
        </is>
      </c>
      <c r="AB2062" s="188" t="inlineStr">
        <is>
          <t>NONE</t>
        </is>
      </c>
      <c r="AC2062" s="188" t="n">
        <v>0</v>
      </c>
      <c r="AD2062" s="188" t="inlineStr"/>
    </row>
    <row r="2063">
      <c r="A2063" s="188" t="inlineStr">
        <is>
          <t>VULNCHECK_KEV</t>
        </is>
      </c>
      <c r="B2063" s="188" t="inlineStr">
        <is>
          <t>b090c6c9d65f</t>
        </is>
      </c>
      <c r="C2063" s="188" t="inlineStr">
        <is>
          <t>VulnCheck KEV: OpenClaw (aka clawdbot or Moltbot) before 2026.1.29 obtains a gatewayUrl value from a query string and automatically makes a WebSocket connection without prompting, sending a token value. | CVEs: CVE-2026-25253</t>
        </is>
      </c>
      <c r="D2063" s="188" t="n">
        <v>7</v>
      </c>
      <c r="E2063" s="188" t="inlineStr">
        <is>
          <t>HIGH</t>
        </is>
      </c>
      <c r="F2063" s="188" t="n">
        <v>3</v>
      </c>
      <c r="G2063" s="188" t="n">
        <v>2</v>
      </c>
      <c r="H2063" s="188" t="inlineStr">
        <is>
          <t>HIGH</t>
        </is>
      </c>
      <c r="I2063" s="188" t="n">
        <v>13</v>
      </c>
      <c r="J2063" s="188" t="inlineStr">
        <is>
          <t>YES</t>
        </is>
      </c>
      <c r="K2063" s="188" t="inlineStr">
        <is>
          <t>https://vulncheck.com/blog/vuln-check-kev</t>
        </is>
      </c>
      <c r="L2063" s="188" t="inlineStr"/>
      <c r="M2063" s="188" t="inlineStr">
        <is>
          <t>URGENT - actively exploited</t>
        </is>
      </c>
      <c r="N2063" s="188" t="inlineStr">
        <is>
          <t>https://vulncheck.com/blog/vuln-check-kev</t>
        </is>
      </c>
      <c r="O2063" s="188" t="inlineStr">
        <is>
          <t>Patch immediately - known exploited</t>
        </is>
      </c>
      <c r="P2063" s="188" t="inlineStr">
        <is>
          <t>CVE-2026-25253</t>
        </is>
      </c>
      <c r="Q2063" s="188" t="inlineStr">
        <is>
          <t>P1</t>
        </is>
      </c>
      <c r="R2063" s="188" t="inlineStr">
        <is>
          <t>🔍 Investigate and apply appropriate controls</t>
        </is>
      </c>
      <c r="S2063" s="188" t="inlineStr">
        <is>
          <t>KEV entry - check specific CVEs for IP context</t>
        </is>
      </c>
      <c r="T2063" s="188" t="n">
        <v>0</v>
      </c>
      <c r="U2063" s="188" t="n">
        <v>0</v>
      </c>
      <c r="V2063" s="188" t="inlineStr">
        <is>
          <t>T1190:Exploit Public-Facing Application</t>
        </is>
      </c>
      <c r="W2063" s="188" t="n">
        <v>2</v>
      </c>
      <c r="X2063" s="188" t="inlineStr">
        <is>
          <t>CONFIRMED (82%)</t>
        </is>
      </c>
      <c r="Y2063" s="188" t="inlineStr">
        <is>
          <t>YES</t>
        </is>
      </c>
      <c r="Z2063" s="188" t="inlineStr">
        <is>
          <t>URGENT</t>
        </is>
      </c>
      <c r="AA2063" s="188" t="inlineStr">
        <is>
          <t>https://vulncheck.com/blog/vuln-check-kev</t>
        </is>
      </c>
      <c r="AB2063" s="188" t="inlineStr">
        <is>
          <t>NONE</t>
        </is>
      </c>
      <c r="AC2063" s="188" t="n">
        <v>0</v>
      </c>
      <c r="AD2063" s="188" t="inlineStr"/>
    </row>
    <row r="2064">
      <c r="A2064" s="188" t="inlineStr">
        <is>
          <t>VULNCHECK_KEV</t>
        </is>
      </c>
      <c r="B2064" s="188" t="inlineStr">
        <is>
          <t>cee91b1f674c</t>
        </is>
      </c>
      <c r="C2064" s="188" t="inlineStr">
        <is>
          <t>VulnCheck KEV: Soliton Systems K.K FileZen contains an OS command injection vulnerability when an user logs-in to the affected product and sends a specially crafted HTTP request. | CVEs: CVE-2026-25108</t>
        </is>
      </c>
      <c r="D2064" s="188" t="n">
        <v>7</v>
      </c>
      <c r="E2064" s="188" t="inlineStr">
        <is>
          <t>HIGH</t>
        </is>
      </c>
      <c r="F2064" s="188" t="n">
        <v>3</v>
      </c>
      <c r="G2064" s="188" t="n">
        <v>2</v>
      </c>
      <c r="H2064" s="188" t="inlineStr">
        <is>
          <t>HIGH</t>
        </is>
      </c>
      <c r="I2064" s="188" t="n">
        <v>13</v>
      </c>
      <c r="J2064" s="188" t="inlineStr">
        <is>
          <t>YES</t>
        </is>
      </c>
      <c r="K2064" s="188" t="inlineStr">
        <is>
          <t>https://vulncheck.com/blog/vuln-check-kev</t>
        </is>
      </c>
      <c r="L2064" s="188" t="inlineStr"/>
      <c r="M2064" s="188" t="inlineStr">
        <is>
          <t>URGENT - actively exploited</t>
        </is>
      </c>
      <c r="N2064" s="188" t="inlineStr">
        <is>
          <t>https://vulncheck.com/blog/vuln-check-kev</t>
        </is>
      </c>
      <c r="O2064" s="188" t="inlineStr">
        <is>
          <t>Patch immediately - known exploited</t>
        </is>
      </c>
      <c r="P2064" s="188" t="inlineStr">
        <is>
          <t>CVE-2026-25108</t>
        </is>
      </c>
      <c r="Q2064" s="188" t="inlineStr">
        <is>
          <t>P1</t>
        </is>
      </c>
      <c r="R2064" s="188" t="inlineStr">
        <is>
          <t>🔍 Investigate and apply appropriate controls</t>
        </is>
      </c>
      <c r="S2064" s="188" t="inlineStr">
        <is>
          <t>KEV entry - check specific CVEs for IP context</t>
        </is>
      </c>
      <c r="T2064" s="188" t="n">
        <v>0</v>
      </c>
      <c r="U2064" s="188" t="n">
        <v>0</v>
      </c>
      <c r="V2064" s="188" t="inlineStr">
        <is>
          <t>T1190:Exploit Public-Facing Application</t>
        </is>
      </c>
      <c r="W2064" s="188" t="n">
        <v>2</v>
      </c>
      <c r="X2064" s="188" t="inlineStr">
        <is>
          <t>CONFIRMED (82%)</t>
        </is>
      </c>
      <c r="Y2064" s="188" t="inlineStr">
        <is>
          <t>YES</t>
        </is>
      </c>
      <c r="Z2064" s="188" t="inlineStr">
        <is>
          <t>URGENT</t>
        </is>
      </c>
      <c r="AA2064" s="188" t="inlineStr">
        <is>
          <t>https://vulncheck.com/blog/vuln-check-kev</t>
        </is>
      </c>
      <c r="AB2064" s="188" t="inlineStr">
        <is>
          <t>NONE</t>
        </is>
      </c>
      <c r="AC2064" s="188" t="n">
        <v>0</v>
      </c>
      <c r="AD2064" s="188" t="inlineStr"/>
    </row>
    <row r="2065">
      <c r="A2065" s="188" t="inlineStr">
        <is>
          <t>VULNCHECK_KEV</t>
        </is>
      </c>
      <c r="B2065" s="188" t="inlineStr">
        <is>
          <t>5b14f44ef18f</t>
        </is>
      </c>
      <c r="C2065" s="188" t="inlineStr">
        <is>
          <t>VulnCheck KEV: Fortinet FortiAnalyzer, FortiManager, FortiOS, and FortiProxy contain an authentication bypass using an alternate path or channel that could allow an attacker with a FortiCloud account and a registered device to log into other devices registered to other accounts, if FortiCloud SSO authentication is | CVEs: CVE-2026-24858</t>
        </is>
      </c>
      <c r="D2065" s="188" t="n">
        <v>7</v>
      </c>
      <c r="E2065" s="188" t="inlineStr">
        <is>
          <t>HIGH</t>
        </is>
      </c>
      <c r="F2065" s="188" t="n">
        <v>3</v>
      </c>
      <c r="G2065" s="188" t="n">
        <v>2</v>
      </c>
      <c r="H2065" s="188" t="inlineStr">
        <is>
          <t>HIGH</t>
        </is>
      </c>
      <c r="I2065" s="188" t="n">
        <v>13</v>
      </c>
      <c r="J2065" s="188" t="inlineStr">
        <is>
          <t>YES</t>
        </is>
      </c>
      <c r="K2065" s="188" t="inlineStr">
        <is>
          <t>https://vulncheck.com/blog/vuln-check-kev</t>
        </is>
      </c>
      <c r="L2065" s="188" t="inlineStr"/>
      <c r="M2065" s="188" t="inlineStr">
        <is>
          <t>URGENT - actively exploited</t>
        </is>
      </c>
      <c r="N2065" s="188" t="inlineStr">
        <is>
          <t>https://vulncheck.com/blog/vuln-check-kev</t>
        </is>
      </c>
      <c r="O2065" s="188" t="inlineStr">
        <is>
          <t>Patch immediately - known exploited</t>
        </is>
      </c>
      <c r="P2065" s="188" t="inlineStr">
        <is>
          <t>CVE-2026-24858</t>
        </is>
      </c>
      <c r="Q2065" s="188" t="inlineStr">
        <is>
          <t>P1</t>
        </is>
      </c>
      <c r="R2065" s="188" t="inlineStr">
        <is>
          <t>🔍 Investigate and apply appropriate controls</t>
        </is>
      </c>
      <c r="S2065" s="188" t="inlineStr">
        <is>
          <t>KEV entry - check specific CVEs for IP context</t>
        </is>
      </c>
      <c r="T2065" s="188" t="n">
        <v>0</v>
      </c>
      <c r="U2065" s="188" t="n">
        <v>0</v>
      </c>
      <c r="V2065" s="188" t="inlineStr">
        <is>
          <t>T1190:Exploit Public-Facing Application</t>
        </is>
      </c>
      <c r="W2065" s="188" t="n">
        <v>2</v>
      </c>
      <c r="X2065" s="188" t="inlineStr">
        <is>
          <t>CONFIRMED (82%)</t>
        </is>
      </c>
      <c r="Y2065" s="188" t="inlineStr">
        <is>
          <t>YES</t>
        </is>
      </c>
      <c r="Z2065" s="188" t="inlineStr">
        <is>
          <t>URGENT</t>
        </is>
      </c>
      <c r="AA2065" s="188" t="inlineStr">
        <is>
          <t>https://vulncheck.com/blog/vuln-check-kev</t>
        </is>
      </c>
      <c r="AB2065" s="188" t="inlineStr">
        <is>
          <t>NONE</t>
        </is>
      </c>
      <c r="AC2065" s="188" t="n">
        <v>0</v>
      </c>
      <c r="AD2065" s="188" t="inlineStr"/>
    </row>
    <row r="2066">
      <c r="A2066" s="188" t="inlineStr">
        <is>
          <t>VULNCHECK_KEV</t>
        </is>
      </c>
      <c r="B2066" s="188" t="inlineStr">
        <is>
          <t>7216a4375bca</t>
        </is>
      </c>
      <c r="C2066" s="188" t="inlineStr">
        <is>
          <t>VulnCheck KEV: SmarterTools SmarterMail contains a missing authentication for critical function vulnerability in the ConnectToHub API method. This could allow the attacker to point the SmarterMail instance to a malicious HTTP server which serves the malicious OS command and could lead to command execution.  | CVEs: CVE-2026-24423</t>
        </is>
      </c>
      <c r="D2066" s="188" t="n">
        <v>7</v>
      </c>
      <c r="E2066" s="188" t="inlineStr">
        <is>
          <t>HIGH</t>
        </is>
      </c>
      <c r="F2066" s="188" t="n">
        <v>3</v>
      </c>
      <c r="G2066" s="188" t="n">
        <v>2</v>
      </c>
      <c r="H2066" s="188" t="inlineStr">
        <is>
          <t>HIGH</t>
        </is>
      </c>
      <c r="I2066" s="188" t="n">
        <v>13</v>
      </c>
      <c r="J2066" s="188" t="inlineStr">
        <is>
          <t>YES</t>
        </is>
      </c>
      <c r="K2066" s="188" t="inlineStr">
        <is>
          <t>https://vulncheck.com/blog/vuln-check-kev</t>
        </is>
      </c>
      <c r="L2066" s="188" t="inlineStr"/>
      <c r="M2066" s="188" t="inlineStr">
        <is>
          <t>URGENT - actively exploited</t>
        </is>
      </c>
      <c r="N2066" s="188" t="inlineStr">
        <is>
          <t>https://vulncheck.com/blog/vuln-check-kev</t>
        </is>
      </c>
      <c r="O2066" s="188" t="inlineStr">
        <is>
          <t>Patch immediately - known exploited</t>
        </is>
      </c>
      <c r="P2066" s="188" t="inlineStr">
        <is>
          <t>CVE-2026-24423</t>
        </is>
      </c>
      <c r="Q2066" s="188" t="inlineStr">
        <is>
          <t>P1</t>
        </is>
      </c>
      <c r="R2066" s="188" t="inlineStr">
        <is>
          <t>🔍 Investigate and apply appropriate controls</t>
        </is>
      </c>
      <c r="S2066" s="188" t="inlineStr">
        <is>
          <t>KEV entry - check specific CVEs for IP context</t>
        </is>
      </c>
      <c r="T2066" s="188" t="n">
        <v>0</v>
      </c>
      <c r="U2066" s="188" t="n">
        <v>0</v>
      </c>
      <c r="V2066" s="188" t="inlineStr">
        <is>
          <t>T1190:Exploit Public-Facing Application</t>
        </is>
      </c>
      <c r="W2066" s="188" t="n">
        <v>2</v>
      </c>
      <c r="X2066" s="188" t="inlineStr">
        <is>
          <t>CONFIRMED (82%)</t>
        </is>
      </c>
      <c r="Y2066" s="188" t="inlineStr">
        <is>
          <t>YES</t>
        </is>
      </c>
      <c r="Z2066" s="188" t="inlineStr">
        <is>
          <t>URGENT</t>
        </is>
      </c>
      <c r="AA2066" s="188" t="inlineStr">
        <is>
          <t>https://vulncheck.com/blog/vuln-check-kev</t>
        </is>
      </c>
      <c r="AB2066" s="188" t="inlineStr">
        <is>
          <t>NONE</t>
        </is>
      </c>
      <c r="AC2066" s="188" t="n">
        <v>0</v>
      </c>
      <c r="AD2066" s="188" t="inlineStr"/>
    </row>
    <row r="2067">
      <c r="A2067" s="188" t="inlineStr">
        <is>
          <t>VULNCHECK_KEV</t>
        </is>
      </c>
      <c r="B2067" s="188" t="inlineStr">
        <is>
          <t>792e86d42368</t>
        </is>
      </c>
      <c r="C2067" s="188" t="inlineStr">
        <is>
          <t>VulnCheck KEV: Google Chromium CSS contains a use-after-free vulnerability that could allow a remote attacker to potentially exploit heap corruption via a crafted HTML page. This vulnerability could affect multiple web browsers that utilize Chromium, including, but not limited to, Google Chrome, Microsoft Edge, an | CVEs: CVE-2026-2441</t>
        </is>
      </c>
      <c r="D2067" s="188" t="n">
        <v>7</v>
      </c>
      <c r="E2067" s="188" t="inlineStr">
        <is>
          <t>HIGH</t>
        </is>
      </c>
      <c r="F2067" s="188" t="n">
        <v>3</v>
      </c>
      <c r="G2067" s="188" t="n">
        <v>2</v>
      </c>
      <c r="H2067" s="188" t="inlineStr">
        <is>
          <t>HIGH</t>
        </is>
      </c>
      <c r="I2067" s="188" t="n">
        <v>13</v>
      </c>
      <c r="J2067" s="188" t="inlineStr">
        <is>
          <t>YES</t>
        </is>
      </c>
      <c r="K2067" s="188" t="inlineStr">
        <is>
          <t>https://vulncheck.com/blog/vuln-check-kev</t>
        </is>
      </c>
      <c r="L2067" s="188" t="inlineStr"/>
      <c r="M2067" s="188" t="inlineStr">
        <is>
          <t>URGENT - actively exploited</t>
        </is>
      </c>
      <c r="N2067" s="188" t="inlineStr">
        <is>
          <t>https://vulncheck.com/blog/vuln-check-kev</t>
        </is>
      </c>
      <c r="O2067" s="188" t="inlineStr">
        <is>
          <t>Patch immediately - known exploited</t>
        </is>
      </c>
      <c r="P2067" s="188" t="inlineStr">
        <is>
          <t>CVE-2026-2441</t>
        </is>
      </c>
      <c r="Q2067" s="188" t="inlineStr">
        <is>
          <t>P1</t>
        </is>
      </c>
      <c r="R2067" s="188" t="inlineStr">
        <is>
          <t>🔍 Investigate and apply appropriate controls</t>
        </is>
      </c>
      <c r="S2067" s="188" t="inlineStr">
        <is>
          <t>KEV entry - check specific CVEs for IP context</t>
        </is>
      </c>
      <c r="T2067" s="188" t="n">
        <v>0</v>
      </c>
      <c r="U2067" s="188" t="n">
        <v>0</v>
      </c>
      <c r="V2067" s="188" t="inlineStr">
        <is>
          <t>T1190:Exploit Public-Facing Application</t>
        </is>
      </c>
      <c r="W2067" s="188" t="n">
        <v>2</v>
      </c>
      <c r="X2067" s="188" t="inlineStr">
        <is>
          <t>CONFIRMED (82%)</t>
        </is>
      </c>
      <c r="Y2067" s="188" t="inlineStr">
        <is>
          <t>YES</t>
        </is>
      </c>
      <c r="Z2067" s="188" t="inlineStr">
        <is>
          <t>URGENT</t>
        </is>
      </c>
      <c r="AA2067" s="188" t="inlineStr">
        <is>
          <t>https://vulncheck.com/blog/vuln-check-kev</t>
        </is>
      </c>
      <c r="AB2067" s="188" t="inlineStr">
        <is>
          <t>NONE</t>
        </is>
      </c>
      <c r="AC2067" s="188" t="n">
        <v>0</v>
      </c>
      <c r="AD2067" s="188" t="inlineStr"/>
    </row>
    <row r="2068">
      <c r="A2068" s="188" t="inlineStr">
        <is>
          <t>VULNCHECK_KEV</t>
        </is>
      </c>
      <c r="B2068" s="188" t="inlineStr">
        <is>
          <t>693cd28f6e90</t>
        </is>
      </c>
      <c r="C2068" s="188" t="inlineStr">
        <is>
          <t>VulnCheck KEV: GNU InetUtils contains an argument injection vulnerability in telnetd that could allow for remote authentication bypass via a "-f root" value for the USER environment variable. | CVEs: CVE-2026-24061</t>
        </is>
      </c>
      <c r="D2068" s="188" t="n">
        <v>7</v>
      </c>
      <c r="E2068" s="188" t="inlineStr">
        <is>
          <t>HIGH</t>
        </is>
      </c>
      <c r="F2068" s="188" t="n">
        <v>3</v>
      </c>
      <c r="G2068" s="188" t="n">
        <v>2</v>
      </c>
      <c r="H2068" s="188" t="inlineStr">
        <is>
          <t>HIGH</t>
        </is>
      </c>
      <c r="I2068" s="188" t="n">
        <v>13</v>
      </c>
      <c r="J2068" s="188" t="inlineStr">
        <is>
          <t>YES</t>
        </is>
      </c>
      <c r="K2068" s="188" t="inlineStr">
        <is>
          <t>https://vulncheck.com/blog/vuln-check-kev</t>
        </is>
      </c>
      <c r="L2068" s="188" t="inlineStr"/>
      <c r="M2068" s="188" t="inlineStr">
        <is>
          <t>URGENT - actively exploited</t>
        </is>
      </c>
      <c r="N2068" s="188" t="inlineStr">
        <is>
          <t>https://vulncheck.com/blog/vuln-check-kev</t>
        </is>
      </c>
      <c r="O2068" s="188" t="inlineStr">
        <is>
          <t>Patch immediately - known exploited</t>
        </is>
      </c>
      <c r="P2068" s="188" t="inlineStr">
        <is>
          <t>CVE-2026-24061</t>
        </is>
      </c>
      <c r="Q2068" s="188" t="inlineStr">
        <is>
          <t>P1</t>
        </is>
      </c>
      <c r="R2068" s="188" t="inlineStr">
        <is>
          <t>🔍 Investigate and apply appropriate controls</t>
        </is>
      </c>
      <c r="S2068" s="188" t="inlineStr">
        <is>
          <t>KEV entry - check specific CVEs for IP context</t>
        </is>
      </c>
      <c r="T2068" s="188" t="n">
        <v>0</v>
      </c>
      <c r="U2068" s="188" t="n">
        <v>0</v>
      </c>
      <c r="V2068" s="188" t="inlineStr">
        <is>
          <t>T1190:Exploit Public-Facing Application</t>
        </is>
      </c>
      <c r="W2068" s="188" t="n">
        <v>2</v>
      </c>
      <c r="X2068" s="188" t="inlineStr">
        <is>
          <t>CONFIRMED (82%)</t>
        </is>
      </c>
      <c r="Y2068" s="188" t="inlineStr">
        <is>
          <t>YES</t>
        </is>
      </c>
      <c r="Z2068" s="188" t="inlineStr">
        <is>
          <t>URGENT</t>
        </is>
      </c>
      <c r="AA2068" s="188" t="inlineStr">
        <is>
          <t>https://vulncheck.com/blog/vuln-check-kev</t>
        </is>
      </c>
      <c r="AB2068" s="188" t="inlineStr">
        <is>
          <t>NONE</t>
        </is>
      </c>
      <c r="AC2068" s="188" t="n">
        <v>0</v>
      </c>
      <c r="AD2068" s="188" t="inlineStr"/>
    </row>
    <row r="2069">
      <c r="A2069" s="188" t="inlineStr">
        <is>
          <t>VULNCHECK_KEV</t>
        </is>
      </c>
      <c r="B2069" s="188" t="inlineStr">
        <is>
          <t>23d9f45e272e</t>
        </is>
      </c>
      <c r="C2069" s="188" t="inlineStr">
        <is>
          <t>VulnCheck KEV: Incorrect Privilege Assignment vulnerability in Modular DS modular-connector allows Privilege Escalation.This issue affects Modular DS: from 2.5.2 before 2.6.0. | CVEs: CVE-2026-23800</t>
        </is>
      </c>
      <c r="D2069" s="188" t="n">
        <v>7</v>
      </c>
      <c r="E2069" s="188" t="inlineStr">
        <is>
          <t>HIGH</t>
        </is>
      </c>
      <c r="F2069" s="188" t="n">
        <v>3</v>
      </c>
      <c r="G2069" s="188" t="n">
        <v>2</v>
      </c>
      <c r="H2069" s="188" t="inlineStr">
        <is>
          <t>HIGH</t>
        </is>
      </c>
      <c r="I2069" s="188" t="n">
        <v>13</v>
      </c>
      <c r="J2069" s="188" t="inlineStr">
        <is>
          <t>YES</t>
        </is>
      </c>
      <c r="K2069" s="188" t="inlineStr">
        <is>
          <t>https://vulncheck.com/blog/vuln-check-kev</t>
        </is>
      </c>
      <c r="L2069" s="188" t="inlineStr"/>
      <c r="M2069" s="188" t="inlineStr">
        <is>
          <t>URGENT - actively exploited</t>
        </is>
      </c>
      <c r="N2069" s="188" t="inlineStr">
        <is>
          <t>https://vulncheck.com/blog/vuln-check-kev</t>
        </is>
      </c>
      <c r="O2069" s="188" t="inlineStr">
        <is>
          <t>Patch immediately - known exploited</t>
        </is>
      </c>
      <c r="P2069" s="188" t="inlineStr">
        <is>
          <t>CVE-2026-23800</t>
        </is>
      </c>
      <c r="Q2069" s="188" t="inlineStr">
        <is>
          <t>P1</t>
        </is>
      </c>
      <c r="R2069" s="188" t="inlineStr">
        <is>
          <t>🔍 Investigate and apply appropriate controls</t>
        </is>
      </c>
      <c r="S2069" s="188" t="inlineStr">
        <is>
          <t>KEV entry - check specific CVEs for IP context</t>
        </is>
      </c>
      <c r="T2069" s="188" t="n">
        <v>0</v>
      </c>
      <c r="U2069" s="188" t="n">
        <v>0</v>
      </c>
      <c r="V2069" s="188" t="inlineStr">
        <is>
          <t>T1190:Exploit Public-Facing Application</t>
        </is>
      </c>
      <c r="W2069" s="188" t="n">
        <v>2</v>
      </c>
      <c r="X2069" s="188" t="inlineStr">
        <is>
          <t>CONFIRMED (82%)</t>
        </is>
      </c>
      <c r="Y2069" s="188" t="inlineStr">
        <is>
          <t>YES</t>
        </is>
      </c>
      <c r="Z2069" s="188" t="inlineStr">
        <is>
          <t>URGENT</t>
        </is>
      </c>
      <c r="AA2069" s="188" t="inlineStr">
        <is>
          <t>https://vulncheck.com/blog/vuln-check-kev</t>
        </is>
      </c>
      <c r="AB2069" s="188" t="inlineStr">
        <is>
          <t>NONE</t>
        </is>
      </c>
      <c r="AC2069" s="188" t="n">
        <v>0</v>
      </c>
      <c r="AD2069" s="188" t="inlineStr"/>
    </row>
    <row r="2070">
      <c r="A2070" s="188" t="inlineStr">
        <is>
          <t>VULNCHECK_KEV</t>
        </is>
      </c>
      <c r="B2070" s="188" t="inlineStr">
        <is>
          <t>5cf1ec21b577</t>
        </is>
      </c>
      <c r="C2070" s="188" t="inlineStr">
        <is>
          <t>VulnCheck KEV: SmarterTools SmarterMail contains an authentication bypass using an alternate path or channel vulnerability in the password reset API. The force-reset-password endpoint permits anonymous requests and fails to verify the existing password or a reset token when resetting system administrator accounts. | CVEs: CVE-2026-23760</t>
        </is>
      </c>
      <c r="D2070" s="188" t="n">
        <v>7</v>
      </c>
      <c r="E2070" s="188" t="inlineStr">
        <is>
          <t>HIGH</t>
        </is>
      </c>
      <c r="F2070" s="188" t="n">
        <v>3</v>
      </c>
      <c r="G2070" s="188" t="n">
        <v>2</v>
      </c>
      <c r="H2070" s="188" t="inlineStr">
        <is>
          <t>HIGH</t>
        </is>
      </c>
      <c r="I2070" s="188" t="n">
        <v>13</v>
      </c>
      <c r="J2070" s="188" t="inlineStr">
        <is>
          <t>YES</t>
        </is>
      </c>
      <c r="K2070" s="188" t="inlineStr">
        <is>
          <t>https://vulncheck.com/blog/vuln-check-kev</t>
        </is>
      </c>
      <c r="L2070" s="188" t="inlineStr"/>
      <c r="M2070" s="188" t="inlineStr">
        <is>
          <t>URGENT - actively exploited</t>
        </is>
      </c>
      <c r="N2070" s="188" t="inlineStr">
        <is>
          <t>https://vulncheck.com/blog/vuln-check-kev</t>
        </is>
      </c>
      <c r="O2070" s="188" t="inlineStr">
        <is>
          <t>Patch immediately - known exploited</t>
        </is>
      </c>
      <c r="P2070" s="188" t="inlineStr">
        <is>
          <t>CVE-2026-23760</t>
        </is>
      </c>
      <c r="Q2070" s="188" t="inlineStr">
        <is>
          <t>P1</t>
        </is>
      </c>
      <c r="R2070" s="188" t="inlineStr">
        <is>
          <t>🔍 Investigate and apply appropriate controls</t>
        </is>
      </c>
      <c r="S2070" s="188" t="inlineStr">
        <is>
          <t>KEV entry - check specific CVEs for IP context</t>
        </is>
      </c>
      <c r="T2070" s="188" t="n">
        <v>0</v>
      </c>
      <c r="U2070" s="188" t="n">
        <v>0</v>
      </c>
      <c r="V2070" s="188" t="inlineStr">
        <is>
          <t>T1190:Exploit Public-Facing Application</t>
        </is>
      </c>
      <c r="W2070" s="188" t="n">
        <v>2</v>
      </c>
      <c r="X2070" s="188" t="inlineStr">
        <is>
          <t>CONFIRMED (82%)</t>
        </is>
      </c>
      <c r="Y2070" s="188" t="inlineStr">
        <is>
          <t>YES</t>
        </is>
      </c>
      <c r="Z2070" s="188" t="inlineStr">
        <is>
          <t>URGENT</t>
        </is>
      </c>
      <c r="AA2070" s="188" t="inlineStr">
        <is>
          <t>https://vulncheck.com/blog/vuln-check-kev</t>
        </is>
      </c>
      <c r="AB2070" s="188" t="inlineStr">
        <is>
          <t>NONE</t>
        </is>
      </c>
      <c r="AC2070" s="188" t="n">
        <v>0</v>
      </c>
      <c r="AD2070" s="188" t="inlineStr"/>
    </row>
    <row r="2071">
      <c r="A2071" s="188" t="inlineStr">
        <is>
          <t>VULNCHECK_KEV</t>
        </is>
      </c>
      <c r="B2071" s="188" t="inlineStr">
        <is>
          <t>1f4d494859cc</t>
        </is>
      </c>
      <c r="C2071" s="188" t="inlineStr">
        <is>
          <t>VulnCheck KEV: MCPJam inspector is the local-first development platform for MCP servers. Versions 1.4.2 and earlier are vulnerable to remote code execution (RCE) vulnerability, which allows an attacker to send a crafted HTTP request that triggers the installation of an MCP server, leading to RCE. Since MCPJam insp | CVEs: CVE-2026-23744</t>
        </is>
      </c>
      <c r="D2071" s="188" t="n">
        <v>7</v>
      </c>
      <c r="E2071" s="188" t="inlineStr">
        <is>
          <t>HIGH</t>
        </is>
      </c>
      <c r="F2071" s="188" t="n">
        <v>3</v>
      </c>
      <c r="G2071" s="188" t="n">
        <v>2</v>
      </c>
      <c r="H2071" s="188" t="inlineStr">
        <is>
          <t>HIGH</t>
        </is>
      </c>
      <c r="I2071" s="188" t="n">
        <v>13</v>
      </c>
      <c r="J2071" s="188" t="inlineStr">
        <is>
          <t>YES</t>
        </is>
      </c>
      <c r="K2071" s="188" t="inlineStr">
        <is>
          <t>https://vulncheck.com/blog/vuln-check-kev</t>
        </is>
      </c>
      <c r="L2071" s="188" t="inlineStr"/>
      <c r="M2071" s="188" t="inlineStr">
        <is>
          <t>URGENT - actively exploited</t>
        </is>
      </c>
      <c r="N2071" s="188" t="inlineStr">
        <is>
          <t>https://vulncheck.com/blog/vuln-check-kev</t>
        </is>
      </c>
      <c r="O2071" s="188" t="inlineStr">
        <is>
          <t>Patch immediately - known exploited</t>
        </is>
      </c>
      <c r="P2071" s="188" t="inlineStr">
        <is>
          <t>CVE-2026-23744</t>
        </is>
      </c>
      <c r="Q2071" s="188" t="inlineStr">
        <is>
          <t>P1</t>
        </is>
      </c>
      <c r="R2071" s="188" t="inlineStr">
        <is>
          <t>🔍 Investigate and apply appropriate controls</t>
        </is>
      </c>
      <c r="S2071" s="188" t="inlineStr">
        <is>
          <t>KEV entry - check specific CVEs for IP context</t>
        </is>
      </c>
      <c r="T2071" s="188" t="n">
        <v>0</v>
      </c>
      <c r="U2071" s="188" t="n">
        <v>0</v>
      </c>
      <c r="V2071" s="188" t="inlineStr">
        <is>
          <t>T1190:Exploit Public-Facing Application</t>
        </is>
      </c>
      <c r="W2071" s="188" t="n">
        <v>2</v>
      </c>
      <c r="X2071" s="188" t="inlineStr">
        <is>
          <t>CONFIRMED (82%)</t>
        </is>
      </c>
      <c r="Y2071" s="188" t="inlineStr">
        <is>
          <t>YES</t>
        </is>
      </c>
      <c r="Z2071" s="188" t="inlineStr">
        <is>
          <t>URGENT</t>
        </is>
      </c>
      <c r="AA2071" s="188" t="inlineStr">
        <is>
          <t>https://vulncheck.com/blog/vuln-check-kev</t>
        </is>
      </c>
      <c r="AB2071" s="188" t="inlineStr">
        <is>
          <t>NONE</t>
        </is>
      </c>
      <c r="AC2071" s="188" t="n">
        <v>0</v>
      </c>
      <c r="AD2071" s="188" t="inlineStr"/>
    </row>
    <row r="2072">
      <c r="A2072" s="188" t="inlineStr">
        <is>
          <t>VULNCHECK_KEV</t>
        </is>
      </c>
      <c r="B2072" s="188" t="inlineStr">
        <is>
          <t>b49d35435cd1</t>
        </is>
      </c>
      <c r="C2072" s="188" t="inlineStr">
        <is>
          <t>VulnCheck KEV: Incorrect Privilege Assignment vulnerability in Modular DS allows Privilege Escalation.This issue affects Modular DS: from n/a through 2.5.1. | CVEs: CVE-2026-23550</t>
        </is>
      </c>
      <c r="D2072" s="188" t="n">
        <v>7</v>
      </c>
      <c r="E2072" s="188" t="inlineStr">
        <is>
          <t>HIGH</t>
        </is>
      </c>
      <c r="F2072" s="188" t="n">
        <v>3</v>
      </c>
      <c r="G2072" s="188" t="n">
        <v>2</v>
      </c>
      <c r="H2072" s="188" t="inlineStr">
        <is>
          <t>HIGH</t>
        </is>
      </c>
      <c r="I2072" s="188" t="n">
        <v>13</v>
      </c>
      <c r="J2072" s="188" t="inlineStr">
        <is>
          <t>YES</t>
        </is>
      </c>
      <c r="K2072" s="188" t="inlineStr">
        <is>
          <t>https://vulncheck.com/blog/vuln-check-kev</t>
        </is>
      </c>
      <c r="L2072" s="188" t="inlineStr"/>
      <c r="M2072" s="188" t="inlineStr">
        <is>
          <t>URGENT - actively exploited</t>
        </is>
      </c>
      <c r="N2072" s="188" t="inlineStr">
        <is>
          <t>https://vulncheck.com/blog/vuln-check-kev</t>
        </is>
      </c>
      <c r="O2072" s="188" t="inlineStr">
        <is>
          <t>Patch immediately - known exploited</t>
        </is>
      </c>
      <c r="P2072" s="188" t="inlineStr">
        <is>
          <t>CVE-2026-23550</t>
        </is>
      </c>
      <c r="Q2072" s="188" t="inlineStr">
        <is>
          <t>P1</t>
        </is>
      </c>
      <c r="R2072" s="188" t="inlineStr">
        <is>
          <t>🔍 Investigate and apply appropriate controls</t>
        </is>
      </c>
      <c r="S2072" s="188" t="inlineStr">
        <is>
          <t>KEV entry - check specific CVEs for IP context</t>
        </is>
      </c>
      <c r="T2072" s="188" t="n">
        <v>0</v>
      </c>
      <c r="U2072" s="188" t="n">
        <v>0</v>
      </c>
      <c r="V2072" s="188" t="inlineStr">
        <is>
          <t>T1190:Exploit Public-Facing Application</t>
        </is>
      </c>
      <c r="W2072" s="188" t="n">
        <v>2</v>
      </c>
      <c r="X2072" s="188" t="inlineStr">
        <is>
          <t>CONFIRMED (82%)</t>
        </is>
      </c>
      <c r="Y2072" s="188" t="inlineStr">
        <is>
          <t>YES</t>
        </is>
      </c>
      <c r="Z2072" s="188" t="inlineStr">
        <is>
          <t>URGENT</t>
        </is>
      </c>
      <c r="AA2072" s="188" t="inlineStr">
        <is>
          <t>https://vulncheck.com/blog/vuln-check-kev</t>
        </is>
      </c>
      <c r="AB2072" s="188" t="inlineStr">
        <is>
          <t>NONE</t>
        </is>
      </c>
      <c r="AC2072" s="188" t="n">
        <v>0</v>
      </c>
      <c r="AD2072" s="188" t="inlineStr"/>
    </row>
    <row r="2073">
      <c r="A2073" s="188" t="inlineStr">
        <is>
          <t>VULNCHECK_KEV</t>
        </is>
      </c>
      <c r="B2073" s="188" t="inlineStr">
        <is>
          <t>cea8b06eb756</t>
        </is>
      </c>
      <c r="C2073" s="188" t="inlineStr">
        <is>
          <t>VulnCheck KEV: Dell RecoverPoint for Virtual Machines (RP4VMs) contains an use of hard-coded credentials vulnerability that could allow an unauthenticated remote attacker to gain unauthorized access to the underlying operating system and root-level persistence. | CVEs: CVE-2026-22769</t>
        </is>
      </c>
      <c r="D2073" s="188" t="n">
        <v>7</v>
      </c>
      <c r="E2073" s="188" t="inlineStr">
        <is>
          <t>HIGH</t>
        </is>
      </c>
      <c r="F2073" s="188" t="n">
        <v>3</v>
      </c>
      <c r="G2073" s="188" t="n">
        <v>2</v>
      </c>
      <c r="H2073" s="188" t="inlineStr">
        <is>
          <t>HIGH</t>
        </is>
      </c>
      <c r="I2073" s="188" t="n">
        <v>13</v>
      </c>
      <c r="J2073" s="188" t="inlineStr">
        <is>
          <t>YES</t>
        </is>
      </c>
      <c r="K2073" s="188" t="inlineStr">
        <is>
          <t>https://vulncheck.com/blog/vuln-check-kev</t>
        </is>
      </c>
      <c r="L2073" s="188" t="inlineStr"/>
      <c r="M2073" s="188" t="inlineStr">
        <is>
          <t>URGENT - actively exploited</t>
        </is>
      </c>
      <c r="N2073" s="188" t="inlineStr">
        <is>
          <t>https://vulncheck.com/blog/vuln-check-kev</t>
        </is>
      </c>
      <c r="O2073" s="188" t="inlineStr">
        <is>
          <t>Patch immediately - known exploited</t>
        </is>
      </c>
      <c r="P2073" s="188" t="inlineStr">
        <is>
          <t>CVE-2026-22769</t>
        </is>
      </c>
      <c r="Q2073" s="188" t="inlineStr">
        <is>
          <t>P1</t>
        </is>
      </c>
      <c r="R2073" s="188" t="inlineStr">
        <is>
          <t>🔍 Investigate and apply appropriate controls</t>
        </is>
      </c>
      <c r="S2073" s="188" t="inlineStr">
        <is>
          <t>KEV entry - check specific CVEs for IP context</t>
        </is>
      </c>
      <c r="T2073" s="188" t="n">
        <v>0</v>
      </c>
      <c r="U2073" s="188" t="n">
        <v>0</v>
      </c>
      <c r="V2073" s="188" t="inlineStr">
        <is>
          <t>T1190:Exploit Public-Facing Application</t>
        </is>
      </c>
      <c r="W2073" s="188" t="n">
        <v>2</v>
      </c>
      <c r="X2073" s="188" t="inlineStr">
        <is>
          <t>CONFIRMED (82%)</t>
        </is>
      </c>
      <c r="Y2073" s="188" t="inlineStr">
        <is>
          <t>YES</t>
        </is>
      </c>
      <c r="Z2073" s="188" t="inlineStr">
        <is>
          <t>URGENT</t>
        </is>
      </c>
      <c r="AA2073" s="188" t="inlineStr">
        <is>
          <t>https://vulncheck.com/blog/vuln-check-kev</t>
        </is>
      </c>
      <c r="AB2073" s="188" t="inlineStr">
        <is>
          <t>NONE</t>
        </is>
      </c>
      <c r="AC2073" s="188" t="n">
        <v>0</v>
      </c>
      <c r="AD2073" s="188" t="inlineStr"/>
    </row>
    <row r="2074">
      <c r="A2074" s="188" t="inlineStr">
        <is>
          <t>VULNCHECK_KEV</t>
        </is>
      </c>
      <c r="B2074" s="188" t="inlineStr">
        <is>
          <t>55eecf6fae85</t>
        </is>
      </c>
      <c r="C2074" s="188" t="inlineStr">
        <is>
          <t>VulnCheck KEV: Vulnerability in the Oracle HTTP Server, Oracle Weblogic Server Proxy Plug-in product of Oracle Fusion Middleware (component: Weblogic Server Proxy Plug-in for Apache HTTP Server, Weblogic Server Proxy Plug-in for IIS).  Supported versions that are affected are 12.2.1.4.0, 14.1.1.0.0 and  14.1.2.0.0 | CVEs: CVE-2026-21962</t>
        </is>
      </c>
      <c r="D2074" s="188" t="n">
        <v>7</v>
      </c>
      <c r="E2074" s="188" t="inlineStr">
        <is>
          <t>HIGH</t>
        </is>
      </c>
      <c r="F2074" s="188" t="n">
        <v>3</v>
      </c>
      <c r="G2074" s="188" t="n">
        <v>2</v>
      </c>
      <c r="H2074" s="188" t="inlineStr">
        <is>
          <t>HIGH</t>
        </is>
      </c>
      <c r="I2074" s="188" t="n">
        <v>13</v>
      </c>
      <c r="J2074" s="188" t="inlineStr">
        <is>
          <t>YES</t>
        </is>
      </c>
      <c r="K2074" s="188" t="inlineStr">
        <is>
          <t>https://vulncheck.com/blog/vuln-check-kev</t>
        </is>
      </c>
      <c r="L2074" s="188" t="inlineStr"/>
      <c r="M2074" s="188" t="inlineStr">
        <is>
          <t>URGENT - actively exploited</t>
        </is>
      </c>
      <c r="N2074" s="188" t="inlineStr">
        <is>
          <t>https://vulncheck.com/blog/vuln-check-kev</t>
        </is>
      </c>
      <c r="O2074" s="188" t="inlineStr">
        <is>
          <t>Patch immediately - known exploited</t>
        </is>
      </c>
      <c r="P2074" s="188" t="inlineStr">
        <is>
          <t>CVE-2026-21962</t>
        </is>
      </c>
      <c r="Q2074" s="188" t="inlineStr">
        <is>
          <t>P1</t>
        </is>
      </c>
      <c r="R2074" s="188" t="inlineStr">
        <is>
          <t>🔍 Investigate and apply appropriate controls</t>
        </is>
      </c>
      <c r="S2074" s="188" t="inlineStr">
        <is>
          <t>KEV entry - check specific CVEs for IP context</t>
        </is>
      </c>
      <c r="T2074" s="188" t="n">
        <v>0</v>
      </c>
      <c r="U2074" s="188" t="n">
        <v>0</v>
      </c>
      <c r="V2074" s="188" t="inlineStr">
        <is>
          <t>T1190:Exploit Public-Facing Application</t>
        </is>
      </c>
      <c r="W2074" s="188" t="n">
        <v>2</v>
      </c>
      <c r="X2074" s="188" t="inlineStr">
        <is>
          <t>CONFIRMED (82%)</t>
        </is>
      </c>
      <c r="Y2074" s="188" t="inlineStr">
        <is>
          <t>YES</t>
        </is>
      </c>
      <c r="Z2074" s="188" t="inlineStr">
        <is>
          <t>URGENT</t>
        </is>
      </c>
      <c r="AA2074" s="188" t="inlineStr">
        <is>
          <t>https://vulncheck.com/blog/vuln-check-kev</t>
        </is>
      </c>
      <c r="AB2074" s="188" t="inlineStr">
        <is>
          <t>NONE</t>
        </is>
      </c>
      <c r="AC2074" s="188" t="n">
        <v>0</v>
      </c>
      <c r="AD2074" s="188" t="inlineStr"/>
    </row>
    <row r="2075">
      <c r="A2075" s="188" t="inlineStr">
        <is>
          <t>VULNCHECK_KEV</t>
        </is>
      </c>
      <c r="B2075" s="188" t="inlineStr">
        <is>
          <t>eef05c51ff9a</t>
        </is>
      </c>
      <c r="C2075" s="188" t="inlineStr">
        <is>
          <t>VulnCheck KEV: Mailpit is an email testing tool and API for developers. Versions 1.28.0 and below have a Server-Side Request Forgery (SSRF) vulnerability in the /proxy endpoint, allowing attackers to make requests to internal network resources. The /proxy endpoint validates http:// and https:// schemes, but it doe | CVEs: CVE-2026-21859</t>
        </is>
      </c>
      <c r="D2075" s="188" t="n">
        <v>7</v>
      </c>
      <c r="E2075" s="188" t="inlineStr">
        <is>
          <t>HIGH</t>
        </is>
      </c>
      <c r="F2075" s="188" t="n">
        <v>3</v>
      </c>
      <c r="G2075" s="188" t="n">
        <v>2</v>
      </c>
      <c r="H2075" s="188" t="inlineStr">
        <is>
          <t>HIGH</t>
        </is>
      </c>
      <c r="I2075" s="188" t="n">
        <v>13</v>
      </c>
      <c r="J2075" s="188" t="inlineStr">
        <is>
          <t>YES</t>
        </is>
      </c>
      <c r="K2075" s="188" t="inlineStr">
        <is>
          <t>https://vulncheck.com/blog/vuln-check-kev</t>
        </is>
      </c>
      <c r="L2075" s="188" t="inlineStr"/>
      <c r="M2075" s="188" t="inlineStr">
        <is>
          <t>URGENT - actively exploited</t>
        </is>
      </c>
      <c r="N2075" s="188" t="inlineStr">
        <is>
          <t>https://vulncheck.com/blog/vuln-check-kev</t>
        </is>
      </c>
      <c r="O2075" s="188" t="inlineStr">
        <is>
          <t>Patch immediately - known exploited</t>
        </is>
      </c>
      <c r="P2075" s="188" t="inlineStr">
        <is>
          <t>CVE-2026-21859</t>
        </is>
      </c>
      <c r="Q2075" s="188" t="inlineStr">
        <is>
          <t>P1</t>
        </is>
      </c>
      <c r="R2075" s="188" t="inlineStr">
        <is>
          <t>🔍 Investigate and apply appropriate controls</t>
        </is>
      </c>
      <c r="S2075" s="188" t="inlineStr">
        <is>
          <t>KEV entry - check specific CVEs for IP context</t>
        </is>
      </c>
      <c r="T2075" s="188" t="n">
        <v>0</v>
      </c>
      <c r="U2075" s="188" t="n">
        <v>0</v>
      </c>
      <c r="V2075" s="188" t="inlineStr">
        <is>
          <t>T1190:Exploit Public-Facing Application</t>
        </is>
      </c>
      <c r="W2075" s="188" t="n">
        <v>2</v>
      </c>
      <c r="X2075" s="188" t="inlineStr">
        <is>
          <t>CONFIRMED (82%)</t>
        </is>
      </c>
      <c r="Y2075" s="188" t="inlineStr">
        <is>
          <t>YES</t>
        </is>
      </c>
      <c r="Z2075" s="188" t="inlineStr">
        <is>
          <t>URGENT</t>
        </is>
      </c>
      <c r="AA2075" s="188" t="inlineStr">
        <is>
          <t>https://vulncheck.com/blog/vuln-check-kev</t>
        </is>
      </c>
      <c r="AB2075" s="188" t="inlineStr">
        <is>
          <t>NONE</t>
        </is>
      </c>
      <c r="AC2075" s="188" t="n">
        <v>0</v>
      </c>
      <c r="AD2075" s="188" t="inlineStr"/>
    </row>
    <row r="2076">
      <c r="A2076" s="188" t="inlineStr">
        <is>
          <t>VULNCHECK_KEV</t>
        </is>
      </c>
      <c r="B2076" s="188" t="inlineStr">
        <is>
          <t>243096ea782b</t>
        </is>
      </c>
      <c r="C2076" s="188" t="inlineStr">
        <is>
          <t>VulnCheck KEV: n8n is an open source workflow automation platform. Versions starting with 1.65.0 and below 1.121.0 enable an attacker to access files on the underlying server through execution of certain form-based workflows. A vulnerable workflow could grant access to an unauthenticated remote attacker, resulting | CVEs: CVE-2026-21858</t>
        </is>
      </c>
      <c r="D2076" s="188" t="n">
        <v>7</v>
      </c>
      <c r="E2076" s="188" t="inlineStr">
        <is>
          <t>HIGH</t>
        </is>
      </c>
      <c r="F2076" s="188" t="n">
        <v>3</v>
      </c>
      <c r="G2076" s="188" t="n">
        <v>2</v>
      </c>
      <c r="H2076" s="188" t="inlineStr">
        <is>
          <t>HIGH</t>
        </is>
      </c>
      <c r="I2076" s="188" t="n">
        <v>13</v>
      </c>
      <c r="J2076" s="188" t="inlineStr">
        <is>
          <t>YES</t>
        </is>
      </c>
      <c r="K2076" s="188" t="inlineStr">
        <is>
          <t>https://vulncheck.com/blog/vuln-check-kev</t>
        </is>
      </c>
      <c r="L2076" s="188" t="inlineStr"/>
      <c r="M2076" s="188" t="inlineStr">
        <is>
          <t>URGENT - actively exploited</t>
        </is>
      </c>
      <c r="N2076" s="188" t="inlineStr">
        <is>
          <t>https://vulncheck.com/blog/vuln-check-kev</t>
        </is>
      </c>
      <c r="O2076" s="188" t="inlineStr">
        <is>
          <t>Patch immediately - known exploited</t>
        </is>
      </c>
      <c r="P2076" s="188" t="inlineStr">
        <is>
          <t>CVE-2026-21858</t>
        </is>
      </c>
      <c r="Q2076" s="188" t="inlineStr">
        <is>
          <t>P1</t>
        </is>
      </c>
      <c r="R2076" s="188" t="inlineStr">
        <is>
          <t>🔍 Investigate and apply appropriate controls</t>
        </is>
      </c>
      <c r="S2076" s="188" t="inlineStr">
        <is>
          <t>KEV entry - check specific CVEs for IP context</t>
        </is>
      </c>
      <c r="T2076" s="188" t="n">
        <v>0</v>
      </c>
      <c r="U2076" s="188" t="n">
        <v>0</v>
      </c>
      <c r="V2076" s="188" t="inlineStr">
        <is>
          <t>T1190:Exploit Public-Facing Application</t>
        </is>
      </c>
      <c r="W2076" s="188" t="n">
        <v>2</v>
      </c>
      <c r="X2076" s="188" t="inlineStr">
        <is>
          <t>CONFIRMED (82%)</t>
        </is>
      </c>
      <c r="Y2076" s="188" t="inlineStr">
        <is>
          <t>YES</t>
        </is>
      </c>
      <c r="Z2076" s="188" t="inlineStr">
        <is>
          <t>URGENT</t>
        </is>
      </c>
      <c r="AA2076" s="188" t="inlineStr">
        <is>
          <t>https://vulncheck.com/blog/vuln-check-kev</t>
        </is>
      </c>
      <c r="AB2076" s="188" t="inlineStr">
        <is>
          <t>NONE</t>
        </is>
      </c>
      <c r="AC2076" s="188" t="n">
        <v>0</v>
      </c>
      <c r="AD2076" s="188" t="inlineStr"/>
    </row>
    <row r="2077">
      <c r="A2077" s="188" t="inlineStr">
        <is>
          <t>VULNCHECK_KEV</t>
        </is>
      </c>
      <c r="B2077" s="188" t="inlineStr">
        <is>
          <t>69cfbfe107e1</t>
        </is>
      </c>
      <c r="C2077" s="188" t="inlineStr">
        <is>
          <t>VulnCheck KEV: Microsoft Windows Remote Desktop Services contains an improper privilege management vulnerability that could allow an authorized attacker to elevate privileges locally. | CVEs: CVE-2026-21533</t>
        </is>
      </c>
      <c r="D2077" s="188" t="n">
        <v>7</v>
      </c>
      <c r="E2077" s="188" t="inlineStr">
        <is>
          <t>HIGH</t>
        </is>
      </c>
      <c r="F2077" s="188" t="n">
        <v>3</v>
      </c>
      <c r="G2077" s="188" t="n">
        <v>2</v>
      </c>
      <c r="H2077" s="188" t="inlineStr">
        <is>
          <t>HIGH</t>
        </is>
      </c>
      <c r="I2077" s="188" t="n">
        <v>13</v>
      </c>
      <c r="J2077" s="188" t="inlineStr">
        <is>
          <t>YES</t>
        </is>
      </c>
      <c r="K2077" s="188" t="inlineStr">
        <is>
          <t>https://vulncheck.com/blog/vuln-check-kev</t>
        </is>
      </c>
      <c r="L2077" s="188" t="inlineStr"/>
      <c r="M2077" s="188" t="inlineStr">
        <is>
          <t>URGENT - actively exploited</t>
        </is>
      </c>
      <c r="N2077" s="188" t="inlineStr">
        <is>
          <t>https://vulncheck.com/blog/vuln-check-kev</t>
        </is>
      </c>
      <c r="O2077" s="188" t="inlineStr">
        <is>
          <t>Patch immediately - known exploited</t>
        </is>
      </c>
      <c r="P2077" s="188" t="inlineStr">
        <is>
          <t>CVE-2026-21533</t>
        </is>
      </c>
      <c r="Q2077" s="188" t="inlineStr">
        <is>
          <t>P1</t>
        </is>
      </c>
      <c r="R2077" s="188" t="inlineStr">
        <is>
          <t>🔍 Investigate and apply appropriate controls</t>
        </is>
      </c>
      <c r="S2077" s="188" t="inlineStr">
        <is>
          <t>KEV entry - check specific CVEs for IP context</t>
        </is>
      </c>
      <c r="T2077" s="188" t="n">
        <v>0</v>
      </c>
      <c r="U2077" s="188" t="n">
        <v>0</v>
      </c>
      <c r="V2077" s="188" t="inlineStr">
        <is>
          <t>T1190:Exploit Public-Facing Application</t>
        </is>
      </c>
      <c r="W2077" s="188" t="n">
        <v>2</v>
      </c>
      <c r="X2077" s="188" t="inlineStr">
        <is>
          <t>CONFIRMED (82%)</t>
        </is>
      </c>
      <c r="Y2077" s="188" t="inlineStr">
        <is>
          <t>YES</t>
        </is>
      </c>
      <c r="Z2077" s="188" t="inlineStr">
        <is>
          <t>URGENT</t>
        </is>
      </c>
      <c r="AA2077" s="188" t="inlineStr">
        <is>
          <t>https://vulncheck.com/blog/vuln-check-kev</t>
        </is>
      </c>
      <c r="AB2077" s="188" t="inlineStr">
        <is>
          <t>NONE</t>
        </is>
      </c>
      <c r="AC2077" s="188" t="n">
        <v>0</v>
      </c>
      <c r="AD2077" s="188" t="inlineStr"/>
    </row>
    <row r="2078">
      <c r="A2078" s="188" t="inlineStr">
        <is>
          <t>VULNCHECK_KEV</t>
        </is>
      </c>
      <c r="B2078" s="188" t="inlineStr">
        <is>
          <t>0ab1b88545d6</t>
        </is>
      </c>
      <c r="C2078" s="188" t="inlineStr">
        <is>
          <t>VulnCheck KEV: Microsoft Windows Remote Access Connection Manager contains a NULL pointer dereference that could allow an unauthorized attacker to deny service locally. | CVEs: CVE-2026-21525</t>
        </is>
      </c>
      <c r="D2078" s="188" t="n">
        <v>7</v>
      </c>
      <c r="E2078" s="188" t="inlineStr">
        <is>
          <t>HIGH</t>
        </is>
      </c>
      <c r="F2078" s="188" t="n">
        <v>3</v>
      </c>
      <c r="G2078" s="188" t="n">
        <v>2</v>
      </c>
      <c r="H2078" s="188" t="inlineStr">
        <is>
          <t>HIGH</t>
        </is>
      </c>
      <c r="I2078" s="188" t="n">
        <v>13</v>
      </c>
      <c r="J2078" s="188" t="inlineStr">
        <is>
          <t>YES</t>
        </is>
      </c>
      <c r="K2078" s="188" t="inlineStr">
        <is>
          <t>https://vulncheck.com/blog/vuln-check-kev</t>
        </is>
      </c>
      <c r="L2078" s="188" t="inlineStr"/>
      <c r="M2078" s="188" t="inlineStr">
        <is>
          <t>URGENT - actively exploited</t>
        </is>
      </c>
      <c r="N2078" s="188" t="inlineStr">
        <is>
          <t>https://vulncheck.com/blog/vuln-check-kev</t>
        </is>
      </c>
      <c r="O2078" s="188" t="inlineStr">
        <is>
          <t>Patch immediately - known exploited</t>
        </is>
      </c>
      <c r="P2078" s="188" t="inlineStr">
        <is>
          <t>CVE-2026-21525</t>
        </is>
      </c>
      <c r="Q2078" s="188" t="inlineStr">
        <is>
          <t>P1</t>
        </is>
      </c>
      <c r="R2078" s="188" t="inlineStr">
        <is>
          <t>🔍 Investigate and apply appropriate controls</t>
        </is>
      </c>
      <c r="S2078" s="188" t="inlineStr">
        <is>
          <t>KEV entry - check specific CVEs for IP context</t>
        </is>
      </c>
      <c r="T2078" s="188" t="n">
        <v>0</v>
      </c>
      <c r="U2078" s="188" t="n">
        <v>0</v>
      </c>
      <c r="V2078" s="188" t="inlineStr">
        <is>
          <t>T1190:Exploit Public-Facing Application</t>
        </is>
      </c>
      <c r="W2078" s="188" t="n">
        <v>2</v>
      </c>
      <c r="X2078" s="188" t="inlineStr">
        <is>
          <t>CONFIRMED (82%)</t>
        </is>
      </c>
      <c r="Y2078" s="188" t="inlineStr">
        <is>
          <t>YES</t>
        </is>
      </c>
      <c r="Z2078" s="188" t="inlineStr">
        <is>
          <t>URGENT</t>
        </is>
      </c>
      <c r="AA2078" s="188" t="inlineStr">
        <is>
          <t>https://vulncheck.com/blog/vuln-check-kev</t>
        </is>
      </c>
      <c r="AB2078" s="188" t="inlineStr">
        <is>
          <t>NONE</t>
        </is>
      </c>
      <c r="AC2078" s="188" t="n">
        <v>0</v>
      </c>
      <c r="AD2078" s="188" t="inlineStr"/>
    </row>
    <row r="2079">
      <c r="A2079" s="188" t="inlineStr">
        <is>
          <t>VULNCHECK_KEV</t>
        </is>
      </c>
      <c r="B2079" s="188" t="inlineStr">
        <is>
          <t>85f634fd5bfa</t>
        </is>
      </c>
      <c r="C2079" s="188" t="inlineStr">
        <is>
          <t>VulnCheck KEV: Microsoft Desktop Windows Manager contains a type confusion vulnerability that could allow an authorized attacker to elevate privileges locally. | CVEs: CVE-2026-21519</t>
        </is>
      </c>
      <c r="D2079" s="188" t="n">
        <v>7</v>
      </c>
      <c r="E2079" s="188" t="inlineStr">
        <is>
          <t>HIGH</t>
        </is>
      </c>
      <c r="F2079" s="188" t="n">
        <v>3</v>
      </c>
      <c r="G2079" s="188" t="n">
        <v>2</v>
      </c>
      <c r="H2079" s="188" t="inlineStr">
        <is>
          <t>HIGH</t>
        </is>
      </c>
      <c r="I2079" s="188" t="n">
        <v>13</v>
      </c>
      <c r="J2079" s="188" t="inlineStr">
        <is>
          <t>YES</t>
        </is>
      </c>
      <c r="K2079" s="188" t="inlineStr">
        <is>
          <t>https://vulncheck.com/blog/vuln-check-kev</t>
        </is>
      </c>
      <c r="L2079" s="188" t="inlineStr"/>
      <c r="M2079" s="188" t="inlineStr">
        <is>
          <t>URGENT - actively exploited</t>
        </is>
      </c>
      <c r="N2079" s="188" t="inlineStr">
        <is>
          <t>https://vulncheck.com/blog/vuln-check-kev</t>
        </is>
      </c>
      <c r="O2079" s="188" t="inlineStr">
        <is>
          <t>Patch immediately - known exploited</t>
        </is>
      </c>
      <c r="P2079" s="188" t="inlineStr">
        <is>
          <t>CVE-2026-21519</t>
        </is>
      </c>
      <c r="Q2079" s="188" t="inlineStr">
        <is>
          <t>P1</t>
        </is>
      </c>
      <c r="R2079" s="188" t="inlineStr">
        <is>
          <t>🔍 Investigate and apply appropriate controls</t>
        </is>
      </c>
      <c r="S2079" s="188" t="inlineStr">
        <is>
          <t>KEV entry - check specific CVEs for IP context</t>
        </is>
      </c>
      <c r="T2079" s="188" t="n">
        <v>0</v>
      </c>
      <c r="U2079" s="188" t="n">
        <v>0</v>
      </c>
      <c r="V2079" s="188" t="inlineStr">
        <is>
          <t>T1190:Exploit Public-Facing Application</t>
        </is>
      </c>
      <c r="W2079" s="188" t="n">
        <v>2</v>
      </c>
      <c r="X2079" s="188" t="inlineStr">
        <is>
          <t>CONFIRMED (82%)</t>
        </is>
      </c>
      <c r="Y2079" s="188" t="inlineStr">
        <is>
          <t>YES</t>
        </is>
      </c>
      <c r="Z2079" s="188" t="inlineStr">
        <is>
          <t>URGENT</t>
        </is>
      </c>
      <c r="AA2079" s="188" t="inlineStr">
        <is>
          <t>https://vulncheck.com/blog/vuln-check-kev</t>
        </is>
      </c>
      <c r="AB2079" s="188" t="inlineStr">
        <is>
          <t>NONE</t>
        </is>
      </c>
      <c r="AC2079" s="188" t="n">
        <v>0</v>
      </c>
      <c r="AD2079" s="188" t="inlineStr"/>
    </row>
    <row r="2080">
      <c r="A2080" s="188" t="inlineStr">
        <is>
          <t>VULNCHECK_KEV</t>
        </is>
      </c>
      <c r="B2080" s="188" t="inlineStr">
        <is>
          <t>e6c643c4aed6</t>
        </is>
      </c>
      <c r="C2080" s="188" t="inlineStr">
        <is>
          <t>VulnCheck KEV: Microsoft Office Word contains a reliance on untrusted inputs in a security decision vulnerability that could allow an authorized attacker to elevate privileges locally. | CVEs: CVE-2026-21514</t>
        </is>
      </c>
      <c r="D2080" s="188" t="n">
        <v>7</v>
      </c>
      <c r="E2080" s="188" t="inlineStr">
        <is>
          <t>HIGH</t>
        </is>
      </c>
      <c r="F2080" s="188" t="n">
        <v>3</v>
      </c>
      <c r="G2080" s="188" t="n">
        <v>2</v>
      </c>
      <c r="H2080" s="188" t="inlineStr">
        <is>
          <t>HIGH</t>
        </is>
      </c>
      <c r="I2080" s="188" t="n">
        <v>13</v>
      </c>
      <c r="J2080" s="188" t="inlineStr">
        <is>
          <t>YES</t>
        </is>
      </c>
      <c r="K2080" s="188" t="inlineStr">
        <is>
          <t>https://vulncheck.com/blog/vuln-check-kev</t>
        </is>
      </c>
      <c r="L2080" s="188" t="inlineStr"/>
      <c r="M2080" s="188" t="inlineStr">
        <is>
          <t>URGENT - actively exploited</t>
        </is>
      </c>
      <c r="N2080" s="188" t="inlineStr">
        <is>
          <t>https://vulncheck.com/blog/vuln-check-kev</t>
        </is>
      </c>
      <c r="O2080" s="188" t="inlineStr">
        <is>
          <t>Patch immediately - known exploited</t>
        </is>
      </c>
      <c r="P2080" s="188" t="inlineStr">
        <is>
          <t>CVE-2026-21514</t>
        </is>
      </c>
      <c r="Q2080" s="188" t="inlineStr">
        <is>
          <t>P1</t>
        </is>
      </c>
      <c r="R2080" s="188" t="inlineStr">
        <is>
          <t>🔍 Investigate and apply appropriate controls</t>
        </is>
      </c>
      <c r="S2080" s="188" t="inlineStr">
        <is>
          <t>KEV entry - check specific CVEs for IP context</t>
        </is>
      </c>
      <c r="T2080" s="188" t="n">
        <v>0</v>
      </c>
      <c r="U2080" s="188" t="n">
        <v>0</v>
      </c>
      <c r="V2080" s="188" t="inlineStr">
        <is>
          <t>T1190:Exploit Public-Facing Application</t>
        </is>
      </c>
      <c r="W2080" s="188" t="n">
        <v>2</v>
      </c>
      <c r="X2080" s="188" t="inlineStr">
        <is>
          <t>CONFIRMED (82%)</t>
        </is>
      </c>
      <c r="Y2080" s="188" t="inlineStr">
        <is>
          <t>YES</t>
        </is>
      </c>
      <c r="Z2080" s="188" t="inlineStr">
        <is>
          <t>URGENT</t>
        </is>
      </c>
      <c r="AA2080" s="188" t="inlineStr">
        <is>
          <t>https://vulncheck.com/blog/vuln-check-kev</t>
        </is>
      </c>
      <c r="AB2080" s="188" t="inlineStr">
        <is>
          <t>NONE</t>
        </is>
      </c>
      <c r="AC2080" s="188" t="n">
        <v>0</v>
      </c>
      <c r="AD2080" s="188" t="inlineStr"/>
    </row>
    <row r="2081">
      <c r="A2081" s="188" t="inlineStr">
        <is>
          <t>VULNCHECK_KEV</t>
        </is>
      </c>
      <c r="B2081" s="188" t="inlineStr">
        <is>
          <t>5eef0ab51375</t>
        </is>
      </c>
      <c r="C2081" s="188" t="inlineStr">
        <is>
          <t>VulnCheck KEV: Microsoft MSHTML Framework contains a protection mechanism failure vulnerability that could allow an unauthorized attacker to bypass a security feature over a network. | CVEs: CVE-2026-21513</t>
        </is>
      </c>
      <c r="D2081" s="188" t="n">
        <v>7</v>
      </c>
      <c r="E2081" s="188" t="inlineStr">
        <is>
          <t>HIGH</t>
        </is>
      </c>
      <c r="F2081" s="188" t="n">
        <v>3</v>
      </c>
      <c r="G2081" s="188" t="n">
        <v>2</v>
      </c>
      <c r="H2081" s="188" t="inlineStr">
        <is>
          <t>HIGH</t>
        </is>
      </c>
      <c r="I2081" s="188" t="n">
        <v>13</v>
      </c>
      <c r="J2081" s="188" t="inlineStr">
        <is>
          <t>YES</t>
        </is>
      </c>
      <c r="K2081" s="188" t="inlineStr">
        <is>
          <t>https://vulncheck.com/blog/vuln-check-kev</t>
        </is>
      </c>
      <c r="L2081" s="188" t="inlineStr"/>
      <c r="M2081" s="188" t="inlineStr">
        <is>
          <t>URGENT - actively exploited</t>
        </is>
      </c>
      <c r="N2081" s="188" t="inlineStr">
        <is>
          <t>https://vulncheck.com/blog/vuln-check-kev</t>
        </is>
      </c>
      <c r="O2081" s="188" t="inlineStr">
        <is>
          <t>Patch immediately - known exploited</t>
        </is>
      </c>
      <c r="P2081" s="188" t="inlineStr">
        <is>
          <t>CVE-2026-21513</t>
        </is>
      </c>
      <c r="Q2081" s="188" t="inlineStr">
        <is>
          <t>P1</t>
        </is>
      </c>
      <c r="R2081" s="188" t="inlineStr">
        <is>
          <t>🔍 Investigate and apply appropriate controls</t>
        </is>
      </c>
      <c r="S2081" s="188" t="inlineStr">
        <is>
          <t>KEV entry - check specific CVEs for IP context</t>
        </is>
      </c>
      <c r="T2081" s="188" t="n">
        <v>0</v>
      </c>
      <c r="U2081" s="188" t="n">
        <v>0</v>
      </c>
      <c r="V2081" s="188" t="inlineStr">
        <is>
          <t>T1190:Exploit Public-Facing Application</t>
        </is>
      </c>
      <c r="W2081" s="188" t="n">
        <v>2</v>
      </c>
      <c r="X2081" s="188" t="inlineStr">
        <is>
          <t>CONFIRMED (82%)</t>
        </is>
      </c>
      <c r="Y2081" s="188" t="inlineStr">
        <is>
          <t>YES</t>
        </is>
      </c>
      <c r="Z2081" s="188" t="inlineStr">
        <is>
          <t>URGENT</t>
        </is>
      </c>
      <c r="AA2081" s="188" t="inlineStr">
        <is>
          <t>https://vulncheck.com/blog/vuln-check-kev</t>
        </is>
      </c>
      <c r="AB2081" s="188" t="inlineStr">
        <is>
          <t>NONE</t>
        </is>
      </c>
      <c r="AC2081" s="188" t="n">
        <v>0</v>
      </c>
      <c r="AD2081" s="188" t="inlineStr"/>
    </row>
    <row r="2082">
      <c r="A2082" s="188" t="inlineStr">
        <is>
          <t>FIREWALL_ADVISORY</t>
        </is>
      </c>
      <c r="B2082" s="188" t="inlineStr">
        <is>
          <t>PAN-ADV</t>
        </is>
      </c>
      <c r="C2082" s="188" t="inlineStr">
        <is>
          <t>PAN Advisory: PAN-OS: Memory Corruption Vulnerability in GlobalProtect Clientless VPN During SAML Authentication</t>
        </is>
      </c>
      <c r="D2082" s="188" t="n">
        <v>7.5</v>
      </c>
      <c r="E2082" s="188" t="inlineStr">
        <is>
          <t>HIGH</t>
        </is>
      </c>
      <c r="F2082" s="188" t="n">
        <v>2</v>
      </c>
      <c r="G2082" s="188" t="n">
        <v>2</v>
      </c>
      <c r="H2082" s="188" t="inlineStr">
        <is>
          <t>MEDIUM</t>
        </is>
      </c>
      <c r="I2082" s="188" t="n">
        <v>11.5</v>
      </c>
      <c r="J2082" s="188" t="inlineStr">
        <is>
          <t>NO</t>
        </is>
      </c>
      <c r="K2082" s="188" t="inlineStr">
        <is>
          <t>https://security.paloaltonetworks.com/</t>
        </is>
      </c>
      <c r="L2082" s="188" t="inlineStr">
        <is>
          <t>2026-02-26 00:15</t>
        </is>
      </c>
      <c r="M2082" s="188" t="inlineStr">
        <is>
          <t>YES - Apply vendor patch immediately</t>
        </is>
      </c>
      <c r="N2082" s="188" t="inlineStr">
        <is>
          <t>https://security.paloaltonetworks.com/</t>
        </is>
      </c>
      <c r="O2082" s="188" t="inlineStr">
        <is>
          <t>Apply Palo Alto Networks security patches immediately | Review affected products | Check for workarounds</t>
        </is>
      </c>
      <c r="P2082" s="188" t="inlineStr">
        <is>
          <t>PAN-OS / GlobalProtect / Prisma / Cortex</t>
        </is>
      </c>
      <c r="Q2082" s="188" t="inlineStr">
        <is>
          <t>P3</t>
        </is>
      </c>
      <c r="R2082" s="188" t="inlineStr">
        <is>
          <t>🚫 Block IP at firewall immediately | 🔍 Check logs for existing connections | 🛡️ Add to threat intelligence blocklist</t>
        </is>
      </c>
      <c r="S2082" s="188" t="inlineStr">
        <is>
          <t>Firewall Advisory - Palo Alto Networks</t>
        </is>
      </c>
      <c r="T2082" s="188" t="n">
        <v>0</v>
      </c>
      <c r="U2082" s="188" t="n">
        <v>0</v>
      </c>
      <c r="V2082" s="188" t="inlineStr">
        <is>
          <t>T1190:Exploit Public-Facing Application | T1133:External Remote Services</t>
        </is>
      </c>
      <c r="W2082" s="188" t="n">
        <v>2</v>
      </c>
      <c r="X2082" s="188" t="inlineStr">
        <is>
          <t>MEDIUM (52%)</t>
        </is>
      </c>
      <c r="Y2082" s="188" t="inlineStr">
        <is>
          <t>CHECK_VENDOR</t>
        </is>
      </c>
      <c r="Z2082" s="188" t="inlineStr">
        <is>
          <t>YES</t>
        </is>
      </c>
      <c r="AA2082" s="188" t="inlineStr">
        <is>
          <t>https://security.paloaltonetworks.com/</t>
        </is>
      </c>
      <c r="AB2082" s="188" t="inlineStr">
        <is>
          <t>NONE</t>
        </is>
      </c>
      <c r="AC2082" s="188" t="n">
        <v>0</v>
      </c>
      <c r="AD2082" s="188" t="inlineStr"/>
    </row>
    <row r="2083">
      <c r="A2083" s="188" t="inlineStr">
        <is>
          <t>FIREWALL_ADVISORY</t>
        </is>
      </c>
      <c r="B2083" s="188" t="inlineStr">
        <is>
          <t>PAN-ADV</t>
        </is>
      </c>
      <c r="C2083" s="188" t="inlineStr">
        <is>
          <t>PAN Advisory:  PAN-OS: Firewall Denial of Service (DoS) in GlobalProtect Gateway and Portal</t>
        </is>
      </c>
      <c r="D2083" s="188" t="n">
        <v>7.5</v>
      </c>
      <c r="E2083" s="188" t="inlineStr">
        <is>
          <t>HIGH</t>
        </is>
      </c>
      <c r="F2083" s="188" t="n">
        <v>2</v>
      </c>
      <c r="G2083" s="188" t="n">
        <v>2</v>
      </c>
      <c r="H2083" s="188" t="inlineStr">
        <is>
          <t>MEDIUM</t>
        </is>
      </c>
      <c r="I2083" s="188" t="n">
        <v>11.5</v>
      </c>
      <c r="J2083" s="188" t="inlineStr">
        <is>
          <t>NO</t>
        </is>
      </c>
      <c r="K2083" s="188" t="inlineStr">
        <is>
          <t>https://security.paloaltonetworks.com/</t>
        </is>
      </c>
      <c r="L2083" s="188" t="inlineStr">
        <is>
          <t>2026-02-26 00:15</t>
        </is>
      </c>
      <c r="M2083" s="188" t="inlineStr">
        <is>
          <t>YES - Apply vendor patch immediately</t>
        </is>
      </c>
      <c r="N2083" s="188" t="inlineStr">
        <is>
          <t>https://security.paloaltonetworks.com/</t>
        </is>
      </c>
      <c r="O2083" s="188" t="inlineStr">
        <is>
          <t>Apply Palo Alto Networks security patches immediately | Review affected products | Check for workarounds</t>
        </is>
      </c>
      <c r="P2083" s="188" t="inlineStr">
        <is>
          <t>PAN-OS / GlobalProtect / Prisma / Cortex</t>
        </is>
      </c>
      <c r="Q2083" s="188" t="inlineStr">
        <is>
          <t>P3</t>
        </is>
      </c>
      <c r="R2083" s="188" t="inlineStr">
        <is>
          <t>🚫 Block IP at firewall immediately | 🔍 Check logs for existing connections | 🛡️ Add to threat intelligence blocklist</t>
        </is>
      </c>
      <c r="S2083" s="188" t="inlineStr">
        <is>
          <t>Firewall Advisory - Palo Alto Networks</t>
        </is>
      </c>
      <c r="T2083" s="188" t="n">
        <v>0</v>
      </c>
      <c r="U2083" s="188" t="n">
        <v>0</v>
      </c>
      <c r="V2083" s="188" t="inlineStr">
        <is>
          <t>T1190:Exploit Public-Facing Application | T1133:External Remote Services</t>
        </is>
      </c>
      <c r="W2083" s="188" t="n">
        <v>2</v>
      </c>
      <c r="X2083" s="188" t="inlineStr">
        <is>
          <t>MEDIUM (52%)</t>
        </is>
      </c>
      <c r="Y2083" s="188" t="inlineStr">
        <is>
          <t>CHECK_VENDOR</t>
        </is>
      </c>
      <c r="Z2083" s="188" t="inlineStr">
        <is>
          <t>YES</t>
        </is>
      </c>
      <c r="AA2083" s="188" t="inlineStr">
        <is>
          <t>https://security.paloaltonetworks.com/</t>
        </is>
      </c>
      <c r="AB2083" s="188" t="inlineStr">
        <is>
          <t>NONE</t>
        </is>
      </c>
      <c r="AC2083" s="188" t="n">
        <v>0</v>
      </c>
      <c r="AD2083" s="188" t="inlineStr"/>
    </row>
    <row r="2084">
      <c r="A2084" s="188" t="inlineStr">
        <is>
          <t>FIREWALL_ADVISORY</t>
        </is>
      </c>
      <c r="B2084" s="188" t="inlineStr">
        <is>
          <t>PAN-ADV</t>
        </is>
      </c>
      <c r="C2084" s="188" t="inlineStr">
        <is>
          <t>PAN Advisory: Chromium: Monthly Vulnerability Update (February 2026)</t>
        </is>
      </c>
      <c r="D2084" s="188" t="n">
        <v>7.5</v>
      </c>
      <c r="E2084" s="188" t="inlineStr">
        <is>
          <t>HIGH</t>
        </is>
      </c>
      <c r="F2084" s="188" t="n">
        <v>2</v>
      </c>
      <c r="G2084" s="188" t="n">
        <v>2</v>
      </c>
      <c r="H2084" s="188" t="inlineStr">
        <is>
          <t>MEDIUM</t>
        </is>
      </c>
      <c r="I2084" s="188" t="n">
        <v>11.5</v>
      </c>
      <c r="J2084" s="188" t="inlineStr">
        <is>
          <t>NO</t>
        </is>
      </c>
      <c r="K2084" s="188" t="inlineStr">
        <is>
          <t>https://security.paloaltonetworks.com/</t>
        </is>
      </c>
      <c r="L2084" s="188" t="inlineStr">
        <is>
          <t>2026-02-26 00:15</t>
        </is>
      </c>
      <c r="M2084" s="188" t="inlineStr">
        <is>
          <t>YES - Apply vendor patch immediately</t>
        </is>
      </c>
      <c r="N2084" s="188" t="inlineStr">
        <is>
          <t>https://security.paloaltonetworks.com/</t>
        </is>
      </c>
      <c r="O2084" s="188" t="inlineStr">
        <is>
          <t>Apply Palo Alto Networks security patches immediately | Review affected products | Check for workarounds</t>
        </is>
      </c>
      <c r="P2084" s="188" t="inlineStr">
        <is>
          <t>PAN-OS / GlobalProtect / Prisma / Cortex</t>
        </is>
      </c>
      <c r="Q2084" s="188" t="inlineStr">
        <is>
          <t>P3</t>
        </is>
      </c>
      <c r="R2084" s="188" t="inlineStr">
        <is>
          <t>🚫 Block IP at firewall immediately | 🔍 Check logs for existing connections | 🛡️ Add to threat intelligence blocklist</t>
        </is>
      </c>
      <c r="S2084" s="188" t="inlineStr">
        <is>
          <t>Firewall Advisory - Palo Alto Networks</t>
        </is>
      </c>
      <c r="T2084" s="188" t="n">
        <v>0</v>
      </c>
      <c r="U2084" s="188" t="n">
        <v>0</v>
      </c>
      <c r="V2084" s="188" t="inlineStr">
        <is>
          <t>T1190:Exploit Public-Facing Application | T1133:External Remote Services</t>
        </is>
      </c>
      <c r="W2084" s="188" t="n">
        <v>2</v>
      </c>
      <c r="X2084" s="188" t="inlineStr">
        <is>
          <t>MEDIUM (52%)</t>
        </is>
      </c>
      <c r="Y2084" s="188" t="inlineStr">
        <is>
          <t>CHECK_VENDOR</t>
        </is>
      </c>
      <c r="Z2084" s="188" t="inlineStr">
        <is>
          <t>YES</t>
        </is>
      </c>
      <c r="AA2084" s="188" t="inlineStr">
        <is>
          <t>https://security.paloaltonetworks.com/</t>
        </is>
      </c>
      <c r="AB2084" s="188" t="inlineStr">
        <is>
          <t>NONE</t>
        </is>
      </c>
      <c r="AC2084" s="188" t="n">
        <v>0</v>
      </c>
      <c r="AD2084" s="188" t="inlineStr"/>
    </row>
    <row r="2085">
      <c r="A2085" s="188" t="inlineStr">
        <is>
          <t>FIREWALL_ADVISORY</t>
        </is>
      </c>
      <c r="B2085" s="188" t="inlineStr">
        <is>
          <t>PAN-ADV</t>
        </is>
      </c>
      <c r="C2085" s="188" t="inlineStr">
        <is>
          <t>PAN Advisory: Chromium: Monthly Vulnerability Updates</t>
        </is>
      </c>
      <c r="D2085" s="188" t="n">
        <v>7.5</v>
      </c>
      <c r="E2085" s="188" t="inlineStr">
        <is>
          <t>HIGH</t>
        </is>
      </c>
      <c r="F2085" s="188" t="n">
        <v>2</v>
      </c>
      <c r="G2085" s="188" t="n">
        <v>2</v>
      </c>
      <c r="H2085" s="188" t="inlineStr">
        <is>
          <t>MEDIUM</t>
        </is>
      </c>
      <c r="I2085" s="188" t="n">
        <v>11.5</v>
      </c>
      <c r="J2085" s="188" t="inlineStr">
        <is>
          <t>NO</t>
        </is>
      </c>
      <c r="K2085" s="188" t="inlineStr">
        <is>
          <t>https://security.paloaltonetworks.com/</t>
        </is>
      </c>
      <c r="L2085" s="188" t="inlineStr">
        <is>
          <t>2026-02-26 00:15</t>
        </is>
      </c>
      <c r="M2085" s="188" t="inlineStr">
        <is>
          <t>YES - Apply vendor patch immediately</t>
        </is>
      </c>
      <c r="N2085" s="188" t="inlineStr">
        <is>
          <t>https://security.paloaltonetworks.com/</t>
        </is>
      </c>
      <c r="O2085" s="188" t="inlineStr">
        <is>
          <t>Apply Palo Alto Networks security patches immediately | Review affected products | Check for workarounds</t>
        </is>
      </c>
      <c r="P2085" s="188" t="inlineStr">
        <is>
          <t>PAN-OS / GlobalProtect / Prisma / Cortex</t>
        </is>
      </c>
      <c r="Q2085" s="188" t="inlineStr">
        <is>
          <t>P3</t>
        </is>
      </c>
      <c r="R2085" s="188" t="inlineStr">
        <is>
          <t>🚫 Block IP at firewall immediately | 🔍 Check logs for existing connections | 🛡️ Add to threat intelligence blocklist</t>
        </is>
      </c>
      <c r="S2085" s="188" t="inlineStr">
        <is>
          <t>Firewall Advisory - Palo Alto Networks</t>
        </is>
      </c>
      <c r="T2085" s="188" t="n">
        <v>0</v>
      </c>
      <c r="U2085" s="188" t="n">
        <v>0</v>
      </c>
      <c r="V2085" s="188" t="inlineStr">
        <is>
          <t>T1190:Exploit Public-Facing Application | T1133:External Remote Services</t>
        </is>
      </c>
      <c r="W2085" s="188" t="n">
        <v>2</v>
      </c>
      <c r="X2085" s="188" t="inlineStr">
        <is>
          <t>MEDIUM (52%)</t>
        </is>
      </c>
      <c r="Y2085" s="188" t="inlineStr">
        <is>
          <t>CHECK_VENDOR</t>
        </is>
      </c>
      <c r="Z2085" s="188" t="inlineStr">
        <is>
          <t>YES</t>
        </is>
      </c>
      <c r="AA2085" s="188" t="inlineStr">
        <is>
          <t>https://security.paloaltonetworks.com/</t>
        </is>
      </c>
      <c r="AB2085" s="188" t="inlineStr">
        <is>
          <t>NONE</t>
        </is>
      </c>
      <c r="AC2085" s="188" t="n">
        <v>0</v>
      </c>
      <c r="AD2085" s="188" t="inlineStr"/>
    </row>
    <row r="2086">
      <c r="A2086" s="188" t="inlineStr">
        <is>
          <t>FIREWALL_ADVISORY</t>
        </is>
      </c>
      <c r="B2086" s="188" t="inlineStr">
        <is>
          <t>PAN-ADV</t>
        </is>
      </c>
      <c r="C2086" s="188" t="inlineStr">
        <is>
          <t>PAN Advisory: Secdo: Privilege escalation via hardcoded script path</t>
        </is>
      </c>
      <c r="D2086" s="188" t="n">
        <v>7.5</v>
      </c>
      <c r="E2086" s="188" t="inlineStr">
        <is>
          <t>HIGH</t>
        </is>
      </c>
      <c r="F2086" s="188" t="n">
        <v>2</v>
      </c>
      <c r="G2086" s="188" t="n">
        <v>2</v>
      </c>
      <c r="H2086" s="188" t="inlineStr">
        <is>
          <t>MEDIUM</t>
        </is>
      </c>
      <c r="I2086" s="188" t="n">
        <v>11.5</v>
      </c>
      <c r="J2086" s="188" t="inlineStr">
        <is>
          <t>NO</t>
        </is>
      </c>
      <c r="K2086" s="188" t="inlineStr">
        <is>
          <t>https://security.paloaltonetworks.com/</t>
        </is>
      </c>
      <c r="L2086" s="188" t="inlineStr">
        <is>
          <t>2026-02-26 00:15</t>
        </is>
      </c>
      <c r="M2086" s="188" t="inlineStr">
        <is>
          <t>YES - Apply vendor patch immediately</t>
        </is>
      </c>
      <c r="N2086" s="188" t="inlineStr">
        <is>
          <t>https://security.paloaltonetworks.com/</t>
        </is>
      </c>
      <c r="O2086" s="188" t="inlineStr">
        <is>
          <t>Apply Palo Alto Networks security patches immediately | Review affected products | Check for workarounds</t>
        </is>
      </c>
      <c r="P2086" s="188" t="inlineStr">
        <is>
          <t>PAN-OS / GlobalProtect / Prisma / Cortex</t>
        </is>
      </c>
      <c r="Q2086" s="188" t="inlineStr">
        <is>
          <t>P3</t>
        </is>
      </c>
      <c r="R2086" s="188" t="inlineStr">
        <is>
          <t>🚫 Block IP at firewall immediately | 🔍 Check logs for existing connections | 🛡️ Add to threat intelligence blocklist</t>
        </is>
      </c>
      <c r="S2086" s="188" t="inlineStr">
        <is>
          <t>Firewall Advisory - Palo Alto Networks</t>
        </is>
      </c>
      <c r="T2086" s="188" t="n">
        <v>0</v>
      </c>
      <c r="U2086" s="188" t="n">
        <v>0</v>
      </c>
      <c r="V2086" s="188" t="inlineStr">
        <is>
          <t>T1190:Exploit Public-Facing Application | T1133:External Remote Services</t>
        </is>
      </c>
      <c r="W2086" s="188" t="n">
        <v>2</v>
      </c>
      <c r="X2086" s="188" t="inlineStr">
        <is>
          <t>MEDIUM (52%)</t>
        </is>
      </c>
      <c r="Y2086" s="188" t="inlineStr">
        <is>
          <t>CHECK_VENDOR</t>
        </is>
      </c>
      <c r="Z2086" s="188" t="inlineStr">
        <is>
          <t>YES</t>
        </is>
      </c>
      <c r="AA2086" s="188" t="inlineStr">
        <is>
          <t>https://security.paloaltonetworks.com/</t>
        </is>
      </c>
      <c r="AB2086" s="188" t="inlineStr">
        <is>
          <t>NONE</t>
        </is>
      </c>
      <c r="AC2086" s="188" t="n">
        <v>0</v>
      </c>
      <c r="AD2086" s="188" t="inlineStr"/>
    </row>
    <row r="2087">
      <c r="A2087" s="188" t="inlineStr">
        <is>
          <t>FIREWALL_ADVISORY</t>
        </is>
      </c>
      <c r="B2087" s="188" t="inlineStr">
        <is>
          <t>PAN-ADV</t>
        </is>
      </c>
      <c r="C2087" s="188" t="inlineStr">
        <is>
          <t xml:space="preserve">PAN Advisory: Secdo: Incorrect Default Permissions </t>
        </is>
      </c>
      <c r="D2087" s="188" t="n">
        <v>7.5</v>
      </c>
      <c r="E2087" s="188" t="inlineStr">
        <is>
          <t>HIGH</t>
        </is>
      </c>
      <c r="F2087" s="188" t="n">
        <v>2</v>
      </c>
      <c r="G2087" s="188" t="n">
        <v>2</v>
      </c>
      <c r="H2087" s="188" t="inlineStr">
        <is>
          <t>MEDIUM</t>
        </is>
      </c>
      <c r="I2087" s="188" t="n">
        <v>11.5</v>
      </c>
      <c r="J2087" s="188" t="inlineStr">
        <is>
          <t>NO</t>
        </is>
      </c>
      <c r="K2087" s="188" t="inlineStr">
        <is>
          <t>https://security.paloaltonetworks.com/</t>
        </is>
      </c>
      <c r="L2087" s="188" t="inlineStr">
        <is>
          <t>2026-02-26 00:15</t>
        </is>
      </c>
      <c r="M2087" s="188" t="inlineStr">
        <is>
          <t>YES - Apply vendor patch immediately</t>
        </is>
      </c>
      <c r="N2087" s="188" t="inlineStr">
        <is>
          <t>https://security.paloaltonetworks.com/</t>
        </is>
      </c>
      <c r="O2087" s="188" t="inlineStr">
        <is>
          <t>Apply Palo Alto Networks security patches immediately | Review affected products | Check for workarounds</t>
        </is>
      </c>
      <c r="P2087" s="188" t="inlineStr">
        <is>
          <t>PAN-OS / GlobalProtect / Prisma / Cortex</t>
        </is>
      </c>
      <c r="Q2087" s="188" t="inlineStr">
        <is>
          <t>P3</t>
        </is>
      </c>
      <c r="R2087" s="188" t="inlineStr">
        <is>
          <t>🚫 Block IP at firewall immediately | 🔍 Check logs for existing connections | 🛡️ Add to threat intelligence blocklist</t>
        </is>
      </c>
      <c r="S2087" s="188" t="inlineStr">
        <is>
          <t>Firewall Advisory - Palo Alto Networks</t>
        </is>
      </c>
      <c r="T2087" s="188" t="n">
        <v>0</v>
      </c>
      <c r="U2087" s="188" t="n">
        <v>0</v>
      </c>
      <c r="V2087" s="188" t="inlineStr">
        <is>
          <t>T1190:Exploit Public-Facing Application | T1133:External Remote Services</t>
        </is>
      </c>
      <c r="W2087" s="188" t="n">
        <v>2</v>
      </c>
      <c r="X2087" s="188" t="inlineStr">
        <is>
          <t>MEDIUM (52%)</t>
        </is>
      </c>
      <c r="Y2087" s="188" t="inlineStr">
        <is>
          <t>CHECK_VENDOR</t>
        </is>
      </c>
      <c r="Z2087" s="188" t="inlineStr">
        <is>
          <t>YES</t>
        </is>
      </c>
      <c r="AA2087" s="188" t="inlineStr">
        <is>
          <t>https://security.paloaltonetworks.com/</t>
        </is>
      </c>
      <c r="AB2087" s="188" t="inlineStr">
        <is>
          <t>NONE</t>
        </is>
      </c>
      <c r="AC2087" s="188" t="n">
        <v>0</v>
      </c>
      <c r="AD2087" s="188" t="inlineStr"/>
    </row>
    <row r="2088">
      <c r="A2088" s="188" t="inlineStr">
        <is>
          <t>FIREWALL_ADVISORY</t>
        </is>
      </c>
      <c r="B2088" s="188" t="inlineStr">
        <is>
          <t>PAN-ADV</t>
        </is>
      </c>
      <c r="C2088" s="188" t="inlineStr">
        <is>
          <t>PAN Advisory: PAN-OS OpenConfig Plugin: Command Injection Vulnerability in OpenConfig Plugin</t>
        </is>
      </c>
      <c r="D2088" s="188" t="n">
        <v>7.5</v>
      </c>
      <c r="E2088" s="188" t="inlineStr">
        <is>
          <t>HIGH</t>
        </is>
      </c>
      <c r="F2088" s="188" t="n">
        <v>2</v>
      </c>
      <c r="G2088" s="188" t="n">
        <v>2</v>
      </c>
      <c r="H2088" s="188" t="inlineStr">
        <is>
          <t>MEDIUM</t>
        </is>
      </c>
      <c r="I2088" s="188" t="n">
        <v>11.5</v>
      </c>
      <c r="J2088" s="188" t="inlineStr">
        <is>
          <t>NO</t>
        </is>
      </c>
      <c r="K2088" s="188" t="inlineStr">
        <is>
          <t>https://security.paloaltonetworks.com/</t>
        </is>
      </c>
      <c r="L2088" s="188" t="inlineStr">
        <is>
          <t>2026-02-26 00:15</t>
        </is>
      </c>
      <c r="M2088" s="188" t="inlineStr">
        <is>
          <t>YES - Apply vendor patch immediately</t>
        </is>
      </c>
      <c r="N2088" s="188" t="inlineStr">
        <is>
          <t>https://security.paloaltonetworks.com/</t>
        </is>
      </c>
      <c r="O2088" s="188" t="inlineStr">
        <is>
          <t>Apply Palo Alto Networks security patches immediately | Review affected products | Check for workarounds</t>
        </is>
      </c>
      <c r="P2088" s="188" t="inlineStr">
        <is>
          <t>PAN-OS / GlobalProtect / Prisma / Cortex</t>
        </is>
      </c>
      <c r="Q2088" s="188" t="inlineStr">
        <is>
          <t>P3</t>
        </is>
      </c>
      <c r="R2088" s="188" t="inlineStr">
        <is>
          <t>🚫 Block IP at firewall immediately | 🔍 Check logs for existing connections | 🛡️ Add to threat intelligence blocklist</t>
        </is>
      </c>
      <c r="S2088" s="188" t="inlineStr">
        <is>
          <t>Firewall Advisory - Palo Alto Networks</t>
        </is>
      </c>
      <c r="T2088" s="188" t="n">
        <v>0</v>
      </c>
      <c r="U2088" s="188" t="n">
        <v>0</v>
      </c>
      <c r="V2088" s="188" t="inlineStr">
        <is>
          <t>T1190:Exploit Public-Facing Application | T1133:External Remote Services</t>
        </is>
      </c>
      <c r="W2088" s="188" t="n">
        <v>2</v>
      </c>
      <c r="X2088" s="188" t="inlineStr">
        <is>
          <t>MEDIUM (52%)</t>
        </is>
      </c>
      <c r="Y2088" s="188" t="inlineStr">
        <is>
          <t>CHECK_VENDOR</t>
        </is>
      </c>
      <c r="Z2088" s="188" t="inlineStr">
        <is>
          <t>YES</t>
        </is>
      </c>
      <c r="AA2088" s="188" t="inlineStr">
        <is>
          <t>https://security.paloaltonetworks.com/</t>
        </is>
      </c>
      <c r="AB2088" s="188" t="inlineStr">
        <is>
          <t>NONE</t>
        </is>
      </c>
      <c r="AC2088" s="188" t="n">
        <v>0</v>
      </c>
      <c r="AD2088" s="188" t="inlineStr"/>
    </row>
    <row r="2089">
      <c r="A2089" s="188" t="inlineStr">
        <is>
          <t>FIREWALL_ADVISORY</t>
        </is>
      </c>
      <c r="B2089" s="188" t="inlineStr">
        <is>
          <t>CPAI-2025-12582</t>
        </is>
      </c>
      <c r="C2089" s="188" t="inlineStr">
        <is>
          <t>Check Point Advisory: CPAI-2025-12582 | The post CPAI-2025-12582 appeared first on Check Point Software .</t>
        </is>
      </c>
      <c r="D2089" s="188" t="n">
        <v>7.5</v>
      </c>
      <c r="E2089" s="188" t="inlineStr">
        <is>
          <t>HIGH</t>
        </is>
      </c>
      <c r="F2089" s="188" t="n">
        <v>2</v>
      </c>
      <c r="G2089" s="188" t="n">
        <v>2</v>
      </c>
      <c r="H2089" s="188" t="inlineStr">
        <is>
          <t>MEDIUM</t>
        </is>
      </c>
      <c r="I2089" s="188" t="n">
        <v>11.5</v>
      </c>
      <c r="J2089" s="188" t="inlineStr">
        <is>
          <t>NO</t>
        </is>
      </c>
      <c r="K2089" s="188" t="inlineStr">
        <is>
          <t>/defense/advisories/public/2026/cpai-2025-12582.html</t>
        </is>
      </c>
      <c r="L2089" s="188" t="inlineStr">
        <is>
          <t>2026-02-26 00:15</t>
        </is>
      </c>
      <c r="M2089" s="188" t="inlineStr">
        <is>
          <t>YES - Apply vendor patch immediately</t>
        </is>
      </c>
      <c r="N2089" s="188" t="inlineStr">
        <is>
          <t>/defense/advisories/public/2026/cpai-2025-12582.html</t>
        </is>
      </c>
      <c r="O2089" s="188" t="inlineStr">
        <is>
          <t>Apply Check Point security patches immediately | Review affected products | Check for workarounds</t>
        </is>
      </c>
      <c r="P2089" s="188" t="inlineStr">
        <is>
          <t>Check Point Gaia OS / CloudGuard / Quantum</t>
        </is>
      </c>
      <c r="Q2089" s="188" t="inlineStr">
        <is>
          <t>P3</t>
        </is>
      </c>
      <c r="R2089" s="188" t="inlineStr">
        <is>
          <t>🚫 Block IP at firewall immediately | 🔍 Check logs for existing connections | 🛡️ Add to threat intelligence blocklist</t>
        </is>
      </c>
      <c r="S2089" s="188" t="inlineStr">
        <is>
          <t>Firewall Advisory - Check Point</t>
        </is>
      </c>
      <c r="T2089" s="188" t="n">
        <v>0</v>
      </c>
      <c r="U2089" s="188" t="n">
        <v>0</v>
      </c>
      <c r="V2089" s="188" t="inlineStr">
        <is>
          <t>T1190:Exploit Public-Facing Application | T1133:External Remote Services</t>
        </is>
      </c>
      <c r="W2089" s="188" t="n">
        <v>2</v>
      </c>
      <c r="X2089" s="188" t="inlineStr">
        <is>
          <t>MEDIUM (52%)</t>
        </is>
      </c>
      <c r="Y2089" s="188" t="inlineStr">
        <is>
          <t>CHECK_VENDOR</t>
        </is>
      </c>
      <c r="Z2089" s="188" t="inlineStr">
        <is>
          <t>YES</t>
        </is>
      </c>
      <c r="AA2089" s="188" t="inlineStr">
        <is>
          <t>/defense/advisories/public/2026/cpai-2025-12582.html</t>
        </is>
      </c>
      <c r="AB2089" s="188" t="inlineStr">
        <is>
          <t>NONE</t>
        </is>
      </c>
      <c r="AC2089" s="188" t="n">
        <v>0</v>
      </c>
      <c r="AD2089" s="188" t="inlineStr"/>
    </row>
    <row r="2090">
      <c r="A2090" s="188" t="inlineStr">
        <is>
          <t>FIREWALL_ADVISORY</t>
        </is>
      </c>
      <c r="B2090" s="188" t="inlineStr">
        <is>
          <t>CPAI-2025-12449</t>
        </is>
      </c>
      <c r="C2090" s="188" t="inlineStr">
        <is>
          <t>Check Point Advisory: CPAI-2025-12449 | The post CPAI-2025-12449 appeared first on Check Point Software .</t>
        </is>
      </c>
      <c r="D2090" s="188" t="n">
        <v>7.5</v>
      </c>
      <c r="E2090" s="188" t="inlineStr">
        <is>
          <t>HIGH</t>
        </is>
      </c>
      <c r="F2090" s="188" t="n">
        <v>2</v>
      </c>
      <c r="G2090" s="188" t="n">
        <v>2</v>
      </c>
      <c r="H2090" s="188" t="inlineStr">
        <is>
          <t>MEDIUM</t>
        </is>
      </c>
      <c r="I2090" s="188" t="n">
        <v>11.5</v>
      </c>
      <c r="J2090" s="188" t="inlineStr">
        <is>
          <t>NO</t>
        </is>
      </c>
      <c r="K2090" s="188" t="inlineStr">
        <is>
          <t>/defense/advisories/public/2026/cpai-2025-12449.html</t>
        </is>
      </c>
      <c r="L2090" s="188" t="inlineStr">
        <is>
          <t>2026-02-26 00:15</t>
        </is>
      </c>
      <c r="M2090" s="188" t="inlineStr">
        <is>
          <t>YES - Apply vendor patch immediately</t>
        </is>
      </c>
      <c r="N2090" s="188" t="inlineStr">
        <is>
          <t>/defense/advisories/public/2026/cpai-2025-12449.html</t>
        </is>
      </c>
      <c r="O2090" s="188" t="inlineStr">
        <is>
          <t>Apply Check Point security patches immediately | Review affected products | Check for workarounds</t>
        </is>
      </c>
      <c r="P2090" s="188" t="inlineStr">
        <is>
          <t>Check Point Gaia OS / CloudGuard / Quantum</t>
        </is>
      </c>
      <c r="Q2090" s="188" t="inlineStr">
        <is>
          <t>P3</t>
        </is>
      </c>
      <c r="R2090" s="188" t="inlineStr">
        <is>
          <t>🚫 Block IP at firewall immediately | 🔍 Check logs for existing connections | 🛡️ Add to threat intelligence blocklist</t>
        </is>
      </c>
      <c r="S2090" s="188" t="inlineStr">
        <is>
          <t>Firewall Advisory - Check Point</t>
        </is>
      </c>
      <c r="T2090" s="188" t="n">
        <v>0</v>
      </c>
      <c r="U2090" s="188" t="n">
        <v>0</v>
      </c>
      <c r="V2090" s="188" t="inlineStr">
        <is>
          <t>T1190:Exploit Public-Facing Application | T1133:External Remote Services</t>
        </is>
      </c>
      <c r="W2090" s="188" t="n">
        <v>2</v>
      </c>
      <c r="X2090" s="188" t="inlineStr">
        <is>
          <t>MEDIUM (52%)</t>
        </is>
      </c>
      <c r="Y2090" s="188" t="inlineStr">
        <is>
          <t>CHECK_VENDOR</t>
        </is>
      </c>
      <c r="Z2090" s="188" t="inlineStr">
        <is>
          <t>YES</t>
        </is>
      </c>
      <c r="AA2090" s="188" t="inlineStr">
        <is>
          <t>/defense/advisories/public/2026/cpai-2025-12449.html</t>
        </is>
      </c>
      <c r="AB2090" s="188" t="inlineStr">
        <is>
          <t>NONE</t>
        </is>
      </c>
      <c r="AC2090" s="188" t="n">
        <v>0</v>
      </c>
      <c r="AD2090" s="188" t="inlineStr"/>
    </row>
    <row r="2091">
      <c r="A2091" s="188" t="inlineStr">
        <is>
          <t>FIREWALL_ADVISORY</t>
        </is>
      </c>
      <c r="B2091" s="188" t="inlineStr">
        <is>
          <t>CPAI-2025-12453</t>
        </is>
      </c>
      <c r="C2091" s="188" t="inlineStr">
        <is>
          <t>Check Point Advisory: CPAI-2025-12453 | The post CPAI-2025-12453 appeared first on Check Point Software .</t>
        </is>
      </c>
      <c r="D2091" s="188" t="n">
        <v>7.5</v>
      </c>
      <c r="E2091" s="188" t="inlineStr">
        <is>
          <t>HIGH</t>
        </is>
      </c>
      <c r="F2091" s="188" t="n">
        <v>2</v>
      </c>
      <c r="G2091" s="188" t="n">
        <v>2</v>
      </c>
      <c r="H2091" s="188" t="inlineStr">
        <is>
          <t>MEDIUM</t>
        </is>
      </c>
      <c r="I2091" s="188" t="n">
        <v>11.5</v>
      </c>
      <c r="J2091" s="188" t="inlineStr">
        <is>
          <t>NO</t>
        </is>
      </c>
      <c r="K2091" s="188" t="inlineStr">
        <is>
          <t>/defense/advisories/public/2026/cpai-2025-12453.html</t>
        </is>
      </c>
      <c r="L2091" s="188" t="inlineStr">
        <is>
          <t>2026-02-26 00:15</t>
        </is>
      </c>
      <c r="M2091" s="188" t="inlineStr">
        <is>
          <t>YES - Apply vendor patch immediately</t>
        </is>
      </c>
      <c r="N2091" s="188" t="inlineStr">
        <is>
          <t>/defense/advisories/public/2026/cpai-2025-12453.html</t>
        </is>
      </c>
      <c r="O2091" s="188" t="inlineStr">
        <is>
          <t>Apply Check Point security patches immediately | Review affected products | Check for workarounds</t>
        </is>
      </c>
      <c r="P2091" s="188" t="inlineStr">
        <is>
          <t>Check Point Gaia OS / CloudGuard / Quantum</t>
        </is>
      </c>
      <c r="Q2091" s="188" t="inlineStr">
        <is>
          <t>P3</t>
        </is>
      </c>
      <c r="R2091" s="188" t="inlineStr">
        <is>
          <t>🚫 Block IP at firewall immediately | 🔍 Check logs for existing connections | 🛡️ Add to threat intelligence blocklist</t>
        </is>
      </c>
      <c r="S2091" s="188" t="inlineStr">
        <is>
          <t>Firewall Advisory - Check Point</t>
        </is>
      </c>
      <c r="T2091" s="188" t="n">
        <v>0</v>
      </c>
      <c r="U2091" s="188" t="n">
        <v>0</v>
      </c>
      <c r="V2091" s="188" t="inlineStr">
        <is>
          <t>T1190:Exploit Public-Facing Application | T1133:External Remote Services</t>
        </is>
      </c>
      <c r="W2091" s="188" t="n">
        <v>2</v>
      </c>
      <c r="X2091" s="188" t="inlineStr">
        <is>
          <t>MEDIUM (52%)</t>
        </is>
      </c>
      <c r="Y2091" s="188" t="inlineStr">
        <is>
          <t>CHECK_VENDOR</t>
        </is>
      </c>
      <c r="Z2091" s="188" t="inlineStr">
        <is>
          <t>YES</t>
        </is>
      </c>
      <c r="AA2091" s="188" t="inlineStr">
        <is>
          <t>/defense/advisories/public/2026/cpai-2025-12453.html</t>
        </is>
      </c>
      <c r="AB2091" s="188" t="inlineStr">
        <is>
          <t>NONE</t>
        </is>
      </c>
      <c r="AC2091" s="188" t="n">
        <v>0</v>
      </c>
      <c r="AD2091" s="188" t="inlineStr"/>
    </row>
    <row r="2092">
      <c r="A2092" s="188" t="inlineStr">
        <is>
          <t>FIREWALL_ADVISORY</t>
        </is>
      </c>
      <c r="B2092" s="188" t="inlineStr">
        <is>
          <t>CPAI-2025-12332</t>
        </is>
      </c>
      <c r="C2092" s="188" t="inlineStr">
        <is>
          <t>Check Point Advisory: CPAI-2025-12332 | The post CPAI-2025-12332 appeared first on Check Point Software .</t>
        </is>
      </c>
      <c r="D2092" s="188" t="n">
        <v>7.5</v>
      </c>
      <c r="E2092" s="188" t="inlineStr">
        <is>
          <t>HIGH</t>
        </is>
      </c>
      <c r="F2092" s="188" t="n">
        <v>2</v>
      </c>
      <c r="G2092" s="188" t="n">
        <v>2</v>
      </c>
      <c r="H2092" s="188" t="inlineStr">
        <is>
          <t>MEDIUM</t>
        </is>
      </c>
      <c r="I2092" s="188" t="n">
        <v>11.5</v>
      </c>
      <c r="J2092" s="188" t="inlineStr">
        <is>
          <t>NO</t>
        </is>
      </c>
      <c r="K2092" s="188" t="inlineStr">
        <is>
          <t>/defense/advisories/public/2026/cpai-2025-12332.html</t>
        </is>
      </c>
      <c r="L2092" s="188" t="inlineStr">
        <is>
          <t>2026-02-26 00:15</t>
        </is>
      </c>
      <c r="M2092" s="188" t="inlineStr">
        <is>
          <t>YES - Apply vendor patch immediately</t>
        </is>
      </c>
      <c r="N2092" s="188" t="inlineStr">
        <is>
          <t>/defense/advisories/public/2026/cpai-2025-12332.html</t>
        </is>
      </c>
      <c r="O2092" s="188" t="inlineStr">
        <is>
          <t>Apply Check Point security patches immediately | Review affected products | Check for workarounds</t>
        </is>
      </c>
      <c r="P2092" s="188" t="inlineStr">
        <is>
          <t>Check Point Gaia OS / CloudGuard / Quantum</t>
        </is>
      </c>
      <c r="Q2092" s="188" t="inlineStr">
        <is>
          <t>P3</t>
        </is>
      </c>
      <c r="R2092" s="188" t="inlineStr">
        <is>
          <t>🚫 Block IP at firewall immediately | 🔍 Check logs for existing connections | 🛡️ Add to threat intelligence blocklist</t>
        </is>
      </c>
      <c r="S2092" s="188" t="inlineStr">
        <is>
          <t>Firewall Advisory - Check Point</t>
        </is>
      </c>
      <c r="T2092" s="188" t="n">
        <v>0</v>
      </c>
      <c r="U2092" s="188" t="n">
        <v>0</v>
      </c>
      <c r="V2092" s="188" t="inlineStr">
        <is>
          <t>T1190:Exploit Public-Facing Application | T1133:External Remote Services</t>
        </is>
      </c>
      <c r="W2092" s="188" t="n">
        <v>2</v>
      </c>
      <c r="X2092" s="188" t="inlineStr">
        <is>
          <t>MEDIUM (52%)</t>
        </is>
      </c>
      <c r="Y2092" s="188" t="inlineStr">
        <is>
          <t>CHECK_VENDOR</t>
        </is>
      </c>
      <c r="Z2092" s="188" t="inlineStr">
        <is>
          <t>YES</t>
        </is>
      </c>
      <c r="AA2092" s="188" t="inlineStr">
        <is>
          <t>/defense/advisories/public/2026/cpai-2025-12332.html</t>
        </is>
      </c>
      <c r="AB2092" s="188" t="inlineStr">
        <is>
          <t>NONE</t>
        </is>
      </c>
      <c r="AC2092" s="188" t="n">
        <v>0</v>
      </c>
      <c r="AD2092" s="188" t="inlineStr"/>
    </row>
    <row r="2093">
      <c r="A2093" s="188" t="inlineStr">
        <is>
          <t>FIREWALL_ADVISORY</t>
        </is>
      </c>
      <c r="B2093" s="188" t="inlineStr">
        <is>
          <t>CPAI-2026-0972</t>
        </is>
      </c>
      <c r="C2093" s="188" t="inlineStr">
        <is>
          <t>Check Point Advisory: CPAI-2026-0972 | The post CPAI-2026-0972 appeared first on Check Point Software .</t>
        </is>
      </c>
      <c r="D2093" s="188" t="n">
        <v>7.5</v>
      </c>
      <c r="E2093" s="188" t="inlineStr">
        <is>
          <t>HIGH</t>
        </is>
      </c>
      <c r="F2093" s="188" t="n">
        <v>2</v>
      </c>
      <c r="G2093" s="188" t="n">
        <v>2</v>
      </c>
      <c r="H2093" s="188" t="inlineStr">
        <is>
          <t>MEDIUM</t>
        </is>
      </c>
      <c r="I2093" s="188" t="n">
        <v>11.5</v>
      </c>
      <c r="J2093" s="188" t="inlineStr">
        <is>
          <t>NO</t>
        </is>
      </c>
      <c r="K2093" s="188" t="inlineStr">
        <is>
          <t>/defense/advisories/public/2026/cpai-2026-0972.html</t>
        </is>
      </c>
      <c r="L2093" s="188" t="inlineStr">
        <is>
          <t>2026-02-26 00:15</t>
        </is>
      </c>
      <c r="M2093" s="188" t="inlineStr">
        <is>
          <t>YES - Apply vendor patch immediately</t>
        </is>
      </c>
      <c r="N2093" s="188" t="inlineStr">
        <is>
          <t>/defense/advisories/public/2026/cpai-2026-0972.html</t>
        </is>
      </c>
      <c r="O2093" s="188" t="inlineStr">
        <is>
          <t>Apply Check Point security patches immediately | Review affected products | Check for workarounds</t>
        </is>
      </c>
      <c r="P2093" s="188" t="inlineStr">
        <is>
          <t>Check Point Gaia OS / CloudGuard / Quantum</t>
        </is>
      </c>
      <c r="Q2093" s="188" t="inlineStr">
        <is>
          <t>P3</t>
        </is>
      </c>
      <c r="R2093" s="188" t="inlineStr">
        <is>
          <t>🚫 Block IP at firewall immediately | 🔍 Check logs for existing connections | 🛡️ Add to threat intelligence blocklist</t>
        </is>
      </c>
      <c r="S2093" s="188" t="inlineStr">
        <is>
          <t>Firewall Advisory - Check Point</t>
        </is>
      </c>
      <c r="T2093" s="188" t="n">
        <v>0</v>
      </c>
      <c r="U2093" s="188" t="n">
        <v>0</v>
      </c>
      <c r="V2093" s="188" t="inlineStr">
        <is>
          <t>T1190:Exploit Public-Facing Application | T1133:External Remote Services</t>
        </is>
      </c>
      <c r="W2093" s="188" t="n">
        <v>2</v>
      </c>
      <c r="X2093" s="188" t="inlineStr">
        <is>
          <t>MEDIUM (52%)</t>
        </is>
      </c>
      <c r="Y2093" s="188" t="inlineStr">
        <is>
          <t>CHECK_VENDOR</t>
        </is>
      </c>
      <c r="Z2093" s="188" t="inlineStr">
        <is>
          <t>YES</t>
        </is>
      </c>
      <c r="AA2093" s="188" t="inlineStr">
        <is>
          <t>/defense/advisories/public/2026/cpai-2026-0972.html</t>
        </is>
      </c>
      <c r="AB2093" s="188" t="inlineStr">
        <is>
          <t>NONE</t>
        </is>
      </c>
      <c r="AC2093" s="188" t="n">
        <v>0</v>
      </c>
      <c r="AD2093" s="188" t="inlineStr"/>
    </row>
    <row r="2094">
      <c r="A2094" s="189" t="inlineStr">
        <is>
          <t>FIREWALL_ADVISORY</t>
        </is>
      </c>
      <c r="B2094" s="189" t="inlineStr">
        <is>
          <t>CVE-2025-13942</t>
        </is>
      </c>
      <c r="C2094" s="189" t="inlineStr">
        <is>
          <t xml:space="preserve">Zyxel Advisory: A command injection vulnerability in the UPnP function of the Zyxel EX3510-B0 firmware versions through 5.17(ABUP.15.1)C0 could allow a remote attacker to execute operating system (OS) commands on an </t>
        </is>
      </c>
      <c r="D2094" s="189" t="n">
        <v>9</v>
      </c>
      <c r="E2094" s="189" t="inlineStr">
        <is>
          <t>CRITICAL</t>
        </is>
      </c>
      <c r="F2094" s="189" t="n">
        <v>3</v>
      </c>
      <c r="G2094" s="189" t="n">
        <v>3</v>
      </c>
      <c r="H2094" s="189" t="inlineStr">
        <is>
          <t>CRITICAL</t>
        </is>
      </c>
      <c r="I2094" s="189" t="n">
        <v>18</v>
      </c>
      <c r="J2094" s="189" t="inlineStr">
        <is>
          <t>NO</t>
        </is>
      </c>
      <c r="K2094" s="189" t="inlineStr">
        <is>
          <t>https://nvd.nist.gov/vuln/detail/CVE-2025-13942</t>
        </is>
      </c>
      <c r="L2094" s="189" t="inlineStr">
        <is>
          <t>2026-02-26 00:15</t>
        </is>
      </c>
      <c r="M2094" s="189" t="inlineStr">
        <is>
          <t>YES - Apply vendor patch immediately</t>
        </is>
      </c>
      <c r="N2094" s="189" t="inlineStr">
        <is>
          <t>https://nvd.nist.gov/vuln/detail/CVE-2025-13942</t>
        </is>
      </c>
      <c r="O2094" s="189" t="inlineStr">
        <is>
          <t>Apply Zyxel security patches immediately | Review affected products | Check for workarounds</t>
        </is>
      </c>
      <c r="P2094" s="189" t="inlineStr">
        <is>
          <t>Zyxel Firewall / VPN / NAS / ATP Series</t>
        </is>
      </c>
      <c r="Q2094" s="189" t="inlineStr">
        <is>
          <t>P1</t>
        </is>
      </c>
      <c r="R2094" s="189" t="inlineStr">
        <is>
          <t>🚫 Block IP at firewall immediately | 🔍 Check logs for existing connections | 🛡️ Add to threat intelligence blocklist</t>
        </is>
      </c>
      <c r="S2094" s="189" t="inlineStr">
        <is>
          <t>Firewall Advisory - Zyxel</t>
        </is>
      </c>
      <c r="T2094" s="189" t="n">
        <v>0</v>
      </c>
      <c r="U2094" s="189" t="n">
        <v>0</v>
      </c>
      <c r="V2094" s="189" t="inlineStr">
        <is>
          <t>T1190:Exploit Public-Facing Application | T1133:External Remote Services</t>
        </is>
      </c>
      <c r="W2094" s="189" t="n">
        <v>2</v>
      </c>
      <c r="X2094" s="189" t="inlineStr">
        <is>
          <t>MEDIUM (52%)</t>
        </is>
      </c>
      <c r="Y2094" s="189" t="inlineStr">
        <is>
          <t>CHECK_VENDOR</t>
        </is>
      </c>
      <c r="Z2094" s="189" t="inlineStr">
        <is>
          <t>YES</t>
        </is>
      </c>
      <c r="AA2094" s="189" t="inlineStr">
        <is>
          <t>https://nvd.nist.gov/vuln/detail/CVE-2025-13942</t>
        </is>
      </c>
      <c r="AB2094" s="189" t="inlineStr">
        <is>
          <t>NONE</t>
        </is>
      </c>
      <c r="AC2094" s="189" t="n">
        <v>0</v>
      </c>
      <c r="AD2094" s="189" t="inlineStr"/>
    </row>
    <row r="2095">
      <c r="A2095" s="188" t="inlineStr">
        <is>
          <t>FIREWALL_ADVISORY</t>
        </is>
      </c>
      <c r="B2095" s="188" t="inlineStr">
        <is>
          <t>WatchG-ADV</t>
        </is>
      </c>
      <c r="C2095" s="188" t="inlineStr">
        <is>
          <t>WatchGuard Advisory: WatchGuard Firebox LDAP Injection | WatchGuard Firebox LDAP Injection Advisory ID &lt;div class="field__it</t>
        </is>
      </c>
      <c r="D2095" s="188" t="n">
        <v>7.5</v>
      </c>
      <c r="E2095" s="188" t="inlineStr">
        <is>
          <t>HIGH</t>
        </is>
      </c>
      <c r="F2095" s="188" t="n">
        <v>2</v>
      </c>
      <c r="G2095" s="188" t="n">
        <v>2</v>
      </c>
      <c r="H2095" s="188" t="inlineStr">
        <is>
          <t>MEDIUM</t>
        </is>
      </c>
      <c r="I2095" s="188" t="n">
        <v>11.5</v>
      </c>
      <c r="J2095" s="188" t="inlineStr">
        <is>
          <t>NO</t>
        </is>
      </c>
      <c r="K2095" s="188" t="inlineStr">
        <is>
          <t>https://www.watchguard.com/wgrd-psirt/advisory/wgsa-2026-00001</t>
        </is>
      </c>
      <c r="L2095" s="188" t="inlineStr">
        <is>
          <t>2026-02-26 00:15</t>
        </is>
      </c>
      <c r="M2095" s="188" t="inlineStr">
        <is>
          <t>YES - Apply vendor patch immediately</t>
        </is>
      </c>
      <c r="N2095" s="188" t="inlineStr">
        <is>
          <t>https://www.watchguard.com/wgrd-psirt/advisory/wgsa-2026-00001</t>
        </is>
      </c>
      <c r="O2095" s="188" t="inlineStr">
        <is>
          <t>Apply WatchGuard security patches immediately | Review affected products | Check for workarounds</t>
        </is>
      </c>
      <c r="P2095" s="188" t="inlineStr">
        <is>
          <t>WatchGuard Firebox / FireboxV / WatchGuard Cloud</t>
        </is>
      </c>
      <c r="Q2095" s="188" t="inlineStr">
        <is>
          <t>P3</t>
        </is>
      </c>
      <c r="R2095" s="188" t="inlineStr">
        <is>
          <t>🚫 Block IP at firewall immediately | 🔍 Check logs for existing connections | 🛡️ Add to threat intelligence blocklist</t>
        </is>
      </c>
      <c r="S2095" s="188" t="inlineStr">
        <is>
          <t>Firewall Advisory - WatchGuard</t>
        </is>
      </c>
      <c r="T2095" s="188" t="n">
        <v>0</v>
      </c>
      <c r="U2095" s="188" t="n">
        <v>0</v>
      </c>
      <c r="V2095" s="188" t="inlineStr">
        <is>
          <t>T1190:Exploit Public-Facing Application | T1133:External Remote Services</t>
        </is>
      </c>
      <c r="W2095" s="188" t="n">
        <v>2</v>
      </c>
      <c r="X2095" s="188" t="inlineStr">
        <is>
          <t>MEDIUM (52%)</t>
        </is>
      </c>
      <c r="Y2095" s="188" t="inlineStr">
        <is>
          <t>CHECK_VENDOR</t>
        </is>
      </c>
      <c r="Z2095" s="188" t="inlineStr">
        <is>
          <t>YES</t>
        </is>
      </c>
      <c r="AA2095" s="188" t="inlineStr">
        <is>
          <t>https://www.watchguard.com/wgrd-psirt/advisory/wgsa-2026-00001</t>
        </is>
      </c>
      <c r="AB2095" s="188" t="inlineStr">
        <is>
          <t>NONE</t>
        </is>
      </c>
      <c r="AC2095" s="188" t="n">
        <v>0</v>
      </c>
      <c r="AD2095" s="188" t="inlineStr"/>
    </row>
    <row r="2096">
      <c r="A2096" s="188" t="inlineStr">
        <is>
          <t>FIREWALL_ADVISORY</t>
        </is>
      </c>
      <c r="B2096" s="188" t="inlineStr">
        <is>
          <t>WatchG-ADV</t>
        </is>
      </c>
      <c r="C2096" s="188" t="inlineStr">
        <is>
          <t>WatchGuard Advisory: NCP IPSec VPN Client MSI Installer Privilege Escallation (NCPVE-2025-0626) | NCP IPSec VPN Client MSI Installer Privilege Escallation (NCPVE-2025-0626) Advisory ID</t>
        </is>
      </c>
      <c r="D2096" s="188" t="n">
        <v>7.5</v>
      </c>
      <c r="E2096" s="188" t="inlineStr">
        <is>
          <t>HIGH</t>
        </is>
      </c>
      <c r="F2096" s="188" t="n">
        <v>2</v>
      </c>
      <c r="G2096" s="188" t="n">
        <v>2</v>
      </c>
      <c r="H2096" s="188" t="inlineStr">
        <is>
          <t>MEDIUM</t>
        </is>
      </c>
      <c r="I2096" s="188" t="n">
        <v>11.5</v>
      </c>
      <c r="J2096" s="188" t="inlineStr">
        <is>
          <t>NO</t>
        </is>
      </c>
      <c r="K2096" s="188" t="inlineStr">
        <is>
          <t>https://www.watchguard.com/wgrd-psirt/advisory/wgsa-2026-00002</t>
        </is>
      </c>
      <c r="L2096" s="188" t="inlineStr">
        <is>
          <t>2026-02-26 00:15</t>
        </is>
      </c>
      <c r="M2096" s="188" t="inlineStr">
        <is>
          <t>YES - Apply vendor patch immediately</t>
        </is>
      </c>
      <c r="N2096" s="188" t="inlineStr">
        <is>
          <t>https://www.watchguard.com/wgrd-psirt/advisory/wgsa-2026-00002</t>
        </is>
      </c>
      <c r="O2096" s="188" t="inlineStr">
        <is>
          <t>Apply WatchGuard security patches immediately | Review affected products | Check for workarounds</t>
        </is>
      </c>
      <c r="P2096" s="188" t="inlineStr">
        <is>
          <t>WatchGuard Firebox / FireboxV / WatchGuard Cloud</t>
        </is>
      </c>
      <c r="Q2096" s="188" t="inlineStr">
        <is>
          <t>P3</t>
        </is>
      </c>
      <c r="R2096" s="188" t="inlineStr">
        <is>
          <t>🚫 Block IP at firewall immediately | 🔍 Check logs for existing connections | 🛡️ Add to threat intelligence blocklist</t>
        </is>
      </c>
      <c r="S2096" s="188" t="inlineStr">
        <is>
          <t>Firewall Advisory - WatchGuard</t>
        </is>
      </c>
      <c r="T2096" s="188" t="n">
        <v>0</v>
      </c>
      <c r="U2096" s="188" t="n">
        <v>0</v>
      </c>
      <c r="V2096" s="188" t="inlineStr">
        <is>
          <t>T1190:Exploit Public-Facing Application | T1133:External Remote Services</t>
        </is>
      </c>
      <c r="W2096" s="188" t="n">
        <v>2</v>
      </c>
      <c r="X2096" s="188" t="inlineStr">
        <is>
          <t>MEDIUM (52%)</t>
        </is>
      </c>
      <c r="Y2096" s="188" t="inlineStr">
        <is>
          <t>CHECK_VENDOR</t>
        </is>
      </c>
      <c r="Z2096" s="188" t="inlineStr">
        <is>
          <t>YES</t>
        </is>
      </c>
      <c r="AA2096" s="188" t="inlineStr">
        <is>
          <t>https://www.watchguard.com/wgrd-psirt/advisory/wgsa-2026-00002</t>
        </is>
      </c>
      <c r="AB2096" s="188" t="inlineStr">
        <is>
          <t>NONE</t>
        </is>
      </c>
      <c r="AC2096" s="188" t="n">
        <v>0</v>
      </c>
      <c r="AD2096" s="188" t="inlineStr"/>
    </row>
    <row r="2097">
      <c r="A2097" s="188" t="inlineStr">
        <is>
          <t>FIREWALL_ADVISORY</t>
        </is>
      </c>
      <c r="B2097" s="188" t="inlineStr">
        <is>
          <t>WatchG-ADV</t>
        </is>
      </c>
      <c r="C2097" s="188" t="inlineStr">
        <is>
          <t>WatchGuard Advisory: WatchGuard Firebox iked Out of Bounds Write Vulnerability | WatchGuard Firebox iked Out of Bounds Write Vulnerability Advisory ID</t>
        </is>
      </c>
      <c r="D2097" s="188" t="n">
        <v>7.5</v>
      </c>
      <c r="E2097" s="188" t="inlineStr">
        <is>
          <t>HIGH</t>
        </is>
      </c>
      <c r="F2097" s="188" t="n">
        <v>2</v>
      </c>
      <c r="G2097" s="188" t="n">
        <v>2</v>
      </c>
      <c r="H2097" s="188" t="inlineStr">
        <is>
          <t>MEDIUM</t>
        </is>
      </c>
      <c r="I2097" s="188" t="n">
        <v>11.5</v>
      </c>
      <c r="J2097" s="188" t="inlineStr">
        <is>
          <t>NO</t>
        </is>
      </c>
      <c r="K2097" s="188" t="inlineStr">
        <is>
          <t>https://www.watchguard.com/wgrd-psirt/advisory/wgsa-2025-00027</t>
        </is>
      </c>
      <c r="L2097" s="188" t="inlineStr">
        <is>
          <t>2026-02-26 00:15</t>
        </is>
      </c>
      <c r="M2097" s="188" t="inlineStr">
        <is>
          <t>YES - Apply vendor patch immediately</t>
        </is>
      </c>
      <c r="N2097" s="188" t="inlineStr">
        <is>
          <t>https://www.watchguard.com/wgrd-psirt/advisory/wgsa-2025-00027</t>
        </is>
      </c>
      <c r="O2097" s="188" t="inlineStr">
        <is>
          <t>Apply WatchGuard security patches immediately | Review affected products | Check for workarounds</t>
        </is>
      </c>
      <c r="P2097" s="188" t="inlineStr">
        <is>
          <t>WatchGuard Firebox / FireboxV / WatchGuard Cloud</t>
        </is>
      </c>
      <c r="Q2097" s="188" t="inlineStr">
        <is>
          <t>P3</t>
        </is>
      </c>
      <c r="R2097" s="188" t="inlineStr">
        <is>
          <t>🚫 Block IP at firewall immediately | 🔍 Check logs for existing connections | 🛡️ Add to threat intelligence blocklist</t>
        </is>
      </c>
      <c r="S2097" s="188" t="inlineStr">
        <is>
          <t>Firewall Advisory - WatchGuard</t>
        </is>
      </c>
      <c r="T2097" s="188" t="n">
        <v>0</v>
      </c>
      <c r="U2097" s="188" t="n">
        <v>0</v>
      </c>
      <c r="V2097" s="188" t="inlineStr">
        <is>
          <t>T1190:Exploit Public-Facing Application | T1133:External Remote Services</t>
        </is>
      </c>
      <c r="W2097" s="188" t="n">
        <v>2</v>
      </c>
      <c r="X2097" s="188" t="inlineStr">
        <is>
          <t>MEDIUM (52%)</t>
        </is>
      </c>
      <c r="Y2097" s="188" t="inlineStr">
        <is>
          <t>CHECK_VENDOR</t>
        </is>
      </c>
      <c r="Z2097" s="188" t="inlineStr">
        <is>
          <t>YES</t>
        </is>
      </c>
      <c r="AA2097" s="188" t="inlineStr">
        <is>
          <t>https://www.watchguard.com/wgrd-psirt/advisory/wgsa-2025-00027</t>
        </is>
      </c>
      <c r="AB2097" s="188" t="inlineStr">
        <is>
          <t>NONE</t>
        </is>
      </c>
      <c r="AC2097" s="188" t="n">
        <v>0</v>
      </c>
      <c r="AD2097" s="188" t="inlineStr"/>
    </row>
    <row r="2098">
      <c r="A2098" s="188" t="inlineStr">
        <is>
          <t>FIREWALL_ADVISORY</t>
        </is>
      </c>
      <c r="B2098" s="188" t="inlineStr">
        <is>
          <t>WatchG-ADV</t>
        </is>
      </c>
      <c r="C2098" s="188" t="inlineStr">
        <is>
          <t>WatchGuard Advisory: WatchGuard Firebox Boot Time System Integrity Check Bypass | WatchGuard Firebox Boot Time System Integrity Check Bypass Advisory ID</t>
        </is>
      </c>
      <c r="D2098" s="188" t="n">
        <v>7.5</v>
      </c>
      <c r="E2098" s="188" t="inlineStr">
        <is>
          <t>HIGH</t>
        </is>
      </c>
      <c r="F2098" s="188" t="n">
        <v>2</v>
      </c>
      <c r="G2098" s="188" t="n">
        <v>2</v>
      </c>
      <c r="H2098" s="188" t="inlineStr">
        <is>
          <t>MEDIUM</t>
        </is>
      </c>
      <c r="I2098" s="188" t="n">
        <v>11.5</v>
      </c>
      <c r="J2098" s="188" t="inlineStr">
        <is>
          <t>NO</t>
        </is>
      </c>
      <c r="K2098" s="188" t="inlineStr">
        <is>
          <t>https://www.watchguard.com/wgrd-psirt/advisory/wgsa-2025-00026</t>
        </is>
      </c>
      <c r="L2098" s="188" t="inlineStr">
        <is>
          <t>2026-02-26 00:15</t>
        </is>
      </c>
      <c r="M2098" s="188" t="inlineStr">
        <is>
          <t>YES - Apply vendor patch immediately</t>
        </is>
      </c>
      <c r="N2098" s="188" t="inlineStr">
        <is>
          <t>https://www.watchguard.com/wgrd-psirt/advisory/wgsa-2025-00026</t>
        </is>
      </c>
      <c r="O2098" s="188" t="inlineStr">
        <is>
          <t>Apply WatchGuard security patches immediately | Review affected products | Check for workarounds</t>
        </is>
      </c>
      <c r="P2098" s="188" t="inlineStr">
        <is>
          <t>WatchGuard Firebox / FireboxV / WatchGuard Cloud</t>
        </is>
      </c>
      <c r="Q2098" s="188" t="inlineStr">
        <is>
          <t>P3</t>
        </is>
      </c>
      <c r="R2098" s="188" t="inlineStr">
        <is>
          <t>🚫 Block IP at firewall immediately | 🔍 Check logs for existing connections | 🛡️ Add to threat intelligence blocklist</t>
        </is>
      </c>
      <c r="S2098" s="188" t="inlineStr">
        <is>
          <t>Firewall Advisory - WatchGuard</t>
        </is>
      </c>
      <c r="T2098" s="188" t="n">
        <v>0</v>
      </c>
      <c r="U2098" s="188" t="n">
        <v>0</v>
      </c>
      <c r="V2098" s="188" t="inlineStr">
        <is>
          <t>T1190:Exploit Public-Facing Application | T1133:External Remote Services</t>
        </is>
      </c>
      <c r="W2098" s="188" t="n">
        <v>2</v>
      </c>
      <c r="X2098" s="188" t="inlineStr">
        <is>
          <t>MEDIUM (52%)</t>
        </is>
      </c>
      <c r="Y2098" s="188" t="inlineStr">
        <is>
          <t>CHECK_VENDOR</t>
        </is>
      </c>
      <c r="Z2098" s="188" t="inlineStr">
        <is>
          <t>YES</t>
        </is>
      </c>
      <c r="AA2098" s="188" t="inlineStr">
        <is>
          <t>https://www.watchguard.com/wgrd-psirt/advisory/wgsa-2025-00026</t>
        </is>
      </c>
      <c r="AB2098" s="188" t="inlineStr">
        <is>
          <t>NONE</t>
        </is>
      </c>
      <c r="AC2098" s="188" t="n">
        <v>0</v>
      </c>
      <c r="AD2098" s="188" t="inlineStr"/>
    </row>
    <row r="2099">
      <c r="A2099" s="188" t="inlineStr">
        <is>
          <t>FIREWALL_ADVISORY</t>
        </is>
      </c>
      <c r="B2099" s="188" t="inlineStr">
        <is>
          <t>WatchG-ADV</t>
        </is>
      </c>
      <c r="C2099" s="188" t="inlineStr">
        <is>
          <t>WatchGuard Advisory: WatchGuard Firebox iked Memory Corruption Vulnerability | WatchGuard Firebox iked Memory Corruption Vulnerability Advisory ID</t>
        </is>
      </c>
      <c r="D2099" s="188" t="n">
        <v>7.5</v>
      </c>
      <c r="E2099" s="188" t="inlineStr">
        <is>
          <t>HIGH</t>
        </is>
      </c>
      <c r="F2099" s="188" t="n">
        <v>2</v>
      </c>
      <c r="G2099" s="188" t="n">
        <v>2</v>
      </c>
      <c r="H2099" s="188" t="inlineStr">
        <is>
          <t>MEDIUM</t>
        </is>
      </c>
      <c r="I2099" s="188" t="n">
        <v>11.5</v>
      </c>
      <c r="J2099" s="188" t="inlineStr">
        <is>
          <t>NO</t>
        </is>
      </c>
      <c r="K2099" s="188" t="inlineStr">
        <is>
          <t>https://www.watchguard.com/wgrd-psirt/advisory/wgsa-2025-00018</t>
        </is>
      </c>
      <c r="L2099" s="188" t="inlineStr">
        <is>
          <t>2026-02-26 00:15</t>
        </is>
      </c>
      <c r="M2099" s="188" t="inlineStr">
        <is>
          <t>YES - Apply vendor patch immediately</t>
        </is>
      </c>
      <c r="N2099" s="188" t="inlineStr">
        <is>
          <t>https://www.watchguard.com/wgrd-psirt/advisory/wgsa-2025-00018</t>
        </is>
      </c>
      <c r="O2099" s="188" t="inlineStr">
        <is>
          <t>Apply WatchGuard security patches immediately | Review affected products | Check for workarounds</t>
        </is>
      </c>
      <c r="P2099" s="188" t="inlineStr">
        <is>
          <t>WatchGuard Firebox / FireboxV / WatchGuard Cloud</t>
        </is>
      </c>
      <c r="Q2099" s="188" t="inlineStr">
        <is>
          <t>P3</t>
        </is>
      </c>
      <c r="R2099" s="188" t="inlineStr">
        <is>
          <t>🚫 Block IP at firewall immediately | 🔍 Check logs for existing connections | 🛡️ Add to threat intelligence blocklist</t>
        </is>
      </c>
      <c r="S2099" s="188" t="inlineStr">
        <is>
          <t>Firewall Advisory - WatchGuard</t>
        </is>
      </c>
      <c r="T2099" s="188" t="n">
        <v>0</v>
      </c>
      <c r="U2099" s="188" t="n">
        <v>0</v>
      </c>
      <c r="V2099" s="188" t="inlineStr">
        <is>
          <t>T1190:Exploit Public-Facing Application | T1133:External Remote Services</t>
        </is>
      </c>
      <c r="W2099" s="188" t="n">
        <v>2</v>
      </c>
      <c r="X2099" s="188" t="inlineStr">
        <is>
          <t>MEDIUM (52%)</t>
        </is>
      </c>
      <c r="Y2099" s="188" t="inlineStr">
        <is>
          <t>CHECK_VENDOR</t>
        </is>
      </c>
      <c r="Z2099" s="188" t="inlineStr">
        <is>
          <t>YES</t>
        </is>
      </c>
      <c r="AA2099" s="188" t="inlineStr">
        <is>
          <t>https://www.watchguard.com/wgrd-psirt/advisory/wgsa-2025-00018</t>
        </is>
      </c>
      <c r="AB2099" s="188" t="inlineStr">
        <is>
          <t>NONE</t>
        </is>
      </c>
      <c r="AC2099" s="188" t="n">
        <v>0</v>
      </c>
      <c r="AD2099" s="188" t="inlineStr"/>
    </row>
    <row r="2100">
      <c r="A2100" s="188" t="inlineStr">
        <is>
          <t>FIREWALL_ADVISORY</t>
        </is>
      </c>
      <c r="B2100" s="188" t="inlineStr">
        <is>
          <t>FG-IR</t>
        </is>
      </c>
      <c r="C2100" s="188" t="inlineStr">
        <is>
          <t>Fortinet PSIRT: OpenSSL CVE-2025-15467 | CVSSv3 Score: 9.8 CVE-2025-15467Parsing CMS AuthEnvelopedData message with maliciously crafted AEAD parameters can trigger a stack buffer overflow. A stack buffer overflow may lead to a crash, causing</t>
        </is>
      </c>
      <c r="D2100" s="188" t="n">
        <v>7.5</v>
      </c>
      <c r="E2100" s="188" t="inlineStr">
        <is>
          <t>HIGH</t>
        </is>
      </c>
      <c r="F2100" s="188" t="n">
        <v>2</v>
      </c>
      <c r="G2100" s="188" t="n">
        <v>2</v>
      </c>
      <c r="H2100" s="188" t="inlineStr">
        <is>
          <t>MEDIUM</t>
        </is>
      </c>
      <c r="I2100" s="188" t="n">
        <v>11.5</v>
      </c>
      <c r="J2100" s="188" t="inlineStr">
        <is>
          <t>NO</t>
        </is>
      </c>
      <c r="K2100" s="188" t="inlineStr">
        <is>
          <t>https://fortiguard.fortinet.com/psirt/FG-IR-26-076</t>
        </is>
      </c>
      <c r="L2100" s="188" t="inlineStr">
        <is>
          <t>2026-02-26 00:15</t>
        </is>
      </c>
      <c r="M2100" s="188" t="inlineStr">
        <is>
          <t>YES - Apply vendor patch immediately</t>
        </is>
      </c>
      <c r="N2100" s="188" t="inlineStr">
        <is>
          <t>https://fortiguard.fortinet.com/psirt/FG-IR-26-076</t>
        </is>
      </c>
      <c r="O2100" s="188" t="inlineStr">
        <is>
          <t>Apply Fortinet security patches immediately | Review affected products | Check for workarounds</t>
        </is>
      </c>
      <c r="P2100" s="188" t="inlineStr">
        <is>
          <t>FortiOS / FortiGate / FortiProxy / FortiManager</t>
        </is>
      </c>
      <c r="Q2100" s="188" t="inlineStr">
        <is>
          <t>P3</t>
        </is>
      </c>
      <c r="R2100" s="188" t="inlineStr">
        <is>
          <t>🚫 Block IP at firewall immediately | 🔍 Check logs for existing connections | 🛡️ Add to threat intelligence blocklist</t>
        </is>
      </c>
      <c r="S2100" s="188" t="inlineStr">
        <is>
          <t>Firewall Advisory - Fortinet</t>
        </is>
      </c>
      <c r="T2100" s="188" t="n">
        <v>0</v>
      </c>
      <c r="U2100" s="188" t="n">
        <v>0</v>
      </c>
      <c r="V2100" s="188" t="inlineStr">
        <is>
          <t>T1190:Exploit Public-Facing Application | T1133:External Remote Services</t>
        </is>
      </c>
      <c r="W2100" s="188" t="n">
        <v>2</v>
      </c>
      <c r="X2100" s="188" t="inlineStr">
        <is>
          <t>MEDIUM (52%)</t>
        </is>
      </c>
      <c r="Y2100" s="188" t="inlineStr">
        <is>
          <t>CHECK_VENDOR</t>
        </is>
      </c>
      <c r="Z2100" s="188" t="inlineStr">
        <is>
          <t>YES</t>
        </is>
      </c>
      <c r="AA2100" s="188" t="inlineStr">
        <is>
          <t>https://fortiguard.fortinet.com/psirt/FG-IR-26-076</t>
        </is>
      </c>
      <c r="AB2100" s="188" t="inlineStr">
        <is>
          <t>NONE</t>
        </is>
      </c>
      <c r="AC2100" s="188" t="n">
        <v>0</v>
      </c>
      <c r="AD2100" s="188" t="inlineStr"/>
    </row>
    <row r="2101">
      <c r="A2101" s="188" t="inlineStr">
        <is>
          <t>FIREWALL_ADVISORY</t>
        </is>
      </c>
      <c r="B2101" s="188" t="inlineStr">
        <is>
          <t>FG-IR</t>
        </is>
      </c>
      <c r="C2101" s="188" t="inlineStr">
        <is>
          <t>Fortinet PSIRT: Heap-based buffer overflow in cw_acd daemon | CVSSv3 Score: 7.4 A heap-based buffer overflow vulnerability [CWE-122] in FortiOS and FortiSwitchManager cw_acd daemon may allow a remote unauthenticated attacker to execute arbitrary code or commands</t>
        </is>
      </c>
      <c r="D2101" s="188" t="n">
        <v>7.5</v>
      </c>
      <c r="E2101" s="188" t="inlineStr">
        <is>
          <t>HIGH</t>
        </is>
      </c>
      <c r="F2101" s="188" t="n">
        <v>2</v>
      </c>
      <c r="G2101" s="188" t="n">
        <v>2</v>
      </c>
      <c r="H2101" s="188" t="inlineStr">
        <is>
          <t>MEDIUM</t>
        </is>
      </c>
      <c r="I2101" s="188" t="n">
        <v>11.5</v>
      </c>
      <c r="J2101" s="188" t="inlineStr">
        <is>
          <t>NO</t>
        </is>
      </c>
      <c r="K2101" s="188" t="inlineStr">
        <is>
          <t>https://fortiguard.fortinet.com/psirt/FG-IR-25-084</t>
        </is>
      </c>
      <c r="L2101" s="188" t="inlineStr">
        <is>
          <t>2026-02-26 00:15</t>
        </is>
      </c>
      <c r="M2101" s="188" t="inlineStr">
        <is>
          <t>YES - Apply vendor patch immediately</t>
        </is>
      </c>
      <c r="N2101" s="188" t="inlineStr">
        <is>
          <t>https://fortiguard.fortinet.com/psirt/FG-IR-25-084</t>
        </is>
      </c>
      <c r="O2101" s="188" t="inlineStr">
        <is>
          <t>Apply Fortinet security patches immediately | Review affected products | Check for workarounds</t>
        </is>
      </c>
      <c r="P2101" s="188" t="inlineStr">
        <is>
          <t>FortiOS / FortiGate / FortiProxy / FortiManager</t>
        </is>
      </c>
      <c r="Q2101" s="188" t="inlineStr">
        <is>
          <t>P3</t>
        </is>
      </c>
      <c r="R2101" s="188" t="inlineStr">
        <is>
          <t>🚫 Block IP at firewall immediately | 🔍 Check logs for existing connections | 🛡️ Add to threat intelligence blocklist</t>
        </is>
      </c>
      <c r="S2101" s="188" t="inlineStr">
        <is>
          <t>Firewall Advisory - Fortinet</t>
        </is>
      </c>
      <c r="T2101" s="188" t="n">
        <v>0</v>
      </c>
      <c r="U2101" s="188" t="n">
        <v>0</v>
      </c>
      <c r="V2101" s="188" t="inlineStr">
        <is>
          <t>T1190:Exploit Public-Facing Application | T1133:External Remote Services</t>
        </is>
      </c>
      <c r="W2101" s="188" t="n">
        <v>2</v>
      </c>
      <c r="X2101" s="188" t="inlineStr">
        <is>
          <t>MEDIUM (52%)</t>
        </is>
      </c>
      <c r="Y2101" s="188" t="inlineStr">
        <is>
          <t>CHECK_VENDOR</t>
        </is>
      </c>
      <c r="Z2101" s="188" t="inlineStr">
        <is>
          <t>YES</t>
        </is>
      </c>
      <c r="AA2101" s="188" t="inlineStr">
        <is>
          <t>https://fortiguard.fortinet.com/psirt/FG-IR-25-084</t>
        </is>
      </c>
      <c r="AB2101" s="188" t="inlineStr">
        <is>
          <t>NONE</t>
        </is>
      </c>
      <c r="AC2101" s="188" t="n">
        <v>0</v>
      </c>
      <c r="AD2101" s="188" t="inlineStr"/>
    </row>
    <row r="2102">
      <c r="A2102" s="188" t="inlineStr">
        <is>
          <t>FIREWALL_ADVISORY</t>
        </is>
      </c>
      <c r="B2102" s="188" t="inlineStr">
        <is>
          <t>FG-IR</t>
        </is>
      </c>
      <c r="C2102" s="188" t="inlineStr">
        <is>
          <t xml:space="preserve">Fortinet PSIRT: SQL injection in forward module | </t>
        </is>
      </c>
      <c r="D2102" s="188" t="n">
        <v>7.5</v>
      </c>
      <c r="E2102" s="188" t="inlineStr">
        <is>
          <t>HIGH</t>
        </is>
      </c>
      <c r="F2102" s="188" t="n">
        <v>2</v>
      </c>
      <c r="G2102" s="188" t="n">
        <v>2</v>
      </c>
      <c r="H2102" s="188" t="inlineStr">
        <is>
          <t>MEDIUM</t>
        </is>
      </c>
      <c r="I2102" s="188" t="n">
        <v>11.5</v>
      </c>
      <c r="J2102" s="188" t="inlineStr">
        <is>
          <t>NO</t>
        </is>
      </c>
      <c r="K2102" s="188" t="inlineStr">
        <is>
          <t>https://fortiguard.fortinet.com/psirt/#5575</t>
        </is>
      </c>
      <c r="L2102" s="188" t="inlineStr">
        <is>
          <t>2026-02-26 00:15</t>
        </is>
      </c>
      <c r="M2102" s="188" t="inlineStr">
        <is>
          <t>YES - Apply vendor patch immediately</t>
        </is>
      </c>
      <c r="N2102" s="188" t="inlineStr">
        <is>
          <t>https://fortiguard.fortinet.com/psirt/#5575</t>
        </is>
      </c>
      <c r="O2102" s="188" t="inlineStr">
        <is>
          <t>Apply Fortinet security patches immediately | Review affected products | Check for workarounds</t>
        </is>
      </c>
      <c r="P2102" s="188" t="inlineStr">
        <is>
          <t>FortiOS / FortiGate / FortiProxy / FortiManager</t>
        </is>
      </c>
      <c r="Q2102" s="188" t="inlineStr">
        <is>
          <t>P3</t>
        </is>
      </c>
      <c r="R2102" s="188" t="inlineStr">
        <is>
          <t>🚫 Block IP at firewall immediately | 🔍 Check logs for existing connections | 🛡️ Add to threat intelligence blocklist</t>
        </is>
      </c>
      <c r="S2102" s="188" t="inlineStr">
        <is>
          <t>Firewall Advisory - Fortinet</t>
        </is>
      </c>
      <c r="T2102" s="188" t="n">
        <v>0</v>
      </c>
      <c r="U2102" s="188" t="n">
        <v>0</v>
      </c>
      <c r="V2102" s="188" t="inlineStr">
        <is>
          <t>T1190:Exploit Public-Facing Application | T1133:External Remote Services</t>
        </is>
      </c>
      <c r="W2102" s="188" t="n">
        <v>2</v>
      </c>
      <c r="X2102" s="188" t="inlineStr">
        <is>
          <t>MEDIUM (52%)</t>
        </is>
      </c>
      <c r="Y2102" s="188" t="inlineStr">
        <is>
          <t>CHECK_VENDOR</t>
        </is>
      </c>
      <c r="Z2102" s="188" t="inlineStr">
        <is>
          <t>YES</t>
        </is>
      </c>
      <c r="AA2102" s="188" t="inlineStr">
        <is>
          <t>https://fortiguard.fortinet.com/psirt/#5575</t>
        </is>
      </c>
      <c r="AB2102" s="188" t="inlineStr">
        <is>
          <t>NONE</t>
        </is>
      </c>
      <c r="AC2102" s="188" t="n">
        <v>0</v>
      </c>
      <c r="AD2102" s="188" t="inlineStr"/>
    </row>
    <row r="2103">
      <c r="A2103" s="188" t="inlineStr">
        <is>
          <t>FIREWALL_ADVISORY</t>
        </is>
      </c>
      <c r="B2103" s="188" t="inlineStr">
        <is>
          <t>FG-IR</t>
        </is>
      </c>
      <c r="C2103" s="188" t="inlineStr">
        <is>
          <t>Fortinet PSIRT: Arbitrary XML file write in FCConfig | CVSSv3 Score: 6.4 An Improper Link Resolution Before File Access vulnerability [CWE-59] in FortiClient Windows may allow a local low-privilege attacker to perform an arbitrary file write with elevated</t>
        </is>
      </c>
      <c r="D2103" s="188" t="n">
        <v>7.5</v>
      </c>
      <c r="E2103" s="188" t="inlineStr">
        <is>
          <t>HIGH</t>
        </is>
      </c>
      <c r="F2103" s="188" t="n">
        <v>2</v>
      </c>
      <c r="G2103" s="188" t="n">
        <v>2</v>
      </c>
      <c r="H2103" s="188" t="inlineStr">
        <is>
          <t>MEDIUM</t>
        </is>
      </c>
      <c r="I2103" s="188" t="n">
        <v>11.5</v>
      </c>
      <c r="J2103" s="188" t="inlineStr">
        <is>
          <t>NO</t>
        </is>
      </c>
      <c r="K2103" s="188" t="inlineStr">
        <is>
          <t>https://fortiguard.fortinet.com/psirt/FG-IR-25-661</t>
        </is>
      </c>
      <c r="L2103" s="188" t="inlineStr">
        <is>
          <t>2026-02-26 00:15</t>
        </is>
      </c>
      <c r="M2103" s="188" t="inlineStr">
        <is>
          <t>YES - Apply vendor patch immediately</t>
        </is>
      </c>
      <c r="N2103" s="188" t="inlineStr">
        <is>
          <t>https://fortiguard.fortinet.com/psirt/FG-IR-25-661</t>
        </is>
      </c>
      <c r="O2103" s="188" t="inlineStr">
        <is>
          <t>Apply Fortinet security patches immediately | Review affected products | Check for workarounds</t>
        </is>
      </c>
      <c r="P2103" s="188" t="inlineStr">
        <is>
          <t>FortiOS / FortiGate / FortiProxy / FortiManager</t>
        </is>
      </c>
      <c r="Q2103" s="188" t="inlineStr">
        <is>
          <t>P3</t>
        </is>
      </c>
      <c r="R2103" s="188" t="inlineStr">
        <is>
          <t>🚫 Block IP at firewall immediately | 🔍 Check logs for existing connections | 🛡️ Add to threat intelligence blocklist</t>
        </is>
      </c>
      <c r="S2103" s="188" t="inlineStr">
        <is>
          <t>Firewall Advisory - Fortinet</t>
        </is>
      </c>
      <c r="T2103" s="188" t="n">
        <v>0</v>
      </c>
      <c r="U2103" s="188" t="n">
        <v>0</v>
      </c>
      <c r="V2103" s="188" t="inlineStr">
        <is>
          <t>T1190:Exploit Public-Facing Application | T1133:External Remote Services</t>
        </is>
      </c>
      <c r="W2103" s="188" t="n">
        <v>2</v>
      </c>
      <c r="X2103" s="188" t="inlineStr">
        <is>
          <t>MEDIUM (52%)</t>
        </is>
      </c>
      <c r="Y2103" s="188" t="inlineStr">
        <is>
          <t>CHECK_VENDOR</t>
        </is>
      </c>
      <c r="Z2103" s="188" t="inlineStr">
        <is>
          <t>YES</t>
        </is>
      </c>
      <c r="AA2103" s="188" t="inlineStr">
        <is>
          <t>https://fortiguard.fortinet.com/psirt/FG-IR-25-661</t>
        </is>
      </c>
      <c r="AB2103" s="188" t="inlineStr">
        <is>
          <t>NONE</t>
        </is>
      </c>
      <c r="AC2103" s="188" t="n">
        <v>0</v>
      </c>
      <c r="AD2103" s="188" t="inlineStr"/>
    </row>
    <row r="2104">
      <c r="A2104" s="188" t="inlineStr">
        <is>
          <t>FIREWALL_ADVISORY</t>
        </is>
      </c>
      <c r="B2104" s="188" t="inlineStr">
        <is>
          <t>FG-IR</t>
        </is>
      </c>
      <c r="C2104" s="188" t="inlineStr">
        <is>
          <t>Fortinet PSIRT: Firewall policy bypass in FSSO Terminal Services Agent | CVSSv3 Score: 3.8 An Improper Verification of Source of a Communication Channel vulnerability [CWE-940] in FortiOS FSSO Terminal Services Agent may allow an authenticated user with knowledge of FSSO p</t>
        </is>
      </c>
      <c r="D2104" s="188" t="n">
        <v>7.5</v>
      </c>
      <c r="E2104" s="188" t="inlineStr">
        <is>
          <t>HIGH</t>
        </is>
      </c>
      <c r="F2104" s="188" t="n">
        <v>2</v>
      </c>
      <c r="G2104" s="188" t="n">
        <v>2</v>
      </c>
      <c r="H2104" s="188" t="inlineStr">
        <is>
          <t>MEDIUM</t>
        </is>
      </c>
      <c r="I2104" s="188" t="n">
        <v>11.5</v>
      </c>
      <c r="J2104" s="188" t="inlineStr">
        <is>
          <t>NO</t>
        </is>
      </c>
      <c r="K2104" s="188" t="inlineStr">
        <is>
          <t>https://fortiguard.fortinet.com/psirt/FG-IR-25-384</t>
        </is>
      </c>
      <c r="L2104" s="188" t="inlineStr">
        <is>
          <t>2026-02-26 00:15</t>
        </is>
      </c>
      <c r="M2104" s="188" t="inlineStr">
        <is>
          <t>YES - Apply vendor patch immediately</t>
        </is>
      </c>
      <c r="N2104" s="188" t="inlineStr">
        <is>
          <t>https://fortiguard.fortinet.com/psirt/FG-IR-25-384</t>
        </is>
      </c>
      <c r="O2104" s="188" t="inlineStr">
        <is>
          <t>Apply Fortinet security patches immediately | Review affected products | Check for workarounds</t>
        </is>
      </c>
      <c r="P2104" s="188" t="inlineStr">
        <is>
          <t>FortiOS / FortiGate / FortiProxy / FortiManager</t>
        </is>
      </c>
      <c r="Q2104" s="188" t="inlineStr">
        <is>
          <t>P3</t>
        </is>
      </c>
      <c r="R2104" s="188" t="inlineStr">
        <is>
          <t>🚫 Block IP at firewall immediately | 🔍 Check logs for existing connections | 🛡️ Add to threat intelligence blocklist</t>
        </is>
      </c>
      <c r="S2104" s="188" t="inlineStr">
        <is>
          <t>Firewall Advisory - Fortinet</t>
        </is>
      </c>
      <c r="T2104" s="188" t="n">
        <v>0</v>
      </c>
      <c r="U2104" s="188" t="n">
        <v>0</v>
      </c>
      <c r="V2104" s="188" t="inlineStr">
        <is>
          <t>T1190:Exploit Public-Facing Application | T1133:External Remote Services</t>
        </is>
      </c>
      <c r="W2104" s="188" t="n">
        <v>2</v>
      </c>
      <c r="X2104" s="188" t="inlineStr">
        <is>
          <t>MEDIUM (52%)</t>
        </is>
      </c>
      <c r="Y2104" s="188" t="inlineStr">
        <is>
          <t>CHECK_VENDOR</t>
        </is>
      </c>
      <c r="Z2104" s="188" t="inlineStr">
        <is>
          <t>YES</t>
        </is>
      </c>
      <c r="AA2104" s="188" t="inlineStr">
        <is>
          <t>https://fortiguard.fortinet.com/psirt/FG-IR-25-384</t>
        </is>
      </c>
      <c r="AB2104" s="188" t="inlineStr">
        <is>
          <t>NONE</t>
        </is>
      </c>
      <c r="AC2104" s="188" t="n">
        <v>0</v>
      </c>
      <c r="AD2104" s="188" t="inlineStr"/>
    </row>
    <row r="2105">
      <c r="A2105" s="188" t="inlineStr">
        <is>
          <t>FIREWALL_ADVISORY</t>
        </is>
      </c>
      <c r="B2105" s="188" t="inlineStr">
        <is>
          <t>Cisco</t>
        </is>
      </c>
      <c r="C2105" s="188" t="inlineStr">
        <is>
          <t>Cisco PSIRT: Cisco Catalyst SD-WAN Vulnerabilities | Multiple vulnerabilities in Cisco Catalyst SD-WAN Manager, formerly SD-WAN vManage, could allow an attacker to access an affected system, elevate privileges to root, gain access to sensitive informati</t>
        </is>
      </c>
      <c r="D2105" s="188" t="n">
        <v>7.5</v>
      </c>
      <c r="E2105" s="188" t="inlineStr">
        <is>
          <t>HIGH</t>
        </is>
      </c>
      <c r="F2105" s="188" t="n">
        <v>2</v>
      </c>
      <c r="G2105" s="188" t="n">
        <v>2</v>
      </c>
      <c r="H2105" s="188" t="inlineStr">
        <is>
          <t>MEDIUM</t>
        </is>
      </c>
      <c r="I2105" s="188" t="n">
        <v>11.5</v>
      </c>
      <c r="J2105" s="188" t="inlineStr">
        <is>
          <t>NO</t>
        </is>
      </c>
      <c r="K2105" s="188" t="inlineStr">
        <is>
          <t>https://sec.cloudapps.cisco.com/security/center/content/CiscoSecurityAdvisory/cisco-sa-sdwan-authbp-qwCX8D4v?vs_f=Cisco%20Security%20Advisory%26vs_cat=Security%20Intelligence%26vs_type=RSS%26vs_p=Cisco%20Catalyst%20SD-WAN%20Vulnerabilities%26vs_k=1</t>
        </is>
      </c>
      <c r="L2105" s="188" t="inlineStr">
        <is>
          <t>2026-02-26 00:15</t>
        </is>
      </c>
      <c r="M2105" s="188" t="inlineStr">
        <is>
          <t>YES - Apply vendor patch immediately</t>
        </is>
      </c>
      <c r="N2105" s="188" t="inlineStr">
        <is>
          <t>https://sec.cloudapps.cisco.com/security/center/content/CiscoSecurityAdvisory/cisco-sa-sdwan-authbp-qwCX8D4v?vs_f=Cisco%20Security%20Advisory%26vs_cat=Security%20Intelligence%26vs_type=RSS%26vs_p=Cisco%20Catalyst%20SD-WAN%20Vulnerabilities%26vs_k=1</t>
        </is>
      </c>
      <c r="O2105" s="188" t="inlineStr">
        <is>
          <t>Apply Cisco security patches immediately | Review affected products | Check for workarounds</t>
        </is>
      </c>
      <c r="P2105" s="188" t="inlineStr">
        <is>
          <t>Cisco ASA / Firepower / IOS / FTD / FMC</t>
        </is>
      </c>
      <c r="Q2105" s="188" t="inlineStr">
        <is>
          <t>P3</t>
        </is>
      </c>
      <c r="R2105" s="188" t="inlineStr">
        <is>
          <t>🚫 Block IP at firewall immediately | 🔍 Check logs for existing connections | 🛡️ Add to threat intelligence blocklist</t>
        </is>
      </c>
      <c r="S2105" s="188" t="inlineStr">
        <is>
          <t>Firewall Advisory - Cisco</t>
        </is>
      </c>
      <c r="T2105" s="188" t="n">
        <v>0</v>
      </c>
      <c r="U2105" s="188" t="n">
        <v>0</v>
      </c>
      <c r="V2105" s="188" t="inlineStr">
        <is>
          <t>T1190:Exploit Public-Facing Application | T1133:External Remote Services</t>
        </is>
      </c>
      <c r="W2105" s="188" t="n">
        <v>2</v>
      </c>
      <c r="X2105" s="188" t="inlineStr">
        <is>
          <t>MEDIUM (52%)</t>
        </is>
      </c>
      <c r="Y2105" s="188" t="inlineStr">
        <is>
          <t>CHECK_VENDOR</t>
        </is>
      </c>
      <c r="Z2105" s="188" t="inlineStr">
        <is>
          <t>YES</t>
        </is>
      </c>
      <c r="AA2105" s="188" t="inlineStr">
        <is>
          <t>https://sec.cloudapps.cisco.com/security/center/content/CiscoSecurityAdvisory/cisco-sa-sdwan-authbp-qwCX8D4v?vs_f=Cisco%20Security%20Advisory%26vs_cat=Security%20Intelligence%26vs_type=RSS%26vs_p=Cisco%20Catalyst%20SD-WAN%20Vulnerabilities%26vs_k=1</t>
        </is>
      </c>
      <c r="AB2105" s="188" t="inlineStr">
        <is>
          <t>NONE</t>
        </is>
      </c>
      <c r="AC2105" s="188" t="n">
        <v>0</v>
      </c>
      <c r="AD2105" s="188" t="inlineStr"/>
    </row>
    <row r="2106">
      <c r="A2106" s="188" t="inlineStr">
        <is>
          <t>FIREWALL_ADVISORY</t>
        </is>
      </c>
      <c r="B2106" s="188" t="inlineStr">
        <is>
          <t>Cisco</t>
        </is>
      </c>
      <c r="C2106" s="188" t="inlineStr">
        <is>
          <t>Cisco PSIRT: Cisco Catalyst SD-WAN Controller Authentication Bypass Vulnerability | A vulnerability in the peering authentication in Cisco Catalyst SD-WAN Controller, formerly SD-WAN vSmart, and Cisco Catalyst SD-WAN Manager, formerly SD-WAN vManage, could allow an unauthenticated, r</t>
        </is>
      </c>
      <c r="D2106" s="188" t="n">
        <v>7.5</v>
      </c>
      <c r="E2106" s="188" t="inlineStr">
        <is>
          <t>HIGH</t>
        </is>
      </c>
      <c r="F2106" s="188" t="n">
        <v>2</v>
      </c>
      <c r="G2106" s="188" t="n">
        <v>2</v>
      </c>
      <c r="H2106" s="188" t="inlineStr">
        <is>
          <t>MEDIUM</t>
        </is>
      </c>
      <c r="I2106" s="188" t="n">
        <v>11.5</v>
      </c>
      <c r="J2106" s="188" t="inlineStr">
        <is>
          <t>NO</t>
        </is>
      </c>
      <c r="K2106" s="188" t="inlineStr">
        <is>
          <t>https://sec.cloudapps.cisco.com/security/center/content/CiscoSecurityAdvisory/cisco-sa-sdwan-rpa-EHchtZk?vs_f=Cisco%20Security%20Advisory%26vs_cat=Security%20Intelligence%26vs_type=RSS%26vs_p=Cisco%20Catalyst%20SD-WAN%20Controller%20Authentication%20Bypass%20Vulnerability%26vs_k=1</t>
        </is>
      </c>
      <c r="L2106" s="188" t="inlineStr">
        <is>
          <t>2026-02-26 00:15</t>
        </is>
      </c>
      <c r="M2106" s="188" t="inlineStr">
        <is>
          <t>YES - Apply vendor patch immediately</t>
        </is>
      </c>
      <c r="N2106" s="188" t="inlineStr">
        <is>
          <t>https://sec.cloudapps.cisco.com/security/center/content/CiscoSecurityAdvisory/cisco-sa-sdwan-rpa-EHchtZk?vs_f=Cisco%20Security%20Advisory%26vs_cat=Security%20Intelligence%26vs_type=RSS%26vs_p=Cisco%20Catalyst%20SD-WAN%20Controller%20Authentication%20Bypass%20Vulnerability%26vs_k=1</t>
        </is>
      </c>
      <c r="O2106" s="188" t="inlineStr">
        <is>
          <t>Apply Cisco security patches immediately | Review affected products | Check for workarounds</t>
        </is>
      </c>
      <c r="P2106" s="188" t="inlineStr">
        <is>
          <t>Cisco ASA / Firepower / IOS / FTD / FMC</t>
        </is>
      </c>
      <c r="Q2106" s="188" t="inlineStr">
        <is>
          <t>P3</t>
        </is>
      </c>
      <c r="R2106" s="188" t="inlineStr">
        <is>
          <t>🚫 Block IP at firewall immediately | 🔍 Check logs for existing connections | 🛡️ Add to threat intelligence blocklist</t>
        </is>
      </c>
      <c r="S2106" s="188" t="inlineStr">
        <is>
          <t>Firewall Advisory - Cisco</t>
        </is>
      </c>
      <c r="T2106" s="188" t="n">
        <v>0</v>
      </c>
      <c r="U2106" s="188" t="n">
        <v>0</v>
      </c>
      <c r="V2106" s="188" t="inlineStr">
        <is>
          <t>T1190:Exploit Public-Facing Application | T1133:External Remote Services</t>
        </is>
      </c>
      <c r="W2106" s="188" t="n">
        <v>2</v>
      </c>
      <c r="X2106" s="188" t="inlineStr">
        <is>
          <t>MEDIUM (52%)</t>
        </is>
      </c>
      <c r="Y2106" s="188" t="inlineStr">
        <is>
          <t>CHECK_VENDOR</t>
        </is>
      </c>
      <c r="Z2106" s="188" t="inlineStr">
        <is>
          <t>YES</t>
        </is>
      </c>
      <c r="AA2106" s="188" t="inlineStr">
        <is>
          <t>https://sec.cloudapps.cisco.com/security/center/content/CiscoSecurityAdvisory/cisco-sa-sdwan-rpa-EHchtZk?vs_f=Cisco%20Security%20Advisory%26vs_cat=Security%20Intelligence%26vs_type=RSS%26vs_p=Cisco%20Catalyst%20SD-WAN%20Controller%20Authentication%20Bypass%20Vulnerability%26vs_k=1</t>
        </is>
      </c>
      <c r="AB2106" s="188" t="inlineStr">
        <is>
          <t>NONE</t>
        </is>
      </c>
      <c r="AC2106" s="188" t="n">
        <v>0</v>
      </c>
      <c r="AD2106" s="188" t="inlineStr"/>
    </row>
    <row r="2107">
      <c r="A2107" s="188" t="inlineStr">
        <is>
          <t>FIREWALL_ADVISORY</t>
        </is>
      </c>
      <c r="B2107" s="188" t="inlineStr">
        <is>
          <t>Cisco</t>
        </is>
      </c>
      <c r="C2107" s="188" t="inlineStr">
        <is>
          <t>Cisco PSIRT: Cisco Application Policy Infrastructure Controller Denial of Service Vulnerability | A vulnerability in the Object Model CLI component of Cisco Application Policy Infrastructure Controller (APIC) could allow an authenticated, local attacker to cause an affected device to reload unexpe</t>
        </is>
      </c>
      <c r="D2107" s="188" t="n">
        <v>7.5</v>
      </c>
      <c r="E2107" s="188" t="inlineStr">
        <is>
          <t>HIGH</t>
        </is>
      </c>
      <c r="F2107" s="188" t="n">
        <v>2</v>
      </c>
      <c r="G2107" s="188" t="n">
        <v>2</v>
      </c>
      <c r="H2107" s="188" t="inlineStr">
        <is>
          <t>MEDIUM</t>
        </is>
      </c>
      <c r="I2107" s="188" t="n">
        <v>11.5</v>
      </c>
      <c r="J2107" s="188" t="inlineStr">
        <is>
          <t>NO</t>
        </is>
      </c>
      <c r="K2107" s="188" t="inlineStr">
        <is>
          <t>https://sec.cloudapps.cisco.com/security/center/content/CiscoSecurityAdvisory/cisco-sa-apic-dos-rNus8EFw?vs_f=Cisco%20Security%20Advisory%26vs_cat=Security%20Intelligence%26vs_type=RSS%26vs_p=Cisco%20Application%20Policy%20Infrastructure%20Controller%20Denial%20of%20Service%20Vulnerability%26vs_k=1</t>
        </is>
      </c>
      <c r="L2107" s="188" t="inlineStr">
        <is>
          <t>2026-02-26 00:15</t>
        </is>
      </c>
      <c r="M2107" s="188" t="inlineStr">
        <is>
          <t>YES - Apply vendor patch immediately</t>
        </is>
      </c>
      <c r="N2107" s="188" t="inlineStr">
        <is>
          <t>https://sec.cloudapps.cisco.com/security/center/content/CiscoSecurityAdvisory/cisco-sa-apic-dos-rNus8EFw?vs_f=Cisco%20Security%20Advisory%26vs_cat=Security%20Intelligence%26vs_type=RSS%26vs_p=Cisco%20Application%20Policy%20Infrastructure%20Controller%20Denial%20of%20Service%20Vulnerability%26vs_k=1</t>
        </is>
      </c>
      <c r="O2107" s="188" t="inlineStr">
        <is>
          <t>Apply Cisco security patches immediately | Review affected products | Check for workarounds</t>
        </is>
      </c>
      <c r="P2107" s="188" t="inlineStr">
        <is>
          <t>Cisco ASA / Firepower / IOS / FTD / FMC</t>
        </is>
      </c>
      <c r="Q2107" s="188" t="inlineStr">
        <is>
          <t>P3</t>
        </is>
      </c>
      <c r="R2107" s="188" t="inlineStr">
        <is>
          <t>🚫 Block IP at firewall immediately | 🔍 Check logs for existing connections | 🛡️ Add to threat intelligence blocklist</t>
        </is>
      </c>
      <c r="S2107" s="188" t="inlineStr">
        <is>
          <t>Firewall Advisory - Cisco</t>
        </is>
      </c>
      <c r="T2107" s="188" t="n">
        <v>0</v>
      </c>
      <c r="U2107" s="188" t="n">
        <v>0</v>
      </c>
      <c r="V2107" s="188" t="inlineStr">
        <is>
          <t>T1190:Exploit Public-Facing Application | T1133:External Remote Services</t>
        </is>
      </c>
      <c r="W2107" s="188" t="n">
        <v>2</v>
      </c>
      <c r="X2107" s="188" t="inlineStr">
        <is>
          <t>MEDIUM (52%)</t>
        </is>
      </c>
      <c r="Y2107" s="188" t="inlineStr">
        <is>
          <t>CHECK_VENDOR</t>
        </is>
      </c>
      <c r="Z2107" s="188" t="inlineStr">
        <is>
          <t>YES</t>
        </is>
      </c>
      <c r="AA2107" s="188" t="inlineStr">
        <is>
          <t>https://sec.cloudapps.cisco.com/security/center/content/CiscoSecurityAdvisory/cisco-sa-apic-dos-rNus8EFw?vs_f=Cisco%20Security%20Advisory%26vs_cat=Security%20Intelligence%26vs_type=RSS%26vs_p=Cisco%20Application%20Policy%20Infrastructure%20Controller%20Denial%20of%20Service%20Vulnerability%26vs_k=1</t>
        </is>
      </c>
      <c r="AB2107" s="188" t="inlineStr">
        <is>
          <t>NONE</t>
        </is>
      </c>
      <c r="AC2107" s="188" t="n">
        <v>0</v>
      </c>
      <c r="AD2107" s="188" t="inlineStr"/>
    </row>
    <row r="2108">
      <c r="A2108" s="188" t="inlineStr">
        <is>
          <t>FIREWALL_ADVISORY</t>
        </is>
      </c>
      <c r="B2108" s="188" t="inlineStr">
        <is>
          <t>Cisco</t>
        </is>
      </c>
      <c r="C2108" s="188" t="inlineStr">
        <is>
          <t>Cisco PSIRT: Cisco SD-WAN Software Privilege Escalation Vulnerabilities | Multiple vulnerabilities in the CLI of Cisco SD-WAN Software could allow an authenticated, local attacker to gain elevated privileges. These vulnerabilities are due to improper access controls on comm</t>
        </is>
      </c>
      <c r="D2108" s="188" t="n">
        <v>7.5</v>
      </c>
      <c r="E2108" s="188" t="inlineStr">
        <is>
          <t>HIGH</t>
        </is>
      </c>
      <c r="F2108" s="188" t="n">
        <v>2</v>
      </c>
      <c r="G2108" s="188" t="n">
        <v>2</v>
      </c>
      <c r="H2108" s="188" t="inlineStr">
        <is>
          <t>MEDIUM</t>
        </is>
      </c>
      <c r="I2108" s="188" t="n">
        <v>11.5</v>
      </c>
      <c r="J2108" s="188" t="inlineStr">
        <is>
          <t>NO</t>
        </is>
      </c>
      <c r="K2108" s="188" t="inlineStr">
        <is>
          <t>https://sec.cloudapps.cisco.com/security/center/content/CiscoSecurityAdvisory/cisco-sa-sd-wan-priv-E6e8tEdF?vs_f=Cisco%20Security%20Advisory%26vs_cat=Security%20Intelligence%26vs_type=RSS%26vs_p=Cisco%20SD-WAN%20Software%20Privilege%20Escalation%20Vulnerabilities%26vs_k=1</t>
        </is>
      </c>
      <c r="L2108" s="188" t="inlineStr">
        <is>
          <t>2026-02-26 00:15</t>
        </is>
      </c>
      <c r="M2108" s="188" t="inlineStr">
        <is>
          <t>YES - Apply vendor patch immediately</t>
        </is>
      </c>
      <c r="N2108" s="188" t="inlineStr">
        <is>
          <t>https://sec.cloudapps.cisco.com/security/center/content/CiscoSecurityAdvisory/cisco-sa-sd-wan-priv-E6e8tEdF?vs_f=Cisco%20Security%20Advisory%26vs_cat=Security%20Intelligence%26vs_type=RSS%26vs_p=Cisco%20SD-WAN%20Software%20Privilege%20Escalation%20Vulnerabilities%26vs_k=1</t>
        </is>
      </c>
      <c r="O2108" s="188" t="inlineStr">
        <is>
          <t>Apply Cisco security patches immediately | Review affected products | Check for workarounds</t>
        </is>
      </c>
      <c r="P2108" s="188" t="inlineStr">
        <is>
          <t>Cisco ASA / Firepower / IOS / FTD / FMC</t>
        </is>
      </c>
      <c r="Q2108" s="188" t="inlineStr">
        <is>
          <t>P3</t>
        </is>
      </c>
      <c r="R2108" s="188" t="inlineStr">
        <is>
          <t>🚫 Block IP at firewall immediately | 🔍 Check logs for existing connections | 🛡️ Add to threat intelligence blocklist</t>
        </is>
      </c>
      <c r="S2108" s="188" t="inlineStr">
        <is>
          <t>Firewall Advisory - Cisco</t>
        </is>
      </c>
      <c r="T2108" s="188" t="n">
        <v>0</v>
      </c>
      <c r="U2108" s="188" t="n">
        <v>0</v>
      </c>
      <c r="V2108" s="188" t="inlineStr">
        <is>
          <t>T1190:Exploit Public-Facing Application | T1133:External Remote Services</t>
        </is>
      </c>
      <c r="W2108" s="188" t="n">
        <v>2</v>
      </c>
      <c r="X2108" s="188" t="inlineStr">
        <is>
          <t>MEDIUM (52%)</t>
        </is>
      </c>
      <c r="Y2108" s="188" t="inlineStr">
        <is>
          <t>CHECK_VENDOR</t>
        </is>
      </c>
      <c r="Z2108" s="188" t="inlineStr">
        <is>
          <t>YES</t>
        </is>
      </c>
      <c r="AA2108" s="188" t="inlineStr">
        <is>
          <t>https://sec.cloudapps.cisco.com/security/center/content/CiscoSecurityAdvisory/cisco-sa-sd-wan-priv-E6e8tEdF?vs_f=Cisco%20Security%20Advisory%26vs_cat=Security%20Intelligence%26vs_type=RSS%26vs_p=Cisco%20SD-WAN%20Software%20Privilege%20Escalation%20Vulnerabilities%26vs_k=1</t>
        </is>
      </c>
      <c r="AB2108" s="188" t="inlineStr">
        <is>
          <t>NONE</t>
        </is>
      </c>
      <c r="AC2108" s="188" t="n">
        <v>0</v>
      </c>
      <c r="AD2108" s="188" t="inlineStr"/>
    </row>
    <row r="2109">
      <c r="A2109" s="188" t="inlineStr">
        <is>
          <t>FIREWALL_ADVISORY</t>
        </is>
      </c>
      <c r="B2109" s="188" t="inlineStr">
        <is>
          <t>Cisco</t>
        </is>
      </c>
      <c r="C2109" s="188" t="inlineStr">
        <is>
          <t>Cisco PSIRT: Cisco UCS Manager Software Command Injection Vulnerability | A vulnerability in the CLI and web-based management interface of Cisco UCS Manager Software could allow an authenticated, remote attacker with valid administrative privileges to execute arbitrary comm</t>
        </is>
      </c>
      <c r="D2109" s="188" t="n">
        <v>7.5</v>
      </c>
      <c r="E2109" s="188" t="inlineStr">
        <is>
          <t>HIGH</t>
        </is>
      </c>
      <c r="F2109" s="188" t="n">
        <v>2</v>
      </c>
      <c r="G2109" s="188" t="n">
        <v>2</v>
      </c>
      <c r="H2109" s="188" t="inlineStr">
        <is>
          <t>MEDIUM</t>
        </is>
      </c>
      <c r="I2109" s="188" t="n">
        <v>11.5</v>
      </c>
      <c r="J2109" s="188" t="inlineStr">
        <is>
          <t>NO</t>
        </is>
      </c>
      <c r="K2109" s="188" t="inlineStr">
        <is>
          <t>https://sec.cloudapps.cisco.com/security/center/content/CiscoSecurityAdvisory/cisco-sa-ucsm-cmdinj-GvxLPeSB?vs_f=Cisco%20Security%20Advisory%26vs_cat=Security%20Intelligence%26vs_type=RSS%26vs_p=Cisco%20UCS%20Manager%20Software%20Command%20Injection%20Vulnerability%26vs_k=1</t>
        </is>
      </c>
      <c r="L2109" s="188" t="inlineStr">
        <is>
          <t>2026-02-26 00:15</t>
        </is>
      </c>
      <c r="M2109" s="188" t="inlineStr">
        <is>
          <t>YES - Apply vendor patch immediately</t>
        </is>
      </c>
      <c r="N2109" s="188" t="inlineStr">
        <is>
          <t>https://sec.cloudapps.cisco.com/security/center/content/CiscoSecurityAdvisory/cisco-sa-ucsm-cmdinj-GvxLPeSB?vs_f=Cisco%20Security%20Advisory%26vs_cat=Security%20Intelligence%26vs_type=RSS%26vs_p=Cisco%20UCS%20Manager%20Software%20Command%20Injection%20Vulnerability%26vs_k=1</t>
        </is>
      </c>
      <c r="O2109" s="188" t="inlineStr">
        <is>
          <t>Apply Cisco security patches immediately | Review affected products | Check for workarounds</t>
        </is>
      </c>
      <c r="P2109" s="188" t="inlineStr">
        <is>
          <t>Cisco ASA / Firepower / IOS / FTD / FMC</t>
        </is>
      </c>
      <c r="Q2109" s="188" t="inlineStr">
        <is>
          <t>P3</t>
        </is>
      </c>
      <c r="R2109" s="188" t="inlineStr">
        <is>
          <t>🚫 Block IP at firewall immediately | 🔍 Check logs for existing connections | 🛡️ Add to threat intelligence blocklist</t>
        </is>
      </c>
      <c r="S2109" s="188" t="inlineStr">
        <is>
          <t>Firewall Advisory - Cisco</t>
        </is>
      </c>
      <c r="T2109" s="188" t="n">
        <v>0</v>
      </c>
      <c r="U2109" s="188" t="n">
        <v>0</v>
      </c>
      <c r="V2109" s="188" t="inlineStr">
        <is>
          <t>T1190:Exploit Public-Facing Application | T1133:External Remote Services</t>
        </is>
      </c>
      <c r="W2109" s="188" t="n">
        <v>2</v>
      </c>
      <c r="X2109" s="188" t="inlineStr">
        <is>
          <t>MEDIUM (52%)</t>
        </is>
      </c>
      <c r="Y2109" s="188" t="inlineStr">
        <is>
          <t>CHECK_VENDOR</t>
        </is>
      </c>
      <c r="Z2109" s="188" t="inlineStr">
        <is>
          <t>YES</t>
        </is>
      </c>
      <c r="AA2109" s="188" t="inlineStr">
        <is>
          <t>https://sec.cloudapps.cisco.com/security/center/content/CiscoSecurityAdvisory/cisco-sa-ucsm-cmdinj-GvxLPeSB?vs_f=Cisco%20Security%20Advisory%26vs_cat=Security%20Intelligence%26vs_type=RSS%26vs_p=Cisco%20UCS%20Manager%20Software%20Command%20Injection%20Vulnerability%26vs_k=1</t>
        </is>
      </c>
      <c r="AB2109" s="188" t="inlineStr">
        <is>
          <t>NONE</t>
        </is>
      </c>
      <c r="AC2109" s="188" t="n">
        <v>0</v>
      </c>
      <c r="AD2109" s="188" t="inlineStr"/>
    </row>
    <row r="2110">
      <c r="A2110" s="189" t="inlineStr">
        <is>
          <t>FIREWALL_ADVISORY</t>
        </is>
      </c>
      <c r="B2110" s="189" t="inlineStr">
        <is>
          <t>CVE-2026-21902</t>
        </is>
      </c>
      <c r="C2110" s="189" t="inlineStr">
        <is>
          <t>Juniper Networks Advisory: An Incorrect Permission Assignment for Critical Resource vulnerability in the On-Box Anomaly detection framework of Juniper Networks Junos OS Evolved on PTX Series allows an unauthenticated, network-b</t>
        </is>
      </c>
      <c r="D2110" s="189" t="n">
        <v>9</v>
      </c>
      <c r="E2110" s="189" t="inlineStr">
        <is>
          <t>CRITICAL</t>
        </is>
      </c>
      <c r="F2110" s="189" t="n">
        <v>3</v>
      </c>
      <c r="G2110" s="189" t="n">
        <v>3</v>
      </c>
      <c r="H2110" s="189" t="inlineStr">
        <is>
          <t>CRITICAL</t>
        </is>
      </c>
      <c r="I2110" s="189" t="n">
        <v>18</v>
      </c>
      <c r="J2110" s="189" t="inlineStr">
        <is>
          <t>NO</t>
        </is>
      </c>
      <c r="K2110" s="189" t="inlineStr">
        <is>
          <t>https://nvd.nist.gov/vuln/detail/CVE-2026-21902</t>
        </is>
      </c>
      <c r="L2110" s="189" t="inlineStr">
        <is>
          <t>2026-02-26 00:15</t>
        </is>
      </c>
      <c r="M2110" s="189" t="inlineStr">
        <is>
          <t>YES - Apply vendor patch immediately</t>
        </is>
      </c>
      <c r="N2110" s="189" t="inlineStr">
        <is>
          <t>https://nvd.nist.gov/vuln/detail/CVE-2026-21902</t>
        </is>
      </c>
      <c r="O2110" s="189" t="inlineStr">
        <is>
          <t>Apply Juniper Networks security patches immediately | Review affected products | Check for workarounds</t>
        </is>
      </c>
      <c r="P2110" s="189" t="inlineStr">
        <is>
          <t>Junos OS / SRX / MX / EX Series</t>
        </is>
      </c>
      <c r="Q2110" s="189" t="inlineStr">
        <is>
          <t>P1</t>
        </is>
      </c>
      <c r="R2110" s="189" t="inlineStr">
        <is>
          <t>🚫 Block IP at firewall immediately | 🔍 Check logs for existing connections | 🛡️ Add to threat intelligence blocklist</t>
        </is>
      </c>
      <c r="S2110" s="189" t="inlineStr">
        <is>
          <t>Firewall Advisory - Juniper Networks</t>
        </is>
      </c>
      <c r="T2110" s="189" t="n">
        <v>0</v>
      </c>
      <c r="U2110" s="189" t="n">
        <v>0</v>
      </c>
      <c r="V2110" s="189" t="inlineStr">
        <is>
          <t>T1190:Exploit Public-Facing Application | T1133:External Remote Services</t>
        </is>
      </c>
      <c r="W2110" s="189" t="n">
        <v>2</v>
      </c>
      <c r="X2110" s="189" t="inlineStr">
        <is>
          <t>MEDIUM (52%)</t>
        </is>
      </c>
      <c r="Y2110" s="189" t="inlineStr">
        <is>
          <t>CHECK_VENDOR</t>
        </is>
      </c>
      <c r="Z2110" s="189" t="inlineStr">
        <is>
          <t>YES</t>
        </is>
      </c>
      <c r="AA2110" s="189" t="inlineStr">
        <is>
          <t>https://nvd.nist.gov/vuln/detail/CVE-2026-21902</t>
        </is>
      </c>
      <c r="AB2110" s="189" t="inlineStr">
        <is>
          <t>NONE</t>
        </is>
      </c>
      <c r="AC2110" s="189" t="n">
        <v>0</v>
      </c>
      <c r="AD2110" s="189" t="inlineStr"/>
    </row>
    <row r="2111">
      <c r="A2111" s="188" t="inlineStr">
        <is>
          <t>ZDI_ADVISORY</t>
        </is>
      </c>
      <c r="B2111" s="188" t="inlineStr">
        <is>
          <t>ZDI-26-132</t>
        </is>
      </c>
      <c r="C2111" s="188" t="inlineStr">
        <is>
          <t>ZDI Published 0-Day: ZDI-26-132: Siemens SINEC NMS Uncontrolled Search Path Element Local Privilege Escalation Vulnerability | CVEs: CVE-2026-25656 | Product: See ZDI advisory</t>
        </is>
      </c>
      <c r="D2111" s="188" t="n">
        <v>7.5</v>
      </c>
      <c r="E2111" s="188" t="inlineStr">
        <is>
          <t>HIGH</t>
        </is>
      </c>
      <c r="F2111" s="188" t="n">
        <v>3</v>
      </c>
      <c r="G2111" s="188" t="n">
        <v>3</v>
      </c>
      <c r="H2111" s="188" t="inlineStr">
        <is>
          <t>CRITICAL</t>
        </is>
      </c>
      <c r="I2111" s="188" t="n">
        <v>16.5</v>
      </c>
      <c r="J2111" s="188" t="inlineStr">
        <is>
          <t>NO</t>
        </is>
      </c>
      <c r="K2111" s="188" t="inlineStr">
        <is>
          <t>http://www.zerodayinitiative.com/advisories/ZDI-26-132/</t>
        </is>
      </c>
      <c r="L2111" s="188" t="inlineStr">
        <is>
          <t>2026-02-25 06:00</t>
        </is>
      </c>
      <c r="M2111" s="188" t="inlineStr">
        <is>
          <t>CHECK_VENDOR - ZDI published, vendor patch may be pending</t>
        </is>
      </c>
      <c r="N2111" s="188" t="inlineStr">
        <is>
          <t>http://www.zerodayinitiative.com/advisories/ZDI-26-132/</t>
        </is>
      </c>
      <c r="O2111" s="188" t="inlineStr">
        <is>
          <t>ZDI-published 0-day: apply vendor patch IMMEDIATELY | CVEs: CVE-2026-25656</t>
        </is>
      </c>
      <c r="P2111" s="188" t="inlineStr">
        <is>
          <t>See ZDI advisory</t>
        </is>
      </c>
      <c r="Q2111" s="188" t="inlineStr">
        <is>
          <t>P1</t>
        </is>
      </c>
      <c r="R2111" s="188" t="inlineStr">
        <is>
          <t>🎯 ZDI-published 0-day: apply vendor patch immediately | ⚠️ Check ZDI advisory page for workarounds | 🔍 Hunt for exploitation attempts in logs</t>
        </is>
      </c>
      <c r="S2111" s="188" t="inlineStr">
        <is>
          <t>ZDI 0-day advisory - no IP context</t>
        </is>
      </c>
      <c r="T2111" s="188" t="n">
        <v>0</v>
      </c>
      <c r="U2111" s="188" t="n">
        <v>0</v>
      </c>
      <c r="V2111" s="188" t="inlineStr">
        <is>
          <t>T1068:Exploitation for Privilege Escalation</t>
        </is>
      </c>
      <c r="W2111" s="188" t="n">
        <v>2</v>
      </c>
      <c r="X2111" s="188" t="inlineStr">
        <is>
          <t>CONFIRMED (82%)</t>
        </is>
      </c>
      <c r="Y2111" s="188" t="inlineStr">
        <is>
          <t>YES</t>
        </is>
      </c>
      <c r="Z2111" s="188" t="inlineStr">
        <is>
          <t>CHECK_VENDOR</t>
        </is>
      </c>
      <c r="AA2111" s="188" t="inlineStr">
        <is>
          <t>https://security.snyk.io/vuln/CVE-2026-25656</t>
        </is>
      </c>
      <c r="AB2111" s="188" t="inlineStr">
        <is>
          <t>http://www.zerodayinitiative.com/advisories/ZDI-26-132/</t>
        </is>
      </c>
      <c r="AC2111" s="188" t="n">
        <v>0</v>
      </c>
      <c r="AD2111" s="188" t="inlineStr"/>
    </row>
    <row r="2112">
      <c r="A2112" s="188" t="inlineStr">
        <is>
          <t>ZDI_ADVISORY</t>
        </is>
      </c>
      <c r="B2112" s="188" t="inlineStr">
        <is>
          <t>ZDI-26-131</t>
        </is>
      </c>
      <c r="C2112" s="188" t="inlineStr">
        <is>
          <t>ZDI Published 0-Day: ZDI-26-131: Siemens SINEC NMS Uncontrolled Search Path Element Local Privilege Escalation Vulnerability | CVEs: CVE-2026-25655 | Product: See ZDI advisory</t>
        </is>
      </c>
      <c r="D2112" s="188" t="n">
        <v>7.5</v>
      </c>
      <c r="E2112" s="188" t="inlineStr">
        <is>
          <t>HIGH</t>
        </is>
      </c>
      <c r="F2112" s="188" t="n">
        <v>3</v>
      </c>
      <c r="G2112" s="188" t="n">
        <v>3</v>
      </c>
      <c r="H2112" s="188" t="inlineStr">
        <is>
          <t>CRITICAL</t>
        </is>
      </c>
      <c r="I2112" s="188" t="n">
        <v>16.5</v>
      </c>
      <c r="J2112" s="188" t="inlineStr">
        <is>
          <t>NO</t>
        </is>
      </c>
      <c r="K2112" s="188" t="inlineStr">
        <is>
          <t>http://www.zerodayinitiative.com/advisories/ZDI-26-131/</t>
        </is>
      </c>
      <c r="L2112" s="188" t="inlineStr">
        <is>
          <t>2026-02-25 06:00</t>
        </is>
      </c>
      <c r="M2112" s="188" t="inlineStr">
        <is>
          <t>CHECK_VENDOR - ZDI published, vendor patch may be pending</t>
        </is>
      </c>
      <c r="N2112" s="188" t="inlineStr">
        <is>
          <t>http://www.zerodayinitiative.com/advisories/ZDI-26-131/</t>
        </is>
      </c>
      <c r="O2112" s="188" t="inlineStr">
        <is>
          <t>ZDI-published 0-day: apply vendor patch IMMEDIATELY | CVEs: CVE-2026-25655</t>
        </is>
      </c>
      <c r="P2112" s="188" t="inlineStr">
        <is>
          <t>See ZDI advisory</t>
        </is>
      </c>
      <c r="Q2112" s="188" t="inlineStr">
        <is>
          <t>P1</t>
        </is>
      </c>
      <c r="R2112" s="188" t="inlineStr">
        <is>
          <t>🎯 ZDI-published 0-day: apply vendor patch immediately | ⚠️ Check ZDI advisory page for workarounds | 🔍 Hunt for exploitation attempts in logs</t>
        </is>
      </c>
      <c r="S2112" s="188" t="inlineStr">
        <is>
          <t>ZDI 0-day advisory - no IP context</t>
        </is>
      </c>
      <c r="T2112" s="188" t="n">
        <v>0</v>
      </c>
      <c r="U2112" s="188" t="n">
        <v>0</v>
      </c>
      <c r="V2112" s="188" t="inlineStr">
        <is>
          <t>T1068:Exploitation for Privilege Escalation</t>
        </is>
      </c>
      <c r="W2112" s="188" t="n">
        <v>2</v>
      </c>
      <c r="X2112" s="188" t="inlineStr">
        <is>
          <t>CONFIRMED (82%)</t>
        </is>
      </c>
      <c r="Y2112" s="188" t="inlineStr">
        <is>
          <t>YES</t>
        </is>
      </c>
      <c r="Z2112" s="188" t="inlineStr">
        <is>
          <t>CHECK_VENDOR</t>
        </is>
      </c>
      <c r="AA2112" s="188" t="inlineStr">
        <is>
          <t>https://security.snyk.io/vuln/CVE-2026-25655</t>
        </is>
      </c>
      <c r="AB2112" s="188" t="inlineStr">
        <is>
          <t>http://www.zerodayinitiative.com/advisories/ZDI-26-131/</t>
        </is>
      </c>
      <c r="AC2112" s="188" t="n">
        <v>0</v>
      </c>
      <c r="AD2112" s="188" t="inlineStr"/>
    </row>
    <row r="2113">
      <c r="A2113" s="188" t="inlineStr">
        <is>
          <t>ZDI_ADVISORY</t>
        </is>
      </c>
      <c r="B2113" s="188" t="inlineStr">
        <is>
          <t>ZDI-26-130</t>
        </is>
      </c>
      <c r="C2113" s="188" t="inlineStr">
        <is>
          <t>ZDI Published 0-Day: ZDI-26-130: IceWarp collaboration Directory Traversal Information Disclosure Vulnerability | CVEs: CVE-2026-2493 | Product: See ZDI advisory</t>
        </is>
      </c>
      <c r="D2113" s="188" t="n">
        <v>7.5</v>
      </c>
      <c r="E2113" s="188" t="inlineStr">
        <is>
          <t>HIGH</t>
        </is>
      </c>
      <c r="F2113" s="188" t="n">
        <v>3</v>
      </c>
      <c r="G2113" s="188" t="n">
        <v>3</v>
      </c>
      <c r="H2113" s="188" t="inlineStr">
        <is>
          <t>CRITICAL</t>
        </is>
      </c>
      <c r="I2113" s="188" t="n">
        <v>16.5</v>
      </c>
      <c r="J2113" s="188" t="inlineStr">
        <is>
          <t>NO</t>
        </is>
      </c>
      <c r="K2113" s="188" t="inlineStr">
        <is>
          <t>http://www.zerodayinitiative.com/advisories/ZDI-26-130/</t>
        </is>
      </c>
      <c r="L2113" s="188" t="inlineStr">
        <is>
          <t>2026-02-25 06:00</t>
        </is>
      </c>
      <c r="M2113" s="188" t="inlineStr">
        <is>
          <t>CHECK_VENDOR - ZDI published, vendor patch may be pending</t>
        </is>
      </c>
      <c r="N2113" s="188" t="inlineStr">
        <is>
          <t>http://www.zerodayinitiative.com/advisories/ZDI-26-130/</t>
        </is>
      </c>
      <c r="O2113" s="188" t="inlineStr">
        <is>
          <t>ZDI-published 0-day: apply vendor patch IMMEDIATELY | CVEs: CVE-2026-2493</t>
        </is>
      </c>
      <c r="P2113" s="188" t="inlineStr">
        <is>
          <t>See ZDI advisory</t>
        </is>
      </c>
      <c r="Q2113" s="188" t="inlineStr">
        <is>
          <t>P1</t>
        </is>
      </c>
      <c r="R2113" s="188" t="inlineStr">
        <is>
          <t>🎯 ZDI-published 0-day: apply vendor patch immediately | ⚠️ Check ZDI advisory page for workarounds | 🔍 Hunt for exploitation attempts in logs</t>
        </is>
      </c>
      <c r="S2113" s="188" t="inlineStr">
        <is>
          <t>ZDI 0-day advisory - no IP context</t>
        </is>
      </c>
      <c r="T2113" s="188" t="n">
        <v>0</v>
      </c>
      <c r="U2113" s="188" t="n">
        <v>0</v>
      </c>
      <c r="V2113" s="188" t="inlineStr">
        <is>
          <t>T1083:File and Directory Discovery | T1213:Data from Information Repositories</t>
        </is>
      </c>
      <c r="W2113" s="188" t="n">
        <v>2</v>
      </c>
      <c r="X2113" s="188" t="inlineStr">
        <is>
          <t>CONFIRMED (82%)</t>
        </is>
      </c>
      <c r="Y2113" s="188" t="inlineStr">
        <is>
          <t>YES</t>
        </is>
      </c>
      <c r="Z2113" s="188" t="inlineStr">
        <is>
          <t>CHECK_VENDOR</t>
        </is>
      </c>
      <c r="AA2113" s="188" t="inlineStr">
        <is>
          <t>https://security.snyk.io/vuln/CVE-2026-2493</t>
        </is>
      </c>
      <c r="AB2113" s="188" t="inlineStr">
        <is>
          <t>http://www.zerodayinitiative.com/advisories/ZDI-26-130/</t>
        </is>
      </c>
      <c r="AC2113" s="188" t="n">
        <v>0</v>
      </c>
      <c r="AD2113" s="188" t="inlineStr"/>
    </row>
    <row r="2114">
      <c r="A2114" s="188" t="inlineStr">
        <is>
          <t>ZDI_ADVISORY</t>
        </is>
      </c>
      <c r="B2114" s="188" t="inlineStr">
        <is>
          <t>ZDI-26-129</t>
        </is>
      </c>
      <c r="C2114" s="188" t="inlineStr">
        <is>
          <t>ZDI Published 0-Day: ZDI-26-129: Socomec DIRIS A-40 HTTP API Authentication Bypass Vulnerability | CVEs: CVE-2026-2491 | Product: See ZDI advisory</t>
        </is>
      </c>
      <c r="D2114" s="188" t="n">
        <v>7.5</v>
      </c>
      <c r="E2114" s="188" t="inlineStr">
        <is>
          <t>HIGH</t>
        </is>
      </c>
      <c r="F2114" s="188" t="n">
        <v>3</v>
      </c>
      <c r="G2114" s="188" t="n">
        <v>3</v>
      </c>
      <c r="H2114" s="188" t="inlineStr">
        <is>
          <t>CRITICAL</t>
        </is>
      </c>
      <c r="I2114" s="188" t="n">
        <v>16.5</v>
      </c>
      <c r="J2114" s="188" t="inlineStr">
        <is>
          <t>NO</t>
        </is>
      </c>
      <c r="K2114" s="188" t="inlineStr">
        <is>
          <t>http://www.zerodayinitiative.com/advisories/ZDI-26-129/</t>
        </is>
      </c>
      <c r="L2114" s="188" t="inlineStr">
        <is>
          <t>2026-02-25 06:00</t>
        </is>
      </c>
      <c r="M2114" s="188" t="inlineStr">
        <is>
          <t>CHECK_VENDOR - ZDI published, vendor patch may be pending</t>
        </is>
      </c>
      <c r="N2114" s="188" t="inlineStr">
        <is>
          <t>http://www.zerodayinitiative.com/advisories/ZDI-26-129/</t>
        </is>
      </c>
      <c r="O2114" s="188" t="inlineStr">
        <is>
          <t>ZDI-published 0-day: apply vendor patch IMMEDIATELY | CVEs: CVE-2026-2491</t>
        </is>
      </c>
      <c r="P2114" s="188" t="inlineStr">
        <is>
          <t>See ZDI advisory</t>
        </is>
      </c>
      <c r="Q2114" s="188" t="inlineStr">
        <is>
          <t>P1</t>
        </is>
      </c>
      <c r="R2114" s="188" t="inlineStr">
        <is>
          <t>🎯 ZDI-published 0-day: apply vendor patch immediately | ⚠️ Check ZDI advisory page for workarounds | 🔍 Hunt for exploitation attempts in logs</t>
        </is>
      </c>
      <c r="S2114" s="188" t="inlineStr">
        <is>
          <t>ZDI 0-day advisory - no IP context</t>
        </is>
      </c>
      <c r="T2114" s="188" t="n">
        <v>0</v>
      </c>
      <c r="U2114" s="188" t="n">
        <v>0</v>
      </c>
      <c r="V2114" s="188" t="inlineStr">
        <is>
          <t>T1078:Valid Accounts</t>
        </is>
      </c>
      <c r="W2114" s="188" t="n">
        <v>2</v>
      </c>
      <c r="X2114" s="188" t="inlineStr">
        <is>
          <t>CONFIRMED (82%)</t>
        </is>
      </c>
      <c r="Y2114" s="188" t="inlineStr">
        <is>
          <t>YES</t>
        </is>
      </c>
      <c r="Z2114" s="188" t="inlineStr">
        <is>
          <t>CHECK_VENDOR</t>
        </is>
      </c>
      <c r="AA2114" s="188" t="inlineStr">
        <is>
          <t>https://security.snyk.io/vuln/CVE-2026-2491</t>
        </is>
      </c>
      <c r="AB2114" s="188" t="inlineStr">
        <is>
          <t>http://www.zerodayinitiative.com/advisories/ZDI-26-129/</t>
        </is>
      </c>
      <c r="AC2114" s="188" t="n">
        <v>0</v>
      </c>
      <c r="AD2114" s="188" t="inlineStr"/>
    </row>
    <row r="2115">
      <c r="A2115" s="188" t="inlineStr">
        <is>
          <t>ZDI_ADVISORY</t>
        </is>
      </c>
      <c r="B2115" s="188" t="inlineStr">
        <is>
          <t>ZDI-26-128</t>
        </is>
      </c>
      <c r="C2115" s="188" t="inlineStr">
        <is>
          <t>ZDI Published 0-Day: ZDI-26-128: (Pwn2Own) Ubiquiti Networks AI Pro Uncaught Exception Denial-of-Service Vulnerability | CVEs: CVE-2026-21634 | Product: See ZDI advisory</t>
        </is>
      </c>
      <c r="D2115" s="188" t="n">
        <v>7.5</v>
      </c>
      <c r="E2115" s="188" t="inlineStr">
        <is>
          <t>HIGH</t>
        </is>
      </c>
      <c r="F2115" s="188" t="n">
        <v>3</v>
      </c>
      <c r="G2115" s="188" t="n">
        <v>3</v>
      </c>
      <c r="H2115" s="188" t="inlineStr">
        <is>
          <t>CRITICAL</t>
        </is>
      </c>
      <c r="I2115" s="188" t="n">
        <v>16.5</v>
      </c>
      <c r="J2115" s="188" t="inlineStr">
        <is>
          <t>NO</t>
        </is>
      </c>
      <c r="K2115" s="188" t="inlineStr">
        <is>
          <t>http://www.zerodayinitiative.com/advisories/ZDI-26-128/</t>
        </is>
      </c>
      <c r="L2115" s="188" t="inlineStr">
        <is>
          <t>2026-02-25 06:00</t>
        </is>
      </c>
      <c r="M2115" s="188" t="inlineStr">
        <is>
          <t>CHECK_VENDOR - ZDI published, vendor patch may be pending</t>
        </is>
      </c>
      <c r="N2115" s="188" t="inlineStr">
        <is>
          <t>http://www.zerodayinitiative.com/advisories/ZDI-26-128/</t>
        </is>
      </c>
      <c r="O2115" s="188" t="inlineStr">
        <is>
          <t>ZDI-published 0-day: apply vendor patch IMMEDIATELY | CVEs: CVE-2026-21634</t>
        </is>
      </c>
      <c r="P2115" s="188" t="inlineStr">
        <is>
          <t>See ZDI advisory</t>
        </is>
      </c>
      <c r="Q2115" s="188" t="inlineStr">
        <is>
          <t>P1</t>
        </is>
      </c>
      <c r="R2115" s="188" t="inlineStr">
        <is>
          <t>🎯 ZDI-published 0-day: apply vendor patch immediately | ⚠️ Check ZDI advisory page for workarounds | 🔍 Hunt for exploitation attempts in logs</t>
        </is>
      </c>
      <c r="S2115" s="188" t="inlineStr">
        <is>
          <t>ZDI 0-day advisory - no IP context</t>
        </is>
      </c>
      <c r="T2115" s="188" t="n">
        <v>0</v>
      </c>
      <c r="U2115" s="188" t="n">
        <v>0</v>
      </c>
      <c r="V2115" s="188" t="inlineStr">
        <is>
          <t>T1190:Exploit Public-Facing Application</t>
        </is>
      </c>
      <c r="W2115" s="188" t="n">
        <v>2</v>
      </c>
      <c r="X2115" s="188" t="inlineStr">
        <is>
          <t>CONFIRMED (82%)</t>
        </is>
      </c>
      <c r="Y2115" s="188" t="inlineStr">
        <is>
          <t>YES</t>
        </is>
      </c>
      <c r="Z2115" s="188" t="inlineStr">
        <is>
          <t>CHECK_VENDOR</t>
        </is>
      </c>
      <c r="AA2115" s="188" t="inlineStr">
        <is>
          <t>https://security.snyk.io/vuln/CVE-2026-21634</t>
        </is>
      </c>
      <c r="AB2115" s="188" t="inlineStr">
        <is>
          <t>http://www.zerodayinitiative.com/advisories/ZDI-26-128/</t>
        </is>
      </c>
      <c r="AC2115" s="188" t="n">
        <v>0</v>
      </c>
      <c r="AD2115" s="188" t="inlineStr"/>
    </row>
    <row r="2116">
      <c r="A2116" s="188" t="inlineStr">
        <is>
          <t>ZDI_ADVISORY</t>
        </is>
      </c>
      <c r="B2116" s="188" t="inlineStr">
        <is>
          <t>ZDI-26-127</t>
        </is>
      </c>
      <c r="C2116" s="188" t="inlineStr">
        <is>
          <t>ZDI Published 0-Day: ZDI-26-127: (Pwn2Own) Ubiquiti Networks AI Pro Cleartext Transmission Information Disclosure Vulnerability | CVEs: CVE-2026-21633 | Product: See ZDI advisory</t>
        </is>
      </c>
      <c r="D2116" s="188" t="n">
        <v>7.5</v>
      </c>
      <c r="E2116" s="188" t="inlineStr">
        <is>
          <t>HIGH</t>
        </is>
      </c>
      <c r="F2116" s="188" t="n">
        <v>3</v>
      </c>
      <c r="G2116" s="188" t="n">
        <v>3</v>
      </c>
      <c r="H2116" s="188" t="inlineStr">
        <is>
          <t>CRITICAL</t>
        </is>
      </c>
      <c r="I2116" s="188" t="n">
        <v>16.5</v>
      </c>
      <c r="J2116" s="188" t="inlineStr">
        <is>
          <t>NO</t>
        </is>
      </c>
      <c r="K2116" s="188" t="inlineStr">
        <is>
          <t>http://www.zerodayinitiative.com/advisories/ZDI-26-127/</t>
        </is>
      </c>
      <c r="L2116" s="188" t="inlineStr">
        <is>
          <t>2026-02-25 06:00</t>
        </is>
      </c>
      <c r="M2116" s="188" t="inlineStr">
        <is>
          <t>CHECK_VENDOR - ZDI published, vendor patch may be pending</t>
        </is>
      </c>
      <c r="N2116" s="188" t="inlineStr">
        <is>
          <t>http://www.zerodayinitiative.com/advisories/ZDI-26-127/</t>
        </is>
      </c>
      <c r="O2116" s="188" t="inlineStr">
        <is>
          <t>ZDI-published 0-day: apply vendor patch IMMEDIATELY | CVEs: CVE-2026-21633</t>
        </is>
      </c>
      <c r="P2116" s="188" t="inlineStr">
        <is>
          <t>See ZDI advisory</t>
        </is>
      </c>
      <c r="Q2116" s="188" t="inlineStr">
        <is>
          <t>P1</t>
        </is>
      </c>
      <c r="R2116" s="188" t="inlineStr">
        <is>
          <t>🎯 ZDI-published 0-day: apply vendor patch immediately | ⚠️ Check ZDI advisory page for workarounds | 🔍 Hunt for exploitation attempts in logs</t>
        </is>
      </c>
      <c r="S2116" s="188" t="inlineStr">
        <is>
          <t>ZDI 0-day advisory - no IP context</t>
        </is>
      </c>
      <c r="T2116" s="188" t="n">
        <v>0</v>
      </c>
      <c r="U2116" s="188" t="n">
        <v>0</v>
      </c>
      <c r="V2116" s="188" t="inlineStr">
        <is>
          <t>T1213:Data from Information Repositories</t>
        </is>
      </c>
      <c r="W2116" s="188" t="n">
        <v>2</v>
      </c>
      <c r="X2116" s="188" t="inlineStr">
        <is>
          <t>CONFIRMED (82%)</t>
        </is>
      </c>
      <c r="Y2116" s="188" t="inlineStr">
        <is>
          <t>YES</t>
        </is>
      </c>
      <c r="Z2116" s="188" t="inlineStr">
        <is>
          <t>CHECK_VENDOR</t>
        </is>
      </c>
      <c r="AA2116" s="188" t="inlineStr">
        <is>
          <t>https://security.snyk.io/vuln/CVE-2026-21633</t>
        </is>
      </c>
      <c r="AB2116" s="188" t="inlineStr">
        <is>
          <t>http://www.zerodayinitiative.com/advisories/ZDI-26-127/</t>
        </is>
      </c>
      <c r="AC2116" s="188" t="n">
        <v>0</v>
      </c>
      <c r="AD2116" s="188" t="inlineStr"/>
    </row>
    <row r="2117">
      <c r="A2117" s="188" t="inlineStr">
        <is>
          <t>ZDI_ADVISORY</t>
        </is>
      </c>
      <c r="B2117" s="188" t="inlineStr">
        <is>
          <t>ZDI-26-126</t>
        </is>
      </c>
      <c r="C2117" s="188" t="inlineStr">
        <is>
          <t>ZDI Published 0-Day: ZDI-26-126: (Pwn2Own) Ubiquiti Networks AI Pro Discovery Protocol Missing Encryption Protocol Downgrade Vulnerability | CVEs: CVE-2026-21633 | Product: See ZDI advisory</t>
        </is>
      </c>
      <c r="D2117" s="188" t="n">
        <v>7.5</v>
      </c>
      <c r="E2117" s="188" t="inlineStr">
        <is>
          <t>HIGH</t>
        </is>
      </c>
      <c r="F2117" s="188" t="n">
        <v>3</v>
      </c>
      <c r="G2117" s="188" t="n">
        <v>3</v>
      </c>
      <c r="H2117" s="188" t="inlineStr">
        <is>
          <t>CRITICAL</t>
        </is>
      </c>
      <c r="I2117" s="188" t="n">
        <v>16.5</v>
      </c>
      <c r="J2117" s="188" t="inlineStr">
        <is>
          <t>NO</t>
        </is>
      </c>
      <c r="K2117" s="188" t="inlineStr">
        <is>
          <t>http://www.zerodayinitiative.com/advisories/ZDI-26-126/</t>
        </is>
      </c>
      <c r="L2117" s="188" t="inlineStr">
        <is>
          <t>2026-02-25 06:00</t>
        </is>
      </c>
      <c r="M2117" s="188" t="inlineStr">
        <is>
          <t>CHECK_VENDOR - ZDI published, vendor patch may be pending</t>
        </is>
      </c>
      <c r="N2117" s="188" t="inlineStr">
        <is>
          <t>http://www.zerodayinitiative.com/advisories/ZDI-26-126/</t>
        </is>
      </c>
      <c r="O2117" s="188" t="inlineStr">
        <is>
          <t>ZDI-published 0-day: apply vendor patch IMMEDIATELY | CVEs: CVE-2026-21633</t>
        </is>
      </c>
      <c r="P2117" s="188" t="inlineStr">
        <is>
          <t>See ZDI advisory</t>
        </is>
      </c>
      <c r="Q2117" s="188" t="inlineStr">
        <is>
          <t>P1</t>
        </is>
      </c>
      <c r="R2117" s="188" t="inlineStr">
        <is>
          <t>🎯 ZDI-published 0-day: apply vendor patch immediately | ⚠️ Check ZDI advisory page for workarounds | 🔍 Hunt for exploitation attempts in logs</t>
        </is>
      </c>
      <c r="S2117" s="188" t="inlineStr">
        <is>
          <t>ZDI 0-day advisory - no IP context</t>
        </is>
      </c>
      <c r="T2117" s="188" t="n">
        <v>0</v>
      </c>
      <c r="U2117" s="188" t="n">
        <v>0</v>
      </c>
      <c r="V2117" s="188" t="inlineStr">
        <is>
          <t>T1190:Exploit Public-Facing Application</t>
        </is>
      </c>
      <c r="W2117" s="188" t="n">
        <v>2</v>
      </c>
      <c r="X2117" s="188" t="inlineStr">
        <is>
          <t>CONFIRMED (82%)</t>
        </is>
      </c>
      <c r="Y2117" s="188" t="inlineStr">
        <is>
          <t>YES</t>
        </is>
      </c>
      <c r="Z2117" s="188" t="inlineStr">
        <is>
          <t>CHECK_VENDOR</t>
        </is>
      </c>
      <c r="AA2117" s="188" t="inlineStr">
        <is>
          <t>https://security.snyk.io/vuln/CVE-2026-21633</t>
        </is>
      </c>
      <c r="AB2117" s="188" t="inlineStr">
        <is>
          <t>http://www.zerodayinitiative.com/advisories/ZDI-26-126/</t>
        </is>
      </c>
      <c r="AC2117" s="188" t="n">
        <v>0</v>
      </c>
      <c r="AD2117" s="188" t="inlineStr"/>
    </row>
    <row r="2118">
      <c r="A2118" s="188" t="inlineStr">
        <is>
          <t>ZDI_ADVISORY</t>
        </is>
      </c>
      <c r="B2118" s="188" t="inlineStr">
        <is>
          <t>ZDI-26-125</t>
        </is>
      </c>
      <c r="C2118" s="188" t="inlineStr">
        <is>
          <t>ZDI Published 0-Day: ZDI-26-125: Docker Desktop grpcfuse Kernel Module Out-Of-Bounds Read Information Disclosure Vulnerability | CVEs: CVE-2026-2664 | Product: See ZDI advisory</t>
        </is>
      </c>
      <c r="D2118" s="188" t="n">
        <v>7.5</v>
      </c>
      <c r="E2118" s="188" t="inlineStr">
        <is>
          <t>HIGH</t>
        </is>
      </c>
      <c r="F2118" s="188" t="n">
        <v>3</v>
      </c>
      <c r="G2118" s="188" t="n">
        <v>3</v>
      </c>
      <c r="H2118" s="188" t="inlineStr">
        <is>
          <t>CRITICAL</t>
        </is>
      </c>
      <c r="I2118" s="188" t="n">
        <v>16.5</v>
      </c>
      <c r="J2118" s="188" t="inlineStr">
        <is>
          <t>NO</t>
        </is>
      </c>
      <c r="K2118" s="188" t="inlineStr">
        <is>
          <t>http://www.zerodayinitiative.com/advisories/ZDI-26-125/</t>
        </is>
      </c>
      <c r="L2118" s="188" t="inlineStr">
        <is>
          <t>2026-02-25 06:00</t>
        </is>
      </c>
      <c r="M2118" s="188" t="inlineStr">
        <is>
          <t>CHECK_VENDOR - ZDI published, vendor patch may be pending</t>
        </is>
      </c>
      <c r="N2118" s="188" t="inlineStr">
        <is>
          <t>http://www.zerodayinitiative.com/advisories/ZDI-26-125/</t>
        </is>
      </c>
      <c r="O2118" s="188" t="inlineStr">
        <is>
          <t>ZDI-published 0-day: apply vendor patch IMMEDIATELY | CVEs: CVE-2026-2664</t>
        </is>
      </c>
      <c r="P2118" s="188" t="inlineStr">
        <is>
          <t>See ZDI advisory</t>
        </is>
      </c>
      <c r="Q2118" s="188" t="inlineStr">
        <is>
          <t>P1</t>
        </is>
      </c>
      <c r="R2118" s="188" t="inlineStr">
        <is>
          <t>🎯 ZDI-published 0-day: apply vendor patch immediately | ⚠️ Check ZDI advisory page for workarounds | 🔍 Hunt for exploitation attempts in logs</t>
        </is>
      </c>
      <c r="S2118" s="188" t="inlineStr">
        <is>
          <t>ZDI 0-day advisory - no IP context</t>
        </is>
      </c>
      <c r="T2118" s="188" t="n">
        <v>0</v>
      </c>
      <c r="U2118" s="188" t="n">
        <v>0</v>
      </c>
      <c r="V2118" s="188" t="inlineStr">
        <is>
          <t>T1203:Exploitation for Client Execution | T1213:Data from Information Repositories</t>
        </is>
      </c>
      <c r="W2118" s="188" t="n">
        <v>2</v>
      </c>
      <c r="X2118" s="188" t="inlineStr">
        <is>
          <t>CONFIRMED (82%)</t>
        </is>
      </c>
      <c r="Y2118" s="188" t="inlineStr">
        <is>
          <t>YES</t>
        </is>
      </c>
      <c r="Z2118" s="188" t="inlineStr">
        <is>
          <t>CHECK_VENDOR</t>
        </is>
      </c>
      <c r="AA2118" s="188" t="inlineStr">
        <is>
          <t>https://security.snyk.io/vuln/CVE-2026-2664</t>
        </is>
      </c>
      <c r="AB2118" s="188" t="inlineStr">
        <is>
          <t>http://www.zerodayinitiative.com/advisories/ZDI-26-125/</t>
        </is>
      </c>
      <c r="AC2118" s="188" t="n">
        <v>0</v>
      </c>
      <c r="AD2118" s="188" t="inlineStr"/>
    </row>
    <row r="2119">
      <c r="A2119" s="188" t="inlineStr">
        <is>
          <t>ZDI_ADVISORY</t>
        </is>
      </c>
      <c r="B2119" s="188" t="inlineStr">
        <is>
          <t>ZDI-26-124</t>
        </is>
      </c>
      <c r="C2119" s="188" t="inlineStr">
        <is>
          <t>ZDI Published 0-Day: ZDI-26-124: claude-hovercraft executeClaudeCode Command Injection Remote Code Execution Vulnerability | CVEs: CVE-2025-15060 | Product: See ZDI advisory</t>
        </is>
      </c>
      <c r="D2119" s="188" t="n">
        <v>7.5</v>
      </c>
      <c r="E2119" s="188" t="inlineStr">
        <is>
          <t>HIGH</t>
        </is>
      </c>
      <c r="F2119" s="188" t="n">
        <v>3</v>
      </c>
      <c r="G2119" s="188" t="n">
        <v>3</v>
      </c>
      <c r="H2119" s="188" t="inlineStr">
        <is>
          <t>CRITICAL</t>
        </is>
      </c>
      <c r="I2119" s="188" t="n">
        <v>16.5</v>
      </c>
      <c r="J2119" s="188" t="inlineStr">
        <is>
          <t>NO</t>
        </is>
      </c>
      <c r="K2119" s="188" t="inlineStr">
        <is>
          <t>http://www.zerodayinitiative.com/advisories/ZDI-26-124/</t>
        </is>
      </c>
      <c r="L2119" s="188" t="inlineStr">
        <is>
          <t>2026-02-25 06:00</t>
        </is>
      </c>
      <c r="M2119" s="188" t="inlineStr">
        <is>
          <t>CHECK_VENDOR - ZDI published, vendor patch may be pending</t>
        </is>
      </c>
      <c r="N2119" s="188" t="inlineStr">
        <is>
          <t>http://www.zerodayinitiative.com/advisories/ZDI-26-124/</t>
        </is>
      </c>
      <c r="O2119" s="188" t="inlineStr">
        <is>
          <t>ZDI-published 0-day: apply vendor patch IMMEDIATELY | CVEs: CVE-2025-15060</t>
        </is>
      </c>
      <c r="P2119" s="188" t="inlineStr">
        <is>
          <t>See ZDI advisory</t>
        </is>
      </c>
      <c r="Q2119" s="188" t="inlineStr">
        <is>
          <t>P1</t>
        </is>
      </c>
      <c r="R2119" s="188" t="inlineStr">
        <is>
          <t>🎯 ZDI-published 0-day: apply vendor patch immediately | ⚠️ Check ZDI advisory page for workarounds | 🔍 Hunt for exploitation attempts in logs</t>
        </is>
      </c>
      <c r="S2119" s="188" t="inlineStr">
        <is>
          <t>ZDI 0-day advisory - no IP context</t>
        </is>
      </c>
      <c r="T2119" s="188" t="n">
        <v>0</v>
      </c>
      <c r="U2119" s="188" t="n">
        <v>0</v>
      </c>
      <c r="V2119" s="188" t="inlineStr">
        <is>
          <t>T1190:Exploit Public-Facing Application | T1210:Exploitation of Remote Services | T1059:Command and Scripting Interpreter</t>
        </is>
      </c>
      <c r="W2119" s="188" t="n">
        <v>2</v>
      </c>
      <c r="X2119" s="188" t="inlineStr">
        <is>
          <t>CONFIRMED (82%)</t>
        </is>
      </c>
      <c r="Y2119" s="188" t="inlineStr">
        <is>
          <t>YES</t>
        </is>
      </c>
      <c r="Z2119" s="188" t="inlineStr">
        <is>
          <t>CHECK_VENDOR</t>
        </is>
      </c>
      <c r="AA2119" s="188" t="inlineStr">
        <is>
          <t>https://security.snyk.io/vuln/CVE-2025-15060</t>
        </is>
      </c>
      <c r="AB2119" s="188" t="inlineStr">
        <is>
          <t>http://www.zerodayinitiative.com/advisories/ZDI-26-124/</t>
        </is>
      </c>
      <c r="AC2119" s="188" t="n">
        <v>0</v>
      </c>
      <c r="AD2119" s="188" t="inlineStr"/>
    </row>
    <row r="2120">
      <c r="A2120" s="188" t="inlineStr">
        <is>
          <t>ZDI_ADVISORY</t>
        </is>
      </c>
      <c r="B2120" s="188" t="inlineStr">
        <is>
          <t>ZDI-26-123</t>
        </is>
      </c>
      <c r="C2120" s="188" t="inlineStr">
        <is>
          <t>ZDI Published 0-Day: ZDI-26-123: Docker Desktop MCP Server Cleartext Storage of Sensitive Information Vulnerability | CVEs:  | Product: See ZDI advisory</t>
        </is>
      </c>
      <c r="D2120" s="188" t="n">
        <v>7.5</v>
      </c>
      <c r="E2120" s="188" t="inlineStr">
        <is>
          <t>HIGH</t>
        </is>
      </c>
      <c r="F2120" s="188" t="n">
        <v>3</v>
      </c>
      <c r="G2120" s="188" t="n">
        <v>3</v>
      </c>
      <c r="H2120" s="188" t="inlineStr">
        <is>
          <t>CRITICAL</t>
        </is>
      </c>
      <c r="I2120" s="188" t="n">
        <v>16.5</v>
      </c>
      <c r="J2120" s="188" t="inlineStr">
        <is>
          <t>NO</t>
        </is>
      </c>
      <c r="K2120" s="188" t="inlineStr">
        <is>
          <t>http://www.zerodayinitiative.com/advisories/ZDI-26-123/</t>
        </is>
      </c>
      <c r="L2120" s="188" t="inlineStr">
        <is>
          <t>2026-02-23 06:00</t>
        </is>
      </c>
      <c r="M2120" s="188" t="inlineStr">
        <is>
          <t>CHECK_VENDOR - ZDI published, vendor patch may be pending</t>
        </is>
      </c>
      <c r="N2120" s="188" t="inlineStr">
        <is>
          <t>http://www.zerodayinitiative.com/advisories/ZDI-26-123/</t>
        </is>
      </c>
      <c r="O2120" s="188" t="inlineStr">
        <is>
          <t xml:space="preserve">ZDI-published 0-day: apply vendor patch IMMEDIATELY | CVEs: </t>
        </is>
      </c>
      <c r="P2120" s="188" t="inlineStr">
        <is>
          <t>See ZDI advisory</t>
        </is>
      </c>
      <c r="Q2120" s="188" t="inlineStr">
        <is>
          <t>P1</t>
        </is>
      </c>
      <c r="R2120" s="188" t="inlineStr">
        <is>
          <t>🎯 ZDI-published 0-day: apply vendor patch immediately | ⚠️ Check ZDI advisory page for workarounds | 🔍 Hunt for exploitation attempts in logs</t>
        </is>
      </c>
      <c r="S2120" s="188" t="inlineStr">
        <is>
          <t>ZDI 0-day advisory - no IP context</t>
        </is>
      </c>
      <c r="T2120" s="188" t="n">
        <v>0</v>
      </c>
      <c r="U2120" s="188" t="n">
        <v>0</v>
      </c>
      <c r="V2120" s="188" t="inlineStr">
        <is>
          <t>T1190:Exploit Public-Facing Application</t>
        </is>
      </c>
      <c r="W2120" s="188" t="n">
        <v>2</v>
      </c>
      <c r="X2120" s="188" t="inlineStr">
        <is>
          <t>CONFIRMED (82%)</t>
        </is>
      </c>
      <c r="Y2120" s="188" t="inlineStr">
        <is>
          <t>YES</t>
        </is>
      </c>
      <c r="Z2120" s="188" t="inlineStr">
        <is>
          <t>CHECK_VENDOR</t>
        </is>
      </c>
      <c r="AA2120" s="188" t="inlineStr">
        <is>
          <t>http://www.zerodayinitiative.com/advisories/ZDI-26-123/</t>
        </is>
      </c>
      <c r="AB2120" s="188" t="inlineStr">
        <is>
          <t>http://www.zerodayinitiative.com/advisories/ZDI-26-123/</t>
        </is>
      </c>
      <c r="AC2120" s="188" t="n">
        <v>0</v>
      </c>
      <c r="AD2120" s="188" t="inlineStr"/>
    </row>
    <row r="2121">
      <c r="A2121" s="188" t="inlineStr">
        <is>
          <t>ZDI_ADVISORY</t>
        </is>
      </c>
      <c r="B2121" s="188" t="inlineStr">
        <is>
          <t>ZDI-26-122</t>
        </is>
      </c>
      <c r="C2121" s="188" t="inlineStr">
        <is>
          <t>ZDI Published 0-Day: ZDI-26-122: PDF-XChange Editor TrackerUpdate Uncontrolled Search Path Element Local Privilege Escalation Vulnerability | CVEs: CVE-2026-2040 | Product: See ZDI advisory</t>
        </is>
      </c>
      <c r="D2121" s="188" t="n">
        <v>7.5</v>
      </c>
      <c r="E2121" s="188" t="inlineStr">
        <is>
          <t>HIGH</t>
        </is>
      </c>
      <c r="F2121" s="188" t="n">
        <v>3</v>
      </c>
      <c r="G2121" s="188" t="n">
        <v>3</v>
      </c>
      <c r="H2121" s="188" t="inlineStr">
        <is>
          <t>CRITICAL</t>
        </is>
      </c>
      <c r="I2121" s="188" t="n">
        <v>16.5</v>
      </c>
      <c r="J2121" s="188" t="inlineStr">
        <is>
          <t>NO</t>
        </is>
      </c>
      <c r="K2121" s="188" t="inlineStr">
        <is>
          <t>http://www.zerodayinitiative.com/advisories/ZDI-26-122/</t>
        </is>
      </c>
      <c r="L2121" s="188" t="inlineStr">
        <is>
          <t>2026-02-19 06:00</t>
        </is>
      </c>
      <c r="M2121" s="188" t="inlineStr">
        <is>
          <t>CHECK_VENDOR - ZDI published, vendor patch may be pending</t>
        </is>
      </c>
      <c r="N2121" s="188" t="inlineStr">
        <is>
          <t>http://www.zerodayinitiative.com/advisories/ZDI-26-122/</t>
        </is>
      </c>
      <c r="O2121" s="188" t="inlineStr">
        <is>
          <t>ZDI-published 0-day: apply vendor patch IMMEDIATELY | CVEs: CVE-2026-2040</t>
        </is>
      </c>
      <c r="P2121" s="188" t="inlineStr">
        <is>
          <t>See ZDI advisory</t>
        </is>
      </c>
      <c r="Q2121" s="188" t="inlineStr">
        <is>
          <t>P1</t>
        </is>
      </c>
      <c r="R2121" s="188" t="inlineStr">
        <is>
          <t>🎯 ZDI-published 0-day: apply vendor patch immediately | ⚠️ Check ZDI advisory page for workarounds | 🔍 Hunt for exploitation attempts in logs</t>
        </is>
      </c>
      <c r="S2121" s="188" t="inlineStr">
        <is>
          <t>ZDI 0-day advisory - no IP context</t>
        </is>
      </c>
      <c r="T2121" s="188" t="n">
        <v>0</v>
      </c>
      <c r="U2121" s="188" t="n">
        <v>0</v>
      </c>
      <c r="V2121" s="188" t="inlineStr">
        <is>
          <t>T1068:Exploitation for Privilege Escalation</t>
        </is>
      </c>
      <c r="W2121" s="188" t="n">
        <v>2</v>
      </c>
      <c r="X2121" s="188" t="inlineStr">
        <is>
          <t>CONFIRMED (82%)</t>
        </is>
      </c>
      <c r="Y2121" s="188" t="inlineStr">
        <is>
          <t>YES</t>
        </is>
      </c>
      <c r="Z2121" s="188" t="inlineStr">
        <is>
          <t>CHECK_VENDOR</t>
        </is>
      </c>
      <c r="AA2121" s="188" t="inlineStr">
        <is>
          <t>https://security.snyk.io/vuln/CVE-2026-2040</t>
        </is>
      </c>
      <c r="AB2121" s="188" t="inlineStr">
        <is>
          <t>http://www.zerodayinitiative.com/advisories/ZDI-26-122/</t>
        </is>
      </c>
      <c r="AC2121" s="188" t="n">
        <v>0</v>
      </c>
      <c r="AD2121" s="188" t="inlineStr"/>
    </row>
    <row r="2122">
      <c r="A2122" s="188" t="inlineStr">
        <is>
          <t>ZDI_ADVISORY</t>
        </is>
      </c>
      <c r="B2122" s="188" t="inlineStr">
        <is>
          <t>ZDI-26-121</t>
        </is>
      </c>
      <c r="C2122" s="188" t="inlineStr">
        <is>
          <t>ZDI Published 0-Day: ZDI-26-121: GIMP XWD File Parsing Out-Of-Bounds Write Remote Code Execution Vulnerability | CVEs: CVE-2026-2048 | Product: See ZDI advisory</t>
        </is>
      </c>
      <c r="D2122" s="188" t="n">
        <v>7.5</v>
      </c>
      <c r="E2122" s="188" t="inlineStr">
        <is>
          <t>HIGH</t>
        </is>
      </c>
      <c r="F2122" s="188" t="n">
        <v>3</v>
      </c>
      <c r="G2122" s="188" t="n">
        <v>3</v>
      </c>
      <c r="H2122" s="188" t="inlineStr">
        <is>
          <t>CRITICAL</t>
        </is>
      </c>
      <c r="I2122" s="188" t="n">
        <v>16.5</v>
      </c>
      <c r="J2122" s="188" t="inlineStr">
        <is>
          <t>NO</t>
        </is>
      </c>
      <c r="K2122" s="188" t="inlineStr">
        <is>
          <t>http://www.zerodayinitiative.com/advisories/ZDI-26-121/</t>
        </is>
      </c>
      <c r="L2122" s="188" t="inlineStr">
        <is>
          <t>2026-02-19 06:00</t>
        </is>
      </c>
      <c r="M2122" s="188" t="inlineStr">
        <is>
          <t>CHECK_VENDOR - ZDI published, vendor patch may be pending</t>
        </is>
      </c>
      <c r="N2122" s="188" t="inlineStr">
        <is>
          <t>http://www.zerodayinitiative.com/advisories/ZDI-26-121/</t>
        </is>
      </c>
      <c r="O2122" s="188" t="inlineStr">
        <is>
          <t>ZDI-published 0-day: apply vendor patch IMMEDIATELY | CVEs: CVE-2026-2048</t>
        </is>
      </c>
      <c r="P2122" s="188" t="inlineStr">
        <is>
          <t>See ZDI advisory</t>
        </is>
      </c>
      <c r="Q2122" s="188" t="inlineStr">
        <is>
          <t>P1</t>
        </is>
      </c>
      <c r="R2122" s="188" t="inlineStr">
        <is>
          <t>🎯 ZDI-published 0-day: apply vendor patch immediately | ⚠️ Check ZDI advisory page for workarounds | 🔍 Hunt for exploitation attempts in logs</t>
        </is>
      </c>
      <c r="S2122" s="188" t="inlineStr">
        <is>
          <t>ZDI 0-day advisory - no IP context</t>
        </is>
      </c>
      <c r="T2122" s="188" t="n">
        <v>0</v>
      </c>
      <c r="U2122" s="188" t="n">
        <v>0</v>
      </c>
      <c r="V2122" s="188" t="inlineStr">
        <is>
          <t>T1190:Exploit Public-Facing Application | T1210:Exploitation of Remote Services | T1203:Exploitation for Client Execution</t>
        </is>
      </c>
      <c r="W2122" s="188" t="n">
        <v>2</v>
      </c>
      <c r="X2122" s="188" t="inlineStr">
        <is>
          <t>CONFIRMED (82%)</t>
        </is>
      </c>
      <c r="Y2122" s="188" t="inlineStr">
        <is>
          <t>YES</t>
        </is>
      </c>
      <c r="Z2122" s="188" t="inlineStr">
        <is>
          <t>CHECK_VENDOR</t>
        </is>
      </c>
      <c r="AA2122" s="188" t="inlineStr">
        <is>
          <t>https://security.snyk.io/vuln/CVE-2026-2048</t>
        </is>
      </c>
      <c r="AB2122" s="188" t="inlineStr">
        <is>
          <t>http://www.zerodayinitiative.com/advisories/ZDI-26-121/</t>
        </is>
      </c>
      <c r="AC2122" s="188" t="n">
        <v>0</v>
      </c>
      <c r="AD2122" s="188" t="inlineStr"/>
    </row>
    <row r="2123">
      <c r="A2123" s="188" t="inlineStr">
        <is>
          <t>ZDI_ADVISORY</t>
        </is>
      </c>
      <c r="B2123" s="188" t="inlineStr">
        <is>
          <t>ZDI-26-120</t>
        </is>
      </c>
      <c r="C2123" s="188" t="inlineStr">
        <is>
          <t>ZDI Published 0-Day: ZDI-26-120: GIMP ICNS File Parsing Heap-based Buffer Overflow Remote Code Execution Vulnerability | CVEs: CVE-2026-2047 | Product: See ZDI advisory</t>
        </is>
      </c>
      <c r="D2123" s="188" t="n">
        <v>7.5</v>
      </c>
      <c r="E2123" s="188" t="inlineStr">
        <is>
          <t>HIGH</t>
        </is>
      </c>
      <c r="F2123" s="188" t="n">
        <v>3</v>
      </c>
      <c r="G2123" s="188" t="n">
        <v>3</v>
      </c>
      <c r="H2123" s="188" t="inlineStr">
        <is>
          <t>CRITICAL</t>
        </is>
      </c>
      <c r="I2123" s="188" t="n">
        <v>16.5</v>
      </c>
      <c r="J2123" s="188" t="inlineStr">
        <is>
          <t>NO</t>
        </is>
      </c>
      <c r="K2123" s="188" t="inlineStr">
        <is>
          <t>http://www.zerodayinitiative.com/advisories/ZDI-26-120/</t>
        </is>
      </c>
      <c r="L2123" s="188" t="inlineStr">
        <is>
          <t>2026-02-19 06:00</t>
        </is>
      </c>
      <c r="M2123" s="188" t="inlineStr">
        <is>
          <t>CHECK_VENDOR - ZDI published, vendor patch may be pending</t>
        </is>
      </c>
      <c r="N2123" s="188" t="inlineStr">
        <is>
          <t>http://www.zerodayinitiative.com/advisories/ZDI-26-120/</t>
        </is>
      </c>
      <c r="O2123" s="188" t="inlineStr">
        <is>
          <t>ZDI-published 0-day: apply vendor patch IMMEDIATELY | CVEs: CVE-2026-2047</t>
        </is>
      </c>
      <c r="P2123" s="188" t="inlineStr">
        <is>
          <t>See ZDI advisory</t>
        </is>
      </c>
      <c r="Q2123" s="188" t="inlineStr">
        <is>
          <t>P1</t>
        </is>
      </c>
      <c r="R2123" s="188" t="inlineStr">
        <is>
          <t>🎯 ZDI-published 0-day: apply vendor patch immediately | ⚠️ Check ZDI advisory page for workarounds | 🔍 Hunt for exploitation attempts in logs</t>
        </is>
      </c>
      <c r="S2123" s="188" t="inlineStr">
        <is>
          <t>ZDI 0-day advisory - no IP context</t>
        </is>
      </c>
      <c r="T2123" s="188" t="n">
        <v>0</v>
      </c>
      <c r="U2123" s="188" t="n">
        <v>0</v>
      </c>
      <c r="V2123" s="188" t="inlineStr">
        <is>
          <t>T1190:Exploit Public-Facing Application | T1210:Exploitation of Remote Services | T1203:Exploitation for Client Execution</t>
        </is>
      </c>
      <c r="W2123" s="188" t="n">
        <v>2</v>
      </c>
      <c r="X2123" s="188" t="inlineStr">
        <is>
          <t>CONFIRMED (82%)</t>
        </is>
      </c>
      <c r="Y2123" s="188" t="inlineStr">
        <is>
          <t>YES</t>
        </is>
      </c>
      <c r="Z2123" s="188" t="inlineStr">
        <is>
          <t>CHECK_VENDOR</t>
        </is>
      </c>
      <c r="AA2123" s="188" t="inlineStr">
        <is>
          <t>https://security.snyk.io/vuln/CVE-2026-2047</t>
        </is>
      </c>
      <c r="AB2123" s="188" t="inlineStr">
        <is>
          <t>http://www.zerodayinitiative.com/advisories/ZDI-26-120/</t>
        </is>
      </c>
      <c r="AC2123" s="188" t="n">
        <v>0</v>
      </c>
      <c r="AD2123" s="188" t="inlineStr"/>
    </row>
    <row r="2124">
      <c r="A2124" s="188" t="inlineStr">
        <is>
          <t>ZDI_ADVISORY</t>
        </is>
      </c>
      <c r="B2124" s="188" t="inlineStr">
        <is>
          <t>ZDI-26-119</t>
        </is>
      </c>
      <c r="C2124" s="188" t="inlineStr">
        <is>
          <t>ZDI Published 0-Day: ZDI-26-119: GIMP XWD File Parsing Out-Of-Bounds Write Remote Code Execution Vulnerability | CVEs: CVE-2026-2045 | Product: See ZDI advisory</t>
        </is>
      </c>
      <c r="D2124" s="188" t="n">
        <v>7.5</v>
      </c>
      <c r="E2124" s="188" t="inlineStr">
        <is>
          <t>HIGH</t>
        </is>
      </c>
      <c r="F2124" s="188" t="n">
        <v>3</v>
      </c>
      <c r="G2124" s="188" t="n">
        <v>3</v>
      </c>
      <c r="H2124" s="188" t="inlineStr">
        <is>
          <t>CRITICAL</t>
        </is>
      </c>
      <c r="I2124" s="188" t="n">
        <v>16.5</v>
      </c>
      <c r="J2124" s="188" t="inlineStr">
        <is>
          <t>NO</t>
        </is>
      </c>
      <c r="K2124" s="188" t="inlineStr">
        <is>
          <t>http://www.zerodayinitiative.com/advisories/ZDI-26-119/</t>
        </is>
      </c>
      <c r="L2124" s="188" t="inlineStr">
        <is>
          <t>2026-02-19 06:00</t>
        </is>
      </c>
      <c r="M2124" s="188" t="inlineStr">
        <is>
          <t>CHECK_VENDOR - ZDI published, vendor patch may be pending</t>
        </is>
      </c>
      <c r="N2124" s="188" t="inlineStr">
        <is>
          <t>http://www.zerodayinitiative.com/advisories/ZDI-26-119/</t>
        </is>
      </c>
      <c r="O2124" s="188" t="inlineStr">
        <is>
          <t>ZDI-published 0-day: apply vendor patch IMMEDIATELY | CVEs: CVE-2026-2045</t>
        </is>
      </c>
      <c r="P2124" s="188" t="inlineStr">
        <is>
          <t>See ZDI advisory</t>
        </is>
      </c>
      <c r="Q2124" s="188" t="inlineStr">
        <is>
          <t>P1</t>
        </is>
      </c>
      <c r="R2124" s="188" t="inlineStr">
        <is>
          <t>🎯 ZDI-published 0-day: apply vendor patch immediately | ⚠️ Check ZDI advisory page for workarounds | 🔍 Hunt for exploitation attempts in logs</t>
        </is>
      </c>
      <c r="S2124" s="188" t="inlineStr">
        <is>
          <t>ZDI 0-day advisory - no IP context</t>
        </is>
      </c>
      <c r="T2124" s="188" t="n">
        <v>0</v>
      </c>
      <c r="U2124" s="188" t="n">
        <v>0</v>
      </c>
      <c r="V2124" s="188" t="inlineStr">
        <is>
          <t>T1190:Exploit Public-Facing Application | T1210:Exploitation of Remote Services | T1203:Exploitation for Client Execution</t>
        </is>
      </c>
      <c r="W2124" s="188" t="n">
        <v>2</v>
      </c>
      <c r="X2124" s="188" t="inlineStr">
        <is>
          <t>CONFIRMED (82%)</t>
        </is>
      </c>
      <c r="Y2124" s="188" t="inlineStr">
        <is>
          <t>YES</t>
        </is>
      </c>
      <c r="Z2124" s="188" t="inlineStr">
        <is>
          <t>CHECK_VENDOR</t>
        </is>
      </c>
      <c r="AA2124" s="188" t="inlineStr">
        <is>
          <t>https://security.snyk.io/vuln/CVE-2026-2045</t>
        </is>
      </c>
      <c r="AB2124" s="188" t="inlineStr">
        <is>
          <t>http://www.zerodayinitiative.com/advisories/ZDI-26-119/</t>
        </is>
      </c>
      <c r="AC2124" s="188" t="n">
        <v>0</v>
      </c>
      <c r="AD2124" s="188" t="inlineStr"/>
    </row>
    <row r="2125">
      <c r="A2125" s="188" t="inlineStr">
        <is>
          <t>ZDI_ADVISORY</t>
        </is>
      </c>
      <c r="B2125" s="188" t="inlineStr">
        <is>
          <t>ZDI-26-118</t>
        </is>
      </c>
      <c r="C2125" s="188" t="inlineStr">
        <is>
          <t>ZDI Published 0-Day: ZDI-26-118: GIMP PGM File Parsing Uninitialized Memory Remote Code Execution Vulnerability | CVEs: CVE-2026-2044 | Product: See ZDI advisory</t>
        </is>
      </c>
      <c r="D2125" s="188" t="n">
        <v>7.5</v>
      </c>
      <c r="E2125" s="188" t="inlineStr">
        <is>
          <t>HIGH</t>
        </is>
      </c>
      <c r="F2125" s="188" t="n">
        <v>3</v>
      </c>
      <c r="G2125" s="188" t="n">
        <v>3</v>
      </c>
      <c r="H2125" s="188" t="inlineStr">
        <is>
          <t>CRITICAL</t>
        </is>
      </c>
      <c r="I2125" s="188" t="n">
        <v>16.5</v>
      </c>
      <c r="J2125" s="188" t="inlineStr">
        <is>
          <t>NO</t>
        </is>
      </c>
      <c r="K2125" s="188" t="inlineStr">
        <is>
          <t>http://www.zerodayinitiative.com/advisories/ZDI-26-118/</t>
        </is>
      </c>
      <c r="L2125" s="188" t="inlineStr">
        <is>
          <t>2026-02-19 06:00</t>
        </is>
      </c>
      <c r="M2125" s="188" t="inlineStr">
        <is>
          <t>CHECK_VENDOR - ZDI published, vendor patch may be pending</t>
        </is>
      </c>
      <c r="N2125" s="188" t="inlineStr">
        <is>
          <t>http://www.zerodayinitiative.com/advisories/ZDI-26-118/</t>
        </is>
      </c>
      <c r="O2125" s="188" t="inlineStr">
        <is>
          <t>ZDI-published 0-day: apply vendor patch IMMEDIATELY | CVEs: CVE-2026-2044</t>
        </is>
      </c>
      <c r="P2125" s="188" t="inlineStr">
        <is>
          <t>See ZDI advisory</t>
        </is>
      </c>
      <c r="Q2125" s="188" t="inlineStr">
        <is>
          <t>P1</t>
        </is>
      </c>
      <c r="R2125" s="188" t="inlineStr">
        <is>
          <t>🎯 ZDI-published 0-day: apply vendor patch immediately | ⚠️ Check ZDI advisory page for workarounds | 🔍 Hunt for exploitation attempts in logs</t>
        </is>
      </c>
      <c r="S2125" s="188" t="inlineStr">
        <is>
          <t>ZDI 0-day advisory - no IP context</t>
        </is>
      </c>
      <c r="T2125" s="188" t="n">
        <v>0</v>
      </c>
      <c r="U2125" s="188" t="n">
        <v>0</v>
      </c>
      <c r="V2125" s="188" t="inlineStr">
        <is>
          <t>T1190:Exploit Public-Facing Application | T1210:Exploitation of Remote Services</t>
        </is>
      </c>
      <c r="W2125" s="188" t="n">
        <v>2</v>
      </c>
      <c r="X2125" s="188" t="inlineStr">
        <is>
          <t>CONFIRMED (82%)</t>
        </is>
      </c>
      <c r="Y2125" s="188" t="inlineStr">
        <is>
          <t>YES</t>
        </is>
      </c>
      <c r="Z2125" s="188" t="inlineStr">
        <is>
          <t>CHECK_VENDOR</t>
        </is>
      </c>
      <c r="AA2125" s="188" t="inlineStr">
        <is>
          <t>https://security.snyk.io/vuln/CVE-2026-2044</t>
        </is>
      </c>
      <c r="AB2125" s="188" t="inlineStr">
        <is>
          <t>http://www.zerodayinitiative.com/advisories/ZDI-26-118/</t>
        </is>
      </c>
      <c r="AC2125" s="188" t="n">
        <v>0</v>
      </c>
      <c r="AD2125" s="188" t="inlineStr"/>
    </row>
    <row r="2126">
      <c r="A2126" s="188" t="inlineStr">
        <is>
          <t>ZDI_ADVISORY</t>
        </is>
      </c>
      <c r="B2126" s="188" t="inlineStr">
        <is>
          <t>ZDI-26-117</t>
        </is>
      </c>
      <c r="C2126" s="188" t="inlineStr">
        <is>
          <t>ZDI Published 0-Day: ZDI-26-117: RustDesk Client for Windows Transfer File Link Following Information Disclosure Vulnerability | CVEs: CVE-2026-2490 | Product: See ZDI advisory</t>
        </is>
      </c>
      <c r="D2126" s="188" t="n">
        <v>7.5</v>
      </c>
      <c r="E2126" s="188" t="inlineStr">
        <is>
          <t>HIGH</t>
        </is>
      </c>
      <c r="F2126" s="188" t="n">
        <v>3</v>
      </c>
      <c r="G2126" s="188" t="n">
        <v>3</v>
      </c>
      <c r="H2126" s="188" t="inlineStr">
        <is>
          <t>CRITICAL</t>
        </is>
      </c>
      <c r="I2126" s="188" t="n">
        <v>16.5</v>
      </c>
      <c r="J2126" s="188" t="inlineStr">
        <is>
          <t>NO</t>
        </is>
      </c>
      <c r="K2126" s="188" t="inlineStr">
        <is>
          <t>http://www.zerodayinitiative.com/advisories/ZDI-26-117/</t>
        </is>
      </c>
      <c r="L2126" s="188" t="inlineStr">
        <is>
          <t>2026-02-19 06:00</t>
        </is>
      </c>
      <c r="M2126" s="188" t="inlineStr">
        <is>
          <t>CHECK_VENDOR - ZDI published, vendor patch may be pending</t>
        </is>
      </c>
      <c r="N2126" s="188" t="inlineStr">
        <is>
          <t>http://www.zerodayinitiative.com/advisories/ZDI-26-117/</t>
        </is>
      </c>
      <c r="O2126" s="188" t="inlineStr">
        <is>
          <t>ZDI-published 0-day: apply vendor patch IMMEDIATELY | CVEs: CVE-2026-2490</t>
        </is>
      </c>
      <c r="P2126" s="188" t="inlineStr">
        <is>
          <t>See ZDI advisory</t>
        </is>
      </c>
      <c r="Q2126" s="188" t="inlineStr">
        <is>
          <t>P1</t>
        </is>
      </c>
      <c r="R2126" s="188" t="inlineStr">
        <is>
          <t>🎯 ZDI-published 0-day: apply vendor patch immediately | ⚠️ Check ZDI advisory page for workarounds | 🔍 Hunt for exploitation attempts in logs</t>
        </is>
      </c>
      <c r="S2126" s="188" t="inlineStr">
        <is>
          <t>ZDI 0-day advisory - no IP context</t>
        </is>
      </c>
      <c r="T2126" s="188" t="n">
        <v>0.0001</v>
      </c>
      <c r="U2126" s="188" t="n">
        <v>0.0291</v>
      </c>
      <c r="V2126" s="188" t="inlineStr">
        <is>
          <t>T1213:Data from Information Repositories</t>
        </is>
      </c>
      <c r="W2126" s="188" t="n">
        <v>2</v>
      </c>
      <c r="X2126" s="188" t="inlineStr">
        <is>
          <t>CONFIRMED (82%)</t>
        </is>
      </c>
      <c r="Y2126" s="188" t="inlineStr">
        <is>
          <t>YES</t>
        </is>
      </c>
      <c r="Z2126" s="188" t="inlineStr">
        <is>
          <t>CHECK_VENDOR</t>
        </is>
      </c>
      <c r="AA2126" s="188" t="inlineStr">
        <is>
          <t>https://security.snyk.io/vuln/CVE-2026-2490</t>
        </is>
      </c>
      <c r="AB2126" s="188" t="inlineStr">
        <is>
          <t>http://www.zerodayinitiative.com/advisories/ZDI-26-117/</t>
        </is>
      </c>
      <c r="AC2126" s="188" t="n">
        <v>0</v>
      </c>
      <c r="AD2126" s="188" t="inlineStr"/>
    </row>
    <row r="2127">
      <c r="A2127" s="188" t="inlineStr">
        <is>
          <t>ZDI_ADVISORY</t>
        </is>
      </c>
      <c r="B2127" s="188" t="inlineStr">
        <is>
          <t>ZDI-26-116</t>
        </is>
      </c>
      <c r="C2127" s="188" t="inlineStr">
        <is>
          <t>ZDI Published 0-Day: ZDI-26-116: TensorFlow HDF5 Library Uncontrolled Search Path Element Local Privilege Escalation Vulnerability | CVEs: CVE-2026-2492 | Product: See ZDI advisory</t>
        </is>
      </c>
      <c r="D2127" s="188" t="n">
        <v>7.5</v>
      </c>
      <c r="E2127" s="188" t="inlineStr">
        <is>
          <t>HIGH</t>
        </is>
      </c>
      <c r="F2127" s="188" t="n">
        <v>3</v>
      </c>
      <c r="G2127" s="188" t="n">
        <v>3</v>
      </c>
      <c r="H2127" s="188" t="inlineStr">
        <is>
          <t>CRITICAL</t>
        </is>
      </c>
      <c r="I2127" s="188" t="n">
        <v>16.5</v>
      </c>
      <c r="J2127" s="188" t="inlineStr">
        <is>
          <t>NO</t>
        </is>
      </c>
      <c r="K2127" s="188" t="inlineStr">
        <is>
          <t>http://www.zerodayinitiative.com/advisories/ZDI-26-116/</t>
        </is>
      </c>
      <c r="L2127" s="188" t="inlineStr">
        <is>
          <t>2026-02-19 06:00</t>
        </is>
      </c>
      <c r="M2127" s="188" t="inlineStr">
        <is>
          <t>CHECK_VENDOR - ZDI published, vendor patch may be pending</t>
        </is>
      </c>
      <c r="N2127" s="188" t="inlineStr">
        <is>
          <t>http://www.zerodayinitiative.com/advisories/ZDI-26-116/</t>
        </is>
      </c>
      <c r="O2127" s="188" t="inlineStr">
        <is>
          <t>ZDI-published 0-day: apply vendor patch IMMEDIATELY | CVEs: CVE-2026-2492</t>
        </is>
      </c>
      <c r="P2127" s="188" t="inlineStr">
        <is>
          <t>See ZDI advisory</t>
        </is>
      </c>
      <c r="Q2127" s="188" t="inlineStr">
        <is>
          <t>P1</t>
        </is>
      </c>
      <c r="R2127" s="188" t="inlineStr">
        <is>
          <t>🎯 ZDI-published 0-day: apply vendor patch immediately | ⚠️ Check ZDI advisory page for workarounds | 🔍 Hunt for exploitation attempts in logs</t>
        </is>
      </c>
      <c r="S2127" s="188" t="inlineStr">
        <is>
          <t>ZDI 0-day advisory - no IP context</t>
        </is>
      </c>
      <c r="T2127" s="188" t="n">
        <v>0.0001</v>
      </c>
      <c r="U2127" s="188" t="n">
        <v>0.0244</v>
      </c>
      <c r="V2127" s="188" t="inlineStr">
        <is>
          <t>T1068:Exploitation for Privilege Escalation</t>
        </is>
      </c>
      <c r="W2127" s="188" t="n">
        <v>2</v>
      </c>
      <c r="X2127" s="188" t="inlineStr">
        <is>
          <t>CONFIRMED (82%)</t>
        </is>
      </c>
      <c r="Y2127" s="188" t="inlineStr">
        <is>
          <t>YES</t>
        </is>
      </c>
      <c r="Z2127" s="188" t="inlineStr">
        <is>
          <t>CHECK_VENDOR</t>
        </is>
      </c>
      <c r="AA2127" s="188" t="inlineStr">
        <is>
          <t>https://security.snyk.io/vuln/CVE-2026-2492</t>
        </is>
      </c>
      <c r="AB2127" s="188" t="inlineStr">
        <is>
          <t>http://www.zerodayinitiative.com/advisories/ZDI-26-116/</t>
        </is>
      </c>
      <c r="AC2127" s="188" t="n">
        <v>0</v>
      </c>
      <c r="AD2127" s="188" t="inlineStr"/>
    </row>
    <row r="2128">
      <c r="A2128" s="188" t="inlineStr">
        <is>
          <t>ZDI_ADVISORY</t>
        </is>
      </c>
      <c r="B2128" s="188" t="inlineStr">
        <is>
          <t>ZDI-26-115</t>
        </is>
      </c>
      <c r="C2128" s="188" t="inlineStr">
        <is>
          <t>ZDI Published 0-Day: ZDI-26-115: Fortinet FortiClient VPN FCConfig Utility Link Following Local Privilege Escalation Vulnerability | CVEs: CVE-2025-62676 | Product: See ZDI advisory</t>
        </is>
      </c>
      <c r="D2128" s="188" t="n">
        <v>7.5</v>
      </c>
      <c r="E2128" s="188" t="inlineStr">
        <is>
          <t>HIGH</t>
        </is>
      </c>
      <c r="F2128" s="188" t="n">
        <v>3</v>
      </c>
      <c r="G2128" s="188" t="n">
        <v>3</v>
      </c>
      <c r="H2128" s="188" t="inlineStr">
        <is>
          <t>CRITICAL</t>
        </is>
      </c>
      <c r="I2128" s="188" t="n">
        <v>16.5</v>
      </c>
      <c r="J2128" s="188" t="inlineStr">
        <is>
          <t>NO</t>
        </is>
      </c>
      <c r="K2128" s="188" t="inlineStr">
        <is>
          <t>http://www.zerodayinitiative.com/advisories/ZDI-26-115/</t>
        </is>
      </c>
      <c r="L2128" s="188" t="inlineStr">
        <is>
          <t>2026-02-19 06:00</t>
        </is>
      </c>
      <c r="M2128" s="188" t="inlineStr">
        <is>
          <t>CHECK_VENDOR - ZDI published, vendor patch may be pending</t>
        </is>
      </c>
      <c r="N2128" s="188" t="inlineStr">
        <is>
          <t>http://www.zerodayinitiative.com/advisories/ZDI-26-115/</t>
        </is>
      </c>
      <c r="O2128" s="188" t="inlineStr">
        <is>
          <t>ZDI-published 0-day: apply vendor patch IMMEDIATELY | CVEs: CVE-2025-62676</t>
        </is>
      </c>
      <c r="P2128" s="188" t="inlineStr">
        <is>
          <t>See ZDI advisory</t>
        </is>
      </c>
      <c r="Q2128" s="188" t="inlineStr">
        <is>
          <t>P1</t>
        </is>
      </c>
      <c r="R2128" s="188" t="inlineStr">
        <is>
          <t>🎯 ZDI-published 0-day: apply vendor patch immediately | ⚠️ Check ZDI advisory page for workarounds | 🔍 Hunt for exploitation attempts in logs</t>
        </is>
      </c>
      <c r="S2128" s="188" t="inlineStr">
        <is>
          <t>ZDI 0-day advisory - no IP context</t>
        </is>
      </c>
      <c r="T2128" s="188" t="n">
        <v>0</v>
      </c>
      <c r="U2128" s="188" t="n">
        <v>0</v>
      </c>
      <c r="V2128" s="188" t="inlineStr">
        <is>
          <t>T1068:Exploitation for Privilege Escalation | T1133:External Remote Services</t>
        </is>
      </c>
      <c r="W2128" s="188" t="n">
        <v>2</v>
      </c>
      <c r="X2128" s="188" t="inlineStr">
        <is>
          <t>CONFIRMED (82%)</t>
        </is>
      </c>
      <c r="Y2128" s="188" t="inlineStr">
        <is>
          <t>YES</t>
        </is>
      </c>
      <c r="Z2128" s="188" t="inlineStr">
        <is>
          <t>CHECK_VENDOR</t>
        </is>
      </c>
      <c r="AA2128" s="188" t="inlineStr">
        <is>
          <t>https://security.snyk.io/vuln/CVE-2025-62676</t>
        </is>
      </c>
      <c r="AB2128" s="188" t="inlineStr">
        <is>
          <t>http://www.zerodayinitiative.com/advisories/ZDI-26-115/</t>
        </is>
      </c>
      <c r="AC2128" s="188" t="n">
        <v>0</v>
      </c>
      <c r="AD2128" s="188" t="inlineStr"/>
    </row>
    <row r="2129">
      <c r="A2129" s="188" t="inlineStr">
        <is>
          <t>ZDI_ADVISORY</t>
        </is>
      </c>
      <c r="B2129" s="188" t="inlineStr">
        <is>
          <t>ZDI-26-114</t>
        </is>
      </c>
      <c r="C2129" s="188" t="inlineStr">
        <is>
          <t>ZDI Published 0-Day: ZDI-26-114: Dassault Systèmes eDrawings Viewer EPRT File Parsing Out-Of-Bounds Write Remote Code Execution Vulnerability | CVEs: CVE-2026-1335 | Product: See ZDI advisory</t>
        </is>
      </c>
      <c r="D2129" s="188" t="n">
        <v>7.5</v>
      </c>
      <c r="E2129" s="188" t="inlineStr">
        <is>
          <t>HIGH</t>
        </is>
      </c>
      <c r="F2129" s="188" t="n">
        <v>3</v>
      </c>
      <c r="G2129" s="188" t="n">
        <v>3</v>
      </c>
      <c r="H2129" s="188" t="inlineStr">
        <is>
          <t>CRITICAL</t>
        </is>
      </c>
      <c r="I2129" s="188" t="n">
        <v>16.5</v>
      </c>
      <c r="J2129" s="188" t="inlineStr">
        <is>
          <t>NO</t>
        </is>
      </c>
      <c r="K2129" s="188" t="inlineStr">
        <is>
          <t>http://www.zerodayinitiative.com/advisories/ZDI-26-114/</t>
        </is>
      </c>
      <c r="L2129" s="188" t="inlineStr">
        <is>
          <t>2026-02-19 06:00</t>
        </is>
      </c>
      <c r="M2129" s="188" t="inlineStr">
        <is>
          <t>CHECK_VENDOR - ZDI published, vendor patch may be pending</t>
        </is>
      </c>
      <c r="N2129" s="188" t="inlineStr">
        <is>
          <t>http://www.zerodayinitiative.com/advisories/ZDI-26-114/</t>
        </is>
      </c>
      <c r="O2129" s="188" t="inlineStr">
        <is>
          <t>ZDI-published 0-day: apply vendor patch IMMEDIATELY | CVEs: CVE-2026-1335</t>
        </is>
      </c>
      <c r="P2129" s="188" t="inlineStr">
        <is>
          <t>See ZDI advisory</t>
        </is>
      </c>
      <c r="Q2129" s="188" t="inlineStr">
        <is>
          <t>P1</t>
        </is>
      </c>
      <c r="R2129" s="188" t="inlineStr">
        <is>
          <t>🎯 ZDI-published 0-day: apply vendor patch immediately | ⚠️ Check ZDI advisory page for workarounds | 🔍 Hunt for exploitation attempts in logs</t>
        </is>
      </c>
      <c r="S2129" s="188" t="inlineStr">
        <is>
          <t>ZDI 0-day advisory - no IP context</t>
        </is>
      </c>
      <c r="T2129" s="188" t="n">
        <v>0</v>
      </c>
      <c r="U2129" s="188" t="n">
        <v>0</v>
      </c>
      <c r="V2129" s="188" t="inlineStr">
        <is>
          <t>T1190:Exploit Public-Facing Application | T1210:Exploitation of Remote Services | T1203:Exploitation for Client Execution</t>
        </is>
      </c>
      <c r="W2129" s="188" t="n">
        <v>2</v>
      </c>
      <c r="X2129" s="188" t="inlineStr">
        <is>
          <t>CONFIRMED (82%)</t>
        </is>
      </c>
      <c r="Y2129" s="188" t="inlineStr">
        <is>
          <t>YES</t>
        </is>
      </c>
      <c r="Z2129" s="188" t="inlineStr">
        <is>
          <t>CHECK_VENDOR</t>
        </is>
      </c>
      <c r="AA2129" s="188" t="inlineStr">
        <is>
          <t>https://security.snyk.io/vuln/CVE-2026-1335</t>
        </is>
      </c>
      <c r="AB2129" s="188" t="inlineStr">
        <is>
          <t>http://www.zerodayinitiative.com/advisories/ZDI-26-114/</t>
        </is>
      </c>
      <c r="AC2129" s="188" t="n">
        <v>0</v>
      </c>
      <c r="AD2129" s="188" t="inlineStr"/>
    </row>
    <row r="2130">
      <c r="A2130" s="188" t="inlineStr">
        <is>
          <t>ZDI_ADVISORY</t>
        </is>
      </c>
      <c r="B2130" s="188" t="inlineStr">
        <is>
          <t>ZDI-26-113</t>
        </is>
      </c>
      <c r="C2130" s="188" t="inlineStr">
        <is>
          <t>ZDI Published 0-Day: ZDI-26-113: Dassault Systèmes eDrawings Viewer EPRT File Parsing Memory Corruption Remote Code Execution Vulnerability | CVEs: CVE-2026-1334 | Product: See ZDI advisory</t>
        </is>
      </c>
      <c r="D2130" s="188" t="n">
        <v>7.5</v>
      </c>
      <c r="E2130" s="188" t="inlineStr">
        <is>
          <t>HIGH</t>
        </is>
      </c>
      <c r="F2130" s="188" t="n">
        <v>3</v>
      </c>
      <c r="G2130" s="188" t="n">
        <v>3</v>
      </c>
      <c r="H2130" s="188" t="inlineStr">
        <is>
          <t>CRITICAL</t>
        </is>
      </c>
      <c r="I2130" s="188" t="n">
        <v>16.5</v>
      </c>
      <c r="J2130" s="188" t="inlineStr">
        <is>
          <t>NO</t>
        </is>
      </c>
      <c r="K2130" s="188" t="inlineStr">
        <is>
          <t>http://www.zerodayinitiative.com/advisories/ZDI-26-113/</t>
        </is>
      </c>
      <c r="L2130" s="188" t="inlineStr">
        <is>
          <t>2026-02-19 06:00</t>
        </is>
      </c>
      <c r="M2130" s="188" t="inlineStr">
        <is>
          <t>CHECK_VENDOR - ZDI published, vendor patch may be pending</t>
        </is>
      </c>
      <c r="N2130" s="188" t="inlineStr">
        <is>
          <t>http://www.zerodayinitiative.com/advisories/ZDI-26-113/</t>
        </is>
      </c>
      <c r="O2130" s="188" t="inlineStr">
        <is>
          <t>ZDI-published 0-day: apply vendor patch IMMEDIATELY | CVEs: CVE-2026-1334</t>
        </is>
      </c>
      <c r="P2130" s="188" t="inlineStr">
        <is>
          <t>See ZDI advisory</t>
        </is>
      </c>
      <c r="Q2130" s="188" t="inlineStr">
        <is>
          <t>P1</t>
        </is>
      </c>
      <c r="R2130" s="188" t="inlineStr">
        <is>
          <t>🎯 ZDI-published 0-day: apply vendor patch immediately | ⚠️ Check ZDI advisory page for workarounds | 🔍 Hunt for exploitation attempts in logs</t>
        </is>
      </c>
      <c r="S2130" s="188" t="inlineStr">
        <is>
          <t>ZDI 0-day advisory - no IP context</t>
        </is>
      </c>
      <c r="T2130" s="188" t="n">
        <v>0</v>
      </c>
      <c r="U2130" s="188" t="n">
        <v>0</v>
      </c>
      <c r="V2130" s="188" t="inlineStr">
        <is>
          <t>T1190:Exploit Public-Facing Application | T1210:Exploitation of Remote Services | T1203:Exploitation for Client Execution</t>
        </is>
      </c>
      <c r="W2130" s="188" t="n">
        <v>2</v>
      </c>
      <c r="X2130" s="188" t="inlineStr">
        <is>
          <t>CONFIRMED (82%)</t>
        </is>
      </c>
      <c r="Y2130" s="188" t="inlineStr">
        <is>
          <t>YES</t>
        </is>
      </c>
      <c r="Z2130" s="188" t="inlineStr">
        <is>
          <t>CHECK_VENDOR</t>
        </is>
      </c>
      <c r="AA2130" s="188" t="inlineStr">
        <is>
          <t>https://security.snyk.io/vuln/CVE-2026-1334</t>
        </is>
      </c>
      <c r="AB2130" s="188" t="inlineStr">
        <is>
          <t>http://www.zerodayinitiative.com/advisories/ZDI-26-113/</t>
        </is>
      </c>
      <c r="AC2130" s="188" t="n">
        <v>0</v>
      </c>
      <c r="AD2130" s="188" t="inlineStr"/>
    </row>
    <row r="2131">
      <c r="A2131" s="188" t="inlineStr">
        <is>
          <t>ZDI_ADVISORY</t>
        </is>
      </c>
      <c r="B2131" s="188" t="inlineStr">
        <is>
          <t>ZDI-26-112</t>
        </is>
      </c>
      <c r="C2131" s="188" t="inlineStr">
        <is>
          <t>ZDI Published 0-Day: ZDI-26-112: Dassault Systèmes eDrawings Viewer EPRT File Parsing Uninitialized Variable Remote Code Execution Vulnerability | CVEs: CVE-2026-1333 | Product: See ZDI advisory</t>
        </is>
      </c>
      <c r="D2131" s="188" t="n">
        <v>7.5</v>
      </c>
      <c r="E2131" s="188" t="inlineStr">
        <is>
          <t>HIGH</t>
        </is>
      </c>
      <c r="F2131" s="188" t="n">
        <v>3</v>
      </c>
      <c r="G2131" s="188" t="n">
        <v>3</v>
      </c>
      <c r="H2131" s="188" t="inlineStr">
        <is>
          <t>CRITICAL</t>
        </is>
      </c>
      <c r="I2131" s="188" t="n">
        <v>16.5</v>
      </c>
      <c r="J2131" s="188" t="inlineStr">
        <is>
          <t>NO</t>
        </is>
      </c>
      <c r="K2131" s="188" t="inlineStr">
        <is>
          <t>http://www.zerodayinitiative.com/advisories/ZDI-26-112/</t>
        </is>
      </c>
      <c r="L2131" s="188" t="inlineStr">
        <is>
          <t>2026-02-19 06:00</t>
        </is>
      </c>
      <c r="M2131" s="188" t="inlineStr">
        <is>
          <t>CHECK_VENDOR - ZDI published, vendor patch may be pending</t>
        </is>
      </c>
      <c r="N2131" s="188" t="inlineStr">
        <is>
          <t>http://www.zerodayinitiative.com/advisories/ZDI-26-112/</t>
        </is>
      </c>
      <c r="O2131" s="188" t="inlineStr">
        <is>
          <t>ZDI-published 0-day: apply vendor patch IMMEDIATELY | CVEs: CVE-2026-1333</t>
        </is>
      </c>
      <c r="P2131" s="188" t="inlineStr">
        <is>
          <t>See ZDI advisory</t>
        </is>
      </c>
      <c r="Q2131" s="188" t="inlineStr">
        <is>
          <t>P1</t>
        </is>
      </c>
      <c r="R2131" s="188" t="inlineStr">
        <is>
          <t>🎯 ZDI-published 0-day: apply vendor patch immediately | ⚠️ Check ZDI advisory page for workarounds | 🔍 Hunt for exploitation attempts in logs</t>
        </is>
      </c>
      <c r="S2131" s="188" t="inlineStr">
        <is>
          <t>ZDI 0-day advisory - no IP context</t>
        </is>
      </c>
      <c r="T2131" s="188" t="n">
        <v>0</v>
      </c>
      <c r="U2131" s="188" t="n">
        <v>0</v>
      </c>
      <c r="V2131" s="188" t="inlineStr">
        <is>
          <t>T1190:Exploit Public-Facing Application | T1210:Exploitation of Remote Services</t>
        </is>
      </c>
      <c r="W2131" s="188" t="n">
        <v>2</v>
      </c>
      <c r="X2131" s="188" t="inlineStr">
        <is>
          <t>CONFIRMED (82%)</t>
        </is>
      </c>
      <c r="Y2131" s="188" t="inlineStr">
        <is>
          <t>YES</t>
        </is>
      </c>
      <c r="Z2131" s="188" t="inlineStr">
        <is>
          <t>CHECK_VENDOR</t>
        </is>
      </c>
      <c r="AA2131" s="188" t="inlineStr">
        <is>
          <t>https://security.snyk.io/vuln/CVE-2026-1333</t>
        </is>
      </c>
      <c r="AB2131" s="188" t="inlineStr">
        <is>
          <t>http://www.zerodayinitiative.com/advisories/ZDI-26-112/</t>
        </is>
      </c>
      <c r="AC2131" s="188" t="n">
        <v>0</v>
      </c>
      <c r="AD2131" s="188" t="inlineStr"/>
    </row>
    <row r="2132">
      <c r="A2132" s="188" t="inlineStr">
        <is>
          <t>ZDI_ADVISORY</t>
        </is>
      </c>
      <c r="B2132" s="188" t="inlineStr">
        <is>
          <t>ZDI-26-111</t>
        </is>
      </c>
      <c r="C2132" s="188" t="inlineStr">
        <is>
          <t>ZDI Published 0-Day: ZDI-26-111: MLflow Use of Default Password Authentication Bypass Vulnerability | CVEs: CVE-2026-2635 | Product: See ZDI advisory</t>
        </is>
      </c>
      <c r="D2132" s="188" t="n">
        <v>7.5</v>
      </c>
      <c r="E2132" s="188" t="inlineStr">
        <is>
          <t>HIGH</t>
        </is>
      </c>
      <c r="F2132" s="188" t="n">
        <v>3</v>
      </c>
      <c r="G2132" s="188" t="n">
        <v>3</v>
      </c>
      <c r="H2132" s="188" t="inlineStr">
        <is>
          <t>CRITICAL</t>
        </is>
      </c>
      <c r="I2132" s="188" t="n">
        <v>16.5</v>
      </c>
      <c r="J2132" s="188" t="inlineStr">
        <is>
          <t>NO</t>
        </is>
      </c>
      <c r="K2132" s="188" t="inlineStr">
        <is>
          <t>http://www.zerodayinitiative.com/advisories/ZDI-26-111/</t>
        </is>
      </c>
      <c r="L2132" s="188" t="inlineStr">
        <is>
          <t>2026-02-19 06:00</t>
        </is>
      </c>
      <c r="M2132" s="188" t="inlineStr">
        <is>
          <t>CHECK_VENDOR - ZDI published, vendor patch may be pending</t>
        </is>
      </c>
      <c r="N2132" s="188" t="inlineStr">
        <is>
          <t>http://www.zerodayinitiative.com/advisories/ZDI-26-111/</t>
        </is>
      </c>
      <c r="O2132" s="188" t="inlineStr">
        <is>
          <t>ZDI-published 0-day: apply vendor patch IMMEDIATELY | CVEs: CVE-2026-2635</t>
        </is>
      </c>
      <c r="P2132" s="188" t="inlineStr">
        <is>
          <t>See ZDI advisory</t>
        </is>
      </c>
      <c r="Q2132" s="188" t="inlineStr">
        <is>
          <t>P1</t>
        </is>
      </c>
      <c r="R2132" s="188" t="inlineStr">
        <is>
          <t>🎯 ZDI-published 0-day: apply vendor patch immediately | ⚠️ Check ZDI advisory page for workarounds | 🔍 Hunt for exploitation attempts in logs</t>
        </is>
      </c>
      <c r="S2132" s="188" t="inlineStr">
        <is>
          <t>ZDI 0-day advisory - no IP context</t>
        </is>
      </c>
      <c r="T2132" s="188" t="n">
        <v>0.0117</v>
      </c>
      <c r="U2132" s="188" t="n">
        <v>0.7835</v>
      </c>
      <c r="V2132" s="188" t="inlineStr">
        <is>
          <t>T1078:Valid Accounts</t>
        </is>
      </c>
      <c r="W2132" s="188" t="n">
        <v>2</v>
      </c>
      <c r="X2132" s="188" t="inlineStr">
        <is>
          <t>CONFIRMED (82%)</t>
        </is>
      </c>
      <c r="Y2132" s="188" t="inlineStr">
        <is>
          <t>YES</t>
        </is>
      </c>
      <c r="Z2132" s="188" t="inlineStr">
        <is>
          <t>CHECK_VENDOR</t>
        </is>
      </c>
      <c r="AA2132" s="188" t="inlineStr">
        <is>
          <t>https://security.snyk.io/vuln/CVE-2026-2635</t>
        </is>
      </c>
      <c r="AB2132" s="188" t="inlineStr">
        <is>
          <t>http://www.zerodayinitiative.com/advisories/ZDI-26-111/</t>
        </is>
      </c>
      <c r="AC2132" s="188" t="n">
        <v>0</v>
      </c>
      <c r="AD2132" s="188" t="inlineStr"/>
    </row>
    <row r="2133">
      <c r="A2133" s="188" t="inlineStr">
        <is>
          <t>ZDI_ADVISORY</t>
        </is>
      </c>
      <c r="B2133" s="188" t="inlineStr">
        <is>
          <t>ZDI-26-110</t>
        </is>
      </c>
      <c r="C2133" s="188" t="inlineStr">
        <is>
          <t>ZDI Published 0-Day: ZDI-26-110: Bosch Rexroth IndraWorks Print Settings File Parsing Deserialization Of Untrusted Data Remote Code Execution Vulnerability | CVEs: CVE-2025-60038, CVE-2025-60037 | Product: See ZDI advisory</t>
        </is>
      </c>
      <c r="D2133" s="188" t="n">
        <v>7.5</v>
      </c>
      <c r="E2133" s="188" t="inlineStr">
        <is>
          <t>HIGH</t>
        </is>
      </c>
      <c r="F2133" s="188" t="n">
        <v>3</v>
      </c>
      <c r="G2133" s="188" t="n">
        <v>3</v>
      </c>
      <c r="H2133" s="188" t="inlineStr">
        <is>
          <t>CRITICAL</t>
        </is>
      </c>
      <c r="I2133" s="188" t="n">
        <v>16.5</v>
      </c>
      <c r="J2133" s="188" t="inlineStr">
        <is>
          <t>NO</t>
        </is>
      </c>
      <c r="K2133" s="188" t="inlineStr">
        <is>
          <t>http://www.zerodayinitiative.com/advisories/ZDI-26-110/</t>
        </is>
      </c>
      <c r="L2133" s="188" t="inlineStr">
        <is>
          <t>2026-02-19 06:00</t>
        </is>
      </c>
      <c r="M2133" s="188" t="inlineStr">
        <is>
          <t>CHECK_VENDOR - ZDI published, vendor patch may be pending</t>
        </is>
      </c>
      <c r="N2133" s="188" t="inlineStr">
        <is>
          <t>http://www.zerodayinitiative.com/advisories/ZDI-26-110/</t>
        </is>
      </c>
      <c r="O2133" s="188" t="inlineStr">
        <is>
          <t>ZDI-published 0-day: apply vendor patch IMMEDIATELY | CVEs: CVE-2025-60038, CVE-2025-60037</t>
        </is>
      </c>
      <c r="P2133" s="188" t="inlineStr">
        <is>
          <t>See ZDI advisory</t>
        </is>
      </c>
      <c r="Q2133" s="188" t="inlineStr">
        <is>
          <t>P1</t>
        </is>
      </c>
      <c r="R2133" s="188" t="inlineStr">
        <is>
          <t>🎯 ZDI-published 0-day: apply vendor patch immediately | ⚠️ Check ZDI advisory page for workarounds | 🔍 Hunt for exploitation attempts in logs</t>
        </is>
      </c>
      <c r="S2133" s="188" t="inlineStr">
        <is>
          <t>ZDI 0-day advisory - no IP context</t>
        </is>
      </c>
      <c r="T2133" s="188" t="n">
        <v>0</v>
      </c>
      <c r="U2133" s="188" t="n">
        <v>0</v>
      </c>
      <c r="V2133" s="188" t="inlineStr">
        <is>
          <t>T1190:Exploit Public-Facing Application | T1210:Exploitation of Remote Services | T1059:Command and Scripting Interpreter</t>
        </is>
      </c>
      <c r="W2133" s="188" t="n">
        <v>2</v>
      </c>
      <c r="X2133" s="188" t="inlineStr">
        <is>
          <t>CONFIRMED (82%)</t>
        </is>
      </c>
      <c r="Y2133" s="188" t="inlineStr">
        <is>
          <t>YES</t>
        </is>
      </c>
      <c r="Z2133" s="188" t="inlineStr">
        <is>
          <t>CHECK_VENDOR</t>
        </is>
      </c>
      <c r="AA2133" s="188" t="inlineStr">
        <is>
          <t>https://security.snyk.io/vuln/CVE-2025-60038</t>
        </is>
      </c>
      <c r="AB2133" s="188" t="inlineStr">
        <is>
          <t>http://www.zerodayinitiative.com/advisories/ZDI-26-110/</t>
        </is>
      </c>
      <c r="AC2133" s="188" t="n">
        <v>0</v>
      </c>
      <c r="AD2133" s="188" t="inlineStr"/>
    </row>
    <row r="2134">
      <c r="A2134" s="188" t="inlineStr">
        <is>
          <t>ZDI_ADVISORY</t>
        </is>
      </c>
      <c r="B2134" s="188" t="inlineStr">
        <is>
          <t>ZDI-26-109</t>
        </is>
      </c>
      <c r="C2134" s="188" t="inlineStr">
        <is>
          <t>ZDI Published 0-Day: ZDI-26-109: Bosch Rexroth IndraWorks OPC.TestClient XML File Parsing Deserialization Of Untrusted Data Remote Code Execution Vulnerability | CVEs: CVE-2025-60035 | Product: See ZDI advisory</t>
        </is>
      </c>
      <c r="D2134" s="188" t="n">
        <v>7.5</v>
      </c>
      <c r="E2134" s="188" t="inlineStr">
        <is>
          <t>HIGH</t>
        </is>
      </c>
      <c r="F2134" s="188" t="n">
        <v>3</v>
      </c>
      <c r="G2134" s="188" t="n">
        <v>3</v>
      </c>
      <c r="H2134" s="188" t="inlineStr">
        <is>
          <t>CRITICAL</t>
        </is>
      </c>
      <c r="I2134" s="188" t="n">
        <v>16.5</v>
      </c>
      <c r="J2134" s="188" t="inlineStr">
        <is>
          <t>NO</t>
        </is>
      </c>
      <c r="K2134" s="188" t="inlineStr">
        <is>
          <t>http://www.zerodayinitiative.com/advisories/ZDI-26-109/</t>
        </is>
      </c>
      <c r="L2134" s="188" t="inlineStr">
        <is>
          <t>2026-02-19 06:00</t>
        </is>
      </c>
      <c r="M2134" s="188" t="inlineStr">
        <is>
          <t>CHECK_VENDOR - ZDI published, vendor patch may be pending</t>
        </is>
      </c>
      <c r="N2134" s="188" t="inlineStr">
        <is>
          <t>http://www.zerodayinitiative.com/advisories/ZDI-26-109/</t>
        </is>
      </c>
      <c r="O2134" s="188" t="inlineStr">
        <is>
          <t>ZDI-published 0-day: apply vendor patch IMMEDIATELY | CVEs: CVE-2025-60035</t>
        </is>
      </c>
      <c r="P2134" s="188" t="inlineStr">
        <is>
          <t>See ZDI advisory</t>
        </is>
      </c>
      <c r="Q2134" s="188" t="inlineStr">
        <is>
          <t>P1</t>
        </is>
      </c>
      <c r="R2134" s="188" t="inlineStr">
        <is>
          <t>🎯 ZDI-published 0-day: apply vendor patch immediately | ⚠️ Check ZDI advisory page for workarounds | 🔍 Hunt for exploitation attempts in logs</t>
        </is>
      </c>
      <c r="S2134" s="188" t="inlineStr">
        <is>
          <t>ZDI 0-day advisory - no IP context</t>
        </is>
      </c>
      <c r="T2134" s="188" t="n">
        <v>0</v>
      </c>
      <c r="U2134" s="188" t="n">
        <v>0</v>
      </c>
      <c r="V2134" s="188" t="inlineStr">
        <is>
          <t>T1190:Exploit Public-Facing Application | T1210:Exploitation of Remote Services | T1059:Command and Scripting Interpreter</t>
        </is>
      </c>
      <c r="W2134" s="188" t="n">
        <v>2</v>
      </c>
      <c r="X2134" s="188" t="inlineStr">
        <is>
          <t>CONFIRMED (82%)</t>
        </is>
      </c>
      <c r="Y2134" s="188" t="inlineStr">
        <is>
          <t>YES</t>
        </is>
      </c>
      <c r="Z2134" s="188" t="inlineStr">
        <is>
          <t>CHECK_VENDOR</t>
        </is>
      </c>
      <c r="AA2134" s="188" t="inlineStr">
        <is>
          <t>https://security.snyk.io/vuln/CVE-2025-60035</t>
        </is>
      </c>
      <c r="AB2134" s="188" t="inlineStr">
        <is>
          <t>http://www.zerodayinitiative.com/advisories/ZDI-26-109/</t>
        </is>
      </c>
      <c r="AC2134" s="188" t="n">
        <v>0</v>
      </c>
      <c r="AD2134" s="188" t="inlineStr"/>
    </row>
    <row r="2135">
      <c r="A2135" s="188" t="inlineStr">
        <is>
          <t>ZDI_ADVISORY</t>
        </is>
      </c>
      <c r="B2135" s="188" t="inlineStr">
        <is>
          <t>ZDI-26-108</t>
        </is>
      </c>
      <c r="C2135" s="188" t="inlineStr">
        <is>
          <t>ZDI Published 0-Day: ZDI-26-108: Bosch Rexroth IndraWorks UA.TestClient XML File Parsing Deserialization Of Untrusted Data Remote Code Execution Vulnerability | CVEs: CVE-2025-60036 | Product: See ZDI advisory</t>
        </is>
      </c>
      <c r="D2135" s="188" t="n">
        <v>7.5</v>
      </c>
      <c r="E2135" s="188" t="inlineStr">
        <is>
          <t>HIGH</t>
        </is>
      </c>
      <c r="F2135" s="188" t="n">
        <v>3</v>
      </c>
      <c r="G2135" s="188" t="n">
        <v>3</v>
      </c>
      <c r="H2135" s="188" t="inlineStr">
        <is>
          <t>CRITICAL</t>
        </is>
      </c>
      <c r="I2135" s="188" t="n">
        <v>16.5</v>
      </c>
      <c r="J2135" s="188" t="inlineStr">
        <is>
          <t>NO</t>
        </is>
      </c>
      <c r="K2135" s="188" t="inlineStr">
        <is>
          <t>http://www.zerodayinitiative.com/advisories/ZDI-26-108/</t>
        </is>
      </c>
      <c r="L2135" s="188" t="inlineStr">
        <is>
          <t>2026-02-19 06:00</t>
        </is>
      </c>
      <c r="M2135" s="188" t="inlineStr">
        <is>
          <t>CHECK_VENDOR - ZDI published, vendor patch may be pending</t>
        </is>
      </c>
      <c r="N2135" s="188" t="inlineStr">
        <is>
          <t>http://www.zerodayinitiative.com/advisories/ZDI-26-108/</t>
        </is>
      </c>
      <c r="O2135" s="188" t="inlineStr">
        <is>
          <t>ZDI-published 0-day: apply vendor patch IMMEDIATELY | CVEs: CVE-2025-60036</t>
        </is>
      </c>
      <c r="P2135" s="188" t="inlineStr">
        <is>
          <t>See ZDI advisory</t>
        </is>
      </c>
      <c r="Q2135" s="188" t="inlineStr">
        <is>
          <t>P1</t>
        </is>
      </c>
      <c r="R2135" s="188" t="inlineStr">
        <is>
          <t>🎯 ZDI-published 0-day: apply vendor patch immediately | ⚠️ Check ZDI advisory page for workarounds | 🔍 Hunt for exploitation attempts in logs</t>
        </is>
      </c>
      <c r="S2135" s="188" t="inlineStr">
        <is>
          <t>ZDI 0-day advisory - no IP context</t>
        </is>
      </c>
      <c r="T2135" s="188" t="n">
        <v>0</v>
      </c>
      <c r="U2135" s="188" t="n">
        <v>0</v>
      </c>
      <c r="V2135" s="188" t="inlineStr">
        <is>
          <t>T1190:Exploit Public-Facing Application | T1210:Exploitation of Remote Services | T1059:Command and Scripting Interpreter</t>
        </is>
      </c>
      <c r="W2135" s="188" t="n">
        <v>2</v>
      </c>
      <c r="X2135" s="188" t="inlineStr">
        <is>
          <t>CONFIRMED (82%)</t>
        </is>
      </c>
      <c r="Y2135" s="188" t="inlineStr">
        <is>
          <t>YES</t>
        </is>
      </c>
      <c r="Z2135" s="188" t="inlineStr">
        <is>
          <t>CHECK_VENDOR</t>
        </is>
      </c>
      <c r="AA2135" s="188" t="inlineStr">
        <is>
          <t>https://security.snyk.io/vuln/CVE-2025-60036</t>
        </is>
      </c>
      <c r="AB2135" s="188" t="inlineStr">
        <is>
          <t>http://www.zerodayinitiative.com/advisories/ZDI-26-108/</t>
        </is>
      </c>
      <c r="AC2135" s="188" t="n">
        <v>0</v>
      </c>
      <c r="AD2135" s="188" t="inlineStr"/>
    </row>
    <row r="2136">
      <c r="A2136" s="188" t="inlineStr">
        <is>
          <t>ZDI_ADVISORY</t>
        </is>
      </c>
      <c r="B2136" s="188" t="inlineStr">
        <is>
          <t>ZDI-26-107</t>
        </is>
      </c>
      <c r="C2136" s="188" t="inlineStr">
        <is>
          <t>ZDI Published 0-Day: ZDI-26-107: Autodesk AutoCAD MODEL File Out-Of-Bounds Write Remote Code Execution Vulnerability | CVEs: CVE-2026-0875 | Product: See ZDI advisory</t>
        </is>
      </c>
      <c r="D2136" s="188" t="n">
        <v>7.5</v>
      </c>
      <c r="E2136" s="188" t="inlineStr">
        <is>
          <t>HIGH</t>
        </is>
      </c>
      <c r="F2136" s="188" t="n">
        <v>3</v>
      </c>
      <c r="G2136" s="188" t="n">
        <v>3</v>
      </c>
      <c r="H2136" s="188" t="inlineStr">
        <is>
          <t>CRITICAL</t>
        </is>
      </c>
      <c r="I2136" s="188" t="n">
        <v>16.5</v>
      </c>
      <c r="J2136" s="188" t="inlineStr">
        <is>
          <t>NO</t>
        </is>
      </c>
      <c r="K2136" s="188" t="inlineStr">
        <is>
          <t>http://www.zerodayinitiative.com/advisories/ZDI-26-107/</t>
        </is>
      </c>
      <c r="L2136" s="188" t="inlineStr">
        <is>
          <t>2026-02-18 06:00</t>
        </is>
      </c>
      <c r="M2136" s="188" t="inlineStr">
        <is>
          <t>CHECK_VENDOR - ZDI published, vendor patch may be pending</t>
        </is>
      </c>
      <c r="N2136" s="188" t="inlineStr">
        <is>
          <t>http://www.zerodayinitiative.com/advisories/ZDI-26-107/</t>
        </is>
      </c>
      <c r="O2136" s="188" t="inlineStr">
        <is>
          <t>ZDI-published 0-day: apply vendor patch IMMEDIATELY | CVEs: CVE-2026-0875</t>
        </is>
      </c>
      <c r="P2136" s="188" t="inlineStr">
        <is>
          <t>See ZDI advisory</t>
        </is>
      </c>
      <c r="Q2136" s="188" t="inlineStr">
        <is>
          <t>P1</t>
        </is>
      </c>
      <c r="R2136" s="188" t="inlineStr">
        <is>
          <t>🎯 ZDI-published 0-day: apply vendor patch immediately | ⚠️ Check ZDI advisory page for workarounds | 🔍 Hunt for exploitation attempts in logs</t>
        </is>
      </c>
      <c r="S2136" s="188" t="inlineStr">
        <is>
          <t>ZDI 0-day advisory - no IP context</t>
        </is>
      </c>
      <c r="T2136" s="188" t="n">
        <v>0</v>
      </c>
      <c r="U2136" s="188" t="n">
        <v>0</v>
      </c>
      <c r="V2136" s="188" t="inlineStr">
        <is>
          <t>T1190:Exploit Public-Facing Application | T1210:Exploitation of Remote Services | T1203:Exploitation for Client Execution</t>
        </is>
      </c>
      <c r="W2136" s="188" t="n">
        <v>2</v>
      </c>
      <c r="X2136" s="188" t="inlineStr">
        <is>
          <t>CONFIRMED (82%)</t>
        </is>
      </c>
      <c r="Y2136" s="188" t="inlineStr">
        <is>
          <t>YES</t>
        </is>
      </c>
      <c r="Z2136" s="188" t="inlineStr">
        <is>
          <t>CHECK_VENDOR</t>
        </is>
      </c>
      <c r="AA2136" s="188" t="inlineStr">
        <is>
          <t>https://security.snyk.io/vuln/CVE-2026-0875</t>
        </is>
      </c>
      <c r="AB2136" s="188" t="inlineStr">
        <is>
          <t>http://www.zerodayinitiative.com/advisories/ZDI-26-107/</t>
        </is>
      </c>
      <c r="AC2136" s="188" t="n">
        <v>0</v>
      </c>
      <c r="AD2136" s="188" t="inlineStr"/>
    </row>
    <row r="2137">
      <c r="A2137" s="188" t="inlineStr">
        <is>
          <t>ZDI_ADVISORY</t>
        </is>
      </c>
      <c r="B2137" s="188" t="inlineStr">
        <is>
          <t>ZDI-26-106</t>
        </is>
      </c>
      <c r="C2137" s="188" t="inlineStr">
        <is>
          <t>ZDI Published 0-Day: ZDI-26-106: Autodesk AutoCAD CATPART File Parsing Out-Of-Bounds Write Remote Code Execution Vulnerability | CVEs: CVE-2026-0874 | Product: See ZDI advisory</t>
        </is>
      </c>
      <c r="D2137" s="188" t="n">
        <v>7.5</v>
      </c>
      <c r="E2137" s="188" t="inlineStr">
        <is>
          <t>HIGH</t>
        </is>
      </c>
      <c r="F2137" s="188" t="n">
        <v>3</v>
      </c>
      <c r="G2137" s="188" t="n">
        <v>3</v>
      </c>
      <c r="H2137" s="188" t="inlineStr">
        <is>
          <t>CRITICAL</t>
        </is>
      </c>
      <c r="I2137" s="188" t="n">
        <v>16.5</v>
      </c>
      <c r="J2137" s="188" t="inlineStr">
        <is>
          <t>NO</t>
        </is>
      </c>
      <c r="K2137" s="188" t="inlineStr">
        <is>
          <t>http://www.zerodayinitiative.com/advisories/ZDI-26-106/</t>
        </is>
      </c>
      <c r="L2137" s="188" t="inlineStr">
        <is>
          <t>2026-02-18 06:00</t>
        </is>
      </c>
      <c r="M2137" s="188" t="inlineStr">
        <is>
          <t>CHECK_VENDOR - ZDI published, vendor patch may be pending</t>
        </is>
      </c>
      <c r="N2137" s="188" t="inlineStr">
        <is>
          <t>http://www.zerodayinitiative.com/advisories/ZDI-26-106/</t>
        </is>
      </c>
      <c r="O2137" s="188" t="inlineStr">
        <is>
          <t>ZDI-published 0-day: apply vendor patch IMMEDIATELY | CVEs: CVE-2026-0874</t>
        </is>
      </c>
      <c r="P2137" s="188" t="inlineStr">
        <is>
          <t>See ZDI advisory</t>
        </is>
      </c>
      <c r="Q2137" s="188" t="inlineStr">
        <is>
          <t>P1</t>
        </is>
      </c>
      <c r="R2137" s="188" t="inlineStr">
        <is>
          <t>🎯 ZDI-published 0-day: apply vendor patch immediately | ⚠️ Check ZDI advisory page for workarounds | 🔍 Hunt for exploitation attempts in logs</t>
        </is>
      </c>
      <c r="S2137" s="188" t="inlineStr">
        <is>
          <t>ZDI 0-day advisory - no IP context</t>
        </is>
      </c>
      <c r="T2137" s="188" t="n">
        <v>0</v>
      </c>
      <c r="U2137" s="188" t="n">
        <v>0</v>
      </c>
      <c r="V2137" s="188" t="inlineStr">
        <is>
          <t>T1190:Exploit Public-Facing Application | T1210:Exploitation of Remote Services | T1203:Exploitation for Client Execution</t>
        </is>
      </c>
      <c r="W2137" s="188" t="n">
        <v>2</v>
      </c>
      <c r="X2137" s="188" t="inlineStr">
        <is>
          <t>CONFIRMED (82%)</t>
        </is>
      </c>
      <c r="Y2137" s="188" t="inlineStr">
        <is>
          <t>YES</t>
        </is>
      </c>
      <c r="Z2137" s="188" t="inlineStr">
        <is>
          <t>CHECK_VENDOR</t>
        </is>
      </c>
      <c r="AA2137" s="188" t="inlineStr">
        <is>
          <t>https://security.snyk.io/vuln/CVE-2026-0874</t>
        </is>
      </c>
      <c r="AB2137" s="188" t="inlineStr">
        <is>
          <t>http://www.zerodayinitiative.com/advisories/ZDI-26-106/</t>
        </is>
      </c>
      <c r="AC2137" s="188" t="n">
        <v>0</v>
      </c>
      <c r="AD2137" s="188" t="inlineStr"/>
    </row>
    <row r="2138">
      <c r="A2138" s="188" t="inlineStr">
        <is>
          <t>ZDI_ADVISORY</t>
        </is>
      </c>
      <c r="B2138" s="188" t="inlineStr">
        <is>
          <t>ZDI-26-105</t>
        </is>
      </c>
      <c r="C2138" s="188" t="inlineStr">
        <is>
          <t>ZDI Published 0-Day: ZDI-26-105: MLflow Tracking Server Artifact Handler Directory Traversal Remote Code Execution Vulnerability | CVEs: CVE-2026-2033 | Product: See ZDI advisory</t>
        </is>
      </c>
      <c r="D2138" s="188" t="n">
        <v>7.5</v>
      </c>
      <c r="E2138" s="188" t="inlineStr">
        <is>
          <t>HIGH</t>
        </is>
      </c>
      <c r="F2138" s="188" t="n">
        <v>3</v>
      </c>
      <c r="G2138" s="188" t="n">
        <v>3</v>
      </c>
      <c r="H2138" s="188" t="inlineStr">
        <is>
          <t>CRITICAL</t>
        </is>
      </c>
      <c r="I2138" s="188" t="n">
        <v>16.5</v>
      </c>
      <c r="J2138" s="188" t="inlineStr">
        <is>
          <t>NO</t>
        </is>
      </c>
      <c r="K2138" s="188" t="inlineStr">
        <is>
          <t>http://www.zerodayinitiative.com/advisories/ZDI-26-105/</t>
        </is>
      </c>
      <c r="L2138" s="188" t="inlineStr">
        <is>
          <t>2026-02-13 06:00</t>
        </is>
      </c>
      <c r="M2138" s="188" t="inlineStr">
        <is>
          <t>CHECK_VENDOR - ZDI published, vendor patch may be pending</t>
        </is>
      </c>
      <c r="N2138" s="188" t="inlineStr">
        <is>
          <t>http://www.zerodayinitiative.com/advisories/ZDI-26-105/</t>
        </is>
      </c>
      <c r="O2138" s="188" t="inlineStr">
        <is>
          <t>ZDI-published 0-day: apply vendor patch IMMEDIATELY | CVEs: CVE-2026-2033</t>
        </is>
      </c>
      <c r="P2138" s="188" t="inlineStr">
        <is>
          <t>See ZDI advisory</t>
        </is>
      </c>
      <c r="Q2138" s="188" t="inlineStr">
        <is>
          <t>P1</t>
        </is>
      </c>
      <c r="R2138" s="188" t="inlineStr">
        <is>
          <t>🎯 ZDI-published 0-day: apply vendor patch immediately | ⚠️ Check ZDI advisory page for workarounds | 🔍 Hunt for exploitation attempts in logs</t>
        </is>
      </c>
      <c r="S2138" s="188" t="inlineStr">
        <is>
          <t>ZDI 0-day advisory - no IP context</t>
        </is>
      </c>
      <c r="T2138" s="188" t="n">
        <v>0</v>
      </c>
      <c r="U2138" s="188" t="n">
        <v>0</v>
      </c>
      <c r="V2138" s="188" t="inlineStr">
        <is>
          <t>T1190:Exploit Public-Facing Application | T1210:Exploitation of Remote Services | T1083:File and Directory Discovery</t>
        </is>
      </c>
      <c r="W2138" s="188" t="n">
        <v>2</v>
      </c>
      <c r="X2138" s="188" t="inlineStr">
        <is>
          <t>CONFIRMED (82%)</t>
        </is>
      </c>
      <c r="Y2138" s="188" t="inlineStr">
        <is>
          <t>YES</t>
        </is>
      </c>
      <c r="Z2138" s="188" t="inlineStr">
        <is>
          <t>CHECK_VENDOR</t>
        </is>
      </c>
      <c r="AA2138" s="188" t="inlineStr">
        <is>
          <t>https://security.snyk.io/vuln/CVE-2026-2033</t>
        </is>
      </c>
      <c r="AB2138" s="188" t="inlineStr">
        <is>
          <t>http://www.zerodayinitiative.com/advisories/ZDI-26-105/</t>
        </is>
      </c>
      <c r="AC2138" s="188" t="n">
        <v>0</v>
      </c>
      <c r="AD2138" s="188" t="inlineStr"/>
    </row>
    <row r="2139">
      <c r="A2139" s="188" t="inlineStr">
        <is>
          <t>ZDI_ADVISORY</t>
        </is>
      </c>
      <c r="B2139" s="188" t="inlineStr">
        <is>
          <t>ZDI-26-104</t>
        </is>
      </c>
      <c r="C2139" s="188" t="inlineStr">
        <is>
          <t>ZDI Published 0-Day: ZDI-26-104: Sante DICOM Viewer Pro DCM File Parsing Buffer Overflow Remote Code Execution Vulnerability | CVEs: CVE-2026-2034 | Product: See ZDI advisory</t>
        </is>
      </c>
      <c r="D2139" s="188" t="n">
        <v>7.5</v>
      </c>
      <c r="E2139" s="188" t="inlineStr">
        <is>
          <t>HIGH</t>
        </is>
      </c>
      <c r="F2139" s="188" t="n">
        <v>3</v>
      </c>
      <c r="G2139" s="188" t="n">
        <v>3</v>
      </c>
      <c r="H2139" s="188" t="inlineStr">
        <is>
          <t>CRITICAL</t>
        </is>
      </c>
      <c r="I2139" s="188" t="n">
        <v>16.5</v>
      </c>
      <c r="J2139" s="188" t="inlineStr">
        <is>
          <t>NO</t>
        </is>
      </c>
      <c r="K2139" s="188" t="inlineStr">
        <is>
          <t>http://www.zerodayinitiative.com/advisories/ZDI-26-104/</t>
        </is>
      </c>
      <c r="L2139" s="188" t="inlineStr">
        <is>
          <t>2026-02-13 06:00</t>
        </is>
      </c>
      <c r="M2139" s="188" t="inlineStr">
        <is>
          <t>CHECK_VENDOR - ZDI published, vendor patch may be pending</t>
        </is>
      </c>
      <c r="N2139" s="188" t="inlineStr">
        <is>
          <t>http://www.zerodayinitiative.com/advisories/ZDI-26-104/</t>
        </is>
      </c>
      <c r="O2139" s="188" t="inlineStr">
        <is>
          <t>ZDI-published 0-day: apply vendor patch IMMEDIATELY | CVEs: CVE-2026-2034</t>
        </is>
      </c>
      <c r="P2139" s="188" t="inlineStr">
        <is>
          <t>See ZDI advisory</t>
        </is>
      </c>
      <c r="Q2139" s="188" t="inlineStr">
        <is>
          <t>P1</t>
        </is>
      </c>
      <c r="R2139" s="188" t="inlineStr">
        <is>
          <t>🎯 ZDI-published 0-day: apply vendor patch immediately | ⚠️ Check ZDI advisory page for workarounds | 🔍 Hunt for exploitation attempts in logs</t>
        </is>
      </c>
      <c r="S2139" s="188" t="inlineStr">
        <is>
          <t>ZDI 0-day advisory - no IP context</t>
        </is>
      </c>
      <c r="T2139" s="188" t="n">
        <v>0</v>
      </c>
      <c r="U2139" s="188" t="n">
        <v>0</v>
      </c>
      <c r="V2139" s="188" t="inlineStr">
        <is>
          <t>T1190:Exploit Public-Facing Application | T1210:Exploitation of Remote Services | T1203:Exploitation for Client Execution</t>
        </is>
      </c>
      <c r="W2139" s="188" t="n">
        <v>2</v>
      </c>
      <c r="X2139" s="188" t="inlineStr">
        <is>
          <t>CONFIRMED (82%)</t>
        </is>
      </c>
      <c r="Y2139" s="188" t="inlineStr">
        <is>
          <t>YES</t>
        </is>
      </c>
      <c r="Z2139" s="188" t="inlineStr">
        <is>
          <t>CHECK_VENDOR</t>
        </is>
      </c>
      <c r="AA2139" s="188" t="inlineStr">
        <is>
          <t>https://security.snyk.io/vuln/CVE-2026-2034</t>
        </is>
      </c>
      <c r="AB2139" s="188" t="inlineStr">
        <is>
          <t>http://www.zerodayinitiative.com/advisories/ZDI-26-104/</t>
        </is>
      </c>
      <c r="AC2139" s="188" t="n">
        <v>0</v>
      </c>
      <c r="AD2139" s="188" t="inlineStr"/>
    </row>
    <row r="2140">
      <c r="A2140" s="188" t="inlineStr">
        <is>
          <t>ZDI_ADVISORY</t>
        </is>
      </c>
      <c r="B2140" s="188" t="inlineStr">
        <is>
          <t>ZDI-26-103</t>
        </is>
      </c>
      <c r="C2140" s="188" t="inlineStr">
        <is>
          <t>ZDI Published 0-Day: ZDI-26-103: Oracle VirtualBox VMSVGA Out-Of-Bounds Access Local Privilege Escalation Vulnerability | CVEs: CVE-2026-21956 | Product: See ZDI advisory</t>
        </is>
      </c>
      <c r="D2140" s="188" t="n">
        <v>7.5</v>
      </c>
      <c r="E2140" s="188" t="inlineStr">
        <is>
          <t>HIGH</t>
        </is>
      </c>
      <c r="F2140" s="188" t="n">
        <v>3</v>
      </c>
      <c r="G2140" s="188" t="n">
        <v>3</v>
      </c>
      <c r="H2140" s="188" t="inlineStr">
        <is>
          <t>CRITICAL</t>
        </is>
      </c>
      <c r="I2140" s="188" t="n">
        <v>16.5</v>
      </c>
      <c r="J2140" s="188" t="inlineStr">
        <is>
          <t>NO</t>
        </is>
      </c>
      <c r="K2140" s="188" t="inlineStr">
        <is>
          <t>http://www.zerodayinitiative.com/advisories/ZDI-26-103/</t>
        </is>
      </c>
      <c r="L2140" s="188" t="inlineStr">
        <is>
          <t>2026-02-13 06:00</t>
        </is>
      </c>
      <c r="M2140" s="188" t="inlineStr">
        <is>
          <t>CHECK_VENDOR - ZDI published, vendor patch may be pending</t>
        </is>
      </c>
      <c r="N2140" s="188" t="inlineStr">
        <is>
          <t>http://www.zerodayinitiative.com/advisories/ZDI-26-103/</t>
        </is>
      </c>
      <c r="O2140" s="188" t="inlineStr">
        <is>
          <t>ZDI-published 0-day: apply vendor patch IMMEDIATELY | CVEs: CVE-2026-21956</t>
        </is>
      </c>
      <c r="P2140" s="188" t="inlineStr">
        <is>
          <t>See ZDI advisory</t>
        </is>
      </c>
      <c r="Q2140" s="188" t="inlineStr">
        <is>
          <t>P1</t>
        </is>
      </c>
      <c r="R2140" s="188" t="inlineStr">
        <is>
          <t>🎯 ZDI-published 0-day: apply vendor patch immediately | ⚠️ Check ZDI advisory page for workarounds | 🔍 Hunt for exploitation attempts in logs</t>
        </is>
      </c>
      <c r="S2140" s="188" t="inlineStr">
        <is>
          <t>ZDI 0-day advisory - no IP context</t>
        </is>
      </c>
      <c r="T2140" s="188" t="n">
        <v>0</v>
      </c>
      <c r="U2140" s="188" t="n">
        <v>0</v>
      </c>
      <c r="V2140" s="188" t="inlineStr">
        <is>
          <t>T1068:Exploitation for Privilege Escalation | T1203:Exploitation for Client Execution</t>
        </is>
      </c>
      <c r="W2140" s="188" t="n">
        <v>2</v>
      </c>
      <c r="X2140" s="188" t="inlineStr">
        <is>
          <t>CONFIRMED (82%)</t>
        </is>
      </c>
      <c r="Y2140" s="188" t="inlineStr">
        <is>
          <t>YES</t>
        </is>
      </c>
      <c r="Z2140" s="188" t="inlineStr">
        <is>
          <t>CHECK_VENDOR</t>
        </is>
      </c>
      <c r="AA2140" s="188" t="inlineStr">
        <is>
          <t>https://security.snyk.io/vuln/CVE-2026-21956</t>
        </is>
      </c>
      <c r="AB2140" s="188" t="inlineStr">
        <is>
          <t>http://www.zerodayinitiative.com/advisories/ZDI-26-103/</t>
        </is>
      </c>
      <c r="AC2140" s="188" t="n">
        <v>0</v>
      </c>
      <c r="AD2140" s="188" t="inlineStr"/>
    </row>
    <row r="2141">
      <c r="A2141" s="188" t="inlineStr">
        <is>
          <t>SANS_ISC</t>
        </is>
      </c>
      <c r="B2141" s="188" t="inlineStr">
        <is>
          <t>41bf1b569770</t>
        </is>
      </c>
      <c r="C2141" s="188" t="inlineStr">
        <is>
          <t>SANS ISC: The CLAIR Model: A Synthesized Conceptual Framework for Mapping Critical Infrastructure Interdependencies &amp;#x5b;Guest Diary&amp;#x5d;, (Wed, Feb 25th) | &amp;#xd;</t>
        </is>
      </c>
      <c r="D2141" s="188" t="n">
        <v>7</v>
      </c>
      <c r="E2141" s="188" t="inlineStr">
        <is>
          <t>HIGH</t>
        </is>
      </c>
      <c r="F2141" s="188" t="n">
        <v>3</v>
      </c>
      <c r="G2141" s="188" t="n">
        <v>2</v>
      </c>
      <c r="H2141" s="188" t="inlineStr">
        <is>
          <t>HIGH</t>
        </is>
      </c>
      <c r="I2141" s="188" t="n">
        <v>13</v>
      </c>
      <c r="J2141" s="188" t="inlineStr">
        <is>
          <t>NO</t>
        </is>
      </c>
      <c r="K2141" s="188" t="inlineStr">
        <is>
          <t>https://isc.sans.edu/diary/rss/32748</t>
        </is>
      </c>
      <c r="L2141" s="188" t="inlineStr">
        <is>
          <t>2026-02-25 21:09</t>
        </is>
      </c>
      <c r="M2141" s="188" t="inlineStr">
        <is>
          <t>CHECK_VENDOR</t>
        </is>
      </c>
      <c r="N2141" s="188" t="inlineStr">
        <is>
          <t>https://isc.sans.edu/diary/rss/32748</t>
        </is>
      </c>
      <c r="O2141" s="188" t="inlineStr">
        <is>
          <t>See SANS ISC diary for indicators and mitigations | Check IOCs</t>
        </is>
      </c>
      <c r="P2141" s="188" t="inlineStr">
        <is>
          <t>See SANS ISC diary</t>
        </is>
      </c>
      <c r="Q2141" s="188" t="inlineStr">
        <is>
          <t>P3</t>
        </is>
      </c>
      <c r="R2141" s="188" t="inlineStr">
        <is>
          <t>📡 SANS ISC flagged this threat - high analyst confidence | 🔍 Review SANS diary entry for IOCs | 🛡️ Apply recommended mitigations from diary</t>
        </is>
      </c>
      <c r="S2141" s="188" t="inlineStr">
        <is>
          <t>SANS ISC analysis - no direct IP context</t>
        </is>
      </c>
      <c r="T2141" s="188" t="n">
        <v>0</v>
      </c>
      <c r="U2141" s="188" t="n">
        <v>0</v>
      </c>
      <c r="V2141" s="188" t="inlineStr">
        <is>
          <t>T1190:Exploit Public-Facing Application</t>
        </is>
      </c>
      <c r="W2141" s="188" t="n">
        <v>1</v>
      </c>
      <c r="X2141" s="188" t="inlineStr">
        <is>
          <t>LOW (40%)</t>
        </is>
      </c>
      <c r="Y2141" s="188" t="inlineStr">
        <is>
          <t>CHECK_SANS</t>
        </is>
      </c>
      <c r="Z2141" s="188" t="inlineStr">
        <is>
          <t>CHECK_VENDOR</t>
        </is>
      </c>
      <c r="AA2141" s="188" t="inlineStr">
        <is>
          <t>https://isc.sans.edu/diary/rss/32748</t>
        </is>
      </c>
      <c r="AB2141" s="188" t="inlineStr">
        <is>
          <t>NONE</t>
        </is>
      </c>
      <c r="AC2141" s="188" t="n">
        <v>0</v>
      </c>
      <c r="AD2141" s="188" t="inlineStr">
        <is>
          <t>The CLAIR Model: A Synthesized Conceptual Framework for Mapping Critical Infrastructure Interdependencies &amp;#x5b;Guest Diary&amp;#x5d;, (Wed, Feb 25th)</t>
        </is>
      </c>
    </row>
    <row r="2142">
      <c r="A2142" s="188" t="inlineStr">
        <is>
          <t>SANS_ISC</t>
        </is>
      </c>
      <c r="B2142" s="188" t="inlineStr">
        <is>
          <t>5b6584381208</t>
        </is>
      </c>
      <c r="C2142" s="188" t="inlineStr">
        <is>
          <t>SANS ISC: Open Redirects: A Forgotten Vulnerability&amp;#x3f;, (Tue, Feb 24th) | In 2010, OWASP added "Unvalidated Redirects and Forwards" to its Top 10 list and merged it into "Sensitive Data Exposure" in 2013 &amp;#x5b;owasp1&amp;#x5d; &amp;#x5b;owasp2&amp;#x5d;. Open redirects are often overlo</t>
        </is>
      </c>
      <c r="D2142" s="188" t="n">
        <v>7</v>
      </c>
      <c r="E2142" s="188" t="inlineStr">
        <is>
          <t>HIGH</t>
        </is>
      </c>
      <c r="F2142" s="188" t="n">
        <v>3</v>
      </c>
      <c r="G2142" s="188" t="n">
        <v>2</v>
      </c>
      <c r="H2142" s="188" t="inlineStr">
        <is>
          <t>HIGH</t>
        </is>
      </c>
      <c r="I2142" s="188" t="n">
        <v>13</v>
      </c>
      <c r="J2142" s="188" t="inlineStr">
        <is>
          <t>NO</t>
        </is>
      </c>
      <c r="K2142" s="188" t="inlineStr">
        <is>
          <t>https://isc.sans.edu/diary/rss/32742</t>
        </is>
      </c>
      <c r="L2142" s="188" t="inlineStr">
        <is>
          <t>2026-02-24 18:04</t>
        </is>
      </c>
      <c r="M2142" s="188" t="inlineStr">
        <is>
          <t>CHECK_VENDOR</t>
        </is>
      </c>
      <c r="N2142" s="188" t="inlineStr">
        <is>
          <t>https://isc.sans.edu/diary/rss/32742</t>
        </is>
      </c>
      <c r="O2142" s="188" t="inlineStr">
        <is>
          <t>See SANS ISC diary for indicators and mitigations | Check IOCs</t>
        </is>
      </c>
      <c r="P2142" s="188" t="inlineStr">
        <is>
          <t>See SANS ISC diary</t>
        </is>
      </c>
      <c r="Q2142" s="188" t="inlineStr">
        <is>
          <t>P3</t>
        </is>
      </c>
      <c r="R2142" s="188" t="inlineStr">
        <is>
          <t>📡 SANS ISC flagged this threat - high analyst confidence | 🔍 Review SANS diary entry for IOCs | 🛡️ Apply recommended mitigations from diary</t>
        </is>
      </c>
      <c r="S2142" s="188" t="inlineStr">
        <is>
          <t>SANS ISC analysis - no direct IP context</t>
        </is>
      </c>
      <c r="T2142" s="188" t="n">
        <v>0</v>
      </c>
      <c r="U2142" s="188" t="n">
        <v>0</v>
      </c>
      <c r="V2142" s="188" t="inlineStr">
        <is>
          <t>T1190:Exploit Public-Facing Application</t>
        </is>
      </c>
      <c r="W2142" s="188" t="n">
        <v>1</v>
      </c>
      <c r="X2142" s="188" t="inlineStr">
        <is>
          <t>LOW (40%)</t>
        </is>
      </c>
      <c r="Y2142" s="188" t="inlineStr">
        <is>
          <t>CHECK_SANS</t>
        </is>
      </c>
      <c r="Z2142" s="188" t="inlineStr">
        <is>
          <t>CHECK_VENDOR</t>
        </is>
      </c>
      <c r="AA2142" s="188" t="inlineStr">
        <is>
          <t>https://isc.sans.edu/diary/rss/32742</t>
        </is>
      </c>
      <c r="AB2142" s="188" t="inlineStr">
        <is>
          <t>NONE</t>
        </is>
      </c>
      <c r="AC2142" s="188" t="n">
        <v>0</v>
      </c>
      <c r="AD2142" s="188" t="inlineStr">
        <is>
          <t>Open Redirects: A Forgotten Vulnerability&amp;#x3f;, (Tue, Feb 24th)</t>
        </is>
      </c>
    </row>
    <row r="2143">
      <c r="A2143" s="188" t="inlineStr">
        <is>
          <t>SANS_ISC</t>
        </is>
      </c>
      <c r="B2143" s="188" t="inlineStr">
        <is>
          <t>cf1a85460441</t>
        </is>
      </c>
      <c r="C2143" s="188" t="inlineStr">
        <is>
          <t>SANS ISC: Another day, another malicious JPEG, (Mon, Feb 23rd) | In his last two diaries, Xavier discussed recent malware campaigns that download JPEG files with embedded malicious payload&amp;#x5b; 1 , 2 &amp;#x5d;. At that point in time, I&amp;#x27ve not come across the mali</t>
        </is>
      </c>
      <c r="D2143" s="188" t="n">
        <v>7</v>
      </c>
      <c r="E2143" s="188" t="inlineStr">
        <is>
          <t>HIGH</t>
        </is>
      </c>
      <c r="F2143" s="188" t="n">
        <v>3</v>
      </c>
      <c r="G2143" s="188" t="n">
        <v>2</v>
      </c>
      <c r="H2143" s="188" t="inlineStr">
        <is>
          <t>HIGH</t>
        </is>
      </c>
      <c r="I2143" s="188" t="n">
        <v>13</v>
      </c>
      <c r="J2143" s="188" t="inlineStr">
        <is>
          <t>NO</t>
        </is>
      </c>
      <c r="K2143" s="188" t="inlineStr">
        <is>
          <t>https://isc.sans.edu/diary/rss/32738</t>
        </is>
      </c>
      <c r="L2143" s="188" t="inlineStr">
        <is>
          <t>2026-02-23 14:26</t>
        </is>
      </c>
      <c r="M2143" s="188" t="inlineStr">
        <is>
          <t>CHECK_VENDOR</t>
        </is>
      </c>
      <c r="N2143" s="188" t="inlineStr">
        <is>
          <t>https://isc.sans.edu/diary/rss/32738</t>
        </is>
      </c>
      <c r="O2143" s="188" t="inlineStr">
        <is>
          <t>See SANS ISC diary for indicators and mitigations | Check IOCs</t>
        </is>
      </c>
      <c r="P2143" s="188" t="inlineStr">
        <is>
          <t>See SANS ISC diary</t>
        </is>
      </c>
      <c r="Q2143" s="188" t="inlineStr">
        <is>
          <t>P3</t>
        </is>
      </c>
      <c r="R2143" s="188" t="inlineStr">
        <is>
          <t>📡 SANS ISC flagged this threat - high analyst confidence | 🔍 Review SANS diary entry for IOCs | 🛡️ Apply recommended mitigations from diary</t>
        </is>
      </c>
      <c r="S2143" s="188" t="inlineStr">
        <is>
          <t>SANS ISC analysis - no direct IP context</t>
        </is>
      </c>
      <c r="T2143" s="188" t="n">
        <v>0</v>
      </c>
      <c r="U2143" s="188" t="n">
        <v>0</v>
      </c>
      <c r="V2143" s="188" t="inlineStr">
        <is>
          <t>T1190:Exploit Public-Facing Application</t>
        </is>
      </c>
      <c r="W2143" s="188" t="n">
        <v>1</v>
      </c>
      <c r="X2143" s="188" t="inlineStr">
        <is>
          <t>LOW (40%)</t>
        </is>
      </c>
      <c r="Y2143" s="188" t="inlineStr">
        <is>
          <t>CHECK_SANS</t>
        </is>
      </c>
      <c r="Z2143" s="188" t="inlineStr">
        <is>
          <t>CHECK_VENDOR</t>
        </is>
      </c>
      <c r="AA2143" s="188" t="inlineStr">
        <is>
          <t>https://isc.sans.edu/diary/rss/32738</t>
        </is>
      </c>
      <c r="AB2143" s="188" t="inlineStr">
        <is>
          <t>NONE</t>
        </is>
      </c>
      <c r="AC2143" s="188" t="n">
        <v>0</v>
      </c>
      <c r="AD2143" s="188" t="inlineStr">
        <is>
          <t>Another day, another malicious JPEG, (Mon, Feb 23rd)</t>
        </is>
      </c>
    </row>
    <row r="2144">
      <c r="A2144" s="188" t="inlineStr">
        <is>
          <t>SANS_ISC</t>
        </is>
      </c>
      <c r="B2144" s="188" t="inlineStr">
        <is>
          <t>0de8e92a57b7</t>
        </is>
      </c>
      <c r="C2144" s="188" t="inlineStr">
        <is>
          <t>SANS ISC: Japanese-Language Phishing Emails, (Sat, Feb 21st) | Introduction &amp;#xd;</t>
        </is>
      </c>
      <c r="D2144" s="188" t="n">
        <v>7</v>
      </c>
      <c r="E2144" s="188" t="inlineStr">
        <is>
          <t>HIGH</t>
        </is>
      </c>
      <c r="F2144" s="188" t="n">
        <v>3</v>
      </c>
      <c r="G2144" s="188" t="n">
        <v>2</v>
      </c>
      <c r="H2144" s="188" t="inlineStr">
        <is>
          <t>HIGH</t>
        </is>
      </c>
      <c r="I2144" s="188" t="n">
        <v>13</v>
      </c>
      <c r="J2144" s="188" t="inlineStr">
        <is>
          <t>NO</t>
        </is>
      </c>
      <c r="K2144" s="188" t="inlineStr">
        <is>
          <t>https://isc.sans.edu/diary/rss/32734</t>
        </is>
      </c>
      <c r="L2144" s="188" t="inlineStr">
        <is>
          <t>2026-02-21 06:03</t>
        </is>
      </c>
      <c r="M2144" s="188" t="inlineStr">
        <is>
          <t>CHECK_VENDOR</t>
        </is>
      </c>
      <c r="N2144" s="188" t="inlineStr">
        <is>
          <t>https://isc.sans.edu/diary/rss/32734</t>
        </is>
      </c>
      <c r="O2144" s="188" t="inlineStr">
        <is>
          <t>See SANS ISC diary for indicators and mitigations | Check IOCs</t>
        </is>
      </c>
      <c r="P2144" s="188" t="inlineStr">
        <is>
          <t>See SANS ISC diary</t>
        </is>
      </c>
      <c r="Q2144" s="188" t="inlineStr">
        <is>
          <t>P3</t>
        </is>
      </c>
      <c r="R2144" s="188" t="inlineStr">
        <is>
          <t>📡 SANS ISC flagged this threat - high analyst confidence | 🔍 Review SANS diary entry for IOCs | 🛡️ Apply recommended mitigations from diary</t>
        </is>
      </c>
      <c r="S2144" s="188" t="inlineStr">
        <is>
          <t>SANS ISC analysis - no direct IP context</t>
        </is>
      </c>
      <c r="T2144" s="188" t="n">
        <v>0</v>
      </c>
      <c r="U2144" s="188" t="n">
        <v>0</v>
      </c>
      <c r="V2144" s="188" t="inlineStr">
        <is>
          <t>T1190:Exploit Public-Facing Application</t>
        </is>
      </c>
      <c r="W2144" s="188" t="n">
        <v>1</v>
      </c>
      <c r="X2144" s="188" t="inlineStr">
        <is>
          <t>LOW (40%)</t>
        </is>
      </c>
      <c r="Y2144" s="188" t="inlineStr">
        <is>
          <t>CHECK_SANS</t>
        </is>
      </c>
      <c r="Z2144" s="188" t="inlineStr">
        <is>
          <t>CHECK_VENDOR</t>
        </is>
      </c>
      <c r="AA2144" s="188" t="inlineStr">
        <is>
          <t>https://isc.sans.edu/diary/rss/32734</t>
        </is>
      </c>
      <c r="AB2144" s="188" t="inlineStr">
        <is>
          <t>NONE</t>
        </is>
      </c>
      <c r="AC2144" s="188" t="n">
        <v>0</v>
      </c>
      <c r="AD2144" s="188" t="inlineStr">
        <is>
          <t>Japanese-Language Phishing Emails, (Sat, Feb 21st)</t>
        </is>
      </c>
    </row>
    <row r="2145">
      <c r="A2145" s="187" t="inlineStr">
        <is>
          <t>NEWS_ALERT</t>
        </is>
      </c>
      <c r="B2145" s="187" t="inlineStr">
        <is>
          <t>017d0706d2fb</t>
        </is>
      </c>
      <c r="C2145" s="187" t="inlineStr">
        <is>
          <t>[BleepingComputer] Fake Next.js job interview tests backdoor developer's devices | Keywords: backdoor | The Microsoft Defender team has discovered a coordinated campaign targeting software developers through malicious repositories posing as legitimate Ne</t>
        </is>
      </c>
      <c r="D2145" s="187" t="n">
        <v>5</v>
      </c>
      <c r="E2145" s="187" t="inlineStr">
        <is>
          <t>MEDIUM</t>
        </is>
      </c>
      <c r="F2145" s="187" t="n">
        <v>2</v>
      </c>
      <c r="G2145" s="187" t="n">
        <v>1</v>
      </c>
      <c r="H2145" s="187" t="inlineStr">
        <is>
          <t>LOW</t>
        </is>
      </c>
      <c r="I2145" s="187" t="n">
        <v>7</v>
      </c>
      <c r="J2145" s="187" t="inlineStr">
        <is>
          <t>NO</t>
        </is>
      </c>
      <c r="K2145" s="187" t="inlineStr">
        <is>
          <t>https://www.bleepingcomputer.com/news/security/fake-nextjs-job-interview-tests-backdoor-developers-devices/</t>
        </is>
      </c>
      <c r="L2145" s="187" t="inlineStr">
        <is>
          <t>2026-02-25 21:47</t>
        </is>
      </c>
      <c r="M2145" s="187" t="inlineStr">
        <is>
          <t>Monitor</t>
        </is>
      </c>
      <c r="N2145" s="187" t="inlineStr">
        <is>
          <t>https://www.bleepingcomputer.com/news/security/fake-nextjs-job-interview-tests-backdoor-developers-devices/</t>
        </is>
      </c>
      <c r="O2145" s="187" t="inlineStr">
        <is>
          <t>Monitor for developments | Review article for IOCs | Escalate if relevant to your infra</t>
        </is>
      </c>
      <c r="P2145" s="187" t="inlineStr">
        <is>
          <t>Varies - see article</t>
        </is>
      </c>
      <c r="Q2145" s="187" t="inlineStr">
        <is>
          <t>P4</t>
        </is>
      </c>
      <c r="R2145" s="187" t="inlineStr">
        <is>
          <t>📰 Security news alert - monitor for developments | 🔍 Review article for IOCs | 📋 Escalate if relevant to your infrastructure</t>
        </is>
      </c>
      <c r="S2145" s="187" t="inlineStr">
        <is>
          <t>News alert - no IP context</t>
        </is>
      </c>
      <c r="T2145" s="187" t="n">
        <v>0</v>
      </c>
      <c r="U2145" s="187" t="n">
        <v>0</v>
      </c>
      <c r="V2145" s="187" t="inlineStr">
        <is>
          <t>See article for technique context</t>
        </is>
      </c>
      <c r="W2145" s="187" t="n">
        <v>1</v>
      </c>
      <c r="X2145" s="187" t="inlineStr">
        <is>
          <t>LOW (40%)</t>
        </is>
      </c>
      <c r="Y2145" s="187" t="inlineStr">
        <is>
          <t>NONE</t>
        </is>
      </c>
      <c r="Z2145" s="187" t="inlineStr">
        <is>
          <t>NONE</t>
        </is>
      </c>
      <c r="AA2145" s="187" t="inlineStr">
        <is>
          <t>NONE</t>
        </is>
      </c>
      <c r="AB2145" s="187" t="inlineStr">
        <is>
          <t>NONE</t>
        </is>
      </c>
      <c r="AC2145" s="187" t="n">
        <v>0</v>
      </c>
      <c r="AD2145" s="187" t="inlineStr">
        <is>
          <t>Fake Next.js job interview tests backdoor developer's devices</t>
        </is>
      </c>
    </row>
    <row r="2146">
      <c r="A2146" s="187" t="inlineStr">
        <is>
          <t>NEWS_ALERT</t>
        </is>
      </c>
      <c r="B2146" s="187" t="inlineStr">
        <is>
          <t>54603b3ae189</t>
        </is>
      </c>
      <c r="C2146" s="187" t="inlineStr">
        <is>
          <t>[BleepingComputer] Chinese cyberspies breached dozens of telecom firms, govt agencies | Keywords: threat actor | Google's Threat Intelligence Group (GTIG), Mandiant, and partners disrupted a global espionage campaign attributed to a suspected Chinese threat actor</t>
        </is>
      </c>
      <c r="D2146" s="187" t="n">
        <v>5</v>
      </c>
      <c r="E2146" s="187" t="inlineStr">
        <is>
          <t>MEDIUM</t>
        </is>
      </c>
      <c r="F2146" s="187" t="n">
        <v>2</v>
      </c>
      <c r="G2146" s="187" t="n">
        <v>1</v>
      </c>
      <c r="H2146" s="187" t="inlineStr">
        <is>
          <t>LOW</t>
        </is>
      </c>
      <c r="I2146" s="187" t="n">
        <v>7</v>
      </c>
      <c r="J2146" s="187" t="inlineStr">
        <is>
          <t>NO</t>
        </is>
      </c>
      <c r="K2146" s="187" t="inlineStr">
        <is>
          <t>https://www.bleepingcomputer.com/news/security/chinese-cyberspies-breached-dozens-of-telecom-firms-govt-agencies/</t>
        </is>
      </c>
      <c r="L2146" s="187" t="inlineStr">
        <is>
          <t>2026-02-25 17:00</t>
        </is>
      </c>
      <c r="M2146" s="187" t="inlineStr">
        <is>
          <t>Monitor</t>
        </is>
      </c>
      <c r="N2146" s="187" t="inlineStr">
        <is>
          <t>https://www.bleepingcomputer.com/news/security/chinese-cyberspies-breached-dozens-of-telecom-firms-govt-agencies/</t>
        </is>
      </c>
      <c r="O2146" s="187" t="inlineStr">
        <is>
          <t>Monitor for developments | Review article for IOCs | Escalate if relevant to your infra</t>
        </is>
      </c>
      <c r="P2146" s="187" t="inlineStr">
        <is>
          <t>Varies - see article</t>
        </is>
      </c>
      <c r="Q2146" s="187" t="inlineStr">
        <is>
          <t>P4</t>
        </is>
      </c>
      <c r="R2146" s="187" t="inlineStr">
        <is>
          <t>📰 Security news alert - monitor for developments | 🔍 Review article for IOCs | 📋 Escalate if relevant to your infrastructure</t>
        </is>
      </c>
      <c r="S2146" s="187" t="inlineStr">
        <is>
          <t>News alert - no IP context</t>
        </is>
      </c>
      <c r="T2146" s="187" t="n">
        <v>0</v>
      </c>
      <c r="U2146" s="187" t="n">
        <v>0</v>
      </c>
      <c r="V2146" s="187" t="inlineStr">
        <is>
          <t>See article for technique context</t>
        </is>
      </c>
      <c r="W2146" s="187" t="n">
        <v>1</v>
      </c>
      <c r="X2146" s="187" t="inlineStr">
        <is>
          <t>LOW (40%)</t>
        </is>
      </c>
      <c r="Y2146" s="187" t="inlineStr">
        <is>
          <t>NONE</t>
        </is>
      </c>
      <c r="Z2146" s="187" t="inlineStr">
        <is>
          <t>NONE</t>
        </is>
      </c>
      <c r="AA2146" s="187" t="inlineStr">
        <is>
          <t>NONE</t>
        </is>
      </c>
      <c r="AB2146" s="187" t="inlineStr">
        <is>
          <t>NONE</t>
        </is>
      </c>
      <c r="AC2146" s="187" t="n">
        <v>0</v>
      </c>
      <c r="AD2146" s="187" t="inlineStr">
        <is>
          <t>Chinese cyberspies breached dozens of telecom firms, govt agencies</t>
        </is>
      </c>
    </row>
    <row r="2147">
      <c r="A2147" s="187" t="inlineStr">
        <is>
          <t>NEWS_ALERT</t>
        </is>
      </c>
      <c r="B2147" s="187" t="inlineStr">
        <is>
          <t>4d61a2760d3c</t>
        </is>
      </c>
      <c r="C2147" s="187" t="inlineStr">
        <is>
          <t>[BleepingComputer] Marquis sues SonicWall over backup breach that led to ransomware attack | Keywords: breach, ransomware | Marquis Software Solutions has filed a lawsuit against SonicWall, accusing the cybersecurity company of gross negligence and misrepresentation that al</t>
        </is>
      </c>
      <c r="D2147" s="187" t="n">
        <v>5</v>
      </c>
      <c r="E2147" s="187" t="inlineStr">
        <is>
          <t>MEDIUM</t>
        </is>
      </c>
      <c r="F2147" s="187" t="n">
        <v>2</v>
      </c>
      <c r="G2147" s="187" t="n">
        <v>1</v>
      </c>
      <c r="H2147" s="187" t="inlineStr">
        <is>
          <t>LOW</t>
        </is>
      </c>
      <c r="I2147" s="187" t="n">
        <v>7</v>
      </c>
      <c r="J2147" s="187" t="inlineStr">
        <is>
          <t>NO</t>
        </is>
      </c>
      <c r="K2147" s="187" t="inlineStr">
        <is>
          <t>https://www.bleepingcomputer.com/news/security/marquis-sues-sonicwall-over-backup-breach-that-led-to-ransomware-attack/</t>
        </is>
      </c>
      <c r="L2147" s="187" t="inlineStr">
        <is>
          <t>2026-02-25 15:54</t>
        </is>
      </c>
      <c r="M2147" s="187" t="inlineStr">
        <is>
          <t>Monitor</t>
        </is>
      </c>
      <c r="N2147" s="187" t="inlineStr">
        <is>
          <t>https://www.bleepingcomputer.com/news/security/marquis-sues-sonicwall-over-backup-breach-that-led-to-ransomware-attack/</t>
        </is>
      </c>
      <c r="O2147" s="187" t="inlineStr">
        <is>
          <t>Monitor for developments | Review article for IOCs | Escalate if relevant to your infra</t>
        </is>
      </c>
      <c r="P2147" s="187" t="inlineStr">
        <is>
          <t>Varies - see article</t>
        </is>
      </c>
      <c r="Q2147" s="187" t="inlineStr">
        <is>
          <t>P4</t>
        </is>
      </c>
      <c r="R2147" s="187" t="inlineStr">
        <is>
          <t>📰 Security news alert - monitor for developments | 🔍 Review article for IOCs | 📋 Escalate if relevant to your infrastructure</t>
        </is>
      </c>
      <c r="S2147" s="187" t="inlineStr">
        <is>
          <t>News alert - no IP context</t>
        </is>
      </c>
      <c r="T2147" s="187" t="n">
        <v>0</v>
      </c>
      <c r="U2147" s="187" t="n">
        <v>0</v>
      </c>
      <c r="V2147" s="187" t="inlineStr">
        <is>
          <t>See article for technique context</t>
        </is>
      </c>
      <c r="W2147" s="187" t="n">
        <v>1</v>
      </c>
      <c r="X2147" s="187" t="inlineStr">
        <is>
          <t>LOW (40%)</t>
        </is>
      </c>
      <c r="Y2147" s="187" t="inlineStr">
        <is>
          <t>NONE</t>
        </is>
      </c>
      <c r="Z2147" s="187" t="inlineStr">
        <is>
          <t>NONE</t>
        </is>
      </c>
      <c r="AA2147" s="187" t="inlineStr">
        <is>
          <t>NONE</t>
        </is>
      </c>
      <c r="AB2147" s="187" t="inlineStr">
        <is>
          <t>NONE</t>
        </is>
      </c>
      <c r="AC2147" s="187" t="n">
        <v>0</v>
      </c>
      <c r="AD2147" s="187" t="inlineStr">
        <is>
          <t>Marquis sues SonicWall over backup breach that led to ransomware attack</t>
        </is>
      </c>
    </row>
    <row r="2148">
      <c r="A2148" s="187" t="inlineStr">
        <is>
          <t>NEWS_ALERT</t>
        </is>
      </c>
      <c r="B2148" s="187" t="inlineStr">
        <is>
          <t>44e1c6b8c08c</t>
        </is>
      </c>
      <c r="C2148" s="187" t="inlineStr">
        <is>
          <t>[BleepingComputer] The OpenClaw Hype: Analysis of Chatter from Open-Source Deep and Dark Web | Keywords: supply-chain, exploitation | OpenClaw has sparked heavy Telegram and dark web chatter, but Flare's data shows more research hype than mass exploitation. Flare explains how its tel</t>
        </is>
      </c>
      <c r="D2148" s="187" t="n">
        <v>5</v>
      </c>
      <c r="E2148" s="187" t="inlineStr">
        <is>
          <t>MEDIUM</t>
        </is>
      </c>
      <c r="F2148" s="187" t="n">
        <v>2</v>
      </c>
      <c r="G2148" s="187" t="n">
        <v>1</v>
      </c>
      <c r="H2148" s="187" t="inlineStr">
        <is>
          <t>LOW</t>
        </is>
      </c>
      <c r="I2148" s="187" t="n">
        <v>7</v>
      </c>
      <c r="J2148" s="187" t="inlineStr">
        <is>
          <t>NO</t>
        </is>
      </c>
      <c r="K2148" s="187" t="inlineStr">
        <is>
          <t>https://www.bleepingcomputer.com/news/security/the-openclaw-hype-analysis-of-chatter-from-open-source-deep-and-dark-web/</t>
        </is>
      </c>
      <c r="L2148" s="187" t="inlineStr">
        <is>
          <t>2026-02-25 15:01</t>
        </is>
      </c>
      <c r="M2148" s="187" t="inlineStr">
        <is>
          <t>Monitor</t>
        </is>
      </c>
      <c r="N2148" s="187" t="inlineStr">
        <is>
          <t>https://www.bleepingcomputer.com/news/security/the-openclaw-hype-analysis-of-chatter-from-open-source-deep-and-dark-web/</t>
        </is>
      </c>
      <c r="O2148" s="187" t="inlineStr">
        <is>
          <t>Monitor for developments | Review article for IOCs | Escalate if relevant to your infra</t>
        </is>
      </c>
      <c r="P2148" s="187" t="inlineStr">
        <is>
          <t>Varies - see article</t>
        </is>
      </c>
      <c r="Q2148" s="187" t="inlineStr">
        <is>
          <t>P4</t>
        </is>
      </c>
      <c r="R2148" s="187" t="inlineStr">
        <is>
          <t>📰 Security news alert - monitor for developments | 🔍 Review article for IOCs | 📋 Escalate if relevant to your infrastructure</t>
        </is>
      </c>
      <c r="S2148" s="187" t="inlineStr">
        <is>
          <t>News alert - no IP context</t>
        </is>
      </c>
      <c r="T2148" s="187" t="n">
        <v>0</v>
      </c>
      <c r="U2148" s="187" t="n">
        <v>0</v>
      </c>
      <c r="V2148" s="187" t="inlineStr">
        <is>
          <t>See article for technique context</t>
        </is>
      </c>
      <c r="W2148" s="187" t="n">
        <v>1</v>
      </c>
      <c r="X2148" s="187" t="inlineStr">
        <is>
          <t>LOW (40%)</t>
        </is>
      </c>
      <c r="Y2148" s="187" t="inlineStr">
        <is>
          <t>NONE</t>
        </is>
      </c>
      <c r="Z2148" s="187" t="inlineStr">
        <is>
          <t>NONE</t>
        </is>
      </c>
      <c r="AA2148" s="187" t="inlineStr">
        <is>
          <t>NONE</t>
        </is>
      </c>
      <c r="AB2148" s="187" t="inlineStr">
        <is>
          <t>NONE</t>
        </is>
      </c>
      <c r="AC2148" s="187" t="n">
        <v>0</v>
      </c>
      <c r="AD2148" s="187" t="inlineStr">
        <is>
          <t>The OpenClaw Hype: Analysis of Chatter from Open-Source Deep and Dark Web</t>
        </is>
      </c>
    </row>
    <row r="2149">
      <c r="A2149" s="187" t="inlineStr">
        <is>
          <t>NEWS_ALERT</t>
        </is>
      </c>
      <c r="B2149" s="187" t="inlineStr">
        <is>
          <t>3e4cbd226062</t>
        </is>
      </c>
      <c r="C2149" s="187" t="inlineStr">
        <is>
          <t>[BleepingComputer] Zyxel warns of critical RCE flaw affecting over a dozen routers | Keywords: rce, critical vulnerability | Taiwan networking provider Zyxel has released security updates to address a critical vulnerability affecting over a dozen router models that can allow</t>
        </is>
      </c>
      <c r="D2149" s="187" t="n">
        <v>5</v>
      </c>
      <c r="E2149" s="187" t="inlineStr">
        <is>
          <t>MEDIUM</t>
        </is>
      </c>
      <c r="F2149" s="187" t="n">
        <v>2</v>
      </c>
      <c r="G2149" s="187" t="n">
        <v>1</v>
      </c>
      <c r="H2149" s="187" t="inlineStr">
        <is>
          <t>LOW</t>
        </is>
      </c>
      <c r="I2149" s="187" t="n">
        <v>7</v>
      </c>
      <c r="J2149" s="187" t="inlineStr">
        <is>
          <t>NO</t>
        </is>
      </c>
      <c r="K2149" s="187" t="inlineStr">
        <is>
          <t>https://www.bleepingcomputer.com/news/security/zyxel-warns-of-critical-rce-flaw-affecting-over-a-dozen-routers/</t>
        </is>
      </c>
      <c r="L2149" s="187" t="inlineStr">
        <is>
          <t>2026-02-25 12:53</t>
        </is>
      </c>
      <c r="M2149" s="187" t="inlineStr">
        <is>
          <t>Monitor</t>
        </is>
      </c>
      <c r="N2149" s="187" t="inlineStr">
        <is>
          <t>https://www.bleepingcomputer.com/news/security/zyxel-warns-of-critical-rce-flaw-affecting-over-a-dozen-routers/</t>
        </is>
      </c>
      <c r="O2149" s="187" t="inlineStr">
        <is>
          <t>Monitor for developments | Review article for IOCs | Escalate if relevant to your infra</t>
        </is>
      </c>
      <c r="P2149" s="187" t="inlineStr">
        <is>
          <t>Varies - see article</t>
        </is>
      </c>
      <c r="Q2149" s="187" t="inlineStr">
        <is>
          <t>P4</t>
        </is>
      </c>
      <c r="R2149" s="187" t="inlineStr">
        <is>
          <t>📰 Security news alert - monitor for developments | 🔍 Review article for IOCs | 📋 Escalate if relevant to your infrastructure</t>
        </is>
      </c>
      <c r="S2149" s="187" t="inlineStr">
        <is>
          <t>News alert - no IP context</t>
        </is>
      </c>
      <c r="T2149" s="187" t="n">
        <v>0</v>
      </c>
      <c r="U2149" s="187" t="n">
        <v>0</v>
      </c>
      <c r="V2149" s="187" t="inlineStr">
        <is>
          <t>See article for technique context</t>
        </is>
      </c>
      <c r="W2149" s="187" t="n">
        <v>1</v>
      </c>
      <c r="X2149" s="187" t="inlineStr">
        <is>
          <t>LOW (40%)</t>
        </is>
      </c>
      <c r="Y2149" s="187" t="inlineStr">
        <is>
          <t>NONE</t>
        </is>
      </c>
      <c r="Z2149" s="187" t="inlineStr">
        <is>
          <t>NONE</t>
        </is>
      </c>
      <c r="AA2149" s="187" t="inlineStr">
        <is>
          <t>NONE</t>
        </is>
      </c>
      <c r="AB2149" s="187" t="inlineStr">
        <is>
          <t>NONE</t>
        </is>
      </c>
      <c r="AC2149" s="187" t="n">
        <v>0</v>
      </c>
      <c r="AD2149" s="187" t="inlineStr">
        <is>
          <t>Zyxel warns of critical RCE flaw affecting over a dozen routers</t>
        </is>
      </c>
    </row>
    <row r="2150">
      <c r="A2150" s="187" t="inlineStr">
        <is>
          <t>NEWS_ALERT</t>
        </is>
      </c>
      <c r="B2150" s="187" t="inlineStr">
        <is>
          <t>d689526cb18d</t>
        </is>
      </c>
      <c r="C2150" s="187" t="inlineStr">
        <is>
          <t>[BleepingComputer] US sanctions Russian broker for buying stolen zero-day exploits | Keywords: exploit, zero-day | The U.S. Treasury Department has sanctioned a Russian exploit broker who bought stolen hacking tools from a former executive of a U.S. defense contrac</t>
        </is>
      </c>
      <c r="D2150" s="187" t="n">
        <v>5</v>
      </c>
      <c r="E2150" s="187" t="inlineStr">
        <is>
          <t>MEDIUM</t>
        </is>
      </c>
      <c r="F2150" s="187" t="n">
        <v>2</v>
      </c>
      <c r="G2150" s="187" t="n">
        <v>1</v>
      </c>
      <c r="H2150" s="187" t="inlineStr">
        <is>
          <t>LOW</t>
        </is>
      </c>
      <c r="I2150" s="187" t="n">
        <v>7</v>
      </c>
      <c r="J2150" s="187" t="inlineStr">
        <is>
          <t>NO</t>
        </is>
      </c>
      <c r="K2150" s="187" t="inlineStr">
        <is>
          <t>https://www.bleepingcomputer.com/news/security/us-sanctions-russian-exploit-broker-for-buying-stolen-zero-days/</t>
        </is>
      </c>
      <c r="L2150" s="187" t="inlineStr">
        <is>
          <t>2026-02-25 10:31</t>
        </is>
      </c>
      <c r="M2150" s="187" t="inlineStr">
        <is>
          <t>Monitor</t>
        </is>
      </c>
      <c r="N2150" s="187" t="inlineStr">
        <is>
          <t>https://www.bleepingcomputer.com/news/security/us-sanctions-russian-exploit-broker-for-buying-stolen-zero-days/</t>
        </is>
      </c>
      <c r="O2150" s="187" t="inlineStr">
        <is>
          <t>Monitor for developments | Review article for IOCs | Escalate if relevant to your infra</t>
        </is>
      </c>
      <c r="P2150" s="187" t="inlineStr">
        <is>
          <t>Varies - see article</t>
        </is>
      </c>
      <c r="Q2150" s="187" t="inlineStr">
        <is>
          <t>P4</t>
        </is>
      </c>
      <c r="R2150" s="187" t="inlineStr">
        <is>
          <t>📰 Security news alert - monitor for developments | 🔍 Review article for IOCs | 📋 Escalate if relevant to your infrastructure</t>
        </is>
      </c>
      <c r="S2150" s="187" t="inlineStr">
        <is>
          <t>News alert - no IP context</t>
        </is>
      </c>
      <c r="T2150" s="187" t="n">
        <v>0</v>
      </c>
      <c r="U2150" s="187" t="n">
        <v>0</v>
      </c>
      <c r="V2150" s="187" t="inlineStr">
        <is>
          <t>See article for technique context</t>
        </is>
      </c>
      <c r="W2150" s="187" t="n">
        <v>1</v>
      </c>
      <c r="X2150" s="187" t="inlineStr">
        <is>
          <t>LOW (40%)</t>
        </is>
      </c>
      <c r="Y2150" s="187" t="inlineStr">
        <is>
          <t>NONE</t>
        </is>
      </c>
      <c r="Z2150" s="187" t="inlineStr">
        <is>
          <t>NONE</t>
        </is>
      </c>
      <c r="AA2150" s="187" t="inlineStr">
        <is>
          <t>NONE</t>
        </is>
      </c>
      <c r="AB2150" s="187" t="inlineStr">
        <is>
          <t>NONE</t>
        </is>
      </c>
      <c r="AC2150" s="187" t="n">
        <v>0</v>
      </c>
      <c r="AD2150" s="187" t="inlineStr">
        <is>
          <t>US sanctions Russian broker for buying stolen zero-day exploits</t>
        </is>
      </c>
    </row>
    <row r="2151">
      <c r="A2151" s="187" t="inlineStr">
        <is>
          <t>NEWS_ALERT</t>
        </is>
      </c>
      <c r="B2151" s="187" t="inlineStr">
        <is>
          <t>ecd29b8b35c0</t>
        </is>
      </c>
      <c r="C2151" s="187" t="inlineStr">
        <is>
          <t>[BleepingComputer] Ex-L3Harris exec jailed for selling zero-days to Russian exploit broker | Keywords: exploit, zero-day | The former head of Trenchant, a specialized U.S. defense contractor unit, was sentenced Tuesday to more than seven years in federal prison for stealin</t>
        </is>
      </c>
      <c r="D2151" s="187" t="n">
        <v>5</v>
      </c>
      <c r="E2151" s="187" t="inlineStr">
        <is>
          <t>MEDIUM</t>
        </is>
      </c>
      <c r="F2151" s="187" t="n">
        <v>2</v>
      </c>
      <c r="G2151" s="187" t="n">
        <v>1</v>
      </c>
      <c r="H2151" s="187" t="inlineStr">
        <is>
          <t>LOW</t>
        </is>
      </c>
      <c r="I2151" s="187" t="n">
        <v>7</v>
      </c>
      <c r="J2151" s="187" t="inlineStr">
        <is>
          <t>NO</t>
        </is>
      </c>
      <c r="K2151" s="187" t="inlineStr">
        <is>
          <t>https://www.bleepingcomputer.com/news/security/ex-l3harris-exec-jailed-for-selling-zero-days-to-russian-exploit-broker/</t>
        </is>
      </c>
      <c r="L2151" s="187" t="inlineStr">
        <is>
          <t>2026-02-25 08:21</t>
        </is>
      </c>
      <c r="M2151" s="187" t="inlineStr">
        <is>
          <t>Monitor</t>
        </is>
      </c>
      <c r="N2151" s="187" t="inlineStr">
        <is>
          <t>https://www.bleepingcomputer.com/news/security/ex-l3harris-exec-jailed-for-selling-zero-days-to-russian-exploit-broker/</t>
        </is>
      </c>
      <c r="O2151" s="187" t="inlineStr">
        <is>
          <t>Monitor for developments | Review article for IOCs | Escalate if relevant to your infra</t>
        </is>
      </c>
      <c r="P2151" s="187" t="inlineStr">
        <is>
          <t>Varies - see article</t>
        </is>
      </c>
      <c r="Q2151" s="187" t="inlineStr">
        <is>
          <t>P4</t>
        </is>
      </c>
      <c r="R2151" s="187" t="inlineStr">
        <is>
          <t>📰 Security news alert - monitor for developments | 🔍 Review article for IOCs | 📋 Escalate if relevant to your infrastructure</t>
        </is>
      </c>
      <c r="S2151" s="187" t="inlineStr">
        <is>
          <t>News alert - no IP context</t>
        </is>
      </c>
      <c r="T2151" s="187" t="n">
        <v>0</v>
      </c>
      <c r="U2151" s="187" t="n">
        <v>0</v>
      </c>
      <c r="V2151" s="187" t="inlineStr">
        <is>
          <t>See article for technique context</t>
        </is>
      </c>
      <c r="W2151" s="187" t="n">
        <v>1</v>
      </c>
      <c r="X2151" s="187" t="inlineStr">
        <is>
          <t>LOW (40%)</t>
        </is>
      </c>
      <c r="Y2151" s="187" t="inlineStr">
        <is>
          <t>NONE</t>
        </is>
      </c>
      <c r="Z2151" s="187" t="inlineStr">
        <is>
          <t>NONE</t>
        </is>
      </c>
      <c r="AA2151" s="187" t="inlineStr">
        <is>
          <t>NONE</t>
        </is>
      </c>
      <c r="AB2151" s="187" t="inlineStr">
        <is>
          <t>NONE</t>
        </is>
      </c>
      <c r="AC2151" s="187" t="n">
        <v>0</v>
      </c>
      <c r="AD2151" s="187" t="inlineStr">
        <is>
          <t>Ex-L3Harris exec jailed for selling zero-days to Russian exploit broker</t>
        </is>
      </c>
    </row>
    <row r="2152">
      <c r="A2152" s="187" t="inlineStr">
        <is>
          <t>NEWS_ALERT</t>
        </is>
      </c>
      <c r="B2152" s="187" t="inlineStr">
        <is>
          <t>cf7b53fc32ca</t>
        </is>
      </c>
      <c r="C2152" s="187" t="inlineStr">
        <is>
          <t>[SecurityAffairs] Former U.S. Defense contractor executive sentenced for selling zero-day exploits to Russian broker Operation Zero | Keywords: zero-day | A former employee at U.S. defense contractor L3Harris got over 7 years in prison for selling eight zero-days to a Russian broker. Peter Williams, a 39</t>
        </is>
      </c>
      <c r="D2152" s="187" t="n">
        <v>5</v>
      </c>
      <c r="E2152" s="187" t="inlineStr">
        <is>
          <t>MEDIUM</t>
        </is>
      </c>
      <c r="F2152" s="187" t="n">
        <v>2</v>
      </c>
      <c r="G2152" s="187" t="n">
        <v>1</v>
      </c>
      <c r="H2152" s="187" t="inlineStr">
        <is>
          <t>LOW</t>
        </is>
      </c>
      <c r="I2152" s="187" t="n">
        <v>7</v>
      </c>
      <c r="J2152" s="187" t="inlineStr">
        <is>
          <t>NO</t>
        </is>
      </c>
      <c r="K2152" s="187" t="inlineStr">
        <is>
          <t>https://securityaffairs.com/188482/intelligence/former-u-s-defense-contractor-executive-sentenced-for-selling-zero-day-exploits-to-russian-broker-operation-zero.html</t>
        </is>
      </c>
      <c r="L2152" s="187" t="inlineStr">
        <is>
          <t>2026-02-25 10:06</t>
        </is>
      </c>
      <c r="M2152" s="187" t="inlineStr">
        <is>
          <t>Monitor</t>
        </is>
      </c>
      <c r="N2152" s="187" t="inlineStr">
        <is>
          <t>https://securityaffairs.com/188482/intelligence/former-u-s-defense-contractor-executive-sentenced-for-selling-zero-day-exploits-to-russian-broker-operation-zero.html</t>
        </is>
      </c>
      <c r="O2152" s="187" t="inlineStr">
        <is>
          <t>Monitor for developments | Review article for IOCs | Escalate if relevant to your infra</t>
        </is>
      </c>
      <c r="P2152" s="187" t="inlineStr">
        <is>
          <t>Varies - see article</t>
        </is>
      </c>
      <c r="Q2152" s="187" t="inlineStr">
        <is>
          <t>P4</t>
        </is>
      </c>
      <c r="R2152" s="187" t="inlineStr">
        <is>
          <t>📰 Security news alert - monitor for developments | 🔍 Review article for IOCs | 📋 Escalate if relevant to your infrastructure</t>
        </is>
      </c>
      <c r="S2152" s="187" t="inlineStr">
        <is>
          <t>News alert - no IP context</t>
        </is>
      </c>
      <c r="T2152" s="187" t="n">
        <v>0</v>
      </c>
      <c r="U2152" s="187" t="n">
        <v>0</v>
      </c>
      <c r="V2152" s="187" t="inlineStr">
        <is>
          <t>See article for technique context</t>
        </is>
      </c>
      <c r="W2152" s="187" t="n">
        <v>1</v>
      </c>
      <c r="X2152" s="187" t="inlineStr">
        <is>
          <t>LOW (40%)</t>
        </is>
      </c>
      <c r="Y2152" s="187" t="inlineStr">
        <is>
          <t>NONE</t>
        </is>
      </c>
      <c r="Z2152" s="187" t="inlineStr">
        <is>
          <t>NONE</t>
        </is>
      </c>
      <c r="AA2152" s="187" t="inlineStr">
        <is>
          <t>NONE</t>
        </is>
      </c>
      <c r="AB2152" s="187" t="inlineStr">
        <is>
          <t>NONE</t>
        </is>
      </c>
      <c r="AC2152" s="187" t="n">
        <v>0</v>
      </c>
      <c r="AD2152" s="187" t="inlineStr">
        <is>
          <t>Former U.S. Defense contractor executive sentenced for selling zero-day exploits to Russian broker Operation Zero</t>
        </is>
      </c>
    </row>
    <row r="2153">
      <c r="A2153" s="187" t="inlineStr">
        <is>
          <t>NEWS_ALERT</t>
        </is>
      </c>
      <c r="B2153" s="187" t="inlineStr">
        <is>
          <t>6a8615a54344</t>
        </is>
      </c>
      <c r="C2153" s="187" t="inlineStr">
        <is>
          <t>[SecurityAffairs] Lazarus APT group deployed Medusa Ransomware against Middle East target | Keywords: apt, ransomware, ransomware | North Korea’s Lazarus Group used Medusa ransomware in an attack on an unnamed Middle East organization, researchers report. The North Korea-linked Laz</t>
        </is>
      </c>
      <c r="D2153" s="187" t="n">
        <v>5</v>
      </c>
      <c r="E2153" s="187" t="inlineStr">
        <is>
          <t>MEDIUM</t>
        </is>
      </c>
      <c r="F2153" s="187" t="n">
        <v>2</v>
      </c>
      <c r="G2153" s="187" t="n">
        <v>1</v>
      </c>
      <c r="H2153" s="187" t="inlineStr">
        <is>
          <t>LOW</t>
        </is>
      </c>
      <c r="I2153" s="187" t="n">
        <v>7</v>
      </c>
      <c r="J2153" s="187" t="inlineStr">
        <is>
          <t>NO</t>
        </is>
      </c>
      <c r="K2153" s="187" t="inlineStr">
        <is>
          <t>https://securityaffairs.com/188460/apt/lazarus-apt-group-deployed-medusa-ransomware-against-middle-east-target.html</t>
        </is>
      </c>
      <c r="L2153" s="187" t="inlineStr">
        <is>
          <t>2026-02-25 08:18</t>
        </is>
      </c>
      <c r="M2153" s="187" t="inlineStr">
        <is>
          <t>Monitor</t>
        </is>
      </c>
      <c r="N2153" s="187" t="inlineStr">
        <is>
          <t>https://securityaffairs.com/188460/apt/lazarus-apt-group-deployed-medusa-ransomware-against-middle-east-target.html</t>
        </is>
      </c>
      <c r="O2153" s="187" t="inlineStr">
        <is>
          <t>Monitor for developments | Review article for IOCs | Escalate if relevant to your infra</t>
        </is>
      </c>
      <c r="P2153" s="187" t="inlineStr">
        <is>
          <t>Varies - see article</t>
        </is>
      </c>
      <c r="Q2153" s="187" t="inlineStr">
        <is>
          <t>P4</t>
        </is>
      </c>
      <c r="R2153" s="187" t="inlineStr">
        <is>
          <t>📰 Security news alert - monitor for developments | 🔍 Review article for IOCs | 📋 Escalate if relevant to your infrastructure</t>
        </is>
      </c>
      <c r="S2153" s="187" t="inlineStr">
        <is>
          <t>News alert - no IP context</t>
        </is>
      </c>
      <c r="T2153" s="187" t="n">
        <v>0</v>
      </c>
      <c r="U2153" s="187" t="n">
        <v>0</v>
      </c>
      <c r="V2153" s="187" t="inlineStr">
        <is>
          <t>See article for technique context</t>
        </is>
      </c>
      <c r="W2153" s="187" t="n">
        <v>1</v>
      </c>
      <c r="X2153" s="187" t="inlineStr">
        <is>
          <t>LOW (40%)</t>
        </is>
      </c>
      <c r="Y2153" s="187" t="inlineStr">
        <is>
          <t>NONE</t>
        </is>
      </c>
      <c r="Z2153" s="187" t="inlineStr">
        <is>
          <t>NONE</t>
        </is>
      </c>
      <c r="AA2153" s="187" t="inlineStr">
        <is>
          <t>NONE</t>
        </is>
      </c>
      <c r="AB2153" s="187" t="inlineStr">
        <is>
          <t>NONE</t>
        </is>
      </c>
      <c r="AC2153" s="187" t="n">
        <v>0</v>
      </c>
      <c r="AD2153" s="187" t="inlineStr">
        <is>
          <t>Lazarus APT group deployed Medusa Ransomware against Middle East target</t>
        </is>
      </c>
    </row>
    <row r="2154">
      <c r="A2154" s="187" t="inlineStr">
        <is>
          <t>NEWS_ALERT</t>
        </is>
      </c>
      <c r="B2154" s="187" t="inlineStr">
        <is>
          <t>408c54a88659</t>
        </is>
      </c>
      <c r="C2154" s="187" t="inlineStr">
        <is>
          <t xml:space="preserve">[SecurityAffairs] SolarWinds patches four critical Serv-U flaws enabling root access | Keywords: remote code | SolarWinds addressed four critical Serv-U vulnerabilities that could let attackers gain root access to unpatched servers. SolarWinds released updates </t>
        </is>
      </c>
      <c r="D2154" s="187" t="n">
        <v>5</v>
      </c>
      <c r="E2154" s="187" t="inlineStr">
        <is>
          <t>MEDIUM</t>
        </is>
      </c>
      <c r="F2154" s="187" t="n">
        <v>2</v>
      </c>
      <c r="G2154" s="187" t="n">
        <v>1</v>
      </c>
      <c r="H2154" s="187" t="inlineStr">
        <is>
          <t>LOW</t>
        </is>
      </c>
      <c r="I2154" s="187" t="n">
        <v>7</v>
      </c>
      <c r="J2154" s="187" t="inlineStr">
        <is>
          <t>NO</t>
        </is>
      </c>
      <c r="K2154" s="187" t="inlineStr">
        <is>
          <t>https://securityaffairs.com/188454/hacking/solarwinds-patches-four-critical-serv-u-flaws-enabling-root-access.html</t>
        </is>
      </c>
      <c r="L2154" s="187" t="inlineStr">
        <is>
          <t>2026-02-24 20:07</t>
        </is>
      </c>
      <c r="M2154" s="187" t="inlineStr">
        <is>
          <t>Monitor</t>
        </is>
      </c>
      <c r="N2154" s="187" t="inlineStr">
        <is>
          <t>https://securityaffairs.com/188454/hacking/solarwinds-patches-four-critical-serv-u-flaws-enabling-root-access.html</t>
        </is>
      </c>
      <c r="O2154" s="187" t="inlineStr">
        <is>
          <t>Monitor for developments | Review article for IOCs | Escalate if relevant to your infra</t>
        </is>
      </c>
      <c r="P2154" s="187" t="inlineStr">
        <is>
          <t>Varies - see article</t>
        </is>
      </c>
      <c r="Q2154" s="187" t="inlineStr">
        <is>
          <t>P4</t>
        </is>
      </c>
      <c r="R2154" s="187" t="inlineStr">
        <is>
          <t>📰 Security news alert - monitor for developments | 🔍 Review article for IOCs | 📋 Escalate if relevant to your infrastructure</t>
        </is>
      </c>
      <c r="S2154" s="187" t="inlineStr">
        <is>
          <t>News alert - no IP context</t>
        </is>
      </c>
      <c r="T2154" s="187" t="n">
        <v>0</v>
      </c>
      <c r="U2154" s="187" t="n">
        <v>0</v>
      </c>
      <c r="V2154" s="187" t="inlineStr">
        <is>
          <t>See article for technique context</t>
        </is>
      </c>
      <c r="W2154" s="187" t="n">
        <v>1</v>
      </c>
      <c r="X2154" s="187" t="inlineStr">
        <is>
          <t>LOW (40%)</t>
        </is>
      </c>
      <c r="Y2154" s="187" t="inlineStr">
        <is>
          <t>NONE</t>
        </is>
      </c>
      <c r="Z2154" s="187" t="inlineStr">
        <is>
          <t>NONE</t>
        </is>
      </c>
      <c r="AA2154" s="187" t="inlineStr">
        <is>
          <t>NONE</t>
        </is>
      </c>
      <c r="AB2154" s="187" t="inlineStr">
        <is>
          <t>NONE</t>
        </is>
      </c>
      <c r="AC2154" s="187" t="n">
        <v>0</v>
      </c>
      <c r="AD2154" s="187" t="inlineStr">
        <is>
          <t>SolarWinds patches four critical Serv-U flaws enabling root access</t>
        </is>
      </c>
    </row>
    <row r="2155">
      <c r="A2155" s="187" t="inlineStr">
        <is>
          <t>NEWS_ALERT</t>
        </is>
      </c>
      <c r="B2155" s="187" t="inlineStr">
        <is>
          <t>16400c798c4b</t>
        </is>
      </c>
      <c r="C2155" s="187" t="inlineStr">
        <is>
          <t xml:space="preserve">[SecurityAffairs] VMware Aria Operations flaws could enable remote attacks | Keywords: remote code | Broadcom patched multiple VMware Aria Operations flaws, including high-severity issues that could enable remote code execution. Broadcom has released </t>
        </is>
      </c>
      <c r="D2155" s="187" t="n">
        <v>5</v>
      </c>
      <c r="E2155" s="187" t="inlineStr">
        <is>
          <t>MEDIUM</t>
        </is>
      </c>
      <c r="F2155" s="187" t="n">
        <v>2</v>
      </c>
      <c r="G2155" s="187" t="n">
        <v>1</v>
      </c>
      <c r="H2155" s="187" t="inlineStr">
        <is>
          <t>LOW</t>
        </is>
      </c>
      <c r="I2155" s="187" t="n">
        <v>7</v>
      </c>
      <c r="J2155" s="187" t="inlineStr">
        <is>
          <t>NO</t>
        </is>
      </c>
      <c r="K2155" s="187" t="inlineStr">
        <is>
          <t>https://securityaffairs.com/188445/security/vmware-aria-operations-flaws-could-enable-remote-attacks.html</t>
        </is>
      </c>
      <c r="L2155" s="187" t="inlineStr">
        <is>
          <t>2026-02-24 15:02</t>
        </is>
      </c>
      <c r="M2155" s="187" t="inlineStr">
        <is>
          <t>Monitor</t>
        </is>
      </c>
      <c r="N2155" s="187" t="inlineStr">
        <is>
          <t>https://securityaffairs.com/188445/security/vmware-aria-operations-flaws-could-enable-remote-attacks.html</t>
        </is>
      </c>
      <c r="O2155" s="187" t="inlineStr">
        <is>
          <t>Monitor for developments | Review article for IOCs | Escalate if relevant to your infra</t>
        </is>
      </c>
      <c r="P2155" s="187" t="inlineStr">
        <is>
          <t>Varies - see article</t>
        </is>
      </c>
      <c r="Q2155" s="187" t="inlineStr">
        <is>
          <t>P4</t>
        </is>
      </c>
      <c r="R2155" s="187" t="inlineStr">
        <is>
          <t>📰 Security news alert - monitor for developments | 🔍 Review article for IOCs | 📋 Escalate if relevant to your infrastructure</t>
        </is>
      </c>
      <c r="S2155" s="187" t="inlineStr">
        <is>
          <t>News alert - no IP context</t>
        </is>
      </c>
      <c r="T2155" s="187" t="n">
        <v>0</v>
      </c>
      <c r="U2155" s="187" t="n">
        <v>0</v>
      </c>
      <c r="V2155" s="187" t="inlineStr">
        <is>
          <t>See article for technique context</t>
        </is>
      </c>
      <c r="W2155" s="187" t="n">
        <v>1</v>
      </c>
      <c r="X2155" s="187" t="inlineStr">
        <is>
          <t>LOW (40%)</t>
        </is>
      </c>
      <c r="Y2155" s="187" t="inlineStr">
        <is>
          <t>NONE</t>
        </is>
      </c>
      <c r="Z2155" s="187" t="inlineStr">
        <is>
          <t>NONE</t>
        </is>
      </c>
      <c r="AA2155" s="187" t="inlineStr">
        <is>
          <t>NONE</t>
        </is>
      </c>
      <c r="AB2155" s="187" t="inlineStr">
        <is>
          <t>NONE</t>
        </is>
      </c>
      <c r="AC2155" s="187" t="n">
        <v>0</v>
      </c>
      <c r="AD2155" s="187" t="inlineStr">
        <is>
          <t>VMware Aria Operations flaws could enable remote attacks</t>
        </is>
      </c>
    </row>
    <row r="2156">
      <c r="A2156" s="187" t="inlineStr">
        <is>
          <t>NEWS_ALERT</t>
        </is>
      </c>
      <c r="B2156" s="187" t="inlineStr">
        <is>
          <t>0269d1f0785c</t>
        </is>
      </c>
      <c r="C2156" s="187" t="inlineStr">
        <is>
          <t xml:space="preserve">[SecurityAffairs] Arkanix Stealer: AI-assisted info-stealer shuts down after brief campaign | Keywords: malware | Arkanix Stealer surfaced in late 2025 as a short-lived info-stealer, likely built as an AI-assisted experiment and quickly abandoned. Arkanix Stealer </t>
        </is>
      </c>
      <c r="D2156" s="187" t="n">
        <v>5</v>
      </c>
      <c r="E2156" s="187" t="inlineStr">
        <is>
          <t>MEDIUM</t>
        </is>
      </c>
      <c r="F2156" s="187" t="n">
        <v>2</v>
      </c>
      <c r="G2156" s="187" t="n">
        <v>1</v>
      </c>
      <c r="H2156" s="187" t="inlineStr">
        <is>
          <t>LOW</t>
        </is>
      </c>
      <c r="I2156" s="187" t="n">
        <v>7</v>
      </c>
      <c r="J2156" s="187" t="inlineStr">
        <is>
          <t>NO</t>
        </is>
      </c>
      <c r="K2156" s="187" t="inlineStr">
        <is>
          <t>https://securityaffairs.com/188431/malware/arkanix-stealer-ai-assisted-info-stealer-shuts-down-after-brief-campaign.html</t>
        </is>
      </c>
      <c r="L2156" s="187" t="inlineStr">
        <is>
          <t>2026-02-24 10:52</t>
        </is>
      </c>
      <c r="M2156" s="187" t="inlineStr">
        <is>
          <t>Monitor</t>
        </is>
      </c>
      <c r="N2156" s="187" t="inlineStr">
        <is>
          <t>https://securityaffairs.com/188431/malware/arkanix-stealer-ai-assisted-info-stealer-shuts-down-after-brief-campaign.html</t>
        </is>
      </c>
      <c r="O2156" s="187" t="inlineStr">
        <is>
          <t>Monitor for developments | Review article for IOCs | Escalate if relevant to your infra</t>
        </is>
      </c>
      <c r="P2156" s="187" t="inlineStr">
        <is>
          <t>Varies - see article</t>
        </is>
      </c>
      <c r="Q2156" s="187" t="inlineStr">
        <is>
          <t>P4</t>
        </is>
      </c>
      <c r="R2156" s="187" t="inlineStr">
        <is>
          <t>📰 Security news alert - monitor for developments | 🔍 Review article for IOCs | 📋 Escalate if relevant to your infrastructure</t>
        </is>
      </c>
      <c r="S2156" s="187" t="inlineStr">
        <is>
          <t>News alert - no IP context</t>
        </is>
      </c>
      <c r="T2156" s="187" t="n">
        <v>0</v>
      </c>
      <c r="U2156" s="187" t="n">
        <v>0</v>
      </c>
      <c r="V2156" s="187" t="inlineStr">
        <is>
          <t>See article for technique context</t>
        </is>
      </c>
      <c r="W2156" s="187" t="n">
        <v>1</v>
      </c>
      <c r="X2156" s="187" t="inlineStr">
        <is>
          <t>LOW (40%)</t>
        </is>
      </c>
      <c r="Y2156" s="187" t="inlineStr">
        <is>
          <t>NONE</t>
        </is>
      </c>
      <c r="Z2156" s="187" t="inlineStr">
        <is>
          <t>NONE</t>
        </is>
      </c>
      <c r="AA2156" s="187" t="inlineStr">
        <is>
          <t>NONE</t>
        </is>
      </c>
      <c r="AB2156" s="187" t="inlineStr">
        <is>
          <t>NONE</t>
        </is>
      </c>
      <c r="AC2156" s="187" t="n">
        <v>0</v>
      </c>
      <c r="AD2156" s="187" t="inlineStr">
        <is>
          <t>Arkanix Stealer: AI-assisted info-stealer shuts down after brief campaign</t>
        </is>
      </c>
    </row>
    <row r="2157">
      <c r="A2157" s="187" t="inlineStr">
        <is>
          <t>NEWS_ALERT</t>
        </is>
      </c>
      <c r="B2157" s="187" t="inlineStr">
        <is>
          <t>6ce955393105</t>
        </is>
      </c>
      <c r="C2157" s="187" t="inlineStr">
        <is>
          <t>[SecurityAffairs] Operation MacroMaze: APT28 exploits webhooks for covert data exfiltration | Keywords: malware | Russia-linked APT28 targeted European entities with a webhook-based macro malware campaign called Operation MacroMaze. Russia-linked APT28 (aka UAC-00</t>
        </is>
      </c>
      <c r="D2157" s="187" t="n">
        <v>5</v>
      </c>
      <c r="E2157" s="187" t="inlineStr">
        <is>
          <t>MEDIUM</t>
        </is>
      </c>
      <c r="F2157" s="187" t="n">
        <v>2</v>
      </c>
      <c r="G2157" s="187" t="n">
        <v>1</v>
      </c>
      <c r="H2157" s="187" t="inlineStr">
        <is>
          <t>LOW</t>
        </is>
      </c>
      <c r="I2157" s="187" t="n">
        <v>7</v>
      </c>
      <c r="J2157" s="187" t="inlineStr">
        <is>
          <t>NO</t>
        </is>
      </c>
      <c r="K2157" s="187" t="inlineStr">
        <is>
          <t>https://securityaffairs.com/188421/apt/operation-macromaze-apt28-exploits-webhooks-for-covert-data-exfiltration.html</t>
        </is>
      </c>
      <c r="L2157" s="187" t="inlineStr">
        <is>
          <t>2026-02-24 09:10</t>
        </is>
      </c>
      <c r="M2157" s="187" t="inlineStr">
        <is>
          <t>Monitor</t>
        </is>
      </c>
      <c r="N2157" s="187" t="inlineStr">
        <is>
          <t>https://securityaffairs.com/188421/apt/operation-macromaze-apt28-exploits-webhooks-for-covert-data-exfiltration.html</t>
        </is>
      </c>
      <c r="O2157" s="187" t="inlineStr">
        <is>
          <t>Monitor for developments | Review article for IOCs | Escalate if relevant to your infra</t>
        </is>
      </c>
      <c r="P2157" s="187" t="inlineStr">
        <is>
          <t>Varies - see article</t>
        </is>
      </c>
      <c r="Q2157" s="187" t="inlineStr">
        <is>
          <t>P4</t>
        </is>
      </c>
      <c r="R2157" s="187" t="inlineStr">
        <is>
          <t>📰 Security news alert - monitor for developments | 🔍 Review article for IOCs | 📋 Escalate if relevant to your infrastructure</t>
        </is>
      </c>
      <c r="S2157" s="187" t="inlineStr">
        <is>
          <t>News alert - no IP context</t>
        </is>
      </c>
      <c r="T2157" s="187" t="n">
        <v>0</v>
      </c>
      <c r="U2157" s="187" t="n">
        <v>0</v>
      </c>
      <c r="V2157" s="187" t="inlineStr">
        <is>
          <t>See article for technique context</t>
        </is>
      </c>
      <c r="W2157" s="187" t="n">
        <v>1</v>
      </c>
      <c r="X2157" s="187" t="inlineStr">
        <is>
          <t>LOW (40%)</t>
        </is>
      </c>
      <c r="Y2157" s="187" t="inlineStr">
        <is>
          <t>NONE</t>
        </is>
      </c>
      <c r="Z2157" s="187" t="inlineStr">
        <is>
          <t>NONE</t>
        </is>
      </c>
      <c r="AA2157" s="187" t="inlineStr">
        <is>
          <t>NONE</t>
        </is>
      </c>
      <c r="AB2157" s="187" t="inlineStr">
        <is>
          <t>NONE</t>
        </is>
      </c>
      <c r="AC2157" s="187" t="n">
        <v>0</v>
      </c>
      <c r="AD2157" s="187" t="inlineStr">
        <is>
          <t>Operation MacroMaze: APT28 exploits webhooks for covert data exfiltration</t>
        </is>
      </c>
    </row>
    <row r="2158">
      <c r="A2158" s="187" t="inlineStr">
        <is>
          <t>NEWS_ALERT</t>
        </is>
      </c>
      <c r="B2158" s="187" t="inlineStr">
        <is>
          <t>a740d371f2b8</t>
        </is>
      </c>
      <c r="C2158" s="187" t="inlineStr">
        <is>
          <t xml:space="preserve">[TheHackerNews] Claude Code Flaws Allow Remote Code Execution and API Key Exfiltration | Keywords: exploit, remote code, remote code | Cybersecurity researchers have disclosed multiple security vulnerabilities in Anthropic's Claude Code, an artificial intelligence (AI)-powered coding </t>
        </is>
      </c>
      <c r="D2158" s="187" t="n">
        <v>5</v>
      </c>
      <c r="E2158" s="187" t="inlineStr">
        <is>
          <t>MEDIUM</t>
        </is>
      </c>
      <c r="F2158" s="187" t="n">
        <v>2</v>
      </c>
      <c r="G2158" s="187" t="n">
        <v>1</v>
      </c>
      <c r="H2158" s="187" t="inlineStr">
        <is>
          <t>LOW</t>
        </is>
      </c>
      <c r="I2158" s="187" t="n">
        <v>7</v>
      </c>
      <c r="J2158" s="187" t="inlineStr">
        <is>
          <t>NO</t>
        </is>
      </c>
      <c r="K2158" s="187" t="inlineStr">
        <is>
          <t>https://thehackernews.com/2026/02/claude-code-flaws-allow-remote-code.html</t>
        </is>
      </c>
      <c r="L2158" s="187" t="inlineStr">
        <is>
          <t>2026-02-25 17:00</t>
        </is>
      </c>
      <c r="M2158" s="187" t="inlineStr">
        <is>
          <t>Monitor</t>
        </is>
      </c>
      <c r="N2158" s="187" t="inlineStr">
        <is>
          <t>https://thehackernews.com/2026/02/claude-code-flaws-allow-remote-code.html</t>
        </is>
      </c>
      <c r="O2158" s="187" t="inlineStr">
        <is>
          <t>Monitor for developments | Review article for IOCs | Escalate if relevant to your infra</t>
        </is>
      </c>
      <c r="P2158" s="187" t="inlineStr">
        <is>
          <t>Varies - see article</t>
        </is>
      </c>
      <c r="Q2158" s="187" t="inlineStr">
        <is>
          <t>P4</t>
        </is>
      </c>
      <c r="R2158" s="187" t="inlineStr">
        <is>
          <t>📰 Security news alert - monitor for developments | 🔍 Review article for IOCs | 📋 Escalate if relevant to your infrastructure</t>
        </is>
      </c>
      <c r="S2158" s="187" t="inlineStr">
        <is>
          <t>News alert - no IP context</t>
        </is>
      </c>
      <c r="T2158" s="187" t="n">
        <v>0</v>
      </c>
      <c r="U2158" s="187" t="n">
        <v>0</v>
      </c>
      <c r="V2158" s="187" t="inlineStr">
        <is>
          <t>See article for technique context</t>
        </is>
      </c>
      <c r="W2158" s="187" t="n">
        <v>1</v>
      </c>
      <c r="X2158" s="187" t="inlineStr">
        <is>
          <t>LOW (40%)</t>
        </is>
      </c>
      <c r="Y2158" s="187" t="inlineStr">
        <is>
          <t>NONE</t>
        </is>
      </c>
      <c r="Z2158" s="187" t="inlineStr">
        <is>
          <t>NONE</t>
        </is>
      </c>
      <c r="AA2158" s="187" t="inlineStr">
        <is>
          <t>NONE</t>
        </is>
      </c>
      <c r="AB2158" s="187" t="inlineStr">
        <is>
          <t>NONE</t>
        </is>
      </c>
      <c r="AC2158" s="187" t="n">
        <v>0</v>
      </c>
      <c r="AD2158" s="187" t="inlineStr">
        <is>
          <t>Claude Code Flaws Allow Remote Code Execution and API Key Exfiltration</t>
        </is>
      </c>
    </row>
    <row r="2159">
      <c r="A2159" s="187" t="inlineStr">
        <is>
          <t>NEWS_ALERT</t>
        </is>
      </c>
      <c r="B2159" s="187" t="inlineStr">
        <is>
          <t>9dead3c5f27b</t>
        </is>
      </c>
      <c r="C2159" s="187" t="inlineStr">
        <is>
          <t xml:space="preserve">[TheHackerNews] SLH Offers $500–$1,000 Per Call to Recruit Women for IT Help Desk Vishing Attacks | Keywords: phishing | The notorious cybercrime collective known as Scattered LAPSUS$ Hunters (SLH) has been observed offering financial incentives to recruit women to pull </t>
        </is>
      </c>
      <c r="D2159" s="187" t="n">
        <v>5</v>
      </c>
      <c r="E2159" s="187" t="inlineStr">
        <is>
          <t>MEDIUM</t>
        </is>
      </c>
      <c r="F2159" s="187" t="n">
        <v>2</v>
      </c>
      <c r="G2159" s="187" t="n">
        <v>1</v>
      </c>
      <c r="H2159" s="187" t="inlineStr">
        <is>
          <t>LOW</t>
        </is>
      </c>
      <c r="I2159" s="187" t="n">
        <v>7</v>
      </c>
      <c r="J2159" s="187" t="inlineStr">
        <is>
          <t>NO</t>
        </is>
      </c>
      <c r="K2159" s="187" t="inlineStr">
        <is>
          <t>https://thehackernews.com/2026/02/slh-offers-5001000-per-call-to-recruit.html</t>
        </is>
      </c>
      <c r="L2159" s="187" t="inlineStr">
        <is>
          <t>2026-02-25 15:06</t>
        </is>
      </c>
      <c r="M2159" s="187" t="inlineStr">
        <is>
          <t>Monitor</t>
        </is>
      </c>
      <c r="N2159" s="187" t="inlineStr">
        <is>
          <t>https://thehackernews.com/2026/02/slh-offers-5001000-per-call-to-recruit.html</t>
        </is>
      </c>
      <c r="O2159" s="187" t="inlineStr">
        <is>
          <t>Monitor for developments | Review article for IOCs | Escalate if relevant to your infra</t>
        </is>
      </c>
      <c r="P2159" s="187" t="inlineStr">
        <is>
          <t>Varies - see article</t>
        </is>
      </c>
      <c r="Q2159" s="187" t="inlineStr">
        <is>
          <t>P4</t>
        </is>
      </c>
      <c r="R2159" s="187" t="inlineStr">
        <is>
          <t>📰 Security news alert - monitor for developments | 🔍 Review article for IOCs | 📋 Escalate if relevant to your infrastructure</t>
        </is>
      </c>
      <c r="S2159" s="187" t="inlineStr">
        <is>
          <t>News alert - no IP context</t>
        </is>
      </c>
      <c r="T2159" s="187" t="n">
        <v>0</v>
      </c>
      <c r="U2159" s="187" t="n">
        <v>0</v>
      </c>
      <c r="V2159" s="187" t="inlineStr">
        <is>
          <t>See article for technique context</t>
        </is>
      </c>
      <c r="W2159" s="187" t="n">
        <v>1</v>
      </c>
      <c r="X2159" s="187" t="inlineStr">
        <is>
          <t>LOW (40%)</t>
        </is>
      </c>
      <c r="Y2159" s="187" t="inlineStr">
        <is>
          <t>NONE</t>
        </is>
      </c>
      <c r="Z2159" s="187" t="inlineStr">
        <is>
          <t>NONE</t>
        </is>
      </c>
      <c r="AA2159" s="187" t="inlineStr">
        <is>
          <t>NONE</t>
        </is>
      </c>
      <c r="AB2159" s="187" t="inlineStr">
        <is>
          <t>NONE</t>
        </is>
      </c>
      <c r="AC2159" s="187" t="n">
        <v>0</v>
      </c>
      <c r="AD2159" s="187" t="inlineStr">
        <is>
          <t>SLH Offers $500–$1,000 Per Call to Recruit Women for IT Help Desk Vishing Attacks</t>
        </is>
      </c>
    </row>
    <row r="2160">
      <c r="A2160" s="187" t="inlineStr">
        <is>
          <t>NEWS_ALERT</t>
        </is>
      </c>
      <c r="B2160" s="187" t="inlineStr">
        <is>
          <t>26c7802a3619</t>
        </is>
      </c>
      <c r="C2160" s="187" t="inlineStr">
        <is>
          <t>[TheHackerNews] Malicious NuGet Packages Stole ASP.NET Data; npm Package Dropped Malware | Keywords: malware | Cybersecurity researchers have discovered four malicious NuGet packages that are designed to target ASP.NET web application developers to steal sensit</t>
        </is>
      </c>
      <c r="D2160" s="187" t="n">
        <v>5</v>
      </c>
      <c r="E2160" s="187" t="inlineStr">
        <is>
          <t>MEDIUM</t>
        </is>
      </c>
      <c r="F2160" s="187" t="n">
        <v>2</v>
      </c>
      <c r="G2160" s="187" t="n">
        <v>1</v>
      </c>
      <c r="H2160" s="187" t="inlineStr">
        <is>
          <t>LOW</t>
        </is>
      </c>
      <c r="I2160" s="187" t="n">
        <v>7</v>
      </c>
      <c r="J2160" s="187" t="inlineStr">
        <is>
          <t>NO</t>
        </is>
      </c>
      <c r="K2160" s="187" t="inlineStr">
        <is>
          <t>https://thehackernews.com/2026/02/malicious-nuget-packages-stole-aspnet.html</t>
        </is>
      </c>
      <c r="L2160" s="187" t="inlineStr">
        <is>
          <t>2026-02-25 12:43</t>
        </is>
      </c>
      <c r="M2160" s="187" t="inlineStr">
        <is>
          <t>Monitor</t>
        </is>
      </c>
      <c r="N2160" s="187" t="inlineStr">
        <is>
          <t>https://thehackernews.com/2026/02/malicious-nuget-packages-stole-aspnet.html</t>
        </is>
      </c>
      <c r="O2160" s="187" t="inlineStr">
        <is>
          <t>Monitor for developments | Review article for IOCs | Escalate if relevant to your infra</t>
        </is>
      </c>
      <c r="P2160" s="187" t="inlineStr">
        <is>
          <t>Varies - see article</t>
        </is>
      </c>
      <c r="Q2160" s="187" t="inlineStr">
        <is>
          <t>P4</t>
        </is>
      </c>
      <c r="R2160" s="187" t="inlineStr">
        <is>
          <t>📰 Security news alert - monitor for developments | 🔍 Review article for IOCs | 📋 Escalate if relevant to your infrastructure</t>
        </is>
      </c>
      <c r="S2160" s="187" t="inlineStr">
        <is>
          <t>News alert - no IP context</t>
        </is>
      </c>
      <c r="T2160" s="187" t="n">
        <v>0</v>
      </c>
      <c r="U2160" s="187" t="n">
        <v>0</v>
      </c>
      <c r="V2160" s="187" t="inlineStr">
        <is>
          <t>See article for technique context</t>
        </is>
      </c>
      <c r="W2160" s="187" t="n">
        <v>1</v>
      </c>
      <c r="X2160" s="187" t="inlineStr">
        <is>
          <t>LOW (40%)</t>
        </is>
      </c>
      <c r="Y2160" s="187" t="inlineStr">
        <is>
          <t>NONE</t>
        </is>
      </c>
      <c r="Z2160" s="187" t="inlineStr">
        <is>
          <t>NONE</t>
        </is>
      </c>
      <c r="AA2160" s="187" t="inlineStr">
        <is>
          <t>NONE</t>
        </is>
      </c>
      <c r="AB2160" s="187" t="inlineStr">
        <is>
          <t>NONE</t>
        </is>
      </c>
      <c r="AC2160" s="187" t="n">
        <v>0</v>
      </c>
      <c r="AD2160" s="187" t="inlineStr">
        <is>
          <t>Malicious NuGet Packages Stole ASP.NET Data; npm Package Dropped Malware</t>
        </is>
      </c>
    </row>
    <row r="2161">
      <c r="A2161" s="187" t="inlineStr">
        <is>
          <t>NEWS_ALERT</t>
        </is>
      </c>
      <c r="B2161" s="187" t="inlineStr">
        <is>
          <t>3fa258abafc4</t>
        </is>
      </c>
      <c r="C2161" s="187" t="inlineStr">
        <is>
          <t>[TheHackerNews] Defense Contractor Employee Jailed for Selling 8 Zero-Days to Russian Broker | Keywords: exploit, zero-day | A 39-year-old Australian national who was previously employed at U.S. defense contractor L3Harris has been sentenced to a little over seven years in p</t>
        </is>
      </c>
      <c r="D2161" s="187" t="n">
        <v>5</v>
      </c>
      <c r="E2161" s="187" t="inlineStr">
        <is>
          <t>MEDIUM</t>
        </is>
      </c>
      <c r="F2161" s="187" t="n">
        <v>2</v>
      </c>
      <c r="G2161" s="187" t="n">
        <v>1</v>
      </c>
      <c r="H2161" s="187" t="inlineStr">
        <is>
          <t>LOW</t>
        </is>
      </c>
      <c r="I2161" s="187" t="n">
        <v>7</v>
      </c>
      <c r="J2161" s="187" t="inlineStr">
        <is>
          <t>NO</t>
        </is>
      </c>
      <c r="K2161" s="187" t="inlineStr">
        <is>
          <t>https://thehackernews.com/2026/02/defense-contractor-employee-jailed-for.html</t>
        </is>
      </c>
      <c r="L2161" s="187" t="inlineStr">
        <is>
          <t>2026-02-25 08:49</t>
        </is>
      </c>
      <c r="M2161" s="187" t="inlineStr">
        <is>
          <t>Monitor</t>
        </is>
      </c>
      <c r="N2161" s="187" t="inlineStr">
        <is>
          <t>https://thehackernews.com/2026/02/defense-contractor-employee-jailed-for.html</t>
        </is>
      </c>
      <c r="O2161" s="187" t="inlineStr">
        <is>
          <t>Monitor for developments | Review article for IOCs | Escalate if relevant to your infra</t>
        </is>
      </c>
      <c r="P2161" s="187" t="inlineStr">
        <is>
          <t>Varies - see article</t>
        </is>
      </c>
      <c r="Q2161" s="187" t="inlineStr">
        <is>
          <t>P4</t>
        </is>
      </c>
      <c r="R2161" s="187" t="inlineStr">
        <is>
          <t>📰 Security news alert - monitor for developments | 🔍 Review article for IOCs | 📋 Escalate if relevant to your infrastructure</t>
        </is>
      </c>
      <c r="S2161" s="187" t="inlineStr">
        <is>
          <t>News alert - no IP context</t>
        </is>
      </c>
      <c r="T2161" s="187" t="n">
        <v>0</v>
      </c>
      <c r="U2161" s="187" t="n">
        <v>0</v>
      </c>
      <c r="V2161" s="187" t="inlineStr">
        <is>
          <t>See article for technique context</t>
        </is>
      </c>
      <c r="W2161" s="187" t="n">
        <v>1</v>
      </c>
      <c r="X2161" s="187" t="inlineStr">
        <is>
          <t>LOW (40%)</t>
        </is>
      </c>
      <c r="Y2161" s="187" t="inlineStr">
        <is>
          <t>NONE</t>
        </is>
      </c>
      <c r="Z2161" s="187" t="inlineStr">
        <is>
          <t>NONE</t>
        </is>
      </c>
      <c r="AA2161" s="187" t="inlineStr">
        <is>
          <t>NONE</t>
        </is>
      </c>
      <c r="AB2161" s="187" t="inlineStr">
        <is>
          <t>NONE</t>
        </is>
      </c>
      <c r="AC2161" s="187" t="n">
        <v>0</v>
      </c>
      <c r="AD2161" s="187" t="inlineStr">
        <is>
          <t>Defense Contractor Employee Jailed for Selling 8 Zero-Days to Russian Broker</t>
        </is>
      </c>
    </row>
    <row r="2162">
      <c r="A2162" s="187" t="inlineStr">
        <is>
          <t>NEWS_ALERT</t>
        </is>
      </c>
      <c r="B2162" s="187" t="inlineStr">
        <is>
          <t>56c5d18dd182</t>
        </is>
      </c>
      <c r="C2162" s="187" t="inlineStr">
        <is>
          <t>[TheHackerNews] RoguePilot Flaw in GitHub Codespaces Enabled Copilot to Leak GITHUB_TOKEN | Keywords: exploited | A vulnerability in GitHub Codespaces could have been exploited by bad actors to seize control of repositories by injecting malicious Copilot instructi</t>
        </is>
      </c>
      <c r="D2162" s="187" t="n">
        <v>5</v>
      </c>
      <c r="E2162" s="187" t="inlineStr">
        <is>
          <t>MEDIUM</t>
        </is>
      </c>
      <c r="F2162" s="187" t="n">
        <v>2</v>
      </c>
      <c r="G2162" s="187" t="n">
        <v>1</v>
      </c>
      <c r="H2162" s="187" t="inlineStr">
        <is>
          <t>LOW</t>
        </is>
      </c>
      <c r="I2162" s="187" t="n">
        <v>7</v>
      </c>
      <c r="J2162" s="187" t="inlineStr">
        <is>
          <t>NO</t>
        </is>
      </c>
      <c r="K2162" s="187" t="inlineStr">
        <is>
          <t>https://thehackernews.com/2026/02/roguepilot-flaw-in-github-codespaces.html</t>
        </is>
      </c>
      <c r="L2162" s="187" t="inlineStr">
        <is>
          <t>2026-02-24 18:52</t>
        </is>
      </c>
      <c r="M2162" s="187" t="inlineStr">
        <is>
          <t>Monitor</t>
        </is>
      </c>
      <c r="N2162" s="187" t="inlineStr">
        <is>
          <t>https://thehackernews.com/2026/02/roguepilot-flaw-in-github-codespaces.html</t>
        </is>
      </c>
      <c r="O2162" s="187" t="inlineStr">
        <is>
          <t>Monitor for developments | Review article for IOCs | Escalate if relevant to your infra</t>
        </is>
      </c>
      <c r="P2162" s="187" t="inlineStr">
        <is>
          <t>Varies - see article</t>
        </is>
      </c>
      <c r="Q2162" s="187" t="inlineStr">
        <is>
          <t>P4</t>
        </is>
      </c>
      <c r="R2162" s="187" t="inlineStr">
        <is>
          <t>📰 Security news alert - monitor for developments | 🔍 Review article for IOCs | 📋 Escalate if relevant to your infrastructure</t>
        </is>
      </c>
      <c r="S2162" s="187" t="inlineStr">
        <is>
          <t>News alert - no IP context</t>
        </is>
      </c>
      <c r="T2162" s="187" t="n">
        <v>0</v>
      </c>
      <c r="U2162" s="187" t="n">
        <v>0</v>
      </c>
      <c r="V2162" s="187" t="inlineStr">
        <is>
          <t>See article for technique context</t>
        </is>
      </c>
      <c r="W2162" s="187" t="n">
        <v>1</v>
      </c>
      <c r="X2162" s="187" t="inlineStr">
        <is>
          <t>LOW (40%)</t>
        </is>
      </c>
      <c r="Y2162" s="187" t="inlineStr">
        <is>
          <t>NONE</t>
        </is>
      </c>
      <c r="Z2162" s="187" t="inlineStr">
        <is>
          <t>NONE</t>
        </is>
      </c>
      <c r="AA2162" s="187" t="inlineStr">
        <is>
          <t>NONE</t>
        </is>
      </c>
      <c r="AB2162" s="187" t="inlineStr">
        <is>
          <t>NONE</t>
        </is>
      </c>
      <c r="AC2162" s="187" t="n">
        <v>0</v>
      </c>
      <c r="AD2162" s="187" t="inlineStr">
        <is>
          <t>RoguePilot Flaw in GitHub Codespaces Enabled Copilot to Leak GITHUB_TOKEN</t>
        </is>
      </c>
    </row>
    <row r="2163">
      <c r="A2163" s="187" t="inlineStr">
        <is>
          <t>NEWS_ALERT</t>
        </is>
      </c>
      <c r="B2163" s="187" t="inlineStr">
        <is>
          <t>b4ebc3f34ecc</t>
        </is>
      </c>
      <c r="C2163" s="187" t="inlineStr">
        <is>
          <t>[TheHackerNews] UAC-0050 Targets European Financial Institution With Spoofed Domain and RMS Malware | Keywords: malware, threat actor | A Russia-aligned threat actor has been observed targeting a European financial institution as part of a social engineering attack to likely facilitate</t>
        </is>
      </c>
      <c r="D2163" s="187" t="n">
        <v>5</v>
      </c>
      <c r="E2163" s="187" t="inlineStr">
        <is>
          <t>MEDIUM</t>
        </is>
      </c>
      <c r="F2163" s="187" t="n">
        <v>2</v>
      </c>
      <c r="G2163" s="187" t="n">
        <v>1</v>
      </c>
      <c r="H2163" s="187" t="inlineStr">
        <is>
          <t>LOW</t>
        </is>
      </c>
      <c r="I2163" s="187" t="n">
        <v>7</v>
      </c>
      <c r="J2163" s="187" t="inlineStr">
        <is>
          <t>NO</t>
        </is>
      </c>
      <c r="K2163" s="187" t="inlineStr">
        <is>
          <t>https://thehackernews.com/2026/02/uac-0050-targets-european-financial.html</t>
        </is>
      </c>
      <c r="L2163" s="187" t="inlineStr">
        <is>
          <t>2026-02-24 14:21</t>
        </is>
      </c>
      <c r="M2163" s="187" t="inlineStr">
        <is>
          <t>Monitor</t>
        </is>
      </c>
      <c r="N2163" s="187" t="inlineStr">
        <is>
          <t>https://thehackernews.com/2026/02/uac-0050-targets-european-financial.html</t>
        </is>
      </c>
      <c r="O2163" s="187" t="inlineStr">
        <is>
          <t>Monitor for developments | Review article for IOCs | Escalate if relevant to your infra</t>
        </is>
      </c>
      <c r="P2163" s="187" t="inlineStr">
        <is>
          <t>Varies - see article</t>
        </is>
      </c>
      <c r="Q2163" s="187" t="inlineStr">
        <is>
          <t>P4</t>
        </is>
      </c>
      <c r="R2163" s="187" t="inlineStr">
        <is>
          <t>📰 Security news alert - monitor for developments | 🔍 Review article for IOCs | 📋 Escalate if relevant to your infrastructure</t>
        </is>
      </c>
      <c r="S2163" s="187" t="inlineStr">
        <is>
          <t>News alert - no IP context</t>
        </is>
      </c>
      <c r="T2163" s="187" t="n">
        <v>0</v>
      </c>
      <c r="U2163" s="187" t="n">
        <v>0</v>
      </c>
      <c r="V2163" s="187" t="inlineStr">
        <is>
          <t>See article for technique context</t>
        </is>
      </c>
      <c r="W2163" s="187" t="n">
        <v>1</v>
      </c>
      <c r="X2163" s="187" t="inlineStr">
        <is>
          <t>LOW (40%)</t>
        </is>
      </c>
      <c r="Y2163" s="187" t="inlineStr">
        <is>
          <t>NONE</t>
        </is>
      </c>
      <c r="Z2163" s="187" t="inlineStr">
        <is>
          <t>NONE</t>
        </is>
      </c>
      <c r="AA2163" s="187" t="inlineStr">
        <is>
          <t>NONE</t>
        </is>
      </c>
      <c r="AB2163" s="187" t="inlineStr">
        <is>
          <t>NONE</t>
        </is>
      </c>
      <c r="AC2163" s="187" t="n">
        <v>0</v>
      </c>
      <c r="AD2163" s="187" t="inlineStr">
        <is>
          <t>UAC-0050 Targets European Financial Institution With Spoofed Domain and RMS Malware</t>
        </is>
      </c>
    </row>
    <row r="2164">
      <c r="A2164" s="187" t="inlineStr">
        <is>
          <t>NEWS_ALERT</t>
        </is>
      </c>
      <c r="B2164" s="187" t="inlineStr">
        <is>
          <t>37bd42f3cc8f</t>
        </is>
      </c>
      <c r="C2164" s="187" t="inlineStr">
        <is>
          <t>[DarkReading] RAMP Forum Seizure Fractures Ransomware Ecosystem | Keywords: ransomware | Researchers suggest defenders monitor how these malicious groups re-form and leverage the useful threat intel to guide their next moves.</t>
        </is>
      </c>
      <c r="D2164" s="187" t="n">
        <v>5</v>
      </c>
      <c r="E2164" s="187" t="inlineStr">
        <is>
          <t>MEDIUM</t>
        </is>
      </c>
      <c r="F2164" s="187" t="n">
        <v>2</v>
      </c>
      <c r="G2164" s="187" t="n">
        <v>1</v>
      </c>
      <c r="H2164" s="187" t="inlineStr">
        <is>
          <t>LOW</t>
        </is>
      </c>
      <c r="I2164" s="187" t="n">
        <v>7</v>
      </c>
      <c r="J2164" s="187" t="inlineStr">
        <is>
          <t>NO</t>
        </is>
      </c>
      <c r="K2164" s="187" t="inlineStr">
        <is>
          <t>https://www.darkreading.com/threat-intelligence/ramp-forum-seizure-fractures-ransomware-ecosystem</t>
        </is>
      </c>
      <c r="L2164" s="187" t="inlineStr">
        <is>
          <t>2026-02-25 21:14</t>
        </is>
      </c>
      <c r="M2164" s="187" t="inlineStr">
        <is>
          <t>Monitor</t>
        </is>
      </c>
      <c r="N2164" s="187" t="inlineStr">
        <is>
          <t>https://www.darkreading.com/threat-intelligence/ramp-forum-seizure-fractures-ransomware-ecosystem</t>
        </is>
      </c>
      <c r="O2164" s="187" t="inlineStr">
        <is>
          <t>Monitor for developments | Review article for IOCs | Escalate if relevant to your infra</t>
        </is>
      </c>
      <c r="P2164" s="187" t="inlineStr">
        <is>
          <t>Varies - see article</t>
        </is>
      </c>
      <c r="Q2164" s="187" t="inlineStr">
        <is>
          <t>P4</t>
        </is>
      </c>
      <c r="R2164" s="187" t="inlineStr">
        <is>
          <t>📰 Security news alert - monitor for developments | 🔍 Review article for IOCs | 📋 Escalate if relevant to your infrastructure</t>
        </is>
      </c>
      <c r="S2164" s="187" t="inlineStr">
        <is>
          <t>News alert - no IP context</t>
        </is>
      </c>
      <c r="T2164" s="187" t="n">
        <v>0</v>
      </c>
      <c r="U2164" s="187" t="n">
        <v>0</v>
      </c>
      <c r="V2164" s="187" t="inlineStr">
        <is>
          <t>See article for technique context</t>
        </is>
      </c>
      <c r="W2164" s="187" t="n">
        <v>1</v>
      </c>
      <c r="X2164" s="187" t="inlineStr">
        <is>
          <t>LOW (40%)</t>
        </is>
      </c>
      <c r="Y2164" s="187" t="inlineStr">
        <is>
          <t>NONE</t>
        </is>
      </c>
      <c r="Z2164" s="187" t="inlineStr">
        <is>
          <t>NONE</t>
        </is>
      </c>
      <c r="AA2164" s="187" t="inlineStr">
        <is>
          <t>NONE</t>
        </is>
      </c>
      <c r="AB2164" s="187" t="inlineStr">
        <is>
          <t>NONE</t>
        </is>
      </c>
      <c r="AC2164" s="187" t="n">
        <v>0</v>
      </c>
      <c r="AD2164" s="187" t="inlineStr">
        <is>
          <t>RAMP Forum Seizure Fractures Ransomware Ecosystem</t>
        </is>
      </c>
    </row>
    <row r="2165">
      <c r="A2165" s="187" t="inlineStr">
        <is>
          <t>NEWS_ALERT</t>
        </is>
      </c>
      <c r="B2165" s="187" t="inlineStr">
        <is>
          <t>e4492680030e</t>
        </is>
      </c>
      <c r="C2165" s="187" t="inlineStr">
        <is>
          <t>[DarkReading] Lazarus Group Picks a New Poison: Medusa Ransomware | Keywords: backdoor, ransomware | The North Korean threat group also leveraged Comebacker backdoor, Blindingcan RAT, and info stealer Infohook in its recent attacks.</t>
        </is>
      </c>
      <c r="D2165" s="187" t="n">
        <v>5</v>
      </c>
      <c r="E2165" s="187" t="inlineStr">
        <is>
          <t>MEDIUM</t>
        </is>
      </c>
      <c r="F2165" s="187" t="n">
        <v>2</v>
      </c>
      <c r="G2165" s="187" t="n">
        <v>1</v>
      </c>
      <c r="H2165" s="187" t="inlineStr">
        <is>
          <t>LOW</t>
        </is>
      </c>
      <c r="I2165" s="187" t="n">
        <v>7</v>
      </c>
      <c r="J2165" s="187" t="inlineStr">
        <is>
          <t>NO</t>
        </is>
      </c>
      <c r="K2165" s="187" t="inlineStr">
        <is>
          <t>https://www.darkreading.com/cyberattacks-data-breaches/lazarus-group-new-position-medusa-ransomware</t>
        </is>
      </c>
      <c r="L2165" s="187" t="inlineStr">
        <is>
          <t>2026-02-24 21:18</t>
        </is>
      </c>
      <c r="M2165" s="187" t="inlineStr">
        <is>
          <t>Monitor</t>
        </is>
      </c>
      <c r="N2165" s="187" t="inlineStr">
        <is>
          <t>https://www.darkreading.com/cyberattacks-data-breaches/lazarus-group-new-position-medusa-ransomware</t>
        </is>
      </c>
      <c r="O2165" s="187" t="inlineStr">
        <is>
          <t>Monitor for developments | Review article for IOCs | Escalate if relevant to your infra</t>
        </is>
      </c>
      <c r="P2165" s="187" t="inlineStr">
        <is>
          <t>Varies - see article</t>
        </is>
      </c>
      <c r="Q2165" s="187" t="inlineStr">
        <is>
          <t>P4</t>
        </is>
      </c>
      <c r="R2165" s="187" t="inlineStr">
        <is>
          <t>📰 Security news alert - monitor for developments | 🔍 Review article for IOCs | 📋 Escalate if relevant to your infrastructure</t>
        </is>
      </c>
      <c r="S2165" s="187" t="inlineStr">
        <is>
          <t>News alert - no IP context</t>
        </is>
      </c>
      <c r="T2165" s="187" t="n">
        <v>0</v>
      </c>
      <c r="U2165" s="187" t="n">
        <v>0</v>
      </c>
      <c r="V2165" s="187" t="inlineStr">
        <is>
          <t>See article for technique context</t>
        </is>
      </c>
      <c r="W2165" s="187" t="n">
        <v>1</v>
      </c>
      <c r="X2165" s="187" t="inlineStr">
        <is>
          <t>LOW (40%)</t>
        </is>
      </c>
      <c r="Y2165" s="187" t="inlineStr">
        <is>
          <t>NONE</t>
        </is>
      </c>
      <c r="Z2165" s="187" t="inlineStr">
        <is>
          <t>NONE</t>
        </is>
      </c>
      <c r="AA2165" s="187" t="inlineStr">
        <is>
          <t>NONE</t>
        </is>
      </c>
      <c r="AB2165" s="187" t="inlineStr">
        <is>
          <t>NONE</t>
        </is>
      </c>
      <c r="AC2165" s="187" t="n">
        <v>0</v>
      </c>
      <c r="AD2165" s="187" t="inlineStr">
        <is>
          <t>Lazarus Group Picks a New Poison: Medusa Ransomware</t>
        </is>
      </c>
    </row>
    <row r="2166">
      <c r="A2166" s="187" t="inlineStr">
        <is>
          <t>NEWS_ALERT</t>
        </is>
      </c>
      <c r="B2166" s="187" t="inlineStr">
        <is>
          <t>4b94ac7dc33a</t>
        </is>
      </c>
      <c r="C2166" s="187" t="inlineStr">
        <is>
          <t>[DarkReading] Iran's MuddyWater Targets Orgs With Fresh Malware as Tensions Mount | Keywords: malware | The long-active Iranian threat group debuted various attack strains and payloads in attacks against organizations in the Middle East and Africa.</t>
        </is>
      </c>
      <c r="D2166" s="187" t="n">
        <v>5</v>
      </c>
      <c r="E2166" s="187" t="inlineStr">
        <is>
          <t>MEDIUM</t>
        </is>
      </c>
      <c r="F2166" s="187" t="n">
        <v>2</v>
      </c>
      <c r="G2166" s="187" t="n">
        <v>1</v>
      </c>
      <c r="H2166" s="187" t="inlineStr">
        <is>
          <t>LOW</t>
        </is>
      </c>
      <c r="I2166" s="187" t="n">
        <v>7</v>
      </c>
      <c r="J2166" s="187" t="inlineStr">
        <is>
          <t>NO</t>
        </is>
      </c>
      <c r="K2166" s="187" t="inlineStr">
        <is>
          <t>https://www.darkreading.com/threat-intelligence/iran-muddywater-new-malware-tensions-mount</t>
        </is>
      </c>
      <c r="L2166" s="187" t="inlineStr">
        <is>
          <t>2026-02-23 20:35</t>
        </is>
      </c>
      <c r="M2166" s="187" t="inlineStr">
        <is>
          <t>Monitor</t>
        </is>
      </c>
      <c r="N2166" s="187" t="inlineStr">
        <is>
          <t>https://www.darkreading.com/threat-intelligence/iran-muddywater-new-malware-tensions-mount</t>
        </is>
      </c>
      <c r="O2166" s="187" t="inlineStr">
        <is>
          <t>Monitor for developments | Review article for IOCs | Escalate if relevant to your infra</t>
        </is>
      </c>
      <c r="P2166" s="187" t="inlineStr">
        <is>
          <t>Varies - see article</t>
        </is>
      </c>
      <c r="Q2166" s="187" t="inlineStr">
        <is>
          <t>P4</t>
        </is>
      </c>
      <c r="R2166" s="187" t="inlineStr">
        <is>
          <t>📰 Security news alert - monitor for developments | 🔍 Review article for IOCs | 📋 Escalate if relevant to your infrastructure</t>
        </is>
      </c>
      <c r="S2166" s="187" t="inlineStr">
        <is>
          <t>News alert - no IP context</t>
        </is>
      </c>
      <c r="T2166" s="187" t="n">
        <v>0</v>
      </c>
      <c r="U2166" s="187" t="n">
        <v>0</v>
      </c>
      <c r="V2166" s="187" t="inlineStr">
        <is>
          <t>See article for technique context</t>
        </is>
      </c>
      <c r="W2166" s="187" t="n">
        <v>1</v>
      </c>
      <c r="X2166" s="187" t="inlineStr">
        <is>
          <t>LOW (40%)</t>
        </is>
      </c>
      <c r="Y2166" s="187" t="inlineStr">
        <is>
          <t>NONE</t>
        </is>
      </c>
      <c r="Z2166" s="187" t="inlineStr">
        <is>
          <t>NONE</t>
        </is>
      </c>
      <c r="AA2166" s="187" t="inlineStr">
        <is>
          <t>NONE</t>
        </is>
      </c>
      <c r="AB2166" s="187" t="inlineStr">
        <is>
          <t>NONE</t>
        </is>
      </c>
      <c r="AC2166" s="187" t="n">
        <v>0</v>
      </c>
      <c r="AD2166" s="187" t="inlineStr">
        <is>
          <t>Iran's MuddyWater Targets Orgs With Fresh Malware as Tensions Mount</t>
        </is>
      </c>
    </row>
    <row r="2167">
      <c r="A2167" s="187" t="inlineStr">
        <is>
          <t>NEWS_ALERT</t>
        </is>
      </c>
      <c r="B2167" s="187" t="inlineStr">
        <is>
          <t>a1f616d28251</t>
        </is>
      </c>
      <c r="C2167" s="187" t="inlineStr">
        <is>
          <t>[DarkReading] 600+ FortiGate Devices Hacked by AI-Armed Amateur | Keywords: ransomware | A Russian-speaking hacker used generative AI to compromise the FortiGate firewalls, targeting credentials and backups for possible follow-on ransomwar</t>
        </is>
      </c>
      <c r="D2167" s="187" t="n">
        <v>5</v>
      </c>
      <c r="E2167" s="187" t="inlineStr">
        <is>
          <t>MEDIUM</t>
        </is>
      </c>
      <c r="F2167" s="187" t="n">
        <v>2</v>
      </c>
      <c r="G2167" s="187" t="n">
        <v>1</v>
      </c>
      <c r="H2167" s="187" t="inlineStr">
        <is>
          <t>LOW</t>
        </is>
      </c>
      <c r="I2167" s="187" t="n">
        <v>7</v>
      </c>
      <c r="J2167" s="187" t="inlineStr">
        <is>
          <t>NO</t>
        </is>
      </c>
      <c r="K2167" s="187" t="inlineStr">
        <is>
          <t>https://www.darkreading.com/threat-intelligence/600-fortigate-devices-hacked-ai-amateur</t>
        </is>
      </c>
      <c r="L2167" s="187" t="inlineStr">
        <is>
          <t>2026-02-23 19:37</t>
        </is>
      </c>
      <c r="M2167" s="187" t="inlineStr">
        <is>
          <t>Monitor</t>
        </is>
      </c>
      <c r="N2167" s="187" t="inlineStr">
        <is>
          <t>https://www.darkreading.com/threat-intelligence/600-fortigate-devices-hacked-ai-amateur</t>
        </is>
      </c>
      <c r="O2167" s="187" t="inlineStr">
        <is>
          <t>Monitor for developments | Review article for IOCs | Escalate if relevant to your infra</t>
        </is>
      </c>
      <c r="P2167" s="187" t="inlineStr">
        <is>
          <t>Varies - see article</t>
        </is>
      </c>
      <c r="Q2167" s="187" t="inlineStr">
        <is>
          <t>P4</t>
        </is>
      </c>
      <c r="R2167" s="187" t="inlineStr">
        <is>
          <t>📰 Security news alert - monitor for developments | 🔍 Review article for IOCs | 📋 Escalate if relevant to your infrastructure</t>
        </is>
      </c>
      <c r="S2167" s="187" t="inlineStr">
        <is>
          <t>News alert - no IP context</t>
        </is>
      </c>
      <c r="T2167" s="187" t="n">
        <v>0</v>
      </c>
      <c r="U2167" s="187" t="n">
        <v>0</v>
      </c>
      <c r="V2167" s="187" t="inlineStr">
        <is>
          <t>See article for technique context</t>
        </is>
      </c>
      <c r="W2167" s="187" t="n">
        <v>1</v>
      </c>
      <c r="X2167" s="187" t="inlineStr">
        <is>
          <t>LOW (40%)</t>
        </is>
      </c>
      <c r="Y2167" s="187" t="inlineStr">
        <is>
          <t>NONE</t>
        </is>
      </c>
      <c r="Z2167" s="187" t="inlineStr">
        <is>
          <t>NONE</t>
        </is>
      </c>
      <c r="AA2167" s="187" t="inlineStr">
        <is>
          <t>NONE</t>
        </is>
      </c>
      <c r="AB2167" s="187" t="inlineStr">
        <is>
          <t>NONE</t>
        </is>
      </c>
      <c r="AC2167" s="187" t="n">
        <v>0</v>
      </c>
      <c r="AD2167" s="187" t="inlineStr">
        <is>
          <t>600+ FortiGate Devices Hacked by AI-Armed Amateur</t>
        </is>
      </c>
    </row>
    <row r="2168">
      <c r="A2168" s="187" t="inlineStr">
        <is>
          <t>NEWS_ALERT</t>
        </is>
      </c>
      <c r="B2168" s="187" t="inlineStr">
        <is>
          <t>1e431b14e86f</t>
        </is>
      </c>
      <c r="C2168" s="187" t="inlineStr">
        <is>
          <t>[InfoSecurityMagazine] Multifaceted Phishing Scheme Deceives Bitpanda Customers | Keywords: phishing | Phishing attack mimicking Bitpanda targets users, harvesting credentials and personal information</t>
        </is>
      </c>
      <c r="D2168" s="187" t="n">
        <v>5</v>
      </c>
      <c r="E2168" s="187" t="inlineStr">
        <is>
          <t>MEDIUM</t>
        </is>
      </c>
      <c r="F2168" s="187" t="n">
        <v>2</v>
      </c>
      <c r="G2168" s="187" t="n">
        <v>1</v>
      </c>
      <c r="H2168" s="187" t="inlineStr">
        <is>
          <t>LOW</t>
        </is>
      </c>
      <c r="I2168" s="187" t="n">
        <v>7</v>
      </c>
      <c r="J2168" s="187" t="inlineStr">
        <is>
          <t>NO</t>
        </is>
      </c>
      <c r="K2168" s="187" t="inlineStr">
        <is>
          <t>https://www.infosecurity-magazine.com/news/bitpanda-mfa-phishing-scheme/</t>
        </is>
      </c>
      <c r="L2168" s="187" t="inlineStr">
        <is>
          <t>2026-02-24 16:05</t>
        </is>
      </c>
      <c r="M2168" s="187" t="inlineStr">
        <is>
          <t>Monitor</t>
        </is>
      </c>
      <c r="N2168" s="187" t="inlineStr">
        <is>
          <t>https://www.infosecurity-magazine.com/news/bitpanda-mfa-phishing-scheme/</t>
        </is>
      </c>
      <c r="O2168" s="187" t="inlineStr">
        <is>
          <t>Monitor for developments | Review article for IOCs | Escalate if relevant to your infra</t>
        </is>
      </c>
      <c r="P2168" s="187" t="inlineStr">
        <is>
          <t>Varies - see article</t>
        </is>
      </c>
      <c r="Q2168" s="187" t="inlineStr">
        <is>
          <t>P4</t>
        </is>
      </c>
      <c r="R2168" s="187" t="inlineStr">
        <is>
          <t>📰 Security news alert - monitor for developments | 🔍 Review article for IOCs | 📋 Escalate if relevant to your infrastructure</t>
        </is>
      </c>
      <c r="S2168" s="187" t="inlineStr">
        <is>
          <t>News alert - no IP context</t>
        </is>
      </c>
      <c r="T2168" s="187" t="n">
        <v>0</v>
      </c>
      <c r="U2168" s="187" t="n">
        <v>0</v>
      </c>
      <c r="V2168" s="187" t="inlineStr">
        <is>
          <t>See article for technique context</t>
        </is>
      </c>
      <c r="W2168" s="187" t="n">
        <v>1</v>
      </c>
      <c r="X2168" s="187" t="inlineStr">
        <is>
          <t>LOW (40%)</t>
        </is>
      </c>
      <c r="Y2168" s="187" t="inlineStr">
        <is>
          <t>NONE</t>
        </is>
      </c>
      <c r="Z2168" s="187" t="inlineStr">
        <is>
          <t>NONE</t>
        </is>
      </c>
      <c r="AA2168" s="187" t="inlineStr">
        <is>
          <t>NONE</t>
        </is>
      </c>
      <c r="AB2168" s="187" t="inlineStr">
        <is>
          <t>NONE</t>
        </is>
      </c>
      <c r="AC2168" s="187" t="n">
        <v>0</v>
      </c>
      <c r="AD2168" s="187" t="inlineStr">
        <is>
          <t>Multifaceted Phishing Scheme Deceives Bitpanda Customers</t>
        </is>
      </c>
    </row>
    <row r="2169">
      <c r="A2169" s="187" t="inlineStr">
        <is>
          <t>NEWS_ALERT</t>
        </is>
      </c>
      <c r="B2169" s="187" t="inlineStr">
        <is>
          <t>a5f3c1df0f58</t>
        </is>
      </c>
      <c r="C2169" s="187" t="inlineStr">
        <is>
          <t>[InfoSecurityMagazine] North Korean Lazarus Group Expands Ransomware Activity With Medusa | Keywords: ransomware | Ransomware Medusa linked to North Korean hackers targets US healthcare amid ongoing attacks</t>
        </is>
      </c>
      <c r="D2169" s="187" t="n">
        <v>5</v>
      </c>
      <c r="E2169" s="187" t="inlineStr">
        <is>
          <t>MEDIUM</t>
        </is>
      </c>
      <c r="F2169" s="187" t="n">
        <v>2</v>
      </c>
      <c r="G2169" s="187" t="n">
        <v>1</v>
      </c>
      <c r="H2169" s="187" t="inlineStr">
        <is>
          <t>LOW</t>
        </is>
      </c>
      <c r="I2169" s="187" t="n">
        <v>7</v>
      </c>
      <c r="J2169" s="187" t="inlineStr">
        <is>
          <t>NO</t>
        </is>
      </c>
      <c r="K2169" s="187" t="inlineStr">
        <is>
          <t>https://www.infosecurity-magazine.com/news/north-korean-lazarus-group-medusa/</t>
        </is>
      </c>
      <c r="L2169" s="187" t="inlineStr">
        <is>
          <t>2026-02-24 14:30</t>
        </is>
      </c>
      <c r="M2169" s="187" t="inlineStr">
        <is>
          <t>Monitor</t>
        </is>
      </c>
      <c r="N2169" s="187" t="inlineStr">
        <is>
          <t>https://www.infosecurity-magazine.com/news/north-korean-lazarus-group-medusa/</t>
        </is>
      </c>
      <c r="O2169" s="187" t="inlineStr">
        <is>
          <t>Monitor for developments | Review article for IOCs | Escalate if relevant to your infra</t>
        </is>
      </c>
      <c r="P2169" s="187" t="inlineStr">
        <is>
          <t>Varies - see article</t>
        </is>
      </c>
      <c r="Q2169" s="187" t="inlineStr">
        <is>
          <t>P4</t>
        </is>
      </c>
      <c r="R2169" s="187" t="inlineStr">
        <is>
          <t>📰 Security news alert - monitor for developments | 🔍 Review article for IOCs | 📋 Escalate if relevant to your infrastructure</t>
        </is>
      </c>
      <c r="S2169" s="187" t="inlineStr">
        <is>
          <t>News alert - no IP context</t>
        </is>
      </c>
      <c r="T2169" s="187" t="n">
        <v>0</v>
      </c>
      <c r="U2169" s="187" t="n">
        <v>0</v>
      </c>
      <c r="V2169" s="187" t="inlineStr">
        <is>
          <t>See article for technique context</t>
        </is>
      </c>
      <c r="W2169" s="187" t="n">
        <v>1</v>
      </c>
      <c r="X2169" s="187" t="inlineStr">
        <is>
          <t>LOW (40%)</t>
        </is>
      </c>
      <c r="Y2169" s="187" t="inlineStr">
        <is>
          <t>NONE</t>
        </is>
      </c>
      <c r="Z2169" s="187" t="inlineStr">
        <is>
          <t>NONE</t>
        </is>
      </c>
      <c r="AA2169" s="187" t="inlineStr">
        <is>
          <t>NONE</t>
        </is>
      </c>
      <c r="AB2169" s="187" t="inlineStr">
        <is>
          <t>NONE</t>
        </is>
      </c>
      <c r="AC2169" s="187" t="n">
        <v>0</v>
      </c>
      <c r="AD2169" s="187" t="inlineStr">
        <is>
          <t>North Korean Lazarus Group Expands Ransomware Activity With Medusa</t>
        </is>
      </c>
    </row>
    <row r="2170">
      <c r="A2170" s="187" t="inlineStr">
        <is>
          <t>NEWS_ALERT</t>
        </is>
      </c>
      <c r="B2170" s="187" t="inlineStr">
        <is>
          <t>75935f41b40b</t>
        </is>
      </c>
      <c r="C2170" s="187" t="inlineStr">
        <is>
          <t>[InfoSecurityMagazine] Shai-Hulud-Like Worm Targets Developers via npm and AI Tools | Keywords: malware, supply chain | Supply chain worm mimicking Shai-Hulud malware spread via malicious npm packages, targeting AI tools has been identified by security researchers</t>
        </is>
      </c>
      <c r="D2170" s="187" t="n">
        <v>5</v>
      </c>
      <c r="E2170" s="187" t="inlineStr">
        <is>
          <t>MEDIUM</t>
        </is>
      </c>
      <c r="F2170" s="187" t="n">
        <v>2</v>
      </c>
      <c r="G2170" s="187" t="n">
        <v>1</v>
      </c>
      <c r="H2170" s="187" t="inlineStr">
        <is>
          <t>LOW</t>
        </is>
      </c>
      <c r="I2170" s="187" t="n">
        <v>7</v>
      </c>
      <c r="J2170" s="187" t="inlineStr">
        <is>
          <t>NO</t>
        </is>
      </c>
      <c r="K2170" s="187" t="inlineStr">
        <is>
          <t>https://www.infosecurity-magazine.com/news/shai-hulud-like-worm-devs-npm-ai/</t>
        </is>
      </c>
      <c r="L2170" s="187" t="inlineStr">
        <is>
          <t>2026-02-23 16:00</t>
        </is>
      </c>
      <c r="M2170" s="187" t="inlineStr">
        <is>
          <t>Monitor</t>
        </is>
      </c>
      <c r="N2170" s="187" t="inlineStr">
        <is>
          <t>https://www.infosecurity-magazine.com/news/shai-hulud-like-worm-devs-npm-ai/</t>
        </is>
      </c>
      <c r="O2170" s="187" t="inlineStr">
        <is>
          <t>Monitor for developments | Review article for IOCs | Escalate if relevant to your infra</t>
        </is>
      </c>
      <c r="P2170" s="187" t="inlineStr">
        <is>
          <t>Varies - see article</t>
        </is>
      </c>
      <c r="Q2170" s="187" t="inlineStr">
        <is>
          <t>P4</t>
        </is>
      </c>
      <c r="R2170" s="187" t="inlineStr">
        <is>
          <t>📰 Security news alert - monitor for developments | 🔍 Review article for IOCs | 📋 Escalate if relevant to your infrastructure</t>
        </is>
      </c>
      <c r="S2170" s="187" t="inlineStr">
        <is>
          <t>News alert - no IP context</t>
        </is>
      </c>
      <c r="T2170" s="187" t="n">
        <v>0</v>
      </c>
      <c r="U2170" s="187" t="n">
        <v>0</v>
      </c>
      <c r="V2170" s="187" t="inlineStr">
        <is>
          <t>See article for technique context</t>
        </is>
      </c>
      <c r="W2170" s="187" t="n">
        <v>1</v>
      </c>
      <c r="X2170" s="187" t="inlineStr">
        <is>
          <t>LOW (40%)</t>
        </is>
      </c>
      <c r="Y2170" s="187" t="inlineStr">
        <is>
          <t>NONE</t>
        </is>
      </c>
      <c r="Z2170" s="187" t="inlineStr">
        <is>
          <t>NONE</t>
        </is>
      </c>
      <c r="AA2170" s="187" t="inlineStr">
        <is>
          <t>NONE</t>
        </is>
      </c>
      <c r="AB2170" s="187" t="inlineStr">
        <is>
          <t>NONE</t>
        </is>
      </c>
      <c r="AC2170" s="187" t="n">
        <v>0</v>
      </c>
      <c r="AD2170" s="187" t="inlineStr">
        <is>
          <t>Shai-Hulud-Like Worm Targets Developers via npm and AI Tools</t>
        </is>
      </c>
    </row>
    <row r="2171">
      <c r="A2171" s="187" t="inlineStr">
        <is>
          <t>NEWS_ALERT</t>
        </is>
      </c>
      <c r="B2171" s="187" t="inlineStr">
        <is>
          <t>da4894bed38c</t>
        </is>
      </c>
      <c r="C2171" s="187" t="inlineStr">
        <is>
          <t>[InfoSecurityMagazine] Fraud Investigation Reveals Sophisticated Python Malware | Keywords: malware, malware | Sophisticated Python malware uncovered in fraud probe shows obfuscation, disposable infrastructure</t>
        </is>
      </c>
      <c r="D2171" s="187" t="n">
        <v>5</v>
      </c>
      <c r="E2171" s="187" t="inlineStr">
        <is>
          <t>MEDIUM</t>
        </is>
      </c>
      <c r="F2171" s="187" t="n">
        <v>2</v>
      </c>
      <c r="G2171" s="187" t="n">
        <v>1</v>
      </c>
      <c r="H2171" s="187" t="inlineStr">
        <is>
          <t>LOW</t>
        </is>
      </c>
      <c r="I2171" s="187" t="n">
        <v>7</v>
      </c>
      <c r="J2171" s="187" t="inlineStr">
        <is>
          <t>NO</t>
        </is>
      </c>
      <c r="K2171" s="187" t="inlineStr">
        <is>
          <t>https://www.infosecurity-magazine.com/news/fraud-investigation-python-malware/</t>
        </is>
      </c>
      <c r="L2171" s="187" t="inlineStr">
        <is>
          <t>2026-02-23 15:30</t>
        </is>
      </c>
      <c r="M2171" s="187" t="inlineStr">
        <is>
          <t>Monitor</t>
        </is>
      </c>
      <c r="N2171" s="187" t="inlineStr">
        <is>
          <t>https://www.infosecurity-magazine.com/news/fraud-investigation-python-malware/</t>
        </is>
      </c>
      <c r="O2171" s="187" t="inlineStr">
        <is>
          <t>Monitor for developments | Review article for IOCs | Escalate if relevant to your infra</t>
        </is>
      </c>
      <c r="P2171" s="187" t="inlineStr">
        <is>
          <t>Varies - see article</t>
        </is>
      </c>
      <c r="Q2171" s="187" t="inlineStr">
        <is>
          <t>P4</t>
        </is>
      </c>
      <c r="R2171" s="187" t="inlineStr">
        <is>
          <t>📰 Security news alert - monitor for developments | 🔍 Review article for IOCs | 📋 Escalate if relevant to your infrastructure</t>
        </is>
      </c>
      <c r="S2171" s="187" t="inlineStr">
        <is>
          <t>News alert - no IP context</t>
        </is>
      </c>
      <c r="T2171" s="187" t="n">
        <v>0</v>
      </c>
      <c r="U2171" s="187" t="n">
        <v>0</v>
      </c>
      <c r="V2171" s="187" t="inlineStr">
        <is>
          <t>See article for technique context</t>
        </is>
      </c>
      <c r="W2171" s="187" t="n">
        <v>1</v>
      </c>
      <c r="X2171" s="187" t="inlineStr">
        <is>
          <t>LOW (40%)</t>
        </is>
      </c>
      <c r="Y2171" s="187" t="inlineStr">
        <is>
          <t>NONE</t>
        </is>
      </c>
      <c r="Z2171" s="187" t="inlineStr">
        <is>
          <t>NONE</t>
        </is>
      </c>
      <c r="AA2171" s="187" t="inlineStr">
        <is>
          <t>NONE</t>
        </is>
      </c>
      <c r="AB2171" s="187" t="inlineStr">
        <is>
          <t>NONE</t>
        </is>
      </c>
      <c r="AC2171" s="187" t="n">
        <v>0</v>
      </c>
      <c r="AD2171" s="187" t="inlineStr">
        <is>
          <t>Fraud Investigation Reveals Sophisticated Python Malware</t>
        </is>
      </c>
    </row>
    <row r="2172">
      <c r="A2172" s="187" t="inlineStr">
        <is>
          <t>NEWS_ALERT</t>
        </is>
      </c>
      <c r="B2172" s="187" t="inlineStr">
        <is>
          <t>7d5ad9fea583</t>
        </is>
      </c>
      <c r="C2172" s="187" t="inlineStr">
        <is>
          <t>[InfoSecurityMagazine] Russian Cyber Threat Actor Uses GenAI to Compromise Fortinet Firewalls | Keywords: threat actor | A low-skilled Russian-speaking attacker has used GenAI tools to help deploy a successful attack workflow targeting FortiGate instances</t>
        </is>
      </c>
      <c r="D2172" s="187" t="n">
        <v>5</v>
      </c>
      <c r="E2172" s="187" t="inlineStr">
        <is>
          <t>MEDIUM</t>
        </is>
      </c>
      <c r="F2172" s="187" t="n">
        <v>2</v>
      </c>
      <c r="G2172" s="187" t="n">
        <v>1</v>
      </c>
      <c r="H2172" s="187" t="inlineStr">
        <is>
          <t>LOW</t>
        </is>
      </c>
      <c r="I2172" s="187" t="n">
        <v>7</v>
      </c>
      <c r="J2172" s="187" t="inlineStr">
        <is>
          <t>NO</t>
        </is>
      </c>
      <c r="K2172" s="187" t="inlineStr">
        <is>
          <t>https://www.infosecurity-magazine.com/news/russian-threat-actor-genai/</t>
        </is>
      </c>
      <c r="L2172" s="187" t="inlineStr">
        <is>
          <t>2026-02-23 12:30</t>
        </is>
      </c>
      <c r="M2172" s="187" t="inlineStr">
        <is>
          <t>Monitor</t>
        </is>
      </c>
      <c r="N2172" s="187" t="inlineStr">
        <is>
          <t>https://www.infosecurity-magazine.com/news/russian-threat-actor-genai/</t>
        </is>
      </c>
      <c r="O2172" s="187" t="inlineStr">
        <is>
          <t>Monitor for developments | Review article for IOCs | Escalate if relevant to your infra</t>
        </is>
      </c>
      <c r="P2172" s="187" t="inlineStr">
        <is>
          <t>Varies - see article</t>
        </is>
      </c>
      <c r="Q2172" s="187" t="inlineStr">
        <is>
          <t>P4</t>
        </is>
      </c>
      <c r="R2172" s="187" t="inlineStr">
        <is>
          <t>📰 Security news alert - monitor for developments | 🔍 Review article for IOCs | 📋 Escalate if relevant to your infrastructure</t>
        </is>
      </c>
      <c r="S2172" s="187" t="inlineStr">
        <is>
          <t>News alert - no IP context</t>
        </is>
      </c>
      <c r="T2172" s="187" t="n">
        <v>0</v>
      </c>
      <c r="U2172" s="187" t="n">
        <v>0</v>
      </c>
      <c r="V2172" s="187" t="inlineStr">
        <is>
          <t>See article for technique context</t>
        </is>
      </c>
      <c r="W2172" s="187" t="n">
        <v>1</v>
      </c>
      <c r="X2172" s="187" t="inlineStr">
        <is>
          <t>LOW (40%)</t>
        </is>
      </c>
      <c r="Y2172" s="187" t="inlineStr">
        <is>
          <t>NONE</t>
        </is>
      </c>
      <c r="Z2172" s="187" t="inlineStr">
        <is>
          <t>NONE</t>
        </is>
      </c>
      <c r="AA2172" s="187" t="inlineStr">
        <is>
          <t>NONE</t>
        </is>
      </c>
      <c r="AB2172" s="187" t="inlineStr">
        <is>
          <t>NONE</t>
        </is>
      </c>
      <c r="AC2172" s="187" t="n">
        <v>0</v>
      </c>
      <c r="AD2172" s="187" t="inlineStr">
        <is>
          <t>Russian Cyber Threat Actor Uses GenAI to Compromise Fortinet Firewalls</t>
        </is>
      </c>
    </row>
    <row r="2173">
      <c r="A2173" s="187" t="inlineStr">
        <is>
          <t>NEWS_ALERT</t>
        </is>
      </c>
      <c r="B2173" s="187" t="inlineStr">
        <is>
          <t>339188906a52</t>
        </is>
      </c>
      <c r="C2173" s="187" t="inlineStr">
        <is>
          <t>[InfoSecurityMagazine] Leading Semiconductor Supplier Advantest Hit by Ransomware Attack | Keywords: ransomware | Advantest, a Japanese specialist in testing computer chips for major semiconductor manufacturers, has deployed incident response protocols following a</t>
        </is>
      </c>
      <c r="D2173" s="187" t="n">
        <v>5</v>
      </c>
      <c r="E2173" s="187" t="inlineStr">
        <is>
          <t>MEDIUM</t>
        </is>
      </c>
      <c r="F2173" s="187" t="n">
        <v>2</v>
      </c>
      <c r="G2173" s="187" t="n">
        <v>1</v>
      </c>
      <c r="H2173" s="187" t="inlineStr">
        <is>
          <t>LOW</t>
        </is>
      </c>
      <c r="I2173" s="187" t="n">
        <v>7</v>
      </c>
      <c r="J2173" s="187" t="inlineStr">
        <is>
          <t>NO</t>
        </is>
      </c>
      <c r="K2173" s="187" t="inlineStr">
        <is>
          <t>https://www.infosecurity-magazine.com/news/advantest-ransomware-attack/</t>
        </is>
      </c>
      <c r="L2173" s="187" t="inlineStr">
        <is>
          <t>2026-02-23 11:30</t>
        </is>
      </c>
      <c r="M2173" s="187" t="inlineStr">
        <is>
          <t>Monitor</t>
        </is>
      </c>
      <c r="N2173" s="187" t="inlineStr">
        <is>
          <t>https://www.infosecurity-magazine.com/news/advantest-ransomware-attack/</t>
        </is>
      </c>
      <c r="O2173" s="187" t="inlineStr">
        <is>
          <t>Monitor for developments | Review article for IOCs | Escalate if relevant to your infra</t>
        </is>
      </c>
      <c r="P2173" s="187" t="inlineStr">
        <is>
          <t>Varies - see article</t>
        </is>
      </c>
      <c r="Q2173" s="187" t="inlineStr">
        <is>
          <t>P4</t>
        </is>
      </c>
      <c r="R2173" s="187" t="inlineStr">
        <is>
          <t>📰 Security news alert - monitor for developments | 🔍 Review article for IOCs | 📋 Escalate if relevant to your infrastructure</t>
        </is>
      </c>
      <c r="S2173" s="187" t="inlineStr">
        <is>
          <t>News alert - no IP context</t>
        </is>
      </c>
      <c r="T2173" s="187" t="n">
        <v>0</v>
      </c>
      <c r="U2173" s="187" t="n">
        <v>0</v>
      </c>
      <c r="V2173" s="187" t="inlineStr">
        <is>
          <t>See article for technique context</t>
        </is>
      </c>
      <c r="W2173" s="187" t="n">
        <v>1</v>
      </c>
      <c r="X2173" s="187" t="inlineStr">
        <is>
          <t>LOW (40%)</t>
        </is>
      </c>
      <c r="Y2173" s="187" t="inlineStr">
        <is>
          <t>NONE</t>
        </is>
      </c>
      <c r="Z2173" s="187" t="inlineStr">
        <is>
          <t>NONE</t>
        </is>
      </c>
      <c r="AA2173" s="187" t="inlineStr">
        <is>
          <t>NONE</t>
        </is>
      </c>
      <c r="AB2173" s="187" t="inlineStr">
        <is>
          <t>NONE</t>
        </is>
      </c>
      <c r="AC2173" s="187" t="n">
        <v>0</v>
      </c>
      <c r="AD2173" s="187" t="inlineStr">
        <is>
          <t>Leading Semiconductor Supplier Advantest Hit by Ransomware Attack</t>
        </is>
      </c>
    </row>
    <row r="2174">
      <c r="A2174" s="187" t="inlineStr">
        <is>
          <t>NEWS_ALERT</t>
        </is>
      </c>
      <c r="B2174" s="187" t="inlineStr">
        <is>
          <t>bbba403a9ba9</t>
        </is>
      </c>
      <c r="C2174" s="187" t="inlineStr">
        <is>
          <t>[InfoSecurityMagazine] University of Mississippi Medical Center Still Offline After Ransomware Attack | Keywords: ransomware, ransomware | University of Mississippi Medical Center is still scrambling to respond to a ransomware attack last Thursday</t>
        </is>
      </c>
      <c r="D2174" s="187" t="n">
        <v>5</v>
      </c>
      <c r="E2174" s="187" t="inlineStr">
        <is>
          <t>MEDIUM</t>
        </is>
      </c>
      <c r="F2174" s="187" t="n">
        <v>2</v>
      </c>
      <c r="G2174" s="187" t="n">
        <v>1</v>
      </c>
      <c r="H2174" s="187" t="inlineStr">
        <is>
          <t>LOW</t>
        </is>
      </c>
      <c r="I2174" s="187" t="n">
        <v>7</v>
      </c>
      <c r="J2174" s="187" t="inlineStr">
        <is>
          <t>NO</t>
        </is>
      </c>
      <c r="K2174" s="187" t="inlineStr">
        <is>
          <t>https://www.infosecurity-magazine.com/news/university-mississippi-medical/</t>
        </is>
      </c>
      <c r="L2174" s="187" t="inlineStr">
        <is>
          <t>2026-02-23 08:30</t>
        </is>
      </c>
      <c r="M2174" s="187" t="inlineStr">
        <is>
          <t>Monitor</t>
        </is>
      </c>
      <c r="N2174" s="187" t="inlineStr">
        <is>
          <t>https://www.infosecurity-magazine.com/news/university-mississippi-medical/</t>
        </is>
      </c>
      <c r="O2174" s="187" t="inlineStr">
        <is>
          <t>Monitor for developments | Review article for IOCs | Escalate if relevant to your infra</t>
        </is>
      </c>
      <c r="P2174" s="187" t="inlineStr">
        <is>
          <t>Varies - see article</t>
        </is>
      </c>
      <c r="Q2174" s="187" t="inlineStr">
        <is>
          <t>P4</t>
        </is>
      </c>
      <c r="R2174" s="187" t="inlineStr">
        <is>
          <t>📰 Security news alert - monitor for developments | 🔍 Review article for IOCs | 📋 Escalate if relevant to your infrastructure</t>
        </is>
      </c>
      <c r="S2174" s="187" t="inlineStr">
        <is>
          <t>News alert - no IP context</t>
        </is>
      </c>
      <c r="T2174" s="187" t="n">
        <v>0</v>
      </c>
      <c r="U2174" s="187" t="n">
        <v>0</v>
      </c>
      <c r="V2174" s="187" t="inlineStr">
        <is>
          <t>See article for technique context</t>
        </is>
      </c>
      <c r="W2174" s="187" t="n">
        <v>1</v>
      </c>
      <c r="X2174" s="187" t="inlineStr">
        <is>
          <t>LOW (40%)</t>
        </is>
      </c>
      <c r="Y2174" s="187" t="inlineStr">
        <is>
          <t>NONE</t>
        </is>
      </c>
      <c r="Z2174" s="187" t="inlineStr">
        <is>
          <t>NONE</t>
        </is>
      </c>
      <c r="AA2174" s="187" t="inlineStr">
        <is>
          <t>NONE</t>
        </is>
      </c>
      <c r="AB2174" s="187" t="inlineStr">
        <is>
          <t>NONE</t>
        </is>
      </c>
      <c r="AC2174" s="187" t="n">
        <v>0</v>
      </c>
      <c r="AD2174" s="187" t="inlineStr">
        <is>
          <t>University of Mississippi Medical Center Still Offline After Ransomware Attack</t>
        </is>
      </c>
    </row>
    <row r="2175">
      <c r="A2175" s="187" t="inlineStr">
        <is>
          <t>NEWS_ALERT</t>
        </is>
      </c>
      <c r="B2175" s="187" t="inlineStr">
        <is>
          <t>cf1a85460441</t>
        </is>
      </c>
      <c r="C2175" s="187" t="inlineStr">
        <is>
          <t>[SANS-ISC-RSS] Another day, another malicious JPEG, (Mon, Feb 23rd) | Keywords: malware | In his last two diaries, Xavier discussed recent malware campaigns that download JPEG files with embedded malicious payload&amp;#x5b; 1 , 2 &amp;#x5d;. At tha</t>
        </is>
      </c>
      <c r="D2175" s="187" t="n">
        <v>5</v>
      </c>
      <c r="E2175" s="187" t="inlineStr">
        <is>
          <t>MEDIUM</t>
        </is>
      </c>
      <c r="F2175" s="187" t="n">
        <v>2</v>
      </c>
      <c r="G2175" s="187" t="n">
        <v>1</v>
      </c>
      <c r="H2175" s="187" t="inlineStr">
        <is>
          <t>LOW</t>
        </is>
      </c>
      <c r="I2175" s="187" t="n">
        <v>7</v>
      </c>
      <c r="J2175" s="187" t="inlineStr">
        <is>
          <t>NO</t>
        </is>
      </c>
      <c r="K2175" s="187" t="inlineStr">
        <is>
          <t>https://isc.sans.edu/diary/rss/32738</t>
        </is>
      </c>
      <c r="L2175" s="187" t="inlineStr">
        <is>
          <t>2026-02-23 14:26</t>
        </is>
      </c>
      <c r="M2175" s="187" t="inlineStr">
        <is>
          <t>Monitor</t>
        </is>
      </c>
      <c r="N2175" s="187" t="inlineStr">
        <is>
          <t>https://isc.sans.edu/diary/rss/32738</t>
        </is>
      </c>
      <c r="O2175" s="187" t="inlineStr">
        <is>
          <t>Monitor for developments | Review article for IOCs | Escalate if relevant to your infra</t>
        </is>
      </c>
      <c r="P2175" s="187" t="inlineStr">
        <is>
          <t>Varies - see article</t>
        </is>
      </c>
      <c r="Q2175" s="187" t="inlineStr">
        <is>
          <t>P4</t>
        </is>
      </c>
      <c r="R2175" s="187" t="inlineStr">
        <is>
          <t>📰 Security news alert - monitor for developments | 🔍 Review article for IOCs | 📋 Escalate if relevant to your infrastructure</t>
        </is>
      </c>
      <c r="S2175" s="187" t="inlineStr">
        <is>
          <t>News alert - no IP context</t>
        </is>
      </c>
      <c r="T2175" s="187" t="n">
        <v>0</v>
      </c>
      <c r="U2175" s="187" t="n">
        <v>0</v>
      </c>
      <c r="V2175" s="187" t="inlineStr">
        <is>
          <t>See article for technique context</t>
        </is>
      </c>
      <c r="W2175" s="187" t="n">
        <v>1</v>
      </c>
      <c r="X2175" s="187" t="inlineStr">
        <is>
          <t>LOW (40%)</t>
        </is>
      </c>
      <c r="Y2175" s="187" t="inlineStr">
        <is>
          <t>NONE</t>
        </is>
      </c>
      <c r="Z2175" s="187" t="inlineStr">
        <is>
          <t>NONE</t>
        </is>
      </c>
      <c r="AA2175" s="187" t="inlineStr">
        <is>
          <t>NONE</t>
        </is>
      </c>
      <c r="AB2175" s="187" t="inlineStr">
        <is>
          <t>NONE</t>
        </is>
      </c>
      <c r="AC2175" s="187" t="n">
        <v>0</v>
      </c>
      <c r="AD2175" s="187" t="inlineStr">
        <is>
          <t>Another day, another malicious JPEG, (Mon, Feb 23rd)</t>
        </is>
      </c>
    </row>
    <row r="2176">
      <c r="A2176" s="187" t="inlineStr">
        <is>
          <t>NEWS_ALERT</t>
        </is>
      </c>
      <c r="B2176" s="187" t="inlineStr">
        <is>
          <t>2d65ba1a4920</t>
        </is>
      </c>
      <c r="C2176" s="187" t="inlineStr">
        <is>
          <t>[SecurityWeek] The Blast Radius Problem: Stolen Credentials Are Weaponizing Agentic AI | Keywords: exploitation | More than half (56%) of the 400,000 vulnerabilities IBM X-Force tracked in 2025 required no authentication before exploitation. The post The Blast Rad</t>
        </is>
      </c>
      <c r="D2176" s="187" t="n">
        <v>5</v>
      </c>
      <c r="E2176" s="187" t="inlineStr">
        <is>
          <t>MEDIUM</t>
        </is>
      </c>
      <c r="F2176" s="187" t="n">
        <v>2</v>
      </c>
      <c r="G2176" s="187" t="n">
        <v>1</v>
      </c>
      <c r="H2176" s="187" t="inlineStr">
        <is>
          <t>LOW</t>
        </is>
      </c>
      <c r="I2176" s="187" t="n">
        <v>7</v>
      </c>
      <c r="J2176" s="187" t="inlineStr">
        <is>
          <t>NO</t>
        </is>
      </c>
      <c r="K2176" s="187" t="inlineStr">
        <is>
          <t>https://www.securityweek.com/the-blast-radius-problem-stolen-credentials-are-weaponizing-agentic-ai/</t>
        </is>
      </c>
      <c r="L2176" s="187" t="inlineStr">
        <is>
          <t>2026-02-25 16:16</t>
        </is>
      </c>
      <c r="M2176" s="187" t="inlineStr">
        <is>
          <t>Monitor</t>
        </is>
      </c>
      <c r="N2176" s="187" t="inlineStr">
        <is>
          <t>https://www.securityweek.com/the-blast-radius-problem-stolen-credentials-are-weaponizing-agentic-ai/</t>
        </is>
      </c>
      <c r="O2176" s="187" t="inlineStr">
        <is>
          <t>Monitor for developments | Review article for IOCs | Escalate if relevant to your infra</t>
        </is>
      </c>
      <c r="P2176" s="187" t="inlineStr">
        <is>
          <t>Varies - see article</t>
        </is>
      </c>
      <c r="Q2176" s="187" t="inlineStr">
        <is>
          <t>P4</t>
        </is>
      </c>
      <c r="R2176" s="187" t="inlineStr">
        <is>
          <t>📰 Security news alert - monitor for developments | 🔍 Review article for IOCs | 📋 Escalate if relevant to your infrastructure</t>
        </is>
      </c>
      <c r="S2176" s="187" t="inlineStr">
        <is>
          <t>News alert - no IP context</t>
        </is>
      </c>
      <c r="T2176" s="187" t="n">
        <v>0</v>
      </c>
      <c r="U2176" s="187" t="n">
        <v>0</v>
      </c>
      <c r="V2176" s="187" t="inlineStr">
        <is>
          <t>See article for technique context</t>
        </is>
      </c>
      <c r="W2176" s="187" t="n">
        <v>1</v>
      </c>
      <c r="X2176" s="187" t="inlineStr">
        <is>
          <t>LOW (40%)</t>
        </is>
      </c>
      <c r="Y2176" s="187" t="inlineStr">
        <is>
          <t>NONE</t>
        </is>
      </c>
      <c r="Z2176" s="187" t="inlineStr">
        <is>
          <t>NONE</t>
        </is>
      </c>
      <c r="AA2176" s="187" t="inlineStr">
        <is>
          <t>NONE</t>
        </is>
      </c>
      <c r="AB2176" s="187" t="inlineStr">
        <is>
          <t>NONE</t>
        </is>
      </c>
      <c r="AC2176" s="187" t="n">
        <v>0</v>
      </c>
      <c r="AD2176" s="187" t="inlineStr">
        <is>
          <t>The Blast Radius Problem: Stolen Credentials Are Weaponizing Agentic AI</t>
        </is>
      </c>
    </row>
    <row r="2177">
      <c r="A2177" s="187" t="inlineStr">
        <is>
          <t>NEWS_ALERT</t>
        </is>
      </c>
      <c r="B2177" s="187" t="inlineStr">
        <is>
          <t>3ba41461a14e</t>
        </is>
      </c>
      <c r="C2177" s="187" t="inlineStr">
        <is>
          <t>[SecurityWeek] Google Disrupts Chinese Hackers Targeting Telecoms, Governments | Keywords: threat actor | The UNC2814 threat actor has been active since at least 2017, targeting organizations across 42 countries. The post Google Disrupts Chinese Hackers Ta</t>
        </is>
      </c>
      <c r="D2177" s="187" t="n">
        <v>5</v>
      </c>
      <c r="E2177" s="187" t="inlineStr">
        <is>
          <t>MEDIUM</t>
        </is>
      </c>
      <c r="F2177" s="187" t="n">
        <v>2</v>
      </c>
      <c r="G2177" s="187" t="n">
        <v>1</v>
      </c>
      <c r="H2177" s="187" t="inlineStr">
        <is>
          <t>LOW</t>
        </is>
      </c>
      <c r="I2177" s="187" t="n">
        <v>7</v>
      </c>
      <c r="J2177" s="187" t="inlineStr">
        <is>
          <t>NO</t>
        </is>
      </c>
      <c r="K2177" s="187" t="inlineStr">
        <is>
          <t>https://www.securityweek.com/google-disrupts-chinese-cyberespionage-campaign-targeting-telecoms-governments/</t>
        </is>
      </c>
      <c r="L2177" s="187" t="inlineStr">
        <is>
          <t>2026-02-25 16:01</t>
        </is>
      </c>
      <c r="M2177" s="187" t="inlineStr">
        <is>
          <t>Monitor</t>
        </is>
      </c>
      <c r="N2177" s="187" t="inlineStr">
        <is>
          <t>https://www.securityweek.com/google-disrupts-chinese-cyberespionage-campaign-targeting-telecoms-governments/</t>
        </is>
      </c>
      <c r="O2177" s="187" t="inlineStr">
        <is>
          <t>Monitor for developments | Review article for IOCs | Escalate if relevant to your infra</t>
        </is>
      </c>
      <c r="P2177" s="187" t="inlineStr">
        <is>
          <t>Varies - see article</t>
        </is>
      </c>
      <c r="Q2177" s="187" t="inlineStr">
        <is>
          <t>P4</t>
        </is>
      </c>
      <c r="R2177" s="187" t="inlineStr">
        <is>
          <t>📰 Security news alert - monitor for developments | 🔍 Review article for IOCs | 📋 Escalate if relevant to your infrastructure</t>
        </is>
      </c>
      <c r="S2177" s="187" t="inlineStr">
        <is>
          <t>News alert - no IP context</t>
        </is>
      </c>
      <c r="T2177" s="187" t="n">
        <v>0</v>
      </c>
      <c r="U2177" s="187" t="n">
        <v>0</v>
      </c>
      <c r="V2177" s="187" t="inlineStr">
        <is>
          <t>See article for technique context</t>
        </is>
      </c>
      <c r="W2177" s="187" t="n">
        <v>1</v>
      </c>
      <c r="X2177" s="187" t="inlineStr">
        <is>
          <t>LOW (40%)</t>
        </is>
      </c>
      <c r="Y2177" s="187" t="inlineStr">
        <is>
          <t>NONE</t>
        </is>
      </c>
      <c r="Z2177" s="187" t="inlineStr">
        <is>
          <t>NONE</t>
        </is>
      </c>
      <c r="AA2177" s="187" t="inlineStr">
        <is>
          <t>NONE</t>
        </is>
      </c>
      <c r="AB2177" s="187" t="inlineStr">
        <is>
          <t>NONE</t>
        </is>
      </c>
      <c r="AC2177" s="187" t="n">
        <v>0</v>
      </c>
      <c r="AD2177" s="187" t="inlineStr">
        <is>
          <t>Google Disrupts Chinese Hackers Targeting Telecoms, Governments</t>
        </is>
      </c>
    </row>
    <row r="2178">
      <c r="A2178" s="187" t="inlineStr">
        <is>
          <t>NEWS_ALERT</t>
        </is>
      </c>
      <c r="B2178" s="187" t="inlineStr">
        <is>
          <t>fdcd9e1fba53</t>
        </is>
      </c>
      <c r="C2178" s="187" t="inlineStr">
        <is>
          <t>[SecurityWeek] SolarWinds Patches Four Critical Serv-U Vulnerabilities | Keywords: exploited, remote code | The four security defects could be exploited for remote code execution but require administrative privileges. The post SolarWinds Patches Four Critica</t>
        </is>
      </c>
      <c r="D2178" s="187" t="n">
        <v>5</v>
      </c>
      <c r="E2178" s="187" t="inlineStr">
        <is>
          <t>MEDIUM</t>
        </is>
      </c>
      <c r="F2178" s="187" t="n">
        <v>2</v>
      </c>
      <c r="G2178" s="187" t="n">
        <v>1</v>
      </c>
      <c r="H2178" s="187" t="inlineStr">
        <is>
          <t>LOW</t>
        </is>
      </c>
      <c r="I2178" s="187" t="n">
        <v>7</v>
      </c>
      <c r="J2178" s="187" t="inlineStr">
        <is>
          <t>NO</t>
        </is>
      </c>
      <c r="K2178" s="187" t="inlineStr">
        <is>
          <t>https://www.securityweek.com/solarwinds-patches-four-critical-serv-u-vulnerabilities/</t>
        </is>
      </c>
      <c r="L2178" s="187" t="inlineStr">
        <is>
          <t>2026-02-25 15:30</t>
        </is>
      </c>
      <c r="M2178" s="187" t="inlineStr">
        <is>
          <t>Monitor</t>
        </is>
      </c>
      <c r="N2178" s="187" t="inlineStr">
        <is>
          <t>https://www.securityweek.com/solarwinds-patches-four-critical-serv-u-vulnerabilities/</t>
        </is>
      </c>
      <c r="O2178" s="187" t="inlineStr">
        <is>
          <t>Monitor for developments | Review article for IOCs | Escalate if relevant to your infra</t>
        </is>
      </c>
      <c r="P2178" s="187" t="inlineStr">
        <is>
          <t>Varies - see article</t>
        </is>
      </c>
      <c r="Q2178" s="187" t="inlineStr">
        <is>
          <t>P4</t>
        </is>
      </c>
      <c r="R2178" s="187" t="inlineStr">
        <is>
          <t>📰 Security news alert - monitor for developments | 🔍 Review article for IOCs | 📋 Escalate if relevant to your infrastructure</t>
        </is>
      </c>
      <c r="S2178" s="187" t="inlineStr">
        <is>
          <t>News alert - no IP context</t>
        </is>
      </c>
      <c r="T2178" s="187" t="n">
        <v>0</v>
      </c>
      <c r="U2178" s="187" t="n">
        <v>0</v>
      </c>
      <c r="V2178" s="187" t="inlineStr">
        <is>
          <t>See article for technique context</t>
        </is>
      </c>
      <c r="W2178" s="187" t="n">
        <v>1</v>
      </c>
      <c r="X2178" s="187" t="inlineStr">
        <is>
          <t>LOW (40%)</t>
        </is>
      </c>
      <c r="Y2178" s="187" t="inlineStr">
        <is>
          <t>NONE</t>
        </is>
      </c>
      <c r="Z2178" s="187" t="inlineStr">
        <is>
          <t>NONE</t>
        </is>
      </c>
      <c r="AA2178" s="187" t="inlineStr">
        <is>
          <t>NONE</t>
        </is>
      </c>
      <c r="AB2178" s="187" t="inlineStr">
        <is>
          <t>NONE</t>
        </is>
      </c>
      <c r="AC2178" s="187" t="n">
        <v>0</v>
      </c>
      <c r="AD2178" s="187" t="inlineStr">
        <is>
          <t>SolarWinds Patches Four Critical Serv-U Vulnerabilities</t>
        </is>
      </c>
    </row>
    <row r="2179">
      <c r="A2179" s="187" t="inlineStr">
        <is>
          <t>NEWS_ALERT</t>
        </is>
      </c>
      <c r="B2179" s="187" t="inlineStr">
        <is>
          <t>0394af7480c0</t>
        </is>
      </c>
      <c r="C2179" s="187" t="inlineStr">
        <is>
          <t>[SecurityWeek] Medical Device Maker UFP Technologies Hit by Cyberattack | Keywords: malware, ransomware | UFP Technologies appears to have been targeted in a ransomware attack that involved data theft and file-encrypting malware. The post Medical Device Ma</t>
        </is>
      </c>
      <c r="D2179" s="187" t="n">
        <v>5</v>
      </c>
      <c r="E2179" s="187" t="inlineStr">
        <is>
          <t>MEDIUM</t>
        </is>
      </c>
      <c r="F2179" s="187" t="n">
        <v>2</v>
      </c>
      <c r="G2179" s="187" t="n">
        <v>1</v>
      </c>
      <c r="H2179" s="187" t="inlineStr">
        <is>
          <t>LOW</t>
        </is>
      </c>
      <c r="I2179" s="187" t="n">
        <v>7</v>
      </c>
      <c r="J2179" s="187" t="inlineStr">
        <is>
          <t>NO</t>
        </is>
      </c>
      <c r="K2179" s="187" t="inlineStr">
        <is>
          <t>https://www.securityweek.com/medical-device-maker-ufp-technologies-hit-by-cyberattack/</t>
        </is>
      </c>
      <c r="L2179" s="187" t="inlineStr">
        <is>
          <t>2026-02-25 13:40</t>
        </is>
      </c>
      <c r="M2179" s="187" t="inlineStr">
        <is>
          <t>Monitor</t>
        </is>
      </c>
      <c r="N2179" s="187" t="inlineStr">
        <is>
          <t>https://www.securityweek.com/medical-device-maker-ufp-technologies-hit-by-cyberattack/</t>
        </is>
      </c>
      <c r="O2179" s="187" t="inlineStr">
        <is>
          <t>Monitor for developments | Review article for IOCs | Escalate if relevant to your infra</t>
        </is>
      </c>
      <c r="P2179" s="187" t="inlineStr">
        <is>
          <t>Varies - see article</t>
        </is>
      </c>
      <c r="Q2179" s="187" t="inlineStr">
        <is>
          <t>P4</t>
        </is>
      </c>
      <c r="R2179" s="187" t="inlineStr">
        <is>
          <t>📰 Security news alert - monitor for developments | 🔍 Review article for IOCs | 📋 Escalate if relevant to your infrastructure</t>
        </is>
      </c>
      <c r="S2179" s="187" t="inlineStr">
        <is>
          <t>News alert - no IP context</t>
        </is>
      </c>
      <c r="T2179" s="187" t="n">
        <v>0</v>
      </c>
      <c r="U2179" s="187" t="n">
        <v>0</v>
      </c>
      <c r="V2179" s="187" t="inlineStr">
        <is>
          <t>See article for technique context</t>
        </is>
      </c>
      <c r="W2179" s="187" t="n">
        <v>1</v>
      </c>
      <c r="X2179" s="187" t="inlineStr">
        <is>
          <t>LOW (40%)</t>
        </is>
      </c>
      <c r="Y2179" s="187" t="inlineStr">
        <is>
          <t>NONE</t>
        </is>
      </c>
      <c r="Z2179" s="187" t="inlineStr">
        <is>
          <t>NONE</t>
        </is>
      </c>
      <c r="AA2179" s="187" t="inlineStr">
        <is>
          <t>NONE</t>
        </is>
      </c>
      <c r="AB2179" s="187" t="inlineStr">
        <is>
          <t>NONE</t>
        </is>
      </c>
      <c r="AC2179" s="187" t="n">
        <v>0</v>
      </c>
      <c r="AD2179" s="187" t="inlineStr">
        <is>
          <t>Medical Device Maker UFP Technologies Hit by Cyberattack</t>
        </is>
      </c>
    </row>
    <row r="2180">
      <c r="A2180" s="187" t="inlineStr">
        <is>
          <t>NEWS_ALERT</t>
        </is>
      </c>
      <c r="B2180" s="187" t="inlineStr">
        <is>
          <t>aebe5421c60c</t>
        </is>
      </c>
      <c r="C2180" s="187" t="inlineStr">
        <is>
          <t>[SecurityWeek] CarGurus Data Breach Impacts Over 12 Million Users | Keywords: breach | Hackers claim to have stolen personally identifiable information and internal corporate data from the automotive firm. The post CarGurus Data Breach I</t>
        </is>
      </c>
      <c r="D2180" s="187" t="n">
        <v>5</v>
      </c>
      <c r="E2180" s="187" t="inlineStr">
        <is>
          <t>MEDIUM</t>
        </is>
      </c>
      <c r="F2180" s="187" t="n">
        <v>2</v>
      </c>
      <c r="G2180" s="187" t="n">
        <v>1</v>
      </c>
      <c r="H2180" s="187" t="inlineStr">
        <is>
          <t>LOW</t>
        </is>
      </c>
      <c r="I2180" s="187" t="n">
        <v>7</v>
      </c>
      <c r="J2180" s="187" t="inlineStr">
        <is>
          <t>NO</t>
        </is>
      </c>
      <c r="K2180" s="187" t="inlineStr">
        <is>
          <t>https://www.securityweek.com/over-12-million-users-impacted-by-cargurus-data-breach/</t>
        </is>
      </c>
      <c r="L2180" s="187" t="inlineStr">
        <is>
          <t>2026-02-25 12:30</t>
        </is>
      </c>
      <c r="M2180" s="187" t="inlineStr">
        <is>
          <t>Monitor</t>
        </is>
      </c>
      <c r="N2180" s="187" t="inlineStr">
        <is>
          <t>https://www.securityweek.com/over-12-million-users-impacted-by-cargurus-data-breach/</t>
        </is>
      </c>
      <c r="O2180" s="187" t="inlineStr">
        <is>
          <t>Monitor for developments | Review article for IOCs | Escalate if relevant to your infra</t>
        </is>
      </c>
      <c r="P2180" s="187" t="inlineStr">
        <is>
          <t>Varies - see article</t>
        </is>
      </c>
      <c r="Q2180" s="187" t="inlineStr">
        <is>
          <t>P4</t>
        </is>
      </c>
      <c r="R2180" s="187" t="inlineStr">
        <is>
          <t>📰 Security news alert - monitor for developments | 🔍 Review article for IOCs | 📋 Escalate if relevant to your infrastructure</t>
        </is>
      </c>
      <c r="S2180" s="187" t="inlineStr">
        <is>
          <t>News alert - no IP context</t>
        </is>
      </c>
      <c r="T2180" s="187" t="n">
        <v>0</v>
      </c>
      <c r="U2180" s="187" t="n">
        <v>0</v>
      </c>
      <c r="V2180" s="187" t="inlineStr">
        <is>
          <t>See article for technique context</t>
        </is>
      </c>
      <c r="W2180" s="187" t="n">
        <v>1</v>
      </c>
      <c r="X2180" s="187" t="inlineStr">
        <is>
          <t>LOW (40%)</t>
        </is>
      </c>
      <c r="Y2180" s="187" t="inlineStr">
        <is>
          <t>NONE</t>
        </is>
      </c>
      <c r="Z2180" s="187" t="inlineStr">
        <is>
          <t>NONE</t>
        </is>
      </c>
      <c r="AA2180" s="187" t="inlineStr">
        <is>
          <t>NONE</t>
        </is>
      </c>
      <c r="AB2180" s="187" t="inlineStr">
        <is>
          <t>NONE</t>
        </is>
      </c>
      <c r="AC2180" s="187" t="n">
        <v>0</v>
      </c>
      <c r="AD2180" s="187" t="inlineStr">
        <is>
          <t>CarGurus Data Breach Impacts Over 12 Million Users</t>
        </is>
      </c>
    </row>
    <row r="2181">
      <c r="A2181" s="187" t="inlineStr">
        <is>
          <t>NEWS_ALERT</t>
        </is>
      </c>
      <c r="B2181" s="187" t="inlineStr">
        <is>
          <t>87a5faee8aee</t>
        </is>
      </c>
      <c r="C2181" s="187" t="inlineStr">
        <is>
          <t>[SecurityWeek] Wynn Resorts Confirms Data Breach After Hackers Remove It From Leak Site | Keywords: breach | The high-end casino and hotel operator has admitted that employee data was stolen by ShinyHunters. The post Wynn Resorts Confirms Data Breach After Ha</t>
        </is>
      </c>
      <c r="D2181" s="187" t="n">
        <v>5</v>
      </c>
      <c r="E2181" s="187" t="inlineStr">
        <is>
          <t>MEDIUM</t>
        </is>
      </c>
      <c r="F2181" s="187" t="n">
        <v>2</v>
      </c>
      <c r="G2181" s="187" t="n">
        <v>1</v>
      </c>
      <c r="H2181" s="187" t="inlineStr">
        <is>
          <t>LOW</t>
        </is>
      </c>
      <c r="I2181" s="187" t="n">
        <v>7</v>
      </c>
      <c r="J2181" s="187" t="inlineStr">
        <is>
          <t>NO</t>
        </is>
      </c>
      <c r="K2181" s="187" t="inlineStr">
        <is>
          <t>https://www.securityweek.com/wynn-resorts-confirms-data-breach-after-hackers-remove-it-from-leak-site/</t>
        </is>
      </c>
      <c r="L2181" s="187" t="inlineStr">
        <is>
          <t>2026-02-25 11:35</t>
        </is>
      </c>
      <c r="M2181" s="187" t="inlineStr">
        <is>
          <t>Monitor</t>
        </is>
      </c>
      <c r="N2181" s="187" t="inlineStr">
        <is>
          <t>https://www.securityweek.com/wynn-resorts-confirms-data-breach-after-hackers-remove-it-from-leak-site/</t>
        </is>
      </c>
      <c r="O2181" s="187" t="inlineStr">
        <is>
          <t>Monitor for developments | Review article for IOCs | Escalate if relevant to your infra</t>
        </is>
      </c>
      <c r="P2181" s="187" t="inlineStr">
        <is>
          <t>Varies - see article</t>
        </is>
      </c>
      <c r="Q2181" s="187" t="inlineStr">
        <is>
          <t>P4</t>
        </is>
      </c>
      <c r="R2181" s="187" t="inlineStr">
        <is>
          <t>📰 Security news alert - monitor for developments | 🔍 Review article for IOCs | 📋 Escalate if relevant to your infrastructure</t>
        </is>
      </c>
      <c r="S2181" s="187" t="inlineStr">
        <is>
          <t>News alert - no IP context</t>
        </is>
      </c>
      <c r="T2181" s="187" t="n">
        <v>0</v>
      </c>
      <c r="U2181" s="187" t="n">
        <v>0</v>
      </c>
      <c r="V2181" s="187" t="inlineStr">
        <is>
          <t>See article for technique context</t>
        </is>
      </c>
      <c r="W2181" s="187" t="n">
        <v>1</v>
      </c>
      <c r="X2181" s="187" t="inlineStr">
        <is>
          <t>LOW (40%)</t>
        </is>
      </c>
      <c r="Y2181" s="187" t="inlineStr">
        <is>
          <t>NONE</t>
        </is>
      </c>
      <c r="Z2181" s="187" t="inlineStr">
        <is>
          <t>NONE</t>
        </is>
      </c>
      <c r="AA2181" s="187" t="inlineStr">
        <is>
          <t>NONE</t>
        </is>
      </c>
      <c r="AB2181" s="187" t="inlineStr">
        <is>
          <t>NONE</t>
        </is>
      </c>
      <c r="AC2181" s="187" t="n">
        <v>0</v>
      </c>
      <c r="AD2181" s="187" t="inlineStr">
        <is>
          <t>Wynn Resorts Confirms Data Breach After Hackers Remove It From Leak Site</t>
        </is>
      </c>
    </row>
    <row r="2182">
      <c r="A2182" s="187" t="inlineStr">
        <is>
          <t>NEWS_ALERT</t>
        </is>
      </c>
      <c r="B2182" s="187" t="inlineStr">
        <is>
          <t>8fcc1e99c11d</t>
        </is>
      </c>
      <c r="C2182" s="187" t="inlineStr">
        <is>
          <t>[HackRead] US Sanctions Russian Exploit Broker Over Stolen US Cyber Tools | Keywords: exploit | The US Treasury targets Sergey Zelenyuk and his firm Operation Zero for the illegal trade of stolen government cyber tools following the sentencing of</t>
        </is>
      </c>
      <c r="D2182" s="187" t="n">
        <v>5</v>
      </c>
      <c r="E2182" s="187" t="inlineStr">
        <is>
          <t>MEDIUM</t>
        </is>
      </c>
      <c r="F2182" s="187" t="n">
        <v>2</v>
      </c>
      <c r="G2182" s="187" t="n">
        <v>1</v>
      </c>
      <c r="H2182" s="187" t="inlineStr">
        <is>
          <t>LOW</t>
        </is>
      </c>
      <c r="I2182" s="187" t="n">
        <v>7</v>
      </c>
      <c r="J2182" s="187" t="inlineStr">
        <is>
          <t>NO</t>
        </is>
      </c>
      <c r="K2182" s="187" t="inlineStr">
        <is>
          <t>https://hackread.com/us-sanctions-russian-exploit-broker-us-cyber-tools/</t>
        </is>
      </c>
      <c r="L2182" s="187" t="inlineStr">
        <is>
          <t>2026-02-25 19:29</t>
        </is>
      </c>
      <c r="M2182" s="187" t="inlineStr">
        <is>
          <t>Monitor</t>
        </is>
      </c>
      <c r="N2182" s="187" t="inlineStr">
        <is>
          <t>https://hackread.com/us-sanctions-russian-exploit-broker-us-cyber-tools/</t>
        </is>
      </c>
      <c r="O2182" s="187" t="inlineStr">
        <is>
          <t>Monitor for developments | Review article for IOCs | Escalate if relevant to your infra</t>
        </is>
      </c>
      <c r="P2182" s="187" t="inlineStr">
        <is>
          <t>Varies - see article</t>
        </is>
      </c>
      <c r="Q2182" s="187" t="inlineStr">
        <is>
          <t>P4</t>
        </is>
      </c>
      <c r="R2182" s="187" t="inlineStr">
        <is>
          <t>📰 Security news alert - monitor for developments | 🔍 Review article for IOCs | 📋 Escalate if relevant to your infrastructure</t>
        </is>
      </c>
      <c r="S2182" s="187" t="inlineStr">
        <is>
          <t>News alert - no IP context</t>
        </is>
      </c>
      <c r="T2182" s="187" t="n">
        <v>0</v>
      </c>
      <c r="U2182" s="187" t="n">
        <v>0</v>
      </c>
      <c r="V2182" s="187" t="inlineStr">
        <is>
          <t>See article for technique context</t>
        </is>
      </c>
      <c r="W2182" s="187" t="n">
        <v>1</v>
      </c>
      <c r="X2182" s="187" t="inlineStr">
        <is>
          <t>LOW (40%)</t>
        </is>
      </c>
      <c r="Y2182" s="187" t="inlineStr">
        <is>
          <t>NONE</t>
        </is>
      </c>
      <c r="Z2182" s="187" t="inlineStr">
        <is>
          <t>NONE</t>
        </is>
      </c>
      <c r="AA2182" s="187" t="inlineStr">
        <is>
          <t>NONE</t>
        </is>
      </c>
      <c r="AB2182" s="187" t="inlineStr">
        <is>
          <t>NONE</t>
        </is>
      </c>
      <c r="AC2182" s="187" t="n">
        <v>0</v>
      </c>
      <c r="AD2182" s="187" t="inlineStr">
        <is>
          <t>US Sanctions Russian Exploit Broker Over Stolen US Cyber Tools</t>
        </is>
      </c>
    </row>
    <row r="2183">
      <c r="A2183" s="187" t="inlineStr">
        <is>
          <t>NEWS_ALERT</t>
        </is>
      </c>
      <c r="B2183" s="187" t="inlineStr">
        <is>
          <t>962061c7e435</t>
        </is>
      </c>
      <c r="C2183" s="187" t="inlineStr">
        <is>
          <t>[HackRead] ShinyHunters Claims Odido NL and Ben.nl Breach as Company Confirms Cyberattack | Keywords: breach, breach | ShinyHunters claims 21 million records stolen in Odido NL and Ben.nl data breach as telecom company confirms cyberattack impacting customer contact sy</t>
        </is>
      </c>
      <c r="D2183" s="187" t="n">
        <v>5</v>
      </c>
      <c r="E2183" s="187" t="inlineStr">
        <is>
          <t>MEDIUM</t>
        </is>
      </c>
      <c r="F2183" s="187" t="n">
        <v>2</v>
      </c>
      <c r="G2183" s="187" t="n">
        <v>1</v>
      </c>
      <c r="H2183" s="187" t="inlineStr">
        <is>
          <t>LOW</t>
        </is>
      </c>
      <c r="I2183" s="187" t="n">
        <v>7</v>
      </c>
      <c r="J2183" s="187" t="inlineStr">
        <is>
          <t>NO</t>
        </is>
      </c>
      <c r="K2183" s="187" t="inlineStr">
        <is>
          <t>https://hackread.com/shinyhunters-odido-nl-ben-nl-breach-confirm-cyberattack/</t>
        </is>
      </c>
      <c r="L2183" s="187" t="inlineStr">
        <is>
          <t>2026-02-25 16:40</t>
        </is>
      </c>
      <c r="M2183" s="187" t="inlineStr">
        <is>
          <t>Monitor</t>
        </is>
      </c>
      <c r="N2183" s="187" t="inlineStr">
        <is>
          <t>https://hackread.com/shinyhunters-odido-nl-ben-nl-breach-confirm-cyberattack/</t>
        </is>
      </c>
      <c r="O2183" s="187" t="inlineStr">
        <is>
          <t>Monitor for developments | Review article for IOCs | Escalate if relevant to your infra</t>
        </is>
      </c>
      <c r="P2183" s="187" t="inlineStr">
        <is>
          <t>Varies - see article</t>
        </is>
      </c>
      <c r="Q2183" s="187" t="inlineStr">
        <is>
          <t>P4</t>
        </is>
      </c>
      <c r="R2183" s="187" t="inlineStr">
        <is>
          <t>📰 Security news alert - monitor for developments | 🔍 Review article for IOCs | 📋 Escalate if relevant to your infrastructure</t>
        </is>
      </c>
      <c r="S2183" s="187" t="inlineStr">
        <is>
          <t>News alert - no IP context</t>
        </is>
      </c>
      <c r="T2183" s="187" t="n">
        <v>0</v>
      </c>
      <c r="U2183" s="187" t="n">
        <v>0</v>
      </c>
      <c r="V2183" s="187" t="inlineStr">
        <is>
          <t>See article for technique context</t>
        </is>
      </c>
      <c r="W2183" s="187" t="n">
        <v>1</v>
      </c>
      <c r="X2183" s="187" t="inlineStr">
        <is>
          <t>LOW (40%)</t>
        </is>
      </c>
      <c r="Y2183" s="187" t="inlineStr">
        <is>
          <t>NONE</t>
        </is>
      </c>
      <c r="Z2183" s="187" t="inlineStr">
        <is>
          <t>NONE</t>
        </is>
      </c>
      <c r="AA2183" s="187" t="inlineStr">
        <is>
          <t>NONE</t>
        </is>
      </c>
      <c r="AB2183" s="187" t="inlineStr">
        <is>
          <t>NONE</t>
        </is>
      </c>
      <c r="AC2183" s="187" t="n">
        <v>0</v>
      </c>
      <c r="AD2183" s="187" t="inlineStr">
        <is>
          <t>ShinyHunters Claims Odido NL and Ben.nl Breach as Company Confirms Cyberattack</t>
        </is>
      </c>
    </row>
    <row r="2184">
      <c r="A2184" s="187" t="inlineStr">
        <is>
          <t>NEWS_ALERT</t>
        </is>
      </c>
      <c r="B2184" s="187" t="inlineStr">
        <is>
          <t>3e8ace3fbdb9</t>
        </is>
      </c>
      <c r="C2184" s="187" t="inlineStr">
        <is>
          <t>[HackRead] Autonomous Endpoint Management Isn’t Just Efficiency, It’s a Security Imperative | Keywords: breach | Autonomous Endpoint Management cuts exposure time by matching patch speed to attacker breakout timelines, reducing risk, workload delays, and breach c</t>
        </is>
      </c>
      <c r="D2184" s="187" t="n">
        <v>5</v>
      </c>
      <c r="E2184" s="187" t="inlineStr">
        <is>
          <t>MEDIUM</t>
        </is>
      </c>
      <c r="F2184" s="187" t="n">
        <v>2</v>
      </c>
      <c r="G2184" s="187" t="n">
        <v>1</v>
      </c>
      <c r="H2184" s="187" t="inlineStr">
        <is>
          <t>LOW</t>
        </is>
      </c>
      <c r="I2184" s="187" t="n">
        <v>7</v>
      </c>
      <c r="J2184" s="187" t="inlineStr">
        <is>
          <t>NO</t>
        </is>
      </c>
      <c r="K2184" s="187" t="inlineStr">
        <is>
          <t>https://hackread.com/autonomous-endpoint-management-security-imperative/</t>
        </is>
      </c>
      <c r="L2184" s="187" t="inlineStr">
        <is>
          <t>2026-02-25 11:57</t>
        </is>
      </c>
      <c r="M2184" s="187" t="inlineStr">
        <is>
          <t>Monitor</t>
        </is>
      </c>
      <c r="N2184" s="187" t="inlineStr">
        <is>
          <t>https://hackread.com/autonomous-endpoint-management-security-imperative/</t>
        </is>
      </c>
      <c r="O2184" s="187" t="inlineStr">
        <is>
          <t>Monitor for developments | Review article for IOCs | Escalate if relevant to your infra</t>
        </is>
      </c>
      <c r="P2184" s="187" t="inlineStr">
        <is>
          <t>Varies - see article</t>
        </is>
      </c>
      <c r="Q2184" s="187" t="inlineStr">
        <is>
          <t>P4</t>
        </is>
      </c>
      <c r="R2184" s="187" t="inlineStr">
        <is>
          <t>📰 Security news alert - monitor for developments | 🔍 Review article for IOCs | 📋 Escalate if relevant to your infrastructure</t>
        </is>
      </c>
      <c r="S2184" s="187" t="inlineStr">
        <is>
          <t>News alert - no IP context</t>
        </is>
      </c>
      <c r="T2184" s="187" t="n">
        <v>0</v>
      </c>
      <c r="U2184" s="187" t="n">
        <v>0</v>
      </c>
      <c r="V2184" s="187" t="inlineStr">
        <is>
          <t>See article for technique context</t>
        </is>
      </c>
      <c r="W2184" s="187" t="n">
        <v>1</v>
      </c>
      <c r="X2184" s="187" t="inlineStr">
        <is>
          <t>LOW (40%)</t>
        </is>
      </c>
      <c r="Y2184" s="187" t="inlineStr">
        <is>
          <t>NONE</t>
        </is>
      </c>
      <c r="Z2184" s="187" t="inlineStr">
        <is>
          <t>NONE</t>
        </is>
      </c>
      <c r="AA2184" s="187" t="inlineStr">
        <is>
          <t>NONE</t>
        </is>
      </c>
      <c r="AB2184" s="187" t="inlineStr">
        <is>
          <t>NONE</t>
        </is>
      </c>
      <c r="AC2184" s="187" t="n">
        <v>0</v>
      </c>
      <c r="AD2184" s="187" t="inlineStr">
        <is>
          <t>Autonomous Endpoint Management Isn’t Just Efficiency, It’s a Security Imperative</t>
        </is>
      </c>
    </row>
    <row r="2185">
      <c r="A2185" s="187" t="inlineStr">
        <is>
          <t>NEWS_ALERT</t>
        </is>
      </c>
      <c r="B2185" s="187" t="inlineStr">
        <is>
          <t>dc8e1410cd88</t>
        </is>
      </c>
      <c r="C2185" s="187" t="inlineStr">
        <is>
          <t>[HackRead] $300 a Month Android Malware ‘Oblivion’ Uses Fake Updates to Hijack Phones | Keywords: malware | Cybersecurity researchers at Certo reveal Oblivion, a new Android Trojan targeting major brands like Samsung and Xiaomi. It bypasses security to steal</t>
        </is>
      </c>
      <c r="D2185" s="187" t="n">
        <v>5</v>
      </c>
      <c r="E2185" s="187" t="inlineStr">
        <is>
          <t>MEDIUM</t>
        </is>
      </c>
      <c r="F2185" s="187" t="n">
        <v>2</v>
      </c>
      <c r="G2185" s="187" t="n">
        <v>1</v>
      </c>
      <c r="H2185" s="187" t="inlineStr">
        <is>
          <t>LOW</t>
        </is>
      </c>
      <c r="I2185" s="187" t="n">
        <v>7</v>
      </c>
      <c r="J2185" s="187" t="inlineStr">
        <is>
          <t>NO</t>
        </is>
      </c>
      <c r="K2185" s="187" t="inlineStr">
        <is>
          <t>https://hackread.com/android-malware-oblivion-fake-updates-hijack-phones/</t>
        </is>
      </c>
      <c r="L2185" s="187" t="inlineStr">
        <is>
          <t>2026-02-25 10:34</t>
        </is>
      </c>
      <c r="M2185" s="187" t="inlineStr">
        <is>
          <t>Monitor</t>
        </is>
      </c>
      <c r="N2185" s="187" t="inlineStr">
        <is>
          <t>https://hackread.com/android-malware-oblivion-fake-updates-hijack-phones/</t>
        </is>
      </c>
      <c r="O2185" s="187" t="inlineStr">
        <is>
          <t>Monitor for developments | Review article for IOCs | Escalate if relevant to your infra</t>
        </is>
      </c>
      <c r="P2185" s="187" t="inlineStr">
        <is>
          <t>Varies - see article</t>
        </is>
      </c>
      <c r="Q2185" s="187" t="inlineStr">
        <is>
          <t>P4</t>
        </is>
      </c>
      <c r="R2185" s="187" t="inlineStr">
        <is>
          <t>📰 Security news alert - monitor for developments | 🔍 Review article for IOCs | 📋 Escalate if relevant to your infrastructure</t>
        </is>
      </c>
      <c r="S2185" s="187" t="inlineStr">
        <is>
          <t>News alert - no IP context</t>
        </is>
      </c>
      <c r="T2185" s="187" t="n">
        <v>0</v>
      </c>
      <c r="U2185" s="187" t="n">
        <v>0</v>
      </c>
      <c r="V2185" s="187" t="inlineStr">
        <is>
          <t>See article for technique context</t>
        </is>
      </c>
      <c r="W2185" s="187" t="n">
        <v>1</v>
      </c>
      <c r="X2185" s="187" t="inlineStr">
        <is>
          <t>LOW (40%)</t>
        </is>
      </c>
      <c r="Y2185" s="187" t="inlineStr">
        <is>
          <t>NONE</t>
        </is>
      </c>
      <c r="Z2185" s="187" t="inlineStr">
        <is>
          <t>NONE</t>
        </is>
      </c>
      <c r="AA2185" s="187" t="inlineStr">
        <is>
          <t>NONE</t>
        </is>
      </c>
      <c r="AB2185" s="187" t="inlineStr">
        <is>
          <t>NONE</t>
        </is>
      </c>
      <c r="AC2185" s="187" t="n">
        <v>0</v>
      </c>
      <c r="AD2185" s="187" t="inlineStr">
        <is>
          <t>$300 a Month Android Malware ‘Oblivion’ Uses Fake Updates to Hijack Phones</t>
        </is>
      </c>
    </row>
    <row r="2186">
      <c r="A2186" s="187" t="inlineStr">
        <is>
          <t>NEWS_ALERT</t>
        </is>
      </c>
      <c r="B2186" s="187" t="inlineStr">
        <is>
          <t>de0500f4ba47</t>
        </is>
      </c>
      <c r="C2186" s="187" t="inlineStr">
        <is>
          <t>[HackRead] North Korean Lazarus Group Adopts Medusa Ransomware in Global Attacks | Keywords: ransomware, ransomware | Lazarus Group is now using Medusa ransomware in attacks on healthcare and social services, signaling a move toward profit-focused cybercrime.</t>
        </is>
      </c>
      <c r="D2186" s="187" t="n">
        <v>5</v>
      </c>
      <c r="E2186" s="187" t="inlineStr">
        <is>
          <t>MEDIUM</t>
        </is>
      </c>
      <c r="F2186" s="187" t="n">
        <v>2</v>
      </c>
      <c r="G2186" s="187" t="n">
        <v>1</v>
      </c>
      <c r="H2186" s="187" t="inlineStr">
        <is>
          <t>LOW</t>
        </is>
      </c>
      <c r="I2186" s="187" t="n">
        <v>7</v>
      </c>
      <c r="J2186" s="187" t="inlineStr">
        <is>
          <t>NO</t>
        </is>
      </c>
      <c r="K2186" s="187" t="inlineStr">
        <is>
          <t>https://hackread.com/north-korean-lazarus-group-medusa-ransomware/</t>
        </is>
      </c>
      <c r="L2186" s="187" t="inlineStr">
        <is>
          <t>2026-02-24 23:40</t>
        </is>
      </c>
      <c r="M2186" s="187" t="inlineStr">
        <is>
          <t>Monitor</t>
        </is>
      </c>
      <c r="N2186" s="187" t="inlineStr">
        <is>
          <t>https://hackread.com/north-korean-lazarus-group-medusa-ransomware/</t>
        </is>
      </c>
      <c r="O2186" s="187" t="inlineStr">
        <is>
          <t>Monitor for developments | Review article for IOCs | Escalate if relevant to your infra</t>
        </is>
      </c>
      <c r="P2186" s="187" t="inlineStr">
        <is>
          <t>Varies - see article</t>
        </is>
      </c>
      <c r="Q2186" s="187" t="inlineStr">
        <is>
          <t>P4</t>
        </is>
      </c>
      <c r="R2186" s="187" t="inlineStr">
        <is>
          <t>📰 Security news alert - monitor for developments | 🔍 Review article for IOCs | 📋 Escalate if relevant to your infrastructure</t>
        </is>
      </c>
      <c r="S2186" s="187" t="inlineStr">
        <is>
          <t>News alert - no IP context</t>
        </is>
      </c>
      <c r="T2186" s="187" t="n">
        <v>0</v>
      </c>
      <c r="U2186" s="187" t="n">
        <v>0</v>
      </c>
      <c r="V2186" s="187" t="inlineStr">
        <is>
          <t>See article for technique context</t>
        </is>
      </c>
      <c r="W2186" s="187" t="n">
        <v>1</v>
      </c>
      <c r="X2186" s="187" t="inlineStr">
        <is>
          <t>LOW (40%)</t>
        </is>
      </c>
      <c r="Y2186" s="187" t="inlineStr">
        <is>
          <t>NONE</t>
        </is>
      </c>
      <c r="Z2186" s="187" t="inlineStr">
        <is>
          <t>NONE</t>
        </is>
      </c>
      <c r="AA2186" s="187" t="inlineStr">
        <is>
          <t>NONE</t>
        </is>
      </c>
      <c r="AB2186" s="187" t="inlineStr">
        <is>
          <t>NONE</t>
        </is>
      </c>
      <c r="AC2186" s="187" t="n">
        <v>0</v>
      </c>
      <c r="AD2186" s="187" t="inlineStr">
        <is>
          <t>North Korean Lazarus Group Adopts Medusa Ransomware in Global Attacks</t>
        </is>
      </c>
    </row>
    <row r="2187">
      <c r="A2187" s="187" t="inlineStr">
        <is>
          <t>NEWS_ALERT</t>
        </is>
      </c>
      <c r="B2187" s="187" t="inlineStr">
        <is>
          <t>5a87df801a4f</t>
        </is>
      </c>
      <c r="C2187" s="187" t="inlineStr">
        <is>
          <t>[HackRead] Amazon: Low-Skill Hacker Used AI Tools to Breach FortiGate Devices Globally | Keywords: breach, breach | Amazon says a Russian speaking low-skill hacker used AI tools to breach hundreds of FortiGate devices worldwide, showing how AI can scale cyberattacks</t>
        </is>
      </c>
      <c r="D2187" s="187" t="n">
        <v>5</v>
      </c>
      <c r="E2187" s="187" t="inlineStr">
        <is>
          <t>MEDIUM</t>
        </is>
      </c>
      <c r="F2187" s="187" t="n">
        <v>2</v>
      </c>
      <c r="G2187" s="187" t="n">
        <v>1</v>
      </c>
      <c r="H2187" s="187" t="inlineStr">
        <is>
          <t>LOW</t>
        </is>
      </c>
      <c r="I2187" s="187" t="n">
        <v>7</v>
      </c>
      <c r="J2187" s="187" t="inlineStr">
        <is>
          <t>NO</t>
        </is>
      </c>
      <c r="K2187" s="187" t="inlineStr">
        <is>
          <t>https://hackread.com/amazon-hacker-ai-tools-breach-fortigate-devices/</t>
        </is>
      </c>
      <c r="L2187" s="187" t="inlineStr">
        <is>
          <t>2026-02-24 15:23</t>
        </is>
      </c>
      <c r="M2187" s="187" t="inlineStr">
        <is>
          <t>Monitor</t>
        </is>
      </c>
      <c r="N2187" s="187" t="inlineStr">
        <is>
          <t>https://hackread.com/amazon-hacker-ai-tools-breach-fortigate-devices/</t>
        </is>
      </c>
      <c r="O2187" s="187" t="inlineStr">
        <is>
          <t>Monitor for developments | Review article for IOCs | Escalate if relevant to your infra</t>
        </is>
      </c>
      <c r="P2187" s="187" t="inlineStr">
        <is>
          <t>Varies - see article</t>
        </is>
      </c>
      <c r="Q2187" s="187" t="inlineStr">
        <is>
          <t>P4</t>
        </is>
      </c>
      <c r="R2187" s="187" t="inlineStr">
        <is>
          <t>📰 Security news alert - monitor for developments | 🔍 Review article for IOCs | 📋 Escalate if relevant to your infrastructure</t>
        </is>
      </c>
      <c r="S2187" s="187" t="inlineStr">
        <is>
          <t>News alert - no IP context</t>
        </is>
      </c>
      <c r="T2187" s="187" t="n">
        <v>0</v>
      </c>
      <c r="U2187" s="187" t="n">
        <v>0</v>
      </c>
      <c r="V2187" s="187" t="inlineStr">
        <is>
          <t>See article for technique context</t>
        </is>
      </c>
      <c r="W2187" s="187" t="n">
        <v>1</v>
      </c>
      <c r="X2187" s="187" t="inlineStr">
        <is>
          <t>LOW (40%)</t>
        </is>
      </c>
      <c r="Y2187" s="187" t="inlineStr">
        <is>
          <t>NONE</t>
        </is>
      </c>
      <c r="Z2187" s="187" t="inlineStr">
        <is>
          <t>NONE</t>
        </is>
      </c>
      <c r="AA2187" s="187" t="inlineStr">
        <is>
          <t>NONE</t>
        </is>
      </c>
      <c r="AB2187" s="187" t="inlineStr">
        <is>
          <t>NONE</t>
        </is>
      </c>
      <c r="AC2187" s="187" t="n">
        <v>0</v>
      </c>
      <c r="AD2187" s="187" t="inlineStr">
        <is>
          <t>Amazon: Low-Skill Hacker Used AI Tools to Breach FortiGate Devices Globally</t>
        </is>
      </c>
    </row>
  </sheetData>
  <autoFilter ref="A1:AD2187"/>
  <pageMargins left="0.75" right="0.75" top="1" bottom="1" header="0.5" footer="0.5"/>
</worksheet>
</file>

<file path=xl/worksheets/sheet3.xml><?xml version="1.0" encoding="utf-8"?>
<worksheet xmlns="http://schemas.openxmlformats.org/spreadsheetml/2006/main">
  <sheetPr>
    <tabColor rgb="001F497D"/>
    <outlinePr summaryBelow="1" summaryRight="1"/>
    <pageSetUpPr/>
  </sheetPr>
  <dimension ref="A1:AA2187"/>
  <sheetViews>
    <sheetView workbookViewId="0">
      <selection activeCell="A1" sqref="A1"/>
    </sheetView>
  </sheetViews>
  <sheetFormatPr baseColWidth="8" defaultRowHeight="15"/>
  <cols>
    <col width="12" customWidth="1" min="1" max="1"/>
    <col width="12" customWidth="1" min="2" max="2"/>
    <col width="15" customWidth="1" min="3" max="3"/>
    <col width="12" customWidth="1" min="4" max="4"/>
    <col width="12" customWidth="1" min="5" max="5"/>
    <col width="14" customWidth="1" min="6" max="6"/>
    <col width="12" customWidth="1" min="7" max="7"/>
    <col width="14" customWidth="1" min="8" max="8"/>
    <col width="15" customWidth="1" min="9" max="9"/>
    <col width="12" customWidth="1" min="10" max="10"/>
    <col width="13" customWidth="1" min="11" max="11"/>
    <col width="19" customWidth="1" min="12" max="12"/>
    <col width="21" customWidth="1" min="13" max="13"/>
    <col width="24" customWidth="1" min="14" max="14"/>
    <col width="21" customWidth="1" min="15" max="15"/>
    <col width="14" customWidth="1" min="16" max="16"/>
    <col width="19" customWidth="1" min="17" max="17"/>
    <col width="20" customWidth="1" min="18" max="18"/>
    <col width="16" customWidth="1" min="19" max="19"/>
    <col width="20" customWidth="1" min="20" max="20"/>
    <col width="18" customWidth="1" min="21" max="21"/>
    <col width="17" customWidth="1" min="22" max="22"/>
    <col width="13" customWidth="1" min="23" max="23"/>
    <col width="16" customWidth="1" min="24" max="24"/>
    <col width="20" customWidth="1" min="25" max="25"/>
    <col width="17" customWidth="1" min="26" max="26"/>
    <col width="12" customWidth="1" min="27" max="27"/>
  </cols>
  <sheetData>
    <row r="1">
      <c r="A1" s="192" t="inlineStr">
        <is>
          <t>Type</t>
        </is>
      </c>
      <c r="B1" s="192" t="inlineStr">
        <is>
          <t>ID</t>
        </is>
      </c>
      <c r="C1" s="192" t="inlineStr">
        <is>
          <t>Description</t>
        </is>
      </c>
      <c r="D1" s="192" t="inlineStr">
        <is>
          <t>CVSS</t>
        </is>
      </c>
      <c r="E1" s="192" t="inlineStr">
        <is>
          <t>Severity</t>
        </is>
      </c>
      <c r="F1" s="192" t="inlineStr">
        <is>
          <t>Likelihood</t>
        </is>
      </c>
      <c r="G1" s="192" t="inlineStr">
        <is>
          <t>Impact</t>
        </is>
      </c>
      <c r="H1" s="192" t="inlineStr">
        <is>
          <t>Risk_Level</t>
        </is>
      </c>
      <c r="I1" s="192" t="inlineStr">
        <is>
          <t>Final_Score</t>
        </is>
      </c>
      <c r="J1" s="192" t="inlineStr">
        <is>
          <t>CISA_KEV</t>
        </is>
      </c>
      <c r="K1" s="192" t="inlineStr">
        <is>
          <t>Timestamp</t>
        </is>
      </c>
      <c r="L1" s="192" t="inlineStr">
        <is>
          <t>Patch_Available</t>
        </is>
      </c>
      <c r="M1" s="192" t="inlineStr">
        <is>
          <t>Affected_Products</t>
        </is>
      </c>
      <c r="N1" s="192" t="inlineStr">
        <is>
          <t>Remediation_Priority</t>
        </is>
      </c>
      <c r="O1" s="192" t="inlineStr">
        <is>
          <t>GreyNoise_Context</t>
        </is>
      </c>
      <c r="P1" s="192" t="inlineStr">
        <is>
          <t>EPSS_Score</t>
        </is>
      </c>
      <c r="Q1" s="192" t="inlineStr">
        <is>
          <t>EPSS_Percentile</t>
        </is>
      </c>
      <c r="R1" s="192" t="inlineStr">
        <is>
          <t>MITRE_Techniques</t>
        </is>
      </c>
      <c r="S1" s="192" t="inlineStr">
        <is>
          <t>Source_Count</t>
        </is>
      </c>
      <c r="T1" s="192" t="inlineStr">
        <is>
          <t>Confidence_Score</t>
        </is>
      </c>
      <c r="U1" s="192" t="inlineStr">
        <is>
          <t>Exploit_Status</t>
        </is>
      </c>
      <c r="V1" s="192" t="inlineStr">
        <is>
          <t>Fix_Available</t>
        </is>
      </c>
      <c r="W1" s="192" t="inlineStr">
        <is>
          <t>Intel_URL</t>
        </is>
      </c>
      <c r="X1" s="192" t="inlineStr">
        <is>
          <t>ZDI_Advisory</t>
        </is>
      </c>
      <c r="Y1" s="192" t="inlineStr">
        <is>
          <t>AttackerKB_Score</t>
        </is>
      </c>
      <c r="Z1" s="192" t="inlineStr">
        <is>
          <t>News_Coverage</t>
        </is>
      </c>
      <c r="AA1" s="192" t="inlineStr">
        <is>
          <t>Link</t>
        </is>
      </c>
    </row>
    <row r="2">
      <c r="A2" t="inlineStr">
        <is>
          <t>CVE</t>
        </is>
      </c>
      <c r="B2" t="inlineStr">
        <is>
          <t>CVE-2019-25326</t>
        </is>
      </c>
      <c r="C2" t="inlineStr">
        <is>
          <t>ipPulse 1.92 contains a denial of service vulnerability that allows local attackers to crash the application by providing an oversized input in the Enter Key field. Attackers can generate a 256-byte buffer of repeated 'A' characters to trigger an application crash when pasting the malicious content.</t>
        </is>
      </c>
      <c r="D2" t="n">
        <v>6.2</v>
      </c>
      <c r="E2" t="inlineStr">
        <is>
          <t>MEDIUM</t>
        </is>
      </c>
      <c r="F2" t="n">
        <v>2</v>
      </c>
      <c r="G2" t="n">
        <v>2</v>
      </c>
      <c r="H2" t="inlineStr">
        <is>
          <t>MEDIUM</t>
        </is>
      </c>
      <c r="I2" t="n">
        <v>10.2</v>
      </c>
      <c r="J2" t="inlineStr">
        <is>
          <t>NO</t>
        </is>
      </c>
      <c r="K2" t="inlineStr">
        <is>
          <t>2026-02-26 00:15</t>
        </is>
      </c>
      <c r="L2" t="inlineStr">
        <is>
          <t>CHECK_VENDOR</t>
        </is>
      </c>
      <c r="M2" t="inlineStr">
        <is>
          <t>nwpsw ippulse *</t>
        </is>
      </c>
      <c r="N2" t="inlineStr">
        <is>
          <t>P4</t>
        </is>
      </c>
      <c r="O2" t="inlineStr">
        <is>
          <t>CVE - IP enrichment n/a</t>
        </is>
      </c>
      <c r="P2" t="n">
        <v>0.0001</v>
      </c>
      <c r="Q2" t="n">
        <v>0.0199</v>
      </c>
      <c r="R2" t="inlineStr">
        <is>
          <t>T1203:Exploitation for Client Execution | T1499:Endpoint Denial of Service</t>
        </is>
      </c>
      <c r="S2" t="n">
        <v>1</v>
      </c>
      <c r="T2" t="inlineStr">
        <is>
          <t>LOW (40%)</t>
        </is>
      </c>
      <c r="U2" t="inlineStr">
        <is>
          <t>UNLIKELY</t>
        </is>
      </c>
      <c r="V2" t="inlineStr">
        <is>
          <t>CHECK_VENDOR</t>
        </is>
      </c>
      <c r="W2" t="inlineStr">
        <is>
          <t>https://nvd.nist.gov/vuln/detail/CVE-2019-25326</t>
        </is>
      </c>
      <c r="X2" t="inlineStr">
        <is>
          <t>NONE</t>
        </is>
      </c>
      <c r="Y2" t="n">
        <v>0</v>
      </c>
      <c r="Z2" t="inlineStr"/>
      <c r="AA2" t="inlineStr">
        <is>
          <t>https://nvd.nist.gov/vuln/detail/CVE-2019-25326</t>
        </is>
      </c>
    </row>
    <row r="3">
      <c r="A3" t="inlineStr">
        <is>
          <t>CVE</t>
        </is>
      </c>
      <c r="B3" t="inlineStr">
        <is>
          <t>CVE-2019-25349</t>
        </is>
      </c>
      <c r="C3" t="inlineStr">
        <is>
          <t>ScadaApp for iOS 1.1.4.0 contains a denial of service vulnerability that allows attackers to crash the application by inputting an oversized buffer in the Servername field. Attackers can paste a 257-character buffer during login to trigger an application crash on iOS devices.</t>
        </is>
      </c>
      <c r="D3" t="n">
        <v>7.5</v>
      </c>
      <c r="E3" t="inlineStr">
        <is>
          <t>HIGH</t>
        </is>
      </c>
      <c r="F3" t="n">
        <v>2</v>
      </c>
      <c r="G3" t="n">
        <v>3</v>
      </c>
      <c r="H3" t="inlineStr">
        <is>
          <t>HIGH</t>
        </is>
      </c>
      <c r="I3" t="n">
        <v>13.5</v>
      </c>
      <c r="J3" t="inlineStr">
        <is>
          <t>NO</t>
        </is>
      </c>
      <c r="K3" t="inlineStr">
        <is>
          <t>2026-02-26 00:15</t>
        </is>
      </c>
      <c r="L3" t="inlineStr">
        <is>
          <t>CHECK_VENDOR</t>
        </is>
      </c>
      <c r="M3" t="inlineStr">
        <is>
          <t>See CVE details</t>
        </is>
      </c>
      <c r="N3" t="inlineStr">
        <is>
          <t>P2</t>
        </is>
      </c>
      <c r="O3" t="inlineStr">
        <is>
          <t>CVE - IP enrichment n/a</t>
        </is>
      </c>
      <c r="P3" t="n">
        <v>0</v>
      </c>
      <c r="Q3" t="n">
        <v>0</v>
      </c>
      <c r="R3" t="inlineStr">
        <is>
          <t>T1203:Exploitation for Client Execution | T1499:Endpoint Denial of Service</t>
        </is>
      </c>
      <c r="S3" t="n">
        <v>2</v>
      </c>
      <c r="T3" t="inlineStr">
        <is>
          <t>HIGH (72%)</t>
        </is>
      </c>
      <c r="U3" t="inlineStr">
        <is>
          <t>POSSIBLE</t>
        </is>
      </c>
      <c r="V3" t="inlineStr">
        <is>
          <t>CHECK_VENDOR</t>
        </is>
      </c>
      <c r="W3" t="inlineStr">
        <is>
          <t>https://nvd.nist.gov/vuln/detail/CVE-2019-25349</t>
        </is>
      </c>
      <c r="X3" t="inlineStr">
        <is>
          <t>NONE</t>
        </is>
      </c>
      <c r="Y3" t="n">
        <v>3.75</v>
      </c>
      <c r="Z3" t="inlineStr"/>
      <c r="AA3" t="inlineStr">
        <is>
          <t>https://nvd.nist.gov/vuln/detail/CVE-2019-25349</t>
        </is>
      </c>
    </row>
    <row r="4">
      <c r="A4" t="inlineStr">
        <is>
          <t>CVE</t>
        </is>
      </c>
      <c r="B4" t="inlineStr">
        <is>
          <t>CVE-2019-25350</t>
        </is>
      </c>
      <c r="C4" t="inlineStr">
        <is>
          <t>XMedia Recode 3.4.8.6 contains a denial of service vulnerability that allows attackers to crash the application by loading a specially crafted .m3u playlist file. Attackers can create a malicious .m3u file with an oversized buffer to trigger an application crash when the file is opened.</t>
        </is>
      </c>
      <c r="D4" t="n">
        <v>7.5</v>
      </c>
      <c r="E4" t="inlineStr">
        <is>
          <t>HIGH</t>
        </is>
      </c>
      <c r="F4" t="n">
        <v>2</v>
      </c>
      <c r="G4" t="n">
        <v>3</v>
      </c>
      <c r="H4" t="inlineStr">
        <is>
          <t>HIGH</t>
        </is>
      </c>
      <c r="I4" t="n">
        <v>13.5</v>
      </c>
      <c r="J4" t="inlineStr">
        <is>
          <t>NO</t>
        </is>
      </c>
      <c r="K4" t="inlineStr">
        <is>
          <t>2026-02-26 00:15</t>
        </is>
      </c>
      <c r="L4" t="inlineStr">
        <is>
          <t>CHECK_VENDOR</t>
        </is>
      </c>
      <c r="M4" t="inlineStr">
        <is>
          <t>See CVE details</t>
        </is>
      </c>
      <c r="N4" t="inlineStr">
        <is>
          <t>P3</t>
        </is>
      </c>
      <c r="O4" t="inlineStr">
        <is>
          <t>CVE - IP enrichment n/a</t>
        </is>
      </c>
      <c r="P4" t="n">
        <v>0</v>
      </c>
      <c r="Q4" t="n">
        <v>0</v>
      </c>
      <c r="R4" t="inlineStr">
        <is>
          <t>T1499:Endpoint Denial of Service</t>
        </is>
      </c>
      <c r="S4" t="n">
        <v>1</v>
      </c>
      <c r="T4" t="inlineStr">
        <is>
          <t>LOW (40%)</t>
        </is>
      </c>
      <c r="U4" t="inlineStr">
        <is>
          <t>UNLIKELY</t>
        </is>
      </c>
      <c r="V4" t="inlineStr">
        <is>
          <t>CHECK_VENDOR</t>
        </is>
      </c>
      <c r="W4" t="inlineStr">
        <is>
          <t>https://nvd.nist.gov/vuln/detail/CVE-2019-25350</t>
        </is>
      </c>
      <c r="X4" t="inlineStr">
        <is>
          <t>NONE</t>
        </is>
      </c>
      <c r="Y4" t="n">
        <v>0</v>
      </c>
      <c r="Z4" t="inlineStr"/>
      <c r="AA4" t="inlineStr">
        <is>
          <t>https://nvd.nist.gov/vuln/detail/CVE-2019-25350</t>
        </is>
      </c>
    </row>
    <row r="5">
      <c r="A5" t="inlineStr">
        <is>
          <t>CVE</t>
        </is>
      </c>
      <c r="B5" t="inlineStr">
        <is>
          <t>CVE-2019-25351</t>
        </is>
      </c>
      <c r="C5" t="inlineStr">
        <is>
          <t>Centova Cast 3.2.11 contains a file download vulnerability that allows authenticated attackers to retrieve arbitrary system files through the server.copyfile API endpoint. Attackers can exploit the vulnerability by supplying crafted parameters to download sensitive files like /etc/passwd using curl and wget requests.</t>
        </is>
      </c>
      <c r="D5" t="n">
        <v>8.800000000000001</v>
      </c>
      <c r="E5" t="inlineStr">
        <is>
          <t>HIGH</t>
        </is>
      </c>
      <c r="F5" t="n">
        <v>2</v>
      </c>
      <c r="G5" t="n">
        <v>3</v>
      </c>
      <c r="H5" t="inlineStr">
        <is>
          <t>HIGH</t>
        </is>
      </c>
      <c r="I5" t="n">
        <v>14.8</v>
      </c>
      <c r="J5" t="inlineStr">
        <is>
          <t>NO</t>
        </is>
      </c>
      <c r="K5" t="inlineStr">
        <is>
          <t>2026-02-26 00:15</t>
        </is>
      </c>
      <c r="L5" t="inlineStr">
        <is>
          <t>CHECK_VENDOR</t>
        </is>
      </c>
      <c r="M5" t="inlineStr">
        <is>
          <t>See CVE details</t>
        </is>
      </c>
      <c r="N5" t="inlineStr">
        <is>
          <t>P3</t>
        </is>
      </c>
      <c r="O5" t="inlineStr">
        <is>
          <t>CVE - IP enrichment n/a</t>
        </is>
      </c>
      <c r="P5" t="n">
        <v>0.0005</v>
      </c>
      <c r="Q5" t="n">
        <v>0.1573</v>
      </c>
      <c r="R5" t="inlineStr">
        <is>
          <t>T1190:Exploit Public-Facing Application</t>
        </is>
      </c>
      <c r="S5" t="n">
        <v>1</v>
      </c>
      <c r="T5" t="inlineStr">
        <is>
          <t>LOW (40%)</t>
        </is>
      </c>
      <c r="U5" t="inlineStr">
        <is>
          <t>UNLIKELY</t>
        </is>
      </c>
      <c r="V5" t="inlineStr">
        <is>
          <t>CHECK_VENDOR</t>
        </is>
      </c>
      <c r="W5" t="inlineStr">
        <is>
          <t>https://nvd.nist.gov/vuln/detail/CVE-2019-25351</t>
        </is>
      </c>
      <c r="X5" t="inlineStr">
        <is>
          <t>NONE</t>
        </is>
      </c>
      <c r="Y5" t="n">
        <v>0</v>
      </c>
      <c r="Z5" t="inlineStr"/>
      <c r="AA5" t="inlineStr">
        <is>
          <t>https://nvd.nist.gov/vuln/detail/CVE-2019-25351</t>
        </is>
      </c>
    </row>
    <row r="6">
      <c r="A6" t="inlineStr">
        <is>
          <t>CVE</t>
        </is>
      </c>
      <c r="B6" t="inlineStr">
        <is>
          <t>CVE-2019-25352</t>
        </is>
      </c>
      <c r="C6" t="inlineStr">
        <is>
          <t>Crystal Live HTTP Server 6.01 contains a directory traversal vulnerability that allows remote attackers to access system files by manipulating URL path segments. Attackers can use multiple '../' sequences to navigate outside the web root and retrieve sensitive configuration files like Windows system files.</t>
        </is>
      </c>
      <c r="D6" t="n">
        <v>7.5</v>
      </c>
      <c r="E6" t="inlineStr">
        <is>
          <t>HIGH</t>
        </is>
      </c>
      <c r="F6" t="n">
        <v>2</v>
      </c>
      <c r="G6" t="n">
        <v>3</v>
      </c>
      <c r="H6" t="inlineStr">
        <is>
          <t>HIGH</t>
        </is>
      </c>
      <c r="I6" t="n">
        <v>13.5</v>
      </c>
      <c r="J6" t="inlineStr">
        <is>
          <t>NO</t>
        </is>
      </c>
      <c r="K6" t="inlineStr">
        <is>
          <t>2026-02-26 00:15</t>
        </is>
      </c>
      <c r="L6" t="inlineStr">
        <is>
          <t>CHECK_VENDOR</t>
        </is>
      </c>
      <c r="M6" t="inlineStr">
        <is>
          <t>See CVE details</t>
        </is>
      </c>
      <c r="N6" t="inlineStr">
        <is>
          <t>P2</t>
        </is>
      </c>
      <c r="O6" t="inlineStr">
        <is>
          <t>CVE - IP enrichment n/a</t>
        </is>
      </c>
      <c r="P6" t="n">
        <v>0</v>
      </c>
      <c r="Q6" t="n">
        <v>0</v>
      </c>
      <c r="R6" t="inlineStr">
        <is>
          <t>T1083:File and Directory Discovery</t>
        </is>
      </c>
      <c r="S6" t="n">
        <v>2</v>
      </c>
      <c r="T6" t="inlineStr">
        <is>
          <t>HIGH (72%)</t>
        </is>
      </c>
      <c r="U6" t="inlineStr">
        <is>
          <t>POSSIBLE</t>
        </is>
      </c>
      <c r="V6" t="inlineStr">
        <is>
          <t>CHECK_VENDOR</t>
        </is>
      </c>
      <c r="W6" t="inlineStr">
        <is>
          <t>https://nvd.nist.gov/vuln/detail/CVE-2019-25352</t>
        </is>
      </c>
      <c r="X6" t="inlineStr">
        <is>
          <t>NONE</t>
        </is>
      </c>
      <c r="Y6" t="n">
        <v>3.75</v>
      </c>
      <c r="Z6" t="inlineStr"/>
      <c r="AA6" t="inlineStr">
        <is>
          <t>https://nvd.nist.gov/vuln/detail/CVE-2019-25352</t>
        </is>
      </c>
    </row>
    <row r="7">
      <c r="A7" t="inlineStr">
        <is>
          <t>CVE</t>
        </is>
      </c>
      <c r="B7" t="inlineStr">
        <is>
          <t>CVE-2019-25353</t>
        </is>
      </c>
      <c r="C7" t="inlineStr">
        <is>
          <t>Foscam Video Management System 1.1.4.9 contains a denial of service vulnerability in the username input field that allows attackers to crash the application. Attackers can overwrite the username with a 520-byte buffer of repeated 'A' characters to trigger an application crash during device login.</t>
        </is>
      </c>
      <c r="D7" t="n">
        <v>7.5</v>
      </c>
      <c r="E7" t="inlineStr">
        <is>
          <t>HIGH</t>
        </is>
      </c>
      <c r="F7" t="n">
        <v>2</v>
      </c>
      <c r="G7" t="n">
        <v>3</v>
      </c>
      <c r="H7" t="inlineStr">
        <is>
          <t>HIGH</t>
        </is>
      </c>
      <c r="I7" t="n">
        <v>13.5</v>
      </c>
      <c r="J7" t="inlineStr">
        <is>
          <t>NO</t>
        </is>
      </c>
      <c r="K7" t="inlineStr">
        <is>
          <t>2026-02-26 00:15</t>
        </is>
      </c>
      <c r="L7" t="inlineStr">
        <is>
          <t>CHECK_VENDOR</t>
        </is>
      </c>
      <c r="M7" t="inlineStr">
        <is>
          <t>See CVE details</t>
        </is>
      </c>
      <c r="N7" t="inlineStr">
        <is>
          <t>P3</t>
        </is>
      </c>
      <c r="O7" t="inlineStr">
        <is>
          <t>CVE - IP enrichment n/a</t>
        </is>
      </c>
      <c r="P7" t="n">
        <v>0</v>
      </c>
      <c r="Q7" t="n">
        <v>0</v>
      </c>
      <c r="R7" t="inlineStr">
        <is>
          <t>T1203:Exploitation for Client Execution | T1499:Endpoint Denial of Service</t>
        </is>
      </c>
      <c r="S7" t="n">
        <v>1</v>
      </c>
      <c r="T7" t="inlineStr">
        <is>
          <t>LOW (40%)</t>
        </is>
      </c>
      <c r="U7" t="inlineStr">
        <is>
          <t>UNLIKELY</t>
        </is>
      </c>
      <c r="V7" t="inlineStr">
        <is>
          <t>CHECK_VENDOR</t>
        </is>
      </c>
      <c r="W7" t="inlineStr">
        <is>
          <t>https://nvd.nist.gov/vuln/detail/CVE-2019-25353</t>
        </is>
      </c>
      <c r="X7" t="inlineStr">
        <is>
          <t>NONE</t>
        </is>
      </c>
      <c r="Y7" t="n">
        <v>0</v>
      </c>
      <c r="Z7" t="inlineStr"/>
      <c r="AA7" t="inlineStr">
        <is>
          <t>https://nvd.nist.gov/vuln/detail/CVE-2019-25353</t>
        </is>
      </c>
    </row>
    <row r="8">
      <c r="A8" t="inlineStr">
        <is>
          <t>CVE</t>
        </is>
      </c>
      <c r="B8" t="inlineStr">
        <is>
          <t>CVE-2019-25354</t>
        </is>
      </c>
      <c r="C8" t="inlineStr">
        <is>
          <t>iSmartViewPro 1.3.34 contains a denial of service vulnerability that allows attackers to crash the application by overflowing the camera ID input field. Attackers can paste a 257-character buffer into the camera DID and password fields to trigger an application crash on iOS devices.</t>
        </is>
      </c>
      <c r="D8" t="n">
        <v>7.5</v>
      </c>
      <c r="E8" t="inlineStr">
        <is>
          <t>HIGH</t>
        </is>
      </c>
      <c r="F8" t="n">
        <v>2</v>
      </c>
      <c r="G8" t="n">
        <v>3</v>
      </c>
      <c r="H8" t="inlineStr">
        <is>
          <t>HIGH</t>
        </is>
      </c>
      <c r="I8" t="n">
        <v>13.5</v>
      </c>
      <c r="J8" t="inlineStr">
        <is>
          <t>NO</t>
        </is>
      </c>
      <c r="K8" t="inlineStr">
        <is>
          <t>2026-02-26 00:15</t>
        </is>
      </c>
      <c r="L8" t="inlineStr">
        <is>
          <t>CHECK_VENDOR</t>
        </is>
      </c>
      <c r="M8" t="inlineStr">
        <is>
          <t>See CVE details</t>
        </is>
      </c>
      <c r="N8" t="inlineStr">
        <is>
          <t>P2</t>
        </is>
      </c>
      <c r="O8" t="inlineStr">
        <is>
          <t>CVE - IP enrichment n/a</t>
        </is>
      </c>
      <c r="P8" t="n">
        <v>0</v>
      </c>
      <c r="Q8" t="n">
        <v>0</v>
      </c>
      <c r="R8" t="inlineStr">
        <is>
          <t>T1203:Exploitation for Client Execution | T1499:Endpoint Denial of Service</t>
        </is>
      </c>
      <c r="S8" t="n">
        <v>2</v>
      </c>
      <c r="T8" t="inlineStr">
        <is>
          <t>HIGH (72%)</t>
        </is>
      </c>
      <c r="U8" t="inlineStr">
        <is>
          <t>POSSIBLE</t>
        </is>
      </c>
      <c r="V8" t="inlineStr">
        <is>
          <t>CHECK_VENDOR</t>
        </is>
      </c>
      <c r="W8" t="inlineStr">
        <is>
          <t>https://nvd.nist.gov/vuln/detail/CVE-2019-25354</t>
        </is>
      </c>
      <c r="X8" t="inlineStr">
        <is>
          <t>NONE</t>
        </is>
      </c>
      <c r="Y8" t="n">
        <v>3.75</v>
      </c>
      <c r="Z8" t="inlineStr"/>
      <c r="AA8" t="inlineStr">
        <is>
          <t>https://nvd.nist.gov/vuln/detail/CVE-2019-25354</t>
        </is>
      </c>
    </row>
    <row r="9">
      <c r="A9" t="inlineStr">
        <is>
          <t>CVE</t>
        </is>
      </c>
      <c r="B9" t="inlineStr">
        <is>
          <t>CVE-2019-25355</t>
        </is>
      </c>
      <c r="C9" t="inlineStr">
        <is>
          <t>gSOAP 2.8 contains a directory traversal vulnerability that allows unauthenticated attackers to access system files by manipulating HTTP path traversal techniques. Attackers can retrieve sensitive files like /etc/passwd by sending crafted GET requests with multiple '../' directory traversal sequences.</t>
        </is>
      </c>
      <c r="D9" t="n">
        <v>7.5</v>
      </c>
      <c r="E9" t="inlineStr">
        <is>
          <t>HIGH</t>
        </is>
      </c>
      <c r="F9" t="n">
        <v>2</v>
      </c>
      <c r="G9" t="n">
        <v>3</v>
      </c>
      <c r="H9" t="inlineStr">
        <is>
          <t>HIGH</t>
        </is>
      </c>
      <c r="I9" t="n">
        <v>13.5</v>
      </c>
      <c r="J9" t="inlineStr">
        <is>
          <t>NO</t>
        </is>
      </c>
      <c r="K9" t="inlineStr">
        <is>
          <t>2026-02-26 00:15</t>
        </is>
      </c>
      <c r="L9" t="inlineStr">
        <is>
          <t>CHECK_VENDOR</t>
        </is>
      </c>
      <c r="M9" t="inlineStr">
        <is>
          <t>See CVE details</t>
        </is>
      </c>
      <c r="N9" t="inlineStr">
        <is>
          <t>P2</t>
        </is>
      </c>
      <c r="O9" t="inlineStr">
        <is>
          <t>CVE - IP enrichment n/a</t>
        </is>
      </c>
      <c r="P9" t="n">
        <v>0</v>
      </c>
      <c r="Q9" t="n">
        <v>0</v>
      </c>
      <c r="R9" t="inlineStr">
        <is>
          <t>T1083:File and Directory Discovery</t>
        </is>
      </c>
      <c r="S9" t="n">
        <v>2</v>
      </c>
      <c r="T9" t="inlineStr">
        <is>
          <t>HIGH (72%)</t>
        </is>
      </c>
      <c r="U9" t="inlineStr">
        <is>
          <t>POSSIBLE</t>
        </is>
      </c>
      <c r="V9" t="inlineStr">
        <is>
          <t>CHECK_VENDOR</t>
        </is>
      </c>
      <c r="W9" t="inlineStr">
        <is>
          <t>https://nvd.nist.gov/vuln/detail/CVE-2019-25355</t>
        </is>
      </c>
      <c r="X9" t="inlineStr">
        <is>
          <t>NONE</t>
        </is>
      </c>
      <c r="Y9" t="n">
        <v>3.75</v>
      </c>
      <c r="Z9" t="inlineStr"/>
      <c r="AA9" t="inlineStr">
        <is>
          <t>https://nvd.nist.gov/vuln/detail/CVE-2019-25355</t>
        </is>
      </c>
    </row>
    <row r="10">
      <c r="A10" t="inlineStr">
        <is>
          <t>CVE</t>
        </is>
      </c>
      <c r="B10" t="inlineStr">
        <is>
          <t>CVE-2019-25356</t>
        </is>
      </c>
      <c r="C10" t="inlineStr">
        <is>
          <t>Bematech (formerly Logic Controls, now Elgin) MP-4200 TH printer contains a cross-site scripting vulnerability in the admin configuration page. Attackers can inject malicious scripts via crafted POST requests with malformed 'admin' and 'person' parameters, allowing execution of arbitrary JavaScript in the context of an authenticated user's browser session.</t>
        </is>
      </c>
      <c r="D10" t="n">
        <v>6.1</v>
      </c>
      <c r="E10" t="inlineStr">
        <is>
          <t>MEDIUM</t>
        </is>
      </c>
      <c r="F10" t="n">
        <v>2</v>
      </c>
      <c r="G10" t="n">
        <v>2</v>
      </c>
      <c r="H10" t="inlineStr">
        <is>
          <t>MEDIUM</t>
        </is>
      </c>
      <c r="I10" t="n">
        <v>10.1</v>
      </c>
      <c r="J10" t="inlineStr">
        <is>
          <t>NO</t>
        </is>
      </c>
      <c r="K10" t="inlineStr">
        <is>
          <t>2026-02-26 00:15</t>
        </is>
      </c>
      <c r="L10" t="inlineStr">
        <is>
          <t>CHECK_VENDOR</t>
        </is>
      </c>
      <c r="M10" t="inlineStr">
        <is>
          <t>See CVE details</t>
        </is>
      </c>
      <c r="N10" t="inlineStr">
        <is>
          <t>P4</t>
        </is>
      </c>
      <c r="O10" t="inlineStr">
        <is>
          <t>CVE - IP enrichment n/a</t>
        </is>
      </c>
      <c r="P10" t="n">
        <v>0.0004</v>
      </c>
      <c r="Q10" t="n">
        <v>0.1135</v>
      </c>
      <c r="R10" t="inlineStr">
        <is>
          <t>T1189:Drive-by Compromise</t>
        </is>
      </c>
      <c r="S10" t="n">
        <v>1</v>
      </c>
      <c r="T10" t="inlineStr">
        <is>
          <t>LOW (40%)</t>
        </is>
      </c>
      <c r="U10" t="inlineStr">
        <is>
          <t>UNLIKELY</t>
        </is>
      </c>
      <c r="V10" t="inlineStr">
        <is>
          <t>CHECK_VENDOR</t>
        </is>
      </c>
      <c r="W10" t="inlineStr">
        <is>
          <t>https://nvd.nist.gov/vuln/detail/CVE-2019-25356</t>
        </is>
      </c>
      <c r="X10" t="inlineStr">
        <is>
          <t>NONE</t>
        </is>
      </c>
      <c r="Y10" t="n">
        <v>0</v>
      </c>
      <c r="Z10" t="inlineStr"/>
      <c r="AA10" t="inlineStr">
        <is>
          <t>https://nvd.nist.gov/vuln/detail/CVE-2019-25356</t>
        </is>
      </c>
    </row>
    <row r="11">
      <c r="A11" t="inlineStr">
        <is>
          <t>CVE</t>
        </is>
      </c>
      <c r="B11" t="inlineStr">
        <is>
          <t>CVE-2019-25357</t>
        </is>
      </c>
      <c r="C11" t="inlineStr">
        <is>
          <t>Control Center PRO 6.2.9 contains a stack-based buffer overflow vulnerability in the user creation module's username field that allows attackers to overwrite Structured Exception Handler (SEH). Attackers can craft a malicious payload exceeding 664 bytes to inject shellcode and potentially execute arbitrary code on vulnerable Windows systems.</t>
        </is>
      </c>
      <c r="D11" t="n">
        <v>8.4</v>
      </c>
      <c r="E11" t="inlineStr">
        <is>
          <t>HIGH</t>
        </is>
      </c>
      <c r="F11" t="n">
        <v>2</v>
      </c>
      <c r="G11" t="n">
        <v>3</v>
      </c>
      <c r="H11" t="inlineStr">
        <is>
          <t>HIGH</t>
        </is>
      </c>
      <c r="I11" t="n">
        <v>14.4</v>
      </c>
      <c r="J11" t="inlineStr">
        <is>
          <t>NO</t>
        </is>
      </c>
      <c r="K11" t="inlineStr">
        <is>
          <t>2026-02-26 00:15</t>
        </is>
      </c>
      <c r="L11" t="inlineStr">
        <is>
          <t>CHECK_VENDOR</t>
        </is>
      </c>
      <c r="M11" t="inlineStr">
        <is>
          <t>See CVE details</t>
        </is>
      </c>
      <c r="N11" t="inlineStr">
        <is>
          <t>P3</t>
        </is>
      </c>
      <c r="O11" t="inlineStr">
        <is>
          <t>CVE - IP enrichment n/a</t>
        </is>
      </c>
      <c r="P11" t="n">
        <v>0</v>
      </c>
      <c r="Q11" t="n">
        <v>0</v>
      </c>
      <c r="R11" t="inlineStr">
        <is>
          <t>T1190:Exploit Public-Facing Application | T1203:Exploitation for Client Execution</t>
        </is>
      </c>
      <c r="S11" t="n">
        <v>1</v>
      </c>
      <c r="T11" t="inlineStr">
        <is>
          <t>LOW (40%)</t>
        </is>
      </c>
      <c r="U11" t="inlineStr">
        <is>
          <t>UNLIKELY</t>
        </is>
      </c>
      <c r="V11" t="inlineStr">
        <is>
          <t>CHECK_VENDOR</t>
        </is>
      </c>
      <c r="W11" t="inlineStr">
        <is>
          <t>https://nvd.nist.gov/vuln/detail/CVE-2019-25357</t>
        </is>
      </c>
      <c r="X11" t="inlineStr">
        <is>
          <t>NONE</t>
        </is>
      </c>
      <c r="Y11" t="n">
        <v>0</v>
      </c>
      <c r="Z11" t="inlineStr"/>
      <c r="AA11" t="inlineStr">
        <is>
          <t>https://nvd.nist.gov/vuln/detail/CVE-2019-25357</t>
        </is>
      </c>
    </row>
    <row r="12">
      <c r="A12" t="inlineStr">
        <is>
          <t>CVE</t>
        </is>
      </c>
      <c r="B12" t="inlineStr">
        <is>
          <t>CVE-2019-25358</t>
        </is>
      </c>
      <c r="C12" t="inlineStr">
        <is>
          <t>FileOptimizer 14.00.2524 contains a denial of service vulnerability that allows attackers to crash the application by manipulating the FileOptimizer32.ini configuration file. Attackers can overwrite the TempDirectory parameter with a 5000-character buffer to cause the application to crash when opening options.</t>
        </is>
      </c>
      <c r="D12" t="n">
        <v>7.5</v>
      </c>
      <c r="E12" t="inlineStr">
        <is>
          <t>HIGH</t>
        </is>
      </c>
      <c r="F12" t="n">
        <v>2</v>
      </c>
      <c r="G12" t="n">
        <v>3</v>
      </c>
      <c r="H12" t="inlineStr">
        <is>
          <t>HIGH</t>
        </is>
      </c>
      <c r="I12" t="n">
        <v>13.5</v>
      </c>
      <c r="J12" t="inlineStr">
        <is>
          <t>NO</t>
        </is>
      </c>
      <c r="K12" t="inlineStr">
        <is>
          <t>2026-02-26 00:15</t>
        </is>
      </c>
      <c r="L12" t="inlineStr">
        <is>
          <t>CHECK_VENDOR</t>
        </is>
      </c>
      <c r="M12" t="inlineStr">
        <is>
          <t>See CVE details</t>
        </is>
      </c>
      <c r="N12" t="inlineStr">
        <is>
          <t>P3</t>
        </is>
      </c>
      <c r="O12" t="inlineStr">
        <is>
          <t>CVE - IP enrichment n/a</t>
        </is>
      </c>
      <c r="P12" t="n">
        <v>0</v>
      </c>
      <c r="Q12" t="n">
        <v>0</v>
      </c>
      <c r="R12" t="inlineStr">
        <is>
          <t>T1499:Endpoint Denial of Service</t>
        </is>
      </c>
      <c r="S12" t="n">
        <v>1</v>
      </c>
      <c r="T12" t="inlineStr">
        <is>
          <t>LOW (40%)</t>
        </is>
      </c>
      <c r="U12" t="inlineStr">
        <is>
          <t>UNLIKELY</t>
        </is>
      </c>
      <c r="V12" t="inlineStr">
        <is>
          <t>CHECK_VENDOR</t>
        </is>
      </c>
      <c r="W12" t="inlineStr">
        <is>
          <t>https://nvd.nist.gov/vuln/detail/CVE-2019-25358</t>
        </is>
      </c>
      <c r="X12" t="inlineStr">
        <is>
          <t>NONE</t>
        </is>
      </c>
      <c r="Y12" t="n">
        <v>0</v>
      </c>
      <c r="Z12" t="inlineStr"/>
      <c r="AA12" t="inlineStr">
        <is>
          <t>https://nvd.nist.gov/vuln/detail/CVE-2019-25358</t>
        </is>
      </c>
    </row>
    <row r="13">
      <c r="A13" t="inlineStr">
        <is>
          <t>CVE</t>
        </is>
      </c>
      <c r="B13" t="inlineStr">
        <is>
          <t>CVE-2019-25359</t>
        </is>
      </c>
      <c r="C13" t="inlineStr">
        <is>
          <t>SD.NET RIM versions before 4.7.3c contain a SQL injection vulnerability that allows attackers to inject malicious SQL statements through POST parameters 'idtyp' and 'idgremium'. Attackers can exploit this vulnerability by crafting specially formed POST requests to the /vorlagen/ endpoint, enabling unauthorized database manipulation and potential information disclosure.</t>
        </is>
      </c>
      <c r="D13" t="n">
        <v>8.199999999999999</v>
      </c>
      <c r="E13" t="inlineStr">
        <is>
          <t>HIGH</t>
        </is>
      </c>
      <c r="F13" t="n">
        <v>2</v>
      </c>
      <c r="G13" t="n">
        <v>3</v>
      </c>
      <c r="H13" t="inlineStr">
        <is>
          <t>HIGH</t>
        </is>
      </c>
      <c r="I13" t="n">
        <v>14.2</v>
      </c>
      <c r="J13" t="inlineStr">
        <is>
          <t>NO</t>
        </is>
      </c>
      <c r="K13" t="inlineStr">
        <is>
          <t>2026-02-26 00:15</t>
        </is>
      </c>
      <c r="L13" t="inlineStr">
        <is>
          <t>CHECK_VENDOR</t>
        </is>
      </c>
      <c r="M13" t="inlineStr">
        <is>
          <t>See CVE details</t>
        </is>
      </c>
      <c r="N13" t="inlineStr">
        <is>
          <t>P3</t>
        </is>
      </c>
      <c r="O13" t="inlineStr">
        <is>
          <t>CVE - IP enrichment n/a</t>
        </is>
      </c>
      <c r="P13" t="n">
        <v>0</v>
      </c>
      <c r="Q13" t="n">
        <v>0</v>
      </c>
      <c r="R13" t="inlineStr">
        <is>
          <t>T1185:Browser Session Hijacking | T1190:Exploit Public-Facing Application | T1213:Data from Information Repositories</t>
        </is>
      </c>
      <c r="S13" t="n">
        <v>1</v>
      </c>
      <c r="T13" t="inlineStr">
        <is>
          <t>LOW (40%)</t>
        </is>
      </c>
      <c r="U13" t="inlineStr">
        <is>
          <t>UNLIKELY</t>
        </is>
      </c>
      <c r="V13" t="inlineStr">
        <is>
          <t>CHECK_VENDOR</t>
        </is>
      </c>
      <c r="W13" t="inlineStr">
        <is>
          <t>https://nvd.nist.gov/vuln/detail/CVE-2019-25359</t>
        </is>
      </c>
      <c r="X13" t="inlineStr">
        <is>
          <t>NONE</t>
        </is>
      </c>
      <c r="Y13" t="n">
        <v>0</v>
      </c>
      <c r="Z13" t="inlineStr"/>
      <c r="AA13" t="inlineStr">
        <is>
          <t>https://nvd.nist.gov/vuln/detail/CVE-2019-25359</t>
        </is>
      </c>
    </row>
    <row r="14">
      <c r="A14" t="inlineStr">
        <is>
          <t>CVE</t>
        </is>
      </c>
      <c r="B14" t="inlineStr">
        <is>
          <t>CVE-2019-25360</t>
        </is>
      </c>
      <c r="C14" t="inlineStr">
        <is>
          <t>Aida64 Engineer 6.10.5200 contains a buffer overflow vulnerability in the CSV logging configuration that allows attackers to execute malicious code by crafting a specially designed payload. Attackers can exploit the vulnerability by creating a malformed log file with carefully constructed SEH (Structured Exception Handler) overwrite techniques to achieve remote code execution.</t>
        </is>
      </c>
      <c r="D14" t="n">
        <v>9.800000000000001</v>
      </c>
      <c r="E14" t="inlineStr">
        <is>
          <t>CRITICAL</t>
        </is>
      </c>
      <c r="F14" t="n">
        <v>3</v>
      </c>
      <c r="G14" t="n">
        <v>3</v>
      </c>
      <c r="H14" t="inlineStr">
        <is>
          <t>CRITICAL</t>
        </is>
      </c>
      <c r="I14" t="n">
        <v>18.8</v>
      </c>
      <c r="J14" t="inlineStr">
        <is>
          <t>NO</t>
        </is>
      </c>
      <c r="K14" t="inlineStr">
        <is>
          <t>2026-02-26 00:15</t>
        </is>
      </c>
      <c r="L14" t="inlineStr">
        <is>
          <t>CHECK_VENDOR</t>
        </is>
      </c>
      <c r="M14" t="inlineStr">
        <is>
          <t>See CVE details</t>
        </is>
      </c>
      <c r="N14" t="inlineStr">
        <is>
          <t>P2</t>
        </is>
      </c>
      <c r="O14" t="inlineStr">
        <is>
          <t>CVE - IP enrichment n/a</t>
        </is>
      </c>
      <c r="P14" t="n">
        <v>0.0024</v>
      </c>
      <c r="Q14" t="n">
        <v>0.4617</v>
      </c>
      <c r="R14" t="inlineStr">
        <is>
          <t>T1190:Exploit Public-Facing Application | T1210:Exploitation of Remote Services | T1203:Exploitation for Client Execution</t>
        </is>
      </c>
      <c r="S14" t="n">
        <v>2</v>
      </c>
      <c r="T14" t="inlineStr">
        <is>
          <t>HIGH (72%)</t>
        </is>
      </c>
      <c r="U14" t="inlineStr">
        <is>
          <t>CONFIRMED</t>
        </is>
      </c>
      <c r="V14" t="inlineStr">
        <is>
          <t>CHECK_VENDOR</t>
        </is>
      </c>
      <c r="W14" t="inlineStr">
        <is>
          <t>https://nvd.nist.gov/vuln/detail/CVE-2019-25360</t>
        </is>
      </c>
      <c r="X14" t="inlineStr">
        <is>
          <t>NONE</t>
        </is>
      </c>
      <c r="Y14" t="n">
        <v>4.9</v>
      </c>
      <c r="Z14" t="inlineStr"/>
      <c r="AA14" t="inlineStr">
        <is>
          <t>https://nvd.nist.gov/vuln/detail/CVE-2019-25360</t>
        </is>
      </c>
    </row>
    <row r="15">
      <c r="A15" t="inlineStr">
        <is>
          <t>CVE</t>
        </is>
      </c>
      <c r="B15" t="inlineStr">
        <is>
          <t>CVE-2019-25361</t>
        </is>
      </c>
      <c r="C15" t="inlineStr">
        <is>
          <t>Ayukov NFTP client 1.71 contains a buffer overflow vulnerability in the SYST command handling that allows remote attackers to execute arbitrary code. Attackers can send a specially crafted SYST command with oversized payload to trigger a buffer overflow and execute a bind shell on port 5150.</t>
        </is>
      </c>
      <c r="D15" t="n">
        <v>9.800000000000001</v>
      </c>
      <c r="E15" t="inlineStr">
        <is>
          <t>CRITICAL</t>
        </is>
      </c>
      <c r="F15" t="n">
        <v>3</v>
      </c>
      <c r="G15" t="n">
        <v>3</v>
      </c>
      <c r="H15" t="inlineStr">
        <is>
          <t>CRITICAL</t>
        </is>
      </c>
      <c r="I15" t="n">
        <v>18.8</v>
      </c>
      <c r="J15" t="inlineStr">
        <is>
          <t>NO</t>
        </is>
      </c>
      <c r="K15" t="inlineStr">
        <is>
          <t>2026-02-26 00:15</t>
        </is>
      </c>
      <c r="L15" t="inlineStr">
        <is>
          <t>CHECK_VENDOR</t>
        </is>
      </c>
      <c r="M15" t="inlineStr">
        <is>
          <t>See CVE details</t>
        </is>
      </c>
      <c r="N15" t="inlineStr">
        <is>
          <t>P2</t>
        </is>
      </c>
      <c r="O15" t="inlineStr">
        <is>
          <t>CVE - IP enrichment n/a</t>
        </is>
      </c>
      <c r="P15" t="n">
        <v>0.0023</v>
      </c>
      <c r="Q15" t="n">
        <v>0.4594</v>
      </c>
      <c r="R15" t="inlineStr">
        <is>
          <t>T1190:Exploit Public-Facing Application | T1203:Exploitation for Client Execution</t>
        </is>
      </c>
      <c r="S15" t="n">
        <v>2</v>
      </c>
      <c r="T15" t="inlineStr">
        <is>
          <t>HIGH (72%)</t>
        </is>
      </c>
      <c r="U15" t="inlineStr">
        <is>
          <t>CONFIRMED</t>
        </is>
      </c>
      <c r="V15" t="inlineStr">
        <is>
          <t>CHECK_VENDOR</t>
        </is>
      </c>
      <c r="W15" t="inlineStr">
        <is>
          <t>https://nvd.nist.gov/vuln/detail/CVE-2019-25361</t>
        </is>
      </c>
      <c r="X15" t="inlineStr">
        <is>
          <t>NONE</t>
        </is>
      </c>
      <c r="Y15" t="n">
        <v>4.9</v>
      </c>
      <c r="Z15" t="inlineStr"/>
      <c r="AA15" t="inlineStr">
        <is>
          <t>https://nvd.nist.gov/vuln/detail/CVE-2019-25361</t>
        </is>
      </c>
    </row>
    <row r="16">
      <c r="A16" t="inlineStr">
        <is>
          <t>CVE</t>
        </is>
      </c>
      <c r="B16" t="inlineStr">
        <is>
          <t>CVE-2019-25362</t>
        </is>
      </c>
      <c r="C16" t="inlineStr">
        <is>
          <t>WMV to AVI MPEG DVD WMV Convertor 4.6.1217 contains a buffer overflow vulnerability that allows attackers to execute arbitrary code by overwriting the license name and license code fields. Attackers can craft a malicious payload of 6000 bytes to trigger a bind shell on port 4444 by exploiting a stack-based buffer overflow in the application's input handling.</t>
        </is>
      </c>
      <c r="D16" t="n">
        <v>9.800000000000001</v>
      </c>
      <c r="E16" t="inlineStr">
        <is>
          <t>CRITICAL</t>
        </is>
      </c>
      <c r="F16" t="n">
        <v>2</v>
      </c>
      <c r="G16" t="n">
        <v>3</v>
      </c>
      <c r="H16" t="inlineStr">
        <is>
          <t>HIGH</t>
        </is>
      </c>
      <c r="I16" t="n">
        <v>15.8</v>
      </c>
      <c r="J16" t="inlineStr">
        <is>
          <t>NO</t>
        </is>
      </c>
      <c r="K16" t="inlineStr">
        <is>
          <t>2026-02-26 00:15</t>
        </is>
      </c>
      <c r="L16" t="inlineStr">
        <is>
          <t>CHECK_VENDOR</t>
        </is>
      </c>
      <c r="M16" t="inlineStr">
        <is>
          <t>See CVE details</t>
        </is>
      </c>
      <c r="N16" t="inlineStr">
        <is>
          <t>P3</t>
        </is>
      </c>
      <c r="O16" t="inlineStr">
        <is>
          <t>CVE - IP enrichment n/a</t>
        </is>
      </c>
      <c r="P16" t="n">
        <v>0</v>
      </c>
      <c r="Q16" t="n">
        <v>0</v>
      </c>
      <c r="R16" t="inlineStr">
        <is>
          <t>T1203:Exploitation for Client Execution</t>
        </is>
      </c>
      <c r="S16" t="n">
        <v>1</v>
      </c>
      <c r="T16" t="inlineStr">
        <is>
          <t>LOW (40%)</t>
        </is>
      </c>
      <c r="U16" t="inlineStr">
        <is>
          <t>UNLIKELY</t>
        </is>
      </c>
      <c r="V16" t="inlineStr">
        <is>
          <t>CHECK_VENDOR</t>
        </is>
      </c>
      <c r="W16" t="inlineStr">
        <is>
          <t>https://nvd.nist.gov/vuln/detail/CVE-2019-25362</t>
        </is>
      </c>
      <c r="X16" t="inlineStr">
        <is>
          <t>NONE</t>
        </is>
      </c>
      <c r="Y16" t="n">
        <v>0</v>
      </c>
      <c r="Z16" t="inlineStr"/>
      <c r="AA16" t="inlineStr">
        <is>
          <t>https://nvd.nist.gov/vuln/detail/CVE-2019-25362</t>
        </is>
      </c>
    </row>
    <row r="17">
      <c r="A17" t="inlineStr">
        <is>
          <t>CVE</t>
        </is>
      </c>
      <c r="B17" t="inlineStr">
        <is>
          <t>CVE-2019-25363</t>
        </is>
      </c>
      <c r="C17" t="inlineStr">
        <is>
          <t>WMV to AVI MPEG DVD WMV Convertor 4.6.1217 contains a buffer overflow vulnerability that allows attackers to crash the application by providing an oversized license input. Attackers can generate a 6000-byte payload and paste it into the 'License Name and License Code' field to trigger an application crash.</t>
        </is>
      </c>
      <c r="D17" t="n">
        <v>7.5</v>
      </c>
      <c r="E17" t="inlineStr">
        <is>
          <t>HIGH</t>
        </is>
      </c>
      <c r="F17" t="n">
        <v>2</v>
      </c>
      <c r="G17" t="n">
        <v>3</v>
      </c>
      <c r="H17" t="inlineStr">
        <is>
          <t>HIGH</t>
        </is>
      </c>
      <c r="I17" t="n">
        <v>13.5</v>
      </c>
      <c r="J17" t="inlineStr">
        <is>
          <t>NO</t>
        </is>
      </c>
      <c r="K17" t="inlineStr">
        <is>
          <t>2026-02-26 00:15</t>
        </is>
      </c>
      <c r="L17" t="inlineStr">
        <is>
          <t>CHECK_VENDOR</t>
        </is>
      </c>
      <c r="M17" t="inlineStr">
        <is>
          <t>See CVE details</t>
        </is>
      </c>
      <c r="N17" t="inlineStr">
        <is>
          <t>P2</t>
        </is>
      </c>
      <c r="O17" t="inlineStr">
        <is>
          <t>CVE - IP enrichment n/a</t>
        </is>
      </c>
      <c r="P17" t="n">
        <v>0</v>
      </c>
      <c r="Q17" t="n">
        <v>0</v>
      </c>
      <c r="R17" t="inlineStr">
        <is>
          <t>T1190:Exploit Public-Facing Application | T1203:Exploitation for Client Execution</t>
        </is>
      </c>
      <c r="S17" t="n">
        <v>2</v>
      </c>
      <c r="T17" t="inlineStr">
        <is>
          <t>HIGH (72%)</t>
        </is>
      </c>
      <c r="U17" t="inlineStr">
        <is>
          <t>POSSIBLE</t>
        </is>
      </c>
      <c r="V17" t="inlineStr">
        <is>
          <t>CHECK_VENDOR</t>
        </is>
      </c>
      <c r="W17" t="inlineStr">
        <is>
          <t>https://nvd.nist.gov/vuln/detail/CVE-2019-25363</t>
        </is>
      </c>
      <c r="X17" t="inlineStr">
        <is>
          <t>NONE</t>
        </is>
      </c>
      <c r="Y17" t="n">
        <v>3.75</v>
      </c>
      <c r="Z17" t="inlineStr"/>
      <c r="AA17" t="inlineStr">
        <is>
          <t>https://nvd.nist.gov/vuln/detail/CVE-2019-25363</t>
        </is>
      </c>
    </row>
    <row r="18">
      <c r="A18" t="inlineStr">
        <is>
          <t>CVE</t>
        </is>
      </c>
      <c r="B18" t="inlineStr">
        <is>
          <t>CVE-2019-25364</t>
        </is>
      </c>
      <c r="C18" t="inlineStr">
        <is>
          <t>MailCarrier 2.51 contains a buffer overflow vulnerability in the POP3 USER command that allows remote attackers to execute arbitrary code. Attackers can send a crafted oversized buffer to the POP3 service, overwriting memory and potentially gaining remote system access.</t>
        </is>
      </c>
      <c r="D18" t="n">
        <v>9.800000000000001</v>
      </c>
      <c r="E18" t="inlineStr">
        <is>
          <t>CRITICAL</t>
        </is>
      </c>
      <c r="F18" t="n">
        <v>2</v>
      </c>
      <c r="G18" t="n">
        <v>3</v>
      </c>
      <c r="H18" t="inlineStr">
        <is>
          <t>HIGH</t>
        </is>
      </c>
      <c r="I18" t="n">
        <v>15.8</v>
      </c>
      <c r="J18" t="inlineStr">
        <is>
          <t>NO</t>
        </is>
      </c>
      <c r="K18" t="inlineStr">
        <is>
          <t>2026-02-26 00:15</t>
        </is>
      </c>
      <c r="L18" t="inlineStr">
        <is>
          <t>CHECK_VENDOR</t>
        </is>
      </c>
      <c r="M18" t="inlineStr">
        <is>
          <t>tabslab mailcarrier 2.51</t>
        </is>
      </c>
      <c r="N18" t="inlineStr">
        <is>
          <t>P3</t>
        </is>
      </c>
      <c r="O18" t="inlineStr">
        <is>
          <t>CVE - IP enrichment n/a</t>
        </is>
      </c>
      <c r="P18" t="n">
        <v>0</v>
      </c>
      <c r="Q18" t="n">
        <v>0</v>
      </c>
      <c r="R18" t="inlineStr">
        <is>
          <t>T1190:Exploit Public-Facing Application | T1203:Exploitation for Client Execution</t>
        </is>
      </c>
      <c r="S18" t="n">
        <v>1</v>
      </c>
      <c r="T18" t="inlineStr">
        <is>
          <t>LOW (40%)</t>
        </is>
      </c>
      <c r="U18" t="inlineStr">
        <is>
          <t>UNLIKELY</t>
        </is>
      </c>
      <c r="V18" t="inlineStr">
        <is>
          <t>CHECK_VENDOR</t>
        </is>
      </c>
      <c r="W18" t="inlineStr">
        <is>
          <t>https://nvd.nist.gov/vuln/detail/CVE-2019-25364</t>
        </is>
      </c>
      <c r="X18" t="inlineStr">
        <is>
          <t>NONE</t>
        </is>
      </c>
      <c r="Y18" t="n">
        <v>0</v>
      </c>
      <c r="Z18" t="inlineStr"/>
      <c r="AA18" t="inlineStr">
        <is>
          <t>https://nvd.nist.gov/vuln/detail/CVE-2019-25364</t>
        </is>
      </c>
    </row>
    <row r="19">
      <c r="A19" t="inlineStr">
        <is>
          <t>CVE</t>
        </is>
      </c>
      <c r="B19" t="inlineStr">
        <is>
          <t>CVE-2019-25365</t>
        </is>
      </c>
      <c r="C19" t="inlineStr">
        <is>
          <t>ChaosPro 2.0 contains a buffer overflow vulnerability in the configuration file path handling that allows attackers to execute arbitrary code by overwriting the Structured Exception Handler. Attackers can craft a malicious configuration file with carefully constructed payload to overwrite memory and gain remote code execution on vulnerable Windows XP systems.</t>
        </is>
      </c>
      <c r="D19" t="n">
        <v>9.800000000000001</v>
      </c>
      <c r="E19" t="inlineStr">
        <is>
          <t>CRITICAL</t>
        </is>
      </c>
      <c r="F19" t="n">
        <v>3</v>
      </c>
      <c r="G19" t="n">
        <v>3</v>
      </c>
      <c r="H19" t="inlineStr">
        <is>
          <t>CRITICAL</t>
        </is>
      </c>
      <c r="I19" t="n">
        <v>18.8</v>
      </c>
      <c r="J19" t="inlineStr">
        <is>
          <t>NO</t>
        </is>
      </c>
      <c r="K19" t="inlineStr">
        <is>
          <t>2026-02-26 00:15</t>
        </is>
      </c>
      <c r="L19" t="inlineStr">
        <is>
          <t>CHECK_VENDOR</t>
        </is>
      </c>
      <c r="M19" t="inlineStr">
        <is>
          <t>See CVE details</t>
        </is>
      </c>
      <c r="N19" t="inlineStr">
        <is>
          <t>P2</t>
        </is>
      </c>
      <c r="O19" t="inlineStr">
        <is>
          <t>CVE - IP enrichment n/a</t>
        </is>
      </c>
      <c r="P19" t="n">
        <v>0</v>
      </c>
      <c r="Q19" t="n">
        <v>0</v>
      </c>
      <c r="R19" t="inlineStr">
        <is>
          <t>T1190:Exploit Public-Facing Application | T1210:Exploitation of Remote Services | T1203:Exploitation for Client Execution</t>
        </is>
      </c>
      <c r="S19" t="n">
        <v>2</v>
      </c>
      <c r="T19" t="inlineStr">
        <is>
          <t>HIGH (72%)</t>
        </is>
      </c>
      <c r="U19" t="inlineStr">
        <is>
          <t>CONFIRMED</t>
        </is>
      </c>
      <c r="V19" t="inlineStr">
        <is>
          <t>CHECK_VENDOR</t>
        </is>
      </c>
      <c r="W19" t="inlineStr">
        <is>
          <t>https://nvd.nist.gov/vuln/detail/CVE-2019-25365</t>
        </is>
      </c>
      <c r="X19" t="inlineStr">
        <is>
          <t>NONE</t>
        </is>
      </c>
      <c r="Y19" t="n">
        <v>4.9</v>
      </c>
      <c r="Z19" t="inlineStr"/>
      <c r="AA19" t="inlineStr">
        <is>
          <t>https://nvd.nist.gov/vuln/detail/CVE-2019-25365</t>
        </is>
      </c>
    </row>
    <row r="20">
      <c r="A20" t="inlineStr">
        <is>
          <t>CVE</t>
        </is>
      </c>
      <c r="B20" t="inlineStr">
        <is>
          <t>CVE-2019-25396</t>
        </is>
      </c>
      <c r="C20" t="inlineStr">
        <is>
          <t>IPFire 2.21 Core Update 127 contains a reflected cross-site scripting vulnerability in the updatexlrator.cgi script that allows attackers to inject malicious scripts through POST parameters. Attackers can submit crafted requests with script payloads in the MAX_DISK_USAGE or MAX_DOWNLOAD_RATE parameters to execute arbitrary JavaScript in users' browsers.</t>
        </is>
      </c>
      <c r="D20" t="n">
        <v>6.1</v>
      </c>
      <c r="E20" t="inlineStr">
        <is>
          <t>MEDIUM</t>
        </is>
      </c>
      <c r="F20" t="n">
        <v>2</v>
      </c>
      <c r="G20" t="n">
        <v>2</v>
      </c>
      <c r="H20" t="inlineStr">
        <is>
          <t>MEDIUM</t>
        </is>
      </c>
      <c r="I20" t="n">
        <v>10.1</v>
      </c>
      <c r="J20" t="inlineStr">
        <is>
          <t>NO</t>
        </is>
      </c>
      <c r="K20" t="inlineStr">
        <is>
          <t>2026-02-26 00:15</t>
        </is>
      </c>
      <c r="L20" t="inlineStr">
        <is>
          <t>CHECK_VENDOR</t>
        </is>
      </c>
      <c r="M20" t="inlineStr">
        <is>
          <t>See CVE details</t>
        </is>
      </c>
      <c r="N20" t="inlineStr">
        <is>
          <t>P4</t>
        </is>
      </c>
      <c r="O20" t="inlineStr">
        <is>
          <t>CVE - IP enrichment n/a</t>
        </is>
      </c>
      <c r="P20" t="n">
        <v>0</v>
      </c>
      <c r="Q20" t="n">
        <v>0</v>
      </c>
      <c r="R20" t="inlineStr">
        <is>
          <t>T1189:Drive-by Compromise</t>
        </is>
      </c>
      <c r="S20" t="n">
        <v>1</v>
      </c>
      <c r="T20" t="inlineStr">
        <is>
          <t>LOW (40%)</t>
        </is>
      </c>
      <c r="U20" t="inlineStr">
        <is>
          <t>UNLIKELY</t>
        </is>
      </c>
      <c r="V20" t="inlineStr">
        <is>
          <t>CHECK_VENDOR</t>
        </is>
      </c>
      <c r="W20" t="inlineStr">
        <is>
          <t>https://nvd.nist.gov/vuln/detail/CVE-2019-25396</t>
        </is>
      </c>
      <c r="X20" t="inlineStr">
        <is>
          <t>NONE</t>
        </is>
      </c>
      <c r="Y20" t="n">
        <v>0</v>
      </c>
      <c r="Z20" t="inlineStr"/>
      <c r="AA20" t="inlineStr">
        <is>
          <t>https://nvd.nist.gov/vuln/detail/CVE-2019-25396</t>
        </is>
      </c>
    </row>
    <row r="21">
      <c r="A21" t="inlineStr">
        <is>
          <t>CVE</t>
        </is>
      </c>
      <c r="B21" t="inlineStr">
        <is>
          <t>CVE-2019-25397</t>
        </is>
      </c>
      <c r="C21" t="inlineStr">
        <is>
          <t>IPFire 2.21 Core Update 127 contains multiple reflected cross-site scripting vulnerabilities in the hosts.cgi script that allow attackers to inject malicious scripts through unvalidated parameters. Attackers can submit POST requests with script payloads in the KEY1, IP, HOST, or DOM parameters to execute arbitrary JavaScript in users' browsers.</t>
        </is>
      </c>
      <c r="D21" t="n">
        <v>6.1</v>
      </c>
      <c r="E21" t="inlineStr">
        <is>
          <t>MEDIUM</t>
        </is>
      </c>
      <c r="F21" t="n">
        <v>2</v>
      </c>
      <c r="G21" t="n">
        <v>2</v>
      </c>
      <c r="H21" t="inlineStr">
        <is>
          <t>MEDIUM</t>
        </is>
      </c>
      <c r="I21" t="n">
        <v>10.1</v>
      </c>
      <c r="J21" t="inlineStr">
        <is>
          <t>NO</t>
        </is>
      </c>
      <c r="K21" t="inlineStr">
        <is>
          <t>2026-02-26 00:15</t>
        </is>
      </c>
      <c r="L21" t="inlineStr">
        <is>
          <t>CHECK_VENDOR</t>
        </is>
      </c>
      <c r="M21" t="inlineStr">
        <is>
          <t>See CVE details</t>
        </is>
      </c>
      <c r="N21" t="inlineStr">
        <is>
          <t>P4</t>
        </is>
      </c>
      <c r="O21" t="inlineStr">
        <is>
          <t>CVE - IP enrichment n/a</t>
        </is>
      </c>
      <c r="P21" t="n">
        <v>0</v>
      </c>
      <c r="Q21" t="n">
        <v>0</v>
      </c>
      <c r="R21" t="inlineStr">
        <is>
          <t>T1189:Drive-by Compromise</t>
        </is>
      </c>
      <c r="S21" t="n">
        <v>1</v>
      </c>
      <c r="T21" t="inlineStr">
        <is>
          <t>LOW (40%)</t>
        </is>
      </c>
      <c r="U21" t="inlineStr">
        <is>
          <t>UNLIKELY</t>
        </is>
      </c>
      <c r="V21" t="inlineStr">
        <is>
          <t>CHECK_VENDOR</t>
        </is>
      </c>
      <c r="W21" t="inlineStr">
        <is>
          <t>https://nvd.nist.gov/vuln/detail/CVE-2019-25397</t>
        </is>
      </c>
      <c r="X21" t="inlineStr">
        <is>
          <t>NONE</t>
        </is>
      </c>
      <c r="Y21" t="n">
        <v>0</v>
      </c>
      <c r="Z21" t="inlineStr"/>
      <c r="AA21" t="inlineStr">
        <is>
          <t>https://nvd.nist.gov/vuln/detail/CVE-2019-25397</t>
        </is>
      </c>
    </row>
    <row r="22">
      <c r="A22" t="inlineStr">
        <is>
          <t>CVE</t>
        </is>
      </c>
      <c r="B22" t="inlineStr">
        <is>
          <t>CVE-2019-25398</t>
        </is>
      </c>
      <c r="C22" t="inlineStr">
        <is>
          <t>IPFire 2.21 Core Update 127 contains multiple cross-site scripting vulnerabilities in the ovpnmain.cgi script that allow attackers to inject malicious scripts through VPN configuration parameters. Attackers can submit POST requests with script payloads in parameters like VPN_IP, DMTU, ccdname, ccdsubnet, DOVPN_SUBNET, DHCP_DOMAIN, DHCP_DNS, DHCP_WINS, ROUTES_PUSH, FRAGMENT, KEEPALIVE_1, and KEEPALIVE_2 to execute arbitrary JavaScript in administrator browsers.</t>
        </is>
      </c>
      <c r="D22" t="n">
        <v>6.1</v>
      </c>
      <c r="E22" t="inlineStr">
        <is>
          <t>MEDIUM</t>
        </is>
      </c>
      <c r="F22" t="n">
        <v>2</v>
      </c>
      <c r="G22" t="n">
        <v>2</v>
      </c>
      <c r="H22" t="inlineStr">
        <is>
          <t>MEDIUM</t>
        </is>
      </c>
      <c r="I22" t="n">
        <v>10.1</v>
      </c>
      <c r="J22" t="inlineStr">
        <is>
          <t>NO</t>
        </is>
      </c>
      <c r="K22" t="inlineStr">
        <is>
          <t>2026-02-26 00:15</t>
        </is>
      </c>
      <c r="L22" t="inlineStr">
        <is>
          <t>CHECK_VENDOR</t>
        </is>
      </c>
      <c r="M22" t="inlineStr">
        <is>
          <t>See CVE details</t>
        </is>
      </c>
      <c r="N22" t="inlineStr">
        <is>
          <t>P4</t>
        </is>
      </c>
      <c r="O22" t="inlineStr">
        <is>
          <t>CVE - IP enrichment n/a</t>
        </is>
      </c>
      <c r="P22" t="n">
        <v>0.0003</v>
      </c>
      <c r="Q22" t="n">
        <v>0.0944</v>
      </c>
      <c r="R22" t="inlineStr">
        <is>
          <t>T1189:Drive-by Compromise | T1133:External Remote Services</t>
        </is>
      </c>
      <c r="S22" t="n">
        <v>1</v>
      </c>
      <c r="T22" t="inlineStr">
        <is>
          <t>LOW (40%)</t>
        </is>
      </c>
      <c r="U22" t="inlineStr">
        <is>
          <t>UNLIKELY</t>
        </is>
      </c>
      <c r="V22" t="inlineStr">
        <is>
          <t>CHECK_VENDOR</t>
        </is>
      </c>
      <c r="W22" t="inlineStr">
        <is>
          <t>https://nvd.nist.gov/vuln/detail/CVE-2019-25398</t>
        </is>
      </c>
      <c r="X22" t="inlineStr">
        <is>
          <t>NONE</t>
        </is>
      </c>
      <c r="Y22" t="n">
        <v>0</v>
      </c>
      <c r="Z22" t="inlineStr"/>
      <c r="AA22" t="inlineStr">
        <is>
          <t>https://nvd.nist.gov/vuln/detail/CVE-2019-25398</t>
        </is>
      </c>
    </row>
    <row r="23">
      <c r="A23" t="inlineStr">
        <is>
          <t>CVE</t>
        </is>
      </c>
      <c r="B23" t="inlineStr">
        <is>
          <t>CVE-2019-25399</t>
        </is>
      </c>
      <c r="C23" t="inlineStr">
        <is>
          <t>IPFire 2.21 Core Update 127 contains multiple stored cross-site scripting vulnerabilities in the extrahd.cgi script that allow attackers to inject malicious scripts through the FS, PATH, and UUID parameters. Attackers can submit POST requests with script payloads in these parameters to execute arbitrary JavaScript in the context of authenticated administrator sessions.</t>
        </is>
      </c>
      <c r="D23" t="n">
        <v>6.4</v>
      </c>
      <c r="E23" t="inlineStr">
        <is>
          <t>MEDIUM</t>
        </is>
      </c>
      <c r="F23" t="n">
        <v>2</v>
      </c>
      <c r="G23" t="n">
        <v>2</v>
      </c>
      <c r="H23" t="inlineStr">
        <is>
          <t>MEDIUM</t>
        </is>
      </c>
      <c r="I23" t="n">
        <v>10.4</v>
      </c>
      <c r="J23" t="inlineStr">
        <is>
          <t>NO</t>
        </is>
      </c>
      <c r="K23" t="inlineStr">
        <is>
          <t>2026-02-26 00:15</t>
        </is>
      </c>
      <c r="L23" t="inlineStr">
        <is>
          <t>CHECK_VENDOR</t>
        </is>
      </c>
      <c r="M23" t="inlineStr">
        <is>
          <t>See CVE details</t>
        </is>
      </c>
      <c r="N23" t="inlineStr">
        <is>
          <t>P4</t>
        </is>
      </c>
      <c r="O23" t="inlineStr">
        <is>
          <t>CVE - IP enrichment n/a</t>
        </is>
      </c>
      <c r="P23" t="n">
        <v>0.0003</v>
      </c>
      <c r="Q23" t="n">
        <v>0.09719999999999999</v>
      </c>
      <c r="R23" t="inlineStr">
        <is>
          <t>T1189:Drive-by Compromise</t>
        </is>
      </c>
      <c r="S23" t="n">
        <v>1</v>
      </c>
      <c r="T23" t="inlineStr">
        <is>
          <t>LOW (40%)</t>
        </is>
      </c>
      <c r="U23" t="inlineStr">
        <is>
          <t>UNLIKELY</t>
        </is>
      </c>
      <c r="V23" t="inlineStr">
        <is>
          <t>CHECK_VENDOR</t>
        </is>
      </c>
      <c r="W23" t="inlineStr">
        <is>
          <t>https://nvd.nist.gov/vuln/detail/CVE-2019-25399</t>
        </is>
      </c>
      <c r="X23" t="inlineStr">
        <is>
          <t>NONE</t>
        </is>
      </c>
      <c r="Y23" t="n">
        <v>0</v>
      </c>
      <c r="Z23" t="inlineStr"/>
      <c r="AA23" t="inlineStr">
        <is>
          <t>https://nvd.nist.gov/vuln/detail/CVE-2019-25399</t>
        </is>
      </c>
    </row>
    <row r="24">
      <c r="A24" t="inlineStr">
        <is>
          <t>CVE</t>
        </is>
      </c>
      <c r="B24" t="inlineStr">
        <is>
          <t>CVE-2019-25400</t>
        </is>
      </c>
      <c r="C24" t="inlineStr">
        <is>
          <t>IPFire 2.21 Core Update 127 contains multiple reflected cross-site scripting vulnerabilities in the fwhosts.cgi script that allow attackers to inject malicious scripts through multiple parameters including HOSTNAME, IP, SUBNET, NETREMARK, HOSTREMARK, newhost, grp_name, remark, SRV_NAME, SRV_PORT, SRVGRP_NAME, SRVGRP_REMARK, and updatesrvgrp. Attackers can submit POST requests with script payloads in these parameters to execute arbitrary JavaScript in the context of authenticated users' browsers.</t>
        </is>
      </c>
      <c r="D24" t="n">
        <v>5.4</v>
      </c>
      <c r="E24" t="inlineStr">
        <is>
          <t>MEDIUM</t>
        </is>
      </c>
      <c r="F24" t="n">
        <v>2</v>
      </c>
      <c r="G24" t="n">
        <v>2</v>
      </c>
      <c r="H24" t="inlineStr">
        <is>
          <t>MEDIUM</t>
        </is>
      </c>
      <c r="I24" t="n">
        <v>9.4</v>
      </c>
      <c r="J24" t="inlineStr">
        <is>
          <t>NO</t>
        </is>
      </c>
      <c r="K24" t="inlineStr">
        <is>
          <t>2026-02-26 00:15</t>
        </is>
      </c>
      <c r="L24" t="inlineStr">
        <is>
          <t>CHECK_VENDOR</t>
        </is>
      </c>
      <c r="M24" t="inlineStr">
        <is>
          <t>See CVE details</t>
        </is>
      </c>
      <c r="N24" t="inlineStr">
        <is>
          <t>P4</t>
        </is>
      </c>
      <c r="O24" t="inlineStr">
        <is>
          <t>CVE - IP enrichment n/a</t>
        </is>
      </c>
      <c r="P24" t="n">
        <v>0</v>
      </c>
      <c r="Q24" t="n">
        <v>0</v>
      </c>
      <c r="R24" t="inlineStr">
        <is>
          <t>T1189:Drive-by Compromise</t>
        </is>
      </c>
      <c r="S24" t="n">
        <v>1</v>
      </c>
      <c r="T24" t="inlineStr">
        <is>
          <t>LOW (40%)</t>
        </is>
      </c>
      <c r="U24" t="inlineStr">
        <is>
          <t>UNLIKELY</t>
        </is>
      </c>
      <c r="V24" t="inlineStr">
        <is>
          <t>CHECK_VENDOR</t>
        </is>
      </c>
      <c r="W24" t="inlineStr">
        <is>
          <t>https://nvd.nist.gov/vuln/detail/CVE-2019-25400</t>
        </is>
      </c>
      <c r="X24" t="inlineStr">
        <is>
          <t>NONE</t>
        </is>
      </c>
      <c r="Y24" t="n">
        <v>0</v>
      </c>
      <c r="Z24" t="inlineStr"/>
      <c r="AA24" t="inlineStr">
        <is>
          <t>https://nvd.nist.gov/vuln/detail/CVE-2019-25400</t>
        </is>
      </c>
    </row>
    <row r="25">
      <c r="A25" t="inlineStr">
        <is>
          <t>CVE</t>
        </is>
      </c>
      <c r="B25" t="inlineStr">
        <is>
          <t>CVE-2019-25401</t>
        </is>
      </c>
      <c r="C25" t="inlineStr">
        <is>
          <t>Bematech (formerly Logic Controls, now Elgin) MP-4200 TH printer contains a denial of service vulnerability in the admin configuration page. Remote attackers can send crafted POST requests with malformed 'admin' and 'person' parameters to crash the printer's web service, causing a denial of service condition.</t>
        </is>
      </c>
      <c r="D25" t="n">
        <v>7.5</v>
      </c>
      <c r="E25" t="inlineStr">
        <is>
          <t>HIGH</t>
        </is>
      </c>
      <c r="F25" t="n">
        <v>2</v>
      </c>
      <c r="G25" t="n">
        <v>3</v>
      </c>
      <c r="H25" t="inlineStr">
        <is>
          <t>HIGH</t>
        </is>
      </c>
      <c r="I25" t="n">
        <v>13.5</v>
      </c>
      <c r="J25" t="inlineStr">
        <is>
          <t>NO</t>
        </is>
      </c>
      <c r="K25" t="inlineStr">
        <is>
          <t>2026-02-26 00:15</t>
        </is>
      </c>
      <c r="L25" t="inlineStr">
        <is>
          <t>CHECK_VENDOR</t>
        </is>
      </c>
      <c r="M25" t="inlineStr">
        <is>
          <t>See CVE details</t>
        </is>
      </c>
      <c r="N25" t="inlineStr">
        <is>
          <t>P2</t>
        </is>
      </c>
      <c r="O25" t="inlineStr">
        <is>
          <t>CVE - IP enrichment n/a</t>
        </is>
      </c>
      <c r="P25" t="n">
        <v>0</v>
      </c>
      <c r="Q25" t="n">
        <v>0</v>
      </c>
      <c r="R25" t="inlineStr">
        <is>
          <t>T1499:Endpoint Denial of Service</t>
        </is>
      </c>
      <c r="S25" t="n">
        <v>2</v>
      </c>
      <c r="T25" t="inlineStr">
        <is>
          <t>HIGH (72%)</t>
        </is>
      </c>
      <c r="U25" t="inlineStr">
        <is>
          <t>POSSIBLE</t>
        </is>
      </c>
      <c r="V25" t="inlineStr">
        <is>
          <t>CHECK_VENDOR</t>
        </is>
      </c>
      <c r="W25" t="inlineStr">
        <is>
          <t>https://nvd.nist.gov/vuln/detail/CVE-2019-25401</t>
        </is>
      </c>
      <c r="X25" t="inlineStr">
        <is>
          <t>NONE</t>
        </is>
      </c>
      <c r="Y25" t="n">
        <v>3.75</v>
      </c>
      <c r="Z25" t="inlineStr"/>
      <c r="AA25" t="inlineStr">
        <is>
          <t>https://nvd.nist.gov/vuln/detail/CVE-2019-25401</t>
        </is>
      </c>
    </row>
    <row r="26">
      <c r="A26" t="inlineStr">
        <is>
          <t>CVE</t>
        </is>
      </c>
      <c r="B26" t="inlineStr">
        <is>
          <t>CVE-2026-24743</t>
        </is>
      </c>
      <c r="C26" t="inlineStr">
        <is>
          <t>InvoicePlane is a self-hosted open source application for managing invoices, clients, and payments. A Stored Cross-Site Scripting (XSS) vulnerability occurs in the upload Invoice Logo functions of InvoicePlane version 1.7.0. The Upload Invoice Logo function allows the application to upload svg files. Although administrator privileges are required to exploit it, this is still considered a critical vulnerability as it can cause actions such as unauthorized modification of application data, creatio</t>
        </is>
      </c>
      <c r="D26" t="n">
        <v>5.7</v>
      </c>
      <c r="E26" t="inlineStr">
        <is>
          <t>MEDIUM</t>
        </is>
      </c>
      <c r="F26" t="n">
        <v>2</v>
      </c>
      <c r="G26" t="n">
        <v>2</v>
      </c>
      <c r="H26" t="inlineStr">
        <is>
          <t>MEDIUM</t>
        </is>
      </c>
      <c r="I26" t="n">
        <v>9.699999999999999</v>
      </c>
      <c r="J26" t="inlineStr">
        <is>
          <t>NO</t>
        </is>
      </c>
      <c r="K26" t="inlineStr">
        <is>
          <t>2026-02-26 00:15</t>
        </is>
      </c>
      <c r="L26" t="inlineStr">
        <is>
          <t>YES</t>
        </is>
      </c>
      <c r="M26" t="inlineStr">
        <is>
          <t>invoiceplane invoiceplane 1.7.0</t>
        </is>
      </c>
      <c r="N26" t="inlineStr">
        <is>
          <t>P4</t>
        </is>
      </c>
      <c r="O26" t="inlineStr">
        <is>
          <t>CVE - IP enrichment n/a</t>
        </is>
      </c>
      <c r="P26" t="n">
        <v>0.0003</v>
      </c>
      <c r="Q26" t="n">
        <v>0.098</v>
      </c>
      <c r="R26" t="inlineStr">
        <is>
          <t>T1189:Drive-by Compromise | T1190:Exploit Public-Facing Application | T1543:Create or Modify System Process</t>
        </is>
      </c>
      <c r="S26" t="n">
        <v>1</v>
      </c>
      <c r="T26" t="inlineStr">
        <is>
          <t>LOW (40%)</t>
        </is>
      </c>
      <c r="U26" t="inlineStr">
        <is>
          <t>UNLIKELY</t>
        </is>
      </c>
      <c r="V26" t="inlineStr">
        <is>
          <t>PATCH_AVAILABLE</t>
        </is>
      </c>
      <c r="W26" t="inlineStr">
        <is>
          <t>https://nvd.nist.gov/vuln/detail/CVE-2026-24743</t>
        </is>
      </c>
      <c r="X26" t="inlineStr">
        <is>
          <t>NONE</t>
        </is>
      </c>
      <c r="Y26" t="n">
        <v>0</v>
      </c>
      <c r="Z26" t="inlineStr"/>
      <c r="AA26" t="inlineStr">
        <is>
          <t>https://nvd.nist.gov/vuln/detail/CVE-2026-24743</t>
        </is>
      </c>
    </row>
    <row r="27">
      <c r="A27" t="inlineStr">
        <is>
          <t>CVE</t>
        </is>
      </c>
      <c r="B27" t="inlineStr">
        <is>
          <t>CVE-2026-24744</t>
        </is>
      </c>
      <c r="C27" t="inlineStr">
        <is>
          <t>InvoicePlane is a self-hosted open source application for managing invoices, clients, and payments. A Stored Cross-Site Scripting (XSS) vulnerability occurs in the Edit Invoices functions of InvoicePlane version 1.7.0. When editing invoices, the application does not validate user input at the `invoice_number` parameter. Although administrator privileges are required to exploit it, this is still considered a critical vulnerability as it can cause actions such as unauthorized modification of appli</t>
        </is>
      </c>
      <c r="D27" t="n">
        <v>5.7</v>
      </c>
      <c r="E27" t="inlineStr">
        <is>
          <t>MEDIUM</t>
        </is>
      </c>
      <c r="F27" t="n">
        <v>2</v>
      </c>
      <c r="G27" t="n">
        <v>2</v>
      </c>
      <c r="H27" t="inlineStr">
        <is>
          <t>MEDIUM</t>
        </is>
      </c>
      <c r="I27" t="n">
        <v>9.699999999999999</v>
      </c>
      <c r="J27" t="inlineStr">
        <is>
          <t>NO</t>
        </is>
      </c>
      <c r="K27" t="inlineStr">
        <is>
          <t>2026-02-26 00:15</t>
        </is>
      </c>
      <c r="L27" t="inlineStr">
        <is>
          <t>YES</t>
        </is>
      </c>
      <c r="M27" t="inlineStr">
        <is>
          <t>invoiceplane invoiceplane 1.7.0</t>
        </is>
      </c>
      <c r="N27" t="inlineStr">
        <is>
          <t>P4</t>
        </is>
      </c>
      <c r="O27" t="inlineStr">
        <is>
          <t>CVE - IP enrichment n/a</t>
        </is>
      </c>
      <c r="P27" t="n">
        <v>0.0003</v>
      </c>
      <c r="Q27" t="n">
        <v>0.098</v>
      </c>
      <c r="R27" t="inlineStr">
        <is>
          <t>T1189:Drive-by Compromise | T1190:Exploit Public-Facing Application | T1543:Create or Modify System Process</t>
        </is>
      </c>
      <c r="S27" t="n">
        <v>1</v>
      </c>
      <c r="T27" t="inlineStr">
        <is>
          <t>LOW (40%)</t>
        </is>
      </c>
      <c r="U27" t="inlineStr">
        <is>
          <t>UNLIKELY</t>
        </is>
      </c>
      <c r="V27" t="inlineStr">
        <is>
          <t>PATCH_AVAILABLE</t>
        </is>
      </c>
      <c r="W27" t="inlineStr">
        <is>
          <t>https://nvd.nist.gov/vuln/detail/CVE-2026-24744</t>
        </is>
      </c>
      <c r="X27" t="inlineStr">
        <is>
          <t>NONE</t>
        </is>
      </c>
      <c r="Y27" t="n">
        <v>0</v>
      </c>
      <c r="Z27" t="inlineStr"/>
      <c r="AA27" t="inlineStr">
        <is>
          <t>https://nvd.nist.gov/vuln/detail/CVE-2026-24744</t>
        </is>
      </c>
    </row>
    <row r="28">
      <c r="A28" t="inlineStr">
        <is>
          <t>CVE</t>
        </is>
      </c>
      <c r="B28" t="inlineStr">
        <is>
          <t>CVE-2026-27174</t>
        </is>
      </c>
      <c r="C28" t="inlineStr">
        <is>
          <t>MajorDoMo (aka Major Domestic Module) allows unauthenticated remote code execution via the admin panel's PHP console feature. An include order bug in modules/panel.class.php causes execution to continue past a redirect() call that lacks an exit statement, allowing unauthenticated requests to reach the ajax handler in inc_panel_ajax.php. The console handler within that file passes user-supplied input from GET parameters (via register_globals) directly to eval() without any authentication check. A</t>
        </is>
      </c>
      <c r="D28" t="n">
        <v>9.800000000000001</v>
      </c>
      <c r="E28" t="inlineStr">
        <is>
          <t>CRITICAL</t>
        </is>
      </c>
      <c r="F28" t="n">
        <v>2</v>
      </c>
      <c r="G28" t="n">
        <v>3</v>
      </c>
      <c r="H28" t="inlineStr">
        <is>
          <t>HIGH</t>
        </is>
      </c>
      <c r="I28" t="n">
        <v>15.8</v>
      </c>
      <c r="J28" t="inlineStr">
        <is>
          <t>NO</t>
        </is>
      </c>
      <c r="K28" t="inlineStr">
        <is>
          <t>2026-02-26 00:15</t>
        </is>
      </c>
      <c r="L28" t="inlineStr">
        <is>
          <t>CHECK_VENDOR</t>
        </is>
      </c>
      <c r="M28" t="inlineStr">
        <is>
          <t>mjdm majordomo -</t>
        </is>
      </c>
      <c r="N28" t="inlineStr">
        <is>
          <t>P3</t>
        </is>
      </c>
      <c r="O28" t="inlineStr">
        <is>
          <t>CVE - IP enrichment n/a</t>
        </is>
      </c>
      <c r="P28" t="n">
        <v>0</v>
      </c>
      <c r="Q28" t="n">
        <v>0</v>
      </c>
      <c r="R28" t="inlineStr">
        <is>
          <t>T1059:Command and Scripting Interpreter | T1190:Exploit Public-Facing Application | T1210:Exploitation of Remote Services</t>
        </is>
      </c>
      <c r="S28" t="n">
        <v>1</v>
      </c>
      <c r="T28" t="inlineStr">
        <is>
          <t>LOW (40%)</t>
        </is>
      </c>
      <c r="U28" t="inlineStr">
        <is>
          <t>UNLIKELY</t>
        </is>
      </c>
      <c r="V28" t="inlineStr">
        <is>
          <t>CHECK_VENDOR</t>
        </is>
      </c>
      <c r="W28" t="inlineStr">
        <is>
          <t>https://nvd.nist.gov/vuln/detail/CVE-2026-27174</t>
        </is>
      </c>
      <c r="X28" t="inlineStr">
        <is>
          <t>NONE</t>
        </is>
      </c>
      <c r="Y28" t="n">
        <v>0</v>
      </c>
      <c r="Z28" t="inlineStr"/>
      <c r="AA28" t="inlineStr">
        <is>
          <t>https://nvd.nist.gov/vuln/detail/CVE-2026-27174</t>
        </is>
      </c>
    </row>
    <row r="29">
      <c r="A29" t="inlineStr">
        <is>
          <t>CVE</t>
        </is>
      </c>
      <c r="B29" t="inlineStr">
        <is>
          <t>CVE-2026-27175</t>
        </is>
      </c>
      <c r="C29" t="inlineStr">
        <is>
          <t>MajorDoMo (aka Major Domestic Module) is vulnerable to unauthenticated OS command injection via rc/index.php. The $param variable from user input is interpolated into a command string within double quotes without sanitization via escapeshellarg(). The command is inserted into a database queue by safe_exec(), which performs no sanitization. The cycle_execs.php script, which is web-accessible without authentication, retrieves queued commands and passes them directly to exec(). An attacker can expl</t>
        </is>
      </c>
      <c r="D29" t="n">
        <v>9.800000000000001</v>
      </c>
      <c r="E29" t="inlineStr">
        <is>
          <t>CRITICAL</t>
        </is>
      </c>
      <c r="F29" t="n">
        <v>2</v>
      </c>
      <c r="G29" t="n">
        <v>3</v>
      </c>
      <c r="H29" t="inlineStr">
        <is>
          <t>HIGH</t>
        </is>
      </c>
      <c r="I29" t="n">
        <v>15.8</v>
      </c>
      <c r="J29" t="inlineStr">
        <is>
          <t>NO</t>
        </is>
      </c>
      <c r="K29" t="inlineStr">
        <is>
          <t>2026-02-26 00:15</t>
        </is>
      </c>
      <c r="L29" t="inlineStr">
        <is>
          <t>CHECK_VENDOR</t>
        </is>
      </c>
      <c r="M29" t="inlineStr">
        <is>
          <t>mjdm majordomo -</t>
        </is>
      </c>
      <c r="N29" t="inlineStr">
        <is>
          <t>P3</t>
        </is>
      </c>
      <c r="O29" t="inlineStr">
        <is>
          <t>CVE - IP enrichment n/a</t>
        </is>
      </c>
      <c r="P29" t="n">
        <v>0</v>
      </c>
      <c r="Q29" t="n">
        <v>0</v>
      </c>
      <c r="R29" t="inlineStr">
        <is>
          <t>T1059:Command and Scripting Interpreter | T1190:Exploit Public-Facing Application | T1210:Exploitation of Remote Services</t>
        </is>
      </c>
      <c r="S29" t="n">
        <v>1</v>
      </c>
      <c r="T29" t="inlineStr">
        <is>
          <t>LOW (40%)</t>
        </is>
      </c>
      <c r="U29" t="inlineStr">
        <is>
          <t>UNLIKELY</t>
        </is>
      </c>
      <c r="V29" t="inlineStr">
        <is>
          <t>CHECK_VENDOR</t>
        </is>
      </c>
      <c r="W29" t="inlineStr">
        <is>
          <t>https://nvd.nist.gov/vuln/detail/CVE-2026-27175</t>
        </is>
      </c>
      <c r="X29" t="inlineStr">
        <is>
          <t>NONE</t>
        </is>
      </c>
      <c r="Y29" t="n">
        <v>0</v>
      </c>
      <c r="Z29" t="inlineStr"/>
      <c r="AA29" t="inlineStr">
        <is>
          <t>https://nvd.nist.gov/vuln/detail/CVE-2026-27175</t>
        </is>
      </c>
    </row>
    <row r="30">
      <c r="A30" t="inlineStr">
        <is>
          <t>CVE</t>
        </is>
      </c>
      <c r="B30" t="inlineStr">
        <is>
          <t>CVE-2026-27176</t>
        </is>
      </c>
      <c r="C30" t="inlineStr">
        <is>
          <t>MajorDoMo (aka Major Domestic Module) contains a reflected cross-site scripting (XSS) vulnerability in command.php. The $qry parameter is rendered directly into the HTML page without sanitization via htmlspecialchars(), both in an input field value attribute and in a paragraph element. An attacker can inject arbitrary JavaScript by crafting a URL with malicious content in the qry parameter.</t>
        </is>
      </c>
      <c r="D30" t="n">
        <v>6.1</v>
      </c>
      <c r="E30" t="inlineStr">
        <is>
          <t>MEDIUM</t>
        </is>
      </c>
      <c r="F30" t="n">
        <v>2</v>
      </c>
      <c r="G30" t="n">
        <v>2</v>
      </c>
      <c r="H30" t="inlineStr">
        <is>
          <t>MEDIUM</t>
        </is>
      </c>
      <c r="I30" t="n">
        <v>10.1</v>
      </c>
      <c r="J30" t="inlineStr">
        <is>
          <t>NO</t>
        </is>
      </c>
      <c r="K30" t="inlineStr">
        <is>
          <t>2026-02-26 00:15</t>
        </is>
      </c>
      <c r="L30" t="inlineStr">
        <is>
          <t>CHECK_VENDOR</t>
        </is>
      </c>
      <c r="M30" t="inlineStr">
        <is>
          <t>mjdm majordomo -</t>
        </is>
      </c>
      <c r="N30" t="inlineStr">
        <is>
          <t>P4</t>
        </is>
      </c>
      <c r="O30" t="inlineStr">
        <is>
          <t>CVE - IP enrichment n/a</t>
        </is>
      </c>
      <c r="P30" t="n">
        <v>0</v>
      </c>
      <c r="Q30" t="n">
        <v>0</v>
      </c>
      <c r="R30" t="inlineStr">
        <is>
          <t>T1189:Drive-by Compromise</t>
        </is>
      </c>
      <c r="S30" t="n">
        <v>1</v>
      </c>
      <c r="T30" t="inlineStr">
        <is>
          <t>LOW (40%)</t>
        </is>
      </c>
      <c r="U30" t="inlineStr">
        <is>
          <t>UNLIKELY</t>
        </is>
      </c>
      <c r="V30" t="inlineStr">
        <is>
          <t>CHECK_VENDOR</t>
        </is>
      </c>
      <c r="W30" t="inlineStr">
        <is>
          <t>https://nvd.nist.gov/vuln/detail/CVE-2026-27176</t>
        </is>
      </c>
      <c r="X30" t="inlineStr">
        <is>
          <t>NONE</t>
        </is>
      </c>
      <c r="Y30" t="n">
        <v>0</v>
      </c>
      <c r="Z30" t="inlineStr"/>
      <c r="AA30" t="inlineStr">
        <is>
          <t>https://nvd.nist.gov/vuln/detail/CVE-2026-27176</t>
        </is>
      </c>
    </row>
    <row r="31">
      <c r="A31" t="inlineStr">
        <is>
          <t>CVE</t>
        </is>
      </c>
      <c r="B31" t="inlineStr">
        <is>
          <t>CVE-2026-27177</t>
        </is>
      </c>
      <c r="C31" t="inlineStr">
        <is>
          <t>MajorDoMo (aka Major Domestic Module) contains a stored cross-site scripting (XSS) vulnerability via the /objects/?op=set endpoint, which is intentionally unauthenticated for IoT device integration. User-supplied property values are stored raw in the database without sanitization. When an administrator views the property editor in the admin panel, the stored values are rendered without escaping in both a paragraph tag (SOURCE field) and a textarea element (VALUE field). The XSS fires on page loa</t>
        </is>
      </c>
      <c r="D31" t="n">
        <v>7.2</v>
      </c>
      <c r="E31" t="inlineStr">
        <is>
          <t>HIGH</t>
        </is>
      </c>
      <c r="F31" t="n">
        <v>2</v>
      </c>
      <c r="G31" t="n">
        <v>3</v>
      </c>
      <c r="H31" t="inlineStr">
        <is>
          <t>HIGH</t>
        </is>
      </c>
      <c r="I31" t="n">
        <v>13.2</v>
      </c>
      <c r="J31" t="inlineStr">
        <is>
          <t>NO</t>
        </is>
      </c>
      <c r="K31" t="inlineStr">
        <is>
          <t>2026-02-26 00:15</t>
        </is>
      </c>
      <c r="L31" t="inlineStr">
        <is>
          <t>CHECK_VENDOR</t>
        </is>
      </c>
      <c r="M31" t="inlineStr">
        <is>
          <t>mjdm majordomo -</t>
        </is>
      </c>
      <c r="N31" t="inlineStr">
        <is>
          <t>P3</t>
        </is>
      </c>
      <c r="O31" t="inlineStr">
        <is>
          <t>CVE - IP enrichment n/a</t>
        </is>
      </c>
      <c r="P31" t="n">
        <v>0</v>
      </c>
      <c r="Q31" t="n">
        <v>0</v>
      </c>
      <c r="R31" t="inlineStr">
        <is>
          <t>T1189:Drive-by Compromise | T1190:Exploit Public-Facing Application</t>
        </is>
      </c>
      <c r="S31" t="n">
        <v>1</v>
      </c>
      <c r="T31" t="inlineStr">
        <is>
          <t>LOW (40%)</t>
        </is>
      </c>
      <c r="U31" t="inlineStr">
        <is>
          <t>UNLIKELY</t>
        </is>
      </c>
      <c r="V31" t="inlineStr">
        <is>
          <t>CHECK_VENDOR</t>
        </is>
      </c>
      <c r="W31" t="inlineStr">
        <is>
          <t>https://nvd.nist.gov/vuln/detail/CVE-2026-27177</t>
        </is>
      </c>
      <c r="X31" t="inlineStr">
        <is>
          <t>NONE</t>
        </is>
      </c>
      <c r="Y31" t="n">
        <v>0</v>
      </c>
      <c r="Z31" t="inlineStr"/>
      <c r="AA31" t="inlineStr">
        <is>
          <t>https://nvd.nist.gov/vuln/detail/CVE-2026-27177</t>
        </is>
      </c>
    </row>
    <row r="32">
      <c r="A32" t="inlineStr">
        <is>
          <t>CVE</t>
        </is>
      </c>
      <c r="B32" t="inlineStr">
        <is>
          <t>CVE-2026-27178</t>
        </is>
      </c>
      <c r="C32" t="inlineStr">
        <is>
          <t>MajorDoMo (aka Major Domestic Module) contains a stored cross-site scripting (XSS) vulnerability through method parameter injection into the shoutbox. The /objects/?method= endpoint allows unauthenticated execution of stored methods with attacker-controlled parameters. Default methods such as ThisComputer.VolumeLevelChanged pass the user-supplied VALUE parameter directly into the say() function, which stores the message raw in the shouts database table without escaping. The shoutbox widget rende</t>
        </is>
      </c>
      <c r="D32" t="n">
        <v>7.2</v>
      </c>
      <c r="E32" t="inlineStr">
        <is>
          <t>HIGH</t>
        </is>
      </c>
      <c r="F32" t="n">
        <v>2</v>
      </c>
      <c r="G32" t="n">
        <v>3</v>
      </c>
      <c r="H32" t="inlineStr">
        <is>
          <t>HIGH</t>
        </is>
      </c>
      <c r="I32" t="n">
        <v>13.2</v>
      </c>
      <c r="J32" t="inlineStr">
        <is>
          <t>NO</t>
        </is>
      </c>
      <c r="K32" t="inlineStr">
        <is>
          <t>2026-02-26 00:15</t>
        </is>
      </c>
      <c r="L32" t="inlineStr">
        <is>
          <t>CHECK_VENDOR</t>
        </is>
      </c>
      <c r="M32" t="inlineStr">
        <is>
          <t>mjdm majordomo -</t>
        </is>
      </c>
      <c r="N32" t="inlineStr">
        <is>
          <t>P2</t>
        </is>
      </c>
      <c r="O32" t="inlineStr">
        <is>
          <t>CVE - IP enrichment n/a</t>
        </is>
      </c>
      <c r="P32" t="n">
        <v>0</v>
      </c>
      <c r="Q32" t="n">
        <v>0</v>
      </c>
      <c r="R32" t="inlineStr">
        <is>
          <t>T1189:Drive-by Compromise</t>
        </is>
      </c>
      <c r="S32" t="n">
        <v>2</v>
      </c>
      <c r="T32" t="inlineStr">
        <is>
          <t>HIGH (72%)</t>
        </is>
      </c>
      <c r="U32" t="inlineStr">
        <is>
          <t>POSSIBLE</t>
        </is>
      </c>
      <c r="V32" t="inlineStr">
        <is>
          <t>CHECK_VENDOR</t>
        </is>
      </c>
      <c r="W32" t="inlineStr">
        <is>
          <t>https://nvd.nist.gov/vuln/detail/CVE-2026-27178</t>
        </is>
      </c>
      <c r="X32" t="inlineStr">
        <is>
          <t>NONE</t>
        </is>
      </c>
      <c r="Y32" t="n">
        <v>3.6</v>
      </c>
      <c r="Z32" t="inlineStr"/>
      <c r="AA32" t="inlineStr">
        <is>
          <t>https://nvd.nist.gov/vuln/detail/CVE-2026-27178</t>
        </is>
      </c>
    </row>
    <row r="33">
      <c r="A33" t="inlineStr">
        <is>
          <t>CVE</t>
        </is>
      </c>
      <c r="B33" t="inlineStr">
        <is>
          <t>CVE-2026-27179</t>
        </is>
      </c>
      <c r="C33" t="inlineStr">
        <is>
          <t xml:space="preserve">MajorDoMo (aka Major Domestic Module) contains an unauthenticated SQL injection vulnerability in the commands module. The commands_search.inc.php file directly interpolates the $_GET['parent'] parameter into multiple SQL queries without sanitization or parameterized queries. The commands module is loadable without authentication via the /objects/?module=commands endpoint, which includes arbitrary modules by name and calls their usual() method. Time-based blind SQL injection is exploitable using </t>
        </is>
      </c>
      <c r="D33" t="n">
        <v>8.199999999999999</v>
      </c>
      <c r="E33" t="inlineStr">
        <is>
          <t>HIGH</t>
        </is>
      </c>
      <c r="F33" t="n">
        <v>2</v>
      </c>
      <c r="G33" t="n">
        <v>3</v>
      </c>
      <c r="H33" t="inlineStr">
        <is>
          <t>HIGH</t>
        </is>
      </c>
      <c r="I33" t="n">
        <v>14.2</v>
      </c>
      <c r="J33" t="inlineStr">
        <is>
          <t>NO</t>
        </is>
      </c>
      <c r="K33" t="inlineStr">
        <is>
          <t>2026-02-26 00:15</t>
        </is>
      </c>
      <c r="L33" t="inlineStr">
        <is>
          <t>CHECK_VENDOR</t>
        </is>
      </c>
      <c r="M33" t="inlineStr">
        <is>
          <t>mjdm majordomo -</t>
        </is>
      </c>
      <c r="N33" t="inlineStr">
        <is>
          <t>P3</t>
        </is>
      </c>
      <c r="O33" t="inlineStr">
        <is>
          <t>CVE - IP enrichment n/a</t>
        </is>
      </c>
      <c r="P33" t="n">
        <v>0</v>
      </c>
      <c r="Q33" t="n">
        <v>0</v>
      </c>
      <c r="R33" t="inlineStr">
        <is>
          <t>T1190:Exploit Public-Facing Application | T1552:Unsecured Credentials</t>
        </is>
      </c>
      <c r="S33" t="n">
        <v>1</v>
      </c>
      <c r="T33" t="inlineStr">
        <is>
          <t>LOW (40%)</t>
        </is>
      </c>
      <c r="U33" t="inlineStr">
        <is>
          <t>UNLIKELY</t>
        </is>
      </c>
      <c r="V33" t="inlineStr">
        <is>
          <t>CHECK_VENDOR</t>
        </is>
      </c>
      <c r="W33" t="inlineStr">
        <is>
          <t>https://nvd.nist.gov/vuln/detail/CVE-2026-27179</t>
        </is>
      </c>
      <c r="X33" t="inlineStr">
        <is>
          <t>NONE</t>
        </is>
      </c>
      <c r="Y33" t="n">
        <v>0</v>
      </c>
      <c r="Z33" t="inlineStr"/>
      <c r="AA33" t="inlineStr">
        <is>
          <t>https://nvd.nist.gov/vuln/detail/CVE-2026-27179</t>
        </is>
      </c>
    </row>
    <row r="34">
      <c r="A34" t="inlineStr">
        <is>
          <t>CVE</t>
        </is>
      </c>
      <c r="B34" t="inlineStr">
        <is>
          <t>CVE-2026-27180</t>
        </is>
      </c>
      <c r="C34" t="inlineStr">
        <is>
          <t>MajorDoMo (aka Major Domestic Module) is vulnerable to unauthenticated remote code execution through supply chain compromise via update URL poisoning. The saverestore module exposes its admin() method through the /objects/?module=saverestore endpoint without authentication because it uses gr('mode') (which reads directly from $_REQUEST) instead of the framework's $this-&gt;mode. An attacker can poison the system update URL via the auto_update_settings mode handler, then trigger the force_update han</t>
        </is>
      </c>
      <c r="D34" t="n">
        <v>9.800000000000001</v>
      </c>
      <c r="E34" t="inlineStr">
        <is>
          <t>CRITICAL</t>
        </is>
      </c>
      <c r="F34" t="n">
        <v>3</v>
      </c>
      <c r="G34" t="n">
        <v>3</v>
      </c>
      <c r="H34" t="inlineStr">
        <is>
          <t>CRITICAL</t>
        </is>
      </c>
      <c r="I34" t="n">
        <v>18.8</v>
      </c>
      <c r="J34" t="inlineStr">
        <is>
          <t>NO</t>
        </is>
      </c>
      <c r="K34" t="inlineStr">
        <is>
          <t>2026-02-26 00:15</t>
        </is>
      </c>
      <c r="L34" t="inlineStr">
        <is>
          <t>CHECK_VENDOR</t>
        </is>
      </c>
      <c r="M34" t="inlineStr">
        <is>
          <t>mjdm majordomo -</t>
        </is>
      </c>
      <c r="N34" t="inlineStr">
        <is>
          <t>P2</t>
        </is>
      </c>
      <c r="O34" t="inlineStr">
        <is>
          <t>CVE - IP enrichment n/a</t>
        </is>
      </c>
      <c r="P34" t="n">
        <v>0</v>
      </c>
      <c r="Q34" t="n">
        <v>0</v>
      </c>
      <c r="R34" t="inlineStr">
        <is>
          <t>T1190:Exploit Public-Facing Application | T1210:Exploitation of Remote Services</t>
        </is>
      </c>
      <c r="S34" t="n">
        <v>2</v>
      </c>
      <c r="T34" t="inlineStr">
        <is>
          <t>HIGH (72%)</t>
        </is>
      </c>
      <c r="U34" t="inlineStr">
        <is>
          <t>CONFIRMED</t>
        </is>
      </c>
      <c r="V34" t="inlineStr">
        <is>
          <t>CHECK_VENDOR</t>
        </is>
      </c>
      <c r="W34" t="inlineStr">
        <is>
          <t>https://nvd.nist.gov/vuln/detail/CVE-2026-27180</t>
        </is>
      </c>
      <c r="X34" t="inlineStr">
        <is>
          <t>NONE</t>
        </is>
      </c>
      <c r="Y34" t="n">
        <v>4.9</v>
      </c>
      <c r="Z34" t="inlineStr"/>
      <c r="AA34" t="inlineStr">
        <is>
          <t>https://nvd.nist.gov/vuln/detail/CVE-2026-27180</t>
        </is>
      </c>
    </row>
    <row r="35">
      <c r="A35" t="inlineStr">
        <is>
          <t>CVE</t>
        </is>
      </c>
      <c r="B35" t="inlineStr">
        <is>
          <t>CVE-2026-27181</t>
        </is>
      </c>
      <c r="C35" t="inlineStr">
        <is>
          <t>MajorDoMo (aka Major Domestic Module) allows unauthenticated arbitrary module uninstallation through the market module. The market module's admin() method reads gr('mode') from $_REQUEST and assigns it to $this-&gt;mode at the start of execution, making all mode-gated code paths reachable without authentication via the /objects/?module=market endpoint. The uninstall mode handler calls uninstallPlugin(), which deletes module records from the database, executes the module's uninstall() method via eva</t>
        </is>
      </c>
      <c r="D35" t="n">
        <v>7.5</v>
      </c>
      <c r="E35" t="inlineStr">
        <is>
          <t>HIGH</t>
        </is>
      </c>
      <c r="F35" t="n">
        <v>2</v>
      </c>
      <c r="G35" t="n">
        <v>3</v>
      </c>
      <c r="H35" t="inlineStr">
        <is>
          <t>HIGH</t>
        </is>
      </c>
      <c r="I35" t="n">
        <v>13.5</v>
      </c>
      <c r="J35" t="inlineStr">
        <is>
          <t>NO</t>
        </is>
      </c>
      <c r="K35" t="inlineStr">
        <is>
          <t>2026-02-26 00:15</t>
        </is>
      </c>
      <c r="L35" t="inlineStr">
        <is>
          <t>CHECK_VENDOR</t>
        </is>
      </c>
      <c r="M35" t="inlineStr">
        <is>
          <t>mjdm majordomo -</t>
        </is>
      </c>
      <c r="N35" t="inlineStr">
        <is>
          <t>P2</t>
        </is>
      </c>
      <c r="O35" t="inlineStr">
        <is>
          <t>CVE - IP enrichment n/a</t>
        </is>
      </c>
      <c r="P35" t="n">
        <v>0</v>
      </c>
      <c r="Q35" t="n">
        <v>0</v>
      </c>
      <c r="R35" t="inlineStr">
        <is>
          <t>T1190:Exploit Public-Facing Application</t>
        </is>
      </c>
      <c r="S35" t="n">
        <v>2</v>
      </c>
      <c r="T35" t="inlineStr">
        <is>
          <t>HIGH (72%)</t>
        </is>
      </c>
      <c r="U35" t="inlineStr">
        <is>
          <t>POSSIBLE</t>
        </is>
      </c>
      <c r="V35" t="inlineStr">
        <is>
          <t>CHECK_VENDOR</t>
        </is>
      </c>
      <c r="W35" t="inlineStr">
        <is>
          <t>https://nvd.nist.gov/vuln/detail/CVE-2026-27181</t>
        </is>
      </c>
      <c r="X35" t="inlineStr">
        <is>
          <t>NONE</t>
        </is>
      </c>
      <c r="Y35" t="n">
        <v>3.75</v>
      </c>
      <c r="Z35" t="inlineStr"/>
      <c r="AA35" t="inlineStr">
        <is>
          <t>https://nvd.nist.gov/vuln/detail/CVE-2026-27181</t>
        </is>
      </c>
    </row>
    <row r="36">
      <c r="A36" t="inlineStr">
        <is>
          <t>CVE</t>
        </is>
      </c>
      <c r="B36" t="inlineStr">
        <is>
          <t>CVE-2026-27182</t>
        </is>
      </c>
      <c r="C36" t="inlineStr">
        <is>
          <t>Saturn Remote Mouse Server contains a command injection vulnerability that allows unauthenticated attackers to execute arbitrary commands by sending specially crafted UDP JSON frames to port 27000. Attackers on the local network can send malformed packets with unsanitized command data that the service forwards directly to OS execution functions, enabling remote code execution under the service account.</t>
        </is>
      </c>
      <c r="D36" t="n">
        <v>8.4</v>
      </c>
      <c r="E36" t="inlineStr">
        <is>
          <t>HIGH</t>
        </is>
      </c>
      <c r="F36" t="n">
        <v>3</v>
      </c>
      <c r="G36" t="n">
        <v>3</v>
      </c>
      <c r="H36" t="inlineStr">
        <is>
          <t>CRITICAL</t>
        </is>
      </c>
      <c r="I36" t="n">
        <v>17.4</v>
      </c>
      <c r="J36" t="inlineStr">
        <is>
          <t>NO</t>
        </is>
      </c>
      <c r="K36" t="inlineStr">
        <is>
          <t>2026-02-26 00:15</t>
        </is>
      </c>
      <c r="L36" t="inlineStr">
        <is>
          <t>CHECK_VENDOR</t>
        </is>
      </c>
      <c r="M36" t="inlineStr">
        <is>
          <t>See CVE details</t>
        </is>
      </c>
      <c r="N36" t="inlineStr">
        <is>
          <t>P2</t>
        </is>
      </c>
      <c r="O36" t="inlineStr">
        <is>
          <t>CVE - IP enrichment n/a</t>
        </is>
      </c>
      <c r="P36" t="n">
        <v>0</v>
      </c>
      <c r="Q36" t="n">
        <v>0</v>
      </c>
      <c r="R36" t="inlineStr">
        <is>
          <t>T1078:Valid Accounts | T1190:Exploit Public-Facing Application | T1210:Exploitation of Remote Services</t>
        </is>
      </c>
      <c r="S36" t="n">
        <v>2</v>
      </c>
      <c r="T36" t="inlineStr">
        <is>
          <t>HIGH (72%)</t>
        </is>
      </c>
      <c r="U36" t="inlineStr">
        <is>
          <t>CONFIRMED</t>
        </is>
      </c>
      <c r="V36" t="inlineStr">
        <is>
          <t>CHECK_VENDOR</t>
        </is>
      </c>
      <c r="W36" t="inlineStr">
        <is>
          <t>https://nvd.nist.gov/vuln/detail/CVE-2026-27182</t>
        </is>
      </c>
      <c r="X36" t="inlineStr">
        <is>
          <t>NONE</t>
        </is>
      </c>
      <c r="Y36" t="n">
        <v>4.2</v>
      </c>
      <c r="Z36" t="inlineStr"/>
      <c r="AA36" t="inlineStr">
        <is>
          <t>https://nvd.nist.gov/vuln/detail/CVE-2026-27182</t>
        </is>
      </c>
    </row>
    <row r="37">
      <c r="A37" t="inlineStr">
        <is>
          <t>CVE</t>
        </is>
      </c>
      <c r="B37" t="inlineStr">
        <is>
          <t>CVE-2026-2648</t>
        </is>
      </c>
      <c r="C37" t="inlineStr">
        <is>
          <t>Heap buffer overflow in PDFium in Google Chrome prior to 145.0.7632.109 allowed a remote attacker to perform an out of bounds memory write via a crafted PDF file. (Chromium security severity: High)</t>
        </is>
      </c>
      <c r="D37" t="n">
        <v>8.800000000000001</v>
      </c>
      <c r="E37" t="inlineStr">
        <is>
          <t>HIGH</t>
        </is>
      </c>
      <c r="F37" t="n">
        <v>3</v>
      </c>
      <c r="G37" t="n">
        <v>3</v>
      </c>
      <c r="H37" t="inlineStr">
        <is>
          <t>CRITICAL</t>
        </is>
      </c>
      <c r="I37" t="n">
        <v>17.8</v>
      </c>
      <c r="J37" t="inlineStr">
        <is>
          <t>NO</t>
        </is>
      </c>
      <c r="K37" t="inlineStr">
        <is>
          <t>2026-02-26 00:15</t>
        </is>
      </c>
      <c r="L37" t="inlineStr">
        <is>
          <t>CHECK_VENDOR</t>
        </is>
      </c>
      <c r="M37" t="inlineStr">
        <is>
          <t>google chrome *</t>
        </is>
      </c>
      <c r="N37" t="inlineStr">
        <is>
          <t>P2</t>
        </is>
      </c>
      <c r="O37" t="inlineStr">
        <is>
          <t>CVE - IP enrichment n/a</t>
        </is>
      </c>
      <c r="P37" t="n">
        <v>0.0009</v>
      </c>
      <c r="Q37" t="n">
        <v>0.2596</v>
      </c>
      <c r="R37" t="inlineStr">
        <is>
          <t>T1203:Exploitation for Client Execution</t>
        </is>
      </c>
      <c r="S37" t="n">
        <v>2</v>
      </c>
      <c r="T37" t="inlineStr">
        <is>
          <t>HIGH (72%)</t>
        </is>
      </c>
      <c r="U37" t="inlineStr">
        <is>
          <t>CONFIRMED</t>
        </is>
      </c>
      <c r="V37" t="inlineStr">
        <is>
          <t>CHECK_VENDOR</t>
        </is>
      </c>
      <c r="W37" t="inlineStr">
        <is>
          <t>https://nvd.nist.gov/vuln/detail/CVE-2026-2648</t>
        </is>
      </c>
      <c r="X37" t="inlineStr">
        <is>
          <t>NONE</t>
        </is>
      </c>
      <c r="Y37" t="n">
        <v>4.4</v>
      </c>
      <c r="Z37" t="inlineStr"/>
      <c r="AA37" t="inlineStr">
        <is>
          <t>https://nvd.nist.gov/vuln/detail/CVE-2026-2648</t>
        </is>
      </c>
    </row>
    <row r="38">
      <c r="A38" t="inlineStr">
        <is>
          <t>CVE</t>
        </is>
      </c>
      <c r="B38" t="inlineStr">
        <is>
          <t>CVE-2026-2649</t>
        </is>
      </c>
      <c r="C38" t="inlineStr">
        <is>
          <t>Integer overflow in V8 in Google Chrome prior to 145.0.7632.109 allowed a remote attacker to potentially exploit heap corruption via a crafted HTML page. (Chromium security severity: High)</t>
        </is>
      </c>
      <c r="D38" t="n">
        <v>8.800000000000001</v>
      </c>
      <c r="E38" t="inlineStr">
        <is>
          <t>HIGH</t>
        </is>
      </c>
      <c r="F38" t="n">
        <v>2</v>
      </c>
      <c r="G38" t="n">
        <v>3</v>
      </c>
      <c r="H38" t="inlineStr">
        <is>
          <t>HIGH</t>
        </is>
      </c>
      <c r="I38" t="n">
        <v>14.8</v>
      </c>
      <c r="J38" t="inlineStr">
        <is>
          <t>NO</t>
        </is>
      </c>
      <c r="K38" t="inlineStr">
        <is>
          <t>2026-02-26 00:15</t>
        </is>
      </c>
      <c r="L38" t="inlineStr">
        <is>
          <t>CHECK_VENDOR</t>
        </is>
      </c>
      <c r="M38" t="inlineStr">
        <is>
          <t>google chrome *</t>
        </is>
      </c>
      <c r="N38" t="inlineStr">
        <is>
          <t>P3</t>
        </is>
      </c>
      <c r="O38" t="inlineStr">
        <is>
          <t>CVE - IP enrichment n/a</t>
        </is>
      </c>
      <c r="P38" t="n">
        <v>0</v>
      </c>
      <c r="Q38" t="n">
        <v>0</v>
      </c>
      <c r="R38" t="inlineStr">
        <is>
          <t>T1203:Exploitation for Client Execution</t>
        </is>
      </c>
      <c r="S38" t="n">
        <v>1</v>
      </c>
      <c r="T38" t="inlineStr">
        <is>
          <t>LOW (40%)</t>
        </is>
      </c>
      <c r="U38" t="inlineStr">
        <is>
          <t>UNLIKELY</t>
        </is>
      </c>
      <c r="V38" t="inlineStr">
        <is>
          <t>CHECK_VENDOR</t>
        </is>
      </c>
      <c r="W38" t="inlineStr">
        <is>
          <t>https://nvd.nist.gov/vuln/detail/CVE-2026-2649</t>
        </is>
      </c>
      <c r="X38" t="inlineStr">
        <is>
          <t>NONE</t>
        </is>
      </c>
      <c r="Y38" t="n">
        <v>0</v>
      </c>
      <c r="Z38" t="inlineStr"/>
      <c r="AA38" t="inlineStr">
        <is>
          <t>https://nvd.nist.gov/vuln/detail/CVE-2026-2649</t>
        </is>
      </c>
    </row>
    <row r="39">
      <c r="A39" t="inlineStr">
        <is>
          <t>CVE</t>
        </is>
      </c>
      <c r="B39" t="inlineStr">
        <is>
          <t>CVE-2026-2650</t>
        </is>
      </c>
      <c r="C39" t="inlineStr">
        <is>
          <t>Heap buffer overflow in Media in Google Chrome prior to 145.0.7632.109 allowed a remote attacker to potentially exploit heap corruption via a crafted HTML page. (Chromium security severity: Medium)</t>
        </is>
      </c>
      <c r="D39" t="n">
        <v>8.800000000000001</v>
      </c>
      <c r="E39" t="inlineStr">
        <is>
          <t>HIGH</t>
        </is>
      </c>
      <c r="F39" t="n">
        <v>3</v>
      </c>
      <c r="G39" t="n">
        <v>3</v>
      </c>
      <c r="H39" t="inlineStr">
        <is>
          <t>CRITICAL</t>
        </is>
      </c>
      <c r="I39" t="n">
        <v>17.8</v>
      </c>
      <c r="J39" t="inlineStr">
        <is>
          <t>NO</t>
        </is>
      </c>
      <c r="K39" t="inlineStr">
        <is>
          <t>2026-02-26 00:15</t>
        </is>
      </c>
      <c r="L39" t="inlineStr">
        <is>
          <t>CHECK_VENDOR</t>
        </is>
      </c>
      <c r="M39" t="inlineStr">
        <is>
          <t>google chrome *</t>
        </is>
      </c>
      <c r="N39" t="inlineStr">
        <is>
          <t>P2</t>
        </is>
      </c>
      <c r="O39" t="inlineStr">
        <is>
          <t>CVE - IP enrichment n/a</t>
        </is>
      </c>
      <c r="P39" t="n">
        <v>0</v>
      </c>
      <c r="Q39" t="n">
        <v>0</v>
      </c>
      <c r="R39" t="inlineStr">
        <is>
          <t>T1203:Exploitation for Client Execution</t>
        </is>
      </c>
      <c r="S39" t="n">
        <v>2</v>
      </c>
      <c r="T39" t="inlineStr">
        <is>
          <t>HIGH (72%)</t>
        </is>
      </c>
      <c r="U39" t="inlineStr">
        <is>
          <t>CONFIRMED</t>
        </is>
      </c>
      <c r="V39" t="inlineStr">
        <is>
          <t>CHECK_VENDOR</t>
        </is>
      </c>
      <c r="W39" t="inlineStr">
        <is>
          <t>https://nvd.nist.gov/vuln/detail/CVE-2026-2650</t>
        </is>
      </c>
      <c r="X39" t="inlineStr">
        <is>
          <t>NONE</t>
        </is>
      </c>
      <c r="Y39" t="n">
        <v>4.4</v>
      </c>
      <c r="Z39" t="inlineStr"/>
      <c r="AA39" t="inlineStr">
        <is>
          <t>https://nvd.nist.gov/vuln/detail/CVE-2026-2650</t>
        </is>
      </c>
    </row>
    <row r="40">
      <c r="A40" t="inlineStr">
        <is>
          <t>CVE</t>
        </is>
      </c>
      <c r="B40" t="inlineStr">
        <is>
          <t>CVE-2026-2669</t>
        </is>
      </c>
      <c r="C40" t="inlineStr">
        <is>
          <t>A vulnerability was determined in Rongzhitong Visual Integrated Command and Dispatch Platform up to 20260206. This impacts an unknown function of the file /dm/dispatch/user/delete of the component User Handler. This manipulation of the argument ID causes improper access controls. Remote exploitation of the attack is possible. The exploit has been publicly disclosed and may be utilized. The vendor was contacted early about this disclosure but did not respond in any way.</t>
        </is>
      </c>
      <c r="D40" t="n">
        <v>6.5</v>
      </c>
      <c r="E40" t="inlineStr">
        <is>
          <t>MEDIUM</t>
        </is>
      </c>
      <c r="F40" t="n">
        <v>2</v>
      </c>
      <c r="G40" t="n">
        <v>2</v>
      </c>
      <c r="H40" t="inlineStr">
        <is>
          <t>MEDIUM</t>
        </is>
      </c>
      <c r="I40" t="n">
        <v>10.5</v>
      </c>
      <c r="J40" t="inlineStr">
        <is>
          <t>NO</t>
        </is>
      </c>
      <c r="K40" t="inlineStr">
        <is>
          <t>2026-02-26 00:15</t>
        </is>
      </c>
      <c r="L40" t="inlineStr">
        <is>
          <t>CHECK_VENDOR</t>
        </is>
      </c>
      <c r="M40" t="inlineStr">
        <is>
          <t>See CVE details</t>
        </is>
      </c>
      <c r="N40" t="inlineStr">
        <is>
          <t>P4</t>
        </is>
      </c>
      <c r="O40" t="inlineStr">
        <is>
          <t>CVE - IP enrichment n/a</t>
        </is>
      </c>
      <c r="P40" t="n">
        <v>0.0005</v>
      </c>
      <c r="Q40" t="n">
        <v>0.1539</v>
      </c>
      <c r="R40" t="inlineStr">
        <is>
          <t>T1190:Exploit Public-Facing Application</t>
        </is>
      </c>
      <c r="S40" t="n">
        <v>1</v>
      </c>
      <c r="T40" t="inlineStr">
        <is>
          <t>LOW (40%)</t>
        </is>
      </c>
      <c r="U40" t="inlineStr">
        <is>
          <t>UNLIKELY</t>
        </is>
      </c>
      <c r="V40" t="inlineStr">
        <is>
          <t>CHECK_VENDOR</t>
        </is>
      </c>
      <c r="W40" t="inlineStr">
        <is>
          <t>https://nvd.nist.gov/vuln/detail/CVE-2026-2669</t>
        </is>
      </c>
      <c r="X40" t="inlineStr">
        <is>
          <t>NONE</t>
        </is>
      </c>
      <c r="Y40" t="n">
        <v>0</v>
      </c>
      <c r="Z40" t="inlineStr"/>
      <c r="AA40" t="inlineStr">
        <is>
          <t>https://nvd.nist.gov/vuln/detail/CVE-2026-2669</t>
        </is>
      </c>
    </row>
    <row r="41">
      <c r="A41" t="inlineStr">
        <is>
          <t>CVE</t>
        </is>
      </c>
      <c r="B41" t="inlineStr">
        <is>
          <t>CVE-2026-2670</t>
        </is>
      </c>
      <c r="C41" t="inlineStr">
        <is>
          <t>A vulnerability was identified in Advantech WISE-6610 1.2.1_20251110. Affected is an unknown function of the file /cgi-bin/luci/admin/openvpn_apply of the component Background Management. Such manipulation of the argument delete_file leads to os command injection. The attack can be executed remotely. The exploit is publicly available and might be used. The vendor was contacted early about this disclosure but did not respond in any way.</t>
        </is>
      </c>
      <c r="D41" t="n">
        <v>7.2</v>
      </c>
      <c r="E41" t="inlineStr">
        <is>
          <t>HIGH</t>
        </is>
      </c>
      <c r="F41" t="n">
        <v>2</v>
      </c>
      <c r="G41" t="n">
        <v>3</v>
      </c>
      <c r="H41" t="inlineStr">
        <is>
          <t>HIGH</t>
        </is>
      </c>
      <c r="I41" t="n">
        <v>13.2</v>
      </c>
      <c r="J41" t="inlineStr">
        <is>
          <t>NO</t>
        </is>
      </c>
      <c r="K41" t="inlineStr">
        <is>
          <t>2026-02-26 00:15</t>
        </is>
      </c>
      <c r="L41" t="inlineStr">
        <is>
          <t>CHECK_VENDOR</t>
        </is>
      </c>
      <c r="M41" t="inlineStr">
        <is>
          <t>See CVE details</t>
        </is>
      </c>
      <c r="N41" t="inlineStr">
        <is>
          <t>P2</t>
        </is>
      </c>
      <c r="O41" t="inlineStr">
        <is>
          <t>CVE - IP enrichment n/a</t>
        </is>
      </c>
      <c r="P41" t="n">
        <v>0.0017</v>
      </c>
      <c r="Q41" t="n">
        <v>0.3864</v>
      </c>
      <c r="R41" t="inlineStr">
        <is>
          <t>T1059:Command and Scripting Interpreter | T1133:External Remote Services</t>
        </is>
      </c>
      <c r="S41" t="n">
        <v>2</v>
      </c>
      <c r="T41" t="inlineStr">
        <is>
          <t>HIGH (72%)</t>
        </is>
      </c>
      <c r="U41" t="inlineStr">
        <is>
          <t>POSSIBLE</t>
        </is>
      </c>
      <c r="V41" t="inlineStr">
        <is>
          <t>CHECK_VENDOR</t>
        </is>
      </c>
      <c r="W41" t="inlineStr">
        <is>
          <t>https://nvd.nist.gov/vuln/detail/CVE-2026-2670</t>
        </is>
      </c>
      <c r="X41" t="inlineStr">
        <is>
          <t>NONE</t>
        </is>
      </c>
      <c r="Y41" t="n">
        <v>3.6</v>
      </c>
      <c r="Z41" t="inlineStr"/>
      <c r="AA41" t="inlineStr">
        <is>
          <t>https://nvd.nist.gov/vuln/detail/CVE-2026-2670</t>
        </is>
      </c>
    </row>
    <row r="42">
      <c r="A42" t="inlineStr">
        <is>
          <t>CVE</t>
        </is>
      </c>
      <c r="B42" t="inlineStr">
        <is>
          <t>CVE-2026-2672</t>
        </is>
      </c>
      <c r="C42" t="inlineStr">
        <is>
          <t>A security flaw has been discovered in Tsinghua Unigroup Electronic Archives System 3.2.210802(62532). Affected by this vulnerability is the function Download of the file /Search/Subject/downLoad. Performing a manipulation of the argument path results in path traversal. The attack is possible to be carried out remotely. The exploit has been released to the public and may be used for attacks. The vendor was contacted early about this disclosure but did not respond in any way.</t>
        </is>
      </c>
      <c r="D42" t="n">
        <v>4.3</v>
      </c>
      <c r="E42" t="inlineStr">
        <is>
          <t>MEDIUM</t>
        </is>
      </c>
      <c r="F42" t="n">
        <v>2</v>
      </c>
      <c r="G42" t="n">
        <v>2</v>
      </c>
      <c r="H42" t="inlineStr">
        <is>
          <t>MEDIUM</t>
        </is>
      </c>
      <c r="I42" t="n">
        <v>8.300000000000001</v>
      </c>
      <c r="J42" t="inlineStr">
        <is>
          <t>NO</t>
        </is>
      </c>
      <c r="K42" t="inlineStr">
        <is>
          <t>2026-02-26 00:15</t>
        </is>
      </c>
      <c r="L42" t="inlineStr">
        <is>
          <t>CHECK_VENDOR</t>
        </is>
      </c>
      <c r="M42" t="inlineStr">
        <is>
          <t>See CVE details</t>
        </is>
      </c>
      <c r="N42" t="inlineStr">
        <is>
          <t>P4</t>
        </is>
      </c>
      <c r="O42" t="inlineStr">
        <is>
          <t>CVE - IP enrichment n/a</t>
        </is>
      </c>
      <c r="P42" t="n">
        <v>0.0005</v>
      </c>
      <c r="Q42" t="n">
        <v>0.161</v>
      </c>
      <c r="R42" t="inlineStr">
        <is>
          <t>T1083:File and Directory Discovery</t>
        </is>
      </c>
      <c r="S42" t="n">
        <v>1</v>
      </c>
      <c r="T42" t="inlineStr">
        <is>
          <t>LOW (40%)</t>
        </is>
      </c>
      <c r="U42" t="inlineStr">
        <is>
          <t>UNLIKELY</t>
        </is>
      </c>
      <c r="V42" t="inlineStr">
        <is>
          <t>CHECK_VENDOR</t>
        </is>
      </c>
      <c r="W42" t="inlineStr">
        <is>
          <t>https://nvd.nist.gov/vuln/detail/CVE-2026-2672</t>
        </is>
      </c>
      <c r="X42" t="inlineStr">
        <is>
          <t>NONE</t>
        </is>
      </c>
      <c r="Y42" t="n">
        <v>0</v>
      </c>
      <c r="Z42" t="inlineStr"/>
      <c r="AA42" t="inlineStr">
        <is>
          <t>https://nvd.nist.gov/vuln/detail/CVE-2026-2672</t>
        </is>
      </c>
    </row>
    <row r="43">
      <c r="A43" t="inlineStr">
        <is>
          <t>CVE</t>
        </is>
      </c>
      <c r="B43" t="inlineStr">
        <is>
          <t>CVE-2025-12811</t>
        </is>
      </c>
      <c r="C43" t="inlineStr">
        <is>
          <t>Improper Inconsistent Interpretation of
HTTP Requests ('HTTP Request Smuggling') in Delinea Inc. Cloud Suite and
Privileged Access Service.
If you're not using the latest Server Suite agents, this fix requires that you upgrade to Server Suite 2023.1 (agent 6.0.1) or later.  *  If you cannot upgrade to Release 2023.1 (agent version 6.0.1) or later, you can choose one of the following versions:
  *  Server Suite release 2023.0.5 (agent version 6.0.0-158)
  *  Server Suite release 2022.1.10 (ag</t>
        </is>
      </c>
      <c r="D43" t="n">
        <v>5</v>
      </c>
      <c r="E43" t="inlineStr">
        <is>
          <t>MEDIUM</t>
        </is>
      </c>
      <c r="F43" t="n">
        <v>2</v>
      </c>
      <c r="G43" t="n">
        <v>2</v>
      </c>
      <c r="H43" t="inlineStr">
        <is>
          <t>MEDIUM</t>
        </is>
      </c>
      <c r="I43" t="n">
        <v>9</v>
      </c>
      <c r="J43" t="inlineStr">
        <is>
          <t>NO</t>
        </is>
      </c>
      <c r="K43" t="inlineStr">
        <is>
          <t>2026-02-26 00:15</t>
        </is>
      </c>
      <c r="L43" t="inlineStr">
        <is>
          <t>CHECK_VENDOR</t>
        </is>
      </c>
      <c r="M43" t="inlineStr">
        <is>
          <t>See CVE details</t>
        </is>
      </c>
      <c r="N43" t="inlineStr">
        <is>
          <t>P4</t>
        </is>
      </c>
      <c r="O43" t="inlineStr">
        <is>
          <t>CVE - IP enrichment n/a</t>
        </is>
      </c>
      <c r="P43" t="n">
        <v>0</v>
      </c>
      <c r="Q43" t="n">
        <v>0</v>
      </c>
      <c r="R43" t="inlineStr">
        <is>
          <t>T1190:Exploit Public-Facing Application</t>
        </is>
      </c>
      <c r="S43" t="n">
        <v>1</v>
      </c>
      <c r="T43" t="inlineStr">
        <is>
          <t>LOW (40%)</t>
        </is>
      </c>
      <c r="U43" t="inlineStr">
        <is>
          <t>UNLIKELY</t>
        </is>
      </c>
      <c r="V43" t="inlineStr">
        <is>
          <t>CHECK_VENDOR</t>
        </is>
      </c>
      <c r="W43" t="inlineStr">
        <is>
          <t>https://nvd.nist.gov/vuln/detail/CVE-2025-12811</t>
        </is>
      </c>
      <c r="X43" t="inlineStr">
        <is>
          <t>NONE</t>
        </is>
      </c>
      <c r="Y43" t="n">
        <v>0</v>
      </c>
      <c r="Z43" t="inlineStr"/>
      <c r="AA43" t="inlineStr">
        <is>
          <t>https://nvd.nist.gov/vuln/detail/CVE-2025-12811</t>
        </is>
      </c>
    </row>
    <row r="44">
      <c r="A44" t="inlineStr">
        <is>
          <t>CVE</t>
        </is>
      </c>
      <c r="B44" t="inlineStr">
        <is>
          <t>CVE-2025-12812</t>
        </is>
      </c>
      <c r="C44" t="inlineStr">
        <is>
          <t>Improper Neutralization of Special Elements used in an SQL Command
('SQL Injection') in Delinea Inc. Cloud Suite and Privileged Access Service.
Remediation: This issue is fixed in Cloud Suite: 25.1</t>
        </is>
      </c>
      <c r="D44" t="n">
        <v>5</v>
      </c>
      <c r="E44" t="inlineStr">
        <is>
          <t>MEDIUM</t>
        </is>
      </c>
      <c r="F44" t="n">
        <v>2</v>
      </c>
      <c r="G44" t="n">
        <v>2</v>
      </c>
      <c r="H44" t="inlineStr">
        <is>
          <t>MEDIUM</t>
        </is>
      </c>
      <c r="I44" t="n">
        <v>9</v>
      </c>
      <c r="J44" t="inlineStr">
        <is>
          <t>NO</t>
        </is>
      </c>
      <c r="K44" t="inlineStr">
        <is>
          <t>2026-02-26 00:15</t>
        </is>
      </c>
      <c r="L44" t="inlineStr">
        <is>
          <t>CHECK_VENDOR</t>
        </is>
      </c>
      <c r="M44" t="inlineStr">
        <is>
          <t>See CVE details</t>
        </is>
      </c>
      <c r="N44" t="inlineStr">
        <is>
          <t>P4</t>
        </is>
      </c>
      <c r="O44" t="inlineStr">
        <is>
          <t>CVE - IP enrichment n/a</t>
        </is>
      </c>
      <c r="P44" t="n">
        <v>0</v>
      </c>
      <c r="Q44" t="n">
        <v>0</v>
      </c>
      <c r="R44" t="inlineStr">
        <is>
          <t>T1190:Exploit Public-Facing Application</t>
        </is>
      </c>
      <c r="S44" t="n">
        <v>1</v>
      </c>
      <c r="T44" t="inlineStr">
        <is>
          <t>LOW (40%)</t>
        </is>
      </c>
      <c r="U44" t="inlineStr">
        <is>
          <t>UNLIKELY</t>
        </is>
      </c>
      <c r="V44" t="inlineStr">
        <is>
          <t>CHECK_VENDOR</t>
        </is>
      </c>
      <c r="W44" t="inlineStr">
        <is>
          <t>https://nvd.nist.gov/vuln/detail/CVE-2025-12812</t>
        </is>
      </c>
      <c r="X44" t="inlineStr">
        <is>
          <t>NONE</t>
        </is>
      </c>
      <c r="Y44" t="n">
        <v>0</v>
      </c>
      <c r="Z44" t="inlineStr"/>
      <c r="AA44" t="inlineStr">
        <is>
          <t>https://nvd.nist.gov/vuln/detail/CVE-2025-12812</t>
        </is>
      </c>
    </row>
    <row r="45">
      <c r="A45" t="inlineStr">
        <is>
          <t>CVE</t>
        </is>
      </c>
      <c r="B45" t="inlineStr">
        <is>
          <t>CVE-2025-15581</t>
        </is>
      </c>
      <c r="C45" t="inlineStr">
        <is>
          <t>Orthanc versions before 1.12.10 are affected by an authorisation logic flaw in the application's HTTP Basic Authentication implementation. 
Successful exploitation could result in Privilege Escalation, potentially allowing full administrative access.</t>
        </is>
      </c>
      <c r="D45" t="n">
        <v>5</v>
      </c>
      <c r="E45" t="inlineStr">
        <is>
          <t>MEDIUM</t>
        </is>
      </c>
      <c r="F45" t="n">
        <v>2</v>
      </c>
      <c r="G45" t="n">
        <v>2</v>
      </c>
      <c r="H45" t="inlineStr">
        <is>
          <t>MEDIUM</t>
        </is>
      </c>
      <c r="I45" t="n">
        <v>9</v>
      </c>
      <c r="J45" t="inlineStr">
        <is>
          <t>NO</t>
        </is>
      </c>
      <c r="K45" t="inlineStr">
        <is>
          <t>2026-02-26 00:15</t>
        </is>
      </c>
      <c r="L45" t="inlineStr">
        <is>
          <t>CHECK_VENDOR</t>
        </is>
      </c>
      <c r="M45" t="inlineStr">
        <is>
          <t>See CVE details</t>
        </is>
      </c>
      <c r="N45" t="inlineStr">
        <is>
          <t>P4</t>
        </is>
      </c>
      <c r="O45" t="inlineStr">
        <is>
          <t>CVE - IP enrichment n/a</t>
        </is>
      </c>
      <c r="P45" t="n">
        <v>0</v>
      </c>
      <c r="Q45" t="n">
        <v>0</v>
      </c>
      <c r="R45" t="inlineStr">
        <is>
          <t>T1078:Valid Accounts | T1110:Brute Force | T1068:Exploitation for Privilege Escalation</t>
        </is>
      </c>
      <c r="S45" t="n">
        <v>1</v>
      </c>
      <c r="T45" t="inlineStr">
        <is>
          <t>LOW (40%)</t>
        </is>
      </c>
      <c r="U45" t="inlineStr">
        <is>
          <t>UNLIKELY</t>
        </is>
      </c>
      <c r="V45" t="inlineStr">
        <is>
          <t>CHECK_VENDOR</t>
        </is>
      </c>
      <c r="W45" t="inlineStr">
        <is>
          <t>https://nvd.nist.gov/vuln/detail/CVE-2025-15581</t>
        </is>
      </c>
      <c r="X45" t="inlineStr">
        <is>
          <t>NONE</t>
        </is>
      </c>
      <c r="Y45" t="n">
        <v>0</v>
      </c>
      <c r="Z45" t="inlineStr"/>
      <c r="AA45" t="inlineStr">
        <is>
          <t>https://nvd.nist.gov/vuln/detail/CVE-2025-15581</t>
        </is>
      </c>
    </row>
    <row r="46">
      <c r="A46" t="inlineStr">
        <is>
          <t>CVE</t>
        </is>
      </c>
      <c r="B46" t="inlineStr">
        <is>
          <t>CVE-2026-24745</t>
        </is>
      </c>
      <c r="C46" t="inlineStr">
        <is>
          <t>InvoicePlane is a self-hosted open source application for managing invoices, clients, and payments. A Stored Cross-Site Scripting (XSS) vulnerability occurs in the upload Login Logo functions of InvoicePlane version 1.7.0. In the Upload Login Logo, the application allows uploading svg files. Although administrator privileges are required to exploit it, this is still considered a critical vulnerability as it can cause actions such as unauthorized modification of application data, creation of pers</t>
        </is>
      </c>
      <c r="D46" t="n">
        <v>5.7</v>
      </c>
      <c r="E46" t="inlineStr">
        <is>
          <t>MEDIUM</t>
        </is>
      </c>
      <c r="F46" t="n">
        <v>2</v>
      </c>
      <c r="G46" t="n">
        <v>2</v>
      </c>
      <c r="H46" t="inlineStr">
        <is>
          <t>MEDIUM</t>
        </is>
      </c>
      <c r="I46" t="n">
        <v>9.699999999999999</v>
      </c>
      <c r="J46" t="inlineStr">
        <is>
          <t>NO</t>
        </is>
      </c>
      <c r="K46" t="inlineStr">
        <is>
          <t>2026-02-26 00:15</t>
        </is>
      </c>
      <c r="L46" t="inlineStr">
        <is>
          <t>YES</t>
        </is>
      </c>
      <c r="M46" t="inlineStr">
        <is>
          <t>invoiceplane invoiceplane 1.7.0</t>
        </is>
      </c>
      <c r="N46" t="inlineStr">
        <is>
          <t>P4</t>
        </is>
      </c>
      <c r="O46" t="inlineStr">
        <is>
          <t>CVE - IP enrichment n/a</t>
        </is>
      </c>
      <c r="P46" t="n">
        <v>0</v>
      </c>
      <c r="Q46" t="n">
        <v>0</v>
      </c>
      <c r="R46" t="inlineStr">
        <is>
          <t>T1189:Drive-by Compromise | T1190:Exploit Public-Facing Application | T1543:Create or Modify System Process</t>
        </is>
      </c>
      <c r="S46" t="n">
        <v>1</v>
      </c>
      <c r="T46" t="inlineStr">
        <is>
          <t>LOW (40%)</t>
        </is>
      </c>
      <c r="U46" t="inlineStr">
        <is>
          <t>UNLIKELY</t>
        </is>
      </c>
      <c r="V46" t="inlineStr">
        <is>
          <t>PATCH_AVAILABLE</t>
        </is>
      </c>
      <c r="W46" t="inlineStr">
        <is>
          <t>https://nvd.nist.gov/vuln/detail/CVE-2026-24745</t>
        </is>
      </c>
      <c r="X46" t="inlineStr">
        <is>
          <t>NONE</t>
        </is>
      </c>
      <c r="Y46" t="n">
        <v>0</v>
      </c>
      <c r="Z46" t="inlineStr"/>
      <c r="AA46" t="inlineStr">
        <is>
          <t>https://nvd.nist.gov/vuln/detail/CVE-2026-24745</t>
        </is>
      </c>
    </row>
    <row r="47">
      <c r="A47" t="inlineStr">
        <is>
          <t>CVE</t>
        </is>
      </c>
      <c r="B47" t="inlineStr">
        <is>
          <t>CVE-2026-25548</t>
        </is>
      </c>
      <c r="C47" t="inlineStr">
        <is>
          <t>InvoicePlane is a self-hosted open source application for managing invoices, clients, and payments. A critical Remote Code Execution (RCE) vulnerability exists in InvoicePlane 1.7.0 through a chained Local File Inclusion (LFI) and Log Poisoning attack. An authenticated administrator can execute arbitrary system commands on the server by manipulating the `public_invoice_template` setting to include poisoned log files containing PHP code. Version 1.7.1 patches the issue.</t>
        </is>
      </c>
      <c r="D47" t="n">
        <v>9.1</v>
      </c>
      <c r="E47" t="inlineStr">
        <is>
          <t>CRITICAL</t>
        </is>
      </c>
      <c r="F47" t="n">
        <v>2</v>
      </c>
      <c r="G47" t="n">
        <v>3</v>
      </c>
      <c r="H47" t="inlineStr">
        <is>
          <t>HIGH</t>
        </is>
      </c>
      <c r="I47" t="n">
        <v>15.1</v>
      </c>
      <c r="J47" t="inlineStr">
        <is>
          <t>NO</t>
        </is>
      </c>
      <c r="K47" t="inlineStr">
        <is>
          <t>2026-02-26 00:15</t>
        </is>
      </c>
      <c r="L47" t="inlineStr">
        <is>
          <t>YES</t>
        </is>
      </c>
      <c r="M47" t="inlineStr">
        <is>
          <t>invoiceplane invoiceplane *</t>
        </is>
      </c>
      <c r="N47" t="inlineStr">
        <is>
          <t>P3</t>
        </is>
      </c>
      <c r="O47" t="inlineStr">
        <is>
          <t>CVE - IP enrichment n/a</t>
        </is>
      </c>
      <c r="P47" t="n">
        <v>0.0038</v>
      </c>
      <c r="Q47" t="n">
        <v>0.5885</v>
      </c>
      <c r="R47" t="inlineStr">
        <is>
          <t>T1059:Command and Scripting Interpreter | T1190:Exploit Public-Facing Application | T1210:Exploitation of Remote Services</t>
        </is>
      </c>
      <c r="S47" t="n">
        <v>1</v>
      </c>
      <c r="T47" t="inlineStr">
        <is>
          <t>LOW (40%)</t>
        </is>
      </c>
      <c r="U47" t="inlineStr">
        <is>
          <t>UNLIKELY</t>
        </is>
      </c>
      <c r="V47" t="inlineStr">
        <is>
          <t>PATCH_AVAILABLE</t>
        </is>
      </c>
      <c r="W47" t="inlineStr">
        <is>
          <t>https://nvd.nist.gov/vuln/detail/CVE-2026-25548</t>
        </is>
      </c>
      <c r="X47" t="inlineStr">
        <is>
          <t>NONE</t>
        </is>
      </c>
      <c r="Y47" t="n">
        <v>0</v>
      </c>
      <c r="Z47" t="inlineStr"/>
      <c r="AA47" t="inlineStr">
        <is>
          <t>https://nvd.nist.gov/vuln/detail/CVE-2026-25548</t>
        </is>
      </c>
    </row>
    <row r="48">
      <c r="A48" t="inlineStr">
        <is>
          <t>CVE</t>
        </is>
      </c>
      <c r="B48" t="inlineStr">
        <is>
          <t>CVE-2026-25594</t>
        </is>
      </c>
      <c r="C48" t="inlineStr">
        <is>
          <t>InvoicePlane is a self-hosted open source application for managing invoices, clients, and payments. A Stored Cross-Site Scripting (XSS) vulnerability exists in InvoicePlane 1.7.0 via the Family Name field. The `family_name` value is rendered without HTML encoding inside the family dropdown on the product form. When an administrator creates a family with a malicious name, the payload executes in the browser of any administrator who visits the product form. Version 1.7.1 patches the issue.</t>
        </is>
      </c>
      <c r="D48" t="n">
        <v>4.8</v>
      </c>
      <c r="E48" t="inlineStr">
        <is>
          <t>MEDIUM</t>
        </is>
      </c>
      <c r="F48" t="n">
        <v>2</v>
      </c>
      <c r="G48" t="n">
        <v>2</v>
      </c>
      <c r="H48" t="inlineStr">
        <is>
          <t>MEDIUM</t>
        </is>
      </c>
      <c r="I48" t="n">
        <v>8.800000000000001</v>
      </c>
      <c r="J48" t="inlineStr">
        <is>
          <t>NO</t>
        </is>
      </c>
      <c r="K48" t="inlineStr">
        <is>
          <t>2026-02-26 00:15</t>
        </is>
      </c>
      <c r="L48" t="inlineStr">
        <is>
          <t>YES</t>
        </is>
      </c>
      <c r="M48" t="inlineStr">
        <is>
          <t>invoiceplane invoiceplane *</t>
        </is>
      </c>
      <c r="N48" t="inlineStr">
        <is>
          <t>P4</t>
        </is>
      </c>
      <c r="O48" t="inlineStr">
        <is>
          <t>CVE - IP enrichment n/a</t>
        </is>
      </c>
      <c r="P48" t="n">
        <v>0</v>
      </c>
      <c r="Q48" t="n">
        <v>0</v>
      </c>
      <c r="R48" t="inlineStr">
        <is>
          <t>T1189:Drive-by Compromise | T1190:Exploit Public-Facing Application</t>
        </is>
      </c>
      <c r="S48" t="n">
        <v>1</v>
      </c>
      <c r="T48" t="inlineStr">
        <is>
          <t>LOW (40%)</t>
        </is>
      </c>
      <c r="U48" t="inlineStr">
        <is>
          <t>UNLIKELY</t>
        </is>
      </c>
      <c r="V48" t="inlineStr">
        <is>
          <t>PATCH_AVAILABLE</t>
        </is>
      </c>
      <c r="W48" t="inlineStr">
        <is>
          <t>https://nvd.nist.gov/vuln/detail/CVE-2026-25594</t>
        </is>
      </c>
      <c r="X48" t="inlineStr">
        <is>
          <t>NONE</t>
        </is>
      </c>
      <c r="Y48" t="n">
        <v>0</v>
      </c>
      <c r="Z48" t="inlineStr"/>
      <c r="AA48" t="inlineStr">
        <is>
          <t>https://nvd.nist.gov/vuln/detail/CVE-2026-25594</t>
        </is>
      </c>
    </row>
    <row r="49">
      <c r="A49" t="inlineStr">
        <is>
          <t>CVE</t>
        </is>
      </c>
      <c r="B49" t="inlineStr">
        <is>
          <t>CVE-2026-25595</t>
        </is>
      </c>
      <c r="C49" t="inlineStr">
        <is>
          <t>InvoicePlane is a self-hosted open source application for managing invoices, clients, and payments. A Stored Cross-Site Scripting (XSS) vulnerability exists in InvoicePlane 1.7.0 via the Invoice Number field. An authenticated administrator can inject malicious JavaScript that executes when any administrator views the affected invoice or visits the dashboard. Version 1.7.1 patches the issue.</t>
        </is>
      </c>
      <c r="D49" t="n">
        <v>4.8</v>
      </c>
      <c r="E49" t="inlineStr">
        <is>
          <t>MEDIUM</t>
        </is>
      </c>
      <c r="F49" t="n">
        <v>2</v>
      </c>
      <c r="G49" t="n">
        <v>2</v>
      </c>
      <c r="H49" t="inlineStr">
        <is>
          <t>MEDIUM</t>
        </is>
      </c>
      <c r="I49" t="n">
        <v>8.800000000000001</v>
      </c>
      <c r="J49" t="inlineStr">
        <is>
          <t>NO</t>
        </is>
      </c>
      <c r="K49" t="inlineStr">
        <is>
          <t>2026-02-26 00:15</t>
        </is>
      </c>
      <c r="L49" t="inlineStr">
        <is>
          <t>YES</t>
        </is>
      </c>
      <c r="M49" t="inlineStr">
        <is>
          <t>invoiceplane invoiceplane *</t>
        </is>
      </c>
      <c r="N49" t="inlineStr">
        <is>
          <t>P4</t>
        </is>
      </c>
      <c r="O49" t="inlineStr">
        <is>
          <t>CVE - IP enrichment n/a</t>
        </is>
      </c>
      <c r="P49" t="n">
        <v>0</v>
      </c>
      <c r="Q49" t="n">
        <v>0</v>
      </c>
      <c r="R49" t="inlineStr">
        <is>
          <t>T1189:Drive-by Compromise | T1190:Exploit Public-Facing Application</t>
        </is>
      </c>
      <c r="S49" t="n">
        <v>1</v>
      </c>
      <c r="T49" t="inlineStr">
        <is>
          <t>LOW (40%)</t>
        </is>
      </c>
      <c r="U49" t="inlineStr">
        <is>
          <t>UNLIKELY</t>
        </is>
      </c>
      <c r="V49" t="inlineStr">
        <is>
          <t>PATCH_AVAILABLE</t>
        </is>
      </c>
      <c r="W49" t="inlineStr">
        <is>
          <t>https://nvd.nist.gov/vuln/detail/CVE-2026-25595</t>
        </is>
      </c>
      <c r="X49" t="inlineStr">
        <is>
          <t>NONE</t>
        </is>
      </c>
      <c r="Y49" t="n">
        <v>0</v>
      </c>
      <c r="Z49" t="inlineStr"/>
      <c r="AA49" t="inlineStr">
        <is>
          <t>https://nvd.nist.gov/vuln/detail/CVE-2026-25595</t>
        </is>
      </c>
    </row>
    <row r="50">
      <c r="A50" t="inlineStr">
        <is>
          <t>CVE</t>
        </is>
      </c>
      <c r="B50" t="inlineStr">
        <is>
          <t>CVE-2026-25596</t>
        </is>
      </c>
      <c r="C50" t="inlineStr">
        <is>
          <t>InvoicePlane is a self-hosted open source application for managing invoices, clients, and payments. A Stored Cross-Site Scripting (XSS) vulnerability exists in InvoicePlane 1.7.0 via the Product Unit Name fields. An authenticated administrator can inject malicious JavaScript that executes when any administrator views an invoice containing a product with the malicious unit. Version 1.7.1 patches the issue.</t>
        </is>
      </c>
      <c r="D50" t="n">
        <v>4.8</v>
      </c>
      <c r="E50" t="inlineStr">
        <is>
          <t>MEDIUM</t>
        </is>
      </c>
      <c r="F50" t="n">
        <v>2</v>
      </c>
      <c r="G50" t="n">
        <v>2</v>
      </c>
      <c r="H50" t="inlineStr">
        <is>
          <t>MEDIUM</t>
        </is>
      </c>
      <c r="I50" t="n">
        <v>8.800000000000001</v>
      </c>
      <c r="J50" t="inlineStr">
        <is>
          <t>NO</t>
        </is>
      </c>
      <c r="K50" t="inlineStr">
        <is>
          <t>2026-02-26 00:15</t>
        </is>
      </c>
      <c r="L50" t="inlineStr">
        <is>
          <t>YES</t>
        </is>
      </c>
      <c r="M50" t="inlineStr">
        <is>
          <t>invoiceplane invoiceplane *</t>
        </is>
      </c>
      <c r="N50" t="inlineStr">
        <is>
          <t>P4</t>
        </is>
      </c>
      <c r="O50" t="inlineStr">
        <is>
          <t>CVE - IP enrichment n/a</t>
        </is>
      </c>
      <c r="P50" t="n">
        <v>0</v>
      </c>
      <c r="Q50" t="n">
        <v>0</v>
      </c>
      <c r="R50" t="inlineStr">
        <is>
          <t>T1189:Drive-by Compromise | T1190:Exploit Public-Facing Application</t>
        </is>
      </c>
      <c r="S50" t="n">
        <v>1</v>
      </c>
      <c r="T50" t="inlineStr">
        <is>
          <t>LOW (40%)</t>
        </is>
      </c>
      <c r="U50" t="inlineStr">
        <is>
          <t>UNLIKELY</t>
        </is>
      </c>
      <c r="V50" t="inlineStr">
        <is>
          <t>PATCH_AVAILABLE</t>
        </is>
      </c>
      <c r="W50" t="inlineStr">
        <is>
          <t>https://nvd.nist.gov/vuln/detail/CVE-2026-25596</t>
        </is>
      </c>
      <c r="X50" t="inlineStr">
        <is>
          <t>NONE</t>
        </is>
      </c>
      <c r="Y50" t="n">
        <v>0</v>
      </c>
      <c r="Z50" t="inlineStr"/>
      <c r="AA50" t="inlineStr">
        <is>
          <t>https://nvd.nist.gov/vuln/detail/CVE-2026-25596</t>
        </is>
      </c>
    </row>
    <row r="51">
      <c r="A51" t="inlineStr">
        <is>
          <t>CVE</t>
        </is>
      </c>
      <c r="B51" t="inlineStr">
        <is>
          <t>CVE-2026-26270</t>
        </is>
      </c>
      <c r="C51" t="inlineStr">
        <is>
          <t>InvoicePlane is a self-hosted open source application for managing invoices, clients, and payments. A Stored Cross-Site Scripting (XSS) vulnerability exists in InvoicePlane (latest version) that allows an authenticated user with permissions to manage Invoice Groups to inject malicious JavaScript into the "Identifier Format" field. This script executes when any user views the invoice list or the main dashboard. Version 1.7.1 patches the issue.</t>
        </is>
      </c>
      <c r="D51" t="n">
        <v>5.4</v>
      </c>
      <c r="E51" t="inlineStr">
        <is>
          <t>MEDIUM</t>
        </is>
      </c>
      <c r="F51" t="n">
        <v>2</v>
      </c>
      <c r="G51" t="n">
        <v>2</v>
      </c>
      <c r="H51" t="inlineStr">
        <is>
          <t>MEDIUM</t>
        </is>
      </c>
      <c r="I51" t="n">
        <v>9.4</v>
      </c>
      <c r="J51" t="inlineStr">
        <is>
          <t>NO</t>
        </is>
      </c>
      <c r="K51" t="inlineStr">
        <is>
          <t>2026-02-26 00:15</t>
        </is>
      </c>
      <c r="L51" t="inlineStr">
        <is>
          <t>YES</t>
        </is>
      </c>
      <c r="M51" t="inlineStr">
        <is>
          <t>invoiceplane invoiceplane 1.7.0</t>
        </is>
      </c>
      <c r="N51" t="inlineStr">
        <is>
          <t>P4</t>
        </is>
      </c>
      <c r="O51" t="inlineStr">
        <is>
          <t>CVE - IP enrichment n/a</t>
        </is>
      </c>
      <c r="P51" t="n">
        <v>0</v>
      </c>
      <c r="Q51" t="n">
        <v>0</v>
      </c>
      <c r="R51" t="inlineStr">
        <is>
          <t>T1189:Drive-by Compromise | T1190:Exploit Public-Facing Application</t>
        </is>
      </c>
      <c r="S51" t="n">
        <v>1</v>
      </c>
      <c r="T51" t="inlineStr">
        <is>
          <t>LOW (40%)</t>
        </is>
      </c>
      <c r="U51" t="inlineStr">
        <is>
          <t>UNLIKELY</t>
        </is>
      </c>
      <c r="V51" t="inlineStr">
        <is>
          <t>PATCH_AVAILABLE</t>
        </is>
      </c>
      <c r="W51" t="inlineStr">
        <is>
          <t>https://nvd.nist.gov/vuln/detail/CVE-2026-26270</t>
        </is>
      </c>
      <c r="X51" t="inlineStr">
        <is>
          <t>NONE</t>
        </is>
      </c>
      <c r="Y51" t="n">
        <v>0</v>
      </c>
      <c r="Z51" t="inlineStr"/>
      <c r="AA51" t="inlineStr">
        <is>
          <t>https://nvd.nist.gov/vuln/detail/CVE-2026-26270</t>
        </is>
      </c>
    </row>
    <row r="52">
      <c r="A52" t="inlineStr">
        <is>
          <t>CVE</t>
        </is>
      </c>
      <c r="B52" t="inlineStr">
        <is>
          <t>CVE-2026-26281</t>
        </is>
      </c>
      <c r="C52" t="inlineStr">
        <is>
          <t>InvoicePlane is a self-hosted open source application for managing invoices, clients, and payments. A stored cross-site scripting (XSS) vulnerability in the Sumex invoice view allows an authenticated user with client and invoice management privileges to execute arbitrary JavaScript in the browser of any user viewing the invoice. This can lead to session hijacking, data theft, or other malicious actions on behalf of the victim user. Version 1.7.1 patches the issue.</t>
        </is>
      </c>
      <c r="D52" t="n">
        <v>4.4</v>
      </c>
      <c r="E52" t="inlineStr">
        <is>
          <t>MEDIUM</t>
        </is>
      </c>
      <c r="F52" t="n">
        <v>2</v>
      </c>
      <c r="G52" t="n">
        <v>2</v>
      </c>
      <c r="H52" t="inlineStr">
        <is>
          <t>MEDIUM</t>
        </is>
      </c>
      <c r="I52" t="n">
        <v>8.4</v>
      </c>
      <c r="J52" t="inlineStr">
        <is>
          <t>NO</t>
        </is>
      </c>
      <c r="K52" t="inlineStr">
        <is>
          <t>2026-02-26 00:15</t>
        </is>
      </c>
      <c r="L52" t="inlineStr">
        <is>
          <t>YES</t>
        </is>
      </c>
      <c r="M52" t="inlineStr">
        <is>
          <t>invoiceplane invoiceplane 1.7.0</t>
        </is>
      </c>
      <c r="N52" t="inlineStr">
        <is>
          <t>P4</t>
        </is>
      </c>
      <c r="O52" t="inlineStr">
        <is>
          <t>CVE - IP enrichment n/a</t>
        </is>
      </c>
      <c r="P52" t="n">
        <v>0</v>
      </c>
      <c r="Q52" t="n">
        <v>0</v>
      </c>
      <c r="R52" t="inlineStr">
        <is>
          <t>T1189:Drive-by Compromise | T1190:Exploit Public-Facing Application</t>
        </is>
      </c>
      <c r="S52" t="n">
        <v>1</v>
      </c>
      <c r="T52" t="inlineStr">
        <is>
          <t>LOW (40%)</t>
        </is>
      </c>
      <c r="U52" t="inlineStr">
        <is>
          <t>UNLIKELY</t>
        </is>
      </c>
      <c r="V52" t="inlineStr">
        <is>
          <t>PATCH_AVAILABLE</t>
        </is>
      </c>
      <c r="W52" t="inlineStr">
        <is>
          <t>https://nvd.nist.gov/vuln/detail/CVE-2026-26281</t>
        </is>
      </c>
      <c r="X52" t="inlineStr">
        <is>
          <t>NONE</t>
        </is>
      </c>
      <c r="Y52" t="n">
        <v>0</v>
      </c>
      <c r="Z52" t="inlineStr"/>
      <c r="AA52" t="inlineStr">
        <is>
          <t>https://nvd.nist.gov/vuln/detail/CVE-2026-26281</t>
        </is>
      </c>
    </row>
    <row r="53">
      <c r="A53" t="inlineStr">
        <is>
          <t>CVE</t>
        </is>
      </c>
      <c r="B53" t="inlineStr">
        <is>
          <t>CVE-2026-2676</t>
        </is>
      </c>
      <c r="C53" t="inlineStr">
        <is>
          <t>A weakness has been identified in GoogTech sms-ssm up to e8534c766fd13f5f94c01dab475d75f286918a8d. Affected by this issue is the function preHandle of the file LoginInterceptor.java of the component API Interface. Executing a manipulation can lead to improper authorization. The attack may be performed from remote. The exploit has been made available to the public and could be used for attacks. This product utilizes a rolling release system for continuous delivery, and as such, version informatio</t>
        </is>
      </c>
      <c r="D53" t="n">
        <v>6.3</v>
      </c>
      <c r="E53" t="inlineStr">
        <is>
          <t>MEDIUM</t>
        </is>
      </c>
      <c r="F53" t="n">
        <v>2</v>
      </c>
      <c r="G53" t="n">
        <v>2</v>
      </c>
      <c r="H53" t="inlineStr">
        <is>
          <t>MEDIUM</t>
        </is>
      </c>
      <c r="I53" t="n">
        <v>10.3</v>
      </c>
      <c r="J53" t="inlineStr">
        <is>
          <t>NO</t>
        </is>
      </c>
      <c r="K53" t="inlineStr">
        <is>
          <t>2026-02-26 00:15</t>
        </is>
      </c>
      <c r="L53" t="inlineStr">
        <is>
          <t>CHECK_VENDOR</t>
        </is>
      </c>
      <c r="M53" t="inlineStr">
        <is>
          <t>See CVE details</t>
        </is>
      </c>
      <c r="N53" t="inlineStr">
        <is>
          <t>P4</t>
        </is>
      </c>
      <c r="O53" t="inlineStr">
        <is>
          <t>CVE - IP enrichment n/a</t>
        </is>
      </c>
      <c r="P53" t="n">
        <v>0.0002</v>
      </c>
      <c r="Q53" t="n">
        <v>0.0324</v>
      </c>
      <c r="R53" t="inlineStr">
        <is>
          <t>T1190:Exploit Public-Facing Application</t>
        </is>
      </c>
      <c r="S53" t="n">
        <v>1</v>
      </c>
      <c r="T53" t="inlineStr">
        <is>
          <t>LOW (40%)</t>
        </is>
      </c>
      <c r="U53" t="inlineStr">
        <is>
          <t>UNLIKELY</t>
        </is>
      </c>
      <c r="V53" t="inlineStr">
        <is>
          <t>CHECK_VENDOR</t>
        </is>
      </c>
      <c r="W53" t="inlineStr">
        <is>
          <t>https://nvd.nist.gov/vuln/detail/CVE-2026-2676</t>
        </is>
      </c>
      <c r="X53" t="inlineStr">
        <is>
          <t>NONE</t>
        </is>
      </c>
      <c r="Y53" t="n">
        <v>0</v>
      </c>
      <c r="Z53" t="inlineStr"/>
      <c r="AA53" t="inlineStr">
        <is>
          <t>https://nvd.nist.gov/vuln/detail/CVE-2026-2676</t>
        </is>
      </c>
    </row>
    <row r="54">
      <c r="A54" t="inlineStr">
        <is>
          <t>CVE</t>
        </is>
      </c>
      <c r="B54" t="inlineStr">
        <is>
          <t>CVE-2026-2682</t>
        </is>
      </c>
      <c r="C54" t="inlineStr">
        <is>
          <t>A vulnerability has been found in Tsinghua Unigroup Electronic Archives System up to 3.2.210802(62532). Impacted is an unknown function of the file /mine/PublicReport/prinReport.html?token=java. Such manipulation of the argument comid leads to sql injection. The attack can be launched remotely. The exploit has been disclosed to the public and may be used. The vendor was contacted early about this disclosure but did not respond in any way.</t>
        </is>
      </c>
      <c r="D54" t="n">
        <v>6.3</v>
      </c>
      <c r="E54" t="inlineStr">
        <is>
          <t>MEDIUM</t>
        </is>
      </c>
      <c r="F54" t="n">
        <v>2</v>
      </c>
      <c r="G54" t="n">
        <v>2</v>
      </c>
      <c r="H54" t="inlineStr">
        <is>
          <t>MEDIUM</t>
        </is>
      </c>
      <c r="I54" t="n">
        <v>10.3</v>
      </c>
      <c r="J54" t="inlineStr">
        <is>
          <t>NO</t>
        </is>
      </c>
      <c r="K54" t="inlineStr">
        <is>
          <t>2026-02-26 00:15</t>
        </is>
      </c>
      <c r="L54" t="inlineStr">
        <is>
          <t>CHECK_VENDOR</t>
        </is>
      </c>
      <c r="M54" t="inlineStr">
        <is>
          <t>See CVE details</t>
        </is>
      </c>
      <c r="N54" t="inlineStr">
        <is>
          <t>P4</t>
        </is>
      </c>
      <c r="O54" t="inlineStr">
        <is>
          <t>CVE - IP enrichment n/a</t>
        </is>
      </c>
      <c r="P54" t="n">
        <v>0</v>
      </c>
      <c r="Q54" t="n">
        <v>0</v>
      </c>
      <c r="R54" t="inlineStr">
        <is>
          <t>T1190:Exploit Public-Facing Application</t>
        </is>
      </c>
      <c r="S54" t="n">
        <v>1</v>
      </c>
      <c r="T54" t="inlineStr">
        <is>
          <t>LOW (40%)</t>
        </is>
      </c>
      <c r="U54" t="inlineStr">
        <is>
          <t>UNLIKELY</t>
        </is>
      </c>
      <c r="V54" t="inlineStr">
        <is>
          <t>CHECK_VENDOR</t>
        </is>
      </c>
      <c r="W54" t="inlineStr">
        <is>
          <t>https://nvd.nist.gov/vuln/detail/CVE-2026-2682</t>
        </is>
      </c>
      <c r="X54" t="inlineStr">
        <is>
          <t>NONE</t>
        </is>
      </c>
      <c r="Y54" t="n">
        <v>0</v>
      </c>
      <c r="Z54" t="inlineStr"/>
      <c r="AA54" t="inlineStr">
        <is>
          <t>https://nvd.nist.gov/vuln/detail/CVE-2026-2682</t>
        </is>
      </c>
    </row>
    <row r="55">
      <c r="A55" t="inlineStr">
        <is>
          <t>CVE</t>
        </is>
      </c>
      <c r="B55" t="inlineStr">
        <is>
          <t>CVE-2026-2683</t>
        </is>
      </c>
      <c r="C55" t="inlineStr">
        <is>
          <t>A vulnerability was found in Tsinghua Unigroup Electronic Archives System 3.2.210802(62532). The affected element is an unknown function of the file /Using/Subject/downLoad.html. Performing a manipulation of the argument path results in path traversal. The attack may be initiated remotely. The exploit has been made public and could be used. The vendor was contacted early about this disclosure but did not respond in any way.</t>
        </is>
      </c>
      <c r="D55" t="n">
        <v>4.3</v>
      </c>
      <c r="E55" t="inlineStr">
        <is>
          <t>MEDIUM</t>
        </is>
      </c>
      <c r="F55" t="n">
        <v>2</v>
      </c>
      <c r="G55" t="n">
        <v>2</v>
      </c>
      <c r="H55" t="inlineStr">
        <is>
          <t>MEDIUM</t>
        </is>
      </c>
      <c r="I55" t="n">
        <v>8.300000000000001</v>
      </c>
      <c r="J55" t="inlineStr">
        <is>
          <t>NO</t>
        </is>
      </c>
      <c r="K55" t="inlineStr">
        <is>
          <t>2026-02-26 00:15</t>
        </is>
      </c>
      <c r="L55" t="inlineStr">
        <is>
          <t>CHECK_VENDOR</t>
        </is>
      </c>
      <c r="M55" t="inlineStr">
        <is>
          <t>See CVE details</t>
        </is>
      </c>
      <c r="N55" t="inlineStr">
        <is>
          <t>P4</t>
        </is>
      </c>
      <c r="O55" t="inlineStr">
        <is>
          <t>CVE - IP enrichment n/a</t>
        </is>
      </c>
      <c r="P55" t="n">
        <v>0</v>
      </c>
      <c r="Q55" t="n">
        <v>0</v>
      </c>
      <c r="R55" t="inlineStr">
        <is>
          <t>T1083:File and Directory Discovery</t>
        </is>
      </c>
      <c r="S55" t="n">
        <v>1</v>
      </c>
      <c r="T55" t="inlineStr">
        <is>
          <t>LOW (40%)</t>
        </is>
      </c>
      <c r="U55" t="inlineStr">
        <is>
          <t>UNLIKELY</t>
        </is>
      </c>
      <c r="V55" t="inlineStr">
        <is>
          <t>CHECK_VENDOR</t>
        </is>
      </c>
      <c r="W55" t="inlineStr">
        <is>
          <t>https://nvd.nist.gov/vuln/detail/CVE-2026-2683</t>
        </is>
      </c>
      <c r="X55" t="inlineStr">
        <is>
          <t>NONE</t>
        </is>
      </c>
      <c r="Y55" t="n">
        <v>0</v>
      </c>
      <c r="Z55" t="inlineStr"/>
      <c r="AA55" t="inlineStr">
        <is>
          <t>https://nvd.nist.gov/vuln/detail/CVE-2026-2683</t>
        </is>
      </c>
    </row>
    <row r="56">
      <c r="A56" t="inlineStr">
        <is>
          <t>CVE</t>
        </is>
      </c>
      <c r="B56" t="inlineStr">
        <is>
          <t>CVE-2025-15585</t>
        </is>
      </c>
      <c r="C56" t="inlineStr">
        <is>
          <t>Fileflows versions before 25.05.2 are affected by an authenticated SQL injection vulnerability in the library-file search function. Successful exploitation requires the system to use MySQL as the underlying database and could result in privilege escalation or data exfiltration.</t>
        </is>
      </c>
      <c r="D56" t="n">
        <v>5</v>
      </c>
      <c r="E56" t="inlineStr">
        <is>
          <t>MEDIUM</t>
        </is>
      </c>
      <c r="F56" t="n">
        <v>2</v>
      </c>
      <c r="G56" t="n">
        <v>2</v>
      </c>
      <c r="H56" t="inlineStr">
        <is>
          <t>MEDIUM</t>
        </is>
      </c>
      <c r="I56" t="n">
        <v>9</v>
      </c>
      <c r="J56" t="inlineStr">
        <is>
          <t>NO</t>
        </is>
      </c>
      <c r="K56" t="inlineStr">
        <is>
          <t>2026-02-26 00:15</t>
        </is>
      </c>
      <c r="L56" t="inlineStr">
        <is>
          <t>CHECK_VENDOR</t>
        </is>
      </c>
      <c r="M56" t="inlineStr">
        <is>
          <t>See CVE details</t>
        </is>
      </c>
      <c r="N56" t="inlineStr">
        <is>
          <t>P4</t>
        </is>
      </c>
      <c r="O56" t="inlineStr">
        <is>
          <t>CVE - IP enrichment n/a</t>
        </is>
      </c>
      <c r="P56" t="n">
        <v>0</v>
      </c>
      <c r="Q56" t="n">
        <v>0</v>
      </c>
      <c r="R56" t="inlineStr">
        <is>
          <t>T1190:Exploit Public-Facing Application | T1068:Exploitation for Privilege Escalation | T1041:Exfiltration Over C2 Channel</t>
        </is>
      </c>
      <c r="S56" t="n">
        <v>1</v>
      </c>
      <c r="T56" t="inlineStr">
        <is>
          <t>LOW (40%)</t>
        </is>
      </c>
      <c r="U56" t="inlineStr">
        <is>
          <t>UNLIKELY</t>
        </is>
      </c>
      <c r="V56" t="inlineStr">
        <is>
          <t>CHECK_VENDOR</t>
        </is>
      </c>
      <c r="W56" t="inlineStr">
        <is>
          <t>https://nvd.nist.gov/vuln/detail/CVE-2025-15585</t>
        </is>
      </c>
      <c r="X56" t="inlineStr">
        <is>
          <t>NONE</t>
        </is>
      </c>
      <c r="Y56" t="n">
        <v>0</v>
      </c>
      <c r="Z56" t="inlineStr"/>
      <c r="AA56" t="inlineStr">
        <is>
          <t>https://nvd.nist.gov/vuln/detail/CVE-2025-15585</t>
        </is>
      </c>
    </row>
    <row r="57">
      <c r="A57" t="inlineStr">
        <is>
          <t>CVE</t>
        </is>
      </c>
      <c r="B57" t="inlineStr">
        <is>
          <t>CVE-2026-24126</t>
        </is>
      </c>
      <c r="C57" t="inlineStr">
        <is>
          <t>Weblate is a web based localization tool. Prior to 5.16.0, the SSH management console did not validate the passed input while adding the SSH host key, which could lead to an argument injection to `ssh-add`. Version 5.16.0 fixes the issue. As a workaround, properly limit access to the management console.</t>
        </is>
      </c>
      <c r="D57" t="n">
        <v>6.6</v>
      </c>
      <c r="E57" t="inlineStr">
        <is>
          <t>MEDIUM</t>
        </is>
      </c>
      <c r="F57" t="n">
        <v>2</v>
      </c>
      <c r="G57" t="n">
        <v>2</v>
      </c>
      <c r="H57" t="inlineStr">
        <is>
          <t>MEDIUM</t>
        </is>
      </c>
      <c r="I57" t="n">
        <v>10.6</v>
      </c>
      <c r="J57" t="inlineStr">
        <is>
          <t>NO</t>
        </is>
      </c>
      <c r="K57" t="inlineStr">
        <is>
          <t>2026-02-26 00:15</t>
        </is>
      </c>
      <c r="L57" t="inlineStr">
        <is>
          <t>YES</t>
        </is>
      </c>
      <c r="M57" t="inlineStr">
        <is>
          <t>weblate weblate *</t>
        </is>
      </c>
      <c r="N57" t="inlineStr">
        <is>
          <t>P4</t>
        </is>
      </c>
      <c r="O57" t="inlineStr">
        <is>
          <t>CVE - IP enrichment n/a</t>
        </is>
      </c>
      <c r="P57" t="n">
        <v>0</v>
      </c>
      <c r="Q57" t="n">
        <v>0</v>
      </c>
      <c r="R57" t="inlineStr">
        <is>
          <t>T1190:Exploit Public-Facing Application</t>
        </is>
      </c>
      <c r="S57" t="n">
        <v>1</v>
      </c>
      <c r="T57" t="inlineStr">
        <is>
          <t>LOW (40%)</t>
        </is>
      </c>
      <c r="U57" t="inlineStr">
        <is>
          <t>UNLIKELY</t>
        </is>
      </c>
      <c r="V57" t="inlineStr">
        <is>
          <t>PATCH_AVAILABLE</t>
        </is>
      </c>
      <c r="W57" t="inlineStr">
        <is>
          <t>https://nvd.nist.gov/vuln/detail/CVE-2026-24126</t>
        </is>
      </c>
      <c r="X57" t="inlineStr">
        <is>
          <t>NONE</t>
        </is>
      </c>
      <c r="Y57" t="n">
        <v>0</v>
      </c>
      <c r="Z57" t="inlineStr"/>
      <c r="AA57" t="inlineStr">
        <is>
          <t>https://nvd.nist.gov/vuln/detail/CVE-2026-24126</t>
        </is>
      </c>
    </row>
    <row r="58">
      <c r="A58" t="inlineStr">
        <is>
          <t>CVE</t>
        </is>
      </c>
      <c r="B58" t="inlineStr">
        <is>
          <t>CVE-2026-25926</t>
        </is>
      </c>
      <c r="C58" t="inlineStr">
        <is>
          <t>Notepad++ is a free and open-source source code editor. An Unsafe Search Path vulnerability (CWE-426) exists in versions prior to 8.9.2 when launching Windows Explorer without an absolute executable path. This may allow execution of a malicious explorer.exe if an attacker can control the process working directory. Under certain conditions, this could lead to arbitrary code execution in the context of the running application. Version 8.9.2 patches the issue.</t>
        </is>
      </c>
      <c r="D58" t="n">
        <v>7.3</v>
      </c>
      <c r="E58" t="inlineStr">
        <is>
          <t>HIGH</t>
        </is>
      </c>
      <c r="F58" t="n">
        <v>2</v>
      </c>
      <c r="G58" t="n">
        <v>3</v>
      </c>
      <c r="H58" t="inlineStr">
        <is>
          <t>HIGH</t>
        </is>
      </c>
      <c r="I58" t="n">
        <v>13.3</v>
      </c>
      <c r="J58" t="inlineStr">
        <is>
          <t>NO</t>
        </is>
      </c>
      <c r="K58" t="inlineStr">
        <is>
          <t>2026-02-26 00:15</t>
        </is>
      </c>
      <c r="L58" t="inlineStr">
        <is>
          <t>YES</t>
        </is>
      </c>
      <c r="M58" t="inlineStr">
        <is>
          <t>notepad-plus-plus notepad\+\+ *</t>
        </is>
      </c>
      <c r="N58" t="inlineStr">
        <is>
          <t>P2</t>
        </is>
      </c>
      <c r="O58" t="inlineStr">
        <is>
          <t>CVE - IP enrichment n/a</t>
        </is>
      </c>
      <c r="P58" t="n">
        <v>0</v>
      </c>
      <c r="Q58" t="n">
        <v>0</v>
      </c>
      <c r="R58" t="inlineStr">
        <is>
          <t>T1190:Exploit Public-Facing Application | T1203:Exploitation for Client Execution</t>
        </is>
      </c>
      <c r="S58" t="n">
        <v>2</v>
      </c>
      <c r="T58" t="inlineStr">
        <is>
          <t>HIGH (72%)</t>
        </is>
      </c>
      <c r="U58" t="inlineStr">
        <is>
          <t>POSSIBLE</t>
        </is>
      </c>
      <c r="V58" t="inlineStr">
        <is>
          <t>PATCH_AVAILABLE</t>
        </is>
      </c>
      <c r="W58" t="inlineStr">
        <is>
          <t>https://nvd.nist.gov/vuln/detail/CVE-2026-25926</t>
        </is>
      </c>
      <c r="X58" t="inlineStr">
        <is>
          <t>NONE</t>
        </is>
      </c>
      <c r="Y58" t="n">
        <v>3.65</v>
      </c>
      <c r="Z58" t="inlineStr"/>
      <c r="AA58" t="inlineStr">
        <is>
          <t>https://nvd.nist.gov/vuln/detail/CVE-2026-25926</t>
        </is>
      </c>
    </row>
    <row r="59">
      <c r="A59" t="inlineStr">
        <is>
          <t>CVE</t>
        </is>
      </c>
      <c r="B59" t="inlineStr">
        <is>
          <t>CVE-2026-2684</t>
        </is>
      </c>
      <c r="C59" t="inlineStr">
        <is>
          <t>A vulnerability was determined in Tsinghua Unigroup Electronic Archives System up to 3.2.210802(62532). The impacted element is an unknown function of the file /Archive/ErecordManage/uploadFile.html. Executing a manipulation of the argument File can lead to unrestricted upload. The attack may be launched remotely. The exploit has been publicly disclosed and may be utilized. The vendor was contacted early about this disclosure but did not respond in any way.</t>
        </is>
      </c>
      <c r="D59" t="n">
        <v>7.3</v>
      </c>
      <c r="E59" t="inlineStr">
        <is>
          <t>HIGH</t>
        </is>
      </c>
      <c r="F59" t="n">
        <v>2</v>
      </c>
      <c r="G59" t="n">
        <v>3</v>
      </c>
      <c r="H59" t="inlineStr">
        <is>
          <t>HIGH</t>
        </is>
      </c>
      <c r="I59" t="n">
        <v>13.3</v>
      </c>
      <c r="J59" t="inlineStr">
        <is>
          <t>NO</t>
        </is>
      </c>
      <c r="K59" t="inlineStr">
        <is>
          <t>2026-02-26 00:15</t>
        </is>
      </c>
      <c r="L59" t="inlineStr">
        <is>
          <t>CHECK_VENDOR</t>
        </is>
      </c>
      <c r="M59" t="inlineStr">
        <is>
          <t>See CVE details</t>
        </is>
      </c>
      <c r="N59" t="inlineStr">
        <is>
          <t>P2</t>
        </is>
      </c>
      <c r="O59" t="inlineStr">
        <is>
          <t>CVE - IP enrichment n/a</t>
        </is>
      </c>
      <c r="P59" t="n">
        <v>0</v>
      </c>
      <c r="Q59" t="n">
        <v>0</v>
      </c>
      <c r="R59" t="inlineStr">
        <is>
          <t>T1190:Exploit Public-Facing Application</t>
        </is>
      </c>
      <c r="S59" t="n">
        <v>2</v>
      </c>
      <c r="T59" t="inlineStr">
        <is>
          <t>HIGH (72%)</t>
        </is>
      </c>
      <c r="U59" t="inlineStr">
        <is>
          <t>POSSIBLE</t>
        </is>
      </c>
      <c r="V59" t="inlineStr">
        <is>
          <t>CHECK_VENDOR</t>
        </is>
      </c>
      <c r="W59" t="inlineStr">
        <is>
          <t>https://nvd.nist.gov/vuln/detail/CVE-2026-2684</t>
        </is>
      </c>
      <c r="X59" t="inlineStr">
        <is>
          <t>NONE</t>
        </is>
      </c>
      <c r="Y59" t="n">
        <v>3.65</v>
      </c>
      <c r="Z59" t="inlineStr"/>
      <c r="AA59" t="inlineStr">
        <is>
          <t>https://nvd.nist.gov/vuln/detail/CVE-2026-2684</t>
        </is>
      </c>
    </row>
    <row r="60">
      <c r="A60" t="inlineStr">
        <is>
          <t>CVE</t>
        </is>
      </c>
      <c r="B60" t="inlineStr">
        <is>
          <t>CVE-2026-2686</t>
        </is>
      </c>
      <c r="C60" t="inlineStr">
        <is>
          <t>A security vulnerability has been detected in SECCN Dingcheng G10 3.1.0.181203. This impacts the function qq of the file /cgi-bin/session_login.cgi. The manipulation of the argument User leads to os command injection. The attack is possible to be carried out remotely. The exploit has been disclosed publicly and may be used.</t>
        </is>
      </c>
      <c r="D60" t="n">
        <v>9.800000000000001</v>
      </c>
      <c r="E60" t="inlineStr">
        <is>
          <t>CRITICAL</t>
        </is>
      </c>
      <c r="F60" t="n">
        <v>3</v>
      </c>
      <c r="G60" t="n">
        <v>3</v>
      </c>
      <c r="H60" t="inlineStr">
        <is>
          <t>CRITICAL</t>
        </is>
      </c>
      <c r="I60" t="n">
        <v>18.8</v>
      </c>
      <c r="J60" t="inlineStr">
        <is>
          <t>NO</t>
        </is>
      </c>
      <c r="K60" t="inlineStr">
        <is>
          <t>2026-02-26 00:15</t>
        </is>
      </c>
      <c r="L60" t="inlineStr">
        <is>
          <t>CHECK_VENDOR</t>
        </is>
      </c>
      <c r="M60" t="inlineStr">
        <is>
          <t>See CVE details</t>
        </is>
      </c>
      <c r="N60" t="inlineStr">
        <is>
          <t>P2</t>
        </is>
      </c>
      <c r="O60" t="inlineStr">
        <is>
          <t>CVE - IP enrichment n/a</t>
        </is>
      </c>
      <c r="P60" t="n">
        <v>0</v>
      </c>
      <c r="Q60" t="n">
        <v>0</v>
      </c>
      <c r="R60" t="inlineStr">
        <is>
          <t>T1059:Command and Scripting Interpreter</t>
        </is>
      </c>
      <c r="S60" t="n">
        <v>2</v>
      </c>
      <c r="T60" t="inlineStr">
        <is>
          <t>HIGH (72%)</t>
        </is>
      </c>
      <c r="U60" t="inlineStr">
        <is>
          <t>CONFIRMED</t>
        </is>
      </c>
      <c r="V60" t="inlineStr">
        <is>
          <t>CHECK_VENDOR</t>
        </is>
      </c>
      <c r="W60" t="inlineStr">
        <is>
          <t>https://nvd.nist.gov/vuln/detail/CVE-2026-2686</t>
        </is>
      </c>
      <c r="X60" t="inlineStr">
        <is>
          <t>NONE</t>
        </is>
      </c>
      <c r="Y60" t="n">
        <v>4.9</v>
      </c>
      <c r="Z60" t="inlineStr"/>
      <c r="AA60" t="inlineStr">
        <is>
          <t>https://nvd.nist.gov/vuln/detail/CVE-2026-2686</t>
        </is>
      </c>
    </row>
    <row r="61">
      <c r="A61" t="inlineStr">
        <is>
          <t>CVE</t>
        </is>
      </c>
      <c r="B61" t="inlineStr">
        <is>
          <t>CVE-2025-11706</t>
        </is>
      </c>
      <c r="C61" t="inlineStr">
        <is>
          <t>The Aruba HiSpeed Cache plugin for WordPress is vulnerable to Reflected Cross-Site Scripting via the dbstatus parameter in all versions up to, and including, 3.0.2 due to insufficient input sanitization and output escaping. This makes it possible for unauthenticated attackers to inject arbitrary web scripts in pages that execute if they can successfully trick a user into performing an action such as clicking on a link.</t>
        </is>
      </c>
      <c r="D61" t="n">
        <v>6.1</v>
      </c>
      <c r="E61" t="inlineStr">
        <is>
          <t>MEDIUM</t>
        </is>
      </c>
      <c r="F61" t="n">
        <v>2</v>
      </c>
      <c r="G61" t="n">
        <v>2</v>
      </c>
      <c r="H61" t="inlineStr">
        <is>
          <t>MEDIUM</t>
        </is>
      </c>
      <c r="I61" t="n">
        <v>10.1</v>
      </c>
      <c r="J61" t="inlineStr">
        <is>
          <t>NO</t>
        </is>
      </c>
      <c r="K61" t="inlineStr">
        <is>
          <t>2026-02-26 00:15</t>
        </is>
      </c>
      <c r="L61" t="inlineStr">
        <is>
          <t>CHECK_VENDOR</t>
        </is>
      </c>
      <c r="M61" t="inlineStr">
        <is>
          <t>See CVE details</t>
        </is>
      </c>
      <c r="N61" t="inlineStr">
        <is>
          <t>P4</t>
        </is>
      </c>
      <c r="O61" t="inlineStr">
        <is>
          <t>CVE - IP enrichment n/a</t>
        </is>
      </c>
      <c r="P61" t="n">
        <v>0</v>
      </c>
      <c r="Q61" t="n">
        <v>0</v>
      </c>
      <c r="R61" t="inlineStr">
        <is>
          <t>T1189:Drive-by Compromise</t>
        </is>
      </c>
      <c r="S61" t="n">
        <v>1</v>
      </c>
      <c r="T61" t="inlineStr">
        <is>
          <t>LOW (40%)</t>
        </is>
      </c>
      <c r="U61" t="inlineStr">
        <is>
          <t>UNLIKELY</t>
        </is>
      </c>
      <c r="V61" t="inlineStr">
        <is>
          <t>CHECK_VENDOR</t>
        </is>
      </c>
      <c r="W61" t="inlineStr">
        <is>
          <t>https://nvd.nist.gov/vuln/detail/CVE-2025-11706</t>
        </is>
      </c>
      <c r="X61" t="inlineStr">
        <is>
          <t>NONE</t>
        </is>
      </c>
      <c r="Y61" t="n">
        <v>0</v>
      </c>
      <c r="Z61" t="inlineStr"/>
      <c r="AA61" t="inlineStr">
        <is>
          <t>https://nvd.nist.gov/vuln/detail/CVE-2025-11706</t>
        </is>
      </c>
    </row>
    <row r="62">
      <c r="A62" t="inlineStr">
        <is>
          <t>CVE</t>
        </is>
      </c>
      <c r="B62" t="inlineStr">
        <is>
          <t>CVE-2025-11725</t>
        </is>
      </c>
      <c r="C62" t="inlineStr">
        <is>
          <t>The Aruba HiSpeed Cache plugin for WordPress is vulnerable to unauthorized modification of data due to a missing capability checks on the multiple functions in all versions up to, and including, 3.0.2. This makes it possible for unauthenticated attackers to modify plugin's configuration settings, enable or disable features, as well as enable/disable WordPress cron jobs or debug mode</t>
        </is>
      </c>
      <c r="D62" t="n">
        <v>6.5</v>
      </c>
      <c r="E62" t="inlineStr">
        <is>
          <t>MEDIUM</t>
        </is>
      </c>
      <c r="F62" t="n">
        <v>2</v>
      </c>
      <c r="G62" t="n">
        <v>2</v>
      </c>
      <c r="H62" t="inlineStr">
        <is>
          <t>MEDIUM</t>
        </is>
      </c>
      <c r="I62" t="n">
        <v>10.5</v>
      </c>
      <c r="J62" t="inlineStr">
        <is>
          <t>NO</t>
        </is>
      </c>
      <c r="K62" t="inlineStr">
        <is>
          <t>2026-02-26 00:15</t>
        </is>
      </c>
      <c r="L62" t="inlineStr">
        <is>
          <t>CHECK_VENDOR</t>
        </is>
      </c>
      <c r="M62" t="inlineStr">
        <is>
          <t>See CVE details</t>
        </is>
      </c>
      <c r="N62" t="inlineStr">
        <is>
          <t>P4</t>
        </is>
      </c>
      <c r="O62" t="inlineStr">
        <is>
          <t>CVE - IP enrichment n/a</t>
        </is>
      </c>
      <c r="P62" t="n">
        <v>0</v>
      </c>
      <c r="Q62" t="n">
        <v>0</v>
      </c>
      <c r="R62" t="inlineStr">
        <is>
          <t>T1190:Exploit Public-Facing Application</t>
        </is>
      </c>
      <c r="S62" t="n">
        <v>1</v>
      </c>
      <c r="T62" t="inlineStr">
        <is>
          <t>LOW (40%)</t>
        </is>
      </c>
      <c r="U62" t="inlineStr">
        <is>
          <t>UNLIKELY</t>
        </is>
      </c>
      <c r="V62" t="inlineStr">
        <is>
          <t>CHECK_VENDOR</t>
        </is>
      </c>
      <c r="W62" t="inlineStr">
        <is>
          <t>https://nvd.nist.gov/vuln/detail/CVE-2025-11725</t>
        </is>
      </c>
      <c r="X62" t="inlineStr">
        <is>
          <t>NONE</t>
        </is>
      </c>
      <c r="Y62" t="n">
        <v>0</v>
      </c>
      <c r="Z62" t="inlineStr"/>
      <c r="AA62" t="inlineStr">
        <is>
          <t>https://nvd.nist.gov/vuln/detail/CVE-2025-11725</t>
        </is>
      </c>
    </row>
    <row r="63">
      <c r="A63" t="inlineStr">
        <is>
          <t>CVE</t>
        </is>
      </c>
      <c r="B63" t="inlineStr">
        <is>
          <t>CVE-2025-11754</t>
        </is>
      </c>
      <c r="C63" t="inlineStr">
        <is>
          <t>The GDPR Cookie Consent plugin for WordPress is vulnerable to unauthorized access of data due to a missing capability check on the 'gdpr/v1/settings' REST API endpoint in all versions up to, and including, 4.1.2. This makes it possible for unauthenticated attackers to retrieve sensitive plugin settings including API tokens, email addresses, account IDs, and site keys.</t>
        </is>
      </c>
      <c r="D63" t="n">
        <v>7.5</v>
      </c>
      <c r="E63" t="inlineStr">
        <is>
          <t>HIGH</t>
        </is>
      </c>
      <c r="F63" t="n">
        <v>2</v>
      </c>
      <c r="G63" t="n">
        <v>3</v>
      </c>
      <c r="H63" t="inlineStr">
        <is>
          <t>HIGH</t>
        </is>
      </c>
      <c r="I63" t="n">
        <v>13.5</v>
      </c>
      <c r="J63" t="inlineStr">
        <is>
          <t>NO</t>
        </is>
      </c>
      <c r="K63" t="inlineStr">
        <is>
          <t>2026-02-26 00:15</t>
        </is>
      </c>
      <c r="L63" t="inlineStr">
        <is>
          <t>CHECK_VENDOR</t>
        </is>
      </c>
      <c r="M63" t="inlineStr">
        <is>
          <t>See CVE details</t>
        </is>
      </c>
      <c r="N63" t="inlineStr">
        <is>
          <t>P2</t>
        </is>
      </c>
      <c r="O63" t="inlineStr">
        <is>
          <t>CVE - IP enrichment n/a</t>
        </is>
      </c>
      <c r="P63" t="n">
        <v>0</v>
      </c>
      <c r="Q63" t="n">
        <v>0</v>
      </c>
      <c r="R63" t="inlineStr">
        <is>
          <t>T1190:Exploit Public-Facing Application</t>
        </is>
      </c>
      <c r="S63" t="n">
        <v>2</v>
      </c>
      <c r="T63" t="inlineStr">
        <is>
          <t>HIGH (72%)</t>
        </is>
      </c>
      <c r="U63" t="inlineStr">
        <is>
          <t>POSSIBLE</t>
        </is>
      </c>
      <c r="V63" t="inlineStr">
        <is>
          <t>CHECK_VENDOR</t>
        </is>
      </c>
      <c r="W63" t="inlineStr">
        <is>
          <t>https://nvd.nist.gov/vuln/detail/CVE-2025-11754</t>
        </is>
      </c>
      <c r="X63" t="inlineStr">
        <is>
          <t>NONE</t>
        </is>
      </c>
      <c r="Y63" t="n">
        <v>3.75</v>
      </c>
      <c r="Z63" t="inlineStr"/>
      <c r="AA63" t="inlineStr">
        <is>
          <t>https://nvd.nist.gov/vuln/detail/CVE-2025-11754</t>
        </is>
      </c>
    </row>
    <row r="64">
      <c r="A64" t="inlineStr">
        <is>
          <t>CVE</t>
        </is>
      </c>
      <c r="B64" t="inlineStr">
        <is>
          <t>CVE-2025-12027</t>
        </is>
      </c>
      <c r="C64" t="inlineStr">
        <is>
          <t>The Mesmerize Companion plugin for WordPress is vulnerable to unauthorized access and modification of data due to a missing capability check on the "openPageInCustomizer" and "openPageInDefaultEditor" functions in all versions up to, and including, 1.6.158. This makes it possible for authenticated attackers - with subscriber level access and above, on websites with the Mesmerize theme activated -  to mark arbitrary pages as maintainable, wrap their content in custom sections, change page templat</t>
        </is>
      </c>
      <c r="D64" t="n">
        <v>4.3</v>
      </c>
      <c r="E64" t="inlineStr">
        <is>
          <t>MEDIUM</t>
        </is>
      </c>
      <c r="F64" t="n">
        <v>2</v>
      </c>
      <c r="G64" t="n">
        <v>2</v>
      </c>
      <c r="H64" t="inlineStr">
        <is>
          <t>MEDIUM</t>
        </is>
      </c>
      <c r="I64" t="n">
        <v>8.300000000000001</v>
      </c>
      <c r="J64" t="inlineStr">
        <is>
          <t>NO</t>
        </is>
      </c>
      <c r="K64" t="inlineStr">
        <is>
          <t>2026-02-26 00:15</t>
        </is>
      </c>
      <c r="L64" t="inlineStr">
        <is>
          <t>CHECK_VENDOR</t>
        </is>
      </c>
      <c r="M64" t="inlineStr">
        <is>
          <t>See CVE details</t>
        </is>
      </c>
      <c r="N64" t="inlineStr">
        <is>
          <t>P4</t>
        </is>
      </c>
      <c r="O64" t="inlineStr">
        <is>
          <t>CVE - IP enrichment n/a</t>
        </is>
      </c>
      <c r="P64" t="n">
        <v>0</v>
      </c>
      <c r="Q64" t="n">
        <v>0</v>
      </c>
      <c r="R64" t="inlineStr">
        <is>
          <t>T1190:Exploit Public-Facing Application</t>
        </is>
      </c>
      <c r="S64" t="n">
        <v>1</v>
      </c>
      <c r="T64" t="inlineStr">
        <is>
          <t>LOW (40%)</t>
        </is>
      </c>
      <c r="U64" t="inlineStr">
        <is>
          <t>UNLIKELY</t>
        </is>
      </c>
      <c r="V64" t="inlineStr">
        <is>
          <t>CHECK_VENDOR</t>
        </is>
      </c>
      <c r="W64" t="inlineStr">
        <is>
          <t>https://nvd.nist.gov/vuln/detail/CVE-2025-12027</t>
        </is>
      </c>
      <c r="X64" t="inlineStr">
        <is>
          <t>NONE</t>
        </is>
      </c>
      <c r="Y64" t="n">
        <v>0</v>
      </c>
      <c r="Z64" t="inlineStr"/>
      <c r="AA64" t="inlineStr">
        <is>
          <t>https://nvd.nist.gov/vuln/detail/CVE-2025-12027</t>
        </is>
      </c>
    </row>
    <row r="65">
      <c r="A65" t="inlineStr">
        <is>
          <t>CVE</t>
        </is>
      </c>
      <c r="B65" t="inlineStr">
        <is>
          <t>CVE-2025-12081</t>
        </is>
      </c>
      <c r="C65" t="inlineStr">
        <is>
          <t>The ACF Photo Gallery Field plugin for WordPress is vulnerable to unauthorized modification of data due to a missing capability check on the "acf_photo_gallery_edit_save" function in all versions up to, and including, 3.0. This makes it possible for authenticated attackers, with subscriber level access and above, to modify the title, caption, and custom metadata of arbitrary media attachments.</t>
        </is>
      </c>
      <c r="D65" t="n">
        <v>4.3</v>
      </c>
      <c r="E65" t="inlineStr">
        <is>
          <t>MEDIUM</t>
        </is>
      </c>
      <c r="F65" t="n">
        <v>2</v>
      </c>
      <c r="G65" t="n">
        <v>2</v>
      </c>
      <c r="H65" t="inlineStr">
        <is>
          <t>MEDIUM</t>
        </is>
      </c>
      <c r="I65" t="n">
        <v>8.300000000000001</v>
      </c>
      <c r="J65" t="inlineStr">
        <is>
          <t>NO</t>
        </is>
      </c>
      <c r="K65" t="inlineStr">
        <is>
          <t>2026-02-26 00:15</t>
        </is>
      </c>
      <c r="L65" t="inlineStr">
        <is>
          <t>CHECK_VENDOR</t>
        </is>
      </c>
      <c r="M65" t="inlineStr">
        <is>
          <t>See CVE details</t>
        </is>
      </c>
      <c r="N65" t="inlineStr">
        <is>
          <t>P4</t>
        </is>
      </c>
      <c r="O65" t="inlineStr">
        <is>
          <t>CVE - IP enrichment n/a</t>
        </is>
      </c>
      <c r="P65" t="n">
        <v>0</v>
      </c>
      <c r="Q65" t="n">
        <v>0</v>
      </c>
      <c r="R65" t="inlineStr">
        <is>
          <t>T1190:Exploit Public-Facing Application</t>
        </is>
      </c>
      <c r="S65" t="n">
        <v>1</v>
      </c>
      <c r="T65" t="inlineStr">
        <is>
          <t>LOW (40%)</t>
        </is>
      </c>
      <c r="U65" t="inlineStr">
        <is>
          <t>UNLIKELY</t>
        </is>
      </c>
      <c r="V65" t="inlineStr">
        <is>
          <t>CHECK_VENDOR</t>
        </is>
      </c>
      <c r="W65" t="inlineStr">
        <is>
          <t>https://nvd.nist.gov/vuln/detail/CVE-2025-12081</t>
        </is>
      </c>
      <c r="X65" t="inlineStr">
        <is>
          <t>NONE</t>
        </is>
      </c>
      <c r="Y65" t="n">
        <v>0</v>
      </c>
      <c r="Z65" t="inlineStr"/>
      <c r="AA65" t="inlineStr">
        <is>
          <t>https://nvd.nist.gov/vuln/detail/CVE-2025-12081</t>
        </is>
      </c>
    </row>
    <row r="66">
      <c r="A66" t="inlineStr">
        <is>
          <t>CVE</t>
        </is>
      </c>
      <c r="B66" t="inlineStr">
        <is>
          <t>CVE-2025-12116</t>
        </is>
      </c>
      <c r="C66" t="inlineStr">
        <is>
          <t>The Drift theme for WordPress is vulnerable to Stored Cross-Site Scripting via the post title in all versions up to, and including, 1.5.0 due to insufficient input sanitization and output escaping. This makes it possible for authenticated attackers, with Contributor-level access and above, to inject arbitrary web scripts in pages that will execute whenever a user accesses an injected page.</t>
        </is>
      </c>
      <c r="D66" t="n">
        <v>6.4</v>
      </c>
      <c r="E66" t="inlineStr">
        <is>
          <t>MEDIUM</t>
        </is>
      </c>
      <c r="F66" t="n">
        <v>2</v>
      </c>
      <c r="G66" t="n">
        <v>2</v>
      </c>
      <c r="H66" t="inlineStr">
        <is>
          <t>MEDIUM</t>
        </is>
      </c>
      <c r="I66" t="n">
        <v>10.4</v>
      </c>
      <c r="J66" t="inlineStr">
        <is>
          <t>NO</t>
        </is>
      </c>
      <c r="K66" t="inlineStr">
        <is>
          <t>2026-02-26 00:15</t>
        </is>
      </c>
      <c r="L66" t="inlineStr">
        <is>
          <t>CHECK_VENDOR</t>
        </is>
      </c>
      <c r="M66" t="inlineStr">
        <is>
          <t>See CVE details</t>
        </is>
      </c>
      <c r="N66" t="inlineStr">
        <is>
          <t>P4</t>
        </is>
      </c>
      <c r="O66" t="inlineStr">
        <is>
          <t>CVE - IP enrichment n/a</t>
        </is>
      </c>
      <c r="P66" t="n">
        <v>0</v>
      </c>
      <c r="Q66" t="n">
        <v>0</v>
      </c>
      <c r="R66" t="inlineStr">
        <is>
          <t>T1189:Drive-by Compromise</t>
        </is>
      </c>
      <c r="S66" t="n">
        <v>1</v>
      </c>
      <c r="T66" t="inlineStr">
        <is>
          <t>LOW (40%)</t>
        </is>
      </c>
      <c r="U66" t="inlineStr">
        <is>
          <t>UNLIKELY</t>
        </is>
      </c>
      <c r="V66" t="inlineStr">
        <is>
          <t>CHECK_VENDOR</t>
        </is>
      </c>
      <c r="W66" t="inlineStr">
        <is>
          <t>https://nvd.nist.gov/vuln/detail/CVE-2025-12116</t>
        </is>
      </c>
      <c r="X66" t="inlineStr">
        <is>
          <t>NONE</t>
        </is>
      </c>
      <c r="Y66" t="n">
        <v>0</v>
      </c>
      <c r="Z66" t="inlineStr"/>
      <c r="AA66" t="inlineStr">
        <is>
          <t>https://nvd.nist.gov/vuln/detail/CVE-2025-12116</t>
        </is>
      </c>
    </row>
    <row r="67">
      <c r="A67" t="inlineStr">
        <is>
          <t>CVE</t>
        </is>
      </c>
      <c r="B67" t="inlineStr">
        <is>
          <t>CVE-2025-12117</t>
        </is>
      </c>
      <c r="C67" t="inlineStr">
        <is>
          <t>The Renden theme for WordPress is vulnerable to Stored Cross-Site Scripting via the post title in all versions up to, and including, 1.8.1 due to insufficient input sanitization and output escaping. This makes it possible for authenticated attackers, with Contributor-level access and above, to inject arbitrary web scripts in pages that will execute whenever a user accesses an injected page.</t>
        </is>
      </c>
      <c r="D67" t="n">
        <v>6.4</v>
      </c>
      <c r="E67" t="inlineStr">
        <is>
          <t>MEDIUM</t>
        </is>
      </c>
      <c r="F67" t="n">
        <v>2</v>
      </c>
      <c r="G67" t="n">
        <v>2</v>
      </c>
      <c r="H67" t="inlineStr">
        <is>
          <t>MEDIUM</t>
        </is>
      </c>
      <c r="I67" t="n">
        <v>10.4</v>
      </c>
      <c r="J67" t="inlineStr">
        <is>
          <t>NO</t>
        </is>
      </c>
      <c r="K67" t="inlineStr">
        <is>
          <t>2026-02-26 00:15</t>
        </is>
      </c>
      <c r="L67" t="inlineStr">
        <is>
          <t>CHECK_VENDOR</t>
        </is>
      </c>
      <c r="M67" t="inlineStr">
        <is>
          <t>See CVE details</t>
        </is>
      </c>
      <c r="N67" t="inlineStr">
        <is>
          <t>P4</t>
        </is>
      </c>
      <c r="O67" t="inlineStr">
        <is>
          <t>CVE - IP enrichment n/a</t>
        </is>
      </c>
      <c r="P67" t="n">
        <v>0</v>
      </c>
      <c r="Q67" t="n">
        <v>0</v>
      </c>
      <c r="R67" t="inlineStr">
        <is>
          <t>T1189:Drive-by Compromise</t>
        </is>
      </c>
      <c r="S67" t="n">
        <v>1</v>
      </c>
      <c r="T67" t="inlineStr">
        <is>
          <t>LOW (40%)</t>
        </is>
      </c>
      <c r="U67" t="inlineStr">
        <is>
          <t>UNLIKELY</t>
        </is>
      </c>
      <c r="V67" t="inlineStr">
        <is>
          <t>CHECK_VENDOR</t>
        </is>
      </c>
      <c r="W67" t="inlineStr">
        <is>
          <t>https://nvd.nist.gov/vuln/detail/CVE-2025-12117</t>
        </is>
      </c>
      <c r="X67" t="inlineStr">
        <is>
          <t>NONE</t>
        </is>
      </c>
      <c r="Y67" t="n">
        <v>0</v>
      </c>
      <c r="Z67" t="inlineStr"/>
      <c r="AA67" t="inlineStr">
        <is>
          <t>https://nvd.nist.gov/vuln/detail/CVE-2025-12117</t>
        </is>
      </c>
    </row>
    <row r="68">
      <c r="A68" t="inlineStr">
        <is>
          <t>CVE</t>
        </is>
      </c>
      <c r="B68" t="inlineStr">
        <is>
          <t>CVE-2025-12172</t>
        </is>
      </c>
      <c r="C68" t="inlineStr">
        <is>
          <t>The Mailchimp List Subscribe Form plugin for WordPress is vulnerable to Cross-Site Request Forgery in all versions up to, and including, 2.0.0. This is due to missing or incorrect nonce validation on the mailchimp_sf_change_list_if_necessary() function. This makes it possible for unauthenticated attackers to change Mailchimp lists via a forged request granted they can trick a site administrator into performing an action such as clicking on a link.</t>
        </is>
      </c>
      <c r="D68" t="n">
        <v>4.3</v>
      </c>
      <c r="E68" t="inlineStr">
        <is>
          <t>MEDIUM</t>
        </is>
      </c>
      <c r="F68" t="n">
        <v>2</v>
      </c>
      <c r="G68" t="n">
        <v>2</v>
      </c>
      <c r="H68" t="inlineStr">
        <is>
          <t>MEDIUM</t>
        </is>
      </c>
      <c r="I68" t="n">
        <v>8.300000000000001</v>
      </c>
      <c r="J68" t="inlineStr">
        <is>
          <t>NO</t>
        </is>
      </c>
      <c r="K68" t="inlineStr">
        <is>
          <t>2026-02-26 00:15</t>
        </is>
      </c>
      <c r="L68" t="inlineStr">
        <is>
          <t>CHECK_VENDOR</t>
        </is>
      </c>
      <c r="M68" t="inlineStr">
        <is>
          <t>See CVE details</t>
        </is>
      </c>
      <c r="N68" t="inlineStr">
        <is>
          <t>P4</t>
        </is>
      </c>
      <c r="O68" t="inlineStr">
        <is>
          <t>CVE - IP enrichment n/a</t>
        </is>
      </c>
      <c r="P68" t="n">
        <v>0.0001</v>
      </c>
      <c r="Q68" t="n">
        <v>0.0238</v>
      </c>
      <c r="R68" t="inlineStr">
        <is>
          <t>T1185:Browser Session Hijacking</t>
        </is>
      </c>
      <c r="S68" t="n">
        <v>1</v>
      </c>
      <c r="T68" t="inlineStr">
        <is>
          <t>LOW (40%)</t>
        </is>
      </c>
      <c r="U68" t="inlineStr">
        <is>
          <t>UNLIKELY</t>
        </is>
      </c>
      <c r="V68" t="inlineStr">
        <is>
          <t>CHECK_VENDOR</t>
        </is>
      </c>
      <c r="W68" t="inlineStr">
        <is>
          <t>https://nvd.nist.gov/vuln/detail/CVE-2025-12172</t>
        </is>
      </c>
      <c r="X68" t="inlineStr">
        <is>
          <t>NONE</t>
        </is>
      </c>
      <c r="Y68" t="n">
        <v>0</v>
      </c>
      <c r="Z68" t="inlineStr"/>
      <c r="AA68" t="inlineStr">
        <is>
          <t>https://nvd.nist.gov/vuln/detail/CVE-2025-12172</t>
        </is>
      </c>
    </row>
    <row r="69">
      <c r="A69" t="inlineStr">
        <is>
          <t>CVE</t>
        </is>
      </c>
      <c r="B69" t="inlineStr">
        <is>
          <t>CVE-2025-12375</t>
        </is>
      </c>
      <c r="C69" t="inlineStr">
        <is>
          <t>The Printful Integration for WooCommerce plugin for WordPress is vulnerable to Server-Side Request Forgery in all versions up to, and including, 2.2.11 via the advanced size chart REST API endpoint. This is due to insufficient validation of user-supplied URLs before passing them to the download_url() function. This makes it possible for authenticated attackers, with Contributor-level access and above, to make web requests to arbitrary locations originating from the web application which can be u</t>
        </is>
      </c>
      <c r="D69" t="n">
        <v>6.4</v>
      </c>
      <c r="E69" t="inlineStr">
        <is>
          <t>MEDIUM</t>
        </is>
      </c>
      <c r="F69" t="n">
        <v>2</v>
      </c>
      <c r="G69" t="n">
        <v>2</v>
      </c>
      <c r="H69" t="inlineStr">
        <is>
          <t>MEDIUM</t>
        </is>
      </c>
      <c r="I69" t="n">
        <v>10.4</v>
      </c>
      <c r="J69" t="inlineStr">
        <is>
          <t>NO</t>
        </is>
      </c>
      <c r="K69" t="inlineStr">
        <is>
          <t>2026-02-26 00:15</t>
        </is>
      </c>
      <c r="L69" t="inlineStr">
        <is>
          <t>CHECK_VENDOR</t>
        </is>
      </c>
      <c r="M69" t="inlineStr">
        <is>
          <t>See CVE details</t>
        </is>
      </c>
      <c r="N69" t="inlineStr">
        <is>
          <t>P4</t>
        </is>
      </c>
      <c r="O69" t="inlineStr">
        <is>
          <t>CVE - IP enrichment n/a</t>
        </is>
      </c>
      <c r="P69" t="n">
        <v>0</v>
      </c>
      <c r="Q69" t="n">
        <v>0</v>
      </c>
      <c r="R69" t="inlineStr">
        <is>
          <t>T1090:Proxy | T1190:Exploit Public-Facing Application</t>
        </is>
      </c>
      <c r="S69" t="n">
        <v>1</v>
      </c>
      <c r="T69" t="inlineStr">
        <is>
          <t>LOW (40%)</t>
        </is>
      </c>
      <c r="U69" t="inlineStr">
        <is>
          <t>UNLIKELY</t>
        </is>
      </c>
      <c r="V69" t="inlineStr">
        <is>
          <t>CHECK_VENDOR</t>
        </is>
      </c>
      <c r="W69" t="inlineStr">
        <is>
          <t>https://nvd.nist.gov/vuln/detail/CVE-2025-12375</t>
        </is>
      </c>
      <c r="X69" t="inlineStr">
        <is>
          <t>NONE</t>
        </is>
      </c>
      <c r="Y69" t="n">
        <v>0</v>
      </c>
      <c r="Z69" t="inlineStr"/>
      <c r="AA69" t="inlineStr">
        <is>
          <t>https://nvd.nist.gov/vuln/detail/CVE-2025-12375</t>
        </is>
      </c>
    </row>
    <row r="70">
      <c r="A70" t="inlineStr">
        <is>
          <t>CVE</t>
        </is>
      </c>
      <c r="B70" t="inlineStr">
        <is>
          <t>CVE-2025-12448</t>
        </is>
      </c>
      <c r="C70" t="inlineStr">
        <is>
          <t>The Smartsupp – live chat, AI shopping assistant and chatbots plugin for WordPress is vulnerable to Stored Cross-Site Scripting via the 'code' parameter in all versions up to, and including, 3.9.1 due to insufficient input sanitization and output escaping. This makes it possible for authenticated attackers, with Subscriber-level access and above, to inject arbitrary web scripts in pages that will execute whenever a user accesses an injected page.</t>
        </is>
      </c>
      <c r="D70" t="n">
        <v>6.4</v>
      </c>
      <c r="E70" t="inlineStr">
        <is>
          <t>MEDIUM</t>
        </is>
      </c>
      <c r="F70" t="n">
        <v>2</v>
      </c>
      <c r="G70" t="n">
        <v>2</v>
      </c>
      <c r="H70" t="inlineStr">
        <is>
          <t>MEDIUM</t>
        </is>
      </c>
      <c r="I70" t="n">
        <v>10.4</v>
      </c>
      <c r="J70" t="inlineStr">
        <is>
          <t>NO</t>
        </is>
      </c>
      <c r="K70" t="inlineStr">
        <is>
          <t>2026-02-26 00:15</t>
        </is>
      </c>
      <c r="L70" t="inlineStr">
        <is>
          <t>CHECK_VENDOR</t>
        </is>
      </c>
      <c r="M70" t="inlineStr">
        <is>
          <t>See CVE details</t>
        </is>
      </c>
      <c r="N70" t="inlineStr">
        <is>
          <t>P4</t>
        </is>
      </c>
      <c r="O70" t="inlineStr">
        <is>
          <t>CVE - IP enrichment n/a</t>
        </is>
      </c>
      <c r="P70" t="n">
        <v>0</v>
      </c>
      <c r="Q70" t="n">
        <v>0</v>
      </c>
      <c r="R70" t="inlineStr">
        <is>
          <t>T1189:Drive-by Compromise</t>
        </is>
      </c>
      <c r="S70" t="n">
        <v>1</v>
      </c>
      <c r="T70" t="inlineStr">
        <is>
          <t>LOW (40%)</t>
        </is>
      </c>
      <c r="U70" t="inlineStr">
        <is>
          <t>UNLIKELY</t>
        </is>
      </c>
      <c r="V70" t="inlineStr">
        <is>
          <t>CHECK_VENDOR</t>
        </is>
      </c>
      <c r="W70" t="inlineStr">
        <is>
          <t>https://nvd.nist.gov/vuln/detail/CVE-2025-12448</t>
        </is>
      </c>
      <c r="X70" t="inlineStr">
        <is>
          <t>NONE</t>
        </is>
      </c>
      <c r="Y70" t="n">
        <v>0</v>
      </c>
      <c r="Z70" t="inlineStr"/>
      <c r="AA70" t="inlineStr">
        <is>
          <t>https://nvd.nist.gov/vuln/detail/CVE-2025-12448</t>
        </is>
      </c>
    </row>
    <row r="71">
      <c r="A71" t="inlineStr">
        <is>
          <t>CVE</t>
        </is>
      </c>
      <c r="B71" t="inlineStr">
        <is>
          <t>CVE-2025-12451</t>
        </is>
      </c>
      <c r="C71" t="inlineStr">
        <is>
          <t>The Easy SVG Support plugin for WordPress is vulnerable to Stored Cross-Site Scripting via SVG file uploads in all versions up to, and including, 4.0 due to insufficient input sanitization and output escaping. This makes it possible for authenticated attackers, with Author-level access and above, to inject arbitrary web scripts in pages that will execute whenever a user accesses the SVG file.</t>
        </is>
      </c>
      <c r="D71" t="n">
        <v>6.1</v>
      </c>
      <c r="E71" t="inlineStr">
        <is>
          <t>MEDIUM</t>
        </is>
      </c>
      <c r="F71" t="n">
        <v>2</v>
      </c>
      <c r="G71" t="n">
        <v>2</v>
      </c>
      <c r="H71" t="inlineStr">
        <is>
          <t>MEDIUM</t>
        </is>
      </c>
      <c r="I71" t="n">
        <v>10.1</v>
      </c>
      <c r="J71" t="inlineStr">
        <is>
          <t>NO</t>
        </is>
      </c>
      <c r="K71" t="inlineStr">
        <is>
          <t>2026-02-26 00:15</t>
        </is>
      </c>
      <c r="L71" t="inlineStr">
        <is>
          <t>CHECK_VENDOR</t>
        </is>
      </c>
      <c r="M71" t="inlineStr">
        <is>
          <t>See CVE details</t>
        </is>
      </c>
      <c r="N71" t="inlineStr">
        <is>
          <t>P4</t>
        </is>
      </c>
      <c r="O71" t="inlineStr">
        <is>
          <t>CVE - IP enrichment n/a</t>
        </is>
      </c>
      <c r="P71" t="n">
        <v>0</v>
      </c>
      <c r="Q71" t="n">
        <v>0</v>
      </c>
      <c r="R71" t="inlineStr">
        <is>
          <t>T1189:Drive-by Compromise</t>
        </is>
      </c>
      <c r="S71" t="n">
        <v>1</v>
      </c>
      <c r="T71" t="inlineStr">
        <is>
          <t>LOW (40%)</t>
        </is>
      </c>
      <c r="U71" t="inlineStr">
        <is>
          <t>UNLIKELY</t>
        </is>
      </c>
      <c r="V71" t="inlineStr">
        <is>
          <t>CHECK_VENDOR</t>
        </is>
      </c>
      <c r="W71" t="inlineStr">
        <is>
          <t>https://nvd.nist.gov/vuln/detail/CVE-2025-12451</t>
        </is>
      </c>
      <c r="X71" t="inlineStr">
        <is>
          <t>NONE</t>
        </is>
      </c>
      <c r="Y71" t="n">
        <v>0</v>
      </c>
      <c r="Z71" t="inlineStr"/>
      <c r="AA71" t="inlineStr">
        <is>
          <t>https://nvd.nist.gov/vuln/detail/CVE-2025-12451</t>
        </is>
      </c>
    </row>
    <row r="72">
      <c r="A72" t="inlineStr">
        <is>
          <t>CVE</t>
        </is>
      </c>
      <c r="B72" t="inlineStr">
        <is>
          <t>CVE-2025-12500</t>
        </is>
      </c>
      <c r="C72" t="inlineStr">
        <is>
          <t>The Checkout Field Manager (Checkout Manager) for WooCommerce plugin for WordPress is vulnerable to unauthenticated limited file upload in all versions up to, and including, 7.8.1. This is due to the plugin not properly verifying that a user is authorized to perform file upload actions via the "ajax_checkout_attachment_upload" function. This makes it possible for unauthenticated attackers to upload files to the server, though file types are limited to WordPress's default allowed MIME types (imag</t>
        </is>
      </c>
      <c r="D72" t="n">
        <v>5.3</v>
      </c>
      <c r="E72" t="inlineStr">
        <is>
          <t>MEDIUM</t>
        </is>
      </c>
      <c r="F72" t="n">
        <v>2</v>
      </c>
      <c r="G72" t="n">
        <v>2</v>
      </c>
      <c r="H72" t="inlineStr">
        <is>
          <t>MEDIUM</t>
        </is>
      </c>
      <c r="I72" t="n">
        <v>9.300000000000001</v>
      </c>
      <c r="J72" t="inlineStr">
        <is>
          <t>NO</t>
        </is>
      </c>
      <c r="K72" t="inlineStr">
        <is>
          <t>2026-02-26 00:15</t>
        </is>
      </c>
      <c r="L72" t="inlineStr">
        <is>
          <t>CHECK_VENDOR</t>
        </is>
      </c>
      <c r="M72" t="inlineStr">
        <is>
          <t>See CVE details</t>
        </is>
      </c>
      <c r="N72" t="inlineStr">
        <is>
          <t>P4</t>
        </is>
      </c>
      <c r="O72" t="inlineStr">
        <is>
          <t>CVE - IP enrichment n/a</t>
        </is>
      </c>
      <c r="P72" t="n">
        <v>0.0007</v>
      </c>
      <c r="Q72" t="n">
        <v>0.212</v>
      </c>
      <c r="R72" t="inlineStr">
        <is>
          <t>T1190:Exploit Public-Facing Application</t>
        </is>
      </c>
      <c r="S72" t="n">
        <v>1</v>
      </c>
      <c r="T72" t="inlineStr">
        <is>
          <t>LOW (40%)</t>
        </is>
      </c>
      <c r="U72" t="inlineStr">
        <is>
          <t>UNLIKELY</t>
        </is>
      </c>
      <c r="V72" t="inlineStr">
        <is>
          <t>CHECK_VENDOR</t>
        </is>
      </c>
      <c r="W72" t="inlineStr">
        <is>
          <t>https://nvd.nist.gov/vuln/detail/CVE-2025-12500</t>
        </is>
      </c>
      <c r="X72" t="inlineStr">
        <is>
          <t>NONE</t>
        </is>
      </c>
      <c r="Y72" t="n">
        <v>0</v>
      </c>
      <c r="Z72" t="inlineStr"/>
      <c r="AA72" t="inlineStr">
        <is>
          <t>https://nvd.nist.gov/vuln/detail/CVE-2025-12500</t>
        </is>
      </c>
    </row>
    <row r="73">
      <c r="A73" t="inlineStr">
        <is>
          <t>CVE</t>
        </is>
      </c>
      <c r="B73" t="inlineStr">
        <is>
          <t>CVE-2025-12707</t>
        </is>
      </c>
      <c r="C73" t="inlineStr">
        <is>
          <t>The Library Management System plugin for WordPress is vulnerable to SQL Injection via the 'bid' parameter in all versions up to, and including, 3.2.1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73" t="n">
        <v>7.5</v>
      </c>
      <c r="E73" t="inlineStr">
        <is>
          <t>HIGH</t>
        </is>
      </c>
      <c r="F73" t="n">
        <v>2</v>
      </c>
      <c r="G73" t="n">
        <v>3</v>
      </c>
      <c r="H73" t="inlineStr">
        <is>
          <t>HIGH</t>
        </is>
      </c>
      <c r="I73" t="n">
        <v>13.5</v>
      </c>
      <c r="J73" t="inlineStr">
        <is>
          <t>NO</t>
        </is>
      </c>
      <c r="K73" t="inlineStr">
        <is>
          <t>2026-02-26 00:15</t>
        </is>
      </c>
      <c r="L73" t="inlineStr">
        <is>
          <t>CHECK_VENDOR</t>
        </is>
      </c>
      <c r="M73" t="inlineStr">
        <is>
          <t>See CVE details</t>
        </is>
      </c>
      <c r="N73" t="inlineStr">
        <is>
          <t>P2</t>
        </is>
      </c>
      <c r="O73" t="inlineStr">
        <is>
          <t>CVE - IP enrichment n/a</t>
        </is>
      </c>
      <c r="P73" t="n">
        <v>0</v>
      </c>
      <c r="Q73" t="n">
        <v>0</v>
      </c>
      <c r="R73" t="inlineStr">
        <is>
          <t>T1190:Exploit Public-Facing Application</t>
        </is>
      </c>
      <c r="S73" t="n">
        <v>2</v>
      </c>
      <c r="T73" t="inlineStr">
        <is>
          <t>HIGH (72%)</t>
        </is>
      </c>
      <c r="U73" t="inlineStr">
        <is>
          <t>POSSIBLE</t>
        </is>
      </c>
      <c r="V73" t="inlineStr">
        <is>
          <t>CHECK_VENDOR</t>
        </is>
      </c>
      <c r="W73" t="inlineStr">
        <is>
          <t>https://nvd.nist.gov/vuln/detail/CVE-2025-12707</t>
        </is>
      </c>
      <c r="X73" t="inlineStr">
        <is>
          <t>NONE</t>
        </is>
      </c>
      <c r="Y73" t="n">
        <v>3.75</v>
      </c>
      <c r="Z73" t="inlineStr"/>
      <c r="AA73" t="inlineStr">
        <is>
          <t>https://nvd.nist.gov/vuln/detail/CVE-2025-12707</t>
        </is>
      </c>
    </row>
    <row r="74">
      <c r="A74" t="inlineStr">
        <is>
          <t>CVE</t>
        </is>
      </c>
      <c r="B74" t="inlineStr">
        <is>
          <t>CVE-2025-12821</t>
        </is>
      </c>
      <c r="C74" t="inlineStr">
        <is>
          <t>The NewsBlogger theme for WordPress is vulnerable to Cross-Site Request Forgery in versions 0.2.5.6  to 0.2.6.1. This is due to missing or incorrect nonce validation on the newsblogger_install_and_activate_plugin() function. This makes it possible for unauthenticated attackers to upload arbitrary files and achieve remote code execution via a forged request granted they can trick a site administrator into performing an action such as clicking on a link. This is due to a reverted fix of CVE-2025-1</t>
        </is>
      </c>
      <c r="D74" t="n">
        <v>8.800000000000001</v>
      </c>
      <c r="E74" t="inlineStr">
        <is>
          <t>HIGH</t>
        </is>
      </c>
      <c r="F74" t="n">
        <v>2</v>
      </c>
      <c r="G74" t="n">
        <v>3</v>
      </c>
      <c r="H74" t="inlineStr">
        <is>
          <t>HIGH</t>
        </is>
      </c>
      <c r="I74" t="n">
        <v>14.8</v>
      </c>
      <c r="J74" t="inlineStr">
        <is>
          <t>NO</t>
        </is>
      </c>
      <c r="K74" t="inlineStr">
        <is>
          <t>2026-02-26 00:15</t>
        </is>
      </c>
      <c r="L74" t="inlineStr">
        <is>
          <t>CHECK_VENDOR</t>
        </is>
      </c>
      <c r="M74" t="inlineStr">
        <is>
          <t>See CVE details</t>
        </is>
      </c>
      <c r="N74" t="inlineStr">
        <is>
          <t>P3</t>
        </is>
      </c>
      <c r="O74" t="inlineStr">
        <is>
          <t>CVE - IP enrichment n/a</t>
        </is>
      </c>
      <c r="P74" t="n">
        <v>0</v>
      </c>
      <c r="Q74" t="n">
        <v>0</v>
      </c>
      <c r="R74" t="inlineStr">
        <is>
          <t>T1185:Browser Session Hijacking | T1190:Exploit Public-Facing Application | T1210:Exploitation of Remote Services</t>
        </is>
      </c>
      <c r="S74" t="n">
        <v>1</v>
      </c>
      <c r="T74" t="inlineStr">
        <is>
          <t>LOW (40%)</t>
        </is>
      </c>
      <c r="U74" t="inlineStr">
        <is>
          <t>UNLIKELY</t>
        </is>
      </c>
      <c r="V74" t="inlineStr">
        <is>
          <t>CHECK_VENDOR</t>
        </is>
      </c>
      <c r="W74" t="inlineStr">
        <is>
          <t>https://nvd.nist.gov/vuln/detail/CVE-2025-12821</t>
        </is>
      </c>
      <c r="X74" t="inlineStr">
        <is>
          <t>NONE</t>
        </is>
      </c>
      <c r="Y74" t="n">
        <v>0</v>
      </c>
      <c r="Z74" t="inlineStr"/>
      <c r="AA74" t="inlineStr">
        <is>
          <t>https://nvd.nist.gov/vuln/detail/CVE-2025-12821</t>
        </is>
      </c>
    </row>
    <row r="75">
      <c r="A75" t="inlineStr">
        <is>
          <t>CVE</t>
        </is>
      </c>
      <c r="B75" t="inlineStr">
        <is>
          <t>CVE-2025-12845</t>
        </is>
      </c>
      <c r="C75" t="inlineStr">
        <is>
          <t>The Tablesome Table – Contact Form DB – WPForms, CF7, Gravity, Forminator, Fluent plugin for WordPress is vulnerable to unauthorized access of data that leads to privilege escalation due to a missing capability check on the get_table_data() function in versions 0.5.4 to 1.2.1. This makes it possible for authenticated attackers, with Subscriber-level access and above, to retrieve plugin table data that can expose email log information. Attackers can leverage this on sites where the table log is e</t>
        </is>
      </c>
      <c r="D75" t="n">
        <v>8.800000000000001</v>
      </c>
      <c r="E75" t="inlineStr">
        <is>
          <t>HIGH</t>
        </is>
      </c>
      <c r="F75" t="n">
        <v>2</v>
      </c>
      <c r="G75" t="n">
        <v>3</v>
      </c>
      <c r="H75" t="inlineStr">
        <is>
          <t>HIGH</t>
        </is>
      </c>
      <c r="I75" t="n">
        <v>14.8</v>
      </c>
      <c r="J75" t="inlineStr">
        <is>
          <t>NO</t>
        </is>
      </c>
      <c r="K75" t="inlineStr">
        <is>
          <t>2026-02-26 00:15</t>
        </is>
      </c>
      <c r="L75" t="inlineStr">
        <is>
          <t>CHECK_VENDOR</t>
        </is>
      </c>
      <c r="M75" t="inlineStr">
        <is>
          <t>See CVE details</t>
        </is>
      </c>
      <c r="N75" t="inlineStr">
        <is>
          <t>P3</t>
        </is>
      </c>
      <c r="O75" t="inlineStr">
        <is>
          <t>CVE - IP enrichment n/a</t>
        </is>
      </c>
      <c r="P75" t="n">
        <v>0</v>
      </c>
      <c r="Q75" t="n">
        <v>0</v>
      </c>
      <c r="R75" t="inlineStr">
        <is>
          <t>T1068:Exploitation for Privilege Escalation</t>
        </is>
      </c>
      <c r="S75" t="n">
        <v>1</v>
      </c>
      <c r="T75" t="inlineStr">
        <is>
          <t>LOW (40%)</t>
        </is>
      </c>
      <c r="U75" t="inlineStr">
        <is>
          <t>UNLIKELY</t>
        </is>
      </c>
      <c r="V75" t="inlineStr">
        <is>
          <t>CHECK_VENDOR</t>
        </is>
      </c>
      <c r="W75" t="inlineStr">
        <is>
          <t>https://nvd.nist.gov/vuln/detail/CVE-2025-12845</t>
        </is>
      </c>
      <c r="X75" t="inlineStr">
        <is>
          <t>NONE</t>
        </is>
      </c>
      <c r="Y75" t="n">
        <v>0</v>
      </c>
      <c r="Z75" t="inlineStr"/>
      <c r="AA75" t="inlineStr">
        <is>
          <t>https://nvd.nist.gov/vuln/detail/CVE-2025-12845</t>
        </is>
      </c>
    </row>
    <row r="76">
      <c r="A76" t="inlineStr">
        <is>
          <t>CVE</t>
        </is>
      </c>
      <c r="B76" t="inlineStr">
        <is>
          <t>CVE-2025-12882</t>
        </is>
      </c>
      <c r="C76" t="inlineStr">
        <is>
          <t>The Clasifico Listing plugin for WordPress is vulnerable to privilege escalation in versions up to, and including, 2.0. This is due to the plugin allowing users who are registering new accounts to set their own role by supplying the 'listing_user_role' parameter. This makes it possible for unauthenticated attackers to gain elevated privileges by registering an account with the administrator role.</t>
        </is>
      </c>
      <c r="D76" t="n">
        <v>9.800000000000001</v>
      </c>
      <c r="E76" t="inlineStr">
        <is>
          <t>CRITICAL</t>
        </is>
      </c>
      <c r="F76" t="n">
        <v>2</v>
      </c>
      <c r="G76" t="n">
        <v>3</v>
      </c>
      <c r="H76" t="inlineStr">
        <is>
          <t>HIGH</t>
        </is>
      </c>
      <c r="I76" t="n">
        <v>15.8</v>
      </c>
      <c r="J76" t="inlineStr">
        <is>
          <t>NO</t>
        </is>
      </c>
      <c r="K76" t="inlineStr">
        <is>
          <t>2026-02-26 00:15</t>
        </is>
      </c>
      <c r="L76" t="inlineStr">
        <is>
          <t>CHECK_VENDOR</t>
        </is>
      </c>
      <c r="M76" t="inlineStr">
        <is>
          <t>See CVE details</t>
        </is>
      </c>
      <c r="N76" t="inlineStr">
        <is>
          <t>P3</t>
        </is>
      </c>
      <c r="O76" t="inlineStr">
        <is>
          <t>CVE - IP enrichment n/a</t>
        </is>
      </c>
      <c r="P76" t="n">
        <v>0</v>
      </c>
      <c r="Q76" t="n">
        <v>0</v>
      </c>
      <c r="R76" t="inlineStr">
        <is>
          <t>T1068:Exploitation for Privilege Escalation</t>
        </is>
      </c>
      <c r="S76" t="n">
        <v>1</v>
      </c>
      <c r="T76" t="inlineStr">
        <is>
          <t>LOW (40%)</t>
        </is>
      </c>
      <c r="U76" t="inlineStr">
        <is>
          <t>UNLIKELY</t>
        </is>
      </c>
      <c r="V76" t="inlineStr">
        <is>
          <t>CHECK_VENDOR</t>
        </is>
      </c>
      <c r="W76" t="inlineStr">
        <is>
          <t>https://nvd.nist.gov/vuln/detail/CVE-2025-12882</t>
        </is>
      </c>
      <c r="X76" t="inlineStr">
        <is>
          <t>NONE</t>
        </is>
      </c>
      <c r="Y76" t="n">
        <v>0</v>
      </c>
      <c r="Z76" t="inlineStr"/>
      <c r="AA76" t="inlineStr">
        <is>
          <t>https://nvd.nist.gov/vuln/detail/CVE-2025-12882</t>
        </is>
      </c>
    </row>
    <row r="77">
      <c r="A77" t="inlineStr">
        <is>
          <t>CVE</t>
        </is>
      </c>
      <c r="B77" t="inlineStr">
        <is>
          <t>CVE-2025-12884</t>
        </is>
      </c>
      <c r="C77" t="inlineStr">
        <is>
          <t>The Advanced Ads – Ad Manager &amp; AdSense plugin for WordPress is vulnerable to authorization bypass in versions up to, and including, 2.0.14. This is due to the plugin not properly verifying that a user is authorized to perform an action in the `placement_update_item()` function. This makes it possible for authenticated attackers, with subscriber-level access and above, to update ad placements, allowing them to change which ad or ad group a placement serves.</t>
        </is>
      </c>
      <c r="D77" t="n">
        <v>4.3</v>
      </c>
      <c r="E77" t="inlineStr">
        <is>
          <t>MEDIUM</t>
        </is>
      </c>
      <c r="F77" t="n">
        <v>2</v>
      </c>
      <c r="G77" t="n">
        <v>2</v>
      </c>
      <c r="H77" t="inlineStr">
        <is>
          <t>MEDIUM</t>
        </is>
      </c>
      <c r="I77" t="n">
        <v>8.300000000000001</v>
      </c>
      <c r="J77" t="inlineStr">
        <is>
          <t>NO</t>
        </is>
      </c>
      <c r="K77" t="inlineStr">
        <is>
          <t>2026-02-26 00:15</t>
        </is>
      </c>
      <c r="L77" t="inlineStr">
        <is>
          <t>CHECK_VENDOR</t>
        </is>
      </c>
      <c r="M77" t="inlineStr">
        <is>
          <t>See CVE details</t>
        </is>
      </c>
      <c r="N77" t="inlineStr">
        <is>
          <t>P4</t>
        </is>
      </c>
      <c r="O77" t="inlineStr">
        <is>
          <t>CVE - IP enrichment n/a</t>
        </is>
      </c>
      <c r="P77" t="n">
        <v>0</v>
      </c>
      <c r="Q77" t="n">
        <v>0</v>
      </c>
      <c r="R77" t="inlineStr">
        <is>
          <t>T1190:Exploit Public-Facing Application</t>
        </is>
      </c>
      <c r="S77" t="n">
        <v>1</v>
      </c>
      <c r="T77" t="inlineStr">
        <is>
          <t>LOW (40%)</t>
        </is>
      </c>
      <c r="U77" t="inlineStr">
        <is>
          <t>UNLIKELY</t>
        </is>
      </c>
      <c r="V77" t="inlineStr">
        <is>
          <t>CHECK_VENDOR</t>
        </is>
      </c>
      <c r="W77" t="inlineStr">
        <is>
          <t>https://nvd.nist.gov/vuln/detail/CVE-2025-12884</t>
        </is>
      </c>
      <c r="X77" t="inlineStr">
        <is>
          <t>NONE</t>
        </is>
      </c>
      <c r="Y77" t="n">
        <v>0</v>
      </c>
      <c r="Z77" t="inlineStr"/>
      <c r="AA77" t="inlineStr">
        <is>
          <t>https://nvd.nist.gov/vuln/detail/CVE-2025-12884</t>
        </is>
      </c>
    </row>
    <row r="78">
      <c r="A78" t="inlineStr">
        <is>
          <t>CVE</t>
        </is>
      </c>
      <c r="B78" t="inlineStr">
        <is>
          <t>CVE-2025-12975</t>
        </is>
      </c>
      <c r="C78" t="inlineStr">
        <is>
          <t>The CTX Feed – WooCommerce Product Feed Manager plugin for WordPress is vulnerable to unauthorized arbitrary plugin installation due to a missing capability check on the woo_feed_plugin_installing() function in all versions up to, and including, 6.6.11. This makes it possible for authenticated attackers, with Shop Manager-level access and above, to install arbitrary plugins which can be leveraged to achieve remote code execution.</t>
        </is>
      </c>
      <c r="D78" t="n">
        <v>7.2</v>
      </c>
      <c r="E78" t="inlineStr">
        <is>
          <t>HIGH</t>
        </is>
      </c>
      <c r="F78" t="n">
        <v>2</v>
      </c>
      <c r="G78" t="n">
        <v>3</v>
      </c>
      <c r="H78" t="inlineStr">
        <is>
          <t>HIGH</t>
        </is>
      </c>
      <c r="I78" t="n">
        <v>13.2</v>
      </c>
      <c r="J78" t="inlineStr">
        <is>
          <t>NO</t>
        </is>
      </c>
      <c r="K78" t="inlineStr">
        <is>
          <t>2026-02-26 00:15</t>
        </is>
      </c>
      <c r="L78" t="inlineStr">
        <is>
          <t>CHECK_VENDOR</t>
        </is>
      </c>
      <c r="M78" t="inlineStr">
        <is>
          <t>See CVE details</t>
        </is>
      </c>
      <c r="N78" t="inlineStr">
        <is>
          <t>P3</t>
        </is>
      </c>
      <c r="O78" t="inlineStr">
        <is>
          <t>CVE - IP enrichment n/a</t>
        </is>
      </c>
      <c r="P78" t="n">
        <v>0</v>
      </c>
      <c r="Q78" t="n">
        <v>0</v>
      </c>
      <c r="R78" t="inlineStr">
        <is>
          <t>T1190:Exploit Public-Facing Application | T1210:Exploitation of Remote Services</t>
        </is>
      </c>
      <c r="S78" t="n">
        <v>1</v>
      </c>
      <c r="T78" t="inlineStr">
        <is>
          <t>LOW (40%)</t>
        </is>
      </c>
      <c r="U78" t="inlineStr">
        <is>
          <t>UNLIKELY</t>
        </is>
      </c>
      <c r="V78" t="inlineStr">
        <is>
          <t>CHECK_VENDOR</t>
        </is>
      </c>
      <c r="W78" t="inlineStr">
        <is>
          <t>https://nvd.nist.gov/vuln/detail/CVE-2025-12975</t>
        </is>
      </c>
      <c r="X78" t="inlineStr">
        <is>
          <t>NONE</t>
        </is>
      </c>
      <c r="Y78" t="n">
        <v>0</v>
      </c>
      <c r="Z78" t="inlineStr"/>
      <c r="AA78" t="inlineStr">
        <is>
          <t>https://nvd.nist.gov/vuln/detail/CVE-2025-12975</t>
        </is>
      </c>
    </row>
    <row r="79">
      <c r="A79" t="inlineStr">
        <is>
          <t>CVE</t>
        </is>
      </c>
      <c r="B79" t="inlineStr">
        <is>
          <t>CVE-2025-13048</t>
        </is>
      </c>
      <c r="C79" t="inlineStr">
        <is>
          <t>The StatCounter – Free Real Time Visitor Stats plugin for WordPress is vulnerable to Stored Cross-Site Scripting via the user's Nickname in all versions up to, and including, 2.1.0 due to insufficient input sanitization and output escaping. This makes it possible for authenticated attackers, with Contributor-level access and above, to inject arbitrary web scripts in pages that will execute whenever a user accesses an injected page.</t>
        </is>
      </c>
      <c r="D79" t="n">
        <v>6.4</v>
      </c>
      <c r="E79" t="inlineStr">
        <is>
          <t>MEDIUM</t>
        </is>
      </c>
      <c r="F79" t="n">
        <v>2</v>
      </c>
      <c r="G79" t="n">
        <v>2</v>
      </c>
      <c r="H79" t="inlineStr">
        <is>
          <t>MEDIUM</t>
        </is>
      </c>
      <c r="I79" t="n">
        <v>10.4</v>
      </c>
      <c r="J79" t="inlineStr">
        <is>
          <t>NO</t>
        </is>
      </c>
      <c r="K79" t="inlineStr">
        <is>
          <t>2026-02-26 00:15</t>
        </is>
      </c>
      <c r="L79" t="inlineStr">
        <is>
          <t>CHECK_VENDOR</t>
        </is>
      </c>
      <c r="M79" t="inlineStr">
        <is>
          <t>See CVE details</t>
        </is>
      </c>
      <c r="N79" t="inlineStr">
        <is>
          <t>P4</t>
        </is>
      </c>
      <c r="O79" t="inlineStr">
        <is>
          <t>CVE - IP enrichment n/a</t>
        </is>
      </c>
      <c r="P79" t="n">
        <v>0</v>
      </c>
      <c r="Q79" t="n">
        <v>0</v>
      </c>
      <c r="R79" t="inlineStr">
        <is>
          <t>T1189:Drive-by Compromise</t>
        </is>
      </c>
      <c r="S79" t="n">
        <v>1</v>
      </c>
      <c r="T79" t="inlineStr">
        <is>
          <t>LOW (40%)</t>
        </is>
      </c>
      <c r="U79" t="inlineStr">
        <is>
          <t>UNLIKELY</t>
        </is>
      </c>
      <c r="V79" t="inlineStr">
        <is>
          <t>CHECK_VENDOR</t>
        </is>
      </c>
      <c r="W79" t="inlineStr">
        <is>
          <t>https://nvd.nist.gov/vuln/detail/CVE-2025-13048</t>
        </is>
      </c>
      <c r="X79" t="inlineStr">
        <is>
          <t>NONE</t>
        </is>
      </c>
      <c r="Y79" t="n">
        <v>0</v>
      </c>
      <c r="Z79" t="inlineStr"/>
      <c r="AA79" t="inlineStr">
        <is>
          <t>https://nvd.nist.gov/vuln/detail/CVE-2025-13048</t>
        </is>
      </c>
    </row>
    <row r="80">
      <c r="A80" t="inlineStr">
        <is>
          <t>CVE</t>
        </is>
      </c>
      <c r="B80" t="inlineStr">
        <is>
          <t>CVE-2025-13079</t>
        </is>
      </c>
      <c r="C80" t="inlineStr">
        <is>
          <t>The Popup Builder – Create highly converting, mobile friendly marketing popups. plugin for WordPress is vulnerable to authorization bypass in all versions up to, and including, 4.4.2. This is due to the plugin generating predictable unsubscribe tokens using deterministic data. This makes it possible for unauthenticated attackers to unsubscribe arbitrary subscribers from mailing lists via brute-forcing the unsubscribe token, granted they know the victim's email address</t>
        </is>
      </c>
      <c r="D80" t="n">
        <v>5.3</v>
      </c>
      <c r="E80" t="inlineStr">
        <is>
          <t>MEDIUM</t>
        </is>
      </c>
      <c r="F80" t="n">
        <v>2</v>
      </c>
      <c r="G80" t="n">
        <v>2</v>
      </c>
      <c r="H80" t="inlineStr">
        <is>
          <t>MEDIUM</t>
        </is>
      </c>
      <c r="I80" t="n">
        <v>9.300000000000001</v>
      </c>
      <c r="J80" t="inlineStr">
        <is>
          <t>NO</t>
        </is>
      </c>
      <c r="K80" t="inlineStr">
        <is>
          <t>2026-02-26 00:15</t>
        </is>
      </c>
      <c r="L80" t="inlineStr">
        <is>
          <t>CHECK_VENDOR</t>
        </is>
      </c>
      <c r="M80" t="inlineStr">
        <is>
          <t>See CVE details</t>
        </is>
      </c>
      <c r="N80" t="inlineStr">
        <is>
          <t>P4</t>
        </is>
      </c>
      <c r="O80" t="inlineStr">
        <is>
          <t>CVE - IP enrichment n/a</t>
        </is>
      </c>
      <c r="P80" t="n">
        <v>0</v>
      </c>
      <c r="Q80" t="n">
        <v>0</v>
      </c>
      <c r="R80" t="inlineStr">
        <is>
          <t>T1190:Exploit Public-Facing Application</t>
        </is>
      </c>
      <c r="S80" t="n">
        <v>1</v>
      </c>
      <c r="T80" t="inlineStr">
        <is>
          <t>LOW (40%)</t>
        </is>
      </c>
      <c r="U80" t="inlineStr">
        <is>
          <t>UNLIKELY</t>
        </is>
      </c>
      <c r="V80" t="inlineStr">
        <is>
          <t>CHECK_VENDOR</t>
        </is>
      </c>
      <c r="W80" t="inlineStr">
        <is>
          <t>https://nvd.nist.gov/vuln/detail/CVE-2025-13079</t>
        </is>
      </c>
      <c r="X80" t="inlineStr">
        <is>
          <t>NONE</t>
        </is>
      </c>
      <c r="Y80" t="n">
        <v>0</v>
      </c>
      <c r="Z80" t="inlineStr"/>
      <c r="AA80" t="inlineStr">
        <is>
          <t>https://nvd.nist.gov/vuln/detail/CVE-2025-13079</t>
        </is>
      </c>
    </row>
    <row r="81">
      <c r="A81" t="inlineStr">
        <is>
          <t>CVE</t>
        </is>
      </c>
      <c r="B81" t="inlineStr">
        <is>
          <t>CVE-2025-13091</t>
        </is>
      </c>
      <c r="C81" t="inlineStr">
        <is>
          <t>The Shopire theme for WordPress is vulnerable to unauthorized modification of data due to a missing capability check on the shopire_admin_install_plugin() function in all versions up to, and including, 1.0.57. This makes it possible for authenticated attackers, with Subscriber-level access and above, to install the 'fable-extra' plugin.</t>
        </is>
      </c>
      <c r="D81" t="n">
        <v>4.3</v>
      </c>
      <c r="E81" t="inlineStr">
        <is>
          <t>MEDIUM</t>
        </is>
      </c>
      <c r="F81" t="n">
        <v>2</v>
      </c>
      <c r="G81" t="n">
        <v>2</v>
      </c>
      <c r="H81" t="inlineStr">
        <is>
          <t>MEDIUM</t>
        </is>
      </c>
      <c r="I81" t="n">
        <v>8.300000000000001</v>
      </c>
      <c r="J81" t="inlineStr">
        <is>
          <t>NO</t>
        </is>
      </c>
      <c r="K81" t="inlineStr">
        <is>
          <t>2026-02-26 00:15</t>
        </is>
      </c>
      <c r="L81" t="inlineStr">
        <is>
          <t>CHECK_VENDOR</t>
        </is>
      </c>
      <c r="M81" t="inlineStr">
        <is>
          <t>See CVE details</t>
        </is>
      </c>
      <c r="N81" t="inlineStr">
        <is>
          <t>P4</t>
        </is>
      </c>
      <c r="O81" t="inlineStr">
        <is>
          <t>CVE - IP enrichment n/a</t>
        </is>
      </c>
      <c r="P81" t="n">
        <v>0.0004</v>
      </c>
      <c r="Q81" t="n">
        <v>0.1133</v>
      </c>
      <c r="R81" t="inlineStr">
        <is>
          <t>T1190:Exploit Public-Facing Application</t>
        </is>
      </c>
      <c r="S81" t="n">
        <v>1</v>
      </c>
      <c r="T81" t="inlineStr">
        <is>
          <t>LOW (40%)</t>
        </is>
      </c>
      <c r="U81" t="inlineStr">
        <is>
          <t>UNLIKELY</t>
        </is>
      </c>
      <c r="V81" t="inlineStr">
        <is>
          <t>CHECK_VENDOR</t>
        </is>
      </c>
      <c r="W81" t="inlineStr">
        <is>
          <t>https://nvd.nist.gov/vuln/detail/CVE-2025-13091</t>
        </is>
      </c>
      <c r="X81" t="inlineStr">
        <is>
          <t>NONE</t>
        </is>
      </c>
      <c r="Y81" t="n">
        <v>0</v>
      </c>
      <c r="Z81" t="inlineStr"/>
      <c r="AA81" t="inlineStr">
        <is>
          <t>https://nvd.nist.gov/vuln/detail/CVE-2025-13091</t>
        </is>
      </c>
    </row>
    <row r="82">
      <c r="A82" t="inlineStr">
        <is>
          <t>CVE</t>
        </is>
      </c>
      <c r="B82" t="inlineStr">
        <is>
          <t>CVE-2025-13113</t>
        </is>
      </c>
      <c r="C82" t="inlineStr">
        <is>
          <t xml:space="preserve">The Web Accessibility by accessiBe plugin for WordPress is vulnerable to Sensitive Information Exposure in all versions up to, and including, 2.11. This is due to the `accessibe_render_js_in_footer()` function logging the complete plugin options array to the browser console on public pages, without restricting output to privileged users or checking for debug mode. This makes it possible for unauthenticated attackers to view sensitive configuration data, including email addresses, accessiBe user </t>
        </is>
      </c>
      <c r="D82" t="n">
        <v>5.3</v>
      </c>
      <c r="E82" t="inlineStr">
        <is>
          <t>MEDIUM</t>
        </is>
      </c>
      <c r="F82" t="n">
        <v>2</v>
      </c>
      <c r="G82" t="n">
        <v>2</v>
      </c>
      <c r="H82" t="inlineStr">
        <is>
          <t>MEDIUM</t>
        </is>
      </c>
      <c r="I82" t="n">
        <v>9.300000000000001</v>
      </c>
      <c r="J82" t="inlineStr">
        <is>
          <t>NO</t>
        </is>
      </c>
      <c r="K82" t="inlineStr">
        <is>
          <t>2026-02-26 00:15</t>
        </is>
      </c>
      <c r="L82" t="inlineStr">
        <is>
          <t>CHECK_VENDOR</t>
        </is>
      </c>
      <c r="M82" t="inlineStr">
        <is>
          <t>See CVE details</t>
        </is>
      </c>
      <c r="N82" t="inlineStr">
        <is>
          <t>P4</t>
        </is>
      </c>
      <c r="O82" t="inlineStr">
        <is>
          <t>CVE - IP enrichment n/a</t>
        </is>
      </c>
      <c r="P82" t="n">
        <v>0.0004</v>
      </c>
      <c r="Q82" t="n">
        <v>0.1213</v>
      </c>
      <c r="R82" t="inlineStr">
        <is>
          <t>T1213:Data from Information Repositories</t>
        </is>
      </c>
      <c r="S82" t="n">
        <v>1</v>
      </c>
      <c r="T82" t="inlineStr">
        <is>
          <t>LOW (40%)</t>
        </is>
      </c>
      <c r="U82" t="inlineStr">
        <is>
          <t>UNLIKELY</t>
        </is>
      </c>
      <c r="V82" t="inlineStr">
        <is>
          <t>CHECK_VENDOR</t>
        </is>
      </c>
      <c r="W82" t="inlineStr">
        <is>
          <t>https://nvd.nist.gov/vuln/detail/CVE-2025-13113</t>
        </is>
      </c>
      <c r="X82" t="inlineStr">
        <is>
          <t>NONE</t>
        </is>
      </c>
      <c r="Y82" t="n">
        <v>0</v>
      </c>
      <c r="Z82" t="inlineStr"/>
      <c r="AA82" t="inlineStr">
        <is>
          <t>https://nvd.nist.gov/vuln/detail/CVE-2025-13113</t>
        </is>
      </c>
    </row>
    <row r="83">
      <c r="A83" t="inlineStr">
        <is>
          <t>CVE</t>
        </is>
      </c>
      <c r="B83" t="inlineStr">
        <is>
          <t>CVE-2025-13413</t>
        </is>
      </c>
      <c r="C83" t="inlineStr">
        <is>
          <t>The Country Blocker for AdSense plugin for WordPress is vulnerable to Cross-Site Request Forgery in all versions up to, and including, 1.0. This is due to missing nonce validation on the CBFA_guardar_cbfa() function. This makes it possible for unauthenticated attackers to update the plugin's settings via a forged request granted they can trick a site administrator into performing an action such as clicking on a link.</t>
        </is>
      </c>
      <c r="D83" t="n">
        <v>4.3</v>
      </c>
      <c r="E83" t="inlineStr">
        <is>
          <t>MEDIUM</t>
        </is>
      </c>
      <c r="F83" t="n">
        <v>2</v>
      </c>
      <c r="G83" t="n">
        <v>2</v>
      </c>
      <c r="H83" t="inlineStr">
        <is>
          <t>MEDIUM</t>
        </is>
      </c>
      <c r="I83" t="n">
        <v>8.300000000000001</v>
      </c>
      <c r="J83" t="inlineStr">
        <is>
          <t>NO</t>
        </is>
      </c>
      <c r="K83" t="inlineStr">
        <is>
          <t>2026-02-26 00:15</t>
        </is>
      </c>
      <c r="L83" t="inlineStr">
        <is>
          <t>CHECK_VENDOR</t>
        </is>
      </c>
      <c r="M83" t="inlineStr">
        <is>
          <t>See CVE details</t>
        </is>
      </c>
      <c r="N83" t="inlineStr">
        <is>
          <t>P4</t>
        </is>
      </c>
      <c r="O83" t="inlineStr">
        <is>
          <t>CVE - IP enrichment n/a</t>
        </is>
      </c>
      <c r="P83" t="n">
        <v>0.0001</v>
      </c>
      <c r="Q83" t="n">
        <v>0.0182</v>
      </c>
      <c r="R83" t="inlineStr">
        <is>
          <t>T1185:Browser Session Hijacking</t>
        </is>
      </c>
      <c r="S83" t="n">
        <v>1</v>
      </c>
      <c r="T83" t="inlineStr">
        <is>
          <t>LOW (40%)</t>
        </is>
      </c>
      <c r="U83" t="inlineStr">
        <is>
          <t>UNLIKELY</t>
        </is>
      </c>
      <c r="V83" t="inlineStr">
        <is>
          <t>CHECK_VENDOR</t>
        </is>
      </c>
      <c r="W83" t="inlineStr">
        <is>
          <t>https://nvd.nist.gov/vuln/detail/CVE-2025-13413</t>
        </is>
      </c>
      <c r="X83" t="inlineStr">
        <is>
          <t>NONE</t>
        </is>
      </c>
      <c r="Y83" t="n">
        <v>0</v>
      </c>
      <c r="Z83" t="inlineStr"/>
      <c r="AA83" t="inlineStr">
        <is>
          <t>https://nvd.nist.gov/vuln/detail/CVE-2025-13413</t>
        </is>
      </c>
    </row>
    <row r="84">
      <c r="A84" t="inlineStr">
        <is>
          <t>CVE</t>
        </is>
      </c>
      <c r="B84" t="inlineStr">
        <is>
          <t>CVE-2025-13438</t>
        </is>
      </c>
      <c r="C84" t="inlineStr">
        <is>
          <t>The Page Title, Description &amp; Open Graph Updater plugin for WordPress is vulnerable to Cross-Site Request Forgery in all versions up to, and including, 1.02. This is due to missing nonce validation on multiple AJAX actions including dieno_update_page_title. This makes it possible for unauthenticated attackers to update page titles and metadata via a forged request granted they can trick a site administrator into performing an action such as clicking on a link.</t>
        </is>
      </c>
      <c r="D84" t="n">
        <v>4.3</v>
      </c>
      <c r="E84" t="inlineStr">
        <is>
          <t>MEDIUM</t>
        </is>
      </c>
      <c r="F84" t="n">
        <v>2</v>
      </c>
      <c r="G84" t="n">
        <v>2</v>
      </c>
      <c r="H84" t="inlineStr">
        <is>
          <t>MEDIUM</t>
        </is>
      </c>
      <c r="I84" t="n">
        <v>8.300000000000001</v>
      </c>
      <c r="J84" t="inlineStr">
        <is>
          <t>NO</t>
        </is>
      </c>
      <c r="K84" t="inlineStr">
        <is>
          <t>2026-02-26 00:15</t>
        </is>
      </c>
      <c r="L84" t="inlineStr">
        <is>
          <t>CHECK_VENDOR</t>
        </is>
      </c>
      <c r="M84" t="inlineStr">
        <is>
          <t>See CVE details</t>
        </is>
      </c>
      <c r="N84" t="inlineStr">
        <is>
          <t>P4</t>
        </is>
      </c>
      <c r="O84" t="inlineStr">
        <is>
          <t>CVE - IP enrichment n/a</t>
        </is>
      </c>
      <c r="P84" t="n">
        <v>0</v>
      </c>
      <c r="Q84" t="n">
        <v>0</v>
      </c>
      <c r="R84" t="inlineStr">
        <is>
          <t>T1185:Browser Session Hijacking</t>
        </is>
      </c>
      <c r="S84" t="n">
        <v>1</v>
      </c>
      <c r="T84" t="inlineStr">
        <is>
          <t>LOW (40%)</t>
        </is>
      </c>
      <c r="U84" t="inlineStr">
        <is>
          <t>UNLIKELY</t>
        </is>
      </c>
      <c r="V84" t="inlineStr">
        <is>
          <t>CHECK_VENDOR</t>
        </is>
      </c>
      <c r="W84" t="inlineStr">
        <is>
          <t>https://nvd.nist.gov/vuln/detail/CVE-2025-13438</t>
        </is>
      </c>
      <c r="X84" t="inlineStr">
        <is>
          <t>NONE</t>
        </is>
      </c>
      <c r="Y84" t="n">
        <v>0</v>
      </c>
      <c r="Z84" t="inlineStr"/>
      <c r="AA84" t="inlineStr">
        <is>
          <t>https://nvd.nist.gov/vuln/detail/CVE-2025-13438</t>
        </is>
      </c>
    </row>
    <row r="85">
      <c r="A85" t="inlineStr">
        <is>
          <t>CVE</t>
        </is>
      </c>
      <c r="B85" t="inlineStr">
        <is>
          <t>CVE-2025-13563</t>
        </is>
      </c>
      <c r="C85" t="inlineStr">
        <is>
          <t>The Lizza LMS Pro plugin for WordPress is vulnerable to Privilege Escalation in all versions up to, and including, 1.0.3. This is due to the 'lizza_lms_pro_register_user_front_end' function not restricting what user roles a user can register with. This makes it possible for unauthenticated attackers to supply the 'administrator' role during registration and gain administrator access to the site.</t>
        </is>
      </c>
      <c r="D85" t="n">
        <v>9.800000000000001</v>
      </c>
      <c r="E85" t="inlineStr">
        <is>
          <t>CRITICAL</t>
        </is>
      </c>
      <c r="F85" t="n">
        <v>2</v>
      </c>
      <c r="G85" t="n">
        <v>3</v>
      </c>
      <c r="H85" t="inlineStr">
        <is>
          <t>HIGH</t>
        </is>
      </c>
      <c r="I85" t="n">
        <v>15.8</v>
      </c>
      <c r="J85" t="inlineStr">
        <is>
          <t>NO</t>
        </is>
      </c>
      <c r="K85" t="inlineStr">
        <is>
          <t>2026-02-26 00:15</t>
        </is>
      </c>
      <c r="L85" t="inlineStr">
        <is>
          <t>CHECK_VENDOR</t>
        </is>
      </c>
      <c r="M85" t="inlineStr">
        <is>
          <t>See CVE details</t>
        </is>
      </c>
      <c r="N85" t="inlineStr">
        <is>
          <t>P3</t>
        </is>
      </c>
      <c r="O85" t="inlineStr">
        <is>
          <t>CVE - IP enrichment n/a</t>
        </is>
      </c>
      <c r="P85" t="n">
        <v>0</v>
      </c>
      <c r="Q85" t="n">
        <v>0</v>
      </c>
      <c r="R85" t="inlineStr">
        <is>
          <t>T1068:Exploitation for Privilege Escalation</t>
        </is>
      </c>
      <c r="S85" t="n">
        <v>1</v>
      </c>
      <c r="T85" t="inlineStr">
        <is>
          <t>LOW (40%)</t>
        </is>
      </c>
      <c r="U85" t="inlineStr">
        <is>
          <t>UNLIKELY</t>
        </is>
      </c>
      <c r="V85" t="inlineStr">
        <is>
          <t>CHECK_VENDOR</t>
        </is>
      </c>
      <c r="W85" t="inlineStr">
        <is>
          <t>https://nvd.nist.gov/vuln/detail/CVE-2025-13563</t>
        </is>
      </c>
      <c r="X85" t="inlineStr">
        <is>
          <t>NONE</t>
        </is>
      </c>
      <c r="Y85" t="n">
        <v>0</v>
      </c>
      <c r="Z85" t="inlineStr"/>
      <c r="AA85" t="inlineStr">
        <is>
          <t>https://nvd.nist.gov/vuln/detail/CVE-2025-13563</t>
        </is>
      </c>
    </row>
    <row r="86">
      <c r="A86" t="inlineStr">
        <is>
          <t>CVE</t>
        </is>
      </c>
      <c r="B86" t="inlineStr">
        <is>
          <t>CVE-2025-13587</t>
        </is>
      </c>
      <c r="C86" t="inlineStr">
        <is>
          <t>The Two Factor (2FA) Authentication via Email plugin for WordPress is vulnerable to Two-Factor Authentication Bypass in versions up to, and including, 1.9.8. This is because the SS88_2FAVE::wp_login() method only enforces the 2FA requirement if the 'token' HTTP GET parameter is undefined, which makes it possible to bypass two-factor authentication by supplying any value in the 'token' parameter during login, including an empty one.</t>
        </is>
      </c>
      <c r="D86" t="n">
        <v>6.5</v>
      </c>
      <c r="E86" t="inlineStr">
        <is>
          <t>MEDIUM</t>
        </is>
      </c>
      <c r="F86" t="n">
        <v>2</v>
      </c>
      <c r="G86" t="n">
        <v>2</v>
      </c>
      <c r="H86" t="inlineStr">
        <is>
          <t>MEDIUM</t>
        </is>
      </c>
      <c r="I86" t="n">
        <v>10.5</v>
      </c>
      <c r="J86" t="inlineStr">
        <is>
          <t>NO</t>
        </is>
      </c>
      <c r="K86" t="inlineStr">
        <is>
          <t>2026-02-26 00:15</t>
        </is>
      </c>
      <c r="L86" t="inlineStr">
        <is>
          <t>CHECK_VENDOR</t>
        </is>
      </c>
      <c r="M86" t="inlineStr">
        <is>
          <t>See CVE details</t>
        </is>
      </c>
      <c r="N86" t="inlineStr">
        <is>
          <t>P4</t>
        </is>
      </c>
      <c r="O86" t="inlineStr">
        <is>
          <t>CVE - IP enrichment n/a</t>
        </is>
      </c>
      <c r="P86" t="n">
        <v>0.001</v>
      </c>
      <c r="Q86" t="n">
        <v>0.2851</v>
      </c>
      <c r="R86" t="inlineStr">
        <is>
          <t>T1190:Exploit Public-Facing Application | T1078:Valid Accounts</t>
        </is>
      </c>
      <c r="S86" t="n">
        <v>1</v>
      </c>
      <c r="T86" t="inlineStr">
        <is>
          <t>LOW (40%)</t>
        </is>
      </c>
      <c r="U86" t="inlineStr">
        <is>
          <t>UNLIKELY</t>
        </is>
      </c>
      <c r="V86" t="inlineStr">
        <is>
          <t>CHECK_VENDOR</t>
        </is>
      </c>
      <c r="W86" t="inlineStr">
        <is>
          <t>https://nvd.nist.gov/vuln/detail/CVE-2025-13587</t>
        </is>
      </c>
      <c r="X86" t="inlineStr">
        <is>
          <t>NONE</t>
        </is>
      </c>
      <c r="Y86" t="n">
        <v>0</v>
      </c>
      <c r="Z86" t="inlineStr"/>
      <c r="AA86" t="inlineStr">
        <is>
          <t>https://nvd.nist.gov/vuln/detail/CVE-2025-13587</t>
        </is>
      </c>
    </row>
    <row r="87">
      <c r="A87" t="inlineStr">
        <is>
          <t>CVE</t>
        </is>
      </c>
      <c r="B87" t="inlineStr">
        <is>
          <t>CVE-2025-13603</t>
        </is>
      </c>
      <c r="C87" t="inlineStr">
        <is>
          <t>The WP AUDIO GALLERY plugin for WordPress is vulnerable to Unauthorized Arbitrary File Read in all versions up to, and including, 2.0. This is due to insufficient capability checks and lack of nonce verification on the "wpag_htaccess_callback" function This makes it possible for authenticated attackers, with subscriber-level access and above, to overwrite the site's .htaccess file with arbitrary content, which can lead to arbitrary file read on the server under certain configurations.</t>
        </is>
      </c>
      <c r="D87" t="n">
        <v>8.800000000000001</v>
      </c>
      <c r="E87" t="inlineStr">
        <is>
          <t>HIGH</t>
        </is>
      </c>
      <c r="F87" t="n">
        <v>2</v>
      </c>
      <c r="G87" t="n">
        <v>3</v>
      </c>
      <c r="H87" t="inlineStr">
        <is>
          <t>HIGH</t>
        </is>
      </c>
      <c r="I87" t="n">
        <v>14.8</v>
      </c>
      <c r="J87" t="inlineStr">
        <is>
          <t>NO</t>
        </is>
      </c>
      <c r="K87" t="inlineStr">
        <is>
          <t>2026-02-26 00:15</t>
        </is>
      </c>
      <c r="L87" t="inlineStr">
        <is>
          <t>CHECK_VENDOR</t>
        </is>
      </c>
      <c r="M87" t="inlineStr">
        <is>
          <t>See CVE details</t>
        </is>
      </c>
      <c r="N87" t="inlineStr">
        <is>
          <t>P3</t>
        </is>
      </c>
      <c r="O87" t="inlineStr">
        <is>
          <t>CVE - IP enrichment n/a</t>
        </is>
      </c>
      <c r="P87" t="n">
        <v>0</v>
      </c>
      <c r="Q87" t="n">
        <v>0</v>
      </c>
      <c r="R87" t="inlineStr">
        <is>
          <t>T1190:Exploit Public-Facing Application</t>
        </is>
      </c>
      <c r="S87" t="n">
        <v>1</v>
      </c>
      <c r="T87" t="inlineStr">
        <is>
          <t>LOW (40%)</t>
        </is>
      </c>
      <c r="U87" t="inlineStr">
        <is>
          <t>UNLIKELY</t>
        </is>
      </c>
      <c r="V87" t="inlineStr">
        <is>
          <t>CHECK_VENDOR</t>
        </is>
      </c>
      <c r="W87" t="inlineStr">
        <is>
          <t>https://nvd.nist.gov/vuln/detail/CVE-2025-13603</t>
        </is>
      </c>
      <c r="X87" t="inlineStr">
        <is>
          <t>NONE</t>
        </is>
      </c>
      <c r="Y87" t="n">
        <v>0</v>
      </c>
      <c r="Z87" t="inlineStr"/>
      <c r="AA87" t="inlineStr">
        <is>
          <t>https://nvd.nist.gov/vuln/detail/CVE-2025-13603</t>
        </is>
      </c>
    </row>
    <row r="88">
      <c r="A88" t="inlineStr">
        <is>
          <t>CVE</t>
        </is>
      </c>
      <c r="B88" t="inlineStr">
        <is>
          <t>CVE-2025-13612</t>
        </is>
      </c>
      <c r="C88" t="inlineStr">
        <is>
          <t>The Album and Image Gallery plus Lightbox plugin for WordPress is vulnerable to Stored Cross-Site Scripting via the plugin's `aigpl-gallery-album` shortcode in all versions up to, and including, 2.1.7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88" t="n">
        <v>6.4</v>
      </c>
      <c r="E88" t="inlineStr">
        <is>
          <t>MEDIUM</t>
        </is>
      </c>
      <c r="F88" t="n">
        <v>2</v>
      </c>
      <c r="G88" t="n">
        <v>2</v>
      </c>
      <c r="H88" t="inlineStr">
        <is>
          <t>MEDIUM</t>
        </is>
      </c>
      <c r="I88" t="n">
        <v>10.4</v>
      </c>
      <c r="J88" t="inlineStr">
        <is>
          <t>NO</t>
        </is>
      </c>
      <c r="K88" t="inlineStr">
        <is>
          <t>2026-02-26 00:15</t>
        </is>
      </c>
      <c r="L88" t="inlineStr">
        <is>
          <t>CHECK_VENDOR</t>
        </is>
      </c>
      <c r="M88" t="inlineStr">
        <is>
          <t>See CVE details</t>
        </is>
      </c>
      <c r="N88" t="inlineStr">
        <is>
          <t>P4</t>
        </is>
      </c>
      <c r="O88" t="inlineStr">
        <is>
          <t>CVE - IP enrichment n/a</t>
        </is>
      </c>
      <c r="P88" t="n">
        <v>0</v>
      </c>
      <c r="Q88" t="n">
        <v>0</v>
      </c>
      <c r="R88" t="inlineStr">
        <is>
          <t>T1189:Drive-by Compromise</t>
        </is>
      </c>
      <c r="S88" t="n">
        <v>1</v>
      </c>
      <c r="T88" t="inlineStr">
        <is>
          <t>LOW (40%)</t>
        </is>
      </c>
      <c r="U88" t="inlineStr">
        <is>
          <t>UNLIKELY</t>
        </is>
      </c>
      <c r="V88" t="inlineStr">
        <is>
          <t>CHECK_VENDOR</t>
        </is>
      </c>
      <c r="W88" t="inlineStr">
        <is>
          <t>https://nvd.nist.gov/vuln/detail/CVE-2025-13612</t>
        </is>
      </c>
      <c r="X88" t="inlineStr">
        <is>
          <t>NONE</t>
        </is>
      </c>
      <c r="Y88" t="n">
        <v>0</v>
      </c>
      <c r="Z88" t="inlineStr"/>
      <c r="AA88" t="inlineStr">
        <is>
          <t>https://nvd.nist.gov/vuln/detail/CVE-2025-13612</t>
        </is>
      </c>
    </row>
    <row r="89">
      <c r="A89" t="inlineStr">
        <is>
          <t>CVE</t>
        </is>
      </c>
      <c r="B89" t="inlineStr">
        <is>
          <t>CVE-2025-13617</t>
        </is>
      </c>
      <c r="C89" t="inlineStr">
        <is>
          <t>The Apollo13 Framework Extensions plugin for WordPress is vulnerable to Stored Cross-Site Scripting via the ‘a13_alt_link’ parameter in all versions up to, and including, 1.9.8 due to insufficient input sanitization and output escaping. This makes it possible for authenticated attackers, with Contributor-level access and above, to inject arbitrary web scripts in pages that will execute whenever a user accesses an injected page.</t>
        </is>
      </c>
      <c r="D89" t="n">
        <v>6.4</v>
      </c>
      <c r="E89" t="inlineStr">
        <is>
          <t>MEDIUM</t>
        </is>
      </c>
      <c r="F89" t="n">
        <v>2</v>
      </c>
      <c r="G89" t="n">
        <v>2</v>
      </c>
      <c r="H89" t="inlineStr">
        <is>
          <t>MEDIUM</t>
        </is>
      </c>
      <c r="I89" t="n">
        <v>10.4</v>
      </c>
      <c r="J89" t="inlineStr">
        <is>
          <t>NO</t>
        </is>
      </c>
      <c r="K89" t="inlineStr">
        <is>
          <t>2026-02-26 00:15</t>
        </is>
      </c>
      <c r="L89" t="inlineStr">
        <is>
          <t>CHECK_VENDOR</t>
        </is>
      </c>
      <c r="M89" t="inlineStr">
        <is>
          <t>See CVE details</t>
        </is>
      </c>
      <c r="N89" t="inlineStr">
        <is>
          <t>P4</t>
        </is>
      </c>
      <c r="O89" t="inlineStr">
        <is>
          <t>CVE - IP enrichment n/a</t>
        </is>
      </c>
      <c r="P89" t="n">
        <v>0</v>
      </c>
      <c r="Q89" t="n">
        <v>0</v>
      </c>
      <c r="R89" t="inlineStr">
        <is>
          <t>T1189:Drive-by Compromise</t>
        </is>
      </c>
      <c r="S89" t="n">
        <v>1</v>
      </c>
      <c r="T89" t="inlineStr">
        <is>
          <t>LOW (40%)</t>
        </is>
      </c>
      <c r="U89" t="inlineStr">
        <is>
          <t>UNLIKELY</t>
        </is>
      </c>
      <c r="V89" t="inlineStr">
        <is>
          <t>CHECK_VENDOR</t>
        </is>
      </c>
      <c r="W89" t="inlineStr">
        <is>
          <t>https://nvd.nist.gov/vuln/detail/CVE-2025-13617</t>
        </is>
      </c>
      <c r="X89" t="inlineStr">
        <is>
          <t>NONE</t>
        </is>
      </c>
      <c r="Y89" t="n">
        <v>0</v>
      </c>
      <c r="Z89" t="inlineStr"/>
      <c r="AA89" t="inlineStr">
        <is>
          <t>https://nvd.nist.gov/vuln/detail/CVE-2025-13617</t>
        </is>
      </c>
    </row>
    <row r="90">
      <c r="A90" t="inlineStr">
        <is>
          <t>CVE</t>
        </is>
      </c>
      <c r="B90" t="inlineStr">
        <is>
          <t>CVE-2025-13732</t>
        </is>
      </c>
      <c r="C90" t="inlineStr">
        <is>
          <t xml:space="preserve">The s2Member – Excellent for All Kinds of Memberships, Content Restriction Paywalls &amp; Member Access Subscriptions plugin for WordPress is vulnerable to Stored Cross-Site Scripting via the plugin's 's2Eot' shortcode in all versions up to, and including, 251005 due to insufficient input sanitization and output escaping. This makes it possible for authenticated attackers, with Contributor-level access and above, to inject arbitrary web scripts in pages that will execute whenever a user accesses an </t>
        </is>
      </c>
      <c r="D90" t="n">
        <v>6.4</v>
      </c>
      <c r="E90" t="inlineStr">
        <is>
          <t>MEDIUM</t>
        </is>
      </c>
      <c r="F90" t="n">
        <v>2</v>
      </c>
      <c r="G90" t="n">
        <v>2</v>
      </c>
      <c r="H90" t="inlineStr">
        <is>
          <t>MEDIUM</t>
        </is>
      </c>
      <c r="I90" t="n">
        <v>10.4</v>
      </c>
      <c r="J90" t="inlineStr">
        <is>
          <t>NO</t>
        </is>
      </c>
      <c r="K90" t="inlineStr">
        <is>
          <t>2026-02-26 00:15</t>
        </is>
      </c>
      <c r="L90" t="inlineStr">
        <is>
          <t>CHECK_VENDOR</t>
        </is>
      </c>
      <c r="M90" t="inlineStr">
        <is>
          <t>See CVE details</t>
        </is>
      </c>
      <c r="N90" t="inlineStr">
        <is>
          <t>P4</t>
        </is>
      </c>
      <c r="O90" t="inlineStr">
        <is>
          <t>CVE - IP enrichment n/a</t>
        </is>
      </c>
      <c r="P90" t="n">
        <v>0</v>
      </c>
      <c r="Q90" t="n">
        <v>0</v>
      </c>
      <c r="R90" t="inlineStr">
        <is>
          <t>T1189:Drive-by Compromise</t>
        </is>
      </c>
      <c r="S90" t="n">
        <v>1</v>
      </c>
      <c r="T90" t="inlineStr">
        <is>
          <t>LOW (40%)</t>
        </is>
      </c>
      <c r="U90" t="inlineStr">
        <is>
          <t>UNLIKELY</t>
        </is>
      </c>
      <c r="V90" t="inlineStr">
        <is>
          <t>CHECK_VENDOR</t>
        </is>
      </c>
      <c r="W90" t="inlineStr">
        <is>
          <t>https://nvd.nist.gov/vuln/detail/CVE-2025-13732</t>
        </is>
      </c>
      <c r="X90" t="inlineStr">
        <is>
          <t>NONE</t>
        </is>
      </c>
      <c r="Y90" t="n">
        <v>0</v>
      </c>
      <c r="Z90" t="inlineStr"/>
      <c r="AA90" t="inlineStr">
        <is>
          <t>https://nvd.nist.gov/vuln/detail/CVE-2025-13732</t>
        </is>
      </c>
    </row>
    <row r="91">
      <c r="A91" t="inlineStr">
        <is>
          <t>CVE</t>
        </is>
      </c>
      <c r="B91" t="inlineStr">
        <is>
          <t>CVE-2025-13738</t>
        </is>
      </c>
      <c r="C91" t="inlineStr">
        <is>
          <t>The Easy Table of Contents plugin for WordPress is vulnerable to Stored Cross-Site Scripting via the plugin's `ez-toc` shortcode in all versions up to, and including, 2.0.78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91" t="n">
        <v>6.4</v>
      </c>
      <c r="E91" t="inlineStr">
        <is>
          <t>MEDIUM</t>
        </is>
      </c>
      <c r="F91" t="n">
        <v>2</v>
      </c>
      <c r="G91" t="n">
        <v>2</v>
      </c>
      <c r="H91" t="inlineStr">
        <is>
          <t>MEDIUM</t>
        </is>
      </c>
      <c r="I91" t="n">
        <v>10.4</v>
      </c>
      <c r="J91" t="inlineStr">
        <is>
          <t>NO</t>
        </is>
      </c>
      <c r="K91" t="inlineStr">
        <is>
          <t>2026-02-26 00:15</t>
        </is>
      </c>
      <c r="L91" t="inlineStr">
        <is>
          <t>CHECK_VENDOR</t>
        </is>
      </c>
      <c r="M91" t="inlineStr">
        <is>
          <t>See CVE details</t>
        </is>
      </c>
      <c r="N91" t="inlineStr">
        <is>
          <t>P4</t>
        </is>
      </c>
      <c r="O91" t="inlineStr">
        <is>
          <t>CVE - IP enrichment n/a</t>
        </is>
      </c>
      <c r="P91" t="n">
        <v>0</v>
      </c>
      <c r="Q91" t="n">
        <v>0</v>
      </c>
      <c r="R91" t="inlineStr">
        <is>
          <t>T1189:Drive-by Compromise</t>
        </is>
      </c>
      <c r="S91" t="n">
        <v>1</v>
      </c>
      <c r="T91" t="inlineStr">
        <is>
          <t>LOW (40%)</t>
        </is>
      </c>
      <c r="U91" t="inlineStr">
        <is>
          <t>UNLIKELY</t>
        </is>
      </c>
      <c r="V91" t="inlineStr">
        <is>
          <t>CHECK_VENDOR</t>
        </is>
      </c>
      <c r="W91" t="inlineStr">
        <is>
          <t>https://nvd.nist.gov/vuln/detail/CVE-2025-13738</t>
        </is>
      </c>
      <c r="X91" t="inlineStr">
        <is>
          <t>NONE</t>
        </is>
      </c>
      <c r="Y91" t="n">
        <v>0</v>
      </c>
      <c r="Z91" t="inlineStr"/>
      <c r="AA91" t="inlineStr">
        <is>
          <t>https://nvd.nist.gov/vuln/detail/CVE-2025-13738</t>
        </is>
      </c>
    </row>
    <row r="92">
      <c r="A92" t="inlineStr">
        <is>
          <t>CVE</t>
        </is>
      </c>
      <c r="B92" t="inlineStr">
        <is>
          <t>CVE-2025-13842</t>
        </is>
      </c>
      <c r="C92" t="inlineStr">
        <is>
          <t xml:space="preserve">The Breadcrumb NavXT plugin for WordPress is vulnerable to authorization bypass through user-controlled key in versions up to and including 7.5.0. This is due to the Gutenberg block renderer trusting the $_REQUEST['post_id'] parameter without verification in the includes/blocks/build/breadcrumb-trail/render.php file. This makes it possible for unauthenticated attackers to enumerate and view breadcrumb trails for draft or private posts by manipulating the post_id parameter, revealing post titles </t>
        </is>
      </c>
      <c r="D92" t="n">
        <v>5.3</v>
      </c>
      <c r="E92" t="inlineStr">
        <is>
          <t>MEDIUM</t>
        </is>
      </c>
      <c r="F92" t="n">
        <v>2</v>
      </c>
      <c r="G92" t="n">
        <v>2</v>
      </c>
      <c r="H92" t="inlineStr">
        <is>
          <t>MEDIUM</t>
        </is>
      </c>
      <c r="I92" t="n">
        <v>9.300000000000001</v>
      </c>
      <c r="J92" t="inlineStr">
        <is>
          <t>NO</t>
        </is>
      </c>
      <c r="K92" t="inlineStr">
        <is>
          <t>2026-02-26 00:15</t>
        </is>
      </c>
      <c r="L92" t="inlineStr">
        <is>
          <t>CHECK_VENDOR</t>
        </is>
      </c>
      <c r="M92" t="inlineStr">
        <is>
          <t>See CVE details</t>
        </is>
      </c>
      <c r="N92" t="inlineStr">
        <is>
          <t>P4</t>
        </is>
      </c>
      <c r="O92" t="inlineStr">
        <is>
          <t>CVE - IP enrichment n/a</t>
        </is>
      </c>
      <c r="P92" t="n">
        <v>0</v>
      </c>
      <c r="Q92" t="n">
        <v>0</v>
      </c>
      <c r="R92" t="inlineStr">
        <is>
          <t>T1190:Exploit Public-Facing Application</t>
        </is>
      </c>
      <c r="S92" t="n">
        <v>1</v>
      </c>
      <c r="T92" t="inlineStr">
        <is>
          <t>LOW (40%)</t>
        </is>
      </c>
      <c r="U92" t="inlineStr">
        <is>
          <t>UNLIKELY</t>
        </is>
      </c>
      <c r="V92" t="inlineStr">
        <is>
          <t>CHECK_VENDOR</t>
        </is>
      </c>
      <c r="W92" t="inlineStr">
        <is>
          <t>https://nvd.nist.gov/vuln/detail/CVE-2025-13842</t>
        </is>
      </c>
      <c r="X92" t="inlineStr">
        <is>
          <t>NONE</t>
        </is>
      </c>
      <c r="Y92" t="n">
        <v>0</v>
      </c>
      <c r="Z92" t="inlineStr"/>
      <c r="AA92" t="inlineStr">
        <is>
          <t>https://nvd.nist.gov/vuln/detail/CVE-2025-13842</t>
        </is>
      </c>
    </row>
    <row r="93">
      <c r="A93" t="inlineStr">
        <is>
          <t>CVE</t>
        </is>
      </c>
      <c r="B93" t="inlineStr">
        <is>
          <t>CVE-2025-13851</t>
        </is>
      </c>
      <c r="C93" t="inlineStr">
        <is>
          <t>The Buyent Classified plugin for WordPress (bundled with Buyent theme) is vulnerable to privilege escalation via user registration in all versions up to, and including, 1.0.7. This is due to the plugin not validating or restricting the user role during registration via the REST API endpoint. This makes it possible for unauthenticated attackers to register accounts with arbitrary roles, including administrator, by manipulating the _buyent_classified_user_type parameter during the registration pro</t>
        </is>
      </c>
      <c r="D93" t="n">
        <v>9.800000000000001</v>
      </c>
      <c r="E93" t="inlineStr">
        <is>
          <t>CRITICAL</t>
        </is>
      </c>
      <c r="F93" t="n">
        <v>2</v>
      </c>
      <c r="G93" t="n">
        <v>3</v>
      </c>
      <c r="H93" t="inlineStr">
        <is>
          <t>HIGH</t>
        </is>
      </c>
      <c r="I93" t="n">
        <v>15.8</v>
      </c>
      <c r="J93" t="inlineStr">
        <is>
          <t>NO</t>
        </is>
      </c>
      <c r="K93" t="inlineStr">
        <is>
          <t>2026-02-26 00:15</t>
        </is>
      </c>
      <c r="L93" t="inlineStr">
        <is>
          <t>CHECK_VENDOR</t>
        </is>
      </c>
      <c r="M93" t="inlineStr">
        <is>
          <t>See CVE details</t>
        </is>
      </c>
      <c r="N93" t="inlineStr">
        <is>
          <t>P3</t>
        </is>
      </c>
      <c r="O93" t="inlineStr">
        <is>
          <t>CVE - IP enrichment n/a</t>
        </is>
      </c>
      <c r="P93" t="n">
        <v>0</v>
      </c>
      <c r="Q93" t="n">
        <v>0</v>
      </c>
      <c r="R93" t="inlineStr">
        <is>
          <t>T1068:Exploitation for Privilege Escalation</t>
        </is>
      </c>
      <c r="S93" t="n">
        <v>1</v>
      </c>
      <c r="T93" t="inlineStr">
        <is>
          <t>LOW (40%)</t>
        </is>
      </c>
      <c r="U93" t="inlineStr">
        <is>
          <t>UNLIKELY</t>
        </is>
      </c>
      <c r="V93" t="inlineStr">
        <is>
          <t>CHECK_VENDOR</t>
        </is>
      </c>
      <c r="W93" t="inlineStr">
        <is>
          <t>https://nvd.nist.gov/vuln/detail/CVE-2025-13851</t>
        </is>
      </c>
      <c r="X93" t="inlineStr">
        <is>
          <t>NONE</t>
        </is>
      </c>
      <c r="Y93" t="n">
        <v>0</v>
      </c>
      <c r="Z93" t="inlineStr"/>
      <c r="AA93" t="inlineStr">
        <is>
          <t>https://nvd.nist.gov/vuln/detail/CVE-2025-13851</t>
        </is>
      </c>
    </row>
    <row r="94">
      <c r="A94" t="inlineStr">
        <is>
          <t>CVE</t>
        </is>
      </c>
      <c r="B94" t="inlineStr">
        <is>
          <t>CVE-2025-13864</t>
        </is>
      </c>
      <c r="C94" t="inlineStr">
        <is>
          <t>The Breeze - WordPress Cache Plugin plugin for WordPress is vulnerable to unauthorized cache clearing in all versions up to, and including, 2.2.21. This is due to the REST API endpoint `/wp-json/breeze/v1/clear-all-cache` being registered with `permission_callback =&gt; '__return_true'` and authentication being disabled by default when the API is enabled. This makes it possible for unauthenticated attackers to clear all site caches (page cache, Varnish, and Cloudflare) via a simple POST request, gr</t>
        </is>
      </c>
      <c r="D94" t="n">
        <v>5.3</v>
      </c>
      <c r="E94" t="inlineStr">
        <is>
          <t>MEDIUM</t>
        </is>
      </c>
      <c r="F94" t="n">
        <v>2</v>
      </c>
      <c r="G94" t="n">
        <v>2</v>
      </c>
      <c r="H94" t="inlineStr">
        <is>
          <t>MEDIUM</t>
        </is>
      </c>
      <c r="I94" t="n">
        <v>9.300000000000001</v>
      </c>
      <c r="J94" t="inlineStr">
        <is>
          <t>NO</t>
        </is>
      </c>
      <c r="K94" t="inlineStr">
        <is>
          <t>2026-02-26 00:15</t>
        </is>
      </c>
      <c r="L94" t="inlineStr">
        <is>
          <t>CHECK_VENDOR</t>
        </is>
      </c>
      <c r="M94" t="inlineStr">
        <is>
          <t>See CVE details</t>
        </is>
      </c>
      <c r="N94" t="inlineStr">
        <is>
          <t>P4</t>
        </is>
      </c>
      <c r="O94" t="inlineStr">
        <is>
          <t>CVE - IP enrichment n/a</t>
        </is>
      </c>
      <c r="P94" t="n">
        <v>0</v>
      </c>
      <c r="Q94" t="n">
        <v>0</v>
      </c>
      <c r="R94" t="inlineStr">
        <is>
          <t>T1190:Exploit Public-Facing Application</t>
        </is>
      </c>
      <c r="S94" t="n">
        <v>1</v>
      </c>
      <c r="T94" t="inlineStr">
        <is>
          <t>LOW (40%)</t>
        </is>
      </c>
      <c r="U94" t="inlineStr">
        <is>
          <t>UNLIKELY</t>
        </is>
      </c>
      <c r="V94" t="inlineStr">
        <is>
          <t>CHECK_VENDOR</t>
        </is>
      </c>
      <c r="W94" t="inlineStr">
        <is>
          <t>https://nvd.nist.gov/vuln/detail/CVE-2025-13864</t>
        </is>
      </c>
      <c r="X94" t="inlineStr">
        <is>
          <t>NONE</t>
        </is>
      </c>
      <c r="Y94" t="n">
        <v>0</v>
      </c>
      <c r="Z94" t="inlineStr"/>
      <c r="AA94" t="inlineStr">
        <is>
          <t>https://nvd.nist.gov/vuln/detail/CVE-2025-13864</t>
        </is>
      </c>
    </row>
    <row r="95">
      <c r="A95" t="inlineStr">
        <is>
          <t>CVE</t>
        </is>
      </c>
      <c r="B95" t="inlineStr">
        <is>
          <t>CVE-2025-13930</t>
        </is>
      </c>
      <c r="C95" t="inlineStr">
        <is>
          <t>The Checkout Field Manager (Checkout Manager) for WooCommerce plugin for WordPress is vulnerable to authorization bypass in versions up to, and including, 7.8.5. This is due to the plugin not properly verifying that a user is authorized to delete an attachment combined with flawed guest order ownership validation. This makes it possible for unauthenticated attackers to delete attachments associated with guest orders using only the publicly available wooccm_upload nonce and attachment ID.</t>
        </is>
      </c>
      <c r="D95" t="n">
        <v>5.3</v>
      </c>
      <c r="E95" t="inlineStr">
        <is>
          <t>MEDIUM</t>
        </is>
      </c>
      <c r="F95" t="n">
        <v>2</v>
      </c>
      <c r="G95" t="n">
        <v>2</v>
      </c>
      <c r="H95" t="inlineStr">
        <is>
          <t>MEDIUM</t>
        </is>
      </c>
      <c r="I95" t="n">
        <v>9.300000000000001</v>
      </c>
      <c r="J95" t="inlineStr">
        <is>
          <t>NO</t>
        </is>
      </c>
      <c r="K95" t="inlineStr">
        <is>
          <t>2026-02-26 00:15</t>
        </is>
      </c>
      <c r="L95" t="inlineStr">
        <is>
          <t>CHECK_VENDOR</t>
        </is>
      </c>
      <c r="M95" t="inlineStr">
        <is>
          <t>See CVE details</t>
        </is>
      </c>
      <c r="N95" t="inlineStr">
        <is>
          <t>P4</t>
        </is>
      </c>
      <c r="O95" t="inlineStr">
        <is>
          <t>CVE - IP enrichment n/a</t>
        </is>
      </c>
      <c r="P95" t="n">
        <v>0.0005999999999999999</v>
      </c>
      <c r="Q95" t="n">
        <v>0.184</v>
      </c>
      <c r="R95" t="inlineStr">
        <is>
          <t>T1190:Exploit Public-Facing Application</t>
        </is>
      </c>
      <c r="S95" t="n">
        <v>1</v>
      </c>
      <c r="T95" t="inlineStr">
        <is>
          <t>LOW (40%)</t>
        </is>
      </c>
      <c r="U95" t="inlineStr">
        <is>
          <t>UNLIKELY</t>
        </is>
      </c>
      <c r="V95" t="inlineStr">
        <is>
          <t>CHECK_VENDOR</t>
        </is>
      </c>
      <c r="W95" t="inlineStr">
        <is>
          <t>https://nvd.nist.gov/vuln/detail/CVE-2025-13930</t>
        </is>
      </c>
      <c r="X95" t="inlineStr">
        <is>
          <t>NONE</t>
        </is>
      </c>
      <c r="Y95" t="n">
        <v>0</v>
      </c>
      <c r="Z95" t="inlineStr"/>
      <c r="AA95" t="inlineStr">
        <is>
          <t>https://nvd.nist.gov/vuln/detail/CVE-2025-13930</t>
        </is>
      </c>
    </row>
    <row r="96">
      <c r="A96" t="inlineStr">
        <is>
          <t>CVE</t>
        </is>
      </c>
      <c r="B96" t="inlineStr">
        <is>
          <t>CVE-2025-14076</t>
        </is>
      </c>
      <c r="C96" t="inlineStr">
        <is>
          <t>The iXML – Google XML sitemap generator plugin for WordPress is vulnerable to Reflected Cross-Site Scripting via the 'iXML_email' parameter in all versions up to, and including, 0.6 due to insufficient input sanitization and output escaping. This makes it possible for unauthenticated attackers to inject arbitrary web scripts in pages that execute if they can successfully trick a user into performing an action such as clicking on a link.</t>
        </is>
      </c>
      <c r="D96" t="n">
        <v>6.1</v>
      </c>
      <c r="E96" t="inlineStr">
        <is>
          <t>MEDIUM</t>
        </is>
      </c>
      <c r="F96" t="n">
        <v>2</v>
      </c>
      <c r="G96" t="n">
        <v>2</v>
      </c>
      <c r="H96" t="inlineStr">
        <is>
          <t>MEDIUM</t>
        </is>
      </c>
      <c r="I96" t="n">
        <v>10.1</v>
      </c>
      <c r="J96" t="inlineStr">
        <is>
          <t>NO</t>
        </is>
      </c>
      <c r="K96" t="inlineStr">
        <is>
          <t>2026-02-26 00:15</t>
        </is>
      </c>
      <c r="L96" t="inlineStr">
        <is>
          <t>CHECK_VENDOR</t>
        </is>
      </c>
      <c r="M96" t="inlineStr">
        <is>
          <t>See CVE details</t>
        </is>
      </c>
      <c r="N96" t="inlineStr">
        <is>
          <t>P4</t>
        </is>
      </c>
      <c r="O96" t="inlineStr">
        <is>
          <t>CVE - IP enrichment n/a</t>
        </is>
      </c>
      <c r="P96" t="n">
        <v>0</v>
      </c>
      <c r="Q96" t="n">
        <v>0</v>
      </c>
      <c r="R96" t="inlineStr">
        <is>
          <t>T1189:Drive-by Compromise</t>
        </is>
      </c>
      <c r="S96" t="n">
        <v>1</v>
      </c>
      <c r="T96" t="inlineStr">
        <is>
          <t>LOW (40%)</t>
        </is>
      </c>
      <c r="U96" t="inlineStr">
        <is>
          <t>UNLIKELY</t>
        </is>
      </c>
      <c r="V96" t="inlineStr">
        <is>
          <t>CHECK_VENDOR</t>
        </is>
      </c>
      <c r="W96" t="inlineStr">
        <is>
          <t>https://nvd.nist.gov/vuln/detail/CVE-2025-14076</t>
        </is>
      </c>
      <c r="X96" t="inlineStr">
        <is>
          <t>NONE</t>
        </is>
      </c>
      <c r="Y96" t="n">
        <v>0</v>
      </c>
      <c r="Z96" t="inlineStr"/>
      <c r="AA96" t="inlineStr">
        <is>
          <t>https://nvd.nist.gov/vuln/detail/CVE-2025-14076</t>
        </is>
      </c>
    </row>
    <row r="97">
      <c r="A97" t="inlineStr">
        <is>
          <t>CVE</t>
        </is>
      </c>
      <c r="B97" t="inlineStr">
        <is>
          <t>CVE-2025-14167</t>
        </is>
      </c>
      <c r="C97" t="inlineStr">
        <is>
          <t>The Remove Post Type Slug plugin for WordPress is vulnerable to Cross-Site Request Forgery in all versions up to, and including, 1.0.2. This is due to incorrect nonce validation logic that uses OR (||) instead of AND (&amp;&amp;), causing the validation to fail when the nonce field is not empty OR when verification fails, rather than when it's empty AND verification fails. This makes it possible for unauthenticated attackers to modify the plugin's post type slug removal settings via a forged request gra</t>
        </is>
      </c>
      <c r="D97" t="n">
        <v>4.3</v>
      </c>
      <c r="E97" t="inlineStr">
        <is>
          <t>MEDIUM</t>
        </is>
      </c>
      <c r="F97" t="n">
        <v>2</v>
      </c>
      <c r="G97" t="n">
        <v>2</v>
      </c>
      <c r="H97" t="inlineStr">
        <is>
          <t>MEDIUM</t>
        </is>
      </c>
      <c r="I97" t="n">
        <v>8.300000000000001</v>
      </c>
      <c r="J97" t="inlineStr">
        <is>
          <t>NO</t>
        </is>
      </c>
      <c r="K97" t="inlineStr">
        <is>
          <t>2026-02-26 00:15</t>
        </is>
      </c>
      <c r="L97" t="inlineStr">
        <is>
          <t>CHECK_VENDOR</t>
        </is>
      </c>
      <c r="M97" t="inlineStr">
        <is>
          <t>See CVE details</t>
        </is>
      </c>
      <c r="N97" t="inlineStr">
        <is>
          <t>P4</t>
        </is>
      </c>
      <c r="O97" t="inlineStr">
        <is>
          <t>CVE - IP enrichment n/a</t>
        </is>
      </c>
      <c r="P97" t="n">
        <v>0</v>
      </c>
      <c r="Q97" t="n">
        <v>0</v>
      </c>
      <c r="R97" t="inlineStr">
        <is>
          <t>T1185:Browser Session Hijacking</t>
        </is>
      </c>
      <c r="S97" t="n">
        <v>1</v>
      </c>
      <c r="T97" t="inlineStr">
        <is>
          <t>LOW (40%)</t>
        </is>
      </c>
      <c r="U97" t="inlineStr">
        <is>
          <t>UNLIKELY</t>
        </is>
      </c>
      <c r="V97" t="inlineStr">
        <is>
          <t>CHECK_VENDOR</t>
        </is>
      </c>
      <c r="W97" t="inlineStr">
        <is>
          <t>https://nvd.nist.gov/vuln/detail/CVE-2025-14167</t>
        </is>
      </c>
      <c r="X97" t="inlineStr">
        <is>
          <t>NONE</t>
        </is>
      </c>
      <c r="Y97" t="n">
        <v>0</v>
      </c>
      <c r="Z97" t="inlineStr"/>
      <c r="AA97" t="inlineStr">
        <is>
          <t>https://nvd.nist.gov/vuln/detail/CVE-2025-14167</t>
        </is>
      </c>
    </row>
    <row r="98">
      <c r="A98" t="inlineStr">
        <is>
          <t>CVE</t>
        </is>
      </c>
      <c r="B98" t="inlineStr">
        <is>
          <t>CVE-2025-14270</t>
        </is>
      </c>
      <c r="C98" t="inlineStr">
        <is>
          <t>The OneClick Chat to Order plugin for WordPress is vulnerable to authorization bypass in versions up to, and including, 1.0.9. This is due to the plugin not properly verifying that a user is authorized to perform an action in the wa_order_number_save_number_field function. This makes it possible for authenticated attackers, with Editor-level access and above, to modify WhatsApp phone numbers used by the plugin, redirecting customer orders and messages to attacker-controlled phone numbers.</t>
        </is>
      </c>
      <c r="D98" t="n">
        <v>2.7</v>
      </c>
      <c r="E98" t="inlineStr">
        <is>
          <t>LOW</t>
        </is>
      </c>
      <c r="F98" t="n">
        <v>2</v>
      </c>
      <c r="G98" t="n">
        <v>1</v>
      </c>
      <c r="H98" t="inlineStr">
        <is>
          <t>LOW</t>
        </is>
      </c>
      <c r="I98" t="n">
        <v>4.7</v>
      </c>
      <c r="J98" t="inlineStr">
        <is>
          <t>NO</t>
        </is>
      </c>
      <c r="K98" t="inlineStr">
        <is>
          <t>2026-02-26 00:15</t>
        </is>
      </c>
      <c r="L98" t="inlineStr">
        <is>
          <t>CHECK_VENDOR</t>
        </is>
      </c>
      <c r="M98" t="inlineStr">
        <is>
          <t>See CVE details</t>
        </is>
      </c>
      <c r="N98" t="inlineStr">
        <is>
          <t>P4</t>
        </is>
      </c>
      <c r="O98" t="inlineStr">
        <is>
          <t>CVE - IP enrichment n/a</t>
        </is>
      </c>
      <c r="P98" t="n">
        <v>0</v>
      </c>
      <c r="Q98" t="n">
        <v>0</v>
      </c>
      <c r="R98" t="inlineStr">
        <is>
          <t>T1190:Exploit Public-Facing Application</t>
        </is>
      </c>
      <c r="S98" t="n">
        <v>1</v>
      </c>
      <c r="T98" t="inlineStr">
        <is>
          <t>LOW (40%)</t>
        </is>
      </c>
      <c r="U98" t="inlineStr">
        <is>
          <t>UNLIKELY</t>
        </is>
      </c>
      <c r="V98" t="inlineStr">
        <is>
          <t>CHECK_VENDOR</t>
        </is>
      </c>
      <c r="W98" t="inlineStr">
        <is>
          <t>https://nvd.nist.gov/vuln/detail/CVE-2025-14270</t>
        </is>
      </c>
      <c r="X98" t="inlineStr">
        <is>
          <t>NONE</t>
        </is>
      </c>
      <c r="Y98" t="n">
        <v>0</v>
      </c>
      <c r="Z98" t="inlineStr"/>
      <c r="AA98" t="inlineStr">
        <is>
          <t>https://nvd.nist.gov/vuln/detail/CVE-2025-14270</t>
        </is>
      </c>
    </row>
    <row r="99">
      <c r="A99" t="inlineStr">
        <is>
          <t>CVE</t>
        </is>
      </c>
      <c r="B99" t="inlineStr">
        <is>
          <t>CVE-2025-14294</t>
        </is>
      </c>
      <c r="C99" t="inlineStr">
        <is>
          <t>The Razorpay for WooCommerce plugin for WordPress is vulnerable to unauthorized modification of data due to a missing capability check on the getCouponList() function in all versions up to, and including, 4.7.8. This is due to the checkAuthCredentials() permission callback always returning true, providing no actual authentication. This makes it possible for unauthenticated attackers to modify the billing and shipping contact information (email and phone) of any WooCommerce order by knowing or gu</t>
        </is>
      </c>
      <c r="D99" t="n">
        <v>5.3</v>
      </c>
      <c r="E99" t="inlineStr">
        <is>
          <t>MEDIUM</t>
        </is>
      </c>
      <c r="F99" t="n">
        <v>2</v>
      </c>
      <c r="G99" t="n">
        <v>2</v>
      </c>
      <c r="H99" t="inlineStr">
        <is>
          <t>MEDIUM</t>
        </is>
      </c>
      <c r="I99" t="n">
        <v>9.300000000000001</v>
      </c>
      <c r="J99" t="inlineStr">
        <is>
          <t>NO</t>
        </is>
      </c>
      <c r="K99" t="inlineStr">
        <is>
          <t>2026-02-26 00:15</t>
        </is>
      </c>
      <c r="L99" t="inlineStr">
        <is>
          <t>CHECK_VENDOR</t>
        </is>
      </c>
      <c r="M99" t="inlineStr">
        <is>
          <t>See CVE details</t>
        </is>
      </c>
      <c r="N99" t="inlineStr">
        <is>
          <t>P4</t>
        </is>
      </c>
      <c r="O99" t="inlineStr">
        <is>
          <t>CVE - IP enrichment n/a</t>
        </is>
      </c>
      <c r="P99" t="n">
        <v>0</v>
      </c>
      <c r="Q99" t="n">
        <v>0</v>
      </c>
      <c r="R99" t="inlineStr">
        <is>
          <t>T1078:Valid Accounts | T1190:Exploit Public-Facing Application | T1552:Unsecured Credentials</t>
        </is>
      </c>
      <c r="S99" t="n">
        <v>1</v>
      </c>
      <c r="T99" t="inlineStr">
        <is>
          <t>LOW (40%)</t>
        </is>
      </c>
      <c r="U99" t="inlineStr">
        <is>
          <t>UNLIKELY</t>
        </is>
      </c>
      <c r="V99" t="inlineStr">
        <is>
          <t>CHECK_VENDOR</t>
        </is>
      </c>
      <c r="W99" t="inlineStr">
        <is>
          <t>https://nvd.nist.gov/vuln/detail/CVE-2025-14294</t>
        </is>
      </c>
      <c r="X99" t="inlineStr">
        <is>
          <t>NONE</t>
        </is>
      </c>
      <c r="Y99" t="n">
        <v>0</v>
      </c>
      <c r="Z99" t="inlineStr"/>
      <c r="AA99" t="inlineStr">
        <is>
          <t>https://nvd.nist.gov/vuln/detail/CVE-2025-14294</t>
        </is>
      </c>
    </row>
    <row r="100">
      <c r="A100" t="inlineStr">
        <is>
          <t>CVE</t>
        </is>
      </c>
      <c r="B100" t="inlineStr">
        <is>
          <t>CVE-2025-14342</t>
        </is>
      </c>
      <c r="C100" t="inlineStr">
        <is>
          <t>The SEO Plugin by Squirrly SEO plugin for WordPress is vulnerable to unauthorized modification of data due to a missing capability check on the sq_ajax_uninstall function in all versions up to, and including, 12.4.14. This makes it possible for authenticated attackers, with Subscriber-level access and above, to disconnect the site from Squirrly's cloud service.</t>
        </is>
      </c>
      <c r="D100" t="n">
        <v>4.3</v>
      </c>
      <c r="E100" t="inlineStr">
        <is>
          <t>MEDIUM</t>
        </is>
      </c>
      <c r="F100" t="n">
        <v>2</v>
      </c>
      <c r="G100" t="n">
        <v>2</v>
      </c>
      <c r="H100" t="inlineStr">
        <is>
          <t>MEDIUM</t>
        </is>
      </c>
      <c r="I100" t="n">
        <v>8.300000000000001</v>
      </c>
      <c r="J100" t="inlineStr">
        <is>
          <t>NO</t>
        </is>
      </c>
      <c r="K100" t="inlineStr">
        <is>
          <t>2026-02-26 00:15</t>
        </is>
      </c>
      <c r="L100" t="inlineStr">
        <is>
          <t>CHECK_VENDOR</t>
        </is>
      </c>
      <c r="M100" t="inlineStr">
        <is>
          <t>See CVE details</t>
        </is>
      </c>
      <c r="N100" t="inlineStr">
        <is>
          <t>P4</t>
        </is>
      </c>
      <c r="O100" t="inlineStr">
        <is>
          <t>CVE - IP enrichment n/a</t>
        </is>
      </c>
      <c r="P100" t="n">
        <v>0</v>
      </c>
      <c r="Q100" t="n">
        <v>0</v>
      </c>
      <c r="R100" t="inlineStr">
        <is>
          <t>T1190:Exploit Public-Facing Application</t>
        </is>
      </c>
      <c r="S100" t="n">
        <v>1</v>
      </c>
      <c r="T100" t="inlineStr">
        <is>
          <t>LOW (40%)</t>
        </is>
      </c>
      <c r="U100" t="inlineStr">
        <is>
          <t>UNLIKELY</t>
        </is>
      </c>
      <c r="V100" t="inlineStr">
        <is>
          <t>CHECK_VENDOR</t>
        </is>
      </c>
      <c r="W100" t="inlineStr">
        <is>
          <t>https://nvd.nist.gov/vuln/detail/CVE-2025-14342</t>
        </is>
      </c>
      <c r="X100" t="inlineStr">
        <is>
          <t>NONE</t>
        </is>
      </c>
      <c r="Y100" t="n">
        <v>0</v>
      </c>
      <c r="Z100" t="inlineStr"/>
      <c r="AA100" t="inlineStr">
        <is>
          <t>https://nvd.nist.gov/vuln/detail/CVE-2025-14342</t>
        </is>
      </c>
    </row>
    <row r="101">
      <c r="A101" t="inlineStr">
        <is>
          <t>CVE</t>
        </is>
      </c>
      <c r="B101" t="inlineStr">
        <is>
          <t>CVE-2025-14357</t>
        </is>
      </c>
      <c r="C101" t="inlineStr">
        <is>
          <t>The Mega Store Woocommerce theme for WordPress is vulnerable to unauthorized modification of data due to a missing capability check on the setup_widgets() function in core/includes/importer/whizzie.php in all versions up to, and including, 5.9. This makes it possible for authenticated attackers, with Subscriber-level access and above, to create arbitrary pages and modify site settings.</t>
        </is>
      </c>
      <c r="D101" t="n">
        <v>5.3</v>
      </c>
      <c r="E101" t="inlineStr">
        <is>
          <t>MEDIUM</t>
        </is>
      </c>
      <c r="F101" t="n">
        <v>2</v>
      </c>
      <c r="G101" t="n">
        <v>2</v>
      </c>
      <c r="H101" t="inlineStr">
        <is>
          <t>MEDIUM</t>
        </is>
      </c>
      <c r="I101" t="n">
        <v>9.300000000000001</v>
      </c>
      <c r="J101" t="inlineStr">
        <is>
          <t>NO</t>
        </is>
      </c>
      <c r="K101" t="inlineStr">
        <is>
          <t>2026-02-26 00:15</t>
        </is>
      </c>
      <c r="L101" t="inlineStr">
        <is>
          <t>CHECK_VENDOR</t>
        </is>
      </c>
      <c r="M101" t="inlineStr">
        <is>
          <t>See CVE details</t>
        </is>
      </c>
      <c r="N101" t="inlineStr">
        <is>
          <t>P4</t>
        </is>
      </c>
      <c r="O101" t="inlineStr">
        <is>
          <t>CVE - IP enrichment n/a</t>
        </is>
      </c>
      <c r="P101" t="n">
        <v>0.0003</v>
      </c>
      <c r="Q101" t="n">
        <v>0.1</v>
      </c>
      <c r="R101" t="inlineStr">
        <is>
          <t>T1190:Exploit Public-Facing Application</t>
        </is>
      </c>
      <c r="S101" t="n">
        <v>1</v>
      </c>
      <c r="T101" t="inlineStr">
        <is>
          <t>LOW (40%)</t>
        </is>
      </c>
      <c r="U101" t="inlineStr">
        <is>
          <t>UNLIKELY</t>
        </is>
      </c>
      <c r="V101" t="inlineStr">
        <is>
          <t>CHECK_VENDOR</t>
        </is>
      </c>
      <c r="W101" t="inlineStr">
        <is>
          <t>https://nvd.nist.gov/vuln/detail/CVE-2025-14357</t>
        </is>
      </c>
      <c r="X101" t="inlineStr">
        <is>
          <t>NONE</t>
        </is>
      </c>
      <c r="Y101" t="n">
        <v>0</v>
      </c>
      <c r="Z101" t="inlineStr"/>
      <c r="AA101" t="inlineStr">
        <is>
          <t>https://nvd.nist.gov/vuln/detail/CVE-2025-14357</t>
        </is>
      </c>
    </row>
    <row r="102">
      <c r="A102" t="inlineStr">
        <is>
          <t>CVE</t>
        </is>
      </c>
      <c r="B102" t="inlineStr">
        <is>
          <t>CVE-2025-14427</t>
        </is>
      </c>
      <c r="C102" t="inlineStr">
        <is>
          <t>The Shield Security: Blocks Bots, Protects Users, and Prevents Security Breaches plugin for WordPress is vulnerable to unauthorized modification of data due to a missing capability check on the `MfaEmailDisable` action in all versions up to, and including, 21.0.9. This makes it possible for authenticated attackers, with Subscriber-level access and above, to disable the global Email 2FA setting for the entire site.</t>
        </is>
      </c>
      <c r="D102" t="n">
        <v>4.3</v>
      </c>
      <c r="E102" t="inlineStr">
        <is>
          <t>MEDIUM</t>
        </is>
      </c>
      <c r="F102" t="n">
        <v>2</v>
      </c>
      <c r="G102" t="n">
        <v>2</v>
      </c>
      <c r="H102" t="inlineStr">
        <is>
          <t>MEDIUM</t>
        </is>
      </c>
      <c r="I102" t="n">
        <v>8.300000000000001</v>
      </c>
      <c r="J102" t="inlineStr">
        <is>
          <t>NO</t>
        </is>
      </c>
      <c r="K102" t="inlineStr">
        <is>
          <t>2026-02-26 00:15</t>
        </is>
      </c>
      <c r="L102" t="inlineStr">
        <is>
          <t>CHECK_VENDOR</t>
        </is>
      </c>
      <c r="M102" t="inlineStr">
        <is>
          <t>See CVE details</t>
        </is>
      </c>
      <c r="N102" t="inlineStr">
        <is>
          <t>P4</t>
        </is>
      </c>
      <c r="O102" t="inlineStr">
        <is>
          <t>CVE - IP enrichment n/a</t>
        </is>
      </c>
      <c r="P102" t="n">
        <v>0</v>
      </c>
      <c r="Q102" t="n">
        <v>0</v>
      </c>
      <c r="R102" t="inlineStr">
        <is>
          <t>T1190:Exploit Public-Facing Application</t>
        </is>
      </c>
      <c r="S102" t="n">
        <v>1</v>
      </c>
      <c r="T102" t="inlineStr">
        <is>
          <t>LOW (40%)</t>
        </is>
      </c>
      <c r="U102" t="inlineStr">
        <is>
          <t>UNLIKELY</t>
        </is>
      </c>
      <c r="V102" t="inlineStr">
        <is>
          <t>CHECK_VENDOR</t>
        </is>
      </c>
      <c r="W102" t="inlineStr">
        <is>
          <t>https://nvd.nist.gov/vuln/detail/CVE-2025-14427</t>
        </is>
      </c>
      <c r="X102" t="inlineStr">
        <is>
          <t>NONE</t>
        </is>
      </c>
      <c r="Y102" t="n">
        <v>0</v>
      </c>
      <c r="Z102" t="inlineStr"/>
      <c r="AA102" t="inlineStr">
        <is>
          <t>https://nvd.nist.gov/vuln/detail/CVE-2025-14427</t>
        </is>
      </c>
    </row>
    <row r="103">
      <c r="A103" t="inlineStr">
        <is>
          <t>CVE</t>
        </is>
      </c>
      <c r="B103" t="inlineStr">
        <is>
          <t>CVE-2025-14445</t>
        </is>
      </c>
      <c r="C103" t="inlineStr">
        <is>
          <t>The Image Hotspot by DevVN plugin for WordPress is vulnerable to Stored Cross-Site Scripting via the 'hotspot_content' custom field meta in all versions up to, and including, 1.2.9 due to insufficient input sanitization and output escaping. This makes it possible for authenticated attackers, with author level access and above, to inject arbitrary web scripts in pages that will execute whenever a user accesses an injected page.</t>
        </is>
      </c>
      <c r="D103" t="n">
        <v>6.4</v>
      </c>
      <c r="E103" t="inlineStr">
        <is>
          <t>MEDIUM</t>
        </is>
      </c>
      <c r="F103" t="n">
        <v>2</v>
      </c>
      <c r="G103" t="n">
        <v>2</v>
      </c>
      <c r="H103" t="inlineStr">
        <is>
          <t>MEDIUM</t>
        </is>
      </c>
      <c r="I103" t="n">
        <v>10.4</v>
      </c>
      <c r="J103" t="inlineStr">
        <is>
          <t>NO</t>
        </is>
      </c>
      <c r="K103" t="inlineStr">
        <is>
          <t>2026-02-26 00:15</t>
        </is>
      </c>
      <c r="L103" t="inlineStr">
        <is>
          <t>CHECK_VENDOR</t>
        </is>
      </c>
      <c r="M103" t="inlineStr">
        <is>
          <t>See CVE details</t>
        </is>
      </c>
      <c r="N103" t="inlineStr">
        <is>
          <t>P4</t>
        </is>
      </c>
      <c r="O103" t="inlineStr">
        <is>
          <t>CVE - IP enrichment n/a</t>
        </is>
      </c>
      <c r="P103" t="n">
        <v>0</v>
      </c>
      <c r="Q103" t="n">
        <v>0</v>
      </c>
      <c r="R103" t="inlineStr">
        <is>
          <t>T1189:Drive-by Compromise</t>
        </is>
      </c>
      <c r="S103" t="n">
        <v>1</v>
      </c>
      <c r="T103" t="inlineStr">
        <is>
          <t>LOW (40%)</t>
        </is>
      </c>
      <c r="U103" t="inlineStr">
        <is>
          <t>UNLIKELY</t>
        </is>
      </c>
      <c r="V103" t="inlineStr">
        <is>
          <t>CHECK_VENDOR</t>
        </is>
      </c>
      <c r="W103" t="inlineStr">
        <is>
          <t>https://nvd.nist.gov/vuln/detail/CVE-2025-14445</t>
        </is>
      </c>
      <c r="X103" t="inlineStr">
        <is>
          <t>NONE</t>
        </is>
      </c>
      <c r="Y103" t="n">
        <v>0</v>
      </c>
      <c r="Z103" t="inlineStr"/>
      <c r="AA103" t="inlineStr">
        <is>
          <t>https://nvd.nist.gov/vuln/detail/CVE-2025-14445</t>
        </is>
      </c>
    </row>
    <row r="104">
      <c r="A104" t="inlineStr">
        <is>
          <t>CVE</t>
        </is>
      </c>
      <c r="B104" t="inlineStr">
        <is>
          <t>CVE-2025-14452</t>
        </is>
      </c>
      <c r="C104" t="inlineStr">
        <is>
          <t>The WP Customer Reviews plugin for WordPress is vulnerable to Reflected Cross-Site Scripting via the 'wpcr3_fname' parameter in all versions up to, and including, 3.7.5 due to insufficient input sanitization and output escaping. This makes it possible for unauthenticated attackers to inject arbitrary web scripts in pages that execute if they can successfully trick a user into performing an action such as clicking on a link.</t>
        </is>
      </c>
      <c r="D104" t="n">
        <v>7.2</v>
      </c>
      <c r="E104" t="inlineStr">
        <is>
          <t>HIGH</t>
        </is>
      </c>
      <c r="F104" t="n">
        <v>2</v>
      </c>
      <c r="G104" t="n">
        <v>3</v>
      </c>
      <c r="H104" t="inlineStr">
        <is>
          <t>HIGH</t>
        </is>
      </c>
      <c r="I104" t="n">
        <v>13.2</v>
      </c>
      <c r="J104" t="inlineStr">
        <is>
          <t>NO</t>
        </is>
      </c>
      <c r="K104" t="inlineStr">
        <is>
          <t>2026-02-26 00:15</t>
        </is>
      </c>
      <c r="L104" t="inlineStr">
        <is>
          <t>CHECK_VENDOR</t>
        </is>
      </c>
      <c r="M104" t="inlineStr">
        <is>
          <t>See CVE details</t>
        </is>
      </c>
      <c r="N104" t="inlineStr">
        <is>
          <t>P3</t>
        </is>
      </c>
      <c r="O104" t="inlineStr">
        <is>
          <t>CVE - IP enrichment n/a</t>
        </is>
      </c>
      <c r="P104" t="n">
        <v>0</v>
      </c>
      <c r="Q104" t="n">
        <v>0</v>
      </c>
      <c r="R104" t="inlineStr">
        <is>
          <t>T1189:Drive-by Compromise</t>
        </is>
      </c>
      <c r="S104" t="n">
        <v>1</v>
      </c>
      <c r="T104" t="inlineStr">
        <is>
          <t>LOW (40%)</t>
        </is>
      </c>
      <c r="U104" t="inlineStr">
        <is>
          <t>UNLIKELY</t>
        </is>
      </c>
      <c r="V104" t="inlineStr">
        <is>
          <t>CHECK_VENDOR</t>
        </is>
      </c>
      <c r="W104" t="inlineStr">
        <is>
          <t>https://nvd.nist.gov/vuln/detail/CVE-2025-14452</t>
        </is>
      </c>
      <c r="X104" t="inlineStr">
        <is>
          <t>NONE</t>
        </is>
      </c>
      <c r="Y104" t="n">
        <v>0</v>
      </c>
      <c r="Z104" t="inlineStr"/>
      <c r="AA104" t="inlineStr">
        <is>
          <t>https://nvd.nist.gov/vuln/detail/CVE-2025-14452</t>
        </is>
      </c>
    </row>
    <row r="105">
      <c r="A105" t="inlineStr">
        <is>
          <t>CVE</t>
        </is>
      </c>
      <c r="B105" t="inlineStr">
        <is>
          <t>CVE-2025-14851</t>
        </is>
      </c>
      <c r="C105" t="inlineStr">
        <is>
          <t>The YaMaps for WordPress plugin for WordPress is vulnerable to Stored Cross-Site Scripting via the `yamap` shortcode parameters in all versions up to, and including, 0.6.40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05" t="n">
        <v>6.4</v>
      </c>
      <c r="E105" t="inlineStr">
        <is>
          <t>MEDIUM</t>
        </is>
      </c>
      <c r="F105" t="n">
        <v>2</v>
      </c>
      <c r="G105" t="n">
        <v>2</v>
      </c>
      <c r="H105" t="inlineStr">
        <is>
          <t>MEDIUM</t>
        </is>
      </c>
      <c r="I105" t="n">
        <v>10.4</v>
      </c>
      <c r="J105" t="inlineStr">
        <is>
          <t>NO</t>
        </is>
      </c>
      <c r="K105" t="inlineStr">
        <is>
          <t>2026-02-26 00:15</t>
        </is>
      </c>
      <c r="L105" t="inlineStr">
        <is>
          <t>CHECK_VENDOR</t>
        </is>
      </c>
      <c r="M105" t="inlineStr">
        <is>
          <t>See CVE details</t>
        </is>
      </c>
      <c r="N105" t="inlineStr">
        <is>
          <t>P4</t>
        </is>
      </c>
      <c r="O105" t="inlineStr">
        <is>
          <t>CVE - IP enrichment n/a</t>
        </is>
      </c>
      <c r="P105" t="n">
        <v>0</v>
      </c>
      <c r="Q105" t="n">
        <v>0</v>
      </c>
      <c r="R105" t="inlineStr">
        <is>
          <t>T1189:Drive-by Compromise</t>
        </is>
      </c>
      <c r="S105" t="n">
        <v>1</v>
      </c>
      <c r="T105" t="inlineStr">
        <is>
          <t>LOW (40%)</t>
        </is>
      </c>
      <c r="U105" t="inlineStr">
        <is>
          <t>UNLIKELY</t>
        </is>
      </c>
      <c r="V105" t="inlineStr">
        <is>
          <t>CHECK_VENDOR</t>
        </is>
      </c>
      <c r="W105" t="inlineStr">
        <is>
          <t>https://nvd.nist.gov/vuln/detail/CVE-2025-14851</t>
        </is>
      </c>
      <c r="X105" t="inlineStr">
        <is>
          <t>NONE</t>
        </is>
      </c>
      <c r="Y105" t="n">
        <v>0</v>
      </c>
      <c r="Z105" t="inlineStr"/>
      <c r="AA105" t="inlineStr">
        <is>
          <t>https://nvd.nist.gov/vuln/detail/CVE-2025-14851</t>
        </is>
      </c>
    </row>
    <row r="106">
      <c r="A106" t="inlineStr">
        <is>
          <t>CVE</t>
        </is>
      </c>
      <c r="B106" t="inlineStr">
        <is>
          <t>CVE-2025-14864</t>
        </is>
      </c>
      <c r="C106" t="inlineStr">
        <is>
          <t>The Virusdie - One-click website security plugin for WordPress is vulnerable to Sensitive Information Exposure in all versions up to, and including, 1.1.7. This is due to missing capability checks on the `vd_get_apikey` function which is hooked to `wp_ajax_virusdie_apikey`. This makes it possible for authenticated attackers, with Subscriber-level access and above, to retrieve the site's Virusdie API key, which could be used to access the site owner's Virusdie account and potentially compromise s</t>
        </is>
      </c>
      <c r="D106" t="n">
        <v>4.3</v>
      </c>
      <c r="E106" t="inlineStr">
        <is>
          <t>MEDIUM</t>
        </is>
      </c>
      <c r="F106" t="n">
        <v>2</v>
      </c>
      <c r="G106" t="n">
        <v>2</v>
      </c>
      <c r="H106" t="inlineStr">
        <is>
          <t>MEDIUM</t>
        </is>
      </c>
      <c r="I106" t="n">
        <v>8.300000000000001</v>
      </c>
      <c r="J106" t="inlineStr">
        <is>
          <t>NO</t>
        </is>
      </c>
      <c r="K106" t="inlineStr">
        <is>
          <t>2026-02-26 00:15</t>
        </is>
      </c>
      <c r="L106" t="inlineStr">
        <is>
          <t>CHECK_VENDOR</t>
        </is>
      </c>
      <c r="M106" t="inlineStr">
        <is>
          <t>See CVE details</t>
        </is>
      </c>
      <c r="N106" t="inlineStr">
        <is>
          <t>P4</t>
        </is>
      </c>
      <c r="O106" t="inlineStr">
        <is>
          <t>CVE - IP enrichment n/a</t>
        </is>
      </c>
      <c r="P106" t="n">
        <v>0</v>
      </c>
      <c r="Q106" t="n">
        <v>0</v>
      </c>
      <c r="R106" t="inlineStr">
        <is>
          <t>T1190:Exploit Public-Facing Application</t>
        </is>
      </c>
      <c r="S106" t="n">
        <v>1</v>
      </c>
      <c r="T106" t="inlineStr">
        <is>
          <t>LOW (40%)</t>
        </is>
      </c>
      <c r="U106" t="inlineStr">
        <is>
          <t>UNLIKELY</t>
        </is>
      </c>
      <c r="V106" t="inlineStr">
        <is>
          <t>CHECK_VENDOR</t>
        </is>
      </c>
      <c r="W106" t="inlineStr">
        <is>
          <t>https://nvd.nist.gov/vuln/detail/CVE-2025-14864</t>
        </is>
      </c>
      <c r="X106" t="inlineStr">
        <is>
          <t>NONE</t>
        </is>
      </c>
      <c r="Y106" t="n">
        <v>0</v>
      </c>
      <c r="Z106" t="inlineStr"/>
      <c r="AA106" t="inlineStr">
        <is>
          <t>https://nvd.nist.gov/vuln/detail/CVE-2025-14864</t>
        </is>
      </c>
    </row>
    <row r="107">
      <c r="A107" t="inlineStr">
        <is>
          <t>CVE</t>
        </is>
      </c>
      <c r="B107" t="inlineStr">
        <is>
          <t>CVE-2025-14983</t>
        </is>
      </c>
      <c r="C107" t="inlineStr">
        <is>
          <t>The Advanced Custom Fields: Font Awesome Field plugin for WordPress is vulnerable to Cross-Site Scripting in all versions up to, and including, 5.0.1 due to insufficient input sanitization and output escaping. This makes it possible forauthenticated attackers, with Contributor-level access and above, to inject arbitrary web scripts that execute in a victim's browser.</t>
        </is>
      </c>
      <c r="D107" t="n">
        <v>6.4</v>
      </c>
      <c r="E107" t="inlineStr">
        <is>
          <t>MEDIUM</t>
        </is>
      </c>
      <c r="F107" t="n">
        <v>2</v>
      </c>
      <c r="G107" t="n">
        <v>2</v>
      </c>
      <c r="H107" t="inlineStr">
        <is>
          <t>MEDIUM</t>
        </is>
      </c>
      <c r="I107" t="n">
        <v>10.4</v>
      </c>
      <c r="J107" t="inlineStr">
        <is>
          <t>NO</t>
        </is>
      </c>
      <c r="K107" t="inlineStr">
        <is>
          <t>2026-02-26 00:15</t>
        </is>
      </c>
      <c r="L107" t="inlineStr">
        <is>
          <t>CHECK_VENDOR</t>
        </is>
      </c>
      <c r="M107" t="inlineStr">
        <is>
          <t>See CVE details</t>
        </is>
      </c>
      <c r="N107" t="inlineStr">
        <is>
          <t>P4</t>
        </is>
      </c>
      <c r="O107" t="inlineStr">
        <is>
          <t>CVE - IP enrichment n/a</t>
        </is>
      </c>
      <c r="P107" t="n">
        <v>0</v>
      </c>
      <c r="Q107" t="n">
        <v>0</v>
      </c>
      <c r="R107" t="inlineStr">
        <is>
          <t>T1189:Drive-by Compromise</t>
        </is>
      </c>
      <c r="S107" t="n">
        <v>1</v>
      </c>
      <c r="T107" t="inlineStr">
        <is>
          <t>LOW (40%)</t>
        </is>
      </c>
      <c r="U107" t="inlineStr">
        <is>
          <t>UNLIKELY</t>
        </is>
      </c>
      <c r="V107" t="inlineStr">
        <is>
          <t>CHECK_VENDOR</t>
        </is>
      </c>
      <c r="W107" t="inlineStr">
        <is>
          <t>https://nvd.nist.gov/vuln/detail/CVE-2025-14983</t>
        </is>
      </c>
      <c r="X107" t="inlineStr">
        <is>
          <t>NONE</t>
        </is>
      </c>
      <c r="Y107" t="n">
        <v>0</v>
      </c>
      <c r="Z107" t="inlineStr"/>
      <c r="AA107" t="inlineStr">
        <is>
          <t>https://nvd.nist.gov/vuln/detail/CVE-2025-14983</t>
        </is>
      </c>
    </row>
    <row r="108">
      <c r="A108" t="inlineStr">
        <is>
          <t>CVE</t>
        </is>
      </c>
      <c r="B108" t="inlineStr">
        <is>
          <t>CVE-2025-15041</t>
        </is>
      </c>
      <c r="C108" t="inlineStr">
        <is>
          <t>The BackWPup – WordPress Backup &amp; Restore Plugin plugin for WordPress is vulnerable to unauthorized modification of data that can lead to privilege escalation due to a missing capability check on the save_site_option() function in all versions up to, and including, 5.6.2. This makes it possible for authenticated attackers, with level access and above, to update arbitrary options on the WordPress site. This can be leveraged to update the default role for registration to administrator and enable u</t>
        </is>
      </c>
      <c r="D108" t="n">
        <v>7.2</v>
      </c>
      <c r="E108" t="inlineStr">
        <is>
          <t>HIGH</t>
        </is>
      </c>
      <c r="F108" t="n">
        <v>2</v>
      </c>
      <c r="G108" t="n">
        <v>3</v>
      </c>
      <c r="H108" t="inlineStr">
        <is>
          <t>HIGH</t>
        </is>
      </c>
      <c r="I108" t="n">
        <v>13.2</v>
      </c>
      <c r="J108" t="inlineStr">
        <is>
          <t>NO</t>
        </is>
      </c>
      <c r="K108" t="inlineStr">
        <is>
          <t>2026-02-26 00:15</t>
        </is>
      </c>
      <c r="L108" t="inlineStr">
        <is>
          <t>CHECK_VENDOR</t>
        </is>
      </c>
      <c r="M108" t="inlineStr">
        <is>
          <t>See CVE details</t>
        </is>
      </c>
      <c r="N108" t="inlineStr">
        <is>
          <t>P3</t>
        </is>
      </c>
      <c r="O108" t="inlineStr">
        <is>
          <t>CVE - IP enrichment n/a</t>
        </is>
      </c>
      <c r="P108" t="n">
        <v>0.0004</v>
      </c>
      <c r="Q108" t="n">
        <v>0.1368</v>
      </c>
      <c r="R108" t="inlineStr">
        <is>
          <t>T1068:Exploitation for Privilege Escalation</t>
        </is>
      </c>
      <c r="S108" t="n">
        <v>1</v>
      </c>
      <c r="T108" t="inlineStr">
        <is>
          <t>LOW (40%)</t>
        </is>
      </c>
      <c r="U108" t="inlineStr">
        <is>
          <t>UNLIKELY</t>
        </is>
      </c>
      <c r="V108" t="inlineStr">
        <is>
          <t>CHECK_VENDOR</t>
        </is>
      </c>
      <c r="W108" t="inlineStr">
        <is>
          <t>https://nvd.nist.gov/vuln/detail/CVE-2025-15041</t>
        </is>
      </c>
      <c r="X108" t="inlineStr">
        <is>
          <t>NONE</t>
        </is>
      </c>
      <c r="Y108" t="n">
        <v>0</v>
      </c>
      <c r="Z108" t="inlineStr"/>
      <c r="AA108" t="inlineStr">
        <is>
          <t>https://nvd.nist.gov/vuln/detail/CVE-2025-15041</t>
        </is>
      </c>
    </row>
    <row r="109">
      <c r="A109" t="inlineStr">
        <is>
          <t>CVE</t>
        </is>
      </c>
      <c r="B109" t="inlineStr">
        <is>
          <t>CVE-2025-15586</t>
        </is>
      </c>
      <c r="C109" t="inlineStr">
        <is>
          <t>OGP-Website installs prior git commit 52f865a4fba763594453068acf8fa9e3fc38d663 are affected by a type juggling flaw which if exploited can result in authentication bypass without knowledge of the victim account's password.</t>
        </is>
      </c>
      <c r="D109" t="n">
        <v>5</v>
      </c>
      <c r="E109" t="inlineStr">
        <is>
          <t>MEDIUM</t>
        </is>
      </c>
      <c r="F109" t="n">
        <v>2</v>
      </c>
      <c r="G109" t="n">
        <v>2</v>
      </c>
      <c r="H109" t="inlineStr">
        <is>
          <t>MEDIUM</t>
        </is>
      </c>
      <c r="I109" t="n">
        <v>9</v>
      </c>
      <c r="J109" t="inlineStr">
        <is>
          <t>NO</t>
        </is>
      </c>
      <c r="K109" t="inlineStr">
        <is>
          <t>2026-02-26 00:15</t>
        </is>
      </c>
      <c r="L109" t="inlineStr">
        <is>
          <t>CHECK_VENDOR</t>
        </is>
      </c>
      <c r="M109" t="inlineStr">
        <is>
          <t>See CVE details</t>
        </is>
      </c>
      <c r="N109" t="inlineStr">
        <is>
          <t>P4</t>
        </is>
      </c>
      <c r="O109" t="inlineStr">
        <is>
          <t>CVE - IP enrichment n/a</t>
        </is>
      </c>
      <c r="P109" t="n">
        <v>0.0009</v>
      </c>
      <c r="Q109" t="n">
        <v>0.2543</v>
      </c>
      <c r="R109" t="inlineStr">
        <is>
          <t>T1078:Valid Accounts | T1110:Brute Force</t>
        </is>
      </c>
      <c r="S109" t="n">
        <v>1</v>
      </c>
      <c r="T109" t="inlineStr">
        <is>
          <t>LOW (40%)</t>
        </is>
      </c>
      <c r="U109" t="inlineStr">
        <is>
          <t>UNLIKELY</t>
        </is>
      </c>
      <c r="V109" t="inlineStr">
        <is>
          <t>CHECK_VENDOR</t>
        </is>
      </c>
      <c r="W109" t="inlineStr">
        <is>
          <t>https://nvd.nist.gov/vuln/detail/CVE-2025-15586</t>
        </is>
      </c>
      <c r="X109" t="inlineStr">
        <is>
          <t>NONE</t>
        </is>
      </c>
      <c r="Y109" t="n">
        <v>0</v>
      </c>
      <c r="Z109" t="inlineStr"/>
      <c r="AA109" t="inlineStr">
        <is>
          <t>https://nvd.nist.gov/vuln/detail/CVE-2025-15586</t>
        </is>
      </c>
    </row>
    <row r="110">
      <c r="A110" t="inlineStr">
        <is>
          <t>CVE</t>
        </is>
      </c>
      <c r="B110" t="inlineStr">
        <is>
          <t>CVE-2025-4521</t>
        </is>
      </c>
      <c r="C110" t="inlineStr">
        <is>
          <t>The IDonate – Blood Donation, Request And Donor Management System plugin for WordPress is vulnerable to Privilege Escalation due to a missing capability check on the idonate_donor_profile() function in versions 2.1.5 to 2.1.9. This makes it possible for authenticated attackers, with Subscriber-level access and above, to hijack any account by reassigning its email address (via the donor_id they supply) and then triggering a password reset, ultimately granting themselves full administrator privile</t>
        </is>
      </c>
      <c r="D110" t="n">
        <v>8.800000000000001</v>
      </c>
      <c r="E110" t="inlineStr">
        <is>
          <t>HIGH</t>
        </is>
      </c>
      <c r="F110" t="n">
        <v>2</v>
      </c>
      <c r="G110" t="n">
        <v>3</v>
      </c>
      <c r="H110" t="inlineStr">
        <is>
          <t>HIGH</t>
        </is>
      </c>
      <c r="I110" t="n">
        <v>14.8</v>
      </c>
      <c r="J110" t="inlineStr">
        <is>
          <t>NO</t>
        </is>
      </c>
      <c r="K110" t="inlineStr">
        <is>
          <t>2026-02-26 00:15</t>
        </is>
      </c>
      <c r="L110" t="inlineStr">
        <is>
          <t>CHECK_VENDOR</t>
        </is>
      </c>
      <c r="M110" t="inlineStr">
        <is>
          <t>See CVE details</t>
        </is>
      </c>
      <c r="N110" t="inlineStr">
        <is>
          <t>P3</t>
        </is>
      </c>
      <c r="O110" t="inlineStr">
        <is>
          <t>CVE - IP enrichment n/a</t>
        </is>
      </c>
      <c r="P110" t="n">
        <v>0</v>
      </c>
      <c r="Q110" t="n">
        <v>0</v>
      </c>
      <c r="R110" t="inlineStr">
        <is>
          <t>T1068:Exploitation for Privilege Escalation</t>
        </is>
      </c>
      <c r="S110" t="n">
        <v>1</v>
      </c>
      <c r="T110" t="inlineStr">
        <is>
          <t>LOW (40%)</t>
        </is>
      </c>
      <c r="U110" t="inlineStr">
        <is>
          <t>UNLIKELY</t>
        </is>
      </c>
      <c r="V110" t="inlineStr">
        <is>
          <t>CHECK_VENDOR</t>
        </is>
      </c>
      <c r="W110" t="inlineStr">
        <is>
          <t>https://nvd.nist.gov/vuln/detail/CVE-2025-4521</t>
        </is>
      </c>
      <c r="X110" t="inlineStr">
        <is>
          <t>NONE</t>
        </is>
      </c>
      <c r="Y110" t="n">
        <v>0</v>
      </c>
      <c r="Z110" t="inlineStr"/>
      <c r="AA110" t="inlineStr">
        <is>
          <t>https://nvd.nist.gov/vuln/detail/CVE-2025-4521</t>
        </is>
      </c>
    </row>
    <row r="111">
      <c r="A111" t="inlineStr">
        <is>
          <t>CVE</t>
        </is>
      </c>
      <c r="B111" t="inlineStr">
        <is>
          <t>CVE-2025-4960</t>
        </is>
      </c>
      <c r="C111" t="inlineStr">
        <is>
          <t xml:space="preserve">The com.epson.InstallNavi.helper tool, deployed with the EPSON printer driver installer, contains a local privilege escalation vulnerability due to multiple flaws in its implementation. It fails to properly authenticate clients over the XPC protocol and does not correctly enforce macOS’s authorization model, exposing privileged functionality to untrusted users. Although it invokes the AuthorizationCopyRights API, it does so using overly permissive custom rights that it registers in the system’s </t>
        </is>
      </c>
      <c r="D111" t="n">
        <v>7.8</v>
      </c>
      <c r="E111" t="inlineStr">
        <is>
          <t>HIGH</t>
        </is>
      </c>
      <c r="F111" t="n">
        <v>2</v>
      </c>
      <c r="G111" t="n">
        <v>3</v>
      </c>
      <c r="H111" t="inlineStr">
        <is>
          <t>HIGH</t>
        </is>
      </c>
      <c r="I111" t="n">
        <v>13.8</v>
      </c>
      <c r="J111" t="inlineStr">
        <is>
          <t>NO</t>
        </is>
      </c>
      <c r="K111" t="inlineStr">
        <is>
          <t>2026-02-26 00:15</t>
        </is>
      </c>
      <c r="L111" t="inlineStr">
        <is>
          <t>CHECK_VENDOR</t>
        </is>
      </c>
      <c r="M111" t="inlineStr">
        <is>
          <t>See CVE details</t>
        </is>
      </c>
      <c r="N111" t="inlineStr">
        <is>
          <t>P3</t>
        </is>
      </c>
      <c r="O111" t="inlineStr">
        <is>
          <t>CVE - IP enrichment n/a</t>
        </is>
      </c>
      <c r="P111" t="n">
        <v>0</v>
      </c>
      <c r="Q111" t="n">
        <v>0</v>
      </c>
      <c r="R111" t="inlineStr">
        <is>
          <t>T1190:Exploit Public-Facing Application | T1068:Exploitation for Privilege Escalation | T1552:Unsecured Credentials</t>
        </is>
      </c>
      <c r="S111" t="n">
        <v>1</v>
      </c>
      <c r="T111" t="inlineStr">
        <is>
          <t>LOW (40%)</t>
        </is>
      </c>
      <c r="U111" t="inlineStr">
        <is>
          <t>UNLIKELY</t>
        </is>
      </c>
      <c r="V111" t="inlineStr">
        <is>
          <t>CHECK_VENDOR</t>
        </is>
      </c>
      <c r="W111" t="inlineStr">
        <is>
          <t>https://nvd.nist.gov/vuln/detail/CVE-2025-4960</t>
        </is>
      </c>
      <c r="X111" t="inlineStr">
        <is>
          <t>NONE</t>
        </is>
      </c>
      <c r="Y111" t="n">
        <v>0</v>
      </c>
      <c r="Z111" t="inlineStr"/>
      <c r="AA111" t="inlineStr">
        <is>
          <t>https://nvd.nist.gov/vuln/detail/CVE-2025-4960</t>
        </is>
      </c>
    </row>
    <row r="112">
      <c r="A112" t="inlineStr">
        <is>
          <t>CVE</t>
        </is>
      </c>
      <c r="B112" t="inlineStr">
        <is>
          <t>CVE-2026-0549</t>
        </is>
      </c>
      <c r="C112" t="inlineStr">
        <is>
          <t>The Groups plugin for WordPress is vulnerable to Stored Cross-Site Scripting via the plugin's 'groups_group_info' shortcode in all versions up to, and including, 3.10.0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12" t="n">
        <v>6.4</v>
      </c>
      <c r="E112" t="inlineStr">
        <is>
          <t>MEDIUM</t>
        </is>
      </c>
      <c r="F112" t="n">
        <v>2</v>
      </c>
      <c r="G112" t="n">
        <v>2</v>
      </c>
      <c r="H112" t="inlineStr">
        <is>
          <t>MEDIUM</t>
        </is>
      </c>
      <c r="I112" t="n">
        <v>10.4</v>
      </c>
      <c r="J112" t="inlineStr">
        <is>
          <t>NO</t>
        </is>
      </c>
      <c r="K112" t="inlineStr">
        <is>
          <t>2026-02-26 00:15</t>
        </is>
      </c>
      <c r="L112" t="inlineStr">
        <is>
          <t>CHECK_VENDOR</t>
        </is>
      </c>
      <c r="M112" t="inlineStr">
        <is>
          <t>See CVE details</t>
        </is>
      </c>
      <c r="N112" t="inlineStr">
        <is>
          <t>P4</t>
        </is>
      </c>
      <c r="O112" t="inlineStr">
        <is>
          <t>CVE - IP enrichment n/a</t>
        </is>
      </c>
      <c r="P112" t="n">
        <v>0</v>
      </c>
      <c r="Q112" t="n">
        <v>0</v>
      </c>
      <c r="R112" t="inlineStr">
        <is>
          <t>T1189:Drive-by Compromise</t>
        </is>
      </c>
      <c r="S112" t="n">
        <v>1</v>
      </c>
      <c r="T112" t="inlineStr">
        <is>
          <t>LOW (40%)</t>
        </is>
      </c>
      <c r="U112" t="inlineStr">
        <is>
          <t>UNLIKELY</t>
        </is>
      </c>
      <c r="V112" t="inlineStr">
        <is>
          <t>CHECK_VENDOR</t>
        </is>
      </c>
      <c r="W112" t="inlineStr">
        <is>
          <t>https://nvd.nist.gov/vuln/detail/CVE-2026-0549</t>
        </is>
      </c>
      <c r="X112" t="inlineStr">
        <is>
          <t>NONE</t>
        </is>
      </c>
      <c r="Y112" t="n">
        <v>0</v>
      </c>
      <c r="Z112" t="inlineStr"/>
      <c r="AA112" t="inlineStr">
        <is>
          <t>https://nvd.nist.gov/vuln/detail/CVE-2026-0549</t>
        </is>
      </c>
    </row>
    <row r="113">
      <c r="A113" t="inlineStr">
        <is>
          <t>CVE</t>
        </is>
      </c>
      <c r="B113" t="inlineStr">
        <is>
          <t>CVE-2026-0556</t>
        </is>
      </c>
      <c r="C113" t="inlineStr">
        <is>
          <t>The XO Event Calendar plugin for WordPress is vulnerable to Stored Cross-Site Scripting via the plugin's 'xo_event_field' shortcode in all versions up to, and including, 3.2.10 due to insufficient input sanitization and output escaping on user supplied attributes. This makes it possible for authenticated attackers, with contributor level access and above, to inject arbitrary web scripts in pages that will execute whenever a user accesses an injected page.</t>
        </is>
      </c>
      <c r="D113" t="n">
        <v>6.4</v>
      </c>
      <c r="E113" t="inlineStr">
        <is>
          <t>MEDIUM</t>
        </is>
      </c>
      <c r="F113" t="n">
        <v>2</v>
      </c>
      <c r="G113" t="n">
        <v>2</v>
      </c>
      <c r="H113" t="inlineStr">
        <is>
          <t>MEDIUM</t>
        </is>
      </c>
      <c r="I113" t="n">
        <v>10.4</v>
      </c>
      <c r="J113" t="inlineStr">
        <is>
          <t>NO</t>
        </is>
      </c>
      <c r="K113" t="inlineStr">
        <is>
          <t>2026-02-26 00:15</t>
        </is>
      </c>
      <c r="L113" t="inlineStr">
        <is>
          <t>CHECK_VENDOR</t>
        </is>
      </c>
      <c r="M113" t="inlineStr">
        <is>
          <t>See CVE details</t>
        </is>
      </c>
      <c r="N113" t="inlineStr">
        <is>
          <t>P4</t>
        </is>
      </c>
      <c r="O113" t="inlineStr">
        <is>
          <t>CVE - IP enrichment n/a</t>
        </is>
      </c>
      <c r="P113" t="n">
        <v>0</v>
      </c>
      <c r="Q113" t="n">
        <v>0</v>
      </c>
      <c r="R113" t="inlineStr">
        <is>
          <t>T1189:Drive-by Compromise</t>
        </is>
      </c>
      <c r="S113" t="n">
        <v>1</v>
      </c>
      <c r="T113" t="inlineStr">
        <is>
          <t>LOW (40%)</t>
        </is>
      </c>
      <c r="U113" t="inlineStr">
        <is>
          <t>UNLIKELY</t>
        </is>
      </c>
      <c r="V113" t="inlineStr">
        <is>
          <t>CHECK_VENDOR</t>
        </is>
      </c>
      <c r="W113" t="inlineStr">
        <is>
          <t>https://nvd.nist.gov/vuln/detail/CVE-2026-0556</t>
        </is>
      </c>
      <c r="X113" t="inlineStr">
        <is>
          <t>NONE</t>
        </is>
      </c>
      <c r="Y113" t="n">
        <v>0</v>
      </c>
      <c r="Z113" t="inlineStr"/>
      <c r="AA113" t="inlineStr">
        <is>
          <t>https://nvd.nist.gov/vuln/detail/CVE-2026-0556</t>
        </is>
      </c>
    </row>
    <row r="114">
      <c r="A114" t="inlineStr">
        <is>
          <t>CVE</t>
        </is>
      </c>
      <c r="B114" t="inlineStr">
        <is>
          <t>CVE-2026-0561</t>
        </is>
      </c>
      <c r="C114" t="inlineStr">
        <is>
          <t>The Shield Security plugin for WordPress is vulnerable to Reflected Cross-Site Scripting via the 'message' parameter in all versions up to, and including, 21.0.8 due to insufficient input sanitization and output escaping. This makes it possible for unauthenticated attackers to inject arbitrary web scripts in pages that execute if they can successfully trick a user into performing an action such as clicking on a link.</t>
        </is>
      </c>
      <c r="D114" t="n">
        <v>6.1</v>
      </c>
      <c r="E114" t="inlineStr">
        <is>
          <t>MEDIUM</t>
        </is>
      </c>
      <c r="F114" t="n">
        <v>2</v>
      </c>
      <c r="G114" t="n">
        <v>2</v>
      </c>
      <c r="H114" t="inlineStr">
        <is>
          <t>MEDIUM</t>
        </is>
      </c>
      <c r="I114" t="n">
        <v>10.1</v>
      </c>
      <c r="J114" t="inlineStr">
        <is>
          <t>NO</t>
        </is>
      </c>
      <c r="K114" t="inlineStr">
        <is>
          <t>2026-02-26 00:15</t>
        </is>
      </c>
      <c r="L114" t="inlineStr">
        <is>
          <t>CHECK_VENDOR</t>
        </is>
      </c>
      <c r="M114" t="inlineStr">
        <is>
          <t>See CVE details</t>
        </is>
      </c>
      <c r="N114" t="inlineStr">
        <is>
          <t>P4</t>
        </is>
      </c>
      <c r="O114" t="inlineStr">
        <is>
          <t>CVE - IP enrichment n/a</t>
        </is>
      </c>
      <c r="P114" t="n">
        <v>0.0007</v>
      </c>
      <c r="Q114" t="n">
        <v>0.205</v>
      </c>
      <c r="R114" t="inlineStr">
        <is>
          <t>T1189:Drive-by Compromise</t>
        </is>
      </c>
      <c r="S114" t="n">
        <v>1</v>
      </c>
      <c r="T114" t="inlineStr">
        <is>
          <t>LOW (40%)</t>
        </is>
      </c>
      <c r="U114" t="inlineStr">
        <is>
          <t>UNLIKELY</t>
        </is>
      </c>
      <c r="V114" t="inlineStr">
        <is>
          <t>CHECK_VENDOR</t>
        </is>
      </c>
      <c r="W114" t="inlineStr">
        <is>
          <t>https://nvd.nist.gov/vuln/detail/CVE-2026-0561</t>
        </is>
      </c>
      <c r="X114" t="inlineStr">
        <is>
          <t>NONE</t>
        </is>
      </c>
      <c r="Y114" t="n">
        <v>0</v>
      </c>
      <c r="Z114" t="inlineStr"/>
      <c r="AA114" t="inlineStr">
        <is>
          <t>https://nvd.nist.gov/vuln/detail/CVE-2026-0561</t>
        </is>
      </c>
    </row>
    <row r="115">
      <c r="A115" t="inlineStr">
        <is>
          <t>CVE</t>
        </is>
      </c>
      <c r="B115" t="inlineStr">
        <is>
          <t>CVE-2026-0722</t>
        </is>
      </c>
      <c r="C115" t="inlineStr">
        <is>
          <t>The Shield Security plugin for WordPress is vulnerable to Cross-Site Request Forgery in all versions up to, and including, 21.0.8. This is due to the plugin allowing nonce verification to be bypassed via user-supplied parameter in the 'isNonceVerifyRequired' function. This makes it possible for unauthenticated attackers to execute SQL injection attacks, extracting sensitive information from the database, via a forged request granted they can trick a site administrator into performing an action s</t>
        </is>
      </c>
      <c r="D115" t="n">
        <v>6.5</v>
      </c>
      <c r="E115" t="inlineStr">
        <is>
          <t>MEDIUM</t>
        </is>
      </c>
      <c r="F115" t="n">
        <v>2</v>
      </c>
      <c r="G115" t="n">
        <v>2</v>
      </c>
      <c r="H115" t="inlineStr">
        <is>
          <t>MEDIUM</t>
        </is>
      </c>
      <c r="I115" t="n">
        <v>10.5</v>
      </c>
      <c r="J115" t="inlineStr">
        <is>
          <t>NO</t>
        </is>
      </c>
      <c r="K115" t="inlineStr">
        <is>
          <t>2026-02-26 00:15</t>
        </is>
      </c>
      <c r="L115" t="inlineStr">
        <is>
          <t>CHECK_VENDOR</t>
        </is>
      </c>
      <c r="M115" t="inlineStr">
        <is>
          <t>See CVE details</t>
        </is>
      </c>
      <c r="N115" t="inlineStr">
        <is>
          <t>P4</t>
        </is>
      </c>
      <c r="O115" t="inlineStr">
        <is>
          <t>CVE - IP enrichment n/a</t>
        </is>
      </c>
      <c r="P115" t="n">
        <v>0</v>
      </c>
      <c r="Q115" t="n">
        <v>0</v>
      </c>
      <c r="R115" t="inlineStr">
        <is>
          <t>T1190:Exploit Public-Facing Application</t>
        </is>
      </c>
      <c r="S115" t="n">
        <v>1</v>
      </c>
      <c r="T115" t="inlineStr">
        <is>
          <t>LOW (40%)</t>
        </is>
      </c>
      <c r="U115" t="inlineStr">
        <is>
          <t>UNLIKELY</t>
        </is>
      </c>
      <c r="V115" t="inlineStr">
        <is>
          <t>CHECK_VENDOR</t>
        </is>
      </c>
      <c r="W115" t="inlineStr">
        <is>
          <t>https://nvd.nist.gov/vuln/detail/CVE-2026-0722</t>
        </is>
      </c>
      <c r="X115" t="inlineStr">
        <is>
          <t>NONE</t>
        </is>
      </c>
      <c r="Y115" t="n">
        <v>0</v>
      </c>
      <c r="Z115" t="inlineStr"/>
      <c r="AA115" t="inlineStr">
        <is>
          <t>https://nvd.nist.gov/vuln/detail/CVE-2026-0722</t>
        </is>
      </c>
    </row>
    <row r="116">
      <c r="A116" t="inlineStr">
        <is>
          <t>CVE</t>
        </is>
      </c>
      <c r="B116" t="inlineStr">
        <is>
          <t>CVE-2026-0912</t>
        </is>
      </c>
      <c r="C116" t="inlineStr">
        <is>
          <t>The Toret Manager plugin for WordPress is vulnerable to unauthorized modification of data that can lead to privilege escalation due to a missing capability check on the 'trman_save_option' function and on the 'trman_save_option_items' in all versions up to, and including, 1.2.7. This makes it possible for authenticated attackers, with Subscriber-level access and above, to update arbitrary options on the WordPress site. This can be leveraged to update the default role for registration to administ</t>
        </is>
      </c>
      <c r="D116" t="n">
        <v>8.800000000000001</v>
      </c>
      <c r="E116" t="inlineStr">
        <is>
          <t>HIGH</t>
        </is>
      </c>
      <c r="F116" t="n">
        <v>2</v>
      </c>
      <c r="G116" t="n">
        <v>3</v>
      </c>
      <c r="H116" t="inlineStr">
        <is>
          <t>HIGH</t>
        </is>
      </c>
      <c r="I116" t="n">
        <v>14.8</v>
      </c>
      <c r="J116" t="inlineStr">
        <is>
          <t>NO</t>
        </is>
      </c>
      <c r="K116" t="inlineStr">
        <is>
          <t>2026-02-26 00:15</t>
        </is>
      </c>
      <c r="L116" t="inlineStr">
        <is>
          <t>CHECK_VENDOR</t>
        </is>
      </c>
      <c r="M116" t="inlineStr">
        <is>
          <t>See CVE details</t>
        </is>
      </c>
      <c r="N116" t="inlineStr">
        <is>
          <t>P3</t>
        </is>
      </c>
      <c r="O116" t="inlineStr">
        <is>
          <t>CVE - IP enrichment n/a</t>
        </is>
      </c>
      <c r="P116" t="n">
        <v>0</v>
      </c>
      <c r="Q116" t="n">
        <v>0</v>
      </c>
      <c r="R116" t="inlineStr">
        <is>
          <t>T1068:Exploitation for Privilege Escalation</t>
        </is>
      </c>
      <c r="S116" t="n">
        <v>1</v>
      </c>
      <c r="T116" t="inlineStr">
        <is>
          <t>LOW (40%)</t>
        </is>
      </c>
      <c r="U116" t="inlineStr">
        <is>
          <t>UNLIKELY</t>
        </is>
      </c>
      <c r="V116" t="inlineStr">
        <is>
          <t>CHECK_VENDOR</t>
        </is>
      </c>
      <c r="W116" t="inlineStr">
        <is>
          <t>https://nvd.nist.gov/vuln/detail/CVE-2026-0912</t>
        </is>
      </c>
      <c r="X116" t="inlineStr">
        <is>
          <t>NONE</t>
        </is>
      </c>
      <c r="Y116" t="n">
        <v>0</v>
      </c>
      <c r="Z116" t="inlineStr"/>
      <c r="AA116" t="inlineStr">
        <is>
          <t>https://nvd.nist.gov/vuln/detail/CVE-2026-0912</t>
        </is>
      </c>
    </row>
    <row r="117">
      <c r="A117" t="inlineStr">
        <is>
          <t>CVE</t>
        </is>
      </c>
      <c r="B117" t="inlineStr">
        <is>
          <t>CVE-2026-0926</t>
        </is>
      </c>
      <c r="C117" t="inlineStr">
        <is>
          <t xml:space="preserve">The Prodigy Commerce plugin for WordPress is vulnerable to Local File Inclusion in all versions up to, and including, 3.2.9 via the 'parameters[template_name]' parameter. This makes it possible for unauthenticated attackers to include and read arbitrary files or execute arbitrary files on the server, allowing the execution of any PHP code in those files. This can be used to bypass access controls, obtain sensitive data, or achieve code execution in cases where images and other “safe” file types </t>
        </is>
      </c>
      <c r="D117" t="n">
        <v>9.800000000000001</v>
      </c>
      <c r="E117" t="inlineStr">
        <is>
          <t>CRITICAL</t>
        </is>
      </c>
      <c r="F117" t="n">
        <v>2</v>
      </c>
      <c r="G117" t="n">
        <v>3</v>
      </c>
      <c r="H117" t="inlineStr">
        <is>
          <t>HIGH</t>
        </is>
      </c>
      <c r="I117" t="n">
        <v>15.8</v>
      </c>
      <c r="J117" t="inlineStr">
        <is>
          <t>NO</t>
        </is>
      </c>
      <c r="K117" t="inlineStr">
        <is>
          <t>2026-02-26 00:15</t>
        </is>
      </c>
      <c r="L117" t="inlineStr">
        <is>
          <t>CHECK_VENDOR</t>
        </is>
      </c>
      <c r="M117" t="inlineStr">
        <is>
          <t>See CVE details</t>
        </is>
      </c>
      <c r="N117" t="inlineStr">
        <is>
          <t>P3</t>
        </is>
      </c>
      <c r="O117" t="inlineStr">
        <is>
          <t>CVE - IP enrichment n/a</t>
        </is>
      </c>
      <c r="P117" t="n">
        <v>0</v>
      </c>
      <c r="Q117" t="n">
        <v>0</v>
      </c>
      <c r="R117" t="inlineStr">
        <is>
          <t>T1190:Exploit Public-Facing Application</t>
        </is>
      </c>
      <c r="S117" t="n">
        <v>1</v>
      </c>
      <c r="T117" t="inlineStr">
        <is>
          <t>LOW (40%)</t>
        </is>
      </c>
      <c r="U117" t="inlineStr">
        <is>
          <t>UNLIKELY</t>
        </is>
      </c>
      <c r="V117" t="inlineStr">
        <is>
          <t>CHECK_VENDOR</t>
        </is>
      </c>
      <c r="W117" t="inlineStr">
        <is>
          <t>https://nvd.nist.gov/vuln/detail/CVE-2026-0926</t>
        </is>
      </c>
      <c r="X117" t="inlineStr">
        <is>
          <t>NONE</t>
        </is>
      </c>
      <c r="Y117" t="n">
        <v>0</v>
      </c>
      <c r="Z117" t="inlineStr"/>
      <c r="AA117" t="inlineStr">
        <is>
          <t>https://nvd.nist.gov/vuln/detail/CVE-2026-0926</t>
        </is>
      </c>
    </row>
    <row r="118">
      <c r="A118" t="inlineStr">
        <is>
          <t>CVE</t>
        </is>
      </c>
      <c r="B118" t="inlineStr">
        <is>
          <t>CVE-2026-0974</t>
        </is>
      </c>
      <c r="C118" t="inlineStr">
        <is>
          <t>The Orderable – WordPress Restaurant Online Ordering System and Food Ordering Plugin plugin for WordPress is vulnerable to unauthorized plugin installation due to a missing capability check on the 'install_plugin' function in all versions up to, and including, 1.20.0. This makes it possible for authenticated attackers, with Subscriber-level access and above, to install arbitrary plugins, which can lead to Remote Code Execution.</t>
        </is>
      </c>
      <c r="D118" t="n">
        <v>8.800000000000001</v>
      </c>
      <c r="E118" t="inlineStr">
        <is>
          <t>HIGH</t>
        </is>
      </c>
      <c r="F118" t="n">
        <v>2</v>
      </c>
      <c r="G118" t="n">
        <v>3</v>
      </c>
      <c r="H118" t="inlineStr">
        <is>
          <t>HIGH</t>
        </is>
      </c>
      <c r="I118" t="n">
        <v>14.8</v>
      </c>
      <c r="J118" t="inlineStr">
        <is>
          <t>NO</t>
        </is>
      </c>
      <c r="K118" t="inlineStr">
        <is>
          <t>2026-02-26 00:15</t>
        </is>
      </c>
      <c r="L118" t="inlineStr">
        <is>
          <t>CHECK_VENDOR</t>
        </is>
      </c>
      <c r="M118" t="inlineStr">
        <is>
          <t>See CVE details</t>
        </is>
      </c>
      <c r="N118" t="inlineStr">
        <is>
          <t>P3</t>
        </is>
      </c>
      <c r="O118" t="inlineStr">
        <is>
          <t>CVE - IP enrichment n/a</t>
        </is>
      </c>
      <c r="P118" t="n">
        <v>0.0024</v>
      </c>
      <c r="Q118" t="n">
        <v>0.4675</v>
      </c>
      <c r="R118" t="inlineStr">
        <is>
          <t>T1190:Exploit Public-Facing Application | T1210:Exploitation of Remote Services</t>
        </is>
      </c>
      <c r="S118" t="n">
        <v>1</v>
      </c>
      <c r="T118" t="inlineStr">
        <is>
          <t>LOW (40%)</t>
        </is>
      </c>
      <c r="U118" t="inlineStr">
        <is>
          <t>UNLIKELY</t>
        </is>
      </c>
      <c r="V118" t="inlineStr">
        <is>
          <t>CHECK_VENDOR</t>
        </is>
      </c>
      <c r="W118" t="inlineStr">
        <is>
          <t>https://nvd.nist.gov/vuln/detail/CVE-2026-0974</t>
        </is>
      </c>
      <c r="X118" t="inlineStr">
        <is>
          <t>NONE</t>
        </is>
      </c>
      <c r="Y118" t="n">
        <v>0</v>
      </c>
      <c r="Z118" t="inlineStr"/>
      <c r="AA118" t="inlineStr">
        <is>
          <t>https://nvd.nist.gov/vuln/detail/CVE-2026-0974</t>
        </is>
      </c>
    </row>
    <row r="119">
      <c r="A119" t="inlineStr">
        <is>
          <t>CVE</t>
        </is>
      </c>
      <c r="B119" t="inlineStr">
        <is>
          <t>CVE-2026-1043</t>
        </is>
      </c>
      <c r="C119" t="inlineStr">
        <is>
          <t>The PostmarkApp Email Integrator plugin for WordPress is vulnerable to Stored Cross-Site Scripting via the plugin settings in versions up to, and including, 2.4. This is due to insufficient input sanitization and output escaping on the pma_api_key and pma_sender_address parameters. This makes it possible for authenticated attackers, with Administrator-level access and above, to inject arbitrary web scripts in pages that will execute whenever a user accesses the settings page.</t>
        </is>
      </c>
      <c r="D119" t="n">
        <v>4.4</v>
      </c>
      <c r="E119" t="inlineStr">
        <is>
          <t>MEDIUM</t>
        </is>
      </c>
      <c r="F119" t="n">
        <v>2</v>
      </c>
      <c r="G119" t="n">
        <v>2</v>
      </c>
      <c r="H119" t="inlineStr">
        <is>
          <t>MEDIUM</t>
        </is>
      </c>
      <c r="I119" t="n">
        <v>8.4</v>
      </c>
      <c r="J119" t="inlineStr">
        <is>
          <t>NO</t>
        </is>
      </c>
      <c r="K119" t="inlineStr">
        <is>
          <t>2026-02-26 00:15</t>
        </is>
      </c>
      <c r="L119" t="inlineStr">
        <is>
          <t>CHECK_VENDOR</t>
        </is>
      </c>
      <c r="M119" t="inlineStr">
        <is>
          <t>See CVE details</t>
        </is>
      </c>
      <c r="N119" t="inlineStr">
        <is>
          <t>P4</t>
        </is>
      </c>
      <c r="O119" t="inlineStr">
        <is>
          <t>CVE - IP enrichment n/a</t>
        </is>
      </c>
      <c r="P119" t="n">
        <v>0</v>
      </c>
      <c r="Q119" t="n">
        <v>0</v>
      </c>
      <c r="R119" t="inlineStr">
        <is>
          <t>T1189:Drive-by Compromise</t>
        </is>
      </c>
      <c r="S119" t="n">
        <v>1</v>
      </c>
      <c r="T119" t="inlineStr">
        <is>
          <t>LOW (40%)</t>
        </is>
      </c>
      <c r="U119" t="inlineStr">
        <is>
          <t>UNLIKELY</t>
        </is>
      </c>
      <c r="V119" t="inlineStr">
        <is>
          <t>CHECK_VENDOR</t>
        </is>
      </c>
      <c r="W119" t="inlineStr">
        <is>
          <t>https://nvd.nist.gov/vuln/detail/CVE-2026-1043</t>
        </is>
      </c>
      <c r="X119" t="inlineStr">
        <is>
          <t>NONE</t>
        </is>
      </c>
      <c r="Y119" t="n">
        <v>0</v>
      </c>
      <c r="Z119" t="inlineStr"/>
      <c r="AA119" t="inlineStr">
        <is>
          <t>https://nvd.nist.gov/vuln/detail/CVE-2026-1043</t>
        </is>
      </c>
    </row>
    <row r="120">
      <c r="A120" t="inlineStr">
        <is>
          <t>CVE</t>
        </is>
      </c>
      <c r="B120" t="inlineStr">
        <is>
          <t>CVE-2026-1044</t>
        </is>
      </c>
      <c r="C120" t="inlineStr">
        <is>
          <t xml:space="preserve">The Tennis Court Bookings plugin for WordPress is vulnerable to Stored Cross-Site Scripting via admin settings in all versions up to, and including, 1.2.7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t>
        </is>
      </c>
      <c r="D120" t="n">
        <v>4.4</v>
      </c>
      <c r="E120" t="inlineStr">
        <is>
          <t>MEDIUM</t>
        </is>
      </c>
      <c r="F120" t="n">
        <v>2</v>
      </c>
      <c r="G120" t="n">
        <v>2</v>
      </c>
      <c r="H120" t="inlineStr">
        <is>
          <t>MEDIUM</t>
        </is>
      </c>
      <c r="I120" t="n">
        <v>8.4</v>
      </c>
      <c r="J120" t="inlineStr">
        <is>
          <t>NO</t>
        </is>
      </c>
      <c r="K120" t="inlineStr">
        <is>
          <t>2026-02-26 00:15</t>
        </is>
      </c>
      <c r="L120" t="inlineStr">
        <is>
          <t>CHECK_VENDOR</t>
        </is>
      </c>
      <c r="M120" t="inlineStr">
        <is>
          <t>See CVE details</t>
        </is>
      </c>
      <c r="N120" t="inlineStr">
        <is>
          <t>P4</t>
        </is>
      </c>
      <c r="O120" t="inlineStr">
        <is>
          <t>CVE - IP enrichment n/a</t>
        </is>
      </c>
      <c r="P120" t="n">
        <v>0</v>
      </c>
      <c r="Q120" t="n">
        <v>0</v>
      </c>
      <c r="R120" t="inlineStr">
        <is>
          <t>T1189:Drive-by Compromise</t>
        </is>
      </c>
      <c r="S120" t="n">
        <v>1</v>
      </c>
      <c r="T120" t="inlineStr">
        <is>
          <t>LOW (40%)</t>
        </is>
      </c>
      <c r="U120" t="inlineStr">
        <is>
          <t>UNLIKELY</t>
        </is>
      </c>
      <c r="V120" t="inlineStr">
        <is>
          <t>CHECK_VENDOR</t>
        </is>
      </c>
      <c r="W120" t="inlineStr">
        <is>
          <t>https://nvd.nist.gov/vuln/detail/CVE-2026-1044</t>
        </is>
      </c>
      <c r="X120" t="inlineStr">
        <is>
          <t>NONE</t>
        </is>
      </c>
      <c r="Y120" t="n">
        <v>0</v>
      </c>
      <c r="Z120" t="inlineStr"/>
      <c r="AA120" t="inlineStr">
        <is>
          <t>https://nvd.nist.gov/vuln/detail/CVE-2026-1044</t>
        </is>
      </c>
    </row>
    <row r="121">
      <c r="A121" t="inlineStr">
        <is>
          <t>CVE</t>
        </is>
      </c>
      <c r="B121" t="inlineStr">
        <is>
          <t>CVE-2026-1047</t>
        </is>
      </c>
      <c r="C121" t="inlineStr">
        <is>
          <t>The salavat counter Plugin plugin for WordPress is vulnerable to Stored Cross-Site Scripting via the 'image_url' parameter in all versions up to, and including, 0.9.5 due to insufficient input sanitization and output escaping. This makes it possible for authenticated attackers, with administrator-level access and above, to inject arbitrary web scripts in pages that will execute whenever a user accesses an injected page.</t>
        </is>
      </c>
      <c r="D121" t="n">
        <v>4.4</v>
      </c>
      <c r="E121" t="inlineStr">
        <is>
          <t>MEDIUM</t>
        </is>
      </c>
      <c r="F121" t="n">
        <v>2</v>
      </c>
      <c r="G121" t="n">
        <v>2</v>
      </c>
      <c r="H121" t="inlineStr">
        <is>
          <t>MEDIUM</t>
        </is>
      </c>
      <c r="I121" t="n">
        <v>8.4</v>
      </c>
      <c r="J121" t="inlineStr">
        <is>
          <t>NO</t>
        </is>
      </c>
      <c r="K121" t="inlineStr">
        <is>
          <t>2026-02-26 00:15</t>
        </is>
      </c>
      <c r="L121" t="inlineStr">
        <is>
          <t>CHECK_VENDOR</t>
        </is>
      </c>
      <c r="M121" t="inlineStr">
        <is>
          <t>See CVE details</t>
        </is>
      </c>
      <c r="N121" t="inlineStr">
        <is>
          <t>P4</t>
        </is>
      </c>
      <c r="O121" t="inlineStr">
        <is>
          <t>CVE - IP enrichment n/a</t>
        </is>
      </c>
      <c r="P121" t="n">
        <v>0</v>
      </c>
      <c r="Q121" t="n">
        <v>0</v>
      </c>
      <c r="R121" t="inlineStr">
        <is>
          <t>T1189:Drive-by Compromise</t>
        </is>
      </c>
      <c r="S121" t="n">
        <v>1</v>
      </c>
      <c r="T121" t="inlineStr">
        <is>
          <t>LOW (40%)</t>
        </is>
      </c>
      <c r="U121" t="inlineStr">
        <is>
          <t>UNLIKELY</t>
        </is>
      </c>
      <c r="V121" t="inlineStr">
        <is>
          <t>CHECK_VENDOR</t>
        </is>
      </c>
      <c r="W121" t="inlineStr">
        <is>
          <t>https://nvd.nist.gov/vuln/detail/CVE-2026-1047</t>
        </is>
      </c>
      <c r="X121" t="inlineStr">
        <is>
          <t>NONE</t>
        </is>
      </c>
      <c r="Y121" t="n">
        <v>0</v>
      </c>
      <c r="Z121" t="inlineStr"/>
      <c r="AA121" t="inlineStr">
        <is>
          <t>https://nvd.nist.gov/vuln/detail/CVE-2026-1047</t>
        </is>
      </c>
    </row>
    <row r="122">
      <c r="A122" t="inlineStr">
        <is>
          <t>CVE</t>
        </is>
      </c>
      <c r="B122" t="inlineStr">
        <is>
          <t>CVE-2026-1055</t>
        </is>
      </c>
      <c r="C122" t="inlineStr">
        <is>
          <t>The TalkJS plugin for WordPress is vulnerable to Stored Cross-Site Scripting via admin settings in all versions up to, and including, 0.1.15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t>
        </is>
      </c>
      <c r="D122" t="n">
        <v>4.4</v>
      </c>
      <c r="E122" t="inlineStr">
        <is>
          <t>MEDIUM</t>
        </is>
      </c>
      <c r="F122" t="n">
        <v>2</v>
      </c>
      <c r="G122" t="n">
        <v>2</v>
      </c>
      <c r="H122" t="inlineStr">
        <is>
          <t>MEDIUM</t>
        </is>
      </c>
      <c r="I122" t="n">
        <v>8.4</v>
      </c>
      <c r="J122" t="inlineStr">
        <is>
          <t>NO</t>
        </is>
      </c>
      <c r="K122" t="inlineStr">
        <is>
          <t>2026-02-26 00:15</t>
        </is>
      </c>
      <c r="L122" t="inlineStr">
        <is>
          <t>CHECK_VENDOR</t>
        </is>
      </c>
      <c r="M122" t="inlineStr">
        <is>
          <t>See CVE details</t>
        </is>
      </c>
      <c r="N122" t="inlineStr">
        <is>
          <t>P4</t>
        </is>
      </c>
      <c r="O122" t="inlineStr">
        <is>
          <t>CVE - IP enrichment n/a</t>
        </is>
      </c>
      <c r="P122" t="n">
        <v>0</v>
      </c>
      <c r="Q122" t="n">
        <v>0</v>
      </c>
      <c r="R122" t="inlineStr">
        <is>
          <t>T1189:Drive-by Compromise</t>
        </is>
      </c>
      <c r="S122" t="n">
        <v>1</v>
      </c>
      <c r="T122" t="inlineStr">
        <is>
          <t>LOW (40%)</t>
        </is>
      </c>
      <c r="U122" t="inlineStr">
        <is>
          <t>UNLIKELY</t>
        </is>
      </c>
      <c r="V122" t="inlineStr">
        <is>
          <t>CHECK_VENDOR</t>
        </is>
      </c>
      <c r="W122" t="inlineStr">
        <is>
          <t>https://nvd.nist.gov/vuln/detail/CVE-2026-1055</t>
        </is>
      </c>
      <c r="X122" t="inlineStr">
        <is>
          <t>NONE</t>
        </is>
      </c>
      <c r="Y122" t="n">
        <v>0</v>
      </c>
      <c r="Z122" t="inlineStr"/>
      <c r="AA122" t="inlineStr">
        <is>
          <t>https://nvd.nist.gov/vuln/detail/CVE-2026-1055</t>
        </is>
      </c>
    </row>
    <row r="123">
      <c r="A123" t="inlineStr">
        <is>
          <t>CVE</t>
        </is>
      </c>
      <c r="B123" t="inlineStr">
        <is>
          <t>CVE-2026-1373</t>
        </is>
      </c>
      <c r="C123" t="inlineStr">
        <is>
          <t>The Easy Author Image plugin for WordPress is vulnerable to Stored Cross-Site Scripting via the 'author_profile_picture_url' parameter in all versions up to, and including, 1.7 due to insufficient input sanitization and output escaping. This makes it possible for authenticated attackers, with Subscriber-level access and above, to inject arbitrary web scripts in pages that will execute whenever a user accesses an injected page.</t>
        </is>
      </c>
      <c r="D123" t="n">
        <v>6.4</v>
      </c>
      <c r="E123" t="inlineStr">
        <is>
          <t>MEDIUM</t>
        </is>
      </c>
      <c r="F123" t="n">
        <v>2</v>
      </c>
      <c r="G123" t="n">
        <v>2</v>
      </c>
      <c r="H123" t="inlineStr">
        <is>
          <t>MEDIUM</t>
        </is>
      </c>
      <c r="I123" t="n">
        <v>10.4</v>
      </c>
      <c r="J123" t="inlineStr">
        <is>
          <t>NO</t>
        </is>
      </c>
      <c r="K123" t="inlineStr">
        <is>
          <t>2026-02-26 00:15</t>
        </is>
      </c>
      <c r="L123" t="inlineStr">
        <is>
          <t>CHECK_VENDOR</t>
        </is>
      </c>
      <c r="M123" t="inlineStr">
        <is>
          <t>See CVE details</t>
        </is>
      </c>
      <c r="N123" t="inlineStr">
        <is>
          <t>P4</t>
        </is>
      </c>
      <c r="O123" t="inlineStr">
        <is>
          <t>CVE - IP enrichment n/a</t>
        </is>
      </c>
      <c r="P123" t="n">
        <v>0</v>
      </c>
      <c r="Q123" t="n">
        <v>0</v>
      </c>
      <c r="R123" t="inlineStr">
        <is>
          <t>T1189:Drive-by Compromise</t>
        </is>
      </c>
      <c r="S123" t="n">
        <v>1</v>
      </c>
      <c r="T123" t="inlineStr">
        <is>
          <t>LOW (40%)</t>
        </is>
      </c>
      <c r="U123" t="inlineStr">
        <is>
          <t>UNLIKELY</t>
        </is>
      </c>
      <c r="V123" t="inlineStr">
        <is>
          <t>CHECK_VENDOR</t>
        </is>
      </c>
      <c r="W123" t="inlineStr">
        <is>
          <t>https://nvd.nist.gov/vuln/detail/CVE-2026-1373</t>
        </is>
      </c>
      <c r="X123" t="inlineStr">
        <is>
          <t>NONE</t>
        </is>
      </c>
      <c r="Y123" t="n">
        <v>0</v>
      </c>
      <c r="Z123" t="inlineStr"/>
      <c r="AA123" t="inlineStr">
        <is>
          <t>https://nvd.nist.gov/vuln/detail/CVE-2026-1373</t>
        </is>
      </c>
    </row>
    <row r="124">
      <c r="A124" t="inlineStr">
        <is>
          <t>CVE</t>
        </is>
      </c>
      <c r="B124" t="inlineStr">
        <is>
          <t>CVE-2026-1405</t>
        </is>
      </c>
      <c r="C124" t="inlineStr">
        <is>
          <t>The Slider Future plugin for WordPress is vulnerable to arbitrary file uploads due to missing file type validation in the 'slider_future_handle_image_upload' function in all versions up to, and including, 1.0.5. This makes it possible for unauthenticated attackers to upload arbitrary files on the affected site's server which may make remote code execution possible.</t>
        </is>
      </c>
      <c r="D124" t="n">
        <v>9.800000000000001</v>
      </c>
      <c r="E124" t="inlineStr">
        <is>
          <t>CRITICAL</t>
        </is>
      </c>
      <c r="F124" t="n">
        <v>2</v>
      </c>
      <c r="G124" t="n">
        <v>3</v>
      </c>
      <c r="H124" t="inlineStr">
        <is>
          <t>HIGH</t>
        </is>
      </c>
      <c r="I124" t="n">
        <v>15.8</v>
      </c>
      <c r="J124" t="inlineStr">
        <is>
          <t>NO</t>
        </is>
      </c>
      <c r="K124" t="inlineStr">
        <is>
          <t>2026-02-26 00:15</t>
        </is>
      </c>
      <c r="L124" t="inlineStr">
        <is>
          <t>CHECK_VENDOR</t>
        </is>
      </c>
      <c r="M124" t="inlineStr">
        <is>
          <t>See CVE details</t>
        </is>
      </c>
      <c r="N124" t="inlineStr">
        <is>
          <t>P3</t>
        </is>
      </c>
      <c r="O124" t="inlineStr">
        <is>
          <t>CVE - IP enrichment n/a</t>
        </is>
      </c>
      <c r="P124" t="n">
        <v>0</v>
      </c>
      <c r="Q124" t="n">
        <v>0</v>
      </c>
      <c r="R124" t="inlineStr">
        <is>
          <t>T1190:Exploit Public-Facing Application | T1210:Exploitation of Remote Services</t>
        </is>
      </c>
      <c r="S124" t="n">
        <v>1</v>
      </c>
      <c r="T124" t="inlineStr">
        <is>
          <t>LOW (40%)</t>
        </is>
      </c>
      <c r="U124" t="inlineStr">
        <is>
          <t>UNLIKELY</t>
        </is>
      </c>
      <c r="V124" t="inlineStr">
        <is>
          <t>CHECK_VENDOR</t>
        </is>
      </c>
      <c r="W124" t="inlineStr">
        <is>
          <t>https://nvd.nist.gov/vuln/detail/CVE-2026-1405</t>
        </is>
      </c>
      <c r="X124" t="inlineStr">
        <is>
          <t>NONE</t>
        </is>
      </c>
      <c r="Y124" t="n">
        <v>0</v>
      </c>
      <c r="Z124" t="inlineStr"/>
      <c r="AA124" t="inlineStr">
        <is>
          <t>https://nvd.nist.gov/vuln/detail/CVE-2026-1405</t>
        </is>
      </c>
    </row>
    <row r="125">
      <c r="A125" t="inlineStr">
        <is>
          <t>CVE</t>
        </is>
      </c>
      <c r="B125" t="inlineStr">
        <is>
          <t>CVE-2026-1455</t>
        </is>
      </c>
      <c r="C125" t="inlineStr">
        <is>
          <t>The Whatsiplus Scheduled Notification for Woocommerce plugin for WordPress is vulnerable to Cross-Site Request Forgery in all versions up to, and including, 1.0.1. This is due to missing nonce validation on the 'wsnfw_save_users_settings' AJAX action. This makes it possible for unauthenticated attackers to modify plugin configuration settings via a forged request granted they can trick a site administrator into performing an action such as clicking on a link.</t>
        </is>
      </c>
      <c r="D125" t="n">
        <v>4.3</v>
      </c>
      <c r="E125" t="inlineStr">
        <is>
          <t>MEDIUM</t>
        </is>
      </c>
      <c r="F125" t="n">
        <v>2</v>
      </c>
      <c r="G125" t="n">
        <v>2</v>
      </c>
      <c r="H125" t="inlineStr">
        <is>
          <t>MEDIUM</t>
        </is>
      </c>
      <c r="I125" t="n">
        <v>8.300000000000001</v>
      </c>
      <c r="J125" t="inlineStr">
        <is>
          <t>NO</t>
        </is>
      </c>
      <c r="K125" t="inlineStr">
        <is>
          <t>2026-02-26 00:15</t>
        </is>
      </c>
      <c r="L125" t="inlineStr">
        <is>
          <t>CHECK_VENDOR</t>
        </is>
      </c>
      <c r="M125" t="inlineStr">
        <is>
          <t>See CVE details</t>
        </is>
      </c>
      <c r="N125" t="inlineStr">
        <is>
          <t>P4</t>
        </is>
      </c>
      <c r="O125" t="inlineStr">
        <is>
          <t>CVE - IP enrichment n/a</t>
        </is>
      </c>
      <c r="P125" t="n">
        <v>0</v>
      </c>
      <c r="Q125" t="n">
        <v>0</v>
      </c>
      <c r="R125" t="inlineStr">
        <is>
          <t>T1185:Browser Session Hijacking | T1190:Exploit Public-Facing Application</t>
        </is>
      </c>
      <c r="S125" t="n">
        <v>1</v>
      </c>
      <c r="T125" t="inlineStr">
        <is>
          <t>LOW (40%)</t>
        </is>
      </c>
      <c r="U125" t="inlineStr">
        <is>
          <t>UNLIKELY</t>
        </is>
      </c>
      <c r="V125" t="inlineStr">
        <is>
          <t>CHECK_VENDOR</t>
        </is>
      </c>
      <c r="W125" t="inlineStr">
        <is>
          <t>https://nvd.nist.gov/vuln/detail/CVE-2026-1455</t>
        </is>
      </c>
      <c r="X125" t="inlineStr">
        <is>
          <t>NONE</t>
        </is>
      </c>
      <c r="Y125" t="n">
        <v>0</v>
      </c>
      <c r="Z125" t="inlineStr"/>
      <c r="AA125" t="inlineStr">
        <is>
          <t>https://nvd.nist.gov/vuln/detail/CVE-2026-1455</t>
        </is>
      </c>
    </row>
    <row r="126">
      <c r="A126" t="inlineStr">
        <is>
          <t>CVE</t>
        </is>
      </c>
      <c r="B126" t="inlineStr">
        <is>
          <t>CVE-2026-1646</t>
        </is>
      </c>
      <c r="C126" t="inlineStr">
        <is>
          <t>The Advance Block Extend plugin for WordPress is vulnerable to Stored Cross-Site Scripting via the TitleColor block attribute in the Latest Posts Gutenberg block in all versions up to, and including, 1.0.4 due to insufficient input sanitization and output escaping. This makes it possible for authenticated attackers, with Contributor-level access and above, to inject arbitrary web scripts in pages that will execute whenever a user accesses an injected page.</t>
        </is>
      </c>
      <c r="D126" t="n">
        <v>6.4</v>
      </c>
      <c r="E126" t="inlineStr">
        <is>
          <t>MEDIUM</t>
        </is>
      </c>
      <c r="F126" t="n">
        <v>2</v>
      </c>
      <c r="G126" t="n">
        <v>2</v>
      </c>
      <c r="H126" t="inlineStr">
        <is>
          <t>MEDIUM</t>
        </is>
      </c>
      <c r="I126" t="n">
        <v>10.4</v>
      </c>
      <c r="J126" t="inlineStr">
        <is>
          <t>NO</t>
        </is>
      </c>
      <c r="K126" t="inlineStr">
        <is>
          <t>2026-02-26 00:15</t>
        </is>
      </c>
      <c r="L126" t="inlineStr">
        <is>
          <t>CHECK_VENDOR</t>
        </is>
      </c>
      <c r="M126" t="inlineStr">
        <is>
          <t>See CVE details</t>
        </is>
      </c>
      <c r="N126" t="inlineStr">
        <is>
          <t>P4</t>
        </is>
      </c>
      <c r="O126" t="inlineStr">
        <is>
          <t>CVE - IP enrichment n/a</t>
        </is>
      </c>
      <c r="P126" t="n">
        <v>0</v>
      </c>
      <c r="Q126" t="n">
        <v>0</v>
      </c>
      <c r="R126" t="inlineStr">
        <is>
          <t>T1189:Drive-by Compromise</t>
        </is>
      </c>
      <c r="S126" t="n">
        <v>1</v>
      </c>
      <c r="T126" t="inlineStr">
        <is>
          <t>LOW (40%)</t>
        </is>
      </c>
      <c r="U126" t="inlineStr">
        <is>
          <t>UNLIKELY</t>
        </is>
      </c>
      <c r="V126" t="inlineStr">
        <is>
          <t>CHECK_VENDOR</t>
        </is>
      </c>
      <c r="W126" t="inlineStr">
        <is>
          <t>https://nvd.nist.gov/vuln/detail/CVE-2026-1646</t>
        </is>
      </c>
      <c r="X126" t="inlineStr">
        <is>
          <t>NONE</t>
        </is>
      </c>
      <c r="Y126" t="n">
        <v>0</v>
      </c>
      <c r="Z126" t="inlineStr"/>
      <c r="AA126" t="inlineStr">
        <is>
          <t>https://nvd.nist.gov/vuln/detail/CVE-2026-1646</t>
        </is>
      </c>
    </row>
    <row r="127">
      <c r="A127" t="inlineStr">
        <is>
          <t>CVE</t>
        </is>
      </c>
      <c r="B127" t="inlineStr">
        <is>
          <t>CVE-2026-1994</t>
        </is>
      </c>
      <c r="C127" t="inlineStr">
        <is>
          <t>The s2Member plugin for WordPress is vulnerable to privilege escalation via account takeover in all versions up to, and including, 260127. This is due to the plugin not properly validating a user's identity prior to updating their password. This makes it possible for unauthenticated attackers to change arbitrary user's passwords, including administrators, and leverage that to gain access to their account.</t>
        </is>
      </c>
      <c r="D127" t="n">
        <v>9.800000000000001</v>
      </c>
      <c r="E127" t="inlineStr">
        <is>
          <t>CRITICAL</t>
        </is>
      </c>
      <c r="F127" t="n">
        <v>2</v>
      </c>
      <c r="G127" t="n">
        <v>3</v>
      </c>
      <c r="H127" t="inlineStr">
        <is>
          <t>HIGH</t>
        </is>
      </c>
      <c r="I127" t="n">
        <v>15.8</v>
      </c>
      <c r="J127" t="inlineStr">
        <is>
          <t>NO</t>
        </is>
      </c>
      <c r="K127" t="inlineStr">
        <is>
          <t>2026-02-26 00:15</t>
        </is>
      </c>
      <c r="L127" t="inlineStr">
        <is>
          <t>CHECK_VENDOR</t>
        </is>
      </c>
      <c r="M127" t="inlineStr">
        <is>
          <t>See CVE details</t>
        </is>
      </c>
      <c r="N127" t="inlineStr">
        <is>
          <t>P3</t>
        </is>
      </c>
      <c r="O127" t="inlineStr">
        <is>
          <t>CVE - IP enrichment n/a</t>
        </is>
      </c>
      <c r="P127" t="n">
        <v>0.0007</v>
      </c>
      <c r="Q127" t="n">
        <v>0.2101</v>
      </c>
      <c r="R127" t="inlineStr">
        <is>
          <t>T1068:Exploitation for Privilege Escalation</t>
        </is>
      </c>
      <c r="S127" t="n">
        <v>1</v>
      </c>
      <c r="T127" t="inlineStr">
        <is>
          <t>LOW (40%)</t>
        </is>
      </c>
      <c r="U127" t="inlineStr">
        <is>
          <t>UNLIKELY</t>
        </is>
      </c>
      <c r="V127" t="inlineStr">
        <is>
          <t>CHECK_VENDOR</t>
        </is>
      </c>
      <c r="W127" t="inlineStr">
        <is>
          <t>https://nvd.nist.gov/vuln/detail/CVE-2026-1994</t>
        </is>
      </c>
      <c r="X127" t="inlineStr">
        <is>
          <t>NONE</t>
        </is>
      </c>
      <c r="Y127" t="n">
        <v>0</v>
      </c>
      <c r="Z127" t="inlineStr"/>
      <c r="AA127" t="inlineStr">
        <is>
          <t>https://nvd.nist.gov/vuln/detail/CVE-2026-1994</t>
        </is>
      </c>
    </row>
    <row r="128">
      <c r="A128" t="inlineStr">
        <is>
          <t>CVE</t>
        </is>
      </c>
      <c r="B128" t="inlineStr">
        <is>
          <t>CVE-2026-24764</t>
        </is>
      </c>
      <c r="C128" t="inlineStr">
        <is>
          <t>OpenClaw (formerly Clawdbot) is a personal AI assistant users run on their own devices. In versions 2026.2.2 and below, when the Slack integration is enabled, channel metadata (topic/description) can be incorporated into the model's system prompt. Prompt injection is a documented risk for LLM-driven systems. This issue increases the injection surface by allowing untrusted Slack channel metadata to be treated as higher-trust system input. This issue has been fixed in version 2026.2.3.</t>
        </is>
      </c>
      <c r="D128" t="n">
        <v>3.7</v>
      </c>
      <c r="E128" t="inlineStr">
        <is>
          <t>LOW</t>
        </is>
      </c>
      <c r="F128" t="n">
        <v>2</v>
      </c>
      <c r="G128" t="n">
        <v>1</v>
      </c>
      <c r="H128" t="inlineStr">
        <is>
          <t>LOW</t>
        </is>
      </c>
      <c r="I128" t="n">
        <v>5.7</v>
      </c>
      <c r="J128" t="inlineStr">
        <is>
          <t>NO</t>
        </is>
      </c>
      <c r="K128" t="inlineStr">
        <is>
          <t>2026-02-26 00:15</t>
        </is>
      </c>
      <c r="L128" t="inlineStr">
        <is>
          <t>YES</t>
        </is>
      </c>
      <c r="M128" t="inlineStr">
        <is>
          <t>openclaw openclaw *</t>
        </is>
      </c>
      <c r="N128" t="inlineStr">
        <is>
          <t>P4</t>
        </is>
      </c>
      <c r="O128" t="inlineStr">
        <is>
          <t>CVE - IP enrichment n/a</t>
        </is>
      </c>
      <c r="P128" t="n">
        <v>0.0003</v>
      </c>
      <c r="Q128" t="n">
        <v>0.0832</v>
      </c>
      <c r="R128" t="inlineStr">
        <is>
          <t>T1190:Exploit Public-Facing Application</t>
        </is>
      </c>
      <c r="S128" t="n">
        <v>1</v>
      </c>
      <c r="T128" t="inlineStr">
        <is>
          <t>LOW (40%)</t>
        </is>
      </c>
      <c r="U128" t="inlineStr">
        <is>
          <t>UNLIKELY</t>
        </is>
      </c>
      <c r="V128" t="inlineStr">
        <is>
          <t>PATCH_AVAILABLE</t>
        </is>
      </c>
      <c r="W128" t="inlineStr">
        <is>
          <t>https://nvd.nist.gov/vuln/detail/CVE-2026-24764</t>
        </is>
      </c>
      <c r="X128" t="inlineStr">
        <is>
          <t>NONE</t>
        </is>
      </c>
      <c r="Y128" t="n">
        <v>0</v>
      </c>
      <c r="Z128" t="inlineStr"/>
      <c r="AA128" t="inlineStr">
        <is>
          <t>https://nvd.nist.gov/vuln/detail/CVE-2026-24764</t>
        </is>
      </c>
    </row>
    <row r="129">
      <c r="A129" t="inlineStr">
        <is>
          <t>CVE</t>
        </is>
      </c>
      <c r="B129" t="inlineStr">
        <is>
          <t>CVE-2026-25120</t>
        </is>
      </c>
      <c r="C129" t="inlineStr">
        <is>
          <t>Gogs is an open source self-hosted Git service. In versions 0.13.4 and below, the DeleteComment API does not verify that the comment belongs to the repository specified in the URL. This allows a repository administrator to delete comments from any other repository by supplying arbitrary comment IDs, bypassing authorization controls. The DeleteComment function retrieves a comment by ID without verifying repository ownership and the Database function DeleteCommentByID performs no repository valida</t>
        </is>
      </c>
      <c r="D129" t="n">
        <v>2.7</v>
      </c>
      <c r="E129" t="inlineStr">
        <is>
          <t>LOW</t>
        </is>
      </c>
      <c r="F129" t="n">
        <v>2</v>
      </c>
      <c r="G129" t="n">
        <v>1</v>
      </c>
      <c r="H129" t="inlineStr">
        <is>
          <t>LOW</t>
        </is>
      </c>
      <c r="I129" t="n">
        <v>4.7</v>
      </c>
      <c r="J129" t="inlineStr">
        <is>
          <t>NO</t>
        </is>
      </c>
      <c r="K129" t="inlineStr">
        <is>
          <t>2026-02-26 00:15</t>
        </is>
      </c>
      <c r="L129" t="inlineStr">
        <is>
          <t>YES</t>
        </is>
      </c>
      <c r="M129" t="inlineStr">
        <is>
          <t>gogs gogs *</t>
        </is>
      </c>
      <c r="N129" t="inlineStr">
        <is>
          <t>P4</t>
        </is>
      </c>
      <c r="O129" t="inlineStr">
        <is>
          <t>CVE - IP enrichment n/a</t>
        </is>
      </c>
      <c r="P129" t="n">
        <v>0</v>
      </c>
      <c r="Q129" t="n">
        <v>0</v>
      </c>
      <c r="R129" t="inlineStr">
        <is>
          <t>T1190:Exploit Public-Facing Application</t>
        </is>
      </c>
      <c r="S129" t="n">
        <v>1</v>
      </c>
      <c r="T129" t="inlineStr">
        <is>
          <t>LOW (40%)</t>
        </is>
      </c>
      <c r="U129" t="inlineStr">
        <is>
          <t>UNLIKELY</t>
        </is>
      </c>
      <c r="V129" t="inlineStr">
        <is>
          <t>PATCH_AVAILABLE</t>
        </is>
      </c>
      <c r="W129" t="inlineStr">
        <is>
          <t>https://nvd.nist.gov/vuln/detail/CVE-2026-25120</t>
        </is>
      </c>
      <c r="X129" t="inlineStr">
        <is>
          <t>NONE</t>
        </is>
      </c>
      <c r="Y129" t="n">
        <v>0</v>
      </c>
      <c r="Z129" t="inlineStr"/>
      <c r="AA129" t="inlineStr">
        <is>
          <t>https://nvd.nist.gov/vuln/detail/CVE-2026-25120</t>
        </is>
      </c>
    </row>
    <row r="130">
      <c r="A130" t="inlineStr">
        <is>
          <t>CVE</t>
        </is>
      </c>
      <c r="B130" t="inlineStr">
        <is>
          <t>CVE-2026-25229</t>
        </is>
      </c>
      <c r="C130" t="inlineStr">
        <is>
          <t>Gogs is an open source self-hosted Git service. Versions 0.13.4 and below have a broken access control vulnerability which allows authenticated users with write access to any repository to modify labels belonging to other repositories. The UpdateLabel function in the Web UI (internal/route/repo/issue.go) fails to verify that the label being modified belongs to the repository specified in the URL path, enabling cross-repository label tampering attacks. The vulnerability exists in the Web UI's lab</t>
        </is>
      </c>
      <c r="D130" t="n">
        <v>6.5</v>
      </c>
      <c r="E130" t="inlineStr">
        <is>
          <t>MEDIUM</t>
        </is>
      </c>
      <c r="F130" t="n">
        <v>2</v>
      </c>
      <c r="G130" t="n">
        <v>2</v>
      </c>
      <c r="H130" t="inlineStr">
        <is>
          <t>MEDIUM</t>
        </is>
      </c>
      <c r="I130" t="n">
        <v>10.5</v>
      </c>
      <c r="J130" t="inlineStr">
        <is>
          <t>NO</t>
        </is>
      </c>
      <c r="K130" t="inlineStr">
        <is>
          <t>2026-02-26 00:15</t>
        </is>
      </c>
      <c r="L130" t="inlineStr">
        <is>
          <t>YES</t>
        </is>
      </c>
      <c r="M130" t="inlineStr">
        <is>
          <t>gogs gogs *</t>
        </is>
      </c>
      <c r="N130" t="inlineStr">
        <is>
          <t>P4</t>
        </is>
      </c>
      <c r="O130" t="inlineStr">
        <is>
          <t>CVE - IP enrichment n/a</t>
        </is>
      </c>
      <c r="P130" t="n">
        <v>0</v>
      </c>
      <c r="Q130" t="n">
        <v>0</v>
      </c>
      <c r="R130" t="inlineStr">
        <is>
          <t>T1190:Exploit Public-Facing Application</t>
        </is>
      </c>
      <c r="S130" t="n">
        <v>1</v>
      </c>
      <c r="T130" t="inlineStr">
        <is>
          <t>LOW (40%)</t>
        </is>
      </c>
      <c r="U130" t="inlineStr">
        <is>
          <t>UNLIKELY</t>
        </is>
      </c>
      <c r="V130" t="inlineStr">
        <is>
          <t>PATCH_AVAILABLE</t>
        </is>
      </c>
      <c r="W130" t="inlineStr">
        <is>
          <t>https://nvd.nist.gov/vuln/detail/CVE-2026-25229</t>
        </is>
      </c>
      <c r="X130" t="inlineStr">
        <is>
          <t>NONE</t>
        </is>
      </c>
      <c r="Y130" t="n">
        <v>0</v>
      </c>
      <c r="Z130" t="inlineStr"/>
      <c r="AA130" t="inlineStr">
        <is>
          <t>https://nvd.nist.gov/vuln/detail/CVE-2026-25229</t>
        </is>
      </c>
    </row>
    <row r="131">
      <c r="A131" t="inlineStr">
        <is>
          <t>CVE</t>
        </is>
      </c>
      <c r="B131" t="inlineStr">
        <is>
          <t>CVE-2026-25232</t>
        </is>
      </c>
      <c r="C131" t="inlineStr">
        <is>
          <t xml:space="preserve">Gogs is an open source self-hosted Git service. Versions 0.13.4 and below have an access control bypass vulnerability which allows any repository collaborator with Write permissions to delete protected branches (including the default branch) by sending a direct POST request, completely bypassing the branch protection mechanism. This vulnerability in the DeleteBranchPost function eenables privilege escalation from Write to Admin level, allowing low-privilege users to perform dangerous operations </t>
        </is>
      </c>
      <c r="D131" t="n">
        <v>8.800000000000001</v>
      </c>
      <c r="E131" t="inlineStr">
        <is>
          <t>HIGH</t>
        </is>
      </c>
      <c r="F131" t="n">
        <v>2</v>
      </c>
      <c r="G131" t="n">
        <v>3</v>
      </c>
      <c r="H131" t="inlineStr">
        <is>
          <t>HIGH</t>
        </is>
      </c>
      <c r="I131" t="n">
        <v>14.8</v>
      </c>
      <c r="J131" t="inlineStr">
        <is>
          <t>NO</t>
        </is>
      </c>
      <c r="K131" t="inlineStr">
        <is>
          <t>2026-02-26 00:15</t>
        </is>
      </c>
      <c r="L131" t="inlineStr">
        <is>
          <t>YES</t>
        </is>
      </c>
      <c r="M131" t="inlineStr">
        <is>
          <t>gogs gogs *</t>
        </is>
      </c>
      <c r="N131" t="inlineStr">
        <is>
          <t>P3</t>
        </is>
      </c>
      <c r="O131" t="inlineStr">
        <is>
          <t>CVE - IP enrichment n/a</t>
        </is>
      </c>
      <c r="P131" t="n">
        <v>0</v>
      </c>
      <c r="Q131" t="n">
        <v>0</v>
      </c>
      <c r="R131" t="inlineStr">
        <is>
          <t>T1190:Exploit Public-Facing Application | T1068:Exploitation for Privilege Escalation</t>
        </is>
      </c>
      <c r="S131" t="n">
        <v>1</v>
      </c>
      <c r="T131" t="inlineStr">
        <is>
          <t>LOW (40%)</t>
        </is>
      </c>
      <c r="U131" t="inlineStr">
        <is>
          <t>UNLIKELY</t>
        </is>
      </c>
      <c r="V131" t="inlineStr">
        <is>
          <t>PATCH_AVAILABLE</t>
        </is>
      </c>
      <c r="W131" t="inlineStr">
        <is>
          <t>https://nvd.nist.gov/vuln/detail/CVE-2026-25232</t>
        </is>
      </c>
      <c r="X131" t="inlineStr">
        <is>
          <t>NONE</t>
        </is>
      </c>
      <c r="Y131" t="n">
        <v>0</v>
      </c>
      <c r="Z131" t="inlineStr"/>
      <c r="AA131" t="inlineStr">
        <is>
          <t>https://nvd.nist.gov/vuln/detail/CVE-2026-25232</t>
        </is>
      </c>
    </row>
    <row r="132">
      <c r="A132" t="inlineStr">
        <is>
          <t>CVE</t>
        </is>
      </c>
      <c r="B132" t="inlineStr">
        <is>
          <t>CVE-2026-25242</t>
        </is>
      </c>
      <c r="C132" t="inlineStr">
        <is>
          <t>Gogs is an open source self-hosted Git service. Versions 0.13.4 and below expose unauthenticated file upload endpoints by default. When the global RequireSigninView setting is disabled (default), any remote user can upload arbitrary files to the server via /releases/attachments and /issues/attachments. This enables the instance to be abused as a public file host, potentially leading to disk exhaustion, content hosting, or delivery of malware. CSRF tokens do not mitigate this attack due to same-o</t>
        </is>
      </c>
      <c r="D132" t="n">
        <v>9.800000000000001</v>
      </c>
      <c r="E132" t="inlineStr">
        <is>
          <t>CRITICAL</t>
        </is>
      </c>
      <c r="F132" t="n">
        <v>2</v>
      </c>
      <c r="G132" t="n">
        <v>3</v>
      </c>
      <c r="H132" t="inlineStr">
        <is>
          <t>HIGH</t>
        </is>
      </c>
      <c r="I132" t="n">
        <v>15.8</v>
      </c>
      <c r="J132" t="inlineStr">
        <is>
          <t>NO</t>
        </is>
      </c>
      <c r="K132" t="inlineStr">
        <is>
          <t>2026-02-26 00:15</t>
        </is>
      </c>
      <c r="L132" t="inlineStr">
        <is>
          <t>YES</t>
        </is>
      </c>
      <c r="M132" t="inlineStr">
        <is>
          <t>gogs gogs *</t>
        </is>
      </c>
      <c r="N132" t="inlineStr">
        <is>
          <t>P3</t>
        </is>
      </c>
      <c r="O132" t="inlineStr">
        <is>
          <t>CVE - IP enrichment n/a</t>
        </is>
      </c>
      <c r="P132" t="n">
        <v>0</v>
      </c>
      <c r="Q132" t="n">
        <v>0</v>
      </c>
      <c r="R132" t="inlineStr">
        <is>
          <t>T1190:Exploit Public-Facing Application</t>
        </is>
      </c>
      <c r="S132" t="n">
        <v>1</v>
      </c>
      <c r="T132" t="inlineStr">
        <is>
          <t>LOW (40%)</t>
        </is>
      </c>
      <c r="U132" t="inlineStr">
        <is>
          <t>UNLIKELY</t>
        </is>
      </c>
      <c r="V132" t="inlineStr">
        <is>
          <t>PATCH_AVAILABLE</t>
        </is>
      </c>
      <c r="W132" t="inlineStr">
        <is>
          <t>https://nvd.nist.gov/vuln/detail/CVE-2026-25242</t>
        </is>
      </c>
      <c r="X132" t="inlineStr">
        <is>
          <t>NONE</t>
        </is>
      </c>
      <c r="Y132" t="n">
        <v>0</v>
      </c>
      <c r="Z132" t="inlineStr"/>
      <c r="AA132" t="inlineStr">
        <is>
          <t>https://nvd.nist.gov/vuln/detail/CVE-2026-25242</t>
        </is>
      </c>
    </row>
    <row r="133">
      <c r="A133" t="inlineStr">
        <is>
          <t>CVE</t>
        </is>
      </c>
      <c r="B133" t="inlineStr">
        <is>
          <t>CVE-2026-25474</t>
        </is>
      </c>
      <c r="C133" t="inlineStr">
        <is>
          <t>OpenClaw is a personal AI assistant. In versions 2026.1.30 and below, if channels.telegram.webhookSecret is not set when in Telegram webhook mode, OpenClaw may accept webhook HTTP requests without verifying Telegram’s secret token header. In deployments where the webhook endpoint is reachable by an attacker, this can allow forged Telegram updates (for example spoofing message.from.id). If an attacker can reach the webhook endpoint, they may be able to send forged updates that are processed as if</t>
        </is>
      </c>
      <c r="D133" t="n">
        <v>7.5</v>
      </c>
      <c r="E133" t="inlineStr">
        <is>
          <t>HIGH</t>
        </is>
      </c>
      <c r="F133" t="n">
        <v>2</v>
      </c>
      <c r="G133" t="n">
        <v>3</v>
      </c>
      <c r="H133" t="inlineStr">
        <is>
          <t>HIGH</t>
        </is>
      </c>
      <c r="I133" t="n">
        <v>13.5</v>
      </c>
      <c r="J133" t="inlineStr">
        <is>
          <t>NO</t>
        </is>
      </c>
      <c r="K133" t="inlineStr">
        <is>
          <t>2026-02-26 00:15</t>
        </is>
      </c>
      <c r="L133" t="inlineStr">
        <is>
          <t>YES</t>
        </is>
      </c>
      <c r="M133" t="inlineStr">
        <is>
          <t>openclaw openclaw *</t>
        </is>
      </c>
      <c r="N133" t="inlineStr">
        <is>
          <t>P3</t>
        </is>
      </c>
      <c r="O133" t="inlineStr">
        <is>
          <t>CVE - IP enrichment n/a</t>
        </is>
      </c>
      <c r="P133" t="n">
        <v>0</v>
      </c>
      <c r="Q133" t="n">
        <v>0</v>
      </c>
      <c r="R133" t="inlineStr">
        <is>
          <t>T1190:Exploit Public-Facing Application</t>
        </is>
      </c>
      <c r="S133" t="n">
        <v>1</v>
      </c>
      <c r="T133" t="inlineStr">
        <is>
          <t>LOW (40%)</t>
        </is>
      </c>
      <c r="U133" t="inlineStr">
        <is>
          <t>UNLIKELY</t>
        </is>
      </c>
      <c r="V133" t="inlineStr">
        <is>
          <t>PATCH_AVAILABLE</t>
        </is>
      </c>
      <c r="W133" t="inlineStr">
        <is>
          <t>https://nvd.nist.gov/vuln/detail/CVE-2026-25474</t>
        </is>
      </c>
      <c r="X133" t="inlineStr">
        <is>
          <t>NONE</t>
        </is>
      </c>
      <c r="Y133" t="n">
        <v>0</v>
      </c>
      <c r="Z133" t="inlineStr"/>
      <c r="AA133" t="inlineStr">
        <is>
          <t>https://nvd.nist.gov/vuln/detail/CVE-2026-25474</t>
        </is>
      </c>
    </row>
    <row r="134">
      <c r="A134" t="inlineStr">
        <is>
          <t>CVE</t>
        </is>
      </c>
      <c r="B134" t="inlineStr">
        <is>
          <t>CVE-2026-2282</t>
        </is>
      </c>
      <c r="C134" t="inlineStr">
        <is>
          <t>The Slidorion plugin for WordPress is vulnerable to Stored Cross-Site Scripting via admin settings in all versions up to, and including, 1.0.2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t>
        </is>
      </c>
      <c r="D134" t="n">
        <v>4.4</v>
      </c>
      <c r="E134" t="inlineStr">
        <is>
          <t>MEDIUM</t>
        </is>
      </c>
      <c r="F134" t="n">
        <v>2</v>
      </c>
      <c r="G134" t="n">
        <v>2</v>
      </c>
      <c r="H134" t="inlineStr">
        <is>
          <t>MEDIUM</t>
        </is>
      </c>
      <c r="I134" t="n">
        <v>8.4</v>
      </c>
      <c r="J134" t="inlineStr">
        <is>
          <t>NO</t>
        </is>
      </c>
      <c r="K134" t="inlineStr">
        <is>
          <t>2026-02-26 00:15</t>
        </is>
      </c>
      <c r="L134" t="inlineStr">
        <is>
          <t>CHECK_VENDOR</t>
        </is>
      </c>
      <c r="M134" t="inlineStr">
        <is>
          <t>See CVE details</t>
        </is>
      </c>
      <c r="N134" t="inlineStr">
        <is>
          <t>P4</t>
        </is>
      </c>
      <c r="O134" t="inlineStr">
        <is>
          <t>CVE - IP enrichment n/a</t>
        </is>
      </c>
      <c r="P134" t="n">
        <v>0</v>
      </c>
      <c r="Q134" t="n">
        <v>0</v>
      </c>
      <c r="R134" t="inlineStr">
        <is>
          <t>T1189:Drive-by Compromise</t>
        </is>
      </c>
      <c r="S134" t="n">
        <v>1</v>
      </c>
      <c r="T134" t="inlineStr">
        <is>
          <t>LOW (40%)</t>
        </is>
      </c>
      <c r="U134" t="inlineStr">
        <is>
          <t>UNLIKELY</t>
        </is>
      </c>
      <c r="V134" t="inlineStr">
        <is>
          <t>CHECK_VENDOR</t>
        </is>
      </c>
      <c r="W134" t="inlineStr">
        <is>
          <t>https://nvd.nist.gov/vuln/detail/CVE-2026-2282</t>
        </is>
      </c>
      <c r="X134" t="inlineStr">
        <is>
          <t>NONE</t>
        </is>
      </c>
      <c r="Y134" t="n">
        <v>0</v>
      </c>
      <c r="Z134" t="inlineStr"/>
      <c r="AA134" t="inlineStr">
        <is>
          <t>https://nvd.nist.gov/vuln/detail/CVE-2026-2282</t>
        </is>
      </c>
    </row>
    <row r="135">
      <c r="A135" t="inlineStr">
        <is>
          <t>CVE</t>
        </is>
      </c>
      <c r="B135" t="inlineStr">
        <is>
          <t>CVE-2026-2284</t>
        </is>
      </c>
      <c r="C135" t="inlineStr">
        <is>
          <t>The News Element Elementor Blog Magazine plugin for WordPress is vulnerable to Missing Authorization in all versions up to, and including, 1.0.8. This is due to a missing capability check and nonce verification on the 'ne_clean_data' AJAX action. This makes it possible for authenticated attackers, with Subscriber-level access and above, to truncate 8 core WordPress database tables (posts, comments, terms, term_relationships, term_taxonomy, postmeta, commentmeta, termmeta) and delete the entire W</t>
        </is>
      </c>
      <c r="D135" t="n">
        <v>5.4</v>
      </c>
      <c r="E135" t="inlineStr">
        <is>
          <t>MEDIUM</t>
        </is>
      </c>
      <c r="F135" t="n">
        <v>2</v>
      </c>
      <c r="G135" t="n">
        <v>2</v>
      </c>
      <c r="H135" t="inlineStr">
        <is>
          <t>MEDIUM</t>
        </is>
      </c>
      <c r="I135" t="n">
        <v>9.4</v>
      </c>
      <c r="J135" t="inlineStr">
        <is>
          <t>NO</t>
        </is>
      </c>
      <c r="K135" t="inlineStr">
        <is>
          <t>2026-02-26 00:15</t>
        </is>
      </c>
      <c r="L135" t="inlineStr">
        <is>
          <t>CHECK_VENDOR</t>
        </is>
      </c>
      <c r="M135" t="inlineStr">
        <is>
          <t>See CVE details</t>
        </is>
      </c>
      <c r="N135" t="inlineStr">
        <is>
          <t>P4</t>
        </is>
      </c>
      <c r="O135" t="inlineStr">
        <is>
          <t>CVE - IP enrichment n/a</t>
        </is>
      </c>
      <c r="P135" t="n">
        <v>0</v>
      </c>
      <c r="Q135" t="n">
        <v>0</v>
      </c>
      <c r="R135" t="inlineStr">
        <is>
          <t>T1190:Exploit Public-Facing Application</t>
        </is>
      </c>
      <c r="S135" t="n">
        <v>1</v>
      </c>
      <c r="T135" t="inlineStr">
        <is>
          <t>LOW (40%)</t>
        </is>
      </c>
      <c r="U135" t="inlineStr">
        <is>
          <t>UNLIKELY</t>
        </is>
      </c>
      <c r="V135" t="inlineStr">
        <is>
          <t>CHECK_VENDOR</t>
        </is>
      </c>
      <c r="W135" t="inlineStr">
        <is>
          <t>https://nvd.nist.gov/vuln/detail/CVE-2026-2284</t>
        </is>
      </c>
      <c r="X135" t="inlineStr">
        <is>
          <t>NONE</t>
        </is>
      </c>
      <c r="Y135" t="n">
        <v>0</v>
      </c>
      <c r="Z135" t="inlineStr"/>
      <c r="AA135" t="inlineStr">
        <is>
          <t>https://nvd.nist.gov/vuln/detail/CVE-2026-2284</t>
        </is>
      </c>
    </row>
    <row r="136">
      <c r="A136" t="inlineStr">
        <is>
          <t>CVE</t>
        </is>
      </c>
      <c r="B136" t="inlineStr">
        <is>
          <t>CVE-2026-2502</t>
        </is>
      </c>
      <c r="C136" t="inlineStr">
        <is>
          <t>The xmlrpc attacks blocker plugin for WordPress is vulnerable to Stored Cross-Site Scripting in versions up to, and including, 1.0, via the 'X-Forwarded-For' HTTP header. This is due to the plugin trusting and logging attacker-controlled IP header data and rendering debug log entries without output escaping. This makes it possible for unauthenticated attackers to inject arbitrary web scripts that execute when an administrator views the debug log page.</t>
        </is>
      </c>
      <c r="D136" t="n">
        <v>6.1</v>
      </c>
      <c r="E136" t="inlineStr">
        <is>
          <t>MEDIUM</t>
        </is>
      </c>
      <c r="F136" t="n">
        <v>2</v>
      </c>
      <c r="G136" t="n">
        <v>2</v>
      </c>
      <c r="H136" t="inlineStr">
        <is>
          <t>MEDIUM</t>
        </is>
      </c>
      <c r="I136" t="n">
        <v>10.1</v>
      </c>
      <c r="J136" t="inlineStr">
        <is>
          <t>NO</t>
        </is>
      </c>
      <c r="K136" t="inlineStr">
        <is>
          <t>2026-02-26 00:15</t>
        </is>
      </c>
      <c r="L136" t="inlineStr">
        <is>
          <t>CHECK_VENDOR</t>
        </is>
      </c>
      <c r="M136" t="inlineStr">
        <is>
          <t>See CVE details</t>
        </is>
      </c>
      <c r="N136" t="inlineStr">
        <is>
          <t>P4</t>
        </is>
      </c>
      <c r="O136" t="inlineStr">
        <is>
          <t>CVE - IP enrichment n/a</t>
        </is>
      </c>
      <c r="P136" t="n">
        <v>0</v>
      </c>
      <c r="Q136" t="n">
        <v>0</v>
      </c>
      <c r="R136" t="inlineStr">
        <is>
          <t>T1189:Drive-by Compromise</t>
        </is>
      </c>
      <c r="S136" t="n">
        <v>1</v>
      </c>
      <c r="T136" t="inlineStr">
        <is>
          <t>LOW (40%)</t>
        </is>
      </c>
      <c r="U136" t="inlineStr">
        <is>
          <t>UNLIKELY</t>
        </is>
      </c>
      <c r="V136" t="inlineStr">
        <is>
          <t>CHECK_VENDOR</t>
        </is>
      </c>
      <c r="W136" t="inlineStr">
        <is>
          <t>https://nvd.nist.gov/vuln/detail/CVE-2026-2502</t>
        </is>
      </c>
      <c r="X136" t="inlineStr">
        <is>
          <t>NONE</t>
        </is>
      </c>
      <c r="Y136" t="n">
        <v>0</v>
      </c>
      <c r="Z136" t="inlineStr"/>
      <c r="AA136" t="inlineStr">
        <is>
          <t>https://nvd.nist.gov/vuln/detail/CVE-2026-2502</t>
        </is>
      </c>
    </row>
    <row r="137">
      <c r="A137" t="inlineStr">
        <is>
          <t>CVE</t>
        </is>
      </c>
      <c r="B137" t="inlineStr">
        <is>
          <t>CVE-2026-2504</t>
        </is>
      </c>
      <c r="C137" t="inlineStr">
        <is>
          <t>The Dealia – Request a quote plugin for WordPress is vulnerable to unauthorized modification of data due to missing capability checks on multiple AJAX handlers in all versions up to, and including, 1.0.6. The admin nonce (DEALIA_ADMIN_NONCE) is exposed to all users with edit_posts capability (Contributor+) via wp_localize_script() in PostsController.php, while the AJAX handlers in AdminSettingsController.php only verify the nonce without checking current_user_can('manage_options'). This makes it</t>
        </is>
      </c>
      <c r="D137" t="n">
        <v>4.3</v>
      </c>
      <c r="E137" t="inlineStr">
        <is>
          <t>MEDIUM</t>
        </is>
      </c>
      <c r="F137" t="n">
        <v>2</v>
      </c>
      <c r="G137" t="n">
        <v>2</v>
      </c>
      <c r="H137" t="inlineStr">
        <is>
          <t>MEDIUM</t>
        </is>
      </c>
      <c r="I137" t="n">
        <v>8.300000000000001</v>
      </c>
      <c r="J137" t="inlineStr">
        <is>
          <t>NO</t>
        </is>
      </c>
      <c r="K137" t="inlineStr">
        <is>
          <t>2026-02-26 00:15</t>
        </is>
      </c>
      <c r="L137" t="inlineStr">
        <is>
          <t>CHECK_VENDOR</t>
        </is>
      </c>
      <c r="M137" t="inlineStr">
        <is>
          <t>See CVE details</t>
        </is>
      </c>
      <c r="N137" t="inlineStr">
        <is>
          <t>P4</t>
        </is>
      </c>
      <c r="O137" t="inlineStr">
        <is>
          <t>CVE - IP enrichment n/a</t>
        </is>
      </c>
      <c r="P137" t="n">
        <v>0</v>
      </c>
      <c r="Q137" t="n">
        <v>0</v>
      </c>
      <c r="R137" t="inlineStr">
        <is>
          <t>T1190:Exploit Public-Facing Application</t>
        </is>
      </c>
      <c r="S137" t="n">
        <v>1</v>
      </c>
      <c r="T137" t="inlineStr">
        <is>
          <t>LOW (40%)</t>
        </is>
      </c>
      <c r="U137" t="inlineStr">
        <is>
          <t>UNLIKELY</t>
        </is>
      </c>
      <c r="V137" t="inlineStr">
        <is>
          <t>CHECK_VENDOR</t>
        </is>
      </c>
      <c r="W137" t="inlineStr">
        <is>
          <t>https://nvd.nist.gov/vuln/detail/CVE-2026-2504</t>
        </is>
      </c>
      <c r="X137" t="inlineStr">
        <is>
          <t>NONE</t>
        </is>
      </c>
      <c r="Y137" t="n">
        <v>0</v>
      </c>
      <c r="Z137" t="inlineStr"/>
      <c r="AA137" t="inlineStr">
        <is>
          <t>https://nvd.nist.gov/vuln/detail/CVE-2026-2504</t>
        </is>
      </c>
    </row>
    <row r="138">
      <c r="A138" t="inlineStr">
        <is>
          <t>CVE</t>
        </is>
      </c>
      <c r="B138" t="inlineStr">
        <is>
          <t>CVE-2026-2681</t>
        </is>
      </c>
      <c r="C138" t="inlineStr">
        <is>
          <t>A flaw was found in the blst cryptographic library. This out-of-bounds stack write vulnerability, specifically in the blst_sha256_bcopy assembly routine, occurs due to a missing zero-length guard. A remote attacker can exploit this by providing a zero-length salt parameter to key generation functions, such as blst_keygen_v5(), if the application exposes this functionality. Successful exploitation leads to memory corruption and immediate process termination, resulting in a denial-of-service (DoS)</t>
        </is>
      </c>
      <c r="D138" t="n">
        <v>5.3</v>
      </c>
      <c r="E138" t="inlineStr">
        <is>
          <t>MEDIUM</t>
        </is>
      </c>
      <c r="F138" t="n">
        <v>2</v>
      </c>
      <c r="G138" t="n">
        <v>2</v>
      </c>
      <c r="H138" t="inlineStr">
        <is>
          <t>MEDIUM</t>
        </is>
      </c>
      <c r="I138" t="n">
        <v>9.300000000000001</v>
      </c>
      <c r="J138" t="inlineStr">
        <is>
          <t>NO</t>
        </is>
      </c>
      <c r="K138" t="inlineStr">
        <is>
          <t>2026-02-26 00:15</t>
        </is>
      </c>
      <c r="L138" t="inlineStr">
        <is>
          <t>CHECK_VENDOR</t>
        </is>
      </c>
      <c r="M138" t="inlineStr">
        <is>
          <t>See CVE details</t>
        </is>
      </c>
      <c r="N138" t="inlineStr">
        <is>
          <t>P4</t>
        </is>
      </c>
      <c r="O138" t="inlineStr">
        <is>
          <t>CVE - IP enrichment n/a</t>
        </is>
      </c>
      <c r="P138" t="n">
        <v>0</v>
      </c>
      <c r="Q138" t="n">
        <v>0</v>
      </c>
      <c r="R138" t="inlineStr">
        <is>
          <t>T1203:Exploitation for Client Execution | T1600:Weaken Encryption</t>
        </is>
      </c>
      <c r="S138" t="n">
        <v>1</v>
      </c>
      <c r="T138" t="inlineStr">
        <is>
          <t>LOW (40%)</t>
        </is>
      </c>
      <c r="U138" t="inlineStr">
        <is>
          <t>UNLIKELY</t>
        </is>
      </c>
      <c r="V138" t="inlineStr">
        <is>
          <t>CHECK_VENDOR</t>
        </is>
      </c>
      <c r="W138" t="inlineStr">
        <is>
          <t>https://nvd.nist.gov/vuln/detail/CVE-2026-2681</t>
        </is>
      </c>
      <c r="X138" t="inlineStr">
        <is>
          <t>NONE</t>
        </is>
      </c>
      <c r="Y138" t="n">
        <v>0</v>
      </c>
      <c r="Z138" t="inlineStr"/>
      <c r="AA138" t="inlineStr">
        <is>
          <t>https://nvd.nist.gov/vuln/detail/CVE-2026-2681</t>
        </is>
      </c>
    </row>
    <row r="139">
      <c r="A139" t="inlineStr">
        <is>
          <t>CVE</t>
        </is>
      </c>
      <c r="B139" t="inlineStr">
        <is>
          <t>CVE-2026-2689</t>
        </is>
      </c>
      <c r="C139" t="inlineStr">
        <is>
          <t>A vulnerability was detected in itsourcecode Event Management System 1.0. Affected is an unknown function of the file /admin/manage_booking.php. The manipulation of the argument ID results in sql injection. The attack may be performed from remote. The exploit is now public and may be used.</t>
        </is>
      </c>
      <c r="D139" t="n">
        <v>7.3</v>
      </c>
      <c r="E139" t="inlineStr">
        <is>
          <t>HIGH</t>
        </is>
      </c>
      <c r="F139" t="n">
        <v>2</v>
      </c>
      <c r="G139" t="n">
        <v>3</v>
      </c>
      <c r="H139" t="inlineStr">
        <is>
          <t>HIGH</t>
        </is>
      </c>
      <c r="I139" t="n">
        <v>13.3</v>
      </c>
      <c r="J139" t="inlineStr">
        <is>
          <t>NO</t>
        </is>
      </c>
      <c r="K139" t="inlineStr">
        <is>
          <t>2026-02-26 00:15</t>
        </is>
      </c>
      <c r="L139" t="inlineStr">
        <is>
          <t>YES</t>
        </is>
      </c>
      <c r="M139" t="inlineStr">
        <is>
          <t>admerc event_management_system 1.0</t>
        </is>
      </c>
      <c r="N139" t="inlineStr">
        <is>
          <t>P3</t>
        </is>
      </c>
      <c r="O139" t="inlineStr">
        <is>
          <t>CVE - IP enrichment n/a</t>
        </is>
      </c>
      <c r="P139" t="n">
        <v>0.0003</v>
      </c>
      <c r="Q139" t="n">
        <v>0.0999</v>
      </c>
      <c r="R139" t="inlineStr">
        <is>
          <t>T1190:Exploit Public-Facing Application</t>
        </is>
      </c>
      <c r="S139" t="n">
        <v>1</v>
      </c>
      <c r="T139" t="inlineStr">
        <is>
          <t>LOW (40%)</t>
        </is>
      </c>
      <c r="U139" t="inlineStr">
        <is>
          <t>UNLIKELY</t>
        </is>
      </c>
      <c r="V139" t="inlineStr">
        <is>
          <t>PATCH_AVAILABLE</t>
        </is>
      </c>
      <c r="W139" t="inlineStr">
        <is>
          <t>https://nvd.nist.gov/vuln/detail/CVE-2026-2689</t>
        </is>
      </c>
      <c r="X139" t="inlineStr">
        <is>
          <t>NONE</t>
        </is>
      </c>
      <c r="Y139" t="n">
        <v>0</v>
      </c>
      <c r="Z139" t="inlineStr"/>
      <c r="AA139" t="inlineStr">
        <is>
          <t>https://nvd.nist.gov/vuln/detail/CVE-2026-2689</t>
        </is>
      </c>
    </row>
    <row r="140">
      <c r="A140" t="inlineStr">
        <is>
          <t>CVE</t>
        </is>
      </c>
      <c r="B140" t="inlineStr">
        <is>
          <t>CVE-2026-2690</t>
        </is>
      </c>
      <c r="C140" t="inlineStr">
        <is>
          <t>A flaw has been found in itsourcecode Event Management System 1.0. Affected by this vulnerability is an unknown functionality of the file /admin/ajax.php?action=login of the component Admin Login. This manipulation of the argument Username causes sql injection. It is possible to initiate the attack remotely. The exploit has been published and may be used.</t>
        </is>
      </c>
      <c r="D140" t="n">
        <v>7.3</v>
      </c>
      <c r="E140" t="inlineStr">
        <is>
          <t>HIGH</t>
        </is>
      </c>
      <c r="F140" t="n">
        <v>2</v>
      </c>
      <c r="G140" t="n">
        <v>3</v>
      </c>
      <c r="H140" t="inlineStr">
        <is>
          <t>HIGH</t>
        </is>
      </c>
      <c r="I140" t="n">
        <v>13.3</v>
      </c>
      <c r="J140" t="inlineStr">
        <is>
          <t>NO</t>
        </is>
      </c>
      <c r="K140" t="inlineStr">
        <is>
          <t>2026-02-26 00:15</t>
        </is>
      </c>
      <c r="L140" t="inlineStr">
        <is>
          <t>YES</t>
        </is>
      </c>
      <c r="M140" t="inlineStr">
        <is>
          <t>admerc event_management_system 1.0</t>
        </is>
      </c>
      <c r="N140" t="inlineStr">
        <is>
          <t>P3</t>
        </is>
      </c>
      <c r="O140" t="inlineStr">
        <is>
          <t>CVE - IP enrichment n/a</t>
        </is>
      </c>
      <c r="P140" t="n">
        <v>0</v>
      </c>
      <c r="Q140" t="n">
        <v>0</v>
      </c>
      <c r="R140" t="inlineStr">
        <is>
          <t>T1190:Exploit Public-Facing Application</t>
        </is>
      </c>
      <c r="S140" t="n">
        <v>1</v>
      </c>
      <c r="T140" t="inlineStr">
        <is>
          <t>LOW (40%)</t>
        </is>
      </c>
      <c r="U140" t="inlineStr">
        <is>
          <t>UNLIKELY</t>
        </is>
      </c>
      <c r="V140" t="inlineStr">
        <is>
          <t>PATCH_AVAILABLE</t>
        </is>
      </c>
      <c r="W140" t="inlineStr">
        <is>
          <t>https://nvd.nist.gov/vuln/detail/CVE-2026-2690</t>
        </is>
      </c>
      <c r="X140" t="inlineStr">
        <is>
          <t>NONE</t>
        </is>
      </c>
      <c r="Y140" t="n">
        <v>0</v>
      </c>
      <c r="Z140" t="inlineStr"/>
      <c r="AA140" t="inlineStr">
        <is>
          <t>https://nvd.nist.gov/vuln/detail/CVE-2026-2690</t>
        </is>
      </c>
    </row>
    <row r="141">
      <c r="A141" t="inlineStr">
        <is>
          <t>CVE</t>
        </is>
      </c>
      <c r="B141" t="inlineStr">
        <is>
          <t>CVE-2026-2691</t>
        </is>
      </c>
      <c r="C141" t="inlineStr">
        <is>
          <t>A vulnerability has been found in itsourcecode Event Management System 1.0. Affected by this issue is some unknown functionality of the file /admin/manage_register.php. Such manipulation of the argument ID leads to sql injection. It is possible to launch the attack remotely. The exploit has been disclosed to the public and may be used.</t>
        </is>
      </c>
      <c r="D141" t="n">
        <v>7.3</v>
      </c>
      <c r="E141" t="inlineStr">
        <is>
          <t>HIGH</t>
        </is>
      </c>
      <c r="F141" t="n">
        <v>2</v>
      </c>
      <c r="G141" t="n">
        <v>3</v>
      </c>
      <c r="H141" t="inlineStr">
        <is>
          <t>HIGH</t>
        </is>
      </c>
      <c r="I141" t="n">
        <v>13.3</v>
      </c>
      <c r="J141" t="inlineStr">
        <is>
          <t>NO</t>
        </is>
      </c>
      <c r="K141" t="inlineStr">
        <is>
          <t>2026-02-26 00:15</t>
        </is>
      </c>
      <c r="L141" t="inlineStr">
        <is>
          <t>YES</t>
        </is>
      </c>
      <c r="M141" t="inlineStr">
        <is>
          <t>admerc event_management_system 1.0</t>
        </is>
      </c>
      <c r="N141" t="inlineStr">
        <is>
          <t>P3</t>
        </is>
      </c>
      <c r="O141" t="inlineStr">
        <is>
          <t>CVE - IP enrichment n/a</t>
        </is>
      </c>
      <c r="P141" t="n">
        <v>0</v>
      </c>
      <c r="Q141" t="n">
        <v>0</v>
      </c>
      <c r="R141" t="inlineStr">
        <is>
          <t>T1190:Exploit Public-Facing Application</t>
        </is>
      </c>
      <c r="S141" t="n">
        <v>1</v>
      </c>
      <c r="T141" t="inlineStr">
        <is>
          <t>LOW (40%)</t>
        </is>
      </c>
      <c r="U141" t="inlineStr">
        <is>
          <t>UNLIKELY</t>
        </is>
      </c>
      <c r="V141" t="inlineStr">
        <is>
          <t>PATCH_AVAILABLE</t>
        </is>
      </c>
      <c r="W141" t="inlineStr">
        <is>
          <t>https://nvd.nist.gov/vuln/detail/CVE-2026-2691</t>
        </is>
      </c>
      <c r="X141" t="inlineStr">
        <is>
          <t>NONE</t>
        </is>
      </c>
      <c r="Y141" t="n">
        <v>0</v>
      </c>
      <c r="Z141" t="inlineStr"/>
      <c r="AA141" t="inlineStr">
        <is>
          <t>https://nvd.nist.gov/vuln/detail/CVE-2026-2691</t>
        </is>
      </c>
    </row>
    <row r="142">
      <c r="A142" t="inlineStr">
        <is>
          <t>CVE</t>
        </is>
      </c>
      <c r="B142" t="inlineStr">
        <is>
          <t>CVE-2026-2692</t>
        </is>
      </c>
      <c r="C142" t="inlineStr">
        <is>
          <t>A vulnerability was found in CoCoTeaNet CyreneAdmin up to 1.3.0. This affects an unknown part of the file /api/system/user/getAvatar of the component Image Handler. Performing a manipulation of the argument Avatar results in path traversal. The attack can be initiated remotely. The exploit has been made public and could be used.</t>
        </is>
      </c>
      <c r="D142" t="n">
        <v>4.3</v>
      </c>
      <c r="E142" t="inlineStr">
        <is>
          <t>MEDIUM</t>
        </is>
      </c>
      <c r="F142" t="n">
        <v>2</v>
      </c>
      <c r="G142" t="n">
        <v>2</v>
      </c>
      <c r="H142" t="inlineStr">
        <is>
          <t>MEDIUM</t>
        </is>
      </c>
      <c r="I142" t="n">
        <v>8.300000000000001</v>
      </c>
      <c r="J142" t="inlineStr">
        <is>
          <t>NO</t>
        </is>
      </c>
      <c r="K142" t="inlineStr">
        <is>
          <t>2026-02-26 00:15</t>
        </is>
      </c>
      <c r="L142" t="inlineStr">
        <is>
          <t>CHECK_VENDOR</t>
        </is>
      </c>
      <c r="M142" t="inlineStr">
        <is>
          <t>cocoteanet cyreneadmin *</t>
        </is>
      </c>
      <c r="N142" t="inlineStr">
        <is>
          <t>P4</t>
        </is>
      </c>
      <c r="O142" t="inlineStr">
        <is>
          <t>CVE - IP enrichment n/a</t>
        </is>
      </c>
      <c r="P142" t="n">
        <v>0</v>
      </c>
      <c r="Q142" t="n">
        <v>0</v>
      </c>
      <c r="R142" t="inlineStr">
        <is>
          <t>T1083:File and Directory Discovery</t>
        </is>
      </c>
      <c r="S142" t="n">
        <v>1</v>
      </c>
      <c r="T142" t="inlineStr">
        <is>
          <t>LOW (40%)</t>
        </is>
      </c>
      <c r="U142" t="inlineStr">
        <is>
          <t>UNLIKELY</t>
        </is>
      </c>
      <c r="V142" t="inlineStr">
        <is>
          <t>CHECK_VENDOR</t>
        </is>
      </c>
      <c r="W142" t="inlineStr">
        <is>
          <t>https://nvd.nist.gov/vuln/detail/CVE-2026-2692</t>
        </is>
      </c>
      <c r="X142" t="inlineStr">
        <is>
          <t>NONE</t>
        </is>
      </c>
      <c r="Y142" t="n">
        <v>0</v>
      </c>
      <c r="Z142" t="inlineStr"/>
      <c r="AA142" t="inlineStr">
        <is>
          <t>https://nvd.nist.gov/vuln/detail/CVE-2026-2692</t>
        </is>
      </c>
    </row>
    <row r="143">
      <c r="A143" t="inlineStr">
        <is>
          <t>CVE</t>
        </is>
      </c>
      <c r="B143" t="inlineStr">
        <is>
          <t>CVE-2026-2693</t>
        </is>
      </c>
      <c r="C143" t="inlineStr">
        <is>
          <t>A vulnerability was determined in CoCoTeaNet CyreneAdmin up to 1.3.0. This vulnerability affects unknown code of the file /api/system/dashboard/getCount of the component System Info Endpoint. Executing a manipulation can lead to improper authorization. The attack can be launched remotely. The exploit has been publicly disclosed and may be utilized.</t>
        </is>
      </c>
      <c r="D143" t="n">
        <v>4.3</v>
      </c>
      <c r="E143" t="inlineStr">
        <is>
          <t>MEDIUM</t>
        </is>
      </c>
      <c r="F143" t="n">
        <v>2</v>
      </c>
      <c r="G143" t="n">
        <v>2</v>
      </c>
      <c r="H143" t="inlineStr">
        <is>
          <t>MEDIUM</t>
        </is>
      </c>
      <c r="I143" t="n">
        <v>8.300000000000001</v>
      </c>
      <c r="J143" t="inlineStr">
        <is>
          <t>NO</t>
        </is>
      </c>
      <c r="K143" t="inlineStr">
        <is>
          <t>2026-02-26 00:15</t>
        </is>
      </c>
      <c r="L143" t="inlineStr">
        <is>
          <t>CHECK_VENDOR</t>
        </is>
      </c>
      <c r="M143" t="inlineStr">
        <is>
          <t>cocoteanet cyreneadmin *</t>
        </is>
      </c>
      <c r="N143" t="inlineStr">
        <is>
          <t>P4</t>
        </is>
      </c>
      <c r="O143" t="inlineStr">
        <is>
          <t>CVE - IP enrichment n/a</t>
        </is>
      </c>
      <c r="P143" t="n">
        <v>0</v>
      </c>
      <c r="Q143" t="n">
        <v>0</v>
      </c>
      <c r="R143" t="inlineStr">
        <is>
          <t>T1190:Exploit Public-Facing Application</t>
        </is>
      </c>
      <c r="S143" t="n">
        <v>1</v>
      </c>
      <c r="T143" t="inlineStr">
        <is>
          <t>LOW (40%)</t>
        </is>
      </c>
      <c r="U143" t="inlineStr">
        <is>
          <t>UNLIKELY</t>
        </is>
      </c>
      <c r="V143" t="inlineStr">
        <is>
          <t>CHECK_VENDOR</t>
        </is>
      </c>
      <c r="W143" t="inlineStr">
        <is>
          <t>https://nvd.nist.gov/vuln/detail/CVE-2026-2693</t>
        </is>
      </c>
      <c r="X143" t="inlineStr">
        <is>
          <t>NONE</t>
        </is>
      </c>
      <c r="Y143" t="n">
        <v>0</v>
      </c>
      <c r="Z143" t="inlineStr"/>
      <c r="AA143" t="inlineStr">
        <is>
          <t>https://nvd.nist.gov/vuln/detail/CVE-2026-2693</t>
        </is>
      </c>
    </row>
    <row r="144">
      <c r="A144" t="inlineStr">
        <is>
          <t>CVE</t>
        </is>
      </c>
      <c r="B144" t="inlineStr">
        <is>
          <t>CVE-2026-2702</t>
        </is>
      </c>
      <c r="C144" t="inlineStr">
        <is>
          <t>A security flaw has been discovered in Beetel 777VR1 up to 01.00.09. This issue affects some unknown processing of the component WPA2 PSK. Performing a manipulation results in hard-coded credentials. The attacker must have access to the local network to execute the attack. The complexity of an attack is rather high. The exploitability is assessed as difficult. The exploit has been released to the public and may be used for attacks. The vendor was contacted early about this disclosure but did not</t>
        </is>
      </c>
      <c r="D144" t="n">
        <v>3.1</v>
      </c>
      <c r="E144" t="inlineStr">
        <is>
          <t>LOW</t>
        </is>
      </c>
      <c r="F144" t="n">
        <v>2</v>
      </c>
      <c r="G144" t="n">
        <v>1</v>
      </c>
      <c r="H144" t="inlineStr">
        <is>
          <t>LOW</t>
        </is>
      </c>
      <c r="I144" t="n">
        <v>5.1</v>
      </c>
      <c r="J144" t="inlineStr">
        <is>
          <t>NO</t>
        </is>
      </c>
      <c r="K144" t="inlineStr">
        <is>
          <t>2026-02-26 00:15</t>
        </is>
      </c>
      <c r="L144" t="inlineStr">
        <is>
          <t>CHECK_VENDOR</t>
        </is>
      </c>
      <c r="M144" t="inlineStr">
        <is>
          <t>See CVE details</t>
        </is>
      </c>
      <c r="N144" t="inlineStr">
        <is>
          <t>P4</t>
        </is>
      </c>
      <c r="O144" t="inlineStr">
        <is>
          <t>CVE - IP enrichment n/a</t>
        </is>
      </c>
      <c r="P144" t="n">
        <v>0</v>
      </c>
      <c r="Q144" t="n">
        <v>0</v>
      </c>
      <c r="R144" t="inlineStr">
        <is>
          <t>T1552:Unsecured Credentials</t>
        </is>
      </c>
      <c r="S144" t="n">
        <v>1</v>
      </c>
      <c r="T144" t="inlineStr">
        <is>
          <t>LOW (40%)</t>
        </is>
      </c>
      <c r="U144" t="inlineStr">
        <is>
          <t>UNLIKELY</t>
        </is>
      </c>
      <c r="V144" t="inlineStr">
        <is>
          <t>CHECK_VENDOR</t>
        </is>
      </c>
      <c r="W144" t="inlineStr">
        <is>
          <t>https://nvd.nist.gov/vuln/detail/CVE-2026-2702</t>
        </is>
      </c>
      <c r="X144" t="inlineStr">
        <is>
          <t>NONE</t>
        </is>
      </c>
      <c r="Y144" t="n">
        <v>0</v>
      </c>
      <c r="Z144" t="inlineStr"/>
      <c r="AA144" t="inlineStr">
        <is>
          <t>https://nvd.nist.gov/vuln/detail/CVE-2026-2702</t>
        </is>
      </c>
    </row>
    <row r="145">
      <c r="A145" t="inlineStr">
        <is>
          <t>CVE</t>
        </is>
      </c>
      <c r="B145" t="inlineStr">
        <is>
          <t>CVE-2026-2703</t>
        </is>
      </c>
      <c r="C145" t="inlineStr">
        <is>
          <t>A weakness has been identified in xlnt-community xlnt up to 1.6.1. Impacted is the function xlnt::detail::decode_base64 of the file source/detail/cryptography/base64.cpp of the component Encrypted XLSX File Parser. Executing a manipulation can lead to off-by-one. The attack requires local access. The exploit has been made available to the public and could be used for attacks. This patch is called f2d7bf494e5c52706843cf7eb9892821bffb0734. Applying a patch is advised to resolve this issue.</t>
        </is>
      </c>
      <c r="D145" t="n">
        <v>3.3</v>
      </c>
      <c r="E145" t="inlineStr">
        <is>
          <t>LOW</t>
        </is>
      </c>
      <c r="F145" t="n">
        <v>2</v>
      </c>
      <c r="G145" t="n">
        <v>1</v>
      </c>
      <c r="H145" t="inlineStr">
        <is>
          <t>LOW</t>
        </is>
      </c>
      <c r="I145" t="n">
        <v>5.3</v>
      </c>
      <c r="J145" t="inlineStr">
        <is>
          <t>NO</t>
        </is>
      </c>
      <c r="K145" t="inlineStr">
        <is>
          <t>2026-02-26 00:15</t>
        </is>
      </c>
      <c r="L145" t="inlineStr">
        <is>
          <t>CHECK_VENDOR</t>
        </is>
      </c>
      <c r="M145" t="inlineStr">
        <is>
          <t>See CVE details</t>
        </is>
      </c>
      <c r="N145" t="inlineStr">
        <is>
          <t>P4</t>
        </is>
      </c>
      <c r="O145" t="inlineStr">
        <is>
          <t>CVE - IP enrichment n/a</t>
        </is>
      </c>
      <c r="P145" t="n">
        <v>0</v>
      </c>
      <c r="Q145" t="n">
        <v>0</v>
      </c>
      <c r="R145" t="inlineStr">
        <is>
          <t>T1190:Exploit Public-Facing Application</t>
        </is>
      </c>
      <c r="S145" t="n">
        <v>1</v>
      </c>
      <c r="T145" t="inlineStr">
        <is>
          <t>LOW (40%)</t>
        </is>
      </c>
      <c r="U145" t="inlineStr">
        <is>
          <t>UNLIKELY</t>
        </is>
      </c>
      <c r="V145" t="inlineStr">
        <is>
          <t>CHECK_VENDOR</t>
        </is>
      </c>
      <c r="W145" t="inlineStr">
        <is>
          <t>https://nvd.nist.gov/vuln/detail/CVE-2026-2703</t>
        </is>
      </c>
      <c r="X145" t="inlineStr">
        <is>
          <t>NONE</t>
        </is>
      </c>
      <c r="Y145" t="n">
        <v>0</v>
      </c>
      <c r="Z145" t="inlineStr"/>
      <c r="AA145" t="inlineStr">
        <is>
          <t>https://nvd.nist.gov/vuln/detail/CVE-2026-2703</t>
        </is>
      </c>
    </row>
    <row r="146">
      <c r="A146" t="inlineStr">
        <is>
          <t>CVE</t>
        </is>
      </c>
      <c r="B146" t="inlineStr">
        <is>
          <t>CVE-2026-2704</t>
        </is>
      </c>
      <c r="C146" t="inlineStr">
        <is>
          <t>A security vulnerability has been detected in Open Babel up to 3.1.1. The affected element is the function OpenBabel::transform3d::DescribeAsString of the file src/math/transform3d.cpp of the component CIF File Handler. The manipulation leads to out-of-bounds read. It is possible to initiate the attack remotely. The exploit has been disclosed publicly and may be used. The project was informed of the problem early through an issue report but has not responded yet.</t>
        </is>
      </c>
      <c r="D146" t="n">
        <v>4.3</v>
      </c>
      <c r="E146" t="inlineStr">
        <is>
          <t>MEDIUM</t>
        </is>
      </c>
      <c r="F146" t="n">
        <v>2</v>
      </c>
      <c r="G146" t="n">
        <v>2</v>
      </c>
      <c r="H146" t="inlineStr">
        <is>
          <t>MEDIUM</t>
        </is>
      </c>
      <c r="I146" t="n">
        <v>8.300000000000001</v>
      </c>
      <c r="J146" t="inlineStr">
        <is>
          <t>NO</t>
        </is>
      </c>
      <c r="K146" t="inlineStr">
        <is>
          <t>2026-02-26 00:15</t>
        </is>
      </c>
      <c r="L146" t="inlineStr">
        <is>
          <t>CHECK_VENDOR</t>
        </is>
      </c>
      <c r="M146" t="inlineStr">
        <is>
          <t>openbabel open_babel *</t>
        </is>
      </c>
      <c r="N146" t="inlineStr">
        <is>
          <t>P4</t>
        </is>
      </c>
      <c r="O146" t="inlineStr">
        <is>
          <t>CVE - IP enrichment n/a</t>
        </is>
      </c>
      <c r="P146" t="n">
        <v>0</v>
      </c>
      <c r="Q146" t="n">
        <v>0</v>
      </c>
      <c r="R146" t="inlineStr">
        <is>
          <t>T1203:Exploitation for Client Execution</t>
        </is>
      </c>
      <c r="S146" t="n">
        <v>1</v>
      </c>
      <c r="T146" t="inlineStr">
        <is>
          <t>LOW (40%)</t>
        </is>
      </c>
      <c r="U146" t="inlineStr">
        <is>
          <t>UNLIKELY</t>
        </is>
      </c>
      <c r="V146" t="inlineStr">
        <is>
          <t>CHECK_VENDOR</t>
        </is>
      </c>
      <c r="W146" t="inlineStr">
        <is>
          <t>https://nvd.nist.gov/vuln/detail/CVE-2026-2704</t>
        </is>
      </c>
      <c r="X146" t="inlineStr">
        <is>
          <t>NONE</t>
        </is>
      </c>
      <c r="Y146" t="n">
        <v>0</v>
      </c>
      <c r="Z146" t="inlineStr"/>
      <c r="AA146" t="inlineStr">
        <is>
          <t>https://nvd.nist.gov/vuln/detail/CVE-2026-2704</t>
        </is>
      </c>
    </row>
    <row r="147">
      <c r="A147" t="inlineStr">
        <is>
          <t>CVE</t>
        </is>
      </c>
      <c r="B147" t="inlineStr">
        <is>
          <t>CVE-2026-2705</t>
        </is>
      </c>
      <c r="C147" t="inlineStr">
        <is>
          <t>A vulnerability was detected in Open Babel up to 3.1.1. The impacted element is the function OBAtom::SetFormalCharge in the library include/openbabel/atom.h of the component MOL2 File Handler. The manipulation results in out-of-bounds read. It is possible to launch the attack remotely. The exploit is now public and may be used. The project was informed of the problem early through an issue report but has not responded yet.</t>
        </is>
      </c>
      <c r="D147" t="n">
        <v>4.3</v>
      </c>
      <c r="E147" t="inlineStr">
        <is>
          <t>MEDIUM</t>
        </is>
      </c>
      <c r="F147" t="n">
        <v>2</v>
      </c>
      <c r="G147" t="n">
        <v>2</v>
      </c>
      <c r="H147" t="inlineStr">
        <is>
          <t>MEDIUM</t>
        </is>
      </c>
      <c r="I147" t="n">
        <v>8.300000000000001</v>
      </c>
      <c r="J147" t="inlineStr">
        <is>
          <t>NO</t>
        </is>
      </c>
      <c r="K147" t="inlineStr">
        <is>
          <t>2026-02-26 00:15</t>
        </is>
      </c>
      <c r="L147" t="inlineStr">
        <is>
          <t>CHECK_VENDOR</t>
        </is>
      </c>
      <c r="M147" t="inlineStr">
        <is>
          <t>openbabel open_babel *</t>
        </is>
      </c>
      <c r="N147" t="inlineStr">
        <is>
          <t>P4</t>
        </is>
      </c>
      <c r="O147" t="inlineStr">
        <is>
          <t>CVE - IP enrichment n/a</t>
        </is>
      </c>
      <c r="P147" t="n">
        <v>0</v>
      </c>
      <c r="Q147" t="n">
        <v>0</v>
      </c>
      <c r="R147" t="inlineStr">
        <is>
          <t>T1203:Exploitation for Client Execution</t>
        </is>
      </c>
      <c r="S147" t="n">
        <v>1</v>
      </c>
      <c r="T147" t="inlineStr">
        <is>
          <t>LOW (40%)</t>
        </is>
      </c>
      <c r="U147" t="inlineStr">
        <is>
          <t>UNLIKELY</t>
        </is>
      </c>
      <c r="V147" t="inlineStr">
        <is>
          <t>CHECK_VENDOR</t>
        </is>
      </c>
      <c r="W147" t="inlineStr">
        <is>
          <t>https://nvd.nist.gov/vuln/detail/CVE-2026-2705</t>
        </is>
      </c>
      <c r="X147" t="inlineStr">
        <is>
          <t>NONE</t>
        </is>
      </c>
      <c r="Y147" t="n">
        <v>0</v>
      </c>
      <c r="Z147" t="inlineStr"/>
      <c r="AA147" t="inlineStr">
        <is>
          <t>https://nvd.nist.gov/vuln/detail/CVE-2026-2705</t>
        </is>
      </c>
    </row>
    <row r="148">
      <c r="A148" t="inlineStr">
        <is>
          <t>CVE</t>
        </is>
      </c>
      <c r="B148" t="inlineStr">
        <is>
          <t>CVE-2026-2706</t>
        </is>
      </c>
      <c r="C148" t="inlineStr">
        <is>
          <t>A flaw has been found in code-projects Patient Record Management System 1.0. This affects an unknown function of the file /fecalysis_not.php. This manipulation of the argument comp_id causes sql injection. The attack can be initiated remotely. The exploit has been published and may be used.</t>
        </is>
      </c>
      <c r="D148" t="n">
        <v>6.3</v>
      </c>
      <c r="E148" t="inlineStr">
        <is>
          <t>MEDIUM</t>
        </is>
      </c>
      <c r="F148" t="n">
        <v>2</v>
      </c>
      <c r="G148" t="n">
        <v>2</v>
      </c>
      <c r="H148" t="inlineStr">
        <is>
          <t>MEDIUM</t>
        </is>
      </c>
      <c r="I148" t="n">
        <v>10.3</v>
      </c>
      <c r="J148" t="inlineStr">
        <is>
          <t>NO</t>
        </is>
      </c>
      <c r="K148" t="inlineStr">
        <is>
          <t>2026-02-26 00:15</t>
        </is>
      </c>
      <c r="L148" t="inlineStr">
        <is>
          <t>CHECK_VENDOR</t>
        </is>
      </c>
      <c r="M148" t="inlineStr">
        <is>
          <t>code-projects patient_record_management_system 1.0</t>
        </is>
      </c>
      <c r="N148" t="inlineStr">
        <is>
          <t>P4</t>
        </is>
      </c>
      <c r="O148" t="inlineStr">
        <is>
          <t>CVE - IP enrichment n/a</t>
        </is>
      </c>
      <c r="P148" t="n">
        <v>0.0003</v>
      </c>
      <c r="Q148" t="n">
        <v>0.0718</v>
      </c>
      <c r="R148" t="inlineStr">
        <is>
          <t>T1190:Exploit Public-Facing Application</t>
        </is>
      </c>
      <c r="S148" t="n">
        <v>1</v>
      </c>
      <c r="T148" t="inlineStr">
        <is>
          <t>LOW (40%)</t>
        </is>
      </c>
      <c r="U148" t="inlineStr">
        <is>
          <t>UNLIKELY</t>
        </is>
      </c>
      <c r="V148" t="inlineStr">
        <is>
          <t>CHECK_VENDOR</t>
        </is>
      </c>
      <c r="W148" t="inlineStr">
        <is>
          <t>https://nvd.nist.gov/vuln/detail/CVE-2026-2706</t>
        </is>
      </c>
      <c r="X148" t="inlineStr">
        <is>
          <t>NONE</t>
        </is>
      </c>
      <c r="Y148" t="n">
        <v>0</v>
      </c>
      <c r="Z148" t="inlineStr"/>
      <c r="AA148" t="inlineStr">
        <is>
          <t>https://nvd.nist.gov/vuln/detail/CVE-2026-2706</t>
        </is>
      </c>
    </row>
    <row r="149">
      <c r="A149" t="inlineStr">
        <is>
          <t>CVE</t>
        </is>
      </c>
      <c r="B149" t="inlineStr">
        <is>
          <t>CVE-2026-2709</t>
        </is>
      </c>
      <c r="C149" t="inlineStr">
        <is>
          <t>A flaw has been found in busy up to 2.5.5. The affected element is an unknown function of the file source-code/busy-master/src/server/app.js of the component Callback Handler. Executing a manipulation of the argument state can lead to open redirect. It is possible to launch the attack remotely. The exploit has been published and may be used. The project was informed of the problem early through an issue report but has not responded yet.</t>
        </is>
      </c>
      <c r="D149" t="n">
        <v>3.5</v>
      </c>
      <c r="E149" t="inlineStr">
        <is>
          <t>LOW</t>
        </is>
      </c>
      <c r="F149" t="n">
        <v>2</v>
      </c>
      <c r="G149" t="n">
        <v>1</v>
      </c>
      <c r="H149" t="inlineStr">
        <is>
          <t>LOW</t>
        </is>
      </c>
      <c r="I149" t="n">
        <v>5.5</v>
      </c>
      <c r="J149" t="inlineStr">
        <is>
          <t>NO</t>
        </is>
      </c>
      <c r="K149" t="inlineStr">
        <is>
          <t>2026-02-26 00:15</t>
        </is>
      </c>
      <c r="L149" t="inlineStr">
        <is>
          <t>CHECK_VENDOR</t>
        </is>
      </c>
      <c r="M149" t="inlineStr">
        <is>
          <t>See CVE details</t>
        </is>
      </c>
      <c r="N149" t="inlineStr">
        <is>
          <t>P4</t>
        </is>
      </c>
      <c r="O149" t="inlineStr">
        <is>
          <t>CVE - IP enrichment n/a</t>
        </is>
      </c>
      <c r="P149" t="n">
        <v>0</v>
      </c>
      <c r="Q149" t="n">
        <v>0</v>
      </c>
      <c r="R149" t="inlineStr">
        <is>
          <t>T1189:Drive-by Compromise | T1190:Exploit Public-Facing Application</t>
        </is>
      </c>
      <c r="S149" t="n">
        <v>1</v>
      </c>
      <c r="T149" t="inlineStr">
        <is>
          <t>LOW (40%)</t>
        </is>
      </c>
      <c r="U149" t="inlineStr">
        <is>
          <t>UNLIKELY</t>
        </is>
      </c>
      <c r="V149" t="inlineStr">
        <is>
          <t>CHECK_VENDOR</t>
        </is>
      </c>
      <c r="W149" t="inlineStr">
        <is>
          <t>https://nvd.nist.gov/vuln/detail/CVE-2026-2709</t>
        </is>
      </c>
      <c r="X149" t="inlineStr">
        <is>
          <t>NONE</t>
        </is>
      </c>
      <c r="Y149" t="n">
        <v>0</v>
      </c>
      <c r="Z149" t="inlineStr"/>
      <c r="AA149" t="inlineStr">
        <is>
          <t>https://nvd.nist.gov/vuln/detail/CVE-2026-2709</t>
        </is>
      </c>
    </row>
    <row r="150">
      <c r="A150" t="inlineStr">
        <is>
          <t>CVE</t>
        </is>
      </c>
      <c r="B150" t="inlineStr">
        <is>
          <t>CVE-2026-2731</t>
        </is>
      </c>
      <c r="C150" t="inlineStr">
        <is>
          <t>Path traversal and content injection in JobRunnerBackground.aspx in DynamicWeb 8 (all) and 9 (&lt;9.19.7 and &lt;9.20.3) allows unauthenticated attackers to execute code via simple web requests</t>
        </is>
      </c>
      <c r="D150" t="n">
        <v>8.5</v>
      </c>
      <c r="E150" t="inlineStr">
        <is>
          <t>HIGH</t>
        </is>
      </c>
      <c r="F150" t="n">
        <v>2</v>
      </c>
      <c r="G150" t="n">
        <v>3</v>
      </c>
      <c r="H150" t="inlineStr">
        <is>
          <t>HIGH</t>
        </is>
      </c>
      <c r="I150" t="n">
        <v>14.5</v>
      </c>
      <c r="J150" t="inlineStr">
        <is>
          <t>NO</t>
        </is>
      </c>
      <c r="K150" t="inlineStr">
        <is>
          <t>2026-02-26 00:15</t>
        </is>
      </c>
      <c r="L150" t="inlineStr">
        <is>
          <t>CHECK_VENDOR</t>
        </is>
      </c>
      <c r="M150" t="inlineStr">
        <is>
          <t>See CVE details</t>
        </is>
      </c>
      <c r="N150" t="inlineStr">
        <is>
          <t>P3</t>
        </is>
      </c>
      <c r="O150" t="inlineStr">
        <is>
          <t>CVE - IP enrichment n/a</t>
        </is>
      </c>
      <c r="P150" t="n">
        <v>0</v>
      </c>
      <c r="Q150" t="n">
        <v>0</v>
      </c>
      <c r="R150" t="inlineStr">
        <is>
          <t>T1083:File and Directory Discovery</t>
        </is>
      </c>
      <c r="S150" t="n">
        <v>1</v>
      </c>
      <c r="T150" t="inlineStr">
        <is>
          <t>LOW (40%)</t>
        </is>
      </c>
      <c r="U150" t="inlineStr">
        <is>
          <t>UNLIKELY</t>
        </is>
      </c>
      <c r="V150" t="inlineStr">
        <is>
          <t>CHECK_VENDOR</t>
        </is>
      </c>
      <c r="W150" t="inlineStr">
        <is>
          <t>https://nvd.nist.gov/vuln/detail/CVE-2026-2731</t>
        </is>
      </c>
      <c r="X150" t="inlineStr">
        <is>
          <t>NONE</t>
        </is>
      </c>
      <c r="Y150" t="n">
        <v>0</v>
      </c>
      <c r="Z150" t="inlineStr"/>
      <c r="AA150" t="inlineStr">
        <is>
          <t>https://nvd.nist.gov/vuln/detail/CVE-2026-2731</t>
        </is>
      </c>
    </row>
    <row r="151">
      <c r="A151" t="inlineStr">
        <is>
          <t>CVE</t>
        </is>
      </c>
      <c r="B151" t="inlineStr">
        <is>
          <t>CVE-2026-2711</t>
        </is>
      </c>
      <c r="C151" t="inlineStr">
        <is>
          <t>A vulnerability has been found in zhutoutoutousan worldquant-miner up to 1.0.9. The impacted element is an unknown function of the file worldquant-miner-master/agent-dify-api/core/helper/ssrf_proxy.py of the component URL Handler. The manipulation of the argument make_request leads to server-side request forgery. The attack can be initiated remotely. The attack's complexity is rated as high. The exploitability is regarded as difficult. The exploit has been disclosed to the public and may be used</t>
        </is>
      </c>
      <c r="D151" t="n">
        <v>5.6</v>
      </c>
      <c r="E151" t="inlineStr">
        <is>
          <t>MEDIUM</t>
        </is>
      </c>
      <c r="F151" t="n">
        <v>2</v>
      </c>
      <c r="G151" t="n">
        <v>2</v>
      </c>
      <c r="H151" t="inlineStr">
        <is>
          <t>MEDIUM</t>
        </is>
      </c>
      <c r="I151" t="n">
        <v>9.6</v>
      </c>
      <c r="J151" t="inlineStr">
        <is>
          <t>NO</t>
        </is>
      </c>
      <c r="K151" t="inlineStr">
        <is>
          <t>2026-02-26 00:15</t>
        </is>
      </c>
      <c r="L151" t="inlineStr">
        <is>
          <t>CHECK_VENDOR</t>
        </is>
      </c>
      <c r="M151" t="inlineStr">
        <is>
          <t>See CVE details</t>
        </is>
      </c>
      <c r="N151" t="inlineStr">
        <is>
          <t>P4</t>
        </is>
      </c>
      <c r="O151" t="inlineStr">
        <is>
          <t>CVE - IP enrichment n/a</t>
        </is>
      </c>
      <c r="P151" t="n">
        <v>0</v>
      </c>
      <c r="Q151" t="n">
        <v>0</v>
      </c>
      <c r="R151" t="inlineStr">
        <is>
          <t>T1090:Proxy</t>
        </is>
      </c>
      <c r="S151" t="n">
        <v>1</v>
      </c>
      <c r="T151" t="inlineStr">
        <is>
          <t>LOW (40%)</t>
        </is>
      </c>
      <c r="U151" t="inlineStr">
        <is>
          <t>UNLIKELY</t>
        </is>
      </c>
      <c r="V151" t="inlineStr">
        <is>
          <t>CHECK_VENDOR</t>
        </is>
      </c>
      <c r="W151" t="inlineStr">
        <is>
          <t>https://nvd.nist.gov/vuln/detail/CVE-2026-2711</t>
        </is>
      </c>
      <c r="X151" t="inlineStr">
        <is>
          <t>NONE</t>
        </is>
      </c>
      <c r="Y151" t="n">
        <v>0</v>
      </c>
      <c r="Z151" t="inlineStr"/>
      <c r="AA151" t="inlineStr">
        <is>
          <t>https://nvd.nist.gov/vuln/detail/CVE-2026-2711</t>
        </is>
      </c>
    </row>
    <row r="152">
      <c r="A152" t="inlineStr">
        <is>
          <t>CVE</t>
        </is>
      </c>
      <c r="B152" t="inlineStr">
        <is>
          <t>CVE-2026-2733</t>
        </is>
      </c>
      <c r="C152" t="inlineStr">
        <is>
          <t>A flaw was identified in the Docker v2 authentication endpoint of Keycloak, where tokens continue to be issued even after a Docker registry client has been administratively disabled. This means that turning the client “Enabled” setting to OFF does not fully prevent access. As a result, previously valid credentials can still be used to obtain authentication tokens. This weakens administrative controls and could allow unintended access to container registry resources.</t>
        </is>
      </c>
      <c r="D152" t="n">
        <v>3.8</v>
      </c>
      <c r="E152" t="inlineStr">
        <is>
          <t>LOW</t>
        </is>
      </c>
      <c r="F152" t="n">
        <v>2</v>
      </c>
      <c r="G152" t="n">
        <v>1</v>
      </c>
      <c r="H152" t="inlineStr">
        <is>
          <t>LOW</t>
        </is>
      </c>
      <c r="I152" t="n">
        <v>5.8</v>
      </c>
      <c r="J152" t="inlineStr">
        <is>
          <t>NO</t>
        </is>
      </c>
      <c r="K152" t="inlineStr">
        <is>
          <t>2026-02-26 00:15</t>
        </is>
      </c>
      <c r="L152" t="inlineStr">
        <is>
          <t>CHECK_VENDOR</t>
        </is>
      </c>
      <c r="M152" t="inlineStr">
        <is>
          <t>See CVE details</t>
        </is>
      </c>
      <c r="N152" t="inlineStr">
        <is>
          <t>P4</t>
        </is>
      </c>
      <c r="O152" t="inlineStr">
        <is>
          <t>CVE - IP enrichment n/a</t>
        </is>
      </c>
      <c r="P152" t="n">
        <v>0</v>
      </c>
      <c r="Q152" t="n">
        <v>0</v>
      </c>
      <c r="R152" t="inlineStr">
        <is>
          <t>T1190:Exploit Public-Facing Application | T1552:Unsecured Credentials</t>
        </is>
      </c>
      <c r="S152" t="n">
        <v>1</v>
      </c>
      <c r="T152" t="inlineStr">
        <is>
          <t>LOW (40%)</t>
        </is>
      </c>
      <c r="U152" t="inlineStr">
        <is>
          <t>UNLIKELY</t>
        </is>
      </c>
      <c r="V152" t="inlineStr">
        <is>
          <t>CHECK_VENDOR</t>
        </is>
      </c>
      <c r="W152" t="inlineStr">
        <is>
          <t>https://nvd.nist.gov/vuln/detail/CVE-2026-2733</t>
        </is>
      </c>
      <c r="X152" t="inlineStr">
        <is>
          <t>NONE</t>
        </is>
      </c>
      <c r="Y152" t="n">
        <v>0</v>
      </c>
      <c r="Z152" t="inlineStr"/>
      <c r="AA152" t="inlineStr">
        <is>
          <t>https://nvd.nist.gov/vuln/detail/CVE-2026-2733</t>
        </is>
      </c>
    </row>
    <row r="153">
      <c r="A153" t="inlineStr">
        <is>
          <t>CVE</t>
        </is>
      </c>
      <c r="B153" t="inlineStr">
        <is>
          <t>CVE-2025-40697</t>
        </is>
      </c>
      <c r="C153" t="inlineStr">
        <is>
          <t>Reflected Cross-Site Scripting (XSS) vulnerability in '/index.php' in Lewe WebMeasure, which allows remote attackers to execute arbitrary code through the 'page' parameter. This vulnerability can be exploited to steal sensitive user data, such as session cookies, or to perform actions on behalf of the user.</t>
        </is>
      </c>
      <c r="D153" t="n">
        <v>5</v>
      </c>
      <c r="E153" t="inlineStr">
        <is>
          <t>MEDIUM</t>
        </is>
      </c>
      <c r="F153" t="n">
        <v>2</v>
      </c>
      <c r="G153" t="n">
        <v>2</v>
      </c>
      <c r="H153" t="inlineStr">
        <is>
          <t>MEDIUM</t>
        </is>
      </c>
      <c r="I153" t="n">
        <v>9</v>
      </c>
      <c r="J153" t="inlineStr">
        <is>
          <t>NO</t>
        </is>
      </c>
      <c r="K153" t="inlineStr">
        <is>
          <t>2026-02-26 00:15</t>
        </is>
      </c>
      <c r="L153" t="inlineStr">
        <is>
          <t>CHECK_VENDOR</t>
        </is>
      </c>
      <c r="M153" t="inlineStr">
        <is>
          <t>See CVE details</t>
        </is>
      </c>
      <c r="N153" t="inlineStr">
        <is>
          <t>P4</t>
        </is>
      </c>
      <c r="O153" t="inlineStr">
        <is>
          <t>CVE - IP enrichment n/a</t>
        </is>
      </c>
      <c r="P153" t="n">
        <v>0</v>
      </c>
      <c r="Q153" t="n">
        <v>0</v>
      </c>
      <c r="R153" t="inlineStr">
        <is>
          <t>T1189:Drive-by Compromise | T1203:Exploitation for Client Execution</t>
        </is>
      </c>
      <c r="S153" t="n">
        <v>1</v>
      </c>
      <c r="T153" t="inlineStr">
        <is>
          <t>LOW (40%)</t>
        </is>
      </c>
      <c r="U153" t="inlineStr">
        <is>
          <t>UNLIKELY</t>
        </is>
      </c>
      <c r="V153" t="inlineStr">
        <is>
          <t>CHECK_VENDOR</t>
        </is>
      </c>
      <c r="W153" t="inlineStr">
        <is>
          <t>https://nvd.nist.gov/vuln/detail/CVE-2025-40697</t>
        </is>
      </c>
      <c r="X153" t="inlineStr">
        <is>
          <t>NONE</t>
        </is>
      </c>
      <c r="Y153" t="n">
        <v>0</v>
      </c>
      <c r="Z153" t="inlineStr"/>
      <c r="AA153" t="inlineStr">
        <is>
          <t>https://nvd.nist.gov/vuln/detail/CVE-2025-40697</t>
        </is>
      </c>
    </row>
    <row r="154">
      <c r="A154" t="inlineStr">
        <is>
          <t>CVE</t>
        </is>
      </c>
      <c r="B154" t="inlineStr">
        <is>
          <t>CVE-2025-41023</t>
        </is>
      </c>
      <c r="C154" t="inlineStr">
        <is>
          <t>An authentication bypass vulnerability has been found in Thesamur's AutoGPT. This vulnerability allows an attacker to bypass authentication mechanisms. Once inside the web application, the attacker can use any of its features regardless of the authorisation method used.</t>
        </is>
      </c>
      <c r="D154" t="n">
        <v>5</v>
      </c>
      <c r="E154" t="inlineStr">
        <is>
          <t>MEDIUM</t>
        </is>
      </c>
      <c r="F154" t="n">
        <v>2</v>
      </c>
      <c r="G154" t="n">
        <v>2</v>
      </c>
      <c r="H154" t="inlineStr">
        <is>
          <t>MEDIUM</t>
        </is>
      </c>
      <c r="I154" t="n">
        <v>9</v>
      </c>
      <c r="J154" t="inlineStr">
        <is>
          <t>NO</t>
        </is>
      </c>
      <c r="K154" t="inlineStr">
        <is>
          <t>2026-02-26 00:15</t>
        </is>
      </c>
      <c r="L154" t="inlineStr">
        <is>
          <t>CHECK_VENDOR</t>
        </is>
      </c>
      <c r="M154" t="inlineStr">
        <is>
          <t>See CVE details</t>
        </is>
      </c>
      <c r="N154" t="inlineStr">
        <is>
          <t>P4</t>
        </is>
      </c>
      <c r="O154" t="inlineStr">
        <is>
          <t>CVE - IP enrichment n/a</t>
        </is>
      </c>
      <c r="P154" t="n">
        <v>0</v>
      </c>
      <c r="Q154" t="n">
        <v>0</v>
      </c>
      <c r="R154" t="inlineStr">
        <is>
          <t>T1078:Valid Accounts | T1110:Brute Force</t>
        </is>
      </c>
      <c r="S154" t="n">
        <v>1</v>
      </c>
      <c r="T154" t="inlineStr">
        <is>
          <t>LOW (40%)</t>
        </is>
      </c>
      <c r="U154" t="inlineStr">
        <is>
          <t>UNLIKELY</t>
        </is>
      </c>
      <c r="V154" t="inlineStr">
        <is>
          <t>CHECK_VENDOR</t>
        </is>
      </c>
      <c r="W154" t="inlineStr">
        <is>
          <t>https://nvd.nist.gov/vuln/detail/CVE-2025-41023</t>
        </is>
      </c>
      <c r="X154" t="inlineStr">
        <is>
          <t>NONE</t>
        </is>
      </c>
      <c r="Y154" t="n">
        <v>0</v>
      </c>
      <c r="Z154" t="inlineStr"/>
      <c r="AA154" t="inlineStr">
        <is>
          <t>https://nvd.nist.gov/vuln/detail/CVE-2025-41023</t>
        </is>
      </c>
    </row>
    <row r="155">
      <c r="A155" t="inlineStr">
        <is>
          <t>CVE</t>
        </is>
      </c>
      <c r="B155" t="inlineStr">
        <is>
          <t>CVE-2026-22269</t>
        </is>
      </c>
      <c r="C155" t="inlineStr">
        <is>
          <t>Dell PowerProtect Data Manager, version(s) prior to 19.22, contain(s) an Improper Verification of Source of a Communication Channel vulnerability in the REST API. A high privileged attacker with remote access could potentially exploit this vulnerability, leading to protection mechanism bypass.</t>
        </is>
      </c>
      <c r="D155" t="n">
        <v>4.7</v>
      </c>
      <c r="E155" t="inlineStr">
        <is>
          <t>MEDIUM</t>
        </is>
      </c>
      <c r="F155" t="n">
        <v>2</v>
      </c>
      <c r="G155" t="n">
        <v>2</v>
      </c>
      <c r="H155" t="inlineStr">
        <is>
          <t>MEDIUM</t>
        </is>
      </c>
      <c r="I155" t="n">
        <v>8.699999999999999</v>
      </c>
      <c r="J155" t="inlineStr">
        <is>
          <t>NO</t>
        </is>
      </c>
      <c r="K155" t="inlineStr">
        <is>
          <t>2026-02-26 00:15</t>
        </is>
      </c>
      <c r="L155" t="inlineStr">
        <is>
          <t>YES</t>
        </is>
      </c>
      <c r="M155" t="inlineStr">
        <is>
          <t>dell powerprotect_data_manager *</t>
        </is>
      </c>
      <c r="N155" t="inlineStr">
        <is>
          <t>P4</t>
        </is>
      </c>
      <c r="O155" t="inlineStr">
        <is>
          <t>CVE - IP enrichment n/a</t>
        </is>
      </c>
      <c r="P155" t="n">
        <v>0</v>
      </c>
      <c r="Q155" t="n">
        <v>0</v>
      </c>
      <c r="R155" t="inlineStr">
        <is>
          <t>T1190:Exploit Public-Facing Application</t>
        </is>
      </c>
      <c r="S155" t="n">
        <v>1</v>
      </c>
      <c r="T155" t="inlineStr">
        <is>
          <t>LOW (40%)</t>
        </is>
      </c>
      <c r="U155" t="inlineStr">
        <is>
          <t>UNLIKELY</t>
        </is>
      </c>
      <c r="V155" t="inlineStr">
        <is>
          <t>PATCH_AVAILABLE</t>
        </is>
      </c>
      <c r="W155" t="inlineStr">
        <is>
          <t>https://nvd.nist.gov/vuln/detail/CVE-2026-22269</t>
        </is>
      </c>
      <c r="X155" t="inlineStr">
        <is>
          <t>NONE</t>
        </is>
      </c>
      <c r="Y155" t="n">
        <v>0</v>
      </c>
      <c r="Z155" t="inlineStr"/>
      <c r="AA155" t="inlineStr">
        <is>
          <t>https://nvd.nist.gov/vuln/detail/CVE-2026-22269</t>
        </is>
      </c>
    </row>
    <row r="156">
      <c r="A156" t="inlineStr">
        <is>
          <t>CVE</t>
        </is>
      </c>
      <c r="B156" t="inlineStr">
        <is>
          <t>CVE-2026-22333</t>
        </is>
      </c>
      <c r="C156" t="inlineStr">
        <is>
          <t>Deserialization of Untrusted Data vulnerability in YITHEMES YITH WooCommerce Compare yith-woocommerce-compare allows Object Injection.This issue affects YITH WooCommerce Compare: from n/a through &lt;= 3.6.0.</t>
        </is>
      </c>
      <c r="D156" t="n">
        <v>7.2</v>
      </c>
      <c r="E156" t="inlineStr">
        <is>
          <t>HIGH</t>
        </is>
      </c>
      <c r="F156" t="n">
        <v>2</v>
      </c>
      <c r="G156" t="n">
        <v>3</v>
      </c>
      <c r="H156" t="inlineStr">
        <is>
          <t>HIGH</t>
        </is>
      </c>
      <c r="I156" t="n">
        <v>13.2</v>
      </c>
      <c r="J156" t="inlineStr">
        <is>
          <t>NO</t>
        </is>
      </c>
      <c r="K156" t="inlineStr">
        <is>
          <t>2026-02-26 00:15</t>
        </is>
      </c>
      <c r="L156" t="inlineStr">
        <is>
          <t>CHECK_VENDOR</t>
        </is>
      </c>
      <c r="M156" t="inlineStr">
        <is>
          <t>See CVE details</t>
        </is>
      </c>
      <c r="N156" t="inlineStr">
        <is>
          <t>P3</t>
        </is>
      </c>
      <c r="O156" t="inlineStr">
        <is>
          <t>CVE - IP enrichment n/a</t>
        </is>
      </c>
      <c r="P156" t="n">
        <v>0.0005999999999999999</v>
      </c>
      <c r="Q156" t="n">
        <v>0.1814</v>
      </c>
      <c r="R156" t="inlineStr">
        <is>
          <t>T1059:Command and Scripting Interpreter | T1190:Exploit Public-Facing Application</t>
        </is>
      </c>
      <c r="S156" t="n">
        <v>1</v>
      </c>
      <c r="T156" t="inlineStr">
        <is>
          <t>LOW (40%)</t>
        </is>
      </c>
      <c r="U156" t="inlineStr">
        <is>
          <t>UNLIKELY</t>
        </is>
      </c>
      <c r="V156" t="inlineStr">
        <is>
          <t>CHECK_VENDOR</t>
        </is>
      </c>
      <c r="W156" t="inlineStr">
        <is>
          <t>https://nvd.nist.gov/vuln/detail/CVE-2026-22333</t>
        </is>
      </c>
      <c r="X156" t="inlineStr">
        <is>
          <t>NONE</t>
        </is>
      </c>
      <c r="Y156" t="n">
        <v>0</v>
      </c>
      <c r="Z156" t="inlineStr"/>
      <c r="AA156" t="inlineStr">
        <is>
          <t>https://nvd.nist.gov/vuln/detail/CVE-2026-22333</t>
        </is>
      </c>
    </row>
    <row r="157">
      <c r="A157" t="inlineStr">
        <is>
          <t>CVE</t>
        </is>
      </c>
      <c r="B157" t="inlineStr">
        <is>
          <t>CVE-2026-22422</t>
        </is>
      </c>
      <c r="C157" t="inlineStr">
        <is>
          <t>Improper Neutralization of Script-Related HTML Tags in a Web Page (Basic XSS) vulnerability in wpeverest Everest Forms everest-forms allows Code Injection.This issue affects Everest Forms: from n/a through &lt;= 3.4.1.</t>
        </is>
      </c>
      <c r="D157" t="n">
        <v>5.3</v>
      </c>
      <c r="E157" t="inlineStr">
        <is>
          <t>MEDIUM</t>
        </is>
      </c>
      <c r="F157" t="n">
        <v>2</v>
      </c>
      <c r="G157" t="n">
        <v>2</v>
      </c>
      <c r="H157" t="inlineStr">
        <is>
          <t>MEDIUM</t>
        </is>
      </c>
      <c r="I157" t="n">
        <v>9.300000000000001</v>
      </c>
      <c r="J157" t="inlineStr">
        <is>
          <t>NO</t>
        </is>
      </c>
      <c r="K157" t="inlineStr">
        <is>
          <t>2026-02-26 00:15</t>
        </is>
      </c>
      <c r="L157" t="inlineStr">
        <is>
          <t>CHECK_VENDOR</t>
        </is>
      </c>
      <c r="M157" t="inlineStr">
        <is>
          <t>See CVE details</t>
        </is>
      </c>
      <c r="N157" t="inlineStr">
        <is>
          <t>P4</t>
        </is>
      </c>
      <c r="O157" t="inlineStr">
        <is>
          <t>CVE - IP enrichment n/a</t>
        </is>
      </c>
      <c r="P157" t="n">
        <v>0</v>
      </c>
      <c r="Q157" t="n">
        <v>0</v>
      </c>
      <c r="R157" t="inlineStr">
        <is>
          <t>T1189:Drive-by Compromise</t>
        </is>
      </c>
      <c r="S157" t="n">
        <v>1</v>
      </c>
      <c r="T157" t="inlineStr">
        <is>
          <t>LOW (40%)</t>
        </is>
      </c>
      <c r="U157" t="inlineStr">
        <is>
          <t>UNLIKELY</t>
        </is>
      </c>
      <c r="V157" t="inlineStr">
        <is>
          <t>CHECK_VENDOR</t>
        </is>
      </c>
      <c r="W157" t="inlineStr">
        <is>
          <t>https://nvd.nist.gov/vuln/detail/CVE-2026-22422</t>
        </is>
      </c>
      <c r="X157" t="inlineStr">
        <is>
          <t>NONE</t>
        </is>
      </c>
      <c r="Y157" t="n">
        <v>0</v>
      </c>
      <c r="Z157" t="inlineStr"/>
      <c r="AA157" t="inlineStr">
        <is>
          <t>https://nvd.nist.gov/vuln/detail/CVE-2026-22422</t>
        </is>
      </c>
    </row>
    <row r="158">
      <c r="A158" t="inlineStr">
        <is>
          <t>CVE</t>
        </is>
      </c>
      <c r="B158" t="inlineStr">
        <is>
          <t>CVE-2026-23541</t>
        </is>
      </c>
      <c r="C158" t="inlineStr">
        <is>
          <t>Missing Authorization vulnerability in WPFunnels Mail Mint mail-mint allows Accessing Functionality Not Properly Constrained by ACLs.This issue affects Mail Mint: from n/a through &lt;= 1.19.4.</t>
        </is>
      </c>
      <c r="D158" t="n">
        <v>5</v>
      </c>
      <c r="E158" t="inlineStr">
        <is>
          <t>MEDIUM</t>
        </is>
      </c>
      <c r="F158" t="n">
        <v>2</v>
      </c>
      <c r="G158" t="n">
        <v>2</v>
      </c>
      <c r="H158" t="inlineStr">
        <is>
          <t>MEDIUM</t>
        </is>
      </c>
      <c r="I158" t="n">
        <v>9</v>
      </c>
      <c r="J158" t="inlineStr">
        <is>
          <t>NO</t>
        </is>
      </c>
      <c r="K158" t="inlineStr">
        <is>
          <t>2026-02-26 00:15</t>
        </is>
      </c>
      <c r="L158" t="inlineStr">
        <is>
          <t>CHECK_VENDOR</t>
        </is>
      </c>
      <c r="M158" t="inlineStr">
        <is>
          <t>See CVE details</t>
        </is>
      </c>
      <c r="N158" t="inlineStr">
        <is>
          <t>P4</t>
        </is>
      </c>
      <c r="O158" t="inlineStr">
        <is>
          <t>CVE - IP enrichment n/a</t>
        </is>
      </c>
      <c r="P158" t="n">
        <v>0</v>
      </c>
      <c r="Q158" t="n">
        <v>0</v>
      </c>
      <c r="R158" t="inlineStr">
        <is>
          <t>T1190:Exploit Public-Facing Application</t>
        </is>
      </c>
      <c r="S158" t="n">
        <v>1</v>
      </c>
      <c r="T158" t="inlineStr">
        <is>
          <t>LOW (40%)</t>
        </is>
      </c>
      <c r="U158" t="inlineStr">
        <is>
          <t>UNLIKELY</t>
        </is>
      </c>
      <c r="V158" t="inlineStr">
        <is>
          <t>CHECK_VENDOR</t>
        </is>
      </c>
      <c r="W158" t="inlineStr">
        <is>
          <t>https://nvd.nist.gov/vuln/detail/CVE-2026-23541</t>
        </is>
      </c>
      <c r="X158" t="inlineStr">
        <is>
          <t>NONE</t>
        </is>
      </c>
      <c r="Y158" t="n">
        <v>0</v>
      </c>
      <c r="Z158" t="inlineStr"/>
      <c r="AA158" t="inlineStr">
        <is>
          <t>https://nvd.nist.gov/vuln/detail/CVE-2026-23541</t>
        </is>
      </c>
    </row>
    <row r="159">
      <c r="A159" t="inlineStr">
        <is>
          <t>CVE</t>
        </is>
      </c>
      <c r="B159" t="inlineStr">
        <is>
          <t>CVE-2026-23542</t>
        </is>
      </c>
      <c r="C159" t="inlineStr">
        <is>
          <t>Deserialization of Untrusted Data vulnerability in ThemeGoods Grand Restaurant grandrestaurant allows Object Injection.This issue affects Grand Restaurant: from n/a through &lt;= 7.0.10.</t>
        </is>
      </c>
      <c r="D159" t="n">
        <v>9.800000000000001</v>
      </c>
      <c r="E159" t="inlineStr">
        <is>
          <t>CRITICAL</t>
        </is>
      </c>
      <c r="F159" t="n">
        <v>2</v>
      </c>
      <c r="G159" t="n">
        <v>3</v>
      </c>
      <c r="H159" t="inlineStr">
        <is>
          <t>HIGH</t>
        </is>
      </c>
      <c r="I159" t="n">
        <v>15.8</v>
      </c>
      <c r="J159" t="inlineStr">
        <is>
          <t>NO</t>
        </is>
      </c>
      <c r="K159" t="inlineStr">
        <is>
          <t>2026-02-26 00:15</t>
        </is>
      </c>
      <c r="L159" t="inlineStr">
        <is>
          <t>CHECK_VENDOR</t>
        </is>
      </c>
      <c r="M159" t="inlineStr">
        <is>
          <t>See CVE details</t>
        </is>
      </c>
      <c r="N159" t="inlineStr">
        <is>
          <t>P3</t>
        </is>
      </c>
      <c r="O159" t="inlineStr">
        <is>
          <t>CVE - IP enrichment n/a</t>
        </is>
      </c>
      <c r="P159" t="n">
        <v>0</v>
      </c>
      <c r="Q159" t="n">
        <v>0</v>
      </c>
      <c r="R159" t="inlineStr">
        <is>
          <t>T1059:Command and Scripting Interpreter</t>
        </is>
      </c>
      <c r="S159" t="n">
        <v>1</v>
      </c>
      <c r="T159" t="inlineStr">
        <is>
          <t>LOW (40%)</t>
        </is>
      </c>
      <c r="U159" t="inlineStr">
        <is>
          <t>UNLIKELY</t>
        </is>
      </c>
      <c r="V159" t="inlineStr">
        <is>
          <t>CHECK_VENDOR</t>
        </is>
      </c>
      <c r="W159" t="inlineStr">
        <is>
          <t>https://nvd.nist.gov/vuln/detail/CVE-2026-23542</t>
        </is>
      </c>
      <c r="X159" t="inlineStr">
        <is>
          <t>NONE</t>
        </is>
      </c>
      <c r="Y159" t="n">
        <v>0</v>
      </c>
      <c r="Z159" t="inlineStr"/>
      <c r="AA159" t="inlineStr">
        <is>
          <t>https://nvd.nist.gov/vuln/detail/CVE-2026-23542</t>
        </is>
      </c>
    </row>
    <row r="160">
      <c r="A160" t="inlineStr">
        <is>
          <t>CVE</t>
        </is>
      </c>
      <c r="B160" t="inlineStr">
        <is>
          <t>CVE-2026-23543</t>
        </is>
      </c>
      <c r="C160" t="inlineStr">
        <is>
          <t>Missing Authorization vulnerability in WPDeveloper Essential Addons for Elementor essential-addons-for-elementor-lite allows Exploiting Incorrectly Configured Access Control Security Levels.This issue affects Essential Addons for Elementor: from n/a through &lt;= 6.5.5.</t>
        </is>
      </c>
      <c r="D160" t="n">
        <v>5</v>
      </c>
      <c r="E160" t="inlineStr">
        <is>
          <t>MEDIUM</t>
        </is>
      </c>
      <c r="F160" t="n">
        <v>2</v>
      </c>
      <c r="G160" t="n">
        <v>2</v>
      </c>
      <c r="H160" t="inlineStr">
        <is>
          <t>MEDIUM</t>
        </is>
      </c>
      <c r="I160" t="n">
        <v>9</v>
      </c>
      <c r="J160" t="inlineStr">
        <is>
          <t>NO</t>
        </is>
      </c>
      <c r="K160" t="inlineStr">
        <is>
          <t>2026-02-26 00:15</t>
        </is>
      </c>
      <c r="L160" t="inlineStr">
        <is>
          <t>CHECK_VENDOR</t>
        </is>
      </c>
      <c r="M160" t="inlineStr">
        <is>
          <t>See CVE details</t>
        </is>
      </c>
      <c r="N160" t="inlineStr">
        <is>
          <t>P4</t>
        </is>
      </c>
      <c r="O160" t="inlineStr">
        <is>
          <t>CVE - IP enrichment n/a</t>
        </is>
      </c>
      <c r="P160" t="n">
        <v>0.0002</v>
      </c>
      <c r="Q160" t="n">
        <v>0.0566</v>
      </c>
      <c r="R160" t="inlineStr">
        <is>
          <t>T1190:Exploit Public-Facing Application</t>
        </is>
      </c>
      <c r="S160" t="n">
        <v>1</v>
      </c>
      <c r="T160" t="inlineStr">
        <is>
          <t>LOW (40%)</t>
        </is>
      </c>
      <c r="U160" t="inlineStr">
        <is>
          <t>UNLIKELY</t>
        </is>
      </c>
      <c r="V160" t="inlineStr">
        <is>
          <t>CHECK_VENDOR</t>
        </is>
      </c>
      <c r="W160" t="inlineStr">
        <is>
          <t>https://nvd.nist.gov/vuln/detail/CVE-2026-23543</t>
        </is>
      </c>
      <c r="X160" t="inlineStr">
        <is>
          <t>NONE</t>
        </is>
      </c>
      <c r="Y160" t="n">
        <v>0</v>
      </c>
      <c r="Z160" t="inlineStr"/>
      <c r="AA160" t="inlineStr">
        <is>
          <t>https://nvd.nist.gov/vuln/detail/CVE-2026-23543</t>
        </is>
      </c>
    </row>
    <row r="161">
      <c r="A161" t="inlineStr">
        <is>
          <t>CVE</t>
        </is>
      </c>
      <c r="B161" t="inlineStr">
        <is>
          <t>CVE-2026-23544</t>
        </is>
      </c>
      <c r="C161" t="inlineStr">
        <is>
          <t>Deserialization of Untrusted Data vulnerability in codetipi Valenti valenti allows Object Injection.This issue affects Valenti: from n/a through &lt;= 5.6.3.5.</t>
        </is>
      </c>
      <c r="D161" t="n">
        <v>8.800000000000001</v>
      </c>
      <c r="E161" t="inlineStr">
        <is>
          <t>HIGH</t>
        </is>
      </c>
      <c r="F161" t="n">
        <v>2</v>
      </c>
      <c r="G161" t="n">
        <v>3</v>
      </c>
      <c r="H161" t="inlineStr">
        <is>
          <t>HIGH</t>
        </is>
      </c>
      <c r="I161" t="n">
        <v>14.8</v>
      </c>
      <c r="J161" t="inlineStr">
        <is>
          <t>NO</t>
        </is>
      </c>
      <c r="K161" t="inlineStr">
        <is>
          <t>2026-02-26 00:15</t>
        </is>
      </c>
      <c r="L161" t="inlineStr">
        <is>
          <t>CHECK_VENDOR</t>
        </is>
      </c>
      <c r="M161" t="inlineStr">
        <is>
          <t>See CVE details</t>
        </is>
      </c>
      <c r="N161" t="inlineStr">
        <is>
          <t>P3</t>
        </is>
      </c>
      <c r="O161" t="inlineStr">
        <is>
          <t>CVE - IP enrichment n/a</t>
        </is>
      </c>
      <c r="P161" t="n">
        <v>0</v>
      </c>
      <c r="Q161" t="n">
        <v>0</v>
      </c>
      <c r="R161" t="inlineStr">
        <is>
          <t>T1059:Command and Scripting Interpreter</t>
        </is>
      </c>
      <c r="S161" t="n">
        <v>1</v>
      </c>
      <c r="T161" t="inlineStr">
        <is>
          <t>LOW (40%)</t>
        </is>
      </c>
      <c r="U161" t="inlineStr">
        <is>
          <t>UNLIKELY</t>
        </is>
      </c>
      <c r="V161" t="inlineStr">
        <is>
          <t>CHECK_VENDOR</t>
        </is>
      </c>
      <c r="W161" t="inlineStr">
        <is>
          <t>https://nvd.nist.gov/vuln/detail/CVE-2026-23544</t>
        </is>
      </c>
      <c r="X161" t="inlineStr">
        <is>
          <t>NONE</t>
        </is>
      </c>
      <c r="Y161" t="n">
        <v>0</v>
      </c>
      <c r="Z161" t="inlineStr"/>
      <c r="AA161" t="inlineStr">
        <is>
          <t>https://nvd.nist.gov/vuln/detail/CVE-2026-23544</t>
        </is>
      </c>
    </row>
    <row r="162">
      <c r="A162" t="inlineStr">
        <is>
          <t>CVE</t>
        </is>
      </c>
      <c r="B162" t="inlineStr">
        <is>
          <t>CVE-2026-23545</t>
        </is>
      </c>
      <c r="C162" t="inlineStr">
        <is>
          <t>Missing Authorization vulnerability in Aruba.it Dev Aruba HiSpeed Cache aruba-hispeed-cache allows Exploiting Incorrectly Configured Access Control Security Levels.This issue affects Aruba HiSpeed Cache: from n/a through &lt;= 3.0.4.</t>
        </is>
      </c>
      <c r="D162" t="n">
        <v>5</v>
      </c>
      <c r="E162" t="inlineStr">
        <is>
          <t>MEDIUM</t>
        </is>
      </c>
      <c r="F162" t="n">
        <v>2</v>
      </c>
      <c r="G162" t="n">
        <v>2</v>
      </c>
      <c r="H162" t="inlineStr">
        <is>
          <t>MEDIUM</t>
        </is>
      </c>
      <c r="I162" t="n">
        <v>9</v>
      </c>
      <c r="J162" t="inlineStr">
        <is>
          <t>NO</t>
        </is>
      </c>
      <c r="K162" t="inlineStr">
        <is>
          <t>2026-02-26 00:15</t>
        </is>
      </c>
      <c r="L162" t="inlineStr">
        <is>
          <t>CHECK_VENDOR</t>
        </is>
      </c>
      <c r="M162" t="inlineStr">
        <is>
          <t>See CVE details</t>
        </is>
      </c>
      <c r="N162" t="inlineStr">
        <is>
          <t>P4</t>
        </is>
      </c>
      <c r="O162" t="inlineStr">
        <is>
          <t>CVE - IP enrichment n/a</t>
        </is>
      </c>
      <c r="P162" t="n">
        <v>0</v>
      </c>
      <c r="Q162" t="n">
        <v>0</v>
      </c>
      <c r="R162" t="inlineStr">
        <is>
          <t>T1190:Exploit Public-Facing Application</t>
        </is>
      </c>
      <c r="S162" t="n">
        <v>1</v>
      </c>
      <c r="T162" t="inlineStr">
        <is>
          <t>LOW (40%)</t>
        </is>
      </c>
      <c r="U162" t="inlineStr">
        <is>
          <t>UNLIKELY</t>
        </is>
      </c>
      <c r="V162" t="inlineStr">
        <is>
          <t>CHECK_VENDOR</t>
        </is>
      </c>
      <c r="W162" t="inlineStr">
        <is>
          <t>https://nvd.nist.gov/vuln/detail/CVE-2026-23545</t>
        </is>
      </c>
      <c r="X162" t="inlineStr">
        <is>
          <t>NONE</t>
        </is>
      </c>
      <c r="Y162" t="n">
        <v>0</v>
      </c>
      <c r="Z162" t="inlineStr"/>
      <c r="AA162" t="inlineStr">
        <is>
          <t>https://nvd.nist.gov/vuln/detail/CVE-2026-23545</t>
        </is>
      </c>
    </row>
    <row r="163">
      <c r="A163" t="inlineStr">
        <is>
          <t>CVE</t>
        </is>
      </c>
      <c r="B163" t="inlineStr">
        <is>
          <t>CVE-2026-23547</t>
        </is>
      </c>
      <c r="C163" t="inlineStr">
        <is>
          <t>Missing Authorization vulnerability in cmsmasters CMSMasters Content Composer cmsmasters-content-composer allows Exploiting Incorrectly Configured Access Control Security Levels.This issue affects CMSMasters Content Composer: from n/a through &lt;= 2.5.8.</t>
        </is>
      </c>
      <c r="D163" t="n">
        <v>7.1</v>
      </c>
      <c r="E163" t="inlineStr">
        <is>
          <t>HIGH</t>
        </is>
      </c>
      <c r="F163" t="n">
        <v>2</v>
      </c>
      <c r="G163" t="n">
        <v>3</v>
      </c>
      <c r="H163" t="inlineStr">
        <is>
          <t>HIGH</t>
        </is>
      </c>
      <c r="I163" t="n">
        <v>13.1</v>
      </c>
      <c r="J163" t="inlineStr">
        <is>
          <t>NO</t>
        </is>
      </c>
      <c r="K163" t="inlineStr">
        <is>
          <t>2026-02-26 00:15</t>
        </is>
      </c>
      <c r="L163" t="inlineStr">
        <is>
          <t>CHECK_VENDOR</t>
        </is>
      </c>
      <c r="M163" t="inlineStr">
        <is>
          <t>See CVE details</t>
        </is>
      </c>
      <c r="N163" t="inlineStr">
        <is>
          <t>P3</t>
        </is>
      </c>
      <c r="O163" t="inlineStr">
        <is>
          <t>CVE - IP enrichment n/a</t>
        </is>
      </c>
      <c r="P163" t="n">
        <v>0</v>
      </c>
      <c r="Q163" t="n">
        <v>0</v>
      </c>
      <c r="R163" t="inlineStr">
        <is>
          <t>T1190:Exploit Public-Facing Application</t>
        </is>
      </c>
      <c r="S163" t="n">
        <v>1</v>
      </c>
      <c r="T163" t="inlineStr">
        <is>
          <t>LOW (40%)</t>
        </is>
      </c>
      <c r="U163" t="inlineStr">
        <is>
          <t>UNLIKELY</t>
        </is>
      </c>
      <c r="V163" t="inlineStr">
        <is>
          <t>CHECK_VENDOR</t>
        </is>
      </c>
      <c r="W163" t="inlineStr">
        <is>
          <t>https://nvd.nist.gov/vuln/detail/CVE-2026-23547</t>
        </is>
      </c>
      <c r="X163" t="inlineStr">
        <is>
          <t>NONE</t>
        </is>
      </c>
      <c r="Y163" t="n">
        <v>0</v>
      </c>
      <c r="Z163" t="inlineStr"/>
      <c r="AA163" t="inlineStr">
        <is>
          <t>https://nvd.nist.gov/vuln/detail/CVE-2026-23547</t>
        </is>
      </c>
    </row>
    <row r="164">
      <c r="A164" t="inlineStr">
        <is>
          <t>CVE</t>
        </is>
      </c>
      <c r="B164" t="inlineStr">
        <is>
          <t>CVE-2026-23548</t>
        </is>
      </c>
      <c r="C164" t="inlineStr">
        <is>
          <t>Missing Authorization vulnerability in designinvento DirectoryPress directorypress allows Exploiting Incorrectly Configured Access Control Security Levels.This issue affects DirectoryPress: from n/a through &lt;= 3.6.25.</t>
        </is>
      </c>
      <c r="D164" t="n">
        <v>5</v>
      </c>
      <c r="E164" t="inlineStr">
        <is>
          <t>MEDIUM</t>
        </is>
      </c>
      <c r="F164" t="n">
        <v>2</v>
      </c>
      <c r="G164" t="n">
        <v>2</v>
      </c>
      <c r="H164" t="inlineStr">
        <is>
          <t>MEDIUM</t>
        </is>
      </c>
      <c r="I164" t="n">
        <v>9</v>
      </c>
      <c r="J164" t="inlineStr">
        <is>
          <t>NO</t>
        </is>
      </c>
      <c r="K164" t="inlineStr">
        <is>
          <t>2026-02-26 00:15</t>
        </is>
      </c>
      <c r="L164" t="inlineStr">
        <is>
          <t>CHECK_VENDOR</t>
        </is>
      </c>
      <c r="M164" t="inlineStr">
        <is>
          <t>See CVE details</t>
        </is>
      </c>
      <c r="N164" t="inlineStr">
        <is>
          <t>P4</t>
        </is>
      </c>
      <c r="O164" t="inlineStr">
        <is>
          <t>CVE - IP enrichment n/a</t>
        </is>
      </c>
      <c r="P164" t="n">
        <v>0.0002</v>
      </c>
      <c r="Q164" t="n">
        <v>0.0566</v>
      </c>
      <c r="R164" t="inlineStr">
        <is>
          <t>T1190:Exploit Public-Facing Application</t>
        </is>
      </c>
      <c r="S164" t="n">
        <v>1</v>
      </c>
      <c r="T164" t="inlineStr">
        <is>
          <t>LOW (40%)</t>
        </is>
      </c>
      <c r="U164" t="inlineStr">
        <is>
          <t>UNLIKELY</t>
        </is>
      </c>
      <c r="V164" t="inlineStr">
        <is>
          <t>CHECK_VENDOR</t>
        </is>
      </c>
      <c r="W164" t="inlineStr">
        <is>
          <t>https://nvd.nist.gov/vuln/detail/CVE-2026-23548</t>
        </is>
      </c>
      <c r="X164" t="inlineStr">
        <is>
          <t>NONE</t>
        </is>
      </c>
      <c r="Y164" t="n">
        <v>0</v>
      </c>
      <c r="Z164" t="inlineStr"/>
      <c r="AA164" t="inlineStr">
        <is>
          <t>https://nvd.nist.gov/vuln/detail/CVE-2026-23548</t>
        </is>
      </c>
    </row>
    <row r="165">
      <c r="A165" t="inlineStr">
        <is>
          <t>CVE</t>
        </is>
      </c>
      <c r="B165" t="inlineStr">
        <is>
          <t>CVE-2026-23549</t>
        </is>
      </c>
      <c r="C165" t="inlineStr">
        <is>
          <t>Deserialization of Untrusted Data vulnerability in magepeopleteam WpEvently mage-eventpress allows Object Injection.This issue affects WpEvently: from n/a through &lt;= 5.1.1.</t>
        </is>
      </c>
      <c r="D165" t="n">
        <v>9.800000000000001</v>
      </c>
      <c r="E165" t="inlineStr">
        <is>
          <t>CRITICAL</t>
        </is>
      </c>
      <c r="F165" t="n">
        <v>2</v>
      </c>
      <c r="G165" t="n">
        <v>3</v>
      </c>
      <c r="H165" t="inlineStr">
        <is>
          <t>HIGH</t>
        </is>
      </c>
      <c r="I165" t="n">
        <v>15.8</v>
      </c>
      <c r="J165" t="inlineStr">
        <is>
          <t>NO</t>
        </is>
      </c>
      <c r="K165" t="inlineStr">
        <is>
          <t>2026-02-26 00:15</t>
        </is>
      </c>
      <c r="L165" t="inlineStr">
        <is>
          <t>CHECK_VENDOR</t>
        </is>
      </c>
      <c r="M165" t="inlineStr">
        <is>
          <t>See CVE details</t>
        </is>
      </c>
      <c r="N165" t="inlineStr">
        <is>
          <t>P3</t>
        </is>
      </c>
      <c r="O165" t="inlineStr">
        <is>
          <t>CVE - IP enrichment n/a</t>
        </is>
      </c>
      <c r="P165" t="n">
        <v>0</v>
      </c>
      <c r="Q165" t="n">
        <v>0</v>
      </c>
      <c r="R165" t="inlineStr">
        <is>
          <t>T1059:Command and Scripting Interpreter</t>
        </is>
      </c>
      <c r="S165" t="n">
        <v>1</v>
      </c>
      <c r="T165" t="inlineStr">
        <is>
          <t>LOW (40%)</t>
        </is>
      </c>
      <c r="U165" t="inlineStr">
        <is>
          <t>UNLIKELY</t>
        </is>
      </c>
      <c r="V165" t="inlineStr">
        <is>
          <t>CHECK_VENDOR</t>
        </is>
      </c>
      <c r="W165" t="inlineStr">
        <is>
          <t>https://nvd.nist.gov/vuln/detail/CVE-2026-23549</t>
        </is>
      </c>
      <c r="X165" t="inlineStr">
        <is>
          <t>NONE</t>
        </is>
      </c>
      <c r="Y165" t="n">
        <v>0</v>
      </c>
      <c r="Z165" t="inlineStr"/>
      <c r="AA165" t="inlineStr">
        <is>
          <t>https://nvd.nist.gov/vuln/detail/CVE-2026-23549</t>
        </is>
      </c>
    </row>
    <row r="166">
      <c r="A166" t="inlineStr">
        <is>
          <t>CVE</t>
        </is>
      </c>
      <c r="B166" t="inlineStr">
        <is>
          <t>CVE-2026-23803</t>
        </is>
      </c>
      <c r="C166" t="inlineStr">
        <is>
          <t>Server-Side Request Forgery (SSRF) vulnerability in Burhan Nasir Smart Auto Upload Images smart-auto-upload-images allows Server Side Request Forgery.This issue affects Smart Auto Upload Images: from n/a through &lt;= 1.2.2.</t>
        </is>
      </c>
      <c r="D166" t="n">
        <v>6.4</v>
      </c>
      <c r="E166" t="inlineStr">
        <is>
          <t>MEDIUM</t>
        </is>
      </c>
      <c r="F166" t="n">
        <v>2</v>
      </c>
      <c r="G166" t="n">
        <v>2</v>
      </c>
      <c r="H166" t="inlineStr">
        <is>
          <t>MEDIUM</t>
        </is>
      </c>
      <c r="I166" t="n">
        <v>10.4</v>
      </c>
      <c r="J166" t="inlineStr">
        <is>
          <t>NO</t>
        </is>
      </c>
      <c r="K166" t="inlineStr">
        <is>
          <t>2026-02-26 00:15</t>
        </is>
      </c>
      <c r="L166" t="inlineStr">
        <is>
          <t>CHECK_VENDOR</t>
        </is>
      </c>
      <c r="M166" t="inlineStr">
        <is>
          <t>See CVE details</t>
        </is>
      </c>
      <c r="N166" t="inlineStr">
        <is>
          <t>P4</t>
        </is>
      </c>
      <c r="O166" t="inlineStr">
        <is>
          <t>CVE - IP enrichment n/a</t>
        </is>
      </c>
      <c r="P166" t="n">
        <v>0.0003</v>
      </c>
      <c r="Q166" t="n">
        <v>0.0774</v>
      </c>
      <c r="R166" t="inlineStr">
        <is>
          <t>T1090:Proxy</t>
        </is>
      </c>
      <c r="S166" t="n">
        <v>1</v>
      </c>
      <c r="T166" t="inlineStr">
        <is>
          <t>LOW (40%)</t>
        </is>
      </c>
      <c r="U166" t="inlineStr">
        <is>
          <t>UNLIKELY</t>
        </is>
      </c>
      <c r="V166" t="inlineStr">
        <is>
          <t>CHECK_VENDOR</t>
        </is>
      </c>
      <c r="W166" t="inlineStr">
        <is>
          <t>https://nvd.nist.gov/vuln/detail/CVE-2026-23803</t>
        </is>
      </c>
      <c r="X166" t="inlineStr">
        <is>
          <t>NONE</t>
        </is>
      </c>
      <c r="Y166" t="n">
        <v>0</v>
      </c>
      <c r="Z166" t="inlineStr"/>
      <c r="AA166" t="inlineStr">
        <is>
          <t>https://nvd.nist.gov/vuln/detail/CVE-2026-23803</t>
        </is>
      </c>
    </row>
    <row r="167">
      <c r="A167" t="inlineStr">
        <is>
          <t>CVE</t>
        </is>
      </c>
      <c r="B167" t="inlineStr">
        <is>
          <t>CVE-2026-23804</t>
        </is>
      </c>
      <c r="C167" t="inlineStr">
        <is>
          <t>Missing Authorization vulnerability in BBR Plugins Better Business Reviews better-business-reviews allows Exploiting Incorrectly Configured Access Control Security Levels.This issue affects Better Business Reviews: from n/a through &lt;= 0.1.1.</t>
        </is>
      </c>
      <c r="D167" t="n">
        <v>5.4</v>
      </c>
      <c r="E167" t="inlineStr">
        <is>
          <t>MEDIUM</t>
        </is>
      </c>
      <c r="F167" t="n">
        <v>2</v>
      </c>
      <c r="G167" t="n">
        <v>2</v>
      </c>
      <c r="H167" t="inlineStr">
        <is>
          <t>MEDIUM</t>
        </is>
      </c>
      <c r="I167" t="n">
        <v>9.4</v>
      </c>
      <c r="J167" t="inlineStr">
        <is>
          <t>NO</t>
        </is>
      </c>
      <c r="K167" t="inlineStr">
        <is>
          <t>2026-02-26 00:15</t>
        </is>
      </c>
      <c r="L167" t="inlineStr">
        <is>
          <t>CHECK_VENDOR</t>
        </is>
      </c>
      <c r="M167" t="inlineStr">
        <is>
          <t>See CVE details</t>
        </is>
      </c>
      <c r="N167" t="inlineStr">
        <is>
          <t>P4</t>
        </is>
      </c>
      <c r="O167" t="inlineStr">
        <is>
          <t>CVE - IP enrichment n/a</t>
        </is>
      </c>
      <c r="P167" t="n">
        <v>0</v>
      </c>
      <c r="Q167" t="n">
        <v>0</v>
      </c>
      <c r="R167" t="inlineStr">
        <is>
          <t>T1190:Exploit Public-Facing Application</t>
        </is>
      </c>
      <c r="S167" t="n">
        <v>1</v>
      </c>
      <c r="T167" t="inlineStr">
        <is>
          <t>LOW (40%)</t>
        </is>
      </c>
      <c r="U167" t="inlineStr">
        <is>
          <t>UNLIKELY</t>
        </is>
      </c>
      <c r="V167" t="inlineStr">
        <is>
          <t>CHECK_VENDOR</t>
        </is>
      </c>
      <c r="W167" t="inlineStr">
        <is>
          <t>https://nvd.nist.gov/vuln/detail/CVE-2026-23804</t>
        </is>
      </c>
      <c r="X167" t="inlineStr">
        <is>
          <t>NONE</t>
        </is>
      </c>
      <c r="Y167" t="n">
        <v>0</v>
      </c>
      <c r="Z167" t="inlineStr"/>
      <c r="AA167" t="inlineStr">
        <is>
          <t>https://nvd.nist.gov/vuln/detail/CVE-2026-23804</t>
        </is>
      </c>
    </row>
    <row r="168">
      <c r="A168" t="inlineStr">
        <is>
          <t>CVE</t>
        </is>
      </c>
      <c r="B168" t="inlineStr">
        <is>
          <t>CVE-2026-23805</t>
        </is>
      </c>
      <c r="C168" t="inlineStr">
        <is>
          <t>Improper Neutralization of Special Elements used in an SQL Command ('SQL Injection') vulnerability in Yoren Chang Media Search Enhanced media-search-enhanced allows SQL Injection.This issue affects Media Search Enhanced: from n/a through &lt;= 0.9.1.</t>
        </is>
      </c>
      <c r="D168" t="n">
        <v>7.6</v>
      </c>
      <c r="E168" t="inlineStr">
        <is>
          <t>HIGH</t>
        </is>
      </c>
      <c r="F168" t="n">
        <v>2</v>
      </c>
      <c r="G168" t="n">
        <v>3</v>
      </c>
      <c r="H168" t="inlineStr">
        <is>
          <t>HIGH</t>
        </is>
      </c>
      <c r="I168" t="n">
        <v>13.6</v>
      </c>
      <c r="J168" t="inlineStr">
        <is>
          <t>NO</t>
        </is>
      </c>
      <c r="K168" t="inlineStr">
        <is>
          <t>2026-02-26 00:15</t>
        </is>
      </c>
      <c r="L168" t="inlineStr">
        <is>
          <t>CHECK_VENDOR</t>
        </is>
      </c>
      <c r="M168" t="inlineStr">
        <is>
          <t>See CVE details</t>
        </is>
      </c>
      <c r="N168" t="inlineStr">
        <is>
          <t>P3</t>
        </is>
      </c>
      <c r="O168" t="inlineStr">
        <is>
          <t>CVE - IP enrichment n/a</t>
        </is>
      </c>
      <c r="P168" t="n">
        <v>0</v>
      </c>
      <c r="Q168" t="n">
        <v>0</v>
      </c>
      <c r="R168" t="inlineStr">
        <is>
          <t>T1190:Exploit Public-Facing Application</t>
        </is>
      </c>
      <c r="S168" t="n">
        <v>1</v>
      </c>
      <c r="T168" t="inlineStr">
        <is>
          <t>LOW (40%)</t>
        </is>
      </c>
      <c r="U168" t="inlineStr">
        <is>
          <t>UNLIKELY</t>
        </is>
      </c>
      <c r="V168" t="inlineStr">
        <is>
          <t>CHECK_VENDOR</t>
        </is>
      </c>
      <c r="W168" t="inlineStr">
        <is>
          <t>https://nvd.nist.gov/vuln/detail/CVE-2026-23805</t>
        </is>
      </c>
      <c r="X168" t="inlineStr">
        <is>
          <t>NONE</t>
        </is>
      </c>
      <c r="Y168" t="n">
        <v>0</v>
      </c>
      <c r="Z168" t="inlineStr"/>
      <c r="AA168" t="inlineStr">
        <is>
          <t>https://nvd.nist.gov/vuln/detail/CVE-2026-23805</t>
        </is>
      </c>
    </row>
    <row r="169">
      <c r="A169" t="inlineStr">
        <is>
          <t>CVE</t>
        </is>
      </c>
      <c r="B169" t="inlineStr">
        <is>
          <t>CVE-2026-24375</t>
        </is>
      </c>
      <c r="C169" t="inlineStr">
        <is>
          <t>Missing Authorization vulnerability in WP Swings Ultimate Gift Cards For WooCommerce woo-gift-cards-lite allows Exploiting Incorrectly Configured Access Control Security Levels.This issue affects Ultimate Gift Cards For WooCommerce: from n/a through &lt;= 3.2.4.</t>
        </is>
      </c>
      <c r="D169" t="n">
        <v>5.3</v>
      </c>
      <c r="E169" t="inlineStr">
        <is>
          <t>MEDIUM</t>
        </is>
      </c>
      <c r="F169" t="n">
        <v>2</v>
      </c>
      <c r="G169" t="n">
        <v>2</v>
      </c>
      <c r="H169" t="inlineStr">
        <is>
          <t>MEDIUM</t>
        </is>
      </c>
      <c r="I169" t="n">
        <v>9.300000000000001</v>
      </c>
      <c r="J169" t="inlineStr">
        <is>
          <t>NO</t>
        </is>
      </c>
      <c r="K169" t="inlineStr">
        <is>
          <t>2026-02-26 00:15</t>
        </is>
      </c>
      <c r="L169" t="inlineStr">
        <is>
          <t>CHECK_VENDOR</t>
        </is>
      </c>
      <c r="M169" t="inlineStr">
        <is>
          <t>See CVE details</t>
        </is>
      </c>
      <c r="N169" t="inlineStr">
        <is>
          <t>P4</t>
        </is>
      </c>
      <c r="O169" t="inlineStr">
        <is>
          <t>CVE - IP enrichment n/a</t>
        </is>
      </c>
      <c r="P169" t="n">
        <v>0</v>
      </c>
      <c r="Q169" t="n">
        <v>0</v>
      </c>
      <c r="R169" t="inlineStr">
        <is>
          <t>T1190:Exploit Public-Facing Application</t>
        </is>
      </c>
      <c r="S169" t="n">
        <v>1</v>
      </c>
      <c r="T169" t="inlineStr">
        <is>
          <t>LOW (40%)</t>
        </is>
      </c>
      <c r="U169" t="inlineStr">
        <is>
          <t>UNLIKELY</t>
        </is>
      </c>
      <c r="V169" t="inlineStr">
        <is>
          <t>CHECK_VENDOR</t>
        </is>
      </c>
      <c r="W169" t="inlineStr">
        <is>
          <t>https://nvd.nist.gov/vuln/detail/CVE-2026-24375</t>
        </is>
      </c>
      <c r="X169" t="inlineStr">
        <is>
          <t>NONE</t>
        </is>
      </c>
      <c r="Y169" t="n">
        <v>0</v>
      </c>
      <c r="Z169" t="inlineStr"/>
      <c r="AA169" t="inlineStr">
        <is>
          <t>https://nvd.nist.gov/vuln/detail/CVE-2026-24375</t>
        </is>
      </c>
    </row>
    <row r="170">
      <c r="A170" t="inlineStr">
        <is>
          <t>CVE</t>
        </is>
      </c>
      <c r="B170" t="inlineStr">
        <is>
          <t>CVE-2026-24392</t>
        </is>
      </c>
      <c r="C170" t="inlineStr">
        <is>
          <t>Improper Neutralization of Input During Web Page Generation ('Cross-site Scripting') vulnerability in Nabil Lemsieh HurryTimer hurrytimer allows Stored XSS.This issue affects HurryTimer: from n/a through &lt;= 2.14.2.</t>
        </is>
      </c>
      <c r="D170" t="n">
        <v>5.9</v>
      </c>
      <c r="E170" t="inlineStr">
        <is>
          <t>MEDIUM</t>
        </is>
      </c>
      <c r="F170" t="n">
        <v>2</v>
      </c>
      <c r="G170" t="n">
        <v>2</v>
      </c>
      <c r="H170" t="inlineStr">
        <is>
          <t>MEDIUM</t>
        </is>
      </c>
      <c r="I170" t="n">
        <v>9.9</v>
      </c>
      <c r="J170" t="inlineStr">
        <is>
          <t>NO</t>
        </is>
      </c>
      <c r="K170" t="inlineStr">
        <is>
          <t>2026-02-26 00:15</t>
        </is>
      </c>
      <c r="L170" t="inlineStr">
        <is>
          <t>CHECK_VENDOR</t>
        </is>
      </c>
      <c r="M170" t="inlineStr">
        <is>
          <t>See CVE details</t>
        </is>
      </c>
      <c r="N170" t="inlineStr">
        <is>
          <t>P4</t>
        </is>
      </c>
      <c r="O170" t="inlineStr">
        <is>
          <t>CVE - IP enrichment n/a</t>
        </is>
      </c>
      <c r="P170" t="n">
        <v>0</v>
      </c>
      <c r="Q170" t="n">
        <v>0</v>
      </c>
      <c r="R170" t="inlineStr">
        <is>
          <t>T1189:Drive-by Compromise</t>
        </is>
      </c>
      <c r="S170" t="n">
        <v>1</v>
      </c>
      <c r="T170" t="inlineStr">
        <is>
          <t>LOW (40%)</t>
        </is>
      </c>
      <c r="U170" t="inlineStr">
        <is>
          <t>UNLIKELY</t>
        </is>
      </c>
      <c r="V170" t="inlineStr">
        <is>
          <t>CHECK_VENDOR</t>
        </is>
      </c>
      <c r="W170" t="inlineStr">
        <is>
          <t>https://nvd.nist.gov/vuln/detail/CVE-2026-24392</t>
        </is>
      </c>
      <c r="X170" t="inlineStr">
        <is>
          <t>NONE</t>
        </is>
      </c>
      <c r="Y170" t="n">
        <v>0</v>
      </c>
      <c r="Z170" t="inlineStr"/>
      <c r="AA170" t="inlineStr">
        <is>
          <t>https://nvd.nist.gov/vuln/detail/CVE-2026-24392</t>
        </is>
      </c>
    </row>
    <row r="171">
      <c r="A171" t="inlineStr">
        <is>
          <t>CVE</t>
        </is>
      </c>
      <c r="B171" t="inlineStr">
        <is>
          <t>CVE-2026-24999</t>
        </is>
      </c>
      <c r="C171" t="inlineStr">
        <is>
          <t>Missing Authorization vulnerability in Alma Alma alma-gateway-for-woocommerce allows Exploiting Incorrectly Configured Access Control Security Levels.This issue affects Alma: from n/a through &lt;= 5.16.1.</t>
        </is>
      </c>
      <c r="D171" t="n">
        <v>5.3</v>
      </c>
      <c r="E171" t="inlineStr">
        <is>
          <t>MEDIUM</t>
        </is>
      </c>
      <c r="F171" t="n">
        <v>2</v>
      </c>
      <c r="G171" t="n">
        <v>2</v>
      </c>
      <c r="H171" t="inlineStr">
        <is>
          <t>MEDIUM</t>
        </is>
      </c>
      <c r="I171" t="n">
        <v>9.300000000000001</v>
      </c>
      <c r="J171" t="inlineStr">
        <is>
          <t>NO</t>
        </is>
      </c>
      <c r="K171" t="inlineStr">
        <is>
          <t>2026-02-26 00:15</t>
        </is>
      </c>
      <c r="L171" t="inlineStr">
        <is>
          <t>CHECK_VENDOR</t>
        </is>
      </c>
      <c r="M171" t="inlineStr">
        <is>
          <t>See CVE details</t>
        </is>
      </c>
      <c r="N171" t="inlineStr">
        <is>
          <t>P4</t>
        </is>
      </c>
      <c r="O171" t="inlineStr">
        <is>
          <t>CVE - IP enrichment n/a</t>
        </is>
      </c>
      <c r="P171" t="n">
        <v>0</v>
      </c>
      <c r="Q171" t="n">
        <v>0</v>
      </c>
      <c r="R171" t="inlineStr">
        <is>
          <t>T1190:Exploit Public-Facing Application</t>
        </is>
      </c>
      <c r="S171" t="n">
        <v>1</v>
      </c>
      <c r="T171" t="inlineStr">
        <is>
          <t>LOW (40%)</t>
        </is>
      </c>
      <c r="U171" t="inlineStr">
        <is>
          <t>UNLIKELY</t>
        </is>
      </c>
      <c r="V171" t="inlineStr">
        <is>
          <t>CHECK_VENDOR</t>
        </is>
      </c>
      <c r="W171" t="inlineStr">
        <is>
          <t>https://nvd.nist.gov/vuln/detail/CVE-2026-24999</t>
        </is>
      </c>
      <c r="X171" t="inlineStr">
        <is>
          <t>NONE</t>
        </is>
      </c>
      <c r="Y171" t="n">
        <v>0</v>
      </c>
      <c r="Z171" t="inlineStr"/>
      <c r="AA171" t="inlineStr">
        <is>
          <t>https://nvd.nist.gov/vuln/detail/CVE-2026-24999</t>
        </is>
      </c>
    </row>
    <row r="172">
      <c r="A172" t="inlineStr">
        <is>
          <t>CVE</t>
        </is>
      </c>
      <c r="B172" t="inlineStr">
        <is>
          <t>CVE-2026-25000</t>
        </is>
      </c>
      <c r="C172" t="inlineStr">
        <is>
          <t>Missing Authorization vulnerability in Kraft Plugins Wheel of Life wheel-of-life allows Exploiting Incorrectly Configured Access Control Security Levels.This issue affects Wheel of Life: from n/a through &lt;= 1.2.0.</t>
        </is>
      </c>
      <c r="D172" t="n">
        <v>5.3</v>
      </c>
      <c r="E172" t="inlineStr">
        <is>
          <t>MEDIUM</t>
        </is>
      </c>
      <c r="F172" t="n">
        <v>2</v>
      </c>
      <c r="G172" t="n">
        <v>2</v>
      </c>
      <c r="H172" t="inlineStr">
        <is>
          <t>MEDIUM</t>
        </is>
      </c>
      <c r="I172" t="n">
        <v>9.300000000000001</v>
      </c>
      <c r="J172" t="inlineStr">
        <is>
          <t>NO</t>
        </is>
      </c>
      <c r="K172" t="inlineStr">
        <is>
          <t>2026-02-26 00:15</t>
        </is>
      </c>
      <c r="L172" t="inlineStr">
        <is>
          <t>CHECK_VENDOR</t>
        </is>
      </c>
      <c r="M172" t="inlineStr">
        <is>
          <t>See CVE details</t>
        </is>
      </c>
      <c r="N172" t="inlineStr">
        <is>
          <t>P4</t>
        </is>
      </c>
      <c r="O172" t="inlineStr">
        <is>
          <t>CVE - IP enrichment n/a</t>
        </is>
      </c>
      <c r="P172" t="n">
        <v>0</v>
      </c>
      <c r="Q172" t="n">
        <v>0</v>
      </c>
      <c r="R172" t="inlineStr">
        <is>
          <t>T1190:Exploit Public-Facing Application</t>
        </is>
      </c>
      <c r="S172" t="n">
        <v>1</v>
      </c>
      <c r="T172" t="inlineStr">
        <is>
          <t>LOW (40%)</t>
        </is>
      </c>
      <c r="U172" t="inlineStr">
        <is>
          <t>UNLIKELY</t>
        </is>
      </c>
      <c r="V172" t="inlineStr">
        <is>
          <t>CHECK_VENDOR</t>
        </is>
      </c>
      <c r="W172" t="inlineStr">
        <is>
          <t>https://nvd.nist.gov/vuln/detail/CVE-2026-25000</t>
        </is>
      </c>
      <c r="X172" t="inlineStr">
        <is>
          <t>NONE</t>
        </is>
      </c>
      <c r="Y172" t="n">
        <v>0</v>
      </c>
      <c r="Z172" t="inlineStr"/>
      <c r="AA172" t="inlineStr">
        <is>
          <t>https://nvd.nist.gov/vuln/detail/CVE-2026-25000</t>
        </is>
      </c>
    </row>
    <row r="173">
      <c r="A173" t="inlineStr">
        <is>
          <t>CVE</t>
        </is>
      </c>
      <c r="B173" t="inlineStr">
        <is>
          <t>CVE-2026-25003</t>
        </is>
      </c>
      <c r="C173" t="inlineStr">
        <is>
          <t>Missing Authorization vulnerability in madalin.ungureanu Client Portal client-portal allows Exploiting Incorrectly Configured Access Control Security Levels.This issue affects Client Portal: from n/a through &lt;= 1.2.1.</t>
        </is>
      </c>
      <c r="D173" t="n">
        <v>4.3</v>
      </c>
      <c r="E173" t="inlineStr">
        <is>
          <t>MEDIUM</t>
        </is>
      </c>
      <c r="F173" t="n">
        <v>2</v>
      </c>
      <c r="G173" t="n">
        <v>2</v>
      </c>
      <c r="H173" t="inlineStr">
        <is>
          <t>MEDIUM</t>
        </is>
      </c>
      <c r="I173" t="n">
        <v>8.300000000000001</v>
      </c>
      <c r="J173" t="inlineStr">
        <is>
          <t>NO</t>
        </is>
      </c>
      <c r="K173" t="inlineStr">
        <is>
          <t>2026-02-26 00:15</t>
        </is>
      </c>
      <c r="L173" t="inlineStr">
        <is>
          <t>CHECK_VENDOR</t>
        </is>
      </c>
      <c r="M173" t="inlineStr">
        <is>
          <t>See CVE details</t>
        </is>
      </c>
      <c r="N173" t="inlineStr">
        <is>
          <t>P4</t>
        </is>
      </c>
      <c r="O173" t="inlineStr">
        <is>
          <t>CVE - IP enrichment n/a</t>
        </is>
      </c>
      <c r="P173" t="n">
        <v>0</v>
      </c>
      <c r="Q173" t="n">
        <v>0</v>
      </c>
      <c r="R173" t="inlineStr">
        <is>
          <t>T1190:Exploit Public-Facing Application</t>
        </is>
      </c>
      <c r="S173" t="n">
        <v>1</v>
      </c>
      <c r="T173" t="inlineStr">
        <is>
          <t>LOW (40%)</t>
        </is>
      </c>
      <c r="U173" t="inlineStr">
        <is>
          <t>UNLIKELY</t>
        </is>
      </c>
      <c r="V173" t="inlineStr">
        <is>
          <t>CHECK_VENDOR</t>
        </is>
      </c>
      <c r="W173" t="inlineStr">
        <is>
          <t>https://nvd.nist.gov/vuln/detail/CVE-2026-25003</t>
        </is>
      </c>
      <c r="X173" t="inlineStr">
        <is>
          <t>NONE</t>
        </is>
      </c>
      <c r="Y173" t="n">
        <v>0</v>
      </c>
      <c r="Z173" t="inlineStr"/>
      <c r="AA173" t="inlineStr">
        <is>
          <t>https://nvd.nist.gov/vuln/detail/CVE-2026-25003</t>
        </is>
      </c>
    </row>
    <row r="174">
      <c r="A174" t="inlineStr">
        <is>
          <t>CVE</t>
        </is>
      </c>
      <c r="B174" t="inlineStr">
        <is>
          <t>CVE-2026-25004</t>
        </is>
      </c>
      <c r="C174" t="inlineStr">
        <is>
          <t>Improper Neutralization of Input During Web Page Generation ('Cross-site Scripting') vulnerability in CreativeMindsSolutions CM Business Directory cm-business-directory allows Stored XSS.This issue affects CM Business Directory: from n/a through &lt;= 1.5.3.</t>
        </is>
      </c>
      <c r="D174" t="n">
        <v>5</v>
      </c>
      <c r="E174" t="inlineStr">
        <is>
          <t>MEDIUM</t>
        </is>
      </c>
      <c r="F174" t="n">
        <v>2</v>
      </c>
      <c r="G174" t="n">
        <v>2</v>
      </c>
      <c r="H174" t="inlineStr">
        <is>
          <t>MEDIUM</t>
        </is>
      </c>
      <c r="I174" t="n">
        <v>9</v>
      </c>
      <c r="J174" t="inlineStr">
        <is>
          <t>NO</t>
        </is>
      </c>
      <c r="K174" t="inlineStr">
        <is>
          <t>2026-02-26 00:15</t>
        </is>
      </c>
      <c r="L174" t="inlineStr">
        <is>
          <t>CHECK_VENDOR</t>
        </is>
      </c>
      <c r="M174" t="inlineStr">
        <is>
          <t>See CVE details</t>
        </is>
      </c>
      <c r="N174" t="inlineStr">
        <is>
          <t>P4</t>
        </is>
      </c>
      <c r="O174" t="inlineStr">
        <is>
          <t>CVE - IP enrichment n/a</t>
        </is>
      </c>
      <c r="P174" t="n">
        <v>0</v>
      </c>
      <c r="Q174" t="n">
        <v>0</v>
      </c>
      <c r="R174" t="inlineStr">
        <is>
          <t>T1189:Drive-by Compromise</t>
        </is>
      </c>
      <c r="S174" t="n">
        <v>1</v>
      </c>
      <c r="T174" t="inlineStr">
        <is>
          <t>LOW (40%)</t>
        </is>
      </c>
      <c r="U174" t="inlineStr">
        <is>
          <t>UNLIKELY</t>
        </is>
      </c>
      <c r="V174" t="inlineStr">
        <is>
          <t>CHECK_VENDOR</t>
        </is>
      </c>
      <c r="W174" t="inlineStr">
        <is>
          <t>https://nvd.nist.gov/vuln/detail/CVE-2026-25004</t>
        </is>
      </c>
      <c r="X174" t="inlineStr">
        <is>
          <t>NONE</t>
        </is>
      </c>
      <c r="Y174" t="n">
        <v>0</v>
      </c>
      <c r="Z174" t="inlineStr"/>
      <c r="AA174" t="inlineStr">
        <is>
          <t>https://nvd.nist.gov/vuln/detail/CVE-2026-25004</t>
        </is>
      </c>
    </row>
    <row r="175">
      <c r="A175" t="inlineStr">
        <is>
          <t>CVE</t>
        </is>
      </c>
      <c r="B175" t="inlineStr">
        <is>
          <t>CVE-2026-25005</t>
        </is>
      </c>
      <c r="C175" t="inlineStr">
        <is>
          <t>Authorization Bypass Through User-Controlled Key vulnerability in N-Media Frontend File Manager nmedia-user-file-uploader allows Exploiting Incorrectly Configured Access Control Security Levels.This issue affects Frontend File Manager: from n/a through &lt;= 23.5.</t>
        </is>
      </c>
      <c r="D175" t="n">
        <v>5.3</v>
      </c>
      <c r="E175" t="inlineStr">
        <is>
          <t>MEDIUM</t>
        </is>
      </c>
      <c r="F175" t="n">
        <v>2</v>
      </c>
      <c r="G175" t="n">
        <v>2</v>
      </c>
      <c r="H175" t="inlineStr">
        <is>
          <t>MEDIUM</t>
        </is>
      </c>
      <c r="I175" t="n">
        <v>9.300000000000001</v>
      </c>
      <c r="J175" t="inlineStr">
        <is>
          <t>NO</t>
        </is>
      </c>
      <c r="K175" t="inlineStr">
        <is>
          <t>2026-02-26 00:15</t>
        </is>
      </c>
      <c r="L175" t="inlineStr">
        <is>
          <t>CHECK_VENDOR</t>
        </is>
      </c>
      <c r="M175" t="inlineStr">
        <is>
          <t>See CVE details</t>
        </is>
      </c>
      <c r="N175" t="inlineStr">
        <is>
          <t>P4</t>
        </is>
      </c>
      <c r="O175" t="inlineStr">
        <is>
          <t>CVE - IP enrichment n/a</t>
        </is>
      </c>
      <c r="P175" t="n">
        <v>0</v>
      </c>
      <c r="Q175" t="n">
        <v>0</v>
      </c>
      <c r="R175" t="inlineStr">
        <is>
          <t>T1190:Exploit Public-Facing Application</t>
        </is>
      </c>
      <c r="S175" t="n">
        <v>1</v>
      </c>
      <c r="T175" t="inlineStr">
        <is>
          <t>LOW (40%)</t>
        </is>
      </c>
      <c r="U175" t="inlineStr">
        <is>
          <t>UNLIKELY</t>
        </is>
      </c>
      <c r="V175" t="inlineStr">
        <is>
          <t>CHECK_VENDOR</t>
        </is>
      </c>
      <c r="W175" t="inlineStr">
        <is>
          <t>https://nvd.nist.gov/vuln/detail/CVE-2026-25005</t>
        </is>
      </c>
      <c r="X175" t="inlineStr">
        <is>
          <t>NONE</t>
        </is>
      </c>
      <c r="Y175" t="n">
        <v>0</v>
      </c>
      <c r="Z175" t="inlineStr"/>
      <c r="AA175" t="inlineStr">
        <is>
          <t>https://nvd.nist.gov/vuln/detail/CVE-2026-25005</t>
        </is>
      </c>
    </row>
    <row r="176">
      <c r="A176" t="inlineStr">
        <is>
          <t>CVE</t>
        </is>
      </c>
      <c r="B176" t="inlineStr">
        <is>
          <t>CVE-2026-25006</t>
        </is>
      </c>
      <c r="C176" t="inlineStr">
        <is>
          <t>Improper Neutralization of Script-Related HTML Tags in a Web Page (Basic XSS) vulnerability in 8theme XStore xstore allows Code Injection.This issue affects XStore: from n/a through &lt;= 9.6.4.</t>
        </is>
      </c>
      <c r="D176" t="n">
        <v>5</v>
      </c>
      <c r="E176" t="inlineStr">
        <is>
          <t>MEDIUM</t>
        </is>
      </c>
      <c r="F176" t="n">
        <v>2</v>
      </c>
      <c r="G176" t="n">
        <v>2</v>
      </c>
      <c r="H176" t="inlineStr">
        <is>
          <t>MEDIUM</t>
        </is>
      </c>
      <c r="I176" t="n">
        <v>9</v>
      </c>
      <c r="J176" t="inlineStr">
        <is>
          <t>NO</t>
        </is>
      </c>
      <c r="K176" t="inlineStr">
        <is>
          <t>2026-02-26 00:15</t>
        </is>
      </c>
      <c r="L176" t="inlineStr">
        <is>
          <t>CHECK_VENDOR</t>
        </is>
      </c>
      <c r="M176" t="inlineStr">
        <is>
          <t>See CVE details</t>
        </is>
      </c>
      <c r="N176" t="inlineStr">
        <is>
          <t>P4</t>
        </is>
      </c>
      <c r="O176" t="inlineStr">
        <is>
          <t>CVE - IP enrichment n/a</t>
        </is>
      </c>
      <c r="P176" t="n">
        <v>0</v>
      </c>
      <c r="Q176" t="n">
        <v>0</v>
      </c>
      <c r="R176" t="inlineStr">
        <is>
          <t>T1189:Drive-by Compromise</t>
        </is>
      </c>
      <c r="S176" t="n">
        <v>1</v>
      </c>
      <c r="T176" t="inlineStr">
        <is>
          <t>LOW (40%)</t>
        </is>
      </c>
      <c r="U176" t="inlineStr">
        <is>
          <t>UNLIKELY</t>
        </is>
      </c>
      <c r="V176" t="inlineStr">
        <is>
          <t>CHECK_VENDOR</t>
        </is>
      </c>
      <c r="W176" t="inlineStr">
        <is>
          <t>https://nvd.nist.gov/vuln/detail/CVE-2026-25006</t>
        </is>
      </c>
      <c r="X176" t="inlineStr">
        <is>
          <t>NONE</t>
        </is>
      </c>
      <c r="Y176" t="n">
        <v>0</v>
      </c>
      <c r="Z176" t="inlineStr"/>
      <c r="AA176" t="inlineStr">
        <is>
          <t>https://nvd.nist.gov/vuln/detail/CVE-2026-25006</t>
        </is>
      </c>
    </row>
    <row r="177">
      <c r="A177" t="inlineStr">
        <is>
          <t>CVE</t>
        </is>
      </c>
      <c r="B177" t="inlineStr">
        <is>
          <t>CVE-2026-25008</t>
        </is>
      </c>
      <c r="C177" t="inlineStr">
        <is>
          <t>Insertion of Sensitive Information Into Sent Data vulnerability in Shahjahan Jewel Ninja Tables ninja-tables allows Retrieve Embedded Sensitive Data.This issue affects Ninja Tables: from n/a through &lt;= 5.2.5.</t>
        </is>
      </c>
      <c r="D177" t="n">
        <v>4.3</v>
      </c>
      <c r="E177" t="inlineStr">
        <is>
          <t>MEDIUM</t>
        </is>
      </c>
      <c r="F177" t="n">
        <v>2</v>
      </c>
      <c r="G177" t="n">
        <v>2</v>
      </c>
      <c r="H177" t="inlineStr">
        <is>
          <t>MEDIUM</t>
        </is>
      </c>
      <c r="I177" t="n">
        <v>8.300000000000001</v>
      </c>
      <c r="J177" t="inlineStr">
        <is>
          <t>NO</t>
        </is>
      </c>
      <c r="K177" t="inlineStr">
        <is>
          <t>2026-02-26 00:15</t>
        </is>
      </c>
      <c r="L177" t="inlineStr">
        <is>
          <t>CHECK_VENDOR</t>
        </is>
      </c>
      <c r="M177" t="inlineStr">
        <is>
          <t>See CVE details</t>
        </is>
      </c>
      <c r="N177" t="inlineStr">
        <is>
          <t>P4</t>
        </is>
      </c>
      <c r="O177" t="inlineStr">
        <is>
          <t>CVE - IP enrichment n/a</t>
        </is>
      </c>
      <c r="P177" t="n">
        <v>0</v>
      </c>
      <c r="Q177" t="n">
        <v>0</v>
      </c>
      <c r="R177" t="inlineStr">
        <is>
          <t>T1190:Exploit Public-Facing Application</t>
        </is>
      </c>
      <c r="S177" t="n">
        <v>1</v>
      </c>
      <c r="T177" t="inlineStr">
        <is>
          <t>LOW (40%)</t>
        </is>
      </c>
      <c r="U177" t="inlineStr">
        <is>
          <t>UNLIKELY</t>
        </is>
      </c>
      <c r="V177" t="inlineStr">
        <is>
          <t>CHECK_VENDOR</t>
        </is>
      </c>
      <c r="W177" t="inlineStr">
        <is>
          <t>https://nvd.nist.gov/vuln/detail/CVE-2026-25008</t>
        </is>
      </c>
      <c r="X177" t="inlineStr">
        <is>
          <t>NONE</t>
        </is>
      </c>
      <c r="Y177" t="n">
        <v>0</v>
      </c>
      <c r="Z177" t="inlineStr"/>
      <c r="AA177" t="inlineStr">
        <is>
          <t>https://nvd.nist.gov/vuln/detail/CVE-2026-25008</t>
        </is>
      </c>
    </row>
    <row r="178">
      <c r="A178" t="inlineStr">
        <is>
          <t>CVE</t>
        </is>
      </c>
      <c r="B178" t="inlineStr">
        <is>
          <t>CVE-2026-25305</t>
        </is>
      </c>
      <c r="C178" t="inlineStr">
        <is>
          <t>Improper Neutralization of Input During Web Page Generation ('Cross-site Scripting') vulnerability in 8theme XStore xstore allows DOM-Based XSS.This issue affects XStore: from n/a through &lt;= 9.6.4.</t>
        </is>
      </c>
      <c r="D178" t="n">
        <v>5</v>
      </c>
      <c r="E178" t="inlineStr">
        <is>
          <t>MEDIUM</t>
        </is>
      </c>
      <c r="F178" t="n">
        <v>2</v>
      </c>
      <c r="G178" t="n">
        <v>2</v>
      </c>
      <c r="H178" t="inlineStr">
        <is>
          <t>MEDIUM</t>
        </is>
      </c>
      <c r="I178" t="n">
        <v>9</v>
      </c>
      <c r="J178" t="inlineStr">
        <is>
          <t>NO</t>
        </is>
      </c>
      <c r="K178" t="inlineStr">
        <is>
          <t>2026-02-26 00:15</t>
        </is>
      </c>
      <c r="L178" t="inlineStr">
        <is>
          <t>CHECK_VENDOR</t>
        </is>
      </c>
      <c r="M178" t="inlineStr">
        <is>
          <t>See CVE details</t>
        </is>
      </c>
      <c r="N178" t="inlineStr">
        <is>
          <t>P4</t>
        </is>
      </c>
      <c r="O178" t="inlineStr">
        <is>
          <t>CVE - IP enrichment n/a</t>
        </is>
      </c>
      <c r="P178" t="n">
        <v>0</v>
      </c>
      <c r="Q178" t="n">
        <v>0</v>
      </c>
      <c r="R178" t="inlineStr">
        <is>
          <t>T1189:Drive-by Compromise</t>
        </is>
      </c>
      <c r="S178" t="n">
        <v>1</v>
      </c>
      <c r="T178" t="inlineStr">
        <is>
          <t>LOW (40%)</t>
        </is>
      </c>
      <c r="U178" t="inlineStr">
        <is>
          <t>UNLIKELY</t>
        </is>
      </c>
      <c r="V178" t="inlineStr">
        <is>
          <t>CHECK_VENDOR</t>
        </is>
      </c>
      <c r="W178" t="inlineStr">
        <is>
          <t>https://nvd.nist.gov/vuln/detail/CVE-2026-25305</t>
        </is>
      </c>
      <c r="X178" t="inlineStr">
        <is>
          <t>NONE</t>
        </is>
      </c>
      <c r="Y178" t="n">
        <v>0</v>
      </c>
      <c r="Z178" t="inlineStr"/>
      <c r="AA178" t="inlineStr">
        <is>
          <t>https://nvd.nist.gov/vuln/detail/CVE-2026-25305</t>
        </is>
      </c>
    </row>
    <row r="179">
      <c r="A179" t="inlineStr">
        <is>
          <t>CVE</t>
        </is>
      </c>
      <c r="B179" t="inlineStr">
        <is>
          <t>CVE-2026-25307</t>
        </is>
      </c>
      <c r="C179" t="inlineStr">
        <is>
          <t>Improper Neutralization of Input During Web Page Generation ('Cross-site Scripting') vulnerability in 8theme XStore Core et-core-plugin allows DOM-Based XSS.This issue affects XStore Core: from n/a through &lt; 5.7.</t>
        </is>
      </c>
      <c r="D179" t="n">
        <v>6.5</v>
      </c>
      <c r="E179" t="inlineStr">
        <is>
          <t>MEDIUM</t>
        </is>
      </c>
      <c r="F179" t="n">
        <v>2</v>
      </c>
      <c r="G179" t="n">
        <v>2</v>
      </c>
      <c r="H179" t="inlineStr">
        <is>
          <t>MEDIUM</t>
        </is>
      </c>
      <c r="I179" t="n">
        <v>10.5</v>
      </c>
      <c r="J179" t="inlineStr">
        <is>
          <t>NO</t>
        </is>
      </c>
      <c r="K179" t="inlineStr">
        <is>
          <t>2026-02-26 00:15</t>
        </is>
      </c>
      <c r="L179" t="inlineStr">
        <is>
          <t>CHECK_VENDOR</t>
        </is>
      </c>
      <c r="M179" t="inlineStr">
        <is>
          <t>See CVE details</t>
        </is>
      </c>
      <c r="N179" t="inlineStr">
        <is>
          <t>P4</t>
        </is>
      </c>
      <c r="O179" t="inlineStr">
        <is>
          <t>CVE - IP enrichment n/a</t>
        </is>
      </c>
      <c r="P179" t="n">
        <v>0.0003</v>
      </c>
      <c r="Q179" t="n">
        <v>0.0961</v>
      </c>
      <c r="R179" t="inlineStr">
        <is>
          <t>T1189:Drive-by Compromise</t>
        </is>
      </c>
      <c r="S179" t="n">
        <v>1</v>
      </c>
      <c r="T179" t="inlineStr">
        <is>
          <t>LOW (40%)</t>
        </is>
      </c>
      <c r="U179" t="inlineStr">
        <is>
          <t>UNLIKELY</t>
        </is>
      </c>
      <c r="V179" t="inlineStr">
        <is>
          <t>CHECK_VENDOR</t>
        </is>
      </c>
      <c r="W179" t="inlineStr">
        <is>
          <t>https://nvd.nist.gov/vuln/detail/CVE-2026-25307</t>
        </is>
      </c>
      <c r="X179" t="inlineStr">
        <is>
          <t>NONE</t>
        </is>
      </c>
      <c r="Y179" t="n">
        <v>0</v>
      </c>
      <c r="Z179" t="inlineStr"/>
      <c r="AA179" t="inlineStr">
        <is>
          <t>https://nvd.nist.gov/vuln/detail/CVE-2026-25307</t>
        </is>
      </c>
    </row>
    <row r="180">
      <c r="A180" t="inlineStr">
        <is>
          <t>CVE</t>
        </is>
      </c>
      <c r="B180" t="inlineStr">
        <is>
          <t>CVE-2026-25308</t>
        </is>
      </c>
      <c r="C180" t="inlineStr">
        <is>
          <t>Missing Authorization vulnerability in wp.insider Simple Membership simple-membership allows Exploiting Incorrectly Configured Access Control Security Levels.This issue affects Simple Membership: from n/a through &lt;= 4.6.9.</t>
        </is>
      </c>
      <c r="D180" t="n">
        <v>4.3</v>
      </c>
      <c r="E180" t="inlineStr">
        <is>
          <t>MEDIUM</t>
        </is>
      </c>
      <c r="F180" t="n">
        <v>2</v>
      </c>
      <c r="G180" t="n">
        <v>2</v>
      </c>
      <c r="H180" t="inlineStr">
        <is>
          <t>MEDIUM</t>
        </is>
      </c>
      <c r="I180" t="n">
        <v>8.300000000000001</v>
      </c>
      <c r="J180" t="inlineStr">
        <is>
          <t>NO</t>
        </is>
      </c>
      <c r="K180" t="inlineStr">
        <is>
          <t>2026-02-26 00:15</t>
        </is>
      </c>
      <c r="L180" t="inlineStr">
        <is>
          <t>CHECK_VENDOR</t>
        </is>
      </c>
      <c r="M180" t="inlineStr">
        <is>
          <t>See CVE details</t>
        </is>
      </c>
      <c r="N180" t="inlineStr">
        <is>
          <t>P4</t>
        </is>
      </c>
      <c r="O180" t="inlineStr">
        <is>
          <t>CVE - IP enrichment n/a</t>
        </is>
      </c>
      <c r="P180" t="n">
        <v>0</v>
      </c>
      <c r="Q180" t="n">
        <v>0</v>
      </c>
      <c r="R180" t="inlineStr">
        <is>
          <t>T1190:Exploit Public-Facing Application</t>
        </is>
      </c>
      <c r="S180" t="n">
        <v>1</v>
      </c>
      <c r="T180" t="inlineStr">
        <is>
          <t>LOW (40%)</t>
        </is>
      </c>
      <c r="U180" t="inlineStr">
        <is>
          <t>UNLIKELY</t>
        </is>
      </c>
      <c r="V180" t="inlineStr">
        <is>
          <t>CHECK_VENDOR</t>
        </is>
      </c>
      <c r="W180" t="inlineStr">
        <is>
          <t>https://nvd.nist.gov/vuln/detail/CVE-2026-25308</t>
        </is>
      </c>
      <c r="X180" t="inlineStr">
        <is>
          <t>NONE</t>
        </is>
      </c>
      <c r="Y180" t="n">
        <v>0</v>
      </c>
      <c r="Z180" t="inlineStr"/>
      <c r="AA180" t="inlineStr">
        <is>
          <t>https://nvd.nist.gov/vuln/detail/CVE-2026-25308</t>
        </is>
      </c>
    </row>
    <row r="181">
      <c r="A181" t="inlineStr">
        <is>
          <t>CVE</t>
        </is>
      </c>
      <c r="B181" t="inlineStr">
        <is>
          <t>CVE-2026-25310</t>
        </is>
      </c>
      <c r="C181" t="inlineStr">
        <is>
          <t>Server-Side Request Forgery (SSRF) vulnerability in Alobaidi Extend Link extend-link allows Server Side Request Forgery.This issue affects Extend Link: from n/a through &lt;= 2.0.0.</t>
        </is>
      </c>
      <c r="D181" t="n">
        <v>4.9</v>
      </c>
      <c r="E181" t="inlineStr">
        <is>
          <t>MEDIUM</t>
        </is>
      </c>
      <c r="F181" t="n">
        <v>2</v>
      </c>
      <c r="G181" t="n">
        <v>2</v>
      </c>
      <c r="H181" t="inlineStr">
        <is>
          <t>MEDIUM</t>
        </is>
      </c>
      <c r="I181" t="n">
        <v>8.9</v>
      </c>
      <c r="J181" t="inlineStr">
        <is>
          <t>NO</t>
        </is>
      </c>
      <c r="K181" t="inlineStr">
        <is>
          <t>2026-02-26 00:15</t>
        </is>
      </c>
      <c r="L181" t="inlineStr">
        <is>
          <t>CHECK_VENDOR</t>
        </is>
      </c>
      <c r="M181" t="inlineStr">
        <is>
          <t>See CVE details</t>
        </is>
      </c>
      <c r="N181" t="inlineStr">
        <is>
          <t>P4</t>
        </is>
      </c>
      <c r="O181" t="inlineStr">
        <is>
          <t>CVE - IP enrichment n/a</t>
        </is>
      </c>
      <c r="P181" t="n">
        <v>0</v>
      </c>
      <c r="Q181" t="n">
        <v>0</v>
      </c>
      <c r="R181" t="inlineStr">
        <is>
          <t>T1090:Proxy</t>
        </is>
      </c>
      <c r="S181" t="n">
        <v>1</v>
      </c>
      <c r="T181" t="inlineStr">
        <is>
          <t>LOW (40%)</t>
        </is>
      </c>
      <c r="U181" t="inlineStr">
        <is>
          <t>UNLIKELY</t>
        </is>
      </c>
      <c r="V181" t="inlineStr">
        <is>
          <t>CHECK_VENDOR</t>
        </is>
      </c>
      <c r="W181" t="inlineStr">
        <is>
          <t>https://nvd.nist.gov/vuln/detail/CVE-2026-25310</t>
        </is>
      </c>
      <c r="X181" t="inlineStr">
        <is>
          <t>NONE</t>
        </is>
      </c>
      <c r="Y181" t="n">
        <v>0</v>
      </c>
      <c r="Z181" t="inlineStr"/>
      <c r="AA181" t="inlineStr">
        <is>
          <t>https://nvd.nist.gov/vuln/detail/CVE-2026-25310</t>
        </is>
      </c>
    </row>
    <row r="182">
      <c r="A182" t="inlineStr">
        <is>
          <t>CVE</t>
        </is>
      </c>
      <c r="B182" t="inlineStr">
        <is>
          <t>CVE-2026-25311</t>
        </is>
      </c>
      <c r="C182" t="inlineStr">
        <is>
          <t>Missing Authorization vulnerability in 10up Autoshare for Twitter autoshare-for-twitter allows Exploiting Incorrectly Configured Access Control Security Levels.This issue affects Autoshare for Twitter: from n/a through &lt;= 2.3.1.</t>
        </is>
      </c>
      <c r="D182" t="n">
        <v>5.4</v>
      </c>
      <c r="E182" t="inlineStr">
        <is>
          <t>MEDIUM</t>
        </is>
      </c>
      <c r="F182" t="n">
        <v>2</v>
      </c>
      <c r="G182" t="n">
        <v>2</v>
      </c>
      <c r="H182" t="inlineStr">
        <is>
          <t>MEDIUM</t>
        </is>
      </c>
      <c r="I182" t="n">
        <v>9.4</v>
      </c>
      <c r="J182" t="inlineStr">
        <is>
          <t>NO</t>
        </is>
      </c>
      <c r="K182" t="inlineStr">
        <is>
          <t>2026-02-26 00:15</t>
        </is>
      </c>
      <c r="L182" t="inlineStr">
        <is>
          <t>CHECK_VENDOR</t>
        </is>
      </c>
      <c r="M182" t="inlineStr">
        <is>
          <t>See CVE details</t>
        </is>
      </c>
      <c r="N182" t="inlineStr">
        <is>
          <t>P4</t>
        </is>
      </c>
      <c r="O182" t="inlineStr">
        <is>
          <t>CVE - IP enrichment n/a</t>
        </is>
      </c>
      <c r="P182" t="n">
        <v>0</v>
      </c>
      <c r="Q182" t="n">
        <v>0</v>
      </c>
      <c r="R182" t="inlineStr">
        <is>
          <t>T1190:Exploit Public-Facing Application</t>
        </is>
      </c>
      <c r="S182" t="n">
        <v>1</v>
      </c>
      <c r="T182" t="inlineStr">
        <is>
          <t>LOW (40%)</t>
        </is>
      </c>
      <c r="U182" t="inlineStr">
        <is>
          <t>UNLIKELY</t>
        </is>
      </c>
      <c r="V182" t="inlineStr">
        <is>
          <t>CHECK_VENDOR</t>
        </is>
      </c>
      <c r="W182" t="inlineStr">
        <is>
          <t>https://nvd.nist.gov/vuln/detail/CVE-2026-25311</t>
        </is>
      </c>
      <c r="X182" t="inlineStr">
        <is>
          <t>NONE</t>
        </is>
      </c>
      <c r="Y182" t="n">
        <v>0</v>
      </c>
      <c r="Z182" t="inlineStr"/>
      <c r="AA182" t="inlineStr">
        <is>
          <t>https://nvd.nist.gov/vuln/detail/CVE-2026-25311</t>
        </is>
      </c>
    </row>
    <row r="183">
      <c r="A183" t="inlineStr">
        <is>
          <t>CVE</t>
        </is>
      </c>
      <c r="B183" t="inlineStr">
        <is>
          <t>CVE-2026-25313</t>
        </is>
      </c>
      <c r="C183" t="inlineStr">
        <is>
          <t>Missing Authorization vulnerability in Shahjahan Jewel FluentForm fluentform allows Exploiting Incorrectly Configured Access Control Security Levels.This issue affects FluentForm: from n/a through &lt;= 6.1.14.</t>
        </is>
      </c>
      <c r="D183" t="n">
        <v>4.3</v>
      </c>
      <c r="E183" t="inlineStr">
        <is>
          <t>MEDIUM</t>
        </is>
      </c>
      <c r="F183" t="n">
        <v>2</v>
      </c>
      <c r="G183" t="n">
        <v>2</v>
      </c>
      <c r="H183" t="inlineStr">
        <is>
          <t>MEDIUM</t>
        </is>
      </c>
      <c r="I183" t="n">
        <v>8.300000000000001</v>
      </c>
      <c r="J183" t="inlineStr">
        <is>
          <t>NO</t>
        </is>
      </c>
      <c r="K183" t="inlineStr">
        <is>
          <t>2026-02-26 00:15</t>
        </is>
      </c>
      <c r="L183" t="inlineStr">
        <is>
          <t>CHECK_VENDOR</t>
        </is>
      </c>
      <c r="M183" t="inlineStr">
        <is>
          <t>See CVE details</t>
        </is>
      </c>
      <c r="N183" t="inlineStr">
        <is>
          <t>P4</t>
        </is>
      </c>
      <c r="O183" t="inlineStr">
        <is>
          <t>CVE - IP enrichment n/a</t>
        </is>
      </c>
      <c r="P183" t="n">
        <v>0</v>
      </c>
      <c r="Q183" t="n">
        <v>0</v>
      </c>
      <c r="R183" t="inlineStr">
        <is>
          <t>T1190:Exploit Public-Facing Application</t>
        </is>
      </c>
      <c r="S183" t="n">
        <v>1</v>
      </c>
      <c r="T183" t="inlineStr">
        <is>
          <t>LOW (40%)</t>
        </is>
      </c>
      <c r="U183" t="inlineStr">
        <is>
          <t>UNLIKELY</t>
        </is>
      </c>
      <c r="V183" t="inlineStr">
        <is>
          <t>CHECK_VENDOR</t>
        </is>
      </c>
      <c r="W183" t="inlineStr">
        <is>
          <t>https://nvd.nist.gov/vuln/detail/CVE-2026-25313</t>
        </is>
      </c>
      <c r="X183" t="inlineStr">
        <is>
          <t>NONE</t>
        </is>
      </c>
      <c r="Y183" t="n">
        <v>0</v>
      </c>
      <c r="Z183" t="inlineStr"/>
      <c r="AA183" t="inlineStr">
        <is>
          <t>https://nvd.nist.gov/vuln/detail/CVE-2026-25313</t>
        </is>
      </c>
    </row>
    <row r="184">
      <c r="A184" t="inlineStr">
        <is>
          <t>CVE</t>
        </is>
      </c>
      <c r="B184" t="inlineStr">
        <is>
          <t>CVE-2026-25314</t>
        </is>
      </c>
      <c r="C184" t="inlineStr">
        <is>
          <t>Missing Authorization vulnerability in WP Messiah TOP Table Of Contents top-table-of-contents allows Exploiting Incorrectly Configured Access Control Security Levels.This issue affects TOP Table Of Contents: from n/a through &lt;= 1.3.31.</t>
        </is>
      </c>
      <c r="D184" t="n">
        <v>4.3</v>
      </c>
      <c r="E184" t="inlineStr">
        <is>
          <t>MEDIUM</t>
        </is>
      </c>
      <c r="F184" t="n">
        <v>2</v>
      </c>
      <c r="G184" t="n">
        <v>2</v>
      </c>
      <c r="H184" t="inlineStr">
        <is>
          <t>MEDIUM</t>
        </is>
      </c>
      <c r="I184" t="n">
        <v>8.300000000000001</v>
      </c>
      <c r="J184" t="inlineStr">
        <is>
          <t>NO</t>
        </is>
      </c>
      <c r="K184" t="inlineStr">
        <is>
          <t>2026-02-26 00:15</t>
        </is>
      </c>
      <c r="L184" t="inlineStr">
        <is>
          <t>CHECK_VENDOR</t>
        </is>
      </c>
      <c r="M184" t="inlineStr">
        <is>
          <t>See CVE details</t>
        </is>
      </c>
      <c r="N184" t="inlineStr">
        <is>
          <t>P4</t>
        </is>
      </c>
      <c r="O184" t="inlineStr">
        <is>
          <t>CVE - IP enrichment n/a</t>
        </is>
      </c>
      <c r="P184" t="n">
        <v>0.0003</v>
      </c>
      <c r="Q184" t="n">
        <v>0.08210000000000001</v>
      </c>
      <c r="R184" t="inlineStr">
        <is>
          <t>T1190:Exploit Public-Facing Application</t>
        </is>
      </c>
      <c r="S184" t="n">
        <v>1</v>
      </c>
      <c r="T184" t="inlineStr">
        <is>
          <t>LOW (40%)</t>
        </is>
      </c>
      <c r="U184" t="inlineStr">
        <is>
          <t>UNLIKELY</t>
        </is>
      </c>
      <c r="V184" t="inlineStr">
        <is>
          <t>CHECK_VENDOR</t>
        </is>
      </c>
      <c r="W184" t="inlineStr">
        <is>
          <t>https://nvd.nist.gov/vuln/detail/CVE-2026-25314</t>
        </is>
      </c>
      <c r="X184" t="inlineStr">
        <is>
          <t>NONE</t>
        </is>
      </c>
      <c r="Y184" t="n">
        <v>0</v>
      </c>
      <c r="Z184" t="inlineStr"/>
      <c r="AA184" t="inlineStr">
        <is>
          <t>https://nvd.nist.gov/vuln/detail/CVE-2026-25314</t>
        </is>
      </c>
    </row>
    <row r="185">
      <c r="A185" t="inlineStr">
        <is>
          <t>CVE</t>
        </is>
      </c>
      <c r="B185" t="inlineStr">
        <is>
          <t>CVE-2026-25315</t>
        </is>
      </c>
      <c r="C185" t="inlineStr">
        <is>
          <t>Missing Authorization vulnerability in hcaptcha hCaptcha for WP hcaptcha-for-forms-and-more allows Exploiting Incorrectly Configured Access Control Security Levels.This issue affects hCaptcha for WP: from n/a through &lt;= 4.22.0.</t>
        </is>
      </c>
      <c r="D185" t="n">
        <v>5.3</v>
      </c>
      <c r="E185" t="inlineStr">
        <is>
          <t>MEDIUM</t>
        </is>
      </c>
      <c r="F185" t="n">
        <v>2</v>
      </c>
      <c r="G185" t="n">
        <v>2</v>
      </c>
      <c r="H185" t="inlineStr">
        <is>
          <t>MEDIUM</t>
        </is>
      </c>
      <c r="I185" t="n">
        <v>9.300000000000001</v>
      </c>
      <c r="J185" t="inlineStr">
        <is>
          <t>NO</t>
        </is>
      </c>
      <c r="K185" t="inlineStr">
        <is>
          <t>2026-02-26 00:15</t>
        </is>
      </c>
      <c r="L185" t="inlineStr">
        <is>
          <t>CHECK_VENDOR</t>
        </is>
      </c>
      <c r="M185" t="inlineStr">
        <is>
          <t>See CVE details</t>
        </is>
      </c>
      <c r="N185" t="inlineStr">
        <is>
          <t>P4</t>
        </is>
      </c>
      <c r="O185" t="inlineStr">
        <is>
          <t>CVE - IP enrichment n/a</t>
        </is>
      </c>
      <c r="P185" t="n">
        <v>0</v>
      </c>
      <c r="Q185" t="n">
        <v>0</v>
      </c>
      <c r="R185" t="inlineStr">
        <is>
          <t>T1190:Exploit Public-Facing Application</t>
        </is>
      </c>
      <c r="S185" t="n">
        <v>1</v>
      </c>
      <c r="T185" t="inlineStr">
        <is>
          <t>LOW (40%)</t>
        </is>
      </c>
      <c r="U185" t="inlineStr">
        <is>
          <t>UNLIKELY</t>
        </is>
      </c>
      <c r="V185" t="inlineStr">
        <is>
          <t>CHECK_VENDOR</t>
        </is>
      </c>
      <c r="W185" t="inlineStr">
        <is>
          <t>https://nvd.nist.gov/vuln/detail/CVE-2026-25315</t>
        </is>
      </c>
      <c r="X185" t="inlineStr">
        <is>
          <t>NONE</t>
        </is>
      </c>
      <c r="Y185" t="n">
        <v>0</v>
      </c>
      <c r="Z185" t="inlineStr"/>
      <c r="AA185" t="inlineStr">
        <is>
          <t>https://nvd.nist.gov/vuln/detail/CVE-2026-25315</t>
        </is>
      </c>
    </row>
    <row r="186">
      <c r="A186" t="inlineStr">
        <is>
          <t>CVE</t>
        </is>
      </c>
      <c r="B186" t="inlineStr">
        <is>
          <t>CVE-2026-25316</t>
        </is>
      </c>
      <c r="C186" t="inlineStr">
        <is>
          <t>Deserialization of Untrusted Data vulnerability in Brainstorm Force CartFlows cartflows allows Object Injection.This issue affects CartFlows: from n/a through &lt;= 2.1.19.</t>
        </is>
      </c>
      <c r="D186" t="n">
        <v>7.2</v>
      </c>
      <c r="E186" t="inlineStr">
        <is>
          <t>HIGH</t>
        </is>
      </c>
      <c r="F186" t="n">
        <v>2</v>
      </c>
      <c r="G186" t="n">
        <v>3</v>
      </c>
      <c r="H186" t="inlineStr">
        <is>
          <t>HIGH</t>
        </is>
      </c>
      <c r="I186" t="n">
        <v>13.2</v>
      </c>
      <c r="J186" t="inlineStr">
        <is>
          <t>NO</t>
        </is>
      </c>
      <c r="K186" t="inlineStr">
        <is>
          <t>2026-02-26 00:15</t>
        </is>
      </c>
      <c r="L186" t="inlineStr">
        <is>
          <t>CHECK_VENDOR</t>
        </is>
      </c>
      <c r="M186" t="inlineStr">
        <is>
          <t>See CVE details</t>
        </is>
      </c>
      <c r="N186" t="inlineStr">
        <is>
          <t>P3</t>
        </is>
      </c>
      <c r="O186" t="inlineStr">
        <is>
          <t>CVE - IP enrichment n/a</t>
        </is>
      </c>
      <c r="P186" t="n">
        <v>0</v>
      </c>
      <c r="Q186" t="n">
        <v>0</v>
      </c>
      <c r="R186" t="inlineStr">
        <is>
          <t>T1059:Command and Scripting Interpreter | T1190:Exploit Public-Facing Application</t>
        </is>
      </c>
      <c r="S186" t="n">
        <v>1</v>
      </c>
      <c r="T186" t="inlineStr">
        <is>
          <t>LOW (40%)</t>
        </is>
      </c>
      <c r="U186" t="inlineStr">
        <is>
          <t>UNLIKELY</t>
        </is>
      </c>
      <c r="V186" t="inlineStr">
        <is>
          <t>CHECK_VENDOR</t>
        </is>
      </c>
      <c r="W186" t="inlineStr">
        <is>
          <t>https://nvd.nist.gov/vuln/detail/CVE-2026-25316</t>
        </is>
      </c>
      <c r="X186" t="inlineStr">
        <is>
          <t>NONE</t>
        </is>
      </c>
      <c r="Y186" t="n">
        <v>0</v>
      </c>
      <c r="Z186" t="inlineStr"/>
      <c r="AA186" t="inlineStr">
        <is>
          <t>https://nvd.nist.gov/vuln/detail/CVE-2026-25316</t>
        </is>
      </c>
    </row>
    <row r="187">
      <c r="A187" t="inlineStr">
        <is>
          <t>CVE</t>
        </is>
      </c>
      <c r="B187" t="inlineStr">
        <is>
          <t>CVE-2026-25318</t>
        </is>
      </c>
      <c r="C187" t="inlineStr">
        <is>
          <t>Missing Authorization vulnerability in Wisernotify team WiserReview Product Reviews for WooCommerce wiser-review allows Exploiting Incorrectly Configured Access Control Security Levels.This issue affects WiserReview Product Reviews for WooCommerce: from n/a through &lt;= 2.9.</t>
        </is>
      </c>
      <c r="D187" t="n">
        <v>4.3</v>
      </c>
      <c r="E187" t="inlineStr">
        <is>
          <t>MEDIUM</t>
        </is>
      </c>
      <c r="F187" t="n">
        <v>2</v>
      </c>
      <c r="G187" t="n">
        <v>2</v>
      </c>
      <c r="H187" t="inlineStr">
        <is>
          <t>MEDIUM</t>
        </is>
      </c>
      <c r="I187" t="n">
        <v>8.300000000000001</v>
      </c>
      <c r="J187" t="inlineStr">
        <is>
          <t>NO</t>
        </is>
      </c>
      <c r="K187" t="inlineStr">
        <is>
          <t>2026-02-26 00:15</t>
        </is>
      </c>
      <c r="L187" t="inlineStr">
        <is>
          <t>CHECK_VENDOR</t>
        </is>
      </c>
      <c r="M187" t="inlineStr">
        <is>
          <t>See CVE details</t>
        </is>
      </c>
      <c r="N187" t="inlineStr">
        <is>
          <t>P4</t>
        </is>
      </c>
      <c r="O187" t="inlineStr">
        <is>
          <t>CVE - IP enrichment n/a</t>
        </is>
      </c>
      <c r="P187" t="n">
        <v>0</v>
      </c>
      <c r="Q187" t="n">
        <v>0</v>
      </c>
      <c r="R187" t="inlineStr">
        <is>
          <t>T1190:Exploit Public-Facing Application</t>
        </is>
      </c>
      <c r="S187" t="n">
        <v>1</v>
      </c>
      <c r="T187" t="inlineStr">
        <is>
          <t>LOW (40%)</t>
        </is>
      </c>
      <c r="U187" t="inlineStr">
        <is>
          <t>UNLIKELY</t>
        </is>
      </c>
      <c r="V187" t="inlineStr">
        <is>
          <t>CHECK_VENDOR</t>
        </is>
      </c>
      <c r="W187" t="inlineStr">
        <is>
          <t>https://nvd.nist.gov/vuln/detail/CVE-2026-25318</t>
        </is>
      </c>
      <c r="X187" t="inlineStr">
        <is>
          <t>NONE</t>
        </is>
      </c>
      <c r="Y187" t="n">
        <v>0</v>
      </c>
      <c r="Z187" t="inlineStr"/>
      <c r="AA187" t="inlineStr">
        <is>
          <t>https://nvd.nist.gov/vuln/detail/CVE-2026-25318</t>
        </is>
      </c>
    </row>
    <row r="188">
      <c r="A188" t="inlineStr">
        <is>
          <t>CVE</t>
        </is>
      </c>
      <c r="B188" t="inlineStr">
        <is>
          <t>CVE-2026-25319</t>
        </is>
      </c>
      <c r="C188" t="inlineStr">
        <is>
          <t>Cross-Site Request Forgery (CSRF) vulnerability in wpzita Zita Elementor Site Library zita-site-library allows Cross Site Request Forgery.This issue affects Zita Elementor Site Library: from n/a through &lt;= 1.6.6.</t>
        </is>
      </c>
      <c r="D188" t="n">
        <v>4.3</v>
      </c>
      <c r="E188" t="inlineStr">
        <is>
          <t>MEDIUM</t>
        </is>
      </c>
      <c r="F188" t="n">
        <v>2</v>
      </c>
      <c r="G188" t="n">
        <v>2</v>
      </c>
      <c r="H188" t="inlineStr">
        <is>
          <t>MEDIUM</t>
        </is>
      </c>
      <c r="I188" t="n">
        <v>8.300000000000001</v>
      </c>
      <c r="J188" t="inlineStr">
        <is>
          <t>NO</t>
        </is>
      </c>
      <c r="K188" t="inlineStr">
        <is>
          <t>2026-02-26 00:15</t>
        </is>
      </c>
      <c r="L188" t="inlineStr">
        <is>
          <t>CHECK_VENDOR</t>
        </is>
      </c>
      <c r="M188" t="inlineStr">
        <is>
          <t>See CVE details</t>
        </is>
      </c>
      <c r="N188" t="inlineStr">
        <is>
          <t>P4</t>
        </is>
      </c>
      <c r="O188" t="inlineStr">
        <is>
          <t>CVE - IP enrichment n/a</t>
        </is>
      </c>
      <c r="P188" t="n">
        <v>0</v>
      </c>
      <c r="Q188" t="n">
        <v>0</v>
      </c>
      <c r="R188" t="inlineStr">
        <is>
          <t>T1185:Browser Session Hijacking</t>
        </is>
      </c>
      <c r="S188" t="n">
        <v>1</v>
      </c>
      <c r="T188" t="inlineStr">
        <is>
          <t>LOW (40%)</t>
        </is>
      </c>
      <c r="U188" t="inlineStr">
        <is>
          <t>UNLIKELY</t>
        </is>
      </c>
      <c r="V188" t="inlineStr">
        <is>
          <t>CHECK_VENDOR</t>
        </is>
      </c>
      <c r="W188" t="inlineStr">
        <is>
          <t>https://nvd.nist.gov/vuln/detail/CVE-2026-25319</t>
        </is>
      </c>
      <c r="X188" t="inlineStr">
        <is>
          <t>NONE</t>
        </is>
      </c>
      <c r="Y188" t="n">
        <v>0</v>
      </c>
      <c r="Z188" t="inlineStr"/>
      <c r="AA188" t="inlineStr">
        <is>
          <t>https://nvd.nist.gov/vuln/detail/CVE-2026-25319</t>
        </is>
      </c>
    </row>
    <row r="189">
      <c r="A189" t="inlineStr">
        <is>
          <t>CVE</t>
        </is>
      </c>
      <c r="B189" t="inlineStr">
        <is>
          <t>CVE-2026-25320</t>
        </is>
      </c>
      <c r="C189" t="inlineStr">
        <is>
          <t>Missing Authorization vulnerability in Cool Plugins Elementor Contact Form DB sb-elementor-contact-form-db allows Exploiting Incorrectly Configured Access Control Security Levels.This issue affects Elementor Contact Form DB: from n/a through &lt;= 2.1.3.</t>
        </is>
      </c>
      <c r="D189" t="n">
        <v>5.3</v>
      </c>
      <c r="E189" t="inlineStr">
        <is>
          <t>MEDIUM</t>
        </is>
      </c>
      <c r="F189" t="n">
        <v>2</v>
      </c>
      <c r="G189" t="n">
        <v>2</v>
      </c>
      <c r="H189" t="inlineStr">
        <is>
          <t>MEDIUM</t>
        </is>
      </c>
      <c r="I189" t="n">
        <v>9.300000000000001</v>
      </c>
      <c r="J189" t="inlineStr">
        <is>
          <t>NO</t>
        </is>
      </c>
      <c r="K189" t="inlineStr">
        <is>
          <t>2026-02-26 00:15</t>
        </is>
      </c>
      <c r="L189" t="inlineStr">
        <is>
          <t>CHECK_VENDOR</t>
        </is>
      </c>
      <c r="M189" t="inlineStr">
        <is>
          <t>See CVE details</t>
        </is>
      </c>
      <c r="N189" t="inlineStr">
        <is>
          <t>P4</t>
        </is>
      </c>
      <c r="O189" t="inlineStr">
        <is>
          <t>CVE - IP enrichment n/a</t>
        </is>
      </c>
      <c r="P189" t="n">
        <v>0</v>
      </c>
      <c r="Q189" t="n">
        <v>0</v>
      </c>
      <c r="R189" t="inlineStr">
        <is>
          <t>T1190:Exploit Public-Facing Application</t>
        </is>
      </c>
      <c r="S189" t="n">
        <v>1</v>
      </c>
      <c r="T189" t="inlineStr">
        <is>
          <t>LOW (40%)</t>
        </is>
      </c>
      <c r="U189" t="inlineStr">
        <is>
          <t>UNLIKELY</t>
        </is>
      </c>
      <c r="V189" t="inlineStr">
        <is>
          <t>CHECK_VENDOR</t>
        </is>
      </c>
      <c r="W189" t="inlineStr">
        <is>
          <t>https://nvd.nist.gov/vuln/detail/CVE-2026-25320</t>
        </is>
      </c>
      <c r="X189" t="inlineStr">
        <is>
          <t>NONE</t>
        </is>
      </c>
      <c r="Y189" t="n">
        <v>0</v>
      </c>
      <c r="Z189" t="inlineStr"/>
      <c r="AA189" t="inlineStr">
        <is>
          <t>https://nvd.nist.gov/vuln/detail/CVE-2026-25320</t>
        </is>
      </c>
    </row>
    <row r="190">
      <c r="A190" t="inlineStr">
        <is>
          <t>CVE</t>
        </is>
      </c>
      <c r="B190" t="inlineStr">
        <is>
          <t>CVE-2026-25321</t>
        </is>
      </c>
      <c r="C190" t="inlineStr">
        <is>
          <t>Missing Authorization vulnerability in PSM Plugins SupportCandy supportcandy allows Exploiting Incorrectly Configured Access Control Security Levels.This issue affects SupportCandy: from n/a through &lt;= 3.4.4.</t>
        </is>
      </c>
      <c r="D190" t="n">
        <v>5.3</v>
      </c>
      <c r="E190" t="inlineStr">
        <is>
          <t>MEDIUM</t>
        </is>
      </c>
      <c r="F190" t="n">
        <v>2</v>
      </c>
      <c r="G190" t="n">
        <v>2</v>
      </c>
      <c r="H190" t="inlineStr">
        <is>
          <t>MEDIUM</t>
        </is>
      </c>
      <c r="I190" t="n">
        <v>9.300000000000001</v>
      </c>
      <c r="J190" t="inlineStr">
        <is>
          <t>NO</t>
        </is>
      </c>
      <c r="K190" t="inlineStr">
        <is>
          <t>2026-02-26 00:15</t>
        </is>
      </c>
      <c r="L190" t="inlineStr">
        <is>
          <t>CHECK_VENDOR</t>
        </is>
      </c>
      <c r="M190" t="inlineStr">
        <is>
          <t>See CVE details</t>
        </is>
      </c>
      <c r="N190" t="inlineStr">
        <is>
          <t>P4</t>
        </is>
      </c>
      <c r="O190" t="inlineStr">
        <is>
          <t>CVE - IP enrichment n/a</t>
        </is>
      </c>
      <c r="P190" t="n">
        <v>0</v>
      </c>
      <c r="Q190" t="n">
        <v>0</v>
      </c>
      <c r="R190" t="inlineStr">
        <is>
          <t>T1190:Exploit Public-Facing Application</t>
        </is>
      </c>
      <c r="S190" t="n">
        <v>1</v>
      </c>
      <c r="T190" t="inlineStr">
        <is>
          <t>LOW (40%)</t>
        </is>
      </c>
      <c r="U190" t="inlineStr">
        <is>
          <t>UNLIKELY</t>
        </is>
      </c>
      <c r="V190" t="inlineStr">
        <is>
          <t>CHECK_VENDOR</t>
        </is>
      </c>
      <c r="W190" t="inlineStr">
        <is>
          <t>https://nvd.nist.gov/vuln/detail/CVE-2026-25321</t>
        </is>
      </c>
      <c r="X190" t="inlineStr">
        <is>
          <t>NONE</t>
        </is>
      </c>
      <c r="Y190" t="n">
        <v>0</v>
      </c>
      <c r="Z190" t="inlineStr"/>
      <c r="AA190" t="inlineStr">
        <is>
          <t>https://nvd.nist.gov/vuln/detail/CVE-2026-25321</t>
        </is>
      </c>
    </row>
    <row r="191">
      <c r="A191" t="inlineStr">
        <is>
          <t>CVE</t>
        </is>
      </c>
      <c r="B191" t="inlineStr">
        <is>
          <t>CVE-2026-25322</t>
        </is>
      </c>
      <c r="C191" t="inlineStr">
        <is>
          <t>Cross-Site Request Forgery (CSRF) vulnerability in PublishPress PublishPress Revisions revisionary allows Cross Site Request Forgery.This issue affects PublishPress Revisions: from n/a through &lt;= 3.7.22.</t>
        </is>
      </c>
      <c r="D191" t="n">
        <v>5.4</v>
      </c>
      <c r="E191" t="inlineStr">
        <is>
          <t>MEDIUM</t>
        </is>
      </c>
      <c r="F191" t="n">
        <v>2</v>
      </c>
      <c r="G191" t="n">
        <v>2</v>
      </c>
      <c r="H191" t="inlineStr">
        <is>
          <t>MEDIUM</t>
        </is>
      </c>
      <c r="I191" t="n">
        <v>9.4</v>
      </c>
      <c r="J191" t="inlineStr">
        <is>
          <t>NO</t>
        </is>
      </c>
      <c r="K191" t="inlineStr">
        <is>
          <t>2026-02-26 00:15</t>
        </is>
      </c>
      <c r="L191" t="inlineStr">
        <is>
          <t>CHECK_VENDOR</t>
        </is>
      </c>
      <c r="M191" t="inlineStr">
        <is>
          <t>See CVE details</t>
        </is>
      </c>
      <c r="N191" t="inlineStr">
        <is>
          <t>P4</t>
        </is>
      </c>
      <c r="O191" t="inlineStr">
        <is>
          <t>CVE - IP enrichment n/a</t>
        </is>
      </c>
      <c r="P191" t="n">
        <v>0</v>
      </c>
      <c r="Q191" t="n">
        <v>0</v>
      </c>
      <c r="R191" t="inlineStr">
        <is>
          <t>T1185:Browser Session Hijacking</t>
        </is>
      </c>
      <c r="S191" t="n">
        <v>1</v>
      </c>
      <c r="T191" t="inlineStr">
        <is>
          <t>LOW (40%)</t>
        </is>
      </c>
      <c r="U191" t="inlineStr">
        <is>
          <t>UNLIKELY</t>
        </is>
      </c>
      <c r="V191" t="inlineStr">
        <is>
          <t>CHECK_VENDOR</t>
        </is>
      </c>
      <c r="W191" t="inlineStr">
        <is>
          <t>https://nvd.nist.gov/vuln/detail/CVE-2026-25322</t>
        </is>
      </c>
      <c r="X191" t="inlineStr">
        <is>
          <t>NONE</t>
        </is>
      </c>
      <c r="Y191" t="n">
        <v>0</v>
      </c>
      <c r="Z191" t="inlineStr"/>
      <c r="AA191" t="inlineStr">
        <is>
          <t>https://nvd.nist.gov/vuln/detail/CVE-2026-25322</t>
        </is>
      </c>
    </row>
    <row r="192">
      <c r="A192" t="inlineStr">
        <is>
          <t>CVE</t>
        </is>
      </c>
      <c r="B192" t="inlineStr">
        <is>
          <t>CVE-2026-25323</t>
        </is>
      </c>
      <c r="C192" t="inlineStr">
        <is>
          <t>Missing Authorization vulnerability in MiKa OSM osm allows Exploiting Incorrectly Configured Access Control Security Levels.This issue affects OSM: from n/a through &lt;= 6.1.12.</t>
        </is>
      </c>
      <c r="D192" t="n">
        <v>5</v>
      </c>
      <c r="E192" t="inlineStr">
        <is>
          <t>MEDIUM</t>
        </is>
      </c>
      <c r="F192" t="n">
        <v>2</v>
      </c>
      <c r="G192" t="n">
        <v>2</v>
      </c>
      <c r="H192" t="inlineStr">
        <is>
          <t>MEDIUM</t>
        </is>
      </c>
      <c r="I192" t="n">
        <v>9</v>
      </c>
      <c r="J192" t="inlineStr">
        <is>
          <t>NO</t>
        </is>
      </c>
      <c r="K192" t="inlineStr">
        <is>
          <t>2026-02-26 00:15</t>
        </is>
      </c>
      <c r="L192" t="inlineStr">
        <is>
          <t>CHECK_VENDOR</t>
        </is>
      </c>
      <c r="M192" t="inlineStr">
        <is>
          <t>See CVE details</t>
        </is>
      </c>
      <c r="N192" t="inlineStr">
        <is>
          <t>P4</t>
        </is>
      </c>
      <c r="O192" t="inlineStr">
        <is>
          <t>CVE - IP enrichment n/a</t>
        </is>
      </c>
      <c r="P192" t="n">
        <v>0</v>
      </c>
      <c r="Q192" t="n">
        <v>0</v>
      </c>
      <c r="R192" t="inlineStr">
        <is>
          <t>T1190:Exploit Public-Facing Application</t>
        </is>
      </c>
      <c r="S192" t="n">
        <v>1</v>
      </c>
      <c r="T192" t="inlineStr">
        <is>
          <t>LOW (40%)</t>
        </is>
      </c>
      <c r="U192" t="inlineStr">
        <is>
          <t>UNLIKELY</t>
        </is>
      </c>
      <c r="V192" t="inlineStr">
        <is>
          <t>CHECK_VENDOR</t>
        </is>
      </c>
      <c r="W192" t="inlineStr">
        <is>
          <t>https://nvd.nist.gov/vuln/detail/CVE-2026-25323</t>
        </is>
      </c>
      <c r="X192" t="inlineStr">
        <is>
          <t>NONE</t>
        </is>
      </c>
      <c r="Y192" t="n">
        <v>0</v>
      </c>
      <c r="Z192" t="inlineStr"/>
      <c r="AA192" t="inlineStr">
        <is>
          <t>https://nvd.nist.gov/vuln/detail/CVE-2026-25323</t>
        </is>
      </c>
    </row>
    <row r="193">
      <c r="A193" t="inlineStr">
        <is>
          <t>CVE</t>
        </is>
      </c>
      <c r="B193" t="inlineStr">
        <is>
          <t>CVE-2026-25324</t>
        </is>
      </c>
      <c r="C193" t="inlineStr">
        <is>
          <t>Authorization Bypass Through User-Controlled Key vulnerability in ExpressTech Systems Quiz And Survey Master quiz-master-next allows Exploiting Incorrectly Configured Access Control Security Levels.This issue affects Quiz And Survey Master: from n/a through &lt;= 10.3.4.</t>
        </is>
      </c>
      <c r="D193" t="n">
        <v>5.3</v>
      </c>
      <c r="E193" t="inlineStr">
        <is>
          <t>MEDIUM</t>
        </is>
      </c>
      <c r="F193" t="n">
        <v>2</v>
      </c>
      <c r="G193" t="n">
        <v>2</v>
      </c>
      <c r="H193" t="inlineStr">
        <is>
          <t>MEDIUM</t>
        </is>
      </c>
      <c r="I193" t="n">
        <v>9.300000000000001</v>
      </c>
      <c r="J193" t="inlineStr">
        <is>
          <t>NO</t>
        </is>
      </c>
      <c r="K193" t="inlineStr">
        <is>
          <t>2026-02-26 00:15</t>
        </is>
      </c>
      <c r="L193" t="inlineStr">
        <is>
          <t>CHECK_VENDOR</t>
        </is>
      </c>
      <c r="M193" t="inlineStr">
        <is>
          <t>See CVE details</t>
        </is>
      </c>
      <c r="N193" t="inlineStr">
        <is>
          <t>P4</t>
        </is>
      </c>
      <c r="O193" t="inlineStr">
        <is>
          <t>CVE - IP enrichment n/a</t>
        </is>
      </c>
      <c r="P193" t="n">
        <v>0</v>
      </c>
      <c r="Q193" t="n">
        <v>0</v>
      </c>
      <c r="R193" t="inlineStr">
        <is>
          <t>T1190:Exploit Public-Facing Application</t>
        </is>
      </c>
      <c r="S193" t="n">
        <v>1</v>
      </c>
      <c r="T193" t="inlineStr">
        <is>
          <t>LOW (40%)</t>
        </is>
      </c>
      <c r="U193" t="inlineStr">
        <is>
          <t>UNLIKELY</t>
        </is>
      </c>
      <c r="V193" t="inlineStr">
        <is>
          <t>CHECK_VENDOR</t>
        </is>
      </c>
      <c r="W193" t="inlineStr">
        <is>
          <t>https://nvd.nist.gov/vuln/detail/CVE-2026-25324</t>
        </is>
      </c>
      <c r="X193" t="inlineStr">
        <is>
          <t>NONE</t>
        </is>
      </c>
      <c r="Y193" t="n">
        <v>0</v>
      </c>
      <c r="Z193" t="inlineStr"/>
      <c r="AA193" t="inlineStr">
        <is>
          <t>https://nvd.nist.gov/vuln/detail/CVE-2026-25324</t>
        </is>
      </c>
    </row>
    <row r="194">
      <c r="A194" t="inlineStr">
        <is>
          <t>CVE</t>
        </is>
      </c>
      <c r="B194" t="inlineStr">
        <is>
          <t>CVE-2026-25325</t>
        </is>
      </c>
      <c r="C194" t="inlineStr">
        <is>
          <t>Exposure of Sensitive System Information to an Unauthorized Control Sphere vulnerability in rtCamp rtMedia for WordPress, BuddyPress and bbPress buddypress-media allows Retrieve Embedded Sensitive Data.This issue affects rtMedia for WordPress, BuddyPress and bbPress: from n/a through &lt;= 4.7.8.</t>
        </is>
      </c>
      <c r="D194" t="n">
        <v>5.3</v>
      </c>
      <c r="E194" t="inlineStr">
        <is>
          <t>MEDIUM</t>
        </is>
      </c>
      <c r="F194" t="n">
        <v>2</v>
      </c>
      <c r="G194" t="n">
        <v>2</v>
      </c>
      <c r="H194" t="inlineStr">
        <is>
          <t>MEDIUM</t>
        </is>
      </c>
      <c r="I194" t="n">
        <v>9.300000000000001</v>
      </c>
      <c r="J194" t="inlineStr">
        <is>
          <t>NO</t>
        </is>
      </c>
      <c r="K194" t="inlineStr">
        <is>
          <t>2026-02-26 00:15</t>
        </is>
      </c>
      <c r="L194" t="inlineStr">
        <is>
          <t>CHECK_VENDOR</t>
        </is>
      </c>
      <c r="M194" t="inlineStr">
        <is>
          <t>See CVE details</t>
        </is>
      </c>
      <c r="N194" t="inlineStr">
        <is>
          <t>P4</t>
        </is>
      </c>
      <c r="O194" t="inlineStr">
        <is>
          <t>CVE - IP enrichment n/a</t>
        </is>
      </c>
      <c r="P194" t="n">
        <v>0</v>
      </c>
      <c r="Q194" t="n">
        <v>0</v>
      </c>
      <c r="R194" t="inlineStr">
        <is>
          <t>T1190:Exploit Public-Facing Application</t>
        </is>
      </c>
      <c r="S194" t="n">
        <v>1</v>
      </c>
      <c r="T194" t="inlineStr">
        <is>
          <t>LOW (40%)</t>
        </is>
      </c>
      <c r="U194" t="inlineStr">
        <is>
          <t>UNLIKELY</t>
        </is>
      </c>
      <c r="V194" t="inlineStr">
        <is>
          <t>CHECK_VENDOR</t>
        </is>
      </c>
      <c r="W194" t="inlineStr">
        <is>
          <t>https://nvd.nist.gov/vuln/detail/CVE-2026-25325</t>
        </is>
      </c>
      <c r="X194" t="inlineStr">
        <is>
          <t>NONE</t>
        </is>
      </c>
      <c r="Y194" t="n">
        <v>0</v>
      </c>
      <c r="Z194" t="inlineStr"/>
      <c r="AA194" t="inlineStr">
        <is>
          <t>https://nvd.nist.gov/vuln/detail/CVE-2026-25325</t>
        </is>
      </c>
    </row>
    <row r="195">
      <c r="A195" t="inlineStr">
        <is>
          <t>CVE</t>
        </is>
      </c>
      <c r="B195" t="inlineStr">
        <is>
          <t>CVE-2026-25326</t>
        </is>
      </c>
      <c r="C195" t="inlineStr">
        <is>
          <t>Improper Control of Filename for Include/Require Statement in PHP Program ('PHP Remote File Inclusion') vulnerability in cmsmasters CMSMasters Content Composer cmsmasters-content-composer allows PHP Local File Inclusion.This issue affects CMSMasters Content Composer: from n/a through &lt;= 1.4.5.</t>
        </is>
      </c>
      <c r="D195" t="n">
        <v>7.5</v>
      </c>
      <c r="E195" t="inlineStr">
        <is>
          <t>HIGH</t>
        </is>
      </c>
      <c r="F195" t="n">
        <v>2</v>
      </c>
      <c r="G195" t="n">
        <v>3</v>
      </c>
      <c r="H195" t="inlineStr">
        <is>
          <t>HIGH</t>
        </is>
      </c>
      <c r="I195" t="n">
        <v>13.5</v>
      </c>
      <c r="J195" t="inlineStr">
        <is>
          <t>NO</t>
        </is>
      </c>
      <c r="K195" t="inlineStr">
        <is>
          <t>2026-02-26 00:15</t>
        </is>
      </c>
      <c r="L195" t="inlineStr">
        <is>
          <t>CHECK_VENDOR</t>
        </is>
      </c>
      <c r="M195" t="inlineStr">
        <is>
          <t>See CVE details</t>
        </is>
      </c>
      <c r="N195" t="inlineStr">
        <is>
          <t>P3</t>
        </is>
      </c>
      <c r="O195" t="inlineStr">
        <is>
          <t>CVE - IP enrichment n/a</t>
        </is>
      </c>
      <c r="P195" t="n">
        <v>0</v>
      </c>
      <c r="Q195" t="n">
        <v>0</v>
      </c>
      <c r="R195" t="inlineStr">
        <is>
          <t>T1190:Exploit Public-Facing Application</t>
        </is>
      </c>
      <c r="S195" t="n">
        <v>1</v>
      </c>
      <c r="T195" t="inlineStr">
        <is>
          <t>LOW (40%)</t>
        </is>
      </c>
      <c r="U195" t="inlineStr">
        <is>
          <t>UNLIKELY</t>
        </is>
      </c>
      <c r="V195" t="inlineStr">
        <is>
          <t>CHECK_VENDOR</t>
        </is>
      </c>
      <c r="W195" t="inlineStr">
        <is>
          <t>https://nvd.nist.gov/vuln/detail/CVE-2026-25326</t>
        </is>
      </c>
      <c r="X195" t="inlineStr">
        <is>
          <t>NONE</t>
        </is>
      </c>
      <c r="Y195" t="n">
        <v>0</v>
      </c>
      <c r="Z195" t="inlineStr"/>
      <c r="AA195" t="inlineStr">
        <is>
          <t>https://nvd.nist.gov/vuln/detail/CVE-2026-25326</t>
        </is>
      </c>
    </row>
    <row r="196">
      <c r="A196" t="inlineStr">
        <is>
          <t>CVE</t>
        </is>
      </c>
      <c r="B196" t="inlineStr">
        <is>
          <t>CVE-2026-25329</t>
        </is>
      </c>
      <c r="C196" t="inlineStr">
        <is>
          <t>Missing Authorization vulnerability in ExpressTech Systems Quiz And Survey Master quiz-master-next allows Exploiting Incorrectly Configured Access Control Security Levels.This issue affects Quiz And Survey Master: from n/a through &lt;= 10.3.4.</t>
        </is>
      </c>
      <c r="D196" t="n">
        <v>5</v>
      </c>
      <c r="E196" t="inlineStr">
        <is>
          <t>MEDIUM</t>
        </is>
      </c>
      <c r="F196" t="n">
        <v>2</v>
      </c>
      <c r="G196" t="n">
        <v>2</v>
      </c>
      <c r="H196" t="inlineStr">
        <is>
          <t>MEDIUM</t>
        </is>
      </c>
      <c r="I196" t="n">
        <v>9</v>
      </c>
      <c r="J196" t="inlineStr">
        <is>
          <t>NO</t>
        </is>
      </c>
      <c r="K196" t="inlineStr">
        <is>
          <t>2026-02-26 00:15</t>
        </is>
      </c>
      <c r="L196" t="inlineStr">
        <is>
          <t>CHECK_VENDOR</t>
        </is>
      </c>
      <c r="M196" t="inlineStr">
        <is>
          <t>See CVE details</t>
        </is>
      </c>
      <c r="N196" t="inlineStr">
        <is>
          <t>P4</t>
        </is>
      </c>
      <c r="O196" t="inlineStr">
        <is>
          <t>CVE - IP enrichment n/a</t>
        </is>
      </c>
      <c r="P196" t="n">
        <v>0</v>
      </c>
      <c r="Q196" t="n">
        <v>0</v>
      </c>
      <c r="R196" t="inlineStr">
        <is>
          <t>T1190:Exploit Public-Facing Application</t>
        </is>
      </c>
      <c r="S196" t="n">
        <v>1</v>
      </c>
      <c r="T196" t="inlineStr">
        <is>
          <t>LOW (40%)</t>
        </is>
      </c>
      <c r="U196" t="inlineStr">
        <is>
          <t>UNLIKELY</t>
        </is>
      </c>
      <c r="V196" t="inlineStr">
        <is>
          <t>CHECK_VENDOR</t>
        </is>
      </c>
      <c r="W196" t="inlineStr">
        <is>
          <t>https://nvd.nist.gov/vuln/detail/CVE-2026-25329</t>
        </is>
      </c>
      <c r="X196" t="inlineStr">
        <is>
          <t>NONE</t>
        </is>
      </c>
      <c r="Y196" t="n">
        <v>0</v>
      </c>
      <c r="Z196" t="inlineStr"/>
      <c r="AA196" t="inlineStr">
        <is>
          <t>https://nvd.nist.gov/vuln/detail/CVE-2026-25329</t>
        </is>
      </c>
    </row>
    <row r="197">
      <c r="A197" t="inlineStr">
        <is>
          <t>CVE</t>
        </is>
      </c>
      <c r="B197" t="inlineStr">
        <is>
          <t>CVE-2026-25330</t>
        </is>
      </c>
      <c r="C197" t="inlineStr">
        <is>
          <t>Missing Authorization vulnerability in PublishPress PublishPress Authors publishpress-authors allows Exploiting Incorrectly Configured Access Control Security Levels.This issue affects PublishPress Authors: from n/a through &lt;= 4.10.1.</t>
        </is>
      </c>
      <c r="D197" t="n">
        <v>4.3</v>
      </c>
      <c r="E197" t="inlineStr">
        <is>
          <t>MEDIUM</t>
        </is>
      </c>
      <c r="F197" t="n">
        <v>2</v>
      </c>
      <c r="G197" t="n">
        <v>2</v>
      </c>
      <c r="H197" t="inlineStr">
        <is>
          <t>MEDIUM</t>
        </is>
      </c>
      <c r="I197" t="n">
        <v>8.300000000000001</v>
      </c>
      <c r="J197" t="inlineStr">
        <is>
          <t>NO</t>
        </is>
      </c>
      <c r="K197" t="inlineStr">
        <is>
          <t>2026-02-26 00:15</t>
        </is>
      </c>
      <c r="L197" t="inlineStr">
        <is>
          <t>CHECK_VENDOR</t>
        </is>
      </c>
      <c r="M197" t="inlineStr">
        <is>
          <t>See CVE details</t>
        </is>
      </c>
      <c r="N197" t="inlineStr">
        <is>
          <t>P4</t>
        </is>
      </c>
      <c r="O197" t="inlineStr">
        <is>
          <t>CVE - IP enrichment n/a</t>
        </is>
      </c>
      <c r="P197" t="n">
        <v>0</v>
      </c>
      <c r="Q197" t="n">
        <v>0</v>
      </c>
      <c r="R197" t="inlineStr">
        <is>
          <t>T1190:Exploit Public-Facing Application</t>
        </is>
      </c>
      <c r="S197" t="n">
        <v>1</v>
      </c>
      <c r="T197" t="inlineStr">
        <is>
          <t>LOW (40%)</t>
        </is>
      </c>
      <c r="U197" t="inlineStr">
        <is>
          <t>UNLIKELY</t>
        </is>
      </c>
      <c r="V197" t="inlineStr">
        <is>
          <t>CHECK_VENDOR</t>
        </is>
      </c>
      <c r="W197" t="inlineStr">
        <is>
          <t>https://nvd.nist.gov/vuln/detail/CVE-2026-25330</t>
        </is>
      </c>
      <c r="X197" t="inlineStr">
        <is>
          <t>NONE</t>
        </is>
      </c>
      <c r="Y197" t="n">
        <v>0</v>
      </c>
      <c r="Z197" t="inlineStr"/>
      <c r="AA197" t="inlineStr">
        <is>
          <t>https://nvd.nist.gov/vuln/detail/CVE-2026-25330</t>
        </is>
      </c>
    </row>
    <row r="198">
      <c r="A198" t="inlineStr">
        <is>
          <t>CVE</t>
        </is>
      </c>
      <c r="B198" t="inlineStr">
        <is>
          <t>CVE-2026-25331</t>
        </is>
      </c>
      <c r="C198" t="inlineStr">
        <is>
          <t>Improper Neutralization of Input During Web Page Generation ('Cross-site Scripting') vulnerability in Melapress WP Activity Log wp-security-audit-log allows DOM-Based XSS.This issue affects WP Activity Log: from n/a through &lt;= 5.5.4.</t>
        </is>
      </c>
      <c r="D198" t="n">
        <v>5</v>
      </c>
      <c r="E198" t="inlineStr">
        <is>
          <t>MEDIUM</t>
        </is>
      </c>
      <c r="F198" t="n">
        <v>2</v>
      </c>
      <c r="G198" t="n">
        <v>2</v>
      </c>
      <c r="H198" t="inlineStr">
        <is>
          <t>MEDIUM</t>
        </is>
      </c>
      <c r="I198" t="n">
        <v>9</v>
      </c>
      <c r="J198" t="inlineStr">
        <is>
          <t>NO</t>
        </is>
      </c>
      <c r="K198" t="inlineStr">
        <is>
          <t>2026-02-26 00:15</t>
        </is>
      </c>
      <c r="L198" t="inlineStr">
        <is>
          <t>CHECK_VENDOR</t>
        </is>
      </c>
      <c r="M198" t="inlineStr">
        <is>
          <t>See CVE details</t>
        </is>
      </c>
      <c r="N198" t="inlineStr">
        <is>
          <t>P4</t>
        </is>
      </c>
      <c r="O198" t="inlineStr">
        <is>
          <t>CVE - IP enrichment n/a</t>
        </is>
      </c>
      <c r="P198" t="n">
        <v>0</v>
      </c>
      <c r="Q198" t="n">
        <v>0</v>
      </c>
      <c r="R198" t="inlineStr">
        <is>
          <t>T1189:Drive-by Compromise</t>
        </is>
      </c>
      <c r="S198" t="n">
        <v>1</v>
      </c>
      <c r="T198" t="inlineStr">
        <is>
          <t>LOW (40%)</t>
        </is>
      </c>
      <c r="U198" t="inlineStr">
        <is>
          <t>UNLIKELY</t>
        </is>
      </c>
      <c r="V198" t="inlineStr">
        <is>
          <t>CHECK_VENDOR</t>
        </is>
      </c>
      <c r="W198" t="inlineStr">
        <is>
          <t>https://nvd.nist.gov/vuln/detail/CVE-2026-25331</t>
        </is>
      </c>
      <c r="X198" t="inlineStr">
        <is>
          <t>NONE</t>
        </is>
      </c>
      <c r="Y198" t="n">
        <v>0</v>
      </c>
      <c r="Z198" t="inlineStr"/>
      <c r="AA198" t="inlineStr">
        <is>
          <t>https://nvd.nist.gov/vuln/detail/CVE-2026-25331</t>
        </is>
      </c>
    </row>
    <row r="199">
      <c r="A199" t="inlineStr">
        <is>
          <t>CVE</t>
        </is>
      </c>
      <c r="B199" t="inlineStr">
        <is>
          <t>CVE-2026-25332</t>
        </is>
      </c>
      <c r="C199" t="inlineStr">
        <is>
          <t>Missing Authorization vulnerability in Fahad Mahmood Endless Posts Navigation endless-posts-navigation allows Exploiting Incorrectly Configured Access Control Security Levels.This issue affects Endless Posts Navigation: from n/a through &lt;= 2.2.9.</t>
        </is>
      </c>
      <c r="D199" t="n">
        <v>5.3</v>
      </c>
      <c r="E199" t="inlineStr">
        <is>
          <t>MEDIUM</t>
        </is>
      </c>
      <c r="F199" t="n">
        <v>2</v>
      </c>
      <c r="G199" t="n">
        <v>2</v>
      </c>
      <c r="H199" t="inlineStr">
        <is>
          <t>MEDIUM</t>
        </is>
      </c>
      <c r="I199" t="n">
        <v>9.300000000000001</v>
      </c>
      <c r="J199" t="inlineStr">
        <is>
          <t>NO</t>
        </is>
      </c>
      <c r="K199" t="inlineStr">
        <is>
          <t>2026-02-26 00:15</t>
        </is>
      </c>
      <c r="L199" t="inlineStr">
        <is>
          <t>CHECK_VENDOR</t>
        </is>
      </c>
      <c r="M199" t="inlineStr">
        <is>
          <t>See CVE details</t>
        </is>
      </c>
      <c r="N199" t="inlineStr">
        <is>
          <t>P4</t>
        </is>
      </c>
      <c r="O199" t="inlineStr">
        <is>
          <t>CVE - IP enrichment n/a</t>
        </is>
      </c>
      <c r="P199" t="n">
        <v>0.0004</v>
      </c>
      <c r="Q199" t="n">
        <v>0.1078</v>
      </c>
      <c r="R199" t="inlineStr">
        <is>
          <t>T1190:Exploit Public-Facing Application</t>
        </is>
      </c>
      <c r="S199" t="n">
        <v>1</v>
      </c>
      <c r="T199" t="inlineStr">
        <is>
          <t>LOW (40%)</t>
        </is>
      </c>
      <c r="U199" t="inlineStr">
        <is>
          <t>UNLIKELY</t>
        </is>
      </c>
      <c r="V199" t="inlineStr">
        <is>
          <t>CHECK_VENDOR</t>
        </is>
      </c>
      <c r="W199" t="inlineStr">
        <is>
          <t>https://nvd.nist.gov/vuln/detail/CVE-2026-25332</t>
        </is>
      </c>
      <c r="X199" t="inlineStr">
        <is>
          <t>NONE</t>
        </is>
      </c>
      <c r="Y199" t="n">
        <v>0</v>
      </c>
      <c r="Z199" t="inlineStr"/>
      <c r="AA199" t="inlineStr">
        <is>
          <t>https://nvd.nist.gov/vuln/detail/CVE-2026-25332</t>
        </is>
      </c>
    </row>
    <row r="200">
      <c r="A200" t="inlineStr">
        <is>
          <t>CVE</t>
        </is>
      </c>
      <c r="B200" t="inlineStr">
        <is>
          <t>CVE-2026-25333</t>
        </is>
      </c>
      <c r="C200" t="inlineStr">
        <is>
          <t>Missing Authorization vulnerability in peregrinethemes Shopwell shopwell allows Exploiting Incorrectly Configured Access Control Security Levels.This issue affects Shopwell: from n/a through &lt;= 1.0.11.</t>
        </is>
      </c>
      <c r="D200" t="n">
        <v>5.3</v>
      </c>
      <c r="E200" t="inlineStr">
        <is>
          <t>MEDIUM</t>
        </is>
      </c>
      <c r="F200" t="n">
        <v>2</v>
      </c>
      <c r="G200" t="n">
        <v>2</v>
      </c>
      <c r="H200" t="inlineStr">
        <is>
          <t>MEDIUM</t>
        </is>
      </c>
      <c r="I200" t="n">
        <v>9.300000000000001</v>
      </c>
      <c r="J200" t="inlineStr">
        <is>
          <t>NO</t>
        </is>
      </c>
      <c r="K200" t="inlineStr">
        <is>
          <t>2026-02-26 00:15</t>
        </is>
      </c>
      <c r="L200" t="inlineStr">
        <is>
          <t>CHECK_VENDOR</t>
        </is>
      </c>
      <c r="M200" t="inlineStr">
        <is>
          <t>See CVE details</t>
        </is>
      </c>
      <c r="N200" t="inlineStr">
        <is>
          <t>P4</t>
        </is>
      </c>
      <c r="O200" t="inlineStr">
        <is>
          <t>CVE - IP enrichment n/a</t>
        </is>
      </c>
      <c r="P200" t="n">
        <v>0</v>
      </c>
      <c r="Q200" t="n">
        <v>0</v>
      </c>
      <c r="R200" t="inlineStr">
        <is>
          <t>T1190:Exploit Public-Facing Application</t>
        </is>
      </c>
      <c r="S200" t="n">
        <v>1</v>
      </c>
      <c r="T200" t="inlineStr">
        <is>
          <t>LOW (40%)</t>
        </is>
      </c>
      <c r="U200" t="inlineStr">
        <is>
          <t>UNLIKELY</t>
        </is>
      </c>
      <c r="V200" t="inlineStr">
        <is>
          <t>CHECK_VENDOR</t>
        </is>
      </c>
      <c r="W200" t="inlineStr">
        <is>
          <t>https://nvd.nist.gov/vuln/detail/CVE-2026-25333</t>
        </is>
      </c>
      <c r="X200" t="inlineStr">
        <is>
          <t>NONE</t>
        </is>
      </c>
      <c r="Y200" t="n">
        <v>0</v>
      </c>
      <c r="Z200" t="inlineStr"/>
      <c r="AA200" t="inlineStr">
        <is>
          <t>https://nvd.nist.gov/vuln/detail/CVE-2026-25333</t>
        </is>
      </c>
    </row>
    <row r="201">
      <c r="A201" t="inlineStr">
        <is>
          <t>CVE</t>
        </is>
      </c>
      <c r="B201" t="inlineStr">
        <is>
          <t>CVE-2026-25335</t>
        </is>
      </c>
      <c r="C201" t="inlineStr">
        <is>
          <t>Missing Authorization vulnerability in Ays Pro Secure Copy Content Protection and Content Locking secure-copy-content-protection allows Exploiting Incorrectly Configured Access Control Security Levels.This issue affects Secure Copy Content Protection and Content Locking: from n/a through &lt;= 5.0.0.</t>
        </is>
      </c>
      <c r="D201" t="n">
        <v>4.3</v>
      </c>
      <c r="E201" t="inlineStr">
        <is>
          <t>MEDIUM</t>
        </is>
      </c>
      <c r="F201" t="n">
        <v>2</v>
      </c>
      <c r="G201" t="n">
        <v>2</v>
      </c>
      <c r="H201" t="inlineStr">
        <is>
          <t>MEDIUM</t>
        </is>
      </c>
      <c r="I201" t="n">
        <v>8.300000000000001</v>
      </c>
      <c r="J201" t="inlineStr">
        <is>
          <t>NO</t>
        </is>
      </c>
      <c r="K201" t="inlineStr">
        <is>
          <t>2026-02-26 00:15</t>
        </is>
      </c>
      <c r="L201" t="inlineStr">
        <is>
          <t>CHECK_VENDOR</t>
        </is>
      </c>
      <c r="M201" t="inlineStr">
        <is>
          <t>See CVE details</t>
        </is>
      </c>
      <c r="N201" t="inlineStr">
        <is>
          <t>P4</t>
        </is>
      </c>
      <c r="O201" t="inlineStr">
        <is>
          <t>CVE - IP enrichment n/a</t>
        </is>
      </c>
      <c r="P201" t="n">
        <v>0</v>
      </c>
      <c r="Q201" t="n">
        <v>0</v>
      </c>
      <c r="R201" t="inlineStr">
        <is>
          <t>T1190:Exploit Public-Facing Application</t>
        </is>
      </c>
      <c r="S201" t="n">
        <v>1</v>
      </c>
      <c r="T201" t="inlineStr">
        <is>
          <t>LOW (40%)</t>
        </is>
      </c>
      <c r="U201" t="inlineStr">
        <is>
          <t>UNLIKELY</t>
        </is>
      </c>
      <c r="V201" t="inlineStr">
        <is>
          <t>CHECK_VENDOR</t>
        </is>
      </c>
      <c r="W201" t="inlineStr">
        <is>
          <t>https://nvd.nist.gov/vuln/detail/CVE-2026-25335</t>
        </is>
      </c>
      <c r="X201" t="inlineStr">
        <is>
          <t>NONE</t>
        </is>
      </c>
      <c r="Y201" t="n">
        <v>0</v>
      </c>
      <c r="Z201" t="inlineStr"/>
      <c r="AA201" t="inlineStr">
        <is>
          <t>https://nvd.nist.gov/vuln/detail/CVE-2026-25335</t>
        </is>
      </c>
    </row>
    <row r="202">
      <c r="A202" t="inlineStr">
        <is>
          <t>CVE</t>
        </is>
      </c>
      <c r="B202" t="inlineStr">
        <is>
          <t>CVE-2026-25336</t>
        </is>
      </c>
      <c r="C202" t="inlineStr">
        <is>
          <t>Missing Authorization vulnerability in wpcoachify Coachify coachify allows Exploiting Incorrectly Configured Access Control Security Levels.This issue affects Coachify: from n/a through &lt;= 1.1.5.</t>
        </is>
      </c>
      <c r="D202" t="n">
        <v>5.3</v>
      </c>
      <c r="E202" t="inlineStr">
        <is>
          <t>MEDIUM</t>
        </is>
      </c>
      <c r="F202" t="n">
        <v>2</v>
      </c>
      <c r="G202" t="n">
        <v>2</v>
      </c>
      <c r="H202" t="inlineStr">
        <is>
          <t>MEDIUM</t>
        </is>
      </c>
      <c r="I202" t="n">
        <v>9.300000000000001</v>
      </c>
      <c r="J202" t="inlineStr">
        <is>
          <t>NO</t>
        </is>
      </c>
      <c r="K202" t="inlineStr">
        <is>
          <t>2026-02-26 00:15</t>
        </is>
      </c>
      <c r="L202" t="inlineStr">
        <is>
          <t>CHECK_VENDOR</t>
        </is>
      </c>
      <c r="M202" t="inlineStr">
        <is>
          <t>See CVE details</t>
        </is>
      </c>
      <c r="N202" t="inlineStr">
        <is>
          <t>P4</t>
        </is>
      </c>
      <c r="O202" t="inlineStr">
        <is>
          <t>CVE - IP enrichment n/a</t>
        </is>
      </c>
      <c r="P202" t="n">
        <v>0</v>
      </c>
      <c r="Q202" t="n">
        <v>0</v>
      </c>
      <c r="R202" t="inlineStr">
        <is>
          <t>T1190:Exploit Public-Facing Application</t>
        </is>
      </c>
      <c r="S202" t="n">
        <v>1</v>
      </c>
      <c r="T202" t="inlineStr">
        <is>
          <t>LOW (40%)</t>
        </is>
      </c>
      <c r="U202" t="inlineStr">
        <is>
          <t>UNLIKELY</t>
        </is>
      </c>
      <c r="V202" t="inlineStr">
        <is>
          <t>CHECK_VENDOR</t>
        </is>
      </c>
      <c r="W202" t="inlineStr">
        <is>
          <t>https://nvd.nist.gov/vuln/detail/CVE-2026-25336</t>
        </is>
      </c>
      <c r="X202" t="inlineStr">
        <is>
          <t>NONE</t>
        </is>
      </c>
      <c r="Y202" t="n">
        <v>0</v>
      </c>
      <c r="Z202" t="inlineStr"/>
      <c r="AA202" t="inlineStr">
        <is>
          <t>https://nvd.nist.gov/vuln/detail/CVE-2026-25336</t>
        </is>
      </c>
    </row>
    <row r="203">
      <c r="A203" t="inlineStr">
        <is>
          <t>CVE</t>
        </is>
      </c>
      <c r="B203" t="inlineStr">
        <is>
          <t>CVE-2026-25337</t>
        </is>
      </c>
      <c r="C203" t="inlineStr">
        <is>
          <t>Cross-Site Request Forgery (CSRF) vulnerability in wpcoachify Coachify coachify allows Cross Site Request Forgery.This issue affects Coachify: from n/a through &lt;= 1.1.5.</t>
        </is>
      </c>
      <c r="D203" t="n">
        <v>5.4</v>
      </c>
      <c r="E203" t="inlineStr">
        <is>
          <t>MEDIUM</t>
        </is>
      </c>
      <c r="F203" t="n">
        <v>2</v>
      </c>
      <c r="G203" t="n">
        <v>2</v>
      </c>
      <c r="H203" t="inlineStr">
        <is>
          <t>MEDIUM</t>
        </is>
      </c>
      <c r="I203" t="n">
        <v>9.4</v>
      </c>
      <c r="J203" t="inlineStr">
        <is>
          <t>NO</t>
        </is>
      </c>
      <c r="K203" t="inlineStr">
        <is>
          <t>2026-02-26 00:15</t>
        </is>
      </c>
      <c r="L203" t="inlineStr">
        <is>
          <t>CHECK_VENDOR</t>
        </is>
      </c>
      <c r="M203" t="inlineStr">
        <is>
          <t>See CVE details</t>
        </is>
      </c>
      <c r="N203" t="inlineStr">
        <is>
          <t>P4</t>
        </is>
      </c>
      <c r="O203" t="inlineStr">
        <is>
          <t>CVE - IP enrichment n/a</t>
        </is>
      </c>
      <c r="P203" t="n">
        <v>0</v>
      </c>
      <c r="Q203" t="n">
        <v>0</v>
      </c>
      <c r="R203" t="inlineStr">
        <is>
          <t>T1185:Browser Session Hijacking</t>
        </is>
      </c>
      <c r="S203" t="n">
        <v>1</v>
      </c>
      <c r="T203" t="inlineStr">
        <is>
          <t>LOW (40%)</t>
        </is>
      </c>
      <c r="U203" t="inlineStr">
        <is>
          <t>UNLIKELY</t>
        </is>
      </c>
      <c r="V203" t="inlineStr">
        <is>
          <t>CHECK_VENDOR</t>
        </is>
      </c>
      <c r="W203" t="inlineStr">
        <is>
          <t>https://nvd.nist.gov/vuln/detail/CVE-2026-25337</t>
        </is>
      </c>
      <c r="X203" t="inlineStr">
        <is>
          <t>NONE</t>
        </is>
      </c>
      <c r="Y203" t="n">
        <v>0</v>
      </c>
      <c r="Z203" t="inlineStr"/>
      <c r="AA203" t="inlineStr">
        <is>
          <t>https://nvd.nist.gov/vuln/detail/CVE-2026-25337</t>
        </is>
      </c>
    </row>
    <row r="204">
      <c r="A204" t="inlineStr">
        <is>
          <t>CVE</t>
        </is>
      </c>
      <c r="B204" t="inlineStr">
        <is>
          <t>CVE-2026-25338</t>
        </is>
      </c>
      <c r="C204" t="inlineStr">
        <is>
          <t>Missing Authorization vulnerability in Ays Pro AI ChatBot with ChatGPT and Content Generator by AYS ays-chatgpt-assistant allows Exploiting Incorrectly Configured Access Control Security Levels.This issue affects AI ChatBot with ChatGPT and Content Generator by AYS: from n/a through &lt;= 2.7.4.</t>
        </is>
      </c>
      <c r="D204" t="n">
        <v>5.3</v>
      </c>
      <c r="E204" t="inlineStr">
        <is>
          <t>MEDIUM</t>
        </is>
      </c>
      <c r="F204" t="n">
        <v>2</v>
      </c>
      <c r="G204" t="n">
        <v>2</v>
      </c>
      <c r="H204" t="inlineStr">
        <is>
          <t>MEDIUM</t>
        </is>
      </c>
      <c r="I204" t="n">
        <v>9.300000000000001</v>
      </c>
      <c r="J204" t="inlineStr">
        <is>
          <t>NO</t>
        </is>
      </c>
      <c r="K204" t="inlineStr">
        <is>
          <t>2026-02-26 00:15</t>
        </is>
      </c>
      <c r="L204" t="inlineStr">
        <is>
          <t>CHECK_VENDOR</t>
        </is>
      </c>
      <c r="M204" t="inlineStr">
        <is>
          <t>See CVE details</t>
        </is>
      </c>
      <c r="N204" t="inlineStr">
        <is>
          <t>P4</t>
        </is>
      </c>
      <c r="O204" t="inlineStr">
        <is>
          <t>CVE - IP enrichment n/a</t>
        </is>
      </c>
      <c r="P204" t="n">
        <v>0.0004</v>
      </c>
      <c r="Q204" t="n">
        <v>0.1078</v>
      </c>
      <c r="R204" t="inlineStr">
        <is>
          <t>T1190:Exploit Public-Facing Application</t>
        </is>
      </c>
      <c r="S204" t="n">
        <v>1</v>
      </c>
      <c r="T204" t="inlineStr">
        <is>
          <t>LOW (40%)</t>
        </is>
      </c>
      <c r="U204" t="inlineStr">
        <is>
          <t>UNLIKELY</t>
        </is>
      </c>
      <c r="V204" t="inlineStr">
        <is>
          <t>CHECK_VENDOR</t>
        </is>
      </c>
      <c r="W204" t="inlineStr">
        <is>
          <t>https://nvd.nist.gov/vuln/detail/CVE-2026-25338</t>
        </is>
      </c>
      <c r="X204" t="inlineStr">
        <is>
          <t>NONE</t>
        </is>
      </c>
      <c r="Y204" t="n">
        <v>0</v>
      </c>
      <c r="Z204" t="inlineStr"/>
      <c r="AA204" t="inlineStr">
        <is>
          <t>https://nvd.nist.gov/vuln/detail/CVE-2026-25338</t>
        </is>
      </c>
    </row>
    <row r="205">
      <c r="A205" t="inlineStr">
        <is>
          <t>CVE</t>
        </is>
      </c>
      <c r="B205" t="inlineStr">
        <is>
          <t>CVE-2026-25343</t>
        </is>
      </c>
      <c r="C205" t="inlineStr">
        <is>
          <t>Improper Neutralization of Input During Web Page Generation ('Cross-site Scripting') vulnerability in VeronaLabs WP SMS wp-sms allows DOM-Based XSS.This issue affects WP SMS: from n/a through &lt;= 7.1.</t>
        </is>
      </c>
      <c r="D205" t="n">
        <v>5.9</v>
      </c>
      <c r="E205" t="inlineStr">
        <is>
          <t>MEDIUM</t>
        </is>
      </c>
      <c r="F205" t="n">
        <v>2</v>
      </c>
      <c r="G205" t="n">
        <v>2</v>
      </c>
      <c r="H205" t="inlineStr">
        <is>
          <t>MEDIUM</t>
        </is>
      </c>
      <c r="I205" t="n">
        <v>9.9</v>
      </c>
      <c r="J205" t="inlineStr">
        <is>
          <t>NO</t>
        </is>
      </c>
      <c r="K205" t="inlineStr">
        <is>
          <t>2026-02-26 00:15</t>
        </is>
      </c>
      <c r="L205" t="inlineStr">
        <is>
          <t>CHECK_VENDOR</t>
        </is>
      </c>
      <c r="M205" t="inlineStr">
        <is>
          <t>See CVE details</t>
        </is>
      </c>
      <c r="N205" t="inlineStr">
        <is>
          <t>P4</t>
        </is>
      </c>
      <c r="O205" t="inlineStr">
        <is>
          <t>CVE - IP enrichment n/a</t>
        </is>
      </c>
      <c r="P205" t="n">
        <v>0</v>
      </c>
      <c r="Q205" t="n">
        <v>0</v>
      </c>
      <c r="R205" t="inlineStr">
        <is>
          <t>T1189:Drive-by Compromise</t>
        </is>
      </c>
      <c r="S205" t="n">
        <v>1</v>
      </c>
      <c r="T205" t="inlineStr">
        <is>
          <t>LOW (40%)</t>
        </is>
      </c>
      <c r="U205" t="inlineStr">
        <is>
          <t>UNLIKELY</t>
        </is>
      </c>
      <c r="V205" t="inlineStr">
        <is>
          <t>CHECK_VENDOR</t>
        </is>
      </c>
      <c r="W205" t="inlineStr">
        <is>
          <t>https://nvd.nist.gov/vuln/detail/CVE-2026-25343</t>
        </is>
      </c>
      <c r="X205" t="inlineStr">
        <is>
          <t>NONE</t>
        </is>
      </c>
      <c r="Y205" t="n">
        <v>0</v>
      </c>
      <c r="Z205" t="inlineStr"/>
      <c r="AA205" t="inlineStr">
        <is>
          <t>https://nvd.nist.gov/vuln/detail/CVE-2026-25343</t>
        </is>
      </c>
    </row>
    <row r="206">
      <c r="A206" t="inlineStr">
        <is>
          <t>CVE</t>
        </is>
      </c>
      <c r="B206" t="inlineStr">
        <is>
          <t>CVE-2026-25348</t>
        </is>
      </c>
      <c r="C206" t="inlineStr">
        <is>
          <t>Missing Authorization vulnerability in alttextai Download Alt Text AI alttext-ai allows Exploiting Incorrectly Configured Access Control Security Levels.This issue affects Download Alt Text AI: from n/a through &lt;= 1.10.15.</t>
        </is>
      </c>
      <c r="D206" t="n">
        <v>5.3</v>
      </c>
      <c r="E206" t="inlineStr">
        <is>
          <t>MEDIUM</t>
        </is>
      </c>
      <c r="F206" t="n">
        <v>2</v>
      </c>
      <c r="G206" t="n">
        <v>2</v>
      </c>
      <c r="H206" t="inlineStr">
        <is>
          <t>MEDIUM</t>
        </is>
      </c>
      <c r="I206" t="n">
        <v>9.300000000000001</v>
      </c>
      <c r="J206" t="inlineStr">
        <is>
          <t>NO</t>
        </is>
      </c>
      <c r="K206" t="inlineStr">
        <is>
          <t>2026-02-26 00:15</t>
        </is>
      </c>
      <c r="L206" t="inlineStr">
        <is>
          <t>CHECK_VENDOR</t>
        </is>
      </c>
      <c r="M206" t="inlineStr">
        <is>
          <t>See CVE details</t>
        </is>
      </c>
      <c r="N206" t="inlineStr">
        <is>
          <t>P4</t>
        </is>
      </c>
      <c r="O206" t="inlineStr">
        <is>
          <t>CVE - IP enrichment n/a</t>
        </is>
      </c>
      <c r="P206" t="n">
        <v>0</v>
      </c>
      <c r="Q206" t="n">
        <v>0</v>
      </c>
      <c r="R206" t="inlineStr">
        <is>
          <t>T1190:Exploit Public-Facing Application</t>
        </is>
      </c>
      <c r="S206" t="n">
        <v>1</v>
      </c>
      <c r="T206" t="inlineStr">
        <is>
          <t>LOW (40%)</t>
        </is>
      </c>
      <c r="U206" t="inlineStr">
        <is>
          <t>UNLIKELY</t>
        </is>
      </c>
      <c r="V206" t="inlineStr">
        <is>
          <t>CHECK_VENDOR</t>
        </is>
      </c>
      <c r="W206" t="inlineStr">
        <is>
          <t>https://nvd.nist.gov/vuln/detail/CVE-2026-25348</t>
        </is>
      </c>
      <c r="X206" t="inlineStr">
        <is>
          <t>NONE</t>
        </is>
      </c>
      <c r="Y206" t="n">
        <v>0</v>
      </c>
      <c r="Z206" t="inlineStr"/>
      <c r="AA206" t="inlineStr">
        <is>
          <t>https://nvd.nist.gov/vuln/detail/CVE-2026-25348</t>
        </is>
      </c>
    </row>
    <row r="207">
      <c r="A207" t="inlineStr">
        <is>
          <t>CVE</t>
        </is>
      </c>
      <c r="B207" t="inlineStr">
        <is>
          <t>CVE-2026-25362</t>
        </is>
      </c>
      <c r="C207" t="inlineStr">
        <is>
          <t>Improper Neutralization of Input During Web Page Generation ('Cross-site Scripting') vulnerability in FooPlugins FooGallery foogallery allows Stored XSS.This issue affects FooGallery: from n/a through &lt;= 3.1.11.</t>
        </is>
      </c>
      <c r="D207" t="n">
        <v>5.9</v>
      </c>
      <c r="E207" t="inlineStr">
        <is>
          <t>MEDIUM</t>
        </is>
      </c>
      <c r="F207" t="n">
        <v>2</v>
      </c>
      <c r="G207" t="n">
        <v>2</v>
      </c>
      <c r="H207" t="inlineStr">
        <is>
          <t>MEDIUM</t>
        </is>
      </c>
      <c r="I207" t="n">
        <v>9.9</v>
      </c>
      <c r="J207" t="inlineStr">
        <is>
          <t>NO</t>
        </is>
      </c>
      <c r="K207" t="inlineStr">
        <is>
          <t>2026-02-26 00:15</t>
        </is>
      </c>
      <c r="L207" t="inlineStr">
        <is>
          <t>CHECK_VENDOR</t>
        </is>
      </c>
      <c r="M207" t="inlineStr">
        <is>
          <t>See CVE details</t>
        </is>
      </c>
      <c r="N207" t="inlineStr">
        <is>
          <t>P4</t>
        </is>
      </c>
      <c r="O207" t="inlineStr">
        <is>
          <t>CVE - IP enrichment n/a</t>
        </is>
      </c>
      <c r="P207" t="n">
        <v>0</v>
      </c>
      <c r="Q207" t="n">
        <v>0</v>
      </c>
      <c r="R207" t="inlineStr">
        <is>
          <t>T1189:Drive-by Compromise</t>
        </is>
      </c>
      <c r="S207" t="n">
        <v>1</v>
      </c>
      <c r="T207" t="inlineStr">
        <is>
          <t>LOW (40%)</t>
        </is>
      </c>
      <c r="U207" t="inlineStr">
        <is>
          <t>UNLIKELY</t>
        </is>
      </c>
      <c r="V207" t="inlineStr">
        <is>
          <t>CHECK_VENDOR</t>
        </is>
      </c>
      <c r="W207" t="inlineStr">
        <is>
          <t>https://nvd.nist.gov/vuln/detail/CVE-2026-25362</t>
        </is>
      </c>
      <c r="X207" t="inlineStr">
        <is>
          <t>NONE</t>
        </is>
      </c>
      <c r="Y207" t="n">
        <v>0</v>
      </c>
      <c r="Z207" t="inlineStr"/>
      <c r="AA207" t="inlineStr">
        <is>
          <t>https://nvd.nist.gov/vuln/detail/CVE-2026-25362</t>
        </is>
      </c>
    </row>
    <row r="208">
      <c r="A208" t="inlineStr">
        <is>
          <t>CVE</t>
        </is>
      </c>
      <c r="B208" t="inlineStr">
        <is>
          <t>CVE-2026-25363</t>
        </is>
      </c>
      <c r="C208" t="inlineStr">
        <is>
          <t>Missing Authorization vulnerability in FooPlugins FooGallery foogallery allows Exploiting Incorrectly Configured Access Control Security Levels.This issue affects FooGallery: from n/a through &lt;= 3.1.11.</t>
        </is>
      </c>
      <c r="D208" t="n">
        <v>5</v>
      </c>
      <c r="E208" t="inlineStr">
        <is>
          <t>MEDIUM</t>
        </is>
      </c>
      <c r="F208" t="n">
        <v>2</v>
      </c>
      <c r="G208" t="n">
        <v>2</v>
      </c>
      <c r="H208" t="inlineStr">
        <is>
          <t>MEDIUM</t>
        </is>
      </c>
      <c r="I208" t="n">
        <v>9</v>
      </c>
      <c r="J208" t="inlineStr">
        <is>
          <t>NO</t>
        </is>
      </c>
      <c r="K208" t="inlineStr">
        <is>
          <t>2026-02-26 00:15</t>
        </is>
      </c>
      <c r="L208" t="inlineStr">
        <is>
          <t>CHECK_VENDOR</t>
        </is>
      </c>
      <c r="M208" t="inlineStr">
        <is>
          <t>See CVE details</t>
        </is>
      </c>
      <c r="N208" t="inlineStr">
        <is>
          <t>P4</t>
        </is>
      </c>
      <c r="O208" t="inlineStr">
        <is>
          <t>CVE - IP enrichment n/a</t>
        </is>
      </c>
      <c r="P208" t="n">
        <v>0</v>
      </c>
      <c r="Q208" t="n">
        <v>0</v>
      </c>
      <c r="R208" t="inlineStr">
        <is>
          <t>T1190:Exploit Public-Facing Application</t>
        </is>
      </c>
      <c r="S208" t="n">
        <v>1</v>
      </c>
      <c r="T208" t="inlineStr">
        <is>
          <t>LOW (40%)</t>
        </is>
      </c>
      <c r="U208" t="inlineStr">
        <is>
          <t>UNLIKELY</t>
        </is>
      </c>
      <c r="V208" t="inlineStr">
        <is>
          <t>CHECK_VENDOR</t>
        </is>
      </c>
      <c r="W208" t="inlineStr">
        <is>
          <t>https://nvd.nist.gov/vuln/detail/CVE-2026-25363</t>
        </is>
      </c>
      <c r="X208" t="inlineStr">
        <is>
          <t>NONE</t>
        </is>
      </c>
      <c r="Y208" t="n">
        <v>0</v>
      </c>
      <c r="Z208" t="inlineStr"/>
      <c r="AA208" t="inlineStr">
        <is>
          <t>https://nvd.nist.gov/vuln/detail/CVE-2026-25363</t>
        </is>
      </c>
    </row>
    <row r="209">
      <c r="A209" t="inlineStr">
        <is>
          <t>CVE</t>
        </is>
      </c>
      <c r="B209" t="inlineStr">
        <is>
          <t>CVE-2026-25364</t>
        </is>
      </c>
      <c r="C209" t="inlineStr">
        <is>
          <t>Missing Authorization vulnerability in BoldGrid Client Invoicing by Sprout Invoices sprout-invoices allows Exploiting Incorrectly Configured Access Control Security Levels.This issue affects Client Invoicing by Sprout Invoices: from n/a through &lt;= 20.8.8.</t>
        </is>
      </c>
      <c r="D209" t="n">
        <v>5.3</v>
      </c>
      <c r="E209" t="inlineStr">
        <is>
          <t>MEDIUM</t>
        </is>
      </c>
      <c r="F209" t="n">
        <v>2</v>
      </c>
      <c r="G209" t="n">
        <v>2</v>
      </c>
      <c r="H209" t="inlineStr">
        <is>
          <t>MEDIUM</t>
        </is>
      </c>
      <c r="I209" t="n">
        <v>9.300000000000001</v>
      </c>
      <c r="J209" t="inlineStr">
        <is>
          <t>NO</t>
        </is>
      </c>
      <c r="K209" t="inlineStr">
        <is>
          <t>2026-02-26 00:15</t>
        </is>
      </c>
      <c r="L209" t="inlineStr">
        <is>
          <t>CHECK_VENDOR</t>
        </is>
      </c>
      <c r="M209" t="inlineStr">
        <is>
          <t>See CVE details</t>
        </is>
      </c>
      <c r="N209" t="inlineStr">
        <is>
          <t>P4</t>
        </is>
      </c>
      <c r="O209" t="inlineStr">
        <is>
          <t>CVE - IP enrichment n/a</t>
        </is>
      </c>
      <c r="P209" t="n">
        <v>0</v>
      </c>
      <c r="Q209" t="n">
        <v>0</v>
      </c>
      <c r="R209" t="inlineStr">
        <is>
          <t>T1190:Exploit Public-Facing Application</t>
        </is>
      </c>
      <c r="S209" t="n">
        <v>1</v>
      </c>
      <c r="T209" t="inlineStr">
        <is>
          <t>LOW (40%)</t>
        </is>
      </c>
      <c r="U209" t="inlineStr">
        <is>
          <t>UNLIKELY</t>
        </is>
      </c>
      <c r="V209" t="inlineStr">
        <is>
          <t>CHECK_VENDOR</t>
        </is>
      </c>
      <c r="W209" t="inlineStr">
        <is>
          <t>https://nvd.nist.gov/vuln/detail/CVE-2026-25364</t>
        </is>
      </c>
      <c r="X209" t="inlineStr">
        <is>
          <t>NONE</t>
        </is>
      </c>
      <c r="Y209" t="n">
        <v>0</v>
      </c>
      <c r="Z209" t="inlineStr"/>
      <c r="AA209" t="inlineStr">
        <is>
          <t>https://nvd.nist.gov/vuln/detail/CVE-2026-25364</t>
        </is>
      </c>
    </row>
    <row r="210">
      <c r="A210" t="inlineStr">
        <is>
          <t>CVE</t>
        </is>
      </c>
      <c r="B210" t="inlineStr">
        <is>
          <t>CVE-2026-25367</t>
        </is>
      </c>
      <c r="C210" t="inlineStr">
        <is>
          <t>Missing Authorization vulnerability in NooTheme CitiLights noo-citilights allows Exploiting Incorrectly Configured Access Control Security Levels.This issue affects CitiLights: from n/a through &lt; 3.7.2.</t>
        </is>
      </c>
      <c r="D210" t="n">
        <v>5.3</v>
      </c>
      <c r="E210" t="inlineStr">
        <is>
          <t>MEDIUM</t>
        </is>
      </c>
      <c r="F210" t="n">
        <v>2</v>
      </c>
      <c r="G210" t="n">
        <v>2</v>
      </c>
      <c r="H210" t="inlineStr">
        <is>
          <t>MEDIUM</t>
        </is>
      </c>
      <c r="I210" t="n">
        <v>9.300000000000001</v>
      </c>
      <c r="J210" t="inlineStr">
        <is>
          <t>NO</t>
        </is>
      </c>
      <c r="K210" t="inlineStr">
        <is>
          <t>2026-02-26 00:15</t>
        </is>
      </c>
      <c r="L210" t="inlineStr">
        <is>
          <t>CHECK_VENDOR</t>
        </is>
      </c>
      <c r="M210" t="inlineStr">
        <is>
          <t>See CVE details</t>
        </is>
      </c>
      <c r="N210" t="inlineStr">
        <is>
          <t>P4</t>
        </is>
      </c>
      <c r="O210" t="inlineStr">
        <is>
          <t>CVE - IP enrichment n/a</t>
        </is>
      </c>
      <c r="P210" t="n">
        <v>0</v>
      </c>
      <c r="Q210" t="n">
        <v>0</v>
      </c>
      <c r="R210" t="inlineStr">
        <is>
          <t>T1190:Exploit Public-Facing Application</t>
        </is>
      </c>
      <c r="S210" t="n">
        <v>1</v>
      </c>
      <c r="T210" t="inlineStr">
        <is>
          <t>LOW (40%)</t>
        </is>
      </c>
      <c r="U210" t="inlineStr">
        <is>
          <t>UNLIKELY</t>
        </is>
      </c>
      <c r="V210" t="inlineStr">
        <is>
          <t>CHECK_VENDOR</t>
        </is>
      </c>
      <c r="W210" t="inlineStr">
        <is>
          <t>https://nvd.nist.gov/vuln/detail/CVE-2026-25367</t>
        </is>
      </c>
      <c r="X210" t="inlineStr">
        <is>
          <t>NONE</t>
        </is>
      </c>
      <c r="Y210" t="n">
        <v>0</v>
      </c>
      <c r="Z210" t="inlineStr"/>
      <c r="AA210" t="inlineStr">
        <is>
          <t>https://nvd.nist.gov/vuln/detail/CVE-2026-25367</t>
        </is>
      </c>
    </row>
    <row r="211">
      <c r="A211" t="inlineStr">
        <is>
          <t>CVE</t>
        </is>
      </c>
      <c r="B211" t="inlineStr">
        <is>
          <t>CVE-2026-25368</t>
        </is>
      </c>
      <c r="C211" t="inlineStr">
        <is>
          <t>Missing Authorization vulnerability in codepeople Calculated Fields Form calculated-fields-form allows Exploiting Incorrectly Configured Access Control Security Levels.This issue affects Calculated Fields Form: from n/a through &lt;= 5.4.4.1.</t>
        </is>
      </c>
      <c r="D211" t="n">
        <v>6.5</v>
      </c>
      <c r="E211" t="inlineStr">
        <is>
          <t>MEDIUM</t>
        </is>
      </c>
      <c r="F211" t="n">
        <v>2</v>
      </c>
      <c r="G211" t="n">
        <v>2</v>
      </c>
      <c r="H211" t="inlineStr">
        <is>
          <t>MEDIUM</t>
        </is>
      </c>
      <c r="I211" t="n">
        <v>10.5</v>
      </c>
      <c r="J211" t="inlineStr">
        <is>
          <t>NO</t>
        </is>
      </c>
      <c r="K211" t="inlineStr">
        <is>
          <t>2026-02-26 00:15</t>
        </is>
      </c>
      <c r="L211" t="inlineStr">
        <is>
          <t>CHECK_VENDOR</t>
        </is>
      </c>
      <c r="M211" t="inlineStr">
        <is>
          <t>See CVE details</t>
        </is>
      </c>
      <c r="N211" t="inlineStr">
        <is>
          <t>P4</t>
        </is>
      </c>
      <c r="O211" t="inlineStr">
        <is>
          <t>CVE - IP enrichment n/a</t>
        </is>
      </c>
      <c r="P211" t="n">
        <v>0.0003</v>
      </c>
      <c r="Q211" t="n">
        <v>0.0887</v>
      </c>
      <c r="R211" t="inlineStr">
        <is>
          <t>T1190:Exploit Public-Facing Application</t>
        </is>
      </c>
      <c r="S211" t="n">
        <v>1</v>
      </c>
      <c r="T211" t="inlineStr">
        <is>
          <t>LOW (40%)</t>
        </is>
      </c>
      <c r="U211" t="inlineStr">
        <is>
          <t>UNLIKELY</t>
        </is>
      </c>
      <c r="V211" t="inlineStr">
        <is>
          <t>CHECK_VENDOR</t>
        </is>
      </c>
      <c r="W211" t="inlineStr">
        <is>
          <t>https://nvd.nist.gov/vuln/detail/CVE-2026-25368</t>
        </is>
      </c>
      <c r="X211" t="inlineStr">
        <is>
          <t>NONE</t>
        </is>
      </c>
      <c r="Y211" t="n">
        <v>0</v>
      </c>
      <c r="Z211" t="inlineStr"/>
      <c r="AA211" t="inlineStr">
        <is>
          <t>https://nvd.nist.gov/vuln/detail/CVE-2026-25368</t>
        </is>
      </c>
    </row>
    <row r="212">
      <c r="A212" t="inlineStr">
        <is>
          <t>CVE</t>
        </is>
      </c>
      <c r="B212" t="inlineStr">
        <is>
          <t>CVE-2026-25370</t>
        </is>
      </c>
      <c r="C212" t="inlineStr">
        <is>
          <t>Missing Authorization vulnerability in AresIT WP Compress wp-compress-image-optimizer allows Exploiting Incorrectly Configured Access Control Security Levels.This issue affects WP Compress: from n/a through &lt;= 6.60.28.</t>
        </is>
      </c>
      <c r="D212" t="n">
        <v>5</v>
      </c>
      <c r="E212" t="inlineStr">
        <is>
          <t>MEDIUM</t>
        </is>
      </c>
      <c r="F212" t="n">
        <v>2</v>
      </c>
      <c r="G212" t="n">
        <v>2</v>
      </c>
      <c r="H212" t="inlineStr">
        <is>
          <t>MEDIUM</t>
        </is>
      </c>
      <c r="I212" t="n">
        <v>9</v>
      </c>
      <c r="J212" t="inlineStr">
        <is>
          <t>NO</t>
        </is>
      </c>
      <c r="K212" t="inlineStr">
        <is>
          <t>2026-02-26 00:15</t>
        </is>
      </c>
      <c r="L212" t="inlineStr">
        <is>
          <t>CHECK_VENDOR</t>
        </is>
      </c>
      <c r="M212" t="inlineStr">
        <is>
          <t>See CVE details</t>
        </is>
      </c>
      <c r="N212" t="inlineStr">
        <is>
          <t>P4</t>
        </is>
      </c>
      <c r="O212" t="inlineStr">
        <is>
          <t>CVE - IP enrichment n/a</t>
        </is>
      </c>
      <c r="P212" t="n">
        <v>0</v>
      </c>
      <c r="Q212" t="n">
        <v>0</v>
      </c>
      <c r="R212" t="inlineStr">
        <is>
          <t>T1190:Exploit Public-Facing Application</t>
        </is>
      </c>
      <c r="S212" t="n">
        <v>1</v>
      </c>
      <c r="T212" t="inlineStr">
        <is>
          <t>LOW (40%)</t>
        </is>
      </c>
      <c r="U212" t="inlineStr">
        <is>
          <t>UNLIKELY</t>
        </is>
      </c>
      <c r="V212" t="inlineStr">
        <is>
          <t>CHECK_VENDOR</t>
        </is>
      </c>
      <c r="W212" t="inlineStr">
        <is>
          <t>https://nvd.nist.gov/vuln/detail/CVE-2026-25370</t>
        </is>
      </c>
      <c r="X212" t="inlineStr">
        <is>
          <t>NONE</t>
        </is>
      </c>
      <c r="Y212" t="n">
        <v>0</v>
      </c>
      <c r="Z212" t="inlineStr"/>
      <c r="AA212" t="inlineStr">
        <is>
          <t>https://nvd.nist.gov/vuln/detail/CVE-2026-25370</t>
        </is>
      </c>
    </row>
    <row r="213">
      <c r="A213" t="inlineStr">
        <is>
          <t>CVE</t>
        </is>
      </c>
      <c r="B213" t="inlineStr">
        <is>
          <t>CVE-2026-25372</t>
        </is>
      </c>
      <c r="C213" t="inlineStr">
        <is>
          <t>Missing Authorization vulnerability in Kodezen LLC Academy LMS academy allows Exploiting Incorrectly Configured Access Control Security Levels.This issue affects Academy LMS: from n/a through &lt;= 3.5.3.</t>
        </is>
      </c>
      <c r="D213" t="n">
        <v>6.5</v>
      </c>
      <c r="E213" t="inlineStr">
        <is>
          <t>MEDIUM</t>
        </is>
      </c>
      <c r="F213" t="n">
        <v>2</v>
      </c>
      <c r="G213" t="n">
        <v>2</v>
      </c>
      <c r="H213" t="inlineStr">
        <is>
          <t>MEDIUM</t>
        </is>
      </c>
      <c r="I213" t="n">
        <v>10.5</v>
      </c>
      <c r="J213" t="inlineStr">
        <is>
          <t>NO</t>
        </is>
      </c>
      <c r="K213" t="inlineStr">
        <is>
          <t>2026-02-26 00:15</t>
        </is>
      </c>
      <c r="L213" t="inlineStr">
        <is>
          <t>CHECK_VENDOR</t>
        </is>
      </c>
      <c r="M213" t="inlineStr">
        <is>
          <t>See CVE details</t>
        </is>
      </c>
      <c r="N213" t="inlineStr">
        <is>
          <t>P4</t>
        </is>
      </c>
      <c r="O213" t="inlineStr">
        <is>
          <t>CVE - IP enrichment n/a</t>
        </is>
      </c>
      <c r="P213" t="n">
        <v>0</v>
      </c>
      <c r="Q213" t="n">
        <v>0</v>
      </c>
      <c r="R213" t="inlineStr">
        <is>
          <t>T1190:Exploit Public-Facing Application</t>
        </is>
      </c>
      <c r="S213" t="n">
        <v>1</v>
      </c>
      <c r="T213" t="inlineStr">
        <is>
          <t>LOW (40%)</t>
        </is>
      </c>
      <c r="U213" t="inlineStr">
        <is>
          <t>UNLIKELY</t>
        </is>
      </c>
      <c r="V213" t="inlineStr">
        <is>
          <t>CHECK_VENDOR</t>
        </is>
      </c>
      <c r="W213" t="inlineStr">
        <is>
          <t>https://nvd.nist.gov/vuln/detail/CVE-2026-25372</t>
        </is>
      </c>
      <c r="X213" t="inlineStr">
        <is>
          <t>NONE</t>
        </is>
      </c>
      <c r="Y213" t="n">
        <v>0</v>
      </c>
      <c r="Z213" t="inlineStr"/>
      <c r="AA213" t="inlineStr">
        <is>
          <t>https://nvd.nist.gov/vuln/detail/CVE-2026-25372</t>
        </is>
      </c>
    </row>
    <row r="214">
      <c r="A214" t="inlineStr">
        <is>
          <t>CVE</t>
        </is>
      </c>
      <c r="B214" t="inlineStr">
        <is>
          <t>CVE-2026-25374</t>
        </is>
      </c>
      <c r="C214" t="inlineStr">
        <is>
          <t>Missing Authorization vulnerability in raratheme Spa and Salon spa-and-salon allows Exploiting Incorrectly Configured Access Control Security Levels.This issue affects Spa and Salon: from n/a through &lt;= 1.3.2.</t>
        </is>
      </c>
      <c r="D214" t="n">
        <v>5.3</v>
      </c>
      <c r="E214" t="inlineStr">
        <is>
          <t>MEDIUM</t>
        </is>
      </c>
      <c r="F214" t="n">
        <v>2</v>
      </c>
      <c r="G214" t="n">
        <v>2</v>
      </c>
      <c r="H214" t="inlineStr">
        <is>
          <t>MEDIUM</t>
        </is>
      </c>
      <c r="I214" t="n">
        <v>9.300000000000001</v>
      </c>
      <c r="J214" t="inlineStr">
        <is>
          <t>NO</t>
        </is>
      </c>
      <c r="K214" t="inlineStr">
        <is>
          <t>2026-02-26 00:15</t>
        </is>
      </c>
      <c r="L214" t="inlineStr">
        <is>
          <t>CHECK_VENDOR</t>
        </is>
      </c>
      <c r="M214" t="inlineStr">
        <is>
          <t>See CVE details</t>
        </is>
      </c>
      <c r="N214" t="inlineStr">
        <is>
          <t>P4</t>
        </is>
      </c>
      <c r="O214" t="inlineStr">
        <is>
          <t>CVE - IP enrichment n/a</t>
        </is>
      </c>
      <c r="P214" t="n">
        <v>0</v>
      </c>
      <c r="Q214" t="n">
        <v>0</v>
      </c>
      <c r="R214" t="inlineStr">
        <is>
          <t>T1190:Exploit Public-Facing Application</t>
        </is>
      </c>
      <c r="S214" t="n">
        <v>1</v>
      </c>
      <c r="T214" t="inlineStr">
        <is>
          <t>LOW (40%)</t>
        </is>
      </c>
      <c r="U214" t="inlineStr">
        <is>
          <t>UNLIKELY</t>
        </is>
      </c>
      <c r="V214" t="inlineStr">
        <is>
          <t>CHECK_VENDOR</t>
        </is>
      </c>
      <c r="W214" t="inlineStr">
        <is>
          <t>https://nvd.nist.gov/vuln/detail/CVE-2026-25374</t>
        </is>
      </c>
      <c r="X214" t="inlineStr">
        <is>
          <t>NONE</t>
        </is>
      </c>
      <c r="Y214" t="n">
        <v>0</v>
      </c>
      <c r="Z214" t="inlineStr"/>
      <c r="AA214" t="inlineStr">
        <is>
          <t>https://nvd.nist.gov/vuln/detail/CVE-2026-25374</t>
        </is>
      </c>
    </row>
    <row r="215">
      <c r="A215" t="inlineStr">
        <is>
          <t>CVE</t>
        </is>
      </c>
      <c r="B215" t="inlineStr">
        <is>
          <t>CVE-2026-25375</t>
        </is>
      </c>
      <c r="C215" t="inlineStr">
        <is>
          <t>Missing Authorization vulnerability in WP Chill Image Photo Gallery Final Tiles Grid final-tiles-grid-gallery-lite allows Exploiting Incorrectly Configured Access Control Security Levels.This issue affects Image Photo Gallery Final Tiles Grid: from n/a through &lt;= 3.6.10.</t>
        </is>
      </c>
      <c r="D215" t="n">
        <v>4.3</v>
      </c>
      <c r="E215" t="inlineStr">
        <is>
          <t>MEDIUM</t>
        </is>
      </c>
      <c r="F215" t="n">
        <v>2</v>
      </c>
      <c r="G215" t="n">
        <v>2</v>
      </c>
      <c r="H215" t="inlineStr">
        <is>
          <t>MEDIUM</t>
        </is>
      </c>
      <c r="I215" t="n">
        <v>8.300000000000001</v>
      </c>
      <c r="J215" t="inlineStr">
        <is>
          <t>NO</t>
        </is>
      </c>
      <c r="K215" t="inlineStr">
        <is>
          <t>2026-02-26 00:15</t>
        </is>
      </c>
      <c r="L215" t="inlineStr">
        <is>
          <t>CHECK_VENDOR</t>
        </is>
      </c>
      <c r="M215" t="inlineStr">
        <is>
          <t>See CVE details</t>
        </is>
      </c>
      <c r="N215" t="inlineStr">
        <is>
          <t>P4</t>
        </is>
      </c>
      <c r="O215" t="inlineStr">
        <is>
          <t>CVE - IP enrichment n/a</t>
        </is>
      </c>
      <c r="P215" t="n">
        <v>0</v>
      </c>
      <c r="Q215" t="n">
        <v>0</v>
      </c>
      <c r="R215" t="inlineStr">
        <is>
          <t>T1190:Exploit Public-Facing Application</t>
        </is>
      </c>
      <c r="S215" t="n">
        <v>1</v>
      </c>
      <c r="T215" t="inlineStr">
        <is>
          <t>LOW (40%)</t>
        </is>
      </c>
      <c r="U215" t="inlineStr">
        <is>
          <t>UNLIKELY</t>
        </is>
      </c>
      <c r="V215" t="inlineStr">
        <is>
          <t>CHECK_VENDOR</t>
        </is>
      </c>
      <c r="W215" t="inlineStr">
        <is>
          <t>https://nvd.nist.gov/vuln/detail/CVE-2026-25375</t>
        </is>
      </c>
      <c r="X215" t="inlineStr">
        <is>
          <t>NONE</t>
        </is>
      </c>
      <c r="Y215" t="n">
        <v>0</v>
      </c>
      <c r="Z215" t="inlineStr"/>
      <c r="AA215" t="inlineStr">
        <is>
          <t>https://nvd.nist.gov/vuln/detail/CVE-2026-25375</t>
        </is>
      </c>
    </row>
    <row r="216">
      <c r="A216" t="inlineStr">
        <is>
          <t>CVE</t>
        </is>
      </c>
      <c r="B216" t="inlineStr">
        <is>
          <t>CVE-2026-25378</t>
        </is>
      </c>
      <c r="C216" t="inlineStr">
        <is>
          <t>Improper Neutralization of Special Elements used in an SQL Command ('SQL Injection') vulnerability in Nelio Software Nelio AB Testing nelio-ab-testing allows Blind SQL Injection.This issue affects Nelio AB Testing: from n/a through &lt;= 8.2.4.</t>
        </is>
      </c>
      <c r="D216" t="n">
        <v>7.6</v>
      </c>
      <c r="E216" t="inlineStr">
        <is>
          <t>HIGH</t>
        </is>
      </c>
      <c r="F216" t="n">
        <v>2</v>
      </c>
      <c r="G216" t="n">
        <v>3</v>
      </c>
      <c r="H216" t="inlineStr">
        <is>
          <t>HIGH</t>
        </is>
      </c>
      <c r="I216" t="n">
        <v>13.6</v>
      </c>
      <c r="J216" t="inlineStr">
        <is>
          <t>NO</t>
        </is>
      </c>
      <c r="K216" t="inlineStr">
        <is>
          <t>2026-02-26 00:15</t>
        </is>
      </c>
      <c r="L216" t="inlineStr">
        <is>
          <t>CHECK_VENDOR</t>
        </is>
      </c>
      <c r="M216" t="inlineStr">
        <is>
          <t>See CVE details</t>
        </is>
      </c>
      <c r="N216" t="inlineStr">
        <is>
          <t>P3</t>
        </is>
      </c>
      <c r="O216" t="inlineStr">
        <is>
          <t>CVE - IP enrichment n/a</t>
        </is>
      </c>
      <c r="P216" t="n">
        <v>0</v>
      </c>
      <c r="Q216" t="n">
        <v>0</v>
      </c>
      <c r="R216" t="inlineStr">
        <is>
          <t>T1190:Exploit Public-Facing Application</t>
        </is>
      </c>
      <c r="S216" t="n">
        <v>1</v>
      </c>
      <c r="T216" t="inlineStr">
        <is>
          <t>LOW (40%)</t>
        </is>
      </c>
      <c r="U216" t="inlineStr">
        <is>
          <t>UNLIKELY</t>
        </is>
      </c>
      <c r="V216" t="inlineStr">
        <is>
          <t>CHECK_VENDOR</t>
        </is>
      </c>
      <c r="W216" t="inlineStr">
        <is>
          <t>https://nvd.nist.gov/vuln/detail/CVE-2026-25378</t>
        </is>
      </c>
      <c r="X216" t="inlineStr">
        <is>
          <t>NONE</t>
        </is>
      </c>
      <c r="Y216" t="n">
        <v>0</v>
      </c>
      <c r="Z216" t="inlineStr"/>
      <c r="AA216" t="inlineStr">
        <is>
          <t>https://nvd.nist.gov/vuln/detail/CVE-2026-25378</t>
        </is>
      </c>
    </row>
    <row r="217">
      <c r="A217" t="inlineStr">
        <is>
          <t>CVE</t>
        </is>
      </c>
      <c r="B217" t="inlineStr">
        <is>
          <t>CVE-2026-25384</t>
        </is>
      </c>
      <c r="C217" t="inlineStr">
        <is>
          <t>Missing Authorization vulnerability in WP Lab WP-Lister Lite for eBay wp-lister-for-ebay allows Exploiting Incorrectly Configured Access Control Security Levels.This issue affects WP-Lister Lite for eBay: from n/a through &lt;= 3.8.5.</t>
        </is>
      </c>
      <c r="D217" t="n">
        <v>5.3</v>
      </c>
      <c r="E217" t="inlineStr">
        <is>
          <t>MEDIUM</t>
        </is>
      </c>
      <c r="F217" t="n">
        <v>2</v>
      </c>
      <c r="G217" t="n">
        <v>2</v>
      </c>
      <c r="H217" t="inlineStr">
        <is>
          <t>MEDIUM</t>
        </is>
      </c>
      <c r="I217" t="n">
        <v>9.300000000000001</v>
      </c>
      <c r="J217" t="inlineStr">
        <is>
          <t>NO</t>
        </is>
      </c>
      <c r="K217" t="inlineStr">
        <is>
          <t>2026-02-26 00:15</t>
        </is>
      </c>
      <c r="L217" t="inlineStr">
        <is>
          <t>CHECK_VENDOR</t>
        </is>
      </c>
      <c r="M217" t="inlineStr">
        <is>
          <t>See CVE details</t>
        </is>
      </c>
      <c r="N217" t="inlineStr">
        <is>
          <t>P4</t>
        </is>
      </c>
      <c r="O217" t="inlineStr">
        <is>
          <t>CVE - IP enrichment n/a</t>
        </is>
      </c>
      <c r="P217" t="n">
        <v>0</v>
      </c>
      <c r="Q217" t="n">
        <v>0</v>
      </c>
      <c r="R217" t="inlineStr">
        <is>
          <t>T1190:Exploit Public-Facing Application</t>
        </is>
      </c>
      <c r="S217" t="n">
        <v>1</v>
      </c>
      <c r="T217" t="inlineStr">
        <is>
          <t>LOW (40%)</t>
        </is>
      </c>
      <c r="U217" t="inlineStr">
        <is>
          <t>UNLIKELY</t>
        </is>
      </c>
      <c r="V217" t="inlineStr">
        <is>
          <t>CHECK_VENDOR</t>
        </is>
      </c>
      <c r="W217" t="inlineStr">
        <is>
          <t>https://nvd.nist.gov/vuln/detail/CVE-2026-25384</t>
        </is>
      </c>
      <c r="X217" t="inlineStr">
        <is>
          <t>NONE</t>
        </is>
      </c>
      <c r="Y217" t="n">
        <v>0</v>
      </c>
      <c r="Z217" t="inlineStr"/>
      <c r="AA217" t="inlineStr">
        <is>
          <t>https://nvd.nist.gov/vuln/detail/CVE-2026-25384</t>
        </is>
      </c>
    </row>
    <row r="218">
      <c r="A218" t="inlineStr">
        <is>
          <t>CVE</t>
        </is>
      </c>
      <c r="B218" t="inlineStr">
        <is>
          <t>CVE-2026-25385</t>
        </is>
      </c>
      <c r="C218" t="inlineStr">
        <is>
          <t>Server-Side Request Forgery (SSRF) vulnerability in KaizenCoders URL Shortify url-shortify allows Server Side Request Forgery.This issue affects URL Shortify: from n/a through &lt;= 1.12.3.</t>
        </is>
      </c>
      <c r="D218" t="n">
        <v>5.5</v>
      </c>
      <c r="E218" t="inlineStr">
        <is>
          <t>MEDIUM</t>
        </is>
      </c>
      <c r="F218" t="n">
        <v>2</v>
      </c>
      <c r="G218" t="n">
        <v>2</v>
      </c>
      <c r="H218" t="inlineStr">
        <is>
          <t>MEDIUM</t>
        </is>
      </c>
      <c r="I218" t="n">
        <v>9.5</v>
      </c>
      <c r="J218" t="inlineStr">
        <is>
          <t>NO</t>
        </is>
      </c>
      <c r="K218" t="inlineStr">
        <is>
          <t>2026-02-26 00:15</t>
        </is>
      </c>
      <c r="L218" t="inlineStr">
        <is>
          <t>CHECK_VENDOR</t>
        </is>
      </c>
      <c r="M218" t="inlineStr">
        <is>
          <t>See CVE details</t>
        </is>
      </c>
      <c r="N218" t="inlineStr">
        <is>
          <t>P4</t>
        </is>
      </c>
      <c r="O218" t="inlineStr">
        <is>
          <t>CVE - IP enrichment n/a</t>
        </is>
      </c>
      <c r="P218" t="n">
        <v>0</v>
      </c>
      <c r="Q218" t="n">
        <v>0</v>
      </c>
      <c r="R218" t="inlineStr">
        <is>
          <t>T1090:Proxy</t>
        </is>
      </c>
      <c r="S218" t="n">
        <v>1</v>
      </c>
      <c r="T218" t="inlineStr">
        <is>
          <t>LOW (40%)</t>
        </is>
      </c>
      <c r="U218" t="inlineStr">
        <is>
          <t>UNLIKELY</t>
        </is>
      </c>
      <c r="V218" t="inlineStr">
        <is>
          <t>CHECK_VENDOR</t>
        </is>
      </c>
      <c r="W218" t="inlineStr">
        <is>
          <t>https://nvd.nist.gov/vuln/detail/CVE-2026-25385</t>
        </is>
      </c>
      <c r="X218" t="inlineStr">
        <is>
          <t>NONE</t>
        </is>
      </c>
      <c r="Y218" t="n">
        <v>0</v>
      </c>
      <c r="Z218" t="inlineStr"/>
      <c r="AA218" t="inlineStr">
        <is>
          <t>https://nvd.nist.gov/vuln/detail/CVE-2026-25385</t>
        </is>
      </c>
    </row>
    <row r="219">
      <c r="A219" t="inlineStr">
        <is>
          <t>CVE</t>
        </is>
      </c>
      <c r="B219" t="inlineStr">
        <is>
          <t>CVE-2026-25386</t>
        </is>
      </c>
      <c r="C219" t="inlineStr">
        <is>
          <t>Missing Authorization vulnerability in Elementor Ally pojo-accessibility allows Exploiting Incorrectly Configured Access Control Security Levels.This issue affects Ally: from n/a through &lt;= 4.0.2.</t>
        </is>
      </c>
      <c r="D219" t="n">
        <v>5.3</v>
      </c>
      <c r="E219" t="inlineStr">
        <is>
          <t>MEDIUM</t>
        </is>
      </c>
      <c r="F219" t="n">
        <v>2</v>
      </c>
      <c r="G219" t="n">
        <v>2</v>
      </c>
      <c r="H219" t="inlineStr">
        <is>
          <t>MEDIUM</t>
        </is>
      </c>
      <c r="I219" t="n">
        <v>9.300000000000001</v>
      </c>
      <c r="J219" t="inlineStr">
        <is>
          <t>NO</t>
        </is>
      </c>
      <c r="K219" t="inlineStr">
        <is>
          <t>2026-02-26 00:15</t>
        </is>
      </c>
      <c r="L219" t="inlineStr">
        <is>
          <t>CHECK_VENDOR</t>
        </is>
      </c>
      <c r="M219" t="inlineStr">
        <is>
          <t>See CVE details</t>
        </is>
      </c>
      <c r="N219" t="inlineStr">
        <is>
          <t>P4</t>
        </is>
      </c>
      <c r="O219" t="inlineStr">
        <is>
          <t>CVE - IP enrichment n/a</t>
        </is>
      </c>
      <c r="P219" t="n">
        <v>0</v>
      </c>
      <c r="Q219" t="n">
        <v>0</v>
      </c>
      <c r="R219" t="inlineStr">
        <is>
          <t>T1190:Exploit Public-Facing Application</t>
        </is>
      </c>
      <c r="S219" t="n">
        <v>1</v>
      </c>
      <c r="T219" t="inlineStr">
        <is>
          <t>LOW (40%)</t>
        </is>
      </c>
      <c r="U219" t="inlineStr">
        <is>
          <t>UNLIKELY</t>
        </is>
      </c>
      <c r="V219" t="inlineStr">
        <is>
          <t>CHECK_VENDOR</t>
        </is>
      </c>
      <c r="W219" t="inlineStr">
        <is>
          <t>https://nvd.nist.gov/vuln/detail/CVE-2026-25386</t>
        </is>
      </c>
      <c r="X219" t="inlineStr">
        <is>
          <t>NONE</t>
        </is>
      </c>
      <c r="Y219" t="n">
        <v>0</v>
      </c>
      <c r="Z219" t="inlineStr"/>
      <c r="AA219" t="inlineStr">
        <is>
          <t>https://nvd.nist.gov/vuln/detail/CVE-2026-25386</t>
        </is>
      </c>
    </row>
    <row r="220">
      <c r="A220" t="inlineStr">
        <is>
          <t>CVE</t>
        </is>
      </c>
      <c r="B220" t="inlineStr">
        <is>
          <t>CVE-2026-25387</t>
        </is>
      </c>
      <c r="C220" t="inlineStr">
        <is>
          <t>Missing Authorization vulnerability in Elementor Image Optimizer by Elementor image-optimization allows Exploiting Incorrectly Configured Access Control Security Levels.This issue affects Image Optimizer by Elementor: from n/a through &lt;= 1.7.1.</t>
        </is>
      </c>
      <c r="D220" t="n">
        <v>5</v>
      </c>
      <c r="E220" t="inlineStr">
        <is>
          <t>MEDIUM</t>
        </is>
      </c>
      <c r="F220" t="n">
        <v>2</v>
      </c>
      <c r="G220" t="n">
        <v>2</v>
      </c>
      <c r="H220" t="inlineStr">
        <is>
          <t>MEDIUM</t>
        </is>
      </c>
      <c r="I220" t="n">
        <v>9</v>
      </c>
      <c r="J220" t="inlineStr">
        <is>
          <t>NO</t>
        </is>
      </c>
      <c r="K220" t="inlineStr">
        <is>
          <t>2026-02-26 00:15</t>
        </is>
      </c>
      <c r="L220" t="inlineStr">
        <is>
          <t>CHECK_VENDOR</t>
        </is>
      </c>
      <c r="M220" t="inlineStr">
        <is>
          <t>See CVE details</t>
        </is>
      </c>
      <c r="N220" t="inlineStr">
        <is>
          <t>P4</t>
        </is>
      </c>
      <c r="O220" t="inlineStr">
        <is>
          <t>CVE - IP enrichment n/a</t>
        </is>
      </c>
      <c r="P220" t="n">
        <v>0</v>
      </c>
      <c r="Q220" t="n">
        <v>0</v>
      </c>
      <c r="R220" t="inlineStr">
        <is>
          <t>T1190:Exploit Public-Facing Application</t>
        </is>
      </c>
      <c r="S220" t="n">
        <v>1</v>
      </c>
      <c r="T220" t="inlineStr">
        <is>
          <t>LOW (40%)</t>
        </is>
      </c>
      <c r="U220" t="inlineStr">
        <is>
          <t>UNLIKELY</t>
        </is>
      </c>
      <c r="V220" t="inlineStr">
        <is>
          <t>CHECK_VENDOR</t>
        </is>
      </c>
      <c r="W220" t="inlineStr">
        <is>
          <t>https://nvd.nist.gov/vuln/detail/CVE-2026-25387</t>
        </is>
      </c>
      <c r="X220" t="inlineStr">
        <is>
          <t>NONE</t>
        </is>
      </c>
      <c r="Y220" t="n">
        <v>0</v>
      </c>
      <c r="Z220" t="inlineStr"/>
      <c r="AA220" t="inlineStr">
        <is>
          <t>https://nvd.nist.gov/vuln/detail/CVE-2026-25387</t>
        </is>
      </c>
    </row>
    <row r="221">
      <c r="A221" t="inlineStr">
        <is>
          <t>CVE</t>
        </is>
      </c>
      <c r="B221" t="inlineStr">
        <is>
          <t>CVE-2026-25388</t>
        </is>
      </c>
      <c r="C221" t="inlineStr">
        <is>
          <t>Missing Authorization vulnerability in scripteo Ads Pro ap-plugin-scripteo allows Exploiting Incorrectly Configured Access Control Security Levels.This issue affects Ads Pro: from n/a through &lt;= 5.0.</t>
        </is>
      </c>
      <c r="D221" t="n">
        <v>5.4</v>
      </c>
      <c r="E221" t="inlineStr">
        <is>
          <t>MEDIUM</t>
        </is>
      </c>
      <c r="F221" t="n">
        <v>2</v>
      </c>
      <c r="G221" t="n">
        <v>2</v>
      </c>
      <c r="H221" t="inlineStr">
        <is>
          <t>MEDIUM</t>
        </is>
      </c>
      <c r="I221" t="n">
        <v>9.4</v>
      </c>
      <c r="J221" t="inlineStr">
        <is>
          <t>NO</t>
        </is>
      </c>
      <c r="K221" t="inlineStr">
        <is>
          <t>2026-02-26 00:15</t>
        </is>
      </c>
      <c r="L221" t="inlineStr">
        <is>
          <t>CHECK_VENDOR</t>
        </is>
      </c>
      <c r="M221" t="inlineStr">
        <is>
          <t>See CVE details</t>
        </is>
      </c>
      <c r="N221" t="inlineStr">
        <is>
          <t>P4</t>
        </is>
      </c>
      <c r="O221" t="inlineStr">
        <is>
          <t>CVE - IP enrichment n/a</t>
        </is>
      </c>
      <c r="P221" t="n">
        <v>0</v>
      </c>
      <c r="Q221" t="n">
        <v>0</v>
      </c>
      <c r="R221" t="inlineStr">
        <is>
          <t>T1190:Exploit Public-Facing Application</t>
        </is>
      </c>
      <c r="S221" t="n">
        <v>1</v>
      </c>
      <c r="T221" t="inlineStr">
        <is>
          <t>LOW (40%)</t>
        </is>
      </c>
      <c r="U221" t="inlineStr">
        <is>
          <t>UNLIKELY</t>
        </is>
      </c>
      <c r="V221" t="inlineStr">
        <is>
          <t>CHECK_VENDOR</t>
        </is>
      </c>
      <c r="W221" t="inlineStr">
        <is>
          <t>https://nvd.nist.gov/vuln/detail/CVE-2026-25388</t>
        </is>
      </c>
      <c r="X221" t="inlineStr">
        <is>
          <t>NONE</t>
        </is>
      </c>
      <c r="Y221" t="n">
        <v>0</v>
      </c>
      <c r="Z221" t="inlineStr"/>
      <c r="AA221" t="inlineStr">
        <is>
          <t>https://nvd.nist.gov/vuln/detail/CVE-2026-25388</t>
        </is>
      </c>
    </row>
    <row r="222">
      <c r="A222" t="inlineStr">
        <is>
          <t>CVE</t>
        </is>
      </c>
      <c r="B222" t="inlineStr">
        <is>
          <t>CVE-2026-25389</t>
        </is>
      </c>
      <c r="C222" t="inlineStr">
        <is>
          <t>Exposure of Sensitive System Information to an Unauthorized Control Sphere vulnerability in Metagauss EventPrime eventprime-event-calendar-management allows Retrieve Embedded Sensitive Data.This issue affects EventPrime: from n/a through &lt;= 4.2.8.3.</t>
        </is>
      </c>
      <c r="D222" t="n">
        <v>5</v>
      </c>
      <c r="E222" t="inlineStr">
        <is>
          <t>MEDIUM</t>
        </is>
      </c>
      <c r="F222" t="n">
        <v>2</v>
      </c>
      <c r="G222" t="n">
        <v>2</v>
      </c>
      <c r="H222" t="inlineStr">
        <is>
          <t>MEDIUM</t>
        </is>
      </c>
      <c r="I222" t="n">
        <v>9</v>
      </c>
      <c r="J222" t="inlineStr">
        <is>
          <t>NO</t>
        </is>
      </c>
      <c r="K222" t="inlineStr">
        <is>
          <t>2026-02-26 00:15</t>
        </is>
      </c>
      <c r="L222" t="inlineStr">
        <is>
          <t>CHECK_VENDOR</t>
        </is>
      </c>
      <c r="M222" t="inlineStr">
        <is>
          <t>See CVE details</t>
        </is>
      </c>
      <c r="N222" t="inlineStr">
        <is>
          <t>P4</t>
        </is>
      </c>
      <c r="O222" t="inlineStr">
        <is>
          <t>CVE - IP enrichment n/a</t>
        </is>
      </c>
      <c r="P222" t="n">
        <v>0.0002</v>
      </c>
      <c r="Q222" t="n">
        <v>0.0633</v>
      </c>
      <c r="R222" t="inlineStr">
        <is>
          <t>T1190:Exploit Public-Facing Application</t>
        </is>
      </c>
      <c r="S222" t="n">
        <v>1</v>
      </c>
      <c r="T222" t="inlineStr">
        <is>
          <t>LOW (40%)</t>
        </is>
      </c>
      <c r="U222" t="inlineStr">
        <is>
          <t>UNLIKELY</t>
        </is>
      </c>
      <c r="V222" t="inlineStr">
        <is>
          <t>CHECK_VENDOR</t>
        </is>
      </c>
      <c r="W222" t="inlineStr">
        <is>
          <t>https://nvd.nist.gov/vuln/detail/CVE-2026-25389</t>
        </is>
      </c>
      <c r="X222" t="inlineStr">
        <is>
          <t>NONE</t>
        </is>
      </c>
      <c r="Y222" t="n">
        <v>0</v>
      </c>
      <c r="Z222" t="inlineStr"/>
      <c r="AA222" t="inlineStr">
        <is>
          <t>https://nvd.nist.gov/vuln/detail/CVE-2026-25389</t>
        </is>
      </c>
    </row>
    <row r="223">
      <c r="A223" t="inlineStr">
        <is>
          <t>CVE</t>
        </is>
      </c>
      <c r="B223" t="inlineStr">
        <is>
          <t>CVE-2026-25391</t>
        </is>
      </c>
      <c r="C223" t="inlineStr">
        <is>
          <t>Missing Authorization vulnerability in WP Grids WP Wand ai-content-generation allows Exploiting Incorrectly Configured Access Control Security Levels.This issue affects WP Wand: from n/a through &lt;= 1.3.07.</t>
        </is>
      </c>
      <c r="D223" t="n">
        <v>5.4</v>
      </c>
      <c r="E223" t="inlineStr">
        <is>
          <t>MEDIUM</t>
        </is>
      </c>
      <c r="F223" t="n">
        <v>2</v>
      </c>
      <c r="G223" t="n">
        <v>2</v>
      </c>
      <c r="H223" t="inlineStr">
        <is>
          <t>MEDIUM</t>
        </is>
      </c>
      <c r="I223" t="n">
        <v>9.4</v>
      </c>
      <c r="J223" t="inlineStr">
        <is>
          <t>NO</t>
        </is>
      </c>
      <c r="K223" t="inlineStr">
        <is>
          <t>2026-02-26 00:15</t>
        </is>
      </c>
      <c r="L223" t="inlineStr">
        <is>
          <t>CHECK_VENDOR</t>
        </is>
      </c>
      <c r="M223" t="inlineStr">
        <is>
          <t>See CVE details</t>
        </is>
      </c>
      <c r="N223" t="inlineStr">
        <is>
          <t>P4</t>
        </is>
      </c>
      <c r="O223" t="inlineStr">
        <is>
          <t>CVE - IP enrichment n/a</t>
        </is>
      </c>
      <c r="P223" t="n">
        <v>0</v>
      </c>
      <c r="Q223" t="n">
        <v>0</v>
      </c>
      <c r="R223" t="inlineStr">
        <is>
          <t>T1190:Exploit Public-Facing Application</t>
        </is>
      </c>
      <c r="S223" t="n">
        <v>1</v>
      </c>
      <c r="T223" t="inlineStr">
        <is>
          <t>LOW (40%)</t>
        </is>
      </c>
      <c r="U223" t="inlineStr">
        <is>
          <t>UNLIKELY</t>
        </is>
      </c>
      <c r="V223" t="inlineStr">
        <is>
          <t>CHECK_VENDOR</t>
        </is>
      </c>
      <c r="W223" t="inlineStr">
        <is>
          <t>https://nvd.nist.gov/vuln/detail/CVE-2026-25391</t>
        </is>
      </c>
      <c r="X223" t="inlineStr">
        <is>
          <t>NONE</t>
        </is>
      </c>
      <c r="Y223" t="n">
        <v>0</v>
      </c>
      <c r="Z223" t="inlineStr"/>
      <c r="AA223" t="inlineStr">
        <is>
          <t>https://nvd.nist.gov/vuln/detail/CVE-2026-25391</t>
        </is>
      </c>
    </row>
    <row r="224">
      <c r="A224" t="inlineStr">
        <is>
          <t>CVE</t>
        </is>
      </c>
      <c r="B224" t="inlineStr">
        <is>
          <t>CVE-2026-25392</t>
        </is>
      </c>
      <c r="C224" t="inlineStr">
        <is>
          <t>URL Redirection to Untrusted Site ('Open Redirect') vulnerability in KaizenCoders Update URLs &amp;#8211; Quick and Easy way to search old links and replace them with new links in WordPress update-urls allows Phishing.This issue affects Update URLs &amp;#8211; Quick and Easy way to search old links and replace them with new links in WordPress: from n/a through &lt;= 1.4.0.</t>
        </is>
      </c>
      <c r="D224" t="n">
        <v>4.7</v>
      </c>
      <c r="E224" t="inlineStr">
        <is>
          <t>MEDIUM</t>
        </is>
      </c>
      <c r="F224" t="n">
        <v>2</v>
      </c>
      <c r="G224" t="n">
        <v>2</v>
      </c>
      <c r="H224" t="inlineStr">
        <is>
          <t>MEDIUM</t>
        </is>
      </c>
      <c r="I224" t="n">
        <v>8.699999999999999</v>
      </c>
      <c r="J224" t="inlineStr">
        <is>
          <t>NO</t>
        </is>
      </c>
      <c r="K224" t="inlineStr">
        <is>
          <t>2026-02-26 00:15</t>
        </is>
      </c>
      <c r="L224" t="inlineStr">
        <is>
          <t>CHECK_VENDOR</t>
        </is>
      </c>
      <c r="M224" t="inlineStr">
        <is>
          <t>See CVE details</t>
        </is>
      </c>
      <c r="N224" t="inlineStr">
        <is>
          <t>P4</t>
        </is>
      </c>
      <c r="O224" t="inlineStr">
        <is>
          <t>CVE - IP enrichment n/a</t>
        </is>
      </c>
      <c r="P224" t="n">
        <v>0</v>
      </c>
      <c r="Q224" t="n">
        <v>0</v>
      </c>
      <c r="R224" t="inlineStr">
        <is>
          <t>T1189:Drive-by Compromise | T1566:Phishing</t>
        </is>
      </c>
      <c r="S224" t="n">
        <v>1</v>
      </c>
      <c r="T224" t="inlineStr">
        <is>
          <t>LOW (40%)</t>
        </is>
      </c>
      <c r="U224" t="inlineStr">
        <is>
          <t>UNLIKELY</t>
        </is>
      </c>
      <c r="V224" t="inlineStr">
        <is>
          <t>CHECK_VENDOR</t>
        </is>
      </c>
      <c r="W224" t="inlineStr">
        <is>
          <t>https://nvd.nist.gov/vuln/detail/CVE-2026-25392</t>
        </is>
      </c>
      <c r="X224" t="inlineStr">
        <is>
          <t>NONE</t>
        </is>
      </c>
      <c r="Y224" t="n">
        <v>0</v>
      </c>
      <c r="Z224" t="inlineStr"/>
      <c r="AA224" t="inlineStr">
        <is>
          <t>https://nvd.nist.gov/vuln/detail/CVE-2026-25392</t>
        </is>
      </c>
    </row>
    <row r="225">
      <c r="A225" t="inlineStr">
        <is>
          <t>CVE</t>
        </is>
      </c>
      <c r="B225" t="inlineStr">
        <is>
          <t>CVE-2026-25393</t>
        </is>
      </c>
      <c r="C225" t="inlineStr">
        <is>
          <t>Missing Authorization vulnerability in sparklewpthemes Hello FSE hello-fse allows Exploiting Incorrectly Configured Access Control Security Levels.This issue affects Hello FSE: from n/a through &lt;= 1.0.6.</t>
        </is>
      </c>
      <c r="D225" t="n">
        <v>4.3</v>
      </c>
      <c r="E225" t="inlineStr">
        <is>
          <t>MEDIUM</t>
        </is>
      </c>
      <c r="F225" t="n">
        <v>2</v>
      </c>
      <c r="G225" t="n">
        <v>2</v>
      </c>
      <c r="H225" t="inlineStr">
        <is>
          <t>MEDIUM</t>
        </is>
      </c>
      <c r="I225" t="n">
        <v>8.300000000000001</v>
      </c>
      <c r="J225" t="inlineStr">
        <is>
          <t>NO</t>
        </is>
      </c>
      <c r="K225" t="inlineStr">
        <is>
          <t>2026-02-26 00:15</t>
        </is>
      </c>
      <c r="L225" t="inlineStr">
        <is>
          <t>CHECK_VENDOR</t>
        </is>
      </c>
      <c r="M225" t="inlineStr">
        <is>
          <t>See CVE details</t>
        </is>
      </c>
      <c r="N225" t="inlineStr">
        <is>
          <t>P4</t>
        </is>
      </c>
      <c r="O225" t="inlineStr">
        <is>
          <t>CVE - IP enrichment n/a</t>
        </is>
      </c>
      <c r="P225" t="n">
        <v>0</v>
      </c>
      <c r="Q225" t="n">
        <v>0</v>
      </c>
      <c r="R225" t="inlineStr">
        <is>
          <t>T1190:Exploit Public-Facing Application</t>
        </is>
      </c>
      <c r="S225" t="n">
        <v>1</v>
      </c>
      <c r="T225" t="inlineStr">
        <is>
          <t>LOW (40%)</t>
        </is>
      </c>
      <c r="U225" t="inlineStr">
        <is>
          <t>UNLIKELY</t>
        </is>
      </c>
      <c r="V225" t="inlineStr">
        <is>
          <t>CHECK_VENDOR</t>
        </is>
      </c>
      <c r="W225" t="inlineStr">
        <is>
          <t>https://nvd.nist.gov/vuln/detail/CVE-2026-25393</t>
        </is>
      </c>
      <c r="X225" t="inlineStr">
        <is>
          <t>NONE</t>
        </is>
      </c>
      <c r="Y225" t="n">
        <v>0</v>
      </c>
      <c r="Z225" t="inlineStr"/>
      <c r="AA225" t="inlineStr">
        <is>
          <t>https://nvd.nist.gov/vuln/detail/CVE-2026-25393</t>
        </is>
      </c>
    </row>
    <row r="226">
      <c r="A226" t="inlineStr">
        <is>
          <t>CVE</t>
        </is>
      </c>
      <c r="B226" t="inlineStr">
        <is>
          <t>CVE-2026-25394</t>
        </is>
      </c>
      <c r="C226" t="inlineStr">
        <is>
          <t>Missing Authorization vulnerability in sparklewpthemes Fitness FSE fitness-fse allows Exploiting Incorrectly Configured Access Control Security Levels.This issue affects Fitness FSE: from n/a through &lt;= 1.0.6.</t>
        </is>
      </c>
      <c r="D226" t="n">
        <v>4.3</v>
      </c>
      <c r="E226" t="inlineStr">
        <is>
          <t>MEDIUM</t>
        </is>
      </c>
      <c r="F226" t="n">
        <v>2</v>
      </c>
      <c r="G226" t="n">
        <v>2</v>
      </c>
      <c r="H226" t="inlineStr">
        <is>
          <t>MEDIUM</t>
        </is>
      </c>
      <c r="I226" t="n">
        <v>8.300000000000001</v>
      </c>
      <c r="J226" t="inlineStr">
        <is>
          <t>NO</t>
        </is>
      </c>
      <c r="K226" t="inlineStr">
        <is>
          <t>2026-02-26 00:15</t>
        </is>
      </c>
      <c r="L226" t="inlineStr">
        <is>
          <t>CHECK_VENDOR</t>
        </is>
      </c>
      <c r="M226" t="inlineStr">
        <is>
          <t>See CVE details</t>
        </is>
      </c>
      <c r="N226" t="inlineStr">
        <is>
          <t>P4</t>
        </is>
      </c>
      <c r="O226" t="inlineStr">
        <is>
          <t>CVE - IP enrichment n/a</t>
        </is>
      </c>
      <c r="P226" t="n">
        <v>0</v>
      </c>
      <c r="Q226" t="n">
        <v>0</v>
      </c>
      <c r="R226" t="inlineStr">
        <is>
          <t>T1190:Exploit Public-Facing Application</t>
        </is>
      </c>
      <c r="S226" t="n">
        <v>1</v>
      </c>
      <c r="T226" t="inlineStr">
        <is>
          <t>LOW (40%)</t>
        </is>
      </c>
      <c r="U226" t="inlineStr">
        <is>
          <t>UNLIKELY</t>
        </is>
      </c>
      <c r="V226" t="inlineStr">
        <is>
          <t>CHECK_VENDOR</t>
        </is>
      </c>
      <c r="W226" t="inlineStr">
        <is>
          <t>https://nvd.nist.gov/vuln/detail/CVE-2026-25394</t>
        </is>
      </c>
      <c r="X226" t="inlineStr">
        <is>
          <t>NONE</t>
        </is>
      </c>
      <c r="Y226" t="n">
        <v>0</v>
      </c>
      <c r="Z226" t="inlineStr"/>
      <c r="AA226" t="inlineStr">
        <is>
          <t>https://nvd.nist.gov/vuln/detail/CVE-2026-25394</t>
        </is>
      </c>
    </row>
    <row r="227">
      <c r="A227" t="inlineStr">
        <is>
          <t>CVE</t>
        </is>
      </c>
      <c r="B227" t="inlineStr">
        <is>
          <t>CVE-2026-25395</t>
        </is>
      </c>
      <c r="C227" t="inlineStr">
        <is>
          <t>Missing Authorization vulnerability in ikreatethemes Business Roy business-roy allows Exploiting Incorrectly Configured Access Control Security Levels.This issue affects Business Roy: from n/a through &lt;= 1.1.4.</t>
        </is>
      </c>
      <c r="D227" t="n">
        <v>4.3</v>
      </c>
      <c r="E227" t="inlineStr">
        <is>
          <t>MEDIUM</t>
        </is>
      </c>
      <c r="F227" t="n">
        <v>2</v>
      </c>
      <c r="G227" t="n">
        <v>2</v>
      </c>
      <c r="H227" t="inlineStr">
        <is>
          <t>MEDIUM</t>
        </is>
      </c>
      <c r="I227" t="n">
        <v>8.300000000000001</v>
      </c>
      <c r="J227" t="inlineStr">
        <is>
          <t>NO</t>
        </is>
      </c>
      <c r="K227" t="inlineStr">
        <is>
          <t>2026-02-26 00:15</t>
        </is>
      </c>
      <c r="L227" t="inlineStr">
        <is>
          <t>CHECK_VENDOR</t>
        </is>
      </c>
      <c r="M227" t="inlineStr">
        <is>
          <t>See CVE details</t>
        </is>
      </c>
      <c r="N227" t="inlineStr">
        <is>
          <t>P4</t>
        </is>
      </c>
      <c r="O227" t="inlineStr">
        <is>
          <t>CVE - IP enrichment n/a</t>
        </is>
      </c>
      <c r="P227" t="n">
        <v>0</v>
      </c>
      <c r="Q227" t="n">
        <v>0</v>
      </c>
      <c r="R227" t="inlineStr">
        <is>
          <t>T1190:Exploit Public-Facing Application</t>
        </is>
      </c>
      <c r="S227" t="n">
        <v>1</v>
      </c>
      <c r="T227" t="inlineStr">
        <is>
          <t>LOW (40%)</t>
        </is>
      </c>
      <c r="U227" t="inlineStr">
        <is>
          <t>UNLIKELY</t>
        </is>
      </c>
      <c r="V227" t="inlineStr">
        <is>
          <t>CHECK_VENDOR</t>
        </is>
      </c>
      <c r="W227" t="inlineStr">
        <is>
          <t>https://nvd.nist.gov/vuln/detail/CVE-2026-25395</t>
        </is>
      </c>
      <c r="X227" t="inlineStr">
        <is>
          <t>NONE</t>
        </is>
      </c>
      <c r="Y227" t="n">
        <v>0</v>
      </c>
      <c r="Z227" t="inlineStr"/>
      <c r="AA227" t="inlineStr">
        <is>
          <t>https://nvd.nist.gov/vuln/detail/CVE-2026-25395</t>
        </is>
      </c>
    </row>
    <row r="228">
      <c r="A228" t="inlineStr">
        <is>
          <t>CVE</t>
        </is>
      </c>
      <c r="B228" t="inlineStr">
        <is>
          <t>CVE-2026-25399</t>
        </is>
      </c>
      <c r="C228" t="inlineStr">
        <is>
          <t>Missing Authorization vulnerability in CryoutCreations Serious Slider cryout-serious-slider allows Exploiting Incorrectly Configured Access Control Security Levels.This issue affects Serious Slider: from n/a through &lt;= 1.2.7.</t>
        </is>
      </c>
      <c r="D228" t="n">
        <v>4.3</v>
      </c>
      <c r="E228" t="inlineStr">
        <is>
          <t>MEDIUM</t>
        </is>
      </c>
      <c r="F228" t="n">
        <v>2</v>
      </c>
      <c r="G228" t="n">
        <v>2</v>
      </c>
      <c r="H228" t="inlineStr">
        <is>
          <t>MEDIUM</t>
        </is>
      </c>
      <c r="I228" t="n">
        <v>8.300000000000001</v>
      </c>
      <c r="J228" t="inlineStr">
        <is>
          <t>NO</t>
        </is>
      </c>
      <c r="K228" t="inlineStr">
        <is>
          <t>2026-02-26 00:15</t>
        </is>
      </c>
      <c r="L228" t="inlineStr">
        <is>
          <t>CHECK_VENDOR</t>
        </is>
      </c>
      <c r="M228" t="inlineStr">
        <is>
          <t>See CVE details</t>
        </is>
      </c>
      <c r="N228" t="inlineStr">
        <is>
          <t>P4</t>
        </is>
      </c>
      <c r="O228" t="inlineStr">
        <is>
          <t>CVE - IP enrichment n/a</t>
        </is>
      </c>
      <c r="P228" t="n">
        <v>0.0004</v>
      </c>
      <c r="Q228" t="n">
        <v>0.1195</v>
      </c>
      <c r="R228" t="inlineStr">
        <is>
          <t>T1190:Exploit Public-Facing Application</t>
        </is>
      </c>
      <c r="S228" t="n">
        <v>1</v>
      </c>
      <c r="T228" t="inlineStr">
        <is>
          <t>LOW (40%)</t>
        </is>
      </c>
      <c r="U228" t="inlineStr">
        <is>
          <t>UNLIKELY</t>
        </is>
      </c>
      <c r="V228" t="inlineStr">
        <is>
          <t>CHECK_VENDOR</t>
        </is>
      </c>
      <c r="W228" t="inlineStr">
        <is>
          <t>https://nvd.nist.gov/vuln/detail/CVE-2026-25399</t>
        </is>
      </c>
      <c r="X228" t="inlineStr">
        <is>
          <t>NONE</t>
        </is>
      </c>
      <c r="Y228" t="n">
        <v>0</v>
      </c>
      <c r="Z228" t="inlineStr"/>
      <c r="AA228" t="inlineStr">
        <is>
          <t>https://nvd.nist.gov/vuln/detail/CVE-2026-25399</t>
        </is>
      </c>
    </row>
    <row r="229">
      <c r="A229" t="inlineStr">
        <is>
          <t>CVE</t>
        </is>
      </c>
      <c r="B229" t="inlineStr">
        <is>
          <t>CVE-2026-25402</t>
        </is>
      </c>
      <c r="C229" t="inlineStr">
        <is>
          <t>Missing Authorization vulnerability in echoplugins Knowledge Base for Documentation, FAQs with AI Assistance echo-knowledge-base allows Exploiting Incorrectly Configured Access Control Security Levels.This issue affects Knowledge Base for Documentation, FAQs with AI Assistance: from n/a through &lt;= 16.011.0.</t>
        </is>
      </c>
      <c r="D229" t="n">
        <v>4.3</v>
      </c>
      <c r="E229" t="inlineStr">
        <is>
          <t>MEDIUM</t>
        </is>
      </c>
      <c r="F229" t="n">
        <v>2</v>
      </c>
      <c r="G229" t="n">
        <v>2</v>
      </c>
      <c r="H229" t="inlineStr">
        <is>
          <t>MEDIUM</t>
        </is>
      </c>
      <c r="I229" t="n">
        <v>8.300000000000001</v>
      </c>
      <c r="J229" t="inlineStr">
        <is>
          <t>NO</t>
        </is>
      </c>
      <c r="K229" t="inlineStr">
        <is>
          <t>2026-02-26 00:15</t>
        </is>
      </c>
      <c r="L229" t="inlineStr">
        <is>
          <t>CHECK_VENDOR</t>
        </is>
      </c>
      <c r="M229" t="inlineStr">
        <is>
          <t>See CVE details</t>
        </is>
      </c>
      <c r="N229" t="inlineStr">
        <is>
          <t>P4</t>
        </is>
      </c>
      <c r="O229" t="inlineStr">
        <is>
          <t>CVE - IP enrichment n/a</t>
        </is>
      </c>
      <c r="P229" t="n">
        <v>0.0003</v>
      </c>
      <c r="Q229" t="n">
        <v>0.08210000000000001</v>
      </c>
      <c r="R229" t="inlineStr">
        <is>
          <t>T1190:Exploit Public-Facing Application</t>
        </is>
      </c>
      <c r="S229" t="n">
        <v>1</v>
      </c>
      <c r="T229" t="inlineStr">
        <is>
          <t>LOW (40%)</t>
        </is>
      </c>
      <c r="U229" t="inlineStr">
        <is>
          <t>UNLIKELY</t>
        </is>
      </c>
      <c r="V229" t="inlineStr">
        <is>
          <t>CHECK_VENDOR</t>
        </is>
      </c>
      <c r="W229" t="inlineStr">
        <is>
          <t>https://nvd.nist.gov/vuln/detail/CVE-2026-25402</t>
        </is>
      </c>
      <c r="X229" t="inlineStr">
        <is>
          <t>NONE</t>
        </is>
      </c>
      <c r="Y229" t="n">
        <v>0</v>
      </c>
      <c r="Z229" t="inlineStr"/>
      <c r="AA229" t="inlineStr">
        <is>
          <t>https://nvd.nist.gov/vuln/detail/CVE-2026-25402</t>
        </is>
      </c>
    </row>
    <row r="230">
      <c r="A230" t="inlineStr">
        <is>
          <t>CVE</t>
        </is>
      </c>
      <c r="B230" t="inlineStr">
        <is>
          <t>CVE-2026-25404</t>
        </is>
      </c>
      <c r="C230" t="inlineStr">
        <is>
          <t>Missing Authorization vulnerability in Automattic WP Job Manager wp-job-manager allows Exploiting Incorrectly Configured Access Control Security Levels.This issue affects WP Job Manager: from n/a through &lt;= 2.4.0.</t>
        </is>
      </c>
      <c r="D230" t="n">
        <v>5.3</v>
      </c>
      <c r="E230" t="inlineStr">
        <is>
          <t>MEDIUM</t>
        </is>
      </c>
      <c r="F230" t="n">
        <v>2</v>
      </c>
      <c r="G230" t="n">
        <v>2</v>
      </c>
      <c r="H230" t="inlineStr">
        <is>
          <t>MEDIUM</t>
        </is>
      </c>
      <c r="I230" t="n">
        <v>9.300000000000001</v>
      </c>
      <c r="J230" t="inlineStr">
        <is>
          <t>NO</t>
        </is>
      </c>
      <c r="K230" t="inlineStr">
        <is>
          <t>2026-02-26 00:15</t>
        </is>
      </c>
      <c r="L230" t="inlineStr">
        <is>
          <t>CHECK_VENDOR</t>
        </is>
      </c>
      <c r="M230" t="inlineStr">
        <is>
          <t>See CVE details</t>
        </is>
      </c>
      <c r="N230" t="inlineStr">
        <is>
          <t>P4</t>
        </is>
      </c>
      <c r="O230" t="inlineStr">
        <is>
          <t>CVE - IP enrichment n/a</t>
        </is>
      </c>
      <c r="P230" t="n">
        <v>0</v>
      </c>
      <c r="Q230" t="n">
        <v>0</v>
      </c>
      <c r="R230" t="inlineStr">
        <is>
          <t>T1190:Exploit Public-Facing Application</t>
        </is>
      </c>
      <c r="S230" t="n">
        <v>1</v>
      </c>
      <c r="T230" t="inlineStr">
        <is>
          <t>LOW (40%)</t>
        </is>
      </c>
      <c r="U230" t="inlineStr">
        <is>
          <t>UNLIKELY</t>
        </is>
      </c>
      <c r="V230" t="inlineStr">
        <is>
          <t>CHECK_VENDOR</t>
        </is>
      </c>
      <c r="W230" t="inlineStr">
        <is>
          <t>https://nvd.nist.gov/vuln/detail/CVE-2026-25404</t>
        </is>
      </c>
      <c r="X230" t="inlineStr">
        <is>
          <t>NONE</t>
        </is>
      </c>
      <c r="Y230" t="n">
        <v>0</v>
      </c>
      <c r="Z230" t="inlineStr"/>
      <c r="AA230" t="inlineStr">
        <is>
          <t>https://nvd.nist.gov/vuln/detail/CVE-2026-25404</t>
        </is>
      </c>
    </row>
    <row r="231">
      <c r="A231" t="inlineStr">
        <is>
          <t>CVE</t>
        </is>
      </c>
      <c r="B231" t="inlineStr">
        <is>
          <t>CVE-2026-25407</t>
        </is>
      </c>
      <c r="C231" t="inlineStr">
        <is>
          <t>Missing Authorization vulnerability in cookiebot Cookiebot cookiebot allows Exploiting Incorrectly Configured Access Control Security Levels.This issue affects Cookiebot: from n/a through &lt;= 4.6.4.</t>
        </is>
      </c>
      <c r="D231" t="n">
        <v>4.3</v>
      </c>
      <c r="E231" t="inlineStr">
        <is>
          <t>MEDIUM</t>
        </is>
      </c>
      <c r="F231" t="n">
        <v>2</v>
      </c>
      <c r="G231" t="n">
        <v>2</v>
      </c>
      <c r="H231" t="inlineStr">
        <is>
          <t>MEDIUM</t>
        </is>
      </c>
      <c r="I231" t="n">
        <v>8.300000000000001</v>
      </c>
      <c r="J231" t="inlineStr">
        <is>
          <t>NO</t>
        </is>
      </c>
      <c r="K231" t="inlineStr">
        <is>
          <t>2026-02-26 00:15</t>
        </is>
      </c>
      <c r="L231" t="inlineStr">
        <is>
          <t>CHECK_VENDOR</t>
        </is>
      </c>
      <c r="M231" t="inlineStr">
        <is>
          <t>See CVE details</t>
        </is>
      </c>
      <c r="N231" t="inlineStr">
        <is>
          <t>P4</t>
        </is>
      </c>
      <c r="O231" t="inlineStr">
        <is>
          <t>CVE - IP enrichment n/a</t>
        </is>
      </c>
      <c r="P231" t="n">
        <v>0</v>
      </c>
      <c r="Q231" t="n">
        <v>0</v>
      </c>
      <c r="R231" t="inlineStr">
        <is>
          <t>T1190:Exploit Public-Facing Application</t>
        </is>
      </c>
      <c r="S231" t="n">
        <v>1</v>
      </c>
      <c r="T231" t="inlineStr">
        <is>
          <t>LOW (40%)</t>
        </is>
      </c>
      <c r="U231" t="inlineStr">
        <is>
          <t>UNLIKELY</t>
        </is>
      </c>
      <c r="V231" t="inlineStr">
        <is>
          <t>CHECK_VENDOR</t>
        </is>
      </c>
      <c r="W231" t="inlineStr">
        <is>
          <t>https://nvd.nist.gov/vuln/detail/CVE-2026-25407</t>
        </is>
      </c>
      <c r="X231" t="inlineStr">
        <is>
          <t>NONE</t>
        </is>
      </c>
      <c r="Y231" t="n">
        <v>0</v>
      </c>
      <c r="Z231" t="inlineStr"/>
      <c r="AA231" t="inlineStr">
        <is>
          <t>https://nvd.nist.gov/vuln/detail/CVE-2026-25407</t>
        </is>
      </c>
    </row>
    <row r="232">
      <c r="A232" t="inlineStr">
        <is>
          <t>CVE</t>
        </is>
      </c>
      <c r="B232" t="inlineStr">
        <is>
          <t>CVE-2026-25408</t>
        </is>
      </c>
      <c r="C232" t="inlineStr">
        <is>
          <t>Missing Authorization vulnerability in PluginRx Broken Link Notifier broken-link-notifier allows Exploiting Incorrectly Configured Access Control Security Levels.This issue affects Broken Link Notifier: from n/a through &lt;= 1.3.5.</t>
        </is>
      </c>
      <c r="D232" t="n">
        <v>5.3</v>
      </c>
      <c r="E232" t="inlineStr">
        <is>
          <t>MEDIUM</t>
        </is>
      </c>
      <c r="F232" t="n">
        <v>2</v>
      </c>
      <c r="G232" t="n">
        <v>2</v>
      </c>
      <c r="H232" t="inlineStr">
        <is>
          <t>MEDIUM</t>
        </is>
      </c>
      <c r="I232" t="n">
        <v>9.300000000000001</v>
      </c>
      <c r="J232" t="inlineStr">
        <is>
          <t>NO</t>
        </is>
      </c>
      <c r="K232" t="inlineStr">
        <is>
          <t>2026-02-26 00:15</t>
        </is>
      </c>
      <c r="L232" t="inlineStr">
        <is>
          <t>CHECK_VENDOR</t>
        </is>
      </c>
      <c r="M232" t="inlineStr">
        <is>
          <t>See CVE details</t>
        </is>
      </c>
      <c r="N232" t="inlineStr">
        <is>
          <t>P4</t>
        </is>
      </c>
      <c r="O232" t="inlineStr">
        <is>
          <t>CVE - IP enrichment n/a</t>
        </is>
      </c>
      <c r="P232" t="n">
        <v>0.0004</v>
      </c>
      <c r="Q232" t="n">
        <v>0.1078</v>
      </c>
      <c r="R232" t="inlineStr">
        <is>
          <t>T1190:Exploit Public-Facing Application</t>
        </is>
      </c>
      <c r="S232" t="n">
        <v>1</v>
      </c>
      <c r="T232" t="inlineStr">
        <is>
          <t>LOW (40%)</t>
        </is>
      </c>
      <c r="U232" t="inlineStr">
        <is>
          <t>UNLIKELY</t>
        </is>
      </c>
      <c r="V232" t="inlineStr">
        <is>
          <t>CHECK_VENDOR</t>
        </is>
      </c>
      <c r="W232" t="inlineStr">
        <is>
          <t>https://nvd.nist.gov/vuln/detail/CVE-2026-25408</t>
        </is>
      </c>
      <c r="X232" t="inlineStr">
        <is>
          <t>NONE</t>
        </is>
      </c>
      <c r="Y232" t="n">
        <v>0</v>
      </c>
      <c r="Z232" t="inlineStr"/>
      <c r="AA232" t="inlineStr">
        <is>
          <t>https://nvd.nist.gov/vuln/detail/CVE-2026-25408</t>
        </is>
      </c>
    </row>
    <row r="233">
      <c r="A233" t="inlineStr">
        <is>
          <t>CVE</t>
        </is>
      </c>
      <c r="B233" t="inlineStr">
        <is>
          <t>CVE-2026-25409</t>
        </is>
      </c>
      <c r="C233" t="inlineStr">
        <is>
          <t>Missing Authorization vulnerability in crgeary JAMstack Deployments wp-jamstack-deployments allows Exploiting Incorrectly Configured Access Control Security Levels.This issue affects JAMstack Deployments: from n/a through &lt;= 1.1.1.</t>
        </is>
      </c>
      <c r="D233" t="n">
        <v>4.3</v>
      </c>
      <c r="E233" t="inlineStr">
        <is>
          <t>MEDIUM</t>
        </is>
      </c>
      <c r="F233" t="n">
        <v>2</v>
      </c>
      <c r="G233" t="n">
        <v>2</v>
      </c>
      <c r="H233" t="inlineStr">
        <is>
          <t>MEDIUM</t>
        </is>
      </c>
      <c r="I233" t="n">
        <v>8.300000000000001</v>
      </c>
      <c r="J233" t="inlineStr">
        <is>
          <t>NO</t>
        </is>
      </c>
      <c r="K233" t="inlineStr">
        <is>
          <t>2026-02-26 00:15</t>
        </is>
      </c>
      <c r="L233" t="inlineStr">
        <is>
          <t>CHECK_VENDOR</t>
        </is>
      </c>
      <c r="M233" t="inlineStr">
        <is>
          <t>See CVE details</t>
        </is>
      </c>
      <c r="N233" t="inlineStr">
        <is>
          <t>P4</t>
        </is>
      </c>
      <c r="O233" t="inlineStr">
        <is>
          <t>CVE - IP enrichment n/a</t>
        </is>
      </c>
      <c r="P233" t="n">
        <v>0</v>
      </c>
      <c r="Q233" t="n">
        <v>0</v>
      </c>
      <c r="R233" t="inlineStr">
        <is>
          <t>T1190:Exploit Public-Facing Application</t>
        </is>
      </c>
      <c r="S233" t="n">
        <v>1</v>
      </c>
      <c r="T233" t="inlineStr">
        <is>
          <t>LOW (40%)</t>
        </is>
      </c>
      <c r="U233" t="inlineStr">
        <is>
          <t>UNLIKELY</t>
        </is>
      </c>
      <c r="V233" t="inlineStr">
        <is>
          <t>CHECK_VENDOR</t>
        </is>
      </c>
      <c r="W233" t="inlineStr">
        <is>
          <t>https://nvd.nist.gov/vuln/detail/CVE-2026-25409</t>
        </is>
      </c>
      <c r="X233" t="inlineStr">
        <is>
          <t>NONE</t>
        </is>
      </c>
      <c r="Y233" t="n">
        <v>0</v>
      </c>
      <c r="Z233" t="inlineStr"/>
      <c r="AA233" t="inlineStr">
        <is>
          <t>https://nvd.nist.gov/vuln/detail/CVE-2026-25409</t>
        </is>
      </c>
    </row>
    <row r="234">
      <c r="A234" t="inlineStr">
        <is>
          <t>CVE</t>
        </is>
      </c>
      <c r="B234" t="inlineStr">
        <is>
          <t>CVE-2026-25410</t>
        </is>
      </c>
      <c r="C234" t="inlineStr">
        <is>
          <t>Missing Authorization vulnerability in tstephenson WP-CORS wp-cors allows Exploiting Incorrectly Configured Access Control Security Levels.This issue affects WP-CORS: from n/a through &lt;= 0.2.2.</t>
        </is>
      </c>
      <c r="D234" t="n">
        <v>4.3</v>
      </c>
      <c r="E234" t="inlineStr">
        <is>
          <t>MEDIUM</t>
        </is>
      </c>
      <c r="F234" t="n">
        <v>2</v>
      </c>
      <c r="G234" t="n">
        <v>2</v>
      </c>
      <c r="H234" t="inlineStr">
        <is>
          <t>MEDIUM</t>
        </is>
      </c>
      <c r="I234" t="n">
        <v>8.300000000000001</v>
      </c>
      <c r="J234" t="inlineStr">
        <is>
          <t>NO</t>
        </is>
      </c>
      <c r="K234" t="inlineStr">
        <is>
          <t>2026-02-26 00:15</t>
        </is>
      </c>
      <c r="L234" t="inlineStr">
        <is>
          <t>CHECK_VENDOR</t>
        </is>
      </c>
      <c r="M234" t="inlineStr">
        <is>
          <t>See CVE details</t>
        </is>
      </c>
      <c r="N234" t="inlineStr">
        <is>
          <t>P4</t>
        </is>
      </c>
      <c r="O234" t="inlineStr">
        <is>
          <t>CVE - IP enrichment n/a</t>
        </is>
      </c>
      <c r="P234" t="n">
        <v>0</v>
      </c>
      <c r="Q234" t="n">
        <v>0</v>
      </c>
      <c r="R234" t="inlineStr">
        <is>
          <t>T1190:Exploit Public-Facing Application</t>
        </is>
      </c>
      <c r="S234" t="n">
        <v>1</v>
      </c>
      <c r="T234" t="inlineStr">
        <is>
          <t>LOW (40%)</t>
        </is>
      </c>
      <c r="U234" t="inlineStr">
        <is>
          <t>UNLIKELY</t>
        </is>
      </c>
      <c r="V234" t="inlineStr">
        <is>
          <t>CHECK_VENDOR</t>
        </is>
      </c>
      <c r="W234" t="inlineStr">
        <is>
          <t>https://nvd.nist.gov/vuln/detail/CVE-2026-25410</t>
        </is>
      </c>
      <c r="X234" t="inlineStr">
        <is>
          <t>NONE</t>
        </is>
      </c>
      <c r="Y234" t="n">
        <v>0</v>
      </c>
      <c r="Z234" t="inlineStr"/>
      <c r="AA234" t="inlineStr">
        <is>
          <t>https://nvd.nist.gov/vuln/detail/CVE-2026-25410</t>
        </is>
      </c>
    </row>
    <row r="235">
      <c r="A235" t="inlineStr">
        <is>
          <t>CVE</t>
        </is>
      </c>
      <c r="B235" t="inlineStr">
        <is>
          <t>CVE-2026-25411</t>
        </is>
      </c>
      <c r="C235" t="inlineStr">
        <is>
          <t>Cross-Site Request Forgery (CSRF) vulnerability in themastercut Revision Manager TMC revision-manager-tmc allows Cross Site Request Forgery.This issue affects Revision Manager TMC: from n/a through &lt;= 2.8.22.</t>
        </is>
      </c>
      <c r="D235" t="n">
        <v>4.3</v>
      </c>
      <c r="E235" t="inlineStr">
        <is>
          <t>MEDIUM</t>
        </is>
      </c>
      <c r="F235" t="n">
        <v>2</v>
      </c>
      <c r="G235" t="n">
        <v>2</v>
      </c>
      <c r="H235" t="inlineStr">
        <is>
          <t>MEDIUM</t>
        </is>
      </c>
      <c r="I235" t="n">
        <v>8.300000000000001</v>
      </c>
      <c r="J235" t="inlineStr">
        <is>
          <t>NO</t>
        </is>
      </c>
      <c r="K235" t="inlineStr">
        <is>
          <t>2026-02-26 00:15</t>
        </is>
      </c>
      <c r="L235" t="inlineStr">
        <is>
          <t>CHECK_VENDOR</t>
        </is>
      </c>
      <c r="M235" t="inlineStr">
        <is>
          <t>See CVE details</t>
        </is>
      </c>
      <c r="N235" t="inlineStr">
        <is>
          <t>P4</t>
        </is>
      </c>
      <c r="O235" t="inlineStr">
        <is>
          <t>CVE - IP enrichment n/a</t>
        </is>
      </c>
      <c r="P235" t="n">
        <v>0.0002</v>
      </c>
      <c r="Q235" t="n">
        <v>0.0318</v>
      </c>
      <c r="R235" t="inlineStr">
        <is>
          <t>T1185:Browser Session Hijacking</t>
        </is>
      </c>
      <c r="S235" t="n">
        <v>1</v>
      </c>
      <c r="T235" t="inlineStr">
        <is>
          <t>LOW (40%)</t>
        </is>
      </c>
      <c r="U235" t="inlineStr">
        <is>
          <t>UNLIKELY</t>
        </is>
      </c>
      <c r="V235" t="inlineStr">
        <is>
          <t>CHECK_VENDOR</t>
        </is>
      </c>
      <c r="W235" t="inlineStr">
        <is>
          <t>https://nvd.nist.gov/vuln/detail/CVE-2026-25411</t>
        </is>
      </c>
      <c r="X235" t="inlineStr">
        <is>
          <t>NONE</t>
        </is>
      </c>
      <c r="Y235" t="n">
        <v>0</v>
      </c>
      <c r="Z235" t="inlineStr"/>
      <c r="AA235" t="inlineStr">
        <is>
          <t>https://nvd.nist.gov/vuln/detail/CVE-2026-25411</t>
        </is>
      </c>
    </row>
    <row r="236">
      <c r="A236" t="inlineStr">
        <is>
          <t>CVE</t>
        </is>
      </c>
      <c r="B236" t="inlineStr">
        <is>
          <t>CVE-2026-25412</t>
        </is>
      </c>
      <c r="C236" t="inlineStr">
        <is>
          <t>Rejected reason: This CVE ID has been rejected or withdrawn by its CVE Numbering Authority.</t>
        </is>
      </c>
      <c r="D236" t="n">
        <v>5</v>
      </c>
      <c r="E236" t="inlineStr">
        <is>
          <t>MEDIUM</t>
        </is>
      </c>
      <c r="F236" t="n">
        <v>2</v>
      </c>
      <c r="G236" t="n">
        <v>2</v>
      </c>
      <c r="H236" t="inlineStr">
        <is>
          <t>MEDIUM</t>
        </is>
      </c>
      <c r="I236" t="n">
        <v>9</v>
      </c>
      <c r="J236" t="inlineStr">
        <is>
          <t>NO</t>
        </is>
      </c>
      <c r="K236" t="inlineStr">
        <is>
          <t>2026-02-26 00:15</t>
        </is>
      </c>
      <c r="L236" t="inlineStr">
        <is>
          <t>CHECK_VENDOR</t>
        </is>
      </c>
      <c r="M236" t="inlineStr">
        <is>
          <t>See CVE details</t>
        </is>
      </c>
      <c r="N236" t="inlineStr">
        <is>
          <t>P4</t>
        </is>
      </c>
      <c r="O236" t="inlineStr">
        <is>
          <t>CVE - IP enrichment n/a</t>
        </is>
      </c>
      <c r="P236" t="n">
        <v>0</v>
      </c>
      <c r="Q236" t="n">
        <v>0</v>
      </c>
      <c r="R236" t="inlineStr">
        <is>
          <t>T1190:Exploit Public-Facing Application</t>
        </is>
      </c>
      <c r="S236" t="n">
        <v>1</v>
      </c>
      <c r="T236" t="inlineStr">
        <is>
          <t>LOW (40%)</t>
        </is>
      </c>
      <c r="U236" t="inlineStr">
        <is>
          <t>UNLIKELY</t>
        </is>
      </c>
      <c r="V236" t="inlineStr">
        <is>
          <t>CHECK_VENDOR</t>
        </is>
      </c>
      <c r="W236" t="inlineStr">
        <is>
          <t>https://nvd.nist.gov/vuln/detail/CVE-2026-25412</t>
        </is>
      </c>
      <c r="X236" t="inlineStr">
        <is>
          <t>NONE</t>
        </is>
      </c>
      <c r="Y236" t="n">
        <v>0</v>
      </c>
      <c r="Z236" t="inlineStr"/>
      <c r="AA236" t="inlineStr">
        <is>
          <t>https://nvd.nist.gov/vuln/detail/CVE-2026-25412</t>
        </is>
      </c>
    </row>
    <row r="237">
      <c r="A237" t="inlineStr">
        <is>
          <t>CVE</t>
        </is>
      </c>
      <c r="B237" t="inlineStr">
        <is>
          <t>CVE-2026-25415</t>
        </is>
      </c>
      <c r="C237" t="inlineStr">
        <is>
          <t>Missing Authorization vulnerability in iqonicdesign WPBookit Pro wpbookit-pro allows Exploiting Incorrectly Configured Access Control Security Levels.This issue affects WPBookit Pro: from n/a through &lt;= 1.6.18.</t>
        </is>
      </c>
      <c r="D237" t="n">
        <v>5.3</v>
      </c>
      <c r="E237" t="inlineStr">
        <is>
          <t>MEDIUM</t>
        </is>
      </c>
      <c r="F237" t="n">
        <v>2</v>
      </c>
      <c r="G237" t="n">
        <v>2</v>
      </c>
      <c r="H237" t="inlineStr">
        <is>
          <t>MEDIUM</t>
        </is>
      </c>
      <c r="I237" t="n">
        <v>9.300000000000001</v>
      </c>
      <c r="J237" t="inlineStr">
        <is>
          <t>NO</t>
        </is>
      </c>
      <c r="K237" t="inlineStr">
        <is>
          <t>2026-02-26 00:15</t>
        </is>
      </c>
      <c r="L237" t="inlineStr">
        <is>
          <t>CHECK_VENDOR</t>
        </is>
      </c>
      <c r="M237" t="inlineStr">
        <is>
          <t>See CVE details</t>
        </is>
      </c>
      <c r="N237" t="inlineStr">
        <is>
          <t>P4</t>
        </is>
      </c>
      <c r="O237" t="inlineStr">
        <is>
          <t>CVE - IP enrichment n/a</t>
        </is>
      </c>
      <c r="P237" t="n">
        <v>0</v>
      </c>
      <c r="Q237" t="n">
        <v>0</v>
      </c>
      <c r="R237" t="inlineStr">
        <is>
          <t>T1190:Exploit Public-Facing Application</t>
        </is>
      </c>
      <c r="S237" t="n">
        <v>1</v>
      </c>
      <c r="T237" t="inlineStr">
        <is>
          <t>LOW (40%)</t>
        </is>
      </c>
      <c r="U237" t="inlineStr">
        <is>
          <t>UNLIKELY</t>
        </is>
      </c>
      <c r="V237" t="inlineStr">
        <is>
          <t>CHECK_VENDOR</t>
        </is>
      </c>
      <c r="W237" t="inlineStr">
        <is>
          <t>https://nvd.nist.gov/vuln/detail/CVE-2026-25415</t>
        </is>
      </c>
      <c r="X237" t="inlineStr">
        <is>
          <t>NONE</t>
        </is>
      </c>
      <c r="Y237" t="n">
        <v>0</v>
      </c>
      <c r="Z237" t="inlineStr"/>
      <c r="AA237" t="inlineStr">
        <is>
          <t>https://nvd.nist.gov/vuln/detail/CVE-2026-25415</t>
        </is>
      </c>
    </row>
    <row r="238">
      <c r="A238" t="inlineStr">
        <is>
          <t>CVE</t>
        </is>
      </c>
      <c r="B238" t="inlineStr">
        <is>
          <t>CVE-2026-25416</t>
        </is>
      </c>
      <c r="C238" t="inlineStr">
        <is>
          <t>Missing Authorization vulnerability in blazethemes News Kit Elementor Addons news-kit-elementor-addons allows Exploiting Incorrectly Configured Access Control Security Levels.This issue affects News Kit Elementor Addons: from n/a through &lt;= 1.4.2.</t>
        </is>
      </c>
      <c r="D238" t="n">
        <v>4.3</v>
      </c>
      <c r="E238" t="inlineStr">
        <is>
          <t>MEDIUM</t>
        </is>
      </c>
      <c r="F238" t="n">
        <v>2</v>
      </c>
      <c r="G238" t="n">
        <v>2</v>
      </c>
      <c r="H238" t="inlineStr">
        <is>
          <t>MEDIUM</t>
        </is>
      </c>
      <c r="I238" t="n">
        <v>8.300000000000001</v>
      </c>
      <c r="J238" t="inlineStr">
        <is>
          <t>NO</t>
        </is>
      </c>
      <c r="K238" t="inlineStr">
        <is>
          <t>2026-02-26 00:15</t>
        </is>
      </c>
      <c r="L238" t="inlineStr">
        <is>
          <t>CHECK_VENDOR</t>
        </is>
      </c>
      <c r="M238" t="inlineStr">
        <is>
          <t>See CVE details</t>
        </is>
      </c>
      <c r="N238" t="inlineStr">
        <is>
          <t>P4</t>
        </is>
      </c>
      <c r="O238" t="inlineStr">
        <is>
          <t>CVE - IP enrichment n/a</t>
        </is>
      </c>
      <c r="P238" t="n">
        <v>0</v>
      </c>
      <c r="Q238" t="n">
        <v>0</v>
      </c>
      <c r="R238" t="inlineStr">
        <is>
          <t>T1190:Exploit Public-Facing Application</t>
        </is>
      </c>
      <c r="S238" t="n">
        <v>1</v>
      </c>
      <c r="T238" t="inlineStr">
        <is>
          <t>LOW (40%)</t>
        </is>
      </c>
      <c r="U238" t="inlineStr">
        <is>
          <t>UNLIKELY</t>
        </is>
      </c>
      <c r="V238" t="inlineStr">
        <is>
          <t>CHECK_VENDOR</t>
        </is>
      </c>
      <c r="W238" t="inlineStr">
        <is>
          <t>https://nvd.nist.gov/vuln/detail/CVE-2026-25416</t>
        </is>
      </c>
      <c r="X238" t="inlineStr">
        <is>
          <t>NONE</t>
        </is>
      </c>
      <c r="Y238" t="n">
        <v>0</v>
      </c>
      <c r="Z238" t="inlineStr"/>
      <c r="AA238" t="inlineStr">
        <is>
          <t>https://nvd.nist.gov/vuln/detail/CVE-2026-25416</t>
        </is>
      </c>
    </row>
    <row r="239">
      <c r="A239" t="inlineStr">
        <is>
          <t>CVE</t>
        </is>
      </c>
      <c r="B239" t="inlineStr">
        <is>
          <t>CVE-2026-25418</t>
        </is>
      </c>
      <c r="C239" t="inlineStr">
        <is>
          <t>Improper Neutralization of Special Elements used in an SQL Command ('SQL Injection') vulnerability in bitpressadmin Bit Form bit-form allows SQL Injection.This issue affects Bit Form: from n/a through &lt;= 2.21.10.</t>
        </is>
      </c>
      <c r="D239" t="n">
        <v>7.6</v>
      </c>
      <c r="E239" t="inlineStr">
        <is>
          <t>HIGH</t>
        </is>
      </c>
      <c r="F239" t="n">
        <v>2</v>
      </c>
      <c r="G239" t="n">
        <v>3</v>
      </c>
      <c r="H239" t="inlineStr">
        <is>
          <t>HIGH</t>
        </is>
      </c>
      <c r="I239" t="n">
        <v>13.6</v>
      </c>
      <c r="J239" t="inlineStr">
        <is>
          <t>NO</t>
        </is>
      </c>
      <c r="K239" t="inlineStr">
        <is>
          <t>2026-02-26 00:15</t>
        </is>
      </c>
      <c r="L239" t="inlineStr">
        <is>
          <t>CHECK_VENDOR</t>
        </is>
      </c>
      <c r="M239" t="inlineStr">
        <is>
          <t>See CVE details</t>
        </is>
      </c>
      <c r="N239" t="inlineStr">
        <is>
          <t>P3</t>
        </is>
      </c>
      <c r="O239" t="inlineStr">
        <is>
          <t>CVE - IP enrichment n/a</t>
        </is>
      </c>
      <c r="P239" t="n">
        <v>0</v>
      </c>
      <c r="Q239" t="n">
        <v>0</v>
      </c>
      <c r="R239" t="inlineStr">
        <is>
          <t>T1190:Exploit Public-Facing Application</t>
        </is>
      </c>
      <c r="S239" t="n">
        <v>1</v>
      </c>
      <c r="T239" t="inlineStr">
        <is>
          <t>LOW (40%)</t>
        </is>
      </c>
      <c r="U239" t="inlineStr">
        <is>
          <t>UNLIKELY</t>
        </is>
      </c>
      <c r="V239" t="inlineStr">
        <is>
          <t>CHECK_VENDOR</t>
        </is>
      </c>
      <c r="W239" t="inlineStr">
        <is>
          <t>https://nvd.nist.gov/vuln/detail/CVE-2026-25418</t>
        </is>
      </c>
      <c r="X239" t="inlineStr">
        <is>
          <t>NONE</t>
        </is>
      </c>
      <c r="Y239" t="n">
        <v>0</v>
      </c>
      <c r="Z239" t="inlineStr"/>
      <c r="AA239" t="inlineStr">
        <is>
          <t>https://nvd.nist.gov/vuln/detail/CVE-2026-25418</t>
        </is>
      </c>
    </row>
    <row r="240">
      <c r="A240" t="inlineStr">
        <is>
          <t>CVE</t>
        </is>
      </c>
      <c r="B240" t="inlineStr">
        <is>
          <t>CVE-2026-25419</t>
        </is>
      </c>
      <c r="C240" t="inlineStr">
        <is>
          <t>Missing Authorization vulnerability in flycart UpsellWP checkout-upsell-and-order-bumps allows Exploiting Incorrectly Configured Access Control Security Levels.This issue affects UpsellWP: from n/a through &lt;= 2.2.3.</t>
        </is>
      </c>
      <c r="D240" t="n">
        <v>4.3</v>
      </c>
      <c r="E240" t="inlineStr">
        <is>
          <t>MEDIUM</t>
        </is>
      </c>
      <c r="F240" t="n">
        <v>2</v>
      </c>
      <c r="G240" t="n">
        <v>2</v>
      </c>
      <c r="H240" t="inlineStr">
        <is>
          <t>MEDIUM</t>
        </is>
      </c>
      <c r="I240" t="n">
        <v>8.300000000000001</v>
      </c>
      <c r="J240" t="inlineStr">
        <is>
          <t>NO</t>
        </is>
      </c>
      <c r="K240" t="inlineStr">
        <is>
          <t>2026-02-26 00:15</t>
        </is>
      </c>
      <c r="L240" t="inlineStr">
        <is>
          <t>CHECK_VENDOR</t>
        </is>
      </c>
      <c r="M240" t="inlineStr">
        <is>
          <t>See CVE details</t>
        </is>
      </c>
      <c r="N240" t="inlineStr">
        <is>
          <t>P4</t>
        </is>
      </c>
      <c r="O240" t="inlineStr">
        <is>
          <t>CVE - IP enrichment n/a</t>
        </is>
      </c>
      <c r="P240" t="n">
        <v>0</v>
      </c>
      <c r="Q240" t="n">
        <v>0</v>
      </c>
      <c r="R240" t="inlineStr">
        <is>
          <t>T1190:Exploit Public-Facing Application</t>
        </is>
      </c>
      <c r="S240" t="n">
        <v>1</v>
      </c>
      <c r="T240" t="inlineStr">
        <is>
          <t>LOW (40%)</t>
        </is>
      </c>
      <c r="U240" t="inlineStr">
        <is>
          <t>UNLIKELY</t>
        </is>
      </c>
      <c r="V240" t="inlineStr">
        <is>
          <t>CHECK_VENDOR</t>
        </is>
      </c>
      <c r="W240" t="inlineStr">
        <is>
          <t>https://nvd.nist.gov/vuln/detail/CVE-2026-25419</t>
        </is>
      </c>
      <c r="X240" t="inlineStr">
        <is>
          <t>NONE</t>
        </is>
      </c>
      <c r="Y240" t="n">
        <v>0</v>
      </c>
      <c r="Z240" t="inlineStr"/>
      <c r="AA240" t="inlineStr">
        <is>
          <t>https://nvd.nist.gov/vuln/detail/CVE-2026-25419</t>
        </is>
      </c>
    </row>
    <row r="241">
      <c r="A241" t="inlineStr">
        <is>
          <t>CVE</t>
        </is>
      </c>
      <c r="B241" t="inlineStr">
        <is>
          <t>CVE-2026-25420</t>
        </is>
      </c>
      <c r="C241" t="inlineStr">
        <is>
          <t>Missing Authorization vulnerability in MailerLite MailerLite official-mailerlite-sign-up-forms allows Exploiting Incorrectly Configured Access Control Security Levels.This issue affects MailerLite: from n/a through &lt;= 1.7.18.</t>
        </is>
      </c>
      <c r="D241" t="n">
        <v>4.3</v>
      </c>
      <c r="E241" t="inlineStr">
        <is>
          <t>MEDIUM</t>
        </is>
      </c>
      <c r="F241" t="n">
        <v>2</v>
      </c>
      <c r="G241" t="n">
        <v>2</v>
      </c>
      <c r="H241" t="inlineStr">
        <is>
          <t>MEDIUM</t>
        </is>
      </c>
      <c r="I241" t="n">
        <v>8.300000000000001</v>
      </c>
      <c r="J241" t="inlineStr">
        <is>
          <t>NO</t>
        </is>
      </c>
      <c r="K241" t="inlineStr">
        <is>
          <t>2026-02-26 00:15</t>
        </is>
      </c>
      <c r="L241" t="inlineStr">
        <is>
          <t>CHECK_VENDOR</t>
        </is>
      </c>
      <c r="M241" t="inlineStr">
        <is>
          <t>See CVE details</t>
        </is>
      </c>
      <c r="N241" t="inlineStr">
        <is>
          <t>P4</t>
        </is>
      </c>
      <c r="O241" t="inlineStr">
        <is>
          <t>CVE - IP enrichment n/a</t>
        </is>
      </c>
      <c r="P241" t="n">
        <v>0</v>
      </c>
      <c r="Q241" t="n">
        <v>0</v>
      </c>
      <c r="R241" t="inlineStr">
        <is>
          <t>T1190:Exploit Public-Facing Application</t>
        </is>
      </c>
      <c r="S241" t="n">
        <v>1</v>
      </c>
      <c r="T241" t="inlineStr">
        <is>
          <t>LOW (40%)</t>
        </is>
      </c>
      <c r="U241" t="inlineStr">
        <is>
          <t>UNLIKELY</t>
        </is>
      </c>
      <c r="V241" t="inlineStr">
        <is>
          <t>CHECK_VENDOR</t>
        </is>
      </c>
      <c r="W241" t="inlineStr">
        <is>
          <t>https://nvd.nist.gov/vuln/detail/CVE-2026-25420</t>
        </is>
      </c>
      <c r="X241" t="inlineStr">
        <is>
          <t>NONE</t>
        </is>
      </c>
      <c r="Y241" t="n">
        <v>0</v>
      </c>
      <c r="Z241" t="inlineStr"/>
      <c r="AA241" t="inlineStr">
        <is>
          <t>https://nvd.nist.gov/vuln/detail/CVE-2026-25420</t>
        </is>
      </c>
    </row>
    <row r="242">
      <c r="A242" t="inlineStr">
        <is>
          <t>CVE</t>
        </is>
      </c>
      <c r="B242" t="inlineStr">
        <is>
          <t>CVE-2026-25422</t>
        </is>
      </c>
      <c r="C242" t="inlineStr">
        <is>
          <t>Cross-Site Request Forgery (CSRF) vulnerability in Themes4WP Popularis Extra popularis-extra allows Cross Site Request Forgery.This issue affects Popularis Extra: from n/a through &lt;= 1.2.10.</t>
        </is>
      </c>
      <c r="D242" t="n">
        <v>5</v>
      </c>
      <c r="E242" t="inlineStr">
        <is>
          <t>MEDIUM</t>
        </is>
      </c>
      <c r="F242" t="n">
        <v>2</v>
      </c>
      <c r="G242" t="n">
        <v>2</v>
      </c>
      <c r="H242" t="inlineStr">
        <is>
          <t>MEDIUM</t>
        </is>
      </c>
      <c r="I242" t="n">
        <v>9</v>
      </c>
      <c r="J242" t="inlineStr">
        <is>
          <t>NO</t>
        </is>
      </c>
      <c r="K242" t="inlineStr">
        <is>
          <t>2026-02-26 00:15</t>
        </is>
      </c>
      <c r="L242" t="inlineStr">
        <is>
          <t>CHECK_VENDOR</t>
        </is>
      </c>
      <c r="M242" t="inlineStr">
        <is>
          <t>See CVE details</t>
        </is>
      </c>
      <c r="N242" t="inlineStr">
        <is>
          <t>P4</t>
        </is>
      </c>
      <c r="O242" t="inlineStr">
        <is>
          <t>CVE - IP enrichment n/a</t>
        </is>
      </c>
      <c r="P242" t="n">
        <v>0.0001</v>
      </c>
      <c r="Q242" t="n">
        <v>0.0128</v>
      </c>
      <c r="R242" t="inlineStr">
        <is>
          <t>T1185:Browser Session Hijacking</t>
        </is>
      </c>
      <c r="S242" t="n">
        <v>1</v>
      </c>
      <c r="T242" t="inlineStr">
        <is>
          <t>LOW (40%)</t>
        </is>
      </c>
      <c r="U242" t="inlineStr">
        <is>
          <t>UNLIKELY</t>
        </is>
      </c>
      <c r="V242" t="inlineStr">
        <is>
          <t>CHECK_VENDOR</t>
        </is>
      </c>
      <c r="W242" t="inlineStr">
        <is>
          <t>https://nvd.nist.gov/vuln/detail/CVE-2026-25422</t>
        </is>
      </c>
      <c r="X242" t="inlineStr">
        <is>
          <t>NONE</t>
        </is>
      </c>
      <c r="Y242" t="n">
        <v>0</v>
      </c>
      <c r="Z242" t="inlineStr"/>
      <c r="AA242" t="inlineStr">
        <is>
          <t>https://nvd.nist.gov/vuln/detail/CVE-2026-25422</t>
        </is>
      </c>
    </row>
    <row r="243">
      <c r="A243" t="inlineStr">
        <is>
          <t>CVE</t>
        </is>
      </c>
      <c r="B243" t="inlineStr">
        <is>
          <t>CVE-2026-25423</t>
        </is>
      </c>
      <c r="C243" t="inlineStr">
        <is>
          <t>Missing Authorization vulnerability in creativeinteractivemedia Real 3D FlipBook real3d-flipbook-lite allows Exploiting Incorrectly Configured Access Control Security Levels.This issue affects Real 3D FlipBook: from n/a through &lt;= 4.16.4.</t>
        </is>
      </c>
      <c r="D243" t="n">
        <v>3.8</v>
      </c>
      <c r="E243" t="inlineStr">
        <is>
          <t>LOW</t>
        </is>
      </c>
      <c r="F243" t="n">
        <v>2</v>
      </c>
      <c r="G243" t="n">
        <v>1</v>
      </c>
      <c r="H243" t="inlineStr">
        <is>
          <t>LOW</t>
        </is>
      </c>
      <c r="I243" t="n">
        <v>5.8</v>
      </c>
      <c r="J243" t="inlineStr">
        <is>
          <t>NO</t>
        </is>
      </c>
      <c r="K243" t="inlineStr">
        <is>
          <t>2026-02-26 00:15</t>
        </is>
      </c>
      <c r="L243" t="inlineStr">
        <is>
          <t>CHECK_VENDOR</t>
        </is>
      </c>
      <c r="M243" t="inlineStr">
        <is>
          <t>See CVE details</t>
        </is>
      </c>
      <c r="N243" t="inlineStr">
        <is>
          <t>P4</t>
        </is>
      </c>
      <c r="O243" t="inlineStr">
        <is>
          <t>CVE - IP enrichment n/a</t>
        </is>
      </c>
      <c r="P243" t="n">
        <v>0</v>
      </c>
      <c r="Q243" t="n">
        <v>0</v>
      </c>
      <c r="R243" t="inlineStr">
        <is>
          <t>T1190:Exploit Public-Facing Application</t>
        </is>
      </c>
      <c r="S243" t="n">
        <v>1</v>
      </c>
      <c r="T243" t="inlineStr">
        <is>
          <t>LOW (40%)</t>
        </is>
      </c>
      <c r="U243" t="inlineStr">
        <is>
          <t>UNLIKELY</t>
        </is>
      </c>
      <c r="V243" t="inlineStr">
        <is>
          <t>CHECK_VENDOR</t>
        </is>
      </c>
      <c r="W243" t="inlineStr">
        <is>
          <t>https://nvd.nist.gov/vuln/detail/CVE-2026-25423</t>
        </is>
      </c>
      <c r="X243" t="inlineStr">
        <is>
          <t>NONE</t>
        </is>
      </c>
      <c r="Y243" t="n">
        <v>0</v>
      </c>
      <c r="Z243" t="inlineStr"/>
      <c r="AA243" t="inlineStr">
        <is>
          <t>https://nvd.nist.gov/vuln/detail/CVE-2026-25423</t>
        </is>
      </c>
    </row>
    <row r="244">
      <c r="A244" t="inlineStr">
        <is>
          <t>CVE</t>
        </is>
      </c>
      <c r="B244" t="inlineStr">
        <is>
          <t>CVE-2026-25428</t>
        </is>
      </c>
      <c r="C244" t="inlineStr">
        <is>
          <t>Server-Side Request Forgery (SSRF) vulnerability in totalsoft TS Poll poll-wp allows Server Side Request Forgery.This issue affects TS Poll: from n/a through &lt;= 2.5.5.</t>
        </is>
      </c>
      <c r="D244" t="n">
        <v>4.4</v>
      </c>
      <c r="E244" t="inlineStr">
        <is>
          <t>MEDIUM</t>
        </is>
      </c>
      <c r="F244" t="n">
        <v>2</v>
      </c>
      <c r="G244" t="n">
        <v>2</v>
      </c>
      <c r="H244" t="inlineStr">
        <is>
          <t>MEDIUM</t>
        </is>
      </c>
      <c r="I244" t="n">
        <v>8.4</v>
      </c>
      <c r="J244" t="inlineStr">
        <is>
          <t>NO</t>
        </is>
      </c>
      <c r="K244" t="inlineStr">
        <is>
          <t>2026-02-26 00:15</t>
        </is>
      </c>
      <c r="L244" t="inlineStr">
        <is>
          <t>CHECK_VENDOR</t>
        </is>
      </c>
      <c r="M244" t="inlineStr">
        <is>
          <t>See CVE details</t>
        </is>
      </c>
      <c r="N244" t="inlineStr">
        <is>
          <t>P4</t>
        </is>
      </c>
      <c r="O244" t="inlineStr">
        <is>
          <t>CVE - IP enrichment n/a</t>
        </is>
      </c>
      <c r="P244" t="n">
        <v>0</v>
      </c>
      <c r="Q244" t="n">
        <v>0</v>
      </c>
      <c r="R244" t="inlineStr">
        <is>
          <t>T1090:Proxy</t>
        </is>
      </c>
      <c r="S244" t="n">
        <v>1</v>
      </c>
      <c r="T244" t="inlineStr">
        <is>
          <t>LOW (40%)</t>
        </is>
      </c>
      <c r="U244" t="inlineStr">
        <is>
          <t>UNLIKELY</t>
        </is>
      </c>
      <c r="V244" t="inlineStr">
        <is>
          <t>CHECK_VENDOR</t>
        </is>
      </c>
      <c r="W244" t="inlineStr">
        <is>
          <t>https://nvd.nist.gov/vuln/detail/CVE-2026-25428</t>
        </is>
      </c>
      <c r="X244" t="inlineStr">
        <is>
          <t>NONE</t>
        </is>
      </c>
      <c r="Y244" t="n">
        <v>0</v>
      </c>
      <c r="Z244" t="inlineStr"/>
      <c r="AA244" t="inlineStr">
        <is>
          <t>https://nvd.nist.gov/vuln/detail/CVE-2026-25428</t>
        </is>
      </c>
    </row>
    <row r="245">
      <c r="A245" t="inlineStr">
        <is>
          <t>CVE</t>
        </is>
      </c>
      <c r="B245" t="inlineStr">
        <is>
          <t>CVE-2026-25432</t>
        </is>
      </c>
      <c r="C245" t="inlineStr">
        <is>
          <t>Improper Neutralization of Input During Web Page Generation ('Cross-site Scripting') vulnerability in omnipressteam Omnipress omnipress allows Stored XSS.This issue affects Omnipress: from n/a through &lt;= 1.6.7.</t>
        </is>
      </c>
      <c r="D245" t="n">
        <v>6.5</v>
      </c>
      <c r="E245" t="inlineStr">
        <is>
          <t>MEDIUM</t>
        </is>
      </c>
      <c r="F245" t="n">
        <v>2</v>
      </c>
      <c r="G245" t="n">
        <v>2</v>
      </c>
      <c r="H245" t="inlineStr">
        <is>
          <t>MEDIUM</t>
        </is>
      </c>
      <c r="I245" t="n">
        <v>10.5</v>
      </c>
      <c r="J245" t="inlineStr">
        <is>
          <t>NO</t>
        </is>
      </c>
      <c r="K245" t="inlineStr">
        <is>
          <t>2026-02-26 00:15</t>
        </is>
      </c>
      <c r="L245" t="inlineStr">
        <is>
          <t>CHECK_VENDOR</t>
        </is>
      </c>
      <c r="M245" t="inlineStr">
        <is>
          <t>See CVE details</t>
        </is>
      </c>
      <c r="N245" t="inlineStr">
        <is>
          <t>P4</t>
        </is>
      </c>
      <c r="O245" t="inlineStr">
        <is>
          <t>CVE - IP enrichment n/a</t>
        </is>
      </c>
      <c r="P245" t="n">
        <v>0</v>
      </c>
      <c r="Q245" t="n">
        <v>0</v>
      </c>
      <c r="R245" t="inlineStr">
        <is>
          <t>T1189:Drive-by Compromise</t>
        </is>
      </c>
      <c r="S245" t="n">
        <v>1</v>
      </c>
      <c r="T245" t="inlineStr">
        <is>
          <t>LOW (40%)</t>
        </is>
      </c>
      <c r="U245" t="inlineStr">
        <is>
          <t>UNLIKELY</t>
        </is>
      </c>
      <c r="V245" t="inlineStr">
        <is>
          <t>CHECK_VENDOR</t>
        </is>
      </c>
      <c r="W245" t="inlineStr">
        <is>
          <t>https://nvd.nist.gov/vuln/detail/CVE-2026-25432</t>
        </is>
      </c>
      <c r="X245" t="inlineStr">
        <is>
          <t>NONE</t>
        </is>
      </c>
      <c r="Y245" t="n">
        <v>0</v>
      </c>
      <c r="Z245" t="inlineStr"/>
      <c r="AA245" t="inlineStr">
        <is>
          <t>https://nvd.nist.gov/vuln/detail/CVE-2026-25432</t>
        </is>
      </c>
    </row>
    <row r="246">
      <c r="A246" t="inlineStr">
        <is>
          <t>CVE</t>
        </is>
      </c>
      <c r="B246" t="inlineStr">
        <is>
          <t>CVE-2026-25441</t>
        </is>
      </c>
      <c r="C246" t="inlineStr">
        <is>
          <t>Missing Authorization vulnerability in LeadConnector LeadConnector leadconnector allows Exploiting Incorrectly Configured Access Control Security Levels.This issue affects LeadConnector: from n/a through &lt;= 3.0.21.</t>
        </is>
      </c>
      <c r="D246" t="n">
        <v>5.3</v>
      </c>
      <c r="E246" t="inlineStr">
        <is>
          <t>MEDIUM</t>
        </is>
      </c>
      <c r="F246" t="n">
        <v>2</v>
      </c>
      <c r="G246" t="n">
        <v>2</v>
      </c>
      <c r="H246" t="inlineStr">
        <is>
          <t>MEDIUM</t>
        </is>
      </c>
      <c r="I246" t="n">
        <v>9.300000000000001</v>
      </c>
      <c r="J246" t="inlineStr">
        <is>
          <t>NO</t>
        </is>
      </c>
      <c r="K246" t="inlineStr">
        <is>
          <t>2026-02-26 00:15</t>
        </is>
      </c>
      <c r="L246" t="inlineStr">
        <is>
          <t>CHECK_VENDOR</t>
        </is>
      </c>
      <c r="M246" t="inlineStr">
        <is>
          <t>See CVE details</t>
        </is>
      </c>
      <c r="N246" t="inlineStr">
        <is>
          <t>P4</t>
        </is>
      </c>
      <c r="O246" t="inlineStr">
        <is>
          <t>CVE - IP enrichment n/a</t>
        </is>
      </c>
      <c r="P246" t="n">
        <v>0</v>
      </c>
      <c r="Q246" t="n">
        <v>0</v>
      </c>
      <c r="R246" t="inlineStr">
        <is>
          <t>T1190:Exploit Public-Facing Application</t>
        </is>
      </c>
      <c r="S246" t="n">
        <v>1</v>
      </c>
      <c r="T246" t="inlineStr">
        <is>
          <t>LOW (40%)</t>
        </is>
      </c>
      <c r="U246" t="inlineStr">
        <is>
          <t>UNLIKELY</t>
        </is>
      </c>
      <c r="V246" t="inlineStr">
        <is>
          <t>CHECK_VENDOR</t>
        </is>
      </c>
      <c r="W246" t="inlineStr">
        <is>
          <t>https://nvd.nist.gov/vuln/detail/CVE-2026-25441</t>
        </is>
      </c>
      <c r="X246" t="inlineStr">
        <is>
          <t>NONE</t>
        </is>
      </c>
      <c r="Y246" t="n">
        <v>0</v>
      </c>
      <c r="Z246" t="inlineStr"/>
      <c r="AA246" t="inlineStr">
        <is>
          <t>https://nvd.nist.gov/vuln/detail/CVE-2026-25441</t>
        </is>
      </c>
    </row>
    <row r="247">
      <c r="A247" t="inlineStr">
        <is>
          <t>CVE</t>
        </is>
      </c>
      <c r="B247" t="inlineStr">
        <is>
          <t>CVE-2026-25451</t>
        </is>
      </c>
      <c r="C247" t="inlineStr">
        <is>
          <t>Improper Neutralization of Input During Web Page Generation ('Cross-site Scripting') vulnerability in boldthemes Bold Page Builder bold-page-builder allows Stored XSS.This issue affects Bold Page Builder: from n/a through &lt;= 5.6.4.</t>
        </is>
      </c>
      <c r="D247" t="n">
        <v>6.5</v>
      </c>
      <c r="E247" t="inlineStr">
        <is>
          <t>MEDIUM</t>
        </is>
      </c>
      <c r="F247" t="n">
        <v>2</v>
      </c>
      <c r="G247" t="n">
        <v>2</v>
      </c>
      <c r="H247" t="inlineStr">
        <is>
          <t>MEDIUM</t>
        </is>
      </c>
      <c r="I247" t="n">
        <v>10.5</v>
      </c>
      <c r="J247" t="inlineStr">
        <is>
          <t>NO</t>
        </is>
      </c>
      <c r="K247" t="inlineStr">
        <is>
          <t>2026-02-26 00:15</t>
        </is>
      </c>
      <c r="L247" t="inlineStr">
        <is>
          <t>CHECK_VENDOR</t>
        </is>
      </c>
      <c r="M247" t="inlineStr">
        <is>
          <t>See CVE details</t>
        </is>
      </c>
      <c r="N247" t="inlineStr">
        <is>
          <t>P4</t>
        </is>
      </c>
      <c r="O247" t="inlineStr">
        <is>
          <t>CVE - IP enrichment n/a</t>
        </is>
      </c>
      <c r="P247" t="n">
        <v>0</v>
      </c>
      <c r="Q247" t="n">
        <v>0</v>
      </c>
      <c r="R247" t="inlineStr">
        <is>
          <t>T1189:Drive-by Compromise</t>
        </is>
      </c>
      <c r="S247" t="n">
        <v>1</v>
      </c>
      <c r="T247" t="inlineStr">
        <is>
          <t>LOW (40%)</t>
        </is>
      </c>
      <c r="U247" t="inlineStr">
        <is>
          <t>UNLIKELY</t>
        </is>
      </c>
      <c r="V247" t="inlineStr">
        <is>
          <t>CHECK_VENDOR</t>
        </is>
      </c>
      <c r="W247" t="inlineStr">
        <is>
          <t>https://nvd.nist.gov/vuln/detail/CVE-2026-25451</t>
        </is>
      </c>
      <c r="X247" t="inlineStr">
        <is>
          <t>NONE</t>
        </is>
      </c>
      <c r="Y247" t="n">
        <v>0</v>
      </c>
      <c r="Z247" t="inlineStr"/>
      <c r="AA247" t="inlineStr">
        <is>
          <t>https://nvd.nist.gov/vuln/detail/CVE-2026-25451</t>
        </is>
      </c>
    </row>
    <row r="248">
      <c r="A248" t="inlineStr">
        <is>
          <t>CVE</t>
        </is>
      </c>
      <c r="B248" t="inlineStr">
        <is>
          <t>CVE-2026-25453</t>
        </is>
      </c>
      <c r="C248" t="inlineStr">
        <is>
          <t>Improper Neutralization of Input During Web Page Generation ('Cross-site Scripting') vulnerability in mdempfle Advanced iFrame advanced-iframe allows DOM-Based XSS.This issue affects Advanced iFrame: from n/a through &lt;= 2025.10.</t>
        </is>
      </c>
      <c r="D248" t="n">
        <v>6.5</v>
      </c>
      <c r="E248" t="inlineStr">
        <is>
          <t>MEDIUM</t>
        </is>
      </c>
      <c r="F248" t="n">
        <v>2</v>
      </c>
      <c r="G248" t="n">
        <v>2</v>
      </c>
      <c r="H248" t="inlineStr">
        <is>
          <t>MEDIUM</t>
        </is>
      </c>
      <c r="I248" t="n">
        <v>10.5</v>
      </c>
      <c r="J248" t="inlineStr">
        <is>
          <t>NO</t>
        </is>
      </c>
      <c r="K248" t="inlineStr">
        <is>
          <t>2026-02-26 00:15</t>
        </is>
      </c>
      <c r="L248" t="inlineStr">
        <is>
          <t>CHECK_VENDOR</t>
        </is>
      </c>
      <c r="M248" t="inlineStr">
        <is>
          <t>See CVE details</t>
        </is>
      </c>
      <c r="N248" t="inlineStr">
        <is>
          <t>P4</t>
        </is>
      </c>
      <c r="O248" t="inlineStr">
        <is>
          <t>CVE - IP enrichment n/a</t>
        </is>
      </c>
      <c r="P248" t="n">
        <v>0</v>
      </c>
      <c r="Q248" t="n">
        <v>0</v>
      </c>
      <c r="R248" t="inlineStr">
        <is>
          <t>T1189:Drive-by Compromise</t>
        </is>
      </c>
      <c r="S248" t="n">
        <v>1</v>
      </c>
      <c r="T248" t="inlineStr">
        <is>
          <t>LOW (40%)</t>
        </is>
      </c>
      <c r="U248" t="inlineStr">
        <is>
          <t>UNLIKELY</t>
        </is>
      </c>
      <c r="V248" t="inlineStr">
        <is>
          <t>CHECK_VENDOR</t>
        </is>
      </c>
      <c r="W248" t="inlineStr">
        <is>
          <t>https://nvd.nist.gov/vuln/detail/CVE-2026-25453</t>
        </is>
      </c>
      <c r="X248" t="inlineStr">
        <is>
          <t>NONE</t>
        </is>
      </c>
      <c r="Y248" t="n">
        <v>0</v>
      </c>
      <c r="Z248" t="inlineStr"/>
      <c r="AA248" t="inlineStr">
        <is>
          <t>https://nvd.nist.gov/vuln/detail/CVE-2026-25453</t>
        </is>
      </c>
    </row>
    <row r="249">
      <c r="A249" t="inlineStr">
        <is>
          <t>CVE</t>
        </is>
      </c>
      <c r="B249" t="inlineStr">
        <is>
          <t>CVE-2026-25459</t>
        </is>
      </c>
      <c r="C249" t="inlineStr">
        <is>
          <t>Missing Authorization vulnerability in uixthemes Sober sober allows Exploiting Incorrectly Configured Access Control Security Levels.This issue affects Sober: from n/a through &lt;= 3.5.12.</t>
        </is>
      </c>
      <c r="D249" t="n">
        <v>4.3</v>
      </c>
      <c r="E249" t="inlineStr">
        <is>
          <t>MEDIUM</t>
        </is>
      </c>
      <c r="F249" t="n">
        <v>2</v>
      </c>
      <c r="G249" t="n">
        <v>2</v>
      </c>
      <c r="H249" t="inlineStr">
        <is>
          <t>MEDIUM</t>
        </is>
      </c>
      <c r="I249" t="n">
        <v>8.300000000000001</v>
      </c>
      <c r="J249" t="inlineStr">
        <is>
          <t>NO</t>
        </is>
      </c>
      <c r="K249" t="inlineStr">
        <is>
          <t>2026-02-26 00:15</t>
        </is>
      </c>
      <c r="L249" t="inlineStr">
        <is>
          <t>CHECK_VENDOR</t>
        </is>
      </c>
      <c r="M249" t="inlineStr">
        <is>
          <t>See CVE details</t>
        </is>
      </c>
      <c r="N249" t="inlineStr">
        <is>
          <t>P4</t>
        </is>
      </c>
      <c r="O249" t="inlineStr">
        <is>
          <t>CVE - IP enrichment n/a</t>
        </is>
      </c>
      <c r="P249" t="n">
        <v>0</v>
      </c>
      <c r="Q249" t="n">
        <v>0</v>
      </c>
      <c r="R249" t="inlineStr">
        <is>
          <t>T1190:Exploit Public-Facing Application</t>
        </is>
      </c>
      <c r="S249" t="n">
        <v>1</v>
      </c>
      <c r="T249" t="inlineStr">
        <is>
          <t>LOW (40%)</t>
        </is>
      </c>
      <c r="U249" t="inlineStr">
        <is>
          <t>UNLIKELY</t>
        </is>
      </c>
      <c r="V249" t="inlineStr">
        <is>
          <t>CHECK_VENDOR</t>
        </is>
      </c>
      <c r="W249" t="inlineStr">
        <is>
          <t>https://nvd.nist.gov/vuln/detail/CVE-2026-25459</t>
        </is>
      </c>
      <c r="X249" t="inlineStr">
        <is>
          <t>NONE</t>
        </is>
      </c>
      <c r="Y249" t="n">
        <v>0</v>
      </c>
      <c r="Z249" t="inlineStr"/>
      <c r="AA249" t="inlineStr">
        <is>
          <t>https://nvd.nist.gov/vuln/detail/CVE-2026-25459</t>
        </is>
      </c>
    </row>
    <row r="250">
      <c r="A250" t="inlineStr">
        <is>
          <t>CVE</t>
        </is>
      </c>
      <c r="B250" t="inlineStr">
        <is>
          <t>CVE-2026-25463</t>
        </is>
      </c>
      <c r="C250" t="inlineStr">
        <is>
          <t>Improper Neutralization of Input During Web Page Generation ('Cross-site Scripting') vulnerability in WpEstate Wpresidence Core wpresidence-core allows Stored XSS.This issue affects Wpresidence Core: from n/a through &lt;= 5.4.0.</t>
        </is>
      </c>
      <c r="D250" t="n">
        <v>6.5</v>
      </c>
      <c r="E250" t="inlineStr">
        <is>
          <t>MEDIUM</t>
        </is>
      </c>
      <c r="F250" t="n">
        <v>2</v>
      </c>
      <c r="G250" t="n">
        <v>2</v>
      </c>
      <c r="H250" t="inlineStr">
        <is>
          <t>MEDIUM</t>
        </is>
      </c>
      <c r="I250" t="n">
        <v>10.5</v>
      </c>
      <c r="J250" t="inlineStr">
        <is>
          <t>NO</t>
        </is>
      </c>
      <c r="K250" t="inlineStr">
        <is>
          <t>2026-02-26 00:15</t>
        </is>
      </c>
      <c r="L250" t="inlineStr">
        <is>
          <t>CHECK_VENDOR</t>
        </is>
      </c>
      <c r="M250" t="inlineStr">
        <is>
          <t>See CVE details</t>
        </is>
      </c>
      <c r="N250" t="inlineStr">
        <is>
          <t>P4</t>
        </is>
      </c>
      <c r="O250" t="inlineStr">
        <is>
          <t>CVE - IP enrichment n/a</t>
        </is>
      </c>
      <c r="P250" t="n">
        <v>0.0003</v>
      </c>
      <c r="Q250" t="n">
        <v>0.0961</v>
      </c>
      <c r="R250" t="inlineStr">
        <is>
          <t>T1189:Drive-by Compromise</t>
        </is>
      </c>
      <c r="S250" t="n">
        <v>1</v>
      </c>
      <c r="T250" t="inlineStr">
        <is>
          <t>LOW (40%)</t>
        </is>
      </c>
      <c r="U250" t="inlineStr">
        <is>
          <t>UNLIKELY</t>
        </is>
      </c>
      <c r="V250" t="inlineStr">
        <is>
          <t>CHECK_VENDOR</t>
        </is>
      </c>
      <c r="W250" t="inlineStr">
        <is>
          <t>https://nvd.nist.gov/vuln/detail/CVE-2026-25463</t>
        </is>
      </c>
      <c r="X250" t="inlineStr">
        <is>
          <t>NONE</t>
        </is>
      </c>
      <c r="Y250" t="n">
        <v>0</v>
      </c>
      <c r="Z250" t="inlineStr"/>
      <c r="AA250" t="inlineStr">
        <is>
          <t>https://nvd.nist.gov/vuln/detail/CVE-2026-25463</t>
        </is>
      </c>
    </row>
    <row r="251">
      <c r="A251" t="inlineStr">
        <is>
          <t>CVE</t>
        </is>
      </c>
      <c r="B251" t="inlineStr">
        <is>
          <t>CVE-2026-25472</t>
        </is>
      </c>
      <c r="C251" t="inlineStr">
        <is>
          <t>Improper Neutralization of Input During Web Page Generation ('Cross-site Scripting') vulnerability in ThemeFusion Fusion Builder fusion-builder allows Stored XSS.This issue affects Fusion Builder: from n/a through &lt;= 3.14.3.</t>
        </is>
      </c>
      <c r="D251" t="n">
        <v>6.5</v>
      </c>
      <c r="E251" t="inlineStr">
        <is>
          <t>MEDIUM</t>
        </is>
      </c>
      <c r="F251" t="n">
        <v>2</v>
      </c>
      <c r="G251" t="n">
        <v>2</v>
      </c>
      <c r="H251" t="inlineStr">
        <is>
          <t>MEDIUM</t>
        </is>
      </c>
      <c r="I251" t="n">
        <v>10.5</v>
      </c>
      <c r="J251" t="inlineStr">
        <is>
          <t>NO</t>
        </is>
      </c>
      <c r="K251" t="inlineStr">
        <is>
          <t>2026-02-26 00:15</t>
        </is>
      </c>
      <c r="L251" t="inlineStr">
        <is>
          <t>CHECK_VENDOR</t>
        </is>
      </c>
      <c r="M251" t="inlineStr">
        <is>
          <t>See CVE details</t>
        </is>
      </c>
      <c r="N251" t="inlineStr">
        <is>
          <t>P4</t>
        </is>
      </c>
      <c r="O251" t="inlineStr">
        <is>
          <t>CVE - IP enrichment n/a</t>
        </is>
      </c>
      <c r="P251" t="n">
        <v>0</v>
      </c>
      <c r="Q251" t="n">
        <v>0</v>
      </c>
      <c r="R251" t="inlineStr">
        <is>
          <t>T1189:Drive-by Compromise</t>
        </is>
      </c>
      <c r="S251" t="n">
        <v>1</v>
      </c>
      <c r="T251" t="inlineStr">
        <is>
          <t>LOW (40%)</t>
        </is>
      </c>
      <c r="U251" t="inlineStr">
        <is>
          <t>UNLIKELY</t>
        </is>
      </c>
      <c r="V251" t="inlineStr">
        <is>
          <t>CHECK_VENDOR</t>
        </is>
      </c>
      <c r="W251" t="inlineStr">
        <is>
          <t>https://nvd.nist.gov/vuln/detail/CVE-2026-25472</t>
        </is>
      </c>
      <c r="X251" t="inlineStr">
        <is>
          <t>NONE</t>
        </is>
      </c>
      <c r="Y251" t="n">
        <v>0</v>
      </c>
      <c r="Z251" t="inlineStr"/>
      <c r="AA251" t="inlineStr">
        <is>
          <t>https://nvd.nist.gov/vuln/detail/CVE-2026-25472</t>
        </is>
      </c>
    </row>
    <row r="252">
      <c r="A252" t="inlineStr">
        <is>
          <t>CVE</t>
        </is>
      </c>
      <c r="B252" t="inlineStr">
        <is>
          <t>CVE-2026-25473</t>
        </is>
      </c>
      <c r="C252" t="inlineStr">
        <is>
          <t>Missing Authorization vulnerability in AA-Team WZone woozone allows Exploiting Incorrectly Configured Access Control Security Levels.This issue affects WZone: from n/a through &lt;= 14.0.31.</t>
        </is>
      </c>
      <c r="D252" t="n">
        <v>5.4</v>
      </c>
      <c r="E252" t="inlineStr">
        <is>
          <t>MEDIUM</t>
        </is>
      </c>
      <c r="F252" t="n">
        <v>2</v>
      </c>
      <c r="G252" t="n">
        <v>2</v>
      </c>
      <c r="H252" t="inlineStr">
        <is>
          <t>MEDIUM</t>
        </is>
      </c>
      <c r="I252" t="n">
        <v>9.4</v>
      </c>
      <c r="J252" t="inlineStr">
        <is>
          <t>NO</t>
        </is>
      </c>
      <c r="K252" t="inlineStr">
        <is>
          <t>2026-02-26 00:15</t>
        </is>
      </c>
      <c r="L252" t="inlineStr">
        <is>
          <t>CHECK_VENDOR</t>
        </is>
      </c>
      <c r="M252" t="inlineStr">
        <is>
          <t>See CVE details</t>
        </is>
      </c>
      <c r="N252" t="inlineStr">
        <is>
          <t>P4</t>
        </is>
      </c>
      <c r="O252" t="inlineStr">
        <is>
          <t>CVE - IP enrichment n/a</t>
        </is>
      </c>
      <c r="P252" t="n">
        <v>0.0004</v>
      </c>
      <c r="Q252" t="n">
        <v>0.1195</v>
      </c>
      <c r="R252" t="inlineStr">
        <is>
          <t>T1190:Exploit Public-Facing Application</t>
        </is>
      </c>
      <c r="S252" t="n">
        <v>1</v>
      </c>
      <c r="T252" t="inlineStr">
        <is>
          <t>LOW (40%)</t>
        </is>
      </c>
      <c r="U252" t="inlineStr">
        <is>
          <t>UNLIKELY</t>
        </is>
      </c>
      <c r="V252" t="inlineStr">
        <is>
          <t>CHECK_VENDOR</t>
        </is>
      </c>
      <c r="W252" t="inlineStr">
        <is>
          <t>https://nvd.nist.gov/vuln/detail/CVE-2026-25473</t>
        </is>
      </c>
      <c r="X252" t="inlineStr">
        <is>
          <t>NONE</t>
        </is>
      </c>
      <c r="Y252" t="n">
        <v>0</v>
      </c>
      <c r="Z252" t="inlineStr"/>
      <c r="AA252" t="inlineStr">
        <is>
          <t>https://nvd.nist.gov/vuln/detail/CVE-2026-25473</t>
        </is>
      </c>
    </row>
    <row r="253">
      <c r="A253" t="inlineStr">
        <is>
          <t>CVE</t>
        </is>
      </c>
      <c r="B253" t="inlineStr">
        <is>
          <t>CVE-2026-26358</t>
        </is>
      </c>
      <c r="C253" t="inlineStr">
        <is>
          <t>Dell Unisphere for PowerMax, version(s) 10.2, contain(s) a Missing Authorization vulnerability. A low privileged attacker with remote access could potentially exploit this vulnerability, leading to Unauthorized access.</t>
        </is>
      </c>
      <c r="D253" t="n">
        <v>8.800000000000001</v>
      </c>
      <c r="E253" t="inlineStr">
        <is>
          <t>HIGH</t>
        </is>
      </c>
      <c r="F253" t="n">
        <v>2</v>
      </c>
      <c r="G253" t="n">
        <v>3</v>
      </c>
      <c r="H253" t="inlineStr">
        <is>
          <t>HIGH</t>
        </is>
      </c>
      <c r="I253" t="n">
        <v>14.8</v>
      </c>
      <c r="J253" t="inlineStr">
        <is>
          <t>NO</t>
        </is>
      </c>
      <c r="K253" t="inlineStr">
        <is>
          <t>2026-02-26 00:15</t>
        </is>
      </c>
      <c r="L253" t="inlineStr">
        <is>
          <t>YES</t>
        </is>
      </c>
      <c r="M253" t="inlineStr">
        <is>
          <t>dell unisphere_for_powermax *</t>
        </is>
      </c>
      <c r="N253" t="inlineStr">
        <is>
          <t>P3</t>
        </is>
      </c>
      <c r="O253" t="inlineStr">
        <is>
          <t>CVE - IP enrichment n/a</t>
        </is>
      </c>
      <c r="P253" t="n">
        <v>0</v>
      </c>
      <c r="Q253" t="n">
        <v>0</v>
      </c>
      <c r="R253" t="inlineStr">
        <is>
          <t>T1190:Exploit Public-Facing Application</t>
        </is>
      </c>
      <c r="S253" t="n">
        <v>1</v>
      </c>
      <c r="T253" t="inlineStr">
        <is>
          <t>LOW (40%)</t>
        </is>
      </c>
      <c r="U253" t="inlineStr">
        <is>
          <t>UNLIKELY</t>
        </is>
      </c>
      <c r="V253" t="inlineStr">
        <is>
          <t>PATCH_AVAILABLE</t>
        </is>
      </c>
      <c r="W253" t="inlineStr">
        <is>
          <t>https://nvd.nist.gov/vuln/detail/CVE-2026-26358</t>
        </is>
      </c>
      <c r="X253" t="inlineStr">
        <is>
          <t>NONE</t>
        </is>
      </c>
      <c r="Y253" t="n">
        <v>0</v>
      </c>
      <c r="Z253" t="inlineStr"/>
      <c r="AA253" t="inlineStr">
        <is>
          <t>https://nvd.nist.gov/vuln/detail/CVE-2026-26358</t>
        </is>
      </c>
    </row>
    <row r="254">
      <c r="A254" t="inlineStr">
        <is>
          <t>CVE</t>
        </is>
      </c>
      <c r="B254" t="inlineStr">
        <is>
          <t>CVE-2026-26359</t>
        </is>
      </c>
      <c r="C254" t="inlineStr">
        <is>
          <t>Dell Unisphere for PowerMax, version(s) 10.2, contain(s) an External Control of File Name or Path vulnerability. A low privileged attacker with remote access could potentially exploit this vulnerability, leading to the ability to overwrite arbitrary files.</t>
        </is>
      </c>
      <c r="D254" t="n">
        <v>8.800000000000001</v>
      </c>
      <c r="E254" t="inlineStr">
        <is>
          <t>HIGH</t>
        </is>
      </c>
      <c r="F254" t="n">
        <v>2</v>
      </c>
      <c r="G254" t="n">
        <v>3</v>
      </c>
      <c r="H254" t="inlineStr">
        <is>
          <t>HIGH</t>
        </is>
      </c>
      <c r="I254" t="n">
        <v>14.8</v>
      </c>
      <c r="J254" t="inlineStr">
        <is>
          <t>NO</t>
        </is>
      </c>
      <c r="K254" t="inlineStr">
        <is>
          <t>2026-02-26 00:15</t>
        </is>
      </c>
      <c r="L254" t="inlineStr">
        <is>
          <t>YES</t>
        </is>
      </c>
      <c r="M254" t="inlineStr">
        <is>
          <t>dell unisphere_for_powermax *</t>
        </is>
      </c>
      <c r="N254" t="inlineStr">
        <is>
          <t>P3</t>
        </is>
      </c>
      <c r="O254" t="inlineStr">
        <is>
          <t>CVE - IP enrichment n/a</t>
        </is>
      </c>
      <c r="P254" t="n">
        <v>0</v>
      </c>
      <c r="Q254" t="n">
        <v>0</v>
      </c>
      <c r="R254" t="inlineStr">
        <is>
          <t>T1190:Exploit Public-Facing Application</t>
        </is>
      </c>
      <c r="S254" t="n">
        <v>1</v>
      </c>
      <c r="T254" t="inlineStr">
        <is>
          <t>LOW (40%)</t>
        </is>
      </c>
      <c r="U254" t="inlineStr">
        <is>
          <t>UNLIKELY</t>
        </is>
      </c>
      <c r="V254" t="inlineStr">
        <is>
          <t>PATCH_AVAILABLE</t>
        </is>
      </c>
      <c r="W254" t="inlineStr">
        <is>
          <t>https://nvd.nist.gov/vuln/detail/CVE-2026-26359</t>
        </is>
      </c>
      <c r="X254" t="inlineStr">
        <is>
          <t>NONE</t>
        </is>
      </c>
      <c r="Y254" t="n">
        <v>0</v>
      </c>
      <c r="Z254" t="inlineStr"/>
      <c r="AA254" t="inlineStr">
        <is>
          <t>https://nvd.nist.gov/vuln/detail/CVE-2026-26359</t>
        </is>
      </c>
    </row>
    <row r="255">
      <c r="A255" t="inlineStr">
        <is>
          <t>CVE</t>
        </is>
      </c>
      <c r="B255" t="inlineStr">
        <is>
          <t>CVE-2026-26360</t>
        </is>
      </c>
      <c r="C255" t="inlineStr">
        <is>
          <t>Dell Unisphere for PowerMax, version(s) 10.2, contain(s) an External Control of File Name or Path vulnerability. A low privileged attacker with remote access could potentially exploit this vulnerability to delete arbitrary files.</t>
        </is>
      </c>
      <c r="D255" t="n">
        <v>8.1</v>
      </c>
      <c r="E255" t="inlineStr">
        <is>
          <t>HIGH</t>
        </is>
      </c>
      <c r="F255" t="n">
        <v>2</v>
      </c>
      <c r="G255" t="n">
        <v>3</v>
      </c>
      <c r="H255" t="inlineStr">
        <is>
          <t>HIGH</t>
        </is>
      </c>
      <c r="I255" t="n">
        <v>14.1</v>
      </c>
      <c r="J255" t="inlineStr">
        <is>
          <t>NO</t>
        </is>
      </c>
      <c r="K255" t="inlineStr">
        <is>
          <t>2026-02-26 00:15</t>
        </is>
      </c>
      <c r="L255" t="inlineStr">
        <is>
          <t>YES</t>
        </is>
      </c>
      <c r="M255" t="inlineStr">
        <is>
          <t>dell unisphere_for_powermax *</t>
        </is>
      </c>
      <c r="N255" t="inlineStr">
        <is>
          <t>P3</t>
        </is>
      </c>
      <c r="O255" t="inlineStr">
        <is>
          <t>CVE - IP enrichment n/a</t>
        </is>
      </c>
      <c r="P255" t="n">
        <v>0.0005999999999999999</v>
      </c>
      <c r="Q255" t="n">
        <v>0.1738</v>
      </c>
      <c r="R255" t="inlineStr">
        <is>
          <t>T1190:Exploit Public-Facing Application</t>
        </is>
      </c>
      <c r="S255" t="n">
        <v>1</v>
      </c>
      <c r="T255" t="inlineStr">
        <is>
          <t>LOW (40%)</t>
        </is>
      </c>
      <c r="U255" t="inlineStr">
        <is>
          <t>UNLIKELY</t>
        </is>
      </c>
      <c r="V255" t="inlineStr">
        <is>
          <t>PATCH_AVAILABLE</t>
        </is>
      </c>
      <c r="W255" t="inlineStr">
        <is>
          <t>https://nvd.nist.gov/vuln/detail/CVE-2026-26360</t>
        </is>
      </c>
      <c r="X255" t="inlineStr">
        <is>
          <t>NONE</t>
        </is>
      </c>
      <c r="Y255" t="n">
        <v>0</v>
      </c>
      <c r="Z255" t="inlineStr"/>
      <c r="AA255" t="inlineStr">
        <is>
          <t>https://nvd.nist.gov/vuln/detail/CVE-2026-26360</t>
        </is>
      </c>
    </row>
    <row r="256">
      <c r="A256" t="inlineStr">
        <is>
          <t>CVE</t>
        </is>
      </c>
      <c r="B256" t="inlineStr">
        <is>
          <t>CVE-2026-26361</t>
        </is>
      </c>
      <c r="C256" t="inlineStr">
        <is>
          <t>Dell Unisphere for PowerMax, version(s) 10.2, contain(s) an External Control of File Name or Path vulnerability. A low privileged attacker with remote access could potentially exploit this vulnerability, leading to Information disclosure.</t>
        </is>
      </c>
      <c r="D256" t="n">
        <v>6.5</v>
      </c>
      <c r="E256" t="inlineStr">
        <is>
          <t>MEDIUM</t>
        </is>
      </c>
      <c r="F256" t="n">
        <v>2</v>
      </c>
      <c r="G256" t="n">
        <v>2</v>
      </c>
      <c r="H256" t="inlineStr">
        <is>
          <t>MEDIUM</t>
        </is>
      </c>
      <c r="I256" t="n">
        <v>10.5</v>
      </c>
      <c r="J256" t="inlineStr">
        <is>
          <t>NO</t>
        </is>
      </c>
      <c r="K256" t="inlineStr">
        <is>
          <t>2026-02-26 00:15</t>
        </is>
      </c>
      <c r="L256" t="inlineStr">
        <is>
          <t>YES</t>
        </is>
      </c>
      <c r="M256" t="inlineStr">
        <is>
          <t>dell unisphere_for_powermax *</t>
        </is>
      </c>
      <c r="N256" t="inlineStr">
        <is>
          <t>P4</t>
        </is>
      </c>
      <c r="O256" t="inlineStr">
        <is>
          <t>CVE - IP enrichment n/a</t>
        </is>
      </c>
      <c r="P256" t="n">
        <v>0</v>
      </c>
      <c r="Q256" t="n">
        <v>0</v>
      </c>
      <c r="R256" t="inlineStr">
        <is>
          <t>T1213:Data from Information Repositories</t>
        </is>
      </c>
      <c r="S256" t="n">
        <v>1</v>
      </c>
      <c r="T256" t="inlineStr">
        <is>
          <t>LOW (40%)</t>
        </is>
      </c>
      <c r="U256" t="inlineStr">
        <is>
          <t>UNLIKELY</t>
        </is>
      </c>
      <c r="V256" t="inlineStr">
        <is>
          <t>PATCH_AVAILABLE</t>
        </is>
      </c>
      <c r="W256" t="inlineStr">
        <is>
          <t>https://nvd.nist.gov/vuln/detail/CVE-2026-26361</t>
        </is>
      </c>
      <c r="X256" t="inlineStr">
        <is>
          <t>NONE</t>
        </is>
      </c>
      <c r="Y256" t="n">
        <v>0</v>
      </c>
      <c r="Z256" t="inlineStr"/>
      <c r="AA256" t="inlineStr">
        <is>
          <t>https://nvd.nist.gov/vuln/detail/CVE-2026-26361</t>
        </is>
      </c>
    </row>
    <row r="257">
      <c r="A257" t="inlineStr">
        <is>
          <t>CVE</t>
        </is>
      </c>
      <c r="B257" t="inlineStr">
        <is>
          <t>CVE-2026-26362</t>
        </is>
      </c>
      <c r="C257" t="inlineStr">
        <is>
          <t>Dell Unisphere for PowerMax, version(s) 10.2, contain(s) a Relative Path Traversal vulnerability. A low privileged attacker with remote access could potentially exploit this vulnerability, leading to unauthorized modification of critical system files.</t>
        </is>
      </c>
      <c r="D257" t="n">
        <v>8.1</v>
      </c>
      <c r="E257" t="inlineStr">
        <is>
          <t>HIGH</t>
        </is>
      </c>
      <c r="F257" t="n">
        <v>2</v>
      </c>
      <c r="G257" t="n">
        <v>3</v>
      </c>
      <c r="H257" t="inlineStr">
        <is>
          <t>HIGH</t>
        </is>
      </c>
      <c r="I257" t="n">
        <v>14.1</v>
      </c>
      <c r="J257" t="inlineStr">
        <is>
          <t>NO</t>
        </is>
      </c>
      <c r="K257" t="inlineStr">
        <is>
          <t>2026-02-26 00:15</t>
        </is>
      </c>
      <c r="L257" t="inlineStr">
        <is>
          <t>YES</t>
        </is>
      </c>
      <c r="M257" t="inlineStr">
        <is>
          <t>dell unisphere_for_powermax *</t>
        </is>
      </c>
      <c r="N257" t="inlineStr">
        <is>
          <t>P3</t>
        </is>
      </c>
      <c r="O257" t="inlineStr">
        <is>
          <t>CVE - IP enrichment n/a</t>
        </is>
      </c>
      <c r="P257" t="n">
        <v>0</v>
      </c>
      <c r="Q257" t="n">
        <v>0</v>
      </c>
      <c r="R257" t="inlineStr">
        <is>
          <t>T1083:File and Directory Discovery</t>
        </is>
      </c>
      <c r="S257" t="n">
        <v>1</v>
      </c>
      <c r="T257" t="inlineStr">
        <is>
          <t>LOW (40%)</t>
        </is>
      </c>
      <c r="U257" t="inlineStr">
        <is>
          <t>UNLIKELY</t>
        </is>
      </c>
      <c r="V257" t="inlineStr">
        <is>
          <t>PATCH_AVAILABLE</t>
        </is>
      </c>
      <c r="W257" t="inlineStr">
        <is>
          <t>https://nvd.nist.gov/vuln/detail/CVE-2026-26362</t>
        </is>
      </c>
      <c r="X257" t="inlineStr">
        <is>
          <t>NONE</t>
        </is>
      </c>
      <c r="Y257" t="n">
        <v>0</v>
      </c>
      <c r="Z257" t="inlineStr"/>
      <c r="AA257" t="inlineStr">
        <is>
          <t>https://nvd.nist.gov/vuln/detail/CVE-2026-26362</t>
        </is>
      </c>
    </row>
    <row r="258">
      <c r="A258" t="inlineStr">
        <is>
          <t>CVE</t>
        </is>
      </c>
      <c r="B258" t="inlineStr">
        <is>
          <t>CVE-2026-27042</t>
        </is>
      </c>
      <c r="C258" t="inlineStr">
        <is>
          <t>Missing Authorization vulnerability in WPDeveloper NotificationX notificationx allows Exploiting Incorrectly Configured Access Control Security Levels.This issue affects NotificationX: from n/a through &lt;= 3.2.1.</t>
        </is>
      </c>
      <c r="D258" t="n">
        <v>5.3</v>
      </c>
      <c r="E258" t="inlineStr">
        <is>
          <t>MEDIUM</t>
        </is>
      </c>
      <c r="F258" t="n">
        <v>2</v>
      </c>
      <c r="G258" t="n">
        <v>2</v>
      </c>
      <c r="H258" t="inlineStr">
        <is>
          <t>MEDIUM</t>
        </is>
      </c>
      <c r="I258" t="n">
        <v>9.300000000000001</v>
      </c>
      <c r="J258" t="inlineStr">
        <is>
          <t>NO</t>
        </is>
      </c>
      <c r="K258" t="inlineStr">
        <is>
          <t>2026-02-26 00:15</t>
        </is>
      </c>
      <c r="L258" t="inlineStr">
        <is>
          <t>CHECK_VENDOR</t>
        </is>
      </c>
      <c r="M258" t="inlineStr">
        <is>
          <t>See CVE details</t>
        </is>
      </c>
      <c r="N258" t="inlineStr">
        <is>
          <t>P4</t>
        </is>
      </c>
      <c r="O258" t="inlineStr">
        <is>
          <t>CVE - IP enrichment n/a</t>
        </is>
      </c>
      <c r="P258" t="n">
        <v>0</v>
      </c>
      <c r="Q258" t="n">
        <v>0</v>
      </c>
      <c r="R258" t="inlineStr">
        <is>
          <t>T1190:Exploit Public-Facing Application</t>
        </is>
      </c>
      <c r="S258" t="n">
        <v>1</v>
      </c>
      <c r="T258" t="inlineStr">
        <is>
          <t>LOW (40%)</t>
        </is>
      </c>
      <c r="U258" t="inlineStr">
        <is>
          <t>UNLIKELY</t>
        </is>
      </c>
      <c r="V258" t="inlineStr">
        <is>
          <t>CHECK_VENDOR</t>
        </is>
      </c>
      <c r="W258" t="inlineStr">
        <is>
          <t>https://nvd.nist.gov/vuln/detail/CVE-2026-27042</t>
        </is>
      </c>
      <c r="X258" t="inlineStr">
        <is>
          <t>NONE</t>
        </is>
      </c>
      <c r="Y258" t="n">
        <v>0</v>
      </c>
      <c r="Z258" t="inlineStr"/>
      <c r="AA258" t="inlineStr">
        <is>
          <t>https://nvd.nist.gov/vuln/detail/CVE-2026-27042</t>
        </is>
      </c>
    </row>
    <row r="259">
      <c r="A259" t="inlineStr">
        <is>
          <t>CVE</t>
        </is>
      </c>
      <c r="B259" t="inlineStr">
        <is>
          <t>CVE-2026-27050</t>
        </is>
      </c>
      <c r="C259" t="inlineStr">
        <is>
          <t>Cross-Site Request Forgery (CSRF) vulnerability in ThimPress RealPress realpress allows Cross Site Request Forgery.This issue affects RealPress: from n/a through &lt;= 1.1.0.</t>
        </is>
      </c>
      <c r="D259" t="n">
        <v>5.4</v>
      </c>
      <c r="E259" t="inlineStr">
        <is>
          <t>MEDIUM</t>
        </is>
      </c>
      <c r="F259" t="n">
        <v>2</v>
      </c>
      <c r="G259" t="n">
        <v>2</v>
      </c>
      <c r="H259" t="inlineStr">
        <is>
          <t>MEDIUM</t>
        </is>
      </c>
      <c r="I259" t="n">
        <v>9.4</v>
      </c>
      <c r="J259" t="inlineStr">
        <is>
          <t>NO</t>
        </is>
      </c>
      <c r="K259" t="inlineStr">
        <is>
          <t>2026-02-26 00:15</t>
        </is>
      </c>
      <c r="L259" t="inlineStr">
        <is>
          <t>CHECK_VENDOR</t>
        </is>
      </c>
      <c r="M259" t="inlineStr">
        <is>
          <t>See CVE details</t>
        </is>
      </c>
      <c r="N259" t="inlineStr">
        <is>
          <t>P4</t>
        </is>
      </c>
      <c r="O259" t="inlineStr">
        <is>
          <t>CVE - IP enrichment n/a</t>
        </is>
      </c>
      <c r="P259" t="n">
        <v>0</v>
      </c>
      <c r="Q259" t="n">
        <v>0</v>
      </c>
      <c r="R259" t="inlineStr">
        <is>
          <t>T1185:Browser Session Hijacking</t>
        </is>
      </c>
      <c r="S259" t="n">
        <v>1</v>
      </c>
      <c r="T259" t="inlineStr">
        <is>
          <t>LOW (40%)</t>
        </is>
      </c>
      <c r="U259" t="inlineStr">
        <is>
          <t>UNLIKELY</t>
        </is>
      </c>
      <c r="V259" t="inlineStr">
        <is>
          <t>CHECK_VENDOR</t>
        </is>
      </c>
      <c r="W259" t="inlineStr">
        <is>
          <t>https://nvd.nist.gov/vuln/detail/CVE-2026-27050</t>
        </is>
      </c>
      <c r="X259" t="inlineStr">
        <is>
          <t>NONE</t>
        </is>
      </c>
      <c r="Y259" t="n">
        <v>0</v>
      </c>
      <c r="Z259" t="inlineStr"/>
      <c r="AA259" t="inlineStr">
        <is>
          <t>https://nvd.nist.gov/vuln/detail/CVE-2026-27050</t>
        </is>
      </c>
    </row>
    <row r="260">
      <c r="A260" t="inlineStr">
        <is>
          <t>CVE</t>
        </is>
      </c>
      <c r="B260" t="inlineStr">
        <is>
          <t>CVE-2026-27052</t>
        </is>
      </c>
      <c r="C260" t="inlineStr">
        <is>
          <t>Improper Control of Filename for Include/Require Statement in PHP Program ('PHP Remote File Inclusion') vulnerability in villatheme Sales Countdown Timer for WooCommerce and WordPress sctv-sales-countdown-timer allows PHP Local File Inclusion.This issue affects Sales Countdown Timer for WooCommerce and WordPress: from n/a through &lt;= 1.1.8.1.</t>
        </is>
      </c>
      <c r="D260" t="n">
        <v>7.5</v>
      </c>
      <c r="E260" t="inlineStr">
        <is>
          <t>HIGH</t>
        </is>
      </c>
      <c r="F260" t="n">
        <v>2</v>
      </c>
      <c r="G260" t="n">
        <v>3</v>
      </c>
      <c r="H260" t="inlineStr">
        <is>
          <t>HIGH</t>
        </is>
      </c>
      <c r="I260" t="n">
        <v>13.5</v>
      </c>
      <c r="J260" t="inlineStr">
        <is>
          <t>NO</t>
        </is>
      </c>
      <c r="K260" t="inlineStr">
        <is>
          <t>2026-02-26 00:15</t>
        </is>
      </c>
      <c r="L260" t="inlineStr">
        <is>
          <t>CHECK_VENDOR</t>
        </is>
      </c>
      <c r="M260" t="inlineStr">
        <is>
          <t>See CVE details</t>
        </is>
      </c>
      <c r="N260" t="inlineStr">
        <is>
          <t>P3</t>
        </is>
      </c>
      <c r="O260" t="inlineStr">
        <is>
          <t>CVE - IP enrichment n/a</t>
        </is>
      </c>
      <c r="P260" t="n">
        <v>0</v>
      </c>
      <c r="Q260" t="n">
        <v>0</v>
      </c>
      <c r="R260" t="inlineStr">
        <is>
          <t>T1190:Exploit Public-Facing Application</t>
        </is>
      </c>
      <c r="S260" t="n">
        <v>1</v>
      </c>
      <c r="T260" t="inlineStr">
        <is>
          <t>LOW (40%)</t>
        </is>
      </c>
      <c r="U260" t="inlineStr">
        <is>
          <t>UNLIKELY</t>
        </is>
      </c>
      <c r="V260" t="inlineStr">
        <is>
          <t>CHECK_VENDOR</t>
        </is>
      </c>
      <c r="W260" t="inlineStr">
        <is>
          <t>https://nvd.nist.gov/vuln/detail/CVE-2026-27052</t>
        </is>
      </c>
      <c r="X260" t="inlineStr">
        <is>
          <t>NONE</t>
        </is>
      </c>
      <c r="Y260" t="n">
        <v>0</v>
      </c>
      <c r="Z260" t="inlineStr"/>
      <c r="AA260" t="inlineStr">
        <is>
          <t>https://nvd.nist.gov/vuln/detail/CVE-2026-27052</t>
        </is>
      </c>
    </row>
    <row r="261">
      <c r="A261" t="inlineStr">
        <is>
          <t>CVE</t>
        </is>
      </c>
      <c r="B261" t="inlineStr">
        <is>
          <t>CVE-2026-27055</t>
        </is>
      </c>
      <c r="C261" t="inlineStr">
        <is>
          <t>Missing Authorization vulnerability in PenciDesign Penci AI SmartContent Creator penci-ai allows Exploiting Incorrectly Configured Access Control Security Levels.This issue affects Penci AI SmartContent Creator: from n/a through &lt;= 2.0.</t>
        </is>
      </c>
      <c r="D261" t="n">
        <v>4.3</v>
      </c>
      <c r="E261" t="inlineStr">
        <is>
          <t>MEDIUM</t>
        </is>
      </c>
      <c r="F261" t="n">
        <v>2</v>
      </c>
      <c r="G261" t="n">
        <v>2</v>
      </c>
      <c r="H261" t="inlineStr">
        <is>
          <t>MEDIUM</t>
        </is>
      </c>
      <c r="I261" t="n">
        <v>8.300000000000001</v>
      </c>
      <c r="J261" t="inlineStr">
        <is>
          <t>NO</t>
        </is>
      </c>
      <c r="K261" t="inlineStr">
        <is>
          <t>2026-02-26 00:15</t>
        </is>
      </c>
      <c r="L261" t="inlineStr">
        <is>
          <t>CHECK_VENDOR</t>
        </is>
      </c>
      <c r="M261" t="inlineStr">
        <is>
          <t>See CVE details</t>
        </is>
      </c>
      <c r="N261" t="inlineStr">
        <is>
          <t>P4</t>
        </is>
      </c>
      <c r="O261" t="inlineStr">
        <is>
          <t>CVE - IP enrichment n/a</t>
        </is>
      </c>
      <c r="P261" t="n">
        <v>0</v>
      </c>
      <c r="Q261" t="n">
        <v>0</v>
      </c>
      <c r="R261" t="inlineStr">
        <is>
          <t>T1190:Exploit Public-Facing Application</t>
        </is>
      </c>
      <c r="S261" t="n">
        <v>1</v>
      </c>
      <c r="T261" t="inlineStr">
        <is>
          <t>LOW (40%)</t>
        </is>
      </c>
      <c r="U261" t="inlineStr">
        <is>
          <t>UNLIKELY</t>
        </is>
      </c>
      <c r="V261" t="inlineStr">
        <is>
          <t>CHECK_VENDOR</t>
        </is>
      </c>
      <c r="W261" t="inlineStr">
        <is>
          <t>https://nvd.nist.gov/vuln/detail/CVE-2026-27055</t>
        </is>
      </c>
      <c r="X261" t="inlineStr">
        <is>
          <t>NONE</t>
        </is>
      </c>
      <c r="Y261" t="n">
        <v>0</v>
      </c>
      <c r="Z261" t="inlineStr"/>
      <c r="AA261" t="inlineStr">
        <is>
          <t>https://nvd.nist.gov/vuln/detail/CVE-2026-27055</t>
        </is>
      </c>
    </row>
    <row r="262">
      <c r="A262" t="inlineStr">
        <is>
          <t>CVE</t>
        </is>
      </c>
      <c r="B262" t="inlineStr">
        <is>
          <t>CVE-2026-27056</t>
        </is>
      </c>
      <c r="C262" t="inlineStr">
        <is>
          <t>Missing Authorization vulnerability in StellarWP iThemes Sync ithemes-sync allows Exploiting Incorrectly Configured Access Control Security Levels.This issue affects iThemes Sync: from n/a through &lt;= 3.2.8.</t>
        </is>
      </c>
      <c r="D262" t="n">
        <v>4.3</v>
      </c>
      <c r="E262" t="inlineStr">
        <is>
          <t>MEDIUM</t>
        </is>
      </c>
      <c r="F262" t="n">
        <v>2</v>
      </c>
      <c r="G262" t="n">
        <v>2</v>
      </c>
      <c r="H262" t="inlineStr">
        <is>
          <t>MEDIUM</t>
        </is>
      </c>
      <c r="I262" t="n">
        <v>8.300000000000001</v>
      </c>
      <c r="J262" t="inlineStr">
        <is>
          <t>NO</t>
        </is>
      </c>
      <c r="K262" t="inlineStr">
        <is>
          <t>2026-02-26 00:15</t>
        </is>
      </c>
      <c r="L262" t="inlineStr">
        <is>
          <t>CHECK_VENDOR</t>
        </is>
      </c>
      <c r="M262" t="inlineStr">
        <is>
          <t>See CVE details</t>
        </is>
      </c>
      <c r="N262" t="inlineStr">
        <is>
          <t>P4</t>
        </is>
      </c>
      <c r="O262" t="inlineStr">
        <is>
          <t>CVE - IP enrichment n/a</t>
        </is>
      </c>
      <c r="P262" t="n">
        <v>0.0003</v>
      </c>
      <c r="Q262" t="n">
        <v>0.08210000000000001</v>
      </c>
      <c r="R262" t="inlineStr">
        <is>
          <t>T1190:Exploit Public-Facing Application</t>
        </is>
      </c>
      <c r="S262" t="n">
        <v>1</v>
      </c>
      <c r="T262" t="inlineStr">
        <is>
          <t>LOW (40%)</t>
        </is>
      </c>
      <c r="U262" t="inlineStr">
        <is>
          <t>UNLIKELY</t>
        </is>
      </c>
      <c r="V262" t="inlineStr">
        <is>
          <t>CHECK_VENDOR</t>
        </is>
      </c>
      <c r="W262" t="inlineStr">
        <is>
          <t>https://nvd.nist.gov/vuln/detail/CVE-2026-27056</t>
        </is>
      </c>
      <c r="X262" t="inlineStr">
        <is>
          <t>NONE</t>
        </is>
      </c>
      <c r="Y262" t="n">
        <v>0</v>
      </c>
      <c r="Z262" t="inlineStr"/>
      <c r="AA262" t="inlineStr">
        <is>
          <t>https://nvd.nist.gov/vuln/detail/CVE-2026-27056</t>
        </is>
      </c>
    </row>
    <row r="263">
      <c r="A263" t="inlineStr">
        <is>
          <t>CVE</t>
        </is>
      </c>
      <c r="B263" t="inlineStr">
        <is>
          <t>CVE-2026-27057</t>
        </is>
      </c>
      <c r="C263" t="inlineStr">
        <is>
          <t>Improper Neutralization of Input During Web Page Generation ('Cross-site Scripting') vulnerability in PenciDesign Penci Filter Everything penci-filter-everything allows Stored XSS.This issue affects Penci Filter Everything: from n/a through &lt;= 1.7.</t>
        </is>
      </c>
      <c r="D263" t="n">
        <v>6.5</v>
      </c>
      <c r="E263" t="inlineStr">
        <is>
          <t>MEDIUM</t>
        </is>
      </c>
      <c r="F263" t="n">
        <v>2</v>
      </c>
      <c r="G263" t="n">
        <v>2</v>
      </c>
      <c r="H263" t="inlineStr">
        <is>
          <t>MEDIUM</t>
        </is>
      </c>
      <c r="I263" t="n">
        <v>10.5</v>
      </c>
      <c r="J263" t="inlineStr">
        <is>
          <t>NO</t>
        </is>
      </c>
      <c r="K263" t="inlineStr">
        <is>
          <t>2026-02-26 00:15</t>
        </is>
      </c>
      <c r="L263" t="inlineStr">
        <is>
          <t>CHECK_VENDOR</t>
        </is>
      </c>
      <c r="M263" t="inlineStr">
        <is>
          <t>See CVE details</t>
        </is>
      </c>
      <c r="N263" t="inlineStr">
        <is>
          <t>P4</t>
        </is>
      </c>
      <c r="O263" t="inlineStr">
        <is>
          <t>CVE - IP enrichment n/a</t>
        </is>
      </c>
      <c r="P263" t="n">
        <v>0</v>
      </c>
      <c r="Q263" t="n">
        <v>0</v>
      </c>
      <c r="R263" t="inlineStr">
        <is>
          <t>T1189:Drive-by Compromise</t>
        </is>
      </c>
      <c r="S263" t="n">
        <v>1</v>
      </c>
      <c r="T263" t="inlineStr">
        <is>
          <t>LOW (40%)</t>
        </is>
      </c>
      <c r="U263" t="inlineStr">
        <is>
          <t>UNLIKELY</t>
        </is>
      </c>
      <c r="V263" t="inlineStr">
        <is>
          <t>CHECK_VENDOR</t>
        </is>
      </c>
      <c r="W263" t="inlineStr">
        <is>
          <t>https://nvd.nist.gov/vuln/detail/CVE-2026-27057</t>
        </is>
      </c>
      <c r="X263" t="inlineStr">
        <is>
          <t>NONE</t>
        </is>
      </c>
      <c r="Y263" t="n">
        <v>0</v>
      </c>
      <c r="Z263" t="inlineStr"/>
      <c r="AA263" t="inlineStr">
        <is>
          <t>https://nvd.nist.gov/vuln/detail/CVE-2026-27057</t>
        </is>
      </c>
    </row>
    <row r="264">
      <c r="A264" t="inlineStr">
        <is>
          <t>CVE</t>
        </is>
      </c>
      <c r="B264" t="inlineStr">
        <is>
          <t>CVE-2026-27058</t>
        </is>
      </c>
      <c r="C264" t="inlineStr">
        <is>
          <t>Improper Neutralization of Input During Web Page Generation ('Cross-site Scripting') vulnerability in PenciDesign Penci Podcast penci-podcast allows DOM-Based XSS.This issue affects Penci Podcast: from n/a through &lt;= 1.7.</t>
        </is>
      </c>
      <c r="D264" t="n">
        <v>6.5</v>
      </c>
      <c r="E264" t="inlineStr">
        <is>
          <t>MEDIUM</t>
        </is>
      </c>
      <c r="F264" t="n">
        <v>2</v>
      </c>
      <c r="G264" t="n">
        <v>2</v>
      </c>
      <c r="H264" t="inlineStr">
        <is>
          <t>MEDIUM</t>
        </is>
      </c>
      <c r="I264" t="n">
        <v>10.5</v>
      </c>
      <c r="J264" t="inlineStr">
        <is>
          <t>NO</t>
        </is>
      </c>
      <c r="K264" t="inlineStr">
        <is>
          <t>2026-02-26 00:15</t>
        </is>
      </c>
      <c r="L264" t="inlineStr">
        <is>
          <t>CHECK_VENDOR</t>
        </is>
      </c>
      <c r="M264" t="inlineStr">
        <is>
          <t>See CVE details</t>
        </is>
      </c>
      <c r="N264" t="inlineStr">
        <is>
          <t>P4</t>
        </is>
      </c>
      <c r="O264" t="inlineStr">
        <is>
          <t>CVE - IP enrichment n/a</t>
        </is>
      </c>
      <c r="P264" t="n">
        <v>0</v>
      </c>
      <c r="Q264" t="n">
        <v>0</v>
      </c>
      <c r="R264" t="inlineStr">
        <is>
          <t>T1189:Drive-by Compromise</t>
        </is>
      </c>
      <c r="S264" t="n">
        <v>1</v>
      </c>
      <c r="T264" t="inlineStr">
        <is>
          <t>LOW (40%)</t>
        </is>
      </c>
      <c r="U264" t="inlineStr">
        <is>
          <t>UNLIKELY</t>
        </is>
      </c>
      <c r="V264" t="inlineStr">
        <is>
          <t>CHECK_VENDOR</t>
        </is>
      </c>
      <c r="W264" t="inlineStr">
        <is>
          <t>https://nvd.nist.gov/vuln/detail/CVE-2026-27058</t>
        </is>
      </c>
      <c r="X264" t="inlineStr">
        <is>
          <t>NONE</t>
        </is>
      </c>
      <c r="Y264" t="n">
        <v>0</v>
      </c>
      <c r="Z264" t="inlineStr"/>
      <c r="AA264" t="inlineStr">
        <is>
          <t>https://nvd.nist.gov/vuln/detail/CVE-2026-27058</t>
        </is>
      </c>
    </row>
    <row r="265">
      <c r="A265" t="inlineStr">
        <is>
          <t>CVE</t>
        </is>
      </c>
      <c r="B265" t="inlineStr">
        <is>
          <t>CVE-2026-27059</t>
        </is>
      </c>
      <c r="C265" t="inlineStr">
        <is>
          <t>Improper Neutralization of Input During Web Page Generation ('Cross-site Scripting') vulnerability in PenciDesign Penci Recipe penci-recipe allows DOM-Based XSS.This issue affects Penci Recipe: from n/a through &lt;= 4.1.</t>
        </is>
      </c>
      <c r="D265" t="n">
        <v>6.5</v>
      </c>
      <c r="E265" t="inlineStr">
        <is>
          <t>MEDIUM</t>
        </is>
      </c>
      <c r="F265" t="n">
        <v>2</v>
      </c>
      <c r="G265" t="n">
        <v>2</v>
      </c>
      <c r="H265" t="inlineStr">
        <is>
          <t>MEDIUM</t>
        </is>
      </c>
      <c r="I265" t="n">
        <v>10.5</v>
      </c>
      <c r="J265" t="inlineStr">
        <is>
          <t>NO</t>
        </is>
      </c>
      <c r="K265" t="inlineStr">
        <is>
          <t>2026-02-26 00:15</t>
        </is>
      </c>
      <c r="L265" t="inlineStr">
        <is>
          <t>CHECK_VENDOR</t>
        </is>
      </c>
      <c r="M265" t="inlineStr">
        <is>
          <t>See CVE details</t>
        </is>
      </c>
      <c r="N265" t="inlineStr">
        <is>
          <t>P4</t>
        </is>
      </c>
      <c r="O265" t="inlineStr">
        <is>
          <t>CVE - IP enrichment n/a</t>
        </is>
      </c>
      <c r="P265" t="n">
        <v>0</v>
      </c>
      <c r="Q265" t="n">
        <v>0</v>
      </c>
      <c r="R265" t="inlineStr">
        <is>
          <t>T1189:Drive-by Compromise</t>
        </is>
      </c>
      <c r="S265" t="n">
        <v>1</v>
      </c>
      <c r="T265" t="inlineStr">
        <is>
          <t>LOW (40%)</t>
        </is>
      </c>
      <c r="U265" t="inlineStr">
        <is>
          <t>UNLIKELY</t>
        </is>
      </c>
      <c r="V265" t="inlineStr">
        <is>
          <t>CHECK_VENDOR</t>
        </is>
      </c>
      <c r="W265" t="inlineStr">
        <is>
          <t>https://nvd.nist.gov/vuln/detail/CVE-2026-27059</t>
        </is>
      </c>
      <c r="X265" t="inlineStr">
        <is>
          <t>NONE</t>
        </is>
      </c>
      <c r="Y265" t="n">
        <v>0</v>
      </c>
      <c r="Z265" t="inlineStr"/>
      <c r="AA265" t="inlineStr">
        <is>
          <t>https://nvd.nist.gov/vuln/detail/CVE-2026-27059</t>
        </is>
      </c>
    </row>
    <row r="266">
      <c r="A266" t="inlineStr">
        <is>
          <t>CVE</t>
        </is>
      </c>
      <c r="B266" t="inlineStr">
        <is>
          <t>CVE-2026-27066</t>
        </is>
      </c>
      <c r="C266" t="inlineStr">
        <is>
          <t>Missing Authorization vulnerability in PI Web Solution Live sales notification for WooCommerce live-sales-notifications-for-woocommerce allows Exploiting Incorrectly Configured Access Control Security Levels.This issue affects Live sales notification for WooCommerce: from n/a through &lt;= 2.3.46.</t>
        </is>
      </c>
      <c r="D266" t="n">
        <v>5.3</v>
      </c>
      <c r="E266" t="inlineStr">
        <is>
          <t>MEDIUM</t>
        </is>
      </c>
      <c r="F266" t="n">
        <v>2</v>
      </c>
      <c r="G266" t="n">
        <v>2</v>
      </c>
      <c r="H266" t="inlineStr">
        <is>
          <t>MEDIUM</t>
        </is>
      </c>
      <c r="I266" t="n">
        <v>9.300000000000001</v>
      </c>
      <c r="J266" t="inlineStr">
        <is>
          <t>NO</t>
        </is>
      </c>
      <c r="K266" t="inlineStr">
        <is>
          <t>2026-02-26 00:15</t>
        </is>
      </c>
      <c r="L266" t="inlineStr">
        <is>
          <t>CHECK_VENDOR</t>
        </is>
      </c>
      <c r="M266" t="inlineStr">
        <is>
          <t>See CVE details</t>
        </is>
      </c>
      <c r="N266" t="inlineStr">
        <is>
          <t>P4</t>
        </is>
      </c>
      <c r="O266" t="inlineStr">
        <is>
          <t>CVE - IP enrichment n/a</t>
        </is>
      </c>
      <c r="P266" t="n">
        <v>0.0004</v>
      </c>
      <c r="Q266" t="n">
        <v>0.1086</v>
      </c>
      <c r="R266" t="inlineStr">
        <is>
          <t>T1190:Exploit Public-Facing Application</t>
        </is>
      </c>
      <c r="S266" t="n">
        <v>1</v>
      </c>
      <c r="T266" t="inlineStr">
        <is>
          <t>LOW (40%)</t>
        </is>
      </c>
      <c r="U266" t="inlineStr">
        <is>
          <t>UNLIKELY</t>
        </is>
      </c>
      <c r="V266" t="inlineStr">
        <is>
          <t>CHECK_VENDOR</t>
        </is>
      </c>
      <c r="W266" t="inlineStr">
        <is>
          <t>https://nvd.nist.gov/vuln/detail/CVE-2026-27066</t>
        </is>
      </c>
      <c r="X266" t="inlineStr">
        <is>
          <t>NONE</t>
        </is>
      </c>
      <c r="Y266" t="n">
        <v>0</v>
      </c>
      <c r="Z266" t="inlineStr"/>
      <c r="AA266" t="inlineStr">
        <is>
          <t>https://nvd.nist.gov/vuln/detail/CVE-2026-27066</t>
        </is>
      </c>
    </row>
    <row r="267">
      <c r="A267" t="inlineStr">
        <is>
          <t>CVE</t>
        </is>
      </c>
      <c r="B267" t="inlineStr">
        <is>
          <t>CVE-2026-27069</t>
        </is>
      </c>
      <c r="C267" t="inlineStr">
        <is>
          <t>Improper Neutralization of Input During Web Page Generation ('Cross-site Scripting') vulnerability in PenciDesign Soledad soledad allows DOM-Based XSS.This issue affects Soledad: from n/a through &lt;= 8.7.2.</t>
        </is>
      </c>
      <c r="D267" t="n">
        <v>6.5</v>
      </c>
      <c r="E267" t="inlineStr">
        <is>
          <t>MEDIUM</t>
        </is>
      </c>
      <c r="F267" t="n">
        <v>2</v>
      </c>
      <c r="G267" t="n">
        <v>2</v>
      </c>
      <c r="H267" t="inlineStr">
        <is>
          <t>MEDIUM</t>
        </is>
      </c>
      <c r="I267" t="n">
        <v>10.5</v>
      </c>
      <c r="J267" t="inlineStr">
        <is>
          <t>NO</t>
        </is>
      </c>
      <c r="K267" t="inlineStr">
        <is>
          <t>2026-02-26 00:15</t>
        </is>
      </c>
      <c r="L267" t="inlineStr">
        <is>
          <t>CHECK_VENDOR</t>
        </is>
      </c>
      <c r="M267" t="inlineStr">
        <is>
          <t>See CVE details</t>
        </is>
      </c>
      <c r="N267" t="inlineStr">
        <is>
          <t>P4</t>
        </is>
      </c>
      <c r="O267" t="inlineStr">
        <is>
          <t>CVE - IP enrichment n/a</t>
        </is>
      </c>
      <c r="P267" t="n">
        <v>0</v>
      </c>
      <c r="Q267" t="n">
        <v>0</v>
      </c>
      <c r="R267" t="inlineStr">
        <is>
          <t>T1189:Drive-by Compromise</t>
        </is>
      </c>
      <c r="S267" t="n">
        <v>1</v>
      </c>
      <c r="T267" t="inlineStr">
        <is>
          <t>LOW (40%)</t>
        </is>
      </c>
      <c r="U267" t="inlineStr">
        <is>
          <t>UNLIKELY</t>
        </is>
      </c>
      <c r="V267" t="inlineStr">
        <is>
          <t>CHECK_VENDOR</t>
        </is>
      </c>
      <c r="W267" t="inlineStr">
        <is>
          <t>https://nvd.nist.gov/vuln/detail/CVE-2026-27069</t>
        </is>
      </c>
      <c r="X267" t="inlineStr">
        <is>
          <t>NONE</t>
        </is>
      </c>
      <c r="Y267" t="n">
        <v>0</v>
      </c>
      <c r="Z267" t="inlineStr"/>
      <c r="AA267" t="inlineStr">
        <is>
          <t>https://nvd.nist.gov/vuln/detail/CVE-2026-27069</t>
        </is>
      </c>
    </row>
    <row r="268">
      <c r="A268" t="inlineStr">
        <is>
          <t>CVE</t>
        </is>
      </c>
      <c r="B268" t="inlineStr">
        <is>
          <t>CVE-2026-27074</t>
        </is>
      </c>
      <c r="C268" t="inlineStr">
        <is>
          <t>Improper Neutralization of Input During Web Page Generation ('Cross-site Scripting') vulnerability in vaakash Shortcoder shortcoder allows Stored XSS.This issue affects Shortcoder: from n/a through &lt;= 6.5.1.</t>
        </is>
      </c>
      <c r="D268" t="n">
        <v>5</v>
      </c>
      <c r="E268" t="inlineStr">
        <is>
          <t>MEDIUM</t>
        </is>
      </c>
      <c r="F268" t="n">
        <v>2</v>
      </c>
      <c r="G268" t="n">
        <v>2</v>
      </c>
      <c r="H268" t="inlineStr">
        <is>
          <t>MEDIUM</t>
        </is>
      </c>
      <c r="I268" t="n">
        <v>9</v>
      </c>
      <c r="J268" t="inlineStr">
        <is>
          <t>NO</t>
        </is>
      </c>
      <c r="K268" t="inlineStr">
        <is>
          <t>2026-02-26 00:15</t>
        </is>
      </c>
      <c r="L268" t="inlineStr">
        <is>
          <t>CHECK_VENDOR</t>
        </is>
      </c>
      <c r="M268" t="inlineStr">
        <is>
          <t>See CVE details</t>
        </is>
      </c>
      <c r="N268" t="inlineStr">
        <is>
          <t>P4</t>
        </is>
      </c>
      <c r="O268" t="inlineStr">
        <is>
          <t>CVE - IP enrichment n/a</t>
        </is>
      </c>
      <c r="P268" t="n">
        <v>0</v>
      </c>
      <c r="Q268" t="n">
        <v>0</v>
      </c>
      <c r="R268" t="inlineStr">
        <is>
          <t>T1189:Drive-by Compromise</t>
        </is>
      </c>
      <c r="S268" t="n">
        <v>1</v>
      </c>
      <c r="T268" t="inlineStr">
        <is>
          <t>LOW (40%)</t>
        </is>
      </c>
      <c r="U268" t="inlineStr">
        <is>
          <t>UNLIKELY</t>
        </is>
      </c>
      <c r="V268" t="inlineStr">
        <is>
          <t>CHECK_VENDOR</t>
        </is>
      </c>
      <c r="W268" t="inlineStr">
        <is>
          <t>https://nvd.nist.gov/vuln/detail/CVE-2026-27074</t>
        </is>
      </c>
      <c r="X268" t="inlineStr">
        <is>
          <t>NONE</t>
        </is>
      </c>
      <c r="Y268" t="n">
        <v>0</v>
      </c>
      <c r="Z268" t="inlineStr"/>
      <c r="AA268" t="inlineStr">
        <is>
          <t>https://nvd.nist.gov/vuln/detail/CVE-2026-27074</t>
        </is>
      </c>
    </row>
    <row r="269">
      <c r="A269" t="inlineStr">
        <is>
          <t>CVE</t>
        </is>
      </c>
      <c r="B269" t="inlineStr">
        <is>
          <t>CVE-2026-27090</t>
        </is>
      </c>
      <c r="C269" t="inlineStr">
        <is>
          <t>Cross-Site Request Forgery (CSRF) vulnerability in WP Moose Kenta Companion kenta-companion allows Cross Site Request Forgery.This issue affects Kenta Companion: from n/a through &lt;= 1.3.3.</t>
        </is>
      </c>
      <c r="D269" t="n">
        <v>4.3</v>
      </c>
      <c r="E269" t="inlineStr">
        <is>
          <t>MEDIUM</t>
        </is>
      </c>
      <c r="F269" t="n">
        <v>2</v>
      </c>
      <c r="G269" t="n">
        <v>2</v>
      </c>
      <c r="H269" t="inlineStr">
        <is>
          <t>MEDIUM</t>
        </is>
      </c>
      <c r="I269" t="n">
        <v>8.300000000000001</v>
      </c>
      <c r="J269" t="inlineStr">
        <is>
          <t>NO</t>
        </is>
      </c>
      <c r="K269" t="inlineStr">
        <is>
          <t>2026-02-26 00:15</t>
        </is>
      </c>
      <c r="L269" t="inlineStr">
        <is>
          <t>CHECK_VENDOR</t>
        </is>
      </c>
      <c r="M269" t="inlineStr">
        <is>
          <t>See CVE details</t>
        </is>
      </c>
      <c r="N269" t="inlineStr">
        <is>
          <t>P4</t>
        </is>
      </c>
      <c r="O269" t="inlineStr">
        <is>
          <t>CVE - IP enrichment n/a</t>
        </is>
      </c>
      <c r="P269" t="n">
        <v>0.0002</v>
      </c>
      <c r="Q269" t="n">
        <v>0.0318</v>
      </c>
      <c r="R269" t="inlineStr">
        <is>
          <t>T1185:Browser Session Hijacking</t>
        </is>
      </c>
      <c r="S269" t="n">
        <v>1</v>
      </c>
      <c r="T269" t="inlineStr">
        <is>
          <t>LOW (40%)</t>
        </is>
      </c>
      <c r="U269" t="inlineStr">
        <is>
          <t>UNLIKELY</t>
        </is>
      </c>
      <c r="V269" t="inlineStr">
        <is>
          <t>CHECK_VENDOR</t>
        </is>
      </c>
      <c r="W269" t="inlineStr">
        <is>
          <t>https://nvd.nist.gov/vuln/detail/CVE-2026-27090</t>
        </is>
      </c>
      <c r="X269" t="inlineStr">
        <is>
          <t>NONE</t>
        </is>
      </c>
      <c r="Y269" t="n">
        <v>0</v>
      </c>
      <c r="Z269" t="inlineStr"/>
      <c r="AA269" t="inlineStr">
        <is>
          <t>https://nvd.nist.gov/vuln/detail/CVE-2026-27090</t>
        </is>
      </c>
    </row>
    <row r="270">
      <c r="A270" t="inlineStr">
        <is>
          <t>CVE</t>
        </is>
      </c>
      <c r="B270" t="inlineStr">
        <is>
          <t>CVE-2026-27092</t>
        </is>
      </c>
      <c r="C270" t="inlineStr">
        <is>
          <t>Missing Authorization vulnerability in Greg Winiarski WPAdverts wpadverts allows Exploiting Incorrectly Configured Access Control Security Levels.This issue affects WPAdverts: from n/a through &lt;= 2.2.11.</t>
        </is>
      </c>
      <c r="D270" t="n">
        <v>6.5</v>
      </c>
      <c r="E270" t="inlineStr">
        <is>
          <t>MEDIUM</t>
        </is>
      </c>
      <c r="F270" t="n">
        <v>2</v>
      </c>
      <c r="G270" t="n">
        <v>2</v>
      </c>
      <c r="H270" t="inlineStr">
        <is>
          <t>MEDIUM</t>
        </is>
      </c>
      <c r="I270" t="n">
        <v>10.5</v>
      </c>
      <c r="J270" t="inlineStr">
        <is>
          <t>NO</t>
        </is>
      </c>
      <c r="K270" t="inlineStr">
        <is>
          <t>2026-02-26 00:15</t>
        </is>
      </c>
      <c r="L270" t="inlineStr">
        <is>
          <t>CHECK_VENDOR</t>
        </is>
      </c>
      <c r="M270" t="inlineStr">
        <is>
          <t>See CVE details</t>
        </is>
      </c>
      <c r="N270" t="inlineStr">
        <is>
          <t>P4</t>
        </is>
      </c>
      <c r="O270" t="inlineStr">
        <is>
          <t>CVE - IP enrichment n/a</t>
        </is>
      </c>
      <c r="P270" t="n">
        <v>0</v>
      </c>
      <c r="Q270" t="n">
        <v>0</v>
      </c>
      <c r="R270" t="inlineStr">
        <is>
          <t>T1190:Exploit Public-Facing Application</t>
        </is>
      </c>
      <c r="S270" t="n">
        <v>1</v>
      </c>
      <c r="T270" t="inlineStr">
        <is>
          <t>LOW (40%)</t>
        </is>
      </c>
      <c r="U270" t="inlineStr">
        <is>
          <t>UNLIKELY</t>
        </is>
      </c>
      <c r="V270" t="inlineStr">
        <is>
          <t>CHECK_VENDOR</t>
        </is>
      </c>
      <c r="W270" t="inlineStr">
        <is>
          <t>https://nvd.nist.gov/vuln/detail/CVE-2026-27092</t>
        </is>
      </c>
      <c r="X270" t="inlineStr">
        <is>
          <t>NONE</t>
        </is>
      </c>
      <c r="Y270" t="n">
        <v>0</v>
      </c>
      <c r="Z270" t="inlineStr"/>
      <c r="AA270" t="inlineStr">
        <is>
          <t>https://nvd.nist.gov/vuln/detail/CVE-2026-27092</t>
        </is>
      </c>
    </row>
    <row r="271">
      <c r="A271" t="inlineStr">
        <is>
          <t>CVE</t>
        </is>
      </c>
      <c r="B271" t="inlineStr">
        <is>
          <t>CVE-2026-27094</t>
        </is>
      </c>
      <c r="C271" t="inlineStr">
        <is>
          <t>Improper Neutralization of Input During Web Page Generation ('Cross-site Scripting') vulnerability in GoDaddy CoBlocks coblocks allows Stored XSS.This issue affects CoBlocks: from n/a through &lt;= 3.1.16.</t>
        </is>
      </c>
      <c r="D271" t="n">
        <v>6.5</v>
      </c>
      <c r="E271" t="inlineStr">
        <is>
          <t>MEDIUM</t>
        </is>
      </c>
      <c r="F271" t="n">
        <v>2</v>
      </c>
      <c r="G271" t="n">
        <v>2</v>
      </c>
      <c r="H271" t="inlineStr">
        <is>
          <t>MEDIUM</t>
        </is>
      </c>
      <c r="I271" t="n">
        <v>10.5</v>
      </c>
      <c r="J271" t="inlineStr">
        <is>
          <t>NO</t>
        </is>
      </c>
      <c r="K271" t="inlineStr">
        <is>
          <t>2026-02-26 00:15</t>
        </is>
      </c>
      <c r="L271" t="inlineStr">
        <is>
          <t>CHECK_VENDOR</t>
        </is>
      </c>
      <c r="M271" t="inlineStr">
        <is>
          <t>See CVE details</t>
        </is>
      </c>
      <c r="N271" t="inlineStr">
        <is>
          <t>P4</t>
        </is>
      </c>
      <c r="O271" t="inlineStr">
        <is>
          <t>CVE - IP enrichment n/a</t>
        </is>
      </c>
      <c r="P271" t="n">
        <v>0</v>
      </c>
      <c r="Q271" t="n">
        <v>0</v>
      </c>
      <c r="R271" t="inlineStr">
        <is>
          <t>T1189:Drive-by Compromise</t>
        </is>
      </c>
      <c r="S271" t="n">
        <v>1</v>
      </c>
      <c r="T271" t="inlineStr">
        <is>
          <t>LOW (40%)</t>
        </is>
      </c>
      <c r="U271" t="inlineStr">
        <is>
          <t>UNLIKELY</t>
        </is>
      </c>
      <c r="V271" t="inlineStr">
        <is>
          <t>CHECK_VENDOR</t>
        </is>
      </c>
      <c r="W271" t="inlineStr">
        <is>
          <t>https://nvd.nist.gov/vuln/detail/CVE-2026-27094</t>
        </is>
      </c>
      <c r="X271" t="inlineStr">
        <is>
          <t>NONE</t>
        </is>
      </c>
      <c r="Y271" t="n">
        <v>0</v>
      </c>
      <c r="Z271" t="inlineStr"/>
      <c r="AA271" t="inlineStr">
        <is>
          <t>https://nvd.nist.gov/vuln/detail/CVE-2026-27094</t>
        </is>
      </c>
    </row>
    <row r="272">
      <c r="A272" t="inlineStr">
        <is>
          <t>CVE</t>
        </is>
      </c>
      <c r="B272" t="inlineStr">
        <is>
          <t>CVE-2026-2735</t>
        </is>
      </c>
      <c r="C272" t="inlineStr">
        <is>
          <t>Stored Cross-Site Scripting (XSS) in Alkacon's OpenCms v18.0, which occurs when user input is not properly validated when sending a POST request to ‘/blog/new-article/org.opencms.ugc.CmsUgcEditService.gwt’ using the ‘text’ parameter.</t>
        </is>
      </c>
      <c r="D272" t="n">
        <v>5.4</v>
      </c>
      <c r="E272" t="inlineStr">
        <is>
          <t>MEDIUM</t>
        </is>
      </c>
      <c r="F272" t="n">
        <v>2</v>
      </c>
      <c r="G272" t="n">
        <v>2</v>
      </c>
      <c r="H272" t="inlineStr">
        <is>
          <t>MEDIUM</t>
        </is>
      </c>
      <c r="I272" t="n">
        <v>9.4</v>
      </c>
      <c r="J272" t="inlineStr">
        <is>
          <t>NO</t>
        </is>
      </c>
      <c r="K272" t="inlineStr">
        <is>
          <t>2026-02-26 00:15</t>
        </is>
      </c>
      <c r="L272" t="inlineStr">
        <is>
          <t>CHECK_VENDOR</t>
        </is>
      </c>
      <c r="M272" t="inlineStr">
        <is>
          <t>alkacon opencms 18.0.0</t>
        </is>
      </c>
      <c r="N272" t="inlineStr">
        <is>
          <t>P4</t>
        </is>
      </c>
      <c r="O272" t="inlineStr">
        <is>
          <t>CVE - IP enrichment n/a</t>
        </is>
      </c>
      <c r="P272" t="n">
        <v>0</v>
      </c>
      <c r="Q272" t="n">
        <v>0</v>
      </c>
      <c r="R272" t="inlineStr">
        <is>
          <t>T1189:Drive-by Compromise</t>
        </is>
      </c>
      <c r="S272" t="n">
        <v>1</v>
      </c>
      <c r="T272" t="inlineStr">
        <is>
          <t>LOW (40%)</t>
        </is>
      </c>
      <c r="U272" t="inlineStr">
        <is>
          <t>UNLIKELY</t>
        </is>
      </c>
      <c r="V272" t="inlineStr">
        <is>
          <t>CHECK_VENDOR</t>
        </is>
      </c>
      <c r="W272" t="inlineStr">
        <is>
          <t>https://nvd.nist.gov/vuln/detail/CVE-2026-2735</t>
        </is>
      </c>
      <c r="X272" t="inlineStr">
        <is>
          <t>NONE</t>
        </is>
      </c>
      <c r="Y272" t="n">
        <v>0</v>
      </c>
      <c r="Z272" t="inlineStr"/>
      <c r="AA272" t="inlineStr">
        <is>
          <t>https://nvd.nist.gov/vuln/detail/CVE-2026-2735</t>
        </is>
      </c>
    </row>
    <row r="273">
      <c r="A273" t="inlineStr">
        <is>
          <t>CVE</t>
        </is>
      </c>
      <c r="B273" t="inlineStr">
        <is>
          <t>CVE-2026-2736</t>
        </is>
      </c>
      <c r="C273" t="inlineStr">
        <is>
          <t>Reflected Cross-site Scripting (XSS) in Alkacon's OpenCms v18.0, which allows an attacker to execute JavaScript code in the victim's browser by sending the victim a malicious URL containing the ‘q’ parameter in ‘/search/index.html’. This vulnerability can be exploited to steal sensitive user information such as session cookies, or to perform actions while impersonating the user.</t>
        </is>
      </c>
      <c r="D273" t="n">
        <v>6.1</v>
      </c>
      <c r="E273" t="inlineStr">
        <is>
          <t>MEDIUM</t>
        </is>
      </c>
      <c r="F273" t="n">
        <v>2</v>
      </c>
      <c r="G273" t="n">
        <v>2</v>
      </c>
      <c r="H273" t="inlineStr">
        <is>
          <t>MEDIUM</t>
        </is>
      </c>
      <c r="I273" t="n">
        <v>10.1</v>
      </c>
      <c r="J273" t="inlineStr">
        <is>
          <t>NO</t>
        </is>
      </c>
      <c r="K273" t="inlineStr">
        <is>
          <t>2026-02-26 00:15</t>
        </is>
      </c>
      <c r="L273" t="inlineStr">
        <is>
          <t>CHECK_VENDOR</t>
        </is>
      </c>
      <c r="M273" t="inlineStr">
        <is>
          <t>alkacon opencms 18.0.0</t>
        </is>
      </c>
      <c r="N273" t="inlineStr">
        <is>
          <t>P4</t>
        </is>
      </c>
      <c r="O273" t="inlineStr">
        <is>
          <t>CVE - IP enrichment n/a</t>
        </is>
      </c>
      <c r="P273" t="n">
        <v>0</v>
      </c>
      <c r="Q273" t="n">
        <v>0</v>
      </c>
      <c r="R273" t="inlineStr">
        <is>
          <t>T1189:Drive-by Compromise</t>
        </is>
      </c>
      <c r="S273" t="n">
        <v>1</v>
      </c>
      <c r="T273" t="inlineStr">
        <is>
          <t>LOW (40%)</t>
        </is>
      </c>
      <c r="U273" t="inlineStr">
        <is>
          <t>UNLIKELY</t>
        </is>
      </c>
      <c r="V273" t="inlineStr">
        <is>
          <t>CHECK_VENDOR</t>
        </is>
      </c>
      <c r="W273" t="inlineStr">
        <is>
          <t>https://nvd.nist.gov/vuln/detail/CVE-2026-2736</t>
        </is>
      </c>
      <c r="X273" t="inlineStr">
        <is>
          <t>NONE</t>
        </is>
      </c>
      <c r="Y273" t="n">
        <v>0</v>
      </c>
      <c r="Z273" t="inlineStr"/>
      <c r="AA273" t="inlineStr">
        <is>
          <t>https://nvd.nist.gov/vuln/detail/CVE-2026-2736</t>
        </is>
      </c>
    </row>
    <row r="274">
      <c r="A274" t="inlineStr">
        <is>
          <t>CVE</t>
        </is>
      </c>
      <c r="B274" t="inlineStr">
        <is>
          <t>CVE-2025-12107</t>
        </is>
      </c>
      <c r="C274" t="inlineStr">
        <is>
          <t>Due to the use of a vulnerable third-party Velocity template engine, a malicious actor with admin privilege may inject and execute arbitrary template syntax within server-side templates. 
 Successful exploitation of this vulnerability could allow a malicious actor with admin privilege to inject and execute arbitrary template code on the server, potentially leading to remote code execution, data manipulation, or unauthorized access to sensitive information.</t>
        </is>
      </c>
      <c r="D274" t="n">
        <v>10</v>
      </c>
      <c r="E274" t="inlineStr">
        <is>
          <t>CRITICAL</t>
        </is>
      </c>
      <c r="F274" t="n">
        <v>2</v>
      </c>
      <c r="G274" t="n">
        <v>3</v>
      </c>
      <c r="H274" t="inlineStr">
        <is>
          <t>HIGH</t>
        </is>
      </c>
      <c r="I274" t="n">
        <v>16</v>
      </c>
      <c r="J274" t="inlineStr">
        <is>
          <t>NO</t>
        </is>
      </c>
      <c r="K274" t="inlineStr">
        <is>
          <t>2026-02-26 00:15</t>
        </is>
      </c>
      <c r="L274" t="inlineStr">
        <is>
          <t>YES</t>
        </is>
      </c>
      <c r="M274" t="inlineStr">
        <is>
          <t>wso2 identity_server 5.11.0</t>
        </is>
      </c>
      <c r="N274" t="inlineStr">
        <is>
          <t>P3</t>
        </is>
      </c>
      <c r="O274" t="inlineStr">
        <is>
          <t>CVE - IP enrichment n/a</t>
        </is>
      </c>
      <c r="P274" t="n">
        <v>0</v>
      </c>
      <c r="Q274" t="n">
        <v>0</v>
      </c>
      <c r="R274" t="inlineStr">
        <is>
          <t>T1190:Exploit Public-Facing Application | T1210:Exploitation of Remote Services</t>
        </is>
      </c>
      <c r="S274" t="n">
        <v>1</v>
      </c>
      <c r="T274" t="inlineStr">
        <is>
          <t>LOW (40%)</t>
        </is>
      </c>
      <c r="U274" t="inlineStr">
        <is>
          <t>UNLIKELY</t>
        </is>
      </c>
      <c r="V274" t="inlineStr">
        <is>
          <t>PATCH_AVAILABLE</t>
        </is>
      </c>
      <c r="W274" t="inlineStr">
        <is>
          <t>https://nvd.nist.gov/vuln/detail/CVE-2025-12107</t>
        </is>
      </c>
      <c r="X274" t="inlineStr">
        <is>
          <t>NONE</t>
        </is>
      </c>
      <c r="Y274" t="n">
        <v>0</v>
      </c>
      <c r="Z274" t="inlineStr"/>
      <c r="AA274" t="inlineStr">
        <is>
          <t>https://nvd.nist.gov/vuln/detail/CVE-2025-12107</t>
        </is>
      </c>
    </row>
    <row r="275">
      <c r="A275" t="inlineStr">
        <is>
          <t>CVE</t>
        </is>
      </c>
      <c r="B275" t="inlineStr">
        <is>
          <t>CVE-2025-13590</t>
        </is>
      </c>
      <c r="C275" t="inlineStr">
        <is>
          <t>A malicious actor with administrative privileges can upload an arbitrary file to a user-controlled location within the deployment via a system REST API. Successful uploads may lead to remote code execution. 
 By leveraging the vulnerability, a malicious actor may perform Remote Code Execution by uploading a specially crafted payload.</t>
        </is>
      </c>
      <c r="D275" t="n">
        <v>9.1</v>
      </c>
      <c r="E275" t="inlineStr">
        <is>
          <t>CRITICAL</t>
        </is>
      </c>
      <c r="F275" t="n">
        <v>2</v>
      </c>
      <c r="G275" t="n">
        <v>3</v>
      </c>
      <c r="H275" t="inlineStr">
        <is>
          <t>HIGH</t>
        </is>
      </c>
      <c r="I275" t="n">
        <v>15.1</v>
      </c>
      <c r="J275" t="inlineStr">
        <is>
          <t>NO</t>
        </is>
      </c>
      <c r="K275" t="inlineStr">
        <is>
          <t>2026-02-26 00:15</t>
        </is>
      </c>
      <c r="L275" t="inlineStr">
        <is>
          <t>YES</t>
        </is>
      </c>
      <c r="M275" t="inlineStr">
        <is>
          <t>wso2 api_control_plane 4.6.0 | wso2 api_control_plane 4.5.0 | wso2 api_manager 4.2.0</t>
        </is>
      </c>
      <c r="N275" t="inlineStr">
        <is>
          <t>P3</t>
        </is>
      </c>
      <c r="O275" t="inlineStr">
        <is>
          <t>CVE - IP enrichment n/a</t>
        </is>
      </c>
      <c r="P275" t="n">
        <v>0</v>
      </c>
      <c r="Q275" t="n">
        <v>0</v>
      </c>
      <c r="R275" t="inlineStr">
        <is>
          <t>T1190:Exploit Public-Facing Application | T1210:Exploitation of Remote Services</t>
        </is>
      </c>
      <c r="S275" t="n">
        <v>1</v>
      </c>
      <c r="T275" t="inlineStr">
        <is>
          <t>LOW (40%)</t>
        </is>
      </c>
      <c r="U275" t="inlineStr">
        <is>
          <t>UNLIKELY</t>
        </is>
      </c>
      <c r="V275" t="inlineStr">
        <is>
          <t>PATCH_AVAILABLE</t>
        </is>
      </c>
      <c r="W275" t="inlineStr">
        <is>
          <t>https://nvd.nist.gov/vuln/detail/CVE-2025-13590</t>
        </is>
      </c>
      <c r="X275" t="inlineStr">
        <is>
          <t>NONE</t>
        </is>
      </c>
      <c r="Y275" t="n">
        <v>0</v>
      </c>
      <c r="Z275" t="inlineStr"/>
      <c r="AA275" t="inlineStr">
        <is>
          <t>https://nvd.nist.gov/vuln/detail/CVE-2025-13590</t>
        </is>
      </c>
    </row>
    <row r="276">
      <c r="A276" t="inlineStr">
        <is>
          <t>CVE</t>
        </is>
      </c>
      <c r="B276" t="inlineStr">
        <is>
          <t>CVE-2026-1219</t>
        </is>
      </c>
      <c r="C276" t="inlineStr">
        <is>
          <t>The MP3 Audio Player – Music Player, Podcast Player &amp; Radio by Sonaar plugin for WordPress is vulnerable to Insecure Direct Object Reference in versions 4.0 to 5.10 via the 'load_track_note_ajax' due to missing validation on a user controlled key. This makes it possible for unauthenticated attackers to view the contents of private posts.</t>
        </is>
      </c>
      <c r="D276" t="n">
        <v>5.3</v>
      </c>
      <c r="E276" t="inlineStr">
        <is>
          <t>MEDIUM</t>
        </is>
      </c>
      <c r="F276" t="n">
        <v>2</v>
      </c>
      <c r="G276" t="n">
        <v>2</v>
      </c>
      <c r="H276" t="inlineStr">
        <is>
          <t>MEDIUM</t>
        </is>
      </c>
      <c r="I276" t="n">
        <v>9.300000000000001</v>
      </c>
      <c r="J276" t="inlineStr">
        <is>
          <t>NO</t>
        </is>
      </c>
      <c r="K276" t="inlineStr">
        <is>
          <t>2026-02-26 00:15</t>
        </is>
      </c>
      <c r="L276" t="inlineStr">
        <is>
          <t>CHECK_VENDOR</t>
        </is>
      </c>
      <c r="M276" t="inlineStr">
        <is>
          <t>See CVE details</t>
        </is>
      </c>
      <c r="N276" t="inlineStr">
        <is>
          <t>P4</t>
        </is>
      </c>
      <c r="O276" t="inlineStr">
        <is>
          <t>CVE - IP enrichment n/a</t>
        </is>
      </c>
      <c r="P276" t="n">
        <v>0.0003</v>
      </c>
      <c r="Q276" t="n">
        <v>0.0769</v>
      </c>
      <c r="R276" t="inlineStr">
        <is>
          <t>T1190:Exploit Public-Facing Application</t>
        </is>
      </c>
      <c r="S276" t="n">
        <v>1</v>
      </c>
      <c r="T276" t="inlineStr">
        <is>
          <t>LOW (40%)</t>
        </is>
      </c>
      <c r="U276" t="inlineStr">
        <is>
          <t>UNLIKELY</t>
        </is>
      </c>
      <c r="V276" t="inlineStr">
        <is>
          <t>CHECK_VENDOR</t>
        </is>
      </c>
      <c r="W276" t="inlineStr">
        <is>
          <t>https://nvd.nist.gov/vuln/detail/CVE-2026-1219</t>
        </is>
      </c>
      <c r="X276" t="inlineStr">
        <is>
          <t>NONE</t>
        </is>
      </c>
      <c r="Y276" t="n">
        <v>0</v>
      </c>
      <c r="Z276" t="inlineStr"/>
      <c r="AA276" t="inlineStr">
        <is>
          <t>https://nvd.nist.gov/vuln/detail/CVE-2026-1219</t>
        </is>
      </c>
    </row>
    <row r="277">
      <c r="A277" t="inlineStr">
        <is>
          <t>CVE</t>
        </is>
      </c>
      <c r="B277" t="inlineStr">
        <is>
          <t>CVE-2026-1461</t>
        </is>
      </c>
      <c r="C277" t="inlineStr">
        <is>
          <t>The Simple Membership plugin for WordPress is vulnerable to Improper Handling of Missing Values in all versions up to, and including, 4.7.0 via the Stripe webhook handler. This is due to the plugin only validating webhook signatures when the stripe-webhook-signing-secret setting is configured, which is empty by default. This makes it possible for unauthenticated attackers to forge Stripe webhook events to manipulate membership subscriptions, including reactivating expired memberships without pay</t>
        </is>
      </c>
      <c r="D277" t="n">
        <v>6.5</v>
      </c>
      <c r="E277" t="inlineStr">
        <is>
          <t>MEDIUM</t>
        </is>
      </c>
      <c r="F277" t="n">
        <v>2</v>
      </c>
      <c r="G277" t="n">
        <v>2</v>
      </c>
      <c r="H277" t="inlineStr">
        <is>
          <t>MEDIUM</t>
        </is>
      </c>
      <c r="I277" t="n">
        <v>10.5</v>
      </c>
      <c r="J277" t="inlineStr">
        <is>
          <t>NO</t>
        </is>
      </c>
      <c r="K277" t="inlineStr">
        <is>
          <t>2026-02-26 00:15</t>
        </is>
      </c>
      <c r="L277" t="inlineStr">
        <is>
          <t>CHECK_VENDOR</t>
        </is>
      </c>
      <c r="M277" t="inlineStr">
        <is>
          <t>See CVE details</t>
        </is>
      </c>
      <c r="N277" t="inlineStr">
        <is>
          <t>P4</t>
        </is>
      </c>
      <c r="O277" t="inlineStr">
        <is>
          <t>CVE - IP enrichment n/a</t>
        </is>
      </c>
      <c r="P277" t="n">
        <v>0.0005</v>
      </c>
      <c r="Q277" t="n">
        <v>0.1617</v>
      </c>
      <c r="R277" t="inlineStr">
        <is>
          <t>T1190:Exploit Public-Facing Application</t>
        </is>
      </c>
      <c r="S277" t="n">
        <v>1</v>
      </c>
      <c r="T277" t="inlineStr">
        <is>
          <t>LOW (40%)</t>
        </is>
      </c>
      <c r="U277" t="inlineStr">
        <is>
          <t>UNLIKELY</t>
        </is>
      </c>
      <c r="V277" t="inlineStr">
        <is>
          <t>CHECK_VENDOR</t>
        </is>
      </c>
      <c r="W277" t="inlineStr">
        <is>
          <t>https://nvd.nist.gov/vuln/detail/CVE-2026-1461</t>
        </is>
      </c>
      <c r="X277" t="inlineStr">
        <is>
          <t>NONE</t>
        </is>
      </c>
      <c r="Y277" t="n">
        <v>0</v>
      </c>
      <c r="Z277" t="inlineStr"/>
      <c r="AA277" t="inlineStr">
        <is>
          <t>https://nvd.nist.gov/vuln/detail/CVE-2026-1461</t>
        </is>
      </c>
    </row>
    <row r="278">
      <c r="A278" t="inlineStr">
        <is>
          <t>CVE</t>
        </is>
      </c>
      <c r="B278" t="inlineStr">
        <is>
          <t>CVE-2026-22266</t>
        </is>
      </c>
      <c r="C278" t="inlineStr">
        <is>
          <t>Dell PowerProtect Data Manager, version(s) prior to 19.22, contain(s) an Improper Verification of Source of a Communication Channel vulnerability in the REST API. A high privileged attacker with remote access could potentially exploit this vulnerability, leading to protection mechanism bypass.</t>
        </is>
      </c>
      <c r="D278" t="n">
        <v>4.7</v>
      </c>
      <c r="E278" t="inlineStr">
        <is>
          <t>MEDIUM</t>
        </is>
      </c>
      <c r="F278" t="n">
        <v>2</v>
      </c>
      <c r="G278" t="n">
        <v>2</v>
      </c>
      <c r="H278" t="inlineStr">
        <is>
          <t>MEDIUM</t>
        </is>
      </c>
      <c r="I278" t="n">
        <v>8.699999999999999</v>
      </c>
      <c r="J278" t="inlineStr">
        <is>
          <t>NO</t>
        </is>
      </c>
      <c r="K278" t="inlineStr">
        <is>
          <t>2026-02-26 00:15</t>
        </is>
      </c>
      <c r="L278" t="inlineStr">
        <is>
          <t>YES</t>
        </is>
      </c>
      <c r="M278" t="inlineStr">
        <is>
          <t>dell powerprotect_data_manager *</t>
        </is>
      </c>
      <c r="N278" t="inlineStr">
        <is>
          <t>P4</t>
        </is>
      </c>
      <c r="O278" t="inlineStr">
        <is>
          <t>CVE - IP enrichment n/a</t>
        </is>
      </c>
      <c r="P278" t="n">
        <v>0.0002</v>
      </c>
      <c r="Q278" t="n">
        <v>0.0335</v>
      </c>
      <c r="R278" t="inlineStr">
        <is>
          <t>T1190:Exploit Public-Facing Application</t>
        </is>
      </c>
      <c r="S278" t="n">
        <v>1</v>
      </c>
      <c r="T278" t="inlineStr">
        <is>
          <t>LOW (40%)</t>
        </is>
      </c>
      <c r="U278" t="inlineStr">
        <is>
          <t>UNLIKELY</t>
        </is>
      </c>
      <c r="V278" t="inlineStr">
        <is>
          <t>PATCH_AVAILABLE</t>
        </is>
      </c>
      <c r="W278" t="inlineStr">
        <is>
          <t>https://nvd.nist.gov/vuln/detail/CVE-2026-22266</t>
        </is>
      </c>
      <c r="X278" t="inlineStr">
        <is>
          <t>NONE</t>
        </is>
      </c>
      <c r="Y278" t="n">
        <v>0</v>
      </c>
      <c r="Z278" t="inlineStr"/>
      <c r="AA278" t="inlineStr">
        <is>
          <t>https://nvd.nist.gov/vuln/detail/CVE-2026-22266</t>
        </is>
      </c>
    </row>
    <row r="279">
      <c r="A279" t="inlineStr">
        <is>
          <t>CVE</t>
        </is>
      </c>
      <c r="B279" t="inlineStr">
        <is>
          <t>CVE-2026-22267</t>
        </is>
      </c>
      <c r="C279" t="inlineStr">
        <is>
          <t>Dell PowerProtect Data Manager, version(s) prior to 19.22, contain(s) an Incorrect Privilege Assignment vulnerability. A low privileged attacker with remote access could potentially exploit this vulnerability, leading to Elevation of privileges.</t>
        </is>
      </c>
      <c r="D279" t="n">
        <v>8.1</v>
      </c>
      <c r="E279" t="inlineStr">
        <is>
          <t>HIGH</t>
        </is>
      </c>
      <c r="F279" t="n">
        <v>2</v>
      </c>
      <c r="G279" t="n">
        <v>3</v>
      </c>
      <c r="H279" t="inlineStr">
        <is>
          <t>HIGH</t>
        </is>
      </c>
      <c r="I279" t="n">
        <v>14.1</v>
      </c>
      <c r="J279" t="inlineStr">
        <is>
          <t>NO</t>
        </is>
      </c>
      <c r="K279" t="inlineStr">
        <is>
          <t>2026-02-26 00:15</t>
        </is>
      </c>
      <c r="L279" t="inlineStr">
        <is>
          <t>YES</t>
        </is>
      </c>
      <c r="M279" t="inlineStr">
        <is>
          <t>dell powerprotect_data_manager *</t>
        </is>
      </c>
      <c r="N279" t="inlineStr">
        <is>
          <t>P3</t>
        </is>
      </c>
      <c r="O279" t="inlineStr">
        <is>
          <t>CVE - IP enrichment n/a</t>
        </is>
      </c>
      <c r="P279" t="n">
        <v>0</v>
      </c>
      <c r="Q279" t="n">
        <v>0</v>
      </c>
      <c r="R279" t="inlineStr">
        <is>
          <t>T1190:Exploit Public-Facing Application</t>
        </is>
      </c>
      <c r="S279" t="n">
        <v>1</v>
      </c>
      <c r="T279" t="inlineStr">
        <is>
          <t>LOW (40%)</t>
        </is>
      </c>
      <c r="U279" t="inlineStr">
        <is>
          <t>UNLIKELY</t>
        </is>
      </c>
      <c r="V279" t="inlineStr">
        <is>
          <t>PATCH_AVAILABLE</t>
        </is>
      </c>
      <c r="W279" t="inlineStr">
        <is>
          <t>https://nvd.nist.gov/vuln/detail/CVE-2026-22267</t>
        </is>
      </c>
      <c r="X279" t="inlineStr">
        <is>
          <t>NONE</t>
        </is>
      </c>
      <c r="Y279" t="n">
        <v>0</v>
      </c>
      <c r="Z279" t="inlineStr"/>
      <c r="AA279" t="inlineStr">
        <is>
          <t>https://nvd.nist.gov/vuln/detail/CVE-2026-22267</t>
        </is>
      </c>
    </row>
    <row r="280">
      <c r="A280" t="inlineStr">
        <is>
          <t>CVE</t>
        </is>
      </c>
      <c r="B280" t="inlineStr">
        <is>
          <t>CVE-2026-22268</t>
        </is>
      </c>
      <c r="C280" t="inlineStr">
        <is>
          <t>Dell PowerProtect Data Manager, version(s) prior to 19.22, contain(s) an Incorrect Privilege Assignment vulnerability. A low privileged attacker with remote access could potentially exploit this vulnerability, leading to denial of service of a Dell Enterprise Support connection.</t>
        </is>
      </c>
      <c r="D280" t="n">
        <v>6.3</v>
      </c>
      <c r="E280" t="inlineStr">
        <is>
          <t>MEDIUM</t>
        </is>
      </c>
      <c r="F280" t="n">
        <v>2</v>
      </c>
      <c r="G280" t="n">
        <v>2</v>
      </c>
      <c r="H280" t="inlineStr">
        <is>
          <t>MEDIUM</t>
        </is>
      </c>
      <c r="I280" t="n">
        <v>10.3</v>
      </c>
      <c r="J280" t="inlineStr">
        <is>
          <t>NO</t>
        </is>
      </c>
      <c r="K280" t="inlineStr">
        <is>
          <t>2026-02-26 00:15</t>
        </is>
      </c>
      <c r="L280" t="inlineStr">
        <is>
          <t>YES</t>
        </is>
      </c>
      <c r="M280" t="inlineStr">
        <is>
          <t>dell powerprotect_data_manager *</t>
        </is>
      </c>
      <c r="N280" t="inlineStr">
        <is>
          <t>P4</t>
        </is>
      </c>
      <c r="O280" t="inlineStr">
        <is>
          <t>CVE - IP enrichment n/a</t>
        </is>
      </c>
      <c r="P280" t="n">
        <v>0.0001</v>
      </c>
      <c r="Q280" t="n">
        <v>0.0131</v>
      </c>
      <c r="R280" t="inlineStr">
        <is>
          <t>T1499:Endpoint Denial of Service</t>
        </is>
      </c>
      <c r="S280" t="n">
        <v>1</v>
      </c>
      <c r="T280" t="inlineStr">
        <is>
          <t>LOW (40%)</t>
        </is>
      </c>
      <c r="U280" t="inlineStr">
        <is>
          <t>UNLIKELY</t>
        </is>
      </c>
      <c r="V280" t="inlineStr">
        <is>
          <t>PATCH_AVAILABLE</t>
        </is>
      </c>
      <c r="W280" t="inlineStr">
        <is>
          <t>https://nvd.nist.gov/vuln/detail/CVE-2026-22268</t>
        </is>
      </c>
      <c r="X280" t="inlineStr">
        <is>
          <t>NONE</t>
        </is>
      </c>
      <c r="Y280" t="n">
        <v>0</v>
      </c>
      <c r="Z280" t="inlineStr"/>
      <c r="AA280" t="inlineStr">
        <is>
          <t>https://nvd.nist.gov/vuln/detail/CVE-2026-22268</t>
        </is>
      </c>
    </row>
    <row r="281">
      <c r="A281" t="inlineStr">
        <is>
          <t>CVE</t>
        </is>
      </c>
      <c r="B281" t="inlineStr">
        <is>
          <t>CVE-2026-2716</t>
        </is>
      </c>
      <c r="C281" t="inlineStr">
        <is>
          <t>The Client Testimonial Slider plugin for WordPress is vulnerable to Stored Cross-Site Scripting via the 'Testimonial Heading' setting in all versions up to, and including, 2.0. This is due to insufficient input sanitization and output escaping. This makes it possible for authenticated attackers, with Administrator-level access and above, to inject arbitrary web scripts in pages that will execute whenever a user accesses an injected page. This only affects multi-site installations and installatio</t>
        </is>
      </c>
      <c r="D281" t="n">
        <v>4.4</v>
      </c>
      <c r="E281" t="inlineStr">
        <is>
          <t>MEDIUM</t>
        </is>
      </c>
      <c r="F281" t="n">
        <v>2</v>
      </c>
      <c r="G281" t="n">
        <v>2</v>
      </c>
      <c r="H281" t="inlineStr">
        <is>
          <t>MEDIUM</t>
        </is>
      </c>
      <c r="I281" t="n">
        <v>8.4</v>
      </c>
      <c r="J281" t="inlineStr">
        <is>
          <t>NO</t>
        </is>
      </c>
      <c r="K281" t="inlineStr">
        <is>
          <t>2026-02-26 00:15</t>
        </is>
      </c>
      <c r="L281" t="inlineStr">
        <is>
          <t>CHECK_VENDOR</t>
        </is>
      </c>
      <c r="M281" t="inlineStr">
        <is>
          <t>See CVE details</t>
        </is>
      </c>
      <c r="N281" t="inlineStr">
        <is>
          <t>P4</t>
        </is>
      </c>
      <c r="O281" t="inlineStr">
        <is>
          <t>CVE - IP enrichment n/a</t>
        </is>
      </c>
      <c r="P281" t="n">
        <v>0</v>
      </c>
      <c r="Q281" t="n">
        <v>0</v>
      </c>
      <c r="R281" t="inlineStr">
        <is>
          <t>T1189:Drive-by Compromise</t>
        </is>
      </c>
      <c r="S281" t="n">
        <v>1</v>
      </c>
      <c r="T281" t="inlineStr">
        <is>
          <t>LOW (40%)</t>
        </is>
      </c>
      <c r="U281" t="inlineStr">
        <is>
          <t>UNLIKELY</t>
        </is>
      </c>
      <c r="V281" t="inlineStr">
        <is>
          <t>CHECK_VENDOR</t>
        </is>
      </c>
      <c r="W281" t="inlineStr">
        <is>
          <t>https://nvd.nist.gov/vuln/detail/CVE-2026-2716</t>
        </is>
      </c>
      <c r="X281" t="inlineStr">
        <is>
          <t>NONE</t>
        </is>
      </c>
      <c r="Y281" t="n">
        <v>0</v>
      </c>
      <c r="Z281" t="inlineStr"/>
      <c r="AA281" t="inlineStr">
        <is>
          <t>https://nvd.nist.gov/vuln/detail/CVE-2026-2716</t>
        </is>
      </c>
    </row>
    <row r="282">
      <c r="A282" t="inlineStr">
        <is>
          <t>CVE</t>
        </is>
      </c>
      <c r="B282" t="inlineStr">
        <is>
          <t>CVE-2026-2718</t>
        </is>
      </c>
      <c r="C282" t="inlineStr">
        <is>
          <t>The Dealia – Request a Quote plugin for WordPress is vulnerable to Stored Cross-Site Scripting via Gutenberg block attributes in all versions up to, and including, 1.0.6. This is due to the use of `wp_kses()` for output escaping within HTML attribute contexts where `esc_attr()` is required. This makes it possible for authenticated attackers, with Contributor-level access and above, to inject arbitrary web scripts in pages that will execute whenever a user accesses an injected page.</t>
        </is>
      </c>
      <c r="D282" t="n">
        <v>6.4</v>
      </c>
      <c r="E282" t="inlineStr">
        <is>
          <t>MEDIUM</t>
        </is>
      </c>
      <c r="F282" t="n">
        <v>2</v>
      </c>
      <c r="G282" t="n">
        <v>2</v>
      </c>
      <c r="H282" t="inlineStr">
        <is>
          <t>MEDIUM</t>
        </is>
      </c>
      <c r="I282" t="n">
        <v>10.4</v>
      </c>
      <c r="J282" t="inlineStr">
        <is>
          <t>NO</t>
        </is>
      </c>
      <c r="K282" t="inlineStr">
        <is>
          <t>2026-02-26 00:15</t>
        </is>
      </c>
      <c r="L282" t="inlineStr">
        <is>
          <t>CHECK_VENDOR</t>
        </is>
      </c>
      <c r="M282" t="inlineStr">
        <is>
          <t>See CVE details</t>
        </is>
      </c>
      <c r="N282" t="inlineStr">
        <is>
          <t>P4</t>
        </is>
      </c>
      <c r="O282" t="inlineStr">
        <is>
          <t>CVE - IP enrichment n/a</t>
        </is>
      </c>
      <c r="P282" t="n">
        <v>0.0004</v>
      </c>
      <c r="Q282" t="n">
        <v>0.1062</v>
      </c>
      <c r="R282" t="inlineStr">
        <is>
          <t>T1189:Drive-by Compromise</t>
        </is>
      </c>
      <c r="S282" t="n">
        <v>1</v>
      </c>
      <c r="T282" t="inlineStr">
        <is>
          <t>LOW (40%)</t>
        </is>
      </c>
      <c r="U282" t="inlineStr">
        <is>
          <t>UNLIKELY</t>
        </is>
      </c>
      <c r="V282" t="inlineStr">
        <is>
          <t>CHECK_VENDOR</t>
        </is>
      </c>
      <c r="W282" t="inlineStr">
        <is>
          <t>https://nvd.nist.gov/vuln/detail/CVE-2026-2718</t>
        </is>
      </c>
      <c r="X282" t="inlineStr">
        <is>
          <t>NONE</t>
        </is>
      </c>
      <c r="Y282" t="n">
        <v>0</v>
      </c>
      <c r="Z282" t="inlineStr"/>
      <c r="AA282" t="inlineStr">
        <is>
          <t>https://nvd.nist.gov/vuln/detail/CVE-2026-2718</t>
        </is>
      </c>
    </row>
    <row r="283">
      <c r="A283" t="inlineStr">
        <is>
          <t>CVE</t>
        </is>
      </c>
      <c r="B283" t="inlineStr">
        <is>
          <t>CVE-2025-15559</t>
        </is>
      </c>
      <c r="C283" t="inlineStr">
        <is>
          <t>An unauthenticated attacker can inject OS commands when calling a server API endpoint in NesterSoft WorkTime. The server API call to generate and download the WorkTime client from the WorkTime server is vulnerable in the “guid” parameter. This allows an attacker to execute arbitrary commands on the WorkTime server as NT Authority\SYSTEM with the highest privileges. Attackers are able to access or manipulate sensitive data and take over the whole server.</t>
        </is>
      </c>
      <c r="D283" t="n">
        <v>9.800000000000001</v>
      </c>
      <c r="E283" t="inlineStr">
        <is>
          <t>CRITICAL</t>
        </is>
      </c>
      <c r="F283" t="n">
        <v>2</v>
      </c>
      <c r="G283" t="n">
        <v>3</v>
      </c>
      <c r="H283" t="inlineStr">
        <is>
          <t>HIGH</t>
        </is>
      </c>
      <c r="I283" t="n">
        <v>15.8</v>
      </c>
      <c r="J283" t="inlineStr">
        <is>
          <t>NO</t>
        </is>
      </c>
      <c r="K283" t="inlineStr">
        <is>
          <t>2026-02-26 00:15</t>
        </is>
      </c>
      <c r="L283" t="inlineStr">
        <is>
          <t>CHECK_VENDOR</t>
        </is>
      </c>
      <c r="M283" t="inlineStr">
        <is>
          <t>See CVE details</t>
        </is>
      </c>
      <c r="N283" t="inlineStr">
        <is>
          <t>P3</t>
        </is>
      </c>
      <c r="O283" t="inlineStr">
        <is>
          <t>CVE - IP enrichment n/a</t>
        </is>
      </c>
      <c r="P283" t="n">
        <v>0</v>
      </c>
      <c r="Q283" t="n">
        <v>0</v>
      </c>
      <c r="R283" t="inlineStr">
        <is>
          <t>T1059:Command and Scripting Interpreter</t>
        </is>
      </c>
      <c r="S283" t="n">
        <v>1</v>
      </c>
      <c r="T283" t="inlineStr">
        <is>
          <t>LOW (40%)</t>
        </is>
      </c>
      <c r="U283" t="inlineStr">
        <is>
          <t>UNLIKELY</t>
        </is>
      </c>
      <c r="V283" t="inlineStr">
        <is>
          <t>CHECK_VENDOR</t>
        </is>
      </c>
      <c r="W283" t="inlineStr">
        <is>
          <t>https://nvd.nist.gov/vuln/detail/CVE-2025-15559</t>
        </is>
      </c>
      <c r="X283" t="inlineStr">
        <is>
          <t>NONE</t>
        </is>
      </c>
      <c r="Y283" t="n">
        <v>0</v>
      </c>
      <c r="Z283" t="inlineStr"/>
      <c r="AA283" t="inlineStr">
        <is>
          <t>https://nvd.nist.gov/vuln/detail/CVE-2025-15559</t>
        </is>
      </c>
    </row>
    <row r="284">
      <c r="A284" t="inlineStr">
        <is>
          <t>CVE</t>
        </is>
      </c>
      <c r="B284" t="inlineStr">
        <is>
          <t>CVE-2025-15560</t>
        </is>
      </c>
      <c r="C284" t="inlineStr">
        <is>
          <t>An authenticated attacker with minimal permissions can exploit a SQL injection in the WorkTime server "widget" API endpoint to inject SQL queries. If the Firebird backend is used, attackers are able to retrieve all data from the database backend. If the MSSQL backend is used the attacker can execute arbitrary SQL statements on the database backend and gain access to sensitive data.</t>
        </is>
      </c>
      <c r="D284" t="n">
        <v>8.800000000000001</v>
      </c>
      <c r="E284" t="inlineStr">
        <is>
          <t>HIGH</t>
        </is>
      </c>
      <c r="F284" t="n">
        <v>2</v>
      </c>
      <c r="G284" t="n">
        <v>3</v>
      </c>
      <c r="H284" t="inlineStr">
        <is>
          <t>HIGH</t>
        </is>
      </c>
      <c r="I284" t="n">
        <v>14.8</v>
      </c>
      <c r="J284" t="inlineStr">
        <is>
          <t>NO</t>
        </is>
      </c>
      <c r="K284" t="inlineStr">
        <is>
          <t>2026-02-26 00:15</t>
        </is>
      </c>
      <c r="L284" t="inlineStr">
        <is>
          <t>CHECK_VENDOR</t>
        </is>
      </c>
      <c r="M284" t="inlineStr">
        <is>
          <t>See CVE details</t>
        </is>
      </c>
      <c r="N284" t="inlineStr">
        <is>
          <t>P3</t>
        </is>
      </c>
      <c r="O284" t="inlineStr">
        <is>
          <t>CVE - IP enrichment n/a</t>
        </is>
      </c>
      <c r="P284" t="n">
        <v>0</v>
      </c>
      <c r="Q284" t="n">
        <v>0</v>
      </c>
      <c r="R284" t="inlineStr">
        <is>
          <t>T1190:Exploit Public-Facing Application</t>
        </is>
      </c>
      <c r="S284" t="n">
        <v>1</v>
      </c>
      <c r="T284" t="inlineStr">
        <is>
          <t>LOW (40%)</t>
        </is>
      </c>
      <c r="U284" t="inlineStr">
        <is>
          <t>UNLIKELY</t>
        </is>
      </c>
      <c r="V284" t="inlineStr">
        <is>
          <t>CHECK_VENDOR</t>
        </is>
      </c>
      <c r="W284" t="inlineStr">
        <is>
          <t>https://nvd.nist.gov/vuln/detail/CVE-2025-15560</t>
        </is>
      </c>
      <c r="X284" t="inlineStr">
        <is>
          <t>NONE</t>
        </is>
      </c>
      <c r="Y284" t="n">
        <v>0</v>
      </c>
      <c r="Z284" t="inlineStr"/>
      <c r="AA284" t="inlineStr">
        <is>
          <t>https://nvd.nist.gov/vuln/detail/CVE-2025-15560</t>
        </is>
      </c>
    </row>
    <row r="285">
      <c r="A285" t="inlineStr">
        <is>
          <t>CVE</t>
        </is>
      </c>
      <c r="B285" t="inlineStr">
        <is>
          <t>CVE-2025-15561</t>
        </is>
      </c>
      <c r="C285" t="inlineStr">
        <is>
          <t>An attacker can exploit the update behavior of the WorkTime monitoring daemon to elevate privileges on the local system to NT Authority\SYSTEM. A malicious executable must be named  WTWatch.exe and dropped in the C:\ProgramData\wta\ClientExe directory, which is writable by "Everyone". The executable will then be run by the WorkTime monitoring daemon.</t>
        </is>
      </c>
      <c r="D285" t="n">
        <v>7.8</v>
      </c>
      <c r="E285" t="inlineStr">
        <is>
          <t>HIGH</t>
        </is>
      </c>
      <c r="F285" t="n">
        <v>2</v>
      </c>
      <c r="G285" t="n">
        <v>3</v>
      </c>
      <c r="H285" t="inlineStr">
        <is>
          <t>HIGH</t>
        </is>
      </c>
      <c r="I285" t="n">
        <v>13.8</v>
      </c>
      <c r="J285" t="inlineStr">
        <is>
          <t>NO</t>
        </is>
      </c>
      <c r="K285" t="inlineStr">
        <is>
          <t>2026-02-26 00:15</t>
        </is>
      </c>
      <c r="L285" t="inlineStr">
        <is>
          <t>CHECK_VENDOR</t>
        </is>
      </c>
      <c r="M285" t="inlineStr">
        <is>
          <t>See CVE details</t>
        </is>
      </c>
      <c r="N285" t="inlineStr">
        <is>
          <t>P3</t>
        </is>
      </c>
      <c r="O285" t="inlineStr">
        <is>
          <t>CVE - IP enrichment n/a</t>
        </is>
      </c>
      <c r="P285" t="n">
        <v>0.0001</v>
      </c>
      <c r="Q285" t="n">
        <v>0.0213</v>
      </c>
      <c r="R285" t="inlineStr">
        <is>
          <t>T1190:Exploit Public-Facing Application</t>
        </is>
      </c>
      <c r="S285" t="n">
        <v>1</v>
      </c>
      <c r="T285" t="inlineStr">
        <is>
          <t>LOW (40%)</t>
        </is>
      </c>
      <c r="U285" t="inlineStr">
        <is>
          <t>UNLIKELY</t>
        </is>
      </c>
      <c r="V285" t="inlineStr">
        <is>
          <t>CHECK_VENDOR</t>
        </is>
      </c>
      <c r="W285" t="inlineStr">
        <is>
          <t>https://nvd.nist.gov/vuln/detail/CVE-2025-15561</t>
        </is>
      </c>
      <c r="X285" t="inlineStr">
        <is>
          <t>NONE</t>
        </is>
      </c>
      <c r="Y285" t="n">
        <v>0</v>
      </c>
      <c r="Z285" t="inlineStr"/>
      <c r="AA285" t="inlineStr">
        <is>
          <t>https://nvd.nist.gov/vuln/detail/CVE-2025-15561</t>
        </is>
      </c>
    </row>
    <row r="286">
      <c r="A286" t="inlineStr">
        <is>
          <t>CVE</t>
        </is>
      </c>
      <c r="B286" t="inlineStr">
        <is>
          <t>CVE-2025-15562</t>
        </is>
      </c>
      <c r="C286" t="inlineStr">
        <is>
          <t>The server API endpoint /report/internet/urls reflects received data into the HTML response without applying proper encoding or filtering. This allows an attacker to execute arbitrary JavaScript in the victim's browser if the victim opens a URL prepared by the attacker.</t>
        </is>
      </c>
      <c r="D286" t="n">
        <v>6.1</v>
      </c>
      <c r="E286" t="inlineStr">
        <is>
          <t>MEDIUM</t>
        </is>
      </c>
      <c r="F286" t="n">
        <v>2</v>
      </c>
      <c r="G286" t="n">
        <v>2</v>
      </c>
      <c r="H286" t="inlineStr">
        <is>
          <t>MEDIUM</t>
        </is>
      </c>
      <c r="I286" t="n">
        <v>10.1</v>
      </c>
      <c r="J286" t="inlineStr">
        <is>
          <t>NO</t>
        </is>
      </c>
      <c r="K286" t="inlineStr">
        <is>
          <t>2026-02-26 00:15</t>
        </is>
      </c>
      <c r="L286" t="inlineStr">
        <is>
          <t>CHECK_VENDOR</t>
        </is>
      </c>
      <c r="M286" t="inlineStr">
        <is>
          <t>See CVE details</t>
        </is>
      </c>
      <c r="N286" t="inlineStr">
        <is>
          <t>P4</t>
        </is>
      </c>
      <c r="O286" t="inlineStr">
        <is>
          <t>CVE - IP enrichment n/a</t>
        </is>
      </c>
      <c r="P286" t="n">
        <v>0</v>
      </c>
      <c r="Q286" t="n">
        <v>0</v>
      </c>
      <c r="R286" t="inlineStr">
        <is>
          <t>T1189:Drive-by Compromise</t>
        </is>
      </c>
      <c r="S286" t="n">
        <v>1</v>
      </c>
      <c r="T286" t="inlineStr">
        <is>
          <t>LOW (40%)</t>
        </is>
      </c>
      <c r="U286" t="inlineStr">
        <is>
          <t>UNLIKELY</t>
        </is>
      </c>
      <c r="V286" t="inlineStr">
        <is>
          <t>CHECK_VENDOR</t>
        </is>
      </c>
      <c r="W286" t="inlineStr">
        <is>
          <t>https://nvd.nist.gov/vuln/detail/CVE-2025-15562</t>
        </is>
      </c>
      <c r="X286" t="inlineStr">
        <is>
          <t>NONE</t>
        </is>
      </c>
      <c r="Y286" t="n">
        <v>0</v>
      </c>
      <c r="Z286" t="inlineStr"/>
      <c r="AA286" t="inlineStr">
        <is>
          <t>https://nvd.nist.gov/vuln/detail/CVE-2025-15562</t>
        </is>
      </c>
    </row>
    <row r="287">
      <c r="A287" t="inlineStr">
        <is>
          <t>CVE</t>
        </is>
      </c>
      <c r="B287" t="inlineStr">
        <is>
          <t>CVE-2025-15563</t>
        </is>
      </c>
      <c r="C287" t="inlineStr">
        <is>
          <t>Any unauthenticated user can reset the WorkTime on-prem database configuration by sending a specific HTTP request to the WorkTime server. No authorization check is applied here.</t>
        </is>
      </c>
      <c r="D287" t="n">
        <v>5.3</v>
      </c>
      <c r="E287" t="inlineStr">
        <is>
          <t>MEDIUM</t>
        </is>
      </c>
      <c r="F287" t="n">
        <v>2</v>
      </c>
      <c r="G287" t="n">
        <v>2</v>
      </c>
      <c r="H287" t="inlineStr">
        <is>
          <t>MEDIUM</t>
        </is>
      </c>
      <c r="I287" t="n">
        <v>9.300000000000001</v>
      </c>
      <c r="J287" t="inlineStr">
        <is>
          <t>NO</t>
        </is>
      </c>
      <c r="K287" t="inlineStr">
        <is>
          <t>2026-02-26 00:15</t>
        </is>
      </c>
      <c r="L287" t="inlineStr">
        <is>
          <t>CHECK_VENDOR</t>
        </is>
      </c>
      <c r="M287" t="inlineStr">
        <is>
          <t>See CVE details</t>
        </is>
      </c>
      <c r="N287" t="inlineStr">
        <is>
          <t>P4</t>
        </is>
      </c>
      <c r="O287" t="inlineStr">
        <is>
          <t>CVE - IP enrichment n/a</t>
        </is>
      </c>
      <c r="P287" t="n">
        <v>0</v>
      </c>
      <c r="Q287" t="n">
        <v>0</v>
      </c>
      <c r="R287" t="inlineStr">
        <is>
          <t>T1190:Exploit Public-Facing Application</t>
        </is>
      </c>
      <c r="S287" t="n">
        <v>1</v>
      </c>
      <c r="T287" t="inlineStr">
        <is>
          <t>LOW (40%)</t>
        </is>
      </c>
      <c r="U287" t="inlineStr">
        <is>
          <t>UNLIKELY</t>
        </is>
      </c>
      <c r="V287" t="inlineStr">
        <is>
          <t>CHECK_VENDOR</t>
        </is>
      </c>
      <c r="W287" t="inlineStr">
        <is>
          <t>https://nvd.nist.gov/vuln/detail/CVE-2025-15563</t>
        </is>
      </c>
      <c r="X287" t="inlineStr">
        <is>
          <t>NONE</t>
        </is>
      </c>
      <c r="Y287" t="n">
        <v>0</v>
      </c>
      <c r="Z287" t="inlineStr"/>
      <c r="AA287" t="inlineStr">
        <is>
          <t>https://nvd.nist.gov/vuln/detail/CVE-2025-15563</t>
        </is>
      </c>
    </row>
    <row r="288">
      <c r="A288" t="inlineStr">
        <is>
          <t>CVE</t>
        </is>
      </c>
      <c r="B288" t="inlineStr">
        <is>
          <t>CVE-2025-9062</t>
        </is>
      </c>
      <c r="C288" t="inlineStr">
        <is>
          <t>Authorization Bypass Through User-Controlled Key vulnerability in MeCODE Informatics and Engineering Services Ltd. Envanty allows Parameter Injection.This issue affects Envanty: before 1.0.6.  
NOTE: The vendor was contacted early about this disclosure but did not respond in any way. 
The vulnerability was learned to be remediated through reporter information and testing.</t>
        </is>
      </c>
      <c r="D288" t="n">
        <v>7.3</v>
      </c>
      <c r="E288" t="inlineStr">
        <is>
          <t>HIGH</t>
        </is>
      </c>
      <c r="F288" t="n">
        <v>2</v>
      </c>
      <c r="G288" t="n">
        <v>3</v>
      </c>
      <c r="H288" t="inlineStr">
        <is>
          <t>HIGH</t>
        </is>
      </c>
      <c r="I288" t="n">
        <v>13.3</v>
      </c>
      <c r="J288" t="inlineStr">
        <is>
          <t>NO</t>
        </is>
      </c>
      <c r="K288" t="inlineStr">
        <is>
          <t>2026-02-26 00:15</t>
        </is>
      </c>
      <c r="L288" t="inlineStr">
        <is>
          <t>CHECK_VENDOR</t>
        </is>
      </c>
      <c r="M288" t="inlineStr">
        <is>
          <t>See CVE details</t>
        </is>
      </c>
      <c r="N288" t="inlineStr">
        <is>
          <t>P3</t>
        </is>
      </c>
      <c r="O288" t="inlineStr">
        <is>
          <t>CVE - IP enrichment n/a</t>
        </is>
      </c>
      <c r="P288" t="n">
        <v>0</v>
      </c>
      <c r="Q288" t="n">
        <v>0</v>
      </c>
      <c r="R288" t="inlineStr">
        <is>
          <t>T1190:Exploit Public-Facing Application</t>
        </is>
      </c>
      <c r="S288" t="n">
        <v>1</v>
      </c>
      <c r="T288" t="inlineStr">
        <is>
          <t>LOW (40%)</t>
        </is>
      </c>
      <c r="U288" t="inlineStr">
        <is>
          <t>UNLIKELY</t>
        </is>
      </c>
      <c r="V288" t="inlineStr">
        <is>
          <t>CHECK_VENDOR</t>
        </is>
      </c>
      <c r="W288" t="inlineStr">
        <is>
          <t>https://nvd.nist.gov/vuln/detail/CVE-2025-9062</t>
        </is>
      </c>
      <c r="X288" t="inlineStr">
        <is>
          <t>NONE</t>
        </is>
      </c>
      <c r="Y288" t="n">
        <v>0</v>
      </c>
      <c r="Z288" t="inlineStr"/>
      <c r="AA288" t="inlineStr">
        <is>
          <t>https://nvd.nist.gov/vuln/detail/CVE-2025-9062</t>
        </is>
      </c>
    </row>
    <row r="289">
      <c r="A289" t="inlineStr">
        <is>
          <t>CVE</t>
        </is>
      </c>
      <c r="B289" t="inlineStr">
        <is>
          <t>CVE-2025-8350</t>
        </is>
      </c>
      <c r="C289" t="inlineStr">
        <is>
          <t>Execution After Redirect (EAR), Missing Authentication for Critical Function vulnerability in Inrove Software and Internet Services BiEticaret CMS allows Authentication Bypass, HTTP Response Splitting.This issue affects BiEticaret CMS: from 2.1.13 through 19022026.
NOTE: The vendor was contacted early about this disclosure but did not respond in any way.</t>
        </is>
      </c>
      <c r="D289" t="n">
        <v>9.800000000000001</v>
      </c>
      <c r="E289" t="inlineStr">
        <is>
          <t>CRITICAL</t>
        </is>
      </c>
      <c r="F289" t="n">
        <v>2</v>
      </c>
      <c r="G289" t="n">
        <v>3</v>
      </c>
      <c r="H289" t="inlineStr">
        <is>
          <t>HIGH</t>
        </is>
      </c>
      <c r="I289" t="n">
        <v>15.8</v>
      </c>
      <c r="J289" t="inlineStr">
        <is>
          <t>NO</t>
        </is>
      </c>
      <c r="K289" t="inlineStr">
        <is>
          <t>2026-02-26 00:15</t>
        </is>
      </c>
      <c r="L289" t="inlineStr">
        <is>
          <t>CHECK_VENDOR</t>
        </is>
      </c>
      <c r="M289" t="inlineStr">
        <is>
          <t>See CVE details</t>
        </is>
      </c>
      <c r="N289" t="inlineStr">
        <is>
          <t>P3</t>
        </is>
      </c>
      <c r="O289" t="inlineStr">
        <is>
          <t>CVE - IP enrichment n/a</t>
        </is>
      </c>
      <c r="P289" t="n">
        <v>0.0009</v>
      </c>
      <c r="Q289" t="n">
        <v>0.25</v>
      </c>
      <c r="R289" t="inlineStr">
        <is>
          <t>T1078:Valid Accounts</t>
        </is>
      </c>
      <c r="S289" t="n">
        <v>1</v>
      </c>
      <c r="T289" t="inlineStr">
        <is>
          <t>LOW (40%)</t>
        </is>
      </c>
      <c r="U289" t="inlineStr">
        <is>
          <t>UNLIKELY</t>
        </is>
      </c>
      <c r="V289" t="inlineStr">
        <is>
          <t>CHECK_VENDOR</t>
        </is>
      </c>
      <c r="W289" t="inlineStr">
        <is>
          <t>https://nvd.nist.gov/vuln/detail/CVE-2025-8350</t>
        </is>
      </c>
      <c r="X289" t="inlineStr">
        <is>
          <t>NONE</t>
        </is>
      </c>
      <c r="Y289" t="n">
        <v>0</v>
      </c>
      <c r="Z289" t="inlineStr"/>
      <c r="AA289" t="inlineStr">
        <is>
          <t>https://nvd.nist.gov/vuln/detail/CVE-2025-8350</t>
        </is>
      </c>
    </row>
    <row r="290">
      <c r="A290" t="inlineStr">
        <is>
          <t>CVE</t>
        </is>
      </c>
      <c r="B290" t="inlineStr">
        <is>
          <t>CVE-2025-9953</t>
        </is>
      </c>
      <c r="C290" t="inlineStr">
        <is>
          <t>Authorization Bypass Through User-Controlled SQL Primary Key vulnerability in DATABASE Software Training Consulting Ltd. Databank Accreditation Software allows SQL Injection.This issue affects Databank Accreditation Software: through 19022026.
NOTE: The vendor was contacted early about this disclosure but did not respond in any way.</t>
        </is>
      </c>
      <c r="D290" t="n">
        <v>9.800000000000001</v>
      </c>
      <c r="E290" t="inlineStr">
        <is>
          <t>CRITICAL</t>
        </is>
      </c>
      <c r="F290" t="n">
        <v>2</v>
      </c>
      <c r="G290" t="n">
        <v>3</v>
      </c>
      <c r="H290" t="inlineStr">
        <is>
          <t>HIGH</t>
        </is>
      </c>
      <c r="I290" t="n">
        <v>15.8</v>
      </c>
      <c r="J290" t="inlineStr">
        <is>
          <t>NO</t>
        </is>
      </c>
      <c r="K290" t="inlineStr">
        <is>
          <t>2026-02-26 00:15</t>
        </is>
      </c>
      <c r="L290" t="inlineStr">
        <is>
          <t>CHECK_VENDOR</t>
        </is>
      </c>
      <c r="M290" t="inlineStr">
        <is>
          <t>See CVE details</t>
        </is>
      </c>
      <c r="N290" t="inlineStr">
        <is>
          <t>P3</t>
        </is>
      </c>
      <c r="O290" t="inlineStr">
        <is>
          <t>CVE - IP enrichment n/a</t>
        </is>
      </c>
      <c r="P290" t="n">
        <v>0</v>
      </c>
      <c r="Q290" t="n">
        <v>0</v>
      </c>
      <c r="R290" t="inlineStr">
        <is>
          <t>T1190:Exploit Public-Facing Application</t>
        </is>
      </c>
      <c r="S290" t="n">
        <v>1</v>
      </c>
      <c r="T290" t="inlineStr">
        <is>
          <t>LOW (40%)</t>
        </is>
      </c>
      <c r="U290" t="inlineStr">
        <is>
          <t>UNLIKELY</t>
        </is>
      </c>
      <c r="V290" t="inlineStr">
        <is>
          <t>CHECK_VENDOR</t>
        </is>
      </c>
      <c r="W290" t="inlineStr">
        <is>
          <t>https://nvd.nist.gov/vuln/detail/CVE-2025-9953</t>
        </is>
      </c>
      <c r="X290" t="inlineStr">
        <is>
          <t>NONE</t>
        </is>
      </c>
      <c r="Y290" t="n">
        <v>0</v>
      </c>
      <c r="Z290" t="inlineStr"/>
      <c r="AA290" t="inlineStr">
        <is>
          <t>https://nvd.nist.gov/vuln/detail/CVE-2025-9953</t>
        </is>
      </c>
    </row>
    <row r="291">
      <c r="A291" t="inlineStr">
        <is>
          <t>CVE</t>
        </is>
      </c>
      <c r="B291" t="inlineStr">
        <is>
          <t>CVE-2019-25402</t>
        </is>
      </c>
      <c r="C291" t="inlineStr">
        <is>
          <t>Comodo Dome Firewall 2.7.0 contains a reflected cross-site scripting vulnerability that allows unauthenticated attackers to inject malicious scripts by submitting crafted input to the username parameter. Attackers can send POST requests to the login endpoint with script payloads in the username field to execute arbitrary JavaScript in users' browsers.</t>
        </is>
      </c>
      <c r="D291" t="n">
        <v>6.1</v>
      </c>
      <c r="E291" t="inlineStr">
        <is>
          <t>MEDIUM</t>
        </is>
      </c>
      <c r="F291" t="n">
        <v>2</v>
      </c>
      <c r="G291" t="n">
        <v>2</v>
      </c>
      <c r="H291" t="inlineStr">
        <is>
          <t>MEDIUM</t>
        </is>
      </c>
      <c r="I291" t="n">
        <v>10.1</v>
      </c>
      <c r="J291" t="inlineStr">
        <is>
          <t>NO</t>
        </is>
      </c>
      <c r="K291" t="inlineStr">
        <is>
          <t>2026-02-26 00:15</t>
        </is>
      </c>
      <c r="L291" t="inlineStr">
        <is>
          <t>CHECK_VENDOR</t>
        </is>
      </c>
      <c r="M291" t="inlineStr">
        <is>
          <t>comodo dome_firewall *</t>
        </is>
      </c>
      <c r="N291" t="inlineStr">
        <is>
          <t>P4</t>
        </is>
      </c>
      <c r="O291" t="inlineStr">
        <is>
          <t>CVE - IP enrichment n/a</t>
        </is>
      </c>
      <c r="P291" t="n">
        <v>0</v>
      </c>
      <c r="Q291" t="n">
        <v>0</v>
      </c>
      <c r="R291" t="inlineStr">
        <is>
          <t>T1189:Drive-by Compromise | T1562:Impair Defenses</t>
        </is>
      </c>
      <c r="S291" t="n">
        <v>1</v>
      </c>
      <c r="T291" t="inlineStr">
        <is>
          <t>LOW (40%)</t>
        </is>
      </c>
      <c r="U291" t="inlineStr">
        <is>
          <t>UNLIKELY</t>
        </is>
      </c>
      <c r="V291" t="inlineStr">
        <is>
          <t>CHECK_VENDOR</t>
        </is>
      </c>
      <c r="W291" t="inlineStr">
        <is>
          <t>https://nvd.nist.gov/vuln/detail/CVE-2019-25402</t>
        </is>
      </c>
      <c r="X291" t="inlineStr">
        <is>
          <t>NONE</t>
        </is>
      </c>
      <c r="Y291" t="n">
        <v>0</v>
      </c>
      <c r="Z291" t="inlineStr"/>
      <c r="AA291" t="inlineStr">
        <is>
          <t>https://nvd.nist.gov/vuln/detail/CVE-2019-25402</t>
        </is>
      </c>
    </row>
    <row r="292">
      <c r="A292" t="inlineStr">
        <is>
          <t>CVE</t>
        </is>
      </c>
      <c r="B292" t="inlineStr">
        <is>
          <t>CVE-2019-25403</t>
        </is>
      </c>
      <c r="C292" t="inlineStr">
        <is>
          <t>Comodo Dome Firewall 2.7.0 contains a stored cross-site scripting vulnerability that allows authenticated attackers to inject malicious scripts by submitting crafted input to the comment parameter. Attackers can inject JavaScript code through the admin_profiles endpoint that executes in the browsers of other users who view the affected page.</t>
        </is>
      </c>
      <c r="D292" t="n">
        <v>6.4</v>
      </c>
      <c r="E292" t="inlineStr">
        <is>
          <t>MEDIUM</t>
        </is>
      </c>
      <c r="F292" t="n">
        <v>2</v>
      </c>
      <c r="G292" t="n">
        <v>2</v>
      </c>
      <c r="H292" t="inlineStr">
        <is>
          <t>MEDIUM</t>
        </is>
      </c>
      <c r="I292" t="n">
        <v>10.4</v>
      </c>
      <c r="J292" t="inlineStr">
        <is>
          <t>NO</t>
        </is>
      </c>
      <c r="K292" t="inlineStr">
        <is>
          <t>2026-02-26 00:15</t>
        </is>
      </c>
      <c r="L292" t="inlineStr">
        <is>
          <t>CHECK_VENDOR</t>
        </is>
      </c>
      <c r="M292" t="inlineStr">
        <is>
          <t>comodo dome_firewall 2.7.0</t>
        </is>
      </c>
      <c r="N292" t="inlineStr">
        <is>
          <t>P4</t>
        </is>
      </c>
      <c r="O292" t="inlineStr">
        <is>
          <t>CVE - IP enrichment n/a</t>
        </is>
      </c>
      <c r="P292" t="n">
        <v>0.0003</v>
      </c>
      <c r="Q292" t="n">
        <v>0.08690000000000001</v>
      </c>
      <c r="R292" t="inlineStr">
        <is>
          <t>T1189:Drive-by Compromise | T1562:Impair Defenses</t>
        </is>
      </c>
      <c r="S292" t="n">
        <v>1</v>
      </c>
      <c r="T292" t="inlineStr">
        <is>
          <t>LOW (40%)</t>
        </is>
      </c>
      <c r="U292" t="inlineStr">
        <is>
          <t>UNLIKELY</t>
        </is>
      </c>
      <c r="V292" t="inlineStr">
        <is>
          <t>CHECK_VENDOR</t>
        </is>
      </c>
      <c r="W292" t="inlineStr">
        <is>
          <t>https://nvd.nist.gov/vuln/detail/CVE-2019-25403</t>
        </is>
      </c>
      <c r="X292" t="inlineStr">
        <is>
          <t>NONE</t>
        </is>
      </c>
      <c r="Y292" t="n">
        <v>0</v>
      </c>
      <c r="Z292" t="inlineStr"/>
      <c r="AA292" t="inlineStr">
        <is>
          <t>https://nvd.nist.gov/vuln/detail/CVE-2019-25403</t>
        </is>
      </c>
    </row>
    <row r="293">
      <c r="A293" t="inlineStr">
        <is>
          <t>CVE</t>
        </is>
      </c>
      <c r="B293" t="inlineStr">
        <is>
          <t>CVE-2019-25404</t>
        </is>
      </c>
      <c r="C293" t="inlineStr">
        <is>
          <t>Comodo Dome Firewall 2.7.0 contains a stored cross-site scripting vulnerability that allows authenticated attackers to inject malicious scripts by submitting crafted input through admin management parameters. Attackers can inject script payloads in the admin_name, name, and surname parameters via POST requests to the /korugan/admins endpoint, which are stored and executed when administrators access the interface.</t>
        </is>
      </c>
      <c r="D293" t="n">
        <v>6.4</v>
      </c>
      <c r="E293" t="inlineStr">
        <is>
          <t>MEDIUM</t>
        </is>
      </c>
      <c r="F293" t="n">
        <v>2</v>
      </c>
      <c r="G293" t="n">
        <v>2</v>
      </c>
      <c r="H293" t="inlineStr">
        <is>
          <t>MEDIUM</t>
        </is>
      </c>
      <c r="I293" t="n">
        <v>10.4</v>
      </c>
      <c r="J293" t="inlineStr">
        <is>
          <t>NO</t>
        </is>
      </c>
      <c r="K293" t="inlineStr">
        <is>
          <t>2026-02-26 00:15</t>
        </is>
      </c>
      <c r="L293" t="inlineStr">
        <is>
          <t>CHECK_VENDOR</t>
        </is>
      </c>
      <c r="M293" t="inlineStr">
        <is>
          <t>comodo dome_firewall *</t>
        </is>
      </c>
      <c r="N293" t="inlineStr">
        <is>
          <t>P4</t>
        </is>
      </c>
      <c r="O293" t="inlineStr">
        <is>
          <t>CVE - IP enrichment n/a</t>
        </is>
      </c>
      <c r="P293" t="n">
        <v>0</v>
      </c>
      <c r="Q293" t="n">
        <v>0</v>
      </c>
      <c r="R293" t="inlineStr">
        <is>
          <t>T1189:Drive-by Compromise | T1562:Impair Defenses</t>
        </is>
      </c>
      <c r="S293" t="n">
        <v>1</v>
      </c>
      <c r="T293" t="inlineStr">
        <is>
          <t>LOW (40%)</t>
        </is>
      </c>
      <c r="U293" t="inlineStr">
        <is>
          <t>UNLIKELY</t>
        </is>
      </c>
      <c r="V293" t="inlineStr">
        <is>
          <t>CHECK_VENDOR</t>
        </is>
      </c>
      <c r="W293" t="inlineStr">
        <is>
          <t>https://nvd.nist.gov/vuln/detail/CVE-2019-25404</t>
        </is>
      </c>
      <c r="X293" t="inlineStr">
        <is>
          <t>NONE</t>
        </is>
      </c>
      <c r="Y293" t="n">
        <v>0</v>
      </c>
      <c r="Z293" t="inlineStr"/>
      <c r="AA293" t="inlineStr">
        <is>
          <t>https://nvd.nist.gov/vuln/detail/CVE-2019-25404</t>
        </is>
      </c>
    </row>
    <row r="294">
      <c r="A294" t="inlineStr">
        <is>
          <t>CVE</t>
        </is>
      </c>
      <c r="B294" t="inlineStr">
        <is>
          <t>CVE-2019-25405</t>
        </is>
      </c>
      <c r="C294" t="inlineStr">
        <is>
          <t>Comodo Dome Firewall 2.7.0 contains a stored cross-site scripting vulnerability that allows attackers to inject malicious scripts by submitting crafted input to the newLicense parameter. Attackers can send POST requests to the license activation endpoint with script payloads in the newLicense field to execute arbitrary JavaScript in administrators' browsers.</t>
        </is>
      </c>
      <c r="D294" t="n">
        <v>7.2</v>
      </c>
      <c r="E294" t="inlineStr">
        <is>
          <t>HIGH</t>
        </is>
      </c>
      <c r="F294" t="n">
        <v>2</v>
      </c>
      <c r="G294" t="n">
        <v>3</v>
      </c>
      <c r="H294" t="inlineStr">
        <is>
          <t>HIGH</t>
        </is>
      </c>
      <c r="I294" t="n">
        <v>13.2</v>
      </c>
      <c r="J294" t="inlineStr">
        <is>
          <t>NO</t>
        </is>
      </c>
      <c r="K294" t="inlineStr">
        <is>
          <t>2026-02-26 00:15</t>
        </is>
      </c>
      <c r="L294" t="inlineStr">
        <is>
          <t>CHECK_VENDOR</t>
        </is>
      </c>
      <c r="M294" t="inlineStr">
        <is>
          <t>comodo dome_firewall 2.7.0</t>
        </is>
      </c>
      <c r="N294" t="inlineStr">
        <is>
          <t>P3</t>
        </is>
      </c>
      <c r="O294" t="inlineStr">
        <is>
          <t>CVE - IP enrichment n/a</t>
        </is>
      </c>
      <c r="P294" t="n">
        <v>0.0003</v>
      </c>
      <c r="Q294" t="n">
        <v>0.08690000000000001</v>
      </c>
      <c r="R294" t="inlineStr">
        <is>
          <t>T1189:Drive-by Compromise | T1562:Impair Defenses</t>
        </is>
      </c>
      <c r="S294" t="n">
        <v>1</v>
      </c>
      <c r="T294" t="inlineStr">
        <is>
          <t>LOW (40%)</t>
        </is>
      </c>
      <c r="U294" t="inlineStr">
        <is>
          <t>UNLIKELY</t>
        </is>
      </c>
      <c r="V294" t="inlineStr">
        <is>
          <t>CHECK_VENDOR</t>
        </is>
      </c>
      <c r="W294" t="inlineStr">
        <is>
          <t>https://nvd.nist.gov/vuln/detail/CVE-2019-25405</t>
        </is>
      </c>
      <c r="X294" t="inlineStr">
        <is>
          <t>NONE</t>
        </is>
      </c>
      <c r="Y294" t="n">
        <v>0</v>
      </c>
      <c r="Z294" t="inlineStr"/>
      <c r="AA294" t="inlineStr">
        <is>
          <t>https://nvd.nist.gov/vuln/detail/CVE-2019-25405</t>
        </is>
      </c>
    </row>
    <row r="295">
      <c r="A295" t="inlineStr">
        <is>
          <t>CVE</t>
        </is>
      </c>
      <c r="B295" t="inlineStr">
        <is>
          <t>CVE-2019-25406</t>
        </is>
      </c>
      <c r="C295" t="inlineStr">
        <is>
          <t>Comodo Dome Firewall 2.7.0 contains a reflected cross-site scripting vulnerability that allows attackers to inject malicious scripts by manipulating the organization parameter. Attackers can send POST requests to the korugan/cmclient endpoint with script payloads in the organization parameter to execute arbitrary JavaScript in users' browsers.</t>
        </is>
      </c>
      <c r="D295" t="n">
        <v>6.1</v>
      </c>
      <c r="E295" t="inlineStr">
        <is>
          <t>MEDIUM</t>
        </is>
      </c>
      <c r="F295" t="n">
        <v>2</v>
      </c>
      <c r="G295" t="n">
        <v>2</v>
      </c>
      <c r="H295" t="inlineStr">
        <is>
          <t>MEDIUM</t>
        </is>
      </c>
      <c r="I295" t="n">
        <v>10.1</v>
      </c>
      <c r="J295" t="inlineStr">
        <is>
          <t>NO</t>
        </is>
      </c>
      <c r="K295" t="inlineStr">
        <is>
          <t>2026-02-26 00:15</t>
        </is>
      </c>
      <c r="L295" t="inlineStr">
        <is>
          <t>CHECK_VENDOR</t>
        </is>
      </c>
      <c r="M295" t="inlineStr">
        <is>
          <t>comodo dome_firewall *</t>
        </is>
      </c>
      <c r="N295" t="inlineStr">
        <is>
          <t>P4</t>
        </is>
      </c>
      <c r="O295" t="inlineStr">
        <is>
          <t>CVE - IP enrichment n/a</t>
        </is>
      </c>
      <c r="P295" t="n">
        <v>0.0003</v>
      </c>
      <c r="Q295" t="n">
        <v>0.0764</v>
      </c>
      <c r="R295" t="inlineStr">
        <is>
          <t>T1189:Drive-by Compromise | T1562:Impair Defenses</t>
        </is>
      </c>
      <c r="S295" t="n">
        <v>1</v>
      </c>
      <c r="T295" t="inlineStr">
        <is>
          <t>LOW (40%)</t>
        </is>
      </c>
      <c r="U295" t="inlineStr">
        <is>
          <t>UNLIKELY</t>
        </is>
      </c>
      <c r="V295" t="inlineStr">
        <is>
          <t>CHECK_VENDOR</t>
        </is>
      </c>
      <c r="W295" t="inlineStr">
        <is>
          <t>https://nvd.nist.gov/vuln/detail/CVE-2019-25406</t>
        </is>
      </c>
      <c r="X295" t="inlineStr">
        <is>
          <t>NONE</t>
        </is>
      </c>
      <c r="Y295" t="n">
        <v>0</v>
      </c>
      <c r="Z295" t="inlineStr"/>
      <c r="AA295" t="inlineStr">
        <is>
          <t>https://nvd.nist.gov/vuln/detail/CVE-2019-25406</t>
        </is>
      </c>
    </row>
    <row r="296">
      <c r="A296" t="inlineStr">
        <is>
          <t>CVE</t>
        </is>
      </c>
      <c r="B296" t="inlineStr">
        <is>
          <t>CVE-2019-25407</t>
        </is>
      </c>
      <c r="C296" t="inlineStr">
        <is>
          <t>Comodo Dome Firewall 2.7.0 contains a reflected cross-site scripting vulnerability that allows attackers to inject malicious scripts by submitting crafted input to the backup schedule interface. Attackers can send POST requests to the backupschedule endpoint with JavaScript code in the BACKUP_RCPTTO parameter to execute arbitrary scripts in users' browsers.</t>
        </is>
      </c>
      <c r="D296" t="n">
        <v>6.1</v>
      </c>
      <c r="E296" t="inlineStr">
        <is>
          <t>MEDIUM</t>
        </is>
      </c>
      <c r="F296" t="n">
        <v>2</v>
      </c>
      <c r="G296" t="n">
        <v>2</v>
      </c>
      <c r="H296" t="inlineStr">
        <is>
          <t>MEDIUM</t>
        </is>
      </c>
      <c r="I296" t="n">
        <v>10.1</v>
      </c>
      <c r="J296" t="inlineStr">
        <is>
          <t>NO</t>
        </is>
      </c>
      <c r="K296" t="inlineStr">
        <is>
          <t>2026-02-26 00:15</t>
        </is>
      </c>
      <c r="L296" t="inlineStr">
        <is>
          <t>CHECK_VENDOR</t>
        </is>
      </c>
      <c r="M296" t="inlineStr">
        <is>
          <t>comodo dome_firewall *</t>
        </is>
      </c>
      <c r="N296" t="inlineStr">
        <is>
          <t>P4</t>
        </is>
      </c>
      <c r="O296" t="inlineStr">
        <is>
          <t>CVE - IP enrichment n/a</t>
        </is>
      </c>
      <c r="P296" t="n">
        <v>0</v>
      </c>
      <c r="Q296" t="n">
        <v>0</v>
      </c>
      <c r="R296" t="inlineStr">
        <is>
          <t>T1189:Drive-by Compromise | T1562:Impair Defenses</t>
        </is>
      </c>
      <c r="S296" t="n">
        <v>1</v>
      </c>
      <c r="T296" t="inlineStr">
        <is>
          <t>LOW (40%)</t>
        </is>
      </c>
      <c r="U296" t="inlineStr">
        <is>
          <t>UNLIKELY</t>
        </is>
      </c>
      <c r="V296" t="inlineStr">
        <is>
          <t>CHECK_VENDOR</t>
        </is>
      </c>
      <c r="W296" t="inlineStr">
        <is>
          <t>https://nvd.nist.gov/vuln/detail/CVE-2019-25407</t>
        </is>
      </c>
      <c r="X296" t="inlineStr">
        <is>
          <t>NONE</t>
        </is>
      </c>
      <c r="Y296" t="n">
        <v>0</v>
      </c>
      <c r="Z296" t="inlineStr"/>
      <c r="AA296" t="inlineStr">
        <is>
          <t>https://nvd.nist.gov/vuln/detail/CVE-2019-25407</t>
        </is>
      </c>
    </row>
    <row r="297">
      <c r="A297" t="inlineStr">
        <is>
          <t>CVE</t>
        </is>
      </c>
      <c r="B297" t="inlineStr">
        <is>
          <t>CVE-2019-25408</t>
        </is>
      </c>
      <c r="C297" t="inlineStr">
        <is>
          <t>Comodo Dome Firewall 2.7.0 contains a reflected cross-site scripting vulnerability that allows attackers to inject malicious scripts by submitting crafted input to the netmask_addr parameter. Attackers can send POST requests to the netwizard2 endpoint with script payloads in the netmask_addr parameter to execute arbitrary JavaScript in users' browsers.</t>
        </is>
      </c>
      <c r="D297" t="n">
        <v>6.1</v>
      </c>
      <c r="E297" t="inlineStr">
        <is>
          <t>MEDIUM</t>
        </is>
      </c>
      <c r="F297" t="n">
        <v>2</v>
      </c>
      <c r="G297" t="n">
        <v>2</v>
      </c>
      <c r="H297" t="inlineStr">
        <is>
          <t>MEDIUM</t>
        </is>
      </c>
      <c r="I297" t="n">
        <v>10.1</v>
      </c>
      <c r="J297" t="inlineStr">
        <is>
          <t>NO</t>
        </is>
      </c>
      <c r="K297" t="inlineStr">
        <is>
          <t>2026-02-26 00:15</t>
        </is>
      </c>
      <c r="L297" t="inlineStr">
        <is>
          <t>CHECK_VENDOR</t>
        </is>
      </c>
      <c r="M297" t="inlineStr">
        <is>
          <t>comodo dome_firewall 2.7.0</t>
        </is>
      </c>
      <c r="N297" t="inlineStr">
        <is>
          <t>P4</t>
        </is>
      </c>
      <c r="O297" t="inlineStr">
        <is>
          <t>CVE - IP enrichment n/a</t>
        </is>
      </c>
      <c r="P297" t="n">
        <v>0</v>
      </c>
      <c r="Q297" t="n">
        <v>0</v>
      </c>
      <c r="R297" t="inlineStr">
        <is>
          <t>T1189:Drive-by Compromise | T1562:Impair Defenses</t>
        </is>
      </c>
      <c r="S297" t="n">
        <v>1</v>
      </c>
      <c r="T297" t="inlineStr">
        <is>
          <t>LOW (40%)</t>
        </is>
      </c>
      <c r="U297" t="inlineStr">
        <is>
          <t>UNLIKELY</t>
        </is>
      </c>
      <c r="V297" t="inlineStr">
        <is>
          <t>CHECK_VENDOR</t>
        </is>
      </c>
      <c r="W297" t="inlineStr">
        <is>
          <t>https://nvd.nist.gov/vuln/detail/CVE-2019-25408</t>
        </is>
      </c>
      <c r="X297" t="inlineStr">
        <is>
          <t>NONE</t>
        </is>
      </c>
      <c r="Y297" t="n">
        <v>0</v>
      </c>
      <c r="Z297" t="inlineStr"/>
      <c r="AA297" t="inlineStr">
        <is>
          <t>https://nvd.nist.gov/vuln/detail/CVE-2019-25408</t>
        </is>
      </c>
    </row>
    <row r="298">
      <c r="A298" t="inlineStr">
        <is>
          <t>CVE</t>
        </is>
      </c>
      <c r="B298" t="inlineStr">
        <is>
          <t>CVE-2019-25409</t>
        </is>
      </c>
      <c r="C298" t="inlineStr">
        <is>
          <t>Comodo Dome Firewall 2.7.0 contains a reflected cross-site scripting vulnerability that allows attackers to inject malicious scripts by manipulating the destination parameter. Attackers can send POST requests to the routing endpoint with script payloads in the destination parameter to execute arbitrary JavaScript in users' browsers.</t>
        </is>
      </c>
      <c r="D298" t="n">
        <v>6.1</v>
      </c>
      <c r="E298" t="inlineStr">
        <is>
          <t>MEDIUM</t>
        </is>
      </c>
      <c r="F298" t="n">
        <v>2</v>
      </c>
      <c r="G298" t="n">
        <v>2</v>
      </c>
      <c r="H298" t="inlineStr">
        <is>
          <t>MEDIUM</t>
        </is>
      </c>
      <c r="I298" t="n">
        <v>10.1</v>
      </c>
      <c r="J298" t="inlineStr">
        <is>
          <t>NO</t>
        </is>
      </c>
      <c r="K298" t="inlineStr">
        <is>
          <t>2026-02-26 00:15</t>
        </is>
      </c>
      <c r="L298" t="inlineStr">
        <is>
          <t>CHECK_VENDOR</t>
        </is>
      </c>
      <c r="M298" t="inlineStr">
        <is>
          <t>comodo dome_firewall *</t>
        </is>
      </c>
      <c r="N298" t="inlineStr">
        <is>
          <t>P4</t>
        </is>
      </c>
      <c r="O298" t="inlineStr">
        <is>
          <t>CVE - IP enrichment n/a</t>
        </is>
      </c>
      <c r="P298" t="n">
        <v>0</v>
      </c>
      <c r="Q298" t="n">
        <v>0</v>
      </c>
      <c r="R298" t="inlineStr">
        <is>
          <t>T1189:Drive-by Compromise | T1562:Impair Defenses</t>
        </is>
      </c>
      <c r="S298" t="n">
        <v>1</v>
      </c>
      <c r="T298" t="inlineStr">
        <is>
          <t>LOW (40%)</t>
        </is>
      </c>
      <c r="U298" t="inlineStr">
        <is>
          <t>UNLIKELY</t>
        </is>
      </c>
      <c r="V298" t="inlineStr">
        <is>
          <t>CHECK_VENDOR</t>
        </is>
      </c>
      <c r="W298" t="inlineStr">
        <is>
          <t>https://nvd.nist.gov/vuln/detail/CVE-2019-25409</t>
        </is>
      </c>
      <c r="X298" t="inlineStr">
        <is>
          <t>NONE</t>
        </is>
      </c>
      <c r="Y298" t="n">
        <v>0</v>
      </c>
      <c r="Z298" t="inlineStr"/>
      <c r="AA298" t="inlineStr">
        <is>
          <t>https://nvd.nist.gov/vuln/detail/CVE-2019-25409</t>
        </is>
      </c>
    </row>
    <row r="299">
      <c r="A299" t="inlineStr">
        <is>
          <t>CVE</t>
        </is>
      </c>
      <c r="B299" t="inlineStr">
        <is>
          <t>CVE-2019-25410</t>
        </is>
      </c>
      <c r="C299" t="inlineStr">
        <is>
          <t>Comodo Dome Firewall 2.7.0 contains a reflected cross-site scripting vulnerability that allows attackers to inject malicious scripts through the source and destination parameters. Attackers can submit POST requests to the policy routing endpoint with script payloads in these parameters to execute arbitrary JavaScript in users' browsers.</t>
        </is>
      </c>
      <c r="D299" t="n">
        <v>6.1</v>
      </c>
      <c r="E299" t="inlineStr">
        <is>
          <t>MEDIUM</t>
        </is>
      </c>
      <c r="F299" t="n">
        <v>2</v>
      </c>
      <c r="G299" t="n">
        <v>2</v>
      </c>
      <c r="H299" t="inlineStr">
        <is>
          <t>MEDIUM</t>
        </is>
      </c>
      <c r="I299" t="n">
        <v>10.1</v>
      </c>
      <c r="J299" t="inlineStr">
        <is>
          <t>NO</t>
        </is>
      </c>
      <c r="K299" t="inlineStr">
        <is>
          <t>2026-02-26 00:15</t>
        </is>
      </c>
      <c r="L299" t="inlineStr">
        <is>
          <t>CHECK_VENDOR</t>
        </is>
      </c>
      <c r="M299" t="inlineStr">
        <is>
          <t>comodo dome_firewall 2.7.0</t>
        </is>
      </c>
      <c r="N299" t="inlineStr">
        <is>
          <t>P4</t>
        </is>
      </c>
      <c r="O299" t="inlineStr">
        <is>
          <t>CVE - IP enrichment n/a</t>
        </is>
      </c>
      <c r="P299" t="n">
        <v>0</v>
      </c>
      <c r="Q299" t="n">
        <v>0</v>
      </c>
      <c r="R299" t="inlineStr">
        <is>
          <t>T1189:Drive-by Compromise | T1190:Exploit Public-Facing Application | T1562:Impair Defenses</t>
        </is>
      </c>
      <c r="S299" t="n">
        <v>1</v>
      </c>
      <c r="T299" t="inlineStr">
        <is>
          <t>LOW (40%)</t>
        </is>
      </c>
      <c r="U299" t="inlineStr">
        <is>
          <t>UNLIKELY</t>
        </is>
      </c>
      <c r="V299" t="inlineStr">
        <is>
          <t>CHECK_VENDOR</t>
        </is>
      </c>
      <c r="W299" t="inlineStr">
        <is>
          <t>https://nvd.nist.gov/vuln/detail/CVE-2019-25410</t>
        </is>
      </c>
      <c r="X299" t="inlineStr">
        <is>
          <t>NONE</t>
        </is>
      </c>
      <c r="Y299" t="n">
        <v>0</v>
      </c>
      <c r="Z299" t="inlineStr"/>
      <c r="AA299" t="inlineStr">
        <is>
          <t>https://nvd.nist.gov/vuln/detail/CVE-2019-25410</t>
        </is>
      </c>
    </row>
    <row r="300">
      <c r="A300" t="inlineStr">
        <is>
          <t>CVE</t>
        </is>
      </c>
      <c r="B300" t="inlineStr">
        <is>
          <t>CVE-2019-25411</t>
        </is>
      </c>
      <c r="C300" t="inlineStr">
        <is>
          <t>Comodo Dome Firewall 2.7.0 contains a reflected cross-site scripting vulnerability that allows attackers to inject malicious scripts by manipulating the GATEWAY_GREEN parameter. Attackers can send POST requests to the DHCP configuration endpoint with script payloads to execute arbitrary JavaScript in administrator browsers.</t>
        </is>
      </c>
      <c r="D300" t="n">
        <v>6.1</v>
      </c>
      <c r="E300" t="inlineStr">
        <is>
          <t>MEDIUM</t>
        </is>
      </c>
      <c r="F300" t="n">
        <v>2</v>
      </c>
      <c r="G300" t="n">
        <v>2</v>
      </c>
      <c r="H300" t="inlineStr">
        <is>
          <t>MEDIUM</t>
        </is>
      </c>
      <c r="I300" t="n">
        <v>10.1</v>
      </c>
      <c r="J300" t="inlineStr">
        <is>
          <t>NO</t>
        </is>
      </c>
      <c r="K300" t="inlineStr">
        <is>
          <t>2026-02-26 00:15</t>
        </is>
      </c>
      <c r="L300" t="inlineStr">
        <is>
          <t>CHECK_VENDOR</t>
        </is>
      </c>
      <c r="M300" t="inlineStr">
        <is>
          <t>comodo dome_firewall *</t>
        </is>
      </c>
      <c r="N300" t="inlineStr">
        <is>
          <t>P4</t>
        </is>
      </c>
      <c r="O300" t="inlineStr">
        <is>
          <t>CVE - IP enrichment n/a</t>
        </is>
      </c>
      <c r="P300" t="n">
        <v>0.0003</v>
      </c>
      <c r="Q300" t="n">
        <v>0.0881</v>
      </c>
      <c r="R300" t="inlineStr">
        <is>
          <t>T1189:Drive-by Compromise | T1562:Impair Defenses</t>
        </is>
      </c>
      <c r="S300" t="n">
        <v>1</v>
      </c>
      <c r="T300" t="inlineStr">
        <is>
          <t>LOW (40%)</t>
        </is>
      </c>
      <c r="U300" t="inlineStr">
        <is>
          <t>UNLIKELY</t>
        </is>
      </c>
      <c r="V300" t="inlineStr">
        <is>
          <t>CHECK_VENDOR</t>
        </is>
      </c>
      <c r="W300" t="inlineStr">
        <is>
          <t>https://nvd.nist.gov/vuln/detail/CVE-2019-25411</t>
        </is>
      </c>
      <c r="X300" t="inlineStr">
        <is>
          <t>NONE</t>
        </is>
      </c>
      <c r="Y300" t="n">
        <v>0</v>
      </c>
      <c r="Z300" t="inlineStr"/>
      <c r="AA300" t="inlineStr">
        <is>
          <t>https://nvd.nist.gov/vuln/detail/CVE-2019-25411</t>
        </is>
      </c>
    </row>
    <row r="301">
      <c r="A301" t="inlineStr">
        <is>
          <t>CVE</t>
        </is>
      </c>
      <c r="B301" t="inlineStr">
        <is>
          <t>CVE-2019-25412</t>
        </is>
      </c>
      <c r="C301" t="inlineStr">
        <is>
          <t>Comodo Dome Firewall 2.7.0 contains a reflected cross-site scripting vulnerability that allows attackers to inject malicious scripts by submitting unsanitized input through the NTP_SERVER_LIST parameter. Attackers can send POST requests to the /korugan/time endpoint with script payloads in the NTP_SERVER_LIST parameter to execute arbitrary JavaScript in users' browsers.</t>
        </is>
      </c>
      <c r="D301" t="n">
        <v>6.1</v>
      </c>
      <c r="E301" t="inlineStr">
        <is>
          <t>MEDIUM</t>
        </is>
      </c>
      <c r="F301" t="n">
        <v>2</v>
      </c>
      <c r="G301" t="n">
        <v>2</v>
      </c>
      <c r="H301" t="inlineStr">
        <is>
          <t>MEDIUM</t>
        </is>
      </c>
      <c r="I301" t="n">
        <v>10.1</v>
      </c>
      <c r="J301" t="inlineStr">
        <is>
          <t>NO</t>
        </is>
      </c>
      <c r="K301" t="inlineStr">
        <is>
          <t>2026-02-26 00:15</t>
        </is>
      </c>
      <c r="L301" t="inlineStr">
        <is>
          <t>CHECK_VENDOR</t>
        </is>
      </c>
      <c r="M301" t="inlineStr">
        <is>
          <t>comodo dome_firewall 2.7.0</t>
        </is>
      </c>
      <c r="N301" t="inlineStr">
        <is>
          <t>P4</t>
        </is>
      </c>
      <c r="O301" t="inlineStr">
        <is>
          <t>CVE - IP enrichment n/a</t>
        </is>
      </c>
      <c r="P301" t="n">
        <v>0</v>
      </c>
      <c r="Q301" t="n">
        <v>0</v>
      </c>
      <c r="R301" t="inlineStr">
        <is>
          <t>T1189:Drive-by Compromise | T1562:Impair Defenses</t>
        </is>
      </c>
      <c r="S301" t="n">
        <v>1</v>
      </c>
      <c r="T301" t="inlineStr">
        <is>
          <t>LOW (40%)</t>
        </is>
      </c>
      <c r="U301" t="inlineStr">
        <is>
          <t>UNLIKELY</t>
        </is>
      </c>
      <c r="V301" t="inlineStr">
        <is>
          <t>CHECK_VENDOR</t>
        </is>
      </c>
      <c r="W301" t="inlineStr">
        <is>
          <t>https://nvd.nist.gov/vuln/detail/CVE-2019-25412</t>
        </is>
      </c>
      <c r="X301" t="inlineStr">
        <is>
          <t>NONE</t>
        </is>
      </c>
      <c r="Y301" t="n">
        <v>0</v>
      </c>
      <c r="Z301" t="inlineStr"/>
      <c r="AA301" t="inlineStr">
        <is>
          <t>https://nvd.nist.gov/vuln/detail/CVE-2019-25412</t>
        </is>
      </c>
    </row>
    <row r="302">
      <c r="A302" t="inlineStr">
        <is>
          <t>CVE</t>
        </is>
      </c>
      <c r="B302" t="inlineStr">
        <is>
          <t>CVE-2019-25413</t>
        </is>
      </c>
      <c r="C302" t="inlineStr">
        <is>
          <t>Comodo Dome Firewall 2.7.0 contains a reflected cross-site scripting vulnerability that allows unauthenticated attackers to inject malicious scripts by manipulating the ID parameter. Attackers can craft requests to the /manage/ips/rules/ endpoint with script payloads in the ID parameter to execute arbitrary JavaScript in victim browsers.</t>
        </is>
      </c>
      <c r="D302" t="n">
        <v>6.1</v>
      </c>
      <c r="E302" t="inlineStr">
        <is>
          <t>MEDIUM</t>
        </is>
      </c>
      <c r="F302" t="n">
        <v>2</v>
      </c>
      <c r="G302" t="n">
        <v>2</v>
      </c>
      <c r="H302" t="inlineStr">
        <is>
          <t>MEDIUM</t>
        </is>
      </c>
      <c r="I302" t="n">
        <v>10.1</v>
      </c>
      <c r="J302" t="inlineStr">
        <is>
          <t>NO</t>
        </is>
      </c>
      <c r="K302" t="inlineStr">
        <is>
          <t>2026-02-26 00:15</t>
        </is>
      </c>
      <c r="L302" t="inlineStr">
        <is>
          <t>CHECK_VENDOR</t>
        </is>
      </c>
      <c r="M302" t="inlineStr">
        <is>
          <t>comodo dome_firewall *</t>
        </is>
      </c>
      <c r="N302" t="inlineStr">
        <is>
          <t>P4</t>
        </is>
      </c>
      <c r="O302" t="inlineStr">
        <is>
          <t>CVE - IP enrichment n/a</t>
        </is>
      </c>
      <c r="P302" t="n">
        <v>0</v>
      </c>
      <c r="Q302" t="n">
        <v>0</v>
      </c>
      <c r="R302" t="inlineStr">
        <is>
          <t>T1189:Drive-by Compromise | T1562:Impair Defenses</t>
        </is>
      </c>
      <c r="S302" t="n">
        <v>1</v>
      </c>
      <c r="T302" t="inlineStr">
        <is>
          <t>LOW (40%)</t>
        </is>
      </c>
      <c r="U302" t="inlineStr">
        <is>
          <t>UNLIKELY</t>
        </is>
      </c>
      <c r="V302" t="inlineStr">
        <is>
          <t>CHECK_VENDOR</t>
        </is>
      </c>
      <c r="W302" t="inlineStr">
        <is>
          <t>https://nvd.nist.gov/vuln/detail/CVE-2019-25413</t>
        </is>
      </c>
      <c r="X302" t="inlineStr">
        <is>
          <t>NONE</t>
        </is>
      </c>
      <c r="Y302" t="n">
        <v>0</v>
      </c>
      <c r="Z302" t="inlineStr"/>
      <c r="AA302" t="inlineStr">
        <is>
          <t>https://nvd.nist.gov/vuln/detail/CVE-2019-25413</t>
        </is>
      </c>
    </row>
    <row r="303">
      <c r="A303" t="inlineStr">
        <is>
          <t>CVE</t>
        </is>
      </c>
      <c r="B303" t="inlineStr">
        <is>
          <t>CVE-2019-25414</t>
        </is>
      </c>
      <c r="C303" t="inlineStr">
        <is>
          <t>Comodo Dome Firewall 2.7.0 contains a reflected cross-site scripting vulnerability that allows unauthenticated attackers to inject malicious scripts by manipulating the ID parameter. Attackers can craft requests to the /manage/ips/appid/ endpoint with script payloads in the ID parameter to execute arbitrary JavaScript in victim browsers.</t>
        </is>
      </c>
      <c r="D303" t="n">
        <v>6.1</v>
      </c>
      <c r="E303" t="inlineStr">
        <is>
          <t>MEDIUM</t>
        </is>
      </c>
      <c r="F303" t="n">
        <v>2</v>
      </c>
      <c r="G303" t="n">
        <v>2</v>
      </c>
      <c r="H303" t="inlineStr">
        <is>
          <t>MEDIUM</t>
        </is>
      </c>
      <c r="I303" t="n">
        <v>10.1</v>
      </c>
      <c r="J303" t="inlineStr">
        <is>
          <t>NO</t>
        </is>
      </c>
      <c r="K303" t="inlineStr">
        <is>
          <t>2026-02-26 00:15</t>
        </is>
      </c>
      <c r="L303" t="inlineStr">
        <is>
          <t>CHECK_VENDOR</t>
        </is>
      </c>
      <c r="M303" t="inlineStr">
        <is>
          <t>comodo dome_firewall *</t>
        </is>
      </c>
      <c r="N303" t="inlineStr">
        <is>
          <t>P4</t>
        </is>
      </c>
      <c r="O303" t="inlineStr">
        <is>
          <t>CVE - IP enrichment n/a</t>
        </is>
      </c>
      <c r="P303" t="n">
        <v>0.0005999999999999999</v>
      </c>
      <c r="Q303" t="n">
        <v>0.1961</v>
      </c>
      <c r="R303" t="inlineStr">
        <is>
          <t>T1189:Drive-by Compromise | T1562:Impair Defenses</t>
        </is>
      </c>
      <c r="S303" t="n">
        <v>1</v>
      </c>
      <c r="T303" t="inlineStr">
        <is>
          <t>LOW (40%)</t>
        </is>
      </c>
      <c r="U303" t="inlineStr">
        <is>
          <t>UNLIKELY</t>
        </is>
      </c>
      <c r="V303" t="inlineStr">
        <is>
          <t>CHECK_VENDOR</t>
        </is>
      </c>
      <c r="W303" t="inlineStr">
        <is>
          <t>https://nvd.nist.gov/vuln/detail/CVE-2019-25414</t>
        </is>
      </c>
      <c r="X303" t="inlineStr">
        <is>
          <t>NONE</t>
        </is>
      </c>
      <c r="Y303" t="n">
        <v>0</v>
      </c>
      <c r="Z303" t="inlineStr"/>
      <c r="AA303" t="inlineStr">
        <is>
          <t>https://nvd.nist.gov/vuln/detail/CVE-2019-25414</t>
        </is>
      </c>
    </row>
    <row r="304">
      <c r="A304" t="inlineStr">
        <is>
          <t>CVE</t>
        </is>
      </c>
      <c r="B304" t="inlineStr">
        <is>
          <t>CVE-2019-25415</t>
        </is>
      </c>
      <c r="C304" t="inlineStr">
        <is>
          <t>Comodo Dome Firewall 2.7.0 contains a reflected cross-site scripting vulnerability that allows attackers to inject malicious scripts by submitting unsanitized input to the hotspot_permanent_users endpoint. Attackers can send POST requests with JavaScript payloads in the MACADDRESSES parameter to execute arbitrary scripts in users' browsers.</t>
        </is>
      </c>
      <c r="D304" t="n">
        <v>6.1</v>
      </c>
      <c r="E304" t="inlineStr">
        <is>
          <t>MEDIUM</t>
        </is>
      </c>
      <c r="F304" t="n">
        <v>2</v>
      </c>
      <c r="G304" t="n">
        <v>2</v>
      </c>
      <c r="H304" t="inlineStr">
        <is>
          <t>MEDIUM</t>
        </is>
      </c>
      <c r="I304" t="n">
        <v>10.1</v>
      </c>
      <c r="J304" t="inlineStr">
        <is>
          <t>NO</t>
        </is>
      </c>
      <c r="K304" t="inlineStr">
        <is>
          <t>2026-02-26 00:15</t>
        </is>
      </c>
      <c r="L304" t="inlineStr">
        <is>
          <t>CHECK_VENDOR</t>
        </is>
      </c>
      <c r="M304" t="inlineStr">
        <is>
          <t>comodo dome_firewall 2.7.0</t>
        </is>
      </c>
      <c r="N304" t="inlineStr">
        <is>
          <t>P4</t>
        </is>
      </c>
      <c r="O304" t="inlineStr">
        <is>
          <t>CVE - IP enrichment n/a</t>
        </is>
      </c>
      <c r="P304" t="n">
        <v>0</v>
      </c>
      <c r="Q304" t="n">
        <v>0</v>
      </c>
      <c r="R304" t="inlineStr">
        <is>
          <t>T1189:Drive-by Compromise | T1562:Impair Defenses</t>
        </is>
      </c>
      <c r="S304" t="n">
        <v>1</v>
      </c>
      <c r="T304" t="inlineStr">
        <is>
          <t>LOW (40%)</t>
        </is>
      </c>
      <c r="U304" t="inlineStr">
        <is>
          <t>UNLIKELY</t>
        </is>
      </c>
      <c r="V304" t="inlineStr">
        <is>
          <t>CHECK_VENDOR</t>
        </is>
      </c>
      <c r="W304" t="inlineStr">
        <is>
          <t>https://nvd.nist.gov/vuln/detail/CVE-2019-25415</t>
        </is>
      </c>
      <c r="X304" t="inlineStr">
        <is>
          <t>NONE</t>
        </is>
      </c>
      <c r="Y304" t="n">
        <v>0</v>
      </c>
      <c r="Z304" t="inlineStr"/>
      <c r="AA304" t="inlineStr">
        <is>
          <t>https://nvd.nist.gov/vuln/detail/CVE-2019-25415</t>
        </is>
      </c>
    </row>
    <row r="305">
      <c r="A305" t="inlineStr">
        <is>
          <t>CVE</t>
        </is>
      </c>
      <c r="B305" t="inlineStr">
        <is>
          <t>CVE-2019-25416</t>
        </is>
      </c>
      <c r="C305" t="inlineStr">
        <is>
          <t>Comodo Dome Firewall 2.7.0 contains a reflected cross-site scripting vulnerability that allows attackers to inject malicious scripts by submitting crafted input through the device parameter. Attackers can send POST requests to the QoS devices management endpoint with script payloads in the device parameter to execute arbitrary JavaScript in users' browsers.</t>
        </is>
      </c>
      <c r="D305" t="n">
        <v>6.1</v>
      </c>
      <c r="E305" t="inlineStr">
        <is>
          <t>MEDIUM</t>
        </is>
      </c>
      <c r="F305" t="n">
        <v>2</v>
      </c>
      <c r="G305" t="n">
        <v>2</v>
      </c>
      <c r="H305" t="inlineStr">
        <is>
          <t>MEDIUM</t>
        </is>
      </c>
      <c r="I305" t="n">
        <v>10.1</v>
      </c>
      <c r="J305" t="inlineStr">
        <is>
          <t>NO</t>
        </is>
      </c>
      <c r="K305" t="inlineStr">
        <is>
          <t>2026-02-26 00:15</t>
        </is>
      </c>
      <c r="L305" t="inlineStr">
        <is>
          <t>CHECK_VENDOR</t>
        </is>
      </c>
      <c r="M305" t="inlineStr">
        <is>
          <t>comodo dome_firewall *</t>
        </is>
      </c>
      <c r="N305" t="inlineStr">
        <is>
          <t>P4</t>
        </is>
      </c>
      <c r="O305" t="inlineStr">
        <is>
          <t>CVE - IP enrichment n/a</t>
        </is>
      </c>
      <c r="P305" t="n">
        <v>0</v>
      </c>
      <c r="Q305" t="n">
        <v>0</v>
      </c>
      <c r="R305" t="inlineStr">
        <is>
          <t>T1189:Drive-by Compromise | T1562:Impair Defenses</t>
        </is>
      </c>
      <c r="S305" t="n">
        <v>1</v>
      </c>
      <c r="T305" t="inlineStr">
        <is>
          <t>LOW (40%)</t>
        </is>
      </c>
      <c r="U305" t="inlineStr">
        <is>
          <t>UNLIKELY</t>
        </is>
      </c>
      <c r="V305" t="inlineStr">
        <is>
          <t>CHECK_VENDOR</t>
        </is>
      </c>
      <c r="W305" t="inlineStr">
        <is>
          <t>https://nvd.nist.gov/vuln/detail/CVE-2019-25416</t>
        </is>
      </c>
      <c r="X305" t="inlineStr">
        <is>
          <t>NONE</t>
        </is>
      </c>
      <c r="Y305" t="n">
        <v>0</v>
      </c>
      <c r="Z305" t="inlineStr"/>
      <c r="AA305" t="inlineStr">
        <is>
          <t>https://nvd.nist.gov/vuln/detail/CVE-2019-25416</t>
        </is>
      </c>
    </row>
    <row r="306">
      <c r="A306" t="inlineStr">
        <is>
          <t>CVE</t>
        </is>
      </c>
      <c r="B306" t="inlineStr">
        <is>
          <t>CVE-2019-25417</t>
        </is>
      </c>
      <c r="C306" t="inlineStr">
        <is>
          <t>Comodo Dome Firewall 2.7.0 contains a reflected cross-site scripting vulnerability that allows attackers to inject malicious scripts by submitting crafted input to the protocol parameter. Attackers can send POST requests to the QoS rules management endpoint with JavaScript payloads in the protocol parameter to execute arbitrary code in administrator browsers.</t>
        </is>
      </c>
      <c r="D306" t="n">
        <v>6.1</v>
      </c>
      <c r="E306" t="inlineStr">
        <is>
          <t>MEDIUM</t>
        </is>
      </c>
      <c r="F306" t="n">
        <v>2</v>
      </c>
      <c r="G306" t="n">
        <v>2</v>
      </c>
      <c r="H306" t="inlineStr">
        <is>
          <t>MEDIUM</t>
        </is>
      </c>
      <c r="I306" t="n">
        <v>10.1</v>
      </c>
      <c r="J306" t="inlineStr">
        <is>
          <t>NO</t>
        </is>
      </c>
      <c r="K306" t="inlineStr">
        <is>
          <t>2026-02-26 00:15</t>
        </is>
      </c>
      <c r="L306" t="inlineStr">
        <is>
          <t>CHECK_VENDOR</t>
        </is>
      </c>
      <c r="M306" t="inlineStr">
        <is>
          <t>comodo dome_firewall *</t>
        </is>
      </c>
      <c r="N306" t="inlineStr">
        <is>
          <t>P4</t>
        </is>
      </c>
      <c r="O306" t="inlineStr">
        <is>
          <t>CVE - IP enrichment n/a</t>
        </is>
      </c>
      <c r="P306" t="n">
        <v>0.0004</v>
      </c>
      <c r="Q306" t="n">
        <v>0.1036</v>
      </c>
      <c r="R306" t="inlineStr">
        <is>
          <t>T1189:Drive-by Compromise | T1203:Exploitation for Client Execution | T1562:Impair Defenses</t>
        </is>
      </c>
      <c r="S306" t="n">
        <v>1</v>
      </c>
      <c r="T306" t="inlineStr">
        <is>
          <t>LOW (40%)</t>
        </is>
      </c>
      <c r="U306" t="inlineStr">
        <is>
          <t>UNLIKELY</t>
        </is>
      </c>
      <c r="V306" t="inlineStr">
        <is>
          <t>CHECK_VENDOR</t>
        </is>
      </c>
      <c r="W306" t="inlineStr">
        <is>
          <t>https://nvd.nist.gov/vuln/detail/CVE-2019-25417</t>
        </is>
      </c>
      <c r="X306" t="inlineStr">
        <is>
          <t>NONE</t>
        </is>
      </c>
      <c r="Y306" t="n">
        <v>0</v>
      </c>
      <c r="Z306" t="inlineStr"/>
      <c r="AA306" t="inlineStr">
        <is>
          <t>https://nvd.nist.gov/vuln/detail/CVE-2019-25417</t>
        </is>
      </c>
    </row>
    <row r="307">
      <c r="A307" t="inlineStr">
        <is>
          <t>CVE</t>
        </is>
      </c>
      <c r="B307" t="inlineStr">
        <is>
          <t>CVE-2019-25418</t>
        </is>
      </c>
      <c r="C307" t="inlineStr">
        <is>
          <t>Comodo Dome Firewall 2.7.0 contains a reflected cross-site scripting vulnerability that allows attackers to inject malicious scripts by submitting crafted input to the FWADDRESSES parameter. Attackers can send POST requests to the /korugan/fwgroups endpoint with script payloads to execute arbitrary JavaScript in users' browsers and steal session data.</t>
        </is>
      </c>
      <c r="D307" t="n">
        <v>6.1</v>
      </c>
      <c r="E307" t="inlineStr">
        <is>
          <t>MEDIUM</t>
        </is>
      </c>
      <c r="F307" t="n">
        <v>2</v>
      </c>
      <c r="G307" t="n">
        <v>2</v>
      </c>
      <c r="H307" t="inlineStr">
        <is>
          <t>MEDIUM</t>
        </is>
      </c>
      <c r="I307" t="n">
        <v>10.1</v>
      </c>
      <c r="J307" t="inlineStr">
        <is>
          <t>NO</t>
        </is>
      </c>
      <c r="K307" t="inlineStr">
        <is>
          <t>2026-02-26 00:15</t>
        </is>
      </c>
      <c r="L307" t="inlineStr">
        <is>
          <t>CHECK_VENDOR</t>
        </is>
      </c>
      <c r="M307" t="inlineStr">
        <is>
          <t>comodo dome_firewall *</t>
        </is>
      </c>
      <c r="N307" t="inlineStr">
        <is>
          <t>P4</t>
        </is>
      </c>
      <c r="O307" t="inlineStr">
        <is>
          <t>CVE - IP enrichment n/a</t>
        </is>
      </c>
      <c r="P307" t="n">
        <v>0</v>
      </c>
      <c r="Q307" t="n">
        <v>0</v>
      </c>
      <c r="R307" t="inlineStr">
        <is>
          <t>T1189:Drive-by Compromise | T1562:Impair Defenses</t>
        </is>
      </c>
      <c r="S307" t="n">
        <v>1</v>
      </c>
      <c r="T307" t="inlineStr">
        <is>
          <t>LOW (40%)</t>
        </is>
      </c>
      <c r="U307" t="inlineStr">
        <is>
          <t>UNLIKELY</t>
        </is>
      </c>
      <c r="V307" t="inlineStr">
        <is>
          <t>CHECK_VENDOR</t>
        </is>
      </c>
      <c r="W307" t="inlineStr">
        <is>
          <t>https://nvd.nist.gov/vuln/detail/CVE-2019-25418</t>
        </is>
      </c>
      <c r="X307" t="inlineStr">
        <is>
          <t>NONE</t>
        </is>
      </c>
      <c r="Y307" t="n">
        <v>0</v>
      </c>
      <c r="Z307" t="inlineStr"/>
      <c r="AA307" t="inlineStr">
        <is>
          <t>https://nvd.nist.gov/vuln/detail/CVE-2019-25418</t>
        </is>
      </c>
    </row>
    <row r="308">
      <c r="A308" t="inlineStr">
        <is>
          <t>CVE</t>
        </is>
      </c>
      <c r="B308" t="inlineStr">
        <is>
          <t>CVE-2019-25419</t>
        </is>
      </c>
      <c r="C308" t="inlineStr">
        <is>
          <t>Comodo Dome Firewall 2.7.0 contains a stored cross-site scripting vulnerability that allows attackers to inject malicious scripts by submitting crafted input to the schedule endpoint. Attackers can submit POST requests with JavaScript payloads in the SCHNAME parameter to execute arbitrary code in administrators' browsers when the schedule page is accessed.</t>
        </is>
      </c>
      <c r="D308" t="n">
        <v>7.2</v>
      </c>
      <c r="E308" t="inlineStr">
        <is>
          <t>HIGH</t>
        </is>
      </c>
      <c r="F308" t="n">
        <v>2</v>
      </c>
      <c r="G308" t="n">
        <v>3</v>
      </c>
      <c r="H308" t="inlineStr">
        <is>
          <t>HIGH</t>
        </is>
      </c>
      <c r="I308" t="n">
        <v>13.2</v>
      </c>
      <c r="J308" t="inlineStr">
        <is>
          <t>NO</t>
        </is>
      </c>
      <c r="K308" t="inlineStr">
        <is>
          <t>2026-02-26 00:15</t>
        </is>
      </c>
      <c r="L308" t="inlineStr">
        <is>
          <t>CHECK_VENDOR</t>
        </is>
      </c>
      <c r="M308" t="inlineStr">
        <is>
          <t>comodo dome_firewall *</t>
        </is>
      </c>
      <c r="N308" t="inlineStr">
        <is>
          <t>P3</t>
        </is>
      </c>
      <c r="O308" t="inlineStr">
        <is>
          <t>CVE - IP enrichment n/a</t>
        </is>
      </c>
      <c r="P308" t="n">
        <v>0</v>
      </c>
      <c r="Q308" t="n">
        <v>0</v>
      </c>
      <c r="R308" t="inlineStr">
        <is>
          <t>T1189:Drive-by Compromise | T1203:Exploitation for Client Execution | T1562:Impair Defenses</t>
        </is>
      </c>
      <c r="S308" t="n">
        <v>1</v>
      </c>
      <c r="T308" t="inlineStr">
        <is>
          <t>LOW (40%)</t>
        </is>
      </c>
      <c r="U308" t="inlineStr">
        <is>
          <t>UNLIKELY</t>
        </is>
      </c>
      <c r="V308" t="inlineStr">
        <is>
          <t>CHECK_VENDOR</t>
        </is>
      </c>
      <c r="W308" t="inlineStr">
        <is>
          <t>https://nvd.nist.gov/vuln/detail/CVE-2019-25419</t>
        </is>
      </c>
      <c r="X308" t="inlineStr">
        <is>
          <t>NONE</t>
        </is>
      </c>
      <c r="Y308" t="n">
        <v>0</v>
      </c>
      <c r="Z308" t="inlineStr"/>
      <c r="AA308" t="inlineStr">
        <is>
          <t>https://nvd.nist.gov/vuln/detail/CVE-2019-25419</t>
        </is>
      </c>
    </row>
    <row r="309">
      <c r="A309" t="inlineStr">
        <is>
          <t>CVE</t>
        </is>
      </c>
      <c r="B309" t="inlineStr">
        <is>
          <t>CVE-2019-25420</t>
        </is>
      </c>
      <c r="C309" t="inlineStr">
        <is>
          <t>Comodo Dome Firewall 2.7.0 contains a reflected cross-site scripting vulnerability that allows attackers to inject malicious scripts by submitting crafted input to the snat endpoint. Attackers can send POST requests with JavaScript payloads in the port or snat_to_ip parameters to execute arbitrary scripts in users' browsers.</t>
        </is>
      </c>
      <c r="D309" t="n">
        <v>6.1</v>
      </c>
      <c r="E309" t="inlineStr">
        <is>
          <t>MEDIUM</t>
        </is>
      </c>
      <c r="F309" t="n">
        <v>2</v>
      </c>
      <c r="G309" t="n">
        <v>2</v>
      </c>
      <c r="H309" t="inlineStr">
        <is>
          <t>MEDIUM</t>
        </is>
      </c>
      <c r="I309" t="n">
        <v>10.1</v>
      </c>
      <c r="J309" t="inlineStr">
        <is>
          <t>NO</t>
        </is>
      </c>
      <c r="K309" t="inlineStr">
        <is>
          <t>2026-02-26 00:15</t>
        </is>
      </c>
      <c r="L309" t="inlineStr">
        <is>
          <t>CHECK_VENDOR</t>
        </is>
      </c>
      <c r="M309" t="inlineStr">
        <is>
          <t>comodo dome_firewall *</t>
        </is>
      </c>
      <c r="N309" t="inlineStr">
        <is>
          <t>P4</t>
        </is>
      </c>
      <c r="O309" t="inlineStr">
        <is>
          <t>CVE - IP enrichment n/a</t>
        </is>
      </c>
      <c r="P309" t="n">
        <v>0</v>
      </c>
      <c r="Q309" t="n">
        <v>0</v>
      </c>
      <c r="R309" t="inlineStr">
        <is>
          <t>T1189:Drive-by Compromise | T1562:Impair Defenses</t>
        </is>
      </c>
      <c r="S309" t="n">
        <v>1</v>
      </c>
      <c r="T309" t="inlineStr">
        <is>
          <t>LOW (40%)</t>
        </is>
      </c>
      <c r="U309" t="inlineStr">
        <is>
          <t>UNLIKELY</t>
        </is>
      </c>
      <c r="V309" t="inlineStr">
        <is>
          <t>CHECK_VENDOR</t>
        </is>
      </c>
      <c r="W309" t="inlineStr">
        <is>
          <t>https://nvd.nist.gov/vuln/detail/CVE-2019-25420</t>
        </is>
      </c>
      <c r="X309" t="inlineStr">
        <is>
          <t>NONE</t>
        </is>
      </c>
      <c r="Y309" t="n">
        <v>0</v>
      </c>
      <c r="Z309" t="inlineStr"/>
      <c r="AA309" t="inlineStr">
        <is>
          <t>https://nvd.nist.gov/vuln/detail/CVE-2019-25420</t>
        </is>
      </c>
    </row>
    <row r="310">
      <c r="A310" t="inlineStr">
        <is>
          <t>CVE</t>
        </is>
      </c>
      <c r="B310" t="inlineStr">
        <is>
          <t>CVE-2019-25421</t>
        </is>
      </c>
      <c r="C310" t="inlineStr">
        <is>
          <t>Comodo Dome Firewall 2.7.0 contains multiple cross-site scripting vulnerabilities that allow attackers to inject malicious scripts through the policyfw endpoint. Attackers can submit POST requests with JavaScript payloads in the mac, target, and remark parameters to execute arbitrary code in administrator browsers or store persistent scripts in the application.</t>
        </is>
      </c>
      <c r="D310" t="n">
        <v>6.1</v>
      </c>
      <c r="E310" t="inlineStr">
        <is>
          <t>MEDIUM</t>
        </is>
      </c>
      <c r="F310" t="n">
        <v>2</v>
      </c>
      <c r="G310" t="n">
        <v>2</v>
      </c>
      <c r="H310" t="inlineStr">
        <is>
          <t>MEDIUM</t>
        </is>
      </c>
      <c r="I310" t="n">
        <v>10.1</v>
      </c>
      <c r="J310" t="inlineStr">
        <is>
          <t>NO</t>
        </is>
      </c>
      <c r="K310" t="inlineStr">
        <is>
          <t>2026-02-26 00:15</t>
        </is>
      </c>
      <c r="L310" t="inlineStr">
        <is>
          <t>CHECK_VENDOR</t>
        </is>
      </c>
      <c r="M310" t="inlineStr">
        <is>
          <t>comodo dome_firewall *</t>
        </is>
      </c>
      <c r="N310" t="inlineStr">
        <is>
          <t>P4</t>
        </is>
      </c>
      <c r="O310" t="inlineStr">
        <is>
          <t>CVE - IP enrichment n/a</t>
        </is>
      </c>
      <c r="P310" t="n">
        <v>0</v>
      </c>
      <c r="Q310" t="n">
        <v>0</v>
      </c>
      <c r="R310" t="inlineStr">
        <is>
          <t>T1189:Drive-by Compromise | T1203:Exploitation for Client Execution | T1562:Impair Defenses</t>
        </is>
      </c>
      <c r="S310" t="n">
        <v>1</v>
      </c>
      <c r="T310" t="inlineStr">
        <is>
          <t>LOW (40%)</t>
        </is>
      </c>
      <c r="U310" t="inlineStr">
        <is>
          <t>UNLIKELY</t>
        </is>
      </c>
      <c r="V310" t="inlineStr">
        <is>
          <t>CHECK_VENDOR</t>
        </is>
      </c>
      <c r="W310" t="inlineStr">
        <is>
          <t>https://nvd.nist.gov/vuln/detail/CVE-2019-25421</t>
        </is>
      </c>
      <c r="X310" t="inlineStr">
        <is>
          <t>NONE</t>
        </is>
      </c>
      <c r="Y310" t="n">
        <v>0</v>
      </c>
      <c r="Z310" t="inlineStr"/>
      <c r="AA310" t="inlineStr">
        <is>
          <t>https://nvd.nist.gov/vuln/detail/CVE-2019-25421</t>
        </is>
      </c>
    </row>
    <row r="311">
      <c r="A311" t="inlineStr">
        <is>
          <t>CVE</t>
        </is>
      </c>
      <c r="B311" t="inlineStr">
        <is>
          <t>CVE-2019-25422</t>
        </is>
      </c>
      <c r="C311" t="inlineStr">
        <is>
          <t>Comodo Dome Firewall 2.7.0 contains cross-site scripting vulnerabilities that allow attackers to inject malicious scripts through the vpnfw endpoint. Attackers can submit POST requests with script payloads in the target parameter for reflected XSS or the remark parameter for stored XSS to execute arbitrary JavaScript in administrator browsers.</t>
        </is>
      </c>
      <c r="D311" t="n">
        <v>7.2</v>
      </c>
      <c r="E311" t="inlineStr">
        <is>
          <t>HIGH</t>
        </is>
      </c>
      <c r="F311" t="n">
        <v>2</v>
      </c>
      <c r="G311" t="n">
        <v>3</v>
      </c>
      <c r="H311" t="inlineStr">
        <is>
          <t>HIGH</t>
        </is>
      </c>
      <c r="I311" t="n">
        <v>13.2</v>
      </c>
      <c r="J311" t="inlineStr">
        <is>
          <t>NO</t>
        </is>
      </c>
      <c r="K311" t="inlineStr">
        <is>
          <t>2026-02-26 00:15</t>
        </is>
      </c>
      <c r="L311" t="inlineStr">
        <is>
          <t>CHECK_VENDOR</t>
        </is>
      </c>
      <c r="M311" t="inlineStr">
        <is>
          <t>comodo dome_firewall *</t>
        </is>
      </c>
      <c r="N311" t="inlineStr">
        <is>
          <t>P3</t>
        </is>
      </c>
      <c r="O311" t="inlineStr">
        <is>
          <t>CVE - IP enrichment n/a</t>
        </is>
      </c>
      <c r="P311" t="n">
        <v>0</v>
      </c>
      <c r="Q311" t="n">
        <v>0</v>
      </c>
      <c r="R311" t="inlineStr">
        <is>
          <t>T1189:Drive-by Compromise | T1133:External Remote Services | T1562:Impair Defenses</t>
        </is>
      </c>
      <c r="S311" t="n">
        <v>1</v>
      </c>
      <c r="T311" t="inlineStr">
        <is>
          <t>LOW (40%)</t>
        </is>
      </c>
      <c r="U311" t="inlineStr">
        <is>
          <t>UNLIKELY</t>
        </is>
      </c>
      <c r="V311" t="inlineStr">
        <is>
          <t>CHECK_VENDOR</t>
        </is>
      </c>
      <c r="W311" t="inlineStr">
        <is>
          <t>https://nvd.nist.gov/vuln/detail/CVE-2019-25422</t>
        </is>
      </c>
      <c r="X311" t="inlineStr">
        <is>
          <t>NONE</t>
        </is>
      </c>
      <c r="Y311" t="n">
        <v>0</v>
      </c>
      <c r="Z311" t="inlineStr"/>
      <c r="AA311" t="inlineStr">
        <is>
          <t>https://nvd.nist.gov/vuln/detail/CVE-2019-25422</t>
        </is>
      </c>
    </row>
    <row r="312">
      <c r="A312" t="inlineStr">
        <is>
          <t>CVE</t>
        </is>
      </c>
      <c r="B312" t="inlineStr">
        <is>
          <t>CVE-2019-25423</t>
        </is>
      </c>
      <c r="C312" t="inlineStr">
        <is>
          <t>Comodo Dome Firewall 2.7.0 contains multiple reflected cross-site scripting vulnerabilities in the /korugan/proxyconfig endpoint that allow attackers to inject malicious scripts through POST parameters. Attackers can submit crafted POST requests with JavaScript payloads in parameters like PROXY_PORT, VISIBLE_HOSTNAME, ADMIN_MAIL_ADDRESS, CACHE_MEM, MAX_SIZE, MIN_SIZE, and DST_NOCACHE to execute arbitrary scripts in administrator browsers.</t>
        </is>
      </c>
      <c r="D312" t="n">
        <v>6.1</v>
      </c>
      <c r="E312" t="inlineStr">
        <is>
          <t>MEDIUM</t>
        </is>
      </c>
      <c r="F312" t="n">
        <v>2</v>
      </c>
      <c r="G312" t="n">
        <v>2</v>
      </c>
      <c r="H312" t="inlineStr">
        <is>
          <t>MEDIUM</t>
        </is>
      </c>
      <c r="I312" t="n">
        <v>10.1</v>
      </c>
      <c r="J312" t="inlineStr">
        <is>
          <t>NO</t>
        </is>
      </c>
      <c r="K312" t="inlineStr">
        <is>
          <t>2026-02-26 00:15</t>
        </is>
      </c>
      <c r="L312" t="inlineStr">
        <is>
          <t>CHECK_VENDOR</t>
        </is>
      </c>
      <c r="M312" t="inlineStr">
        <is>
          <t>comodo dome_firewall *</t>
        </is>
      </c>
      <c r="N312" t="inlineStr">
        <is>
          <t>P4</t>
        </is>
      </c>
      <c r="O312" t="inlineStr">
        <is>
          <t>CVE - IP enrichment n/a</t>
        </is>
      </c>
      <c r="P312" t="n">
        <v>0</v>
      </c>
      <c r="Q312" t="n">
        <v>0</v>
      </c>
      <c r="R312" t="inlineStr">
        <is>
          <t>T1189:Drive-by Compromise | T1562:Impair Defenses</t>
        </is>
      </c>
      <c r="S312" t="n">
        <v>1</v>
      </c>
      <c r="T312" t="inlineStr">
        <is>
          <t>LOW (40%)</t>
        </is>
      </c>
      <c r="U312" t="inlineStr">
        <is>
          <t>UNLIKELY</t>
        </is>
      </c>
      <c r="V312" t="inlineStr">
        <is>
          <t>CHECK_VENDOR</t>
        </is>
      </c>
      <c r="W312" t="inlineStr">
        <is>
          <t>https://nvd.nist.gov/vuln/detail/CVE-2019-25423</t>
        </is>
      </c>
      <c r="X312" t="inlineStr">
        <is>
          <t>NONE</t>
        </is>
      </c>
      <c r="Y312" t="n">
        <v>0</v>
      </c>
      <c r="Z312" t="inlineStr"/>
      <c r="AA312" t="inlineStr">
        <is>
          <t>https://nvd.nist.gov/vuln/detail/CVE-2019-25423</t>
        </is>
      </c>
    </row>
    <row r="313">
      <c r="A313" t="inlineStr">
        <is>
          <t>CVE</t>
        </is>
      </c>
      <c r="B313" t="inlineStr">
        <is>
          <t>CVE-2019-25424</t>
        </is>
      </c>
      <c r="C313" t="inlineStr">
        <is>
          <t>Comodo Dome Firewall 2.7.0 contains a reflected cross-site scripting vulnerability that allows attackers to inject malicious scripts by submitting unsanitized input to the EXCEPTIONSITELIST parameter. Attackers can craft POST requests to the https_exceptions endpoint with script payloads to execute arbitrary JavaScript in users' browsers and steal session data.</t>
        </is>
      </c>
      <c r="D313" t="n">
        <v>6.1</v>
      </c>
      <c r="E313" t="inlineStr">
        <is>
          <t>MEDIUM</t>
        </is>
      </c>
      <c r="F313" t="n">
        <v>2</v>
      </c>
      <c r="G313" t="n">
        <v>2</v>
      </c>
      <c r="H313" t="inlineStr">
        <is>
          <t>MEDIUM</t>
        </is>
      </c>
      <c r="I313" t="n">
        <v>10.1</v>
      </c>
      <c r="J313" t="inlineStr">
        <is>
          <t>NO</t>
        </is>
      </c>
      <c r="K313" t="inlineStr">
        <is>
          <t>2026-02-26 00:15</t>
        </is>
      </c>
      <c r="L313" t="inlineStr">
        <is>
          <t>CHECK_VENDOR</t>
        </is>
      </c>
      <c r="M313" t="inlineStr">
        <is>
          <t>comodo dome_firewall 2.7.0</t>
        </is>
      </c>
      <c r="N313" t="inlineStr">
        <is>
          <t>P4</t>
        </is>
      </c>
      <c r="O313" t="inlineStr">
        <is>
          <t>CVE - IP enrichment n/a</t>
        </is>
      </c>
      <c r="P313" t="n">
        <v>0</v>
      </c>
      <c r="Q313" t="n">
        <v>0</v>
      </c>
      <c r="R313" t="inlineStr">
        <is>
          <t>T1189:Drive-by Compromise | T1562:Impair Defenses</t>
        </is>
      </c>
      <c r="S313" t="n">
        <v>1</v>
      </c>
      <c r="T313" t="inlineStr">
        <is>
          <t>LOW (40%)</t>
        </is>
      </c>
      <c r="U313" t="inlineStr">
        <is>
          <t>UNLIKELY</t>
        </is>
      </c>
      <c r="V313" t="inlineStr">
        <is>
          <t>CHECK_VENDOR</t>
        </is>
      </c>
      <c r="W313" t="inlineStr">
        <is>
          <t>https://nvd.nist.gov/vuln/detail/CVE-2019-25424</t>
        </is>
      </c>
      <c r="X313" t="inlineStr">
        <is>
          <t>NONE</t>
        </is>
      </c>
      <c r="Y313" t="n">
        <v>0</v>
      </c>
      <c r="Z313" t="inlineStr"/>
      <c r="AA313" t="inlineStr">
        <is>
          <t>https://nvd.nist.gov/vuln/detail/CVE-2019-25424</t>
        </is>
      </c>
    </row>
    <row r="314">
      <c r="A314" t="inlineStr">
        <is>
          <t>CVE</t>
        </is>
      </c>
      <c r="B314" t="inlineStr">
        <is>
          <t>CVE-2019-25425</t>
        </is>
      </c>
      <c r="C314" t="inlineStr">
        <is>
          <t>Comodo Dome Firewall 2.7.0 contains a reflected cross-site scripting vulnerability that allows attackers to inject malicious scripts by submitting crafted input to the VIRUS_ADMIN parameter. Attackers can send POST requests to the smtpconfig endpoint with script payloads to execute arbitrary JavaScript in the context of an administrator's browser session.</t>
        </is>
      </c>
      <c r="D314" t="n">
        <v>6.1</v>
      </c>
      <c r="E314" t="inlineStr">
        <is>
          <t>MEDIUM</t>
        </is>
      </c>
      <c r="F314" t="n">
        <v>2</v>
      </c>
      <c r="G314" t="n">
        <v>2</v>
      </c>
      <c r="H314" t="inlineStr">
        <is>
          <t>MEDIUM</t>
        </is>
      </c>
      <c r="I314" t="n">
        <v>10.1</v>
      </c>
      <c r="J314" t="inlineStr">
        <is>
          <t>NO</t>
        </is>
      </c>
      <c r="K314" t="inlineStr">
        <is>
          <t>2026-02-26 00:15</t>
        </is>
      </c>
      <c r="L314" t="inlineStr">
        <is>
          <t>CHECK_VENDOR</t>
        </is>
      </c>
      <c r="M314" t="inlineStr">
        <is>
          <t>comodo dome_firewall *</t>
        </is>
      </c>
      <c r="N314" t="inlineStr">
        <is>
          <t>P4</t>
        </is>
      </c>
      <c r="O314" t="inlineStr">
        <is>
          <t>CVE - IP enrichment n/a</t>
        </is>
      </c>
      <c r="P314" t="n">
        <v>0</v>
      </c>
      <c r="Q314" t="n">
        <v>0</v>
      </c>
      <c r="R314" t="inlineStr">
        <is>
          <t>T1189:Drive-by Compromise | T1562:Impair Defenses</t>
        </is>
      </c>
      <c r="S314" t="n">
        <v>1</v>
      </c>
      <c r="T314" t="inlineStr">
        <is>
          <t>LOW (40%)</t>
        </is>
      </c>
      <c r="U314" t="inlineStr">
        <is>
          <t>UNLIKELY</t>
        </is>
      </c>
      <c r="V314" t="inlineStr">
        <is>
          <t>CHECK_VENDOR</t>
        </is>
      </c>
      <c r="W314" t="inlineStr">
        <is>
          <t>https://nvd.nist.gov/vuln/detail/CVE-2019-25425</t>
        </is>
      </c>
      <c r="X314" t="inlineStr">
        <is>
          <t>NONE</t>
        </is>
      </c>
      <c r="Y314" t="n">
        <v>0</v>
      </c>
      <c r="Z314" t="inlineStr"/>
      <c r="AA314" t="inlineStr">
        <is>
          <t>https://nvd.nist.gov/vuln/detail/CVE-2019-25425</t>
        </is>
      </c>
    </row>
    <row r="315">
      <c r="A315" t="inlineStr">
        <is>
          <t>CVE</t>
        </is>
      </c>
      <c r="B315" t="inlineStr">
        <is>
          <t>CVE-2019-25426</t>
        </is>
      </c>
      <c r="C315" t="inlineStr">
        <is>
          <t>Comodo Dome Firewall 2.7.0 contains a reflected cross-site scripting vulnerability that allows attackers to inject malicious scripts by submitting crafted input to the dnsmasq endpoint. Attackers can send POST requests with script payloads in the TRANSPARENT_SOURCE_BYPASS or TRANSPARENT_DESTINATION_BYPASS parameters to execute arbitrary JavaScript in users' browsers.</t>
        </is>
      </c>
      <c r="D315" t="n">
        <v>6.1</v>
      </c>
      <c r="E315" t="inlineStr">
        <is>
          <t>MEDIUM</t>
        </is>
      </c>
      <c r="F315" t="n">
        <v>2</v>
      </c>
      <c r="G315" t="n">
        <v>2</v>
      </c>
      <c r="H315" t="inlineStr">
        <is>
          <t>MEDIUM</t>
        </is>
      </c>
      <c r="I315" t="n">
        <v>10.1</v>
      </c>
      <c r="J315" t="inlineStr">
        <is>
          <t>NO</t>
        </is>
      </c>
      <c r="K315" t="inlineStr">
        <is>
          <t>2026-02-26 00:15</t>
        </is>
      </c>
      <c r="L315" t="inlineStr">
        <is>
          <t>CHECK_VENDOR</t>
        </is>
      </c>
      <c r="M315" t="inlineStr">
        <is>
          <t>comodo dome_firewall *</t>
        </is>
      </c>
      <c r="N315" t="inlineStr">
        <is>
          <t>P4</t>
        </is>
      </c>
      <c r="O315" t="inlineStr">
        <is>
          <t>CVE - IP enrichment n/a</t>
        </is>
      </c>
      <c r="P315" t="n">
        <v>0</v>
      </c>
      <c r="Q315" t="n">
        <v>0</v>
      </c>
      <c r="R315" t="inlineStr">
        <is>
          <t>T1189:Drive-by Compromise | T1190:Exploit Public-Facing Application | T1562:Impair Defenses</t>
        </is>
      </c>
      <c r="S315" t="n">
        <v>1</v>
      </c>
      <c r="T315" t="inlineStr">
        <is>
          <t>LOW (40%)</t>
        </is>
      </c>
      <c r="U315" t="inlineStr">
        <is>
          <t>UNLIKELY</t>
        </is>
      </c>
      <c r="V315" t="inlineStr">
        <is>
          <t>CHECK_VENDOR</t>
        </is>
      </c>
      <c r="W315" t="inlineStr">
        <is>
          <t>https://nvd.nist.gov/vuln/detail/CVE-2019-25426</t>
        </is>
      </c>
      <c r="X315" t="inlineStr">
        <is>
          <t>NONE</t>
        </is>
      </c>
      <c r="Y315" t="n">
        <v>0</v>
      </c>
      <c r="Z315" t="inlineStr"/>
      <c r="AA315" t="inlineStr">
        <is>
          <t>https://nvd.nist.gov/vuln/detail/CVE-2019-25426</t>
        </is>
      </c>
    </row>
    <row r="316">
      <c r="A316" t="inlineStr">
        <is>
          <t>CVE</t>
        </is>
      </c>
      <c r="B316" t="inlineStr">
        <is>
          <t>CVE-2019-25427</t>
        </is>
      </c>
      <c r="C316" t="inlineStr">
        <is>
          <t>Comodo Dome Firewall 2.7.0 contains a reflected cross-site scripting vulnerability that allows attackers to inject malicious scripts by submitting crafted input to the antispyware endpoint. Attackers can send POST requests with JavaScript payloads in the DNSMASQ_WHITELIST or DNSMASQ_BLACKLIST parameters to execute arbitrary code in users' browsers.</t>
        </is>
      </c>
      <c r="D316" t="n">
        <v>6.1</v>
      </c>
      <c r="E316" t="inlineStr">
        <is>
          <t>MEDIUM</t>
        </is>
      </c>
      <c r="F316" t="n">
        <v>2</v>
      </c>
      <c r="G316" t="n">
        <v>2</v>
      </c>
      <c r="H316" t="inlineStr">
        <is>
          <t>MEDIUM</t>
        </is>
      </c>
      <c r="I316" t="n">
        <v>10.1</v>
      </c>
      <c r="J316" t="inlineStr">
        <is>
          <t>NO</t>
        </is>
      </c>
      <c r="K316" t="inlineStr">
        <is>
          <t>2026-02-26 00:15</t>
        </is>
      </c>
      <c r="L316" t="inlineStr">
        <is>
          <t>CHECK_VENDOR</t>
        </is>
      </c>
      <c r="M316" t="inlineStr">
        <is>
          <t>comodo dome_firewall *</t>
        </is>
      </c>
      <c r="N316" t="inlineStr">
        <is>
          <t>P4</t>
        </is>
      </c>
      <c r="O316" t="inlineStr">
        <is>
          <t>CVE - IP enrichment n/a</t>
        </is>
      </c>
      <c r="P316" t="n">
        <v>0</v>
      </c>
      <c r="Q316" t="n">
        <v>0</v>
      </c>
      <c r="R316" t="inlineStr">
        <is>
          <t>T1189:Drive-by Compromise | T1203:Exploitation for Client Execution | T1562:Impair Defenses</t>
        </is>
      </c>
      <c r="S316" t="n">
        <v>1</v>
      </c>
      <c r="T316" t="inlineStr">
        <is>
          <t>LOW (40%)</t>
        </is>
      </c>
      <c r="U316" t="inlineStr">
        <is>
          <t>UNLIKELY</t>
        </is>
      </c>
      <c r="V316" t="inlineStr">
        <is>
          <t>CHECK_VENDOR</t>
        </is>
      </c>
      <c r="W316" t="inlineStr">
        <is>
          <t>https://nvd.nist.gov/vuln/detail/CVE-2019-25427</t>
        </is>
      </c>
      <c r="X316" t="inlineStr">
        <is>
          <t>NONE</t>
        </is>
      </c>
      <c r="Y316" t="n">
        <v>0</v>
      </c>
      <c r="Z316" t="inlineStr"/>
      <c r="AA316" t="inlineStr">
        <is>
          <t>https://nvd.nist.gov/vuln/detail/CVE-2019-25427</t>
        </is>
      </c>
    </row>
    <row r="317">
      <c r="A317" t="inlineStr">
        <is>
          <t>CVE</t>
        </is>
      </c>
      <c r="B317" t="inlineStr">
        <is>
          <t>CVE-2019-25428</t>
        </is>
      </c>
      <c r="C317" t="inlineStr">
        <is>
          <t>Comodo Dome Firewall 2.7.0 contains multiple reflected cross-site scripting vulnerabilities in the openvpn_users endpoint that allow attackers to inject malicious scripts through POST parameters. Attackers can submit crafted POST requests with script payloads in the username, remotenets, explicitroutes, static_ip, custom_dns, or custom_domain parameters to execute arbitrary JavaScript in users' browsers.</t>
        </is>
      </c>
      <c r="D317" t="n">
        <v>6.1</v>
      </c>
      <c r="E317" t="inlineStr">
        <is>
          <t>MEDIUM</t>
        </is>
      </c>
      <c r="F317" t="n">
        <v>2</v>
      </c>
      <c r="G317" t="n">
        <v>2</v>
      </c>
      <c r="H317" t="inlineStr">
        <is>
          <t>MEDIUM</t>
        </is>
      </c>
      <c r="I317" t="n">
        <v>10.1</v>
      </c>
      <c r="J317" t="inlineStr">
        <is>
          <t>NO</t>
        </is>
      </c>
      <c r="K317" t="inlineStr">
        <is>
          <t>2026-02-26 00:15</t>
        </is>
      </c>
      <c r="L317" t="inlineStr">
        <is>
          <t>CHECK_VENDOR</t>
        </is>
      </c>
      <c r="M317" t="inlineStr">
        <is>
          <t>comodo dome_firewall 2.7.0</t>
        </is>
      </c>
      <c r="N317" t="inlineStr">
        <is>
          <t>P4</t>
        </is>
      </c>
      <c r="O317" t="inlineStr">
        <is>
          <t>CVE - IP enrichment n/a</t>
        </is>
      </c>
      <c r="P317" t="n">
        <v>0</v>
      </c>
      <c r="Q317" t="n">
        <v>0</v>
      </c>
      <c r="R317" t="inlineStr">
        <is>
          <t>T1189:Drive-by Compromise | T1133:External Remote Services | T1562:Impair Defenses</t>
        </is>
      </c>
      <c r="S317" t="n">
        <v>1</v>
      </c>
      <c r="T317" t="inlineStr">
        <is>
          <t>LOW (40%)</t>
        </is>
      </c>
      <c r="U317" t="inlineStr">
        <is>
          <t>UNLIKELY</t>
        </is>
      </c>
      <c r="V317" t="inlineStr">
        <is>
          <t>CHECK_VENDOR</t>
        </is>
      </c>
      <c r="W317" t="inlineStr">
        <is>
          <t>https://nvd.nist.gov/vuln/detail/CVE-2019-25428</t>
        </is>
      </c>
      <c r="X317" t="inlineStr">
        <is>
          <t>NONE</t>
        </is>
      </c>
      <c r="Y317" t="n">
        <v>0</v>
      </c>
      <c r="Z317" t="inlineStr"/>
      <c r="AA317" t="inlineStr">
        <is>
          <t>https://nvd.nist.gov/vuln/detail/CVE-2019-25428</t>
        </is>
      </c>
    </row>
    <row r="318">
      <c r="A318" t="inlineStr">
        <is>
          <t>CVE</t>
        </is>
      </c>
      <c r="B318" t="inlineStr">
        <is>
          <t>CVE-2019-25429</t>
        </is>
      </c>
      <c r="C318" t="inlineStr">
        <is>
          <t>Comodo Dome Firewall 2.7.0 contains a reflected cross-site scripting vulnerability that allows attackers to inject malicious scripts by submitting crafted input to the openvpn_advanced endpoint. Attackers can inject JavaScript code through the GLOBAL_NETWORKS and GLOBAL_DNS parameters via POST requests to execute arbitrary scripts in users' browsers.</t>
        </is>
      </c>
      <c r="D318" t="n">
        <v>6.1</v>
      </c>
      <c r="E318" t="inlineStr">
        <is>
          <t>MEDIUM</t>
        </is>
      </c>
      <c r="F318" t="n">
        <v>2</v>
      </c>
      <c r="G318" t="n">
        <v>2</v>
      </c>
      <c r="H318" t="inlineStr">
        <is>
          <t>MEDIUM</t>
        </is>
      </c>
      <c r="I318" t="n">
        <v>10.1</v>
      </c>
      <c r="J318" t="inlineStr">
        <is>
          <t>NO</t>
        </is>
      </c>
      <c r="K318" t="inlineStr">
        <is>
          <t>2026-02-26 00:15</t>
        </is>
      </c>
      <c r="L318" t="inlineStr">
        <is>
          <t>CHECK_VENDOR</t>
        </is>
      </c>
      <c r="M318" t="inlineStr">
        <is>
          <t>comodo dome_firewall 2.7.0</t>
        </is>
      </c>
      <c r="N318" t="inlineStr">
        <is>
          <t>P4</t>
        </is>
      </c>
      <c r="O318" t="inlineStr">
        <is>
          <t>CVE - IP enrichment n/a</t>
        </is>
      </c>
      <c r="P318" t="n">
        <v>0</v>
      </c>
      <c r="Q318" t="n">
        <v>0</v>
      </c>
      <c r="R318" t="inlineStr">
        <is>
          <t>T1189:Drive-by Compromise | T1133:External Remote Services | T1562:Impair Defenses</t>
        </is>
      </c>
      <c r="S318" t="n">
        <v>1</v>
      </c>
      <c r="T318" t="inlineStr">
        <is>
          <t>LOW (40%)</t>
        </is>
      </c>
      <c r="U318" t="inlineStr">
        <is>
          <t>UNLIKELY</t>
        </is>
      </c>
      <c r="V318" t="inlineStr">
        <is>
          <t>CHECK_VENDOR</t>
        </is>
      </c>
      <c r="W318" t="inlineStr">
        <is>
          <t>https://nvd.nist.gov/vuln/detail/CVE-2019-25429</t>
        </is>
      </c>
      <c r="X318" t="inlineStr">
        <is>
          <t>NONE</t>
        </is>
      </c>
      <c r="Y318" t="n">
        <v>0</v>
      </c>
      <c r="Z318" t="inlineStr"/>
      <c r="AA318" t="inlineStr">
        <is>
          <t>https://nvd.nist.gov/vuln/detail/CVE-2019-25429</t>
        </is>
      </c>
    </row>
    <row r="319">
      <c r="A319" t="inlineStr">
        <is>
          <t>CVE</t>
        </is>
      </c>
      <c r="B319" t="inlineStr">
        <is>
          <t>CVE-2019-25430</t>
        </is>
      </c>
      <c r="C319" t="inlineStr">
        <is>
          <t>Comodo Dome Firewall 2.7.0 contains a reflected cross-site scripting vulnerability that allows unauthenticated attackers to inject malicious scripts by submitting crafted input to the username parameter. Attackers can send POST requests to the vpn_users endpoint with script payloads in the username field to execute arbitrary JavaScript in victim browsers.</t>
        </is>
      </c>
      <c r="D319" t="n">
        <v>6.1</v>
      </c>
      <c r="E319" t="inlineStr">
        <is>
          <t>MEDIUM</t>
        </is>
      </c>
      <c r="F319" t="n">
        <v>2</v>
      </c>
      <c r="G319" t="n">
        <v>2</v>
      </c>
      <c r="H319" t="inlineStr">
        <is>
          <t>MEDIUM</t>
        </is>
      </c>
      <c r="I319" t="n">
        <v>10.1</v>
      </c>
      <c r="J319" t="inlineStr">
        <is>
          <t>NO</t>
        </is>
      </c>
      <c r="K319" t="inlineStr">
        <is>
          <t>2026-02-26 00:15</t>
        </is>
      </c>
      <c r="L319" t="inlineStr">
        <is>
          <t>CHECK_VENDOR</t>
        </is>
      </c>
      <c r="M319" t="inlineStr">
        <is>
          <t>comodo dome_firewall 2.7.0</t>
        </is>
      </c>
      <c r="N319" t="inlineStr">
        <is>
          <t>P4</t>
        </is>
      </c>
      <c r="O319" t="inlineStr">
        <is>
          <t>CVE - IP enrichment n/a</t>
        </is>
      </c>
      <c r="P319" t="n">
        <v>0</v>
      </c>
      <c r="Q319" t="n">
        <v>0</v>
      </c>
      <c r="R319" t="inlineStr">
        <is>
          <t>T1189:Drive-by Compromise | T1133:External Remote Services | T1562:Impair Defenses</t>
        </is>
      </c>
      <c r="S319" t="n">
        <v>1</v>
      </c>
      <c r="T319" t="inlineStr">
        <is>
          <t>LOW (40%)</t>
        </is>
      </c>
      <c r="U319" t="inlineStr">
        <is>
          <t>UNLIKELY</t>
        </is>
      </c>
      <c r="V319" t="inlineStr">
        <is>
          <t>CHECK_VENDOR</t>
        </is>
      </c>
      <c r="W319" t="inlineStr">
        <is>
          <t>https://nvd.nist.gov/vuln/detail/CVE-2019-25430</t>
        </is>
      </c>
      <c r="X319" t="inlineStr">
        <is>
          <t>NONE</t>
        </is>
      </c>
      <c r="Y319" t="n">
        <v>0</v>
      </c>
      <c r="Z319" t="inlineStr"/>
      <c r="AA319" t="inlineStr">
        <is>
          <t>https://nvd.nist.gov/vuln/detail/CVE-2019-25430</t>
        </is>
      </c>
    </row>
    <row r="320">
      <c r="A320" t="inlineStr">
        <is>
          <t>CVE</t>
        </is>
      </c>
      <c r="B320" t="inlineStr">
        <is>
          <t>CVE-2026-2744</t>
        </is>
      </c>
      <c r="C320" t="inlineStr">
        <is>
          <t>Rejected reason: This CVE ID has been rejected or withdrawn by its CVE Numbering Authority.</t>
        </is>
      </c>
      <c r="D320" t="n">
        <v>5</v>
      </c>
      <c r="E320" t="inlineStr">
        <is>
          <t>MEDIUM</t>
        </is>
      </c>
      <c r="F320" t="n">
        <v>2</v>
      </c>
      <c r="G320" t="n">
        <v>2</v>
      </c>
      <c r="H320" t="inlineStr">
        <is>
          <t>MEDIUM</t>
        </is>
      </c>
      <c r="I320" t="n">
        <v>9</v>
      </c>
      <c r="J320" t="inlineStr">
        <is>
          <t>NO</t>
        </is>
      </c>
      <c r="K320" t="inlineStr">
        <is>
          <t>2026-02-26 00:15</t>
        </is>
      </c>
      <c r="L320" t="inlineStr">
        <is>
          <t>CHECK_VENDOR</t>
        </is>
      </c>
      <c r="M320" t="inlineStr">
        <is>
          <t>See CVE details</t>
        </is>
      </c>
      <c r="N320" t="inlineStr">
        <is>
          <t>P4</t>
        </is>
      </c>
      <c r="O320" t="inlineStr">
        <is>
          <t>CVE - IP enrichment n/a</t>
        </is>
      </c>
      <c r="P320" t="n">
        <v>0</v>
      </c>
      <c r="Q320" t="n">
        <v>0</v>
      </c>
      <c r="R320" t="inlineStr">
        <is>
          <t>T1190:Exploit Public-Facing Application</t>
        </is>
      </c>
      <c r="S320" t="n">
        <v>1</v>
      </c>
      <c r="T320" t="inlineStr">
        <is>
          <t>LOW (40%)</t>
        </is>
      </c>
      <c r="U320" t="inlineStr">
        <is>
          <t>UNLIKELY</t>
        </is>
      </c>
      <c r="V320" t="inlineStr">
        <is>
          <t>CHECK_VENDOR</t>
        </is>
      </c>
      <c r="W320" t="inlineStr">
        <is>
          <t>https://nvd.nist.gov/vuln/detail/CVE-2026-2744</t>
        </is>
      </c>
      <c r="X320" t="inlineStr">
        <is>
          <t>NONE</t>
        </is>
      </c>
      <c r="Y320" t="n">
        <v>0</v>
      </c>
      <c r="Z320" t="inlineStr"/>
      <c r="AA320" t="inlineStr">
        <is>
          <t>https://nvd.nist.gov/vuln/detail/CVE-2026-2744</t>
        </is>
      </c>
    </row>
    <row r="321">
      <c r="A321" t="inlineStr">
        <is>
          <t>CVE</t>
        </is>
      </c>
      <c r="B321" t="inlineStr">
        <is>
          <t>CVE-2025-55853</t>
        </is>
      </c>
      <c r="C321" t="inlineStr">
        <is>
          <t>SoftVision webPDF before 10.0.2 is vulnerable to Server-Side Request Forgery (SSRF). The PDF converter function does not check if internal or external resources are requested in the uploaded files and allows for protocols such as http:// and file:///. This allows an attacker to upload an XML or HTML file in the application, which when rendered to a PDF allows for internal port scanning and Local File Inclusion (LFI).</t>
        </is>
      </c>
      <c r="D321" t="n">
        <v>9.1</v>
      </c>
      <c r="E321" t="inlineStr">
        <is>
          <t>CRITICAL</t>
        </is>
      </c>
      <c r="F321" t="n">
        <v>2</v>
      </c>
      <c r="G321" t="n">
        <v>3</v>
      </c>
      <c r="H321" t="inlineStr">
        <is>
          <t>HIGH</t>
        </is>
      </c>
      <c r="I321" t="n">
        <v>15.1</v>
      </c>
      <c r="J321" t="inlineStr">
        <is>
          <t>NO</t>
        </is>
      </c>
      <c r="K321" t="inlineStr">
        <is>
          <t>2026-02-26 00:15</t>
        </is>
      </c>
      <c r="L321" t="inlineStr">
        <is>
          <t>CHECK_VENDOR</t>
        </is>
      </c>
      <c r="M321" t="inlineStr">
        <is>
          <t>See CVE details</t>
        </is>
      </c>
      <c r="N321" t="inlineStr">
        <is>
          <t>P3</t>
        </is>
      </c>
      <c r="O321" t="inlineStr">
        <is>
          <t>CVE - IP enrichment n/a</t>
        </is>
      </c>
      <c r="P321" t="n">
        <v>0</v>
      </c>
      <c r="Q321" t="n">
        <v>0</v>
      </c>
      <c r="R321" t="inlineStr">
        <is>
          <t>T1090:Proxy | T1190:Exploit Public-Facing Application</t>
        </is>
      </c>
      <c r="S321" t="n">
        <v>1</v>
      </c>
      <c r="T321" t="inlineStr">
        <is>
          <t>LOW (40%)</t>
        </is>
      </c>
      <c r="U321" t="inlineStr">
        <is>
          <t>UNLIKELY</t>
        </is>
      </c>
      <c r="V321" t="inlineStr">
        <is>
          <t>CHECK_VENDOR</t>
        </is>
      </c>
      <c r="W321" t="inlineStr">
        <is>
          <t>https://nvd.nist.gov/vuln/detail/CVE-2025-55853</t>
        </is>
      </c>
      <c r="X321" t="inlineStr">
        <is>
          <t>NONE</t>
        </is>
      </c>
      <c r="Y321" t="n">
        <v>0</v>
      </c>
      <c r="Z321" t="inlineStr"/>
      <c r="AA321" t="inlineStr">
        <is>
          <t>https://nvd.nist.gov/vuln/detail/CVE-2025-55853</t>
        </is>
      </c>
    </row>
    <row r="322">
      <c r="A322" t="inlineStr">
        <is>
          <t>CVE</t>
        </is>
      </c>
      <c r="B322" t="inlineStr">
        <is>
          <t>CVE-2026-25527</t>
        </is>
      </c>
      <c r="C322" t="inlineStr">
        <is>
          <t>changedetection.io is a free open source web page change detection tool. In versions prior to 0.53.2, the `/static/ / ` route accepts `group=".."`, which causes `send_from_directory("static/..", filename)` to execute. This moves the base directory up to `/app/changedetectionio`, enabling unauthenticated local file read of application source files (e.g., `flask_app.py`). Version 0.53.2 fixes the issue.</t>
        </is>
      </c>
      <c r="D322" t="n">
        <v>5.3</v>
      </c>
      <c r="E322" t="inlineStr">
        <is>
          <t>MEDIUM</t>
        </is>
      </c>
      <c r="F322" t="n">
        <v>2</v>
      </c>
      <c r="G322" t="n">
        <v>2</v>
      </c>
      <c r="H322" t="inlineStr">
        <is>
          <t>MEDIUM</t>
        </is>
      </c>
      <c r="I322" t="n">
        <v>9.300000000000001</v>
      </c>
      <c r="J322" t="inlineStr">
        <is>
          <t>NO</t>
        </is>
      </c>
      <c r="K322" t="inlineStr">
        <is>
          <t>2026-02-26 00:15</t>
        </is>
      </c>
      <c r="L322" t="inlineStr">
        <is>
          <t>YES</t>
        </is>
      </c>
      <c r="M322" t="inlineStr">
        <is>
          <t>webtechnologies changedetection *</t>
        </is>
      </c>
      <c r="N322" t="inlineStr">
        <is>
          <t>P4</t>
        </is>
      </c>
      <c r="O322" t="inlineStr">
        <is>
          <t>CVE - IP enrichment n/a</t>
        </is>
      </c>
      <c r="P322" t="n">
        <v>0</v>
      </c>
      <c r="Q322" t="n">
        <v>0</v>
      </c>
      <c r="R322" t="inlineStr">
        <is>
          <t>T1083:File and Directory Discovery | T1190:Exploit Public-Facing Application</t>
        </is>
      </c>
      <c r="S322" t="n">
        <v>1</v>
      </c>
      <c r="T322" t="inlineStr">
        <is>
          <t>LOW (40%)</t>
        </is>
      </c>
      <c r="U322" t="inlineStr">
        <is>
          <t>UNLIKELY</t>
        </is>
      </c>
      <c r="V322" t="inlineStr">
        <is>
          <t>PATCH_AVAILABLE</t>
        </is>
      </c>
      <c r="W322" t="inlineStr">
        <is>
          <t>https://nvd.nist.gov/vuln/detail/CVE-2026-25527</t>
        </is>
      </c>
      <c r="X322" t="inlineStr">
        <is>
          <t>NONE</t>
        </is>
      </c>
      <c r="Y322" t="n">
        <v>0</v>
      </c>
      <c r="Z322" t="inlineStr"/>
      <c r="AA322" t="inlineStr">
        <is>
          <t>https://nvd.nist.gov/vuln/detail/CVE-2026-25527</t>
        </is>
      </c>
    </row>
    <row r="323">
      <c r="A323" t="inlineStr">
        <is>
          <t>CVE</t>
        </is>
      </c>
      <c r="B323" t="inlineStr">
        <is>
          <t>CVE-2026-25535</t>
        </is>
      </c>
      <c r="C323" t="inlineStr">
        <is>
          <t>jsPDF is a library to generate PDFs in JavaScript. Prior to 4.2.0, user control of the first argument of the `addImage` method results in denial of service. If given the possibility to pass unsanitized image data or URLs to the `addImage` method, a user can provide a harmful GIF file that results in out of memory errors and denial of service. Harmful GIF files have large width and/or height entries in their headers, which lead to excessive memory allocation. Other affected methods are: `html`. T</t>
        </is>
      </c>
      <c r="D323" t="n">
        <v>7.5</v>
      </c>
      <c r="E323" t="inlineStr">
        <is>
          <t>HIGH</t>
        </is>
      </c>
      <c r="F323" t="n">
        <v>2</v>
      </c>
      <c r="G323" t="n">
        <v>3</v>
      </c>
      <c r="H323" t="inlineStr">
        <is>
          <t>HIGH</t>
        </is>
      </c>
      <c r="I323" t="n">
        <v>13.5</v>
      </c>
      <c r="J323" t="inlineStr">
        <is>
          <t>NO</t>
        </is>
      </c>
      <c r="K323" t="inlineStr">
        <is>
          <t>2026-02-26 00:15</t>
        </is>
      </c>
      <c r="L323" t="inlineStr">
        <is>
          <t>YES</t>
        </is>
      </c>
      <c r="M323" t="inlineStr">
        <is>
          <t>parall jspdf *</t>
        </is>
      </c>
      <c r="N323" t="inlineStr">
        <is>
          <t>P3</t>
        </is>
      </c>
      <c r="O323" t="inlineStr">
        <is>
          <t>CVE - IP enrichment n/a</t>
        </is>
      </c>
      <c r="P323" t="n">
        <v>0</v>
      </c>
      <c r="Q323" t="n">
        <v>0</v>
      </c>
      <c r="R323" t="inlineStr">
        <is>
          <t>T1499:Endpoint Denial of Service</t>
        </is>
      </c>
      <c r="S323" t="n">
        <v>1</v>
      </c>
      <c r="T323" t="inlineStr">
        <is>
          <t>LOW (40%)</t>
        </is>
      </c>
      <c r="U323" t="inlineStr">
        <is>
          <t>UNLIKELY</t>
        </is>
      </c>
      <c r="V323" t="inlineStr">
        <is>
          <t>PATCH_AVAILABLE</t>
        </is>
      </c>
      <c r="W323" t="inlineStr">
        <is>
          <t>https://nvd.nist.gov/vuln/detail/CVE-2026-25535</t>
        </is>
      </c>
      <c r="X323" t="inlineStr">
        <is>
          <t>NONE</t>
        </is>
      </c>
      <c r="Y323" t="n">
        <v>0</v>
      </c>
      <c r="Z323" t="inlineStr"/>
      <c r="AA323" t="inlineStr">
        <is>
          <t>https://nvd.nist.gov/vuln/detail/CVE-2026-25535</t>
        </is>
      </c>
    </row>
    <row r="324">
      <c r="A324" t="inlineStr">
        <is>
          <t>CVE</t>
        </is>
      </c>
      <c r="B324" t="inlineStr">
        <is>
          <t>CVE-2026-25755</t>
        </is>
      </c>
      <c r="C324" t="inlineStr">
        <is>
          <t>jsPDF is a library to generate PDFs in JavaScript. Prior to 4.2.0, user control of the argument of the `addJS` method allows an attacker to inject arbitrary PDF objects into the generated document. By crafting a payload that escapes the JavaScript string delimiter, an attacker can execute malicious actions or alter the document structure, impacting any user who opens the generated PDF. The vulnerability has been fixed in jspdf@4.2.0. As a workaround, escape parentheses in user-provided JavaScrip</t>
        </is>
      </c>
      <c r="D324" t="n">
        <v>8.1</v>
      </c>
      <c r="E324" t="inlineStr">
        <is>
          <t>HIGH</t>
        </is>
      </c>
      <c r="F324" t="n">
        <v>2</v>
      </c>
      <c r="G324" t="n">
        <v>3</v>
      </c>
      <c r="H324" t="inlineStr">
        <is>
          <t>HIGH</t>
        </is>
      </c>
      <c r="I324" t="n">
        <v>14.1</v>
      </c>
      <c r="J324" t="inlineStr">
        <is>
          <t>NO</t>
        </is>
      </c>
      <c r="K324" t="inlineStr">
        <is>
          <t>2026-02-26 00:15</t>
        </is>
      </c>
      <c r="L324" t="inlineStr">
        <is>
          <t>YES</t>
        </is>
      </c>
      <c r="M324" t="inlineStr">
        <is>
          <t>parall jspdf *</t>
        </is>
      </c>
      <c r="N324" t="inlineStr">
        <is>
          <t>P3</t>
        </is>
      </c>
      <c r="O324" t="inlineStr">
        <is>
          <t>CVE - IP enrichment n/a</t>
        </is>
      </c>
      <c r="P324" t="n">
        <v>0</v>
      </c>
      <c r="Q324" t="n">
        <v>0</v>
      </c>
      <c r="R324" t="inlineStr">
        <is>
          <t>T1059:Command and Scripting Interpreter</t>
        </is>
      </c>
      <c r="S324" t="n">
        <v>1</v>
      </c>
      <c r="T324" t="inlineStr">
        <is>
          <t>LOW (40%)</t>
        </is>
      </c>
      <c r="U324" t="inlineStr">
        <is>
          <t>UNLIKELY</t>
        </is>
      </c>
      <c r="V324" t="inlineStr">
        <is>
          <t>PATCH_AVAILABLE</t>
        </is>
      </c>
      <c r="W324" t="inlineStr">
        <is>
          <t>https://nvd.nist.gov/vuln/detail/CVE-2026-25755</t>
        </is>
      </c>
      <c r="X324" t="inlineStr">
        <is>
          <t>NONE</t>
        </is>
      </c>
      <c r="Y324" t="n">
        <v>0</v>
      </c>
      <c r="Z324" t="inlineStr"/>
      <c r="AA324" t="inlineStr">
        <is>
          <t>https://nvd.nist.gov/vuln/detail/CVE-2026-25755</t>
        </is>
      </c>
    </row>
    <row r="325">
      <c r="A325" t="inlineStr">
        <is>
          <t>CVE</t>
        </is>
      </c>
      <c r="B325" t="inlineStr">
        <is>
          <t>CVE-2025-71240</t>
        </is>
      </c>
      <c r="C325" t="inlineStr">
        <is>
          <t>SPIP before 4.2.15 allows Cross-Site Scripting (XSS) via crafted content in HTML code tags. The application does not properly verify JavaScript within code tags, allowing an attacker to inject malicious scripts that execute in a victim's browser.</t>
        </is>
      </c>
      <c r="D325" t="n">
        <v>5.4</v>
      </c>
      <c r="E325" t="inlineStr">
        <is>
          <t>MEDIUM</t>
        </is>
      </c>
      <c r="F325" t="n">
        <v>2</v>
      </c>
      <c r="G325" t="n">
        <v>2</v>
      </c>
      <c r="H325" t="inlineStr">
        <is>
          <t>MEDIUM</t>
        </is>
      </c>
      <c r="I325" t="n">
        <v>9.4</v>
      </c>
      <c r="J325" t="inlineStr">
        <is>
          <t>NO</t>
        </is>
      </c>
      <c r="K325" t="inlineStr">
        <is>
          <t>2026-02-26 00:15</t>
        </is>
      </c>
      <c r="L325" t="inlineStr">
        <is>
          <t>CHECK_VENDOR</t>
        </is>
      </c>
      <c r="M325" t="inlineStr">
        <is>
          <t>spip spip *</t>
        </is>
      </c>
      <c r="N325" t="inlineStr">
        <is>
          <t>P4</t>
        </is>
      </c>
      <c r="O325" t="inlineStr">
        <is>
          <t>CVE - IP enrichment n/a</t>
        </is>
      </c>
      <c r="P325" t="n">
        <v>0</v>
      </c>
      <c r="Q325" t="n">
        <v>0</v>
      </c>
      <c r="R325" t="inlineStr">
        <is>
          <t>T1189:Drive-by Compromise</t>
        </is>
      </c>
      <c r="S325" t="n">
        <v>1</v>
      </c>
      <c r="T325" t="inlineStr">
        <is>
          <t>LOW (40%)</t>
        </is>
      </c>
      <c r="U325" t="inlineStr">
        <is>
          <t>UNLIKELY</t>
        </is>
      </c>
      <c r="V325" t="inlineStr">
        <is>
          <t>CHECK_VENDOR</t>
        </is>
      </c>
      <c r="W325" t="inlineStr">
        <is>
          <t>https://nvd.nist.gov/vuln/detail/CVE-2025-71240</t>
        </is>
      </c>
      <c r="X325" t="inlineStr">
        <is>
          <t>NONE</t>
        </is>
      </c>
      <c r="Y325" t="n">
        <v>0</v>
      </c>
      <c r="Z325" t="inlineStr"/>
      <c r="AA325" t="inlineStr">
        <is>
          <t>https://nvd.nist.gov/vuln/detail/CVE-2025-71240</t>
        </is>
      </c>
    </row>
    <row r="326">
      <c r="A326" t="inlineStr">
        <is>
          <t>CVE</t>
        </is>
      </c>
      <c r="B326" t="inlineStr">
        <is>
          <t>CVE-2025-71241</t>
        </is>
      </c>
      <c r="C326" t="inlineStr">
        <is>
          <t>SPIP before 4.3.6, 4.2.17, and 4.1.20 allows Cross-Site Scripting (XSS) in the private area. The content of the error message displayed by the 'transmettre' API is not properly sanitized, allowing an attacker to inject malicious scripts. This vulnerability is mitigated by the SPIP security screen.</t>
        </is>
      </c>
      <c r="D326" t="n">
        <v>5.4</v>
      </c>
      <c r="E326" t="inlineStr">
        <is>
          <t>MEDIUM</t>
        </is>
      </c>
      <c r="F326" t="n">
        <v>2</v>
      </c>
      <c r="G326" t="n">
        <v>2</v>
      </c>
      <c r="H326" t="inlineStr">
        <is>
          <t>MEDIUM</t>
        </is>
      </c>
      <c r="I326" t="n">
        <v>9.4</v>
      </c>
      <c r="J326" t="inlineStr">
        <is>
          <t>NO</t>
        </is>
      </c>
      <c r="K326" t="inlineStr">
        <is>
          <t>2026-02-26 00:15</t>
        </is>
      </c>
      <c r="L326" t="inlineStr">
        <is>
          <t>YES</t>
        </is>
      </c>
      <c r="M326" t="inlineStr">
        <is>
          <t>spip spip *</t>
        </is>
      </c>
      <c r="N326" t="inlineStr">
        <is>
          <t>P4</t>
        </is>
      </c>
      <c r="O326" t="inlineStr">
        <is>
          <t>CVE - IP enrichment n/a</t>
        </is>
      </c>
      <c r="P326" t="n">
        <v>0.0003</v>
      </c>
      <c r="Q326" t="n">
        <v>0.08450000000000001</v>
      </c>
      <c r="R326" t="inlineStr">
        <is>
          <t>T1189:Drive-by Compromise</t>
        </is>
      </c>
      <c r="S326" t="n">
        <v>1</v>
      </c>
      <c r="T326" t="inlineStr">
        <is>
          <t>LOW (40%)</t>
        </is>
      </c>
      <c r="U326" t="inlineStr">
        <is>
          <t>UNLIKELY</t>
        </is>
      </c>
      <c r="V326" t="inlineStr">
        <is>
          <t>PATCH_AVAILABLE</t>
        </is>
      </c>
      <c r="W326" t="inlineStr">
        <is>
          <t>https://nvd.nist.gov/vuln/detail/CVE-2025-71241</t>
        </is>
      </c>
      <c r="X326" t="inlineStr">
        <is>
          <t>NONE</t>
        </is>
      </c>
      <c r="Y326" t="n">
        <v>0</v>
      </c>
      <c r="Z326" t="inlineStr"/>
      <c r="AA326" t="inlineStr">
        <is>
          <t>https://nvd.nist.gov/vuln/detail/CVE-2025-71241</t>
        </is>
      </c>
    </row>
    <row r="327">
      <c r="A327" t="inlineStr">
        <is>
          <t>CVE</t>
        </is>
      </c>
      <c r="B327" t="inlineStr">
        <is>
          <t>CVE-2025-71242</t>
        </is>
      </c>
      <c r="C327" t="inlineStr">
        <is>
          <t>SPIP before 4.3.6, 4.2.17, and 4.1.20 allows unauthorized content disclosure in the private area. The application does not properly check authorization when displaying content of articles and sections (rubriques) in AJAX-loaded fragments, allowing an authenticated attacker to access restricted content. This vulnerability is not mitigated by the SPIP security screen.</t>
        </is>
      </c>
      <c r="D327" t="n">
        <v>4.3</v>
      </c>
      <c r="E327" t="inlineStr">
        <is>
          <t>MEDIUM</t>
        </is>
      </c>
      <c r="F327" t="n">
        <v>2</v>
      </c>
      <c r="G327" t="n">
        <v>2</v>
      </c>
      <c r="H327" t="inlineStr">
        <is>
          <t>MEDIUM</t>
        </is>
      </c>
      <c r="I327" t="n">
        <v>8.300000000000001</v>
      </c>
      <c r="J327" t="inlineStr">
        <is>
          <t>NO</t>
        </is>
      </c>
      <c r="K327" t="inlineStr">
        <is>
          <t>2026-02-26 00:15</t>
        </is>
      </c>
      <c r="L327" t="inlineStr">
        <is>
          <t>CHECK_VENDOR</t>
        </is>
      </c>
      <c r="M327" t="inlineStr">
        <is>
          <t>spip spip *</t>
        </is>
      </c>
      <c r="N327" t="inlineStr">
        <is>
          <t>P4</t>
        </is>
      </c>
      <c r="O327" t="inlineStr">
        <is>
          <t>CVE - IP enrichment n/a</t>
        </is>
      </c>
      <c r="P327" t="n">
        <v>0</v>
      </c>
      <c r="Q327" t="n">
        <v>0</v>
      </c>
      <c r="R327" t="inlineStr">
        <is>
          <t>T1190:Exploit Public-Facing Application</t>
        </is>
      </c>
      <c r="S327" t="n">
        <v>1</v>
      </c>
      <c r="T327" t="inlineStr">
        <is>
          <t>LOW (40%)</t>
        </is>
      </c>
      <c r="U327" t="inlineStr">
        <is>
          <t>UNLIKELY</t>
        </is>
      </c>
      <c r="V327" t="inlineStr">
        <is>
          <t>CHECK_VENDOR</t>
        </is>
      </c>
      <c r="W327" t="inlineStr">
        <is>
          <t>https://nvd.nist.gov/vuln/detail/CVE-2025-71242</t>
        </is>
      </c>
      <c r="X327" t="inlineStr">
        <is>
          <t>NONE</t>
        </is>
      </c>
      <c r="Y327" t="n">
        <v>0</v>
      </c>
      <c r="Z327" t="inlineStr"/>
      <c r="AA327" t="inlineStr">
        <is>
          <t>https://nvd.nist.gov/vuln/detail/CVE-2025-71242</t>
        </is>
      </c>
    </row>
    <row r="328">
      <c r="A328" t="inlineStr">
        <is>
          <t>CVE</t>
        </is>
      </c>
      <c r="B328" t="inlineStr">
        <is>
          <t>CVE-2025-71243</t>
        </is>
      </c>
      <c r="C328" t="inlineStr">
        <is>
          <t>The 'Saisies pour formulaire' (Saisies) plugin for SPIP versions 5.4.0 through 5.11.0 contains a critical Remote Code Execution (RCE) vulnerability. An attacker can exploit this vulnerability to execute arbitrary code on the server. Users should immediately update to version 5.11.1 or later.</t>
        </is>
      </c>
      <c r="D328" t="n">
        <v>9.800000000000001</v>
      </c>
      <c r="E328" t="inlineStr">
        <is>
          <t>CRITICAL</t>
        </is>
      </c>
      <c r="F328" t="n">
        <v>2</v>
      </c>
      <c r="G328" t="n">
        <v>3</v>
      </c>
      <c r="H328" t="inlineStr">
        <is>
          <t>HIGH</t>
        </is>
      </c>
      <c r="I328" t="n">
        <v>15.8</v>
      </c>
      <c r="J328" t="inlineStr">
        <is>
          <t>NO</t>
        </is>
      </c>
      <c r="K328" t="inlineStr">
        <is>
          <t>2026-02-26 00:15</t>
        </is>
      </c>
      <c r="L328" t="inlineStr">
        <is>
          <t>CHECK_VENDOR</t>
        </is>
      </c>
      <c r="M328" t="inlineStr">
        <is>
          <t>See CVE details</t>
        </is>
      </c>
      <c r="N328" t="inlineStr">
        <is>
          <t>P3</t>
        </is>
      </c>
      <c r="O328" t="inlineStr">
        <is>
          <t>CVE - IP enrichment n/a</t>
        </is>
      </c>
      <c r="P328" t="n">
        <v>0.0011</v>
      </c>
      <c r="Q328" t="n">
        <v>0.2964</v>
      </c>
      <c r="R328" t="inlineStr">
        <is>
          <t>T1059:Command and Scripting Interpreter | T1190:Exploit Public-Facing Application | T1210:Exploitation of Remote Services</t>
        </is>
      </c>
      <c r="S328" t="n">
        <v>1</v>
      </c>
      <c r="T328" t="inlineStr">
        <is>
          <t>LOW (40%)</t>
        </is>
      </c>
      <c r="U328" t="inlineStr">
        <is>
          <t>UNLIKELY</t>
        </is>
      </c>
      <c r="V328" t="inlineStr">
        <is>
          <t>CHECK_VENDOR</t>
        </is>
      </c>
      <c r="W328" t="inlineStr">
        <is>
          <t>https://nvd.nist.gov/vuln/detail/CVE-2025-71243</t>
        </is>
      </c>
      <c r="X328" t="inlineStr">
        <is>
          <t>NONE</t>
        </is>
      </c>
      <c r="Y328" t="n">
        <v>0</v>
      </c>
      <c r="Z328" t="inlineStr"/>
      <c r="AA328" t="inlineStr">
        <is>
          <t>https://nvd.nist.gov/vuln/detail/CVE-2025-71243</t>
        </is>
      </c>
    </row>
    <row r="329">
      <c r="A329" t="inlineStr">
        <is>
          <t>CVE</t>
        </is>
      </c>
      <c r="B329" t="inlineStr">
        <is>
          <t>CVE-2025-71244</t>
        </is>
      </c>
      <c r="C329" t="inlineStr">
        <is>
          <t>SPIP before 4.4.5 and 4.3.9 allows an Open Redirect via the login form when used in AJAX mode. An attacker can craft a malicious URL that, when visited by a victim, redirects them to an arbitrary external site after login. This vulnerability only affects sites where the login page has been overridden to function in AJAX mode. It is not mitigated by the SPIP security screen.</t>
        </is>
      </c>
      <c r="D329" t="n">
        <v>6.1</v>
      </c>
      <c r="E329" t="inlineStr">
        <is>
          <t>MEDIUM</t>
        </is>
      </c>
      <c r="F329" t="n">
        <v>2</v>
      </c>
      <c r="G329" t="n">
        <v>2</v>
      </c>
      <c r="H329" t="inlineStr">
        <is>
          <t>MEDIUM</t>
        </is>
      </c>
      <c r="I329" t="n">
        <v>10.1</v>
      </c>
      <c r="J329" t="inlineStr">
        <is>
          <t>NO</t>
        </is>
      </c>
      <c r="K329" t="inlineStr">
        <is>
          <t>2026-02-26 00:15</t>
        </is>
      </c>
      <c r="L329" t="inlineStr">
        <is>
          <t>CHECK_VENDOR</t>
        </is>
      </c>
      <c r="M329" t="inlineStr">
        <is>
          <t>spip spip *</t>
        </is>
      </c>
      <c r="N329" t="inlineStr">
        <is>
          <t>P4</t>
        </is>
      </c>
      <c r="O329" t="inlineStr">
        <is>
          <t>CVE - IP enrichment n/a</t>
        </is>
      </c>
      <c r="P329" t="n">
        <v>0</v>
      </c>
      <c r="Q329" t="n">
        <v>0</v>
      </c>
      <c r="R329" t="inlineStr">
        <is>
          <t>T1189:Drive-by Compromise</t>
        </is>
      </c>
      <c r="S329" t="n">
        <v>1</v>
      </c>
      <c r="T329" t="inlineStr">
        <is>
          <t>LOW (40%)</t>
        </is>
      </c>
      <c r="U329" t="inlineStr">
        <is>
          <t>UNLIKELY</t>
        </is>
      </c>
      <c r="V329" t="inlineStr">
        <is>
          <t>CHECK_VENDOR</t>
        </is>
      </c>
      <c r="W329" t="inlineStr">
        <is>
          <t>https://nvd.nist.gov/vuln/detail/CVE-2025-71244</t>
        </is>
      </c>
      <c r="X329" t="inlineStr">
        <is>
          <t>NONE</t>
        </is>
      </c>
      <c r="Y329" t="n">
        <v>0</v>
      </c>
      <c r="Z329" t="inlineStr"/>
      <c r="AA329" t="inlineStr">
        <is>
          <t>https://nvd.nist.gov/vuln/detail/CVE-2025-71244</t>
        </is>
      </c>
    </row>
    <row r="330">
      <c r="A330" t="inlineStr">
        <is>
          <t>CVE</t>
        </is>
      </c>
      <c r="B330" t="inlineStr">
        <is>
          <t>CVE-2025-71245</t>
        </is>
      </c>
      <c r="C330" t="inlineStr">
        <is>
          <t>Rejected reason: This CVE ID has been rejected or withdrawn by its CVE Numbering Authority.</t>
        </is>
      </c>
      <c r="D330" t="n">
        <v>5</v>
      </c>
      <c r="E330" t="inlineStr">
        <is>
          <t>MEDIUM</t>
        </is>
      </c>
      <c r="F330" t="n">
        <v>2</v>
      </c>
      <c r="G330" t="n">
        <v>2</v>
      </c>
      <c r="H330" t="inlineStr">
        <is>
          <t>MEDIUM</t>
        </is>
      </c>
      <c r="I330" t="n">
        <v>9</v>
      </c>
      <c r="J330" t="inlineStr">
        <is>
          <t>NO</t>
        </is>
      </c>
      <c r="K330" t="inlineStr">
        <is>
          <t>2026-02-26 00:15</t>
        </is>
      </c>
      <c r="L330" t="inlineStr">
        <is>
          <t>CHECK_VENDOR</t>
        </is>
      </c>
      <c r="M330" t="inlineStr">
        <is>
          <t>See CVE details</t>
        </is>
      </c>
      <c r="N330" t="inlineStr">
        <is>
          <t>P4</t>
        </is>
      </c>
      <c r="O330" t="inlineStr">
        <is>
          <t>CVE - IP enrichment n/a</t>
        </is>
      </c>
      <c r="P330" t="n">
        <v>0</v>
      </c>
      <c r="Q330" t="n">
        <v>0</v>
      </c>
      <c r="R330" t="inlineStr">
        <is>
          <t>T1190:Exploit Public-Facing Application</t>
        </is>
      </c>
      <c r="S330" t="n">
        <v>1</v>
      </c>
      <c r="T330" t="inlineStr">
        <is>
          <t>LOW (40%)</t>
        </is>
      </c>
      <c r="U330" t="inlineStr">
        <is>
          <t>UNLIKELY</t>
        </is>
      </c>
      <c r="V330" t="inlineStr">
        <is>
          <t>CHECK_VENDOR</t>
        </is>
      </c>
      <c r="W330" t="inlineStr">
        <is>
          <t>https://nvd.nist.gov/vuln/detail/CVE-2025-71245</t>
        </is>
      </c>
      <c r="X330" t="inlineStr">
        <is>
          <t>NONE</t>
        </is>
      </c>
      <c r="Y330" t="n">
        <v>0</v>
      </c>
      <c r="Z330" t="inlineStr"/>
      <c r="AA330" t="inlineStr">
        <is>
          <t>https://nvd.nist.gov/vuln/detail/CVE-2025-71245</t>
        </is>
      </c>
    </row>
    <row r="331">
      <c r="A331" t="inlineStr">
        <is>
          <t>CVE</t>
        </is>
      </c>
      <c r="B331" t="inlineStr">
        <is>
          <t>CVE-2025-71246</t>
        </is>
      </c>
      <c r="C331" t="inlineStr">
        <is>
          <t>Rejected reason: This CVE ID has been rejected or withdrawn by its CVE Numbering Authority.</t>
        </is>
      </c>
      <c r="D331" t="n">
        <v>5</v>
      </c>
      <c r="E331" t="inlineStr">
        <is>
          <t>MEDIUM</t>
        </is>
      </c>
      <c r="F331" t="n">
        <v>2</v>
      </c>
      <c r="G331" t="n">
        <v>2</v>
      </c>
      <c r="H331" t="inlineStr">
        <is>
          <t>MEDIUM</t>
        </is>
      </c>
      <c r="I331" t="n">
        <v>9</v>
      </c>
      <c r="J331" t="inlineStr">
        <is>
          <t>NO</t>
        </is>
      </c>
      <c r="K331" t="inlineStr">
        <is>
          <t>2026-02-26 00:15</t>
        </is>
      </c>
      <c r="L331" t="inlineStr">
        <is>
          <t>CHECK_VENDOR</t>
        </is>
      </c>
      <c r="M331" t="inlineStr">
        <is>
          <t>See CVE details</t>
        </is>
      </c>
      <c r="N331" t="inlineStr">
        <is>
          <t>P4</t>
        </is>
      </c>
      <c r="O331" t="inlineStr">
        <is>
          <t>CVE - IP enrichment n/a</t>
        </is>
      </c>
      <c r="P331" t="n">
        <v>0</v>
      </c>
      <c r="Q331" t="n">
        <v>0</v>
      </c>
      <c r="R331" t="inlineStr">
        <is>
          <t>T1190:Exploit Public-Facing Application</t>
        </is>
      </c>
      <c r="S331" t="n">
        <v>1</v>
      </c>
      <c r="T331" t="inlineStr">
        <is>
          <t>LOW (40%)</t>
        </is>
      </c>
      <c r="U331" t="inlineStr">
        <is>
          <t>UNLIKELY</t>
        </is>
      </c>
      <c r="V331" t="inlineStr">
        <is>
          <t>CHECK_VENDOR</t>
        </is>
      </c>
      <c r="W331" t="inlineStr">
        <is>
          <t>https://nvd.nist.gov/vuln/detail/CVE-2025-71246</t>
        </is>
      </c>
      <c r="X331" t="inlineStr">
        <is>
          <t>NONE</t>
        </is>
      </c>
      <c r="Y331" t="n">
        <v>0</v>
      </c>
      <c r="Z331" t="inlineStr"/>
      <c r="AA331" t="inlineStr">
        <is>
          <t>https://nvd.nist.gov/vuln/detail/CVE-2025-71246</t>
        </is>
      </c>
    </row>
    <row r="332">
      <c r="A332" t="inlineStr">
        <is>
          <t>CVE</t>
        </is>
      </c>
      <c r="B332" t="inlineStr">
        <is>
          <t>CVE-2025-71247</t>
        </is>
      </c>
      <c r="C332" t="inlineStr">
        <is>
          <t>Rejected reason: This CVE ID has been rejected or withdrawn by its CVE Numbering Authority.</t>
        </is>
      </c>
      <c r="D332" t="n">
        <v>5</v>
      </c>
      <c r="E332" t="inlineStr">
        <is>
          <t>MEDIUM</t>
        </is>
      </c>
      <c r="F332" t="n">
        <v>2</v>
      </c>
      <c r="G332" t="n">
        <v>2</v>
      </c>
      <c r="H332" t="inlineStr">
        <is>
          <t>MEDIUM</t>
        </is>
      </c>
      <c r="I332" t="n">
        <v>9</v>
      </c>
      <c r="J332" t="inlineStr">
        <is>
          <t>NO</t>
        </is>
      </c>
      <c r="K332" t="inlineStr">
        <is>
          <t>2026-02-26 00:15</t>
        </is>
      </c>
      <c r="L332" t="inlineStr">
        <is>
          <t>CHECK_VENDOR</t>
        </is>
      </c>
      <c r="M332" t="inlineStr">
        <is>
          <t>See CVE details</t>
        </is>
      </c>
      <c r="N332" t="inlineStr">
        <is>
          <t>P4</t>
        </is>
      </c>
      <c r="O332" t="inlineStr">
        <is>
          <t>CVE - IP enrichment n/a</t>
        </is>
      </c>
      <c r="P332" t="n">
        <v>0</v>
      </c>
      <c r="Q332" t="n">
        <v>0</v>
      </c>
      <c r="R332" t="inlineStr">
        <is>
          <t>T1190:Exploit Public-Facing Application</t>
        </is>
      </c>
      <c r="S332" t="n">
        <v>1</v>
      </c>
      <c r="T332" t="inlineStr">
        <is>
          <t>LOW (40%)</t>
        </is>
      </c>
      <c r="U332" t="inlineStr">
        <is>
          <t>UNLIKELY</t>
        </is>
      </c>
      <c r="V332" t="inlineStr">
        <is>
          <t>CHECK_VENDOR</t>
        </is>
      </c>
      <c r="W332" t="inlineStr">
        <is>
          <t>https://nvd.nist.gov/vuln/detail/CVE-2025-71247</t>
        </is>
      </c>
      <c r="X332" t="inlineStr">
        <is>
          <t>NONE</t>
        </is>
      </c>
      <c r="Y332" t="n">
        <v>0</v>
      </c>
      <c r="Z332" t="inlineStr"/>
      <c r="AA332" t="inlineStr">
        <is>
          <t>https://nvd.nist.gov/vuln/detail/CVE-2025-71247</t>
        </is>
      </c>
    </row>
    <row r="333">
      <c r="A333" t="inlineStr">
        <is>
          <t>CVE</t>
        </is>
      </c>
      <c r="B333" t="inlineStr">
        <is>
          <t>CVE-2025-71248</t>
        </is>
      </c>
      <c r="C333" t="inlineStr">
        <is>
          <t>Rejected reason: This CVE ID has been rejected or withdrawn by its CVE Numbering Authority.</t>
        </is>
      </c>
      <c r="D333" t="n">
        <v>5</v>
      </c>
      <c r="E333" t="inlineStr">
        <is>
          <t>MEDIUM</t>
        </is>
      </c>
      <c r="F333" t="n">
        <v>2</v>
      </c>
      <c r="G333" t="n">
        <v>2</v>
      </c>
      <c r="H333" t="inlineStr">
        <is>
          <t>MEDIUM</t>
        </is>
      </c>
      <c r="I333" t="n">
        <v>9</v>
      </c>
      <c r="J333" t="inlineStr">
        <is>
          <t>NO</t>
        </is>
      </c>
      <c r="K333" t="inlineStr">
        <is>
          <t>2026-02-26 00:15</t>
        </is>
      </c>
      <c r="L333" t="inlineStr">
        <is>
          <t>CHECK_VENDOR</t>
        </is>
      </c>
      <c r="M333" t="inlineStr">
        <is>
          <t>See CVE details</t>
        </is>
      </c>
      <c r="N333" t="inlineStr">
        <is>
          <t>P4</t>
        </is>
      </c>
      <c r="O333" t="inlineStr">
        <is>
          <t>CVE - IP enrichment n/a</t>
        </is>
      </c>
      <c r="P333" t="n">
        <v>0</v>
      </c>
      <c r="Q333" t="n">
        <v>0</v>
      </c>
      <c r="R333" t="inlineStr">
        <is>
          <t>T1190:Exploit Public-Facing Application</t>
        </is>
      </c>
      <c r="S333" t="n">
        <v>1</v>
      </c>
      <c r="T333" t="inlineStr">
        <is>
          <t>LOW (40%)</t>
        </is>
      </c>
      <c r="U333" t="inlineStr">
        <is>
          <t>UNLIKELY</t>
        </is>
      </c>
      <c r="V333" t="inlineStr">
        <is>
          <t>CHECK_VENDOR</t>
        </is>
      </c>
      <c r="W333" t="inlineStr">
        <is>
          <t>https://nvd.nist.gov/vuln/detail/CVE-2025-71248</t>
        </is>
      </c>
      <c r="X333" t="inlineStr">
        <is>
          <t>NONE</t>
        </is>
      </c>
      <c r="Y333" t="n">
        <v>0</v>
      </c>
      <c r="Z333" t="inlineStr"/>
      <c r="AA333" t="inlineStr">
        <is>
          <t>https://nvd.nist.gov/vuln/detail/CVE-2025-71248</t>
        </is>
      </c>
    </row>
    <row r="334">
      <c r="A334" t="inlineStr">
        <is>
          <t>CVE</t>
        </is>
      </c>
      <c r="B334" t="inlineStr">
        <is>
          <t>CVE-2025-71249</t>
        </is>
      </c>
      <c r="C334" t="inlineStr">
        <is>
          <t>Rejected reason: This CVE ID has been rejected or withdrawn by its CVE Numbering Authority.</t>
        </is>
      </c>
      <c r="D334" t="n">
        <v>5</v>
      </c>
      <c r="E334" t="inlineStr">
        <is>
          <t>MEDIUM</t>
        </is>
      </c>
      <c r="F334" t="n">
        <v>2</v>
      </c>
      <c r="G334" t="n">
        <v>2</v>
      </c>
      <c r="H334" t="inlineStr">
        <is>
          <t>MEDIUM</t>
        </is>
      </c>
      <c r="I334" t="n">
        <v>9</v>
      </c>
      <c r="J334" t="inlineStr">
        <is>
          <t>NO</t>
        </is>
      </c>
      <c r="K334" t="inlineStr">
        <is>
          <t>2026-02-26 00:15</t>
        </is>
      </c>
      <c r="L334" t="inlineStr">
        <is>
          <t>CHECK_VENDOR</t>
        </is>
      </c>
      <c r="M334" t="inlineStr">
        <is>
          <t>See CVE details</t>
        </is>
      </c>
      <c r="N334" t="inlineStr">
        <is>
          <t>P4</t>
        </is>
      </c>
      <c r="O334" t="inlineStr">
        <is>
          <t>CVE - IP enrichment n/a</t>
        </is>
      </c>
      <c r="P334" t="n">
        <v>0</v>
      </c>
      <c r="Q334" t="n">
        <v>0</v>
      </c>
      <c r="R334" t="inlineStr">
        <is>
          <t>T1190:Exploit Public-Facing Application</t>
        </is>
      </c>
      <c r="S334" t="n">
        <v>1</v>
      </c>
      <c r="T334" t="inlineStr">
        <is>
          <t>LOW (40%)</t>
        </is>
      </c>
      <c r="U334" t="inlineStr">
        <is>
          <t>UNLIKELY</t>
        </is>
      </c>
      <c r="V334" t="inlineStr">
        <is>
          <t>CHECK_VENDOR</t>
        </is>
      </c>
      <c r="W334" t="inlineStr">
        <is>
          <t>https://nvd.nist.gov/vuln/detail/CVE-2025-71249</t>
        </is>
      </c>
      <c r="X334" t="inlineStr">
        <is>
          <t>NONE</t>
        </is>
      </c>
      <c r="Y334" t="n">
        <v>0</v>
      </c>
      <c r="Z334" t="inlineStr"/>
      <c r="AA334" t="inlineStr">
        <is>
          <t>https://nvd.nist.gov/vuln/detail/CVE-2025-71249</t>
        </is>
      </c>
    </row>
    <row r="335">
      <c r="A335" t="inlineStr">
        <is>
          <t>CVE</t>
        </is>
      </c>
      <c r="B335" t="inlineStr">
        <is>
          <t>CVE-2025-71250</t>
        </is>
      </c>
      <c r="C335" t="inlineStr">
        <is>
          <t>Rejected reason: This CVE ID has been rejected or withdrawn by its CVE Numbering Authority.</t>
        </is>
      </c>
      <c r="D335" t="n">
        <v>5</v>
      </c>
      <c r="E335" t="inlineStr">
        <is>
          <t>MEDIUM</t>
        </is>
      </c>
      <c r="F335" t="n">
        <v>2</v>
      </c>
      <c r="G335" t="n">
        <v>2</v>
      </c>
      <c r="H335" t="inlineStr">
        <is>
          <t>MEDIUM</t>
        </is>
      </c>
      <c r="I335" t="n">
        <v>9</v>
      </c>
      <c r="J335" t="inlineStr">
        <is>
          <t>NO</t>
        </is>
      </c>
      <c r="K335" t="inlineStr">
        <is>
          <t>2026-02-26 00:15</t>
        </is>
      </c>
      <c r="L335" t="inlineStr">
        <is>
          <t>CHECK_VENDOR</t>
        </is>
      </c>
      <c r="M335" t="inlineStr">
        <is>
          <t>See CVE details</t>
        </is>
      </c>
      <c r="N335" t="inlineStr">
        <is>
          <t>P4</t>
        </is>
      </c>
      <c r="O335" t="inlineStr">
        <is>
          <t>CVE - IP enrichment n/a</t>
        </is>
      </c>
      <c r="P335" t="n">
        <v>0</v>
      </c>
      <c r="Q335" t="n">
        <v>0</v>
      </c>
      <c r="R335" t="inlineStr">
        <is>
          <t>T1190:Exploit Public-Facing Application</t>
        </is>
      </c>
      <c r="S335" t="n">
        <v>1</v>
      </c>
      <c r="T335" t="inlineStr">
        <is>
          <t>LOW (40%)</t>
        </is>
      </c>
      <c r="U335" t="inlineStr">
        <is>
          <t>UNLIKELY</t>
        </is>
      </c>
      <c r="V335" t="inlineStr">
        <is>
          <t>CHECK_VENDOR</t>
        </is>
      </c>
      <c r="W335" t="inlineStr">
        <is>
          <t>https://nvd.nist.gov/vuln/detail/CVE-2025-71250</t>
        </is>
      </c>
      <c r="X335" t="inlineStr">
        <is>
          <t>NONE</t>
        </is>
      </c>
      <c r="Y335" t="n">
        <v>0</v>
      </c>
      <c r="Z335" t="inlineStr"/>
      <c r="AA335" t="inlineStr">
        <is>
          <t>https://nvd.nist.gov/vuln/detail/CVE-2025-71250</t>
        </is>
      </c>
    </row>
    <row r="336">
      <c r="A336" t="inlineStr">
        <is>
          <t>CVE</t>
        </is>
      </c>
      <c r="B336" t="inlineStr">
        <is>
          <t>CVE-2026-25738</t>
        </is>
      </c>
      <c r="C336" t="inlineStr">
        <is>
          <t>Indico is an event management system that uses Flask-Multipass, a multi-backend authentication system for Flask. Versions prior to 3.3.10 are vulnerable to server-side request forgery. Indico makes outgoing requests to user-provides URLs in various places. This is mostly intentional and part of Indico's functionality but is never intended to let users access "special" targets such as localhost or cloud metadata endpoints. Users should upgrade to version 3.3.10 to receive a patch. Those who do no</t>
        </is>
      </c>
      <c r="D336" t="n">
        <v>8.5</v>
      </c>
      <c r="E336" t="inlineStr">
        <is>
          <t>HIGH</t>
        </is>
      </c>
      <c r="F336" t="n">
        <v>2</v>
      </c>
      <c r="G336" t="n">
        <v>3</v>
      </c>
      <c r="H336" t="inlineStr">
        <is>
          <t>HIGH</t>
        </is>
      </c>
      <c r="I336" t="n">
        <v>14.5</v>
      </c>
      <c r="J336" t="inlineStr">
        <is>
          <t>NO</t>
        </is>
      </c>
      <c r="K336" t="inlineStr">
        <is>
          <t>2026-02-26 00:15</t>
        </is>
      </c>
      <c r="L336" t="inlineStr">
        <is>
          <t>CHECK_VENDOR</t>
        </is>
      </c>
      <c r="M336" t="inlineStr">
        <is>
          <t>See CVE details</t>
        </is>
      </c>
      <c r="N336" t="inlineStr">
        <is>
          <t>P1</t>
        </is>
      </c>
      <c r="O336" t="inlineStr">
        <is>
          <t>CVE - IP enrichment n/a</t>
        </is>
      </c>
      <c r="P336" t="n">
        <v>0</v>
      </c>
      <c r="Q336" t="n">
        <v>0</v>
      </c>
      <c r="R336" t="inlineStr">
        <is>
          <t>T1190:Exploit Public-Facing Application | T1090:Proxy</t>
        </is>
      </c>
      <c r="S336" t="n">
        <v>2</v>
      </c>
      <c r="T336" t="inlineStr">
        <is>
          <t>HIGH (72%)</t>
        </is>
      </c>
      <c r="U336" t="inlineStr">
        <is>
          <t>HIGH</t>
        </is>
      </c>
      <c r="V336" t="inlineStr">
        <is>
          <t>CHECK_VENDOR</t>
        </is>
      </c>
      <c r="W336" t="inlineStr">
        <is>
          <t>https://nvd.nist.gov/vuln/detail/CVE-2026-25738</t>
        </is>
      </c>
      <c r="X336" t="inlineStr">
        <is>
          <t>http://www.zerodayinitiative.com/advisories/ZDI-26-123/</t>
        </is>
      </c>
      <c r="Y336" t="n">
        <v>0</v>
      </c>
      <c r="Z336" t="inlineStr"/>
      <c r="AA336" t="inlineStr">
        <is>
          <t>https://nvd.nist.gov/vuln/detail/CVE-2026-25738</t>
        </is>
      </c>
    </row>
    <row r="337">
      <c r="A337" t="inlineStr">
        <is>
          <t>CVE</t>
        </is>
      </c>
      <c r="B337" t="inlineStr">
        <is>
          <t>CVE-2026-25739</t>
        </is>
      </c>
      <c r="C337" t="inlineStr">
        <is>
          <t>Indico is an event management system that uses Flask-Multipass, a multi-backend authentication system for Flask. Versions prior to 3.3.10 are vulnerable to cross-site scripting when uploading certain file types as materials. Users should upgrade to version 3.3.10 to receive a patch. To apply the fix itself updating is sufficient, but to benefit from the strict Content Security Policy (CSP) Indico now applies by default for file downloads, update the webserver config in case one uses nginx with I</t>
        </is>
      </c>
      <c r="D337" t="n">
        <v>5.4</v>
      </c>
      <c r="E337" t="inlineStr">
        <is>
          <t>MEDIUM</t>
        </is>
      </c>
      <c r="F337" t="n">
        <v>2</v>
      </c>
      <c r="G337" t="n">
        <v>2</v>
      </c>
      <c r="H337" t="inlineStr">
        <is>
          <t>MEDIUM</t>
        </is>
      </c>
      <c r="I337" t="n">
        <v>9.4</v>
      </c>
      <c r="J337" t="inlineStr">
        <is>
          <t>NO</t>
        </is>
      </c>
      <c r="K337" t="inlineStr">
        <is>
          <t>2026-02-26 00:15</t>
        </is>
      </c>
      <c r="L337" t="inlineStr">
        <is>
          <t>CHECK_VENDOR</t>
        </is>
      </c>
      <c r="M337" t="inlineStr">
        <is>
          <t>See CVE details</t>
        </is>
      </c>
      <c r="N337" t="inlineStr">
        <is>
          <t>P1</t>
        </is>
      </c>
      <c r="O337" t="inlineStr">
        <is>
          <t>CVE - IP enrichment n/a</t>
        </is>
      </c>
      <c r="P337" t="n">
        <v>0</v>
      </c>
      <c r="Q337" t="n">
        <v>0</v>
      </c>
      <c r="R337" t="inlineStr">
        <is>
          <t>T1189:Drive-by Compromise</t>
        </is>
      </c>
      <c r="S337" t="n">
        <v>2</v>
      </c>
      <c r="T337" t="inlineStr">
        <is>
          <t>HIGH (72%)</t>
        </is>
      </c>
      <c r="U337" t="inlineStr">
        <is>
          <t>HIGH</t>
        </is>
      </c>
      <c r="V337" t="inlineStr">
        <is>
          <t>CHECK_VENDOR</t>
        </is>
      </c>
      <c r="W337" t="inlineStr">
        <is>
          <t>https://nvd.nist.gov/vuln/detail/CVE-2026-25739</t>
        </is>
      </c>
      <c r="X337" t="inlineStr">
        <is>
          <t>http://www.zerodayinitiative.com/advisories/ZDI-26-123/</t>
        </is>
      </c>
      <c r="Y337" t="n">
        <v>0</v>
      </c>
      <c r="Z337" t="inlineStr"/>
      <c r="AA337" t="inlineStr">
        <is>
          <t>https://nvd.nist.gov/vuln/detail/CVE-2026-25739</t>
        </is>
      </c>
    </row>
    <row r="338">
      <c r="A338" t="inlineStr">
        <is>
          <t>CVE</t>
        </is>
      </c>
      <c r="B338" t="inlineStr">
        <is>
          <t>CVE-2026-25766</t>
        </is>
      </c>
      <c r="C338" t="inlineStr">
        <is>
          <t>Echo is a Go web framework. In versions 5.0.0 through 5.0.2 on Windows, Echo’s `middleware.Static` using the default filesystem allows path traversal via backslashes, enabling unauthenticated remote file read outside the static root. In `middleware/static.go`, the requested path is unescaped and normalized with `path.Clean` (URL semantics). `path.Clean` does not treat `\` as a path separator, so `..\` sequences remain in the cleaned path. The resulting path is then passed to `currentFS.Open(...)</t>
        </is>
      </c>
      <c r="D338" t="n">
        <v>5.3</v>
      </c>
      <c r="E338" t="inlineStr">
        <is>
          <t>MEDIUM</t>
        </is>
      </c>
      <c r="F338" t="n">
        <v>2</v>
      </c>
      <c r="G338" t="n">
        <v>2</v>
      </c>
      <c r="H338" t="inlineStr">
        <is>
          <t>MEDIUM</t>
        </is>
      </c>
      <c r="I338" t="n">
        <v>9.300000000000001</v>
      </c>
      <c r="J338" t="inlineStr">
        <is>
          <t>NO</t>
        </is>
      </c>
      <c r="K338" t="inlineStr">
        <is>
          <t>2026-02-26 00:15</t>
        </is>
      </c>
      <c r="L338" t="inlineStr">
        <is>
          <t>YES</t>
        </is>
      </c>
      <c r="M338" t="inlineStr">
        <is>
          <t>microsoft windows - | labstack echo *</t>
        </is>
      </c>
      <c r="N338" t="inlineStr">
        <is>
          <t>P4</t>
        </is>
      </c>
      <c r="O338" t="inlineStr">
        <is>
          <t>CVE - IP enrichment n/a</t>
        </is>
      </c>
      <c r="P338" t="n">
        <v>0</v>
      </c>
      <c r="Q338" t="n">
        <v>0</v>
      </c>
      <c r="R338" t="inlineStr">
        <is>
          <t>T1083:File and Directory Discovery</t>
        </is>
      </c>
      <c r="S338" t="n">
        <v>1</v>
      </c>
      <c r="T338" t="inlineStr">
        <is>
          <t>LOW (40%)</t>
        </is>
      </c>
      <c r="U338" t="inlineStr">
        <is>
          <t>UNLIKELY</t>
        </is>
      </c>
      <c r="V338" t="inlineStr">
        <is>
          <t>PATCH_AVAILABLE</t>
        </is>
      </c>
      <c r="W338" t="inlineStr">
        <is>
          <t>https://nvd.nist.gov/vuln/detail/CVE-2026-25766</t>
        </is>
      </c>
      <c r="X338" t="inlineStr">
        <is>
          <t>NONE</t>
        </is>
      </c>
      <c r="Y338" t="n">
        <v>0</v>
      </c>
      <c r="Z338" t="inlineStr"/>
      <c r="AA338" t="inlineStr">
        <is>
          <t>https://nvd.nist.gov/vuln/detail/CVE-2026-25766</t>
        </is>
      </c>
    </row>
    <row r="339">
      <c r="A339" t="inlineStr">
        <is>
          <t>CVE</t>
        </is>
      </c>
      <c r="B339" t="inlineStr">
        <is>
          <t>CVE-2026-25940</t>
        </is>
      </c>
      <c r="C339" t="inlineStr">
        <is>
          <t>jsPDF is a library to generate PDFs in JavaScript. Prior to 4.2.0, user control of properties and methods of the Acroform module allows users to inject arbitrary PDF objects, such as JavaScript actions. If given the possibility to pass unsanitized input to one of the following property, a user can inject arbitrary PDF objects, such as JavaScript actions, which are executed when the victim hovers over the radio option. The vulnerability has been fixed in jsPDF@4.2.0. As a workaround, sanitize use</t>
        </is>
      </c>
      <c r="D339" t="n">
        <v>8.1</v>
      </c>
      <c r="E339" t="inlineStr">
        <is>
          <t>HIGH</t>
        </is>
      </c>
      <c r="F339" t="n">
        <v>2</v>
      </c>
      <c r="G339" t="n">
        <v>3</v>
      </c>
      <c r="H339" t="inlineStr">
        <is>
          <t>HIGH</t>
        </is>
      </c>
      <c r="I339" t="n">
        <v>14.1</v>
      </c>
      <c r="J339" t="inlineStr">
        <is>
          <t>NO</t>
        </is>
      </c>
      <c r="K339" t="inlineStr">
        <is>
          <t>2026-02-26 00:15</t>
        </is>
      </c>
      <c r="L339" t="inlineStr">
        <is>
          <t>YES</t>
        </is>
      </c>
      <c r="M339" t="inlineStr">
        <is>
          <t>parall jspdf *</t>
        </is>
      </c>
      <c r="N339" t="inlineStr">
        <is>
          <t>P3</t>
        </is>
      </c>
      <c r="O339" t="inlineStr">
        <is>
          <t>CVE - IP enrichment n/a</t>
        </is>
      </c>
      <c r="P339" t="n">
        <v>0</v>
      </c>
      <c r="Q339" t="n">
        <v>0</v>
      </c>
      <c r="R339" t="inlineStr">
        <is>
          <t>T1190:Exploit Public-Facing Application</t>
        </is>
      </c>
      <c r="S339" t="n">
        <v>1</v>
      </c>
      <c r="T339" t="inlineStr">
        <is>
          <t>LOW (40%)</t>
        </is>
      </c>
      <c r="U339" t="inlineStr">
        <is>
          <t>UNLIKELY</t>
        </is>
      </c>
      <c r="V339" t="inlineStr">
        <is>
          <t>PATCH_AVAILABLE</t>
        </is>
      </c>
      <c r="W339" t="inlineStr">
        <is>
          <t>https://nvd.nist.gov/vuln/detail/CVE-2026-25940</t>
        </is>
      </c>
      <c r="X339" t="inlineStr">
        <is>
          <t>NONE</t>
        </is>
      </c>
      <c r="Y339" t="n">
        <v>0</v>
      </c>
      <c r="Z339" t="inlineStr"/>
      <c r="AA339" t="inlineStr">
        <is>
          <t>https://nvd.nist.gov/vuln/detail/CVE-2026-25940</t>
        </is>
      </c>
    </row>
    <row r="340">
      <c r="A340" t="inlineStr">
        <is>
          <t>CVE</t>
        </is>
      </c>
      <c r="B340" t="inlineStr">
        <is>
          <t>CVE-2026-26223</t>
        </is>
      </c>
      <c r="C340" t="inlineStr">
        <is>
          <t>SPIP before 4.4.8 allows cross-site scripting (XSS) in the private area via malicious iframe tags. The application does not properly sandbox or escape iframe content in the back-office, allowing an attacker to inject and execute malicious scripts. The fix adds a sandbox attribute to iframe tags in the private area. This vulnerability is not mitigated by the SPIP security screen.</t>
        </is>
      </c>
      <c r="D340" t="n">
        <v>5.4</v>
      </c>
      <c r="E340" t="inlineStr">
        <is>
          <t>MEDIUM</t>
        </is>
      </c>
      <c r="F340" t="n">
        <v>2</v>
      </c>
      <c r="G340" t="n">
        <v>2</v>
      </c>
      <c r="H340" t="inlineStr">
        <is>
          <t>MEDIUM</t>
        </is>
      </c>
      <c r="I340" t="n">
        <v>9.4</v>
      </c>
      <c r="J340" t="inlineStr">
        <is>
          <t>NO</t>
        </is>
      </c>
      <c r="K340" t="inlineStr">
        <is>
          <t>2026-02-26 00:15</t>
        </is>
      </c>
      <c r="L340" t="inlineStr">
        <is>
          <t>YES</t>
        </is>
      </c>
      <c r="M340" t="inlineStr">
        <is>
          <t>spip spip *</t>
        </is>
      </c>
      <c r="N340" t="inlineStr">
        <is>
          <t>P4</t>
        </is>
      </c>
      <c r="O340" t="inlineStr">
        <is>
          <t>CVE - IP enrichment n/a</t>
        </is>
      </c>
      <c r="P340" t="n">
        <v>0</v>
      </c>
      <c r="Q340" t="n">
        <v>0</v>
      </c>
      <c r="R340" t="inlineStr">
        <is>
          <t>T1189:Drive-by Compromise</t>
        </is>
      </c>
      <c r="S340" t="n">
        <v>1</v>
      </c>
      <c r="T340" t="inlineStr">
        <is>
          <t>LOW (40%)</t>
        </is>
      </c>
      <c r="U340" t="inlineStr">
        <is>
          <t>UNLIKELY</t>
        </is>
      </c>
      <c r="V340" t="inlineStr">
        <is>
          <t>PATCH_AVAILABLE</t>
        </is>
      </c>
      <c r="W340" t="inlineStr">
        <is>
          <t>https://nvd.nist.gov/vuln/detail/CVE-2026-26223</t>
        </is>
      </c>
      <c r="X340" t="inlineStr">
        <is>
          <t>NONE</t>
        </is>
      </c>
      <c r="Y340" t="n">
        <v>0</v>
      </c>
      <c r="Z340" t="inlineStr"/>
      <c r="AA340" t="inlineStr">
        <is>
          <t>https://nvd.nist.gov/vuln/detail/CVE-2026-26223</t>
        </is>
      </c>
    </row>
    <row r="341">
      <c r="A341" t="inlineStr">
        <is>
          <t>CVE</t>
        </is>
      </c>
      <c r="B341" t="inlineStr">
        <is>
          <t>CVE-2026-26345</t>
        </is>
      </c>
      <c r="C341" t="inlineStr">
        <is>
          <t>SPIP before 4.4.8 contains a stored cross-site scripting (XSS) vulnerability in the public area triggered in certain edge-case usage patterns. The echapper_html_suspect() function does not adequately sanitize user-controlled content, allowing authenticated users with content-editing privileges (e.g., author-level roles and above) to inject malicious scripts. The injected payload may be rendered across multiple pages within the framework and execute in the browser context of other users, includin</t>
        </is>
      </c>
      <c r="D341" t="n">
        <v>5.4</v>
      </c>
      <c r="E341" t="inlineStr">
        <is>
          <t>MEDIUM</t>
        </is>
      </c>
      <c r="F341" t="n">
        <v>2</v>
      </c>
      <c r="G341" t="n">
        <v>2</v>
      </c>
      <c r="H341" t="inlineStr">
        <is>
          <t>MEDIUM</t>
        </is>
      </c>
      <c r="I341" t="n">
        <v>9.4</v>
      </c>
      <c r="J341" t="inlineStr">
        <is>
          <t>NO</t>
        </is>
      </c>
      <c r="K341" t="inlineStr">
        <is>
          <t>2026-02-26 00:15</t>
        </is>
      </c>
      <c r="L341" t="inlineStr">
        <is>
          <t>YES</t>
        </is>
      </c>
      <c r="M341" t="inlineStr">
        <is>
          <t>spip spip *</t>
        </is>
      </c>
      <c r="N341" t="inlineStr">
        <is>
          <t>P4</t>
        </is>
      </c>
      <c r="O341" t="inlineStr">
        <is>
          <t>CVE - IP enrichment n/a</t>
        </is>
      </c>
      <c r="P341" t="n">
        <v>0</v>
      </c>
      <c r="Q341" t="n">
        <v>0</v>
      </c>
      <c r="R341" t="inlineStr">
        <is>
          <t>T1189:Drive-by Compromise</t>
        </is>
      </c>
      <c r="S341" t="n">
        <v>1</v>
      </c>
      <c r="T341" t="inlineStr">
        <is>
          <t>LOW (40%)</t>
        </is>
      </c>
      <c r="U341" t="inlineStr">
        <is>
          <t>UNLIKELY</t>
        </is>
      </c>
      <c r="V341" t="inlineStr">
        <is>
          <t>PATCH_AVAILABLE</t>
        </is>
      </c>
      <c r="W341" t="inlineStr">
        <is>
          <t>https://nvd.nist.gov/vuln/detail/CVE-2026-26345</t>
        </is>
      </c>
      <c r="X341" t="inlineStr">
        <is>
          <t>NONE</t>
        </is>
      </c>
      <c r="Y341" t="n">
        <v>0</v>
      </c>
      <c r="Z341" t="inlineStr"/>
      <c r="AA341" t="inlineStr">
        <is>
          <t>https://nvd.nist.gov/vuln/detail/CVE-2026-26345</t>
        </is>
      </c>
    </row>
    <row r="342">
      <c r="A342" t="inlineStr">
        <is>
          <t>CVE</t>
        </is>
      </c>
      <c r="B342" t="inlineStr">
        <is>
          <t>CVE-2026-2274</t>
        </is>
      </c>
      <c r="C342" t="inlineStr">
        <is>
          <t>A SSRF and Arbitrary File Read vulnerability in AppSheet Core in Google AppSheet prior to 2025-11-23 allows an authenticated remote attacker to read sensitive local files and access internal network resources via crafted requests to the production cluster.
This vulnerability was patched and no customer action is needed.</t>
        </is>
      </c>
      <c r="D342" t="n">
        <v>8.5</v>
      </c>
      <c r="E342" t="inlineStr">
        <is>
          <t>HIGH</t>
        </is>
      </c>
      <c r="F342" t="n">
        <v>2</v>
      </c>
      <c r="G342" t="n">
        <v>3</v>
      </c>
      <c r="H342" t="inlineStr">
        <is>
          <t>HIGH</t>
        </is>
      </c>
      <c r="I342" t="n">
        <v>14.5</v>
      </c>
      <c r="J342" t="inlineStr">
        <is>
          <t>NO</t>
        </is>
      </c>
      <c r="K342" t="inlineStr">
        <is>
          <t>2026-02-26 00:15</t>
        </is>
      </c>
      <c r="L342" t="inlineStr">
        <is>
          <t>CHECK_VENDOR</t>
        </is>
      </c>
      <c r="M342" t="inlineStr">
        <is>
          <t>See CVE details</t>
        </is>
      </c>
      <c r="N342" t="inlineStr">
        <is>
          <t>P3</t>
        </is>
      </c>
      <c r="O342" t="inlineStr">
        <is>
          <t>CVE - IP enrichment n/a</t>
        </is>
      </c>
      <c r="P342" t="n">
        <v>0.0015</v>
      </c>
      <c r="Q342" t="n">
        <v>0.3519</v>
      </c>
      <c r="R342" t="inlineStr">
        <is>
          <t>T1090:Proxy | T1190:Exploit Public-Facing Application</t>
        </is>
      </c>
      <c r="S342" t="n">
        <v>1</v>
      </c>
      <c r="T342" t="inlineStr">
        <is>
          <t>LOW (40%)</t>
        </is>
      </c>
      <c r="U342" t="inlineStr">
        <is>
          <t>UNLIKELY</t>
        </is>
      </c>
      <c r="V342" t="inlineStr">
        <is>
          <t>CHECK_VENDOR</t>
        </is>
      </c>
      <c r="W342" t="inlineStr">
        <is>
          <t>https://nvd.nist.gov/vuln/detail/CVE-2026-2274</t>
        </is>
      </c>
      <c r="X342" t="inlineStr">
        <is>
          <t>NONE</t>
        </is>
      </c>
      <c r="Y342" t="n">
        <v>0</v>
      </c>
      <c r="Z342" t="inlineStr"/>
      <c r="AA342" t="inlineStr">
        <is>
          <t>https://nvd.nist.gov/vuln/detail/CVE-2026-2274</t>
        </is>
      </c>
    </row>
    <row r="343">
      <c r="A343" t="inlineStr">
        <is>
          <t>CVE</t>
        </is>
      </c>
      <c r="B343" t="inlineStr">
        <is>
          <t>CVE-2025-69674</t>
        </is>
      </c>
      <c r="C343" t="inlineStr">
        <is>
          <t>Buffer Overflow vulnerability in CDATA FD614GS3-R850 V3.2.7_P161006 (Build.0333.250211) allows an attacker to execute arbitrary code via the node_mac, node_opt, opt_param, and domainblk parameters of the mesh_node_config and domiainblk_config modules</t>
        </is>
      </c>
      <c r="D343" t="n">
        <v>6.4</v>
      </c>
      <c r="E343" t="inlineStr">
        <is>
          <t>MEDIUM</t>
        </is>
      </c>
      <c r="F343" t="n">
        <v>2</v>
      </c>
      <c r="G343" t="n">
        <v>2</v>
      </c>
      <c r="H343" t="inlineStr">
        <is>
          <t>MEDIUM</t>
        </is>
      </c>
      <c r="I343" t="n">
        <v>10.4</v>
      </c>
      <c r="J343" t="inlineStr">
        <is>
          <t>NO</t>
        </is>
      </c>
      <c r="K343" t="inlineStr">
        <is>
          <t>2026-02-26 00:15</t>
        </is>
      </c>
      <c r="L343" t="inlineStr">
        <is>
          <t>CHECK_VENDOR</t>
        </is>
      </c>
      <c r="M343" t="inlineStr">
        <is>
          <t>See CVE details</t>
        </is>
      </c>
      <c r="N343" t="inlineStr">
        <is>
          <t>P4</t>
        </is>
      </c>
      <c r="O343" t="inlineStr">
        <is>
          <t>CVE - IP enrichment n/a</t>
        </is>
      </c>
      <c r="P343" t="n">
        <v>0</v>
      </c>
      <c r="Q343" t="n">
        <v>0</v>
      </c>
      <c r="R343" t="inlineStr">
        <is>
          <t>T1203:Exploitation for Client Execution</t>
        </is>
      </c>
      <c r="S343" t="n">
        <v>1</v>
      </c>
      <c r="T343" t="inlineStr">
        <is>
          <t>LOW (40%)</t>
        </is>
      </c>
      <c r="U343" t="inlineStr">
        <is>
          <t>UNLIKELY</t>
        </is>
      </c>
      <c r="V343" t="inlineStr">
        <is>
          <t>CHECK_VENDOR</t>
        </is>
      </c>
      <c r="W343" t="inlineStr">
        <is>
          <t>https://nvd.nist.gov/vuln/detail/CVE-2025-69674</t>
        </is>
      </c>
      <c r="X343" t="inlineStr">
        <is>
          <t>NONE</t>
        </is>
      </c>
      <c r="Y343" t="n">
        <v>0</v>
      </c>
      <c r="Z343" t="inlineStr"/>
      <c r="AA343" t="inlineStr">
        <is>
          <t>https://nvd.nist.gov/vuln/detail/CVE-2025-69674</t>
        </is>
      </c>
    </row>
    <row r="344">
      <c r="A344" t="inlineStr">
        <is>
          <t>CVE</t>
        </is>
      </c>
      <c r="B344" t="inlineStr">
        <is>
          <t>CVE-2025-69725</t>
        </is>
      </c>
      <c r="C344" t="inlineStr">
        <is>
          <t>An Open Redirect vulnerability in the go-chi/chi &gt;=5.2.2 RedirectSlashes function allows remote attackers to redirect victim users to malicious websites using the legitimate website domain.</t>
        </is>
      </c>
      <c r="D344" t="n">
        <v>4.7</v>
      </c>
      <c r="E344" t="inlineStr">
        <is>
          <t>MEDIUM</t>
        </is>
      </c>
      <c r="F344" t="n">
        <v>2</v>
      </c>
      <c r="G344" t="n">
        <v>2</v>
      </c>
      <c r="H344" t="inlineStr">
        <is>
          <t>MEDIUM</t>
        </is>
      </c>
      <c r="I344" t="n">
        <v>8.699999999999999</v>
      </c>
      <c r="J344" t="inlineStr">
        <is>
          <t>NO</t>
        </is>
      </c>
      <c r="K344" t="inlineStr">
        <is>
          <t>2026-02-26 00:15</t>
        </is>
      </c>
      <c r="L344" t="inlineStr">
        <is>
          <t>CHECK_VENDOR</t>
        </is>
      </c>
      <c r="M344" t="inlineStr">
        <is>
          <t>See CVE details</t>
        </is>
      </c>
      <c r="N344" t="inlineStr">
        <is>
          <t>P4</t>
        </is>
      </c>
      <c r="O344" t="inlineStr">
        <is>
          <t>CVE - IP enrichment n/a</t>
        </is>
      </c>
      <c r="P344" t="n">
        <v>0.0004</v>
      </c>
      <c r="Q344" t="n">
        <v>0.1136</v>
      </c>
      <c r="R344" t="inlineStr">
        <is>
          <t>T1189:Drive-by Compromise</t>
        </is>
      </c>
      <c r="S344" t="n">
        <v>1</v>
      </c>
      <c r="T344" t="inlineStr">
        <is>
          <t>LOW (40%)</t>
        </is>
      </c>
      <c r="U344" t="inlineStr">
        <is>
          <t>UNLIKELY</t>
        </is>
      </c>
      <c r="V344" t="inlineStr">
        <is>
          <t>CHECK_VENDOR</t>
        </is>
      </c>
      <c r="W344" t="inlineStr">
        <is>
          <t>https://nvd.nist.gov/vuln/detail/CVE-2025-69725</t>
        </is>
      </c>
      <c r="X344" t="inlineStr">
        <is>
          <t>NONE</t>
        </is>
      </c>
      <c r="Y344" t="n">
        <v>0</v>
      </c>
      <c r="Z344" t="inlineStr"/>
      <c r="AA344" t="inlineStr">
        <is>
          <t>https://nvd.nist.gov/vuln/detail/CVE-2025-69725</t>
        </is>
      </c>
    </row>
    <row r="345">
      <c r="A345" t="inlineStr">
        <is>
          <t>CVE</t>
        </is>
      </c>
      <c r="B345" t="inlineStr">
        <is>
          <t>CVE-2026-1581</t>
        </is>
      </c>
      <c r="C345" t="inlineStr">
        <is>
          <t>The wpForo Forum plugin for WordPress is vulnerable to time-based SQL Injection via the 'wpfob' parameter in all versions up to, and including, 2.4.14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345" t="n">
        <v>7.5</v>
      </c>
      <c r="E345" t="inlineStr">
        <is>
          <t>HIGH</t>
        </is>
      </c>
      <c r="F345" t="n">
        <v>2</v>
      </c>
      <c r="G345" t="n">
        <v>3</v>
      </c>
      <c r="H345" t="inlineStr">
        <is>
          <t>HIGH</t>
        </is>
      </c>
      <c r="I345" t="n">
        <v>13.5</v>
      </c>
      <c r="J345" t="inlineStr">
        <is>
          <t>NO</t>
        </is>
      </c>
      <c r="K345" t="inlineStr">
        <is>
          <t>2026-02-26 00:15</t>
        </is>
      </c>
      <c r="L345" t="inlineStr">
        <is>
          <t>CHECK_VENDOR</t>
        </is>
      </c>
      <c r="M345" t="inlineStr">
        <is>
          <t>See CVE details</t>
        </is>
      </c>
      <c r="N345" t="inlineStr">
        <is>
          <t>P3</t>
        </is>
      </c>
      <c r="O345" t="inlineStr">
        <is>
          <t>CVE - IP enrichment n/a</t>
        </is>
      </c>
      <c r="P345" t="n">
        <v>0.0009</v>
      </c>
      <c r="Q345" t="n">
        <v>0.261</v>
      </c>
      <c r="R345" t="inlineStr">
        <is>
          <t>T1190:Exploit Public-Facing Application</t>
        </is>
      </c>
      <c r="S345" t="n">
        <v>1</v>
      </c>
      <c r="T345" t="inlineStr">
        <is>
          <t>LOW (40%)</t>
        </is>
      </c>
      <c r="U345" t="inlineStr">
        <is>
          <t>UNLIKELY</t>
        </is>
      </c>
      <c r="V345" t="inlineStr">
        <is>
          <t>CHECK_VENDOR</t>
        </is>
      </c>
      <c r="W345" t="inlineStr">
        <is>
          <t>https://nvd.nist.gov/vuln/detail/CVE-2026-1581</t>
        </is>
      </c>
      <c r="X345" t="inlineStr">
        <is>
          <t>NONE</t>
        </is>
      </c>
      <c r="Y345" t="n">
        <v>0</v>
      </c>
      <c r="Z345" t="inlineStr"/>
      <c r="AA345" t="inlineStr">
        <is>
          <t>https://nvd.nist.gov/vuln/detail/CVE-2026-1581</t>
        </is>
      </c>
    </row>
    <row r="346">
      <c r="A346" t="inlineStr">
        <is>
          <t>CVE</t>
        </is>
      </c>
      <c r="B346" t="inlineStr">
        <is>
          <t>CVE-2026-24834</t>
        </is>
      </c>
      <c r="C346" t="inlineStr">
        <is>
          <t>Kata Containers is an open source project focusing on a standard implementation of lightweight Virtual Machines (VMs) that perform like containers. In versions prior to 3.27.0, an issue in Kata with Cloud Hypervisor allows a user of the container to modify the file system used by the Guest micro VM ultimately achieving arbitrary code execution as root in said VM. The current understanding is this doesn’t impact the security of the Host or of other containers / VMs running on that Host (note that</t>
        </is>
      </c>
      <c r="D346" t="n">
        <v>9.300000000000001</v>
      </c>
      <c r="E346" t="inlineStr">
        <is>
          <t>CRITICAL</t>
        </is>
      </c>
      <c r="F346" t="n">
        <v>2</v>
      </c>
      <c r="G346" t="n">
        <v>3</v>
      </c>
      <c r="H346" t="inlineStr">
        <is>
          <t>HIGH</t>
        </is>
      </c>
      <c r="I346" t="n">
        <v>15.3</v>
      </c>
      <c r="J346" t="inlineStr">
        <is>
          <t>NO</t>
        </is>
      </c>
      <c r="K346" t="inlineStr">
        <is>
          <t>2026-02-26 00:15</t>
        </is>
      </c>
      <c r="L346" t="inlineStr">
        <is>
          <t>YES</t>
        </is>
      </c>
      <c r="M346" t="inlineStr">
        <is>
          <t>katacontainers kata_containers *</t>
        </is>
      </c>
      <c r="N346" t="inlineStr">
        <is>
          <t>P3</t>
        </is>
      </c>
      <c r="O346" t="inlineStr">
        <is>
          <t>CVE - IP enrichment n/a</t>
        </is>
      </c>
      <c r="P346" t="n">
        <v>0</v>
      </c>
      <c r="Q346" t="n">
        <v>0</v>
      </c>
      <c r="R346" t="inlineStr">
        <is>
          <t>T1190:Exploit Public-Facing Application | T1203:Exploitation for Client Execution</t>
        </is>
      </c>
      <c r="S346" t="n">
        <v>1</v>
      </c>
      <c r="T346" t="inlineStr">
        <is>
          <t>LOW (40%)</t>
        </is>
      </c>
      <c r="U346" t="inlineStr">
        <is>
          <t>UNLIKELY</t>
        </is>
      </c>
      <c r="V346" t="inlineStr">
        <is>
          <t>PATCH_AVAILABLE</t>
        </is>
      </c>
      <c r="W346" t="inlineStr">
        <is>
          <t>https://nvd.nist.gov/vuln/detail/CVE-2026-24834</t>
        </is>
      </c>
      <c r="X346" t="inlineStr">
        <is>
          <t>NONE</t>
        </is>
      </c>
      <c r="Y346" t="n">
        <v>0</v>
      </c>
      <c r="Z346" t="inlineStr"/>
      <c r="AA346" t="inlineStr">
        <is>
          <t>https://nvd.nist.gov/vuln/detail/CVE-2026-24834</t>
        </is>
      </c>
    </row>
    <row r="347">
      <c r="A347" t="inlineStr">
        <is>
          <t>CVE</t>
        </is>
      </c>
      <c r="B347" t="inlineStr">
        <is>
          <t>CVE-2026-25998</t>
        </is>
      </c>
      <c r="C347" t="inlineStr">
        <is>
          <t>strongMan is a management interface for strongSwan, an OpenSource IPsec-based VPN. When storing credentials in the database (private keys, EAP secrets), strongMan encrypts the corresponding database fields. So far it used AES in CTR mode with a global database key. Together with an initialization vector (IV), a key stream is generated to encrypt the data in the database fields. But because strongMan did not generate individual IVs, every database field was encrypted using the same key stream. An</t>
        </is>
      </c>
      <c r="D347" t="n">
        <v>7.5</v>
      </c>
      <c r="E347" t="inlineStr">
        <is>
          <t>HIGH</t>
        </is>
      </c>
      <c r="F347" t="n">
        <v>2</v>
      </c>
      <c r="G347" t="n">
        <v>3</v>
      </c>
      <c r="H347" t="inlineStr">
        <is>
          <t>HIGH</t>
        </is>
      </c>
      <c r="I347" t="n">
        <v>13.5</v>
      </c>
      <c r="J347" t="inlineStr">
        <is>
          <t>NO</t>
        </is>
      </c>
      <c r="K347" t="inlineStr">
        <is>
          <t>2026-02-26 00:15</t>
        </is>
      </c>
      <c r="L347" t="inlineStr">
        <is>
          <t>YES</t>
        </is>
      </c>
      <c r="M347" t="inlineStr">
        <is>
          <t>strongswan strongman 0.1.0</t>
        </is>
      </c>
      <c r="N347" t="inlineStr">
        <is>
          <t>P3</t>
        </is>
      </c>
      <c r="O347" t="inlineStr">
        <is>
          <t>CVE - IP enrichment n/a</t>
        </is>
      </c>
      <c r="P347" t="n">
        <v>0</v>
      </c>
      <c r="Q347" t="n">
        <v>0</v>
      </c>
      <c r="R347" t="inlineStr">
        <is>
          <t>T1190:Exploit Public-Facing Application | T1552:Unsecured Credentials | T1133:External Remote Services</t>
        </is>
      </c>
      <c r="S347" t="n">
        <v>1</v>
      </c>
      <c r="T347" t="inlineStr">
        <is>
          <t>LOW (40%)</t>
        </is>
      </c>
      <c r="U347" t="inlineStr">
        <is>
          <t>UNLIKELY</t>
        </is>
      </c>
      <c r="V347" t="inlineStr">
        <is>
          <t>PATCH_AVAILABLE</t>
        </is>
      </c>
      <c r="W347" t="inlineStr">
        <is>
          <t>https://nvd.nist.gov/vuln/detail/CVE-2026-25998</t>
        </is>
      </c>
      <c r="X347" t="inlineStr">
        <is>
          <t>NONE</t>
        </is>
      </c>
      <c r="Y347" t="n">
        <v>0</v>
      </c>
      <c r="Z347" t="inlineStr"/>
      <c r="AA347" t="inlineStr">
        <is>
          <t>https://nvd.nist.gov/vuln/detail/CVE-2026-25998</t>
        </is>
      </c>
    </row>
    <row r="348">
      <c r="A348" t="inlineStr">
        <is>
          <t>CVE</t>
        </is>
      </c>
      <c r="B348" t="inlineStr">
        <is>
          <t>CVE-2026-26016</t>
        </is>
      </c>
      <c r="C348" t="inlineStr">
        <is>
          <t>Wings is the server control plane for Pterodactyl, a free, open-source game server management panel. Prior to version 1.12.1, a missing authorization check in multiple controllers allows any user with access to a node secret token to fetch information about any server on a Pterodactyl instance, even if that server is associated with a different node. This issue stems from missing logic to verify that the node requesting server data is the same node that the server is associated with. Any authent</t>
        </is>
      </c>
      <c r="D348" t="n">
        <v>8.1</v>
      </c>
      <c r="E348" t="inlineStr">
        <is>
          <t>HIGH</t>
        </is>
      </c>
      <c r="F348" t="n">
        <v>2</v>
      </c>
      <c r="G348" t="n">
        <v>3</v>
      </c>
      <c r="H348" t="inlineStr">
        <is>
          <t>HIGH</t>
        </is>
      </c>
      <c r="I348" t="n">
        <v>14.1</v>
      </c>
      <c r="J348" t="inlineStr">
        <is>
          <t>NO</t>
        </is>
      </c>
      <c r="K348" t="inlineStr">
        <is>
          <t>2026-02-26 00:15</t>
        </is>
      </c>
      <c r="L348" t="inlineStr">
        <is>
          <t>YES</t>
        </is>
      </c>
      <c r="M348" t="inlineStr">
        <is>
          <t>pterodactyl panel *</t>
        </is>
      </c>
      <c r="N348" t="inlineStr">
        <is>
          <t>P3</t>
        </is>
      </c>
      <c r="O348" t="inlineStr">
        <is>
          <t>CVE - IP enrichment n/a</t>
        </is>
      </c>
      <c r="P348" t="n">
        <v>0</v>
      </c>
      <c r="Q348" t="n">
        <v>0</v>
      </c>
      <c r="R348" t="inlineStr">
        <is>
          <t>T1190:Exploit Public-Facing Application</t>
        </is>
      </c>
      <c r="S348" t="n">
        <v>1</v>
      </c>
      <c r="T348" t="inlineStr">
        <is>
          <t>LOW (40%)</t>
        </is>
      </c>
      <c r="U348" t="inlineStr">
        <is>
          <t>UNLIKELY</t>
        </is>
      </c>
      <c r="V348" t="inlineStr">
        <is>
          <t>PATCH_AVAILABLE</t>
        </is>
      </c>
      <c r="W348" t="inlineStr">
        <is>
          <t>https://nvd.nist.gov/vuln/detail/CVE-2026-26016</t>
        </is>
      </c>
      <c r="X348" t="inlineStr">
        <is>
          <t>NONE</t>
        </is>
      </c>
      <c r="Y348" t="n">
        <v>0</v>
      </c>
      <c r="Z348" t="inlineStr"/>
      <c r="AA348" t="inlineStr">
        <is>
          <t>https://nvd.nist.gov/vuln/detail/CVE-2026-26016</t>
        </is>
      </c>
    </row>
    <row r="349">
      <c r="A349" t="inlineStr">
        <is>
          <t>CVE</t>
        </is>
      </c>
      <c r="B349" t="inlineStr">
        <is>
          <t>CVE-2026-26030</t>
        </is>
      </c>
      <c r="C349" t="inlineStr">
        <is>
          <t>Semantic Kernel, Microsoft's semantic kernel Python SDK, has a remote code execution vulnerability in versions prior to 1.39.4, specifically within the `InMemoryVectorStore` filter functionality. The problem has been fixed in version `python-1.39.4`. Users should upgrade this version or higher. As a workaround, avoid using `InMemoryVectorStore` for production scenarios.</t>
        </is>
      </c>
      <c r="D349" t="n">
        <v>9.9</v>
      </c>
      <c r="E349" t="inlineStr">
        <is>
          <t>CRITICAL</t>
        </is>
      </c>
      <c r="F349" t="n">
        <v>2</v>
      </c>
      <c r="G349" t="n">
        <v>3</v>
      </c>
      <c r="H349" t="inlineStr">
        <is>
          <t>HIGH</t>
        </is>
      </c>
      <c r="I349" t="n">
        <v>15.9</v>
      </c>
      <c r="J349" t="inlineStr">
        <is>
          <t>NO</t>
        </is>
      </c>
      <c r="K349" t="inlineStr">
        <is>
          <t>2026-02-26 00:15</t>
        </is>
      </c>
      <c r="L349" t="inlineStr">
        <is>
          <t>CHECK_VENDOR</t>
        </is>
      </c>
      <c r="M349" t="inlineStr">
        <is>
          <t>See CVE details</t>
        </is>
      </c>
      <c r="N349" t="inlineStr">
        <is>
          <t>P3</t>
        </is>
      </c>
      <c r="O349" t="inlineStr">
        <is>
          <t>CVE - IP enrichment n/a</t>
        </is>
      </c>
      <c r="P349" t="n">
        <v>0</v>
      </c>
      <c r="Q349" t="n">
        <v>0</v>
      </c>
      <c r="R349" t="inlineStr">
        <is>
          <t>T1059:Command and Scripting Interpreter | T1190:Exploit Public-Facing Application | T1210:Exploitation of Remote Services</t>
        </is>
      </c>
      <c r="S349" t="n">
        <v>1</v>
      </c>
      <c r="T349" t="inlineStr">
        <is>
          <t>LOW (40%)</t>
        </is>
      </c>
      <c r="U349" t="inlineStr">
        <is>
          <t>UNLIKELY</t>
        </is>
      </c>
      <c r="V349" t="inlineStr">
        <is>
          <t>CHECK_VENDOR</t>
        </is>
      </c>
      <c r="W349" t="inlineStr">
        <is>
          <t>https://nvd.nist.gov/vuln/detail/CVE-2026-26030</t>
        </is>
      </c>
      <c r="X349" t="inlineStr">
        <is>
          <t>NONE</t>
        </is>
      </c>
      <c r="Y349" t="n">
        <v>0</v>
      </c>
      <c r="Z349" t="inlineStr"/>
      <c r="AA349" t="inlineStr">
        <is>
          <t>https://nvd.nist.gov/vuln/detail/CVE-2026-26030</t>
        </is>
      </c>
    </row>
    <row r="350">
      <c r="A350" t="inlineStr">
        <is>
          <t>CVE</t>
        </is>
      </c>
      <c r="B350" t="inlineStr">
        <is>
          <t>CVE-2026-26336</t>
        </is>
      </c>
      <c r="C350" t="inlineStr">
        <is>
          <t>Hyland Alfresco allows unauthenticated attackers to read arbitrary files from protected directories (like WEB-INF) via the "/share/page/resource/" endpoint, thus leading to the disclosure of sensitive configuration files.</t>
        </is>
      </c>
      <c r="D350" t="n">
        <v>7.5</v>
      </c>
      <c r="E350" t="inlineStr">
        <is>
          <t>HIGH</t>
        </is>
      </c>
      <c r="F350" t="n">
        <v>2</v>
      </c>
      <c r="G350" t="n">
        <v>3</v>
      </c>
      <c r="H350" t="inlineStr">
        <is>
          <t>HIGH</t>
        </is>
      </c>
      <c r="I350" t="n">
        <v>13.5</v>
      </c>
      <c r="J350" t="inlineStr">
        <is>
          <t>NO</t>
        </is>
      </c>
      <c r="K350" t="inlineStr">
        <is>
          <t>2026-02-26 00:15</t>
        </is>
      </c>
      <c r="L350" t="inlineStr">
        <is>
          <t>CHECK_VENDOR</t>
        </is>
      </c>
      <c r="M350" t="inlineStr">
        <is>
          <t>See CVE details</t>
        </is>
      </c>
      <c r="N350" t="inlineStr">
        <is>
          <t>P3</t>
        </is>
      </c>
      <c r="O350" t="inlineStr">
        <is>
          <t>CVE - IP enrichment n/a</t>
        </is>
      </c>
      <c r="P350" t="n">
        <v>0</v>
      </c>
      <c r="Q350" t="n">
        <v>0</v>
      </c>
      <c r="R350" t="inlineStr">
        <is>
          <t>T1190:Exploit Public-Facing Application</t>
        </is>
      </c>
      <c r="S350" t="n">
        <v>1</v>
      </c>
      <c r="T350" t="inlineStr">
        <is>
          <t>LOW (40%)</t>
        </is>
      </c>
      <c r="U350" t="inlineStr">
        <is>
          <t>UNLIKELY</t>
        </is>
      </c>
      <c r="V350" t="inlineStr">
        <is>
          <t>CHECK_VENDOR</t>
        </is>
      </c>
      <c r="W350" t="inlineStr">
        <is>
          <t>https://nvd.nist.gov/vuln/detail/CVE-2026-26336</t>
        </is>
      </c>
      <c r="X350" t="inlineStr">
        <is>
          <t>NONE</t>
        </is>
      </c>
      <c r="Y350" t="n">
        <v>0</v>
      </c>
      <c r="Z350" t="inlineStr"/>
      <c r="AA350" t="inlineStr">
        <is>
          <t>https://nvd.nist.gov/vuln/detail/CVE-2026-26336</t>
        </is>
      </c>
    </row>
    <row r="351">
      <c r="A351" t="inlineStr">
        <is>
          <t>CVE</t>
        </is>
      </c>
      <c r="B351" t="inlineStr">
        <is>
          <t>CVE-2026-2232</t>
        </is>
      </c>
      <c r="C351" t="inlineStr">
        <is>
          <t>The Product Table and List Builder for WooCommerce Lite plugin for WordPress is vulnerable to time-based SQL Injection via the 'search' parameter in all versions up to, and including, 4.6.2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351" t="n">
        <v>7.5</v>
      </c>
      <c r="E351" t="inlineStr">
        <is>
          <t>HIGH</t>
        </is>
      </c>
      <c r="F351" t="n">
        <v>2</v>
      </c>
      <c r="G351" t="n">
        <v>3</v>
      </c>
      <c r="H351" t="inlineStr">
        <is>
          <t>HIGH</t>
        </is>
      </c>
      <c r="I351" t="n">
        <v>13.5</v>
      </c>
      <c r="J351" t="inlineStr">
        <is>
          <t>NO</t>
        </is>
      </c>
      <c r="K351" t="inlineStr">
        <is>
          <t>2026-02-26 00:15</t>
        </is>
      </c>
      <c r="L351" t="inlineStr">
        <is>
          <t>CHECK_VENDOR</t>
        </is>
      </c>
      <c r="M351" t="inlineStr">
        <is>
          <t>See CVE details</t>
        </is>
      </c>
      <c r="N351" t="inlineStr">
        <is>
          <t>P3</t>
        </is>
      </c>
      <c r="O351" t="inlineStr">
        <is>
          <t>CVE - IP enrichment n/a</t>
        </is>
      </c>
      <c r="P351" t="n">
        <v>0</v>
      </c>
      <c r="Q351" t="n">
        <v>0</v>
      </c>
      <c r="R351" t="inlineStr">
        <is>
          <t>T1190:Exploit Public-Facing Application</t>
        </is>
      </c>
      <c r="S351" t="n">
        <v>1</v>
      </c>
      <c r="T351" t="inlineStr">
        <is>
          <t>LOW (40%)</t>
        </is>
      </c>
      <c r="U351" t="inlineStr">
        <is>
          <t>UNLIKELY</t>
        </is>
      </c>
      <c r="V351" t="inlineStr">
        <is>
          <t>CHECK_VENDOR</t>
        </is>
      </c>
      <c r="W351" t="inlineStr">
        <is>
          <t>https://nvd.nist.gov/vuln/detail/CVE-2026-2232</t>
        </is>
      </c>
      <c r="X351" t="inlineStr">
        <is>
          <t>NONE</t>
        </is>
      </c>
      <c r="Y351" t="n">
        <v>0</v>
      </c>
      <c r="Z351" t="inlineStr"/>
      <c r="AA351" t="inlineStr">
        <is>
          <t>https://nvd.nist.gov/vuln/detail/CVE-2026-2232</t>
        </is>
      </c>
    </row>
    <row r="352">
      <c r="A352" t="inlineStr">
        <is>
          <t>CVE</t>
        </is>
      </c>
      <c r="B352" t="inlineStr">
        <is>
          <t>CVE-2026-23604</t>
        </is>
      </c>
      <c r="C352" t="inlineStr">
        <is>
          <t>GFI MailEssentials AI versions prior to 22.4 contain a stored cross-site scripting vulnerability in the Keyword Filtering rule creation workflow. An authenticated user can supply HTML/JavaScript in the ctl00$ContentPlaceHolder1$pv1$TXB_RuleName parameter to /MailEssentials/pages/MailSecurity/contentchecking.aspx, which is stored and later rendered in the management interface, allowing script execution in the context of a logged-in user.</t>
        </is>
      </c>
      <c r="D352" t="n">
        <v>5.4</v>
      </c>
      <c r="E352" t="inlineStr">
        <is>
          <t>MEDIUM</t>
        </is>
      </c>
      <c r="F352" t="n">
        <v>2</v>
      </c>
      <c r="G352" t="n">
        <v>2</v>
      </c>
      <c r="H352" t="inlineStr">
        <is>
          <t>MEDIUM</t>
        </is>
      </c>
      <c r="I352" t="n">
        <v>9.4</v>
      </c>
      <c r="J352" t="inlineStr">
        <is>
          <t>NO</t>
        </is>
      </c>
      <c r="K352" t="inlineStr">
        <is>
          <t>2026-02-26 00:15</t>
        </is>
      </c>
      <c r="L352" t="inlineStr">
        <is>
          <t>CHECK_VENDOR</t>
        </is>
      </c>
      <c r="M352" t="inlineStr">
        <is>
          <t>gfi mailessentials *</t>
        </is>
      </c>
      <c r="N352" t="inlineStr">
        <is>
          <t>P4</t>
        </is>
      </c>
      <c r="O352" t="inlineStr">
        <is>
          <t>CVE - IP enrichment n/a</t>
        </is>
      </c>
      <c r="P352" t="n">
        <v>0</v>
      </c>
      <c r="Q352" t="n">
        <v>0</v>
      </c>
      <c r="R352" t="inlineStr">
        <is>
          <t>T1189:Drive-by Compromise</t>
        </is>
      </c>
      <c r="S352" t="n">
        <v>1</v>
      </c>
      <c r="T352" t="inlineStr">
        <is>
          <t>LOW (40%)</t>
        </is>
      </c>
      <c r="U352" t="inlineStr">
        <is>
          <t>UNLIKELY</t>
        </is>
      </c>
      <c r="V352" t="inlineStr">
        <is>
          <t>CHECK_VENDOR</t>
        </is>
      </c>
      <c r="W352" t="inlineStr">
        <is>
          <t>https://nvd.nist.gov/vuln/detail/CVE-2026-23604</t>
        </is>
      </c>
      <c r="X352" t="inlineStr">
        <is>
          <t>NONE</t>
        </is>
      </c>
      <c r="Y352" t="n">
        <v>0</v>
      </c>
      <c r="Z352" t="inlineStr"/>
      <c r="AA352" t="inlineStr">
        <is>
          <t>https://nvd.nist.gov/vuln/detail/CVE-2026-23604</t>
        </is>
      </c>
    </row>
    <row r="353">
      <c r="A353" t="inlineStr">
        <is>
          <t>CVE</t>
        </is>
      </c>
      <c r="B353" t="inlineStr">
        <is>
          <t>CVE-2026-23605</t>
        </is>
      </c>
      <c r="C353" t="inlineStr">
        <is>
          <t>GFI MailEssentials AI versions prior to 22.4 contain a stored cross-site scripting vulnerability in the Attachment Filtering rule creation workflow. An authenticated user can supply HTML/JavaScript in the ctl00$ContentPlaceHolder1$pv1$TXB_RuleName parameter to /MailEssentials/pages/MailSecurity/attachmentchecking.aspx, which is stored and later rendered in the management interface, allowing script execution in the context of a logged-in user.</t>
        </is>
      </c>
      <c r="D353" t="n">
        <v>5.4</v>
      </c>
      <c r="E353" t="inlineStr">
        <is>
          <t>MEDIUM</t>
        </is>
      </c>
      <c r="F353" t="n">
        <v>2</v>
      </c>
      <c r="G353" t="n">
        <v>2</v>
      </c>
      <c r="H353" t="inlineStr">
        <is>
          <t>MEDIUM</t>
        </is>
      </c>
      <c r="I353" t="n">
        <v>9.4</v>
      </c>
      <c r="J353" t="inlineStr">
        <is>
          <t>NO</t>
        </is>
      </c>
      <c r="K353" t="inlineStr">
        <is>
          <t>2026-02-26 00:15</t>
        </is>
      </c>
      <c r="L353" t="inlineStr">
        <is>
          <t>CHECK_VENDOR</t>
        </is>
      </c>
      <c r="M353" t="inlineStr">
        <is>
          <t>gfi mailessentials *</t>
        </is>
      </c>
      <c r="N353" t="inlineStr">
        <is>
          <t>P4</t>
        </is>
      </c>
      <c r="O353" t="inlineStr">
        <is>
          <t>CVE - IP enrichment n/a</t>
        </is>
      </c>
      <c r="P353" t="n">
        <v>0</v>
      </c>
      <c r="Q353" t="n">
        <v>0</v>
      </c>
      <c r="R353" t="inlineStr">
        <is>
          <t>T1189:Drive-by Compromise</t>
        </is>
      </c>
      <c r="S353" t="n">
        <v>1</v>
      </c>
      <c r="T353" t="inlineStr">
        <is>
          <t>LOW (40%)</t>
        </is>
      </c>
      <c r="U353" t="inlineStr">
        <is>
          <t>UNLIKELY</t>
        </is>
      </c>
      <c r="V353" t="inlineStr">
        <is>
          <t>CHECK_VENDOR</t>
        </is>
      </c>
      <c r="W353" t="inlineStr">
        <is>
          <t>https://nvd.nist.gov/vuln/detail/CVE-2026-23605</t>
        </is>
      </c>
      <c r="X353" t="inlineStr">
        <is>
          <t>NONE</t>
        </is>
      </c>
      <c r="Y353" t="n">
        <v>0</v>
      </c>
      <c r="Z353" t="inlineStr"/>
      <c r="AA353" t="inlineStr">
        <is>
          <t>https://nvd.nist.gov/vuln/detail/CVE-2026-23605</t>
        </is>
      </c>
    </row>
    <row r="354">
      <c r="A354" t="inlineStr">
        <is>
          <t>CVE</t>
        </is>
      </c>
      <c r="B354" t="inlineStr">
        <is>
          <t>CVE-2026-23606</t>
        </is>
      </c>
      <c r="C354" t="inlineStr">
        <is>
          <t>GFI MailEssentials AI versions prior to 22.4 contain a stored cross-site scripting vulnerability in the Advanced Content Filtering rule creation workflow. An authenticated user can supply HTML/JavaScript in the ctl00$ContentPlaceHolder1$pv1$txtRuleName parameter to /MailEssentials/pages/MailSecurity/advancedfiltering.aspx, which is stored and later rendered in the management interface, allowing script execution in the context of a logged-in user.</t>
        </is>
      </c>
      <c r="D354" t="n">
        <v>5.4</v>
      </c>
      <c r="E354" t="inlineStr">
        <is>
          <t>MEDIUM</t>
        </is>
      </c>
      <c r="F354" t="n">
        <v>2</v>
      </c>
      <c r="G354" t="n">
        <v>2</v>
      </c>
      <c r="H354" t="inlineStr">
        <is>
          <t>MEDIUM</t>
        </is>
      </c>
      <c r="I354" t="n">
        <v>9.4</v>
      </c>
      <c r="J354" t="inlineStr">
        <is>
          <t>NO</t>
        </is>
      </c>
      <c r="K354" t="inlineStr">
        <is>
          <t>2026-02-26 00:15</t>
        </is>
      </c>
      <c r="L354" t="inlineStr">
        <is>
          <t>CHECK_VENDOR</t>
        </is>
      </c>
      <c r="M354" t="inlineStr">
        <is>
          <t>gfi mailessentials *</t>
        </is>
      </c>
      <c r="N354" t="inlineStr">
        <is>
          <t>P4</t>
        </is>
      </c>
      <c r="O354" t="inlineStr">
        <is>
          <t>CVE - IP enrichment n/a</t>
        </is>
      </c>
      <c r="P354" t="n">
        <v>0</v>
      </c>
      <c r="Q354" t="n">
        <v>0</v>
      </c>
      <c r="R354" t="inlineStr">
        <is>
          <t>T1189:Drive-by Compromise</t>
        </is>
      </c>
      <c r="S354" t="n">
        <v>1</v>
      </c>
      <c r="T354" t="inlineStr">
        <is>
          <t>LOW (40%)</t>
        </is>
      </c>
      <c r="U354" t="inlineStr">
        <is>
          <t>UNLIKELY</t>
        </is>
      </c>
      <c r="V354" t="inlineStr">
        <is>
          <t>CHECK_VENDOR</t>
        </is>
      </c>
      <c r="W354" t="inlineStr">
        <is>
          <t>https://nvd.nist.gov/vuln/detail/CVE-2026-23606</t>
        </is>
      </c>
      <c r="X354" t="inlineStr">
        <is>
          <t>NONE</t>
        </is>
      </c>
      <c r="Y354" t="n">
        <v>0</v>
      </c>
      <c r="Z354" t="inlineStr"/>
      <c r="AA354" t="inlineStr">
        <is>
          <t>https://nvd.nist.gov/vuln/detail/CVE-2026-23606</t>
        </is>
      </c>
    </row>
    <row r="355">
      <c r="A355" t="inlineStr">
        <is>
          <t>CVE</t>
        </is>
      </c>
      <c r="B355" t="inlineStr">
        <is>
          <t>CVE-2026-23607</t>
        </is>
      </c>
      <c r="C355" t="inlineStr">
        <is>
          <t>GFI MailEssentials AI versions prior to 22.4 contain a stored cross-site scripting vulnerability in the Anti-Spam Whitelist management interface. An authenticated user can supply HTML/JavaScript in the ctl00$ContentPlaceHolder1$pv1$txtDescription parameter to /MailEssentials/pages/MailSecurity/Whitelist.aspx, which is stored and later rendered in the management interface, allowing script execution in the context of a logged-in user.</t>
        </is>
      </c>
      <c r="D355" t="n">
        <v>5.4</v>
      </c>
      <c r="E355" t="inlineStr">
        <is>
          <t>MEDIUM</t>
        </is>
      </c>
      <c r="F355" t="n">
        <v>2</v>
      </c>
      <c r="G355" t="n">
        <v>2</v>
      </c>
      <c r="H355" t="inlineStr">
        <is>
          <t>MEDIUM</t>
        </is>
      </c>
      <c r="I355" t="n">
        <v>9.4</v>
      </c>
      <c r="J355" t="inlineStr">
        <is>
          <t>NO</t>
        </is>
      </c>
      <c r="K355" t="inlineStr">
        <is>
          <t>2026-02-26 00:15</t>
        </is>
      </c>
      <c r="L355" t="inlineStr">
        <is>
          <t>CHECK_VENDOR</t>
        </is>
      </c>
      <c r="M355" t="inlineStr">
        <is>
          <t>gfi mailessentials *</t>
        </is>
      </c>
      <c r="N355" t="inlineStr">
        <is>
          <t>P4</t>
        </is>
      </c>
      <c r="O355" t="inlineStr">
        <is>
          <t>CVE - IP enrichment n/a</t>
        </is>
      </c>
      <c r="P355" t="n">
        <v>0</v>
      </c>
      <c r="Q355" t="n">
        <v>0</v>
      </c>
      <c r="R355" t="inlineStr">
        <is>
          <t>T1189:Drive-by Compromise</t>
        </is>
      </c>
      <c r="S355" t="n">
        <v>1</v>
      </c>
      <c r="T355" t="inlineStr">
        <is>
          <t>LOW (40%)</t>
        </is>
      </c>
      <c r="U355" t="inlineStr">
        <is>
          <t>UNLIKELY</t>
        </is>
      </c>
      <c r="V355" t="inlineStr">
        <is>
          <t>CHECK_VENDOR</t>
        </is>
      </c>
      <c r="W355" t="inlineStr">
        <is>
          <t>https://nvd.nist.gov/vuln/detail/CVE-2026-23607</t>
        </is>
      </c>
      <c r="X355" t="inlineStr">
        <is>
          <t>NONE</t>
        </is>
      </c>
      <c r="Y355" t="n">
        <v>0</v>
      </c>
      <c r="Z355" t="inlineStr"/>
      <c r="AA355" t="inlineStr">
        <is>
          <t>https://nvd.nist.gov/vuln/detail/CVE-2026-23607</t>
        </is>
      </c>
    </row>
    <row r="356">
      <c r="A356" t="inlineStr">
        <is>
          <t>CVE</t>
        </is>
      </c>
      <c r="B356" t="inlineStr">
        <is>
          <t>CVE-2026-23608</t>
        </is>
      </c>
      <c r="C356" t="inlineStr">
        <is>
          <t>GFI MailEssentials AI versions prior to 22.4 contain a stored cross-site scripting vulnerability in the Mail Monitoring rule creation endpoint. An authenticated user can supply HTML/JavaScript in the JSON \"name\" field to /MailEssentials/pages/MailSecurity/MailMonitoring.aspx/Save, which is stored and later rendered in the management interface, allowing script execution in the context of a logged-in user.</t>
        </is>
      </c>
      <c r="D356" t="n">
        <v>5.4</v>
      </c>
      <c r="E356" t="inlineStr">
        <is>
          <t>MEDIUM</t>
        </is>
      </c>
      <c r="F356" t="n">
        <v>2</v>
      </c>
      <c r="G356" t="n">
        <v>2</v>
      </c>
      <c r="H356" t="inlineStr">
        <is>
          <t>MEDIUM</t>
        </is>
      </c>
      <c r="I356" t="n">
        <v>9.4</v>
      </c>
      <c r="J356" t="inlineStr">
        <is>
          <t>NO</t>
        </is>
      </c>
      <c r="K356" t="inlineStr">
        <is>
          <t>2026-02-26 00:15</t>
        </is>
      </c>
      <c r="L356" t="inlineStr">
        <is>
          <t>CHECK_VENDOR</t>
        </is>
      </c>
      <c r="M356" t="inlineStr">
        <is>
          <t>gfi mailessentials *</t>
        </is>
      </c>
      <c r="N356" t="inlineStr">
        <is>
          <t>P4</t>
        </is>
      </c>
      <c r="O356" t="inlineStr">
        <is>
          <t>CVE - IP enrichment n/a</t>
        </is>
      </c>
      <c r="P356" t="n">
        <v>0</v>
      </c>
      <c r="Q356" t="n">
        <v>0</v>
      </c>
      <c r="R356" t="inlineStr">
        <is>
          <t>T1189:Drive-by Compromise</t>
        </is>
      </c>
      <c r="S356" t="n">
        <v>1</v>
      </c>
      <c r="T356" t="inlineStr">
        <is>
          <t>LOW (40%)</t>
        </is>
      </c>
      <c r="U356" t="inlineStr">
        <is>
          <t>UNLIKELY</t>
        </is>
      </c>
      <c r="V356" t="inlineStr">
        <is>
          <t>CHECK_VENDOR</t>
        </is>
      </c>
      <c r="W356" t="inlineStr">
        <is>
          <t>https://nvd.nist.gov/vuln/detail/CVE-2026-23608</t>
        </is>
      </c>
      <c r="X356" t="inlineStr">
        <is>
          <t>NONE</t>
        </is>
      </c>
      <c r="Y356" t="n">
        <v>0</v>
      </c>
      <c r="Z356" t="inlineStr"/>
      <c r="AA356" t="inlineStr">
        <is>
          <t>https://nvd.nist.gov/vuln/detail/CVE-2026-23608</t>
        </is>
      </c>
    </row>
    <row r="357">
      <c r="A357" t="inlineStr">
        <is>
          <t>CVE</t>
        </is>
      </c>
      <c r="B357" t="inlineStr">
        <is>
          <t>CVE-2026-23609</t>
        </is>
      </c>
      <c r="C357" t="inlineStr">
        <is>
          <t>GFI MailEssentials AI versions prior to 22.4 contain a stored cross-site scripting vulnerability in the Perimeter SMTP Servers configuration page. An authenticated user can supply HTML/JavaScript in the ctl00$ContentPlaceHolder1$pv3$txtDescription parameter to /MailEssentials/pages/MailSecurity/PerimeterSMTPServers.aspx, which is stored and later rendered in the management interface, allowing script execution in the context of a logged-in user.</t>
        </is>
      </c>
      <c r="D357" t="n">
        <v>5.4</v>
      </c>
      <c r="E357" t="inlineStr">
        <is>
          <t>MEDIUM</t>
        </is>
      </c>
      <c r="F357" t="n">
        <v>2</v>
      </c>
      <c r="G357" t="n">
        <v>2</v>
      </c>
      <c r="H357" t="inlineStr">
        <is>
          <t>MEDIUM</t>
        </is>
      </c>
      <c r="I357" t="n">
        <v>9.4</v>
      </c>
      <c r="J357" t="inlineStr">
        <is>
          <t>NO</t>
        </is>
      </c>
      <c r="K357" t="inlineStr">
        <is>
          <t>2026-02-26 00:15</t>
        </is>
      </c>
      <c r="L357" t="inlineStr">
        <is>
          <t>CHECK_VENDOR</t>
        </is>
      </c>
      <c r="M357" t="inlineStr">
        <is>
          <t>gfi mailessentials *</t>
        </is>
      </c>
      <c r="N357" t="inlineStr">
        <is>
          <t>P4</t>
        </is>
      </c>
      <c r="O357" t="inlineStr">
        <is>
          <t>CVE - IP enrichment n/a</t>
        </is>
      </c>
      <c r="P357" t="n">
        <v>0</v>
      </c>
      <c r="Q357" t="n">
        <v>0</v>
      </c>
      <c r="R357" t="inlineStr">
        <is>
          <t>T1189:Drive-by Compromise</t>
        </is>
      </c>
      <c r="S357" t="n">
        <v>1</v>
      </c>
      <c r="T357" t="inlineStr">
        <is>
          <t>LOW (40%)</t>
        </is>
      </c>
      <c r="U357" t="inlineStr">
        <is>
          <t>UNLIKELY</t>
        </is>
      </c>
      <c r="V357" t="inlineStr">
        <is>
          <t>CHECK_VENDOR</t>
        </is>
      </c>
      <c r="W357" t="inlineStr">
        <is>
          <t>https://nvd.nist.gov/vuln/detail/CVE-2026-23609</t>
        </is>
      </c>
      <c r="X357" t="inlineStr">
        <is>
          <t>NONE</t>
        </is>
      </c>
      <c r="Y357" t="n">
        <v>0</v>
      </c>
      <c r="Z357" t="inlineStr"/>
      <c r="AA357" t="inlineStr">
        <is>
          <t>https://nvd.nist.gov/vuln/detail/CVE-2026-23609</t>
        </is>
      </c>
    </row>
    <row r="358">
      <c r="A358" t="inlineStr">
        <is>
          <t>CVE</t>
        </is>
      </c>
      <c r="B358" t="inlineStr">
        <is>
          <t>CVE-2026-23610</t>
        </is>
      </c>
      <c r="C358" t="inlineStr">
        <is>
          <t>GFI MailEssentials AI versions prior to 22.4 contain a stored cross-site scripting vulnerability in the POP2Exchange configuration endpoint. An authenticated user can supply HTML/JavaScript in the POP3 server login field within the JSON \"popServers\" payload to /MailEssentials/pages/MailSecurity/POP2Exchange.aspx/Save, which is stored and later rendered in the management interface, allowing script execution in the context of a logged-in user.</t>
        </is>
      </c>
      <c r="D358" t="n">
        <v>5.4</v>
      </c>
      <c r="E358" t="inlineStr">
        <is>
          <t>MEDIUM</t>
        </is>
      </c>
      <c r="F358" t="n">
        <v>2</v>
      </c>
      <c r="G358" t="n">
        <v>2</v>
      </c>
      <c r="H358" t="inlineStr">
        <is>
          <t>MEDIUM</t>
        </is>
      </c>
      <c r="I358" t="n">
        <v>9.4</v>
      </c>
      <c r="J358" t="inlineStr">
        <is>
          <t>NO</t>
        </is>
      </c>
      <c r="K358" t="inlineStr">
        <is>
          <t>2026-02-26 00:15</t>
        </is>
      </c>
      <c r="L358" t="inlineStr">
        <is>
          <t>CHECK_VENDOR</t>
        </is>
      </c>
      <c r="M358" t="inlineStr">
        <is>
          <t>gfi mailessentials *</t>
        </is>
      </c>
      <c r="N358" t="inlineStr">
        <is>
          <t>P4</t>
        </is>
      </c>
      <c r="O358" t="inlineStr">
        <is>
          <t>CVE - IP enrichment n/a</t>
        </is>
      </c>
      <c r="P358" t="n">
        <v>0</v>
      </c>
      <c r="Q358" t="n">
        <v>0</v>
      </c>
      <c r="R358" t="inlineStr">
        <is>
          <t>T1189:Drive-by Compromise</t>
        </is>
      </c>
      <c r="S358" t="n">
        <v>1</v>
      </c>
      <c r="T358" t="inlineStr">
        <is>
          <t>LOW (40%)</t>
        </is>
      </c>
      <c r="U358" t="inlineStr">
        <is>
          <t>UNLIKELY</t>
        </is>
      </c>
      <c r="V358" t="inlineStr">
        <is>
          <t>CHECK_VENDOR</t>
        </is>
      </c>
      <c r="W358" t="inlineStr">
        <is>
          <t>https://nvd.nist.gov/vuln/detail/CVE-2026-23610</t>
        </is>
      </c>
      <c r="X358" t="inlineStr">
        <is>
          <t>NONE</t>
        </is>
      </c>
      <c r="Y358" t="n">
        <v>0</v>
      </c>
      <c r="Z358" t="inlineStr"/>
      <c r="AA358" t="inlineStr">
        <is>
          <t>https://nvd.nist.gov/vuln/detail/CVE-2026-23610</t>
        </is>
      </c>
    </row>
    <row r="359">
      <c r="A359" t="inlineStr">
        <is>
          <t>CVE</t>
        </is>
      </c>
      <c r="B359" t="inlineStr">
        <is>
          <t>CVE-2026-23611</t>
        </is>
      </c>
      <c r="C359" t="inlineStr">
        <is>
          <t>GFI MailEssentials AI versions prior to 22.4 contain a stored cross-site scripting vulnerability in the IP Blocklist management page. An authenticated user can supply HTML/JavaScript in the ctl00$ContentPlaceHolder1$pv1$txtIPDescription parameter to /MailEssentials/pages/MailSecurity/ipblocklist.aspx, which is stored and later rendered in the management interface, allowing script execution in the context of a logged-in user.</t>
        </is>
      </c>
      <c r="D359" t="n">
        <v>5.4</v>
      </c>
      <c r="E359" t="inlineStr">
        <is>
          <t>MEDIUM</t>
        </is>
      </c>
      <c r="F359" t="n">
        <v>2</v>
      </c>
      <c r="G359" t="n">
        <v>2</v>
      </c>
      <c r="H359" t="inlineStr">
        <is>
          <t>MEDIUM</t>
        </is>
      </c>
      <c r="I359" t="n">
        <v>9.4</v>
      </c>
      <c r="J359" t="inlineStr">
        <is>
          <t>NO</t>
        </is>
      </c>
      <c r="K359" t="inlineStr">
        <is>
          <t>2026-02-26 00:15</t>
        </is>
      </c>
      <c r="L359" t="inlineStr">
        <is>
          <t>CHECK_VENDOR</t>
        </is>
      </c>
      <c r="M359" t="inlineStr">
        <is>
          <t>gfi mailessentials *</t>
        </is>
      </c>
      <c r="N359" t="inlineStr">
        <is>
          <t>P4</t>
        </is>
      </c>
      <c r="O359" t="inlineStr">
        <is>
          <t>CVE - IP enrichment n/a</t>
        </is>
      </c>
      <c r="P359" t="n">
        <v>0</v>
      </c>
      <c r="Q359" t="n">
        <v>0</v>
      </c>
      <c r="R359" t="inlineStr">
        <is>
          <t>T1189:Drive-by Compromise</t>
        </is>
      </c>
      <c r="S359" t="n">
        <v>1</v>
      </c>
      <c r="T359" t="inlineStr">
        <is>
          <t>LOW (40%)</t>
        </is>
      </c>
      <c r="U359" t="inlineStr">
        <is>
          <t>UNLIKELY</t>
        </is>
      </c>
      <c r="V359" t="inlineStr">
        <is>
          <t>CHECK_VENDOR</t>
        </is>
      </c>
      <c r="W359" t="inlineStr">
        <is>
          <t>https://nvd.nist.gov/vuln/detail/CVE-2026-23611</t>
        </is>
      </c>
      <c r="X359" t="inlineStr">
        <is>
          <t>NONE</t>
        </is>
      </c>
      <c r="Y359" t="n">
        <v>0</v>
      </c>
      <c r="Z359" t="inlineStr"/>
      <c r="AA359" t="inlineStr">
        <is>
          <t>https://nvd.nist.gov/vuln/detail/CVE-2026-23611</t>
        </is>
      </c>
    </row>
    <row r="360">
      <c r="A360" t="inlineStr">
        <is>
          <t>CVE</t>
        </is>
      </c>
      <c r="B360" t="inlineStr">
        <is>
          <t>CVE-2026-23612</t>
        </is>
      </c>
      <c r="C360" t="inlineStr">
        <is>
          <t>GFI MailEssentials AI versions prior to 22.4 contain a stored cross-site scripting vulnerability in the IP DNS Blocklist configuration page. An authenticated user can supply HTML/JavaScript in the ctl00$ContentPlaceHolder1$pv1$TXB_IPs parameter to /MailEssentials/pages/MailSecurity/ipdnsblocklist.aspx, which is stored and later rendered in the management interface, allowing script execution in the context of a logged-in user.</t>
        </is>
      </c>
      <c r="D360" t="n">
        <v>5.4</v>
      </c>
      <c r="E360" t="inlineStr">
        <is>
          <t>MEDIUM</t>
        </is>
      </c>
      <c r="F360" t="n">
        <v>2</v>
      </c>
      <c r="G360" t="n">
        <v>2</v>
      </c>
      <c r="H360" t="inlineStr">
        <is>
          <t>MEDIUM</t>
        </is>
      </c>
      <c r="I360" t="n">
        <v>9.4</v>
      </c>
      <c r="J360" t="inlineStr">
        <is>
          <t>NO</t>
        </is>
      </c>
      <c r="K360" t="inlineStr">
        <is>
          <t>2026-02-26 00:15</t>
        </is>
      </c>
      <c r="L360" t="inlineStr">
        <is>
          <t>CHECK_VENDOR</t>
        </is>
      </c>
      <c r="M360" t="inlineStr">
        <is>
          <t>gfi mailessentials *</t>
        </is>
      </c>
      <c r="N360" t="inlineStr">
        <is>
          <t>P4</t>
        </is>
      </c>
      <c r="O360" t="inlineStr">
        <is>
          <t>CVE - IP enrichment n/a</t>
        </is>
      </c>
      <c r="P360" t="n">
        <v>0</v>
      </c>
      <c r="Q360" t="n">
        <v>0</v>
      </c>
      <c r="R360" t="inlineStr">
        <is>
          <t>T1189:Drive-by Compromise</t>
        </is>
      </c>
      <c r="S360" t="n">
        <v>1</v>
      </c>
      <c r="T360" t="inlineStr">
        <is>
          <t>LOW (40%)</t>
        </is>
      </c>
      <c r="U360" t="inlineStr">
        <is>
          <t>UNLIKELY</t>
        </is>
      </c>
      <c r="V360" t="inlineStr">
        <is>
          <t>CHECK_VENDOR</t>
        </is>
      </c>
      <c r="W360" t="inlineStr">
        <is>
          <t>https://nvd.nist.gov/vuln/detail/CVE-2026-23612</t>
        </is>
      </c>
      <c r="X360" t="inlineStr">
        <is>
          <t>NONE</t>
        </is>
      </c>
      <c r="Y360" t="n">
        <v>0</v>
      </c>
      <c r="Z360" t="inlineStr"/>
      <c r="AA360" t="inlineStr">
        <is>
          <t>https://nvd.nist.gov/vuln/detail/CVE-2026-23612</t>
        </is>
      </c>
    </row>
    <row r="361">
      <c r="A361" t="inlineStr">
        <is>
          <t>CVE</t>
        </is>
      </c>
      <c r="B361" t="inlineStr">
        <is>
          <t>CVE-2026-23613</t>
        </is>
      </c>
      <c r="C361" t="inlineStr">
        <is>
          <t>GFI MailEssentials AI versions prior to 22.4 contain a stored cross-site scripting vulnerability in the URI DNS Blocklist configuration page. An authenticated user can supply HTML/JavaScript in the ctl00$ContentPlaceHolder1$pv1$TXB_URIs parameter to /MailEssentials/pages/MailSecurity/uridnsblocklist.aspx, which is stored and later rendered in the management interface, allowing script execution in the context of a logged-in user.</t>
        </is>
      </c>
      <c r="D361" t="n">
        <v>5.4</v>
      </c>
      <c r="E361" t="inlineStr">
        <is>
          <t>MEDIUM</t>
        </is>
      </c>
      <c r="F361" t="n">
        <v>2</v>
      </c>
      <c r="G361" t="n">
        <v>2</v>
      </c>
      <c r="H361" t="inlineStr">
        <is>
          <t>MEDIUM</t>
        </is>
      </c>
      <c r="I361" t="n">
        <v>9.4</v>
      </c>
      <c r="J361" t="inlineStr">
        <is>
          <t>NO</t>
        </is>
      </c>
      <c r="K361" t="inlineStr">
        <is>
          <t>2026-02-26 00:15</t>
        </is>
      </c>
      <c r="L361" t="inlineStr">
        <is>
          <t>CHECK_VENDOR</t>
        </is>
      </c>
      <c r="M361" t="inlineStr">
        <is>
          <t>gfi mailessentials *</t>
        </is>
      </c>
      <c r="N361" t="inlineStr">
        <is>
          <t>P4</t>
        </is>
      </c>
      <c r="O361" t="inlineStr">
        <is>
          <t>CVE - IP enrichment n/a</t>
        </is>
      </c>
      <c r="P361" t="n">
        <v>0</v>
      </c>
      <c r="Q361" t="n">
        <v>0</v>
      </c>
      <c r="R361" t="inlineStr">
        <is>
          <t>T1189:Drive-by Compromise</t>
        </is>
      </c>
      <c r="S361" t="n">
        <v>1</v>
      </c>
      <c r="T361" t="inlineStr">
        <is>
          <t>LOW (40%)</t>
        </is>
      </c>
      <c r="U361" t="inlineStr">
        <is>
          <t>UNLIKELY</t>
        </is>
      </c>
      <c r="V361" t="inlineStr">
        <is>
          <t>CHECK_VENDOR</t>
        </is>
      </c>
      <c r="W361" t="inlineStr">
        <is>
          <t>https://nvd.nist.gov/vuln/detail/CVE-2026-23613</t>
        </is>
      </c>
      <c r="X361" t="inlineStr">
        <is>
          <t>NONE</t>
        </is>
      </c>
      <c r="Y361" t="n">
        <v>0</v>
      </c>
      <c r="Z361" t="inlineStr"/>
      <c r="AA361" t="inlineStr">
        <is>
          <t>https://nvd.nist.gov/vuln/detail/CVE-2026-23613</t>
        </is>
      </c>
    </row>
    <row r="362">
      <c r="A362" t="inlineStr">
        <is>
          <t>CVE</t>
        </is>
      </c>
      <c r="B362" t="inlineStr">
        <is>
          <t>CVE-2026-23614</t>
        </is>
      </c>
      <c r="C362" t="inlineStr">
        <is>
          <t>GFI MailEssentials AI versions prior to 22.4 contain a stored cross-site scripting vulnerability in the Sender Policy Framework IP Exceptions interface. An authenticated user can supply HTML/JavaScript in the ctl00$ContentPlaceHolder1$pv2$txtIPDescription parameter to /MailEssentials/pages/MailSecurity/SenderPolicyFramework.aspx, which is stored and later rendered in the management interface, allowing script execution in the context of a logged-in user.</t>
        </is>
      </c>
      <c r="D362" t="n">
        <v>5.4</v>
      </c>
      <c r="E362" t="inlineStr">
        <is>
          <t>MEDIUM</t>
        </is>
      </c>
      <c r="F362" t="n">
        <v>2</v>
      </c>
      <c r="G362" t="n">
        <v>2</v>
      </c>
      <c r="H362" t="inlineStr">
        <is>
          <t>MEDIUM</t>
        </is>
      </c>
      <c r="I362" t="n">
        <v>9.4</v>
      </c>
      <c r="J362" t="inlineStr">
        <is>
          <t>NO</t>
        </is>
      </c>
      <c r="K362" t="inlineStr">
        <is>
          <t>2026-02-26 00:15</t>
        </is>
      </c>
      <c r="L362" t="inlineStr">
        <is>
          <t>CHECK_VENDOR</t>
        </is>
      </c>
      <c r="M362" t="inlineStr">
        <is>
          <t>gfi mailessentials *</t>
        </is>
      </c>
      <c r="N362" t="inlineStr">
        <is>
          <t>P4</t>
        </is>
      </c>
      <c r="O362" t="inlineStr">
        <is>
          <t>CVE - IP enrichment n/a</t>
        </is>
      </c>
      <c r="P362" t="n">
        <v>0</v>
      </c>
      <c r="Q362" t="n">
        <v>0</v>
      </c>
      <c r="R362" t="inlineStr">
        <is>
          <t>T1189:Drive-by Compromise</t>
        </is>
      </c>
      <c r="S362" t="n">
        <v>1</v>
      </c>
      <c r="T362" t="inlineStr">
        <is>
          <t>LOW (40%)</t>
        </is>
      </c>
      <c r="U362" t="inlineStr">
        <is>
          <t>UNLIKELY</t>
        </is>
      </c>
      <c r="V362" t="inlineStr">
        <is>
          <t>CHECK_VENDOR</t>
        </is>
      </c>
      <c r="W362" t="inlineStr">
        <is>
          <t>https://nvd.nist.gov/vuln/detail/CVE-2026-23614</t>
        </is>
      </c>
      <c r="X362" t="inlineStr">
        <is>
          <t>NONE</t>
        </is>
      </c>
      <c r="Y362" t="n">
        <v>0</v>
      </c>
      <c r="Z362" t="inlineStr"/>
      <c r="AA362" t="inlineStr">
        <is>
          <t>https://nvd.nist.gov/vuln/detail/CVE-2026-23614</t>
        </is>
      </c>
    </row>
    <row r="363">
      <c r="A363" t="inlineStr">
        <is>
          <t>CVE</t>
        </is>
      </c>
      <c r="B363" t="inlineStr">
        <is>
          <t>CVE-2026-23615</t>
        </is>
      </c>
      <c r="C363" t="inlineStr">
        <is>
          <t>GFI MailEssentials AI versions prior to 22.4 contain a stored cross-site scripting vulnerability in the Sender Policy Framework Email Exceptions interface. An authenticated user can supply HTML/JavaScript in the ctl00$ContentPlaceHolder1$pv4$txtEmailDescription parameter to /MailEssentials/pages/MailSecurity/SenderPolicyFramework.aspx, which is stored and later rendered in the management interface, allowing script execution in the context of a logged-in user.</t>
        </is>
      </c>
      <c r="D363" t="n">
        <v>5.4</v>
      </c>
      <c r="E363" t="inlineStr">
        <is>
          <t>MEDIUM</t>
        </is>
      </c>
      <c r="F363" t="n">
        <v>2</v>
      </c>
      <c r="G363" t="n">
        <v>2</v>
      </c>
      <c r="H363" t="inlineStr">
        <is>
          <t>MEDIUM</t>
        </is>
      </c>
      <c r="I363" t="n">
        <v>9.4</v>
      </c>
      <c r="J363" t="inlineStr">
        <is>
          <t>NO</t>
        </is>
      </c>
      <c r="K363" t="inlineStr">
        <is>
          <t>2026-02-26 00:15</t>
        </is>
      </c>
      <c r="L363" t="inlineStr">
        <is>
          <t>CHECK_VENDOR</t>
        </is>
      </c>
      <c r="M363" t="inlineStr">
        <is>
          <t>gfi mailessentials *</t>
        </is>
      </c>
      <c r="N363" t="inlineStr">
        <is>
          <t>P4</t>
        </is>
      </c>
      <c r="O363" t="inlineStr">
        <is>
          <t>CVE - IP enrichment n/a</t>
        </is>
      </c>
      <c r="P363" t="n">
        <v>0</v>
      </c>
      <c r="Q363" t="n">
        <v>0</v>
      </c>
      <c r="R363" t="inlineStr">
        <is>
          <t>T1189:Drive-by Compromise</t>
        </is>
      </c>
      <c r="S363" t="n">
        <v>1</v>
      </c>
      <c r="T363" t="inlineStr">
        <is>
          <t>LOW (40%)</t>
        </is>
      </c>
      <c r="U363" t="inlineStr">
        <is>
          <t>UNLIKELY</t>
        </is>
      </c>
      <c r="V363" t="inlineStr">
        <is>
          <t>CHECK_VENDOR</t>
        </is>
      </c>
      <c r="W363" t="inlineStr">
        <is>
          <t>https://nvd.nist.gov/vuln/detail/CVE-2026-23615</t>
        </is>
      </c>
      <c r="X363" t="inlineStr">
        <is>
          <t>NONE</t>
        </is>
      </c>
      <c r="Y363" t="n">
        <v>0</v>
      </c>
      <c r="Z363" t="inlineStr"/>
      <c r="AA363" t="inlineStr">
        <is>
          <t>https://nvd.nist.gov/vuln/detail/CVE-2026-23615</t>
        </is>
      </c>
    </row>
    <row r="364">
      <c r="A364" t="inlineStr">
        <is>
          <t>CVE</t>
        </is>
      </c>
      <c r="B364" t="inlineStr">
        <is>
          <t>CVE-2026-23616</t>
        </is>
      </c>
      <c r="C364" t="inlineStr">
        <is>
          <t>GFI MailEssentials AI versions prior to 22.4 contain a stored cross-site scripting vulnerability in the Anti-Spoofing configuration page. An authenticated user can supply HTML/JavaScript in the ctl00$ContentPlaceHolder1$AntiSpoofingGeneral1$TxtSmtpDesc parameter to /MailEssentials/pages/MailSecurity/AntiSpoofing.aspx, which is stored and later rendered in the management interface, allowing script execution in the context of a logged-in user.</t>
        </is>
      </c>
      <c r="D364" t="n">
        <v>5.4</v>
      </c>
      <c r="E364" t="inlineStr">
        <is>
          <t>MEDIUM</t>
        </is>
      </c>
      <c r="F364" t="n">
        <v>2</v>
      </c>
      <c r="G364" t="n">
        <v>2</v>
      </c>
      <c r="H364" t="inlineStr">
        <is>
          <t>MEDIUM</t>
        </is>
      </c>
      <c r="I364" t="n">
        <v>9.4</v>
      </c>
      <c r="J364" t="inlineStr">
        <is>
          <t>NO</t>
        </is>
      </c>
      <c r="K364" t="inlineStr">
        <is>
          <t>2026-02-26 00:15</t>
        </is>
      </c>
      <c r="L364" t="inlineStr">
        <is>
          <t>CHECK_VENDOR</t>
        </is>
      </c>
      <c r="M364" t="inlineStr">
        <is>
          <t>gfi mailessentials *</t>
        </is>
      </c>
      <c r="N364" t="inlineStr">
        <is>
          <t>P4</t>
        </is>
      </c>
      <c r="O364" t="inlineStr">
        <is>
          <t>CVE - IP enrichment n/a</t>
        </is>
      </c>
      <c r="P364" t="n">
        <v>0</v>
      </c>
      <c r="Q364" t="n">
        <v>0</v>
      </c>
      <c r="R364" t="inlineStr">
        <is>
          <t>T1189:Drive-by Compromise</t>
        </is>
      </c>
      <c r="S364" t="n">
        <v>1</v>
      </c>
      <c r="T364" t="inlineStr">
        <is>
          <t>LOW (40%)</t>
        </is>
      </c>
      <c r="U364" t="inlineStr">
        <is>
          <t>UNLIKELY</t>
        </is>
      </c>
      <c r="V364" t="inlineStr">
        <is>
          <t>CHECK_VENDOR</t>
        </is>
      </c>
      <c r="W364" t="inlineStr">
        <is>
          <t>https://nvd.nist.gov/vuln/detail/CVE-2026-23616</t>
        </is>
      </c>
      <c r="X364" t="inlineStr">
        <is>
          <t>NONE</t>
        </is>
      </c>
      <c r="Y364" t="n">
        <v>0</v>
      </c>
      <c r="Z364" t="inlineStr"/>
      <c r="AA364" t="inlineStr">
        <is>
          <t>https://nvd.nist.gov/vuln/detail/CVE-2026-23616</t>
        </is>
      </c>
    </row>
    <row r="365">
      <c r="A365" t="inlineStr">
        <is>
          <t>CVE</t>
        </is>
      </c>
      <c r="B365" t="inlineStr">
        <is>
          <t>CVE-2026-23617</t>
        </is>
      </c>
      <c r="C365" t="inlineStr">
        <is>
          <t>GFI MailEssentials AI versions prior to 22.4 contain a stored cross-site scripting vulnerability in the Spam Keyword Checking (Body) conditions interface. An authenticated user can supply HTML/JavaScript in the ctl00$ContentPlaceHolder1$pvGeneral$TXB_Condition parameter to /MailEssentials/pages/MailSecurity/ASKeywordChecking.aspx, which is stored and later rendered in the management interface, allowing script execution in the context of a logged-in user.</t>
        </is>
      </c>
      <c r="D365" t="n">
        <v>5.4</v>
      </c>
      <c r="E365" t="inlineStr">
        <is>
          <t>MEDIUM</t>
        </is>
      </c>
      <c r="F365" t="n">
        <v>2</v>
      </c>
      <c r="G365" t="n">
        <v>2</v>
      </c>
      <c r="H365" t="inlineStr">
        <is>
          <t>MEDIUM</t>
        </is>
      </c>
      <c r="I365" t="n">
        <v>9.4</v>
      </c>
      <c r="J365" t="inlineStr">
        <is>
          <t>NO</t>
        </is>
      </c>
      <c r="K365" t="inlineStr">
        <is>
          <t>2026-02-26 00:15</t>
        </is>
      </c>
      <c r="L365" t="inlineStr">
        <is>
          <t>CHECK_VENDOR</t>
        </is>
      </c>
      <c r="M365" t="inlineStr">
        <is>
          <t>gfi mailessentials *</t>
        </is>
      </c>
      <c r="N365" t="inlineStr">
        <is>
          <t>P4</t>
        </is>
      </c>
      <c r="O365" t="inlineStr">
        <is>
          <t>CVE - IP enrichment n/a</t>
        </is>
      </c>
      <c r="P365" t="n">
        <v>0</v>
      </c>
      <c r="Q365" t="n">
        <v>0</v>
      </c>
      <c r="R365" t="inlineStr">
        <is>
          <t>T1189:Drive-by Compromise</t>
        </is>
      </c>
      <c r="S365" t="n">
        <v>1</v>
      </c>
      <c r="T365" t="inlineStr">
        <is>
          <t>LOW (40%)</t>
        </is>
      </c>
      <c r="U365" t="inlineStr">
        <is>
          <t>UNLIKELY</t>
        </is>
      </c>
      <c r="V365" t="inlineStr">
        <is>
          <t>CHECK_VENDOR</t>
        </is>
      </c>
      <c r="W365" t="inlineStr">
        <is>
          <t>https://nvd.nist.gov/vuln/detail/CVE-2026-23617</t>
        </is>
      </c>
      <c r="X365" t="inlineStr">
        <is>
          <t>NONE</t>
        </is>
      </c>
      <c r="Y365" t="n">
        <v>0</v>
      </c>
      <c r="Z365" t="inlineStr"/>
      <c r="AA365" t="inlineStr">
        <is>
          <t>https://nvd.nist.gov/vuln/detail/CVE-2026-23617</t>
        </is>
      </c>
    </row>
    <row r="366">
      <c r="A366" t="inlineStr">
        <is>
          <t>CVE</t>
        </is>
      </c>
      <c r="B366" t="inlineStr">
        <is>
          <t>CVE-2026-23618</t>
        </is>
      </c>
      <c r="C366" t="inlineStr">
        <is>
          <t>GFI MailEssentials AI versions prior to 22.4 contain a stored cross-site scripting vulnerability in the Spam Keyword Checking (Subject) conditions interface. An authenticated user can supply HTML/JavaScript in the ctl00$ContentPlaceHolder1$pvSubject$TXB_SubjectCondition parameter to /MailEssentials/pages/MailSecurity/ASKeywordChecking.aspx, which is stored and later rendered in the management interface, allowing script execution in the context of a logged-in user.</t>
        </is>
      </c>
      <c r="D366" t="n">
        <v>5.4</v>
      </c>
      <c r="E366" t="inlineStr">
        <is>
          <t>MEDIUM</t>
        </is>
      </c>
      <c r="F366" t="n">
        <v>2</v>
      </c>
      <c r="G366" t="n">
        <v>2</v>
      </c>
      <c r="H366" t="inlineStr">
        <is>
          <t>MEDIUM</t>
        </is>
      </c>
      <c r="I366" t="n">
        <v>9.4</v>
      </c>
      <c r="J366" t="inlineStr">
        <is>
          <t>NO</t>
        </is>
      </c>
      <c r="K366" t="inlineStr">
        <is>
          <t>2026-02-26 00:15</t>
        </is>
      </c>
      <c r="L366" t="inlineStr">
        <is>
          <t>CHECK_VENDOR</t>
        </is>
      </c>
      <c r="M366" t="inlineStr">
        <is>
          <t>gfi mailessentials *</t>
        </is>
      </c>
      <c r="N366" t="inlineStr">
        <is>
          <t>P4</t>
        </is>
      </c>
      <c r="O366" t="inlineStr">
        <is>
          <t>CVE - IP enrichment n/a</t>
        </is>
      </c>
      <c r="P366" t="n">
        <v>0</v>
      </c>
      <c r="Q366" t="n">
        <v>0</v>
      </c>
      <c r="R366" t="inlineStr">
        <is>
          <t>T1189:Drive-by Compromise</t>
        </is>
      </c>
      <c r="S366" t="n">
        <v>1</v>
      </c>
      <c r="T366" t="inlineStr">
        <is>
          <t>LOW (40%)</t>
        </is>
      </c>
      <c r="U366" t="inlineStr">
        <is>
          <t>UNLIKELY</t>
        </is>
      </c>
      <c r="V366" t="inlineStr">
        <is>
          <t>CHECK_VENDOR</t>
        </is>
      </c>
      <c r="W366" t="inlineStr">
        <is>
          <t>https://nvd.nist.gov/vuln/detail/CVE-2026-23618</t>
        </is>
      </c>
      <c r="X366" t="inlineStr">
        <is>
          <t>NONE</t>
        </is>
      </c>
      <c r="Y366" t="n">
        <v>0</v>
      </c>
      <c r="Z366" t="inlineStr"/>
      <c r="AA366" t="inlineStr">
        <is>
          <t>https://nvd.nist.gov/vuln/detail/CVE-2026-23618</t>
        </is>
      </c>
    </row>
    <row r="367">
      <c r="A367" t="inlineStr">
        <is>
          <t>CVE</t>
        </is>
      </c>
      <c r="B367" t="inlineStr">
        <is>
          <t>CVE-2026-23619</t>
        </is>
      </c>
      <c r="C367" t="inlineStr">
        <is>
          <t>GFI MailEssentials AI versions prior to 22.4 contain a stored cross-site scripting vulnerability in the Local Domains settings page. An authenticated user can supply HTML/JavaScript in the ctl00$ContentPlaceHolder1$Pv3$txtDescription parameter to /MailEssentials/pages/MailSecurity/general.aspx, which is stored and later rendered in the management interface, allowing script execution in the context of a logged-in user.</t>
        </is>
      </c>
      <c r="D367" t="n">
        <v>5.4</v>
      </c>
      <c r="E367" t="inlineStr">
        <is>
          <t>MEDIUM</t>
        </is>
      </c>
      <c r="F367" t="n">
        <v>2</v>
      </c>
      <c r="G367" t="n">
        <v>2</v>
      </c>
      <c r="H367" t="inlineStr">
        <is>
          <t>MEDIUM</t>
        </is>
      </c>
      <c r="I367" t="n">
        <v>9.4</v>
      </c>
      <c r="J367" t="inlineStr">
        <is>
          <t>NO</t>
        </is>
      </c>
      <c r="K367" t="inlineStr">
        <is>
          <t>2026-02-26 00:15</t>
        </is>
      </c>
      <c r="L367" t="inlineStr">
        <is>
          <t>CHECK_VENDOR</t>
        </is>
      </c>
      <c r="M367" t="inlineStr">
        <is>
          <t>gfi mailessentials *</t>
        </is>
      </c>
      <c r="N367" t="inlineStr">
        <is>
          <t>P4</t>
        </is>
      </c>
      <c r="O367" t="inlineStr">
        <is>
          <t>CVE - IP enrichment n/a</t>
        </is>
      </c>
      <c r="P367" t="n">
        <v>0</v>
      </c>
      <c r="Q367" t="n">
        <v>0</v>
      </c>
      <c r="R367" t="inlineStr">
        <is>
          <t>T1189:Drive-by Compromise</t>
        </is>
      </c>
      <c r="S367" t="n">
        <v>1</v>
      </c>
      <c r="T367" t="inlineStr">
        <is>
          <t>LOW (40%)</t>
        </is>
      </c>
      <c r="U367" t="inlineStr">
        <is>
          <t>UNLIKELY</t>
        </is>
      </c>
      <c r="V367" t="inlineStr">
        <is>
          <t>CHECK_VENDOR</t>
        </is>
      </c>
      <c r="W367" t="inlineStr">
        <is>
          <t>https://nvd.nist.gov/vuln/detail/CVE-2026-23619</t>
        </is>
      </c>
      <c r="X367" t="inlineStr">
        <is>
          <t>NONE</t>
        </is>
      </c>
      <c r="Y367" t="n">
        <v>0</v>
      </c>
      <c r="Z367" t="inlineStr"/>
      <c r="AA367" t="inlineStr">
        <is>
          <t>https://nvd.nist.gov/vuln/detail/CVE-2026-23619</t>
        </is>
      </c>
    </row>
    <row r="368">
      <c r="A368" t="inlineStr">
        <is>
          <t>CVE</t>
        </is>
      </c>
      <c r="B368" t="inlineStr">
        <is>
          <t>CVE-2026-23620</t>
        </is>
      </c>
      <c r="C368" t="inlineStr">
        <is>
          <t>GFI MailEssentials AI versions prior to 22.4 contain an arbitrary file existence enumeration vulnerability in the ListServer.IsDBExist() web method exposed at /MailEssentials/pages/MailSecurity/ListServer.aspx/IsDBExist. An authenticated user can supply an unrestricted filesystem path via the JSON key \"path\", which is URL-decoded and passed to File.Exists(), allowing the attacker to determine whether arbitrary files exist on the server.</t>
        </is>
      </c>
      <c r="D368" t="n">
        <v>4.3</v>
      </c>
      <c r="E368" t="inlineStr">
        <is>
          <t>MEDIUM</t>
        </is>
      </c>
      <c r="F368" t="n">
        <v>2</v>
      </c>
      <c r="G368" t="n">
        <v>2</v>
      </c>
      <c r="H368" t="inlineStr">
        <is>
          <t>MEDIUM</t>
        </is>
      </c>
      <c r="I368" t="n">
        <v>8.300000000000001</v>
      </c>
      <c r="J368" t="inlineStr">
        <is>
          <t>NO</t>
        </is>
      </c>
      <c r="K368" t="inlineStr">
        <is>
          <t>2026-02-26 00:15</t>
        </is>
      </c>
      <c r="L368" t="inlineStr">
        <is>
          <t>CHECK_VENDOR</t>
        </is>
      </c>
      <c r="M368" t="inlineStr">
        <is>
          <t>gfi mailessentials *</t>
        </is>
      </c>
      <c r="N368" t="inlineStr">
        <is>
          <t>P4</t>
        </is>
      </c>
      <c r="O368" t="inlineStr">
        <is>
          <t>CVE - IP enrichment n/a</t>
        </is>
      </c>
      <c r="P368" t="n">
        <v>0</v>
      </c>
      <c r="Q368" t="n">
        <v>0</v>
      </c>
      <c r="R368" t="inlineStr">
        <is>
          <t>T1190:Exploit Public-Facing Application</t>
        </is>
      </c>
      <c r="S368" t="n">
        <v>1</v>
      </c>
      <c r="T368" t="inlineStr">
        <is>
          <t>LOW (40%)</t>
        </is>
      </c>
      <c r="U368" t="inlineStr">
        <is>
          <t>UNLIKELY</t>
        </is>
      </c>
      <c r="V368" t="inlineStr">
        <is>
          <t>CHECK_VENDOR</t>
        </is>
      </c>
      <c r="W368" t="inlineStr">
        <is>
          <t>https://nvd.nist.gov/vuln/detail/CVE-2026-23620</t>
        </is>
      </c>
      <c r="X368" t="inlineStr">
        <is>
          <t>NONE</t>
        </is>
      </c>
      <c r="Y368" t="n">
        <v>0</v>
      </c>
      <c r="Z368" t="inlineStr"/>
      <c r="AA368" t="inlineStr">
        <is>
          <t>https://nvd.nist.gov/vuln/detail/CVE-2026-23620</t>
        </is>
      </c>
    </row>
    <row r="369">
      <c r="A369" t="inlineStr">
        <is>
          <t>CVE</t>
        </is>
      </c>
      <c r="B369" t="inlineStr">
        <is>
          <t>CVE-2026-26337</t>
        </is>
      </c>
      <c r="C369" t="inlineStr">
        <is>
          <t>Hyland Alfresco Transformation Service allows unauthenticated attackers to achieve both arbitrary file read and server-side request forgery through the absolute path traversal.</t>
        </is>
      </c>
      <c r="D369" t="n">
        <v>8.199999999999999</v>
      </c>
      <c r="E369" t="inlineStr">
        <is>
          <t>HIGH</t>
        </is>
      </c>
      <c r="F369" t="n">
        <v>2</v>
      </c>
      <c r="G369" t="n">
        <v>3</v>
      </c>
      <c r="H369" t="inlineStr">
        <is>
          <t>HIGH</t>
        </is>
      </c>
      <c r="I369" t="n">
        <v>14.2</v>
      </c>
      <c r="J369" t="inlineStr">
        <is>
          <t>NO</t>
        </is>
      </c>
      <c r="K369" t="inlineStr">
        <is>
          <t>2026-02-26 00:15</t>
        </is>
      </c>
      <c r="L369" t="inlineStr">
        <is>
          <t>CHECK_VENDOR</t>
        </is>
      </c>
      <c r="M369" t="inlineStr">
        <is>
          <t>See CVE details</t>
        </is>
      </c>
      <c r="N369" t="inlineStr">
        <is>
          <t>P3</t>
        </is>
      </c>
      <c r="O369" t="inlineStr">
        <is>
          <t>CVE - IP enrichment n/a</t>
        </is>
      </c>
      <c r="P369" t="n">
        <v>0</v>
      </c>
      <c r="Q369" t="n">
        <v>0</v>
      </c>
      <c r="R369" t="inlineStr">
        <is>
          <t>T1083:File and Directory Discovery</t>
        </is>
      </c>
      <c r="S369" t="n">
        <v>1</v>
      </c>
      <c r="T369" t="inlineStr">
        <is>
          <t>LOW (40%)</t>
        </is>
      </c>
      <c r="U369" t="inlineStr">
        <is>
          <t>UNLIKELY</t>
        </is>
      </c>
      <c r="V369" t="inlineStr">
        <is>
          <t>CHECK_VENDOR</t>
        </is>
      </c>
      <c r="W369" t="inlineStr">
        <is>
          <t>https://nvd.nist.gov/vuln/detail/CVE-2026-26337</t>
        </is>
      </c>
      <c r="X369" t="inlineStr">
        <is>
          <t>NONE</t>
        </is>
      </c>
      <c r="Y369" t="n">
        <v>0</v>
      </c>
      <c r="Z369" t="inlineStr"/>
      <c r="AA369" t="inlineStr">
        <is>
          <t>https://nvd.nist.gov/vuln/detail/CVE-2026-26337</t>
        </is>
      </c>
    </row>
    <row r="370">
      <c r="A370" t="inlineStr">
        <is>
          <t>CVE</t>
        </is>
      </c>
      <c r="B370" t="inlineStr">
        <is>
          <t>CVE-2026-26338</t>
        </is>
      </c>
      <c r="C370" t="inlineStr">
        <is>
          <t>Hyland Alfresco Transformation Service allows unauthenticated attackers to achieve server-side request forgery (SSRF) through the document processing functionality.</t>
        </is>
      </c>
      <c r="D370" t="n">
        <v>6.5</v>
      </c>
      <c r="E370" t="inlineStr">
        <is>
          <t>MEDIUM</t>
        </is>
      </c>
      <c r="F370" t="n">
        <v>2</v>
      </c>
      <c r="G370" t="n">
        <v>2</v>
      </c>
      <c r="H370" t="inlineStr">
        <is>
          <t>MEDIUM</t>
        </is>
      </c>
      <c r="I370" t="n">
        <v>10.5</v>
      </c>
      <c r="J370" t="inlineStr">
        <is>
          <t>NO</t>
        </is>
      </c>
      <c r="K370" t="inlineStr">
        <is>
          <t>2026-02-26 00:15</t>
        </is>
      </c>
      <c r="L370" t="inlineStr">
        <is>
          <t>CHECK_VENDOR</t>
        </is>
      </c>
      <c r="M370" t="inlineStr">
        <is>
          <t>See CVE details</t>
        </is>
      </c>
      <c r="N370" t="inlineStr">
        <is>
          <t>P4</t>
        </is>
      </c>
      <c r="O370" t="inlineStr">
        <is>
          <t>CVE - IP enrichment n/a</t>
        </is>
      </c>
      <c r="P370" t="n">
        <v>0</v>
      </c>
      <c r="Q370" t="n">
        <v>0</v>
      </c>
      <c r="R370" t="inlineStr">
        <is>
          <t>T1090:Proxy</t>
        </is>
      </c>
      <c r="S370" t="n">
        <v>1</v>
      </c>
      <c r="T370" t="inlineStr">
        <is>
          <t>LOW (40%)</t>
        </is>
      </c>
      <c r="U370" t="inlineStr">
        <is>
          <t>UNLIKELY</t>
        </is>
      </c>
      <c r="V370" t="inlineStr">
        <is>
          <t>CHECK_VENDOR</t>
        </is>
      </c>
      <c r="W370" t="inlineStr">
        <is>
          <t>https://nvd.nist.gov/vuln/detail/CVE-2026-26338</t>
        </is>
      </c>
      <c r="X370" t="inlineStr">
        <is>
          <t>NONE</t>
        </is>
      </c>
      <c r="Y370" t="n">
        <v>0</v>
      </c>
      <c r="Z370" t="inlineStr"/>
      <c r="AA370" t="inlineStr">
        <is>
          <t>https://nvd.nist.gov/vuln/detail/CVE-2026-26338</t>
        </is>
      </c>
    </row>
    <row r="371">
      <c r="A371" t="inlineStr">
        <is>
          <t>CVE</t>
        </is>
      </c>
      <c r="B371" t="inlineStr">
        <is>
          <t>CVE-2026-26339</t>
        </is>
      </c>
      <c r="C371" t="inlineStr">
        <is>
          <t>Hyland Alfresco Transformation Service allows unauthenticated attackers to achieve remote code execution through the argument injection vulnerability, which exists in the document processing functionality.</t>
        </is>
      </c>
      <c r="D371" t="n">
        <v>9.800000000000001</v>
      </c>
      <c r="E371" t="inlineStr">
        <is>
          <t>CRITICAL</t>
        </is>
      </c>
      <c r="F371" t="n">
        <v>2</v>
      </c>
      <c r="G371" t="n">
        <v>3</v>
      </c>
      <c r="H371" t="inlineStr">
        <is>
          <t>HIGH</t>
        </is>
      </c>
      <c r="I371" t="n">
        <v>15.8</v>
      </c>
      <c r="J371" t="inlineStr">
        <is>
          <t>NO</t>
        </is>
      </c>
      <c r="K371" t="inlineStr">
        <is>
          <t>2026-02-26 00:15</t>
        </is>
      </c>
      <c r="L371" t="inlineStr">
        <is>
          <t>CHECK_VENDOR</t>
        </is>
      </c>
      <c r="M371" t="inlineStr">
        <is>
          <t>See CVE details</t>
        </is>
      </c>
      <c r="N371" t="inlineStr">
        <is>
          <t>P3</t>
        </is>
      </c>
      <c r="O371" t="inlineStr">
        <is>
          <t>CVE - IP enrichment n/a</t>
        </is>
      </c>
      <c r="P371" t="n">
        <v>0.0022</v>
      </c>
      <c r="Q371" t="n">
        <v>0.4402</v>
      </c>
      <c r="R371" t="inlineStr">
        <is>
          <t>T1090:Proxy | T1190:Exploit Public-Facing Application | T1210:Exploitation of Remote Services</t>
        </is>
      </c>
      <c r="S371" t="n">
        <v>1</v>
      </c>
      <c r="T371" t="inlineStr">
        <is>
          <t>LOW (40%)</t>
        </is>
      </c>
      <c r="U371" t="inlineStr">
        <is>
          <t>UNLIKELY</t>
        </is>
      </c>
      <c r="V371" t="inlineStr">
        <is>
          <t>CHECK_VENDOR</t>
        </is>
      </c>
      <c r="W371" t="inlineStr">
        <is>
          <t>https://nvd.nist.gov/vuln/detail/CVE-2026-26339</t>
        </is>
      </c>
      <c r="X371" t="inlineStr">
        <is>
          <t>NONE</t>
        </is>
      </c>
      <c r="Y371" t="n">
        <v>0</v>
      </c>
      <c r="Z371" t="inlineStr"/>
      <c r="AA371" t="inlineStr">
        <is>
          <t>https://nvd.nist.gov/vuln/detail/CVE-2026-26339</t>
        </is>
      </c>
    </row>
    <row r="372">
      <c r="A372" t="inlineStr">
        <is>
          <t>CVE</t>
        </is>
      </c>
      <c r="B372" t="inlineStr">
        <is>
          <t>CVE-2026-2243</t>
        </is>
      </c>
      <c r="C372" t="inlineStr">
        <is>
          <t>A flaw was found in QEMU. A specially crafted VMDK image could trigger an out-of-bounds read vulnerability, potentially leading to a 12-byte leak of sensitive information or a denial of service condition (DoS).</t>
        </is>
      </c>
      <c r="D372" t="n">
        <v>5.1</v>
      </c>
      <c r="E372" t="inlineStr">
        <is>
          <t>MEDIUM</t>
        </is>
      </c>
      <c r="F372" t="n">
        <v>2</v>
      </c>
      <c r="G372" t="n">
        <v>2</v>
      </c>
      <c r="H372" t="inlineStr">
        <is>
          <t>MEDIUM</t>
        </is>
      </c>
      <c r="I372" t="n">
        <v>9.1</v>
      </c>
      <c r="J372" t="inlineStr">
        <is>
          <t>NO</t>
        </is>
      </c>
      <c r="K372" t="inlineStr">
        <is>
          <t>2026-02-26 00:15</t>
        </is>
      </c>
      <c r="L372" t="inlineStr">
        <is>
          <t>CHECK_VENDOR</t>
        </is>
      </c>
      <c r="M372" t="inlineStr">
        <is>
          <t>See CVE details</t>
        </is>
      </c>
      <c r="N372" t="inlineStr">
        <is>
          <t>P4</t>
        </is>
      </c>
      <c r="O372" t="inlineStr">
        <is>
          <t>CVE - IP enrichment n/a</t>
        </is>
      </c>
      <c r="P372" t="n">
        <v>0</v>
      </c>
      <c r="Q372" t="n">
        <v>0</v>
      </c>
      <c r="R372" t="inlineStr">
        <is>
          <t>T1203:Exploitation for Client Execution | T1499:Endpoint Denial of Service</t>
        </is>
      </c>
      <c r="S372" t="n">
        <v>1</v>
      </c>
      <c r="T372" t="inlineStr">
        <is>
          <t>LOW (40%)</t>
        </is>
      </c>
      <c r="U372" t="inlineStr">
        <is>
          <t>UNLIKELY</t>
        </is>
      </c>
      <c r="V372" t="inlineStr">
        <is>
          <t>CHECK_VENDOR</t>
        </is>
      </c>
      <c r="W372" t="inlineStr">
        <is>
          <t>https://nvd.nist.gov/vuln/detail/CVE-2026-2243</t>
        </is>
      </c>
      <c r="X372" t="inlineStr">
        <is>
          <t>NONE</t>
        </is>
      </c>
      <c r="Y372" t="n">
        <v>0</v>
      </c>
      <c r="Z372" t="inlineStr"/>
      <c r="AA372" t="inlineStr">
        <is>
          <t>https://nvd.nist.gov/vuln/detail/CVE-2026-2243</t>
        </is>
      </c>
    </row>
    <row r="373">
      <c r="A373" t="inlineStr">
        <is>
          <t>CVE</t>
        </is>
      </c>
      <c r="B373" t="inlineStr">
        <is>
          <t>CVE-2026-2409</t>
        </is>
      </c>
      <c r="C373" t="inlineStr">
        <is>
          <t>Improper Neutralization of Special Elements used in an SQL Command ('SQL Injection') vulnerability in Delinea Cloud Suite allows Argument Injection.This issue affects Cloud Suite: before 25.2 HF1.</t>
        </is>
      </c>
      <c r="D373" t="n">
        <v>5</v>
      </c>
      <c r="E373" t="inlineStr">
        <is>
          <t>MEDIUM</t>
        </is>
      </c>
      <c r="F373" t="n">
        <v>2</v>
      </c>
      <c r="G373" t="n">
        <v>2</v>
      </c>
      <c r="H373" t="inlineStr">
        <is>
          <t>MEDIUM</t>
        </is>
      </c>
      <c r="I373" t="n">
        <v>9</v>
      </c>
      <c r="J373" t="inlineStr">
        <is>
          <t>NO</t>
        </is>
      </c>
      <c r="K373" t="inlineStr">
        <is>
          <t>2026-02-26 00:15</t>
        </is>
      </c>
      <c r="L373" t="inlineStr">
        <is>
          <t>CHECK_VENDOR</t>
        </is>
      </c>
      <c r="M373" t="inlineStr">
        <is>
          <t>See CVE details</t>
        </is>
      </c>
      <c r="N373" t="inlineStr">
        <is>
          <t>P4</t>
        </is>
      </c>
      <c r="O373" t="inlineStr">
        <is>
          <t>CVE - IP enrichment n/a</t>
        </is>
      </c>
      <c r="P373" t="n">
        <v>0</v>
      </c>
      <c r="Q373" t="n">
        <v>0</v>
      </c>
      <c r="R373" t="inlineStr">
        <is>
          <t>T1190:Exploit Public-Facing Application</t>
        </is>
      </c>
      <c r="S373" t="n">
        <v>1</v>
      </c>
      <c r="T373" t="inlineStr">
        <is>
          <t>LOW (40%)</t>
        </is>
      </c>
      <c r="U373" t="inlineStr">
        <is>
          <t>UNLIKELY</t>
        </is>
      </c>
      <c r="V373" t="inlineStr">
        <is>
          <t>CHECK_VENDOR</t>
        </is>
      </c>
      <c r="W373" t="inlineStr">
        <is>
          <t>https://nvd.nist.gov/vuln/detail/CVE-2026-2409</t>
        </is>
      </c>
      <c r="X373" t="inlineStr">
        <is>
          <t>NONE</t>
        </is>
      </c>
      <c r="Y373" t="n">
        <v>0</v>
      </c>
      <c r="Z373" t="inlineStr"/>
      <c r="AA373" t="inlineStr">
        <is>
          <t>https://nvd.nist.gov/vuln/detail/CVE-2026-2409</t>
        </is>
      </c>
    </row>
    <row r="374">
      <c r="A374" t="inlineStr">
        <is>
          <t>CVE</t>
        </is>
      </c>
      <c r="B374" t="inlineStr">
        <is>
          <t>CVE-2026-2817</t>
        </is>
      </c>
      <c r="C374" t="inlineStr">
        <is>
          <t>Use of insecure directory in Spring Data Geode snapshot import extracts archives into predictable, permissive directories under the system temp location. On shared hosts, a local user with basic privileges can access another user’s extracted snapshot contents, leading to unintended exposure of cache data.</t>
        </is>
      </c>
      <c r="D374" t="n">
        <v>4.4</v>
      </c>
      <c r="E374" t="inlineStr">
        <is>
          <t>MEDIUM</t>
        </is>
      </c>
      <c r="F374" t="n">
        <v>2</v>
      </c>
      <c r="G374" t="n">
        <v>2</v>
      </c>
      <c r="H374" t="inlineStr">
        <is>
          <t>MEDIUM</t>
        </is>
      </c>
      <c r="I374" t="n">
        <v>8.4</v>
      </c>
      <c r="J374" t="inlineStr">
        <is>
          <t>NO</t>
        </is>
      </c>
      <c r="K374" t="inlineStr">
        <is>
          <t>2026-02-26 00:15</t>
        </is>
      </c>
      <c r="L374" t="inlineStr">
        <is>
          <t>CHECK_VENDOR</t>
        </is>
      </c>
      <c r="M374" t="inlineStr">
        <is>
          <t>See CVE details</t>
        </is>
      </c>
      <c r="N374" t="inlineStr">
        <is>
          <t>P4</t>
        </is>
      </c>
      <c r="O374" t="inlineStr">
        <is>
          <t>CVE - IP enrichment n/a</t>
        </is>
      </c>
      <c r="P374" t="n">
        <v>0</v>
      </c>
      <c r="Q374" t="n">
        <v>0</v>
      </c>
      <c r="R374" t="inlineStr">
        <is>
          <t>T1190:Exploit Public-Facing Application</t>
        </is>
      </c>
      <c r="S374" t="n">
        <v>1</v>
      </c>
      <c r="T374" t="inlineStr">
        <is>
          <t>LOW (40%)</t>
        </is>
      </c>
      <c r="U374" t="inlineStr">
        <is>
          <t>UNLIKELY</t>
        </is>
      </c>
      <c r="V374" t="inlineStr">
        <is>
          <t>CHECK_VENDOR</t>
        </is>
      </c>
      <c r="W374" t="inlineStr">
        <is>
          <t>https://nvd.nist.gov/vuln/detail/CVE-2026-2817</t>
        </is>
      </c>
      <c r="X374" t="inlineStr">
        <is>
          <t>NONE</t>
        </is>
      </c>
      <c r="Y374" t="n">
        <v>0</v>
      </c>
      <c r="Z374" t="inlineStr"/>
      <c r="AA374" t="inlineStr">
        <is>
          <t>https://nvd.nist.gov/vuln/detail/CVE-2026-2817</t>
        </is>
      </c>
    </row>
    <row r="375">
      <c r="A375" t="inlineStr">
        <is>
          <t>CVE</t>
        </is>
      </c>
      <c r="B375" t="inlineStr">
        <is>
          <t>CVE-2026-23621</t>
        </is>
      </c>
      <c r="C375" t="inlineStr">
        <is>
          <t>GFI MailEssentials AI versions prior to 22.4 contain an arbitrary directory existence enumeration vulnerability in the ListServer.IsPathExist() web method exposed at /MailEssentials/pages/MailSecurity/ListServer.aspx/IsPathExist. An authenticated user can supply an unrestricted filesystem path via the JSON key \"path\", which is URL-decoded and passed to Directory.Exists(), allowing the attacker to determine whether arbitrary directories exist on the server.</t>
        </is>
      </c>
      <c r="D375" t="n">
        <v>4.3</v>
      </c>
      <c r="E375" t="inlineStr">
        <is>
          <t>MEDIUM</t>
        </is>
      </c>
      <c r="F375" t="n">
        <v>2</v>
      </c>
      <c r="G375" t="n">
        <v>2</v>
      </c>
      <c r="H375" t="inlineStr">
        <is>
          <t>MEDIUM</t>
        </is>
      </c>
      <c r="I375" t="n">
        <v>8.300000000000001</v>
      </c>
      <c r="J375" t="inlineStr">
        <is>
          <t>NO</t>
        </is>
      </c>
      <c r="K375" t="inlineStr">
        <is>
          <t>2026-02-26 00:15</t>
        </is>
      </c>
      <c r="L375" t="inlineStr">
        <is>
          <t>CHECK_VENDOR</t>
        </is>
      </c>
      <c r="M375" t="inlineStr">
        <is>
          <t>gfi mailessentials *</t>
        </is>
      </c>
      <c r="N375" t="inlineStr">
        <is>
          <t>P4</t>
        </is>
      </c>
      <c r="O375" t="inlineStr">
        <is>
          <t>CVE - IP enrichment n/a</t>
        </is>
      </c>
      <c r="P375" t="n">
        <v>0.0003</v>
      </c>
      <c r="Q375" t="n">
        <v>0.0854</v>
      </c>
      <c r="R375" t="inlineStr">
        <is>
          <t>T1190:Exploit Public-Facing Application</t>
        </is>
      </c>
      <c r="S375" t="n">
        <v>1</v>
      </c>
      <c r="T375" t="inlineStr">
        <is>
          <t>LOW (40%)</t>
        </is>
      </c>
      <c r="U375" t="inlineStr">
        <is>
          <t>UNLIKELY</t>
        </is>
      </c>
      <c r="V375" t="inlineStr">
        <is>
          <t>CHECK_VENDOR</t>
        </is>
      </c>
      <c r="W375" t="inlineStr">
        <is>
          <t>https://nvd.nist.gov/vuln/detail/CVE-2026-23621</t>
        </is>
      </c>
      <c r="X375" t="inlineStr">
        <is>
          <t>NONE</t>
        </is>
      </c>
      <c r="Y375" t="n">
        <v>0</v>
      </c>
      <c r="Z375" t="inlineStr"/>
      <c r="AA375" t="inlineStr">
        <is>
          <t>https://nvd.nist.gov/vuln/detail/CVE-2026-23621</t>
        </is>
      </c>
    </row>
    <row r="376">
      <c r="A376" t="inlineStr">
        <is>
          <t>CVE</t>
        </is>
      </c>
      <c r="B376" t="inlineStr">
        <is>
          <t>CVE-2026-26057</t>
        </is>
      </c>
      <c r="C376" t="inlineStr">
        <is>
          <t>Skill Scanner is a security scanner for AI Agent Skills that detects prompt injection, data exfiltration, and malicious code patterns. A vulnerability in the API Server of Skill Scanner could allow a unauthenticated, remote attacker to interact with the server API and either trigger a denial of service (DoS) condition or upload arbitrary files. This vulnerability is due to an erroneous binding to multiple interfaces. An attacker could exploit this vulnerability by sending API requests to a devic</t>
        </is>
      </c>
      <c r="D376" t="n">
        <v>6.5</v>
      </c>
      <c r="E376" t="inlineStr">
        <is>
          <t>MEDIUM</t>
        </is>
      </c>
      <c r="F376" t="n">
        <v>2</v>
      </c>
      <c r="G376" t="n">
        <v>2</v>
      </c>
      <c r="H376" t="inlineStr">
        <is>
          <t>MEDIUM</t>
        </is>
      </c>
      <c r="I376" t="n">
        <v>10.5</v>
      </c>
      <c r="J376" t="inlineStr">
        <is>
          <t>NO</t>
        </is>
      </c>
      <c r="K376" t="inlineStr">
        <is>
          <t>2026-02-26 00:15</t>
        </is>
      </c>
      <c r="L376" t="inlineStr">
        <is>
          <t>CHECK_VENDOR</t>
        </is>
      </c>
      <c r="M376" t="inlineStr">
        <is>
          <t>See CVE details</t>
        </is>
      </c>
      <c r="N376" t="inlineStr">
        <is>
          <t>P4</t>
        </is>
      </c>
      <c r="O376" t="inlineStr">
        <is>
          <t>CVE - IP enrichment n/a</t>
        </is>
      </c>
      <c r="P376" t="n">
        <v>0</v>
      </c>
      <c r="Q376" t="n">
        <v>0</v>
      </c>
      <c r="R376" t="inlineStr">
        <is>
          <t>T1190:Exploit Public-Facing Application | T1499:Endpoint Denial of Service | T1041:Exfiltration Over C2 Channel</t>
        </is>
      </c>
      <c r="S376" t="n">
        <v>1</v>
      </c>
      <c r="T376" t="inlineStr">
        <is>
          <t>LOW (40%)</t>
        </is>
      </c>
      <c r="U376" t="inlineStr">
        <is>
          <t>UNLIKELY</t>
        </is>
      </c>
      <c r="V376" t="inlineStr">
        <is>
          <t>CHECK_VENDOR</t>
        </is>
      </c>
      <c r="W376" t="inlineStr">
        <is>
          <t>https://nvd.nist.gov/vuln/detail/CVE-2026-26057</t>
        </is>
      </c>
      <c r="X376" t="inlineStr">
        <is>
          <t>NONE</t>
        </is>
      </c>
      <c r="Y376" t="n">
        <v>0</v>
      </c>
      <c r="Z376" t="inlineStr"/>
      <c r="AA376" t="inlineStr">
        <is>
          <t>https://nvd.nist.gov/vuln/detail/CVE-2026-26057</t>
        </is>
      </c>
    </row>
    <row r="377">
      <c r="A377" t="inlineStr">
        <is>
          <t>CVE</t>
        </is>
      </c>
      <c r="B377" t="inlineStr">
        <is>
          <t>CVE-2026-26059</t>
        </is>
      </c>
      <c r="C377" t="inlineStr">
        <is>
          <t>ChurchCRM is an open-source church management system. In versions prior to 6.8.2, it was possible for an authenticated user with permission to edit groups to store a JavaScript payload that would execute when the group was viewed in the Group View. Version 6.8.2 fixes this issue.</t>
        </is>
      </c>
      <c r="D377" t="n">
        <v>5.4</v>
      </c>
      <c r="E377" t="inlineStr">
        <is>
          <t>MEDIUM</t>
        </is>
      </c>
      <c r="F377" t="n">
        <v>2</v>
      </c>
      <c r="G377" t="n">
        <v>2</v>
      </c>
      <c r="H377" t="inlineStr">
        <is>
          <t>MEDIUM</t>
        </is>
      </c>
      <c r="I377" t="n">
        <v>9.4</v>
      </c>
      <c r="J377" t="inlineStr">
        <is>
          <t>NO</t>
        </is>
      </c>
      <c r="K377" t="inlineStr">
        <is>
          <t>2026-02-26 00:15</t>
        </is>
      </c>
      <c r="L377" t="inlineStr">
        <is>
          <t>YES</t>
        </is>
      </c>
      <c r="M377" t="inlineStr">
        <is>
          <t>churchcrm churchcrm *</t>
        </is>
      </c>
      <c r="N377" t="inlineStr">
        <is>
          <t>P4</t>
        </is>
      </c>
      <c r="O377" t="inlineStr">
        <is>
          <t>CVE - IP enrichment n/a</t>
        </is>
      </c>
      <c r="P377" t="n">
        <v>0</v>
      </c>
      <c r="Q377" t="n">
        <v>0</v>
      </c>
      <c r="R377" t="inlineStr">
        <is>
          <t>T1189:Drive-by Compromise | T1190:Exploit Public-Facing Application</t>
        </is>
      </c>
      <c r="S377" t="n">
        <v>1</v>
      </c>
      <c r="T377" t="inlineStr">
        <is>
          <t>LOW (40%)</t>
        </is>
      </c>
      <c r="U377" t="inlineStr">
        <is>
          <t>UNLIKELY</t>
        </is>
      </c>
      <c r="V377" t="inlineStr">
        <is>
          <t>PATCH_AVAILABLE</t>
        </is>
      </c>
      <c r="W377" t="inlineStr">
        <is>
          <t>https://nvd.nist.gov/vuln/detail/CVE-2026-26059</t>
        </is>
      </c>
      <c r="X377" t="inlineStr">
        <is>
          <t>NONE</t>
        </is>
      </c>
      <c r="Y377" t="n">
        <v>0</v>
      </c>
      <c r="Z377" t="inlineStr"/>
      <c r="AA377" t="inlineStr">
        <is>
          <t>https://nvd.nist.gov/vuln/detail/CVE-2026-26059</t>
        </is>
      </c>
    </row>
    <row r="378">
      <c r="A378" t="inlineStr">
        <is>
          <t>CVE</t>
        </is>
      </c>
      <c r="B378" t="inlineStr">
        <is>
          <t>CVE-2026-27472</t>
        </is>
      </c>
      <c r="C378" t="inlineStr">
        <is>
          <t>SPIP before 4.4.9 allows Blind Server-Side Request Forgery (SSRF) via syndicated sites in the private area. When editing a syndicated site, the application does not verify that the syndication URL is a valid remote URL, allowing an authenticated attacker to make the server issue requests to arbitrary internal or external destinations. This vulnerability is not mitigated by the SPIP security screen.</t>
        </is>
      </c>
      <c r="D378" t="n">
        <v>4.3</v>
      </c>
      <c r="E378" t="inlineStr">
        <is>
          <t>MEDIUM</t>
        </is>
      </c>
      <c r="F378" t="n">
        <v>2</v>
      </c>
      <c r="G378" t="n">
        <v>2</v>
      </c>
      <c r="H378" t="inlineStr">
        <is>
          <t>MEDIUM</t>
        </is>
      </c>
      <c r="I378" t="n">
        <v>8.300000000000001</v>
      </c>
      <c r="J378" t="inlineStr">
        <is>
          <t>NO</t>
        </is>
      </c>
      <c r="K378" t="inlineStr">
        <is>
          <t>2026-02-26 00:15</t>
        </is>
      </c>
      <c r="L378" t="inlineStr">
        <is>
          <t>YES</t>
        </is>
      </c>
      <c r="M378" t="inlineStr">
        <is>
          <t>spip spip *</t>
        </is>
      </c>
      <c r="N378" t="inlineStr">
        <is>
          <t>P4</t>
        </is>
      </c>
      <c r="O378" t="inlineStr">
        <is>
          <t>CVE - IP enrichment n/a</t>
        </is>
      </c>
      <c r="P378" t="n">
        <v>0</v>
      </c>
      <c r="Q378" t="n">
        <v>0</v>
      </c>
      <c r="R378" t="inlineStr">
        <is>
          <t>T1090:Proxy</t>
        </is>
      </c>
      <c r="S378" t="n">
        <v>1</v>
      </c>
      <c r="T378" t="inlineStr">
        <is>
          <t>LOW (40%)</t>
        </is>
      </c>
      <c r="U378" t="inlineStr">
        <is>
          <t>UNLIKELY</t>
        </is>
      </c>
      <c r="V378" t="inlineStr">
        <is>
          <t>PATCH_AVAILABLE</t>
        </is>
      </c>
      <c r="W378" t="inlineStr">
        <is>
          <t>https://nvd.nist.gov/vuln/detail/CVE-2026-27472</t>
        </is>
      </c>
      <c r="X378" t="inlineStr">
        <is>
          <t>NONE</t>
        </is>
      </c>
      <c r="Y378" t="n">
        <v>0</v>
      </c>
      <c r="Z378" t="inlineStr"/>
      <c r="AA378" t="inlineStr">
        <is>
          <t>https://nvd.nist.gov/vuln/detail/CVE-2026-27472</t>
        </is>
      </c>
    </row>
    <row r="379">
      <c r="A379" t="inlineStr">
        <is>
          <t>CVE</t>
        </is>
      </c>
      <c r="B379" t="inlineStr">
        <is>
          <t>CVE-2026-27473</t>
        </is>
      </c>
      <c r="C379" t="inlineStr">
        <is>
          <t>SPIP before 4.4.9 allows Stored Cross-Site Scripting (XSS) via syndicated sites in the private area. The #URL_SYNDIC output is not properly sanitized on the private syndicated site page, allowing an attacker who can set a malicious syndication URL to inject persistent scripts that execute when other administrators view the syndicated site details.</t>
        </is>
      </c>
      <c r="D379" t="n">
        <v>6.4</v>
      </c>
      <c r="E379" t="inlineStr">
        <is>
          <t>MEDIUM</t>
        </is>
      </c>
      <c r="F379" t="n">
        <v>2</v>
      </c>
      <c r="G379" t="n">
        <v>2</v>
      </c>
      <c r="H379" t="inlineStr">
        <is>
          <t>MEDIUM</t>
        </is>
      </c>
      <c r="I379" t="n">
        <v>10.4</v>
      </c>
      <c r="J379" t="inlineStr">
        <is>
          <t>NO</t>
        </is>
      </c>
      <c r="K379" t="inlineStr">
        <is>
          <t>2026-02-26 00:15</t>
        </is>
      </c>
      <c r="L379" t="inlineStr">
        <is>
          <t>YES</t>
        </is>
      </c>
      <c r="M379" t="inlineStr">
        <is>
          <t>spip spip *</t>
        </is>
      </c>
      <c r="N379" t="inlineStr">
        <is>
          <t>P4</t>
        </is>
      </c>
      <c r="O379" t="inlineStr">
        <is>
          <t>CVE - IP enrichment n/a</t>
        </is>
      </c>
      <c r="P379" t="n">
        <v>0</v>
      </c>
      <c r="Q379" t="n">
        <v>0</v>
      </c>
      <c r="R379" t="inlineStr">
        <is>
          <t>T1189:Drive-by Compromise</t>
        </is>
      </c>
      <c r="S379" t="n">
        <v>1</v>
      </c>
      <c r="T379" t="inlineStr">
        <is>
          <t>LOW (40%)</t>
        </is>
      </c>
      <c r="U379" t="inlineStr">
        <is>
          <t>UNLIKELY</t>
        </is>
      </c>
      <c r="V379" t="inlineStr">
        <is>
          <t>PATCH_AVAILABLE</t>
        </is>
      </c>
      <c r="W379" t="inlineStr">
        <is>
          <t>https://nvd.nist.gov/vuln/detail/CVE-2026-27473</t>
        </is>
      </c>
      <c r="X379" t="inlineStr">
        <is>
          <t>NONE</t>
        </is>
      </c>
      <c r="Y379" t="n">
        <v>0</v>
      </c>
      <c r="Z379" t="inlineStr"/>
      <c r="AA379" t="inlineStr">
        <is>
          <t>https://nvd.nist.gov/vuln/detail/CVE-2026-27473</t>
        </is>
      </c>
    </row>
    <row r="380">
      <c r="A380" t="inlineStr">
        <is>
          <t>CVE</t>
        </is>
      </c>
      <c r="B380" t="inlineStr">
        <is>
          <t>CVE-2026-27474</t>
        </is>
      </c>
      <c r="C380" t="inlineStr">
        <is>
          <t>SPIP before 4.4.9 allows Cross-Site Scripting (XSS) in the private area, complementing an incomplete fix from SPIP 4.4.8. The echappe_anti_xss() function was not systematically applied to input, form, button, and anchor (a) HTML tags, allowing an attacker to inject malicious scripts through these elements. This vulnerability is not mitigated by the SPIP security screen.</t>
        </is>
      </c>
      <c r="D380" t="n">
        <v>5.4</v>
      </c>
      <c r="E380" t="inlineStr">
        <is>
          <t>MEDIUM</t>
        </is>
      </c>
      <c r="F380" t="n">
        <v>2</v>
      </c>
      <c r="G380" t="n">
        <v>2</v>
      </c>
      <c r="H380" t="inlineStr">
        <is>
          <t>MEDIUM</t>
        </is>
      </c>
      <c r="I380" t="n">
        <v>9.4</v>
      </c>
      <c r="J380" t="inlineStr">
        <is>
          <t>NO</t>
        </is>
      </c>
      <c r="K380" t="inlineStr">
        <is>
          <t>2026-02-26 00:15</t>
        </is>
      </c>
      <c r="L380" t="inlineStr">
        <is>
          <t>YES</t>
        </is>
      </c>
      <c r="M380" t="inlineStr">
        <is>
          <t>spip spip *</t>
        </is>
      </c>
      <c r="N380" t="inlineStr">
        <is>
          <t>P4</t>
        </is>
      </c>
      <c r="O380" t="inlineStr">
        <is>
          <t>CVE - IP enrichment n/a</t>
        </is>
      </c>
      <c r="P380" t="n">
        <v>0</v>
      </c>
      <c r="Q380" t="n">
        <v>0</v>
      </c>
      <c r="R380" t="inlineStr">
        <is>
          <t>T1189:Drive-by Compromise</t>
        </is>
      </c>
      <c r="S380" t="n">
        <v>1</v>
      </c>
      <c r="T380" t="inlineStr">
        <is>
          <t>LOW (40%)</t>
        </is>
      </c>
      <c r="U380" t="inlineStr">
        <is>
          <t>UNLIKELY</t>
        </is>
      </c>
      <c r="V380" t="inlineStr">
        <is>
          <t>PATCH_AVAILABLE</t>
        </is>
      </c>
      <c r="W380" t="inlineStr">
        <is>
          <t>https://nvd.nist.gov/vuln/detail/CVE-2026-27474</t>
        </is>
      </c>
      <c r="X380" t="inlineStr">
        <is>
          <t>NONE</t>
        </is>
      </c>
      <c r="Y380" t="n">
        <v>0</v>
      </c>
      <c r="Z380" t="inlineStr"/>
      <c r="AA380" t="inlineStr">
        <is>
          <t>https://nvd.nist.gov/vuln/detail/CVE-2026-27474</t>
        </is>
      </c>
    </row>
    <row r="381">
      <c r="A381" t="inlineStr">
        <is>
          <t>CVE</t>
        </is>
      </c>
      <c r="B381" t="inlineStr">
        <is>
          <t>CVE-2026-27475</t>
        </is>
      </c>
      <c r="C381" t="inlineStr">
        <is>
          <t>SPIP before 4.4.9 allows Insecure Deserialization in the public area through the table_valeur filter and the DATA iterator, which accept serialized data. An attacker who can place malicious serialized content (a pre-condition requiring prior access or another vulnerability) can trigger arbitrary object instantiation and potentially achieve code execution. The use of serialized data in these components has been deprecated and will be removed in SPIP 5. This vulnerability is not mitigated by the S</t>
        </is>
      </c>
      <c r="D381" t="n">
        <v>8.1</v>
      </c>
      <c r="E381" t="inlineStr">
        <is>
          <t>HIGH</t>
        </is>
      </c>
      <c r="F381" t="n">
        <v>2</v>
      </c>
      <c r="G381" t="n">
        <v>3</v>
      </c>
      <c r="H381" t="inlineStr">
        <is>
          <t>HIGH</t>
        </is>
      </c>
      <c r="I381" t="n">
        <v>14.1</v>
      </c>
      <c r="J381" t="inlineStr">
        <is>
          <t>NO</t>
        </is>
      </c>
      <c r="K381" t="inlineStr">
        <is>
          <t>2026-02-26 00:15</t>
        </is>
      </c>
      <c r="L381" t="inlineStr">
        <is>
          <t>YES</t>
        </is>
      </c>
      <c r="M381" t="inlineStr">
        <is>
          <t>spip spip *</t>
        </is>
      </c>
      <c r="N381" t="inlineStr">
        <is>
          <t>P3</t>
        </is>
      </c>
      <c r="O381" t="inlineStr">
        <is>
          <t>CVE - IP enrichment n/a</t>
        </is>
      </c>
      <c r="P381" t="n">
        <v>0</v>
      </c>
      <c r="Q381" t="n">
        <v>0</v>
      </c>
      <c r="R381" t="inlineStr">
        <is>
          <t>T1059:Command and Scripting Interpreter</t>
        </is>
      </c>
      <c r="S381" t="n">
        <v>1</v>
      </c>
      <c r="T381" t="inlineStr">
        <is>
          <t>LOW (40%)</t>
        </is>
      </c>
      <c r="U381" t="inlineStr">
        <is>
          <t>UNLIKELY</t>
        </is>
      </c>
      <c r="V381" t="inlineStr">
        <is>
          <t>PATCH_AVAILABLE</t>
        </is>
      </c>
      <c r="W381" t="inlineStr">
        <is>
          <t>https://nvd.nist.gov/vuln/detail/CVE-2026-27475</t>
        </is>
      </c>
      <c r="X381" t="inlineStr">
        <is>
          <t>NONE</t>
        </is>
      </c>
      <c r="Y381" t="n">
        <v>0</v>
      </c>
      <c r="Z381" t="inlineStr"/>
      <c r="AA381" t="inlineStr">
        <is>
          <t>https://nvd.nist.gov/vuln/detail/CVE-2026-27475</t>
        </is>
      </c>
    </row>
    <row r="382">
      <c r="A382" t="inlineStr">
        <is>
          <t>CVE</t>
        </is>
      </c>
      <c r="B382" t="inlineStr">
        <is>
          <t>CVE-2025-67304</t>
        </is>
      </c>
      <c r="C382" t="inlineStr">
        <is>
          <t>In Ruckus Network Director (RND) &lt; 4.5.0.54, the OVA appliance contains hardcoded credentials for the ruckus PostgreSQL database user. In the default configuration, the PostgreSQL service is accessible over the network on TCP port 5432. An attacker can use the hardcoded credentials to authenticate remotely, gaining superuser access to the database. This allows creation of administrative users for the web interface, extraction of password hashes, and execution of arbitrary OS commands.</t>
        </is>
      </c>
      <c r="D382" t="n">
        <v>9.800000000000001</v>
      </c>
      <c r="E382" t="inlineStr">
        <is>
          <t>CRITICAL</t>
        </is>
      </c>
      <c r="F382" t="n">
        <v>2</v>
      </c>
      <c r="G382" t="n">
        <v>3</v>
      </c>
      <c r="H382" t="inlineStr">
        <is>
          <t>HIGH</t>
        </is>
      </c>
      <c r="I382" t="n">
        <v>15.8</v>
      </c>
      <c r="J382" t="inlineStr">
        <is>
          <t>NO</t>
        </is>
      </c>
      <c r="K382" t="inlineStr">
        <is>
          <t>2026-02-26 00:15</t>
        </is>
      </c>
      <c r="L382" t="inlineStr">
        <is>
          <t>CHECK_VENDOR</t>
        </is>
      </c>
      <c r="M382" t="inlineStr">
        <is>
          <t>See CVE details</t>
        </is>
      </c>
      <c r="N382" t="inlineStr">
        <is>
          <t>P3</t>
        </is>
      </c>
      <c r="O382" t="inlineStr">
        <is>
          <t>CVE - IP enrichment n/a</t>
        </is>
      </c>
      <c r="P382" t="n">
        <v>0.0009</v>
      </c>
      <c r="Q382" t="n">
        <v>0.2526</v>
      </c>
      <c r="R382" t="inlineStr">
        <is>
          <t>T1552:Unsecured Credentials</t>
        </is>
      </c>
      <c r="S382" t="n">
        <v>1</v>
      </c>
      <c r="T382" t="inlineStr">
        <is>
          <t>LOW (40%)</t>
        </is>
      </c>
      <c r="U382" t="inlineStr">
        <is>
          <t>UNLIKELY</t>
        </is>
      </c>
      <c r="V382" t="inlineStr">
        <is>
          <t>CHECK_VENDOR</t>
        </is>
      </c>
      <c r="W382" t="inlineStr">
        <is>
          <t>https://nvd.nist.gov/vuln/detail/CVE-2025-67304</t>
        </is>
      </c>
      <c r="X382" t="inlineStr">
        <is>
          <t>NONE</t>
        </is>
      </c>
      <c r="Y382" t="n">
        <v>0</v>
      </c>
      <c r="Z382" t="inlineStr"/>
      <c r="AA382" t="inlineStr">
        <is>
          <t>https://nvd.nist.gov/vuln/detail/CVE-2025-67304</t>
        </is>
      </c>
    </row>
    <row r="383">
      <c r="A383" t="inlineStr">
        <is>
          <t>CVE</t>
        </is>
      </c>
      <c r="B383" t="inlineStr">
        <is>
          <t>CVE-2026-26063</t>
        </is>
      </c>
      <c r="C383" t="inlineStr">
        <is>
          <t>CediPay is a crypto-to-fiat app for the Ghanaian market. A vulnerability in CediPay prior to version 1.2.3 allows attackers to bypass input validation in the transaction API. The issue has been fixed in version 1.2.3. If upgrading is not immediately possible, restrict API access to trusted networks or IP ranges; enforce strict input validation at the application layer; and/or monitor transaction logs for anomalies or suspicious activity. These mitigations reduce exposure but do not fully elimina</t>
        </is>
      </c>
      <c r="D383" t="n">
        <v>8.5</v>
      </c>
      <c r="E383" t="inlineStr">
        <is>
          <t>HIGH</t>
        </is>
      </c>
      <c r="F383" t="n">
        <v>2</v>
      </c>
      <c r="G383" t="n">
        <v>3</v>
      </c>
      <c r="H383" t="inlineStr">
        <is>
          <t>HIGH</t>
        </is>
      </c>
      <c r="I383" t="n">
        <v>14.5</v>
      </c>
      <c r="J383" t="inlineStr">
        <is>
          <t>NO</t>
        </is>
      </c>
      <c r="K383" t="inlineStr">
        <is>
          <t>2026-02-26 00:15</t>
        </is>
      </c>
      <c r="L383" t="inlineStr">
        <is>
          <t>CHECK_VENDOR</t>
        </is>
      </c>
      <c r="M383" t="inlineStr">
        <is>
          <t>See CVE details</t>
        </is>
      </c>
      <c r="N383" t="inlineStr">
        <is>
          <t>P3</t>
        </is>
      </c>
      <c r="O383" t="inlineStr">
        <is>
          <t>CVE - IP enrichment n/a</t>
        </is>
      </c>
      <c r="P383" t="n">
        <v>0</v>
      </c>
      <c r="Q383" t="n">
        <v>0</v>
      </c>
      <c r="R383" t="inlineStr">
        <is>
          <t>T1190:Exploit Public-Facing Application</t>
        </is>
      </c>
      <c r="S383" t="n">
        <v>1</v>
      </c>
      <c r="T383" t="inlineStr">
        <is>
          <t>LOW (40%)</t>
        </is>
      </c>
      <c r="U383" t="inlineStr">
        <is>
          <t>UNLIKELY</t>
        </is>
      </c>
      <c r="V383" t="inlineStr">
        <is>
          <t>CHECK_VENDOR</t>
        </is>
      </c>
      <c r="W383" t="inlineStr">
        <is>
          <t>https://nvd.nist.gov/vuln/detail/CVE-2026-26063</t>
        </is>
      </c>
      <c r="X383" t="inlineStr">
        <is>
          <t>NONE</t>
        </is>
      </c>
      <c r="Y383" t="n">
        <v>0</v>
      </c>
      <c r="Z383" t="inlineStr"/>
      <c r="AA383" t="inlineStr">
        <is>
          <t>https://nvd.nist.gov/vuln/detail/CVE-2026-26063</t>
        </is>
      </c>
    </row>
    <row r="384">
      <c r="A384" t="inlineStr">
        <is>
          <t>CVE</t>
        </is>
      </c>
      <c r="B384" t="inlineStr">
        <is>
          <t>CVE-2026-26189</t>
        </is>
      </c>
      <c r="C384" t="inlineStr">
        <is>
          <t>Trivy Action runs Trivy as GitHub action to scan a Docker container image for vulnerabilities. A command injection vulnerability exists in `aquasecurity/trivy-action` versions 0.31.0 through 0.33.1 due to improper handling of action inputs when exporting environment variables. The action writes `export VAR= ` lines to `trivy_envs.txt` based on user-supplied inputs and subsequently sources this file in `entrypoint.sh`. Because input values are written without appropriate shell escaping, attacker-</t>
        </is>
      </c>
      <c r="D384" t="n">
        <v>5.9</v>
      </c>
      <c r="E384" t="inlineStr">
        <is>
          <t>MEDIUM</t>
        </is>
      </c>
      <c r="F384" t="n">
        <v>2</v>
      </c>
      <c r="G384" t="n">
        <v>2</v>
      </c>
      <c r="H384" t="inlineStr">
        <is>
          <t>MEDIUM</t>
        </is>
      </c>
      <c r="I384" t="n">
        <v>9.9</v>
      </c>
      <c r="J384" t="inlineStr">
        <is>
          <t>NO</t>
        </is>
      </c>
      <c r="K384" t="inlineStr">
        <is>
          <t>2026-02-26 00:15</t>
        </is>
      </c>
      <c r="L384" t="inlineStr">
        <is>
          <t>CHECK_VENDOR</t>
        </is>
      </c>
      <c r="M384" t="inlineStr">
        <is>
          <t>See CVE details</t>
        </is>
      </c>
      <c r="N384" t="inlineStr">
        <is>
          <t>P4</t>
        </is>
      </c>
      <c r="O384" t="inlineStr">
        <is>
          <t>CVE - IP enrichment n/a</t>
        </is>
      </c>
      <c r="P384" t="n">
        <v>0</v>
      </c>
      <c r="Q384" t="n">
        <v>0</v>
      </c>
      <c r="R384" t="inlineStr">
        <is>
          <t>T1059:Command and Scripting Interpreter | T1190:Exploit Public-Facing Application</t>
        </is>
      </c>
      <c r="S384" t="n">
        <v>1</v>
      </c>
      <c r="T384" t="inlineStr">
        <is>
          <t>LOW (40%)</t>
        </is>
      </c>
      <c r="U384" t="inlineStr">
        <is>
          <t>UNLIKELY</t>
        </is>
      </c>
      <c r="V384" t="inlineStr">
        <is>
          <t>CHECK_VENDOR</t>
        </is>
      </c>
      <c r="W384" t="inlineStr">
        <is>
          <t>https://nvd.nist.gov/vuln/detail/CVE-2026-26189</t>
        </is>
      </c>
      <c r="X384" t="inlineStr">
        <is>
          <t>NONE</t>
        </is>
      </c>
      <c r="Y384" t="n">
        <v>0</v>
      </c>
      <c r="Z384" t="inlineStr"/>
      <c r="AA384" t="inlineStr">
        <is>
          <t>https://nvd.nist.gov/vuln/detail/CVE-2026-26189</t>
        </is>
      </c>
    </row>
    <row r="385">
      <c r="A385" t="inlineStr">
        <is>
          <t>CVE</t>
        </is>
      </c>
      <c r="B385" t="inlineStr">
        <is>
          <t>CVE-2026-26192</t>
        </is>
      </c>
      <c r="C385" t="inlineStr">
        <is>
          <t>Open WebUI is a self-hosted artificial intelligence platform designed to operate entirely offline. Prior to version 0.7.0, aanually modifying chat history allows setting the `html` property within document metadata. This causes the frontend to enter a code path that treats document contents as HTML, and render them in an iFrame when the citation is previewed. This allows stored XSS via a weaponized document payload in a chat. The payload also executes when the citation is viewed on a shared chat</t>
        </is>
      </c>
      <c r="D385" t="n">
        <v>7.3</v>
      </c>
      <c r="E385" t="inlineStr">
        <is>
          <t>HIGH</t>
        </is>
      </c>
      <c r="F385" t="n">
        <v>2</v>
      </c>
      <c r="G385" t="n">
        <v>3</v>
      </c>
      <c r="H385" t="inlineStr">
        <is>
          <t>HIGH</t>
        </is>
      </c>
      <c r="I385" t="n">
        <v>13.3</v>
      </c>
      <c r="J385" t="inlineStr">
        <is>
          <t>NO</t>
        </is>
      </c>
      <c r="K385" t="inlineStr">
        <is>
          <t>2026-02-26 00:15</t>
        </is>
      </c>
      <c r="L385" t="inlineStr">
        <is>
          <t>YES</t>
        </is>
      </c>
      <c r="M385" t="inlineStr">
        <is>
          <t>openwebui open_webui *</t>
        </is>
      </c>
      <c r="N385" t="inlineStr">
        <is>
          <t>P3</t>
        </is>
      </c>
      <c r="O385" t="inlineStr">
        <is>
          <t>CVE - IP enrichment n/a</t>
        </is>
      </c>
      <c r="P385" t="n">
        <v>0</v>
      </c>
      <c r="Q385" t="n">
        <v>0</v>
      </c>
      <c r="R385" t="inlineStr">
        <is>
          <t>T1189:Drive-by Compromise</t>
        </is>
      </c>
      <c r="S385" t="n">
        <v>1</v>
      </c>
      <c r="T385" t="inlineStr">
        <is>
          <t>LOW (40%)</t>
        </is>
      </c>
      <c r="U385" t="inlineStr">
        <is>
          <t>UNLIKELY</t>
        </is>
      </c>
      <c r="V385" t="inlineStr">
        <is>
          <t>PATCH_AVAILABLE</t>
        </is>
      </c>
      <c r="W385" t="inlineStr">
        <is>
          <t>https://nvd.nist.gov/vuln/detail/CVE-2026-26192</t>
        </is>
      </c>
      <c r="X385" t="inlineStr">
        <is>
          <t>NONE</t>
        </is>
      </c>
      <c r="Y385" t="n">
        <v>0</v>
      </c>
      <c r="Z385" t="inlineStr"/>
      <c r="AA385" t="inlineStr">
        <is>
          <t>https://nvd.nist.gov/vuln/detail/CVE-2026-26192</t>
        </is>
      </c>
    </row>
    <row r="386">
      <c r="A386" t="inlineStr">
        <is>
          <t>CVE</t>
        </is>
      </c>
      <c r="B386" t="inlineStr">
        <is>
          <t>CVE-2026-26193</t>
        </is>
      </c>
      <c r="C386" t="inlineStr">
        <is>
          <t>Open WebUI is a self-hosted artificial intelligence platform designed to operate entirely offline. Prior to version 0.6.44, aanually modifying chat history allows setting the `embeds` property on a response message, the content of which is loaded into an iFrame with a sandbox that has `allow-scripts` and `allow-same-origin` set, ignoring the "iframe Sandbox Allow Same Origin" configuration. This enables stored XSS on the affected chat. This also triggers when the chat is in the shared format. Th</t>
        </is>
      </c>
      <c r="D386" t="n">
        <v>7.3</v>
      </c>
      <c r="E386" t="inlineStr">
        <is>
          <t>HIGH</t>
        </is>
      </c>
      <c r="F386" t="n">
        <v>2</v>
      </c>
      <c r="G386" t="n">
        <v>3</v>
      </c>
      <c r="H386" t="inlineStr">
        <is>
          <t>HIGH</t>
        </is>
      </c>
      <c r="I386" t="n">
        <v>13.3</v>
      </c>
      <c r="J386" t="inlineStr">
        <is>
          <t>NO</t>
        </is>
      </c>
      <c r="K386" t="inlineStr">
        <is>
          <t>2026-02-26 00:15</t>
        </is>
      </c>
      <c r="L386" t="inlineStr">
        <is>
          <t>YES</t>
        </is>
      </c>
      <c r="M386" t="inlineStr">
        <is>
          <t>openwebui open_webui *</t>
        </is>
      </c>
      <c r="N386" t="inlineStr">
        <is>
          <t>P3</t>
        </is>
      </c>
      <c r="O386" t="inlineStr">
        <is>
          <t>CVE - IP enrichment n/a</t>
        </is>
      </c>
      <c r="P386" t="n">
        <v>0.0003</v>
      </c>
      <c r="Q386" t="n">
        <v>0.09229999999999999</v>
      </c>
      <c r="R386" t="inlineStr">
        <is>
          <t>T1189:Drive-by Compromise</t>
        </is>
      </c>
      <c r="S386" t="n">
        <v>1</v>
      </c>
      <c r="T386" t="inlineStr">
        <is>
          <t>LOW (40%)</t>
        </is>
      </c>
      <c r="U386" t="inlineStr">
        <is>
          <t>UNLIKELY</t>
        </is>
      </c>
      <c r="V386" t="inlineStr">
        <is>
          <t>PATCH_AVAILABLE</t>
        </is>
      </c>
      <c r="W386" t="inlineStr">
        <is>
          <t>https://nvd.nist.gov/vuln/detail/CVE-2026-26193</t>
        </is>
      </c>
      <c r="X386" t="inlineStr">
        <is>
          <t>NONE</t>
        </is>
      </c>
      <c r="Y386" t="n">
        <v>0</v>
      </c>
      <c r="Z386" t="inlineStr"/>
      <c r="AA386" t="inlineStr">
        <is>
          <t>https://nvd.nist.gov/vuln/detail/CVE-2026-26193</t>
        </is>
      </c>
    </row>
    <row r="387">
      <c r="A387" t="inlineStr">
        <is>
          <t>CVE</t>
        </is>
      </c>
      <c r="B387" t="inlineStr">
        <is>
          <t>CVE-2026-26200</t>
        </is>
      </c>
      <c r="C387" t="inlineStr">
        <is>
          <t>HDF5 is software for managing data. Prior to version 1.14.4-2, an attacker who can control an `h5` file parsed by HDF5 can trigger a write-based heap buffer overflow condition. This can lead to a denial-of-service condition, and potentially further issues such as remote code execution depending on the practical exploitability of the heap overflow against modern operating systems. Real-world exploitability of this issue in terms of remote-code execution is currently unknown. Version 1.14.4-2 fixe</t>
        </is>
      </c>
      <c r="D387" t="n">
        <v>7.8</v>
      </c>
      <c r="E387" t="inlineStr">
        <is>
          <t>HIGH</t>
        </is>
      </c>
      <c r="F387" t="n">
        <v>2</v>
      </c>
      <c r="G387" t="n">
        <v>3</v>
      </c>
      <c r="H387" t="inlineStr">
        <is>
          <t>HIGH</t>
        </is>
      </c>
      <c r="I387" t="n">
        <v>13.8</v>
      </c>
      <c r="J387" t="inlineStr">
        <is>
          <t>NO</t>
        </is>
      </c>
      <c r="K387" t="inlineStr">
        <is>
          <t>2026-02-26 00:15</t>
        </is>
      </c>
      <c r="L387" t="inlineStr">
        <is>
          <t>CHECK_VENDOR</t>
        </is>
      </c>
      <c r="M387" t="inlineStr">
        <is>
          <t>hdfgroup hdf5 *</t>
        </is>
      </c>
      <c r="N387" t="inlineStr">
        <is>
          <t>P3</t>
        </is>
      </c>
      <c r="O387" t="inlineStr">
        <is>
          <t>CVE - IP enrichment n/a</t>
        </is>
      </c>
      <c r="P387" t="n">
        <v>0</v>
      </c>
      <c r="Q387" t="n">
        <v>0</v>
      </c>
      <c r="R387" t="inlineStr">
        <is>
          <t>T1203:Exploitation for Client Execution | T1190:Exploit Public-Facing Application | T1210:Exploitation of Remote Services</t>
        </is>
      </c>
      <c r="S387" t="n">
        <v>1</v>
      </c>
      <c r="T387" t="inlineStr">
        <is>
          <t>LOW (40%)</t>
        </is>
      </c>
      <c r="U387" t="inlineStr">
        <is>
          <t>UNLIKELY</t>
        </is>
      </c>
      <c r="V387" t="inlineStr">
        <is>
          <t>CHECK_VENDOR</t>
        </is>
      </c>
      <c r="W387" t="inlineStr">
        <is>
          <t>https://nvd.nist.gov/vuln/detail/CVE-2026-26200</t>
        </is>
      </c>
      <c r="X387" t="inlineStr">
        <is>
          <t>NONE</t>
        </is>
      </c>
      <c r="Y387" t="n">
        <v>0</v>
      </c>
      <c r="Z387" t="inlineStr"/>
      <c r="AA387" t="inlineStr">
        <is>
          <t>https://nvd.nist.gov/vuln/detail/CVE-2026-26200</t>
        </is>
      </c>
    </row>
    <row r="388">
      <c r="A388" t="inlineStr">
        <is>
          <t>CVE</t>
        </is>
      </c>
      <c r="B388" t="inlineStr">
        <is>
          <t>CVE-2026-26201</t>
        </is>
      </c>
      <c r="C388" t="inlineStr">
        <is>
          <t>emp3r0r is a C2 designed by Linux users for Linux environments. Prior to version 3.21.2, multiple shared maps are accessed without consistent synchronization across goroutines. Under concurrent activity, Go runtime can trigger `fatal error: concurrent map read and map write`, causing C2 process crash (availability loss). Version 3.21.2 fixes this issue.</t>
        </is>
      </c>
      <c r="D388" t="n">
        <v>5</v>
      </c>
      <c r="E388" t="inlineStr">
        <is>
          <t>MEDIUM</t>
        </is>
      </c>
      <c r="F388" t="n">
        <v>2</v>
      </c>
      <c r="G388" t="n">
        <v>2</v>
      </c>
      <c r="H388" t="inlineStr">
        <is>
          <t>MEDIUM</t>
        </is>
      </c>
      <c r="I388" t="n">
        <v>9</v>
      </c>
      <c r="J388" t="inlineStr">
        <is>
          <t>NO</t>
        </is>
      </c>
      <c r="K388" t="inlineStr">
        <is>
          <t>2026-02-26 00:15</t>
        </is>
      </c>
      <c r="L388" t="inlineStr">
        <is>
          <t>CHECK_VENDOR</t>
        </is>
      </c>
      <c r="M388" t="inlineStr">
        <is>
          <t>See CVE details</t>
        </is>
      </c>
      <c r="N388" t="inlineStr">
        <is>
          <t>P4</t>
        </is>
      </c>
      <c r="O388" t="inlineStr">
        <is>
          <t>CVE - IP enrichment n/a</t>
        </is>
      </c>
      <c r="P388" t="n">
        <v>0</v>
      </c>
      <c r="Q388" t="n">
        <v>0</v>
      </c>
      <c r="R388" t="inlineStr">
        <is>
          <t>T1068:Exploitation for Privilege Escalation</t>
        </is>
      </c>
      <c r="S388" t="n">
        <v>1</v>
      </c>
      <c r="T388" t="inlineStr">
        <is>
          <t>LOW (40%)</t>
        </is>
      </c>
      <c r="U388" t="inlineStr">
        <is>
          <t>UNLIKELY</t>
        </is>
      </c>
      <c r="V388" t="inlineStr">
        <is>
          <t>CHECK_VENDOR</t>
        </is>
      </c>
      <c r="W388" t="inlineStr">
        <is>
          <t>https://nvd.nist.gov/vuln/detail/CVE-2026-26201</t>
        </is>
      </c>
      <c r="X388" t="inlineStr">
        <is>
          <t>NONE</t>
        </is>
      </c>
      <c r="Y388" t="n">
        <v>0</v>
      </c>
      <c r="Z388" t="inlineStr"/>
      <c r="AA388" t="inlineStr">
        <is>
          <t>https://nvd.nist.gov/vuln/detail/CVE-2026-26201</t>
        </is>
      </c>
    </row>
    <row r="389">
      <c r="A389" t="inlineStr">
        <is>
          <t>CVE</t>
        </is>
      </c>
      <c r="B389" t="inlineStr">
        <is>
          <t>CVE-2026-26202</t>
        </is>
      </c>
      <c r="C389" t="inlineStr">
        <is>
          <t>Penpot is an open-source design tool for design and code collaboration. Prior to version 2.13.2, an authenticated user can read arbitrary files from the server by supplying a local file path (e.g. `/etc/passwd`) as a font data chunk in the `create-font-variant` RPC endpoint, resulting in the file contents being stored and retrievable as a "font" asset. This is an arbitrary file read vulnerability. Any authenticated user with team edit permissions can read arbitrary files accessible to the Penpot</t>
        </is>
      </c>
      <c r="D389" t="n">
        <v>7.5</v>
      </c>
      <c r="E389" t="inlineStr">
        <is>
          <t>HIGH</t>
        </is>
      </c>
      <c r="F389" t="n">
        <v>2</v>
      </c>
      <c r="G389" t="n">
        <v>3</v>
      </c>
      <c r="H389" t="inlineStr">
        <is>
          <t>HIGH</t>
        </is>
      </c>
      <c r="I389" t="n">
        <v>13.5</v>
      </c>
      <c r="J389" t="inlineStr">
        <is>
          <t>NO</t>
        </is>
      </c>
      <c r="K389" t="inlineStr">
        <is>
          <t>2026-02-26 00:15</t>
        </is>
      </c>
      <c r="L389" t="inlineStr">
        <is>
          <t>YES</t>
        </is>
      </c>
      <c r="M389" t="inlineStr">
        <is>
          <t>kaleidos penpot *</t>
        </is>
      </c>
      <c r="N389" t="inlineStr">
        <is>
          <t>P3</t>
        </is>
      </c>
      <c r="O389" t="inlineStr">
        <is>
          <t>CVE - IP enrichment n/a</t>
        </is>
      </c>
      <c r="P389" t="n">
        <v>0</v>
      </c>
      <c r="Q389" t="n">
        <v>0</v>
      </c>
      <c r="R389" t="inlineStr">
        <is>
          <t>T1083:File and Directory Discovery | T1190:Exploit Public-Facing Application | T1552:Unsecured Credentials</t>
        </is>
      </c>
      <c r="S389" t="n">
        <v>1</v>
      </c>
      <c r="T389" t="inlineStr">
        <is>
          <t>LOW (40%)</t>
        </is>
      </c>
      <c r="U389" t="inlineStr">
        <is>
          <t>UNLIKELY</t>
        </is>
      </c>
      <c r="V389" t="inlineStr">
        <is>
          <t>PATCH_AVAILABLE</t>
        </is>
      </c>
      <c r="W389" t="inlineStr">
        <is>
          <t>https://nvd.nist.gov/vuln/detail/CVE-2026-26202</t>
        </is>
      </c>
      <c r="X389" t="inlineStr">
        <is>
          <t>NONE</t>
        </is>
      </c>
      <c r="Y389" t="n">
        <v>0</v>
      </c>
      <c r="Z389" t="inlineStr"/>
      <c r="AA389" t="inlineStr">
        <is>
          <t>https://nvd.nist.gov/vuln/detail/CVE-2026-26202</t>
        </is>
      </c>
    </row>
    <row r="390">
      <c r="A390" t="inlineStr">
        <is>
          <t>CVE</t>
        </is>
      </c>
      <c r="B390" t="inlineStr">
        <is>
          <t>CVE-2026-26203</t>
        </is>
      </c>
      <c r="C390" t="inlineStr">
        <is>
          <t>PJSIP is a free and open source multimedia communication library. Versions prior to 2.17 have a critical heap buffer underflow vulnerability in PJSIP's H.264 packetizer. The bug occurs when processing malformed H.264 bitstreams without NAL unit start codes, where the packetizer performs unchecked pointer arithmetic that can read from memory located before the allocated buffer. Version 2.17 contains a patch for the issue.</t>
        </is>
      </c>
      <c r="D390" t="n">
        <v>6.5</v>
      </c>
      <c r="E390" t="inlineStr">
        <is>
          <t>MEDIUM</t>
        </is>
      </c>
      <c r="F390" t="n">
        <v>2</v>
      </c>
      <c r="G390" t="n">
        <v>2</v>
      </c>
      <c r="H390" t="inlineStr">
        <is>
          <t>MEDIUM</t>
        </is>
      </c>
      <c r="I390" t="n">
        <v>10.5</v>
      </c>
      <c r="J390" t="inlineStr">
        <is>
          <t>NO</t>
        </is>
      </c>
      <c r="K390" t="inlineStr">
        <is>
          <t>2026-02-26 00:15</t>
        </is>
      </c>
      <c r="L390" t="inlineStr">
        <is>
          <t>YES</t>
        </is>
      </c>
      <c r="M390" t="inlineStr">
        <is>
          <t>pjsip pjsip *</t>
        </is>
      </c>
      <c r="N390" t="inlineStr">
        <is>
          <t>P4</t>
        </is>
      </c>
      <c r="O390" t="inlineStr">
        <is>
          <t>CVE - IP enrichment n/a</t>
        </is>
      </c>
      <c r="P390" t="n">
        <v>0.0001</v>
      </c>
      <c r="Q390" t="n">
        <v>0.0259</v>
      </c>
      <c r="R390" t="inlineStr">
        <is>
          <t>T1203:Exploitation for Client Execution | T1190:Exploit Public-Facing Application</t>
        </is>
      </c>
      <c r="S390" t="n">
        <v>1</v>
      </c>
      <c r="T390" t="inlineStr">
        <is>
          <t>LOW (40%)</t>
        </is>
      </c>
      <c r="U390" t="inlineStr">
        <is>
          <t>UNLIKELY</t>
        </is>
      </c>
      <c r="V390" t="inlineStr">
        <is>
          <t>PATCH_AVAILABLE</t>
        </is>
      </c>
      <c r="W390" t="inlineStr">
        <is>
          <t>https://nvd.nist.gov/vuln/detail/CVE-2026-26203</t>
        </is>
      </c>
      <c r="X390" t="inlineStr">
        <is>
          <t>NONE</t>
        </is>
      </c>
      <c r="Y390" t="n">
        <v>0</v>
      </c>
      <c r="Z390" t="inlineStr"/>
      <c r="AA390" t="inlineStr">
        <is>
          <t>https://nvd.nist.gov/vuln/detail/CVE-2026-26203</t>
        </is>
      </c>
    </row>
    <row r="391">
      <c r="A391" t="inlineStr">
        <is>
          <t>CVE</t>
        </is>
      </c>
      <c r="B391" t="inlineStr">
        <is>
          <t>CVE-2026-26205</t>
        </is>
      </c>
      <c r="C391" t="inlineStr">
        <is>
          <t xml:space="preserve">opa-envoy-plugun is a plugin to enforce OPA policies with Envoy. Versions prior to 1.13.2-envoy-2 have a vulnerability in how the `input.parsed_path` field is constructed. HTTP request paths are treated as full URIs when parsed; interpreting leading path segments prefixed with double slashes (`//`) as authority components, and therefore dropping them from the parsed path. This creates a path interpretation mismatch between authorization policies and backend servers, enabling attackers to bypass </t>
        </is>
      </c>
      <c r="D391" t="n">
        <v>8.5</v>
      </c>
      <c r="E391" t="inlineStr">
        <is>
          <t>HIGH</t>
        </is>
      </c>
      <c r="F391" t="n">
        <v>2</v>
      </c>
      <c r="G391" t="n">
        <v>3</v>
      </c>
      <c r="H391" t="inlineStr">
        <is>
          <t>HIGH</t>
        </is>
      </c>
      <c r="I391" t="n">
        <v>14.5</v>
      </c>
      <c r="J391" t="inlineStr">
        <is>
          <t>NO</t>
        </is>
      </c>
      <c r="K391" t="inlineStr">
        <is>
          <t>2026-02-26 00:15</t>
        </is>
      </c>
      <c r="L391" t="inlineStr">
        <is>
          <t>CHECK_VENDOR</t>
        </is>
      </c>
      <c r="M391" t="inlineStr">
        <is>
          <t>See CVE details</t>
        </is>
      </c>
      <c r="N391" t="inlineStr">
        <is>
          <t>P3</t>
        </is>
      </c>
      <c r="O391" t="inlineStr">
        <is>
          <t>CVE - IP enrichment n/a</t>
        </is>
      </c>
      <c r="P391" t="n">
        <v>0</v>
      </c>
      <c r="Q391" t="n">
        <v>0</v>
      </c>
      <c r="R391" t="inlineStr">
        <is>
          <t>T1190:Exploit Public-Facing Application</t>
        </is>
      </c>
      <c r="S391" t="n">
        <v>1</v>
      </c>
      <c r="T391" t="inlineStr">
        <is>
          <t>LOW (40%)</t>
        </is>
      </c>
      <c r="U391" t="inlineStr">
        <is>
          <t>UNLIKELY</t>
        </is>
      </c>
      <c r="V391" t="inlineStr">
        <is>
          <t>CHECK_VENDOR</t>
        </is>
      </c>
      <c r="W391" t="inlineStr">
        <is>
          <t>https://nvd.nist.gov/vuln/detail/CVE-2026-26205</t>
        </is>
      </c>
      <c r="X391" t="inlineStr">
        <is>
          <t>NONE</t>
        </is>
      </c>
      <c r="Y391" t="n">
        <v>0</v>
      </c>
      <c r="Z391" t="inlineStr"/>
      <c r="AA391" t="inlineStr">
        <is>
          <t>https://nvd.nist.gov/vuln/detail/CVE-2026-26205</t>
        </is>
      </c>
    </row>
    <row r="392">
      <c r="A392" t="inlineStr">
        <is>
          <t>CVE</t>
        </is>
      </c>
      <c r="B392" t="inlineStr">
        <is>
          <t>CVE-2026-26267</t>
        </is>
      </c>
      <c r="C392" t="inlineStr">
        <is>
          <t>soroban-sdk is a Rust SDK for Soroban contracts. Prior to versions 22.0.10, 23.5.2, and 25.1.1, the `#[contractimpl]` macro contains a bug in how it wires up function calls. `#[contractimpl]` generates code that uses `MyContract::value()` style calls even when it's processing the trait version. This means if an inherent function is also defined with the same name, the inherent function gets called instead of the trait function. This means the Wasm-exported entry point silently calls the wrong fu</t>
        </is>
      </c>
      <c r="D392" t="n">
        <v>7.5</v>
      </c>
      <c r="E392" t="inlineStr">
        <is>
          <t>HIGH</t>
        </is>
      </c>
      <c r="F392" t="n">
        <v>2</v>
      </c>
      <c r="G392" t="n">
        <v>3</v>
      </c>
      <c r="H392" t="inlineStr">
        <is>
          <t>HIGH</t>
        </is>
      </c>
      <c r="I392" t="n">
        <v>13.5</v>
      </c>
      <c r="J392" t="inlineStr">
        <is>
          <t>NO</t>
        </is>
      </c>
      <c r="K392" t="inlineStr">
        <is>
          <t>2026-02-26 00:15</t>
        </is>
      </c>
      <c r="L392" t="inlineStr">
        <is>
          <t>YES</t>
        </is>
      </c>
      <c r="M392" t="inlineStr">
        <is>
          <t>stellar rs-soroban-sdk *</t>
        </is>
      </c>
      <c r="N392" t="inlineStr">
        <is>
          <t>P3</t>
        </is>
      </c>
      <c r="O392" t="inlineStr">
        <is>
          <t>CVE - IP enrichment n/a</t>
        </is>
      </c>
      <c r="P392" t="n">
        <v>0</v>
      </c>
      <c r="Q392" t="n">
        <v>0</v>
      </c>
      <c r="R392" t="inlineStr">
        <is>
          <t>T1190:Exploit Public-Facing Application</t>
        </is>
      </c>
      <c r="S392" t="n">
        <v>1</v>
      </c>
      <c r="T392" t="inlineStr">
        <is>
          <t>LOW (40%)</t>
        </is>
      </c>
      <c r="U392" t="inlineStr">
        <is>
          <t>UNLIKELY</t>
        </is>
      </c>
      <c r="V392" t="inlineStr">
        <is>
          <t>PATCH_AVAILABLE</t>
        </is>
      </c>
      <c r="W392" t="inlineStr">
        <is>
          <t>https://nvd.nist.gov/vuln/detail/CVE-2026-26267</t>
        </is>
      </c>
      <c r="X392" t="inlineStr">
        <is>
          <t>NONE</t>
        </is>
      </c>
      <c r="Y392" t="n">
        <v>0</v>
      </c>
      <c r="Z392" t="inlineStr"/>
      <c r="AA392" t="inlineStr">
        <is>
          <t>https://nvd.nist.gov/vuln/detail/CVE-2026-26267</t>
        </is>
      </c>
    </row>
    <row r="393">
      <c r="A393" t="inlineStr">
        <is>
          <t>CVE</t>
        </is>
      </c>
      <c r="B393" t="inlineStr">
        <is>
          <t>CVE-2026-26278</t>
        </is>
      </c>
      <c r="C393" t="inlineStr">
        <is>
          <t>fast-xml-parser allows users to validate XML, parse XML to JS object, or build XML from JS object without C/C++ based libraries and no callback. In versions 4.1.3 through 5.3.5, the XML parser can be forced to do an unlimited amount of entity expansion. With a very small XML input, it’s possible to make the parser spend seconds or even minutes processing a single request, effectively freezing the application. Version 5.3.6 fixes the issue. As a workaround, avoid using DOCTYPE parsing by `process</t>
        </is>
      </c>
      <c r="D393" t="n">
        <v>7.5</v>
      </c>
      <c r="E393" t="inlineStr">
        <is>
          <t>HIGH</t>
        </is>
      </c>
      <c r="F393" t="n">
        <v>2</v>
      </c>
      <c r="G393" t="n">
        <v>3</v>
      </c>
      <c r="H393" t="inlineStr">
        <is>
          <t>HIGH</t>
        </is>
      </c>
      <c r="I393" t="n">
        <v>13.5</v>
      </c>
      <c r="J393" t="inlineStr">
        <is>
          <t>NO</t>
        </is>
      </c>
      <c r="K393" t="inlineStr">
        <is>
          <t>2026-02-26 00:15</t>
        </is>
      </c>
      <c r="L393" t="inlineStr">
        <is>
          <t>YES</t>
        </is>
      </c>
      <c r="M393" t="inlineStr">
        <is>
          <t>naturalintelligence fast-xml-parser *</t>
        </is>
      </c>
      <c r="N393" t="inlineStr">
        <is>
          <t>P3</t>
        </is>
      </c>
      <c r="O393" t="inlineStr">
        <is>
          <t>CVE - IP enrichment n/a</t>
        </is>
      </c>
      <c r="P393" t="n">
        <v>0.0005999999999999999</v>
      </c>
      <c r="Q393" t="n">
        <v>0.1981</v>
      </c>
      <c r="R393" t="inlineStr">
        <is>
          <t>T1190:Exploit Public-Facing Application</t>
        </is>
      </c>
      <c r="S393" t="n">
        <v>1</v>
      </c>
      <c r="T393" t="inlineStr">
        <is>
          <t>LOW (40%)</t>
        </is>
      </c>
      <c r="U393" t="inlineStr">
        <is>
          <t>UNLIKELY</t>
        </is>
      </c>
      <c r="V393" t="inlineStr">
        <is>
          <t>PATCH_AVAILABLE</t>
        </is>
      </c>
      <c r="W393" t="inlineStr">
        <is>
          <t>https://nvd.nist.gov/vuln/detail/CVE-2026-26278</t>
        </is>
      </c>
      <c r="X393" t="inlineStr">
        <is>
          <t>NONE</t>
        </is>
      </c>
      <c r="Y393" t="n">
        <v>0</v>
      </c>
      <c r="Z393" t="inlineStr"/>
      <c r="AA393" t="inlineStr">
        <is>
          <t>https://nvd.nist.gov/vuln/detail/CVE-2026-26278</t>
        </is>
      </c>
    </row>
    <row r="394">
      <c r="A394" t="inlineStr">
        <is>
          <t>CVE</t>
        </is>
      </c>
      <c r="B394" t="inlineStr">
        <is>
          <t>CVE-2026-26280</t>
        </is>
      </c>
      <c r="C394" t="inlineStr">
        <is>
          <t>systeminformation is a System and OS information library for node.js. In versions prior to 5.30.8, a command injection vulnerability in the `wifiNetworks()` function allows an attacker to execute arbitrary OS commands via an unsanitized network interface parameter in the retry code path. In `lib/wifi.js`, the `wifiNetworks()` function sanitizes the `iface` parameter on the initial call (line 437). However, when the initial scan returns empty results, a `setTimeout` retry (lines 440-441) calls `g</t>
        </is>
      </c>
      <c r="D394" t="n">
        <v>8.4</v>
      </c>
      <c r="E394" t="inlineStr">
        <is>
          <t>HIGH</t>
        </is>
      </c>
      <c r="F394" t="n">
        <v>2</v>
      </c>
      <c r="G394" t="n">
        <v>3</v>
      </c>
      <c r="H394" t="inlineStr">
        <is>
          <t>HIGH</t>
        </is>
      </c>
      <c r="I394" t="n">
        <v>14.4</v>
      </c>
      <c r="J394" t="inlineStr">
        <is>
          <t>NO</t>
        </is>
      </c>
      <c r="K394" t="inlineStr">
        <is>
          <t>2026-02-26 00:15</t>
        </is>
      </c>
      <c r="L394" t="inlineStr">
        <is>
          <t>YES</t>
        </is>
      </c>
      <c r="M394" t="inlineStr">
        <is>
          <t>systeminformation systeminformation *</t>
        </is>
      </c>
      <c r="N394" t="inlineStr">
        <is>
          <t>P3</t>
        </is>
      </c>
      <c r="O394" t="inlineStr">
        <is>
          <t>CVE - IP enrichment n/a</t>
        </is>
      </c>
      <c r="P394" t="n">
        <v>0</v>
      </c>
      <c r="Q394" t="n">
        <v>0</v>
      </c>
      <c r="R394" t="inlineStr">
        <is>
          <t>T1059:Command and Scripting Interpreter</t>
        </is>
      </c>
      <c r="S394" t="n">
        <v>1</v>
      </c>
      <c r="T394" t="inlineStr">
        <is>
          <t>LOW (40%)</t>
        </is>
      </c>
      <c r="U394" t="inlineStr">
        <is>
          <t>UNLIKELY</t>
        </is>
      </c>
      <c r="V394" t="inlineStr">
        <is>
          <t>PATCH_AVAILABLE</t>
        </is>
      </c>
      <c r="W394" t="inlineStr">
        <is>
          <t>https://nvd.nist.gov/vuln/detail/CVE-2026-26280</t>
        </is>
      </c>
      <c r="X394" t="inlineStr">
        <is>
          <t>NONE</t>
        </is>
      </c>
      <c r="Y394" t="n">
        <v>0</v>
      </c>
      <c r="Z394" t="inlineStr"/>
      <c r="AA394" t="inlineStr">
        <is>
          <t>https://nvd.nist.gov/vuln/detail/CVE-2026-26280</t>
        </is>
      </c>
    </row>
    <row r="395">
      <c r="A395" t="inlineStr">
        <is>
          <t>CVE</t>
        </is>
      </c>
      <c r="B395" t="inlineStr">
        <is>
          <t>CVE-2026-26318</t>
        </is>
      </c>
      <c r="C395" t="inlineStr">
        <is>
          <t>systeminformation is a System and OS information library for node.js. Versions prior to 5.31.0 are vulnerable to command injection via unsanitized `locate` output in `versions()`. Version 5.31.0 fixes the issue.</t>
        </is>
      </c>
      <c r="D395" t="n">
        <v>8.800000000000001</v>
      </c>
      <c r="E395" t="inlineStr">
        <is>
          <t>HIGH</t>
        </is>
      </c>
      <c r="F395" t="n">
        <v>2</v>
      </c>
      <c r="G395" t="n">
        <v>3</v>
      </c>
      <c r="H395" t="inlineStr">
        <is>
          <t>HIGH</t>
        </is>
      </c>
      <c r="I395" t="n">
        <v>14.8</v>
      </c>
      <c r="J395" t="inlineStr">
        <is>
          <t>NO</t>
        </is>
      </c>
      <c r="K395" t="inlineStr">
        <is>
          <t>2026-02-26 00:15</t>
        </is>
      </c>
      <c r="L395" t="inlineStr">
        <is>
          <t>YES</t>
        </is>
      </c>
      <c r="M395" t="inlineStr">
        <is>
          <t>systeminformation systeminformation *</t>
        </is>
      </c>
      <c r="N395" t="inlineStr">
        <is>
          <t>P3</t>
        </is>
      </c>
      <c r="O395" t="inlineStr">
        <is>
          <t>CVE - IP enrichment n/a</t>
        </is>
      </c>
      <c r="P395" t="n">
        <v>0</v>
      </c>
      <c r="Q395" t="n">
        <v>0</v>
      </c>
      <c r="R395" t="inlineStr">
        <is>
          <t>T1059:Command and Scripting Interpreter</t>
        </is>
      </c>
      <c r="S395" t="n">
        <v>1</v>
      </c>
      <c r="T395" t="inlineStr">
        <is>
          <t>LOW (40%)</t>
        </is>
      </c>
      <c r="U395" t="inlineStr">
        <is>
          <t>UNLIKELY</t>
        </is>
      </c>
      <c r="V395" t="inlineStr">
        <is>
          <t>PATCH_AVAILABLE</t>
        </is>
      </c>
      <c r="W395" t="inlineStr">
        <is>
          <t>https://nvd.nist.gov/vuln/detail/CVE-2026-26318</t>
        </is>
      </c>
      <c r="X395" t="inlineStr">
        <is>
          <t>NONE</t>
        </is>
      </c>
      <c r="Y395" t="n">
        <v>0</v>
      </c>
      <c r="Z395" t="inlineStr"/>
      <c r="AA395" t="inlineStr">
        <is>
          <t>https://nvd.nist.gov/vuln/detail/CVE-2026-26318</t>
        </is>
      </c>
    </row>
    <row r="396">
      <c r="A396" t="inlineStr">
        <is>
          <t>CVE</t>
        </is>
      </c>
      <c r="B396" t="inlineStr">
        <is>
          <t>CVE-2026-27013</t>
        </is>
      </c>
      <c r="C396" t="inlineStr">
        <is>
          <t>Fabric.js is a Javascript HTML5 canvas library. Prior to version 7.2.0, Fabric.js applies `escapeXml()` to text content during SVG export (`src/shapes/Text/TextSVGExportMixin.ts:186`) but fails to apply it to other user-controlled string values that are interpolated into SVG attribute markup. When attacker-controlled JSON is loaded via `loadFromJSON()` and later exported via `toSVG()`, the unescaped values break out of XML attributes and inject arbitrary SVG elements including event handlers. An</t>
        </is>
      </c>
      <c r="D396" t="n">
        <v>7.6</v>
      </c>
      <c r="E396" t="inlineStr">
        <is>
          <t>HIGH</t>
        </is>
      </c>
      <c r="F396" t="n">
        <v>2</v>
      </c>
      <c r="G396" t="n">
        <v>3</v>
      </c>
      <c r="H396" t="inlineStr">
        <is>
          <t>HIGH</t>
        </is>
      </c>
      <c r="I396" t="n">
        <v>13.6</v>
      </c>
      <c r="J396" t="inlineStr">
        <is>
          <t>NO</t>
        </is>
      </c>
      <c r="K396" t="inlineStr">
        <is>
          <t>2026-02-26 00:15</t>
        </is>
      </c>
      <c r="L396" t="inlineStr">
        <is>
          <t>YES</t>
        </is>
      </c>
      <c r="M396" t="inlineStr">
        <is>
          <t>fabricjs fabric.js *</t>
        </is>
      </c>
      <c r="N396" t="inlineStr">
        <is>
          <t>P3</t>
        </is>
      </c>
      <c r="O396" t="inlineStr">
        <is>
          <t>CVE - IP enrichment n/a</t>
        </is>
      </c>
      <c r="P396" t="n">
        <v>0</v>
      </c>
      <c r="Q396" t="n">
        <v>0</v>
      </c>
      <c r="R396" t="inlineStr">
        <is>
          <t>T1189:Drive-by Compromise</t>
        </is>
      </c>
      <c r="S396" t="n">
        <v>1</v>
      </c>
      <c r="T396" t="inlineStr">
        <is>
          <t>LOW (40%)</t>
        </is>
      </c>
      <c r="U396" t="inlineStr">
        <is>
          <t>UNLIKELY</t>
        </is>
      </c>
      <c r="V396" t="inlineStr">
        <is>
          <t>PATCH_AVAILABLE</t>
        </is>
      </c>
      <c r="W396" t="inlineStr">
        <is>
          <t>https://nvd.nist.gov/vuln/detail/CVE-2026-27013</t>
        </is>
      </c>
      <c r="X396" t="inlineStr">
        <is>
          <t>NONE</t>
        </is>
      </c>
      <c r="Y396" t="n">
        <v>0</v>
      </c>
      <c r="Z396" t="inlineStr"/>
      <c r="AA396" t="inlineStr">
        <is>
          <t>https://nvd.nist.gov/vuln/detail/CVE-2026-27013</t>
        </is>
      </c>
    </row>
    <row r="397">
      <c r="A397" t="inlineStr">
        <is>
          <t>CVE</t>
        </is>
      </c>
      <c r="B397" t="inlineStr">
        <is>
          <t>CVE-2025-67305</t>
        </is>
      </c>
      <c r="C397" t="inlineStr">
        <is>
          <t>In RUCKUS Network Director (RND) &lt; 4.5.0.56, the OVA appliance contains hardcoded SSH keys for the postgres user. These keys are identical across all deployments, allowing an attacker with network access to authenticate via SSH without a password. Once authenticated, the attacker can access the PostgreSQL database with superuser privileges, create administrative users for the web interface, and potentially escalate privileges further.</t>
        </is>
      </c>
      <c r="D397" t="n">
        <v>9.800000000000001</v>
      </c>
      <c r="E397" t="inlineStr">
        <is>
          <t>CRITICAL</t>
        </is>
      </c>
      <c r="F397" t="n">
        <v>2</v>
      </c>
      <c r="G397" t="n">
        <v>3</v>
      </c>
      <c r="H397" t="inlineStr">
        <is>
          <t>HIGH</t>
        </is>
      </c>
      <c r="I397" t="n">
        <v>15.8</v>
      </c>
      <c r="J397" t="inlineStr">
        <is>
          <t>NO</t>
        </is>
      </c>
      <c r="K397" t="inlineStr">
        <is>
          <t>2026-02-26 00:15</t>
        </is>
      </c>
      <c r="L397" t="inlineStr">
        <is>
          <t>CHECK_VENDOR</t>
        </is>
      </c>
      <c r="M397" t="inlineStr">
        <is>
          <t>See CVE details</t>
        </is>
      </c>
      <c r="N397" t="inlineStr">
        <is>
          <t>P3</t>
        </is>
      </c>
      <c r="O397" t="inlineStr">
        <is>
          <t>CVE - IP enrichment n/a</t>
        </is>
      </c>
      <c r="P397" t="n">
        <v>0</v>
      </c>
      <c r="Q397" t="n">
        <v>0</v>
      </c>
      <c r="R397" t="inlineStr">
        <is>
          <t>T1552:Unsecured Credentials</t>
        </is>
      </c>
      <c r="S397" t="n">
        <v>1</v>
      </c>
      <c r="T397" t="inlineStr">
        <is>
          <t>LOW (40%)</t>
        </is>
      </c>
      <c r="U397" t="inlineStr">
        <is>
          <t>UNLIKELY</t>
        </is>
      </c>
      <c r="V397" t="inlineStr">
        <is>
          <t>CHECK_VENDOR</t>
        </is>
      </c>
      <c r="W397" t="inlineStr">
        <is>
          <t>https://nvd.nist.gov/vuln/detail/CVE-2025-67305</t>
        </is>
      </c>
      <c r="X397" t="inlineStr">
        <is>
          <t>NONE</t>
        </is>
      </c>
      <c r="Y397" t="n">
        <v>0</v>
      </c>
      <c r="Z397" t="inlineStr"/>
      <c r="AA397" t="inlineStr">
        <is>
          <t>https://nvd.nist.gov/vuln/detail/CVE-2025-67305</t>
        </is>
      </c>
    </row>
    <row r="398">
      <c r="A398" t="inlineStr">
        <is>
          <t>CVE</t>
        </is>
      </c>
      <c r="B398" t="inlineStr">
        <is>
          <t>CVE-2026-26282</t>
        </is>
      </c>
      <c r="C398" t="inlineStr">
        <is>
          <t>NanaZip is an open source file archive Starting in version 5.0.1252.0 and prior to version 6.0.1630.0, NanaZip has an out-of-bounds heap read in `.NET Single File` bundle header parser due to missing bounds check. Opening a crafted file with NanaZip causes a crash or leaks heap data to the user. Version 6.0.1630.0 patches the issue.</t>
        </is>
      </c>
      <c r="D398" t="n">
        <v>6.6</v>
      </c>
      <c r="E398" t="inlineStr">
        <is>
          <t>MEDIUM</t>
        </is>
      </c>
      <c r="F398" t="n">
        <v>2</v>
      </c>
      <c r="G398" t="n">
        <v>2</v>
      </c>
      <c r="H398" t="inlineStr">
        <is>
          <t>MEDIUM</t>
        </is>
      </c>
      <c r="I398" t="n">
        <v>10.6</v>
      </c>
      <c r="J398" t="inlineStr">
        <is>
          <t>NO</t>
        </is>
      </c>
      <c r="K398" t="inlineStr">
        <is>
          <t>2026-02-26 00:15</t>
        </is>
      </c>
      <c r="L398" t="inlineStr">
        <is>
          <t>CHECK_VENDOR</t>
        </is>
      </c>
      <c r="M398" t="inlineStr">
        <is>
          <t>m2team nanazip *</t>
        </is>
      </c>
      <c r="N398" t="inlineStr">
        <is>
          <t>P4</t>
        </is>
      </c>
      <c r="O398" t="inlineStr">
        <is>
          <t>CVE - IP enrichment n/a</t>
        </is>
      </c>
      <c r="P398" t="n">
        <v>0</v>
      </c>
      <c r="Q398" t="n">
        <v>0</v>
      </c>
      <c r="R398" t="inlineStr">
        <is>
          <t>T1203:Exploitation for Client Execution | T1190:Exploit Public-Facing Application</t>
        </is>
      </c>
      <c r="S398" t="n">
        <v>1</v>
      </c>
      <c r="T398" t="inlineStr">
        <is>
          <t>LOW (40%)</t>
        </is>
      </c>
      <c r="U398" t="inlineStr">
        <is>
          <t>UNLIKELY</t>
        </is>
      </c>
      <c r="V398" t="inlineStr">
        <is>
          <t>CHECK_VENDOR</t>
        </is>
      </c>
      <c r="W398" t="inlineStr">
        <is>
          <t>https://nvd.nist.gov/vuln/detail/CVE-2026-26282</t>
        </is>
      </c>
      <c r="X398" t="inlineStr">
        <is>
          <t>NONE</t>
        </is>
      </c>
      <c r="Y398" t="n">
        <v>0</v>
      </c>
      <c r="Z398" t="inlineStr"/>
      <c r="AA398" t="inlineStr">
        <is>
          <t>https://nvd.nist.gov/vuln/detail/CVE-2026-26282</t>
        </is>
      </c>
    </row>
    <row r="399">
      <c r="A399" t="inlineStr">
        <is>
          <t>CVE</t>
        </is>
      </c>
      <c r="B399" t="inlineStr">
        <is>
          <t>CVE-2026-26286</t>
        </is>
      </c>
      <c r="C399" t="inlineStr">
        <is>
          <t>SillyTavern is a locally installed user interface that allows users to interact with text generation large language models, image generation engines, and text-to-speech voice models. In versions prior to 1.16.0, a Server-Side Request Forgery (SSRF) vulnerability in the asset download endpoint allows authenticated users to make arbitrary HTTP requests from the server and read the full response body, enabling access to internal services, cloud metadata, and private network resources. The vulnerabi</t>
        </is>
      </c>
      <c r="D399" t="n">
        <v>8.5</v>
      </c>
      <c r="E399" t="inlineStr">
        <is>
          <t>HIGH</t>
        </is>
      </c>
      <c r="F399" t="n">
        <v>2</v>
      </c>
      <c r="G399" t="n">
        <v>3</v>
      </c>
      <c r="H399" t="inlineStr">
        <is>
          <t>HIGH</t>
        </is>
      </c>
      <c r="I399" t="n">
        <v>14.5</v>
      </c>
      <c r="J399" t="inlineStr">
        <is>
          <t>NO</t>
        </is>
      </c>
      <c r="K399" t="inlineStr">
        <is>
          <t>2026-02-26 00:15</t>
        </is>
      </c>
      <c r="L399" t="inlineStr">
        <is>
          <t>YES</t>
        </is>
      </c>
      <c r="M399" t="inlineStr">
        <is>
          <t>sillytavern sillytavern *</t>
        </is>
      </c>
      <c r="N399" t="inlineStr">
        <is>
          <t>P3</t>
        </is>
      </c>
      <c r="O399" t="inlineStr">
        <is>
          <t>CVE - IP enrichment n/a</t>
        </is>
      </c>
      <c r="P399" t="n">
        <v>0</v>
      </c>
      <c r="Q399" t="n">
        <v>0</v>
      </c>
      <c r="R399" t="inlineStr">
        <is>
          <t>T1090:Proxy | T1190:Exploit Public-Facing Application</t>
        </is>
      </c>
      <c r="S399" t="n">
        <v>1</v>
      </c>
      <c r="T399" t="inlineStr">
        <is>
          <t>LOW (40%)</t>
        </is>
      </c>
      <c r="U399" t="inlineStr">
        <is>
          <t>UNLIKELY</t>
        </is>
      </c>
      <c r="V399" t="inlineStr">
        <is>
          <t>PATCH_AVAILABLE</t>
        </is>
      </c>
      <c r="W399" t="inlineStr">
        <is>
          <t>https://nvd.nist.gov/vuln/detail/CVE-2026-26286</t>
        </is>
      </c>
      <c r="X399" t="inlineStr">
        <is>
          <t>NONE</t>
        </is>
      </c>
      <c r="Y399" t="n">
        <v>0</v>
      </c>
      <c r="Z399" t="inlineStr"/>
      <c r="AA399" t="inlineStr">
        <is>
          <t>https://nvd.nist.gov/vuln/detail/CVE-2026-26286</t>
        </is>
      </c>
    </row>
    <row r="400">
      <c r="A400" t="inlineStr">
        <is>
          <t>CVE</t>
        </is>
      </c>
      <c r="B400" t="inlineStr">
        <is>
          <t>CVE-2026-26312</t>
        </is>
      </c>
      <c r="C400" t="inlineStr">
        <is>
          <t xml:space="preserve">Stalwart is a mail and collaboration server. A denial-of-service vulnerability exists in Stalwart Mail Server versions 0.13.0 through 0.15.4 where accessing a specially crafted email containing malformed nested `message/rfc822` MIME parts via IMAP or JMAP causes excessive CPU and memory consumption, potentially leading to an out-of-memory condition and server crash. The malformed structure causes the `mail-parser` crate to produce cyclical references in its parsed representation, which Stalwart </t>
        </is>
      </c>
      <c r="D400" t="n">
        <v>6.5</v>
      </c>
      <c r="E400" t="inlineStr">
        <is>
          <t>MEDIUM</t>
        </is>
      </c>
      <c r="F400" t="n">
        <v>2</v>
      </c>
      <c r="G400" t="n">
        <v>2</v>
      </c>
      <c r="H400" t="inlineStr">
        <is>
          <t>MEDIUM</t>
        </is>
      </c>
      <c r="I400" t="n">
        <v>10.5</v>
      </c>
      <c r="J400" t="inlineStr">
        <is>
          <t>NO</t>
        </is>
      </c>
      <c r="K400" t="inlineStr">
        <is>
          <t>2026-02-26 00:15</t>
        </is>
      </c>
      <c r="L400" t="inlineStr">
        <is>
          <t>YES</t>
        </is>
      </c>
      <c r="M400" t="inlineStr">
        <is>
          <t>stalw stalwart *</t>
        </is>
      </c>
      <c r="N400" t="inlineStr">
        <is>
          <t>P4</t>
        </is>
      </c>
      <c r="O400" t="inlineStr">
        <is>
          <t>CVE - IP enrichment n/a</t>
        </is>
      </c>
      <c r="P400" t="n">
        <v>0</v>
      </c>
      <c r="Q400" t="n">
        <v>0</v>
      </c>
      <c r="R400" t="inlineStr">
        <is>
          <t>T1190:Exploit Public-Facing Application</t>
        </is>
      </c>
      <c r="S400" t="n">
        <v>1</v>
      </c>
      <c r="T400" t="inlineStr">
        <is>
          <t>LOW (40%)</t>
        </is>
      </c>
      <c r="U400" t="inlineStr">
        <is>
          <t>UNLIKELY</t>
        </is>
      </c>
      <c r="V400" t="inlineStr">
        <is>
          <t>PATCH_AVAILABLE</t>
        </is>
      </c>
      <c r="W400" t="inlineStr">
        <is>
          <t>https://nvd.nist.gov/vuln/detail/CVE-2026-26312</t>
        </is>
      </c>
      <c r="X400" t="inlineStr">
        <is>
          <t>NONE</t>
        </is>
      </c>
      <c r="Y400" t="n">
        <v>0</v>
      </c>
      <c r="Z400" t="inlineStr"/>
      <c r="AA400" t="inlineStr">
        <is>
          <t>https://nvd.nist.gov/vuln/detail/CVE-2026-26312</t>
        </is>
      </c>
    </row>
    <row r="401">
      <c r="A401" t="inlineStr">
        <is>
          <t>CVE</t>
        </is>
      </c>
      <c r="B401" t="inlineStr">
        <is>
          <t>CVE-2026-26313</t>
        </is>
      </c>
      <c r="C401" t="inlineStr">
        <is>
          <t>go-ethereum (geth) is a golang execution layer implementation of the Ethereum protocol. Prior to version 1.17.0, an attacker can cause high memory usage by sending a specially-crafted p2p message. The issue is resolved in the v1.17.0 release.</t>
        </is>
      </c>
      <c r="D401" t="n">
        <v>7.5</v>
      </c>
      <c r="E401" t="inlineStr">
        <is>
          <t>HIGH</t>
        </is>
      </c>
      <c r="F401" t="n">
        <v>2</v>
      </c>
      <c r="G401" t="n">
        <v>3</v>
      </c>
      <c r="H401" t="inlineStr">
        <is>
          <t>HIGH</t>
        </is>
      </c>
      <c r="I401" t="n">
        <v>13.5</v>
      </c>
      <c r="J401" t="inlineStr">
        <is>
          <t>NO</t>
        </is>
      </c>
      <c r="K401" t="inlineStr">
        <is>
          <t>2026-02-26 00:15</t>
        </is>
      </c>
      <c r="L401" t="inlineStr">
        <is>
          <t>YES</t>
        </is>
      </c>
      <c r="M401" t="inlineStr">
        <is>
          <t>ethereum go_ethereum *</t>
        </is>
      </c>
      <c r="N401" t="inlineStr">
        <is>
          <t>P3</t>
        </is>
      </c>
      <c r="O401" t="inlineStr">
        <is>
          <t>CVE - IP enrichment n/a</t>
        </is>
      </c>
      <c r="P401" t="n">
        <v>0</v>
      </c>
      <c r="Q401" t="n">
        <v>0</v>
      </c>
      <c r="R401" t="inlineStr">
        <is>
          <t>T1190:Exploit Public-Facing Application</t>
        </is>
      </c>
      <c r="S401" t="n">
        <v>1</v>
      </c>
      <c r="T401" t="inlineStr">
        <is>
          <t>LOW (40%)</t>
        </is>
      </c>
      <c r="U401" t="inlineStr">
        <is>
          <t>UNLIKELY</t>
        </is>
      </c>
      <c r="V401" t="inlineStr">
        <is>
          <t>PATCH_AVAILABLE</t>
        </is>
      </c>
      <c r="W401" t="inlineStr">
        <is>
          <t>https://nvd.nist.gov/vuln/detail/CVE-2026-26313</t>
        </is>
      </c>
      <c r="X401" t="inlineStr">
        <is>
          <t>NONE</t>
        </is>
      </c>
      <c r="Y401" t="n">
        <v>0</v>
      </c>
      <c r="Z401" t="inlineStr"/>
      <c r="AA401" t="inlineStr">
        <is>
          <t>https://nvd.nist.gov/vuln/detail/CVE-2026-26313</t>
        </is>
      </c>
    </row>
    <row r="402">
      <c r="A402" t="inlineStr">
        <is>
          <t>CVE</t>
        </is>
      </c>
      <c r="B402" t="inlineStr">
        <is>
          <t>CVE-2026-27014</t>
        </is>
      </c>
      <c r="C402" t="inlineStr">
        <is>
          <t>NanaZip is an open source file archive Starting in version 5.0.1252.0 and prior to version 6.0.1630.0, circular `NextOffset` chains cause an infinite loop, and deeply nested directories cause unbounded recursion (stack overflow) in the ROMFS archive parser. Version 6.0.1630.0 patches the issue.</t>
        </is>
      </c>
      <c r="D402" t="n">
        <v>5.5</v>
      </c>
      <c r="E402" t="inlineStr">
        <is>
          <t>MEDIUM</t>
        </is>
      </c>
      <c r="F402" t="n">
        <v>2</v>
      </c>
      <c r="G402" t="n">
        <v>2</v>
      </c>
      <c r="H402" t="inlineStr">
        <is>
          <t>MEDIUM</t>
        </is>
      </c>
      <c r="I402" t="n">
        <v>9.5</v>
      </c>
      <c r="J402" t="inlineStr">
        <is>
          <t>NO</t>
        </is>
      </c>
      <c r="K402" t="inlineStr">
        <is>
          <t>2026-02-26 00:15</t>
        </is>
      </c>
      <c r="L402" t="inlineStr">
        <is>
          <t>CHECK_VENDOR</t>
        </is>
      </c>
      <c r="M402" t="inlineStr">
        <is>
          <t>m2team nanazip *</t>
        </is>
      </c>
      <c r="N402" t="inlineStr">
        <is>
          <t>P4</t>
        </is>
      </c>
      <c r="O402" t="inlineStr">
        <is>
          <t>CVE - IP enrichment n/a</t>
        </is>
      </c>
      <c r="P402" t="n">
        <v>0</v>
      </c>
      <c r="Q402" t="n">
        <v>0</v>
      </c>
      <c r="R402" t="inlineStr">
        <is>
          <t>T1190:Exploit Public-Facing Application</t>
        </is>
      </c>
      <c r="S402" t="n">
        <v>1</v>
      </c>
      <c r="T402" t="inlineStr">
        <is>
          <t>LOW (40%)</t>
        </is>
      </c>
      <c r="U402" t="inlineStr">
        <is>
          <t>UNLIKELY</t>
        </is>
      </c>
      <c r="V402" t="inlineStr">
        <is>
          <t>CHECK_VENDOR</t>
        </is>
      </c>
      <c r="W402" t="inlineStr">
        <is>
          <t>https://nvd.nist.gov/vuln/detail/CVE-2026-27014</t>
        </is>
      </c>
      <c r="X402" t="inlineStr">
        <is>
          <t>NONE</t>
        </is>
      </c>
      <c r="Y402" t="n">
        <v>0</v>
      </c>
      <c r="Z402" t="inlineStr"/>
      <c r="AA402" t="inlineStr">
        <is>
          <t>https://nvd.nist.gov/vuln/detail/CVE-2026-27014</t>
        </is>
      </c>
    </row>
    <row r="403">
      <c r="A403" t="inlineStr">
        <is>
          <t>CVE</t>
        </is>
      </c>
      <c r="B403" t="inlineStr">
        <is>
          <t>CVE-2026-27114</t>
        </is>
      </c>
      <c r="C403" t="inlineStr">
        <is>
          <t>NanaZip is an open source file archive Starting in version 5.0.1252.0 and prior to version 6.0.1630.0, circular `NextOffset` chains cause an infinite loop in the ROMFS archive parser. Version 6.0.1630.0 patches the issue.</t>
        </is>
      </c>
      <c r="D403" t="n">
        <v>7.5</v>
      </c>
      <c r="E403" t="inlineStr">
        <is>
          <t>HIGH</t>
        </is>
      </c>
      <c r="F403" t="n">
        <v>2</v>
      </c>
      <c r="G403" t="n">
        <v>3</v>
      </c>
      <c r="H403" t="inlineStr">
        <is>
          <t>HIGH</t>
        </is>
      </c>
      <c r="I403" t="n">
        <v>13.5</v>
      </c>
      <c r="J403" t="inlineStr">
        <is>
          <t>NO</t>
        </is>
      </c>
      <c r="K403" t="inlineStr">
        <is>
          <t>2026-02-26 00:15</t>
        </is>
      </c>
      <c r="L403" t="inlineStr">
        <is>
          <t>CHECK_VENDOR</t>
        </is>
      </c>
      <c r="M403" t="inlineStr">
        <is>
          <t>m2team nanazip *</t>
        </is>
      </c>
      <c r="N403" t="inlineStr">
        <is>
          <t>P3</t>
        </is>
      </c>
      <c r="O403" t="inlineStr">
        <is>
          <t>CVE - IP enrichment n/a</t>
        </is>
      </c>
      <c r="P403" t="n">
        <v>0</v>
      </c>
      <c r="Q403" t="n">
        <v>0</v>
      </c>
      <c r="R403" t="inlineStr">
        <is>
          <t>T1190:Exploit Public-Facing Application</t>
        </is>
      </c>
      <c r="S403" t="n">
        <v>1</v>
      </c>
      <c r="T403" t="inlineStr">
        <is>
          <t>LOW (40%)</t>
        </is>
      </c>
      <c r="U403" t="inlineStr">
        <is>
          <t>UNLIKELY</t>
        </is>
      </c>
      <c r="V403" t="inlineStr">
        <is>
          <t>CHECK_VENDOR</t>
        </is>
      </c>
      <c r="W403" t="inlineStr">
        <is>
          <t>https://nvd.nist.gov/vuln/detail/CVE-2026-27114</t>
        </is>
      </c>
      <c r="X403" t="inlineStr">
        <is>
          <t>NONE</t>
        </is>
      </c>
      <c r="Y403" t="n">
        <v>0</v>
      </c>
      <c r="Z403" t="inlineStr"/>
      <c r="AA403" t="inlineStr">
        <is>
          <t>https://nvd.nist.gov/vuln/detail/CVE-2026-27114</t>
        </is>
      </c>
    </row>
    <row r="404">
      <c r="A404" t="inlineStr">
        <is>
          <t>CVE</t>
        </is>
      </c>
      <c r="B404" t="inlineStr">
        <is>
          <t>CVE-2026-27327</t>
        </is>
      </c>
      <c r="C404" t="inlineStr">
        <is>
          <t>Missing Authorization vulnerability in YayCommerce YayMail – WooCommerce Email Customizer yaymail allows Exploiting Incorrectly Configured Access Control Security Levels.This issue affects YayMail – WooCommerce Email Customizer: from n/a through &lt;= 4.3.2.</t>
        </is>
      </c>
      <c r="D404" t="n">
        <v>8.5</v>
      </c>
      <c r="E404" t="inlineStr">
        <is>
          <t>HIGH</t>
        </is>
      </c>
      <c r="F404" t="n">
        <v>2</v>
      </c>
      <c r="G404" t="n">
        <v>3</v>
      </c>
      <c r="H404" t="inlineStr">
        <is>
          <t>HIGH</t>
        </is>
      </c>
      <c r="I404" t="n">
        <v>14.5</v>
      </c>
      <c r="J404" t="inlineStr">
        <is>
          <t>NO</t>
        </is>
      </c>
      <c r="K404" t="inlineStr">
        <is>
          <t>2026-02-26 00:15</t>
        </is>
      </c>
      <c r="L404" t="inlineStr">
        <is>
          <t>CHECK_VENDOR</t>
        </is>
      </c>
      <c r="M404" t="inlineStr">
        <is>
          <t>See CVE details</t>
        </is>
      </c>
      <c r="N404" t="inlineStr">
        <is>
          <t>P3</t>
        </is>
      </c>
      <c r="O404" t="inlineStr">
        <is>
          <t>CVE - IP enrichment n/a</t>
        </is>
      </c>
      <c r="P404" t="n">
        <v>0</v>
      </c>
      <c r="Q404" t="n">
        <v>0</v>
      </c>
      <c r="R404" t="inlineStr">
        <is>
          <t>T1190:Exploit Public-Facing Application</t>
        </is>
      </c>
      <c r="S404" t="n">
        <v>1</v>
      </c>
      <c r="T404" t="inlineStr">
        <is>
          <t>LOW (40%)</t>
        </is>
      </c>
      <c r="U404" t="inlineStr">
        <is>
          <t>UNLIKELY</t>
        </is>
      </c>
      <c r="V404" t="inlineStr">
        <is>
          <t>CHECK_VENDOR</t>
        </is>
      </c>
      <c r="W404" t="inlineStr">
        <is>
          <t>https://nvd.nist.gov/vuln/detail/CVE-2026-27327</t>
        </is>
      </c>
      <c r="X404" t="inlineStr">
        <is>
          <t>NONE</t>
        </is>
      </c>
      <c r="Y404" t="n">
        <v>0</v>
      </c>
      <c r="Z404" t="inlineStr"/>
      <c r="AA404" t="inlineStr">
        <is>
          <t>https://nvd.nist.gov/vuln/detail/CVE-2026-27327</t>
        </is>
      </c>
    </row>
    <row r="405">
      <c r="A405" t="inlineStr">
        <is>
          <t>CVE</t>
        </is>
      </c>
      <c r="B405" t="inlineStr">
        <is>
          <t>CVE-2026-27328</t>
        </is>
      </c>
      <c r="C405" t="inlineStr">
        <is>
          <t>Missing Authorization vulnerability in DevsBlink EduBlink edublink allows Exploiting Incorrectly Configured Access Control Security Levels.This issue affects EduBlink: from n/a through &lt;= 2.0.7.</t>
        </is>
      </c>
      <c r="D405" t="n">
        <v>5.3</v>
      </c>
      <c r="E405" t="inlineStr">
        <is>
          <t>MEDIUM</t>
        </is>
      </c>
      <c r="F405" t="n">
        <v>2</v>
      </c>
      <c r="G405" t="n">
        <v>2</v>
      </c>
      <c r="H405" t="inlineStr">
        <is>
          <t>MEDIUM</t>
        </is>
      </c>
      <c r="I405" t="n">
        <v>9.300000000000001</v>
      </c>
      <c r="J405" t="inlineStr">
        <is>
          <t>NO</t>
        </is>
      </c>
      <c r="K405" t="inlineStr">
        <is>
          <t>2026-02-26 00:15</t>
        </is>
      </c>
      <c r="L405" t="inlineStr">
        <is>
          <t>CHECK_VENDOR</t>
        </is>
      </c>
      <c r="M405" t="inlineStr">
        <is>
          <t>See CVE details</t>
        </is>
      </c>
      <c r="N405" t="inlineStr">
        <is>
          <t>P4</t>
        </is>
      </c>
      <c r="O405" t="inlineStr">
        <is>
          <t>CVE - IP enrichment n/a</t>
        </is>
      </c>
      <c r="P405" t="n">
        <v>0</v>
      </c>
      <c r="Q405" t="n">
        <v>0</v>
      </c>
      <c r="R405" t="inlineStr">
        <is>
          <t>T1190:Exploit Public-Facing Application</t>
        </is>
      </c>
      <c r="S405" t="n">
        <v>1</v>
      </c>
      <c r="T405" t="inlineStr">
        <is>
          <t>LOW (40%)</t>
        </is>
      </c>
      <c r="U405" t="inlineStr">
        <is>
          <t>UNLIKELY</t>
        </is>
      </c>
      <c r="V405" t="inlineStr">
        <is>
          <t>CHECK_VENDOR</t>
        </is>
      </c>
      <c r="W405" t="inlineStr">
        <is>
          <t>https://nvd.nist.gov/vuln/detail/CVE-2026-27328</t>
        </is>
      </c>
      <c r="X405" t="inlineStr">
        <is>
          <t>NONE</t>
        </is>
      </c>
      <c r="Y405" t="n">
        <v>0</v>
      </c>
      <c r="Z405" t="inlineStr"/>
      <c r="AA405" t="inlineStr">
        <is>
          <t>https://nvd.nist.gov/vuln/detail/CVE-2026-27328</t>
        </is>
      </c>
    </row>
    <row r="406">
      <c r="A406" t="inlineStr">
        <is>
          <t>CVE</t>
        </is>
      </c>
      <c r="B406" t="inlineStr">
        <is>
          <t>CVE-2026-27343</t>
        </is>
      </c>
      <c r="C406" t="inlineStr">
        <is>
          <t>Improper Control of Filename for Include/Require Statement in PHP Program ('PHP Remote File Inclusion') vulnerability in VanKarWai Airtifact airtifact allows PHP Local File Inclusion.This issue affects Airtifact: from n/a through &lt;= 1.2.91.</t>
        </is>
      </c>
      <c r="D406" t="n">
        <v>7.5</v>
      </c>
      <c r="E406" t="inlineStr">
        <is>
          <t>HIGH</t>
        </is>
      </c>
      <c r="F406" t="n">
        <v>2</v>
      </c>
      <c r="G406" t="n">
        <v>3</v>
      </c>
      <c r="H406" t="inlineStr">
        <is>
          <t>HIGH</t>
        </is>
      </c>
      <c r="I406" t="n">
        <v>13.5</v>
      </c>
      <c r="J406" t="inlineStr">
        <is>
          <t>NO</t>
        </is>
      </c>
      <c r="K406" t="inlineStr">
        <is>
          <t>2026-02-26 00:15</t>
        </is>
      </c>
      <c r="L406" t="inlineStr">
        <is>
          <t>CHECK_VENDOR</t>
        </is>
      </c>
      <c r="M406" t="inlineStr">
        <is>
          <t>See CVE details</t>
        </is>
      </c>
      <c r="N406" t="inlineStr">
        <is>
          <t>P3</t>
        </is>
      </c>
      <c r="O406" t="inlineStr">
        <is>
          <t>CVE - IP enrichment n/a</t>
        </is>
      </c>
      <c r="P406" t="n">
        <v>0</v>
      </c>
      <c r="Q406" t="n">
        <v>0</v>
      </c>
      <c r="R406" t="inlineStr">
        <is>
          <t>T1190:Exploit Public-Facing Application</t>
        </is>
      </c>
      <c r="S406" t="n">
        <v>1</v>
      </c>
      <c r="T406" t="inlineStr">
        <is>
          <t>LOW (40%)</t>
        </is>
      </c>
      <c r="U406" t="inlineStr">
        <is>
          <t>UNLIKELY</t>
        </is>
      </c>
      <c r="V406" t="inlineStr">
        <is>
          <t>CHECK_VENDOR</t>
        </is>
      </c>
      <c r="W406" t="inlineStr">
        <is>
          <t>https://nvd.nist.gov/vuln/detail/CVE-2026-27343</t>
        </is>
      </c>
      <c r="X406" t="inlineStr">
        <is>
          <t>NONE</t>
        </is>
      </c>
      <c r="Y406" t="n">
        <v>0</v>
      </c>
      <c r="Z406" t="inlineStr"/>
      <c r="AA406" t="inlineStr">
        <is>
          <t>https://nvd.nist.gov/vuln/detail/CVE-2026-27343</t>
        </is>
      </c>
    </row>
    <row r="407">
      <c r="A407" t="inlineStr">
        <is>
          <t>CVE</t>
        </is>
      </c>
      <c r="B407" t="inlineStr">
        <is>
          <t>CVE-2026-27360</t>
        </is>
      </c>
      <c r="C407" t="inlineStr">
        <is>
          <t>Improper Neutralization of Input During Web Page Generation ('Cross-site Scripting') vulnerability in 10Web Photo Gallery by 10Web photo-gallery allows Stored XSS.This issue affects Photo Gallery by 10Web: from n/a through &lt;= 1.8.37.</t>
        </is>
      </c>
      <c r="D407" t="n">
        <v>5.9</v>
      </c>
      <c r="E407" t="inlineStr">
        <is>
          <t>MEDIUM</t>
        </is>
      </c>
      <c r="F407" t="n">
        <v>2</v>
      </c>
      <c r="G407" t="n">
        <v>2</v>
      </c>
      <c r="H407" t="inlineStr">
        <is>
          <t>MEDIUM</t>
        </is>
      </c>
      <c r="I407" t="n">
        <v>9.9</v>
      </c>
      <c r="J407" t="inlineStr">
        <is>
          <t>NO</t>
        </is>
      </c>
      <c r="K407" t="inlineStr">
        <is>
          <t>2026-02-26 00:15</t>
        </is>
      </c>
      <c r="L407" t="inlineStr">
        <is>
          <t>CHECK_VENDOR</t>
        </is>
      </c>
      <c r="M407" t="inlineStr">
        <is>
          <t>See CVE details</t>
        </is>
      </c>
      <c r="N407" t="inlineStr">
        <is>
          <t>P4</t>
        </is>
      </c>
      <c r="O407" t="inlineStr">
        <is>
          <t>CVE - IP enrichment n/a</t>
        </is>
      </c>
      <c r="P407" t="n">
        <v>0</v>
      </c>
      <c r="Q407" t="n">
        <v>0</v>
      </c>
      <c r="R407" t="inlineStr">
        <is>
          <t>T1189:Drive-by Compromise</t>
        </is>
      </c>
      <c r="S407" t="n">
        <v>1</v>
      </c>
      <c r="T407" t="inlineStr">
        <is>
          <t>LOW (40%)</t>
        </is>
      </c>
      <c r="U407" t="inlineStr">
        <is>
          <t>UNLIKELY</t>
        </is>
      </c>
      <c r="V407" t="inlineStr">
        <is>
          <t>CHECK_VENDOR</t>
        </is>
      </c>
      <c r="W407" t="inlineStr">
        <is>
          <t>https://nvd.nist.gov/vuln/detail/CVE-2026-27360</t>
        </is>
      </c>
      <c r="X407" t="inlineStr">
        <is>
          <t>NONE</t>
        </is>
      </c>
      <c r="Y407" t="n">
        <v>0</v>
      </c>
      <c r="Z407" t="inlineStr"/>
      <c r="AA407" t="inlineStr">
        <is>
          <t>https://nvd.nist.gov/vuln/detail/CVE-2026-27360</t>
        </is>
      </c>
    </row>
    <row r="408">
      <c r="A408" t="inlineStr">
        <is>
          <t>CVE</t>
        </is>
      </c>
      <c r="B408" t="inlineStr">
        <is>
          <t>CVE-2026-27368</t>
        </is>
      </c>
      <c r="C408" t="inlineStr">
        <is>
          <t>Missing Authorization vulnerability in SeedProd Coming Soon Page, Under Construction &amp; Maintenance Mode by SeedProd coming-soon allows Exploiting Incorrectly Configured Access Control Security Levels.This issue affects Coming Soon Page, Under Construction &amp; Maintenance Mode by SeedProd: from n/a through &lt;= 6.19.7.</t>
        </is>
      </c>
      <c r="D408" t="n">
        <v>5.3</v>
      </c>
      <c r="E408" t="inlineStr">
        <is>
          <t>MEDIUM</t>
        </is>
      </c>
      <c r="F408" t="n">
        <v>2</v>
      </c>
      <c r="G408" t="n">
        <v>2</v>
      </c>
      <c r="H408" t="inlineStr">
        <is>
          <t>MEDIUM</t>
        </is>
      </c>
      <c r="I408" t="n">
        <v>9.300000000000001</v>
      </c>
      <c r="J408" t="inlineStr">
        <is>
          <t>NO</t>
        </is>
      </c>
      <c r="K408" t="inlineStr">
        <is>
          <t>2026-02-26 00:15</t>
        </is>
      </c>
      <c r="L408" t="inlineStr">
        <is>
          <t>CHECK_VENDOR</t>
        </is>
      </c>
      <c r="M408" t="inlineStr">
        <is>
          <t>See CVE details</t>
        </is>
      </c>
      <c r="N408" t="inlineStr">
        <is>
          <t>P1</t>
        </is>
      </c>
      <c r="O408" t="inlineStr">
        <is>
          <t>CVE - IP enrichment n/a</t>
        </is>
      </c>
      <c r="P408" t="n">
        <v>0</v>
      </c>
      <c r="Q408" t="n">
        <v>0</v>
      </c>
      <c r="R408" t="inlineStr">
        <is>
          <t>T1190:Exploit Public-Facing Application</t>
        </is>
      </c>
      <c r="S408" t="n">
        <v>2</v>
      </c>
      <c r="T408" t="inlineStr">
        <is>
          <t>HIGH (72%)</t>
        </is>
      </c>
      <c r="U408" t="inlineStr">
        <is>
          <t>HIGH</t>
        </is>
      </c>
      <c r="V408" t="inlineStr">
        <is>
          <t>CHECK_VENDOR</t>
        </is>
      </c>
      <c r="W408" t="inlineStr">
        <is>
          <t>https://nvd.nist.gov/vuln/detail/CVE-2026-27368</t>
        </is>
      </c>
      <c r="X408" t="inlineStr">
        <is>
          <t>http://www.zerodayinitiative.com/advisories/ZDI-26-123/</t>
        </is>
      </c>
      <c r="Y408" t="n">
        <v>0</v>
      </c>
      <c r="Z408" t="inlineStr"/>
      <c r="AA408" t="inlineStr">
        <is>
          <t>https://nvd.nist.gov/vuln/detail/CVE-2026-27368</t>
        </is>
      </c>
    </row>
    <row r="409">
      <c r="A409" t="inlineStr">
        <is>
          <t>CVE</t>
        </is>
      </c>
      <c r="B409" t="inlineStr">
        <is>
          <t>CVE-2026-27387</t>
        </is>
      </c>
      <c r="C409" t="inlineStr">
        <is>
          <t>Missing Authorization vulnerability in designinvento DirectoryPress directorypress allows Exploiting Incorrectly Configured Access Control Security Levels.This issue affects DirectoryPress: from n/a through &lt;= 3.6.26.</t>
        </is>
      </c>
      <c r="D409" t="n">
        <v>5.4</v>
      </c>
      <c r="E409" t="inlineStr">
        <is>
          <t>MEDIUM</t>
        </is>
      </c>
      <c r="F409" t="n">
        <v>2</v>
      </c>
      <c r="G409" t="n">
        <v>2</v>
      </c>
      <c r="H409" t="inlineStr">
        <is>
          <t>MEDIUM</t>
        </is>
      </c>
      <c r="I409" t="n">
        <v>9.4</v>
      </c>
      <c r="J409" t="inlineStr">
        <is>
          <t>NO</t>
        </is>
      </c>
      <c r="K409" t="inlineStr">
        <is>
          <t>2026-02-26 00:15</t>
        </is>
      </c>
      <c r="L409" t="inlineStr">
        <is>
          <t>CHECK_VENDOR</t>
        </is>
      </c>
      <c r="M409" t="inlineStr">
        <is>
          <t>See CVE details</t>
        </is>
      </c>
      <c r="N409" t="inlineStr">
        <is>
          <t>P4</t>
        </is>
      </c>
      <c r="O409" t="inlineStr">
        <is>
          <t>CVE - IP enrichment n/a</t>
        </is>
      </c>
      <c r="P409" t="n">
        <v>0.0004</v>
      </c>
      <c r="Q409" t="n">
        <v>0.1195</v>
      </c>
      <c r="R409" t="inlineStr">
        <is>
          <t>T1190:Exploit Public-Facing Application</t>
        </is>
      </c>
      <c r="S409" t="n">
        <v>1</v>
      </c>
      <c r="T409" t="inlineStr">
        <is>
          <t>LOW (40%)</t>
        </is>
      </c>
      <c r="U409" t="inlineStr">
        <is>
          <t>UNLIKELY</t>
        </is>
      </c>
      <c r="V409" t="inlineStr">
        <is>
          <t>CHECK_VENDOR</t>
        </is>
      </c>
      <c r="W409" t="inlineStr">
        <is>
          <t>https://nvd.nist.gov/vuln/detail/CVE-2026-27387</t>
        </is>
      </c>
      <c r="X409" t="inlineStr">
        <is>
          <t>NONE</t>
        </is>
      </c>
      <c r="Y409" t="n">
        <v>0</v>
      </c>
      <c r="Z409" t="inlineStr"/>
      <c r="AA409" t="inlineStr">
        <is>
          <t>https://nvd.nist.gov/vuln/detail/CVE-2026-27387</t>
        </is>
      </c>
    </row>
    <row r="410">
      <c r="A410" t="inlineStr">
        <is>
          <t>CVE</t>
        </is>
      </c>
      <c r="B410" t="inlineStr">
        <is>
          <t>CVE-2026-27440</t>
        </is>
      </c>
      <c r="C410" t="inlineStr">
        <is>
          <t>Improper Neutralization of Input During Web Page Generation ('Cross-site Scripting') vulnerability in Saad Iqbal myCred mycred allows Stored XSS.This issue affects myCred: from n/a through &lt;= 2.9.7.6.</t>
        </is>
      </c>
      <c r="D410" t="n">
        <v>6.5</v>
      </c>
      <c r="E410" t="inlineStr">
        <is>
          <t>MEDIUM</t>
        </is>
      </c>
      <c r="F410" t="n">
        <v>2</v>
      </c>
      <c r="G410" t="n">
        <v>2</v>
      </c>
      <c r="H410" t="inlineStr">
        <is>
          <t>MEDIUM</t>
        </is>
      </c>
      <c r="I410" t="n">
        <v>10.5</v>
      </c>
      <c r="J410" t="inlineStr">
        <is>
          <t>NO</t>
        </is>
      </c>
      <c r="K410" t="inlineStr">
        <is>
          <t>2026-02-26 00:15</t>
        </is>
      </c>
      <c r="L410" t="inlineStr">
        <is>
          <t>CHECK_VENDOR</t>
        </is>
      </c>
      <c r="M410" t="inlineStr">
        <is>
          <t>See CVE details</t>
        </is>
      </c>
      <c r="N410" t="inlineStr">
        <is>
          <t>P4</t>
        </is>
      </c>
      <c r="O410" t="inlineStr">
        <is>
          <t>CVE - IP enrichment n/a</t>
        </is>
      </c>
      <c r="P410" t="n">
        <v>0</v>
      </c>
      <c r="Q410" t="n">
        <v>0</v>
      </c>
      <c r="R410" t="inlineStr">
        <is>
          <t>T1189:Drive-by Compromise</t>
        </is>
      </c>
      <c r="S410" t="n">
        <v>1</v>
      </c>
      <c r="T410" t="inlineStr">
        <is>
          <t>LOW (40%)</t>
        </is>
      </c>
      <c r="U410" t="inlineStr">
        <is>
          <t>UNLIKELY</t>
        </is>
      </c>
      <c r="V410" t="inlineStr">
        <is>
          <t>CHECK_VENDOR</t>
        </is>
      </c>
      <c r="W410" t="inlineStr">
        <is>
          <t>https://nvd.nist.gov/vuln/detail/CVE-2026-27440</t>
        </is>
      </c>
      <c r="X410" t="inlineStr">
        <is>
          <t>NONE</t>
        </is>
      </c>
      <c r="Y410" t="n">
        <v>0</v>
      </c>
      <c r="Z410" t="inlineStr"/>
      <c r="AA410" t="inlineStr">
        <is>
          <t>https://nvd.nist.gov/vuln/detail/CVE-2026-27440</t>
        </is>
      </c>
    </row>
    <row r="411">
      <c r="A411" t="inlineStr">
        <is>
          <t>CVE</t>
        </is>
      </c>
      <c r="B411" t="inlineStr">
        <is>
          <t>CVE-2026-27476</t>
        </is>
      </c>
      <c r="C411" t="inlineStr">
        <is>
          <t>RustFly 2.0.0 contains a command injection vulnerability in its remote UI control mechanism that accepts hex-encoded instructions over UDP port 5005 without proper sanitization. Attackers can send crafted hex-encoded payloads containing system commands to execute arbitrary operations on the target system, including reverse shell establishment and command execution.</t>
        </is>
      </c>
      <c r="D411" t="n">
        <v>9.800000000000001</v>
      </c>
      <c r="E411" t="inlineStr">
        <is>
          <t>CRITICAL</t>
        </is>
      </c>
      <c r="F411" t="n">
        <v>2</v>
      </c>
      <c r="G411" t="n">
        <v>3</v>
      </c>
      <c r="H411" t="inlineStr">
        <is>
          <t>HIGH</t>
        </is>
      </c>
      <c r="I411" t="n">
        <v>15.8</v>
      </c>
      <c r="J411" t="inlineStr">
        <is>
          <t>NO</t>
        </is>
      </c>
      <c r="K411" t="inlineStr">
        <is>
          <t>2026-02-26 00:15</t>
        </is>
      </c>
      <c r="L411" t="inlineStr">
        <is>
          <t>CHECK_VENDOR</t>
        </is>
      </c>
      <c r="M411" t="inlineStr">
        <is>
          <t>See CVE details</t>
        </is>
      </c>
      <c r="N411" t="inlineStr">
        <is>
          <t>P3</t>
        </is>
      </c>
      <c r="O411" t="inlineStr">
        <is>
          <t>CVE - IP enrichment n/a</t>
        </is>
      </c>
      <c r="P411" t="n">
        <v>0</v>
      </c>
      <c r="Q411" t="n">
        <v>0</v>
      </c>
      <c r="R411" t="inlineStr">
        <is>
          <t>T1059:Command and Scripting Interpreter</t>
        </is>
      </c>
      <c r="S411" t="n">
        <v>1</v>
      </c>
      <c r="T411" t="inlineStr">
        <is>
          <t>LOW (40%)</t>
        </is>
      </c>
      <c r="U411" t="inlineStr">
        <is>
          <t>UNLIKELY</t>
        </is>
      </c>
      <c r="V411" t="inlineStr">
        <is>
          <t>CHECK_VENDOR</t>
        </is>
      </c>
      <c r="W411" t="inlineStr">
        <is>
          <t>https://nvd.nist.gov/vuln/detail/CVE-2026-27476</t>
        </is>
      </c>
      <c r="X411" t="inlineStr">
        <is>
          <t>NONE</t>
        </is>
      </c>
      <c r="Y411" t="n">
        <v>0</v>
      </c>
      <c r="Z411" t="inlineStr"/>
      <c r="AA411" t="inlineStr">
        <is>
          <t>https://nvd.nist.gov/vuln/detail/CVE-2026-27476</t>
        </is>
      </c>
    </row>
    <row r="412">
      <c r="A412" t="inlineStr">
        <is>
          <t>CVE</t>
        </is>
      </c>
      <c r="B412" t="inlineStr">
        <is>
          <t>CVE-2026-2738</t>
        </is>
      </c>
      <c r="C412" t="inlineStr">
        <is>
          <t>Buffer overflow in ovpn‑dco‑win version 2.8.0 allows local attackers to cause a system crash by sending too large packets to the remote peer when the AEAD tag appears at the end of the encrypted packet</t>
        </is>
      </c>
      <c r="D412" t="n">
        <v>5</v>
      </c>
      <c r="E412" t="inlineStr">
        <is>
          <t>MEDIUM</t>
        </is>
      </c>
      <c r="F412" t="n">
        <v>2</v>
      </c>
      <c r="G412" t="n">
        <v>2</v>
      </c>
      <c r="H412" t="inlineStr">
        <is>
          <t>MEDIUM</t>
        </is>
      </c>
      <c r="I412" t="n">
        <v>9</v>
      </c>
      <c r="J412" t="inlineStr">
        <is>
          <t>NO</t>
        </is>
      </c>
      <c r="K412" t="inlineStr">
        <is>
          <t>2026-02-26 00:15</t>
        </is>
      </c>
      <c r="L412" t="inlineStr">
        <is>
          <t>CHECK_VENDOR</t>
        </is>
      </c>
      <c r="M412" t="inlineStr">
        <is>
          <t>See CVE details</t>
        </is>
      </c>
      <c r="N412" t="inlineStr">
        <is>
          <t>P4</t>
        </is>
      </c>
      <c r="O412" t="inlineStr">
        <is>
          <t>CVE - IP enrichment n/a</t>
        </is>
      </c>
      <c r="P412" t="n">
        <v>0.0002</v>
      </c>
      <c r="Q412" t="n">
        <v>0.0458</v>
      </c>
      <c r="R412" t="inlineStr">
        <is>
          <t>T1203:Exploitation for Client Execution | T1133:External Remote Services</t>
        </is>
      </c>
      <c r="S412" t="n">
        <v>1</v>
      </c>
      <c r="T412" t="inlineStr">
        <is>
          <t>LOW (40%)</t>
        </is>
      </c>
      <c r="U412" t="inlineStr">
        <is>
          <t>UNLIKELY</t>
        </is>
      </c>
      <c r="V412" t="inlineStr">
        <is>
          <t>CHECK_VENDOR</t>
        </is>
      </c>
      <c r="W412" t="inlineStr">
        <is>
          <t>https://nvd.nist.gov/vuln/detail/CVE-2026-2738</t>
        </is>
      </c>
      <c r="X412" t="inlineStr">
        <is>
          <t>NONE</t>
        </is>
      </c>
      <c r="Y412" t="n">
        <v>0</v>
      </c>
      <c r="Z412" t="inlineStr"/>
      <c r="AA412" t="inlineStr">
        <is>
          <t>https://nvd.nist.gov/vuln/detail/CVE-2026-2738</t>
        </is>
      </c>
    </row>
    <row r="413">
      <c r="A413" t="inlineStr">
        <is>
          <t>CVE</t>
        </is>
      </c>
      <c r="B413" t="inlineStr">
        <is>
          <t>CVE-2026-26275</t>
        </is>
      </c>
      <c r="C413" t="inlineStr">
        <is>
          <t>httpsig-hyper is a hyper extension for http message signatures. An issue was discovered in `httpsig-hyper` prior to version 0.0.23 where Digest header verification could incorrectly succeed due to misuse of Rust's `matches!` macro. Specifically, the comparison `if matches!(digest, _expected_digest)` treated `_expected_digest` as a pattern binding rather than a value comparison, resulting in unconditional success of the match expression. As a consequence, digest verification could incorrectly ret</t>
        </is>
      </c>
      <c r="D413" t="n">
        <v>7.5</v>
      </c>
      <c r="E413" t="inlineStr">
        <is>
          <t>HIGH</t>
        </is>
      </c>
      <c r="F413" t="n">
        <v>2</v>
      </c>
      <c r="G413" t="n">
        <v>3</v>
      </c>
      <c r="H413" t="inlineStr">
        <is>
          <t>HIGH</t>
        </is>
      </c>
      <c r="I413" t="n">
        <v>13.5</v>
      </c>
      <c r="J413" t="inlineStr">
        <is>
          <t>NO</t>
        </is>
      </c>
      <c r="K413" t="inlineStr">
        <is>
          <t>2026-02-26 00:15</t>
        </is>
      </c>
      <c r="L413" t="inlineStr">
        <is>
          <t>CHECK_VENDOR</t>
        </is>
      </c>
      <c r="M413" t="inlineStr">
        <is>
          <t>See CVE details</t>
        </is>
      </c>
      <c r="N413" t="inlineStr">
        <is>
          <t>P3</t>
        </is>
      </c>
      <c r="O413" t="inlineStr">
        <is>
          <t>CVE - IP enrichment n/a</t>
        </is>
      </c>
      <c r="P413" t="n">
        <v>0</v>
      </c>
      <c r="Q413" t="n">
        <v>0</v>
      </c>
      <c r="R413" t="inlineStr">
        <is>
          <t>T1190:Exploit Public-Facing Application</t>
        </is>
      </c>
      <c r="S413" t="n">
        <v>1</v>
      </c>
      <c r="T413" t="inlineStr">
        <is>
          <t>LOW (40%)</t>
        </is>
      </c>
      <c r="U413" t="inlineStr">
        <is>
          <t>UNLIKELY</t>
        </is>
      </c>
      <c r="V413" t="inlineStr">
        <is>
          <t>CHECK_VENDOR</t>
        </is>
      </c>
      <c r="W413" t="inlineStr">
        <is>
          <t>https://nvd.nist.gov/vuln/detail/CVE-2026-26275</t>
        </is>
      </c>
      <c r="X413" t="inlineStr">
        <is>
          <t>NONE</t>
        </is>
      </c>
      <c r="Y413" t="n">
        <v>0</v>
      </c>
      <c r="Z413" t="inlineStr"/>
      <c r="AA413" t="inlineStr">
        <is>
          <t>https://nvd.nist.gov/vuln/detail/CVE-2026-26275</t>
        </is>
      </c>
    </row>
    <row r="414">
      <c r="A414" t="inlineStr">
        <is>
          <t>CVE</t>
        </is>
      </c>
      <c r="B414" t="inlineStr">
        <is>
          <t>CVE-2026-26314</t>
        </is>
      </c>
      <c r="C414" t="inlineStr">
        <is>
          <t>go-ethereum (geth) is a golang execution layer implementation of the Ethereum protocol. Prior to version 1.16.9, a vulnerable node can be forced to shutdown/crash using a specially crafted message. The problem is resolved in the v1.16.9 and v1.17.0 releases of Geth.</t>
        </is>
      </c>
      <c r="D414" t="n">
        <v>7.5</v>
      </c>
      <c r="E414" t="inlineStr">
        <is>
          <t>HIGH</t>
        </is>
      </c>
      <c r="F414" t="n">
        <v>2</v>
      </c>
      <c r="G414" t="n">
        <v>3</v>
      </c>
      <c r="H414" t="inlineStr">
        <is>
          <t>HIGH</t>
        </is>
      </c>
      <c r="I414" t="n">
        <v>13.5</v>
      </c>
      <c r="J414" t="inlineStr">
        <is>
          <t>NO</t>
        </is>
      </c>
      <c r="K414" t="inlineStr">
        <is>
          <t>2026-02-26 00:15</t>
        </is>
      </c>
      <c r="L414" t="inlineStr">
        <is>
          <t>YES</t>
        </is>
      </c>
      <c r="M414" t="inlineStr">
        <is>
          <t>ethereum go_ethereum *</t>
        </is>
      </c>
      <c r="N414" t="inlineStr">
        <is>
          <t>P3</t>
        </is>
      </c>
      <c r="O414" t="inlineStr">
        <is>
          <t>CVE - IP enrichment n/a</t>
        </is>
      </c>
      <c r="P414" t="n">
        <v>0.0005999999999999999</v>
      </c>
      <c r="Q414" t="n">
        <v>0.1921</v>
      </c>
      <c r="R414" t="inlineStr">
        <is>
          <t>T1190:Exploit Public-Facing Application</t>
        </is>
      </c>
      <c r="S414" t="n">
        <v>1</v>
      </c>
      <c r="T414" t="inlineStr">
        <is>
          <t>LOW (40%)</t>
        </is>
      </c>
      <c r="U414" t="inlineStr">
        <is>
          <t>UNLIKELY</t>
        </is>
      </c>
      <c r="V414" t="inlineStr">
        <is>
          <t>PATCH_AVAILABLE</t>
        </is>
      </c>
      <c r="W414" t="inlineStr">
        <is>
          <t>https://nvd.nist.gov/vuln/detail/CVE-2026-26314</t>
        </is>
      </c>
      <c r="X414" t="inlineStr">
        <is>
          <t>NONE</t>
        </is>
      </c>
      <c r="Y414" t="n">
        <v>0</v>
      </c>
      <c r="Z414" t="inlineStr"/>
      <c r="AA414" t="inlineStr">
        <is>
          <t>https://nvd.nist.gov/vuln/detail/CVE-2026-26314</t>
        </is>
      </c>
    </row>
    <row r="415">
      <c r="A415" t="inlineStr">
        <is>
          <t>CVE</t>
        </is>
      </c>
      <c r="B415" t="inlineStr">
        <is>
          <t>CVE-2026-26315</t>
        </is>
      </c>
      <c r="C415" t="inlineStr">
        <is>
          <t>go-ethereum (Geth) is a golang execution layer implementation of the Ethereum protocol. Prior to version 1.16.9, through a flaw in the ECIES cryptography implementation, an attacker may be able to extract bits of the p2p node key. The issue is resolved in the v1.16.9 and v1.17.0 releases of Geth. Geth maintainers recommend rotating the node key after applying the upgrade, which can be done by removing the file ` /geth/nodekey` before starting Geth.</t>
        </is>
      </c>
      <c r="D415" t="n">
        <v>7.5</v>
      </c>
      <c r="E415" t="inlineStr">
        <is>
          <t>HIGH</t>
        </is>
      </c>
      <c r="F415" t="n">
        <v>2</v>
      </c>
      <c r="G415" t="n">
        <v>3</v>
      </c>
      <c r="H415" t="inlineStr">
        <is>
          <t>HIGH</t>
        </is>
      </c>
      <c r="I415" t="n">
        <v>13.5</v>
      </c>
      <c r="J415" t="inlineStr">
        <is>
          <t>NO</t>
        </is>
      </c>
      <c r="K415" t="inlineStr">
        <is>
          <t>2026-02-26 00:15</t>
        </is>
      </c>
      <c r="L415" t="inlineStr">
        <is>
          <t>YES</t>
        </is>
      </c>
      <c r="M415" t="inlineStr">
        <is>
          <t>ethereum go_ethereum *</t>
        </is>
      </c>
      <c r="N415" t="inlineStr">
        <is>
          <t>P3</t>
        </is>
      </c>
      <c r="O415" t="inlineStr">
        <is>
          <t>CVE - IP enrichment n/a</t>
        </is>
      </c>
      <c r="P415" t="n">
        <v>0</v>
      </c>
      <c r="Q415" t="n">
        <v>0</v>
      </c>
      <c r="R415" t="inlineStr">
        <is>
          <t>T1190:Exploit Public-Facing Application</t>
        </is>
      </c>
      <c r="S415" t="n">
        <v>1</v>
      </c>
      <c r="T415" t="inlineStr">
        <is>
          <t>LOW (40%)</t>
        </is>
      </c>
      <c r="U415" t="inlineStr">
        <is>
          <t>UNLIKELY</t>
        </is>
      </c>
      <c r="V415" t="inlineStr">
        <is>
          <t>PATCH_AVAILABLE</t>
        </is>
      </c>
      <c r="W415" t="inlineStr">
        <is>
          <t>https://nvd.nist.gov/vuln/detail/CVE-2026-26315</t>
        </is>
      </c>
      <c r="X415" t="inlineStr">
        <is>
          <t>NONE</t>
        </is>
      </c>
      <c r="Y415" t="n">
        <v>0</v>
      </c>
      <c r="Z415" t="inlineStr"/>
      <c r="AA415" t="inlineStr">
        <is>
          <t>https://nvd.nist.gov/vuln/detail/CVE-2026-26315</t>
        </is>
      </c>
    </row>
    <row r="416">
      <c r="A416" t="inlineStr">
        <is>
          <t>CVE</t>
        </is>
      </c>
      <c r="B416" t="inlineStr">
        <is>
          <t>CVE-2026-26316</t>
        </is>
      </c>
      <c r="C416" t="inlineStr">
        <is>
          <t>OpenClaw is a personal AI assistant. Prior to 2026.2.13, the optional BlueBubbles iMessage channel plugin could accept webhook requests as authenticated based only on the TCP peer address being loopback (`127.0.0.1`, `::1`, `::ffff:127.0.0.1`) even when the configured webhook secret was missing or incorrect. This does not affect the default iMessage integration unless BlueBubbles is installed and enabled. Version 2026.2.13 contains a patch. Other mitigations include setting a non-empty BlueBubbl</t>
        </is>
      </c>
      <c r="D416" t="n">
        <v>7.5</v>
      </c>
      <c r="E416" t="inlineStr">
        <is>
          <t>HIGH</t>
        </is>
      </c>
      <c r="F416" t="n">
        <v>2</v>
      </c>
      <c r="G416" t="n">
        <v>3</v>
      </c>
      <c r="H416" t="inlineStr">
        <is>
          <t>HIGH</t>
        </is>
      </c>
      <c r="I416" t="n">
        <v>13.5</v>
      </c>
      <c r="J416" t="inlineStr">
        <is>
          <t>NO</t>
        </is>
      </c>
      <c r="K416" t="inlineStr">
        <is>
          <t>2026-02-26 00:15</t>
        </is>
      </c>
      <c r="L416" t="inlineStr">
        <is>
          <t>YES</t>
        </is>
      </c>
      <c r="M416" t="inlineStr">
        <is>
          <t>openclaw openclaw *</t>
        </is>
      </c>
      <c r="N416" t="inlineStr">
        <is>
          <t>P3</t>
        </is>
      </c>
      <c r="O416" t="inlineStr">
        <is>
          <t>CVE - IP enrichment n/a</t>
        </is>
      </c>
      <c r="P416" t="n">
        <v>0</v>
      </c>
      <c r="Q416" t="n">
        <v>0</v>
      </c>
      <c r="R416" t="inlineStr">
        <is>
          <t>T1190:Exploit Public-Facing Application</t>
        </is>
      </c>
      <c r="S416" t="n">
        <v>1</v>
      </c>
      <c r="T416" t="inlineStr">
        <is>
          <t>LOW (40%)</t>
        </is>
      </c>
      <c r="U416" t="inlineStr">
        <is>
          <t>UNLIKELY</t>
        </is>
      </c>
      <c r="V416" t="inlineStr">
        <is>
          <t>PATCH_AVAILABLE</t>
        </is>
      </c>
      <c r="W416" t="inlineStr">
        <is>
          <t>https://nvd.nist.gov/vuln/detail/CVE-2026-26316</t>
        </is>
      </c>
      <c r="X416" t="inlineStr">
        <is>
          <t>NONE</t>
        </is>
      </c>
      <c r="Y416" t="n">
        <v>0</v>
      </c>
      <c r="Z416" t="inlineStr"/>
      <c r="AA416" t="inlineStr">
        <is>
          <t>https://nvd.nist.gov/vuln/detail/CVE-2026-26316</t>
        </is>
      </c>
    </row>
    <row r="417">
      <c r="A417" t="inlineStr">
        <is>
          <t>CVE</t>
        </is>
      </c>
      <c r="B417" t="inlineStr">
        <is>
          <t>CVE-2026-26317</t>
        </is>
      </c>
      <c r="C417" t="inlineStr">
        <is>
          <t xml:space="preserve">OpenClaw is a personal AI assistant. Prior to 2026.2.14, browser-facing localhost mutation routes accepted cross-origin browser requests without explicit Origin/Referer validation. Loopback binding reduces remote exposure but does not prevent browser-initiated requests from malicious origins. A malicious website can trigger unauthorized state changes against a victim's local OpenClaw browser control plane (for example opening tabs, starting/stopping the browser, mutating storage/cookies) if the </t>
        </is>
      </c>
      <c r="D417" t="n">
        <v>7.1</v>
      </c>
      <c r="E417" t="inlineStr">
        <is>
          <t>HIGH</t>
        </is>
      </c>
      <c r="F417" t="n">
        <v>2</v>
      </c>
      <c r="G417" t="n">
        <v>3</v>
      </c>
      <c r="H417" t="inlineStr">
        <is>
          <t>HIGH</t>
        </is>
      </c>
      <c r="I417" t="n">
        <v>13.1</v>
      </c>
      <c r="J417" t="inlineStr">
        <is>
          <t>NO</t>
        </is>
      </c>
      <c r="K417" t="inlineStr">
        <is>
          <t>2026-02-26 00:15</t>
        </is>
      </c>
      <c r="L417" t="inlineStr">
        <is>
          <t>CHECK_VENDOR</t>
        </is>
      </c>
      <c r="M417" t="inlineStr">
        <is>
          <t>See CVE details</t>
        </is>
      </c>
      <c r="N417" t="inlineStr">
        <is>
          <t>P3</t>
        </is>
      </c>
      <c r="O417" t="inlineStr">
        <is>
          <t>CVE - IP enrichment n/a</t>
        </is>
      </c>
      <c r="P417" t="n">
        <v>0</v>
      </c>
      <c r="Q417" t="n">
        <v>0</v>
      </c>
      <c r="R417" t="inlineStr">
        <is>
          <t>T1185:Browser Session Hijacking</t>
        </is>
      </c>
      <c r="S417" t="n">
        <v>1</v>
      </c>
      <c r="T417" t="inlineStr">
        <is>
          <t>LOW (40%)</t>
        </is>
      </c>
      <c r="U417" t="inlineStr">
        <is>
          <t>UNLIKELY</t>
        </is>
      </c>
      <c r="V417" t="inlineStr">
        <is>
          <t>CHECK_VENDOR</t>
        </is>
      </c>
      <c r="W417" t="inlineStr">
        <is>
          <t>https://nvd.nist.gov/vuln/detail/CVE-2026-26317</t>
        </is>
      </c>
      <c r="X417" t="inlineStr">
        <is>
          <t>NONE</t>
        </is>
      </c>
      <c r="Y417" t="n">
        <v>0</v>
      </c>
      <c r="Z417" t="inlineStr"/>
      <c r="AA417" t="inlineStr">
        <is>
          <t>https://nvd.nist.gov/vuln/detail/CVE-2026-26317</t>
        </is>
      </c>
    </row>
    <row r="418">
      <c r="A418" t="inlineStr">
        <is>
          <t>CVE</t>
        </is>
      </c>
      <c r="B418" t="inlineStr">
        <is>
          <t>CVE-2026-26744</t>
        </is>
      </c>
      <c r="C418" t="inlineStr">
        <is>
          <t>A user enumeration vulnerability exists in FormaLMS 4.1.18 and below in the password recovery functionality accessible via the /lostpwd endpoint. The application returns different error messages for valid and invalid usernames allowing an unauthenticated attacker to determine which usernames are registered in the system through observable response discrepancy.</t>
        </is>
      </c>
      <c r="D418" t="n">
        <v>5.3</v>
      </c>
      <c r="E418" t="inlineStr">
        <is>
          <t>MEDIUM</t>
        </is>
      </c>
      <c r="F418" t="n">
        <v>2</v>
      </c>
      <c r="G418" t="n">
        <v>2</v>
      </c>
      <c r="H418" t="inlineStr">
        <is>
          <t>MEDIUM</t>
        </is>
      </c>
      <c r="I418" t="n">
        <v>9.300000000000001</v>
      </c>
      <c r="J418" t="inlineStr">
        <is>
          <t>NO</t>
        </is>
      </c>
      <c r="K418" t="inlineStr">
        <is>
          <t>2026-02-26 00:15</t>
        </is>
      </c>
      <c r="L418" t="inlineStr">
        <is>
          <t>CHECK_VENDOR</t>
        </is>
      </c>
      <c r="M418" t="inlineStr">
        <is>
          <t>See CVE details</t>
        </is>
      </c>
      <c r="N418" t="inlineStr">
        <is>
          <t>P4</t>
        </is>
      </c>
      <c r="O418" t="inlineStr">
        <is>
          <t>CVE - IP enrichment n/a</t>
        </is>
      </c>
      <c r="P418" t="n">
        <v>0</v>
      </c>
      <c r="Q418" t="n">
        <v>0</v>
      </c>
      <c r="R418" t="inlineStr">
        <is>
          <t>T1190:Exploit Public-Facing Application</t>
        </is>
      </c>
      <c r="S418" t="n">
        <v>1</v>
      </c>
      <c r="T418" t="inlineStr">
        <is>
          <t>LOW (40%)</t>
        </is>
      </c>
      <c r="U418" t="inlineStr">
        <is>
          <t>UNLIKELY</t>
        </is>
      </c>
      <c r="V418" t="inlineStr">
        <is>
          <t>CHECK_VENDOR</t>
        </is>
      </c>
      <c r="W418" t="inlineStr">
        <is>
          <t>https://nvd.nist.gov/vuln/detail/CVE-2026-26744</t>
        </is>
      </c>
      <c r="X418" t="inlineStr">
        <is>
          <t>NONE</t>
        </is>
      </c>
      <c r="Y418" t="n">
        <v>0</v>
      </c>
      <c r="Z418" t="inlineStr"/>
      <c r="AA418" t="inlineStr">
        <is>
          <t>https://nvd.nist.gov/vuln/detail/CVE-2026-26744</t>
        </is>
      </c>
    </row>
    <row r="419">
      <c r="A419" t="inlineStr">
        <is>
          <t>CVE</t>
        </is>
      </c>
      <c r="B419" t="inlineStr">
        <is>
          <t>CVE-2025-13671</t>
        </is>
      </c>
      <c r="C419" t="inlineStr">
        <is>
          <t>Cross-Site Request Forgery (CSRF) vulnerability in OpenText™ Web Site Management Server allows Cross Site Request Forgery. The vulnerability could make a user, with active session inside the product, click on a page that contains this malicious HTML triggering to perform changes unconsciously.
This issue affects Web Site Management Server: 16.7.0, 16.7.1.</t>
        </is>
      </c>
      <c r="D419" t="n">
        <v>5</v>
      </c>
      <c r="E419" t="inlineStr">
        <is>
          <t>MEDIUM</t>
        </is>
      </c>
      <c r="F419" t="n">
        <v>2</v>
      </c>
      <c r="G419" t="n">
        <v>2</v>
      </c>
      <c r="H419" t="inlineStr">
        <is>
          <t>MEDIUM</t>
        </is>
      </c>
      <c r="I419" t="n">
        <v>9</v>
      </c>
      <c r="J419" t="inlineStr">
        <is>
          <t>NO</t>
        </is>
      </c>
      <c r="K419" t="inlineStr">
        <is>
          <t>2026-02-26 00:15</t>
        </is>
      </c>
      <c r="L419" t="inlineStr">
        <is>
          <t>CHECK_VENDOR</t>
        </is>
      </c>
      <c r="M419" t="inlineStr">
        <is>
          <t>See CVE details</t>
        </is>
      </c>
      <c r="N419" t="inlineStr">
        <is>
          <t>P4</t>
        </is>
      </c>
      <c r="O419" t="inlineStr">
        <is>
          <t>CVE - IP enrichment n/a</t>
        </is>
      </c>
      <c r="P419" t="n">
        <v>0</v>
      </c>
      <c r="Q419" t="n">
        <v>0</v>
      </c>
      <c r="R419" t="inlineStr">
        <is>
          <t>T1185:Browser Session Hijacking</t>
        </is>
      </c>
      <c r="S419" t="n">
        <v>1</v>
      </c>
      <c r="T419" t="inlineStr">
        <is>
          <t>LOW (40%)</t>
        </is>
      </c>
      <c r="U419" t="inlineStr">
        <is>
          <t>UNLIKELY</t>
        </is>
      </c>
      <c r="V419" t="inlineStr">
        <is>
          <t>CHECK_VENDOR</t>
        </is>
      </c>
      <c r="W419" t="inlineStr">
        <is>
          <t>https://nvd.nist.gov/vuln/detail/CVE-2025-13671</t>
        </is>
      </c>
      <c r="X419" t="inlineStr">
        <is>
          <t>NONE</t>
        </is>
      </c>
      <c r="Y419" t="n">
        <v>0</v>
      </c>
      <c r="Z419" t="inlineStr"/>
      <c r="AA419" t="inlineStr">
        <is>
          <t>https://nvd.nist.gov/vuln/detail/CVE-2025-13671</t>
        </is>
      </c>
    </row>
    <row r="420">
      <c r="A420" t="inlineStr">
        <is>
          <t>CVE</t>
        </is>
      </c>
      <c r="B420" t="inlineStr">
        <is>
          <t>CVE-2025-13672</t>
        </is>
      </c>
      <c r="C420" t="inlineStr">
        <is>
          <t>Improper Neutralization of Input During Web Page Generation (XSS or 'Cross-site Scripting') vulnerability in OpenText™ Web Site Management Server allows Reflected XSS. The vulnerability could allow injecting malicious JavaScript inside URL parameters that was then rendered with the preview of the page, so that malicious scripts could be executed on the client side.
This issue affects Web Site Management Server: 16.7.0, 16.7.1.</t>
        </is>
      </c>
      <c r="D420" t="n">
        <v>5</v>
      </c>
      <c r="E420" t="inlineStr">
        <is>
          <t>MEDIUM</t>
        </is>
      </c>
      <c r="F420" t="n">
        <v>2</v>
      </c>
      <c r="G420" t="n">
        <v>2</v>
      </c>
      <c r="H420" t="inlineStr">
        <is>
          <t>MEDIUM</t>
        </is>
      </c>
      <c r="I420" t="n">
        <v>9</v>
      </c>
      <c r="J420" t="inlineStr">
        <is>
          <t>NO</t>
        </is>
      </c>
      <c r="K420" t="inlineStr">
        <is>
          <t>2026-02-26 00:15</t>
        </is>
      </c>
      <c r="L420" t="inlineStr">
        <is>
          <t>CHECK_VENDOR</t>
        </is>
      </c>
      <c r="M420" t="inlineStr">
        <is>
          <t>See CVE details</t>
        </is>
      </c>
      <c r="N420" t="inlineStr">
        <is>
          <t>P4</t>
        </is>
      </c>
      <c r="O420" t="inlineStr">
        <is>
          <t>CVE - IP enrichment n/a</t>
        </is>
      </c>
      <c r="P420" t="n">
        <v>0</v>
      </c>
      <c r="Q420" t="n">
        <v>0</v>
      </c>
      <c r="R420" t="inlineStr">
        <is>
          <t>T1189:Drive-by Compromise</t>
        </is>
      </c>
      <c r="S420" t="n">
        <v>1</v>
      </c>
      <c r="T420" t="inlineStr">
        <is>
          <t>LOW (40%)</t>
        </is>
      </c>
      <c r="U420" t="inlineStr">
        <is>
          <t>UNLIKELY</t>
        </is>
      </c>
      <c r="V420" t="inlineStr">
        <is>
          <t>CHECK_VENDOR</t>
        </is>
      </c>
      <c r="W420" t="inlineStr">
        <is>
          <t>https://nvd.nist.gov/vuln/detail/CVE-2025-13672</t>
        </is>
      </c>
      <c r="X420" t="inlineStr">
        <is>
          <t>NONE</t>
        </is>
      </c>
      <c r="Y420" t="n">
        <v>0</v>
      </c>
      <c r="Z420" t="inlineStr"/>
      <c r="AA420" t="inlineStr">
        <is>
          <t>https://nvd.nist.gov/vuln/detail/CVE-2025-13672</t>
        </is>
      </c>
    </row>
    <row r="421">
      <c r="A421" t="inlineStr">
        <is>
          <t>CVE</t>
        </is>
      </c>
      <c r="B421" t="inlineStr">
        <is>
          <t>CVE-2025-8054</t>
        </is>
      </c>
      <c r="C421" t="inlineStr">
        <is>
          <t>Improper Limitation of a Pathname to a Restricted Directory ('Path Traversal') vulnerability in OpenText™ XM Fax allows Path Traversal. 
The vulnerability could allow an attacker to arbitrarily disclose content of files on the local filesystem. This issue affects XM Fax: 24.2.</t>
        </is>
      </c>
      <c r="D421" t="n">
        <v>5</v>
      </c>
      <c r="E421" t="inlineStr">
        <is>
          <t>MEDIUM</t>
        </is>
      </c>
      <c r="F421" t="n">
        <v>2</v>
      </c>
      <c r="G421" t="n">
        <v>2</v>
      </c>
      <c r="H421" t="inlineStr">
        <is>
          <t>MEDIUM</t>
        </is>
      </c>
      <c r="I421" t="n">
        <v>9</v>
      </c>
      <c r="J421" t="inlineStr">
        <is>
          <t>NO</t>
        </is>
      </c>
      <c r="K421" t="inlineStr">
        <is>
          <t>2026-02-26 00:15</t>
        </is>
      </c>
      <c r="L421" t="inlineStr">
        <is>
          <t>CHECK_VENDOR</t>
        </is>
      </c>
      <c r="M421" t="inlineStr">
        <is>
          <t>See CVE details</t>
        </is>
      </c>
      <c r="N421" t="inlineStr">
        <is>
          <t>P4</t>
        </is>
      </c>
      <c r="O421" t="inlineStr">
        <is>
          <t>CVE - IP enrichment n/a</t>
        </is>
      </c>
      <c r="P421" t="n">
        <v>0</v>
      </c>
      <c r="Q421" t="n">
        <v>0</v>
      </c>
      <c r="R421" t="inlineStr">
        <is>
          <t>T1083:File and Directory Discovery</t>
        </is>
      </c>
      <c r="S421" t="n">
        <v>1</v>
      </c>
      <c r="T421" t="inlineStr">
        <is>
          <t>LOW (40%)</t>
        </is>
      </c>
      <c r="U421" t="inlineStr">
        <is>
          <t>UNLIKELY</t>
        </is>
      </c>
      <c r="V421" t="inlineStr">
        <is>
          <t>CHECK_VENDOR</t>
        </is>
      </c>
      <c r="W421" t="inlineStr">
        <is>
          <t>https://nvd.nist.gov/vuln/detail/CVE-2025-8054</t>
        </is>
      </c>
      <c r="X421" t="inlineStr">
        <is>
          <t>NONE</t>
        </is>
      </c>
      <c r="Y421" t="n">
        <v>0</v>
      </c>
      <c r="Z421" t="inlineStr"/>
      <c r="AA421" t="inlineStr">
        <is>
          <t>https://nvd.nist.gov/vuln/detail/CVE-2025-8054</t>
        </is>
      </c>
    </row>
    <row r="422">
      <c r="A422" t="inlineStr">
        <is>
          <t>CVE</t>
        </is>
      </c>
      <c r="B422" t="inlineStr">
        <is>
          <t>CVE-2025-8055</t>
        </is>
      </c>
      <c r="C422" t="inlineStr">
        <is>
          <t>Server-Side Request Forgery (SSRF) vulnerability in OpenText™ XM Fax allows Server Side Request Forgery. 
The vulnerability could allow an attacker to
perform blind SSRF to other systems accessible from the XM Fax server.
This issue affects XM Fax: 24.2.</t>
        </is>
      </c>
      <c r="D422" t="n">
        <v>5.3</v>
      </c>
      <c r="E422" t="inlineStr">
        <is>
          <t>MEDIUM</t>
        </is>
      </c>
      <c r="F422" t="n">
        <v>2</v>
      </c>
      <c r="G422" t="n">
        <v>2</v>
      </c>
      <c r="H422" t="inlineStr">
        <is>
          <t>MEDIUM</t>
        </is>
      </c>
      <c r="I422" t="n">
        <v>9.300000000000001</v>
      </c>
      <c r="J422" t="inlineStr">
        <is>
          <t>NO</t>
        </is>
      </c>
      <c r="K422" t="inlineStr">
        <is>
          <t>2026-02-26 00:15</t>
        </is>
      </c>
      <c r="L422" t="inlineStr">
        <is>
          <t>CHECK_VENDOR</t>
        </is>
      </c>
      <c r="M422" t="inlineStr">
        <is>
          <t>See CVE details</t>
        </is>
      </c>
      <c r="N422" t="inlineStr">
        <is>
          <t>P4</t>
        </is>
      </c>
      <c r="O422" t="inlineStr">
        <is>
          <t>CVE - IP enrichment n/a</t>
        </is>
      </c>
      <c r="P422" t="n">
        <v>0</v>
      </c>
      <c r="Q422" t="n">
        <v>0</v>
      </c>
      <c r="R422" t="inlineStr">
        <is>
          <t>T1090:Proxy</t>
        </is>
      </c>
      <c r="S422" t="n">
        <v>1</v>
      </c>
      <c r="T422" t="inlineStr">
        <is>
          <t>LOW (40%)</t>
        </is>
      </c>
      <c r="U422" t="inlineStr">
        <is>
          <t>UNLIKELY</t>
        </is>
      </c>
      <c r="V422" t="inlineStr">
        <is>
          <t>CHECK_VENDOR</t>
        </is>
      </c>
      <c r="W422" t="inlineStr">
        <is>
          <t>https://nvd.nist.gov/vuln/detail/CVE-2025-8055</t>
        </is>
      </c>
      <c r="X422" t="inlineStr">
        <is>
          <t>NONE</t>
        </is>
      </c>
      <c r="Y422" t="n">
        <v>0</v>
      </c>
      <c r="Z422" t="inlineStr"/>
      <c r="AA422" t="inlineStr">
        <is>
          <t>https://nvd.nist.gov/vuln/detail/CVE-2025-8055</t>
        </is>
      </c>
    </row>
    <row r="423">
      <c r="A423" t="inlineStr">
        <is>
          <t>CVE</t>
        </is>
      </c>
      <c r="B423" t="inlineStr">
        <is>
          <t>CVE-2025-9208</t>
        </is>
      </c>
      <c r="C423" t="inlineStr">
        <is>
          <t>Improper Neutralization of Input During Web Page Generation (XSS or 'Cross-site Scripting') vulnerability in OpenText™ Web Site Management Server allows Stored XSS. The vulnerability could execute malicious scripts on the client side when the download query parameter is removed from the file URL, allowing attackers to compromise user sessions and data.
This issue affects Web Site Management Server: 16.7.X, 16.8, 16.8.1.</t>
        </is>
      </c>
      <c r="D423" t="n">
        <v>5</v>
      </c>
      <c r="E423" t="inlineStr">
        <is>
          <t>MEDIUM</t>
        </is>
      </c>
      <c r="F423" t="n">
        <v>2</v>
      </c>
      <c r="G423" t="n">
        <v>2</v>
      </c>
      <c r="H423" t="inlineStr">
        <is>
          <t>MEDIUM</t>
        </is>
      </c>
      <c r="I423" t="n">
        <v>9</v>
      </c>
      <c r="J423" t="inlineStr">
        <is>
          <t>NO</t>
        </is>
      </c>
      <c r="K423" t="inlineStr">
        <is>
          <t>2026-02-26 00:15</t>
        </is>
      </c>
      <c r="L423" t="inlineStr">
        <is>
          <t>CHECK_VENDOR</t>
        </is>
      </c>
      <c r="M423" t="inlineStr">
        <is>
          <t>See CVE details</t>
        </is>
      </c>
      <c r="N423" t="inlineStr">
        <is>
          <t>P4</t>
        </is>
      </c>
      <c r="O423" t="inlineStr">
        <is>
          <t>CVE - IP enrichment n/a</t>
        </is>
      </c>
      <c r="P423" t="n">
        <v>0.0005</v>
      </c>
      <c r="Q423" t="n">
        <v>0.1621</v>
      </c>
      <c r="R423" t="inlineStr">
        <is>
          <t>T1189:Drive-by Compromise</t>
        </is>
      </c>
      <c r="S423" t="n">
        <v>1</v>
      </c>
      <c r="T423" t="inlineStr">
        <is>
          <t>LOW (40%)</t>
        </is>
      </c>
      <c r="U423" t="inlineStr">
        <is>
          <t>UNLIKELY</t>
        </is>
      </c>
      <c r="V423" t="inlineStr">
        <is>
          <t>CHECK_VENDOR</t>
        </is>
      </c>
      <c r="W423" t="inlineStr">
        <is>
          <t>https://nvd.nist.gov/vuln/detail/CVE-2025-9208</t>
        </is>
      </c>
      <c r="X423" t="inlineStr">
        <is>
          <t>NONE</t>
        </is>
      </c>
      <c r="Y423" t="n">
        <v>0</v>
      </c>
      <c r="Z423" t="inlineStr"/>
      <c r="AA423" t="inlineStr">
        <is>
          <t>https://nvd.nist.gov/vuln/detail/CVE-2025-9208</t>
        </is>
      </c>
    </row>
    <row r="424">
      <c r="A424" t="inlineStr">
        <is>
          <t>CVE</t>
        </is>
      </c>
      <c r="B424" t="inlineStr">
        <is>
          <t>CVE-2026-1658</t>
        </is>
      </c>
      <c r="C424" t="inlineStr">
        <is>
          <t>User Interface (UI) Misrepresentation of Critical Information vulnerability in OpenText™ Directory Services allows Cache Poisoning. 
The vulnerability could be exploited by a bad actor to inject manipulated text into the OpenText application, potentially misleading users.
This issue affects Directory Services: from 20.4.1 through 25.2.</t>
        </is>
      </c>
      <c r="D424" t="n">
        <v>5</v>
      </c>
      <c r="E424" t="inlineStr">
        <is>
          <t>MEDIUM</t>
        </is>
      </c>
      <c r="F424" t="n">
        <v>2</v>
      </c>
      <c r="G424" t="n">
        <v>2</v>
      </c>
      <c r="H424" t="inlineStr">
        <is>
          <t>MEDIUM</t>
        </is>
      </c>
      <c r="I424" t="n">
        <v>9</v>
      </c>
      <c r="J424" t="inlineStr">
        <is>
          <t>NO</t>
        </is>
      </c>
      <c r="K424" t="inlineStr">
        <is>
          <t>2026-02-26 00:15</t>
        </is>
      </c>
      <c r="L424" t="inlineStr">
        <is>
          <t>CHECK_VENDOR</t>
        </is>
      </c>
      <c r="M424" t="inlineStr">
        <is>
          <t>See CVE details</t>
        </is>
      </c>
      <c r="N424" t="inlineStr">
        <is>
          <t>P4</t>
        </is>
      </c>
      <c r="O424" t="inlineStr">
        <is>
          <t>CVE - IP enrichment n/a</t>
        </is>
      </c>
      <c r="P424" t="n">
        <v>0</v>
      </c>
      <c r="Q424" t="n">
        <v>0</v>
      </c>
      <c r="R424" t="inlineStr">
        <is>
          <t>T1190:Exploit Public-Facing Application</t>
        </is>
      </c>
      <c r="S424" t="n">
        <v>1</v>
      </c>
      <c r="T424" t="inlineStr">
        <is>
          <t>LOW (40%)</t>
        </is>
      </c>
      <c r="U424" t="inlineStr">
        <is>
          <t>UNLIKELY</t>
        </is>
      </c>
      <c r="V424" t="inlineStr">
        <is>
          <t>CHECK_VENDOR</t>
        </is>
      </c>
      <c r="W424" t="inlineStr">
        <is>
          <t>https://nvd.nist.gov/vuln/detail/CVE-2026-1658</t>
        </is>
      </c>
      <c r="X424" t="inlineStr">
        <is>
          <t>NONE</t>
        </is>
      </c>
      <c r="Y424" t="n">
        <v>0</v>
      </c>
      <c r="Z424" t="inlineStr"/>
      <c r="AA424" t="inlineStr">
        <is>
          <t>https://nvd.nist.gov/vuln/detail/CVE-2026-1658</t>
        </is>
      </c>
    </row>
    <row r="425">
      <c r="A425" t="inlineStr">
        <is>
          <t>CVE</t>
        </is>
      </c>
      <c r="B425" t="inlineStr">
        <is>
          <t>CVE-2026-21535</t>
        </is>
      </c>
      <c r="C425" t="inlineStr">
        <is>
          <t>Improper access control in Microsoft Teams allows an unauthorized attacker to disclose information over a network.</t>
        </is>
      </c>
      <c r="D425" t="n">
        <v>8.199999999999999</v>
      </c>
      <c r="E425" t="inlineStr">
        <is>
          <t>HIGH</t>
        </is>
      </c>
      <c r="F425" t="n">
        <v>2</v>
      </c>
      <c r="G425" t="n">
        <v>3</v>
      </c>
      <c r="H425" t="inlineStr">
        <is>
          <t>HIGH</t>
        </is>
      </c>
      <c r="I425" t="n">
        <v>14.2</v>
      </c>
      <c r="J425" t="inlineStr">
        <is>
          <t>NO</t>
        </is>
      </c>
      <c r="K425" t="inlineStr">
        <is>
          <t>2026-02-26 00:15</t>
        </is>
      </c>
      <c r="L425" t="inlineStr">
        <is>
          <t>YES</t>
        </is>
      </c>
      <c r="M425" t="inlineStr">
        <is>
          <t>microsoft teams -</t>
        </is>
      </c>
      <c r="N425" t="inlineStr">
        <is>
          <t>P3</t>
        </is>
      </c>
      <c r="O425" t="inlineStr">
        <is>
          <t>CVE - IP enrichment n/a</t>
        </is>
      </c>
      <c r="P425" t="n">
        <v>0</v>
      </c>
      <c r="Q425" t="n">
        <v>0</v>
      </c>
      <c r="R425" t="inlineStr">
        <is>
          <t>T1190:Exploit Public-Facing Application</t>
        </is>
      </c>
      <c r="S425" t="n">
        <v>1</v>
      </c>
      <c r="T425" t="inlineStr">
        <is>
          <t>LOW (40%)</t>
        </is>
      </c>
      <c r="U425" t="inlineStr">
        <is>
          <t>UNLIKELY</t>
        </is>
      </c>
      <c r="V425" t="inlineStr">
        <is>
          <t>PATCH_AVAILABLE</t>
        </is>
      </c>
      <c r="W425" t="inlineStr">
        <is>
          <t>https://nvd.nist.gov/vuln/detail/CVE-2026-21535</t>
        </is>
      </c>
      <c r="X425" t="inlineStr">
        <is>
          <t>NONE</t>
        </is>
      </c>
      <c r="Y425" t="n">
        <v>0</v>
      </c>
      <c r="Z425" t="inlineStr"/>
      <c r="AA425" t="inlineStr">
        <is>
          <t>https://nvd.nist.gov/vuln/detail/CVE-2026-21535</t>
        </is>
      </c>
    </row>
    <row r="426">
      <c r="A426" t="inlineStr">
        <is>
          <t>CVE</t>
        </is>
      </c>
      <c r="B426" t="inlineStr">
        <is>
          <t>CVE-2026-24122</t>
        </is>
      </c>
      <c r="C426" t="inlineStr">
        <is>
          <t>Cosign provides code signing and transparency for containers and binaries. In versions 3.0.4 and below, an issuing certificate with a validity that expires before the leaf certificate will be considered valid during verification even if the provided timestamp would mean the issuing certificate should be considered expired. When verifying artifact signatures using a certificate, Cosign first verifies the certificate chain using the leaf certificate's "not before" timestamp and later checks expiry</t>
        </is>
      </c>
      <c r="D426" t="n">
        <v>3.7</v>
      </c>
      <c r="E426" t="inlineStr">
        <is>
          <t>LOW</t>
        </is>
      </c>
      <c r="F426" t="n">
        <v>2</v>
      </c>
      <c r="G426" t="n">
        <v>1</v>
      </c>
      <c r="H426" t="inlineStr">
        <is>
          <t>LOW</t>
        </is>
      </c>
      <c r="I426" t="n">
        <v>5.7</v>
      </c>
      <c r="J426" t="inlineStr">
        <is>
          <t>NO</t>
        </is>
      </c>
      <c r="K426" t="inlineStr">
        <is>
          <t>2026-02-26 00:15</t>
        </is>
      </c>
      <c r="L426" t="inlineStr">
        <is>
          <t>YES</t>
        </is>
      </c>
      <c r="M426" t="inlineStr">
        <is>
          <t>sigstore cosign *</t>
        </is>
      </c>
      <c r="N426" t="inlineStr">
        <is>
          <t>P4</t>
        </is>
      </c>
      <c r="O426" t="inlineStr">
        <is>
          <t>CVE - IP enrichment n/a</t>
        </is>
      </c>
      <c r="P426" t="n">
        <v>0</v>
      </c>
      <c r="Q426" t="n">
        <v>0</v>
      </c>
      <c r="R426" t="inlineStr">
        <is>
          <t>T1190:Exploit Public-Facing Application</t>
        </is>
      </c>
      <c r="S426" t="n">
        <v>1</v>
      </c>
      <c r="T426" t="inlineStr">
        <is>
          <t>LOW (40%)</t>
        </is>
      </c>
      <c r="U426" t="inlineStr">
        <is>
          <t>UNLIKELY</t>
        </is>
      </c>
      <c r="V426" t="inlineStr">
        <is>
          <t>PATCH_AVAILABLE</t>
        </is>
      </c>
      <c r="W426" t="inlineStr">
        <is>
          <t>https://nvd.nist.gov/vuln/detail/CVE-2026-24122</t>
        </is>
      </c>
      <c r="X426" t="inlineStr">
        <is>
          <t>NONE</t>
        </is>
      </c>
      <c r="Y426" t="n">
        <v>0</v>
      </c>
      <c r="Z426" t="inlineStr"/>
      <c r="AA426" t="inlineStr">
        <is>
          <t>https://nvd.nist.gov/vuln/detail/CVE-2026-24122</t>
        </is>
      </c>
    </row>
    <row r="427">
      <c r="A427" t="inlineStr">
        <is>
          <t>CVE</t>
        </is>
      </c>
      <c r="B427" t="inlineStr">
        <is>
          <t>CVE-2026-26319</t>
        </is>
      </c>
      <c r="C427" t="inlineStr">
        <is>
          <t>OpenClaw is a personal AI assistant. Versions 2026.2.13 and below allow the optional @openclaw/voice-call plugin Telnyx webhook handler to accept unsigned inbound webhook requests when telnyx.publicKey is not configured, enabling unauthenticated callers to forge Telnyx events. Telnyx webhooks are expected to be authenticated via Ed25519 signature verification. In affected versions, TelnyxProvider.verifyWebhook() could effectively fail open when no Telnyx public key was configured, allowing arbit</t>
        </is>
      </c>
      <c r="D427" t="n">
        <v>7.5</v>
      </c>
      <c r="E427" t="inlineStr">
        <is>
          <t>HIGH</t>
        </is>
      </c>
      <c r="F427" t="n">
        <v>2</v>
      </c>
      <c r="G427" t="n">
        <v>3</v>
      </c>
      <c r="H427" t="inlineStr">
        <is>
          <t>HIGH</t>
        </is>
      </c>
      <c r="I427" t="n">
        <v>13.5</v>
      </c>
      <c r="J427" t="inlineStr">
        <is>
          <t>NO</t>
        </is>
      </c>
      <c r="K427" t="inlineStr">
        <is>
          <t>2026-02-26 00:15</t>
        </is>
      </c>
      <c r="L427" t="inlineStr">
        <is>
          <t>YES</t>
        </is>
      </c>
      <c r="M427" t="inlineStr">
        <is>
          <t>openclaw openclaw *</t>
        </is>
      </c>
      <c r="N427" t="inlineStr">
        <is>
          <t>P3</t>
        </is>
      </c>
      <c r="O427" t="inlineStr">
        <is>
          <t>CVE - IP enrichment n/a</t>
        </is>
      </c>
      <c r="P427" t="n">
        <v>0.0004</v>
      </c>
      <c r="Q427" t="n">
        <v>0.1238</v>
      </c>
      <c r="R427" t="inlineStr">
        <is>
          <t>T1078:Valid Accounts</t>
        </is>
      </c>
      <c r="S427" t="n">
        <v>1</v>
      </c>
      <c r="T427" t="inlineStr">
        <is>
          <t>LOW (40%)</t>
        </is>
      </c>
      <c r="U427" t="inlineStr">
        <is>
          <t>UNLIKELY</t>
        </is>
      </c>
      <c r="V427" t="inlineStr">
        <is>
          <t>PATCH_AVAILABLE</t>
        </is>
      </c>
      <c r="W427" t="inlineStr">
        <is>
          <t>https://nvd.nist.gov/vuln/detail/CVE-2026-26319</t>
        </is>
      </c>
      <c r="X427" t="inlineStr">
        <is>
          <t>NONE</t>
        </is>
      </c>
      <c r="Y427" t="n">
        <v>0</v>
      </c>
      <c r="Z427" t="inlineStr"/>
      <c r="AA427" t="inlineStr">
        <is>
          <t>https://nvd.nist.gov/vuln/detail/CVE-2026-26319</t>
        </is>
      </c>
    </row>
    <row r="428">
      <c r="A428" t="inlineStr">
        <is>
          <t>CVE</t>
        </is>
      </c>
      <c r="B428" t="inlineStr">
        <is>
          <t>CVE-2026-26320</t>
        </is>
      </c>
      <c r="C428" t="inlineStr">
        <is>
          <t>OpenClaw is a personal AI assistant. OpenClaw macOS desktop client registers the `openclaw://` URL scheme. For `openclaw://agent` deep links without an unattended `key`, the app shows a confirmation dialog that previously displayed only the first 240 characters of the message, but executed the full message after the user clicked "Run." At the time of writing, the OpenClaw macOS desktop client is still in beta. In versions 2026.2.6 through 2026.2.13, an attacker could pad the message with whitesp</t>
        </is>
      </c>
      <c r="D428" t="n">
        <v>6.5</v>
      </c>
      <c r="E428" t="inlineStr">
        <is>
          <t>MEDIUM</t>
        </is>
      </c>
      <c r="F428" t="n">
        <v>2</v>
      </c>
      <c r="G428" t="n">
        <v>2</v>
      </c>
      <c r="H428" t="inlineStr">
        <is>
          <t>MEDIUM</t>
        </is>
      </c>
      <c r="I428" t="n">
        <v>10.5</v>
      </c>
      <c r="J428" t="inlineStr">
        <is>
          <t>NO</t>
        </is>
      </c>
      <c r="K428" t="inlineStr">
        <is>
          <t>2026-02-26 00:15</t>
        </is>
      </c>
      <c r="L428" t="inlineStr">
        <is>
          <t>YES</t>
        </is>
      </c>
      <c r="M428" t="inlineStr">
        <is>
          <t>openclaw openclaw * | apple macos -</t>
        </is>
      </c>
      <c r="N428" t="inlineStr">
        <is>
          <t>P4</t>
        </is>
      </c>
      <c r="O428" t="inlineStr">
        <is>
          <t>CVE - IP enrichment n/a</t>
        </is>
      </c>
      <c r="P428" t="n">
        <v>0</v>
      </c>
      <c r="Q428" t="n">
        <v>0</v>
      </c>
      <c r="R428" t="inlineStr">
        <is>
          <t>T1190:Exploit Public-Facing Application</t>
        </is>
      </c>
      <c r="S428" t="n">
        <v>1</v>
      </c>
      <c r="T428" t="inlineStr">
        <is>
          <t>LOW (40%)</t>
        </is>
      </c>
      <c r="U428" t="inlineStr">
        <is>
          <t>UNLIKELY</t>
        </is>
      </c>
      <c r="V428" t="inlineStr">
        <is>
          <t>PATCH_AVAILABLE</t>
        </is>
      </c>
      <c r="W428" t="inlineStr">
        <is>
          <t>https://nvd.nist.gov/vuln/detail/CVE-2026-26320</t>
        </is>
      </c>
      <c r="X428" t="inlineStr">
        <is>
          <t>NONE</t>
        </is>
      </c>
      <c r="Y428" t="n">
        <v>0</v>
      </c>
      <c r="Z428" t="inlineStr"/>
      <c r="AA428" t="inlineStr">
        <is>
          <t>https://nvd.nist.gov/vuln/detail/CVE-2026-26320</t>
        </is>
      </c>
    </row>
    <row r="429">
      <c r="A429" t="inlineStr">
        <is>
          <t>CVE</t>
        </is>
      </c>
      <c r="B429" t="inlineStr">
        <is>
          <t>CVE-2026-26321</t>
        </is>
      </c>
      <c r="C429" t="inlineStr">
        <is>
          <t>OpenClaw is a personal AI assistant. Prior to OpenClaw version 2026.2.14, the Feishu extension previously allowed `sendMediaFeishu` to treat attacker-controlled `mediaUrl` values as local filesystem paths and read them directly. If an attacker can influence tool calls (directly or via prompt injection), they may be able to exfiltrate local files by supplying paths such as `/etc/passwd` as `mediaUrl`. Upgrade to OpenClaw `2026.2.14` or newer to receive a fix. The fix removes direct local file rea</t>
        </is>
      </c>
      <c r="D429" t="n">
        <v>7.5</v>
      </c>
      <c r="E429" t="inlineStr">
        <is>
          <t>HIGH</t>
        </is>
      </c>
      <c r="F429" t="n">
        <v>2</v>
      </c>
      <c r="G429" t="n">
        <v>3</v>
      </c>
      <c r="H429" t="inlineStr">
        <is>
          <t>HIGH</t>
        </is>
      </c>
      <c r="I429" t="n">
        <v>13.5</v>
      </c>
      <c r="J429" t="inlineStr">
        <is>
          <t>NO</t>
        </is>
      </c>
      <c r="K429" t="inlineStr">
        <is>
          <t>2026-02-26 00:15</t>
        </is>
      </c>
      <c r="L429" t="inlineStr">
        <is>
          <t>YES</t>
        </is>
      </c>
      <c r="M429" t="inlineStr">
        <is>
          <t>openclaw openclaw *</t>
        </is>
      </c>
      <c r="N429" t="inlineStr">
        <is>
          <t>P3</t>
        </is>
      </c>
      <c r="O429" t="inlineStr">
        <is>
          <t>CVE - IP enrichment n/a</t>
        </is>
      </c>
      <c r="P429" t="n">
        <v>0</v>
      </c>
      <c r="Q429" t="n">
        <v>0</v>
      </c>
      <c r="R429" t="inlineStr">
        <is>
          <t>T1083:File and Directory Discovery | T1190:Exploit Public-Facing Application</t>
        </is>
      </c>
      <c r="S429" t="n">
        <v>1</v>
      </c>
      <c r="T429" t="inlineStr">
        <is>
          <t>LOW (40%)</t>
        </is>
      </c>
      <c r="U429" t="inlineStr">
        <is>
          <t>UNLIKELY</t>
        </is>
      </c>
      <c r="V429" t="inlineStr">
        <is>
          <t>PATCH_AVAILABLE</t>
        </is>
      </c>
      <c r="W429" t="inlineStr">
        <is>
          <t>https://nvd.nist.gov/vuln/detail/CVE-2026-26321</t>
        </is>
      </c>
      <c r="X429" t="inlineStr">
        <is>
          <t>NONE</t>
        </is>
      </c>
      <c r="Y429" t="n">
        <v>0</v>
      </c>
      <c r="Z429" t="inlineStr"/>
      <c r="AA429" t="inlineStr">
        <is>
          <t>https://nvd.nist.gov/vuln/detail/CVE-2026-26321</t>
        </is>
      </c>
    </row>
    <row r="430">
      <c r="A430" t="inlineStr">
        <is>
          <t>CVE</t>
        </is>
      </c>
      <c r="B430" t="inlineStr">
        <is>
          <t>CVE-2026-26322</t>
        </is>
      </c>
      <c r="C430" t="inlineStr">
        <is>
          <t xml:space="preserve">OpenClaw is a personal AI assistant. Prior to OpenClaw version 2026.2.14, the Gateway tool accepted a tool-supplied `gatewayUrl` without sufficient restrictions, which could cause the OpenClaw host to attempt outbound WebSocket connections to user-specified targets. This requires the ability to invoke tools that accept `gatewayUrl` overrides (directly or indirectly). In typical setups this is limited to authenticated operators, trusted automation, or environments where tool calls are exposed to </t>
        </is>
      </c>
      <c r="D430" t="n">
        <v>7.6</v>
      </c>
      <c r="E430" t="inlineStr">
        <is>
          <t>HIGH</t>
        </is>
      </c>
      <c r="F430" t="n">
        <v>2</v>
      </c>
      <c r="G430" t="n">
        <v>3</v>
      </c>
      <c r="H430" t="inlineStr">
        <is>
          <t>HIGH</t>
        </is>
      </c>
      <c r="I430" t="n">
        <v>13.6</v>
      </c>
      <c r="J430" t="inlineStr">
        <is>
          <t>NO</t>
        </is>
      </c>
      <c r="K430" t="inlineStr">
        <is>
          <t>2026-02-26 00:15</t>
        </is>
      </c>
      <c r="L430" t="inlineStr">
        <is>
          <t>YES</t>
        </is>
      </c>
      <c r="M430" t="inlineStr">
        <is>
          <t>openclaw openclaw *</t>
        </is>
      </c>
      <c r="N430" t="inlineStr">
        <is>
          <t>P3</t>
        </is>
      </c>
      <c r="O430" t="inlineStr">
        <is>
          <t>CVE - IP enrichment n/a</t>
        </is>
      </c>
      <c r="P430" t="n">
        <v>0</v>
      </c>
      <c r="Q430" t="n">
        <v>0</v>
      </c>
      <c r="R430" t="inlineStr">
        <is>
          <t>T1090:Proxy | T1552:Unsecured Credentials</t>
        </is>
      </c>
      <c r="S430" t="n">
        <v>1</v>
      </c>
      <c r="T430" t="inlineStr">
        <is>
          <t>LOW (40%)</t>
        </is>
      </c>
      <c r="U430" t="inlineStr">
        <is>
          <t>UNLIKELY</t>
        </is>
      </c>
      <c r="V430" t="inlineStr">
        <is>
          <t>PATCH_AVAILABLE</t>
        </is>
      </c>
      <c r="W430" t="inlineStr">
        <is>
          <t>https://nvd.nist.gov/vuln/detail/CVE-2026-26322</t>
        </is>
      </c>
      <c r="X430" t="inlineStr">
        <is>
          <t>NONE</t>
        </is>
      </c>
      <c r="Y430" t="n">
        <v>0</v>
      </c>
      <c r="Z430" t="inlineStr"/>
      <c r="AA430" t="inlineStr">
        <is>
          <t>https://nvd.nist.gov/vuln/detail/CVE-2026-26322</t>
        </is>
      </c>
    </row>
    <row r="431">
      <c r="A431" t="inlineStr">
        <is>
          <t>CVE</t>
        </is>
      </c>
      <c r="B431" t="inlineStr">
        <is>
          <t>CVE-2026-26323</t>
        </is>
      </c>
      <c r="C431" t="inlineStr">
        <is>
          <t>OpenClaw is a personal AI assistant. Versions 2026.1.8 through 2026.2.13 have a command injection in the maintainer/dev script `scripts/update-clawtributors.ts`. The issue affects contributors/maintainers (or CI) who run `bun scripts/update-clawtributors.ts` in a source checkout that contains a malicious commit author email (e.g. crafted `@users[.]noreply[.]github[.]com` values). Normal CLI usage is not affected (`npm i -g openclaw`): this script is not part of the shipped CLI and is not execute</t>
        </is>
      </c>
      <c r="D431" t="n">
        <v>8.800000000000001</v>
      </c>
      <c r="E431" t="inlineStr">
        <is>
          <t>HIGH</t>
        </is>
      </c>
      <c r="F431" t="n">
        <v>2</v>
      </c>
      <c r="G431" t="n">
        <v>3</v>
      </c>
      <c r="H431" t="inlineStr">
        <is>
          <t>HIGH</t>
        </is>
      </c>
      <c r="I431" t="n">
        <v>14.8</v>
      </c>
      <c r="J431" t="inlineStr">
        <is>
          <t>NO</t>
        </is>
      </c>
      <c r="K431" t="inlineStr">
        <is>
          <t>2026-02-26 00:15</t>
        </is>
      </c>
      <c r="L431" t="inlineStr">
        <is>
          <t>YES</t>
        </is>
      </c>
      <c r="M431" t="inlineStr">
        <is>
          <t>openclaw openclaw *</t>
        </is>
      </c>
      <c r="N431" t="inlineStr">
        <is>
          <t>P3</t>
        </is>
      </c>
      <c r="O431" t="inlineStr">
        <is>
          <t>CVE - IP enrichment n/a</t>
        </is>
      </c>
      <c r="P431" t="n">
        <v>0</v>
      </c>
      <c r="Q431" t="n">
        <v>0</v>
      </c>
      <c r="R431" t="inlineStr">
        <is>
          <t>T1059:Command and Scripting Interpreter | T1190:Exploit Public-Facing Application</t>
        </is>
      </c>
      <c r="S431" t="n">
        <v>1</v>
      </c>
      <c r="T431" t="inlineStr">
        <is>
          <t>LOW (40%)</t>
        </is>
      </c>
      <c r="U431" t="inlineStr">
        <is>
          <t>UNLIKELY</t>
        </is>
      </c>
      <c r="V431" t="inlineStr">
        <is>
          <t>PATCH_AVAILABLE</t>
        </is>
      </c>
      <c r="W431" t="inlineStr">
        <is>
          <t>https://nvd.nist.gov/vuln/detail/CVE-2026-26323</t>
        </is>
      </c>
      <c r="X431" t="inlineStr">
        <is>
          <t>NONE</t>
        </is>
      </c>
      <c r="Y431" t="n">
        <v>0</v>
      </c>
      <c r="Z431" t="inlineStr"/>
      <c r="AA431" t="inlineStr">
        <is>
          <t>https://nvd.nist.gov/vuln/detail/CVE-2026-26323</t>
        </is>
      </c>
    </row>
    <row r="432">
      <c r="A432" t="inlineStr">
        <is>
          <t>CVE</t>
        </is>
      </c>
      <c r="B432" t="inlineStr">
        <is>
          <t>CVE-2026-26324</t>
        </is>
      </c>
      <c r="C432" t="inlineStr">
        <is>
          <t>OpenClaw is a personal AI assistant. Prior to version 2026.2.14, OpenClaw's SSRF protection could be bypassed using full-form IPv4-mapped IPv6 literals such as `0:0:0:0:0:ffff:7f00:1` (which is `127.0.0.1`). This could allow requests that should be blocked (loopback / private network / link-local metadata) to pass the SSRF guard. Version 2026.2.14 patches the issue.</t>
        </is>
      </c>
      <c r="D432" t="n">
        <v>7.5</v>
      </c>
      <c r="E432" t="inlineStr">
        <is>
          <t>HIGH</t>
        </is>
      </c>
      <c r="F432" t="n">
        <v>2</v>
      </c>
      <c r="G432" t="n">
        <v>3</v>
      </c>
      <c r="H432" t="inlineStr">
        <is>
          <t>HIGH</t>
        </is>
      </c>
      <c r="I432" t="n">
        <v>13.5</v>
      </c>
      <c r="J432" t="inlineStr">
        <is>
          <t>NO</t>
        </is>
      </c>
      <c r="K432" t="inlineStr">
        <is>
          <t>2026-02-26 00:15</t>
        </is>
      </c>
      <c r="L432" t="inlineStr">
        <is>
          <t>YES</t>
        </is>
      </c>
      <c r="M432" t="inlineStr">
        <is>
          <t>openclaw openclaw *</t>
        </is>
      </c>
      <c r="N432" t="inlineStr">
        <is>
          <t>P3</t>
        </is>
      </c>
      <c r="O432" t="inlineStr">
        <is>
          <t>CVE - IP enrichment n/a</t>
        </is>
      </c>
      <c r="P432" t="n">
        <v>0</v>
      </c>
      <c r="Q432" t="n">
        <v>0</v>
      </c>
      <c r="R432" t="inlineStr">
        <is>
          <t>T1090:Proxy</t>
        </is>
      </c>
      <c r="S432" t="n">
        <v>1</v>
      </c>
      <c r="T432" t="inlineStr">
        <is>
          <t>LOW (40%)</t>
        </is>
      </c>
      <c r="U432" t="inlineStr">
        <is>
          <t>UNLIKELY</t>
        </is>
      </c>
      <c r="V432" t="inlineStr">
        <is>
          <t>PATCH_AVAILABLE</t>
        </is>
      </c>
      <c r="W432" t="inlineStr">
        <is>
          <t>https://nvd.nist.gov/vuln/detail/CVE-2026-26324</t>
        </is>
      </c>
      <c r="X432" t="inlineStr">
        <is>
          <t>NONE</t>
        </is>
      </c>
      <c r="Y432" t="n">
        <v>0</v>
      </c>
      <c r="Z432" t="inlineStr"/>
      <c r="AA432" t="inlineStr">
        <is>
          <t>https://nvd.nist.gov/vuln/detail/CVE-2026-26324</t>
        </is>
      </c>
    </row>
    <row r="433">
      <c r="A433" t="inlineStr">
        <is>
          <t>CVE</t>
        </is>
      </c>
      <c r="B433" t="inlineStr">
        <is>
          <t>CVE-2026-26325</t>
        </is>
      </c>
      <c r="C433" t="inlineStr">
        <is>
          <t>OpenClaw is a personal AI assistant. Prior to version 2026.2.14, a mismatch between `rawCommand` and `command[]` in the node host `system.run` handler could cause allowlist/approval evaluation to be performed on one command while executing a different argv. This only impacts deployments that use the node host / companion node execution path (`system.run` on a node), enable allowlist-based exec policy (`security=allowlist`) with approval prompting driven by allowlist misses (for example `ask=on-m</t>
        </is>
      </c>
      <c r="D433" t="n">
        <v>7.2</v>
      </c>
      <c r="E433" t="inlineStr">
        <is>
          <t>HIGH</t>
        </is>
      </c>
      <c r="F433" t="n">
        <v>2</v>
      </c>
      <c r="G433" t="n">
        <v>3</v>
      </c>
      <c r="H433" t="inlineStr">
        <is>
          <t>HIGH</t>
        </is>
      </c>
      <c r="I433" t="n">
        <v>13.2</v>
      </c>
      <c r="J433" t="inlineStr">
        <is>
          <t>NO</t>
        </is>
      </c>
      <c r="K433" t="inlineStr">
        <is>
          <t>2026-02-26 00:15</t>
        </is>
      </c>
      <c r="L433" t="inlineStr">
        <is>
          <t>YES</t>
        </is>
      </c>
      <c r="M433" t="inlineStr">
        <is>
          <t>openclaw openclaw *</t>
        </is>
      </c>
      <c r="N433" t="inlineStr">
        <is>
          <t>P3</t>
        </is>
      </c>
      <c r="O433" t="inlineStr">
        <is>
          <t>CVE - IP enrichment n/a</t>
        </is>
      </c>
      <c r="P433" t="n">
        <v>0.0003</v>
      </c>
      <c r="Q433" t="n">
        <v>0.0871</v>
      </c>
      <c r="R433" t="inlineStr">
        <is>
          <t>T1190:Exploit Public-Facing Application</t>
        </is>
      </c>
      <c r="S433" t="n">
        <v>1</v>
      </c>
      <c r="T433" t="inlineStr">
        <is>
          <t>LOW (40%)</t>
        </is>
      </c>
      <c r="U433" t="inlineStr">
        <is>
          <t>UNLIKELY</t>
        </is>
      </c>
      <c r="V433" t="inlineStr">
        <is>
          <t>PATCH_AVAILABLE</t>
        </is>
      </c>
      <c r="W433" t="inlineStr">
        <is>
          <t>https://nvd.nist.gov/vuln/detail/CVE-2026-26325</t>
        </is>
      </c>
      <c r="X433" t="inlineStr">
        <is>
          <t>NONE</t>
        </is>
      </c>
      <c r="Y433" t="n">
        <v>0</v>
      </c>
      <c r="Z433" t="inlineStr"/>
      <c r="AA433" t="inlineStr">
        <is>
          <t>https://nvd.nist.gov/vuln/detail/CVE-2026-26325</t>
        </is>
      </c>
    </row>
    <row r="434">
      <c r="A434" t="inlineStr">
        <is>
          <t>CVE</t>
        </is>
      </c>
      <c r="B434" t="inlineStr">
        <is>
          <t>CVE-2026-26326</t>
        </is>
      </c>
      <c r="C434" t="inlineStr">
        <is>
          <t>OpenClaw is a personal AI assistant. Prior to version 2026.2.14, `skills.status` could disclose secrets to `operator.read` clients by returning raw resolved config values in `configChecks` for skill `requires.config` paths. Version 2026.2.14 stops including raw resolved config values in requirement checks (return only `{ path, satisfied }`) and narrows the Discord skill requirement to the token key. In addition to upgrading, users should rotate any Discord tokens that may have been exposed to re</t>
        </is>
      </c>
      <c r="D434" t="n">
        <v>4.3</v>
      </c>
      <c r="E434" t="inlineStr">
        <is>
          <t>MEDIUM</t>
        </is>
      </c>
      <c r="F434" t="n">
        <v>2</v>
      </c>
      <c r="G434" t="n">
        <v>2</v>
      </c>
      <c r="H434" t="inlineStr">
        <is>
          <t>MEDIUM</t>
        </is>
      </c>
      <c r="I434" t="n">
        <v>8.300000000000001</v>
      </c>
      <c r="J434" t="inlineStr">
        <is>
          <t>NO</t>
        </is>
      </c>
      <c r="K434" t="inlineStr">
        <is>
          <t>2026-02-26 00:15</t>
        </is>
      </c>
      <c r="L434" t="inlineStr">
        <is>
          <t>YES</t>
        </is>
      </c>
      <c r="M434" t="inlineStr">
        <is>
          <t>openclaw openclaw *</t>
        </is>
      </c>
      <c r="N434" t="inlineStr">
        <is>
          <t>P4</t>
        </is>
      </c>
      <c r="O434" t="inlineStr">
        <is>
          <t>CVE - IP enrichment n/a</t>
        </is>
      </c>
      <c r="P434" t="n">
        <v>0.0001</v>
      </c>
      <c r="Q434" t="n">
        <v>0.0105</v>
      </c>
      <c r="R434" t="inlineStr">
        <is>
          <t>T1213:Data from Information Repositories</t>
        </is>
      </c>
      <c r="S434" t="n">
        <v>1</v>
      </c>
      <c r="T434" t="inlineStr">
        <is>
          <t>LOW (40%)</t>
        </is>
      </c>
      <c r="U434" t="inlineStr">
        <is>
          <t>UNLIKELY</t>
        </is>
      </c>
      <c r="V434" t="inlineStr">
        <is>
          <t>PATCH_AVAILABLE</t>
        </is>
      </c>
      <c r="W434" t="inlineStr">
        <is>
          <t>https://nvd.nist.gov/vuln/detail/CVE-2026-26326</t>
        </is>
      </c>
      <c r="X434" t="inlineStr">
        <is>
          <t>NONE</t>
        </is>
      </c>
      <c r="Y434" t="n">
        <v>0</v>
      </c>
      <c r="Z434" t="inlineStr"/>
      <c r="AA434" t="inlineStr">
        <is>
          <t>https://nvd.nist.gov/vuln/detail/CVE-2026-26326</t>
        </is>
      </c>
    </row>
    <row r="435">
      <c r="A435" t="inlineStr">
        <is>
          <t>CVE</t>
        </is>
      </c>
      <c r="B435" t="inlineStr">
        <is>
          <t>CVE-2026-26327</t>
        </is>
      </c>
      <c r="C435" t="inlineStr">
        <is>
          <t>OpenClaw is a personal AI assistant. Discovery beacons (Bonjour/mDNS and DNS-SD) include TXT records such as `lanHost`, `tailnetDns`, `gatewayPort`, and `gatewayTlsSha256`. TXT records are unauthenticated. Prior to version 2026.2.14, some clients treated TXT values as authoritative routing/pinning inputs. iOS and macOS used TXT-provided host hints (`lanHost`/`tailnetDns`) and ports (`gatewayPort`) to build the connection URL. iOS and Android allowed the discovery-provided TLS fingerprint (`gatew</t>
        </is>
      </c>
      <c r="D435" t="n">
        <v>6.5</v>
      </c>
      <c r="E435" t="inlineStr">
        <is>
          <t>MEDIUM</t>
        </is>
      </c>
      <c r="F435" t="n">
        <v>2</v>
      </c>
      <c r="G435" t="n">
        <v>2</v>
      </c>
      <c r="H435" t="inlineStr">
        <is>
          <t>MEDIUM</t>
        </is>
      </c>
      <c r="I435" t="n">
        <v>10.5</v>
      </c>
      <c r="J435" t="inlineStr">
        <is>
          <t>NO</t>
        </is>
      </c>
      <c r="K435" t="inlineStr">
        <is>
          <t>2026-02-26 00:15</t>
        </is>
      </c>
      <c r="L435" t="inlineStr">
        <is>
          <t>YES</t>
        </is>
      </c>
      <c r="M435" t="inlineStr">
        <is>
          <t>openclaw openclaw *</t>
        </is>
      </c>
      <c r="N435" t="inlineStr">
        <is>
          <t>P4</t>
        </is>
      </c>
      <c r="O435" t="inlineStr">
        <is>
          <t>CVE - IP enrichment n/a</t>
        </is>
      </c>
      <c r="P435" t="n">
        <v>0</v>
      </c>
      <c r="Q435" t="n">
        <v>0</v>
      </c>
      <c r="R435" t="inlineStr">
        <is>
          <t>T1552:Unsecured Credentials</t>
        </is>
      </c>
      <c r="S435" t="n">
        <v>1</v>
      </c>
      <c r="T435" t="inlineStr">
        <is>
          <t>LOW (40%)</t>
        </is>
      </c>
      <c r="U435" t="inlineStr">
        <is>
          <t>UNLIKELY</t>
        </is>
      </c>
      <c r="V435" t="inlineStr">
        <is>
          <t>PATCH_AVAILABLE</t>
        </is>
      </c>
      <c r="W435" t="inlineStr">
        <is>
          <t>https://nvd.nist.gov/vuln/detail/CVE-2026-26327</t>
        </is>
      </c>
      <c r="X435" t="inlineStr">
        <is>
          <t>NONE</t>
        </is>
      </c>
      <c r="Y435" t="n">
        <v>0</v>
      </c>
      <c r="Z435" t="inlineStr"/>
      <c r="AA435" t="inlineStr">
        <is>
          <t>https://nvd.nist.gov/vuln/detail/CVE-2026-26327</t>
        </is>
      </c>
    </row>
    <row r="436">
      <c r="A436" t="inlineStr">
        <is>
          <t>CVE</t>
        </is>
      </c>
      <c r="B436" t="inlineStr">
        <is>
          <t>CVE-2026-26952</t>
        </is>
      </c>
      <c r="C436" t="inlineStr">
        <is>
          <t xml:space="preserve">Pi-hole Admin Interface is a web interface for managing Pi-hole, a network-level ad and internet tracker blocking application. Versions 6.4 and below are vulnerable to stored HTML injection through the local DNS records configuration page, which allows an authenticated administrator to inject code that is stored in the Pi-hole configuration and rendered every time the DNS records table is viewed. The populateDataTable() function contains a data variable with the full DNS record value exactly as </t>
        </is>
      </c>
      <c r="D436" t="n">
        <v>5.4</v>
      </c>
      <c r="E436" t="inlineStr">
        <is>
          <t>MEDIUM</t>
        </is>
      </c>
      <c r="F436" t="n">
        <v>2</v>
      </c>
      <c r="G436" t="n">
        <v>2</v>
      </c>
      <c r="H436" t="inlineStr">
        <is>
          <t>MEDIUM</t>
        </is>
      </c>
      <c r="I436" t="n">
        <v>9.4</v>
      </c>
      <c r="J436" t="inlineStr">
        <is>
          <t>NO</t>
        </is>
      </c>
      <c r="K436" t="inlineStr">
        <is>
          <t>2026-02-26 00:15</t>
        </is>
      </c>
      <c r="L436" t="inlineStr">
        <is>
          <t>CHECK_VENDOR</t>
        </is>
      </c>
      <c r="M436" t="inlineStr">
        <is>
          <t>See CVE details</t>
        </is>
      </c>
      <c r="N436" t="inlineStr">
        <is>
          <t>P4</t>
        </is>
      </c>
      <c r="O436" t="inlineStr">
        <is>
          <t>CVE - IP enrichment n/a</t>
        </is>
      </c>
      <c r="P436" t="n">
        <v>0.0005</v>
      </c>
      <c r="Q436" t="n">
        <v>0.1435</v>
      </c>
      <c r="R436" t="inlineStr">
        <is>
          <t>T1190:Exploit Public-Facing Application</t>
        </is>
      </c>
      <c r="S436" t="n">
        <v>1</v>
      </c>
      <c r="T436" t="inlineStr">
        <is>
          <t>LOW (40%)</t>
        </is>
      </c>
      <c r="U436" t="inlineStr">
        <is>
          <t>UNLIKELY</t>
        </is>
      </c>
      <c r="V436" t="inlineStr">
        <is>
          <t>CHECK_VENDOR</t>
        </is>
      </c>
      <c r="W436" t="inlineStr">
        <is>
          <t>https://nvd.nist.gov/vuln/detail/CVE-2026-26952</t>
        </is>
      </c>
      <c r="X436" t="inlineStr">
        <is>
          <t>NONE</t>
        </is>
      </c>
      <c r="Y436" t="n">
        <v>0</v>
      </c>
      <c r="Z436" t="inlineStr"/>
      <c r="AA436" t="inlineStr">
        <is>
          <t>https://nvd.nist.gov/vuln/detail/CVE-2026-26952</t>
        </is>
      </c>
    </row>
    <row r="437">
      <c r="A437" t="inlineStr">
        <is>
          <t>CVE</t>
        </is>
      </c>
      <c r="B437" t="inlineStr">
        <is>
          <t>CVE-2026-26953</t>
        </is>
      </c>
      <c r="C437" t="inlineStr">
        <is>
          <t>Pi-hole Admin Interface is a web interface for managing Pi-hole, a network-level ad and internet tracker blocking application.  Versions 6.0 and above have a Stored HTML Injection vulnerability in the active sessions table located on the API settings page, allowing an attacker with valid credentials to inject arbitrary HTML code that will be rendered in the browser of any administrator who visits the active sessions page. The rowCallback function contains the value data.x_forwarded_for, which is</t>
        </is>
      </c>
      <c r="D437" t="n">
        <v>5.4</v>
      </c>
      <c r="E437" t="inlineStr">
        <is>
          <t>MEDIUM</t>
        </is>
      </c>
      <c r="F437" t="n">
        <v>2</v>
      </c>
      <c r="G437" t="n">
        <v>2</v>
      </c>
      <c r="H437" t="inlineStr">
        <is>
          <t>MEDIUM</t>
        </is>
      </c>
      <c r="I437" t="n">
        <v>9.4</v>
      </c>
      <c r="J437" t="inlineStr">
        <is>
          <t>NO</t>
        </is>
      </c>
      <c r="K437" t="inlineStr">
        <is>
          <t>2026-02-26 00:15</t>
        </is>
      </c>
      <c r="L437" t="inlineStr">
        <is>
          <t>CHECK_VENDOR</t>
        </is>
      </c>
      <c r="M437" t="inlineStr">
        <is>
          <t>See CVE details</t>
        </is>
      </c>
      <c r="N437" t="inlineStr">
        <is>
          <t>P4</t>
        </is>
      </c>
      <c r="O437" t="inlineStr">
        <is>
          <t>CVE - IP enrichment n/a</t>
        </is>
      </c>
      <c r="P437" t="n">
        <v>0</v>
      </c>
      <c r="Q437" t="n">
        <v>0</v>
      </c>
      <c r="R437" t="inlineStr">
        <is>
          <t>T1552:Unsecured Credentials</t>
        </is>
      </c>
      <c r="S437" t="n">
        <v>1</v>
      </c>
      <c r="T437" t="inlineStr">
        <is>
          <t>LOW (40%)</t>
        </is>
      </c>
      <c r="U437" t="inlineStr">
        <is>
          <t>UNLIKELY</t>
        </is>
      </c>
      <c r="V437" t="inlineStr">
        <is>
          <t>CHECK_VENDOR</t>
        </is>
      </c>
      <c r="W437" t="inlineStr">
        <is>
          <t>https://nvd.nist.gov/vuln/detail/CVE-2026-26953</t>
        </is>
      </c>
      <c r="X437" t="inlineStr">
        <is>
          <t>NONE</t>
        </is>
      </c>
      <c r="Y437" t="n">
        <v>0</v>
      </c>
      <c r="Z437" t="inlineStr"/>
      <c r="AA437" t="inlineStr">
        <is>
          <t>https://nvd.nist.gov/vuln/detail/CVE-2026-26953</t>
        </is>
      </c>
    </row>
    <row r="438">
      <c r="A438" t="inlineStr">
        <is>
          <t>CVE</t>
        </is>
      </c>
      <c r="B438" t="inlineStr">
        <is>
          <t>CVE-2026-26958</t>
        </is>
      </c>
      <c r="C438" t="inlineStr">
        <is>
          <t>filippo.io/edwards25519 is a Go library implementing the edwards25519 elliptic curve with APIs for building cryptographic primitives. In versions 1.1.0 and earlier, MultiScalarMult produces invalid results or undefined behavior if the receiver is not the identity point. If (*Point).MultiScalarMult is called on an initialized point that is not the identity point, it returns an incorrect result. If the method is called on an uninitialized point, the behavior is undefined. In particular, if the rec</t>
        </is>
      </c>
      <c r="D438" t="n">
        <v>5</v>
      </c>
      <c r="E438" t="inlineStr">
        <is>
          <t>MEDIUM</t>
        </is>
      </c>
      <c r="F438" t="n">
        <v>2</v>
      </c>
      <c r="G438" t="n">
        <v>2</v>
      </c>
      <c r="H438" t="inlineStr">
        <is>
          <t>MEDIUM</t>
        </is>
      </c>
      <c r="I438" t="n">
        <v>9</v>
      </c>
      <c r="J438" t="inlineStr">
        <is>
          <t>NO</t>
        </is>
      </c>
      <c r="K438" t="inlineStr">
        <is>
          <t>2026-02-26 00:15</t>
        </is>
      </c>
      <c r="L438" t="inlineStr">
        <is>
          <t>CHECK_VENDOR</t>
        </is>
      </c>
      <c r="M438" t="inlineStr">
        <is>
          <t>See CVE details</t>
        </is>
      </c>
      <c r="N438" t="inlineStr">
        <is>
          <t>P4</t>
        </is>
      </c>
      <c r="O438" t="inlineStr">
        <is>
          <t>CVE - IP enrichment n/a</t>
        </is>
      </c>
      <c r="P438" t="n">
        <v>0.0005</v>
      </c>
      <c r="Q438" t="n">
        <v>0.1624</v>
      </c>
      <c r="R438" t="inlineStr">
        <is>
          <t>T1600:Weaken Encryption</t>
        </is>
      </c>
      <c r="S438" t="n">
        <v>1</v>
      </c>
      <c r="T438" t="inlineStr">
        <is>
          <t>LOW (40%)</t>
        </is>
      </c>
      <c r="U438" t="inlineStr">
        <is>
          <t>UNLIKELY</t>
        </is>
      </c>
      <c r="V438" t="inlineStr">
        <is>
          <t>CHECK_VENDOR</t>
        </is>
      </c>
      <c r="W438" t="inlineStr">
        <is>
          <t>https://nvd.nist.gov/vuln/detail/CVE-2026-26958</t>
        </is>
      </c>
      <c r="X438" t="inlineStr">
        <is>
          <t>NONE</t>
        </is>
      </c>
      <c r="Y438" t="n">
        <v>0</v>
      </c>
      <c r="Z438" t="inlineStr"/>
      <c r="AA438" t="inlineStr">
        <is>
          <t>https://nvd.nist.gov/vuln/detail/CVE-2026-26958</t>
        </is>
      </c>
    </row>
    <row r="439">
      <c r="A439" t="inlineStr">
        <is>
          <t>CVE</t>
        </is>
      </c>
      <c r="B439" t="inlineStr">
        <is>
          <t>CVE-2026-1292</t>
        </is>
      </c>
      <c r="C439" t="inlineStr">
        <is>
          <t>Tanium addressed an insertion of sensitive information into log file vulnerability in Trends.</t>
        </is>
      </c>
      <c r="D439" t="n">
        <v>6.5</v>
      </c>
      <c r="E439" t="inlineStr">
        <is>
          <t>MEDIUM</t>
        </is>
      </c>
      <c r="F439" t="n">
        <v>2</v>
      </c>
      <c r="G439" t="n">
        <v>2</v>
      </c>
      <c r="H439" t="inlineStr">
        <is>
          <t>MEDIUM</t>
        </is>
      </c>
      <c r="I439" t="n">
        <v>10.5</v>
      </c>
      <c r="J439" t="inlineStr">
        <is>
          <t>NO</t>
        </is>
      </c>
      <c r="K439" t="inlineStr">
        <is>
          <t>2026-02-26 00:15</t>
        </is>
      </c>
      <c r="L439" t="inlineStr">
        <is>
          <t>CHECK_VENDOR</t>
        </is>
      </c>
      <c r="M439" t="inlineStr">
        <is>
          <t>See CVE details</t>
        </is>
      </c>
      <c r="N439" t="inlineStr">
        <is>
          <t>P4</t>
        </is>
      </c>
      <c r="O439" t="inlineStr">
        <is>
          <t>CVE - IP enrichment n/a</t>
        </is>
      </c>
      <c r="P439" t="n">
        <v>0</v>
      </c>
      <c r="Q439" t="n">
        <v>0</v>
      </c>
      <c r="R439" t="inlineStr">
        <is>
          <t>T1190:Exploit Public-Facing Application</t>
        </is>
      </c>
      <c r="S439" t="n">
        <v>1</v>
      </c>
      <c r="T439" t="inlineStr">
        <is>
          <t>LOW (40%)</t>
        </is>
      </c>
      <c r="U439" t="inlineStr">
        <is>
          <t>UNLIKELY</t>
        </is>
      </c>
      <c r="V439" t="inlineStr">
        <is>
          <t>CHECK_VENDOR</t>
        </is>
      </c>
      <c r="W439" t="inlineStr">
        <is>
          <t>https://nvd.nist.gov/vuln/detail/CVE-2026-1292</t>
        </is>
      </c>
      <c r="X439" t="inlineStr">
        <is>
          <t>NONE</t>
        </is>
      </c>
      <c r="Y439" t="n">
        <v>0</v>
      </c>
      <c r="Z439" t="inlineStr"/>
      <c r="AA439" t="inlineStr">
        <is>
          <t>https://nvd.nist.gov/vuln/detail/CVE-2026-1292</t>
        </is>
      </c>
    </row>
    <row r="440">
      <c r="A440" t="inlineStr">
        <is>
          <t>CVE</t>
        </is>
      </c>
      <c r="B440" t="inlineStr">
        <is>
          <t>CVE-2026-26328</t>
        </is>
      </c>
      <c r="C440" t="inlineStr">
        <is>
          <t>OpenClaw is a personal AI assistant. Prior to version 2026.2.14, under iMessage `groupPolicy=allowlist`, group authorization could be satisfied by sender identities coming from the DM pairing store, broadening DM trust into group contexts. Version 2026.2.14 fixes the issue.</t>
        </is>
      </c>
      <c r="D440" t="n">
        <v>6.5</v>
      </c>
      <c r="E440" t="inlineStr">
        <is>
          <t>MEDIUM</t>
        </is>
      </c>
      <c r="F440" t="n">
        <v>2</v>
      </c>
      <c r="G440" t="n">
        <v>2</v>
      </c>
      <c r="H440" t="inlineStr">
        <is>
          <t>MEDIUM</t>
        </is>
      </c>
      <c r="I440" t="n">
        <v>10.5</v>
      </c>
      <c r="J440" t="inlineStr">
        <is>
          <t>NO</t>
        </is>
      </c>
      <c r="K440" t="inlineStr">
        <is>
          <t>2026-02-26 00:15</t>
        </is>
      </c>
      <c r="L440" t="inlineStr">
        <is>
          <t>CHECK_VENDOR</t>
        </is>
      </c>
      <c r="M440" t="inlineStr">
        <is>
          <t>See CVE details</t>
        </is>
      </c>
      <c r="N440" t="inlineStr">
        <is>
          <t>P4</t>
        </is>
      </c>
      <c r="O440" t="inlineStr">
        <is>
          <t>CVE - IP enrichment n/a</t>
        </is>
      </c>
      <c r="P440" t="n">
        <v>0</v>
      </c>
      <c r="Q440" t="n">
        <v>0</v>
      </c>
      <c r="R440" t="inlineStr">
        <is>
          <t>T1190:Exploit Public-Facing Application</t>
        </is>
      </c>
      <c r="S440" t="n">
        <v>1</v>
      </c>
      <c r="T440" t="inlineStr">
        <is>
          <t>LOW (40%)</t>
        </is>
      </c>
      <c r="U440" t="inlineStr">
        <is>
          <t>UNLIKELY</t>
        </is>
      </c>
      <c r="V440" t="inlineStr">
        <is>
          <t>CHECK_VENDOR</t>
        </is>
      </c>
      <c r="W440" t="inlineStr">
        <is>
          <t>https://nvd.nist.gov/vuln/detail/CVE-2026-26328</t>
        </is>
      </c>
      <c r="X440" t="inlineStr">
        <is>
          <t>NONE</t>
        </is>
      </c>
      <c r="Y440" t="n">
        <v>0</v>
      </c>
      <c r="Z440" t="inlineStr"/>
      <c r="AA440" t="inlineStr">
        <is>
          <t>https://nvd.nist.gov/vuln/detail/CVE-2026-26328</t>
        </is>
      </c>
    </row>
    <row r="441">
      <c r="A441" t="inlineStr">
        <is>
          <t>CVE</t>
        </is>
      </c>
      <c r="B441" t="inlineStr">
        <is>
          <t>CVE-2026-26329</t>
        </is>
      </c>
      <c r="C441" t="inlineStr">
        <is>
          <t>OpenClaw is a personal AI assistant. Prior to version 2026.2.14, authenticated attackers can read arbitrary files from the Gateway host by supplying absolute paths or path traversal sequences to the browser tool's `upload` action. The server passed these paths to Playwright's `setInputFiles()` APIs without restricting them to a safe root. An attacker must reach the Gateway HTTP surface (or otherwise invoke the same browser control hook endpoints); present valid Gateway auth (bearer token / passw</t>
        </is>
      </c>
      <c r="D441" t="n">
        <v>6.5</v>
      </c>
      <c r="E441" t="inlineStr">
        <is>
          <t>MEDIUM</t>
        </is>
      </c>
      <c r="F441" t="n">
        <v>2</v>
      </c>
      <c r="G441" t="n">
        <v>2</v>
      </c>
      <c r="H441" t="inlineStr">
        <is>
          <t>MEDIUM</t>
        </is>
      </c>
      <c r="I441" t="n">
        <v>10.5</v>
      </c>
      <c r="J441" t="inlineStr">
        <is>
          <t>NO</t>
        </is>
      </c>
      <c r="K441" t="inlineStr">
        <is>
          <t>2026-02-26 00:15</t>
        </is>
      </c>
      <c r="L441" t="inlineStr">
        <is>
          <t>YES</t>
        </is>
      </c>
      <c r="M441" t="inlineStr">
        <is>
          <t>openclaw openclaw *</t>
        </is>
      </c>
      <c r="N441" t="inlineStr">
        <is>
          <t>P4</t>
        </is>
      </c>
      <c r="O441" t="inlineStr">
        <is>
          <t>CVE - IP enrichment n/a</t>
        </is>
      </c>
      <c r="P441" t="n">
        <v>0</v>
      </c>
      <c r="Q441" t="n">
        <v>0</v>
      </c>
      <c r="R441" t="inlineStr">
        <is>
          <t>T1083:File and Directory Discovery</t>
        </is>
      </c>
      <c r="S441" t="n">
        <v>1</v>
      </c>
      <c r="T441" t="inlineStr">
        <is>
          <t>LOW (40%)</t>
        </is>
      </c>
      <c r="U441" t="inlineStr">
        <is>
          <t>UNLIKELY</t>
        </is>
      </c>
      <c r="V441" t="inlineStr">
        <is>
          <t>PATCH_AVAILABLE</t>
        </is>
      </c>
      <c r="W441" t="inlineStr">
        <is>
          <t>https://nvd.nist.gov/vuln/detail/CVE-2026-26329</t>
        </is>
      </c>
      <c r="X441" t="inlineStr">
        <is>
          <t>NONE</t>
        </is>
      </c>
      <c r="Y441" t="n">
        <v>0</v>
      </c>
      <c r="Z441" t="inlineStr"/>
      <c r="AA441" t="inlineStr">
        <is>
          <t>https://nvd.nist.gov/vuln/detail/CVE-2026-26329</t>
        </is>
      </c>
    </row>
    <row r="442">
      <c r="A442" t="inlineStr">
        <is>
          <t>CVE</t>
        </is>
      </c>
      <c r="B442" t="inlineStr">
        <is>
          <t>CVE-2026-26957</t>
        </is>
      </c>
      <c r="C442" t="inlineStr">
        <is>
          <t>Libredesk is a self-hosted customer support desk application. Versions prior to 1.0.2-0.20260215211005-727213631ce6 fail to validate destination URLs for webhooks, allowing an attacker posing as an authenticated "Application Admin" to force the server to make HTTP requests to arbitrary internal destinations. This could compromise the underlying cloud infrastructure or internal corporate network where the service is hosted. This issue has been fixed in version 1.0.2-0.20260215211005-727213631ce6.</t>
        </is>
      </c>
      <c r="D442" t="n">
        <v>8.5</v>
      </c>
      <c r="E442" t="inlineStr">
        <is>
          <t>HIGH</t>
        </is>
      </c>
      <c r="F442" t="n">
        <v>2</v>
      </c>
      <c r="G442" t="n">
        <v>3</v>
      </c>
      <c r="H442" t="inlineStr">
        <is>
          <t>HIGH</t>
        </is>
      </c>
      <c r="I442" t="n">
        <v>14.5</v>
      </c>
      <c r="J442" t="inlineStr">
        <is>
          <t>NO</t>
        </is>
      </c>
      <c r="K442" t="inlineStr">
        <is>
          <t>2026-02-26 00:15</t>
        </is>
      </c>
      <c r="L442" t="inlineStr">
        <is>
          <t>CHECK_VENDOR</t>
        </is>
      </c>
      <c r="M442" t="inlineStr">
        <is>
          <t>See CVE details</t>
        </is>
      </c>
      <c r="N442" t="inlineStr">
        <is>
          <t>P3</t>
        </is>
      </c>
      <c r="O442" t="inlineStr">
        <is>
          <t>CVE - IP enrichment n/a</t>
        </is>
      </c>
      <c r="P442" t="n">
        <v>0</v>
      </c>
      <c r="Q442" t="n">
        <v>0</v>
      </c>
      <c r="R442" t="inlineStr">
        <is>
          <t>T1190:Exploit Public-Facing Application</t>
        </is>
      </c>
      <c r="S442" t="n">
        <v>1</v>
      </c>
      <c r="T442" t="inlineStr">
        <is>
          <t>LOW (40%)</t>
        </is>
      </c>
      <c r="U442" t="inlineStr">
        <is>
          <t>UNLIKELY</t>
        </is>
      </c>
      <c r="V442" t="inlineStr">
        <is>
          <t>CHECK_VENDOR</t>
        </is>
      </c>
      <c r="W442" t="inlineStr">
        <is>
          <t>https://nvd.nist.gov/vuln/detail/CVE-2026-26957</t>
        </is>
      </c>
      <c r="X442" t="inlineStr">
        <is>
          <t>NONE</t>
        </is>
      </c>
      <c r="Y442" t="n">
        <v>0</v>
      </c>
      <c r="Z442" t="inlineStr"/>
      <c r="AA442" t="inlineStr">
        <is>
          <t>https://nvd.nist.gov/vuln/detail/CVE-2026-26957</t>
        </is>
      </c>
    </row>
    <row r="443">
      <c r="A443" t="inlineStr">
        <is>
          <t>CVE</t>
        </is>
      </c>
      <c r="B443" t="inlineStr">
        <is>
          <t>CVE-2026-26959</t>
        </is>
      </c>
      <c r="C443" t="inlineStr">
        <is>
          <t>ADB Explorer is a fluent UI for ADB on Windows. Versions 0.9.26020 and below fail to validate the integrity or authenticity of the ADB binary path specified in the ManualAdbPath setting before executing it, allowing arbitrary code execution with the privileges of the current user. An attacker can exploit this by crafting a malicious App.txt settings file that points ManualAdbPath to an arbitrary executable, then convincing a victim to launch the application with a command-line argument directing</t>
        </is>
      </c>
      <c r="D443" t="n">
        <v>7.8</v>
      </c>
      <c r="E443" t="inlineStr">
        <is>
          <t>HIGH</t>
        </is>
      </c>
      <c r="F443" t="n">
        <v>2</v>
      </c>
      <c r="G443" t="n">
        <v>3</v>
      </c>
      <c r="H443" t="inlineStr">
        <is>
          <t>HIGH</t>
        </is>
      </c>
      <c r="I443" t="n">
        <v>13.8</v>
      </c>
      <c r="J443" t="inlineStr">
        <is>
          <t>NO</t>
        </is>
      </c>
      <c r="K443" t="inlineStr">
        <is>
          <t>2026-02-26 00:15</t>
        </is>
      </c>
      <c r="L443" t="inlineStr">
        <is>
          <t>CHECK_VENDOR</t>
        </is>
      </c>
      <c r="M443" t="inlineStr">
        <is>
          <t>See CVE details</t>
        </is>
      </c>
      <c r="N443" t="inlineStr">
        <is>
          <t>P3</t>
        </is>
      </c>
      <c r="O443" t="inlineStr">
        <is>
          <t>CVE - IP enrichment n/a</t>
        </is>
      </c>
      <c r="P443" t="n">
        <v>0</v>
      </c>
      <c r="Q443" t="n">
        <v>0</v>
      </c>
      <c r="R443" t="inlineStr">
        <is>
          <t>T1190:Exploit Public-Facing Application | T1203:Exploitation for Client Execution</t>
        </is>
      </c>
      <c r="S443" t="n">
        <v>1</v>
      </c>
      <c r="T443" t="inlineStr">
        <is>
          <t>LOW (40%)</t>
        </is>
      </c>
      <c r="U443" t="inlineStr">
        <is>
          <t>UNLIKELY</t>
        </is>
      </c>
      <c r="V443" t="inlineStr">
        <is>
          <t>CHECK_VENDOR</t>
        </is>
      </c>
      <c r="W443" t="inlineStr">
        <is>
          <t>https://nvd.nist.gov/vuln/detail/CVE-2026-26959</t>
        </is>
      </c>
      <c r="X443" t="inlineStr">
        <is>
          <t>NONE</t>
        </is>
      </c>
      <c r="Y443" t="n">
        <v>0</v>
      </c>
      <c r="Z443" t="inlineStr"/>
      <c r="AA443" t="inlineStr">
        <is>
          <t>https://nvd.nist.gov/vuln/detail/CVE-2026-26959</t>
        </is>
      </c>
    </row>
    <row r="444">
      <c r="A444" t="inlineStr">
        <is>
          <t>CVE</t>
        </is>
      </c>
      <c r="B444" t="inlineStr">
        <is>
          <t>CVE-2026-26963</t>
        </is>
      </c>
      <c r="C444" t="inlineStr">
        <is>
          <t>Cilium is a networking, observability, and security solution with an eBPF-based dataplane. Versions 1.18.0 through 1.18.5 will incorrectly permit traffic from Pods on other nodes when Native Routing, WireGuard and Node Encryption are enabled. This issue has been fixed in version 1.18.6.</t>
        </is>
      </c>
      <c r="D444" t="n">
        <v>6.1</v>
      </c>
      <c r="E444" t="inlineStr">
        <is>
          <t>MEDIUM</t>
        </is>
      </c>
      <c r="F444" t="n">
        <v>2</v>
      </c>
      <c r="G444" t="n">
        <v>2</v>
      </c>
      <c r="H444" t="inlineStr">
        <is>
          <t>MEDIUM</t>
        </is>
      </c>
      <c r="I444" t="n">
        <v>10.1</v>
      </c>
      <c r="J444" t="inlineStr">
        <is>
          <t>NO</t>
        </is>
      </c>
      <c r="K444" t="inlineStr">
        <is>
          <t>2026-02-26 00:15</t>
        </is>
      </c>
      <c r="L444" t="inlineStr">
        <is>
          <t>YES</t>
        </is>
      </c>
      <c r="M444" t="inlineStr">
        <is>
          <t>cilium cilium *</t>
        </is>
      </c>
      <c r="N444" t="inlineStr">
        <is>
          <t>P4</t>
        </is>
      </c>
      <c r="O444" t="inlineStr">
        <is>
          <t>CVE - IP enrichment n/a</t>
        </is>
      </c>
      <c r="P444" t="n">
        <v>0</v>
      </c>
      <c r="Q444" t="n">
        <v>0</v>
      </c>
      <c r="R444" t="inlineStr">
        <is>
          <t>T1190:Exploit Public-Facing Application</t>
        </is>
      </c>
      <c r="S444" t="n">
        <v>1</v>
      </c>
      <c r="T444" t="inlineStr">
        <is>
          <t>LOW (40%)</t>
        </is>
      </c>
      <c r="U444" t="inlineStr">
        <is>
          <t>UNLIKELY</t>
        </is>
      </c>
      <c r="V444" t="inlineStr">
        <is>
          <t>PATCH_AVAILABLE</t>
        </is>
      </c>
      <c r="W444" t="inlineStr">
        <is>
          <t>https://nvd.nist.gov/vuln/detail/CVE-2026-26963</t>
        </is>
      </c>
      <c r="X444" t="inlineStr">
        <is>
          <t>NONE</t>
        </is>
      </c>
      <c r="Y444" t="n">
        <v>0</v>
      </c>
      <c r="Z444" t="inlineStr"/>
      <c r="AA444" t="inlineStr">
        <is>
          <t>https://nvd.nist.gov/vuln/detail/CVE-2026-26963</t>
        </is>
      </c>
    </row>
    <row r="445">
      <c r="A445" t="inlineStr">
        <is>
          <t>CVE</t>
        </is>
      </c>
      <c r="B445" t="inlineStr">
        <is>
          <t>CVE-2026-26964</t>
        </is>
      </c>
      <c r="C445" t="inlineStr">
        <is>
          <t>Windmill is an open-source developer platform for internal code: APIs, background jobs, workflows and UIs. Versions 1.634.6
 and below allow non-admin users to obtain Slack OAuth client secrets, which should only be accessible to workspace administrators. The GET /api/w/{workspace}/workspaces/get_settings endpoint returns the slack_oauth_client_secret to any authenticated workspace member, regardless of their admin status. It is expected behavior for non-admin users see a redacted version of wor</t>
        </is>
      </c>
      <c r="D445" t="n">
        <v>2.7</v>
      </c>
      <c r="E445" t="inlineStr">
        <is>
          <t>LOW</t>
        </is>
      </c>
      <c r="F445" t="n">
        <v>2</v>
      </c>
      <c r="G445" t="n">
        <v>1</v>
      </c>
      <c r="H445" t="inlineStr">
        <is>
          <t>LOW</t>
        </is>
      </c>
      <c r="I445" t="n">
        <v>4.7</v>
      </c>
      <c r="J445" t="inlineStr">
        <is>
          <t>NO</t>
        </is>
      </c>
      <c r="K445" t="inlineStr">
        <is>
          <t>2026-02-26 00:15</t>
        </is>
      </c>
      <c r="L445" t="inlineStr">
        <is>
          <t>CHECK_VENDOR</t>
        </is>
      </c>
      <c r="M445" t="inlineStr">
        <is>
          <t>See CVE details</t>
        </is>
      </c>
      <c r="N445" t="inlineStr">
        <is>
          <t>P1</t>
        </is>
      </c>
      <c r="O445" t="inlineStr">
        <is>
          <t>CVE - IP enrichment n/a</t>
        </is>
      </c>
      <c r="P445" t="n">
        <v>0</v>
      </c>
      <c r="Q445" t="n">
        <v>0</v>
      </c>
      <c r="R445" t="inlineStr">
        <is>
          <t>T1213:Data from Information Repositories | T1190:Exploit Public-Facing Application</t>
        </is>
      </c>
      <c r="S445" t="n">
        <v>2</v>
      </c>
      <c r="T445" t="inlineStr">
        <is>
          <t>HIGH (72%)</t>
        </is>
      </c>
      <c r="U445" t="inlineStr">
        <is>
          <t>HIGH</t>
        </is>
      </c>
      <c r="V445" t="inlineStr">
        <is>
          <t>CHECK_VENDOR</t>
        </is>
      </c>
      <c r="W445" t="inlineStr">
        <is>
          <t>https://nvd.nist.gov/vuln/detail/CVE-2026-26964</t>
        </is>
      </c>
      <c r="X445" t="inlineStr">
        <is>
          <t>http://www.zerodayinitiative.com/advisories/ZDI-26-123/</t>
        </is>
      </c>
      <c r="Y445" t="n">
        <v>0</v>
      </c>
      <c r="Z445" t="inlineStr"/>
      <c r="AA445" t="inlineStr">
        <is>
          <t>https://nvd.nist.gov/vuln/detail/CVE-2026-26964</t>
        </is>
      </c>
    </row>
    <row r="446">
      <c r="A446" t="inlineStr">
        <is>
          <t>CVE</t>
        </is>
      </c>
      <c r="B446" t="inlineStr">
        <is>
          <t>CVE-2026-26972</t>
        </is>
      </c>
      <c r="C446" t="inlineStr">
        <is>
          <t>OpenClaw is a personal AI assistant. In versions 2026.1.12 through 2026.2.12, OpenClaw browser download helpers accepted an unsanitized output path. When invoked via the browser control gateway routes, this allowed path traversal to write downloads outside the intended OpenClaw temp downloads directory. This issue is not exposed via the AI agent tool schema (no `download` action). Exploitation requires authenticated CLI access or an authenticated gateway RPC token. Version 2026.2.13 fixes the is</t>
        </is>
      </c>
      <c r="D446" t="n">
        <v>6.7</v>
      </c>
      <c r="E446" t="inlineStr">
        <is>
          <t>MEDIUM</t>
        </is>
      </c>
      <c r="F446" t="n">
        <v>2</v>
      </c>
      <c r="G446" t="n">
        <v>2</v>
      </c>
      <c r="H446" t="inlineStr">
        <is>
          <t>MEDIUM</t>
        </is>
      </c>
      <c r="I446" t="n">
        <v>10.7</v>
      </c>
      <c r="J446" t="inlineStr">
        <is>
          <t>NO</t>
        </is>
      </c>
      <c r="K446" t="inlineStr">
        <is>
          <t>2026-02-26 00:15</t>
        </is>
      </c>
      <c r="L446" t="inlineStr">
        <is>
          <t>YES</t>
        </is>
      </c>
      <c r="M446" t="inlineStr">
        <is>
          <t>openclaw openclaw *</t>
        </is>
      </c>
      <c r="N446" t="inlineStr">
        <is>
          <t>P4</t>
        </is>
      </c>
      <c r="O446" t="inlineStr">
        <is>
          <t>CVE - IP enrichment n/a</t>
        </is>
      </c>
      <c r="P446" t="n">
        <v>0</v>
      </c>
      <c r="Q446" t="n">
        <v>0</v>
      </c>
      <c r="R446" t="inlineStr">
        <is>
          <t>T1083:File and Directory Discovery</t>
        </is>
      </c>
      <c r="S446" t="n">
        <v>1</v>
      </c>
      <c r="T446" t="inlineStr">
        <is>
          <t>LOW (40%)</t>
        </is>
      </c>
      <c r="U446" t="inlineStr">
        <is>
          <t>UNLIKELY</t>
        </is>
      </c>
      <c r="V446" t="inlineStr">
        <is>
          <t>PATCH_AVAILABLE</t>
        </is>
      </c>
      <c r="W446" t="inlineStr">
        <is>
          <t>https://nvd.nist.gov/vuln/detail/CVE-2026-26972</t>
        </is>
      </c>
      <c r="X446" t="inlineStr">
        <is>
          <t>NONE</t>
        </is>
      </c>
      <c r="Y446" t="n">
        <v>0</v>
      </c>
      <c r="Z446" t="inlineStr"/>
      <c r="AA446" t="inlineStr">
        <is>
          <t>https://nvd.nist.gov/vuln/detail/CVE-2026-26972</t>
        </is>
      </c>
    </row>
    <row r="447">
      <c r="A447" t="inlineStr">
        <is>
          <t>CVE</t>
        </is>
      </c>
      <c r="B447" t="inlineStr">
        <is>
          <t>CVE-2026-27001</t>
        </is>
      </c>
      <c r="C447" t="inlineStr">
        <is>
          <t>OpenClaw is a personal AI assistant. Prior to version 2026.2.15, OpenClaw embedded the current working directory (workspace path) into the agent system prompt without sanitization. If an attacker can cause OpenClaw to run inside a directory whose name contains control/format characters (for example newlines or Unicode bidi/zero-width markers), those characters could break the prompt structure and inject attacker-controlled instructions. Starting in version 2026.2.15, the workspace path is saniti</t>
        </is>
      </c>
      <c r="D447" t="n">
        <v>7.8</v>
      </c>
      <c r="E447" t="inlineStr">
        <is>
          <t>HIGH</t>
        </is>
      </c>
      <c r="F447" t="n">
        <v>2</v>
      </c>
      <c r="G447" t="n">
        <v>3</v>
      </c>
      <c r="H447" t="inlineStr">
        <is>
          <t>HIGH</t>
        </is>
      </c>
      <c r="I447" t="n">
        <v>13.8</v>
      </c>
      <c r="J447" t="inlineStr">
        <is>
          <t>NO</t>
        </is>
      </c>
      <c r="K447" t="inlineStr">
        <is>
          <t>2026-02-26 00:15</t>
        </is>
      </c>
      <c r="L447" t="inlineStr">
        <is>
          <t>YES</t>
        </is>
      </c>
      <c r="M447" t="inlineStr">
        <is>
          <t>openclaw openclaw *</t>
        </is>
      </c>
      <c r="N447" t="inlineStr">
        <is>
          <t>P3</t>
        </is>
      </c>
      <c r="O447" t="inlineStr">
        <is>
          <t>CVE - IP enrichment n/a</t>
        </is>
      </c>
      <c r="P447" t="n">
        <v>0</v>
      </c>
      <c r="Q447" t="n">
        <v>0</v>
      </c>
      <c r="R447" t="inlineStr">
        <is>
          <t>T1059:Command and Scripting Interpreter</t>
        </is>
      </c>
      <c r="S447" t="n">
        <v>1</v>
      </c>
      <c r="T447" t="inlineStr">
        <is>
          <t>LOW (40%)</t>
        </is>
      </c>
      <c r="U447" t="inlineStr">
        <is>
          <t>UNLIKELY</t>
        </is>
      </c>
      <c r="V447" t="inlineStr">
        <is>
          <t>PATCH_AVAILABLE</t>
        </is>
      </c>
      <c r="W447" t="inlineStr">
        <is>
          <t>https://nvd.nist.gov/vuln/detail/CVE-2026-27001</t>
        </is>
      </c>
      <c r="X447" t="inlineStr">
        <is>
          <t>NONE</t>
        </is>
      </c>
      <c r="Y447" t="n">
        <v>0</v>
      </c>
      <c r="Z447" t="inlineStr"/>
      <c r="AA447" t="inlineStr">
        <is>
          <t>https://nvd.nist.gov/vuln/detail/CVE-2026-27001</t>
        </is>
      </c>
    </row>
    <row r="448">
      <c r="A448" t="inlineStr">
        <is>
          <t>CVE</t>
        </is>
      </c>
      <c r="B448" t="inlineStr">
        <is>
          <t>CVE-2026-27002</t>
        </is>
      </c>
      <c r="C448" t="inlineStr">
        <is>
          <t>OpenClaw is a personal AI assistant. Prior to version 2026.2.15, a configuration injection issue in the Docker tool sandbox could allow dangerous Docker options (bind mounts, host networking, unconfined profiles) to be applied, enabling container escape or host data access. OpenClaw 2026.2.15 blocks dangerous sandbox Docker settings and includes runtime enforcement when building `docker create` args; config-schema validation for `network=host`, `seccompProfile=unconfined`, `apparmorProfile=uncon</t>
        </is>
      </c>
      <c r="D448" t="n">
        <v>9.800000000000001</v>
      </c>
      <c r="E448" t="inlineStr">
        <is>
          <t>CRITICAL</t>
        </is>
      </c>
      <c r="F448" t="n">
        <v>2</v>
      </c>
      <c r="G448" t="n">
        <v>3</v>
      </c>
      <c r="H448" t="inlineStr">
        <is>
          <t>HIGH</t>
        </is>
      </c>
      <c r="I448" t="n">
        <v>15.8</v>
      </c>
      <c r="J448" t="inlineStr">
        <is>
          <t>NO</t>
        </is>
      </c>
      <c r="K448" t="inlineStr">
        <is>
          <t>2026-02-26 00:15</t>
        </is>
      </c>
      <c r="L448" t="inlineStr">
        <is>
          <t>YES</t>
        </is>
      </c>
      <c r="M448" t="inlineStr">
        <is>
          <t>openclaw openclaw *</t>
        </is>
      </c>
      <c r="N448" t="inlineStr">
        <is>
          <t>P3</t>
        </is>
      </c>
      <c r="O448" t="inlineStr">
        <is>
          <t>CVE - IP enrichment n/a</t>
        </is>
      </c>
      <c r="P448" t="n">
        <v>0</v>
      </c>
      <c r="Q448" t="n">
        <v>0</v>
      </c>
      <c r="R448" t="inlineStr">
        <is>
          <t>T1190:Exploit Public-Facing Application</t>
        </is>
      </c>
      <c r="S448" t="n">
        <v>1</v>
      </c>
      <c r="T448" t="inlineStr">
        <is>
          <t>LOW (40%)</t>
        </is>
      </c>
      <c r="U448" t="inlineStr">
        <is>
          <t>UNLIKELY</t>
        </is>
      </c>
      <c r="V448" t="inlineStr">
        <is>
          <t>PATCH_AVAILABLE</t>
        </is>
      </c>
      <c r="W448" t="inlineStr">
        <is>
          <t>https://nvd.nist.gov/vuln/detail/CVE-2026-27002</t>
        </is>
      </c>
      <c r="X448" t="inlineStr">
        <is>
          <t>NONE</t>
        </is>
      </c>
      <c r="Y448" t="n">
        <v>0</v>
      </c>
      <c r="Z448" t="inlineStr"/>
      <c r="AA448" t="inlineStr">
        <is>
          <t>https://nvd.nist.gov/vuln/detail/CVE-2026-27002</t>
        </is>
      </c>
    </row>
    <row r="449">
      <c r="A449" t="inlineStr">
        <is>
          <t>CVE</t>
        </is>
      </c>
      <c r="B449" t="inlineStr">
        <is>
          <t>CVE-2026-27003</t>
        </is>
      </c>
      <c r="C449" t="inlineStr">
        <is>
          <t>OpenClaw is a personal AI assistant. Telegram bot tokens can appear in error messages and stack traces (for example, when request URLs include `https://api.telegram.org/bot /...`). Prior to version 2026.2.15, OpenClaw logged these strings without redaction, which could leak the bot token into logs, crash reports, CI output, or support bundles. Disclosure of a Telegram bot token allows an attacker to impersonate the bot and take over Bot API access. Users should upgrade to version 2026.2.15 to ob</t>
        </is>
      </c>
      <c r="D449" t="n">
        <v>5.5</v>
      </c>
      <c r="E449" t="inlineStr">
        <is>
          <t>MEDIUM</t>
        </is>
      </c>
      <c r="F449" t="n">
        <v>2</v>
      </c>
      <c r="G449" t="n">
        <v>2</v>
      </c>
      <c r="H449" t="inlineStr">
        <is>
          <t>MEDIUM</t>
        </is>
      </c>
      <c r="I449" t="n">
        <v>9.5</v>
      </c>
      <c r="J449" t="inlineStr">
        <is>
          <t>NO</t>
        </is>
      </c>
      <c r="K449" t="inlineStr">
        <is>
          <t>2026-02-26 00:15</t>
        </is>
      </c>
      <c r="L449" t="inlineStr">
        <is>
          <t>YES</t>
        </is>
      </c>
      <c r="M449" t="inlineStr">
        <is>
          <t>openclaw openclaw *</t>
        </is>
      </c>
      <c r="N449" t="inlineStr">
        <is>
          <t>P4</t>
        </is>
      </c>
      <c r="O449" t="inlineStr">
        <is>
          <t>CVE - IP enrichment n/a</t>
        </is>
      </c>
      <c r="P449" t="n">
        <v>0</v>
      </c>
      <c r="Q449" t="n">
        <v>0</v>
      </c>
      <c r="R449" t="inlineStr">
        <is>
          <t>T1190:Exploit Public-Facing Application</t>
        </is>
      </c>
      <c r="S449" t="n">
        <v>1</v>
      </c>
      <c r="T449" t="inlineStr">
        <is>
          <t>LOW (40%)</t>
        </is>
      </c>
      <c r="U449" t="inlineStr">
        <is>
          <t>UNLIKELY</t>
        </is>
      </c>
      <c r="V449" t="inlineStr">
        <is>
          <t>PATCH_AVAILABLE</t>
        </is>
      </c>
      <c r="W449" t="inlineStr">
        <is>
          <t>https://nvd.nist.gov/vuln/detail/CVE-2026-27003</t>
        </is>
      </c>
      <c r="X449" t="inlineStr">
        <is>
          <t>NONE</t>
        </is>
      </c>
      <c r="Y449" t="n">
        <v>0</v>
      </c>
      <c r="Z449" t="inlineStr"/>
      <c r="AA449" t="inlineStr">
        <is>
          <t>https://nvd.nist.gov/vuln/detail/CVE-2026-27003</t>
        </is>
      </c>
    </row>
    <row r="450">
      <c r="A450" t="inlineStr">
        <is>
          <t>CVE</t>
        </is>
      </c>
      <c r="B450" t="inlineStr">
        <is>
          <t>CVE-2026-27004</t>
        </is>
      </c>
      <c r="C450" t="inlineStr">
        <is>
          <t>OpenClaw is a personal AI assistant. Prior to version 2026.2.15, in some shared-agent deployments, OpenClaw session tools (`sessions_list`, `sessions_history`, `sessions_send`) allowed broader session targeting than some operators intended. This is primarily a configuration/visibility-scoping issue in multi-user environments where peers are not equally trusted. In Telegram webhook mode, monitor startup also did not fall back to per-account `webhookSecret` when only the account-level secret was c</t>
        </is>
      </c>
      <c r="D450" t="n">
        <v>5.5</v>
      </c>
      <c r="E450" t="inlineStr">
        <is>
          <t>MEDIUM</t>
        </is>
      </c>
      <c r="F450" t="n">
        <v>2</v>
      </c>
      <c r="G450" t="n">
        <v>2</v>
      </c>
      <c r="H450" t="inlineStr">
        <is>
          <t>MEDIUM</t>
        </is>
      </c>
      <c r="I450" t="n">
        <v>9.5</v>
      </c>
      <c r="J450" t="inlineStr">
        <is>
          <t>NO</t>
        </is>
      </c>
      <c r="K450" t="inlineStr">
        <is>
          <t>2026-02-26 00:15</t>
        </is>
      </c>
      <c r="L450" t="inlineStr">
        <is>
          <t>YES</t>
        </is>
      </c>
      <c r="M450" t="inlineStr">
        <is>
          <t>openclaw openclaw *</t>
        </is>
      </c>
      <c r="N450" t="inlineStr">
        <is>
          <t>P4</t>
        </is>
      </c>
      <c r="O450" t="inlineStr">
        <is>
          <t>CVE - IP enrichment n/a</t>
        </is>
      </c>
      <c r="P450" t="n">
        <v>0.0001</v>
      </c>
      <c r="Q450" t="n">
        <v>0.0051</v>
      </c>
      <c r="R450" t="inlineStr">
        <is>
          <t>T1190:Exploit Public-Facing Application</t>
        </is>
      </c>
      <c r="S450" t="n">
        <v>1</v>
      </c>
      <c r="T450" t="inlineStr">
        <is>
          <t>LOW (40%)</t>
        </is>
      </c>
      <c r="U450" t="inlineStr">
        <is>
          <t>UNLIKELY</t>
        </is>
      </c>
      <c r="V450" t="inlineStr">
        <is>
          <t>PATCH_AVAILABLE</t>
        </is>
      </c>
      <c r="W450" t="inlineStr">
        <is>
          <t>https://nvd.nist.gov/vuln/detail/CVE-2026-27004</t>
        </is>
      </c>
      <c r="X450" t="inlineStr">
        <is>
          <t>NONE</t>
        </is>
      </c>
      <c r="Y450" t="n">
        <v>0</v>
      </c>
      <c r="Z450" t="inlineStr"/>
      <c r="AA450" t="inlineStr">
        <is>
          <t>https://nvd.nist.gov/vuln/detail/CVE-2026-27004</t>
        </is>
      </c>
    </row>
    <row r="451">
      <c r="A451" t="inlineStr">
        <is>
          <t>CVE</t>
        </is>
      </c>
      <c r="B451" t="inlineStr">
        <is>
          <t>CVE-2026-27007</t>
        </is>
      </c>
      <c r="C451" t="inlineStr">
        <is>
          <t>OpenClaw is a personal AI assistant. Prior to version 2026.2.15, `normalizeForHash` in `src/agents/sandbox/config-hash.ts` recursively sorted arrays that contained only primitive values. This made order-sensitive sandbox configuration arrays hash to the same value even when order changed. In OpenClaw sandbox flows, this hash is used to decide whether existing sandbox containers should be recreated. As a result, order-only config changes (for example Docker `dns` and `binds` array order) could be</t>
        </is>
      </c>
      <c r="D451" t="n">
        <v>3.3</v>
      </c>
      <c r="E451" t="inlineStr">
        <is>
          <t>LOW</t>
        </is>
      </c>
      <c r="F451" t="n">
        <v>2</v>
      </c>
      <c r="G451" t="n">
        <v>1</v>
      </c>
      <c r="H451" t="inlineStr">
        <is>
          <t>LOW</t>
        </is>
      </c>
      <c r="I451" t="n">
        <v>5.3</v>
      </c>
      <c r="J451" t="inlineStr">
        <is>
          <t>NO</t>
        </is>
      </c>
      <c r="K451" t="inlineStr">
        <is>
          <t>2026-02-26 00:15</t>
        </is>
      </c>
      <c r="L451" t="inlineStr">
        <is>
          <t>YES</t>
        </is>
      </c>
      <c r="M451" t="inlineStr">
        <is>
          <t>openclaw openclaw *</t>
        </is>
      </c>
      <c r="N451" t="inlineStr">
        <is>
          <t>P4</t>
        </is>
      </c>
      <c r="O451" t="inlineStr">
        <is>
          <t>CVE - IP enrichment n/a</t>
        </is>
      </c>
      <c r="P451" t="n">
        <v>0</v>
      </c>
      <c r="Q451" t="n">
        <v>0</v>
      </c>
      <c r="R451" t="inlineStr">
        <is>
          <t>T1190:Exploit Public-Facing Application</t>
        </is>
      </c>
      <c r="S451" t="n">
        <v>1</v>
      </c>
      <c r="T451" t="inlineStr">
        <is>
          <t>LOW (40%)</t>
        </is>
      </c>
      <c r="U451" t="inlineStr">
        <is>
          <t>UNLIKELY</t>
        </is>
      </c>
      <c r="V451" t="inlineStr">
        <is>
          <t>PATCH_AVAILABLE</t>
        </is>
      </c>
      <c r="W451" t="inlineStr">
        <is>
          <t>https://nvd.nist.gov/vuln/detail/CVE-2026-27007</t>
        </is>
      </c>
      <c r="X451" t="inlineStr">
        <is>
          <t>NONE</t>
        </is>
      </c>
      <c r="Y451" t="n">
        <v>0</v>
      </c>
      <c r="Z451" t="inlineStr"/>
      <c r="AA451" t="inlineStr">
        <is>
          <t>https://nvd.nist.gov/vuln/detail/CVE-2026-27007</t>
        </is>
      </c>
    </row>
    <row r="452">
      <c r="A452" t="inlineStr">
        <is>
          <t>CVE</t>
        </is>
      </c>
      <c r="B452" t="inlineStr">
        <is>
          <t>CVE-2026-27008</t>
        </is>
      </c>
      <c r="C452" t="inlineStr">
        <is>
          <t>OpenClaw is a personal AI assistant. Prior to version 2026.2.15, a bug in `download` skill installation allowed `targetDir` values from skill frontmatter to resolve outside the per-skill tools directory if not strictly validated. In the admin-only `skills.install` flow, this could write files outside the intended install sandbox. Version 2026.2.15 contains a fix for the issue.</t>
        </is>
      </c>
      <c r="D452" t="n">
        <v>6.7</v>
      </c>
      <c r="E452" t="inlineStr">
        <is>
          <t>MEDIUM</t>
        </is>
      </c>
      <c r="F452" t="n">
        <v>2</v>
      </c>
      <c r="G452" t="n">
        <v>2</v>
      </c>
      <c r="H452" t="inlineStr">
        <is>
          <t>MEDIUM</t>
        </is>
      </c>
      <c r="I452" t="n">
        <v>10.7</v>
      </c>
      <c r="J452" t="inlineStr">
        <is>
          <t>NO</t>
        </is>
      </c>
      <c r="K452" t="inlineStr">
        <is>
          <t>2026-02-26 00:15</t>
        </is>
      </c>
      <c r="L452" t="inlineStr">
        <is>
          <t>YES</t>
        </is>
      </c>
      <c r="M452" t="inlineStr">
        <is>
          <t>openclaw openclaw *</t>
        </is>
      </c>
      <c r="N452" t="inlineStr">
        <is>
          <t>P4</t>
        </is>
      </c>
      <c r="O452" t="inlineStr">
        <is>
          <t>CVE - IP enrichment n/a</t>
        </is>
      </c>
      <c r="P452" t="n">
        <v>0</v>
      </c>
      <c r="Q452" t="n">
        <v>0</v>
      </c>
      <c r="R452" t="inlineStr">
        <is>
          <t>T1190:Exploit Public-Facing Application</t>
        </is>
      </c>
      <c r="S452" t="n">
        <v>1</v>
      </c>
      <c r="T452" t="inlineStr">
        <is>
          <t>LOW (40%)</t>
        </is>
      </c>
      <c r="U452" t="inlineStr">
        <is>
          <t>UNLIKELY</t>
        </is>
      </c>
      <c r="V452" t="inlineStr">
        <is>
          <t>PATCH_AVAILABLE</t>
        </is>
      </c>
      <c r="W452" t="inlineStr">
        <is>
          <t>https://nvd.nist.gov/vuln/detail/CVE-2026-27008</t>
        </is>
      </c>
      <c r="X452" t="inlineStr">
        <is>
          <t>NONE</t>
        </is>
      </c>
      <c r="Y452" t="n">
        <v>0</v>
      </c>
      <c r="Z452" t="inlineStr"/>
      <c r="AA452" t="inlineStr">
        <is>
          <t>https://nvd.nist.gov/vuln/detail/CVE-2026-27008</t>
        </is>
      </c>
    </row>
    <row r="453">
      <c r="A453" t="inlineStr">
        <is>
          <t>CVE</t>
        </is>
      </c>
      <c r="B453" t="inlineStr">
        <is>
          <t>CVE-2026-27009</t>
        </is>
      </c>
      <c r="C453" t="inlineStr">
        <is>
          <t xml:space="preserve">OpenClaw is a personal AI assistant. Prior to version 2026.2.15, a atored XSS issue in the OpenClaw Control UI when rendering assistant identity (name/avatar) into an inline ` ` tag without script-context-safe escaping. A crafted value containing ` ` could break out of the script tag and execute attacker-controlled JavaScript in the Control UI origin. Version 2026.2.15 removed inline script injection and serve bootstrap config from a JSON endpoint and added a restrictive Content Security Policy </t>
        </is>
      </c>
      <c r="D453" t="n">
        <v>5.8</v>
      </c>
      <c r="E453" t="inlineStr">
        <is>
          <t>MEDIUM</t>
        </is>
      </c>
      <c r="F453" t="n">
        <v>2</v>
      </c>
      <c r="G453" t="n">
        <v>2</v>
      </c>
      <c r="H453" t="inlineStr">
        <is>
          <t>MEDIUM</t>
        </is>
      </c>
      <c r="I453" t="n">
        <v>9.800000000000001</v>
      </c>
      <c r="J453" t="inlineStr">
        <is>
          <t>NO</t>
        </is>
      </c>
      <c r="K453" t="inlineStr">
        <is>
          <t>2026-02-26 00:15</t>
        </is>
      </c>
      <c r="L453" t="inlineStr">
        <is>
          <t>YES</t>
        </is>
      </c>
      <c r="M453" t="inlineStr">
        <is>
          <t>openclaw openclaw *</t>
        </is>
      </c>
      <c r="N453" t="inlineStr">
        <is>
          <t>P4</t>
        </is>
      </c>
      <c r="O453" t="inlineStr">
        <is>
          <t>CVE - IP enrichment n/a</t>
        </is>
      </c>
      <c r="P453" t="n">
        <v>0</v>
      </c>
      <c r="Q453" t="n">
        <v>0</v>
      </c>
      <c r="R453" t="inlineStr">
        <is>
          <t>T1189:Drive-by Compromise</t>
        </is>
      </c>
      <c r="S453" t="n">
        <v>1</v>
      </c>
      <c r="T453" t="inlineStr">
        <is>
          <t>LOW (40%)</t>
        </is>
      </c>
      <c r="U453" t="inlineStr">
        <is>
          <t>UNLIKELY</t>
        </is>
      </c>
      <c r="V453" t="inlineStr">
        <is>
          <t>PATCH_AVAILABLE</t>
        </is>
      </c>
      <c r="W453" t="inlineStr">
        <is>
          <t>https://nvd.nist.gov/vuln/detail/CVE-2026-27009</t>
        </is>
      </c>
      <c r="X453" t="inlineStr">
        <is>
          <t>NONE</t>
        </is>
      </c>
      <c r="Y453" t="n">
        <v>0</v>
      </c>
      <c r="Z453" t="inlineStr"/>
      <c r="AA453" t="inlineStr">
        <is>
          <t>https://nvd.nist.gov/vuln/detail/CVE-2026-27009</t>
        </is>
      </c>
    </row>
    <row r="454">
      <c r="A454" t="inlineStr">
        <is>
          <t>CVE</t>
        </is>
      </c>
      <c r="B454" t="inlineStr">
        <is>
          <t>CVE-2026-2350</t>
        </is>
      </c>
      <c r="C454" t="inlineStr">
        <is>
          <t>Tanium addressed an insertion of sensitive information into log file vulnerability in Interact and TDS.</t>
        </is>
      </c>
      <c r="D454" t="n">
        <v>6.5</v>
      </c>
      <c r="E454" t="inlineStr">
        <is>
          <t>MEDIUM</t>
        </is>
      </c>
      <c r="F454" t="n">
        <v>2</v>
      </c>
      <c r="G454" t="n">
        <v>2</v>
      </c>
      <c r="H454" t="inlineStr">
        <is>
          <t>MEDIUM</t>
        </is>
      </c>
      <c r="I454" t="n">
        <v>10.5</v>
      </c>
      <c r="J454" t="inlineStr">
        <is>
          <t>NO</t>
        </is>
      </c>
      <c r="K454" t="inlineStr">
        <is>
          <t>2026-02-26 00:15</t>
        </is>
      </c>
      <c r="L454" t="inlineStr">
        <is>
          <t>CHECK_VENDOR</t>
        </is>
      </c>
      <c r="M454" t="inlineStr">
        <is>
          <t>See CVE details</t>
        </is>
      </c>
      <c r="N454" t="inlineStr">
        <is>
          <t>P4</t>
        </is>
      </c>
      <c r="O454" t="inlineStr">
        <is>
          <t>CVE - IP enrichment n/a</t>
        </is>
      </c>
      <c r="P454" t="n">
        <v>0</v>
      </c>
      <c r="Q454" t="n">
        <v>0</v>
      </c>
      <c r="R454" t="inlineStr">
        <is>
          <t>T1190:Exploit Public-Facing Application</t>
        </is>
      </c>
      <c r="S454" t="n">
        <v>1</v>
      </c>
      <c r="T454" t="inlineStr">
        <is>
          <t>LOW (40%)</t>
        </is>
      </c>
      <c r="U454" t="inlineStr">
        <is>
          <t>UNLIKELY</t>
        </is>
      </c>
      <c r="V454" t="inlineStr">
        <is>
          <t>CHECK_VENDOR</t>
        </is>
      </c>
      <c r="W454" t="inlineStr">
        <is>
          <t>https://nvd.nist.gov/vuln/detail/CVE-2026-2350</t>
        </is>
      </c>
      <c r="X454" t="inlineStr">
        <is>
          <t>NONE</t>
        </is>
      </c>
      <c r="Y454" t="n">
        <v>0</v>
      </c>
      <c r="Z454" t="inlineStr"/>
      <c r="AA454" t="inlineStr">
        <is>
          <t>https://nvd.nist.gov/vuln/detail/CVE-2026-2350</t>
        </is>
      </c>
    </row>
    <row r="455">
      <c r="A455" t="inlineStr">
        <is>
          <t>CVE</t>
        </is>
      </c>
      <c r="B455" t="inlineStr">
        <is>
          <t>CVE-2026-2408</t>
        </is>
      </c>
      <c r="C455" t="inlineStr">
        <is>
          <t>Tanium addressed a use-after-free vulnerability in the Cloud Workloads Enforce client extension.</t>
        </is>
      </c>
      <c r="D455" t="n">
        <v>4.7</v>
      </c>
      <c r="E455" t="inlineStr">
        <is>
          <t>MEDIUM</t>
        </is>
      </c>
      <c r="F455" t="n">
        <v>2</v>
      </c>
      <c r="G455" t="n">
        <v>2</v>
      </c>
      <c r="H455" t="inlineStr">
        <is>
          <t>MEDIUM</t>
        </is>
      </c>
      <c r="I455" t="n">
        <v>8.699999999999999</v>
      </c>
      <c r="J455" t="inlineStr">
        <is>
          <t>NO</t>
        </is>
      </c>
      <c r="K455" t="inlineStr">
        <is>
          <t>2026-02-26 00:15</t>
        </is>
      </c>
      <c r="L455" t="inlineStr">
        <is>
          <t>CHECK_VENDOR</t>
        </is>
      </c>
      <c r="M455" t="inlineStr">
        <is>
          <t>See CVE details</t>
        </is>
      </c>
      <c r="N455" t="inlineStr">
        <is>
          <t>P4</t>
        </is>
      </c>
      <c r="O455" t="inlineStr">
        <is>
          <t>CVE - IP enrichment n/a</t>
        </is>
      </c>
      <c r="P455" t="n">
        <v>0</v>
      </c>
      <c r="Q455" t="n">
        <v>0</v>
      </c>
      <c r="R455" t="inlineStr">
        <is>
          <t>T1203:Exploitation for Client Execution | T1190:Exploit Public-Facing Application</t>
        </is>
      </c>
      <c r="S455" t="n">
        <v>1</v>
      </c>
      <c r="T455" t="inlineStr">
        <is>
          <t>LOW (40%)</t>
        </is>
      </c>
      <c r="U455" t="inlineStr">
        <is>
          <t>UNLIKELY</t>
        </is>
      </c>
      <c r="V455" t="inlineStr">
        <is>
          <t>CHECK_VENDOR</t>
        </is>
      </c>
      <c r="W455" t="inlineStr">
        <is>
          <t>https://nvd.nist.gov/vuln/detail/CVE-2026-2408</t>
        </is>
      </c>
      <c r="X455" t="inlineStr">
        <is>
          <t>NONE</t>
        </is>
      </c>
      <c r="Y455" t="n">
        <v>0</v>
      </c>
      <c r="Z455" t="inlineStr"/>
      <c r="AA455" t="inlineStr">
        <is>
          <t>https://nvd.nist.gov/vuln/detail/CVE-2026-2408</t>
        </is>
      </c>
    </row>
    <row r="456">
      <c r="A456" t="inlineStr">
        <is>
          <t>CVE</t>
        </is>
      </c>
      <c r="B456" t="inlineStr">
        <is>
          <t>CVE-2026-2435</t>
        </is>
      </c>
      <c r="C456" t="inlineStr">
        <is>
          <t>Tanium addressed a SQL injection vulnerability in Asset.</t>
        </is>
      </c>
      <c r="D456" t="n">
        <v>6.3</v>
      </c>
      <c r="E456" t="inlineStr">
        <is>
          <t>MEDIUM</t>
        </is>
      </c>
      <c r="F456" t="n">
        <v>2</v>
      </c>
      <c r="G456" t="n">
        <v>2</v>
      </c>
      <c r="H456" t="inlineStr">
        <is>
          <t>MEDIUM</t>
        </is>
      </c>
      <c r="I456" t="n">
        <v>10.3</v>
      </c>
      <c r="J456" t="inlineStr">
        <is>
          <t>NO</t>
        </is>
      </c>
      <c r="K456" t="inlineStr">
        <is>
          <t>2026-02-26 00:15</t>
        </is>
      </c>
      <c r="L456" t="inlineStr">
        <is>
          <t>CHECK_VENDOR</t>
        </is>
      </c>
      <c r="M456" t="inlineStr">
        <is>
          <t>See CVE details</t>
        </is>
      </c>
      <c r="N456" t="inlineStr">
        <is>
          <t>P4</t>
        </is>
      </c>
      <c r="O456" t="inlineStr">
        <is>
          <t>CVE - IP enrichment n/a</t>
        </is>
      </c>
      <c r="P456" t="n">
        <v>0</v>
      </c>
      <c r="Q456" t="n">
        <v>0</v>
      </c>
      <c r="R456" t="inlineStr">
        <is>
          <t>T1190:Exploit Public-Facing Application</t>
        </is>
      </c>
      <c r="S456" t="n">
        <v>1</v>
      </c>
      <c r="T456" t="inlineStr">
        <is>
          <t>LOW (40%)</t>
        </is>
      </c>
      <c r="U456" t="inlineStr">
        <is>
          <t>UNLIKELY</t>
        </is>
      </c>
      <c r="V456" t="inlineStr">
        <is>
          <t>CHECK_VENDOR</t>
        </is>
      </c>
      <c r="W456" t="inlineStr">
        <is>
          <t>https://nvd.nist.gov/vuln/detail/CVE-2026-2435</t>
        </is>
      </c>
      <c r="X456" t="inlineStr">
        <is>
          <t>NONE</t>
        </is>
      </c>
      <c r="Y456" t="n">
        <v>0</v>
      </c>
      <c r="Z456" t="inlineStr"/>
      <c r="AA456" t="inlineStr">
        <is>
          <t>https://nvd.nist.gov/vuln/detail/CVE-2026-2435</t>
        </is>
      </c>
    </row>
    <row r="457">
      <c r="A457" t="inlineStr">
        <is>
          <t>CVE</t>
        </is>
      </c>
      <c r="B457" t="inlineStr">
        <is>
          <t>CVE-2026-2605</t>
        </is>
      </c>
      <c r="C457" t="inlineStr">
        <is>
          <t>Tanium addressed an insertion of sensitive information into log file vulnerability in TanOS.</t>
        </is>
      </c>
      <c r="D457" t="n">
        <v>5.3</v>
      </c>
      <c r="E457" t="inlineStr">
        <is>
          <t>MEDIUM</t>
        </is>
      </c>
      <c r="F457" t="n">
        <v>2</v>
      </c>
      <c r="G457" t="n">
        <v>2</v>
      </c>
      <c r="H457" t="inlineStr">
        <is>
          <t>MEDIUM</t>
        </is>
      </c>
      <c r="I457" t="n">
        <v>9.300000000000001</v>
      </c>
      <c r="J457" t="inlineStr">
        <is>
          <t>NO</t>
        </is>
      </c>
      <c r="K457" t="inlineStr">
        <is>
          <t>2026-02-26 00:15</t>
        </is>
      </c>
      <c r="L457" t="inlineStr">
        <is>
          <t>YES</t>
        </is>
      </c>
      <c r="M457" t="inlineStr">
        <is>
          <t>tanium tanos *</t>
        </is>
      </c>
      <c r="N457" t="inlineStr">
        <is>
          <t>P4</t>
        </is>
      </c>
      <c r="O457" t="inlineStr">
        <is>
          <t>CVE - IP enrichment n/a</t>
        </is>
      </c>
      <c r="P457" t="n">
        <v>0.0004</v>
      </c>
      <c r="Q457" t="n">
        <v>0.1052</v>
      </c>
      <c r="R457" t="inlineStr">
        <is>
          <t>T1190:Exploit Public-Facing Application</t>
        </is>
      </c>
      <c r="S457" t="n">
        <v>1</v>
      </c>
      <c r="T457" t="inlineStr">
        <is>
          <t>LOW (40%)</t>
        </is>
      </c>
      <c r="U457" t="inlineStr">
        <is>
          <t>UNLIKELY</t>
        </is>
      </c>
      <c r="V457" t="inlineStr">
        <is>
          <t>PATCH_AVAILABLE</t>
        </is>
      </c>
      <c r="W457" t="inlineStr">
        <is>
          <t>https://nvd.nist.gov/vuln/detail/CVE-2026-2605</t>
        </is>
      </c>
      <c r="X457" t="inlineStr">
        <is>
          <t>NONE</t>
        </is>
      </c>
      <c r="Y457" t="n">
        <v>0</v>
      </c>
      <c r="Z457" t="inlineStr"/>
      <c r="AA457" t="inlineStr">
        <is>
          <t>https://nvd.nist.gov/vuln/detail/CVE-2026-2605</t>
        </is>
      </c>
    </row>
    <row r="458">
      <c r="A458" t="inlineStr">
        <is>
          <t>CVE</t>
        </is>
      </c>
      <c r="B458" t="inlineStr">
        <is>
          <t>CVE-2025-30410</t>
        </is>
      </c>
      <c r="C458" t="inlineStr">
        <is>
          <t>Sensitive data disclosure and manipulation due to missing authentication. The following products are affected: Acronis Cyber Protect Cloud Agent (Linux, macOS, Windows) before build 39870, Acronis Cyber Protect 16 (Linux, macOS, Windows) before build 39938, Acronis Cyber Protect 15 (Linux, macOS, Windows) before build 41800.</t>
        </is>
      </c>
      <c r="D458" t="n">
        <v>9.800000000000001</v>
      </c>
      <c r="E458" t="inlineStr">
        <is>
          <t>CRITICAL</t>
        </is>
      </c>
      <c r="F458" t="n">
        <v>2</v>
      </c>
      <c r="G458" t="n">
        <v>3</v>
      </c>
      <c r="H458" t="inlineStr">
        <is>
          <t>HIGH</t>
        </is>
      </c>
      <c r="I458" t="n">
        <v>15.8</v>
      </c>
      <c r="J458" t="inlineStr">
        <is>
          <t>NO</t>
        </is>
      </c>
      <c r="K458" t="inlineStr">
        <is>
          <t>2026-02-26 00:15</t>
        </is>
      </c>
      <c r="L458" t="inlineStr">
        <is>
          <t>CHECK_VENDOR</t>
        </is>
      </c>
      <c r="M458" t="inlineStr">
        <is>
          <t>See CVE details</t>
        </is>
      </c>
      <c r="N458" t="inlineStr">
        <is>
          <t>P3</t>
        </is>
      </c>
      <c r="O458" t="inlineStr">
        <is>
          <t>CVE - IP enrichment n/a</t>
        </is>
      </c>
      <c r="P458" t="n">
        <v>0.0002</v>
      </c>
      <c r="Q458" t="n">
        <v>0.0465</v>
      </c>
      <c r="R458" t="inlineStr">
        <is>
          <t>T1078:Valid Accounts</t>
        </is>
      </c>
      <c r="S458" t="n">
        <v>1</v>
      </c>
      <c r="T458" t="inlineStr">
        <is>
          <t>LOW (40%)</t>
        </is>
      </c>
      <c r="U458" t="inlineStr">
        <is>
          <t>UNLIKELY</t>
        </is>
      </c>
      <c r="V458" t="inlineStr">
        <is>
          <t>CHECK_VENDOR</t>
        </is>
      </c>
      <c r="W458" t="inlineStr">
        <is>
          <t>https://nvd.nist.gov/vuln/detail/CVE-2025-30410</t>
        </is>
      </c>
      <c r="X458" t="inlineStr">
        <is>
          <t>NONE</t>
        </is>
      </c>
      <c r="Y458" t="n">
        <v>0</v>
      </c>
      <c r="Z458" t="inlineStr"/>
      <c r="AA458" t="inlineStr">
        <is>
          <t>https://nvd.nist.gov/vuln/detail/CVE-2025-30410</t>
        </is>
      </c>
    </row>
    <row r="459">
      <c r="A459" t="inlineStr">
        <is>
          <t>CVE</t>
        </is>
      </c>
      <c r="B459" t="inlineStr">
        <is>
          <t>CVE-2025-30411</t>
        </is>
      </c>
      <c r="C459" t="inlineStr">
        <is>
          <t>Sensitive data disclosure and manipulation due to improper authentication. The following products are affected: Acronis Cyber Protect 16 (Linux, Windows) before build 39938, Acronis Cyber Protect 15 (Linux, Windows) before build 41800.</t>
        </is>
      </c>
      <c r="D459" t="n">
        <v>10</v>
      </c>
      <c r="E459" t="inlineStr">
        <is>
          <t>CRITICAL</t>
        </is>
      </c>
      <c r="F459" t="n">
        <v>2</v>
      </c>
      <c r="G459" t="n">
        <v>3</v>
      </c>
      <c r="H459" t="inlineStr">
        <is>
          <t>HIGH</t>
        </is>
      </c>
      <c r="I459" t="n">
        <v>16</v>
      </c>
      <c r="J459" t="inlineStr">
        <is>
          <t>NO</t>
        </is>
      </c>
      <c r="K459" t="inlineStr">
        <is>
          <t>2026-02-26 00:15</t>
        </is>
      </c>
      <c r="L459" t="inlineStr">
        <is>
          <t>CHECK_VENDOR</t>
        </is>
      </c>
      <c r="M459" t="inlineStr">
        <is>
          <t>See CVE details</t>
        </is>
      </c>
      <c r="N459" t="inlineStr">
        <is>
          <t>P3</t>
        </is>
      </c>
      <c r="O459" t="inlineStr">
        <is>
          <t>CVE - IP enrichment n/a</t>
        </is>
      </c>
      <c r="P459" t="n">
        <v>0</v>
      </c>
      <c r="Q459" t="n">
        <v>0</v>
      </c>
      <c r="R459" t="inlineStr">
        <is>
          <t>T1190:Exploit Public-Facing Application</t>
        </is>
      </c>
      <c r="S459" t="n">
        <v>1</v>
      </c>
      <c r="T459" t="inlineStr">
        <is>
          <t>LOW (40%)</t>
        </is>
      </c>
      <c r="U459" t="inlineStr">
        <is>
          <t>UNLIKELY</t>
        </is>
      </c>
      <c r="V459" t="inlineStr">
        <is>
          <t>CHECK_VENDOR</t>
        </is>
      </c>
      <c r="W459" t="inlineStr">
        <is>
          <t>https://nvd.nist.gov/vuln/detail/CVE-2025-30411</t>
        </is>
      </c>
      <c r="X459" t="inlineStr">
        <is>
          <t>NONE</t>
        </is>
      </c>
      <c r="Y459" t="n">
        <v>0</v>
      </c>
      <c r="Z459" t="inlineStr"/>
      <c r="AA459" t="inlineStr">
        <is>
          <t>https://nvd.nist.gov/vuln/detail/CVE-2025-30411</t>
        </is>
      </c>
    </row>
    <row r="460">
      <c r="A460" t="inlineStr">
        <is>
          <t>CVE</t>
        </is>
      </c>
      <c r="B460" t="inlineStr">
        <is>
          <t>CVE-2025-30412</t>
        </is>
      </c>
      <c r="C460" t="inlineStr">
        <is>
          <t>Sensitive data disclosure and manipulation due to improper authentication. The following products are affected: Acronis Cyber Protect 16 (Linux, Windows) before build 39938, Acronis Cyber Protect 15 (Linux, Windows) before build 41800.</t>
        </is>
      </c>
      <c r="D460" t="n">
        <v>10</v>
      </c>
      <c r="E460" t="inlineStr">
        <is>
          <t>CRITICAL</t>
        </is>
      </c>
      <c r="F460" t="n">
        <v>2</v>
      </c>
      <c r="G460" t="n">
        <v>3</v>
      </c>
      <c r="H460" t="inlineStr">
        <is>
          <t>HIGH</t>
        </is>
      </c>
      <c r="I460" t="n">
        <v>16</v>
      </c>
      <c r="J460" t="inlineStr">
        <is>
          <t>NO</t>
        </is>
      </c>
      <c r="K460" t="inlineStr">
        <is>
          <t>2026-02-26 00:15</t>
        </is>
      </c>
      <c r="L460" t="inlineStr">
        <is>
          <t>CHECK_VENDOR</t>
        </is>
      </c>
      <c r="M460" t="inlineStr">
        <is>
          <t>See CVE details</t>
        </is>
      </c>
      <c r="N460" t="inlineStr">
        <is>
          <t>P3</t>
        </is>
      </c>
      <c r="O460" t="inlineStr">
        <is>
          <t>CVE - IP enrichment n/a</t>
        </is>
      </c>
      <c r="P460" t="n">
        <v>0</v>
      </c>
      <c r="Q460" t="n">
        <v>0</v>
      </c>
      <c r="R460" t="inlineStr">
        <is>
          <t>T1190:Exploit Public-Facing Application</t>
        </is>
      </c>
      <c r="S460" t="n">
        <v>1</v>
      </c>
      <c r="T460" t="inlineStr">
        <is>
          <t>LOW (40%)</t>
        </is>
      </c>
      <c r="U460" t="inlineStr">
        <is>
          <t>UNLIKELY</t>
        </is>
      </c>
      <c r="V460" t="inlineStr">
        <is>
          <t>CHECK_VENDOR</t>
        </is>
      </c>
      <c r="W460" t="inlineStr">
        <is>
          <t>https://nvd.nist.gov/vuln/detail/CVE-2025-30412</t>
        </is>
      </c>
      <c r="X460" t="inlineStr">
        <is>
          <t>NONE</t>
        </is>
      </c>
      <c r="Y460" t="n">
        <v>0</v>
      </c>
      <c r="Z460" t="inlineStr"/>
      <c r="AA460" t="inlineStr">
        <is>
          <t>https://nvd.nist.gov/vuln/detail/CVE-2025-30412</t>
        </is>
      </c>
    </row>
    <row r="461">
      <c r="A461" t="inlineStr">
        <is>
          <t>CVE</t>
        </is>
      </c>
      <c r="B461" t="inlineStr">
        <is>
          <t>CVE-2025-30416</t>
        </is>
      </c>
      <c r="C461" t="inlineStr">
        <is>
          <t>Sensitive data disclosure and manipulation due to missing authorization. The following products are affected: Acronis Cyber Protect 16 (Linux, Windows) before build 39938, Acronis Cyber Protect 15 (Linux, Windows) before build 41800.</t>
        </is>
      </c>
      <c r="D461" t="n">
        <v>10</v>
      </c>
      <c r="E461" t="inlineStr">
        <is>
          <t>CRITICAL</t>
        </is>
      </c>
      <c r="F461" t="n">
        <v>2</v>
      </c>
      <c r="G461" t="n">
        <v>3</v>
      </c>
      <c r="H461" t="inlineStr">
        <is>
          <t>HIGH</t>
        </is>
      </c>
      <c r="I461" t="n">
        <v>16</v>
      </c>
      <c r="J461" t="inlineStr">
        <is>
          <t>NO</t>
        </is>
      </c>
      <c r="K461" t="inlineStr">
        <is>
          <t>2026-02-26 00:15</t>
        </is>
      </c>
      <c r="L461" t="inlineStr">
        <is>
          <t>CHECK_VENDOR</t>
        </is>
      </c>
      <c r="M461" t="inlineStr">
        <is>
          <t>See CVE details</t>
        </is>
      </c>
      <c r="N461" t="inlineStr">
        <is>
          <t>P3</t>
        </is>
      </c>
      <c r="O461" t="inlineStr">
        <is>
          <t>CVE - IP enrichment n/a</t>
        </is>
      </c>
      <c r="P461" t="n">
        <v>0</v>
      </c>
      <c r="Q461" t="n">
        <v>0</v>
      </c>
      <c r="R461" t="inlineStr">
        <is>
          <t>T1190:Exploit Public-Facing Application</t>
        </is>
      </c>
      <c r="S461" t="n">
        <v>1</v>
      </c>
      <c r="T461" t="inlineStr">
        <is>
          <t>LOW (40%)</t>
        </is>
      </c>
      <c r="U461" t="inlineStr">
        <is>
          <t>UNLIKELY</t>
        </is>
      </c>
      <c r="V461" t="inlineStr">
        <is>
          <t>CHECK_VENDOR</t>
        </is>
      </c>
      <c r="W461" t="inlineStr">
        <is>
          <t>https://nvd.nist.gov/vuln/detail/CVE-2025-30416</t>
        </is>
      </c>
      <c r="X461" t="inlineStr">
        <is>
          <t>NONE</t>
        </is>
      </c>
      <c r="Y461" t="n">
        <v>0</v>
      </c>
      <c r="Z461" t="inlineStr"/>
      <c r="AA461" t="inlineStr">
        <is>
          <t>https://nvd.nist.gov/vuln/detail/CVE-2025-30416</t>
        </is>
      </c>
    </row>
    <row r="462">
      <c r="A462" t="inlineStr">
        <is>
          <t>CVE</t>
        </is>
      </c>
      <c r="B462" t="inlineStr">
        <is>
          <t>CVE-2026-26967</t>
        </is>
      </c>
      <c r="C462" t="inlineStr">
        <is>
          <t>PJSIP is a free and open source multimedia communication library written in C. In versions 2.16 and below, there is a critical Heap-based Buffer Overflow vulnerability in PJSIP's H.264 unpacketizer. The bug occurs when processing malformed SRTP packets, where the unpacketizer reads a 2-byte NAL unit size field without validating that both bytes are within the payload buffer bounds. The vulnerability affects applications that receive video using H.264. A patch is available at https://github.com/p</t>
        </is>
      </c>
      <c r="D462" t="n">
        <v>5.3</v>
      </c>
      <c r="E462" t="inlineStr">
        <is>
          <t>MEDIUM</t>
        </is>
      </c>
      <c r="F462" t="n">
        <v>2</v>
      </c>
      <c r="G462" t="n">
        <v>2</v>
      </c>
      <c r="H462" t="inlineStr">
        <is>
          <t>MEDIUM</t>
        </is>
      </c>
      <c r="I462" t="n">
        <v>9.300000000000001</v>
      </c>
      <c r="J462" t="inlineStr">
        <is>
          <t>NO</t>
        </is>
      </c>
      <c r="K462" t="inlineStr">
        <is>
          <t>2026-02-26 00:15</t>
        </is>
      </c>
      <c r="L462" t="inlineStr">
        <is>
          <t>YES</t>
        </is>
      </c>
      <c r="M462" t="inlineStr">
        <is>
          <t>pjsip pjsip *</t>
        </is>
      </c>
      <c r="N462" t="inlineStr">
        <is>
          <t>P4</t>
        </is>
      </c>
      <c r="O462" t="inlineStr">
        <is>
          <t>CVE - IP enrichment n/a</t>
        </is>
      </c>
      <c r="P462" t="n">
        <v>0</v>
      </c>
      <c r="Q462" t="n">
        <v>0</v>
      </c>
      <c r="R462" t="inlineStr">
        <is>
          <t>T1190:Exploit Public-Facing Application | T1203:Exploitation for Client Execution</t>
        </is>
      </c>
      <c r="S462" t="n">
        <v>1</v>
      </c>
      <c r="T462" t="inlineStr">
        <is>
          <t>LOW (40%)</t>
        </is>
      </c>
      <c r="U462" t="inlineStr">
        <is>
          <t>UNLIKELY</t>
        </is>
      </c>
      <c r="V462" t="inlineStr">
        <is>
          <t>PATCH_AVAILABLE</t>
        </is>
      </c>
      <c r="W462" t="inlineStr">
        <is>
          <t>https://nvd.nist.gov/vuln/detail/CVE-2026-26967</t>
        </is>
      </c>
      <c r="X462" t="inlineStr">
        <is>
          <t>NONE</t>
        </is>
      </c>
      <c r="Y462" t="n">
        <v>0</v>
      </c>
      <c r="Z462" t="inlineStr"/>
      <c r="AA462" t="inlineStr">
        <is>
          <t>https://nvd.nist.gov/vuln/detail/CVE-2026-26967</t>
        </is>
      </c>
    </row>
    <row r="463">
      <c r="A463" t="inlineStr">
        <is>
          <t>CVE</t>
        </is>
      </c>
      <c r="B463" t="inlineStr">
        <is>
          <t>CVE-2026-26974</t>
        </is>
      </c>
      <c r="C463" t="inlineStr">
        <is>
          <t>Slyde is a program that creates animated presentations from XML. In versions 0.0.4 and below, Node.js automatically imports **/*.plugin.{js,mjs} files including those from node_modules, so any malicious package with a .plugin.js file can execute arbitrary code when installed or required. All projects using this loading behavior are affected, especially those installing untrusted packages. This issue has been fixed in version 0.0.5. To workaround this issue, users can audit and restrict which pac</t>
        </is>
      </c>
      <c r="D463" t="n">
        <v>5</v>
      </c>
      <c r="E463" t="inlineStr">
        <is>
          <t>MEDIUM</t>
        </is>
      </c>
      <c r="F463" t="n">
        <v>2</v>
      </c>
      <c r="G463" t="n">
        <v>2</v>
      </c>
      <c r="H463" t="inlineStr">
        <is>
          <t>MEDIUM</t>
        </is>
      </c>
      <c r="I463" t="n">
        <v>9</v>
      </c>
      <c r="J463" t="inlineStr">
        <is>
          <t>NO</t>
        </is>
      </c>
      <c r="K463" t="inlineStr">
        <is>
          <t>2026-02-26 00:15</t>
        </is>
      </c>
      <c r="L463" t="inlineStr">
        <is>
          <t>CHECK_VENDOR</t>
        </is>
      </c>
      <c r="M463" t="inlineStr">
        <is>
          <t>See CVE details</t>
        </is>
      </c>
      <c r="N463" t="inlineStr">
        <is>
          <t>P4</t>
        </is>
      </c>
      <c r="O463" t="inlineStr">
        <is>
          <t>CVE - IP enrichment n/a</t>
        </is>
      </c>
      <c r="P463" t="n">
        <v>0</v>
      </c>
      <c r="Q463" t="n">
        <v>0</v>
      </c>
      <c r="R463" t="inlineStr">
        <is>
          <t>T1203:Exploitation for Client Execution</t>
        </is>
      </c>
      <c r="S463" t="n">
        <v>1</v>
      </c>
      <c r="T463" t="inlineStr">
        <is>
          <t>LOW (40%)</t>
        </is>
      </c>
      <c r="U463" t="inlineStr">
        <is>
          <t>UNLIKELY</t>
        </is>
      </c>
      <c r="V463" t="inlineStr">
        <is>
          <t>CHECK_VENDOR</t>
        </is>
      </c>
      <c r="W463" t="inlineStr">
        <is>
          <t>https://nvd.nist.gov/vuln/detail/CVE-2026-26974</t>
        </is>
      </c>
      <c r="X463" t="inlineStr">
        <is>
          <t>NONE</t>
        </is>
      </c>
      <c r="Y463" t="n">
        <v>0</v>
      </c>
      <c r="Z463" t="inlineStr"/>
      <c r="AA463" t="inlineStr">
        <is>
          <t>https://nvd.nist.gov/vuln/detail/CVE-2026-26974</t>
        </is>
      </c>
    </row>
    <row r="464">
      <c r="A464" t="inlineStr">
        <is>
          <t>CVE</t>
        </is>
      </c>
      <c r="B464" t="inlineStr">
        <is>
          <t>CVE-2026-26975</t>
        </is>
      </c>
      <c r="C464" t="inlineStr">
        <is>
          <t>Music Assistant is an open-source media library manager that integrates streaming services with connected speakers. Versions 2.6.3 and below allow unauthenticated network-adjacent attackers to execute arbitrary code on affected installations. The music/playlists/update API allows users to bypass the .m3u extension enforcement and write files anywhere on the filesystem, which is exacerbated by the container running as root. This can be exploited to achieve Remote Code Execution by writing a malic</t>
        </is>
      </c>
      <c r="D464" t="n">
        <v>8.800000000000001</v>
      </c>
      <c r="E464" t="inlineStr">
        <is>
          <t>HIGH</t>
        </is>
      </c>
      <c r="F464" t="n">
        <v>2</v>
      </c>
      <c r="G464" t="n">
        <v>3</v>
      </c>
      <c r="H464" t="inlineStr">
        <is>
          <t>HIGH</t>
        </is>
      </c>
      <c r="I464" t="n">
        <v>14.8</v>
      </c>
      <c r="J464" t="inlineStr">
        <is>
          <t>NO</t>
        </is>
      </c>
      <c r="K464" t="inlineStr">
        <is>
          <t>2026-02-26 00:15</t>
        </is>
      </c>
      <c r="L464" t="inlineStr">
        <is>
          <t>CHECK_VENDOR</t>
        </is>
      </c>
      <c r="M464" t="inlineStr">
        <is>
          <t>See CVE details</t>
        </is>
      </c>
      <c r="N464" t="inlineStr">
        <is>
          <t>P3</t>
        </is>
      </c>
      <c r="O464" t="inlineStr">
        <is>
          <t>CVE - IP enrichment n/a</t>
        </is>
      </c>
      <c r="P464" t="n">
        <v>0</v>
      </c>
      <c r="Q464" t="n">
        <v>0</v>
      </c>
      <c r="R464" t="inlineStr">
        <is>
          <t>T1083:File and Directory Discovery | T1190:Exploit Public-Facing Application | T1210:Exploitation of Remote Services</t>
        </is>
      </c>
      <c r="S464" t="n">
        <v>1</v>
      </c>
      <c r="T464" t="inlineStr">
        <is>
          <t>LOW (40%)</t>
        </is>
      </c>
      <c r="U464" t="inlineStr">
        <is>
          <t>UNLIKELY</t>
        </is>
      </c>
      <c r="V464" t="inlineStr">
        <is>
          <t>CHECK_VENDOR</t>
        </is>
      </c>
      <c r="W464" t="inlineStr">
        <is>
          <t>https://nvd.nist.gov/vuln/detail/CVE-2026-26975</t>
        </is>
      </c>
      <c r="X464" t="inlineStr">
        <is>
          <t>NONE</t>
        </is>
      </c>
      <c r="Y464" t="n">
        <v>0</v>
      </c>
      <c r="Z464" t="inlineStr"/>
      <c r="AA464" t="inlineStr">
        <is>
          <t>https://nvd.nist.gov/vuln/detail/CVE-2026-26975</t>
        </is>
      </c>
    </row>
    <row r="465">
      <c r="A465" t="inlineStr">
        <is>
          <t>CVE</t>
        </is>
      </c>
      <c r="B465" t="inlineStr">
        <is>
          <t>CVE-2026-26064</t>
        </is>
      </c>
      <c r="C465" t="inlineStr">
        <is>
          <t xml:space="preserve">calibre is a cross-platform e-book manager for viewing, converting, editing, and cataloging e-books. Versions 9.2.1 and below contain a Path Traversal vulnerability that allows arbitrary file writes anywhere the user has write permissions. On Windows, this leads to Remote Code Execution by writing a payload to the Startup folder, which executes on next login. Function extract_pictures only checks startswith('Pictures'), and does not sanitize '..' sequences. calibre's own ZipFile.extractall() in </t>
        </is>
      </c>
      <c r="D465" t="n">
        <v>8.800000000000001</v>
      </c>
      <c r="E465" t="inlineStr">
        <is>
          <t>HIGH</t>
        </is>
      </c>
      <c r="F465" t="n">
        <v>2</v>
      </c>
      <c r="G465" t="n">
        <v>3</v>
      </c>
      <c r="H465" t="inlineStr">
        <is>
          <t>HIGH</t>
        </is>
      </c>
      <c r="I465" t="n">
        <v>14.8</v>
      </c>
      <c r="J465" t="inlineStr">
        <is>
          <t>NO</t>
        </is>
      </c>
      <c r="K465" t="inlineStr">
        <is>
          <t>2026-02-26 00:15</t>
        </is>
      </c>
      <c r="L465" t="inlineStr">
        <is>
          <t>YES</t>
        </is>
      </c>
      <c r="M465" t="inlineStr">
        <is>
          <t>calibre-ebook calibre *</t>
        </is>
      </c>
      <c r="N465" t="inlineStr">
        <is>
          <t>P3</t>
        </is>
      </c>
      <c r="O465" t="inlineStr">
        <is>
          <t>CVE - IP enrichment n/a</t>
        </is>
      </c>
      <c r="P465" t="n">
        <v>0</v>
      </c>
      <c r="Q465" t="n">
        <v>0</v>
      </c>
      <c r="R465" t="inlineStr">
        <is>
          <t>T1083:File and Directory Discovery | T1190:Exploit Public-Facing Application | T1210:Exploitation of Remote Services</t>
        </is>
      </c>
      <c r="S465" t="n">
        <v>1</v>
      </c>
      <c r="T465" t="inlineStr">
        <is>
          <t>LOW (40%)</t>
        </is>
      </c>
      <c r="U465" t="inlineStr">
        <is>
          <t>UNLIKELY</t>
        </is>
      </c>
      <c r="V465" t="inlineStr">
        <is>
          <t>PATCH_AVAILABLE</t>
        </is>
      </c>
      <c r="W465" t="inlineStr">
        <is>
          <t>https://nvd.nist.gov/vuln/detail/CVE-2026-26064</t>
        </is>
      </c>
      <c r="X465" t="inlineStr">
        <is>
          <t>NONE</t>
        </is>
      </c>
      <c r="Y465" t="n">
        <v>0</v>
      </c>
      <c r="Z465" t="inlineStr"/>
      <c r="AA465" t="inlineStr">
        <is>
          <t>https://nvd.nist.gov/vuln/detail/CVE-2026-26064</t>
        </is>
      </c>
    </row>
    <row r="466">
      <c r="A466" t="inlineStr">
        <is>
          <t>CVE</t>
        </is>
      </c>
      <c r="B466" t="inlineStr">
        <is>
          <t>CVE-2026-26065</t>
        </is>
      </c>
      <c r="C466" t="inlineStr">
        <is>
          <t>calibre is a cross-platform e-book manager for viewing, converting, editing, and cataloging e-books. Versions 9.2.1 and below are vulnerable to Path Traversal through PDB readers (both 132-byte and 202-byte header variants) that allow arbitrary file writes with arbitrary extension and arbitrary content anywhere the user has write permissions. Files are written in 'wb' mode, silently overwriting existing files. This can lead to potential code execution and Denial of Service through file corruptio</t>
        </is>
      </c>
      <c r="D466" t="n">
        <v>8.800000000000001</v>
      </c>
      <c r="E466" t="inlineStr">
        <is>
          <t>HIGH</t>
        </is>
      </c>
      <c r="F466" t="n">
        <v>2</v>
      </c>
      <c r="G466" t="n">
        <v>3</v>
      </c>
      <c r="H466" t="inlineStr">
        <is>
          <t>HIGH</t>
        </is>
      </c>
      <c r="I466" t="n">
        <v>14.8</v>
      </c>
      <c r="J466" t="inlineStr">
        <is>
          <t>NO</t>
        </is>
      </c>
      <c r="K466" t="inlineStr">
        <is>
          <t>2026-02-26 00:15</t>
        </is>
      </c>
      <c r="L466" t="inlineStr">
        <is>
          <t>YES</t>
        </is>
      </c>
      <c r="M466" t="inlineStr">
        <is>
          <t>calibre-ebook calibre *</t>
        </is>
      </c>
      <c r="N466" t="inlineStr">
        <is>
          <t>P3</t>
        </is>
      </c>
      <c r="O466" t="inlineStr">
        <is>
          <t>CVE - IP enrichment n/a</t>
        </is>
      </c>
      <c r="P466" t="n">
        <v>0</v>
      </c>
      <c r="Q466" t="n">
        <v>0</v>
      </c>
      <c r="R466" t="inlineStr">
        <is>
          <t>T1083:File and Directory Discovery | T1499:Endpoint Denial of Service</t>
        </is>
      </c>
      <c r="S466" t="n">
        <v>1</v>
      </c>
      <c r="T466" t="inlineStr">
        <is>
          <t>LOW (40%)</t>
        </is>
      </c>
      <c r="U466" t="inlineStr">
        <is>
          <t>UNLIKELY</t>
        </is>
      </c>
      <c r="V466" t="inlineStr">
        <is>
          <t>PATCH_AVAILABLE</t>
        </is>
      </c>
      <c r="W466" t="inlineStr">
        <is>
          <t>https://nvd.nist.gov/vuln/detail/CVE-2026-26065</t>
        </is>
      </c>
      <c r="X466" t="inlineStr">
        <is>
          <t>NONE</t>
        </is>
      </c>
      <c r="Y466" t="n">
        <v>0</v>
      </c>
      <c r="Z466" t="inlineStr"/>
      <c r="AA466" t="inlineStr">
        <is>
          <t>https://nvd.nist.gov/vuln/detail/CVE-2026-26065</t>
        </is>
      </c>
    </row>
    <row r="467">
      <c r="A467" t="inlineStr">
        <is>
          <t>CVE</t>
        </is>
      </c>
      <c r="B467" t="inlineStr">
        <is>
          <t>CVE-2026-26960</t>
        </is>
      </c>
      <c r="C467" t="inlineStr">
        <is>
          <t>node-tar is a full-featured Tar for Node.js. When using default options in versions 7.5.7 and below, an attacker-controlled archive can create a hardlink inside the extraction directory that points to a file outside the extraction root, enabling arbitrary file read and write as the extracting user. Severity is high because the primitive bypasses path protections and turns archive extraction into a direct filesystem access primitive. This issue has been fixed in version 7.5.8.</t>
        </is>
      </c>
      <c r="D467" t="n">
        <v>7.1</v>
      </c>
      <c r="E467" t="inlineStr">
        <is>
          <t>HIGH</t>
        </is>
      </c>
      <c r="F467" t="n">
        <v>2</v>
      </c>
      <c r="G467" t="n">
        <v>3</v>
      </c>
      <c r="H467" t="inlineStr">
        <is>
          <t>HIGH</t>
        </is>
      </c>
      <c r="I467" t="n">
        <v>13.1</v>
      </c>
      <c r="J467" t="inlineStr">
        <is>
          <t>NO</t>
        </is>
      </c>
      <c r="K467" t="inlineStr">
        <is>
          <t>2026-02-26 00:15</t>
        </is>
      </c>
      <c r="L467" t="inlineStr">
        <is>
          <t>YES</t>
        </is>
      </c>
      <c r="M467" t="inlineStr">
        <is>
          <t>isaacs tar *</t>
        </is>
      </c>
      <c r="N467" t="inlineStr">
        <is>
          <t>P3</t>
        </is>
      </c>
      <c r="O467" t="inlineStr">
        <is>
          <t>CVE - IP enrichment n/a</t>
        </is>
      </c>
      <c r="P467" t="n">
        <v>0.0001</v>
      </c>
      <c r="Q467" t="n">
        <v>0.0209</v>
      </c>
      <c r="R467" t="inlineStr">
        <is>
          <t>T1083:File and Directory Discovery</t>
        </is>
      </c>
      <c r="S467" t="n">
        <v>1</v>
      </c>
      <c r="T467" t="inlineStr">
        <is>
          <t>LOW (40%)</t>
        </is>
      </c>
      <c r="U467" t="inlineStr">
        <is>
          <t>UNLIKELY</t>
        </is>
      </c>
      <c r="V467" t="inlineStr">
        <is>
          <t>PATCH_AVAILABLE</t>
        </is>
      </c>
      <c r="W467" t="inlineStr">
        <is>
          <t>https://nvd.nist.gov/vuln/detail/CVE-2026-26960</t>
        </is>
      </c>
      <c r="X467" t="inlineStr">
        <is>
          <t>NONE</t>
        </is>
      </c>
      <c r="Y467" t="n">
        <v>0</v>
      </c>
      <c r="Z467" t="inlineStr"/>
      <c r="AA467" t="inlineStr">
        <is>
          <t>https://nvd.nist.gov/vuln/detail/CVE-2026-26960</t>
        </is>
      </c>
    </row>
    <row r="468">
      <c r="A468" t="inlineStr">
        <is>
          <t>CVE</t>
        </is>
      </c>
      <c r="B468" t="inlineStr">
        <is>
          <t>CVE-2026-26977</t>
        </is>
      </c>
      <c r="C468" t="inlineStr">
        <is>
          <t>Frappe Learning Management System (LMS) is a learning system that helps users structure their content. In versions 2.44.0 and below, unauthorized users are able to access the details of unpublished courses via API endpoints. A fix for this issue is planned for the 2.45.0 release.</t>
        </is>
      </c>
      <c r="D468" t="n">
        <v>5.3</v>
      </c>
      <c r="E468" t="inlineStr">
        <is>
          <t>MEDIUM</t>
        </is>
      </c>
      <c r="F468" t="n">
        <v>2</v>
      </c>
      <c r="G468" t="n">
        <v>2</v>
      </c>
      <c r="H468" t="inlineStr">
        <is>
          <t>MEDIUM</t>
        </is>
      </c>
      <c r="I468" t="n">
        <v>9.300000000000001</v>
      </c>
      <c r="J468" t="inlineStr">
        <is>
          <t>NO</t>
        </is>
      </c>
      <c r="K468" t="inlineStr">
        <is>
          <t>2026-02-26 00:15</t>
        </is>
      </c>
      <c r="L468" t="inlineStr">
        <is>
          <t>YES</t>
        </is>
      </c>
      <c r="M468" t="inlineStr">
        <is>
          <t>frappe learning *</t>
        </is>
      </c>
      <c r="N468" t="inlineStr">
        <is>
          <t>P4</t>
        </is>
      </c>
      <c r="O468" t="inlineStr">
        <is>
          <t>CVE - IP enrichment n/a</t>
        </is>
      </c>
      <c r="P468" t="n">
        <v>0</v>
      </c>
      <c r="Q468" t="n">
        <v>0</v>
      </c>
      <c r="R468" t="inlineStr">
        <is>
          <t>T1190:Exploit Public-Facing Application</t>
        </is>
      </c>
      <c r="S468" t="n">
        <v>1</v>
      </c>
      <c r="T468" t="inlineStr">
        <is>
          <t>LOW (40%)</t>
        </is>
      </c>
      <c r="U468" t="inlineStr">
        <is>
          <t>UNLIKELY</t>
        </is>
      </c>
      <c r="V468" t="inlineStr">
        <is>
          <t>PATCH_AVAILABLE</t>
        </is>
      </c>
      <c r="W468" t="inlineStr">
        <is>
          <t>https://nvd.nist.gov/vuln/detail/CVE-2026-26977</t>
        </is>
      </c>
      <c r="X468" t="inlineStr">
        <is>
          <t>NONE</t>
        </is>
      </c>
      <c r="Y468" t="n">
        <v>0</v>
      </c>
      <c r="Z468" t="inlineStr"/>
      <c r="AA468" t="inlineStr">
        <is>
          <t>https://nvd.nist.gov/vuln/detail/CVE-2026-26977</t>
        </is>
      </c>
    </row>
    <row r="469">
      <c r="A469" t="inlineStr">
        <is>
          <t>CVE</t>
        </is>
      </c>
      <c r="B469" t="inlineStr">
        <is>
          <t>CVE-2026-26980</t>
        </is>
      </c>
      <c r="C469" t="inlineStr">
        <is>
          <t>Ghost is a Node.js content management system. Versions 3.24.0 through 6.19.0 allow unauthenticated attackers to perform arbitrary reads from the database. This issue has been fixed in version 6.19.1.</t>
        </is>
      </c>
      <c r="D469" t="n">
        <v>9.4</v>
      </c>
      <c r="E469" t="inlineStr">
        <is>
          <t>CRITICAL</t>
        </is>
      </c>
      <c r="F469" t="n">
        <v>2</v>
      </c>
      <c r="G469" t="n">
        <v>3</v>
      </c>
      <c r="H469" t="inlineStr">
        <is>
          <t>HIGH</t>
        </is>
      </c>
      <c r="I469" t="n">
        <v>15.4</v>
      </c>
      <c r="J469" t="inlineStr">
        <is>
          <t>NO</t>
        </is>
      </c>
      <c r="K469" t="inlineStr">
        <is>
          <t>2026-02-26 00:15</t>
        </is>
      </c>
      <c r="L469" t="inlineStr">
        <is>
          <t>YES</t>
        </is>
      </c>
      <c r="M469" t="inlineStr">
        <is>
          <t>ghost ghost *</t>
        </is>
      </c>
      <c r="N469" t="inlineStr">
        <is>
          <t>P3</t>
        </is>
      </c>
      <c r="O469" t="inlineStr">
        <is>
          <t>CVE - IP enrichment n/a</t>
        </is>
      </c>
      <c r="P469" t="n">
        <v>0</v>
      </c>
      <c r="Q469" t="n">
        <v>0</v>
      </c>
      <c r="R469" t="inlineStr">
        <is>
          <t>T1190:Exploit Public-Facing Application</t>
        </is>
      </c>
      <c r="S469" t="n">
        <v>1</v>
      </c>
      <c r="T469" t="inlineStr">
        <is>
          <t>LOW (40%)</t>
        </is>
      </c>
      <c r="U469" t="inlineStr">
        <is>
          <t>UNLIKELY</t>
        </is>
      </c>
      <c r="V469" t="inlineStr">
        <is>
          <t>PATCH_AVAILABLE</t>
        </is>
      </c>
      <c r="W469" t="inlineStr">
        <is>
          <t>https://nvd.nist.gov/vuln/detail/CVE-2026-26980</t>
        </is>
      </c>
      <c r="X469" t="inlineStr">
        <is>
          <t>NONE</t>
        </is>
      </c>
      <c r="Y469" t="n">
        <v>0</v>
      </c>
      <c r="Z469" t="inlineStr"/>
      <c r="AA469" t="inlineStr">
        <is>
          <t>https://nvd.nist.gov/vuln/detail/CVE-2026-26980</t>
        </is>
      </c>
    </row>
    <row r="470">
      <c r="A470" t="inlineStr">
        <is>
          <t>CVE</t>
        </is>
      </c>
      <c r="B470" t="inlineStr">
        <is>
          <t>CVE-2026-26987</t>
        </is>
      </c>
      <c r="C470" t="inlineStr">
        <is>
          <t>LibreNMS is an auto-discovering PHP/MySQL/SNMP based network monitoring tool. Versions 25.12.0 and below are vulnerable to  Reflected XSS attacks via email field. This issue has been fixed in version 26.2.0.</t>
        </is>
      </c>
      <c r="D470" t="n">
        <v>6.1</v>
      </c>
      <c r="E470" t="inlineStr">
        <is>
          <t>MEDIUM</t>
        </is>
      </c>
      <c r="F470" t="n">
        <v>2</v>
      </c>
      <c r="G470" t="n">
        <v>2</v>
      </c>
      <c r="H470" t="inlineStr">
        <is>
          <t>MEDIUM</t>
        </is>
      </c>
      <c r="I470" t="n">
        <v>10.1</v>
      </c>
      <c r="J470" t="inlineStr">
        <is>
          <t>NO</t>
        </is>
      </c>
      <c r="K470" t="inlineStr">
        <is>
          <t>2026-02-26 00:15</t>
        </is>
      </c>
      <c r="L470" t="inlineStr">
        <is>
          <t>YES</t>
        </is>
      </c>
      <c r="M470" t="inlineStr">
        <is>
          <t>librenms librenms *</t>
        </is>
      </c>
      <c r="N470" t="inlineStr">
        <is>
          <t>P4</t>
        </is>
      </c>
      <c r="O470" t="inlineStr">
        <is>
          <t>CVE - IP enrichment n/a</t>
        </is>
      </c>
      <c r="P470" t="n">
        <v>0</v>
      </c>
      <c r="Q470" t="n">
        <v>0</v>
      </c>
      <c r="R470" t="inlineStr">
        <is>
          <t>T1189:Drive-by Compromise</t>
        </is>
      </c>
      <c r="S470" t="n">
        <v>1</v>
      </c>
      <c r="T470" t="inlineStr">
        <is>
          <t>LOW (40%)</t>
        </is>
      </c>
      <c r="U470" t="inlineStr">
        <is>
          <t>UNLIKELY</t>
        </is>
      </c>
      <c r="V470" t="inlineStr">
        <is>
          <t>PATCH_AVAILABLE</t>
        </is>
      </c>
      <c r="W470" t="inlineStr">
        <is>
          <t>https://nvd.nist.gov/vuln/detail/CVE-2026-26987</t>
        </is>
      </c>
      <c r="X470" t="inlineStr">
        <is>
          <t>NONE</t>
        </is>
      </c>
      <c r="Y470" t="n">
        <v>0</v>
      </c>
      <c r="Z470" t="inlineStr"/>
      <c r="AA470" t="inlineStr">
        <is>
          <t>https://nvd.nist.gov/vuln/detail/CVE-2026-26987</t>
        </is>
      </c>
    </row>
    <row r="471">
      <c r="A471" t="inlineStr">
        <is>
          <t>CVE</t>
        </is>
      </c>
      <c r="B471" t="inlineStr">
        <is>
          <t>CVE-2026-26988</t>
        </is>
      </c>
      <c r="C471" t="inlineStr">
        <is>
          <t>LibreNMS is an auto-discovering PHP/MySQL/SNMP based network monitoring tool. Versions 25.12.0 and below contain an SQL Injection vulnerability in the ajax_table.php endpoint. The application fails to properly sanitize or parameterize user input when processing IPv6 address searches. Specifically, the address parameter is split into an address and a prefix, and the prefix portion is directly concatenated into the SQL query string without validation. This allows an attacker to inject arbitrary SQ</t>
        </is>
      </c>
      <c r="D471" t="n">
        <v>9.1</v>
      </c>
      <c r="E471" t="inlineStr">
        <is>
          <t>CRITICAL</t>
        </is>
      </c>
      <c r="F471" t="n">
        <v>2</v>
      </c>
      <c r="G471" t="n">
        <v>3</v>
      </c>
      <c r="H471" t="inlineStr">
        <is>
          <t>HIGH</t>
        </is>
      </c>
      <c r="I471" t="n">
        <v>15.1</v>
      </c>
      <c r="J471" t="inlineStr">
        <is>
          <t>NO</t>
        </is>
      </c>
      <c r="K471" t="inlineStr">
        <is>
          <t>2026-02-26 00:15</t>
        </is>
      </c>
      <c r="L471" t="inlineStr">
        <is>
          <t>YES</t>
        </is>
      </c>
      <c r="M471" t="inlineStr">
        <is>
          <t>librenms librenms *</t>
        </is>
      </c>
      <c r="N471" t="inlineStr">
        <is>
          <t>P3</t>
        </is>
      </c>
      <c r="O471" t="inlineStr">
        <is>
          <t>CVE - IP enrichment n/a</t>
        </is>
      </c>
      <c r="P471" t="n">
        <v>0</v>
      </c>
      <c r="Q471" t="n">
        <v>0</v>
      </c>
      <c r="R471" t="inlineStr">
        <is>
          <t>T1190:Exploit Public-Facing Application</t>
        </is>
      </c>
      <c r="S471" t="n">
        <v>1</v>
      </c>
      <c r="T471" t="inlineStr">
        <is>
          <t>LOW (40%)</t>
        </is>
      </c>
      <c r="U471" t="inlineStr">
        <is>
          <t>UNLIKELY</t>
        </is>
      </c>
      <c r="V471" t="inlineStr">
        <is>
          <t>PATCH_AVAILABLE</t>
        </is>
      </c>
      <c r="W471" t="inlineStr">
        <is>
          <t>https://nvd.nist.gov/vuln/detail/CVE-2026-26988</t>
        </is>
      </c>
      <c r="X471" t="inlineStr">
        <is>
          <t>NONE</t>
        </is>
      </c>
      <c r="Y471" t="n">
        <v>0</v>
      </c>
      <c r="Z471" t="inlineStr"/>
      <c r="AA471" t="inlineStr">
        <is>
          <t>https://nvd.nist.gov/vuln/detail/CVE-2026-26988</t>
        </is>
      </c>
    </row>
    <row r="472">
      <c r="A472" t="inlineStr">
        <is>
          <t>CVE</t>
        </is>
      </c>
      <c r="B472" t="inlineStr">
        <is>
          <t>CVE-2026-26989</t>
        </is>
      </c>
      <c r="C472" t="inlineStr">
        <is>
          <t>LibreNMS is an auto-discovering PHP/MySQL/SNMP based network monitoring tool. Versions 25.12.0 and below are affected by a Stored Cross-Site Scripting (XSS) vulnerability in the Alert Rules workflow. An attacker with administrative privileges can inject malicious scripts that execute in the browser context of any user who accesses the Alert Rules page. This issue has been fixed in version 26.2.0.</t>
        </is>
      </c>
      <c r="D472" t="n">
        <v>4.3</v>
      </c>
      <c r="E472" t="inlineStr">
        <is>
          <t>MEDIUM</t>
        </is>
      </c>
      <c r="F472" t="n">
        <v>2</v>
      </c>
      <c r="G472" t="n">
        <v>2</v>
      </c>
      <c r="H472" t="inlineStr">
        <is>
          <t>MEDIUM</t>
        </is>
      </c>
      <c r="I472" t="n">
        <v>8.300000000000001</v>
      </c>
      <c r="J472" t="inlineStr">
        <is>
          <t>NO</t>
        </is>
      </c>
      <c r="K472" t="inlineStr">
        <is>
          <t>2026-02-26 00:15</t>
        </is>
      </c>
      <c r="L472" t="inlineStr">
        <is>
          <t>YES</t>
        </is>
      </c>
      <c r="M472" t="inlineStr">
        <is>
          <t>librenms librenms *</t>
        </is>
      </c>
      <c r="N472" t="inlineStr">
        <is>
          <t>P4</t>
        </is>
      </c>
      <c r="O472" t="inlineStr">
        <is>
          <t>CVE - IP enrichment n/a</t>
        </is>
      </c>
      <c r="P472" t="n">
        <v>0</v>
      </c>
      <c r="Q472" t="n">
        <v>0</v>
      </c>
      <c r="R472" t="inlineStr">
        <is>
          <t>T1189:Drive-by Compromise</t>
        </is>
      </c>
      <c r="S472" t="n">
        <v>1</v>
      </c>
      <c r="T472" t="inlineStr">
        <is>
          <t>LOW (40%)</t>
        </is>
      </c>
      <c r="U472" t="inlineStr">
        <is>
          <t>UNLIKELY</t>
        </is>
      </c>
      <c r="V472" t="inlineStr">
        <is>
          <t>PATCH_AVAILABLE</t>
        </is>
      </c>
      <c r="W472" t="inlineStr">
        <is>
          <t>https://nvd.nist.gov/vuln/detail/CVE-2026-26989</t>
        </is>
      </c>
      <c r="X472" t="inlineStr">
        <is>
          <t>NONE</t>
        </is>
      </c>
      <c r="Y472" t="n">
        <v>0</v>
      </c>
      <c r="Z472" t="inlineStr"/>
      <c r="AA472" t="inlineStr">
        <is>
          <t>https://nvd.nist.gov/vuln/detail/CVE-2026-26989</t>
        </is>
      </c>
    </row>
    <row r="473">
      <c r="A473" t="inlineStr">
        <is>
          <t>CVE</t>
        </is>
      </c>
      <c r="B473" t="inlineStr">
        <is>
          <t>CVE-2026-26990</t>
        </is>
      </c>
      <c r="C473" t="inlineStr">
        <is>
          <t>LibreNMS is an auto-discovering PHP/MySQL/SNMP based network monitoring tool. Versions 25.12.0 and below have a Time-Based Blind SQL Injection vulnerability in address-search.inc.php via the address parameter. When a crafted subnet prefix is supplied, the prefix value is concatenated directly into an SQL query without proper parameter binding, allowing an attacker to manipulate query logic and infer database information through time-based conditional responses. This vulnerability requires authen</t>
        </is>
      </c>
      <c r="D473" t="n">
        <v>8.800000000000001</v>
      </c>
      <c r="E473" t="inlineStr">
        <is>
          <t>HIGH</t>
        </is>
      </c>
      <c r="F473" t="n">
        <v>2</v>
      </c>
      <c r="G473" t="n">
        <v>3</v>
      </c>
      <c r="H473" t="inlineStr">
        <is>
          <t>HIGH</t>
        </is>
      </c>
      <c r="I473" t="n">
        <v>14.8</v>
      </c>
      <c r="J473" t="inlineStr">
        <is>
          <t>NO</t>
        </is>
      </c>
      <c r="K473" t="inlineStr">
        <is>
          <t>2026-02-26 00:15</t>
        </is>
      </c>
      <c r="L473" t="inlineStr">
        <is>
          <t>YES</t>
        </is>
      </c>
      <c r="M473" t="inlineStr">
        <is>
          <t>librenms librenms *</t>
        </is>
      </c>
      <c r="N473" t="inlineStr">
        <is>
          <t>P3</t>
        </is>
      </c>
      <c r="O473" t="inlineStr">
        <is>
          <t>CVE - IP enrichment n/a</t>
        </is>
      </c>
      <c r="P473" t="n">
        <v>0</v>
      </c>
      <c r="Q473" t="n">
        <v>0</v>
      </c>
      <c r="R473" t="inlineStr">
        <is>
          <t>T1190:Exploit Public-Facing Application</t>
        </is>
      </c>
      <c r="S473" t="n">
        <v>1</v>
      </c>
      <c r="T473" t="inlineStr">
        <is>
          <t>LOW (40%)</t>
        </is>
      </c>
      <c r="U473" t="inlineStr">
        <is>
          <t>UNLIKELY</t>
        </is>
      </c>
      <c r="V473" t="inlineStr">
        <is>
          <t>PATCH_AVAILABLE</t>
        </is>
      </c>
      <c r="W473" t="inlineStr">
        <is>
          <t>https://nvd.nist.gov/vuln/detail/CVE-2026-26990</t>
        </is>
      </c>
      <c r="X473" t="inlineStr">
        <is>
          <t>NONE</t>
        </is>
      </c>
      <c r="Y473" t="n">
        <v>0</v>
      </c>
      <c r="Z473" t="inlineStr"/>
      <c r="AA473" t="inlineStr">
        <is>
          <t>https://nvd.nist.gov/vuln/detail/CVE-2026-26990</t>
        </is>
      </c>
    </row>
    <row r="474">
      <c r="A474" t="inlineStr">
        <is>
          <t>CVE</t>
        </is>
      </c>
      <c r="B474" t="inlineStr">
        <is>
          <t>CVE-2026-27016</t>
        </is>
      </c>
      <c r="C474" t="inlineStr">
        <is>
          <t>LibreNMS is an auto-discovering PHP/MySQL/SNMP based network monitoring tool. Versions 24.10.0 through 26.1.1 are vulnerable to Stored XSS via the unit parameter in Custom OID. The Custom OID functionality lacks strip_tags() sanitization while other fields (name, oid, datatype) are sanitized. The unsanitized value is stored in the database and rendered without HTML escaping. This issue is fixed in version 26.2.0.</t>
        </is>
      </c>
      <c r="D474" t="n">
        <v>5.4</v>
      </c>
      <c r="E474" t="inlineStr">
        <is>
          <t>MEDIUM</t>
        </is>
      </c>
      <c r="F474" t="n">
        <v>2</v>
      </c>
      <c r="G474" t="n">
        <v>2</v>
      </c>
      <c r="H474" t="inlineStr">
        <is>
          <t>MEDIUM</t>
        </is>
      </c>
      <c r="I474" t="n">
        <v>9.4</v>
      </c>
      <c r="J474" t="inlineStr">
        <is>
          <t>NO</t>
        </is>
      </c>
      <c r="K474" t="inlineStr">
        <is>
          <t>2026-02-26 00:15</t>
        </is>
      </c>
      <c r="L474" t="inlineStr">
        <is>
          <t>YES</t>
        </is>
      </c>
      <c r="M474" t="inlineStr">
        <is>
          <t>librenms librenms *</t>
        </is>
      </c>
      <c r="N474" t="inlineStr">
        <is>
          <t>P4</t>
        </is>
      </c>
      <c r="O474" t="inlineStr">
        <is>
          <t>CVE - IP enrichment n/a</t>
        </is>
      </c>
      <c r="P474" t="n">
        <v>0</v>
      </c>
      <c r="Q474" t="n">
        <v>0</v>
      </c>
      <c r="R474" t="inlineStr">
        <is>
          <t>T1189:Drive-by Compromise</t>
        </is>
      </c>
      <c r="S474" t="n">
        <v>1</v>
      </c>
      <c r="T474" t="inlineStr">
        <is>
          <t>LOW (40%)</t>
        </is>
      </c>
      <c r="U474" t="inlineStr">
        <is>
          <t>UNLIKELY</t>
        </is>
      </c>
      <c r="V474" t="inlineStr">
        <is>
          <t>PATCH_AVAILABLE</t>
        </is>
      </c>
      <c r="W474" t="inlineStr">
        <is>
          <t>https://nvd.nist.gov/vuln/detail/CVE-2026-27016</t>
        </is>
      </c>
      <c r="X474" t="inlineStr">
        <is>
          <t>NONE</t>
        </is>
      </c>
      <c r="Y474" t="n">
        <v>0</v>
      </c>
      <c r="Z474" t="inlineStr"/>
      <c r="AA474" t="inlineStr">
        <is>
          <t>https://nvd.nist.gov/vuln/detail/CVE-2026-27016</t>
        </is>
      </c>
    </row>
    <row r="475">
      <c r="A475" t="inlineStr">
        <is>
          <t>CVE</t>
        </is>
      </c>
      <c r="B475" t="inlineStr">
        <is>
          <t>CVE-2026-2819</t>
        </is>
      </c>
      <c r="C475" t="inlineStr">
        <is>
          <t>A vulnerability was identified in Dromara RuoYi-Vue-Plus up to 5.5.3. This vulnerability affects the function SaServletFilter of the file /workflow/instance/deleteByInstanceIds of the component Workflow Module. The manipulation leads to missing authorization. The attack may be initiated remotely. The exploit is publicly available and might be used. The vendor was contacted early about this disclosure but did not respond in any way.</t>
        </is>
      </c>
      <c r="D475" t="n">
        <v>6.3</v>
      </c>
      <c r="E475" t="inlineStr">
        <is>
          <t>MEDIUM</t>
        </is>
      </c>
      <c r="F475" t="n">
        <v>2</v>
      </c>
      <c r="G475" t="n">
        <v>2</v>
      </c>
      <c r="H475" t="inlineStr">
        <is>
          <t>MEDIUM</t>
        </is>
      </c>
      <c r="I475" t="n">
        <v>10.3</v>
      </c>
      <c r="J475" t="inlineStr">
        <is>
          <t>NO</t>
        </is>
      </c>
      <c r="K475" t="inlineStr">
        <is>
          <t>2026-02-26 00:15</t>
        </is>
      </c>
      <c r="L475" t="inlineStr">
        <is>
          <t>CHECK_VENDOR</t>
        </is>
      </c>
      <c r="M475" t="inlineStr">
        <is>
          <t>See CVE details</t>
        </is>
      </c>
      <c r="N475" t="inlineStr">
        <is>
          <t>P4</t>
        </is>
      </c>
      <c r="O475" t="inlineStr">
        <is>
          <t>CVE - IP enrichment n/a</t>
        </is>
      </c>
      <c r="P475" t="n">
        <v>0</v>
      </c>
      <c r="Q475" t="n">
        <v>0</v>
      </c>
      <c r="R475" t="inlineStr">
        <is>
          <t>T1190:Exploit Public-Facing Application</t>
        </is>
      </c>
      <c r="S475" t="n">
        <v>1</v>
      </c>
      <c r="T475" t="inlineStr">
        <is>
          <t>LOW (40%)</t>
        </is>
      </c>
      <c r="U475" t="inlineStr">
        <is>
          <t>UNLIKELY</t>
        </is>
      </c>
      <c r="V475" t="inlineStr">
        <is>
          <t>CHECK_VENDOR</t>
        </is>
      </c>
      <c r="W475" t="inlineStr">
        <is>
          <t>https://nvd.nist.gov/vuln/detail/CVE-2026-2819</t>
        </is>
      </c>
      <c r="X475" t="inlineStr">
        <is>
          <t>NONE</t>
        </is>
      </c>
      <c r="Y475" t="n">
        <v>0</v>
      </c>
      <c r="Z475" t="inlineStr"/>
      <c r="AA475" t="inlineStr">
        <is>
          <t>https://nvd.nist.gov/vuln/detail/CVE-2026-2819</t>
        </is>
      </c>
    </row>
    <row r="476">
      <c r="A476" t="inlineStr">
        <is>
          <t>CVE</t>
        </is>
      </c>
      <c r="B476" t="inlineStr">
        <is>
          <t>CVE-2026-2820</t>
        </is>
      </c>
      <c r="C476" t="inlineStr">
        <is>
          <t>A security flaw has been discovered in Fujian Smart Integrated Management Platform System up to 7.5. This issue affects some unknown processing of the file /Module/CRXT/Controller/XAccessPermissionPlus.ashx. The manipulation of the argument DeviceIDS results in sql injection. The attack may be launched remotely. The exploit has been released to the public and may be used for attacks.</t>
        </is>
      </c>
      <c r="D476" t="n">
        <v>7.3</v>
      </c>
      <c r="E476" t="inlineStr">
        <is>
          <t>HIGH</t>
        </is>
      </c>
      <c r="F476" t="n">
        <v>2</v>
      </c>
      <c r="G476" t="n">
        <v>3</v>
      </c>
      <c r="H476" t="inlineStr">
        <is>
          <t>HIGH</t>
        </is>
      </c>
      <c r="I476" t="n">
        <v>13.3</v>
      </c>
      <c r="J476" t="inlineStr">
        <is>
          <t>NO</t>
        </is>
      </c>
      <c r="K476" t="inlineStr">
        <is>
          <t>2026-02-26 00:15</t>
        </is>
      </c>
      <c r="L476" t="inlineStr">
        <is>
          <t>CHECK_VENDOR</t>
        </is>
      </c>
      <c r="M476" t="inlineStr">
        <is>
          <t>See CVE details</t>
        </is>
      </c>
      <c r="N476" t="inlineStr">
        <is>
          <t>P3</t>
        </is>
      </c>
      <c r="O476" t="inlineStr">
        <is>
          <t>CVE - IP enrichment n/a</t>
        </is>
      </c>
      <c r="P476" t="n">
        <v>0</v>
      </c>
      <c r="Q476" t="n">
        <v>0</v>
      </c>
      <c r="R476" t="inlineStr">
        <is>
          <t>T1190:Exploit Public-Facing Application</t>
        </is>
      </c>
      <c r="S476" t="n">
        <v>1</v>
      </c>
      <c r="T476" t="inlineStr">
        <is>
          <t>LOW (40%)</t>
        </is>
      </c>
      <c r="U476" t="inlineStr">
        <is>
          <t>UNLIKELY</t>
        </is>
      </c>
      <c r="V476" t="inlineStr">
        <is>
          <t>CHECK_VENDOR</t>
        </is>
      </c>
      <c r="W476" t="inlineStr">
        <is>
          <t>https://nvd.nist.gov/vuln/detail/CVE-2026-2820</t>
        </is>
      </c>
      <c r="X476" t="inlineStr">
        <is>
          <t>NONE</t>
        </is>
      </c>
      <c r="Y476" t="n">
        <v>0</v>
      </c>
      <c r="Z476" t="inlineStr"/>
      <c r="AA476" t="inlineStr">
        <is>
          <t>https://nvd.nist.gov/vuln/detail/CVE-2026-2820</t>
        </is>
      </c>
    </row>
    <row r="477">
      <c r="A477" t="inlineStr">
        <is>
          <t>CVE</t>
        </is>
      </c>
      <c r="B477" t="inlineStr">
        <is>
          <t>CVE-2026-26991</t>
        </is>
      </c>
      <c r="C477" t="inlineStr">
        <is>
          <t xml:space="preserve">LibreNMS is an auto-discovering PHP/MySQL/SNMP based network monitoring tool. In versions 26.1.1 and below, the device group name is not sanitized, allowing attackers with admin privileges to perform Stored Cross-Site Scripting (XSS) attacks. When a user adds a device group, an HTTP POST request is sent to the Request-URI "/device-groups". The name of the newly created device group is stored in the value of the name parameter. After the device group is created, the entry is displayed along with </t>
        </is>
      </c>
      <c r="D477" t="n">
        <v>4.8</v>
      </c>
      <c r="E477" t="inlineStr">
        <is>
          <t>MEDIUM</t>
        </is>
      </c>
      <c r="F477" t="n">
        <v>2</v>
      </c>
      <c r="G477" t="n">
        <v>2</v>
      </c>
      <c r="H477" t="inlineStr">
        <is>
          <t>MEDIUM</t>
        </is>
      </c>
      <c r="I477" t="n">
        <v>8.800000000000001</v>
      </c>
      <c r="J477" t="inlineStr">
        <is>
          <t>NO</t>
        </is>
      </c>
      <c r="K477" t="inlineStr">
        <is>
          <t>2026-02-26 00:15</t>
        </is>
      </c>
      <c r="L477" t="inlineStr">
        <is>
          <t>YES</t>
        </is>
      </c>
      <c r="M477" t="inlineStr">
        <is>
          <t>librenms librenms *</t>
        </is>
      </c>
      <c r="N477" t="inlineStr">
        <is>
          <t>P4</t>
        </is>
      </c>
      <c r="O477" t="inlineStr">
        <is>
          <t>CVE - IP enrichment n/a</t>
        </is>
      </c>
      <c r="P477" t="n">
        <v>0</v>
      </c>
      <c r="Q477" t="n">
        <v>0</v>
      </c>
      <c r="R477" t="inlineStr">
        <is>
          <t>T1189:Drive-by Compromise</t>
        </is>
      </c>
      <c r="S477" t="n">
        <v>1</v>
      </c>
      <c r="T477" t="inlineStr">
        <is>
          <t>LOW (40%)</t>
        </is>
      </c>
      <c r="U477" t="inlineStr">
        <is>
          <t>UNLIKELY</t>
        </is>
      </c>
      <c r="V477" t="inlineStr">
        <is>
          <t>PATCH_AVAILABLE</t>
        </is>
      </c>
      <c r="W477" t="inlineStr">
        <is>
          <t>https://nvd.nist.gov/vuln/detail/CVE-2026-26991</t>
        </is>
      </c>
      <c r="X477" t="inlineStr">
        <is>
          <t>NONE</t>
        </is>
      </c>
      <c r="Y477" t="n">
        <v>0</v>
      </c>
      <c r="Z477" t="inlineStr"/>
      <c r="AA477" t="inlineStr">
        <is>
          <t>https://nvd.nist.gov/vuln/detail/CVE-2026-26991</t>
        </is>
      </c>
    </row>
    <row r="478">
      <c r="A478" t="inlineStr">
        <is>
          <t>CVE</t>
        </is>
      </c>
      <c r="B478" t="inlineStr">
        <is>
          <t>CVE-2026-26992</t>
        </is>
      </c>
      <c r="C478" t="inlineStr">
        <is>
          <t>LibreNMS is an auto-discovering PHP/MySQL/SNMP based network monitoring tool. In versions 26.1.1 and below, the port group name is not sanitized, allowing attackers with admin privileges to perform Stored Cross-Site Scripting (XSS) attacks. When a user adds a port group, an HTTP POST request is sent to the Request-URI "/port-groups". The name of the newly created port group is stored in the value of the name parameter. After the port group is created, the entry is displayed along with relevant b</t>
        </is>
      </c>
      <c r="D478" t="n">
        <v>4.8</v>
      </c>
      <c r="E478" t="inlineStr">
        <is>
          <t>MEDIUM</t>
        </is>
      </c>
      <c r="F478" t="n">
        <v>2</v>
      </c>
      <c r="G478" t="n">
        <v>2</v>
      </c>
      <c r="H478" t="inlineStr">
        <is>
          <t>MEDIUM</t>
        </is>
      </c>
      <c r="I478" t="n">
        <v>8.800000000000001</v>
      </c>
      <c r="J478" t="inlineStr">
        <is>
          <t>NO</t>
        </is>
      </c>
      <c r="K478" t="inlineStr">
        <is>
          <t>2026-02-26 00:15</t>
        </is>
      </c>
      <c r="L478" t="inlineStr">
        <is>
          <t>YES</t>
        </is>
      </c>
      <c r="M478" t="inlineStr">
        <is>
          <t>librenms librenms *</t>
        </is>
      </c>
      <c r="N478" t="inlineStr">
        <is>
          <t>P4</t>
        </is>
      </c>
      <c r="O478" t="inlineStr">
        <is>
          <t>CVE - IP enrichment n/a</t>
        </is>
      </c>
      <c r="P478" t="n">
        <v>0</v>
      </c>
      <c r="Q478" t="n">
        <v>0</v>
      </c>
      <c r="R478" t="inlineStr">
        <is>
          <t>T1189:Drive-by Compromise</t>
        </is>
      </c>
      <c r="S478" t="n">
        <v>1</v>
      </c>
      <c r="T478" t="inlineStr">
        <is>
          <t>LOW (40%)</t>
        </is>
      </c>
      <c r="U478" t="inlineStr">
        <is>
          <t>UNLIKELY</t>
        </is>
      </c>
      <c r="V478" t="inlineStr">
        <is>
          <t>PATCH_AVAILABLE</t>
        </is>
      </c>
      <c r="W478" t="inlineStr">
        <is>
          <t>https://nvd.nist.gov/vuln/detail/CVE-2026-26992</t>
        </is>
      </c>
      <c r="X478" t="inlineStr">
        <is>
          <t>NONE</t>
        </is>
      </c>
      <c r="Y478" t="n">
        <v>0</v>
      </c>
      <c r="Z478" t="inlineStr"/>
      <c r="AA478" t="inlineStr">
        <is>
          <t>https://nvd.nist.gov/vuln/detail/CVE-2026-26992</t>
        </is>
      </c>
    </row>
    <row r="479">
      <c r="A479" t="inlineStr">
        <is>
          <t>CVE</t>
        </is>
      </c>
      <c r="B479" t="inlineStr">
        <is>
          <t>CVE-2026-26993</t>
        </is>
      </c>
      <c r="C479" t="inlineStr">
        <is>
          <t>Flare is a Next.js-based, self-hostable file sharing platform that integrates with screenshot tools. Versions 1.7.0 and below allow users to upload files without proper content validation or sanitization. By embedding malicious JavaScript within an SVG (or other active content formats such as HTML or XML), an attacker can achieve script execution in the context of the application's origin when a victim views the file in “raw” mode. This results in a stored Cross-Site Scripting (XSS) vulnerabilit</t>
        </is>
      </c>
      <c r="D479" t="n">
        <v>4.6</v>
      </c>
      <c r="E479" t="inlineStr">
        <is>
          <t>MEDIUM</t>
        </is>
      </c>
      <c r="F479" t="n">
        <v>2</v>
      </c>
      <c r="G479" t="n">
        <v>2</v>
      </c>
      <c r="H479" t="inlineStr">
        <is>
          <t>MEDIUM</t>
        </is>
      </c>
      <c r="I479" t="n">
        <v>8.6</v>
      </c>
      <c r="J479" t="inlineStr">
        <is>
          <t>NO</t>
        </is>
      </c>
      <c r="K479" t="inlineStr">
        <is>
          <t>2026-02-26 00:15</t>
        </is>
      </c>
      <c r="L479" t="inlineStr">
        <is>
          <t>CHECK_VENDOR</t>
        </is>
      </c>
      <c r="M479" t="inlineStr">
        <is>
          <t>See CVE details</t>
        </is>
      </c>
      <c r="N479" t="inlineStr">
        <is>
          <t>P4</t>
        </is>
      </c>
      <c r="O479" t="inlineStr">
        <is>
          <t>CVE - IP enrichment n/a</t>
        </is>
      </c>
      <c r="P479" t="n">
        <v>0.0001</v>
      </c>
      <c r="Q479" t="n">
        <v>0.0103</v>
      </c>
      <c r="R479" t="inlineStr">
        <is>
          <t>T1189:Drive-by Compromise</t>
        </is>
      </c>
      <c r="S479" t="n">
        <v>1</v>
      </c>
      <c r="T479" t="inlineStr">
        <is>
          <t>LOW (40%)</t>
        </is>
      </c>
      <c r="U479" t="inlineStr">
        <is>
          <t>UNLIKELY</t>
        </is>
      </c>
      <c r="V479" t="inlineStr">
        <is>
          <t>CHECK_VENDOR</t>
        </is>
      </c>
      <c r="W479" t="inlineStr">
        <is>
          <t>https://nvd.nist.gov/vuln/detail/CVE-2026-26993</t>
        </is>
      </c>
      <c r="X479" t="inlineStr">
        <is>
          <t>NONE</t>
        </is>
      </c>
      <c r="Y479" t="n">
        <v>0</v>
      </c>
      <c r="Z479" t="inlineStr"/>
      <c r="AA479" t="inlineStr">
        <is>
          <t>https://nvd.nist.gov/vuln/detail/CVE-2026-26993</t>
        </is>
      </c>
    </row>
    <row r="480">
      <c r="A480" t="inlineStr">
        <is>
          <t>CVE</t>
        </is>
      </c>
      <c r="B480" t="inlineStr">
        <is>
          <t>CVE-2026-26994</t>
        </is>
      </c>
      <c r="C480" t="inlineStr">
        <is>
          <t>uTLS is a fork of crypto/tls, created to customize ClientHello for fingerprinting resistance while still using it for the handshake. In versions 1.6.7 and below, uTLS did not implement the TLS 1.3 downgrade protection mechanism specified in RFC 8446 Section 4.1.3 when using a uTLS ClientHello spec. This allowed an active network adversary to downgrade TLS 1.3 connections initiated by a uTLS client to a lower TLS version (e.g., TLS 1.2) by modifying the ClientHello message to exclude the Supporte</t>
        </is>
      </c>
      <c r="D480" t="n">
        <v>6.5</v>
      </c>
      <c r="E480" t="inlineStr">
        <is>
          <t>MEDIUM</t>
        </is>
      </c>
      <c r="F480" t="n">
        <v>2</v>
      </c>
      <c r="G480" t="n">
        <v>2</v>
      </c>
      <c r="H480" t="inlineStr">
        <is>
          <t>MEDIUM</t>
        </is>
      </c>
      <c r="I480" t="n">
        <v>10.5</v>
      </c>
      <c r="J480" t="inlineStr">
        <is>
          <t>NO</t>
        </is>
      </c>
      <c r="K480" t="inlineStr">
        <is>
          <t>2026-02-26 00:15</t>
        </is>
      </c>
      <c r="L480" t="inlineStr">
        <is>
          <t>YES</t>
        </is>
      </c>
      <c r="M480" t="inlineStr">
        <is>
          <t>refraction-networking utls *</t>
        </is>
      </c>
      <c r="N480" t="inlineStr">
        <is>
          <t>P4</t>
        </is>
      </c>
      <c r="O480" t="inlineStr">
        <is>
          <t>CVE - IP enrichment n/a</t>
        </is>
      </c>
      <c r="P480" t="n">
        <v>0</v>
      </c>
      <c r="Q480" t="n">
        <v>0</v>
      </c>
      <c r="R480" t="inlineStr">
        <is>
          <t>T1190:Exploit Public-Facing Application</t>
        </is>
      </c>
      <c r="S480" t="n">
        <v>1</v>
      </c>
      <c r="T480" t="inlineStr">
        <is>
          <t>LOW (40%)</t>
        </is>
      </c>
      <c r="U480" t="inlineStr">
        <is>
          <t>UNLIKELY</t>
        </is>
      </c>
      <c r="V480" t="inlineStr">
        <is>
          <t>PATCH_AVAILABLE</t>
        </is>
      </c>
      <c r="W480" t="inlineStr">
        <is>
          <t>https://nvd.nist.gov/vuln/detail/CVE-2026-26994</t>
        </is>
      </c>
      <c r="X480" t="inlineStr">
        <is>
          <t>NONE</t>
        </is>
      </c>
      <c r="Y480" t="n">
        <v>0</v>
      </c>
      <c r="Z480" t="inlineStr"/>
      <c r="AA480" t="inlineStr">
        <is>
          <t>https://nvd.nist.gov/vuln/detail/CVE-2026-26994</t>
        </is>
      </c>
    </row>
    <row r="481">
      <c r="A481" t="inlineStr">
        <is>
          <t>CVE</t>
        </is>
      </c>
      <c r="B481" t="inlineStr">
        <is>
          <t>CVE-2026-26995</t>
        </is>
      </c>
      <c r="C481" t="inlineStr">
        <is>
          <t>Rejected reason: Further research determined the issue is an external dependency vulnerability.</t>
        </is>
      </c>
      <c r="D481" t="n">
        <v>5</v>
      </c>
      <c r="E481" t="inlineStr">
        <is>
          <t>MEDIUM</t>
        </is>
      </c>
      <c r="F481" t="n">
        <v>2</v>
      </c>
      <c r="G481" t="n">
        <v>2</v>
      </c>
      <c r="H481" t="inlineStr">
        <is>
          <t>MEDIUM</t>
        </is>
      </c>
      <c r="I481" t="n">
        <v>9</v>
      </c>
      <c r="J481" t="inlineStr">
        <is>
          <t>NO</t>
        </is>
      </c>
      <c r="K481" t="inlineStr">
        <is>
          <t>2026-02-26 00:15</t>
        </is>
      </c>
      <c r="L481" t="inlineStr">
        <is>
          <t>CHECK_VENDOR</t>
        </is>
      </c>
      <c r="M481" t="inlineStr">
        <is>
          <t>See CVE details</t>
        </is>
      </c>
      <c r="N481" t="inlineStr">
        <is>
          <t>P4</t>
        </is>
      </c>
      <c r="O481" t="inlineStr">
        <is>
          <t>CVE - IP enrichment n/a</t>
        </is>
      </c>
      <c r="P481" t="n">
        <v>0</v>
      </c>
      <c r="Q481" t="n">
        <v>0</v>
      </c>
      <c r="R481" t="inlineStr">
        <is>
          <t>T1190:Exploit Public-Facing Application</t>
        </is>
      </c>
      <c r="S481" t="n">
        <v>1</v>
      </c>
      <c r="T481" t="inlineStr">
        <is>
          <t>LOW (40%)</t>
        </is>
      </c>
      <c r="U481" t="inlineStr">
        <is>
          <t>UNLIKELY</t>
        </is>
      </c>
      <c r="V481" t="inlineStr">
        <is>
          <t>CHECK_VENDOR</t>
        </is>
      </c>
      <c r="W481" t="inlineStr">
        <is>
          <t>https://nvd.nist.gov/vuln/detail/CVE-2026-26995</t>
        </is>
      </c>
      <c r="X481" t="inlineStr">
        <is>
          <t>NONE</t>
        </is>
      </c>
      <c r="Y481" t="n">
        <v>0</v>
      </c>
      <c r="Z481" t="inlineStr"/>
      <c r="AA481" t="inlineStr">
        <is>
          <t>https://nvd.nist.gov/vuln/detail/CVE-2026-26995</t>
        </is>
      </c>
    </row>
    <row r="482">
      <c r="A482" t="inlineStr">
        <is>
          <t>CVE</t>
        </is>
      </c>
      <c r="B482" t="inlineStr">
        <is>
          <t>CVE-2026-26996</t>
        </is>
      </c>
      <c r="C482" t="inlineStr">
        <is>
          <t xml:space="preserve">minimatch is a minimal matching utility for converting glob expressions into JavaScript RegExp objects. Versions 10.2.0 and below are vulnerable to Regular Expression Denial of Service (ReDoS) when a glob pattern contains many consecutive * wildcards followed by a literal character that doesn't appear in the test string. Each * compiles to a separate [^/]*? regex group, and when the match fails, V8's regex engine backtracks exponentially across all possible splits. The time complexity is O(4^N) </t>
        </is>
      </c>
      <c r="D482" t="n">
        <v>7.5</v>
      </c>
      <c r="E482" t="inlineStr">
        <is>
          <t>HIGH</t>
        </is>
      </c>
      <c r="F482" t="n">
        <v>2</v>
      </c>
      <c r="G482" t="n">
        <v>3</v>
      </c>
      <c r="H482" t="inlineStr">
        <is>
          <t>HIGH</t>
        </is>
      </c>
      <c r="I482" t="n">
        <v>13.5</v>
      </c>
      <c r="J482" t="inlineStr">
        <is>
          <t>NO</t>
        </is>
      </c>
      <c r="K482" t="inlineStr">
        <is>
          <t>2026-02-26 00:15</t>
        </is>
      </c>
      <c r="L482" t="inlineStr">
        <is>
          <t>YES</t>
        </is>
      </c>
      <c r="M482" t="inlineStr">
        <is>
          <t>minimatch_project minimatch *</t>
        </is>
      </c>
      <c r="N482" t="inlineStr">
        <is>
          <t>P3</t>
        </is>
      </c>
      <c r="O482" t="inlineStr">
        <is>
          <t>CVE - IP enrichment n/a</t>
        </is>
      </c>
      <c r="P482" t="n">
        <v>0</v>
      </c>
      <c r="Q482" t="n">
        <v>0</v>
      </c>
      <c r="R482" t="inlineStr">
        <is>
          <t>T1499:Endpoint Denial of Service</t>
        </is>
      </c>
      <c r="S482" t="n">
        <v>1</v>
      </c>
      <c r="T482" t="inlineStr">
        <is>
          <t>LOW (40%)</t>
        </is>
      </c>
      <c r="U482" t="inlineStr">
        <is>
          <t>UNLIKELY</t>
        </is>
      </c>
      <c r="V482" t="inlineStr">
        <is>
          <t>PATCH_AVAILABLE</t>
        </is>
      </c>
      <c r="W482" t="inlineStr">
        <is>
          <t>https://nvd.nist.gov/vuln/detail/CVE-2026-26996</t>
        </is>
      </c>
      <c r="X482" t="inlineStr">
        <is>
          <t>NONE</t>
        </is>
      </c>
      <c r="Y482" t="n">
        <v>0</v>
      </c>
      <c r="Z482" t="inlineStr"/>
      <c r="AA482" t="inlineStr">
        <is>
          <t>https://nvd.nist.gov/vuln/detail/CVE-2026-26996</t>
        </is>
      </c>
    </row>
    <row r="483">
      <c r="A483" t="inlineStr">
        <is>
          <t>CVE</t>
        </is>
      </c>
      <c r="B483" t="inlineStr">
        <is>
          <t>CVE-2026-27017</t>
        </is>
      </c>
      <c r="C483" t="inlineStr">
        <is>
          <t>uTLS is a fork of crypto/tls, created to customize ClientHello for fingerprinting resistance while still using it for the handshake. Versions 1.6.0 through 1.8.0 contain a fingerprint mismatch with Chrome when using GREASE ECH, related to cipher suite selection. When Chrome selects the preferred cipher suite in the outer ClientHello and for ECH, it does so consistently based on hardware support—for example, if it prefers AES for the outer cipher suite, it also uses AES for ECH. However, the Chro</t>
        </is>
      </c>
      <c r="D483" t="n">
        <v>5.3</v>
      </c>
      <c r="E483" t="inlineStr">
        <is>
          <t>MEDIUM</t>
        </is>
      </c>
      <c r="F483" t="n">
        <v>2</v>
      </c>
      <c r="G483" t="n">
        <v>2</v>
      </c>
      <c r="H483" t="inlineStr">
        <is>
          <t>MEDIUM</t>
        </is>
      </c>
      <c r="I483" t="n">
        <v>9.300000000000001</v>
      </c>
      <c r="J483" t="inlineStr">
        <is>
          <t>NO</t>
        </is>
      </c>
      <c r="K483" t="inlineStr">
        <is>
          <t>2026-02-26 00:15</t>
        </is>
      </c>
      <c r="L483" t="inlineStr">
        <is>
          <t>YES</t>
        </is>
      </c>
      <c r="M483" t="inlineStr">
        <is>
          <t>refraction-networking utls *</t>
        </is>
      </c>
      <c r="N483" t="inlineStr">
        <is>
          <t>P4</t>
        </is>
      </c>
      <c r="O483" t="inlineStr">
        <is>
          <t>CVE - IP enrichment n/a</t>
        </is>
      </c>
      <c r="P483" t="n">
        <v>0</v>
      </c>
      <c r="Q483" t="n">
        <v>0</v>
      </c>
      <c r="R483" t="inlineStr">
        <is>
          <t>T1190:Exploit Public-Facing Application</t>
        </is>
      </c>
      <c r="S483" t="n">
        <v>1</v>
      </c>
      <c r="T483" t="inlineStr">
        <is>
          <t>LOW (40%)</t>
        </is>
      </c>
      <c r="U483" t="inlineStr">
        <is>
          <t>UNLIKELY</t>
        </is>
      </c>
      <c r="V483" t="inlineStr">
        <is>
          <t>PATCH_AVAILABLE</t>
        </is>
      </c>
      <c r="W483" t="inlineStr">
        <is>
          <t>https://nvd.nist.gov/vuln/detail/CVE-2026-27017</t>
        </is>
      </c>
      <c r="X483" t="inlineStr">
        <is>
          <t>NONE</t>
        </is>
      </c>
      <c r="Y483" t="n">
        <v>0</v>
      </c>
      <c r="Z483" t="inlineStr"/>
      <c r="AA483" t="inlineStr">
        <is>
          <t>https://nvd.nist.gov/vuln/detail/CVE-2026-27017</t>
        </is>
      </c>
    </row>
    <row r="484">
      <c r="A484" t="inlineStr">
        <is>
          <t>CVE</t>
        </is>
      </c>
      <c r="B484" t="inlineStr">
        <is>
          <t>CVE-2026-2384</t>
        </is>
      </c>
      <c r="C484" t="inlineStr">
        <is>
          <t>The Quiz Maker plugin for WordPress is vulnerable to Stored Cross-Site Scripting via the plugin's `vc_quizmaker` shortcode in all versions up to, and including, 6.7.1.7 due to insufficient input sanitization and output escaping on user supplied attributes. This makes it possible for authenticated attackers, with contributor-level access and above, to inject arbitrary web scripts in pages that will execute whenever a user accesses an injected page.
Note: This vulnerability requires WPBakery Page</t>
        </is>
      </c>
      <c r="D484" t="n">
        <v>6.4</v>
      </c>
      <c r="E484" t="inlineStr">
        <is>
          <t>MEDIUM</t>
        </is>
      </c>
      <c r="F484" t="n">
        <v>2</v>
      </c>
      <c r="G484" t="n">
        <v>2</v>
      </c>
      <c r="H484" t="inlineStr">
        <is>
          <t>MEDIUM</t>
        </is>
      </c>
      <c r="I484" t="n">
        <v>10.4</v>
      </c>
      <c r="J484" t="inlineStr">
        <is>
          <t>NO</t>
        </is>
      </c>
      <c r="K484" t="inlineStr">
        <is>
          <t>2026-02-26 00:15</t>
        </is>
      </c>
      <c r="L484" t="inlineStr">
        <is>
          <t>CHECK_VENDOR</t>
        </is>
      </c>
      <c r="M484" t="inlineStr">
        <is>
          <t>See CVE details</t>
        </is>
      </c>
      <c r="N484" t="inlineStr">
        <is>
          <t>P4</t>
        </is>
      </c>
      <c r="O484" t="inlineStr">
        <is>
          <t>CVE - IP enrichment n/a</t>
        </is>
      </c>
      <c r="P484" t="n">
        <v>0</v>
      </c>
      <c r="Q484" t="n">
        <v>0</v>
      </c>
      <c r="R484" t="inlineStr">
        <is>
          <t>T1189:Drive-by Compromise</t>
        </is>
      </c>
      <c r="S484" t="n">
        <v>1</v>
      </c>
      <c r="T484" t="inlineStr">
        <is>
          <t>LOW (40%)</t>
        </is>
      </c>
      <c r="U484" t="inlineStr">
        <is>
          <t>UNLIKELY</t>
        </is>
      </c>
      <c r="V484" t="inlineStr">
        <is>
          <t>CHECK_VENDOR</t>
        </is>
      </c>
      <c r="W484" t="inlineStr">
        <is>
          <t>https://nvd.nist.gov/vuln/detail/CVE-2026-2384</t>
        </is>
      </c>
      <c r="X484" t="inlineStr">
        <is>
          <t>NONE</t>
        </is>
      </c>
      <c r="Y484" t="n">
        <v>0</v>
      </c>
      <c r="Z484" t="inlineStr"/>
      <c r="AA484" t="inlineStr">
        <is>
          <t>https://nvd.nist.gov/vuln/detail/CVE-2026-2384</t>
        </is>
      </c>
    </row>
    <row r="485">
      <c r="A485" t="inlineStr">
        <is>
          <t>CVE</t>
        </is>
      </c>
      <c r="B485" t="inlineStr">
        <is>
          <t>CVE-2026-2821</t>
        </is>
      </c>
      <c r="C485" t="inlineStr">
        <is>
          <t>A weakness has been identified in Fujian Smart Integrated Management Platform System up to 7.5. Impacted is an unknown function of the file /Module/CRXT/Controller/XCamera.ashx. This manipulation of the argument ChannelName causes sql injection. Remote exploitation of the attack is possible. The exploit has been made available to the public and could be used for attacks.</t>
        </is>
      </c>
      <c r="D485" t="n">
        <v>7.3</v>
      </c>
      <c r="E485" t="inlineStr">
        <is>
          <t>HIGH</t>
        </is>
      </c>
      <c r="F485" t="n">
        <v>2</v>
      </c>
      <c r="G485" t="n">
        <v>3</v>
      </c>
      <c r="H485" t="inlineStr">
        <is>
          <t>HIGH</t>
        </is>
      </c>
      <c r="I485" t="n">
        <v>13.3</v>
      </c>
      <c r="J485" t="inlineStr">
        <is>
          <t>NO</t>
        </is>
      </c>
      <c r="K485" t="inlineStr">
        <is>
          <t>2026-02-26 00:15</t>
        </is>
      </c>
      <c r="L485" t="inlineStr">
        <is>
          <t>CHECK_VENDOR</t>
        </is>
      </c>
      <c r="M485" t="inlineStr">
        <is>
          <t>See CVE details</t>
        </is>
      </c>
      <c r="N485" t="inlineStr">
        <is>
          <t>P3</t>
        </is>
      </c>
      <c r="O485" t="inlineStr">
        <is>
          <t>CVE - IP enrichment n/a</t>
        </is>
      </c>
      <c r="P485" t="n">
        <v>0</v>
      </c>
      <c r="Q485" t="n">
        <v>0</v>
      </c>
      <c r="R485" t="inlineStr">
        <is>
          <t>T1190:Exploit Public-Facing Application</t>
        </is>
      </c>
      <c r="S485" t="n">
        <v>1</v>
      </c>
      <c r="T485" t="inlineStr">
        <is>
          <t>LOW (40%)</t>
        </is>
      </c>
      <c r="U485" t="inlineStr">
        <is>
          <t>UNLIKELY</t>
        </is>
      </c>
      <c r="V485" t="inlineStr">
        <is>
          <t>CHECK_VENDOR</t>
        </is>
      </c>
      <c r="W485" t="inlineStr">
        <is>
          <t>https://nvd.nist.gov/vuln/detail/CVE-2026-2821</t>
        </is>
      </c>
      <c r="X485" t="inlineStr">
        <is>
          <t>NONE</t>
        </is>
      </c>
      <c r="Y485" t="n">
        <v>0</v>
      </c>
      <c r="Z485" t="inlineStr"/>
      <c r="AA485" t="inlineStr">
        <is>
          <t>https://nvd.nist.gov/vuln/detail/CVE-2026-2821</t>
        </is>
      </c>
    </row>
    <row r="486">
      <c r="A486" t="inlineStr">
        <is>
          <t>CVE</t>
        </is>
      </c>
      <c r="B486" t="inlineStr">
        <is>
          <t>CVE-2026-27317</t>
        </is>
      </c>
      <c r="C486" t="inlineStr">
        <is>
          <t>Rejected reason: Not used</t>
        </is>
      </c>
      <c r="D486" t="n">
        <v>5</v>
      </c>
      <c r="E486" t="inlineStr">
        <is>
          <t>MEDIUM</t>
        </is>
      </c>
      <c r="F486" t="n">
        <v>2</v>
      </c>
      <c r="G486" t="n">
        <v>2</v>
      </c>
      <c r="H486" t="inlineStr">
        <is>
          <t>MEDIUM</t>
        </is>
      </c>
      <c r="I486" t="n">
        <v>9</v>
      </c>
      <c r="J486" t="inlineStr">
        <is>
          <t>NO</t>
        </is>
      </c>
      <c r="K486" t="inlineStr">
        <is>
          <t>2026-02-26 00:15</t>
        </is>
      </c>
      <c r="L486" t="inlineStr">
        <is>
          <t>CHECK_VENDOR</t>
        </is>
      </c>
      <c r="M486" t="inlineStr">
        <is>
          <t>See CVE details</t>
        </is>
      </c>
      <c r="N486" t="inlineStr">
        <is>
          <t>P4</t>
        </is>
      </c>
      <c r="O486" t="inlineStr">
        <is>
          <t>CVE - IP enrichment n/a</t>
        </is>
      </c>
      <c r="P486" t="n">
        <v>0</v>
      </c>
      <c r="Q486" t="n">
        <v>0</v>
      </c>
      <c r="R486" t="inlineStr">
        <is>
          <t>T1190:Exploit Public-Facing Application</t>
        </is>
      </c>
      <c r="S486" t="n">
        <v>1</v>
      </c>
      <c r="T486" t="inlineStr">
        <is>
          <t>LOW (40%)</t>
        </is>
      </c>
      <c r="U486" t="inlineStr">
        <is>
          <t>UNLIKELY</t>
        </is>
      </c>
      <c r="V486" t="inlineStr">
        <is>
          <t>CHECK_VENDOR</t>
        </is>
      </c>
      <c r="W486" t="inlineStr">
        <is>
          <t>https://nvd.nist.gov/vuln/detail/CVE-2026-27317</t>
        </is>
      </c>
      <c r="X486" t="inlineStr">
        <is>
          <t>NONE</t>
        </is>
      </c>
      <c r="Y486" t="n">
        <v>0</v>
      </c>
      <c r="Z486" t="inlineStr"/>
      <c r="AA486" t="inlineStr">
        <is>
          <t>https://nvd.nist.gov/vuln/detail/CVE-2026-27317</t>
        </is>
      </c>
    </row>
    <row r="487">
      <c r="A487" t="inlineStr">
        <is>
          <t>CVE</t>
        </is>
      </c>
      <c r="B487" t="inlineStr">
        <is>
          <t>CVE-2026-27318</t>
        </is>
      </c>
      <c r="C487" t="inlineStr">
        <is>
          <t>Rejected reason: Not used</t>
        </is>
      </c>
      <c r="D487" t="n">
        <v>5</v>
      </c>
      <c r="E487" t="inlineStr">
        <is>
          <t>MEDIUM</t>
        </is>
      </c>
      <c r="F487" t="n">
        <v>2</v>
      </c>
      <c r="G487" t="n">
        <v>2</v>
      </c>
      <c r="H487" t="inlineStr">
        <is>
          <t>MEDIUM</t>
        </is>
      </c>
      <c r="I487" t="n">
        <v>9</v>
      </c>
      <c r="J487" t="inlineStr">
        <is>
          <t>NO</t>
        </is>
      </c>
      <c r="K487" t="inlineStr">
        <is>
          <t>2026-02-26 00:15</t>
        </is>
      </c>
      <c r="L487" t="inlineStr">
        <is>
          <t>CHECK_VENDOR</t>
        </is>
      </c>
      <c r="M487" t="inlineStr">
        <is>
          <t>See CVE details</t>
        </is>
      </c>
      <c r="N487" t="inlineStr">
        <is>
          <t>P4</t>
        </is>
      </c>
      <c r="O487" t="inlineStr">
        <is>
          <t>CVE - IP enrichment n/a</t>
        </is>
      </c>
      <c r="P487" t="n">
        <v>0</v>
      </c>
      <c r="Q487" t="n">
        <v>0</v>
      </c>
      <c r="R487" t="inlineStr">
        <is>
          <t>T1190:Exploit Public-Facing Application</t>
        </is>
      </c>
      <c r="S487" t="n">
        <v>1</v>
      </c>
      <c r="T487" t="inlineStr">
        <is>
          <t>LOW (40%)</t>
        </is>
      </c>
      <c r="U487" t="inlineStr">
        <is>
          <t>UNLIKELY</t>
        </is>
      </c>
      <c r="V487" t="inlineStr">
        <is>
          <t>CHECK_VENDOR</t>
        </is>
      </c>
      <c r="W487" t="inlineStr">
        <is>
          <t>https://nvd.nist.gov/vuln/detail/CVE-2026-27318</t>
        </is>
      </c>
      <c r="X487" t="inlineStr">
        <is>
          <t>NONE</t>
        </is>
      </c>
      <c r="Y487" t="n">
        <v>0</v>
      </c>
      <c r="Z487" t="inlineStr"/>
      <c r="AA487" t="inlineStr">
        <is>
          <t>https://nvd.nist.gov/vuln/detail/CVE-2026-27318</t>
        </is>
      </c>
    </row>
    <row r="488">
      <c r="A488" t="inlineStr">
        <is>
          <t>CVE</t>
        </is>
      </c>
      <c r="B488" t="inlineStr">
        <is>
          <t>CVE-2026-27319</t>
        </is>
      </c>
      <c r="C488" t="inlineStr">
        <is>
          <t>Rejected reason: Not used</t>
        </is>
      </c>
      <c r="D488" t="n">
        <v>5</v>
      </c>
      <c r="E488" t="inlineStr">
        <is>
          <t>MEDIUM</t>
        </is>
      </c>
      <c r="F488" t="n">
        <v>2</v>
      </c>
      <c r="G488" t="n">
        <v>2</v>
      </c>
      <c r="H488" t="inlineStr">
        <is>
          <t>MEDIUM</t>
        </is>
      </c>
      <c r="I488" t="n">
        <v>9</v>
      </c>
      <c r="J488" t="inlineStr">
        <is>
          <t>NO</t>
        </is>
      </c>
      <c r="K488" t="inlineStr">
        <is>
          <t>2026-02-26 00:15</t>
        </is>
      </c>
      <c r="L488" t="inlineStr">
        <is>
          <t>CHECK_VENDOR</t>
        </is>
      </c>
      <c r="M488" t="inlineStr">
        <is>
          <t>See CVE details</t>
        </is>
      </c>
      <c r="N488" t="inlineStr">
        <is>
          <t>P4</t>
        </is>
      </c>
      <c r="O488" t="inlineStr">
        <is>
          <t>CVE - IP enrichment n/a</t>
        </is>
      </c>
      <c r="P488" t="n">
        <v>0</v>
      </c>
      <c r="Q488" t="n">
        <v>0</v>
      </c>
      <c r="R488" t="inlineStr">
        <is>
          <t>T1190:Exploit Public-Facing Application</t>
        </is>
      </c>
      <c r="S488" t="n">
        <v>1</v>
      </c>
      <c r="T488" t="inlineStr">
        <is>
          <t>LOW (40%)</t>
        </is>
      </c>
      <c r="U488" t="inlineStr">
        <is>
          <t>UNLIKELY</t>
        </is>
      </c>
      <c r="V488" t="inlineStr">
        <is>
          <t>CHECK_VENDOR</t>
        </is>
      </c>
      <c r="W488" t="inlineStr">
        <is>
          <t>https://nvd.nist.gov/vuln/detail/CVE-2026-27319</t>
        </is>
      </c>
      <c r="X488" t="inlineStr">
        <is>
          <t>NONE</t>
        </is>
      </c>
      <c r="Y488" t="n">
        <v>0</v>
      </c>
      <c r="Z488" t="inlineStr"/>
      <c r="AA488" t="inlineStr">
        <is>
          <t>https://nvd.nist.gov/vuln/detail/CVE-2026-27319</t>
        </is>
      </c>
    </row>
    <row r="489">
      <c r="A489" t="inlineStr">
        <is>
          <t>CVE</t>
        </is>
      </c>
      <c r="B489" t="inlineStr">
        <is>
          <t>CVE-2026-27320</t>
        </is>
      </c>
      <c r="C489" t="inlineStr">
        <is>
          <t>Rejected reason: Not used</t>
        </is>
      </c>
      <c r="D489" t="n">
        <v>5</v>
      </c>
      <c r="E489" t="inlineStr">
        <is>
          <t>MEDIUM</t>
        </is>
      </c>
      <c r="F489" t="n">
        <v>2</v>
      </c>
      <c r="G489" t="n">
        <v>2</v>
      </c>
      <c r="H489" t="inlineStr">
        <is>
          <t>MEDIUM</t>
        </is>
      </c>
      <c r="I489" t="n">
        <v>9</v>
      </c>
      <c r="J489" t="inlineStr">
        <is>
          <t>NO</t>
        </is>
      </c>
      <c r="K489" t="inlineStr">
        <is>
          <t>2026-02-26 00:15</t>
        </is>
      </c>
      <c r="L489" t="inlineStr">
        <is>
          <t>CHECK_VENDOR</t>
        </is>
      </c>
      <c r="M489" t="inlineStr">
        <is>
          <t>See CVE details</t>
        </is>
      </c>
      <c r="N489" t="inlineStr">
        <is>
          <t>P4</t>
        </is>
      </c>
      <c r="O489" t="inlineStr">
        <is>
          <t>CVE - IP enrichment n/a</t>
        </is>
      </c>
      <c r="P489" t="n">
        <v>0</v>
      </c>
      <c r="Q489" t="n">
        <v>0</v>
      </c>
      <c r="R489" t="inlineStr">
        <is>
          <t>T1190:Exploit Public-Facing Application</t>
        </is>
      </c>
      <c r="S489" t="n">
        <v>1</v>
      </c>
      <c r="T489" t="inlineStr">
        <is>
          <t>LOW (40%)</t>
        </is>
      </c>
      <c r="U489" t="inlineStr">
        <is>
          <t>UNLIKELY</t>
        </is>
      </c>
      <c r="V489" t="inlineStr">
        <is>
          <t>CHECK_VENDOR</t>
        </is>
      </c>
      <c r="W489" t="inlineStr">
        <is>
          <t>https://nvd.nist.gov/vuln/detail/CVE-2026-27320</t>
        </is>
      </c>
      <c r="X489" t="inlineStr">
        <is>
          <t>NONE</t>
        </is>
      </c>
      <c r="Y489" t="n">
        <v>0</v>
      </c>
      <c r="Z489" t="inlineStr"/>
      <c r="AA489" t="inlineStr">
        <is>
          <t>https://nvd.nist.gov/vuln/detail/CVE-2026-27320</t>
        </is>
      </c>
    </row>
    <row r="490">
      <c r="A490" t="inlineStr">
        <is>
          <t>CVE</t>
        </is>
      </c>
      <c r="B490" t="inlineStr">
        <is>
          <t>CVE-2026-27321</t>
        </is>
      </c>
      <c r="C490" t="inlineStr">
        <is>
          <t>Rejected reason: Not used</t>
        </is>
      </c>
      <c r="D490" t="n">
        <v>5</v>
      </c>
      <c r="E490" t="inlineStr">
        <is>
          <t>MEDIUM</t>
        </is>
      </c>
      <c r="F490" t="n">
        <v>2</v>
      </c>
      <c r="G490" t="n">
        <v>2</v>
      </c>
      <c r="H490" t="inlineStr">
        <is>
          <t>MEDIUM</t>
        </is>
      </c>
      <c r="I490" t="n">
        <v>9</v>
      </c>
      <c r="J490" t="inlineStr">
        <is>
          <t>NO</t>
        </is>
      </c>
      <c r="K490" t="inlineStr">
        <is>
          <t>2026-02-26 00:15</t>
        </is>
      </c>
      <c r="L490" t="inlineStr">
        <is>
          <t>CHECK_VENDOR</t>
        </is>
      </c>
      <c r="M490" t="inlineStr">
        <is>
          <t>See CVE details</t>
        </is>
      </c>
      <c r="N490" t="inlineStr">
        <is>
          <t>P4</t>
        </is>
      </c>
      <c r="O490" t="inlineStr">
        <is>
          <t>CVE - IP enrichment n/a</t>
        </is>
      </c>
      <c r="P490" t="n">
        <v>0</v>
      </c>
      <c r="Q490" t="n">
        <v>0</v>
      </c>
      <c r="R490" t="inlineStr">
        <is>
          <t>T1190:Exploit Public-Facing Application</t>
        </is>
      </c>
      <c r="S490" t="n">
        <v>1</v>
      </c>
      <c r="T490" t="inlineStr">
        <is>
          <t>LOW (40%)</t>
        </is>
      </c>
      <c r="U490" t="inlineStr">
        <is>
          <t>UNLIKELY</t>
        </is>
      </c>
      <c r="V490" t="inlineStr">
        <is>
          <t>CHECK_VENDOR</t>
        </is>
      </c>
      <c r="W490" t="inlineStr">
        <is>
          <t>https://nvd.nist.gov/vuln/detail/CVE-2026-27321</t>
        </is>
      </c>
      <c r="X490" t="inlineStr">
        <is>
          <t>NONE</t>
        </is>
      </c>
      <c r="Y490" t="n">
        <v>0</v>
      </c>
      <c r="Z490" t="inlineStr"/>
      <c r="AA490" t="inlineStr">
        <is>
          <t>https://nvd.nist.gov/vuln/detail/CVE-2026-27321</t>
        </is>
      </c>
    </row>
    <row r="491">
      <c r="A491" t="inlineStr">
        <is>
          <t>CVE</t>
        </is>
      </c>
      <c r="B491" t="inlineStr">
        <is>
          <t>CVE-2026-27322</t>
        </is>
      </c>
      <c r="C491" t="inlineStr">
        <is>
          <t>Rejected reason: Not used</t>
        </is>
      </c>
      <c r="D491" t="n">
        <v>5</v>
      </c>
      <c r="E491" t="inlineStr">
        <is>
          <t>MEDIUM</t>
        </is>
      </c>
      <c r="F491" t="n">
        <v>2</v>
      </c>
      <c r="G491" t="n">
        <v>2</v>
      </c>
      <c r="H491" t="inlineStr">
        <is>
          <t>MEDIUM</t>
        </is>
      </c>
      <c r="I491" t="n">
        <v>9</v>
      </c>
      <c r="J491" t="inlineStr">
        <is>
          <t>NO</t>
        </is>
      </c>
      <c r="K491" t="inlineStr">
        <is>
          <t>2026-02-26 00:15</t>
        </is>
      </c>
      <c r="L491" t="inlineStr">
        <is>
          <t>CHECK_VENDOR</t>
        </is>
      </c>
      <c r="M491" t="inlineStr">
        <is>
          <t>See CVE details</t>
        </is>
      </c>
      <c r="N491" t="inlineStr">
        <is>
          <t>P4</t>
        </is>
      </c>
      <c r="O491" t="inlineStr">
        <is>
          <t>CVE - IP enrichment n/a</t>
        </is>
      </c>
      <c r="P491" t="n">
        <v>0</v>
      </c>
      <c r="Q491" t="n">
        <v>0</v>
      </c>
      <c r="R491" t="inlineStr">
        <is>
          <t>T1190:Exploit Public-Facing Application</t>
        </is>
      </c>
      <c r="S491" t="n">
        <v>1</v>
      </c>
      <c r="T491" t="inlineStr">
        <is>
          <t>LOW (40%)</t>
        </is>
      </c>
      <c r="U491" t="inlineStr">
        <is>
          <t>UNLIKELY</t>
        </is>
      </c>
      <c r="V491" t="inlineStr">
        <is>
          <t>CHECK_VENDOR</t>
        </is>
      </c>
      <c r="W491" t="inlineStr">
        <is>
          <t>https://nvd.nist.gov/vuln/detail/CVE-2026-27322</t>
        </is>
      </c>
      <c r="X491" t="inlineStr">
        <is>
          <t>NONE</t>
        </is>
      </c>
      <c r="Y491" t="n">
        <v>0</v>
      </c>
      <c r="Z491" t="inlineStr"/>
      <c r="AA491" t="inlineStr">
        <is>
          <t>https://nvd.nist.gov/vuln/detail/CVE-2026-27322</t>
        </is>
      </c>
    </row>
    <row r="492">
      <c r="A492" t="inlineStr">
        <is>
          <t>CVE</t>
        </is>
      </c>
      <c r="B492" t="inlineStr">
        <is>
          <t>CVE-2026-27323</t>
        </is>
      </c>
      <c r="C492" t="inlineStr">
        <is>
          <t>Rejected reason: Not used</t>
        </is>
      </c>
      <c r="D492" t="n">
        <v>5</v>
      </c>
      <c r="E492" t="inlineStr">
        <is>
          <t>MEDIUM</t>
        </is>
      </c>
      <c r="F492" t="n">
        <v>2</v>
      </c>
      <c r="G492" t="n">
        <v>2</v>
      </c>
      <c r="H492" t="inlineStr">
        <is>
          <t>MEDIUM</t>
        </is>
      </c>
      <c r="I492" t="n">
        <v>9</v>
      </c>
      <c r="J492" t="inlineStr">
        <is>
          <t>NO</t>
        </is>
      </c>
      <c r="K492" t="inlineStr">
        <is>
          <t>2026-02-26 00:15</t>
        </is>
      </c>
      <c r="L492" t="inlineStr">
        <is>
          <t>CHECK_VENDOR</t>
        </is>
      </c>
      <c r="M492" t="inlineStr">
        <is>
          <t>See CVE details</t>
        </is>
      </c>
      <c r="N492" t="inlineStr">
        <is>
          <t>P4</t>
        </is>
      </c>
      <c r="O492" t="inlineStr">
        <is>
          <t>CVE - IP enrichment n/a</t>
        </is>
      </c>
      <c r="P492" t="n">
        <v>0</v>
      </c>
      <c r="Q492" t="n">
        <v>0</v>
      </c>
      <c r="R492" t="inlineStr">
        <is>
          <t>T1190:Exploit Public-Facing Application</t>
        </is>
      </c>
      <c r="S492" t="n">
        <v>1</v>
      </c>
      <c r="T492" t="inlineStr">
        <is>
          <t>LOW (40%)</t>
        </is>
      </c>
      <c r="U492" t="inlineStr">
        <is>
          <t>UNLIKELY</t>
        </is>
      </c>
      <c r="V492" t="inlineStr">
        <is>
          <t>CHECK_VENDOR</t>
        </is>
      </c>
      <c r="W492" t="inlineStr">
        <is>
          <t>https://nvd.nist.gov/vuln/detail/CVE-2026-27323</t>
        </is>
      </c>
      <c r="X492" t="inlineStr">
        <is>
          <t>NONE</t>
        </is>
      </c>
      <c r="Y492" t="n">
        <v>0</v>
      </c>
      <c r="Z492" t="inlineStr"/>
      <c r="AA492" t="inlineStr">
        <is>
          <t>https://nvd.nist.gov/vuln/detail/CVE-2026-27323</t>
        </is>
      </c>
    </row>
    <row r="493">
      <c r="A493" t="inlineStr">
        <is>
          <t>CVE</t>
        </is>
      </c>
      <c r="B493" t="inlineStr">
        <is>
          <t>CVE-2026-27324</t>
        </is>
      </c>
      <c r="C493" t="inlineStr">
        <is>
          <t>Rejected reason: Not used</t>
        </is>
      </c>
      <c r="D493" t="n">
        <v>5</v>
      </c>
      <c r="E493" t="inlineStr">
        <is>
          <t>MEDIUM</t>
        </is>
      </c>
      <c r="F493" t="n">
        <v>2</v>
      </c>
      <c r="G493" t="n">
        <v>2</v>
      </c>
      <c r="H493" t="inlineStr">
        <is>
          <t>MEDIUM</t>
        </is>
      </c>
      <c r="I493" t="n">
        <v>9</v>
      </c>
      <c r="J493" t="inlineStr">
        <is>
          <t>NO</t>
        </is>
      </c>
      <c r="K493" t="inlineStr">
        <is>
          <t>2026-02-26 00:15</t>
        </is>
      </c>
      <c r="L493" t="inlineStr">
        <is>
          <t>CHECK_VENDOR</t>
        </is>
      </c>
      <c r="M493" t="inlineStr">
        <is>
          <t>See CVE details</t>
        </is>
      </c>
      <c r="N493" t="inlineStr">
        <is>
          <t>P4</t>
        </is>
      </c>
      <c r="O493" t="inlineStr">
        <is>
          <t>CVE - IP enrichment n/a</t>
        </is>
      </c>
      <c r="P493" t="n">
        <v>0</v>
      </c>
      <c r="Q493" t="n">
        <v>0</v>
      </c>
      <c r="R493" t="inlineStr">
        <is>
          <t>T1190:Exploit Public-Facing Application</t>
        </is>
      </c>
      <c r="S493" t="n">
        <v>1</v>
      </c>
      <c r="T493" t="inlineStr">
        <is>
          <t>LOW (40%)</t>
        </is>
      </c>
      <c r="U493" t="inlineStr">
        <is>
          <t>UNLIKELY</t>
        </is>
      </c>
      <c r="V493" t="inlineStr">
        <is>
          <t>CHECK_VENDOR</t>
        </is>
      </c>
      <c r="W493" t="inlineStr">
        <is>
          <t>https://nvd.nist.gov/vuln/detail/CVE-2026-27324</t>
        </is>
      </c>
      <c r="X493" t="inlineStr">
        <is>
          <t>NONE</t>
        </is>
      </c>
      <c r="Y493" t="n">
        <v>0</v>
      </c>
      <c r="Z493" t="inlineStr"/>
      <c r="AA493" t="inlineStr">
        <is>
          <t>https://nvd.nist.gov/vuln/detail/CVE-2026-27324</t>
        </is>
      </c>
    </row>
    <row r="494">
      <c r="A494" t="inlineStr">
        <is>
          <t>CVE</t>
        </is>
      </c>
      <c r="B494" t="inlineStr">
        <is>
          <t>CVE-2026-27325</t>
        </is>
      </c>
      <c r="C494" t="inlineStr">
        <is>
          <t>Rejected reason: Not used</t>
        </is>
      </c>
      <c r="D494" t="n">
        <v>5</v>
      </c>
      <c r="E494" t="inlineStr">
        <is>
          <t>MEDIUM</t>
        </is>
      </c>
      <c r="F494" t="n">
        <v>2</v>
      </c>
      <c r="G494" t="n">
        <v>2</v>
      </c>
      <c r="H494" t="inlineStr">
        <is>
          <t>MEDIUM</t>
        </is>
      </c>
      <c r="I494" t="n">
        <v>9</v>
      </c>
      <c r="J494" t="inlineStr">
        <is>
          <t>NO</t>
        </is>
      </c>
      <c r="K494" t="inlineStr">
        <is>
          <t>2026-02-26 00:15</t>
        </is>
      </c>
      <c r="L494" t="inlineStr">
        <is>
          <t>CHECK_VENDOR</t>
        </is>
      </c>
      <c r="M494" t="inlineStr">
        <is>
          <t>See CVE details</t>
        </is>
      </c>
      <c r="N494" t="inlineStr">
        <is>
          <t>P4</t>
        </is>
      </c>
      <c r="O494" t="inlineStr">
        <is>
          <t>CVE - IP enrichment n/a</t>
        </is>
      </c>
      <c r="P494" t="n">
        <v>0</v>
      </c>
      <c r="Q494" t="n">
        <v>0</v>
      </c>
      <c r="R494" t="inlineStr">
        <is>
          <t>T1190:Exploit Public-Facing Application</t>
        </is>
      </c>
      <c r="S494" t="n">
        <v>1</v>
      </c>
      <c r="T494" t="inlineStr">
        <is>
          <t>LOW (40%)</t>
        </is>
      </c>
      <c r="U494" t="inlineStr">
        <is>
          <t>UNLIKELY</t>
        </is>
      </c>
      <c r="V494" t="inlineStr">
        <is>
          <t>CHECK_VENDOR</t>
        </is>
      </c>
      <c r="W494" t="inlineStr">
        <is>
          <t>https://nvd.nist.gov/vuln/detail/CVE-2026-27325</t>
        </is>
      </c>
      <c r="X494" t="inlineStr">
        <is>
          <t>NONE</t>
        </is>
      </c>
      <c r="Y494" t="n">
        <v>0</v>
      </c>
      <c r="Z494" t="inlineStr"/>
      <c r="AA494" t="inlineStr">
        <is>
          <t>https://nvd.nist.gov/vuln/detail/CVE-2026-27325</t>
        </is>
      </c>
    </row>
    <row r="495">
      <c r="A495" t="inlineStr">
        <is>
          <t>CVE</t>
        </is>
      </c>
      <c r="B495" t="inlineStr">
        <is>
          <t>CVE-2026-2739</t>
        </is>
      </c>
      <c r="C495" t="inlineStr">
        <is>
          <t>This affects versions of the package bn.js before 5.2.3. Calling maskn(0) on any BN instance corrupts the internal state, causing toString(), divmod(), and other methods to enter an infinite loop, hanging the process indefinitely.</t>
        </is>
      </c>
      <c r="D495" t="n">
        <v>5.3</v>
      </c>
      <c r="E495" t="inlineStr">
        <is>
          <t>MEDIUM</t>
        </is>
      </c>
      <c r="F495" t="n">
        <v>2</v>
      </c>
      <c r="G495" t="n">
        <v>2</v>
      </c>
      <c r="H495" t="inlineStr">
        <is>
          <t>MEDIUM</t>
        </is>
      </c>
      <c r="I495" t="n">
        <v>9.300000000000001</v>
      </c>
      <c r="J495" t="inlineStr">
        <is>
          <t>NO</t>
        </is>
      </c>
      <c r="K495" t="inlineStr">
        <is>
          <t>2026-02-26 00:15</t>
        </is>
      </c>
      <c r="L495" t="inlineStr">
        <is>
          <t>CHECK_VENDOR</t>
        </is>
      </c>
      <c r="M495" t="inlineStr">
        <is>
          <t>See CVE details</t>
        </is>
      </c>
      <c r="N495" t="inlineStr">
        <is>
          <t>P4</t>
        </is>
      </c>
      <c r="O495" t="inlineStr">
        <is>
          <t>CVE - IP enrichment n/a</t>
        </is>
      </c>
      <c r="P495" t="n">
        <v>0</v>
      </c>
      <c r="Q495" t="n">
        <v>0</v>
      </c>
      <c r="R495" t="inlineStr">
        <is>
          <t>T1190:Exploit Public-Facing Application</t>
        </is>
      </c>
      <c r="S495" t="n">
        <v>1</v>
      </c>
      <c r="T495" t="inlineStr">
        <is>
          <t>LOW (40%)</t>
        </is>
      </c>
      <c r="U495" t="inlineStr">
        <is>
          <t>UNLIKELY</t>
        </is>
      </c>
      <c r="V495" t="inlineStr">
        <is>
          <t>CHECK_VENDOR</t>
        </is>
      </c>
      <c r="W495" t="inlineStr">
        <is>
          <t>https://nvd.nist.gov/vuln/detail/CVE-2026-2739</t>
        </is>
      </c>
      <c r="X495" t="inlineStr">
        <is>
          <t>NONE</t>
        </is>
      </c>
      <c r="Y495" t="n">
        <v>0</v>
      </c>
      <c r="Z495" t="inlineStr"/>
      <c r="AA495" t="inlineStr">
        <is>
          <t>https://nvd.nist.gov/vuln/detail/CVE-2026-2739</t>
        </is>
      </c>
    </row>
    <row r="496">
      <c r="A496" t="inlineStr">
        <is>
          <t>CVE</t>
        </is>
      </c>
      <c r="B496" t="inlineStr">
        <is>
          <t>CVE-2026-2822</t>
        </is>
      </c>
      <c r="C496" t="inlineStr">
        <is>
          <t>A security vulnerability has been detected in JeecgBoot up to 3.9.1. The affected element is an unknown function of the file /jeecgboot/sys/dict/loadDict/airag_app,1,create_by of the component Backend Interface. Such manipulation of the argument keyword leads to sql injection. The attack can be executed remotely. The exploit has been disclosed publicly and may be used.</t>
        </is>
      </c>
      <c r="D496" t="n">
        <v>6.3</v>
      </c>
      <c r="E496" t="inlineStr">
        <is>
          <t>MEDIUM</t>
        </is>
      </c>
      <c r="F496" t="n">
        <v>2</v>
      </c>
      <c r="G496" t="n">
        <v>2</v>
      </c>
      <c r="H496" t="inlineStr">
        <is>
          <t>MEDIUM</t>
        </is>
      </c>
      <c r="I496" t="n">
        <v>10.3</v>
      </c>
      <c r="J496" t="inlineStr">
        <is>
          <t>NO</t>
        </is>
      </c>
      <c r="K496" t="inlineStr">
        <is>
          <t>2026-02-26 00:15</t>
        </is>
      </c>
      <c r="L496" t="inlineStr">
        <is>
          <t>CHECK_VENDOR</t>
        </is>
      </c>
      <c r="M496" t="inlineStr">
        <is>
          <t>jeecg jeecg_boot *</t>
        </is>
      </c>
      <c r="N496" t="inlineStr">
        <is>
          <t>P4</t>
        </is>
      </c>
      <c r="O496" t="inlineStr">
        <is>
          <t>CVE - IP enrichment n/a</t>
        </is>
      </c>
      <c r="P496" t="n">
        <v>0</v>
      </c>
      <c r="Q496" t="n">
        <v>0</v>
      </c>
      <c r="R496" t="inlineStr">
        <is>
          <t>T1190:Exploit Public-Facing Application</t>
        </is>
      </c>
      <c r="S496" t="n">
        <v>1</v>
      </c>
      <c r="T496" t="inlineStr">
        <is>
          <t>LOW (40%)</t>
        </is>
      </c>
      <c r="U496" t="inlineStr">
        <is>
          <t>UNLIKELY</t>
        </is>
      </c>
      <c r="V496" t="inlineStr">
        <is>
          <t>CHECK_VENDOR</t>
        </is>
      </c>
      <c r="W496" t="inlineStr">
        <is>
          <t>https://nvd.nist.gov/vuln/detail/CVE-2026-2822</t>
        </is>
      </c>
      <c r="X496" t="inlineStr">
        <is>
          <t>NONE</t>
        </is>
      </c>
      <c r="Y496" t="n">
        <v>0</v>
      </c>
      <c r="Z496" t="inlineStr"/>
      <c r="AA496" t="inlineStr">
        <is>
          <t>https://nvd.nist.gov/vuln/detail/CVE-2026-2822</t>
        </is>
      </c>
    </row>
    <row r="497">
      <c r="A497" t="inlineStr">
        <is>
          <t>CVE</t>
        </is>
      </c>
      <c r="B497" t="inlineStr">
        <is>
          <t>CVE-2026-2823</t>
        </is>
      </c>
      <c r="C497" t="inlineStr">
        <is>
          <t>A vulnerability was detected in Comfast CF-E7 2.6.0.9. The impacted element is the function sub_41ACCC of the file /cgi-bin/mbox-config?method=SET&amp;section=ntp_timezone of the component webmggnt. Performing a manipulation of the argument timestr results in command injection. The attack is possible to be carried out remotely. The exploit is now public and may be used. The vendor was contacted early about this disclosure but did not respond in any way.</t>
        </is>
      </c>
      <c r="D497" t="n">
        <v>6.3</v>
      </c>
      <c r="E497" t="inlineStr">
        <is>
          <t>MEDIUM</t>
        </is>
      </c>
      <c r="F497" t="n">
        <v>2</v>
      </c>
      <c r="G497" t="n">
        <v>2</v>
      </c>
      <c r="H497" t="inlineStr">
        <is>
          <t>MEDIUM</t>
        </is>
      </c>
      <c r="I497" t="n">
        <v>10.3</v>
      </c>
      <c r="J497" t="inlineStr">
        <is>
          <t>NO</t>
        </is>
      </c>
      <c r="K497" t="inlineStr">
        <is>
          <t>2026-02-26 00:15</t>
        </is>
      </c>
      <c r="L497" t="inlineStr">
        <is>
          <t>CHECK_VENDOR</t>
        </is>
      </c>
      <c r="M497" t="inlineStr">
        <is>
          <t>comfast cf-e7_firmware 2.6.0.9 | comfast cf-e7 -</t>
        </is>
      </c>
      <c r="N497" t="inlineStr">
        <is>
          <t>P4</t>
        </is>
      </c>
      <c r="O497" t="inlineStr">
        <is>
          <t>CVE - IP enrichment n/a</t>
        </is>
      </c>
      <c r="P497" t="n">
        <v>0</v>
      </c>
      <c r="Q497" t="n">
        <v>0</v>
      </c>
      <c r="R497" t="inlineStr">
        <is>
          <t>T1059:Command and Scripting Interpreter</t>
        </is>
      </c>
      <c r="S497" t="n">
        <v>1</v>
      </c>
      <c r="T497" t="inlineStr">
        <is>
          <t>LOW (40%)</t>
        </is>
      </c>
      <c r="U497" t="inlineStr">
        <is>
          <t>UNLIKELY</t>
        </is>
      </c>
      <c r="V497" t="inlineStr">
        <is>
          <t>CHECK_VENDOR</t>
        </is>
      </c>
      <c r="W497" t="inlineStr">
        <is>
          <t>https://nvd.nist.gov/vuln/detail/CVE-2026-2823</t>
        </is>
      </c>
      <c r="X497" t="inlineStr">
        <is>
          <t>NONE</t>
        </is>
      </c>
      <c r="Y497" t="n">
        <v>0</v>
      </c>
      <c r="Z497" t="inlineStr"/>
      <c r="AA497" t="inlineStr">
        <is>
          <t>https://nvd.nist.gov/vuln/detail/CVE-2026-2823</t>
        </is>
      </c>
    </row>
    <row r="498">
      <c r="A498" t="inlineStr">
        <is>
          <t>CVE</t>
        </is>
      </c>
      <c r="B498" t="inlineStr">
        <is>
          <t>CVE-2026-2824</t>
        </is>
      </c>
      <c r="C498" t="inlineStr">
        <is>
          <t>A flaw has been found in Comfast CF-E7 2.6.0.9. This affects the function sub_441CF4 of the file /cgi-bin/mbox-config?method=SET&amp;section=ping_config of the component webmggnt. Executing a manipulation of the argument destination can lead to command injection. The attack may be performed from remote. The exploit has been published and may be used. The vendor was contacted early about this disclosure but did not respond in any way.</t>
        </is>
      </c>
      <c r="D498" t="n">
        <v>6.3</v>
      </c>
      <c r="E498" t="inlineStr">
        <is>
          <t>MEDIUM</t>
        </is>
      </c>
      <c r="F498" t="n">
        <v>2</v>
      </c>
      <c r="G498" t="n">
        <v>2</v>
      </c>
      <c r="H498" t="inlineStr">
        <is>
          <t>MEDIUM</t>
        </is>
      </c>
      <c r="I498" t="n">
        <v>10.3</v>
      </c>
      <c r="J498" t="inlineStr">
        <is>
          <t>NO</t>
        </is>
      </c>
      <c r="K498" t="inlineStr">
        <is>
          <t>2026-02-26 00:15</t>
        </is>
      </c>
      <c r="L498" t="inlineStr">
        <is>
          <t>CHECK_VENDOR</t>
        </is>
      </c>
      <c r="M498" t="inlineStr">
        <is>
          <t>comfast cf-e7_firmware 2.6.0.9 | comfast cf-e7 -</t>
        </is>
      </c>
      <c r="N498" t="inlineStr">
        <is>
          <t>P4</t>
        </is>
      </c>
      <c r="O498" t="inlineStr">
        <is>
          <t>CVE - IP enrichment n/a</t>
        </is>
      </c>
      <c r="P498" t="n">
        <v>0</v>
      </c>
      <c r="Q498" t="n">
        <v>0</v>
      </c>
      <c r="R498" t="inlineStr">
        <is>
          <t>T1059:Command and Scripting Interpreter</t>
        </is>
      </c>
      <c r="S498" t="n">
        <v>1</v>
      </c>
      <c r="T498" t="inlineStr">
        <is>
          <t>LOW (40%)</t>
        </is>
      </c>
      <c r="U498" t="inlineStr">
        <is>
          <t>UNLIKELY</t>
        </is>
      </c>
      <c r="V498" t="inlineStr">
        <is>
          <t>CHECK_VENDOR</t>
        </is>
      </c>
      <c r="W498" t="inlineStr">
        <is>
          <t>https://nvd.nist.gov/vuln/detail/CVE-2026-2824</t>
        </is>
      </c>
      <c r="X498" t="inlineStr">
        <is>
          <t>NONE</t>
        </is>
      </c>
      <c r="Y498" t="n">
        <v>0</v>
      </c>
      <c r="Z498" t="inlineStr"/>
      <c r="AA498" t="inlineStr">
        <is>
          <t>https://nvd.nist.gov/vuln/detail/CVE-2026-2824</t>
        </is>
      </c>
    </row>
    <row r="499">
      <c r="A499" t="inlineStr">
        <is>
          <t>CVE</t>
        </is>
      </c>
      <c r="B499" t="inlineStr">
        <is>
          <t>CVE-2026-2825</t>
        </is>
      </c>
      <c r="C499" t="inlineStr">
        <is>
          <t>A vulnerability has been found in rachelos WeRSS we-mp-rss up to 1.4.8. This impacts the function fix_html of the file tools/fix.py of the component Article Module. The manipulation leads to cross site scripting. It is possible to initiate the attack remotely. The exploit has been disclosed to the public and may be used.</t>
        </is>
      </c>
      <c r="D499" t="n">
        <v>3.5</v>
      </c>
      <c r="E499" t="inlineStr">
        <is>
          <t>LOW</t>
        </is>
      </c>
      <c r="F499" t="n">
        <v>2</v>
      </c>
      <c r="G499" t="n">
        <v>1</v>
      </c>
      <c r="H499" t="inlineStr">
        <is>
          <t>LOW</t>
        </is>
      </c>
      <c r="I499" t="n">
        <v>5.5</v>
      </c>
      <c r="J499" t="inlineStr">
        <is>
          <t>NO</t>
        </is>
      </c>
      <c r="K499" t="inlineStr">
        <is>
          <t>2026-02-26 00:15</t>
        </is>
      </c>
      <c r="L499" t="inlineStr">
        <is>
          <t>CHECK_VENDOR</t>
        </is>
      </c>
      <c r="M499" t="inlineStr">
        <is>
          <t>See CVE details</t>
        </is>
      </c>
      <c r="N499" t="inlineStr">
        <is>
          <t>P4</t>
        </is>
      </c>
      <c r="O499" t="inlineStr">
        <is>
          <t>CVE - IP enrichment n/a</t>
        </is>
      </c>
      <c r="P499" t="n">
        <v>0</v>
      </c>
      <c r="Q499" t="n">
        <v>0</v>
      </c>
      <c r="R499" t="inlineStr">
        <is>
          <t>T1189:Drive-by Compromise</t>
        </is>
      </c>
      <c r="S499" t="n">
        <v>1</v>
      </c>
      <c r="T499" t="inlineStr">
        <is>
          <t>LOW (40%)</t>
        </is>
      </c>
      <c r="U499" t="inlineStr">
        <is>
          <t>UNLIKELY</t>
        </is>
      </c>
      <c r="V499" t="inlineStr">
        <is>
          <t>CHECK_VENDOR</t>
        </is>
      </c>
      <c r="W499" t="inlineStr">
        <is>
          <t>https://nvd.nist.gov/vuln/detail/CVE-2026-2825</t>
        </is>
      </c>
      <c r="X499" t="inlineStr">
        <is>
          <t>NONE</t>
        </is>
      </c>
      <c r="Y499" t="n">
        <v>0</v>
      </c>
      <c r="Z499" t="inlineStr"/>
      <c r="AA499" t="inlineStr">
        <is>
          <t>https://nvd.nist.gov/vuln/detail/CVE-2026-2825</t>
        </is>
      </c>
    </row>
    <row r="500">
      <c r="A500" t="inlineStr">
        <is>
          <t>CVE</t>
        </is>
      </c>
      <c r="B500" t="inlineStr">
        <is>
          <t>CVE-2025-59819</t>
        </is>
      </c>
      <c r="C500" t="inlineStr">
        <is>
          <t>This vulnerability allows authenticated attackers to read an arbitrary file by changing a filepath parameter into an internal system path.</t>
        </is>
      </c>
      <c r="D500" t="n">
        <v>6.5</v>
      </c>
      <c r="E500" t="inlineStr">
        <is>
          <t>MEDIUM</t>
        </is>
      </c>
      <c r="F500" t="n">
        <v>2</v>
      </c>
      <c r="G500" t="n">
        <v>2</v>
      </c>
      <c r="H500" t="inlineStr">
        <is>
          <t>MEDIUM</t>
        </is>
      </c>
      <c r="I500" t="n">
        <v>10.5</v>
      </c>
      <c r="J500" t="inlineStr">
        <is>
          <t>NO</t>
        </is>
      </c>
      <c r="K500" t="inlineStr">
        <is>
          <t>2026-02-26 00:15</t>
        </is>
      </c>
      <c r="L500" t="inlineStr">
        <is>
          <t>CHECK_VENDOR</t>
        </is>
      </c>
      <c r="M500" t="inlineStr">
        <is>
          <t>See CVE details</t>
        </is>
      </c>
      <c r="N500" t="inlineStr">
        <is>
          <t>P4</t>
        </is>
      </c>
      <c r="O500" t="inlineStr">
        <is>
          <t>CVE - IP enrichment n/a</t>
        </is>
      </c>
      <c r="P500" t="n">
        <v>0</v>
      </c>
      <c r="Q500" t="n">
        <v>0</v>
      </c>
      <c r="R500" t="inlineStr">
        <is>
          <t>T1083:File and Directory Discovery</t>
        </is>
      </c>
      <c r="S500" t="n">
        <v>1</v>
      </c>
      <c r="T500" t="inlineStr">
        <is>
          <t>LOW (40%)</t>
        </is>
      </c>
      <c r="U500" t="inlineStr">
        <is>
          <t>UNLIKELY</t>
        </is>
      </c>
      <c r="V500" t="inlineStr">
        <is>
          <t>CHECK_VENDOR</t>
        </is>
      </c>
      <c r="W500" t="inlineStr">
        <is>
          <t>https://nvd.nist.gov/vuln/detail/CVE-2025-59819</t>
        </is>
      </c>
      <c r="X500" t="inlineStr">
        <is>
          <t>NONE</t>
        </is>
      </c>
      <c r="Y500" t="n">
        <v>0</v>
      </c>
      <c r="Z500" t="inlineStr"/>
      <c r="AA500" t="inlineStr">
        <is>
          <t>https://nvd.nist.gov/vuln/detail/CVE-2025-59819</t>
        </is>
      </c>
    </row>
    <row r="501">
      <c r="A501" t="inlineStr">
        <is>
          <t>CVE</t>
        </is>
      </c>
      <c r="B501" t="inlineStr">
        <is>
          <t>CVE-2026-26370</t>
        </is>
      </c>
      <c r="C501" t="inlineStr">
        <is>
          <t>WordPress Plugin "Survey Maker" versions 5.1.7.7 and prior contain a cross-site scripting vulnerability. If this vulnerability is exploited, an arbitrary script may be executed in the user's web browser.</t>
        </is>
      </c>
      <c r="D501" t="n">
        <v>6.1</v>
      </c>
      <c r="E501" t="inlineStr">
        <is>
          <t>MEDIUM</t>
        </is>
      </c>
      <c r="F501" t="n">
        <v>2</v>
      </c>
      <c r="G501" t="n">
        <v>2</v>
      </c>
      <c r="H501" t="inlineStr">
        <is>
          <t>MEDIUM</t>
        </is>
      </c>
      <c r="I501" t="n">
        <v>10.1</v>
      </c>
      <c r="J501" t="inlineStr">
        <is>
          <t>NO</t>
        </is>
      </c>
      <c r="K501" t="inlineStr">
        <is>
          <t>2026-02-26 00:15</t>
        </is>
      </c>
      <c r="L501" t="inlineStr">
        <is>
          <t>CHECK_VENDOR</t>
        </is>
      </c>
      <c r="M501" t="inlineStr">
        <is>
          <t>See CVE details</t>
        </is>
      </c>
      <c r="N501" t="inlineStr">
        <is>
          <t>P4</t>
        </is>
      </c>
      <c r="O501" t="inlineStr">
        <is>
          <t>CVE - IP enrichment n/a</t>
        </is>
      </c>
      <c r="P501" t="n">
        <v>0</v>
      </c>
      <c r="Q501" t="n">
        <v>0</v>
      </c>
      <c r="R501" t="inlineStr">
        <is>
          <t>T1189:Drive-by Compromise</t>
        </is>
      </c>
      <c r="S501" t="n">
        <v>1</v>
      </c>
      <c r="T501" t="inlineStr">
        <is>
          <t>LOW (40%)</t>
        </is>
      </c>
      <c r="U501" t="inlineStr">
        <is>
          <t>UNLIKELY</t>
        </is>
      </c>
      <c r="V501" t="inlineStr">
        <is>
          <t>CHECK_VENDOR</t>
        </is>
      </c>
      <c r="W501" t="inlineStr">
        <is>
          <t>https://nvd.nist.gov/vuln/detail/CVE-2026-26370</t>
        </is>
      </c>
      <c r="X501" t="inlineStr">
        <is>
          <t>NONE</t>
        </is>
      </c>
      <c r="Y501" t="n">
        <v>0</v>
      </c>
      <c r="Z501" t="inlineStr"/>
      <c r="AA501" t="inlineStr">
        <is>
          <t>https://nvd.nist.gov/vuln/detail/CVE-2026-26370</t>
        </is>
      </c>
    </row>
    <row r="502">
      <c r="A502" t="inlineStr">
        <is>
          <t>CVE</t>
        </is>
      </c>
      <c r="B502" t="inlineStr">
        <is>
          <t>CVE-2026-26050</t>
        </is>
      </c>
      <c r="C502" t="inlineStr">
        <is>
          <t>The installer for ジョブログ集計/分析ソフトウェア RICOHジョブログ集計ツール versions prior to Ver.1.3.7 contains an issue with the DLL search path, which may lead to insecurely loading Dynamic Link Libraries. As a result, arbitrary code may be executed with administrative privileges.</t>
        </is>
      </c>
      <c r="D502" t="n">
        <v>7.8</v>
      </c>
      <c r="E502" t="inlineStr">
        <is>
          <t>HIGH</t>
        </is>
      </c>
      <c r="F502" t="n">
        <v>2</v>
      </c>
      <c r="G502" t="n">
        <v>3</v>
      </c>
      <c r="H502" t="inlineStr">
        <is>
          <t>HIGH</t>
        </is>
      </c>
      <c r="I502" t="n">
        <v>13.8</v>
      </c>
      <c r="J502" t="inlineStr">
        <is>
          <t>NO</t>
        </is>
      </c>
      <c r="K502" t="inlineStr">
        <is>
          <t>2026-02-26 00:15</t>
        </is>
      </c>
      <c r="L502" t="inlineStr">
        <is>
          <t>CHECK_VENDOR</t>
        </is>
      </c>
      <c r="M502" t="inlineStr">
        <is>
          <t>See CVE details</t>
        </is>
      </c>
      <c r="N502" t="inlineStr">
        <is>
          <t>P3</t>
        </is>
      </c>
      <c r="O502" t="inlineStr">
        <is>
          <t>CVE - IP enrichment n/a</t>
        </is>
      </c>
      <c r="P502" t="n">
        <v>0</v>
      </c>
      <c r="Q502" t="n">
        <v>0</v>
      </c>
      <c r="R502" t="inlineStr">
        <is>
          <t>T1203:Exploitation for Client Execution</t>
        </is>
      </c>
      <c r="S502" t="n">
        <v>1</v>
      </c>
      <c r="T502" t="inlineStr">
        <is>
          <t>LOW (40%)</t>
        </is>
      </c>
      <c r="U502" t="inlineStr">
        <is>
          <t>UNLIKELY</t>
        </is>
      </c>
      <c r="V502" t="inlineStr">
        <is>
          <t>CHECK_VENDOR</t>
        </is>
      </c>
      <c r="W502" t="inlineStr">
        <is>
          <t>https://nvd.nist.gov/vuln/detail/CVE-2026-26050</t>
        </is>
      </c>
      <c r="X502" t="inlineStr">
        <is>
          <t>NONE</t>
        </is>
      </c>
      <c r="Y502" t="n">
        <v>0</v>
      </c>
      <c r="Z502" t="inlineStr"/>
      <c r="AA502" t="inlineStr">
        <is>
          <t>https://nvd.nist.gov/vuln/detail/CVE-2026-26050</t>
        </is>
      </c>
    </row>
    <row r="503">
      <c r="A503" t="inlineStr">
        <is>
          <t>CVE</t>
        </is>
      </c>
      <c r="B503" t="inlineStr">
        <is>
          <t>CVE-2026-21620</t>
        </is>
      </c>
      <c r="C503" t="inlineStr">
        <is>
          <t>Relative Path Traversal, Improper Isolation or Compartmentalization vulnerability in erlang otp erlang/otp (tftp_file modules), erlang otp inets (tftp_file modules), erlang otp tftp (tftp_file modules) allows Relative Path Traversal. This vulnerability is associated with program files lib/tftp/src/tftp_file.erl, src/tftp_file.erl.
This issue affects otp: from 17.0, from 07b8f441ca711f9812fad9e9115bab3c3aa92f79; otp: from 5.10 before 7.0; otp: from 1.0.</t>
        </is>
      </c>
      <c r="D503" t="n">
        <v>5</v>
      </c>
      <c r="E503" t="inlineStr">
        <is>
          <t>MEDIUM</t>
        </is>
      </c>
      <c r="F503" t="n">
        <v>2</v>
      </c>
      <c r="G503" t="n">
        <v>2</v>
      </c>
      <c r="H503" t="inlineStr">
        <is>
          <t>MEDIUM</t>
        </is>
      </c>
      <c r="I503" t="n">
        <v>9</v>
      </c>
      <c r="J503" t="inlineStr">
        <is>
          <t>NO</t>
        </is>
      </c>
      <c r="K503" t="inlineStr">
        <is>
          <t>2026-02-26 00:15</t>
        </is>
      </c>
      <c r="L503" t="inlineStr">
        <is>
          <t>CHECK_VENDOR</t>
        </is>
      </c>
      <c r="M503" t="inlineStr">
        <is>
          <t>See CVE details</t>
        </is>
      </c>
      <c r="N503" t="inlineStr">
        <is>
          <t>P4</t>
        </is>
      </c>
      <c r="O503" t="inlineStr">
        <is>
          <t>CVE - IP enrichment n/a</t>
        </is>
      </c>
      <c r="P503" t="n">
        <v>0.0002</v>
      </c>
      <c r="Q503" t="n">
        <v>0.0548</v>
      </c>
      <c r="R503" t="inlineStr">
        <is>
          <t>T1083:File and Directory Discovery</t>
        </is>
      </c>
      <c r="S503" t="n">
        <v>1</v>
      </c>
      <c r="T503" t="inlineStr">
        <is>
          <t>LOW (40%)</t>
        </is>
      </c>
      <c r="U503" t="inlineStr">
        <is>
          <t>UNLIKELY</t>
        </is>
      </c>
      <c r="V503" t="inlineStr">
        <is>
          <t>CHECK_VENDOR</t>
        </is>
      </c>
      <c r="W503" t="inlineStr">
        <is>
          <t>https://nvd.nist.gov/vuln/detail/CVE-2026-21620</t>
        </is>
      </c>
      <c r="X503" t="inlineStr">
        <is>
          <t>NONE</t>
        </is>
      </c>
      <c r="Y503" t="n">
        <v>0</v>
      </c>
      <c r="Z503" t="inlineStr"/>
      <c r="AA503" t="inlineStr">
        <is>
          <t>https://nvd.nist.gov/vuln/detail/CVE-2026-21620</t>
        </is>
      </c>
    </row>
    <row r="504">
      <c r="A504" t="inlineStr">
        <is>
          <t>CVE</t>
        </is>
      </c>
      <c r="B504" t="inlineStr">
        <is>
          <t>CVE-2025-10970</t>
        </is>
      </c>
      <c r="C504" t="inlineStr">
        <is>
          <t>Improper Neutralization of Special Elements used in an SQL Command ('SQL Injection') vulnerability in Kolay Software Inc. Talentics allows Blind SQL Injection.This issue affects Talentics: through 20022026.
NOTE: The vendor was contacted early about this disclosure but did not respond in any way.</t>
        </is>
      </c>
      <c r="D504" t="n">
        <v>9.800000000000001</v>
      </c>
      <c r="E504" t="inlineStr">
        <is>
          <t>CRITICAL</t>
        </is>
      </c>
      <c r="F504" t="n">
        <v>2</v>
      </c>
      <c r="G504" t="n">
        <v>3</v>
      </c>
      <c r="H504" t="inlineStr">
        <is>
          <t>HIGH</t>
        </is>
      </c>
      <c r="I504" t="n">
        <v>15.8</v>
      </c>
      <c r="J504" t="inlineStr">
        <is>
          <t>NO</t>
        </is>
      </c>
      <c r="K504" t="inlineStr">
        <is>
          <t>2026-02-26 00:15</t>
        </is>
      </c>
      <c r="L504" t="inlineStr">
        <is>
          <t>CHECK_VENDOR</t>
        </is>
      </c>
      <c r="M504" t="inlineStr">
        <is>
          <t>See CVE details</t>
        </is>
      </c>
      <c r="N504" t="inlineStr">
        <is>
          <t>P3</t>
        </is>
      </c>
      <c r="O504" t="inlineStr">
        <is>
          <t>CVE - IP enrichment n/a</t>
        </is>
      </c>
      <c r="P504" t="n">
        <v>0</v>
      </c>
      <c r="Q504" t="n">
        <v>0</v>
      </c>
      <c r="R504" t="inlineStr">
        <is>
          <t>T1190:Exploit Public-Facing Application</t>
        </is>
      </c>
      <c r="S504" t="n">
        <v>1</v>
      </c>
      <c r="T504" t="inlineStr">
        <is>
          <t>LOW (40%)</t>
        </is>
      </c>
      <c r="U504" t="inlineStr">
        <is>
          <t>UNLIKELY</t>
        </is>
      </c>
      <c r="V504" t="inlineStr">
        <is>
          <t>CHECK_VENDOR</t>
        </is>
      </c>
      <c r="W504" t="inlineStr">
        <is>
          <t>https://nvd.nist.gov/vuln/detail/CVE-2025-10970</t>
        </is>
      </c>
      <c r="X504" t="inlineStr">
        <is>
          <t>NONE</t>
        </is>
      </c>
      <c r="Y504" t="n">
        <v>0</v>
      </c>
      <c r="Z504" t="inlineStr"/>
      <c r="AA504" t="inlineStr">
        <is>
          <t>https://nvd.nist.gov/vuln/detail/CVE-2025-10970</t>
        </is>
      </c>
    </row>
    <row r="505">
      <c r="A505" t="inlineStr">
        <is>
          <t>CVE</t>
        </is>
      </c>
      <c r="B505" t="inlineStr">
        <is>
          <t>CVE-2026-2486</t>
        </is>
      </c>
      <c r="C505" t="inlineStr">
        <is>
          <t>The Master Addons For Elementor plugin for WordPress is vulnerable to Stored Cross-Site Scripting via the 'ma_el_bh_table_btn_text' parameter in versions up to, and including, 2.1.1 due to insufficient input sanitization and output escaping. This makes it possible for authenticated attackers, with contributor-level access and above, to inject arbitrary web scripts in pages that will execute whenever a user accesses an injected page.</t>
        </is>
      </c>
      <c r="D505" t="n">
        <v>6.4</v>
      </c>
      <c r="E505" t="inlineStr">
        <is>
          <t>MEDIUM</t>
        </is>
      </c>
      <c r="F505" t="n">
        <v>2</v>
      </c>
      <c r="G505" t="n">
        <v>2</v>
      </c>
      <c r="H505" t="inlineStr">
        <is>
          <t>MEDIUM</t>
        </is>
      </c>
      <c r="I505" t="n">
        <v>10.4</v>
      </c>
      <c r="J505" t="inlineStr">
        <is>
          <t>NO</t>
        </is>
      </c>
      <c r="K505" t="inlineStr">
        <is>
          <t>2026-02-26 00:15</t>
        </is>
      </c>
      <c r="L505" t="inlineStr">
        <is>
          <t>CHECK_VENDOR</t>
        </is>
      </c>
      <c r="M505" t="inlineStr">
        <is>
          <t>See CVE details</t>
        </is>
      </c>
      <c r="N505" t="inlineStr">
        <is>
          <t>P4</t>
        </is>
      </c>
      <c r="O505" t="inlineStr">
        <is>
          <t>CVE - IP enrichment n/a</t>
        </is>
      </c>
      <c r="P505" t="n">
        <v>0</v>
      </c>
      <c r="Q505" t="n">
        <v>0</v>
      </c>
      <c r="R505" t="inlineStr">
        <is>
          <t>T1189:Drive-by Compromise</t>
        </is>
      </c>
      <c r="S505" t="n">
        <v>1</v>
      </c>
      <c r="T505" t="inlineStr">
        <is>
          <t>LOW (40%)</t>
        </is>
      </c>
      <c r="U505" t="inlineStr">
        <is>
          <t>UNLIKELY</t>
        </is>
      </c>
      <c r="V505" t="inlineStr">
        <is>
          <t>CHECK_VENDOR</t>
        </is>
      </c>
      <c r="W505" t="inlineStr">
        <is>
          <t>https://nvd.nist.gov/vuln/detail/CVE-2026-2486</t>
        </is>
      </c>
      <c r="X505" t="inlineStr">
        <is>
          <t>NONE</t>
        </is>
      </c>
      <c r="Y505" t="n">
        <v>0</v>
      </c>
      <c r="Z505" t="inlineStr"/>
      <c r="AA505" t="inlineStr">
        <is>
          <t>https://nvd.nist.gov/vuln/detail/CVE-2026-2486</t>
        </is>
      </c>
    </row>
    <row r="506">
      <c r="A506" t="inlineStr">
        <is>
          <t>CVE</t>
        </is>
      </c>
      <c r="B506" t="inlineStr">
        <is>
          <t>CVE-2025-14055</t>
        </is>
      </c>
      <c r="C506" t="inlineStr">
        <is>
          <t>An integer underflow vulnerability in Silicon Labs Secure NCP host implementation allows a buffer overread via a specially crafted packet.</t>
        </is>
      </c>
      <c r="D506" t="n">
        <v>5</v>
      </c>
      <c r="E506" t="inlineStr">
        <is>
          <t>MEDIUM</t>
        </is>
      </c>
      <c r="F506" t="n">
        <v>2</v>
      </c>
      <c r="G506" t="n">
        <v>2</v>
      </c>
      <c r="H506" t="inlineStr">
        <is>
          <t>MEDIUM</t>
        </is>
      </c>
      <c r="I506" t="n">
        <v>9</v>
      </c>
      <c r="J506" t="inlineStr">
        <is>
          <t>NO</t>
        </is>
      </c>
      <c r="K506" t="inlineStr">
        <is>
          <t>2026-02-26 00:15</t>
        </is>
      </c>
      <c r="L506" t="inlineStr">
        <is>
          <t>CHECK_VENDOR</t>
        </is>
      </c>
      <c r="M506" t="inlineStr">
        <is>
          <t>See CVE details</t>
        </is>
      </c>
      <c r="N506" t="inlineStr">
        <is>
          <t>P4</t>
        </is>
      </c>
      <c r="O506" t="inlineStr">
        <is>
          <t>CVE - IP enrichment n/a</t>
        </is>
      </c>
      <c r="P506" t="n">
        <v>0</v>
      </c>
      <c r="Q506" t="n">
        <v>0</v>
      </c>
      <c r="R506" t="inlineStr">
        <is>
          <t>T1203:Exploitation for Client Execution</t>
        </is>
      </c>
      <c r="S506" t="n">
        <v>1</v>
      </c>
      <c r="T506" t="inlineStr">
        <is>
          <t>LOW (40%)</t>
        </is>
      </c>
      <c r="U506" t="inlineStr">
        <is>
          <t>UNLIKELY</t>
        </is>
      </c>
      <c r="V506" t="inlineStr">
        <is>
          <t>CHECK_VENDOR</t>
        </is>
      </c>
      <c r="W506" t="inlineStr">
        <is>
          <t>https://nvd.nist.gov/vuln/detail/CVE-2025-14055</t>
        </is>
      </c>
      <c r="X506" t="inlineStr">
        <is>
          <t>NONE</t>
        </is>
      </c>
      <c r="Y506" t="n">
        <v>0</v>
      </c>
      <c r="Z506" t="inlineStr"/>
      <c r="AA506" t="inlineStr">
        <is>
          <t>https://nvd.nist.gov/vuln/detail/CVE-2025-14055</t>
        </is>
      </c>
    </row>
    <row r="507">
      <c r="A507" t="inlineStr">
        <is>
          <t>CVE</t>
        </is>
      </c>
      <c r="B507" t="inlineStr">
        <is>
          <t>CVE-2025-14547</t>
        </is>
      </c>
      <c r="C507" t="inlineStr">
        <is>
          <t>An integer underflow vulnerability is present in Silicon Lab’s implementation of PSA Crypto and SE Manager EC-JPAKE APIs during ZKP parsing. Triggering the underflow can lead to a hard fault, causing a temporary denial of service.</t>
        </is>
      </c>
      <c r="D507" t="n">
        <v>5</v>
      </c>
      <c r="E507" t="inlineStr">
        <is>
          <t>MEDIUM</t>
        </is>
      </c>
      <c r="F507" t="n">
        <v>2</v>
      </c>
      <c r="G507" t="n">
        <v>2</v>
      </c>
      <c r="H507" t="inlineStr">
        <is>
          <t>MEDIUM</t>
        </is>
      </c>
      <c r="I507" t="n">
        <v>9</v>
      </c>
      <c r="J507" t="inlineStr">
        <is>
          <t>NO</t>
        </is>
      </c>
      <c r="K507" t="inlineStr">
        <is>
          <t>2026-02-26 00:15</t>
        </is>
      </c>
      <c r="L507" t="inlineStr">
        <is>
          <t>CHECK_VENDOR</t>
        </is>
      </c>
      <c r="M507" t="inlineStr">
        <is>
          <t>See CVE details</t>
        </is>
      </c>
      <c r="N507" t="inlineStr">
        <is>
          <t>P4</t>
        </is>
      </c>
      <c r="O507" t="inlineStr">
        <is>
          <t>CVE - IP enrichment n/a</t>
        </is>
      </c>
      <c r="P507" t="n">
        <v>0</v>
      </c>
      <c r="Q507" t="n">
        <v>0</v>
      </c>
      <c r="R507" t="inlineStr">
        <is>
          <t>T1499:Endpoint Denial of Service</t>
        </is>
      </c>
      <c r="S507" t="n">
        <v>1</v>
      </c>
      <c r="T507" t="inlineStr">
        <is>
          <t>LOW (40%)</t>
        </is>
      </c>
      <c r="U507" t="inlineStr">
        <is>
          <t>UNLIKELY</t>
        </is>
      </c>
      <c r="V507" t="inlineStr">
        <is>
          <t>CHECK_VENDOR</t>
        </is>
      </c>
      <c r="W507" t="inlineStr">
        <is>
          <t>https://nvd.nist.gov/vuln/detail/CVE-2025-14547</t>
        </is>
      </c>
      <c r="X507" t="inlineStr">
        <is>
          <t>NONE</t>
        </is>
      </c>
      <c r="Y507" t="n">
        <v>0</v>
      </c>
      <c r="Z507" t="inlineStr"/>
      <c r="AA507" t="inlineStr">
        <is>
          <t>https://nvd.nist.gov/vuln/detail/CVE-2025-14547</t>
        </is>
      </c>
    </row>
    <row r="508">
      <c r="A508" t="inlineStr">
        <is>
          <t>CVE</t>
        </is>
      </c>
      <c r="B508" t="inlineStr">
        <is>
          <t>CVE-2026-21627</t>
        </is>
      </c>
      <c r="C508" t="inlineStr">
        <is>
          <t>The vulnerability was rooted in how the Tassos Framework plugin handled specific AJAX requests through Joomla’s com_ajax entry point. Under certain conditions, internal framework functionality could be invoked without proper restriction.</t>
        </is>
      </c>
      <c r="D508" t="n">
        <v>5</v>
      </c>
      <c r="E508" t="inlineStr">
        <is>
          <t>MEDIUM</t>
        </is>
      </c>
      <c r="F508" t="n">
        <v>2</v>
      </c>
      <c r="G508" t="n">
        <v>2</v>
      </c>
      <c r="H508" t="inlineStr">
        <is>
          <t>MEDIUM</t>
        </is>
      </c>
      <c r="I508" t="n">
        <v>9</v>
      </c>
      <c r="J508" t="inlineStr">
        <is>
          <t>NO</t>
        </is>
      </c>
      <c r="K508" t="inlineStr">
        <is>
          <t>2026-02-26 00:15</t>
        </is>
      </c>
      <c r="L508" t="inlineStr">
        <is>
          <t>CHECK_VENDOR</t>
        </is>
      </c>
      <c r="M508" t="inlineStr">
        <is>
          <t>See CVE details</t>
        </is>
      </c>
      <c r="N508" t="inlineStr">
        <is>
          <t>P4</t>
        </is>
      </c>
      <c r="O508" t="inlineStr">
        <is>
          <t>CVE - IP enrichment n/a</t>
        </is>
      </c>
      <c r="P508" t="n">
        <v>0.0001</v>
      </c>
      <c r="Q508" t="n">
        <v>0.0187</v>
      </c>
      <c r="R508" t="inlineStr">
        <is>
          <t>T1190:Exploit Public-Facing Application</t>
        </is>
      </c>
      <c r="S508" t="n">
        <v>1</v>
      </c>
      <c r="T508" t="inlineStr">
        <is>
          <t>LOW (40%)</t>
        </is>
      </c>
      <c r="U508" t="inlineStr">
        <is>
          <t>UNLIKELY</t>
        </is>
      </c>
      <c r="V508" t="inlineStr">
        <is>
          <t>CHECK_VENDOR</t>
        </is>
      </c>
      <c r="W508" t="inlineStr">
        <is>
          <t>https://nvd.nist.gov/vuln/detail/CVE-2026-21627</t>
        </is>
      </c>
      <c r="X508" t="inlineStr">
        <is>
          <t>NONE</t>
        </is>
      </c>
      <c r="Y508" t="n">
        <v>0</v>
      </c>
      <c r="Z508" t="inlineStr"/>
      <c r="AA508" t="inlineStr">
        <is>
          <t>https://nvd.nist.gov/vuln/detail/CVE-2026-21627</t>
        </is>
      </c>
    </row>
    <row r="509">
      <c r="A509" t="inlineStr">
        <is>
          <t>CVE</t>
        </is>
      </c>
      <c r="B509" t="inlineStr">
        <is>
          <t>CVE-2024-34438</t>
        </is>
      </c>
      <c r="C509" t="inlineStr">
        <is>
          <t>Missing Authorization vulnerability in Anssi Laitila Shared Files shared-files.This issue affects Shared Files: from n/a through &lt;= 1.7.19.</t>
        </is>
      </c>
      <c r="D509" t="n">
        <v>5.3</v>
      </c>
      <c r="E509" t="inlineStr">
        <is>
          <t>MEDIUM</t>
        </is>
      </c>
      <c r="F509" t="n">
        <v>2</v>
      </c>
      <c r="G509" t="n">
        <v>2</v>
      </c>
      <c r="H509" t="inlineStr">
        <is>
          <t>MEDIUM</t>
        </is>
      </c>
      <c r="I509" t="n">
        <v>9.300000000000001</v>
      </c>
      <c r="J509" t="inlineStr">
        <is>
          <t>NO</t>
        </is>
      </c>
      <c r="K509" t="inlineStr">
        <is>
          <t>2026-02-26 00:15</t>
        </is>
      </c>
      <c r="L509" t="inlineStr">
        <is>
          <t>CHECK_VENDOR</t>
        </is>
      </c>
      <c r="M509" t="inlineStr">
        <is>
          <t>See CVE details</t>
        </is>
      </c>
      <c r="N509" t="inlineStr">
        <is>
          <t>P4</t>
        </is>
      </c>
      <c r="O509" t="inlineStr">
        <is>
          <t>CVE - IP enrichment n/a</t>
        </is>
      </c>
      <c r="P509" t="n">
        <v>0</v>
      </c>
      <c r="Q509" t="n">
        <v>0</v>
      </c>
      <c r="R509" t="inlineStr">
        <is>
          <t>T1190:Exploit Public-Facing Application</t>
        </is>
      </c>
      <c r="S509" t="n">
        <v>1</v>
      </c>
      <c r="T509" t="inlineStr">
        <is>
          <t>LOW (40%)</t>
        </is>
      </c>
      <c r="U509" t="inlineStr">
        <is>
          <t>UNLIKELY</t>
        </is>
      </c>
      <c r="V509" t="inlineStr">
        <is>
          <t>CHECK_VENDOR</t>
        </is>
      </c>
      <c r="W509" t="inlineStr">
        <is>
          <t>https://nvd.nist.gov/vuln/detail/CVE-2024-34438</t>
        </is>
      </c>
      <c r="X509" t="inlineStr">
        <is>
          <t>NONE</t>
        </is>
      </c>
      <c r="Y509" t="n">
        <v>0</v>
      </c>
      <c r="Z509" t="inlineStr"/>
      <c r="AA509" t="inlineStr">
        <is>
          <t>https://nvd.nist.gov/vuln/detail/CVE-2024-34438</t>
        </is>
      </c>
    </row>
    <row r="510">
      <c r="A510" t="inlineStr">
        <is>
          <t>CVE</t>
        </is>
      </c>
      <c r="B510" t="inlineStr">
        <is>
          <t>CVE-2024-43228</t>
        </is>
      </c>
      <c r="C510" t="inlineStr">
        <is>
          <t>Missing Authorization vulnerability in SecuPress SecuPress Free secupress.This issue affects SecuPress Free: from n/a through &lt;= 2.2.5.3.</t>
        </is>
      </c>
      <c r="D510" t="n">
        <v>5</v>
      </c>
      <c r="E510" t="inlineStr">
        <is>
          <t>MEDIUM</t>
        </is>
      </c>
      <c r="F510" t="n">
        <v>2</v>
      </c>
      <c r="G510" t="n">
        <v>2</v>
      </c>
      <c r="H510" t="inlineStr">
        <is>
          <t>MEDIUM</t>
        </is>
      </c>
      <c r="I510" t="n">
        <v>9</v>
      </c>
      <c r="J510" t="inlineStr">
        <is>
          <t>NO</t>
        </is>
      </c>
      <c r="K510" t="inlineStr">
        <is>
          <t>2026-02-26 00:15</t>
        </is>
      </c>
      <c r="L510" t="inlineStr">
        <is>
          <t>CHECK_VENDOR</t>
        </is>
      </c>
      <c r="M510" t="inlineStr">
        <is>
          <t>See CVE details</t>
        </is>
      </c>
      <c r="N510" t="inlineStr">
        <is>
          <t>P4</t>
        </is>
      </c>
      <c r="O510" t="inlineStr">
        <is>
          <t>CVE - IP enrichment n/a</t>
        </is>
      </c>
      <c r="P510" t="n">
        <v>0</v>
      </c>
      <c r="Q510" t="n">
        <v>0</v>
      </c>
      <c r="R510" t="inlineStr">
        <is>
          <t>T1190:Exploit Public-Facing Application</t>
        </is>
      </c>
      <c r="S510" t="n">
        <v>1</v>
      </c>
      <c r="T510" t="inlineStr">
        <is>
          <t>LOW (40%)</t>
        </is>
      </c>
      <c r="U510" t="inlineStr">
        <is>
          <t>UNLIKELY</t>
        </is>
      </c>
      <c r="V510" t="inlineStr">
        <is>
          <t>CHECK_VENDOR</t>
        </is>
      </c>
      <c r="W510" t="inlineStr">
        <is>
          <t>https://nvd.nist.gov/vuln/detail/CVE-2024-43228</t>
        </is>
      </c>
      <c r="X510" t="inlineStr">
        <is>
          <t>NONE</t>
        </is>
      </c>
      <c r="Y510" t="n">
        <v>0</v>
      </c>
      <c r="Z510" t="inlineStr"/>
      <c r="AA510" t="inlineStr">
        <is>
          <t>https://nvd.nist.gov/vuln/detail/CVE-2024-43228</t>
        </is>
      </c>
    </row>
    <row r="511">
      <c r="A511" t="inlineStr">
        <is>
          <t>CVE</t>
        </is>
      </c>
      <c r="B511" t="inlineStr">
        <is>
          <t>CVE-2024-50452</t>
        </is>
      </c>
      <c r="C511" t="inlineStr">
        <is>
          <t>Improper Neutralization of Input During Web Page Generation ('Cross-site Scripting') vulnerability in POSIMYTH Nexter Blocks the-plus-addons-for-block-editor allows Stored XSS.This issue affects Nexter Blocks: from n/a through &lt;= 3.3.3.</t>
        </is>
      </c>
      <c r="D511" t="n">
        <v>6.5</v>
      </c>
      <c r="E511" t="inlineStr">
        <is>
          <t>MEDIUM</t>
        </is>
      </c>
      <c r="F511" t="n">
        <v>2</v>
      </c>
      <c r="G511" t="n">
        <v>2</v>
      </c>
      <c r="H511" t="inlineStr">
        <is>
          <t>MEDIUM</t>
        </is>
      </c>
      <c r="I511" t="n">
        <v>10.5</v>
      </c>
      <c r="J511" t="inlineStr">
        <is>
          <t>NO</t>
        </is>
      </c>
      <c r="K511" t="inlineStr">
        <is>
          <t>2026-02-26 00:15</t>
        </is>
      </c>
      <c r="L511" t="inlineStr">
        <is>
          <t>CHECK_VENDOR</t>
        </is>
      </c>
      <c r="M511" t="inlineStr">
        <is>
          <t>See CVE details</t>
        </is>
      </c>
      <c r="N511" t="inlineStr">
        <is>
          <t>P4</t>
        </is>
      </c>
      <c r="O511" t="inlineStr">
        <is>
          <t>CVE - IP enrichment n/a</t>
        </is>
      </c>
      <c r="P511" t="n">
        <v>0.0003</v>
      </c>
      <c r="Q511" t="n">
        <v>0.0718</v>
      </c>
      <c r="R511" t="inlineStr">
        <is>
          <t>T1189:Drive-by Compromise</t>
        </is>
      </c>
      <c r="S511" t="n">
        <v>1</v>
      </c>
      <c r="T511" t="inlineStr">
        <is>
          <t>LOW (40%)</t>
        </is>
      </c>
      <c r="U511" t="inlineStr">
        <is>
          <t>UNLIKELY</t>
        </is>
      </c>
      <c r="V511" t="inlineStr">
        <is>
          <t>CHECK_VENDOR</t>
        </is>
      </c>
      <c r="W511" t="inlineStr">
        <is>
          <t>https://nvd.nist.gov/vuln/detail/CVE-2024-50452</t>
        </is>
      </c>
      <c r="X511" t="inlineStr">
        <is>
          <t>NONE</t>
        </is>
      </c>
      <c r="Y511" t="n">
        <v>0</v>
      </c>
      <c r="Z511" t="inlineStr"/>
      <c r="AA511" t="inlineStr">
        <is>
          <t>https://nvd.nist.gov/vuln/detail/CVE-2024-50452</t>
        </is>
      </c>
    </row>
    <row r="512">
      <c r="A512" t="inlineStr">
        <is>
          <t>CVE</t>
        </is>
      </c>
      <c r="B512" t="inlineStr">
        <is>
          <t>CVE-2024-50555</t>
        </is>
      </c>
      <c r="C512" t="inlineStr">
        <is>
          <t>Improper Neutralization of Input During Web Page Generation ('Cross-site Scripting') vulnerability in Elementor Elementor Website Builder elementor allows Stored XSS.This issue affects Elementor Website Builder: from n/a through &lt;= 3.29.0.</t>
        </is>
      </c>
      <c r="D512" t="n">
        <v>5</v>
      </c>
      <c r="E512" t="inlineStr">
        <is>
          <t>MEDIUM</t>
        </is>
      </c>
      <c r="F512" t="n">
        <v>2</v>
      </c>
      <c r="G512" t="n">
        <v>2</v>
      </c>
      <c r="H512" t="inlineStr">
        <is>
          <t>MEDIUM</t>
        </is>
      </c>
      <c r="I512" t="n">
        <v>9</v>
      </c>
      <c r="J512" t="inlineStr">
        <is>
          <t>NO</t>
        </is>
      </c>
      <c r="K512" t="inlineStr">
        <is>
          <t>2026-02-26 00:15</t>
        </is>
      </c>
      <c r="L512" t="inlineStr">
        <is>
          <t>CHECK_VENDOR</t>
        </is>
      </c>
      <c r="M512" t="inlineStr">
        <is>
          <t>See CVE details</t>
        </is>
      </c>
      <c r="N512" t="inlineStr">
        <is>
          <t>P4</t>
        </is>
      </c>
      <c r="O512" t="inlineStr">
        <is>
          <t>CVE - IP enrichment n/a</t>
        </is>
      </c>
      <c r="P512" t="n">
        <v>0</v>
      </c>
      <c r="Q512" t="n">
        <v>0</v>
      </c>
      <c r="R512" t="inlineStr">
        <is>
          <t>T1189:Drive-by Compromise</t>
        </is>
      </c>
      <c r="S512" t="n">
        <v>1</v>
      </c>
      <c r="T512" t="inlineStr">
        <is>
          <t>LOW (40%)</t>
        </is>
      </c>
      <c r="U512" t="inlineStr">
        <is>
          <t>UNLIKELY</t>
        </is>
      </c>
      <c r="V512" t="inlineStr">
        <is>
          <t>CHECK_VENDOR</t>
        </is>
      </c>
      <c r="W512" t="inlineStr">
        <is>
          <t>https://nvd.nist.gov/vuln/detail/CVE-2024-50555</t>
        </is>
      </c>
      <c r="X512" t="inlineStr">
        <is>
          <t>NONE</t>
        </is>
      </c>
      <c r="Y512" t="n">
        <v>0</v>
      </c>
      <c r="Z512" t="inlineStr"/>
      <c r="AA512" t="inlineStr">
        <is>
          <t>https://nvd.nist.gov/vuln/detail/CVE-2024-50555</t>
        </is>
      </c>
    </row>
    <row r="513">
      <c r="A513" t="inlineStr">
        <is>
          <t>CVE</t>
        </is>
      </c>
      <c r="B513" t="inlineStr">
        <is>
          <t>CVE-2024-51915</t>
        </is>
      </c>
      <c r="C513" t="inlineStr">
        <is>
          <t>Improper Neutralization of Input During Web Page Generation ('Cross-site Scripting') vulnerability in LiteSpeed Technologies LiteSpeed Cache litespeed-cache allows Stored XSS.This issue affects LiteSpeed Cache: from n/a through &lt;= 6.5.2.</t>
        </is>
      </c>
      <c r="D513" t="n">
        <v>6.5</v>
      </c>
      <c r="E513" t="inlineStr">
        <is>
          <t>MEDIUM</t>
        </is>
      </c>
      <c r="F513" t="n">
        <v>2</v>
      </c>
      <c r="G513" t="n">
        <v>2</v>
      </c>
      <c r="H513" t="inlineStr">
        <is>
          <t>MEDIUM</t>
        </is>
      </c>
      <c r="I513" t="n">
        <v>10.5</v>
      </c>
      <c r="J513" t="inlineStr">
        <is>
          <t>NO</t>
        </is>
      </c>
      <c r="K513" t="inlineStr">
        <is>
          <t>2026-02-26 00:15</t>
        </is>
      </c>
      <c r="L513" t="inlineStr">
        <is>
          <t>CHECK_VENDOR</t>
        </is>
      </c>
      <c r="M513" t="inlineStr">
        <is>
          <t>See CVE details</t>
        </is>
      </c>
      <c r="N513" t="inlineStr">
        <is>
          <t>P4</t>
        </is>
      </c>
      <c r="O513" t="inlineStr">
        <is>
          <t>CVE - IP enrichment n/a</t>
        </is>
      </c>
      <c r="P513" t="n">
        <v>0</v>
      </c>
      <c r="Q513" t="n">
        <v>0</v>
      </c>
      <c r="R513" t="inlineStr">
        <is>
          <t>T1189:Drive-by Compromise</t>
        </is>
      </c>
      <c r="S513" t="n">
        <v>1</v>
      </c>
      <c r="T513" t="inlineStr">
        <is>
          <t>LOW (40%)</t>
        </is>
      </c>
      <c r="U513" t="inlineStr">
        <is>
          <t>UNLIKELY</t>
        </is>
      </c>
      <c r="V513" t="inlineStr">
        <is>
          <t>CHECK_VENDOR</t>
        </is>
      </c>
      <c r="W513" t="inlineStr">
        <is>
          <t>https://nvd.nist.gov/vuln/detail/CVE-2024-51915</t>
        </is>
      </c>
      <c r="X513" t="inlineStr">
        <is>
          <t>NONE</t>
        </is>
      </c>
      <c r="Y513" t="n">
        <v>0</v>
      </c>
      <c r="Z513" t="inlineStr"/>
      <c r="AA513" t="inlineStr">
        <is>
          <t>https://nvd.nist.gov/vuln/detail/CVE-2024-51915</t>
        </is>
      </c>
    </row>
    <row r="514">
      <c r="A514" t="inlineStr">
        <is>
          <t>CVE</t>
        </is>
      </c>
      <c r="B514" t="inlineStr">
        <is>
          <t>CVE-2024-52387</t>
        </is>
      </c>
      <c r="C514" t="inlineStr">
        <is>
          <t>Improper Neutralization of Input During Web Page Generation ('Cross-site Scripting') vulnerability in Liton Arefin Master Addons for Elementor master-addons allows Stored XSS.This issue affects Master Addons for Elementor: from n/a through &lt;= 2.0.9.9.4.</t>
        </is>
      </c>
      <c r="D514" t="n">
        <v>5</v>
      </c>
      <c r="E514" t="inlineStr">
        <is>
          <t>MEDIUM</t>
        </is>
      </c>
      <c r="F514" t="n">
        <v>2</v>
      </c>
      <c r="G514" t="n">
        <v>2</v>
      </c>
      <c r="H514" t="inlineStr">
        <is>
          <t>MEDIUM</t>
        </is>
      </c>
      <c r="I514" t="n">
        <v>9</v>
      </c>
      <c r="J514" t="inlineStr">
        <is>
          <t>NO</t>
        </is>
      </c>
      <c r="K514" t="inlineStr">
        <is>
          <t>2026-02-26 00:15</t>
        </is>
      </c>
      <c r="L514" t="inlineStr">
        <is>
          <t>CHECK_VENDOR</t>
        </is>
      </c>
      <c r="M514" t="inlineStr">
        <is>
          <t>See CVE details</t>
        </is>
      </c>
      <c r="N514" t="inlineStr">
        <is>
          <t>P4</t>
        </is>
      </c>
      <c r="O514" t="inlineStr">
        <is>
          <t>CVE - IP enrichment n/a</t>
        </is>
      </c>
      <c r="P514" t="n">
        <v>0.0013</v>
      </c>
      <c r="Q514" t="n">
        <v>0.3246</v>
      </c>
      <c r="R514" t="inlineStr">
        <is>
          <t>T1189:Drive-by Compromise</t>
        </is>
      </c>
      <c r="S514" t="n">
        <v>1</v>
      </c>
      <c r="T514" t="inlineStr">
        <is>
          <t>LOW (40%)</t>
        </is>
      </c>
      <c r="U514" t="inlineStr">
        <is>
          <t>UNLIKELY</t>
        </is>
      </c>
      <c r="V514" t="inlineStr">
        <is>
          <t>CHECK_VENDOR</t>
        </is>
      </c>
      <c r="W514" t="inlineStr">
        <is>
          <t>https://nvd.nist.gov/vuln/detail/CVE-2024-52387</t>
        </is>
      </c>
      <c r="X514" t="inlineStr">
        <is>
          <t>NONE</t>
        </is>
      </c>
      <c r="Y514" t="n">
        <v>0</v>
      </c>
      <c r="Z514" t="inlineStr"/>
      <c r="AA514" t="inlineStr">
        <is>
          <t>https://nvd.nist.gov/vuln/detail/CVE-2024-52387</t>
        </is>
      </c>
    </row>
    <row r="515">
      <c r="A515" t="inlineStr">
        <is>
          <t>CVE</t>
        </is>
      </c>
      <c r="B515" t="inlineStr">
        <is>
          <t>CVE-2024-54222</t>
        </is>
      </c>
      <c r="C515" t="inlineStr">
        <is>
          <t>Missing Authorization vulnerability in Seraphinite Solutions Seraphinite Accelerator seraphinite-accelerator allows Retrieve Embedded Sensitive Data.This issue affects Seraphinite Accelerator: from n/a through &lt;= 2.22.15.</t>
        </is>
      </c>
      <c r="D515" t="n">
        <v>4.3</v>
      </c>
      <c r="E515" t="inlineStr">
        <is>
          <t>MEDIUM</t>
        </is>
      </c>
      <c r="F515" t="n">
        <v>2</v>
      </c>
      <c r="G515" t="n">
        <v>2</v>
      </c>
      <c r="H515" t="inlineStr">
        <is>
          <t>MEDIUM</t>
        </is>
      </c>
      <c r="I515" t="n">
        <v>8.300000000000001</v>
      </c>
      <c r="J515" t="inlineStr">
        <is>
          <t>NO</t>
        </is>
      </c>
      <c r="K515" t="inlineStr">
        <is>
          <t>2026-02-26 00:15</t>
        </is>
      </c>
      <c r="L515" t="inlineStr">
        <is>
          <t>CHECK_VENDOR</t>
        </is>
      </c>
      <c r="M515" t="inlineStr">
        <is>
          <t>See CVE details</t>
        </is>
      </c>
      <c r="N515" t="inlineStr">
        <is>
          <t>P4</t>
        </is>
      </c>
      <c r="O515" t="inlineStr">
        <is>
          <t>CVE - IP enrichment n/a</t>
        </is>
      </c>
      <c r="P515" t="n">
        <v>0</v>
      </c>
      <c r="Q515" t="n">
        <v>0</v>
      </c>
      <c r="R515" t="inlineStr">
        <is>
          <t>T1190:Exploit Public-Facing Application</t>
        </is>
      </c>
      <c r="S515" t="n">
        <v>1</v>
      </c>
      <c r="T515" t="inlineStr">
        <is>
          <t>LOW (40%)</t>
        </is>
      </c>
      <c r="U515" t="inlineStr">
        <is>
          <t>UNLIKELY</t>
        </is>
      </c>
      <c r="V515" t="inlineStr">
        <is>
          <t>CHECK_VENDOR</t>
        </is>
      </c>
      <c r="W515" t="inlineStr">
        <is>
          <t>https://nvd.nist.gov/vuln/detail/CVE-2024-54222</t>
        </is>
      </c>
      <c r="X515" t="inlineStr">
        <is>
          <t>NONE</t>
        </is>
      </c>
      <c r="Y515" t="n">
        <v>0</v>
      </c>
      <c r="Z515" t="inlineStr"/>
      <c r="AA515" t="inlineStr">
        <is>
          <t>https://nvd.nist.gov/vuln/detail/CVE-2024-54222</t>
        </is>
      </c>
    </row>
    <row r="516">
      <c r="A516" t="inlineStr">
        <is>
          <t>CVE</t>
        </is>
      </c>
      <c r="B516" t="inlineStr">
        <is>
          <t>CVE-2024-56208</t>
        </is>
      </c>
      <c r="C516" t="inlineStr">
        <is>
          <t>Improper Neutralization of Input During Web Page Generation ('Cross-site Scripting') vulnerability in desertthemes NewsMash newsmash allows Stored XSS.This issue affects NewsMash: from n/a through &lt;= 1.0.71.</t>
        </is>
      </c>
      <c r="D516" t="n">
        <v>5</v>
      </c>
      <c r="E516" t="inlineStr">
        <is>
          <t>MEDIUM</t>
        </is>
      </c>
      <c r="F516" t="n">
        <v>2</v>
      </c>
      <c r="G516" t="n">
        <v>2</v>
      </c>
      <c r="H516" t="inlineStr">
        <is>
          <t>MEDIUM</t>
        </is>
      </c>
      <c r="I516" t="n">
        <v>9</v>
      </c>
      <c r="J516" t="inlineStr">
        <is>
          <t>NO</t>
        </is>
      </c>
      <c r="K516" t="inlineStr">
        <is>
          <t>2026-02-26 00:15</t>
        </is>
      </c>
      <c r="L516" t="inlineStr">
        <is>
          <t>CHECK_VENDOR</t>
        </is>
      </c>
      <c r="M516" t="inlineStr">
        <is>
          <t>See CVE details</t>
        </is>
      </c>
      <c r="N516" t="inlineStr">
        <is>
          <t>P4</t>
        </is>
      </c>
      <c r="O516" t="inlineStr">
        <is>
          <t>CVE - IP enrichment n/a</t>
        </is>
      </c>
      <c r="P516" t="n">
        <v>0</v>
      </c>
      <c r="Q516" t="n">
        <v>0</v>
      </c>
      <c r="R516" t="inlineStr">
        <is>
          <t>T1189:Drive-by Compromise</t>
        </is>
      </c>
      <c r="S516" t="n">
        <v>1</v>
      </c>
      <c r="T516" t="inlineStr">
        <is>
          <t>LOW (40%)</t>
        </is>
      </c>
      <c r="U516" t="inlineStr">
        <is>
          <t>UNLIKELY</t>
        </is>
      </c>
      <c r="V516" t="inlineStr">
        <is>
          <t>CHECK_VENDOR</t>
        </is>
      </c>
      <c r="W516" t="inlineStr">
        <is>
          <t>https://nvd.nist.gov/vuln/detail/CVE-2024-56208</t>
        </is>
      </c>
      <c r="X516" t="inlineStr">
        <is>
          <t>NONE</t>
        </is>
      </c>
      <c r="Y516" t="n">
        <v>0</v>
      </c>
      <c r="Z516" t="inlineStr"/>
      <c r="AA516" t="inlineStr">
        <is>
          <t>https://nvd.nist.gov/vuln/detail/CVE-2024-56208</t>
        </is>
      </c>
    </row>
    <row r="517">
      <c r="A517" t="inlineStr">
        <is>
          <t>CVE</t>
        </is>
      </c>
      <c r="B517" t="inlineStr">
        <is>
          <t>CVE-2025-52603</t>
        </is>
      </c>
      <c r="C517" t="inlineStr">
        <is>
          <t>HCL Connections is vulnerable to information disclosure.  In a very specific user navigation scenario, this could allow a user to obtain limited information when a single piece of internal metadata is returned in the browser.</t>
        </is>
      </c>
      <c r="D517" t="n">
        <v>3.5</v>
      </c>
      <c r="E517" t="inlineStr">
        <is>
          <t>LOW</t>
        </is>
      </c>
      <c r="F517" t="n">
        <v>2</v>
      </c>
      <c r="G517" t="n">
        <v>1</v>
      </c>
      <c r="H517" t="inlineStr">
        <is>
          <t>LOW</t>
        </is>
      </c>
      <c r="I517" t="n">
        <v>5.5</v>
      </c>
      <c r="J517" t="inlineStr">
        <is>
          <t>NO</t>
        </is>
      </c>
      <c r="K517" t="inlineStr">
        <is>
          <t>2026-02-26 00:15</t>
        </is>
      </c>
      <c r="L517" t="inlineStr">
        <is>
          <t>YES</t>
        </is>
      </c>
      <c r="M517" t="inlineStr">
        <is>
          <t>hcltech connections 7.0 | hcltech connections 8.0</t>
        </is>
      </c>
      <c r="N517" t="inlineStr">
        <is>
          <t>P4</t>
        </is>
      </c>
      <c r="O517" t="inlineStr">
        <is>
          <t>CVE - IP enrichment n/a</t>
        </is>
      </c>
      <c r="P517" t="n">
        <v>0</v>
      </c>
      <c r="Q517" t="n">
        <v>0</v>
      </c>
      <c r="R517" t="inlineStr">
        <is>
          <t>T1213:Data from Information Repositories</t>
        </is>
      </c>
      <c r="S517" t="n">
        <v>1</v>
      </c>
      <c r="T517" t="inlineStr">
        <is>
          <t>LOW (40%)</t>
        </is>
      </c>
      <c r="U517" t="inlineStr">
        <is>
          <t>UNLIKELY</t>
        </is>
      </c>
      <c r="V517" t="inlineStr">
        <is>
          <t>PATCH_AVAILABLE</t>
        </is>
      </c>
      <c r="W517" t="inlineStr">
        <is>
          <t>https://nvd.nist.gov/vuln/detail/CVE-2025-52603</t>
        </is>
      </c>
      <c r="X517" t="inlineStr">
        <is>
          <t>NONE</t>
        </is>
      </c>
      <c r="Y517" t="n">
        <v>0</v>
      </c>
      <c r="Z517" t="inlineStr"/>
      <c r="AA517" t="inlineStr">
        <is>
          <t>https://nvd.nist.gov/vuln/detail/CVE-2025-52603</t>
        </is>
      </c>
    </row>
    <row r="518">
      <c r="A518" t="inlineStr">
        <is>
          <t>CVE</t>
        </is>
      </c>
      <c r="B518" t="inlineStr">
        <is>
          <t>CVE-2025-52744</t>
        </is>
      </c>
      <c r="C518" t="inlineStr">
        <is>
          <t>Improper Control of Generation of Code ('Code Injection') vulnerability in inpersttion Inpersttion For Theme err-our-team allows Code Injection.This issue affects Inpersttion For Theme: from n/a through &lt;= 1.0.</t>
        </is>
      </c>
      <c r="D518" t="n">
        <v>7.6</v>
      </c>
      <c r="E518" t="inlineStr">
        <is>
          <t>HIGH</t>
        </is>
      </c>
      <c r="F518" t="n">
        <v>2</v>
      </c>
      <c r="G518" t="n">
        <v>3</v>
      </c>
      <c r="H518" t="inlineStr">
        <is>
          <t>HIGH</t>
        </is>
      </c>
      <c r="I518" t="n">
        <v>13.6</v>
      </c>
      <c r="J518" t="inlineStr">
        <is>
          <t>NO</t>
        </is>
      </c>
      <c r="K518" t="inlineStr">
        <is>
          <t>2026-02-26 00:15</t>
        </is>
      </c>
      <c r="L518" t="inlineStr">
        <is>
          <t>CHECK_VENDOR</t>
        </is>
      </c>
      <c r="M518" t="inlineStr">
        <is>
          <t>See CVE details</t>
        </is>
      </c>
      <c r="N518" t="inlineStr">
        <is>
          <t>P3</t>
        </is>
      </c>
      <c r="O518" t="inlineStr">
        <is>
          <t>CVE - IP enrichment n/a</t>
        </is>
      </c>
      <c r="P518" t="n">
        <v>0</v>
      </c>
      <c r="Q518" t="n">
        <v>0</v>
      </c>
      <c r="R518" t="inlineStr">
        <is>
          <t>T1059:Command and Scripting Interpreter</t>
        </is>
      </c>
      <c r="S518" t="n">
        <v>1</v>
      </c>
      <c r="T518" t="inlineStr">
        <is>
          <t>LOW (40%)</t>
        </is>
      </c>
      <c r="U518" t="inlineStr">
        <is>
          <t>UNLIKELY</t>
        </is>
      </c>
      <c r="V518" t="inlineStr">
        <is>
          <t>CHECK_VENDOR</t>
        </is>
      </c>
      <c r="W518" t="inlineStr">
        <is>
          <t>https://nvd.nist.gov/vuln/detail/CVE-2025-52744</t>
        </is>
      </c>
      <c r="X518" t="inlineStr">
        <is>
          <t>NONE</t>
        </is>
      </c>
      <c r="Y518" t="n">
        <v>0</v>
      </c>
      <c r="Z518" t="inlineStr"/>
      <c r="AA518" t="inlineStr">
        <is>
          <t>https://nvd.nist.gov/vuln/detail/CVE-2025-52744</t>
        </is>
      </c>
    </row>
    <row r="519">
      <c r="A519" t="inlineStr">
        <is>
          <t>CVE</t>
        </is>
      </c>
      <c r="B519" t="inlineStr">
        <is>
          <t>CVE-2025-53217</t>
        </is>
      </c>
      <c r="C519" t="inlineStr">
        <is>
          <t>Missing Authorization vulnerability in staviravn AIO WP Builder all-in-one-wp-builder allows Exploiting Incorrectly Configured Access Control Security Levels.This issue affects AIO WP Builder: from n/a through &lt;= 2.0.2.</t>
        </is>
      </c>
      <c r="D519" t="n">
        <v>5</v>
      </c>
      <c r="E519" t="inlineStr">
        <is>
          <t>MEDIUM</t>
        </is>
      </c>
      <c r="F519" t="n">
        <v>2</v>
      </c>
      <c r="G519" t="n">
        <v>2</v>
      </c>
      <c r="H519" t="inlineStr">
        <is>
          <t>MEDIUM</t>
        </is>
      </c>
      <c r="I519" t="n">
        <v>9</v>
      </c>
      <c r="J519" t="inlineStr">
        <is>
          <t>NO</t>
        </is>
      </c>
      <c r="K519" t="inlineStr">
        <is>
          <t>2026-02-26 00:15</t>
        </is>
      </c>
      <c r="L519" t="inlineStr">
        <is>
          <t>CHECK_VENDOR</t>
        </is>
      </c>
      <c r="M519" t="inlineStr">
        <is>
          <t>See CVE details</t>
        </is>
      </c>
      <c r="N519" t="inlineStr">
        <is>
          <t>P4</t>
        </is>
      </c>
      <c r="O519" t="inlineStr">
        <is>
          <t>CVE - IP enrichment n/a</t>
        </is>
      </c>
      <c r="P519" t="n">
        <v>0</v>
      </c>
      <c r="Q519" t="n">
        <v>0</v>
      </c>
      <c r="R519" t="inlineStr">
        <is>
          <t>T1190:Exploit Public-Facing Application</t>
        </is>
      </c>
      <c r="S519" t="n">
        <v>1</v>
      </c>
      <c r="T519" t="inlineStr">
        <is>
          <t>LOW (40%)</t>
        </is>
      </c>
      <c r="U519" t="inlineStr">
        <is>
          <t>UNLIKELY</t>
        </is>
      </c>
      <c r="V519" t="inlineStr">
        <is>
          <t>CHECK_VENDOR</t>
        </is>
      </c>
      <c r="W519" t="inlineStr">
        <is>
          <t>https://nvd.nist.gov/vuln/detail/CVE-2025-53217</t>
        </is>
      </c>
      <c r="X519" t="inlineStr">
        <is>
          <t>NONE</t>
        </is>
      </c>
      <c r="Y519" t="n">
        <v>0</v>
      </c>
      <c r="Z519" t="inlineStr"/>
      <c r="AA519" t="inlineStr">
        <is>
          <t>https://nvd.nist.gov/vuln/detail/CVE-2025-53217</t>
        </is>
      </c>
    </row>
    <row r="520">
      <c r="A520" t="inlineStr">
        <is>
          <t>CVE</t>
        </is>
      </c>
      <c r="B520" t="inlineStr">
        <is>
          <t>CVE-2025-53228</t>
        </is>
      </c>
      <c r="C520" t="inlineStr">
        <is>
          <t>Improper Neutralization of Input During Web Page Generation ('Cross-site Scripting') vulnerability in jezza101 bbpress Simple Advert Units bbpress-simple-advert-units allows Reflected XSS.This issue affects bbpress Simple Advert Units: from n/a through &lt;= 0.41.</t>
        </is>
      </c>
      <c r="D520" t="n">
        <v>7.1</v>
      </c>
      <c r="E520" t="inlineStr">
        <is>
          <t>HIGH</t>
        </is>
      </c>
      <c r="F520" t="n">
        <v>2</v>
      </c>
      <c r="G520" t="n">
        <v>3</v>
      </c>
      <c r="H520" t="inlineStr">
        <is>
          <t>HIGH</t>
        </is>
      </c>
      <c r="I520" t="n">
        <v>13.1</v>
      </c>
      <c r="J520" t="inlineStr">
        <is>
          <t>NO</t>
        </is>
      </c>
      <c r="K520" t="inlineStr">
        <is>
          <t>2026-02-26 00:15</t>
        </is>
      </c>
      <c r="L520" t="inlineStr">
        <is>
          <t>CHECK_VENDOR</t>
        </is>
      </c>
      <c r="M520" t="inlineStr">
        <is>
          <t>See CVE details</t>
        </is>
      </c>
      <c r="N520" t="inlineStr">
        <is>
          <t>P3</t>
        </is>
      </c>
      <c r="O520" t="inlineStr">
        <is>
          <t>CVE - IP enrichment n/a</t>
        </is>
      </c>
      <c r="P520" t="n">
        <v>0</v>
      </c>
      <c r="Q520" t="n">
        <v>0</v>
      </c>
      <c r="R520" t="inlineStr">
        <is>
          <t>T1189:Drive-by Compromise</t>
        </is>
      </c>
      <c r="S520" t="n">
        <v>1</v>
      </c>
      <c r="T520" t="inlineStr">
        <is>
          <t>LOW (40%)</t>
        </is>
      </c>
      <c r="U520" t="inlineStr">
        <is>
          <t>UNLIKELY</t>
        </is>
      </c>
      <c r="V520" t="inlineStr">
        <is>
          <t>CHECK_VENDOR</t>
        </is>
      </c>
      <c r="W520" t="inlineStr">
        <is>
          <t>https://nvd.nist.gov/vuln/detail/CVE-2025-53228</t>
        </is>
      </c>
      <c r="X520" t="inlineStr">
        <is>
          <t>NONE</t>
        </is>
      </c>
      <c r="Y520" t="n">
        <v>0</v>
      </c>
      <c r="Z520" t="inlineStr"/>
      <c r="AA520" t="inlineStr">
        <is>
          <t>https://nvd.nist.gov/vuln/detail/CVE-2025-53228</t>
        </is>
      </c>
    </row>
    <row r="521">
      <c r="A521" t="inlineStr">
        <is>
          <t>CVE</t>
        </is>
      </c>
      <c r="B521" t="inlineStr">
        <is>
          <t>CVE-2025-53231</t>
        </is>
      </c>
      <c r="C521" t="inlineStr">
        <is>
          <t>Improper Neutralization of Input During Web Page Generation ('Cross-site Scripting') vulnerability in wpdevstudio Easy Taxonomy Images easy-taxonomy-images allows Stored XSS.This issue affects Easy Taxonomy Images: from n/a through &lt;= 1.0.1.</t>
        </is>
      </c>
      <c r="D521" t="n">
        <v>7.1</v>
      </c>
      <c r="E521" t="inlineStr">
        <is>
          <t>HIGH</t>
        </is>
      </c>
      <c r="F521" t="n">
        <v>2</v>
      </c>
      <c r="G521" t="n">
        <v>3</v>
      </c>
      <c r="H521" t="inlineStr">
        <is>
          <t>HIGH</t>
        </is>
      </c>
      <c r="I521" t="n">
        <v>13.1</v>
      </c>
      <c r="J521" t="inlineStr">
        <is>
          <t>NO</t>
        </is>
      </c>
      <c r="K521" t="inlineStr">
        <is>
          <t>2026-02-26 00:15</t>
        </is>
      </c>
      <c r="L521" t="inlineStr">
        <is>
          <t>CHECK_VENDOR</t>
        </is>
      </c>
      <c r="M521" t="inlineStr">
        <is>
          <t>See CVE details</t>
        </is>
      </c>
      <c r="N521" t="inlineStr">
        <is>
          <t>P3</t>
        </is>
      </c>
      <c r="O521" t="inlineStr">
        <is>
          <t>CVE - IP enrichment n/a</t>
        </is>
      </c>
      <c r="P521" t="n">
        <v>0</v>
      </c>
      <c r="Q521" t="n">
        <v>0</v>
      </c>
      <c r="R521" t="inlineStr">
        <is>
          <t>T1189:Drive-by Compromise</t>
        </is>
      </c>
      <c r="S521" t="n">
        <v>1</v>
      </c>
      <c r="T521" t="inlineStr">
        <is>
          <t>LOW (40%)</t>
        </is>
      </c>
      <c r="U521" t="inlineStr">
        <is>
          <t>UNLIKELY</t>
        </is>
      </c>
      <c r="V521" t="inlineStr">
        <is>
          <t>CHECK_VENDOR</t>
        </is>
      </c>
      <c r="W521" t="inlineStr">
        <is>
          <t>https://nvd.nist.gov/vuln/detail/CVE-2025-53231</t>
        </is>
      </c>
      <c r="X521" t="inlineStr">
        <is>
          <t>NONE</t>
        </is>
      </c>
      <c r="Y521" t="n">
        <v>0</v>
      </c>
      <c r="Z521" t="inlineStr"/>
      <c r="AA521" t="inlineStr">
        <is>
          <t>https://nvd.nist.gov/vuln/detail/CVE-2025-53231</t>
        </is>
      </c>
    </row>
    <row r="522">
      <c r="A522" t="inlineStr">
        <is>
          <t>CVE</t>
        </is>
      </c>
      <c r="B522" t="inlineStr">
        <is>
          <t>CVE-2025-53233</t>
        </is>
      </c>
      <c r="C522" t="inlineStr">
        <is>
          <t>Improper Neutralization of Input During Web Page Generation ('Cross-site Scripting') vulnerability in RylanH Storyform storyform allows Reflected XSS.This issue affects Storyform: from n/a through &lt;= 0.6.14.</t>
        </is>
      </c>
      <c r="D522" t="n">
        <v>7.1</v>
      </c>
      <c r="E522" t="inlineStr">
        <is>
          <t>HIGH</t>
        </is>
      </c>
      <c r="F522" t="n">
        <v>2</v>
      </c>
      <c r="G522" t="n">
        <v>3</v>
      </c>
      <c r="H522" t="inlineStr">
        <is>
          <t>HIGH</t>
        </is>
      </c>
      <c r="I522" t="n">
        <v>13.1</v>
      </c>
      <c r="J522" t="inlineStr">
        <is>
          <t>NO</t>
        </is>
      </c>
      <c r="K522" t="inlineStr">
        <is>
          <t>2026-02-26 00:15</t>
        </is>
      </c>
      <c r="L522" t="inlineStr">
        <is>
          <t>CHECK_VENDOR</t>
        </is>
      </c>
      <c r="M522" t="inlineStr">
        <is>
          <t>See CVE details</t>
        </is>
      </c>
      <c r="N522" t="inlineStr">
        <is>
          <t>P3</t>
        </is>
      </c>
      <c r="O522" t="inlineStr">
        <is>
          <t>CVE - IP enrichment n/a</t>
        </is>
      </c>
      <c r="P522" t="n">
        <v>0</v>
      </c>
      <c r="Q522" t="n">
        <v>0</v>
      </c>
      <c r="R522" t="inlineStr">
        <is>
          <t>T1189:Drive-by Compromise</t>
        </is>
      </c>
      <c r="S522" t="n">
        <v>1</v>
      </c>
      <c r="T522" t="inlineStr">
        <is>
          <t>LOW (40%)</t>
        </is>
      </c>
      <c r="U522" t="inlineStr">
        <is>
          <t>UNLIKELY</t>
        </is>
      </c>
      <c r="V522" t="inlineStr">
        <is>
          <t>CHECK_VENDOR</t>
        </is>
      </c>
      <c r="W522" t="inlineStr">
        <is>
          <t>https://nvd.nist.gov/vuln/detail/CVE-2025-53233</t>
        </is>
      </c>
      <c r="X522" t="inlineStr">
        <is>
          <t>NONE</t>
        </is>
      </c>
      <c r="Y522" t="n">
        <v>0</v>
      </c>
      <c r="Z522" t="inlineStr"/>
      <c r="AA522" t="inlineStr">
        <is>
          <t>https://nvd.nist.gov/vuln/detail/CVE-2025-53233</t>
        </is>
      </c>
    </row>
    <row r="523">
      <c r="A523" t="inlineStr">
        <is>
          <t>CVE</t>
        </is>
      </c>
      <c r="B523" t="inlineStr">
        <is>
          <t>CVE-2025-53237</t>
        </is>
      </c>
      <c r="C523" t="inlineStr">
        <is>
          <t>Improper Neutralization of Input During Web Page Generation ('Cross-site Scripting') vulnerability in Soflyy WP Wizard Cloak wp-wizard-cloak allows Reflected XSS.This issue affects WP Wizard Cloak: from n/a through &lt;= 1.0.1.</t>
        </is>
      </c>
      <c r="D523" t="n">
        <v>7.1</v>
      </c>
      <c r="E523" t="inlineStr">
        <is>
          <t>HIGH</t>
        </is>
      </c>
      <c r="F523" t="n">
        <v>2</v>
      </c>
      <c r="G523" t="n">
        <v>3</v>
      </c>
      <c r="H523" t="inlineStr">
        <is>
          <t>HIGH</t>
        </is>
      </c>
      <c r="I523" t="n">
        <v>13.1</v>
      </c>
      <c r="J523" t="inlineStr">
        <is>
          <t>NO</t>
        </is>
      </c>
      <c r="K523" t="inlineStr">
        <is>
          <t>2026-02-26 00:15</t>
        </is>
      </c>
      <c r="L523" t="inlineStr">
        <is>
          <t>CHECK_VENDOR</t>
        </is>
      </c>
      <c r="M523" t="inlineStr">
        <is>
          <t>See CVE details</t>
        </is>
      </c>
      <c r="N523" t="inlineStr">
        <is>
          <t>P3</t>
        </is>
      </c>
      <c r="O523" t="inlineStr">
        <is>
          <t>CVE - IP enrichment n/a</t>
        </is>
      </c>
      <c r="P523" t="n">
        <v>0</v>
      </c>
      <c r="Q523" t="n">
        <v>0</v>
      </c>
      <c r="R523" t="inlineStr">
        <is>
          <t>T1189:Drive-by Compromise</t>
        </is>
      </c>
      <c r="S523" t="n">
        <v>1</v>
      </c>
      <c r="T523" t="inlineStr">
        <is>
          <t>LOW (40%)</t>
        </is>
      </c>
      <c r="U523" t="inlineStr">
        <is>
          <t>UNLIKELY</t>
        </is>
      </c>
      <c r="V523" t="inlineStr">
        <is>
          <t>CHECK_VENDOR</t>
        </is>
      </c>
      <c r="W523" t="inlineStr">
        <is>
          <t>https://nvd.nist.gov/vuln/detail/CVE-2025-53237</t>
        </is>
      </c>
      <c r="X523" t="inlineStr">
        <is>
          <t>NONE</t>
        </is>
      </c>
      <c r="Y523" t="n">
        <v>0</v>
      </c>
      <c r="Z523" t="inlineStr"/>
      <c r="AA523" t="inlineStr">
        <is>
          <t>https://nvd.nist.gov/vuln/detail/CVE-2025-53237</t>
        </is>
      </c>
    </row>
    <row r="524">
      <c r="A524" t="inlineStr">
        <is>
          <t>CVE</t>
        </is>
      </c>
      <c r="B524" t="inlineStr">
        <is>
          <t>CVE-2025-60087</t>
        </is>
      </c>
      <c r="C524" t="inlineStr">
        <is>
          <t>Improper Control of Filename for Include/Require Statement in PHP Program ('PHP Remote File Inclusion') vulnerability in Nenad Obradovic Extensive VC Addons for WPBakery page builder extensive-vc-addon allows PHP Local File Inclusion.This issue affects Extensive VC Addons for WPBakery page builder: from n/a through &lt;= 1.9.1.</t>
        </is>
      </c>
      <c r="D524" t="n">
        <v>8.1</v>
      </c>
      <c r="E524" t="inlineStr">
        <is>
          <t>HIGH</t>
        </is>
      </c>
      <c r="F524" t="n">
        <v>2</v>
      </c>
      <c r="G524" t="n">
        <v>3</v>
      </c>
      <c r="H524" t="inlineStr">
        <is>
          <t>HIGH</t>
        </is>
      </c>
      <c r="I524" t="n">
        <v>14.1</v>
      </c>
      <c r="J524" t="inlineStr">
        <is>
          <t>NO</t>
        </is>
      </c>
      <c r="K524" t="inlineStr">
        <is>
          <t>2026-02-26 00:15</t>
        </is>
      </c>
      <c r="L524" t="inlineStr">
        <is>
          <t>CHECK_VENDOR</t>
        </is>
      </c>
      <c r="M524" t="inlineStr">
        <is>
          <t>See CVE details</t>
        </is>
      </c>
      <c r="N524" t="inlineStr">
        <is>
          <t>P3</t>
        </is>
      </c>
      <c r="O524" t="inlineStr">
        <is>
          <t>CVE - IP enrichment n/a</t>
        </is>
      </c>
      <c r="P524" t="n">
        <v>0</v>
      </c>
      <c r="Q524" t="n">
        <v>0</v>
      </c>
      <c r="R524" t="inlineStr">
        <is>
          <t>T1190:Exploit Public-Facing Application</t>
        </is>
      </c>
      <c r="S524" t="n">
        <v>1</v>
      </c>
      <c r="T524" t="inlineStr">
        <is>
          <t>LOW (40%)</t>
        </is>
      </c>
      <c r="U524" t="inlineStr">
        <is>
          <t>UNLIKELY</t>
        </is>
      </c>
      <c r="V524" t="inlineStr">
        <is>
          <t>CHECK_VENDOR</t>
        </is>
      </c>
      <c r="W524" t="inlineStr">
        <is>
          <t>https://nvd.nist.gov/vuln/detail/CVE-2025-60087</t>
        </is>
      </c>
      <c r="X524" t="inlineStr">
        <is>
          <t>NONE</t>
        </is>
      </c>
      <c r="Y524" t="n">
        <v>0</v>
      </c>
      <c r="Z524" t="inlineStr"/>
      <c r="AA524" t="inlineStr">
        <is>
          <t>https://nvd.nist.gov/vuln/detail/CVE-2025-60087</t>
        </is>
      </c>
    </row>
    <row r="525">
      <c r="A525" t="inlineStr">
        <is>
          <t>CVE</t>
        </is>
      </c>
      <c r="B525" t="inlineStr">
        <is>
          <t>CVE-2025-60183</t>
        </is>
      </c>
      <c r="C525" t="inlineStr">
        <is>
          <t>Improper Neutralization of Input During Web Page Generation ('Cross-site Scripting') vulnerability in silence Silencesoft RSS Reader external-rss-reader allows Stored XSS.This issue affects Silencesoft RSS Reader: from n/a through &lt;= 0.6.</t>
        </is>
      </c>
      <c r="D525" t="n">
        <v>5</v>
      </c>
      <c r="E525" t="inlineStr">
        <is>
          <t>MEDIUM</t>
        </is>
      </c>
      <c r="F525" t="n">
        <v>2</v>
      </c>
      <c r="G525" t="n">
        <v>2</v>
      </c>
      <c r="H525" t="inlineStr">
        <is>
          <t>MEDIUM</t>
        </is>
      </c>
      <c r="I525" t="n">
        <v>9</v>
      </c>
      <c r="J525" t="inlineStr">
        <is>
          <t>NO</t>
        </is>
      </c>
      <c r="K525" t="inlineStr">
        <is>
          <t>2026-02-26 00:15</t>
        </is>
      </c>
      <c r="L525" t="inlineStr">
        <is>
          <t>CHECK_VENDOR</t>
        </is>
      </c>
      <c r="M525" t="inlineStr">
        <is>
          <t>See CVE details</t>
        </is>
      </c>
      <c r="N525" t="inlineStr">
        <is>
          <t>P4</t>
        </is>
      </c>
      <c r="O525" t="inlineStr">
        <is>
          <t>CVE - IP enrichment n/a</t>
        </is>
      </c>
      <c r="P525" t="n">
        <v>0</v>
      </c>
      <c r="Q525" t="n">
        <v>0</v>
      </c>
      <c r="R525" t="inlineStr">
        <is>
          <t>T1189:Drive-by Compromise</t>
        </is>
      </c>
      <c r="S525" t="n">
        <v>1</v>
      </c>
      <c r="T525" t="inlineStr">
        <is>
          <t>LOW (40%)</t>
        </is>
      </c>
      <c r="U525" t="inlineStr">
        <is>
          <t>UNLIKELY</t>
        </is>
      </c>
      <c r="V525" t="inlineStr">
        <is>
          <t>CHECK_VENDOR</t>
        </is>
      </c>
      <c r="W525" t="inlineStr">
        <is>
          <t>https://nvd.nist.gov/vuln/detail/CVE-2025-60183</t>
        </is>
      </c>
      <c r="X525" t="inlineStr">
        <is>
          <t>NONE</t>
        </is>
      </c>
      <c r="Y525" t="n">
        <v>0</v>
      </c>
      <c r="Z525" t="inlineStr"/>
      <c r="AA525" t="inlineStr">
        <is>
          <t>https://nvd.nist.gov/vuln/detail/CVE-2025-60183</t>
        </is>
      </c>
    </row>
    <row r="526">
      <c r="A526" t="inlineStr">
        <is>
          <t>CVE</t>
        </is>
      </c>
      <c r="B526" t="inlineStr">
        <is>
          <t>CVE-2025-67438</t>
        </is>
      </c>
      <c r="C526" t="inlineStr">
        <is>
          <t>A Stored Cross-Site Scripting (XSS) vulnerability in Sync-in Server before 1.9.3 allows an authenticated attacker to execute arbitrary JavaScript in a victim's browser. By uploading a crafted SVG file containing a malicious payload, an attacker can access and exfiltrate sensitive information, including the user's session cookies.</t>
        </is>
      </c>
      <c r="D526" t="n">
        <v>6.1</v>
      </c>
      <c r="E526" t="inlineStr">
        <is>
          <t>MEDIUM</t>
        </is>
      </c>
      <c r="F526" t="n">
        <v>2</v>
      </c>
      <c r="G526" t="n">
        <v>2</v>
      </c>
      <c r="H526" t="inlineStr">
        <is>
          <t>MEDIUM</t>
        </is>
      </c>
      <c r="I526" t="n">
        <v>10.1</v>
      </c>
      <c r="J526" t="inlineStr">
        <is>
          <t>NO</t>
        </is>
      </c>
      <c r="K526" t="inlineStr">
        <is>
          <t>2026-02-26 00:15</t>
        </is>
      </c>
      <c r="L526" t="inlineStr">
        <is>
          <t>CHECK_VENDOR</t>
        </is>
      </c>
      <c r="M526" t="inlineStr">
        <is>
          <t>See CVE details</t>
        </is>
      </c>
      <c r="N526" t="inlineStr">
        <is>
          <t>P4</t>
        </is>
      </c>
      <c r="O526" t="inlineStr">
        <is>
          <t>CVE - IP enrichment n/a</t>
        </is>
      </c>
      <c r="P526" t="n">
        <v>0</v>
      </c>
      <c r="Q526" t="n">
        <v>0</v>
      </c>
      <c r="R526" t="inlineStr">
        <is>
          <t>T1189:Drive-by Compromise</t>
        </is>
      </c>
      <c r="S526" t="n">
        <v>1</v>
      </c>
      <c r="T526" t="inlineStr">
        <is>
          <t>LOW (40%)</t>
        </is>
      </c>
      <c r="U526" t="inlineStr">
        <is>
          <t>UNLIKELY</t>
        </is>
      </c>
      <c r="V526" t="inlineStr">
        <is>
          <t>CHECK_VENDOR</t>
        </is>
      </c>
      <c r="W526" t="inlineStr">
        <is>
          <t>https://nvd.nist.gov/vuln/detail/CVE-2025-67438</t>
        </is>
      </c>
      <c r="X526" t="inlineStr">
        <is>
          <t>NONE</t>
        </is>
      </c>
      <c r="Y526" t="n">
        <v>0</v>
      </c>
      <c r="Z526" t="inlineStr"/>
      <c r="AA526" t="inlineStr">
        <is>
          <t>https://nvd.nist.gov/vuln/detail/CVE-2025-67438</t>
        </is>
      </c>
    </row>
    <row r="527">
      <c r="A527" t="inlineStr">
        <is>
          <t>CVE</t>
        </is>
      </c>
      <c r="B527" t="inlineStr">
        <is>
          <t>CVE-2025-67547</t>
        </is>
      </c>
      <c r="C527" t="inlineStr">
        <is>
          <t>Missing Authorization vulnerability in uixthemes Konte konte allows Exploiting Incorrectly Configured Access Control Security Levels.This issue affects Konte: from n/a through &lt;= 2.4.6.</t>
        </is>
      </c>
      <c r="D527" t="n">
        <v>5</v>
      </c>
      <c r="E527" t="inlineStr">
        <is>
          <t>MEDIUM</t>
        </is>
      </c>
      <c r="F527" t="n">
        <v>2</v>
      </c>
      <c r="G527" t="n">
        <v>2</v>
      </c>
      <c r="H527" t="inlineStr">
        <is>
          <t>MEDIUM</t>
        </is>
      </c>
      <c r="I527" t="n">
        <v>9</v>
      </c>
      <c r="J527" t="inlineStr">
        <is>
          <t>NO</t>
        </is>
      </c>
      <c r="K527" t="inlineStr">
        <is>
          <t>2026-02-26 00:15</t>
        </is>
      </c>
      <c r="L527" t="inlineStr">
        <is>
          <t>CHECK_VENDOR</t>
        </is>
      </c>
      <c r="M527" t="inlineStr">
        <is>
          <t>See CVE details</t>
        </is>
      </c>
      <c r="N527" t="inlineStr">
        <is>
          <t>P4</t>
        </is>
      </c>
      <c r="O527" t="inlineStr">
        <is>
          <t>CVE - IP enrichment n/a</t>
        </is>
      </c>
      <c r="P527" t="n">
        <v>0</v>
      </c>
      <c r="Q527" t="n">
        <v>0</v>
      </c>
      <c r="R527" t="inlineStr">
        <is>
          <t>T1190:Exploit Public-Facing Application</t>
        </is>
      </c>
      <c r="S527" t="n">
        <v>1</v>
      </c>
      <c r="T527" t="inlineStr">
        <is>
          <t>LOW (40%)</t>
        </is>
      </c>
      <c r="U527" t="inlineStr">
        <is>
          <t>UNLIKELY</t>
        </is>
      </c>
      <c r="V527" t="inlineStr">
        <is>
          <t>CHECK_VENDOR</t>
        </is>
      </c>
      <c r="W527" t="inlineStr">
        <is>
          <t>https://nvd.nist.gov/vuln/detail/CVE-2025-67547</t>
        </is>
      </c>
      <c r="X527" t="inlineStr">
        <is>
          <t>NONE</t>
        </is>
      </c>
      <c r="Y527" t="n">
        <v>0</v>
      </c>
      <c r="Z527" t="inlineStr"/>
      <c r="AA527" t="inlineStr">
        <is>
          <t>https://nvd.nist.gov/vuln/detail/CVE-2025-67547</t>
        </is>
      </c>
    </row>
    <row r="528">
      <c r="A528" t="inlineStr">
        <is>
          <t>CVE</t>
        </is>
      </c>
      <c r="B528" t="inlineStr">
        <is>
          <t>CVE-2025-67624</t>
        </is>
      </c>
      <c r="C528" t="inlineStr">
        <is>
          <t>Missing Authorization vulnerability in Arya Dhiratara Optimize More! &amp;#8211; Images optimize-more-images allows Exploiting Incorrectly Configured Access Control Security Levels.This issue affects Optimize More! &amp;#8211; Images: from n/a through &lt;= 1.1.3.</t>
        </is>
      </c>
      <c r="D528" t="n">
        <v>6.5</v>
      </c>
      <c r="E528" t="inlineStr">
        <is>
          <t>MEDIUM</t>
        </is>
      </c>
      <c r="F528" t="n">
        <v>2</v>
      </c>
      <c r="G528" t="n">
        <v>2</v>
      </c>
      <c r="H528" t="inlineStr">
        <is>
          <t>MEDIUM</t>
        </is>
      </c>
      <c r="I528" t="n">
        <v>10.5</v>
      </c>
      <c r="J528" t="inlineStr">
        <is>
          <t>NO</t>
        </is>
      </c>
      <c r="K528" t="inlineStr">
        <is>
          <t>2026-02-26 00:15</t>
        </is>
      </c>
      <c r="L528" t="inlineStr">
        <is>
          <t>CHECK_VENDOR</t>
        </is>
      </c>
      <c r="M528" t="inlineStr">
        <is>
          <t>See CVE details</t>
        </is>
      </c>
      <c r="N528" t="inlineStr">
        <is>
          <t>P4</t>
        </is>
      </c>
      <c r="O528" t="inlineStr">
        <is>
          <t>CVE - IP enrichment n/a</t>
        </is>
      </c>
      <c r="P528" t="n">
        <v>0</v>
      </c>
      <c r="Q528" t="n">
        <v>0</v>
      </c>
      <c r="R528" t="inlineStr">
        <is>
          <t>T1190:Exploit Public-Facing Application</t>
        </is>
      </c>
      <c r="S528" t="n">
        <v>1</v>
      </c>
      <c r="T528" t="inlineStr">
        <is>
          <t>LOW (40%)</t>
        </is>
      </c>
      <c r="U528" t="inlineStr">
        <is>
          <t>UNLIKELY</t>
        </is>
      </c>
      <c r="V528" t="inlineStr">
        <is>
          <t>CHECK_VENDOR</t>
        </is>
      </c>
      <c r="W528" t="inlineStr">
        <is>
          <t>https://nvd.nist.gov/vuln/detail/CVE-2025-67624</t>
        </is>
      </c>
      <c r="X528" t="inlineStr">
        <is>
          <t>NONE</t>
        </is>
      </c>
      <c r="Y528" t="n">
        <v>0</v>
      </c>
      <c r="Z528" t="inlineStr"/>
      <c r="AA528" t="inlineStr">
        <is>
          <t>https://nvd.nist.gov/vuln/detail/CVE-2025-67624</t>
        </is>
      </c>
    </row>
    <row r="529">
      <c r="A529" t="inlineStr">
        <is>
          <t>CVE</t>
        </is>
      </c>
      <c r="B529" t="inlineStr">
        <is>
          <t>CVE-2025-67969</t>
        </is>
      </c>
      <c r="C529" t="inlineStr">
        <is>
          <t>Missing Authorization vulnerability in knitpay UPI QR Code Payment Gateway for WooCommerce upi-qr-code-payment-for-woocommerce allows Exploiting Incorrectly Configured Access Control Security Levels.This issue affects UPI QR Code Payment Gateway for WooCommerce: from n/a through &lt;= 1.5.1.</t>
        </is>
      </c>
      <c r="D529" t="n">
        <v>8.5</v>
      </c>
      <c r="E529" t="inlineStr">
        <is>
          <t>HIGH</t>
        </is>
      </c>
      <c r="F529" t="n">
        <v>2</v>
      </c>
      <c r="G529" t="n">
        <v>3</v>
      </c>
      <c r="H529" t="inlineStr">
        <is>
          <t>HIGH</t>
        </is>
      </c>
      <c r="I529" t="n">
        <v>14.5</v>
      </c>
      <c r="J529" t="inlineStr">
        <is>
          <t>NO</t>
        </is>
      </c>
      <c r="K529" t="inlineStr">
        <is>
          <t>2026-02-26 00:15</t>
        </is>
      </c>
      <c r="L529" t="inlineStr">
        <is>
          <t>CHECK_VENDOR</t>
        </is>
      </c>
      <c r="M529" t="inlineStr">
        <is>
          <t>See CVE details</t>
        </is>
      </c>
      <c r="N529" t="inlineStr">
        <is>
          <t>P3</t>
        </is>
      </c>
      <c r="O529" t="inlineStr">
        <is>
          <t>CVE - IP enrichment n/a</t>
        </is>
      </c>
      <c r="P529" t="n">
        <v>0</v>
      </c>
      <c r="Q529" t="n">
        <v>0</v>
      </c>
      <c r="R529" t="inlineStr">
        <is>
          <t>T1190:Exploit Public-Facing Application</t>
        </is>
      </c>
      <c r="S529" t="n">
        <v>1</v>
      </c>
      <c r="T529" t="inlineStr">
        <is>
          <t>LOW (40%)</t>
        </is>
      </c>
      <c r="U529" t="inlineStr">
        <is>
          <t>UNLIKELY</t>
        </is>
      </c>
      <c r="V529" t="inlineStr">
        <is>
          <t>CHECK_VENDOR</t>
        </is>
      </c>
      <c r="W529" t="inlineStr">
        <is>
          <t>https://nvd.nist.gov/vuln/detail/CVE-2025-67969</t>
        </is>
      </c>
      <c r="X529" t="inlineStr">
        <is>
          <t>NONE</t>
        </is>
      </c>
      <c r="Y529" t="n">
        <v>0</v>
      </c>
      <c r="Z529" t="inlineStr"/>
      <c r="AA529" t="inlineStr">
        <is>
          <t>https://nvd.nist.gov/vuln/detail/CVE-2025-67969</t>
        </is>
      </c>
    </row>
    <row r="530">
      <c r="A530" t="inlineStr">
        <is>
          <t>CVE</t>
        </is>
      </c>
      <c r="B530" t="inlineStr">
        <is>
          <t>CVE-2025-67970</t>
        </is>
      </c>
      <c r="C530" t="inlineStr">
        <is>
          <t>Missing Authorization vulnerability in vertim Schedula schedula-smart-appointment-booking allows Exploiting Incorrectly Configured Access Control Security Levels.This issue affects Schedula: from n/a through &lt;= 1.0.</t>
        </is>
      </c>
      <c r="D530" t="n">
        <v>5.3</v>
      </c>
      <c r="E530" t="inlineStr">
        <is>
          <t>MEDIUM</t>
        </is>
      </c>
      <c r="F530" t="n">
        <v>2</v>
      </c>
      <c r="G530" t="n">
        <v>2</v>
      </c>
      <c r="H530" t="inlineStr">
        <is>
          <t>MEDIUM</t>
        </is>
      </c>
      <c r="I530" t="n">
        <v>9.300000000000001</v>
      </c>
      <c r="J530" t="inlineStr">
        <is>
          <t>NO</t>
        </is>
      </c>
      <c r="K530" t="inlineStr">
        <is>
          <t>2026-02-26 00:15</t>
        </is>
      </c>
      <c r="L530" t="inlineStr">
        <is>
          <t>CHECK_VENDOR</t>
        </is>
      </c>
      <c r="M530" t="inlineStr">
        <is>
          <t>See CVE details</t>
        </is>
      </c>
      <c r="N530" t="inlineStr">
        <is>
          <t>P4</t>
        </is>
      </c>
      <c r="O530" t="inlineStr">
        <is>
          <t>CVE - IP enrichment n/a</t>
        </is>
      </c>
      <c r="P530" t="n">
        <v>0</v>
      </c>
      <c r="Q530" t="n">
        <v>0</v>
      </c>
      <c r="R530" t="inlineStr">
        <is>
          <t>T1190:Exploit Public-Facing Application</t>
        </is>
      </c>
      <c r="S530" t="n">
        <v>1</v>
      </c>
      <c r="T530" t="inlineStr">
        <is>
          <t>LOW (40%)</t>
        </is>
      </c>
      <c r="U530" t="inlineStr">
        <is>
          <t>UNLIKELY</t>
        </is>
      </c>
      <c r="V530" t="inlineStr">
        <is>
          <t>CHECK_VENDOR</t>
        </is>
      </c>
      <c r="W530" t="inlineStr">
        <is>
          <t>https://nvd.nist.gov/vuln/detail/CVE-2025-67970</t>
        </is>
      </c>
      <c r="X530" t="inlineStr">
        <is>
          <t>NONE</t>
        </is>
      </c>
      <c r="Y530" t="n">
        <v>0</v>
      </c>
      <c r="Z530" t="inlineStr"/>
      <c r="AA530" t="inlineStr">
        <is>
          <t>https://nvd.nist.gov/vuln/detail/CVE-2025-67970</t>
        </is>
      </c>
    </row>
    <row r="531">
      <c r="A531" t="inlineStr">
        <is>
          <t>CVE</t>
        </is>
      </c>
      <c r="B531" t="inlineStr">
        <is>
          <t>CVE-2025-67971</t>
        </is>
      </c>
      <c r="C531" t="inlineStr">
        <is>
          <t>Improper Neutralization of Input During Web Page Generation ('Cross-site Scripting') vulnerability in WPManageNinja FluentCart fluent-cart allows Reflected XSS.This issue affects FluentCart: from n/a through &lt; 1.3.0.</t>
        </is>
      </c>
      <c r="D531" t="n">
        <v>7.1</v>
      </c>
      <c r="E531" t="inlineStr">
        <is>
          <t>HIGH</t>
        </is>
      </c>
      <c r="F531" t="n">
        <v>2</v>
      </c>
      <c r="G531" t="n">
        <v>3</v>
      </c>
      <c r="H531" t="inlineStr">
        <is>
          <t>HIGH</t>
        </is>
      </c>
      <c r="I531" t="n">
        <v>13.1</v>
      </c>
      <c r="J531" t="inlineStr">
        <is>
          <t>NO</t>
        </is>
      </c>
      <c r="K531" t="inlineStr">
        <is>
          <t>2026-02-26 00:15</t>
        </is>
      </c>
      <c r="L531" t="inlineStr">
        <is>
          <t>CHECK_VENDOR</t>
        </is>
      </c>
      <c r="M531" t="inlineStr">
        <is>
          <t>See CVE details</t>
        </is>
      </c>
      <c r="N531" t="inlineStr">
        <is>
          <t>P3</t>
        </is>
      </c>
      <c r="O531" t="inlineStr">
        <is>
          <t>CVE - IP enrichment n/a</t>
        </is>
      </c>
      <c r="P531" t="n">
        <v>0</v>
      </c>
      <c r="Q531" t="n">
        <v>0</v>
      </c>
      <c r="R531" t="inlineStr">
        <is>
          <t>T1189:Drive-by Compromise</t>
        </is>
      </c>
      <c r="S531" t="n">
        <v>1</v>
      </c>
      <c r="T531" t="inlineStr">
        <is>
          <t>LOW (40%)</t>
        </is>
      </c>
      <c r="U531" t="inlineStr">
        <is>
          <t>UNLIKELY</t>
        </is>
      </c>
      <c r="V531" t="inlineStr">
        <is>
          <t>CHECK_VENDOR</t>
        </is>
      </c>
      <c r="W531" t="inlineStr">
        <is>
          <t>https://nvd.nist.gov/vuln/detail/CVE-2025-67971</t>
        </is>
      </c>
      <c r="X531" t="inlineStr">
        <is>
          <t>NONE</t>
        </is>
      </c>
      <c r="Y531" t="n">
        <v>0</v>
      </c>
      <c r="Z531" t="inlineStr"/>
      <c r="AA531" t="inlineStr">
        <is>
          <t>https://nvd.nist.gov/vuln/detail/CVE-2025-67971</t>
        </is>
      </c>
    </row>
    <row r="532">
      <c r="A532" t="inlineStr">
        <is>
          <t>CVE</t>
        </is>
      </c>
      <c r="B532" t="inlineStr">
        <is>
          <t>CVE-2025-67972</t>
        </is>
      </c>
      <c r="C532" t="inlineStr">
        <is>
          <t>Improper Neutralization of Input During Web Page Generation ('Cross-site Scripting') vulnerability in fox-themes Prague prague-plugins allows Reflected XSS.This issue affects Prague: from n/a through &lt;= 2.2.8.</t>
        </is>
      </c>
      <c r="D532" t="n">
        <v>7.1</v>
      </c>
      <c r="E532" t="inlineStr">
        <is>
          <t>HIGH</t>
        </is>
      </c>
      <c r="F532" t="n">
        <v>2</v>
      </c>
      <c r="G532" t="n">
        <v>3</v>
      </c>
      <c r="H532" t="inlineStr">
        <is>
          <t>HIGH</t>
        </is>
      </c>
      <c r="I532" t="n">
        <v>13.1</v>
      </c>
      <c r="J532" t="inlineStr">
        <is>
          <t>NO</t>
        </is>
      </c>
      <c r="K532" t="inlineStr">
        <is>
          <t>2026-02-26 00:15</t>
        </is>
      </c>
      <c r="L532" t="inlineStr">
        <is>
          <t>CHECK_VENDOR</t>
        </is>
      </c>
      <c r="M532" t="inlineStr">
        <is>
          <t>See CVE details</t>
        </is>
      </c>
      <c r="N532" t="inlineStr">
        <is>
          <t>P3</t>
        </is>
      </c>
      <c r="O532" t="inlineStr">
        <is>
          <t>CVE - IP enrichment n/a</t>
        </is>
      </c>
      <c r="P532" t="n">
        <v>0</v>
      </c>
      <c r="Q532" t="n">
        <v>0</v>
      </c>
      <c r="R532" t="inlineStr">
        <is>
          <t>T1189:Drive-by Compromise</t>
        </is>
      </c>
      <c r="S532" t="n">
        <v>1</v>
      </c>
      <c r="T532" t="inlineStr">
        <is>
          <t>LOW (40%)</t>
        </is>
      </c>
      <c r="U532" t="inlineStr">
        <is>
          <t>UNLIKELY</t>
        </is>
      </c>
      <c r="V532" t="inlineStr">
        <is>
          <t>CHECK_VENDOR</t>
        </is>
      </c>
      <c r="W532" t="inlineStr">
        <is>
          <t>https://nvd.nist.gov/vuln/detail/CVE-2025-67972</t>
        </is>
      </c>
      <c r="X532" t="inlineStr">
        <is>
          <t>NONE</t>
        </is>
      </c>
      <c r="Y532" t="n">
        <v>0</v>
      </c>
      <c r="Z532" t="inlineStr"/>
      <c r="AA532" t="inlineStr">
        <is>
          <t>https://nvd.nist.gov/vuln/detail/CVE-2025-67972</t>
        </is>
      </c>
    </row>
    <row r="533">
      <c r="A533" t="inlineStr">
        <is>
          <t>CVE</t>
        </is>
      </c>
      <c r="B533" t="inlineStr">
        <is>
          <t>CVE-2025-67973</t>
        </is>
      </c>
      <c r="C533" t="inlineStr">
        <is>
          <t>Missing Authorization vulnerability in sunshinephotocart Sunshine Photo Cart sunshine-photo-cart allows Exploiting Incorrectly Configured Access Control Security Levels.This issue affects Sunshine Photo Cart: from n/a through &lt;= 3.5.6.2.</t>
        </is>
      </c>
      <c r="D533" t="n">
        <v>5</v>
      </c>
      <c r="E533" t="inlineStr">
        <is>
          <t>MEDIUM</t>
        </is>
      </c>
      <c r="F533" t="n">
        <v>2</v>
      </c>
      <c r="G533" t="n">
        <v>2</v>
      </c>
      <c r="H533" t="inlineStr">
        <is>
          <t>MEDIUM</t>
        </is>
      </c>
      <c r="I533" t="n">
        <v>9</v>
      </c>
      <c r="J533" t="inlineStr">
        <is>
          <t>NO</t>
        </is>
      </c>
      <c r="K533" t="inlineStr">
        <is>
          <t>2026-02-26 00:15</t>
        </is>
      </c>
      <c r="L533" t="inlineStr">
        <is>
          <t>CHECK_VENDOR</t>
        </is>
      </c>
      <c r="M533" t="inlineStr">
        <is>
          <t>See CVE details</t>
        </is>
      </c>
      <c r="N533" t="inlineStr">
        <is>
          <t>P4</t>
        </is>
      </c>
      <c r="O533" t="inlineStr">
        <is>
          <t>CVE - IP enrichment n/a</t>
        </is>
      </c>
      <c r="P533" t="n">
        <v>0</v>
      </c>
      <c r="Q533" t="n">
        <v>0</v>
      </c>
      <c r="R533" t="inlineStr">
        <is>
          <t>T1190:Exploit Public-Facing Application</t>
        </is>
      </c>
      <c r="S533" t="n">
        <v>1</v>
      </c>
      <c r="T533" t="inlineStr">
        <is>
          <t>LOW (40%)</t>
        </is>
      </c>
      <c r="U533" t="inlineStr">
        <is>
          <t>UNLIKELY</t>
        </is>
      </c>
      <c r="V533" t="inlineStr">
        <is>
          <t>CHECK_VENDOR</t>
        </is>
      </c>
      <c r="W533" t="inlineStr">
        <is>
          <t>https://nvd.nist.gov/vuln/detail/CVE-2025-67973</t>
        </is>
      </c>
      <c r="X533" t="inlineStr">
        <is>
          <t>NONE</t>
        </is>
      </c>
      <c r="Y533" t="n">
        <v>0</v>
      </c>
      <c r="Z533" t="inlineStr"/>
      <c r="AA533" t="inlineStr">
        <is>
          <t>https://nvd.nist.gov/vuln/detail/CVE-2025-67973</t>
        </is>
      </c>
    </row>
    <row r="534">
      <c r="A534" t="inlineStr">
        <is>
          <t>CVE</t>
        </is>
      </c>
      <c r="B534" t="inlineStr">
        <is>
          <t>CVE-2025-67974</t>
        </is>
      </c>
      <c r="C534" t="inlineStr">
        <is>
          <t>Missing Authorization vulnerability in WP Legal Pages WPLegalPages wplegalpages allows Exploiting Incorrectly Configured Access Control Security Levels.This issue affects WPLegalPages: from n/a through &lt;= 3.5.4.</t>
        </is>
      </c>
      <c r="D534" t="n">
        <v>7.5</v>
      </c>
      <c r="E534" t="inlineStr">
        <is>
          <t>HIGH</t>
        </is>
      </c>
      <c r="F534" t="n">
        <v>2</v>
      </c>
      <c r="G534" t="n">
        <v>3</v>
      </c>
      <c r="H534" t="inlineStr">
        <is>
          <t>HIGH</t>
        </is>
      </c>
      <c r="I534" t="n">
        <v>13.5</v>
      </c>
      <c r="J534" t="inlineStr">
        <is>
          <t>NO</t>
        </is>
      </c>
      <c r="K534" t="inlineStr">
        <is>
          <t>2026-02-26 00:15</t>
        </is>
      </c>
      <c r="L534" t="inlineStr">
        <is>
          <t>CHECK_VENDOR</t>
        </is>
      </c>
      <c r="M534" t="inlineStr">
        <is>
          <t>See CVE details</t>
        </is>
      </c>
      <c r="N534" t="inlineStr">
        <is>
          <t>P3</t>
        </is>
      </c>
      <c r="O534" t="inlineStr">
        <is>
          <t>CVE - IP enrichment n/a</t>
        </is>
      </c>
      <c r="P534" t="n">
        <v>0</v>
      </c>
      <c r="Q534" t="n">
        <v>0</v>
      </c>
      <c r="R534" t="inlineStr">
        <is>
          <t>T1190:Exploit Public-Facing Application</t>
        </is>
      </c>
      <c r="S534" t="n">
        <v>1</v>
      </c>
      <c r="T534" t="inlineStr">
        <is>
          <t>LOW (40%)</t>
        </is>
      </c>
      <c r="U534" t="inlineStr">
        <is>
          <t>UNLIKELY</t>
        </is>
      </c>
      <c r="V534" t="inlineStr">
        <is>
          <t>CHECK_VENDOR</t>
        </is>
      </c>
      <c r="W534" t="inlineStr">
        <is>
          <t>https://nvd.nist.gov/vuln/detail/CVE-2025-67974</t>
        </is>
      </c>
      <c r="X534" t="inlineStr">
        <is>
          <t>NONE</t>
        </is>
      </c>
      <c r="Y534" t="n">
        <v>0</v>
      </c>
      <c r="Z534" t="inlineStr"/>
      <c r="AA534" t="inlineStr">
        <is>
          <t>https://nvd.nist.gov/vuln/detail/CVE-2025-67974</t>
        </is>
      </c>
    </row>
    <row r="535">
      <c r="A535" t="inlineStr">
        <is>
          <t>CVE</t>
        </is>
      </c>
      <c r="B535" t="inlineStr">
        <is>
          <t>CVE-2025-67975</t>
        </is>
      </c>
      <c r="C535" t="inlineStr">
        <is>
          <t>Missing Authorization vulnerability in aDirectory aDirectory adirectory allows Exploiting Incorrectly Configured Access Control Security Levels.This issue affects aDirectory: from n/a through &lt;= 3.0.3.</t>
        </is>
      </c>
      <c r="D535" t="n">
        <v>6.5</v>
      </c>
      <c r="E535" t="inlineStr">
        <is>
          <t>MEDIUM</t>
        </is>
      </c>
      <c r="F535" t="n">
        <v>2</v>
      </c>
      <c r="G535" t="n">
        <v>2</v>
      </c>
      <c r="H535" t="inlineStr">
        <is>
          <t>MEDIUM</t>
        </is>
      </c>
      <c r="I535" t="n">
        <v>10.5</v>
      </c>
      <c r="J535" t="inlineStr">
        <is>
          <t>NO</t>
        </is>
      </c>
      <c r="K535" t="inlineStr">
        <is>
          <t>2026-02-26 00:15</t>
        </is>
      </c>
      <c r="L535" t="inlineStr">
        <is>
          <t>CHECK_VENDOR</t>
        </is>
      </c>
      <c r="M535" t="inlineStr">
        <is>
          <t>See CVE details</t>
        </is>
      </c>
      <c r="N535" t="inlineStr">
        <is>
          <t>P4</t>
        </is>
      </c>
      <c r="O535" t="inlineStr">
        <is>
          <t>CVE - IP enrichment n/a</t>
        </is>
      </c>
      <c r="P535" t="n">
        <v>0.0002</v>
      </c>
      <c r="Q535" t="n">
        <v>0.0379</v>
      </c>
      <c r="R535" t="inlineStr">
        <is>
          <t>T1190:Exploit Public-Facing Application</t>
        </is>
      </c>
      <c r="S535" t="n">
        <v>1</v>
      </c>
      <c r="T535" t="inlineStr">
        <is>
          <t>LOW (40%)</t>
        </is>
      </c>
      <c r="U535" t="inlineStr">
        <is>
          <t>UNLIKELY</t>
        </is>
      </c>
      <c r="V535" t="inlineStr">
        <is>
          <t>CHECK_VENDOR</t>
        </is>
      </c>
      <c r="W535" t="inlineStr">
        <is>
          <t>https://nvd.nist.gov/vuln/detail/CVE-2025-67975</t>
        </is>
      </c>
      <c r="X535" t="inlineStr">
        <is>
          <t>NONE</t>
        </is>
      </c>
      <c r="Y535" t="n">
        <v>0</v>
      </c>
      <c r="Z535" t="inlineStr"/>
      <c r="AA535" t="inlineStr">
        <is>
          <t>https://nvd.nist.gov/vuln/detail/CVE-2025-67975</t>
        </is>
      </c>
    </row>
    <row r="536">
      <c r="A536" t="inlineStr">
        <is>
          <t>CVE</t>
        </is>
      </c>
      <c r="B536" t="inlineStr">
        <is>
          <t>CVE-2025-67977</t>
        </is>
      </c>
      <c r="C536" t="inlineStr">
        <is>
          <t>Missing Authorization vulnerability in VillaTheme HAPPY happy-helpdesk-support-ticket-system allows Exploiting Incorrectly Configured Access Control Security Levels.This issue affects HAPPY: from n/a through &lt;= 1.0.8.</t>
        </is>
      </c>
      <c r="D536" t="n">
        <v>8.199999999999999</v>
      </c>
      <c r="E536" t="inlineStr">
        <is>
          <t>HIGH</t>
        </is>
      </c>
      <c r="F536" t="n">
        <v>2</v>
      </c>
      <c r="G536" t="n">
        <v>3</v>
      </c>
      <c r="H536" t="inlineStr">
        <is>
          <t>HIGH</t>
        </is>
      </c>
      <c r="I536" t="n">
        <v>14.2</v>
      </c>
      <c r="J536" t="inlineStr">
        <is>
          <t>NO</t>
        </is>
      </c>
      <c r="K536" t="inlineStr">
        <is>
          <t>2026-02-26 00:15</t>
        </is>
      </c>
      <c r="L536" t="inlineStr">
        <is>
          <t>CHECK_VENDOR</t>
        </is>
      </c>
      <c r="M536" t="inlineStr">
        <is>
          <t>See CVE details</t>
        </is>
      </c>
      <c r="N536" t="inlineStr">
        <is>
          <t>P3</t>
        </is>
      </c>
      <c r="O536" t="inlineStr">
        <is>
          <t>CVE - IP enrichment n/a</t>
        </is>
      </c>
      <c r="P536" t="n">
        <v>0</v>
      </c>
      <c r="Q536" t="n">
        <v>0</v>
      </c>
      <c r="R536" t="inlineStr">
        <is>
          <t>T1190:Exploit Public-Facing Application</t>
        </is>
      </c>
      <c r="S536" t="n">
        <v>1</v>
      </c>
      <c r="T536" t="inlineStr">
        <is>
          <t>LOW (40%)</t>
        </is>
      </c>
      <c r="U536" t="inlineStr">
        <is>
          <t>UNLIKELY</t>
        </is>
      </c>
      <c r="V536" t="inlineStr">
        <is>
          <t>CHECK_VENDOR</t>
        </is>
      </c>
      <c r="W536" t="inlineStr">
        <is>
          <t>https://nvd.nist.gov/vuln/detail/CVE-2025-67977</t>
        </is>
      </c>
      <c r="X536" t="inlineStr">
        <is>
          <t>NONE</t>
        </is>
      </c>
      <c r="Y536" t="n">
        <v>0</v>
      </c>
      <c r="Z536" t="inlineStr"/>
      <c r="AA536" t="inlineStr">
        <is>
          <t>https://nvd.nist.gov/vuln/detail/CVE-2025-67977</t>
        </is>
      </c>
    </row>
    <row r="537">
      <c r="A537" t="inlineStr">
        <is>
          <t>CVE</t>
        </is>
      </c>
      <c r="B537" t="inlineStr">
        <is>
          <t>CVE-2025-67978</t>
        </is>
      </c>
      <c r="C537" t="inlineStr">
        <is>
          <t>Improper Neutralization of Input During Web Page Generation ('Cross-site Scripting') vulnerability in FixBD Educare educare allows Reflected XSS.This issue affects Educare: from n/a through &lt;= 1.6.1.</t>
        </is>
      </c>
      <c r="D537" t="n">
        <v>7.1</v>
      </c>
      <c r="E537" t="inlineStr">
        <is>
          <t>HIGH</t>
        </is>
      </c>
      <c r="F537" t="n">
        <v>2</v>
      </c>
      <c r="G537" t="n">
        <v>3</v>
      </c>
      <c r="H537" t="inlineStr">
        <is>
          <t>HIGH</t>
        </is>
      </c>
      <c r="I537" t="n">
        <v>13.1</v>
      </c>
      <c r="J537" t="inlineStr">
        <is>
          <t>NO</t>
        </is>
      </c>
      <c r="K537" t="inlineStr">
        <is>
          <t>2026-02-26 00:15</t>
        </is>
      </c>
      <c r="L537" t="inlineStr">
        <is>
          <t>CHECK_VENDOR</t>
        </is>
      </c>
      <c r="M537" t="inlineStr">
        <is>
          <t>See CVE details</t>
        </is>
      </c>
      <c r="N537" t="inlineStr">
        <is>
          <t>P3</t>
        </is>
      </c>
      <c r="O537" t="inlineStr">
        <is>
          <t>CVE - IP enrichment n/a</t>
        </is>
      </c>
      <c r="P537" t="n">
        <v>0</v>
      </c>
      <c r="Q537" t="n">
        <v>0</v>
      </c>
      <c r="R537" t="inlineStr">
        <is>
          <t>T1189:Drive-by Compromise</t>
        </is>
      </c>
      <c r="S537" t="n">
        <v>1</v>
      </c>
      <c r="T537" t="inlineStr">
        <is>
          <t>LOW (40%)</t>
        </is>
      </c>
      <c r="U537" t="inlineStr">
        <is>
          <t>UNLIKELY</t>
        </is>
      </c>
      <c r="V537" t="inlineStr">
        <is>
          <t>CHECK_VENDOR</t>
        </is>
      </c>
      <c r="W537" t="inlineStr">
        <is>
          <t>https://nvd.nist.gov/vuln/detail/CVE-2025-67978</t>
        </is>
      </c>
      <c r="X537" t="inlineStr">
        <is>
          <t>NONE</t>
        </is>
      </c>
      <c r="Y537" t="n">
        <v>0</v>
      </c>
      <c r="Z537" t="inlineStr"/>
      <c r="AA537" t="inlineStr">
        <is>
          <t>https://nvd.nist.gov/vuln/detail/CVE-2025-67978</t>
        </is>
      </c>
    </row>
    <row r="538">
      <c r="A538" t="inlineStr">
        <is>
          <t>CVE</t>
        </is>
      </c>
      <c r="B538" t="inlineStr">
        <is>
          <t>CVE-2025-67979</t>
        </is>
      </c>
      <c r="C538" t="inlineStr">
        <is>
          <t>Improper Control of Generation of Code ('Code Injection') vulnerability in WesternDeal WPForms Google Sheet Connector gsheetconnector-wpforms allows Code Injection.This issue affects WPForms Google Sheet Connector: from n/a through &lt;= 4.0.1.</t>
        </is>
      </c>
      <c r="D538" t="n">
        <v>5</v>
      </c>
      <c r="E538" t="inlineStr">
        <is>
          <t>MEDIUM</t>
        </is>
      </c>
      <c r="F538" t="n">
        <v>2</v>
      </c>
      <c r="G538" t="n">
        <v>2</v>
      </c>
      <c r="H538" t="inlineStr">
        <is>
          <t>MEDIUM</t>
        </is>
      </c>
      <c r="I538" t="n">
        <v>9</v>
      </c>
      <c r="J538" t="inlineStr">
        <is>
          <t>NO</t>
        </is>
      </c>
      <c r="K538" t="inlineStr">
        <is>
          <t>2026-02-26 00:15</t>
        </is>
      </c>
      <c r="L538" t="inlineStr">
        <is>
          <t>CHECK_VENDOR</t>
        </is>
      </c>
      <c r="M538" t="inlineStr">
        <is>
          <t>See CVE details</t>
        </is>
      </c>
      <c r="N538" t="inlineStr">
        <is>
          <t>P4</t>
        </is>
      </c>
      <c r="O538" t="inlineStr">
        <is>
          <t>CVE - IP enrichment n/a</t>
        </is>
      </c>
      <c r="P538" t="n">
        <v>0.0003</v>
      </c>
      <c r="Q538" t="n">
        <v>0.0789</v>
      </c>
      <c r="R538" t="inlineStr">
        <is>
          <t>T1059:Command and Scripting Interpreter</t>
        </is>
      </c>
      <c r="S538" t="n">
        <v>1</v>
      </c>
      <c r="T538" t="inlineStr">
        <is>
          <t>LOW (40%)</t>
        </is>
      </c>
      <c r="U538" t="inlineStr">
        <is>
          <t>UNLIKELY</t>
        </is>
      </c>
      <c r="V538" t="inlineStr">
        <is>
          <t>CHECK_VENDOR</t>
        </is>
      </c>
      <c r="W538" t="inlineStr">
        <is>
          <t>https://nvd.nist.gov/vuln/detail/CVE-2025-67979</t>
        </is>
      </c>
      <c r="X538" t="inlineStr">
        <is>
          <t>NONE</t>
        </is>
      </c>
      <c r="Y538" t="n">
        <v>0</v>
      </c>
      <c r="Z538" t="inlineStr"/>
      <c r="AA538" t="inlineStr">
        <is>
          <t>https://nvd.nist.gov/vuln/detail/CVE-2025-67979</t>
        </is>
      </c>
    </row>
    <row r="539">
      <c r="A539" t="inlineStr">
        <is>
          <t>CVE</t>
        </is>
      </c>
      <c r="B539" t="inlineStr">
        <is>
          <t>CVE-2025-67980</t>
        </is>
      </c>
      <c r="C539" t="inlineStr">
        <is>
          <t>Improper Control of Filename for Include/Require Statement in PHP Program ('PHP Remote File Inclusion') vulnerability in thembay Hara hara allows PHP Local File Inclusion.This issue affects Hara: from n/a through &lt;= 1.2.17.</t>
        </is>
      </c>
      <c r="D539" t="n">
        <v>8.1</v>
      </c>
      <c r="E539" t="inlineStr">
        <is>
          <t>HIGH</t>
        </is>
      </c>
      <c r="F539" t="n">
        <v>2</v>
      </c>
      <c r="G539" t="n">
        <v>3</v>
      </c>
      <c r="H539" t="inlineStr">
        <is>
          <t>HIGH</t>
        </is>
      </c>
      <c r="I539" t="n">
        <v>14.1</v>
      </c>
      <c r="J539" t="inlineStr">
        <is>
          <t>NO</t>
        </is>
      </c>
      <c r="K539" t="inlineStr">
        <is>
          <t>2026-02-26 00:15</t>
        </is>
      </c>
      <c r="L539" t="inlineStr">
        <is>
          <t>CHECK_VENDOR</t>
        </is>
      </c>
      <c r="M539" t="inlineStr">
        <is>
          <t>See CVE details</t>
        </is>
      </c>
      <c r="N539" t="inlineStr">
        <is>
          <t>P3</t>
        </is>
      </c>
      <c r="O539" t="inlineStr">
        <is>
          <t>CVE - IP enrichment n/a</t>
        </is>
      </c>
      <c r="P539" t="n">
        <v>0</v>
      </c>
      <c r="Q539" t="n">
        <v>0</v>
      </c>
      <c r="R539" t="inlineStr">
        <is>
          <t>T1190:Exploit Public-Facing Application</t>
        </is>
      </c>
      <c r="S539" t="n">
        <v>1</v>
      </c>
      <c r="T539" t="inlineStr">
        <is>
          <t>LOW (40%)</t>
        </is>
      </c>
      <c r="U539" t="inlineStr">
        <is>
          <t>UNLIKELY</t>
        </is>
      </c>
      <c r="V539" t="inlineStr">
        <is>
          <t>CHECK_VENDOR</t>
        </is>
      </c>
      <c r="W539" t="inlineStr">
        <is>
          <t>https://nvd.nist.gov/vuln/detail/CVE-2025-67980</t>
        </is>
      </c>
      <c r="X539" t="inlineStr">
        <is>
          <t>NONE</t>
        </is>
      </c>
      <c r="Y539" t="n">
        <v>0</v>
      </c>
      <c r="Z539" t="inlineStr"/>
      <c r="AA539" t="inlineStr">
        <is>
          <t>https://nvd.nist.gov/vuln/detail/CVE-2025-67980</t>
        </is>
      </c>
    </row>
    <row r="540">
      <c r="A540" t="inlineStr">
        <is>
          <t>CVE</t>
        </is>
      </c>
      <c r="B540" t="inlineStr">
        <is>
          <t>CVE-2025-67981</t>
        </is>
      </c>
      <c r="C540" t="inlineStr">
        <is>
          <t>Improper Control of Filename for Include/Require Statement in PHP Program ('PHP Remote File Inclusion') vulnerability in thembay Besa besa allows PHP Local File Inclusion.This issue affects Besa: from n/a through &lt;= 2.3.15.</t>
        </is>
      </c>
      <c r="D540" t="n">
        <v>8.1</v>
      </c>
      <c r="E540" t="inlineStr">
        <is>
          <t>HIGH</t>
        </is>
      </c>
      <c r="F540" t="n">
        <v>2</v>
      </c>
      <c r="G540" t="n">
        <v>3</v>
      </c>
      <c r="H540" t="inlineStr">
        <is>
          <t>HIGH</t>
        </is>
      </c>
      <c r="I540" t="n">
        <v>14.1</v>
      </c>
      <c r="J540" t="inlineStr">
        <is>
          <t>NO</t>
        </is>
      </c>
      <c r="K540" t="inlineStr">
        <is>
          <t>2026-02-26 00:15</t>
        </is>
      </c>
      <c r="L540" t="inlineStr">
        <is>
          <t>CHECK_VENDOR</t>
        </is>
      </c>
      <c r="M540" t="inlineStr">
        <is>
          <t>See CVE details</t>
        </is>
      </c>
      <c r="N540" t="inlineStr">
        <is>
          <t>P3</t>
        </is>
      </c>
      <c r="O540" t="inlineStr">
        <is>
          <t>CVE - IP enrichment n/a</t>
        </is>
      </c>
      <c r="P540" t="n">
        <v>0</v>
      </c>
      <c r="Q540" t="n">
        <v>0</v>
      </c>
      <c r="R540" t="inlineStr">
        <is>
          <t>T1190:Exploit Public-Facing Application</t>
        </is>
      </c>
      <c r="S540" t="n">
        <v>1</v>
      </c>
      <c r="T540" t="inlineStr">
        <is>
          <t>LOW (40%)</t>
        </is>
      </c>
      <c r="U540" t="inlineStr">
        <is>
          <t>UNLIKELY</t>
        </is>
      </c>
      <c r="V540" t="inlineStr">
        <is>
          <t>CHECK_VENDOR</t>
        </is>
      </c>
      <c r="W540" t="inlineStr">
        <is>
          <t>https://nvd.nist.gov/vuln/detail/CVE-2025-67981</t>
        </is>
      </c>
      <c r="X540" t="inlineStr">
        <is>
          <t>NONE</t>
        </is>
      </c>
      <c r="Y540" t="n">
        <v>0</v>
      </c>
      <c r="Z540" t="inlineStr"/>
      <c r="AA540" t="inlineStr">
        <is>
          <t>https://nvd.nist.gov/vuln/detail/CVE-2025-67981</t>
        </is>
      </c>
    </row>
    <row r="541">
      <c r="A541" t="inlineStr">
        <is>
          <t>CVE</t>
        </is>
      </c>
      <c r="B541" t="inlineStr">
        <is>
          <t>CVE-2025-67982</t>
        </is>
      </c>
      <c r="C541" t="inlineStr">
        <is>
          <t>Improper Control of Filename for Include/Require Statement in PHP Program ('PHP Remote File Inclusion') vulnerability in thembay Urna urna allows PHP Local File Inclusion.This issue affects Urna: from n/a through &lt;= 2.5.12.</t>
        </is>
      </c>
      <c r="D541" t="n">
        <v>8.1</v>
      </c>
      <c r="E541" t="inlineStr">
        <is>
          <t>HIGH</t>
        </is>
      </c>
      <c r="F541" t="n">
        <v>2</v>
      </c>
      <c r="G541" t="n">
        <v>3</v>
      </c>
      <c r="H541" t="inlineStr">
        <is>
          <t>HIGH</t>
        </is>
      </c>
      <c r="I541" t="n">
        <v>14.1</v>
      </c>
      <c r="J541" t="inlineStr">
        <is>
          <t>NO</t>
        </is>
      </c>
      <c r="K541" t="inlineStr">
        <is>
          <t>2026-02-26 00:15</t>
        </is>
      </c>
      <c r="L541" t="inlineStr">
        <is>
          <t>CHECK_VENDOR</t>
        </is>
      </c>
      <c r="M541" t="inlineStr">
        <is>
          <t>See CVE details</t>
        </is>
      </c>
      <c r="N541" t="inlineStr">
        <is>
          <t>P3</t>
        </is>
      </c>
      <c r="O541" t="inlineStr">
        <is>
          <t>CVE - IP enrichment n/a</t>
        </is>
      </c>
      <c r="P541" t="n">
        <v>0</v>
      </c>
      <c r="Q541" t="n">
        <v>0</v>
      </c>
      <c r="R541" t="inlineStr">
        <is>
          <t>T1190:Exploit Public-Facing Application</t>
        </is>
      </c>
      <c r="S541" t="n">
        <v>1</v>
      </c>
      <c r="T541" t="inlineStr">
        <is>
          <t>LOW (40%)</t>
        </is>
      </c>
      <c r="U541" t="inlineStr">
        <is>
          <t>UNLIKELY</t>
        </is>
      </c>
      <c r="V541" t="inlineStr">
        <is>
          <t>CHECK_VENDOR</t>
        </is>
      </c>
      <c r="W541" t="inlineStr">
        <is>
          <t>https://nvd.nist.gov/vuln/detail/CVE-2025-67982</t>
        </is>
      </c>
      <c r="X541" t="inlineStr">
        <is>
          <t>NONE</t>
        </is>
      </c>
      <c r="Y541" t="n">
        <v>0</v>
      </c>
      <c r="Z541" t="inlineStr"/>
      <c r="AA541" t="inlineStr">
        <is>
          <t>https://nvd.nist.gov/vuln/detail/CVE-2025-67982</t>
        </is>
      </c>
    </row>
    <row r="542">
      <c r="A542" t="inlineStr">
        <is>
          <t>CVE</t>
        </is>
      </c>
      <c r="B542" t="inlineStr">
        <is>
          <t>CVE-2025-67984</t>
        </is>
      </c>
      <c r="C542" t="inlineStr">
        <is>
          <t>Improper Neutralization of Input During Web Page Generation ('Cross-site Scripting') vulnerability in calliko NPS computy nps-computy allows DOM-Based XSS.This issue affects NPS computy: from n/a through &lt;= 2.8.2.</t>
        </is>
      </c>
      <c r="D542" t="n">
        <v>7.1</v>
      </c>
      <c r="E542" t="inlineStr">
        <is>
          <t>HIGH</t>
        </is>
      </c>
      <c r="F542" t="n">
        <v>2</v>
      </c>
      <c r="G542" t="n">
        <v>3</v>
      </c>
      <c r="H542" t="inlineStr">
        <is>
          <t>HIGH</t>
        </is>
      </c>
      <c r="I542" t="n">
        <v>13.1</v>
      </c>
      <c r="J542" t="inlineStr">
        <is>
          <t>NO</t>
        </is>
      </c>
      <c r="K542" t="inlineStr">
        <is>
          <t>2026-02-26 00:15</t>
        </is>
      </c>
      <c r="L542" t="inlineStr">
        <is>
          <t>CHECK_VENDOR</t>
        </is>
      </c>
      <c r="M542" t="inlineStr">
        <is>
          <t>See CVE details</t>
        </is>
      </c>
      <c r="N542" t="inlineStr">
        <is>
          <t>P3</t>
        </is>
      </c>
      <c r="O542" t="inlineStr">
        <is>
          <t>CVE - IP enrichment n/a</t>
        </is>
      </c>
      <c r="P542" t="n">
        <v>0</v>
      </c>
      <c r="Q542" t="n">
        <v>0</v>
      </c>
      <c r="R542" t="inlineStr">
        <is>
          <t>T1189:Drive-by Compromise</t>
        </is>
      </c>
      <c r="S542" t="n">
        <v>1</v>
      </c>
      <c r="T542" t="inlineStr">
        <is>
          <t>LOW (40%)</t>
        </is>
      </c>
      <c r="U542" t="inlineStr">
        <is>
          <t>UNLIKELY</t>
        </is>
      </c>
      <c r="V542" t="inlineStr">
        <is>
          <t>CHECK_VENDOR</t>
        </is>
      </c>
      <c r="W542" t="inlineStr">
        <is>
          <t>https://nvd.nist.gov/vuln/detail/CVE-2025-67984</t>
        </is>
      </c>
      <c r="X542" t="inlineStr">
        <is>
          <t>NONE</t>
        </is>
      </c>
      <c r="Y542" t="n">
        <v>0</v>
      </c>
      <c r="Z542" t="inlineStr"/>
      <c r="AA542" t="inlineStr">
        <is>
          <t>https://nvd.nist.gov/vuln/detail/CVE-2025-67984</t>
        </is>
      </c>
    </row>
    <row r="543">
      <c r="A543" t="inlineStr">
        <is>
          <t>CVE</t>
        </is>
      </c>
      <c r="B543" t="inlineStr">
        <is>
          <t>CVE-2025-67987</t>
        </is>
      </c>
      <c r="C543" t="inlineStr">
        <is>
          <t>Improper Neutralization of Special Elements used in an SQL Command ('SQL Injection') vulnerability in ExpressTech Systems Quiz And Survey Master quiz-master-next allows SQL Injection.This issue affects Quiz And Survey Master: from n/a through &lt;= 10.3.1.</t>
        </is>
      </c>
      <c r="D543" t="n">
        <v>8.5</v>
      </c>
      <c r="E543" t="inlineStr">
        <is>
          <t>HIGH</t>
        </is>
      </c>
      <c r="F543" t="n">
        <v>2</v>
      </c>
      <c r="G543" t="n">
        <v>3</v>
      </c>
      <c r="H543" t="inlineStr">
        <is>
          <t>HIGH</t>
        </is>
      </c>
      <c r="I543" t="n">
        <v>14.5</v>
      </c>
      <c r="J543" t="inlineStr">
        <is>
          <t>NO</t>
        </is>
      </c>
      <c r="K543" t="inlineStr">
        <is>
          <t>2026-02-26 00:15</t>
        </is>
      </c>
      <c r="L543" t="inlineStr">
        <is>
          <t>CHECK_VENDOR</t>
        </is>
      </c>
      <c r="M543" t="inlineStr">
        <is>
          <t>See CVE details</t>
        </is>
      </c>
      <c r="N543" t="inlineStr">
        <is>
          <t>P3</t>
        </is>
      </c>
      <c r="O543" t="inlineStr">
        <is>
          <t>CVE - IP enrichment n/a</t>
        </is>
      </c>
      <c r="P543" t="n">
        <v>0</v>
      </c>
      <c r="Q543" t="n">
        <v>0</v>
      </c>
      <c r="R543" t="inlineStr">
        <is>
          <t>T1190:Exploit Public-Facing Application</t>
        </is>
      </c>
      <c r="S543" t="n">
        <v>1</v>
      </c>
      <c r="T543" t="inlineStr">
        <is>
          <t>LOW (40%)</t>
        </is>
      </c>
      <c r="U543" t="inlineStr">
        <is>
          <t>UNLIKELY</t>
        </is>
      </c>
      <c r="V543" t="inlineStr">
        <is>
          <t>CHECK_VENDOR</t>
        </is>
      </c>
      <c r="W543" t="inlineStr">
        <is>
          <t>https://nvd.nist.gov/vuln/detail/CVE-2025-67987</t>
        </is>
      </c>
      <c r="X543" t="inlineStr">
        <is>
          <t>NONE</t>
        </is>
      </c>
      <c r="Y543" t="n">
        <v>0</v>
      </c>
      <c r="Z543" t="inlineStr"/>
      <c r="AA543" t="inlineStr">
        <is>
          <t>https://nvd.nist.gov/vuln/detail/CVE-2025-67987</t>
        </is>
      </c>
    </row>
    <row r="544">
      <c r="A544" t="inlineStr">
        <is>
          <t>CVE</t>
        </is>
      </c>
      <c r="B544" t="inlineStr">
        <is>
          <t>CVE-2025-67988</t>
        </is>
      </c>
      <c r="C544" t="inlineStr">
        <is>
          <t>Improper Control of Filename for Include/Require Statement in PHP Program ('PHP Remote File Inclusion') vulnerability in LoftOcean CozyStay cozystay allows PHP Local File Inclusion.This issue affects CozyStay: from n/a through &lt; 1.9.1.</t>
        </is>
      </c>
      <c r="D544" t="n">
        <v>8.1</v>
      </c>
      <c r="E544" t="inlineStr">
        <is>
          <t>HIGH</t>
        </is>
      </c>
      <c r="F544" t="n">
        <v>2</v>
      </c>
      <c r="G544" t="n">
        <v>3</v>
      </c>
      <c r="H544" t="inlineStr">
        <is>
          <t>HIGH</t>
        </is>
      </c>
      <c r="I544" t="n">
        <v>14.1</v>
      </c>
      <c r="J544" t="inlineStr">
        <is>
          <t>NO</t>
        </is>
      </c>
      <c r="K544" t="inlineStr">
        <is>
          <t>2026-02-26 00:15</t>
        </is>
      </c>
      <c r="L544" t="inlineStr">
        <is>
          <t>CHECK_VENDOR</t>
        </is>
      </c>
      <c r="M544" t="inlineStr">
        <is>
          <t>See CVE details</t>
        </is>
      </c>
      <c r="N544" t="inlineStr">
        <is>
          <t>P3</t>
        </is>
      </c>
      <c r="O544" t="inlineStr">
        <is>
          <t>CVE - IP enrichment n/a</t>
        </is>
      </c>
      <c r="P544" t="n">
        <v>0</v>
      </c>
      <c r="Q544" t="n">
        <v>0</v>
      </c>
      <c r="R544" t="inlineStr">
        <is>
          <t>T1190:Exploit Public-Facing Application</t>
        </is>
      </c>
      <c r="S544" t="n">
        <v>1</v>
      </c>
      <c r="T544" t="inlineStr">
        <is>
          <t>LOW (40%)</t>
        </is>
      </c>
      <c r="U544" t="inlineStr">
        <is>
          <t>UNLIKELY</t>
        </is>
      </c>
      <c r="V544" t="inlineStr">
        <is>
          <t>CHECK_VENDOR</t>
        </is>
      </c>
      <c r="W544" t="inlineStr">
        <is>
          <t>https://nvd.nist.gov/vuln/detail/CVE-2025-67988</t>
        </is>
      </c>
      <c r="X544" t="inlineStr">
        <is>
          <t>NONE</t>
        </is>
      </c>
      <c r="Y544" t="n">
        <v>0</v>
      </c>
      <c r="Z544" t="inlineStr"/>
      <c r="AA544" t="inlineStr">
        <is>
          <t>https://nvd.nist.gov/vuln/detail/CVE-2025-67988</t>
        </is>
      </c>
    </row>
    <row r="545">
      <c r="A545" t="inlineStr">
        <is>
          <t>CVE</t>
        </is>
      </c>
      <c r="B545" t="inlineStr">
        <is>
          <t>CVE-2025-67990</t>
        </is>
      </c>
      <c r="C545" t="inlineStr">
        <is>
          <t>Improper Neutralization of Input During Web Page Generation ('Cross-site Scripting') vulnerability in RealMag777 GMap Targeting gmap-targeting allows Reflected XSS.This issue affects GMap Targeting: from n/a through &lt;= 1.1.7.</t>
        </is>
      </c>
      <c r="D545" t="n">
        <v>7.1</v>
      </c>
      <c r="E545" t="inlineStr">
        <is>
          <t>HIGH</t>
        </is>
      </c>
      <c r="F545" t="n">
        <v>2</v>
      </c>
      <c r="G545" t="n">
        <v>3</v>
      </c>
      <c r="H545" t="inlineStr">
        <is>
          <t>HIGH</t>
        </is>
      </c>
      <c r="I545" t="n">
        <v>13.1</v>
      </c>
      <c r="J545" t="inlineStr">
        <is>
          <t>NO</t>
        </is>
      </c>
      <c r="K545" t="inlineStr">
        <is>
          <t>2026-02-26 00:15</t>
        </is>
      </c>
      <c r="L545" t="inlineStr">
        <is>
          <t>CHECK_VENDOR</t>
        </is>
      </c>
      <c r="M545" t="inlineStr">
        <is>
          <t>See CVE details</t>
        </is>
      </c>
      <c r="N545" t="inlineStr">
        <is>
          <t>P3</t>
        </is>
      </c>
      <c r="O545" t="inlineStr">
        <is>
          <t>CVE - IP enrichment n/a</t>
        </is>
      </c>
      <c r="P545" t="n">
        <v>0</v>
      </c>
      <c r="Q545" t="n">
        <v>0</v>
      </c>
      <c r="R545" t="inlineStr">
        <is>
          <t>T1189:Drive-by Compromise</t>
        </is>
      </c>
      <c r="S545" t="n">
        <v>1</v>
      </c>
      <c r="T545" t="inlineStr">
        <is>
          <t>LOW (40%)</t>
        </is>
      </c>
      <c r="U545" t="inlineStr">
        <is>
          <t>UNLIKELY</t>
        </is>
      </c>
      <c r="V545" t="inlineStr">
        <is>
          <t>CHECK_VENDOR</t>
        </is>
      </c>
      <c r="W545" t="inlineStr">
        <is>
          <t>https://nvd.nist.gov/vuln/detail/CVE-2025-67990</t>
        </is>
      </c>
      <c r="X545" t="inlineStr">
        <is>
          <t>NONE</t>
        </is>
      </c>
      <c r="Y545" t="n">
        <v>0</v>
      </c>
      <c r="Z545" t="inlineStr"/>
      <c r="AA545" t="inlineStr">
        <is>
          <t>https://nvd.nist.gov/vuln/detail/CVE-2025-67990</t>
        </is>
      </c>
    </row>
    <row r="546">
      <c r="A546" t="inlineStr">
        <is>
          <t>CVE</t>
        </is>
      </c>
      <c r="B546" t="inlineStr">
        <is>
          <t>CVE-2025-67991</t>
        </is>
      </c>
      <c r="C546" t="inlineStr">
        <is>
          <t>Improper Neutralization of Input During Web Page Generation ('Cross-site Scripting') vulnerability in vanquish User Extra Fields wp-user-extra-fields allows Reflected XSS.This issue affects User Extra Fields: from n/a through &lt;= 16.8.</t>
        </is>
      </c>
      <c r="D546" t="n">
        <v>7.1</v>
      </c>
      <c r="E546" t="inlineStr">
        <is>
          <t>HIGH</t>
        </is>
      </c>
      <c r="F546" t="n">
        <v>2</v>
      </c>
      <c r="G546" t="n">
        <v>3</v>
      </c>
      <c r="H546" t="inlineStr">
        <is>
          <t>HIGH</t>
        </is>
      </c>
      <c r="I546" t="n">
        <v>13.1</v>
      </c>
      <c r="J546" t="inlineStr">
        <is>
          <t>NO</t>
        </is>
      </c>
      <c r="K546" t="inlineStr">
        <is>
          <t>2026-02-26 00:15</t>
        </is>
      </c>
      <c r="L546" t="inlineStr">
        <is>
          <t>CHECK_VENDOR</t>
        </is>
      </c>
      <c r="M546" t="inlineStr">
        <is>
          <t>See CVE details</t>
        </is>
      </c>
      <c r="N546" t="inlineStr">
        <is>
          <t>P3</t>
        </is>
      </c>
      <c r="O546" t="inlineStr">
        <is>
          <t>CVE - IP enrichment n/a</t>
        </is>
      </c>
      <c r="P546" t="n">
        <v>0</v>
      </c>
      <c r="Q546" t="n">
        <v>0</v>
      </c>
      <c r="R546" t="inlineStr">
        <is>
          <t>T1189:Drive-by Compromise</t>
        </is>
      </c>
      <c r="S546" t="n">
        <v>1</v>
      </c>
      <c r="T546" t="inlineStr">
        <is>
          <t>LOW (40%)</t>
        </is>
      </c>
      <c r="U546" t="inlineStr">
        <is>
          <t>UNLIKELY</t>
        </is>
      </c>
      <c r="V546" t="inlineStr">
        <is>
          <t>CHECK_VENDOR</t>
        </is>
      </c>
      <c r="W546" t="inlineStr">
        <is>
          <t>https://nvd.nist.gov/vuln/detail/CVE-2025-67991</t>
        </is>
      </c>
      <c r="X546" t="inlineStr">
        <is>
          <t>NONE</t>
        </is>
      </c>
      <c r="Y546" t="n">
        <v>0</v>
      </c>
      <c r="Z546" t="inlineStr"/>
      <c r="AA546" t="inlineStr">
        <is>
          <t>https://nvd.nist.gov/vuln/detail/CVE-2025-67991</t>
        </is>
      </c>
    </row>
    <row r="547">
      <c r="A547" t="inlineStr">
        <is>
          <t>CVE</t>
        </is>
      </c>
      <c r="B547" t="inlineStr">
        <is>
          <t>CVE-2025-67992</t>
        </is>
      </c>
      <c r="C547" t="inlineStr">
        <is>
          <t>Improper Control of Filename for Include/Require Statement in PHP Program ('PHP Remote File Inclusion') vulnerability in LoftOcean PatioTime patiotime allows PHP Local File Inclusion.This issue affects PatioTime: from n/a through &lt; 2.1.</t>
        </is>
      </c>
      <c r="D547" t="n">
        <v>8.1</v>
      </c>
      <c r="E547" t="inlineStr">
        <is>
          <t>HIGH</t>
        </is>
      </c>
      <c r="F547" t="n">
        <v>2</v>
      </c>
      <c r="G547" t="n">
        <v>3</v>
      </c>
      <c r="H547" t="inlineStr">
        <is>
          <t>HIGH</t>
        </is>
      </c>
      <c r="I547" t="n">
        <v>14.1</v>
      </c>
      <c r="J547" t="inlineStr">
        <is>
          <t>NO</t>
        </is>
      </c>
      <c r="K547" t="inlineStr">
        <is>
          <t>2026-02-26 00:15</t>
        </is>
      </c>
      <c r="L547" t="inlineStr">
        <is>
          <t>CHECK_VENDOR</t>
        </is>
      </c>
      <c r="M547" t="inlineStr">
        <is>
          <t>See CVE details</t>
        </is>
      </c>
      <c r="N547" t="inlineStr">
        <is>
          <t>P3</t>
        </is>
      </c>
      <c r="O547" t="inlineStr">
        <is>
          <t>CVE - IP enrichment n/a</t>
        </is>
      </c>
      <c r="P547" t="n">
        <v>0</v>
      </c>
      <c r="Q547" t="n">
        <v>0</v>
      </c>
      <c r="R547" t="inlineStr">
        <is>
          <t>T1190:Exploit Public-Facing Application</t>
        </is>
      </c>
      <c r="S547" t="n">
        <v>1</v>
      </c>
      <c r="T547" t="inlineStr">
        <is>
          <t>LOW (40%)</t>
        </is>
      </c>
      <c r="U547" t="inlineStr">
        <is>
          <t>UNLIKELY</t>
        </is>
      </c>
      <c r="V547" t="inlineStr">
        <is>
          <t>CHECK_VENDOR</t>
        </is>
      </c>
      <c r="W547" t="inlineStr">
        <is>
          <t>https://nvd.nist.gov/vuln/detail/CVE-2025-67992</t>
        </is>
      </c>
      <c r="X547" t="inlineStr">
        <is>
          <t>NONE</t>
        </is>
      </c>
      <c r="Y547" t="n">
        <v>0</v>
      </c>
      <c r="Z547" t="inlineStr"/>
      <c r="AA547" t="inlineStr">
        <is>
          <t>https://nvd.nist.gov/vuln/detail/CVE-2025-67992</t>
        </is>
      </c>
    </row>
    <row r="548">
      <c r="A548" t="inlineStr">
        <is>
          <t>CVE</t>
        </is>
      </c>
      <c r="B548" t="inlineStr">
        <is>
          <t>CVE-2025-67993</t>
        </is>
      </c>
      <c r="C548" t="inlineStr">
        <is>
          <t>Missing Authorization vulnerability in Vito Peleg Atarim atarim-visual-collaboration allows Exploiting Incorrectly Configured Access Control Security Levels.This issue affects Atarim: from n/a through &lt;= 4.2.1.</t>
        </is>
      </c>
      <c r="D548" t="n">
        <v>6.5</v>
      </c>
      <c r="E548" t="inlineStr">
        <is>
          <t>MEDIUM</t>
        </is>
      </c>
      <c r="F548" t="n">
        <v>2</v>
      </c>
      <c r="G548" t="n">
        <v>2</v>
      </c>
      <c r="H548" t="inlineStr">
        <is>
          <t>MEDIUM</t>
        </is>
      </c>
      <c r="I548" t="n">
        <v>10.5</v>
      </c>
      <c r="J548" t="inlineStr">
        <is>
          <t>NO</t>
        </is>
      </c>
      <c r="K548" t="inlineStr">
        <is>
          <t>2026-02-26 00:15</t>
        </is>
      </c>
      <c r="L548" t="inlineStr">
        <is>
          <t>CHECK_VENDOR</t>
        </is>
      </c>
      <c r="M548" t="inlineStr">
        <is>
          <t>See CVE details</t>
        </is>
      </c>
      <c r="N548" t="inlineStr">
        <is>
          <t>P4</t>
        </is>
      </c>
      <c r="O548" t="inlineStr">
        <is>
          <t>CVE - IP enrichment n/a</t>
        </is>
      </c>
      <c r="P548" t="n">
        <v>0</v>
      </c>
      <c r="Q548" t="n">
        <v>0</v>
      </c>
      <c r="R548" t="inlineStr">
        <is>
          <t>T1190:Exploit Public-Facing Application</t>
        </is>
      </c>
      <c r="S548" t="n">
        <v>1</v>
      </c>
      <c r="T548" t="inlineStr">
        <is>
          <t>LOW (40%)</t>
        </is>
      </c>
      <c r="U548" t="inlineStr">
        <is>
          <t>UNLIKELY</t>
        </is>
      </c>
      <c r="V548" t="inlineStr">
        <is>
          <t>CHECK_VENDOR</t>
        </is>
      </c>
      <c r="W548" t="inlineStr">
        <is>
          <t>https://nvd.nist.gov/vuln/detail/CVE-2025-67993</t>
        </is>
      </c>
      <c r="X548" t="inlineStr">
        <is>
          <t>NONE</t>
        </is>
      </c>
      <c r="Y548" t="n">
        <v>0</v>
      </c>
      <c r="Z548" t="inlineStr"/>
      <c r="AA548" t="inlineStr">
        <is>
          <t>https://nvd.nist.gov/vuln/detail/CVE-2025-67993</t>
        </is>
      </c>
    </row>
    <row r="549">
      <c r="A549" t="inlineStr">
        <is>
          <t>CVE</t>
        </is>
      </c>
      <c r="B549" t="inlineStr">
        <is>
          <t>CVE-2025-67994</t>
        </is>
      </c>
      <c r="C549" t="inlineStr">
        <is>
          <t>Missing Authorization vulnerability in YayCommerce YayCurrency yaycurrency allows Exploiting Incorrectly Configured Access Control Security Levels.This issue affects YayCurrency: from n/a through &lt;= 3.3.</t>
        </is>
      </c>
      <c r="D549" t="n">
        <v>7.5</v>
      </c>
      <c r="E549" t="inlineStr">
        <is>
          <t>HIGH</t>
        </is>
      </c>
      <c r="F549" t="n">
        <v>2</v>
      </c>
      <c r="G549" t="n">
        <v>3</v>
      </c>
      <c r="H549" t="inlineStr">
        <is>
          <t>HIGH</t>
        </is>
      </c>
      <c r="I549" t="n">
        <v>13.5</v>
      </c>
      <c r="J549" t="inlineStr">
        <is>
          <t>NO</t>
        </is>
      </c>
      <c r="K549" t="inlineStr">
        <is>
          <t>2026-02-26 00:15</t>
        </is>
      </c>
      <c r="L549" t="inlineStr">
        <is>
          <t>CHECK_VENDOR</t>
        </is>
      </c>
      <c r="M549" t="inlineStr">
        <is>
          <t>See CVE details</t>
        </is>
      </c>
      <c r="N549" t="inlineStr">
        <is>
          <t>P3</t>
        </is>
      </c>
      <c r="O549" t="inlineStr">
        <is>
          <t>CVE - IP enrichment n/a</t>
        </is>
      </c>
      <c r="P549" t="n">
        <v>0</v>
      </c>
      <c r="Q549" t="n">
        <v>0</v>
      </c>
      <c r="R549" t="inlineStr">
        <is>
          <t>T1190:Exploit Public-Facing Application</t>
        </is>
      </c>
      <c r="S549" t="n">
        <v>1</v>
      </c>
      <c r="T549" t="inlineStr">
        <is>
          <t>LOW (40%)</t>
        </is>
      </c>
      <c r="U549" t="inlineStr">
        <is>
          <t>UNLIKELY</t>
        </is>
      </c>
      <c r="V549" t="inlineStr">
        <is>
          <t>CHECK_VENDOR</t>
        </is>
      </c>
      <c r="W549" t="inlineStr">
        <is>
          <t>https://nvd.nist.gov/vuln/detail/CVE-2025-67994</t>
        </is>
      </c>
      <c r="X549" t="inlineStr">
        <is>
          <t>NONE</t>
        </is>
      </c>
      <c r="Y549" t="n">
        <v>0</v>
      </c>
      <c r="Z549" t="inlineStr"/>
      <c r="AA549" t="inlineStr">
        <is>
          <t>https://nvd.nist.gov/vuln/detail/CVE-2025-67994</t>
        </is>
      </c>
    </row>
    <row r="550">
      <c r="A550" t="inlineStr">
        <is>
          <t>CVE</t>
        </is>
      </c>
      <c r="B550" t="inlineStr">
        <is>
          <t>CVE-2025-67995</t>
        </is>
      </c>
      <c r="C550" t="inlineStr">
        <is>
          <t>Deserialization of Untrusted Data vulnerability in LoftOcean PatioTime patiotime allows Object Injection.This issue affects PatioTime: from n/a through &lt; 2.1.</t>
        </is>
      </c>
      <c r="D550" t="n">
        <v>9.800000000000001</v>
      </c>
      <c r="E550" t="inlineStr">
        <is>
          <t>CRITICAL</t>
        </is>
      </c>
      <c r="F550" t="n">
        <v>2</v>
      </c>
      <c r="G550" t="n">
        <v>3</v>
      </c>
      <c r="H550" t="inlineStr">
        <is>
          <t>HIGH</t>
        </is>
      </c>
      <c r="I550" t="n">
        <v>15.8</v>
      </c>
      <c r="J550" t="inlineStr">
        <is>
          <t>NO</t>
        </is>
      </c>
      <c r="K550" t="inlineStr">
        <is>
          <t>2026-02-26 00:15</t>
        </is>
      </c>
      <c r="L550" t="inlineStr">
        <is>
          <t>CHECK_VENDOR</t>
        </is>
      </c>
      <c r="M550" t="inlineStr">
        <is>
          <t>See CVE details</t>
        </is>
      </c>
      <c r="N550" t="inlineStr">
        <is>
          <t>P3</t>
        </is>
      </c>
      <c r="O550" t="inlineStr">
        <is>
          <t>CVE - IP enrichment n/a</t>
        </is>
      </c>
      <c r="P550" t="n">
        <v>0</v>
      </c>
      <c r="Q550" t="n">
        <v>0</v>
      </c>
      <c r="R550" t="inlineStr">
        <is>
          <t>T1059:Command and Scripting Interpreter</t>
        </is>
      </c>
      <c r="S550" t="n">
        <v>1</v>
      </c>
      <c r="T550" t="inlineStr">
        <is>
          <t>LOW (40%)</t>
        </is>
      </c>
      <c r="U550" t="inlineStr">
        <is>
          <t>UNLIKELY</t>
        </is>
      </c>
      <c r="V550" t="inlineStr">
        <is>
          <t>CHECK_VENDOR</t>
        </is>
      </c>
      <c r="W550" t="inlineStr">
        <is>
          <t>https://nvd.nist.gov/vuln/detail/CVE-2025-67995</t>
        </is>
      </c>
      <c r="X550" t="inlineStr">
        <is>
          <t>NONE</t>
        </is>
      </c>
      <c r="Y550" t="n">
        <v>0</v>
      </c>
      <c r="Z550" t="inlineStr"/>
      <c r="AA550" t="inlineStr">
        <is>
          <t>https://nvd.nist.gov/vuln/detail/CVE-2025-67995</t>
        </is>
      </c>
    </row>
    <row r="551">
      <c r="A551" t="inlineStr">
        <is>
          <t>CVE</t>
        </is>
      </c>
      <c r="B551" t="inlineStr">
        <is>
          <t>CVE-2025-67996</t>
        </is>
      </c>
      <c r="C551" t="inlineStr">
        <is>
          <t>Deserialization of Untrusted Data vulnerability in BoldThemes Nestin nestin allows Object Injection.This issue affects Nestin: from n/a through &lt; 1.2.6.</t>
        </is>
      </c>
      <c r="D551" t="n">
        <v>9.800000000000001</v>
      </c>
      <c r="E551" t="inlineStr">
        <is>
          <t>CRITICAL</t>
        </is>
      </c>
      <c r="F551" t="n">
        <v>2</v>
      </c>
      <c r="G551" t="n">
        <v>3</v>
      </c>
      <c r="H551" t="inlineStr">
        <is>
          <t>HIGH</t>
        </is>
      </c>
      <c r="I551" t="n">
        <v>15.8</v>
      </c>
      <c r="J551" t="inlineStr">
        <is>
          <t>NO</t>
        </is>
      </c>
      <c r="K551" t="inlineStr">
        <is>
          <t>2026-02-26 00:15</t>
        </is>
      </c>
      <c r="L551" t="inlineStr">
        <is>
          <t>CHECK_VENDOR</t>
        </is>
      </c>
      <c r="M551" t="inlineStr">
        <is>
          <t>See CVE details</t>
        </is>
      </c>
      <c r="N551" t="inlineStr">
        <is>
          <t>P3</t>
        </is>
      </c>
      <c r="O551" t="inlineStr">
        <is>
          <t>CVE - IP enrichment n/a</t>
        </is>
      </c>
      <c r="P551" t="n">
        <v>0</v>
      </c>
      <c r="Q551" t="n">
        <v>0</v>
      </c>
      <c r="R551" t="inlineStr">
        <is>
          <t>T1059:Command and Scripting Interpreter</t>
        </is>
      </c>
      <c r="S551" t="n">
        <v>1</v>
      </c>
      <c r="T551" t="inlineStr">
        <is>
          <t>LOW (40%)</t>
        </is>
      </c>
      <c r="U551" t="inlineStr">
        <is>
          <t>UNLIKELY</t>
        </is>
      </c>
      <c r="V551" t="inlineStr">
        <is>
          <t>CHECK_VENDOR</t>
        </is>
      </c>
      <c r="W551" t="inlineStr">
        <is>
          <t>https://nvd.nist.gov/vuln/detail/CVE-2025-67996</t>
        </is>
      </c>
      <c r="X551" t="inlineStr">
        <is>
          <t>NONE</t>
        </is>
      </c>
      <c r="Y551" t="n">
        <v>0</v>
      </c>
      <c r="Z551" t="inlineStr"/>
      <c r="AA551" t="inlineStr">
        <is>
          <t>https://nvd.nist.gov/vuln/detail/CVE-2025-67996</t>
        </is>
      </c>
    </row>
    <row r="552">
      <c r="A552" t="inlineStr">
        <is>
          <t>CVE</t>
        </is>
      </c>
      <c r="B552" t="inlineStr">
        <is>
          <t>CVE-2025-67997</t>
        </is>
      </c>
      <c r="C552" t="inlineStr">
        <is>
          <t>Deserialization of Untrusted Data vulnerability in BoldThemes Travelicious travelicious allows Object Injection.This issue affects Travelicious: from n/a through &lt; 1.6.7.</t>
        </is>
      </c>
      <c r="D552" t="n">
        <v>9.800000000000001</v>
      </c>
      <c r="E552" t="inlineStr">
        <is>
          <t>CRITICAL</t>
        </is>
      </c>
      <c r="F552" t="n">
        <v>2</v>
      </c>
      <c r="G552" t="n">
        <v>3</v>
      </c>
      <c r="H552" t="inlineStr">
        <is>
          <t>HIGH</t>
        </is>
      </c>
      <c r="I552" t="n">
        <v>15.8</v>
      </c>
      <c r="J552" t="inlineStr">
        <is>
          <t>NO</t>
        </is>
      </c>
      <c r="K552" t="inlineStr">
        <is>
          <t>2026-02-26 00:15</t>
        </is>
      </c>
      <c r="L552" t="inlineStr">
        <is>
          <t>CHECK_VENDOR</t>
        </is>
      </c>
      <c r="M552" t="inlineStr">
        <is>
          <t>See CVE details</t>
        </is>
      </c>
      <c r="N552" t="inlineStr">
        <is>
          <t>P3</t>
        </is>
      </c>
      <c r="O552" t="inlineStr">
        <is>
          <t>CVE - IP enrichment n/a</t>
        </is>
      </c>
      <c r="P552" t="n">
        <v>0.0004</v>
      </c>
      <c r="Q552" t="n">
        <v>0.1236</v>
      </c>
      <c r="R552" t="inlineStr">
        <is>
          <t>T1059:Command and Scripting Interpreter</t>
        </is>
      </c>
      <c r="S552" t="n">
        <v>1</v>
      </c>
      <c r="T552" t="inlineStr">
        <is>
          <t>LOW (40%)</t>
        </is>
      </c>
      <c r="U552" t="inlineStr">
        <is>
          <t>UNLIKELY</t>
        </is>
      </c>
      <c r="V552" t="inlineStr">
        <is>
          <t>CHECK_VENDOR</t>
        </is>
      </c>
      <c r="W552" t="inlineStr">
        <is>
          <t>https://nvd.nist.gov/vuln/detail/CVE-2025-67997</t>
        </is>
      </c>
      <c r="X552" t="inlineStr">
        <is>
          <t>NONE</t>
        </is>
      </c>
      <c r="Y552" t="n">
        <v>0</v>
      </c>
      <c r="Z552" t="inlineStr"/>
      <c r="AA552" t="inlineStr">
        <is>
          <t>https://nvd.nist.gov/vuln/detail/CVE-2025-67997</t>
        </is>
      </c>
    </row>
    <row r="553">
      <c r="A553" t="inlineStr">
        <is>
          <t>CVE</t>
        </is>
      </c>
      <c r="B553" t="inlineStr">
        <is>
          <t>CVE-2025-67998</t>
        </is>
      </c>
      <c r="C553" t="inlineStr">
        <is>
          <t>Authentication Bypass Using an Alternate Path or Channel vulnerability in kamleshyadav Miraculous Elementor miraculous-el allows Authentication Abuse.This issue affects Miraculous Elementor: from n/a through &lt;= 2.0.7.</t>
        </is>
      </c>
      <c r="D553" t="n">
        <v>5</v>
      </c>
      <c r="E553" t="inlineStr">
        <is>
          <t>MEDIUM</t>
        </is>
      </c>
      <c r="F553" t="n">
        <v>2</v>
      </c>
      <c r="G553" t="n">
        <v>2</v>
      </c>
      <c r="H553" t="inlineStr">
        <is>
          <t>MEDIUM</t>
        </is>
      </c>
      <c r="I553" t="n">
        <v>9</v>
      </c>
      <c r="J553" t="inlineStr">
        <is>
          <t>NO</t>
        </is>
      </c>
      <c r="K553" t="inlineStr">
        <is>
          <t>2026-02-26 00:15</t>
        </is>
      </c>
      <c r="L553" t="inlineStr">
        <is>
          <t>CHECK_VENDOR</t>
        </is>
      </c>
      <c r="M553" t="inlineStr">
        <is>
          <t>See CVE details</t>
        </is>
      </c>
      <c r="N553" t="inlineStr">
        <is>
          <t>P4</t>
        </is>
      </c>
      <c r="O553" t="inlineStr">
        <is>
          <t>CVE - IP enrichment n/a</t>
        </is>
      </c>
      <c r="P553" t="n">
        <v>0</v>
      </c>
      <c r="Q553" t="n">
        <v>0</v>
      </c>
      <c r="R553" t="inlineStr">
        <is>
          <t>T1078:Valid Accounts</t>
        </is>
      </c>
      <c r="S553" t="n">
        <v>1</v>
      </c>
      <c r="T553" t="inlineStr">
        <is>
          <t>LOW (40%)</t>
        </is>
      </c>
      <c r="U553" t="inlineStr">
        <is>
          <t>UNLIKELY</t>
        </is>
      </c>
      <c r="V553" t="inlineStr">
        <is>
          <t>CHECK_VENDOR</t>
        </is>
      </c>
      <c r="W553" t="inlineStr">
        <is>
          <t>https://nvd.nist.gov/vuln/detail/CVE-2025-67998</t>
        </is>
      </c>
      <c r="X553" t="inlineStr">
        <is>
          <t>NONE</t>
        </is>
      </c>
      <c r="Y553" t="n">
        <v>0</v>
      </c>
      <c r="Z553" t="inlineStr"/>
      <c r="AA553" t="inlineStr">
        <is>
          <t>https://nvd.nist.gov/vuln/detail/CVE-2025-67998</t>
        </is>
      </c>
    </row>
    <row r="554">
      <c r="A554" t="inlineStr">
        <is>
          <t>CVE</t>
        </is>
      </c>
      <c r="B554" t="inlineStr">
        <is>
          <t>CVE-2025-68000</t>
        </is>
      </c>
      <c r="C554" t="inlineStr">
        <is>
          <t>Missing Authorization vulnerability in PickPlugins Testimonial Slider testimonial allows Exploiting Incorrectly Configured Access Control Security Levels.This issue affects Testimonial Slider: from n/a through &lt;= 2.0.15.</t>
        </is>
      </c>
      <c r="D554" t="n">
        <v>6.5</v>
      </c>
      <c r="E554" t="inlineStr">
        <is>
          <t>MEDIUM</t>
        </is>
      </c>
      <c r="F554" t="n">
        <v>2</v>
      </c>
      <c r="G554" t="n">
        <v>2</v>
      </c>
      <c r="H554" t="inlineStr">
        <is>
          <t>MEDIUM</t>
        </is>
      </c>
      <c r="I554" t="n">
        <v>10.5</v>
      </c>
      <c r="J554" t="inlineStr">
        <is>
          <t>NO</t>
        </is>
      </c>
      <c r="K554" t="inlineStr">
        <is>
          <t>2026-02-26 00:15</t>
        </is>
      </c>
      <c r="L554" t="inlineStr">
        <is>
          <t>CHECK_VENDOR</t>
        </is>
      </c>
      <c r="M554" t="inlineStr">
        <is>
          <t>See CVE details</t>
        </is>
      </c>
      <c r="N554" t="inlineStr">
        <is>
          <t>P4</t>
        </is>
      </c>
      <c r="O554" t="inlineStr">
        <is>
          <t>CVE - IP enrichment n/a</t>
        </is>
      </c>
      <c r="P554" t="n">
        <v>0</v>
      </c>
      <c r="Q554" t="n">
        <v>0</v>
      </c>
      <c r="R554" t="inlineStr">
        <is>
          <t>T1190:Exploit Public-Facing Application</t>
        </is>
      </c>
      <c r="S554" t="n">
        <v>1</v>
      </c>
      <c r="T554" t="inlineStr">
        <is>
          <t>LOW (40%)</t>
        </is>
      </c>
      <c r="U554" t="inlineStr">
        <is>
          <t>UNLIKELY</t>
        </is>
      </c>
      <c r="V554" t="inlineStr">
        <is>
          <t>CHECK_VENDOR</t>
        </is>
      </c>
      <c r="W554" t="inlineStr">
        <is>
          <t>https://nvd.nist.gov/vuln/detail/CVE-2025-68000</t>
        </is>
      </c>
      <c r="X554" t="inlineStr">
        <is>
          <t>NONE</t>
        </is>
      </c>
      <c r="Y554" t="n">
        <v>0</v>
      </c>
      <c r="Z554" t="inlineStr"/>
      <c r="AA554" t="inlineStr">
        <is>
          <t>https://nvd.nist.gov/vuln/detail/CVE-2025-68000</t>
        </is>
      </c>
    </row>
    <row r="555">
      <c r="A555" t="inlineStr">
        <is>
          <t>CVE</t>
        </is>
      </c>
      <c r="B555" t="inlineStr">
        <is>
          <t>CVE-2025-68002</t>
        </is>
      </c>
      <c r="C555" t="inlineStr">
        <is>
          <t>Improper Limitation of a Pathname to a Restricted Directory ('Path Traversal') vulnerability in 100plugins Open User Map open-user-map allows Path Traversal.This issue affects Open User Map: from n/a through &lt;= 1.4.16.</t>
        </is>
      </c>
      <c r="D555" t="n">
        <v>6.5</v>
      </c>
      <c r="E555" t="inlineStr">
        <is>
          <t>MEDIUM</t>
        </is>
      </c>
      <c r="F555" t="n">
        <v>2</v>
      </c>
      <c r="G555" t="n">
        <v>2</v>
      </c>
      <c r="H555" t="inlineStr">
        <is>
          <t>MEDIUM</t>
        </is>
      </c>
      <c r="I555" t="n">
        <v>10.5</v>
      </c>
      <c r="J555" t="inlineStr">
        <is>
          <t>NO</t>
        </is>
      </c>
      <c r="K555" t="inlineStr">
        <is>
          <t>2026-02-26 00:15</t>
        </is>
      </c>
      <c r="L555" t="inlineStr">
        <is>
          <t>CHECK_VENDOR</t>
        </is>
      </c>
      <c r="M555" t="inlineStr">
        <is>
          <t>See CVE details</t>
        </is>
      </c>
      <c r="N555" t="inlineStr">
        <is>
          <t>P4</t>
        </is>
      </c>
      <c r="O555" t="inlineStr">
        <is>
          <t>CVE - IP enrichment n/a</t>
        </is>
      </c>
      <c r="P555" t="n">
        <v>0.0002</v>
      </c>
      <c r="Q555" t="n">
        <v>0.0522</v>
      </c>
      <c r="R555" t="inlineStr">
        <is>
          <t>T1083:File and Directory Discovery</t>
        </is>
      </c>
      <c r="S555" t="n">
        <v>1</v>
      </c>
      <c r="T555" t="inlineStr">
        <is>
          <t>LOW (40%)</t>
        </is>
      </c>
      <c r="U555" t="inlineStr">
        <is>
          <t>UNLIKELY</t>
        </is>
      </c>
      <c r="V555" t="inlineStr">
        <is>
          <t>CHECK_VENDOR</t>
        </is>
      </c>
      <c r="W555" t="inlineStr">
        <is>
          <t>https://nvd.nist.gov/vuln/detail/CVE-2025-68002</t>
        </is>
      </c>
      <c r="X555" t="inlineStr">
        <is>
          <t>NONE</t>
        </is>
      </c>
      <c r="Y555" t="n">
        <v>0</v>
      </c>
      <c r="Z555" t="inlineStr"/>
      <c r="AA555" t="inlineStr">
        <is>
          <t>https://nvd.nist.gov/vuln/detail/CVE-2025-68002</t>
        </is>
      </c>
    </row>
    <row r="556">
      <c r="A556" t="inlineStr">
        <is>
          <t>CVE</t>
        </is>
      </c>
      <c r="B556" t="inlineStr">
        <is>
          <t>CVE-2025-68005</t>
        </is>
      </c>
      <c r="C556" t="inlineStr">
        <is>
          <t>Missing Authorization vulnerability in themewant Easy Hotel Booking easy-hotel allows Exploiting Incorrectly Configured Access Control Security Levels.This issue affects Easy Hotel Booking: from n/a through &lt;= 1.8.7.</t>
        </is>
      </c>
      <c r="D556" t="n">
        <v>6.5</v>
      </c>
      <c r="E556" t="inlineStr">
        <is>
          <t>MEDIUM</t>
        </is>
      </c>
      <c r="F556" t="n">
        <v>2</v>
      </c>
      <c r="G556" t="n">
        <v>2</v>
      </c>
      <c r="H556" t="inlineStr">
        <is>
          <t>MEDIUM</t>
        </is>
      </c>
      <c r="I556" t="n">
        <v>10.5</v>
      </c>
      <c r="J556" t="inlineStr">
        <is>
          <t>NO</t>
        </is>
      </c>
      <c r="K556" t="inlineStr">
        <is>
          <t>2026-02-26 00:15</t>
        </is>
      </c>
      <c r="L556" t="inlineStr">
        <is>
          <t>CHECK_VENDOR</t>
        </is>
      </c>
      <c r="M556" t="inlineStr">
        <is>
          <t>See CVE details</t>
        </is>
      </c>
      <c r="N556" t="inlineStr">
        <is>
          <t>P4</t>
        </is>
      </c>
      <c r="O556" t="inlineStr">
        <is>
          <t>CVE - IP enrichment n/a</t>
        </is>
      </c>
      <c r="P556" t="n">
        <v>0</v>
      </c>
      <c r="Q556" t="n">
        <v>0</v>
      </c>
      <c r="R556" t="inlineStr">
        <is>
          <t>T1190:Exploit Public-Facing Application</t>
        </is>
      </c>
      <c r="S556" t="n">
        <v>1</v>
      </c>
      <c r="T556" t="inlineStr">
        <is>
          <t>LOW (40%)</t>
        </is>
      </c>
      <c r="U556" t="inlineStr">
        <is>
          <t>UNLIKELY</t>
        </is>
      </c>
      <c r="V556" t="inlineStr">
        <is>
          <t>CHECK_VENDOR</t>
        </is>
      </c>
      <c r="W556" t="inlineStr">
        <is>
          <t>https://nvd.nist.gov/vuln/detail/CVE-2025-68005</t>
        </is>
      </c>
      <c r="X556" t="inlineStr">
        <is>
          <t>NONE</t>
        </is>
      </c>
      <c r="Y556" t="n">
        <v>0</v>
      </c>
      <c r="Z556" t="inlineStr"/>
      <c r="AA556" t="inlineStr">
        <is>
          <t>https://nvd.nist.gov/vuln/detail/CVE-2025-68005</t>
        </is>
      </c>
    </row>
    <row r="557">
      <c r="A557" t="inlineStr">
        <is>
          <t>CVE</t>
        </is>
      </c>
      <c r="B557" t="inlineStr">
        <is>
          <t>CVE-2025-68021</t>
        </is>
      </c>
      <c r="C557" t="inlineStr">
        <is>
          <t>Missing Authorization vulnerability in ConveyThis ConveyThis conveythis-translate allows Exploiting Incorrectly Configured Access Control Security Levels.This issue affects ConveyThis: from n/a through &lt;= 269.5.</t>
        </is>
      </c>
      <c r="D557" t="n">
        <v>6.5</v>
      </c>
      <c r="E557" t="inlineStr">
        <is>
          <t>MEDIUM</t>
        </is>
      </c>
      <c r="F557" t="n">
        <v>2</v>
      </c>
      <c r="G557" t="n">
        <v>2</v>
      </c>
      <c r="H557" t="inlineStr">
        <is>
          <t>MEDIUM</t>
        </is>
      </c>
      <c r="I557" t="n">
        <v>10.5</v>
      </c>
      <c r="J557" t="inlineStr">
        <is>
          <t>NO</t>
        </is>
      </c>
      <c r="K557" t="inlineStr">
        <is>
          <t>2026-02-26 00:15</t>
        </is>
      </c>
      <c r="L557" t="inlineStr">
        <is>
          <t>CHECK_VENDOR</t>
        </is>
      </c>
      <c r="M557" t="inlineStr">
        <is>
          <t>See CVE details</t>
        </is>
      </c>
      <c r="N557" t="inlineStr">
        <is>
          <t>P4</t>
        </is>
      </c>
      <c r="O557" t="inlineStr">
        <is>
          <t>CVE - IP enrichment n/a</t>
        </is>
      </c>
      <c r="P557" t="n">
        <v>0</v>
      </c>
      <c r="Q557" t="n">
        <v>0</v>
      </c>
      <c r="R557" t="inlineStr">
        <is>
          <t>T1190:Exploit Public-Facing Application</t>
        </is>
      </c>
      <c r="S557" t="n">
        <v>1</v>
      </c>
      <c r="T557" t="inlineStr">
        <is>
          <t>LOW (40%)</t>
        </is>
      </c>
      <c r="U557" t="inlineStr">
        <is>
          <t>UNLIKELY</t>
        </is>
      </c>
      <c r="V557" t="inlineStr">
        <is>
          <t>CHECK_VENDOR</t>
        </is>
      </c>
      <c r="W557" t="inlineStr">
        <is>
          <t>https://nvd.nist.gov/vuln/detail/CVE-2025-68021</t>
        </is>
      </c>
      <c r="X557" t="inlineStr">
        <is>
          <t>NONE</t>
        </is>
      </c>
      <c r="Y557" t="n">
        <v>0</v>
      </c>
      <c r="Z557" t="inlineStr"/>
      <c r="AA557" t="inlineStr">
        <is>
          <t>https://nvd.nist.gov/vuln/detail/CVE-2025-68021</t>
        </is>
      </c>
    </row>
    <row r="558">
      <c r="A558" t="inlineStr">
        <is>
          <t>CVE</t>
        </is>
      </c>
      <c r="B558" t="inlineStr">
        <is>
          <t>CVE-2025-68022</t>
        </is>
      </c>
      <c r="C558" t="inlineStr">
        <is>
          <t>Missing Authorization vulnerability in soporteblue Plugin BlueX for WooCommerce bluex-for-woocommerce allows Exploiting Incorrectly Configured Access Control Security Levels.This issue affects Plugin BlueX for WooCommerce: from n/a through &lt;= 3.1.6.</t>
        </is>
      </c>
      <c r="D558" t="n">
        <v>6.3</v>
      </c>
      <c r="E558" t="inlineStr">
        <is>
          <t>MEDIUM</t>
        </is>
      </c>
      <c r="F558" t="n">
        <v>2</v>
      </c>
      <c r="G558" t="n">
        <v>2</v>
      </c>
      <c r="H558" t="inlineStr">
        <is>
          <t>MEDIUM</t>
        </is>
      </c>
      <c r="I558" t="n">
        <v>10.3</v>
      </c>
      <c r="J558" t="inlineStr">
        <is>
          <t>NO</t>
        </is>
      </c>
      <c r="K558" t="inlineStr">
        <is>
          <t>2026-02-26 00:15</t>
        </is>
      </c>
      <c r="L558" t="inlineStr">
        <is>
          <t>CHECK_VENDOR</t>
        </is>
      </c>
      <c r="M558" t="inlineStr">
        <is>
          <t>See CVE details</t>
        </is>
      </c>
      <c r="N558" t="inlineStr">
        <is>
          <t>P4</t>
        </is>
      </c>
      <c r="O558" t="inlineStr">
        <is>
          <t>CVE - IP enrichment n/a</t>
        </is>
      </c>
      <c r="P558" t="n">
        <v>0.0003</v>
      </c>
      <c r="Q558" t="n">
        <v>0.0968</v>
      </c>
      <c r="R558" t="inlineStr">
        <is>
          <t>T1190:Exploit Public-Facing Application</t>
        </is>
      </c>
      <c r="S558" t="n">
        <v>1</v>
      </c>
      <c r="T558" t="inlineStr">
        <is>
          <t>LOW (40%)</t>
        </is>
      </c>
      <c r="U558" t="inlineStr">
        <is>
          <t>UNLIKELY</t>
        </is>
      </c>
      <c r="V558" t="inlineStr">
        <is>
          <t>CHECK_VENDOR</t>
        </is>
      </c>
      <c r="W558" t="inlineStr">
        <is>
          <t>https://nvd.nist.gov/vuln/detail/CVE-2025-68022</t>
        </is>
      </c>
      <c r="X558" t="inlineStr">
        <is>
          <t>NONE</t>
        </is>
      </c>
      <c r="Y558" t="n">
        <v>0</v>
      </c>
      <c r="Z558" t="inlineStr"/>
      <c r="AA558" t="inlineStr">
        <is>
          <t>https://nvd.nist.gov/vuln/detail/CVE-2025-68022</t>
        </is>
      </c>
    </row>
    <row r="559">
      <c r="A559" t="inlineStr">
        <is>
          <t>CVE</t>
        </is>
      </c>
      <c r="B559" t="inlineStr">
        <is>
          <t>CVE-2025-68023</t>
        </is>
      </c>
      <c r="C559" t="inlineStr">
        <is>
          <t>Missing Authorization vulnerability in Addonify Addonify &amp;#8211; Compare Products For WooCommerce addonify-compare-products allows Exploiting Incorrectly Configured Access Control Security Levels.This issue affects Addonify &amp;#8211; Compare Products For WooCommerce: from n/a through &lt;= 1.1.17.</t>
        </is>
      </c>
      <c r="D559" t="n">
        <v>6.5</v>
      </c>
      <c r="E559" t="inlineStr">
        <is>
          <t>MEDIUM</t>
        </is>
      </c>
      <c r="F559" t="n">
        <v>2</v>
      </c>
      <c r="G559" t="n">
        <v>2</v>
      </c>
      <c r="H559" t="inlineStr">
        <is>
          <t>MEDIUM</t>
        </is>
      </c>
      <c r="I559" t="n">
        <v>10.5</v>
      </c>
      <c r="J559" t="inlineStr">
        <is>
          <t>NO</t>
        </is>
      </c>
      <c r="K559" t="inlineStr">
        <is>
          <t>2026-02-26 00:15</t>
        </is>
      </c>
      <c r="L559" t="inlineStr">
        <is>
          <t>CHECK_VENDOR</t>
        </is>
      </c>
      <c r="M559" t="inlineStr">
        <is>
          <t>See CVE details</t>
        </is>
      </c>
      <c r="N559" t="inlineStr">
        <is>
          <t>P4</t>
        </is>
      </c>
      <c r="O559" t="inlineStr">
        <is>
          <t>CVE - IP enrichment n/a</t>
        </is>
      </c>
      <c r="P559" t="n">
        <v>0.0002</v>
      </c>
      <c r="Q559" t="n">
        <v>0.0379</v>
      </c>
      <c r="R559" t="inlineStr">
        <is>
          <t>T1190:Exploit Public-Facing Application</t>
        </is>
      </c>
      <c r="S559" t="n">
        <v>1</v>
      </c>
      <c r="T559" t="inlineStr">
        <is>
          <t>LOW (40%)</t>
        </is>
      </c>
      <c r="U559" t="inlineStr">
        <is>
          <t>UNLIKELY</t>
        </is>
      </c>
      <c r="V559" t="inlineStr">
        <is>
          <t>CHECK_VENDOR</t>
        </is>
      </c>
      <c r="W559" t="inlineStr">
        <is>
          <t>https://nvd.nist.gov/vuln/detail/CVE-2025-68023</t>
        </is>
      </c>
      <c r="X559" t="inlineStr">
        <is>
          <t>NONE</t>
        </is>
      </c>
      <c r="Y559" t="n">
        <v>0</v>
      </c>
      <c r="Z559" t="inlineStr"/>
      <c r="AA559" t="inlineStr">
        <is>
          <t>https://nvd.nist.gov/vuln/detail/CVE-2025-68023</t>
        </is>
      </c>
    </row>
    <row r="560">
      <c r="A560" t="inlineStr">
        <is>
          <t>CVE</t>
        </is>
      </c>
      <c r="B560" t="inlineStr">
        <is>
          <t>CVE-2025-68024</t>
        </is>
      </c>
      <c r="C560" t="inlineStr">
        <is>
          <t>Missing Authorization vulnerability in Addonify Addonify – WooCommerce Wishlist addonify-wishlist allows Exploiting Incorrectly Configured Access Control Security Levels.This issue affects Addonify – WooCommerce Wishlist: from n/a through &lt;= 2.0.15.</t>
        </is>
      </c>
      <c r="D560" t="n">
        <v>6.5</v>
      </c>
      <c r="E560" t="inlineStr">
        <is>
          <t>MEDIUM</t>
        </is>
      </c>
      <c r="F560" t="n">
        <v>2</v>
      </c>
      <c r="G560" t="n">
        <v>2</v>
      </c>
      <c r="H560" t="inlineStr">
        <is>
          <t>MEDIUM</t>
        </is>
      </c>
      <c r="I560" t="n">
        <v>10.5</v>
      </c>
      <c r="J560" t="inlineStr">
        <is>
          <t>NO</t>
        </is>
      </c>
      <c r="K560" t="inlineStr">
        <is>
          <t>2026-02-26 00:15</t>
        </is>
      </c>
      <c r="L560" t="inlineStr">
        <is>
          <t>CHECK_VENDOR</t>
        </is>
      </c>
      <c r="M560" t="inlineStr">
        <is>
          <t>See CVE details</t>
        </is>
      </c>
      <c r="N560" t="inlineStr">
        <is>
          <t>P4</t>
        </is>
      </c>
      <c r="O560" t="inlineStr">
        <is>
          <t>CVE - IP enrichment n/a</t>
        </is>
      </c>
      <c r="P560" t="n">
        <v>0</v>
      </c>
      <c r="Q560" t="n">
        <v>0</v>
      </c>
      <c r="R560" t="inlineStr">
        <is>
          <t>T1190:Exploit Public-Facing Application</t>
        </is>
      </c>
      <c r="S560" t="n">
        <v>1</v>
      </c>
      <c r="T560" t="inlineStr">
        <is>
          <t>LOW (40%)</t>
        </is>
      </c>
      <c r="U560" t="inlineStr">
        <is>
          <t>UNLIKELY</t>
        </is>
      </c>
      <c r="V560" t="inlineStr">
        <is>
          <t>CHECK_VENDOR</t>
        </is>
      </c>
      <c r="W560" t="inlineStr">
        <is>
          <t>https://nvd.nist.gov/vuln/detail/CVE-2025-68024</t>
        </is>
      </c>
      <c r="X560" t="inlineStr">
        <is>
          <t>NONE</t>
        </is>
      </c>
      <c r="Y560" t="n">
        <v>0</v>
      </c>
      <c r="Z560" t="inlineStr"/>
      <c r="AA560" t="inlineStr">
        <is>
          <t>https://nvd.nist.gov/vuln/detail/CVE-2025-68024</t>
        </is>
      </c>
    </row>
    <row r="561">
      <c r="A561" t="inlineStr">
        <is>
          <t>CVE</t>
        </is>
      </c>
      <c r="B561" t="inlineStr">
        <is>
          <t>CVE-2025-68025</t>
        </is>
      </c>
      <c r="C561" t="inlineStr">
        <is>
          <t>Missing Authorization vulnerability in Addonify Addonify Floating Cart For WooCommerce addonify-floating-cart allows Exploiting Incorrectly Configured Access Control Security Levels.This issue affects Addonify Floating Cart For WooCommerce: from n/a through &lt;= 1.2.17.</t>
        </is>
      </c>
      <c r="D561" t="n">
        <v>6.5</v>
      </c>
      <c r="E561" t="inlineStr">
        <is>
          <t>MEDIUM</t>
        </is>
      </c>
      <c r="F561" t="n">
        <v>2</v>
      </c>
      <c r="G561" t="n">
        <v>2</v>
      </c>
      <c r="H561" t="inlineStr">
        <is>
          <t>MEDIUM</t>
        </is>
      </c>
      <c r="I561" t="n">
        <v>10.5</v>
      </c>
      <c r="J561" t="inlineStr">
        <is>
          <t>NO</t>
        </is>
      </c>
      <c r="K561" t="inlineStr">
        <is>
          <t>2026-02-26 00:15</t>
        </is>
      </c>
      <c r="L561" t="inlineStr">
        <is>
          <t>CHECK_VENDOR</t>
        </is>
      </c>
      <c r="M561" t="inlineStr">
        <is>
          <t>See CVE details</t>
        </is>
      </c>
      <c r="N561" t="inlineStr">
        <is>
          <t>P4</t>
        </is>
      </c>
      <c r="O561" t="inlineStr">
        <is>
          <t>CVE - IP enrichment n/a</t>
        </is>
      </c>
      <c r="P561" t="n">
        <v>0</v>
      </c>
      <c r="Q561" t="n">
        <v>0</v>
      </c>
      <c r="R561" t="inlineStr">
        <is>
          <t>T1190:Exploit Public-Facing Application</t>
        </is>
      </c>
      <c r="S561" t="n">
        <v>1</v>
      </c>
      <c r="T561" t="inlineStr">
        <is>
          <t>LOW (40%)</t>
        </is>
      </c>
      <c r="U561" t="inlineStr">
        <is>
          <t>UNLIKELY</t>
        </is>
      </c>
      <c r="V561" t="inlineStr">
        <is>
          <t>CHECK_VENDOR</t>
        </is>
      </c>
      <c r="W561" t="inlineStr">
        <is>
          <t>https://nvd.nist.gov/vuln/detail/CVE-2025-68025</t>
        </is>
      </c>
      <c r="X561" t="inlineStr">
        <is>
          <t>NONE</t>
        </is>
      </c>
      <c r="Y561" t="n">
        <v>0</v>
      </c>
      <c r="Z561" t="inlineStr"/>
      <c r="AA561" t="inlineStr">
        <is>
          <t>https://nvd.nist.gov/vuln/detail/CVE-2025-68025</t>
        </is>
      </c>
    </row>
    <row r="562">
      <c r="A562" t="inlineStr">
        <is>
          <t>CVE</t>
        </is>
      </c>
      <c r="B562" t="inlineStr">
        <is>
          <t>CVE-2025-68026</t>
        </is>
      </c>
      <c r="C562" t="inlineStr">
        <is>
          <t>Missing Authorization vulnerability in Niaj Morshed LC Wizard ghl-wizard allows Exploiting Incorrectly Configured Access Control Security Levels.This issue affects LC Wizard: from n/a through &lt;= 2.1.1.</t>
        </is>
      </c>
      <c r="D562" t="n">
        <v>6.5</v>
      </c>
      <c r="E562" t="inlineStr">
        <is>
          <t>MEDIUM</t>
        </is>
      </c>
      <c r="F562" t="n">
        <v>2</v>
      </c>
      <c r="G562" t="n">
        <v>2</v>
      </c>
      <c r="H562" t="inlineStr">
        <is>
          <t>MEDIUM</t>
        </is>
      </c>
      <c r="I562" t="n">
        <v>10.5</v>
      </c>
      <c r="J562" t="inlineStr">
        <is>
          <t>NO</t>
        </is>
      </c>
      <c r="K562" t="inlineStr">
        <is>
          <t>2026-02-26 00:15</t>
        </is>
      </c>
      <c r="L562" t="inlineStr">
        <is>
          <t>CHECK_VENDOR</t>
        </is>
      </c>
      <c r="M562" t="inlineStr">
        <is>
          <t>See CVE details</t>
        </is>
      </c>
      <c r="N562" t="inlineStr">
        <is>
          <t>P4</t>
        </is>
      </c>
      <c r="O562" t="inlineStr">
        <is>
          <t>CVE - IP enrichment n/a</t>
        </is>
      </c>
      <c r="P562" t="n">
        <v>0</v>
      </c>
      <c r="Q562" t="n">
        <v>0</v>
      </c>
      <c r="R562" t="inlineStr">
        <is>
          <t>T1190:Exploit Public-Facing Application</t>
        </is>
      </c>
      <c r="S562" t="n">
        <v>1</v>
      </c>
      <c r="T562" t="inlineStr">
        <is>
          <t>LOW (40%)</t>
        </is>
      </c>
      <c r="U562" t="inlineStr">
        <is>
          <t>UNLIKELY</t>
        </is>
      </c>
      <c r="V562" t="inlineStr">
        <is>
          <t>CHECK_VENDOR</t>
        </is>
      </c>
      <c r="W562" t="inlineStr">
        <is>
          <t>https://nvd.nist.gov/vuln/detail/CVE-2025-68026</t>
        </is>
      </c>
      <c r="X562" t="inlineStr">
        <is>
          <t>NONE</t>
        </is>
      </c>
      <c r="Y562" t="n">
        <v>0</v>
      </c>
      <c r="Z562" t="inlineStr"/>
      <c r="AA562" t="inlineStr">
        <is>
          <t>https://nvd.nist.gov/vuln/detail/CVE-2025-68026</t>
        </is>
      </c>
    </row>
    <row r="563">
      <c r="A563" t="inlineStr">
        <is>
          <t>CVE</t>
        </is>
      </c>
      <c r="B563" t="inlineStr">
        <is>
          <t>CVE-2025-68028</t>
        </is>
      </c>
      <c r="C563" t="inlineStr">
        <is>
          <t>Missing Authorization vulnerability in Passionate Brains GA4WP: Google Analytics for WordPress ga-for-wp allows Exploiting Incorrectly Configured Access Control Security Levels.This issue affects GA4WP: Google Analytics for WordPress: from n/a through &lt;= 2.10.0.</t>
        </is>
      </c>
      <c r="D563" t="n">
        <v>6.5</v>
      </c>
      <c r="E563" t="inlineStr">
        <is>
          <t>MEDIUM</t>
        </is>
      </c>
      <c r="F563" t="n">
        <v>2</v>
      </c>
      <c r="G563" t="n">
        <v>2</v>
      </c>
      <c r="H563" t="inlineStr">
        <is>
          <t>MEDIUM</t>
        </is>
      </c>
      <c r="I563" t="n">
        <v>10.5</v>
      </c>
      <c r="J563" t="inlineStr">
        <is>
          <t>NO</t>
        </is>
      </c>
      <c r="K563" t="inlineStr">
        <is>
          <t>2026-02-26 00:15</t>
        </is>
      </c>
      <c r="L563" t="inlineStr">
        <is>
          <t>CHECK_VENDOR</t>
        </is>
      </c>
      <c r="M563" t="inlineStr">
        <is>
          <t>See CVE details</t>
        </is>
      </c>
      <c r="N563" t="inlineStr">
        <is>
          <t>P4</t>
        </is>
      </c>
      <c r="O563" t="inlineStr">
        <is>
          <t>CVE - IP enrichment n/a</t>
        </is>
      </c>
      <c r="P563" t="n">
        <v>0</v>
      </c>
      <c r="Q563" t="n">
        <v>0</v>
      </c>
      <c r="R563" t="inlineStr">
        <is>
          <t>T1190:Exploit Public-Facing Application</t>
        </is>
      </c>
      <c r="S563" t="n">
        <v>1</v>
      </c>
      <c r="T563" t="inlineStr">
        <is>
          <t>LOW (40%)</t>
        </is>
      </c>
      <c r="U563" t="inlineStr">
        <is>
          <t>UNLIKELY</t>
        </is>
      </c>
      <c r="V563" t="inlineStr">
        <is>
          <t>CHECK_VENDOR</t>
        </is>
      </c>
      <c r="W563" t="inlineStr">
        <is>
          <t>https://nvd.nist.gov/vuln/detail/CVE-2025-68028</t>
        </is>
      </c>
      <c r="X563" t="inlineStr">
        <is>
          <t>NONE</t>
        </is>
      </c>
      <c r="Y563" t="n">
        <v>0</v>
      </c>
      <c r="Z563" t="inlineStr"/>
      <c r="AA563" t="inlineStr">
        <is>
          <t>https://nvd.nist.gov/vuln/detail/CVE-2025-68028</t>
        </is>
      </c>
    </row>
    <row r="564">
      <c r="A564" t="inlineStr">
        <is>
          <t>CVE</t>
        </is>
      </c>
      <c r="B564" t="inlineStr">
        <is>
          <t>CVE-2025-68031</t>
        </is>
      </c>
      <c r="C564" t="inlineStr">
        <is>
          <t>Improper Neutralization of Input During Web Page Generation ('Cross-site Scripting') vulnerability in faraz sms افزونه پیامک حرفه ای فراز اس ام اس farazsms allows Reflected XSS.This issue affects افزونه پیامک حرفه ای فراز اس ام اس: from n/a through &lt;= 2.7.3.</t>
        </is>
      </c>
      <c r="D564" t="n">
        <v>7.1</v>
      </c>
      <c r="E564" t="inlineStr">
        <is>
          <t>HIGH</t>
        </is>
      </c>
      <c r="F564" t="n">
        <v>2</v>
      </c>
      <c r="G564" t="n">
        <v>3</v>
      </c>
      <c r="H564" t="inlineStr">
        <is>
          <t>HIGH</t>
        </is>
      </c>
      <c r="I564" t="n">
        <v>13.1</v>
      </c>
      <c r="J564" t="inlineStr">
        <is>
          <t>NO</t>
        </is>
      </c>
      <c r="K564" t="inlineStr">
        <is>
          <t>2026-02-26 00:15</t>
        </is>
      </c>
      <c r="L564" t="inlineStr">
        <is>
          <t>CHECK_VENDOR</t>
        </is>
      </c>
      <c r="M564" t="inlineStr">
        <is>
          <t>See CVE details</t>
        </is>
      </c>
      <c r="N564" t="inlineStr">
        <is>
          <t>P3</t>
        </is>
      </c>
      <c r="O564" t="inlineStr">
        <is>
          <t>CVE - IP enrichment n/a</t>
        </is>
      </c>
      <c r="P564" t="n">
        <v>0</v>
      </c>
      <c r="Q564" t="n">
        <v>0</v>
      </c>
      <c r="R564" t="inlineStr">
        <is>
          <t>T1189:Drive-by Compromise</t>
        </is>
      </c>
      <c r="S564" t="n">
        <v>1</v>
      </c>
      <c r="T564" t="inlineStr">
        <is>
          <t>LOW (40%)</t>
        </is>
      </c>
      <c r="U564" t="inlineStr">
        <is>
          <t>UNLIKELY</t>
        </is>
      </c>
      <c r="V564" t="inlineStr">
        <is>
          <t>CHECK_VENDOR</t>
        </is>
      </c>
      <c r="W564" t="inlineStr">
        <is>
          <t>https://nvd.nist.gov/vuln/detail/CVE-2025-68031</t>
        </is>
      </c>
      <c r="X564" t="inlineStr">
        <is>
          <t>NONE</t>
        </is>
      </c>
      <c r="Y564" t="n">
        <v>0</v>
      </c>
      <c r="Z564" t="inlineStr"/>
      <c r="AA564" t="inlineStr">
        <is>
          <t>https://nvd.nist.gov/vuln/detail/CVE-2025-68031</t>
        </is>
      </c>
    </row>
    <row r="565">
      <c r="A565" t="inlineStr">
        <is>
          <t>CVE</t>
        </is>
      </c>
      <c r="B565" t="inlineStr">
        <is>
          <t>CVE-2025-68032</t>
        </is>
      </c>
      <c r="C565" t="inlineStr">
        <is>
          <t>Missing Authorization vulnerability in Passionate Brains Advanced WC Analytics advance-wc-analytics allows Exploiting Incorrectly Configured Access Control Security Levels.This issue affects Advanced WC Analytics: from n/a through &lt;= 3.19.0.</t>
        </is>
      </c>
      <c r="D565" t="n">
        <v>6.5</v>
      </c>
      <c r="E565" t="inlineStr">
        <is>
          <t>MEDIUM</t>
        </is>
      </c>
      <c r="F565" t="n">
        <v>2</v>
      </c>
      <c r="G565" t="n">
        <v>2</v>
      </c>
      <c r="H565" t="inlineStr">
        <is>
          <t>MEDIUM</t>
        </is>
      </c>
      <c r="I565" t="n">
        <v>10.5</v>
      </c>
      <c r="J565" t="inlineStr">
        <is>
          <t>NO</t>
        </is>
      </c>
      <c r="K565" t="inlineStr">
        <is>
          <t>2026-02-26 00:15</t>
        </is>
      </c>
      <c r="L565" t="inlineStr">
        <is>
          <t>CHECK_VENDOR</t>
        </is>
      </c>
      <c r="M565" t="inlineStr">
        <is>
          <t>See CVE details</t>
        </is>
      </c>
      <c r="N565" t="inlineStr">
        <is>
          <t>P4</t>
        </is>
      </c>
      <c r="O565" t="inlineStr">
        <is>
          <t>CVE - IP enrichment n/a</t>
        </is>
      </c>
      <c r="P565" t="n">
        <v>0</v>
      </c>
      <c r="Q565" t="n">
        <v>0</v>
      </c>
      <c r="R565" t="inlineStr">
        <is>
          <t>T1190:Exploit Public-Facing Application</t>
        </is>
      </c>
      <c r="S565" t="n">
        <v>1</v>
      </c>
      <c r="T565" t="inlineStr">
        <is>
          <t>LOW (40%)</t>
        </is>
      </c>
      <c r="U565" t="inlineStr">
        <is>
          <t>UNLIKELY</t>
        </is>
      </c>
      <c r="V565" t="inlineStr">
        <is>
          <t>CHECK_VENDOR</t>
        </is>
      </c>
      <c r="W565" t="inlineStr">
        <is>
          <t>https://nvd.nist.gov/vuln/detail/CVE-2025-68032</t>
        </is>
      </c>
      <c r="X565" t="inlineStr">
        <is>
          <t>NONE</t>
        </is>
      </c>
      <c r="Y565" t="n">
        <v>0</v>
      </c>
      <c r="Z565" t="inlineStr"/>
      <c r="AA565" t="inlineStr">
        <is>
          <t>https://nvd.nist.gov/vuln/detail/CVE-2025-68032</t>
        </is>
      </c>
    </row>
    <row r="566">
      <c r="A566" t="inlineStr">
        <is>
          <t>CVE</t>
        </is>
      </c>
      <c r="B566" t="inlineStr">
        <is>
          <t>CVE-2025-68037</t>
        </is>
      </c>
      <c r="C566" t="inlineStr">
        <is>
          <t>Improper Neutralization of Input During Web Page Generation ('Cross-site Scripting') vulnerability in Atlas Gondal Export Media URLs export-media-urls allows Reflected XSS.This issue affects Export Media URLs: from n/a through &lt;= 2.2.</t>
        </is>
      </c>
      <c r="D566" t="n">
        <v>7.1</v>
      </c>
      <c r="E566" t="inlineStr">
        <is>
          <t>HIGH</t>
        </is>
      </c>
      <c r="F566" t="n">
        <v>2</v>
      </c>
      <c r="G566" t="n">
        <v>3</v>
      </c>
      <c r="H566" t="inlineStr">
        <is>
          <t>HIGH</t>
        </is>
      </c>
      <c r="I566" t="n">
        <v>13.1</v>
      </c>
      <c r="J566" t="inlineStr">
        <is>
          <t>NO</t>
        </is>
      </c>
      <c r="K566" t="inlineStr">
        <is>
          <t>2026-02-26 00:15</t>
        </is>
      </c>
      <c r="L566" t="inlineStr">
        <is>
          <t>CHECK_VENDOR</t>
        </is>
      </c>
      <c r="M566" t="inlineStr">
        <is>
          <t>See CVE details</t>
        </is>
      </c>
      <c r="N566" t="inlineStr">
        <is>
          <t>P3</t>
        </is>
      </c>
      <c r="O566" t="inlineStr">
        <is>
          <t>CVE - IP enrichment n/a</t>
        </is>
      </c>
      <c r="P566" t="n">
        <v>0.0003</v>
      </c>
      <c r="Q566" t="n">
        <v>0.0951</v>
      </c>
      <c r="R566" t="inlineStr">
        <is>
          <t>T1189:Drive-by Compromise</t>
        </is>
      </c>
      <c r="S566" t="n">
        <v>1</v>
      </c>
      <c r="T566" t="inlineStr">
        <is>
          <t>LOW (40%)</t>
        </is>
      </c>
      <c r="U566" t="inlineStr">
        <is>
          <t>UNLIKELY</t>
        </is>
      </c>
      <c r="V566" t="inlineStr">
        <is>
          <t>CHECK_VENDOR</t>
        </is>
      </c>
      <c r="W566" t="inlineStr">
        <is>
          <t>https://nvd.nist.gov/vuln/detail/CVE-2025-68037</t>
        </is>
      </c>
      <c r="X566" t="inlineStr">
        <is>
          <t>NONE</t>
        </is>
      </c>
      <c r="Y566" t="n">
        <v>0</v>
      </c>
      <c r="Z566" t="inlineStr"/>
      <c r="AA566" t="inlineStr">
        <is>
          <t>https://nvd.nist.gov/vuln/detail/CVE-2025-68037</t>
        </is>
      </c>
    </row>
    <row r="567">
      <c r="A567" t="inlineStr">
        <is>
          <t>CVE</t>
        </is>
      </c>
      <c r="B567" t="inlineStr">
        <is>
          <t>CVE-2025-68042</t>
        </is>
      </c>
      <c r="C567" t="inlineStr">
        <is>
          <t>Missing Authorization vulnerability in Travelpayouts Travelpayouts travelpayouts allows Exploiting Incorrectly Configured Access Control Security Levels.This issue affects Travelpayouts: from n/a through &lt;= 1.2.1.</t>
        </is>
      </c>
      <c r="D567" t="n">
        <v>6.5</v>
      </c>
      <c r="E567" t="inlineStr">
        <is>
          <t>MEDIUM</t>
        </is>
      </c>
      <c r="F567" t="n">
        <v>2</v>
      </c>
      <c r="G567" t="n">
        <v>2</v>
      </c>
      <c r="H567" t="inlineStr">
        <is>
          <t>MEDIUM</t>
        </is>
      </c>
      <c r="I567" t="n">
        <v>10.5</v>
      </c>
      <c r="J567" t="inlineStr">
        <is>
          <t>NO</t>
        </is>
      </c>
      <c r="K567" t="inlineStr">
        <is>
          <t>2026-02-26 00:15</t>
        </is>
      </c>
      <c r="L567" t="inlineStr">
        <is>
          <t>CHECK_VENDOR</t>
        </is>
      </c>
      <c r="M567" t="inlineStr">
        <is>
          <t>See CVE details</t>
        </is>
      </c>
      <c r="N567" t="inlineStr">
        <is>
          <t>P4</t>
        </is>
      </c>
      <c r="O567" t="inlineStr">
        <is>
          <t>CVE - IP enrichment n/a</t>
        </is>
      </c>
      <c r="P567" t="n">
        <v>0</v>
      </c>
      <c r="Q567" t="n">
        <v>0</v>
      </c>
      <c r="R567" t="inlineStr">
        <is>
          <t>T1190:Exploit Public-Facing Application</t>
        </is>
      </c>
      <c r="S567" t="n">
        <v>1</v>
      </c>
      <c r="T567" t="inlineStr">
        <is>
          <t>LOW (40%)</t>
        </is>
      </c>
      <c r="U567" t="inlineStr">
        <is>
          <t>UNLIKELY</t>
        </is>
      </c>
      <c r="V567" t="inlineStr">
        <is>
          <t>CHECK_VENDOR</t>
        </is>
      </c>
      <c r="W567" t="inlineStr">
        <is>
          <t>https://nvd.nist.gov/vuln/detail/CVE-2025-68042</t>
        </is>
      </c>
      <c r="X567" t="inlineStr">
        <is>
          <t>NONE</t>
        </is>
      </c>
      <c r="Y567" t="n">
        <v>0</v>
      </c>
      <c r="Z567" t="inlineStr"/>
      <c r="AA567" t="inlineStr">
        <is>
          <t>https://nvd.nist.gov/vuln/detail/CVE-2025-68042</t>
        </is>
      </c>
    </row>
    <row r="568">
      <c r="A568" t="inlineStr">
        <is>
          <t>CVE</t>
        </is>
      </c>
      <c r="B568" t="inlineStr">
        <is>
          <t>CVE-2025-68043</t>
        </is>
      </c>
      <c r="C568" t="inlineStr">
        <is>
          <t>Missing Authorization vulnerability in LottieFiles LottieFiles lottiefiles allows Exploiting Incorrectly Configured Access Control Security Levels.This issue affects LottieFiles: from n/a through &lt;= 3.0.0.</t>
        </is>
      </c>
      <c r="D568" t="n">
        <v>7.3</v>
      </c>
      <c r="E568" t="inlineStr">
        <is>
          <t>HIGH</t>
        </is>
      </c>
      <c r="F568" t="n">
        <v>2</v>
      </c>
      <c r="G568" t="n">
        <v>3</v>
      </c>
      <c r="H568" t="inlineStr">
        <is>
          <t>HIGH</t>
        </is>
      </c>
      <c r="I568" t="n">
        <v>13.3</v>
      </c>
      <c r="J568" t="inlineStr">
        <is>
          <t>NO</t>
        </is>
      </c>
      <c r="K568" t="inlineStr">
        <is>
          <t>2026-02-26 00:15</t>
        </is>
      </c>
      <c r="L568" t="inlineStr">
        <is>
          <t>CHECK_VENDOR</t>
        </is>
      </c>
      <c r="M568" t="inlineStr">
        <is>
          <t>See CVE details</t>
        </is>
      </c>
      <c r="N568" t="inlineStr">
        <is>
          <t>P3</t>
        </is>
      </c>
      <c r="O568" t="inlineStr">
        <is>
          <t>CVE - IP enrichment n/a</t>
        </is>
      </c>
      <c r="P568" t="n">
        <v>0</v>
      </c>
      <c r="Q568" t="n">
        <v>0</v>
      </c>
      <c r="R568" t="inlineStr">
        <is>
          <t>T1190:Exploit Public-Facing Application</t>
        </is>
      </c>
      <c r="S568" t="n">
        <v>1</v>
      </c>
      <c r="T568" t="inlineStr">
        <is>
          <t>LOW (40%)</t>
        </is>
      </c>
      <c r="U568" t="inlineStr">
        <is>
          <t>UNLIKELY</t>
        </is>
      </c>
      <c r="V568" t="inlineStr">
        <is>
          <t>CHECK_VENDOR</t>
        </is>
      </c>
      <c r="W568" t="inlineStr">
        <is>
          <t>https://nvd.nist.gov/vuln/detail/CVE-2025-68043</t>
        </is>
      </c>
      <c r="X568" t="inlineStr">
        <is>
          <t>NONE</t>
        </is>
      </c>
      <c r="Y568" t="n">
        <v>0</v>
      </c>
      <c r="Z568" t="inlineStr"/>
      <c r="AA568" t="inlineStr">
        <is>
          <t>https://nvd.nist.gov/vuln/detail/CVE-2025-68043</t>
        </is>
      </c>
    </row>
    <row r="569">
      <c r="A569" t="inlineStr">
        <is>
          <t>CVE</t>
        </is>
      </c>
      <c r="B569" t="inlineStr">
        <is>
          <t>CVE-2025-68048</t>
        </is>
      </c>
      <c r="C569" t="inlineStr">
        <is>
          <t>Missing Authorization vulnerability in XLPlugins NextMove Lite woo-thank-you-page-nextmove-lite allows Exploiting Incorrectly Configured Access Control Security Levels.This issue affects NextMove Lite: from n/a through &lt;= 2.23.0.</t>
        </is>
      </c>
      <c r="D569" t="n">
        <v>7.5</v>
      </c>
      <c r="E569" t="inlineStr">
        <is>
          <t>HIGH</t>
        </is>
      </c>
      <c r="F569" t="n">
        <v>2</v>
      </c>
      <c r="G569" t="n">
        <v>3</v>
      </c>
      <c r="H569" t="inlineStr">
        <is>
          <t>HIGH</t>
        </is>
      </c>
      <c r="I569" t="n">
        <v>13.5</v>
      </c>
      <c r="J569" t="inlineStr">
        <is>
          <t>NO</t>
        </is>
      </c>
      <c r="K569" t="inlineStr">
        <is>
          <t>2026-02-26 00:15</t>
        </is>
      </c>
      <c r="L569" t="inlineStr">
        <is>
          <t>CHECK_VENDOR</t>
        </is>
      </c>
      <c r="M569" t="inlineStr">
        <is>
          <t>See CVE details</t>
        </is>
      </c>
      <c r="N569" t="inlineStr">
        <is>
          <t>P3</t>
        </is>
      </c>
      <c r="O569" t="inlineStr">
        <is>
          <t>CVE - IP enrichment n/a</t>
        </is>
      </c>
      <c r="P569" t="n">
        <v>0</v>
      </c>
      <c r="Q569" t="n">
        <v>0</v>
      </c>
      <c r="R569" t="inlineStr">
        <is>
          <t>T1190:Exploit Public-Facing Application</t>
        </is>
      </c>
      <c r="S569" t="n">
        <v>1</v>
      </c>
      <c r="T569" t="inlineStr">
        <is>
          <t>LOW (40%)</t>
        </is>
      </c>
      <c r="U569" t="inlineStr">
        <is>
          <t>UNLIKELY</t>
        </is>
      </c>
      <c r="V569" t="inlineStr">
        <is>
          <t>CHECK_VENDOR</t>
        </is>
      </c>
      <c r="W569" t="inlineStr">
        <is>
          <t>https://nvd.nist.gov/vuln/detail/CVE-2025-68048</t>
        </is>
      </c>
      <c r="X569" t="inlineStr">
        <is>
          <t>NONE</t>
        </is>
      </c>
      <c r="Y569" t="n">
        <v>0</v>
      </c>
      <c r="Z569" t="inlineStr"/>
      <c r="AA569" t="inlineStr">
        <is>
          <t>https://nvd.nist.gov/vuln/detail/CVE-2025-68048</t>
        </is>
      </c>
    </row>
    <row r="570">
      <c r="A570" t="inlineStr">
        <is>
          <t>CVE</t>
        </is>
      </c>
      <c r="B570" t="inlineStr">
        <is>
          <t>CVE-2025-68050</t>
        </is>
      </c>
      <c r="C570" t="inlineStr">
        <is>
          <t>Missing Authorization vulnerability in Leadpages Leadpages leadpages allows Exploiting Incorrectly Configured Access Control Security Levels.This issue affects Leadpages: from n/a through &lt;= 1.1.3.</t>
        </is>
      </c>
      <c r="D570" t="n">
        <v>6.5</v>
      </c>
      <c r="E570" t="inlineStr">
        <is>
          <t>MEDIUM</t>
        </is>
      </c>
      <c r="F570" t="n">
        <v>2</v>
      </c>
      <c r="G570" t="n">
        <v>2</v>
      </c>
      <c r="H570" t="inlineStr">
        <is>
          <t>MEDIUM</t>
        </is>
      </c>
      <c r="I570" t="n">
        <v>10.5</v>
      </c>
      <c r="J570" t="inlineStr">
        <is>
          <t>NO</t>
        </is>
      </c>
      <c r="K570" t="inlineStr">
        <is>
          <t>2026-02-26 00:15</t>
        </is>
      </c>
      <c r="L570" t="inlineStr">
        <is>
          <t>CHECK_VENDOR</t>
        </is>
      </c>
      <c r="M570" t="inlineStr">
        <is>
          <t>See CVE details</t>
        </is>
      </c>
      <c r="N570" t="inlineStr">
        <is>
          <t>P4</t>
        </is>
      </c>
      <c r="O570" t="inlineStr">
        <is>
          <t>CVE - IP enrichment n/a</t>
        </is>
      </c>
      <c r="P570" t="n">
        <v>0</v>
      </c>
      <c r="Q570" t="n">
        <v>0</v>
      </c>
      <c r="R570" t="inlineStr">
        <is>
          <t>T1190:Exploit Public-Facing Application</t>
        </is>
      </c>
      <c r="S570" t="n">
        <v>1</v>
      </c>
      <c r="T570" t="inlineStr">
        <is>
          <t>LOW (40%)</t>
        </is>
      </c>
      <c r="U570" t="inlineStr">
        <is>
          <t>UNLIKELY</t>
        </is>
      </c>
      <c r="V570" t="inlineStr">
        <is>
          <t>CHECK_VENDOR</t>
        </is>
      </c>
      <c r="W570" t="inlineStr">
        <is>
          <t>https://nvd.nist.gov/vuln/detail/CVE-2025-68050</t>
        </is>
      </c>
      <c r="X570" t="inlineStr">
        <is>
          <t>NONE</t>
        </is>
      </c>
      <c r="Y570" t="n">
        <v>0</v>
      </c>
      <c r="Z570" t="inlineStr"/>
      <c r="AA570" t="inlineStr">
        <is>
          <t>https://nvd.nist.gov/vuln/detail/CVE-2025-68050</t>
        </is>
      </c>
    </row>
    <row r="571">
      <c r="A571" t="inlineStr">
        <is>
          <t>CVE</t>
        </is>
      </c>
      <c r="B571" t="inlineStr">
        <is>
          <t>CVE-2025-68051</t>
        </is>
      </c>
      <c r="C571" t="inlineStr">
        <is>
          <t>Authorization Bypass Through User-Controlled Key vulnerability in Shiprocket Shiprocket shiprocket allows Exploiting Incorrectly Configured Access Control Security Levels.This issue affects Shiprocket: from n/a through &lt;= 2.0.8.</t>
        </is>
      </c>
      <c r="D571" t="n">
        <v>7.4</v>
      </c>
      <c r="E571" t="inlineStr">
        <is>
          <t>HIGH</t>
        </is>
      </c>
      <c r="F571" t="n">
        <v>2</v>
      </c>
      <c r="G571" t="n">
        <v>3</v>
      </c>
      <c r="H571" t="inlineStr">
        <is>
          <t>HIGH</t>
        </is>
      </c>
      <c r="I571" t="n">
        <v>13.4</v>
      </c>
      <c r="J571" t="inlineStr">
        <is>
          <t>NO</t>
        </is>
      </c>
      <c r="K571" t="inlineStr">
        <is>
          <t>2026-02-26 00:15</t>
        </is>
      </c>
      <c r="L571" t="inlineStr">
        <is>
          <t>CHECK_VENDOR</t>
        </is>
      </c>
      <c r="M571" t="inlineStr">
        <is>
          <t>See CVE details</t>
        </is>
      </c>
      <c r="N571" t="inlineStr">
        <is>
          <t>P3</t>
        </is>
      </c>
      <c r="O571" t="inlineStr">
        <is>
          <t>CVE - IP enrichment n/a</t>
        </is>
      </c>
      <c r="P571" t="n">
        <v>0</v>
      </c>
      <c r="Q571" t="n">
        <v>0</v>
      </c>
      <c r="R571" t="inlineStr">
        <is>
          <t>T1190:Exploit Public-Facing Application</t>
        </is>
      </c>
      <c r="S571" t="n">
        <v>1</v>
      </c>
      <c r="T571" t="inlineStr">
        <is>
          <t>LOW (40%)</t>
        </is>
      </c>
      <c r="U571" t="inlineStr">
        <is>
          <t>UNLIKELY</t>
        </is>
      </c>
      <c r="V571" t="inlineStr">
        <is>
          <t>CHECK_VENDOR</t>
        </is>
      </c>
      <c r="W571" t="inlineStr">
        <is>
          <t>https://nvd.nist.gov/vuln/detail/CVE-2025-68051</t>
        </is>
      </c>
      <c r="X571" t="inlineStr">
        <is>
          <t>NONE</t>
        </is>
      </c>
      <c r="Y571" t="n">
        <v>0</v>
      </c>
      <c r="Z571" t="inlineStr"/>
      <c r="AA571" t="inlineStr">
        <is>
          <t>https://nvd.nist.gov/vuln/detail/CVE-2025-68051</t>
        </is>
      </c>
    </row>
    <row r="572">
      <c r="A572" t="inlineStr">
        <is>
          <t>CVE</t>
        </is>
      </c>
      <c r="B572" t="inlineStr">
        <is>
          <t>CVE-2025-68069</t>
        </is>
      </c>
      <c r="C572" t="inlineStr">
        <is>
          <t>Missing Authorization vulnerability in wpWax Directorist directorist allows Exploiting Incorrectly Configured Access Control Security Levels.This issue affects Directorist: from n/a through &lt;= 8.5.10.</t>
        </is>
      </c>
      <c r="D572" t="n">
        <v>7.1</v>
      </c>
      <c r="E572" t="inlineStr">
        <is>
          <t>HIGH</t>
        </is>
      </c>
      <c r="F572" t="n">
        <v>2</v>
      </c>
      <c r="G572" t="n">
        <v>3</v>
      </c>
      <c r="H572" t="inlineStr">
        <is>
          <t>HIGH</t>
        </is>
      </c>
      <c r="I572" t="n">
        <v>13.1</v>
      </c>
      <c r="J572" t="inlineStr">
        <is>
          <t>NO</t>
        </is>
      </c>
      <c r="K572" t="inlineStr">
        <is>
          <t>2026-02-26 00:15</t>
        </is>
      </c>
      <c r="L572" t="inlineStr">
        <is>
          <t>CHECK_VENDOR</t>
        </is>
      </c>
      <c r="M572" t="inlineStr">
        <is>
          <t>See CVE details</t>
        </is>
      </c>
      <c r="N572" t="inlineStr">
        <is>
          <t>P3</t>
        </is>
      </c>
      <c r="O572" t="inlineStr">
        <is>
          <t>CVE - IP enrichment n/a</t>
        </is>
      </c>
      <c r="P572" t="n">
        <v>0</v>
      </c>
      <c r="Q572" t="n">
        <v>0</v>
      </c>
      <c r="R572" t="inlineStr">
        <is>
          <t>T1190:Exploit Public-Facing Application</t>
        </is>
      </c>
      <c r="S572" t="n">
        <v>1</v>
      </c>
      <c r="T572" t="inlineStr">
        <is>
          <t>LOW (40%)</t>
        </is>
      </c>
      <c r="U572" t="inlineStr">
        <is>
          <t>UNLIKELY</t>
        </is>
      </c>
      <c r="V572" t="inlineStr">
        <is>
          <t>CHECK_VENDOR</t>
        </is>
      </c>
      <c r="W572" t="inlineStr">
        <is>
          <t>https://nvd.nist.gov/vuln/detail/CVE-2025-68069</t>
        </is>
      </c>
      <c r="X572" t="inlineStr">
        <is>
          <t>NONE</t>
        </is>
      </c>
      <c r="Y572" t="n">
        <v>0</v>
      </c>
      <c r="Z572" t="inlineStr"/>
      <c r="AA572" t="inlineStr">
        <is>
          <t>https://nvd.nist.gov/vuln/detail/CVE-2025-68069</t>
        </is>
      </c>
    </row>
    <row r="573">
      <c r="A573" t="inlineStr">
        <is>
          <t>CVE</t>
        </is>
      </c>
      <c r="B573" t="inlineStr">
        <is>
          <t>CVE-2025-68495</t>
        </is>
      </c>
      <c r="C573" t="inlineStr">
        <is>
          <t>Improper Neutralization of Input During Web Page Generation ('Cross-site Scripting') vulnerability in Crocoblock JetEngine jet-engine allows Reflected XSS.This issue affects JetEngine: from n/a through &lt;= 3.8.0.</t>
        </is>
      </c>
      <c r="D573" t="n">
        <v>7.1</v>
      </c>
      <c r="E573" t="inlineStr">
        <is>
          <t>HIGH</t>
        </is>
      </c>
      <c r="F573" t="n">
        <v>2</v>
      </c>
      <c r="G573" t="n">
        <v>3</v>
      </c>
      <c r="H573" t="inlineStr">
        <is>
          <t>HIGH</t>
        </is>
      </c>
      <c r="I573" t="n">
        <v>13.1</v>
      </c>
      <c r="J573" t="inlineStr">
        <is>
          <t>NO</t>
        </is>
      </c>
      <c r="K573" t="inlineStr">
        <is>
          <t>2026-02-26 00:15</t>
        </is>
      </c>
      <c r="L573" t="inlineStr">
        <is>
          <t>CHECK_VENDOR</t>
        </is>
      </c>
      <c r="M573" t="inlineStr">
        <is>
          <t>See CVE details</t>
        </is>
      </c>
      <c r="N573" t="inlineStr">
        <is>
          <t>P3</t>
        </is>
      </c>
      <c r="O573" t="inlineStr">
        <is>
          <t>CVE - IP enrichment n/a</t>
        </is>
      </c>
      <c r="P573" t="n">
        <v>0</v>
      </c>
      <c r="Q573" t="n">
        <v>0</v>
      </c>
      <c r="R573" t="inlineStr">
        <is>
          <t>T1189:Drive-by Compromise</t>
        </is>
      </c>
      <c r="S573" t="n">
        <v>1</v>
      </c>
      <c r="T573" t="inlineStr">
        <is>
          <t>LOW (40%)</t>
        </is>
      </c>
      <c r="U573" t="inlineStr">
        <is>
          <t>UNLIKELY</t>
        </is>
      </c>
      <c r="V573" t="inlineStr">
        <is>
          <t>CHECK_VENDOR</t>
        </is>
      </c>
      <c r="W573" t="inlineStr">
        <is>
          <t>https://nvd.nist.gov/vuln/detail/CVE-2025-68495</t>
        </is>
      </c>
      <c r="X573" t="inlineStr">
        <is>
          <t>NONE</t>
        </is>
      </c>
      <c r="Y573" t="n">
        <v>0</v>
      </c>
      <c r="Z573" t="inlineStr"/>
      <c r="AA573" t="inlineStr">
        <is>
          <t>https://nvd.nist.gov/vuln/detail/CVE-2025-68495</t>
        </is>
      </c>
    </row>
    <row r="574">
      <c r="A574" t="inlineStr">
        <is>
          <t>CVE</t>
        </is>
      </c>
      <c r="B574" t="inlineStr">
        <is>
          <t>CVE-2025-68501</t>
        </is>
      </c>
      <c r="C574" t="inlineStr">
        <is>
          <t>Improper Neutralization of Input During Web Page Generation ('Cross-site Scripting') vulnerability in Mollie Mollie Payments for WooCommerce mollie-payments-for-woocommerce allows Reflected XSS.This issue affects Mollie Payments for WooCommerce: from n/a through &lt;= 8.1.1.</t>
        </is>
      </c>
      <c r="D574" t="n">
        <v>7.1</v>
      </c>
      <c r="E574" t="inlineStr">
        <is>
          <t>HIGH</t>
        </is>
      </c>
      <c r="F574" t="n">
        <v>2</v>
      </c>
      <c r="G574" t="n">
        <v>3</v>
      </c>
      <c r="H574" t="inlineStr">
        <is>
          <t>HIGH</t>
        </is>
      </c>
      <c r="I574" t="n">
        <v>13.1</v>
      </c>
      <c r="J574" t="inlineStr">
        <is>
          <t>NO</t>
        </is>
      </c>
      <c r="K574" t="inlineStr">
        <is>
          <t>2026-02-26 00:15</t>
        </is>
      </c>
      <c r="L574" t="inlineStr">
        <is>
          <t>CHECK_VENDOR</t>
        </is>
      </c>
      <c r="M574" t="inlineStr">
        <is>
          <t>See CVE details</t>
        </is>
      </c>
      <c r="N574" t="inlineStr">
        <is>
          <t>P3</t>
        </is>
      </c>
      <c r="O574" t="inlineStr">
        <is>
          <t>CVE - IP enrichment n/a</t>
        </is>
      </c>
      <c r="P574" t="n">
        <v>0</v>
      </c>
      <c r="Q574" t="n">
        <v>0</v>
      </c>
      <c r="R574" t="inlineStr">
        <is>
          <t>T1189:Drive-by Compromise | T1190:Exploit Public-Facing Application</t>
        </is>
      </c>
      <c r="S574" t="n">
        <v>1</v>
      </c>
      <c r="T574" t="inlineStr">
        <is>
          <t>LOW (40%)</t>
        </is>
      </c>
      <c r="U574" t="inlineStr">
        <is>
          <t>UNLIKELY</t>
        </is>
      </c>
      <c r="V574" t="inlineStr">
        <is>
          <t>CHECK_VENDOR</t>
        </is>
      </c>
      <c r="W574" t="inlineStr">
        <is>
          <t>https://nvd.nist.gov/vuln/detail/CVE-2025-68501</t>
        </is>
      </c>
      <c r="X574" t="inlineStr">
        <is>
          <t>NONE</t>
        </is>
      </c>
      <c r="Y574" t="n">
        <v>0</v>
      </c>
      <c r="Z574" t="inlineStr"/>
      <c r="AA574" t="inlineStr">
        <is>
          <t>https://nvd.nist.gov/vuln/detail/CVE-2025-68501</t>
        </is>
      </c>
    </row>
    <row r="575">
      <c r="A575" t="inlineStr">
        <is>
          <t>CVE</t>
        </is>
      </c>
      <c r="B575" t="inlineStr">
        <is>
          <t>CVE-2025-68514</t>
        </is>
      </c>
      <c r="C575" t="inlineStr">
        <is>
          <t>Authorization Bypass Through User-Controlled Key vulnerability in Cozmoslabs Paid Member Subscriptions paid-member-subscriptions allows Exploiting Incorrectly Configured Access Control Security Levels.This issue affects Paid Member Subscriptions: from n/a through &lt;= 2.16.8.</t>
        </is>
      </c>
      <c r="D575" t="n">
        <v>6.5</v>
      </c>
      <c r="E575" t="inlineStr">
        <is>
          <t>MEDIUM</t>
        </is>
      </c>
      <c r="F575" t="n">
        <v>2</v>
      </c>
      <c r="G575" t="n">
        <v>2</v>
      </c>
      <c r="H575" t="inlineStr">
        <is>
          <t>MEDIUM</t>
        </is>
      </c>
      <c r="I575" t="n">
        <v>10.5</v>
      </c>
      <c r="J575" t="inlineStr">
        <is>
          <t>NO</t>
        </is>
      </c>
      <c r="K575" t="inlineStr">
        <is>
          <t>2026-02-26 00:15</t>
        </is>
      </c>
      <c r="L575" t="inlineStr">
        <is>
          <t>CHECK_VENDOR</t>
        </is>
      </c>
      <c r="M575" t="inlineStr">
        <is>
          <t>See CVE details</t>
        </is>
      </c>
      <c r="N575" t="inlineStr">
        <is>
          <t>P4</t>
        </is>
      </c>
      <c r="O575" t="inlineStr">
        <is>
          <t>CVE - IP enrichment n/a</t>
        </is>
      </c>
      <c r="P575" t="n">
        <v>0.0002</v>
      </c>
      <c r="Q575" t="n">
        <v>0.0379</v>
      </c>
      <c r="R575" t="inlineStr">
        <is>
          <t>T1190:Exploit Public-Facing Application</t>
        </is>
      </c>
      <c r="S575" t="n">
        <v>1</v>
      </c>
      <c r="T575" t="inlineStr">
        <is>
          <t>LOW (40%)</t>
        </is>
      </c>
      <c r="U575" t="inlineStr">
        <is>
          <t>UNLIKELY</t>
        </is>
      </c>
      <c r="V575" t="inlineStr">
        <is>
          <t>CHECK_VENDOR</t>
        </is>
      </c>
      <c r="W575" t="inlineStr">
        <is>
          <t>https://nvd.nist.gov/vuln/detail/CVE-2025-68514</t>
        </is>
      </c>
      <c r="X575" t="inlineStr">
        <is>
          <t>NONE</t>
        </is>
      </c>
      <c r="Y575" t="n">
        <v>0</v>
      </c>
      <c r="Z575" t="inlineStr"/>
      <c r="AA575" t="inlineStr">
        <is>
          <t>https://nvd.nist.gov/vuln/detail/CVE-2025-68514</t>
        </is>
      </c>
    </row>
    <row r="576">
      <c r="A576" t="inlineStr">
        <is>
          <t>CVE</t>
        </is>
      </c>
      <c r="B576" t="inlineStr">
        <is>
          <t>CVE-2025-68526</t>
        </is>
      </c>
      <c r="C576" t="inlineStr">
        <is>
          <t>Deserialization of Untrusted Data vulnerability in A WP Life Modal Popup Box modal-popup-box allows Object Injection.This issue affects Modal Popup Box: from n/a through &lt;= 1.6.1.</t>
        </is>
      </c>
      <c r="D576" t="n">
        <v>8.800000000000001</v>
      </c>
      <c r="E576" t="inlineStr">
        <is>
          <t>HIGH</t>
        </is>
      </c>
      <c r="F576" t="n">
        <v>2</v>
      </c>
      <c r="G576" t="n">
        <v>3</v>
      </c>
      <c r="H576" t="inlineStr">
        <is>
          <t>HIGH</t>
        </is>
      </c>
      <c r="I576" t="n">
        <v>14.8</v>
      </c>
      <c r="J576" t="inlineStr">
        <is>
          <t>NO</t>
        </is>
      </c>
      <c r="K576" t="inlineStr">
        <is>
          <t>2026-02-26 00:15</t>
        </is>
      </c>
      <c r="L576" t="inlineStr">
        <is>
          <t>CHECK_VENDOR</t>
        </is>
      </c>
      <c r="M576" t="inlineStr">
        <is>
          <t>See CVE details</t>
        </is>
      </c>
      <c r="N576" t="inlineStr">
        <is>
          <t>P3</t>
        </is>
      </c>
      <c r="O576" t="inlineStr">
        <is>
          <t>CVE - IP enrichment n/a</t>
        </is>
      </c>
      <c r="P576" t="n">
        <v>0</v>
      </c>
      <c r="Q576" t="n">
        <v>0</v>
      </c>
      <c r="R576" t="inlineStr">
        <is>
          <t>T1059:Command and Scripting Interpreter</t>
        </is>
      </c>
      <c r="S576" t="n">
        <v>1</v>
      </c>
      <c r="T576" t="inlineStr">
        <is>
          <t>LOW (40%)</t>
        </is>
      </c>
      <c r="U576" t="inlineStr">
        <is>
          <t>UNLIKELY</t>
        </is>
      </c>
      <c r="V576" t="inlineStr">
        <is>
          <t>CHECK_VENDOR</t>
        </is>
      </c>
      <c r="W576" t="inlineStr">
        <is>
          <t>https://nvd.nist.gov/vuln/detail/CVE-2025-68526</t>
        </is>
      </c>
      <c r="X576" t="inlineStr">
        <is>
          <t>NONE</t>
        </is>
      </c>
      <c r="Y576" t="n">
        <v>0</v>
      </c>
      <c r="Z576" t="inlineStr"/>
      <c r="AA576" t="inlineStr">
        <is>
          <t>https://nvd.nist.gov/vuln/detail/CVE-2025-68526</t>
        </is>
      </c>
    </row>
    <row r="577">
      <c r="A577" t="inlineStr">
        <is>
          <t>CVE</t>
        </is>
      </c>
      <c r="B577" t="inlineStr">
        <is>
          <t>CVE-2025-68531</t>
        </is>
      </c>
      <c r="C577" t="inlineStr">
        <is>
          <t>Deserialization of Untrusted Data vulnerability in modeltheme ModelTheme Addons for WPBakery and Elementor modeltheme-addons-for-wpbakery allows Object Injection.This issue affects ModelTheme Addons for WPBakery and Elementor: from n/a through &lt; 1.5.6.</t>
        </is>
      </c>
      <c r="D577" t="n">
        <v>8.800000000000001</v>
      </c>
      <c r="E577" t="inlineStr">
        <is>
          <t>HIGH</t>
        </is>
      </c>
      <c r="F577" t="n">
        <v>2</v>
      </c>
      <c r="G577" t="n">
        <v>3</v>
      </c>
      <c r="H577" t="inlineStr">
        <is>
          <t>HIGH</t>
        </is>
      </c>
      <c r="I577" t="n">
        <v>14.8</v>
      </c>
      <c r="J577" t="inlineStr">
        <is>
          <t>NO</t>
        </is>
      </c>
      <c r="K577" t="inlineStr">
        <is>
          <t>2026-02-26 00:15</t>
        </is>
      </c>
      <c r="L577" t="inlineStr">
        <is>
          <t>CHECK_VENDOR</t>
        </is>
      </c>
      <c r="M577" t="inlineStr">
        <is>
          <t>See CVE details</t>
        </is>
      </c>
      <c r="N577" t="inlineStr">
        <is>
          <t>P3</t>
        </is>
      </c>
      <c r="O577" t="inlineStr">
        <is>
          <t>CVE - IP enrichment n/a</t>
        </is>
      </c>
      <c r="P577" t="n">
        <v>0</v>
      </c>
      <c r="Q577" t="n">
        <v>0</v>
      </c>
      <c r="R577" t="inlineStr">
        <is>
          <t>T1059:Command and Scripting Interpreter</t>
        </is>
      </c>
      <c r="S577" t="n">
        <v>1</v>
      </c>
      <c r="T577" t="inlineStr">
        <is>
          <t>LOW (40%)</t>
        </is>
      </c>
      <c r="U577" t="inlineStr">
        <is>
          <t>UNLIKELY</t>
        </is>
      </c>
      <c r="V577" t="inlineStr">
        <is>
          <t>CHECK_VENDOR</t>
        </is>
      </c>
      <c r="W577" t="inlineStr">
        <is>
          <t>https://nvd.nist.gov/vuln/detail/CVE-2025-68531</t>
        </is>
      </c>
      <c r="X577" t="inlineStr">
        <is>
          <t>NONE</t>
        </is>
      </c>
      <c r="Y577" t="n">
        <v>0</v>
      </c>
      <c r="Z577" t="inlineStr"/>
      <c r="AA577" t="inlineStr">
        <is>
          <t>https://nvd.nist.gov/vuln/detail/CVE-2025-68531</t>
        </is>
      </c>
    </row>
    <row r="578">
      <c r="A578" t="inlineStr">
        <is>
          <t>CVE</t>
        </is>
      </c>
      <c r="B578" t="inlineStr">
        <is>
          <t>CVE-2025-68534</t>
        </is>
      </c>
      <c r="C578" t="inlineStr">
        <is>
          <t>Missing Authorization vulnerability in add-ons.org PDF for WPForms pdf-for-wpforms allows Exploiting Incorrectly Configured Access Control Security Levels.This issue affects PDF for WPForms: from n/a through &lt;= 6.3.0.</t>
        </is>
      </c>
      <c r="D578" t="n">
        <v>6.5</v>
      </c>
      <c r="E578" t="inlineStr">
        <is>
          <t>MEDIUM</t>
        </is>
      </c>
      <c r="F578" t="n">
        <v>2</v>
      </c>
      <c r="G578" t="n">
        <v>2</v>
      </c>
      <c r="H578" t="inlineStr">
        <is>
          <t>MEDIUM</t>
        </is>
      </c>
      <c r="I578" t="n">
        <v>10.5</v>
      </c>
      <c r="J578" t="inlineStr">
        <is>
          <t>NO</t>
        </is>
      </c>
      <c r="K578" t="inlineStr">
        <is>
          <t>2026-02-26 00:15</t>
        </is>
      </c>
      <c r="L578" t="inlineStr">
        <is>
          <t>CHECK_VENDOR</t>
        </is>
      </c>
      <c r="M578" t="inlineStr">
        <is>
          <t>See CVE details</t>
        </is>
      </c>
      <c r="N578" t="inlineStr">
        <is>
          <t>P4</t>
        </is>
      </c>
      <c r="O578" t="inlineStr">
        <is>
          <t>CVE - IP enrichment n/a</t>
        </is>
      </c>
      <c r="P578" t="n">
        <v>0</v>
      </c>
      <c r="Q578" t="n">
        <v>0</v>
      </c>
      <c r="R578" t="inlineStr">
        <is>
          <t>T1190:Exploit Public-Facing Application</t>
        </is>
      </c>
      <c r="S578" t="n">
        <v>1</v>
      </c>
      <c r="T578" t="inlineStr">
        <is>
          <t>LOW (40%)</t>
        </is>
      </c>
      <c r="U578" t="inlineStr">
        <is>
          <t>UNLIKELY</t>
        </is>
      </c>
      <c r="V578" t="inlineStr">
        <is>
          <t>CHECK_VENDOR</t>
        </is>
      </c>
      <c r="W578" t="inlineStr">
        <is>
          <t>https://nvd.nist.gov/vuln/detail/CVE-2025-68534</t>
        </is>
      </c>
      <c r="X578" t="inlineStr">
        <is>
          <t>NONE</t>
        </is>
      </c>
      <c r="Y578" t="n">
        <v>0</v>
      </c>
      <c r="Z578" t="inlineStr"/>
      <c r="AA578" t="inlineStr">
        <is>
          <t>https://nvd.nist.gov/vuln/detail/CVE-2025-68534</t>
        </is>
      </c>
    </row>
    <row r="579">
      <c r="A579" t="inlineStr">
        <is>
          <t>CVE</t>
        </is>
      </c>
      <c r="B579" t="inlineStr">
        <is>
          <t>CVE-2025-68536</t>
        </is>
      </c>
      <c r="C579" t="inlineStr">
        <is>
          <t>Improper Control of Filename for Include/Require Statement in PHP Program ('PHP Remote File Inclusion') vulnerability in thembay Zota zota allows PHP Local File Inclusion.This issue affects Zota: from n/a through &lt;= 1.3.14.</t>
        </is>
      </c>
      <c r="D579" t="n">
        <v>8.1</v>
      </c>
      <c r="E579" t="inlineStr">
        <is>
          <t>HIGH</t>
        </is>
      </c>
      <c r="F579" t="n">
        <v>2</v>
      </c>
      <c r="G579" t="n">
        <v>3</v>
      </c>
      <c r="H579" t="inlineStr">
        <is>
          <t>HIGH</t>
        </is>
      </c>
      <c r="I579" t="n">
        <v>14.1</v>
      </c>
      <c r="J579" t="inlineStr">
        <is>
          <t>NO</t>
        </is>
      </c>
      <c r="K579" t="inlineStr">
        <is>
          <t>2026-02-26 00:15</t>
        </is>
      </c>
      <c r="L579" t="inlineStr">
        <is>
          <t>CHECK_VENDOR</t>
        </is>
      </c>
      <c r="M579" t="inlineStr">
        <is>
          <t>See CVE details</t>
        </is>
      </c>
      <c r="N579" t="inlineStr">
        <is>
          <t>P3</t>
        </is>
      </c>
      <c r="O579" t="inlineStr">
        <is>
          <t>CVE - IP enrichment n/a</t>
        </is>
      </c>
      <c r="P579" t="n">
        <v>0.0011</v>
      </c>
      <c r="Q579" t="n">
        <v>0.3022</v>
      </c>
      <c r="R579" t="inlineStr">
        <is>
          <t>T1190:Exploit Public-Facing Application</t>
        </is>
      </c>
      <c r="S579" t="n">
        <v>1</v>
      </c>
      <c r="T579" t="inlineStr">
        <is>
          <t>LOW (40%)</t>
        </is>
      </c>
      <c r="U579" t="inlineStr">
        <is>
          <t>UNLIKELY</t>
        </is>
      </c>
      <c r="V579" t="inlineStr">
        <is>
          <t>CHECK_VENDOR</t>
        </is>
      </c>
      <c r="W579" t="inlineStr">
        <is>
          <t>https://nvd.nist.gov/vuln/detail/CVE-2025-68536</t>
        </is>
      </c>
      <c r="X579" t="inlineStr">
        <is>
          <t>NONE</t>
        </is>
      </c>
      <c r="Y579" t="n">
        <v>0</v>
      </c>
      <c r="Z579" t="inlineStr"/>
      <c r="AA579" t="inlineStr">
        <is>
          <t>https://nvd.nist.gov/vuln/detail/CVE-2025-68536</t>
        </is>
      </c>
    </row>
    <row r="580">
      <c r="A580" t="inlineStr">
        <is>
          <t>CVE</t>
        </is>
      </c>
      <c r="B580" t="inlineStr">
        <is>
          <t>CVE-2025-68539</t>
        </is>
      </c>
      <c r="C580" t="inlineStr">
        <is>
          <t>Improper Control of Filename for Include/Require Statement in PHP Program ('PHP Remote File Inclusion') vulnerability in thembay Fana fana allows PHP Local File Inclusion.This issue affects Fana: from n/a through &lt;= 1.1.35.</t>
        </is>
      </c>
      <c r="D580" t="n">
        <v>8.1</v>
      </c>
      <c r="E580" t="inlineStr">
        <is>
          <t>HIGH</t>
        </is>
      </c>
      <c r="F580" t="n">
        <v>2</v>
      </c>
      <c r="G580" t="n">
        <v>3</v>
      </c>
      <c r="H580" t="inlineStr">
        <is>
          <t>HIGH</t>
        </is>
      </c>
      <c r="I580" t="n">
        <v>14.1</v>
      </c>
      <c r="J580" t="inlineStr">
        <is>
          <t>NO</t>
        </is>
      </c>
      <c r="K580" t="inlineStr">
        <is>
          <t>2026-02-26 00:15</t>
        </is>
      </c>
      <c r="L580" t="inlineStr">
        <is>
          <t>CHECK_VENDOR</t>
        </is>
      </c>
      <c r="M580" t="inlineStr">
        <is>
          <t>See CVE details</t>
        </is>
      </c>
      <c r="N580" t="inlineStr">
        <is>
          <t>P3</t>
        </is>
      </c>
      <c r="O580" t="inlineStr">
        <is>
          <t>CVE - IP enrichment n/a</t>
        </is>
      </c>
      <c r="P580" t="n">
        <v>0.0011</v>
      </c>
      <c r="Q580" t="n">
        <v>0.3022</v>
      </c>
      <c r="R580" t="inlineStr">
        <is>
          <t>T1190:Exploit Public-Facing Application</t>
        </is>
      </c>
      <c r="S580" t="n">
        <v>1</v>
      </c>
      <c r="T580" t="inlineStr">
        <is>
          <t>LOW (40%)</t>
        </is>
      </c>
      <c r="U580" t="inlineStr">
        <is>
          <t>UNLIKELY</t>
        </is>
      </c>
      <c r="V580" t="inlineStr">
        <is>
          <t>CHECK_VENDOR</t>
        </is>
      </c>
      <c r="W580" t="inlineStr">
        <is>
          <t>https://nvd.nist.gov/vuln/detail/CVE-2025-68539</t>
        </is>
      </c>
      <c r="X580" t="inlineStr">
        <is>
          <t>NONE</t>
        </is>
      </c>
      <c r="Y580" t="n">
        <v>0</v>
      </c>
      <c r="Z580" t="inlineStr"/>
      <c r="AA580" t="inlineStr">
        <is>
          <t>https://nvd.nist.gov/vuln/detail/CVE-2025-68539</t>
        </is>
      </c>
    </row>
    <row r="581">
      <c r="A581" t="inlineStr">
        <is>
          <t>CVE</t>
        </is>
      </c>
      <c r="B581" t="inlineStr">
        <is>
          <t>CVE-2025-68541</t>
        </is>
      </c>
      <c r="C581" t="inlineStr">
        <is>
          <t>Deserialization of Untrusted Data vulnerability in BoldThemes Ippsum ippsum allows Object Injection.This issue affects Ippsum: from n/a through &lt;= 1.2.0.</t>
        </is>
      </c>
      <c r="D581" t="n">
        <v>9.800000000000001</v>
      </c>
      <c r="E581" t="inlineStr">
        <is>
          <t>CRITICAL</t>
        </is>
      </c>
      <c r="F581" t="n">
        <v>2</v>
      </c>
      <c r="G581" t="n">
        <v>3</v>
      </c>
      <c r="H581" t="inlineStr">
        <is>
          <t>HIGH</t>
        </is>
      </c>
      <c r="I581" t="n">
        <v>15.8</v>
      </c>
      <c r="J581" t="inlineStr">
        <is>
          <t>NO</t>
        </is>
      </c>
      <c r="K581" t="inlineStr">
        <is>
          <t>2026-02-26 00:15</t>
        </is>
      </c>
      <c r="L581" t="inlineStr">
        <is>
          <t>CHECK_VENDOR</t>
        </is>
      </c>
      <c r="M581" t="inlineStr">
        <is>
          <t>See CVE details</t>
        </is>
      </c>
      <c r="N581" t="inlineStr">
        <is>
          <t>P3</t>
        </is>
      </c>
      <c r="O581" t="inlineStr">
        <is>
          <t>CVE - IP enrichment n/a</t>
        </is>
      </c>
      <c r="P581" t="n">
        <v>0</v>
      </c>
      <c r="Q581" t="n">
        <v>0</v>
      </c>
      <c r="R581" t="inlineStr">
        <is>
          <t>T1059:Command and Scripting Interpreter</t>
        </is>
      </c>
      <c r="S581" t="n">
        <v>1</v>
      </c>
      <c r="T581" t="inlineStr">
        <is>
          <t>LOW (40%)</t>
        </is>
      </c>
      <c r="U581" t="inlineStr">
        <is>
          <t>UNLIKELY</t>
        </is>
      </c>
      <c r="V581" t="inlineStr">
        <is>
          <t>CHECK_VENDOR</t>
        </is>
      </c>
      <c r="W581" t="inlineStr">
        <is>
          <t>https://nvd.nist.gov/vuln/detail/CVE-2025-68541</t>
        </is>
      </c>
      <c r="X581" t="inlineStr">
        <is>
          <t>NONE</t>
        </is>
      </c>
      <c r="Y581" t="n">
        <v>0</v>
      </c>
      <c r="Z581" t="inlineStr"/>
      <c r="AA581" t="inlineStr">
        <is>
          <t>https://nvd.nist.gov/vuln/detail/CVE-2025-68541</t>
        </is>
      </c>
    </row>
    <row r="582">
      <c r="A582" t="inlineStr">
        <is>
          <t>CVE</t>
        </is>
      </c>
      <c r="B582" t="inlineStr">
        <is>
          <t>CVE-2025-68542</t>
        </is>
      </c>
      <c r="C582" t="inlineStr">
        <is>
          <t>Missing Authorization vulnerability in vgdevsolutions Checkout Gateway for IRIS checkout-gateway-iris allows Exploiting Incorrectly Configured Access Control Security Levels.This issue affects Checkout Gateway for IRIS: from n/a through &lt;= 1.3.</t>
        </is>
      </c>
      <c r="D582" t="n">
        <v>6.5</v>
      </c>
      <c r="E582" t="inlineStr">
        <is>
          <t>MEDIUM</t>
        </is>
      </c>
      <c r="F582" t="n">
        <v>2</v>
      </c>
      <c r="G582" t="n">
        <v>2</v>
      </c>
      <c r="H582" t="inlineStr">
        <is>
          <t>MEDIUM</t>
        </is>
      </c>
      <c r="I582" t="n">
        <v>10.5</v>
      </c>
      <c r="J582" t="inlineStr">
        <is>
          <t>NO</t>
        </is>
      </c>
      <c r="K582" t="inlineStr">
        <is>
          <t>2026-02-26 00:15</t>
        </is>
      </c>
      <c r="L582" t="inlineStr">
        <is>
          <t>CHECK_VENDOR</t>
        </is>
      </c>
      <c r="M582" t="inlineStr">
        <is>
          <t>See CVE details</t>
        </is>
      </c>
      <c r="N582" t="inlineStr">
        <is>
          <t>P4</t>
        </is>
      </c>
      <c r="O582" t="inlineStr">
        <is>
          <t>CVE - IP enrichment n/a</t>
        </is>
      </c>
      <c r="P582" t="n">
        <v>0</v>
      </c>
      <c r="Q582" t="n">
        <v>0</v>
      </c>
      <c r="R582" t="inlineStr">
        <is>
          <t>T1190:Exploit Public-Facing Application</t>
        </is>
      </c>
      <c r="S582" t="n">
        <v>1</v>
      </c>
      <c r="T582" t="inlineStr">
        <is>
          <t>LOW (40%)</t>
        </is>
      </c>
      <c r="U582" t="inlineStr">
        <is>
          <t>UNLIKELY</t>
        </is>
      </c>
      <c r="V582" t="inlineStr">
        <is>
          <t>CHECK_VENDOR</t>
        </is>
      </c>
      <c r="W582" t="inlineStr">
        <is>
          <t>https://nvd.nist.gov/vuln/detail/CVE-2025-68542</t>
        </is>
      </c>
      <c r="X582" t="inlineStr">
        <is>
          <t>NONE</t>
        </is>
      </c>
      <c r="Y582" t="n">
        <v>0</v>
      </c>
      <c r="Z582" t="inlineStr"/>
      <c r="AA582" t="inlineStr">
        <is>
          <t>https://nvd.nist.gov/vuln/detail/CVE-2025-68542</t>
        </is>
      </c>
    </row>
    <row r="583">
      <c r="A583" t="inlineStr">
        <is>
          <t>CVE</t>
        </is>
      </c>
      <c r="B583" t="inlineStr">
        <is>
          <t>CVE-2025-68543</t>
        </is>
      </c>
      <c r="C583" t="inlineStr">
        <is>
          <t>Improper Control of Filename for Include/Require Statement in PHP Program ('PHP Remote File Inclusion') vulnerability in thembay Diza diza allows PHP Local File Inclusion.This issue affects Diza: from n/a through &lt;= 1.3.15.</t>
        </is>
      </c>
      <c r="D583" t="n">
        <v>8.1</v>
      </c>
      <c r="E583" t="inlineStr">
        <is>
          <t>HIGH</t>
        </is>
      </c>
      <c r="F583" t="n">
        <v>2</v>
      </c>
      <c r="G583" t="n">
        <v>3</v>
      </c>
      <c r="H583" t="inlineStr">
        <is>
          <t>HIGH</t>
        </is>
      </c>
      <c r="I583" t="n">
        <v>14.1</v>
      </c>
      <c r="J583" t="inlineStr">
        <is>
          <t>NO</t>
        </is>
      </c>
      <c r="K583" t="inlineStr">
        <is>
          <t>2026-02-26 00:15</t>
        </is>
      </c>
      <c r="L583" t="inlineStr">
        <is>
          <t>CHECK_VENDOR</t>
        </is>
      </c>
      <c r="M583" t="inlineStr">
        <is>
          <t>See CVE details</t>
        </is>
      </c>
      <c r="N583" t="inlineStr">
        <is>
          <t>P3</t>
        </is>
      </c>
      <c r="O583" t="inlineStr">
        <is>
          <t>CVE - IP enrichment n/a</t>
        </is>
      </c>
      <c r="P583" t="n">
        <v>0.0011</v>
      </c>
      <c r="Q583" t="n">
        <v>0.3022</v>
      </c>
      <c r="R583" t="inlineStr">
        <is>
          <t>T1190:Exploit Public-Facing Application</t>
        </is>
      </c>
      <c r="S583" t="n">
        <v>1</v>
      </c>
      <c r="T583" t="inlineStr">
        <is>
          <t>LOW (40%)</t>
        </is>
      </c>
      <c r="U583" t="inlineStr">
        <is>
          <t>UNLIKELY</t>
        </is>
      </c>
      <c r="V583" t="inlineStr">
        <is>
          <t>CHECK_VENDOR</t>
        </is>
      </c>
      <c r="W583" t="inlineStr">
        <is>
          <t>https://nvd.nist.gov/vuln/detail/CVE-2025-68543</t>
        </is>
      </c>
      <c r="X583" t="inlineStr">
        <is>
          <t>NONE</t>
        </is>
      </c>
      <c r="Y583" t="n">
        <v>0</v>
      </c>
      <c r="Z583" t="inlineStr"/>
      <c r="AA583" t="inlineStr">
        <is>
          <t>https://nvd.nist.gov/vuln/detail/CVE-2025-68543</t>
        </is>
      </c>
    </row>
    <row r="584">
      <c r="A584" t="inlineStr">
        <is>
          <t>CVE</t>
        </is>
      </c>
      <c r="B584" t="inlineStr">
        <is>
          <t>CVE-2025-68545</t>
        </is>
      </c>
      <c r="C584" t="inlineStr">
        <is>
          <t>Improper Control of Filename for Include/Require Statement in PHP Program ('PHP Remote File Inclusion') vulnerability in thembay Nika nika allows PHP Local File Inclusion.This issue affects Nika: from n/a through &lt;= 1.2.14.</t>
        </is>
      </c>
      <c r="D584" t="n">
        <v>5</v>
      </c>
      <c r="E584" t="inlineStr">
        <is>
          <t>MEDIUM</t>
        </is>
      </c>
      <c r="F584" t="n">
        <v>2</v>
      </c>
      <c r="G584" t="n">
        <v>2</v>
      </c>
      <c r="H584" t="inlineStr">
        <is>
          <t>MEDIUM</t>
        </is>
      </c>
      <c r="I584" t="n">
        <v>9</v>
      </c>
      <c r="J584" t="inlineStr">
        <is>
          <t>NO</t>
        </is>
      </c>
      <c r="K584" t="inlineStr">
        <is>
          <t>2026-02-26 00:15</t>
        </is>
      </c>
      <c r="L584" t="inlineStr">
        <is>
          <t>CHECK_VENDOR</t>
        </is>
      </c>
      <c r="M584" t="inlineStr">
        <is>
          <t>See CVE details</t>
        </is>
      </c>
      <c r="N584" t="inlineStr">
        <is>
          <t>P4</t>
        </is>
      </c>
      <c r="O584" t="inlineStr">
        <is>
          <t>CVE - IP enrichment n/a</t>
        </is>
      </c>
      <c r="P584" t="n">
        <v>0</v>
      </c>
      <c r="Q584" t="n">
        <v>0</v>
      </c>
      <c r="R584" t="inlineStr">
        <is>
          <t>T1190:Exploit Public-Facing Application</t>
        </is>
      </c>
      <c r="S584" t="n">
        <v>1</v>
      </c>
      <c r="T584" t="inlineStr">
        <is>
          <t>LOW (40%)</t>
        </is>
      </c>
      <c r="U584" t="inlineStr">
        <is>
          <t>UNLIKELY</t>
        </is>
      </c>
      <c r="V584" t="inlineStr">
        <is>
          <t>CHECK_VENDOR</t>
        </is>
      </c>
      <c r="W584" t="inlineStr">
        <is>
          <t>https://nvd.nist.gov/vuln/detail/CVE-2025-68545</t>
        </is>
      </c>
      <c r="X584" t="inlineStr">
        <is>
          <t>NONE</t>
        </is>
      </c>
      <c r="Y584" t="n">
        <v>0</v>
      </c>
      <c r="Z584" t="inlineStr"/>
      <c r="AA584" t="inlineStr">
        <is>
          <t>https://nvd.nist.gov/vuln/detail/CVE-2025-68545</t>
        </is>
      </c>
    </row>
    <row r="585">
      <c r="A585" t="inlineStr">
        <is>
          <t>CVE</t>
        </is>
      </c>
      <c r="B585" t="inlineStr">
        <is>
          <t>CVE-2025-68549</t>
        </is>
      </c>
      <c r="C585" t="inlineStr">
        <is>
          <t>Unrestricted Upload of File with Dangerous Type vulnerability in zozothemes Wiguard wiguard allows Upload a Web Shell to a Web Server.This issue affects Wiguard: from n/a through &lt; 2.0.1.</t>
        </is>
      </c>
      <c r="D585" t="n">
        <v>9.9</v>
      </c>
      <c r="E585" t="inlineStr">
        <is>
          <t>CRITICAL</t>
        </is>
      </c>
      <c r="F585" t="n">
        <v>2</v>
      </c>
      <c r="G585" t="n">
        <v>3</v>
      </c>
      <c r="H585" t="inlineStr">
        <is>
          <t>HIGH</t>
        </is>
      </c>
      <c r="I585" t="n">
        <v>15.9</v>
      </c>
      <c r="J585" t="inlineStr">
        <is>
          <t>NO</t>
        </is>
      </c>
      <c r="K585" t="inlineStr">
        <is>
          <t>2026-02-26 00:15</t>
        </is>
      </c>
      <c r="L585" t="inlineStr">
        <is>
          <t>CHECK_VENDOR</t>
        </is>
      </c>
      <c r="M585" t="inlineStr">
        <is>
          <t>See CVE details</t>
        </is>
      </c>
      <c r="N585" t="inlineStr">
        <is>
          <t>P3</t>
        </is>
      </c>
      <c r="O585" t="inlineStr">
        <is>
          <t>CVE - IP enrichment n/a</t>
        </is>
      </c>
      <c r="P585" t="n">
        <v>0.0002</v>
      </c>
      <c r="Q585" t="n">
        <v>0.0446</v>
      </c>
      <c r="R585" t="inlineStr">
        <is>
          <t>T1190:Exploit Public-Facing Application</t>
        </is>
      </c>
      <c r="S585" t="n">
        <v>1</v>
      </c>
      <c r="T585" t="inlineStr">
        <is>
          <t>LOW (40%)</t>
        </is>
      </c>
      <c r="U585" t="inlineStr">
        <is>
          <t>UNLIKELY</t>
        </is>
      </c>
      <c r="V585" t="inlineStr">
        <is>
          <t>CHECK_VENDOR</t>
        </is>
      </c>
      <c r="W585" t="inlineStr">
        <is>
          <t>https://nvd.nist.gov/vuln/detail/CVE-2025-68549</t>
        </is>
      </c>
      <c r="X585" t="inlineStr">
        <is>
          <t>NONE</t>
        </is>
      </c>
      <c r="Y585" t="n">
        <v>0</v>
      </c>
      <c r="Z585" t="inlineStr"/>
      <c r="AA585" t="inlineStr">
        <is>
          <t>https://nvd.nist.gov/vuln/detail/CVE-2025-68549</t>
        </is>
      </c>
    </row>
    <row r="586">
      <c r="A586" t="inlineStr">
        <is>
          <t>CVE</t>
        </is>
      </c>
      <c r="B586" t="inlineStr">
        <is>
          <t>CVE-2025-68552</t>
        </is>
      </c>
      <c r="C586" t="inlineStr">
        <is>
          <t>Improper Control of Filename for Include/Require Statement in PHP Program ('PHP Remote File Inclusion') vulnerability in WebCodingPlace WooCommerce Coming Soon Product with Countdown woo-coming-soon-product allows PHP Local File Inclusion.This issue affects WooCommerce Coming Soon Product with Countdown: from n/a through &lt;= 5.0.</t>
        </is>
      </c>
      <c r="D586" t="n">
        <v>8.5</v>
      </c>
      <c r="E586" t="inlineStr">
        <is>
          <t>HIGH</t>
        </is>
      </c>
      <c r="F586" t="n">
        <v>2</v>
      </c>
      <c r="G586" t="n">
        <v>3</v>
      </c>
      <c r="H586" t="inlineStr">
        <is>
          <t>HIGH</t>
        </is>
      </c>
      <c r="I586" t="n">
        <v>14.5</v>
      </c>
      <c r="J586" t="inlineStr">
        <is>
          <t>NO</t>
        </is>
      </c>
      <c r="K586" t="inlineStr">
        <is>
          <t>2026-02-26 00:15</t>
        </is>
      </c>
      <c r="L586" t="inlineStr">
        <is>
          <t>CHECK_VENDOR</t>
        </is>
      </c>
      <c r="M586" t="inlineStr">
        <is>
          <t>See CVE details</t>
        </is>
      </c>
      <c r="N586" t="inlineStr">
        <is>
          <t>P3</t>
        </is>
      </c>
      <c r="O586" t="inlineStr">
        <is>
          <t>CVE - IP enrichment n/a</t>
        </is>
      </c>
      <c r="P586" t="n">
        <v>0</v>
      </c>
      <c r="Q586" t="n">
        <v>0</v>
      </c>
      <c r="R586" t="inlineStr">
        <is>
          <t>T1190:Exploit Public-Facing Application</t>
        </is>
      </c>
      <c r="S586" t="n">
        <v>1</v>
      </c>
      <c r="T586" t="inlineStr">
        <is>
          <t>LOW (40%)</t>
        </is>
      </c>
      <c r="U586" t="inlineStr">
        <is>
          <t>UNLIKELY</t>
        </is>
      </c>
      <c r="V586" t="inlineStr">
        <is>
          <t>CHECK_VENDOR</t>
        </is>
      </c>
      <c r="W586" t="inlineStr">
        <is>
          <t>https://nvd.nist.gov/vuln/detail/CVE-2025-68552</t>
        </is>
      </c>
      <c r="X586" t="inlineStr">
        <is>
          <t>NONE</t>
        </is>
      </c>
      <c r="Y586" t="n">
        <v>0</v>
      </c>
      <c r="Z586" t="inlineStr"/>
      <c r="AA586" t="inlineStr">
        <is>
          <t>https://nvd.nist.gov/vuln/detail/CVE-2025-68552</t>
        </is>
      </c>
    </row>
    <row r="587">
      <c r="A587" t="inlineStr">
        <is>
          <t>CVE</t>
        </is>
      </c>
      <c r="B587" t="inlineStr">
        <is>
          <t>CVE-2025-68564</t>
        </is>
      </c>
      <c r="C587" t="inlineStr">
        <is>
          <t>Missing Authorization vulnerability in sendy Sendy sendy allows Exploiting Incorrectly Configured Access Control Security Levels.This issue affects Sendy: from n/a through &lt;= 3.4.2.</t>
        </is>
      </c>
      <c r="D587" t="n">
        <v>6.5</v>
      </c>
      <c r="E587" t="inlineStr">
        <is>
          <t>MEDIUM</t>
        </is>
      </c>
      <c r="F587" t="n">
        <v>2</v>
      </c>
      <c r="G587" t="n">
        <v>2</v>
      </c>
      <c r="H587" t="inlineStr">
        <is>
          <t>MEDIUM</t>
        </is>
      </c>
      <c r="I587" t="n">
        <v>10.5</v>
      </c>
      <c r="J587" t="inlineStr">
        <is>
          <t>NO</t>
        </is>
      </c>
      <c r="K587" t="inlineStr">
        <is>
          <t>2026-02-26 00:15</t>
        </is>
      </c>
      <c r="L587" t="inlineStr">
        <is>
          <t>CHECK_VENDOR</t>
        </is>
      </c>
      <c r="M587" t="inlineStr">
        <is>
          <t>See CVE details</t>
        </is>
      </c>
      <c r="N587" t="inlineStr">
        <is>
          <t>P4</t>
        </is>
      </c>
      <c r="O587" t="inlineStr">
        <is>
          <t>CVE - IP enrichment n/a</t>
        </is>
      </c>
      <c r="P587" t="n">
        <v>0</v>
      </c>
      <c r="Q587" t="n">
        <v>0</v>
      </c>
      <c r="R587" t="inlineStr">
        <is>
          <t>T1190:Exploit Public-Facing Application</t>
        </is>
      </c>
      <c r="S587" t="n">
        <v>1</v>
      </c>
      <c r="T587" t="inlineStr">
        <is>
          <t>LOW (40%)</t>
        </is>
      </c>
      <c r="U587" t="inlineStr">
        <is>
          <t>UNLIKELY</t>
        </is>
      </c>
      <c r="V587" t="inlineStr">
        <is>
          <t>CHECK_VENDOR</t>
        </is>
      </c>
      <c r="W587" t="inlineStr">
        <is>
          <t>https://nvd.nist.gov/vuln/detail/CVE-2025-68564</t>
        </is>
      </c>
      <c r="X587" t="inlineStr">
        <is>
          <t>NONE</t>
        </is>
      </c>
      <c r="Y587" t="n">
        <v>0</v>
      </c>
      <c r="Z587" t="inlineStr"/>
      <c r="AA587" t="inlineStr">
        <is>
          <t>https://nvd.nist.gov/vuln/detail/CVE-2025-68564</t>
        </is>
      </c>
    </row>
    <row r="588">
      <c r="A588" t="inlineStr">
        <is>
          <t>CVE</t>
        </is>
      </c>
      <c r="B588" t="inlineStr">
        <is>
          <t>CVE-2025-68834</t>
        </is>
      </c>
      <c r="C588" t="inlineStr">
        <is>
          <t>Missing Authorization vulnerability in Saiful Islam Sync Master Sheet &amp;#8211; Product Sync with Google Sheet for WooCommerce product-sync-master-sheet allows Exploiting Incorrectly Configured Access Control Security Levels.This issue affects Sync Master Sheet &amp;#8211; Product Sync with Google Sheet for WooCommerce: from n/a through &lt;= 1.1.3.</t>
        </is>
      </c>
      <c r="D588" t="n">
        <v>8.5</v>
      </c>
      <c r="E588" t="inlineStr">
        <is>
          <t>HIGH</t>
        </is>
      </c>
      <c r="F588" t="n">
        <v>2</v>
      </c>
      <c r="G588" t="n">
        <v>3</v>
      </c>
      <c r="H588" t="inlineStr">
        <is>
          <t>HIGH</t>
        </is>
      </c>
      <c r="I588" t="n">
        <v>14.5</v>
      </c>
      <c r="J588" t="inlineStr">
        <is>
          <t>NO</t>
        </is>
      </c>
      <c r="K588" t="inlineStr">
        <is>
          <t>2026-02-26 00:15</t>
        </is>
      </c>
      <c r="L588" t="inlineStr">
        <is>
          <t>CHECK_VENDOR</t>
        </is>
      </c>
      <c r="M588" t="inlineStr">
        <is>
          <t>See CVE details</t>
        </is>
      </c>
      <c r="N588" t="inlineStr">
        <is>
          <t>P3</t>
        </is>
      </c>
      <c r="O588" t="inlineStr">
        <is>
          <t>CVE - IP enrichment n/a</t>
        </is>
      </c>
      <c r="P588" t="n">
        <v>0</v>
      </c>
      <c r="Q588" t="n">
        <v>0</v>
      </c>
      <c r="R588" t="inlineStr">
        <is>
          <t>T1190:Exploit Public-Facing Application</t>
        </is>
      </c>
      <c r="S588" t="n">
        <v>1</v>
      </c>
      <c r="T588" t="inlineStr">
        <is>
          <t>LOW (40%)</t>
        </is>
      </c>
      <c r="U588" t="inlineStr">
        <is>
          <t>UNLIKELY</t>
        </is>
      </c>
      <c r="V588" t="inlineStr">
        <is>
          <t>CHECK_VENDOR</t>
        </is>
      </c>
      <c r="W588" t="inlineStr">
        <is>
          <t>https://nvd.nist.gov/vuln/detail/CVE-2025-68834</t>
        </is>
      </c>
      <c r="X588" t="inlineStr">
        <is>
          <t>NONE</t>
        </is>
      </c>
      <c r="Y588" t="n">
        <v>0</v>
      </c>
      <c r="Z588" t="inlineStr"/>
      <c r="AA588" t="inlineStr">
        <is>
          <t>https://nvd.nist.gov/vuln/detail/CVE-2025-68834</t>
        </is>
      </c>
    </row>
    <row r="589">
      <c r="A589" t="inlineStr">
        <is>
          <t>CVE</t>
        </is>
      </c>
      <c r="B589" t="inlineStr">
        <is>
          <t>CVE-2025-68837</t>
        </is>
      </c>
      <c r="C589" t="inlineStr">
        <is>
          <t>Missing Authorization vulnerability in ELEXtensions ELEX WordPress HelpDesk &amp; Customer Ticketing System elex-helpdesk-customer-support-ticket-system allows Exploiting Incorrectly Configured Access Control Security Levels.This issue affects ELEX WordPress HelpDesk &amp; Customer Ticketing System: from n/a through &lt;= 3.3.5.</t>
        </is>
      </c>
      <c r="D589" t="n">
        <v>6.5</v>
      </c>
      <c r="E589" t="inlineStr">
        <is>
          <t>MEDIUM</t>
        </is>
      </c>
      <c r="F589" t="n">
        <v>2</v>
      </c>
      <c r="G589" t="n">
        <v>2</v>
      </c>
      <c r="H589" t="inlineStr">
        <is>
          <t>MEDIUM</t>
        </is>
      </c>
      <c r="I589" t="n">
        <v>10.5</v>
      </c>
      <c r="J589" t="inlineStr">
        <is>
          <t>NO</t>
        </is>
      </c>
      <c r="K589" t="inlineStr">
        <is>
          <t>2026-02-26 00:15</t>
        </is>
      </c>
      <c r="L589" t="inlineStr">
        <is>
          <t>CHECK_VENDOR</t>
        </is>
      </c>
      <c r="M589" t="inlineStr">
        <is>
          <t>See CVE details</t>
        </is>
      </c>
      <c r="N589" t="inlineStr">
        <is>
          <t>P4</t>
        </is>
      </c>
      <c r="O589" t="inlineStr">
        <is>
          <t>CVE - IP enrichment n/a</t>
        </is>
      </c>
      <c r="P589" t="n">
        <v>0</v>
      </c>
      <c r="Q589" t="n">
        <v>0</v>
      </c>
      <c r="R589" t="inlineStr">
        <is>
          <t>T1190:Exploit Public-Facing Application</t>
        </is>
      </c>
      <c r="S589" t="n">
        <v>1</v>
      </c>
      <c r="T589" t="inlineStr">
        <is>
          <t>LOW (40%)</t>
        </is>
      </c>
      <c r="U589" t="inlineStr">
        <is>
          <t>UNLIKELY</t>
        </is>
      </c>
      <c r="V589" t="inlineStr">
        <is>
          <t>CHECK_VENDOR</t>
        </is>
      </c>
      <c r="W589" t="inlineStr">
        <is>
          <t>https://nvd.nist.gov/vuln/detail/CVE-2025-68837</t>
        </is>
      </c>
      <c r="X589" t="inlineStr">
        <is>
          <t>NONE</t>
        </is>
      </c>
      <c r="Y589" t="n">
        <v>0</v>
      </c>
      <c r="Z589" t="inlineStr"/>
      <c r="AA589" t="inlineStr">
        <is>
          <t>https://nvd.nist.gov/vuln/detail/CVE-2025-68837</t>
        </is>
      </c>
    </row>
    <row r="590">
      <c r="A590" t="inlineStr">
        <is>
          <t>CVE</t>
        </is>
      </c>
      <c r="B590" t="inlineStr">
        <is>
          <t>CVE-2025-68841</t>
        </is>
      </c>
      <c r="C590" t="inlineStr">
        <is>
          <t>Improper Control of Filename for Include/Require Statement in PHP Program ('PHP Remote File Inclusion') vulnerability in Themepul TopperPack – Complete Elementor Addons, Theme &amp; CPT Builder topper-pack allows PHP Local File Inclusion.This issue affects TopperPack – Complete Elementor Addons, Theme &amp; CPT Builder: from n/a through &lt;= 1.2.1.</t>
        </is>
      </c>
      <c r="D590" t="n">
        <v>7.5</v>
      </c>
      <c r="E590" t="inlineStr">
        <is>
          <t>HIGH</t>
        </is>
      </c>
      <c r="F590" t="n">
        <v>2</v>
      </c>
      <c r="G590" t="n">
        <v>3</v>
      </c>
      <c r="H590" t="inlineStr">
        <is>
          <t>HIGH</t>
        </is>
      </c>
      <c r="I590" t="n">
        <v>13.5</v>
      </c>
      <c r="J590" t="inlineStr">
        <is>
          <t>NO</t>
        </is>
      </c>
      <c r="K590" t="inlineStr">
        <is>
          <t>2026-02-26 00:15</t>
        </is>
      </c>
      <c r="L590" t="inlineStr">
        <is>
          <t>CHECK_VENDOR</t>
        </is>
      </c>
      <c r="M590" t="inlineStr">
        <is>
          <t>See CVE details</t>
        </is>
      </c>
      <c r="N590" t="inlineStr">
        <is>
          <t>P3</t>
        </is>
      </c>
      <c r="O590" t="inlineStr">
        <is>
          <t>CVE - IP enrichment n/a</t>
        </is>
      </c>
      <c r="P590" t="n">
        <v>0</v>
      </c>
      <c r="Q590" t="n">
        <v>0</v>
      </c>
      <c r="R590" t="inlineStr">
        <is>
          <t>T1190:Exploit Public-Facing Application</t>
        </is>
      </c>
      <c r="S590" t="n">
        <v>1</v>
      </c>
      <c r="T590" t="inlineStr">
        <is>
          <t>LOW (40%)</t>
        </is>
      </c>
      <c r="U590" t="inlineStr">
        <is>
          <t>UNLIKELY</t>
        </is>
      </c>
      <c r="V590" t="inlineStr">
        <is>
          <t>CHECK_VENDOR</t>
        </is>
      </c>
      <c r="W590" t="inlineStr">
        <is>
          <t>https://nvd.nist.gov/vuln/detail/CVE-2025-68841</t>
        </is>
      </c>
      <c r="X590" t="inlineStr">
        <is>
          <t>NONE</t>
        </is>
      </c>
      <c r="Y590" t="n">
        <v>0</v>
      </c>
      <c r="Z590" t="inlineStr"/>
      <c r="AA590" t="inlineStr">
        <is>
          <t>https://nvd.nist.gov/vuln/detail/CVE-2025-68841</t>
        </is>
      </c>
    </row>
    <row r="591">
      <c r="A591" t="inlineStr">
        <is>
          <t>CVE</t>
        </is>
      </c>
      <c r="B591" t="inlineStr">
        <is>
          <t>CVE-2025-68842</t>
        </is>
      </c>
      <c r="C591" t="inlineStr">
        <is>
          <t>Improper Neutralization of Input During Web Page Generation ('Cross-site Scripting') vulnerability in totalbounty Widget Logic Visual widget-logic-visual allows Reflected XSS.This issue affects Widget Logic Visual: from n/a through &lt;= 1.52.</t>
        </is>
      </c>
      <c r="D591" t="n">
        <v>7.1</v>
      </c>
      <c r="E591" t="inlineStr">
        <is>
          <t>HIGH</t>
        </is>
      </c>
      <c r="F591" t="n">
        <v>2</v>
      </c>
      <c r="G591" t="n">
        <v>3</v>
      </c>
      <c r="H591" t="inlineStr">
        <is>
          <t>HIGH</t>
        </is>
      </c>
      <c r="I591" t="n">
        <v>13.1</v>
      </c>
      <c r="J591" t="inlineStr">
        <is>
          <t>NO</t>
        </is>
      </c>
      <c r="K591" t="inlineStr">
        <is>
          <t>2026-02-26 00:15</t>
        </is>
      </c>
      <c r="L591" t="inlineStr">
        <is>
          <t>CHECK_VENDOR</t>
        </is>
      </c>
      <c r="M591" t="inlineStr">
        <is>
          <t>See CVE details</t>
        </is>
      </c>
      <c r="N591" t="inlineStr">
        <is>
          <t>P3</t>
        </is>
      </c>
      <c r="O591" t="inlineStr">
        <is>
          <t>CVE - IP enrichment n/a</t>
        </is>
      </c>
      <c r="P591" t="n">
        <v>0</v>
      </c>
      <c r="Q591" t="n">
        <v>0</v>
      </c>
      <c r="R591" t="inlineStr">
        <is>
          <t>T1189:Drive-by Compromise</t>
        </is>
      </c>
      <c r="S591" t="n">
        <v>1</v>
      </c>
      <c r="T591" t="inlineStr">
        <is>
          <t>LOW (40%)</t>
        </is>
      </c>
      <c r="U591" t="inlineStr">
        <is>
          <t>UNLIKELY</t>
        </is>
      </c>
      <c r="V591" t="inlineStr">
        <is>
          <t>CHECK_VENDOR</t>
        </is>
      </c>
      <c r="W591" t="inlineStr">
        <is>
          <t>https://nvd.nist.gov/vuln/detail/CVE-2025-68842</t>
        </is>
      </c>
      <c r="X591" t="inlineStr">
        <is>
          <t>NONE</t>
        </is>
      </c>
      <c r="Y591" t="n">
        <v>0</v>
      </c>
      <c r="Z591" t="inlineStr"/>
      <c r="AA591" t="inlineStr">
        <is>
          <t>https://nvd.nist.gov/vuln/detail/CVE-2025-68842</t>
        </is>
      </c>
    </row>
    <row r="592">
      <c r="A592" t="inlineStr">
        <is>
          <t>CVE</t>
        </is>
      </c>
      <c r="B592" t="inlineStr">
        <is>
          <t>CVE-2025-68843</t>
        </is>
      </c>
      <c r="C592" t="inlineStr">
        <is>
          <t>Improper Neutralization of Input During Web Page Generation ('Cross-site Scripting') vulnerability in Bas Schuiling FeedWordPress Advanced Filters faf allows Reflected XSS.This issue affects FeedWordPress Advanced Filters: from n/a through &lt;= 0.6.2.</t>
        </is>
      </c>
      <c r="D592" t="n">
        <v>7.1</v>
      </c>
      <c r="E592" t="inlineStr">
        <is>
          <t>HIGH</t>
        </is>
      </c>
      <c r="F592" t="n">
        <v>2</v>
      </c>
      <c r="G592" t="n">
        <v>3</v>
      </c>
      <c r="H592" t="inlineStr">
        <is>
          <t>HIGH</t>
        </is>
      </c>
      <c r="I592" t="n">
        <v>13.1</v>
      </c>
      <c r="J592" t="inlineStr">
        <is>
          <t>NO</t>
        </is>
      </c>
      <c r="K592" t="inlineStr">
        <is>
          <t>2026-02-26 00:15</t>
        </is>
      </c>
      <c r="L592" t="inlineStr">
        <is>
          <t>CHECK_VENDOR</t>
        </is>
      </c>
      <c r="M592" t="inlineStr">
        <is>
          <t>See CVE details</t>
        </is>
      </c>
      <c r="N592" t="inlineStr">
        <is>
          <t>P3</t>
        </is>
      </c>
      <c r="O592" t="inlineStr">
        <is>
          <t>CVE - IP enrichment n/a</t>
        </is>
      </c>
      <c r="P592" t="n">
        <v>0</v>
      </c>
      <c r="Q592" t="n">
        <v>0</v>
      </c>
      <c r="R592" t="inlineStr">
        <is>
          <t>T1189:Drive-by Compromise</t>
        </is>
      </c>
      <c r="S592" t="n">
        <v>1</v>
      </c>
      <c r="T592" t="inlineStr">
        <is>
          <t>LOW (40%)</t>
        </is>
      </c>
      <c r="U592" t="inlineStr">
        <is>
          <t>UNLIKELY</t>
        </is>
      </c>
      <c r="V592" t="inlineStr">
        <is>
          <t>CHECK_VENDOR</t>
        </is>
      </c>
      <c r="W592" t="inlineStr">
        <is>
          <t>https://nvd.nist.gov/vuln/detail/CVE-2025-68843</t>
        </is>
      </c>
      <c r="X592" t="inlineStr">
        <is>
          <t>NONE</t>
        </is>
      </c>
      <c r="Y592" t="n">
        <v>0</v>
      </c>
      <c r="Z592" t="inlineStr"/>
      <c r="AA592" t="inlineStr">
        <is>
          <t>https://nvd.nist.gov/vuln/detail/CVE-2025-68843</t>
        </is>
      </c>
    </row>
    <row r="593">
      <c r="A593" t="inlineStr">
        <is>
          <t>CVE</t>
        </is>
      </c>
      <c r="B593" t="inlineStr">
        <is>
          <t>CVE-2025-68844</t>
        </is>
      </c>
      <c r="C593" t="inlineStr">
        <is>
          <t>Improper Neutralization of Input During Web Page Generation ('Cross-site Scripting') vulnerability in DaleAB Membee Login membees-member-login-widget allows Reflected XSS.This issue affects Membee Login: from n/a through &lt;= 2.3.6.</t>
        </is>
      </c>
      <c r="D593" t="n">
        <v>7.1</v>
      </c>
      <c r="E593" t="inlineStr">
        <is>
          <t>HIGH</t>
        </is>
      </c>
      <c r="F593" t="n">
        <v>2</v>
      </c>
      <c r="G593" t="n">
        <v>3</v>
      </c>
      <c r="H593" t="inlineStr">
        <is>
          <t>HIGH</t>
        </is>
      </c>
      <c r="I593" t="n">
        <v>13.1</v>
      </c>
      <c r="J593" t="inlineStr">
        <is>
          <t>NO</t>
        </is>
      </c>
      <c r="K593" t="inlineStr">
        <is>
          <t>2026-02-26 00:15</t>
        </is>
      </c>
      <c r="L593" t="inlineStr">
        <is>
          <t>CHECK_VENDOR</t>
        </is>
      </c>
      <c r="M593" t="inlineStr">
        <is>
          <t>See CVE details</t>
        </is>
      </c>
      <c r="N593" t="inlineStr">
        <is>
          <t>P3</t>
        </is>
      </c>
      <c r="O593" t="inlineStr">
        <is>
          <t>CVE - IP enrichment n/a</t>
        </is>
      </c>
      <c r="P593" t="n">
        <v>0</v>
      </c>
      <c r="Q593" t="n">
        <v>0</v>
      </c>
      <c r="R593" t="inlineStr">
        <is>
          <t>T1189:Drive-by Compromise</t>
        </is>
      </c>
      <c r="S593" t="n">
        <v>1</v>
      </c>
      <c r="T593" t="inlineStr">
        <is>
          <t>LOW (40%)</t>
        </is>
      </c>
      <c r="U593" t="inlineStr">
        <is>
          <t>UNLIKELY</t>
        </is>
      </c>
      <c r="V593" t="inlineStr">
        <is>
          <t>CHECK_VENDOR</t>
        </is>
      </c>
      <c r="W593" t="inlineStr">
        <is>
          <t>https://nvd.nist.gov/vuln/detail/CVE-2025-68844</t>
        </is>
      </c>
      <c r="X593" t="inlineStr">
        <is>
          <t>NONE</t>
        </is>
      </c>
      <c r="Y593" t="n">
        <v>0</v>
      </c>
      <c r="Z593" t="inlineStr"/>
      <c r="AA593" t="inlineStr">
        <is>
          <t>https://nvd.nist.gov/vuln/detail/CVE-2025-68844</t>
        </is>
      </c>
    </row>
    <row r="594">
      <c r="A594" t="inlineStr">
        <is>
          <t>CVE</t>
        </is>
      </c>
      <c r="B594" t="inlineStr">
        <is>
          <t>CVE-2025-68845</t>
        </is>
      </c>
      <c r="C594" t="inlineStr">
        <is>
          <t>Improper Neutralization of Input During Web Page Generation ('Cross-site Scripting') vulnerability in aThemeArt Translations eDS Responsive Menu eds-responsive-menu allows Reflected XSS.This issue affects eDS Responsive Menu: from n/a through &lt;= 1.2.</t>
        </is>
      </c>
      <c r="D594" t="n">
        <v>7.1</v>
      </c>
      <c r="E594" t="inlineStr">
        <is>
          <t>HIGH</t>
        </is>
      </c>
      <c r="F594" t="n">
        <v>2</v>
      </c>
      <c r="G594" t="n">
        <v>3</v>
      </c>
      <c r="H594" t="inlineStr">
        <is>
          <t>HIGH</t>
        </is>
      </c>
      <c r="I594" t="n">
        <v>13.1</v>
      </c>
      <c r="J594" t="inlineStr">
        <is>
          <t>NO</t>
        </is>
      </c>
      <c r="K594" t="inlineStr">
        <is>
          <t>2026-02-26 00:15</t>
        </is>
      </c>
      <c r="L594" t="inlineStr">
        <is>
          <t>CHECK_VENDOR</t>
        </is>
      </c>
      <c r="M594" t="inlineStr">
        <is>
          <t>See CVE details</t>
        </is>
      </c>
      <c r="N594" t="inlineStr">
        <is>
          <t>P3</t>
        </is>
      </c>
      <c r="O594" t="inlineStr">
        <is>
          <t>CVE - IP enrichment n/a</t>
        </is>
      </c>
      <c r="P594" t="n">
        <v>0</v>
      </c>
      <c r="Q594" t="n">
        <v>0</v>
      </c>
      <c r="R594" t="inlineStr">
        <is>
          <t>T1189:Drive-by Compromise</t>
        </is>
      </c>
      <c r="S594" t="n">
        <v>1</v>
      </c>
      <c r="T594" t="inlineStr">
        <is>
          <t>LOW (40%)</t>
        </is>
      </c>
      <c r="U594" t="inlineStr">
        <is>
          <t>UNLIKELY</t>
        </is>
      </c>
      <c r="V594" t="inlineStr">
        <is>
          <t>CHECK_VENDOR</t>
        </is>
      </c>
      <c r="W594" t="inlineStr">
        <is>
          <t>https://nvd.nist.gov/vuln/detail/CVE-2025-68845</t>
        </is>
      </c>
      <c r="X594" t="inlineStr">
        <is>
          <t>NONE</t>
        </is>
      </c>
      <c r="Y594" t="n">
        <v>0</v>
      </c>
      <c r="Z594" t="inlineStr"/>
      <c r="AA594" t="inlineStr">
        <is>
          <t>https://nvd.nist.gov/vuln/detail/CVE-2025-68845</t>
        </is>
      </c>
    </row>
    <row r="595">
      <c r="A595" t="inlineStr">
        <is>
          <t>CVE</t>
        </is>
      </c>
      <c r="B595" t="inlineStr">
        <is>
          <t>CVE-2025-68846</t>
        </is>
      </c>
      <c r="C595" t="inlineStr">
        <is>
          <t>Improper Neutralization of Input During Web Page Generation ('Cross-site Scripting') vulnerability in Paris Holley Asynchronous Javascript asynchronous-javascript allows Reflected XSS.This issue affects Asynchronous Javascript: from n/a through &lt;= 1.3.5.</t>
        </is>
      </c>
      <c r="D595" t="n">
        <v>7.1</v>
      </c>
      <c r="E595" t="inlineStr">
        <is>
          <t>HIGH</t>
        </is>
      </c>
      <c r="F595" t="n">
        <v>2</v>
      </c>
      <c r="G595" t="n">
        <v>3</v>
      </c>
      <c r="H595" t="inlineStr">
        <is>
          <t>HIGH</t>
        </is>
      </c>
      <c r="I595" t="n">
        <v>13.1</v>
      </c>
      <c r="J595" t="inlineStr">
        <is>
          <t>NO</t>
        </is>
      </c>
      <c r="K595" t="inlineStr">
        <is>
          <t>2026-02-26 00:15</t>
        </is>
      </c>
      <c r="L595" t="inlineStr">
        <is>
          <t>CHECK_VENDOR</t>
        </is>
      </c>
      <c r="M595" t="inlineStr">
        <is>
          <t>See CVE details</t>
        </is>
      </c>
      <c r="N595" t="inlineStr">
        <is>
          <t>P3</t>
        </is>
      </c>
      <c r="O595" t="inlineStr">
        <is>
          <t>CVE - IP enrichment n/a</t>
        </is>
      </c>
      <c r="P595" t="n">
        <v>0</v>
      </c>
      <c r="Q595" t="n">
        <v>0</v>
      </c>
      <c r="R595" t="inlineStr">
        <is>
          <t>T1189:Drive-by Compromise</t>
        </is>
      </c>
      <c r="S595" t="n">
        <v>1</v>
      </c>
      <c r="T595" t="inlineStr">
        <is>
          <t>LOW (40%)</t>
        </is>
      </c>
      <c r="U595" t="inlineStr">
        <is>
          <t>UNLIKELY</t>
        </is>
      </c>
      <c r="V595" t="inlineStr">
        <is>
          <t>CHECK_VENDOR</t>
        </is>
      </c>
      <c r="W595" t="inlineStr">
        <is>
          <t>https://nvd.nist.gov/vuln/detail/CVE-2025-68846</t>
        </is>
      </c>
      <c r="X595" t="inlineStr">
        <is>
          <t>NONE</t>
        </is>
      </c>
      <c r="Y595" t="n">
        <v>0</v>
      </c>
      <c r="Z595" t="inlineStr"/>
      <c r="AA595" t="inlineStr">
        <is>
          <t>https://nvd.nist.gov/vuln/detail/CVE-2025-68846</t>
        </is>
      </c>
    </row>
    <row r="596">
      <c r="A596" t="inlineStr">
        <is>
          <t>CVE</t>
        </is>
      </c>
      <c r="B596" t="inlineStr">
        <is>
          <t>CVE-2025-68847</t>
        </is>
      </c>
      <c r="C596" t="inlineStr">
        <is>
          <t>Improper Neutralization of Input During Web Page Generation ('Cross-site Scripting') vulnerability in itex iSape isape allows Reflected XSS.This issue affects iSape: from n/a through &lt;= 0.72.</t>
        </is>
      </c>
      <c r="D596" t="n">
        <v>7.1</v>
      </c>
      <c r="E596" t="inlineStr">
        <is>
          <t>HIGH</t>
        </is>
      </c>
      <c r="F596" t="n">
        <v>2</v>
      </c>
      <c r="G596" t="n">
        <v>3</v>
      </c>
      <c r="H596" t="inlineStr">
        <is>
          <t>HIGH</t>
        </is>
      </c>
      <c r="I596" t="n">
        <v>13.1</v>
      </c>
      <c r="J596" t="inlineStr">
        <is>
          <t>NO</t>
        </is>
      </c>
      <c r="K596" t="inlineStr">
        <is>
          <t>2026-02-26 00:15</t>
        </is>
      </c>
      <c r="L596" t="inlineStr">
        <is>
          <t>CHECK_VENDOR</t>
        </is>
      </c>
      <c r="M596" t="inlineStr">
        <is>
          <t>See CVE details</t>
        </is>
      </c>
      <c r="N596" t="inlineStr">
        <is>
          <t>P3</t>
        </is>
      </c>
      <c r="O596" t="inlineStr">
        <is>
          <t>CVE - IP enrichment n/a</t>
        </is>
      </c>
      <c r="P596" t="n">
        <v>0.0003</v>
      </c>
      <c r="Q596" t="n">
        <v>0.0951</v>
      </c>
      <c r="R596" t="inlineStr">
        <is>
          <t>T1189:Drive-by Compromise</t>
        </is>
      </c>
      <c r="S596" t="n">
        <v>1</v>
      </c>
      <c r="T596" t="inlineStr">
        <is>
          <t>LOW (40%)</t>
        </is>
      </c>
      <c r="U596" t="inlineStr">
        <is>
          <t>UNLIKELY</t>
        </is>
      </c>
      <c r="V596" t="inlineStr">
        <is>
          <t>CHECK_VENDOR</t>
        </is>
      </c>
      <c r="W596" t="inlineStr">
        <is>
          <t>https://nvd.nist.gov/vuln/detail/CVE-2025-68847</t>
        </is>
      </c>
      <c r="X596" t="inlineStr">
        <is>
          <t>NONE</t>
        </is>
      </c>
      <c r="Y596" t="n">
        <v>0</v>
      </c>
      <c r="Z596" t="inlineStr"/>
      <c r="AA596" t="inlineStr">
        <is>
          <t>https://nvd.nist.gov/vuln/detail/CVE-2025-68847</t>
        </is>
      </c>
    </row>
    <row r="597">
      <c r="A597" t="inlineStr">
        <is>
          <t>CVE</t>
        </is>
      </c>
      <c r="B597" t="inlineStr">
        <is>
          <t>CVE-2025-68848</t>
        </is>
      </c>
      <c r="C597" t="inlineStr">
        <is>
          <t>Improper Neutralization of Input During Web Page Generation ('Cross-site Scripting') vulnerability in anmari amr cron manager amr-cron-manager allows Reflected XSS.This issue affects amr cron manager: from n/a through &lt;= 2.3.</t>
        </is>
      </c>
      <c r="D597" t="n">
        <v>7.1</v>
      </c>
      <c r="E597" t="inlineStr">
        <is>
          <t>HIGH</t>
        </is>
      </c>
      <c r="F597" t="n">
        <v>2</v>
      </c>
      <c r="G597" t="n">
        <v>3</v>
      </c>
      <c r="H597" t="inlineStr">
        <is>
          <t>HIGH</t>
        </is>
      </c>
      <c r="I597" t="n">
        <v>13.1</v>
      </c>
      <c r="J597" t="inlineStr">
        <is>
          <t>NO</t>
        </is>
      </c>
      <c r="K597" t="inlineStr">
        <is>
          <t>2026-02-26 00:15</t>
        </is>
      </c>
      <c r="L597" t="inlineStr">
        <is>
          <t>CHECK_VENDOR</t>
        </is>
      </c>
      <c r="M597" t="inlineStr">
        <is>
          <t>See CVE details</t>
        </is>
      </c>
      <c r="N597" t="inlineStr">
        <is>
          <t>P3</t>
        </is>
      </c>
      <c r="O597" t="inlineStr">
        <is>
          <t>CVE - IP enrichment n/a</t>
        </is>
      </c>
      <c r="P597" t="n">
        <v>0</v>
      </c>
      <c r="Q597" t="n">
        <v>0</v>
      </c>
      <c r="R597" t="inlineStr">
        <is>
          <t>T1189:Drive-by Compromise</t>
        </is>
      </c>
      <c r="S597" t="n">
        <v>1</v>
      </c>
      <c r="T597" t="inlineStr">
        <is>
          <t>LOW (40%)</t>
        </is>
      </c>
      <c r="U597" t="inlineStr">
        <is>
          <t>UNLIKELY</t>
        </is>
      </c>
      <c r="V597" t="inlineStr">
        <is>
          <t>CHECK_VENDOR</t>
        </is>
      </c>
      <c r="W597" t="inlineStr">
        <is>
          <t>https://nvd.nist.gov/vuln/detail/CVE-2025-68848</t>
        </is>
      </c>
      <c r="X597" t="inlineStr">
        <is>
          <t>NONE</t>
        </is>
      </c>
      <c r="Y597" t="n">
        <v>0</v>
      </c>
      <c r="Z597" t="inlineStr"/>
      <c r="AA597" t="inlineStr">
        <is>
          <t>https://nvd.nist.gov/vuln/detail/CVE-2025-68848</t>
        </is>
      </c>
    </row>
    <row r="598">
      <c r="A598" t="inlineStr">
        <is>
          <t>CVE</t>
        </is>
      </c>
      <c r="B598" t="inlineStr">
        <is>
          <t>CVE-2025-68852</t>
        </is>
      </c>
      <c r="C598" t="inlineStr">
        <is>
          <t>Improper Neutralization of Input During Web Page Generation ('Cross-site Scripting') vulnerability in webmuehle Court Reservation court-reservation allows Reflected XSS.This issue affects Court Reservation: from n/a through &lt;= 1.10.9.</t>
        </is>
      </c>
      <c r="D598" t="n">
        <v>7.1</v>
      </c>
      <c r="E598" t="inlineStr">
        <is>
          <t>HIGH</t>
        </is>
      </c>
      <c r="F598" t="n">
        <v>2</v>
      </c>
      <c r="G598" t="n">
        <v>3</v>
      </c>
      <c r="H598" t="inlineStr">
        <is>
          <t>HIGH</t>
        </is>
      </c>
      <c r="I598" t="n">
        <v>13.1</v>
      </c>
      <c r="J598" t="inlineStr">
        <is>
          <t>NO</t>
        </is>
      </c>
      <c r="K598" t="inlineStr">
        <is>
          <t>2026-02-26 00:15</t>
        </is>
      </c>
      <c r="L598" t="inlineStr">
        <is>
          <t>CHECK_VENDOR</t>
        </is>
      </c>
      <c r="M598" t="inlineStr">
        <is>
          <t>See CVE details</t>
        </is>
      </c>
      <c r="N598" t="inlineStr">
        <is>
          <t>P3</t>
        </is>
      </c>
      <c r="O598" t="inlineStr">
        <is>
          <t>CVE - IP enrichment n/a</t>
        </is>
      </c>
      <c r="P598" t="n">
        <v>0</v>
      </c>
      <c r="Q598" t="n">
        <v>0</v>
      </c>
      <c r="R598" t="inlineStr">
        <is>
          <t>T1189:Drive-by Compromise</t>
        </is>
      </c>
      <c r="S598" t="n">
        <v>1</v>
      </c>
      <c r="T598" t="inlineStr">
        <is>
          <t>LOW (40%)</t>
        </is>
      </c>
      <c r="U598" t="inlineStr">
        <is>
          <t>UNLIKELY</t>
        </is>
      </c>
      <c r="V598" t="inlineStr">
        <is>
          <t>CHECK_VENDOR</t>
        </is>
      </c>
      <c r="W598" t="inlineStr">
        <is>
          <t>https://nvd.nist.gov/vuln/detail/CVE-2025-68852</t>
        </is>
      </c>
      <c r="X598" t="inlineStr">
        <is>
          <t>NONE</t>
        </is>
      </c>
      <c r="Y598" t="n">
        <v>0</v>
      </c>
      <c r="Z598" t="inlineStr"/>
      <c r="AA598" t="inlineStr">
        <is>
          <t>https://nvd.nist.gov/vuln/detail/CVE-2025-68852</t>
        </is>
      </c>
    </row>
    <row r="599">
      <c r="A599" t="inlineStr">
        <is>
          <t>CVE</t>
        </is>
      </c>
      <c r="B599" t="inlineStr">
        <is>
          <t>CVE-2025-68853</t>
        </is>
      </c>
      <c r="C599" t="inlineStr">
        <is>
          <t>Deserialization of Untrusted Data vulnerability in Kleor Contact Manager contact-manager allows Object Injection.This issue affects Contact Manager: from n/a through &lt;= 9.1.1.</t>
        </is>
      </c>
      <c r="D599" t="n">
        <v>8.800000000000001</v>
      </c>
      <c r="E599" t="inlineStr">
        <is>
          <t>HIGH</t>
        </is>
      </c>
      <c r="F599" t="n">
        <v>2</v>
      </c>
      <c r="G599" t="n">
        <v>3</v>
      </c>
      <c r="H599" t="inlineStr">
        <is>
          <t>HIGH</t>
        </is>
      </c>
      <c r="I599" t="n">
        <v>14.8</v>
      </c>
      <c r="J599" t="inlineStr">
        <is>
          <t>NO</t>
        </is>
      </c>
      <c r="K599" t="inlineStr">
        <is>
          <t>2026-02-26 00:15</t>
        </is>
      </c>
      <c r="L599" t="inlineStr">
        <is>
          <t>CHECK_VENDOR</t>
        </is>
      </c>
      <c r="M599" t="inlineStr">
        <is>
          <t>See CVE details</t>
        </is>
      </c>
      <c r="N599" t="inlineStr">
        <is>
          <t>P3</t>
        </is>
      </c>
      <c r="O599" t="inlineStr">
        <is>
          <t>CVE - IP enrichment n/a</t>
        </is>
      </c>
      <c r="P599" t="n">
        <v>0</v>
      </c>
      <c r="Q599" t="n">
        <v>0</v>
      </c>
      <c r="R599" t="inlineStr">
        <is>
          <t>T1059:Command and Scripting Interpreter</t>
        </is>
      </c>
      <c r="S599" t="n">
        <v>1</v>
      </c>
      <c r="T599" t="inlineStr">
        <is>
          <t>LOW (40%)</t>
        </is>
      </c>
      <c r="U599" t="inlineStr">
        <is>
          <t>UNLIKELY</t>
        </is>
      </c>
      <c r="V599" t="inlineStr">
        <is>
          <t>CHECK_VENDOR</t>
        </is>
      </c>
      <c r="W599" t="inlineStr">
        <is>
          <t>https://nvd.nist.gov/vuln/detail/CVE-2025-68853</t>
        </is>
      </c>
      <c r="X599" t="inlineStr">
        <is>
          <t>NONE</t>
        </is>
      </c>
      <c r="Y599" t="n">
        <v>0</v>
      </c>
      <c r="Z599" t="inlineStr"/>
      <c r="AA599" t="inlineStr">
        <is>
          <t>https://nvd.nist.gov/vuln/detail/CVE-2025-68853</t>
        </is>
      </c>
    </row>
    <row r="600">
      <c r="A600" t="inlineStr">
        <is>
          <t>CVE</t>
        </is>
      </c>
      <c r="B600" t="inlineStr">
        <is>
          <t>CVE-2025-68854</t>
        </is>
      </c>
      <c r="C600" t="inlineStr">
        <is>
          <t>Improper Neutralization of Input During Web Page Generation ('Cross-site Scripting') vulnerability in harman79 ID Arrays id-arrays allows DOM-Based XSS.This issue affects ID Arrays: from n/a through &lt;= 2.1.2.</t>
        </is>
      </c>
      <c r="D600" t="n">
        <v>7.1</v>
      </c>
      <c r="E600" t="inlineStr">
        <is>
          <t>HIGH</t>
        </is>
      </c>
      <c r="F600" t="n">
        <v>2</v>
      </c>
      <c r="G600" t="n">
        <v>3</v>
      </c>
      <c r="H600" t="inlineStr">
        <is>
          <t>HIGH</t>
        </is>
      </c>
      <c r="I600" t="n">
        <v>13.1</v>
      </c>
      <c r="J600" t="inlineStr">
        <is>
          <t>NO</t>
        </is>
      </c>
      <c r="K600" t="inlineStr">
        <is>
          <t>2026-02-26 00:15</t>
        </is>
      </c>
      <c r="L600" t="inlineStr">
        <is>
          <t>CHECK_VENDOR</t>
        </is>
      </c>
      <c r="M600" t="inlineStr">
        <is>
          <t>See CVE details</t>
        </is>
      </c>
      <c r="N600" t="inlineStr">
        <is>
          <t>P3</t>
        </is>
      </c>
      <c r="O600" t="inlineStr">
        <is>
          <t>CVE - IP enrichment n/a</t>
        </is>
      </c>
      <c r="P600" t="n">
        <v>0</v>
      </c>
      <c r="Q600" t="n">
        <v>0</v>
      </c>
      <c r="R600" t="inlineStr">
        <is>
          <t>T1189:Drive-by Compromise</t>
        </is>
      </c>
      <c r="S600" t="n">
        <v>1</v>
      </c>
      <c r="T600" t="inlineStr">
        <is>
          <t>LOW (40%)</t>
        </is>
      </c>
      <c r="U600" t="inlineStr">
        <is>
          <t>UNLIKELY</t>
        </is>
      </c>
      <c r="V600" t="inlineStr">
        <is>
          <t>CHECK_VENDOR</t>
        </is>
      </c>
      <c r="W600" t="inlineStr">
        <is>
          <t>https://nvd.nist.gov/vuln/detail/CVE-2025-68854</t>
        </is>
      </c>
      <c r="X600" t="inlineStr">
        <is>
          <t>NONE</t>
        </is>
      </c>
      <c r="Y600" t="n">
        <v>0</v>
      </c>
      <c r="Z600" t="inlineStr"/>
      <c r="AA600" t="inlineStr">
        <is>
          <t>https://nvd.nist.gov/vuln/detail/CVE-2025-68854</t>
        </is>
      </c>
    </row>
    <row r="601">
      <c r="A601" t="inlineStr">
        <is>
          <t>CVE</t>
        </is>
      </c>
      <c r="B601" t="inlineStr">
        <is>
          <t>CVE-2025-68855</t>
        </is>
      </c>
      <c r="C601" t="inlineStr">
        <is>
          <t>Insertion of Sensitive Information Into Sent Data vulnerability in themeglow JobBoard Job listing job-board-light allows Retrieve Embedded Sensitive Data.This issue affects JobBoard Job listing: from n/a through &lt;= 1.2.8.</t>
        </is>
      </c>
      <c r="D601" t="n">
        <v>5.9</v>
      </c>
      <c r="E601" t="inlineStr">
        <is>
          <t>MEDIUM</t>
        </is>
      </c>
      <c r="F601" t="n">
        <v>2</v>
      </c>
      <c r="G601" t="n">
        <v>2</v>
      </c>
      <c r="H601" t="inlineStr">
        <is>
          <t>MEDIUM</t>
        </is>
      </c>
      <c r="I601" t="n">
        <v>9.9</v>
      </c>
      <c r="J601" t="inlineStr">
        <is>
          <t>NO</t>
        </is>
      </c>
      <c r="K601" t="inlineStr">
        <is>
          <t>2026-02-26 00:15</t>
        </is>
      </c>
      <c r="L601" t="inlineStr">
        <is>
          <t>CHECK_VENDOR</t>
        </is>
      </c>
      <c r="M601" t="inlineStr">
        <is>
          <t>See CVE details</t>
        </is>
      </c>
      <c r="N601" t="inlineStr">
        <is>
          <t>P4</t>
        </is>
      </c>
      <c r="O601" t="inlineStr">
        <is>
          <t>CVE - IP enrichment n/a</t>
        </is>
      </c>
      <c r="P601" t="n">
        <v>0</v>
      </c>
      <c r="Q601" t="n">
        <v>0</v>
      </c>
      <c r="R601" t="inlineStr">
        <is>
          <t>T1190:Exploit Public-Facing Application</t>
        </is>
      </c>
      <c r="S601" t="n">
        <v>1</v>
      </c>
      <c r="T601" t="inlineStr">
        <is>
          <t>LOW (40%)</t>
        </is>
      </c>
      <c r="U601" t="inlineStr">
        <is>
          <t>UNLIKELY</t>
        </is>
      </c>
      <c r="V601" t="inlineStr">
        <is>
          <t>CHECK_VENDOR</t>
        </is>
      </c>
      <c r="W601" t="inlineStr">
        <is>
          <t>https://nvd.nist.gov/vuln/detail/CVE-2025-68855</t>
        </is>
      </c>
      <c r="X601" t="inlineStr">
        <is>
          <t>NONE</t>
        </is>
      </c>
      <c r="Y601" t="n">
        <v>0</v>
      </c>
      <c r="Z601" t="inlineStr"/>
      <c r="AA601" t="inlineStr">
        <is>
          <t>https://nvd.nist.gov/vuln/detail/CVE-2025-68855</t>
        </is>
      </c>
    </row>
    <row r="602">
      <c r="A602" t="inlineStr">
        <is>
          <t>CVE</t>
        </is>
      </c>
      <c r="B602" t="inlineStr">
        <is>
          <t>CVE-2025-68856</t>
        </is>
      </c>
      <c r="C602" t="inlineStr">
        <is>
          <t>Improper Neutralization of Input During Web Page Generation ('Cross-site Scripting') vulnerability in keeswolters Mopinion Feedback Form mopinion-feedback-form allows DOM-Based XSS.This issue affects Mopinion Feedback Form: from n/a through &lt;= 1.1.1.</t>
        </is>
      </c>
      <c r="D602" t="n">
        <v>7.1</v>
      </c>
      <c r="E602" t="inlineStr">
        <is>
          <t>HIGH</t>
        </is>
      </c>
      <c r="F602" t="n">
        <v>2</v>
      </c>
      <c r="G602" t="n">
        <v>3</v>
      </c>
      <c r="H602" t="inlineStr">
        <is>
          <t>HIGH</t>
        </is>
      </c>
      <c r="I602" t="n">
        <v>13.1</v>
      </c>
      <c r="J602" t="inlineStr">
        <is>
          <t>NO</t>
        </is>
      </c>
      <c r="K602" t="inlineStr">
        <is>
          <t>2026-02-26 00:15</t>
        </is>
      </c>
      <c r="L602" t="inlineStr">
        <is>
          <t>CHECK_VENDOR</t>
        </is>
      </c>
      <c r="M602" t="inlineStr">
        <is>
          <t>See CVE details</t>
        </is>
      </c>
      <c r="N602" t="inlineStr">
        <is>
          <t>P3</t>
        </is>
      </c>
      <c r="O602" t="inlineStr">
        <is>
          <t>CVE - IP enrichment n/a</t>
        </is>
      </c>
      <c r="P602" t="n">
        <v>0</v>
      </c>
      <c r="Q602" t="n">
        <v>0</v>
      </c>
      <c r="R602" t="inlineStr">
        <is>
          <t>T1189:Drive-by Compromise</t>
        </is>
      </c>
      <c r="S602" t="n">
        <v>1</v>
      </c>
      <c r="T602" t="inlineStr">
        <is>
          <t>LOW (40%)</t>
        </is>
      </c>
      <c r="U602" t="inlineStr">
        <is>
          <t>UNLIKELY</t>
        </is>
      </c>
      <c r="V602" t="inlineStr">
        <is>
          <t>CHECK_VENDOR</t>
        </is>
      </c>
      <c r="W602" t="inlineStr">
        <is>
          <t>https://nvd.nist.gov/vuln/detail/CVE-2025-68856</t>
        </is>
      </c>
      <c r="X602" t="inlineStr">
        <is>
          <t>NONE</t>
        </is>
      </c>
      <c r="Y602" t="n">
        <v>0</v>
      </c>
      <c r="Z602" t="inlineStr"/>
      <c r="AA602" t="inlineStr">
        <is>
          <t>https://nvd.nist.gov/vuln/detail/CVE-2025-68856</t>
        </is>
      </c>
    </row>
    <row r="603">
      <c r="A603" t="inlineStr">
        <is>
          <t>CVE</t>
        </is>
      </c>
      <c r="B603" t="inlineStr">
        <is>
          <t>CVE-2025-68862</t>
        </is>
      </c>
      <c r="C603" t="inlineStr">
        <is>
          <t>Improper Limitation of a Pathname to a Restricted Directory ('Path Traversal') vulnerability in Murtaza Bhurgri Woo File Dropzone woo-file-dropzone allows Path Traversal.This issue affects Woo File Dropzone: from n/a through &lt;= 1.1.7.</t>
        </is>
      </c>
      <c r="D603" t="n">
        <v>7.7</v>
      </c>
      <c r="E603" t="inlineStr">
        <is>
          <t>HIGH</t>
        </is>
      </c>
      <c r="F603" t="n">
        <v>2</v>
      </c>
      <c r="G603" t="n">
        <v>3</v>
      </c>
      <c r="H603" t="inlineStr">
        <is>
          <t>HIGH</t>
        </is>
      </c>
      <c r="I603" t="n">
        <v>13.7</v>
      </c>
      <c r="J603" t="inlineStr">
        <is>
          <t>NO</t>
        </is>
      </c>
      <c r="K603" t="inlineStr">
        <is>
          <t>2026-02-26 00:15</t>
        </is>
      </c>
      <c r="L603" t="inlineStr">
        <is>
          <t>CHECK_VENDOR</t>
        </is>
      </c>
      <c r="M603" t="inlineStr">
        <is>
          <t>See CVE details</t>
        </is>
      </c>
      <c r="N603" t="inlineStr">
        <is>
          <t>P3</t>
        </is>
      </c>
      <c r="O603" t="inlineStr">
        <is>
          <t>CVE - IP enrichment n/a</t>
        </is>
      </c>
      <c r="P603" t="n">
        <v>0</v>
      </c>
      <c r="Q603" t="n">
        <v>0</v>
      </c>
      <c r="R603" t="inlineStr">
        <is>
          <t>T1083:File and Directory Discovery</t>
        </is>
      </c>
      <c r="S603" t="n">
        <v>1</v>
      </c>
      <c r="T603" t="inlineStr">
        <is>
          <t>LOW (40%)</t>
        </is>
      </c>
      <c r="U603" t="inlineStr">
        <is>
          <t>UNLIKELY</t>
        </is>
      </c>
      <c r="V603" t="inlineStr">
        <is>
          <t>CHECK_VENDOR</t>
        </is>
      </c>
      <c r="W603" t="inlineStr">
        <is>
          <t>https://nvd.nist.gov/vuln/detail/CVE-2025-68862</t>
        </is>
      </c>
      <c r="X603" t="inlineStr">
        <is>
          <t>NONE</t>
        </is>
      </c>
      <c r="Y603" t="n">
        <v>0</v>
      </c>
      <c r="Z603" t="inlineStr"/>
      <c r="AA603" t="inlineStr">
        <is>
          <t>https://nvd.nist.gov/vuln/detail/CVE-2025-68862</t>
        </is>
      </c>
    </row>
    <row r="604">
      <c r="A604" t="inlineStr">
        <is>
          <t>CVE</t>
        </is>
      </c>
      <c r="B604" t="inlineStr">
        <is>
          <t>CVE-2025-68863</t>
        </is>
      </c>
      <c r="C604" t="inlineStr">
        <is>
          <t>Improper Neutralization of Input During Web Page Generation ('Cross-site Scripting') vulnerability in Zack Katz iContact for Gravity Forms gravity-forms-icontact allows Reflected XSS.This issue affects iContact for Gravity Forms: from n/a through &lt;= 1.3.2.</t>
        </is>
      </c>
      <c r="D604" t="n">
        <v>7.1</v>
      </c>
      <c r="E604" t="inlineStr">
        <is>
          <t>HIGH</t>
        </is>
      </c>
      <c r="F604" t="n">
        <v>2</v>
      </c>
      <c r="G604" t="n">
        <v>3</v>
      </c>
      <c r="H604" t="inlineStr">
        <is>
          <t>HIGH</t>
        </is>
      </c>
      <c r="I604" t="n">
        <v>13.1</v>
      </c>
      <c r="J604" t="inlineStr">
        <is>
          <t>NO</t>
        </is>
      </c>
      <c r="K604" t="inlineStr">
        <is>
          <t>2026-02-26 00:15</t>
        </is>
      </c>
      <c r="L604" t="inlineStr">
        <is>
          <t>CHECK_VENDOR</t>
        </is>
      </c>
      <c r="M604" t="inlineStr">
        <is>
          <t>See CVE details</t>
        </is>
      </c>
      <c r="N604" t="inlineStr">
        <is>
          <t>P3</t>
        </is>
      </c>
      <c r="O604" t="inlineStr">
        <is>
          <t>CVE - IP enrichment n/a</t>
        </is>
      </c>
      <c r="P604" t="n">
        <v>0.0003</v>
      </c>
      <c r="Q604" t="n">
        <v>0.0951</v>
      </c>
      <c r="R604" t="inlineStr">
        <is>
          <t>T1189:Drive-by Compromise</t>
        </is>
      </c>
      <c r="S604" t="n">
        <v>1</v>
      </c>
      <c r="T604" t="inlineStr">
        <is>
          <t>LOW (40%)</t>
        </is>
      </c>
      <c r="U604" t="inlineStr">
        <is>
          <t>UNLIKELY</t>
        </is>
      </c>
      <c r="V604" t="inlineStr">
        <is>
          <t>CHECK_VENDOR</t>
        </is>
      </c>
      <c r="W604" t="inlineStr">
        <is>
          <t>https://nvd.nist.gov/vuln/detail/CVE-2025-68863</t>
        </is>
      </c>
      <c r="X604" t="inlineStr">
        <is>
          <t>NONE</t>
        </is>
      </c>
      <c r="Y604" t="n">
        <v>0</v>
      </c>
      <c r="Z604" t="inlineStr"/>
      <c r="AA604" t="inlineStr">
        <is>
          <t>https://nvd.nist.gov/vuln/detail/CVE-2025-68863</t>
        </is>
      </c>
    </row>
    <row r="605">
      <c r="A605" t="inlineStr">
        <is>
          <t>CVE</t>
        </is>
      </c>
      <c r="B605" t="inlineStr">
        <is>
          <t>CVE-2025-68880</t>
        </is>
      </c>
      <c r="C605" t="inlineStr">
        <is>
          <t>Improper Neutralization of Input During Web Page Generation ('Cross-site Scripting') vulnerability in peterwsterling Simple Archive Generator simple-archive-generator allows Reflected XSS.This issue affects Simple Archive Generator: from n/a through &lt;= 5.2.</t>
        </is>
      </c>
      <c r="D605" t="n">
        <v>7.1</v>
      </c>
      <c r="E605" t="inlineStr">
        <is>
          <t>HIGH</t>
        </is>
      </c>
      <c r="F605" t="n">
        <v>2</v>
      </c>
      <c r="G605" t="n">
        <v>3</v>
      </c>
      <c r="H605" t="inlineStr">
        <is>
          <t>HIGH</t>
        </is>
      </c>
      <c r="I605" t="n">
        <v>13.1</v>
      </c>
      <c r="J605" t="inlineStr">
        <is>
          <t>NO</t>
        </is>
      </c>
      <c r="K605" t="inlineStr">
        <is>
          <t>2026-02-26 00:15</t>
        </is>
      </c>
      <c r="L605" t="inlineStr">
        <is>
          <t>CHECK_VENDOR</t>
        </is>
      </c>
      <c r="M605" t="inlineStr">
        <is>
          <t>See CVE details</t>
        </is>
      </c>
      <c r="N605" t="inlineStr">
        <is>
          <t>P3</t>
        </is>
      </c>
      <c r="O605" t="inlineStr">
        <is>
          <t>CVE - IP enrichment n/a</t>
        </is>
      </c>
      <c r="P605" t="n">
        <v>0</v>
      </c>
      <c r="Q605" t="n">
        <v>0</v>
      </c>
      <c r="R605" t="inlineStr">
        <is>
          <t>T1189:Drive-by Compromise</t>
        </is>
      </c>
      <c r="S605" t="n">
        <v>1</v>
      </c>
      <c r="T605" t="inlineStr">
        <is>
          <t>LOW (40%)</t>
        </is>
      </c>
      <c r="U605" t="inlineStr">
        <is>
          <t>UNLIKELY</t>
        </is>
      </c>
      <c r="V605" t="inlineStr">
        <is>
          <t>CHECK_VENDOR</t>
        </is>
      </c>
      <c r="W605" t="inlineStr">
        <is>
          <t>https://nvd.nist.gov/vuln/detail/CVE-2025-68880</t>
        </is>
      </c>
      <c r="X605" t="inlineStr">
        <is>
          <t>NONE</t>
        </is>
      </c>
      <c r="Y605" t="n">
        <v>0</v>
      </c>
      <c r="Z605" t="inlineStr"/>
      <c r="AA605" t="inlineStr">
        <is>
          <t>https://nvd.nist.gov/vuln/detail/CVE-2025-68880</t>
        </is>
      </c>
    </row>
    <row r="606">
      <c r="A606" t="inlineStr">
        <is>
          <t>CVE</t>
        </is>
      </c>
      <c r="B606" t="inlineStr">
        <is>
          <t>CVE-2025-68895</t>
        </is>
      </c>
      <c r="C606" t="inlineStr">
        <is>
          <t>Authentication Bypass Using an Alternate Path or Channel vulnerability in ahachat AhaChat Messenger Marketing ahachat-messenger-marketing allows Password Recovery Exploitation.This issue affects AhaChat Messenger Marketing: from n/a through &lt;= 1.1.</t>
        </is>
      </c>
      <c r="D606" t="n">
        <v>5</v>
      </c>
      <c r="E606" t="inlineStr">
        <is>
          <t>MEDIUM</t>
        </is>
      </c>
      <c r="F606" t="n">
        <v>2</v>
      </c>
      <c r="G606" t="n">
        <v>2</v>
      </c>
      <c r="H606" t="inlineStr">
        <is>
          <t>MEDIUM</t>
        </is>
      </c>
      <c r="I606" t="n">
        <v>9</v>
      </c>
      <c r="J606" t="inlineStr">
        <is>
          <t>NO</t>
        </is>
      </c>
      <c r="K606" t="inlineStr">
        <is>
          <t>2026-02-26 00:15</t>
        </is>
      </c>
      <c r="L606" t="inlineStr">
        <is>
          <t>CHECK_VENDOR</t>
        </is>
      </c>
      <c r="M606" t="inlineStr">
        <is>
          <t>See CVE details</t>
        </is>
      </c>
      <c r="N606" t="inlineStr">
        <is>
          <t>P4</t>
        </is>
      </c>
      <c r="O606" t="inlineStr">
        <is>
          <t>CVE - IP enrichment n/a</t>
        </is>
      </c>
      <c r="P606" t="n">
        <v>0</v>
      </c>
      <c r="Q606" t="n">
        <v>0</v>
      </c>
      <c r="R606" t="inlineStr">
        <is>
          <t>T1078:Valid Accounts</t>
        </is>
      </c>
      <c r="S606" t="n">
        <v>1</v>
      </c>
      <c r="T606" t="inlineStr">
        <is>
          <t>LOW (40%)</t>
        </is>
      </c>
      <c r="U606" t="inlineStr">
        <is>
          <t>UNLIKELY</t>
        </is>
      </c>
      <c r="V606" t="inlineStr">
        <is>
          <t>CHECK_VENDOR</t>
        </is>
      </c>
      <c r="W606" t="inlineStr">
        <is>
          <t>https://nvd.nist.gov/vuln/detail/CVE-2025-68895</t>
        </is>
      </c>
      <c r="X606" t="inlineStr">
        <is>
          <t>NONE</t>
        </is>
      </c>
      <c r="Y606" t="n">
        <v>0</v>
      </c>
      <c r="Z606" t="inlineStr"/>
      <c r="AA606" t="inlineStr">
        <is>
          <t>https://nvd.nist.gov/vuln/detail/CVE-2025-68895</t>
        </is>
      </c>
    </row>
    <row r="607">
      <c r="A607" t="inlineStr">
        <is>
          <t>CVE</t>
        </is>
      </c>
      <c r="B607" t="inlineStr">
        <is>
          <t>CVE-2025-69011</t>
        </is>
      </c>
      <c r="C607" t="inlineStr">
        <is>
          <t>Improper Neutralization of Input During Web Page Generation ('Cross-site Scripting') vulnerability in WPKube Cool Tag Cloud cool-tag-cloud allows Stored XSS.This issue affects Cool Tag Cloud: from n/a through &lt;= 2.29.</t>
        </is>
      </c>
      <c r="D607" t="n">
        <v>6.5</v>
      </c>
      <c r="E607" t="inlineStr">
        <is>
          <t>MEDIUM</t>
        </is>
      </c>
      <c r="F607" t="n">
        <v>2</v>
      </c>
      <c r="G607" t="n">
        <v>2</v>
      </c>
      <c r="H607" t="inlineStr">
        <is>
          <t>MEDIUM</t>
        </is>
      </c>
      <c r="I607" t="n">
        <v>10.5</v>
      </c>
      <c r="J607" t="inlineStr">
        <is>
          <t>NO</t>
        </is>
      </c>
      <c r="K607" t="inlineStr">
        <is>
          <t>2026-02-26 00:15</t>
        </is>
      </c>
      <c r="L607" t="inlineStr">
        <is>
          <t>CHECK_VENDOR</t>
        </is>
      </c>
      <c r="M607" t="inlineStr">
        <is>
          <t>See CVE details</t>
        </is>
      </c>
      <c r="N607" t="inlineStr">
        <is>
          <t>P4</t>
        </is>
      </c>
      <c r="O607" t="inlineStr">
        <is>
          <t>CVE - IP enrichment n/a</t>
        </is>
      </c>
      <c r="P607" t="n">
        <v>0</v>
      </c>
      <c r="Q607" t="n">
        <v>0</v>
      </c>
      <c r="R607" t="inlineStr">
        <is>
          <t>T1189:Drive-by Compromise</t>
        </is>
      </c>
      <c r="S607" t="n">
        <v>1</v>
      </c>
      <c r="T607" t="inlineStr">
        <is>
          <t>LOW (40%)</t>
        </is>
      </c>
      <c r="U607" t="inlineStr">
        <is>
          <t>UNLIKELY</t>
        </is>
      </c>
      <c r="V607" t="inlineStr">
        <is>
          <t>CHECK_VENDOR</t>
        </is>
      </c>
      <c r="W607" t="inlineStr">
        <is>
          <t>https://nvd.nist.gov/vuln/detail/CVE-2025-69011</t>
        </is>
      </c>
      <c r="X607" t="inlineStr">
        <is>
          <t>NONE</t>
        </is>
      </c>
      <c r="Y607" t="n">
        <v>0</v>
      </c>
      <c r="Z607" t="inlineStr"/>
      <c r="AA607" t="inlineStr">
        <is>
          <t>https://nvd.nist.gov/vuln/detail/CVE-2025-69011</t>
        </is>
      </c>
    </row>
    <row r="608">
      <c r="A608" t="inlineStr">
        <is>
          <t>CVE</t>
        </is>
      </c>
      <c r="B608" t="inlineStr">
        <is>
          <t>CVE-2025-69063</t>
        </is>
      </c>
      <c r="C608" t="inlineStr">
        <is>
          <t>Missing Authorization vulnerability in Saad Iqbal New User Approve new-user-approve allows Exploiting Incorrectly Configured Access Control Security Levels.This issue affects New User Approve: from n/a through &lt;= 3.2.0.</t>
        </is>
      </c>
      <c r="D608" t="n">
        <v>8.6</v>
      </c>
      <c r="E608" t="inlineStr">
        <is>
          <t>HIGH</t>
        </is>
      </c>
      <c r="F608" t="n">
        <v>2</v>
      </c>
      <c r="G608" t="n">
        <v>3</v>
      </c>
      <c r="H608" t="inlineStr">
        <is>
          <t>HIGH</t>
        </is>
      </c>
      <c r="I608" t="n">
        <v>14.6</v>
      </c>
      <c r="J608" t="inlineStr">
        <is>
          <t>NO</t>
        </is>
      </c>
      <c r="K608" t="inlineStr">
        <is>
          <t>2026-02-26 00:15</t>
        </is>
      </c>
      <c r="L608" t="inlineStr">
        <is>
          <t>CHECK_VENDOR</t>
        </is>
      </c>
      <c r="M608" t="inlineStr">
        <is>
          <t>See CVE details</t>
        </is>
      </c>
      <c r="N608" t="inlineStr">
        <is>
          <t>P3</t>
        </is>
      </c>
      <c r="O608" t="inlineStr">
        <is>
          <t>CVE - IP enrichment n/a</t>
        </is>
      </c>
      <c r="P608" t="n">
        <v>0</v>
      </c>
      <c r="Q608" t="n">
        <v>0</v>
      </c>
      <c r="R608" t="inlineStr">
        <is>
          <t>T1190:Exploit Public-Facing Application</t>
        </is>
      </c>
      <c r="S608" t="n">
        <v>1</v>
      </c>
      <c r="T608" t="inlineStr">
        <is>
          <t>LOW (40%)</t>
        </is>
      </c>
      <c r="U608" t="inlineStr">
        <is>
          <t>UNLIKELY</t>
        </is>
      </c>
      <c r="V608" t="inlineStr">
        <is>
          <t>CHECK_VENDOR</t>
        </is>
      </c>
      <c r="W608" t="inlineStr">
        <is>
          <t>https://nvd.nist.gov/vuln/detail/CVE-2025-69063</t>
        </is>
      </c>
      <c r="X608" t="inlineStr">
        <is>
          <t>NONE</t>
        </is>
      </c>
      <c r="Y608" t="n">
        <v>0</v>
      </c>
      <c r="Z608" t="inlineStr"/>
      <c r="AA608" t="inlineStr">
        <is>
          <t>https://nvd.nist.gov/vuln/detail/CVE-2025-69063</t>
        </is>
      </c>
    </row>
    <row r="609">
      <c r="A609" t="inlineStr">
        <is>
          <t>CVE</t>
        </is>
      </c>
      <c r="B609" t="inlineStr">
        <is>
          <t>CVE-2025-69294</t>
        </is>
      </c>
      <c r="C609" t="inlineStr">
        <is>
          <t>Deserialization of Untrusted Data vulnerability in fuelthemes PeakShops peakshops allows Object Injection.This issue affects PeakShops: from n/a through &lt;= 1.5.9.</t>
        </is>
      </c>
      <c r="D609" t="n">
        <v>8.800000000000001</v>
      </c>
      <c r="E609" t="inlineStr">
        <is>
          <t>HIGH</t>
        </is>
      </c>
      <c r="F609" t="n">
        <v>2</v>
      </c>
      <c r="G609" t="n">
        <v>3</v>
      </c>
      <c r="H609" t="inlineStr">
        <is>
          <t>HIGH</t>
        </is>
      </c>
      <c r="I609" t="n">
        <v>14.8</v>
      </c>
      <c r="J609" t="inlineStr">
        <is>
          <t>NO</t>
        </is>
      </c>
      <c r="K609" t="inlineStr">
        <is>
          <t>2026-02-26 00:15</t>
        </is>
      </c>
      <c r="L609" t="inlineStr">
        <is>
          <t>CHECK_VENDOR</t>
        </is>
      </c>
      <c r="M609" t="inlineStr">
        <is>
          <t>See CVE details</t>
        </is>
      </c>
      <c r="N609" t="inlineStr">
        <is>
          <t>P3</t>
        </is>
      </c>
      <c r="O609" t="inlineStr">
        <is>
          <t>CVE - IP enrichment n/a</t>
        </is>
      </c>
      <c r="P609" t="n">
        <v>0</v>
      </c>
      <c r="Q609" t="n">
        <v>0</v>
      </c>
      <c r="R609" t="inlineStr">
        <is>
          <t>T1059:Command and Scripting Interpreter</t>
        </is>
      </c>
      <c r="S609" t="n">
        <v>1</v>
      </c>
      <c r="T609" t="inlineStr">
        <is>
          <t>LOW (40%)</t>
        </is>
      </c>
      <c r="U609" t="inlineStr">
        <is>
          <t>UNLIKELY</t>
        </is>
      </c>
      <c r="V609" t="inlineStr">
        <is>
          <t>CHECK_VENDOR</t>
        </is>
      </c>
      <c r="W609" t="inlineStr">
        <is>
          <t>https://nvd.nist.gov/vuln/detail/CVE-2025-69294</t>
        </is>
      </c>
      <c r="X609" t="inlineStr">
        <is>
          <t>NONE</t>
        </is>
      </c>
      <c r="Y609" t="n">
        <v>0</v>
      </c>
      <c r="Z609" t="inlineStr"/>
      <c r="AA609" t="inlineStr">
        <is>
          <t>https://nvd.nist.gov/vuln/detail/CVE-2025-69294</t>
        </is>
      </c>
    </row>
    <row r="610">
      <c r="A610" t="inlineStr">
        <is>
          <t>CVE</t>
        </is>
      </c>
      <c r="B610" t="inlineStr">
        <is>
          <t>CVE-2025-69295</t>
        </is>
      </c>
      <c r="C610" t="inlineStr">
        <is>
          <t>Improper Neutralization of Special Elements used in an SQL Command ('SQL Injection') vulnerability in TeconceTheme Coven Core coven-core allows Blind SQL Injection.This issue affects Coven Core: from n/a through &lt;= 1.3.</t>
        </is>
      </c>
      <c r="D610" t="n">
        <v>9.300000000000001</v>
      </c>
      <c r="E610" t="inlineStr">
        <is>
          <t>CRITICAL</t>
        </is>
      </c>
      <c r="F610" t="n">
        <v>2</v>
      </c>
      <c r="G610" t="n">
        <v>3</v>
      </c>
      <c r="H610" t="inlineStr">
        <is>
          <t>HIGH</t>
        </is>
      </c>
      <c r="I610" t="n">
        <v>15.3</v>
      </c>
      <c r="J610" t="inlineStr">
        <is>
          <t>NO</t>
        </is>
      </c>
      <c r="K610" t="inlineStr">
        <is>
          <t>2026-02-26 00:15</t>
        </is>
      </c>
      <c r="L610" t="inlineStr">
        <is>
          <t>CHECK_VENDOR</t>
        </is>
      </c>
      <c r="M610" t="inlineStr">
        <is>
          <t>See CVE details</t>
        </is>
      </c>
      <c r="N610" t="inlineStr">
        <is>
          <t>P3</t>
        </is>
      </c>
      <c r="O610" t="inlineStr">
        <is>
          <t>CVE - IP enrichment n/a</t>
        </is>
      </c>
      <c r="P610" t="n">
        <v>0</v>
      </c>
      <c r="Q610" t="n">
        <v>0</v>
      </c>
      <c r="R610" t="inlineStr">
        <is>
          <t>T1190:Exploit Public-Facing Application</t>
        </is>
      </c>
      <c r="S610" t="n">
        <v>1</v>
      </c>
      <c r="T610" t="inlineStr">
        <is>
          <t>LOW (40%)</t>
        </is>
      </c>
      <c r="U610" t="inlineStr">
        <is>
          <t>UNLIKELY</t>
        </is>
      </c>
      <c r="V610" t="inlineStr">
        <is>
          <t>CHECK_VENDOR</t>
        </is>
      </c>
      <c r="W610" t="inlineStr">
        <is>
          <t>https://nvd.nist.gov/vuln/detail/CVE-2025-69295</t>
        </is>
      </c>
      <c r="X610" t="inlineStr">
        <is>
          <t>NONE</t>
        </is>
      </c>
      <c r="Y610" t="n">
        <v>0</v>
      </c>
      <c r="Z610" t="inlineStr"/>
      <c r="AA610" t="inlineStr">
        <is>
          <t>https://nvd.nist.gov/vuln/detail/CVE-2025-69295</t>
        </is>
      </c>
    </row>
    <row r="611">
      <c r="A611" t="inlineStr">
        <is>
          <t>CVE</t>
        </is>
      </c>
      <c r="B611" t="inlineStr">
        <is>
          <t>CVE-2025-69296</t>
        </is>
      </c>
      <c r="C611" t="inlineStr">
        <is>
          <t>Improper Neutralization of Input During Web Page Generation ('Cross-site Scripting') vulnerability in GhostPool Aardvark aardvark allows Reflected XSS.This issue affects Aardvark: from n/a through &lt;= 4.6.3.</t>
        </is>
      </c>
      <c r="D611" t="n">
        <v>7.1</v>
      </c>
      <c r="E611" t="inlineStr">
        <is>
          <t>HIGH</t>
        </is>
      </c>
      <c r="F611" t="n">
        <v>2</v>
      </c>
      <c r="G611" t="n">
        <v>3</v>
      </c>
      <c r="H611" t="inlineStr">
        <is>
          <t>HIGH</t>
        </is>
      </c>
      <c r="I611" t="n">
        <v>13.1</v>
      </c>
      <c r="J611" t="inlineStr">
        <is>
          <t>NO</t>
        </is>
      </c>
      <c r="K611" t="inlineStr">
        <is>
          <t>2026-02-26 00:15</t>
        </is>
      </c>
      <c r="L611" t="inlineStr">
        <is>
          <t>CHECK_VENDOR</t>
        </is>
      </c>
      <c r="M611" t="inlineStr">
        <is>
          <t>See CVE details</t>
        </is>
      </c>
      <c r="N611" t="inlineStr">
        <is>
          <t>P3</t>
        </is>
      </c>
      <c r="O611" t="inlineStr">
        <is>
          <t>CVE - IP enrichment n/a</t>
        </is>
      </c>
      <c r="P611" t="n">
        <v>0</v>
      </c>
      <c r="Q611" t="n">
        <v>0</v>
      </c>
      <c r="R611" t="inlineStr">
        <is>
          <t>T1189:Drive-by Compromise</t>
        </is>
      </c>
      <c r="S611" t="n">
        <v>1</v>
      </c>
      <c r="T611" t="inlineStr">
        <is>
          <t>LOW (40%)</t>
        </is>
      </c>
      <c r="U611" t="inlineStr">
        <is>
          <t>UNLIKELY</t>
        </is>
      </c>
      <c r="V611" t="inlineStr">
        <is>
          <t>CHECK_VENDOR</t>
        </is>
      </c>
      <c r="W611" t="inlineStr">
        <is>
          <t>https://nvd.nist.gov/vuln/detail/CVE-2025-69296</t>
        </is>
      </c>
      <c r="X611" t="inlineStr">
        <is>
          <t>NONE</t>
        </is>
      </c>
      <c r="Y611" t="n">
        <v>0</v>
      </c>
      <c r="Z611" t="inlineStr"/>
      <c r="AA611" t="inlineStr">
        <is>
          <t>https://nvd.nist.gov/vuln/detail/CVE-2025-69296</t>
        </is>
      </c>
    </row>
    <row r="612">
      <c r="A612" t="inlineStr">
        <is>
          <t>CVE</t>
        </is>
      </c>
      <c r="B612" t="inlineStr">
        <is>
          <t>CVE-2025-69297</t>
        </is>
      </c>
      <c r="C612" t="inlineStr">
        <is>
          <t>Missing Authorization vulnerability in GhostPool Aardvark Plugin aardvark-plugin allows Exploiting Incorrectly Configured Access Control Security Levels.This issue affects Aardvark Plugin: from n/a through &lt;= 2.19.</t>
        </is>
      </c>
      <c r="D612" t="n">
        <v>7.5</v>
      </c>
      <c r="E612" t="inlineStr">
        <is>
          <t>HIGH</t>
        </is>
      </c>
      <c r="F612" t="n">
        <v>2</v>
      </c>
      <c r="G612" t="n">
        <v>3</v>
      </c>
      <c r="H612" t="inlineStr">
        <is>
          <t>HIGH</t>
        </is>
      </c>
      <c r="I612" t="n">
        <v>13.5</v>
      </c>
      <c r="J612" t="inlineStr">
        <is>
          <t>NO</t>
        </is>
      </c>
      <c r="K612" t="inlineStr">
        <is>
          <t>2026-02-26 00:15</t>
        </is>
      </c>
      <c r="L612" t="inlineStr">
        <is>
          <t>CHECK_VENDOR</t>
        </is>
      </c>
      <c r="M612" t="inlineStr">
        <is>
          <t>See CVE details</t>
        </is>
      </c>
      <c r="N612" t="inlineStr">
        <is>
          <t>P3</t>
        </is>
      </c>
      <c r="O612" t="inlineStr">
        <is>
          <t>CVE - IP enrichment n/a</t>
        </is>
      </c>
      <c r="P612" t="n">
        <v>0</v>
      </c>
      <c r="Q612" t="n">
        <v>0</v>
      </c>
      <c r="R612" t="inlineStr">
        <is>
          <t>T1190:Exploit Public-Facing Application</t>
        </is>
      </c>
      <c r="S612" t="n">
        <v>1</v>
      </c>
      <c r="T612" t="inlineStr">
        <is>
          <t>LOW (40%)</t>
        </is>
      </c>
      <c r="U612" t="inlineStr">
        <is>
          <t>UNLIKELY</t>
        </is>
      </c>
      <c r="V612" t="inlineStr">
        <is>
          <t>CHECK_VENDOR</t>
        </is>
      </c>
      <c r="W612" t="inlineStr">
        <is>
          <t>https://nvd.nist.gov/vuln/detail/CVE-2025-69297</t>
        </is>
      </c>
      <c r="X612" t="inlineStr">
        <is>
          <t>NONE</t>
        </is>
      </c>
      <c r="Y612" t="n">
        <v>0</v>
      </c>
      <c r="Z612" t="inlineStr"/>
      <c r="AA612" t="inlineStr">
        <is>
          <t>https://nvd.nist.gov/vuln/detail/CVE-2025-69297</t>
        </is>
      </c>
    </row>
    <row r="613">
      <c r="A613" t="inlineStr">
        <is>
          <t>CVE</t>
        </is>
      </c>
      <c r="B613" t="inlineStr">
        <is>
          <t>CVE-2025-69298</t>
        </is>
      </c>
      <c r="C613" t="inlineStr">
        <is>
          <t>Missing Authorization vulnerability in GhostPool Gauge gauge allows Exploiting Incorrectly Configured Access Control Security Levels.This issue affects Gauge: from n/a through &lt;= 6.56.4.</t>
        </is>
      </c>
      <c r="D613" t="n">
        <v>7.5</v>
      </c>
      <c r="E613" t="inlineStr">
        <is>
          <t>HIGH</t>
        </is>
      </c>
      <c r="F613" t="n">
        <v>2</v>
      </c>
      <c r="G613" t="n">
        <v>3</v>
      </c>
      <c r="H613" t="inlineStr">
        <is>
          <t>HIGH</t>
        </is>
      </c>
      <c r="I613" t="n">
        <v>13.5</v>
      </c>
      <c r="J613" t="inlineStr">
        <is>
          <t>NO</t>
        </is>
      </c>
      <c r="K613" t="inlineStr">
        <is>
          <t>2026-02-26 00:15</t>
        </is>
      </c>
      <c r="L613" t="inlineStr">
        <is>
          <t>CHECK_VENDOR</t>
        </is>
      </c>
      <c r="M613" t="inlineStr">
        <is>
          <t>See CVE details</t>
        </is>
      </c>
      <c r="N613" t="inlineStr">
        <is>
          <t>P3</t>
        </is>
      </c>
      <c r="O613" t="inlineStr">
        <is>
          <t>CVE - IP enrichment n/a</t>
        </is>
      </c>
      <c r="P613" t="n">
        <v>0</v>
      </c>
      <c r="Q613" t="n">
        <v>0</v>
      </c>
      <c r="R613" t="inlineStr">
        <is>
          <t>T1190:Exploit Public-Facing Application</t>
        </is>
      </c>
      <c r="S613" t="n">
        <v>1</v>
      </c>
      <c r="T613" t="inlineStr">
        <is>
          <t>LOW (40%)</t>
        </is>
      </c>
      <c r="U613" t="inlineStr">
        <is>
          <t>UNLIKELY</t>
        </is>
      </c>
      <c r="V613" t="inlineStr">
        <is>
          <t>CHECK_VENDOR</t>
        </is>
      </c>
      <c r="W613" t="inlineStr">
        <is>
          <t>https://nvd.nist.gov/vuln/detail/CVE-2025-69298</t>
        </is>
      </c>
      <c r="X613" t="inlineStr">
        <is>
          <t>NONE</t>
        </is>
      </c>
      <c r="Y613" t="n">
        <v>0</v>
      </c>
      <c r="Z613" t="inlineStr"/>
      <c r="AA613" t="inlineStr">
        <is>
          <t>https://nvd.nist.gov/vuln/detail/CVE-2025-69298</t>
        </is>
      </c>
    </row>
    <row r="614">
      <c r="A614" t="inlineStr">
        <is>
          <t>CVE</t>
        </is>
      </c>
      <c r="B614" t="inlineStr">
        <is>
          <t>CVE-2025-69299</t>
        </is>
      </c>
      <c r="C614" t="inlineStr">
        <is>
          <t>Server-Side Request Forgery (SSRF) vulnerability in Laborator Oxygen oxygen allows Server Side Request Forgery.This issue affects Oxygen: from n/a through &lt;= 6.0.8.</t>
        </is>
      </c>
      <c r="D614" t="n">
        <v>7.2</v>
      </c>
      <c r="E614" t="inlineStr">
        <is>
          <t>HIGH</t>
        </is>
      </c>
      <c r="F614" t="n">
        <v>2</v>
      </c>
      <c r="G614" t="n">
        <v>3</v>
      </c>
      <c r="H614" t="inlineStr">
        <is>
          <t>HIGH</t>
        </is>
      </c>
      <c r="I614" t="n">
        <v>13.2</v>
      </c>
      <c r="J614" t="inlineStr">
        <is>
          <t>NO</t>
        </is>
      </c>
      <c r="K614" t="inlineStr">
        <is>
          <t>2026-02-26 00:15</t>
        </is>
      </c>
      <c r="L614" t="inlineStr">
        <is>
          <t>CHECK_VENDOR</t>
        </is>
      </c>
      <c r="M614" t="inlineStr">
        <is>
          <t>See CVE details</t>
        </is>
      </c>
      <c r="N614" t="inlineStr">
        <is>
          <t>P3</t>
        </is>
      </c>
      <c r="O614" t="inlineStr">
        <is>
          <t>CVE - IP enrichment n/a</t>
        </is>
      </c>
      <c r="P614" t="n">
        <v>0</v>
      </c>
      <c r="Q614" t="n">
        <v>0</v>
      </c>
      <c r="R614" t="inlineStr">
        <is>
          <t>T1090:Proxy</t>
        </is>
      </c>
      <c r="S614" t="n">
        <v>1</v>
      </c>
      <c r="T614" t="inlineStr">
        <is>
          <t>LOW (40%)</t>
        </is>
      </c>
      <c r="U614" t="inlineStr">
        <is>
          <t>UNLIKELY</t>
        </is>
      </c>
      <c r="V614" t="inlineStr">
        <is>
          <t>CHECK_VENDOR</t>
        </is>
      </c>
      <c r="W614" t="inlineStr">
        <is>
          <t>https://nvd.nist.gov/vuln/detail/CVE-2025-69299</t>
        </is>
      </c>
      <c r="X614" t="inlineStr">
        <is>
          <t>NONE</t>
        </is>
      </c>
      <c r="Y614" t="n">
        <v>0</v>
      </c>
      <c r="Z614" t="inlineStr"/>
      <c r="AA614" t="inlineStr">
        <is>
          <t>https://nvd.nist.gov/vuln/detail/CVE-2025-69299</t>
        </is>
      </c>
    </row>
    <row r="615">
      <c r="A615" t="inlineStr">
        <is>
          <t>CVE</t>
        </is>
      </c>
      <c r="B615" t="inlineStr">
        <is>
          <t>CVE-2025-69301</t>
        </is>
      </c>
      <c r="C615" t="inlineStr">
        <is>
          <t>Deserialization of Untrusted Data vulnerability in ThemeGoods PhotoMe photome allows Object Injection.This issue affects PhotoMe: from n/a through &lt;= 5.6.11.</t>
        </is>
      </c>
      <c r="D615" t="n">
        <v>9.800000000000001</v>
      </c>
      <c r="E615" t="inlineStr">
        <is>
          <t>CRITICAL</t>
        </is>
      </c>
      <c r="F615" t="n">
        <v>2</v>
      </c>
      <c r="G615" t="n">
        <v>3</v>
      </c>
      <c r="H615" t="inlineStr">
        <is>
          <t>HIGH</t>
        </is>
      </c>
      <c r="I615" t="n">
        <v>15.8</v>
      </c>
      <c r="J615" t="inlineStr">
        <is>
          <t>NO</t>
        </is>
      </c>
      <c r="K615" t="inlineStr">
        <is>
          <t>2026-02-26 00:15</t>
        </is>
      </c>
      <c r="L615" t="inlineStr">
        <is>
          <t>CHECK_VENDOR</t>
        </is>
      </c>
      <c r="M615" t="inlineStr">
        <is>
          <t>See CVE details</t>
        </is>
      </c>
      <c r="N615" t="inlineStr">
        <is>
          <t>P3</t>
        </is>
      </c>
      <c r="O615" t="inlineStr">
        <is>
          <t>CVE - IP enrichment n/a</t>
        </is>
      </c>
      <c r="P615" t="n">
        <v>0</v>
      </c>
      <c r="Q615" t="n">
        <v>0</v>
      </c>
      <c r="R615" t="inlineStr">
        <is>
          <t>T1059:Command and Scripting Interpreter</t>
        </is>
      </c>
      <c r="S615" t="n">
        <v>1</v>
      </c>
      <c r="T615" t="inlineStr">
        <is>
          <t>LOW (40%)</t>
        </is>
      </c>
      <c r="U615" t="inlineStr">
        <is>
          <t>UNLIKELY</t>
        </is>
      </c>
      <c r="V615" t="inlineStr">
        <is>
          <t>CHECK_VENDOR</t>
        </is>
      </c>
      <c r="W615" t="inlineStr">
        <is>
          <t>https://nvd.nist.gov/vuln/detail/CVE-2025-69301</t>
        </is>
      </c>
      <c r="X615" t="inlineStr">
        <is>
          <t>NONE</t>
        </is>
      </c>
      <c r="Y615" t="n">
        <v>0</v>
      </c>
      <c r="Z615" t="inlineStr"/>
      <c r="AA615" t="inlineStr">
        <is>
          <t>https://nvd.nist.gov/vuln/detail/CVE-2025-69301</t>
        </is>
      </c>
    </row>
    <row r="616">
      <c r="A616" t="inlineStr">
        <is>
          <t>CVE</t>
        </is>
      </c>
      <c r="B616" t="inlineStr">
        <is>
          <t>CVE-2025-69302</t>
        </is>
      </c>
      <c r="C616" t="inlineStr">
        <is>
          <t>Improper Neutralization of Input During Web Page Generation ('Cross-site Scripting') vulnerability in designthemes DesignThemes Core Features designthemes-core-features allows Reflected XSS.This issue affects DesignThemes Core Features: from n/a through &lt;= 2.3.</t>
        </is>
      </c>
      <c r="D616" t="n">
        <v>7.1</v>
      </c>
      <c r="E616" t="inlineStr">
        <is>
          <t>HIGH</t>
        </is>
      </c>
      <c r="F616" t="n">
        <v>2</v>
      </c>
      <c r="G616" t="n">
        <v>3</v>
      </c>
      <c r="H616" t="inlineStr">
        <is>
          <t>HIGH</t>
        </is>
      </c>
      <c r="I616" t="n">
        <v>13.1</v>
      </c>
      <c r="J616" t="inlineStr">
        <is>
          <t>NO</t>
        </is>
      </c>
      <c r="K616" t="inlineStr">
        <is>
          <t>2026-02-26 00:15</t>
        </is>
      </c>
      <c r="L616" t="inlineStr">
        <is>
          <t>CHECK_VENDOR</t>
        </is>
      </c>
      <c r="M616" t="inlineStr">
        <is>
          <t>See CVE details</t>
        </is>
      </c>
      <c r="N616" t="inlineStr">
        <is>
          <t>P3</t>
        </is>
      </c>
      <c r="O616" t="inlineStr">
        <is>
          <t>CVE - IP enrichment n/a</t>
        </is>
      </c>
      <c r="P616" t="n">
        <v>0</v>
      </c>
      <c r="Q616" t="n">
        <v>0</v>
      </c>
      <c r="R616" t="inlineStr">
        <is>
          <t>T1189:Drive-by Compromise</t>
        </is>
      </c>
      <c r="S616" t="n">
        <v>1</v>
      </c>
      <c r="T616" t="inlineStr">
        <is>
          <t>LOW (40%)</t>
        </is>
      </c>
      <c r="U616" t="inlineStr">
        <is>
          <t>UNLIKELY</t>
        </is>
      </c>
      <c r="V616" t="inlineStr">
        <is>
          <t>CHECK_VENDOR</t>
        </is>
      </c>
      <c r="W616" t="inlineStr">
        <is>
          <t>https://nvd.nist.gov/vuln/detail/CVE-2025-69302</t>
        </is>
      </c>
      <c r="X616" t="inlineStr">
        <is>
          <t>NONE</t>
        </is>
      </c>
      <c r="Y616" t="n">
        <v>0</v>
      </c>
      <c r="Z616" t="inlineStr"/>
      <c r="AA616" t="inlineStr">
        <is>
          <t>https://nvd.nist.gov/vuln/detail/CVE-2025-69302</t>
        </is>
      </c>
    </row>
    <row r="617">
      <c r="A617" t="inlineStr">
        <is>
          <t>CVE</t>
        </is>
      </c>
      <c r="B617" t="inlineStr">
        <is>
          <t>CVE-2025-69303</t>
        </is>
      </c>
      <c r="C617" t="inlineStr">
        <is>
          <t>Missing Authorization vulnerability in modeltheme ModelTheme Framework modeltheme-framework allows Exploiting Incorrectly Configured Access Control Security Levels.This issue affects ModelTheme Framework: from n/a through &lt;= 1.9.2.</t>
        </is>
      </c>
      <c r="D617" t="n">
        <v>7.5</v>
      </c>
      <c r="E617" t="inlineStr">
        <is>
          <t>HIGH</t>
        </is>
      </c>
      <c r="F617" t="n">
        <v>2</v>
      </c>
      <c r="G617" t="n">
        <v>3</v>
      </c>
      <c r="H617" t="inlineStr">
        <is>
          <t>HIGH</t>
        </is>
      </c>
      <c r="I617" t="n">
        <v>13.5</v>
      </c>
      <c r="J617" t="inlineStr">
        <is>
          <t>NO</t>
        </is>
      </c>
      <c r="K617" t="inlineStr">
        <is>
          <t>2026-02-26 00:15</t>
        </is>
      </c>
      <c r="L617" t="inlineStr">
        <is>
          <t>CHECK_VENDOR</t>
        </is>
      </c>
      <c r="M617" t="inlineStr">
        <is>
          <t>See CVE details</t>
        </is>
      </c>
      <c r="N617" t="inlineStr">
        <is>
          <t>P3</t>
        </is>
      </c>
      <c r="O617" t="inlineStr">
        <is>
          <t>CVE - IP enrichment n/a</t>
        </is>
      </c>
      <c r="P617" t="n">
        <v>0</v>
      </c>
      <c r="Q617" t="n">
        <v>0</v>
      </c>
      <c r="R617" t="inlineStr">
        <is>
          <t>T1190:Exploit Public-Facing Application</t>
        </is>
      </c>
      <c r="S617" t="n">
        <v>1</v>
      </c>
      <c r="T617" t="inlineStr">
        <is>
          <t>LOW (40%)</t>
        </is>
      </c>
      <c r="U617" t="inlineStr">
        <is>
          <t>UNLIKELY</t>
        </is>
      </c>
      <c r="V617" t="inlineStr">
        <is>
          <t>CHECK_VENDOR</t>
        </is>
      </c>
      <c r="W617" t="inlineStr">
        <is>
          <t>https://nvd.nist.gov/vuln/detail/CVE-2025-69303</t>
        </is>
      </c>
      <c r="X617" t="inlineStr">
        <is>
          <t>NONE</t>
        </is>
      </c>
      <c r="Y617" t="n">
        <v>0</v>
      </c>
      <c r="Z617" t="inlineStr"/>
      <c r="AA617" t="inlineStr">
        <is>
          <t>https://nvd.nist.gov/vuln/detail/CVE-2025-69303</t>
        </is>
      </c>
    </row>
    <row r="618">
      <c r="A618" t="inlineStr">
        <is>
          <t>CVE</t>
        </is>
      </c>
      <c r="B618" t="inlineStr">
        <is>
          <t>CVE-2025-69304</t>
        </is>
      </c>
      <c r="C618" t="inlineStr">
        <is>
          <t>Improper Neutralization of Special Elements used in an SQL Command ('SQL Injection') vulnerability in TeconceTheme Allmart allmart-core allows Blind SQL Injection.This issue affects Allmart: from n/a through &lt;= 1.1.</t>
        </is>
      </c>
      <c r="D618" t="n">
        <v>9.300000000000001</v>
      </c>
      <c r="E618" t="inlineStr">
        <is>
          <t>CRITICAL</t>
        </is>
      </c>
      <c r="F618" t="n">
        <v>2</v>
      </c>
      <c r="G618" t="n">
        <v>3</v>
      </c>
      <c r="H618" t="inlineStr">
        <is>
          <t>HIGH</t>
        </is>
      </c>
      <c r="I618" t="n">
        <v>15.3</v>
      </c>
      <c r="J618" t="inlineStr">
        <is>
          <t>NO</t>
        </is>
      </c>
      <c r="K618" t="inlineStr">
        <is>
          <t>2026-02-26 00:15</t>
        </is>
      </c>
      <c r="L618" t="inlineStr">
        <is>
          <t>CHECK_VENDOR</t>
        </is>
      </c>
      <c r="M618" t="inlineStr">
        <is>
          <t>See CVE details</t>
        </is>
      </c>
      <c r="N618" t="inlineStr">
        <is>
          <t>P3</t>
        </is>
      </c>
      <c r="O618" t="inlineStr">
        <is>
          <t>CVE - IP enrichment n/a</t>
        </is>
      </c>
      <c r="P618" t="n">
        <v>0</v>
      </c>
      <c r="Q618" t="n">
        <v>0</v>
      </c>
      <c r="R618" t="inlineStr">
        <is>
          <t>T1190:Exploit Public-Facing Application</t>
        </is>
      </c>
      <c r="S618" t="n">
        <v>1</v>
      </c>
      <c r="T618" t="inlineStr">
        <is>
          <t>LOW (40%)</t>
        </is>
      </c>
      <c r="U618" t="inlineStr">
        <is>
          <t>UNLIKELY</t>
        </is>
      </c>
      <c r="V618" t="inlineStr">
        <is>
          <t>CHECK_VENDOR</t>
        </is>
      </c>
      <c r="W618" t="inlineStr">
        <is>
          <t>https://nvd.nist.gov/vuln/detail/CVE-2025-69304</t>
        </is>
      </c>
      <c r="X618" t="inlineStr">
        <is>
          <t>NONE</t>
        </is>
      </c>
      <c r="Y618" t="n">
        <v>0</v>
      </c>
      <c r="Z618" t="inlineStr"/>
      <c r="AA618" t="inlineStr">
        <is>
          <t>https://nvd.nist.gov/vuln/detail/CVE-2025-69304</t>
        </is>
      </c>
    </row>
    <row r="619">
      <c r="A619" t="inlineStr">
        <is>
          <t>CVE</t>
        </is>
      </c>
      <c r="B619" t="inlineStr">
        <is>
          <t>CVE-2025-69305</t>
        </is>
      </c>
      <c r="C619" t="inlineStr">
        <is>
          <t>Improper Neutralization of Special Elements used in an SQL Command ('SQL Injection') vulnerability in TeconceTheme Crete Core crete-core allows Blind SQL Injection.This issue affects Crete Core: from n/a through &lt;= 1.4.3.</t>
        </is>
      </c>
      <c r="D619" t="n">
        <v>9.300000000000001</v>
      </c>
      <c r="E619" t="inlineStr">
        <is>
          <t>CRITICAL</t>
        </is>
      </c>
      <c r="F619" t="n">
        <v>2</v>
      </c>
      <c r="G619" t="n">
        <v>3</v>
      </c>
      <c r="H619" t="inlineStr">
        <is>
          <t>HIGH</t>
        </is>
      </c>
      <c r="I619" t="n">
        <v>15.3</v>
      </c>
      <c r="J619" t="inlineStr">
        <is>
          <t>NO</t>
        </is>
      </c>
      <c r="K619" t="inlineStr">
        <is>
          <t>2026-02-26 00:15</t>
        </is>
      </c>
      <c r="L619" t="inlineStr">
        <is>
          <t>CHECK_VENDOR</t>
        </is>
      </c>
      <c r="M619" t="inlineStr">
        <is>
          <t>See CVE details</t>
        </is>
      </c>
      <c r="N619" t="inlineStr">
        <is>
          <t>P3</t>
        </is>
      </c>
      <c r="O619" t="inlineStr">
        <is>
          <t>CVE - IP enrichment n/a</t>
        </is>
      </c>
      <c r="P619" t="n">
        <v>0</v>
      </c>
      <c r="Q619" t="n">
        <v>0</v>
      </c>
      <c r="R619" t="inlineStr">
        <is>
          <t>T1190:Exploit Public-Facing Application</t>
        </is>
      </c>
      <c r="S619" t="n">
        <v>1</v>
      </c>
      <c r="T619" t="inlineStr">
        <is>
          <t>LOW (40%)</t>
        </is>
      </c>
      <c r="U619" t="inlineStr">
        <is>
          <t>UNLIKELY</t>
        </is>
      </c>
      <c r="V619" t="inlineStr">
        <is>
          <t>CHECK_VENDOR</t>
        </is>
      </c>
      <c r="W619" t="inlineStr">
        <is>
          <t>https://nvd.nist.gov/vuln/detail/CVE-2025-69305</t>
        </is>
      </c>
      <c r="X619" t="inlineStr">
        <is>
          <t>NONE</t>
        </is>
      </c>
      <c r="Y619" t="n">
        <v>0</v>
      </c>
      <c r="Z619" t="inlineStr"/>
      <c r="AA619" t="inlineStr">
        <is>
          <t>https://nvd.nist.gov/vuln/detail/CVE-2025-69305</t>
        </is>
      </c>
    </row>
    <row r="620">
      <c r="A620" t="inlineStr">
        <is>
          <t>CVE</t>
        </is>
      </c>
      <c r="B620" t="inlineStr">
        <is>
          <t>CVE-2025-69306</t>
        </is>
      </c>
      <c r="C620" t="inlineStr">
        <is>
          <t>Improper Neutralization of Special Elements used in an SQL Command ('SQL Injection') vulnerability in TeconceTheme Electio Core electio-core allows Blind SQL Injection.This issue affects Electio Core: from n/a through &lt;= 1.4.</t>
        </is>
      </c>
      <c r="D620" t="n">
        <v>9.300000000000001</v>
      </c>
      <c r="E620" t="inlineStr">
        <is>
          <t>CRITICAL</t>
        </is>
      </c>
      <c r="F620" t="n">
        <v>2</v>
      </c>
      <c r="G620" t="n">
        <v>3</v>
      </c>
      <c r="H620" t="inlineStr">
        <is>
          <t>HIGH</t>
        </is>
      </c>
      <c r="I620" t="n">
        <v>15.3</v>
      </c>
      <c r="J620" t="inlineStr">
        <is>
          <t>NO</t>
        </is>
      </c>
      <c r="K620" t="inlineStr">
        <is>
          <t>2026-02-26 00:15</t>
        </is>
      </c>
      <c r="L620" t="inlineStr">
        <is>
          <t>CHECK_VENDOR</t>
        </is>
      </c>
      <c r="M620" t="inlineStr">
        <is>
          <t>See CVE details</t>
        </is>
      </c>
      <c r="N620" t="inlineStr">
        <is>
          <t>P3</t>
        </is>
      </c>
      <c r="O620" t="inlineStr">
        <is>
          <t>CVE - IP enrichment n/a</t>
        </is>
      </c>
      <c r="P620" t="n">
        <v>0.0003</v>
      </c>
      <c r="Q620" t="n">
        <v>0.08359999999999999</v>
      </c>
      <c r="R620" t="inlineStr">
        <is>
          <t>T1190:Exploit Public-Facing Application</t>
        </is>
      </c>
      <c r="S620" t="n">
        <v>1</v>
      </c>
      <c r="T620" t="inlineStr">
        <is>
          <t>LOW (40%)</t>
        </is>
      </c>
      <c r="U620" t="inlineStr">
        <is>
          <t>UNLIKELY</t>
        </is>
      </c>
      <c r="V620" t="inlineStr">
        <is>
          <t>CHECK_VENDOR</t>
        </is>
      </c>
      <c r="W620" t="inlineStr">
        <is>
          <t>https://nvd.nist.gov/vuln/detail/CVE-2025-69306</t>
        </is>
      </c>
      <c r="X620" t="inlineStr">
        <is>
          <t>NONE</t>
        </is>
      </c>
      <c r="Y620" t="n">
        <v>0</v>
      </c>
      <c r="Z620" t="inlineStr"/>
      <c r="AA620" t="inlineStr">
        <is>
          <t>https://nvd.nist.gov/vuln/detail/CVE-2025-69306</t>
        </is>
      </c>
    </row>
    <row r="621">
      <c r="A621" t="inlineStr">
        <is>
          <t>CVE</t>
        </is>
      </c>
      <c r="B621" t="inlineStr">
        <is>
          <t>CVE-2025-69307</t>
        </is>
      </c>
      <c r="C621" t="inlineStr">
        <is>
          <t>Improper Neutralization of Special Elements used in an SQL Command ('SQL Injection') vulnerability in TeconceTheme Medinik Core medinik-core allows Blind SQL Injection.This issue affects Medinik Core: from n/a through &lt;= 1.3.6.</t>
        </is>
      </c>
      <c r="D621" t="n">
        <v>9.300000000000001</v>
      </c>
      <c r="E621" t="inlineStr">
        <is>
          <t>CRITICAL</t>
        </is>
      </c>
      <c r="F621" t="n">
        <v>2</v>
      </c>
      <c r="G621" t="n">
        <v>3</v>
      </c>
      <c r="H621" t="inlineStr">
        <is>
          <t>HIGH</t>
        </is>
      </c>
      <c r="I621" t="n">
        <v>15.3</v>
      </c>
      <c r="J621" t="inlineStr">
        <is>
          <t>NO</t>
        </is>
      </c>
      <c r="K621" t="inlineStr">
        <is>
          <t>2026-02-26 00:15</t>
        </is>
      </c>
      <c r="L621" t="inlineStr">
        <is>
          <t>CHECK_VENDOR</t>
        </is>
      </c>
      <c r="M621" t="inlineStr">
        <is>
          <t>See CVE details</t>
        </is>
      </c>
      <c r="N621" t="inlineStr">
        <is>
          <t>P3</t>
        </is>
      </c>
      <c r="O621" t="inlineStr">
        <is>
          <t>CVE - IP enrichment n/a</t>
        </is>
      </c>
      <c r="P621" t="n">
        <v>0.0003</v>
      </c>
      <c r="Q621" t="n">
        <v>0.08359999999999999</v>
      </c>
      <c r="R621" t="inlineStr">
        <is>
          <t>T1190:Exploit Public-Facing Application</t>
        </is>
      </c>
      <c r="S621" t="n">
        <v>1</v>
      </c>
      <c r="T621" t="inlineStr">
        <is>
          <t>LOW (40%)</t>
        </is>
      </c>
      <c r="U621" t="inlineStr">
        <is>
          <t>UNLIKELY</t>
        </is>
      </c>
      <c r="V621" t="inlineStr">
        <is>
          <t>CHECK_VENDOR</t>
        </is>
      </c>
      <c r="W621" t="inlineStr">
        <is>
          <t>https://nvd.nist.gov/vuln/detail/CVE-2025-69307</t>
        </is>
      </c>
      <c r="X621" t="inlineStr">
        <is>
          <t>NONE</t>
        </is>
      </c>
      <c r="Y621" t="n">
        <v>0</v>
      </c>
      <c r="Z621" t="inlineStr"/>
      <c r="AA621" t="inlineStr">
        <is>
          <t>https://nvd.nist.gov/vuln/detail/CVE-2025-69307</t>
        </is>
      </c>
    </row>
    <row r="622">
      <c r="A622" t="inlineStr">
        <is>
          <t>CVE</t>
        </is>
      </c>
      <c r="B622" t="inlineStr">
        <is>
          <t>CVE-2025-69308</t>
        </is>
      </c>
      <c r="C622" t="inlineStr">
        <is>
          <t>Improper Neutralization of Special Elements used in an SQL Command ('SQL Injection') vulnerability in TeconceTheme Nestbyte Core nestbyte-core allows Blind SQL Injection.This issue affects Nestbyte Core: from n/a through &lt;= 1.2.</t>
        </is>
      </c>
      <c r="D622" t="n">
        <v>9.300000000000001</v>
      </c>
      <c r="E622" t="inlineStr">
        <is>
          <t>CRITICAL</t>
        </is>
      </c>
      <c r="F622" t="n">
        <v>2</v>
      </c>
      <c r="G622" t="n">
        <v>3</v>
      </c>
      <c r="H622" t="inlineStr">
        <is>
          <t>HIGH</t>
        </is>
      </c>
      <c r="I622" t="n">
        <v>15.3</v>
      </c>
      <c r="J622" t="inlineStr">
        <is>
          <t>NO</t>
        </is>
      </c>
      <c r="K622" t="inlineStr">
        <is>
          <t>2026-02-26 00:15</t>
        </is>
      </c>
      <c r="L622" t="inlineStr">
        <is>
          <t>CHECK_VENDOR</t>
        </is>
      </c>
      <c r="M622" t="inlineStr">
        <is>
          <t>See CVE details</t>
        </is>
      </c>
      <c r="N622" t="inlineStr">
        <is>
          <t>P3</t>
        </is>
      </c>
      <c r="O622" t="inlineStr">
        <is>
          <t>CVE - IP enrichment n/a</t>
        </is>
      </c>
      <c r="P622" t="n">
        <v>0</v>
      </c>
      <c r="Q622" t="n">
        <v>0</v>
      </c>
      <c r="R622" t="inlineStr">
        <is>
          <t>T1190:Exploit Public-Facing Application</t>
        </is>
      </c>
      <c r="S622" t="n">
        <v>1</v>
      </c>
      <c r="T622" t="inlineStr">
        <is>
          <t>LOW (40%)</t>
        </is>
      </c>
      <c r="U622" t="inlineStr">
        <is>
          <t>UNLIKELY</t>
        </is>
      </c>
      <c r="V622" t="inlineStr">
        <is>
          <t>CHECK_VENDOR</t>
        </is>
      </c>
      <c r="W622" t="inlineStr">
        <is>
          <t>https://nvd.nist.gov/vuln/detail/CVE-2025-69308</t>
        </is>
      </c>
      <c r="X622" t="inlineStr">
        <is>
          <t>NONE</t>
        </is>
      </c>
      <c r="Y622" t="n">
        <v>0</v>
      </c>
      <c r="Z622" t="inlineStr"/>
      <c r="AA622" t="inlineStr">
        <is>
          <t>https://nvd.nist.gov/vuln/detail/CVE-2025-69308</t>
        </is>
      </c>
    </row>
    <row r="623">
      <c r="A623" t="inlineStr">
        <is>
          <t>CVE</t>
        </is>
      </c>
      <c r="B623" t="inlineStr">
        <is>
          <t>CVE-2025-69309</t>
        </is>
      </c>
      <c r="C623" t="inlineStr">
        <is>
          <t>Improper Neutralization of Special Elements used in an SQL Command ('SQL Injection') vulnerability in TeconceTheme Saasplate Core saasplate-core allows Blind SQL Injection.This issue affects Saasplate Core: from n/a through &lt;= 1.2.8.</t>
        </is>
      </c>
      <c r="D623" t="n">
        <v>9.300000000000001</v>
      </c>
      <c r="E623" t="inlineStr">
        <is>
          <t>CRITICAL</t>
        </is>
      </c>
      <c r="F623" t="n">
        <v>2</v>
      </c>
      <c r="G623" t="n">
        <v>3</v>
      </c>
      <c r="H623" t="inlineStr">
        <is>
          <t>HIGH</t>
        </is>
      </c>
      <c r="I623" t="n">
        <v>15.3</v>
      </c>
      <c r="J623" t="inlineStr">
        <is>
          <t>NO</t>
        </is>
      </c>
      <c r="K623" t="inlineStr">
        <is>
          <t>2026-02-26 00:15</t>
        </is>
      </c>
      <c r="L623" t="inlineStr">
        <is>
          <t>CHECK_VENDOR</t>
        </is>
      </c>
      <c r="M623" t="inlineStr">
        <is>
          <t>See CVE details</t>
        </is>
      </c>
      <c r="N623" t="inlineStr">
        <is>
          <t>P3</t>
        </is>
      </c>
      <c r="O623" t="inlineStr">
        <is>
          <t>CVE - IP enrichment n/a</t>
        </is>
      </c>
      <c r="P623" t="n">
        <v>0.0003</v>
      </c>
      <c r="Q623" t="n">
        <v>0.08359999999999999</v>
      </c>
      <c r="R623" t="inlineStr">
        <is>
          <t>T1190:Exploit Public-Facing Application</t>
        </is>
      </c>
      <c r="S623" t="n">
        <v>1</v>
      </c>
      <c r="T623" t="inlineStr">
        <is>
          <t>LOW (40%)</t>
        </is>
      </c>
      <c r="U623" t="inlineStr">
        <is>
          <t>UNLIKELY</t>
        </is>
      </c>
      <c r="V623" t="inlineStr">
        <is>
          <t>CHECK_VENDOR</t>
        </is>
      </c>
      <c r="W623" t="inlineStr">
        <is>
          <t>https://nvd.nist.gov/vuln/detail/CVE-2025-69309</t>
        </is>
      </c>
      <c r="X623" t="inlineStr">
        <is>
          <t>NONE</t>
        </is>
      </c>
      <c r="Y623" t="n">
        <v>0</v>
      </c>
      <c r="Z623" t="inlineStr"/>
      <c r="AA623" t="inlineStr">
        <is>
          <t>https://nvd.nist.gov/vuln/detail/CVE-2025-69309</t>
        </is>
      </c>
    </row>
    <row r="624">
      <c r="A624" t="inlineStr">
        <is>
          <t>CVE</t>
        </is>
      </c>
      <c r="B624" t="inlineStr">
        <is>
          <t>CVE-2025-69310</t>
        </is>
      </c>
      <c r="C624" t="inlineStr">
        <is>
          <t>Improper Neutralization of Special Elements used in an SQL Command ('SQL Injection') vulnerability in TeconceTheme Woodly Core woodly-core allows Blind SQL Injection.This issue affects Woodly Core: from n/a through &lt;= 1.4.</t>
        </is>
      </c>
      <c r="D624" t="n">
        <v>9.300000000000001</v>
      </c>
      <c r="E624" t="inlineStr">
        <is>
          <t>CRITICAL</t>
        </is>
      </c>
      <c r="F624" t="n">
        <v>2</v>
      </c>
      <c r="G624" t="n">
        <v>3</v>
      </c>
      <c r="H624" t="inlineStr">
        <is>
          <t>HIGH</t>
        </is>
      </c>
      <c r="I624" t="n">
        <v>15.3</v>
      </c>
      <c r="J624" t="inlineStr">
        <is>
          <t>NO</t>
        </is>
      </c>
      <c r="K624" t="inlineStr">
        <is>
          <t>2026-02-26 00:15</t>
        </is>
      </c>
      <c r="L624" t="inlineStr">
        <is>
          <t>CHECK_VENDOR</t>
        </is>
      </c>
      <c r="M624" t="inlineStr">
        <is>
          <t>See CVE details</t>
        </is>
      </c>
      <c r="N624" t="inlineStr">
        <is>
          <t>P3</t>
        </is>
      </c>
      <c r="O624" t="inlineStr">
        <is>
          <t>CVE - IP enrichment n/a</t>
        </is>
      </c>
      <c r="P624" t="n">
        <v>0</v>
      </c>
      <c r="Q624" t="n">
        <v>0</v>
      </c>
      <c r="R624" t="inlineStr">
        <is>
          <t>T1190:Exploit Public-Facing Application</t>
        </is>
      </c>
      <c r="S624" t="n">
        <v>1</v>
      </c>
      <c r="T624" t="inlineStr">
        <is>
          <t>LOW (40%)</t>
        </is>
      </c>
      <c r="U624" t="inlineStr">
        <is>
          <t>UNLIKELY</t>
        </is>
      </c>
      <c r="V624" t="inlineStr">
        <is>
          <t>CHECK_VENDOR</t>
        </is>
      </c>
      <c r="W624" t="inlineStr">
        <is>
          <t>https://nvd.nist.gov/vuln/detail/CVE-2025-69310</t>
        </is>
      </c>
      <c r="X624" t="inlineStr">
        <is>
          <t>NONE</t>
        </is>
      </c>
      <c r="Y624" t="n">
        <v>0</v>
      </c>
      <c r="Z624" t="inlineStr"/>
      <c r="AA624" t="inlineStr">
        <is>
          <t>https://nvd.nist.gov/vuln/detail/CVE-2025-69310</t>
        </is>
      </c>
    </row>
    <row r="625">
      <c r="A625" t="inlineStr">
        <is>
          <t>CVE</t>
        </is>
      </c>
      <c r="B625" t="inlineStr">
        <is>
          <t>CVE-2025-69322</t>
        </is>
      </c>
      <c r="C625" t="inlineStr">
        <is>
          <t>Improper Control of Filename for Include/Require Statement in PHP Program ('PHP Remote File Inclusion') vulnerability in fuelthemes PeakShops peakshops allows PHP Local File Inclusion.This issue affects PeakShops: from n/a through &lt; 1.5.9.</t>
        </is>
      </c>
      <c r="D625" t="n">
        <v>8.1</v>
      </c>
      <c r="E625" t="inlineStr">
        <is>
          <t>HIGH</t>
        </is>
      </c>
      <c r="F625" t="n">
        <v>2</v>
      </c>
      <c r="G625" t="n">
        <v>3</v>
      </c>
      <c r="H625" t="inlineStr">
        <is>
          <t>HIGH</t>
        </is>
      </c>
      <c r="I625" t="n">
        <v>14.1</v>
      </c>
      <c r="J625" t="inlineStr">
        <is>
          <t>NO</t>
        </is>
      </c>
      <c r="K625" t="inlineStr">
        <is>
          <t>2026-02-26 00:15</t>
        </is>
      </c>
      <c r="L625" t="inlineStr">
        <is>
          <t>CHECK_VENDOR</t>
        </is>
      </c>
      <c r="M625" t="inlineStr">
        <is>
          <t>See CVE details</t>
        </is>
      </c>
      <c r="N625" t="inlineStr">
        <is>
          <t>P3</t>
        </is>
      </c>
      <c r="O625" t="inlineStr">
        <is>
          <t>CVE - IP enrichment n/a</t>
        </is>
      </c>
      <c r="P625" t="n">
        <v>0</v>
      </c>
      <c r="Q625" t="n">
        <v>0</v>
      </c>
      <c r="R625" t="inlineStr">
        <is>
          <t>T1190:Exploit Public-Facing Application</t>
        </is>
      </c>
      <c r="S625" t="n">
        <v>1</v>
      </c>
      <c r="T625" t="inlineStr">
        <is>
          <t>LOW (40%)</t>
        </is>
      </c>
      <c r="U625" t="inlineStr">
        <is>
          <t>UNLIKELY</t>
        </is>
      </c>
      <c r="V625" t="inlineStr">
        <is>
          <t>CHECK_VENDOR</t>
        </is>
      </c>
      <c r="W625" t="inlineStr">
        <is>
          <t>https://nvd.nist.gov/vuln/detail/CVE-2025-69322</t>
        </is>
      </c>
      <c r="X625" t="inlineStr">
        <is>
          <t>NONE</t>
        </is>
      </c>
      <c r="Y625" t="n">
        <v>0</v>
      </c>
      <c r="Z625" t="inlineStr"/>
      <c r="AA625" t="inlineStr">
        <is>
          <t>https://nvd.nist.gov/vuln/detail/CVE-2025-69322</t>
        </is>
      </c>
    </row>
    <row r="626">
      <c r="A626" t="inlineStr">
        <is>
          <t>CVE</t>
        </is>
      </c>
      <c r="B626" t="inlineStr">
        <is>
          <t>CVE-2025-69323</t>
        </is>
      </c>
      <c r="C626" t="inlineStr">
        <is>
          <t>Improper Neutralization of Input During Web Page Generation ('Cross-site Scripting') vulnerability in VeronaLabs Slimstat Analytics wp-slimstat allows Reflected XSS.This issue affects Slimstat Analytics: from n/a through &lt;= 5.3.2.</t>
        </is>
      </c>
      <c r="D626" t="n">
        <v>7.1</v>
      </c>
      <c r="E626" t="inlineStr">
        <is>
          <t>HIGH</t>
        </is>
      </c>
      <c r="F626" t="n">
        <v>2</v>
      </c>
      <c r="G626" t="n">
        <v>3</v>
      </c>
      <c r="H626" t="inlineStr">
        <is>
          <t>HIGH</t>
        </is>
      </c>
      <c r="I626" t="n">
        <v>13.1</v>
      </c>
      <c r="J626" t="inlineStr">
        <is>
          <t>NO</t>
        </is>
      </c>
      <c r="K626" t="inlineStr">
        <is>
          <t>2026-02-26 00:15</t>
        </is>
      </c>
      <c r="L626" t="inlineStr">
        <is>
          <t>CHECK_VENDOR</t>
        </is>
      </c>
      <c r="M626" t="inlineStr">
        <is>
          <t>See CVE details</t>
        </is>
      </c>
      <c r="N626" t="inlineStr">
        <is>
          <t>P3</t>
        </is>
      </c>
      <c r="O626" t="inlineStr">
        <is>
          <t>CVE - IP enrichment n/a</t>
        </is>
      </c>
      <c r="P626" t="n">
        <v>0</v>
      </c>
      <c r="Q626" t="n">
        <v>0</v>
      </c>
      <c r="R626" t="inlineStr">
        <is>
          <t>T1189:Drive-by Compromise</t>
        </is>
      </c>
      <c r="S626" t="n">
        <v>1</v>
      </c>
      <c r="T626" t="inlineStr">
        <is>
          <t>LOW (40%)</t>
        </is>
      </c>
      <c r="U626" t="inlineStr">
        <is>
          <t>UNLIKELY</t>
        </is>
      </c>
      <c r="V626" t="inlineStr">
        <is>
          <t>CHECK_VENDOR</t>
        </is>
      </c>
      <c r="W626" t="inlineStr">
        <is>
          <t>https://nvd.nist.gov/vuln/detail/CVE-2025-69323</t>
        </is>
      </c>
      <c r="X626" t="inlineStr">
        <is>
          <t>NONE</t>
        </is>
      </c>
      <c r="Y626" t="n">
        <v>0</v>
      </c>
      <c r="Z626" t="inlineStr"/>
      <c r="AA626" t="inlineStr">
        <is>
          <t>https://nvd.nist.gov/vuln/detail/CVE-2025-69323</t>
        </is>
      </c>
    </row>
    <row r="627">
      <c r="A627" t="inlineStr">
        <is>
          <t>CVE</t>
        </is>
      </c>
      <c r="B627" t="inlineStr">
        <is>
          <t>CVE-2025-69324</t>
        </is>
      </c>
      <c r="C627" t="inlineStr">
        <is>
          <t>Improper Neutralization of Input During Web Page Generation ('Cross-site Scripting') vulnerability in Basix NEX-Forms nex-forms-express-wp-form-builder allows Stored XSS.This issue affects NEX-Forms: from n/a through &lt;= 9.1.7.</t>
        </is>
      </c>
      <c r="D627" t="n">
        <v>7.1</v>
      </c>
      <c r="E627" t="inlineStr">
        <is>
          <t>HIGH</t>
        </is>
      </c>
      <c r="F627" t="n">
        <v>2</v>
      </c>
      <c r="G627" t="n">
        <v>3</v>
      </c>
      <c r="H627" t="inlineStr">
        <is>
          <t>HIGH</t>
        </is>
      </c>
      <c r="I627" t="n">
        <v>13.1</v>
      </c>
      <c r="J627" t="inlineStr">
        <is>
          <t>NO</t>
        </is>
      </c>
      <c r="K627" t="inlineStr">
        <is>
          <t>2026-02-26 00:15</t>
        </is>
      </c>
      <c r="L627" t="inlineStr">
        <is>
          <t>CHECK_VENDOR</t>
        </is>
      </c>
      <c r="M627" t="inlineStr">
        <is>
          <t>See CVE details</t>
        </is>
      </c>
      <c r="N627" t="inlineStr">
        <is>
          <t>P3</t>
        </is>
      </c>
      <c r="O627" t="inlineStr">
        <is>
          <t>CVE - IP enrichment n/a</t>
        </is>
      </c>
      <c r="P627" t="n">
        <v>0</v>
      </c>
      <c r="Q627" t="n">
        <v>0</v>
      </c>
      <c r="R627" t="inlineStr">
        <is>
          <t>T1189:Drive-by Compromise</t>
        </is>
      </c>
      <c r="S627" t="n">
        <v>1</v>
      </c>
      <c r="T627" t="inlineStr">
        <is>
          <t>LOW (40%)</t>
        </is>
      </c>
      <c r="U627" t="inlineStr">
        <is>
          <t>UNLIKELY</t>
        </is>
      </c>
      <c r="V627" t="inlineStr">
        <is>
          <t>CHECK_VENDOR</t>
        </is>
      </c>
      <c r="W627" t="inlineStr">
        <is>
          <t>https://nvd.nist.gov/vuln/detail/CVE-2025-69324</t>
        </is>
      </c>
      <c r="X627" t="inlineStr">
        <is>
          <t>NONE</t>
        </is>
      </c>
      <c r="Y627" t="n">
        <v>0</v>
      </c>
      <c r="Z627" t="inlineStr"/>
      <c r="AA627" t="inlineStr">
        <is>
          <t>https://nvd.nist.gov/vuln/detail/CVE-2025-69324</t>
        </is>
      </c>
    </row>
    <row r="628">
      <c r="A628" t="inlineStr">
        <is>
          <t>CVE</t>
        </is>
      </c>
      <c r="B628" t="inlineStr">
        <is>
          <t>CVE-2025-69325</t>
        </is>
      </c>
      <c r="C628" t="inlineStr">
        <is>
          <t>Path Traversal: '.../...//' vulnerability in primersoftware Primer MyData for Woocommerce primer-mydata allows Path Traversal.This issue affects Primer MyData for Woocommerce: from n/a through &lt;= 4.2.8.</t>
        </is>
      </c>
      <c r="D628" t="n">
        <v>5.3</v>
      </c>
      <c r="E628" t="inlineStr">
        <is>
          <t>MEDIUM</t>
        </is>
      </c>
      <c r="F628" t="n">
        <v>2</v>
      </c>
      <c r="G628" t="n">
        <v>2</v>
      </c>
      <c r="H628" t="inlineStr">
        <is>
          <t>MEDIUM</t>
        </is>
      </c>
      <c r="I628" t="n">
        <v>9.300000000000001</v>
      </c>
      <c r="J628" t="inlineStr">
        <is>
          <t>NO</t>
        </is>
      </c>
      <c r="K628" t="inlineStr">
        <is>
          <t>2026-02-26 00:15</t>
        </is>
      </c>
      <c r="L628" t="inlineStr">
        <is>
          <t>CHECK_VENDOR</t>
        </is>
      </c>
      <c r="M628" t="inlineStr">
        <is>
          <t>See CVE details</t>
        </is>
      </c>
      <c r="N628" t="inlineStr">
        <is>
          <t>P4</t>
        </is>
      </c>
      <c r="O628" t="inlineStr">
        <is>
          <t>CVE - IP enrichment n/a</t>
        </is>
      </c>
      <c r="P628" t="n">
        <v>0</v>
      </c>
      <c r="Q628" t="n">
        <v>0</v>
      </c>
      <c r="R628" t="inlineStr">
        <is>
          <t>T1190:Exploit Public-Facing Application | T1083:File and Directory Discovery</t>
        </is>
      </c>
      <c r="S628" t="n">
        <v>1</v>
      </c>
      <c r="T628" t="inlineStr">
        <is>
          <t>LOW (40%)</t>
        </is>
      </c>
      <c r="U628" t="inlineStr">
        <is>
          <t>UNLIKELY</t>
        </is>
      </c>
      <c r="V628" t="inlineStr">
        <is>
          <t>CHECK_VENDOR</t>
        </is>
      </c>
      <c r="W628" t="inlineStr">
        <is>
          <t>https://nvd.nist.gov/vuln/detail/CVE-2025-69325</t>
        </is>
      </c>
      <c r="X628" t="inlineStr">
        <is>
          <t>NONE</t>
        </is>
      </c>
      <c r="Y628" t="n">
        <v>0</v>
      </c>
      <c r="Z628" t="inlineStr"/>
      <c r="AA628" t="inlineStr">
        <is>
          <t>https://nvd.nist.gov/vuln/detail/CVE-2025-69325</t>
        </is>
      </c>
    </row>
    <row r="629">
      <c r="A629" t="inlineStr">
        <is>
          <t>CVE</t>
        </is>
      </c>
      <c r="B629" t="inlineStr">
        <is>
          <t>CVE-2025-69326</t>
        </is>
      </c>
      <c r="C629" t="inlineStr">
        <is>
          <t>Improper Neutralization of Input During Web Page Generation ('Cross-site Scripting') vulnerability in Basix NEX-Forms nex-forms-express-wp-form-builder allows Reflected XSS.This issue affects NEX-Forms: from n/a through &lt;= 9.1.7.</t>
        </is>
      </c>
      <c r="D629" t="n">
        <v>7.1</v>
      </c>
      <c r="E629" t="inlineStr">
        <is>
          <t>HIGH</t>
        </is>
      </c>
      <c r="F629" t="n">
        <v>2</v>
      </c>
      <c r="G629" t="n">
        <v>3</v>
      </c>
      <c r="H629" t="inlineStr">
        <is>
          <t>HIGH</t>
        </is>
      </c>
      <c r="I629" t="n">
        <v>13.1</v>
      </c>
      <c r="J629" t="inlineStr">
        <is>
          <t>NO</t>
        </is>
      </c>
      <c r="K629" t="inlineStr">
        <is>
          <t>2026-02-26 00:15</t>
        </is>
      </c>
      <c r="L629" t="inlineStr">
        <is>
          <t>CHECK_VENDOR</t>
        </is>
      </c>
      <c r="M629" t="inlineStr">
        <is>
          <t>See CVE details</t>
        </is>
      </c>
      <c r="N629" t="inlineStr">
        <is>
          <t>P3</t>
        </is>
      </c>
      <c r="O629" t="inlineStr">
        <is>
          <t>CVE - IP enrichment n/a</t>
        </is>
      </c>
      <c r="P629" t="n">
        <v>0</v>
      </c>
      <c r="Q629" t="n">
        <v>0</v>
      </c>
      <c r="R629" t="inlineStr">
        <is>
          <t>T1189:Drive-by Compromise</t>
        </is>
      </c>
      <c r="S629" t="n">
        <v>1</v>
      </c>
      <c r="T629" t="inlineStr">
        <is>
          <t>LOW (40%)</t>
        </is>
      </c>
      <c r="U629" t="inlineStr">
        <is>
          <t>UNLIKELY</t>
        </is>
      </c>
      <c r="V629" t="inlineStr">
        <is>
          <t>CHECK_VENDOR</t>
        </is>
      </c>
      <c r="W629" t="inlineStr">
        <is>
          <t>https://nvd.nist.gov/vuln/detail/CVE-2025-69326</t>
        </is>
      </c>
      <c r="X629" t="inlineStr">
        <is>
          <t>NONE</t>
        </is>
      </c>
      <c r="Y629" t="n">
        <v>0</v>
      </c>
      <c r="Z629" t="inlineStr"/>
      <c r="AA629" t="inlineStr">
        <is>
          <t>https://nvd.nist.gov/vuln/detail/CVE-2025-69326</t>
        </is>
      </c>
    </row>
    <row r="630">
      <c r="A630" t="inlineStr">
        <is>
          <t>CVE</t>
        </is>
      </c>
      <c r="B630" t="inlineStr">
        <is>
          <t>CVE-2025-69328</t>
        </is>
      </c>
      <c r="C630" t="inlineStr">
        <is>
          <t>Deserialization of Untrusted Data vulnerability in magepeopleteam Booking and Rental Manager booking-and-rental-manager-for-woocommerce allows Object Injection.This issue affects Booking and Rental Manager: from n/a through &lt;= 2.5.9.</t>
        </is>
      </c>
      <c r="D630" t="n">
        <v>8.800000000000001</v>
      </c>
      <c r="E630" t="inlineStr">
        <is>
          <t>HIGH</t>
        </is>
      </c>
      <c r="F630" t="n">
        <v>2</v>
      </c>
      <c r="G630" t="n">
        <v>3</v>
      </c>
      <c r="H630" t="inlineStr">
        <is>
          <t>HIGH</t>
        </is>
      </c>
      <c r="I630" t="n">
        <v>14.8</v>
      </c>
      <c r="J630" t="inlineStr">
        <is>
          <t>NO</t>
        </is>
      </c>
      <c r="K630" t="inlineStr">
        <is>
          <t>2026-02-26 00:15</t>
        </is>
      </c>
      <c r="L630" t="inlineStr">
        <is>
          <t>CHECK_VENDOR</t>
        </is>
      </c>
      <c r="M630" t="inlineStr">
        <is>
          <t>See CVE details</t>
        </is>
      </c>
      <c r="N630" t="inlineStr">
        <is>
          <t>P3</t>
        </is>
      </c>
      <c r="O630" t="inlineStr">
        <is>
          <t>CVE - IP enrichment n/a</t>
        </is>
      </c>
      <c r="P630" t="n">
        <v>0.0005</v>
      </c>
      <c r="Q630" t="n">
        <v>0.148</v>
      </c>
      <c r="R630" t="inlineStr">
        <is>
          <t>T1059:Command and Scripting Interpreter | T1190:Exploit Public-Facing Application</t>
        </is>
      </c>
      <c r="S630" t="n">
        <v>1</v>
      </c>
      <c r="T630" t="inlineStr">
        <is>
          <t>LOW (40%)</t>
        </is>
      </c>
      <c r="U630" t="inlineStr">
        <is>
          <t>UNLIKELY</t>
        </is>
      </c>
      <c r="V630" t="inlineStr">
        <is>
          <t>CHECK_VENDOR</t>
        </is>
      </c>
      <c r="W630" t="inlineStr">
        <is>
          <t>https://nvd.nist.gov/vuln/detail/CVE-2025-69328</t>
        </is>
      </c>
      <c r="X630" t="inlineStr">
        <is>
          <t>NONE</t>
        </is>
      </c>
      <c r="Y630" t="n">
        <v>0</v>
      </c>
      <c r="Z630" t="inlineStr"/>
      <c r="AA630" t="inlineStr">
        <is>
          <t>https://nvd.nist.gov/vuln/detail/CVE-2025-69328</t>
        </is>
      </c>
    </row>
    <row r="631">
      <c r="A631" t="inlineStr">
        <is>
          <t>CVE</t>
        </is>
      </c>
      <c r="B631" t="inlineStr">
        <is>
          <t>CVE-2025-69329</t>
        </is>
      </c>
      <c r="C631" t="inlineStr">
        <is>
          <t>Deserialization of Untrusted Data vulnerability in Jthemes Prestige prestige allows Object Injection.This issue affects Prestige: from n/a through &lt; 1.4.1.</t>
        </is>
      </c>
      <c r="D631" t="n">
        <v>9.800000000000001</v>
      </c>
      <c r="E631" t="inlineStr">
        <is>
          <t>CRITICAL</t>
        </is>
      </c>
      <c r="F631" t="n">
        <v>2</v>
      </c>
      <c r="G631" t="n">
        <v>3</v>
      </c>
      <c r="H631" t="inlineStr">
        <is>
          <t>HIGH</t>
        </is>
      </c>
      <c r="I631" t="n">
        <v>15.8</v>
      </c>
      <c r="J631" t="inlineStr">
        <is>
          <t>NO</t>
        </is>
      </c>
      <c r="K631" t="inlineStr">
        <is>
          <t>2026-02-26 00:15</t>
        </is>
      </c>
      <c r="L631" t="inlineStr">
        <is>
          <t>CHECK_VENDOR</t>
        </is>
      </c>
      <c r="M631" t="inlineStr">
        <is>
          <t>See CVE details</t>
        </is>
      </c>
      <c r="N631" t="inlineStr">
        <is>
          <t>P3</t>
        </is>
      </c>
      <c r="O631" t="inlineStr">
        <is>
          <t>CVE - IP enrichment n/a</t>
        </is>
      </c>
      <c r="P631" t="n">
        <v>0</v>
      </c>
      <c r="Q631" t="n">
        <v>0</v>
      </c>
      <c r="R631" t="inlineStr">
        <is>
          <t>T1059:Command and Scripting Interpreter</t>
        </is>
      </c>
      <c r="S631" t="n">
        <v>1</v>
      </c>
      <c r="T631" t="inlineStr">
        <is>
          <t>LOW (40%)</t>
        </is>
      </c>
      <c r="U631" t="inlineStr">
        <is>
          <t>UNLIKELY</t>
        </is>
      </c>
      <c r="V631" t="inlineStr">
        <is>
          <t>CHECK_VENDOR</t>
        </is>
      </c>
      <c r="W631" t="inlineStr">
        <is>
          <t>https://nvd.nist.gov/vuln/detail/CVE-2025-69329</t>
        </is>
      </c>
      <c r="X631" t="inlineStr">
        <is>
          <t>NONE</t>
        </is>
      </c>
      <c r="Y631" t="n">
        <v>0</v>
      </c>
      <c r="Z631" t="inlineStr"/>
      <c r="AA631" t="inlineStr">
        <is>
          <t>https://nvd.nist.gov/vuln/detail/CVE-2025-69329</t>
        </is>
      </c>
    </row>
    <row r="632">
      <c r="A632" t="inlineStr">
        <is>
          <t>CVE</t>
        </is>
      </c>
      <c r="B632" t="inlineStr">
        <is>
          <t>CVE-2025-69330</t>
        </is>
      </c>
      <c r="C632" t="inlineStr">
        <is>
          <t>Improper Neutralization of Input During Web Page Generation ('Cross-site Scripting') vulnerability in Jthemes Prestige prestige allows Reflected XSS.This issue affects Prestige: from n/a through &lt; 1.4.1.</t>
        </is>
      </c>
      <c r="D632" t="n">
        <v>7.1</v>
      </c>
      <c r="E632" t="inlineStr">
        <is>
          <t>HIGH</t>
        </is>
      </c>
      <c r="F632" t="n">
        <v>2</v>
      </c>
      <c r="G632" t="n">
        <v>3</v>
      </c>
      <c r="H632" t="inlineStr">
        <is>
          <t>HIGH</t>
        </is>
      </c>
      <c r="I632" t="n">
        <v>13.1</v>
      </c>
      <c r="J632" t="inlineStr">
        <is>
          <t>NO</t>
        </is>
      </c>
      <c r="K632" t="inlineStr">
        <is>
          <t>2026-02-26 00:15</t>
        </is>
      </c>
      <c r="L632" t="inlineStr">
        <is>
          <t>CHECK_VENDOR</t>
        </is>
      </c>
      <c r="M632" t="inlineStr">
        <is>
          <t>See CVE details</t>
        </is>
      </c>
      <c r="N632" t="inlineStr">
        <is>
          <t>P3</t>
        </is>
      </c>
      <c r="O632" t="inlineStr">
        <is>
          <t>CVE - IP enrichment n/a</t>
        </is>
      </c>
      <c r="P632" t="n">
        <v>0</v>
      </c>
      <c r="Q632" t="n">
        <v>0</v>
      </c>
      <c r="R632" t="inlineStr">
        <is>
          <t>T1189:Drive-by Compromise</t>
        </is>
      </c>
      <c r="S632" t="n">
        <v>1</v>
      </c>
      <c r="T632" t="inlineStr">
        <is>
          <t>LOW (40%)</t>
        </is>
      </c>
      <c r="U632" t="inlineStr">
        <is>
          <t>UNLIKELY</t>
        </is>
      </c>
      <c r="V632" t="inlineStr">
        <is>
          <t>CHECK_VENDOR</t>
        </is>
      </c>
      <c r="W632" t="inlineStr">
        <is>
          <t>https://nvd.nist.gov/vuln/detail/CVE-2025-69330</t>
        </is>
      </c>
      <c r="X632" t="inlineStr">
        <is>
          <t>NONE</t>
        </is>
      </c>
      <c r="Y632" t="n">
        <v>0</v>
      </c>
      <c r="Z632" t="inlineStr"/>
      <c r="AA632" t="inlineStr">
        <is>
          <t>https://nvd.nist.gov/vuln/detail/CVE-2025-69330</t>
        </is>
      </c>
    </row>
    <row r="633">
      <c r="A633" t="inlineStr">
        <is>
          <t>CVE</t>
        </is>
      </c>
      <c r="B633" t="inlineStr">
        <is>
          <t>CVE-2025-69337</t>
        </is>
      </c>
      <c r="C633" t="inlineStr">
        <is>
          <t>Improper Neutralization of Special Elements used in an SQL Command ('SQL Injection') vulnerability in don-themes Wolmart Core wolmart-core allows Blind SQL Injection.This issue affects Wolmart Core: from n/a through &lt;= 1.9.6.</t>
        </is>
      </c>
      <c r="D633" t="n">
        <v>9.300000000000001</v>
      </c>
      <c r="E633" t="inlineStr">
        <is>
          <t>CRITICAL</t>
        </is>
      </c>
      <c r="F633" t="n">
        <v>2</v>
      </c>
      <c r="G633" t="n">
        <v>3</v>
      </c>
      <c r="H633" t="inlineStr">
        <is>
          <t>HIGH</t>
        </is>
      </c>
      <c r="I633" t="n">
        <v>15.3</v>
      </c>
      <c r="J633" t="inlineStr">
        <is>
          <t>NO</t>
        </is>
      </c>
      <c r="K633" t="inlineStr">
        <is>
          <t>2026-02-26 00:15</t>
        </is>
      </c>
      <c r="L633" t="inlineStr">
        <is>
          <t>CHECK_VENDOR</t>
        </is>
      </c>
      <c r="M633" t="inlineStr">
        <is>
          <t>See CVE details</t>
        </is>
      </c>
      <c r="N633" t="inlineStr">
        <is>
          <t>P3</t>
        </is>
      </c>
      <c r="O633" t="inlineStr">
        <is>
          <t>CVE - IP enrichment n/a</t>
        </is>
      </c>
      <c r="P633" t="n">
        <v>0</v>
      </c>
      <c r="Q633" t="n">
        <v>0</v>
      </c>
      <c r="R633" t="inlineStr">
        <is>
          <t>T1190:Exploit Public-Facing Application</t>
        </is>
      </c>
      <c r="S633" t="n">
        <v>1</v>
      </c>
      <c r="T633" t="inlineStr">
        <is>
          <t>LOW (40%)</t>
        </is>
      </c>
      <c r="U633" t="inlineStr">
        <is>
          <t>UNLIKELY</t>
        </is>
      </c>
      <c r="V633" t="inlineStr">
        <is>
          <t>CHECK_VENDOR</t>
        </is>
      </c>
      <c r="W633" t="inlineStr">
        <is>
          <t>https://nvd.nist.gov/vuln/detail/CVE-2025-69337</t>
        </is>
      </c>
      <c r="X633" t="inlineStr">
        <is>
          <t>NONE</t>
        </is>
      </c>
      <c r="Y633" t="n">
        <v>0</v>
      </c>
      <c r="Z633" t="inlineStr"/>
      <c r="AA633" t="inlineStr">
        <is>
          <t>https://nvd.nist.gov/vuln/detail/CVE-2025-69337</t>
        </is>
      </c>
    </row>
    <row r="634">
      <c r="A634" t="inlineStr">
        <is>
          <t>CVE</t>
        </is>
      </c>
      <c r="B634" t="inlineStr">
        <is>
          <t>CVE-2025-69365</t>
        </is>
      </c>
      <c r="C634" t="inlineStr">
        <is>
          <t>Improper Neutralization of Special Elements used in an SQL Command ('SQL Injection') vulnerability in TeconceTheme Uroan Core uroan-core allows Blind SQL Injection.This issue affects Uroan Core: from n/a through &lt;= 1.4.4.</t>
        </is>
      </c>
      <c r="D634" t="n">
        <v>9.300000000000001</v>
      </c>
      <c r="E634" t="inlineStr">
        <is>
          <t>CRITICAL</t>
        </is>
      </c>
      <c r="F634" t="n">
        <v>2</v>
      </c>
      <c r="G634" t="n">
        <v>3</v>
      </c>
      <c r="H634" t="inlineStr">
        <is>
          <t>HIGH</t>
        </is>
      </c>
      <c r="I634" t="n">
        <v>15.3</v>
      </c>
      <c r="J634" t="inlineStr">
        <is>
          <t>NO</t>
        </is>
      </c>
      <c r="K634" t="inlineStr">
        <is>
          <t>2026-02-26 00:15</t>
        </is>
      </c>
      <c r="L634" t="inlineStr">
        <is>
          <t>CHECK_VENDOR</t>
        </is>
      </c>
      <c r="M634" t="inlineStr">
        <is>
          <t>See CVE details</t>
        </is>
      </c>
      <c r="N634" t="inlineStr">
        <is>
          <t>P3</t>
        </is>
      </c>
      <c r="O634" t="inlineStr">
        <is>
          <t>CVE - IP enrichment n/a</t>
        </is>
      </c>
      <c r="P634" t="n">
        <v>0</v>
      </c>
      <c r="Q634" t="n">
        <v>0</v>
      </c>
      <c r="R634" t="inlineStr">
        <is>
          <t>T1190:Exploit Public-Facing Application</t>
        </is>
      </c>
      <c r="S634" t="n">
        <v>1</v>
      </c>
      <c r="T634" t="inlineStr">
        <is>
          <t>LOW (40%)</t>
        </is>
      </c>
      <c r="U634" t="inlineStr">
        <is>
          <t>UNLIKELY</t>
        </is>
      </c>
      <c r="V634" t="inlineStr">
        <is>
          <t>CHECK_VENDOR</t>
        </is>
      </c>
      <c r="W634" t="inlineStr">
        <is>
          <t>https://nvd.nist.gov/vuln/detail/CVE-2025-69365</t>
        </is>
      </c>
      <c r="X634" t="inlineStr">
        <is>
          <t>NONE</t>
        </is>
      </c>
      <c r="Y634" t="n">
        <v>0</v>
      </c>
      <c r="Z634" t="inlineStr"/>
      <c r="AA634" t="inlineStr">
        <is>
          <t>https://nvd.nist.gov/vuln/detail/CVE-2025-69365</t>
        </is>
      </c>
    </row>
    <row r="635">
      <c r="A635" t="inlineStr">
        <is>
          <t>CVE</t>
        </is>
      </c>
      <c r="B635" t="inlineStr">
        <is>
          <t>CVE-2025-69366</t>
        </is>
      </c>
      <c r="C635" t="inlineStr">
        <is>
          <t>Improper Neutralization of Special Elements used in an SQL Command ('SQL Injection') vulnerability in TeconceTheme Emerce Core emerce-core allows Blind SQL Injection.This issue affects Emerce Core: from n/a through &lt;= 1.8.</t>
        </is>
      </c>
      <c r="D635" t="n">
        <v>9.300000000000001</v>
      </c>
      <c r="E635" t="inlineStr">
        <is>
          <t>CRITICAL</t>
        </is>
      </c>
      <c r="F635" t="n">
        <v>2</v>
      </c>
      <c r="G635" t="n">
        <v>3</v>
      </c>
      <c r="H635" t="inlineStr">
        <is>
          <t>HIGH</t>
        </is>
      </c>
      <c r="I635" t="n">
        <v>15.3</v>
      </c>
      <c r="J635" t="inlineStr">
        <is>
          <t>NO</t>
        </is>
      </c>
      <c r="K635" t="inlineStr">
        <is>
          <t>2026-02-26 00:15</t>
        </is>
      </c>
      <c r="L635" t="inlineStr">
        <is>
          <t>CHECK_VENDOR</t>
        </is>
      </c>
      <c r="M635" t="inlineStr">
        <is>
          <t>See CVE details</t>
        </is>
      </c>
      <c r="N635" t="inlineStr">
        <is>
          <t>P3</t>
        </is>
      </c>
      <c r="O635" t="inlineStr">
        <is>
          <t>CVE - IP enrichment n/a</t>
        </is>
      </c>
      <c r="P635" t="n">
        <v>0</v>
      </c>
      <c r="Q635" t="n">
        <v>0</v>
      </c>
      <c r="R635" t="inlineStr">
        <is>
          <t>T1190:Exploit Public-Facing Application</t>
        </is>
      </c>
      <c r="S635" t="n">
        <v>1</v>
      </c>
      <c r="T635" t="inlineStr">
        <is>
          <t>LOW (40%)</t>
        </is>
      </c>
      <c r="U635" t="inlineStr">
        <is>
          <t>UNLIKELY</t>
        </is>
      </c>
      <c r="V635" t="inlineStr">
        <is>
          <t>CHECK_VENDOR</t>
        </is>
      </c>
      <c r="W635" t="inlineStr">
        <is>
          <t>https://nvd.nist.gov/vuln/detail/CVE-2025-69366</t>
        </is>
      </c>
      <c r="X635" t="inlineStr">
        <is>
          <t>NONE</t>
        </is>
      </c>
      <c r="Y635" t="n">
        <v>0</v>
      </c>
      <c r="Z635" t="inlineStr"/>
      <c r="AA635" t="inlineStr">
        <is>
          <t>https://nvd.nist.gov/vuln/detail/CVE-2025-69366</t>
        </is>
      </c>
    </row>
    <row r="636">
      <c r="A636" t="inlineStr">
        <is>
          <t>CVE</t>
        </is>
      </c>
      <c r="B636" t="inlineStr">
        <is>
          <t>CVE-2025-69367</t>
        </is>
      </c>
      <c r="C636" t="inlineStr">
        <is>
          <t>Improper Neutralization of Input During Web Page Generation ('Cross-site Scripting') vulnerability in GT3themes Oyster - Photography WordPress Theme oyster allows DOM-Based XSS.This issue affects Oyster - Photography WordPress Theme: from n/a through &lt;= 4.4.3.</t>
        </is>
      </c>
      <c r="D636" t="n">
        <v>7.1</v>
      </c>
      <c r="E636" t="inlineStr">
        <is>
          <t>HIGH</t>
        </is>
      </c>
      <c r="F636" t="n">
        <v>2</v>
      </c>
      <c r="G636" t="n">
        <v>3</v>
      </c>
      <c r="H636" t="inlineStr">
        <is>
          <t>HIGH</t>
        </is>
      </c>
      <c r="I636" t="n">
        <v>13.1</v>
      </c>
      <c r="J636" t="inlineStr">
        <is>
          <t>NO</t>
        </is>
      </c>
      <c r="K636" t="inlineStr">
        <is>
          <t>2026-02-26 00:15</t>
        </is>
      </c>
      <c r="L636" t="inlineStr">
        <is>
          <t>CHECK_VENDOR</t>
        </is>
      </c>
      <c r="M636" t="inlineStr">
        <is>
          <t>See CVE details</t>
        </is>
      </c>
      <c r="N636" t="inlineStr">
        <is>
          <t>P3</t>
        </is>
      </c>
      <c r="O636" t="inlineStr">
        <is>
          <t>CVE - IP enrichment n/a</t>
        </is>
      </c>
      <c r="P636" t="n">
        <v>0</v>
      </c>
      <c r="Q636" t="n">
        <v>0</v>
      </c>
      <c r="R636" t="inlineStr">
        <is>
          <t>T1189:Drive-by Compromise</t>
        </is>
      </c>
      <c r="S636" t="n">
        <v>1</v>
      </c>
      <c r="T636" t="inlineStr">
        <is>
          <t>LOW (40%)</t>
        </is>
      </c>
      <c r="U636" t="inlineStr">
        <is>
          <t>UNLIKELY</t>
        </is>
      </c>
      <c r="V636" t="inlineStr">
        <is>
          <t>CHECK_VENDOR</t>
        </is>
      </c>
      <c r="W636" t="inlineStr">
        <is>
          <t>https://nvd.nist.gov/vuln/detail/CVE-2025-69367</t>
        </is>
      </c>
      <c r="X636" t="inlineStr">
        <is>
          <t>NONE</t>
        </is>
      </c>
      <c r="Y636" t="n">
        <v>0</v>
      </c>
      <c r="Z636" t="inlineStr"/>
      <c r="AA636" t="inlineStr">
        <is>
          <t>https://nvd.nist.gov/vuln/detail/CVE-2025-69367</t>
        </is>
      </c>
    </row>
    <row r="637">
      <c r="A637" t="inlineStr">
        <is>
          <t>CVE</t>
        </is>
      </c>
      <c r="B637" t="inlineStr">
        <is>
          <t>CVE-2025-69368</t>
        </is>
      </c>
      <c r="C637" t="inlineStr">
        <is>
          <t>Improper Neutralization of Input During Web Page Generation ('Cross-site Scripting') vulnerability in GT3themes SOHO - Photography WordPress Theme soho allows DOM-Based XSS.This issue affects SOHO - Photography WordPress Theme: from n/a through &lt;= 3.0.3.</t>
        </is>
      </c>
      <c r="D637" t="n">
        <v>7.1</v>
      </c>
      <c r="E637" t="inlineStr">
        <is>
          <t>HIGH</t>
        </is>
      </c>
      <c r="F637" t="n">
        <v>2</v>
      </c>
      <c r="G637" t="n">
        <v>3</v>
      </c>
      <c r="H637" t="inlineStr">
        <is>
          <t>HIGH</t>
        </is>
      </c>
      <c r="I637" t="n">
        <v>13.1</v>
      </c>
      <c r="J637" t="inlineStr">
        <is>
          <t>NO</t>
        </is>
      </c>
      <c r="K637" t="inlineStr">
        <is>
          <t>2026-02-26 00:15</t>
        </is>
      </c>
      <c r="L637" t="inlineStr">
        <is>
          <t>CHECK_VENDOR</t>
        </is>
      </c>
      <c r="M637" t="inlineStr">
        <is>
          <t>See CVE details</t>
        </is>
      </c>
      <c r="N637" t="inlineStr">
        <is>
          <t>P3</t>
        </is>
      </c>
      <c r="O637" t="inlineStr">
        <is>
          <t>CVE - IP enrichment n/a</t>
        </is>
      </c>
      <c r="P637" t="n">
        <v>0</v>
      </c>
      <c r="Q637" t="n">
        <v>0</v>
      </c>
      <c r="R637" t="inlineStr">
        <is>
          <t>T1189:Drive-by Compromise</t>
        </is>
      </c>
      <c r="S637" t="n">
        <v>1</v>
      </c>
      <c r="T637" t="inlineStr">
        <is>
          <t>LOW (40%)</t>
        </is>
      </c>
      <c r="U637" t="inlineStr">
        <is>
          <t>UNLIKELY</t>
        </is>
      </c>
      <c r="V637" t="inlineStr">
        <is>
          <t>CHECK_VENDOR</t>
        </is>
      </c>
      <c r="W637" t="inlineStr">
        <is>
          <t>https://nvd.nist.gov/vuln/detail/CVE-2025-69368</t>
        </is>
      </c>
      <c r="X637" t="inlineStr">
        <is>
          <t>NONE</t>
        </is>
      </c>
      <c r="Y637" t="n">
        <v>0</v>
      </c>
      <c r="Z637" t="inlineStr"/>
      <c r="AA637" t="inlineStr">
        <is>
          <t>https://nvd.nist.gov/vuln/detail/CVE-2025-69368</t>
        </is>
      </c>
    </row>
    <row r="638">
      <c r="A638" t="inlineStr">
        <is>
          <t>CVE</t>
        </is>
      </c>
      <c r="B638" t="inlineStr">
        <is>
          <t>CVE-2025-69370</t>
        </is>
      </c>
      <c r="C638" t="inlineStr">
        <is>
          <t>Deserialization of Untrusted Data vulnerability in ThemeGoods Capella capella allows Object Injection.This issue affects Capella: from n/a through &lt;= 2.5.5.</t>
        </is>
      </c>
      <c r="D638" t="n">
        <v>9.800000000000001</v>
      </c>
      <c r="E638" t="inlineStr">
        <is>
          <t>CRITICAL</t>
        </is>
      </c>
      <c r="F638" t="n">
        <v>2</v>
      </c>
      <c r="G638" t="n">
        <v>3</v>
      </c>
      <c r="H638" t="inlineStr">
        <is>
          <t>HIGH</t>
        </is>
      </c>
      <c r="I638" t="n">
        <v>15.8</v>
      </c>
      <c r="J638" t="inlineStr">
        <is>
          <t>NO</t>
        </is>
      </c>
      <c r="K638" t="inlineStr">
        <is>
          <t>2026-02-26 00:15</t>
        </is>
      </c>
      <c r="L638" t="inlineStr">
        <is>
          <t>CHECK_VENDOR</t>
        </is>
      </c>
      <c r="M638" t="inlineStr">
        <is>
          <t>See CVE details</t>
        </is>
      </c>
      <c r="N638" t="inlineStr">
        <is>
          <t>P3</t>
        </is>
      </c>
      <c r="O638" t="inlineStr">
        <is>
          <t>CVE - IP enrichment n/a</t>
        </is>
      </c>
      <c r="P638" t="n">
        <v>0</v>
      </c>
      <c r="Q638" t="n">
        <v>0</v>
      </c>
      <c r="R638" t="inlineStr">
        <is>
          <t>T1059:Command and Scripting Interpreter</t>
        </is>
      </c>
      <c r="S638" t="n">
        <v>1</v>
      </c>
      <c r="T638" t="inlineStr">
        <is>
          <t>LOW (40%)</t>
        </is>
      </c>
      <c r="U638" t="inlineStr">
        <is>
          <t>UNLIKELY</t>
        </is>
      </c>
      <c r="V638" t="inlineStr">
        <is>
          <t>CHECK_VENDOR</t>
        </is>
      </c>
      <c r="W638" t="inlineStr">
        <is>
          <t>https://nvd.nist.gov/vuln/detail/CVE-2025-69370</t>
        </is>
      </c>
      <c r="X638" t="inlineStr">
        <is>
          <t>NONE</t>
        </is>
      </c>
      <c r="Y638" t="n">
        <v>0</v>
      </c>
      <c r="Z638" t="inlineStr"/>
      <c r="AA638" t="inlineStr">
        <is>
          <t>https://nvd.nist.gov/vuln/detail/CVE-2025-69370</t>
        </is>
      </c>
    </row>
    <row r="639">
      <c r="A639" t="inlineStr">
        <is>
          <t>CVE</t>
        </is>
      </c>
      <c r="B639" t="inlineStr">
        <is>
          <t>CVE-2025-69371</t>
        </is>
      </c>
      <c r="C639" t="inlineStr">
        <is>
          <t>Deserialization of Untrusted Data vulnerability in AncoraThemes KindlyCare kindlycare allows Object Injection.This issue affects KindlyCare: from n/a through &lt;= 1.6.1.</t>
        </is>
      </c>
      <c r="D639" t="n">
        <v>9.800000000000001</v>
      </c>
      <c r="E639" t="inlineStr">
        <is>
          <t>CRITICAL</t>
        </is>
      </c>
      <c r="F639" t="n">
        <v>2</v>
      </c>
      <c r="G639" t="n">
        <v>3</v>
      </c>
      <c r="H639" t="inlineStr">
        <is>
          <t>HIGH</t>
        </is>
      </c>
      <c r="I639" t="n">
        <v>15.8</v>
      </c>
      <c r="J639" t="inlineStr">
        <is>
          <t>NO</t>
        </is>
      </c>
      <c r="K639" t="inlineStr">
        <is>
          <t>2026-02-26 00:15</t>
        </is>
      </c>
      <c r="L639" t="inlineStr">
        <is>
          <t>CHECK_VENDOR</t>
        </is>
      </c>
      <c r="M639" t="inlineStr">
        <is>
          <t>See CVE details</t>
        </is>
      </c>
      <c r="N639" t="inlineStr">
        <is>
          <t>P3</t>
        </is>
      </c>
      <c r="O639" t="inlineStr">
        <is>
          <t>CVE - IP enrichment n/a</t>
        </is>
      </c>
      <c r="P639" t="n">
        <v>0</v>
      </c>
      <c r="Q639" t="n">
        <v>0</v>
      </c>
      <c r="R639" t="inlineStr">
        <is>
          <t>T1059:Command and Scripting Interpreter</t>
        </is>
      </c>
      <c r="S639" t="n">
        <v>1</v>
      </c>
      <c r="T639" t="inlineStr">
        <is>
          <t>LOW (40%)</t>
        </is>
      </c>
      <c r="U639" t="inlineStr">
        <is>
          <t>UNLIKELY</t>
        </is>
      </c>
      <c r="V639" t="inlineStr">
        <is>
          <t>CHECK_VENDOR</t>
        </is>
      </c>
      <c r="W639" t="inlineStr">
        <is>
          <t>https://nvd.nist.gov/vuln/detail/CVE-2025-69371</t>
        </is>
      </c>
      <c r="X639" t="inlineStr">
        <is>
          <t>NONE</t>
        </is>
      </c>
      <c r="Y639" t="n">
        <v>0</v>
      </c>
      <c r="Z639" t="inlineStr"/>
      <c r="AA639" t="inlineStr">
        <is>
          <t>https://nvd.nist.gov/vuln/detail/CVE-2025-69371</t>
        </is>
      </c>
    </row>
    <row r="640">
      <c r="A640" t="inlineStr">
        <is>
          <t>CVE</t>
        </is>
      </c>
      <c r="B640" t="inlineStr">
        <is>
          <t>CVE-2025-69372</t>
        </is>
      </c>
      <c r="C640" t="inlineStr">
        <is>
          <t>Deserialization of Untrusted Data vulnerability in AncoraThemes SevenHills sevenhills allows Object Injection.This issue affects SevenHills: from n/a through &lt;= 1.6.2.</t>
        </is>
      </c>
      <c r="D640" t="n">
        <v>9.800000000000001</v>
      </c>
      <c r="E640" t="inlineStr">
        <is>
          <t>CRITICAL</t>
        </is>
      </c>
      <c r="F640" t="n">
        <v>2</v>
      </c>
      <c r="G640" t="n">
        <v>3</v>
      </c>
      <c r="H640" t="inlineStr">
        <is>
          <t>HIGH</t>
        </is>
      </c>
      <c r="I640" t="n">
        <v>15.8</v>
      </c>
      <c r="J640" t="inlineStr">
        <is>
          <t>NO</t>
        </is>
      </c>
      <c r="K640" t="inlineStr">
        <is>
          <t>2026-02-26 00:15</t>
        </is>
      </c>
      <c r="L640" t="inlineStr">
        <is>
          <t>CHECK_VENDOR</t>
        </is>
      </c>
      <c r="M640" t="inlineStr">
        <is>
          <t>See CVE details</t>
        </is>
      </c>
      <c r="N640" t="inlineStr">
        <is>
          <t>P3</t>
        </is>
      </c>
      <c r="O640" t="inlineStr">
        <is>
          <t>CVE - IP enrichment n/a</t>
        </is>
      </c>
      <c r="P640" t="n">
        <v>0</v>
      </c>
      <c r="Q640" t="n">
        <v>0</v>
      </c>
      <c r="R640" t="inlineStr">
        <is>
          <t>T1059:Command and Scripting Interpreter</t>
        </is>
      </c>
      <c r="S640" t="n">
        <v>1</v>
      </c>
      <c r="T640" t="inlineStr">
        <is>
          <t>LOW (40%)</t>
        </is>
      </c>
      <c r="U640" t="inlineStr">
        <is>
          <t>UNLIKELY</t>
        </is>
      </c>
      <c r="V640" t="inlineStr">
        <is>
          <t>CHECK_VENDOR</t>
        </is>
      </c>
      <c r="W640" t="inlineStr">
        <is>
          <t>https://nvd.nist.gov/vuln/detail/CVE-2025-69372</t>
        </is>
      </c>
      <c r="X640" t="inlineStr">
        <is>
          <t>NONE</t>
        </is>
      </c>
      <c r="Y640" t="n">
        <v>0</v>
      </c>
      <c r="Z640" t="inlineStr"/>
      <c r="AA640" t="inlineStr">
        <is>
          <t>https://nvd.nist.gov/vuln/detail/CVE-2025-69372</t>
        </is>
      </c>
    </row>
    <row r="641">
      <c r="A641" t="inlineStr">
        <is>
          <t>CVE</t>
        </is>
      </c>
      <c r="B641" t="inlineStr">
        <is>
          <t>CVE-2025-69373</t>
        </is>
      </c>
      <c r="C641" t="inlineStr">
        <is>
          <t>Improper Control of Filename for Include/Require Statement in PHP Program ('PHP Remote File Inclusion') vulnerability in beeteam368 VidoRev vidorev allows PHP Local File Inclusion.This issue affects VidoRev: from n/a through &lt;= 2.9.9.9.9.9.7.</t>
        </is>
      </c>
      <c r="D641" t="n">
        <v>7.5</v>
      </c>
      <c r="E641" t="inlineStr">
        <is>
          <t>HIGH</t>
        </is>
      </c>
      <c r="F641" t="n">
        <v>2</v>
      </c>
      <c r="G641" t="n">
        <v>3</v>
      </c>
      <c r="H641" t="inlineStr">
        <is>
          <t>HIGH</t>
        </is>
      </c>
      <c r="I641" t="n">
        <v>13.5</v>
      </c>
      <c r="J641" t="inlineStr">
        <is>
          <t>NO</t>
        </is>
      </c>
      <c r="K641" t="inlineStr">
        <is>
          <t>2026-02-26 00:15</t>
        </is>
      </c>
      <c r="L641" t="inlineStr">
        <is>
          <t>CHECK_VENDOR</t>
        </is>
      </c>
      <c r="M641" t="inlineStr">
        <is>
          <t>See CVE details</t>
        </is>
      </c>
      <c r="N641" t="inlineStr">
        <is>
          <t>P3</t>
        </is>
      </c>
      <c r="O641" t="inlineStr">
        <is>
          <t>CVE - IP enrichment n/a</t>
        </is>
      </c>
      <c r="P641" t="n">
        <v>0</v>
      </c>
      <c r="Q641" t="n">
        <v>0</v>
      </c>
      <c r="R641" t="inlineStr">
        <is>
          <t>T1190:Exploit Public-Facing Application</t>
        </is>
      </c>
      <c r="S641" t="n">
        <v>1</v>
      </c>
      <c r="T641" t="inlineStr">
        <is>
          <t>LOW (40%)</t>
        </is>
      </c>
      <c r="U641" t="inlineStr">
        <is>
          <t>UNLIKELY</t>
        </is>
      </c>
      <c r="V641" t="inlineStr">
        <is>
          <t>CHECK_VENDOR</t>
        </is>
      </c>
      <c r="W641" t="inlineStr">
        <is>
          <t>https://nvd.nist.gov/vuln/detail/CVE-2025-69373</t>
        </is>
      </c>
      <c r="X641" t="inlineStr">
        <is>
          <t>NONE</t>
        </is>
      </c>
      <c r="Y641" t="n">
        <v>0</v>
      </c>
      <c r="Z641" t="inlineStr"/>
      <c r="AA641" t="inlineStr">
        <is>
          <t>https://nvd.nist.gov/vuln/detail/CVE-2025-69373</t>
        </is>
      </c>
    </row>
    <row r="642">
      <c r="A642" t="inlineStr">
        <is>
          <t>CVE</t>
        </is>
      </c>
      <c r="B642" t="inlineStr">
        <is>
          <t>CVE-2025-69374</t>
        </is>
      </c>
      <c r="C642" t="inlineStr">
        <is>
          <t>Improper Control of Filename for Include/Require Statement in PHP Program ('PHP Remote File Inclusion') vulnerability in SolverWp Eleblog – Elementor Blog And Magazine Addons ele-blog allows PHP Local File Inclusion.This issue affects Eleblog – Elementor Blog And Magazine Addons: from n/a through &lt;= 2.0.3.</t>
        </is>
      </c>
      <c r="D642" t="n">
        <v>8.1</v>
      </c>
      <c r="E642" t="inlineStr">
        <is>
          <t>HIGH</t>
        </is>
      </c>
      <c r="F642" t="n">
        <v>2</v>
      </c>
      <c r="G642" t="n">
        <v>3</v>
      </c>
      <c r="H642" t="inlineStr">
        <is>
          <t>HIGH</t>
        </is>
      </c>
      <c r="I642" t="n">
        <v>14.1</v>
      </c>
      <c r="J642" t="inlineStr">
        <is>
          <t>NO</t>
        </is>
      </c>
      <c r="K642" t="inlineStr">
        <is>
          <t>2026-02-26 00:15</t>
        </is>
      </c>
      <c r="L642" t="inlineStr">
        <is>
          <t>CHECK_VENDOR</t>
        </is>
      </c>
      <c r="M642" t="inlineStr">
        <is>
          <t>See CVE details</t>
        </is>
      </c>
      <c r="N642" t="inlineStr">
        <is>
          <t>P3</t>
        </is>
      </c>
      <c r="O642" t="inlineStr">
        <is>
          <t>CVE - IP enrichment n/a</t>
        </is>
      </c>
      <c r="P642" t="n">
        <v>0</v>
      </c>
      <c r="Q642" t="n">
        <v>0</v>
      </c>
      <c r="R642" t="inlineStr">
        <is>
          <t>T1190:Exploit Public-Facing Application</t>
        </is>
      </c>
      <c r="S642" t="n">
        <v>1</v>
      </c>
      <c r="T642" t="inlineStr">
        <is>
          <t>LOW (40%)</t>
        </is>
      </c>
      <c r="U642" t="inlineStr">
        <is>
          <t>UNLIKELY</t>
        </is>
      </c>
      <c r="V642" t="inlineStr">
        <is>
          <t>CHECK_VENDOR</t>
        </is>
      </c>
      <c r="W642" t="inlineStr">
        <is>
          <t>https://nvd.nist.gov/vuln/detail/CVE-2025-69374</t>
        </is>
      </c>
      <c r="X642" t="inlineStr">
        <is>
          <t>NONE</t>
        </is>
      </c>
      <c r="Y642" t="n">
        <v>0</v>
      </c>
      <c r="Z642" t="inlineStr"/>
      <c r="AA642" t="inlineStr">
        <is>
          <t>https://nvd.nist.gov/vuln/detail/CVE-2025-69374</t>
        </is>
      </c>
    </row>
    <row r="643">
      <c r="A643" t="inlineStr">
        <is>
          <t>CVE</t>
        </is>
      </c>
      <c r="B643" t="inlineStr">
        <is>
          <t>CVE-2025-69375</t>
        </is>
      </c>
      <c r="C643" t="inlineStr">
        <is>
          <t>Improper Control of Filename for Include/Require Statement in PHP Program ('PHP Remote File Inclusion') vulnerability in SolverWp Portfolio Builder swp-portfolio allows PHP Local File Inclusion.This issue affects Portfolio Builder: from n/a through &lt;= 1.2.5.</t>
        </is>
      </c>
      <c r="D643" t="n">
        <v>8.1</v>
      </c>
      <c r="E643" t="inlineStr">
        <is>
          <t>HIGH</t>
        </is>
      </c>
      <c r="F643" t="n">
        <v>2</v>
      </c>
      <c r="G643" t="n">
        <v>3</v>
      </c>
      <c r="H643" t="inlineStr">
        <is>
          <t>HIGH</t>
        </is>
      </c>
      <c r="I643" t="n">
        <v>14.1</v>
      </c>
      <c r="J643" t="inlineStr">
        <is>
          <t>NO</t>
        </is>
      </c>
      <c r="K643" t="inlineStr">
        <is>
          <t>2026-02-26 00:15</t>
        </is>
      </c>
      <c r="L643" t="inlineStr">
        <is>
          <t>CHECK_VENDOR</t>
        </is>
      </c>
      <c r="M643" t="inlineStr">
        <is>
          <t>See CVE details</t>
        </is>
      </c>
      <c r="N643" t="inlineStr">
        <is>
          <t>P3</t>
        </is>
      </c>
      <c r="O643" t="inlineStr">
        <is>
          <t>CVE - IP enrichment n/a</t>
        </is>
      </c>
      <c r="P643" t="n">
        <v>0</v>
      </c>
      <c r="Q643" t="n">
        <v>0</v>
      </c>
      <c r="R643" t="inlineStr">
        <is>
          <t>T1190:Exploit Public-Facing Application</t>
        </is>
      </c>
      <c r="S643" t="n">
        <v>1</v>
      </c>
      <c r="T643" t="inlineStr">
        <is>
          <t>LOW (40%)</t>
        </is>
      </c>
      <c r="U643" t="inlineStr">
        <is>
          <t>UNLIKELY</t>
        </is>
      </c>
      <c r="V643" t="inlineStr">
        <is>
          <t>CHECK_VENDOR</t>
        </is>
      </c>
      <c r="W643" t="inlineStr">
        <is>
          <t>https://nvd.nist.gov/vuln/detail/CVE-2025-69375</t>
        </is>
      </c>
      <c r="X643" t="inlineStr">
        <is>
          <t>NONE</t>
        </is>
      </c>
      <c r="Y643" t="n">
        <v>0</v>
      </c>
      <c r="Z643" t="inlineStr"/>
      <c r="AA643" t="inlineStr">
        <is>
          <t>https://nvd.nist.gov/vuln/detail/CVE-2025-69375</t>
        </is>
      </c>
    </row>
    <row r="644">
      <c r="A644" t="inlineStr">
        <is>
          <t>CVE</t>
        </is>
      </c>
      <c r="B644" t="inlineStr">
        <is>
          <t>CVE-2025-69376</t>
        </is>
      </c>
      <c r="C644" t="inlineStr">
        <is>
          <t>Improper Limitation of a Pathname to a Restricted Directory ('Path Traversal') vulnerability in vanquish User Extra Fields wp-user-extra-fields allows Path Traversal.This issue affects User Extra Fields: from n/a through &lt;= 17.0.</t>
        </is>
      </c>
      <c r="D644" t="n">
        <v>5</v>
      </c>
      <c r="E644" t="inlineStr">
        <is>
          <t>MEDIUM</t>
        </is>
      </c>
      <c r="F644" t="n">
        <v>2</v>
      </c>
      <c r="G644" t="n">
        <v>2</v>
      </c>
      <c r="H644" t="inlineStr">
        <is>
          <t>MEDIUM</t>
        </is>
      </c>
      <c r="I644" t="n">
        <v>9</v>
      </c>
      <c r="J644" t="inlineStr">
        <is>
          <t>NO</t>
        </is>
      </c>
      <c r="K644" t="inlineStr">
        <is>
          <t>2026-02-26 00:15</t>
        </is>
      </c>
      <c r="L644" t="inlineStr">
        <is>
          <t>CHECK_VENDOR</t>
        </is>
      </c>
      <c r="M644" t="inlineStr">
        <is>
          <t>See CVE details</t>
        </is>
      </c>
      <c r="N644" t="inlineStr">
        <is>
          <t>P4</t>
        </is>
      </c>
      <c r="O644" t="inlineStr">
        <is>
          <t>CVE - IP enrichment n/a</t>
        </is>
      </c>
      <c r="P644" t="n">
        <v>0</v>
      </c>
      <c r="Q644" t="n">
        <v>0</v>
      </c>
      <c r="R644" t="inlineStr">
        <is>
          <t>T1083:File and Directory Discovery</t>
        </is>
      </c>
      <c r="S644" t="n">
        <v>1</v>
      </c>
      <c r="T644" t="inlineStr">
        <is>
          <t>LOW (40%)</t>
        </is>
      </c>
      <c r="U644" t="inlineStr">
        <is>
          <t>UNLIKELY</t>
        </is>
      </c>
      <c r="V644" t="inlineStr">
        <is>
          <t>CHECK_VENDOR</t>
        </is>
      </c>
      <c r="W644" t="inlineStr">
        <is>
          <t>https://nvd.nist.gov/vuln/detail/CVE-2025-69376</t>
        </is>
      </c>
      <c r="X644" t="inlineStr">
        <is>
          <t>NONE</t>
        </is>
      </c>
      <c r="Y644" t="n">
        <v>0</v>
      </c>
      <c r="Z644" t="inlineStr"/>
      <c r="AA644" t="inlineStr">
        <is>
          <t>https://nvd.nist.gov/vuln/detail/CVE-2025-69376</t>
        </is>
      </c>
    </row>
    <row r="645">
      <c r="A645" t="inlineStr">
        <is>
          <t>CVE</t>
        </is>
      </c>
      <c r="B645" t="inlineStr">
        <is>
          <t>CVE-2025-69377</t>
        </is>
      </c>
      <c r="C645" t="inlineStr">
        <is>
          <t>Improper Limitation of a Pathname to a Restricted Directory ('Path Traversal') vulnerability in vanquish User Extra Fields wp-user-extra-fields allows Path Traversal.This issue affects User Extra Fields: from n/a through &lt;= 17.0.</t>
        </is>
      </c>
      <c r="D645" t="n">
        <v>7.7</v>
      </c>
      <c r="E645" t="inlineStr">
        <is>
          <t>HIGH</t>
        </is>
      </c>
      <c r="F645" t="n">
        <v>2</v>
      </c>
      <c r="G645" t="n">
        <v>3</v>
      </c>
      <c r="H645" t="inlineStr">
        <is>
          <t>HIGH</t>
        </is>
      </c>
      <c r="I645" t="n">
        <v>13.7</v>
      </c>
      <c r="J645" t="inlineStr">
        <is>
          <t>NO</t>
        </is>
      </c>
      <c r="K645" t="inlineStr">
        <is>
          <t>2026-02-26 00:15</t>
        </is>
      </c>
      <c r="L645" t="inlineStr">
        <is>
          <t>CHECK_VENDOR</t>
        </is>
      </c>
      <c r="M645" t="inlineStr">
        <is>
          <t>See CVE details</t>
        </is>
      </c>
      <c r="N645" t="inlineStr">
        <is>
          <t>P3</t>
        </is>
      </c>
      <c r="O645" t="inlineStr">
        <is>
          <t>CVE - IP enrichment n/a</t>
        </is>
      </c>
      <c r="P645" t="n">
        <v>0</v>
      </c>
      <c r="Q645" t="n">
        <v>0</v>
      </c>
      <c r="R645" t="inlineStr">
        <is>
          <t>T1083:File and Directory Discovery</t>
        </is>
      </c>
      <c r="S645" t="n">
        <v>1</v>
      </c>
      <c r="T645" t="inlineStr">
        <is>
          <t>LOW (40%)</t>
        </is>
      </c>
      <c r="U645" t="inlineStr">
        <is>
          <t>UNLIKELY</t>
        </is>
      </c>
      <c r="V645" t="inlineStr">
        <is>
          <t>CHECK_VENDOR</t>
        </is>
      </c>
      <c r="W645" t="inlineStr">
        <is>
          <t>https://nvd.nist.gov/vuln/detail/CVE-2025-69377</t>
        </is>
      </c>
      <c r="X645" t="inlineStr">
        <is>
          <t>NONE</t>
        </is>
      </c>
      <c r="Y645" t="n">
        <v>0</v>
      </c>
      <c r="Z645" t="inlineStr"/>
      <c r="AA645" t="inlineStr">
        <is>
          <t>https://nvd.nist.gov/vuln/detail/CVE-2025-69377</t>
        </is>
      </c>
    </row>
    <row r="646">
      <c r="A646" t="inlineStr">
        <is>
          <t>CVE</t>
        </is>
      </c>
      <c r="B646" t="inlineStr">
        <is>
          <t>CVE-2025-69378</t>
        </is>
      </c>
      <c r="C646" t="inlineStr">
        <is>
          <t>Incorrect Privilege Assignment vulnerability in XforWooCommerce Product Filter for WooCommerce prdctfltr allows Privilege Escalation.This issue affects Product Filter for WooCommerce: from n/a through &lt;= 9.1.2.</t>
        </is>
      </c>
      <c r="D646" t="n">
        <v>8.5</v>
      </c>
      <c r="E646" t="inlineStr">
        <is>
          <t>HIGH</t>
        </is>
      </c>
      <c r="F646" t="n">
        <v>2</v>
      </c>
      <c r="G646" t="n">
        <v>3</v>
      </c>
      <c r="H646" t="inlineStr">
        <is>
          <t>HIGH</t>
        </is>
      </c>
      <c r="I646" t="n">
        <v>14.5</v>
      </c>
      <c r="J646" t="inlineStr">
        <is>
          <t>NO</t>
        </is>
      </c>
      <c r="K646" t="inlineStr">
        <is>
          <t>2026-02-26 00:15</t>
        </is>
      </c>
      <c r="L646" t="inlineStr">
        <is>
          <t>CHECK_VENDOR</t>
        </is>
      </c>
      <c r="M646" t="inlineStr">
        <is>
          <t>See CVE details</t>
        </is>
      </c>
      <c r="N646" t="inlineStr">
        <is>
          <t>P3</t>
        </is>
      </c>
      <c r="O646" t="inlineStr">
        <is>
          <t>CVE - IP enrichment n/a</t>
        </is>
      </c>
      <c r="P646" t="n">
        <v>0</v>
      </c>
      <c r="Q646" t="n">
        <v>0</v>
      </c>
      <c r="R646" t="inlineStr">
        <is>
          <t>T1190:Exploit Public-Facing Application | T1068:Exploitation for Privilege Escalation</t>
        </is>
      </c>
      <c r="S646" t="n">
        <v>1</v>
      </c>
      <c r="T646" t="inlineStr">
        <is>
          <t>LOW (40%)</t>
        </is>
      </c>
      <c r="U646" t="inlineStr">
        <is>
          <t>UNLIKELY</t>
        </is>
      </c>
      <c r="V646" t="inlineStr">
        <is>
          <t>CHECK_VENDOR</t>
        </is>
      </c>
      <c r="W646" t="inlineStr">
        <is>
          <t>https://nvd.nist.gov/vuln/detail/CVE-2025-69378</t>
        </is>
      </c>
      <c r="X646" t="inlineStr">
        <is>
          <t>NONE</t>
        </is>
      </c>
      <c r="Y646" t="n">
        <v>0</v>
      </c>
      <c r="Z646" t="inlineStr"/>
      <c r="AA646" t="inlineStr">
        <is>
          <t>https://nvd.nist.gov/vuln/detail/CVE-2025-69378</t>
        </is>
      </c>
    </row>
    <row r="647">
      <c r="A647" t="inlineStr">
        <is>
          <t>CVE</t>
        </is>
      </c>
      <c r="B647" t="inlineStr">
        <is>
          <t>CVE-2025-69379</t>
        </is>
      </c>
      <c r="C647" t="inlineStr">
        <is>
          <t>Improper Limitation of a Pathname to a Restricted Directory ('Path Traversal') vulnerability in vanquish Upload Files Anywhere wp-upload-files-anywhere allows Path Traversal.This issue affects Upload Files Anywhere: from n/a through &lt;= 2.8.</t>
        </is>
      </c>
      <c r="D647" t="n">
        <v>8.6</v>
      </c>
      <c r="E647" t="inlineStr">
        <is>
          <t>HIGH</t>
        </is>
      </c>
      <c r="F647" t="n">
        <v>2</v>
      </c>
      <c r="G647" t="n">
        <v>3</v>
      </c>
      <c r="H647" t="inlineStr">
        <is>
          <t>HIGH</t>
        </is>
      </c>
      <c r="I647" t="n">
        <v>14.6</v>
      </c>
      <c r="J647" t="inlineStr">
        <is>
          <t>NO</t>
        </is>
      </c>
      <c r="K647" t="inlineStr">
        <is>
          <t>2026-02-26 00:15</t>
        </is>
      </c>
      <c r="L647" t="inlineStr">
        <is>
          <t>CHECK_VENDOR</t>
        </is>
      </c>
      <c r="M647" t="inlineStr">
        <is>
          <t>See CVE details</t>
        </is>
      </c>
      <c r="N647" t="inlineStr">
        <is>
          <t>P3</t>
        </is>
      </c>
      <c r="O647" t="inlineStr">
        <is>
          <t>CVE - IP enrichment n/a</t>
        </is>
      </c>
      <c r="P647" t="n">
        <v>0</v>
      </c>
      <c r="Q647" t="n">
        <v>0</v>
      </c>
      <c r="R647" t="inlineStr">
        <is>
          <t>T1083:File and Directory Discovery</t>
        </is>
      </c>
      <c r="S647" t="n">
        <v>1</v>
      </c>
      <c r="T647" t="inlineStr">
        <is>
          <t>LOW (40%)</t>
        </is>
      </c>
      <c r="U647" t="inlineStr">
        <is>
          <t>UNLIKELY</t>
        </is>
      </c>
      <c r="V647" t="inlineStr">
        <is>
          <t>CHECK_VENDOR</t>
        </is>
      </c>
      <c r="W647" t="inlineStr">
        <is>
          <t>https://nvd.nist.gov/vuln/detail/CVE-2025-69379</t>
        </is>
      </c>
      <c r="X647" t="inlineStr">
        <is>
          <t>NONE</t>
        </is>
      </c>
      <c r="Y647" t="n">
        <v>0</v>
      </c>
      <c r="Z647" t="inlineStr"/>
      <c r="AA647" t="inlineStr">
        <is>
          <t>https://nvd.nist.gov/vuln/detail/CVE-2025-69379</t>
        </is>
      </c>
    </row>
    <row r="648">
      <c r="A648" t="inlineStr">
        <is>
          <t>CVE</t>
        </is>
      </c>
      <c r="B648" t="inlineStr">
        <is>
          <t>CVE-2025-69380</t>
        </is>
      </c>
      <c r="C648" t="inlineStr">
        <is>
          <t>Improper Limitation of a Pathname to a Restricted Directory ('Path Traversal') vulnerability in vanquish Upload Files Anywhere wp-upload-files-anywhere allows Path Traversal.This issue affects Upload Files Anywhere: from n/a through &lt;= 2.8.</t>
        </is>
      </c>
      <c r="D648" t="n">
        <v>7.5</v>
      </c>
      <c r="E648" t="inlineStr">
        <is>
          <t>HIGH</t>
        </is>
      </c>
      <c r="F648" t="n">
        <v>2</v>
      </c>
      <c r="G648" t="n">
        <v>3</v>
      </c>
      <c r="H648" t="inlineStr">
        <is>
          <t>HIGH</t>
        </is>
      </c>
      <c r="I648" t="n">
        <v>13.5</v>
      </c>
      <c r="J648" t="inlineStr">
        <is>
          <t>NO</t>
        </is>
      </c>
      <c r="K648" t="inlineStr">
        <is>
          <t>2026-02-26 00:15</t>
        </is>
      </c>
      <c r="L648" t="inlineStr">
        <is>
          <t>CHECK_VENDOR</t>
        </is>
      </c>
      <c r="M648" t="inlineStr">
        <is>
          <t>See CVE details</t>
        </is>
      </c>
      <c r="N648" t="inlineStr">
        <is>
          <t>P3</t>
        </is>
      </c>
      <c r="O648" t="inlineStr">
        <is>
          <t>CVE - IP enrichment n/a</t>
        </is>
      </c>
      <c r="P648" t="n">
        <v>0</v>
      </c>
      <c r="Q648" t="n">
        <v>0</v>
      </c>
      <c r="R648" t="inlineStr">
        <is>
          <t>T1083:File and Directory Discovery</t>
        </is>
      </c>
      <c r="S648" t="n">
        <v>1</v>
      </c>
      <c r="T648" t="inlineStr">
        <is>
          <t>LOW (40%)</t>
        </is>
      </c>
      <c r="U648" t="inlineStr">
        <is>
          <t>UNLIKELY</t>
        </is>
      </c>
      <c r="V648" t="inlineStr">
        <is>
          <t>CHECK_VENDOR</t>
        </is>
      </c>
      <c r="W648" t="inlineStr">
        <is>
          <t>https://nvd.nist.gov/vuln/detail/CVE-2025-69380</t>
        </is>
      </c>
      <c r="X648" t="inlineStr">
        <is>
          <t>NONE</t>
        </is>
      </c>
      <c r="Y648" t="n">
        <v>0</v>
      </c>
      <c r="Z648" t="inlineStr"/>
      <c r="AA648" t="inlineStr">
        <is>
          <t>https://nvd.nist.gov/vuln/detail/CVE-2025-69380</t>
        </is>
      </c>
    </row>
    <row r="649">
      <c r="A649" t="inlineStr">
        <is>
          <t>CVE</t>
        </is>
      </c>
      <c r="B649" t="inlineStr">
        <is>
          <t>CVE-2025-69381</t>
        </is>
      </c>
      <c r="C649" t="inlineStr">
        <is>
          <t>Missing Authorization vulnerability in vanquish WooCommerce Bulk Product Editor woocommerce-quick-product-editor allows Exploiting Incorrectly Configured Access Control Security Levels.This issue affects WooCommerce Bulk Product Editor: from n/a through &lt;= 3.0.</t>
        </is>
      </c>
      <c r="D649" t="n">
        <v>7.1</v>
      </c>
      <c r="E649" t="inlineStr">
        <is>
          <t>HIGH</t>
        </is>
      </c>
      <c r="F649" t="n">
        <v>2</v>
      </c>
      <c r="G649" t="n">
        <v>3</v>
      </c>
      <c r="H649" t="inlineStr">
        <is>
          <t>HIGH</t>
        </is>
      </c>
      <c r="I649" t="n">
        <v>13.1</v>
      </c>
      <c r="J649" t="inlineStr">
        <is>
          <t>NO</t>
        </is>
      </c>
      <c r="K649" t="inlineStr">
        <is>
          <t>2026-02-26 00:15</t>
        </is>
      </c>
      <c r="L649" t="inlineStr">
        <is>
          <t>CHECK_VENDOR</t>
        </is>
      </c>
      <c r="M649" t="inlineStr">
        <is>
          <t>See CVE details</t>
        </is>
      </c>
      <c r="N649" t="inlineStr">
        <is>
          <t>P3</t>
        </is>
      </c>
      <c r="O649" t="inlineStr">
        <is>
          <t>CVE - IP enrichment n/a</t>
        </is>
      </c>
      <c r="P649" t="n">
        <v>0</v>
      </c>
      <c r="Q649" t="n">
        <v>0</v>
      </c>
      <c r="R649" t="inlineStr">
        <is>
          <t>T1190:Exploit Public-Facing Application</t>
        </is>
      </c>
      <c r="S649" t="n">
        <v>1</v>
      </c>
      <c r="T649" t="inlineStr">
        <is>
          <t>LOW (40%)</t>
        </is>
      </c>
      <c r="U649" t="inlineStr">
        <is>
          <t>UNLIKELY</t>
        </is>
      </c>
      <c r="V649" t="inlineStr">
        <is>
          <t>CHECK_VENDOR</t>
        </is>
      </c>
      <c r="W649" t="inlineStr">
        <is>
          <t>https://nvd.nist.gov/vuln/detail/CVE-2025-69381</t>
        </is>
      </c>
      <c r="X649" t="inlineStr">
        <is>
          <t>NONE</t>
        </is>
      </c>
      <c r="Y649" t="n">
        <v>0</v>
      </c>
      <c r="Z649" t="inlineStr"/>
      <c r="AA649" t="inlineStr">
        <is>
          <t>https://nvd.nist.gov/vuln/detail/CVE-2025-69381</t>
        </is>
      </c>
    </row>
    <row r="650">
      <c r="A650" t="inlineStr">
        <is>
          <t>CVE</t>
        </is>
      </c>
      <c r="B650" t="inlineStr">
        <is>
          <t>CVE-2025-69382</t>
        </is>
      </c>
      <c r="C650" t="inlineStr">
        <is>
          <t>Deserialization of Untrusted Data vulnerability in themesflat Themesflat Elementor themesflat-elementor allows Object Injection.This issue affects Themesflat Elementor: from n/a through &lt;= 1.0.1.</t>
        </is>
      </c>
      <c r="D650" t="n">
        <v>9.800000000000001</v>
      </c>
      <c r="E650" t="inlineStr">
        <is>
          <t>CRITICAL</t>
        </is>
      </c>
      <c r="F650" t="n">
        <v>2</v>
      </c>
      <c r="G650" t="n">
        <v>3</v>
      </c>
      <c r="H650" t="inlineStr">
        <is>
          <t>HIGH</t>
        </is>
      </c>
      <c r="I650" t="n">
        <v>15.8</v>
      </c>
      <c r="J650" t="inlineStr">
        <is>
          <t>NO</t>
        </is>
      </c>
      <c r="K650" t="inlineStr">
        <is>
          <t>2026-02-26 00:15</t>
        </is>
      </c>
      <c r="L650" t="inlineStr">
        <is>
          <t>CHECK_VENDOR</t>
        </is>
      </c>
      <c r="M650" t="inlineStr">
        <is>
          <t>See CVE details</t>
        </is>
      </c>
      <c r="N650" t="inlineStr">
        <is>
          <t>P3</t>
        </is>
      </c>
      <c r="O650" t="inlineStr">
        <is>
          <t>CVE - IP enrichment n/a</t>
        </is>
      </c>
      <c r="P650" t="n">
        <v>0.0004</v>
      </c>
      <c r="Q650" t="n">
        <v>0.1236</v>
      </c>
      <c r="R650" t="inlineStr">
        <is>
          <t>T1059:Command and Scripting Interpreter</t>
        </is>
      </c>
      <c r="S650" t="n">
        <v>1</v>
      </c>
      <c r="T650" t="inlineStr">
        <is>
          <t>LOW (40%)</t>
        </is>
      </c>
      <c r="U650" t="inlineStr">
        <is>
          <t>UNLIKELY</t>
        </is>
      </c>
      <c r="V650" t="inlineStr">
        <is>
          <t>CHECK_VENDOR</t>
        </is>
      </c>
      <c r="W650" t="inlineStr">
        <is>
          <t>https://nvd.nist.gov/vuln/detail/CVE-2025-69382</t>
        </is>
      </c>
      <c r="X650" t="inlineStr">
        <is>
          <t>NONE</t>
        </is>
      </c>
      <c r="Y650" t="n">
        <v>0</v>
      </c>
      <c r="Z650" t="inlineStr"/>
      <c r="AA650" t="inlineStr">
        <is>
          <t>https://nvd.nist.gov/vuln/detail/CVE-2025-69382</t>
        </is>
      </c>
    </row>
    <row r="651">
      <c r="A651" t="inlineStr">
        <is>
          <t>CVE</t>
        </is>
      </c>
      <c r="B651" t="inlineStr">
        <is>
          <t>CVE-2025-69383</t>
        </is>
      </c>
      <c r="C651" t="inlineStr">
        <is>
          <t>Improper Control of Filename for Include/Require Statement in PHP Program ('PHP Remote File Inclusion') vulnerability in Agence web Eoxia - Montpellier WP shop wpshop allows PHP Local File Inclusion.This issue affects WP shop: from n/a through &lt;= 2.6.1.</t>
        </is>
      </c>
      <c r="D651" t="n">
        <v>7.5</v>
      </c>
      <c r="E651" t="inlineStr">
        <is>
          <t>HIGH</t>
        </is>
      </c>
      <c r="F651" t="n">
        <v>2</v>
      </c>
      <c r="G651" t="n">
        <v>3</v>
      </c>
      <c r="H651" t="inlineStr">
        <is>
          <t>HIGH</t>
        </is>
      </c>
      <c r="I651" t="n">
        <v>13.5</v>
      </c>
      <c r="J651" t="inlineStr">
        <is>
          <t>NO</t>
        </is>
      </c>
      <c r="K651" t="inlineStr">
        <is>
          <t>2026-02-26 00:15</t>
        </is>
      </c>
      <c r="L651" t="inlineStr">
        <is>
          <t>CHECK_VENDOR</t>
        </is>
      </c>
      <c r="M651" t="inlineStr">
        <is>
          <t>See CVE details</t>
        </is>
      </c>
      <c r="N651" t="inlineStr">
        <is>
          <t>P3</t>
        </is>
      </c>
      <c r="O651" t="inlineStr">
        <is>
          <t>CVE - IP enrichment n/a</t>
        </is>
      </c>
      <c r="P651" t="n">
        <v>0</v>
      </c>
      <c r="Q651" t="n">
        <v>0</v>
      </c>
      <c r="R651" t="inlineStr">
        <is>
          <t>T1190:Exploit Public-Facing Application</t>
        </is>
      </c>
      <c r="S651" t="n">
        <v>1</v>
      </c>
      <c r="T651" t="inlineStr">
        <is>
          <t>LOW (40%)</t>
        </is>
      </c>
      <c r="U651" t="inlineStr">
        <is>
          <t>UNLIKELY</t>
        </is>
      </c>
      <c r="V651" t="inlineStr">
        <is>
          <t>CHECK_VENDOR</t>
        </is>
      </c>
      <c r="W651" t="inlineStr">
        <is>
          <t>https://nvd.nist.gov/vuln/detail/CVE-2025-69383</t>
        </is>
      </c>
      <c r="X651" t="inlineStr">
        <is>
          <t>NONE</t>
        </is>
      </c>
      <c r="Y651" t="n">
        <v>0</v>
      </c>
      <c r="Z651" t="inlineStr"/>
      <c r="AA651" t="inlineStr">
        <is>
          <t>https://nvd.nist.gov/vuln/detail/CVE-2025-69383</t>
        </is>
      </c>
    </row>
    <row r="652">
      <c r="A652" t="inlineStr">
        <is>
          <t>CVE</t>
        </is>
      </c>
      <c r="B652" t="inlineStr">
        <is>
          <t>CVE-2025-69384</t>
        </is>
      </c>
      <c r="C652" t="inlineStr">
        <is>
          <t>Improper Neutralization of Input During Web Page Generation ('Cross-site Scripting') vulnerability in wpdiscover Timeline Event History timeline-event-history allows Reflected XSS.This issue affects Timeline Event History: from n/a through &lt;= 3.2.</t>
        </is>
      </c>
      <c r="D652" t="n">
        <v>7.1</v>
      </c>
      <c r="E652" t="inlineStr">
        <is>
          <t>HIGH</t>
        </is>
      </c>
      <c r="F652" t="n">
        <v>2</v>
      </c>
      <c r="G652" t="n">
        <v>3</v>
      </c>
      <c r="H652" t="inlineStr">
        <is>
          <t>HIGH</t>
        </is>
      </c>
      <c r="I652" t="n">
        <v>13.1</v>
      </c>
      <c r="J652" t="inlineStr">
        <is>
          <t>NO</t>
        </is>
      </c>
      <c r="K652" t="inlineStr">
        <is>
          <t>2026-02-26 00:15</t>
        </is>
      </c>
      <c r="L652" t="inlineStr">
        <is>
          <t>CHECK_VENDOR</t>
        </is>
      </c>
      <c r="M652" t="inlineStr">
        <is>
          <t>See CVE details</t>
        </is>
      </c>
      <c r="N652" t="inlineStr">
        <is>
          <t>P3</t>
        </is>
      </c>
      <c r="O652" t="inlineStr">
        <is>
          <t>CVE - IP enrichment n/a</t>
        </is>
      </c>
      <c r="P652" t="n">
        <v>0.0003</v>
      </c>
      <c r="Q652" t="n">
        <v>0.0951</v>
      </c>
      <c r="R652" t="inlineStr">
        <is>
          <t>T1189:Drive-by Compromise</t>
        </is>
      </c>
      <c r="S652" t="n">
        <v>1</v>
      </c>
      <c r="T652" t="inlineStr">
        <is>
          <t>LOW (40%)</t>
        </is>
      </c>
      <c r="U652" t="inlineStr">
        <is>
          <t>UNLIKELY</t>
        </is>
      </c>
      <c r="V652" t="inlineStr">
        <is>
          <t>CHECK_VENDOR</t>
        </is>
      </c>
      <c r="W652" t="inlineStr">
        <is>
          <t>https://nvd.nist.gov/vuln/detail/CVE-2025-69384</t>
        </is>
      </c>
      <c r="X652" t="inlineStr">
        <is>
          <t>NONE</t>
        </is>
      </c>
      <c r="Y652" t="n">
        <v>0</v>
      </c>
      <c r="Z652" t="inlineStr"/>
      <c r="AA652" t="inlineStr">
        <is>
          <t>https://nvd.nist.gov/vuln/detail/CVE-2025-69384</t>
        </is>
      </c>
    </row>
    <row r="653">
      <c r="A653" t="inlineStr">
        <is>
          <t>CVE</t>
        </is>
      </c>
      <c r="B653" t="inlineStr">
        <is>
          <t>CVE-2025-69385</t>
        </is>
      </c>
      <c r="C653" t="inlineStr">
        <is>
          <t>Missing Authorization vulnerability in AgniHD Cartify - WooCommerce Gutenberg WordPress Theme cartify allows Exploiting Incorrectly Configured Access Control Security Levels.This issue affects Cartify - WooCommerce Gutenberg WordPress Theme: from n/a through &lt;= 1.3.</t>
        </is>
      </c>
      <c r="D653" t="n">
        <v>6.5</v>
      </c>
      <c r="E653" t="inlineStr">
        <is>
          <t>MEDIUM</t>
        </is>
      </c>
      <c r="F653" t="n">
        <v>2</v>
      </c>
      <c r="G653" t="n">
        <v>2</v>
      </c>
      <c r="H653" t="inlineStr">
        <is>
          <t>MEDIUM</t>
        </is>
      </c>
      <c r="I653" t="n">
        <v>10.5</v>
      </c>
      <c r="J653" t="inlineStr">
        <is>
          <t>NO</t>
        </is>
      </c>
      <c r="K653" t="inlineStr">
        <is>
          <t>2026-02-26 00:15</t>
        </is>
      </c>
      <c r="L653" t="inlineStr">
        <is>
          <t>CHECK_VENDOR</t>
        </is>
      </c>
      <c r="M653" t="inlineStr">
        <is>
          <t>See CVE details</t>
        </is>
      </c>
      <c r="N653" t="inlineStr">
        <is>
          <t>P4</t>
        </is>
      </c>
      <c r="O653" t="inlineStr">
        <is>
          <t>CVE - IP enrichment n/a</t>
        </is>
      </c>
      <c r="P653" t="n">
        <v>0</v>
      </c>
      <c r="Q653" t="n">
        <v>0</v>
      </c>
      <c r="R653" t="inlineStr">
        <is>
          <t>T1190:Exploit Public-Facing Application</t>
        </is>
      </c>
      <c r="S653" t="n">
        <v>1</v>
      </c>
      <c r="T653" t="inlineStr">
        <is>
          <t>LOW (40%)</t>
        </is>
      </c>
      <c r="U653" t="inlineStr">
        <is>
          <t>UNLIKELY</t>
        </is>
      </c>
      <c r="V653" t="inlineStr">
        <is>
          <t>CHECK_VENDOR</t>
        </is>
      </c>
      <c r="W653" t="inlineStr">
        <is>
          <t>https://nvd.nist.gov/vuln/detail/CVE-2025-69385</t>
        </is>
      </c>
      <c r="X653" t="inlineStr">
        <is>
          <t>NONE</t>
        </is>
      </c>
      <c r="Y653" t="n">
        <v>0</v>
      </c>
      <c r="Z653" t="inlineStr"/>
      <c r="AA653" t="inlineStr">
        <is>
          <t>https://nvd.nist.gov/vuln/detail/CVE-2025-69385</t>
        </is>
      </c>
    </row>
    <row r="654">
      <c r="A654" t="inlineStr">
        <is>
          <t>CVE</t>
        </is>
      </c>
      <c r="B654" t="inlineStr">
        <is>
          <t>CVE-2025-69386</t>
        </is>
      </c>
      <c r="C654" t="inlineStr">
        <is>
          <t>Improper Neutralization of Input During Web Page Generation ('Cross-site Scripting') vulnerability in realvirtualmx RVCFDI para Woocommerce rvcfdi-para-woocommerce allows Reflected XSS.This issue affects RVCFDI para Woocommerce: from n/a through &lt;= 8.1.8.</t>
        </is>
      </c>
      <c r="D654" t="n">
        <v>7.1</v>
      </c>
      <c r="E654" t="inlineStr">
        <is>
          <t>HIGH</t>
        </is>
      </c>
      <c r="F654" t="n">
        <v>2</v>
      </c>
      <c r="G654" t="n">
        <v>3</v>
      </c>
      <c r="H654" t="inlineStr">
        <is>
          <t>HIGH</t>
        </is>
      </c>
      <c r="I654" t="n">
        <v>13.1</v>
      </c>
      <c r="J654" t="inlineStr">
        <is>
          <t>NO</t>
        </is>
      </c>
      <c r="K654" t="inlineStr">
        <is>
          <t>2026-02-26 00:15</t>
        </is>
      </c>
      <c r="L654" t="inlineStr">
        <is>
          <t>CHECK_VENDOR</t>
        </is>
      </c>
      <c r="M654" t="inlineStr">
        <is>
          <t>See CVE details</t>
        </is>
      </c>
      <c r="N654" t="inlineStr">
        <is>
          <t>P3</t>
        </is>
      </c>
      <c r="O654" t="inlineStr">
        <is>
          <t>CVE - IP enrichment n/a</t>
        </is>
      </c>
      <c r="P654" t="n">
        <v>0.0003</v>
      </c>
      <c r="Q654" t="n">
        <v>0.0951</v>
      </c>
      <c r="R654" t="inlineStr">
        <is>
          <t>T1189:Drive-by Compromise | T1190:Exploit Public-Facing Application</t>
        </is>
      </c>
      <c r="S654" t="n">
        <v>1</v>
      </c>
      <c r="T654" t="inlineStr">
        <is>
          <t>LOW (40%)</t>
        </is>
      </c>
      <c r="U654" t="inlineStr">
        <is>
          <t>UNLIKELY</t>
        </is>
      </c>
      <c r="V654" t="inlineStr">
        <is>
          <t>CHECK_VENDOR</t>
        </is>
      </c>
      <c r="W654" t="inlineStr">
        <is>
          <t>https://nvd.nist.gov/vuln/detail/CVE-2025-69386</t>
        </is>
      </c>
      <c r="X654" t="inlineStr">
        <is>
          <t>NONE</t>
        </is>
      </c>
      <c r="Y654" t="n">
        <v>0</v>
      </c>
      <c r="Z654" t="inlineStr"/>
      <c r="AA654" t="inlineStr">
        <is>
          <t>https://nvd.nist.gov/vuln/detail/CVE-2025-69386</t>
        </is>
      </c>
    </row>
    <row r="655">
      <c r="A655" t="inlineStr">
        <is>
          <t>CVE</t>
        </is>
      </c>
      <c r="B655" t="inlineStr">
        <is>
          <t>CVE-2025-69387</t>
        </is>
      </c>
      <c r="C655" t="inlineStr">
        <is>
          <t>Improper Control of Filename for Include/Require Statement in PHP Program ('PHP Remote File Inclusion') vulnerability in whatwouldjessedo Simple Retail Menus simple-retail-menus allows PHP Local File Inclusion.This issue affects Simple Retail Menus: from n/a through &lt;= 4.2.1.</t>
        </is>
      </c>
      <c r="D655" t="n">
        <v>7.5</v>
      </c>
      <c r="E655" t="inlineStr">
        <is>
          <t>HIGH</t>
        </is>
      </c>
      <c r="F655" t="n">
        <v>2</v>
      </c>
      <c r="G655" t="n">
        <v>3</v>
      </c>
      <c r="H655" t="inlineStr">
        <is>
          <t>HIGH</t>
        </is>
      </c>
      <c r="I655" t="n">
        <v>13.5</v>
      </c>
      <c r="J655" t="inlineStr">
        <is>
          <t>NO</t>
        </is>
      </c>
      <c r="K655" t="inlineStr">
        <is>
          <t>2026-02-26 00:15</t>
        </is>
      </c>
      <c r="L655" t="inlineStr">
        <is>
          <t>CHECK_VENDOR</t>
        </is>
      </c>
      <c r="M655" t="inlineStr">
        <is>
          <t>See CVE details</t>
        </is>
      </c>
      <c r="N655" t="inlineStr">
        <is>
          <t>P3</t>
        </is>
      </c>
      <c r="O655" t="inlineStr">
        <is>
          <t>CVE - IP enrichment n/a</t>
        </is>
      </c>
      <c r="P655" t="n">
        <v>0</v>
      </c>
      <c r="Q655" t="n">
        <v>0</v>
      </c>
      <c r="R655" t="inlineStr">
        <is>
          <t>T1190:Exploit Public-Facing Application</t>
        </is>
      </c>
      <c r="S655" t="n">
        <v>1</v>
      </c>
      <c r="T655" t="inlineStr">
        <is>
          <t>LOW (40%)</t>
        </is>
      </c>
      <c r="U655" t="inlineStr">
        <is>
          <t>UNLIKELY</t>
        </is>
      </c>
      <c r="V655" t="inlineStr">
        <is>
          <t>CHECK_VENDOR</t>
        </is>
      </c>
      <c r="W655" t="inlineStr">
        <is>
          <t>https://nvd.nist.gov/vuln/detail/CVE-2025-69387</t>
        </is>
      </c>
      <c r="X655" t="inlineStr">
        <is>
          <t>NONE</t>
        </is>
      </c>
      <c r="Y655" t="n">
        <v>0</v>
      </c>
      <c r="Z655" t="inlineStr"/>
      <c r="AA655" t="inlineStr">
        <is>
          <t>https://nvd.nist.gov/vuln/detail/CVE-2025-69387</t>
        </is>
      </c>
    </row>
    <row r="656">
      <c r="A656" t="inlineStr">
        <is>
          <t>CVE</t>
        </is>
      </c>
      <c r="B656" t="inlineStr">
        <is>
          <t>CVE-2025-69388</t>
        </is>
      </c>
      <c r="C656" t="inlineStr">
        <is>
          <t>Missing Authorization vulnerability in cliengo Cliengo – Chatbot cliengo allows Exploiting Incorrectly Configured Access Control Security Levels.This issue affects Cliengo – Chatbot: from n/a through &lt;= 3.0.4.</t>
        </is>
      </c>
      <c r="D656" t="n">
        <v>6.5</v>
      </c>
      <c r="E656" t="inlineStr">
        <is>
          <t>MEDIUM</t>
        </is>
      </c>
      <c r="F656" t="n">
        <v>2</v>
      </c>
      <c r="G656" t="n">
        <v>2</v>
      </c>
      <c r="H656" t="inlineStr">
        <is>
          <t>MEDIUM</t>
        </is>
      </c>
      <c r="I656" t="n">
        <v>10.5</v>
      </c>
      <c r="J656" t="inlineStr">
        <is>
          <t>NO</t>
        </is>
      </c>
      <c r="K656" t="inlineStr">
        <is>
          <t>2026-02-26 00:15</t>
        </is>
      </c>
      <c r="L656" t="inlineStr">
        <is>
          <t>CHECK_VENDOR</t>
        </is>
      </c>
      <c r="M656" t="inlineStr">
        <is>
          <t>See CVE details</t>
        </is>
      </c>
      <c r="N656" t="inlineStr">
        <is>
          <t>P4</t>
        </is>
      </c>
      <c r="O656" t="inlineStr">
        <is>
          <t>CVE - IP enrichment n/a</t>
        </is>
      </c>
      <c r="P656" t="n">
        <v>0</v>
      </c>
      <c r="Q656" t="n">
        <v>0</v>
      </c>
      <c r="R656" t="inlineStr">
        <is>
          <t>T1190:Exploit Public-Facing Application</t>
        </is>
      </c>
      <c r="S656" t="n">
        <v>1</v>
      </c>
      <c r="T656" t="inlineStr">
        <is>
          <t>LOW (40%)</t>
        </is>
      </c>
      <c r="U656" t="inlineStr">
        <is>
          <t>UNLIKELY</t>
        </is>
      </c>
      <c r="V656" t="inlineStr">
        <is>
          <t>CHECK_VENDOR</t>
        </is>
      </c>
      <c r="W656" t="inlineStr">
        <is>
          <t>https://nvd.nist.gov/vuln/detail/CVE-2025-69388</t>
        </is>
      </c>
      <c r="X656" t="inlineStr">
        <is>
          <t>NONE</t>
        </is>
      </c>
      <c r="Y656" t="n">
        <v>0</v>
      </c>
      <c r="Z656" t="inlineStr"/>
      <c r="AA656" t="inlineStr">
        <is>
          <t>https://nvd.nist.gov/vuln/detail/CVE-2025-69388</t>
        </is>
      </c>
    </row>
    <row r="657">
      <c r="A657" t="inlineStr">
        <is>
          <t>CVE</t>
        </is>
      </c>
      <c r="B657" t="inlineStr">
        <is>
          <t>CVE-2025-69389</t>
        </is>
      </c>
      <c r="C657" t="inlineStr">
        <is>
          <t>Improper Neutralization of Input During Web Page Generation ('Cross-site Scripting') vulnerability in Hugh Mungus Visitor Maps Extended Referer Field visitor-maps-extended-referer-field allows Reflected XSS.This issue affects Visitor Maps Extended Referer Field: from n/a through &lt;= 1.2.6.</t>
        </is>
      </c>
      <c r="D657" t="n">
        <v>7.1</v>
      </c>
      <c r="E657" t="inlineStr">
        <is>
          <t>HIGH</t>
        </is>
      </c>
      <c r="F657" t="n">
        <v>2</v>
      </c>
      <c r="G657" t="n">
        <v>3</v>
      </c>
      <c r="H657" t="inlineStr">
        <is>
          <t>HIGH</t>
        </is>
      </c>
      <c r="I657" t="n">
        <v>13.1</v>
      </c>
      <c r="J657" t="inlineStr">
        <is>
          <t>NO</t>
        </is>
      </c>
      <c r="K657" t="inlineStr">
        <is>
          <t>2026-02-26 00:15</t>
        </is>
      </c>
      <c r="L657" t="inlineStr">
        <is>
          <t>CHECK_VENDOR</t>
        </is>
      </c>
      <c r="M657" t="inlineStr">
        <is>
          <t>See CVE details</t>
        </is>
      </c>
      <c r="N657" t="inlineStr">
        <is>
          <t>P3</t>
        </is>
      </c>
      <c r="O657" t="inlineStr">
        <is>
          <t>CVE - IP enrichment n/a</t>
        </is>
      </c>
      <c r="P657" t="n">
        <v>0.0003</v>
      </c>
      <c r="Q657" t="n">
        <v>0.0951</v>
      </c>
      <c r="R657" t="inlineStr">
        <is>
          <t>T1189:Drive-by Compromise</t>
        </is>
      </c>
      <c r="S657" t="n">
        <v>1</v>
      </c>
      <c r="T657" t="inlineStr">
        <is>
          <t>LOW (40%)</t>
        </is>
      </c>
      <c r="U657" t="inlineStr">
        <is>
          <t>UNLIKELY</t>
        </is>
      </c>
      <c r="V657" t="inlineStr">
        <is>
          <t>CHECK_VENDOR</t>
        </is>
      </c>
      <c r="W657" t="inlineStr">
        <is>
          <t>https://nvd.nist.gov/vuln/detail/CVE-2025-69389</t>
        </is>
      </c>
      <c r="X657" t="inlineStr">
        <is>
          <t>NONE</t>
        </is>
      </c>
      <c r="Y657" t="n">
        <v>0</v>
      </c>
      <c r="Z657" t="inlineStr"/>
      <c r="AA657" t="inlineStr">
        <is>
          <t>https://nvd.nist.gov/vuln/detail/CVE-2025-69389</t>
        </is>
      </c>
    </row>
    <row r="658">
      <c r="A658" t="inlineStr">
        <is>
          <t>CVE</t>
        </is>
      </c>
      <c r="B658" t="inlineStr">
        <is>
          <t>CVE-2025-69390</t>
        </is>
      </c>
      <c r="C658" t="inlineStr">
        <is>
          <t>Improper Neutralization of Input During Web Page Generation ('Cross-site Scripting') vulnerability in themebon Business Template Blocks for WPBakery (Visual Composer) Page Builder templates-and-addons-for-wpbakery-page-builder allows Reflected XSS.This issue affects Business Template Blocks for WPBakery (Visual Composer) Page Builder: from n/a through &lt;= 1.3.2.</t>
        </is>
      </c>
      <c r="D658" t="n">
        <v>7.1</v>
      </c>
      <c r="E658" t="inlineStr">
        <is>
          <t>HIGH</t>
        </is>
      </c>
      <c r="F658" t="n">
        <v>2</v>
      </c>
      <c r="G658" t="n">
        <v>3</v>
      </c>
      <c r="H658" t="inlineStr">
        <is>
          <t>HIGH</t>
        </is>
      </c>
      <c r="I658" t="n">
        <v>13.1</v>
      </c>
      <c r="J658" t="inlineStr">
        <is>
          <t>NO</t>
        </is>
      </c>
      <c r="K658" t="inlineStr">
        <is>
          <t>2026-02-26 00:15</t>
        </is>
      </c>
      <c r="L658" t="inlineStr">
        <is>
          <t>CHECK_VENDOR</t>
        </is>
      </c>
      <c r="M658" t="inlineStr">
        <is>
          <t>See CVE details</t>
        </is>
      </c>
      <c r="N658" t="inlineStr">
        <is>
          <t>P3</t>
        </is>
      </c>
      <c r="O658" t="inlineStr">
        <is>
          <t>CVE - IP enrichment n/a</t>
        </is>
      </c>
      <c r="P658" t="n">
        <v>0.0003</v>
      </c>
      <c r="Q658" t="n">
        <v>0.0951</v>
      </c>
      <c r="R658" t="inlineStr">
        <is>
          <t>T1189:Drive-by Compromise</t>
        </is>
      </c>
      <c r="S658" t="n">
        <v>1</v>
      </c>
      <c r="T658" t="inlineStr">
        <is>
          <t>LOW (40%)</t>
        </is>
      </c>
      <c r="U658" t="inlineStr">
        <is>
          <t>UNLIKELY</t>
        </is>
      </c>
      <c r="V658" t="inlineStr">
        <is>
          <t>CHECK_VENDOR</t>
        </is>
      </c>
      <c r="W658" t="inlineStr">
        <is>
          <t>https://nvd.nist.gov/vuln/detail/CVE-2025-69390</t>
        </is>
      </c>
      <c r="X658" t="inlineStr">
        <is>
          <t>NONE</t>
        </is>
      </c>
      <c r="Y658" t="n">
        <v>0</v>
      </c>
      <c r="Z658" t="inlineStr"/>
      <c r="AA658" t="inlineStr">
        <is>
          <t>https://nvd.nist.gov/vuln/detail/CVE-2025-69390</t>
        </is>
      </c>
    </row>
    <row r="659">
      <c r="A659" t="inlineStr">
        <is>
          <t>CVE</t>
        </is>
      </c>
      <c r="B659" t="inlineStr">
        <is>
          <t>CVE-2025-69391</t>
        </is>
      </c>
      <c r="C659" t="inlineStr">
        <is>
          <t>Improper Neutralization of Input During Web Page Generation ('Cross-site Scripting') vulnerability in GT3themes Diamond diamond allows Reflected XSS.This issue affects Diamond: from n/a through &lt;= 2.4.8.</t>
        </is>
      </c>
      <c r="D659" t="n">
        <v>7.1</v>
      </c>
      <c r="E659" t="inlineStr">
        <is>
          <t>HIGH</t>
        </is>
      </c>
      <c r="F659" t="n">
        <v>2</v>
      </c>
      <c r="G659" t="n">
        <v>3</v>
      </c>
      <c r="H659" t="inlineStr">
        <is>
          <t>HIGH</t>
        </is>
      </c>
      <c r="I659" t="n">
        <v>13.1</v>
      </c>
      <c r="J659" t="inlineStr">
        <is>
          <t>NO</t>
        </is>
      </c>
      <c r="K659" t="inlineStr">
        <is>
          <t>2026-02-26 00:15</t>
        </is>
      </c>
      <c r="L659" t="inlineStr">
        <is>
          <t>CHECK_VENDOR</t>
        </is>
      </c>
      <c r="M659" t="inlineStr">
        <is>
          <t>See CVE details</t>
        </is>
      </c>
      <c r="N659" t="inlineStr">
        <is>
          <t>P3</t>
        </is>
      </c>
      <c r="O659" t="inlineStr">
        <is>
          <t>CVE - IP enrichment n/a</t>
        </is>
      </c>
      <c r="P659" t="n">
        <v>0</v>
      </c>
      <c r="Q659" t="n">
        <v>0</v>
      </c>
      <c r="R659" t="inlineStr">
        <is>
          <t>T1189:Drive-by Compromise</t>
        </is>
      </c>
      <c r="S659" t="n">
        <v>1</v>
      </c>
      <c r="T659" t="inlineStr">
        <is>
          <t>LOW (40%)</t>
        </is>
      </c>
      <c r="U659" t="inlineStr">
        <is>
          <t>UNLIKELY</t>
        </is>
      </c>
      <c r="V659" t="inlineStr">
        <is>
          <t>CHECK_VENDOR</t>
        </is>
      </c>
      <c r="W659" t="inlineStr">
        <is>
          <t>https://nvd.nist.gov/vuln/detail/CVE-2025-69391</t>
        </is>
      </c>
      <c r="X659" t="inlineStr">
        <is>
          <t>NONE</t>
        </is>
      </c>
      <c r="Y659" t="n">
        <v>0</v>
      </c>
      <c r="Z659" t="inlineStr"/>
      <c r="AA659" t="inlineStr">
        <is>
          <t>https://nvd.nist.gov/vuln/detail/CVE-2025-69391</t>
        </is>
      </c>
    </row>
    <row r="660">
      <c r="A660" t="inlineStr">
        <is>
          <t>CVE</t>
        </is>
      </c>
      <c r="B660" t="inlineStr">
        <is>
          <t>CVE-2025-69392</t>
        </is>
      </c>
      <c r="C660" t="inlineStr">
        <is>
          <t>Improper Neutralization of Input During Web Page Generation ('Cross-site Scripting') vulnerability in itex iMoney imoney allows Reflected XSS.This issue affects iMoney: from n/a through &lt;= 0.36.</t>
        </is>
      </c>
      <c r="D660" t="n">
        <v>7.1</v>
      </c>
      <c r="E660" t="inlineStr">
        <is>
          <t>HIGH</t>
        </is>
      </c>
      <c r="F660" t="n">
        <v>2</v>
      </c>
      <c r="G660" t="n">
        <v>3</v>
      </c>
      <c r="H660" t="inlineStr">
        <is>
          <t>HIGH</t>
        </is>
      </c>
      <c r="I660" t="n">
        <v>13.1</v>
      </c>
      <c r="J660" t="inlineStr">
        <is>
          <t>NO</t>
        </is>
      </c>
      <c r="K660" t="inlineStr">
        <is>
          <t>2026-02-26 00:15</t>
        </is>
      </c>
      <c r="L660" t="inlineStr">
        <is>
          <t>CHECK_VENDOR</t>
        </is>
      </c>
      <c r="M660" t="inlineStr">
        <is>
          <t>See CVE details</t>
        </is>
      </c>
      <c r="N660" t="inlineStr">
        <is>
          <t>P3</t>
        </is>
      </c>
      <c r="O660" t="inlineStr">
        <is>
          <t>CVE - IP enrichment n/a</t>
        </is>
      </c>
      <c r="P660" t="n">
        <v>0.0003</v>
      </c>
      <c r="Q660" t="n">
        <v>0.0951</v>
      </c>
      <c r="R660" t="inlineStr">
        <is>
          <t>T1189:Drive-by Compromise</t>
        </is>
      </c>
      <c r="S660" t="n">
        <v>1</v>
      </c>
      <c r="T660" t="inlineStr">
        <is>
          <t>LOW (40%)</t>
        </is>
      </c>
      <c r="U660" t="inlineStr">
        <is>
          <t>UNLIKELY</t>
        </is>
      </c>
      <c r="V660" t="inlineStr">
        <is>
          <t>CHECK_VENDOR</t>
        </is>
      </c>
      <c r="W660" t="inlineStr">
        <is>
          <t>https://nvd.nist.gov/vuln/detail/CVE-2025-69392</t>
        </is>
      </c>
      <c r="X660" t="inlineStr">
        <is>
          <t>NONE</t>
        </is>
      </c>
      <c r="Y660" t="n">
        <v>0</v>
      </c>
      <c r="Z660" t="inlineStr"/>
      <c r="AA660" t="inlineStr">
        <is>
          <t>https://nvd.nist.gov/vuln/detail/CVE-2025-69392</t>
        </is>
      </c>
    </row>
    <row r="661">
      <c r="A661" t="inlineStr">
        <is>
          <t>CVE</t>
        </is>
      </c>
      <c r="B661" t="inlineStr">
        <is>
          <t>CVE-2025-69393</t>
        </is>
      </c>
      <c r="C661" t="inlineStr">
        <is>
          <t>Missing Authorization vulnerability in Jthemes Exzo exzo allows Exploiting Incorrectly Configured Access Control Security Levels.This issue affects Exzo: from n/a through &lt;= 1.2.4.</t>
        </is>
      </c>
      <c r="D661" t="n">
        <v>7.5</v>
      </c>
      <c r="E661" t="inlineStr">
        <is>
          <t>HIGH</t>
        </is>
      </c>
      <c r="F661" t="n">
        <v>2</v>
      </c>
      <c r="G661" t="n">
        <v>3</v>
      </c>
      <c r="H661" t="inlineStr">
        <is>
          <t>HIGH</t>
        </is>
      </c>
      <c r="I661" t="n">
        <v>13.5</v>
      </c>
      <c r="J661" t="inlineStr">
        <is>
          <t>NO</t>
        </is>
      </c>
      <c r="K661" t="inlineStr">
        <is>
          <t>2026-02-26 00:15</t>
        </is>
      </c>
      <c r="L661" t="inlineStr">
        <is>
          <t>CHECK_VENDOR</t>
        </is>
      </c>
      <c r="M661" t="inlineStr">
        <is>
          <t>See CVE details</t>
        </is>
      </c>
      <c r="N661" t="inlineStr">
        <is>
          <t>P3</t>
        </is>
      </c>
      <c r="O661" t="inlineStr">
        <is>
          <t>CVE - IP enrichment n/a</t>
        </is>
      </c>
      <c r="P661" t="n">
        <v>0</v>
      </c>
      <c r="Q661" t="n">
        <v>0</v>
      </c>
      <c r="R661" t="inlineStr">
        <is>
          <t>T1190:Exploit Public-Facing Application</t>
        </is>
      </c>
      <c r="S661" t="n">
        <v>1</v>
      </c>
      <c r="T661" t="inlineStr">
        <is>
          <t>LOW (40%)</t>
        </is>
      </c>
      <c r="U661" t="inlineStr">
        <is>
          <t>UNLIKELY</t>
        </is>
      </c>
      <c r="V661" t="inlineStr">
        <is>
          <t>CHECK_VENDOR</t>
        </is>
      </c>
      <c r="W661" t="inlineStr">
        <is>
          <t>https://nvd.nist.gov/vuln/detail/CVE-2025-69393</t>
        </is>
      </c>
      <c r="X661" t="inlineStr">
        <is>
          <t>NONE</t>
        </is>
      </c>
      <c r="Y661" t="n">
        <v>0</v>
      </c>
      <c r="Z661" t="inlineStr"/>
      <c r="AA661" t="inlineStr">
        <is>
          <t>https://nvd.nist.gov/vuln/detail/CVE-2025-69393</t>
        </is>
      </c>
    </row>
    <row r="662">
      <c r="A662" t="inlineStr">
        <is>
          <t>CVE</t>
        </is>
      </c>
      <c r="B662" t="inlineStr">
        <is>
          <t>CVE-2025-69394</t>
        </is>
      </c>
      <c r="C662" t="inlineStr">
        <is>
          <t>Authorization Bypass Through User-Controlled Key vulnerability in cnvrse Cnvrse cnvrse allows Exploiting Incorrectly Configured Access Control Security Levels.This issue affects Cnvrse: from n/a through &lt;= 026.02.10.20.</t>
        </is>
      </c>
      <c r="D662" t="n">
        <v>5</v>
      </c>
      <c r="E662" t="inlineStr">
        <is>
          <t>MEDIUM</t>
        </is>
      </c>
      <c r="F662" t="n">
        <v>2</v>
      </c>
      <c r="G662" t="n">
        <v>2</v>
      </c>
      <c r="H662" t="inlineStr">
        <is>
          <t>MEDIUM</t>
        </is>
      </c>
      <c r="I662" t="n">
        <v>9</v>
      </c>
      <c r="J662" t="inlineStr">
        <is>
          <t>NO</t>
        </is>
      </c>
      <c r="K662" t="inlineStr">
        <is>
          <t>2026-02-26 00:15</t>
        </is>
      </c>
      <c r="L662" t="inlineStr">
        <is>
          <t>CHECK_VENDOR</t>
        </is>
      </c>
      <c r="M662" t="inlineStr">
        <is>
          <t>See CVE details</t>
        </is>
      </c>
      <c r="N662" t="inlineStr">
        <is>
          <t>P4</t>
        </is>
      </c>
      <c r="O662" t="inlineStr">
        <is>
          <t>CVE - IP enrichment n/a</t>
        </is>
      </c>
      <c r="P662" t="n">
        <v>0</v>
      </c>
      <c r="Q662" t="n">
        <v>0</v>
      </c>
      <c r="R662" t="inlineStr">
        <is>
          <t>T1190:Exploit Public-Facing Application</t>
        </is>
      </c>
      <c r="S662" t="n">
        <v>1</v>
      </c>
      <c r="T662" t="inlineStr">
        <is>
          <t>LOW (40%)</t>
        </is>
      </c>
      <c r="U662" t="inlineStr">
        <is>
          <t>UNLIKELY</t>
        </is>
      </c>
      <c r="V662" t="inlineStr">
        <is>
          <t>CHECK_VENDOR</t>
        </is>
      </c>
      <c r="W662" t="inlineStr">
        <is>
          <t>https://nvd.nist.gov/vuln/detail/CVE-2025-69394</t>
        </is>
      </c>
      <c r="X662" t="inlineStr">
        <is>
          <t>NONE</t>
        </is>
      </c>
      <c r="Y662" t="n">
        <v>0</v>
      </c>
      <c r="Z662" t="inlineStr"/>
      <c r="AA662" t="inlineStr">
        <is>
          <t>https://nvd.nist.gov/vuln/detail/CVE-2025-69394</t>
        </is>
      </c>
    </row>
    <row r="663">
      <c r="A663" t="inlineStr">
        <is>
          <t>CVE</t>
        </is>
      </c>
      <c r="B663" t="inlineStr">
        <is>
          <t>CVE-2025-69395</t>
        </is>
      </c>
      <c r="C663" t="inlineStr">
        <is>
          <t>Improper Control of Filename for Include/Require Statement in PHP Program ('PHP Remote File Inclusion') vulnerability in ThemeREX Gable gable allows PHP Local File Inclusion.This issue affects Gable: from n/a through &lt;= 1.5.</t>
        </is>
      </c>
      <c r="D663" t="n">
        <v>8.1</v>
      </c>
      <c r="E663" t="inlineStr">
        <is>
          <t>HIGH</t>
        </is>
      </c>
      <c r="F663" t="n">
        <v>2</v>
      </c>
      <c r="G663" t="n">
        <v>3</v>
      </c>
      <c r="H663" t="inlineStr">
        <is>
          <t>HIGH</t>
        </is>
      </c>
      <c r="I663" t="n">
        <v>14.1</v>
      </c>
      <c r="J663" t="inlineStr">
        <is>
          <t>NO</t>
        </is>
      </c>
      <c r="K663" t="inlineStr">
        <is>
          <t>2026-02-26 00:15</t>
        </is>
      </c>
      <c r="L663" t="inlineStr">
        <is>
          <t>CHECK_VENDOR</t>
        </is>
      </c>
      <c r="M663" t="inlineStr">
        <is>
          <t>See CVE details</t>
        </is>
      </c>
      <c r="N663" t="inlineStr">
        <is>
          <t>P3</t>
        </is>
      </c>
      <c r="O663" t="inlineStr">
        <is>
          <t>CVE - IP enrichment n/a</t>
        </is>
      </c>
      <c r="P663" t="n">
        <v>0</v>
      </c>
      <c r="Q663" t="n">
        <v>0</v>
      </c>
      <c r="R663" t="inlineStr">
        <is>
          <t>T1190:Exploit Public-Facing Application</t>
        </is>
      </c>
      <c r="S663" t="n">
        <v>1</v>
      </c>
      <c r="T663" t="inlineStr">
        <is>
          <t>LOW (40%)</t>
        </is>
      </c>
      <c r="U663" t="inlineStr">
        <is>
          <t>UNLIKELY</t>
        </is>
      </c>
      <c r="V663" t="inlineStr">
        <is>
          <t>CHECK_VENDOR</t>
        </is>
      </c>
      <c r="W663" t="inlineStr">
        <is>
          <t>https://nvd.nist.gov/vuln/detail/CVE-2025-69395</t>
        </is>
      </c>
      <c r="X663" t="inlineStr">
        <is>
          <t>NONE</t>
        </is>
      </c>
      <c r="Y663" t="n">
        <v>0</v>
      </c>
      <c r="Z663" t="inlineStr"/>
      <c r="AA663" t="inlineStr">
        <is>
          <t>https://nvd.nist.gov/vuln/detail/CVE-2025-69395</t>
        </is>
      </c>
    </row>
    <row r="664">
      <c r="A664" t="inlineStr">
        <is>
          <t>CVE</t>
        </is>
      </c>
      <c r="B664" t="inlineStr">
        <is>
          <t>CVE-2025-69396</t>
        </is>
      </c>
      <c r="C664" t="inlineStr">
        <is>
          <t>Improper Control of Filename for Include/Require Statement in PHP Program ('PHP Remote File Inclusion') vulnerability in ThemeREX Splendour splendour allows PHP Local File Inclusion.This issue affects Splendour: from n/a through &lt;= 1.23.</t>
        </is>
      </c>
      <c r="D664" t="n">
        <v>8.1</v>
      </c>
      <c r="E664" t="inlineStr">
        <is>
          <t>HIGH</t>
        </is>
      </c>
      <c r="F664" t="n">
        <v>2</v>
      </c>
      <c r="G664" t="n">
        <v>3</v>
      </c>
      <c r="H664" t="inlineStr">
        <is>
          <t>HIGH</t>
        </is>
      </c>
      <c r="I664" t="n">
        <v>14.1</v>
      </c>
      <c r="J664" t="inlineStr">
        <is>
          <t>NO</t>
        </is>
      </c>
      <c r="K664" t="inlineStr">
        <is>
          <t>2026-02-26 00:15</t>
        </is>
      </c>
      <c r="L664" t="inlineStr">
        <is>
          <t>CHECK_VENDOR</t>
        </is>
      </c>
      <c r="M664" t="inlineStr">
        <is>
          <t>See CVE details</t>
        </is>
      </c>
      <c r="N664" t="inlineStr">
        <is>
          <t>P3</t>
        </is>
      </c>
      <c r="O664" t="inlineStr">
        <is>
          <t>CVE - IP enrichment n/a</t>
        </is>
      </c>
      <c r="P664" t="n">
        <v>0</v>
      </c>
      <c r="Q664" t="n">
        <v>0</v>
      </c>
      <c r="R664" t="inlineStr">
        <is>
          <t>T1190:Exploit Public-Facing Application</t>
        </is>
      </c>
      <c r="S664" t="n">
        <v>1</v>
      </c>
      <c r="T664" t="inlineStr">
        <is>
          <t>LOW (40%)</t>
        </is>
      </c>
      <c r="U664" t="inlineStr">
        <is>
          <t>UNLIKELY</t>
        </is>
      </c>
      <c r="V664" t="inlineStr">
        <is>
          <t>CHECK_VENDOR</t>
        </is>
      </c>
      <c r="W664" t="inlineStr">
        <is>
          <t>https://nvd.nist.gov/vuln/detail/CVE-2025-69396</t>
        </is>
      </c>
      <c r="X664" t="inlineStr">
        <is>
          <t>NONE</t>
        </is>
      </c>
      <c r="Y664" t="n">
        <v>0</v>
      </c>
      <c r="Z664" t="inlineStr"/>
      <c r="AA664" t="inlineStr">
        <is>
          <t>https://nvd.nist.gov/vuln/detail/CVE-2025-69396</t>
        </is>
      </c>
    </row>
    <row r="665">
      <c r="A665" t="inlineStr">
        <is>
          <t>CVE</t>
        </is>
      </c>
      <c r="B665" t="inlineStr">
        <is>
          <t>CVE-2025-69397</t>
        </is>
      </c>
      <c r="C665" t="inlineStr">
        <is>
          <t>Improper Control of Filename for Include/Require Statement in PHP Program ('PHP Remote File Inclusion') vulnerability in ThemeREX Tint tint allows PHP Local File Inclusion.This issue affects Tint: from n/a through &lt;= 1.7.</t>
        </is>
      </c>
      <c r="D665" t="n">
        <v>8.1</v>
      </c>
      <c r="E665" t="inlineStr">
        <is>
          <t>HIGH</t>
        </is>
      </c>
      <c r="F665" t="n">
        <v>2</v>
      </c>
      <c r="G665" t="n">
        <v>3</v>
      </c>
      <c r="H665" t="inlineStr">
        <is>
          <t>HIGH</t>
        </is>
      </c>
      <c r="I665" t="n">
        <v>14.1</v>
      </c>
      <c r="J665" t="inlineStr">
        <is>
          <t>NO</t>
        </is>
      </c>
      <c r="K665" t="inlineStr">
        <is>
          <t>2026-02-26 00:15</t>
        </is>
      </c>
      <c r="L665" t="inlineStr">
        <is>
          <t>CHECK_VENDOR</t>
        </is>
      </c>
      <c r="M665" t="inlineStr">
        <is>
          <t>See CVE details</t>
        </is>
      </c>
      <c r="N665" t="inlineStr">
        <is>
          <t>P3</t>
        </is>
      </c>
      <c r="O665" t="inlineStr">
        <is>
          <t>CVE - IP enrichment n/a</t>
        </is>
      </c>
      <c r="P665" t="n">
        <v>0</v>
      </c>
      <c r="Q665" t="n">
        <v>0</v>
      </c>
      <c r="R665" t="inlineStr">
        <is>
          <t>T1190:Exploit Public-Facing Application</t>
        </is>
      </c>
      <c r="S665" t="n">
        <v>1</v>
      </c>
      <c r="T665" t="inlineStr">
        <is>
          <t>LOW (40%)</t>
        </is>
      </c>
      <c r="U665" t="inlineStr">
        <is>
          <t>UNLIKELY</t>
        </is>
      </c>
      <c r="V665" t="inlineStr">
        <is>
          <t>CHECK_VENDOR</t>
        </is>
      </c>
      <c r="W665" t="inlineStr">
        <is>
          <t>https://nvd.nist.gov/vuln/detail/CVE-2025-69397</t>
        </is>
      </c>
      <c r="X665" t="inlineStr">
        <is>
          <t>NONE</t>
        </is>
      </c>
      <c r="Y665" t="n">
        <v>0</v>
      </c>
      <c r="Z665" t="inlineStr"/>
      <c r="AA665" t="inlineStr">
        <is>
          <t>https://nvd.nist.gov/vuln/detail/CVE-2025-69397</t>
        </is>
      </c>
    </row>
    <row r="666">
      <c r="A666" t="inlineStr">
        <is>
          <t>CVE</t>
        </is>
      </c>
      <c r="B666" t="inlineStr">
        <is>
          <t>CVE-2025-69398</t>
        </is>
      </c>
      <c r="C666" t="inlineStr">
        <is>
          <t>Improper Control of Filename for Include/Require Statement in PHP Program ('PHP Remote File Inclusion') vulnerability in ThemeREX Plank plank allows PHP Local File Inclusion.This issue affects Plank: from n/a through &lt;= 1.7.</t>
        </is>
      </c>
      <c r="D666" t="n">
        <v>8.1</v>
      </c>
      <c r="E666" t="inlineStr">
        <is>
          <t>HIGH</t>
        </is>
      </c>
      <c r="F666" t="n">
        <v>2</v>
      </c>
      <c r="G666" t="n">
        <v>3</v>
      </c>
      <c r="H666" t="inlineStr">
        <is>
          <t>HIGH</t>
        </is>
      </c>
      <c r="I666" t="n">
        <v>14.1</v>
      </c>
      <c r="J666" t="inlineStr">
        <is>
          <t>NO</t>
        </is>
      </c>
      <c r="K666" t="inlineStr">
        <is>
          <t>2026-02-26 00:15</t>
        </is>
      </c>
      <c r="L666" t="inlineStr">
        <is>
          <t>CHECK_VENDOR</t>
        </is>
      </c>
      <c r="M666" t="inlineStr">
        <is>
          <t>See CVE details</t>
        </is>
      </c>
      <c r="N666" t="inlineStr">
        <is>
          <t>P3</t>
        </is>
      </c>
      <c r="O666" t="inlineStr">
        <is>
          <t>CVE - IP enrichment n/a</t>
        </is>
      </c>
      <c r="P666" t="n">
        <v>0</v>
      </c>
      <c r="Q666" t="n">
        <v>0</v>
      </c>
      <c r="R666" t="inlineStr">
        <is>
          <t>T1190:Exploit Public-Facing Application</t>
        </is>
      </c>
      <c r="S666" t="n">
        <v>1</v>
      </c>
      <c r="T666" t="inlineStr">
        <is>
          <t>LOW (40%)</t>
        </is>
      </c>
      <c r="U666" t="inlineStr">
        <is>
          <t>UNLIKELY</t>
        </is>
      </c>
      <c r="V666" t="inlineStr">
        <is>
          <t>CHECK_VENDOR</t>
        </is>
      </c>
      <c r="W666" t="inlineStr">
        <is>
          <t>https://nvd.nist.gov/vuln/detail/CVE-2025-69398</t>
        </is>
      </c>
      <c r="X666" t="inlineStr">
        <is>
          <t>NONE</t>
        </is>
      </c>
      <c r="Y666" t="n">
        <v>0</v>
      </c>
      <c r="Z666" t="inlineStr"/>
      <c r="AA666" t="inlineStr">
        <is>
          <t>https://nvd.nist.gov/vuln/detail/CVE-2025-69398</t>
        </is>
      </c>
    </row>
    <row r="667">
      <c r="A667" t="inlineStr">
        <is>
          <t>CVE</t>
        </is>
      </c>
      <c r="B667" t="inlineStr">
        <is>
          <t>CVE-2025-69399</t>
        </is>
      </c>
      <c r="C667" t="inlineStr">
        <is>
          <t>Improper Control of Filename for Include/Require Statement in PHP Program ('PHP Remote File Inclusion') vulnerability in ThemeREX Cobble cobble allows PHP Local File Inclusion.This issue affects Cobble: from n/a through &lt;= 1.7.</t>
        </is>
      </c>
      <c r="D667" t="n">
        <v>8.1</v>
      </c>
      <c r="E667" t="inlineStr">
        <is>
          <t>HIGH</t>
        </is>
      </c>
      <c r="F667" t="n">
        <v>2</v>
      </c>
      <c r="G667" t="n">
        <v>3</v>
      </c>
      <c r="H667" t="inlineStr">
        <is>
          <t>HIGH</t>
        </is>
      </c>
      <c r="I667" t="n">
        <v>14.1</v>
      </c>
      <c r="J667" t="inlineStr">
        <is>
          <t>NO</t>
        </is>
      </c>
      <c r="K667" t="inlineStr">
        <is>
          <t>2026-02-26 00:15</t>
        </is>
      </c>
      <c r="L667" t="inlineStr">
        <is>
          <t>CHECK_VENDOR</t>
        </is>
      </c>
      <c r="M667" t="inlineStr">
        <is>
          <t>See CVE details</t>
        </is>
      </c>
      <c r="N667" t="inlineStr">
        <is>
          <t>P3</t>
        </is>
      </c>
      <c r="O667" t="inlineStr">
        <is>
          <t>CVE - IP enrichment n/a</t>
        </is>
      </c>
      <c r="P667" t="n">
        <v>0</v>
      </c>
      <c r="Q667" t="n">
        <v>0</v>
      </c>
      <c r="R667" t="inlineStr">
        <is>
          <t>T1190:Exploit Public-Facing Application</t>
        </is>
      </c>
      <c r="S667" t="n">
        <v>1</v>
      </c>
      <c r="T667" t="inlineStr">
        <is>
          <t>LOW (40%)</t>
        </is>
      </c>
      <c r="U667" t="inlineStr">
        <is>
          <t>UNLIKELY</t>
        </is>
      </c>
      <c r="V667" t="inlineStr">
        <is>
          <t>CHECK_VENDOR</t>
        </is>
      </c>
      <c r="W667" t="inlineStr">
        <is>
          <t>https://nvd.nist.gov/vuln/detail/CVE-2025-69399</t>
        </is>
      </c>
      <c r="X667" t="inlineStr">
        <is>
          <t>NONE</t>
        </is>
      </c>
      <c r="Y667" t="n">
        <v>0</v>
      </c>
      <c r="Z667" t="inlineStr"/>
      <c r="AA667" t="inlineStr">
        <is>
          <t>https://nvd.nist.gov/vuln/detail/CVE-2025-69399</t>
        </is>
      </c>
    </row>
    <row r="668">
      <c r="A668" t="inlineStr">
        <is>
          <t>CVE</t>
        </is>
      </c>
      <c r="B668" t="inlineStr">
        <is>
          <t>CVE-2025-69400</t>
        </is>
      </c>
      <c r="C668" t="inlineStr">
        <is>
          <t>Improper Control of Filename for Include/Require Statement in PHP Program ('PHP Remote File Inclusion') vulnerability in ThemeREX Yokoo yokoo allows PHP Local File Inclusion.This issue affects Yokoo: from n/a through &lt;= 1.1.11.</t>
        </is>
      </c>
      <c r="D668" t="n">
        <v>8.1</v>
      </c>
      <c r="E668" t="inlineStr">
        <is>
          <t>HIGH</t>
        </is>
      </c>
      <c r="F668" t="n">
        <v>2</v>
      </c>
      <c r="G668" t="n">
        <v>3</v>
      </c>
      <c r="H668" t="inlineStr">
        <is>
          <t>HIGH</t>
        </is>
      </c>
      <c r="I668" t="n">
        <v>14.1</v>
      </c>
      <c r="J668" t="inlineStr">
        <is>
          <t>NO</t>
        </is>
      </c>
      <c r="K668" t="inlineStr">
        <is>
          <t>2026-02-26 00:15</t>
        </is>
      </c>
      <c r="L668" t="inlineStr">
        <is>
          <t>CHECK_VENDOR</t>
        </is>
      </c>
      <c r="M668" t="inlineStr">
        <is>
          <t>See CVE details</t>
        </is>
      </c>
      <c r="N668" t="inlineStr">
        <is>
          <t>P3</t>
        </is>
      </c>
      <c r="O668" t="inlineStr">
        <is>
          <t>CVE - IP enrichment n/a</t>
        </is>
      </c>
      <c r="P668" t="n">
        <v>0.0011</v>
      </c>
      <c r="Q668" t="n">
        <v>0.3022</v>
      </c>
      <c r="R668" t="inlineStr">
        <is>
          <t>T1190:Exploit Public-Facing Application</t>
        </is>
      </c>
      <c r="S668" t="n">
        <v>1</v>
      </c>
      <c r="T668" t="inlineStr">
        <is>
          <t>LOW (40%)</t>
        </is>
      </c>
      <c r="U668" t="inlineStr">
        <is>
          <t>UNLIKELY</t>
        </is>
      </c>
      <c r="V668" t="inlineStr">
        <is>
          <t>CHECK_VENDOR</t>
        </is>
      </c>
      <c r="W668" t="inlineStr">
        <is>
          <t>https://nvd.nist.gov/vuln/detail/CVE-2025-69400</t>
        </is>
      </c>
      <c r="X668" t="inlineStr">
        <is>
          <t>NONE</t>
        </is>
      </c>
      <c r="Y668" t="n">
        <v>0</v>
      </c>
      <c r="Z668" t="inlineStr"/>
      <c r="AA668" t="inlineStr">
        <is>
          <t>https://nvd.nist.gov/vuln/detail/CVE-2025-69400</t>
        </is>
      </c>
    </row>
    <row r="669">
      <c r="A669" t="inlineStr">
        <is>
          <t>CVE</t>
        </is>
      </c>
      <c r="B669" t="inlineStr">
        <is>
          <t>CVE-2025-69401</t>
        </is>
      </c>
      <c r="C669" t="inlineStr">
        <is>
          <t>Authentication Bypass by Spoofing vulnerability in mdalabar WooODT Lite byconsole-woo-order-delivery-time allows Identity Spoofing.This issue affects WooODT Lite: from n/a through &lt;= 2.5.2.</t>
        </is>
      </c>
      <c r="D669" t="n">
        <v>7.5</v>
      </c>
      <c r="E669" t="inlineStr">
        <is>
          <t>HIGH</t>
        </is>
      </c>
      <c r="F669" t="n">
        <v>2</v>
      </c>
      <c r="G669" t="n">
        <v>3</v>
      </c>
      <c r="H669" t="inlineStr">
        <is>
          <t>HIGH</t>
        </is>
      </c>
      <c r="I669" t="n">
        <v>13.5</v>
      </c>
      <c r="J669" t="inlineStr">
        <is>
          <t>NO</t>
        </is>
      </c>
      <c r="K669" t="inlineStr">
        <is>
          <t>2026-02-26 00:15</t>
        </is>
      </c>
      <c r="L669" t="inlineStr">
        <is>
          <t>CHECK_VENDOR</t>
        </is>
      </c>
      <c r="M669" t="inlineStr">
        <is>
          <t>See CVE details</t>
        </is>
      </c>
      <c r="N669" t="inlineStr">
        <is>
          <t>P3</t>
        </is>
      </c>
      <c r="O669" t="inlineStr">
        <is>
          <t>CVE - IP enrichment n/a</t>
        </is>
      </c>
      <c r="P669" t="n">
        <v>0.0002</v>
      </c>
      <c r="Q669" t="n">
        <v>0.0615</v>
      </c>
      <c r="R669" t="inlineStr">
        <is>
          <t>T1078:Valid Accounts</t>
        </is>
      </c>
      <c r="S669" t="n">
        <v>1</v>
      </c>
      <c r="T669" t="inlineStr">
        <is>
          <t>LOW (40%)</t>
        </is>
      </c>
      <c r="U669" t="inlineStr">
        <is>
          <t>UNLIKELY</t>
        </is>
      </c>
      <c r="V669" t="inlineStr">
        <is>
          <t>CHECK_VENDOR</t>
        </is>
      </c>
      <c r="W669" t="inlineStr">
        <is>
          <t>https://nvd.nist.gov/vuln/detail/CVE-2025-69401</t>
        </is>
      </c>
      <c r="X669" t="inlineStr">
        <is>
          <t>NONE</t>
        </is>
      </c>
      <c r="Y669" t="n">
        <v>0</v>
      </c>
      <c r="Z669" t="inlineStr"/>
      <c r="AA669" t="inlineStr">
        <is>
          <t>https://nvd.nist.gov/vuln/detail/CVE-2025-69401</t>
        </is>
      </c>
    </row>
    <row r="670">
      <c r="A670" t="inlineStr">
        <is>
          <t>CVE</t>
        </is>
      </c>
      <c r="B670" t="inlineStr">
        <is>
          <t>CVE-2025-69402</t>
        </is>
      </c>
      <c r="C670" t="inlineStr">
        <is>
          <t>Improper Control of Filename for Include/Require Statement in PHP Program ('PHP Remote File Inclusion') vulnerability in ThemeREX R&amp;F rf allows PHP Local File Inclusion.This issue affects R&amp;F: from n/a through &lt;= 1.5.</t>
        </is>
      </c>
      <c r="D670" t="n">
        <v>8.1</v>
      </c>
      <c r="E670" t="inlineStr">
        <is>
          <t>HIGH</t>
        </is>
      </c>
      <c r="F670" t="n">
        <v>2</v>
      </c>
      <c r="G670" t="n">
        <v>3</v>
      </c>
      <c r="H670" t="inlineStr">
        <is>
          <t>HIGH</t>
        </is>
      </c>
      <c r="I670" t="n">
        <v>14.1</v>
      </c>
      <c r="J670" t="inlineStr">
        <is>
          <t>NO</t>
        </is>
      </c>
      <c r="K670" t="inlineStr">
        <is>
          <t>2026-02-26 00:15</t>
        </is>
      </c>
      <c r="L670" t="inlineStr">
        <is>
          <t>CHECK_VENDOR</t>
        </is>
      </c>
      <c r="M670" t="inlineStr">
        <is>
          <t>See CVE details</t>
        </is>
      </c>
      <c r="N670" t="inlineStr">
        <is>
          <t>P3</t>
        </is>
      </c>
      <c r="O670" t="inlineStr">
        <is>
          <t>CVE - IP enrichment n/a</t>
        </is>
      </c>
      <c r="P670" t="n">
        <v>0.0011</v>
      </c>
      <c r="Q670" t="n">
        <v>0.3022</v>
      </c>
      <c r="R670" t="inlineStr">
        <is>
          <t>T1190:Exploit Public-Facing Application</t>
        </is>
      </c>
      <c r="S670" t="n">
        <v>1</v>
      </c>
      <c r="T670" t="inlineStr">
        <is>
          <t>LOW (40%)</t>
        </is>
      </c>
      <c r="U670" t="inlineStr">
        <is>
          <t>UNLIKELY</t>
        </is>
      </c>
      <c r="V670" t="inlineStr">
        <is>
          <t>CHECK_VENDOR</t>
        </is>
      </c>
      <c r="W670" t="inlineStr">
        <is>
          <t>https://nvd.nist.gov/vuln/detail/CVE-2025-69402</t>
        </is>
      </c>
      <c r="X670" t="inlineStr">
        <is>
          <t>NONE</t>
        </is>
      </c>
      <c r="Y670" t="n">
        <v>0</v>
      </c>
      <c r="Z670" t="inlineStr"/>
      <c r="AA670" t="inlineStr">
        <is>
          <t>https://nvd.nist.gov/vuln/detail/CVE-2025-69402</t>
        </is>
      </c>
    </row>
    <row r="671">
      <c r="A671" t="inlineStr">
        <is>
          <t>CVE</t>
        </is>
      </c>
      <c r="B671" t="inlineStr">
        <is>
          <t>CVE-2025-69403</t>
        </is>
      </c>
      <c r="C671" t="inlineStr">
        <is>
          <t>Unrestricted Upload of File with Dangerous Type vulnerability in Bravis-Themes Bravis Addons bravis-addons allows Using Malicious Files.This issue affects Bravis Addons: from n/a through &lt;= 1.1.9.</t>
        </is>
      </c>
      <c r="D671" t="n">
        <v>9.9</v>
      </c>
      <c r="E671" t="inlineStr">
        <is>
          <t>CRITICAL</t>
        </is>
      </c>
      <c r="F671" t="n">
        <v>2</v>
      </c>
      <c r="G671" t="n">
        <v>3</v>
      </c>
      <c r="H671" t="inlineStr">
        <is>
          <t>HIGH</t>
        </is>
      </c>
      <c r="I671" t="n">
        <v>15.9</v>
      </c>
      <c r="J671" t="inlineStr">
        <is>
          <t>NO</t>
        </is>
      </c>
      <c r="K671" t="inlineStr">
        <is>
          <t>2026-02-26 00:15</t>
        </is>
      </c>
      <c r="L671" t="inlineStr">
        <is>
          <t>CHECK_VENDOR</t>
        </is>
      </c>
      <c r="M671" t="inlineStr">
        <is>
          <t>See CVE details</t>
        </is>
      </c>
      <c r="N671" t="inlineStr">
        <is>
          <t>P3</t>
        </is>
      </c>
      <c r="O671" t="inlineStr">
        <is>
          <t>CVE - IP enrichment n/a</t>
        </is>
      </c>
      <c r="P671" t="n">
        <v>0</v>
      </c>
      <c r="Q671" t="n">
        <v>0</v>
      </c>
      <c r="R671" t="inlineStr">
        <is>
          <t>T1190:Exploit Public-Facing Application</t>
        </is>
      </c>
      <c r="S671" t="n">
        <v>1</v>
      </c>
      <c r="T671" t="inlineStr">
        <is>
          <t>LOW (40%)</t>
        </is>
      </c>
      <c r="U671" t="inlineStr">
        <is>
          <t>UNLIKELY</t>
        </is>
      </c>
      <c r="V671" t="inlineStr">
        <is>
          <t>CHECK_VENDOR</t>
        </is>
      </c>
      <c r="W671" t="inlineStr">
        <is>
          <t>https://nvd.nist.gov/vuln/detail/CVE-2025-69403</t>
        </is>
      </c>
      <c r="X671" t="inlineStr">
        <is>
          <t>NONE</t>
        </is>
      </c>
      <c r="Y671" t="n">
        <v>0</v>
      </c>
      <c r="Z671" t="inlineStr"/>
      <c r="AA671" t="inlineStr">
        <is>
          <t>https://nvd.nist.gov/vuln/detail/CVE-2025-69403</t>
        </is>
      </c>
    </row>
    <row r="672">
      <c r="A672" t="inlineStr">
        <is>
          <t>CVE</t>
        </is>
      </c>
      <c r="B672" t="inlineStr">
        <is>
          <t>CVE-2025-69404</t>
        </is>
      </c>
      <c r="C672" t="inlineStr">
        <is>
          <t>Deserialization of Untrusted Data vulnerability in ThemeREX Extreme Store extremestore allows Object Injection.This issue affects Extreme Store: from n/a through &lt;= 1.5.7.</t>
        </is>
      </c>
      <c r="D672" t="n">
        <v>9.800000000000001</v>
      </c>
      <c r="E672" t="inlineStr">
        <is>
          <t>CRITICAL</t>
        </is>
      </c>
      <c r="F672" t="n">
        <v>2</v>
      </c>
      <c r="G672" t="n">
        <v>3</v>
      </c>
      <c r="H672" t="inlineStr">
        <is>
          <t>HIGH</t>
        </is>
      </c>
      <c r="I672" t="n">
        <v>15.8</v>
      </c>
      <c r="J672" t="inlineStr">
        <is>
          <t>NO</t>
        </is>
      </c>
      <c r="K672" t="inlineStr">
        <is>
          <t>2026-02-26 00:15</t>
        </is>
      </c>
      <c r="L672" t="inlineStr">
        <is>
          <t>CHECK_VENDOR</t>
        </is>
      </c>
      <c r="M672" t="inlineStr">
        <is>
          <t>See CVE details</t>
        </is>
      </c>
      <c r="N672" t="inlineStr">
        <is>
          <t>P3</t>
        </is>
      </c>
      <c r="O672" t="inlineStr">
        <is>
          <t>CVE - IP enrichment n/a</t>
        </is>
      </c>
      <c r="P672" t="n">
        <v>0</v>
      </c>
      <c r="Q672" t="n">
        <v>0</v>
      </c>
      <c r="R672" t="inlineStr">
        <is>
          <t>T1059:Command and Scripting Interpreter</t>
        </is>
      </c>
      <c r="S672" t="n">
        <v>1</v>
      </c>
      <c r="T672" t="inlineStr">
        <is>
          <t>LOW (40%)</t>
        </is>
      </c>
      <c r="U672" t="inlineStr">
        <is>
          <t>UNLIKELY</t>
        </is>
      </c>
      <c r="V672" t="inlineStr">
        <is>
          <t>CHECK_VENDOR</t>
        </is>
      </c>
      <c r="W672" t="inlineStr">
        <is>
          <t>https://nvd.nist.gov/vuln/detail/CVE-2025-69404</t>
        </is>
      </c>
      <c r="X672" t="inlineStr">
        <is>
          <t>NONE</t>
        </is>
      </c>
      <c r="Y672" t="n">
        <v>0</v>
      </c>
      <c r="Z672" t="inlineStr"/>
      <c r="AA672" t="inlineStr">
        <is>
          <t>https://nvd.nist.gov/vuln/detail/CVE-2025-69404</t>
        </is>
      </c>
    </row>
    <row r="673">
      <c r="A673" t="inlineStr">
        <is>
          <t>CVE</t>
        </is>
      </c>
      <c r="B673" t="inlineStr">
        <is>
          <t>CVE-2025-69405</t>
        </is>
      </c>
      <c r="C673" t="inlineStr">
        <is>
          <t>Deserialization of Untrusted Data vulnerability in ThemeREX Lorem Ipsum | Books &amp; Media Store lorem-ipsum-books-media-store allows Object Injection.This issue affects Lorem Ipsum | Books &amp; Media Store: from n/a through &lt;= 1.2.6.</t>
        </is>
      </c>
      <c r="D673" t="n">
        <v>9.800000000000001</v>
      </c>
      <c r="E673" t="inlineStr">
        <is>
          <t>CRITICAL</t>
        </is>
      </c>
      <c r="F673" t="n">
        <v>2</v>
      </c>
      <c r="G673" t="n">
        <v>3</v>
      </c>
      <c r="H673" t="inlineStr">
        <is>
          <t>HIGH</t>
        </is>
      </c>
      <c r="I673" t="n">
        <v>15.8</v>
      </c>
      <c r="J673" t="inlineStr">
        <is>
          <t>NO</t>
        </is>
      </c>
      <c r="K673" t="inlineStr">
        <is>
          <t>2026-02-26 00:15</t>
        </is>
      </c>
      <c r="L673" t="inlineStr">
        <is>
          <t>CHECK_VENDOR</t>
        </is>
      </c>
      <c r="M673" t="inlineStr">
        <is>
          <t>See CVE details</t>
        </is>
      </c>
      <c r="N673" t="inlineStr">
        <is>
          <t>P3</t>
        </is>
      </c>
      <c r="O673" t="inlineStr">
        <is>
          <t>CVE - IP enrichment n/a</t>
        </is>
      </c>
      <c r="P673" t="n">
        <v>0</v>
      </c>
      <c r="Q673" t="n">
        <v>0</v>
      </c>
      <c r="R673" t="inlineStr">
        <is>
          <t>T1059:Command and Scripting Interpreter</t>
        </is>
      </c>
      <c r="S673" t="n">
        <v>1</v>
      </c>
      <c r="T673" t="inlineStr">
        <is>
          <t>LOW (40%)</t>
        </is>
      </c>
      <c r="U673" t="inlineStr">
        <is>
          <t>UNLIKELY</t>
        </is>
      </c>
      <c r="V673" t="inlineStr">
        <is>
          <t>CHECK_VENDOR</t>
        </is>
      </c>
      <c r="W673" t="inlineStr">
        <is>
          <t>https://nvd.nist.gov/vuln/detail/CVE-2025-69405</t>
        </is>
      </c>
      <c r="X673" t="inlineStr">
        <is>
          <t>NONE</t>
        </is>
      </c>
      <c r="Y673" t="n">
        <v>0</v>
      </c>
      <c r="Z673" t="inlineStr"/>
      <c r="AA673" t="inlineStr">
        <is>
          <t>https://nvd.nist.gov/vuln/detail/CVE-2025-69405</t>
        </is>
      </c>
    </row>
    <row r="674">
      <c r="A674" t="inlineStr">
        <is>
          <t>CVE</t>
        </is>
      </c>
      <c r="B674" t="inlineStr">
        <is>
          <t>CVE-2025-69406</t>
        </is>
      </c>
      <c r="C674" t="inlineStr">
        <is>
          <t>Improper Control of Filename for Include/Require Statement in PHP Program ('PHP Remote File Inclusion') vulnerability in ThemeREX FreightCo freightco allows PHP Local File Inclusion.This issue affects FreightCo: from n/a through &lt;= 1.1.7.</t>
        </is>
      </c>
      <c r="D674" t="n">
        <v>8.1</v>
      </c>
      <c r="E674" t="inlineStr">
        <is>
          <t>HIGH</t>
        </is>
      </c>
      <c r="F674" t="n">
        <v>2</v>
      </c>
      <c r="G674" t="n">
        <v>3</v>
      </c>
      <c r="H674" t="inlineStr">
        <is>
          <t>HIGH</t>
        </is>
      </c>
      <c r="I674" t="n">
        <v>14.1</v>
      </c>
      <c r="J674" t="inlineStr">
        <is>
          <t>NO</t>
        </is>
      </c>
      <c r="K674" t="inlineStr">
        <is>
          <t>2026-02-26 00:15</t>
        </is>
      </c>
      <c r="L674" t="inlineStr">
        <is>
          <t>CHECK_VENDOR</t>
        </is>
      </c>
      <c r="M674" t="inlineStr">
        <is>
          <t>See CVE details</t>
        </is>
      </c>
      <c r="N674" t="inlineStr">
        <is>
          <t>P3</t>
        </is>
      </c>
      <c r="O674" t="inlineStr">
        <is>
          <t>CVE - IP enrichment n/a</t>
        </is>
      </c>
      <c r="P674" t="n">
        <v>0</v>
      </c>
      <c r="Q674" t="n">
        <v>0</v>
      </c>
      <c r="R674" t="inlineStr">
        <is>
          <t>T1190:Exploit Public-Facing Application</t>
        </is>
      </c>
      <c r="S674" t="n">
        <v>1</v>
      </c>
      <c r="T674" t="inlineStr">
        <is>
          <t>LOW (40%)</t>
        </is>
      </c>
      <c r="U674" t="inlineStr">
        <is>
          <t>UNLIKELY</t>
        </is>
      </c>
      <c r="V674" t="inlineStr">
        <is>
          <t>CHECK_VENDOR</t>
        </is>
      </c>
      <c r="W674" t="inlineStr">
        <is>
          <t>https://nvd.nist.gov/vuln/detail/CVE-2025-69406</t>
        </is>
      </c>
      <c r="X674" t="inlineStr">
        <is>
          <t>NONE</t>
        </is>
      </c>
      <c r="Y674" t="n">
        <v>0</v>
      </c>
      <c r="Z674" t="inlineStr"/>
      <c r="AA674" t="inlineStr">
        <is>
          <t>https://nvd.nist.gov/vuln/detail/CVE-2025-69406</t>
        </is>
      </c>
    </row>
    <row r="675">
      <c r="A675" t="inlineStr">
        <is>
          <t>CVE</t>
        </is>
      </c>
      <c r="B675" t="inlineStr">
        <is>
          <t>CVE-2025-69407</t>
        </is>
      </c>
      <c r="C675" t="inlineStr">
        <is>
          <t>Improper Control of Filename for Include/Require Statement in PHP Program ('PHP Remote File Inclusion') vulnerability in Select-Themes Struktur struktur allows PHP Local File Inclusion.This issue affects Struktur: from n/a through &lt;= 2.5.1.</t>
        </is>
      </c>
      <c r="D675" t="n">
        <v>8.1</v>
      </c>
      <c r="E675" t="inlineStr">
        <is>
          <t>HIGH</t>
        </is>
      </c>
      <c r="F675" t="n">
        <v>2</v>
      </c>
      <c r="G675" t="n">
        <v>3</v>
      </c>
      <c r="H675" t="inlineStr">
        <is>
          <t>HIGH</t>
        </is>
      </c>
      <c r="I675" t="n">
        <v>14.1</v>
      </c>
      <c r="J675" t="inlineStr">
        <is>
          <t>NO</t>
        </is>
      </c>
      <c r="K675" t="inlineStr">
        <is>
          <t>2026-02-26 00:15</t>
        </is>
      </c>
      <c r="L675" t="inlineStr">
        <is>
          <t>CHECK_VENDOR</t>
        </is>
      </c>
      <c r="M675" t="inlineStr">
        <is>
          <t>See CVE details</t>
        </is>
      </c>
      <c r="N675" t="inlineStr">
        <is>
          <t>P3</t>
        </is>
      </c>
      <c r="O675" t="inlineStr">
        <is>
          <t>CVE - IP enrichment n/a</t>
        </is>
      </c>
      <c r="P675" t="n">
        <v>0</v>
      </c>
      <c r="Q675" t="n">
        <v>0</v>
      </c>
      <c r="R675" t="inlineStr">
        <is>
          <t>T1190:Exploit Public-Facing Application</t>
        </is>
      </c>
      <c r="S675" t="n">
        <v>1</v>
      </c>
      <c r="T675" t="inlineStr">
        <is>
          <t>LOW (40%)</t>
        </is>
      </c>
      <c r="U675" t="inlineStr">
        <is>
          <t>UNLIKELY</t>
        </is>
      </c>
      <c r="V675" t="inlineStr">
        <is>
          <t>CHECK_VENDOR</t>
        </is>
      </c>
      <c r="W675" t="inlineStr">
        <is>
          <t>https://nvd.nist.gov/vuln/detail/CVE-2025-69407</t>
        </is>
      </c>
      <c r="X675" t="inlineStr">
        <is>
          <t>NONE</t>
        </is>
      </c>
      <c r="Y675" t="n">
        <v>0</v>
      </c>
      <c r="Z675" t="inlineStr"/>
      <c r="AA675" t="inlineStr">
        <is>
          <t>https://nvd.nist.gov/vuln/detail/CVE-2025-69407</t>
        </is>
      </c>
    </row>
    <row r="676">
      <c r="A676" t="inlineStr">
        <is>
          <t>CVE</t>
        </is>
      </c>
      <c r="B676" t="inlineStr">
        <is>
          <t>CVE-2025-69408</t>
        </is>
      </c>
      <c r="C676" t="inlineStr">
        <is>
          <t>Improper Control of Filename for Include/Require Statement in PHP Program ('PHP Remote File Inclusion') vulnerability in Mikado-Themes HealthFirst healthfirst allows PHP Local File Inclusion.This issue affects HealthFirst: from n/a through &lt;= 1.0.1.</t>
        </is>
      </c>
      <c r="D676" t="n">
        <v>8.1</v>
      </c>
      <c r="E676" t="inlineStr">
        <is>
          <t>HIGH</t>
        </is>
      </c>
      <c r="F676" t="n">
        <v>2</v>
      </c>
      <c r="G676" t="n">
        <v>3</v>
      </c>
      <c r="H676" t="inlineStr">
        <is>
          <t>HIGH</t>
        </is>
      </c>
      <c r="I676" t="n">
        <v>14.1</v>
      </c>
      <c r="J676" t="inlineStr">
        <is>
          <t>NO</t>
        </is>
      </c>
      <c r="K676" t="inlineStr">
        <is>
          <t>2026-02-26 00:15</t>
        </is>
      </c>
      <c r="L676" t="inlineStr">
        <is>
          <t>CHECK_VENDOR</t>
        </is>
      </c>
      <c r="M676" t="inlineStr">
        <is>
          <t>See CVE details</t>
        </is>
      </c>
      <c r="N676" t="inlineStr">
        <is>
          <t>P3</t>
        </is>
      </c>
      <c r="O676" t="inlineStr">
        <is>
          <t>CVE - IP enrichment n/a</t>
        </is>
      </c>
      <c r="P676" t="n">
        <v>0.0011</v>
      </c>
      <c r="Q676" t="n">
        <v>0.3022</v>
      </c>
      <c r="R676" t="inlineStr">
        <is>
          <t>T1190:Exploit Public-Facing Application</t>
        </is>
      </c>
      <c r="S676" t="n">
        <v>1</v>
      </c>
      <c r="T676" t="inlineStr">
        <is>
          <t>LOW (40%)</t>
        </is>
      </c>
      <c r="U676" t="inlineStr">
        <is>
          <t>UNLIKELY</t>
        </is>
      </c>
      <c r="V676" t="inlineStr">
        <is>
          <t>CHECK_VENDOR</t>
        </is>
      </c>
      <c r="W676" t="inlineStr">
        <is>
          <t>https://nvd.nist.gov/vuln/detail/CVE-2025-69408</t>
        </is>
      </c>
      <c r="X676" t="inlineStr">
        <is>
          <t>NONE</t>
        </is>
      </c>
      <c r="Y676" t="n">
        <v>0</v>
      </c>
      <c r="Z676" t="inlineStr"/>
      <c r="AA676" t="inlineStr">
        <is>
          <t>https://nvd.nist.gov/vuln/detail/CVE-2025-69408</t>
        </is>
      </c>
    </row>
    <row r="677">
      <c r="A677" t="inlineStr">
        <is>
          <t>CVE</t>
        </is>
      </c>
      <c r="B677" t="inlineStr">
        <is>
          <t>CVE-2025-69409</t>
        </is>
      </c>
      <c r="C677" t="inlineStr">
        <is>
          <t>Improper Control of Filename for Include/Require Statement in PHP Program ('PHP Remote File Inclusion') vulnerability in axiomthemes PJ | Life &amp; Business Coaching pj allows PHP Local File Inclusion.This issue affects PJ | Life &amp; Business Coaching: from n/a through &lt;= 3.0.0.</t>
        </is>
      </c>
      <c r="D677" t="n">
        <v>8.1</v>
      </c>
      <c r="E677" t="inlineStr">
        <is>
          <t>HIGH</t>
        </is>
      </c>
      <c r="F677" t="n">
        <v>2</v>
      </c>
      <c r="G677" t="n">
        <v>3</v>
      </c>
      <c r="H677" t="inlineStr">
        <is>
          <t>HIGH</t>
        </is>
      </c>
      <c r="I677" t="n">
        <v>14.1</v>
      </c>
      <c r="J677" t="inlineStr">
        <is>
          <t>NO</t>
        </is>
      </c>
      <c r="K677" t="inlineStr">
        <is>
          <t>2026-02-26 00:15</t>
        </is>
      </c>
      <c r="L677" t="inlineStr">
        <is>
          <t>CHECK_VENDOR</t>
        </is>
      </c>
      <c r="M677" t="inlineStr">
        <is>
          <t>See CVE details</t>
        </is>
      </c>
      <c r="N677" t="inlineStr">
        <is>
          <t>P3</t>
        </is>
      </c>
      <c r="O677" t="inlineStr">
        <is>
          <t>CVE - IP enrichment n/a</t>
        </is>
      </c>
      <c r="P677" t="n">
        <v>0</v>
      </c>
      <c r="Q677" t="n">
        <v>0</v>
      </c>
      <c r="R677" t="inlineStr">
        <is>
          <t>T1190:Exploit Public-Facing Application</t>
        </is>
      </c>
      <c r="S677" t="n">
        <v>1</v>
      </c>
      <c r="T677" t="inlineStr">
        <is>
          <t>LOW (40%)</t>
        </is>
      </c>
      <c r="U677" t="inlineStr">
        <is>
          <t>UNLIKELY</t>
        </is>
      </c>
      <c r="V677" t="inlineStr">
        <is>
          <t>CHECK_VENDOR</t>
        </is>
      </c>
      <c r="W677" t="inlineStr">
        <is>
          <t>https://nvd.nist.gov/vuln/detail/CVE-2025-69409</t>
        </is>
      </c>
      <c r="X677" t="inlineStr">
        <is>
          <t>NONE</t>
        </is>
      </c>
      <c r="Y677" t="n">
        <v>0</v>
      </c>
      <c r="Z677" t="inlineStr"/>
      <c r="AA677" t="inlineStr">
        <is>
          <t>https://nvd.nist.gov/vuln/detail/CVE-2025-69409</t>
        </is>
      </c>
    </row>
    <row r="678">
      <c r="A678" t="inlineStr">
        <is>
          <t>CVE</t>
        </is>
      </c>
      <c r="B678" t="inlineStr">
        <is>
          <t>CVE-2025-69410</t>
        </is>
      </c>
      <c r="C678" t="inlineStr">
        <is>
          <t>Improper Control of Filename for Include/Require Statement in PHP Program ('PHP Remote File Inclusion') vulnerability in Edge-Themes Belletrist belletrist allows PHP Local File Inclusion.This issue affects Belletrist: from n/a through &lt;= 1.2.</t>
        </is>
      </c>
      <c r="D678" t="n">
        <v>8.1</v>
      </c>
      <c r="E678" t="inlineStr">
        <is>
          <t>HIGH</t>
        </is>
      </c>
      <c r="F678" t="n">
        <v>2</v>
      </c>
      <c r="G678" t="n">
        <v>3</v>
      </c>
      <c r="H678" t="inlineStr">
        <is>
          <t>HIGH</t>
        </is>
      </c>
      <c r="I678" t="n">
        <v>14.1</v>
      </c>
      <c r="J678" t="inlineStr">
        <is>
          <t>NO</t>
        </is>
      </c>
      <c r="K678" t="inlineStr">
        <is>
          <t>2026-02-26 00:15</t>
        </is>
      </c>
      <c r="L678" t="inlineStr">
        <is>
          <t>CHECK_VENDOR</t>
        </is>
      </c>
      <c r="M678" t="inlineStr">
        <is>
          <t>See CVE details</t>
        </is>
      </c>
      <c r="N678" t="inlineStr">
        <is>
          <t>P3</t>
        </is>
      </c>
      <c r="O678" t="inlineStr">
        <is>
          <t>CVE - IP enrichment n/a</t>
        </is>
      </c>
      <c r="P678" t="n">
        <v>0.0011</v>
      </c>
      <c r="Q678" t="n">
        <v>0.3022</v>
      </c>
      <c r="R678" t="inlineStr">
        <is>
          <t>T1190:Exploit Public-Facing Application</t>
        </is>
      </c>
      <c r="S678" t="n">
        <v>1</v>
      </c>
      <c r="T678" t="inlineStr">
        <is>
          <t>LOW (40%)</t>
        </is>
      </c>
      <c r="U678" t="inlineStr">
        <is>
          <t>UNLIKELY</t>
        </is>
      </c>
      <c r="V678" t="inlineStr">
        <is>
          <t>CHECK_VENDOR</t>
        </is>
      </c>
      <c r="W678" t="inlineStr">
        <is>
          <t>https://nvd.nist.gov/vuln/detail/CVE-2025-69410</t>
        </is>
      </c>
      <c r="X678" t="inlineStr">
        <is>
          <t>NONE</t>
        </is>
      </c>
      <c r="Y678" t="n">
        <v>0</v>
      </c>
      <c r="Z678" t="inlineStr"/>
      <c r="AA678" t="inlineStr">
        <is>
          <t>https://nvd.nist.gov/vuln/detail/CVE-2025-69410</t>
        </is>
      </c>
    </row>
    <row r="679">
      <c r="A679" t="inlineStr">
        <is>
          <t>CVE</t>
        </is>
      </c>
      <c r="B679" t="inlineStr">
        <is>
          <t>CVE-2025-70831</t>
        </is>
      </c>
      <c r="C679" t="inlineStr">
        <is>
          <t>A Remote Code Execution (RCE) vulnerability was found in Smanga 3.2.7 in the /php/path/rescan.php interface. The application fails to properly sanitize user-supplied input in the mediaId parameter before using it in a system shell command. This allows an unauthenticated attacker to inject arbitrary operating system commands, leading to complete server compromise.</t>
        </is>
      </c>
      <c r="D679" t="n">
        <v>9.800000000000001</v>
      </c>
      <c r="E679" t="inlineStr">
        <is>
          <t>CRITICAL</t>
        </is>
      </c>
      <c r="F679" t="n">
        <v>2</v>
      </c>
      <c r="G679" t="n">
        <v>3</v>
      </c>
      <c r="H679" t="inlineStr">
        <is>
          <t>HIGH</t>
        </is>
      </c>
      <c r="I679" t="n">
        <v>15.8</v>
      </c>
      <c r="J679" t="inlineStr">
        <is>
          <t>NO</t>
        </is>
      </c>
      <c r="K679" t="inlineStr">
        <is>
          <t>2026-02-26 00:15</t>
        </is>
      </c>
      <c r="L679" t="inlineStr">
        <is>
          <t>CHECK_VENDOR</t>
        </is>
      </c>
      <c r="M679" t="inlineStr">
        <is>
          <t>See CVE details</t>
        </is>
      </c>
      <c r="N679" t="inlineStr">
        <is>
          <t>P3</t>
        </is>
      </c>
      <c r="O679" t="inlineStr">
        <is>
          <t>CVE - IP enrichment n/a</t>
        </is>
      </c>
      <c r="P679" t="n">
        <v>0</v>
      </c>
      <c r="Q679" t="n">
        <v>0</v>
      </c>
      <c r="R679" t="inlineStr">
        <is>
          <t>T1059:Command and Scripting Interpreter | T1190:Exploit Public-Facing Application | T1210:Exploitation of Remote Services</t>
        </is>
      </c>
      <c r="S679" t="n">
        <v>1</v>
      </c>
      <c r="T679" t="inlineStr">
        <is>
          <t>LOW (40%)</t>
        </is>
      </c>
      <c r="U679" t="inlineStr">
        <is>
          <t>UNLIKELY</t>
        </is>
      </c>
      <c r="V679" t="inlineStr">
        <is>
          <t>CHECK_VENDOR</t>
        </is>
      </c>
      <c r="W679" t="inlineStr">
        <is>
          <t>https://nvd.nist.gov/vuln/detail/CVE-2025-70831</t>
        </is>
      </c>
      <c r="X679" t="inlineStr">
        <is>
          <t>NONE</t>
        </is>
      </c>
      <c r="Y679" t="n">
        <v>0</v>
      </c>
      <c r="Z679" t="inlineStr"/>
      <c r="AA679" t="inlineStr">
        <is>
          <t>https://nvd.nist.gov/vuln/detail/CVE-2025-70831</t>
        </is>
      </c>
    </row>
    <row r="680">
      <c r="A680" t="inlineStr">
        <is>
          <t>CVE</t>
        </is>
      </c>
      <c r="B680" t="inlineStr">
        <is>
          <t>CVE-2026-20761</t>
        </is>
      </c>
      <c r="C680" t="inlineStr">
        <is>
          <t>A vulnerability exists in EnOcean SmartServer IoT version 4.60.009 and 
prior, which would allow remote attackers, in the LON IP-852 management 
messages, to send specially crafted IP-852 messages resulting in 
arbitrary OS command execution on the device.</t>
        </is>
      </c>
      <c r="D680" t="n">
        <v>8.1</v>
      </c>
      <c r="E680" t="inlineStr">
        <is>
          <t>HIGH</t>
        </is>
      </c>
      <c r="F680" t="n">
        <v>2</v>
      </c>
      <c r="G680" t="n">
        <v>3</v>
      </c>
      <c r="H680" t="inlineStr">
        <is>
          <t>HIGH</t>
        </is>
      </c>
      <c r="I680" t="n">
        <v>14.1</v>
      </c>
      <c r="J680" t="inlineStr">
        <is>
          <t>NO</t>
        </is>
      </c>
      <c r="K680" t="inlineStr">
        <is>
          <t>2026-02-26 00:15</t>
        </is>
      </c>
      <c r="L680" t="inlineStr">
        <is>
          <t>CHECK_VENDOR</t>
        </is>
      </c>
      <c r="M680" t="inlineStr">
        <is>
          <t>See CVE details</t>
        </is>
      </c>
      <c r="N680" t="inlineStr">
        <is>
          <t>P3</t>
        </is>
      </c>
      <c r="O680" t="inlineStr">
        <is>
          <t>CVE - IP enrichment n/a</t>
        </is>
      </c>
      <c r="P680" t="n">
        <v>0</v>
      </c>
      <c r="Q680" t="n">
        <v>0</v>
      </c>
      <c r="R680" t="inlineStr">
        <is>
          <t>T1059:Command and Scripting Interpreter</t>
        </is>
      </c>
      <c r="S680" t="n">
        <v>1</v>
      </c>
      <c r="T680" t="inlineStr">
        <is>
          <t>LOW (40%)</t>
        </is>
      </c>
      <c r="U680" t="inlineStr">
        <is>
          <t>UNLIKELY</t>
        </is>
      </c>
      <c r="V680" t="inlineStr">
        <is>
          <t>CHECK_VENDOR</t>
        </is>
      </c>
      <c r="W680" t="inlineStr">
        <is>
          <t>https://nvd.nist.gov/vuln/detail/CVE-2026-20761</t>
        </is>
      </c>
      <c r="X680" t="inlineStr">
        <is>
          <t>NONE</t>
        </is>
      </c>
      <c r="Y680" t="n">
        <v>0</v>
      </c>
      <c r="Z680" t="inlineStr"/>
      <c r="AA680" t="inlineStr">
        <is>
          <t>https://nvd.nist.gov/vuln/detail/CVE-2026-20761</t>
        </is>
      </c>
    </row>
    <row r="681">
      <c r="A681" t="inlineStr">
        <is>
          <t>CVE</t>
        </is>
      </c>
      <c r="B681" t="inlineStr">
        <is>
          <t>CVE-2026-22341</t>
        </is>
      </c>
      <c r="C681" t="inlineStr">
        <is>
          <t>Authentication Bypass Using an Alternate Path or Channel vulnerability in Case-Themes Booked booked allows Authentication Abuse.This issue affects Booked: from n/a through &lt;= 3.0.0.</t>
        </is>
      </c>
      <c r="D681" t="n">
        <v>5.4</v>
      </c>
      <c r="E681" t="inlineStr">
        <is>
          <t>MEDIUM</t>
        </is>
      </c>
      <c r="F681" t="n">
        <v>2</v>
      </c>
      <c r="G681" t="n">
        <v>2</v>
      </c>
      <c r="H681" t="inlineStr">
        <is>
          <t>MEDIUM</t>
        </is>
      </c>
      <c r="I681" t="n">
        <v>9.4</v>
      </c>
      <c r="J681" t="inlineStr">
        <is>
          <t>NO</t>
        </is>
      </c>
      <c r="K681" t="inlineStr">
        <is>
          <t>2026-02-26 00:15</t>
        </is>
      </c>
      <c r="L681" t="inlineStr">
        <is>
          <t>CHECK_VENDOR</t>
        </is>
      </c>
      <c r="M681" t="inlineStr">
        <is>
          <t>See CVE details</t>
        </is>
      </c>
      <c r="N681" t="inlineStr">
        <is>
          <t>P4</t>
        </is>
      </c>
      <c r="O681" t="inlineStr">
        <is>
          <t>CVE - IP enrichment n/a</t>
        </is>
      </c>
      <c r="P681" t="n">
        <v>0</v>
      </c>
      <c r="Q681" t="n">
        <v>0</v>
      </c>
      <c r="R681" t="inlineStr">
        <is>
          <t>T1078:Valid Accounts</t>
        </is>
      </c>
      <c r="S681" t="n">
        <v>1</v>
      </c>
      <c r="T681" t="inlineStr">
        <is>
          <t>LOW (40%)</t>
        </is>
      </c>
      <c r="U681" t="inlineStr">
        <is>
          <t>UNLIKELY</t>
        </is>
      </c>
      <c r="V681" t="inlineStr">
        <is>
          <t>CHECK_VENDOR</t>
        </is>
      </c>
      <c r="W681" t="inlineStr">
        <is>
          <t>https://nvd.nist.gov/vuln/detail/CVE-2026-22341</t>
        </is>
      </c>
      <c r="X681" t="inlineStr">
        <is>
          <t>NONE</t>
        </is>
      </c>
      <c r="Y681" t="n">
        <v>0</v>
      </c>
      <c r="Z681" t="inlineStr"/>
      <c r="AA681" t="inlineStr">
        <is>
          <t>https://nvd.nist.gov/vuln/detail/CVE-2026-22341</t>
        </is>
      </c>
    </row>
    <row r="682">
      <c r="A682" t="inlineStr">
        <is>
          <t>CVE</t>
        </is>
      </c>
      <c r="B682" t="inlineStr">
        <is>
          <t>CVE-2026-22344</t>
        </is>
      </c>
      <c r="C682" t="inlineStr">
        <is>
          <t>Improper Control of Filename for Include/Require Statement in PHP Program ('PHP Remote File Inclusion') vulnerability in Mikado-Themes FiveStar fivestar allows PHP Local File Inclusion.This issue affects FiveStar: from n/a through &lt;= 1.7.</t>
        </is>
      </c>
      <c r="D682" t="n">
        <v>8.1</v>
      </c>
      <c r="E682" t="inlineStr">
        <is>
          <t>HIGH</t>
        </is>
      </c>
      <c r="F682" t="n">
        <v>2</v>
      </c>
      <c r="G682" t="n">
        <v>3</v>
      </c>
      <c r="H682" t="inlineStr">
        <is>
          <t>HIGH</t>
        </is>
      </c>
      <c r="I682" t="n">
        <v>14.1</v>
      </c>
      <c r="J682" t="inlineStr">
        <is>
          <t>NO</t>
        </is>
      </c>
      <c r="K682" t="inlineStr">
        <is>
          <t>2026-02-26 00:15</t>
        </is>
      </c>
      <c r="L682" t="inlineStr">
        <is>
          <t>CHECK_VENDOR</t>
        </is>
      </c>
      <c r="M682" t="inlineStr">
        <is>
          <t>See CVE details</t>
        </is>
      </c>
      <c r="N682" t="inlineStr">
        <is>
          <t>P3</t>
        </is>
      </c>
      <c r="O682" t="inlineStr">
        <is>
          <t>CVE - IP enrichment n/a</t>
        </is>
      </c>
      <c r="P682" t="n">
        <v>0</v>
      </c>
      <c r="Q682" t="n">
        <v>0</v>
      </c>
      <c r="R682" t="inlineStr">
        <is>
          <t>T1190:Exploit Public-Facing Application</t>
        </is>
      </c>
      <c r="S682" t="n">
        <v>1</v>
      </c>
      <c r="T682" t="inlineStr">
        <is>
          <t>LOW (40%)</t>
        </is>
      </c>
      <c r="U682" t="inlineStr">
        <is>
          <t>UNLIKELY</t>
        </is>
      </c>
      <c r="V682" t="inlineStr">
        <is>
          <t>CHECK_VENDOR</t>
        </is>
      </c>
      <c r="W682" t="inlineStr">
        <is>
          <t>https://nvd.nist.gov/vuln/detail/CVE-2026-22344</t>
        </is>
      </c>
      <c r="X682" t="inlineStr">
        <is>
          <t>NONE</t>
        </is>
      </c>
      <c r="Y682" t="n">
        <v>0</v>
      </c>
      <c r="Z682" t="inlineStr"/>
      <c r="AA682" t="inlineStr">
        <is>
          <t>https://nvd.nist.gov/vuln/detail/CVE-2026-22344</t>
        </is>
      </c>
    </row>
    <row r="683">
      <c r="A683" t="inlineStr">
        <is>
          <t>CVE</t>
        </is>
      </c>
      <c r="B683" t="inlineStr">
        <is>
          <t>CVE-2026-22345</t>
        </is>
      </c>
      <c r="C683" t="inlineStr">
        <is>
          <t>Deserialization of Untrusted Data vulnerability in A WP Life Image Gallery – Lightbox Gallery, Responsive Photo Gallery, Masonry Gallery new-image-gallery allows Object Injection.This issue affects Image Gallery – Lightbox Gallery, Responsive Photo Gallery, Masonry Gallery: from n/a through &lt;= 1.6.0.</t>
        </is>
      </c>
      <c r="D683" t="n">
        <v>8.800000000000001</v>
      </c>
      <c r="E683" t="inlineStr">
        <is>
          <t>HIGH</t>
        </is>
      </c>
      <c r="F683" t="n">
        <v>2</v>
      </c>
      <c r="G683" t="n">
        <v>3</v>
      </c>
      <c r="H683" t="inlineStr">
        <is>
          <t>HIGH</t>
        </is>
      </c>
      <c r="I683" t="n">
        <v>14.8</v>
      </c>
      <c r="J683" t="inlineStr">
        <is>
          <t>NO</t>
        </is>
      </c>
      <c r="K683" t="inlineStr">
        <is>
          <t>2026-02-26 00:15</t>
        </is>
      </c>
      <c r="L683" t="inlineStr">
        <is>
          <t>CHECK_VENDOR</t>
        </is>
      </c>
      <c r="M683" t="inlineStr">
        <is>
          <t>See CVE details</t>
        </is>
      </c>
      <c r="N683" t="inlineStr">
        <is>
          <t>P3</t>
        </is>
      </c>
      <c r="O683" t="inlineStr">
        <is>
          <t>CVE - IP enrichment n/a</t>
        </is>
      </c>
      <c r="P683" t="n">
        <v>0.0005</v>
      </c>
      <c r="Q683" t="n">
        <v>0.148</v>
      </c>
      <c r="R683" t="inlineStr">
        <is>
          <t>T1059:Command and Scripting Interpreter</t>
        </is>
      </c>
      <c r="S683" t="n">
        <v>1</v>
      </c>
      <c r="T683" t="inlineStr">
        <is>
          <t>LOW (40%)</t>
        </is>
      </c>
      <c r="U683" t="inlineStr">
        <is>
          <t>UNLIKELY</t>
        </is>
      </c>
      <c r="V683" t="inlineStr">
        <is>
          <t>CHECK_VENDOR</t>
        </is>
      </c>
      <c r="W683" t="inlineStr">
        <is>
          <t>https://nvd.nist.gov/vuln/detail/CVE-2026-22345</t>
        </is>
      </c>
      <c r="X683" t="inlineStr">
        <is>
          <t>NONE</t>
        </is>
      </c>
      <c r="Y683" t="n">
        <v>0</v>
      </c>
      <c r="Z683" t="inlineStr"/>
      <c r="AA683" t="inlineStr">
        <is>
          <t>https://nvd.nist.gov/vuln/detail/CVE-2026-22345</t>
        </is>
      </c>
    </row>
    <row r="684">
      <c r="A684" t="inlineStr">
        <is>
          <t>CVE</t>
        </is>
      </c>
      <c r="B684" t="inlineStr">
        <is>
          <t>CVE-2026-22346</t>
        </is>
      </c>
      <c r="C684" t="inlineStr">
        <is>
          <t>Deserialization of Untrusted Data vulnerability in A WP Life Slider Responsive Slideshow – Image slider, Gallery slideshow slider-responsive-slideshow allows Object Injection.This issue affects Slider Responsive Slideshow – Image slider, Gallery slideshow: from n/a through &lt;= 1.5.4.</t>
        </is>
      </c>
      <c r="D684" t="n">
        <v>8.800000000000001</v>
      </c>
      <c r="E684" t="inlineStr">
        <is>
          <t>HIGH</t>
        </is>
      </c>
      <c r="F684" t="n">
        <v>2</v>
      </c>
      <c r="G684" t="n">
        <v>3</v>
      </c>
      <c r="H684" t="inlineStr">
        <is>
          <t>HIGH</t>
        </is>
      </c>
      <c r="I684" t="n">
        <v>14.8</v>
      </c>
      <c r="J684" t="inlineStr">
        <is>
          <t>NO</t>
        </is>
      </c>
      <c r="K684" t="inlineStr">
        <is>
          <t>2026-02-26 00:15</t>
        </is>
      </c>
      <c r="L684" t="inlineStr">
        <is>
          <t>CHECK_VENDOR</t>
        </is>
      </c>
      <c r="M684" t="inlineStr">
        <is>
          <t>See CVE details</t>
        </is>
      </c>
      <c r="N684" t="inlineStr">
        <is>
          <t>P3</t>
        </is>
      </c>
      <c r="O684" t="inlineStr">
        <is>
          <t>CVE - IP enrichment n/a</t>
        </is>
      </c>
      <c r="P684" t="n">
        <v>0</v>
      </c>
      <c r="Q684" t="n">
        <v>0</v>
      </c>
      <c r="R684" t="inlineStr">
        <is>
          <t>T1059:Command and Scripting Interpreter</t>
        </is>
      </c>
      <c r="S684" t="n">
        <v>1</v>
      </c>
      <c r="T684" t="inlineStr">
        <is>
          <t>LOW (40%)</t>
        </is>
      </c>
      <c r="U684" t="inlineStr">
        <is>
          <t>UNLIKELY</t>
        </is>
      </c>
      <c r="V684" t="inlineStr">
        <is>
          <t>CHECK_VENDOR</t>
        </is>
      </c>
      <c r="W684" t="inlineStr">
        <is>
          <t>https://nvd.nist.gov/vuln/detail/CVE-2026-22346</t>
        </is>
      </c>
      <c r="X684" t="inlineStr">
        <is>
          <t>NONE</t>
        </is>
      </c>
      <c r="Y684" t="n">
        <v>0</v>
      </c>
      <c r="Z684" t="inlineStr"/>
      <c r="AA684" t="inlineStr">
        <is>
          <t>https://nvd.nist.gov/vuln/detail/CVE-2026-22346</t>
        </is>
      </c>
    </row>
    <row r="685">
      <c r="A685" t="inlineStr">
        <is>
          <t>CVE</t>
        </is>
      </c>
      <c r="B685" t="inlineStr">
        <is>
          <t>CVE-2026-22350</t>
        </is>
      </c>
      <c r="C685" t="inlineStr">
        <is>
          <t>Missing Authorization vulnerability in add-ons.org PDF for Elementor Forms + Drag And Drop Template Builder pdf-for-elementor-forms allows Exploiting Incorrectly Configured Access Control Security Levels.This issue affects PDF for Elementor Forms + Drag And Drop Template Builder: from n/a through &lt;= 6.3.1.</t>
        </is>
      </c>
      <c r="D685" t="n">
        <v>6.5</v>
      </c>
      <c r="E685" t="inlineStr">
        <is>
          <t>MEDIUM</t>
        </is>
      </c>
      <c r="F685" t="n">
        <v>2</v>
      </c>
      <c r="G685" t="n">
        <v>2</v>
      </c>
      <c r="H685" t="inlineStr">
        <is>
          <t>MEDIUM</t>
        </is>
      </c>
      <c r="I685" t="n">
        <v>10.5</v>
      </c>
      <c r="J685" t="inlineStr">
        <is>
          <t>NO</t>
        </is>
      </c>
      <c r="K685" t="inlineStr">
        <is>
          <t>2026-02-26 00:15</t>
        </is>
      </c>
      <c r="L685" t="inlineStr">
        <is>
          <t>CHECK_VENDOR</t>
        </is>
      </c>
      <c r="M685" t="inlineStr">
        <is>
          <t>See CVE details</t>
        </is>
      </c>
      <c r="N685" t="inlineStr">
        <is>
          <t>P4</t>
        </is>
      </c>
      <c r="O685" t="inlineStr">
        <is>
          <t>CVE - IP enrichment n/a</t>
        </is>
      </c>
      <c r="P685" t="n">
        <v>0</v>
      </c>
      <c r="Q685" t="n">
        <v>0</v>
      </c>
      <c r="R685" t="inlineStr">
        <is>
          <t>T1190:Exploit Public-Facing Application</t>
        </is>
      </c>
      <c r="S685" t="n">
        <v>1</v>
      </c>
      <c r="T685" t="inlineStr">
        <is>
          <t>LOW (40%)</t>
        </is>
      </c>
      <c r="U685" t="inlineStr">
        <is>
          <t>UNLIKELY</t>
        </is>
      </c>
      <c r="V685" t="inlineStr">
        <is>
          <t>CHECK_VENDOR</t>
        </is>
      </c>
      <c r="W685" t="inlineStr">
        <is>
          <t>https://nvd.nist.gov/vuln/detail/CVE-2026-22350</t>
        </is>
      </c>
      <c r="X685" t="inlineStr">
        <is>
          <t>NONE</t>
        </is>
      </c>
      <c r="Y685" t="n">
        <v>0</v>
      </c>
      <c r="Z685" t="inlineStr"/>
      <c r="AA685" t="inlineStr">
        <is>
          <t>https://nvd.nist.gov/vuln/detail/CVE-2026-22350</t>
        </is>
      </c>
    </row>
    <row r="686">
      <c r="A686" t="inlineStr">
        <is>
          <t>CVE</t>
        </is>
      </c>
      <c r="B686" t="inlineStr">
        <is>
          <t>CVE-2026-22351</t>
        </is>
      </c>
      <c r="C686" t="inlineStr">
        <is>
          <t>Missing Authorization vulnerability in Marcus (aka @msykes) WP FullCalendar wp-fullcalendar allows Exploiting Incorrectly Configured Access Control Security Levels.This issue affects WP FullCalendar: from n/a through &lt;= 1.6.</t>
        </is>
      </c>
      <c r="D686" t="n">
        <v>6.5</v>
      </c>
      <c r="E686" t="inlineStr">
        <is>
          <t>MEDIUM</t>
        </is>
      </c>
      <c r="F686" t="n">
        <v>2</v>
      </c>
      <c r="G686" t="n">
        <v>2</v>
      </c>
      <c r="H686" t="inlineStr">
        <is>
          <t>MEDIUM</t>
        </is>
      </c>
      <c r="I686" t="n">
        <v>10.5</v>
      </c>
      <c r="J686" t="inlineStr">
        <is>
          <t>NO</t>
        </is>
      </c>
      <c r="K686" t="inlineStr">
        <is>
          <t>2026-02-26 00:15</t>
        </is>
      </c>
      <c r="L686" t="inlineStr">
        <is>
          <t>CHECK_VENDOR</t>
        </is>
      </c>
      <c r="M686" t="inlineStr">
        <is>
          <t>See CVE details</t>
        </is>
      </c>
      <c r="N686" t="inlineStr">
        <is>
          <t>P4</t>
        </is>
      </c>
      <c r="O686" t="inlineStr">
        <is>
          <t>CVE - IP enrichment n/a</t>
        </is>
      </c>
      <c r="P686" t="n">
        <v>0.0004</v>
      </c>
      <c r="Q686" t="n">
        <v>0.1116</v>
      </c>
      <c r="R686" t="inlineStr">
        <is>
          <t>T1190:Exploit Public-Facing Application</t>
        </is>
      </c>
      <c r="S686" t="n">
        <v>1</v>
      </c>
      <c r="T686" t="inlineStr">
        <is>
          <t>LOW (40%)</t>
        </is>
      </c>
      <c r="U686" t="inlineStr">
        <is>
          <t>UNLIKELY</t>
        </is>
      </c>
      <c r="V686" t="inlineStr">
        <is>
          <t>CHECK_VENDOR</t>
        </is>
      </c>
      <c r="W686" t="inlineStr">
        <is>
          <t>https://nvd.nist.gov/vuln/detail/CVE-2026-22351</t>
        </is>
      </c>
      <c r="X686" t="inlineStr">
        <is>
          <t>NONE</t>
        </is>
      </c>
      <c r="Y686" t="n">
        <v>0</v>
      </c>
      <c r="Z686" t="inlineStr"/>
      <c r="AA686" t="inlineStr">
        <is>
          <t>https://nvd.nist.gov/vuln/detail/CVE-2026-22351</t>
        </is>
      </c>
    </row>
    <row r="687">
      <c r="A687" t="inlineStr">
        <is>
          <t>CVE</t>
        </is>
      </c>
      <c r="B687" t="inlineStr">
        <is>
          <t>CVE-2026-22352</t>
        </is>
      </c>
      <c r="C687" t="inlineStr">
        <is>
          <t>Improper Neutralization of Input During Web Page Generation ('Cross-site Scripting') vulnerability in PersianScript Persian Woocommerce SMS persian-woocommerce-sms allows Reflected XSS.This issue affects Persian Woocommerce SMS: from n/a through &lt;= 7.1.1.</t>
        </is>
      </c>
      <c r="D687" t="n">
        <v>7.1</v>
      </c>
      <c r="E687" t="inlineStr">
        <is>
          <t>HIGH</t>
        </is>
      </c>
      <c r="F687" t="n">
        <v>2</v>
      </c>
      <c r="G687" t="n">
        <v>3</v>
      </c>
      <c r="H687" t="inlineStr">
        <is>
          <t>HIGH</t>
        </is>
      </c>
      <c r="I687" t="n">
        <v>13.1</v>
      </c>
      <c r="J687" t="inlineStr">
        <is>
          <t>NO</t>
        </is>
      </c>
      <c r="K687" t="inlineStr">
        <is>
          <t>2026-02-26 00:15</t>
        </is>
      </c>
      <c r="L687" t="inlineStr">
        <is>
          <t>CHECK_VENDOR</t>
        </is>
      </c>
      <c r="M687" t="inlineStr">
        <is>
          <t>See CVE details</t>
        </is>
      </c>
      <c r="N687" t="inlineStr">
        <is>
          <t>P3</t>
        </is>
      </c>
      <c r="O687" t="inlineStr">
        <is>
          <t>CVE - IP enrichment n/a</t>
        </is>
      </c>
      <c r="P687" t="n">
        <v>0</v>
      </c>
      <c r="Q687" t="n">
        <v>0</v>
      </c>
      <c r="R687" t="inlineStr">
        <is>
          <t>T1189:Drive-by Compromise | T1190:Exploit Public-Facing Application</t>
        </is>
      </c>
      <c r="S687" t="n">
        <v>1</v>
      </c>
      <c r="T687" t="inlineStr">
        <is>
          <t>LOW (40%)</t>
        </is>
      </c>
      <c r="U687" t="inlineStr">
        <is>
          <t>UNLIKELY</t>
        </is>
      </c>
      <c r="V687" t="inlineStr">
        <is>
          <t>CHECK_VENDOR</t>
        </is>
      </c>
      <c r="W687" t="inlineStr">
        <is>
          <t>https://nvd.nist.gov/vuln/detail/CVE-2026-22352</t>
        </is>
      </c>
      <c r="X687" t="inlineStr">
        <is>
          <t>NONE</t>
        </is>
      </c>
      <c r="Y687" t="n">
        <v>0</v>
      </c>
      <c r="Z687" t="inlineStr"/>
      <c r="AA687" t="inlineStr">
        <is>
          <t>https://nvd.nist.gov/vuln/detail/CVE-2026-22352</t>
        </is>
      </c>
    </row>
    <row r="688">
      <c r="A688" t="inlineStr">
        <is>
          <t>CVE</t>
        </is>
      </c>
      <c r="B688" t="inlineStr">
        <is>
          <t>CVE-2026-22354</t>
        </is>
      </c>
      <c r="C688" t="inlineStr">
        <is>
          <t>Deserialization of Untrusted Data vulnerability in Dotstore Woocommerce Category Banner Management banner-management-for-woocommerce allows Object Injection.This issue affects Woocommerce Category Banner Management: from n/a through &lt;= 2.5.1.</t>
        </is>
      </c>
      <c r="D688" t="n">
        <v>8.800000000000001</v>
      </c>
      <c r="E688" t="inlineStr">
        <is>
          <t>HIGH</t>
        </is>
      </c>
      <c r="F688" t="n">
        <v>2</v>
      </c>
      <c r="G688" t="n">
        <v>3</v>
      </c>
      <c r="H688" t="inlineStr">
        <is>
          <t>HIGH</t>
        </is>
      </c>
      <c r="I688" t="n">
        <v>14.8</v>
      </c>
      <c r="J688" t="inlineStr">
        <is>
          <t>NO</t>
        </is>
      </c>
      <c r="K688" t="inlineStr">
        <is>
          <t>2026-02-26 00:15</t>
        </is>
      </c>
      <c r="L688" t="inlineStr">
        <is>
          <t>CHECK_VENDOR</t>
        </is>
      </c>
      <c r="M688" t="inlineStr">
        <is>
          <t>See CVE details</t>
        </is>
      </c>
      <c r="N688" t="inlineStr">
        <is>
          <t>P3</t>
        </is>
      </c>
      <c r="O688" t="inlineStr">
        <is>
          <t>CVE - IP enrichment n/a</t>
        </is>
      </c>
      <c r="P688" t="n">
        <v>0.0005</v>
      </c>
      <c r="Q688" t="n">
        <v>0.148</v>
      </c>
      <c r="R688" t="inlineStr">
        <is>
          <t>T1059:Command and Scripting Interpreter | T1190:Exploit Public-Facing Application</t>
        </is>
      </c>
      <c r="S688" t="n">
        <v>1</v>
      </c>
      <c r="T688" t="inlineStr">
        <is>
          <t>LOW (40%)</t>
        </is>
      </c>
      <c r="U688" t="inlineStr">
        <is>
          <t>UNLIKELY</t>
        </is>
      </c>
      <c r="V688" t="inlineStr">
        <is>
          <t>CHECK_VENDOR</t>
        </is>
      </c>
      <c r="W688" t="inlineStr">
        <is>
          <t>https://nvd.nist.gov/vuln/detail/CVE-2026-22354</t>
        </is>
      </c>
      <c r="X688" t="inlineStr">
        <is>
          <t>NONE</t>
        </is>
      </c>
      <c r="Y688" t="n">
        <v>0</v>
      </c>
      <c r="Z688" t="inlineStr"/>
      <c r="AA688" t="inlineStr">
        <is>
          <t>https://nvd.nist.gov/vuln/detail/CVE-2026-22354</t>
        </is>
      </c>
    </row>
    <row r="689">
      <c r="A689" t="inlineStr">
        <is>
          <t>CVE</t>
        </is>
      </c>
      <c r="B689" t="inlineStr">
        <is>
          <t>CVE-2026-22356</t>
        </is>
      </c>
      <c r="C689" t="inlineStr">
        <is>
          <t>Improper Control of Filename for Include/Require Statement in PHP Program ('PHP Remote File Inclusion') vulnerability in Automattic Jetpack CRM zero-bs-crm allows PHP Local File Inclusion.This issue affects Jetpack CRM: from n/a through &lt;= 6.7.0.</t>
        </is>
      </c>
      <c r="D689" t="n">
        <v>7.5</v>
      </c>
      <c r="E689" t="inlineStr">
        <is>
          <t>HIGH</t>
        </is>
      </c>
      <c r="F689" t="n">
        <v>2</v>
      </c>
      <c r="G689" t="n">
        <v>3</v>
      </c>
      <c r="H689" t="inlineStr">
        <is>
          <t>HIGH</t>
        </is>
      </c>
      <c r="I689" t="n">
        <v>13.5</v>
      </c>
      <c r="J689" t="inlineStr">
        <is>
          <t>NO</t>
        </is>
      </c>
      <c r="K689" t="inlineStr">
        <is>
          <t>2026-02-26 00:15</t>
        </is>
      </c>
      <c r="L689" t="inlineStr">
        <is>
          <t>CHECK_VENDOR</t>
        </is>
      </c>
      <c r="M689" t="inlineStr">
        <is>
          <t>See CVE details</t>
        </is>
      </c>
      <c r="N689" t="inlineStr">
        <is>
          <t>P3</t>
        </is>
      </c>
      <c r="O689" t="inlineStr">
        <is>
          <t>CVE - IP enrichment n/a</t>
        </is>
      </c>
      <c r="P689" t="n">
        <v>0</v>
      </c>
      <c r="Q689" t="n">
        <v>0</v>
      </c>
      <c r="R689" t="inlineStr">
        <is>
          <t>T1190:Exploit Public-Facing Application</t>
        </is>
      </c>
      <c r="S689" t="n">
        <v>1</v>
      </c>
      <c r="T689" t="inlineStr">
        <is>
          <t>LOW (40%)</t>
        </is>
      </c>
      <c r="U689" t="inlineStr">
        <is>
          <t>UNLIKELY</t>
        </is>
      </c>
      <c r="V689" t="inlineStr">
        <is>
          <t>CHECK_VENDOR</t>
        </is>
      </c>
      <c r="W689" t="inlineStr">
        <is>
          <t>https://nvd.nist.gov/vuln/detail/CVE-2026-22356</t>
        </is>
      </c>
      <c r="X689" t="inlineStr">
        <is>
          <t>NONE</t>
        </is>
      </c>
      <c r="Y689" t="n">
        <v>0</v>
      </c>
      <c r="Z689" t="inlineStr"/>
      <c r="AA689" t="inlineStr">
        <is>
          <t>https://nvd.nist.gov/vuln/detail/CVE-2026-22356</t>
        </is>
      </c>
    </row>
    <row r="690">
      <c r="A690" t="inlineStr">
        <is>
          <t>CVE</t>
        </is>
      </c>
      <c r="B690" t="inlineStr">
        <is>
          <t>CVE-2026-22357</t>
        </is>
      </c>
      <c r="C690" t="inlineStr">
        <is>
          <t>Improper Neutralization of Input During Web Page Generation ('Cross-site Scripting') vulnerability in Spencer Haws Link Whisper Free link-whisper allows Reflected XSS.This issue affects Link Whisper Free: from n/a through &lt;= 0.9.0.</t>
        </is>
      </c>
      <c r="D690" t="n">
        <v>7.1</v>
      </c>
      <c r="E690" t="inlineStr">
        <is>
          <t>HIGH</t>
        </is>
      </c>
      <c r="F690" t="n">
        <v>2</v>
      </c>
      <c r="G690" t="n">
        <v>3</v>
      </c>
      <c r="H690" t="inlineStr">
        <is>
          <t>HIGH</t>
        </is>
      </c>
      <c r="I690" t="n">
        <v>13.1</v>
      </c>
      <c r="J690" t="inlineStr">
        <is>
          <t>NO</t>
        </is>
      </c>
      <c r="K690" t="inlineStr">
        <is>
          <t>2026-02-26 00:15</t>
        </is>
      </c>
      <c r="L690" t="inlineStr">
        <is>
          <t>CHECK_VENDOR</t>
        </is>
      </c>
      <c r="M690" t="inlineStr">
        <is>
          <t>See CVE details</t>
        </is>
      </c>
      <c r="N690" t="inlineStr">
        <is>
          <t>P3</t>
        </is>
      </c>
      <c r="O690" t="inlineStr">
        <is>
          <t>CVE - IP enrichment n/a</t>
        </is>
      </c>
      <c r="P690" t="n">
        <v>0</v>
      </c>
      <c r="Q690" t="n">
        <v>0</v>
      </c>
      <c r="R690" t="inlineStr">
        <is>
          <t>T1189:Drive-by Compromise</t>
        </is>
      </c>
      <c r="S690" t="n">
        <v>1</v>
      </c>
      <c r="T690" t="inlineStr">
        <is>
          <t>LOW (40%)</t>
        </is>
      </c>
      <c r="U690" t="inlineStr">
        <is>
          <t>UNLIKELY</t>
        </is>
      </c>
      <c r="V690" t="inlineStr">
        <is>
          <t>CHECK_VENDOR</t>
        </is>
      </c>
      <c r="W690" t="inlineStr">
        <is>
          <t>https://nvd.nist.gov/vuln/detail/CVE-2026-22357</t>
        </is>
      </c>
      <c r="X690" t="inlineStr">
        <is>
          <t>NONE</t>
        </is>
      </c>
      <c r="Y690" t="n">
        <v>0</v>
      </c>
      <c r="Z690" t="inlineStr"/>
      <c r="AA690" t="inlineStr">
        <is>
          <t>https://nvd.nist.gov/vuln/detail/CVE-2026-22357</t>
        </is>
      </c>
    </row>
    <row r="691">
      <c r="A691" t="inlineStr">
        <is>
          <t>CVE</t>
        </is>
      </c>
      <c r="B691" t="inlineStr">
        <is>
          <t>CVE-2026-22361</t>
        </is>
      </c>
      <c r="C691" t="inlineStr">
        <is>
          <t>Improper Control of Filename for Include/Require Statement in PHP Program ('PHP Remote File Inclusion') vulnerability in axiomthemes A-Mart a-mart allows PHP Local File Inclusion.This issue affects A-Mart: from n/a through &lt;= 1.0.2.</t>
        </is>
      </c>
      <c r="D691" t="n">
        <v>8.1</v>
      </c>
      <c r="E691" t="inlineStr">
        <is>
          <t>HIGH</t>
        </is>
      </c>
      <c r="F691" t="n">
        <v>2</v>
      </c>
      <c r="G691" t="n">
        <v>3</v>
      </c>
      <c r="H691" t="inlineStr">
        <is>
          <t>HIGH</t>
        </is>
      </c>
      <c r="I691" t="n">
        <v>14.1</v>
      </c>
      <c r="J691" t="inlineStr">
        <is>
          <t>NO</t>
        </is>
      </c>
      <c r="K691" t="inlineStr">
        <is>
          <t>2026-02-26 00:15</t>
        </is>
      </c>
      <c r="L691" t="inlineStr">
        <is>
          <t>CHECK_VENDOR</t>
        </is>
      </c>
      <c r="M691" t="inlineStr">
        <is>
          <t>See CVE details</t>
        </is>
      </c>
      <c r="N691" t="inlineStr">
        <is>
          <t>P3</t>
        </is>
      </c>
      <c r="O691" t="inlineStr">
        <is>
          <t>CVE - IP enrichment n/a</t>
        </is>
      </c>
      <c r="P691" t="n">
        <v>0.0011</v>
      </c>
      <c r="Q691" t="n">
        <v>0.3022</v>
      </c>
      <c r="R691" t="inlineStr">
        <is>
          <t>T1190:Exploit Public-Facing Application</t>
        </is>
      </c>
      <c r="S691" t="n">
        <v>1</v>
      </c>
      <c r="T691" t="inlineStr">
        <is>
          <t>LOW (40%)</t>
        </is>
      </c>
      <c r="U691" t="inlineStr">
        <is>
          <t>UNLIKELY</t>
        </is>
      </c>
      <c r="V691" t="inlineStr">
        <is>
          <t>CHECK_VENDOR</t>
        </is>
      </c>
      <c r="W691" t="inlineStr">
        <is>
          <t>https://nvd.nist.gov/vuln/detail/CVE-2026-22361</t>
        </is>
      </c>
      <c r="X691" t="inlineStr">
        <is>
          <t>NONE</t>
        </is>
      </c>
      <c r="Y691" t="n">
        <v>0</v>
      </c>
      <c r="Z691" t="inlineStr"/>
      <c r="AA691" t="inlineStr">
        <is>
          <t>https://nvd.nist.gov/vuln/detail/CVE-2026-22361</t>
        </is>
      </c>
    </row>
    <row r="692">
      <c r="A692" t="inlineStr">
        <is>
          <t>CVE</t>
        </is>
      </c>
      <c r="B692" t="inlineStr">
        <is>
          <t>CVE-2026-22362</t>
        </is>
      </c>
      <c r="C692" t="inlineStr">
        <is>
          <t>Improper Control of Filename for Include/Require Statement in PHP Program ('PHP Remote File Inclusion') vulnerability in axiomthemes Photolia photolia allows PHP Local File Inclusion.This issue affects Photolia: from n/a through &lt;= 1.0.3.</t>
        </is>
      </c>
      <c r="D692" t="n">
        <v>8.1</v>
      </c>
      <c r="E692" t="inlineStr">
        <is>
          <t>HIGH</t>
        </is>
      </c>
      <c r="F692" t="n">
        <v>2</v>
      </c>
      <c r="G692" t="n">
        <v>3</v>
      </c>
      <c r="H692" t="inlineStr">
        <is>
          <t>HIGH</t>
        </is>
      </c>
      <c r="I692" t="n">
        <v>14.1</v>
      </c>
      <c r="J692" t="inlineStr">
        <is>
          <t>NO</t>
        </is>
      </c>
      <c r="K692" t="inlineStr">
        <is>
          <t>2026-02-26 00:15</t>
        </is>
      </c>
      <c r="L692" t="inlineStr">
        <is>
          <t>CHECK_VENDOR</t>
        </is>
      </c>
      <c r="M692" t="inlineStr">
        <is>
          <t>See CVE details</t>
        </is>
      </c>
      <c r="N692" t="inlineStr">
        <is>
          <t>P3</t>
        </is>
      </c>
      <c r="O692" t="inlineStr">
        <is>
          <t>CVE - IP enrichment n/a</t>
        </is>
      </c>
      <c r="P692" t="n">
        <v>0</v>
      </c>
      <c r="Q692" t="n">
        <v>0</v>
      </c>
      <c r="R692" t="inlineStr">
        <is>
          <t>T1190:Exploit Public-Facing Application</t>
        </is>
      </c>
      <c r="S692" t="n">
        <v>1</v>
      </c>
      <c r="T692" t="inlineStr">
        <is>
          <t>LOW (40%)</t>
        </is>
      </c>
      <c r="U692" t="inlineStr">
        <is>
          <t>UNLIKELY</t>
        </is>
      </c>
      <c r="V692" t="inlineStr">
        <is>
          <t>CHECK_VENDOR</t>
        </is>
      </c>
      <c r="W692" t="inlineStr">
        <is>
          <t>https://nvd.nist.gov/vuln/detail/CVE-2026-22362</t>
        </is>
      </c>
      <c r="X692" t="inlineStr">
        <is>
          <t>NONE</t>
        </is>
      </c>
      <c r="Y692" t="n">
        <v>0</v>
      </c>
      <c r="Z692" t="inlineStr"/>
      <c r="AA692" t="inlineStr">
        <is>
          <t>https://nvd.nist.gov/vuln/detail/CVE-2026-22362</t>
        </is>
      </c>
    </row>
    <row r="693">
      <c r="A693" t="inlineStr">
        <is>
          <t>CVE</t>
        </is>
      </c>
      <c r="B693" t="inlineStr">
        <is>
          <t>CVE-2026-22363</t>
        </is>
      </c>
      <c r="C693" t="inlineStr">
        <is>
          <t>Improper Control of Filename for Include/Require Statement in PHP Program ('PHP Remote File Inclusion') vulnerability in axiomthemes Rhodos rhodos allows PHP Local File Inclusion.This issue affects Rhodos: from n/a through &lt;= 1.3.3.</t>
        </is>
      </c>
      <c r="D693" t="n">
        <v>8.1</v>
      </c>
      <c r="E693" t="inlineStr">
        <is>
          <t>HIGH</t>
        </is>
      </c>
      <c r="F693" t="n">
        <v>2</v>
      </c>
      <c r="G693" t="n">
        <v>3</v>
      </c>
      <c r="H693" t="inlineStr">
        <is>
          <t>HIGH</t>
        </is>
      </c>
      <c r="I693" t="n">
        <v>14.1</v>
      </c>
      <c r="J693" t="inlineStr">
        <is>
          <t>NO</t>
        </is>
      </c>
      <c r="K693" t="inlineStr">
        <is>
          <t>2026-02-26 00:15</t>
        </is>
      </c>
      <c r="L693" t="inlineStr">
        <is>
          <t>CHECK_VENDOR</t>
        </is>
      </c>
      <c r="M693" t="inlineStr">
        <is>
          <t>See CVE details</t>
        </is>
      </c>
      <c r="N693" t="inlineStr">
        <is>
          <t>P3</t>
        </is>
      </c>
      <c r="O693" t="inlineStr">
        <is>
          <t>CVE - IP enrichment n/a</t>
        </is>
      </c>
      <c r="P693" t="n">
        <v>0.0011</v>
      </c>
      <c r="Q693" t="n">
        <v>0.3022</v>
      </c>
      <c r="R693" t="inlineStr">
        <is>
          <t>T1190:Exploit Public-Facing Application</t>
        </is>
      </c>
      <c r="S693" t="n">
        <v>1</v>
      </c>
      <c r="T693" t="inlineStr">
        <is>
          <t>LOW (40%)</t>
        </is>
      </c>
      <c r="U693" t="inlineStr">
        <is>
          <t>UNLIKELY</t>
        </is>
      </c>
      <c r="V693" t="inlineStr">
        <is>
          <t>CHECK_VENDOR</t>
        </is>
      </c>
      <c r="W693" t="inlineStr">
        <is>
          <t>https://nvd.nist.gov/vuln/detail/CVE-2026-22363</t>
        </is>
      </c>
      <c r="X693" t="inlineStr">
        <is>
          <t>NONE</t>
        </is>
      </c>
      <c r="Y693" t="n">
        <v>0</v>
      </c>
      <c r="Z693" t="inlineStr"/>
      <c r="AA693" t="inlineStr">
        <is>
          <t>https://nvd.nist.gov/vuln/detail/CVE-2026-22363</t>
        </is>
      </c>
    </row>
    <row r="694">
      <c r="A694" t="inlineStr">
        <is>
          <t>CVE</t>
        </is>
      </c>
      <c r="B694" t="inlineStr">
        <is>
          <t>CVE-2026-22364</t>
        </is>
      </c>
      <c r="C694" t="inlineStr">
        <is>
          <t>Improper Control of Filename for Include/Require Statement in PHP Program ('PHP Remote File Inclusion') vulnerability in axiomthemes SevenTrees seventrees allows PHP Local File Inclusion.This issue affects SevenTrees: from n/a through &lt;=1.0.2.</t>
        </is>
      </c>
      <c r="D694" t="n">
        <v>8.1</v>
      </c>
      <c r="E694" t="inlineStr">
        <is>
          <t>HIGH</t>
        </is>
      </c>
      <c r="F694" t="n">
        <v>2</v>
      </c>
      <c r="G694" t="n">
        <v>3</v>
      </c>
      <c r="H694" t="inlineStr">
        <is>
          <t>HIGH</t>
        </is>
      </c>
      <c r="I694" t="n">
        <v>14.1</v>
      </c>
      <c r="J694" t="inlineStr">
        <is>
          <t>NO</t>
        </is>
      </c>
      <c r="K694" t="inlineStr">
        <is>
          <t>2026-02-26 00:15</t>
        </is>
      </c>
      <c r="L694" t="inlineStr">
        <is>
          <t>CHECK_VENDOR</t>
        </is>
      </c>
      <c r="M694" t="inlineStr">
        <is>
          <t>See CVE details</t>
        </is>
      </c>
      <c r="N694" t="inlineStr">
        <is>
          <t>P3</t>
        </is>
      </c>
      <c r="O694" t="inlineStr">
        <is>
          <t>CVE - IP enrichment n/a</t>
        </is>
      </c>
      <c r="P694" t="n">
        <v>0</v>
      </c>
      <c r="Q694" t="n">
        <v>0</v>
      </c>
      <c r="R694" t="inlineStr">
        <is>
          <t>T1190:Exploit Public-Facing Application</t>
        </is>
      </c>
      <c r="S694" t="n">
        <v>1</v>
      </c>
      <c r="T694" t="inlineStr">
        <is>
          <t>LOW (40%)</t>
        </is>
      </c>
      <c r="U694" t="inlineStr">
        <is>
          <t>UNLIKELY</t>
        </is>
      </c>
      <c r="V694" t="inlineStr">
        <is>
          <t>CHECK_VENDOR</t>
        </is>
      </c>
      <c r="W694" t="inlineStr">
        <is>
          <t>https://nvd.nist.gov/vuln/detail/CVE-2026-22364</t>
        </is>
      </c>
      <c r="X694" t="inlineStr">
        <is>
          <t>NONE</t>
        </is>
      </c>
      <c r="Y694" t="n">
        <v>0</v>
      </c>
      <c r="Z694" t="inlineStr"/>
      <c r="AA694" t="inlineStr">
        <is>
          <t>https://nvd.nist.gov/vuln/detail/CVE-2026-22364</t>
        </is>
      </c>
    </row>
    <row r="695">
      <c r="A695" t="inlineStr">
        <is>
          <t>CVE</t>
        </is>
      </c>
      <c r="B695" t="inlineStr">
        <is>
          <t>CVE-2026-22365</t>
        </is>
      </c>
      <c r="C695" t="inlineStr">
        <is>
          <t>Improper Control of Filename for Include/Require Statement in PHP Program ('PHP Remote File Inclusion') vulnerability in axiomthemes Soleng soleng allows PHP Local File Inclusion.This issue affects Soleng: from n/a through &lt;= 1.0.5.</t>
        </is>
      </c>
      <c r="D695" t="n">
        <v>9.800000000000001</v>
      </c>
      <c r="E695" t="inlineStr">
        <is>
          <t>CRITICAL</t>
        </is>
      </c>
      <c r="F695" t="n">
        <v>2</v>
      </c>
      <c r="G695" t="n">
        <v>3</v>
      </c>
      <c r="H695" t="inlineStr">
        <is>
          <t>HIGH</t>
        </is>
      </c>
      <c r="I695" t="n">
        <v>15.8</v>
      </c>
      <c r="J695" t="inlineStr">
        <is>
          <t>NO</t>
        </is>
      </c>
      <c r="K695" t="inlineStr">
        <is>
          <t>2026-02-26 00:15</t>
        </is>
      </c>
      <c r="L695" t="inlineStr">
        <is>
          <t>CHECK_VENDOR</t>
        </is>
      </c>
      <c r="M695" t="inlineStr">
        <is>
          <t>See CVE details</t>
        </is>
      </c>
      <c r="N695" t="inlineStr">
        <is>
          <t>P3</t>
        </is>
      </c>
      <c r="O695" t="inlineStr">
        <is>
          <t>CVE - IP enrichment n/a</t>
        </is>
      </c>
      <c r="P695" t="n">
        <v>0.0011</v>
      </c>
      <c r="Q695" t="n">
        <v>0.3022</v>
      </c>
      <c r="R695" t="inlineStr">
        <is>
          <t>T1190:Exploit Public-Facing Application</t>
        </is>
      </c>
      <c r="S695" t="n">
        <v>1</v>
      </c>
      <c r="T695" t="inlineStr">
        <is>
          <t>LOW (40%)</t>
        </is>
      </c>
      <c r="U695" t="inlineStr">
        <is>
          <t>UNLIKELY</t>
        </is>
      </c>
      <c r="V695" t="inlineStr">
        <is>
          <t>CHECK_VENDOR</t>
        </is>
      </c>
      <c r="W695" t="inlineStr">
        <is>
          <t>https://nvd.nist.gov/vuln/detail/CVE-2026-22365</t>
        </is>
      </c>
      <c r="X695" t="inlineStr">
        <is>
          <t>NONE</t>
        </is>
      </c>
      <c r="Y695" t="n">
        <v>0</v>
      </c>
      <c r="Z695" t="inlineStr"/>
      <c r="AA695" t="inlineStr">
        <is>
          <t>https://nvd.nist.gov/vuln/detail/CVE-2026-22365</t>
        </is>
      </c>
    </row>
    <row r="696">
      <c r="A696" t="inlineStr">
        <is>
          <t>CVE</t>
        </is>
      </c>
      <c r="B696" t="inlineStr">
        <is>
          <t>CVE-2026-22366</t>
        </is>
      </c>
      <c r="C696" t="inlineStr">
        <is>
          <t>Improper Control of Filename for Include/Require Statement in PHP Program ('PHP Remote File Inclusion') vulnerability in axiomthemes Jude jude allows PHP Local File Inclusion.This issue affects Jude: from n/a through &lt;= 1.3.0.</t>
        </is>
      </c>
      <c r="D696" t="n">
        <v>8.1</v>
      </c>
      <c r="E696" t="inlineStr">
        <is>
          <t>HIGH</t>
        </is>
      </c>
      <c r="F696" t="n">
        <v>2</v>
      </c>
      <c r="G696" t="n">
        <v>3</v>
      </c>
      <c r="H696" t="inlineStr">
        <is>
          <t>HIGH</t>
        </is>
      </c>
      <c r="I696" t="n">
        <v>14.1</v>
      </c>
      <c r="J696" t="inlineStr">
        <is>
          <t>NO</t>
        </is>
      </c>
      <c r="K696" t="inlineStr">
        <is>
          <t>2026-02-26 00:15</t>
        </is>
      </c>
      <c r="L696" t="inlineStr">
        <is>
          <t>CHECK_VENDOR</t>
        </is>
      </c>
      <c r="M696" t="inlineStr">
        <is>
          <t>See CVE details</t>
        </is>
      </c>
      <c r="N696" t="inlineStr">
        <is>
          <t>P3</t>
        </is>
      </c>
      <c r="O696" t="inlineStr">
        <is>
          <t>CVE - IP enrichment n/a</t>
        </is>
      </c>
      <c r="P696" t="n">
        <v>0</v>
      </c>
      <c r="Q696" t="n">
        <v>0</v>
      </c>
      <c r="R696" t="inlineStr">
        <is>
          <t>T1190:Exploit Public-Facing Application</t>
        </is>
      </c>
      <c r="S696" t="n">
        <v>1</v>
      </c>
      <c r="T696" t="inlineStr">
        <is>
          <t>LOW (40%)</t>
        </is>
      </c>
      <c r="U696" t="inlineStr">
        <is>
          <t>UNLIKELY</t>
        </is>
      </c>
      <c r="V696" t="inlineStr">
        <is>
          <t>CHECK_VENDOR</t>
        </is>
      </c>
      <c r="W696" t="inlineStr">
        <is>
          <t>https://nvd.nist.gov/vuln/detail/CVE-2026-22366</t>
        </is>
      </c>
      <c r="X696" t="inlineStr">
        <is>
          <t>NONE</t>
        </is>
      </c>
      <c r="Y696" t="n">
        <v>0</v>
      </c>
      <c r="Z696" t="inlineStr"/>
      <c r="AA696" t="inlineStr">
        <is>
          <t>https://nvd.nist.gov/vuln/detail/CVE-2026-22366</t>
        </is>
      </c>
    </row>
    <row r="697">
      <c r="A697" t="inlineStr">
        <is>
          <t>CVE</t>
        </is>
      </c>
      <c r="B697" t="inlineStr">
        <is>
          <t>CVE-2026-22367</t>
        </is>
      </c>
      <c r="C697" t="inlineStr">
        <is>
          <t>Improper Control of Filename for Include/Require Statement in PHP Program ('PHP Remote File Inclusion') vulnerability in AncoraThemes Coworking coworking allows PHP Local File Inclusion.This issue affects Coworking: from n/a through &lt;= 1.6.1.</t>
        </is>
      </c>
      <c r="D697" t="n">
        <v>8.1</v>
      </c>
      <c r="E697" t="inlineStr">
        <is>
          <t>HIGH</t>
        </is>
      </c>
      <c r="F697" t="n">
        <v>2</v>
      </c>
      <c r="G697" t="n">
        <v>3</v>
      </c>
      <c r="H697" t="inlineStr">
        <is>
          <t>HIGH</t>
        </is>
      </c>
      <c r="I697" t="n">
        <v>14.1</v>
      </c>
      <c r="J697" t="inlineStr">
        <is>
          <t>NO</t>
        </is>
      </c>
      <c r="K697" t="inlineStr">
        <is>
          <t>2026-02-26 00:15</t>
        </is>
      </c>
      <c r="L697" t="inlineStr">
        <is>
          <t>CHECK_VENDOR</t>
        </is>
      </c>
      <c r="M697" t="inlineStr">
        <is>
          <t>See CVE details</t>
        </is>
      </c>
      <c r="N697" t="inlineStr">
        <is>
          <t>P3</t>
        </is>
      </c>
      <c r="O697" t="inlineStr">
        <is>
          <t>CVE - IP enrichment n/a</t>
        </is>
      </c>
      <c r="P697" t="n">
        <v>0.0011</v>
      </c>
      <c r="Q697" t="n">
        <v>0.3022</v>
      </c>
      <c r="R697" t="inlineStr">
        <is>
          <t>T1190:Exploit Public-Facing Application</t>
        </is>
      </c>
      <c r="S697" t="n">
        <v>1</v>
      </c>
      <c r="T697" t="inlineStr">
        <is>
          <t>LOW (40%)</t>
        </is>
      </c>
      <c r="U697" t="inlineStr">
        <is>
          <t>UNLIKELY</t>
        </is>
      </c>
      <c r="V697" t="inlineStr">
        <is>
          <t>CHECK_VENDOR</t>
        </is>
      </c>
      <c r="W697" t="inlineStr">
        <is>
          <t>https://nvd.nist.gov/vuln/detail/CVE-2026-22367</t>
        </is>
      </c>
      <c r="X697" t="inlineStr">
        <is>
          <t>NONE</t>
        </is>
      </c>
      <c r="Y697" t="n">
        <v>0</v>
      </c>
      <c r="Z697" t="inlineStr"/>
      <c r="AA697" t="inlineStr">
        <is>
          <t>https://nvd.nist.gov/vuln/detail/CVE-2026-22367</t>
        </is>
      </c>
    </row>
    <row r="698">
      <c r="A698" t="inlineStr">
        <is>
          <t>CVE</t>
        </is>
      </c>
      <c r="B698" t="inlineStr">
        <is>
          <t>CVE-2026-22368</t>
        </is>
      </c>
      <c r="C698" t="inlineStr">
        <is>
          <t>Improper Control of Filename for Include/Require Statement in PHP Program ('PHP Remote File Inclusion') vulnerability in axiomthemes Redy redy allows PHP Local File Inclusion.This issue affects Redy: from n/a through &lt;= 1.0.2.</t>
        </is>
      </c>
      <c r="D698" t="n">
        <v>8.1</v>
      </c>
      <c r="E698" t="inlineStr">
        <is>
          <t>HIGH</t>
        </is>
      </c>
      <c r="F698" t="n">
        <v>2</v>
      </c>
      <c r="G698" t="n">
        <v>3</v>
      </c>
      <c r="H698" t="inlineStr">
        <is>
          <t>HIGH</t>
        </is>
      </c>
      <c r="I698" t="n">
        <v>14.1</v>
      </c>
      <c r="J698" t="inlineStr">
        <is>
          <t>NO</t>
        </is>
      </c>
      <c r="K698" t="inlineStr">
        <is>
          <t>2026-02-26 00:15</t>
        </is>
      </c>
      <c r="L698" t="inlineStr">
        <is>
          <t>CHECK_VENDOR</t>
        </is>
      </c>
      <c r="M698" t="inlineStr">
        <is>
          <t>See CVE details</t>
        </is>
      </c>
      <c r="N698" t="inlineStr">
        <is>
          <t>P3</t>
        </is>
      </c>
      <c r="O698" t="inlineStr">
        <is>
          <t>CVE - IP enrichment n/a</t>
        </is>
      </c>
      <c r="P698" t="n">
        <v>0</v>
      </c>
      <c r="Q698" t="n">
        <v>0</v>
      </c>
      <c r="R698" t="inlineStr">
        <is>
          <t>T1190:Exploit Public-Facing Application</t>
        </is>
      </c>
      <c r="S698" t="n">
        <v>1</v>
      </c>
      <c r="T698" t="inlineStr">
        <is>
          <t>LOW (40%)</t>
        </is>
      </c>
      <c r="U698" t="inlineStr">
        <is>
          <t>UNLIKELY</t>
        </is>
      </c>
      <c r="V698" t="inlineStr">
        <is>
          <t>CHECK_VENDOR</t>
        </is>
      </c>
      <c r="W698" t="inlineStr">
        <is>
          <t>https://nvd.nist.gov/vuln/detail/CVE-2026-22368</t>
        </is>
      </c>
      <c r="X698" t="inlineStr">
        <is>
          <t>NONE</t>
        </is>
      </c>
      <c r="Y698" t="n">
        <v>0</v>
      </c>
      <c r="Z698" t="inlineStr"/>
      <c r="AA698" t="inlineStr">
        <is>
          <t>https://nvd.nist.gov/vuln/detail/CVE-2026-22368</t>
        </is>
      </c>
    </row>
    <row r="699">
      <c r="A699" t="inlineStr">
        <is>
          <t>CVE</t>
        </is>
      </c>
      <c r="B699" t="inlineStr">
        <is>
          <t>CVE-2026-22369</t>
        </is>
      </c>
      <c r="C699" t="inlineStr">
        <is>
          <t>Improper Control of Filename for Include/Require Statement in PHP Program ('PHP Remote File Inclusion') vulnerability in AncoraThemes Ironfit ironfit allows PHP Local File Inclusion.This issue affects Ironfit: from n/a through &lt;= 1.5.</t>
        </is>
      </c>
      <c r="D699" t="n">
        <v>8.1</v>
      </c>
      <c r="E699" t="inlineStr">
        <is>
          <t>HIGH</t>
        </is>
      </c>
      <c r="F699" t="n">
        <v>2</v>
      </c>
      <c r="G699" t="n">
        <v>3</v>
      </c>
      <c r="H699" t="inlineStr">
        <is>
          <t>HIGH</t>
        </is>
      </c>
      <c r="I699" t="n">
        <v>14.1</v>
      </c>
      <c r="J699" t="inlineStr">
        <is>
          <t>NO</t>
        </is>
      </c>
      <c r="K699" t="inlineStr">
        <is>
          <t>2026-02-26 00:15</t>
        </is>
      </c>
      <c r="L699" t="inlineStr">
        <is>
          <t>CHECK_VENDOR</t>
        </is>
      </c>
      <c r="M699" t="inlineStr">
        <is>
          <t>See CVE details</t>
        </is>
      </c>
      <c r="N699" t="inlineStr">
        <is>
          <t>P3</t>
        </is>
      </c>
      <c r="O699" t="inlineStr">
        <is>
          <t>CVE - IP enrichment n/a</t>
        </is>
      </c>
      <c r="P699" t="n">
        <v>0</v>
      </c>
      <c r="Q699" t="n">
        <v>0</v>
      </c>
      <c r="R699" t="inlineStr">
        <is>
          <t>T1190:Exploit Public-Facing Application</t>
        </is>
      </c>
      <c r="S699" t="n">
        <v>1</v>
      </c>
      <c r="T699" t="inlineStr">
        <is>
          <t>LOW (40%)</t>
        </is>
      </c>
      <c r="U699" t="inlineStr">
        <is>
          <t>UNLIKELY</t>
        </is>
      </c>
      <c r="V699" t="inlineStr">
        <is>
          <t>CHECK_VENDOR</t>
        </is>
      </c>
      <c r="W699" t="inlineStr">
        <is>
          <t>https://nvd.nist.gov/vuln/detail/CVE-2026-22369</t>
        </is>
      </c>
      <c r="X699" t="inlineStr">
        <is>
          <t>NONE</t>
        </is>
      </c>
      <c r="Y699" t="n">
        <v>0</v>
      </c>
      <c r="Z699" t="inlineStr"/>
      <c r="AA699" t="inlineStr">
        <is>
          <t>https://nvd.nist.gov/vuln/detail/CVE-2026-22369</t>
        </is>
      </c>
    </row>
    <row r="700">
      <c r="A700" t="inlineStr">
        <is>
          <t>CVE</t>
        </is>
      </c>
      <c r="B700" t="inlineStr">
        <is>
          <t>CVE-2026-22370</t>
        </is>
      </c>
      <c r="C700" t="inlineStr">
        <is>
          <t>Improper Control of Filename for Include/Require Statement in PHP Program ('PHP Remote File Inclusion') vulnerability in axiomthemes Marveland marveland allows PHP Local File Inclusion.This issue affects Marveland: from n/a through &lt;= 1.3.0.</t>
        </is>
      </c>
      <c r="D700" t="n">
        <v>8.1</v>
      </c>
      <c r="E700" t="inlineStr">
        <is>
          <t>HIGH</t>
        </is>
      </c>
      <c r="F700" t="n">
        <v>2</v>
      </c>
      <c r="G700" t="n">
        <v>3</v>
      </c>
      <c r="H700" t="inlineStr">
        <is>
          <t>HIGH</t>
        </is>
      </c>
      <c r="I700" t="n">
        <v>14.1</v>
      </c>
      <c r="J700" t="inlineStr">
        <is>
          <t>NO</t>
        </is>
      </c>
      <c r="K700" t="inlineStr">
        <is>
          <t>2026-02-26 00:15</t>
        </is>
      </c>
      <c r="L700" t="inlineStr">
        <is>
          <t>CHECK_VENDOR</t>
        </is>
      </c>
      <c r="M700" t="inlineStr">
        <is>
          <t>See CVE details</t>
        </is>
      </c>
      <c r="N700" t="inlineStr">
        <is>
          <t>P3</t>
        </is>
      </c>
      <c r="O700" t="inlineStr">
        <is>
          <t>CVE - IP enrichment n/a</t>
        </is>
      </c>
      <c r="P700" t="n">
        <v>0</v>
      </c>
      <c r="Q700" t="n">
        <v>0</v>
      </c>
      <c r="R700" t="inlineStr">
        <is>
          <t>T1190:Exploit Public-Facing Application</t>
        </is>
      </c>
      <c r="S700" t="n">
        <v>1</v>
      </c>
      <c r="T700" t="inlineStr">
        <is>
          <t>LOW (40%)</t>
        </is>
      </c>
      <c r="U700" t="inlineStr">
        <is>
          <t>UNLIKELY</t>
        </is>
      </c>
      <c r="V700" t="inlineStr">
        <is>
          <t>CHECK_VENDOR</t>
        </is>
      </c>
      <c r="W700" t="inlineStr">
        <is>
          <t>https://nvd.nist.gov/vuln/detail/CVE-2026-22370</t>
        </is>
      </c>
      <c r="X700" t="inlineStr">
        <is>
          <t>NONE</t>
        </is>
      </c>
      <c r="Y700" t="n">
        <v>0</v>
      </c>
      <c r="Z700" t="inlineStr"/>
      <c r="AA700" t="inlineStr">
        <is>
          <t>https://nvd.nist.gov/vuln/detail/CVE-2026-22370</t>
        </is>
      </c>
    </row>
    <row r="701">
      <c r="A701" t="inlineStr">
        <is>
          <t>CVE</t>
        </is>
      </c>
      <c r="B701" t="inlineStr">
        <is>
          <t>CVE-2026-22371</t>
        </is>
      </c>
      <c r="C701" t="inlineStr">
        <is>
          <t>Improper Control of Filename for Include/Require Statement in PHP Program ('PHP Remote File Inclusion') vulnerability in AncoraThemes Gustavo gustavo allows PHP Local File Inclusion.This issue affects Gustavo: from n/a through &lt;= 1.2.2.</t>
        </is>
      </c>
      <c r="D701" t="n">
        <v>8.1</v>
      </c>
      <c r="E701" t="inlineStr">
        <is>
          <t>HIGH</t>
        </is>
      </c>
      <c r="F701" t="n">
        <v>2</v>
      </c>
      <c r="G701" t="n">
        <v>3</v>
      </c>
      <c r="H701" t="inlineStr">
        <is>
          <t>HIGH</t>
        </is>
      </c>
      <c r="I701" t="n">
        <v>14.1</v>
      </c>
      <c r="J701" t="inlineStr">
        <is>
          <t>NO</t>
        </is>
      </c>
      <c r="K701" t="inlineStr">
        <is>
          <t>2026-02-26 00:15</t>
        </is>
      </c>
      <c r="L701" t="inlineStr">
        <is>
          <t>CHECK_VENDOR</t>
        </is>
      </c>
      <c r="M701" t="inlineStr">
        <is>
          <t>See CVE details</t>
        </is>
      </c>
      <c r="N701" t="inlineStr">
        <is>
          <t>P3</t>
        </is>
      </c>
      <c r="O701" t="inlineStr">
        <is>
          <t>CVE - IP enrichment n/a</t>
        </is>
      </c>
      <c r="P701" t="n">
        <v>0</v>
      </c>
      <c r="Q701" t="n">
        <v>0</v>
      </c>
      <c r="R701" t="inlineStr">
        <is>
          <t>T1190:Exploit Public-Facing Application</t>
        </is>
      </c>
      <c r="S701" t="n">
        <v>1</v>
      </c>
      <c r="T701" t="inlineStr">
        <is>
          <t>LOW (40%)</t>
        </is>
      </c>
      <c r="U701" t="inlineStr">
        <is>
          <t>UNLIKELY</t>
        </is>
      </c>
      <c r="V701" t="inlineStr">
        <is>
          <t>CHECK_VENDOR</t>
        </is>
      </c>
      <c r="W701" t="inlineStr">
        <is>
          <t>https://nvd.nist.gov/vuln/detail/CVE-2026-22371</t>
        </is>
      </c>
      <c r="X701" t="inlineStr">
        <is>
          <t>NONE</t>
        </is>
      </c>
      <c r="Y701" t="n">
        <v>0</v>
      </c>
      <c r="Z701" t="inlineStr"/>
      <c r="AA701" t="inlineStr">
        <is>
          <t>https://nvd.nist.gov/vuln/detail/CVE-2026-22371</t>
        </is>
      </c>
    </row>
    <row r="702">
      <c r="A702" t="inlineStr">
        <is>
          <t>CVE</t>
        </is>
      </c>
      <c r="B702" t="inlineStr">
        <is>
          <t>CVE-2026-22372</t>
        </is>
      </c>
      <c r="C702" t="inlineStr">
        <is>
          <t>Improper Control of Filename for Include/Require Statement in PHP Program ('PHP Remote File Inclusion') vulnerability in AncoraThemes Isida isida allows PHP Local File Inclusion.This issue affects Isida: from n/a through &lt;= 1.4.2.</t>
        </is>
      </c>
      <c r="D702" t="n">
        <v>8.1</v>
      </c>
      <c r="E702" t="inlineStr">
        <is>
          <t>HIGH</t>
        </is>
      </c>
      <c r="F702" t="n">
        <v>2</v>
      </c>
      <c r="G702" t="n">
        <v>3</v>
      </c>
      <c r="H702" t="inlineStr">
        <is>
          <t>HIGH</t>
        </is>
      </c>
      <c r="I702" t="n">
        <v>14.1</v>
      </c>
      <c r="J702" t="inlineStr">
        <is>
          <t>NO</t>
        </is>
      </c>
      <c r="K702" t="inlineStr">
        <is>
          <t>2026-02-26 00:15</t>
        </is>
      </c>
      <c r="L702" t="inlineStr">
        <is>
          <t>CHECK_VENDOR</t>
        </is>
      </c>
      <c r="M702" t="inlineStr">
        <is>
          <t>See CVE details</t>
        </is>
      </c>
      <c r="N702" t="inlineStr">
        <is>
          <t>P3</t>
        </is>
      </c>
      <c r="O702" t="inlineStr">
        <is>
          <t>CVE - IP enrichment n/a</t>
        </is>
      </c>
      <c r="P702" t="n">
        <v>0</v>
      </c>
      <c r="Q702" t="n">
        <v>0</v>
      </c>
      <c r="R702" t="inlineStr">
        <is>
          <t>T1190:Exploit Public-Facing Application</t>
        </is>
      </c>
      <c r="S702" t="n">
        <v>1</v>
      </c>
      <c r="T702" t="inlineStr">
        <is>
          <t>LOW (40%)</t>
        </is>
      </c>
      <c r="U702" t="inlineStr">
        <is>
          <t>UNLIKELY</t>
        </is>
      </c>
      <c r="V702" t="inlineStr">
        <is>
          <t>CHECK_VENDOR</t>
        </is>
      </c>
      <c r="W702" t="inlineStr">
        <is>
          <t>https://nvd.nist.gov/vuln/detail/CVE-2026-22372</t>
        </is>
      </c>
      <c r="X702" t="inlineStr">
        <is>
          <t>NONE</t>
        </is>
      </c>
      <c r="Y702" t="n">
        <v>0</v>
      </c>
      <c r="Z702" t="inlineStr"/>
      <c r="AA702" t="inlineStr">
        <is>
          <t>https://nvd.nist.gov/vuln/detail/CVE-2026-22372</t>
        </is>
      </c>
    </row>
    <row r="703">
      <c r="A703" t="inlineStr">
        <is>
          <t>CVE</t>
        </is>
      </c>
      <c r="B703" t="inlineStr">
        <is>
          <t>CVE-2026-22373</t>
        </is>
      </c>
      <c r="C703" t="inlineStr">
        <is>
          <t>Improper Control of Filename for Include/Require Statement in PHP Program ('PHP Remote File Inclusion') vulnerability in AncoraThemes Fooddy fooddy allows PHP Local File Inclusion.This issue affects Fooddy: from n/a through &lt;= 1.3.10.</t>
        </is>
      </c>
      <c r="D703" t="n">
        <v>8.1</v>
      </c>
      <c r="E703" t="inlineStr">
        <is>
          <t>HIGH</t>
        </is>
      </c>
      <c r="F703" t="n">
        <v>2</v>
      </c>
      <c r="G703" t="n">
        <v>3</v>
      </c>
      <c r="H703" t="inlineStr">
        <is>
          <t>HIGH</t>
        </is>
      </c>
      <c r="I703" t="n">
        <v>14.1</v>
      </c>
      <c r="J703" t="inlineStr">
        <is>
          <t>NO</t>
        </is>
      </c>
      <c r="K703" t="inlineStr">
        <is>
          <t>2026-02-26 00:15</t>
        </is>
      </c>
      <c r="L703" t="inlineStr">
        <is>
          <t>CHECK_VENDOR</t>
        </is>
      </c>
      <c r="M703" t="inlineStr">
        <is>
          <t>See CVE details</t>
        </is>
      </c>
      <c r="N703" t="inlineStr">
        <is>
          <t>P3</t>
        </is>
      </c>
      <c r="O703" t="inlineStr">
        <is>
          <t>CVE - IP enrichment n/a</t>
        </is>
      </c>
      <c r="P703" t="n">
        <v>0</v>
      </c>
      <c r="Q703" t="n">
        <v>0</v>
      </c>
      <c r="R703" t="inlineStr">
        <is>
          <t>T1190:Exploit Public-Facing Application</t>
        </is>
      </c>
      <c r="S703" t="n">
        <v>1</v>
      </c>
      <c r="T703" t="inlineStr">
        <is>
          <t>LOW (40%)</t>
        </is>
      </c>
      <c r="U703" t="inlineStr">
        <is>
          <t>UNLIKELY</t>
        </is>
      </c>
      <c r="V703" t="inlineStr">
        <is>
          <t>CHECK_VENDOR</t>
        </is>
      </c>
      <c r="W703" t="inlineStr">
        <is>
          <t>https://nvd.nist.gov/vuln/detail/CVE-2026-22373</t>
        </is>
      </c>
      <c r="X703" t="inlineStr">
        <is>
          <t>NONE</t>
        </is>
      </c>
      <c r="Y703" t="n">
        <v>0</v>
      </c>
      <c r="Z703" t="inlineStr"/>
      <c r="AA703" t="inlineStr">
        <is>
          <t>https://nvd.nist.gov/vuln/detail/CVE-2026-22373</t>
        </is>
      </c>
    </row>
    <row r="704">
      <c r="A704" t="inlineStr">
        <is>
          <t>CVE</t>
        </is>
      </c>
      <c r="B704" t="inlineStr">
        <is>
          <t>CVE-2026-22374</t>
        </is>
      </c>
      <c r="C704" t="inlineStr">
        <is>
          <t>Improper Control of Filename for Include/Require Statement in PHP Program ('PHP Remote File Inclusion') vulnerability in AncoraThemes Zio Alberto zioalberto allows PHP Local File Inclusion.This issue affects Zio Alberto: from n/a through &lt;= 1.2.2.</t>
        </is>
      </c>
      <c r="D704" t="n">
        <v>8.1</v>
      </c>
      <c r="E704" t="inlineStr">
        <is>
          <t>HIGH</t>
        </is>
      </c>
      <c r="F704" t="n">
        <v>2</v>
      </c>
      <c r="G704" t="n">
        <v>3</v>
      </c>
      <c r="H704" t="inlineStr">
        <is>
          <t>HIGH</t>
        </is>
      </c>
      <c r="I704" t="n">
        <v>14.1</v>
      </c>
      <c r="J704" t="inlineStr">
        <is>
          <t>NO</t>
        </is>
      </c>
      <c r="K704" t="inlineStr">
        <is>
          <t>2026-02-26 00:15</t>
        </is>
      </c>
      <c r="L704" t="inlineStr">
        <is>
          <t>CHECK_VENDOR</t>
        </is>
      </c>
      <c r="M704" t="inlineStr">
        <is>
          <t>See CVE details</t>
        </is>
      </c>
      <c r="N704" t="inlineStr">
        <is>
          <t>P3</t>
        </is>
      </c>
      <c r="O704" t="inlineStr">
        <is>
          <t>CVE - IP enrichment n/a</t>
        </is>
      </c>
      <c r="P704" t="n">
        <v>0</v>
      </c>
      <c r="Q704" t="n">
        <v>0</v>
      </c>
      <c r="R704" t="inlineStr">
        <is>
          <t>T1190:Exploit Public-Facing Application</t>
        </is>
      </c>
      <c r="S704" t="n">
        <v>1</v>
      </c>
      <c r="T704" t="inlineStr">
        <is>
          <t>LOW (40%)</t>
        </is>
      </c>
      <c r="U704" t="inlineStr">
        <is>
          <t>UNLIKELY</t>
        </is>
      </c>
      <c r="V704" t="inlineStr">
        <is>
          <t>CHECK_VENDOR</t>
        </is>
      </c>
      <c r="W704" t="inlineStr">
        <is>
          <t>https://nvd.nist.gov/vuln/detail/CVE-2026-22374</t>
        </is>
      </c>
      <c r="X704" t="inlineStr">
        <is>
          <t>NONE</t>
        </is>
      </c>
      <c r="Y704" t="n">
        <v>0</v>
      </c>
      <c r="Z704" t="inlineStr"/>
      <c r="AA704" t="inlineStr">
        <is>
          <t>https://nvd.nist.gov/vuln/detail/CVE-2026-22374</t>
        </is>
      </c>
    </row>
    <row r="705">
      <c r="A705" t="inlineStr">
        <is>
          <t>CVE</t>
        </is>
      </c>
      <c r="B705" t="inlineStr">
        <is>
          <t>CVE-2026-22375</t>
        </is>
      </c>
      <c r="C705" t="inlineStr">
        <is>
          <t>Improper Control of Filename for Include/Require Statement in PHP Program ('PHP Remote File Inclusion') vulnerability in AncoraThemes Impacto Patronus impacto-patronus allows PHP Local File Inclusion.This issue affects Impacto Patronus: from n/a through &lt;= 1.2.3.</t>
        </is>
      </c>
      <c r="D705" t="n">
        <v>8.1</v>
      </c>
      <c r="E705" t="inlineStr">
        <is>
          <t>HIGH</t>
        </is>
      </c>
      <c r="F705" t="n">
        <v>2</v>
      </c>
      <c r="G705" t="n">
        <v>3</v>
      </c>
      <c r="H705" t="inlineStr">
        <is>
          <t>HIGH</t>
        </is>
      </c>
      <c r="I705" t="n">
        <v>14.1</v>
      </c>
      <c r="J705" t="inlineStr">
        <is>
          <t>NO</t>
        </is>
      </c>
      <c r="K705" t="inlineStr">
        <is>
          <t>2026-02-26 00:15</t>
        </is>
      </c>
      <c r="L705" t="inlineStr">
        <is>
          <t>CHECK_VENDOR</t>
        </is>
      </c>
      <c r="M705" t="inlineStr">
        <is>
          <t>See CVE details</t>
        </is>
      </c>
      <c r="N705" t="inlineStr">
        <is>
          <t>P3</t>
        </is>
      </c>
      <c r="O705" t="inlineStr">
        <is>
          <t>CVE - IP enrichment n/a</t>
        </is>
      </c>
      <c r="P705" t="n">
        <v>0</v>
      </c>
      <c r="Q705" t="n">
        <v>0</v>
      </c>
      <c r="R705" t="inlineStr">
        <is>
          <t>T1190:Exploit Public-Facing Application</t>
        </is>
      </c>
      <c r="S705" t="n">
        <v>1</v>
      </c>
      <c r="T705" t="inlineStr">
        <is>
          <t>LOW (40%)</t>
        </is>
      </c>
      <c r="U705" t="inlineStr">
        <is>
          <t>UNLIKELY</t>
        </is>
      </c>
      <c r="V705" t="inlineStr">
        <is>
          <t>CHECK_VENDOR</t>
        </is>
      </c>
      <c r="W705" t="inlineStr">
        <is>
          <t>https://nvd.nist.gov/vuln/detail/CVE-2026-22375</t>
        </is>
      </c>
      <c r="X705" t="inlineStr">
        <is>
          <t>NONE</t>
        </is>
      </c>
      <c r="Y705" t="n">
        <v>0</v>
      </c>
      <c r="Z705" t="inlineStr"/>
      <c r="AA705" t="inlineStr">
        <is>
          <t>https://nvd.nist.gov/vuln/detail/CVE-2026-22375</t>
        </is>
      </c>
    </row>
    <row r="706">
      <c r="A706" t="inlineStr">
        <is>
          <t>CVE</t>
        </is>
      </c>
      <c r="B706" t="inlineStr">
        <is>
          <t>CVE-2026-22376</t>
        </is>
      </c>
      <c r="C706" t="inlineStr">
        <is>
          <t>Improper Control of Filename for Include/Require Statement in PHP Program ('PHP Remote File Inclusion') vulnerability in AncoraThemes Parkivia parkivia allows PHP Local File Inclusion.This issue affects Parkivia: from n/a through &lt;= 1.1.9.</t>
        </is>
      </c>
      <c r="D706" t="n">
        <v>8.1</v>
      </c>
      <c r="E706" t="inlineStr">
        <is>
          <t>HIGH</t>
        </is>
      </c>
      <c r="F706" t="n">
        <v>2</v>
      </c>
      <c r="G706" t="n">
        <v>3</v>
      </c>
      <c r="H706" t="inlineStr">
        <is>
          <t>HIGH</t>
        </is>
      </c>
      <c r="I706" t="n">
        <v>14.1</v>
      </c>
      <c r="J706" t="inlineStr">
        <is>
          <t>NO</t>
        </is>
      </c>
      <c r="K706" t="inlineStr">
        <is>
          <t>2026-02-26 00:15</t>
        </is>
      </c>
      <c r="L706" t="inlineStr">
        <is>
          <t>CHECK_VENDOR</t>
        </is>
      </c>
      <c r="M706" t="inlineStr">
        <is>
          <t>See CVE details</t>
        </is>
      </c>
      <c r="N706" t="inlineStr">
        <is>
          <t>P3</t>
        </is>
      </c>
      <c r="O706" t="inlineStr">
        <is>
          <t>CVE - IP enrichment n/a</t>
        </is>
      </c>
      <c r="P706" t="n">
        <v>0.0011</v>
      </c>
      <c r="Q706" t="n">
        <v>0.3022</v>
      </c>
      <c r="R706" t="inlineStr">
        <is>
          <t>T1190:Exploit Public-Facing Application</t>
        </is>
      </c>
      <c r="S706" t="n">
        <v>1</v>
      </c>
      <c r="T706" t="inlineStr">
        <is>
          <t>LOW (40%)</t>
        </is>
      </c>
      <c r="U706" t="inlineStr">
        <is>
          <t>UNLIKELY</t>
        </is>
      </c>
      <c r="V706" t="inlineStr">
        <is>
          <t>CHECK_VENDOR</t>
        </is>
      </c>
      <c r="W706" t="inlineStr">
        <is>
          <t>https://nvd.nist.gov/vuln/detail/CVE-2026-22376</t>
        </is>
      </c>
      <c r="X706" t="inlineStr">
        <is>
          <t>NONE</t>
        </is>
      </c>
      <c r="Y706" t="n">
        <v>0</v>
      </c>
      <c r="Z706" t="inlineStr"/>
      <c r="AA706" t="inlineStr">
        <is>
          <t>https://nvd.nist.gov/vuln/detail/CVE-2026-22376</t>
        </is>
      </c>
    </row>
    <row r="707">
      <c r="A707" t="inlineStr">
        <is>
          <t>CVE</t>
        </is>
      </c>
      <c r="B707" t="inlineStr">
        <is>
          <t>CVE-2026-22377</t>
        </is>
      </c>
      <c r="C707" t="inlineStr">
        <is>
          <t>Improper Control of Filename for Include/Require Statement in PHP Program ('PHP Remote File Inclusion') vulnerability in AncoraThemes Saveo saveo allows PHP Local File Inclusion.This issue affects Saveo: from n/a through &lt;= 1.1.2.</t>
        </is>
      </c>
      <c r="D707" t="n">
        <v>8.1</v>
      </c>
      <c r="E707" t="inlineStr">
        <is>
          <t>HIGH</t>
        </is>
      </c>
      <c r="F707" t="n">
        <v>2</v>
      </c>
      <c r="G707" t="n">
        <v>3</v>
      </c>
      <c r="H707" t="inlineStr">
        <is>
          <t>HIGH</t>
        </is>
      </c>
      <c r="I707" t="n">
        <v>14.1</v>
      </c>
      <c r="J707" t="inlineStr">
        <is>
          <t>NO</t>
        </is>
      </c>
      <c r="K707" t="inlineStr">
        <is>
          <t>2026-02-26 00:15</t>
        </is>
      </c>
      <c r="L707" t="inlineStr">
        <is>
          <t>CHECK_VENDOR</t>
        </is>
      </c>
      <c r="M707" t="inlineStr">
        <is>
          <t>See CVE details</t>
        </is>
      </c>
      <c r="N707" t="inlineStr">
        <is>
          <t>P3</t>
        </is>
      </c>
      <c r="O707" t="inlineStr">
        <is>
          <t>CVE - IP enrichment n/a</t>
        </is>
      </c>
      <c r="P707" t="n">
        <v>0.0011</v>
      </c>
      <c r="Q707" t="n">
        <v>0.3022</v>
      </c>
      <c r="R707" t="inlineStr">
        <is>
          <t>T1190:Exploit Public-Facing Application</t>
        </is>
      </c>
      <c r="S707" t="n">
        <v>1</v>
      </c>
      <c r="T707" t="inlineStr">
        <is>
          <t>LOW (40%)</t>
        </is>
      </c>
      <c r="U707" t="inlineStr">
        <is>
          <t>UNLIKELY</t>
        </is>
      </c>
      <c r="V707" t="inlineStr">
        <is>
          <t>CHECK_VENDOR</t>
        </is>
      </c>
      <c r="W707" t="inlineStr">
        <is>
          <t>https://nvd.nist.gov/vuln/detail/CVE-2026-22377</t>
        </is>
      </c>
      <c r="X707" t="inlineStr">
        <is>
          <t>NONE</t>
        </is>
      </c>
      <c r="Y707" t="n">
        <v>0</v>
      </c>
      <c r="Z707" t="inlineStr"/>
      <c r="AA707" t="inlineStr">
        <is>
          <t>https://nvd.nist.gov/vuln/detail/CVE-2026-22377</t>
        </is>
      </c>
    </row>
    <row r="708">
      <c r="A708" t="inlineStr">
        <is>
          <t>CVE</t>
        </is>
      </c>
      <c r="B708" t="inlineStr">
        <is>
          <t>CVE-2026-22378</t>
        </is>
      </c>
      <c r="C708" t="inlineStr">
        <is>
          <t>Improper Control of Filename for Include/Require Statement in PHP Program ('PHP Remote File Inclusion') vulnerability in AncoraThemes Blabber blabber allows PHP Local File Inclusion.This issue affects Blabber: from n/a through &lt;= 1.7.0.</t>
        </is>
      </c>
      <c r="D708" t="n">
        <v>8.1</v>
      </c>
      <c r="E708" t="inlineStr">
        <is>
          <t>HIGH</t>
        </is>
      </c>
      <c r="F708" t="n">
        <v>2</v>
      </c>
      <c r="G708" t="n">
        <v>3</v>
      </c>
      <c r="H708" t="inlineStr">
        <is>
          <t>HIGH</t>
        </is>
      </c>
      <c r="I708" t="n">
        <v>14.1</v>
      </c>
      <c r="J708" t="inlineStr">
        <is>
          <t>NO</t>
        </is>
      </c>
      <c r="K708" t="inlineStr">
        <is>
          <t>2026-02-26 00:15</t>
        </is>
      </c>
      <c r="L708" t="inlineStr">
        <is>
          <t>CHECK_VENDOR</t>
        </is>
      </c>
      <c r="M708" t="inlineStr">
        <is>
          <t>See CVE details</t>
        </is>
      </c>
      <c r="N708" t="inlineStr">
        <is>
          <t>P3</t>
        </is>
      </c>
      <c r="O708" t="inlineStr">
        <is>
          <t>CVE - IP enrichment n/a</t>
        </is>
      </c>
      <c r="P708" t="n">
        <v>0</v>
      </c>
      <c r="Q708" t="n">
        <v>0</v>
      </c>
      <c r="R708" t="inlineStr">
        <is>
          <t>T1190:Exploit Public-Facing Application</t>
        </is>
      </c>
      <c r="S708" t="n">
        <v>1</v>
      </c>
      <c r="T708" t="inlineStr">
        <is>
          <t>LOW (40%)</t>
        </is>
      </c>
      <c r="U708" t="inlineStr">
        <is>
          <t>UNLIKELY</t>
        </is>
      </c>
      <c r="V708" t="inlineStr">
        <is>
          <t>CHECK_VENDOR</t>
        </is>
      </c>
      <c r="W708" t="inlineStr">
        <is>
          <t>https://nvd.nist.gov/vuln/detail/CVE-2026-22378</t>
        </is>
      </c>
      <c r="X708" t="inlineStr">
        <is>
          <t>NONE</t>
        </is>
      </c>
      <c r="Y708" t="n">
        <v>0</v>
      </c>
      <c r="Z708" t="inlineStr"/>
      <c r="AA708" t="inlineStr">
        <is>
          <t>https://nvd.nist.gov/vuln/detail/CVE-2026-22378</t>
        </is>
      </c>
    </row>
    <row r="709">
      <c r="A709" t="inlineStr">
        <is>
          <t>CVE</t>
        </is>
      </c>
      <c r="B709" t="inlineStr">
        <is>
          <t>CVE-2026-22379</t>
        </is>
      </c>
      <c r="C709" t="inlineStr">
        <is>
          <t>Improper Control of Filename for Include/Require Statement in PHP Program ('PHP Remote File Inclusion') vulnerability in AncoraThemes Netmix netmix allows PHP Local File Inclusion.This issue affects Netmix: from n/a through &lt;= 1.0.10.</t>
        </is>
      </c>
      <c r="D709" t="n">
        <v>8.1</v>
      </c>
      <c r="E709" t="inlineStr">
        <is>
          <t>HIGH</t>
        </is>
      </c>
      <c r="F709" t="n">
        <v>2</v>
      </c>
      <c r="G709" t="n">
        <v>3</v>
      </c>
      <c r="H709" t="inlineStr">
        <is>
          <t>HIGH</t>
        </is>
      </c>
      <c r="I709" t="n">
        <v>14.1</v>
      </c>
      <c r="J709" t="inlineStr">
        <is>
          <t>NO</t>
        </is>
      </c>
      <c r="K709" t="inlineStr">
        <is>
          <t>2026-02-26 00:15</t>
        </is>
      </c>
      <c r="L709" t="inlineStr">
        <is>
          <t>CHECK_VENDOR</t>
        </is>
      </c>
      <c r="M709" t="inlineStr">
        <is>
          <t>See CVE details</t>
        </is>
      </c>
      <c r="N709" t="inlineStr">
        <is>
          <t>P3</t>
        </is>
      </c>
      <c r="O709" t="inlineStr">
        <is>
          <t>CVE - IP enrichment n/a</t>
        </is>
      </c>
      <c r="P709" t="n">
        <v>0</v>
      </c>
      <c r="Q709" t="n">
        <v>0</v>
      </c>
      <c r="R709" t="inlineStr">
        <is>
          <t>T1190:Exploit Public-Facing Application</t>
        </is>
      </c>
      <c r="S709" t="n">
        <v>1</v>
      </c>
      <c r="T709" t="inlineStr">
        <is>
          <t>LOW (40%)</t>
        </is>
      </c>
      <c r="U709" t="inlineStr">
        <is>
          <t>UNLIKELY</t>
        </is>
      </c>
      <c r="V709" t="inlineStr">
        <is>
          <t>CHECK_VENDOR</t>
        </is>
      </c>
      <c r="W709" t="inlineStr">
        <is>
          <t>https://nvd.nist.gov/vuln/detail/CVE-2026-22379</t>
        </is>
      </c>
      <c r="X709" t="inlineStr">
        <is>
          <t>NONE</t>
        </is>
      </c>
      <c r="Y709" t="n">
        <v>0</v>
      </c>
      <c r="Z709" t="inlineStr"/>
      <c r="AA709" t="inlineStr">
        <is>
          <t>https://nvd.nist.gov/vuln/detail/CVE-2026-22379</t>
        </is>
      </c>
    </row>
    <row r="710">
      <c r="A710" t="inlineStr">
        <is>
          <t>CVE</t>
        </is>
      </c>
      <c r="B710" t="inlineStr">
        <is>
          <t>CVE-2026-22380</t>
        </is>
      </c>
      <c r="C710" t="inlineStr">
        <is>
          <t>Improper Control of Filename for Include/Require Statement in PHP Program ('PHP Remote File Inclusion') vulnerability in AncoraThemes UnlimHost unlimhost allows PHP Local File Inclusion.This issue affects UnlimHost: from n/a through &lt;= 1.2.3.</t>
        </is>
      </c>
      <c r="D710" t="n">
        <v>8.1</v>
      </c>
      <c r="E710" t="inlineStr">
        <is>
          <t>HIGH</t>
        </is>
      </c>
      <c r="F710" t="n">
        <v>2</v>
      </c>
      <c r="G710" t="n">
        <v>3</v>
      </c>
      <c r="H710" t="inlineStr">
        <is>
          <t>HIGH</t>
        </is>
      </c>
      <c r="I710" t="n">
        <v>14.1</v>
      </c>
      <c r="J710" t="inlineStr">
        <is>
          <t>NO</t>
        </is>
      </c>
      <c r="K710" t="inlineStr">
        <is>
          <t>2026-02-26 00:15</t>
        </is>
      </c>
      <c r="L710" t="inlineStr">
        <is>
          <t>CHECK_VENDOR</t>
        </is>
      </c>
      <c r="M710" t="inlineStr">
        <is>
          <t>See CVE details</t>
        </is>
      </c>
      <c r="N710" t="inlineStr">
        <is>
          <t>P3</t>
        </is>
      </c>
      <c r="O710" t="inlineStr">
        <is>
          <t>CVE - IP enrichment n/a</t>
        </is>
      </c>
      <c r="P710" t="n">
        <v>0</v>
      </c>
      <c r="Q710" t="n">
        <v>0</v>
      </c>
      <c r="R710" t="inlineStr">
        <is>
          <t>T1190:Exploit Public-Facing Application</t>
        </is>
      </c>
      <c r="S710" t="n">
        <v>1</v>
      </c>
      <c r="T710" t="inlineStr">
        <is>
          <t>LOW (40%)</t>
        </is>
      </c>
      <c r="U710" t="inlineStr">
        <is>
          <t>UNLIKELY</t>
        </is>
      </c>
      <c r="V710" t="inlineStr">
        <is>
          <t>CHECK_VENDOR</t>
        </is>
      </c>
      <c r="W710" t="inlineStr">
        <is>
          <t>https://nvd.nist.gov/vuln/detail/CVE-2026-22380</t>
        </is>
      </c>
      <c r="X710" t="inlineStr">
        <is>
          <t>NONE</t>
        </is>
      </c>
      <c r="Y710" t="n">
        <v>0</v>
      </c>
      <c r="Z710" t="inlineStr"/>
      <c r="AA710" t="inlineStr">
        <is>
          <t>https://nvd.nist.gov/vuln/detail/CVE-2026-22380</t>
        </is>
      </c>
    </row>
    <row r="711">
      <c r="A711" t="inlineStr">
        <is>
          <t>CVE</t>
        </is>
      </c>
      <c r="B711" t="inlineStr">
        <is>
          <t>CVE-2026-22381</t>
        </is>
      </c>
      <c r="C711" t="inlineStr">
        <is>
          <t>Improper Control of Filename for Include/Require Statement in PHP Program ('PHP Remote File Inclusion') vulnerability in Mikado-Themes PawFriends - Pet Shop and Veterinary WordPress Theme pawfriends allows PHP Local File Inclusion.This issue affects PawFriends - Pet Shop and Veterinary WordPress Theme: from n/a through &lt;= 1.3.</t>
        </is>
      </c>
      <c r="D711" t="n">
        <v>8.1</v>
      </c>
      <c r="E711" t="inlineStr">
        <is>
          <t>HIGH</t>
        </is>
      </c>
      <c r="F711" t="n">
        <v>2</v>
      </c>
      <c r="G711" t="n">
        <v>3</v>
      </c>
      <c r="H711" t="inlineStr">
        <is>
          <t>HIGH</t>
        </is>
      </c>
      <c r="I711" t="n">
        <v>14.1</v>
      </c>
      <c r="J711" t="inlineStr">
        <is>
          <t>NO</t>
        </is>
      </c>
      <c r="K711" t="inlineStr">
        <is>
          <t>2026-02-26 00:15</t>
        </is>
      </c>
      <c r="L711" t="inlineStr">
        <is>
          <t>CHECK_VENDOR</t>
        </is>
      </c>
      <c r="M711" t="inlineStr">
        <is>
          <t>See CVE details</t>
        </is>
      </c>
      <c r="N711" t="inlineStr">
        <is>
          <t>P3</t>
        </is>
      </c>
      <c r="O711" t="inlineStr">
        <is>
          <t>CVE - IP enrichment n/a</t>
        </is>
      </c>
      <c r="P711" t="n">
        <v>0</v>
      </c>
      <c r="Q711" t="n">
        <v>0</v>
      </c>
      <c r="R711" t="inlineStr">
        <is>
          <t>T1190:Exploit Public-Facing Application</t>
        </is>
      </c>
      <c r="S711" t="n">
        <v>1</v>
      </c>
      <c r="T711" t="inlineStr">
        <is>
          <t>LOW (40%)</t>
        </is>
      </c>
      <c r="U711" t="inlineStr">
        <is>
          <t>UNLIKELY</t>
        </is>
      </c>
      <c r="V711" t="inlineStr">
        <is>
          <t>CHECK_VENDOR</t>
        </is>
      </c>
      <c r="W711" t="inlineStr">
        <is>
          <t>https://nvd.nist.gov/vuln/detail/CVE-2026-22381</t>
        </is>
      </c>
      <c r="X711" t="inlineStr">
        <is>
          <t>NONE</t>
        </is>
      </c>
      <c r="Y711" t="n">
        <v>0</v>
      </c>
      <c r="Z711" t="inlineStr"/>
      <c r="AA711" t="inlineStr">
        <is>
          <t>https://nvd.nist.gov/vuln/detail/CVE-2026-22381</t>
        </is>
      </c>
    </row>
    <row r="712">
      <c r="A712" t="inlineStr">
        <is>
          <t>CVE</t>
        </is>
      </c>
      <c r="B712" t="inlineStr">
        <is>
          <t>CVE-2026-22383</t>
        </is>
      </c>
      <c r="C712" t="inlineStr">
        <is>
          <t>Authorization Bypass Through User-Controlled Key vulnerability in Mikado-Themes PawFriends - Pet Shop and Veterinary WordPress Theme pawfriends allows Exploiting Incorrectly Configured Access Control Security Levels.This issue affects PawFriends - Pet Shop and Veterinary WordPress Theme: from n/a through &lt;= 1.3.</t>
        </is>
      </c>
      <c r="D712" t="n">
        <v>5.4</v>
      </c>
      <c r="E712" t="inlineStr">
        <is>
          <t>MEDIUM</t>
        </is>
      </c>
      <c r="F712" t="n">
        <v>2</v>
      </c>
      <c r="G712" t="n">
        <v>2</v>
      </c>
      <c r="H712" t="inlineStr">
        <is>
          <t>MEDIUM</t>
        </is>
      </c>
      <c r="I712" t="n">
        <v>9.4</v>
      </c>
      <c r="J712" t="inlineStr">
        <is>
          <t>NO</t>
        </is>
      </c>
      <c r="K712" t="inlineStr">
        <is>
          <t>2026-02-26 00:15</t>
        </is>
      </c>
      <c r="L712" t="inlineStr">
        <is>
          <t>CHECK_VENDOR</t>
        </is>
      </c>
      <c r="M712" t="inlineStr">
        <is>
          <t>See CVE details</t>
        </is>
      </c>
      <c r="N712" t="inlineStr">
        <is>
          <t>P4</t>
        </is>
      </c>
      <c r="O712" t="inlineStr">
        <is>
          <t>CVE - IP enrichment n/a</t>
        </is>
      </c>
      <c r="P712" t="n">
        <v>0</v>
      </c>
      <c r="Q712" t="n">
        <v>0</v>
      </c>
      <c r="R712" t="inlineStr">
        <is>
          <t>T1190:Exploit Public-Facing Application</t>
        </is>
      </c>
      <c r="S712" t="n">
        <v>1</v>
      </c>
      <c r="T712" t="inlineStr">
        <is>
          <t>LOW (40%)</t>
        </is>
      </c>
      <c r="U712" t="inlineStr">
        <is>
          <t>UNLIKELY</t>
        </is>
      </c>
      <c r="V712" t="inlineStr">
        <is>
          <t>CHECK_VENDOR</t>
        </is>
      </c>
      <c r="W712" t="inlineStr">
        <is>
          <t>https://nvd.nist.gov/vuln/detail/CVE-2026-22383</t>
        </is>
      </c>
      <c r="X712" t="inlineStr">
        <is>
          <t>NONE</t>
        </is>
      </c>
      <c r="Y712" t="n">
        <v>0</v>
      </c>
      <c r="Z712" t="inlineStr"/>
      <c r="AA712" t="inlineStr">
        <is>
          <t>https://nvd.nist.gov/vuln/detail/CVE-2026-22383</t>
        </is>
      </c>
    </row>
    <row r="713">
      <c r="A713" t="inlineStr">
        <is>
          <t>CVE</t>
        </is>
      </c>
      <c r="B713" t="inlineStr">
        <is>
          <t>CVE-2026-22384</t>
        </is>
      </c>
      <c r="C713" t="inlineStr">
        <is>
          <t>Deserialization of Untrusted Data vulnerability in leafcolor Applay - Shortcodes applay-shortcodes allows Object Injection.This issue affects Applay - Shortcodes: from n/a through &lt;= 3.7.</t>
        </is>
      </c>
      <c r="D713" t="n">
        <v>8.800000000000001</v>
      </c>
      <c r="E713" t="inlineStr">
        <is>
          <t>HIGH</t>
        </is>
      </c>
      <c r="F713" t="n">
        <v>2</v>
      </c>
      <c r="G713" t="n">
        <v>3</v>
      </c>
      <c r="H713" t="inlineStr">
        <is>
          <t>HIGH</t>
        </is>
      </c>
      <c r="I713" t="n">
        <v>14.8</v>
      </c>
      <c r="J713" t="inlineStr">
        <is>
          <t>NO</t>
        </is>
      </c>
      <c r="K713" t="inlineStr">
        <is>
          <t>2026-02-26 00:15</t>
        </is>
      </c>
      <c r="L713" t="inlineStr">
        <is>
          <t>CHECK_VENDOR</t>
        </is>
      </c>
      <c r="M713" t="inlineStr">
        <is>
          <t>See CVE details</t>
        </is>
      </c>
      <c r="N713" t="inlineStr">
        <is>
          <t>P3</t>
        </is>
      </c>
      <c r="O713" t="inlineStr">
        <is>
          <t>CVE - IP enrichment n/a</t>
        </is>
      </c>
      <c r="P713" t="n">
        <v>0</v>
      </c>
      <c r="Q713" t="n">
        <v>0</v>
      </c>
      <c r="R713" t="inlineStr">
        <is>
          <t>T1059:Command and Scripting Interpreter</t>
        </is>
      </c>
      <c r="S713" t="n">
        <v>1</v>
      </c>
      <c r="T713" t="inlineStr">
        <is>
          <t>LOW (40%)</t>
        </is>
      </c>
      <c r="U713" t="inlineStr">
        <is>
          <t>UNLIKELY</t>
        </is>
      </c>
      <c r="V713" t="inlineStr">
        <is>
          <t>CHECK_VENDOR</t>
        </is>
      </c>
      <c r="W713" t="inlineStr">
        <is>
          <t>https://nvd.nist.gov/vuln/detail/CVE-2026-22384</t>
        </is>
      </c>
      <c r="X713" t="inlineStr">
        <is>
          <t>NONE</t>
        </is>
      </c>
      <c r="Y713" t="n">
        <v>0</v>
      </c>
      <c r="Z713" t="inlineStr"/>
      <c r="AA713" t="inlineStr">
        <is>
          <t>https://nvd.nist.gov/vuln/detail/CVE-2026-22384</t>
        </is>
      </c>
    </row>
    <row r="714">
      <c r="A714" t="inlineStr">
        <is>
          <t>CVE</t>
        </is>
      </c>
      <c r="B714" t="inlineStr">
        <is>
          <t>CVE-2026-22885</t>
        </is>
      </c>
      <c r="C714" t="inlineStr">
        <is>
          <t>A vulnerability exists in EnOcean SmartServer IoT version 4.60.009 and 
prior, which would allow remote attackers, in the LON IP-852 management 
messages, to send specially crafted IP-852 messages resulting in a 
memory leak from the program's memory.</t>
        </is>
      </c>
      <c r="D714" t="n">
        <v>3.7</v>
      </c>
      <c r="E714" t="inlineStr">
        <is>
          <t>LOW</t>
        </is>
      </c>
      <c r="F714" t="n">
        <v>2</v>
      </c>
      <c r="G714" t="n">
        <v>1</v>
      </c>
      <c r="H714" t="inlineStr">
        <is>
          <t>LOW</t>
        </is>
      </c>
      <c r="I714" t="n">
        <v>5.7</v>
      </c>
      <c r="J714" t="inlineStr">
        <is>
          <t>NO</t>
        </is>
      </c>
      <c r="K714" t="inlineStr">
        <is>
          <t>2026-02-26 00:15</t>
        </is>
      </c>
      <c r="L714" t="inlineStr">
        <is>
          <t>CHECK_VENDOR</t>
        </is>
      </c>
      <c r="M714" t="inlineStr">
        <is>
          <t>See CVE details</t>
        </is>
      </c>
      <c r="N714" t="inlineStr">
        <is>
          <t>P4</t>
        </is>
      </c>
      <c r="O714" t="inlineStr">
        <is>
          <t>CVE - IP enrichment n/a</t>
        </is>
      </c>
      <c r="P714" t="n">
        <v>0</v>
      </c>
      <c r="Q714" t="n">
        <v>0</v>
      </c>
      <c r="R714" t="inlineStr">
        <is>
          <t>T1203:Exploitation for Client Execution</t>
        </is>
      </c>
      <c r="S714" t="n">
        <v>1</v>
      </c>
      <c r="T714" t="inlineStr">
        <is>
          <t>LOW (40%)</t>
        </is>
      </c>
      <c r="U714" t="inlineStr">
        <is>
          <t>UNLIKELY</t>
        </is>
      </c>
      <c r="V714" t="inlineStr">
        <is>
          <t>CHECK_VENDOR</t>
        </is>
      </c>
      <c r="W714" t="inlineStr">
        <is>
          <t>https://nvd.nist.gov/vuln/detail/CVE-2026-22885</t>
        </is>
      </c>
      <c r="X714" t="inlineStr">
        <is>
          <t>NONE</t>
        </is>
      </c>
      <c r="Y714" t="n">
        <v>0</v>
      </c>
      <c r="Z714" t="inlineStr"/>
      <c r="AA714" t="inlineStr">
        <is>
          <t>https://nvd.nist.gov/vuln/detail/CVE-2026-22885</t>
        </is>
      </c>
    </row>
    <row r="715">
      <c r="A715" t="inlineStr">
        <is>
          <t>CVE</t>
        </is>
      </c>
      <c r="B715" t="inlineStr">
        <is>
          <t>CVE-2026-24941</t>
        </is>
      </c>
      <c r="C715" t="inlineStr">
        <is>
          <t>Missing Authorization vulnerability in wpjobportal WP Job Portal wp-job-portal allows Exploiting Incorrectly Configured Access Control Security Levels.This issue affects WP Job Portal: from n/a through &lt;= 2.4.4.</t>
        </is>
      </c>
      <c r="D715" t="n">
        <v>7.5</v>
      </c>
      <c r="E715" t="inlineStr">
        <is>
          <t>HIGH</t>
        </is>
      </c>
      <c r="F715" t="n">
        <v>2</v>
      </c>
      <c r="G715" t="n">
        <v>3</v>
      </c>
      <c r="H715" t="inlineStr">
        <is>
          <t>HIGH</t>
        </is>
      </c>
      <c r="I715" t="n">
        <v>13.5</v>
      </c>
      <c r="J715" t="inlineStr">
        <is>
          <t>NO</t>
        </is>
      </c>
      <c r="K715" t="inlineStr">
        <is>
          <t>2026-02-26 00:15</t>
        </is>
      </c>
      <c r="L715" t="inlineStr">
        <is>
          <t>CHECK_VENDOR</t>
        </is>
      </c>
      <c r="M715" t="inlineStr">
        <is>
          <t>See CVE details</t>
        </is>
      </c>
      <c r="N715" t="inlineStr">
        <is>
          <t>P3</t>
        </is>
      </c>
      <c r="O715" t="inlineStr">
        <is>
          <t>CVE - IP enrichment n/a</t>
        </is>
      </c>
      <c r="P715" t="n">
        <v>0</v>
      </c>
      <c r="Q715" t="n">
        <v>0</v>
      </c>
      <c r="R715" t="inlineStr">
        <is>
          <t>T1190:Exploit Public-Facing Application</t>
        </is>
      </c>
      <c r="S715" t="n">
        <v>1</v>
      </c>
      <c r="T715" t="inlineStr">
        <is>
          <t>LOW (40%)</t>
        </is>
      </c>
      <c r="U715" t="inlineStr">
        <is>
          <t>UNLIKELY</t>
        </is>
      </c>
      <c r="V715" t="inlineStr">
        <is>
          <t>CHECK_VENDOR</t>
        </is>
      </c>
      <c r="W715" t="inlineStr">
        <is>
          <t>https://nvd.nist.gov/vuln/detail/CVE-2026-24941</t>
        </is>
      </c>
      <c r="X715" t="inlineStr">
        <is>
          <t>NONE</t>
        </is>
      </c>
      <c r="Y715" t="n">
        <v>0</v>
      </c>
      <c r="Z715" t="inlineStr"/>
      <c r="AA715" t="inlineStr">
        <is>
          <t>https://nvd.nist.gov/vuln/detail/CVE-2026-24941</t>
        </is>
      </c>
    </row>
    <row r="716">
      <c r="A716" t="inlineStr">
        <is>
          <t>CVE</t>
        </is>
      </c>
      <c r="B716" t="inlineStr">
        <is>
          <t>CVE-2026-24943</t>
        </is>
      </c>
      <c r="C716" t="inlineStr">
        <is>
          <t>Improper Neutralization of Input During Web Page Generation ('Cross-site Scripting') vulnerability in ThemeGoods Grand Conference grandconference allows Reflected XSS.This issue affects Grand Conference: from n/a through &lt;= 5.3.4.</t>
        </is>
      </c>
      <c r="D716" t="n">
        <v>7.1</v>
      </c>
      <c r="E716" t="inlineStr">
        <is>
          <t>HIGH</t>
        </is>
      </c>
      <c r="F716" t="n">
        <v>2</v>
      </c>
      <c r="G716" t="n">
        <v>3</v>
      </c>
      <c r="H716" t="inlineStr">
        <is>
          <t>HIGH</t>
        </is>
      </c>
      <c r="I716" t="n">
        <v>13.1</v>
      </c>
      <c r="J716" t="inlineStr">
        <is>
          <t>NO</t>
        </is>
      </c>
      <c r="K716" t="inlineStr">
        <is>
          <t>2026-02-26 00:15</t>
        </is>
      </c>
      <c r="L716" t="inlineStr">
        <is>
          <t>CHECK_VENDOR</t>
        </is>
      </c>
      <c r="M716" t="inlineStr">
        <is>
          <t>See CVE details</t>
        </is>
      </c>
      <c r="N716" t="inlineStr">
        <is>
          <t>P3</t>
        </is>
      </c>
      <c r="O716" t="inlineStr">
        <is>
          <t>CVE - IP enrichment n/a</t>
        </is>
      </c>
      <c r="P716" t="n">
        <v>0</v>
      </c>
      <c r="Q716" t="n">
        <v>0</v>
      </c>
      <c r="R716" t="inlineStr">
        <is>
          <t>T1189:Drive-by Compromise</t>
        </is>
      </c>
      <c r="S716" t="n">
        <v>1</v>
      </c>
      <c r="T716" t="inlineStr">
        <is>
          <t>LOW (40%)</t>
        </is>
      </c>
      <c r="U716" t="inlineStr">
        <is>
          <t>UNLIKELY</t>
        </is>
      </c>
      <c r="V716" t="inlineStr">
        <is>
          <t>CHECK_VENDOR</t>
        </is>
      </c>
      <c r="W716" t="inlineStr">
        <is>
          <t>https://nvd.nist.gov/vuln/detail/CVE-2026-24943</t>
        </is>
      </c>
      <c r="X716" t="inlineStr">
        <is>
          <t>NONE</t>
        </is>
      </c>
      <c r="Y716" t="n">
        <v>0</v>
      </c>
      <c r="Z716" t="inlineStr"/>
      <c r="AA716" t="inlineStr">
        <is>
          <t>https://nvd.nist.gov/vuln/detail/CVE-2026-24943</t>
        </is>
      </c>
    </row>
    <row r="717">
      <c r="A717" t="inlineStr">
        <is>
          <t>CVE</t>
        </is>
      </c>
      <c r="B717" t="inlineStr">
        <is>
          <t>CVE-2026-24944</t>
        </is>
      </c>
      <c r="C717" t="inlineStr">
        <is>
          <t>Missing Authorization vulnerability in weDevs Subscribe2 subscribe2 allows Exploiting Incorrectly Configured Access Control Security Levels.This issue affects Subscribe2: from n/a through &lt;= 10.44.</t>
        </is>
      </c>
      <c r="D717" t="n">
        <v>6.5</v>
      </c>
      <c r="E717" t="inlineStr">
        <is>
          <t>MEDIUM</t>
        </is>
      </c>
      <c r="F717" t="n">
        <v>2</v>
      </c>
      <c r="G717" t="n">
        <v>2</v>
      </c>
      <c r="H717" t="inlineStr">
        <is>
          <t>MEDIUM</t>
        </is>
      </c>
      <c r="I717" t="n">
        <v>10.5</v>
      </c>
      <c r="J717" t="inlineStr">
        <is>
          <t>NO</t>
        </is>
      </c>
      <c r="K717" t="inlineStr">
        <is>
          <t>2026-02-26 00:15</t>
        </is>
      </c>
      <c r="L717" t="inlineStr">
        <is>
          <t>CHECK_VENDOR</t>
        </is>
      </c>
      <c r="M717" t="inlineStr">
        <is>
          <t>See CVE details</t>
        </is>
      </c>
      <c r="N717" t="inlineStr">
        <is>
          <t>P4</t>
        </is>
      </c>
      <c r="O717" t="inlineStr">
        <is>
          <t>CVE - IP enrichment n/a</t>
        </is>
      </c>
      <c r="P717" t="n">
        <v>0</v>
      </c>
      <c r="Q717" t="n">
        <v>0</v>
      </c>
      <c r="R717" t="inlineStr">
        <is>
          <t>T1190:Exploit Public-Facing Application</t>
        </is>
      </c>
      <c r="S717" t="n">
        <v>1</v>
      </c>
      <c r="T717" t="inlineStr">
        <is>
          <t>LOW (40%)</t>
        </is>
      </c>
      <c r="U717" t="inlineStr">
        <is>
          <t>UNLIKELY</t>
        </is>
      </c>
      <c r="V717" t="inlineStr">
        <is>
          <t>CHECK_VENDOR</t>
        </is>
      </c>
      <c r="W717" t="inlineStr">
        <is>
          <t>https://nvd.nist.gov/vuln/detail/CVE-2026-24944</t>
        </is>
      </c>
      <c r="X717" t="inlineStr">
        <is>
          <t>NONE</t>
        </is>
      </c>
      <c r="Y717" t="n">
        <v>0</v>
      </c>
      <c r="Z717" t="inlineStr"/>
      <c r="AA717" t="inlineStr">
        <is>
          <t>https://nvd.nist.gov/vuln/detail/CVE-2026-24944</t>
        </is>
      </c>
    </row>
    <row r="718">
      <c r="A718" t="inlineStr">
        <is>
          <t>CVE</t>
        </is>
      </c>
      <c r="B718" t="inlineStr">
        <is>
          <t>CVE-2026-24946</t>
        </is>
      </c>
      <c r="C718" t="inlineStr">
        <is>
          <t>Missing Authorization vulnerability in tychesoftwares Print Invoice &amp; Delivery Notes for WooCommerce woocommerce-delivery-notes allows Exploiting Incorrectly Configured Access Control Security Levels.This issue affects Print Invoice &amp; Delivery Notes for WooCommerce: from n/a through &lt;= 5.8.0.</t>
        </is>
      </c>
      <c r="D718" t="n">
        <v>8.5</v>
      </c>
      <c r="E718" t="inlineStr">
        <is>
          <t>HIGH</t>
        </is>
      </c>
      <c r="F718" t="n">
        <v>2</v>
      </c>
      <c r="G718" t="n">
        <v>3</v>
      </c>
      <c r="H718" t="inlineStr">
        <is>
          <t>HIGH</t>
        </is>
      </c>
      <c r="I718" t="n">
        <v>14.5</v>
      </c>
      <c r="J718" t="inlineStr">
        <is>
          <t>NO</t>
        </is>
      </c>
      <c r="K718" t="inlineStr">
        <is>
          <t>2026-02-26 00:15</t>
        </is>
      </c>
      <c r="L718" t="inlineStr">
        <is>
          <t>CHECK_VENDOR</t>
        </is>
      </c>
      <c r="M718" t="inlineStr">
        <is>
          <t>See CVE details</t>
        </is>
      </c>
      <c r="N718" t="inlineStr">
        <is>
          <t>P3</t>
        </is>
      </c>
      <c r="O718" t="inlineStr">
        <is>
          <t>CVE - IP enrichment n/a</t>
        </is>
      </c>
      <c r="P718" t="n">
        <v>0</v>
      </c>
      <c r="Q718" t="n">
        <v>0</v>
      </c>
      <c r="R718" t="inlineStr">
        <is>
          <t>T1190:Exploit Public-Facing Application</t>
        </is>
      </c>
      <c r="S718" t="n">
        <v>1</v>
      </c>
      <c r="T718" t="inlineStr">
        <is>
          <t>LOW (40%)</t>
        </is>
      </c>
      <c r="U718" t="inlineStr">
        <is>
          <t>UNLIKELY</t>
        </is>
      </c>
      <c r="V718" t="inlineStr">
        <is>
          <t>CHECK_VENDOR</t>
        </is>
      </c>
      <c r="W718" t="inlineStr">
        <is>
          <t>https://nvd.nist.gov/vuln/detail/CVE-2026-24946</t>
        </is>
      </c>
      <c r="X718" t="inlineStr">
        <is>
          <t>NONE</t>
        </is>
      </c>
      <c r="Y718" t="n">
        <v>0</v>
      </c>
      <c r="Z718" t="inlineStr"/>
      <c r="AA718" t="inlineStr">
        <is>
          <t>https://nvd.nist.gov/vuln/detail/CVE-2026-24946</t>
        </is>
      </c>
    </row>
    <row r="719">
      <c r="A719" t="inlineStr">
        <is>
          <t>CVE</t>
        </is>
      </c>
      <c r="B719" t="inlineStr">
        <is>
          <t>CVE-2026-24948</t>
        </is>
      </c>
      <c r="C719" t="inlineStr">
        <is>
          <t>Improper Neutralization of Input During Web Page Generation ('Cross-site Scripting') vulnerability in fox-themes Reflector reflector-plugins allows Reflected XSS.This issue affects Reflector: from n/a through &lt;= 1.2.2.</t>
        </is>
      </c>
      <c r="D719" t="n">
        <v>7.1</v>
      </c>
      <c r="E719" t="inlineStr">
        <is>
          <t>HIGH</t>
        </is>
      </c>
      <c r="F719" t="n">
        <v>2</v>
      </c>
      <c r="G719" t="n">
        <v>3</v>
      </c>
      <c r="H719" t="inlineStr">
        <is>
          <t>HIGH</t>
        </is>
      </c>
      <c r="I719" t="n">
        <v>13.1</v>
      </c>
      <c r="J719" t="inlineStr">
        <is>
          <t>NO</t>
        </is>
      </c>
      <c r="K719" t="inlineStr">
        <is>
          <t>2026-02-26 00:15</t>
        </is>
      </c>
      <c r="L719" t="inlineStr">
        <is>
          <t>CHECK_VENDOR</t>
        </is>
      </c>
      <c r="M719" t="inlineStr">
        <is>
          <t>See CVE details</t>
        </is>
      </c>
      <c r="N719" t="inlineStr">
        <is>
          <t>P3</t>
        </is>
      </c>
      <c r="O719" t="inlineStr">
        <is>
          <t>CVE - IP enrichment n/a</t>
        </is>
      </c>
      <c r="P719" t="n">
        <v>0</v>
      </c>
      <c r="Q719" t="n">
        <v>0</v>
      </c>
      <c r="R719" t="inlineStr">
        <is>
          <t>T1189:Drive-by Compromise</t>
        </is>
      </c>
      <c r="S719" t="n">
        <v>1</v>
      </c>
      <c r="T719" t="inlineStr">
        <is>
          <t>LOW (40%)</t>
        </is>
      </c>
      <c r="U719" t="inlineStr">
        <is>
          <t>UNLIKELY</t>
        </is>
      </c>
      <c r="V719" t="inlineStr">
        <is>
          <t>CHECK_VENDOR</t>
        </is>
      </c>
      <c r="W719" t="inlineStr">
        <is>
          <t>https://nvd.nist.gov/vuln/detail/CVE-2026-24948</t>
        </is>
      </c>
      <c r="X719" t="inlineStr">
        <is>
          <t>NONE</t>
        </is>
      </c>
      <c r="Y719" t="n">
        <v>0</v>
      </c>
      <c r="Z719" t="inlineStr"/>
      <c r="AA719" t="inlineStr">
        <is>
          <t>https://nvd.nist.gov/vuln/detail/CVE-2026-24948</t>
        </is>
      </c>
    </row>
    <row r="720">
      <c r="A720" t="inlineStr">
        <is>
          <t>CVE</t>
        </is>
      </c>
      <c r="B720" t="inlineStr">
        <is>
          <t>CVE-2026-24949</t>
        </is>
      </c>
      <c r="C720" t="inlineStr">
        <is>
          <t>Improper Neutralization of Input During Web Page Generation ('Cross-site Scripting') vulnerability in ThemeGoods PhotoMe photome allows DOM-Based XSS.This issue affects PhotoMe: from n/a through &lt;= 5.7.1.</t>
        </is>
      </c>
      <c r="D720" t="n">
        <v>7.1</v>
      </c>
      <c r="E720" t="inlineStr">
        <is>
          <t>HIGH</t>
        </is>
      </c>
      <c r="F720" t="n">
        <v>2</v>
      </c>
      <c r="G720" t="n">
        <v>3</v>
      </c>
      <c r="H720" t="inlineStr">
        <is>
          <t>HIGH</t>
        </is>
      </c>
      <c r="I720" t="n">
        <v>13.1</v>
      </c>
      <c r="J720" t="inlineStr">
        <is>
          <t>NO</t>
        </is>
      </c>
      <c r="K720" t="inlineStr">
        <is>
          <t>2026-02-26 00:15</t>
        </is>
      </c>
      <c r="L720" t="inlineStr">
        <is>
          <t>CHECK_VENDOR</t>
        </is>
      </c>
      <c r="M720" t="inlineStr">
        <is>
          <t>See CVE details</t>
        </is>
      </c>
      <c r="N720" t="inlineStr">
        <is>
          <t>P3</t>
        </is>
      </c>
      <c r="O720" t="inlineStr">
        <is>
          <t>CVE - IP enrichment n/a</t>
        </is>
      </c>
      <c r="P720" t="n">
        <v>0</v>
      </c>
      <c r="Q720" t="n">
        <v>0</v>
      </c>
      <c r="R720" t="inlineStr">
        <is>
          <t>T1189:Drive-by Compromise</t>
        </is>
      </c>
      <c r="S720" t="n">
        <v>1</v>
      </c>
      <c r="T720" t="inlineStr">
        <is>
          <t>LOW (40%)</t>
        </is>
      </c>
      <c r="U720" t="inlineStr">
        <is>
          <t>UNLIKELY</t>
        </is>
      </c>
      <c r="V720" t="inlineStr">
        <is>
          <t>CHECK_VENDOR</t>
        </is>
      </c>
      <c r="W720" t="inlineStr">
        <is>
          <t>https://nvd.nist.gov/vuln/detail/CVE-2026-24949</t>
        </is>
      </c>
      <c r="X720" t="inlineStr">
        <is>
          <t>NONE</t>
        </is>
      </c>
      <c r="Y720" t="n">
        <v>0</v>
      </c>
      <c r="Z720" t="inlineStr"/>
      <c r="AA720" t="inlineStr">
        <is>
          <t>https://nvd.nist.gov/vuln/detail/CVE-2026-24949</t>
        </is>
      </c>
    </row>
    <row r="721">
      <c r="A721" t="inlineStr">
        <is>
          <t>CVE</t>
        </is>
      </c>
      <c r="B721" t="inlineStr">
        <is>
          <t>CVE-2026-24950</t>
        </is>
      </c>
      <c r="C721" t="inlineStr">
        <is>
          <t>Authorization Bypass Through User-Controlled Key vulnerability in themeplugs Authorsy authorsy allows Exploiting Incorrectly Configured Access Control Security Levels.This issue affects Authorsy: from n/a through &lt;= 1.0.6.</t>
        </is>
      </c>
      <c r="D721" t="n">
        <v>7.5</v>
      </c>
      <c r="E721" t="inlineStr">
        <is>
          <t>HIGH</t>
        </is>
      </c>
      <c r="F721" t="n">
        <v>2</v>
      </c>
      <c r="G721" t="n">
        <v>3</v>
      </c>
      <c r="H721" t="inlineStr">
        <is>
          <t>HIGH</t>
        </is>
      </c>
      <c r="I721" t="n">
        <v>13.5</v>
      </c>
      <c r="J721" t="inlineStr">
        <is>
          <t>NO</t>
        </is>
      </c>
      <c r="K721" t="inlineStr">
        <is>
          <t>2026-02-26 00:15</t>
        </is>
      </c>
      <c r="L721" t="inlineStr">
        <is>
          <t>CHECK_VENDOR</t>
        </is>
      </c>
      <c r="M721" t="inlineStr">
        <is>
          <t>See CVE details</t>
        </is>
      </c>
      <c r="N721" t="inlineStr">
        <is>
          <t>P3</t>
        </is>
      </c>
      <c r="O721" t="inlineStr">
        <is>
          <t>CVE - IP enrichment n/a</t>
        </is>
      </c>
      <c r="P721" t="n">
        <v>0</v>
      </c>
      <c r="Q721" t="n">
        <v>0</v>
      </c>
      <c r="R721" t="inlineStr">
        <is>
          <t>T1190:Exploit Public-Facing Application</t>
        </is>
      </c>
      <c r="S721" t="n">
        <v>1</v>
      </c>
      <c r="T721" t="inlineStr">
        <is>
          <t>LOW (40%)</t>
        </is>
      </c>
      <c r="U721" t="inlineStr">
        <is>
          <t>UNLIKELY</t>
        </is>
      </c>
      <c r="V721" t="inlineStr">
        <is>
          <t>CHECK_VENDOR</t>
        </is>
      </c>
      <c r="W721" t="inlineStr">
        <is>
          <t>https://nvd.nist.gov/vuln/detail/CVE-2026-24950</t>
        </is>
      </c>
      <c r="X721" t="inlineStr">
        <is>
          <t>NONE</t>
        </is>
      </c>
      <c r="Y721" t="n">
        <v>0</v>
      </c>
      <c r="Z721" t="inlineStr"/>
      <c r="AA721" t="inlineStr">
        <is>
          <t>https://nvd.nist.gov/vuln/detail/CVE-2026-24950</t>
        </is>
      </c>
    </row>
    <row r="722">
      <c r="A722" t="inlineStr">
        <is>
          <t>CVE</t>
        </is>
      </c>
      <c r="B722" t="inlineStr">
        <is>
          <t>CVE-2026-24953</t>
        </is>
      </c>
      <c r="C722" t="inlineStr">
        <is>
          <t>Improper Limitation of a Pathname to a Restricted Directory ('Path Traversal') vulnerability in Mitchell Bennis Simple File List simple-file-list allows Path Traversal.This issue affects Simple File List: from n/a through &lt;= 6.1.15.</t>
        </is>
      </c>
      <c r="D722" t="n">
        <v>5</v>
      </c>
      <c r="E722" t="inlineStr">
        <is>
          <t>MEDIUM</t>
        </is>
      </c>
      <c r="F722" t="n">
        <v>2</v>
      </c>
      <c r="G722" t="n">
        <v>2</v>
      </c>
      <c r="H722" t="inlineStr">
        <is>
          <t>MEDIUM</t>
        </is>
      </c>
      <c r="I722" t="n">
        <v>9</v>
      </c>
      <c r="J722" t="inlineStr">
        <is>
          <t>NO</t>
        </is>
      </c>
      <c r="K722" t="inlineStr">
        <is>
          <t>2026-02-26 00:15</t>
        </is>
      </c>
      <c r="L722" t="inlineStr">
        <is>
          <t>CHECK_VENDOR</t>
        </is>
      </c>
      <c r="M722" t="inlineStr">
        <is>
          <t>See CVE details</t>
        </is>
      </c>
      <c r="N722" t="inlineStr">
        <is>
          <t>P4</t>
        </is>
      </c>
      <c r="O722" t="inlineStr">
        <is>
          <t>CVE - IP enrichment n/a</t>
        </is>
      </c>
      <c r="P722" t="n">
        <v>0</v>
      </c>
      <c r="Q722" t="n">
        <v>0</v>
      </c>
      <c r="R722" t="inlineStr">
        <is>
          <t>T1083:File and Directory Discovery</t>
        </is>
      </c>
      <c r="S722" t="n">
        <v>1</v>
      </c>
      <c r="T722" t="inlineStr">
        <is>
          <t>LOW (40%)</t>
        </is>
      </c>
      <c r="U722" t="inlineStr">
        <is>
          <t>UNLIKELY</t>
        </is>
      </c>
      <c r="V722" t="inlineStr">
        <is>
          <t>CHECK_VENDOR</t>
        </is>
      </c>
      <c r="W722" t="inlineStr">
        <is>
          <t>https://nvd.nist.gov/vuln/detail/CVE-2026-24953</t>
        </is>
      </c>
      <c r="X722" t="inlineStr">
        <is>
          <t>NONE</t>
        </is>
      </c>
      <c r="Y722" t="n">
        <v>0</v>
      </c>
      <c r="Z722" t="inlineStr"/>
      <c r="AA722" t="inlineStr">
        <is>
          <t>https://nvd.nist.gov/vuln/detail/CVE-2026-24953</t>
        </is>
      </c>
    </row>
    <row r="723">
      <c r="A723" t="inlineStr">
        <is>
          <t>CVE</t>
        </is>
      </c>
      <c r="B723" t="inlineStr">
        <is>
          <t>CVE-2026-24955</t>
        </is>
      </c>
      <c r="C723" t="inlineStr">
        <is>
          <t>Improper Neutralization of Input During Web Page Generation ('Cross-site Scripting') vulnerability in fox-themes Whizz Plugins whizz-plugins allows Reflected XSS.This issue affects Whizz Plugins: from n/a through &lt;= 1.9.</t>
        </is>
      </c>
      <c r="D723" t="n">
        <v>7.1</v>
      </c>
      <c r="E723" t="inlineStr">
        <is>
          <t>HIGH</t>
        </is>
      </c>
      <c r="F723" t="n">
        <v>2</v>
      </c>
      <c r="G723" t="n">
        <v>3</v>
      </c>
      <c r="H723" t="inlineStr">
        <is>
          <t>HIGH</t>
        </is>
      </c>
      <c r="I723" t="n">
        <v>13.1</v>
      </c>
      <c r="J723" t="inlineStr">
        <is>
          <t>NO</t>
        </is>
      </c>
      <c r="K723" t="inlineStr">
        <is>
          <t>2026-02-26 00:15</t>
        </is>
      </c>
      <c r="L723" t="inlineStr">
        <is>
          <t>CHECK_VENDOR</t>
        </is>
      </c>
      <c r="M723" t="inlineStr">
        <is>
          <t>See CVE details</t>
        </is>
      </c>
      <c r="N723" t="inlineStr">
        <is>
          <t>P3</t>
        </is>
      </c>
      <c r="O723" t="inlineStr">
        <is>
          <t>CVE - IP enrichment n/a</t>
        </is>
      </c>
      <c r="P723" t="n">
        <v>0</v>
      </c>
      <c r="Q723" t="n">
        <v>0</v>
      </c>
      <c r="R723" t="inlineStr">
        <is>
          <t>T1189:Drive-by Compromise</t>
        </is>
      </c>
      <c r="S723" t="n">
        <v>1</v>
      </c>
      <c r="T723" t="inlineStr">
        <is>
          <t>LOW (40%)</t>
        </is>
      </c>
      <c r="U723" t="inlineStr">
        <is>
          <t>UNLIKELY</t>
        </is>
      </c>
      <c r="V723" t="inlineStr">
        <is>
          <t>CHECK_VENDOR</t>
        </is>
      </c>
      <c r="W723" t="inlineStr">
        <is>
          <t>https://nvd.nist.gov/vuln/detail/CVE-2026-24955</t>
        </is>
      </c>
      <c r="X723" t="inlineStr">
        <is>
          <t>NONE</t>
        </is>
      </c>
      <c r="Y723" t="n">
        <v>0</v>
      </c>
      <c r="Z723" t="inlineStr"/>
      <c r="AA723" t="inlineStr">
        <is>
          <t>https://nvd.nist.gov/vuln/detail/CVE-2026-24955</t>
        </is>
      </c>
    </row>
    <row r="724">
      <c r="A724" t="inlineStr">
        <is>
          <t>CVE</t>
        </is>
      </c>
      <c r="B724" t="inlineStr">
        <is>
          <t>CVE-2026-24956</t>
        </is>
      </c>
      <c r="C724" t="inlineStr">
        <is>
          <t>Improper Neutralization of Special Elements used in an SQL Command ('SQL Injection') vulnerability in Shahjada Download Manager Addons for Elementor wpdm-elementor allows Blind SQL Injection.This issue affects Download Manager Addons for Elementor: from n/a through &lt;= 1.3.0.</t>
        </is>
      </c>
      <c r="D724" t="n">
        <v>9.300000000000001</v>
      </c>
      <c r="E724" t="inlineStr">
        <is>
          <t>CRITICAL</t>
        </is>
      </c>
      <c r="F724" t="n">
        <v>2</v>
      </c>
      <c r="G724" t="n">
        <v>3</v>
      </c>
      <c r="H724" t="inlineStr">
        <is>
          <t>HIGH</t>
        </is>
      </c>
      <c r="I724" t="n">
        <v>15.3</v>
      </c>
      <c r="J724" t="inlineStr">
        <is>
          <t>NO</t>
        </is>
      </c>
      <c r="K724" t="inlineStr">
        <is>
          <t>2026-02-26 00:15</t>
        </is>
      </c>
      <c r="L724" t="inlineStr">
        <is>
          <t>CHECK_VENDOR</t>
        </is>
      </c>
      <c r="M724" t="inlineStr">
        <is>
          <t>See CVE details</t>
        </is>
      </c>
      <c r="N724" t="inlineStr">
        <is>
          <t>P3</t>
        </is>
      </c>
      <c r="O724" t="inlineStr">
        <is>
          <t>CVE - IP enrichment n/a</t>
        </is>
      </c>
      <c r="P724" t="n">
        <v>0</v>
      </c>
      <c r="Q724" t="n">
        <v>0</v>
      </c>
      <c r="R724" t="inlineStr">
        <is>
          <t>T1190:Exploit Public-Facing Application</t>
        </is>
      </c>
      <c r="S724" t="n">
        <v>1</v>
      </c>
      <c r="T724" t="inlineStr">
        <is>
          <t>LOW (40%)</t>
        </is>
      </c>
      <c r="U724" t="inlineStr">
        <is>
          <t>UNLIKELY</t>
        </is>
      </c>
      <c r="V724" t="inlineStr">
        <is>
          <t>CHECK_VENDOR</t>
        </is>
      </c>
      <c r="W724" t="inlineStr">
        <is>
          <t>https://nvd.nist.gov/vuln/detail/CVE-2026-24956</t>
        </is>
      </c>
      <c r="X724" t="inlineStr">
        <is>
          <t>NONE</t>
        </is>
      </c>
      <c r="Y724" t="n">
        <v>0</v>
      </c>
      <c r="Z724" t="inlineStr"/>
      <c r="AA724" t="inlineStr">
        <is>
          <t>https://nvd.nist.gov/vuln/detail/CVE-2026-24956</t>
        </is>
      </c>
    </row>
    <row r="725">
      <c r="A725" t="inlineStr">
        <is>
          <t>CVE</t>
        </is>
      </c>
      <c r="B725" t="inlineStr">
        <is>
          <t>CVE-2026-24959</t>
        </is>
      </c>
      <c r="C725" t="inlineStr">
        <is>
          <t>Improper Neutralization of Special Elements used in an SQL Command ('SQL Injection') vulnerability in JoomSky JS Help Desk js-support-ticket allows Blind SQL Injection.This issue affects JS Help Desk: from n/a through &lt;= 3.0.1.</t>
        </is>
      </c>
      <c r="D725" t="n">
        <v>8.5</v>
      </c>
      <c r="E725" t="inlineStr">
        <is>
          <t>HIGH</t>
        </is>
      </c>
      <c r="F725" t="n">
        <v>2</v>
      </c>
      <c r="G725" t="n">
        <v>3</v>
      </c>
      <c r="H725" t="inlineStr">
        <is>
          <t>HIGH</t>
        </is>
      </c>
      <c r="I725" t="n">
        <v>14.5</v>
      </c>
      <c r="J725" t="inlineStr">
        <is>
          <t>NO</t>
        </is>
      </c>
      <c r="K725" t="inlineStr">
        <is>
          <t>2026-02-26 00:15</t>
        </is>
      </c>
      <c r="L725" t="inlineStr">
        <is>
          <t>CHECK_VENDOR</t>
        </is>
      </c>
      <c r="M725" t="inlineStr">
        <is>
          <t>See CVE details</t>
        </is>
      </c>
      <c r="N725" t="inlineStr">
        <is>
          <t>P3</t>
        </is>
      </c>
      <c r="O725" t="inlineStr">
        <is>
          <t>CVE - IP enrichment n/a</t>
        </is>
      </c>
      <c r="P725" t="n">
        <v>0</v>
      </c>
      <c r="Q725" t="n">
        <v>0</v>
      </c>
      <c r="R725" t="inlineStr">
        <is>
          <t>T1190:Exploit Public-Facing Application</t>
        </is>
      </c>
      <c r="S725" t="n">
        <v>1</v>
      </c>
      <c r="T725" t="inlineStr">
        <is>
          <t>LOW (40%)</t>
        </is>
      </c>
      <c r="U725" t="inlineStr">
        <is>
          <t>UNLIKELY</t>
        </is>
      </c>
      <c r="V725" t="inlineStr">
        <is>
          <t>CHECK_VENDOR</t>
        </is>
      </c>
      <c r="W725" t="inlineStr">
        <is>
          <t>https://nvd.nist.gov/vuln/detail/CVE-2026-24959</t>
        </is>
      </c>
      <c r="X725" t="inlineStr">
        <is>
          <t>NONE</t>
        </is>
      </c>
      <c r="Y725" t="n">
        <v>0</v>
      </c>
      <c r="Z725" t="inlineStr"/>
      <c r="AA725" t="inlineStr">
        <is>
          <t>https://nvd.nist.gov/vuln/detail/CVE-2026-24959</t>
        </is>
      </c>
    </row>
    <row r="726">
      <c r="A726" t="inlineStr">
        <is>
          <t>CVE</t>
        </is>
      </c>
      <c r="B726" t="inlineStr">
        <is>
          <t>CVE-2026-27072</t>
        </is>
      </c>
      <c r="C726" t="inlineStr">
        <is>
          <t>Improper Neutralization of Input During Web Page Generation ('Cross-site Scripting') vulnerability in PixelYourSite PixelYourSite – Your smart PIXEL (TAG) Manager pixelyoursite allows Stored XSS.This issue affects PixelYourSite – Your smart PIXEL (TAG) Manager: from n/a through &lt;= 11.2.0.1.</t>
        </is>
      </c>
      <c r="D726" t="n">
        <v>7.1</v>
      </c>
      <c r="E726" t="inlineStr">
        <is>
          <t>HIGH</t>
        </is>
      </c>
      <c r="F726" t="n">
        <v>2</v>
      </c>
      <c r="G726" t="n">
        <v>3</v>
      </c>
      <c r="H726" t="inlineStr">
        <is>
          <t>HIGH</t>
        </is>
      </c>
      <c r="I726" t="n">
        <v>13.1</v>
      </c>
      <c r="J726" t="inlineStr">
        <is>
          <t>NO</t>
        </is>
      </c>
      <c r="K726" t="inlineStr">
        <is>
          <t>2026-02-26 00:15</t>
        </is>
      </c>
      <c r="L726" t="inlineStr">
        <is>
          <t>CHECK_VENDOR</t>
        </is>
      </c>
      <c r="M726" t="inlineStr">
        <is>
          <t>See CVE details</t>
        </is>
      </c>
      <c r="N726" t="inlineStr">
        <is>
          <t>P3</t>
        </is>
      </c>
      <c r="O726" t="inlineStr">
        <is>
          <t>CVE - IP enrichment n/a</t>
        </is>
      </c>
      <c r="P726" t="n">
        <v>0.0003</v>
      </c>
      <c r="Q726" t="n">
        <v>0.0951</v>
      </c>
      <c r="R726" t="inlineStr">
        <is>
          <t>T1189:Drive-by Compromise</t>
        </is>
      </c>
      <c r="S726" t="n">
        <v>1</v>
      </c>
      <c r="T726" t="inlineStr">
        <is>
          <t>LOW (40%)</t>
        </is>
      </c>
      <c r="U726" t="inlineStr">
        <is>
          <t>UNLIKELY</t>
        </is>
      </c>
      <c r="V726" t="inlineStr">
        <is>
          <t>CHECK_VENDOR</t>
        </is>
      </c>
      <c r="W726" t="inlineStr">
        <is>
          <t>https://nvd.nist.gov/vuln/detail/CVE-2026-27072</t>
        </is>
      </c>
      <c r="X726" t="inlineStr">
        <is>
          <t>NONE</t>
        </is>
      </c>
      <c r="Y726" t="n">
        <v>0</v>
      </c>
      <c r="Z726" t="inlineStr"/>
      <c r="AA726" t="inlineStr">
        <is>
          <t>https://nvd.nist.gov/vuln/detail/CVE-2026-27072</t>
        </is>
      </c>
    </row>
    <row r="727">
      <c r="A727" t="inlineStr">
        <is>
          <t>CVE</t>
        </is>
      </c>
      <c r="B727" t="inlineStr">
        <is>
          <t>CVE-2026-2846</t>
        </is>
      </c>
      <c r="C727" t="inlineStr">
        <is>
          <t>A security vulnerability has been detected in UTT HiPER 520 1.7.7-160105. This impacts the function sub_44D264 of the file /goform/formPdbUpConfig of the component Web Management Interface. The manipulation of the argument policyNames leads to os command injection. The attack can be initiated remotely. The exploit has been disclosed publicly and may be used.</t>
        </is>
      </c>
      <c r="D727" t="n">
        <v>7.2</v>
      </c>
      <c r="E727" t="inlineStr">
        <is>
          <t>HIGH</t>
        </is>
      </c>
      <c r="F727" t="n">
        <v>2</v>
      </c>
      <c r="G727" t="n">
        <v>3</v>
      </c>
      <c r="H727" t="inlineStr">
        <is>
          <t>HIGH</t>
        </is>
      </c>
      <c r="I727" t="n">
        <v>13.2</v>
      </c>
      <c r="J727" t="inlineStr">
        <is>
          <t>NO</t>
        </is>
      </c>
      <c r="K727" t="inlineStr">
        <is>
          <t>2026-02-26 00:15</t>
        </is>
      </c>
      <c r="L727" t="inlineStr">
        <is>
          <t>CHECK_VENDOR</t>
        </is>
      </c>
      <c r="M727" t="inlineStr">
        <is>
          <t>utt 520 3.0 | utt 520_firmware 1.7.7-160105</t>
        </is>
      </c>
      <c r="N727" t="inlineStr">
        <is>
          <t>P3</t>
        </is>
      </c>
      <c r="O727" t="inlineStr">
        <is>
          <t>CVE - IP enrichment n/a</t>
        </is>
      </c>
      <c r="P727" t="n">
        <v>0</v>
      </c>
      <c r="Q727" t="n">
        <v>0</v>
      </c>
      <c r="R727" t="inlineStr">
        <is>
          <t>T1059:Command and Scripting Interpreter</t>
        </is>
      </c>
      <c r="S727" t="n">
        <v>1</v>
      </c>
      <c r="T727" t="inlineStr">
        <is>
          <t>LOW (40%)</t>
        </is>
      </c>
      <c r="U727" t="inlineStr">
        <is>
          <t>UNLIKELY</t>
        </is>
      </c>
      <c r="V727" t="inlineStr">
        <is>
          <t>CHECK_VENDOR</t>
        </is>
      </c>
      <c r="W727" t="inlineStr">
        <is>
          <t>https://nvd.nist.gov/vuln/detail/CVE-2026-2846</t>
        </is>
      </c>
      <c r="X727" t="inlineStr">
        <is>
          <t>NONE</t>
        </is>
      </c>
      <c r="Y727" t="n">
        <v>0</v>
      </c>
      <c r="Z727" t="inlineStr"/>
      <c r="AA727" t="inlineStr">
        <is>
          <t>https://nvd.nist.gov/vuln/detail/CVE-2026-2846</t>
        </is>
      </c>
    </row>
    <row r="728">
      <c r="A728" t="inlineStr">
        <is>
          <t>CVE</t>
        </is>
      </c>
      <c r="B728" t="inlineStr">
        <is>
          <t>CVE-2026-2847</t>
        </is>
      </c>
      <c r="C728" t="inlineStr">
        <is>
          <t>A vulnerability was detected in UTT HiPER 520 1.7.7-160105. Affected is the function sub_44EFB4 of the file /goform/formReleaseConnect of the component Web Management Interface. The manipulation of the argument Isp_Name results in os command injection. The attack can be launched remotely. The exploit is now public and may be used.</t>
        </is>
      </c>
      <c r="D728" t="n">
        <v>7.2</v>
      </c>
      <c r="E728" t="inlineStr">
        <is>
          <t>HIGH</t>
        </is>
      </c>
      <c r="F728" t="n">
        <v>2</v>
      </c>
      <c r="G728" t="n">
        <v>3</v>
      </c>
      <c r="H728" t="inlineStr">
        <is>
          <t>HIGH</t>
        </is>
      </c>
      <c r="I728" t="n">
        <v>13.2</v>
      </c>
      <c r="J728" t="inlineStr">
        <is>
          <t>NO</t>
        </is>
      </c>
      <c r="K728" t="inlineStr">
        <is>
          <t>2026-02-26 00:15</t>
        </is>
      </c>
      <c r="L728" t="inlineStr">
        <is>
          <t>CHECK_VENDOR</t>
        </is>
      </c>
      <c r="M728" t="inlineStr">
        <is>
          <t>utt 520 3.0 | utt 520_firmware 1.7.7-160105</t>
        </is>
      </c>
      <c r="N728" t="inlineStr">
        <is>
          <t>P3</t>
        </is>
      </c>
      <c r="O728" t="inlineStr">
        <is>
          <t>CVE - IP enrichment n/a</t>
        </is>
      </c>
      <c r="P728" t="n">
        <v>0</v>
      </c>
      <c r="Q728" t="n">
        <v>0</v>
      </c>
      <c r="R728" t="inlineStr">
        <is>
          <t>T1059:Command and Scripting Interpreter</t>
        </is>
      </c>
      <c r="S728" t="n">
        <v>1</v>
      </c>
      <c r="T728" t="inlineStr">
        <is>
          <t>LOW (40%)</t>
        </is>
      </c>
      <c r="U728" t="inlineStr">
        <is>
          <t>UNLIKELY</t>
        </is>
      </c>
      <c r="V728" t="inlineStr">
        <is>
          <t>CHECK_VENDOR</t>
        </is>
      </c>
      <c r="W728" t="inlineStr">
        <is>
          <t>https://nvd.nist.gov/vuln/detail/CVE-2026-2847</t>
        </is>
      </c>
      <c r="X728" t="inlineStr">
        <is>
          <t>NONE</t>
        </is>
      </c>
      <c r="Y728" t="n">
        <v>0</v>
      </c>
      <c r="Z728" t="inlineStr"/>
      <c r="AA728" t="inlineStr">
        <is>
          <t>https://nvd.nist.gov/vuln/detail/CVE-2026-2847</t>
        </is>
      </c>
    </row>
    <row r="729">
      <c r="A729" t="inlineStr">
        <is>
          <t>CVE</t>
        </is>
      </c>
      <c r="B729" t="inlineStr">
        <is>
          <t>CVE-2025-15582</t>
        </is>
      </c>
      <c r="C729" t="inlineStr">
        <is>
          <t>A security flaw has been discovered in detronetdip E-commerce 1.0.0. The impacted element is the function Delete/Update of the component Product Management Module. Performing a manipulation of the argument ID results in authorization bypass. Remote exploitation of the attack is possible. The exploit has been released to the public and may be used for attacks. The project was informed of the problem early through an issue report but has not responded yet.</t>
        </is>
      </c>
      <c r="D729" t="n">
        <v>5.4</v>
      </c>
      <c r="E729" t="inlineStr">
        <is>
          <t>MEDIUM</t>
        </is>
      </c>
      <c r="F729" t="n">
        <v>2</v>
      </c>
      <c r="G729" t="n">
        <v>2</v>
      </c>
      <c r="H729" t="inlineStr">
        <is>
          <t>MEDIUM</t>
        </is>
      </c>
      <c r="I729" t="n">
        <v>9.4</v>
      </c>
      <c r="J729" t="inlineStr">
        <is>
          <t>NO</t>
        </is>
      </c>
      <c r="K729" t="inlineStr">
        <is>
          <t>2026-02-26 00:15</t>
        </is>
      </c>
      <c r="L729" t="inlineStr">
        <is>
          <t>CHECK_VENDOR</t>
        </is>
      </c>
      <c r="M729" t="inlineStr">
        <is>
          <t>See CVE details</t>
        </is>
      </c>
      <c r="N729" t="inlineStr">
        <is>
          <t>P4</t>
        </is>
      </c>
      <c r="O729" t="inlineStr">
        <is>
          <t>CVE - IP enrichment n/a</t>
        </is>
      </c>
      <c r="P729" t="n">
        <v>0</v>
      </c>
      <c r="Q729" t="n">
        <v>0</v>
      </c>
      <c r="R729" t="inlineStr">
        <is>
          <t>T1190:Exploit Public-Facing Application</t>
        </is>
      </c>
      <c r="S729" t="n">
        <v>1</v>
      </c>
      <c r="T729" t="inlineStr">
        <is>
          <t>LOW (40%)</t>
        </is>
      </c>
      <c r="U729" t="inlineStr">
        <is>
          <t>UNLIKELY</t>
        </is>
      </c>
      <c r="V729" t="inlineStr">
        <is>
          <t>CHECK_VENDOR</t>
        </is>
      </c>
      <c r="W729" t="inlineStr">
        <is>
          <t>https://nvd.nist.gov/vuln/detail/CVE-2025-15582</t>
        </is>
      </c>
      <c r="X729" t="inlineStr">
        <is>
          <t>NONE</t>
        </is>
      </c>
      <c r="Y729" t="n">
        <v>0</v>
      </c>
      <c r="Z729" t="inlineStr"/>
      <c r="AA729" t="inlineStr">
        <is>
          <t>https://nvd.nist.gov/vuln/detail/CVE-2025-15582</t>
        </is>
      </c>
    </row>
    <row r="730">
      <c r="A730" t="inlineStr">
        <is>
          <t>CVE</t>
        </is>
      </c>
      <c r="B730" t="inlineStr">
        <is>
          <t>CVE-2025-15583</t>
        </is>
      </c>
      <c r="C730" t="inlineStr">
        <is>
          <t>A weakness has been identified in detronetdip E-commerce 1.0.0. This affects the function get_safe_value of the file utility/function.php. Executing a manipulation can lead to cross site scripting. The attack can be executed remotely. The exploit has been made available to the public and could be used for attacks. The project was informed of the problem early through an issue report but has not responded yet.</t>
        </is>
      </c>
      <c r="D730" t="n">
        <v>3.5</v>
      </c>
      <c r="E730" t="inlineStr">
        <is>
          <t>LOW</t>
        </is>
      </c>
      <c r="F730" t="n">
        <v>2</v>
      </c>
      <c r="G730" t="n">
        <v>1</v>
      </c>
      <c r="H730" t="inlineStr">
        <is>
          <t>LOW</t>
        </is>
      </c>
      <c r="I730" t="n">
        <v>5.5</v>
      </c>
      <c r="J730" t="inlineStr">
        <is>
          <t>NO</t>
        </is>
      </c>
      <c r="K730" t="inlineStr">
        <is>
          <t>2026-02-26 00:15</t>
        </is>
      </c>
      <c r="L730" t="inlineStr">
        <is>
          <t>CHECK_VENDOR</t>
        </is>
      </c>
      <c r="M730" t="inlineStr">
        <is>
          <t>See CVE details</t>
        </is>
      </c>
      <c r="N730" t="inlineStr">
        <is>
          <t>P4</t>
        </is>
      </c>
      <c r="O730" t="inlineStr">
        <is>
          <t>CVE - IP enrichment n/a</t>
        </is>
      </c>
      <c r="P730" t="n">
        <v>0</v>
      </c>
      <c r="Q730" t="n">
        <v>0</v>
      </c>
      <c r="R730" t="inlineStr">
        <is>
          <t>T1189:Drive-by Compromise | T1190:Exploit Public-Facing Application</t>
        </is>
      </c>
      <c r="S730" t="n">
        <v>1</v>
      </c>
      <c r="T730" t="inlineStr">
        <is>
          <t>LOW (40%)</t>
        </is>
      </c>
      <c r="U730" t="inlineStr">
        <is>
          <t>UNLIKELY</t>
        </is>
      </c>
      <c r="V730" t="inlineStr">
        <is>
          <t>CHECK_VENDOR</t>
        </is>
      </c>
      <c r="W730" t="inlineStr">
        <is>
          <t>https://nvd.nist.gov/vuln/detail/CVE-2025-15583</t>
        </is>
      </c>
      <c r="X730" t="inlineStr">
        <is>
          <t>NONE</t>
        </is>
      </c>
      <c r="Y730" t="n">
        <v>0</v>
      </c>
      <c r="Z730" t="inlineStr"/>
      <c r="AA730" t="inlineStr">
        <is>
          <t>https://nvd.nist.gov/vuln/detail/CVE-2025-15583</t>
        </is>
      </c>
    </row>
    <row r="731">
      <c r="A731" t="inlineStr">
        <is>
          <t>CVE</t>
        </is>
      </c>
      <c r="B731" t="inlineStr">
        <is>
          <t>CVE-2025-70833</t>
        </is>
      </c>
      <c r="C731" t="inlineStr">
        <is>
          <t>An Authentication Bypass vulnerability in Smanga 3.2.7 allows an unauthenticated attacker to reset the password of any user (including the administrator) and fully takeover the account by manipulating POST parameters. The issue stems from insecure permission validation in check-power.php.</t>
        </is>
      </c>
      <c r="D731" t="n">
        <v>9.4</v>
      </c>
      <c r="E731" t="inlineStr">
        <is>
          <t>CRITICAL</t>
        </is>
      </c>
      <c r="F731" t="n">
        <v>2</v>
      </c>
      <c r="G731" t="n">
        <v>3</v>
      </c>
      <c r="H731" t="inlineStr">
        <is>
          <t>HIGH</t>
        </is>
      </c>
      <c r="I731" t="n">
        <v>15.4</v>
      </c>
      <c r="J731" t="inlineStr">
        <is>
          <t>NO</t>
        </is>
      </c>
      <c r="K731" t="inlineStr">
        <is>
          <t>2026-02-26 00:15</t>
        </is>
      </c>
      <c r="L731" t="inlineStr">
        <is>
          <t>CHECK_VENDOR</t>
        </is>
      </c>
      <c r="M731" t="inlineStr">
        <is>
          <t>See CVE details</t>
        </is>
      </c>
      <c r="N731" t="inlineStr">
        <is>
          <t>P3</t>
        </is>
      </c>
      <c r="O731" t="inlineStr">
        <is>
          <t>CVE - IP enrichment n/a</t>
        </is>
      </c>
      <c r="P731" t="n">
        <v>0</v>
      </c>
      <c r="Q731" t="n">
        <v>0</v>
      </c>
      <c r="R731" t="inlineStr">
        <is>
          <t>T1078:Valid Accounts | T1110:Brute Force</t>
        </is>
      </c>
      <c r="S731" t="n">
        <v>1</v>
      </c>
      <c r="T731" t="inlineStr">
        <is>
          <t>LOW (40%)</t>
        </is>
      </c>
      <c r="U731" t="inlineStr">
        <is>
          <t>UNLIKELY</t>
        </is>
      </c>
      <c r="V731" t="inlineStr">
        <is>
          <t>CHECK_VENDOR</t>
        </is>
      </c>
      <c r="W731" t="inlineStr">
        <is>
          <t>https://nvd.nist.gov/vuln/detail/CVE-2025-70833</t>
        </is>
      </c>
      <c r="X731" t="inlineStr">
        <is>
          <t>NONE</t>
        </is>
      </c>
      <c r="Y731" t="n">
        <v>0</v>
      </c>
      <c r="Z731" t="inlineStr"/>
      <c r="AA731" t="inlineStr">
        <is>
          <t>https://nvd.nist.gov/vuln/detail/CVE-2025-70833</t>
        </is>
      </c>
    </row>
    <row r="732">
      <c r="A732" t="inlineStr">
        <is>
          <t>CVE</t>
        </is>
      </c>
      <c r="B732" t="inlineStr">
        <is>
          <t>CVE-2026-1842</t>
        </is>
      </c>
      <c r="C732" t="inlineStr">
        <is>
          <t>HyperCloud versions 2.3.5 through 2.6.8 improperly allowed refresh tokens to be used directly for resource access and failed to invalidate previously issued access tokens when a refresh token was used. Because refresh tokens have a significantly longer lifetime (default one year), an authenticated client could use a refresh token in place of an access token to maintain long-term access without token rotation. Additionally, old access tokens remained valid after refresh, enabling concurrent or ex</t>
        </is>
      </c>
      <c r="D732" t="n">
        <v>8.5</v>
      </c>
      <c r="E732" t="inlineStr">
        <is>
          <t>HIGH</t>
        </is>
      </c>
      <c r="F732" t="n">
        <v>2</v>
      </c>
      <c r="G732" t="n">
        <v>3</v>
      </c>
      <c r="H732" t="inlineStr">
        <is>
          <t>HIGH</t>
        </is>
      </c>
      <c r="I732" t="n">
        <v>14.5</v>
      </c>
      <c r="J732" t="inlineStr">
        <is>
          <t>NO</t>
        </is>
      </c>
      <c r="K732" t="inlineStr">
        <is>
          <t>2026-02-26 00:15</t>
        </is>
      </c>
      <c r="L732" t="inlineStr">
        <is>
          <t>CHECK_VENDOR</t>
        </is>
      </c>
      <c r="M732" t="inlineStr">
        <is>
          <t>See CVE details</t>
        </is>
      </c>
      <c r="N732" t="inlineStr">
        <is>
          <t>P3</t>
        </is>
      </c>
      <c r="O732" t="inlineStr">
        <is>
          <t>CVE - IP enrichment n/a</t>
        </is>
      </c>
      <c r="P732" t="n">
        <v>0</v>
      </c>
      <c r="Q732" t="n">
        <v>0</v>
      </c>
      <c r="R732" t="inlineStr">
        <is>
          <t>T1190:Exploit Public-Facing Application</t>
        </is>
      </c>
      <c r="S732" t="n">
        <v>1</v>
      </c>
      <c r="T732" t="inlineStr">
        <is>
          <t>LOW (40%)</t>
        </is>
      </c>
      <c r="U732" t="inlineStr">
        <is>
          <t>UNLIKELY</t>
        </is>
      </c>
      <c r="V732" t="inlineStr">
        <is>
          <t>CHECK_VENDOR</t>
        </is>
      </c>
      <c r="W732" t="inlineStr">
        <is>
          <t>https://nvd.nist.gov/vuln/detail/CVE-2026-1842</t>
        </is>
      </c>
      <c r="X732" t="inlineStr">
        <is>
          <t>NONE</t>
        </is>
      </c>
      <c r="Y732" t="n">
        <v>0</v>
      </c>
      <c r="Z732" t="inlineStr"/>
      <c r="AA732" t="inlineStr">
        <is>
          <t>https://nvd.nist.gov/vuln/detail/CVE-2026-1842</t>
        </is>
      </c>
    </row>
    <row r="733">
      <c r="A733" t="inlineStr">
        <is>
          <t>CVE</t>
        </is>
      </c>
      <c r="B733" t="inlineStr">
        <is>
          <t>CVE-2026-24455</t>
        </is>
      </c>
      <c r="C733" t="inlineStr">
        <is>
          <t>The embedded web interface of the device does not support HTTPS/TLS for 
authentication and uses HTTP Basic Authentication. Traffic is encoded 
but not encrypted, exposing user credentials to passive interception by 
attackers on the same network.</t>
        </is>
      </c>
      <c r="D733" t="n">
        <v>7.5</v>
      </c>
      <c r="E733" t="inlineStr">
        <is>
          <t>HIGH</t>
        </is>
      </c>
      <c r="F733" t="n">
        <v>2</v>
      </c>
      <c r="G733" t="n">
        <v>3</v>
      </c>
      <c r="H733" t="inlineStr">
        <is>
          <t>HIGH</t>
        </is>
      </c>
      <c r="I733" t="n">
        <v>13.5</v>
      </c>
      <c r="J733" t="inlineStr">
        <is>
          <t>NO</t>
        </is>
      </c>
      <c r="K733" t="inlineStr">
        <is>
          <t>2026-02-26 00:15</t>
        </is>
      </c>
      <c r="L733" t="inlineStr">
        <is>
          <t>CHECK_VENDOR</t>
        </is>
      </c>
      <c r="M733" t="inlineStr">
        <is>
          <t>See CVE details</t>
        </is>
      </c>
      <c r="N733" t="inlineStr">
        <is>
          <t>P3</t>
        </is>
      </c>
      <c r="O733" t="inlineStr">
        <is>
          <t>CVE - IP enrichment n/a</t>
        </is>
      </c>
      <c r="P733" t="n">
        <v>0</v>
      </c>
      <c r="Q733" t="n">
        <v>0</v>
      </c>
      <c r="R733" t="inlineStr">
        <is>
          <t>T1190:Exploit Public-Facing Application | T1552:Unsecured Credentials</t>
        </is>
      </c>
      <c r="S733" t="n">
        <v>1</v>
      </c>
      <c r="T733" t="inlineStr">
        <is>
          <t>LOW (40%)</t>
        </is>
      </c>
      <c r="U733" t="inlineStr">
        <is>
          <t>UNLIKELY</t>
        </is>
      </c>
      <c r="V733" t="inlineStr">
        <is>
          <t>CHECK_VENDOR</t>
        </is>
      </c>
      <c r="W733" t="inlineStr">
        <is>
          <t>https://nvd.nist.gov/vuln/detail/CVE-2026-24455</t>
        </is>
      </c>
      <c r="X733" t="inlineStr">
        <is>
          <t>NONE</t>
        </is>
      </c>
      <c r="Y733" t="n">
        <v>0</v>
      </c>
      <c r="Z733" t="inlineStr"/>
      <c r="AA733" t="inlineStr">
        <is>
          <t>https://nvd.nist.gov/vuln/detail/CVE-2026-24455</t>
        </is>
      </c>
    </row>
    <row r="734">
      <c r="A734" t="inlineStr">
        <is>
          <t>CVE</t>
        </is>
      </c>
      <c r="B734" t="inlineStr">
        <is>
          <t>CVE-2026-24790</t>
        </is>
      </c>
      <c r="C734" t="inlineStr">
        <is>
          <t>The underlying PLC of the device can be remotely influenced, without proper safeguards or authentication.</t>
        </is>
      </c>
      <c r="D734" t="n">
        <v>8.199999999999999</v>
      </c>
      <c r="E734" t="inlineStr">
        <is>
          <t>HIGH</t>
        </is>
      </c>
      <c r="F734" t="n">
        <v>2</v>
      </c>
      <c r="G734" t="n">
        <v>3</v>
      </c>
      <c r="H734" t="inlineStr">
        <is>
          <t>HIGH</t>
        </is>
      </c>
      <c r="I734" t="n">
        <v>14.2</v>
      </c>
      <c r="J734" t="inlineStr">
        <is>
          <t>NO</t>
        </is>
      </c>
      <c r="K734" t="inlineStr">
        <is>
          <t>2026-02-26 00:15</t>
        </is>
      </c>
      <c r="L734" t="inlineStr">
        <is>
          <t>CHECK_VENDOR</t>
        </is>
      </c>
      <c r="M734" t="inlineStr">
        <is>
          <t>See CVE details</t>
        </is>
      </c>
      <c r="N734" t="inlineStr">
        <is>
          <t>P3</t>
        </is>
      </c>
      <c r="O734" t="inlineStr">
        <is>
          <t>CVE - IP enrichment n/a</t>
        </is>
      </c>
      <c r="P734" t="n">
        <v>0</v>
      </c>
      <c r="Q734" t="n">
        <v>0</v>
      </c>
      <c r="R734" t="inlineStr">
        <is>
          <t>T1078:Valid Accounts</t>
        </is>
      </c>
      <c r="S734" t="n">
        <v>1</v>
      </c>
      <c r="T734" t="inlineStr">
        <is>
          <t>LOW (40%)</t>
        </is>
      </c>
      <c r="U734" t="inlineStr">
        <is>
          <t>UNLIKELY</t>
        </is>
      </c>
      <c r="V734" t="inlineStr">
        <is>
          <t>CHECK_VENDOR</t>
        </is>
      </c>
      <c r="W734" t="inlineStr">
        <is>
          <t>https://nvd.nist.gov/vuln/detail/CVE-2026-24790</t>
        </is>
      </c>
      <c r="X734" t="inlineStr">
        <is>
          <t>NONE</t>
        </is>
      </c>
      <c r="Y734" t="n">
        <v>0</v>
      </c>
      <c r="Z734" t="inlineStr"/>
      <c r="AA734" t="inlineStr">
        <is>
          <t>https://nvd.nist.gov/vuln/detail/CVE-2026-24790</t>
        </is>
      </c>
    </row>
    <row r="735">
      <c r="A735" t="inlineStr">
        <is>
          <t>CVE</t>
        </is>
      </c>
      <c r="B735" t="inlineStr">
        <is>
          <t>CVE-2026-25715</t>
        </is>
      </c>
      <c r="C735" t="inlineStr">
        <is>
          <t>The web management interface of the device allows the administrator 
username and password to be set to blank values. Once applied, the 
device permits authentication with empty credentials over the web 
management interface and Telnet service. This effectively disables 
authentication across all critical management channels, allowing any 
network-adjacent attacker to gain full administrative control without 
credentials.</t>
        </is>
      </c>
      <c r="D735" t="n">
        <v>9.800000000000001</v>
      </c>
      <c r="E735" t="inlineStr">
        <is>
          <t>CRITICAL</t>
        </is>
      </c>
      <c r="F735" t="n">
        <v>2</v>
      </c>
      <c r="G735" t="n">
        <v>3</v>
      </c>
      <c r="H735" t="inlineStr">
        <is>
          <t>HIGH</t>
        </is>
      </c>
      <c r="I735" t="n">
        <v>15.8</v>
      </c>
      <c r="J735" t="inlineStr">
        <is>
          <t>NO</t>
        </is>
      </c>
      <c r="K735" t="inlineStr">
        <is>
          <t>2026-02-26 00:15</t>
        </is>
      </c>
      <c r="L735" t="inlineStr">
        <is>
          <t>CHECK_VENDOR</t>
        </is>
      </c>
      <c r="M735" t="inlineStr">
        <is>
          <t>See CVE details</t>
        </is>
      </c>
      <c r="N735" t="inlineStr">
        <is>
          <t>P3</t>
        </is>
      </c>
      <c r="O735" t="inlineStr">
        <is>
          <t>CVE - IP enrichment n/a</t>
        </is>
      </c>
      <c r="P735" t="n">
        <v>0</v>
      </c>
      <c r="Q735" t="n">
        <v>0</v>
      </c>
      <c r="R735" t="inlineStr">
        <is>
          <t>T1552:Unsecured Credentials</t>
        </is>
      </c>
      <c r="S735" t="n">
        <v>1</v>
      </c>
      <c r="T735" t="inlineStr">
        <is>
          <t>LOW (40%)</t>
        </is>
      </c>
      <c r="U735" t="inlineStr">
        <is>
          <t>UNLIKELY</t>
        </is>
      </c>
      <c r="V735" t="inlineStr">
        <is>
          <t>CHECK_VENDOR</t>
        </is>
      </c>
      <c r="W735" t="inlineStr">
        <is>
          <t>https://nvd.nist.gov/vuln/detail/CVE-2026-25715</t>
        </is>
      </c>
      <c r="X735" t="inlineStr">
        <is>
          <t>NONE</t>
        </is>
      </c>
      <c r="Y735" t="n">
        <v>0</v>
      </c>
      <c r="Z735" t="inlineStr"/>
      <c r="AA735" t="inlineStr">
        <is>
          <t>https://nvd.nist.gov/vuln/detail/CVE-2026-25715</t>
        </is>
      </c>
    </row>
    <row r="736">
      <c r="A736" t="inlineStr">
        <is>
          <t>CVE</t>
        </is>
      </c>
      <c r="B736" t="inlineStr">
        <is>
          <t>CVE-2026-26048</t>
        </is>
      </c>
      <c r="C736" t="inlineStr">
        <is>
          <t>The Wi-Fi router is vulnerable to de-authentication attacks due to the 
absence of management frame protection, allowing forged deauthentication
 and disassociation frames to be broadcast without authentication or 
encryption. An attacker can use this to cause unauthorized disruptions 
and create a denial-of-service condition.</t>
        </is>
      </c>
      <c r="D736" t="n">
        <v>7.5</v>
      </c>
      <c r="E736" t="inlineStr">
        <is>
          <t>HIGH</t>
        </is>
      </c>
      <c r="F736" t="n">
        <v>2</v>
      </c>
      <c r="G736" t="n">
        <v>3</v>
      </c>
      <c r="H736" t="inlineStr">
        <is>
          <t>HIGH</t>
        </is>
      </c>
      <c r="I736" t="n">
        <v>13.5</v>
      </c>
      <c r="J736" t="inlineStr">
        <is>
          <t>NO</t>
        </is>
      </c>
      <c r="K736" t="inlineStr">
        <is>
          <t>2026-02-26 00:15</t>
        </is>
      </c>
      <c r="L736" t="inlineStr">
        <is>
          <t>CHECK_VENDOR</t>
        </is>
      </c>
      <c r="M736" t="inlineStr">
        <is>
          <t>See CVE details</t>
        </is>
      </c>
      <c r="N736" t="inlineStr">
        <is>
          <t>P3</t>
        </is>
      </c>
      <c r="O736" t="inlineStr">
        <is>
          <t>CVE - IP enrichment n/a</t>
        </is>
      </c>
      <c r="P736" t="n">
        <v>0</v>
      </c>
      <c r="Q736" t="n">
        <v>0</v>
      </c>
      <c r="R736" t="inlineStr">
        <is>
          <t>T1078:Valid Accounts</t>
        </is>
      </c>
      <c r="S736" t="n">
        <v>1</v>
      </c>
      <c r="T736" t="inlineStr">
        <is>
          <t>LOW (40%)</t>
        </is>
      </c>
      <c r="U736" t="inlineStr">
        <is>
          <t>UNLIKELY</t>
        </is>
      </c>
      <c r="V736" t="inlineStr">
        <is>
          <t>CHECK_VENDOR</t>
        </is>
      </c>
      <c r="W736" t="inlineStr">
        <is>
          <t>https://nvd.nist.gov/vuln/detail/CVE-2026-26048</t>
        </is>
      </c>
      <c r="X736" t="inlineStr">
        <is>
          <t>NONE</t>
        </is>
      </c>
      <c r="Y736" t="n">
        <v>0</v>
      </c>
      <c r="Z736" t="inlineStr"/>
      <c r="AA736" t="inlineStr">
        <is>
          <t>https://nvd.nist.gov/vuln/detail/CVE-2026-26048</t>
        </is>
      </c>
    </row>
    <row r="737">
      <c r="A737" t="inlineStr">
        <is>
          <t>CVE</t>
        </is>
      </c>
      <c r="B737" t="inlineStr">
        <is>
          <t>CVE-2026-26049</t>
        </is>
      </c>
      <c r="C737" t="inlineStr">
        <is>
          <t>The web management interface of the device renders the passwords in a 
plaintext input field. The current password is directly visible to 
anyone with access to the UI, potentially exposing administrator 
credentials to unauthorized observation via shoulder surfing, 
screenshots, or browser form caching.</t>
        </is>
      </c>
      <c r="D737" t="n">
        <v>5.7</v>
      </c>
      <c r="E737" t="inlineStr">
        <is>
          <t>MEDIUM</t>
        </is>
      </c>
      <c r="F737" t="n">
        <v>2</v>
      </c>
      <c r="G737" t="n">
        <v>2</v>
      </c>
      <c r="H737" t="inlineStr">
        <is>
          <t>MEDIUM</t>
        </is>
      </c>
      <c r="I737" t="n">
        <v>9.699999999999999</v>
      </c>
      <c r="J737" t="inlineStr">
        <is>
          <t>NO</t>
        </is>
      </c>
      <c r="K737" t="inlineStr">
        <is>
          <t>2026-02-26 00:15</t>
        </is>
      </c>
      <c r="L737" t="inlineStr">
        <is>
          <t>CHECK_VENDOR</t>
        </is>
      </c>
      <c r="M737" t="inlineStr">
        <is>
          <t>See CVE details</t>
        </is>
      </c>
      <c r="N737" t="inlineStr">
        <is>
          <t>P4</t>
        </is>
      </c>
      <c r="O737" t="inlineStr">
        <is>
          <t>CVE - IP enrichment n/a</t>
        </is>
      </c>
      <c r="P737" t="n">
        <v>0.0003</v>
      </c>
      <c r="Q737" t="n">
        <v>0.0776</v>
      </c>
      <c r="R737" t="inlineStr">
        <is>
          <t>T1552:Unsecured Credentials</t>
        </is>
      </c>
      <c r="S737" t="n">
        <v>1</v>
      </c>
      <c r="T737" t="inlineStr">
        <is>
          <t>LOW (40%)</t>
        </is>
      </c>
      <c r="U737" t="inlineStr">
        <is>
          <t>UNLIKELY</t>
        </is>
      </c>
      <c r="V737" t="inlineStr">
        <is>
          <t>CHECK_VENDOR</t>
        </is>
      </c>
      <c r="W737" t="inlineStr">
        <is>
          <t>https://nvd.nist.gov/vuln/detail/CVE-2026-26049</t>
        </is>
      </c>
      <c r="X737" t="inlineStr">
        <is>
          <t>NONE</t>
        </is>
      </c>
      <c r="Y737" t="n">
        <v>0</v>
      </c>
      <c r="Z737" t="inlineStr"/>
      <c r="AA737" t="inlineStr">
        <is>
          <t>https://nvd.nist.gov/vuln/detail/CVE-2026-26049</t>
        </is>
      </c>
    </row>
    <row r="738">
      <c r="A738" t="inlineStr">
        <is>
          <t>CVE</t>
        </is>
      </c>
      <c r="B738" t="inlineStr">
        <is>
          <t>CVE-2026-26093</t>
        </is>
      </c>
      <c r="C738" t="inlineStr">
        <is>
          <t>Improper Neutralization of Special Elements used in a Command ('Command Injection') in Owl opds 2.2.0.4 allows Command Injection via a crafted network request.</t>
        </is>
      </c>
      <c r="D738" t="n">
        <v>5</v>
      </c>
      <c r="E738" t="inlineStr">
        <is>
          <t>MEDIUM</t>
        </is>
      </c>
      <c r="F738" t="n">
        <v>2</v>
      </c>
      <c r="G738" t="n">
        <v>2</v>
      </c>
      <c r="H738" t="inlineStr">
        <is>
          <t>MEDIUM</t>
        </is>
      </c>
      <c r="I738" t="n">
        <v>9</v>
      </c>
      <c r="J738" t="inlineStr">
        <is>
          <t>NO</t>
        </is>
      </c>
      <c r="K738" t="inlineStr">
        <is>
          <t>2026-02-26 00:15</t>
        </is>
      </c>
      <c r="L738" t="inlineStr">
        <is>
          <t>CHECK_VENDOR</t>
        </is>
      </c>
      <c r="M738" t="inlineStr">
        <is>
          <t>See CVE details</t>
        </is>
      </c>
      <c r="N738" t="inlineStr">
        <is>
          <t>P4</t>
        </is>
      </c>
      <c r="O738" t="inlineStr">
        <is>
          <t>CVE - IP enrichment n/a</t>
        </is>
      </c>
      <c r="P738" t="n">
        <v>0</v>
      </c>
      <c r="Q738" t="n">
        <v>0</v>
      </c>
      <c r="R738" t="inlineStr">
        <is>
          <t>T1059:Command and Scripting Interpreter</t>
        </is>
      </c>
      <c r="S738" t="n">
        <v>1</v>
      </c>
      <c r="T738" t="inlineStr">
        <is>
          <t>LOW (40%)</t>
        </is>
      </c>
      <c r="U738" t="inlineStr">
        <is>
          <t>UNLIKELY</t>
        </is>
      </c>
      <c r="V738" t="inlineStr">
        <is>
          <t>CHECK_VENDOR</t>
        </is>
      </c>
      <c r="W738" t="inlineStr">
        <is>
          <t>https://nvd.nist.gov/vuln/detail/CVE-2026-26093</t>
        </is>
      </c>
      <c r="X738" t="inlineStr">
        <is>
          <t>NONE</t>
        </is>
      </c>
      <c r="Y738" t="n">
        <v>0</v>
      </c>
      <c r="Z738" t="inlineStr"/>
      <c r="AA738" t="inlineStr">
        <is>
          <t>https://nvd.nist.gov/vuln/detail/CVE-2026-26093</t>
        </is>
      </c>
    </row>
    <row r="739">
      <c r="A739" t="inlineStr">
        <is>
          <t>CVE</t>
        </is>
      </c>
      <c r="B739" t="inlineStr">
        <is>
          <t>CVE-2026-26095</t>
        </is>
      </c>
      <c r="C739" t="inlineStr">
        <is>
          <t>Incorrect Permission Assignment for Critical Resource in Owl opds 2.2.0.4 allows File Manipulation via a crafted network request.</t>
        </is>
      </c>
      <c r="D739" t="n">
        <v>8.5</v>
      </c>
      <c r="E739" t="inlineStr">
        <is>
          <t>HIGH</t>
        </is>
      </c>
      <c r="F739" t="n">
        <v>2</v>
      </c>
      <c r="G739" t="n">
        <v>3</v>
      </c>
      <c r="H739" t="inlineStr">
        <is>
          <t>HIGH</t>
        </is>
      </c>
      <c r="I739" t="n">
        <v>14.5</v>
      </c>
      <c r="J739" t="inlineStr">
        <is>
          <t>NO</t>
        </is>
      </c>
      <c r="K739" t="inlineStr">
        <is>
          <t>2026-02-26 00:15</t>
        </is>
      </c>
      <c r="L739" t="inlineStr">
        <is>
          <t>CHECK_VENDOR</t>
        </is>
      </c>
      <c r="M739" t="inlineStr">
        <is>
          <t>See CVE details</t>
        </is>
      </c>
      <c r="N739" t="inlineStr">
        <is>
          <t>P3</t>
        </is>
      </c>
      <c r="O739" t="inlineStr">
        <is>
          <t>CVE - IP enrichment n/a</t>
        </is>
      </c>
      <c r="P739" t="n">
        <v>0</v>
      </c>
      <c r="Q739" t="n">
        <v>0</v>
      </c>
      <c r="R739" t="inlineStr">
        <is>
          <t>T1190:Exploit Public-Facing Application</t>
        </is>
      </c>
      <c r="S739" t="n">
        <v>1</v>
      </c>
      <c r="T739" t="inlineStr">
        <is>
          <t>LOW (40%)</t>
        </is>
      </c>
      <c r="U739" t="inlineStr">
        <is>
          <t>UNLIKELY</t>
        </is>
      </c>
      <c r="V739" t="inlineStr">
        <is>
          <t>CHECK_VENDOR</t>
        </is>
      </c>
      <c r="W739" t="inlineStr">
        <is>
          <t>https://nvd.nist.gov/vuln/detail/CVE-2026-26095</t>
        </is>
      </c>
      <c r="X739" t="inlineStr">
        <is>
          <t>NONE</t>
        </is>
      </c>
      <c r="Y739" t="n">
        <v>0</v>
      </c>
      <c r="Z739" t="inlineStr"/>
      <c r="AA739" t="inlineStr">
        <is>
          <t>https://nvd.nist.gov/vuln/detail/CVE-2026-26095</t>
        </is>
      </c>
    </row>
    <row r="740">
      <c r="A740" t="inlineStr">
        <is>
          <t>CVE</t>
        </is>
      </c>
      <c r="B740" t="inlineStr">
        <is>
          <t>CVE-2026-26096</t>
        </is>
      </c>
      <c r="C740" t="inlineStr">
        <is>
          <t>Incorrect Permission Assignment for Critical Resource in Owl opds 2.2.0.4 allows File Manipulation via a crafted network request.</t>
        </is>
      </c>
      <c r="D740" t="n">
        <v>8.5</v>
      </c>
      <c r="E740" t="inlineStr">
        <is>
          <t>HIGH</t>
        </is>
      </c>
      <c r="F740" t="n">
        <v>2</v>
      </c>
      <c r="G740" t="n">
        <v>3</v>
      </c>
      <c r="H740" t="inlineStr">
        <is>
          <t>HIGH</t>
        </is>
      </c>
      <c r="I740" t="n">
        <v>14.5</v>
      </c>
      <c r="J740" t="inlineStr">
        <is>
          <t>NO</t>
        </is>
      </c>
      <c r="K740" t="inlineStr">
        <is>
          <t>2026-02-26 00:15</t>
        </is>
      </c>
      <c r="L740" t="inlineStr">
        <is>
          <t>CHECK_VENDOR</t>
        </is>
      </c>
      <c r="M740" t="inlineStr">
        <is>
          <t>See CVE details</t>
        </is>
      </c>
      <c r="N740" t="inlineStr">
        <is>
          <t>P3</t>
        </is>
      </c>
      <c r="O740" t="inlineStr">
        <is>
          <t>CVE - IP enrichment n/a</t>
        </is>
      </c>
      <c r="P740" t="n">
        <v>0</v>
      </c>
      <c r="Q740" t="n">
        <v>0</v>
      </c>
      <c r="R740" t="inlineStr">
        <is>
          <t>T1190:Exploit Public-Facing Application</t>
        </is>
      </c>
      <c r="S740" t="n">
        <v>1</v>
      </c>
      <c r="T740" t="inlineStr">
        <is>
          <t>LOW (40%)</t>
        </is>
      </c>
      <c r="U740" t="inlineStr">
        <is>
          <t>UNLIKELY</t>
        </is>
      </c>
      <c r="V740" t="inlineStr">
        <is>
          <t>CHECK_VENDOR</t>
        </is>
      </c>
      <c r="W740" t="inlineStr">
        <is>
          <t>https://nvd.nist.gov/vuln/detail/CVE-2026-26096</t>
        </is>
      </c>
      <c r="X740" t="inlineStr">
        <is>
          <t>NONE</t>
        </is>
      </c>
      <c r="Y740" t="n">
        <v>0</v>
      </c>
      <c r="Z740" t="inlineStr"/>
      <c r="AA740" t="inlineStr">
        <is>
          <t>https://nvd.nist.gov/vuln/detail/CVE-2026-26096</t>
        </is>
      </c>
    </row>
    <row r="741">
      <c r="A741" t="inlineStr">
        <is>
          <t>CVE</t>
        </is>
      </c>
      <c r="B741" t="inlineStr">
        <is>
          <t>CVE-2026-26097</t>
        </is>
      </c>
      <c r="C741" t="inlineStr">
        <is>
          <t>Uncontrolled Search Path Element in Owl opds 2.2.0.4 allows Leveraging/Manipulating Configuration File Search Paths via a crafted network request.</t>
        </is>
      </c>
      <c r="D741" t="n">
        <v>5</v>
      </c>
      <c r="E741" t="inlineStr">
        <is>
          <t>MEDIUM</t>
        </is>
      </c>
      <c r="F741" t="n">
        <v>2</v>
      </c>
      <c r="G741" t="n">
        <v>2</v>
      </c>
      <c r="H741" t="inlineStr">
        <is>
          <t>MEDIUM</t>
        </is>
      </c>
      <c r="I741" t="n">
        <v>9</v>
      </c>
      <c r="J741" t="inlineStr">
        <is>
          <t>NO</t>
        </is>
      </c>
      <c r="K741" t="inlineStr">
        <is>
          <t>2026-02-26 00:15</t>
        </is>
      </c>
      <c r="L741" t="inlineStr">
        <is>
          <t>CHECK_VENDOR</t>
        </is>
      </c>
      <c r="M741" t="inlineStr">
        <is>
          <t>See CVE details</t>
        </is>
      </c>
      <c r="N741" t="inlineStr">
        <is>
          <t>P4</t>
        </is>
      </c>
      <c r="O741" t="inlineStr">
        <is>
          <t>CVE - IP enrichment n/a</t>
        </is>
      </c>
      <c r="P741" t="n">
        <v>0</v>
      </c>
      <c r="Q741" t="n">
        <v>0</v>
      </c>
      <c r="R741" t="inlineStr">
        <is>
          <t>T1190:Exploit Public-Facing Application</t>
        </is>
      </c>
      <c r="S741" t="n">
        <v>1</v>
      </c>
      <c r="T741" t="inlineStr">
        <is>
          <t>LOW (40%)</t>
        </is>
      </c>
      <c r="U741" t="inlineStr">
        <is>
          <t>UNLIKELY</t>
        </is>
      </c>
      <c r="V741" t="inlineStr">
        <is>
          <t>CHECK_VENDOR</t>
        </is>
      </c>
      <c r="W741" t="inlineStr">
        <is>
          <t>https://nvd.nist.gov/vuln/detail/CVE-2026-26097</t>
        </is>
      </c>
      <c r="X741" t="inlineStr">
        <is>
          <t>NONE</t>
        </is>
      </c>
      <c r="Y741" t="n">
        <v>0</v>
      </c>
      <c r="Z741" t="inlineStr"/>
      <c r="AA741" t="inlineStr">
        <is>
          <t>https://nvd.nist.gov/vuln/detail/CVE-2026-26097</t>
        </is>
      </c>
    </row>
    <row r="742">
      <c r="A742" t="inlineStr">
        <is>
          <t>CVE</t>
        </is>
      </c>
      <c r="B742" t="inlineStr">
        <is>
          <t>CVE-2026-26098</t>
        </is>
      </c>
      <c r="C742" t="inlineStr">
        <is>
          <t>Uncontrolled Search Path Element in Owl opds 2.2.0.4 allows Leveraging/Manipulating Configuration File Search Paths via a crafted network request.</t>
        </is>
      </c>
      <c r="D742" t="n">
        <v>5</v>
      </c>
      <c r="E742" t="inlineStr">
        <is>
          <t>MEDIUM</t>
        </is>
      </c>
      <c r="F742" t="n">
        <v>2</v>
      </c>
      <c r="G742" t="n">
        <v>2</v>
      </c>
      <c r="H742" t="inlineStr">
        <is>
          <t>MEDIUM</t>
        </is>
      </c>
      <c r="I742" t="n">
        <v>9</v>
      </c>
      <c r="J742" t="inlineStr">
        <is>
          <t>NO</t>
        </is>
      </c>
      <c r="K742" t="inlineStr">
        <is>
          <t>2026-02-26 00:15</t>
        </is>
      </c>
      <c r="L742" t="inlineStr">
        <is>
          <t>CHECK_VENDOR</t>
        </is>
      </c>
      <c r="M742" t="inlineStr">
        <is>
          <t>See CVE details</t>
        </is>
      </c>
      <c r="N742" t="inlineStr">
        <is>
          <t>P4</t>
        </is>
      </c>
      <c r="O742" t="inlineStr">
        <is>
          <t>CVE - IP enrichment n/a</t>
        </is>
      </c>
      <c r="P742" t="n">
        <v>0</v>
      </c>
      <c r="Q742" t="n">
        <v>0</v>
      </c>
      <c r="R742" t="inlineStr">
        <is>
          <t>T1190:Exploit Public-Facing Application</t>
        </is>
      </c>
      <c r="S742" t="n">
        <v>1</v>
      </c>
      <c r="T742" t="inlineStr">
        <is>
          <t>LOW (40%)</t>
        </is>
      </c>
      <c r="U742" t="inlineStr">
        <is>
          <t>UNLIKELY</t>
        </is>
      </c>
      <c r="V742" t="inlineStr">
        <is>
          <t>CHECK_VENDOR</t>
        </is>
      </c>
      <c r="W742" t="inlineStr">
        <is>
          <t>https://nvd.nist.gov/vuln/detail/CVE-2026-26098</t>
        </is>
      </c>
      <c r="X742" t="inlineStr">
        <is>
          <t>NONE</t>
        </is>
      </c>
      <c r="Y742" t="n">
        <v>0</v>
      </c>
      <c r="Z742" t="inlineStr"/>
      <c r="AA742" t="inlineStr">
        <is>
          <t>https://nvd.nist.gov/vuln/detail/CVE-2026-26098</t>
        </is>
      </c>
    </row>
    <row r="743">
      <c r="A743" t="inlineStr">
        <is>
          <t>CVE</t>
        </is>
      </c>
      <c r="B743" t="inlineStr">
        <is>
          <t>CVE-2026-26099</t>
        </is>
      </c>
      <c r="C743" t="inlineStr">
        <is>
          <t>Uncontrolled Search Path Element in Owl opds 2.2.0.4 allows Leveraging/Manipulating Configuration File Search Paths via a crafted network request.</t>
        </is>
      </c>
      <c r="D743" t="n">
        <v>5</v>
      </c>
      <c r="E743" t="inlineStr">
        <is>
          <t>MEDIUM</t>
        </is>
      </c>
      <c r="F743" t="n">
        <v>2</v>
      </c>
      <c r="G743" t="n">
        <v>2</v>
      </c>
      <c r="H743" t="inlineStr">
        <is>
          <t>MEDIUM</t>
        </is>
      </c>
      <c r="I743" t="n">
        <v>9</v>
      </c>
      <c r="J743" t="inlineStr">
        <is>
          <t>NO</t>
        </is>
      </c>
      <c r="K743" t="inlineStr">
        <is>
          <t>2026-02-26 00:15</t>
        </is>
      </c>
      <c r="L743" t="inlineStr">
        <is>
          <t>CHECK_VENDOR</t>
        </is>
      </c>
      <c r="M743" t="inlineStr">
        <is>
          <t>See CVE details</t>
        </is>
      </c>
      <c r="N743" t="inlineStr">
        <is>
          <t>P4</t>
        </is>
      </c>
      <c r="O743" t="inlineStr">
        <is>
          <t>CVE - IP enrichment n/a</t>
        </is>
      </c>
      <c r="P743" t="n">
        <v>0</v>
      </c>
      <c r="Q743" t="n">
        <v>0</v>
      </c>
      <c r="R743" t="inlineStr">
        <is>
          <t>T1190:Exploit Public-Facing Application</t>
        </is>
      </c>
      <c r="S743" t="n">
        <v>1</v>
      </c>
      <c r="T743" t="inlineStr">
        <is>
          <t>LOW (40%)</t>
        </is>
      </c>
      <c r="U743" t="inlineStr">
        <is>
          <t>UNLIKELY</t>
        </is>
      </c>
      <c r="V743" t="inlineStr">
        <is>
          <t>CHECK_VENDOR</t>
        </is>
      </c>
      <c r="W743" t="inlineStr">
        <is>
          <t>https://nvd.nist.gov/vuln/detail/CVE-2026-26099</t>
        </is>
      </c>
      <c r="X743" t="inlineStr">
        <is>
          <t>NONE</t>
        </is>
      </c>
      <c r="Y743" t="n">
        <v>0</v>
      </c>
      <c r="Z743" t="inlineStr"/>
      <c r="AA743" t="inlineStr">
        <is>
          <t>https://nvd.nist.gov/vuln/detail/CVE-2026-26099</t>
        </is>
      </c>
    </row>
    <row r="744">
      <c r="A744" t="inlineStr">
        <is>
          <t>CVE</t>
        </is>
      </c>
      <c r="B744" t="inlineStr">
        <is>
          <t>CVE-2026-26100</t>
        </is>
      </c>
      <c r="C744" t="inlineStr">
        <is>
          <t>Incorrect Permission Assignment for Critical Resource in Owl opds 2.2.0.4 allows File Manipulation via a crafted network request.</t>
        </is>
      </c>
      <c r="D744" t="n">
        <v>8.5</v>
      </c>
      <c r="E744" t="inlineStr">
        <is>
          <t>HIGH</t>
        </is>
      </c>
      <c r="F744" t="n">
        <v>2</v>
      </c>
      <c r="G744" t="n">
        <v>3</v>
      </c>
      <c r="H744" t="inlineStr">
        <is>
          <t>HIGH</t>
        </is>
      </c>
      <c r="I744" t="n">
        <v>14.5</v>
      </c>
      <c r="J744" t="inlineStr">
        <is>
          <t>NO</t>
        </is>
      </c>
      <c r="K744" t="inlineStr">
        <is>
          <t>2026-02-26 00:15</t>
        </is>
      </c>
      <c r="L744" t="inlineStr">
        <is>
          <t>CHECK_VENDOR</t>
        </is>
      </c>
      <c r="M744" t="inlineStr">
        <is>
          <t>See CVE details</t>
        </is>
      </c>
      <c r="N744" t="inlineStr">
        <is>
          <t>P3</t>
        </is>
      </c>
      <c r="O744" t="inlineStr">
        <is>
          <t>CVE - IP enrichment n/a</t>
        </is>
      </c>
      <c r="P744" t="n">
        <v>0</v>
      </c>
      <c r="Q744" t="n">
        <v>0</v>
      </c>
      <c r="R744" t="inlineStr">
        <is>
          <t>T1190:Exploit Public-Facing Application</t>
        </is>
      </c>
      <c r="S744" t="n">
        <v>1</v>
      </c>
      <c r="T744" t="inlineStr">
        <is>
          <t>LOW (40%)</t>
        </is>
      </c>
      <c r="U744" t="inlineStr">
        <is>
          <t>UNLIKELY</t>
        </is>
      </c>
      <c r="V744" t="inlineStr">
        <is>
          <t>CHECK_VENDOR</t>
        </is>
      </c>
      <c r="W744" t="inlineStr">
        <is>
          <t>https://nvd.nist.gov/vuln/detail/CVE-2026-26100</t>
        </is>
      </c>
      <c r="X744" t="inlineStr">
        <is>
          <t>NONE</t>
        </is>
      </c>
      <c r="Y744" t="n">
        <v>0</v>
      </c>
      <c r="Z744" t="inlineStr"/>
      <c r="AA744" t="inlineStr">
        <is>
          <t>https://nvd.nist.gov/vuln/detail/CVE-2026-26100</t>
        </is>
      </c>
    </row>
    <row r="745">
      <c r="A745" t="inlineStr">
        <is>
          <t>CVE</t>
        </is>
      </c>
      <c r="B745" t="inlineStr">
        <is>
          <t>CVE-2026-26101</t>
        </is>
      </c>
      <c r="C745" t="inlineStr">
        <is>
          <t>Incorrect Permission Assignment for Critical Resource in Owl opds 2.2.0.4 allows File Manipulation via a crafted network request.</t>
        </is>
      </c>
      <c r="D745" t="n">
        <v>8.5</v>
      </c>
      <c r="E745" t="inlineStr">
        <is>
          <t>HIGH</t>
        </is>
      </c>
      <c r="F745" t="n">
        <v>2</v>
      </c>
      <c r="G745" t="n">
        <v>3</v>
      </c>
      <c r="H745" t="inlineStr">
        <is>
          <t>HIGH</t>
        </is>
      </c>
      <c r="I745" t="n">
        <v>14.5</v>
      </c>
      <c r="J745" t="inlineStr">
        <is>
          <t>NO</t>
        </is>
      </c>
      <c r="K745" t="inlineStr">
        <is>
          <t>2026-02-26 00:15</t>
        </is>
      </c>
      <c r="L745" t="inlineStr">
        <is>
          <t>CHECK_VENDOR</t>
        </is>
      </c>
      <c r="M745" t="inlineStr">
        <is>
          <t>See CVE details</t>
        </is>
      </c>
      <c r="N745" t="inlineStr">
        <is>
          <t>P3</t>
        </is>
      </c>
      <c r="O745" t="inlineStr">
        <is>
          <t>CVE - IP enrichment n/a</t>
        </is>
      </c>
      <c r="P745" t="n">
        <v>0</v>
      </c>
      <c r="Q745" t="n">
        <v>0</v>
      </c>
      <c r="R745" t="inlineStr">
        <is>
          <t>T1190:Exploit Public-Facing Application</t>
        </is>
      </c>
      <c r="S745" t="n">
        <v>1</v>
      </c>
      <c r="T745" t="inlineStr">
        <is>
          <t>LOW (40%)</t>
        </is>
      </c>
      <c r="U745" t="inlineStr">
        <is>
          <t>UNLIKELY</t>
        </is>
      </c>
      <c r="V745" t="inlineStr">
        <is>
          <t>CHECK_VENDOR</t>
        </is>
      </c>
      <c r="W745" t="inlineStr">
        <is>
          <t>https://nvd.nist.gov/vuln/detail/CVE-2026-26101</t>
        </is>
      </c>
      <c r="X745" t="inlineStr">
        <is>
          <t>NONE</t>
        </is>
      </c>
      <c r="Y745" t="n">
        <v>0</v>
      </c>
      <c r="Z745" t="inlineStr"/>
      <c r="AA745" t="inlineStr">
        <is>
          <t>https://nvd.nist.gov/vuln/detail/CVE-2026-26101</t>
        </is>
      </c>
    </row>
    <row r="746">
      <c r="A746" t="inlineStr">
        <is>
          <t>CVE</t>
        </is>
      </c>
      <c r="B746" t="inlineStr">
        <is>
          <t>CVE-2026-26102</t>
        </is>
      </c>
      <c r="C746" t="inlineStr">
        <is>
          <t>Incorrect Permission Assignment for Critical Resource in Owl opds 2.2.0.4 allows File Manipulation via a crafted network request.</t>
        </is>
      </c>
      <c r="D746" t="n">
        <v>8.5</v>
      </c>
      <c r="E746" t="inlineStr">
        <is>
          <t>HIGH</t>
        </is>
      </c>
      <c r="F746" t="n">
        <v>2</v>
      </c>
      <c r="G746" t="n">
        <v>3</v>
      </c>
      <c r="H746" t="inlineStr">
        <is>
          <t>HIGH</t>
        </is>
      </c>
      <c r="I746" t="n">
        <v>14.5</v>
      </c>
      <c r="J746" t="inlineStr">
        <is>
          <t>NO</t>
        </is>
      </c>
      <c r="K746" t="inlineStr">
        <is>
          <t>2026-02-26 00:15</t>
        </is>
      </c>
      <c r="L746" t="inlineStr">
        <is>
          <t>CHECK_VENDOR</t>
        </is>
      </c>
      <c r="M746" t="inlineStr">
        <is>
          <t>See CVE details</t>
        </is>
      </c>
      <c r="N746" t="inlineStr">
        <is>
          <t>P3</t>
        </is>
      </c>
      <c r="O746" t="inlineStr">
        <is>
          <t>CVE - IP enrichment n/a</t>
        </is>
      </c>
      <c r="P746" t="n">
        <v>0</v>
      </c>
      <c r="Q746" t="n">
        <v>0</v>
      </c>
      <c r="R746" t="inlineStr">
        <is>
          <t>T1190:Exploit Public-Facing Application</t>
        </is>
      </c>
      <c r="S746" t="n">
        <v>1</v>
      </c>
      <c r="T746" t="inlineStr">
        <is>
          <t>LOW (40%)</t>
        </is>
      </c>
      <c r="U746" t="inlineStr">
        <is>
          <t>UNLIKELY</t>
        </is>
      </c>
      <c r="V746" t="inlineStr">
        <is>
          <t>CHECK_VENDOR</t>
        </is>
      </c>
      <c r="W746" t="inlineStr">
        <is>
          <t>https://nvd.nist.gov/vuln/detail/CVE-2026-26102</t>
        </is>
      </c>
      <c r="X746" t="inlineStr">
        <is>
          <t>NONE</t>
        </is>
      </c>
      <c r="Y746" t="n">
        <v>0</v>
      </c>
      <c r="Z746" t="inlineStr"/>
      <c r="AA746" t="inlineStr">
        <is>
          <t>https://nvd.nist.gov/vuln/detail/CVE-2026-26102</t>
        </is>
      </c>
    </row>
    <row r="747">
      <c r="A747" t="inlineStr">
        <is>
          <t>CVE</t>
        </is>
      </c>
      <c r="B747" t="inlineStr">
        <is>
          <t>CVE-2026-26721</t>
        </is>
      </c>
      <c r="C747" t="inlineStr">
        <is>
          <t>An issue in Key Systems Inc Global Facilities Management Software v.20230721a allows a remote attacker to obtain sensitive information via the sid query parameter.</t>
        </is>
      </c>
      <c r="D747" t="n">
        <v>7.1</v>
      </c>
      <c r="E747" t="inlineStr">
        <is>
          <t>HIGH</t>
        </is>
      </c>
      <c r="F747" t="n">
        <v>2</v>
      </c>
      <c r="G747" t="n">
        <v>3</v>
      </c>
      <c r="H747" t="inlineStr">
        <is>
          <t>HIGH</t>
        </is>
      </c>
      <c r="I747" t="n">
        <v>13.1</v>
      </c>
      <c r="J747" t="inlineStr">
        <is>
          <t>NO</t>
        </is>
      </c>
      <c r="K747" t="inlineStr">
        <is>
          <t>2026-02-26 00:15</t>
        </is>
      </c>
      <c r="L747" t="inlineStr">
        <is>
          <t>CHECK_VENDOR</t>
        </is>
      </c>
      <c r="M747" t="inlineStr">
        <is>
          <t>See CVE details</t>
        </is>
      </c>
      <c r="N747" t="inlineStr">
        <is>
          <t>P3</t>
        </is>
      </c>
      <c r="O747" t="inlineStr">
        <is>
          <t>CVE - IP enrichment n/a</t>
        </is>
      </c>
      <c r="P747" t="n">
        <v>0</v>
      </c>
      <c r="Q747" t="n">
        <v>0</v>
      </c>
      <c r="R747" t="inlineStr">
        <is>
          <t>T1190:Exploit Public-Facing Application</t>
        </is>
      </c>
      <c r="S747" t="n">
        <v>1</v>
      </c>
      <c r="T747" t="inlineStr">
        <is>
          <t>LOW (40%)</t>
        </is>
      </c>
      <c r="U747" t="inlineStr">
        <is>
          <t>UNLIKELY</t>
        </is>
      </c>
      <c r="V747" t="inlineStr">
        <is>
          <t>CHECK_VENDOR</t>
        </is>
      </c>
      <c r="W747" t="inlineStr">
        <is>
          <t>https://nvd.nist.gov/vuln/detail/CVE-2026-26721</t>
        </is>
      </c>
      <c r="X747" t="inlineStr">
        <is>
          <t>NONE</t>
        </is>
      </c>
      <c r="Y747" t="n">
        <v>0</v>
      </c>
      <c r="Z747" t="inlineStr"/>
      <c r="AA747" t="inlineStr">
        <is>
          <t>https://nvd.nist.gov/vuln/detail/CVE-2026-26721</t>
        </is>
      </c>
    </row>
    <row r="748">
      <c r="A748" t="inlineStr">
        <is>
          <t>CVE</t>
        </is>
      </c>
      <c r="B748" t="inlineStr">
        <is>
          <t>CVE-2026-26722</t>
        </is>
      </c>
      <c r="C748" t="inlineStr">
        <is>
          <t>An issue in Key Systems Inc Global Facilities Management Software v.20230721a allows a remote attacker to escalate privileges via PIN component of the login functionality.</t>
        </is>
      </c>
      <c r="D748" t="n">
        <v>9.4</v>
      </c>
      <c r="E748" t="inlineStr">
        <is>
          <t>CRITICAL</t>
        </is>
      </c>
      <c r="F748" t="n">
        <v>2</v>
      </c>
      <c r="G748" t="n">
        <v>3</v>
      </c>
      <c r="H748" t="inlineStr">
        <is>
          <t>HIGH</t>
        </is>
      </c>
      <c r="I748" t="n">
        <v>15.4</v>
      </c>
      <c r="J748" t="inlineStr">
        <is>
          <t>NO</t>
        </is>
      </c>
      <c r="K748" t="inlineStr">
        <is>
          <t>2026-02-26 00:15</t>
        </is>
      </c>
      <c r="L748" t="inlineStr">
        <is>
          <t>CHECK_VENDOR</t>
        </is>
      </c>
      <c r="M748" t="inlineStr">
        <is>
          <t>See CVE details</t>
        </is>
      </c>
      <c r="N748" t="inlineStr">
        <is>
          <t>P3</t>
        </is>
      </c>
      <c r="O748" t="inlineStr">
        <is>
          <t>CVE - IP enrichment n/a</t>
        </is>
      </c>
      <c r="P748" t="n">
        <v>0</v>
      </c>
      <c r="Q748" t="n">
        <v>0</v>
      </c>
      <c r="R748" t="inlineStr">
        <is>
          <t>T1190:Exploit Public-Facing Application</t>
        </is>
      </c>
      <c r="S748" t="n">
        <v>1</v>
      </c>
      <c r="T748" t="inlineStr">
        <is>
          <t>LOW (40%)</t>
        </is>
      </c>
      <c r="U748" t="inlineStr">
        <is>
          <t>UNLIKELY</t>
        </is>
      </c>
      <c r="V748" t="inlineStr">
        <is>
          <t>CHECK_VENDOR</t>
        </is>
      </c>
      <c r="W748" t="inlineStr">
        <is>
          <t>https://nvd.nist.gov/vuln/detail/CVE-2026-26722</t>
        </is>
      </c>
      <c r="X748" t="inlineStr">
        <is>
          <t>NONE</t>
        </is>
      </c>
      <c r="Y748" t="n">
        <v>0</v>
      </c>
      <c r="Z748" t="inlineStr"/>
      <c r="AA748" t="inlineStr">
        <is>
          <t>https://nvd.nist.gov/vuln/detail/CVE-2026-26722</t>
        </is>
      </c>
    </row>
    <row r="749">
      <c r="A749" t="inlineStr">
        <is>
          <t>CVE</t>
        </is>
      </c>
      <c r="B749" t="inlineStr">
        <is>
          <t>CVE-2026-26723</t>
        </is>
      </c>
      <c r="C749" t="inlineStr">
        <is>
          <t>Cross Site Scripting vulnerability in Key Systems Inc Global Facilities Management Software v. 20230721a allows a remote attacker to execute arbitrary code via the function parameter.</t>
        </is>
      </c>
      <c r="D749" t="n">
        <v>8.199999999999999</v>
      </c>
      <c r="E749" t="inlineStr">
        <is>
          <t>HIGH</t>
        </is>
      </c>
      <c r="F749" t="n">
        <v>2</v>
      </c>
      <c r="G749" t="n">
        <v>3</v>
      </c>
      <c r="H749" t="inlineStr">
        <is>
          <t>HIGH</t>
        </is>
      </c>
      <c r="I749" t="n">
        <v>14.2</v>
      </c>
      <c r="J749" t="inlineStr">
        <is>
          <t>NO</t>
        </is>
      </c>
      <c r="K749" t="inlineStr">
        <is>
          <t>2026-02-26 00:15</t>
        </is>
      </c>
      <c r="L749" t="inlineStr">
        <is>
          <t>CHECK_VENDOR</t>
        </is>
      </c>
      <c r="M749" t="inlineStr">
        <is>
          <t>See CVE details</t>
        </is>
      </c>
      <c r="N749" t="inlineStr">
        <is>
          <t>P3</t>
        </is>
      </c>
      <c r="O749" t="inlineStr">
        <is>
          <t>CVE - IP enrichment n/a</t>
        </is>
      </c>
      <c r="P749" t="n">
        <v>0</v>
      </c>
      <c r="Q749" t="n">
        <v>0</v>
      </c>
      <c r="R749" t="inlineStr">
        <is>
          <t>T1189:Drive-by Compromise | T1203:Exploitation for Client Execution</t>
        </is>
      </c>
      <c r="S749" t="n">
        <v>1</v>
      </c>
      <c r="T749" t="inlineStr">
        <is>
          <t>LOW (40%)</t>
        </is>
      </c>
      <c r="U749" t="inlineStr">
        <is>
          <t>UNLIKELY</t>
        </is>
      </c>
      <c r="V749" t="inlineStr">
        <is>
          <t>CHECK_VENDOR</t>
        </is>
      </c>
      <c r="W749" t="inlineStr">
        <is>
          <t>https://nvd.nist.gov/vuln/detail/CVE-2026-26723</t>
        </is>
      </c>
      <c r="X749" t="inlineStr">
        <is>
          <t>NONE</t>
        </is>
      </c>
      <c r="Y749" t="n">
        <v>0</v>
      </c>
      <c r="Z749" t="inlineStr"/>
      <c r="AA749" t="inlineStr">
        <is>
          <t>https://nvd.nist.gov/vuln/detail/CVE-2026-26723</t>
        </is>
      </c>
    </row>
    <row r="750">
      <c r="A750" t="inlineStr">
        <is>
          <t>CVE</t>
        </is>
      </c>
      <c r="B750" t="inlineStr">
        <is>
          <t>CVE-2026-26724</t>
        </is>
      </c>
      <c r="C750" t="inlineStr">
        <is>
          <t>Cross Site Scripting vulnerability in Key Systems Inc Global Facilities Management Software v. 20230721a allows a remote attacker to execute arbitrary code via the selectgroup and gn parameters on the /?Function=Groups endpoint.</t>
        </is>
      </c>
      <c r="D750" t="n">
        <v>7.6</v>
      </c>
      <c r="E750" t="inlineStr">
        <is>
          <t>HIGH</t>
        </is>
      </c>
      <c r="F750" t="n">
        <v>2</v>
      </c>
      <c r="G750" t="n">
        <v>3</v>
      </c>
      <c r="H750" t="inlineStr">
        <is>
          <t>HIGH</t>
        </is>
      </c>
      <c r="I750" t="n">
        <v>13.6</v>
      </c>
      <c r="J750" t="inlineStr">
        <is>
          <t>NO</t>
        </is>
      </c>
      <c r="K750" t="inlineStr">
        <is>
          <t>2026-02-26 00:15</t>
        </is>
      </c>
      <c r="L750" t="inlineStr">
        <is>
          <t>CHECK_VENDOR</t>
        </is>
      </c>
      <c r="M750" t="inlineStr">
        <is>
          <t>See CVE details</t>
        </is>
      </c>
      <c r="N750" t="inlineStr">
        <is>
          <t>P3</t>
        </is>
      </c>
      <c r="O750" t="inlineStr">
        <is>
          <t>CVE - IP enrichment n/a</t>
        </is>
      </c>
      <c r="P750" t="n">
        <v>0</v>
      </c>
      <c r="Q750" t="n">
        <v>0</v>
      </c>
      <c r="R750" t="inlineStr">
        <is>
          <t>T1203:Exploitation for Client Execution</t>
        </is>
      </c>
      <c r="S750" t="n">
        <v>1</v>
      </c>
      <c r="T750" t="inlineStr">
        <is>
          <t>LOW (40%)</t>
        </is>
      </c>
      <c r="U750" t="inlineStr">
        <is>
          <t>UNLIKELY</t>
        </is>
      </c>
      <c r="V750" t="inlineStr">
        <is>
          <t>CHECK_VENDOR</t>
        </is>
      </c>
      <c r="W750" t="inlineStr">
        <is>
          <t>https://nvd.nist.gov/vuln/detail/CVE-2026-26724</t>
        </is>
      </c>
      <c r="X750" t="inlineStr">
        <is>
          <t>NONE</t>
        </is>
      </c>
      <c r="Y750" t="n">
        <v>0</v>
      </c>
      <c r="Z750" t="inlineStr"/>
      <c r="AA750" t="inlineStr">
        <is>
          <t>https://nvd.nist.gov/vuln/detail/CVE-2026-26724</t>
        </is>
      </c>
    </row>
    <row r="751">
      <c r="A751" t="inlineStr">
        <is>
          <t>CVE</t>
        </is>
      </c>
      <c r="B751" t="inlineStr">
        <is>
          <t>CVE-2026-26725</t>
        </is>
      </c>
      <c r="C751" t="inlineStr">
        <is>
          <t>An issue in edu Business Solutions Print Shop Pro WebDesk v.18.34 allows a remote attacker to escalate privileges via the AccessID parameter.</t>
        </is>
      </c>
      <c r="D751" t="n">
        <v>9.800000000000001</v>
      </c>
      <c r="E751" t="inlineStr">
        <is>
          <t>CRITICAL</t>
        </is>
      </c>
      <c r="F751" t="n">
        <v>2</v>
      </c>
      <c r="G751" t="n">
        <v>3</v>
      </c>
      <c r="H751" t="inlineStr">
        <is>
          <t>HIGH</t>
        </is>
      </c>
      <c r="I751" t="n">
        <v>15.8</v>
      </c>
      <c r="J751" t="inlineStr">
        <is>
          <t>NO</t>
        </is>
      </c>
      <c r="K751" t="inlineStr">
        <is>
          <t>2026-02-26 00:15</t>
        </is>
      </c>
      <c r="L751" t="inlineStr">
        <is>
          <t>CHECK_VENDOR</t>
        </is>
      </c>
      <c r="M751" t="inlineStr">
        <is>
          <t>See CVE details</t>
        </is>
      </c>
      <c r="N751" t="inlineStr">
        <is>
          <t>P3</t>
        </is>
      </c>
      <c r="O751" t="inlineStr">
        <is>
          <t>CVE - IP enrichment n/a</t>
        </is>
      </c>
      <c r="P751" t="n">
        <v>0.001</v>
      </c>
      <c r="Q751" t="n">
        <v>0.2793</v>
      </c>
      <c r="R751" t="inlineStr">
        <is>
          <t>T1190:Exploit Public-Facing Application</t>
        </is>
      </c>
      <c r="S751" t="n">
        <v>1</v>
      </c>
      <c r="T751" t="inlineStr">
        <is>
          <t>LOW (40%)</t>
        </is>
      </c>
      <c r="U751" t="inlineStr">
        <is>
          <t>UNLIKELY</t>
        </is>
      </c>
      <c r="V751" t="inlineStr">
        <is>
          <t>CHECK_VENDOR</t>
        </is>
      </c>
      <c r="W751" t="inlineStr">
        <is>
          <t>https://nvd.nist.gov/vuln/detail/CVE-2026-26725</t>
        </is>
      </c>
      <c r="X751" t="inlineStr">
        <is>
          <t>NONE</t>
        </is>
      </c>
      <c r="Y751" t="n">
        <v>0</v>
      </c>
      <c r="Z751" t="inlineStr"/>
      <c r="AA751" t="inlineStr">
        <is>
          <t>https://nvd.nist.gov/vuln/detail/CVE-2026-26725</t>
        </is>
      </c>
    </row>
    <row r="752">
      <c r="A752" t="inlineStr">
        <is>
          <t>CVE</t>
        </is>
      </c>
      <c r="B752" t="inlineStr">
        <is>
          <t>CVE-2026-26745</t>
        </is>
      </c>
      <c r="C752" t="inlineStr">
        <is>
          <t>OpenSourcePOS 3.4.1 has a second order SQL Injection vulnerability in the handling of the currency_symbol configuration field. Although the input is initially stored without immediate execution, it is later concatenated into a dynamically constructed SQL query without proper sanitization or parameter binding. This allows an attacker with access to modify the currency_symbol value to inject arbitrary SQL expressions, which are executed when the affected query is subsequently processed.</t>
        </is>
      </c>
      <c r="D752" t="n">
        <v>5.3</v>
      </c>
      <c r="E752" t="inlineStr">
        <is>
          <t>MEDIUM</t>
        </is>
      </c>
      <c r="F752" t="n">
        <v>2</v>
      </c>
      <c r="G752" t="n">
        <v>2</v>
      </c>
      <c r="H752" t="inlineStr">
        <is>
          <t>MEDIUM</t>
        </is>
      </c>
      <c r="I752" t="n">
        <v>9.300000000000001</v>
      </c>
      <c r="J752" t="inlineStr">
        <is>
          <t>NO</t>
        </is>
      </c>
      <c r="K752" t="inlineStr">
        <is>
          <t>2026-02-26 00:15</t>
        </is>
      </c>
      <c r="L752" t="inlineStr">
        <is>
          <t>YES</t>
        </is>
      </c>
      <c r="M752" t="inlineStr">
        <is>
          <t>opensourcepos open_source_point_of_sale 3.4.1</t>
        </is>
      </c>
      <c r="N752" t="inlineStr">
        <is>
          <t>P4</t>
        </is>
      </c>
      <c r="O752" t="inlineStr">
        <is>
          <t>CVE - IP enrichment n/a</t>
        </is>
      </c>
      <c r="P752" t="n">
        <v>0.0004</v>
      </c>
      <c r="Q752" t="n">
        <v>0.133</v>
      </c>
      <c r="R752" t="inlineStr">
        <is>
          <t>T1190:Exploit Public-Facing Application</t>
        </is>
      </c>
      <c r="S752" t="n">
        <v>1</v>
      </c>
      <c r="T752" t="inlineStr">
        <is>
          <t>LOW (40%)</t>
        </is>
      </c>
      <c r="U752" t="inlineStr">
        <is>
          <t>UNLIKELY</t>
        </is>
      </c>
      <c r="V752" t="inlineStr">
        <is>
          <t>PATCH_AVAILABLE</t>
        </is>
      </c>
      <c r="W752" t="inlineStr">
        <is>
          <t>https://nvd.nist.gov/vuln/detail/CVE-2026-26745</t>
        </is>
      </c>
      <c r="X752" t="inlineStr">
        <is>
          <t>NONE</t>
        </is>
      </c>
      <c r="Y752" t="n">
        <v>0</v>
      </c>
      <c r="Z752" t="inlineStr"/>
      <c r="AA752" t="inlineStr">
        <is>
          <t>https://nvd.nist.gov/vuln/detail/CVE-2026-26745</t>
        </is>
      </c>
    </row>
    <row r="753">
      <c r="A753" t="inlineStr">
        <is>
          <t>CVE</t>
        </is>
      </c>
      <c r="B753" t="inlineStr">
        <is>
          <t>CVE-2026-26746</t>
        </is>
      </c>
      <c r="C753" t="inlineStr">
        <is>
          <t>OpenSourcePOS 3.4.1 contains a Local File Inclusion (LFI) vulnerability in the Sales.php::getInvoice() function. An attacker can read arbitrary files on the web server by manipulating the Invoice Type configuration. This issue can be chained with the file upload functionality to achieve Remote Code Execution (RCE).</t>
        </is>
      </c>
      <c r="D753" t="n">
        <v>8.800000000000001</v>
      </c>
      <c r="E753" t="inlineStr">
        <is>
          <t>HIGH</t>
        </is>
      </c>
      <c r="F753" t="n">
        <v>2</v>
      </c>
      <c r="G753" t="n">
        <v>3</v>
      </c>
      <c r="H753" t="inlineStr">
        <is>
          <t>HIGH</t>
        </is>
      </c>
      <c r="I753" t="n">
        <v>14.8</v>
      </c>
      <c r="J753" t="inlineStr">
        <is>
          <t>NO</t>
        </is>
      </c>
      <c r="K753" t="inlineStr">
        <is>
          <t>2026-02-26 00:15</t>
        </is>
      </c>
      <c r="L753" t="inlineStr">
        <is>
          <t>YES</t>
        </is>
      </c>
      <c r="M753" t="inlineStr">
        <is>
          <t>opensourcepos open_source_point_of_sale 3.4.1</t>
        </is>
      </c>
      <c r="N753" t="inlineStr">
        <is>
          <t>P3</t>
        </is>
      </c>
      <c r="O753" t="inlineStr">
        <is>
          <t>CVE - IP enrichment n/a</t>
        </is>
      </c>
      <c r="P753" t="n">
        <v>0</v>
      </c>
      <c r="Q753" t="n">
        <v>0</v>
      </c>
      <c r="R753" t="inlineStr">
        <is>
          <t>T1190:Exploit Public-Facing Application | T1210:Exploitation of Remote Services</t>
        </is>
      </c>
      <c r="S753" t="n">
        <v>1</v>
      </c>
      <c r="T753" t="inlineStr">
        <is>
          <t>LOW (40%)</t>
        </is>
      </c>
      <c r="U753" t="inlineStr">
        <is>
          <t>UNLIKELY</t>
        </is>
      </c>
      <c r="V753" t="inlineStr">
        <is>
          <t>PATCH_AVAILABLE</t>
        </is>
      </c>
      <c r="W753" t="inlineStr">
        <is>
          <t>https://nvd.nist.gov/vuln/detail/CVE-2026-26746</t>
        </is>
      </c>
      <c r="X753" t="inlineStr">
        <is>
          <t>NONE</t>
        </is>
      </c>
      <c r="Y753" t="n">
        <v>0</v>
      </c>
      <c r="Z753" t="inlineStr"/>
      <c r="AA753" t="inlineStr">
        <is>
          <t>https://nvd.nist.gov/vuln/detail/CVE-2026-26746</t>
        </is>
      </c>
    </row>
    <row r="754">
      <c r="A754" t="inlineStr">
        <is>
          <t>CVE</t>
        </is>
      </c>
      <c r="B754" t="inlineStr">
        <is>
          <t>CVE-2026-26747</t>
        </is>
      </c>
      <c r="C754" t="inlineStr">
        <is>
          <t>A Host Header Poisoning vulnerability exists in Monica 4.1.2 due to improper handling of the HTTP Host header in app/Providers/AppServiceProvider.php, combined with the default misconfiguration where the "app.force_url" is not set and default is "false". The application generates absolute URLs (such as those used in password reset emails) using the user-supplied Host header. This allows remote attackers to poison the password reset link sent to a victim,</t>
        </is>
      </c>
      <c r="D754" t="n">
        <v>9.1</v>
      </c>
      <c r="E754" t="inlineStr">
        <is>
          <t>CRITICAL</t>
        </is>
      </c>
      <c r="F754" t="n">
        <v>2</v>
      </c>
      <c r="G754" t="n">
        <v>3</v>
      </c>
      <c r="H754" t="inlineStr">
        <is>
          <t>HIGH</t>
        </is>
      </c>
      <c r="I754" t="n">
        <v>15.1</v>
      </c>
      <c r="J754" t="inlineStr">
        <is>
          <t>NO</t>
        </is>
      </c>
      <c r="K754" t="inlineStr">
        <is>
          <t>2026-02-26 00:15</t>
        </is>
      </c>
      <c r="L754" t="inlineStr">
        <is>
          <t>CHECK_VENDOR</t>
        </is>
      </c>
      <c r="M754" t="inlineStr">
        <is>
          <t>See CVE details</t>
        </is>
      </c>
      <c r="N754" t="inlineStr">
        <is>
          <t>P3</t>
        </is>
      </c>
      <c r="O754" t="inlineStr">
        <is>
          <t>CVE - IP enrichment n/a</t>
        </is>
      </c>
      <c r="P754" t="n">
        <v>0</v>
      </c>
      <c r="Q754" t="n">
        <v>0</v>
      </c>
      <c r="R754" t="inlineStr">
        <is>
          <t>T1190:Exploit Public-Facing Application</t>
        </is>
      </c>
      <c r="S754" t="n">
        <v>1</v>
      </c>
      <c r="T754" t="inlineStr">
        <is>
          <t>LOW (40%)</t>
        </is>
      </c>
      <c r="U754" t="inlineStr">
        <is>
          <t>UNLIKELY</t>
        </is>
      </c>
      <c r="V754" t="inlineStr">
        <is>
          <t>CHECK_VENDOR</t>
        </is>
      </c>
      <c r="W754" t="inlineStr">
        <is>
          <t>https://nvd.nist.gov/vuln/detail/CVE-2026-26747</t>
        </is>
      </c>
      <c r="X754" t="inlineStr">
        <is>
          <t>NONE</t>
        </is>
      </c>
      <c r="Y754" t="n">
        <v>0</v>
      </c>
      <c r="Z754" t="inlineStr"/>
      <c r="AA754" t="inlineStr">
        <is>
          <t>https://nvd.nist.gov/vuln/detail/CVE-2026-26747</t>
        </is>
      </c>
    </row>
    <row r="755">
      <c r="A755" t="inlineStr">
        <is>
          <t>CVE</t>
        </is>
      </c>
      <c r="B755" t="inlineStr">
        <is>
          <t>CVE-2026-27502</t>
        </is>
      </c>
      <c r="C755" t="inlineStr">
        <is>
          <t>SVXportal version 2.5 and prior contain a reflected cross-site scripting vulnerability in log.php via the search query parameter. The application embeds the unsanitized parameter value directly into an HTML input value attribute, allowing an unauthenticated remote attacker to inject and execute arbitrary JavaScript in a victim's browser if the victim visits a crafted URL. This can be used to steal session data, perform actions as the victim, or modify displayed content.</t>
        </is>
      </c>
      <c r="D755" t="n">
        <v>6.1</v>
      </c>
      <c r="E755" t="inlineStr">
        <is>
          <t>MEDIUM</t>
        </is>
      </c>
      <c r="F755" t="n">
        <v>2</v>
      </c>
      <c r="G755" t="n">
        <v>2</v>
      </c>
      <c r="H755" t="inlineStr">
        <is>
          <t>MEDIUM</t>
        </is>
      </c>
      <c r="I755" t="n">
        <v>10.1</v>
      </c>
      <c r="J755" t="inlineStr">
        <is>
          <t>NO</t>
        </is>
      </c>
      <c r="K755" t="inlineStr">
        <is>
          <t>2026-02-26 00:15</t>
        </is>
      </c>
      <c r="L755" t="inlineStr">
        <is>
          <t>CHECK_VENDOR</t>
        </is>
      </c>
      <c r="M755" t="inlineStr">
        <is>
          <t>radioinorr svxportal *</t>
        </is>
      </c>
      <c r="N755" t="inlineStr">
        <is>
          <t>P4</t>
        </is>
      </c>
      <c r="O755" t="inlineStr">
        <is>
          <t>CVE - IP enrichment n/a</t>
        </is>
      </c>
      <c r="P755" t="n">
        <v>0.0004</v>
      </c>
      <c r="Q755" t="n">
        <v>0.1249</v>
      </c>
      <c r="R755" t="inlineStr">
        <is>
          <t>T1189:Drive-by Compromise</t>
        </is>
      </c>
      <c r="S755" t="n">
        <v>1</v>
      </c>
      <c r="T755" t="inlineStr">
        <is>
          <t>LOW (40%)</t>
        </is>
      </c>
      <c r="U755" t="inlineStr">
        <is>
          <t>UNLIKELY</t>
        </is>
      </c>
      <c r="V755" t="inlineStr">
        <is>
          <t>CHECK_VENDOR</t>
        </is>
      </c>
      <c r="W755" t="inlineStr">
        <is>
          <t>https://nvd.nist.gov/vuln/detail/CVE-2026-27502</t>
        </is>
      </c>
      <c r="X755" t="inlineStr">
        <is>
          <t>NONE</t>
        </is>
      </c>
      <c r="Y755" t="n">
        <v>0</v>
      </c>
      <c r="Z755" t="inlineStr"/>
      <c r="AA755" t="inlineStr">
        <is>
          <t>https://nvd.nist.gov/vuln/detail/CVE-2026-27502</t>
        </is>
      </c>
    </row>
    <row r="756">
      <c r="A756" t="inlineStr">
        <is>
          <t>CVE</t>
        </is>
      </c>
      <c r="B756" t="inlineStr">
        <is>
          <t>CVE-2026-27503</t>
        </is>
      </c>
      <c r="C756" t="inlineStr">
        <is>
          <t>SVXportal version 2.5 and prior contain a reflected cross-site scripting vulnerability in admin/log.php via the search query parameter. When an authenticated administrator views a crafted URL, the application embeds the unsanitized parameter value directly into an HTML input value attribute, allowing attacker-supplied JavaScript to execute in the administrator's browser. This can enable session theft, administrative action forgery, or other browser-based compromise in the context of an admin use</t>
        </is>
      </c>
      <c r="D756" t="n">
        <v>6.1</v>
      </c>
      <c r="E756" t="inlineStr">
        <is>
          <t>MEDIUM</t>
        </is>
      </c>
      <c r="F756" t="n">
        <v>2</v>
      </c>
      <c r="G756" t="n">
        <v>2</v>
      </c>
      <c r="H756" t="inlineStr">
        <is>
          <t>MEDIUM</t>
        </is>
      </c>
      <c r="I756" t="n">
        <v>10.1</v>
      </c>
      <c r="J756" t="inlineStr">
        <is>
          <t>NO</t>
        </is>
      </c>
      <c r="K756" t="inlineStr">
        <is>
          <t>2026-02-26 00:15</t>
        </is>
      </c>
      <c r="L756" t="inlineStr">
        <is>
          <t>CHECK_VENDOR</t>
        </is>
      </c>
      <c r="M756" t="inlineStr">
        <is>
          <t>radioinorr svxportal *</t>
        </is>
      </c>
      <c r="N756" t="inlineStr">
        <is>
          <t>P4</t>
        </is>
      </c>
      <c r="O756" t="inlineStr">
        <is>
          <t>CVE - IP enrichment n/a</t>
        </is>
      </c>
      <c r="P756" t="n">
        <v>0</v>
      </c>
      <c r="Q756" t="n">
        <v>0</v>
      </c>
      <c r="R756" t="inlineStr">
        <is>
          <t>T1189:Drive-by Compromise</t>
        </is>
      </c>
      <c r="S756" t="n">
        <v>1</v>
      </c>
      <c r="T756" t="inlineStr">
        <is>
          <t>LOW (40%)</t>
        </is>
      </c>
      <c r="U756" t="inlineStr">
        <is>
          <t>UNLIKELY</t>
        </is>
      </c>
      <c r="V756" t="inlineStr">
        <is>
          <t>CHECK_VENDOR</t>
        </is>
      </c>
      <c r="W756" t="inlineStr">
        <is>
          <t>https://nvd.nist.gov/vuln/detail/CVE-2026-27503</t>
        </is>
      </c>
      <c r="X756" t="inlineStr">
        <is>
          <t>NONE</t>
        </is>
      </c>
      <c r="Y756" t="n">
        <v>0</v>
      </c>
      <c r="Z756" t="inlineStr"/>
      <c r="AA756" t="inlineStr">
        <is>
          <t>https://nvd.nist.gov/vuln/detail/CVE-2026-27503</t>
        </is>
      </c>
    </row>
    <row r="757">
      <c r="A757" t="inlineStr">
        <is>
          <t>CVE</t>
        </is>
      </c>
      <c r="B757" t="inlineStr">
        <is>
          <t>CVE-2026-27504</t>
        </is>
      </c>
      <c r="C757" t="inlineStr">
        <is>
          <t>SVXportal version 2.5 and prior contain a reflected cross-site scripting vulnerability in radiomobile_front.php via the stationid query parameter. When an authenticated administrator views a crafted URL, the application embeds the unsanitized parameter value into a hidden input value field, allowing attacker-supplied script injection and execution in the administrator's browser. This can be used to compromise admin sessions or perform unauthorized actions via the administrator's authenticated co</t>
        </is>
      </c>
      <c r="D757" t="n">
        <v>6.1</v>
      </c>
      <c r="E757" t="inlineStr">
        <is>
          <t>MEDIUM</t>
        </is>
      </c>
      <c r="F757" t="n">
        <v>2</v>
      </c>
      <c r="G757" t="n">
        <v>2</v>
      </c>
      <c r="H757" t="inlineStr">
        <is>
          <t>MEDIUM</t>
        </is>
      </c>
      <c r="I757" t="n">
        <v>10.1</v>
      </c>
      <c r="J757" t="inlineStr">
        <is>
          <t>NO</t>
        </is>
      </c>
      <c r="K757" t="inlineStr">
        <is>
          <t>2026-02-26 00:15</t>
        </is>
      </c>
      <c r="L757" t="inlineStr">
        <is>
          <t>CHECK_VENDOR</t>
        </is>
      </c>
      <c r="M757" t="inlineStr">
        <is>
          <t>radioinorr svxportal *</t>
        </is>
      </c>
      <c r="N757" t="inlineStr">
        <is>
          <t>P4</t>
        </is>
      </c>
      <c r="O757" t="inlineStr">
        <is>
          <t>CVE - IP enrichment n/a</t>
        </is>
      </c>
      <c r="P757" t="n">
        <v>0</v>
      </c>
      <c r="Q757" t="n">
        <v>0</v>
      </c>
      <c r="R757" t="inlineStr">
        <is>
          <t>T1189:Drive-by Compromise</t>
        </is>
      </c>
      <c r="S757" t="n">
        <v>1</v>
      </c>
      <c r="T757" t="inlineStr">
        <is>
          <t>LOW (40%)</t>
        </is>
      </c>
      <c r="U757" t="inlineStr">
        <is>
          <t>UNLIKELY</t>
        </is>
      </c>
      <c r="V757" t="inlineStr">
        <is>
          <t>CHECK_VENDOR</t>
        </is>
      </c>
      <c r="W757" t="inlineStr">
        <is>
          <t>https://nvd.nist.gov/vuln/detail/CVE-2026-27504</t>
        </is>
      </c>
      <c r="X757" t="inlineStr">
        <is>
          <t>NONE</t>
        </is>
      </c>
      <c r="Y757" t="n">
        <v>0</v>
      </c>
      <c r="Z757" t="inlineStr"/>
      <c r="AA757" t="inlineStr">
        <is>
          <t>https://nvd.nist.gov/vuln/detail/CVE-2026-27504</t>
        </is>
      </c>
    </row>
    <row r="758">
      <c r="A758" t="inlineStr">
        <is>
          <t>CVE</t>
        </is>
      </c>
      <c r="B758" t="inlineStr">
        <is>
          <t>CVE-2026-27505</t>
        </is>
      </c>
      <c r="C758" t="inlineStr">
        <is>
          <t xml:space="preserve">SVXportal version 2.5 and prior contain a stored cross-site scripting vulnerability in the user registration workflow (index.php submitting to admin/user_action.php). User-supplied fields such as Firstname, lastname, and email are stored in the backend database without adequate output encoding and are later rendered in the administrator interface (admin/users.php), allowing an unauthenticated remote attacker to inject arbitrary JavaScript that executes in an administrator's browser upon viewing </t>
        </is>
      </c>
      <c r="D758" t="n">
        <v>6.1</v>
      </c>
      <c r="E758" t="inlineStr">
        <is>
          <t>MEDIUM</t>
        </is>
      </c>
      <c r="F758" t="n">
        <v>2</v>
      </c>
      <c r="G758" t="n">
        <v>2</v>
      </c>
      <c r="H758" t="inlineStr">
        <is>
          <t>MEDIUM</t>
        </is>
      </c>
      <c r="I758" t="n">
        <v>10.1</v>
      </c>
      <c r="J758" t="inlineStr">
        <is>
          <t>NO</t>
        </is>
      </c>
      <c r="K758" t="inlineStr">
        <is>
          <t>2026-02-26 00:15</t>
        </is>
      </c>
      <c r="L758" t="inlineStr">
        <is>
          <t>CHECK_VENDOR</t>
        </is>
      </c>
      <c r="M758" t="inlineStr">
        <is>
          <t>radioinorr svxportal *</t>
        </is>
      </c>
      <c r="N758" t="inlineStr">
        <is>
          <t>P4</t>
        </is>
      </c>
      <c r="O758" t="inlineStr">
        <is>
          <t>CVE - IP enrichment n/a</t>
        </is>
      </c>
      <c r="P758" t="n">
        <v>0</v>
      </c>
      <c r="Q758" t="n">
        <v>0</v>
      </c>
      <c r="R758" t="inlineStr">
        <is>
          <t>T1189:Drive-by Compromise</t>
        </is>
      </c>
      <c r="S758" t="n">
        <v>1</v>
      </c>
      <c r="T758" t="inlineStr">
        <is>
          <t>LOW (40%)</t>
        </is>
      </c>
      <c r="U758" t="inlineStr">
        <is>
          <t>UNLIKELY</t>
        </is>
      </c>
      <c r="V758" t="inlineStr">
        <is>
          <t>CHECK_VENDOR</t>
        </is>
      </c>
      <c r="W758" t="inlineStr">
        <is>
          <t>https://nvd.nist.gov/vuln/detail/CVE-2026-27505</t>
        </is>
      </c>
      <c r="X758" t="inlineStr">
        <is>
          <t>NONE</t>
        </is>
      </c>
      <c r="Y758" t="n">
        <v>0</v>
      </c>
      <c r="Z758" t="inlineStr"/>
      <c r="AA758" t="inlineStr">
        <is>
          <t>https://nvd.nist.gov/vuln/detail/CVE-2026-27505</t>
        </is>
      </c>
    </row>
    <row r="759">
      <c r="A759" t="inlineStr">
        <is>
          <t>CVE</t>
        </is>
      </c>
      <c r="B759" t="inlineStr">
        <is>
          <t>CVE-2026-27506</t>
        </is>
      </c>
      <c r="C759" t="inlineStr">
        <is>
          <t>SVXportal version 2.5 and prior contain a stored cross-site scripting vulnerability in the user profile update workflow (user_settings.php submitting to admin/update_user.php). Authenticated users can store malicious HTML/JavaScript in fields such as Firstname, lastname, email, and image_url, which are later rendered without adequate output encoding in the administrator interface (admin/users.php), resulting in JavaScript execution in an administrator's browser when the affected page is viewed.</t>
        </is>
      </c>
      <c r="D759" t="n">
        <v>6.1</v>
      </c>
      <c r="E759" t="inlineStr">
        <is>
          <t>MEDIUM</t>
        </is>
      </c>
      <c r="F759" t="n">
        <v>2</v>
      </c>
      <c r="G759" t="n">
        <v>2</v>
      </c>
      <c r="H759" t="inlineStr">
        <is>
          <t>MEDIUM</t>
        </is>
      </c>
      <c r="I759" t="n">
        <v>10.1</v>
      </c>
      <c r="J759" t="inlineStr">
        <is>
          <t>NO</t>
        </is>
      </c>
      <c r="K759" t="inlineStr">
        <is>
          <t>2026-02-26 00:15</t>
        </is>
      </c>
      <c r="L759" t="inlineStr">
        <is>
          <t>CHECK_VENDOR</t>
        </is>
      </c>
      <c r="M759" t="inlineStr">
        <is>
          <t>radioinorr svxportal *</t>
        </is>
      </c>
      <c r="N759" t="inlineStr">
        <is>
          <t>P4</t>
        </is>
      </c>
      <c r="O759" t="inlineStr">
        <is>
          <t>CVE - IP enrichment n/a</t>
        </is>
      </c>
      <c r="P759" t="n">
        <v>0</v>
      </c>
      <c r="Q759" t="n">
        <v>0</v>
      </c>
      <c r="R759" t="inlineStr">
        <is>
          <t>T1189:Drive-by Compromise</t>
        </is>
      </c>
      <c r="S759" t="n">
        <v>1</v>
      </c>
      <c r="T759" t="inlineStr">
        <is>
          <t>LOW (40%)</t>
        </is>
      </c>
      <c r="U759" t="inlineStr">
        <is>
          <t>UNLIKELY</t>
        </is>
      </c>
      <c r="V759" t="inlineStr">
        <is>
          <t>CHECK_VENDOR</t>
        </is>
      </c>
      <c r="W759" t="inlineStr">
        <is>
          <t>https://nvd.nist.gov/vuln/detail/CVE-2026-27506</t>
        </is>
      </c>
      <c r="X759" t="inlineStr">
        <is>
          <t>NONE</t>
        </is>
      </c>
      <c r="Y759" t="n">
        <v>0</v>
      </c>
      <c r="Z759" t="inlineStr"/>
      <c r="AA759" t="inlineStr">
        <is>
          <t>https://nvd.nist.gov/vuln/detail/CVE-2026-27506</t>
        </is>
      </c>
    </row>
    <row r="760">
      <c r="A760" t="inlineStr">
        <is>
          <t>CVE</t>
        </is>
      </c>
      <c r="B760" t="inlineStr">
        <is>
          <t>CVE-2026-2333</t>
        </is>
      </c>
      <c r="C760" t="inlineStr">
        <is>
          <t>Improper Neutralization of Special Elements used in a Command ('Command Injection') in Owl opds 2.2.0.4 allows Command Injection via a crafted network request.</t>
        </is>
      </c>
      <c r="D760" t="n">
        <v>9.800000000000001</v>
      </c>
      <c r="E760" t="inlineStr">
        <is>
          <t>CRITICAL</t>
        </is>
      </c>
      <c r="F760" t="n">
        <v>2</v>
      </c>
      <c r="G760" t="n">
        <v>3</v>
      </c>
      <c r="H760" t="inlineStr">
        <is>
          <t>HIGH</t>
        </is>
      </c>
      <c r="I760" t="n">
        <v>15.8</v>
      </c>
      <c r="J760" t="inlineStr">
        <is>
          <t>NO</t>
        </is>
      </c>
      <c r="K760" t="inlineStr">
        <is>
          <t>2026-02-26 00:15</t>
        </is>
      </c>
      <c r="L760" t="inlineStr">
        <is>
          <t>CHECK_VENDOR</t>
        </is>
      </c>
      <c r="M760" t="inlineStr">
        <is>
          <t>owlcyberdefense opds-100 - | owlcyberdefense opds-1000 - | owlcyberdefense opds-talon 2.2.0.4</t>
        </is>
      </c>
      <c r="N760" t="inlineStr">
        <is>
          <t>P3</t>
        </is>
      </c>
      <c r="O760" t="inlineStr">
        <is>
          <t>CVE - IP enrichment n/a</t>
        </is>
      </c>
      <c r="P760" t="n">
        <v>0</v>
      </c>
      <c r="Q760" t="n">
        <v>0</v>
      </c>
      <c r="R760" t="inlineStr">
        <is>
          <t>T1059:Command and Scripting Interpreter</t>
        </is>
      </c>
      <c r="S760" t="n">
        <v>1</v>
      </c>
      <c r="T760" t="inlineStr">
        <is>
          <t>LOW (40%)</t>
        </is>
      </c>
      <c r="U760" t="inlineStr">
        <is>
          <t>UNLIKELY</t>
        </is>
      </c>
      <c r="V760" t="inlineStr">
        <is>
          <t>CHECK_VENDOR</t>
        </is>
      </c>
      <c r="W760" t="inlineStr">
        <is>
          <t>https://nvd.nist.gov/vuln/detail/CVE-2026-2333</t>
        </is>
      </c>
      <c r="X760" t="inlineStr">
        <is>
          <t>NONE</t>
        </is>
      </c>
      <c r="Y760" t="n">
        <v>0</v>
      </c>
      <c r="Z760" t="inlineStr"/>
      <c r="AA760" t="inlineStr">
        <is>
          <t>https://nvd.nist.gov/vuln/detail/CVE-2026-2333</t>
        </is>
      </c>
    </row>
    <row r="761">
      <c r="A761" t="inlineStr">
        <is>
          <t>CVE</t>
        </is>
      </c>
      <c r="B761" t="inlineStr">
        <is>
          <t>CVE-2026-2818</t>
        </is>
      </c>
      <c r="C761" t="inlineStr">
        <is>
          <t>A zip-slip path traversal vulnerability in Spring Data Geode's import snapshot functionality allows attackers to write files outside the intended extraction directory. This vulnerability appears to be susceptible on Windows OS only.</t>
        </is>
      </c>
      <c r="D761" t="n">
        <v>8.199999999999999</v>
      </c>
      <c r="E761" t="inlineStr">
        <is>
          <t>HIGH</t>
        </is>
      </c>
      <c r="F761" t="n">
        <v>2</v>
      </c>
      <c r="G761" t="n">
        <v>3</v>
      </c>
      <c r="H761" t="inlineStr">
        <is>
          <t>HIGH</t>
        </is>
      </c>
      <c r="I761" t="n">
        <v>14.2</v>
      </c>
      <c r="J761" t="inlineStr">
        <is>
          <t>NO</t>
        </is>
      </c>
      <c r="K761" t="inlineStr">
        <is>
          <t>2026-02-26 00:15</t>
        </is>
      </c>
      <c r="L761" t="inlineStr">
        <is>
          <t>CHECK_VENDOR</t>
        </is>
      </c>
      <c r="M761" t="inlineStr">
        <is>
          <t>See CVE details</t>
        </is>
      </c>
      <c r="N761" t="inlineStr">
        <is>
          <t>P3</t>
        </is>
      </c>
      <c r="O761" t="inlineStr">
        <is>
          <t>CVE - IP enrichment n/a</t>
        </is>
      </c>
      <c r="P761" t="n">
        <v>0</v>
      </c>
      <c r="Q761" t="n">
        <v>0</v>
      </c>
      <c r="R761" t="inlineStr">
        <is>
          <t>T1083:File and Directory Discovery</t>
        </is>
      </c>
      <c r="S761" t="n">
        <v>1</v>
      </c>
      <c r="T761" t="inlineStr">
        <is>
          <t>LOW (40%)</t>
        </is>
      </c>
      <c r="U761" t="inlineStr">
        <is>
          <t>UNLIKELY</t>
        </is>
      </c>
      <c r="V761" t="inlineStr">
        <is>
          <t>CHECK_VENDOR</t>
        </is>
      </c>
      <c r="W761" t="inlineStr">
        <is>
          <t>https://nvd.nist.gov/vuln/detail/CVE-2026-2818</t>
        </is>
      </c>
      <c r="X761" t="inlineStr">
        <is>
          <t>NONE</t>
        </is>
      </c>
      <c r="Y761" t="n">
        <v>0</v>
      </c>
      <c r="Z761" t="inlineStr"/>
      <c r="AA761" t="inlineStr">
        <is>
          <t>https://nvd.nist.gov/vuln/detail/CVE-2026-2818</t>
        </is>
      </c>
    </row>
    <row r="762">
      <c r="A762" t="inlineStr">
        <is>
          <t>CVE</t>
        </is>
      </c>
      <c r="B762" t="inlineStr">
        <is>
          <t>CVE-2026-2848</t>
        </is>
      </c>
      <c r="C762" t="inlineStr">
        <is>
          <t>A flaw has been found in SourceCodester Simple Responsive Tourism Website 1.0. Affected by this vulnerability is an unknown functionality of the file /classes/Master.php?f=register of the component Registration. This manipulation of the argument Username causes sql injection. The attack may be initiated remotely. The exploit has been published and may be used.</t>
        </is>
      </c>
      <c r="D762" t="n">
        <v>7.3</v>
      </c>
      <c r="E762" t="inlineStr">
        <is>
          <t>HIGH</t>
        </is>
      </c>
      <c r="F762" t="n">
        <v>2</v>
      </c>
      <c r="G762" t="n">
        <v>3</v>
      </c>
      <c r="H762" t="inlineStr">
        <is>
          <t>HIGH</t>
        </is>
      </c>
      <c r="I762" t="n">
        <v>13.3</v>
      </c>
      <c r="J762" t="inlineStr">
        <is>
          <t>NO</t>
        </is>
      </c>
      <c r="K762" t="inlineStr">
        <is>
          <t>2026-02-26 00:15</t>
        </is>
      </c>
      <c r="L762" t="inlineStr">
        <is>
          <t>CHECK_VENDOR</t>
        </is>
      </c>
      <c r="M762" t="inlineStr">
        <is>
          <t>oretnom23 simple_responsive_tourism_website 1.0</t>
        </is>
      </c>
      <c r="N762" t="inlineStr">
        <is>
          <t>P3</t>
        </is>
      </c>
      <c r="O762" t="inlineStr">
        <is>
          <t>CVE - IP enrichment n/a</t>
        </is>
      </c>
      <c r="P762" t="n">
        <v>0.0003</v>
      </c>
      <c r="Q762" t="n">
        <v>0.07199999999999999</v>
      </c>
      <c r="R762" t="inlineStr">
        <is>
          <t>T1190:Exploit Public-Facing Application</t>
        </is>
      </c>
      <c r="S762" t="n">
        <v>1</v>
      </c>
      <c r="T762" t="inlineStr">
        <is>
          <t>LOW (40%)</t>
        </is>
      </c>
      <c r="U762" t="inlineStr">
        <is>
          <t>UNLIKELY</t>
        </is>
      </c>
      <c r="V762" t="inlineStr">
        <is>
          <t>CHECK_VENDOR</t>
        </is>
      </c>
      <c r="W762" t="inlineStr">
        <is>
          <t>https://nvd.nist.gov/vuln/detail/CVE-2026-2848</t>
        </is>
      </c>
      <c r="X762" t="inlineStr">
        <is>
          <t>NONE</t>
        </is>
      </c>
      <c r="Y762" t="n">
        <v>0</v>
      </c>
      <c r="Z762" t="inlineStr"/>
      <c r="AA762" t="inlineStr">
        <is>
          <t>https://nvd.nist.gov/vuln/detail/CVE-2026-2848</t>
        </is>
      </c>
    </row>
    <row r="763">
      <c r="A763" t="inlineStr">
        <is>
          <t>CVE</t>
        </is>
      </c>
      <c r="B763" t="inlineStr">
        <is>
          <t>CVE-2026-2849</t>
        </is>
      </c>
      <c r="C763" t="inlineStr">
        <is>
          <t>A vulnerability has been found in yeqifu warehouse up to aaf29962ba407d22d991781de28796ee7b4670e4. Affected by this issue is the function deleteCache/removeAllCache/syncCache of the file dataset\repos\warehouse\src\main\java\com\yeqifu\sys\controller\CacheController.java of the component Cache Sync Handler. Such manipulation leads to improper access controls. The attack may be launched remotely. The exploit has been disclosed to the public and may be used. This product operates on a rolling rele</t>
        </is>
      </c>
      <c r="D763" t="n">
        <v>5.4</v>
      </c>
      <c r="E763" t="inlineStr">
        <is>
          <t>MEDIUM</t>
        </is>
      </c>
      <c r="F763" t="n">
        <v>2</v>
      </c>
      <c r="G763" t="n">
        <v>2</v>
      </c>
      <c r="H763" t="inlineStr">
        <is>
          <t>MEDIUM</t>
        </is>
      </c>
      <c r="I763" t="n">
        <v>9.4</v>
      </c>
      <c r="J763" t="inlineStr">
        <is>
          <t>NO</t>
        </is>
      </c>
      <c r="K763" t="inlineStr">
        <is>
          <t>2026-02-26 00:15</t>
        </is>
      </c>
      <c r="L763" t="inlineStr">
        <is>
          <t>CHECK_VENDOR</t>
        </is>
      </c>
      <c r="M763" t="inlineStr">
        <is>
          <t>See CVE details</t>
        </is>
      </c>
      <c r="N763" t="inlineStr">
        <is>
          <t>P4</t>
        </is>
      </c>
      <c r="O763" t="inlineStr">
        <is>
          <t>CVE - IP enrichment n/a</t>
        </is>
      </c>
      <c r="P763" t="n">
        <v>0</v>
      </c>
      <c r="Q763" t="n">
        <v>0</v>
      </c>
      <c r="R763" t="inlineStr">
        <is>
          <t>T1190:Exploit Public-Facing Application</t>
        </is>
      </c>
      <c r="S763" t="n">
        <v>1</v>
      </c>
      <c r="T763" t="inlineStr">
        <is>
          <t>LOW (40%)</t>
        </is>
      </c>
      <c r="U763" t="inlineStr">
        <is>
          <t>UNLIKELY</t>
        </is>
      </c>
      <c r="V763" t="inlineStr">
        <is>
          <t>CHECK_VENDOR</t>
        </is>
      </c>
      <c r="W763" t="inlineStr">
        <is>
          <t>https://nvd.nist.gov/vuln/detail/CVE-2026-2849</t>
        </is>
      </c>
      <c r="X763" t="inlineStr">
        <is>
          <t>NONE</t>
        </is>
      </c>
      <c r="Y763" t="n">
        <v>0</v>
      </c>
      <c r="Z763" t="inlineStr"/>
      <c r="AA763" t="inlineStr">
        <is>
          <t>https://nvd.nist.gov/vuln/detail/CVE-2026-2849</t>
        </is>
      </c>
    </row>
    <row r="764">
      <c r="A764" t="inlineStr">
        <is>
          <t>CVE</t>
        </is>
      </c>
      <c r="B764" t="inlineStr">
        <is>
          <t>CVE-2026-24891</t>
        </is>
      </c>
      <c r="C764" t="inlineStr">
        <is>
          <t>openITCOCKPIT is an open source monitoring tool built for different monitoring engines like Nagios, Naemon and Prometheus. Versions 5.3.1 and below contain an unsafe deserialization sink in the Gearman worker implementation. The worker function registered as oitc_gearman calls PHP's unserialize() on job payloads without enforcing class restrictions or validating data origin. While the intended deployment assumes only trusted internal components enqueue Gearman jobs, this trust boundary is not en</t>
        </is>
      </c>
      <c r="D764" t="n">
        <v>7.5</v>
      </c>
      <c r="E764" t="inlineStr">
        <is>
          <t>HIGH</t>
        </is>
      </c>
      <c r="F764" t="n">
        <v>2</v>
      </c>
      <c r="G764" t="n">
        <v>3</v>
      </c>
      <c r="H764" t="inlineStr">
        <is>
          <t>HIGH</t>
        </is>
      </c>
      <c r="I764" t="n">
        <v>13.5</v>
      </c>
      <c r="J764" t="inlineStr">
        <is>
          <t>NO</t>
        </is>
      </c>
      <c r="K764" t="inlineStr">
        <is>
          <t>2026-02-26 00:15</t>
        </is>
      </c>
      <c r="L764" t="inlineStr">
        <is>
          <t>YES</t>
        </is>
      </c>
      <c r="M764" t="inlineStr">
        <is>
          <t>it-novum openitcockpit *</t>
        </is>
      </c>
      <c r="N764" t="inlineStr">
        <is>
          <t>P3</t>
        </is>
      </c>
      <c r="O764" t="inlineStr">
        <is>
          <t>CVE - IP enrichment n/a</t>
        </is>
      </c>
      <c r="P764" t="n">
        <v>0</v>
      </c>
      <c r="Q764" t="n">
        <v>0</v>
      </c>
      <c r="R764" t="inlineStr">
        <is>
          <t>T1059:Command and Scripting Interpreter | T1190:Exploit Public-Facing Application</t>
        </is>
      </c>
      <c r="S764" t="n">
        <v>1</v>
      </c>
      <c r="T764" t="inlineStr">
        <is>
          <t>LOW (40%)</t>
        </is>
      </c>
      <c r="U764" t="inlineStr">
        <is>
          <t>UNLIKELY</t>
        </is>
      </c>
      <c r="V764" t="inlineStr">
        <is>
          <t>PATCH_AVAILABLE</t>
        </is>
      </c>
      <c r="W764" t="inlineStr">
        <is>
          <t>https://nvd.nist.gov/vuln/detail/CVE-2026-24891</t>
        </is>
      </c>
      <c r="X764" t="inlineStr">
        <is>
          <t>NONE</t>
        </is>
      </c>
      <c r="Y764" t="n">
        <v>0</v>
      </c>
      <c r="Z764" t="inlineStr"/>
      <c r="AA764" t="inlineStr">
        <is>
          <t>https://nvd.nist.gov/vuln/detail/CVE-2026-24891</t>
        </is>
      </c>
    </row>
    <row r="765">
      <c r="A765" t="inlineStr">
        <is>
          <t>CVE</t>
        </is>
      </c>
      <c r="B765" t="inlineStr">
        <is>
          <t>CVE-2026-27115</t>
        </is>
      </c>
      <c r="C765" t="inlineStr">
        <is>
          <t>ADB Explorer is a fluent UI for ADB on Windows. Versions 0.9.26020 and below have an unvalidated command-line argument that allows any user to trigger recursive deletion of arbitrary directories on the Windows filesystem. ADB Explorer accepts an optional path argument to set a custom data directory, but only check whether the path exists. The ClearDrag() method calls Directory.Delete(dir, true) on every subdirectory of that path at both application startup and exit. An attacker can craft a malic</t>
        </is>
      </c>
      <c r="D765" t="n">
        <v>7.1</v>
      </c>
      <c r="E765" t="inlineStr">
        <is>
          <t>HIGH</t>
        </is>
      </c>
      <c r="F765" t="n">
        <v>2</v>
      </c>
      <c r="G765" t="n">
        <v>3</v>
      </c>
      <c r="H765" t="inlineStr">
        <is>
          <t>HIGH</t>
        </is>
      </c>
      <c r="I765" t="n">
        <v>13.1</v>
      </c>
      <c r="J765" t="inlineStr">
        <is>
          <t>NO</t>
        </is>
      </c>
      <c r="K765" t="inlineStr">
        <is>
          <t>2026-02-26 00:15</t>
        </is>
      </c>
      <c r="L765" t="inlineStr">
        <is>
          <t>CHECK_VENDOR</t>
        </is>
      </c>
      <c r="M765" t="inlineStr">
        <is>
          <t>See CVE details</t>
        </is>
      </c>
      <c r="N765" t="inlineStr">
        <is>
          <t>P3</t>
        </is>
      </c>
      <c r="O765" t="inlineStr">
        <is>
          <t>CVE - IP enrichment n/a</t>
        </is>
      </c>
      <c r="P765" t="n">
        <v>0</v>
      </c>
      <c r="Q765" t="n">
        <v>0</v>
      </c>
      <c r="R765" t="inlineStr">
        <is>
          <t>T1083:File and Directory Discovery</t>
        </is>
      </c>
      <c r="S765" t="n">
        <v>1</v>
      </c>
      <c r="T765" t="inlineStr">
        <is>
          <t>LOW (40%)</t>
        </is>
      </c>
      <c r="U765" t="inlineStr">
        <is>
          <t>UNLIKELY</t>
        </is>
      </c>
      <c r="V765" t="inlineStr">
        <is>
          <t>CHECK_VENDOR</t>
        </is>
      </c>
      <c r="W765" t="inlineStr">
        <is>
          <t>https://nvd.nist.gov/vuln/detail/CVE-2026-27115</t>
        </is>
      </c>
      <c r="X765" t="inlineStr">
        <is>
          <t>NONE</t>
        </is>
      </c>
      <c r="Y765" t="n">
        <v>0</v>
      </c>
      <c r="Z765" t="inlineStr"/>
      <c r="AA765" t="inlineStr">
        <is>
          <t>https://nvd.nist.gov/vuln/detail/CVE-2026-27115</t>
        </is>
      </c>
    </row>
    <row r="766">
      <c r="A766" t="inlineStr">
        <is>
          <t>CVE</t>
        </is>
      </c>
      <c r="B766" t="inlineStr">
        <is>
          <t>CVE-2026-2832</t>
        </is>
      </c>
      <c r="C766" t="inlineStr">
        <is>
          <t>Certain Samsung MultiXpress Multifunction Printers may be vulnerable to information disclosure, potentially exposing address book entries and other device configuration information through specific APIs without proper authorization.</t>
        </is>
      </c>
      <c r="D766" t="n">
        <v>5</v>
      </c>
      <c r="E766" t="inlineStr">
        <is>
          <t>MEDIUM</t>
        </is>
      </c>
      <c r="F766" t="n">
        <v>2</v>
      </c>
      <c r="G766" t="n">
        <v>2</v>
      </c>
      <c r="H766" t="inlineStr">
        <is>
          <t>MEDIUM</t>
        </is>
      </c>
      <c r="I766" t="n">
        <v>9</v>
      </c>
      <c r="J766" t="inlineStr">
        <is>
          <t>NO</t>
        </is>
      </c>
      <c r="K766" t="inlineStr">
        <is>
          <t>2026-02-26 00:15</t>
        </is>
      </c>
      <c r="L766" t="inlineStr">
        <is>
          <t>CHECK_VENDOR</t>
        </is>
      </c>
      <c r="M766" t="inlineStr">
        <is>
          <t>See CVE details</t>
        </is>
      </c>
      <c r="N766" t="inlineStr">
        <is>
          <t>P4</t>
        </is>
      </c>
      <c r="O766" t="inlineStr">
        <is>
          <t>CVE - IP enrichment n/a</t>
        </is>
      </c>
      <c r="P766" t="n">
        <v>0</v>
      </c>
      <c r="Q766" t="n">
        <v>0</v>
      </c>
      <c r="R766" t="inlineStr">
        <is>
          <t>T1213:Data from Information Repositories</t>
        </is>
      </c>
      <c r="S766" t="n">
        <v>1</v>
      </c>
      <c r="T766" t="inlineStr">
        <is>
          <t>LOW (40%)</t>
        </is>
      </c>
      <c r="U766" t="inlineStr">
        <is>
          <t>UNLIKELY</t>
        </is>
      </c>
      <c r="V766" t="inlineStr">
        <is>
          <t>CHECK_VENDOR</t>
        </is>
      </c>
      <c r="W766" t="inlineStr">
        <is>
          <t>https://nvd.nist.gov/vuln/detail/CVE-2026-2832</t>
        </is>
      </c>
      <c r="X766" t="inlineStr">
        <is>
          <t>NONE</t>
        </is>
      </c>
      <c r="Y766" t="n">
        <v>0</v>
      </c>
      <c r="Z766" t="inlineStr"/>
      <c r="AA766" t="inlineStr">
        <is>
          <t>https://nvd.nist.gov/vuln/detail/CVE-2026-2832</t>
        </is>
      </c>
    </row>
    <row r="767">
      <c r="A767" t="inlineStr">
        <is>
          <t>CVE</t>
        </is>
      </c>
      <c r="B767" t="inlineStr">
        <is>
          <t>CVE-2026-2850</t>
        </is>
      </c>
      <c r="C767" t="inlineStr">
        <is>
          <t>A vulnerability was found in yeqifu warehouse up to aaf29962ba407d22d991781de28796ee7b4670e4. This affects the function addCustomer/updateCustomer/deleteCustomer of the file dataset\repos\warehouse\src\main\java\com\yeqifu\bus\controller\CustomerController.java of the component Customer Endpoint. Performing a manipulation results in improper access controls. Remote exploitation of the attack is possible. The exploit has been made public and could be used. This product follows a rolling release a</t>
        </is>
      </c>
      <c r="D767" t="n">
        <v>6.3</v>
      </c>
      <c r="E767" t="inlineStr">
        <is>
          <t>MEDIUM</t>
        </is>
      </c>
      <c r="F767" t="n">
        <v>2</v>
      </c>
      <c r="G767" t="n">
        <v>2</v>
      </c>
      <c r="H767" t="inlineStr">
        <is>
          <t>MEDIUM</t>
        </is>
      </c>
      <c r="I767" t="n">
        <v>10.3</v>
      </c>
      <c r="J767" t="inlineStr">
        <is>
          <t>NO</t>
        </is>
      </c>
      <c r="K767" t="inlineStr">
        <is>
          <t>2026-02-26 00:15</t>
        </is>
      </c>
      <c r="L767" t="inlineStr">
        <is>
          <t>CHECK_VENDOR</t>
        </is>
      </c>
      <c r="M767" t="inlineStr">
        <is>
          <t>See CVE details</t>
        </is>
      </c>
      <c r="N767" t="inlineStr">
        <is>
          <t>P4</t>
        </is>
      </c>
      <c r="O767" t="inlineStr">
        <is>
          <t>CVE - IP enrichment n/a</t>
        </is>
      </c>
      <c r="P767" t="n">
        <v>0</v>
      </c>
      <c r="Q767" t="n">
        <v>0</v>
      </c>
      <c r="R767" t="inlineStr">
        <is>
          <t>T1190:Exploit Public-Facing Application</t>
        </is>
      </c>
      <c r="S767" t="n">
        <v>1</v>
      </c>
      <c r="T767" t="inlineStr">
        <is>
          <t>LOW (40%)</t>
        </is>
      </c>
      <c r="U767" t="inlineStr">
        <is>
          <t>UNLIKELY</t>
        </is>
      </c>
      <c r="V767" t="inlineStr">
        <is>
          <t>CHECK_VENDOR</t>
        </is>
      </c>
      <c r="W767" t="inlineStr">
        <is>
          <t>https://nvd.nist.gov/vuln/detail/CVE-2026-2850</t>
        </is>
      </c>
      <c r="X767" t="inlineStr">
        <is>
          <t>NONE</t>
        </is>
      </c>
      <c r="Y767" t="n">
        <v>0</v>
      </c>
      <c r="Z767" t="inlineStr"/>
      <c r="AA767" t="inlineStr">
        <is>
          <t>https://nvd.nist.gov/vuln/detail/CVE-2026-2850</t>
        </is>
      </c>
    </row>
    <row r="768">
      <c r="A768" t="inlineStr">
        <is>
          <t>CVE</t>
        </is>
      </c>
      <c r="B768" t="inlineStr">
        <is>
          <t>CVE-2026-2851</t>
        </is>
      </c>
      <c r="C768" t="inlineStr">
        <is>
          <t>A vulnerability was determined in yeqifu warehouse up to aaf29962ba407d22d991781de28796ee7b4670e4. This vulnerability affects the function addInport/updateInport/deleteInport of the file dataset\repos\warehouse\src\main\java\com\yeqifu\bus\controller\InportController.java of the component Inport Endpoint. Executing a manipulation can lead to improper access controls. The attack can be executed remotely. The exploit has been publicly disclosed and may be utilized. This product implements a rollin</t>
        </is>
      </c>
      <c r="D768" t="n">
        <v>6.3</v>
      </c>
      <c r="E768" t="inlineStr">
        <is>
          <t>MEDIUM</t>
        </is>
      </c>
      <c r="F768" t="n">
        <v>2</v>
      </c>
      <c r="G768" t="n">
        <v>2</v>
      </c>
      <c r="H768" t="inlineStr">
        <is>
          <t>MEDIUM</t>
        </is>
      </c>
      <c r="I768" t="n">
        <v>10.3</v>
      </c>
      <c r="J768" t="inlineStr">
        <is>
          <t>NO</t>
        </is>
      </c>
      <c r="K768" t="inlineStr">
        <is>
          <t>2026-02-26 00:15</t>
        </is>
      </c>
      <c r="L768" t="inlineStr">
        <is>
          <t>CHECK_VENDOR</t>
        </is>
      </c>
      <c r="M768" t="inlineStr">
        <is>
          <t>See CVE details</t>
        </is>
      </c>
      <c r="N768" t="inlineStr">
        <is>
          <t>P4</t>
        </is>
      </c>
      <c r="O768" t="inlineStr">
        <is>
          <t>CVE - IP enrichment n/a</t>
        </is>
      </c>
      <c r="P768" t="n">
        <v>0</v>
      </c>
      <c r="Q768" t="n">
        <v>0</v>
      </c>
      <c r="R768" t="inlineStr">
        <is>
          <t>T1190:Exploit Public-Facing Application</t>
        </is>
      </c>
      <c r="S768" t="n">
        <v>1</v>
      </c>
      <c r="T768" t="inlineStr">
        <is>
          <t>LOW (40%)</t>
        </is>
      </c>
      <c r="U768" t="inlineStr">
        <is>
          <t>UNLIKELY</t>
        </is>
      </c>
      <c r="V768" t="inlineStr">
        <is>
          <t>CHECK_VENDOR</t>
        </is>
      </c>
      <c r="W768" t="inlineStr">
        <is>
          <t>https://nvd.nist.gov/vuln/detail/CVE-2026-2851</t>
        </is>
      </c>
      <c r="X768" t="inlineStr">
        <is>
          <t>NONE</t>
        </is>
      </c>
      <c r="Y768" t="n">
        <v>0</v>
      </c>
      <c r="Z768" t="inlineStr"/>
      <c r="AA768" t="inlineStr">
        <is>
          <t>https://nvd.nist.gov/vuln/detail/CVE-2026-2851</t>
        </is>
      </c>
    </row>
    <row r="769">
      <c r="A769" t="inlineStr">
        <is>
          <t>CVE</t>
        </is>
      </c>
      <c r="B769" t="inlineStr">
        <is>
          <t>CVE-2019-25444</t>
        </is>
      </c>
      <c r="C769" t="inlineStr">
        <is>
          <t>Fiverr Clone Script 1.2.2 contains an SQL injection vulnerability that allows unauthenticated attackers to manipulate database queries by injecting SQL code through the page parameter. Attackers can supply malicious SQL syntax in the page parameter to extract sensitive database information or modify database contents.</t>
        </is>
      </c>
      <c r="D769" t="n">
        <v>8.199999999999999</v>
      </c>
      <c r="E769" t="inlineStr">
        <is>
          <t>HIGH</t>
        </is>
      </c>
      <c r="F769" t="n">
        <v>2</v>
      </c>
      <c r="G769" t="n">
        <v>3</v>
      </c>
      <c r="H769" t="inlineStr">
        <is>
          <t>HIGH</t>
        </is>
      </c>
      <c r="I769" t="n">
        <v>14.2</v>
      </c>
      <c r="J769" t="inlineStr">
        <is>
          <t>NO</t>
        </is>
      </c>
      <c r="K769" t="inlineStr">
        <is>
          <t>2026-02-26 00:15</t>
        </is>
      </c>
      <c r="L769" t="inlineStr">
        <is>
          <t>CHECK_VENDOR</t>
        </is>
      </c>
      <c r="M769" t="inlineStr">
        <is>
          <t>See CVE details</t>
        </is>
      </c>
      <c r="N769" t="inlineStr">
        <is>
          <t>P3</t>
        </is>
      </c>
      <c r="O769" t="inlineStr">
        <is>
          <t>CVE - IP enrichment n/a</t>
        </is>
      </c>
      <c r="P769" t="n">
        <v>0</v>
      </c>
      <c r="Q769" t="n">
        <v>0</v>
      </c>
      <c r="R769" t="inlineStr">
        <is>
          <t>T1190:Exploit Public-Facing Application</t>
        </is>
      </c>
      <c r="S769" t="n">
        <v>1</v>
      </c>
      <c r="T769" t="inlineStr">
        <is>
          <t>LOW (40%)</t>
        </is>
      </c>
      <c r="U769" t="inlineStr">
        <is>
          <t>UNLIKELY</t>
        </is>
      </c>
      <c r="V769" t="inlineStr">
        <is>
          <t>CHECK_VENDOR</t>
        </is>
      </c>
      <c r="W769" t="inlineStr">
        <is>
          <t>https://nvd.nist.gov/vuln/detail/CVE-2019-25444</t>
        </is>
      </c>
      <c r="X769" t="inlineStr">
        <is>
          <t>NONE</t>
        </is>
      </c>
      <c r="Y769" t="n">
        <v>0</v>
      </c>
      <c r="Z769" t="inlineStr"/>
      <c r="AA769" t="inlineStr">
        <is>
          <t>https://nvd.nist.gov/vuln/detail/CVE-2019-25444</t>
        </is>
      </c>
    </row>
    <row r="770">
      <c r="A770" t="inlineStr">
        <is>
          <t>CVE</t>
        </is>
      </c>
      <c r="B770" t="inlineStr">
        <is>
          <t>CVE-2019-25445</t>
        </is>
      </c>
      <c r="C770" t="inlineStr">
        <is>
          <t>Fiverr Clone Script 1.2.2 contains a cross-site scripting vulnerability that allows unauthenticated attackers to inject malicious scripts by manipulating the keyword parameter. Attackers can craft URLs with script tags in the keyword parameter of search-results.php to execute arbitrary JavaScript in users' browsers.</t>
        </is>
      </c>
      <c r="D770" t="n">
        <v>6.1</v>
      </c>
      <c r="E770" t="inlineStr">
        <is>
          <t>MEDIUM</t>
        </is>
      </c>
      <c r="F770" t="n">
        <v>2</v>
      </c>
      <c r="G770" t="n">
        <v>2</v>
      </c>
      <c r="H770" t="inlineStr">
        <is>
          <t>MEDIUM</t>
        </is>
      </c>
      <c r="I770" t="n">
        <v>10.1</v>
      </c>
      <c r="J770" t="inlineStr">
        <is>
          <t>NO</t>
        </is>
      </c>
      <c r="K770" t="inlineStr">
        <is>
          <t>2026-02-26 00:15</t>
        </is>
      </c>
      <c r="L770" t="inlineStr">
        <is>
          <t>CHECK_VENDOR</t>
        </is>
      </c>
      <c r="M770" t="inlineStr">
        <is>
          <t>See CVE details</t>
        </is>
      </c>
      <c r="N770" t="inlineStr">
        <is>
          <t>P4</t>
        </is>
      </c>
      <c r="O770" t="inlineStr">
        <is>
          <t>CVE - IP enrichment n/a</t>
        </is>
      </c>
      <c r="P770" t="n">
        <v>0.0007</v>
      </c>
      <c r="Q770" t="n">
        <v>0.223</v>
      </c>
      <c r="R770" t="inlineStr">
        <is>
          <t>T1189:Drive-by Compromise</t>
        </is>
      </c>
      <c r="S770" t="n">
        <v>1</v>
      </c>
      <c r="T770" t="inlineStr">
        <is>
          <t>LOW (40%)</t>
        </is>
      </c>
      <c r="U770" t="inlineStr">
        <is>
          <t>UNLIKELY</t>
        </is>
      </c>
      <c r="V770" t="inlineStr">
        <is>
          <t>CHECK_VENDOR</t>
        </is>
      </c>
      <c r="W770" t="inlineStr">
        <is>
          <t>https://nvd.nist.gov/vuln/detail/CVE-2019-25445</t>
        </is>
      </c>
      <c r="X770" t="inlineStr">
        <is>
          <t>NONE</t>
        </is>
      </c>
      <c r="Y770" t="n">
        <v>0</v>
      </c>
      <c r="Z770" t="inlineStr"/>
      <c r="AA770" t="inlineStr">
        <is>
          <t>https://nvd.nist.gov/vuln/detail/CVE-2019-25445</t>
        </is>
      </c>
    </row>
    <row r="771">
      <c r="A771" t="inlineStr">
        <is>
          <t>CVE</t>
        </is>
      </c>
      <c r="B771" t="inlineStr">
        <is>
          <t>CVE-2021-35402</t>
        </is>
      </c>
      <c r="C771" t="inlineStr">
        <is>
          <t>PROLiNK PRC2402M 20190909 before 2021-06-13 allows live_api.cgi?page=satellite_list OS command injection via shell metacharacters in the ip parameter (for satellite_status).</t>
        </is>
      </c>
      <c r="D771" t="n">
        <v>10</v>
      </c>
      <c r="E771" t="inlineStr">
        <is>
          <t>CRITICAL</t>
        </is>
      </c>
      <c r="F771" t="n">
        <v>2</v>
      </c>
      <c r="G771" t="n">
        <v>3</v>
      </c>
      <c r="H771" t="inlineStr">
        <is>
          <t>HIGH</t>
        </is>
      </c>
      <c r="I771" t="n">
        <v>16</v>
      </c>
      <c r="J771" t="inlineStr">
        <is>
          <t>NO</t>
        </is>
      </c>
      <c r="K771" t="inlineStr">
        <is>
          <t>2026-02-26 00:15</t>
        </is>
      </c>
      <c r="L771" t="inlineStr">
        <is>
          <t>CHECK_VENDOR</t>
        </is>
      </c>
      <c r="M771" t="inlineStr">
        <is>
          <t>See CVE details</t>
        </is>
      </c>
      <c r="N771" t="inlineStr">
        <is>
          <t>P3</t>
        </is>
      </c>
      <c r="O771" t="inlineStr">
        <is>
          <t>CVE - IP enrichment n/a</t>
        </is>
      </c>
      <c r="P771" t="n">
        <v>0</v>
      </c>
      <c r="Q771" t="n">
        <v>0</v>
      </c>
      <c r="R771" t="inlineStr">
        <is>
          <t>T1059:Command and Scripting Interpreter</t>
        </is>
      </c>
      <c r="S771" t="n">
        <v>1</v>
      </c>
      <c r="T771" t="inlineStr">
        <is>
          <t>LOW (40%)</t>
        </is>
      </c>
      <c r="U771" t="inlineStr">
        <is>
          <t>UNLIKELY</t>
        </is>
      </c>
      <c r="V771" t="inlineStr">
        <is>
          <t>CHECK_VENDOR</t>
        </is>
      </c>
      <c r="W771" t="inlineStr">
        <is>
          <t>https://nvd.nist.gov/vuln/detail/CVE-2021-35402</t>
        </is>
      </c>
      <c r="X771" t="inlineStr">
        <is>
          <t>NONE</t>
        </is>
      </c>
      <c r="Y771" t="n">
        <v>0</v>
      </c>
      <c r="Z771" t="inlineStr"/>
      <c r="AA771" t="inlineStr">
        <is>
          <t>https://nvd.nist.gov/vuln/detail/CVE-2021-35402</t>
        </is>
      </c>
    </row>
    <row r="772">
      <c r="A772" t="inlineStr">
        <is>
          <t>CVE</t>
        </is>
      </c>
      <c r="B772" t="inlineStr">
        <is>
          <t>CVE-2026-2852</t>
        </is>
      </c>
      <c r="C772" t="inlineStr">
        <is>
          <t xml:space="preserve">A vulnerability was identified in yeqifu warehouse up to aaf29962ba407d22d991781de28796ee7b4670e4. This issue affects the function addSales/updateSales/deleteSales of the file dataset\repos\warehouse\src\main\java\com\yeqifu\bus\controller\SalesController.java of the component Sales Endpoint. The manipulation leads to improper access controls. The attack is possible to be carried out remotely. The exploit is publicly available and might be used. This product adopts a rolling release strategy to </t>
        </is>
      </c>
      <c r="D772" t="n">
        <v>6.3</v>
      </c>
      <c r="E772" t="inlineStr">
        <is>
          <t>MEDIUM</t>
        </is>
      </c>
      <c r="F772" t="n">
        <v>2</v>
      </c>
      <c r="G772" t="n">
        <v>2</v>
      </c>
      <c r="H772" t="inlineStr">
        <is>
          <t>MEDIUM</t>
        </is>
      </c>
      <c r="I772" t="n">
        <v>10.3</v>
      </c>
      <c r="J772" t="inlineStr">
        <is>
          <t>NO</t>
        </is>
      </c>
      <c r="K772" t="inlineStr">
        <is>
          <t>2026-02-26 00:15</t>
        </is>
      </c>
      <c r="L772" t="inlineStr">
        <is>
          <t>CHECK_VENDOR</t>
        </is>
      </c>
      <c r="M772" t="inlineStr">
        <is>
          <t>See CVE details</t>
        </is>
      </c>
      <c r="N772" t="inlineStr">
        <is>
          <t>P4</t>
        </is>
      </c>
      <c r="O772" t="inlineStr">
        <is>
          <t>CVE - IP enrichment n/a</t>
        </is>
      </c>
      <c r="P772" t="n">
        <v>0</v>
      </c>
      <c r="Q772" t="n">
        <v>0</v>
      </c>
      <c r="R772" t="inlineStr">
        <is>
          <t>T1190:Exploit Public-Facing Application</t>
        </is>
      </c>
      <c r="S772" t="n">
        <v>1</v>
      </c>
      <c r="T772" t="inlineStr">
        <is>
          <t>LOW (40%)</t>
        </is>
      </c>
      <c r="U772" t="inlineStr">
        <is>
          <t>UNLIKELY</t>
        </is>
      </c>
      <c r="V772" t="inlineStr">
        <is>
          <t>CHECK_VENDOR</t>
        </is>
      </c>
      <c r="W772" t="inlineStr">
        <is>
          <t>https://nvd.nist.gov/vuln/detail/CVE-2026-2852</t>
        </is>
      </c>
      <c r="X772" t="inlineStr">
        <is>
          <t>NONE</t>
        </is>
      </c>
      <c r="Y772" t="n">
        <v>0</v>
      </c>
      <c r="Z772" t="inlineStr"/>
      <c r="AA772" t="inlineStr">
        <is>
          <t>https://nvd.nist.gov/vuln/detail/CVE-2026-2852</t>
        </is>
      </c>
    </row>
    <row r="773">
      <c r="A773" t="inlineStr">
        <is>
          <t>CVE</t>
        </is>
      </c>
      <c r="B773" t="inlineStr">
        <is>
          <t>CVE-2025-62326</t>
        </is>
      </c>
      <c r="C773" t="inlineStr">
        <is>
          <t>HCL Digital Experience is susceptible to stored cross-site scripting (XSS) in the administrative user interface which would require elevated privileges to exploit.</t>
        </is>
      </c>
      <c r="D773" t="n">
        <v>6.1</v>
      </c>
      <c r="E773" t="inlineStr">
        <is>
          <t>MEDIUM</t>
        </is>
      </c>
      <c r="F773" t="n">
        <v>2</v>
      </c>
      <c r="G773" t="n">
        <v>2</v>
      </c>
      <c r="H773" t="inlineStr">
        <is>
          <t>MEDIUM</t>
        </is>
      </c>
      <c r="I773" t="n">
        <v>10.1</v>
      </c>
      <c r="J773" t="inlineStr">
        <is>
          <t>NO</t>
        </is>
      </c>
      <c r="K773" t="inlineStr">
        <is>
          <t>2026-02-26 00:15</t>
        </is>
      </c>
      <c r="L773" t="inlineStr">
        <is>
          <t>YES</t>
        </is>
      </c>
      <c r="M773" t="inlineStr">
        <is>
          <t>hcltech digital_experience 9.5</t>
        </is>
      </c>
      <c r="N773" t="inlineStr">
        <is>
          <t>P4</t>
        </is>
      </c>
      <c r="O773" t="inlineStr">
        <is>
          <t>CVE - IP enrichment n/a</t>
        </is>
      </c>
      <c r="P773" t="n">
        <v>0.0003</v>
      </c>
      <c r="Q773" t="n">
        <v>0.0822</v>
      </c>
      <c r="R773" t="inlineStr">
        <is>
          <t>T1189:Drive-by Compromise</t>
        </is>
      </c>
      <c r="S773" t="n">
        <v>1</v>
      </c>
      <c r="T773" t="inlineStr">
        <is>
          <t>LOW (40%)</t>
        </is>
      </c>
      <c r="U773" t="inlineStr">
        <is>
          <t>UNLIKELY</t>
        </is>
      </c>
      <c r="V773" t="inlineStr">
        <is>
          <t>PATCH_AVAILABLE</t>
        </is>
      </c>
      <c r="W773" t="inlineStr">
        <is>
          <t>https://nvd.nist.gov/vuln/detail/CVE-2025-62326</t>
        </is>
      </c>
      <c r="X773" t="inlineStr">
        <is>
          <t>NONE</t>
        </is>
      </c>
      <c r="Y773" t="n">
        <v>0</v>
      </c>
      <c r="Z773" t="inlineStr"/>
      <c r="AA773" t="inlineStr">
        <is>
          <t>https://nvd.nist.gov/vuln/detail/CVE-2025-62326</t>
        </is>
      </c>
    </row>
    <row r="774">
      <c r="A774" t="inlineStr">
        <is>
          <t>CVE</t>
        </is>
      </c>
      <c r="B774" t="inlineStr">
        <is>
          <t>CVE-2026-2472</t>
        </is>
      </c>
      <c r="C774" t="inlineStr">
        <is>
          <t>Stored Cross-Site Scripting (XSS) in the _genai/_evals_visualization component of Google Cloud Vertex AI SDK (google-cloud-aiplatform) versions from 1.98.0 up to (but not including) 1.131.0 allows an unauthenticated remote attacker to execute arbitrary JavaScript in a victim's Jupyter or Colab environment via injecting script escape sequences into model evaluation results or dataset JSON data.</t>
        </is>
      </c>
      <c r="D774" t="n">
        <v>8.5</v>
      </c>
      <c r="E774" t="inlineStr">
        <is>
          <t>HIGH</t>
        </is>
      </c>
      <c r="F774" t="n">
        <v>2</v>
      </c>
      <c r="G774" t="n">
        <v>3</v>
      </c>
      <c r="H774" t="inlineStr">
        <is>
          <t>HIGH</t>
        </is>
      </c>
      <c r="I774" t="n">
        <v>14.5</v>
      </c>
      <c r="J774" t="inlineStr">
        <is>
          <t>NO</t>
        </is>
      </c>
      <c r="K774" t="inlineStr">
        <is>
          <t>2026-02-26 00:15</t>
        </is>
      </c>
      <c r="L774" t="inlineStr">
        <is>
          <t>CHECK_VENDOR</t>
        </is>
      </c>
      <c r="M774" t="inlineStr">
        <is>
          <t>See CVE details</t>
        </is>
      </c>
      <c r="N774" t="inlineStr">
        <is>
          <t>P3</t>
        </is>
      </c>
      <c r="O774" t="inlineStr">
        <is>
          <t>CVE - IP enrichment n/a</t>
        </is>
      </c>
      <c r="P774" t="n">
        <v>0</v>
      </c>
      <c r="Q774" t="n">
        <v>0</v>
      </c>
      <c r="R774" t="inlineStr">
        <is>
          <t>T1189:Drive-by Compromise</t>
        </is>
      </c>
      <c r="S774" t="n">
        <v>1</v>
      </c>
      <c r="T774" t="inlineStr">
        <is>
          <t>LOW (40%)</t>
        </is>
      </c>
      <c r="U774" t="inlineStr">
        <is>
          <t>UNLIKELY</t>
        </is>
      </c>
      <c r="V774" t="inlineStr">
        <is>
          <t>CHECK_VENDOR</t>
        </is>
      </c>
      <c r="W774" t="inlineStr">
        <is>
          <t>https://nvd.nist.gov/vuln/detail/CVE-2026-2472</t>
        </is>
      </c>
      <c r="X774" t="inlineStr">
        <is>
          <t>NONE</t>
        </is>
      </c>
      <c r="Y774" t="n">
        <v>0</v>
      </c>
      <c r="Z774" t="inlineStr"/>
      <c r="AA774" t="inlineStr">
        <is>
          <t>https://nvd.nist.gov/vuln/detail/CVE-2026-2472</t>
        </is>
      </c>
    </row>
    <row r="775">
      <c r="A775" t="inlineStr">
        <is>
          <t>CVE</t>
        </is>
      </c>
      <c r="B775" t="inlineStr">
        <is>
          <t>CVE-2026-2473</t>
        </is>
      </c>
      <c r="C775" t="inlineStr">
        <is>
          <t>Predictable bucket naming in Vertex AI Experiments in Google Cloud Vertex AI from version 1.21.0 up to (but not including) 1.133.0 on Google Cloud Platform allows an unauthenticated remote attacker to achieve cross-tenant remote code execution, model theft, and poisoning via pre-creating predictably named Cloud Storage buckets (Bucket Squatting).
This vulnerability was patched and no customer action is needed.</t>
        </is>
      </c>
      <c r="D775" t="n">
        <v>8.5</v>
      </c>
      <c r="E775" t="inlineStr">
        <is>
          <t>HIGH</t>
        </is>
      </c>
      <c r="F775" t="n">
        <v>2</v>
      </c>
      <c r="G775" t="n">
        <v>3</v>
      </c>
      <c r="H775" t="inlineStr">
        <is>
          <t>HIGH</t>
        </is>
      </c>
      <c r="I775" t="n">
        <v>14.5</v>
      </c>
      <c r="J775" t="inlineStr">
        <is>
          <t>NO</t>
        </is>
      </c>
      <c r="K775" t="inlineStr">
        <is>
          <t>2026-02-26 00:15</t>
        </is>
      </c>
      <c r="L775" t="inlineStr">
        <is>
          <t>CHECK_VENDOR</t>
        </is>
      </c>
      <c r="M775" t="inlineStr">
        <is>
          <t>See CVE details</t>
        </is>
      </c>
      <c r="N775" t="inlineStr">
        <is>
          <t>P3</t>
        </is>
      </c>
      <c r="O775" t="inlineStr">
        <is>
          <t>CVE - IP enrichment n/a</t>
        </is>
      </c>
      <c r="P775" t="n">
        <v>0</v>
      </c>
      <c r="Q775" t="n">
        <v>0</v>
      </c>
      <c r="R775" t="inlineStr">
        <is>
          <t>T1190:Exploit Public-Facing Application | T1210:Exploitation of Remote Services</t>
        </is>
      </c>
      <c r="S775" t="n">
        <v>1</v>
      </c>
      <c r="T775" t="inlineStr">
        <is>
          <t>LOW (40%)</t>
        </is>
      </c>
      <c r="U775" t="inlineStr">
        <is>
          <t>UNLIKELY</t>
        </is>
      </c>
      <c r="V775" t="inlineStr">
        <is>
          <t>CHECK_VENDOR</t>
        </is>
      </c>
      <c r="W775" t="inlineStr">
        <is>
          <t>https://nvd.nist.gov/vuln/detail/CVE-2026-2473</t>
        </is>
      </c>
      <c r="X775" t="inlineStr">
        <is>
          <t>NONE</t>
        </is>
      </c>
      <c r="Y775" t="n">
        <v>0</v>
      </c>
      <c r="Z775" t="inlineStr"/>
      <c r="AA775" t="inlineStr">
        <is>
          <t>https://nvd.nist.gov/vuln/detail/CVE-2026-2473</t>
        </is>
      </c>
    </row>
    <row r="776">
      <c r="A776" t="inlineStr">
        <is>
          <t>CVE</t>
        </is>
      </c>
      <c r="B776" t="inlineStr">
        <is>
          <t>CVE-2026-2853</t>
        </is>
      </c>
      <c r="C776" t="inlineStr">
        <is>
          <t>A vulnerability was detected in D-Link DWR-M960 1.01.07. This affects the function sub_462E14 of the file /boafrm/formSysLog of the component System Log Configuration Endpoint. Performing a manipulation of the argument submit-url results in stack-based buffer overflow. The attack can be initiated remotely. The exploit is now public and may be used.</t>
        </is>
      </c>
      <c r="D776" t="n">
        <v>8.800000000000001</v>
      </c>
      <c r="E776" t="inlineStr">
        <is>
          <t>HIGH</t>
        </is>
      </c>
      <c r="F776" t="n">
        <v>2</v>
      </c>
      <c r="G776" t="n">
        <v>3</v>
      </c>
      <c r="H776" t="inlineStr">
        <is>
          <t>HIGH</t>
        </is>
      </c>
      <c r="I776" t="n">
        <v>14.8</v>
      </c>
      <c r="J776" t="inlineStr">
        <is>
          <t>NO</t>
        </is>
      </c>
      <c r="K776" t="inlineStr">
        <is>
          <t>2026-02-26 00:15</t>
        </is>
      </c>
      <c r="L776" t="inlineStr">
        <is>
          <t>CHECK_VENDOR</t>
        </is>
      </c>
      <c r="M776" t="inlineStr">
        <is>
          <t>dlink dwr-m960 b1 | dlink dwr-m960_firmware 1.01.07</t>
        </is>
      </c>
      <c r="N776" t="inlineStr">
        <is>
          <t>P3</t>
        </is>
      </c>
      <c r="O776" t="inlineStr">
        <is>
          <t>CVE - IP enrichment n/a</t>
        </is>
      </c>
      <c r="P776" t="n">
        <v>0</v>
      </c>
      <c r="Q776" t="n">
        <v>0</v>
      </c>
      <c r="R776" t="inlineStr">
        <is>
          <t>T1203:Exploitation for Client Execution</t>
        </is>
      </c>
      <c r="S776" t="n">
        <v>1</v>
      </c>
      <c r="T776" t="inlineStr">
        <is>
          <t>LOW (40%)</t>
        </is>
      </c>
      <c r="U776" t="inlineStr">
        <is>
          <t>UNLIKELY</t>
        </is>
      </c>
      <c r="V776" t="inlineStr">
        <is>
          <t>CHECK_VENDOR</t>
        </is>
      </c>
      <c r="W776" t="inlineStr">
        <is>
          <t>https://nvd.nist.gov/vuln/detail/CVE-2026-2853</t>
        </is>
      </c>
      <c r="X776" t="inlineStr">
        <is>
          <t>NONE</t>
        </is>
      </c>
      <c r="Y776" t="n">
        <v>0</v>
      </c>
      <c r="Z776" t="inlineStr"/>
      <c r="AA776" t="inlineStr">
        <is>
          <t>https://nvd.nist.gov/vuln/detail/CVE-2026-2853</t>
        </is>
      </c>
    </row>
    <row r="777">
      <c r="A777" t="inlineStr">
        <is>
          <t>CVE</t>
        </is>
      </c>
      <c r="B777" t="inlineStr">
        <is>
          <t>CVE-2026-2854</t>
        </is>
      </c>
      <c r="C777" t="inlineStr">
        <is>
          <t>A flaw has been found in D-Link DWR-M960 1.01.07. This impacts the function sub_4611CC of the file /boafrm/formNtp of the component NTP Configuration Endpoint. Executing a manipulation of the argument submit-url can lead to stack-based buffer overflow. The attack can be launched remotely. The exploit has been published and may be used.</t>
        </is>
      </c>
      <c r="D777" t="n">
        <v>8.800000000000001</v>
      </c>
      <c r="E777" t="inlineStr">
        <is>
          <t>HIGH</t>
        </is>
      </c>
      <c r="F777" t="n">
        <v>2</v>
      </c>
      <c r="G777" t="n">
        <v>3</v>
      </c>
      <c r="H777" t="inlineStr">
        <is>
          <t>HIGH</t>
        </is>
      </c>
      <c r="I777" t="n">
        <v>14.8</v>
      </c>
      <c r="J777" t="inlineStr">
        <is>
          <t>NO</t>
        </is>
      </c>
      <c r="K777" t="inlineStr">
        <is>
          <t>2026-02-26 00:15</t>
        </is>
      </c>
      <c r="L777" t="inlineStr">
        <is>
          <t>CHECK_VENDOR</t>
        </is>
      </c>
      <c r="M777" t="inlineStr">
        <is>
          <t>dlink dwr-m960 b1 | dlink dwr-m960_firmware 1.01.07</t>
        </is>
      </c>
      <c r="N777" t="inlineStr">
        <is>
          <t>P3</t>
        </is>
      </c>
      <c r="O777" t="inlineStr">
        <is>
          <t>CVE - IP enrichment n/a</t>
        </is>
      </c>
      <c r="P777" t="n">
        <v>0</v>
      </c>
      <c r="Q777" t="n">
        <v>0</v>
      </c>
      <c r="R777" t="inlineStr">
        <is>
          <t>T1203:Exploitation for Client Execution</t>
        </is>
      </c>
      <c r="S777" t="n">
        <v>1</v>
      </c>
      <c r="T777" t="inlineStr">
        <is>
          <t>LOW (40%)</t>
        </is>
      </c>
      <c r="U777" t="inlineStr">
        <is>
          <t>UNLIKELY</t>
        </is>
      </c>
      <c r="V777" t="inlineStr">
        <is>
          <t>CHECK_VENDOR</t>
        </is>
      </c>
      <c r="W777" t="inlineStr">
        <is>
          <t>https://nvd.nist.gov/vuln/detail/CVE-2026-2854</t>
        </is>
      </c>
      <c r="X777" t="inlineStr">
        <is>
          <t>NONE</t>
        </is>
      </c>
      <c r="Y777" t="n">
        <v>0</v>
      </c>
      <c r="Z777" t="inlineStr"/>
      <c r="AA777" t="inlineStr">
        <is>
          <t>https://nvd.nist.gov/vuln/detail/CVE-2026-2854</t>
        </is>
      </c>
    </row>
    <row r="778">
      <c r="A778" t="inlineStr">
        <is>
          <t>CVE</t>
        </is>
      </c>
      <c r="B778" t="inlineStr">
        <is>
          <t>CVE-2026-2855</t>
        </is>
      </c>
      <c r="C778" t="inlineStr">
        <is>
          <t>A vulnerability has been found in D-Link DWR-M960 1.01.07. Affected is the function sub_4648F0 of the file /boafrm/formDdns of the component DDNS Settings Handler. The manipulation of the argument submit-url leads to stack-based buffer overflow. The attack may be initiated remotely. The exploit has been disclosed to the public and may be used.</t>
        </is>
      </c>
      <c r="D778" t="n">
        <v>8.800000000000001</v>
      </c>
      <c r="E778" t="inlineStr">
        <is>
          <t>HIGH</t>
        </is>
      </c>
      <c r="F778" t="n">
        <v>2</v>
      </c>
      <c r="G778" t="n">
        <v>3</v>
      </c>
      <c r="H778" t="inlineStr">
        <is>
          <t>HIGH</t>
        </is>
      </c>
      <c r="I778" t="n">
        <v>14.8</v>
      </c>
      <c r="J778" t="inlineStr">
        <is>
          <t>NO</t>
        </is>
      </c>
      <c r="K778" t="inlineStr">
        <is>
          <t>2026-02-26 00:15</t>
        </is>
      </c>
      <c r="L778" t="inlineStr">
        <is>
          <t>CHECK_VENDOR</t>
        </is>
      </c>
      <c r="M778" t="inlineStr">
        <is>
          <t>dlink dwr-m960 b1 | dlink dwr-m960_firmware 1.01.07</t>
        </is>
      </c>
      <c r="N778" t="inlineStr">
        <is>
          <t>P3</t>
        </is>
      </c>
      <c r="O778" t="inlineStr">
        <is>
          <t>CVE - IP enrichment n/a</t>
        </is>
      </c>
      <c r="P778" t="n">
        <v>0</v>
      </c>
      <c r="Q778" t="n">
        <v>0</v>
      </c>
      <c r="R778" t="inlineStr">
        <is>
          <t>T1203:Exploitation for Client Execution</t>
        </is>
      </c>
      <c r="S778" t="n">
        <v>1</v>
      </c>
      <c r="T778" t="inlineStr">
        <is>
          <t>LOW (40%)</t>
        </is>
      </c>
      <c r="U778" t="inlineStr">
        <is>
          <t>UNLIKELY</t>
        </is>
      </c>
      <c r="V778" t="inlineStr">
        <is>
          <t>CHECK_VENDOR</t>
        </is>
      </c>
      <c r="W778" t="inlineStr">
        <is>
          <t>https://nvd.nist.gov/vuln/detail/CVE-2026-2855</t>
        </is>
      </c>
      <c r="X778" t="inlineStr">
        <is>
          <t>NONE</t>
        </is>
      </c>
      <c r="Y778" t="n">
        <v>0</v>
      </c>
      <c r="Z778" t="inlineStr"/>
      <c r="AA778" t="inlineStr">
        <is>
          <t>https://nvd.nist.gov/vuln/detail/CVE-2026-2855</t>
        </is>
      </c>
    </row>
    <row r="779">
      <c r="A779" t="inlineStr">
        <is>
          <t>CVE</t>
        </is>
      </c>
      <c r="B779" t="inlineStr">
        <is>
          <t>CVE-2026-24892</t>
        </is>
      </c>
      <c r="C779" t="inlineStr">
        <is>
          <t xml:space="preserve">openITCOCKPIT is an open source monitoring tool built for different monitoring engines like Nagios, Naemon and Prometheus. openITCOCKPIT Community Edition 5.3.1 and earlier contains an unsafe PHP deserialization pattern in the processing of changelog entries. Serialized changelog data derived from attacker-influenced application state is unserialized without restricting allowed classes. Although no current application endpoint was found to introduce PHP objects into this data path, the presence </t>
        </is>
      </c>
      <c r="D779" t="n">
        <v>7.5</v>
      </c>
      <c r="E779" t="inlineStr">
        <is>
          <t>HIGH</t>
        </is>
      </c>
      <c r="F779" t="n">
        <v>2</v>
      </c>
      <c r="G779" t="n">
        <v>3</v>
      </c>
      <c r="H779" t="inlineStr">
        <is>
          <t>HIGH</t>
        </is>
      </c>
      <c r="I779" t="n">
        <v>13.5</v>
      </c>
      <c r="J779" t="inlineStr">
        <is>
          <t>NO</t>
        </is>
      </c>
      <c r="K779" t="inlineStr">
        <is>
          <t>2026-02-26 00:15</t>
        </is>
      </c>
      <c r="L779" t="inlineStr">
        <is>
          <t>CHECK_VENDOR</t>
        </is>
      </c>
      <c r="M779" t="inlineStr">
        <is>
          <t>See CVE details</t>
        </is>
      </c>
      <c r="N779" t="inlineStr">
        <is>
          <t>P3</t>
        </is>
      </c>
      <c r="O779" t="inlineStr">
        <is>
          <t>CVE - IP enrichment n/a</t>
        </is>
      </c>
      <c r="P779" t="n">
        <v>0</v>
      </c>
      <c r="Q779" t="n">
        <v>0</v>
      </c>
      <c r="R779" t="inlineStr">
        <is>
          <t>T1059:Command and Scripting Interpreter | T1190:Exploit Public-Facing Application | T1210:Exploitation of Remote Services</t>
        </is>
      </c>
      <c r="S779" t="n">
        <v>1</v>
      </c>
      <c r="T779" t="inlineStr">
        <is>
          <t>LOW (40%)</t>
        </is>
      </c>
      <c r="U779" t="inlineStr">
        <is>
          <t>UNLIKELY</t>
        </is>
      </c>
      <c r="V779" t="inlineStr">
        <is>
          <t>CHECK_VENDOR</t>
        </is>
      </c>
      <c r="W779" t="inlineStr">
        <is>
          <t>https://nvd.nist.gov/vuln/detail/CVE-2026-24892</t>
        </is>
      </c>
      <c r="X779" t="inlineStr">
        <is>
          <t>NONE</t>
        </is>
      </c>
      <c r="Y779" t="n">
        <v>0</v>
      </c>
      <c r="Z779" t="inlineStr"/>
      <c r="AA779" t="inlineStr">
        <is>
          <t>https://nvd.nist.gov/vuln/detail/CVE-2026-24892</t>
        </is>
      </c>
    </row>
    <row r="780">
      <c r="A780" t="inlineStr">
        <is>
          <t>CVE</t>
        </is>
      </c>
      <c r="B780" t="inlineStr">
        <is>
          <t>CVE-2026-25896</t>
        </is>
      </c>
      <c r="C780" t="inlineStr">
        <is>
          <t>fast-xml-parser allows users to validate XML, parse XML to JS object, or build XML from JS object without C/C++ based libraries and no callback. From 4.1.3to before 5.3.5, a dot (.) in a DOCTYPE entity name is treated as a regex wildcard during entity replacement, allowing an attacker to shadow built-in XML entities (&amp;lt;, &amp;gt;, &amp;amp;, &amp;quot;, &amp;apos;) with arbitrary values. This bypasses entity encoding and leads to XSS when parsed output is rendered. This vulnerability is fixed in 5.3.5.</t>
        </is>
      </c>
      <c r="D780" t="n">
        <v>9.300000000000001</v>
      </c>
      <c r="E780" t="inlineStr">
        <is>
          <t>CRITICAL</t>
        </is>
      </c>
      <c r="F780" t="n">
        <v>2</v>
      </c>
      <c r="G780" t="n">
        <v>3</v>
      </c>
      <c r="H780" t="inlineStr">
        <is>
          <t>HIGH</t>
        </is>
      </c>
      <c r="I780" t="n">
        <v>15.3</v>
      </c>
      <c r="J780" t="inlineStr">
        <is>
          <t>NO</t>
        </is>
      </c>
      <c r="K780" t="inlineStr">
        <is>
          <t>2026-02-26 00:15</t>
        </is>
      </c>
      <c r="L780" t="inlineStr">
        <is>
          <t>CHECK_VENDOR</t>
        </is>
      </c>
      <c r="M780" t="inlineStr">
        <is>
          <t>See CVE details</t>
        </is>
      </c>
      <c r="N780" t="inlineStr">
        <is>
          <t>P3</t>
        </is>
      </c>
      <c r="O780" t="inlineStr">
        <is>
          <t>CVE - IP enrichment n/a</t>
        </is>
      </c>
      <c r="P780" t="n">
        <v>0</v>
      </c>
      <c r="Q780" t="n">
        <v>0</v>
      </c>
      <c r="R780" t="inlineStr">
        <is>
          <t>T1189:Drive-by Compromise</t>
        </is>
      </c>
      <c r="S780" t="n">
        <v>1</v>
      </c>
      <c r="T780" t="inlineStr">
        <is>
          <t>LOW (40%)</t>
        </is>
      </c>
      <c r="U780" t="inlineStr">
        <is>
          <t>UNLIKELY</t>
        </is>
      </c>
      <c r="V780" t="inlineStr">
        <is>
          <t>CHECK_VENDOR</t>
        </is>
      </c>
      <c r="W780" t="inlineStr">
        <is>
          <t>https://nvd.nist.gov/vuln/detail/CVE-2026-25896</t>
        </is>
      </c>
      <c r="X780" t="inlineStr">
        <is>
          <t>NONE</t>
        </is>
      </c>
      <c r="Y780" t="n">
        <v>0</v>
      </c>
      <c r="Z780" t="inlineStr"/>
      <c r="AA780" t="inlineStr">
        <is>
          <t>https://nvd.nist.gov/vuln/detail/CVE-2026-25896</t>
        </is>
      </c>
    </row>
    <row r="781">
      <c r="A781" t="inlineStr">
        <is>
          <t>CVE</t>
        </is>
      </c>
      <c r="B781" t="inlineStr">
        <is>
          <t>CVE-2026-27020</t>
        </is>
      </c>
      <c r="C781" t="inlineStr">
        <is>
          <t>Photobooth prior to 1.0.1 has a cross-site scripting (XSS) vulnerability in user input fields. Malicious users could inject scripts through unvalidated form inputs. This vulnerability is fixed in 1.0.1.</t>
        </is>
      </c>
      <c r="D781" t="n">
        <v>5</v>
      </c>
      <c r="E781" t="inlineStr">
        <is>
          <t>MEDIUM</t>
        </is>
      </c>
      <c r="F781" t="n">
        <v>2</v>
      </c>
      <c r="G781" t="n">
        <v>2</v>
      </c>
      <c r="H781" t="inlineStr">
        <is>
          <t>MEDIUM</t>
        </is>
      </c>
      <c r="I781" t="n">
        <v>9</v>
      </c>
      <c r="J781" t="inlineStr">
        <is>
          <t>NO</t>
        </is>
      </c>
      <c r="K781" t="inlineStr">
        <is>
          <t>2026-02-26 00:15</t>
        </is>
      </c>
      <c r="L781" t="inlineStr">
        <is>
          <t>CHECK_VENDOR</t>
        </is>
      </c>
      <c r="M781" t="inlineStr">
        <is>
          <t>See CVE details</t>
        </is>
      </c>
      <c r="N781" t="inlineStr">
        <is>
          <t>P4</t>
        </is>
      </c>
      <c r="O781" t="inlineStr">
        <is>
          <t>CVE - IP enrichment n/a</t>
        </is>
      </c>
      <c r="P781" t="n">
        <v>0</v>
      </c>
      <c r="Q781" t="n">
        <v>0</v>
      </c>
      <c r="R781" t="inlineStr">
        <is>
          <t>T1189:Drive-by Compromise</t>
        </is>
      </c>
      <c r="S781" t="n">
        <v>1</v>
      </c>
      <c r="T781" t="inlineStr">
        <is>
          <t>LOW (40%)</t>
        </is>
      </c>
      <c r="U781" t="inlineStr">
        <is>
          <t>UNLIKELY</t>
        </is>
      </c>
      <c r="V781" t="inlineStr">
        <is>
          <t>CHECK_VENDOR</t>
        </is>
      </c>
      <c r="W781" t="inlineStr">
        <is>
          <t>https://nvd.nist.gov/vuln/detail/CVE-2026-27020</t>
        </is>
      </c>
      <c r="X781" t="inlineStr">
        <is>
          <t>NONE</t>
        </is>
      </c>
      <c r="Y781" t="n">
        <v>0</v>
      </c>
      <c r="Z781" t="inlineStr"/>
      <c r="AA781" t="inlineStr">
        <is>
          <t>https://nvd.nist.gov/vuln/detail/CVE-2026-27020</t>
        </is>
      </c>
    </row>
    <row r="782">
      <c r="A782" t="inlineStr">
        <is>
          <t>CVE</t>
        </is>
      </c>
      <c r="B782" t="inlineStr">
        <is>
          <t>CVE-2026-27190</t>
        </is>
      </c>
      <c r="C782" t="inlineStr">
        <is>
          <t>Deno is a JavaScript, TypeScript, and WebAssembly runtime. Prior to 2.6.8, a command injection vulnerability exists in Deno's node:child_process implementation. This vulnerability is fixed in 2.6.8.</t>
        </is>
      </c>
      <c r="D782" t="n">
        <v>8.1</v>
      </c>
      <c r="E782" t="inlineStr">
        <is>
          <t>HIGH</t>
        </is>
      </c>
      <c r="F782" t="n">
        <v>2</v>
      </c>
      <c r="G782" t="n">
        <v>3</v>
      </c>
      <c r="H782" t="inlineStr">
        <is>
          <t>HIGH</t>
        </is>
      </c>
      <c r="I782" t="n">
        <v>14.1</v>
      </c>
      <c r="J782" t="inlineStr">
        <is>
          <t>NO</t>
        </is>
      </c>
      <c r="K782" t="inlineStr">
        <is>
          <t>2026-02-26 00:15</t>
        </is>
      </c>
      <c r="L782" t="inlineStr">
        <is>
          <t>CHECK_VENDOR</t>
        </is>
      </c>
      <c r="M782" t="inlineStr">
        <is>
          <t>See CVE details</t>
        </is>
      </c>
      <c r="N782" t="inlineStr">
        <is>
          <t>P3</t>
        </is>
      </c>
      <c r="O782" t="inlineStr">
        <is>
          <t>CVE - IP enrichment n/a</t>
        </is>
      </c>
      <c r="P782" t="n">
        <v>0</v>
      </c>
      <c r="Q782" t="n">
        <v>0</v>
      </c>
      <c r="R782" t="inlineStr">
        <is>
          <t>T1059:Command and Scripting Interpreter</t>
        </is>
      </c>
      <c r="S782" t="n">
        <v>1</v>
      </c>
      <c r="T782" t="inlineStr">
        <is>
          <t>LOW (40%)</t>
        </is>
      </c>
      <c r="U782" t="inlineStr">
        <is>
          <t>UNLIKELY</t>
        </is>
      </c>
      <c r="V782" t="inlineStr">
        <is>
          <t>CHECK_VENDOR</t>
        </is>
      </c>
      <c r="W782" t="inlineStr">
        <is>
          <t>https://nvd.nist.gov/vuln/detail/CVE-2026-27190</t>
        </is>
      </c>
      <c r="X782" t="inlineStr">
        <is>
          <t>NONE</t>
        </is>
      </c>
      <c r="Y782" t="n">
        <v>0</v>
      </c>
      <c r="Z782" t="inlineStr"/>
      <c r="AA782" t="inlineStr">
        <is>
          <t>https://nvd.nist.gov/vuln/detail/CVE-2026-27190</t>
        </is>
      </c>
    </row>
    <row r="783">
      <c r="A783" t="inlineStr">
        <is>
          <t>CVE</t>
        </is>
      </c>
      <c r="B783" t="inlineStr">
        <is>
          <t>CVE-2026-2856</t>
        </is>
      </c>
      <c r="C783" t="inlineStr">
        <is>
          <t>A vulnerability was found in D-Link DWR-M960 1.01.07. Affected by this vulnerability is the function sub_424AFC of the file /boafrm/formFilter of the component Filter Configuration Endpoint. The manipulation of the argument submit-url results in stack-based buffer overflow. The attack may be launched remotely. The exploit has been made public and could be used.</t>
        </is>
      </c>
      <c r="D783" t="n">
        <v>8.800000000000001</v>
      </c>
      <c r="E783" t="inlineStr">
        <is>
          <t>HIGH</t>
        </is>
      </c>
      <c r="F783" t="n">
        <v>2</v>
      </c>
      <c r="G783" t="n">
        <v>3</v>
      </c>
      <c r="H783" t="inlineStr">
        <is>
          <t>HIGH</t>
        </is>
      </c>
      <c r="I783" t="n">
        <v>14.8</v>
      </c>
      <c r="J783" t="inlineStr">
        <is>
          <t>NO</t>
        </is>
      </c>
      <c r="K783" t="inlineStr">
        <is>
          <t>2026-02-26 00:15</t>
        </is>
      </c>
      <c r="L783" t="inlineStr">
        <is>
          <t>CHECK_VENDOR</t>
        </is>
      </c>
      <c r="M783" t="inlineStr">
        <is>
          <t>dlink dwr-m960 b1 | dlink dwr-m960_firmware 1.01.07</t>
        </is>
      </c>
      <c r="N783" t="inlineStr">
        <is>
          <t>P3</t>
        </is>
      </c>
      <c r="O783" t="inlineStr">
        <is>
          <t>CVE - IP enrichment n/a</t>
        </is>
      </c>
      <c r="P783" t="n">
        <v>0</v>
      </c>
      <c r="Q783" t="n">
        <v>0</v>
      </c>
      <c r="R783" t="inlineStr">
        <is>
          <t>T1203:Exploitation for Client Execution</t>
        </is>
      </c>
      <c r="S783" t="n">
        <v>1</v>
      </c>
      <c r="T783" t="inlineStr">
        <is>
          <t>LOW (40%)</t>
        </is>
      </c>
      <c r="U783" t="inlineStr">
        <is>
          <t>UNLIKELY</t>
        </is>
      </c>
      <c r="V783" t="inlineStr">
        <is>
          <t>CHECK_VENDOR</t>
        </is>
      </c>
      <c r="W783" t="inlineStr">
        <is>
          <t>https://nvd.nist.gov/vuln/detail/CVE-2026-2856</t>
        </is>
      </c>
      <c r="X783" t="inlineStr">
        <is>
          <t>NONE</t>
        </is>
      </c>
      <c r="Y783" t="n">
        <v>0</v>
      </c>
      <c r="Z783" t="inlineStr"/>
      <c r="AA783" t="inlineStr">
        <is>
          <t>https://nvd.nist.gov/vuln/detail/CVE-2026-2856</t>
        </is>
      </c>
    </row>
    <row r="784">
      <c r="A784" t="inlineStr">
        <is>
          <t>CVE</t>
        </is>
      </c>
      <c r="B784" t="inlineStr">
        <is>
          <t>CVE-2026-2857</t>
        </is>
      </c>
      <c r="C784" t="inlineStr">
        <is>
          <t>A vulnerability was determined in D-Link DWR-M960 1.01.07. Affected by this issue is the function sub_423E00 of the file /boafrm/formPortFw of the component Port Forwarding Configuration Endpoint. This manipulation of the argument submit-url causes stack-based buffer overflow. Remote exploitation of the attack is possible. The exploit has been publicly disclosed and may be utilized.</t>
        </is>
      </c>
      <c r="D784" t="n">
        <v>8.800000000000001</v>
      </c>
      <c r="E784" t="inlineStr">
        <is>
          <t>HIGH</t>
        </is>
      </c>
      <c r="F784" t="n">
        <v>2</v>
      </c>
      <c r="G784" t="n">
        <v>3</v>
      </c>
      <c r="H784" t="inlineStr">
        <is>
          <t>HIGH</t>
        </is>
      </c>
      <c r="I784" t="n">
        <v>14.8</v>
      </c>
      <c r="J784" t="inlineStr">
        <is>
          <t>NO</t>
        </is>
      </c>
      <c r="K784" t="inlineStr">
        <is>
          <t>2026-02-26 00:15</t>
        </is>
      </c>
      <c r="L784" t="inlineStr">
        <is>
          <t>CHECK_VENDOR</t>
        </is>
      </c>
      <c r="M784" t="inlineStr">
        <is>
          <t>dlink dwr-m960 b1 | dlink dwr-m960_firmware 1.01.07</t>
        </is>
      </c>
      <c r="N784" t="inlineStr">
        <is>
          <t>P3</t>
        </is>
      </c>
      <c r="O784" t="inlineStr">
        <is>
          <t>CVE - IP enrichment n/a</t>
        </is>
      </c>
      <c r="P784" t="n">
        <v>0</v>
      </c>
      <c r="Q784" t="n">
        <v>0</v>
      </c>
      <c r="R784" t="inlineStr">
        <is>
          <t>T1203:Exploitation for Client Execution</t>
        </is>
      </c>
      <c r="S784" t="n">
        <v>1</v>
      </c>
      <c r="T784" t="inlineStr">
        <is>
          <t>LOW (40%)</t>
        </is>
      </c>
      <c r="U784" t="inlineStr">
        <is>
          <t>UNLIKELY</t>
        </is>
      </c>
      <c r="V784" t="inlineStr">
        <is>
          <t>CHECK_VENDOR</t>
        </is>
      </c>
      <c r="W784" t="inlineStr">
        <is>
          <t>https://nvd.nist.gov/vuln/detail/CVE-2026-2857</t>
        </is>
      </c>
      <c r="X784" t="inlineStr">
        <is>
          <t>NONE</t>
        </is>
      </c>
      <c r="Y784" t="n">
        <v>0</v>
      </c>
      <c r="Z784" t="inlineStr"/>
      <c r="AA784" t="inlineStr">
        <is>
          <t>https://nvd.nist.gov/vuln/detail/CVE-2026-2857</t>
        </is>
      </c>
    </row>
    <row r="785">
      <c r="A785" t="inlineStr">
        <is>
          <t>CVE</t>
        </is>
      </c>
      <c r="B785" t="inlineStr">
        <is>
          <t>CVE-2026-0777</t>
        </is>
      </c>
      <c r="C785" t="inlineStr">
        <is>
          <t>Xmind Attachment Insufficient UI Warning Remote Code Execution Vulnerability. This vulnerability allows remote attackers to execute arbitrary code on affected installations of Xmind. User interaction is required to exploit this vulnerability in that the target must visit a malicious page or open a malicious file.
The specific flaw exists within the handling of attachments. When opening an attachment, the user interface fails to warn the user of unsafe actions. An attacker can leverage this vuln</t>
        </is>
      </c>
      <c r="D785" t="n">
        <v>7.8</v>
      </c>
      <c r="E785" t="inlineStr">
        <is>
          <t>HIGH</t>
        </is>
      </c>
      <c r="F785" t="n">
        <v>2</v>
      </c>
      <c r="G785" t="n">
        <v>3</v>
      </c>
      <c r="H785" t="inlineStr">
        <is>
          <t>HIGH</t>
        </is>
      </c>
      <c r="I785" t="n">
        <v>13.8</v>
      </c>
      <c r="J785" t="inlineStr">
        <is>
          <t>NO</t>
        </is>
      </c>
      <c r="K785" t="inlineStr">
        <is>
          <t>2026-02-26 00:15</t>
        </is>
      </c>
      <c r="L785" t="inlineStr">
        <is>
          <t>CHECK_VENDOR</t>
        </is>
      </c>
      <c r="M785" t="inlineStr">
        <is>
          <t>See CVE details</t>
        </is>
      </c>
      <c r="N785" t="inlineStr">
        <is>
          <t>P1</t>
        </is>
      </c>
      <c r="O785" t="inlineStr">
        <is>
          <t>CVE - IP enrichment n/a</t>
        </is>
      </c>
      <c r="P785" t="n">
        <v>0</v>
      </c>
      <c r="Q785" t="n">
        <v>0</v>
      </c>
      <c r="R785" t="inlineStr">
        <is>
          <t>T1190:Exploit Public-Facing Application | T1210:Exploitation of Remote Services | T1203:Exploitation for Client Execution</t>
        </is>
      </c>
      <c r="S785" t="n">
        <v>2</v>
      </c>
      <c r="T785" t="inlineStr">
        <is>
          <t>HIGH (72%)</t>
        </is>
      </c>
      <c r="U785" t="inlineStr">
        <is>
          <t>HIGH</t>
        </is>
      </c>
      <c r="V785" t="inlineStr">
        <is>
          <t>CHECK_VENDOR</t>
        </is>
      </c>
      <c r="W785" t="inlineStr">
        <is>
          <t>https://nvd.nist.gov/vuln/detail/CVE-2026-0777</t>
        </is>
      </c>
      <c r="X785" t="inlineStr">
        <is>
          <t>http://www.zerodayinitiative.com/advisories/ZDI-26-123/</t>
        </is>
      </c>
      <c r="Y785" t="n">
        <v>0</v>
      </c>
      <c r="Z785" t="inlineStr"/>
      <c r="AA785" t="inlineStr">
        <is>
          <t>https://nvd.nist.gov/vuln/detail/CVE-2026-0777</t>
        </is>
      </c>
    </row>
    <row r="786">
      <c r="A786" t="inlineStr">
        <is>
          <t>CVE</t>
        </is>
      </c>
      <c r="B786" t="inlineStr">
        <is>
          <t>CVE-2026-0797</t>
        </is>
      </c>
      <c r="C786" t="inlineStr">
        <is>
          <t>GIMP ICO File Parsing Heap-based Buffer Overflow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ICO files. The issue results from the lack of proper validation of the length of user-supplied data prior to copying it to a heap-</t>
        </is>
      </c>
      <c r="D786" t="n">
        <v>7.8</v>
      </c>
      <c r="E786" t="inlineStr">
        <is>
          <t>HIGH</t>
        </is>
      </c>
      <c r="F786" t="n">
        <v>2</v>
      </c>
      <c r="G786" t="n">
        <v>3</v>
      </c>
      <c r="H786" t="inlineStr">
        <is>
          <t>HIGH</t>
        </is>
      </c>
      <c r="I786" t="n">
        <v>13.8</v>
      </c>
      <c r="J786" t="inlineStr">
        <is>
          <t>NO</t>
        </is>
      </c>
      <c r="K786" t="inlineStr">
        <is>
          <t>2026-02-26 00:15</t>
        </is>
      </c>
      <c r="L786" t="inlineStr">
        <is>
          <t>YES</t>
        </is>
      </c>
      <c r="M786" t="inlineStr">
        <is>
          <t>gimp gimp 3.2.0</t>
        </is>
      </c>
      <c r="N786" t="inlineStr">
        <is>
          <t>P1</t>
        </is>
      </c>
      <c r="O786" t="inlineStr">
        <is>
          <t>CVE - IP enrichment n/a</t>
        </is>
      </c>
      <c r="P786" t="n">
        <v>0.0005999999999999999</v>
      </c>
      <c r="Q786" t="n">
        <v>0.1789</v>
      </c>
      <c r="R786" t="inlineStr">
        <is>
          <t>T1203:Exploitation for Client Execution | T1190:Exploit Public-Facing Application | T1210:Exploitation of Remote Services</t>
        </is>
      </c>
      <c r="S786" t="n">
        <v>2</v>
      </c>
      <c r="T786" t="inlineStr">
        <is>
          <t>HIGH (72%)</t>
        </is>
      </c>
      <c r="U786" t="inlineStr">
        <is>
          <t>HIGH</t>
        </is>
      </c>
      <c r="V786" t="inlineStr">
        <is>
          <t>PATCH_AVAILABLE</t>
        </is>
      </c>
      <c r="W786" t="inlineStr">
        <is>
          <t>https://nvd.nist.gov/vuln/detail/CVE-2026-0797</t>
        </is>
      </c>
      <c r="X786" t="inlineStr">
        <is>
          <t>http://www.zerodayinitiative.com/advisories/ZDI-26-123/</t>
        </is>
      </c>
      <c r="Y786" t="n">
        <v>0</v>
      </c>
      <c r="Z786" t="inlineStr"/>
      <c r="AA786" t="inlineStr">
        <is>
          <t>https://nvd.nist.gov/vuln/detail/CVE-2026-0797</t>
        </is>
      </c>
    </row>
    <row r="787">
      <c r="A787" t="inlineStr">
        <is>
          <t>CVE</t>
        </is>
      </c>
      <c r="B787" t="inlineStr">
        <is>
          <t>CVE-2026-27022</t>
        </is>
      </c>
      <c r="C787" t="inlineStr">
        <is>
          <t>@langchain/langgraph-checkpoint-redis is the Redis checkpoint and store implementation for LangGraph. A query injection vulnerability exists in the @langchain/langgraph-checkpoint-redis package's filter handling. The RedisSaver and ShallowRedisSaver classes construct RediSearch queries by directly interpolating user-provided filter keys and values without proper escaping. RediSearch has special syntax characters that can modify query behavior, and when user-controlled data contains these charact</t>
        </is>
      </c>
      <c r="D787" t="n">
        <v>6.5</v>
      </c>
      <c r="E787" t="inlineStr">
        <is>
          <t>MEDIUM</t>
        </is>
      </c>
      <c r="F787" t="n">
        <v>2</v>
      </c>
      <c r="G787" t="n">
        <v>2</v>
      </c>
      <c r="H787" t="inlineStr">
        <is>
          <t>MEDIUM</t>
        </is>
      </c>
      <c r="I787" t="n">
        <v>10.5</v>
      </c>
      <c r="J787" t="inlineStr">
        <is>
          <t>NO</t>
        </is>
      </c>
      <c r="K787" t="inlineStr">
        <is>
          <t>2026-02-26 00:15</t>
        </is>
      </c>
      <c r="L787" t="inlineStr">
        <is>
          <t>CHECK_VENDOR</t>
        </is>
      </c>
      <c r="M787" t="inlineStr">
        <is>
          <t>See CVE details</t>
        </is>
      </c>
      <c r="N787" t="inlineStr">
        <is>
          <t>P4</t>
        </is>
      </c>
      <c r="O787" t="inlineStr">
        <is>
          <t>CVE - IP enrichment n/a</t>
        </is>
      </c>
      <c r="P787" t="n">
        <v>0.0003</v>
      </c>
      <c r="Q787" t="n">
        <v>0.0887</v>
      </c>
      <c r="R787" t="inlineStr">
        <is>
          <t>T1190:Exploit Public-Facing Application</t>
        </is>
      </c>
      <c r="S787" t="n">
        <v>1</v>
      </c>
      <c r="T787" t="inlineStr">
        <is>
          <t>LOW (40%)</t>
        </is>
      </c>
      <c r="U787" t="inlineStr">
        <is>
          <t>UNLIKELY</t>
        </is>
      </c>
      <c r="V787" t="inlineStr">
        <is>
          <t>CHECK_VENDOR</t>
        </is>
      </c>
      <c r="W787" t="inlineStr">
        <is>
          <t>https://nvd.nist.gov/vuln/detail/CVE-2026-27022</t>
        </is>
      </c>
      <c r="X787" t="inlineStr">
        <is>
          <t>NONE</t>
        </is>
      </c>
      <c r="Y787" t="n">
        <v>0</v>
      </c>
      <c r="Z787" t="inlineStr"/>
      <c r="AA787" t="inlineStr">
        <is>
          <t>https://nvd.nist.gov/vuln/detail/CVE-2026-27022</t>
        </is>
      </c>
    </row>
    <row r="788">
      <c r="A788" t="inlineStr">
        <is>
          <t>CVE</t>
        </is>
      </c>
      <c r="B788" t="inlineStr">
        <is>
          <t>CVE-2026-27024</t>
        </is>
      </c>
      <c r="C788" t="inlineStr">
        <is>
          <t>pypdf is a free and open-source pure-python PDF library. Prior to 6.7.1, an attacker who uses this vulnerability can craft a PDF which leads to an infinite loop. This requires accessing the children of a TreeObject, for example as part of outlines. This vulnerability is fixed in 6.7.1.</t>
        </is>
      </c>
      <c r="D788" t="n">
        <v>5.5</v>
      </c>
      <c r="E788" t="inlineStr">
        <is>
          <t>MEDIUM</t>
        </is>
      </c>
      <c r="F788" t="n">
        <v>2</v>
      </c>
      <c r="G788" t="n">
        <v>2</v>
      </c>
      <c r="H788" t="inlineStr">
        <is>
          <t>MEDIUM</t>
        </is>
      </c>
      <c r="I788" t="n">
        <v>9.5</v>
      </c>
      <c r="J788" t="inlineStr">
        <is>
          <t>NO</t>
        </is>
      </c>
      <c r="K788" t="inlineStr">
        <is>
          <t>2026-02-26 00:15</t>
        </is>
      </c>
      <c r="L788" t="inlineStr">
        <is>
          <t>YES</t>
        </is>
      </c>
      <c r="M788" t="inlineStr">
        <is>
          <t>pypdf_project pypdf *</t>
        </is>
      </c>
      <c r="N788" t="inlineStr">
        <is>
          <t>P4</t>
        </is>
      </c>
      <c r="O788" t="inlineStr">
        <is>
          <t>CVE - IP enrichment n/a</t>
        </is>
      </c>
      <c r="P788" t="n">
        <v>0</v>
      </c>
      <c r="Q788" t="n">
        <v>0</v>
      </c>
      <c r="R788" t="inlineStr">
        <is>
          <t>T1190:Exploit Public-Facing Application</t>
        </is>
      </c>
      <c r="S788" t="n">
        <v>1</v>
      </c>
      <c r="T788" t="inlineStr">
        <is>
          <t>LOW (40%)</t>
        </is>
      </c>
      <c r="U788" t="inlineStr">
        <is>
          <t>UNLIKELY</t>
        </is>
      </c>
      <c r="V788" t="inlineStr">
        <is>
          <t>PATCH_AVAILABLE</t>
        </is>
      </c>
      <c r="W788" t="inlineStr">
        <is>
          <t>https://nvd.nist.gov/vuln/detail/CVE-2026-27024</t>
        </is>
      </c>
      <c r="X788" t="inlineStr">
        <is>
          <t>NONE</t>
        </is>
      </c>
      <c r="Y788" t="n">
        <v>0</v>
      </c>
      <c r="Z788" t="inlineStr"/>
      <c r="AA788" t="inlineStr">
        <is>
          <t>https://nvd.nist.gov/vuln/detail/CVE-2026-27024</t>
        </is>
      </c>
    </row>
    <row r="789">
      <c r="A789" t="inlineStr">
        <is>
          <t>CVE</t>
        </is>
      </c>
      <c r="B789" t="inlineStr">
        <is>
          <t>CVE-2026-27025</t>
        </is>
      </c>
      <c r="C789" t="inlineStr">
        <is>
          <t>pypdf is a free and open-source pure-python PDF library. Prior to 6.7.1, an attacker who uses this vulnerability can craft a PDF which leads to long runtimes and large memory consumption. This requires parsing the /ToUnicode entry of a font with unusually large values, for example during text extraction. This vulnerability is fixed in 6.7.1.</t>
        </is>
      </c>
      <c r="D789" t="n">
        <v>5.5</v>
      </c>
      <c r="E789" t="inlineStr">
        <is>
          <t>MEDIUM</t>
        </is>
      </c>
      <c r="F789" t="n">
        <v>2</v>
      </c>
      <c r="G789" t="n">
        <v>2</v>
      </c>
      <c r="H789" t="inlineStr">
        <is>
          <t>MEDIUM</t>
        </is>
      </c>
      <c r="I789" t="n">
        <v>9.5</v>
      </c>
      <c r="J789" t="inlineStr">
        <is>
          <t>NO</t>
        </is>
      </c>
      <c r="K789" t="inlineStr">
        <is>
          <t>2026-02-26 00:15</t>
        </is>
      </c>
      <c r="L789" t="inlineStr">
        <is>
          <t>YES</t>
        </is>
      </c>
      <c r="M789" t="inlineStr">
        <is>
          <t>pypdf_project pypdf *</t>
        </is>
      </c>
      <c r="N789" t="inlineStr">
        <is>
          <t>P4</t>
        </is>
      </c>
      <c r="O789" t="inlineStr">
        <is>
          <t>CVE - IP enrichment n/a</t>
        </is>
      </c>
      <c r="P789" t="n">
        <v>0.0001</v>
      </c>
      <c r="Q789" t="n">
        <v>0.0127</v>
      </c>
      <c r="R789" t="inlineStr">
        <is>
          <t>T1190:Exploit Public-Facing Application</t>
        </is>
      </c>
      <c r="S789" t="n">
        <v>1</v>
      </c>
      <c r="T789" t="inlineStr">
        <is>
          <t>LOW (40%)</t>
        </is>
      </c>
      <c r="U789" t="inlineStr">
        <is>
          <t>UNLIKELY</t>
        </is>
      </c>
      <c r="V789" t="inlineStr">
        <is>
          <t>PATCH_AVAILABLE</t>
        </is>
      </c>
      <c r="W789" t="inlineStr">
        <is>
          <t>https://nvd.nist.gov/vuln/detail/CVE-2026-27025</t>
        </is>
      </c>
      <c r="X789" t="inlineStr">
        <is>
          <t>NONE</t>
        </is>
      </c>
      <c r="Y789" t="n">
        <v>0</v>
      </c>
      <c r="Z789" t="inlineStr"/>
      <c r="AA789" t="inlineStr">
        <is>
          <t>https://nvd.nist.gov/vuln/detail/CVE-2026-27025</t>
        </is>
      </c>
    </row>
    <row r="790">
      <c r="A790" t="inlineStr">
        <is>
          <t>CVE</t>
        </is>
      </c>
      <c r="B790" t="inlineStr">
        <is>
          <t>CVE-2026-27026</t>
        </is>
      </c>
      <c r="C790" t="inlineStr">
        <is>
          <t>pypdf is a free and open-source pure-python PDF library. Prior to 6.7.1, an attacker who uses this vulnerability can craft a PDF which leads to long runtimes. This requires a malformed /FlateDecode stream, where the byte-by-byte decompression is used. This vulnerability is fixed in 6.7.1.</t>
        </is>
      </c>
      <c r="D790" t="n">
        <v>5.5</v>
      </c>
      <c r="E790" t="inlineStr">
        <is>
          <t>MEDIUM</t>
        </is>
      </c>
      <c r="F790" t="n">
        <v>2</v>
      </c>
      <c r="G790" t="n">
        <v>2</v>
      </c>
      <c r="H790" t="inlineStr">
        <is>
          <t>MEDIUM</t>
        </is>
      </c>
      <c r="I790" t="n">
        <v>9.5</v>
      </c>
      <c r="J790" t="inlineStr">
        <is>
          <t>NO</t>
        </is>
      </c>
      <c r="K790" t="inlineStr">
        <is>
          <t>2026-02-26 00:15</t>
        </is>
      </c>
      <c r="L790" t="inlineStr">
        <is>
          <t>YES</t>
        </is>
      </c>
      <c r="M790" t="inlineStr">
        <is>
          <t>pypdf_project pypdf *</t>
        </is>
      </c>
      <c r="N790" t="inlineStr">
        <is>
          <t>P4</t>
        </is>
      </c>
      <c r="O790" t="inlineStr">
        <is>
          <t>CVE - IP enrichment n/a</t>
        </is>
      </c>
      <c r="P790" t="n">
        <v>0.0001</v>
      </c>
      <c r="Q790" t="n">
        <v>0.0127</v>
      </c>
      <c r="R790" t="inlineStr">
        <is>
          <t>T1190:Exploit Public-Facing Application</t>
        </is>
      </c>
      <c r="S790" t="n">
        <v>1</v>
      </c>
      <c r="T790" t="inlineStr">
        <is>
          <t>LOW (40%)</t>
        </is>
      </c>
      <c r="U790" t="inlineStr">
        <is>
          <t>UNLIKELY</t>
        </is>
      </c>
      <c r="V790" t="inlineStr">
        <is>
          <t>PATCH_AVAILABLE</t>
        </is>
      </c>
      <c r="W790" t="inlineStr">
        <is>
          <t>https://nvd.nist.gov/vuln/detail/CVE-2026-27026</t>
        </is>
      </c>
      <c r="X790" t="inlineStr">
        <is>
          <t>NONE</t>
        </is>
      </c>
      <c r="Y790" t="n">
        <v>0</v>
      </c>
      <c r="Z790" t="inlineStr"/>
      <c r="AA790" t="inlineStr">
        <is>
          <t>https://nvd.nist.gov/vuln/detail/CVE-2026-27026</t>
        </is>
      </c>
    </row>
    <row r="791">
      <c r="A791" t="inlineStr">
        <is>
          <t>CVE</t>
        </is>
      </c>
      <c r="B791" t="inlineStr">
        <is>
          <t>CVE-2026-27111</t>
        </is>
      </c>
      <c r="C791" t="inlineStr">
        <is>
          <t>Kargo manages and automates the promotion of software artifacts. From v1.9.0 to v1.9.2, Kargo's authorization model includes a promote verb -- a non-standard Kubernetes "dolphin verb" -- that gates the ability to advance Freight through a promotion pipeline. This verb exists to separate the ability to manage promotion-related resources from the ability to trigger promotions, enabling fine-grained access control over what is often a sensitive operation. The promote verb is correctly enforced in K</t>
        </is>
      </c>
      <c r="D791" t="n">
        <v>5</v>
      </c>
      <c r="E791" t="inlineStr">
        <is>
          <t>MEDIUM</t>
        </is>
      </c>
      <c r="F791" t="n">
        <v>2</v>
      </c>
      <c r="G791" t="n">
        <v>2</v>
      </c>
      <c r="H791" t="inlineStr">
        <is>
          <t>MEDIUM</t>
        </is>
      </c>
      <c r="I791" t="n">
        <v>9</v>
      </c>
      <c r="J791" t="inlineStr">
        <is>
          <t>NO</t>
        </is>
      </c>
      <c r="K791" t="inlineStr">
        <is>
          <t>2026-02-26 00:15</t>
        </is>
      </c>
      <c r="L791" t="inlineStr">
        <is>
          <t>YES</t>
        </is>
      </c>
      <c r="M791" t="inlineStr">
        <is>
          <t>akuity kargo *</t>
        </is>
      </c>
      <c r="N791" t="inlineStr">
        <is>
          <t>P4</t>
        </is>
      </c>
      <c r="O791" t="inlineStr">
        <is>
          <t>CVE - IP enrichment n/a</t>
        </is>
      </c>
      <c r="P791" t="n">
        <v>0</v>
      </c>
      <c r="Q791" t="n">
        <v>0</v>
      </c>
      <c r="R791" t="inlineStr">
        <is>
          <t>T1190:Exploit Public-Facing Application</t>
        </is>
      </c>
      <c r="S791" t="n">
        <v>1</v>
      </c>
      <c r="T791" t="inlineStr">
        <is>
          <t>LOW (40%)</t>
        </is>
      </c>
      <c r="U791" t="inlineStr">
        <is>
          <t>UNLIKELY</t>
        </is>
      </c>
      <c r="V791" t="inlineStr">
        <is>
          <t>PATCH_AVAILABLE</t>
        </is>
      </c>
      <c r="W791" t="inlineStr">
        <is>
          <t>https://nvd.nist.gov/vuln/detail/CVE-2026-27111</t>
        </is>
      </c>
      <c r="X791" t="inlineStr">
        <is>
          <t>NONE</t>
        </is>
      </c>
      <c r="Y791" t="n">
        <v>0</v>
      </c>
      <c r="Z791" t="inlineStr"/>
      <c r="AA791" t="inlineStr">
        <is>
          <t>https://nvd.nist.gov/vuln/detail/CVE-2026-27111</t>
        </is>
      </c>
    </row>
    <row r="792">
      <c r="A792" t="inlineStr">
        <is>
          <t>CVE</t>
        </is>
      </c>
      <c r="B792" t="inlineStr">
        <is>
          <t>CVE-2026-27112</t>
        </is>
      </c>
      <c r="C792" t="inlineStr">
        <is>
          <t xml:space="preserve">Kargo manages and automates the promotion of software artifacts. From 1.7.0 to before v1.7.8, v1.8.11, and v1.9.3, the batch resource creation endpoints of both Kargo's legacy gRPC API and newer REST API accept multi-document YAML payloads. Specially crafted payloads can manifest a bug present in the logic of both endpoints to inject arbitrary resources (of specific types only) into the underlying namespace of an existing Project using the API server's own permissions when that behavior was not </t>
        </is>
      </c>
      <c r="D792" t="n">
        <v>9.9</v>
      </c>
      <c r="E792" t="inlineStr">
        <is>
          <t>CRITICAL</t>
        </is>
      </c>
      <c r="F792" t="n">
        <v>2</v>
      </c>
      <c r="G792" t="n">
        <v>3</v>
      </c>
      <c r="H792" t="inlineStr">
        <is>
          <t>HIGH</t>
        </is>
      </c>
      <c r="I792" t="n">
        <v>15.9</v>
      </c>
      <c r="J792" t="inlineStr">
        <is>
          <t>NO</t>
        </is>
      </c>
      <c r="K792" t="inlineStr">
        <is>
          <t>2026-02-26 00:15</t>
        </is>
      </c>
      <c r="L792" t="inlineStr">
        <is>
          <t>YES</t>
        </is>
      </c>
      <c r="M792" t="inlineStr">
        <is>
          <t>akuity kargo *</t>
        </is>
      </c>
      <c r="N792" t="inlineStr">
        <is>
          <t>P3</t>
        </is>
      </c>
      <c r="O792" t="inlineStr">
        <is>
          <t>CVE - IP enrichment n/a</t>
        </is>
      </c>
      <c r="P792" t="n">
        <v>0</v>
      </c>
      <c r="Q792" t="n">
        <v>0</v>
      </c>
      <c r="R792" t="inlineStr">
        <is>
          <t>T1190:Exploit Public-Facing Application | T1210:Exploitation of Remote Services | T1552:Unsecured Credentials</t>
        </is>
      </c>
      <c r="S792" t="n">
        <v>1</v>
      </c>
      <c r="T792" t="inlineStr">
        <is>
          <t>LOW (40%)</t>
        </is>
      </c>
      <c r="U792" t="inlineStr">
        <is>
          <t>UNLIKELY</t>
        </is>
      </c>
      <c r="V792" t="inlineStr">
        <is>
          <t>PATCH_AVAILABLE</t>
        </is>
      </c>
      <c r="W792" t="inlineStr">
        <is>
          <t>https://nvd.nist.gov/vuln/detail/CVE-2026-27112</t>
        </is>
      </c>
      <c r="X792" t="inlineStr">
        <is>
          <t>NONE</t>
        </is>
      </c>
      <c r="Y792" t="n">
        <v>0</v>
      </c>
      <c r="Z792" t="inlineStr"/>
      <c r="AA792" t="inlineStr">
        <is>
          <t>https://nvd.nist.gov/vuln/detail/CVE-2026-27112</t>
        </is>
      </c>
    </row>
    <row r="793">
      <c r="A793" t="inlineStr">
        <is>
          <t>CVE</t>
        </is>
      </c>
      <c r="B793" t="inlineStr">
        <is>
          <t>CVE-2026-27113</t>
        </is>
      </c>
      <c r="C793" t="inlineStr">
        <is>
          <t>Liquid Prompt is an adaptive prompt for Bash and Zsh. Starting in commit cf3441250bb5d8b45f6f8b389fcdf427a99ac28a and prior to commit a4f6b8d8c90b3eaa33d13dfd1093062ab9c4b30c on the master branch, arbitrary command injection can lead to code execution when a user enters a directory in a Git repository containing a crafted branch name. Exploitation requires the LP_ENABLE_GITSTATUSD config option to be enabled (enabled by default), gitstatusd to be installed and started before Liquid Prompt is loa</t>
        </is>
      </c>
      <c r="D793" t="n">
        <v>6.3</v>
      </c>
      <c r="E793" t="inlineStr">
        <is>
          <t>MEDIUM</t>
        </is>
      </c>
      <c r="F793" t="n">
        <v>2</v>
      </c>
      <c r="G793" t="n">
        <v>2</v>
      </c>
      <c r="H793" t="inlineStr">
        <is>
          <t>MEDIUM</t>
        </is>
      </c>
      <c r="I793" t="n">
        <v>10.3</v>
      </c>
      <c r="J793" t="inlineStr">
        <is>
          <t>NO</t>
        </is>
      </c>
      <c r="K793" t="inlineStr">
        <is>
          <t>2026-02-26 00:15</t>
        </is>
      </c>
      <c r="L793" t="inlineStr">
        <is>
          <t>CHECK_VENDOR</t>
        </is>
      </c>
      <c r="M793" t="inlineStr">
        <is>
          <t>See CVE details</t>
        </is>
      </c>
      <c r="N793" t="inlineStr">
        <is>
          <t>P4</t>
        </is>
      </c>
      <c r="O793" t="inlineStr">
        <is>
          <t>CVE - IP enrichment n/a</t>
        </is>
      </c>
      <c r="P793" t="n">
        <v>0</v>
      </c>
      <c r="Q793" t="n">
        <v>0</v>
      </c>
      <c r="R793" t="inlineStr">
        <is>
          <t>T1059:Command and Scripting Interpreter</t>
        </is>
      </c>
      <c r="S793" t="n">
        <v>1</v>
      </c>
      <c r="T793" t="inlineStr">
        <is>
          <t>LOW (40%)</t>
        </is>
      </c>
      <c r="U793" t="inlineStr">
        <is>
          <t>UNLIKELY</t>
        </is>
      </c>
      <c r="V793" t="inlineStr">
        <is>
          <t>CHECK_VENDOR</t>
        </is>
      </c>
      <c r="W793" t="inlineStr">
        <is>
          <t>https://nvd.nist.gov/vuln/detail/CVE-2026-27113</t>
        </is>
      </c>
      <c r="X793" t="inlineStr">
        <is>
          <t>NONE</t>
        </is>
      </c>
      <c r="Y793" t="n">
        <v>0</v>
      </c>
      <c r="Z793" t="inlineStr"/>
      <c r="AA793" t="inlineStr">
        <is>
          <t>https://nvd.nist.gov/vuln/detail/CVE-2026-27113</t>
        </is>
      </c>
    </row>
    <row r="794">
      <c r="A794" t="inlineStr">
        <is>
          <t>CVE</t>
        </is>
      </c>
      <c r="B794" t="inlineStr">
        <is>
          <t>CVE-2026-27118</t>
        </is>
      </c>
      <c r="C794" t="inlineStr">
        <is>
          <t>SvelteKit is a framework for rapidly developing robust, performant web applications using Svelte. Versions of @sveltejs/adapter-vercel prior to 6.3.2 are vulnerable to cache poisoning. An internal query parameter intended for Incremental Static Regeneration (ISR) is accessible on all routes, allowing an attacker to cause sensitive user-specific responses to be cached and served to other users. Successful exploitation requires a victim to visit an attacker-controlled link while authenticated. Exi</t>
        </is>
      </c>
      <c r="D794" t="n">
        <v>8.5</v>
      </c>
      <c r="E794" t="inlineStr">
        <is>
          <t>HIGH</t>
        </is>
      </c>
      <c r="F794" t="n">
        <v>2</v>
      </c>
      <c r="G794" t="n">
        <v>3</v>
      </c>
      <c r="H794" t="inlineStr">
        <is>
          <t>HIGH</t>
        </is>
      </c>
      <c r="I794" t="n">
        <v>14.5</v>
      </c>
      <c r="J794" t="inlineStr">
        <is>
          <t>NO</t>
        </is>
      </c>
      <c r="K794" t="inlineStr">
        <is>
          <t>2026-02-26 00:15</t>
        </is>
      </c>
      <c r="L794" t="inlineStr">
        <is>
          <t>CHECK_VENDOR</t>
        </is>
      </c>
      <c r="M794" t="inlineStr">
        <is>
          <t>See CVE details</t>
        </is>
      </c>
      <c r="N794" t="inlineStr">
        <is>
          <t>P3</t>
        </is>
      </c>
      <c r="O794" t="inlineStr">
        <is>
          <t>CVE - IP enrichment n/a</t>
        </is>
      </c>
      <c r="P794" t="n">
        <v>0</v>
      </c>
      <c r="Q794" t="n">
        <v>0</v>
      </c>
      <c r="R794" t="inlineStr">
        <is>
          <t>T1190:Exploit Public-Facing Application</t>
        </is>
      </c>
      <c r="S794" t="n">
        <v>1</v>
      </c>
      <c r="T794" t="inlineStr">
        <is>
          <t>LOW (40%)</t>
        </is>
      </c>
      <c r="U794" t="inlineStr">
        <is>
          <t>UNLIKELY</t>
        </is>
      </c>
      <c r="V794" t="inlineStr">
        <is>
          <t>CHECK_VENDOR</t>
        </is>
      </c>
      <c r="W794" t="inlineStr">
        <is>
          <t>https://nvd.nist.gov/vuln/detail/CVE-2026-27118</t>
        </is>
      </c>
      <c r="X794" t="inlineStr">
        <is>
          <t>NONE</t>
        </is>
      </c>
      <c r="Y794" t="n">
        <v>0</v>
      </c>
      <c r="Z794" t="inlineStr"/>
      <c r="AA794" t="inlineStr">
        <is>
          <t>https://nvd.nist.gov/vuln/detail/CVE-2026-27118</t>
        </is>
      </c>
    </row>
    <row r="795">
      <c r="A795" t="inlineStr">
        <is>
          <t>CVE</t>
        </is>
      </c>
      <c r="B795" t="inlineStr">
        <is>
          <t>CVE-2026-27120</t>
        </is>
      </c>
      <c r="C795" t="inlineStr">
        <is>
          <t>Leafkit is a templating language with Swift-inspired syntax. Prior to 1.4.1, htmlEscaped in leaf-kit will only escape html special characters if the extended grapheme clusters match, which allows bypassing escaping by using an extended grapheme cluster containing both the special html character and some additional characters. In the case of html attributes, this can lead to XSS if there is a leaf variable in the attribute that is user controlled. This vulnerability is fixed in 1.4.1.</t>
        </is>
      </c>
      <c r="D795" t="n">
        <v>6.1</v>
      </c>
      <c r="E795" t="inlineStr">
        <is>
          <t>MEDIUM</t>
        </is>
      </c>
      <c r="F795" t="n">
        <v>2</v>
      </c>
      <c r="G795" t="n">
        <v>2</v>
      </c>
      <c r="H795" t="inlineStr">
        <is>
          <t>MEDIUM</t>
        </is>
      </c>
      <c r="I795" t="n">
        <v>10.1</v>
      </c>
      <c r="J795" t="inlineStr">
        <is>
          <t>NO</t>
        </is>
      </c>
      <c r="K795" t="inlineStr">
        <is>
          <t>2026-02-26 00:15</t>
        </is>
      </c>
      <c r="L795" t="inlineStr">
        <is>
          <t>CHECK_VENDOR</t>
        </is>
      </c>
      <c r="M795" t="inlineStr">
        <is>
          <t>See CVE details</t>
        </is>
      </c>
      <c r="N795" t="inlineStr">
        <is>
          <t>P4</t>
        </is>
      </c>
      <c r="O795" t="inlineStr">
        <is>
          <t>CVE - IP enrichment n/a</t>
        </is>
      </c>
      <c r="P795" t="n">
        <v>0</v>
      </c>
      <c r="Q795" t="n">
        <v>0</v>
      </c>
      <c r="R795" t="inlineStr">
        <is>
          <t>T1189:Drive-by Compromise</t>
        </is>
      </c>
      <c r="S795" t="n">
        <v>1</v>
      </c>
      <c r="T795" t="inlineStr">
        <is>
          <t>LOW (40%)</t>
        </is>
      </c>
      <c r="U795" t="inlineStr">
        <is>
          <t>UNLIKELY</t>
        </is>
      </c>
      <c r="V795" t="inlineStr">
        <is>
          <t>CHECK_VENDOR</t>
        </is>
      </c>
      <c r="W795" t="inlineStr">
        <is>
          <t>https://nvd.nist.gov/vuln/detail/CVE-2026-27120</t>
        </is>
      </c>
      <c r="X795" t="inlineStr">
        <is>
          <t>NONE</t>
        </is>
      </c>
      <c r="Y795" t="n">
        <v>0</v>
      </c>
      <c r="Z795" t="inlineStr"/>
      <c r="AA795" t="inlineStr">
        <is>
          <t>https://nvd.nist.gov/vuln/detail/CVE-2026-27120</t>
        </is>
      </c>
    </row>
    <row r="796">
      <c r="A796" t="inlineStr">
        <is>
          <t>CVE</t>
        </is>
      </c>
      <c r="B796" t="inlineStr">
        <is>
          <t>CVE-2026-2858</t>
        </is>
      </c>
      <c r="C796" t="inlineStr">
        <is>
          <t>A vulnerability was identified in wren-lang wren up to 0.4.0. This affects the function peekChar of the file src/vm/wren_compiler.c of the component Source File Parser. Such manipulation leads to out-of-bounds read. The attack needs to be performed locally. The exploit is publicly available and might be used. The project was informed of the problem early through an issue report but has not responded yet.</t>
        </is>
      </c>
      <c r="D796" t="n">
        <v>3.3</v>
      </c>
      <c r="E796" t="inlineStr">
        <is>
          <t>LOW</t>
        </is>
      </c>
      <c r="F796" t="n">
        <v>2</v>
      </c>
      <c r="G796" t="n">
        <v>1</v>
      </c>
      <c r="H796" t="inlineStr">
        <is>
          <t>LOW</t>
        </is>
      </c>
      <c r="I796" t="n">
        <v>5.3</v>
      </c>
      <c r="J796" t="inlineStr">
        <is>
          <t>NO</t>
        </is>
      </c>
      <c r="K796" t="inlineStr">
        <is>
          <t>2026-02-26 00:15</t>
        </is>
      </c>
      <c r="L796" t="inlineStr">
        <is>
          <t>CHECK_VENDOR</t>
        </is>
      </c>
      <c r="M796" t="inlineStr">
        <is>
          <t>See CVE details</t>
        </is>
      </c>
      <c r="N796" t="inlineStr">
        <is>
          <t>P4</t>
        </is>
      </c>
      <c r="O796" t="inlineStr">
        <is>
          <t>CVE - IP enrichment n/a</t>
        </is>
      </c>
      <c r="P796" t="n">
        <v>0</v>
      </c>
      <c r="Q796" t="n">
        <v>0</v>
      </c>
      <c r="R796" t="inlineStr">
        <is>
          <t>T1203:Exploitation for Client Execution | T1190:Exploit Public-Facing Application</t>
        </is>
      </c>
      <c r="S796" t="n">
        <v>1</v>
      </c>
      <c r="T796" t="inlineStr">
        <is>
          <t>LOW (40%)</t>
        </is>
      </c>
      <c r="U796" t="inlineStr">
        <is>
          <t>UNLIKELY</t>
        </is>
      </c>
      <c r="V796" t="inlineStr">
        <is>
          <t>CHECK_VENDOR</t>
        </is>
      </c>
      <c r="W796" t="inlineStr">
        <is>
          <t>https://nvd.nist.gov/vuln/detail/CVE-2026-2858</t>
        </is>
      </c>
      <c r="X796" t="inlineStr">
        <is>
          <t>NONE</t>
        </is>
      </c>
      <c r="Y796" t="n">
        <v>0</v>
      </c>
      <c r="Z796" t="inlineStr"/>
      <c r="AA796" t="inlineStr">
        <is>
          <t>https://nvd.nist.gov/vuln/detail/CVE-2026-2858</t>
        </is>
      </c>
    </row>
    <row r="797">
      <c r="A797" t="inlineStr">
        <is>
          <t>CVE</t>
        </is>
      </c>
      <c r="B797" t="inlineStr">
        <is>
          <t>CVE-2018-25158</t>
        </is>
      </c>
      <c r="C797" t="inlineStr">
        <is>
          <t>Chamilo LMS 1.11.8 contains an arbitrary file upload vulnerability that allows authenticated users to upload and execute PHP files through the elfinder filemanager module. Attackers can upload files with image headers in the social myfiles section, rename them to PHP extensions, and execute arbitrary code by accessing the uploaded files.</t>
        </is>
      </c>
      <c r="D797" t="n">
        <v>8.800000000000001</v>
      </c>
      <c r="E797" t="inlineStr">
        <is>
          <t>HIGH</t>
        </is>
      </c>
      <c r="F797" t="n">
        <v>2</v>
      </c>
      <c r="G797" t="n">
        <v>3</v>
      </c>
      <c r="H797" t="inlineStr">
        <is>
          <t>HIGH</t>
        </is>
      </c>
      <c r="I797" t="n">
        <v>14.8</v>
      </c>
      <c r="J797" t="inlineStr">
        <is>
          <t>NO</t>
        </is>
      </c>
      <c r="K797" t="inlineStr">
        <is>
          <t>2026-02-26 00:15</t>
        </is>
      </c>
      <c r="L797" t="inlineStr">
        <is>
          <t>CHECK_VENDOR</t>
        </is>
      </c>
      <c r="M797" t="inlineStr">
        <is>
          <t>See CVE details</t>
        </is>
      </c>
      <c r="N797" t="inlineStr">
        <is>
          <t>P3</t>
        </is>
      </c>
      <c r="O797" t="inlineStr">
        <is>
          <t>CVE - IP enrichment n/a</t>
        </is>
      </c>
      <c r="P797" t="n">
        <v>0</v>
      </c>
      <c r="Q797" t="n">
        <v>0</v>
      </c>
      <c r="R797" t="inlineStr">
        <is>
          <t>T1190:Exploit Public-Facing Application | T1203:Exploitation for Client Execution</t>
        </is>
      </c>
      <c r="S797" t="n">
        <v>1</v>
      </c>
      <c r="T797" t="inlineStr">
        <is>
          <t>LOW (40%)</t>
        </is>
      </c>
      <c r="U797" t="inlineStr">
        <is>
          <t>UNLIKELY</t>
        </is>
      </c>
      <c r="V797" t="inlineStr">
        <is>
          <t>CHECK_VENDOR</t>
        </is>
      </c>
      <c r="W797" t="inlineStr">
        <is>
          <t>https://nvd.nist.gov/vuln/detail/CVE-2018-25158</t>
        </is>
      </c>
      <c r="X797" t="inlineStr">
        <is>
          <t>NONE</t>
        </is>
      </c>
      <c r="Y797" t="n">
        <v>0</v>
      </c>
      <c r="Z797" t="inlineStr"/>
      <c r="AA797" t="inlineStr">
        <is>
          <t>https://nvd.nist.gov/vuln/detail/CVE-2018-25158</t>
        </is>
      </c>
    </row>
    <row r="798">
      <c r="A798" t="inlineStr">
        <is>
          <t>CVE</t>
        </is>
      </c>
      <c r="B798" t="inlineStr">
        <is>
          <t>CVE-2019-25431</t>
        </is>
      </c>
      <c r="C798" t="inlineStr">
        <is>
          <t>delpino73 Blue-Smiley-Organizer 1.32 contains an SQL injection vulnerability in the datetime parameter that allows unauthenticated attackers to manipulate database queries. Attackers can inject SQL code through POST requests to extract sensitive data using boolean-based blind and time-based blind techniques, or write files to the server using INTO OUTFILE statements.</t>
        </is>
      </c>
      <c r="D798" t="n">
        <v>8.199999999999999</v>
      </c>
      <c r="E798" t="inlineStr">
        <is>
          <t>HIGH</t>
        </is>
      </c>
      <c r="F798" t="n">
        <v>2</v>
      </c>
      <c r="G798" t="n">
        <v>3</v>
      </c>
      <c r="H798" t="inlineStr">
        <is>
          <t>HIGH</t>
        </is>
      </c>
      <c r="I798" t="n">
        <v>14.2</v>
      </c>
      <c r="J798" t="inlineStr">
        <is>
          <t>NO</t>
        </is>
      </c>
      <c r="K798" t="inlineStr">
        <is>
          <t>2026-02-26 00:15</t>
        </is>
      </c>
      <c r="L798" t="inlineStr">
        <is>
          <t>CHECK_VENDOR</t>
        </is>
      </c>
      <c r="M798" t="inlineStr">
        <is>
          <t>See CVE details</t>
        </is>
      </c>
      <c r="N798" t="inlineStr">
        <is>
          <t>P3</t>
        </is>
      </c>
      <c r="O798" t="inlineStr">
        <is>
          <t>CVE - IP enrichment n/a</t>
        </is>
      </c>
      <c r="P798" t="n">
        <v>0</v>
      </c>
      <c r="Q798" t="n">
        <v>0</v>
      </c>
      <c r="R798" t="inlineStr">
        <is>
          <t>T1190:Exploit Public-Facing Application</t>
        </is>
      </c>
      <c r="S798" t="n">
        <v>1</v>
      </c>
      <c r="T798" t="inlineStr">
        <is>
          <t>LOW (40%)</t>
        </is>
      </c>
      <c r="U798" t="inlineStr">
        <is>
          <t>UNLIKELY</t>
        </is>
      </c>
      <c r="V798" t="inlineStr">
        <is>
          <t>CHECK_VENDOR</t>
        </is>
      </c>
      <c r="W798" t="inlineStr">
        <is>
          <t>https://nvd.nist.gov/vuln/detail/CVE-2019-25431</t>
        </is>
      </c>
      <c r="X798" t="inlineStr">
        <is>
          <t>NONE</t>
        </is>
      </c>
      <c r="Y798" t="n">
        <v>0</v>
      </c>
      <c r="Z798" t="inlineStr"/>
      <c r="AA798" t="inlineStr">
        <is>
          <t>https://nvd.nist.gov/vuln/detail/CVE-2019-25431</t>
        </is>
      </c>
    </row>
    <row r="799">
      <c r="A799" t="inlineStr">
        <is>
          <t>CVE</t>
        </is>
      </c>
      <c r="B799" t="inlineStr">
        <is>
          <t>CVE-2019-25432</t>
        </is>
      </c>
      <c r="C799" t="inlineStr">
        <is>
          <t>Part-DB 0.4 contains an authentication bypass vulnerability that allows unauthenticated attackers to login by injecting SQL syntax into authentication parameters. Attackers can submit a single quote followed by 'or' in the login form to bypass credential validation and gain unauthorized access to the application.</t>
        </is>
      </c>
      <c r="D799" t="n">
        <v>7.5</v>
      </c>
      <c r="E799" t="inlineStr">
        <is>
          <t>HIGH</t>
        </is>
      </c>
      <c r="F799" t="n">
        <v>2</v>
      </c>
      <c r="G799" t="n">
        <v>3</v>
      </c>
      <c r="H799" t="inlineStr">
        <is>
          <t>HIGH</t>
        </is>
      </c>
      <c r="I799" t="n">
        <v>13.5</v>
      </c>
      <c r="J799" t="inlineStr">
        <is>
          <t>NO</t>
        </is>
      </c>
      <c r="K799" t="inlineStr">
        <is>
          <t>2026-02-26 00:15</t>
        </is>
      </c>
      <c r="L799" t="inlineStr">
        <is>
          <t>CHECK_VENDOR</t>
        </is>
      </c>
      <c r="M799" t="inlineStr">
        <is>
          <t>See CVE details</t>
        </is>
      </c>
      <c r="N799" t="inlineStr">
        <is>
          <t>P3</t>
        </is>
      </c>
      <c r="O799" t="inlineStr">
        <is>
          <t>CVE - IP enrichment n/a</t>
        </is>
      </c>
      <c r="P799" t="n">
        <v>0</v>
      </c>
      <c r="Q799" t="n">
        <v>0</v>
      </c>
      <c r="R799" t="inlineStr">
        <is>
          <t>T1190:Exploit Public-Facing Application | T1078:Valid Accounts | T1552:Unsecured Credentials</t>
        </is>
      </c>
      <c r="S799" t="n">
        <v>1</v>
      </c>
      <c r="T799" t="inlineStr">
        <is>
          <t>LOW (40%)</t>
        </is>
      </c>
      <c r="U799" t="inlineStr">
        <is>
          <t>UNLIKELY</t>
        </is>
      </c>
      <c r="V799" t="inlineStr">
        <is>
          <t>CHECK_VENDOR</t>
        </is>
      </c>
      <c r="W799" t="inlineStr">
        <is>
          <t>https://nvd.nist.gov/vuln/detail/CVE-2019-25432</t>
        </is>
      </c>
      <c r="X799" t="inlineStr">
        <is>
          <t>NONE</t>
        </is>
      </c>
      <c r="Y799" t="n">
        <v>0</v>
      </c>
      <c r="Z799" t="inlineStr"/>
      <c r="AA799" t="inlineStr">
        <is>
          <t>https://nvd.nist.gov/vuln/detail/CVE-2019-25432</t>
        </is>
      </c>
    </row>
    <row r="800">
      <c r="A800" t="inlineStr">
        <is>
          <t>CVE</t>
        </is>
      </c>
      <c r="B800" t="inlineStr">
        <is>
          <t>CVE-2019-25434</t>
        </is>
      </c>
      <c r="C800" t="inlineStr">
        <is>
          <t>SpotAuditor 5.3.1.0 contains a denial of service vulnerability that allows unauthenticated attackers to crash the application by submitting excessive data in the registration name field. Attackers can enter a large string of characters (5000 bytes or more) in the name field during registration to trigger an unhandled exception that crashes the application.</t>
        </is>
      </c>
      <c r="D800" t="n">
        <v>7.5</v>
      </c>
      <c r="E800" t="inlineStr">
        <is>
          <t>HIGH</t>
        </is>
      </c>
      <c r="F800" t="n">
        <v>2</v>
      </c>
      <c r="G800" t="n">
        <v>3</v>
      </c>
      <c r="H800" t="inlineStr">
        <is>
          <t>HIGH</t>
        </is>
      </c>
      <c r="I800" t="n">
        <v>13.5</v>
      </c>
      <c r="J800" t="inlineStr">
        <is>
          <t>NO</t>
        </is>
      </c>
      <c r="K800" t="inlineStr">
        <is>
          <t>2026-02-26 00:15</t>
        </is>
      </c>
      <c r="L800" t="inlineStr">
        <is>
          <t>CHECK_VENDOR</t>
        </is>
      </c>
      <c r="M800" t="inlineStr">
        <is>
          <t>See CVE details</t>
        </is>
      </c>
      <c r="N800" t="inlineStr">
        <is>
          <t>P3</t>
        </is>
      </c>
      <c r="O800" t="inlineStr">
        <is>
          <t>CVE - IP enrichment n/a</t>
        </is>
      </c>
      <c r="P800" t="n">
        <v>0</v>
      </c>
      <c r="Q800" t="n">
        <v>0</v>
      </c>
      <c r="R800" t="inlineStr">
        <is>
          <t>T1190:Exploit Public-Facing Application | T1499:Endpoint Denial of Service</t>
        </is>
      </c>
      <c r="S800" t="n">
        <v>1</v>
      </c>
      <c r="T800" t="inlineStr">
        <is>
          <t>LOW (40%)</t>
        </is>
      </c>
      <c r="U800" t="inlineStr">
        <is>
          <t>UNLIKELY</t>
        </is>
      </c>
      <c r="V800" t="inlineStr">
        <is>
          <t>CHECK_VENDOR</t>
        </is>
      </c>
      <c r="W800" t="inlineStr">
        <is>
          <t>https://nvd.nist.gov/vuln/detail/CVE-2019-25434</t>
        </is>
      </c>
      <c r="X800" t="inlineStr">
        <is>
          <t>NONE</t>
        </is>
      </c>
      <c r="Y800" t="n">
        <v>0</v>
      </c>
      <c r="Z800" t="inlineStr"/>
      <c r="AA800" t="inlineStr">
        <is>
          <t>https://nvd.nist.gov/vuln/detail/CVE-2019-25434</t>
        </is>
      </c>
    </row>
    <row r="801">
      <c r="A801" t="inlineStr">
        <is>
          <t>CVE</t>
        </is>
      </c>
      <c r="B801" t="inlineStr">
        <is>
          <t>CVE-2019-25435</t>
        </is>
      </c>
      <c r="C801" t="inlineStr">
        <is>
          <t>Sricam DeviceViewer 3.12.0.1 contains a local buffer overflow vulnerability in the user management add user function that allows authenticated attackers to execute arbitrary code by bypassing data execution prevention. Attackers can inject a malicious payload through the Username field in User Management to trigger a stack-based buffer overflow and execute commands via ROP chain gadgets.</t>
        </is>
      </c>
      <c r="D801" t="n">
        <v>7.8</v>
      </c>
      <c r="E801" t="inlineStr">
        <is>
          <t>HIGH</t>
        </is>
      </c>
      <c r="F801" t="n">
        <v>2</v>
      </c>
      <c r="G801" t="n">
        <v>3</v>
      </c>
      <c r="H801" t="inlineStr">
        <is>
          <t>HIGH</t>
        </is>
      </c>
      <c r="I801" t="n">
        <v>13.8</v>
      </c>
      <c r="J801" t="inlineStr">
        <is>
          <t>NO</t>
        </is>
      </c>
      <c r="K801" t="inlineStr">
        <is>
          <t>2026-02-26 00:15</t>
        </is>
      </c>
      <c r="L801" t="inlineStr">
        <is>
          <t>CHECK_VENDOR</t>
        </is>
      </c>
      <c r="M801" t="inlineStr">
        <is>
          <t>See CVE details</t>
        </is>
      </c>
      <c r="N801" t="inlineStr">
        <is>
          <t>P3</t>
        </is>
      </c>
      <c r="O801" t="inlineStr">
        <is>
          <t>CVE - IP enrichment n/a</t>
        </is>
      </c>
      <c r="P801" t="n">
        <v>0</v>
      </c>
      <c r="Q801" t="n">
        <v>0</v>
      </c>
      <c r="R801" t="inlineStr">
        <is>
          <t>T1190:Exploit Public-Facing Application | T1203:Exploitation for Client Execution</t>
        </is>
      </c>
      <c r="S801" t="n">
        <v>1</v>
      </c>
      <c r="T801" t="inlineStr">
        <is>
          <t>LOW (40%)</t>
        </is>
      </c>
      <c r="U801" t="inlineStr">
        <is>
          <t>UNLIKELY</t>
        </is>
      </c>
      <c r="V801" t="inlineStr">
        <is>
          <t>CHECK_VENDOR</t>
        </is>
      </c>
      <c r="W801" t="inlineStr">
        <is>
          <t>https://nvd.nist.gov/vuln/detail/CVE-2019-25435</t>
        </is>
      </c>
      <c r="X801" t="inlineStr">
        <is>
          <t>NONE</t>
        </is>
      </c>
      <c r="Y801" t="n">
        <v>0</v>
      </c>
      <c r="Z801" t="inlineStr"/>
      <c r="AA801" t="inlineStr">
        <is>
          <t>https://nvd.nist.gov/vuln/detail/CVE-2019-25435</t>
        </is>
      </c>
    </row>
    <row r="802">
      <c r="A802" t="inlineStr">
        <is>
          <t>CVE</t>
        </is>
      </c>
      <c r="B802" t="inlineStr">
        <is>
          <t>CVE-2019-25436</t>
        </is>
      </c>
      <c r="C802" t="inlineStr">
        <is>
          <t>Sricam DeviceViewer 3.12.0.1 contains a password change security bypass vulnerability that allows authenticated users to change passwords without proper validation of the old password field. Attackers can inject a large payload into the old password parameter during the change password process to bypass validation and set an arbitrary new password.</t>
        </is>
      </c>
      <c r="D802" t="n">
        <v>6.5</v>
      </c>
      <c r="E802" t="inlineStr">
        <is>
          <t>MEDIUM</t>
        </is>
      </c>
      <c r="F802" t="n">
        <v>2</v>
      </c>
      <c r="G802" t="n">
        <v>2</v>
      </c>
      <c r="H802" t="inlineStr">
        <is>
          <t>MEDIUM</t>
        </is>
      </c>
      <c r="I802" t="n">
        <v>10.5</v>
      </c>
      <c r="J802" t="inlineStr">
        <is>
          <t>NO</t>
        </is>
      </c>
      <c r="K802" t="inlineStr">
        <is>
          <t>2026-02-26 00:15</t>
        </is>
      </c>
      <c r="L802" t="inlineStr">
        <is>
          <t>CHECK_VENDOR</t>
        </is>
      </c>
      <c r="M802" t="inlineStr">
        <is>
          <t>See CVE details</t>
        </is>
      </c>
      <c r="N802" t="inlineStr">
        <is>
          <t>P4</t>
        </is>
      </c>
      <c r="O802" t="inlineStr">
        <is>
          <t>CVE - IP enrichment n/a</t>
        </is>
      </c>
      <c r="P802" t="n">
        <v>0.0002</v>
      </c>
      <c r="Q802" t="n">
        <v>0.0535</v>
      </c>
      <c r="R802" t="inlineStr">
        <is>
          <t>T1190:Exploit Public-Facing Application</t>
        </is>
      </c>
      <c r="S802" t="n">
        <v>1</v>
      </c>
      <c r="T802" t="inlineStr">
        <is>
          <t>LOW (40%)</t>
        </is>
      </c>
      <c r="U802" t="inlineStr">
        <is>
          <t>UNLIKELY</t>
        </is>
      </c>
      <c r="V802" t="inlineStr">
        <is>
          <t>CHECK_VENDOR</t>
        </is>
      </c>
      <c r="W802" t="inlineStr">
        <is>
          <t>https://nvd.nist.gov/vuln/detail/CVE-2019-25436</t>
        </is>
      </c>
      <c r="X802" t="inlineStr">
        <is>
          <t>NONE</t>
        </is>
      </c>
      <c r="Y802" t="n">
        <v>0</v>
      </c>
      <c r="Z802" t="inlineStr"/>
      <c r="AA802" t="inlineStr">
        <is>
          <t>https://nvd.nist.gov/vuln/detail/CVE-2019-25436</t>
        </is>
      </c>
    </row>
    <row r="803">
      <c r="A803" t="inlineStr">
        <is>
          <t>CVE</t>
        </is>
      </c>
      <c r="B803" t="inlineStr">
        <is>
          <t>CVE-2019-25437</t>
        </is>
      </c>
      <c r="C803" t="inlineStr">
        <is>
          <t>Foscam Video Management System 1.1.6.6 contains a buffer overflow vulnerability in the UID field that allows local attackers to crash the application by supplying an excessively long string. Attackers can input a 5000-character buffer into the UID parameter during device addition to trigger an application crash when the Login Check function is invoked.</t>
        </is>
      </c>
      <c r="D803" t="n">
        <v>6.2</v>
      </c>
      <c r="E803" t="inlineStr">
        <is>
          <t>MEDIUM</t>
        </is>
      </c>
      <c r="F803" t="n">
        <v>2</v>
      </c>
      <c r="G803" t="n">
        <v>2</v>
      </c>
      <c r="H803" t="inlineStr">
        <is>
          <t>MEDIUM</t>
        </is>
      </c>
      <c r="I803" t="n">
        <v>10.2</v>
      </c>
      <c r="J803" t="inlineStr">
        <is>
          <t>NO</t>
        </is>
      </c>
      <c r="K803" t="inlineStr">
        <is>
          <t>2026-02-26 00:15</t>
        </is>
      </c>
      <c r="L803" t="inlineStr">
        <is>
          <t>CHECK_VENDOR</t>
        </is>
      </c>
      <c r="M803" t="inlineStr">
        <is>
          <t>See CVE details</t>
        </is>
      </c>
      <c r="N803" t="inlineStr">
        <is>
          <t>P4</t>
        </is>
      </c>
      <c r="O803" t="inlineStr">
        <is>
          <t>CVE - IP enrichment n/a</t>
        </is>
      </c>
      <c r="P803" t="n">
        <v>0.0001</v>
      </c>
      <c r="Q803" t="n">
        <v>0.0157</v>
      </c>
      <c r="R803" t="inlineStr">
        <is>
          <t>T1190:Exploit Public-Facing Application | T1203:Exploitation for Client Execution</t>
        </is>
      </c>
      <c r="S803" t="n">
        <v>1</v>
      </c>
      <c r="T803" t="inlineStr">
        <is>
          <t>LOW (40%)</t>
        </is>
      </c>
      <c r="U803" t="inlineStr">
        <is>
          <t>UNLIKELY</t>
        </is>
      </c>
      <c r="V803" t="inlineStr">
        <is>
          <t>CHECK_VENDOR</t>
        </is>
      </c>
      <c r="W803" t="inlineStr">
        <is>
          <t>https://nvd.nist.gov/vuln/detail/CVE-2019-25437</t>
        </is>
      </c>
      <c r="X803" t="inlineStr">
        <is>
          <t>NONE</t>
        </is>
      </c>
      <c r="Y803" t="n">
        <v>0</v>
      </c>
      <c r="Z803" t="inlineStr"/>
      <c r="AA803" t="inlineStr">
        <is>
          <t>https://nvd.nist.gov/vuln/detail/CVE-2019-25437</t>
        </is>
      </c>
    </row>
    <row r="804">
      <c r="A804" t="inlineStr">
        <is>
          <t>CVE</t>
        </is>
      </c>
      <c r="B804" t="inlineStr">
        <is>
          <t>CVE-2019-25438</t>
        </is>
      </c>
      <c r="C804" t="inlineStr">
        <is>
          <t>LabCollector 5.423 contains multiple SQL injection vulnerabilities that allow unauthenticated attackers to execute arbitrary SQL commands by injecting malicious code through POST parameters. Attackers can submit crafted SQL payloads in the login parameter of login.php or the user_name parameter of retrieve_password.php to extract sensitive database information without authentication.</t>
        </is>
      </c>
      <c r="D804" t="n">
        <v>8.199999999999999</v>
      </c>
      <c r="E804" t="inlineStr">
        <is>
          <t>HIGH</t>
        </is>
      </c>
      <c r="F804" t="n">
        <v>2</v>
      </c>
      <c r="G804" t="n">
        <v>3</v>
      </c>
      <c r="H804" t="inlineStr">
        <is>
          <t>HIGH</t>
        </is>
      </c>
      <c r="I804" t="n">
        <v>14.2</v>
      </c>
      <c r="J804" t="inlineStr">
        <is>
          <t>NO</t>
        </is>
      </c>
      <c r="K804" t="inlineStr">
        <is>
          <t>2026-02-26 00:15</t>
        </is>
      </c>
      <c r="L804" t="inlineStr">
        <is>
          <t>CHECK_VENDOR</t>
        </is>
      </c>
      <c r="M804" t="inlineStr">
        <is>
          <t>See CVE details</t>
        </is>
      </c>
      <c r="N804" t="inlineStr">
        <is>
          <t>P3</t>
        </is>
      </c>
      <c r="O804" t="inlineStr">
        <is>
          <t>CVE - IP enrichment n/a</t>
        </is>
      </c>
      <c r="P804" t="n">
        <v>0</v>
      </c>
      <c r="Q804" t="n">
        <v>0</v>
      </c>
      <c r="R804" t="inlineStr">
        <is>
          <t>T1190:Exploit Public-Facing Application</t>
        </is>
      </c>
      <c r="S804" t="n">
        <v>1</v>
      </c>
      <c r="T804" t="inlineStr">
        <is>
          <t>LOW (40%)</t>
        </is>
      </c>
      <c r="U804" t="inlineStr">
        <is>
          <t>UNLIKELY</t>
        </is>
      </c>
      <c r="V804" t="inlineStr">
        <is>
          <t>CHECK_VENDOR</t>
        </is>
      </c>
      <c r="W804" t="inlineStr">
        <is>
          <t>https://nvd.nist.gov/vuln/detail/CVE-2019-25438</t>
        </is>
      </c>
      <c r="X804" t="inlineStr">
        <is>
          <t>NONE</t>
        </is>
      </c>
      <c r="Y804" t="n">
        <v>0</v>
      </c>
      <c r="Z804" t="inlineStr"/>
      <c r="AA804" t="inlineStr">
        <is>
          <t>https://nvd.nist.gov/vuln/detail/CVE-2019-25438</t>
        </is>
      </c>
    </row>
    <row r="805">
      <c r="A805" t="inlineStr">
        <is>
          <t>CVE</t>
        </is>
      </c>
      <c r="B805" t="inlineStr">
        <is>
          <t>CVE-2019-25441</t>
        </is>
      </c>
      <c r="C805" t="inlineStr">
        <is>
          <t>thesystem 1.0 contains a command injection vulnerability that allows unauthenticated attackers to execute arbitrary system commands by submitting malicious input to the run_command endpoint. Attackers can send POST requests with shell commands in the command parameter to execute arbitrary code on the server without authentication.</t>
        </is>
      </c>
      <c r="D805" t="n">
        <v>9.800000000000001</v>
      </c>
      <c r="E805" t="inlineStr">
        <is>
          <t>CRITICAL</t>
        </is>
      </c>
      <c r="F805" t="n">
        <v>2</v>
      </c>
      <c r="G805" t="n">
        <v>3</v>
      </c>
      <c r="H805" t="inlineStr">
        <is>
          <t>HIGH</t>
        </is>
      </c>
      <c r="I805" t="n">
        <v>15.8</v>
      </c>
      <c r="J805" t="inlineStr">
        <is>
          <t>NO</t>
        </is>
      </c>
      <c r="K805" t="inlineStr">
        <is>
          <t>2026-02-26 00:15</t>
        </is>
      </c>
      <c r="L805" t="inlineStr">
        <is>
          <t>CHECK_VENDOR</t>
        </is>
      </c>
      <c r="M805" t="inlineStr">
        <is>
          <t>See CVE details</t>
        </is>
      </c>
      <c r="N805" t="inlineStr">
        <is>
          <t>P2</t>
        </is>
      </c>
      <c r="O805" t="inlineStr">
        <is>
          <t>CVE - IP enrichment n/a</t>
        </is>
      </c>
      <c r="P805" t="n">
        <v>0.0265</v>
      </c>
      <c r="Q805" t="n">
        <v>0.8549</v>
      </c>
      <c r="R805" t="inlineStr">
        <is>
          <t>T1059:Command and Scripting Interpreter | T1203:Exploitation for Client Execution</t>
        </is>
      </c>
      <c r="S805" t="n">
        <v>1</v>
      </c>
      <c r="T805" t="inlineStr">
        <is>
          <t>LOW (40%)</t>
        </is>
      </c>
      <c r="U805" t="inlineStr">
        <is>
          <t>UNLIKELY</t>
        </is>
      </c>
      <c r="V805" t="inlineStr">
        <is>
          <t>CHECK_VENDOR</t>
        </is>
      </c>
      <c r="W805" t="inlineStr">
        <is>
          <t>https://nvd.nist.gov/vuln/detail/CVE-2019-25441</t>
        </is>
      </c>
      <c r="X805" t="inlineStr">
        <is>
          <t>NONE</t>
        </is>
      </c>
      <c r="Y805" t="n">
        <v>0</v>
      </c>
      <c r="Z805" t="inlineStr"/>
      <c r="AA805" t="inlineStr">
        <is>
          <t>https://nvd.nist.gov/vuln/detail/CVE-2019-25441</t>
        </is>
      </c>
    </row>
    <row r="806">
      <c r="A806" t="inlineStr">
        <is>
          <t>CVE</t>
        </is>
      </c>
      <c r="B806" t="inlineStr">
        <is>
          <t>CVE-2019-25447</t>
        </is>
      </c>
      <c r="C806" t="inlineStr">
        <is>
          <t>OrientDB 3.0.17 GA Community Edition contains cross-site request forgery vulnerabilities that allow attackers to perform unauthorized actions by crafting malicious requests to endpoints like /database/, /command/, and /document/. Attackers can create or delete databases, modify schema classes, manage users, and create functions by sending authenticated requests without token validation, combined with reflected and stored cross-site scripting vulnerabilities in the web interface.</t>
        </is>
      </c>
      <c r="D806" t="n">
        <v>4.3</v>
      </c>
      <c r="E806" t="inlineStr">
        <is>
          <t>MEDIUM</t>
        </is>
      </c>
      <c r="F806" t="n">
        <v>2</v>
      </c>
      <c r="G806" t="n">
        <v>2</v>
      </c>
      <c r="H806" t="inlineStr">
        <is>
          <t>MEDIUM</t>
        </is>
      </c>
      <c r="I806" t="n">
        <v>8.300000000000001</v>
      </c>
      <c r="J806" t="inlineStr">
        <is>
          <t>NO</t>
        </is>
      </c>
      <c r="K806" t="inlineStr">
        <is>
          <t>2026-02-26 00:15</t>
        </is>
      </c>
      <c r="L806" t="inlineStr">
        <is>
          <t>CHECK_VENDOR</t>
        </is>
      </c>
      <c r="M806" t="inlineStr">
        <is>
          <t>orientdb orientdb 3.0.17</t>
        </is>
      </c>
      <c r="N806" t="inlineStr">
        <is>
          <t>P4</t>
        </is>
      </c>
      <c r="O806" t="inlineStr">
        <is>
          <t>CVE - IP enrichment n/a</t>
        </is>
      </c>
      <c r="P806" t="n">
        <v>0</v>
      </c>
      <c r="Q806" t="n">
        <v>0</v>
      </c>
      <c r="R806" t="inlineStr">
        <is>
          <t>T1185:Browser Session Hijacking | T1189:Drive-by Compromise</t>
        </is>
      </c>
      <c r="S806" t="n">
        <v>1</v>
      </c>
      <c r="T806" t="inlineStr">
        <is>
          <t>LOW (40%)</t>
        </is>
      </c>
      <c r="U806" t="inlineStr">
        <is>
          <t>UNLIKELY</t>
        </is>
      </c>
      <c r="V806" t="inlineStr">
        <is>
          <t>CHECK_VENDOR</t>
        </is>
      </c>
      <c r="W806" t="inlineStr">
        <is>
          <t>https://nvd.nist.gov/vuln/detail/CVE-2019-25447</t>
        </is>
      </c>
      <c r="X806" t="inlineStr">
        <is>
          <t>NONE</t>
        </is>
      </c>
      <c r="Y806" t="n">
        <v>0</v>
      </c>
      <c r="Z806" t="inlineStr"/>
      <c r="AA806" t="inlineStr">
        <is>
          <t>https://nvd.nist.gov/vuln/detail/CVE-2019-25447</t>
        </is>
      </c>
    </row>
    <row r="807">
      <c r="A807" t="inlineStr">
        <is>
          <t>CVE</t>
        </is>
      </c>
      <c r="B807" t="inlineStr">
        <is>
          <t>CVE-2019-25448</t>
        </is>
      </c>
      <c r="C807" t="inlineStr">
        <is>
          <t>OrientDB 3.0.17 contains a stored cross-site scripting vulnerability that allows authenticated attackers to inject malicious scripts by creating users with script payloads in the name parameter. Attackers can send POST requests to the document endpoint with JavaScript code in the name field to execute arbitrary scripts when users view the application.</t>
        </is>
      </c>
      <c r="D807" t="n">
        <v>6.4</v>
      </c>
      <c r="E807" t="inlineStr">
        <is>
          <t>MEDIUM</t>
        </is>
      </c>
      <c r="F807" t="n">
        <v>2</v>
      </c>
      <c r="G807" t="n">
        <v>2</v>
      </c>
      <c r="H807" t="inlineStr">
        <is>
          <t>MEDIUM</t>
        </is>
      </c>
      <c r="I807" t="n">
        <v>10.4</v>
      </c>
      <c r="J807" t="inlineStr">
        <is>
          <t>NO</t>
        </is>
      </c>
      <c r="K807" t="inlineStr">
        <is>
          <t>2026-02-26 00:15</t>
        </is>
      </c>
      <c r="L807" t="inlineStr">
        <is>
          <t>CHECK_VENDOR</t>
        </is>
      </c>
      <c r="M807" t="inlineStr">
        <is>
          <t>orientdb orientdb 3.0.17</t>
        </is>
      </c>
      <c r="N807" t="inlineStr">
        <is>
          <t>P4</t>
        </is>
      </c>
      <c r="O807" t="inlineStr">
        <is>
          <t>CVE - IP enrichment n/a</t>
        </is>
      </c>
      <c r="P807" t="n">
        <v>0</v>
      </c>
      <c r="Q807" t="n">
        <v>0</v>
      </c>
      <c r="R807" t="inlineStr">
        <is>
          <t>T1189:Drive-by Compromise</t>
        </is>
      </c>
      <c r="S807" t="n">
        <v>1</v>
      </c>
      <c r="T807" t="inlineStr">
        <is>
          <t>LOW (40%)</t>
        </is>
      </c>
      <c r="U807" t="inlineStr">
        <is>
          <t>UNLIKELY</t>
        </is>
      </c>
      <c r="V807" t="inlineStr">
        <is>
          <t>CHECK_VENDOR</t>
        </is>
      </c>
      <c r="W807" t="inlineStr">
        <is>
          <t>https://nvd.nist.gov/vuln/detail/CVE-2019-25448</t>
        </is>
      </c>
      <c r="X807" t="inlineStr">
        <is>
          <t>NONE</t>
        </is>
      </c>
      <c r="Y807" t="n">
        <v>0</v>
      </c>
      <c r="Z807" t="inlineStr"/>
      <c r="AA807" t="inlineStr">
        <is>
          <t>https://nvd.nist.gov/vuln/detail/CVE-2019-25448</t>
        </is>
      </c>
    </row>
    <row r="808">
      <c r="A808" t="inlineStr">
        <is>
          <t>CVE</t>
        </is>
      </c>
      <c r="B808" t="inlineStr">
        <is>
          <t>CVE-2019-25449</t>
        </is>
      </c>
      <c r="C808" t="inlineStr">
        <is>
          <t>OrientDB 3.0.17 contains a reflected cross-site scripting vulnerability that allows attackers to inject malicious scripts by submitting crafted JSON payloads to the document endpoint. Attackers can send POST requests to /document/demodb/-1:-1 with script tags in the name parameter to execute arbitrary JavaScript in users' browsers.</t>
        </is>
      </c>
      <c r="D808" t="n">
        <v>6.1</v>
      </c>
      <c r="E808" t="inlineStr">
        <is>
          <t>MEDIUM</t>
        </is>
      </c>
      <c r="F808" t="n">
        <v>2</v>
      </c>
      <c r="G808" t="n">
        <v>2</v>
      </c>
      <c r="H808" t="inlineStr">
        <is>
          <t>MEDIUM</t>
        </is>
      </c>
      <c r="I808" t="n">
        <v>10.1</v>
      </c>
      <c r="J808" t="inlineStr">
        <is>
          <t>NO</t>
        </is>
      </c>
      <c r="K808" t="inlineStr">
        <is>
          <t>2026-02-26 00:15</t>
        </is>
      </c>
      <c r="L808" t="inlineStr">
        <is>
          <t>CHECK_VENDOR</t>
        </is>
      </c>
      <c r="M808" t="inlineStr">
        <is>
          <t>orientdb orientdb 3.0.17</t>
        </is>
      </c>
      <c r="N808" t="inlineStr">
        <is>
          <t>P4</t>
        </is>
      </c>
      <c r="O808" t="inlineStr">
        <is>
          <t>CVE - IP enrichment n/a</t>
        </is>
      </c>
      <c r="P808" t="n">
        <v>0</v>
      </c>
      <c r="Q808" t="n">
        <v>0</v>
      </c>
      <c r="R808" t="inlineStr">
        <is>
          <t>T1189:Drive-by Compromise</t>
        </is>
      </c>
      <c r="S808" t="n">
        <v>1</v>
      </c>
      <c r="T808" t="inlineStr">
        <is>
          <t>LOW (40%)</t>
        </is>
      </c>
      <c r="U808" t="inlineStr">
        <is>
          <t>UNLIKELY</t>
        </is>
      </c>
      <c r="V808" t="inlineStr">
        <is>
          <t>CHECK_VENDOR</t>
        </is>
      </c>
      <c r="W808" t="inlineStr">
        <is>
          <t>https://nvd.nist.gov/vuln/detail/CVE-2019-25449</t>
        </is>
      </c>
      <c r="X808" t="inlineStr">
        <is>
          <t>NONE</t>
        </is>
      </c>
      <c r="Y808" t="n">
        <v>0</v>
      </c>
      <c r="Z808" t="inlineStr"/>
      <c r="AA808" t="inlineStr">
        <is>
          <t>https://nvd.nist.gov/vuln/detail/CVE-2019-25449</t>
        </is>
      </c>
    </row>
    <row r="809">
      <c r="A809" t="inlineStr">
        <is>
          <t>CVE</t>
        </is>
      </c>
      <c r="B809" t="inlineStr">
        <is>
          <t>CVE-2019-25451</t>
        </is>
      </c>
      <c r="C809" t="inlineStr">
        <is>
          <t>phpMoAdmin 1.1.5 contains a cross-site request forgery vulnerability that allows attackers to perform unauthorized database operations by crafting malicious requests. Attackers can trick authenticated users into submitting GET requests to moadmin.php with parameters like action, db, and collection to create, drop, or repair databases and collections without user consent.</t>
        </is>
      </c>
      <c r="D809" t="n">
        <v>4.3</v>
      </c>
      <c r="E809" t="inlineStr">
        <is>
          <t>MEDIUM</t>
        </is>
      </c>
      <c r="F809" t="n">
        <v>2</v>
      </c>
      <c r="G809" t="n">
        <v>2</v>
      </c>
      <c r="H809" t="inlineStr">
        <is>
          <t>MEDIUM</t>
        </is>
      </c>
      <c r="I809" t="n">
        <v>8.300000000000001</v>
      </c>
      <c r="J809" t="inlineStr">
        <is>
          <t>NO</t>
        </is>
      </c>
      <c r="K809" t="inlineStr">
        <is>
          <t>2026-02-26 00:15</t>
        </is>
      </c>
      <c r="L809" t="inlineStr">
        <is>
          <t>CHECK_VENDOR</t>
        </is>
      </c>
      <c r="M809" t="inlineStr">
        <is>
          <t>phpmoadmin phpmoadmin 1.1.5</t>
        </is>
      </c>
      <c r="N809" t="inlineStr">
        <is>
          <t>P4</t>
        </is>
      </c>
      <c r="O809" t="inlineStr">
        <is>
          <t>CVE - IP enrichment n/a</t>
        </is>
      </c>
      <c r="P809" t="n">
        <v>0</v>
      </c>
      <c r="Q809" t="n">
        <v>0</v>
      </c>
      <c r="R809" t="inlineStr">
        <is>
          <t>T1090:Proxy</t>
        </is>
      </c>
      <c r="S809" t="n">
        <v>1</v>
      </c>
      <c r="T809" t="inlineStr">
        <is>
          <t>LOW (40%)</t>
        </is>
      </c>
      <c r="U809" t="inlineStr">
        <is>
          <t>UNLIKELY</t>
        </is>
      </c>
      <c r="V809" t="inlineStr">
        <is>
          <t>CHECK_VENDOR</t>
        </is>
      </c>
      <c r="W809" t="inlineStr">
        <is>
          <t>https://nvd.nist.gov/vuln/detail/CVE-2019-25451</t>
        </is>
      </c>
      <c r="X809" t="inlineStr">
        <is>
          <t>NONE</t>
        </is>
      </c>
      <c r="Y809" t="n">
        <v>0</v>
      </c>
      <c r="Z809" t="inlineStr"/>
      <c r="AA809" t="inlineStr">
        <is>
          <t>https://nvd.nist.gov/vuln/detail/CVE-2019-25451</t>
        </is>
      </c>
    </row>
    <row r="810">
      <c r="A810" t="inlineStr">
        <is>
          <t>CVE</t>
        </is>
      </c>
      <c r="B810" t="inlineStr">
        <is>
          <t>CVE-2019-25453</t>
        </is>
      </c>
      <c r="C810" t="inlineStr">
        <is>
          <t>phpMoAdmin 1.1.5 contains a reflected cross-site scripting vulnerability that allows unauthenticated attackers to inject malicious scripts by manipulating the newdb parameter. Attackers can craft URLs with JavaScript payloads in the newdb parameter of moadmin.php to execute arbitrary code in users' browsers when they visit the malicious link.</t>
        </is>
      </c>
      <c r="D810" t="n">
        <v>6.1</v>
      </c>
      <c r="E810" t="inlineStr">
        <is>
          <t>MEDIUM</t>
        </is>
      </c>
      <c r="F810" t="n">
        <v>2</v>
      </c>
      <c r="G810" t="n">
        <v>2</v>
      </c>
      <c r="H810" t="inlineStr">
        <is>
          <t>MEDIUM</t>
        </is>
      </c>
      <c r="I810" t="n">
        <v>10.1</v>
      </c>
      <c r="J810" t="inlineStr">
        <is>
          <t>NO</t>
        </is>
      </c>
      <c r="K810" t="inlineStr">
        <is>
          <t>2026-02-26 00:15</t>
        </is>
      </c>
      <c r="L810" t="inlineStr">
        <is>
          <t>CHECK_VENDOR</t>
        </is>
      </c>
      <c r="M810" t="inlineStr">
        <is>
          <t>phpmoadmin phpmoadmin 1.1.5</t>
        </is>
      </c>
      <c r="N810" t="inlineStr">
        <is>
          <t>P4</t>
        </is>
      </c>
      <c r="O810" t="inlineStr">
        <is>
          <t>CVE - IP enrichment n/a</t>
        </is>
      </c>
      <c r="P810" t="n">
        <v>0</v>
      </c>
      <c r="Q810" t="n">
        <v>0</v>
      </c>
      <c r="R810" t="inlineStr">
        <is>
          <t>T1189:Drive-by Compromise | T1203:Exploitation for Client Execution</t>
        </is>
      </c>
      <c r="S810" t="n">
        <v>1</v>
      </c>
      <c r="T810" t="inlineStr">
        <is>
          <t>LOW (40%)</t>
        </is>
      </c>
      <c r="U810" t="inlineStr">
        <is>
          <t>UNLIKELY</t>
        </is>
      </c>
      <c r="V810" t="inlineStr">
        <is>
          <t>CHECK_VENDOR</t>
        </is>
      </c>
      <c r="W810" t="inlineStr">
        <is>
          <t>https://nvd.nist.gov/vuln/detail/CVE-2019-25453</t>
        </is>
      </c>
      <c r="X810" t="inlineStr">
        <is>
          <t>NONE</t>
        </is>
      </c>
      <c r="Y810" t="n">
        <v>0</v>
      </c>
      <c r="Z810" t="inlineStr"/>
      <c r="AA810" t="inlineStr">
        <is>
          <t>https://nvd.nist.gov/vuln/detail/CVE-2019-25453</t>
        </is>
      </c>
    </row>
    <row r="811">
      <c r="A811" t="inlineStr">
        <is>
          <t>CVE</t>
        </is>
      </c>
      <c r="B811" t="inlineStr">
        <is>
          <t>CVE-2019-25454</t>
        </is>
      </c>
      <c r="C811" t="inlineStr">
        <is>
          <t>phpMoAdmin 1.1.5 contains a stored cross-site scripting vulnerability that allows unauthenticated attackers to inject malicious scripts by manipulating the collection parameter. Attackers can send GET requests to moadmin.php with script payloads in the collection parameter during collection creation to execute arbitrary JavaScript in users' browsers.</t>
        </is>
      </c>
      <c r="D811" t="n">
        <v>7.2</v>
      </c>
      <c r="E811" t="inlineStr">
        <is>
          <t>HIGH</t>
        </is>
      </c>
      <c r="F811" t="n">
        <v>2</v>
      </c>
      <c r="G811" t="n">
        <v>3</v>
      </c>
      <c r="H811" t="inlineStr">
        <is>
          <t>HIGH</t>
        </is>
      </c>
      <c r="I811" t="n">
        <v>13.2</v>
      </c>
      <c r="J811" t="inlineStr">
        <is>
          <t>NO</t>
        </is>
      </c>
      <c r="K811" t="inlineStr">
        <is>
          <t>2026-02-26 00:15</t>
        </is>
      </c>
      <c r="L811" t="inlineStr">
        <is>
          <t>CHECK_VENDOR</t>
        </is>
      </c>
      <c r="M811" t="inlineStr">
        <is>
          <t>phpmoadmin phpmoadmin 1.1.5</t>
        </is>
      </c>
      <c r="N811" t="inlineStr">
        <is>
          <t>P3</t>
        </is>
      </c>
      <c r="O811" t="inlineStr">
        <is>
          <t>CVE - IP enrichment n/a</t>
        </is>
      </c>
      <c r="P811" t="n">
        <v>0</v>
      </c>
      <c r="Q811" t="n">
        <v>0</v>
      </c>
      <c r="R811" t="inlineStr">
        <is>
          <t>T1189:Drive-by Compromise</t>
        </is>
      </c>
      <c r="S811" t="n">
        <v>1</v>
      </c>
      <c r="T811" t="inlineStr">
        <is>
          <t>LOW (40%)</t>
        </is>
      </c>
      <c r="U811" t="inlineStr">
        <is>
          <t>UNLIKELY</t>
        </is>
      </c>
      <c r="V811" t="inlineStr">
        <is>
          <t>CHECK_VENDOR</t>
        </is>
      </c>
      <c r="W811" t="inlineStr">
        <is>
          <t>https://nvd.nist.gov/vuln/detail/CVE-2019-25454</t>
        </is>
      </c>
      <c r="X811" t="inlineStr">
        <is>
          <t>NONE</t>
        </is>
      </c>
      <c r="Y811" t="n">
        <v>0</v>
      </c>
      <c r="Z811" t="inlineStr"/>
      <c r="AA811" t="inlineStr">
        <is>
          <t>https://nvd.nist.gov/vuln/detail/CVE-2019-25454</t>
        </is>
      </c>
    </row>
    <row r="812">
      <c r="A812" t="inlineStr">
        <is>
          <t>CVE</t>
        </is>
      </c>
      <c r="B812" t="inlineStr">
        <is>
          <t>CVE-2026-27119</t>
        </is>
      </c>
      <c r="C812" t="inlineStr">
        <is>
          <t>svelte performance oriented web framework. From 5.39.3, element does not properly escape its content, potentially allowing HTML injection in the SSR output. Client-side rendering is not affected. This vulnerability is fixed in 5.51.5.</t>
        </is>
      </c>
      <c r="D812" t="n">
        <v>5.4</v>
      </c>
      <c r="E812" t="inlineStr">
        <is>
          <t>MEDIUM</t>
        </is>
      </c>
      <c r="F812" t="n">
        <v>2</v>
      </c>
      <c r="G812" t="n">
        <v>2</v>
      </c>
      <c r="H812" t="inlineStr">
        <is>
          <t>MEDIUM</t>
        </is>
      </c>
      <c r="I812" t="n">
        <v>9.4</v>
      </c>
      <c r="J812" t="inlineStr">
        <is>
          <t>NO</t>
        </is>
      </c>
      <c r="K812" t="inlineStr">
        <is>
          <t>2026-02-26 00:15</t>
        </is>
      </c>
      <c r="L812" t="inlineStr">
        <is>
          <t>YES</t>
        </is>
      </c>
      <c r="M812" t="inlineStr">
        <is>
          <t>svelte svelte *</t>
        </is>
      </c>
      <c r="N812" t="inlineStr">
        <is>
          <t>P4</t>
        </is>
      </c>
      <c r="O812" t="inlineStr">
        <is>
          <t>CVE - IP enrichment n/a</t>
        </is>
      </c>
      <c r="P812" t="n">
        <v>0</v>
      </c>
      <c r="Q812" t="n">
        <v>0</v>
      </c>
      <c r="R812" t="inlineStr">
        <is>
          <t>T1189:Drive-by Compromise</t>
        </is>
      </c>
      <c r="S812" t="n">
        <v>1</v>
      </c>
      <c r="T812" t="inlineStr">
        <is>
          <t>LOW (40%)</t>
        </is>
      </c>
      <c r="U812" t="inlineStr">
        <is>
          <t>UNLIKELY</t>
        </is>
      </c>
      <c r="V812" t="inlineStr">
        <is>
          <t>PATCH_AVAILABLE</t>
        </is>
      </c>
      <c r="W812" t="inlineStr">
        <is>
          <t>https://nvd.nist.gov/vuln/detail/CVE-2026-27119</t>
        </is>
      </c>
      <c r="X812" t="inlineStr">
        <is>
          <t>NONE</t>
        </is>
      </c>
      <c r="Y812" t="n">
        <v>0</v>
      </c>
      <c r="Z812" t="inlineStr"/>
      <c r="AA812" t="inlineStr">
        <is>
          <t>https://nvd.nist.gov/vuln/detail/CVE-2026-27119</t>
        </is>
      </c>
    </row>
    <row r="813">
      <c r="A813" t="inlineStr">
        <is>
          <t>CVE</t>
        </is>
      </c>
      <c r="B813" t="inlineStr">
        <is>
          <t>CVE-2026-27121</t>
        </is>
      </c>
      <c r="C813" t="inlineStr">
        <is>
          <t>svelte performance oriented web framework. Versions of svelte prior to 5.51.5 are vulnerable to cross-site scripting (XSS) during server-side rendering. When using spread syntax to render attributes from untrusted data, event handler properties are included in the rendered HTML output. If an application spreads user-controlled or external data as element attributes, an attacker can inject malicious event handlers that execute in victims' browsers. This vulnerability is fixed in 5.51.5.</t>
        </is>
      </c>
      <c r="D813" t="n">
        <v>5.4</v>
      </c>
      <c r="E813" t="inlineStr">
        <is>
          <t>MEDIUM</t>
        </is>
      </c>
      <c r="F813" t="n">
        <v>2</v>
      </c>
      <c r="G813" t="n">
        <v>2</v>
      </c>
      <c r="H813" t="inlineStr">
        <is>
          <t>MEDIUM</t>
        </is>
      </c>
      <c r="I813" t="n">
        <v>9.4</v>
      </c>
      <c r="J813" t="inlineStr">
        <is>
          <t>NO</t>
        </is>
      </c>
      <c r="K813" t="inlineStr">
        <is>
          <t>2026-02-26 00:15</t>
        </is>
      </c>
      <c r="L813" t="inlineStr">
        <is>
          <t>YES</t>
        </is>
      </c>
      <c r="M813" t="inlineStr">
        <is>
          <t>svelte svelte *</t>
        </is>
      </c>
      <c r="N813" t="inlineStr">
        <is>
          <t>P4</t>
        </is>
      </c>
      <c r="O813" t="inlineStr">
        <is>
          <t>CVE - IP enrichment n/a</t>
        </is>
      </c>
      <c r="P813" t="n">
        <v>0</v>
      </c>
      <c r="Q813" t="n">
        <v>0</v>
      </c>
      <c r="R813" t="inlineStr">
        <is>
          <t>T1189:Drive-by Compromise</t>
        </is>
      </c>
      <c r="S813" t="n">
        <v>1</v>
      </c>
      <c r="T813" t="inlineStr">
        <is>
          <t>LOW (40%)</t>
        </is>
      </c>
      <c r="U813" t="inlineStr">
        <is>
          <t>UNLIKELY</t>
        </is>
      </c>
      <c r="V813" t="inlineStr">
        <is>
          <t>PATCH_AVAILABLE</t>
        </is>
      </c>
      <c r="W813" t="inlineStr">
        <is>
          <t>https://nvd.nist.gov/vuln/detail/CVE-2026-27121</t>
        </is>
      </c>
      <c r="X813" t="inlineStr">
        <is>
          <t>NONE</t>
        </is>
      </c>
      <c r="Y813" t="n">
        <v>0</v>
      </c>
      <c r="Z813" t="inlineStr"/>
      <c r="AA813" t="inlineStr">
        <is>
          <t>https://nvd.nist.gov/vuln/detail/CVE-2026-27121</t>
        </is>
      </c>
    </row>
    <row r="814">
      <c r="A814" t="inlineStr">
        <is>
          <t>CVE</t>
        </is>
      </c>
      <c r="B814" t="inlineStr">
        <is>
          <t>CVE-2026-27122</t>
        </is>
      </c>
      <c r="C814" t="inlineStr">
        <is>
          <t>svelte performance oriented web framework. Prior to 5.51.5, when using in server-side rendering, the provided tag name is not validated or sanitized before being emitted into the HTML output. If the tag string contains unexpected characters, it can result in HTML injection in the SSR output. Client-side rendering is not affected. This vulnerability is fixed in 5.51.5.</t>
        </is>
      </c>
      <c r="D814" t="n">
        <v>5.4</v>
      </c>
      <c r="E814" t="inlineStr">
        <is>
          <t>MEDIUM</t>
        </is>
      </c>
      <c r="F814" t="n">
        <v>2</v>
      </c>
      <c r="G814" t="n">
        <v>2</v>
      </c>
      <c r="H814" t="inlineStr">
        <is>
          <t>MEDIUM</t>
        </is>
      </c>
      <c r="I814" t="n">
        <v>9.4</v>
      </c>
      <c r="J814" t="inlineStr">
        <is>
          <t>NO</t>
        </is>
      </c>
      <c r="K814" t="inlineStr">
        <is>
          <t>2026-02-26 00:15</t>
        </is>
      </c>
      <c r="L814" t="inlineStr">
        <is>
          <t>YES</t>
        </is>
      </c>
      <c r="M814" t="inlineStr">
        <is>
          <t>svelte svelte *</t>
        </is>
      </c>
      <c r="N814" t="inlineStr">
        <is>
          <t>P4</t>
        </is>
      </c>
      <c r="O814" t="inlineStr">
        <is>
          <t>CVE - IP enrichment n/a</t>
        </is>
      </c>
      <c r="P814" t="n">
        <v>0.0003</v>
      </c>
      <c r="Q814" t="n">
        <v>0.0732</v>
      </c>
      <c r="R814" t="inlineStr">
        <is>
          <t>T1189:Drive-by Compromise</t>
        </is>
      </c>
      <c r="S814" t="n">
        <v>1</v>
      </c>
      <c r="T814" t="inlineStr">
        <is>
          <t>LOW (40%)</t>
        </is>
      </c>
      <c r="U814" t="inlineStr">
        <is>
          <t>UNLIKELY</t>
        </is>
      </c>
      <c r="V814" t="inlineStr">
        <is>
          <t>PATCH_AVAILABLE</t>
        </is>
      </c>
      <c r="W814" t="inlineStr">
        <is>
          <t>https://nvd.nist.gov/vuln/detail/CVE-2026-27122</t>
        </is>
      </c>
      <c r="X814" t="inlineStr">
        <is>
          <t>NONE</t>
        </is>
      </c>
      <c r="Y814" t="n">
        <v>0</v>
      </c>
      <c r="Z814" t="inlineStr"/>
      <c r="AA814" t="inlineStr">
        <is>
          <t>https://nvd.nist.gov/vuln/detail/CVE-2026-27122</t>
        </is>
      </c>
    </row>
    <row r="815">
      <c r="A815" t="inlineStr">
        <is>
          <t>CVE</t>
        </is>
      </c>
      <c r="B815" t="inlineStr">
        <is>
          <t>CVE-2026-27125</t>
        </is>
      </c>
      <c r="C815" t="inlineStr">
        <is>
          <t>svelte performance oriented web framework. Prior to 5.51.5, in server-side rendering, attribute spreading on elements (e.g. ) enumerates inherited properties from the object's prototype chain rather than only own properties. In environments where Object.prototype has already been polluted — a precondition outside of Svelte's control — this can cause unexpected attributes to appear in SSR output or cause SSR to throw errors. Client-side rendering is not affected. This vulnerability is fixed in 5.</t>
        </is>
      </c>
      <c r="D815" t="n">
        <v>6.8</v>
      </c>
      <c r="E815" t="inlineStr">
        <is>
          <t>MEDIUM</t>
        </is>
      </c>
      <c r="F815" t="n">
        <v>2</v>
      </c>
      <c r="G815" t="n">
        <v>2</v>
      </c>
      <c r="H815" t="inlineStr">
        <is>
          <t>MEDIUM</t>
        </is>
      </c>
      <c r="I815" t="n">
        <v>10.8</v>
      </c>
      <c r="J815" t="inlineStr">
        <is>
          <t>NO</t>
        </is>
      </c>
      <c r="K815" t="inlineStr">
        <is>
          <t>2026-02-26 00:15</t>
        </is>
      </c>
      <c r="L815" t="inlineStr">
        <is>
          <t>YES</t>
        </is>
      </c>
      <c r="M815" t="inlineStr">
        <is>
          <t>svelte svelte *</t>
        </is>
      </c>
      <c r="N815" t="inlineStr">
        <is>
          <t>P4</t>
        </is>
      </c>
      <c r="O815" t="inlineStr">
        <is>
          <t>CVE - IP enrichment n/a</t>
        </is>
      </c>
      <c r="P815" t="n">
        <v>0</v>
      </c>
      <c r="Q815" t="n">
        <v>0</v>
      </c>
      <c r="R815" t="inlineStr">
        <is>
          <t>T1190:Exploit Public-Facing Application</t>
        </is>
      </c>
      <c r="S815" t="n">
        <v>1</v>
      </c>
      <c r="T815" t="inlineStr">
        <is>
          <t>LOW (40%)</t>
        </is>
      </c>
      <c r="U815" t="inlineStr">
        <is>
          <t>UNLIKELY</t>
        </is>
      </c>
      <c r="V815" t="inlineStr">
        <is>
          <t>PATCH_AVAILABLE</t>
        </is>
      </c>
      <c r="W815" t="inlineStr">
        <is>
          <t>https://nvd.nist.gov/vuln/detail/CVE-2026-27125</t>
        </is>
      </c>
      <c r="X815" t="inlineStr">
        <is>
          <t>NONE</t>
        </is>
      </c>
      <c r="Y815" t="n">
        <v>0</v>
      </c>
      <c r="Z815" t="inlineStr"/>
      <c r="AA815" t="inlineStr">
        <is>
          <t>https://nvd.nist.gov/vuln/detail/CVE-2026-27125</t>
        </is>
      </c>
    </row>
    <row r="816">
      <c r="A816" t="inlineStr">
        <is>
          <t>CVE</t>
        </is>
      </c>
      <c r="B816" t="inlineStr">
        <is>
          <t>CVE-2026-27133</t>
        </is>
      </c>
      <c r="C816" t="inlineStr">
        <is>
          <t>Strimzi provides a way to run an Apache Kafka cluster on Kubernetes or OpenShift in various deployment configurations. From 0.47.0 to before 0.50.1, when a chain consisting of multiple CA (Certificate Authority) certificates is used in the trusted certificates configuration of a Kafka Connect operand or of the target cluster in the Kafka MirrorMaker 2 operand, all of the certificates that are part of the CA chain will be trusted individually when connecting to the Apache Kafka cluster. Due to th</t>
        </is>
      </c>
      <c r="D816" t="n">
        <v>5.9</v>
      </c>
      <c r="E816" t="inlineStr">
        <is>
          <t>MEDIUM</t>
        </is>
      </c>
      <c r="F816" t="n">
        <v>2</v>
      </c>
      <c r="G816" t="n">
        <v>2</v>
      </c>
      <c r="H816" t="inlineStr">
        <is>
          <t>MEDIUM</t>
        </is>
      </c>
      <c r="I816" t="n">
        <v>9.9</v>
      </c>
      <c r="J816" t="inlineStr">
        <is>
          <t>NO</t>
        </is>
      </c>
      <c r="K816" t="inlineStr">
        <is>
          <t>2026-02-26 00:15</t>
        </is>
      </c>
      <c r="L816" t="inlineStr">
        <is>
          <t>YES</t>
        </is>
      </c>
      <c r="M816" t="inlineStr">
        <is>
          <t>linuxfoundation strimzi_kafka_operator *</t>
        </is>
      </c>
      <c r="N816" t="inlineStr">
        <is>
          <t>P4</t>
        </is>
      </c>
      <c r="O816" t="inlineStr">
        <is>
          <t>CVE - IP enrichment n/a</t>
        </is>
      </c>
      <c r="P816" t="n">
        <v>0</v>
      </c>
      <c r="Q816" t="n">
        <v>0</v>
      </c>
      <c r="R816" t="inlineStr">
        <is>
          <t>T1190:Exploit Public-Facing Application</t>
        </is>
      </c>
      <c r="S816" t="n">
        <v>1</v>
      </c>
      <c r="T816" t="inlineStr">
        <is>
          <t>LOW (40%)</t>
        </is>
      </c>
      <c r="U816" t="inlineStr">
        <is>
          <t>UNLIKELY</t>
        </is>
      </c>
      <c r="V816" t="inlineStr">
        <is>
          <t>PATCH_AVAILABLE</t>
        </is>
      </c>
      <c r="W816" t="inlineStr">
        <is>
          <t>https://nvd.nist.gov/vuln/detail/CVE-2026-27133</t>
        </is>
      </c>
      <c r="X816" t="inlineStr">
        <is>
          <t>NONE</t>
        </is>
      </c>
      <c r="Y816" t="n">
        <v>0</v>
      </c>
      <c r="Z816" t="inlineStr"/>
      <c r="AA816" t="inlineStr">
        <is>
          <t>https://nvd.nist.gov/vuln/detail/CVE-2026-27133</t>
        </is>
      </c>
    </row>
    <row r="817">
      <c r="A817" t="inlineStr">
        <is>
          <t>CVE</t>
        </is>
      </c>
      <c r="B817" t="inlineStr">
        <is>
          <t>CVE-2026-2033</t>
        </is>
      </c>
      <c r="C817" t="inlineStr">
        <is>
          <t>MLflow Tracking Server Artifact Handler Directory Traversal Remote Code Execution Vulnerability. This vulnerability allows remote attackers to execute arbitrary code on affected installations of MLflow Tracking Server. Authentication is not required to exploit this vulnerability.
The specific flaw exists within the handling of artifact file paths. The issue results from the lack of proper validation of a user-supplied path prior to using it in file operations. An attacker can leverage this vuln</t>
        </is>
      </c>
      <c r="D817" t="n">
        <v>8.1</v>
      </c>
      <c r="E817" t="inlineStr">
        <is>
          <t>HIGH</t>
        </is>
      </c>
      <c r="F817" t="n">
        <v>2</v>
      </c>
      <c r="G817" t="n">
        <v>3</v>
      </c>
      <c r="H817" t="inlineStr">
        <is>
          <t>HIGH</t>
        </is>
      </c>
      <c r="I817" t="n">
        <v>14.1</v>
      </c>
      <c r="J817" t="inlineStr">
        <is>
          <t>NO</t>
        </is>
      </c>
      <c r="K817" t="inlineStr">
        <is>
          <t>2026-02-26 00:15</t>
        </is>
      </c>
      <c r="L817" t="inlineStr">
        <is>
          <t>CHECK_VENDOR</t>
        </is>
      </c>
      <c r="M817" t="inlineStr">
        <is>
          <t>See CVE details</t>
        </is>
      </c>
      <c r="N817" t="inlineStr">
        <is>
          <t>P1</t>
        </is>
      </c>
      <c r="O817" t="inlineStr">
        <is>
          <t>CVE - IP enrichment n/a</t>
        </is>
      </c>
      <c r="P817" t="n">
        <v>0</v>
      </c>
      <c r="Q817" t="n">
        <v>0</v>
      </c>
      <c r="R817" t="inlineStr">
        <is>
          <t>T1083:File and Directory Discovery | T1190:Exploit Public-Facing Application | T1210:Exploitation of Remote Services</t>
        </is>
      </c>
      <c r="S817" t="n">
        <v>2</v>
      </c>
      <c r="T817" t="inlineStr">
        <is>
          <t>HIGH (72%)</t>
        </is>
      </c>
      <c r="U817" t="inlineStr">
        <is>
          <t>HIGH</t>
        </is>
      </c>
      <c r="V817" t="inlineStr">
        <is>
          <t>CHECK_VENDOR</t>
        </is>
      </c>
      <c r="W817" t="inlineStr">
        <is>
          <t>https://nvd.nist.gov/vuln/detail/CVE-2026-2033</t>
        </is>
      </c>
      <c r="X817" t="inlineStr">
        <is>
          <t>http://www.zerodayinitiative.com/advisories/ZDI-26-105/</t>
        </is>
      </c>
      <c r="Y817" t="n">
        <v>0</v>
      </c>
      <c r="Z817" t="inlineStr"/>
      <c r="AA817" t="inlineStr">
        <is>
          <t>https://nvd.nist.gov/vuln/detail/CVE-2026-2033</t>
        </is>
      </c>
    </row>
    <row r="818">
      <c r="A818" t="inlineStr">
        <is>
          <t>CVE</t>
        </is>
      </c>
      <c r="B818" t="inlineStr">
        <is>
          <t>CVE-2026-2034</t>
        </is>
      </c>
      <c r="C818" t="inlineStr">
        <is>
          <t>Sante DICOM Viewer Pro DCM File Parsing Buffer Overflow Remote Code Execution Vulnerability. This vulnerability allows remote attackers to execute arbitrary code on affected installations of Sante DICOM Viewer Pro. User interaction is required to exploit this vulnerability in that the target must visit a malicious page or open a malicious file.
The specific flaw exists within the parsing of DCM files. The issue results from the lack of proper validation of the length of user-supplied data prior</t>
        </is>
      </c>
      <c r="D818" t="n">
        <v>7.8</v>
      </c>
      <c r="E818" t="inlineStr">
        <is>
          <t>HIGH</t>
        </is>
      </c>
      <c r="F818" t="n">
        <v>2</v>
      </c>
      <c r="G818" t="n">
        <v>3</v>
      </c>
      <c r="H818" t="inlineStr">
        <is>
          <t>HIGH</t>
        </is>
      </c>
      <c r="I818" t="n">
        <v>13.8</v>
      </c>
      <c r="J818" t="inlineStr">
        <is>
          <t>NO</t>
        </is>
      </c>
      <c r="K818" t="inlineStr">
        <is>
          <t>2026-02-26 00:15</t>
        </is>
      </c>
      <c r="L818" t="inlineStr">
        <is>
          <t>CHECK_VENDOR</t>
        </is>
      </c>
      <c r="M818" t="inlineStr">
        <is>
          <t>See CVE details</t>
        </is>
      </c>
      <c r="N818" t="inlineStr">
        <is>
          <t>P1</t>
        </is>
      </c>
      <c r="O818" t="inlineStr">
        <is>
          <t>CVE - IP enrichment n/a</t>
        </is>
      </c>
      <c r="P818" t="n">
        <v>0</v>
      </c>
      <c r="Q818" t="n">
        <v>0</v>
      </c>
      <c r="R818" t="inlineStr">
        <is>
          <t>T1203:Exploitation for Client Execution | T1190:Exploit Public-Facing Application | T1210:Exploitation of Remote Services</t>
        </is>
      </c>
      <c r="S818" t="n">
        <v>2</v>
      </c>
      <c r="T818" t="inlineStr">
        <is>
          <t>HIGH (72%)</t>
        </is>
      </c>
      <c r="U818" t="inlineStr">
        <is>
          <t>HIGH</t>
        </is>
      </c>
      <c r="V818" t="inlineStr">
        <is>
          <t>CHECK_VENDOR</t>
        </is>
      </c>
      <c r="W818" t="inlineStr">
        <is>
          <t>https://nvd.nist.gov/vuln/detail/CVE-2026-2034</t>
        </is>
      </c>
      <c r="X818" t="inlineStr">
        <is>
          <t>http://www.zerodayinitiative.com/advisories/ZDI-26-104/</t>
        </is>
      </c>
      <c r="Y818" t="n">
        <v>0</v>
      </c>
      <c r="Z818" t="inlineStr"/>
      <c r="AA818" t="inlineStr">
        <is>
          <t>https://nvd.nist.gov/vuln/detail/CVE-2026-2034</t>
        </is>
      </c>
    </row>
    <row r="819">
      <c r="A819" t="inlineStr">
        <is>
          <t>CVE</t>
        </is>
      </c>
      <c r="B819" t="inlineStr">
        <is>
          <t>CVE-2026-2035</t>
        </is>
      </c>
      <c r="C819" t="inlineStr">
        <is>
          <t>Deciso OPNsense diag_backup.php filename Command Injection Remote Code Execution Vulnerability. This vulnerability allows network-adjacent attackers to execute arbitrary code on affected installations of Deciso OPNsense. Authentication is required to exploit this vulnerability.
The specific flaw exists within the handling of backup configuration files. The issue results from the lack of proper validation of a user-supplied string before using it to execute a system call. An attacker can leverag</t>
        </is>
      </c>
      <c r="D819" t="n">
        <v>6.8</v>
      </c>
      <c r="E819" t="inlineStr">
        <is>
          <t>MEDIUM</t>
        </is>
      </c>
      <c r="F819" t="n">
        <v>2</v>
      </c>
      <c r="G819" t="n">
        <v>2</v>
      </c>
      <c r="H819" t="inlineStr">
        <is>
          <t>MEDIUM</t>
        </is>
      </c>
      <c r="I819" t="n">
        <v>10.8</v>
      </c>
      <c r="J819" t="inlineStr">
        <is>
          <t>NO</t>
        </is>
      </c>
      <c r="K819" t="inlineStr">
        <is>
          <t>2026-02-26 00:15</t>
        </is>
      </c>
      <c r="L819" t="inlineStr">
        <is>
          <t>CHECK_VENDOR</t>
        </is>
      </c>
      <c r="M819" t="inlineStr">
        <is>
          <t>See CVE details</t>
        </is>
      </c>
      <c r="N819" t="inlineStr">
        <is>
          <t>P1</t>
        </is>
      </c>
      <c r="O819" t="inlineStr">
        <is>
          <t>CVE - IP enrichment n/a</t>
        </is>
      </c>
      <c r="P819" t="n">
        <v>0</v>
      </c>
      <c r="Q819" t="n">
        <v>0</v>
      </c>
      <c r="R819" t="inlineStr">
        <is>
          <t>T1059:Command and Scripting Interpreter | T1190:Exploit Public-Facing Application | T1210:Exploitation of Remote Services</t>
        </is>
      </c>
      <c r="S819" t="n">
        <v>2</v>
      </c>
      <c r="T819" t="inlineStr">
        <is>
          <t>HIGH (72%)</t>
        </is>
      </c>
      <c r="U819" t="inlineStr">
        <is>
          <t>HIGH</t>
        </is>
      </c>
      <c r="V819" t="inlineStr">
        <is>
          <t>CHECK_VENDOR</t>
        </is>
      </c>
      <c r="W819" t="inlineStr">
        <is>
          <t>https://nvd.nist.gov/vuln/detail/CVE-2026-2035</t>
        </is>
      </c>
      <c r="X819" t="inlineStr">
        <is>
          <t>http://www.zerodayinitiative.com/advisories/ZDI-26-123/</t>
        </is>
      </c>
      <c r="Y819" t="n">
        <v>0</v>
      </c>
      <c r="Z819" t="inlineStr"/>
      <c r="AA819" t="inlineStr">
        <is>
          <t>https://nvd.nist.gov/vuln/detail/CVE-2026-2035</t>
        </is>
      </c>
    </row>
    <row r="820">
      <c r="A820" t="inlineStr">
        <is>
          <t>CVE</t>
        </is>
      </c>
      <c r="B820" t="inlineStr">
        <is>
          <t>CVE-2026-2036</t>
        </is>
      </c>
      <c r="C820" t="inlineStr">
        <is>
          <t>GFI Archiver MArc.Store Deserialization of Untrusted Data Remote Code Execution Vulnerability. This vulnerability allows remote attackers to execute arbitrary code on affected installations of GFI Archiver. Although authentication is required to exploit this vulnerability, the existing authentication mechanism can be bypassed.
The specific flaw exists within the configuration of the MArc.Store.Remoting.exe process. The issue results from the lack of proper validation of user-supplied data, whic</t>
        </is>
      </c>
      <c r="D820" t="n">
        <v>8.800000000000001</v>
      </c>
      <c r="E820" t="inlineStr">
        <is>
          <t>HIGH</t>
        </is>
      </c>
      <c r="F820" t="n">
        <v>2</v>
      </c>
      <c r="G820" t="n">
        <v>3</v>
      </c>
      <c r="H820" t="inlineStr">
        <is>
          <t>HIGH</t>
        </is>
      </c>
      <c r="I820" t="n">
        <v>14.8</v>
      </c>
      <c r="J820" t="inlineStr">
        <is>
          <t>NO</t>
        </is>
      </c>
      <c r="K820" t="inlineStr">
        <is>
          <t>2026-02-26 00:15</t>
        </is>
      </c>
      <c r="L820" t="inlineStr">
        <is>
          <t>CHECK_VENDOR</t>
        </is>
      </c>
      <c r="M820" t="inlineStr">
        <is>
          <t>gfi archiver 15.10</t>
        </is>
      </c>
      <c r="N820" t="inlineStr">
        <is>
          <t>P1</t>
        </is>
      </c>
      <c r="O820" t="inlineStr">
        <is>
          <t>CVE - IP enrichment n/a</t>
        </is>
      </c>
      <c r="P820" t="n">
        <v>0</v>
      </c>
      <c r="Q820" t="n">
        <v>0</v>
      </c>
      <c r="R820" t="inlineStr">
        <is>
          <t>T1059:Command and Scripting Interpreter | T1190:Exploit Public-Facing Application | T1210:Exploitation of Remote Services</t>
        </is>
      </c>
      <c r="S820" t="n">
        <v>2</v>
      </c>
      <c r="T820" t="inlineStr">
        <is>
          <t>HIGH (72%)</t>
        </is>
      </c>
      <c r="U820" t="inlineStr">
        <is>
          <t>HIGH</t>
        </is>
      </c>
      <c r="V820" t="inlineStr">
        <is>
          <t>CHECK_VENDOR</t>
        </is>
      </c>
      <c r="W820" t="inlineStr">
        <is>
          <t>https://nvd.nist.gov/vuln/detail/CVE-2026-2036</t>
        </is>
      </c>
      <c r="X820" t="inlineStr">
        <is>
          <t>http://www.zerodayinitiative.com/advisories/ZDI-26-123/</t>
        </is>
      </c>
      <c r="Y820" t="n">
        <v>0</v>
      </c>
      <c r="Z820" t="inlineStr"/>
      <c r="AA820" t="inlineStr">
        <is>
          <t>https://nvd.nist.gov/vuln/detail/CVE-2026-2036</t>
        </is>
      </c>
    </row>
    <row r="821">
      <c r="A821" t="inlineStr">
        <is>
          <t>CVE</t>
        </is>
      </c>
      <c r="B821" t="inlineStr">
        <is>
          <t>CVE-2026-2037</t>
        </is>
      </c>
      <c r="C821" t="inlineStr">
        <is>
          <t>GFI Archiver MArc.Core Deserialization of Untrusted Data Remote Code Execution Vulnerability. This vulnerability allows remote attackers to execute arbitrary code on affected installations of GFI Archiver. Although authentication is required to exploit this vulnerability, the existing authentication mechanism can be bypassed.
The specific flaw exists within the configuration of the MArc.Core.Remoting.exe process, which listens on port 8017. The issue results from the lack of proper validation o</t>
        </is>
      </c>
      <c r="D821" t="n">
        <v>8.800000000000001</v>
      </c>
      <c r="E821" t="inlineStr">
        <is>
          <t>HIGH</t>
        </is>
      </c>
      <c r="F821" t="n">
        <v>2</v>
      </c>
      <c r="G821" t="n">
        <v>3</v>
      </c>
      <c r="H821" t="inlineStr">
        <is>
          <t>HIGH</t>
        </is>
      </c>
      <c r="I821" t="n">
        <v>14.8</v>
      </c>
      <c r="J821" t="inlineStr">
        <is>
          <t>NO</t>
        </is>
      </c>
      <c r="K821" t="inlineStr">
        <is>
          <t>2026-02-26 00:15</t>
        </is>
      </c>
      <c r="L821" t="inlineStr">
        <is>
          <t>CHECK_VENDOR</t>
        </is>
      </c>
      <c r="M821" t="inlineStr">
        <is>
          <t>gfi archiver 15.10</t>
        </is>
      </c>
      <c r="N821" t="inlineStr">
        <is>
          <t>P1</t>
        </is>
      </c>
      <c r="O821" t="inlineStr">
        <is>
          <t>CVE - IP enrichment n/a</t>
        </is>
      </c>
      <c r="P821" t="n">
        <v>0</v>
      </c>
      <c r="Q821" t="n">
        <v>0</v>
      </c>
      <c r="R821" t="inlineStr">
        <is>
          <t>T1059:Command and Scripting Interpreter | T1190:Exploit Public-Facing Application | T1210:Exploitation of Remote Services</t>
        </is>
      </c>
      <c r="S821" t="n">
        <v>2</v>
      </c>
      <c r="T821" t="inlineStr">
        <is>
          <t>HIGH (72%)</t>
        </is>
      </c>
      <c r="U821" t="inlineStr">
        <is>
          <t>HIGH</t>
        </is>
      </c>
      <c r="V821" t="inlineStr">
        <is>
          <t>CHECK_VENDOR</t>
        </is>
      </c>
      <c r="W821" t="inlineStr">
        <is>
          <t>https://nvd.nist.gov/vuln/detail/CVE-2026-2037</t>
        </is>
      </c>
      <c r="X821" t="inlineStr">
        <is>
          <t>http://www.zerodayinitiative.com/advisories/ZDI-26-123/</t>
        </is>
      </c>
      <c r="Y821" t="n">
        <v>0</v>
      </c>
      <c r="Z821" t="inlineStr"/>
      <c r="AA821" t="inlineStr">
        <is>
          <t>https://nvd.nist.gov/vuln/detail/CVE-2026-2037</t>
        </is>
      </c>
    </row>
    <row r="822">
      <c r="A822" t="inlineStr">
        <is>
          <t>CVE</t>
        </is>
      </c>
      <c r="B822" t="inlineStr">
        <is>
          <t>CVE-2026-2038</t>
        </is>
      </c>
      <c r="C822" t="inlineStr">
        <is>
          <t>GFI Archiver MArc.Core Missing Authorization Authentication Bypass Vulnerability. This vulnerability allows remote attackers to bypass authentication on affected installations of GFI Archiver. Authentication is not required to exploit this vulnerability.
The specific flaw exists within the configuration of the MArc.Core.Remoting.exe process, which listens on port 8017. The issue results from the lack of authorization prior to allowing access to functionality. An attacker can leverage this in co</t>
        </is>
      </c>
      <c r="D822" t="n">
        <v>9.800000000000001</v>
      </c>
      <c r="E822" t="inlineStr">
        <is>
          <t>CRITICAL</t>
        </is>
      </c>
      <c r="F822" t="n">
        <v>2</v>
      </c>
      <c r="G822" t="n">
        <v>3</v>
      </c>
      <c r="H822" t="inlineStr">
        <is>
          <t>HIGH</t>
        </is>
      </c>
      <c r="I822" t="n">
        <v>15.8</v>
      </c>
      <c r="J822" t="inlineStr">
        <is>
          <t>NO</t>
        </is>
      </c>
      <c r="K822" t="inlineStr">
        <is>
          <t>2026-02-26 00:15</t>
        </is>
      </c>
      <c r="L822" t="inlineStr">
        <is>
          <t>CHECK_VENDOR</t>
        </is>
      </c>
      <c r="M822" t="inlineStr">
        <is>
          <t>gfi archiver 15.10</t>
        </is>
      </c>
      <c r="N822" t="inlineStr">
        <is>
          <t>P1</t>
        </is>
      </c>
      <c r="O822" t="inlineStr">
        <is>
          <t>CVE - IP enrichment n/a</t>
        </is>
      </c>
      <c r="P822" t="n">
        <v>0</v>
      </c>
      <c r="Q822" t="n">
        <v>0</v>
      </c>
      <c r="R822" t="inlineStr">
        <is>
          <t>T1078:Valid Accounts</t>
        </is>
      </c>
      <c r="S822" t="n">
        <v>2</v>
      </c>
      <c r="T822" t="inlineStr">
        <is>
          <t>HIGH (72%)</t>
        </is>
      </c>
      <c r="U822" t="inlineStr">
        <is>
          <t>HIGH</t>
        </is>
      </c>
      <c r="V822" t="inlineStr">
        <is>
          <t>CHECK_VENDOR</t>
        </is>
      </c>
      <c r="W822" t="inlineStr">
        <is>
          <t>https://nvd.nist.gov/vuln/detail/CVE-2026-2038</t>
        </is>
      </c>
      <c r="X822" t="inlineStr">
        <is>
          <t>http://www.zerodayinitiative.com/advisories/ZDI-26-123/</t>
        </is>
      </c>
      <c r="Y822" t="n">
        <v>0</v>
      </c>
      <c r="Z822" t="inlineStr"/>
      <c r="AA822" t="inlineStr">
        <is>
          <t>https://nvd.nist.gov/vuln/detail/CVE-2026-2038</t>
        </is>
      </c>
    </row>
    <row r="823">
      <c r="A823" t="inlineStr">
        <is>
          <t>CVE</t>
        </is>
      </c>
      <c r="B823" t="inlineStr">
        <is>
          <t>CVE-2026-2039</t>
        </is>
      </c>
      <c r="C823" t="inlineStr">
        <is>
          <t xml:space="preserve">GFI Archiver MArc.Store Missing Authorization Authentication Bypass Vulnerability. This vulnerability allows remote attackers to bypass authentication on affected installations of GFI Archiver. Authentication is not required to exploit this vulnerability.
The specific flaw exists within the configuration of the MArc.Store.Remoting.exe process, which listens on port 8018. The issue results from the lack of authorization prior to allowing access to functionality. An attacker can leverage this in </t>
        </is>
      </c>
      <c r="D823" t="n">
        <v>9.800000000000001</v>
      </c>
      <c r="E823" t="inlineStr">
        <is>
          <t>CRITICAL</t>
        </is>
      </c>
      <c r="F823" t="n">
        <v>2</v>
      </c>
      <c r="G823" t="n">
        <v>3</v>
      </c>
      <c r="H823" t="inlineStr">
        <is>
          <t>HIGH</t>
        </is>
      </c>
      <c r="I823" t="n">
        <v>15.8</v>
      </c>
      <c r="J823" t="inlineStr">
        <is>
          <t>NO</t>
        </is>
      </c>
      <c r="K823" t="inlineStr">
        <is>
          <t>2026-02-26 00:15</t>
        </is>
      </c>
      <c r="L823" t="inlineStr">
        <is>
          <t>CHECK_VENDOR</t>
        </is>
      </c>
      <c r="M823" t="inlineStr">
        <is>
          <t>gfi archiver 15.10</t>
        </is>
      </c>
      <c r="N823" t="inlineStr">
        <is>
          <t>P1</t>
        </is>
      </c>
      <c r="O823" t="inlineStr">
        <is>
          <t>CVE - IP enrichment n/a</t>
        </is>
      </c>
      <c r="P823" t="n">
        <v>0.005</v>
      </c>
      <c r="Q823" t="n">
        <v>0.653</v>
      </c>
      <c r="R823" t="inlineStr">
        <is>
          <t>T1078:Valid Accounts</t>
        </is>
      </c>
      <c r="S823" t="n">
        <v>2</v>
      </c>
      <c r="T823" t="inlineStr">
        <is>
          <t>HIGH (72%)</t>
        </is>
      </c>
      <c r="U823" t="inlineStr">
        <is>
          <t>HIGH</t>
        </is>
      </c>
      <c r="V823" t="inlineStr">
        <is>
          <t>CHECK_VENDOR</t>
        </is>
      </c>
      <c r="W823" t="inlineStr">
        <is>
          <t>https://nvd.nist.gov/vuln/detail/CVE-2026-2039</t>
        </is>
      </c>
      <c r="X823" t="inlineStr">
        <is>
          <t>http://www.zerodayinitiative.com/advisories/ZDI-26-123/</t>
        </is>
      </c>
      <c r="Y823" t="n">
        <v>0</v>
      </c>
      <c r="Z823" t="inlineStr"/>
      <c r="AA823" t="inlineStr">
        <is>
          <t>https://nvd.nist.gov/vuln/detail/CVE-2026-2039</t>
        </is>
      </c>
    </row>
    <row r="824">
      <c r="A824" t="inlineStr">
        <is>
          <t>CVE</t>
        </is>
      </c>
      <c r="B824" t="inlineStr">
        <is>
          <t>CVE-2026-2040</t>
        </is>
      </c>
      <c r="C824" t="inlineStr">
        <is>
          <t>PDF-XChange Editor TrackerUpdate Uncontrolled Search Path Element Local Privilege Escalation Vulnerability. This vulnerability allows local attackers to escalate privileges on affected installations of PDF-XChange Editor. An attacker must first obtain the ability to execute low-privileged code on the target system in order to exploit this vulnerability.
The specific flaw exists within the TrackerUpdate process. The product loads a library from an unsecured location. An attacker can leverage thi</t>
        </is>
      </c>
      <c r="D824" t="n">
        <v>7.3</v>
      </c>
      <c r="E824" t="inlineStr">
        <is>
          <t>HIGH</t>
        </is>
      </c>
      <c r="F824" t="n">
        <v>2</v>
      </c>
      <c r="G824" t="n">
        <v>3</v>
      </c>
      <c r="H824" t="inlineStr">
        <is>
          <t>HIGH</t>
        </is>
      </c>
      <c r="I824" t="n">
        <v>13.3</v>
      </c>
      <c r="J824" t="inlineStr">
        <is>
          <t>NO</t>
        </is>
      </c>
      <c r="K824" t="inlineStr">
        <is>
          <t>2026-02-26 00:15</t>
        </is>
      </c>
      <c r="L824" t="inlineStr">
        <is>
          <t>CHECK_VENDOR</t>
        </is>
      </c>
      <c r="M824" t="inlineStr">
        <is>
          <t>See CVE details</t>
        </is>
      </c>
      <c r="N824" t="inlineStr">
        <is>
          <t>P1</t>
        </is>
      </c>
      <c r="O824" t="inlineStr">
        <is>
          <t>CVE - IP enrichment n/a</t>
        </is>
      </c>
      <c r="P824" t="n">
        <v>0</v>
      </c>
      <c r="Q824" t="n">
        <v>0</v>
      </c>
      <c r="R824" t="inlineStr">
        <is>
          <t>T1068:Exploitation for Privilege Escalation</t>
        </is>
      </c>
      <c r="S824" t="n">
        <v>2</v>
      </c>
      <c r="T824" t="inlineStr">
        <is>
          <t>HIGH (72%)</t>
        </is>
      </c>
      <c r="U824" t="inlineStr">
        <is>
          <t>HIGH</t>
        </is>
      </c>
      <c r="V824" t="inlineStr">
        <is>
          <t>CHECK_VENDOR</t>
        </is>
      </c>
      <c r="W824" t="inlineStr">
        <is>
          <t>https://nvd.nist.gov/vuln/detail/CVE-2026-2040</t>
        </is>
      </c>
      <c r="X824" t="inlineStr">
        <is>
          <t>http://www.zerodayinitiative.com/advisories/ZDI-26-122/</t>
        </is>
      </c>
      <c r="Y824" t="n">
        <v>0</v>
      </c>
      <c r="Z824" t="inlineStr"/>
      <c r="AA824" t="inlineStr">
        <is>
          <t>https://nvd.nist.gov/vuln/detail/CVE-2026-2040</t>
        </is>
      </c>
    </row>
    <row r="825">
      <c r="A825" t="inlineStr">
        <is>
          <t>CVE</t>
        </is>
      </c>
      <c r="B825" t="inlineStr">
        <is>
          <t>CVE-2026-2041</t>
        </is>
      </c>
      <c r="C825" t="inlineStr">
        <is>
          <t>Nagios Host zabbixagent_configwizard_func Command Injection Remote Code Execution Vulnerability. This vulnerability allows remote attackers to execute arbitrary code on affected installations of Nagios Host. Authentication is required to exploit this vulnerability.
The specific flaw exists within the zabbixagent_configwizard_func method. The issue results from the lack of proper validation of a user-supplied string before using it to execute a system call. An attacker can leverage this vulnerab</t>
        </is>
      </c>
      <c r="D825" t="n">
        <v>8.800000000000001</v>
      </c>
      <c r="E825" t="inlineStr">
        <is>
          <t>HIGH</t>
        </is>
      </c>
      <c r="F825" t="n">
        <v>2</v>
      </c>
      <c r="G825" t="n">
        <v>3</v>
      </c>
      <c r="H825" t="inlineStr">
        <is>
          <t>HIGH</t>
        </is>
      </c>
      <c r="I825" t="n">
        <v>14.8</v>
      </c>
      <c r="J825" t="inlineStr">
        <is>
          <t>NO</t>
        </is>
      </c>
      <c r="K825" t="inlineStr">
        <is>
          <t>2026-02-26 00:15</t>
        </is>
      </c>
      <c r="L825" t="inlineStr">
        <is>
          <t>CHECK_VENDOR</t>
        </is>
      </c>
      <c r="M825" t="inlineStr">
        <is>
          <t>nagios nagios_xi 2026</t>
        </is>
      </c>
      <c r="N825" t="inlineStr">
        <is>
          <t>P1</t>
        </is>
      </c>
      <c r="O825" t="inlineStr">
        <is>
          <t>CVE - IP enrichment n/a</t>
        </is>
      </c>
      <c r="P825" t="n">
        <v>0</v>
      </c>
      <c r="Q825" t="n">
        <v>0</v>
      </c>
      <c r="R825" t="inlineStr">
        <is>
          <t>T1059:Command and Scripting Interpreter | T1190:Exploit Public-Facing Application | T1210:Exploitation of Remote Services</t>
        </is>
      </c>
      <c r="S825" t="n">
        <v>2</v>
      </c>
      <c r="T825" t="inlineStr">
        <is>
          <t>HIGH (72%)</t>
        </is>
      </c>
      <c r="U825" t="inlineStr">
        <is>
          <t>HIGH</t>
        </is>
      </c>
      <c r="V825" t="inlineStr">
        <is>
          <t>CHECK_VENDOR</t>
        </is>
      </c>
      <c r="W825" t="inlineStr">
        <is>
          <t>https://nvd.nist.gov/vuln/detail/CVE-2026-2041</t>
        </is>
      </c>
      <c r="X825" t="inlineStr">
        <is>
          <t>http://www.zerodayinitiative.com/advisories/ZDI-26-123/</t>
        </is>
      </c>
      <c r="Y825" t="n">
        <v>0</v>
      </c>
      <c r="Z825" t="inlineStr"/>
      <c r="AA825" t="inlineStr">
        <is>
          <t>https://nvd.nist.gov/vuln/detail/CVE-2026-2041</t>
        </is>
      </c>
    </row>
    <row r="826">
      <c r="A826" t="inlineStr">
        <is>
          <t>CVE</t>
        </is>
      </c>
      <c r="B826" t="inlineStr">
        <is>
          <t>CVE-2026-2042</t>
        </is>
      </c>
      <c r="C826" t="inlineStr">
        <is>
          <t>Nagios Host monitoringwizard Command Injection Remote Code Execution Vulnerability. This vulnerability allows remote attackers to execute arbitrary code on affected installations of Nagios Host. Authentication is required to exploit this vulnerability.
The specific flaw exists within the monitoringwizard module. The issue results from the lack of proper validation of a user-supplied string before using it to execute a system call. An attacker can leverage this vulnerability to execute code in t</t>
        </is>
      </c>
      <c r="D826" t="n">
        <v>8.800000000000001</v>
      </c>
      <c r="E826" t="inlineStr">
        <is>
          <t>HIGH</t>
        </is>
      </c>
      <c r="F826" t="n">
        <v>2</v>
      </c>
      <c r="G826" t="n">
        <v>3</v>
      </c>
      <c r="H826" t="inlineStr">
        <is>
          <t>HIGH</t>
        </is>
      </c>
      <c r="I826" t="n">
        <v>14.8</v>
      </c>
      <c r="J826" t="inlineStr">
        <is>
          <t>NO</t>
        </is>
      </c>
      <c r="K826" t="inlineStr">
        <is>
          <t>2026-02-26 00:15</t>
        </is>
      </c>
      <c r="L826" t="inlineStr">
        <is>
          <t>CHECK_VENDOR</t>
        </is>
      </c>
      <c r="M826" t="inlineStr">
        <is>
          <t>nagios nagios_xi 2026</t>
        </is>
      </c>
      <c r="N826" t="inlineStr">
        <is>
          <t>P1</t>
        </is>
      </c>
      <c r="O826" t="inlineStr">
        <is>
          <t>CVE - IP enrichment n/a</t>
        </is>
      </c>
      <c r="P826" t="n">
        <v>0</v>
      </c>
      <c r="Q826" t="n">
        <v>0</v>
      </c>
      <c r="R826" t="inlineStr">
        <is>
          <t>T1059:Command and Scripting Interpreter | T1190:Exploit Public-Facing Application | T1210:Exploitation of Remote Services</t>
        </is>
      </c>
      <c r="S826" t="n">
        <v>2</v>
      </c>
      <c r="T826" t="inlineStr">
        <is>
          <t>HIGH (72%)</t>
        </is>
      </c>
      <c r="U826" t="inlineStr">
        <is>
          <t>HIGH</t>
        </is>
      </c>
      <c r="V826" t="inlineStr">
        <is>
          <t>CHECK_VENDOR</t>
        </is>
      </c>
      <c r="W826" t="inlineStr">
        <is>
          <t>https://nvd.nist.gov/vuln/detail/CVE-2026-2042</t>
        </is>
      </c>
      <c r="X826" t="inlineStr">
        <is>
          <t>http://www.zerodayinitiative.com/advisories/ZDI-26-123/</t>
        </is>
      </c>
      <c r="Y826" t="n">
        <v>0</v>
      </c>
      <c r="Z826" t="inlineStr"/>
      <c r="AA826" t="inlineStr">
        <is>
          <t>https://nvd.nist.gov/vuln/detail/CVE-2026-2042</t>
        </is>
      </c>
    </row>
    <row r="827">
      <c r="A827" t="inlineStr">
        <is>
          <t>CVE</t>
        </is>
      </c>
      <c r="B827" t="inlineStr">
        <is>
          <t>CVE-2026-2043</t>
        </is>
      </c>
      <c r="C827" t="inlineStr">
        <is>
          <t>Nagios Host esensors_websensor_configwizard_func Command Injection Remote Code Execution Vulnerability. This vulnerability allows remote attackers to execute arbitrary code on affected installations of Nagios Host. Authentication is required to exploit this vulnerability.
The specific flaw exists within the esensors_websensor_configwizard_func method. The issue results from the lack of proper validation of a user-supplied string before using it to execute a system call. An attacker can leverage</t>
        </is>
      </c>
      <c r="D827" t="n">
        <v>8.800000000000001</v>
      </c>
      <c r="E827" t="inlineStr">
        <is>
          <t>HIGH</t>
        </is>
      </c>
      <c r="F827" t="n">
        <v>2</v>
      </c>
      <c r="G827" t="n">
        <v>3</v>
      </c>
      <c r="H827" t="inlineStr">
        <is>
          <t>HIGH</t>
        </is>
      </c>
      <c r="I827" t="n">
        <v>14.8</v>
      </c>
      <c r="J827" t="inlineStr">
        <is>
          <t>NO</t>
        </is>
      </c>
      <c r="K827" t="inlineStr">
        <is>
          <t>2026-02-26 00:15</t>
        </is>
      </c>
      <c r="L827" t="inlineStr">
        <is>
          <t>CHECK_VENDOR</t>
        </is>
      </c>
      <c r="M827" t="inlineStr">
        <is>
          <t>nagios nagios_xi 2026</t>
        </is>
      </c>
      <c r="N827" t="inlineStr">
        <is>
          <t>P1</t>
        </is>
      </c>
      <c r="O827" t="inlineStr">
        <is>
          <t>CVE - IP enrichment n/a</t>
        </is>
      </c>
      <c r="P827" t="n">
        <v>0</v>
      </c>
      <c r="Q827" t="n">
        <v>0</v>
      </c>
      <c r="R827" t="inlineStr">
        <is>
          <t>T1059:Command and Scripting Interpreter | T1190:Exploit Public-Facing Application | T1210:Exploitation of Remote Services</t>
        </is>
      </c>
      <c r="S827" t="n">
        <v>2</v>
      </c>
      <c r="T827" t="inlineStr">
        <is>
          <t>HIGH (72%)</t>
        </is>
      </c>
      <c r="U827" t="inlineStr">
        <is>
          <t>HIGH</t>
        </is>
      </c>
      <c r="V827" t="inlineStr">
        <is>
          <t>CHECK_VENDOR</t>
        </is>
      </c>
      <c r="W827" t="inlineStr">
        <is>
          <t>https://nvd.nist.gov/vuln/detail/CVE-2026-2043</t>
        </is>
      </c>
      <c r="X827" t="inlineStr">
        <is>
          <t>http://www.zerodayinitiative.com/advisories/ZDI-26-123/</t>
        </is>
      </c>
      <c r="Y827" t="n">
        <v>0</v>
      </c>
      <c r="Z827" t="inlineStr"/>
      <c r="AA827" t="inlineStr">
        <is>
          <t>https://nvd.nist.gov/vuln/detail/CVE-2026-2043</t>
        </is>
      </c>
    </row>
    <row r="828">
      <c r="A828" t="inlineStr">
        <is>
          <t>CVE</t>
        </is>
      </c>
      <c r="B828" t="inlineStr">
        <is>
          <t>CVE-2026-2044</t>
        </is>
      </c>
      <c r="C828" t="inlineStr">
        <is>
          <t>GIMP PGM File Parsing Uninitialized Memory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PGM files. The issue results from the lack of proper initialization of memory prior to accessing it. An attacker can leverage this vulne</t>
        </is>
      </c>
      <c r="D828" t="n">
        <v>7.8</v>
      </c>
      <c r="E828" t="inlineStr">
        <is>
          <t>HIGH</t>
        </is>
      </c>
      <c r="F828" t="n">
        <v>2</v>
      </c>
      <c r="G828" t="n">
        <v>3</v>
      </c>
      <c r="H828" t="inlineStr">
        <is>
          <t>HIGH</t>
        </is>
      </c>
      <c r="I828" t="n">
        <v>13.8</v>
      </c>
      <c r="J828" t="inlineStr">
        <is>
          <t>NO</t>
        </is>
      </c>
      <c r="K828" t="inlineStr">
        <is>
          <t>2026-02-26 00:15</t>
        </is>
      </c>
      <c r="L828" t="inlineStr">
        <is>
          <t>YES</t>
        </is>
      </c>
      <c r="M828" t="inlineStr">
        <is>
          <t>gimp gimp 3.0.6</t>
        </is>
      </c>
      <c r="N828" t="inlineStr">
        <is>
          <t>P1</t>
        </is>
      </c>
      <c r="O828" t="inlineStr">
        <is>
          <t>CVE - IP enrichment n/a</t>
        </is>
      </c>
      <c r="P828" t="n">
        <v>0</v>
      </c>
      <c r="Q828" t="n">
        <v>0</v>
      </c>
      <c r="R828" t="inlineStr">
        <is>
          <t>T1190:Exploit Public-Facing Application | T1210:Exploitation of Remote Services | T1203:Exploitation for Client Execution</t>
        </is>
      </c>
      <c r="S828" t="n">
        <v>2</v>
      </c>
      <c r="T828" t="inlineStr">
        <is>
          <t>HIGH (72%)</t>
        </is>
      </c>
      <c r="U828" t="inlineStr">
        <is>
          <t>HIGH</t>
        </is>
      </c>
      <c r="V828" t="inlineStr">
        <is>
          <t>PATCH_AVAILABLE</t>
        </is>
      </c>
      <c r="W828" t="inlineStr">
        <is>
          <t>https://nvd.nist.gov/vuln/detail/CVE-2026-2044</t>
        </is>
      </c>
      <c r="X828" t="inlineStr">
        <is>
          <t>http://www.zerodayinitiative.com/advisories/ZDI-26-118/</t>
        </is>
      </c>
      <c r="Y828" t="n">
        <v>0</v>
      </c>
      <c r="Z828" t="inlineStr"/>
      <c r="AA828" t="inlineStr">
        <is>
          <t>https://nvd.nist.gov/vuln/detail/CVE-2026-2044</t>
        </is>
      </c>
    </row>
    <row r="829">
      <c r="A829" t="inlineStr">
        <is>
          <t>CVE</t>
        </is>
      </c>
      <c r="B829" t="inlineStr">
        <is>
          <t>CVE-2026-2045</t>
        </is>
      </c>
      <c r="C829" t="inlineStr">
        <is>
          <t>GIMP XWD File Parsing Out-Of-Bounds Write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XWD files. The issue results from the lack of proper validation of user-supplied data, which can result in a write past the end of an all</t>
        </is>
      </c>
      <c r="D829" t="n">
        <v>7.8</v>
      </c>
      <c r="E829" t="inlineStr">
        <is>
          <t>HIGH</t>
        </is>
      </c>
      <c r="F829" t="n">
        <v>2</v>
      </c>
      <c r="G829" t="n">
        <v>3</v>
      </c>
      <c r="H829" t="inlineStr">
        <is>
          <t>HIGH</t>
        </is>
      </c>
      <c r="I829" t="n">
        <v>13.8</v>
      </c>
      <c r="J829" t="inlineStr">
        <is>
          <t>NO</t>
        </is>
      </c>
      <c r="K829" t="inlineStr">
        <is>
          <t>2026-02-26 00:15</t>
        </is>
      </c>
      <c r="L829" t="inlineStr">
        <is>
          <t>YES</t>
        </is>
      </c>
      <c r="M829" t="inlineStr">
        <is>
          <t>gimp gimp 3.0.6</t>
        </is>
      </c>
      <c r="N829" t="inlineStr">
        <is>
          <t>P1</t>
        </is>
      </c>
      <c r="O829" t="inlineStr">
        <is>
          <t>CVE - IP enrichment n/a</t>
        </is>
      </c>
      <c r="P829" t="n">
        <v>0</v>
      </c>
      <c r="Q829" t="n">
        <v>0</v>
      </c>
      <c r="R829" t="inlineStr">
        <is>
          <t>T1203:Exploitation for Client Execution | T1190:Exploit Public-Facing Application | T1210:Exploitation of Remote Services</t>
        </is>
      </c>
      <c r="S829" t="n">
        <v>2</v>
      </c>
      <c r="T829" t="inlineStr">
        <is>
          <t>HIGH (72%)</t>
        </is>
      </c>
      <c r="U829" t="inlineStr">
        <is>
          <t>HIGH</t>
        </is>
      </c>
      <c r="V829" t="inlineStr">
        <is>
          <t>PATCH_AVAILABLE</t>
        </is>
      </c>
      <c r="W829" t="inlineStr">
        <is>
          <t>https://nvd.nist.gov/vuln/detail/CVE-2026-2045</t>
        </is>
      </c>
      <c r="X829" t="inlineStr">
        <is>
          <t>http://www.zerodayinitiative.com/advisories/ZDI-26-119/</t>
        </is>
      </c>
      <c r="Y829" t="n">
        <v>0</v>
      </c>
      <c r="Z829" t="inlineStr"/>
      <c r="AA829" t="inlineStr">
        <is>
          <t>https://nvd.nist.gov/vuln/detail/CVE-2026-2045</t>
        </is>
      </c>
    </row>
    <row r="830">
      <c r="A830" t="inlineStr">
        <is>
          <t>CVE</t>
        </is>
      </c>
      <c r="B830" t="inlineStr">
        <is>
          <t>CVE-2026-2047</t>
        </is>
      </c>
      <c r="C830" t="inlineStr">
        <is>
          <t>GIMP ICNS File Parsing Heap-based Buffer Overflow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ICNS files. The issue results from the lack of proper validation of the length of user-supplied data prior to copying it to a hea</t>
        </is>
      </c>
      <c r="D830" t="n">
        <v>7.8</v>
      </c>
      <c r="E830" t="inlineStr">
        <is>
          <t>HIGH</t>
        </is>
      </c>
      <c r="F830" t="n">
        <v>2</v>
      </c>
      <c r="G830" t="n">
        <v>3</v>
      </c>
      <c r="H830" t="inlineStr">
        <is>
          <t>HIGH</t>
        </is>
      </c>
      <c r="I830" t="n">
        <v>13.8</v>
      </c>
      <c r="J830" t="inlineStr">
        <is>
          <t>NO</t>
        </is>
      </c>
      <c r="K830" t="inlineStr">
        <is>
          <t>2026-02-26 00:15</t>
        </is>
      </c>
      <c r="L830" t="inlineStr">
        <is>
          <t>YES</t>
        </is>
      </c>
      <c r="M830" t="inlineStr">
        <is>
          <t>gimp gimp 3.0.6</t>
        </is>
      </c>
      <c r="N830" t="inlineStr">
        <is>
          <t>P1</t>
        </is>
      </c>
      <c r="O830" t="inlineStr">
        <is>
          <t>CVE - IP enrichment n/a</t>
        </is>
      </c>
      <c r="P830" t="n">
        <v>0</v>
      </c>
      <c r="Q830" t="n">
        <v>0</v>
      </c>
      <c r="R830" t="inlineStr">
        <is>
          <t>T1203:Exploitation for Client Execution | T1190:Exploit Public-Facing Application | T1210:Exploitation of Remote Services</t>
        </is>
      </c>
      <c r="S830" t="n">
        <v>2</v>
      </c>
      <c r="T830" t="inlineStr">
        <is>
          <t>HIGH (72%)</t>
        </is>
      </c>
      <c r="U830" t="inlineStr">
        <is>
          <t>HIGH</t>
        </is>
      </c>
      <c r="V830" t="inlineStr">
        <is>
          <t>PATCH_AVAILABLE</t>
        </is>
      </c>
      <c r="W830" t="inlineStr">
        <is>
          <t>https://nvd.nist.gov/vuln/detail/CVE-2026-2047</t>
        </is>
      </c>
      <c r="X830" t="inlineStr">
        <is>
          <t>http://www.zerodayinitiative.com/advisories/ZDI-26-120/</t>
        </is>
      </c>
      <c r="Y830" t="n">
        <v>0</v>
      </c>
      <c r="Z830" t="inlineStr"/>
      <c r="AA830" t="inlineStr">
        <is>
          <t>https://nvd.nist.gov/vuln/detail/CVE-2026-2047</t>
        </is>
      </c>
    </row>
    <row r="831">
      <c r="A831" t="inlineStr">
        <is>
          <t>CVE</t>
        </is>
      </c>
      <c r="B831" t="inlineStr">
        <is>
          <t>CVE-2026-2048</t>
        </is>
      </c>
      <c r="C831" t="inlineStr">
        <is>
          <t>GIMP XWD File Parsing Out-Of-Bounds Write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XWD files. The issue results from the lack of proper validation of user-supplied data, which can result in a write past the end of an all</t>
        </is>
      </c>
      <c r="D831" t="n">
        <v>7.8</v>
      </c>
      <c r="E831" t="inlineStr">
        <is>
          <t>HIGH</t>
        </is>
      </c>
      <c r="F831" t="n">
        <v>2</v>
      </c>
      <c r="G831" t="n">
        <v>3</v>
      </c>
      <c r="H831" t="inlineStr">
        <is>
          <t>HIGH</t>
        </is>
      </c>
      <c r="I831" t="n">
        <v>13.8</v>
      </c>
      <c r="J831" t="inlineStr">
        <is>
          <t>NO</t>
        </is>
      </c>
      <c r="K831" t="inlineStr">
        <is>
          <t>2026-02-26 00:15</t>
        </is>
      </c>
      <c r="L831" t="inlineStr">
        <is>
          <t>CHECK_VENDOR</t>
        </is>
      </c>
      <c r="M831" t="inlineStr">
        <is>
          <t>gimp gimp 3.2.0</t>
        </is>
      </c>
      <c r="N831" t="inlineStr">
        <is>
          <t>P1</t>
        </is>
      </c>
      <c r="O831" t="inlineStr">
        <is>
          <t>CVE - IP enrichment n/a</t>
        </is>
      </c>
      <c r="P831" t="n">
        <v>0</v>
      </c>
      <c r="Q831" t="n">
        <v>0</v>
      </c>
      <c r="R831" t="inlineStr">
        <is>
          <t>T1203:Exploitation for Client Execution | T1190:Exploit Public-Facing Application | T1210:Exploitation of Remote Services</t>
        </is>
      </c>
      <c r="S831" t="n">
        <v>2</v>
      </c>
      <c r="T831" t="inlineStr">
        <is>
          <t>HIGH (72%)</t>
        </is>
      </c>
      <c r="U831" t="inlineStr">
        <is>
          <t>HIGH</t>
        </is>
      </c>
      <c r="V831" t="inlineStr">
        <is>
          <t>CHECK_VENDOR</t>
        </is>
      </c>
      <c r="W831" t="inlineStr">
        <is>
          <t>https://nvd.nist.gov/vuln/detail/CVE-2026-2048</t>
        </is>
      </c>
      <c r="X831" t="inlineStr">
        <is>
          <t>http://www.zerodayinitiative.com/advisories/ZDI-26-121/</t>
        </is>
      </c>
      <c r="Y831" t="n">
        <v>0</v>
      </c>
      <c r="Z831" t="inlineStr"/>
      <c r="AA831" t="inlineStr">
        <is>
          <t>https://nvd.nist.gov/vuln/detail/CVE-2026-2048</t>
        </is>
      </c>
    </row>
    <row r="832">
      <c r="A832" t="inlineStr">
        <is>
          <t>CVE</t>
        </is>
      </c>
      <c r="B832" t="inlineStr">
        <is>
          <t>CVE-2026-2490</t>
        </is>
      </c>
      <c r="C832" t="inlineStr">
        <is>
          <t>RustDesk Client for Windows Transfer File Link Following Information Disclosure Vulnerability. This vulnerability allows local attackers to disclose sensitive information on affected installations of RustDesk Client for Windows. An attacker must first obtain the ability to execute low-privileged code on the target system in order to exploit this vulnerability.
The specific flaw exists within the Transfer File feature. By uploading a symbolic link, an attacker can abuse the service to read arbit</t>
        </is>
      </c>
      <c r="D832" t="n">
        <v>5.5</v>
      </c>
      <c r="E832" t="inlineStr">
        <is>
          <t>MEDIUM</t>
        </is>
      </c>
      <c r="F832" t="n">
        <v>2</v>
      </c>
      <c r="G832" t="n">
        <v>2</v>
      </c>
      <c r="H832" t="inlineStr">
        <is>
          <t>MEDIUM</t>
        </is>
      </c>
      <c r="I832" t="n">
        <v>9.5</v>
      </c>
      <c r="J832" t="inlineStr">
        <is>
          <t>NO</t>
        </is>
      </c>
      <c r="K832" t="inlineStr">
        <is>
          <t>2026-02-26 00:15</t>
        </is>
      </c>
      <c r="L832" t="inlineStr">
        <is>
          <t>CHECK_VENDOR</t>
        </is>
      </c>
      <c r="M832" t="inlineStr">
        <is>
          <t>See CVE details</t>
        </is>
      </c>
      <c r="N832" t="inlineStr">
        <is>
          <t>P1</t>
        </is>
      </c>
      <c r="O832" t="inlineStr">
        <is>
          <t>CVE - IP enrichment n/a</t>
        </is>
      </c>
      <c r="P832" t="n">
        <v>0.0001</v>
      </c>
      <c r="Q832" t="n">
        <v>0.0291</v>
      </c>
      <c r="R832" t="inlineStr">
        <is>
          <t>T1213:Data from Information Repositories</t>
        </is>
      </c>
      <c r="S832" t="n">
        <v>2</v>
      </c>
      <c r="T832" t="inlineStr">
        <is>
          <t>HIGH (72%)</t>
        </is>
      </c>
      <c r="U832" t="inlineStr">
        <is>
          <t>HIGH</t>
        </is>
      </c>
      <c r="V832" t="inlineStr">
        <is>
          <t>CHECK_VENDOR</t>
        </is>
      </c>
      <c r="W832" t="inlineStr">
        <is>
          <t>https://nvd.nist.gov/vuln/detail/CVE-2026-2490</t>
        </is>
      </c>
      <c r="X832" t="inlineStr">
        <is>
          <t>http://www.zerodayinitiative.com/advisories/ZDI-26-117/</t>
        </is>
      </c>
      <c r="Y832" t="n">
        <v>0</v>
      </c>
      <c r="Z832" t="inlineStr"/>
      <c r="AA832" t="inlineStr">
        <is>
          <t>https://nvd.nist.gov/vuln/detail/CVE-2026-2490</t>
        </is>
      </c>
    </row>
    <row r="833">
      <c r="A833" t="inlineStr">
        <is>
          <t>CVE</t>
        </is>
      </c>
      <c r="B833" t="inlineStr">
        <is>
          <t>CVE-2026-2492</t>
        </is>
      </c>
      <c r="C833" t="inlineStr">
        <is>
          <t>TensorFlow HDF5 Library Uncontrolled Search Path Element Local Privilege Escalation Vulnerability. This vulnerability allows local attackers to escalate privileges on affected installations of TensorFlow. An attacker must first obtain the ability to execute low-privileged code on the target system in order to exploit this vulnerability.
The specific flaw exists within the handling of plugins. The application loads plugins from an unsecured location. An attacker can leverage this vulnerability t</t>
        </is>
      </c>
      <c r="D833" t="n">
        <v>7</v>
      </c>
      <c r="E833" t="inlineStr">
        <is>
          <t>HIGH</t>
        </is>
      </c>
      <c r="F833" t="n">
        <v>2</v>
      </c>
      <c r="G833" t="n">
        <v>3</v>
      </c>
      <c r="H833" t="inlineStr">
        <is>
          <t>HIGH</t>
        </is>
      </c>
      <c r="I833" t="n">
        <v>13</v>
      </c>
      <c r="J833" t="inlineStr">
        <is>
          <t>NO</t>
        </is>
      </c>
      <c r="K833" t="inlineStr">
        <is>
          <t>2026-02-26 00:15</t>
        </is>
      </c>
      <c r="L833" t="inlineStr">
        <is>
          <t>CHECK_VENDOR</t>
        </is>
      </c>
      <c r="M833" t="inlineStr">
        <is>
          <t>See CVE details</t>
        </is>
      </c>
      <c r="N833" t="inlineStr">
        <is>
          <t>P1</t>
        </is>
      </c>
      <c r="O833" t="inlineStr">
        <is>
          <t>CVE - IP enrichment n/a</t>
        </is>
      </c>
      <c r="P833" t="n">
        <v>0.0001</v>
      </c>
      <c r="Q833" t="n">
        <v>0.0244</v>
      </c>
      <c r="R833" t="inlineStr">
        <is>
          <t>T1068:Exploitation for Privilege Escalation | T1203:Exploitation for Client Execution</t>
        </is>
      </c>
      <c r="S833" t="n">
        <v>2</v>
      </c>
      <c r="T833" t="inlineStr">
        <is>
          <t>HIGH (72%)</t>
        </is>
      </c>
      <c r="U833" t="inlineStr">
        <is>
          <t>HIGH</t>
        </is>
      </c>
      <c r="V833" t="inlineStr">
        <is>
          <t>CHECK_VENDOR</t>
        </is>
      </c>
      <c r="W833" t="inlineStr">
        <is>
          <t>https://nvd.nist.gov/vuln/detail/CVE-2026-2492</t>
        </is>
      </c>
      <c r="X833" t="inlineStr">
        <is>
          <t>http://www.zerodayinitiative.com/advisories/ZDI-26-116/</t>
        </is>
      </c>
      <c r="Y833" t="n">
        <v>0</v>
      </c>
      <c r="Z833" t="inlineStr"/>
      <c r="AA833" t="inlineStr">
        <is>
          <t>https://nvd.nist.gov/vuln/detail/CVE-2026-2492</t>
        </is>
      </c>
    </row>
    <row r="834">
      <c r="A834" t="inlineStr">
        <is>
          <t>CVE</t>
        </is>
      </c>
      <c r="B834" t="inlineStr">
        <is>
          <t>CVE-2026-2635</t>
        </is>
      </c>
      <c r="C834" t="inlineStr">
        <is>
          <t>MLflow Use of Default Password Authentication Bypass Vulnerability. This vulnerability allows remote attackers to bypass authentication on affected installations of MLflow. Authentication is not required to exploit this vulnerability.
The specific flaw exists within the basic_auth.ini file. The file contains hard-coded default credentials. An attacker can leverage this vulnerability to bypass authentication and execute arbitrary code in the context of the administrator. Was ZDI-CAN-28256.</t>
        </is>
      </c>
      <c r="D834" t="n">
        <v>9.800000000000001</v>
      </c>
      <c r="E834" t="inlineStr">
        <is>
          <t>CRITICAL</t>
        </is>
      </c>
      <c r="F834" t="n">
        <v>2</v>
      </c>
      <c r="G834" t="n">
        <v>3</v>
      </c>
      <c r="H834" t="inlineStr">
        <is>
          <t>HIGH</t>
        </is>
      </c>
      <c r="I834" t="n">
        <v>15.8</v>
      </c>
      <c r="J834" t="inlineStr">
        <is>
          <t>NO</t>
        </is>
      </c>
      <c r="K834" t="inlineStr">
        <is>
          <t>2026-02-26 00:15</t>
        </is>
      </c>
      <c r="L834" t="inlineStr">
        <is>
          <t>CHECK_VENDOR</t>
        </is>
      </c>
      <c r="M834" t="inlineStr">
        <is>
          <t>See CVE details</t>
        </is>
      </c>
      <c r="N834" t="inlineStr">
        <is>
          <t>P1</t>
        </is>
      </c>
      <c r="O834" t="inlineStr">
        <is>
          <t>CVE - IP enrichment n/a</t>
        </is>
      </c>
      <c r="P834" t="n">
        <v>0.0117</v>
      </c>
      <c r="Q834" t="n">
        <v>0.7835</v>
      </c>
      <c r="R834" t="inlineStr">
        <is>
          <t>T1078:Valid Accounts | T1552:Unsecured Credentials | T1203:Exploitation for Client Execution</t>
        </is>
      </c>
      <c r="S834" t="n">
        <v>2</v>
      </c>
      <c r="T834" t="inlineStr">
        <is>
          <t>HIGH (72%)</t>
        </is>
      </c>
      <c r="U834" t="inlineStr">
        <is>
          <t>HIGH</t>
        </is>
      </c>
      <c r="V834" t="inlineStr">
        <is>
          <t>CHECK_VENDOR</t>
        </is>
      </c>
      <c r="W834" t="inlineStr">
        <is>
          <t>https://nvd.nist.gov/vuln/detail/CVE-2026-2635</t>
        </is>
      </c>
      <c r="X834" t="inlineStr">
        <is>
          <t>http://www.zerodayinitiative.com/advisories/ZDI-26-111/</t>
        </is>
      </c>
      <c r="Y834" t="n">
        <v>0</v>
      </c>
      <c r="Z834" t="inlineStr"/>
      <c r="AA834" t="inlineStr">
        <is>
          <t>https://nvd.nist.gov/vuln/detail/CVE-2026-2635</t>
        </is>
      </c>
    </row>
    <row r="835">
      <c r="A835" t="inlineStr">
        <is>
          <t>CVE</t>
        </is>
      </c>
      <c r="B835" t="inlineStr">
        <is>
          <t>CVE-2026-27134</t>
        </is>
      </c>
      <c r="C835" t="inlineStr">
        <is>
          <t xml:space="preserve">Strimzi provides a way to run an Apache Kafka cluster on Kubernetes or OpenShift in various deployment configurations. In versions  0.49.0 through 0.50.0, when using a custom Cluster or Clients CA with a multistage CA chain consisting of multiple CAs, Strimzi incorrectly configures the trusted certificates for mTLS authentication on the internal as well as user-configured listeners. All CAs from the CA chain will be trusted. And users with certificates signed by any of the CAs in the chain will </t>
        </is>
      </c>
      <c r="D835" t="n">
        <v>8.1</v>
      </c>
      <c r="E835" t="inlineStr">
        <is>
          <t>HIGH</t>
        </is>
      </c>
      <c r="F835" t="n">
        <v>2</v>
      </c>
      <c r="G835" t="n">
        <v>3</v>
      </c>
      <c r="H835" t="inlineStr">
        <is>
          <t>HIGH</t>
        </is>
      </c>
      <c r="I835" t="n">
        <v>14.1</v>
      </c>
      <c r="J835" t="inlineStr">
        <is>
          <t>NO</t>
        </is>
      </c>
      <c r="K835" t="inlineStr">
        <is>
          <t>2026-02-26 00:15</t>
        </is>
      </c>
      <c r="L835" t="inlineStr">
        <is>
          <t>YES</t>
        </is>
      </c>
      <c r="M835" t="inlineStr">
        <is>
          <t>linuxfoundation strimzi_kafka_operator *</t>
        </is>
      </c>
      <c r="N835" t="inlineStr">
        <is>
          <t>P3</t>
        </is>
      </c>
      <c r="O835" t="inlineStr">
        <is>
          <t>CVE - IP enrichment n/a</t>
        </is>
      </c>
      <c r="P835" t="n">
        <v>0.0003</v>
      </c>
      <c r="Q835" t="n">
        <v>0.07049999999999999</v>
      </c>
      <c r="R835" t="inlineStr">
        <is>
          <t>T1078:Valid Accounts | T1110:Brute Force</t>
        </is>
      </c>
      <c r="S835" t="n">
        <v>1</v>
      </c>
      <c r="T835" t="inlineStr">
        <is>
          <t>LOW (40%)</t>
        </is>
      </c>
      <c r="U835" t="inlineStr">
        <is>
          <t>UNLIKELY</t>
        </is>
      </c>
      <c r="V835" t="inlineStr">
        <is>
          <t>PATCH_AVAILABLE</t>
        </is>
      </c>
      <c r="W835" t="inlineStr">
        <is>
          <t>https://nvd.nist.gov/vuln/detail/CVE-2026-27134</t>
        </is>
      </c>
      <c r="X835" t="inlineStr">
        <is>
          <t>NONE</t>
        </is>
      </c>
      <c r="Y835" t="n">
        <v>0</v>
      </c>
      <c r="Z835" t="inlineStr"/>
      <c r="AA835" t="inlineStr">
        <is>
          <t>https://nvd.nist.gov/vuln/detail/CVE-2026-27134</t>
        </is>
      </c>
    </row>
    <row r="836">
      <c r="A836" t="inlineStr">
        <is>
          <t>CVE</t>
        </is>
      </c>
      <c r="B836" t="inlineStr">
        <is>
          <t>CVE-2026-27146</t>
        </is>
      </c>
      <c r="C836" t="inlineStr">
        <is>
          <t>GetSimple CMS is a content management system. All versions of GetSimple CMS do not implement CSRF protection on the administrative file upload endpoint. As a result, an attacker can craft a malicious web page that silently triggers a file upload request from an authenticated victim’s browser. The request is accepted without requiring a CSRF token or origin validation. This allows an attacker to upload arbitrary files to the application without the victim’s knowledge or consent. In order to explo</t>
        </is>
      </c>
      <c r="D836" t="n">
        <v>4.5</v>
      </c>
      <c r="E836" t="inlineStr">
        <is>
          <t>MEDIUM</t>
        </is>
      </c>
      <c r="F836" t="n">
        <v>2</v>
      </c>
      <c r="G836" t="n">
        <v>2</v>
      </c>
      <c r="H836" t="inlineStr">
        <is>
          <t>MEDIUM</t>
        </is>
      </c>
      <c r="I836" t="n">
        <v>8.5</v>
      </c>
      <c r="J836" t="inlineStr">
        <is>
          <t>NO</t>
        </is>
      </c>
      <c r="K836" t="inlineStr">
        <is>
          <t>2026-02-26 00:15</t>
        </is>
      </c>
      <c r="L836" t="inlineStr">
        <is>
          <t>YES</t>
        </is>
      </c>
      <c r="M836" t="inlineStr">
        <is>
          <t>getsimple-ce getsimple_cms *</t>
        </is>
      </c>
      <c r="N836" t="inlineStr">
        <is>
          <t>P4</t>
        </is>
      </c>
      <c r="O836" t="inlineStr">
        <is>
          <t>CVE - IP enrichment n/a</t>
        </is>
      </c>
      <c r="P836" t="n">
        <v>0</v>
      </c>
      <c r="Q836" t="n">
        <v>0</v>
      </c>
      <c r="R836" t="inlineStr">
        <is>
          <t>T1185:Browser Session Hijacking</t>
        </is>
      </c>
      <c r="S836" t="n">
        <v>1</v>
      </c>
      <c r="T836" t="inlineStr">
        <is>
          <t>LOW (40%)</t>
        </is>
      </c>
      <c r="U836" t="inlineStr">
        <is>
          <t>UNLIKELY</t>
        </is>
      </c>
      <c r="V836" t="inlineStr">
        <is>
          <t>PATCH_AVAILABLE</t>
        </is>
      </c>
      <c r="W836" t="inlineStr">
        <is>
          <t>https://nvd.nist.gov/vuln/detail/CVE-2026-27146</t>
        </is>
      </c>
      <c r="X836" t="inlineStr">
        <is>
          <t>NONE</t>
        </is>
      </c>
      <c r="Y836" t="n">
        <v>0</v>
      </c>
      <c r="Z836" t="inlineStr"/>
      <c r="AA836" t="inlineStr">
        <is>
          <t>https://nvd.nist.gov/vuln/detail/CVE-2026-27146</t>
        </is>
      </c>
    </row>
    <row r="837">
      <c r="A837" t="inlineStr">
        <is>
          <t>CVE</t>
        </is>
      </c>
      <c r="B837" t="inlineStr">
        <is>
          <t>CVE-2026-27147</t>
        </is>
      </c>
      <c r="C837" t="inlineStr">
        <is>
          <t>GetSimple CMS is a content management system. All versions of GetSimple CMS are vulnerable to XSS through SVG file uploads. Authenticated users can upload SVG files via the administrative upload functionality, but they are not properly sanitized or restricted, allowing an attacker to embed malicious JavaScript. When the uploaded SVG file is accessed, the script executes in the browser. This issue does not have a fix at the time of publication.</t>
        </is>
      </c>
      <c r="D837" t="n">
        <v>5.4</v>
      </c>
      <c r="E837" t="inlineStr">
        <is>
          <t>MEDIUM</t>
        </is>
      </c>
      <c r="F837" t="n">
        <v>2</v>
      </c>
      <c r="G837" t="n">
        <v>2</v>
      </c>
      <c r="H837" t="inlineStr">
        <is>
          <t>MEDIUM</t>
        </is>
      </c>
      <c r="I837" t="n">
        <v>9.4</v>
      </c>
      <c r="J837" t="inlineStr">
        <is>
          <t>NO</t>
        </is>
      </c>
      <c r="K837" t="inlineStr">
        <is>
          <t>2026-02-26 00:15</t>
        </is>
      </c>
      <c r="L837" t="inlineStr">
        <is>
          <t>YES</t>
        </is>
      </c>
      <c r="M837" t="inlineStr">
        <is>
          <t>getsimple-ce getsimple_cms *</t>
        </is>
      </c>
      <c r="N837" t="inlineStr">
        <is>
          <t>P4</t>
        </is>
      </c>
      <c r="O837" t="inlineStr">
        <is>
          <t>CVE - IP enrichment n/a</t>
        </is>
      </c>
      <c r="P837" t="n">
        <v>0</v>
      </c>
      <c r="Q837" t="n">
        <v>0</v>
      </c>
      <c r="R837" t="inlineStr">
        <is>
          <t>T1189:Drive-by Compromise</t>
        </is>
      </c>
      <c r="S837" t="n">
        <v>1</v>
      </c>
      <c r="T837" t="inlineStr">
        <is>
          <t>LOW (40%)</t>
        </is>
      </c>
      <c r="U837" t="inlineStr">
        <is>
          <t>UNLIKELY</t>
        </is>
      </c>
      <c r="V837" t="inlineStr">
        <is>
          <t>PATCH_AVAILABLE</t>
        </is>
      </c>
      <c r="W837" t="inlineStr">
        <is>
          <t>https://nvd.nist.gov/vuln/detail/CVE-2026-27147</t>
        </is>
      </c>
      <c r="X837" t="inlineStr">
        <is>
          <t>NONE</t>
        </is>
      </c>
      <c r="Y837" t="n">
        <v>0</v>
      </c>
      <c r="Z837" t="inlineStr"/>
      <c r="AA837" t="inlineStr">
        <is>
          <t>https://nvd.nist.gov/vuln/detail/CVE-2026-27147</t>
        </is>
      </c>
    </row>
    <row r="838">
      <c r="A838" t="inlineStr">
        <is>
          <t>CVE</t>
        </is>
      </c>
      <c r="B838" t="inlineStr">
        <is>
          <t>CVE-2026-27161</t>
        </is>
      </c>
      <c r="C838" t="inlineStr">
        <is>
          <t>GetSimple CMS is a content management system. All versions of GetSimple CMS rely on .htaccess files to restrict access to sensitive directories such as /data/ and /backups/. If Apache AllowOverride is disabled (common in hardened or shared hosting environments), these protections are silently ignored, allowing unauthenticated attackers to list and download sensitive files including authorization.xml, which contains cryptographic salts and API keys. This issue does not have a fix at the time of p</t>
        </is>
      </c>
      <c r="D838" t="n">
        <v>7.5</v>
      </c>
      <c r="E838" t="inlineStr">
        <is>
          <t>HIGH</t>
        </is>
      </c>
      <c r="F838" t="n">
        <v>2</v>
      </c>
      <c r="G838" t="n">
        <v>3</v>
      </c>
      <c r="H838" t="inlineStr">
        <is>
          <t>HIGH</t>
        </is>
      </c>
      <c r="I838" t="n">
        <v>13.5</v>
      </c>
      <c r="J838" t="inlineStr">
        <is>
          <t>NO</t>
        </is>
      </c>
      <c r="K838" t="inlineStr">
        <is>
          <t>2026-02-26 00:15</t>
        </is>
      </c>
      <c r="L838" t="inlineStr">
        <is>
          <t>YES</t>
        </is>
      </c>
      <c r="M838" t="inlineStr">
        <is>
          <t>getsimple-ce getsimple_cms *</t>
        </is>
      </c>
      <c r="N838" t="inlineStr">
        <is>
          <t>P3</t>
        </is>
      </c>
      <c r="O838" t="inlineStr">
        <is>
          <t>CVE - IP enrichment n/a</t>
        </is>
      </c>
      <c r="P838" t="n">
        <v>0.0005</v>
      </c>
      <c r="Q838" t="n">
        <v>0.1543</v>
      </c>
      <c r="R838" t="inlineStr">
        <is>
          <t>T1213:Data from Information Repositories | T1600:Weaken Encryption</t>
        </is>
      </c>
      <c r="S838" t="n">
        <v>1</v>
      </c>
      <c r="T838" t="inlineStr">
        <is>
          <t>LOW (40%)</t>
        </is>
      </c>
      <c r="U838" t="inlineStr">
        <is>
          <t>UNLIKELY</t>
        </is>
      </c>
      <c r="V838" t="inlineStr">
        <is>
          <t>PATCH_AVAILABLE</t>
        </is>
      </c>
      <c r="W838" t="inlineStr">
        <is>
          <t>https://nvd.nist.gov/vuln/detail/CVE-2026-27161</t>
        </is>
      </c>
      <c r="X838" t="inlineStr">
        <is>
          <t>NONE</t>
        </is>
      </c>
      <c r="Y838" t="n">
        <v>0</v>
      </c>
      <c r="Z838" t="inlineStr"/>
      <c r="AA838" t="inlineStr">
        <is>
          <t>https://nvd.nist.gov/vuln/detail/CVE-2026-27161</t>
        </is>
      </c>
    </row>
    <row r="839">
      <c r="A839" t="inlineStr">
        <is>
          <t>CVE</t>
        </is>
      </c>
      <c r="B839" t="inlineStr">
        <is>
          <t>CVE-2026-27168</t>
        </is>
      </c>
      <c r="C839" t="inlineStr">
        <is>
          <t>SAIL is a cross-platform library for loading and saving images with support for animation, metadata, and ICC profiles. All versions are vulnerable to Heap-based Buffer Overflow through the XWD parser's use of the bytes_per_line value. The value os read directly from the file as the read size in io-&gt;strict_read(), and is never compared to the actual size of the destination buffer. An attacker can provide an XWD file with an arbitrarily large bytes_per_line, causing a massive write operation beyon</t>
        </is>
      </c>
      <c r="D839" t="n">
        <v>8.800000000000001</v>
      </c>
      <c r="E839" t="inlineStr">
        <is>
          <t>HIGH</t>
        </is>
      </c>
      <c r="F839" t="n">
        <v>2</v>
      </c>
      <c r="G839" t="n">
        <v>3</v>
      </c>
      <c r="H839" t="inlineStr">
        <is>
          <t>HIGH</t>
        </is>
      </c>
      <c r="I839" t="n">
        <v>14.8</v>
      </c>
      <c r="J839" t="inlineStr">
        <is>
          <t>NO</t>
        </is>
      </c>
      <c r="K839" t="inlineStr">
        <is>
          <t>2026-02-26 00:15</t>
        </is>
      </c>
      <c r="L839" t="inlineStr">
        <is>
          <t>CHECK_VENDOR</t>
        </is>
      </c>
      <c r="M839" t="inlineStr">
        <is>
          <t>See CVE details</t>
        </is>
      </c>
      <c r="N839" t="inlineStr">
        <is>
          <t>P3</t>
        </is>
      </c>
      <c r="O839" t="inlineStr">
        <is>
          <t>CVE - IP enrichment n/a</t>
        </is>
      </c>
      <c r="P839" t="n">
        <v>0</v>
      </c>
      <c r="Q839" t="n">
        <v>0</v>
      </c>
      <c r="R839" t="inlineStr">
        <is>
          <t>T1203:Exploitation for Client Execution</t>
        </is>
      </c>
      <c r="S839" t="n">
        <v>1</v>
      </c>
      <c r="T839" t="inlineStr">
        <is>
          <t>LOW (40%)</t>
        </is>
      </c>
      <c r="U839" t="inlineStr">
        <is>
          <t>UNLIKELY</t>
        </is>
      </c>
      <c r="V839" t="inlineStr">
        <is>
          <t>CHECK_VENDOR</t>
        </is>
      </c>
      <c r="W839" t="inlineStr">
        <is>
          <t>https://nvd.nist.gov/vuln/detail/CVE-2026-27168</t>
        </is>
      </c>
      <c r="X839" t="inlineStr">
        <is>
          <t>NONE</t>
        </is>
      </c>
      <c r="Y839" t="n">
        <v>0</v>
      </c>
      <c r="Z839" t="inlineStr"/>
      <c r="AA839" t="inlineStr">
        <is>
          <t>https://nvd.nist.gov/vuln/detail/CVE-2026-27168</t>
        </is>
      </c>
    </row>
    <row r="840">
      <c r="A840" t="inlineStr">
        <is>
          <t>CVE</t>
        </is>
      </c>
      <c r="B840" t="inlineStr">
        <is>
          <t>CVE-2026-27169</t>
        </is>
      </c>
      <c r="C840" t="inlineStr">
        <is>
          <t>OpenSift is an AI study tool that sifts through large datasets using semantic search and generative AI. Versions 1.1.2-alpha and below render untrusted user/model content in chat tool UI surfaces using unsafe HTML interpolation patterns, leading to XSS. Stored content can execute JavaScript when later viewed in authenticated sessions. An attacker who can influence stored study/quiz/flashcard content could trigger script execution in a victim’s browser, potentially performing actions as that user</t>
        </is>
      </c>
      <c r="D840" t="n">
        <v>8.9</v>
      </c>
      <c r="E840" t="inlineStr">
        <is>
          <t>HIGH</t>
        </is>
      </c>
      <c r="F840" t="n">
        <v>2</v>
      </c>
      <c r="G840" t="n">
        <v>3</v>
      </c>
      <c r="H840" t="inlineStr">
        <is>
          <t>HIGH</t>
        </is>
      </c>
      <c r="I840" t="n">
        <v>14.9</v>
      </c>
      <c r="J840" t="inlineStr">
        <is>
          <t>NO</t>
        </is>
      </c>
      <c r="K840" t="inlineStr">
        <is>
          <t>2026-02-26 00:15</t>
        </is>
      </c>
      <c r="L840" t="inlineStr">
        <is>
          <t>YES</t>
        </is>
      </c>
      <c r="M840" t="inlineStr">
        <is>
          <t>opensift opensift *</t>
        </is>
      </c>
      <c r="N840" t="inlineStr">
        <is>
          <t>P3</t>
        </is>
      </c>
      <c r="O840" t="inlineStr">
        <is>
          <t>CVE - IP enrichment n/a</t>
        </is>
      </c>
      <c r="P840" t="n">
        <v>0</v>
      </c>
      <c r="Q840" t="n">
        <v>0</v>
      </c>
      <c r="R840" t="inlineStr">
        <is>
          <t>T1189:Drive-by Compromise</t>
        </is>
      </c>
      <c r="S840" t="n">
        <v>1</v>
      </c>
      <c r="T840" t="inlineStr">
        <is>
          <t>LOW (40%)</t>
        </is>
      </c>
      <c r="U840" t="inlineStr">
        <is>
          <t>UNLIKELY</t>
        </is>
      </c>
      <c r="V840" t="inlineStr">
        <is>
          <t>PATCH_AVAILABLE</t>
        </is>
      </c>
      <c r="W840" t="inlineStr">
        <is>
          <t>https://nvd.nist.gov/vuln/detail/CVE-2026-27169</t>
        </is>
      </c>
      <c r="X840" t="inlineStr">
        <is>
          <t>NONE</t>
        </is>
      </c>
      <c r="Y840" t="n">
        <v>0</v>
      </c>
      <c r="Z840" t="inlineStr"/>
      <c r="AA840" t="inlineStr">
        <is>
          <t>https://nvd.nist.gov/vuln/detail/CVE-2026-27169</t>
        </is>
      </c>
    </row>
    <row r="841">
      <c r="A841" t="inlineStr">
        <is>
          <t>CVE</t>
        </is>
      </c>
      <c r="B841" t="inlineStr">
        <is>
          <t>CVE-2026-27170</t>
        </is>
      </c>
      <c r="C841" t="inlineStr">
        <is>
          <t>OpenSift is an AI study tool that sifts through large datasets using semantic search and generative AI. In versions 1.1.2-alpha and below, URL ingest allows overly permissive server-side fetch behavior and can be coerced into requesting unsafe targets. Potential access/probing of private/local network resources from the OpenSift host process when ingesting attacker-controlled URLs. This issue has been fixed in version 1.1.3-alpha. To workaround when using trusted local-only exceptions, use OPENS</t>
        </is>
      </c>
      <c r="D841" t="n">
        <v>7.1</v>
      </c>
      <c r="E841" t="inlineStr">
        <is>
          <t>HIGH</t>
        </is>
      </c>
      <c r="F841" t="n">
        <v>2</v>
      </c>
      <c r="G841" t="n">
        <v>3</v>
      </c>
      <c r="H841" t="inlineStr">
        <is>
          <t>HIGH</t>
        </is>
      </c>
      <c r="I841" t="n">
        <v>13.1</v>
      </c>
      <c r="J841" t="inlineStr">
        <is>
          <t>NO</t>
        </is>
      </c>
      <c r="K841" t="inlineStr">
        <is>
          <t>2026-02-26 00:15</t>
        </is>
      </c>
      <c r="L841" t="inlineStr">
        <is>
          <t>YES</t>
        </is>
      </c>
      <c r="M841" t="inlineStr">
        <is>
          <t>opensift opensift *</t>
        </is>
      </c>
      <c r="N841" t="inlineStr">
        <is>
          <t>P3</t>
        </is>
      </c>
      <c r="O841" t="inlineStr">
        <is>
          <t>CVE - IP enrichment n/a</t>
        </is>
      </c>
      <c r="P841" t="n">
        <v>0</v>
      </c>
      <c r="Q841" t="n">
        <v>0</v>
      </c>
      <c r="R841" t="inlineStr">
        <is>
          <t>T1190:Exploit Public-Facing Application</t>
        </is>
      </c>
      <c r="S841" t="n">
        <v>1</v>
      </c>
      <c r="T841" t="inlineStr">
        <is>
          <t>LOW (40%)</t>
        </is>
      </c>
      <c r="U841" t="inlineStr">
        <is>
          <t>UNLIKELY</t>
        </is>
      </c>
      <c r="V841" t="inlineStr">
        <is>
          <t>PATCH_AVAILABLE</t>
        </is>
      </c>
      <c r="W841" t="inlineStr">
        <is>
          <t>https://nvd.nist.gov/vuln/detail/CVE-2026-27170</t>
        </is>
      </c>
      <c r="X841" t="inlineStr">
        <is>
          <t>NONE</t>
        </is>
      </c>
      <c r="Y841" t="n">
        <v>0</v>
      </c>
      <c r="Z841" t="inlineStr"/>
      <c r="AA841" t="inlineStr">
        <is>
          <t>https://nvd.nist.gov/vuln/detail/CVE-2026-27170</t>
        </is>
      </c>
    </row>
    <row r="842">
      <c r="A842" t="inlineStr">
        <is>
          <t>CVE</t>
        </is>
      </c>
      <c r="B842" t="inlineStr">
        <is>
          <t>CVE-2026-27189</t>
        </is>
      </c>
      <c r="C842" t="inlineStr">
        <is>
          <t>OpenSift is an AI study tool that sifts through large datasets using semantic search and generative AI. Versions 1.1.2-alpha and below, use non-atomic and insufficiently synchronized local JSON persistence flows, potentially causing concurrent operations to lose updates or corrupt local state across sessions/study/quiz/flashcard/wellness/auth stores. This issue has been fixed in version 1.1.3-alpha.</t>
        </is>
      </c>
      <c r="D842" t="n">
        <v>6.6</v>
      </c>
      <c r="E842" t="inlineStr">
        <is>
          <t>MEDIUM</t>
        </is>
      </c>
      <c r="F842" t="n">
        <v>2</v>
      </c>
      <c r="G842" t="n">
        <v>2</v>
      </c>
      <c r="H842" t="inlineStr">
        <is>
          <t>MEDIUM</t>
        </is>
      </c>
      <c r="I842" t="n">
        <v>10.6</v>
      </c>
      <c r="J842" t="inlineStr">
        <is>
          <t>NO</t>
        </is>
      </c>
      <c r="K842" t="inlineStr">
        <is>
          <t>2026-02-26 00:15</t>
        </is>
      </c>
      <c r="L842" t="inlineStr">
        <is>
          <t>YES</t>
        </is>
      </c>
      <c r="M842" t="inlineStr">
        <is>
          <t>opensift opensift *</t>
        </is>
      </c>
      <c r="N842" t="inlineStr">
        <is>
          <t>P4</t>
        </is>
      </c>
      <c r="O842" t="inlineStr">
        <is>
          <t>CVE - IP enrichment n/a</t>
        </is>
      </c>
      <c r="P842" t="n">
        <v>0</v>
      </c>
      <c r="Q842" t="n">
        <v>0</v>
      </c>
      <c r="R842" t="inlineStr">
        <is>
          <t>T1068:Exploitation for Privilege Escalation</t>
        </is>
      </c>
      <c r="S842" t="n">
        <v>1</v>
      </c>
      <c r="T842" t="inlineStr">
        <is>
          <t>LOW (40%)</t>
        </is>
      </c>
      <c r="U842" t="inlineStr">
        <is>
          <t>UNLIKELY</t>
        </is>
      </c>
      <c r="V842" t="inlineStr">
        <is>
          <t>PATCH_AVAILABLE</t>
        </is>
      </c>
      <c r="W842" t="inlineStr">
        <is>
          <t>https://nvd.nist.gov/vuln/detail/CVE-2026-27189</t>
        </is>
      </c>
      <c r="X842" t="inlineStr">
        <is>
          <t>NONE</t>
        </is>
      </c>
      <c r="Y842" t="n">
        <v>0</v>
      </c>
      <c r="Z842" t="inlineStr"/>
      <c r="AA842" t="inlineStr">
        <is>
          <t>https://nvd.nist.gov/vuln/detail/CVE-2026-27189</t>
        </is>
      </c>
    </row>
    <row r="843">
      <c r="A843" t="inlineStr">
        <is>
          <t>CVE</t>
        </is>
      </c>
      <c r="B843" t="inlineStr">
        <is>
          <t>CVE-2026-27202</t>
        </is>
      </c>
      <c r="C843" t="inlineStr">
        <is>
          <t>GetSimple CMS is a content management system. All versions of GetSimple CMS have a flaw in the Uploaded Files feature that allows for arbitrary file reads. This issue has not been fixed at the time of publication.</t>
        </is>
      </c>
      <c r="D843" t="n">
        <v>7.5</v>
      </c>
      <c r="E843" t="inlineStr">
        <is>
          <t>HIGH</t>
        </is>
      </c>
      <c r="F843" t="n">
        <v>2</v>
      </c>
      <c r="G843" t="n">
        <v>3</v>
      </c>
      <c r="H843" t="inlineStr">
        <is>
          <t>HIGH</t>
        </is>
      </c>
      <c r="I843" t="n">
        <v>13.5</v>
      </c>
      <c r="J843" t="inlineStr">
        <is>
          <t>NO</t>
        </is>
      </c>
      <c r="K843" t="inlineStr">
        <is>
          <t>2026-02-26 00:15</t>
        </is>
      </c>
      <c r="L843" t="inlineStr">
        <is>
          <t>YES</t>
        </is>
      </c>
      <c r="M843" t="inlineStr">
        <is>
          <t>getsimple-ce getsimple_cms 3.3.22</t>
        </is>
      </c>
      <c r="N843" t="inlineStr">
        <is>
          <t>P3</t>
        </is>
      </c>
      <c r="O843" t="inlineStr">
        <is>
          <t>CVE - IP enrichment n/a</t>
        </is>
      </c>
      <c r="P843" t="n">
        <v>0</v>
      </c>
      <c r="Q843" t="n">
        <v>0</v>
      </c>
      <c r="R843" t="inlineStr">
        <is>
          <t>T1083:File and Directory Discovery</t>
        </is>
      </c>
      <c r="S843" t="n">
        <v>1</v>
      </c>
      <c r="T843" t="inlineStr">
        <is>
          <t>LOW (40%)</t>
        </is>
      </c>
      <c r="U843" t="inlineStr">
        <is>
          <t>UNLIKELY</t>
        </is>
      </c>
      <c r="V843" t="inlineStr">
        <is>
          <t>PATCH_AVAILABLE</t>
        </is>
      </c>
      <c r="W843" t="inlineStr">
        <is>
          <t>https://nvd.nist.gov/vuln/detail/CVE-2026-27202</t>
        </is>
      </c>
      <c r="X843" t="inlineStr">
        <is>
          <t>NONE</t>
        </is>
      </c>
      <c r="Y843" t="n">
        <v>0</v>
      </c>
      <c r="Z843" t="inlineStr"/>
      <c r="AA843" t="inlineStr">
        <is>
          <t>https://nvd.nist.gov/vuln/detail/CVE-2026-27202</t>
        </is>
      </c>
    </row>
    <row r="844">
      <c r="A844" t="inlineStr">
        <is>
          <t>CVE</t>
        </is>
      </c>
      <c r="B844" t="inlineStr">
        <is>
          <t>CVE-2026-27203</t>
        </is>
      </c>
      <c r="C844" t="inlineStr">
        <is>
          <t>eBay API MCP Server is an open source local MCP server providing AI assistants with comprehensive access to eBay's Sell APIs. All versions are vulnerable to Environment Variable Injection through the updateEnvFile function. The ebay_set_user_tokens tool allows updating the .env file with new tokens. The updateEnvFile function in src/auth/oauth.ts blindly appends or replaces values without validating them for newlines or quotes. This allows an attacker to inject arbitrary environment variables in</t>
        </is>
      </c>
      <c r="D844" t="n">
        <v>8.300000000000001</v>
      </c>
      <c r="E844" t="inlineStr">
        <is>
          <t>HIGH</t>
        </is>
      </c>
      <c r="F844" t="n">
        <v>2</v>
      </c>
      <c r="G844" t="n">
        <v>3</v>
      </c>
      <c r="H844" t="inlineStr">
        <is>
          <t>HIGH</t>
        </is>
      </c>
      <c r="I844" t="n">
        <v>14.3</v>
      </c>
      <c r="J844" t="inlineStr">
        <is>
          <t>NO</t>
        </is>
      </c>
      <c r="K844" t="inlineStr">
        <is>
          <t>2026-02-26 00:15</t>
        </is>
      </c>
      <c r="L844" t="inlineStr">
        <is>
          <t>CHECK_VENDOR</t>
        </is>
      </c>
      <c r="M844" t="inlineStr">
        <is>
          <t>See CVE details</t>
        </is>
      </c>
      <c r="N844" t="inlineStr">
        <is>
          <t>P3</t>
        </is>
      </c>
      <c r="O844" t="inlineStr">
        <is>
          <t>CVE - IP enrichment n/a</t>
        </is>
      </c>
      <c r="P844" t="n">
        <v>0</v>
      </c>
      <c r="Q844" t="n">
        <v>0</v>
      </c>
      <c r="R844" t="inlineStr">
        <is>
          <t>T1190:Exploit Public-Facing Application | T1499:Endpoint Denial of Service</t>
        </is>
      </c>
      <c r="S844" t="n">
        <v>1</v>
      </c>
      <c r="T844" t="inlineStr">
        <is>
          <t>LOW (40%)</t>
        </is>
      </c>
      <c r="U844" t="inlineStr">
        <is>
          <t>UNLIKELY</t>
        </is>
      </c>
      <c r="V844" t="inlineStr">
        <is>
          <t>CHECK_VENDOR</t>
        </is>
      </c>
      <c r="W844" t="inlineStr">
        <is>
          <t>https://nvd.nist.gov/vuln/detail/CVE-2026-27203</t>
        </is>
      </c>
      <c r="X844" t="inlineStr">
        <is>
          <t>NONE</t>
        </is>
      </c>
      <c r="Y844" t="n">
        <v>0</v>
      </c>
      <c r="Z844" t="inlineStr"/>
      <c r="AA844" t="inlineStr">
        <is>
          <t>https://nvd.nist.gov/vuln/detail/CVE-2026-27203</t>
        </is>
      </c>
    </row>
    <row r="845">
      <c r="A845" t="inlineStr">
        <is>
          <t>CVE</t>
        </is>
      </c>
      <c r="B845" t="inlineStr">
        <is>
          <t>CVE-2025-65995</t>
        </is>
      </c>
      <c r="C845" t="inlineStr">
        <is>
          <t>When a DAG failed during parsing, Airflow’s error-reporting in the UI could include the full kwargs passed to the operators. If those kwargs contained sensitive values (such as secrets), they might be exposed in the UI tracebacks to authenticated users who had permission to view that DAG. 
The issue has been fixed in Airflow 3.1.4 and 2.11.1, and users are strongly advised to upgrade to prevent potential disclosure of sensitive information.</t>
        </is>
      </c>
      <c r="D845" t="n">
        <v>6.5</v>
      </c>
      <c r="E845" t="inlineStr">
        <is>
          <t>MEDIUM</t>
        </is>
      </c>
      <c r="F845" t="n">
        <v>2</v>
      </c>
      <c r="G845" t="n">
        <v>2</v>
      </c>
      <c r="H845" t="inlineStr">
        <is>
          <t>MEDIUM</t>
        </is>
      </c>
      <c r="I845" t="n">
        <v>10.5</v>
      </c>
      <c r="J845" t="inlineStr">
        <is>
          <t>NO</t>
        </is>
      </c>
      <c r="K845" t="inlineStr">
        <is>
          <t>2026-02-26 00:15</t>
        </is>
      </c>
      <c r="L845" t="inlineStr">
        <is>
          <t>YES</t>
        </is>
      </c>
      <c r="M845" t="inlineStr">
        <is>
          <t>apache airflow *</t>
        </is>
      </c>
      <c r="N845" t="inlineStr">
        <is>
          <t>P4</t>
        </is>
      </c>
      <c r="O845" t="inlineStr">
        <is>
          <t>CVE - IP enrichment n/a</t>
        </is>
      </c>
      <c r="P845" t="n">
        <v>0.0003</v>
      </c>
      <c r="Q845" t="n">
        <v>0.0848</v>
      </c>
      <c r="R845" t="inlineStr">
        <is>
          <t>T1190:Exploit Public-Facing Application</t>
        </is>
      </c>
      <c r="S845" t="n">
        <v>1</v>
      </c>
      <c r="T845" t="inlineStr">
        <is>
          <t>LOW (40%)</t>
        </is>
      </c>
      <c r="U845" t="inlineStr">
        <is>
          <t>UNLIKELY</t>
        </is>
      </c>
      <c r="V845" t="inlineStr">
        <is>
          <t>PATCH_AVAILABLE</t>
        </is>
      </c>
      <c r="W845" t="inlineStr">
        <is>
          <t>https://nvd.nist.gov/vuln/detail/CVE-2025-65995</t>
        </is>
      </c>
      <c r="X845" t="inlineStr">
        <is>
          <t>NONE</t>
        </is>
      </c>
      <c r="Y845" t="n">
        <v>0</v>
      </c>
      <c r="Z845" t="inlineStr"/>
      <c r="AA845" t="inlineStr">
        <is>
          <t>https://nvd.nist.gov/vuln/detail/CVE-2025-65995</t>
        </is>
      </c>
    </row>
    <row r="846">
      <c r="A846" t="inlineStr">
        <is>
          <t>CVE</t>
        </is>
      </c>
      <c r="B846" t="inlineStr">
        <is>
          <t>CVE-2026-27191</t>
        </is>
      </c>
      <c r="C846" t="inlineStr">
        <is>
          <t>Feathersjs is a framework for creating web APIs and real-time applications with TypeScript or JavaScript. Versions 5.0.39 and below the redirect query parameter is appended to the base origin without validation, allowing attackers to steal access tokens via URL authority injection. This leads to full account takeover, as the attacker obtains the victim's access token and can impersonate them. The application constructs the final redirect URL by concatenating the base origin with the user-supplie</t>
        </is>
      </c>
      <c r="D846" t="n">
        <v>6.1</v>
      </c>
      <c r="E846" t="inlineStr">
        <is>
          <t>MEDIUM</t>
        </is>
      </c>
      <c r="F846" t="n">
        <v>2</v>
      </c>
      <c r="G846" t="n">
        <v>2</v>
      </c>
      <c r="H846" t="inlineStr">
        <is>
          <t>MEDIUM</t>
        </is>
      </c>
      <c r="I846" t="n">
        <v>10.1</v>
      </c>
      <c r="J846" t="inlineStr">
        <is>
          <t>NO</t>
        </is>
      </c>
      <c r="K846" t="inlineStr">
        <is>
          <t>2026-02-26 00:15</t>
        </is>
      </c>
      <c r="L846" t="inlineStr">
        <is>
          <t>YES</t>
        </is>
      </c>
      <c r="M846" t="inlineStr">
        <is>
          <t>feathersjs feathers *</t>
        </is>
      </c>
      <c r="N846" t="inlineStr">
        <is>
          <t>P4</t>
        </is>
      </c>
      <c r="O846" t="inlineStr">
        <is>
          <t>CVE - IP enrichment n/a</t>
        </is>
      </c>
      <c r="P846" t="n">
        <v>0</v>
      </c>
      <c r="Q846" t="n">
        <v>0</v>
      </c>
      <c r="R846" t="inlineStr">
        <is>
          <t>T1189:Drive-by Compromise</t>
        </is>
      </c>
      <c r="S846" t="n">
        <v>1</v>
      </c>
      <c r="T846" t="inlineStr">
        <is>
          <t>LOW (40%)</t>
        </is>
      </c>
      <c r="U846" t="inlineStr">
        <is>
          <t>UNLIKELY</t>
        </is>
      </c>
      <c r="V846" t="inlineStr">
        <is>
          <t>PATCH_AVAILABLE</t>
        </is>
      </c>
      <c r="W846" t="inlineStr">
        <is>
          <t>https://nvd.nist.gov/vuln/detail/CVE-2026-27191</t>
        </is>
      </c>
      <c r="X846" t="inlineStr">
        <is>
          <t>NONE</t>
        </is>
      </c>
      <c r="Y846" t="n">
        <v>0</v>
      </c>
      <c r="Z846" t="inlineStr"/>
      <c r="AA846" t="inlineStr">
        <is>
          <t>https://nvd.nist.gov/vuln/detail/CVE-2026-27191</t>
        </is>
      </c>
    </row>
    <row r="847">
      <c r="A847" t="inlineStr">
        <is>
          <t>CVE</t>
        </is>
      </c>
      <c r="B847" t="inlineStr">
        <is>
          <t>CVE-2026-27192</t>
        </is>
      </c>
      <c r="C847" t="inlineStr">
        <is>
          <t>Feathersjs is a framework for creating web APIs and real-time applications with TypeScript or JavaScript. In versions 5.0.39 and below, origin validation uses startsWith() for comparison, allowing attackers to bypass the check by registering a domain that shares a common prefix with an allowed origin.The getAllowedOrigin() function checks if the Referer header starts with any allowed origin, and this comparison is insufficient as it only validates the prefix. This is exploitable when the origins</t>
        </is>
      </c>
      <c r="D847" t="n">
        <v>8.1</v>
      </c>
      <c r="E847" t="inlineStr">
        <is>
          <t>HIGH</t>
        </is>
      </c>
      <c r="F847" t="n">
        <v>2</v>
      </c>
      <c r="G847" t="n">
        <v>3</v>
      </c>
      <c r="H847" t="inlineStr">
        <is>
          <t>HIGH</t>
        </is>
      </c>
      <c r="I847" t="n">
        <v>14.1</v>
      </c>
      <c r="J847" t="inlineStr">
        <is>
          <t>NO</t>
        </is>
      </c>
      <c r="K847" t="inlineStr">
        <is>
          <t>2026-02-26 00:15</t>
        </is>
      </c>
      <c r="L847" t="inlineStr">
        <is>
          <t>YES</t>
        </is>
      </c>
      <c r="M847" t="inlineStr">
        <is>
          <t>feathersjs feathers *</t>
        </is>
      </c>
      <c r="N847" t="inlineStr">
        <is>
          <t>P3</t>
        </is>
      </c>
      <c r="O847" t="inlineStr">
        <is>
          <t>CVE - IP enrichment n/a</t>
        </is>
      </c>
      <c r="P847" t="n">
        <v>0</v>
      </c>
      <c r="Q847" t="n">
        <v>0</v>
      </c>
      <c r="R847" t="inlineStr">
        <is>
          <t>T1190:Exploit Public-Facing Application</t>
        </is>
      </c>
      <c r="S847" t="n">
        <v>1</v>
      </c>
      <c r="T847" t="inlineStr">
        <is>
          <t>LOW (40%)</t>
        </is>
      </c>
      <c r="U847" t="inlineStr">
        <is>
          <t>UNLIKELY</t>
        </is>
      </c>
      <c r="V847" t="inlineStr">
        <is>
          <t>PATCH_AVAILABLE</t>
        </is>
      </c>
      <c r="W847" t="inlineStr">
        <is>
          <t>https://nvd.nist.gov/vuln/detail/CVE-2026-27192</t>
        </is>
      </c>
      <c r="X847" t="inlineStr">
        <is>
          <t>NONE</t>
        </is>
      </c>
      <c r="Y847" t="n">
        <v>0</v>
      </c>
      <c r="Z847" t="inlineStr"/>
      <c r="AA847" t="inlineStr">
        <is>
          <t>https://nvd.nist.gov/vuln/detail/CVE-2026-27192</t>
        </is>
      </c>
    </row>
    <row r="848">
      <c r="A848" t="inlineStr">
        <is>
          <t>CVE</t>
        </is>
      </c>
      <c r="B848" t="inlineStr">
        <is>
          <t>CVE-2026-27193</t>
        </is>
      </c>
      <c r="C848" t="inlineStr">
        <is>
          <t xml:space="preserve">Feathersjs is a framework for creating web APIs and real-time applications with TypeScript or JavaScript. In versions 5.0.39 and below, all HTTP request headers are stored in the session cookie, which is signed but not encrypted, exposing internal proxy/gateway headers to clients. The OAuth service stores the complete headers object in the session, then the session is persisted using cookie-session, which base64-encodes the data. While the cookie is signed to prevent tampering, the contents are </t>
        </is>
      </c>
      <c r="D848" t="n">
        <v>5.3</v>
      </c>
      <c r="E848" t="inlineStr">
        <is>
          <t>MEDIUM</t>
        </is>
      </c>
      <c r="F848" t="n">
        <v>2</v>
      </c>
      <c r="G848" t="n">
        <v>2</v>
      </c>
      <c r="H848" t="inlineStr">
        <is>
          <t>MEDIUM</t>
        </is>
      </c>
      <c r="I848" t="n">
        <v>9.300000000000001</v>
      </c>
      <c r="J848" t="inlineStr">
        <is>
          <t>NO</t>
        </is>
      </c>
      <c r="K848" t="inlineStr">
        <is>
          <t>2026-02-26 00:15</t>
        </is>
      </c>
      <c r="L848" t="inlineStr">
        <is>
          <t>YES</t>
        </is>
      </c>
      <c r="M848" t="inlineStr">
        <is>
          <t>feathersjs feathers *</t>
        </is>
      </c>
      <c r="N848" t="inlineStr">
        <is>
          <t>P4</t>
        </is>
      </c>
      <c r="O848" t="inlineStr">
        <is>
          <t>CVE - IP enrichment n/a</t>
        </is>
      </c>
      <c r="P848" t="n">
        <v>0</v>
      </c>
      <c r="Q848" t="n">
        <v>0</v>
      </c>
      <c r="R848" t="inlineStr">
        <is>
          <t>T1213:Data from Information Repositories</t>
        </is>
      </c>
      <c r="S848" t="n">
        <v>1</v>
      </c>
      <c r="T848" t="inlineStr">
        <is>
          <t>LOW (40%)</t>
        </is>
      </c>
      <c r="U848" t="inlineStr">
        <is>
          <t>UNLIKELY</t>
        </is>
      </c>
      <c r="V848" t="inlineStr">
        <is>
          <t>PATCH_AVAILABLE</t>
        </is>
      </c>
      <c r="W848" t="inlineStr">
        <is>
          <t>https://nvd.nist.gov/vuln/detail/CVE-2026-27193</t>
        </is>
      </c>
      <c r="X848" t="inlineStr">
        <is>
          <t>NONE</t>
        </is>
      </c>
      <c r="Y848" t="n">
        <v>0</v>
      </c>
      <c r="Z848" t="inlineStr"/>
      <c r="AA848" t="inlineStr">
        <is>
          <t>https://nvd.nist.gov/vuln/detail/CVE-2026-27193</t>
        </is>
      </c>
    </row>
    <row r="849">
      <c r="A849" t="inlineStr">
        <is>
          <t>CVE</t>
        </is>
      </c>
      <c r="B849" t="inlineStr">
        <is>
          <t>CVE-2026-27194</t>
        </is>
      </c>
      <c r="C849" t="inlineStr">
        <is>
          <t>D-Tale is a visualizer for pandas data structures. Versions prior to 3.20.0 are vulnerable to Remote Code Execution through the /save-column-filter endpoint. Users hosting D-Tale publicly can be vulnerable to remote code execution allowing attackers to run malicious code on the server. This issue has been fixed in version 3.20.0.</t>
        </is>
      </c>
      <c r="D849" t="n">
        <v>9.800000000000001</v>
      </c>
      <c r="E849" t="inlineStr">
        <is>
          <t>CRITICAL</t>
        </is>
      </c>
      <c r="F849" t="n">
        <v>2</v>
      </c>
      <c r="G849" t="n">
        <v>3</v>
      </c>
      <c r="H849" t="inlineStr">
        <is>
          <t>HIGH</t>
        </is>
      </c>
      <c r="I849" t="n">
        <v>15.8</v>
      </c>
      <c r="J849" t="inlineStr">
        <is>
          <t>NO</t>
        </is>
      </c>
      <c r="K849" t="inlineStr">
        <is>
          <t>2026-02-26 00:15</t>
        </is>
      </c>
      <c r="L849" t="inlineStr">
        <is>
          <t>YES</t>
        </is>
      </c>
      <c r="M849" t="inlineStr">
        <is>
          <t>man d-tale *</t>
        </is>
      </c>
      <c r="N849" t="inlineStr">
        <is>
          <t>P3</t>
        </is>
      </c>
      <c r="O849" t="inlineStr">
        <is>
          <t>CVE - IP enrichment n/a</t>
        </is>
      </c>
      <c r="P849" t="n">
        <v>0</v>
      </c>
      <c r="Q849" t="n">
        <v>0</v>
      </c>
      <c r="R849" t="inlineStr">
        <is>
          <t>T1190:Exploit Public-Facing Application | T1210:Exploitation of Remote Services</t>
        </is>
      </c>
      <c r="S849" t="n">
        <v>1</v>
      </c>
      <c r="T849" t="inlineStr">
        <is>
          <t>LOW (40%)</t>
        </is>
      </c>
      <c r="U849" t="inlineStr">
        <is>
          <t>UNLIKELY</t>
        </is>
      </c>
      <c r="V849" t="inlineStr">
        <is>
          <t>PATCH_AVAILABLE</t>
        </is>
      </c>
      <c r="W849" t="inlineStr">
        <is>
          <t>https://nvd.nist.gov/vuln/detail/CVE-2026-27194</t>
        </is>
      </c>
      <c r="X849" t="inlineStr">
        <is>
          <t>NONE</t>
        </is>
      </c>
      <c r="Y849" t="n">
        <v>0</v>
      </c>
      <c r="Z849" t="inlineStr"/>
      <c r="AA849" t="inlineStr">
        <is>
          <t>https://nvd.nist.gov/vuln/detail/CVE-2026-27194</t>
        </is>
      </c>
    </row>
    <row r="850">
      <c r="A850" t="inlineStr">
        <is>
          <t>CVE</t>
        </is>
      </c>
      <c r="B850" t="inlineStr">
        <is>
          <t>CVE-2026-27196</t>
        </is>
      </c>
      <c r="C850" t="inlineStr">
        <is>
          <t>Statmatic is a Laravel and Git powered content management system (CMS). Versions 5.73.8 and below in addition to 6.0.0-alpha.1 through 6.3.1 have a Stored XSS vulnerability in html fieldtypes which allows authenticated users with field management permissions to inject malicious JavaScript that executes when viewed by higher-privileged users. This issue has been fixed in 6.3.2 and 5.73.9.</t>
        </is>
      </c>
      <c r="D850" t="n">
        <v>8.1</v>
      </c>
      <c r="E850" t="inlineStr">
        <is>
          <t>HIGH</t>
        </is>
      </c>
      <c r="F850" t="n">
        <v>2</v>
      </c>
      <c r="G850" t="n">
        <v>3</v>
      </c>
      <c r="H850" t="inlineStr">
        <is>
          <t>HIGH</t>
        </is>
      </c>
      <c r="I850" t="n">
        <v>14.1</v>
      </c>
      <c r="J850" t="inlineStr">
        <is>
          <t>NO</t>
        </is>
      </c>
      <c r="K850" t="inlineStr">
        <is>
          <t>2026-02-26 00:15</t>
        </is>
      </c>
      <c r="L850" t="inlineStr">
        <is>
          <t>CHECK_VENDOR</t>
        </is>
      </c>
      <c r="M850" t="inlineStr">
        <is>
          <t>See CVE details</t>
        </is>
      </c>
      <c r="N850" t="inlineStr">
        <is>
          <t>P3</t>
        </is>
      </c>
      <c r="O850" t="inlineStr">
        <is>
          <t>CVE - IP enrichment n/a</t>
        </is>
      </c>
      <c r="P850" t="n">
        <v>0</v>
      </c>
      <c r="Q850" t="n">
        <v>0</v>
      </c>
      <c r="R850" t="inlineStr">
        <is>
          <t>T1189:Drive-by Compromise</t>
        </is>
      </c>
      <c r="S850" t="n">
        <v>1</v>
      </c>
      <c r="T850" t="inlineStr">
        <is>
          <t>LOW (40%)</t>
        </is>
      </c>
      <c r="U850" t="inlineStr">
        <is>
          <t>UNLIKELY</t>
        </is>
      </c>
      <c r="V850" t="inlineStr">
        <is>
          <t>CHECK_VENDOR</t>
        </is>
      </c>
      <c r="W850" t="inlineStr">
        <is>
          <t>https://nvd.nist.gov/vuln/detail/CVE-2026-27196</t>
        </is>
      </c>
      <c r="X850" t="inlineStr">
        <is>
          <t>NONE</t>
        </is>
      </c>
      <c r="Y850" t="n">
        <v>0</v>
      </c>
      <c r="Z850" t="inlineStr"/>
      <c r="AA850" t="inlineStr">
        <is>
          <t>https://nvd.nist.gov/vuln/detail/CVE-2026-27196</t>
        </is>
      </c>
    </row>
    <row r="851">
      <c r="A851" t="inlineStr">
        <is>
          <t>CVE</t>
        </is>
      </c>
      <c r="B851" t="inlineStr">
        <is>
          <t>CVE-2026-27197</t>
        </is>
      </c>
      <c r="C851" t="inlineStr">
        <is>
          <t>Sentry is a developer-first error tracking and performance monitoring tool. Versions 21.12.0 through 26.1.0 have a critical vulnerability in its SAML SSO implementation  which allows an attacker to take over any user account by using a malicious SAML Identity Provider and another organization on the same Sentry instance. Self-hosted users are only at risk if the following criteria is met: ore than one organizations are configured (SENTRY_SINGLE_ORGANIZATION = True), or malicious user has existin</t>
        </is>
      </c>
      <c r="D851" t="n">
        <v>9.1</v>
      </c>
      <c r="E851" t="inlineStr">
        <is>
          <t>CRITICAL</t>
        </is>
      </c>
      <c r="F851" t="n">
        <v>2</v>
      </c>
      <c r="G851" t="n">
        <v>3</v>
      </c>
      <c r="H851" t="inlineStr">
        <is>
          <t>HIGH</t>
        </is>
      </c>
      <c r="I851" t="n">
        <v>15.1</v>
      </c>
      <c r="J851" t="inlineStr">
        <is>
          <t>NO</t>
        </is>
      </c>
      <c r="K851" t="inlineStr">
        <is>
          <t>2026-02-26 00:15</t>
        </is>
      </c>
      <c r="L851" t="inlineStr">
        <is>
          <t>YES</t>
        </is>
      </c>
      <c r="M851" t="inlineStr">
        <is>
          <t>sentry sentry *</t>
        </is>
      </c>
      <c r="N851" t="inlineStr">
        <is>
          <t>P3</t>
        </is>
      </c>
      <c r="O851" t="inlineStr">
        <is>
          <t>CVE - IP enrichment n/a</t>
        </is>
      </c>
      <c r="P851" t="n">
        <v>0</v>
      </c>
      <c r="Q851" t="n">
        <v>0</v>
      </c>
      <c r="R851" t="inlineStr">
        <is>
          <t>T1078:Valid Accounts | T1110:Brute Force</t>
        </is>
      </c>
      <c r="S851" t="n">
        <v>1</v>
      </c>
      <c r="T851" t="inlineStr">
        <is>
          <t>LOW (40%)</t>
        </is>
      </c>
      <c r="U851" t="inlineStr">
        <is>
          <t>UNLIKELY</t>
        </is>
      </c>
      <c r="V851" t="inlineStr">
        <is>
          <t>PATCH_AVAILABLE</t>
        </is>
      </c>
      <c r="W851" t="inlineStr">
        <is>
          <t>https://nvd.nist.gov/vuln/detail/CVE-2026-27197</t>
        </is>
      </c>
      <c r="X851" t="inlineStr">
        <is>
          <t>NONE</t>
        </is>
      </c>
      <c r="Y851" t="n">
        <v>0</v>
      </c>
      <c r="Z851" t="inlineStr"/>
      <c r="AA851" t="inlineStr">
        <is>
          <t>https://nvd.nist.gov/vuln/detail/CVE-2026-27197</t>
        </is>
      </c>
    </row>
    <row r="852">
      <c r="A852" t="inlineStr">
        <is>
          <t>CVE</t>
        </is>
      </c>
      <c r="B852" t="inlineStr">
        <is>
          <t>CVE-2026-27527</t>
        </is>
      </c>
      <c r="C852" t="inlineStr">
        <is>
          <t>Rejected reason: Not used</t>
        </is>
      </c>
      <c r="D852" t="n">
        <v>5</v>
      </c>
      <c r="E852" t="inlineStr">
        <is>
          <t>MEDIUM</t>
        </is>
      </c>
      <c r="F852" t="n">
        <v>2</v>
      </c>
      <c r="G852" t="n">
        <v>2</v>
      </c>
      <c r="H852" t="inlineStr">
        <is>
          <t>MEDIUM</t>
        </is>
      </c>
      <c r="I852" t="n">
        <v>9</v>
      </c>
      <c r="J852" t="inlineStr">
        <is>
          <t>NO</t>
        </is>
      </c>
      <c r="K852" t="inlineStr">
        <is>
          <t>2026-02-26 00:15</t>
        </is>
      </c>
      <c r="L852" t="inlineStr">
        <is>
          <t>CHECK_VENDOR</t>
        </is>
      </c>
      <c r="M852" t="inlineStr">
        <is>
          <t>See CVE details</t>
        </is>
      </c>
      <c r="N852" t="inlineStr">
        <is>
          <t>P4</t>
        </is>
      </c>
      <c r="O852" t="inlineStr">
        <is>
          <t>CVE - IP enrichment n/a</t>
        </is>
      </c>
      <c r="P852" t="n">
        <v>0</v>
      </c>
      <c r="Q852" t="n">
        <v>0</v>
      </c>
      <c r="R852" t="inlineStr">
        <is>
          <t>T1190:Exploit Public-Facing Application</t>
        </is>
      </c>
      <c r="S852" t="n">
        <v>1</v>
      </c>
      <c r="T852" t="inlineStr">
        <is>
          <t>LOW (40%)</t>
        </is>
      </c>
      <c r="U852" t="inlineStr">
        <is>
          <t>UNLIKELY</t>
        </is>
      </c>
      <c r="V852" t="inlineStr">
        <is>
          <t>CHECK_VENDOR</t>
        </is>
      </c>
      <c r="W852" t="inlineStr">
        <is>
          <t>https://nvd.nist.gov/vuln/detail/CVE-2026-27527</t>
        </is>
      </c>
      <c r="X852" t="inlineStr">
        <is>
          <t>NONE</t>
        </is>
      </c>
      <c r="Y852" t="n">
        <v>0</v>
      </c>
      <c r="Z852" t="inlineStr"/>
      <c r="AA852" t="inlineStr">
        <is>
          <t>https://nvd.nist.gov/vuln/detail/CVE-2026-27527</t>
        </is>
      </c>
    </row>
    <row r="853">
      <c r="A853" t="inlineStr">
        <is>
          <t>CVE</t>
        </is>
      </c>
      <c r="B853" t="inlineStr">
        <is>
          <t>CVE-2026-27528</t>
        </is>
      </c>
      <c r="C853" t="inlineStr">
        <is>
          <t>Rejected reason: Not used</t>
        </is>
      </c>
      <c r="D853" t="n">
        <v>5</v>
      </c>
      <c r="E853" t="inlineStr">
        <is>
          <t>MEDIUM</t>
        </is>
      </c>
      <c r="F853" t="n">
        <v>2</v>
      </c>
      <c r="G853" t="n">
        <v>2</v>
      </c>
      <c r="H853" t="inlineStr">
        <is>
          <t>MEDIUM</t>
        </is>
      </c>
      <c r="I853" t="n">
        <v>9</v>
      </c>
      <c r="J853" t="inlineStr">
        <is>
          <t>NO</t>
        </is>
      </c>
      <c r="K853" t="inlineStr">
        <is>
          <t>2026-02-26 00:15</t>
        </is>
      </c>
      <c r="L853" t="inlineStr">
        <is>
          <t>CHECK_VENDOR</t>
        </is>
      </c>
      <c r="M853" t="inlineStr">
        <is>
          <t>See CVE details</t>
        </is>
      </c>
      <c r="N853" t="inlineStr">
        <is>
          <t>P4</t>
        </is>
      </c>
      <c r="O853" t="inlineStr">
        <is>
          <t>CVE - IP enrichment n/a</t>
        </is>
      </c>
      <c r="P853" t="n">
        <v>0</v>
      </c>
      <c r="Q853" t="n">
        <v>0</v>
      </c>
      <c r="R853" t="inlineStr">
        <is>
          <t>T1190:Exploit Public-Facing Application</t>
        </is>
      </c>
      <c r="S853" t="n">
        <v>1</v>
      </c>
      <c r="T853" t="inlineStr">
        <is>
          <t>LOW (40%)</t>
        </is>
      </c>
      <c r="U853" t="inlineStr">
        <is>
          <t>UNLIKELY</t>
        </is>
      </c>
      <c r="V853" t="inlineStr">
        <is>
          <t>CHECK_VENDOR</t>
        </is>
      </c>
      <c r="W853" t="inlineStr">
        <is>
          <t>https://nvd.nist.gov/vuln/detail/CVE-2026-27528</t>
        </is>
      </c>
      <c r="X853" t="inlineStr">
        <is>
          <t>NONE</t>
        </is>
      </c>
      <c r="Y853" t="n">
        <v>0</v>
      </c>
      <c r="Z853" t="inlineStr"/>
      <c r="AA853" t="inlineStr">
        <is>
          <t>https://nvd.nist.gov/vuln/detail/CVE-2026-27528</t>
        </is>
      </c>
    </row>
    <row r="854">
      <c r="A854" t="inlineStr">
        <is>
          <t>CVE</t>
        </is>
      </c>
      <c r="B854" t="inlineStr">
        <is>
          <t>CVE-2026-27529</t>
        </is>
      </c>
      <c r="C854" t="inlineStr">
        <is>
          <t>Rejected reason: Not used</t>
        </is>
      </c>
      <c r="D854" t="n">
        <v>5</v>
      </c>
      <c r="E854" t="inlineStr">
        <is>
          <t>MEDIUM</t>
        </is>
      </c>
      <c r="F854" t="n">
        <v>2</v>
      </c>
      <c r="G854" t="n">
        <v>2</v>
      </c>
      <c r="H854" t="inlineStr">
        <is>
          <t>MEDIUM</t>
        </is>
      </c>
      <c r="I854" t="n">
        <v>9</v>
      </c>
      <c r="J854" t="inlineStr">
        <is>
          <t>NO</t>
        </is>
      </c>
      <c r="K854" t="inlineStr">
        <is>
          <t>2026-02-26 00:15</t>
        </is>
      </c>
      <c r="L854" t="inlineStr">
        <is>
          <t>CHECK_VENDOR</t>
        </is>
      </c>
      <c r="M854" t="inlineStr">
        <is>
          <t>See CVE details</t>
        </is>
      </c>
      <c r="N854" t="inlineStr">
        <is>
          <t>P4</t>
        </is>
      </c>
      <c r="O854" t="inlineStr">
        <is>
          <t>CVE - IP enrichment n/a</t>
        </is>
      </c>
      <c r="P854" t="n">
        <v>0</v>
      </c>
      <c r="Q854" t="n">
        <v>0</v>
      </c>
      <c r="R854" t="inlineStr">
        <is>
          <t>T1190:Exploit Public-Facing Application</t>
        </is>
      </c>
      <c r="S854" t="n">
        <v>1</v>
      </c>
      <c r="T854" t="inlineStr">
        <is>
          <t>LOW (40%)</t>
        </is>
      </c>
      <c r="U854" t="inlineStr">
        <is>
          <t>UNLIKELY</t>
        </is>
      </c>
      <c r="V854" t="inlineStr">
        <is>
          <t>CHECK_VENDOR</t>
        </is>
      </c>
      <c r="W854" t="inlineStr">
        <is>
          <t>https://nvd.nist.gov/vuln/detail/CVE-2026-27529</t>
        </is>
      </c>
      <c r="X854" t="inlineStr">
        <is>
          <t>NONE</t>
        </is>
      </c>
      <c r="Y854" t="n">
        <v>0</v>
      </c>
      <c r="Z854" t="inlineStr"/>
      <c r="AA854" t="inlineStr">
        <is>
          <t>https://nvd.nist.gov/vuln/detail/CVE-2026-27529</t>
        </is>
      </c>
    </row>
    <row r="855">
      <c r="A855" t="inlineStr">
        <is>
          <t>CVE</t>
        </is>
      </c>
      <c r="B855" t="inlineStr">
        <is>
          <t>CVE-2026-27530</t>
        </is>
      </c>
      <c r="C855" t="inlineStr">
        <is>
          <t>Rejected reason: Not used</t>
        </is>
      </c>
      <c r="D855" t="n">
        <v>5</v>
      </c>
      <c r="E855" t="inlineStr">
        <is>
          <t>MEDIUM</t>
        </is>
      </c>
      <c r="F855" t="n">
        <v>2</v>
      </c>
      <c r="G855" t="n">
        <v>2</v>
      </c>
      <c r="H855" t="inlineStr">
        <is>
          <t>MEDIUM</t>
        </is>
      </c>
      <c r="I855" t="n">
        <v>9</v>
      </c>
      <c r="J855" t="inlineStr">
        <is>
          <t>NO</t>
        </is>
      </c>
      <c r="K855" t="inlineStr">
        <is>
          <t>2026-02-26 00:15</t>
        </is>
      </c>
      <c r="L855" t="inlineStr">
        <is>
          <t>CHECK_VENDOR</t>
        </is>
      </c>
      <c r="M855" t="inlineStr">
        <is>
          <t>See CVE details</t>
        </is>
      </c>
      <c r="N855" t="inlineStr">
        <is>
          <t>P4</t>
        </is>
      </c>
      <c r="O855" t="inlineStr">
        <is>
          <t>CVE - IP enrichment n/a</t>
        </is>
      </c>
      <c r="P855" t="n">
        <v>0</v>
      </c>
      <c r="Q855" t="n">
        <v>0</v>
      </c>
      <c r="R855" t="inlineStr">
        <is>
          <t>T1190:Exploit Public-Facing Application</t>
        </is>
      </c>
      <c r="S855" t="n">
        <v>1</v>
      </c>
      <c r="T855" t="inlineStr">
        <is>
          <t>LOW (40%)</t>
        </is>
      </c>
      <c r="U855" t="inlineStr">
        <is>
          <t>UNLIKELY</t>
        </is>
      </c>
      <c r="V855" t="inlineStr">
        <is>
          <t>CHECK_VENDOR</t>
        </is>
      </c>
      <c r="W855" t="inlineStr">
        <is>
          <t>https://nvd.nist.gov/vuln/detail/CVE-2026-27530</t>
        </is>
      </c>
      <c r="X855" t="inlineStr">
        <is>
          <t>NONE</t>
        </is>
      </c>
      <c r="Y855" t="n">
        <v>0</v>
      </c>
      <c r="Z855" t="inlineStr"/>
      <c r="AA855" t="inlineStr">
        <is>
          <t>https://nvd.nist.gov/vuln/detail/CVE-2026-27530</t>
        </is>
      </c>
    </row>
    <row r="856">
      <c r="A856" t="inlineStr">
        <is>
          <t>CVE</t>
        </is>
      </c>
      <c r="B856" t="inlineStr">
        <is>
          <t>CVE-2026-27531</t>
        </is>
      </c>
      <c r="C856" t="inlineStr">
        <is>
          <t>Rejected reason: Not used</t>
        </is>
      </c>
      <c r="D856" t="n">
        <v>5</v>
      </c>
      <c r="E856" t="inlineStr">
        <is>
          <t>MEDIUM</t>
        </is>
      </c>
      <c r="F856" t="n">
        <v>2</v>
      </c>
      <c r="G856" t="n">
        <v>2</v>
      </c>
      <c r="H856" t="inlineStr">
        <is>
          <t>MEDIUM</t>
        </is>
      </c>
      <c r="I856" t="n">
        <v>9</v>
      </c>
      <c r="J856" t="inlineStr">
        <is>
          <t>NO</t>
        </is>
      </c>
      <c r="K856" t="inlineStr">
        <is>
          <t>2026-02-26 00:15</t>
        </is>
      </c>
      <c r="L856" t="inlineStr">
        <is>
          <t>CHECK_VENDOR</t>
        </is>
      </c>
      <c r="M856" t="inlineStr">
        <is>
          <t>See CVE details</t>
        </is>
      </c>
      <c r="N856" t="inlineStr">
        <is>
          <t>P4</t>
        </is>
      </c>
      <c r="O856" t="inlineStr">
        <is>
          <t>CVE - IP enrichment n/a</t>
        </is>
      </c>
      <c r="P856" t="n">
        <v>0</v>
      </c>
      <c r="Q856" t="n">
        <v>0</v>
      </c>
      <c r="R856" t="inlineStr">
        <is>
          <t>T1190:Exploit Public-Facing Application</t>
        </is>
      </c>
      <c r="S856" t="n">
        <v>1</v>
      </c>
      <c r="T856" t="inlineStr">
        <is>
          <t>LOW (40%)</t>
        </is>
      </c>
      <c r="U856" t="inlineStr">
        <is>
          <t>UNLIKELY</t>
        </is>
      </c>
      <c r="V856" t="inlineStr">
        <is>
          <t>CHECK_VENDOR</t>
        </is>
      </c>
      <c r="W856" t="inlineStr">
        <is>
          <t>https://nvd.nist.gov/vuln/detail/CVE-2026-27531</t>
        </is>
      </c>
      <c r="X856" t="inlineStr">
        <is>
          <t>NONE</t>
        </is>
      </c>
      <c r="Y856" t="n">
        <v>0</v>
      </c>
      <c r="Z856" t="inlineStr"/>
      <c r="AA856" t="inlineStr">
        <is>
          <t>https://nvd.nist.gov/vuln/detail/CVE-2026-27531</t>
        </is>
      </c>
    </row>
    <row r="857">
      <c r="A857" t="inlineStr">
        <is>
          <t>CVE</t>
        </is>
      </c>
      <c r="B857" t="inlineStr">
        <is>
          <t>CVE-2026-27532</t>
        </is>
      </c>
      <c r="C857" t="inlineStr">
        <is>
          <t>Rejected reason: Not used</t>
        </is>
      </c>
      <c r="D857" t="n">
        <v>5</v>
      </c>
      <c r="E857" t="inlineStr">
        <is>
          <t>MEDIUM</t>
        </is>
      </c>
      <c r="F857" t="n">
        <v>2</v>
      </c>
      <c r="G857" t="n">
        <v>2</v>
      </c>
      <c r="H857" t="inlineStr">
        <is>
          <t>MEDIUM</t>
        </is>
      </c>
      <c r="I857" t="n">
        <v>9</v>
      </c>
      <c r="J857" t="inlineStr">
        <is>
          <t>NO</t>
        </is>
      </c>
      <c r="K857" t="inlineStr">
        <is>
          <t>2026-02-26 00:15</t>
        </is>
      </c>
      <c r="L857" t="inlineStr">
        <is>
          <t>CHECK_VENDOR</t>
        </is>
      </c>
      <c r="M857" t="inlineStr">
        <is>
          <t>See CVE details</t>
        </is>
      </c>
      <c r="N857" t="inlineStr">
        <is>
          <t>P4</t>
        </is>
      </c>
      <c r="O857" t="inlineStr">
        <is>
          <t>CVE - IP enrichment n/a</t>
        </is>
      </c>
      <c r="P857" t="n">
        <v>0</v>
      </c>
      <c r="Q857" t="n">
        <v>0</v>
      </c>
      <c r="R857" t="inlineStr">
        <is>
          <t>T1190:Exploit Public-Facing Application</t>
        </is>
      </c>
      <c r="S857" t="n">
        <v>1</v>
      </c>
      <c r="T857" t="inlineStr">
        <is>
          <t>LOW (40%)</t>
        </is>
      </c>
      <c r="U857" t="inlineStr">
        <is>
          <t>UNLIKELY</t>
        </is>
      </c>
      <c r="V857" t="inlineStr">
        <is>
          <t>CHECK_VENDOR</t>
        </is>
      </c>
      <c r="W857" t="inlineStr">
        <is>
          <t>https://nvd.nist.gov/vuln/detail/CVE-2026-27532</t>
        </is>
      </c>
      <c r="X857" t="inlineStr">
        <is>
          <t>NONE</t>
        </is>
      </c>
      <c r="Y857" t="n">
        <v>0</v>
      </c>
      <c r="Z857" t="inlineStr"/>
      <c r="AA857" t="inlineStr">
        <is>
          <t>https://nvd.nist.gov/vuln/detail/CVE-2026-27532</t>
        </is>
      </c>
    </row>
    <row r="858">
      <c r="A858" t="inlineStr">
        <is>
          <t>CVE</t>
        </is>
      </c>
      <c r="B858" t="inlineStr">
        <is>
          <t>CVE-2026-27533</t>
        </is>
      </c>
      <c r="C858" t="inlineStr">
        <is>
          <t>Rejected reason: Not used</t>
        </is>
      </c>
      <c r="D858" t="n">
        <v>5</v>
      </c>
      <c r="E858" t="inlineStr">
        <is>
          <t>MEDIUM</t>
        </is>
      </c>
      <c r="F858" t="n">
        <v>2</v>
      </c>
      <c r="G858" t="n">
        <v>2</v>
      </c>
      <c r="H858" t="inlineStr">
        <is>
          <t>MEDIUM</t>
        </is>
      </c>
      <c r="I858" t="n">
        <v>9</v>
      </c>
      <c r="J858" t="inlineStr">
        <is>
          <t>NO</t>
        </is>
      </c>
      <c r="K858" t="inlineStr">
        <is>
          <t>2026-02-26 00:15</t>
        </is>
      </c>
      <c r="L858" t="inlineStr">
        <is>
          <t>CHECK_VENDOR</t>
        </is>
      </c>
      <c r="M858" t="inlineStr">
        <is>
          <t>See CVE details</t>
        </is>
      </c>
      <c r="N858" t="inlineStr">
        <is>
          <t>P4</t>
        </is>
      </c>
      <c r="O858" t="inlineStr">
        <is>
          <t>CVE - IP enrichment n/a</t>
        </is>
      </c>
      <c r="P858" t="n">
        <v>0</v>
      </c>
      <c r="Q858" t="n">
        <v>0</v>
      </c>
      <c r="R858" t="inlineStr">
        <is>
          <t>T1190:Exploit Public-Facing Application</t>
        </is>
      </c>
      <c r="S858" t="n">
        <v>1</v>
      </c>
      <c r="T858" t="inlineStr">
        <is>
          <t>LOW (40%)</t>
        </is>
      </c>
      <c r="U858" t="inlineStr">
        <is>
          <t>UNLIKELY</t>
        </is>
      </c>
      <c r="V858" t="inlineStr">
        <is>
          <t>CHECK_VENDOR</t>
        </is>
      </c>
      <c r="W858" t="inlineStr">
        <is>
          <t>https://nvd.nist.gov/vuln/detail/CVE-2026-27533</t>
        </is>
      </c>
      <c r="X858" t="inlineStr">
        <is>
          <t>NONE</t>
        </is>
      </c>
      <c r="Y858" t="n">
        <v>0</v>
      </c>
      <c r="Z858" t="inlineStr"/>
      <c r="AA858" t="inlineStr">
        <is>
          <t>https://nvd.nist.gov/vuln/detail/CVE-2026-27533</t>
        </is>
      </c>
    </row>
    <row r="859">
      <c r="A859" t="inlineStr">
        <is>
          <t>CVE</t>
        </is>
      </c>
      <c r="B859" t="inlineStr">
        <is>
          <t>CVE-2026-27534</t>
        </is>
      </c>
      <c r="C859" t="inlineStr">
        <is>
          <t>Rejected reason: Not used</t>
        </is>
      </c>
      <c r="D859" t="n">
        <v>5</v>
      </c>
      <c r="E859" t="inlineStr">
        <is>
          <t>MEDIUM</t>
        </is>
      </c>
      <c r="F859" t="n">
        <v>2</v>
      </c>
      <c r="G859" t="n">
        <v>2</v>
      </c>
      <c r="H859" t="inlineStr">
        <is>
          <t>MEDIUM</t>
        </is>
      </c>
      <c r="I859" t="n">
        <v>9</v>
      </c>
      <c r="J859" t="inlineStr">
        <is>
          <t>NO</t>
        </is>
      </c>
      <c r="K859" t="inlineStr">
        <is>
          <t>2026-02-26 00:15</t>
        </is>
      </c>
      <c r="L859" t="inlineStr">
        <is>
          <t>CHECK_VENDOR</t>
        </is>
      </c>
      <c r="M859" t="inlineStr">
        <is>
          <t>See CVE details</t>
        </is>
      </c>
      <c r="N859" t="inlineStr">
        <is>
          <t>P4</t>
        </is>
      </c>
      <c r="O859" t="inlineStr">
        <is>
          <t>CVE - IP enrichment n/a</t>
        </is>
      </c>
      <c r="P859" t="n">
        <v>0</v>
      </c>
      <c r="Q859" t="n">
        <v>0</v>
      </c>
      <c r="R859" t="inlineStr">
        <is>
          <t>T1190:Exploit Public-Facing Application</t>
        </is>
      </c>
      <c r="S859" t="n">
        <v>1</v>
      </c>
      <c r="T859" t="inlineStr">
        <is>
          <t>LOW (40%)</t>
        </is>
      </c>
      <c r="U859" t="inlineStr">
        <is>
          <t>UNLIKELY</t>
        </is>
      </c>
      <c r="V859" t="inlineStr">
        <is>
          <t>CHECK_VENDOR</t>
        </is>
      </c>
      <c r="W859" t="inlineStr">
        <is>
          <t>https://nvd.nist.gov/vuln/detail/CVE-2026-27534</t>
        </is>
      </c>
      <c r="X859" t="inlineStr">
        <is>
          <t>NONE</t>
        </is>
      </c>
      <c r="Y859" t="n">
        <v>0</v>
      </c>
      <c r="Z859" t="inlineStr"/>
      <c r="AA859" t="inlineStr">
        <is>
          <t>https://nvd.nist.gov/vuln/detail/CVE-2026-27534</t>
        </is>
      </c>
    </row>
    <row r="860">
      <c r="A860" t="inlineStr">
        <is>
          <t>CVE</t>
        </is>
      </c>
      <c r="B860" t="inlineStr">
        <is>
          <t>CVE-2026-2860</t>
        </is>
      </c>
      <c r="C860" t="inlineStr">
        <is>
          <t xml:space="preserve">A security vulnerability has been detected in feng_ha_ha/megagao ssm-erp and production_ssm up to 4288d53bd35757b27f2d070057aefb2c07bdd097. Impacted is an unknown function of the file EmployeeController.java. The manipulation leads to improper authorization. It is possible to initiate the attack remotely. The exploit has been disclosed publicly and may be used. This product is using a rolling release to provide continious delivery. Therefore, no version details for affected nor updated releases </t>
        </is>
      </c>
      <c r="D860" t="n">
        <v>6.3</v>
      </c>
      <c r="E860" t="inlineStr">
        <is>
          <t>MEDIUM</t>
        </is>
      </c>
      <c r="F860" t="n">
        <v>2</v>
      </c>
      <c r="G860" t="n">
        <v>2</v>
      </c>
      <c r="H860" t="inlineStr">
        <is>
          <t>MEDIUM</t>
        </is>
      </c>
      <c r="I860" t="n">
        <v>10.3</v>
      </c>
      <c r="J860" t="inlineStr">
        <is>
          <t>NO</t>
        </is>
      </c>
      <c r="K860" t="inlineStr">
        <is>
          <t>2026-02-26 00:15</t>
        </is>
      </c>
      <c r="L860" t="inlineStr">
        <is>
          <t>CHECK_VENDOR</t>
        </is>
      </c>
      <c r="M860" t="inlineStr">
        <is>
          <t>See CVE details</t>
        </is>
      </c>
      <c r="N860" t="inlineStr">
        <is>
          <t>P4</t>
        </is>
      </c>
      <c r="O860" t="inlineStr">
        <is>
          <t>CVE - IP enrichment n/a</t>
        </is>
      </c>
      <c r="P860" t="n">
        <v>0</v>
      </c>
      <c r="Q860" t="n">
        <v>0</v>
      </c>
      <c r="R860" t="inlineStr">
        <is>
          <t>T1190:Exploit Public-Facing Application</t>
        </is>
      </c>
      <c r="S860" t="n">
        <v>1</v>
      </c>
      <c r="T860" t="inlineStr">
        <is>
          <t>LOW (40%)</t>
        </is>
      </c>
      <c r="U860" t="inlineStr">
        <is>
          <t>UNLIKELY</t>
        </is>
      </c>
      <c r="V860" t="inlineStr">
        <is>
          <t>CHECK_VENDOR</t>
        </is>
      </c>
      <c r="W860" t="inlineStr">
        <is>
          <t>https://nvd.nist.gov/vuln/detail/CVE-2026-2860</t>
        </is>
      </c>
      <c r="X860" t="inlineStr">
        <is>
          <t>NONE</t>
        </is>
      </c>
      <c r="Y860" t="n">
        <v>0</v>
      </c>
      <c r="Z860" t="inlineStr"/>
      <c r="AA860" t="inlineStr">
        <is>
          <t>https://nvd.nist.gov/vuln/detail/CVE-2026-2860</t>
        </is>
      </c>
    </row>
    <row r="861">
      <c r="A861" t="inlineStr">
        <is>
          <t>CVE</t>
        </is>
      </c>
      <c r="B861" t="inlineStr">
        <is>
          <t>CVE-2026-26045</t>
        </is>
      </c>
      <c r="C861" t="inlineStr">
        <is>
          <t>A flaw was identified in Moodle’s backup restore functionality where specially crafted backup files were not properly validated during processing. If a malicious backup file is restored, it could lead to unintended execution of server-side code. Since restore capabilities are typically available to privileged users, exploitation requires authenticated access. Successful exploitation could result in full compromise of the Moodle server.</t>
        </is>
      </c>
      <c r="D861" t="n">
        <v>7.2</v>
      </c>
      <c r="E861" t="inlineStr">
        <is>
          <t>HIGH</t>
        </is>
      </c>
      <c r="F861" t="n">
        <v>2</v>
      </c>
      <c r="G861" t="n">
        <v>3</v>
      </c>
      <c r="H861" t="inlineStr">
        <is>
          <t>HIGH</t>
        </is>
      </c>
      <c r="I861" t="n">
        <v>13.2</v>
      </c>
      <c r="J861" t="inlineStr">
        <is>
          <t>NO</t>
        </is>
      </c>
      <c r="K861" t="inlineStr">
        <is>
          <t>2026-02-26 00:15</t>
        </is>
      </c>
      <c r="L861" t="inlineStr">
        <is>
          <t>CHECK_VENDOR</t>
        </is>
      </c>
      <c r="M861" t="inlineStr">
        <is>
          <t>See CVE details</t>
        </is>
      </c>
      <c r="N861" t="inlineStr">
        <is>
          <t>P3</t>
        </is>
      </c>
      <c r="O861" t="inlineStr">
        <is>
          <t>CVE - IP enrichment n/a</t>
        </is>
      </c>
      <c r="P861" t="n">
        <v>0</v>
      </c>
      <c r="Q861" t="n">
        <v>0</v>
      </c>
      <c r="R861" t="inlineStr">
        <is>
          <t>T1059:Command and Scripting Interpreter</t>
        </is>
      </c>
      <c r="S861" t="n">
        <v>1</v>
      </c>
      <c r="T861" t="inlineStr">
        <is>
          <t>LOW (40%)</t>
        </is>
      </c>
      <c r="U861" t="inlineStr">
        <is>
          <t>UNLIKELY</t>
        </is>
      </c>
      <c r="V861" t="inlineStr">
        <is>
          <t>CHECK_VENDOR</t>
        </is>
      </c>
      <c r="W861" t="inlineStr">
        <is>
          <t>https://nvd.nist.gov/vuln/detail/CVE-2026-26045</t>
        </is>
      </c>
      <c r="X861" t="inlineStr">
        <is>
          <t>NONE</t>
        </is>
      </c>
      <c r="Y861" t="n">
        <v>0</v>
      </c>
      <c r="Z861" t="inlineStr"/>
      <c r="AA861" t="inlineStr">
        <is>
          <t>https://nvd.nist.gov/vuln/detail/CVE-2026-26045</t>
        </is>
      </c>
    </row>
    <row r="862">
      <c r="A862" t="inlineStr">
        <is>
          <t>CVE</t>
        </is>
      </c>
      <c r="B862" t="inlineStr">
        <is>
          <t>CVE-2026-26046</t>
        </is>
      </c>
      <c r="C862" t="inlineStr">
        <is>
          <t>A vulnerability was found in a Moodle TeX filter administrative setting where insufficient sanitization of configuration input could allow command injection. On sites where the TeX filter is enabled and ImageMagick is installed, a maliciously crafted setting value entered by an administrator could result in unintended system command execution. While exploitation requires administrative privileges, successful compromise could affect the entire Moodle server.</t>
        </is>
      </c>
      <c r="D862" t="n">
        <v>7.2</v>
      </c>
      <c r="E862" t="inlineStr">
        <is>
          <t>HIGH</t>
        </is>
      </c>
      <c r="F862" t="n">
        <v>2</v>
      </c>
      <c r="G862" t="n">
        <v>3</v>
      </c>
      <c r="H862" t="inlineStr">
        <is>
          <t>HIGH</t>
        </is>
      </c>
      <c r="I862" t="n">
        <v>13.2</v>
      </c>
      <c r="J862" t="inlineStr">
        <is>
          <t>NO</t>
        </is>
      </c>
      <c r="K862" t="inlineStr">
        <is>
          <t>2026-02-26 00:15</t>
        </is>
      </c>
      <c r="L862" t="inlineStr">
        <is>
          <t>CHECK_VENDOR</t>
        </is>
      </c>
      <c r="M862" t="inlineStr">
        <is>
          <t>See CVE details</t>
        </is>
      </c>
      <c r="N862" t="inlineStr">
        <is>
          <t>P3</t>
        </is>
      </c>
      <c r="O862" t="inlineStr">
        <is>
          <t>CVE - IP enrichment n/a</t>
        </is>
      </c>
      <c r="P862" t="n">
        <v>0.0012</v>
      </c>
      <c r="Q862" t="n">
        <v>0.3168</v>
      </c>
      <c r="R862" t="inlineStr">
        <is>
          <t>T1059:Command and Scripting Interpreter</t>
        </is>
      </c>
      <c r="S862" t="n">
        <v>1</v>
      </c>
      <c r="T862" t="inlineStr">
        <is>
          <t>LOW (40%)</t>
        </is>
      </c>
      <c r="U862" t="inlineStr">
        <is>
          <t>UNLIKELY</t>
        </is>
      </c>
      <c r="V862" t="inlineStr">
        <is>
          <t>CHECK_VENDOR</t>
        </is>
      </c>
      <c r="W862" t="inlineStr">
        <is>
          <t>https://nvd.nist.gov/vuln/detail/CVE-2026-26046</t>
        </is>
      </c>
      <c r="X862" t="inlineStr">
        <is>
          <t>NONE</t>
        </is>
      </c>
      <c r="Y862" t="n">
        <v>0</v>
      </c>
      <c r="Z862" t="inlineStr"/>
      <c r="AA862" t="inlineStr">
        <is>
          <t>https://nvd.nist.gov/vuln/detail/CVE-2026-26046</t>
        </is>
      </c>
    </row>
    <row r="863">
      <c r="A863" t="inlineStr">
        <is>
          <t>CVE</t>
        </is>
      </c>
      <c r="B863" t="inlineStr">
        <is>
          <t>CVE-2026-26047</t>
        </is>
      </c>
      <c r="C863" t="inlineStr">
        <is>
          <t>A denial-of-service vulnerability was identified in Moodle’s TeX formula editor. When rendering TeX content using mimetex, insufficient execution time limits could allow specially crafted formulas to consume excessive server resources. An authenticated user could abuse this behavior to degrade performance or cause service interruption.</t>
        </is>
      </c>
      <c r="D863" t="n">
        <v>6.5</v>
      </c>
      <c r="E863" t="inlineStr">
        <is>
          <t>MEDIUM</t>
        </is>
      </c>
      <c r="F863" t="n">
        <v>2</v>
      </c>
      <c r="G863" t="n">
        <v>2</v>
      </c>
      <c r="H863" t="inlineStr">
        <is>
          <t>MEDIUM</t>
        </is>
      </c>
      <c r="I863" t="n">
        <v>10.5</v>
      </c>
      <c r="J863" t="inlineStr">
        <is>
          <t>NO</t>
        </is>
      </c>
      <c r="K863" t="inlineStr">
        <is>
          <t>2026-02-26 00:15</t>
        </is>
      </c>
      <c r="L863" t="inlineStr">
        <is>
          <t>CHECK_VENDOR</t>
        </is>
      </c>
      <c r="M863" t="inlineStr">
        <is>
          <t>See CVE details</t>
        </is>
      </c>
      <c r="N863" t="inlineStr">
        <is>
          <t>P4</t>
        </is>
      </c>
      <c r="O863" t="inlineStr">
        <is>
          <t>CVE - IP enrichment n/a</t>
        </is>
      </c>
      <c r="P863" t="n">
        <v>0</v>
      </c>
      <c r="Q863" t="n">
        <v>0</v>
      </c>
      <c r="R863" t="inlineStr">
        <is>
          <t>T1190:Exploit Public-Facing Application</t>
        </is>
      </c>
      <c r="S863" t="n">
        <v>1</v>
      </c>
      <c r="T863" t="inlineStr">
        <is>
          <t>LOW (40%)</t>
        </is>
      </c>
      <c r="U863" t="inlineStr">
        <is>
          <t>UNLIKELY</t>
        </is>
      </c>
      <c r="V863" t="inlineStr">
        <is>
          <t>CHECK_VENDOR</t>
        </is>
      </c>
      <c r="W863" t="inlineStr">
        <is>
          <t>https://nvd.nist.gov/vuln/detail/CVE-2026-26047</t>
        </is>
      </c>
      <c r="X863" t="inlineStr">
        <is>
          <t>NONE</t>
        </is>
      </c>
      <c r="Y863" t="n">
        <v>0</v>
      </c>
      <c r="Z863" t="inlineStr"/>
      <c r="AA863" t="inlineStr">
        <is>
          <t>https://nvd.nist.gov/vuln/detail/CVE-2026-26047</t>
        </is>
      </c>
    </row>
    <row r="864">
      <c r="A864" t="inlineStr">
        <is>
          <t>CVE</t>
        </is>
      </c>
      <c r="B864" t="inlineStr">
        <is>
          <t>CVE-2026-27198</t>
        </is>
      </c>
      <c r="C864" t="inlineStr">
        <is>
          <t>Formwork is a flat file-based Content Management System (CMS). In versions 2.0.0 through 2.3.3, the application fails to properly enforce role-based authorization during account creation. Although the system validates that the specified role exists, it does not verify whether the current user has sufficient privileges to assign highly privileged roles such as admin. As a result, an authenticated user with the editor role can create a new account with administrative privileges, leading to full ad</t>
        </is>
      </c>
      <c r="D864" t="n">
        <v>8.800000000000001</v>
      </c>
      <c r="E864" t="inlineStr">
        <is>
          <t>HIGH</t>
        </is>
      </c>
      <c r="F864" t="n">
        <v>2</v>
      </c>
      <c r="G864" t="n">
        <v>3</v>
      </c>
      <c r="H864" t="inlineStr">
        <is>
          <t>HIGH</t>
        </is>
      </c>
      <c r="I864" t="n">
        <v>14.8</v>
      </c>
      <c r="J864" t="inlineStr">
        <is>
          <t>NO</t>
        </is>
      </c>
      <c r="K864" t="inlineStr">
        <is>
          <t>2026-02-26 00:15</t>
        </is>
      </c>
      <c r="L864" t="inlineStr">
        <is>
          <t>CHECK_VENDOR</t>
        </is>
      </c>
      <c r="M864" t="inlineStr">
        <is>
          <t>See CVE details</t>
        </is>
      </c>
      <c r="N864" t="inlineStr">
        <is>
          <t>P3</t>
        </is>
      </c>
      <c r="O864" t="inlineStr">
        <is>
          <t>CVE - IP enrichment n/a</t>
        </is>
      </c>
      <c r="P864" t="n">
        <v>0</v>
      </c>
      <c r="Q864" t="n">
        <v>0</v>
      </c>
      <c r="R864" t="inlineStr">
        <is>
          <t>T1190:Exploit Public-Facing Application</t>
        </is>
      </c>
      <c r="S864" t="n">
        <v>1</v>
      </c>
      <c r="T864" t="inlineStr">
        <is>
          <t>LOW (40%)</t>
        </is>
      </c>
      <c r="U864" t="inlineStr">
        <is>
          <t>UNLIKELY</t>
        </is>
      </c>
      <c r="V864" t="inlineStr">
        <is>
          <t>CHECK_VENDOR</t>
        </is>
      </c>
      <c r="W864" t="inlineStr">
        <is>
          <t>https://nvd.nist.gov/vuln/detail/CVE-2026-27198</t>
        </is>
      </c>
      <c r="X864" t="inlineStr">
        <is>
          <t>NONE</t>
        </is>
      </c>
      <c r="Y864" t="n">
        <v>0</v>
      </c>
      <c r="Z864" t="inlineStr"/>
      <c r="AA864" t="inlineStr">
        <is>
          <t>https://nvd.nist.gov/vuln/detail/CVE-2026-27198</t>
        </is>
      </c>
    </row>
    <row r="865">
      <c r="A865" t="inlineStr">
        <is>
          <t>CVE</t>
        </is>
      </c>
      <c r="B865" t="inlineStr">
        <is>
          <t>CVE-2026-27199</t>
        </is>
      </c>
      <c r="C865" t="inlineStr">
        <is>
          <t>Werkzeug is a comprehensive WSGI web application library. Versions 3.1.5 and below, the safe_join function allows Windows device names as filenames if preceded by other path segments. This was previously reported as GHSA-hgf8-39gv-g3f2, but the added filtering failed to account for the fact that safe_join accepts paths with multiple segments, such as example/NUL. The function send_from_directory uses safe_join to safely serve files at user-specified paths under a directory. If the application is</t>
        </is>
      </c>
      <c r="D865" t="n">
        <v>5</v>
      </c>
      <c r="E865" t="inlineStr">
        <is>
          <t>MEDIUM</t>
        </is>
      </c>
      <c r="F865" t="n">
        <v>2</v>
      </c>
      <c r="G865" t="n">
        <v>2</v>
      </c>
      <c r="H865" t="inlineStr">
        <is>
          <t>MEDIUM</t>
        </is>
      </c>
      <c r="I865" t="n">
        <v>9</v>
      </c>
      <c r="J865" t="inlineStr">
        <is>
          <t>NO</t>
        </is>
      </c>
      <c r="K865" t="inlineStr">
        <is>
          <t>2026-02-26 00:15</t>
        </is>
      </c>
      <c r="L865" t="inlineStr">
        <is>
          <t>CHECK_VENDOR</t>
        </is>
      </c>
      <c r="M865" t="inlineStr">
        <is>
          <t>See CVE details</t>
        </is>
      </c>
      <c r="N865" t="inlineStr">
        <is>
          <t>P4</t>
        </is>
      </c>
      <c r="O865" t="inlineStr">
        <is>
          <t>CVE - IP enrichment n/a</t>
        </is>
      </c>
      <c r="P865" t="n">
        <v>0</v>
      </c>
      <c r="Q865" t="n">
        <v>0</v>
      </c>
      <c r="R865" t="inlineStr">
        <is>
          <t>T1190:Exploit Public-Facing Application</t>
        </is>
      </c>
      <c r="S865" t="n">
        <v>1</v>
      </c>
      <c r="T865" t="inlineStr">
        <is>
          <t>LOW (40%)</t>
        </is>
      </c>
      <c r="U865" t="inlineStr">
        <is>
          <t>UNLIKELY</t>
        </is>
      </c>
      <c r="V865" t="inlineStr">
        <is>
          <t>CHECK_VENDOR</t>
        </is>
      </c>
      <c r="W865" t="inlineStr">
        <is>
          <t>https://nvd.nist.gov/vuln/detail/CVE-2026-27199</t>
        </is>
      </c>
      <c r="X865" t="inlineStr">
        <is>
          <t>NONE</t>
        </is>
      </c>
      <c r="Y865" t="n">
        <v>0</v>
      </c>
      <c r="Z865" t="inlineStr"/>
      <c r="AA865" t="inlineStr">
        <is>
          <t>https://nvd.nist.gov/vuln/detail/CVE-2026-27199</t>
        </is>
      </c>
    </row>
    <row r="866">
      <c r="A866" t="inlineStr">
        <is>
          <t>CVE</t>
        </is>
      </c>
      <c r="B866" t="inlineStr">
        <is>
          <t>CVE-2026-27205</t>
        </is>
      </c>
      <c r="C866" t="inlineStr">
        <is>
          <t>Flask is a web server gateway interface (WSGI) web application framework. In versions 3.1.2 and below, when the session object is accessed, Flask should set the Vary: Cookie header., resulting in a Use of Cache Containing Sensitive Information vulnerability. The logic instructs caches not to cache the response, as it may contain information specific to a logged in user. This is handled in most cases, but some forms of access such as the Python in operator were overlooked. The severity and risk d</t>
        </is>
      </c>
      <c r="D866" t="n">
        <v>4.3</v>
      </c>
      <c r="E866" t="inlineStr">
        <is>
          <t>MEDIUM</t>
        </is>
      </c>
      <c r="F866" t="n">
        <v>2</v>
      </c>
      <c r="G866" t="n">
        <v>2</v>
      </c>
      <c r="H866" t="inlineStr">
        <is>
          <t>MEDIUM</t>
        </is>
      </c>
      <c r="I866" t="n">
        <v>8.300000000000001</v>
      </c>
      <c r="J866" t="inlineStr">
        <is>
          <t>NO</t>
        </is>
      </c>
      <c r="K866" t="inlineStr">
        <is>
          <t>2026-02-26 00:15</t>
        </is>
      </c>
      <c r="L866" t="inlineStr">
        <is>
          <t>YES</t>
        </is>
      </c>
      <c r="M866" t="inlineStr">
        <is>
          <t>palletsprojects flask *</t>
        </is>
      </c>
      <c r="N866" t="inlineStr">
        <is>
          <t>P4</t>
        </is>
      </c>
      <c r="O866" t="inlineStr">
        <is>
          <t>CVE - IP enrichment n/a</t>
        </is>
      </c>
      <c r="P866" t="n">
        <v>0</v>
      </c>
      <c r="Q866" t="n">
        <v>0</v>
      </c>
      <c r="R866" t="inlineStr">
        <is>
          <t>T1190:Exploit Public-Facing Application</t>
        </is>
      </c>
      <c r="S866" t="n">
        <v>1</v>
      </c>
      <c r="T866" t="inlineStr">
        <is>
          <t>LOW (40%)</t>
        </is>
      </c>
      <c r="U866" t="inlineStr">
        <is>
          <t>UNLIKELY</t>
        </is>
      </c>
      <c r="V866" t="inlineStr">
        <is>
          <t>PATCH_AVAILABLE</t>
        </is>
      </c>
      <c r="W866" t="inlineStr">
        <is>
          <t>https://nvd.nist.gov/vuln/detail/CVE-2026-27205</t>
        </is>
      </c>
      <c r="X866" t="inlineStr">
        <is>
          <t>NONE</t>
        </is>
      </c>
      <c r="Y866" t="n">
        <v>0</v>
      </c>
      <c r="Z866" t="inlineStr"/>
      <c r="AA866" t="inlineStr">
        <is>
          <t>https://nvd.nist.gov/vuln/detail/CVE-2026-27205</t>
        </is>
      </c>
    </row>
    <row r="867">
      <c r="A867" t="inlineStr">
        <is>
          <t>CVE</t>
        </is>
      </c>
      <c r="B867" t="inlineStr">
        <is>
          <t>CVE-2026-27210</t>
        </is>
      </c>
      <c r="C867" t="inlineStr">
        <is>
          <t>Pannellum is a lightweight, free, and open source panorama viewer for the web. In versions 3.5.0 through 2.5.6, the hot spot attributes configuration property allowed any attribute to be set, including HTML event handler attributes, allowing for potential XSS attacks. This affects websites hosting the standalone viewer HTML file and any other use of untrusted JSON config files (bypassing the protections of the escapeHTML parameter). As certain events fire without any additional user interaction,</t>
        </is>
      </c>
      <c r="D867" t="n">
        <v>8.5</v>
      </c>
      <c r="E867" t="inlineStr">
        <is>
          <t>HIGH</t>
        </is>
      </c>
      <c r="F867" t="n">
        <v>2</v>
      </c>
      <c r="G867" t="n">
        <v>3</v>
      </c>
      <c r="H867" t="inlineStr">
        <is>
          <t>HIGH</t>
        </is>
      </c>
      <c r="I867" t="n">
        <v>14.5</v>
      </c>
      <c r="J867" t="inlineStr">
        <is>
          <t>NO</t>
        </is>
      </c>
      <c r="K867" t="inlineStr">
        <is>
          <t>2026-02-26 00:15</t>
        </is>
      </c>
      <c r="L867" t="inlineStr">
        <is>
          <t>CHECK_VENDOR</t>
        </is>
      </c>
      <c r="M867" t="inlineStr">
        <is>
          <t>See CVE details</t>
        </is>
      </c>
      <c r="N867" t="inlineStr">
        <is>
          <t>P3</t>
        </is>
      </c>
      <c r="O867" t="inlineStr">
        <is>
          <t>CVE - IP enrichment n/a</t>
        </is>
      </c>
      <c r="P867" t="n">
        <v>0</v>
      </c>
      <c r="Q867" t="n">
        <v>0</v>
      </c>
      <c r="R867" t="inlineStr">
        <is>
          <t>T1189:Drive-by Compromise | T1190:Exploit Public-Facing Application</t>
        </is>
      </c>
      <c r="S867" t="n">
        <v>1</v>
      </c>
      <c r="T867" t="inlineStr">
        <is>
          <t>LOW (40%)</t>
        </is>
      </c>
      <c r="U867" t="inlineStr">
        <is>
          <t>UNLIKELY</t>
        </is>
      </c>
      <c r="V867" t="inlineStr">
        <is>
          <t>CHECK_VENDOR</t>
        </is>
      </c>
      <c r="W867" t="inlineStr">
        <is>
          <t>https://nvd.nist.gov/vuln/detail/CVE-2026-27210</t>
        </is>
      </c>
      <c r="X867" t="inlineStr">
        <is>
          <t>NONE</t>
        </is>
      </c>
      <c r="Y867" t="n">
        <v>0</v>
      </c>
      <c r="Z867" t="inlineStr"/>
      <c r="AA867" t="inlineStr">
        <is>
          <t>https://nvd.nist.gov/vuln/detail/CVE-2026-27210</t>
        </is>
      </c>
    </row>
    <row r="868">
      <c r="A868" t="inlineStr">
        <is>
          <t>CVE</t>
        </is>
      </c>
      <c r="B868" t="inlineStr">
        <is>
          <t>CVE-2026-27211</t>
        </is>
      </c>
      <c r="C868" t="inlineStr">
        <is>
          <t>Cloud Hypervisor is a Virtual Machine Monitor for Cloud workloads. Versions 34.0 through 50.0 arevulnerable to arbitrary host file exfiltration (constrained by process privileges) when using virtio-block devices backed by raw images. A malicious guest can overwrite its disk header with a crafted QCOW2 structure pointing to a sensitive host path. Upon the next VM boot or disk scan, the image format auto-detection parses this header and serves the host file's contents to the guest. Guest-initiated</t>
        </is>
      </c>
      <c r="D868" t="n">
        <v>10</v>
      </c>
      <c r="E868" t="inlineStr">
        <is>
          <t>CRITICAL</t>
        </is>
      </c>
      <c r="F868" t="n">
        <v>2</v>
      </c>
      <c r="G868" t="n">
        <v>3</v>
      </c>
      <c r="H868" t="inlineStr">
        <is>
          <t>HIGH</t>
        </is>
      </c>
      <c r="I868" t="n">
        <v>16</v>
      </c>
      <c r="J868" t="inlineStr">
        <is>
          <t>NO</t>
        </is>
      </c>
      <c r="K868" t="inlineStr">
        <is>
          <t>2026-02-26 00:15</t>
        </is>
      </c>
      <c r="L868" t="inlineStr">
        <is>
          <t>YES</t>
        </is>
      </c>
      <c r="M868" t="inlineStr">
        <is>
          <t>cloudhypervisor cloud_hypervisor *</t>
        </is>
      </c>
      <c r="N868" t="inlineStr">
        <is>
          <t>P3</t>
        </is>
      </c>
      <c r="O868" t="inlineStr">
        <is>
          <t>CVE - IP enrichment n/a</t>
        </is>
      </c>
      <c r="P868" t="n">
        <v>0</v>
      </c>
      <c r="Q868" t="n">
        <v>0</v>
      </c>
      <c r="R868" t="inlineStr">
        <is>
          <t>T1190:Exploit Public-Facing Application</t>
        </is>
      </c>
      <c r="S868" t="n">
        <v>1</v>
      </c>
      <c r="T868" t="inlineStr">
        <is>
          <t>LOW (40%)</t>
        </is>
      </c>
      <c r="U868" t="inlineStr">
        <is>
          <t>UNLIKELY</t>
        </is>
      </c>
      <c r="V868" t="inlineStr">
        <is>
          <t>PATCH_AVAILABLE</t>
        </is>
      </c>
      <c r="W868" t="inlineStr">
        <is>
          <t>https://nvd.nist.gov/vuln/detail/CVE-2026-27211</t>
        </is>
      </c>
      <c r="X868" t="inlineStr">
        <is>
          <t>NONE</t>
        </is>
      </c>
      <c r="Y868" t="n">
        <v>0</v>
      </c>
      <c r="Z868" t="inlineStr"/>
      <c r="AA868" t="inlineStr">
        <is>
          <t>https://nvd.nist.gov/vuln/detail/CVE-2026-27211</t>
        </is>
      </c>
    </row>
    <row r="869">
      <c r="A869" t="inlineStr">
        <is>
          <t>CVE</t>
        </is>
      </c>
      <c r="B869" t="inlineStr">
        <is>
          <t>CVE-2026-27212</t>
        </is>
      </c>
      <c r="C869" t="inlineStr">
        <is>
          <t>Swiper is a free and mobile touch slider with hardware accelerated transitions and native behavior. Versions 6.5.1 through 12.1.1 have a Prototype pollution vulnerability. The vulnerability resides in line 94 of shared/utils.mjs, where the indexOf() function is used to check whether user provided input contain forbidden strings. Despite a previous fix that attempted to mitigate prototype pollution by checking whether user input contained a forbidden key, it is still possible to pollute Object.pr</t>
        </is>
      </c>
      <c r="D869" t="n">
        <v>7.8</v>
      </c>
      <c r="E869" t="inlineStr">
        <is>
          <t>HIGH</t>
        </is>
      </c>
      <c r="F869" t="n">
        <v>2</v>
      </c>
      <c r="G869" t="n">
        <v>3</v>
      </c>
      <c r="H869" t="inlineStr">
        <is>
          <t>HIGH</t>
        </is>
      </c>
      <c r="I869" t="n">
        <v>13.8</v>
      </c>
      <c r="J869" t="inlineStr">
        <is>
          <t>NO</t>
        </is>
      </c>
      <c r="K869" t="inlineStr">
        <is>
          <t>2026-02-26 00:15</t>
        </is>
      </c>
      <c r="L869" t="inlineStr">
        <is>
          <t>YES</t>
        </is>
      </c>
      <c r="M869" t="inlineStr">
        <is>
          <t>swiperjs swiper *</t>
        </is>
      </c>
      <c r="N869" t="inlineStr">
        <is>
          <t>P3</t>
        </is>
      </c>
      <c r="O869" t="inlineStr">
        <is>
          <t>CVE - IP enrichment n/a</t>
        </is>
      </c>
      <c r="P869" t="n">
        <v>0</v>
      </c>
      <c r="Q869" t="n">
        <v>0</v>
      </c>
      <c r="R869" t="inlineStr">
        <is>
          <t>T1190:Exploit Public-Facing Application | T1078:Valid Accounts | T1499:Endpoint Denial of Service</t>
        </is>
      </c>
      <c r="S869" t="n">
        <v>1</v>
      </c>
      <c r="T869" t="inlineStr">
        <is>
          <t>LOW (40%)</t>
        </is>
      </c>
      <c r="U869" t="inlineStr">
        <is>
          <t>UNLIKELY</t>
        </is>
      </c>
      <c r="V869" t="inlineStr">
        <is>
          <t>PATCH_AVAILABLE</t>
        </is>
      </c>
      <c r="W869" t="inlineStr">
        <is>
          <t>https://nvd.nist.gov/vuln/detail/CVE-2026-27212</t>
        </is>
      </c>
      <c r="X869" t="inlineStr">
        <is>
          <t>NONE</t>
        </is>
      </c>
      <c r="Y869" t="n">
        <v>0</v>
      </c>
      <c r="Z869" t="inlineStr"/>
      <c r="AA869" t="inlineStr">
        <is>
          <t>https://nvd.nist.gov/vuln/detail/CVE-2026-27212</t>
        </is>
      </c>
    </row>
    <row r="870">
      <c r="A870" t="inlineStr">
        <is>
          <t>CVE</t>
        </is>
      </c>
      <c r="B870" t="inlineStr">
        <is>
          <t>CVE-2026-2861</t>
        </is>
      </c>
      <c r="C870" t="inlineStr">
        <is>
          <t>A vulnerability was detected in Foswiki up to 2.1.10. The affected element is an unknown function of the component Changes/Viewfile/Oops. The manipulation results in information disclosure. It is possible to launch the attack remotely. The exploit is now public and may be used. Upgrading to version 2.1.11 is sufficient to fix this issue. The patch is identified as 31aeecb58b64/d8ed86b10e46. Upgrading the affected component is recommended.</t>
        </is>
      </c>
      <c r="D870" t="n">
        <v>5.3</v>
      </c>
      <c r="E870" t="inlineStr">
        <is>
          <t>MEDIUM</t>
        </is>
      </c>
      <c r="F870" t="n">
        <v>2</v>
      </c>
      <c r="G870" t="n">
        <v>2</v>
      </c>
      <c r="H870" t="inlineStr">
        <is>
          <t>MEDIUM</t>
        </is>
      </c>
      <c r="I870" t="n">
        <v>9.300000000000001</v>
      </c>
      <c r="J870" t="inlineStr">
        <is>
          <t>NO</t>
        </is>
      </c>
      <c r="K870" t="inlineStr">
        <is>
          <t>2026-02-26 00:15</t>
        </is>
      </c>
      <c r="L870" t="inlineStr">
        <is>
          <t>CHECK_VENDOR</t>
        </is>
      </c>
      <c r="M870" t="inlineStr">
        <is>
          <t>See CVE details</t>
        </is>
      </c>
      <c r="N870" t="inlineStr">
        <is>
          <t>P4</t>
        </is>
      </c>
      <c r="O870" t="inlineStr">
        <is>
          <t>CVE - IP enrichment n/a</t>
        </is>
      </c>
      <c r="P870" t="n">
        <v>0</v>
      </c>
      <c r="Q870" t="n">
        <v>0</v>
      </c>
      <c r="R870" t="inlineStr">
        <is>
          <t>T1213:Data from Information Repositories</t>
        </is>
      </c>
      <c r="S870" t="n">
        <v>1</v>
      </c>
      <c r="T870" t="inlineStr">
        <is>
          <t>LOW (40%)</t>
        </is>
      </c>
      <c r="U870" t="inlineStr">
        <is>
          <t>UNLIKELY</t>
        </is>
      </c>
      <c r="V870" t="inlineStr">
        <is>
          <t>CHECK_VENDOR</t>
        </is>
      </c>
      <c r="W870" t="inlineStr">
        <is>
          <t>https://nvd.nist.gov/vuln/detail/CVE-2026-2861</t>
        </is>
      </c>
      <c r="X870" t="inlineStr">
        <is>
          <t>NONE</t>
        </is>
      </c>
      <c r="Y870" t="n">
        <v>0</v>
      </c>
      <c r="Z870" t="inlineStr"/>
      <c r="AA870" t="inlineStr">
        <is>
          <t>https://nvd.nist.gov/vuln/detail/CVE-2026-2861</t>
        </is>
      </c>
    </row>
    <row r="871">
      <c r="A871" t="inlineStr">
        <is>
          <t>CVE</t>
        </is>
      </c>
      <c r="B871" t="inlineStr">
        <is>
          <t>CVE-2026-2863</t>
        </is>
      </c>
      <c r="C871" t="inlineStr">
        <is>
          <t>A flaw has been found in feng_ha_ha/megagao ssm-erp and production_ssm up to 4288d53bd35757b27f2d070057aefb2c07bdd097. The impacted element is the function deleteFile of the file FileServiceImpl.java. This manipulation causes path traversal. The attack can be initiated remotely. The exploit has been published and may be used. Continious delivery with rolling releases is used by this product. Therefore, no version details of affected nor updated releases are available. This product is distributed</t>
        </is>
      </c>
      <c r="D871" t="n">
        <v>5.4</v>
      </c>
      <c r="E871" t="inlineStr">
        <is>
          <t>MEDIUM</t>
        </is>
      </c>
      <c r="F871" t="n">
        <v>2</v>
      </c>
      <c r="G871" t="n">
        <v>2</v>
      </c>
      <c r="H871" t="inlineStr">
        <is>
          <t>MEDIUM</t>
        </is>
      </c>
      <c r="I871" t="n">
        <v>9.4</v>
      </c>
      <c r="J871" t="inlineStr">
        <is>
          <t>NO</t>
        </is>
      </c>
      <c r="K871" t="inlineStr">
        <is>
          <t>2026-02-26 00:15</t>
        </is>
      </c>
      <c r="L871" t="inlineStr">
        <is>
          <t>CHECK_VENDOR</t>
        </is>
      </c>
      <c r="M871" t="inlineStr">
        <is>
          <t>See CVE details</t>
        </is>
      </c>
      <c r="N871" t="inlineStr">
        <is>
          <t>P4</t>
        </is>
      </c>
      <c r="O871" t="inlineStr">
        <is>
          <t>CVE - IP enrichment n/a</t>
        </is>
      </c>
      <c r="P871" t="n">
        <v>0</v>
      </c>
      <c r="Q871" t="n">
        <v>0</v>
      </c>
      <c r="R871" t="inlineStr">
        <is>
          <t>T1083:File and Directory Discovery</t>
        </is>
      </c>
      <c r="S871" t="n">
        <v>1</v>
      </c>
      <c r="T871" t="inlineStr">
        <is>
          <t>LOW (40%)</t>
        </is>
      </c>
      <c r="U871" t="inlineStr">
        <is>
          <t>UNLIKELY</t>
        </is>
      </c>
      <c r="V871" t="inlineStr">
        <is>
          <t>CHECK_VENDOR</t>
        </is>
      </c>
      <c r="W871" t="inlineStr">
        <is>
          <t>https://nvd.nist.gov/vuln/detail/CVE-2026-2863</t>
        </is>
      </c>
      <c r="X871" t="inlineStr">
        <is>
          <t>NONE</t>
        </is>
      </c>
      <c r="Y871" t="n">
        <v>0</v>
      </c>
      <c r="Z871" t="inlineStr"/>
      <c r="AA871" t="inlineStr">
        <is>
          <t>https://nvd.nist.gov/vuln/detail/CVE-2026-2863</t>
        </is>
      </c>
    </row>
    <row r="872">
      <c r="A872" t="inlineStr">
        <is>
          <t>CVE</t>
        </is>
      </c>
      <c r="B872" t="inlineStr">
        <is>
          <t>CVE-2026-27206</t>
        </is>
      </c>
      <c r="C872" t="inlineStr">
        <is>
          <t>Zumba Json Serializer is a library to serialize PHP variables in JSON format. In versions 3.2.2 and below, the library allows deserialization of PHP objects from JSON using a special @type field. The deserializer instantiates any class specified in the @type field without restriction. When processing untrusted JSON input, this behavior may allow an attacker to instantiate arbitrary classes available in the application. If a vulnerable application passes attacker-controlled JSON into JsonSerializ</t>
        </is>
      </c>
      <c r="D872" t="n">
        <v>8.1</v>
      </c>
      <c r="E872" t="inlineStr">
        <is>
          <t>HIGH</t>
        </is>
      </c>
      <c r="F872" t="n">
        <v>2</v>
      </c>
      <c r="G872" t="n">
        <v>3</v>
      </c>
      <c r="H872" t="inlineStr">
        <is>
          <t>HIGH</t>
        </is>
      </c>
      <c r="I872" t="n">
        <v>14.1</v>
      </c>
      <c r="J872" t="inlineStr">
        <is>
          <t>NO</t>
        </is>
      </c>
      <c r="K872" t="inlineStr">
        <is>
          <t>2026-02-26 00:15</t>
        </is>
      </c>
      <c r="L872" t="inlineStr">
        <is>
          <t>CHECK_VENDOR</t>
        </is>
      </c>
      <c r="M872" t="inlineStr">
        <is>
          <t>See CVE details</t>
        </is>
      </c>
      <c r="N872" t="inlineStr">
        <is>
          <t>P3</t>
        </is>
      </c>
      <c r="O872" t="inlineStr">
        <is>
          <t>CVE - IP enrichment n/a</t>
        </is>
      </c>
      <c r="P872" t="n">
        <v>0</v>
      </c>
      <c r="Q872" t="n">
        <v>0</v>
      </c>
      <c r="R872" t="inlineStr">
        <is>
          <t>T1059:Command and Scripting Interpreter | T1190:Exploit Public-Facing Application | T1210:Exploitation of Remote Services</t>
        </is>
      </c>
      <c r="S872" t="n">
        <v>1</v>
      </c>
      <c r="T872" t="inlineStr">
        <is>
          <t>LOW (40%)</t>
        </is>
      </c>
      <c r="U872" t="inlineStr">
        <is>
          <t>UNLIKELY</t>
        </is>
      </c>
      <c r="V872" t="inlineStr">
        <is>
          <t>CHECK_VENDOR</t>
        </is>
      </c>
      <c r="W872" t="inlineStr">
        <is>
          <t>https://nvd.nist.gov/vuln/detail/CVE-2026-27206</t>
        </is>
      </c>
      <c r="X872" t="inlineStr">
        <is>
          <t>NONE</t>
        </is>
      </c>
      <c r="Y872" t="n">
        <v>0</v>
      </c>
      <c r="Z872" t="inlineStr"/>
      <c r="AA872" t="inlineStr">
        <is>
          <t>https://nvd.nist.gov/vuln/detail/CVE-2026-27206</t>
        </is>
      </c>
    </row>
    <row r="873">
      <c r="A873" t="inlineStr">
        <is>
          <t>CVE</t>
        </is>
      </c>
      <c r="B873" t="inlineStr">
        <is>
          <t>CVE-2026-27452</t>
        </is>
      </c>
      <c r="C873" t="inlineStr">
        <is>
          <t>ASN.1 TypeScript ESM library, including codecs for Basic Encoding Rules (BER) and Distinguished Encoding Rules (DER). In versions 11.0.5 and below, in some cases, decoding an INTEGER could leak the underlying ArrayBuffer. This issue is expected to be fixed in version 11.0.6.</t>
        </is>
      </c>
      <c r="D873" t="n">
        <v>5</v>
      </c>
      <c r="E873" t="inlineStr">
        <is>
          <t>MEDIUM</t>
        </is>
      </c>
      <c r="F873" t="n">
        <v>2</v>
      </c>
      <c r="G873" t="n">
        <v>2</v>
      </c>
      <c r="H873" t="inlineStr">
        <is>
          <t>MEDIUM</t>
        </is>
      </c>
      <c r="I873" t="n">
        <v>9</v>
      </c>
      <c r="J873" t="inlineStr">
        <is>
          <t>NO</t>
        </is>
      </c>
      <c r="K873" t="inlineStr">
        <is>
          <t>2026-02-26 00:15</t>
        </is>
      </c>
      <c r="L873" t="inlineStr">
        <is>
          <t>CHECK_VENDOR</t>
        </is>
      </c>
      <c r="M873" t="inlineStr">
        <is>
          <t>See CVE details</t>
        </is>
      </c>
      <c r="N873" t="inlineStr">
        <is>
          <t>P4</t>
        </is>
      </c>
      <c r="O873" t="inlineStr">
        <is>
          <t>CVE - IP enrichment n/a</t>
        </is>
      </c>
      <c r="P873" t="n">
        <v>0</v>
      </c>
      <c r="Q873" t="n">
        <v>0</v>
      </c>
      <c r="R873" t="inlineStr">
        <is>
          <t>T1213:Data from Information Repositories</t>
        </is>
      </c>
      <c r="S873" t="n">
        <v>1</v>
      </c>
      <c r="T873" t="inlineStr">
        <is>
          <t>LOW (40%)</t>
        </is>
      </c>
      <c r="U873" t="inlineStr">
        <is>
          <t>UNLIKELY</t>
        </is>
      </c>
      <c r="V873" t="inlineStr">
        <is>
          <t>CHECK_VENDOR</t>
        </is>
      </c>
      <c r="W873" t="inlineStr">
        <is>
          <t>https://nvd.nist.gov/vuln/detail/CVE-2026-27452</t>
        </is>
      </c>
      <c r="X873" t="inlineStr">
        <is>
          <t>NONE</t>
        </is>
      </c>
      <c r="Y873" t="n">
        <v>0</v>
      </c>
      <c r="Z873" t="inlineStr"/>
      <c r="AA873" t="inlineStr">
        <is>
          <t>https://nvd.nist.gov/vuln/detail/CVE-2026-27452</t>
        </is>
      </c>
    </row>
    <row r="874">
      <c r="A874" t="inlineStr">
        <is>
          <t>CVE</t>
        </is>
      </c>
      <c r="B874" t="inlineStr">
        <is>
          <t>CVE-2026-27458</t>
        </is>
      </c>
      <c r="C874" t="inlineStr">
        <is>
          <t>LinkAce is a self-hosted archive to collect website links. Versions 2.4.2 and below have a Stored Cross-site Scripting vulnerability through the Atom feed endpoint for lists (/lists/feed). An authenticated user can inject a CDATA-breaking payload into a list description that escapes the XML CDATA section, injects a native SVG element into the Atom XML document, and executes arbitrary JavaScript directly in the browser when the feed URL is visited. No RSS reader or additional rendering context is</t>
        </is>
      </c>
      <c r="D874" t="n">
        <v>5.4</v>
      </c>
      <c r="E874" t="inlineStr">
        <is>
          <t>MEDIUM</t>
        </is>
      </c>
      <c r="F874" t="n">
        <v>2</v>
      </c>
      <c r="G874" t="n">
        <v>2</v>
      </c>
      <c r="H874" t="inlineStr">
        <is>
          <t>MEDIUM</t>
        </is>
      </c>
      <c r="I874" t="n">
        <v>9.4</v>
      </c>
      <c r="J874" t="inlineStr">
        <is>
          <t>NO</t>
        </is>
      </c>
      <c r="K874" t="inlineStr">
        <is>
          <t>2026-02-26 00:15</t>
        </is>
      </c>
      <c r="L874" t="inlineStr">
        <is>
          <t>YES</t>
        </is>
      </c>
      <c r="M874" t="inlineStr">
        <is>
          <t>linkace linkace *</t>
        </is>
      </c>
      <c r="N874" t="inlineStr">
        <is>
          <t>P4</t>
        </is>
      </c>
      <c r="O874" t="inlineStr">
        <is>
          <t>CVE - IP enrichment n/a</t>
        </is>
      </c>
      <c r="P874" t="n">
        <v>0.0003</v>
      </c>
      <c r="Q874" t="n">
        <v>0.0999</v>
      </c>
      <c r="R874" t="inlineStr">
        <is>
          <t>T1189:Drive-by Compromise</t>
        </is>
      </c>
      <c r="S874" t="n">
        <v>1</v>
      </c>
      <c r="T874" t="inlineStr">
        <is>
          <t>LOW (40%)</t>
        </is>
      </c>
      <c r="U874" t="inlineStr">
        <is>
          <t>UNLIKELY</t>
        </is>
      </c>
      <c r="V874" t="inlineStr">
        <is>
          <t>PATCH_AVAILABLE</t>
        </is>
      </c>
      <c r="W874" t="inlineStr">
        <is>
          <t>https://nvd.nist.gov/vuln/detail/CVE-2026-27458</t>
        </is>
      </c>
      <c r="X874" t="inlineStr">
        <is>
          <t>NONE</t>
        </is>
      </c>
      <c r="Y874" t="n">
        <v>0</v>
      </c>
      <c r="Z874" t="inlineStr"/>
      <c r="AA874" t="inlineStr">
        <is>
          <t>https://nvd.nist.gov/vuln/detail/CVE-2026-27458</t>
        </is>
      </c>
    </row>
    <row r="875">
      <c r="A875" t="inlineStr">
        <is>
          <t>CVE</t>
        </is>
      </c>
      <c r="B875" t="inlineStr">
        <is>
          <t>CVE-2026-27471</t>
        </is>
      </c>
      <c r="C875" t="inlineStr">
        <is>
          <t>ERP is a free and open source Enterprise Resource Planning tool. In versions up to 15.98.0 and 16.0.0-rc.1 and through 16.6.0, certain endpoints lacked access validation which allowed for unauthorized document access. This issue has been fixed in versions 15.98.1 and 16.6.1.</t>
        </is>
      </c>
      <c r="D875" t="n">
        <v>9.1</v>
      </c>
      <c r="E875" t="inlineStr">
        <is>
          <t>CRITICAL</t>
        </is>
      </c>
      <c r="F875" t="n">
        <v>2</v>
      </c>
      <c r="G875" t="n">
        <v>3</v>
      </c>
      <c r="H875" t="inlineStr">
        <is>
          <t>HIGH</t>
        </is>
      </c>
      <c r="I875" t="n">
        <v>15.1</v>
      </c>
      <c r="J875" t="inlineStr">
        <is>
          <t>NO</t>
        </is>
      </c>
      <c r="K875" t="inlineStr">
        <is>
          <t>2026-02-26 00:15</t>
        </is>
      </c>
      <c r="L875" t="inlineStr">
        <is>
          <t>YES</t>
        </is>
      </c>
      <c r="M875" t="inlineStr">
        <is>
          <t>frappe erpnext 16.0.0 | frappe erpnext *</t>
        </is>
      </c>
      <c r="N875" t="inlineStr">
        <is>
          <t>P3</t>
        </is>
      </c>
      <c r="O875" t="inlineStr">
        <is>
          <t>CVE - IP enrichment n/a</t>
        </is>
      </c>
      <c r="P875" t="n">
        <v>0</v>
      </c>
      <c r="Q875" t="n">
        <v>0</v>
      </c>
      <c r="R875" t="inlineStr">
        <is>
          <t>T1190:Exploit Public-Facing Application</t>
        </is>
      </c>
      <c r="S875" t="n">
        <v>1</v>
      </c>
      <c r="T875" t="inlineStr">
        <is>
          <t>LOW (40%)</t>
        </is>
      </c>
      <c r="U875" t="inlineStr">
        <is>
          <t>UNLIKELY</t>
        </is>
      </c>
      <c r="V875" t="inlineStr">
        <is>
          <t>PATCH_AVAILABLE</t>
        </is>
      </c>
      <c r="W875" t="inlineStr">
        <is>
          <t>https://nvd.nist.gov/vuln/detail/CVE-2026-27471</t>
        </is>
      </c>
      <c r="X875" t="inlineStr">
        <is>
          <t>NONE</t>
        </is>
      </c>
      <c r="Y875" t="n">
        <v>0</v>
      </c>
      <c r="Z875" t="inlineStr"/>
      <c r="AA875" t="inlineStr">
        <is>
          <t>https://nvd.nist.gov/vuln/detail/CVE-2026-27471</t>
        </is>
      </c>
    </row>
    <row r="876">
      <c r="A876" t="inlineStr">
        <is>
          <t>CVE</t>
        </is>
      </c>
      <c r="B876" t="inlineStr">
        <is>
          <t>CVE-2026-27464</t>
        </is>
      </c>
      <c r="C876" t="inlineStr">
        <is>
          <t xml:space="preserve">Metabase is an open-source data analytics platform. In versions prior to 0.57.13 and versions 0.58.x through 0.58.6, authenticated users are able to retrieve sensitive information from a Metabase instance, including database access credentials. During testing, it was confirmed that a low-privileged user can extract sensitive information including database credentials, into the email body via template evaluation. This issue has been fixed in versions 0.57.13 and 0.58.7. To workaround this issue, </t>
        </is>
      </c>
      <c r="D876" t="n">
        <v>7.7</v>
      </c>
      <c r="E876" t="inlineStr">
        <is>
          <t>HIGH</t>
        </is>
      </c>
      <c r="F876" t="n">
        <v>2</v>
      </c>
      <c r="G876" t="n">
        <v>3</v>
      </c>
      <c r="H876" t="inlineStr">
        <is>
          <t>HIGH</t>
        </is>
      </c>
      <c r="I876" t="n">
        <v>13.7</v>
      </c>
      <c r="J876" t="inlineStr">
        <is>
          <t>NO</t>
        </is>
      </c>
      <c r="K876" t="inlineStr">
        <is>
          <t>2026-02-26 00:15</t>
        </is>
      </c>
      <c r="L876" t="inlineStr">
        <is>
          <t>CHECK_VENDOR</t>
        </is>
      </c>
      <c r="M876" t="inlineStr">
        <is>
          <t>See CVE details</t>
        </is>
      </c>
      <c r="N876" t="inlineStr">
        <is>
          <t>P3</t>
        </is>
      </c>
      <c r="O876" t="inlineStr">
        <is>
          <t>CVE - IP enrichment n/a</t>
        </is>
      </c>
      <c r="P876" t="n">
        <v>0</v>
      </c>
      <c r="Q876" t="n">
        <v>0</v>
      </c>
      <c r="R876" t="inlineStr">
        <is>
          <t>T1059:Command and Scripting Interpreter | T1190:Exploit Public-Facing Application | T1552:Unsecured Credentials</t>
        </is>
      </c>
      <c r="S876" t="n">
        <v>1</v>
      </c>
      <c r="T876" t="inlineStr">
        <is>
          <t>LOW (40%)</t>
        </is>
      </c>
      <c r="U876" t="inlineStr">
        <is>
          <t>UNLIKELY</t>
        </is>
      </c>
      <c r="V876" t="inlineStr">
        <is>
          <t>CHECK_VENDOR</t>
        </is>
      </c>
      <c r="W876" t="inlineStr">
        <is>
          <t>https://nvd.nist.gov/vuln/detail/CVE-2026-27464</t>
        </is>
      </c>
      <c r="X876" t="inlineStr">
        <is>
          <t>NONE</t>
        </is>
      </c>
      <c r="Y876" t="n">
        <v>0</v>
      </c>
      <c r="Z876" t="inlineStr"/>
      <c r="AA876" t="inlineStr">
        <is>
          <t>https://nvd.nist.gov/vuln/detail/CVE-2026-27464</t>
        </is>
      </c>
    </row>
    <row r="877">
      <c r="A877" t="inlineStr">
        <is>
          <t>CVE</t>
        </is>
      </c>
      <c r="B877" t="inlineStr">
        <is>
          <t>CVE-2026-27466</t>
        </is>
      </c>
      <c r="C877" t="inlineStr">
        <is>
          <t>BigBlueButton is an open-source virtual classroom. In versions 3.0.21 and below, the official documentation for "Server Customization" on Support for ClamAV as presentation file scanner contains instructions that leave a BBB server vulnerable for Denial of Service. The flawed command exposes both ports (3310 and 7357) to the internet. A remote attacker can use this to send complex or large documents to clamd and waste server resources, or shutdown the clamd process. The clamd documentation expli</t>
        </is>
      </c>
      <c r="D877" t="n">
        <v>7.2</v>
      </c>
      <c r="E877" t="inlineStr">
        <is>
          <t>HIGH</t>
        </is>
      </c>
      <c r="F877" t="n">
        <v>2</v>
      </c>
      <c r="G877" t="n">
        <v>3</v>
      </c>
      <c r="H877" t="inlineStr">
        <is>
          <t>HIGH</t>
        </is>
      </c>
      <c r="I877" t="n">
        <v>13.2</v>
      </c>
      <c r="J877" t="inlineStr">
        <is>
          <t>NO</t>
        </is>
      </c>
      <c r="K877" t="inlineStr">
        <is>
          <t>2026-02-26 00:15</t>
        </is>
      </c>
      <c r="L877" t="inlineStr">
        <is>
          <t>CHECK_VENDOR</t>
        </is>
      </c>
      <c r="M877" t="inlineStr">
        <is>
          <t>See CVE details</t>
        </is>
      </c>
      <c r="N877" t="inlineStr">
        <is>
          <t>P3</t>
        </is>
      </c>
      <c r="O877" t="inlineStr">
        <is>
          <t>CVE - IP enrichment n/a</t>
        </is>
      </c>
      <c r="P877" t="n">
        <v>0</v>
      </c>
      <c r="Q877" t="n">
        <v>0</v>
      </c>
      <c r="R877" t="inlineStr">
        <is>
          <t>T1190:Exploit Public-Facing Application | T1499:Endpoint Denial of Service | T1562:Impair Defenses</t>
        </is>
      </c>
      <c r="S877" t="n">
        <v>1</v>
      </c>
      <c r="T877" t="inlineStr">
        <is>
          <t>LOW (40%)</t>
        </is>
      </c>
      <c r="U877" t="inlineStr">
        <is>
          <t>UNLIKELY</t>
        </is>
      </c>
      <c r="V877" t="inlineStr">
        <is>
          <t>CHECK_VENDOR</t>
        </is>
      </c>
      <c r="W877" t="inlineStr">
        <is>
          <t>https://nvd.nist.gov/vuln/detail/CVE-2026-27466</t>
        </is>
      </c>
      <c r="X877" t="inlineStr">
        <is>
          <t>NONE</t>
        </is>
      </c>
      <c r="Y877" t="n">
        <v>0</v>
      </c>
      <c r="Z877" t="inlineStr"/>
      <c r="AA877" t="inlineStr">
        <is>
          <t>https://nvd.nist.gov/vuln/detail/CVE-2026-27466</t>
        </is>
      </c>
    </row>
    <row r="878">
      <c r="A878" t="inlineStr">
        <is>
          <t>CVE</t>
        </is>
      </c>
      <c r="B878" t="inlineStr">
        <is>
          <t>CVE-2026-27467</t>
        </is>
      </c>
      <c r="C878" t="inlineStr">
        <is>
          <t>BigBlueButton is an open-source virtual classroom. In versions 3.0.19 and below, when first joining a session with the microphone muted, the client sends audio to the server regardless of mute state. Media is discarded at the server side, so it isn't audible to any participants, but this may allow for malicious server operators to access audio data. The behavior is only incorrect between joining the meeting and the first time the user unmutes. This issue has been fixed in version 3.0.20.</t>
        </is>
      </c>
      <c r="D878" t="n">
        <v>2</v>
      </c>
      <c r="E878" t="inlineStr">
        <is>
          <t>LOW</t>
        </is>
      </c>
      <c r="F878" t="n">
        <v>2</v>
      </c>
      <c r="G878" t="n">
        <v>1</v>
      </c>
      <c r="H878" t="inlineStr">
        <is>
          <t>LOW</t>
        </is>
      </c>
      <c r="I878" t="n">
        <v>4</v>
      </c>
      <c r="J878" t="inlineStr">
        <is>
          <t>NO</t>
        </is>
      </c>
      <c r="K878" t="inlineStr">
        <is>
          <t>2026-02-26 00:15</t>
        </is>
      </c>
      <c r="L878" t="inlineStr">
        <is>
          <t>CHECK_VENDOR</t>
        </is>
      </c>
      <c r="M878" t="inlineStr">
        <is>
          <t>See CVE details</t>
        </is>
      </c>
      <c r="N878" t="inlineStr">
        <is>
          <t>P4</t>
        </is>
      </c>
      <c r="O878" t="inlineStr">
        <is>
          <t>CVE - IP enrichment n/a</t>
        </is>
      </c>
      <c r="P878" t="n">
        <v>0</v>
      </c>
      <c r="Q878" t="n">
        <v>0</v>
      </c>
      <c r="R878" t="inlineStr">
        <is>
          <t>T1213:Data from Information Repositories | T1190:Exploit Public-Facing Application</t>
        </is>
      </c>
      <c r="S878" t="n">
        <v>1</v>
      </c>
      <c r="T878" t="inlineStr">
        <is>
          <t>LOW (40%)</t>
        </is>
      </c>
      <c r="U878" t="inlineStr">
        <is>
          <t>UNLIKELY</t>
        </is>
      </c>
      <c r="V878" t="inlineStr">
        <is>
          <t>CHECK_VENDOR</t>
        </is>
      </c>
      <c r="W878" t="inlineStr">
        <is>
          <t>https://nvd.nist.gov/vuln/detail/CVE-2026-27467</t>
        </is>
      </c>
      <c r="X878" t="inlineStr">
        <is>
          <t>NONE</t>
        </is>
      </c>
      <c r="Y878" t="n">
        <v>0</v>
      </c>
      <c r="Z878" t="inlineStr"/>
      <c r="AA878" t="inlineStr">
        <is>
          <t>https://nvd.nist.gov/vuln/detail/CVE-2026-27467</t>
        </is>
      </c>
    </row>
    <row r="879">
      <c r="A879" t="inlineStr">
        <is>
          <t>CVE</t>
        </is>
      </c>
      <c r="B879" t="inlineStr">
        <is>
          <t>CVE-2026-27469</t>
        </is>
      </c>
      <c r="C879" t="inlineStr">
        <is>
          <t>Isso is a lightweight commenting server written in Python and JavaScript. In commits before 0afbfe0691ee237963e8fb0b2ee01c9e55ca2144, there is a stored Cross-Site Scripting (XSS) vulnerability affecting the website and author comment fields. The website field was HTML-escaped using quote=False, which left single and double quotes unescaped. Since the frontend inserts the website value directly into a single-quoted href attribute via string concatenation, a single quote in the URL breaks out of t</t>
        </is>
      </c>
      <c r="D879" t="n">
        <v>6.1</v>
      </c>
      <c r="E879" t="inlineStr">
        <is>
          <t>MEDIUM</t>
        </is>
      </c>
      <c r="F879" t="n">
        <v>2</v>
      </c>
      <c r="G879" t="n">
        <v>2</v>
      </c>
      <c r="H879" t="inlineStr">
        <is>
          <t>MEDIUM</t>
        </is>
      </c>
      <c r="I879" t="n">
        <v>10.1</v>
      </c>
      <c r="J879" t="inlineStr">
        <is>
          <t>NO</t>
        </is>
      </c>
      <c r="K879" t="inlineStr">
        <is>
          <t>2026-02-26 00:15</t>
        </is>
      </c>
      <c r="L879" t="inlineStr">
        <is>
          <t>CHECK_VENDOR</t>
        </is>
      </c>
      <c r="M879" t="inlineStr">
        <is>
          <t>See CVE details</t>
        </is>
      </c>
      <c r="N879" t="inlineStr">
        <is>
          <t>P4</t>
        </is>
      </c>
      <c r="O879" t="inlineStr">
        <is>
          <t>CVE - IP enrichment n/a</t>
        </is>
      </c>
      <c r="P879" t="n">
        <v>0.0005999999999999999</v>
      </c>
      <c r="Q879" t="n">
        <v>0.1858</v>
      </c>
      <c r="R879" t="inlineStr">
        <is>
          <t>T1189:Drive-by Compromise</t>
        </is>
      </c>
      <c r="S879" t="n">
        <v>1</v>
      </c>
      <c r="T879" t="inlineStr">
        <is>
          <t>LOW (40%)</t>
        </is>
      </c>
      <c r="U879" t="inlineStr">
        <is>
          <t>UNLIKELY</t>
        </is>
      </c>
      <c r="V879" t="inlineStr">
        <is>
          <t>CHECK_VENDOR</t>
        </is>
      </c>
      <c r="W879" t="inlineStr">
        <is>
          <t>https://nvd.nist.gov/vuln/detail/CVE-2026-27469</t>
        </is>
      </c>
      <c r="X879" t="inlineStr">
        <is>
          <t>NONE</t>
        </is>
      </c>
      <c r="Y879" t="n">
        <v>0</v>
      </c>
      <c r="Z879" t="inlineStr"/>
      <c r="AA879" t="inlineStr">
        <is>
          <t>https://nvd.nist.gov/vuln/detail/CVE-2026-27469</t>
        </is>
      </c>
    </row>
    <row r="880">
      <c r="A880" t="inlineStr">
        <is>
          <t>CVE</t>
        </is>
      </c>
      <c r="B880" t="inlineStr">
        <is>
          <t>CVE-2026-27470</t>
        </is>
      </c>
      <c r="C880" t="inlineStr">
        <is>
          <t>ZoneMinder is a free, open source closed-circuit television software application. In versions 1.36.37 and below and 1.37.61 through 1.38.0, there is a second-order SQL Injection vulnerability in the web/ajax/status.php file within the getNearEvents() function. Event field values (specifically Name and Cause) are stored safely via parameterized queries but are later retrieved and concatenated directly into SQL WHERE clauses without escaping. An authenticated user with Events edit and view permiss</t>
        </is>
      </c>
      <c r="D880" t="n">
        <v>8.800000000000001</v>
      </c>
      <c r="E880" t="inlineStr">
        <is>
          <t>HIGH</t>
        </is>
      </c>
      <c r="F880" t="n">
        <v>2</v>
      </c>
      <c r="G880" t="n">
        <v>3</v>
      </c>
      <c r="H880" t="inlineStr">
        <is>
          <t>HIGH</t>
        </is>
      </c>
      <c r="I880" t="n">
        <v>14.8</v>
      </c>
      <c r="J880" t="inlineStr">
        <is>
          <t>NO</t>
        </is>
      </c>
      <c r="K880" t="inlineStr">
        <is>
          <t>2026-02-26 00:15</t>
        </is>
      </c>
      <c r="L880" t="inlineStr">
        <is>
          <t>YES</t>
        </is>
      </c>
      <c r="M880" t="inlineStr">
        <is>
          <t>zoneminder zoneminder *</t>
        </is>
      </c>
      <c r="N880" t="inlineStr">
        <is>
          <t>P3</t>
        </is>
      </c>
      <c r="O880" t="inlineStr">
        <is>
          <t>CVE - IP enrichment n/a</t>
        </is>
      </c>
      <c r="P880" t="n">
        <v>0</v>
      </c>
      <c r="Q880" t="n">
        <v>0</v>
      </c>
      <c r="R880" t="inlineStr">
        <is>
          <t>T1190:Exploit Public-Facing Application</t>
        </is>
      </c>
      <c r="S880" t="n">
        <v>1</v>
      </c>
      <c r="T880" t="inlineStr">
        <is>
          <t>LOW (40%)</t>
        </is>
      </c>
      <c r="U880" t="inlineStr">
        <is>
          <t>UNLIKELY</t>
        </is>
      </c>
      <c r="V880" t="inlineStr">
        <is>
          <t>PATCH_AVAILABLE</t>
        </is>
      </c>
      <c r="W880" t="inlineStr">
        <is>
          <t>https://nvd.nist.gov/vuln/detail/CVE-2026-27470</t>
        </is>
      </c>
      <c r="X880" t="inlineStr">
        <is>
          <t>NONE</t>
        </is>
      </c>
      <c r="Y880" t="n">
        <v>0</v>
      </c>
      <c r="Z880" t="inlineStr"/>
      <c r="AA880" t="inlineStr">
        <is>
          <t>https://nvd.nist.gov/vuln/detail/CVE-2026-27470</t>
        </is>
      </c>
    </row>
    <row r="881">
      <c r="A881" t="inlineStr">
        <is>
          <t>CVE</t>
        </is>
      </c>
      <c r="B881" t="inlineStr">
        <is>
          <t>CVE-2026-2864</t>
        </is>
      </c>
      <c r="C881" t="inlineStr">
        <is>
          <t>A vulnerability has been found in feng_ha_ha/megagao ssm-erp and production_ssm up to 4288d53bd35757b27f2d070057aefb2c07bdd097. This affects the function pictureDelete of the file PictureController.java. Such manipulation of the argument picName leads to path traversal. The attack can be launched remotely. The exploit has been disclosed to the public and may be used. This product does not use versioning. This is why information about affected and unaffected releases are unavailable. This product</t>
        </is>
      </c>
      <c r="D881" t="n">
        <v>5.4</v>
      </c>
      <c r="E881" t="inlineStr">
        <is>
          <t>MEDIUM</t>
        </is>
      </c>
      <c r="F881" t="n">
        <v>2</v>
      </c>
      <c r="G881" t="n">
        <v>2</v>
      </c>
      <c r="H881" t="inlineStr">
        <is>
          <t>MEDIUM</t>
        </is>
      </c>
      <c r="I881" t="n">
        <v>9.4</v>
      </c>
      <c r="J881" t="inlineStr">
        <is>
          <t>NO</t>
        </is>
      </c>
      <c r="K881" t="inlineStr">
        <is>
          <t>2026-02-26 00:15</t>
        </is>
      </c>
      <c r="L881" t="inlineStr">
        <is>
          <t>CHECK_VENDOR</t>
        </is>
      </c>
      <c r="M881" t="inlineStr">
        <is>
          <t>See CVE details</t>
        </is>
      </c>
      <c r="N881" t="inlineStr">
        <is>
          <t>P4</t>
        </is>
      </c>
      <c r="O881" t="inlineStr">
        <is>
          <t>CVE - IP enrichment n/a</t>
        </is>
      </c>
      <c r="P881" t="n">
        <v>0</v>
      </c>
      <c r="Q881" t="n">
        <v>0</v>
      </c>
      <c r="R881" t="inlineStr">
        <is>
          <t>T1083:File and Directory Discovery</t>
        </is>
      </c>
      <c r="S881" t="n">
        <v>1</v>
      </c>
      <c r="T881" t="inlineStr">
        <is>
          <t>LOW (40%)</t>
        </is>
      </c>
      <c r="U881" t="inlineStr">
        <is>
          <t>UNLIKELY</t>
        </is>
      </c>
      <c r="V881" t="inlineStr">
        <is>
          <t>CHECK_VENDOR</t>
        </is>
      </c>
      <c r="W881" t="inlineStr">
        <is>
          <t>https://nvd.nist.gov/vuln/detail/CVE-2026-2864</t>
        </is>
      </c>
      <c r="X881" t="inlineStr">
        <is>
          <t>NONE</t>
        </is>
      </c>
      <c r="Y881" t="n">
        <v>0</v>
      </c>
      <c r="Z881" t="inlineStr"/>
      <c r="AA881" t="inlineStr">
        <is>
          <t>https://nvd.nist.gov/vuln/detail/CVE-2026-2864</t>
        </is>
      </c>
    </row>
    <row r="882">
      <c r="A882" t="inlineStr">
        <is>
          <t>CVE</t>
        </is>
      </c>
      <c r="B882" t="inlineStr">
        <is>
          <t>CVE-2026-2865</t>
        </is>
      </c>
      <c r="C882" t="inlineStr">
        <is>
          <t>A vulnerability was found in itsourcecode Agri-Trading Online Shopping System 1.0. This impacts an unknown function of the file admin/productcontroller.php of the component HTTP POST Request Handler. Performing a manipulation of the argument Product results in sql injection. The attack may be initiated remotely. The exploit has been made public and could be used.</t>
        </is>
      </c>
      <c r="D882" t="n">
        <v>7.3</v>
      </c>
      <c r="E882" t="inlineStr">
        <is>
          <t>HIGH</t>
        </is>
      </c>
      <c r="F882" t="n">
        <v>2</v>
      </c>
      <c r="G882" t="n">
        <v>3</v>
      </c>
      <c r="H882" t="inlineStr">
        <is>
          <t>HIGH</t>
        </is>
      </c>
      <c r="I882" t="n">
        <v>13.3</v>
      </c>
      <c r="J882" t="inlineStr">
        <is>
          <t>NO</t>
        </is>
      </c>
      <c r="K882" t="inlineStr">
        <is>
          <t>2026-02-26 00:15</t>
        </is>
      </c>
      <c r="L882" t="inlineStr">
        <is>
          <t>CHECK_VENDOR</t>
        </is>
      </c>
      <c r="M882" t="inlineStr">
        <is>
          <t>See CVE details</t>
        </is>
      </c>
      <c r="N882" t="inlineStr">
        <is>
          <t>P3</t>
        </is>
      </c>
      <c r="O882" t="inlineStr">
        <is>
          <t>CVE - IP enrichment n/a</t>
        </is>
      </c>
      <c r="P882" t="n">
        <v>0</v>
      </c>
      <c r="Q882" t="n">
        <v>0</v>
      </c>
      <c r="R882" t="inlineStr">
        <is>
          <t>T1190:Exploit Public-Facing Application</t>
        </is>
      </c>
      <c r="S882" t="n">
        <v>1</v>
      </c>
      <c r="T882" t="inlineStr">
        <is>
          <t>LOW (40%)</t>
        </is>
      </c>
      <c r="U882" t="inlineStr">
        <is>
          <t>UNLIKELY</t>
        </is>
      </c>
      <c r="V882" t="inlineStr">
        <is>
          <t>CHECK_VENDOR</t>
        </is>
      </c>
      <c r="W882" t="inlineStr">
        <is>
          <t>https://nvd.nist.gov/vuln/detail/CVE-2026-2865</t>
        </is>
      </c>
      <c r="X882" t="inlineStr">
        <is>
          <t>NONE</t>
        </is>
      </c>
      <c r="Y882" t="n">
        <v>0</v>
      </c>
      <c r="Z882" t="inlineStr"/>
      <c r="AA882" t="inlineStr">
        <is>
          <t>https://nvd.nist.gov/vuln/detail/CVE-2026-2865</t>
        </is>
      </c>
    </row>
    <row r="883">
      <c r="A883" t="inlineStr">
        <is>
          <t>CVE</t>
        </is>
      </c>
      <c r="B883" t="inlineStr">
        <is>
          <t>CVE-2026-27479</t>
        </is>
      </c>
      <c r="C883" t="inlineStr">
        <is>
          <t>Wallos is an open-source, self-hostable personal subscription tracker. Versions 4.6.0 and below contain a Server-Side Request Forgery (SSRF) vulnerability in the subscription and payment logo/icon upload functionality. The application validates the IP address of the provided URL before making the request, but allows HTTP redirects (CURLOPT_FOLLOWLOCATION = true), enabling an attacker to bypass the IP validation and access internal resources, including cloud instance metadata endpoints. The getLo</t>
        </is>
      </c>
      <c r="D883" t="n">
        <v>7.7</v>
      </c>
      <c r="E883" t="inlineStr">
        <is>
          <t>HIGH</t>
        </is>
      </c>
      <c r="F883" t="n">
        <v>2</v>
      </c>
      <c r="G883" t="n">
        <v>3</v>
      </c>
      <c r="H883" t="inlineStr">
        <is>
          <t>HIGH</t>
        </is>
      </c>
      <c r="I883" t="n">
        <v>13.7</v>
      </c>
      <c r="J883" t="inlineStr">
        <is>
          <t>NO</t>
        </is>
      </c>
      <c r="K883" t="inlineStr">
        <is>
          <t>2026-02-26 00:15</t>
        </is>
      </c>
      <c r="L883" t="inlineStr">
        <is>
          <t>YES</t>
        </is>
      </c>
      <c r="M883" t="inlineStr">
        <is>
          <t>wallosapp wallos *</t>
        </is>
      </c>
      <c r="N883" t="inlineStr">
        <is>
          <t>P3</t>
        </is>
      </c>
      <c r="O883" t="inlineStr">
        <is>
          <t>CVE - IP enrichment n/a</t>
        </is>
      </c>
      <c r="P883" t="n">
        <v>0</v>
      </c>
      <c r="Q883" t="n">
        <v>0</v>
      </c>
      <c r="R883" t="inlineStr">
        <is>
          <t>T1090:Proxy | T1190:Exploit Public-Facing Application</t>
        </is>
      </c>
      <c r="S883" t="n">
        <v>1</v>
      </c>
      <c r="T883" t="inlineStr">
        <is>
          <t>LOW (40%)</t>
        </is>
      </c>
      <c r="U883" t="inlineStr">
        <is>
          <t>UNLIKELY</t>
        </is>
      </c>
      <c r="V883" t="inlineStr">
        <is>
          <t>PATCH_AVAILABLE</t>
        </is>
      </c>
      <c r="W883" t="inlineStr">
        <is>
          <t>https://nvd.nist.gov/vuln/detail/CVE-2026-27479</t>
        </is>
      </c>
      <c r="X883" t="inlineStr">
        <is>
          <t>NONE</t>
        </is>
      </c>
      <c r="Y883" t="n">
        <v>0</v>
      </c>
      <c r="Z883" t="inlineStr"/>
      <c r="AA883" t="inlineStr">
        <is>
          <t>https://nvd.nist.gov/vuln/detail/CVE-2026-27479</t>
        </is>
      </c>
    </row>
    <row r="884">
      <c r="A884" t="inlineStr">
        <is>
          <t>CVE</t>
        </is>
      </c>
      <c r="B884" t="inlineStr">
        <is>
          <t>CVE-2025-14339</t>
        </is>
      </c>
      <c r="C884" t="inlineStr">
        <is>
          <t>The weMail - Email Marketing, Lead Generation, Optin Forms, Email Newsletters, A/B Testing, and Automation plugin for WordPress is vulnerable to unauthorized form deletion in all versions up to, and including, 2.0.7. This is due to the `Forms::permission()` callback only validating the `X-WP-Nonce` header without checking user capabilities. Since the REST nonce is exposed to unauthenticated visitors via the `weMail` JavaScript object on pages with weMail forms, any unauthenticated user can perma</t>
        </is>
      </c>
      <c r="D884" t="n">
        <v>6.5</v>
      </c>
      <c r="E884" t="inlineStr">
        <is>
          <t>MEDIUM</t>
        </is>
      </c>
      <c r="F884" t="n">
        <v>2</v>
      </c>
      <c r="G884" t="n">
        <v>2</v>
      </c>
      <c r="H884" t="inlineStr">
        <is>
          <t>MEDIUM</t>
        </is>
      </c>
      <c r="I884" t="n">
        <v>10.5</v>
      </c>
      <c r="J884" t="inlineStr">
        <is>
          <t>NO</t>
        </is>
      </c>
      <c r="K884" t="inlineStr">
        <is>
          <t>2026-02-26 00:15</t>
        </is>
      </c>
      <c r="L884" t="inlineStr">
        <is>
          <t>CHECK_VENDOR</t>
        </is>
      </c>
      <c r="M884" t="inlineStr">
        <is>
          <t>See CVE details</t>
        </is>
      </c>
      <c r="N884" t="inlineStr">
        <is>
          <t>P4</t>
        </is>
      </c>
      <c r="O884" t="inlineStr">
        <is>
          <t>CVE - IP enrichment n/a</t>
        </is>
      </c>
      <c r="P884" t="n">
        <v>0.0005</v>
      </c>
      <c r="Q884" t="n">
        <v>0.1432</v>
      </c>
      <c r="R884" t="inlineStr">
        <is>
          <t>T1190:Exploit Public-Facing Application</t>
        </is>
      </c>
      <c r="S884" t="n">
        <v>1</v>
      </c>
      <c r="T884" t="inlineStr">
        <is>
          <t>LOW (40%)</t>
        </is>
      </c>
      <c r="U884" t="inlineStr">
        <is>
          <t>UNLIKELY</t>
        </is>
      </c>
      <c r="V884" t="inlineStr">
        <is>
          <t>CHECK_VENDOR</t>
        </is>
      </c>
      <c r="W884" t="inlineStr">
        <is>
          <t>https://nvd.nist.gov/vuln/detail/CVE-2025-14339</t>
        </is>
      </c>
      <c r="X884" t="inlineStr">
        <is>
          <t>NONE</t>
        </is>
      </c>
      <c r="Y884" t="n">
        <v>0</v>
      </c>
      <c r="Z884" t="inlineStr"/>
      <c r="AA884" t="inlineStr">
        <is>
          <t>https://nvd.nist.gov/vuln/detail/CVE-2025-14339</t>
        </is>
      </c>
    </row>
    <row r="885">
      <c r="A885" t="inlineStr">
        <is>
          <t>CVE</t>
        </is>
      </c>
      <c r="B885" t="inlineStr">
        <is>
          <t>CVE-2026-27480</t>
        </is>
      </c>
      <c r="C885" t="inlineStr">
        <is>
          <t>Static Web Server (SWS) is a production-ready web server suitable for static web files or assets. In versions 2.1.0 through 2.40.1, a timing-based username enumeration vulnerability in Basic Authentication allows attackers to identify valid users by exploiting early responses for invalid usernames, enabling targeted brute-force or credential-stuffing attacks. SWS checks whether a username exists before verifying the password, causing valid usernames to follow a slower code path (e.g., bcrypt has</t>
        </is>
      </c>
      <c r="D885" t="n">
        <v>5.3</v>
      </c>
      <c r="E885" t="inlineStr">
        <is>
          <t>MEDIUM</t>
        </is>
      </c>
      <c r="F885" t="n">
        <v>2</v>
      </c>
      <c r="G885" t="n">
        <v>2</v>
      </c>
      <c r="H885" t="inlineStr">
        <is>
          <t>MEDIUM</t>
        </is>
      </c>
      <c r="I885" t="n">
        <v>9.300000000000001</v>
      </c>
      <c r="J885" t="inlineStr">
        <is>
          <t>NO</t>
        </is>
      </c>
      <c r="K885" t="inlineStr">
        <is>
          <t>2026-02-26 00:15</t>
        </is>
      </c>
      <c r="L885" t="inlineStr">
        <is>
          <t>YES</t>
        </is>
      </c>
      <c r="M885" t="inlineStr">
        <is>
          <t>static-web-server static_web_server *</t>
        </is>
      </c>
      <c r="N885" t="inlineStr">
        <is>
          <t>P4</t>
        </is>
      </c>
      <c r="O885" t="inlineStr">
        <is>
          <t>CVE - IP enrichment n/a</t>
        </is>
      </c>
      <c r="P885" t="n">
        <v>0</v>
      </c>
      <c r="Q885" t="n">
        <v>0</v>
      </c>
      <c r="R885" t="inlineStr">
        <is>
          <t>T1190:Exploit Public-Facing Application | T1552:Unsecured Credentials</t>
        </is>
      </c>
      <c r="S885" t="n">
        <v>1</v>
      </c>
      <c r="T885" t="inlineStr">
        <is>
          <t>LOW (40%)</t>
        </is>
      </c>
      <c r="U885" t="inlineStr">
        <is>
          <t>UNLIKELY</t>
        </is>
      </c>
      <c r="V885" t="inlineStr">
        <is>
          <t>PATCH_AVAILABLE</t>
        </is>
      </c>
      <c r="W885" t="inlineStr">
        <is>
          <t>https://nvd.nist.gov/vuln/detail/CVE-2026-27480</t>
        </is>
      </c>
      <c r="X885" t="inlineStr">
        <is>
          <t>NONE</t>
        </is>
      </c>
      <c r="Y885" t="n">
        <v>0</v>
      </c>
      <c r="Z885" t="inlineStr"/>
      <c r="AA885" t="inlineStr">
        <is>
          <t>https://nvd.nist.gov/vuln/detail/CVE-2026-27480</t>
        </is>
      </c>
    </row>
    <row r="886">
      <c r="A886" t="inlineStr">
        <is>
          <t>CVE</t>
        </is>
      </c>
      <c r="B886" t="inlineStr">
        <is>
          <t>CVE-2026-27482</t>
        </is>
      </c>
      <c r="C886" t="inlineStr">
        <is>
          <t xml:space="preserve">Ray is an AI compute engine. In versions 2.53.0 and below, thedashboard HTTP server blocks browser-origin POST/PUT but does not cover DELETE, and key DELETE endpoints are unauthenticated by default. If the dashboard/agent is reachable (e.g., --dashboard-host=0.0.0.0), a web page via DNS rebinding or same-network access can issue DELETE requests that shut down Serve or delete jobs without user interaction. This is a drive-by availability impact. The fix for this vulnerability is to update to Ray </t>
        </is>
      </c>
      <c r="D886" t="n">
        <v>5.9</v>
      </c>
      <c r="E886" t="inlineStr">
        <is>
          <t>MEDIUM</t>
        </is>
      </c>
      <c r="F886" t="n">
        <v>2</v>
      </c>
      <c r="G886" t="n">
        <v>2</v>
      </c>
      <c r="H886" t="inlineStr">
        <is>
          <t>MEDIUM</t>
        </is>
      </c>
      <c r="I886" t="n">
        <v>9.9</v>
      </c>
      <c r="J886" t="inlineStr">
        <is>
          <t>NO</t>
        </is>
      </c>
      <c r="K886" t="inlineStr">
        <is>
          <t>2026-02-26 00:15</t>
        </is>
      </c>
      <c r="L886" t="inlineStr">
        <is>
          <t>YES</t>
        </is>
      </c>
      <c r="M886" t="inlineStr">
        <is>
          <t>anyscale ray *</t>
        </is>
      </c>
      <c r="N886" t="inlineStr">
        <is>
          <t>P4</t>
        </is>
      </c>
      <c r="O886" t="inlineStr">
        <is>
          <t>CVE - IP enrichment n/a</t>
        </is>
      </c>
      <c r="P886" t="n">
        <v>0.0003</v>
      </c>
      <c r="Q886" t="n">
        <v>0.09320000000000001</v>
      </c>
      <c r="R886" t="inlineStr">
        <is>
          <t>T1190:Exploit Public-Facing Application</t>
        </is>
      </c>
      <c r="S886" t="n">
        <v>1</v>
      </c>
      <c r="T886" t="inlineStr">
        <is>
          <t>LOW (40%)</t>
        </is>
      </c>
      <c r="U886" t="inlineStr">
        <is>
          <t>UNLIKELY</t>
        </is>
      </c>
      <c r="V886" t="inlineStr">
        <is>
          <t>PATCH_AVAILABLE</t>
        </is>
      </c>
      <c r="W886" t="inlineStr">
        <is>
          <t>https://nvd.nist.gov/vuln/detail/CVE-2026-27482</t>
        </is>
      </c>
      <c r="X886" t="inlineStr">
        <is>
          <t>NONE</t>
        </is>
      </c>
      <c r="Y886" t="n">
        <v>0</v>
      </c>
      <c r="Z886" t="inlineStr"/>
      <c r="AA886" t="inlineStr">
        <is>
          <t>https://nvd.nist.gov/vuln/detail/CVE-2026-27482</t>
        </is>
      </c>
    </row>
    <row r="887">
      <c r="A887" t="inlineStr">
        <is>
          <t>CVE</t>
        </is>
      </c>
      <c r="B887" t="inlineStr">
        <is>
          <t>CVE-2026-27484</t>
        </is>
      </c>
      <c r="C887" t="inlineStr">
        <is>
          <t>OpenClaw is a personal AI assistant. In versions 2026.2.17 and below, the Discord moderation action handling (timeout, kick, ban) uses sender identity from request parameters in tool-driven flows, instead of trusted runtime sender context. In setups where Discord moderation actions are enabled and the bot has the necessary guild permissions, a non-admin user can request moderation actions by spoofing sender identity fields. This issue has been fixed in version 2026.2.18.</t>
        </is>
      </c>
      <c r="D887" t="n">
        <v>4.3</v>
      </c>
      <c r="E887" t="inlineStr">
        <is>
          <t>MEDIUM</t>
        </is>
      </c>
      <c r="F887" t="n">
        <v>2</v>
      </c>
      <c r="G887" t="n">
        <v>2</v>
      </c>
      <c r="H887" t="inlineStr">
        <is>
          <t>MEDIUM</t>
        </is>
      </c>
      <c r="I887" t="n">
        <v>8.300000000000001</v>
      </c>
      <c r="J887" t="inlineStr">
        <is>
          <t>NO</t>
        </is>
      </c>
      <c r="K887" t="inlineStr">
        <is>
          <t>2026-02-26 00:15</t>
        </is>
      </c>
      <c r="L887" t="inlineStr">
        <is>
          <t>YES</t>
        </is>
      </c>
      <c r="M887" t="inlineStr">
        <is>
          <t>openclaw openclaw *</t>
        </is>
      </c>
      <c r="N887" t="inlineStr">
        <is>
          <t>P4</t>
        </is>
      </c>
      <c r="O887" t="inlineStr">
        <is>
          <t>CVE - IP enrichment n/a</t>
        </is>
      </c>
      <c r="P887" t="n">
        <v>0</v>
      </c>
      <c r="Q887" t="n">
        <v>0</v>
      </c>
      <c r="R887" t="inlineStr">
        <is>
          <t>T1190:Exploit Public-Facing Application</t>
        </is>
      </c>
      <c r="S887" t="n">
        <v>1</v>
      </c>
      <c r="T887" t="inlineStr">
        <is>
          <t>LOW (40%)</t>
        </is>
      </c>
      <c r="U887" t="inlineStr">
        <is>
          <t>UNLIKELY</t>
        </is>
      </c>
      <c r="V887" t="inlineStr">
        <is>
          <t>PATCH_AVAILABLE</t>
        </is>
      </c>
      <c r="W887" t="inlineStr">
        <is>
          <t>https://nvd.nist.gov/vuln/detail/CVE-2026-27484</t>
        </is>
      </c>
      <c r="X887" t="inlineStr">
        <is>
          <t>NONE</t>
        </is>
      </c>
      <c r="Y887" t="n">
        <v>0</v>
      </c>
      <c r="Z887" t="inlineStr"/>
      <c r="AA887" t="inlineStr">
        <is>
          <t>https://nvd.nist.gov/vuln/detail/CVE-2026-27484</t>
        </is>
      </c>
    </row>
    <row r="888">
      <c r="A888" t="inlineStr">
        <is>
          <t>CVE</t>
        </is>
      </c>
      <c r="B888" t="inlineStr">
        <is>
          <t>CVE-2026-27485</t>
        </is>
      </c>
      <c r="C888" t="inlineStr">
        <is>
          <t>OpenClaw is a personal AI assistant. In versions 2026.2.17 and below, skills/skill-creator/scripts/package_skill.py (a local helper script used when authors package skills) previously followed symlinks while building .skill archives. If an author runs this script on a crafted local skill directory containing symlinks to files outside the skill root, the resulting archive can include unintended file contents. If exploited, this vulnerability can lead to potential unintentional disclosure of local</t>
        </is>
      </c>
      <c r="D888" t="n">
        <v>4.4</v>
      </c>
      <c r="E888" t="inlineStr">
        <is>
          <t>MEDIUM</t>
        </is>
      </c>
      <c r="F888" t="n">
        <v>2</v>
      </c>
      <c r="G888" t="n">
        <v>2</v>
      </c>
      <c r="H888" t="inlineStr">
        <is>
          <t>MEDIUM</t>
        </is>
      </c>
      <c r="I888" t="n">
        <v>8.4</v>
      </c>
      <c r="J888" t="inlineStr">
        <is>
          <t>NO</t>
        </is>
      </c>
      <c r="K888" t="inlineStr">
        <is>
          <t>2026-02-26 00:15</t>
        </is>
      </c>
      <c r="L888" t="inlineStr">
        <is>
          <t>YES</t>
        </is>
      </c>
      <c r="M888" t="inlineStr">
        <is>
          <t>openclaw openclaw *</t>
        </is>
      </c>
      <c r="N888" t="inlineStr">
        <is>
          <t>P4</t>
        </is>
      </c>
      <c r="O888" t="inlineStr">
        <is>
          <t>CVE - IP enrichment n/a</t>
        </is>
      </c>
      <c r="P888" t="n">
        <v>0</v>
      </c>
      <c r="Q888" t="n">
        <v>0</v>
      </c>
      <c r="R888" t="inlineStr">
        <is>
          <t>T1190:Exploit Public-Facing Application</t>
        </is>
      </c>
      <c r="S888" t="n">
        <v>1</v>
      </c>
      <c r="T888" t="inlineStr">
        <is>
          <t>LOW (40%)</t>
        </is>
      </c>
      <c r="U888" t="inlineStr">
        <is>
          <t>UNLIKELY</t>
        </is>
      </c>
      <c r="V888" t="inlineStr">
        <is>
          <t>PATCH_AVAILABLE</t>
        </is>
      </c>
      <c r="W888" t="inlineStr">
        <is>
          <t>https://nvd.nist.gov/vuln/detail/CVE-2026-27485</t>
        </is>
      </c>
      <c r="X888" t="inlineStr">
        <is>
          <t>NONE</t>
        </is>
      </c>
      <c r="Y888" t="n">
        <v>0</v>
      </c>
      <c r="Z888" t="inlineStr"/>
      <c r="AA888" t="inlineStr">
        <is>
          <t>https://nvd.nist.gov/vuln/detail/CVE-2026-27485</t>
        </is>
      </c>
    </row>
    <row r="889">
      <c r="A889" t="inlineStr">
        <is>
          <t>CVE</t>
        </is>
      </c>
      <c r="B889" t="inlineStr">
        <is>
          <t>CVE-2026-27486</t>
        </is>
      </c>
      <c r="C889" t="inlineStr">
        <is>
          <t xml:space="preserve">OpenClaw is a personal AI assistant. In versions 2026.2.13 and below of the OpenClaw CLI, the process cleanup uses system-wide process enumeration and pattern matching to terminate processes without verifying if they are owned by the current OpenClaw process. On shared hosts, unrelated processes can be terminated if they match the pattern. The CLI runner cleanup helpers can kill processes matched by command-line patterns without validating process ownership. This issue has been fixed in version </t>
        </is>
      </c>
      <c r="D889" t="n">
        <v>5.3</v>
      </c>
      <c r="E889" t="inlineStr">
        <is>
          <t>MEDIUM</t>
        </is>
      </c>
      <c r="F889" t="n">
        <v>2</v>
      </c>
      <c r="G889" t="n">
        <v>2</v>
      </c>
      <c r="H889" t="inlineStr">
        <is>
          <t>MEDIUM</t>
        </is>
      </c>
      <c r="I889" t="n">
        <v>9.300000000000001</v>
      </c>
      <c r="J889" t="inlineStr">
        <is>
          <t>NO</t>
        </is>
      </c>
      <c r="K889" t="inlineStr">
        <is>
          <t>2026-02-26 00:15</t>
        </is>
      </c>
      <c r="L889" t="inlineStr">
        <is>
          <t>YES</t>
        </is>
      </c>
      <c r="M889" t="inlineStr">
        <is>
          <t>openclaw openclaw *</t>
        </is>
      </c>
      <c r="N889" t="inlineStr">
        <is>
          <t>P4</t>
        </is>
      </c>
      <c r="O889" t="inlineStr">
        <is>
          <t>CVE - IP enrichment n/a</t>
        </is>
      </c>
      <c r="P889" t="n">
        <v>0</v>
      </c>
      <c r="Q889" t="n">
        <v>0</v>
      </c>
      <c r="R889" t="inlineStr">
        <is>
          <t>T1190:Exploit Public-Facing Application</t>
        </is>
      </c>
      <c r="S889" t="n">
        <v>1</v>
      </c>
      <c r="T889" t="inlineStr">
        <is>
          <t>LOW (40%)</t>
        </is>
      </c>
      <c r="U889" t="inlineStr">
        <is>
          <t>UNLIKELY</t>
        </is>
      </c>
      <c r="V889" t="inlineStr">
        <is>
          <t>PATCH_AVAILABLE</t>
        </is>
      </c>
      <c r="W889" t="inlineStr">
        <is>
          <t>https://nvd.nist.gov/vuln/detail/CVE-2026-27486</t>
        </is>
      </c>
      <c r="X889" t="inlineStr">
        <is>
          <t>NONE</t>
        </is>
      </c>
      <c r="Y889" t="n">
        <v>0</v>
      </c>
      <c r="Z889" t="inlineStr"/>
      <c r="AA889" t="inlineStr">
        <is>
          <t>https://nvd.nist.gov/vuln/detail/CVE-2026-27486</t>
        </is>
      </c>
    </row>
    <row r="890">
      <c r="A890" t="inlineStr">
        <is>
          <t>CVE</t>
        </is>
      </c>
      <c r="B890" t="inlineStr">
        <is>
          <t>CVE-2026-27487</t>
        </is>
      </c>
      <c r="C890" t="inlineStr">
        <is>
          <t>OpenClaw is a personal AI assistant. In versions 2026.2.13 and below, when using macOS, the Claude CLI keychain credential refresh path constructed a shell command to write the updated JSON blob into Keychain via security add-generic-password -w .... Because OAuth tokens are user-controlled data, this created an OS command injection risk. This issue has been fixed in version 2026.2.14.</t>
        </is>
      </c>
      <c r="D890" t="n">
        <v>7.6</v>
      </c>
      <c r="E890" t="inlineStr">
        <is>
          <t>HIGH</t>
        </is>
      </c>
      <c r="F890" t="n">
        <v>2</v>
      </c>
      <c r="G890" t="n">
        <v>3</v>
      </c>
      <c r="H890" t="inlineStr">
        <is>
          <t>HIGH</t>
        </is>
      </c>
      <c r="I890" t="n">
        <v>13.6</v>
      </c>
      <c r="J890" t="inlineStr">
        <is>
          <t>NO</t>
        </is>
      </c>
      <c r="K890" t="inlineStr">
        <is>
          <t>2026-02-26 00:15</t>
        </is>
      </c>
      <c r="L890" t="inlineStr">
        <is>
          <t>YES</t>
        </is>
      </c>
      <c r="M890" t="inlineStr">
        <is>
          <t>openclaw openclaw * | apple macos -</t>
        </is>
      </c>
      <c r="N890" t="inlineStr">
        <is>
          <t>P3</t>
        </is>
      </c>
      <c r="O890" t="inlineStr">
        <is>
          <t>CVE - IP enrichment n/a</t>
        </is>
      </c>
      <c r="P890" t="n">
        <v>0</v>
      </c>
      <c r="Q890" t="n">
        <v>0</v>
      </c>
      <c r="R890" t="inlineStr">
        <is>
          <t>T1059:Command and Scripting Interpreter | T1552:Unsecured Credentials</t>
        </is>
      </c>
      <c r="S890" t="n">
        <v>1</v>
      </c>
      <c r="T890" t="inlineStr">
        <is>
          <t>LOW (40%)</t>
        </is>
      </c>
      <c r="U890" t="inlineStr">
        <is>
          <t>UNLIKELY</t>
        </is>
      </c>
      <c r="V890" t="inlineStr">
        <is>
          <t>PATCH_AVAILABLE</t>
        </is>
      </c>
      <c r="W890" t="inlineStr">
        <is>
          <t>https://nvd.nist.gov/vuln/detail/CVE-2026-27487</t>
        </is>
      </c>
      <c r="X890" t="inlineStr">
        <is>
          <t>NONE</t>
        </is>
      </c>
      <c r="Y890" t="n">
        <v>0</v>
      </c>
      <c r="Z890" t="inlineStr"/>
      <c r="AA890" t="inlineStr">
        <is>
          <t>https://nvd.nist.gov/vuln/detail/CVE-2026-27487</t>
        </is>
      </c>
    </row>
    <row r="891">
      <c r="A891" t="inlineStr">
        <is>
          <t>CVE</t>
        </is>
      </c>
      <c r="B891" t="inlineStr">
        <is>
          <t>CVE-2026-27488</t>
        </is>
      </c>
      <c r="C891" t="inlineStr">
        <is>
          <t>OpenClaw is a personal AI assistant. In versions 2026.2.17 and below, Cron webhook delivery in src/gateway/server-cron.ts uses fetch() directly, so webhook targets can reach private/metadata/internal endpoints without SSRF policy checks. This issue was fixed in version 2026.2.19.</t>
        </is>
      </c>
      <c r="D891" t="n">
        <v>7.3</v>
      </c>
      <c r="E891" t="inlineStr">
        <is>
          <t>HIGH</t>
        </is>
      </c>
      <c r="F891" t="n">
        <v>2</v>
      </c>
      <c r="G891" t="n">
        <v>3</v>
      </c>
      <c r="H891" t="inlineStr">
        <is>
          <t>HIGH</t>
        </is>
      </c>
      <c r="I891" t="n">
        <v>13.3</v>
      </c>
      <c r="J891" t="inlineStr">
        <is>
          <t>NO</t>
        </is>
      </c>
      <c r="K891" t="inlineStr">
        <is>
          <t>2026-02-26 00:15</t>
        </is>
      </c>
      <c r="L891" t="inlineStr">
        <is>
          <t>YES</t>
        </is>
      </c>
      <c r="M891" t="inlineStr">
        <is>
          <t>openclaw openclaw *</t>
        </is>
      </c>
      <c r="N891" t="inlineStr">
        <is>
          <t>P3</t>
        </is>
      </c>
      <c r="O891" t="inlineStr">
        <is>
          <t>CVE - IP enrichment n/a</t>
        </is>
      </c>
      <c r="P891" t="n">
        <v>0</v>
      </c>
      <c r="Q891" t="n">
        <v>0</v>
      </c>
      <c r="R891" t="inlineStr">
        <is>
          <t>T1090:Proxy</t>
        </is>
      </c>
      <c r="S891" t="n">
        <v>1</v>
      </c>
      <c r="T891" t="inlineStr">
        <is>
          <t>LOW (40%)</t>
        </is>
      </c>
      <c r="U891" t="inlineStr">
        <is>
          <t>UNLIKELY</t>
        </is>
      </c>
      <c r="V891" t="inlineStr">
        <is>
          <t>PATCH_AVAILABLE</t>
        </is>
      </c>
      <c r="W891" t="inlineStr">
        <is>
          <t>https://nvd.nist.gov/vuln/detail/CVE-2026-27488</t>
        </is>
      </c>
      <c r="X891" t="inlineStr">
        <is>
          <t>NONE</t>
        </is>
      </c>
      <c r="Y891" t="n">
        <v>0</v>
      </c>
      <c r="Z891" t="inlineStr"/>
      <c r="AA891" t="inlineStr">
        <is>
          <t>https://nvd.nist.gov/vuln/detail/CVE-2026-27488</t>
        </is>
      </c>
    </row>
    <row r="892">
      <c r="A892" t="inlineStr">
        <is>
          <t>CVE</t>
        </is>
      </c>
      <c r="B892" t="inlineStr">
        <is>
          <t>CVE-2026-27576</t>
        </is>
      </c>
      <c r="C892" t="inlineStr">
        <is>
          <t>OpenClaw is a personal AI assistant. In versions 2026.2.17 and below, the ACP bridge accepts very large prompt text blocks and can assemble oversized prompt payloads before forwarding them to chat.send. Because ACP runs over local stdio, this mainly affects local ACP clients (for example IDE integrations) that send unusually large inputs. This issue has been fixed in version 2026.2.19.</t>
        </is>
      </c>
      <c r="D892" t="n">
        <v>4</v>
      </c>
      <c r="E892" t="inlineStr">
        <is>
          <t>MEDIUM</t>
        </is>
      </c>
      <c r="F892" t="n">
        <v>2</v>
      </c>
      <c r="G892" t="n">
        <v>2</v>
      </c>
      <c r="H892" t="inlineStr">
        <is>
          <t>MEDIUM</t>
        </is>
      </c>
      <c r="I892" t="n">
        <v>8</v>
      </c>
      <c r="J892" t="inlineStr">
        <is>
          <t>NO</t>
        </is>
      </c>
      <c r="K892" t="inlineStr">
        <is>
          <t>2026-02-26 00:15</t>
        </is>
      </c>
      <c r="L892" t="inlineStr">
        <is>
          <t>YES</t>
        </is>
      </c>
      <c r="M892" t="inlineStr">
        <is>
          <t>openclaw openclaw *</t>
        </is>
      </c>
      <c r="N892" t="inlineStr">
        <is>
          <t>P4</t>
        </is>
      </c>
      <c r="O892" t="inlineStr">
        <is>
          <t>CVE - IP enrichment n/a</t>
        </is>
      </c>
      <c r="P892" t="n">
        <v>0</v>
      </c>
      <c r="Q892" t="n">
        <v>0</v>
      </c>
      <c r="R892" t="inlineStr">
        <is>
          <t>T1190:Exploit Public-Facing Application</t>
        </is>
      </c>
      <c r="S892" t="n">
        <v>1</v>
      </c>
      <c r="T892" t="inlineStr">
        <is>
          <t>LOW (40%)</t>
        </is>
      </c>
      <c r="U892" t="inlineStr">
        <is>
          <t>UNLIKELY</t>
        </is>
      </c>
      <c r="V892" t="inlineStr">
        <is>
          <t>PATCH_AVAILABLE</t>
        </is>
      </c>
      <c r="W892" t="inlineStr">
        <is>
          <t>https://nvd.nist.gov/vuln/detail/CVE-2026-27576</t>
        </is>
      </c>
      <c r="X892" t="inlineStr">
        <is>
          <t>NONE</t>
        </is>
      </c>
      <c r="Y892" t="n">
        <v>0</v>
      </c>
      <c r="Z892" t="inlineStr"/>
      <c r="AA892" t="inlineStr">
        <is>
          <t>https://nvd.nist.gov/vuln/detail/CVE-2026-27576</t>
        </is>
      </c>
    </row>
    <row r="893">
      <c r="A893" t="inlineStr">
        <is>
          <t>CVE</t>
        </is>
      </c>
      <c r="B893" t="inlineStr">
        <is>
          <t>CVE-2026-1787</t>
        </is>
      </c>
      <c r="C893" t="inlineStr">
        <is>
          <t>The LearnPress Export Import – WordPress extension for LearnPress plugin for WordPress is vulnerable to unauthorized loss of data due to a missing capability check on the 'delete_migrated_data' function in all versions up to, and including, 4.1.0. This makes it possible for unauthenticated attackers to delete course that have been migrated from Tutor LMS. The Tutor LMS plugin must be installed and activated in order to exploit the vulnerability.</t>
        </is>
      </c>
      <c r="D893" t="n">
        <v>4.8</v>
      </c>
      <c r="E893" t="inlineStr">
        <is>
          <t>MEDIUM</t>
        </is>
      </c>
      <c r="F893" t="n">
        <v>2</v>
      </c>
      <c r="G893" t="n">
        <v>2</v>
      </c>
      <c r="H893" t="inlineStr">
        <is>
          <t>MEDIUM</t>
        </is>
      </c>
      <c r="I893" t="n">
        <v>8.800000000000001</v>
      </c>
      <c r="J893" t="inlineStr">
        <is>
          <t>NO</t>
        </is>
      </c>
      <c r="K893" t="inlineStr">
        <is>
          <t>2026-02-26 00:15</t>
        </is>
      </c>
      <c r="L893" t="inlineStr">
        <is>
          <t>CHECK_VENDOR</t>
        </is>
      </c>
      <c r="M893" t="inlineStr">
        <is>
          <t>See CVE details</t>
        </is>
      </c>
      <c r="N893" t="inlineStr">
        <is>
          <t>P4</t>
        </is>
      </c>
      <c r="O893" t="inlineStr">
        <is>
          <t>CVE - IP enrichment n/a</t>
        </is>
      </c>
      <c r="P893" t="n">
        <v>0</v>
      </c>
      <c r="Q893" t="n">
        <v>0</v>
      </c>
      <c r="R893" t="inlineStr">
        <is>
          <t>T1190:Exploit Public-Facing Application</t>
        </is>
      </c>
      <c r="S893" t="n">
        <v>1</v>
      </c>
      <c r="T893" t="inlineStr">
        <is>
          <t>LOW (40%)</t>
        </is>
      </c>
      <c r="U893" t="inlineStr">
        <is>
          <t>UNLIKELY</t>
        </is>
      </c>
      <c r="V893" t="inlineStr">
        <is>
          <t>CHECK_VENDOR</t>
        </is>
      </c>
      <c r="W893" t="inlineStr">
        <is>
          <t>https://nvd.nist.gov/vuln/detail/CVE-2026-1787</t>
        </is>
      </c>
      <c r="X893" t="inlineStr">
        <is>
          <t>NONE</t>
        </is>
      </c>
      <c r="Y893" t="n">
        <v>0</v>
      </c>
      <c r="Z893" t="inlineStr"/>
      <c r="AA893" t="inlineStr">
        <is>
          <t>https://nvd.nist.gov/vuln/detail/CVE-2026-1787</t>
        </is>
      </c>
    </row>
    <row r="894">
      <c r="A894" t="inlineStr">
        <is>
          <t>CVE</t>
        </is>
      </c>
      <c r="B894" t="inlineStr">
        <is>
          <t>CVE-2026-27492</t>
        </is>
      </c>
      <c r="C894" t="inlineStr">
        <is>
          <t>Lettermint Node.js SDK is the official Node.js SDK for Lettermint. In versions 1.5.0 and below, email properties (such as to, subject, html, text, and attachments) are not reset between sends when a single client instance is reused across multiple .send() calls. This can cause properties from a previous send to leak into a subsequent one, potentially delivering content or recipient addresses to unintended parties. Applications sending emails to different recipients in sequence — such as transact</t>
        </is>
      </c>
      <c r="D894" t="n">
        <v>4.7</v>
      </c>
      <c r="E894" t="inlineStr">
        <is>
          <t>MEDIUM</t>
        </is>
      </c>
      <c r="F894" t="n">
        <v>2</v>
      </c>
      <c r="G894" t="n">
        <v>2</v>
      </c>
      <c r="H894" t="inlineStr">
        <is>
          <t>MEDIUM</t>
        </is>
      </c>
      <c r="I894" t="n">
        <v>8.699999999999999</v>
      </c>
      <c r="J894" t="inlineStr">
        <is>
          <t>NO</t>
        </is>
      </c>
      <c r="K894" t="inlineStr">
        <is>
          <t>2026-02-26 00:15</t>
        </is>
      </c>
      <c r="L894" t="inlineStr">
        <is>
          <t>YES</t>
        </is>
      </c>
      <c r="M894" t="inlineStr">
        <is>
          <t>lettermint lettermint *</t>
        </is>
      </c>
      <c r="N894" t="inlineStr">
        <is>
          <t>P4</t>
        </is>
      </c>
      <c r="O894" t="inlineStr">
        <is>
          <t>CVE - IP enrichment n/a</t>
        </is>
      </c>
      <c r="P894" t="n">
        <v>0</v>
      </c>
      <c r="Q894" t="n">
        <v>0</v>
      </c>
      <c r="R894" t="inlineStr">
        <is>
          <t>T1190:Exploit Public-Facing Application</t>
        </is>
      </c>
      <c r="S894" t="n">
        <v>1</v>
      </c>
      <c r="T894" t="inlineStr">
        <is>
          <t>LOW (40%)</t>
        </is>
      </c>
      <c r="U894" t="inlineStr">
        <is>
          <t>UNLIKELY</t>
        </is>
      </c>
      <c r="V894" t="inlineStr">
        <is>
          <t>PATCH_AVAILABLE</t>
        </is>
      </c>
      <c r="W894" t="inlineStr">
        <is>
          <t>https://nvd.nist.gov/vuln/detail/CVE-2026-27492</t>
        </is>
      </c>
      <c r="X894" t="inlineStr">
        <is>
          <t>NONE</t>
        </is>
      </c>
      <c r="Y894" t="n">
        <v>0</v>
      </c>
      <c r="Z894" t="inlineStr"/>
      <c r="AA894" t="inlineStr">
        <is>
          <t>https://nvd.nist.gov/vuln/detail/CVE-2026-27492</t>
        </is>
      </c>
    </row>
    <row r="895">
      <c r="A895" t="inlineStr">
        <is>
          <t>CVE</t>
        </is>
      </c>
      <c r="B895" t="inlineStr">
        <is>
          <t>CVE-2026-27574</t>
        </is>
      </c>
      <c r="C895" t="inlineStr">
        <is>
          <t>OneUptime is a solution for monitoring and managing online services. In versions 9.5.13 and below, custom JavaScript monitor feature uses Node.js's node:vm module (explicitly documented as not a security mechanism) to execute user-supplied code, allowing trivial sandbox escape via a well-known one-liner that grants full access to the underlying process. Because the probe runs with host networking and holds all cluster credentials (ONEUPTIME_SECRET, DATABASE_PASSWORD, REDIS_PASSWORD, CLICKHOUSE_P</t>
        </is>
      </c>
      <c r="D895" t="n">
        <v>9.9</v>
      </c>
      <c r="E895" t="inlineStr">
        <is>
          <t>CRITICAL</t>
        </is>
      </c>
      <c r="F895" t="n">
        <v>2</v>
      </c>
      <c r="G895" t="n">
        <v>3</v>
      </c>
      <c r="H895" t="inlineStr">
        <is>
          <t>HIGH</t>
        </is>
      </c>
      <c r="I895" t="n">
        <v>15.9</v>
      </c>
      <c r="J895" t="inlineStr">
        <is>
          <t>NO</t>
        </is>
      </c>
      <c r="K895" t="inlineStr">
        <is>
          <t>2026-02-26 00:15</t>
        </is>
      </c>
      <c r="L895" t="inlineStr">
        <is>
          <t>YES</t>
        </is>
      </c>
      <c r="M895" t="inlineStr">
        <is>
          <t>hackerbay oneuptime *</t>
        </is>
      </c>
      <c r="N895" t="inlineStr">
        <is>
          <t>P3</t>
        </is>
      </c>
      <c r="O895" t="inlineStr">
        <is>
          <t>CVE - IP enrichment n/a</t>
        </is>
      </c>
      <c r="P895" t="n">
        <v>0</v>
      </c>
      <c r="Q895" t="n">
        <v>0</v>
      </c>
      <c r="R895" t="inlineStr">
        <is>
          <t>T1059:Command and Scripting Interpreter | T1552:Unsecured Credentials</t>
        </is>
      </c>
      <c r="S895" t="n">
        <v>1</v>
      </c>
      <c r="T895" t="inlineStr">
        <is>
          <t>LOW (40%)</t>
        </is>
      </c>
      <c r="U895" t="inlineStr">
        <is>
          <t>UNLIKELY</t>
        </is>
      </c>
      <c r="V895" t="inlineStr">
        <is>
          <t>PATCH_AVAILABLE</t>
        </is>
      </c>
      <c r="W895" t="inlineStr">
        <is>
          <t>https://nvd.nist.gov/vuln/detail/CVE-2026-27574</t>
        </is>
      </c>
      <c r="X895" t="inlineStr">
        <is>
          <t>NONE</t>
        </is>
      </c>
      <c r="Y895" t="n">
        <v>0</v>
      </c>
      <c r="Z895" t="inlineStr"/>
      <c r="AA895" t="inlineStr">
        <is>
          <t>https://nvd.nist.gov/vuln/detail/CVE-2026-27574</t>
        </is>
      </c>
    </row>
    <row r="896">
      <c r="A896" t="inlineStr">
        <is>
          <t>CVE</t>
        </is>
      </c>
      <c r="B896" t="inlineStr">
        <is>
          <t>CVE-2026-27579</t>
        </is>
      </c>
      <c r="C896" t="inlineStr">
        <is>
          <t>CollabPlatform is a full-stack, real-time doc collaboration platform. In all versions of CollabPlatform, the Appwrite project used by the application is misconfigured to allow arbitrary origins in CORS responses while also permitting credentialed requests. An attacker-controlled domain can issue authenticated cross-origin requests and read sensitive user account information, including email address, account identifiers, and MFA status. The issue did not have a fix at the time of publication.</t>
        </is>
      </c>
      <c r="D896" t="n">
        <v>7.4</v>
      </c>
      <c r="E896" t="inlineStr">
        <is>
          <t>HIGH</t>
        </is>
      </c>
      <c r="F896" t="n">
        <v>2</v>
      </c>
      <c r="G896" t="n">
        <v>3</v>
      </c>
      <c r="H896" t="inlineStr">
        <is>
          <t>HIGH</t>
        </is>
      </c>
      <c r="I896" t="n">
        <v>13.4</v>
      </c>
      <c r="J896" t="inlineStr">
        <is>
          <t>NO</t>
        </is>
      </c>
      <c r="K896" t="inlineStr">
        <is>
          <t>2026-02-26 00:15</t>
        </is>
      </c>
      <c r="L896" t="inlineStr">
        <is>
          <t>CHECK_VENDOR</t>
        </is>
      </c>
      <c r="M896" t="inlineStr">
        <is>
          <t>See CVE details</t>
        </is>
      </c>
      <c r="N896" t="inlineStr">
        <is>
          <t>P3</t>
        </is>
      </c>
      <c r="O896" t="inlineStr">
        <is>
          <t>CVE - IP enrichment n/a</t>
        </is>
      </c>
      <c r="P896" t="n">
        <v>0</v>
      </c>
      <c r="Q896" t="n">
        <v>0</v>
      </c>
      <c r="R896" t="inlineStr">
        <is>
          <t>T1552:Unsecured Credentials</t>
        </is>
      </c>
      <c r="S896" t="n">
        <v>1</v>
      </c>
      <c r="T896" t="inlineStr">
        <is>
          <t>LOW (40%)</t>
        </is>
      </c>
      <c r="U896" t="inlineStr">
        <is>
          <t>UNLIKELY</t>
        </is>
      </c>
      <c r="V896" t="inlineStr">
        <is>
          <t>CHECK_VENDOR</t>
        </is>
      </c>
      <c r="W896" t="inlineStr">
        <is>
          <t>https://nvd.nist.gov/vuln/detail/CVE-2026-27579</t>
        </is>
      </c>
      <c r="X896" t="inlineStr">
        <is>
          <t>NONE</t>
        </is>
      </c>
      <c r="Y896" t="n">
        <v>0</v>
      </c>
      <c r="Z896" t="inlineStr"/>
      <c r="AA896" t="inlineStr">
        <is>
          <t>https://nvd.nist.gov/vuln/detail/CVE-2026-27579</t>
        </is>
      </c>
    </row>
    <row r="897">
      <c r="A897" t="inlineStr">
        <is>
          <t>CVE</t>
        </is>
      </c>
      <c r="B897" t="inlineStr">
        <is>
          <t>CVE-2026-2867</t>
        </is>
      </c>
      <c r="C897" t="inlineStr">
        <is>
          <t>A vulnerability was determined in itsourcecode Vehicle Management System 1.0. Affected is an unknown function of the file /billaction.php. Executing a manipulation of the argument ID can lead to sql injection. The attack may be launched remotely. The exploit has been publicly disclosed and may be utilized.</t>
        </is>
      </c>
      <c r="D897" t="n">
        <v>7.3</v>
      </c>
      <c r="E897" t="inlineStr">
        <is>
          <t>HIGH</t>
        </is>
      </c>
      <c r="F897" t="n">
        <v>2</v>
      </c>
      <c r="G897" t="n">
        <v>3</v>
      </c>
      <c r="H897" t="inlineStr">
        <is>
          <t>HIGH</t>
        </is>
      </c>
      <c r="I897" t="n">
        <v>13.3</v>
      </c>
      <c r="J897" t="inlineStr">
        <is>
          <t>NO</t>
        </is>
      </c>
      <c r="K897" t="inlineStr">
        <is>
          <t>2026-02-26 00:15</t>
        </is>
      </c>
      <c r="L897" t="inlineStr">
        <is>
          <t>CHECK_VENDOR</t>
        </is>
      </c>
      <c r="M897" t="inlineStr">
        <is>
          <t>admerc vehicle_management_system 1.0</t>
        </is>
      </c>
      <c r="N897" t="inlineStr">
        <is>
          <t>P3</t>
        </is>
      </c>
      <c r="O897" t="inlineStr">
        <is>
          <t>CVE - IP enrichment n/a</t>
        </is>
      </c>
      <c r="P897" t="n">
        <v>0</v>
      </c>
      <c r="Q897" t="n">
        <v>0</v>
      </c>
      <c r="R897" t="inlineStr">
        <is>
          <t>T1190:Exploit Public-Facing Application</t>
        </is>
      </c>
      <c r="S897" t="n">
        <v>1</v>
      </c>
      <c r="T897" t="inlineStr">
        <is>
          <t>LOW (40%)</t>
        </is>
      </c>
      <c r="U897" t="inlineStr">
        <is>
          <t>UNLIKELY</t>
        </is>
      </c>
      <c r="V897" t="inlineStr">
        <is>
          <t>CHECK_VENDOR</t>
        </is>
      </c>
      <c r="W897" t="inlineStr">
        <is>
          <t>https://nvd.nist.gov/vuln/detail/CVE-2026-2867</t>
        </is>
      </c>
      <c r="X897" t="inlineStr">
        <is>
          <t>NONE</t>
        </is>
      </c>
      <c r="Y897" t="n">
        <v>0</v>
      </c>
      <c r="Z897" t="inlineStr"/>
      <c r="AA897" t="inlineStr">
        <is>
          <t>https://nvd.nist.gov/vuln/detail/CVE-2026-2867</t>
        </is>
      </c>
    </row>
    <row r="898">
      <c r="A898" t="inlineStr">
        <is>
          <t>CVE</t>
        </is>
      </c>
      <c r="B898" t="inlineStr">
        <is>
          <t>CVE-2026-2869</t>
        </is>
      </c>
      <c r="C898" t="inlineStr">
        <is>
          <t>A vulnerability was identified in janet-lang janet up to 1.40.1. Affected by this vulnerability is the function janetc_varset of the file src/core/specials.c of the component handleattr Handler. The manipulation leads to out-of-bounds read. The attack can only be performed from a local environment. The exploit is publicly available and might be used. Upgrading to version 1.41.0 addresses this issue. The identifier of the patch is 2fabc80151a2b8834ee59cda8a70453f848b40e5. The affected component s</t>
        </is>
      </c>
      <c r="D898" t="n">
        <v>3.3</v>
      </c>
      <c r="E898" t="inlineStr">
        <is>
          <t>LOW</t>
        </is>
      </c>
      <c r="F898" t="n">
        <v>2</v>
      </c>
      <c r="G898" t="n">
        <v>1</v>
      </c>
      <c r="H898" t="inlineStr">
        <is>
          <t>LOW</t>
        </is>
      </c>
      <c r="I898" t="n">
        <v>5.3</v>
      </c>
      <c r="J898" t="inlineStr">
        <is>
          <t>NO</t>
        </is>
      </c>
      <c r="K898" t="inlineStr">
        <is>
          <t>2026-02-26 00:15</t>
        </is>
      </c>
      <c r="L898" t="inlineStr">
        <is>
          <t>CHECK_VENDOR</t>
        </is>
      </c>
      <c r="M898" t="inlineStr">
        <is>
          <t>See CVE details</t>
        </is>
      </c>
      <c r="N898" t="inlineStr">
        <is>
          <t>P4</t>
        </is>
      </c>
      <c r="O898" t="inlineStr">
        <is>
          <t>CVE - IP enrichment n/a</t>
        </is>
      </c>
      <c r="P898" t="n">
        <v>0.0001</v>
      </c>
      <c r="Q898" t="n">
        <v>0.0195</v>
      </c>
      <c r="R898" t="inlineStr">
        <is>
          <t>T1203:Exploitation for Client Execution</t>
        </is>
      </c>
      <c r="S898" t="n">
        <v>1</v>
      </c>
      <c r="T898" t="inlineStr">
        <is>
          <t>LOW (40%)</t>
        </is>
      </c>
      <c r="U898" t="inlineStr">
        <is>
          <t>UNLIKELY</t>
        </is>
      </c>
      <c r="V898" t="inlineStr">
        <is>
          <t>CHECK_VENDOR</t>
        </is>
      </c>
      <c r="W898" t="inlineStr">
        <is>
          <t>https://nvd.nist.gov/vuln/detail/CVE-2026-2869</t>
        </is>
      </c>
      <c r="X898" t="inlineStr">
        <is>
          <t>NONE</t>
        </is>
      </c>
      <c r="Y898" t="n">
        <v>0</v>
      </c>
      <c r="Z898" t="inlineStr"/>
      <c r="AA898" t="inlineStr">
        <is>
          <t>https://nvd.nist.gov/vuln/detail/CVE-2026-2869</t>
        </is>
      </c>
    </row>
    <row r="899">
      <c r="A899" t="inlineStr">
        <is>
          <t>CVE</t>
        </is>
      </c>
      <c r="B899" t="inlineStr">
        <is>
          <t>CVE-2026-2870</t>
        </is>
      </c>
      <c r="C899" t="inlineStr">
        <is>
          <t>A security flaw has been discovered in Tenda A21 1.0.0.0. Affected by this issue is the function set_qosMib_list of the file /goform/formSetQosBand. The manipulation of the argument list results in stack-based buffer overflow. The attack can be executed remotely. The exploit has been released to the public and may be used for attacks.</t>
        </is>
      </c>
      <c r="D899" t="n">
        <v>8.800000000000001</v>
      </c>
      <c r="E899" t="inlineStr">
        <is>
          <t>HIGH</t>
        </is>
      </c>
      <c r="F899" t="n">
        <v>2</v>
      </c>
      <c r="G899" t="n">
        <v>3</v>
      </c>
      <c r="H899" t="inlineStr">
        <is>
          <t>HIGH</t>
        </is>
      </c>
      <c r="I899" t="n">
        <v>14.8</v>
      </c>
      <c r="J899" t="inlineStr">
        <is>
          <t>NO</t>
        </is>
      </c>
      <c r="K899" t="inlineStr">
        <is>
          <t>2026-02-26 00:15</t>
        </is>
      </c>
      <c r="L899" t="inlineStr">
        <is>
          <t>YES</t>
        </is>
      </c>
      <c r="M899" t="inlineStr">
        <is>
          <t>tenda a21_firmware 1.0.0.0 | tenda a21 -</t>
        </is>
      </c>
      <c r="N899" t="inlineStr">
        <is>
          <t>P3</t>
        </is>
      </c>
      <c r="O899" t="inlineStr">
        <is>
          <t>CVE - IP enrichment n/a</t>
        </is>
      </c>
      <c r="P899" t="n">
        <v>0</v>
      </c>
      <c r="Q899" t="n">
        <v>0</v>
      </c>
      <c r="R899" t="inlineStr">
        <is>
          <t>T1203:Exploitation for Client Execution</t>
        </is>
      </c>
      <c r="S899" t="n">
        <v>1</v>
      </c>
      <c r="T899" t="inlineStr">
        <is>
          <t>LOW (40%)</t>
        </is>
      </c>
      <c r="U899" t="inlineStr">
        <is>
          <t>UNLIKELY</t>
        </is>
      </c>
      <c r="V899" t="inlineStr">
        <is>
          <t>PATCH_AVAILABLE</t>
        </is>
      </c>
      <c r="W899" t="inlineStr">
        <is>
          <t>https://nvd.nist.gov/vuln/detail/CVE-2026-2870</t>
        </is>
      </c>
      <c r="X899" t="inlineStr">
        <is>
          <t>NONE</t>
        </is>
      </c>
      <c r="Y899" t="n">
        <v>0</v>
      </c>
      <c r="Z899" t="inlineStr"/>
      <c r="AA899" t="inlineStr">
        <is>
          <t>https://nvd.nist.gov/vuln/detail/CVE-2026-2870</t>
        </is>
      </c>
    </row>
    <row r="900">
      <c r="A900" t="inlineStr">
        <is>
          <t>CVE</t>
        </is>
      </c>
      <c r="B900" t="inlineStr">
        <is>
          <t>CVE-2026-2871</t>
        </is>
      </c>
      <c r="C900" t="inlineStr">
        <is>
          <t>A weakness has been identified in Tenda A21 1.0.0.0. This affects the function fromSetIpMacBind of the file /goform/SetIpMacBind. This manipulation of the argument list causes stack-based buffer overflow. The attack is possible to be carried out remotely. The exploit has been made available to the public and could be used for attacks.</t>
        </is>
      </c>
      <c r="D900" t="n">
        <v>8.800000000000001</v>
      </c>
      <c r="E900" t="inlineStr">
        <is>
          <t>HIGH</t>
        </is>
      </c>
      <c r="F900" t="n">
        <v>2</v>
      </c>
      <c r="G900" t="n">
        <v>3</v>
      </c>
      <c r="H900" t="inlineStr">
        <is>
          <t>HIGH</t>
        </is>
      </c>
      <c r="I900" t="n">
        <v>14.8</v>
      </c>
      <c r="J900" t="inlineStr">
        <is>
          <t>NO</t>
        </is>
      </c>
      <c r="K900" t="inlineStr">
        <is>
          <t>2026-02-26 00:15</t>
        </is>
      </c>
      <c r="L900" t="inlineStr">
        <is>
          <t>YES</t>
        </is>
      </c>
      <c r="M900" t="inlineStr">
        <is>
          <t>tenda a21_firmware 1.0.0.0 | tenda a21 -</t>
        </is>
      </c>
      <c r="N900" t="inlineStr">
        <is>
          <t>P3</t>
        </is>
      </c>
      <c r="O900" t="inlineStr">
        <is>
          <t>CVE - IP enrichment n/a</t>
        </is>
      </c>
      <c r="P900" t="n">
        <v>0.0003</v>
      </c>
      <c r="Q900" t="n">
        <v>0.0854</v>
      </c>
      <c r="R900" t="inlineStr">
        <is>
          <t>T1203:Exploitation for Client Execution</t>
        </is>
      </c>
      <c r="S900" t="n">
        <v>1</v>
      </c>
      <c r="T900" t="inlineStr">
        <is>
          <t>LOW (40%)</t>
        </is>
      </c>
      <c r="U900" t="inlineStr">
        <is>
          <t>UNLIKELY</t>
        </is>
      </c>
      <c r="V900" t="inlineStr">
        <is>
          <t>PATCH_AVAILABLE</t>
        </is>
      </c>
      <c r="W900" t="inlineStr">
        <is>
          <t>https://nvd.nist.gov/vuln/detail/CVE-2026-2871</t>
        </is>
      </c>
      <c r="X900" t="inlineStr">
        <is>
          <t>NONE</t>
        </is>
      </c>
      <c r="Y900" t="n">
        <v>0</v>
      </c>
      <c r="Z900" t="inlineStr"/>
      <c r="AA900" t="inlineStr">
        <is>
          <t>https://nvd.nist.gov/vuln/detail/CVE-2026-2871</t>
        </is>
      </c>
    </row>
    <row r="901">
      <c r="A901" t="inlineStr">
        <is>
          <t>CVE</t>
        </is>
      </c>
      <c r="B901" t="inlineStr">
        <is>
          <t>CVE-2026-2872</t>
        </is>
      </c>
      <c r="C901" t="inlineStr">
        <is>
          <t>A security vulnerability has been detected in Tenda A21 1.0.0.0. This vulnerability affects the function set_device_name of the file /goform/setBlackRule of the component MAC Filtering Configuration Endpoint. Such manipulation of the argument devName/mac leads to stack-based buffer overflow. The attack may be performed from remote. The exploit has been disclosed publicly and may be used.</t>
        </is>
      </c>
      <c r="D901" t="n">
        <v>8.800000000000001</v>
      </c>
      <c r="E901" t="inlineStr">
        <is>
          <t>HIGH</t>
        </is>
      </c>
      <c r="F901" t="n">
        <v>2</v>
      </c>
      <c r="G901" t="n">
        <v>3</v>
      </c>
      <c r="H901" t="inlineStr">
        <is>
          <t>HIGH</t>
        </is>
      </c>
      <c r="I901" t="n">
        <v>14.8</v>
      </c>
      <c r="J901" t="inlineStr">
        <is>
          <t>NO</t>
        </is>
      </c>
      <c r="K901" t="inlineStr">
        <is>
          <t>2026-02-26 00:15</t>
        </is>
      </c>
      <c r="L901" t="inlineStr">
        <is>
          <t>YES</t>
        </is>
      </c>
      <c r="M901" t="inlineStr">
        <is>
          <t>tenda a21_firmware 1.0.0.0 | tenda a21 -</t>
        </is>
      </c>
      <c r="N901" t="inlineStr">
        <is>
          <t>P3</t>
        </is>
      </c>
      <c r="O901" t="inlineStr">
        <is>
          <t>CVE - IP enrichment n/a</t>
        </is>
      </c>
      <c r="P901" t="n">
        <v>0</v>
      </c>
      <c r="Q901" t="n">
        <v>0</v>
      </c>
      <c r="R901" t="inlineStr">
        <is>
          <t>T1203:Exploitation for Client Execution</t>
        </is>
      </c>
      <c r="S901" t="n">
        <v>1</v>
      </c>
      <c r="T901" t="inlineStr">
        <is>
          <t>LOW (40%)</t>
        </is>
      </c>
      <c r="U901" t="inlineStr">
        <is>
          <t>UNLIKELY</t>
        </is>
      </c>
      <c r="V901" t="inlineStr">
        <is>
          <t>PATCH_AVAILABLE</t>
        </is>
      </c>
      <c r="W901" t="inlineStr">
        <is>
          <t>https://nvd.nist.gov/vuln/detail/CVE-2026-2872</t>
        </is>
      </c>
      <c r="X901" t="inlineStr">
        <is>
          <t>NONE</t>
        </is>
      </c>
      <c r="Y901" t="n">
        <v>0</v>
      </c>
      <c r="Z901" t="inlineStr"/>
      <c r="AA901" t="inlineStr">
        <is>
          <t>https://nvd.nist.gov/vuln/detail/CVE-2026-2872</t>
        </is>
      </c>
    </row>
    <row r="902">
      <c r="A902" t="inlineStr">
        <is>
          <t>CVE</t>
        </is>
      </c>
      <c r="B902" t="inlineStr">
        <is>
          <t>CVE-2026-2873</t>
        </is>
      </c>
      <c r="C902" t="inlineStr">
        <is>
          <t>A vulnerability was detected in Tenda A21 1.0.0.0. This issue affects the function setSchedWifi of the file /goform/openSchedWifi. Performing a manipulation of the argument schedStartTime/schedEndTime results in stack-based buffer overflow. It is possible to initiate the attack remotely. The exploit is now public and may be used.</t>
        </is>
      </c>
      <c r="D902" t="n">
        <v>8.800000000000001</v>
      </c>
      <c r="E902" t="inlineStr">
        <is>
          <t>HIGH</t>
        </is>
      </c>
      <c r="F902" t="n">
        <v>2</v>
      </c>
      <c r="G902" t="n">
        <v>3</v>
      </c>
      <c r="H902" t="inlineStr">
        <is>
          <t>HIGH</t>
        </is>
      </c>
      <c r="I902" t="n">
        <v>14.8</v>
      </c>
      <c r="J902" t="inlineStr">
        <is>
          <t>NO</t>
        </is>
      </c>
      <c r="K902" t="inlineStr">
        <is>
          <t>2026-02-26 00:15</t>
        </is>
      </c>
      <c r="L902" t="inlineStr">
        <is>
          <t>YES</t>
        </is>
      </c>
      <c r="M902" t="inlineStr">
        <is>
          <t>tenda a21_firmware 1.0.0.0 | tenda a21 -</t>
        </is>
      </c>
      <c r="N902" t="inlineStr">
        <is>
          <t>P3</t>
        </is>
      </c>
      <c r="O902" t="inlineStr">
        <is>
          <t>CVE - IP enrichment n/a</t>
        </is>
      </c>
      <c r="P902" t="n">
        <v>0</v>
      </c>
      <c r="Q902" t="n">
        <v>0</v>
      </c>
      <c r="R902" t="inlineStr">
        <is>
          <t>T1203:Exploitation for Client Execution</t>
        </is>
      </c>
      <c r="S902" t="n">
        <v>1</v>
      </c>
      <c r="T902" t="inlineStr">
        <is>
          <t>LOW (40%)</t>
        </is>
      </c>
      <c r="U902" t="inlineStr">
        <is>
          <t>UNLIKELY</t>
        </is>
      </c>
      <c r="V902" t="inlineStr">
        <is>
          <t>PATCH_AVAILABLE</t>
        </is>
      </c>
      <c r="W902" t="inlineStr">
        <is>
          <t>https://nvd.nist.gov/vuln/detail/CVE-2026-2873</t>
        </is>
      </c>
      <c r="X902" t="inlineStr">
        <is>
          <t>NONE</t>
        </is>
      </c>
      <c r="Y902" t="n">
        <v>0</v>
      </c>
      <c r="Z902" t="inlineStr"/>
      <c r="AA902" t="inlineStr">
        <is>
          <t>https://nvd.nist.gov/vuln/detail/CVE-2026-2873</t>
        </is>
      </c>
    </row>
    <row r="903">
      <c r="A903" t="inlineStr">
        <is>
          <t>CVE</t>
        </is>
      </c>
      <c r="B903" t="inlineStr">
        <is>
          <t>CVE-2026-2874</t>
        </is>
      </c>
      <c r="C903" t="inlineStr">
        <is>
          <t>A flaw has been found in Tenda A21 1.0.0.0. Impacted is the function form_fast_setting_wifi_set of the file /goform/fast_setting_wifi_set. Executing a manipulation of the argument ssid can lead to stack-based buffer overflow. It is possible to launch the attack remotely. The exploit has been published and may be used.</t>
        </is>
      </c>
      <c r="D903" t="n">
        <v>8.800000000000001</v>
      </c>
      <c r="E903" t="inlineStr">
        <is>
          <t>HIGH</t>
        </is>
      </c>
      <c r="F903" t="n">
        <v>2</v>
      </c>
      <c r="G903" t="n">
        <v>3</v>
      </c>
      <c r="H903" t="inlineStr">
        <is>
          <t>HIGH</t>
        </is>
      </c>
      <c r="I903" t="n">
        <v>14.8</v>
      </c>
      <c r="J903" t="inlineStr">
        <is>
          <t>NO</t>
        </is>
      </c>
      <c r="K903" t="inlineStr">
        <is>
          <t>2026-02-26 00:15</t>
        </is>
      </c>
      <c r="L903" t="inlineStr">
        <is>
          <t>YES</t>
        </is>
      </c>
      <c r="M903" t="inlineStr">
        <is>
          <t>tenda a21_firmware 1.0.0.0 | tenda a21 -</t>
        </is>
      </c>
      <c r="N903" t="inlineStr">
        <is>
          <t>P3</t>
        </is>
      </c>
      <c r="O903" t="inlineStr">
        <is>
          <t>CVE - IP enrichment n/a</t>
        </is>
      </c>
      <c r="P903" t="n">
        <v>0</v>
      </c>
      <c r="Q903" t="n">
        <v>0</v>
      </c>
      <c r="R903" t="inlineStr">
        <is>
          <t>T1203:Exploitation for Client Execution</t>
        </is>
      </c>
      <c r="S903" t="n">
        <v>1</v>
      </c>
      <c r="T903" t="inlineStr">
        <is>
          <t>LOW (40%)</t>
        </is>
      </c>
      <c r="U903" t="inlineStr">
        <is>
          <t>UNLIKELY</t>
        </is>
      </c>
      <c r="V903" t="inlineStr">
        <is>
          <t>PATCH_AVAILABLE</t>
        </is>
      </c>
      <c r="W903" t="inlineStr">
        <is>
          <t>https://nvd.nist.gov/vuln/detail/CVE-2026-2874</t>
        </is>
      </c>
      <c r="X903" t="inlineStr">
        <is>
          <t>NONE</t>
        </is>
      </c>
      <c r="Y903" t="n">
        <v>0</v>
      </c>
      <c r="Z903" t="inlineStr"/>
      <c r="AA903" t="inlineStr">
        <is>
          <t>https://nvd.nist.gov/vuln/detail/CVE-2026-2874</t>
        </is>
      </c>
    </row>
    <row r="904">
      <c r="A904" t="inlineStr">
        <is>
          <t>CVE</t>
        </is>
      </c>
      <c r="B904" t="inlineStr">
        <is>
          <t>CVE-2026-2876</t>
        </is>
      </c>
      <c r="C904" t="inlineStr">
        <is>
          <t>A vulnerability was determined in Tenda A18 15.13.07.13. This affects the function parse_macfilter_rule of the file /goform/setBlackRule. This manipulation of the argument deviceList causes stack-based buffer overflow. The attack may be initiated remotely. The exploit has been publicly disclosed and may be utilized.</t>
        </is>
      </c>
      <c r="D904" t="n">
        <v>8.800000000000001</v>
      </c>
      <c r="E904" t="inlineStr">
        <is>
          <t>HIGH</t>
        </is>
      </c>
      <c r="F904" t="n">
        <v>2</v>
      </c>
      <c r="G904" t="n">
        <v>3</v>
      </c>
      <c r="H904" t="inlineStr">
        <is>
          <t>HIGH</t>
        </is>
      </c>
      <c r="I904" t="n">
        <v>14.8</v>
      </c>
      <c r="J904" t="inlineStr">
        <is>
          <t>NO</t>
        </is>
      </c>
      <c r="K904" t="inlineStr">
        <is>
          <t>2026-02-26 00:15</t>
        </is>
      </c>
      <c r="L904" t="inlineStr">
        <is>
          <t>CHECK_VENDOR</t>
        </is>
      </c>
      <c r="M904" t="inlineStr">
        <is>
          <t>tenda a18 - | tenda a18_firmware 15.13.07.13</t>
        </is>
      </c>
      <c r="N904" t="inlineStr">
        <is>
          <t>P3</t>
        </is>
      </c>
      <c r="O904" t="inlineStr">
        <is>
          <t>CVE - IP enrichment n/a</t>
        </is>
      </c>
      <c r="P904" t="n">
        <v>0.0007</v>
      </c>
      <c r="Q904" t="n">
        <v>0.2198</v>
      </c>
      <c r="R904" t="inlineStr">
        <is>
          <t>T1203:Exploitation for Client Execution</t>
        </is>
      </c>
      <c r="S904" t="n">
        <v>1</v>
      </c>
      <c r="T904" t="inlineStr">
        <is>
          <t>LOW (40%)</t>
        </is>
      </c>
      <c r="U904" t="inlineStr">
        <is>
          <t>UNLIKELY</t>
        </is>
      </c>
      <c r="V904" t="inlineStr">
        <is>
          <t>CHECK_VENDOR</t>
        </is>
      </c>
      <c r="W904" t="inlineStr">
        <is>
          <t>https://nvd.nist.gov/vuln/detail/CVE-2026-2876</t>
        </is>
      </c>
      <c r="X904" t="inlineStr">
        <is>
          <t>NONE</t>
        </is>
      </c>
      <c r="Y904" t="n">
        <v>0</v>
      </c>
      <c r="Z904" t="inlineStr"/>
      <c r="AA904" t="inlineStr">
        <is>
          <t>https://nvd.nist.gov/vuln/detail/CVE-2026-2876</t>
        </is>
      </c>
    </row>
    <row r="905">
      <c r="A905" t="inlineStr">
        <is>
          <t>CVE</t>
        </is>
      </c>
      <c r="B905" t="inlineStr">
        <is>
          <t>CVE-2026-2877</t>
        </is>
      </c>
      <c r="C905" t="inlineStr">
        <is>
          <t>A vulnerability has been found in Tenda A18 15.13.07.13. This affects the function strcpy of the file /goform/WifiExtraSet of the component Httpd Service. The manipulation of the argument wpapsk_crypto5g leads to stack-based buffer overflow. It is possible to initiate the attack remotely. The exploit has been disclosed to the public and may be used.</t>
        </is>
      </c>
      <c r="D905" t="n">
        <v>8.800000000000001</v>
      </c>
      <c r="E905" t="inlineStr">
        <is>
          <t>HIGH</t>
        </is>
      </c>
      <c r="F905" t="n">
        <v>2</v>
      </c>
      <c r="G905" t="n">
        <v>3</v>
      </c>
      <c r="H905" t="inlineStr">
        <is>
          <t>HIGH</t>
        </is>
      </c>
      <c r="I905" t="n">
        <v>14.8</v>
      </c>
      <c r="J905" t="inlineStr">
        <is>
          <t>NO</t>
        </is>
      </c>
      <c r="K905" t="inlineStr">
        <is>
          <t>2026-02-26 00:15</t>
        </is>
      </c>
      <c r="L905" t="inlineStr">
        <is>
          <t>CHECK_VENDOR</t>
        </is>
      </c>
      <c r="M905" t="inlineStr">
        <is>
          <t>tenda a18 - | tenda a18_firmware 15.13.07.13</t>
        </is>
      </c>
      <c r="N905" t="inlineStr">
        <is>
          <t>P3</t>
        </is>
      </c>
      <c r="O905" t="inlineStr">
        <is>
          <t>CVE - IP enrichment n/a</t>
        </is>
      </c>
      <c r="P905" t="n">
        <v>0</v>
      </c>
      <c r="Q905" t="n">
        <v>0</v>
      </c>
      <c r="R905" t="inlineStr">
        <is>
          <t>T1203:Exploitation for Client Execution</t>
        </is>
      </c>
      <c r="S905" t="n">
        <v>1</v>
      </c>
      <c r="T905" t="inlineStr">
        <is>
          <t>LOW (40%)</t>
        </is>
      </c>
      <c r="U905" t="inlineStr">
        <is>
          <t>UNLIKELY</t>
        </is>
      </c>
      <c r="V905" t="inlineStr">
        <is>
          <t>CHECK_VENDOR</t>
        </is>
      </c>
      <c r="W905" t="inlineStr">
        <is>
          <t>https://nvd.nist.gov/vuln/detail/CVE-2026-2877</t>
        </is>
      </c>
      <c r="X905" t="inlineStr">
        <is>
          <t>NONE</t>
        </is>
      </c>
      <c r="Y905" t="n">
        <v>0</v>
      </c>
      <c r="Z905" t="inlineStr"/>
      <c r="AA905" t="inlineStr">
        <is>
          <t>https://nvd.nist.gov/vuln/detail/CVE-2026-2877</t>
        </is>
      </c>
    </row>
    <row r="906">
      <c r="A906" t="inlineStr">
        <is>
          <t>CVE</t>
        </is>
      </c>
      <c r="B906" t="inlineStr">
        <is>
          <t>CVE-2026-2881</t>
        </is>
      </c>
      <c r="C906" t="inlineStr">
        <is>
          <t>A vulnerability has been found in D-Link DWR-M960 1.01.07. This vulnerability affects the function sub_425FF8 of the file /boafrm/formFirewallAdv of the component Advanced Firewall Configuration Endpoint. Such manipulation of the argument submit-url leads to stack-based buffer overflow. The attack may be launched remotely. The exploit has been disclosed to the public and may be used.</t>
        </is>
      </c>
      <c r="D906" t="n">
        <v>8.800000000000001</v>
      </c>
      <c r="E906" t="inlineStr">
        <is>
          <t>HIGH</t>
        </is>
      </c>
      <c r="F906" t="n">
        <v>2</v>
      </c>
      <c r="G906" t="n">
        <v>3</v>
      </c>
      <c r="H906" t="inlineStr">
        <is>
          <t>HIGH</t>
        </is>
      </c>
      <c r="I906" t="n">
        <v>14.8</v>
      </c>
      <c r="J906" t="inlineStr">
        <is>
          <t>NO</t>
        </is>
      </c>
      <c r="K906" t="inlineStr">
        <is>
          <t>2026-02-26 00:15</t>
        </is>
      </c>
      <c r="L906" t="inlineStr">
        <is>
          <t>CHECK_VENDOR</t>
        </is>
      </c>
      <c r="M906" t="inlineStr">
        <is>
          <t>dlink dwr-m960 b1 | dlink dwr-m960_firmware 1.01.07</t>
        </is>
      </c>
      <c r="N906" t="inlineStr">
        <is>
          <t>P3</t>
        </is>
      </c>
      <c r="O906" t="inlineStr">
        <is>
          <t>CVE - IP enrichment n/a</t>
        </is>
      </c>
      <c r="P906" t="n">
        <v>0</v>
      </c>
      <c r="Q906" t="n">
        <v>0</v>
      </c>
      <c r="R906" t="inlineStr">
        <is>
          <t>T1203:Exploitation for Client Execution | T1562:Impair Defenses</t>
        </is>
      </c>
      <c r="S906" t="n">
        <v>1</v>
      </c>
      <c r="T906" t="inlineStr">
        <is>
          <t>LOW (40%)</t>
        </is>
      </c>
      <c r="U906" t="inlineStr">
        <is>
          <t>UNLIKELY</t>
        </is>
      </c>
      <c r="V906" t="inlineStr">
        <is>
          <t>CHECK_VENDOR</t>
        </is>
      </c>
      <c r="W906" t="inlineStr">
        <is>
          <t>https://nvd.nist.gov/vuln/detail/CVE-2026-2881</t>
        </is>
      </c>
      <c r="X906" t="inlineStr">
        <is>
          <t>NONE</t>
        </is>
      </c>
      <c r="Y906" t="n">
        <v>0</v>
      </c>
      <c r="Z906" t="inlineStr"/>
      <c r="AA906" t="inlineStr">
        <is>
          <t>https://nvd.nist.gov/vuln/detail/CVE-2026-2881</t>
        </is>
      </c>
    </row>
    <row r="907">
      <c r="A907" t="inlineStr">
        <is>
          <t>CVE</t>
        </is>
      </c>
      <c r="B907" t="inlineStr">
        <is>
          <t>CVE-2026-2882</t>
        </is>
      </c>
      <c r="C907" t="inlineStr">
        <is>
          <t>A vulnerability was found in D-Link DWR-M960 1.01.07. This issue affects the function sub_46385C of the file /boafrm/formDosCfg. Performing a manipulation of the argument submit-url results in stack-based buffer overflow. Remote exploitation of the attack is possible. The exploit has been made public and could be used.</t>
        </is>
      </c>
      <c r="D907" t="n">
        <v>8.800000000000001</v>
      </c>
      <c r="E907" t="inlineStr">
        <is>
          <t>HIGH</t>
        </is>
      </c>
      <c r="F907" t="n">
        <v>2</v>
      </c>
      <c r="G907" t="n">
        <v>3</v>
      </c>
      <c r="H907" t="inlineStr">
        <is>
          <t>HIGH</t>
        </is>
      </c>
      <c r="I907" t="n">
        <v>14.8</v>
      </c>
      <c r="J907" t="inlineStr">
        <is>
          <t>NO</t>
        </is>
      </c>
      <c r="K907" t="inlineStr">
        <is>
          <t>2026-02-26 00:15</t>
        </is>
      </c>
      <c r="L907" t="inlineStr">
        <is>
          <t>CHECK_VENDOR</t>
        </is>
      </c>
      <c r="M907" t="inlineStr">
        <is>
          <t>dlink dwr-m960 b1 | dlink dwr-m960_firmware 1.01.07</t>
        </is>
      </c>
      <c r="N907" t="inlineStr">
        <is>
          <t>P3</t>
        </is>
      </c>
      <c r="O907" t="inlineStr">
        <is>
          <t>CVE - IP enrichment n/a</t>
        </is>
      </c>
      <c r="P907" t="n">
        <v>0.0003</v>
      </c>
      <c r="Q907" t="n">
        <v>0.0823</v>
      </c>
      <c r="R907" t="inlineStr">
        <is>
          <t>T1203:Exploitation for Client Execution</t>
        </is>
      </c>
      <c r="S907" t="n">
        <v>1</v>
      </c>
      <c r="T907" t="inlineStr">
        <is>
          <t>LOW (40%)</t>
        </is>
      </c>
      <c r="U907" t="inlineStr">
        <is>
          <t>UNLIKELY</t>
        </is>
      </c>
      <c r="V907" t="inlineStr">
        <is>
          <t>CHECK_VENDOR</t>
        </is>
      </c>
      <c r="W907" t="inlineStr">
        <is>
          <t>https://nvd.nist.gov/vuln/detail/CVE-2026-2882</t>
        </is>
      </c>
      <c r="X907" t="inlineStr">
        <is>
          <t>NONE</t>
        </is>
      </c>
      <c r="Y907" t="n">
        <v>0</v>
      </c>
      <c r="Z907" t="inlineStr"/>
      <c r="AA907" t="inlineStr">
        <is>
          <t>https://nvd.nist.gov/vuln/detail/CVE-2026-2882</t>
        </is>
      </c>
    </row>
    <row r="908">
      <c r="A908" t="inlineStr">
        <is>
          <t>CVE</t>
        </is>
      </c>
      <c r="B908" t="inlineStr">
        <is>
          <t>CVE-2026-2883</t>
        </is>
      </c>
      <c r="C908" t="inlineStr">
        <is>
          <t>A vulnerability was determined in D-Link DWR-M960 1.01.07. Impacted is the function sub_427D74 of the file /boafrm/formIpQoS. Executing a manipulation of the argument submit-url can lead to stack-based buffer overflow. The attack can be executed remotely. The exploit has been publicly disclosed and may be utilized.</t>
        </is>
      </c>
      <c r="D908" t="n">
        <v>8.800000000000001</v>
      </c>
      <c r="E908" t="inlineStr">
        <is>
          <t>HIGH</t>
        </is>
      </c>
      <c r="F908" t="n">
        <v>2</v>
      </c>
      <c r="G908" t="n">
        <v>3</v>
      </c>
      <c r="H908" t="inlineStr">
        <is>
          <t>HIGH</t>
        </is>
      </c>
      <c r="I908" t="n">
        <v>14.8</v>
      </c>
      <c r="J908" t="inlineStr">
        <is>
          <t>NO</t>
        </is>
      </c>
      <c r="K908" t="inlineStr">
        <is>
          <t>2026-02-26 00:15</t>
        </is>
      </c>
      <c r="L908" t="inlineStr">
        <is>
          <t>CHECK_VENDOR</t>
        </is>
      </c>
      <c r="M908" t="inlineStr">
        <is>
          <t>dlink dwr-m960 b1 | dlink dwr-m960_firmware 1.01.07</t>
        </is>
      </c>
      <c r="N908" t="inlineStr">
        <is>
          <t>P3</t>
        </is>
      </c>
      <c r="O908" t="inlineStr">
        <is>
          <t>CVE - IP enrichment n/a</t>
        </is>
      </c>
      <c r="P908" t="n">
        <v>0</v>
      </c>
      <c r="Q908" t="n">
        <v>0</v>
      </c>
      <c r="R908" t="inlineStr">
        <is>
          <t>T1203:Exploitation for Client Execution</t>
        </is>
      </c>
      <c r="S908" t="n">
        <v>1</v>
      </c>
      <c r="T908" t="inlineStr">
        <is>
          <t>LOW (40%)</t>
        </is>
      </c>
      <c r="U908" t="inlineStr">
        <is>
          <t>UNLIKELY</t>
        </is>
      </c>
      <c r="V908" t="inlineStr">
        <is>
          <t>CHECK_VENDOR</t>
        </is>
      </c>
      <c r="W908" t="inlineStr">
        <is>
          <t>https://nvd.nist.gov/vuln/detail/CVE-2026-2883</t>
        </is>
      </c>
      <c r="X908" t="inlineStr">
        <is>
          <t>NONE</t>
        </is>
      </c>
      <c r="Y908" t="n">
        <v>0</v>
      </c>
      <c r="Z908" t="inlineStr"/>
      <c r="AA908" t="inlineStr">
        <is>
          <t>https://nvd.nist.gov/vuln/detail/CVE-2026-2883</t>
        </is>
      </c>
    </row>
    <row r="909">
      <c r="A909" t="inlineStr">
        <is>
          <t>CVE</t>
        </is>
      </c>
      <c r="B909" t="inlineStr">
        <is>
          <t>CVE-2026-2884</t>
        </is>
      </c>
      <c r="C909" t="inlineStr">
        <is>
          <t>A vulnerability was identified in D-Link DWR-M960 1.01.07. The affected element is the function sub_41914C of the file /boafrm/formWanConfigSetup of the component WAN Interface Setting Handler. The manipulation of the argument submit-url leads to stack-based buffer overflow. The attack is possible to be carried out remotely. The exploit is publicly available and might be used.</t>
        </is>
      </c>
      <c r="D909" t="n">
        <v>8.800000000000001</v>
      </c>
      <c r="E909" t="inlineStr">
        <is>
          <t>HIGH</t>
        </is>
      </c>
      <c r="F909" t="n">
        <v>2</v>
      </c>
      <c r="G909" t="n">
        <v>3</v>
      </c>
      <c r="H909" t="inlineStr">
        <is>
          <t>HIGH</t>
        </is>
      </c>
      <c r="I909" t="n">
        <v>14.8</v>
      </c>
      <c r="J909" t="inlineStr">
        <is>
          <t>NO</t>
        </is>
      </c>
      <c r="K909" t="inlineStr">
        <is>
          <t>2026-02-26 00:15</t>
        </is>
      </c>
      <c r="L909" t="inlineStr">
        <is>
          <t>CHECK_VENDOR</t>
        </is>
      </c>
      <c r="M909" t="inlineStr">
        <is>
          <t>dlink dwr-m960 b1 | dlink dwr-m960_firmware 1.01.07</t>
        </is>
      </c>
      <c r="N909" t="inlineStr">
        <is>
          <t>P3</t>
        </is>
      </c>
      <c r="O909" t="inlineStr">
        <is>
          <t>CVE - IP enrichment n/a</t>
        </is>
      </c>
      <c r="P909" t="n">
        <v>0</v>
      </c>
      <c r="Q909" t="n">
        <v>0</v>
      </c>
      <c r="R909" t="inlineStr">
        <is>
          <t>T1203:Exploitation for Client Execution</t>
        </is>
      </c>
      <c r="S909" t="n">
        <v>1</v>
      </c>
      <c r="T909" t="inlineStr">
        <is>
          <t>LOW (40%)</t>
        </is>
      </c>
      <c r="U909" t="inlineStr">
        <is>
          <t>UNLIKELY</t>
        </is>
      </c>
      <c r="V909" t="inlineStr">
        <is>
          <t>CHECK_VENDOR</t>
        </is>
      </c>
      <c r="W909" t="inlineStr">
        <is>
          <t>https://nvd.nist.gov/vuln/detail/CVE-2026-2884</t>
        </is>
      </c>
      <c r="X909" t="inlineStr">
        <is>
          <t>NONE</t>
        </is>
      </c>
      <c r="Y909" t="n">
        <v>0</v>
      </c>
      <c r="Z909" t="inlineStr"/>
      <c r="AA909" t="inlineStr">
        <is>
          <t>https://nvd.nist.gov/vuln/detail/CVE-2026-2884</t>
        </is>
      </c>
    </row>
    <row r="910">
      <c r="A910" t="inlineStr">
        <is>
          <t>CVE</t>
        </is>
      </c>
      <c r="B910" t="inlineStr">
        <is>
          <t>CVE-2026-2885</t>
        </is>
      </c>
      <c r="C910" t="inlineStr">
        <is>
          <t>A security flaw has been discovered in D-Link DWR-M960 1.01.07. The impacted element is the function sub_469104 of the file /boafrm/formIpv6Setup. The manipulation of the argument submit-url results in stack-based buffer overflow. The attack may be performed from remote. The exploit has been released to the public and may be used for attacks.</t>
        </is>
      </c>
      <c r="D910" t="n">
        <v>8.800000000000001</v>
      </c>
      <c r="E910" t="inlineStr">
        <is>
          <t>HIGH</t>
        </is>
      </c>
      <c r="F910" t="n">
        <v>2</v>
      </c>
      <c r="G910" t="n">
        <v>3</v>
      </c>
      <c r="H910" t="inlineStr">
        <is>
          <t>HIGH</t>
        </is>
      </c>
      <c r="I910" t="n">
        <v>14.8</v>
      </c>
      <c r="J910" t="inlineStr">
        <is>
          <t>NO</t>
        </is>
      </c>
      <c r="K910" t="inlineStr">
        <is>
          <t>2026-02-26 00:15</t>
        </is>
      </c>
      <c r="L910" t="inlineStr">
        <is>
          <t>CHECK_VENDOR</t>
        </is>
      </c>
      <c r="M910" t="inlineStr">
        <is>
          <t>dlink dwr-m960 b1 | dlink dwr-m960_firmware 1.01.07</t>
        </is>
      </c>
      <c r="N910" t="inlineStr">
        <is>
          <t>P3</t>
        </is>
      </c>
      <c r="O910" t="inlineStr">
        <is>
          <t>CVE - IP enrichment n/a</t>
        </is>
      </c>
      <c r="P910" t="n">
        <v>0</v>
      </c>
      <c r="Q910" t="n">
        <v>0</v>
      </c>
      <c r="R910" t="inlineStr">
        <is>
          <t>T1203:Exploitation for Client Execution</t>
        </is>
      </c>
      <c r="S910" t="n">
        <v>1</v>
      </c>
      <c r="T910" t="inlineStr">
        <is>
          <t>LOW (40%)</t>
        </is>
      </c>
      <c r="U910" t="inlineStr">
        <is>
          <t>UNLIKELY</t>
        </is>
      </c>
      <c r="V910" t="inlineStr">
        <is>
          <t>CHECK_VENDOR</t>
        </is>
      </c>
      <c r="W910" t="inlineStr">
        <is>
          <t>https://nvd.nist.gov/vuln/detail/CVE-2026-2885</t>
        </is>
      </c>
      <c r="X910" t="inlineStr">
        <is>
          <t>NONE</t>
        </is>
      </c>
      <c r="Y910" t="n">
        <v>0</v>
      </c>
      <c r="Z910" t="inlineStr"/>
      <c r="AA910" t="inlineStr">
        <is>
          <t>https://nvd.nist.gov/vuln/detail/CVE-2026-2885</t>
        </is>
      </c>
    </row>
    <row r="911">
      <c r="A911" t="inlineStr">
        <is>
          <t>CVE</t>
        </is>
      </c>
      <c r="B911" t="inlineStr">
        <is>
          <t>CVE-2026-2886</t>
        </is>
      </c>
      <c r="C911" t="inlineStr">
        <is>
          <t>A weakness has been identified in Tenda A21 1.0.0.0. This affects the function set_device_name of the file /goform/SetOnlineDevName. This manipulation of the argument devName causes stack-based buffer overflow. It is possible to initiate the attack remotely. The exploit has been made available to the public and could be used for attacks.</t>
        </is>
      </c>
      <c r="D911" t="n">
        <v>8.800000000000001</v>
      </c>
      <c r="E911" t="inlineStr">
        <is>
          <t>HIGH</t>
        </is>
      </c>
      <c r="F911" t="n">
        <v>2</v>
      </c>
      <c r="G911" t="n">
        <v>3</v>
      </c>
      <c r="H911" t="inlineStr">
        <is>
          <t>HIGH</t>
        </is>
      </c>
      <c r="I911" t="n">
        <v>14.8</v>
      </c>
      <c r="J911" t="inlineStr">
        <is>
          <t>NO</t>
        </is>
      </c>
      <c r="K911" t="inlineStr">
        <is>
          <t>2026-02-26 00:15</t>
        </is>
      </c>
      <c r="L911" t="inlineStr">
        <is>
          <t>YES</t>
        </is>
      </c>
      <c r="M911" t="inlineStr">
        <is>
          <t>tenda a21_firmware 1.0.0.0 | tenda a21 -</t>
        </is>
      </c>
      <c r="N911" t="inlineStr">
        <is>
          <t>P3</t>
        </is>
      </c>
      <c r="O911" t="inlineStr">
        <is>
          <t>CVE - IP enrichment n/a</t>
        </is>
      </c>
      <c r="P911" t="n">
        <v>0.0008</v>
      </c>
      <c r="Q911" t="n">
        <v>0.2368</v>
      </c>
      <c r="R911" t="inlineStr">
        <is>
          <t>T1203:Exploitation for Client Execution</t>
        </is>
      </c>
      <c r="S911" t="n">
        <v>1</v>
      </c>
      <c r="T911" t="inlineStr">
        <is>
          <t>LOW (40%)</t>
        </is>
      </c>
      <c r="U911" t="inlineStr">
        <is>
          <t>UNLIKELY</t>
        </is>
      </c>
      <c r="V911" t="inlineStr">
        <is>
          <t>PATCH_AVAILABLE</t>
        </is>
      </c>
      <c r="W911" t="inlineStr">
        <is>
          <t>https://nvd.nist.gov/vuln/detail/CVE-2026-2886</t>
        </is>
      </c>
      <c r="X911" t="inlineStr">
        <is>
          <t>NONE</t>
        </is>
      </c>
      <c r="Y911" t="n">
        <v>0</v>
      </c>
      <c r="Z911" t="inlineStr"/>
      <c r="AA911" t="inlineStr">
        <is>
          <t>https://nvd.nist.gov/vuln/detail/CVE-2026-2886</t>
        </is>
      </c>
    </row>
    <row r="912">
      <c r="A912" t="inlineStr">
        <is>
          <t>CVE</t>
        </is>
      </c>
      <c r="B912" t="inlineStr">
        <is>
          <t>CVE-2026-2887</t>
        </is>
      </c>
      <c r="C912" t="inlineStr">
        <is>
          <t>A security vulnerability has been detected in aardappel lobster up to 2025.4. This impacts the function lobster::TypeName in the library dev/src/lobster/idents.h. Such manipulation leads to uncontrolled recursion. The attack can only be performed from a local environment. The exploit has been disclosed publicly and may be used. Upgrading to version 2026.1 will fix this issue. The name of the patch is 8ba49f98ccfc9734ef352146806433a41d9f9aa6. It is advisable to upgrade the affected component.</t>
        </is>
      </c>
      <c r="D912" t="n">
        <v>3.3</v>
      </c>
      <c r="E912" t="inlineStr">
        <is>
          <t>LOW</t>
        </is>
      </c>
      <c r="F912" t="n">
        <v>2</v>
      </c>
      <c r="G912" t="n">
        <v>1</v>
      </c>
      <c r="H912" t="inlineStr">
        <is>
          <t>LOW</t>
        </is>
      </c>
      <c r="I912" t="n">
        <v>5.3</v>
      </c>
      <c r="J912" t="inlineStr">
        <is>
          <t>NO</t>
        </is>
      </c>
      <c r="K912" t="inlineStr">
        <is>
          <t>2026-02-26 00:15</t>
        </is>
      </c>
      <c r="L912" t="inlineStr">
        <is>
          <t>CHECK_VENDOR</t>
        </is>
      </c>
      <c r="M912" t="inlineStr">
        <is>
          <t>See CVE details</t>
        </is>
      </c>
      <c r="N912" t="inlineStr">
        <is>
          <t>P4</t>
        </is>
      </c>
      <c r="O912" t="inlineStr">
        <is>
          <t>CVE - IP enrichment n/a</t>
        </is>
      </c>
      <c r="P912" t="n">
        <v>0</v>
      </c>
      <c r="Q912" t="n">
        <v>0</v>
      </c>
      <c r="R912" t="inlineStr">
        <is>
          <t>T1190:Exploit Public-Facing Application</t>
        </is>
      </c>
      <c r="S912" t="n">
        <v>1</v>
      </c>
      <c r="T912" t="inlineStr">
        <is>
          <t>LOW (40%)</t>
        </is>
      </c>
      <c r="U912" t="inlineStr">
        <is>
          <t>UNLIKELY</t>
        </is>
      </c>
      <c r="V912" t="inlineStr">
        <is>
          <t>CHECK_VENDOR</t>
        </is>
      </c>
      <c r="W912" t="inlineStr">
        <is>
          <t>https://nvd.nist.gov/vuln/detail/CVE-2026-2887</t>
        </is>
      </c>
      <c r="X912" t="inlineStr">
        <is>
          <t>NONE</t>
        </is>
      </c>
      <c r="Y912" t="n">
        <v>0</v>
      </c>
      <c r="Z912" t="inlineStr"/>
      <c r="AA912" t="inlineStr">
        <is>
          <t>https://nvd.nist.gov/vuln/detail/CVE-2026-2887</t>
        </is>
      </c>
    </row>
    <row r="913">
      <c r="A913" t="inlineStr">
        <is>
          <t>CVE</t>
        </is>
      </c>
      <c r="B913" t="inlineStr">
        <is>
          <t>CVE-2026-2889</t>
        </is>
      </c>
      <c r="C913" t="inlineStr">
        <is>
          <t>A vulnerability was detected in CCExtractor up to 0.96.5. Affected is the function processmp4 in the library src/lib_ccx/mp4.c. Performing a manipulation results in use after free. The attack is only possible with local access. The exploit is now public and may be used. Upgrading to version 0.96.6 is able to address this issue. The patch is named fd7271bae238ccb3ae8a71304ea64f0886324925. You should upgrade the affected component.</t>
        </is>
      </c>
      <c r="D913" t="n">
        <v>3.3</v>
      </c>
      <c r="E913" t="inlineStr">
        <is>
          <t>LOW</t>
        </is>
      </c>
      <c r="F913" t="n">
        <v>2</v>
      </c>
      <c r="G913" t="n">
        <v>1</v>
      </c>
      <c r="H913" t="inlineStr">
        <is>
          <t>LOW</t>
        </is>
      </c>
      <c r="I913" t="n">
        <v>5.3</v>
      </c>
      <c r="J913" t="inlineStr">
        <is>
          <t>NO</t>
        </is>
      </c>
      <c r="K913" t="inlineStr">
        <is>
          <t>2026-02-26 00:15</t>
        </is>
      </c>
      <c r="L913" t="inlineStr">
        <is>
          <t>CHECK_VENDOR</t>
        </is>
      </c>
      <c r="M913" t="inlineStr">
        <is>
          <t>See CVE details</t>
        </is>
      </c>
      <c r="N913" t="inlineStr">
        <is>
          <t>P4</t>
        </is>
      </c>
      <c r="O913" t="inlineStr">
        <is>
          <t>CVE - IP enrichment n/a</t>
        </is>
      </c>
      <c r="P913" t="n">
        <v>0</v>
      </c>
      <c r="Q913" t="n">
        <v>0</v>
      </c>
      <c r="R913" t="inlineStr">
        <is>
          <t>T1203:Exploitation for Client Execution</t>
        </is>
      </c>
      <c r="S913" t="n">
        <v>1</v>
      </c>
      <c r="T913" t="inlineStr">
        <is>
          <t>LOW (40%)</t>
        </is>
      </c>
      <c r="U913" t="inlineStr">
        <is>
          <t>UNLIKELY</t>
        </is>
      </c>
      <c r="V913" t="inlineStr">
        <is>
          <t>CHECK_VENDOR</t>
        </is>
      </c>
      <c r="W913" t="inlineStr">
        <is>
          <t>https://nvd.nist.gov/vuln/detail/CVE-2026-2889</t>
        </is>
      </c>
      <c r="X913" t="inlineStr">
        <is>
          <t>NONE</t>
        </is>
      </c>
      <c r="Y913" t="n">
        <v>0</v>
      </c>
      <c r="Z913" t="inlineStr"/>
      <c r="AA913" t="inlineStr">
        <is>
          <t>https://nvd.nist.gov/vuln/detail/CVE-2026-2889</t>
        </is>
      </c>
    </row>
    <row r="914">
      <c r="A914" t="inlineStr">
        <is>
          <t>CVE</t>
        </is>
      </c>
      <c r="B914" t="inlineStr">
        <is>
          <t>CVE-2026-2894</t>
        </is>
      </c>
      <c r="C914" t="inlineStr">
        <is>
          <t>A vulnerability was identified in funadmin up to 7.1.0-rc4. Affected by this vulnerability is the function getMember of the file app/frontend/view/login/forget.html. Such manipulation leads to information disclosure. The attack may be launched remotely. The exploit is publicly available and might be used. The vendor was contacted early about this disclosure but did not respond in any way.</t>
        </is>
      </c>
      <c r="D914" t="n">
        <v>5.3</v>
      </c>
      <c r="E914" t="inlineStr">
        <is>
          <t>MEDIUM</t>
        </is>
      </c>
      <c r="F914" t="n">
        <v>2</v>
      </c>
      <c r="G914" t="n">
        <v>2</v>
      </c>
      <c r="H914" t="inlineStr">
        <is>
          <t>MEDIUM</t>
        </is>
      </c>
      <c r="I914" t="n">
        <v>9.300000000000001</v>
      </c>
      <c r="J914" t="inlineStr">
        <is>
          <t>NO</t>
        </is>
      </c>
      <c r="K914" t="inlineStr">
        <is>
          <t>2026-02-26 00:15</t>
        </is>
      </c>
      <c r="L914" t="inlineStr">
        <is>
          <t>CHECK_VENDOR</t>
        </is>
      </c>
      <c r="M914" t="inlineStr">
        <is>
          <t>funadmin funadmin * | funadmin funadmin 7.1.0</t>
        </is>
      </c>
      <c r="N914" t="inlineStr">
        <is>
          <t>P4</t>
        </is>
      </c>
      <c r="O914" t="inlineStr">
        <is>
          <t>CVE - IP enrichment n/a</t>
        </is>
      </c>
      <c r="P914" t="n">
        <v>0</v>
      </c>
      <c r="Q914" t="n">
        <v>0</v>
      </c>
      <c r="R914" t="inlineStr">
        <is>
          <t>T1213:Data from Information Repositories</t>
        </is>
      </c>
      <c r="S914" t="n">
        <v>1</v>
      </c>
      <c r="T914" t="inlineStr">
        <is>
          <t>LOW (40%)</t>
        </is>
      </c>
      <c r="U914" t="inlineStr">
        <is>
          <t>UNLIKELY</t>
        </is>
      </c>
      <c r="V914" t="inlineStr">
        <is>
          <t>CHECK_VENDOR</t>
        </is>
      </c>
      <c r="W914" t="inlineStr">
        <is>
          <t>https://nvd.nist.gov/vuln/detail/CVE-2026-2894</t>
        </is>
      </c>
      <c r="X914" t="inlineStr">
        <is>
          <t>NONE</t>
        </is>
      </c>
      <c r="Y914" t="n">
        <v>0</v>
      </c>
      <c r="Z914" t="inlineStr"/>
      <c r="AA914" t="inlineStr">
        <is>
          <t>https://nvd.nist.gov/vuln/detail/CVE-2026-2894</t>
        </is>
      </c>
    </row>
    <row r="915">
      <c r="A915" t="inlineStr">
        <is>
          <t>CVE</t>
        </is>
      </c>
      <c r="B915" t="inlineStr">
        <is>
          <t>CVE-2026-2895</t>
        </is>
      </c>
      <c r="C915" t="inlineStr">
        <is>
          <t>A security flaw has been discovered in funadmin up to 7.1.0-rc4. Affected by this issue is the function repass of the file app/frontend/controller/Member.php. Performing a manipulation of the argument forget_code/vercode results in weak password recovery. Remote exploitation of the attack is possible. The attack's complexity is rated as high. The exploitation is known to be difficult. The exploit has been released to the public and may be used for attacks. The vendor was contacted early about th</t>
        </is>
      </c>
      <c r="D915" t="n">
        <v>3.7</v>
      </c>
      <c r="E915" t="inlineStr">
        <is>
          <t>LOW</t>
        </is>
      </c>
      <c r="F915" t="n">
        <v>2</v>
      </c>
      <c r="G915" t="n">
        <v>1</v>
      </c>
      <c r="H915" t="inlineStr">
        <is>
          <t>LOW</t>
        </is>
      </c>
      <c r="I915" t="n">
        <v>5.7</v>
      </c>
      <c r="J915" t="inlineStr">
        <is>
          <t>NO</t>
        </is>
      </c>
      <c r="K915" t="inlineStr">
        <is>
          <t>2026-02-26 00:15</t>
        </is>
      </c>
      <c r="L915" t="inlineStr">
        <is>
          <t>CHECK_VENDOR</t>
        </is>
      </c>
      <c r="M915" t="inlineStr">
        <is>
          <t>funadmin funadmin * | funadmin funadmin 7.1.0</t>
        </is>
      </c>
      <c r="N915" t="inlineStr">
        <is>
          <t>P4</t>
        </is>
      </c>
      <c r="O915" t="inlineStr">
        <is>
          <t>CVE - IP enrichment n/a</t>
        </is>
      </c>
      <c r="P915" t="n">
        <v>0.0007</v>
      </c>
      <c r="Q915" t="n">
        <v>0.2233</v>
      </c>
      <c r="R915" t="inlineStr">
        <is>
          <t>T1190:Exploit Public-Facing Application</t>
        </is>
      </c>
      <c r="S915" t="n">
        <v>1</v>
      </c>
      <c r="T915" t="inlineStr">
        <is>
          <t>LOW (40%)</t>
        </is>
      </c>
      <c r="U915" t="inlineStr">
        <is>
          <t>UNLIKELY</t>
        </is>
      </c>
      <c r="V915" t="inlineStr">
        <is>
          <t>CHECK_VENDOR</t>
        </is>
      </c>
      <c r="W915" t="inlineStr">
        <is>
          <t>https://nvd.nist.gov/vuln/detail/CVE-2026-2895</t>
        </is>
      </c>
      <c r="X915" t="inlineStr">
        <is>
          <t>NONE</t>
        </is>
      </c>
      <c r="Y915" t="n">
        <v>0</v>
      </c>
      <c r="Z915" t="inlineStr"/>
      <c r="AA915" t="inlineStr">
        <is>
          <t>https://nvd.nist.gov/vuln/detail/CVE-2026-2895</t>
        </is>
      </c>
    </row>
    <row r="916">
      <c r="A916" t="inlineStr">
        <is>
          <t>CVE</t>
        </is>
      </c>
      <c r="B916" t="inlineStr">
        <is>
          <t>CVE-2026-2896</t>
        </is>
      </c>
      <c r="C916" t="inlineStr">
        <is>
          <t>A weakness has been identified in funadmin up to 7.1.0-rc4. This affects the function setConfig of the file app/backend/controller/Ajax.php of the component Configuration Handler. Executing a manipulation can lead to improper authorization. The attack can be executed remotely. The exploit has been made available to the public and could be used for attacks. The vendor was contacted early about this disclosure but did not respond in any way.</t>
        </is>
      </c>
      <c r="D916" t="n">
        <v>7.3</v>
      </c>
      <c r="E916" t="inlineStr">
        <is>
          <t>HIGH</t>
        </is>
      </c>
      <c r="F916" t="n">
        <v>2</v>
      </c>
      <c r="G916" t="n">
        <v>3</v>
      </c>
      <c r="H916" t="inlineStr">
        <is>
          <t>HIGH</t>
        </is>
      </c>
      <c r="I916" t="n">
        <v>13.3</v>
      </c>
      <c r="J916" t="inlineStr">
        <is>
          <t>NO</t>
        </is>
      </c>
      <c r="K916" t="inlineStr">
        <is>
          <t>2026-02-26 00:15</t>
        </is>
      </c>
      <c r="L916" t="inlineStr">
        <is>
          <t>CHECK_VENDOR</t>
        </is>
      </c>
      <c r="M916" t="inlineStr">
        <is>
          <t>funadmin funadmin * | funadmin funadmin 7.1.0</t>
        </is>
      </c>
      <c r="N916" t="inlineStr">
        <is>
          <t>P3</t>
        </is>
      </c>
      <c r="O916" t="inlineStr">
        <is>
          <t>CVE - IP enrichment n/a</t>
        </is>
      </c>
      <c r="P916" t="n">
        <v>0</v>
      </c>
      <c r="Q916" t="n">
        <v>0</v>
      </c>
      <c r="R916" t="inlineStr">
        <is>
          <t>T1190:Exploit Public-Facing Application</t>
        </is>
      </c>
      <c r="S916" t="n">
        <v>1</v>
      </c>
      <c r="T916" t="inlineStr">
        <is>
          <t>LOW (40%)</t>
        </is>
      </c>
      <c r="U916" t="inlineStr">
        <is>
          <t>UNLIKELY</t>
        </is>
      </c>
      <c r="V916" t="inlineStr">
        <is>
          <t>CHECK_VENDOR</t>
        </is>
      </c>
      <c r="W916" t="inlineStr">
        <is>
          <t>https://nvd.nist.gov/vuln/detail/CVE-2026-2896</t>
        </is>
      </c>
      <c r="X916" t="inlineStr">
        <is>
          <t>NONE</t>
        </is>
      </c>
      <c r="Y916" t="n">
        <v>0</v>
      </c>
      <c r="Z916" t="inlineStr"/>
      <c r="AA916" t="inlineStr">
        <is>
          <t>https://nvd.nist.gov/vuln/detail/CVE-2026-2896</t>
        </is>
      </c>
    </row>
    <row r="917">
      <c r="A917" t="inlineStr">
        <is>
          <t>CVE</t>
        </is>
      </c>
      <c r="B917" t="inlineStr">
        <is>
          <t>CVE-2026-2897</t>
        </is>
      </c>
      <c r="C917" t="inlineStr">
        <is>
          <t>A security vulnerability has been detected in funadmin up to 7.1.0-rc4. This vulnerability affects unknown code of the file app/backend/view/index/index.html of the component Backend Interface. The manipulation of the argument Value leads to cross site scripting. The attack is possible to be carried out remotely. The exploit has been disclosed publicly and may be used. The vendor was contacted early about this disclosure but did not respond in any way.</t>
        </is>
      </c>
      <c r="D917" t="n">
        <v>2.4</v>
      </c>
      <c r="E917" t="inlineStr">
        <is>
          <t>LOW</t>
        </is>
      </c>
      <c r="F917" t="n">
        <v>2</v>
      </c>
      <c r="G917" t="n">
        <v>1</v>
      </c>
      <c r="H917" t="inlineStr">
        <is>
          <t>LOW</t>
        </is>
      </c>
      <c r="I917" t="n">
        <v>4.4</v>
      </c>
      <c r="J917" t="inlineStr">
        <is>
          <t>NO</t>
        </is>
      </c>
      <c r="K917" t="inlineStr">
        <is>
          <t>2026-02-26 00:15</t>
        </is>
      </c>
      <c r="L917" t="inlineStr">
        <is>
          <t>CHECK_VENDOR</t>
        </is>
      </c>
      <c r="M917" t="inlineStr">
        <is>
          <t>funadmin funadmin * | funadmin funadmin 7.1.0</t>
        </is>
      </c>
      <c r="N917" t="inlineStr">
        <is>
          <t>P4</t>
        </is>
      </c>
      <c r="O917" t="inlineStr">
        <is>
          <t>CVE - IP enrichment n/a</t>
        </is>
      </c>
      <c r="P917" t="n">
        <v>0</v>
      </c>
      <c r="Q917" t="n">
        <v>0</v>
      </c>
      <c r="R917" t="inlineStr">
        <is>
          <t>T1189:Drive-by Compromise</t>
        </is>
      </c>
      <c r="S917" t="n">
        <v>1</v>
      </c>
      <c r="T917" t="inlineStr">
        <is>
          <t>LOW (40%)</t>
        </is>
      </c>
      <c r="U917" t="inlineStr">
        <is>
          <t>UNLIKELY</t>
        </is>
      </c>
      <c r="V917" t="inlineStr">
        <is>
          <t>CHECK_VENDOR</t>
        </is>
      </c>
      <c r="W917" t="inlineStr">
        <is>
          <t>https://nvd.nist.gov/vuln/detail/CVE-2026-2897</t>
        </is>
      </c>
      <c r="X917" t="inlineStr">
        <is>
          <t>NONE</t>
        </is>
      </c>
      <c r="Y917" t="n">
        <v>0</v>
      </c>
      <c r="Z917" t="inlineStr"/>
      <c r="AA917" t="inlineStr">
        <is>
          <t>https://nvd.nist.gov/vuln/detail/CVE-2026-2897</t>
        </is>
      </c>
    </row>
    <row r="918">
      <c r="A918" t="inlineStr">
        <is>
          <t>CVE</t>
        </is>
      </c>
      <c r="B918" t="inlineStr">
        <is>
          <t>CVE-2026-2898</t>
        </is>
      </c>
      <c r="C918" t="inlineStr">
        <is>
          <t>A vulnerability was detected in funadmin up to 7.1.0-rc4. This issue affects the function getMember of the file app/common/service/AuthCloudService.php of the component Backend Endpoint. The manipulation of the argument cloud_account results in deserialization. The attack may be performed from remote. The exploit is now public and may be used. The vendor was contacted early about this disclosure but did not respond in any way.</t>
        </is>
      </c>
      <c r="D918" t="n">
        <v>5.5</v>
      </c>
      <c r="E918" t="inlineStr">
        <is>
          <t>MEDIUM</t>
        </is>
      </c>
      <c r="F918" t="n">
        <v>2</v>
      </c>
      <c r="G918" t="n">
        <v>2</v>
      </c>
      <c r="H918" t="inlineStr">
        <is>
          <t>MEDIUM</t>
        </is>
      </c>
      <c r="I918" t="n">
        <v>9.5</v>
      </c>
      <c r="J918" t="inlineStr">
        <is>
          <t>NO</t>
        </is>
      </c>
      <c r="K918" t="inlineStr">
        <is>
          <t>2026-02-26 00:15</t>
        </is>
      </c>
      <c r="L918" t="inlineStr">
        <is>
          <t>CHECK_VENDOR</t>
        </is>
      </c>
      <c r="M918" t="inlineStr">
        <is>
          <t>funadmin funadmin * | funadmin funadmin 7.1.0</t>
        </is>
      </c>
      <c r="N918" t="inlineStr">
        <is>
          <t>P4</t>
        </is>
      </c>
      <c r="O918" t="inlineStr">
        <is>
          <t>CVE - IP enrichment n/a</t>
        </is>
      </c>
      <c r="P918" t="n">
        <v>0</v>
      </c>
      <c r="Q918" t="n">
        <v>0</v>
      </c>
      <c r="R918" t="inlineStr">
        <is>
          <t>T1059:Command and Scripting Interpreter</t>
        </is>
      </c>
      <c r="S918" t="n">
        <v>1</v>
      </c>
      <c r="T918" t="inlineStr">
        <is>
          <t>LOW (40%)</t>
        </is>
      </c>
      <c r="U918" t="inlineStr">
        <is>
          <t>UNLIKELY</t>
        </is>
      </c>
      <c r="V918" t="inlineStr">
        <is>
          <t>CHECK_VENDOR</t>
        </is>
      </c>
      <c r="W918" t="inlineStr">
        <is>
          <t>https://nvd.nist.gov/vuln/detail/CVE-2026-2898</t>
        </is>
      </c>
      <c r="X918" t="inlineStr">
        <is>
          <t>NONE</t>
        </is>
      </c>
      <c r="Y918" t="n">
        <v>0</v>
      </c>
      <c r="Z918" t="inlineStr"/>
      <c r="AA918" t="inlineStr">
        <is>
          <t>https://nvd.nist.gov/vuln/detail/CVE-2026-2898</t>
        </is>
      </c>
    </row>
    <row r="919">
      <c r="A919" t="inlineStr">
        <is>
          <t>CVE</t>
        </is>
      </c>
      <c r="B919" t="inlineStr">
        <is>
          <t>CVE-2026-2903</t>
        </is>
      </c>
      <c r="C919" t="inlineStr">
        <is>
          <t>A flaw has been found in skvadrik re2c up to 4.4. Impacted is the function check_and_merge_special_rules of the file src/parse/ast.cc. This manipulation causes null pointer dereference. The attack can only be executed locally. The exploit has been published and may be used. Patch name: febeb977936f9519a25d9fbd10ff8256358cdb97. It is suggested to install a patch to address this issue.</t>
        </is>
      </c>
      <c r="D919" t="n">
        <v>3.3</v>
      </c>
      <c r="E919" t="inlineStr">
        <is>
          <t>LOW</t>
        </is>
      </c>
      <c r="F919" t="n">
        <v>2</v>
      </c>
      <c r="G919" t="n">
        <v>1</v>
      </c>
      <c r="H919" t="inlineStr">
        <is>
          <t>LOW</t>
        </is>
      </c>
      <c r="I919" t="n">
        <v>5.3</v>
      </c>
      <c r="J919" t="inlineStr">
        <is>
          <t>NO</t>
        </is>
      </c>
      <c r="K919" t="inlineStr">
        <is>
          <t>2026-02-26 00:15</t>
        </is>
      </c>
      <c r="L919" t="inlineStr">
        <is>
          <t>CHECK_VENDOR</t>
        </is>
      </c>
      <c r="M919" t="inlineStr">
        <is>
          <t>See CVE details</t>
        </is>
      </c>
      <c r="N919" t="inlineStr">
        <is>
          <t>P4</t>
        </is>
      </c>
      <c r="O919" t="inlineStr">
        <is>
          <t>CVE - IP enrichment n/a</t>
        </is>
      </c>
      <c r="P919" t="n">
        <v>0.0001</v>
      </c>
      <c r="Q919" t="n">
        <v>0.0195</v>
      </c>
      <c r="R919" t="inlineStr">
        <is>
          <t>T1190:Exploit Public-Facing Application</t>
        </is>
      </c>
      <c r="S919" t="n">
        <v>1</v>
      </c>
      <c r="T919" t="inlineStr">
        <is>
          <t>LOW (40%)</t>
        </is>
      </c>
      <c r="U919" t="inlineStr">
        <is>
          <t>UNLIKELY</t>
        </is>
      </c>
      <c r="V919" t="inlineStr">
        <is>
          <t>CHECK_VENDOR</t>
        </is>
      </c>
      <c r="W919" t="inlineStr">
        <is>
          <t>https://nvd.nist.gov/vuln/detail/CVE-2026-2903</t>
        </is>
      </c>
      <c r="X919" t="inlineStr">
        <is>
          <t>NONE</t>
        </is>
      </c>
      <c r="Y919" t="n">
        <v>0</v>
      </c>
      <c r="Z919" t="inlineStr"/>
      <c r="AA919" t="inlineStr">
        <is>
          <t>https://nvd.nist.gov/vuln/detail/CVE-2026-2903</t>
        </is>
      </c>
    </row>
    <row r="920">
      <c r="A920" t="inlineStr">
        <is>
          <t>CVE</t>
        </is>
      </c>
      <c r="B920" t="inlineStr">
        <is>
          <t>CVE-2026-2904</t>
        </is>
      </c>
      <c r="C920" t="inlineStr">
        <is>
          <t>A vulnerability was determined in UTT HiPER 810G 1.7.7-171114. This affects the function strcpy of the file /goform/ConfigExceptAli. Executing a manipulation can lead to buffer overflow. The attack can be launched remotely. The exploit has been publicly disclosed and may be utilized.</t>
        </is>
      </c>
      <c r="D920" t="n">
        <v>8.800000000000001</v>
      </c>
      <c r="E920" t="inlineStr">
        <is>
          <t>HIGH</t>
        </is>
      </c>
      <c r="F920" t="n">
        <v>2</v>
      </c>
      <c r="G920" t="n">
        <v>3</v>
      </c>
      <c r="H920" t="inlineStr">
        <is>
          <t>HIGH</t>
        </is>
      </c>
      <c r="I920" t="n">
        <v>14.8</v>
      </c>
      <c r="J920" t="inlineStr">
        <is>
          <t>NO</t>
        </is>
      </c>
      <c r="K920" t="inlineStr">
        <is>
          <t>2026-02-26 00:15</t>
        </is>
      </c>
      <c r="L920" t="inlineStr">
        <is>
          <t>CHECK_VENDOR</t>
        </is>
      </c>
      <c r="M920" t="inlineStr">
        <is>
          <t>utt 810g_firmware * | utt 810g 3.0</t>
        </is>
      </c>
      <c r="N920" t="inlineStr">
        <is>
          <t>P3</t>
        </is>
      </c>
      <c r="O920" t="inlineStr">
        <is>
          <t>CVE - IP enrichment n/a</t>
        </is>
      </c>
      <c r="P920" t="n">
        <v>0</v>
      </c>
      <c r="Q920" t="n">
        <v>0</v>
      </c>
      <c r="R920" t="inlineStr">
        <is>
          <t>T1203:Exploitation for Client Execution</t>
        </is>
      </c>
      <c r="S920" t="n">
        <v>1</v>
      </c>
      <c r="T920" t="inlineStr">
        <is>
          <t>LOW (40%)</t>
        </is>
      </c>
      <c r="U920" t="inlineStr">
        <is>
          <t>UNLIKELY</t>
        </is>
      </c>
      <c r="V920" t="inlineStr">
        <is>
          <t>CHECK_VENDOR</t>
        </is>
      </c>
      <c r="W920" t="inlineStr">
        <is>
          <t>https://nvd.nist.gov/vuln/detail/CVE-2026-2904</t>
        </is>
      </c>
      <c r="X920" t="inlineStr">
        <is>
          <t>NONE</t>
        </is>
      </c>
      <c r="Y920" t="n">
        <v>0</v>
      </c>
      <c r="Z920" t="inlineStr"/>
      <c r="AA920" t="inlineStr">
        <is>
          <t>https://nvd.nist.gov/vuln/detail/CVE-2026-2904</t>
        </is>
      </c>
    </row>
    <row r="921">
      <c r="A921" t="inlineStr">
        <is>
          <t>CVE</t>
        </is>
      </c>
      <c r="B921" t="inlineStr">
        <is>
          <t>CVE-2026-2905</t>
        </is>
      </c>
      <c r="C921" t="inlineStr">
        <is>
          <t>A vulnerability was identified in Tenda HG9 300001138. This impacts an unknown function of the file /boaform/formWlanSetup of the component Wireless Configuration Endpoint. The manipulation of the argument ssid leads to stack-based buffer overflow. The attack may be initiated remotely. The exploit is publicly available and might be used.</t>
        </is>
      </c>
      <c r="D921" t="n">
        <v>8.800000000000001</v>
      </c>
      <c r="E921" t="inlineStr">
        <is>
          <t>HIGH</t>
        </is>
      </c>
      <c r="F921" t="n">
        <v>2</v>
      </c>
      <c r="G921" t="n">
        <v>3</v>
      </c>
      <c r="H921" t="inlineStr">
        <is>
          <t>HIGH</t>
        </is>
      </c>
      <c r="I921" t="n">
        <v>14.8</v>
      </c>
      <c r="J921" t="inlineStr">
        <is>
          <t>NO</t>
        </is>
      </c>
      <c r="K921" t="inlineStr">
        <is>
          <t>2026-02-26 00:15</t>
        </is>
      </c>
      <c r="L921" t="inlineStr">
        <is>
          <t>YES</t>
        </is>
      </c>
      <c r="M921" t="inlineStr">
        <is>
          <t>tenda hg9 - | tenda hg9_firmware 300001138</t>
        </is>
      </c>
      <c r="N921" t="inlineStr">
        <is>
          <t>P3</t>
        </is>
      </c>
      <c r="O921" t="inlineStr">
        <is>
          <t>CVE - IP enrichment n/a</t>
        </is>
      </c>
      <c r="P921" t="n">
        <v>0.0008</v>
      </c>
      <c r="Q921" t="n">
        <v>0.2368</v>
      </c>
      <c r="R921" t="inlineStr">
        <is>
          <t>T1203:Exploitation for Client Execution</t>
        </is>
      </c>
      <c r="S921" t="n">
        <v>1</v>
      </c>
      <c r="T921" t="inlineStr">
        <is>
          <t>LOW (40%)</t>
        </is>
      </c>
      <c r="U921" t="inlineStr">
        <is>
          <t>UNLIKELY</t>
        </is>
      </c>
      <c r="V921" t="inlineStr">
        <is>
          <t>PATCH_AVAILABLE</t>
        </is>
      </c>
      <c r="W921" t="inlineStr">
        <is>
          <t>https://nvd.nist.gov/vuln/detail/CVE-2026-2905</t>
        </is>
      </c>
      <c r="X921" t="inlineStr">
        <is>
          <t>NONE</t>
        </is>
      </c>
      <c r="Y921" t="n">
        <v>0</v>
      </c>
      <c r="Z921" t="inlineStr"/>
      <c r="AA921" t="inlineStr">
        <is>
          <t>https://nvd.nist.gov/vuln/detail/CVE-2026-2905</t>
        </is>
      </c>
    </row>
    <row r="922">
      <c r="A922" t="inlineStr">
        <is>
          <t>CVE</t>
        </is>
      </c>
      <c r="B922" t="inlineStr">
        <is>
          <t>CVE-2026-2906</t>
        </is>
      </c>
      <c r="C922" t="inlineStr">
        <is>
          <t>A security flaw has been discovered in Tenda HG9 300001138. Affected is an unknown function of the file /boaform/formSamba of the component Samba Configuration Endpoint. The manipulation of the argument sambaCap results in stack-based buffer overflow. The attack may be launched remotely. The exploit has been released to the public and may be used for attacks.</t>
        </is>
      </c>
      <c r="D922" t="n">
        <v>8.800000000000001</v>
      </c>
      <c r="E922" t="inlineStr">
        <is>
          <t>HIGH</t>
        </is>
      </c>
      <c r="F922" t="n">
        <v>2</v>
      </c>
      <c r="G922" t="n">
        <v>3</v>
      </c>
      <c r="H922" t="inlineStr">
        <is>
          <t>HIGH</t>
        </is>
      </c>
      <c r="I922" t="n">
        <v>14.8</v>
      </c>
      <c r="J922" t="inlineStr">
        <is>
          <t>NO</t>
        </is>
      </c>
      <c r="K922" t="inlineStr">
        <is>
          <t>2026-02-26 00:15</t>
        </is>
      </c>
      <c r="L922" t="inlineStr">
        <is>
          <t>YES</t>
        </is>
      </c>
      <c r="M922" t="inlineStr">
        <is>
          <t>tenda hg9 - | tenda hg9_firmware 300001138</t>
        </is>
      </c>
      <c r="N922" t="inlineStr">
        <is>
          <t>P3</t>
        </is>
      </c>
      <c r="O922" t="inlineStr">
        <is>
          <t>CVE - IP enrichment n/a</t>
        </is>
      </c>
      <c r="P922" t="n">
        <v>0</v>
      </c>
      <c r="Q922" t="n">
        <v>0</v>
      </c>
      <c r="R922" t="inlineStr">
        <is>
          <t>T1203:Exploitation for Client Execution</t>
        </is>
      </c>
      <c r="S922" t="n">
        <v>1</v>
      </c>
      <c r="T922" t="inlineStr">
        <is>
          <t>LOW (40%)</t>
        </is>
      </c>
      <c r="U922" t="inlineStr">
        <is>
          <t>UNLIKELY</t>
        </is>
      </c>
      <c r="V922" t="inlineStr">
        <is>
          <t>PATCH_AVAILABLE</t>
        </is>
      </c>
      <c r="W922" t="inlineStr">
        <is>
          <t>https://nvd.nist.gov/vuln/detail/CVE-2026-2906</t>
        </is>
      </c>
      <c r="X922" t="inlineStr">
        <is>
          <t>NONE</t>
        </is>
      </c>
      <c r="Y922" t="n">
        <v>0</v>
      </c>
      <c r="Z922" t="inlineStr"/>
      <c r="AA922" t="inlineStr">
        <is>
          <t>https://nvd.nist.gov/vuln/detail/CVE-2026-2906</t>
        </is>
      </c>
    </row>
    <row r="923">
      <c r="A923" t="inlineStr">
        <is>
          <t>CVE</t>
        </is>
      </c>
      <c r="B923" t="inlineStr">
        <is>
          <t>CVE-2026-2907</t>
        </is>
      </c>
      <c r="C923" t="inlineStr">
        <is>
          <t>A weakness has been identified in Tenda HG9 300001138. Affected by this vulnerability is an unknown functionality of the file /boaform/formgponConf of the component GPON Configuration Endpoint. This manipulation of the argument fmgpon_loid/fmgpon_loid_password causes stack-based buffer overflow. Remote exploitation of the attack is possible. The exploit has been made available to the public and could be used for attacks.</t>
        </is>
      </c>
      <c r="D923" t="n">
        <v>8.800000000000001</v>
      </c>
      <c r="E923" t="inlineStr">
        <is>
          <t>HIGH</t>
        </is>
      </c>
      <c r="F923" t="n">
        <v>2</v>
      </c>
      <c r="G923" t="n">
        <v>3</v>
      </c>
      <c r="H923" t="inlineStr">
        <is>
          <t>HIGH</t>
        </is>
      </c>
      <c r="I923" t="n">
        <v>14.8</v>
      </c>
      <c r="J923" t="inlineStr">
        <is>
          <t>NO</t>
        </is>
      </c>
      <c r="K923" t="inlineStr">
        <is>
          <t>2026-02-26 00:15</t>
        </is>
      </c>
      <c r="L923" t="inlineStr">
        <is>
          <t>YES</t>
        </is>
      </c>
      <c r="M923" t="inlineStr">
        <is>
          <t>tenda hg9 - | tenda hg9_firmware 300001138</t>
        </is>
      </c>
      <c r="N923" t="inlineStr">
        <is>
          <t>P3</t>
        </is>
      </c>
      <c r="O923" t="inlineStr">
        <is>
          <t>CVE - IP enrichment n/a</t>
        </is>
      </c>
      <c r="P923" t="n">
        <v>0</v>
      </c>
      <c r="Q923" t="n">
        <v>0</v>
      </c>
      <c r="R923" t="inlineStr">
        <is>
          <t>T1203:Exploitation for Client Execution</t>
        </is>
      </c>
      <c r="S923" t="n">
        <v>1</v>
      </c>
      <c r="T923" t="inlineStr">
        <is>
          <t>LOW (40%)</t>
        </is>
      </c>
      <c r="U923" t="inlineStr">
        <is>
          <t>UNLIKELY</t>
        </is>
      </c>
      <c r="V923" t="inlineStr">
        <is>
          <t>PATCH_AVAILABLE</t>
        </is>
      </c>
      <c r="W923" t="inlineStr">
        <is>
          <t>https://nvd.nist.gov/vuln/detail/CVE-2026-2907</t>
        </is>
      </c>
      <c r="X923" t="inlineStr">
        <is>
          <t>NONE</t>
        </is>
      </c>
      <c r="Y923" t="n">
        <v>0</v>
      </c>
      <c r="Z923" t="inlineStr"/>
      <c r="AA923" t="inlineStr">
        <is>
          <t>https://nvd.nist.gov/vuln/detail/CVE-2026-2907</t>
        </is>
      </c>
    </row>
    <row r="924">
      <c r="A924" t="inlineStr">
        <is>
          <t>CVE</t>
        </is>
      </c>
      <c r="B924" t="inlineStr">
        <is>
          <t>CVE-2026-2908</t>
        </is>
      </c>
      <c r="C924" t="inlineStr">
        <is>
          <t>A security vulnerability has been detected in Tenda HG9 300001138. Affected by this issue is some unknown functionality of the file /boaform/formLoopBack of the component Loopback Detection Configuration Endpoint. Such manipulation of the argument Ethtype leads to stack-based buffer overflow. The attack can be executed remotely. The exploit has been disclosed publicly and may be used.</t>
        </is>
      </c>
      <c r="D924" t="n">
        <v>8.800000000000001</v>
      </c>
      <c r="E924" t="inlineStr">
        <is>
          <t>HIGH</t>
        </is>
      </c>
      <c r="F924" t="n">
        <v>2</v>
      </c>
      <c r="G924" t="n">
        <v>3</v>
      </c>
      <c r="H924" t="inlineStr">
        <is>
          <t>HIGH</t>
        </is>
      </c>
      <c r="I924" t="n">
        <v>14.8</v>
      </c>
      <c r="J924" t="inlineStr">
        <is>
          <t>NO</t>
        </is>
      </c>
      <c r="K924" t="inlineStr">
        <is>
          <t>2026-02-26 00:15</t>
        </is>
      </c>
      <c r="L924" t="inlineStr">
        <is>
          <t>YES</t>
        </is>
      </c>
      <c r="M924" t="inlineStr">
        <is>
          <t>tenda hg9 - | tenda hg9_firmware 300001138</t>
        </is>
      </c>
      <c r="N924" t="inlineStr">
        <is>
          <t>P3</t>
        </is>
      </c>
      <c r="O924" t="inlineStr">
        <is>
          <t>CVE - IP enrichment n/a</t>
        </is>
      </c>
      <c r="P924" t="n">
        <v>0</v>
      </c>
      <c r="Q924" t="n">
        <v>0</v>
      </c>
      <c r="R924" t="inlineStr">
        <is>
          <t>T1203:Exploitation for Client Execution</t>
        </is>
      </c>
      <c r="S924" t="n">
        <v>1</v>
      </c>
      <c r="T924" t="inlineStr">
        <is>
          <t>LOW (40%)</t>
        </is>
      </c>
      <c r="U924" t="inlineStr">
        <is>
          <t>UNLIKELY</t>
        </is>
      </c>
      <c r="V924" t="inlineStr">
        <is>
          <t>PATCH_AVAILABLE</t>
        </is>
      </c>
      <c r="W924" t="inlineStr">
        <is>
          <t>https://nvd.nist.gov/vuln/detail/CVE-2026-2908</t>
        </is>
      </c>
      <c r="X924" t="inlineStr">
        <is>
          <t>NONE</t>
        </is>
      </c>
      <c r="Y924" t="n">
        <v>0</v>
      </c>
      <c r="Z924" t="inlineStr"/>
      <c r="AA924" t="inlineStr">
        <is>
          <t>https://nvd.nist.gov/vuln/detail/CVE-2026-2908</t>
        </is>
      </c>
    </row>
    <row r="925">
      <c r="A925" t="inlineStr">
        <is>
          <t>CVE</t>
        </is>
      </c>
      <c r="B925" t="inlineStr">
        <is>
          <t>CVE-2026-2909</t>
        </is>
      </c>
      <c r="C925" t="inlineStr">
        <is>
          <t>A vulnerability was detected in Tenda HG9 300001138. This affects an unknown part of the file /boaform/formPing of the component Diagnostic Ping Endpoint. Performing a manipulation of the argument pingAddr results in stack-based buffer overflow. The attack is possible to be carried out remotely. The exploit is now public and may be used.</t>
        </is>
      </c>
      <c r="D925" t="n">
        <v>8.800000000000001</v>
      </c>
      <c r="E925" t="inlineStr">
        <is>
          <t>HIGH</t>
        </is>
      </c>
      <c r="F925" t="n">
        <v>2</v>
      </c>
      <c r="G925" t="n">
        <v>3</v>
      </c>
      <c r="H925" t="inlineStr">
        <is>
          <t>HIGH</t>
        </is>
      </c>
      <c r="I925" t="n">
        <v>14.8</v>
      </c>
      <c r="J925" t="inlineStr">
        <is>
          <t>NO</t>
        </is>
      </c>
      <c r="K925" t="inlineStr">
        <is>
          <t>2026-02-26 00:15</t>
        </is>
      </c>
      <c r="L925" t="inlineStr">
        <is>
          <t>YES</t>
        </is>
      </c>
      <c r="M925" t="inlineStr">
        <is>
          <t>tenda hg9 - | tenda hg9_firmware 300001138</t>
        </is>
      </c>
      <c r="N925" t="inlineStr">
        <is>
          <t>P3</t>
        </is>
      </c>
      <c r="O925" t="inlineStr">
        <is>
          <t>CVE - IP enrichment n/a</t>
        </is>
      </c>
      <c r="P925" t="n">
        <v>0</v>
      </c>
      <c r="Q925" t="n">
        <v>0</v>
      </c>
      <c r="R925" t="inlineStr">
        <is>
          <t>T1203:Exploitation for Client Execution</t>
        </is>
      </c>
      <c r="S925" t="n">
        <v>1</v>
      </c>
      <c r="T925" t="inlineStr">
        <is>
          <t>LOW (40%)</t>
        </is>
      </c>
      <c r="U925" t="inlineStr">
        <is>
          <t>UNLIKELY</t>
        </is>
      </c>
      <c r="V925" t="inlineStr">
        <is>
          <t>PATCH_AVAILABLE</t>
        </is>
      </c>
      <c r="W925" t="inlineStr">
        <is>
          <t>https://nvd.nist.gov/vuln/detail/CVE-2026-2909</t>
        </is>
      </c>
      <c r="X925" t="inlineStr">
        <is>
          <t>NONE</t>
        </is>
      </c>
      <c r="Y925" t="n">
        <v>0</v>
      </c>
      <c r="Z925" t="inlineStr"/>
      <c r="AA925" t="inlineStr">
        <is>
          <t>https://nvd.nist.gov/vuln/detail/CVE-2026-2909</t>
        </is>
      </c>
    </row>
    <row r="926">
      <c r="A926" t="inlineStr">
        <is>
          <t>CVE</t>
        </is>
      </c>
      <c r="B926" t="inlineStr">
        <is>
          <t>CVE-2026-2910</t>
        </is>
      </c>
      <c r="C926" t="inlineStr">
        <is>
          <t>A flaw has been found in Tenda HG9 300001138. This vulnerability affects unknown code of the file /boaform/formPing6. Executing a manipulation of the argument pingAddr can lead to stack-based buffer overflow. The attack may be performed from remote. The exploit has been published and may be used.</t>
        </is>
      </c>
      <c r="D926" t="n">
        <v>8.800000000000001</v>
      </c>
      <c r="E926" t="inlineStr">
        <is>
          <t>HIGH</t>
        </is>
      </c>
      <c r="F926" t="n">
        <v>2</v>
      </c>
      <c r="G926" t="n">
        <v>3</v>
      </c>
      <c r="H926" t="inlineStr">
        <is>
          <t>HIGH</t>
        </is>
      </c>
      <c r="I926" t="n">
        <v>14.8</v>
      </c>
      <c r="J926" t="inlineStr">
        <is>
          <t>NO</t>
        </is>
      </c>
      <c r="K926" t="inlineStr">
        <is>
          <t>2026-02-26 00:15</t>
        </is>
      </c>
      <c r="L926" t="inlineStr">
        <is>
          <t>YES</t>
        </is>
      </c>
      <c r="M926" t="inlineStr">
        <is>
          <t>tenda hg9 - | tenda hg9_firmware 300001138</t>
        </is>
      </c>
      <c r="N926" t="inlineStr">
        <is>
          <t>P3</t>
        </is>
      </c>
      <c r="O926" t="inlineStr">
        <is>
          <t>CVE - IP enrichment n/a</t>
        </is>
      </c>
      <c r="P926" t="n">
        <v>0</v>
      </c>
      <c r="Q926" t="n">
        <v>0</v>
      </c>
      <c r="R926" t="inlineStr">
        <is>
          <t>T1203:Exploitation for Client Execution</t>
        </is>
      </c>
      <c r="S926" t="n">
        <v>1</v>
      </c>
      <c r="T926" t="inlineStr">
        <is>
          <t>LOW (40%)</t>
        </is>
      </c>
      <c r="U926" t="inlineStr">
        <is>
          <t>UNLIKELY</t>
        </is>
      </c>
      <c r="V926" t="inlineStr">
        <is>
          <t>PATCH_AVAILABLE</t>
        </is>
      </c>
      <c r="W926" t="inlineStr">
        <is>
          <t>https://nvd.nist.gov/vuln/detail/CVE-2026-2910</t>
        </is>
      </c>
      <c r="X926" t="inlineStr">
        <is>
          <t>NONE</t>
        </is>
      </c>
      <c r="Y926" t="n">
        <v>0</v>
      </c>
      <c r="Z926" t="inlineStr"/>
      <c r="AA926" t="inlineStr">
        <is>
          <t>https://nvd.nist.gov/vuln/detail/CVE-2026-2910</t>
        </is>
      </c>
    </row>
    <row r="927">
      <c r="A927" t="inlineStr">
        <is>
          <t>CVE</t>
        </is>
      </c>
      <c r="B927" t="inlineStr">
        <is>
          <t>CVE-2026-2911</t>
        </is>
      </c>
      <c r="C927" t="inlineStr">
        <is>
          <t>A vulnerability has been found in Tenda FH451 up to 1.0.0.9. This issue affects some unknown processing of the file /goform/GstDhcpSetSer. The manipulation leads to buffer overflow. It is possible to initiate the attack remotely. The exploit has been disclosed to the public and may be used.</t>
        </is>
      </c>
      <c r="D927" t="n">
        <v>8.800000000000001</v>
      </c>
      <c r="E927" t="inlineStr">
        <is>
          <t>HIGH</t>
        </is>
      </c>
      <c r="F927" t="n">
        <v>2</v>
      </c>
      <c r="G927" t="n">
        <v>3</v>
      </c>
      <c r="H927" t="inlineStr">
        <is>
          <t>HIGH</t>
        </is>
      </c>
      <c r="I927" t="n">
        <v>14.8</v>
      </c>
      <c r="J927" t="inlineStr">
        <is>
          <t>NO</t>
        </is>
      </c>
      <c r="K927" t="inlineStr">
        <is>
          <t>2026-02-26 00:15</t>
        </is>
      </c>
      <c r="L927" t="inlineStr">
        <is>
          <t>CHECK_VENDOR</t>
        </is>
      </c>
      <c r="M927" t="inlineStr">
        <is>
          <t>tenda fh451_firmware 1.0.0.9 | tenda fh451 -</t>
        </is>
      </c>
      <c r="N927" t="inlineStr">
        <is>
          <t>P3</t>
        </is>
      </c>
      <c r="O927" t="inlineStr">
        <is>
          <t>CVE - IP enrichment n/a</t>
        </is>
      </c>
      <c r="P927" t="n">
        <v>0</v>
      </c>
      <c r="Q927" t="n">
        <v>0</v>
      </c>
      <c r="R927" t="inlineStr">
        <is>
          <t>T1203:Exploitation for Client Execution</t>
        </is>
      </c>
      <c r="S927" t="n">
        <v>1</v>
      </c>
      <c r="T927" t="inlineStr">
        <is>
          <t>LOW (40%)</t>
        </is>
      </c>
      <c r="U927" t="inlineStr">
        <is>
          <t>UNLIKELY</t>
        </is>
      </c>
      <c r="V927" t="inlineStr">
        <is>
          <t>CHECK_VENDOR</t>
        </is>
      </c>
      <c r="W927" t="inlineStr">
        <is>
          <t>https://nvd.nist.gov/vuln/detail/CVE-2026-2911</t>
        </is>
      </c>
      <c r="X927" t="inlineStr">
        <is>
          <t>NONE</t>
        </is>
      </c>
      <c r="Y927" t="n">
        <v>0</v>
      </c>
      <c r="Z927" t="inlineStr"/>
      <c r="AA927" t="inlineStr">
        <is>
          <t>https://nvd.nist.gov/vuln/detail/CVE-2026-2911</t>
        </is>
      </c>
    </row>
    <row r="928">
      <c r="A928" t="inlineStr">
        <is>
          <t>CVE</t>
        </is>
      </c>
      <c r="B928" t="inlineStr">
        <is>
          <t>CVE-2026-2912</t>
        </is>
      </c>
      <c r="C928" t="inlineStr">
        <is>
          <t>A vulnerability was found in code-projects Online Reviewer System 1.0. Impacted is an unknown function of the file /system/system/students/assessments/results/studentresult-view.php. The manipulation of the argument test_id results in sql injection. It is possible to launch the attack remotely. The exploit has been made public and could be used.</t>
        </is>
      </c>
      <c r="D928" t="n">
        <v>7.3</v>
      </c>
      <c r="E928" t="inlineStr">
        <is>
          <t>HIGH</t>
        </is>
      </c>
      <c r="F928" t="n">
        <v>2</v>
      </c>
      <c r="G928" t="n">
        <v>3</v>
      </c>
      <c r="H928" t="inlineStr">
        <is>
          <t>HIGH</t>
        </is>
      </c>
      <c r="I928" t="n">
        <v>13.3</v>
      </c>
      <c r="J928" t="inlineStr">
        <is>
          <t>NO</t>
        </is>
      </c>
      <c r="K928" t="inlineStr">
        <is>
          <t>2026-02-26 00:15</t>
        </is>
      </c>
      <c r="L928" t="inlineStr">
        <is>
          <t>CHECK_VENDOR</t>
        </is>
      </c>
      <c r="M928" t="inlineStr">
        <is>
          <t>fabian online_reviewer_system 1.0</t>
        </is>
      </c>
      <c r="N928" t="inlineStr">
        <is>
          <t>P3</t>
        </is>
      </c>
      <c r="O928" t="inlineStr">
        <is>
          <t>CVE - IP enrichment n/a</t>
        </is>
      </c>
      <c r="P928" t="n">
        <v>0.0002</v>
      </c>
      <c r="Q928" t="n">
        <v>0.0551</v>
      </c>
      <c r="R928" t="inlineStr">
        <is>
          <t>T1190:Exploit Public-Facing Application</t>
        </is>
      </c>
      <c r="S928" t="n">
        <v>1</v>
      </c>
      <c r="T928" t="inlineStr">
        <is>
          <t>LOW (40%)</t>
        </is>
      </c>
      <c r="U928" t="inlineStr">
        <is>
          <t>UNLIKELY</t>
        </is>
      </c>
      <c r="V928" t="inlineStr">
        <is>
          <t>CHECK_VENDOR</t>
        </is>
      </c>
      <c r="W928" t="inlineStr">
        <is>
          <t>https://nvd.nist.gov/vuln/detail/CVE-2026-2912</t>
        </is>
      </c>
      <c r="X928" t="inlineStr">
        <is>
          <t>NONE</t>
        </is>
      </c>
      <c r="Y928" t="n">
        <v>0</v>
      </c>
      <c r="Z928" t="inlineStr"/>
      <c r="AA928" t="inlineStr">
        <is>
          <t>https://nvd.nist.gov/vuln/detail/CVE-2026-2912</t>
        </is>
      </c>
    </row>
    <row r="929">
      <c r="A929" t="inlineStr">
        <is>
          <t>CVE</t>
        </is>
      </c>
      <c r="B929" t="inlineStr">
        <is>
          <t>CVE-2026-2913</t>
        </is>
      </c>
      <c r="C929" t="inlineStr">
        <is>
          <t>A vulnerability was determined in libvips up to 8.19.0. The affected element is the function vips_source_read_to_memory of the file libvips/iofuncs/source.c. This manipulation causes heap-based buffer overflow. It is possible to launch the attack on the local host. The attack's complexity is rated as high. The exploitability is described as difficult. The exploit has been publicly disclosed and may be utilized. Patch name: a56feecbe9ed66521d9647ec9fbcd2546eccd7ee. Applying a patch is the recomme</t>
        </is>
      </c>
      <c r="D929" t="n">
        <v>2.5</v>
      </c>
      <c r="E929" t="inlineStr">
        <is>
          <t>LOW</t>
        </is>
      </c>
      <c r="F929" t="n">
        <v>2</v>
      </c>
      <c r="G929" t="n">
        <v>1</v>
      </c>
      <c r="H929" t="inlineStr">
        <is>
          <t>LOW</t>
        </is>
      </c>
      <c r="I929" t="n">
        <v>4.5</v>
      </c>
      <c r="J929" t="inlineStr">
        <is>
          <t>NO</t>
        </is>
      </c>
      <c r="K929" t="inlineStr">
        <is>
          <t>2026-02-26 00:15</t>
        </is>
      </c>
      <c r="L929" t="inlineStr">
        <is>
          <t>YES</t>
        </is>
      </c>
      <c r="M929" t="inlineStr">
        <is>
          <t>libvips libvips *</t>
        </is>
      </c>
      <c r="N929" t="inlineStr">
        <is>
          <t>P1</t>
        </is>
      </c>
      <c r="O929" t="inlineStr">
        <is>
          <t>CVE - IP enrichment n/a</t>
        </is>
      </c>
      <c r="P929" t="n">
        <v>0</v>
      </c>
      <c r="Q929" t="n">
        <v>0</v>
      </c>
      <c r="R929" t="inlineStr">
        <is>
          <t>T1203:Exploitation for Client Execution | T1190:Exploit Public-Facing Application</t>
        </is>
      </c>
      <c r="S929" t="n">
        <v>2</v>
      </c>
      <c r="T929" t="inlineStr">
        <is>
          <t>HIGH (72%)</t>
        </is>
      </c>
      <c r="U929" t="inlineStr">
        <is>
          <t>HIGH</t>
        </is>
      </c>
      <c r="V929" t="inlineStr">
        <is>
          <t>PATCH_AVAILABLE</t>
        </is>
      </c>
      <c r="W929" t="inlineStr">
        <is>
          <t>https://nvd.nist.gov/vuln/detail/CVE-2026-2913</t>
        </is>
      </c>
      <c r="X929" t="inlineStr">
        <is>
          <t>http://www.zerodayinitiative.com/advisories/ZDI-26-123/</t>
        </is>
      </c>
      <c r="Y929" t="n">
        <v>0</v>
      </c>
      <c r="Z929" t="inlineStr"/>
      <c r="AA929" t="inlineStr">
        <is>
          <t>https://nvd.nist.gov/vuln/detail/CVE-2026-2913</t>
        </is>
      </c>
    </row>
    <row r="930">
      <c r="A930" t="inlineStr">
        <is>
          <t>CVE</t>
        </is>
      </c>
      <c r="B930" t="inlineStr">
        <is>
          <t>CVE-2026-2925</t>
        </is>
      </c>
      <c r="C930" t="inlineStr">
        <is>
          <t>A vulnerability was detected in D-Link DWR-M960 1.01.07. Affected by this issue is the function sub_42B5A0 of the file /boafrm/formBridgeVlan of the component Bridge VLAN Configuration Endpoint. Performing a manipulation of the argument submit-url results in stack-based buffer overflow. The attack can be initiated remotely. The exploit is now public and may be used.</t>
        </is>
      </c>
      <c r="D930" t="n">
        <v>8.800000000000001</v>
      </c>
      <c r="E930" t="inlineStr">
        <is>
          <t>HIGH</t>
        </is>
      </c>
      <c r="F930" t="n">
        <v>2</v>
      </c>
      <c r="G930" t="n">
        <v>3</v>
      </c>
      <c r="H930" t="inlineStr">
        <is>
          <t>HIGH</t>
        </is>
      </c>
      <c r="I930" t="n">
        <v>14.8</v>
      </c>
      <c r="J930" t="inlineStr">
        <is>
          <t>NO</t>
        </is>
      </c>
      <c r="K930" t="inlineStr">
        <is>
          <t>2026-02-26 00:15</t>
        </is>
      </c>
      <c r="L930" t="inlineStr">
        <is>
          <t>CHECK_VENDOR</t>
        </is>
      </c>
      <c r="M930" t="inlineStr">
        <is>
          <t>dlink dwr-m960 b1 | dlink dwr-m960_firmware 1.01.07</t>
        </is>
      </c>
      <c r="N930" t="inlineStr">
        <is>
          <t>P3</t>
        </is>
      </c>
      <c r="O930" t="inlineStr">
        <is>
          <t>CVE - IP enrichment n/a</t>
        </is>
      </c>
      <c r="P930" t="n">
        <v>0</v>
      </c>
      <c r="Q930" t="n">
        <v>0</v>
      </c>
      <c r="R930" t="inlineStr">
        <is>
          <t>T1203:Exploitation for Client Execution</t>
        </is>
      </c>
      <c r="S930" t="n">
        <v>1</v>
      </c>
      <c r="T930" t="inlineStr">
        <is>
          <t>LOW (40%)</t>
        </is>
      </c>
      <c r="U930" t="inlineStr">
        <is>
          <t>UNLIKELY</t>
        </is>
      </c>
      <c r="V930" t="inlineStr">
        <is>
          <t>CHECK_VENDOR</t>
        </is>
      </c>
      <c r="W930" t="inlineStr">
        <is>
          <t>https://nvd.nist.gov/vuln/detail/CVE-2026-2925</t>
        </is>
      </c>
      <c r="X930" t="inlineStr">
        <is>
          <t>NONE</t>
        </is>
      </c>
      <c r="Y930" t="n">
        <v>0</v>
      </c>
      <c r="Z930" t="inlineStr"/>
      <c r="AA930" t="inlineStr">
        <is>
          <t>https://nvd.nist.gov/vuln/detail/CVE-2026-2925</t>
        </is>
      </c>
    </row>
    <row r="931">
      <c r="A931" t="inlineStr">
        <is>
          <t>CVE</t>
        </is>
      </c>
      <c r="B931" t="inlineStr">
        <is>
          <t>CVE-2026-2926</t>
        </is>
      </c>
      <c r="C931" t="inlineStr">
        <is>
          <t>A flaw has been found in D-Link DWR-M960 1.01.07. This affects the function sub_4237AC of the file /boafrm/formLteSetup of the component LTE Configuration Endpoint. Executing a manipulation of the argument submit-url can lead to stack-based buffer overflow. The attack can be launched remotely. The exploit has been published and may be used.</t>
        </is>
      </c>
      <c r="D931" t="n">
        <v>8.800000000000001</v>
      </c>
      <c r="E931" t="inlineStr">
        <is>
          <t>HIGH</t>
        </is>
      </c>
      <c r="F931" t="n">
        <v>2</v>
      </c>
      <c r="G931" t="n">
        <v>3</v>
      </c>
      <c r="H931" t="inlineStr">
        <is>
          <t>HIGH</t>
        </is>
      </c>
      <c r="I931" t="n">
        <v>14.8</v>
      </c>
      <c r="J931" t="inlineStr">
        <is>
          <t>NO</t>
        </is>
      </c>
      <c r="K931" t="inlineStr">
        <is>
          <t>2026-02-26 00:15</t>
        </is>
      </c>
      <c r="L931" t="inlineStr">
        <is>
          <t>CHECK_VENDOR</t>
        </is>
      </c>
      <c r="M931" t="inlineStr">
        <is>
          <t>dlink dwr-m960 b1 | dlink dwr-m960_firmware 1.01.07</t>
        </is>
      </c>
      <c r="N931" t="inlineStr">
        <is>
          <t>P3</t>
        </is>
      </c>
      <c r="O931" t="inlineStr">
        <is>
          <t>CVE - IP enrichment n/a</t>
        </is>
      </c>
      <c r="P931" t="n">
        <v>0</v>
      </c>
      <c r="Q931" t="n">
        <v>0</v>
      </c>
      <c r="R931" t="inlineStr">
        <is>
          <t>T1203:Exploitation for Client Execution</t>
        </is>
      </c>
      <c r="S931" t="n">
        <v>1</v>
      </c>
      <c r="T931" t="inlineStr">
        <is>
          <t>LOW (40%)</t>
        </is>
      </c>
      <c r="U931" t="inlineStr">
        <is>
          <t>UNLIKELY</t>
        </is>
      </c>
      <c r="V931" t="inlineStr">
        <is>
          <t>CHECK_VENDOR</t>
        </is>
      </c>
      <c r="W931" t="inlineStr">
        <is>
          <t>https://nvd.nist.gov/vuln/detail/CVE-2026-2926</t>
        </is>
      </c>
      <c r="X931" t="inlineStr">
        <is>
          <t>NONE</t>
        </is>
      </c>
      <c r="Y931" t="n">
        <v>0</v>
      </c>
      <c r="Z931" t="inlineStr"/>
      <c r="AA931" t="inlineStr">
        <is>
          <t>https://nvd.nist.gov/vuln/detail/CVE-2026-2926</t>
        </is>
      </c>
    </row>
    <row r="932">
      <c r="A932" t="inlineStr">
        <is>
          <t>CVE</t>
        </is>
      </c>
      <c r="B932" t="inlineStr">
        <is>
          <t>CVE-2026-2927</t>
        </is>
      </c>
      <c r="C932" t="inlineStr">
        <is>
          <t>A vulnerability has been found in D-Link DWR-M960 1.01.07. This vulnerability affects the function sub_462590 of the file /boafrm/formOpMode of the component Operation Mode Configuration Endpoint. The manipulation of the argument submit-url leads to stack-based buffer overflow. The attack may be initiated remotely. The exploit has been disclosed to the public and may be used.</t>
        </is>
      </c>
      <c r="D932" t="n">
        <v>8.800000000000001</v>
      </c>
      <c r="E932" t="inlineStr">
        <is>
          <t>HIGH</t>
        </is>
      </c>
      <c r="F932" t="n">
        <v>2</v>
      </c>
      <c r="G932" t="n">
        <v>3</v>
      </c>
      <c r="H932" t="inlineStr">
        <is>
          <t>HIGH</t>
        </is>
      </c>
      <c r="I932" t="n">
        <v>14.8</v>
      </c>
      <c r="J932" t="inlineStr">
        <is>
          <t>NO</t>
        </is>
      </c>
      <c r="K932" t="inlineStr">
        <is>
          <t>2026-02-26 00:15</t>
        </is>
      </c>
      <c r="L932" t="inlineStr">
        <is>
          <t>CHECK_VENDOR</t>
        </is>
      </c>
      <c r="M932" t="inlineStr">
        <is>
          <t>dlink dwr-m960 b1 | dlink dwr-m960_firmware 1.01.07</t>
        </is>
      </c>
      <c r="N932" t="inlineStr">
        <is>
          <t>P3</t>
        </is>
      </c>
      <c r="O932" t="inlineStr">
        <is>
          <t>CVE - IP enrichment n/a</t>
        </is>
      </c>
      <c r="P932" t="n">
        <v>0</v>
      </c>
      <c r="Q932" t="n">
        <v>0</v>
      </c>
      <c r="R932" t="inlineStr">
        <is>
          <t>T1203:Exploitation for Client Execution</t>
        </is>
      </c>
      <c r="S932" t="n">
        <v>1</v>
      </c>
      <c r="T932" t="inlineStr">
        <is>
          <t>LOW (40%)</t>
        </is>
      </c>
      <c r="U932" t="inlineStr">
        <is>
          <t>UNLIKELY</t>
        </is>
      </c>
      <c r="V932" t="inlineStr">
        <is>
          <t>CHECK_VENDOR</t>
        </is>
      </c>
      <c r="W932" t="inlineStr">
        <is>
          <t>https://nvd.nist.gov/vuln/detail/CVE-2026-2927</t>
        </is>
      </c>
      <c r="X932" t="inlineStr">
        <is>
          <t>NONE</t>
        </is>
      </c>
      <c r="Y932" t="n">
        <v>0</v>
      </c>
      <c r="Z932" t="inlineStr"/>
      <c r="AA932" t="inlineStr">
        <is>
          <t>https://nvd.nist.gov/vuln/detail/CVE-2026-2927</t>
        </is>
      </c>
    </row>
    <row r="933">
      <c r="A933" t="inlineStr">
        <is>
          <t>CVE</t>
        </is>
      </c>
      <c r="B933" t="inlineStr">
        <is>
          <t>CVE-2026-2928</t>
        </is>
      </c>
      <c r="C933" t="inlineStr">
        <is>
          <t>A vulnerability was found in D-Link DWR-M960 1.01.07. This issue affects the function sub_452CCC of the file /boafrm/formWlEncrypt of the component WLAN Encryption Configuration Endpoint. The manipulation of the argument submit-url results in stack-based buffer overflow. The attack may be launched remotely. The exploit has been made public and could be used.</t>
        </is>
      </c>
      <c r="D933" t="n">
        <v>8.800000000000001</v>
      </c>
      <c r="E933" t="inlineStr">
        <is>
          <t>HIGH</t>
        </is>
      </c>
      <c r="F933" t="n">
        <v>2</v>
      </c>
      <c r="G933" t="n">
        <v>3</v>
      </c>
      <c r="H933" t="inlineStr">
        <is>
          <t>HIGH</t>
        </is>
      </c>
      <c r="I933" t="n">
        <v>14.8</v>
      </c>
      <c r="J933" t="inlineStr">
        <is>
          <t>NO</t>
        </is>
      </c>
      <c r="K933" t="inlineStr">
        <is>
          <t>2026-02-26 00:15</t>
        </is>
      </c>
      <c r="L933" t="inlineStr">
        <is>
          <t>CHECK_VENDOR</t>
        </is>
      </c>
      <c r="M933" t="inlineStr">
        <is>
          <t>dlink dwr-m960 b1 | dlink dwr-m960_firmware 1.01.07</t>
        </is>
      </c>
      <c r="N933" t="inlineStr">
        <is>
          <t>P3</t>
        </is>
      </c>
      <c r="O933" t="inlineStr">
        <is>
          <t>CVE - IP enrichment n/a</t>
        </is>
      </c>
      <c r="P933" t="n">
        <v>0.0002</v>
      </c>
      <c r="Q933" t="n">
        <v>0.0503</v>
      </c>
      <c r="R933" t="inlineStr">
        <is>
          <t>T1203:Exploitation for Client Execution</t>
        </is>
      </c>
      <c r="S933" t="n">
        <v>1</v>
      </c>
      <c r="T933" t="inlineStr">
        <is>
          <t>LOW (40%)</t>
        </is>
      </c>
      <c r="U933" t="inlineStr">
        <is>
          <t>UNLIKELY</t>
        </is>
      </c>
      <c r="V933" t="inlineStr">
        <is>
          <t>CHECK_VENDOR</t>
        </is>
      </c>
      <c r="W933" t="inlineStr">
        <is>
          <t>https://nvd.nist.gov/vuln/detail/CVE-2026-2928</t>
        </is>
      </c>
      <c r="X933" t="inlineStr">
        <is>
          <t>NONE</t>
        </is>
      </c>
      <c r="Y933" t="n">
        <v>0</v>
      </c>
      <c r="Z933" t="inlineStr"/>
      <c r="AA933" t="inlineStr">
        <is>
          <t>https://nvd.nist.gov/vuln/detail/CVE-2026-2928</t>
        </is>
      </c>
    </row>
    <row r="934">
      <c r="A934" t="inlineStr">
        <is>
          <t>CVE</t>
        </is>
      </c>
      <c r="B934" t="inlineStr">
        <is>
          <t>CVE-2026-1369</t>
        </is>
      </c>
      <c r="C934" t="inlineStr">
        <is>
          <t>The Conditional CAPTCHA WordPress plugin through 4.0.0 does not validate a parameter before redirecting the user to its value, leading to an Open Redirect issue</t>
        </is>
      </c>
      <c r="D934" t="n">
        <v>4.3</v>
      </c>
      <c r="E934" t="inlineStr">
        <is>
          <t>MEDIUM</t>
        </is>
      </c>
      <c r="F934" t="n">
        <v>2</v>
      </c>
      <c r="G934" t="n">
        <v>2</v>
      </c>
      <c r="H934" t="inlineStr">
        <is>
          <t>MEDIUM</t>
        </is>
      </c>
      <c r="I934" t="n">
        <v>8.300000000000001</v>
      </c>
      <c r="J934" t="inlineStr">
        <is>
          <t>NO</t>
        </is>
      </c>
      <c r="K934" t="inlineStr">
        <is>
          <t>2026-02-26 00:15</t>
        </is>
      </c>
      <c r="L934" t="inlineStr">
        <is>
          <t>CHECK_VENDOR</t>
        </is>
      </c>
      <c r="M934" t="inlineStr">
        <is>
          <t>See CVE details</t>
        </is>
      </c>
      <c r="N934" t="inlineStr">
        <is>
          <t>P4</t>
        </is>
      </c>
      <c r="O934" t="inlineStr">
        <is>
          <t>CVE - IP enrichment n/a</t>
        </is>
      </c>
      <c r="P934" t="n">
        <v>0.0003</v>
      </c>
      <c r="Q934" t="n">
        <v>0.0766</v>
      </c>
      <c r="R934" t="inlineStr">
        <is>
          <t>T1189:Drive-by Compromise</t>
        </is>
      </c>
      <c r="S934" t="n">
        <v>1</v>
      </c>
      <c r="T934" t="inlineStr">
        <is>
          <t>LOW (40%)</t>
        </is>
      </c>
      <c r="U934" t="inlineStr">
        <is>
          <t>UNLIKELY</t>
        </is>
      </c>
      <c r="V934" t="inlineStr">
        <is>
          <t>CHECK_VENDOR</t>
        </is>
      </c>
      <c r="W934" t="inlineStr">
        <is>
          <t>https://nvd.nist.gov/vuln/detail/CVE-2026-1369</t>
        </is>
      </c>
      <c r="X934" t="inlineStr">
        <is>
          <t>NONE</t>
        </is>
      </c>
      <c r="Y934" t="n">
        <v>0</v>
      </c>
      <c r="Z934" t="inlineStr"/>
      <c r="AA934" t="inlineStr">
        <is>
          <t>https://nvd.nist.gov/vuln/detail/CVE-2026-1369</t>
        </is>
      </c>
    </row>
    <row r="935">
      <c r="A935" t="inlineStr">
        <is>
          <t>CVE</t>
        </is>
      </c>
      <c r="B935" t="inlineStr">
        <is>
          <t>CVE-2026-2929</t>
        </is>
      </c>
      <c r="C935" t="inlineStr">
        <is>
          <t>A vulnerability was determined in D-Link DWR-M960 1.01.07. Impacted is the function sub_453140 of the file /boafrm/formWlAc of the component Wireless Access Control Endpoint. This manipulation of the argument submit-url causes stack-based buffer overflow. Remote exploitation of the attack is possible. The exploit has been publicly disclosed and may be utilized.</t>
        </is>
      </c>
      <c r="D935" t="n">
        <v>8.800000000000001</v>
      </c>
      <c r="E935" t="inlineStr">
        <is>
          <t>HIGH</t>
        </is>
      </c>
      <c r="F935" t="n">
        <v>2</v>
      </c>
      <c r="G935" t="n">
        <v>3</v>
      </c>
      <c r="H935" t="inlineStr">
        <is>
          <t>HIGH</t>
        </is>
      </c>
      <c r="I935" t="n">
        <v>14.8</v>
      </c>
      <c r="J935" t="inlineStr">
        <is>
          <t>NO</t>
        </is>
      </c>
      <c r="K935" t="inlineStr">
        <is>
          <t>2026-02-26 00:15</t>
        </is>
      </c>
      <c r="L935" t="inlineStr">
        <is>
          <t>CHECK_VENDOR</t>
        </is>
      </c>
      <c r="M935" t="inlineStr">
        <is>
          <t>dlink dwr-m960 b1 | dlink dwr-m960_firmware 1.01.07</t>
        </is>
      </c>
      <c r="N935" t="inlineStr">
        <is>
          <t>P3</t>
        </is>
      </c>
      <c r="O935" t="inlineStr">
        <is>
          <t>CVE - IP enrichment n/a</t>
        </is>
      </c>
      <c r="P935" t="n">
        <v>0.0003</v>
      </c>
      <c r="Q935" t="n">
        <v>0.0823</v>
      </c>
      <c r="R935" t="inlineStr">
        <is>
          <t>T1203:Exploitation for Client Execution</t>
        </is>
      </c>
      <c r="S935" t="n">
        <v>1</v>
      </c>
      <c r="T935" t="inlineStr">
        <is>
          <t>LOW (40%)</t>
        </is>
      </c>
      <c r="U935" t="inlineStr">
        <is>
          <t>UNLIKELY</t>
        </is>
      </c>
      <c r="V935" t="inlineStr">
        <is>
          <t>CHECK_VENDOR</t>
        </is>
      </c>
      <c r="W935" t="inlineStr">
        <is>
          <t>https://nvd.nist.gov/vuln/detail/CVE-2026-2929</t>
        </is>
      </c>
      <c r="X935" t="inlineStr">
        <is>
          <t>NONE</t>
        </is>
      </c>
      <c r="Y935" t="n">
        <v>0</v>
      </c>
      <c r="Z935" t="inlineStr"/>
      <c r="AA935" t="inlineStr">
        <is>
          <t>https://nvd.nist.gov/vuln/detail/CVE-2026-2929</t>
        </is>
      </c>
    </row>
    <row r="936">
      <c r="A936" t="inlineStr">
        <is>
          <t>CVE</t>
        </is>
      </c>
      <c r="B936" t="inlineStr">
        <is>
          <t>CVE-2026-2930</t>
        </is>
      </c>
      <c r="C936" t="inlineStr">
        <is>
          <t>A vulnerability was identified in Tenda A18 15.13.07.13. The affected element is the function webCgiGetUploadFile of the file /cgi-bin/UploadCfg of the component Httpd Service. Such manipulation of the argument boundary leads to stack-based buffer overflow. The attack can be executed remotely. The exploit is publicly available and might be used.</t>
        </is>
      </c>
      <c r="D936" t="n">
        <v>6.3</v>
      </c>
      <c r="E936" t="inlineStr">
        <is>
          <t>MEDIUM</t>
        </is>
      </c>
      <c r="F936" t="n">
        <v>2</v>
      </c>
      <c r="G936" t="n">
        <v>2</v>
      </c>
      <c r="H936" t="inlineStr">
        <is>
          <t>MEDIUM</t>
        </is>
      </c>
      <c r="I936" t="n">
        <v>10.3</v>
      </c>
      <c r="J936" t="inlineStr">
        <is>
          <t>NO</t>
        </is>
      </c>
      <c r="K936" t="inlineStr">
        <is>
          <t>2026-02-26 00:15</t>
        </is>
      </c>
      <c r="L936" t="inlineStr">
        <is>
          <t>CHECK_VENDOR</t>
        </is>
      </c>
      <c r="M936" t="inlineStr">
        <is>
          <t>tenda a18 - | tenda a18_firmware 15.13.07.13</t>
        </is>
      </c>
      <c r="N936" t="inlineStr">
        <is>
          <t>P4</t>
        </is>
      </c>
      <c r="O936" t="inlineStr">
        <is>
          <t>CVE - IP enrichment n/a</t>
        </is>
      </c>
      <c r="P936" t="n">
        <v>0.0005</v>
      </c>
      <c r="Q936" t="n">
        <v>0.1511</v>
      </c>
      <c r="R936" t="inlineStr">
        <is>
          <t>T1203:Exploitation for Client Execution</t>
        </is>
      </c>
      <c r="S936" t="n">
        <v>1</v>
      </c>
      <c r="T936" t="inlineStr">
        <is>
          <t>LOW (40%)</t>
        </is>
      </c>
      <c r="U936" t="inlineStr">
        <is>
          <t>UNLIKELY</t>
        </is>
      </c>
      <c r="V936" t="inlineStr">
        <is>
          <t>CHECK_VENDOR</t>
        </is>
      </c>
      <c r="W936" t="inlineStr">
        <is>
          <t>https://nvd.nist.gov/vuln/detail/CVE-2026-2930</t>
        </is>
      </c>
      <c r="X936" t="inlineStr">
        <is>
          <t>NONE</t>
        </is>
      </c>
      <c r="Y936" t="n">
        <v>0</v>
      </c>
      <c r="Z936" t="inlineStr"/>
      <c r="AA936" t="inlineStr">
        <is>
          <t>https://nvd.nist.gov/vuln/detail/CVE-2026-2930</t>
        </is>
      </c>
    </row>
    <row r="937">
      <c r="A937" t="inlineStr">
        <is>
          <t>CVE</t>
        </is>
      </c>
      <c r="B937" t="inlineStr">
        <is>
          <t>CVE-2026-2932</t>
        </is>
      </c>
      <c r="C937" t="inlineStr">
        <is>
          <t>A security flaw has been discovered in YiFang CMS up to 2.0.5. The impacted element is the function update of the file app/db/admin/D_adPosition.php of the component Extended Management Module. Performing a manipulation of the argument name/index results in cross site scripting. The attack is possible to be carried out remotely. The exploit has been released to the public and may be used for attacks.</t>
        </is>
      </c>
      <c r="D937" t="n">
        <v>2.4</v>
      </c>
      <c r="E937" t="inlineStr">
        <is>
          <t>LOW</t>
        </is>
      </c>
      <c r="F937" t="n">
        <v>2</v>
      </c>
      <c r="G937" t="n">
        <v>1</v>
      </c>
      <c r="H937" t="inlineStr">
        <is>
          <t>LOW</t>
        </is>
      </c>
      <c r="I937" t="n">
        <v>4.4</v>
      </c>
      <c r="J937" t="inlineStr">
        <is>
          <t>NO</t>
        </is>
      </c>
      <c r="K937" t="inlineStr">
        <is>
          <t>2026-02-26 00:15</t>
        </is>
      </c>
      <c r="L937" t="inlineStr">
        <is>
          <t>CHECK_VENDOR</t>
        </is>
      </c>
      <c r="M937" t="inlineStr">
        <is>
          <t>yifangcms yifang *</t>
        </is>
      </c>
      <c r="N937" t="inlineStr">
        <is>
          <t>P4</t>
        </is>
      </c>
      <c r="O937" t="inlineStr">
        <is>
          <t>CVE - IP enrichment n/a</t>
        </is>
      </c>
      <c r="P937" t="n">
        <v>0</v>
      </c>
      <c r="Q937" t="n">
        <v>0</v>
      </c>
      <c r="R937" t="inlineStr">
        <is>
          <t>T1189:Drive-by Compromise</t>
        </is>
      </c>
      <c r="S937" t="n">
        <v>1</v>
      </c>
      <c r="T937" t="inlineStr">
        <is>
          <t>LOW (40%)</t>
        </is>
      </c>
      <c r="U937" t="inlineStr">
        <is>
          <t>UNLIKELY</t>
        </is>
      </c>
      <c r="V937" t="inlineStr">
        <is>
          <t>CHECK_VENDOR</t>
        </is>
      </c>
      <c r="W937" t="inlineStr">
        <is>
          <t>https://nvd.nist.gov/vuln/detail/CVE-2026-2932</t>
        </is>
      </c>
      <c r="X937" t="inlineStr">
        <is>
          <t>NONE</t>
        </is>
      </c>
      <c r="Y937" t="n">
        <v>0</v>
      </c>
      <c r="Z937" t="inlineStr"/>
      <c r="AA937" t="inlineStr">
        <is>
          <t>https://nvd.nist.gov/vuln/detail/CVE-2026-2932</t>
        </is>
      </c>
    </row>
    <row r="938">
      <c r="A938" t="inlineStr">
        <is>
          <t>CVE</t>
        </is>
      </c>
      <c r="B938" t="inlineStr">
        <is>
          <t>CVE-2026-2933</t>
        </is>
      </c>
      <c r="C938" t="inlineStr">
        <is>
          <t>A weakness has been identified in YiFang CMS up to 2.0.5. This affects the function update of the file app/db/admin/D_adManage.php of the component Extended Management Module. Executing a manipulation of the argument Name can lead to cross site scripting. The attack may be performed from remote. The exploit has been made available to the public and could be used for attacks.</t>
        </is>
      </c>
      <c r="D938" t="n">
        <v>2.4</v>
      </c>
      <c r="E938" t="inlineStr">
        <is>
          <t>LOW</t>
        </is>
      </c>
      <c r="F938" t="n">
        <v>2</v>
      </c>
      <c r="G938" t="n">
        <v>1</v>
      </c>
      <c r="H938" t="inlineStr">
        <is>
          <t>LOW</t>
        </is>
      </c>
      <c r="I938" t="n">
        <v>4.4</v>
      </c>
      <c r="J938" t="inlineStr">
        <is>
          <t>NO</t>
        </is>
      </c>
      <c r="K938" t="inlineStr">
        <is>
          <t>2026-02-26 00:15</t>
        </is>
      </c>
      <c r="L938" t="inlineStr">
        <is>
          <t>CHECK_VENDOR</t>
        </is>
      </c>
      <c r="M938" t="inlineStr">
        <is>
          <t>yifangcms yifang *</t>
        </is>
      </c>
      <c r="N938" t="inlineStr">
        <is>
          <t>P4</t>
        </is>
      </c>
      <c r="O938" t="inlineStr">
        <is>
          <t>CVE - IP enrichment n/a</t>
        </is>
      </c>
      <c r="P938" t="n">
        <v>0</v>
      </c>
      <c r="Q938" t="n">
        <v>0</v>
      </c>
      <c r="R938" t="inlineStr">
        <is>
          <t>T1189:Drive-by Compromise</t>
        </is>
      </c>
      <c r="S938" t="n">
        <v>1</v>
      </c>
      <c r="T938" t="inlineStr">
        <is>
          <t>LOW (40%)</t>
        </is>
      </c>
      <c r="U938" t="inlineStr">
        <is>
          <t>UNLIKELY</t>
        </is>
      </c>
      <c r="V938" t="inlineStr">
        <is>
          <t>CHECK_VENDOR</t>
        </is>
      </c>
      <c r="W938" t="inlineStr">
        <is>
          <t>https://nvd.nist.gov/vuln/detail/CVE-2026-2933</t>
        </is>
      </c>
      <c r="X938" t="inlineStr">
        <is>
          <t>NONE</t>
        </is>
      </c>
      <c r="Y938" t="n">
        <v>0</v>
      </c>
      <c r="Z938" t="inlineStr"/>
      <c r="AA938" t="inlineStr">
        <is>
          <t>https://nvd.nist.gov/vuln/detail/CVE-2026-2933</t>
        </is>
      </c>
    </row>
    <row r="939">
      <c r="A939" t="inlineStr">
        <is>
          <t>CVE</t>
        </is>
      </c>
      <c r="B939" t="inlineStr">
        <is>
          <t>CVE-2026-2385</t>
        </is>
      </c>
      <c r="C939" t="inlineStr">
        <is>
          <t>The The Plus Addons for Elementor – Addons for Elementor, Page Templates, Widgets, Mega Menu, WooCommerce plugin for WordPress is vulnerable to Insufficient Verification of Data Authenticity in all versions up to, and including, 6.4.7. This is due to the plugin decrypting and trusting attacker-controlled email_data in an unauthenticated AJAX handler without cryptographic authenticity guarantees. This makes it possible for unauthenticated attackers to tamper with form email routing and redirectio</t>
        </is>
      </c>
      <c r="D939" t="n">
        <v>5.3</v>
      </c>
      <c r="E939" t="inlineStr">
        <is>
          <t>MEDIUM</t>
        </is>
      </c>
      <c r="F939" t="n">
        <v>2</v>
      </c>
      <c r="G939" t="n">
        <v>2</v>
      </c>
      <c r="H939" t="inlineStr">
        <is>
          <t>MEDIUM</t>
        </is>
      </c>
      <c r="I939" t="n">
        <v>9.300000000000001</v>
      </c>
      <c r="J939" t="inlineStr">
        <is>
          <t>NO</t>
        </is>
      </c>
      <c r="K939" t="inlineStr">
        <is>
          <t>2026-02-26 00:15</t>
        </is>
      </c>
      <c r="L939" t="inlineStr">
        <is>
          <t>CHECK_VENDOR</t>
        </is>
      </c>
      <c r="M939" t="inlineStr">
        <is>
          <t>See CVE details</t>
        </is>
      </c>
      <c r="N939" t="inlineStr">
        <is>
          <t>P4</t>
        </is>
      </c>
      <c r="O939" t="inlineStr">
        <is>
          <t>CVE - IP enrichment n/a</t>
        </is>
      </c>
      <c r="P939" t="n">
        <v>0</v>
      </c>
      <c r="Q939" t="n">
        <v>0</v>
      </c>
      <c r="R939" t="inlineStr">
        <is>
          <t>T1190:Exploit Public-Facing Application | T1600:Weaken Encryption</t>
        </is>
      </c>
      <c r="S939" t="n">
        <v>1</v>
      </c>
      <c r="T939" t="inlineStr">
        <is>
          <t>LOW (40%)</t>
        </is>
      </c>
      <c r="U939" t="inlineStr">
        <is>
          <t>UNLIKELY</t>
        </is>
      </c>
      <c r="V939" t="inlineStr">
        <is>
          <t>CHECK_VENDOR</t>
        </is>
      </c>
      <c r="W939" t="inlineStr">
        <is>
          <t>https://nvd.nist.gov/vuln/detail/CVE-2026-2385</t>
        </is>
      </c>
      <c r="X939" t="inlineStr">
        <is>
          <t>NONE</t>
        </is>
      </c>
      <c r="Y939" t="n">
        <v>0</v>
      </c>
      <c r="Z939" t="inlineStr"/>
      <c r="AA939" t="inlineStr">
        <is>
          <t>https://nvd.nist.gov/vuln/detail/CVE-2026-2385</t>
        </is>
      </c>
    </row>
    <row r="940">
      <c r="A940" t="inlineStr">
        <is>
          <t>CVE</t>
        </is>
      </c>
      <c r="B940" t="inlineStr">
        <is>
          <t>CVE-2026-2934</t>
        </is>
      </c>
      <c r="C940" t="inlineStr">
        <is>
          <t>A security vulnerability has been detected in YiFang CMS up to 2.0.5. This impacts the function update of the file app/db/admin/D_friendLinkGroup.php of the component Extended Management Module. The manipulation of the argument Name leads to cross site scripting. It is possible to initiate the attack remotely. The exploit has been disclosed publicly and may be used.</t>
        </is>
      </c>
      <c r="D940" t="n">
        <v>2.4</v>
      </c>
      <c r="E940" t="inlineStr">
        <is>
          <t>LOW</t>
        </is>
      </c>
      <c r="F940" t="n">
        <v>2</v>
      </c>
      <c r="G940" t="n">
        <v>1</v>
      </c>
      <c r="H940" t="inlineStr">
        <is>
          <t>LOW</t>
        </is>
      </c>
      <c r="I940" t="n">
        <v>4.4</v>
      </c>
      <c r="J940" t="inlineStr">
        <is>
          <t>NO</t>
        </is>
      </c>
      <c r="K940" t="inlineStr">
        <is>
          <t>2026-02-26 00:15</t>
        </is>
      </c>
      <c r="L940" t="inlineStr">
        <is>
          <t>CHECK_VENDOR</t>
        </is>
      </c>
      <c r="M940" t="inlineStr">
        <is>
          <t>yifangcms yifang *</t>
        </is>
      </c>
      <c r="N940" t="inlineStr">
        <is>
          <t>P4</t>
        </is>
      </c>
      <c r="O940" t="inlineStr">
        <is>
          <t>CVE - IP enrichment n/a</t>
        </is>
      </c>
      <c r="P940" t="n">
        <v>0</v>
      </c>
      <c r="Q940" t="n">
        <v>0</v>
      </c>
      <c r="R940" t="inlineStr">
        <is>
          <t>T1189:Drive-by Compromise</t>
        </is>
      </c>
      <c r="S940" t="n">
        <v>1</v>
      </c>
      <c r="T940" t="inlineStr">
        <is>
          <t>LOW (40%)</t>
        </is>
      </c>
      <c r="U940" t="inlineStr">
        <is>
          <t>UNLIKELY</t>
        </is>
      </c>
      <c r="V940" t="inlineStr">
        <is>
          <t>CHECK_VENDOR</t>
        </is>
      </c>
      <c r="W940" t="inlineStr">
        <is>
          <t>https://nvd.nist.gov/vuln/detail/CVE-2026-2934</t>
        </is>
      </c>
      <c r="X940" t="inlineStr">
        <is>
          <t>NONE</t>
        </is>
      </c>
      <c r="Y940" t="n">
        <v>0</v>
      </c>
      <c r="Z940" t="inlineStr"/>
      <c r="AA940" t="inlineStr">
        <is>
          <t>https://nvd.nist.gov/vuln/detail/CVE-2026-2934</t>
        </is>
      </c>
    </row>
    <row r="941">
      <c r="A941" t="inlineStr">
        <is>
          <t>CVE</t>
        </is>
      </c>
      <c r="B941" t="inlineStr">
        <is>
          <t>CVE-2026-2935</t>
        </is>
      </c>
      <c r="C941" t="inlineStr">
        <is>
          <t>A weakness has been identified in UTT HiPER 810G up to 1.7.7-171114. This issue affects the function strcpy of the file /goform/ConfigExceptMSN. Executing a manipulation of the argument remark can lead to buffer overflow. The attack can be executed remotely. The exploit has been made available to the public and could be used for attacks.</t>
        </is>
      </c>
      <c r="D941" t="n">
        <v>7.2</v>
      </c>
      <c r="E941" t="inlineStr">
        <is>
          <t>HIGH</t>
        </is>
      </c>
      <c r="F941" t="n">
        <v>2</v>
      </c>
      <c r="G941" t="n">
        <v>3</v>
      </c>
      <c r="H941" t="inlineStr">
        <is>
          <t>HIGH</t>
        </is>
      </c>
      <c r="I941" t="n">
        <v>13.2</v>
      </c>
      <c r="J941" t="inlineStr">
        <is>
          <t>NO</t>
        </is>
      </c>
      <c r="K941" t="inlineStr">
        <is>
          <t>2026-02-26 00:15</t>
        </is>
      </c>
      <c r="L941" t="inlineStr">
        <is>
          <t>YES</t>
        </is>
      </c>
      <c r="M941" t="inlineStr">
        <is>
          <t>utt 810g_firmware * | utt 810g 3.0</t>
        </is>
      </c>
      <c r="N941" t="inlineStr">
        <is>
          <t>P3</t>
        </is>
      </c>
      <c r="O941" t="inlineStr">
        <is>
          <t>CVE - IP enrichment n/a</t>
        </is>
      </c>
      <c r="P941" t="n">
        <v>0</v>
      </c>
      <c r="Q941" t="n">
        <v>0</v>
      </c>
      <c r="R941" t="inlineStr">
        <is>
          <t>T1203:Exploitation for Client Execution</t>
        </is>
      </c>
      <c r="S941" t="n">
        <v>1</v>
      </c>
      <c r="T941" t="inlineStr">
        <is>
          <t>LOW (40%)</t>
        </is>
      </c>
      <c r="U941" t="inlineStr">
        <is>
          <t>UNLIKELY</t>
        </is>
      </c>
      <c r="V941" t="inlineStr">
        <is>
          <t>PATCH_AVAILABLE</t>
        </is>
      </c>
      <c r="W941" t="inlineStr">
        <is>
          <t>https://nvd.nist.gov/vuln/detail/CVE-2026-2935</t>
        </is>
      </c>
      <c r="X941" t="inlineStr">
        <is>
          <t>NONE</t>
        </is>
      </c>
      <c r="Y941" t="n">
        <v>0</v>
      </c>
      <c r="Z941" t="inlineStr"/>
      <c r="AA941" t="inlineStr">
        <is>
          <t>https://nvd.nist.gov/vuln/detail/CVE-2026-2935</t>
        </is>
      </c>
    </row>
    <row r="942">
      <c r="A942" t="inlineStr">
        <is>
          <t>CVE</t>
        </is>
      </c>
      <c r="B942" t="inlineStr">
        <is>
          <t>CVE-2026-2938</t>
        </is>
      </c>
      <c r="C942" t="inlineStr">
        <is>
          <t>A vulnerability has been found in SourceCodester Student Result Management System 1.0. The affected element is an unknown function of the file /srms/script/admin/core/update_smtp.php. The manipulation leads to improper access controls. It is possible to initiate the attack remotely. The exploit has been disclosed to the public and may be used.</t>
        </is>
      </c>
      <c r="D942" t="n">
        <v>7.3</v>
      </c>
      <c r="E942" t="inlineStr">
        <is>
          <t>HIGH</t>
        </is>
      </c>
      <c r="F942" t="n">
        <v>2</v>
      </c>
      <c r="G942" t="n">
        <v>3</v>
      </c>
      <c r="H942" t="inlineStr">
        <is>
          <t>HIGH</t>
        </is>
      </c>
      <c r="I942" t="n">
        <v>13.3</v>
      </c>
      <c r="J942" t="inlineStr">
        <is>
          <t>NO</t>
        </is>
      </c>
      <c r="K942" t="inlineStr">
        <is>
          <t>2026-02-26 00:15</t>
        </is>
      </c>
      <c r="L942" t="inlineStr">
        <is>
          <t>CHECK_VENDOR</t>
        </is>
      </c>
      <c r="M942" t="inlineStr">
        <is>
          <t>munyweki student_result_management_system 1.0</t>
        </is>
      </c>
      <c r="N942" t="inlineStr">
        <is>
          <t>P3</t>
        </is>
      </c>
      <c r="O942" t="inlineStr">
        <is>
          <t>CVE - IP enrichment n/a</t>
        </is>
      </c>
      <c r="P942" t="n">
        <v>0</v>
      </c>
      <c r="Q942" t="n">
        <v>0</v>
      </c>
      <c r="R942" t="inlineStr">
        <is>
          <t>T1190:Exploit Public-Facing Application</t>
        </is>
      </c>
      <c r="S942" t="n">
        <v>1</v>
      </c>
      <c r="T942" t="inlineStr">
        <is>
          <t>LOW (40%)</t>
        </is>
      </c>
      <c r="U942" t="inlineStr">
        <is>
          <t>UNLIKELY</t>
        </is>
      </c>
      <c r="V942" t="inlineStr">
        <is>
          <t>CHECK_VENDOR</t>
        </is>
      </c>
      <c r="W942" t="inlineStr">
        <is>
          <t>https://nvd.nist.gov/vuln/detail/CVE-2026-2938</t>
        </is>
      </c>
      <c r="X942" t="inlineStr">
        <is>
          <t>NONE</t>
        </is>
      </c>
      <c r="Y942" t="n">
        <v>0</v>
      </c>
      <c r="Z942" t="inlineStr"/>
      <c r="AA942" t="inlineStr">
        <is>
          <t>https://nvd.nist.gov/vuln/detail/CVE-2026-2938</t>
        </is>
      </c>
    </row>
    <row r="943">
      <c r="A943" t="inlineStr">
        <is>
          <t>CVE</t>
        </is>
      </c>
      <c r="B943" t="inlineStr">
        <is>
          <t>CVE-2026-2939</t>
        </is>
      </c>
      <c r="C943" t="inlineStr">
        <is>
          <t>A vulnerability was found in itsourcecode Student Management System 1.0. The impacted element is an unknown function of the file /add_student/ of the component Add Student Module. The manipulation results in cross site scripting. It is possible to launch the attack remotely. The exploit has been made public and could be used.</t>
        </is>
      </c>
      <c r="D943" t="n">
        <v>2.4</v>
      </c>
      <c r="E943" t="inlineStr">
        <is>
          <t>LOW</t>
        </is>
      </c>
      <c r="F943" t="n">
        <v>2</v>
      </c>
      <c r="G943" t="n">
        <v>1</v>
      </c>
      <c r="H943" t="inlineStr">
        <is>
          <t>LOW</t>
        </is>
      </c>
      <c r="I943" t="n">
        <v>4.4</v>
      </c>
      <c r="J943" t="inlineStr">
        <is>
          <t>NO</t>
        </is>
      </c>
      <c r="K943" t="inlineStr">
        <is>
          <t>2026-02-26 00:15</t>
        </is>
      </c>
      <c r="L943" t="inlineStr">
        <is>
          <t>CHECK_VENDOR</t>
        </is>
      </c>
      <c r="M943" t="inlineStr">
        <is>
          <t>itsourcecode student_management_system 1.0</t>
        </is>
      </c>
      <c r="N943" t="inlineStr">
        <is>
          <t>P4</t>
        </is>
      </c>
      <c r="O943" t="inlineStr">
        <is>
          <t>CVE - IP enrichment n/a</t>
        </is>
      </c>
      <c r="P943" t="n">
        <v>0.0004</v>
      </c>
      <c r="Q943" t="n">
        <v>0.1117</v>
      </c>
      <c r="R943" t="inlineStr">
        <is>
          <t>T1189:Drive-by Compromise | T1190:Exploit Public-Facing Application</t>
        </is>
      </c>
      <c r="S943" t="n">
        <v>1</v>
      </c>
      <c r="T943" t="inlineStr">
        <is>
          <t>LOW (40%)</t>
        </is>
      </c>
      <c r="U943" t="inlineStr">
        <is>
          <t>UNLIKELY</t>
        </is>
      </c>
      <c r="V943" t="inlineStr">
        <is>
          <t>CHECK_VENDOR</t>
        </is>
      </c>
      <c r="W943" t="inlineStr">
        <is>
          <t>https://nvd.nist.gov/vuln/detail/CVE-2026-2939</t>
        </is>
      </c>
      <c r="X943" t="inlineStr">
        <is>
          <t>NONE</t>
        </is>
      </c>
      <c r="Y943" t="n">
        <v>0</v>
      </c>
      <c r="Z943" t="inlineStr"/>
      <c r="AA943" t="inlineStr">
        <is>
          <t>https://nvd.nist.gov/vuln/detail/CVE-2026-2939</t>
        </is>
      </c>
    </row>
    <row r="944">
      <c r="A944" t="inlineStr">
        <is>
          <t>CVE</t>
        </is>
      </c>
      <c r="B944" t="inlineStr">
        <is>
          <t>CVE-2026-2940</t>
        </is>
      </c>
      <c r="C944" t="inlineStr">
        <is>
          <t>A vulnerability was determined in Zaher1307 tiny_web_server up to 8d77b1044a0ca3a5297d8726ac8aa2cf944d481b. This affects the function tiny_web_server/tiny.c of the file tiny_web_server/tiny.c of the component URL Handler. This manipulation causes out-of-bounds write. The attack can be initiated remotely. The exploit has been publicly disclosed and may be utilized. Continious delivery with rolling releases is used by this product. Therefore, no version details of affected nor updated releases are</t>
        </is>
      </c>
      <c r="D944" t="n">
        <v>7.3</v>
      </c>
      <c r="E944" t="inlineStr">
        <is>
          <t>HIGH</t>
        </is>
      </c>
      <c r="F944" t="n">
        <v>2</v>
      </c>
      <c r="G944" t="n">
        <v>3</v>
      </c>
      <c r="H944" t="inlineStr">
        <is>
          <t>HIGH</t>
        </is>
      </c>
      <c r="I944" t="n">
        <v>13.3</v>
      </c>
      <c r="J944" t="inlineStr">
        <is>
          <t>NO</t>
        </is>
      </c>
      <c r="K944" t="inlineStr">
        <is>
          <t>2026-02-26 00:15</t>
        </is>
      </c>
      <c r="L944" t="inlineStr">
        <is>
          <t>CHECK_VENDOR</t>
        </is>
      </c>
      <c r="M944" t="inlineStr">
        <is>
          <t>See CVE details</t>
        </is>
      </c>
      <c r="N944" t="inlineStr">
        <is>
          <t>P3</t>
        </is>
      </c>
      <c r="O944" t="inlineStr">
        <is>
          <t>CVE - IP enrichment n/a</t>
        </is>
      </c>
      <c r="P944" t="n">
        <v>0</v>
      </c>
      <c r="Q944" t="n">
        <v>0</v>
      </c>
      <c r="R944" t="inlineStr">
        <is>
          <t>T1203:Exploitation for Client Execution</t>
        </is>
      </c>
      <c r="S944" t="n">
        <v>1</v>
      </c>
      <c r="T944" t="inlineStr">
        <is>
          <t>LOW (40%)</t>
        </is>
      </c>
      <c r="U944" t="inlineStr">
        <is>
          <t>UNLIKELY</t>
        </is>
      </c>
      <c r="V944" t="inlineStr">
        <is>
          <t>CHECK_VENDOR</t>
        </is>
      </c>
      <c r="W944" t="inlineStr">
        <is>
          <t>https://nvd.nist.gov/vuln/detail/CVE-2026-2940</t>
        </is>
      </c>
      <c r="X944" t="inlineStr">
        <is>
          <t>NONE</t>
        </is>
      </c>
      <c r="Y944" t="n">
        <v>0</v>
      </c>
      <c r="Z944" t="inlineStr"/>
      <c r="AA944" t="inlineStr">
        <is>
          <t>https://nvd.nist.gov/vuln/detail/CVE-2026-2940</t>
        </is>
      </c>
    </row>
    <row r="945">
      <c r="A945" t="inlineStr">
        <is>
          <t>CVE</t>
        </is>
      </c>
      <c r="B945" t="inlineStr">
        <is>
          <t>CVE-2026-2943</t>
        </is>
      </c>
      <c r="C945" t="inlineStr">
        <is>
          <t>A vulnerability was identified in SapneshNaik Student Management System up to f4b4f0928f0b5551a28ee81ae7e7fe47d9345318. This impacts an unknown function of the file index.php. Such manipulation of the argument Error leads to cross site scripting. The attack can be launched remotely. The exploit is publicly available and might be used. This product does not use versioning. This is why information about affected and unaffected releases are unavailable. The vendor was contacted early about this dis</t>
        </is>
      </c>
      <c r="D945" t="n">
        <v>4.3</v>
      </c>
      <c r="E945" t="inlineStr">
        <is>
          <t>MEDIUM</t>
        </is>
      </c>
      <c r="F945" t="n">
        <v>2</v>
      </c>
      <c r="G945" t="n">
        <v>2</v>
      </c>
      <c r="H945" t="inlineStr">
        <is>
          <t>MEDIUM</t>
        </is>
      </c>
      <c r="I945" t="n">
        <v>8.300000000000001</v>
      </c>
      <c r="J945" t="inlineStr">
        <is>
          <t>NO</t>
        </is>
      </c>
      <c r="K945" t="inlineStr">
        <is>
          <t>2026-02-26 00:15</t>
        </is>
      </c>
      <c r="L945" t="inlineStr">
        <is>
          <t>CHECK_VENDOR</t>
        </is>
      </c>
      <c r="M945" t="inlineStr">
        <is>
          <t>See CVE details</t>
        </is>
      </c>
      <c r="N945" t="inlineStr">
        <is>
          <t>P4</t>
        </is>
      </c>
      <c r="O945" t="inlineStr">
        <is>
          <t>CVE - IP enrichment n/a</t>
        </is>
      </c>
      <c r="P945" t="n">
        <v>0</v>
      </c>
      <c r="Q945" t="n">
        <v>0</v>
      </c>
      <c r="R945" t="inlineStr">
        <is>
          <t>T1189:Drive-by Compromise</t>
        </is>
      </c>
      <c r="S945" t="n">
        <v>1</v>
      </c>
      <c r="T945" t="inlineStr">
        <is>
          <t>LOW (40%)</t>
        </is>
      </c>
      <c r="U945" t="inlineStr">
        <is>
          <t>UNLIKELY</t>
        </is>
      </c>
      <c r="V945" t="inlineStr">
        <is>
          <t>CHECK_VENDOR</t>
        </is>
      </c>
      <c r="W945" t="inlineStr">
        <is>
          <t>https://nvd.nist.gov/vuln/detail/CVE-2026-2943</t>
        </is>
      </c>
      <c r="X945" t="inlineStr">
        <is>
          <t>NONE</t>
        </is>
      </c>
      <c r="Y945" t="n">
        <v>0</v>
      </c>
      <c r="Z945" t="inlineStr"/>
      <c r="AA945" t="inlineStr">
        <is>
          <t>https://nvd.nist.gov/vuln/detail/CVE-2026-2943</t>
        </is>
      </c>
    </row>
    <row r="946">
      <c r="A946" t="inlineStr">
        <is>
          <t>CVE</t>
        </is>
      </c>
      <c r="B946" t="inlineStr">
        <is>
          <t>CVE-2026-2944</t>
        </is>
      </c>
      <c r="C946" t="inlineStr">
        <is>
          <t>A security flaw has been discovered in Tosei Online Store Management System ネット店舗管理システム 1.01. Affected is the function system of the file /cgi-bin/monitor.php of the component HTTP POST Request Handler. Performing a manipulation of the argument DevId results in os command injection. The attack may be initiated remotely. The exploit has been released to the public and may be used for attacks. The vendor was contacted early about this disclosure but did not respond in any way.</t>
        </is>
      </c>
      <c r="D946" t="n">
        <v>7.3</v>
      </c>
      <c r="E946" t="inlineStr">
        <is>
          <t>HIGH</t>
        </is>
      </c>
      <c r="F946" t="n">
        <v>2</v>
      </c>
      <c r="G946" t="n">
        <v>3</v>
      </c>
      <c r="H946" t="inlineStr">
        <is>
          <t>HIGH</t>
        </is>
      </c>
      <c r="I946" t="n">
        <v>13.3</v>
      </c>
      <c r="J946" t="inlineStr">
        <is>
          <t>NO</t>
        </is>
      </c>
      <c r="K946" t="inlineStr">
        <is>
          <t>2026-02-26 00:15</t>
        </is>
      </c>
      <c r="L946" t="inlineStr">
        <is>
          <t>CHECK_VENDOR</t>
        </is>
      </c>
      <c r="M946" t="inlineStr">
        <is>
          <t>See CVE details</t>
        </is>
      </c>
      <c r="N946" t="inlineStr">
        <is>
          <t>P3</t>
        </is>
      </c>
      <c r="O946" t="inlineStr">
        <is>
          <t>CVE - IP enrichment n/a</t>
        </is>
      </c>
      <c r="P946" t="n">
        <v>0</v>
      </c>
      <c r="Q946" t="n">
        <v>0</v>
      </c>
      <c r="R946" t="inlineStr">
        <is>
          <t>T1059:Command and Scripting Interpreter</t>
        </is>
      </c>
      <c r="S946" t="n">
        <v>1</v>
      </c>
      <c r="T946" t="inlineStr">
        <is>
          <t>LOW (40%)</t>
        </is>
      </c>
      <c r="U946" t="inlineStr">
        <is>
          <t>UNLIKELY</t>
        </is>
      </c>
      <c r="V946" t="inlineStr">
        <is>
          <t>CHECK_VENDOR</t>
        </is>
      </c>
      <c r="W946" t="inlineStr">
        <is>
          <t>https://nvd.nist.gov/vuln/detail/CVE-2026-2944</t>
        </is>
      </c>
      <c r="X946" t="inlineStr">
        <is>
          <t>NONE</t>
        </is>
      </c>
      <c r="Y946" t="n">
        <v>0</v>
      </c>
      <c r="Z946" t="inlineStr"/>
      <c r="AA946" t="inlineStr">
        <is>
          <t>https://nvd.nist.gov/vuln/detail/CVE-2026-2944</t>
        </is>
      </c>
    </row>
    <row r="947">
      <c r="A947" t="inlineStr">
        <is>
          <t>CVE</t>
        </is>
      </c>
      <c r="B947" t="inlineStr">
        <is>
          <t>CVE-2026-2945</t>
        </is>
      </c>
      <c r="C947" t="inlineStr">
        <is>
          <t>A weakness has been identified in JeecgBoot 3.9.0. Affected by this vulnerability is an unknown functionality of the file /sys/common/uploadImgByHttp. Executing a manipulation of the argument fileUrl can lead to server-side request forgery. The attack may be launched remotely. The exploit has been made available to the public and could be used for attacks. The vendor was contacted early about this disclosure but did not respond in any way.</t>
        </is>
      </c>
      <c r="D947" t="n">
        <v>6.3</v>
      </c>
      <c r="E947" t="inlineStr">
        <is>
          <t>MEDIUM</t>
        </is>
      </c>
      <c r="F947" t="n">
        <v>2</v>
      </c>
      <c r="G947" t="n">
        <v>2</v>
      </c>
      <c r="H947" t="inlineStr">
        <is>
          <t>MEDIUM</t>
        </is>
      </c>
      <c r="I947" t="n">
        <v>10.3</v>
      </c>
      <c r="J947" t="inlineStr">
        <is>
          <t>NO</t>
        </is>
      </c>
      <c r="K947" t="inlineStr">
        <is>
          <t>2026-02-26 00:15</t>
        </is>
      </c>
      <c r="L947" t="inlineStr">
        <is>
          <t>CHECK_VENDOR</t>
        </is>
      </c>
      <c r="M947" t="inlineStr">
        <is>
          <t>See CVE details</t>
        </is>
      </c>
      <c r="N947" t="inlineStr">
        <is>
          <t>P4</t>
        </is>
      </c>
      <c r="O947" t="inlineStr">
        <is>
          <t>CVE - IP enrichment n/a</t>
        </is>
      </c>
      <c r="P947" t="n">
        <v>0</v>
      </c>
      <c r="Q947" t="n">
        <v>0</v>
      </c>
      <c r="R947" t="inlineStr">
        <is>
          <t>T1090:Proxy</t>
        </is>
      </c>
      <c r="S947" t="n">
        <v>1</v>
      </c>
      <c r="T947" t="inlineStr">
        <is>
          <t>LOW (40%)</t>
        </is>
      </c>
      <c r="U947" t="inlineStr">
        <is>
          <t>UNLIKELY</t>
        </is>
      </c>
      <c r="V947" t="inlineStr">
        <is>
          <t>CHECK_VENDOR</t>
        </is>
      </c>
      <c r="W947" t="inlineStr">
        <is>
          <t>https://nvd.nist.gov/vuln/detail/CVE-2026-2945</t>
        </is>
      </c>
      <c r="X947" t="inlineStr">
        <is>
          <t>NONE</t>
        </is>
      </c>
      <c r="Y947" t="n">
        <v>0</v>
      </c>
      <c r="Z947" t="inlineStr"/>
      <c r="AA947" t="inlineStr">
        <is>
          <t>https://nvd.nist.gov/vuln/detail/CVE-2026-2945</t>
        </is>
      </c>
    </row>
    <row r="948">
      <c r="A948" t="inlineStr">
        <is>
          <t>CVE</t>
        </is>
      </c>
      <c r="B948" t="inlineStr">
        <is>
          <t>CVE-2026-2946</t>
        </is>
      </c>
      <c r="C948" t="inlineStr">
        <is>
          <t>A security vulnerability has been detected in rymcu forest up to 0.0.5. Affected by this issue is the function XssUtils.replaceHtmlCode of the file src/main/java/com/rymcu/forest/util/XssUtils.java of the component Article Content/Comments/Portfolio. The manipulation leads to cross site scripting. Remote exploitation of the attack is possible. The exploit has been disclosed publicly and may be used. The vendor was contacted early about this disclosure but did not respond in any way.</t>
        </is>
      </c>
      <c r="D948" t="n">
        <v>3.5</v>
      </c>
      <c r="E948" t="inlineStr">
        <is>
          <t>LOW</t>
        </is>
      </c>
      <c r="F948" t="n">
        <v>2</v>
      </c>
      <c r="G948" t="n">
        <v>1</v>
      </c>
      <c r="H948" t="inlineStr">
        <is>
          <t>LOW</t>
        </is>
      </c>
      <c r="I948" t="n">
        <v>5.5</v>
      </c>
      <c r="J948" t="inlineStr">
        <is>
          <t>NO</t>
        </is>
      </c>
      <c r="K948" t="inlineStr">
        <is>
          <t>2026-02-26 00:15</t>
        </is>
      </c>
      <c r="L948" t="inlineStr">
        <is>
          <t>CHECK_VENDOR</t>
        </is>
      </c>
      <c r="M948" t="inlineStr">
        <is>
          <t>rymcu forest *</t>
        </is>
      </c>
      <c r="N948" t="inlineStr">
        <is>
          <t>P4</t>
        </is>
      </c>
      <c r="O948" t="inlineStr">
        <is>
          <t>CVE - IP enrichment n/a</t>
        </is>
      </c>
      <c r="P948" t="n">
        <v>0.0003</v>
      </c>
      <c r="Q948" t="n">
        <v>0.079</v>
      </c>
      <c r="R948" t="inlineStr">
        <is>
          <t>T1189:Drive-by Compromise</t>
        </is>
      </c>
      <c r="S948" t="n">
        <v>1</v>
      </c>
      <c r="T948" t="inlineStr">
        <is>
          <t>LOW (40%)</t>
        </is>
      </c>
      <c r="U948" t="inlineStr">
        <is>
          <t>UNLIKELY</t>
        </is>
      </c>
      <c r="V948" t="inlineStr">
        <is>
          <t>CHECK_VENDOR</t>
        </is>
      </c>
      <c r="W948" t="inlineStr">
        <is>
          <t>https://nvd.nist.gov/vuln/detail/CVE-2026-2946</t>
        </is>
      </c>
      <c r="X948" t="inlineStr">
        <is>
          <t>NONE</t>
        </is>
      </c>
      <c r="Y948" t="n">
        <v>0</v>
      </c>
      <c r="Z948" t="inlineStr"/>
      <c r="AA948" t="inlineStr">
        <is>
          <t>https://nvd.nist.gov/vuln/detail/CVE-2026-2946</t>
        </is>
      </c>
    </row>
    <row r="949">
      <c r="A949" t="inlineStr">
        <is>
          <t>CVE</t>
        </is>
      </c>
      <c r="B949" t="inlineStr">
        <is>
          <t>CVE-2019-25366</t>
        </is>
      </c>
      <c r="C949" t="inlineStr">
        <is>
          <t>microASP Portal+ CMS contains an SQL injection vulnerability that allows unauthenticated attackers to execute arbitrary SQL queries by injecting malicious code into the explode_tree parameter. Attackers can send crafted requests to pagina.phtml with SQL injection payloads using extractvalue and concat functions to extract sensitive database information like the current database name.</t>
        </is>
      </c>
      <c r="D949" t="n">
        <v>8.199999999999999</v>
      </c>
      <c r="E949" t="inlineStr">
        <is>
          <t>HIGH</t>
        </is>
      </c>
      <c r="F949" t="n">
        <v>2</v>
      </c>
      <c r="G949" t="n">
        <v>3</v>
      </c>
      <c r="H949" t="inlineStr">
        <is>
          <t>HIGH</t>
        </is>
      </c>
      <c r="I949" t="n">
        <v>14.2</v>
      </c>
      <c r="J949" t="inlineStr">
        <is>
          <t>NO</t>
        </is>
      </c>
      <c r="K949" t="inlineStr">
        <is>
          <t>2026-02-26 00:15</t>
        </is>
      </c>
      <c r="L949" t="inlineStr">
        <is>
          <t>CHECK_VENDOR</t>
        </is>
      </c>
      <c r="M949" t="inlineStr">
        <is>
          <t>See CVE details</t>
        </is>
      </c>
      <c r="N949" t="inlineStr">
        <is>
          <t>P3</t>
        </is>
      </c>
      <c r="O949" t="inlineStr">
        <is>
          <t>CVE - IP enrichment n/a</t>
        </is>
      </c>
      <c r="P949" t="n">
        <v>0.0002</v>
      </c>
      <c r="Q949" t="n">
        <v>0.0605</v>
      </c>
      <c r="R949" t="inlineStr">
        <is>
          <t>T1190:Exploit Public-Facing Application</t>
        </is>
      </c>
      <c r="S949" t="n">
        <v>1</v>
      </c>
      <c r="T949" t="inlineStr">
        <is>
          <t>LOW (40%)</t>
        </is>
      </c>
      <c r="U949" t="inlineStr">
        <is>
          <t>UNLIKELY</t>
        </is>
      </c>
      <c r="V949" t="inlineStr">
        <is>
          <t>CHECK_VENDOR</t>
        </is>
      </c>
      <c r="W949" t="inlineStr">
        <is>
          <t>https://nvd.nist.gov/vuln/detail/CVE-2019-25366</t>
        </is>
      </c>
      <c r="X949" t="inlineStr">
        <is>
          <t>NONE</t>
        </is>
      </c>
      <c r="Y949" t="n">
        <v>0</v>
      </c>
      <c r="Z949" t="inlineStr"/>
      <c r="AA949" t="inlineStr">
        <is>
          <t>https://nvd.nist.gov/vuln/detail/CVE-2019-25366</t>
        </is>
      </c>
    </row>
    <row r="950">
      <c r="A950" t="inlineStr">
        <is>
          <t>CVE</t>
        </is>
      </c>
      <c r="B950" t="inlineStr">
        <is>
          <t>CVE-2019-25391</t>
        </is>
      </c>
      <c r="C950" t="inlineStr">
        <is>
          <t>Ashop Shopping Cart Software contains a time-based blind SQL injection vulnerability that allows attackers to manipulate database queries through the blacklistitemid parameter. Attackers can send POST requests to the admin/bannedcustomers.php endpoint with crafted SQL payloads using SLEEP functions to extract sensitive database information.</t>
        </is>
      </c>
      <c r="D950" t="n">
        <v>8.199999999999999</v>
      </c>
      <c r="E950" t="inlineStr">
        <is>
          <t>HIGH</t>
        </is>
      </c>
      <c r="F950" t="n">
        <v>2</v>
      </c>
      <c r="G950" t="n">
        <v>3</v>
      </c>
      <c r="H950" t="inlineStr">
        <is>
          <t>HIGH</t>
        </is>
      </c>
      <c r="I950" t="n">
        <v>14.2</v>
      </c>
      <c r="J950" t="inlineStr">
        <is>
          <t>NO</t>
        </is>
      </c>
      <c r="K950" t="inlineStr">
        <is>
          <t>2026-02-26 00:15</t>
        </is>
      </c>
      <c r="L950" t="inlineStr">
        <is>
          <t>CHECK_VENDOR</t>
        </is>
      </c>
      <c r="M950" t="inlineStr">
        <is>
          <t>See CVE details</t>
        </is>
      </c>
      <c r="N950" t="inlineStr">
        <is>
          <t>P3</t>
        </is>
      </c>
      <c r="O950" t="inlineStr">
        <is>
          <t>CVE - IP enrichment n/a</t>
        </is>
      </c>
      <c r="P950" t="n">
        <v>0</v>
      </c>
      <c r="Q950" t="n">
        <v>0</v>
      </c>
      <c r="R950" t="inlineStr">
        <is>
          <t>T1190:Exploit Public-Facing Application</t>
        </is>
      </c>
      <c r="S950" t="n">
        <v>1</v>
      </c>
      <c r="T950" t="inlineStr">
        <is>
          <t>LOW (40%)</t>
        </is>
      </c>
      <c r="U950" t="inlineStr">
        <is>
          <t>UNLIKELY</t>
        </is>
      </c>
      <c r="V950" t="inlineStr">
        <is>
          <t>CHECK_VENDOR</t>
        </is>
      </c>
      <c r="W950" t="inlineStr">
        <is>
          <t>https://nvd.nist.gov/vuln/detail/CVE-2019-25391</t>
        </is>
      </c>
      <c r="X950" t="inlineStr">
        <is>
          <t>NONE</t>
        </is>
      </c>
      <c r="Y950" t="n">
        <v>0</v>
      </c>
      <c r="Z950" t="inlineStr"/>
      <c r="AA950" t="inlineStr">
        <is>
          <t>https://nvd.nist.gov/vuln/detail/CVE-2019-25391</t>
        </is>
      </c>
    </row>
    <row r="951">
      <c r="A951" t="inlineStr">
        <is>
          <t>CVE</t>
        </is>
      </c>
      <c r="B951" t="inlineStr">
        <is>
          <t>CVE-2019-25433</t>
        </is>
      </c>
      <c r="C951" t="inlineStr">
        <is>
          <t>XOOPS CMS 2.5.9 contains an SQL injection vulnerability that allows unauthenticated attackers to manipulate database queries by injecting SQL code through the cid parameter. Attackers can send GET requests to the gerar_pdf.php endpoint with malicious cid values to extract sensitive database information.</t>
        </is>
      </c>
      <c r="D951" t="n">
        <v>8.199999999999999</v>
      </c>
      <c r="E951" t="inlineStr">
        <is>
          <t>HIGH</t>
        </is>
      </c>
      <c r="F951" t="n">
        <v>2</v>
      </c>
      <c r="G951" t="n">
        <v>3</v>
      </c>
      <c r="H951" t="inlineStr">
        <is>
          <t>HIGH</t>
        </is>
      </c>
      <c r="I951" t="n">
        <v>14.2</v>
      </c>
      <c r="J951" t="inlineStr">
        <is>
          <t>NO</t>
        </is>
      </c>
      <c r="K951" t="inlineStr">
        <is>
          <t>2026-02-26 00:15</t>
        </is>
      </c>
      <c r="L951" t="inlineStr">
        <is>
          <t>CHECK_VENDOR</t>
        </is>
      </c>
      <c r="M951" t="inlineStr">
        <is>
          <t>See CVE details</t>
        </is>
      </c>
      <c r="N951" t="inlineStr">
        <is>
          <t>P3</t>
        </is>
      </c>
      <c r="O951" t="inlineStr">
        <is>
          <t>CVE - IP enrichment n/a</t>
        </is>
      </c>
      <c r="P951" t="n">
        <v>0.0005999999999999999</v>
      </c>
      <c r="Q951" t="n">
        <v>0.2014</v>
      </c>
      <c r="R951" t="inlineStr">
        <is>
          <t>T1190:Exploit Public-Facing Application</t>
        </is>
      </c>
      <c r="S951" t="n">
        <v>1</v>
      </c>
      <c r="T951" t="inlineStr">
        <is>
          <t>LOW (40%)</t>
        </is>
      </c>
      <c r="U951" t="inlineStr">
        <is>
          <t>UNLIKELY</t>
        </is>
      </c>
      <c r="V951" t="inlineStr">
        <is>
          <t>CHECK_VENDOR</t>
        </is>
      </c>
      <c r="W951" t="inlineStr">
        <is>
          <t>https://nvd.nist.gov/vuln/detail/CVE-2019-25433</t>
        </is>
      </c>
      <c r="X951" t="inlineStr">
        <is>
          <t>NONE</t>
        </is>
      </c>
      <c r="Y951" t="n">
        <v>0</v>
      </c>
      <c r="Z951" t="inlineStr"/>
      <c r="AA951" t="inlineStr">
        <is>
          <t>https://nvd.nist.gov/vuln/detail/CVE-2019-25433</t>
        </is>
      </c>
    </row>
    <row r="952">
      <c r="A952" t="inlineStr">
        <is>
          <t>CVE</t>
        </is>
      </c>
      <c r="B952" t="inlineStr">
        <is>
          <t>CVE-2019-25439</t>
        </is>
      </c>
      <c r="C952" t="inlineStr">
        <is>
          <t>NoviSmart CMS contains an SQL injection vulnerability that allows remote attackers to execute arbitrary SQL queries by injecting malicious code through the Referer HTTP header field. Attackers can craft requests with time-based SQL injection payloads in the Referer header to extract sensitive database information or cause denial of service.</t>
        </is>
      </c>
      <c r="D952" t="n">
        <v>8.199999999999999</v>
      </c>
      <c r="E952" t="inlineStr">
        <is>
          <t>HIGH</t>
        </is>
      </c>
      <c r="F952" t="n">
        <v>2</v>
      </c>
      <c r="G952" t="n">
        <v>3</v>
      </c>
      <c r="H952" t="inlineStr">
        <is>
          <t>HIGH</t>
        </is>
      </c>
      <c r="I952" t="n">
        <v>14.2</v>
      </c>
      <c r="J952" t="inlineStr">
        <is>
          <t>NO</t>
        </is>
      </c>
      <c r="K952" t="inlineStr">
        <is>
          <t>2026-02-26 00:15</t>
        </is>
      </c>
      <c r="L952" t="inlineStr">
        <is>
          <t>CHECK_VENDOR</t>
        </is>
      </c>
      <c r="M952" t="inlineStr">
        <is>
          <t>See CVE details</t>
        </is>
      </c>
      <c r="N952" t="inlineStr">
        <is>
          <t>P3</t>
        </is>
      </c>
      <c r="O952" t="inlineStr">
        <is>
          <t>CVE - IP enrichment n/a</t>
        </is>
      </c>
      <c r="P952" t="n">
        <v>0</v>
      </c>
      <c r="Q952" t="n">
        <v>0</v>
      </c>
      <c r="R952" t="inlineStr">
        <is>
          <t>T1190:Exploit Public-Facing Application | T1499:Endpoint Denial of Service</t>
        </is>
      </c>
      <c r="S952" t="n">
        <v>1</v>
      </c>
      <c r="T952" t="inlineStr">
        <is>
          <t>LOW (40%)</t>
        </is>
      </c>
      <c r="U952" t="inlineStr">
        <is>
          <t>UNLIKELY</t>
        </is>
      </c>
      <c r="V952" t="inlineStr">
        <is>
          <t>CHECK_VENDOR</t>
        </is>
      </c>
      <c r="W952" t="inlineStr">
        <is>
          <t>https://nvd.nist.gov/vuln/detail/CVE-2019-25439</t>
        </is>
      </c>
      <c r="X952" t="inlineStr">
        <is>
          <t>NONE</t>
        </is>
      </c>
      <c r="Y952" t="n">
        <v>0</v>
      </c>
      <c r="Z952" t="inlineStr"/>
      <c r="AA952" t="inlineStr">
        <is>
          <t>https://nvd.nist.gov/vuln/detail/CVE-2019-25439</t>
        </is>
      </c>
    </row>
    <row r="953">
      <c r="A953" t="inlineStr">
        <is>
          <t>CVE</t>
        </is>
      </c>
      <c r="B953" t="inlineStr">
        <is>
          <t>CVE-2019-25440</t>
        </is>
      </c>
      <c r="C953" t="inlineStr">
        <is>
          <t>WebIncorp ERP contains an SQL injection vulnerability that allows unauthenticated attackers to manipulate database queries by injecting SQL code through the prod_id parameter. Attackers can send GET requests to product_detail.php with malicious prod_id values to extract sensitive database information.</t>
        </is>
      </c>
      <c r="D953" t="n">
        <v>8.199999999999999</v>
      </c>
      <c r="E953" t="inlineStr">
        <is>
          <t>HIGH</t>
        </is>
      </c>
      <c r="F953" t="n">
        <v>2</v>
      </c>
      <c r="G953" t="n">
        <v>3</v>
      </c>
      <c r="H953" t="inlineStr">
        <is>
          <t>HIGH</t>
        </is>
      </c>
      <c r="I953" t="n">
        <v>14.2</v>
      </c>
      <c r="J953" t="inlineStr">
        <is>
          <t>NO</t>
        </is>
      </c>
      <c r="K953" t="inlineStr">
        <is>
          <t>2026-02-26 00:15</t>
        </is>
      </c>
      <c r="L953" t="inlineStr">
        <is>
          <t>CHECK_VENDOR</t>
        </is>
      </c>
      <c r="M953" t="inlineStr">
        <is>
          <t>See CVE details</t>
        </is>
      </c>
      <c r="N953" t="inlineStr">
        <is>
          <t>P3</t>
        </is>
      </c>
      <c r="O953" t="inlineStr">
        <is>
          <t>CVE - IP enrichment n/a</t>
        </is>
      </c>
      <c r="P953" t="n">
        <v>0.0007</v>
      </c>
      <c r="Q953" t="n">
        <v>0.2049</v>
      </c>
      <c r="R953" t="inlineStr">
        <is>
          <t>T1190:Exploit Public-Facing Application</t>
        </is>
      </c>
      <c r="S953" t="n">
        <v>1</v>
      </c>
      <c r="T953" t="inlineStr">
        <is>
          <t>LOW (40%)</t>
        </is>
      </c>
      <c r="U953" t="inlineStr">
        <is>
          <t>UNLIKELY</t>
        </is>
      </c>
      <c r="V953" t="inlineStr">
        <is>
          <t>CHECK_VENDOR</t>
        </is>
      </c>
      <c r="W953" t="inlineStr">
        <is>
          <t>https://nvd.nist.gov/vuln/detail/CVE-2019-25440</t>
        </is>
      </c>
      <c r="X953" t="inlineStr">
        <is>
          <t>NONE</t>
        </is>
      </c>
      <c r="Y953" t="n">
        <v>0</v>
      </c>
      <c r="Z953" t="inlineStr"/>
      <c r="AA953" t="inlineStr">
        <is>
          <t>https://nvd.nist.gov/vuln/detail/CVE-2019-25440</t>
        </is>
      </c>
    </row>
    <row r="954">
      <c r="A954" t="inlineStr">
        <is>
          <t>CVE</t>
        </is>
      </c>
      <c r="B954" t="inlineStr">
        <is>
          <t>CVE-2019-25442</t>
        </is>
      </c>
      <c r="C954" t="inlineStr">
        <is>
          <t>Web Wiz Forums 12.01 contains an SQL injection vulnerability that allows unauthenticated attackers to manipulate database queries by injecting SQL code through the PF parameter. Attackers can send GET requests to member_profile.asp with malicious PF values to extract sensitive database information.</t>
        </is>
      </c>
      <c r="D954" t="n">
        <v>8.199999999999999</v>
      </c>
      <c r="E954" t="inlineStr">
        <is>
          <t>HIGH</t>
        </is>
      </c>
      <c r="F954" t="n">
        <v>2</v>
      </c>
      <c r="G954" t="n">
        <v>3</v>
      </c>
      <c r="H954" t="inlineStr">
        <is>
          <t>HIGH</t>
        </is>
      </c>
      <c r="I954" t="n">
        <v>14.2</v>
      </c>
      <c r="J954" t="inlineStr">
        <is>
          <t>NO</t>
        </is>
      </c>
      <c r="K954" t="inlineStr">
        <is>
          <t>2026-02-26 00:15</t>
        </is>
      </c>
      <c r="L954" t="inlineStr">
        <is>
          <t>CHECK_VENDOR</t>
        </is>
      </c>
      <c r="M954" t="inlineStr">
        <is>
          <t>See CVE details</t>
        </is>
      </c>
      <c r="N954" t="inlineStr">
        <is>
          <t>P3</t>
        </is>
      </c>
      <c r="O954" t="inlineStr">
        <is>
          <t>CVE - IP enrichment n/a</t>
        </is>
      </c>
      <c r="P954" t="n">
        <v>0.0007</v>
      </c>
      <c r="Q954" t="n">
        <v>0.2049</v>
      </c>
      <c r="R954" t="inlineStr">
        <is>
          <t>T1190:Exploit Public-Facing Application</t>
        </is>
      </c>
      <c r="S954" t="n">
        <v>1</v>
      </c>
      <c r="T954" t="inlineStr">
        <is>
          <t>LOW (40%)</t>
        </is>
      </c>
      <c r="U954" t="inlineStr">
        <is>
          <t>UNLIKELY</t>
        </is>
      </c>
      <c r="V954" t="inlineStr">
        <is>
          <t>CHECK_VENDOR</t>
        </is>
      </c>
      <c r="W954" t="inlineStr">
        <is>
          <t>https://nvd.nist.gov/vuln/detail/CVE-2019-25442</t>
        </is>
      </c>
      <c r="X954" t="inlineStr">
        <is>
          <t>NONE</t>
        </is>
      </c>
      <c r="Y954" t="n">
        <v>0</v>
      </c>
      <c r="Z954" t="inlineStr"/>
      <c r="AA954" t="inlineStr">
        <is>
          <t>https://nvd.nist.gov/vuln/detail/CVE-2019-25442</t>
        </is>
      </c>
    </row>
    <row r="955">
      <c r="A955" t="inlineStr">
        <is>
          <t>CVE</t>
        </is>
      </c>
      <c r="B955" t="inlineStr">
        <is>
          <t>CVE-2019-25443</t>
        </is>
      </c>
      <c r="C955" t="inlineStr">
        <is>
          <t>Inventory Webapp contains an SQL injection vulnerability that allows unauthenticated attackers to manipulate database queries by injecting SQL code through GET parameters. Attackers can supply malicious SQL payloads in the name, description, quantity, or cat_id parameters to add-item.php to execute arbitrary database commands.</t>
        </is>
      </c>
      <c r="D955" t="n">
        <v>8.199999999999999</v>
      </c>
      <c r="E955" t="inlineStr">
        <is>
          <t>HIGH</t>
        </is>
      </c>
      <c r="F955" t="n">
        <v>2</v>
      </c>
      <c r="G955" t="n">
        <v>3</v>
      </c>
      <c r="H955" t="inlineStr">
        <is>
          <t>HIGH</t>
        </is>
      </c>
      <c r="I955" t="n">
        <v>14.2</v>
      </c>
      <c r="J955" t="inlineStr">
        <is>
          <t>NO</t>
        </is>
      </c>
      <c r="K955" t="inlineStr">
        <is>
          <t>2026-02-26 00:15</t>
        </is>
      </c>
      <c r="L955" t="inlineStr">
        <is>
          <t>CHECK_VENDOR</t>
        </is>
      </c>
      <c r="M955" t="inlineStr">
        <is>
          <t>See CVE details</t>
        </is>
      </c>
      <c r="N955" t="inlineStr">
        <is>
          <t>P3</t>
        </is>
      </c>
      <c r="O955" t="inlineStr">
        <is>
          <t>CVE - IP enrichment n/a</t>
        </is>
      </c>
      <c r="P955" t="n">
        <v>0.0007</v>
      </c>
      <c r="Q955" t="n">
        <v>0.2049</v>
      </c>
      <c r="R955" t="inlineStr">
        <is>
          <t>T1190:Exploit Public-Facing Application</t>
        </is>
      </c>
      <c r="S955" t="n">
        <v>1</v>
      </c>
      <c r="T955" t="inlineStr">
        <is>
          <t>LOW (40%)</t>
        </is>
      </c>
      <c r="U955" t="inlineStr">
        <is>
          <t>UNLIKELY</t>
        </is>
      </c>
      <c r="V955" t="inlineStr">
        <is>
          <t>CHECK_VENDOR</t>
        </is>
      </c>
      <c r="W955" t="inlineStr">
        <is>
          <t>https://nvd.nist.gov/vuln/detail/CVE-2019-25443</t>
        </is>
      </c>
      <c r="X955" t="inlineStr">
        <is>
          <t>NONE</t>
        </is>
      </c>
      <c r="Y955" t="n">
        <v>0</v>
      </c>
      <c r="Z955" t="inlineStr"/>
      <c r="AA955" t="inlineStr">
        <is>
          <t>https://nvd.nist.gov/vuln/detail/CVE-2019-25443</t>
        </is>
      </c>
    </row>
    <row r="956">
      <c r="A956" t="inlineStr">
        <is>
          <t>CVE</t>
        </is>
      </c>
      <c r="B956" t="inlineStr">
        <is>
          <t>CVE-2019-25446</t>
        </is>
      </c>
      <c r="C956" t="inlineStr">
        <is>
          <t>DIGIT CENTRIS ERP contains an SQL injection vulnerability that allows unauthenticated attackers to manipulate database queries by injecting SQL code through the datum1, datum2, KID, and PID parameters. Attackers can send POST requests to /korisnikinfo.php with malicious SQL syntax in these parameters to extract or modify sensitive database information.</t>
        </is>
      </c>
      <c r="D956" t="n">
        <v>8.199999999999999</v>
      </c>
      <c r="E956" t="inlineStr">
        <is>
          <t>HIGH</t>
        </is>
      </c>
      <c r="F956" t="n">
        <v>2</v>
      </c>
      <c r="G956" t="n">
        <v>3</v>
      </c>
      <c r="H956" t="inlineStr">
        <is>
          <t>HIGH</t>
        </is>
      </c>
      <c r="I956" t="n">
        <v>14.2</v>
      </c>
      <c r="J956" t="inlineStr">
        <is>
          <t>NO</t>
        </is>
      </c>
      <c r="K956" t="inlineStr">
        <is>
          <t>2026-02-26 00:15</t>
        </is>
      </c>
      <c r="L956" t="inlineStr">
        <is>
          <t>CHECK_VENDOR</t>
        </is>
      </c>
      <c r="M956" t="inlineStr">
        <is>
          <t>See CVE details</t>
        </is>
      </c>
      <c r="N956" t="inlineStr">
        <is>
          <t>P3</t>
        </is>
      </c>
      <c r="O956" t="inlineStr">
        <is>
          <t>CVE - IP enrichment n/a</t>
        </is>
      </c>
      <c r="P956" t="n">
        <v>0</v>
      </c>
      <c r="Q956" t="n">
        <v>0</v>
      </c>
      <c r="R956" t="inlineStr">
        <is>
          <t>T1190:Exploit Public-Facing Application</t>
        </is>
      </c>
      <c r="S956" t="n">
        <v>1</v>
      </c>
      <c r="T956" t="inlineStr">
        <is>
          <t>LOW (40%)</t>
        </is>
      </c>
      <c r="U956" t="inlineStr">
        <is>
          <t>UNLIKELY</t>
        </is>
      </c>
      <c r="V956" t="inlineStr">
        <is>
          <t>CHECK_VENDOR</t>
        </is>
      </c>
      <c r="W956" t="inlineStr">
        <is>
          <t>https://nvd.nist.gov/vuln/detail/CVE-2019-25446</t>
        </is>
      </c>
      <c r="X956" t="inlineStr">
        <is>
          <t>NONE</t>
        </is>
      </c>
      <c r="Y956" t="n">
        <v>0</v>
      </c>
      <c r="Z956" t="inlineStr"/>
      <c r="AA956" t="inlineStr">
        <is>
          <t>https://nvd.nist.gov/vuln/detail/CVE-2019-25446</t>
        </is>
      </c>
    </row>
    <row r="957">
      <c r="A957" t="inlineStr">
        <is>
          <t>CVE</t>
        </is>
      </c>
      <c r="B957" t="inlineStr">
        <is>
          <t>CVE-2019-25450</t>
        </is>
      </c>
      <c r="C957" t="inlineStr">
        <is>
          <t>Dolibarr ERP/CRM 10.0.1 contains multiple SQL injection vulnerabilities that allow authenticated attackers to manipulate database queries by injecting SQL code through POST parameters. Attackers can inject malicious SQL through parameters like actioncode, demand_reason_id, and availability_id in card.php endpoints to extract sensitive database information using boolean-based blind, error-based, and time-based blind techniques.</t>
        </is>
      </c>
      <c r="D957" t="n">
        <v>7.1</v>
      </c>
      <c r="E957" t="inlineStr">
        <is>
          <t>HIGH</t>
        </is>
      </c>
      <c r="F957" t="n">
        <v>2</v>
      </c>
      <c r="G957" t="n">
        <v>3</v>
      </c>
      <c r="H957" t="inlineStr">
        <is>
          <t>HIGH</t>
        </is>
      </c>
      <c r="I957" t="n">
        <v>13.1</v>
      </c>
      <c r="J957" t="inlineStr">
        <is>
          <t>NO</t>
        </is>
      </c>
      <c r="K957" t="inlineStr">
        <is>
          <t>2026-02-26 00:15</t>
        </is>
      </c>
      <c r="L957" t="inlineStr">
        <is>
          <t>CHECK_VENDOR</t>
        </is>
      </c>
      <c r="M957" t="inlineStr">
        <is>
          <t>dolibarr dolibarr_erp\/crm 10.0.1</t>
        </is>
      </c>
      <c r="N957" t="inlineStr">
        <is>
          <t>P3</t>
        </is>
      </c>
      <c r="O957" t="inlineStr">
        <is>
          <t>CVE - IP enrichment n/a</t>
        </is>
      </c>
      <c r="P957" t="n">
        <v>0</v>
      </c>
      <c r="Q957" t="n">
        <v>0</v>
      </c>
      <c r="R957" t="inlineStr">
        <is>
          <t>T1190:Exploit Public-Facing Application</t>
        </is>
      </c>
      <c r="S957" t="n">
        <v>1</v>
      </c>
      <c r="T957" t="inlineStr">
        <is>
          <t>LOW (40%)</t>
        </is>
      </c>
      <c r="U957" t="inlineStr">
        <is>
          <t>UNLIKELY</t>
        </is>
      </c>
      <c r="V957" t="inlineStr">
        <is>
          <t>CHECK_VENDOR</t>
        </is>
      </c>
      <c r="W957" t="inlineStr">
        <is>
          <t>https://nvd.nist.gov/vuln/detail/CVE-2019-25450</t>
        </is>
      </c>
      <c r="X957" t="inlineStr">
        <is>
          <t>NONE</t>
        </is>
      </c>
      <c r="Y957" t="n">
        <v>0</v>
      </c>
      <c r="Z957" t="inlineStr"/>
      <c r="AA957" t="inlineStr">
        <is>
          <t>https://nvd.nist.gov/vuln/detail/CVE-2019-25450</t>
        </is>
      </c>
    </row>
    <row r="958">
      <c r="A958" t="inlineStr">
        <is>
          <t>CVE</t>
        </is>
      </c>
      <c r="B958" t="inlineStr">
        <is>
          <t>CVE-2019-25452</t>
        </is>
      </c>
      <c r="C958" t="inlineStr">
        <is>
          <t>Dolibarr ERP/CRM 10.0.1 contains an SQL injection vulnerability in the elemid POST parameter of the viewcat.php endpoint that allows unauthenticated attackers to execute arbitrary SQL queries. Attackers can submit crafted POST requests with malicious SQL payloads in the elemid parameter to extract sensitive database information using error-based or time-based blind SQL injection techniques.</t>
        </is>
      </c>
      <c r="D958" t="n">
        <v>8.199999999999999</v>
      </c>
      <c r="E958" t="inlineStr">
        <is>
          <t>HIGH</t>
        </is>
      </c>
      <c r="F958" t="n">
        <v>2</v>
      </c>
      <c r="G958" t="n">
        <v>3</v>
      </c>
      <c r="H958" t="inlineStr">
        <is>
          <t>HIGH</t>
        </is>
      </c>
      <c r="I958" t="n">
        <v>14.2</v>
      </c>
      <c r="J958" t="inlineStr">
        <is>
          <t>NO</t>
        </is>
      </c>
      <c r="K958" t="inlineStr">
        <is>
          <t>2026-02-26 00:15</t>
        </is>
      </c>
      <c r="L958" t="inlineStr">
        <is>
          <t>CHECK_VENDOR</t>
        </is>
      </c>
      <c r="M958" t="inlineStr">
        <is>
          <t>dolibarr dolibarr_erp\/crm 10.0.1</t>
        </is>
      </c>
      <c r="N958" t="inlineStr">
        <is>
          <t>P3</t>
        </is>
      </c>
      <c r="O958" t="inlineStr">
        <is>
          <t>CVE - IP enrichment n/a</t>
        </is>
      </c>
      <c r="P958" t="n">
        <v>0</v>
      </c>
      <c r="Q958" t="n">
        <v>0</v>
      </c>
      <c r="R958" t="inlineStr">
        <is>
          <t>T1190:Exploit Public-Facing Application</t>
        </is>
      </c>
      <c r="S958" t="n">
        <v>1</v>
      </c>
      <c r="T958" t="inlineStr">
        <is>
          <t>LOW (40%)</t>
        </is>
      </c>
      <c r="U958" t="inlineStr">
        <is>
          <t>UNLIKELY</t>
        </is>
      </c>
      <c r="V958" t="inlineStr">
        <is>
          <t>CHECK_VENDOR</t>
        </is>
      </c>
      <c r="W958" t="inlineStr">
        <is>
          <t>https://nvd.nist.gov/vuln/detail/CVE-2019-25452</t>
        </is>
      </c>
      <c r="X958" t="inlineStr">
        <is>
          <t>NONE</t>
        </is>
      </c>
      <c r="Y958" t="n">
        <v>0</v>
      </c>
      <c r="Z958" t="inlineStr"/>
      <c r="AA958" t="inlineStr">
        <is>
          <t>https://nvd.nist.gov/vuln/detail/CVE-2019-25452</t>
        </is>
      </c>
    </row>
    <row r="959">
      <c r="A959" t="inlineStr">
        <is>
          <t>CVE</t>
        </is>
      </c>
      <c r="B959" t="inlineStr">
        <is>
          <t>CVE-2026-2947</t>
        </is>
      </c>
      <c r="C959" t="inlineStr">
        <is>
          <t>A vulnerability was detected in rymcu forest up to 0.0.5. This affects the function updateUserInfo of the file - src/main/java/com/rymcu/forest/web/api/user/UserInfoController.java of the component User Profile Handler. The manipulation results in cross site scripting. The attack can be executed remotely. The exploit is now public and may be used. The vendor was contacted early about this disclosure but did not respond in any way.</t>
        </is>
      </c>
      <c r="D959" t="n">
        <v>3.5</v>
      </c>
      <c r="E959" t="inlineStr">
        <is>
          <t>LOW</t>
        </is>
      </c>
      <c r="F959" t="n">
        <v>2</v>
      </c>
      <c r="G959" t="n">
        <v>1</v>
      </c>
      <c r="H959" t="inlineStr">
        <is>
          <t>LOW</t>
        </is>
      </c>
      <c r="I959" t="n">
        <v>5.5</v>
      </c>
      <c r="J959" t="inlineStr">
        <is>
          <t>NO</t>
        </is>
      </c>
      <c r="K959" t="inlineStr">
        <is>
          <t>2026-02-26 00:15</t>
        </is>
      </c>
      <c r="L959" t="inlineStr">
        <is>
          <t>CHECK_VENDOR</t>
        </is>
      </c>
      <c r="M959" t="inlineStr">
        <is>
          <t>rymcu forest *</t>
        </is>
      </c>
      <c r="N959" t="inlineStr">
        <is>
          <t>P4</t>
        </is>
      </c>
      <c r="O959" t="inlineStr">
        <is>
          <t>CVE - IP enrichment n/a</t>
        </is>
      </c>
      <c r="P959" t="n">
        <v>0</v>
      </c>
      <c r="Q959" t="n">
        <v>0</v>
      </c>
      <c r="R959" t="inlineStr">
        <is>
          <t>T1189:Drive-by Compromise</t>
        </is>
      </c>
      <c r="S959" t="n">
        <v>1</v>
      </c>
      <c r="T959" t="inlineStr">
        <is>
          <t>LOW (40%)</t>
        </is>
      </c>
      <c r="U959" t="inlineStr">
        <is>
          <t>UNLIKELY</t>
        </is>
      </c>
      <c r="V959" t="inlineStr">
        <is>
          <t>CHECK_VENDOR</t>
        </is>
      </c>
      <c r="W959" t="inlineStr">
        <is>
          <t>https://nvd.nist.gov/vuln/detail/CVE-2026-2947</t>
        </is>
      </c>
      <c r="X959" t="inlineStr">
        <is>
          <t>NONE</t>
        </is>
      </c>
      <c r="Y959" t="n">
        <v>0</v>
      </c>
      <c r="Z959" t="inlineStr"/>
      <c r="AA959" t="inlineStr">
        <is>
          <t>https://nvd.nist.gov/vuln/detail/CVE-2026-2947</t>
        </is>
      </c>
    </row>
    <row r="960">
      <c r="A960" t="inlineStr">
        <is>
          <t>CVE</t>
        </is>
      </c>
      <c r="B960" t="inlineStr">
        <is>
          <t>CVE-2026-2952</t>
        </is>
      </c>
      <c r="C960" t="inlineStr">
        <is>
          <t>A flaw has been found in Vaelsys 4.1.0. This vulnerability affects unknown code of the file /tree/tree_server.php of the component HTTP POST Request Handler. This manipulation of the argument xajaxargs causes os command injection. The attack is possible to be carried out remotely. The exploit has been published and may be used. The vendor was contacted early about this disclosure but did not respond in any way.</t>
        </is>
      </c>
      <c r="D960" t="n">
        <v>7.3</v>
      </c>
      <c r="E960" t="inlineStr">
        <is>
          <t>HIGH</t>
        </is>
      </c>
      <c r="F960" t="n">
        <v>2</v>
      </c>
      <c r="G960" t="n">
        <v>3</v>
      </c>
      <c r="H960" t="inlineStr">
        <is>
          <t>HIGH</t>
        </is>
      </c>
      <c r="I960" t="n">
        <v>13.3</v>
      </c>
      <c r="J960" t="inlineStr">
        <is>
          <t>NO</t>
        </is>
      </c>
      <c r="K960" t="inlineStr">
        <is>
          <t>2026-02-26 00:15</t>
        </is>
      </c>
      <c r="L960" t="inlineStr">
        <is>
          <t>CHECK_VENDOR</t>
        </is>
      </c>
      <c r="M960" t="inlineStr">
        <is>
          <t>vaelsys vaelsys 4.1.0</t>
        </is>
      </c>
      <c r="N960" t="inlineStr">
        <is>
          <t>P3</t>
        </is>
      </c>
      <c r="O960" t="inlineStr">
        <is>
          <t>CVE - IP enrichment n/a</t>
        </is>
      </c>
      <c r="P960" t="n">
        <v>0</v>
      </c>
      <c r="Q960" t="n">
        <v>0</v>
      </c>
      <c r="R960" t="inlineStr">
        <is>
          <t>T1059:Command and Scripting Interpreter</t>
        </is>
      </c>
      <c r="S960" t="n">
        <v>1</v>
      </c>
      <c r="T960" t="inlineStr">
        <is>
          <t>LOW (40%)</t>
        </is>
      </c>
      <c r="U960" t="inlineStr">
        <is>
          <t>UNLIKELY</t>
        </is>
      </c>
      <c r="V960" t="inlineStr">
        <is>
          <t>CHECK_VENDOR</t>
        </is>
      </c>
      <c r="W960" t="inlineStr">
        <is>
          <t>https://nvd.nist.gov/vuln/detail/CVE-2026-2952</t>
        </is>
      </c>
      <c r="X960" t="inlineStr">
        <is>
          <t>NONE</t>
        </is>
      </c>
      <c r="Y960" t="n">
        <v>0</v>
      </c>
      <c r="Z960" t="inlineStr"/>
      <c r="AA960" t="inlineStr">
        <is>
          <t>https://nvd.nist.gov/vuln/detail/CVE-2026-2952</t>
        </is>
      </c>
    </row>
    <row r="961">
      <c r="A961" t="inlineStr">
        <is>
          <t>CVE</t>
        </is>
      </c>
      <c r="B961" t="inlineStr">
        <is>
          <t>CVE-2026-2953</t>
        </is>
      </c>
      <c r="C961" t="inlineStr">
        <is>
          <t>A vulnerability has been found in Dromara UJCMS 101.2. This issue affects the function deleteDirectory of the file WebFileTemplateController.delete of the component Template Handler. Such manipulation leads to path traversal. The attack may be performed from remote. The exploit has been disclosed to the public and may be used. The vendor was contacted early about this disclosure but did not respond in any way.</t>
        </is>
      </c>
      <c r="D961" t="n">
        <v>5.4</v>
      </c>
      <c r="E961" t="inlineStr">
        <is>
          <t>MEDIUM</t>
        </is>
      </c>
      <c r="F961" t="n">
        <v>2</v>
      </c>
      <c r="G961" t="n">
        <v>2</v>
      </c>
      <c r="H961" t="inlineStr">
        <is>
          <t>MEDIUM</t>
        </is>
      </c>
      <c r="I961" t="n">
        <v>9.4</v>
      </c>
      <c r="J961" t="inlineStr">
        <is>
          <t>NO</t>
        </is>
      </c>
      <c r="K961" t="inlineStr">
        <is>
          <t>2026-02-26 00:15</t>
        </is>
      </c>
      <c r="L961" t="inlineStr">
        <is>
          <t>CHECK_VENDOR</t>
        </is>
      </c>
      <c r="M961" t="inlineStr">
        <is>
          <t>ujcms ujcms 10.1.2</t>
        </is>
      </c>
      <c r="N961" t="inlineStr">
        <is>
          <t>P4</t>
        </is>
      </c>
      <c r="O961" t="inlineStr">
        <is>
          <t>CVE - IP enrichment n/a</t>
        </is>
      </c>
      <c r="P961" t="n">
        <v>0.0004</v>
      </c>
      <c r="Q961" t="n">
        <v>0.1382</v>
      </c>
      <c r="R961" t="inlineStr">
        <is>
          <t>T1083:File and Directory Discovery</t>
        </is>
      </c>
      <c r="S961" t="n">
        <v>1</v>
      </c>
      <c r="T961" t="inlineStr">
        <is>
          <t>LOW (40%)</t>
        </is>
      </c>
      <c r="U961" t="inlineStr">
        <is>
          <t>UNLIKELY</t>
        </is>
      </c>
      <c r="V961" t="inlineStr">
        <is>
          <t>CHECK_VENDOR</t>
        </is>
      </c>
      <c r="W961" t="inlineStr">
        <is>
          <t>https://nvd.nist.gov/vuln/detail/CVE-2026-2953</t>
        </is>
      </c>
      <c r="X961" t="inlineStr">
        <is>
          <t>NONE</t>
        </is>
      </c>
      <c r="Y961" t="n">
        <v>0</v>
      </c>
      <c r="Z961" t="inlineStr"/>
      <c r="AA961" t="inlineStr">
        <is>
          <t>https://nvd.nist.gov/vuln/detail/CVE-2026-2953</t>
        </is>
      </c>
    </row>
    <row r="962">
      <c r="A962" t="inlineStr">
        <is>
          <t>CVE</t>
        </is>
      </c>
      <c r="B962" t="inlineStr">
        <is>
          <t>CVE-2019-25455</t>
        </is>
      </c>
      <c r="C962" t="inlineStr">
        <is>
          <t>Web Ofisi E-Ticaret v3 contains an SQL injection vulnerability that allows unauthenticated attackers to manipulate database queries by injecting SQL code through the 'a' parameter. Attackers can send GET requests to with malicious 'a' parameter values to extract sensitive database information.</t>
        </is>
      </c>
      <c r="D962" t="n">
        <v>8.199999999999999</v>
      </c>
      <c r="E962" t="inlineStr">
        <is>
          <t>HIGH</t>
        </is>
      </c>
      <c r="F962" t="n">
        <v>2</v>
      </c>
      <c r="G962" t="n">
        <v>3</v>
      </c>
      <c r="H962" t="inlineStr">
        <is>
          <t>HIGH</t>
        </is>
      </c>
      <c r="I962" t="n">
        <v>14.2</v>
      </c>
      <c r="J962" t="inlineStr">
        <is>
          <t>NO</t>
        </is>
      </c>
      <c r="K962" t="inlineStr">
        <is>
          <t>2026-02-26 00:15</t>
        </is>
      </c>
      <c r="L962" t="inlineStr">
        <is>
          <t>CHECK_VENDOR</t>
        </is>
      </c>
      <c r="M962" t="inlineStr">
        <is>
          <t>See CVE details</t>
        </is>
      </c>
      <c r="N962" t="inlineStr">
        <is>
          <t>P3</t>
        </is>
      </c>
      <c r="O962" t="inlineStr">
        <is>
          <t>CVE - IP enrichment n/a</t>
        </is>
      </c>
      <c r="P962" t="n">
        <v>0.0007</v>
      </c>
      <c r="Q962" t="n">
        <v>0.2136</v>
      </c>
      <c r="R962" t="inlineStr">
        <is>
          <t>T1190:Exploit Public-Facing Application</t>
        </is>
      </c>
      <c r="S962" t="n">
        <v>1</v>
      </c>
      <c r="T962" t="inlineStr">
        <is>
          <t>LOW (40%)</t>
        </is>
      </c>
      <c r="U962" t="inlineStr">
        <is>
          <t>UNLIKELY</t>
        </is>
      </c>
      <c r="V962" t="inlineStr">
        <is>
          <t>CHECK_VENDOR</t>
        </is>
      </c>
      <c r="W962" t="inlineStr">
        <is>
          <t>https://nvd.nist.gov/vuln/detail/CVE-2019-25455</t>
        </is>
      </c>
      <c r="X962" t="inlineStr">
        <is>
          <t>NONE</t>
        </is>
      </c>
      <c r="Y962" t="n">
        <v>0</v>
      </c>
      <c r="Z962" t="inlineStr"/>
      <c r="AA962" t="inlineStr">
        <is>
          <t>https://nvd.nist.gov/vuln/detail/CVE-2019-25455</t>
        </is>
      </c>
    </row>
    <row r="963">
      <c r="A963" t="inlineStr">
        <is>
          <t>CVE</t>
        </is>
      </c>
      <c r="B963" t="inlineStr">
        <is>
          <t>CVE-2019-25456</t>
        </is>
      </c>
      <c r="C963" t="inlineStr">
        <is>
          <t>Web Ofisi Emlak v2 contains an SQL injection vulnerability that allows unauthenticated attackers to manipulate database queries by injecting SQL code through the 'ara' GET parameter. Attackers can send requests to with time-based SQL injection payloads to extract sensitive database information or cause denial of service.</t>
        </is>
      </c>
      <c r="D963" t="n">
        <v>8.199999999999999</v>
      </c>
      <c r="E963" t="inlineStr">
        <is>
          <t>HIGH</t>
        </is>
      </c>
      <c r="F963" t="n">
        <v>2</v>
      </c>
      <c r="G963" t="n">
        <v>3</v>
      </c>
      <c r="H963" t="inlineStr">
        <is>
          <t>HIGH</t>
        </is>
      </c>
      <c r="I963" t="n">
        <v>14.2</v>
      </c>
      <c r="J963" t="inlineStr">
        <is>
          <t>NO</t>
        </is>
      </c>
      <c r="K963" t="inlineStr">
        <is>
          <t>2026-02-26 00:15</t>
        </is>
      </c>
      <c r="L963" t="inlineStr">
        <is>
          <t>CHECK_VENDOR</t>
        </is>
      </c>
      <c r="M963" t="inlineStr">
        <is>
          <t>See CVE details</t>
        </is>
      </c>
      <c r="N963" t="inlineStr">
        <is>
          <t>P3</t>
        </is>
      </c>
      <c r="O963" t="inlineStr">
        <is>
          <t>CVE - IP enrichment n/a</t>
        </is>
      </c>
      <c r="P963" t="n">
        <v>0</v>
      </c>
      <c r="Q963" t="n">
        <v>0</v>
      </c>
      <c r="R963" t="inlineStr">
        <is>
          <t>T1190:Exploit Public-Facing Application | T1499:Endpoint Denial of Service</t>
        </is>
      </c>
      <c r="S963" t="n">
        <v>1</v>
      </c>
      <c r="T963" t="inlineStr">
        <is>
          <t>LOW (40%)</t>
        </is>
      </c>
      <c r="U963" t="inlineStr">
        <is>
          <t>UNLIKELY</t>
        </is>
      </c>
      <c r="V963" t="inlineStr">
        <is>
          <t>CHECK_VENDOR</t>
        </is>
      </c>
      <c r="W963" t="inlineStr">
        <is>
          <t>https://nvd.nist.gov/vuln/detail/CVE-2019-25456</t>
        </is>
      </c>
      <c r="X963" t="inlineStr">
        <is>
          <t>NONE</t>
        </is>
      </c>
      <c r="Y963" t="n">
        <v>0</v>
      </c>
      <c r="Z963" t="inlineStr"/>
      <c r="AA963" t="inlineStr">
        <is>
          <t>https://nvd.nist.gov/vuln/detail/CVE-2019-25456</t>
        </is>
      </c>
    </row>
    <row r="964">
      <c r="A964" t="inlineStr">
        <is>
          <t>CVE</t>
        </is>
      </c>
      <c r="B964" t="inlineStr">
        <is>
          <t>CVE-2019-25457</t>
        </is>
      </c>
      <c r="C964" t="inlineStr">
        <is>
          <t>Web Ofisi Firma v13 contains an SQL injection vulnerability that allows unauthenticated attackers to manipulate database queries by injecting SQL code through the 'oz' array parameter. Attackers can send GET requests to category pages with malicious 'oz[]' values using time-based blind SQL injection payloads to extract sensitive database information.</t>
        </is>
      </c>
      <c r="D964" t="n">
        <v>8.199999999999999</v>
      </c>
      <c r="E964" t="inlineStr">
        <is>
          <t>HIGH</t>
        </is>
      </c>
      <c r="F964" t="n">
        <v>2</v>
      </c>
      <c r="G964" t="n">
        <v>3</v>
      </c>
      <c r="H964" t="inlineStr">
        <is>
          <t>HIGH</t>
        </is>
      </c>
      <c r="I964" t="n">
        <v>14.2</v>
      </c>
      <c r="J964" t="inlineStr">
        <is>
          <t>NO</t>
        </is>
      </c>
      <c r="K964" t="inlineStr">
        <is>
          <t>2026-02-26 00:15</t>
        </is>
      </c>
      <c r="L964" t="inlineStr">
        <is>
          <t>CHECK_VENDOR</t>
        </is>
      </c>
      <c r="M964" t="inlineStr">
        <is>
          <t>See CVE details</t>
        </is>
      </c>
      <c r="N964" t="inlineStr">
        <is>
          <t>P3</t>
        </is>
      </c>
      <c r="O964" t="inlineStr">
        <is>
          <t>CVE - IP enrichment n/a</t>
        </is>
      </c>
      <c r="P964" t="n">
        <v>0</v>
      </c>
      <c r="Q964" t="n">
        <v>0</v>
      </c>
      <c r="R964" t="inlineStr">
        <is>
          <t>T1190:Exploit Public-Facing Application</t>
        </is>
      </c>
      <c r="S964" t="n">
        <v>1</v>
      </c>
      <c r="T964" t="inlineStr">
        <is>
          <t>LOW (40%)</t>
        </is>
      </c>
      <c r="U964" t="inlineStr">
        <is>
          <t>UNLIKELY</t>
        </is>
      </c>
      <c r="V964" t="inlineStr">
        <is>
          <t>CHECK_VENDOR</t>
        </is>
      </c>
      <c r="W964" t="inlineStr">
        <is>
          <t>https://nvd.nist.gov/vuln/detail/CVE-2019-25457</t>
        </is>
      </c>
      <c r="X964" t="inlineStr">
        <is>
          <t>NONE</t>
        </is>
      </c>
      <c r="Y964" t="n">
        <v>0</v>
      </c>
      <c r="Z964" t="inlineStr"/>
      <c r="AA964" t="inlineStr">
        <is>
          <t>https://nvd.nist.gov/vuln/detail/CVE-2019-25457</t>
        </is>
      </c>
    </row>
    <row r="965">
      <c r="A965" t="inlineStr">
        <is>
          <t>CVE</t>
        </is>
      </c>
      <c r="B965" t="inlineStr">
        <is>
          <t>CVE-2019-25458</t>
        </is>
      </c>
      <c r="C965" t="inlineStr">
        <is>
          <t>Web Ofisi Firma Rehberi v1 contains an SQL injection vulnerability that allows unauthenticated attackers to manipulate database queries by injecting SQL code through GET parameters. Attackers can send requests to with malicious payloads in the 'il', 'kat', or 'kelime' parameters to extract sensitive database information or perform time-based blind SQL injection attacks.</t>
        </is>
      </c>
      <c r="D965" t="n">
        <v>8.199999999999999</v>
      </c>
      <c r="E965" t="inlineStr">
        <is>
          <t>HIGH</t>
        </is>
      </c>
      <c r="F965" t="n">
        <v>2</v>
      </c>
      <c r="G965" t="n">
        <v>3</v>
      </c>
      <c r="H965" t="inlineStr">
        <is>
          <t>HIGH</t>
        </is>
      </c>
      <c r="I965" t="n">
        <v>14.2</v>
      </c>
      <c r="J965" t="inlineStr">
        <is>
          <t>NO</t>
        </is>
      </c>
      <c r="K965" t="inlineStr">
        <is>
          <t>2026-02-26 00:15</t>
        </is>
      </c>
      <c r="L965" t="inlineStr">
        <is>
          <t>CHECK_VENDOR</t>
        </is>
      </c>
      <c r="M965" t="inlineStr">
        <is>
          <t>See CVE details</t>
        </is>
      </c>
      <c r="N965" t="inlineStr">
        <is>
          <t>P3</t>
        </is>
      </c>
      <c r="O965" t="inlineStr">
        <is>
          <t>CVE - IP enrichment n/a</t>
        </is>
      </c>
      <c r="P965" t="n">
        <v>0</v>
      </c>
      <c r="Q965" t="n">
        <v>0</v>
      </c>
      <c r="R965" t="inlineStr">
        <is>
          <t>T1190:Exploit Public-Facing Application</t>
        </is>
      </c>
      <c r="S965" t="n">
        <v>1</v>
      </c>
      <c r="T965" t="inlineStr">
        <is>
          <t>LOW (40%)</t>
        </is>
      </c>
      <c r="U965" t="inlineStr">
        <is>
          <t>UNLIKELY</t>
        </is>
      </c>
      <c r="V965" t="inlineStr">
        <is>
          <t>CHECK_VENDOR</t>
        </is>
      </c>
      <c r="W965" t="inlineStr">
        <is>
          <t>https://nvd.nist.gov/vuln/detail/CVE-2019-25458</t>
        </is>
      </c>
      <c r="X965" t="inlineStr">
        <is>
          <t>NONE</t>
        </is>
      </c>
      <c r="Y965" t="n">
        <v>0</v>
      </c>
      <c r="Z965" t="inlineStr"/>
      <c r="AA965" t="inlineStr">
        <is>
          <t>https://nvd.nist.gov/vuln/detail/CVE-2019-25458</t>
        </is>
      </c>
    </row>
    <row r="966">
      <c r="A966" t="inlineStr">
        <is>
          <t>CVE</t>
        </is>
      </c>
      <c r="B966" t="inlineStr">
        <is>
          <t>CVE-2019-25459</t>
        </is>
      </c>
      <c r="C966" t="inlineStr">
        <is>
          <t>Web Ofisi Emlak V2 contains multiple SQL injection vulnerabilities in the endpoint that allow unauthenticated attackers to manipulate database queries through GET parameters. Attackers can inject SQL code into parameters like emlak_durumu, emlak_tipi, il, ilce, kelime, and semt to extract sensitive database information or perform time-based blind SQL injection attacks.</t>
        </is>
      </c>
      <c r="D966" t="n">
        <v>8.199999999999999</v>
      </c>
      <c r="E966" t="inlineStr">
        <is>
          <t>HIGH</t>
        </is>
      </c>
      <c r="F966" t="n">
        <v>2</v>
      </c>
      <c r="G966" t="n">
        <v>3</v>
      </c>
      <c r="H966" t="inlineStr">
        <is>
          <t>HIGH</t>
        </is>
      </c>
      <c r="I966" t="n">
        <v>14.2</v>
      </c>
      <c r="J966" t="inlineStr">
        <is>
          <t>NO</t>
        </is>
      </c>
      <c r="K966" t="inlineStr">
        <is>
          <t>2026-02-26 00:15</t>
        </is>
      </c>
      <c r="L966" t="inlineStr">
        <is>
          <t>CHECK_VENDOR</t>
        </is>
      </c>
      <c r="M966" t="inlineStr">
        <is>
          <t>See CVE details</t>
        </is>
      </c>
      <c r="N966" t="inlineStr">
        <is>
          <t>P3</t>
        </is>
      </c>
      <c r="O966" t="inlineStr">
        <is>
          <t>CVE - IP enrichment n/a</t>
        </is>
      </c>
      <c r="P966" t="n">
        <v>0</v>
      </c>
      <c r="Q966" t="n">
        <v>0</v>
      </c>
      <c r="R966" t="inlineStr">
        <is>
          <t>T1190:Exploit Public-Facing Application</t>
        </is>
      </c>
      <c r="S966" t="n">
        <v>1</v>
      </c>
      <c r="T966" t="inlineStr">
        <is>
          <t>LOW (40%)</t>
        </is>
      </c>
      <c r="U966" t="inlineStr">
        <is>
          <t>UNLIKELY</t>
        </is>
      </c>
      <c r="V966" t="inlineStr">
        <is>
          <t>CHECK_VENDOR</t>
        </is>
      </c>
      <c r="W966" t="inlineStr">
        <is>
          <t>https://nvd.nist.gov/vuln/detail/CVE-2019-25459</t>
        </is>
      </c>
      <c r="X966" t="inlineStr">
        <is>
          <t>NONE</t>
        </is>
      </c>
      <c r="Y966" t="n">
        <v>0</v>
      </c>
      <c r="Z966" t="inlineStr"/>
      <c r="AA966" t="inlineStr">
        <is>
          <t>https://nvd.nist.gov/vuln/detail/CVE-2019-25459</t>
        </is>
      </c>
    </row>
    <row r="967">
      <c r="A967" t="inlineStr">
        <is>
          <t>CVE</t>
        </is>
      </c>
      <c r="B967" t="inlineStr">
        <is>
          <t>CVE-2019-25460</t>
        </is>
      </c>
      <c r="C967" t="inlineStr">
        <is>
          <t>Web Ofisi Platinum E-Ticaret v5 contains an SQL injection vulnerability that allows unauthenticated attackers to manipulate database queries by injecting SQL code through the 'q' GET parameter. Attackers can send requests to the arama endpoint with malicious 'q' values using time-based SQL injection techniques to extract sensitive database information.</t>
        </is>
      </c>
      <c r="D967" t="n">
        <v>8.199999999999999</v>
      </c>
      <c r="E967" t="inlineStr">
        <is>
          <t>HIGH</t>
        </is>
      </c>
      <c r="F967" t="n">
        <v>2</v>
      </c>
      <c r="G967" t="n">
        <v>3</v>
      </c>
      <c r="H967" t="inlineStr">
        <is>
          <t>HIGH</t>
        </is>
      </c>
      <c r="I967" t="n">
        <v>14.2</v>
      </c>
      <c r="J967" t="inlineStr">
        <is>
          <t>NO</t>
        </is>
      </c>
      <c r="K967" t="inlineStr">
        <is>
          <t>2026-02-26 00:15</t>
        </is>
      </c>
      <c r="L967" t="inlineStr">
        <is>
          <t>CHECK_VENDOR</t>
        </is>
      </c>
      <c r="M967" t="inlineStr">
        <is>
          <t>See CVE details</t>
        </is>
      </c>
      <c r="N967" t="inlineStr">
        <is>
          <t>P3</t>
        </is>
      </c>
      <c r="O967" t="inlineStr">
        <is>
          <t>CVE - IP enrichment n/a</t>
        </is>
      </c>
      <c r="P967" t="n">
        <v>0</v>
      </c>
      <c r="Q967" t="n">
        <v>0</v>
      </c>
      <c r="R967" t="inlineStr">
        <is>
          <t>T1190:Exploit Public-Facing Application</t>
        </is>
      </c>
      <c r="S967" t="n">
        <v>1</v>
      </c>
      <c r="T967" t="inlineStr">
        <is>
          <t>LOW (40%)</t>
        </is>
      </c>
      <c r="U967" t="inlineStr">
        <is>
          <t>UNLIKELY</t>
        </is>
      </c>
      <c r="V967" t="inlineStr">
        <is>
          <t>CHECK_VENDOR</t>
        </is>
      </c>
      <c r="W967" t="inlineStr">
        <is>
          <t>https://nvd.nist.gov/vuln/detail/CVE-2019-25460</t>
        </is>
      </c>
      <c r="X967" t="inlineStr">
        <is>
          <t>NONE</t>
        </is>
      </c>
      <c r="Y967" t="n">
        <v>0</v>
      </c>
      <c r="Z967" t="inlineStr"/>
      <c r="AA967" t="inlineStr">
        <is>
          <t>https://nvd.nist.gov/vuln/detail/CVE-2019-25460</t>
        </is>
      </c>
    </row>
    <row r="968">
      <c r="A968" t="inlineStr">
        <is>
          <t>CVE</t>
        </is>
      </c>
      <c r="B968" t="inlineStr">
        <is>
          <t>CVE-2019-25461</t>
        </is>
      </c>
      <c r="C968" t="inlineStr">
        <is>
          <t>Web Ofisi Platinum E-Ticaret v5 contains an SQL injection vulnerability that allows unauthenticated attackers to manipulate database queries by injecting SQL code through the 'q' parameter. Attackers can send POST requests to the ajax/productsFilterSearch endpoint with malicious 'q' values using time-based blind SQL injection techniques to extract sensitive database information.</t>
        </is>
      </c>
      <c r="D968" t="n">
        <v>8.199999999999999</v>
      </c>
      <c r="E968" t="inlineStr">
        <is>
          <t>HIGH</t>
        </is>
      </c>
      <c r="F968" t="n">
        <v>2</v>
      </c>
      <c r="G968" t="n">
        <v>3</v>
      </c>
      <c r="H968" t="inlineStr">
        <is>
          <t>HIGH</t>
        </is>
      </c>
      <c r="I968" t="n">
        <v>14.2</v>
      </c>
      <c r="J968" t="inlineStr">
        <is>
          <t>NO</t>
        </is>
      </c>
      <c r="K968" t="inlineStr">
        <is>
          <t>2026-02-26 00:15</t>
        </is>
      </c>
      <c r="L968" t="inlineStr">
        <is>
          <t>CHECK_VENDOR</t>
        </is>
      </c>
      <c r="M968" t="inlineStr">
        <is>
          <t>See CVE details</t>
        </is>
      </c>
      <c r="N968" t="inlineStr">
        <is>
          <t>P3</t>
        </is>
      </c>
      <c r="O968" t="inlineStr">
        <is>
          <t>CVE - IP enrichment n/a</t>
        </is>
      </c>
      <c r="P968" t="n">
        <v>0</v>
      </c>
      <c r="Q968" t="n">
        <v>0</v>
      </c>
      <c r="R968" t="inlineStr">
        <is>
          <t>T1190:Exploit Public-Facing Application</t>
        </is>
      </c>
      <c r="S968" t="n">
        <v>1</v>
      </c>
      <c r="T968" t="inlineStr">
        <is>
          <t>LOW (40%)</t>
        </is>
      </c>
      <c r="U968" t="inlineStr">
        <is>
          <t>UNLIKELY</t>
        </is>
      </c>
      <c r="V968" t="inlineStr">
        <is>
          <t>CHECK_VENDOR</t>
        </is>
      </c>
      <c r="W968" t="inlineStr">
        <is>
          <t>https://nvd.nist.gov/vuln/detail/CVE-2019-25461</t>
        </is>
      </c>
      <c r="X968" t="inlineStr">
        <is>
          <t>NONE</t>
        </is>
      </c>
      <c r="Y968" t="n">
        <v>0</v>
      </c>
      <c r="Z968" t="inlineStr"/>
      <c r="AA968" t="inlineStr">
        <is>
          <t>https://nvd.nist.gov/vuln/detail/CVE-2019-25461</t>
        </is>
      </c>
    </row>
    <row r="969">
      <c r="A969" t="inlineStr">
        <is>
          <t>CVE</t>
        </is>
      </c>
      <c r="B969" t="inlineStr">
        <is>
          <t>CVE-2019-25462</t>
        </is>
      </c>
      <c r="C969" t="inlineStr">
        <is>
          <t>Web Ofisi Rent a Car v3 contains an SQL injection vulnerability that allows unauthenticated attackers to manipulate database queries by injecting SQL code through the 'klima' parameter. Attackers can send GET requests to with malicious 'klima' values to extract sensitive database information or cause denial of service.</t>
        </is>
      </c>
      <c r="D969" t="n">
        <v>8.199999999999999</v>
      </c>
      <c r="E969" t="inlineStr">
        <is>
          <t>HIGH</t>
        </is>
      </c>
      <c r="F969" t="n">
        <v>2</v>
      </c>
      <c r="G969" t="n">
        <v>3</v>
      </c>
      <c r="H969" t="inlineStr">
        <is>
          <t>HIGH</t>
        </is>
      </c>
      <c r="I969" t="n">
        <v>14.2</v>
      </c>
      <c r="J969" t="inlineStr">
        <is>
          <t>NO</t>
        </is>
      </c>
      <c r="K969" t="inlineStr">
        <is>
          <t>2026-02-26 00:15</t>
        </is>
      </c>
      <c r="L969" t="inlineStr">
        <is>
          <t>CHECK_VENDOR</t>
        </is>
      </c>
      <c r="M969" t="inlineStr">
        <is>
          <t>See CVE details</t>
        </is>
      </c>
      <c r="N969" t="inlineStr">
        <is>
          <t>P3</t>
        </is>
      </c>
      <c r="O969" t="inlineStr">
        <is>
          <t>CVE - IP enrichment n/a</t>
        </is>
      </c>
      <c r="P969" t="n">
        <v>0</v>
      </c>
      <c r="Q969" t="n">
        <v>0</v>
      </c>
      <c r="R969" t="inlineStr">
        <is>
          <t>T1190:Exploit Public-Facing Application | T1499:Endpoint Denial of Service</t>
        </is>
      </c>
      <c r="S969" t="n">
        <v>1</v>
      </c>
      <c r="T969" t="inlineStr">
        <is>
          <t>LOW (40%)</t>
        </is>
      </c>
      <c r="U969" t="inlineStr">
        <is>
          <t>UNLIKELY</t>
        </is>
      </c>
      <c r="V969" t="inlineStr">
        <is>
          <t>CHECK_VENDOR</t>
        </is>
      </c>
      <c r="W969" t="inlineStr">
        <is>
          <t>https://nvd.nist.gov/vuln/detail/CVE-2019-25462</t>
        </is>
      </c>
      <c r="X969" t="inlineStr">
        <is>
          <t>NONE</t>
        </is>
      </c>
      <c r="Y969" t="n">
        <v>0</v>
      </c>
      <c r="Z969" t="inlineStr"/>
      <c r="AA969" t="inlineStr">
        <is>
          <t>https://nvd.nist.gov/vuln/detail/CVE-2019-25462</t>
        </is>
      </c>
    </row>
    <row r="970">
      <c r="A970" t="inlineStr">
        <is>
          <t>CVE</t>
        </is>
      </c>
      <c r="B970" t="inlineStr">
        <is>
          <t>CVE-2026-2954</t>
        </is>
      </c>
      <c r="C970" t="inlineStr">
        <is>
          <t>A vulnerability was found in Dromara UJCMS 10.0.2. Impacted is the function importChanel of the file /api/backend/ext/import-data/import-channel of the component ImportDataController. Performing a manipulation of the argument driverClassName/url results in injection. It is possible to initiate the attack remotely. The exploit has been made public and could be used. The vendor was contacted early about this disclosure but did not respond in any way.</t>
        </is>
      </c>
      <c r="D970" t="n">
        <v>6.3</v>
      </c>
      <c r="E970" t="inlineStr">
        <is>
          <t>MEDIUM</t>
        </is>
      </c>
      <c r="F970" t="n">
        <v>2</v>
      </c>
      <c r="G970" t="n">
        <v>2</v>
      </c>
      <c r="H970" t="inlineStr">
        <is>
          <t>MEDIUM</t>
        </is>
      </c>
      <c r="I970" t="n">
        <v>10.3</v>
      </c>
      <c r="J970" t="inlineStr">
        <is>
          <t>NO</t>
        </is>
      </c>
      <c r="K970" t="inlineStr">
        <is>
          <t>2026-02-26 00:15</t>
        </is>
      </c>
      <c r="L970" t="inlineStr">
        <is>
          <t>CHECK_VENDOR</t>
        </is>
      </c>
      <c r="M970" t="inlineStr">
        <is>
          <t>ujcms ujcms 10.0.2</t>
        </is>
      </c>
      <c r="N970" t="inlineStr">
        <is>
          <t>P4</t>
        </is>
      </c>
      <c r="O970" t="inlineStr">
        <is>
          <t>CVE - IP enrichment n/a</t>
        </is>
      </c>
      <c r="P970" t="n">
        <v>0</v>
      </c>
      <c r="Q970" t="n">
        <v>0</v>
      </c>
      <c r="R970" t="inlineStr">
        <is>
          <t>T1190:Exploit Public-Facing Application</t>
        </is>
      </c>
      <c r="S970" t="n">
        <v>1</v>
      </c>
      <c r="T970" t="inlineStr">
        <is>
          <t>LOW (40%)</t>
        </is>
      </c>
      <c r="U970" t="inlineStr">
        <is>
          <t>UNLIKELY</t>
        </is>
      </c>
      <c r="V970" t="inlineStr">
        <is>
          <t>CHECK_VENDOR</t>
        </is>
      </c>
      <c r="W970" t="inlineStr">
        <is>
          <t>https://nvd.nist.gov/vuln/detail/CVE-2026-2954</t>
        </is>
      </c>
      <c r="X970" t="inlineStr">
        <is>
          <t>NONE</t>
        </is>
      </c>
      <c r="Y970" t="n">
        <v>0</v>
      </c>
      <c r="Z970" t="inlineStr"/>
      <c r="AA970" t="inlineStr">
        <is>
          <t>https://nvd.nist.gov/vuln/detail/CVE-2026-2954</t>
        </is>
      </c>
    </row>
    <row r="971">
      <c r="A971" t="inlineStr">
        <is>
          <t>CVE</t>
        </is>
      </c>
      <c r="B971" t="inlineStr">
        <is>
          <t>CVE-2026-2956</t>
        </is>
      </c>
      <c r="C971" t="inlineStr">
        <is>
          <t>A security flaw has been discovered in qinming99 dst-admin up to 1.5.0. This affects the function revertBackup of the file /home/restore. The manipulation of the argument Name results in command injection. The attack can be launched remotely. The exploit has been released to the public and may be used for attacks. The vendor was contacted early about this disclosure but did not respond in any way.</t>
        </is>
      </c>
      <c r="D971" t="n">
        <v>6.3</v>
      </c>
      <c r="E971" t="inlineStr">
        <is>
          <t>MEDIUM</t>
        </is>
      </c>
      <c r="F971" t="n">
        <v>2</v>
      </c>
      <c r="G971" t="n">
        <v>2</v>
      </c>
      <c r="H971" t="inlineStr">
        <is>
          <t>MEDIUM</t>
        </is>
      </c>
      <c r="I971" t="n">
        <v>10.3</v>
      </c>
      <c r="J971" t="inlineStr">
        <is>
          <t>NO</t>
        </is>
      </c>
      <c r="K971" t="inlineStr">
        <is>
          <t>2026-02-26 00:15</t>
        </is>
      </c>
      <c r="L971" t="inlineStr">
        <is>
          <t>CHECK_VENDOR</t>
        </is>
      </c>
      <c r="M971" t="inlineStr">
        <is>
          <t>dst-admin_project dst-admin *</t>
        </is>
      </c>
      <c r="N971" t="inlineStr">
        <is>
          <t>P4</t>
        </is>
      </c>
      <c r="O971" t="inlineStr">
        <is>
          <t>CVE - IP enrichment n/a</t>
        </is>
      </c>
      <c r="P971" t="n">
        <v>0</v>
      </c>
      <c r="Q971" t="n">
        <v>0</v>
      </c>
      <c r="R971" t="inlineStr">
        <is>
          <t>T1059:Command and Scripting Interpreter</t>
        </is>
      </c>
      <c r="S971" t="n">
        <v>1</v>
      </c>
      <c r="T971" t="inlineStr">
        <is>
          <t>LOW (40%)</t>
        </is>
      </c>
      <c r="U971" t="inlineStr">
        <is>
          <t>UNLIKELY</t>
        </is>
      </c>
      <c r="V971" t="inlineStr">
        <is>
          <t>CHECK_VENDOR</t>
        </is>
      </c>
      <c r="W971" t="inlineStr">
        <is>
          <t>https://nvd.nist.gov/vuln/detail/CVE-2026-2956</t>
        </is>
      </c>
      <c r="X971" t="inlineStr">
        <is>
          <t>NONE</t>
        </is>
      </c>
      <c r="Y971" t="n">
        <v>0</v>
      </c>
      <c r="Z971" t="inlineStr"/>
      <c r="AA971" t="inlineStr">
        <is>
          <t>https://nvd.nist.gov/vuln/detail/CVE-2026-2956</t>
        </is>
      </c>
    </row>
    <row r="972">
      <c r="A972" t="inlineStr">
        <is>
          <t>CVE</t>
        </is>
      </c>
      <c r="B972" t="inlineStr">
        <is>
          <t>CVE-2026-2957</t>
        </is>
      </c>
      <c r="C972" t="inlineStr">
        <is>
          <t>A weakness has been identified in qinming99 dst-admin up to 1.5.0. This impacts the function deleteBackup of the file src/main/java/com/tugos/dst/admin/controller/BackupController.java of the component File Handler. This manipulation causes denial of service. The attack may be initiated remotely. The exploit has been made available to the public and could be used for attacks. The vendor was contacted early about this disclosure but did not respond in any way.</t>
        </is>
      </c>
      <c r="D972" t="n">
        <v>5.4</v>
      </c>
      <c r="E972" t="inlineStr">
        <is>
          <t>MEDIUM</t>
        </is>
      </c>
      <c r="F972" t="n">
        <v>2</v>
      </c>
      <c r="G972" t="n">
        <v>2</v>
      </c>
      <c r="H972" t="inlineStr">
        <is>
          <t>MEDIUM</t>
        </is>
      </c>
      <c r="I972" t="n">
        <v>9.4</v>
      </c>
      <c r="J972" t="inlineStr">
        <is>
          <t>NO</t>
        </is>
      </c>
      <c r="K972" t="inlineStr">
        <is>
          <t>2026-02-26 00:15</t>
        </is>
      </c>
      <c r="L972" t="inlineStr">
        <is>
          <t>CHECK_VENDOR</t>
        </is>
      </c>
      <c r="M972" t="inlineStr">
        <is>
          <t>dst-admin_project dst-admin *</t>
        </is>
      </c>
      <c r="N972" t="inlineStr">
        <is>
          <t>P4</t>
        </is>
      </c>
      <c r="O972" t="inlineStr">
        <is>
          <t>CVE - IP enrichment n/a</t>
        </is>
      </c>
      <c r="P972" t="n">
        <v>0</v>
      </c>
      <c r="Q972" t="n">
        <v>0</v>
      </c>
      <c r="R972" t="inlineStr">
        <is>
          <t>T1499:Endpoint Denial of Service</t>
        </is>
      </c>
      <c r="S972" t="n">
        <v>1</v>
      </c>
      <c r="T972" t="inlineStr">
        <is>
          <t>LOW (40%)</t>
        </is>
      </c>
      <c r="U972" t="inlineStr">
        <is>
          <t>UNLIKELY</t>
        </is>
      </c>
      <c r="V972" t="inlineStr">
        <is>
          <t>CHECK_VENDOR</t>
        </is>
      </c>
      <c r="W972" t="inlineStr">
        <is>
          <t>https://nvd.nist.gov/vuln/detail/CVE-2026-2957</t>
        </is>
      </c>
      <c r="X972" t="inlineStr">
        <is>
          <t>NONE</t>
        </is>
      </c>
      <c r="Y972" t="n">
        <v>0</v>
      </c>
      <c r="Z972" t="inlineStr"/>
      <c r="AA972" t="inlineStr">
        <is>
          <t>https://nvd.nist.gov/vuln/detail/CVE-2026-2957</t>
        </is>
      </c>
    </row>
    <row r="973">
      <c r="A973" t="inlineStr">
        <is>
          <t>CVE</t>
        </is>
      </c>
      <c r="B973" t="inlineStr">
        <is>
          <t>CVE-2026-2588</t>
        </is>
      </c>
      <c r="C973" t="inlineStr">
        <is>
          <t>Crypt::NaCl::Sodium versions through 2.001 for Perl has an integer overflow flaw on 32-bit systems.
Sodium.xs casts a STRLEN (size_t) to unsigned long long when passing a length pointer to libsodium functions.  On 32-bit systems size_t is typically 32-bits while an unsigned long long is at least 64-bits.</t>
        </is>
      </c>
      <c r="D973" t="n">
        <v>9.1</v>
      </c>
      <c r="E973" t="inlineStr">
        <is>
          <t>CRITICAL</t>
        </is>
      </c>
      <c r="F973" t="n">
        <v>2</v>
      </c>
      <c r="G973" t="n">
        <v>3</v>
      </c>
      <c r="H973" t="inlineStr">
        <is>
          <t>HIGH</t>
        </is>
      </c>
      <c r="I973" t="n">
        <v>15.1</v>
      </c>
      <c r="J973" t="inlineStr">
        <is>
          <t>NO</t>
        </is>
      </c>
      <c r="K973" t="inlineStr">
        <is>
          <t>2026-02-26 00:15</t>
        </is>
      </c>
      <c r="L973" t="inlineStr">
        <is>
          <t>CHECK_VENDOR</t>
        </is>
      </c>
      <c r="M973" t="inlineStr">
        <is>
          <t>See CVE details</t>
        </is>
      </c>
      <c r="N973" t="inlineStr">
        <is>
          <t>P3</t>
        </is>
      </c>
      <c r="O973" t="inlineStr">
        <is>
          <t>CVE - IP enrichment n/a</t>
        </is>
      </c>
      <c r="P973" t="n">
        <v>0</v>
      </c>
      <c r="Q973" t="n">
        <v>0</v>
      </c>
      <c r="R973" t="inlineStr">
        <is>
          <t>T1190:Exploit Public-Facing Application | T1203:Exploitation for Client Execution</t>
        </is>
      </c>
      <c r="S973" t="n">
        <v>1</v>
      </c>
      <c r="T973" t="inlineStr">
        <is>
          <t>LOW (40%)</t>
        </is>
      </c>
      <c r="U973" t="inlineStr">
        <is>
          <t>UNLIKELY</t>
        </is>
      </c>
      <c r="V973" t="inlineStr">
        <is>
          <t>CHECK_VENDOR</t>
        </is>
      </c>
      <c r="W973" t="inlineStr">
        <is>
          <t>https://nvd.nist.gov/vuln/detail/CVE-2026-2588</t>
        </is>
      </c>
      <c r="X973" t="inlineStr">
        <is>
          <t>NONE</t>
        </is>
      </c>
      <c r="Y973" t="n">
        <v>0</v>
      </c>
      <c r="Z973" t="inlineStr"/>
      <c r="AA973" t="inlineStr">
        <is>
          <t>https://nvd.nist.gov/vuln/detail/CVE-2026-2588</t>
        </is>
      </c>
    </row>
    <row r="974">
      <c r="A974" t="inlineStr">
        <is>
          <t>CVE</t>
        </is>
      </c>
      <c r="B974" t="inlineStr">
        <is>
          <t>CVE-2026-2958</t>
        </is>
      </c>
      <c r="C974" t="inlineStr">
        <is>
          <t>A security vulnerability has been detected in D-Link DWR-M960 1.01.07. Affected is the function sub_457C5C of the file /boafrm/formWsc. Such manipulation of the argument save_apply leads to stack-based buffer overflow. The attack may be launched remotely. The exploit has been disclosed publicly and may be used.</t>
        </is>
      </c>
      <c r="D974" t="n">
        <v>8.800000000000001</v>
      </c>
      <c r="E974" t="inlineStr">
        <is>
          <t>HIGH</t>
        </is>
      </c>
      <c r="F974" t="n">
        <v>2</v>
      </c>
      <c r="G974" t="n">
        <v>3</v>
      </c>
      <c r="H974" t="inlineStr">
        <is>
          <t>HIGH</t>
        </is>
      </c>
      <c r="I974" t="n">
        <v>14.8</v>
      </c>
      <c r="J974" t="inlineStr">
        <is>
          <t>NO</t>
        </is>
      </c>
      <c r="K974" t="inlineStr">
        <is>
          <t>2026-02-26 00:15</t>
        </is>
      </c>
      <c r="L974" t="inlineStr">
        <is>
          <t>CHECK_VENDOR</t>
        </is>
      </c>
      <c r="M974" t="inlineStr">
        <is>
          <t>dlink dwr-m960 b1 | dlink dwr-m960_firmware 1.01.07</t>
        </is>
      </c>
      <c r="N974" t="inlineStr">
        <is>
          <t>P3</t>
        </is>
      </c>
      <c r="O974" t="inlineStr">
        <is>
          <t>CVE - IP enrichment n/a</t>
        </is>
      </c>
      <c r="P974" t="n">
        <v>0</v>
      </c>
      <c r="Q974" t="n">
        <v>0</v>
      </c>
      <c r="R974" t="inlineStr">
        <is>
          <t>T1203:Exploitation for Client Execution</t>
        </is>
      </c>
      <c r="S974" t="n">
        <v>1</v>
      </c>
      <c r="T974" t="inlineStr">
        <is>
          <t>LOW (40%)</t>
        </is>
      </c>
      <c r="U974" t="inlineStr">
        <is>
          <t>UNLIKELY</t>
        </is>
      </c>
      <c r="V974" t="inlineStr">
        <is>
          <t>CHECK_VENDOR</t>
        </is>
      </c>
      <c r="W974" t="inlineStr">
        <is>
          <t>https://nvd.nist.gov/vuln/detail/CVE-2026-2958</t>
        </is>
      </c>
      <c r="X974" t="inlineStr">
        <is>
          <t>NONE</t>
        </is>
      </c>
      <c r="Y974" t="n">
        <v>0</v>
      </c>
      <c r="Z974" t="inlineStr"/>
      <c r="AA974" t="inlineStr">
        <is>
          <t>https://nvd.nist.gov/vuln/detail/CVE-2026-2958</t>
        </is>
      </c>
    </row>
    <row r="975">
      <c r="A975" t="inlineStr">
        <is>
          <t>CVE</t>
        </is>
      </c>
      <c r="B975" t="inlineStr">
        <is>
          <t>CVE-2026-2959</t>
        </is>
      </c>
      <c r="C975" t="inlineStr">
        <is>
          <t>A vulnerability was detected in D-Link DWR-M960 1.01.07. Affected by this vulnerability is the function sub_44E0F8 of the file /boafrm/formNewSchedule. Performing a manipulation of the argument url results in stack-based buffer overflow. Remote exploitation of the attack is possible. The exploit is now public and may be used.</t>
        </is>
      </c>
      <c r="D975" t="n">
        <v>8.800000000000001</v>
      </c>
      <c r="E975" t="inlineStr">
        <is>
          <t>HIGH</t>
        </is>
      </c>
      <c r="F975" t="n">
        <v>2</v>
      </c>
      <c r="G975" t="n">
        <v>3</v>
      </c>
      <c r="H975" t="inlineStr">
        <is>
          <t>HIGH</t>
        </is>
      </c>
      <c r="I975" t="n">
        <v>14.8</v>
      </c>
      <c r="J975" t="inlineStr">
        <is>
          <t>NO</t>
        </is>
      </c>
      <c r="K975" t="inlineStr">
        <is>
          <t>2026-02-26 00:15</t>
        </is>
      </c>
      <c r="L975" t="inlineStr">
        <is>
          <t>CHECK_VENDOR</t>
        </is>
      </c>
      <c r="M975" t="inlineStr">
        <is>
          <t>dlink dwr-m960 b1 | dlink dwr-m960_firmware 1.01.07</t>
        </is>
      </c>
      <c r="N975" t="inlineStr">
        <is>
          <t>P3</t>
        </is>
      </c>
      <c r="O975" t="inlineStr">
        <is>
          <t>CVE - IP enrichment n/a</t>
        </is>
      </c>
      <c r="P975" t="n">
        <v>0</v>
      </c>
      <c r="Q975" t="n">
        <v>0</v>
      </c>
      <c r="R975" t="inlineStr">
        <is>
          <t>T1203:Exploitation for Client Execution</t>
        </is>
      </c>
      <c r="S975" t="n">
        <v>1</v>
      </c>
      <c r="T975" t="inlineStr">
        <is>
          <t>LOW (40%)</t>
        </is>
      </c>
      <c r="U975" t="inlineStr">
        <is>
          <t>UNLIKELY</t>
        </is>
      </c>
      <c r="V975" t="inlineStr">
        <is>
          <t>CHECK_VENDOR</t>
        </is>
      </c>
      <c r="W975" t="inlineStr">
        <is>
          <t>https://nvd.nist.gov/vuln/detail/CVE-2026-2959</t>
        </is>
      </c>
      <c r="X975" t="inlineStr">
        <is>
          <t>NONE</t>
        </is>
      </c>
      <c r="Y975" t="n">
        <v>0</v>
      </c>
      <c r="Z975" t="inlineStr"/>
      <c r="AA975" t="inlineStr">
        <is>
          <t>https://nvd.nist.gov/vuln/detail/CVE-2026-2959</t>
        </is>
      </c>
    </row>
    <row r="976">
      <c r="A976" t="inlineStr">
        <is>
          <t>CVE</t>
        </is>
      </c>
      <c r="B976" t="inlineStr">
        <is>
          <t>CVE-2026-2960</t>
        </is>
      </c>
      <c r="C976" t="inlineStr">
        <is>
          <t>A flaw has been found in D-Link DWR-M960 1.01.07. Affected by this issue is the function sub_468D64 of the file /boafrm/formDhcpv6s. Executing a manipulation of the argument submit-url can lead to stack-based buffer overflow. The attack can be executed remotely. The exploit has been published and may be used.</t>
        </is>
      </c>
      <c r="D976" t="n">
        <v>8.800000000000001</v>
      </c>
      <c r="E976" t="inlineStr">
        <is>
          <t>HIGH</t>
        </is>
      </c>
      <c r="F976" t="n">
        <v>2</v>
      </c>
      <c r="G976" t="n">
        <v>3</v>
      </c>
      <c r="H976" t="inlineStr">
        <is>
          <t>HIGH</t>
        </is>
      </c>
      <c r="I976" t="n">
        <v>14.8</v>
      </c>
      <c r="J976" t="inlineStr">
        <is>
          <t>NO</t>
        </is>
      </c>
      <c r="K976" t="inlineStr">
        <is>
          <t>2026-02-26 00:15</t>
        </is>
      </c>
      <c r="L976" t="inlineStr">
        <is>
          <t>CHECK_VENDOR</t>
        </is>
      </c>
      <c r="M976" t="inlineStr">
        <is>
          <t>dlink dwr-m960 b1 | dlink dwr-m960_firmware 1.01.07</t>
        </is>
      </c>
      <c r="N976" t="inlineStr">
        <is>
          <t>P3</t>
        </is>
      </c>
      <c r="O976" t="inlineStr">
        <is>
          <t>CVE - IP enrichment n/a</t>
        </is>
      </c>
      <c r="P976" t="n">
        <v>0</v>
      </c>
      <c r="Q976" t="n">
        <v>0</v>
      </c>
      <c r="R976" t="inlineStr">
        <is>
          <t>T1203:Exploitation for Client Execution</t>
        </is>
      </c>
      <c r="S976" t="n">
        <v>1</v>
      </c>
      <c r="T976" t="inlineStr">
        <is>
          <t>LOW (40%)</t>
        </is>
      </c>
      <c r="U976" t="inlineStr">
        <is>
          <t>UNLIKELY</t>
        </is>
      </c>
      <c r="V976" t="inlineStr">
        <is>
          <t>CHECK_VENDOR</t>
        </is>
      </c>
      <c r="W976" t="inlineStr">
        <is>
          <t>https://nvd.nist.gov/vuln/detail/CVE-2026-2960</t>
        </is>
      </c>
      <c r="X976" t="inlineStr">
        <is>
          <t>NONE</t>
        </is>
      </c>
      <c r="Y976" t="n">
        <v>0</v>
      </c>
      <c r="Z976" t="inlineStr"/>
      <c r="AA976" t="inlineStr">
        <is>
          <t>https://nvd.nist.gov/vuln/detail/CVE-2026-2960</t>
        </is>
      </c>
    </row>
    <row r="977">
      <c r="A977" t="inlineStr">
        <is>
          <t>CVE</t>
        </is>
      </c>
      <c r="B977" t="inlineStr">
        <is>
          <t>CVE-2026-2961</t>
        </is>
      </c>
      <c r="C977" t="inlineStr">
        <is>
          <t>A vulnerability has been found in D-Link DWR-M960 1.01.07. This affects the function sub_4196C4 of the file /boafrm/formVpnConfigSetup of the component VPN Configuration Endpoint. The manipulation of the argument submit-url leads to stack-based buffer overflow. The attack is possible to be carried out remotely. The exploit has been disclosed to the public and may be used.</t>
        </is>
      </c>
      <c r="D977" t="n">
        <v>8.800000000000001</v>
      </c>
      <c r="E977" t="inlineStr">
        <is>
          <t>HIGH</t>
        </is>
      </c>
      <c r="F977" t="n">
        <v>2</v>
      </c>
      <c r="G977" t="n">
        <v>3</v>
      </c>
      <c r="H977" t="inlineStr">
        <is>
          <t>HIGH</t>
        </is>
      </c>
      <c r="I977" t="n">
        <v>14.8</v>
      </c>
      <c r="J977" t="inlineStr">
        <is>
          <t>NO</t>
        </is>
      </c>
      <c r="K977" t="inlineStr">
        <is>
          <t>2026-02-26 00:15</t>
        </is>
      </c>
      <c r="L977" t="inlineStr">
        <is>
          <t>CHECK_VENDOR</t>
        </is>
      </c>
      <c r="M977" t="inlineStr">
        <is>
          <t>dlink dwr-m960 b1 | dlink dwr-m960_firmware 1.01.07</t>
        </is>
      </c>
      <c r="N977" t="inlineStr">
        <is>
          <t>P3</t>
        </is>
      </c>
      <c r="O977" t="inlineStr">
        <is>
          <t>CVE - IP enrichment n/a</t>
        </is>
      </c>
      <c r="P977" t="n">
        <v>0.0003</v>
      </c>
      <c r="Q977" t="n">
        <v>0.0823</v>
      </c>
      <c r="R977" t="inlineStr">
        <is>
          <t>T1203:Exploitation for Client Execution | T1133:External Remote Services</t>
        </is>
      </c>
      <c r="S977" t="n">
        <v>1</v>
      </c>
      <c r="T977" t="inlineStr">
        <is>
          <t>LOW (40%)</t>
        </is>
      </c>
      <c r="U977" t="inlineStr">
        <is>
          <t>UNLIKELY</t>
        </is>
      </c>
      <c r="V977" t="inlineStr">
        <is>
          <t>CHECK_VENDOR</t>
        </is>
      </c>
      <c r="W977" t="inlineStr">
        <is>
          <t>https://nvd.nist.gov/vuln/detail/CVE-2026-2961</t>
        </is>
      </c>
      <c r="X977" t="inlineStr">
        <is>
          <t>NONE</t>
        </is>
      </c>
      <c r="Y977" t="n">
        <v>0</v>
      </c>
      <c r="Z977" t="inlineStr"/>
      <c r="AA977" t="inlineStr">
        <is>
          <t>https://nvd.nist.gov/vuln/detail/CVE-2026-2961</t>
        </is>
      </c>
    </row>
    <row r="978">
      <c r="A978" t="inlineStr">
        <is>
          <t>CVE</t>
        </is>
      </c>
      <c r="B978" t="inlineStr">
        <is>
          <t>CVE-2026-2962</t>
        </is>
      </c>
      <c r="C978" t="inlineStr">
        <is>
          <t>A vulnerability was found in D-Link DWR-M960 1.01.07. This vulnerability affects the function sub_460F30 of the file /boafrm/formDateReboot of the component Scheduled Reboot Configuration Endpoint. The manipulation of the argument submit-url results in stack-based buffer overflow. The attack may be performed from remote. The exploit has been made public and could be used.</t>
        </is>
      </c>
      <c r="D978" t="n">
        <v>8.800000000000001</v>
      </c>
      <c r="E978" t="inlineStr">
        <is>
          <t>HIGH</t>
        </is>
      </c>
      <c r="F978" t="n">
        <v>2</v>
      </c>
      <c r="G978" t="n">
        <v>3</v>
      </c>
      <c r="H978" t="inlineStr">
        <is>
          <t>HIGH</t>
        </is>
      </c>
      <c r="I978" t="n">
        <v>14.8</v>
      </c>
      <c r="J978" t="inlineStr">
        <is>
          <t>NO</t>
        </is>
      </c>
      <c r="K978" t="inlineStr">
        <is>
          <t>2026-02-26 00:15</t>
        </is>
      </c>
      <c r="L978" t="inlineStr">
        <is>
          <t>CHECK_VENDOR</t>
        </is>
      </c>
      <c r="M978" t="inlineStr">
        <is>
          <t>dlink dwr-m960 b1 | dlink dwr-m960_firmware 1.01.07</t>
        </is>
      </c>
      <c r="N978" t="inlineStr">
        <is>
          <t>P3</t>
        </is>
      </c>
      <c r="O978" t="inlineStr">
        <is>
          <t>CVE - IP enrichment n/a</t>
        </is>
      </c>
      <c r="P978" t="n">
        <v>0.0003</v>
      </c>
      <c r="Q978" t="n">
        <v>0.0823</v>
      </c>
      <c r="R978" t="inlineStr">
        <is>
          <t>T1203:Exploitation for Client Execution</t>
        </is>
      </c>
      <c r="S978" t="n">
        <v>1</v>
      </c>
      <c r="T978" t="inlineStr">
        <is>
          <t>LOW (40%)</t>
        </is>
      </c>
      <c r="U978" t="inlineStr">
        <is>
          <t>UNLIKELY</t>
        </is>
      </c>
      <c r="V978" t="inlineStr">
        <is>
          <t>CHECK_VENDOR</t>
        </is>
      </c>
      <c r="W978" t="inlineStr">
        <is>
          <t>https://nvd.nist.gov/vuln/detail/CVE-2026-2962</t>
        </is>
      </c>
      <c r="X978" t="inlineStr">
        <is>
          <t>NONE</t>
        </is>
      </c>
      <c r="Y978" t="n">
        <v>0</v>
      </c>
      <c r="Z978" t="inlineStr"/>
      <c r="AA978" t="inlineStr">
        <is>
          <t>https://nvd.nist.gov/vuln/detail/CVE-2026-2962</t>
        </is>
      </c>
    </row>
    <row r="979">
      <c r="A979" t="inlineStr">
        <is>
          <t>CVE</t>
        </is>
      </c>
      <c r="B979" t="inlineStr">
        <is>
          <t>CVE-2026-2963</t>
        </is>
      </c>
      <c r="C979" t="inlineStr">
        <is>
          <t>A vulnerability was determined in Jinher OA C6 up to 20260210. This issue affects some unknown processing of the file /C6/Jhsoft.Web.officesupply/OfficeSupplyTypeRight.aspx. This manipulation of the argument id/offsnum causes sql injection. It is possible to initiate the attack remotely. The exploit has been publicly disclosed and may be utilized. It is suggested to install a patch to address this issue. The vendor was contacted early about this disclosure but did not respond in any way.</t>
        </is>
      </c>
      <c r="D979" t="n">
        <v>6.3</v>
      </c>
      <c r="E979" t="inlineStr">
        <is>
          <t>MEDIUM</t>
        </is>
      </c>
      <c r="F979" t="n">
        <v>2</v>
      </c>
      <c r="G979" t="n">
        <v>2</v>
      </c>
      <c r="H979" t="inlineStr">
        <is>
          <t>MEDIUM</t>
        </is>
      </c>
      <c r="I979" t="n">
        <v>10.3</v>
      </c>
      <c r="J979" t="inlineStr">
        <is>
          <t>NO</t>
        </is>
      </c>
      <c r="K979" t="inlineStr">
        <is>
          <t>2026-02-26 00:15</t>
        </is>
      </c>
      <c r="L979" t="inlineStr">
        <is>
          <t>CHECK_VENDOR</t>
        </is>
      </c>
      <c r="M979" t="inlineStr">
        <is>
          <t>See CVE details</t>
        </is>
      </c>
      <c r="N979" t="inlineStr">
        <is>
          <t>P4</t>
        </is>
      </c>
      <c r="O979" t="inlineStr">
        <is>
          <t>CVE - IP enrichment n/a</t>
        </is>
      </c>
      <c r="P979" t="n">
        <v>0</v>
      </c>
      <c r="Q979" t="n">
        <v>0</v>
      </c>
      <c r="R979" t="inlineStr">
        <is>
          <t>T1190:Exploit Public-Facing Application</t>
        </is>
      </c>
      <c r="S979" t="n">
        <v>1</v>
      </c>
      <c r="T979" t="inlineStr">
        <is>
          <t>LOW (40%)</t>
        </is>
      </c>
      <c r="U979" t="inlineStr">
        <is>
          <t>UNLIKELY</t>
        </is>
      </c>
      <c r="V979" t="inlineStr">
        <is>
          <t>CHECK_VENDOR</t>
        </is>
      </c>
      <c r="W979" t="inlineStr">
        <is>
          <t>https://nvd.nist.gov/vuln/detail/CVE-2026-2963</t>
        </is>
      </c>
      <c r="X979" t="inlineStr">
        <is>
          <t>NONE</t>
        </is>
      </c>
      <c r="Y979" t="n">
        <v>0</v>
      </c>
      <c r="Z979" t="inlineStr"/>
      <c r="AA979" t="inlineStr">
        <is>
          <t>https://nvd.nist.gov/vuln/detail/CVE-2026-2963</t>
        </is>
      </c>
    </row>
    <row r="980">
      <c r="A980" t="inlineStr">
        <is>
          <t>CVE</t>
        </is>
      </c>
      <c r="B980" t="inlineStr">
        <is>
          <t>CVE-2026-24494</t>
        </is>
      </c>
      <c r="C980" t="inlineStr">
        <is>
          <t>SQL Injection vulnerability in the /api/integrations/getintegrations endpoint of Order Up Online Ordering System 1.0 allows an unauthenticated attacker to access sensitive backend database data via a crafted store_id parameter in a POST request.</t>
        </is>
      </c>
      <c r="D980" t="n">
        <v>9.800000000000001</v>
      </c>
      <c r="E980" t="inlineStr">
        <is>
          <t>CRITICAL</t>
        </is>
      </c>
      <c r="F980" t="n">
        <v>2</v>
      </c>
      <c r="G980" t="n">
        <v>3</v>
      </c>
      <c r="H980" t="inlineStr">
        <is>
          <t>HIGH</t>
        </is>
      </c>
      <c r="I980" t="n">
        <v>15.8</v>
      </c>
      <c r="J980" t="inlineStr">
        <is>
          <t>NO</t>
        </is>
      </c>
      <c r="K980" t="inlineStr">
        <is>
          <t>2026-02-26 00:15</t>
        </is>
      </c>
      <c r="L980" t="inlineStr">
        <is>
          <t>CHECK_VENDOR</t>
        </is>
      </c>
      <c r="M980" t="inlineStr">
        <is>
          <t>See CVE details</t>
        </is>
      </c>
      <c r="N980" t="inlineStr">
        <is>
          <t>P3</t>
        </is>
      </c>
      <c r="O980" t="inlineStr">
        <is>
          <t>CVE - IP enrichment n/a</t>
        </is>
      </c>
      <c r="P980" t="n">
        <v>0</v>
      </c>
      <c r="Q980" t="n">
        <v>0</v>
      </c>
      <c r="R980" t="inlineStr">
        <is>
          <t>T1190:Exploit Public-Facing Application</t>
        </is>
      </c>
      <c r="S980" t="n">
        <v>1</v>
      </c>
      <c r="T980" t="inlineStr">
        <is>
          <t>LOW (40%)</t>
        </is>
      </c>
      <c r="U980" t="inlineStr">
        <is>
          <t>UNLIKELY</t>
        </is>
      </c>
      <c r="V980" t="inlineStr">
        <is>
          <t>CHECK_VENDOR</t>
        </is>
      </c>
      <c r="W980" t="inlineStr">
        <is>
          <t>https://nvd.nist.gov/vuln/detail/CVE-2026-24494</t>
        </is>
      </c>
      <c r="X980" t="inlineStr">
        <is>
          <t>NONE</t>
        </is>
      </c>
      <c r="Y980" t="n">
        <v>0</v>
      </c>
      <c r="Z980" t="inlineStr"/>
      <c r="AA980" t="inlineStr">
        <is>
          <t>https://nvd.nist.gov/vuln/detail/CVE-2026-24494</t>
        </is>
      </c>
    </row>
    <row r="981">
      <c r="A981" t="inlineStr">
        <is>
          <t>CVE</t>
        </is>
      </c>
      <c r="B981" t="inlineStr">
        <is>
          <t>CVE-2026-2964</t>
        </is>
      </c>
      <c r="C981" t="inlineStr">
        <is>
          <t>A vulnerability was identified in higuma web-audio-recorder-js 0.1/0.1.1. Impacted is the function extend in the library lib/WebAudioRecorder.js of the component Dynamic Config Handling. Such manipulation leads to improperly controlled modification of object prototype attributes. It is possible to launch the attack remotely. Attacks of this nature are highly complex. The exploitability is considered difficult. The exploit is publicly available and might be used. The vendor was contacted early ab</t>
        </is>
      </c>
      <c r="D981" t="n">
        <v>5</v>
      </c>
      <c r="E981" t="inlineStr">
        <is>
          <t>MEDIUM</t>
        </is>
      </c>
      <c r="F981" t="n">
        <v>2</v>
      </c>
      <c r="G981" t="n">
        <v>2</v>
      </c>
      <c r="H981" t="inlineStr">
        <is>
          <t>MEDIUM</t>
        </is>
      </c>
      <c r="I981" t="n">
        <v>9</v>
      </c>
      <c r="J981" t="inlineStr">
        <is>
          <t>NO</t>
        </is>
      </c>
      <c r="K981" t="inlineStr">
        <is>
          <t>2026-02-26 00:15</t>
        </is>
      </c>
      <c r="L981" t="inlineStr">
        <is>
          <t>CHECK_VENDOR</t>
        </is>
      </c>
      <c r="M981" t="inlineStr">
        <is>
          <t>See CVE details</t>
        </is>
      </c>
      <c r="N981" t="inlineStr">
        <is>
          <t>P4</t>
        </is>
      </c>
      <c r="O981" t="inlineStr">
        <is>
          <t>CVE - IP enrichment n/a</t>
        </is>
      </c>
      <c r="P981" t="n">
        <v>0.0005</v>
      </c>
      <c r="Q981" t="n">
        <v>0.1416</v>
      </c>
      <c r="R981" t="inlineStr">
        <is>
          <t>T1059:Command and Scripting Interpreter</t>
        </is>
      </c>
      <c r="S981" t="n">
        <v>1</v>
      </c>
      <c r="T981" t="inlineStr">
        <is>
          <t>LOW (40%)</t>
        </is>
      </c>
      <c r="U981" t="inlineStr">
        <is>
          <t>UNLIKELY</t>
        </is>
      </c>
      <c r="V981" t="inlineStr">
        <is>
          <t>CHECK_VENDOR</t>
        </is>
      </c>
      <c r="W981" t="inlineStr">
        <is>
          <t>https://nvd.nist.gov/vuln/detail/CVE-2026-2964</t>
        </is>
      </c>
      <c r="X981" t="inlineStr">
        <is>
          <t>NONE</t>
        </is>
      </c>
      <c r="Y981" t="n">
        <v>0</v>
      </c>
      <c r="Z981" t="inlineStr"/>
      <c r="AA981" t="inlineStr">
        <is>
          <t>https://nvd.nist.gov/vuln/detail/CVE-2026-2964</t>
        </is>
      </c>
    </row>
    <row r="982">
      <c r="A982" t="inlineStr">
        <is>
          <t>CVE</t>
        </is>
      </c>
      <c r="B982" t="inlineStr">
        <is>
          <t>CVE-2026-2965</t>
        </is>
      </c>
      <c r="C982" t="inlineStr">
        <is>
          <t>A security flaw has been discovered in 07FLYCMS, 07FLY-CMS and 07FlyCRM up to 1.2.9. The affected element is an unknown function of the file /admin/SysModule/edit.html of the component System Extension Module. Performing a manipulation of the argument Title results in cross site scripting. The attack can be initiated remotely. The exploit has been released to the public and may be used for attacks. This product is published under multiple names. The vendor was contacted early about this disclosu</t>
        </is>
      </c>
      <c r="D982" t="n">
        <v>2.4</v>
      </c>
      <c r="E982" t="inlineStr">
        <is>
          <t>LOW</t>
        </is>
      </c>
      <c r="F982" t="n">
        <v>2</v>
      </c>
      <c r="G982" t="n">
        <v>1</v>
      </c>
      <c r="H982" t="inlineStr">
        <is>
          <t>LOW</t>
        </is>
      </c>
      <c r="I982" t="n">
        <v>4.4</v>
      </c>
      <c r="J982" t="inlineStr">
        <is>
          <t>NO</t>
        </is>
      </c>
      <c r="K982" t="inlineStr">
        <is>
          <t>2026-02-26 00:15</t>
        </is>
      </c>
      <c r="L982" t="inlineStr">
        <is>
          <t>CHECK_VENDOR</t>
        </is>
      </c>
      <c r="M982" t="inlineStr">
        <is>
          <t>See CVE details</t>
        </is>
      </c>
      <c r="N982" t="inlineStr">
        <is>
          <t>P4</t>
        </is>
      </c>
      <c r="O982" t="inlineStr">
        <is>
          <t>CVE - IP enrichment n/a</t>
        </is>
      </c>
      <c r="P982" t="n">
        <v>0</v>
      </c>
      <c r="Q982" t="n">
        <v>0</v>
      </c>
      <c r="R982" t="inlineStr">
        <is>
          <t>T1189:Drive-by Compromise</t>
        </is>
      </c>
      <c r="S982" t="n">
        <v>1</v>
      </c>
      <c r="T982" t="inlineStr">
        <is>
          <t>LOW (40%)</t>
        </is>
      </c>
      <c r="U982" t="inlineStr">
        <is>
          <t>UNLIKELY</t>
        </is>
      </c>
      <c r="V982" t="inlineStr">
        <is>
          <t>CHECK_VENDOR</t>
        </is>
      </c>
      <c r="W982" t="inlineStr">
        <is>
          <t>https://nvd.nist.gov/vuln/detail/CVE-2026-2965</t>
        </is>
      </c>
      <c r="X982" t="inlineStr">
        <is>
          <t>NONE</t>
        </is>
      </c>
      <c r="Y982" t="n">
        <v>0</v>
      </c>
      <c r="Z982" t="inlineStr"/>
      <c r="AA982" t="inlineStr">
        <is>
          <t>https://nvd.nist.gov/vuln/detail/CVE-2026-2965</t>
        </is>
      </c>
    </row>
    <row r="983">
      <c r="A983" t="inlineStr">
        <is>
          <t>CVE</t>
        </is>
      </c>
      <c r="B983" t="inlineStr">
        <is>
          <t>CVE-2026-2966</t>
        </is>
      </c>
      <c r="C983" t="inlineStr">
        <is>
          <t>A weakness has been identified in Cesanta Mongoose up to 7.20. The impacted element is the function mg_sendnsreq of the file /src/dns.c of the component DNS Transaction ID Handler. Executing a manipulation of the argument random can lead to insufficiently random values. The attack can be launched remotely. The attack requires a high level of complexity. The exploitability is regarded as difficult. The exploit has been made available to the public and could be used for attacks. The vendor was con</t>
        </is>
      </c>
      <c r="D983" t="n">
        <v>3.7</v>
      </c>
      <c r="E983" t="inlineStr">
        <is>
          <t>LOW</t>
        </is>
      </c>
      <c r="F983" t="n">
        <v>2</v>
      </c>
      <c r="G983" t="n">
        <v>1</v>
      </c>
      <c r="H983" t="inlineStr">
        <is>
          <t>LOW</t>
        </is>
      </c>
      <c r="I983" t="n">
        <v>5.7</v>
      </c>
      <c r="J983" t="inlineStr">
        <is>
          <t>NO</t>
        </is>
      </c>
      <c r="K983" t="inlineStr">
        <is>
          <t>2026-02-26 00:15</t>
        </is>
      </c>
      <c r="L983" t="inlineStr">
        <is>
          <t>CHECK_VENDOR</t>
        </is>
      </c>
      <c r="M983" t="inlineStr">
        <is>
          <t>cesanta mongoose *</t>
        </is>
      </c>
      <c r="N983" t="inlineStr">
        <is>
          <t>P4</t>
        </is>
      </c>
      <c r="O983" t="inlineStr">
        <is>
          <t>CVE - IP enrichment n/a</t>
        </is>
      </c>
      <c r="P983" t="n">
        <v>0</v>
      </c>
      <c r="Q983" t="n">
        <v>0</v>
      </c>
      <c r="R983" t="inlineStr">
        <is>
          <t>T1190:Exploit Public-Facing Application</t>
        </is>
      </c>
      <c r="S983" t="n">
        <v>1</v>
      </c>
      <c r="T983" t="inlineStr">
        <is>
          <t>LOW (40%)</t>
        </is>
      </c>
      <c r="U983" t="inlineStr">
        <is>
          <t>UNLIKELY</t>
        </is>
      </c>
      <c r="V983" t="inlineStr">
        <is>
          <t>CHECK_VENDOR</t>
        </is>
      </c>
      <c r="W983" t="inlineStr">
        <is>
          <t>https://nvd.nist.gov/vuln/detail/CVE-2026-2966</t>
        </is>
      </c>
      <c r="X983" t="inlineStr">
        <is>
          <t>NONE</t>
        </is>
      </c>
      <c r="Y983" t="n">
        <v>0</v>
      </c>
      <c r="Z983" t="inlineStr"/>
      <c r="AA983" t="inlineStr">
        <is>
          <t>https://nvd.nist.gov/vuln/detail/CVE-2026-2966</t>
        </is>
      </c>
    </row>
    <row r="984">
      <c r="A984" t="inlineStr">
        <is>
          <t>CVE</t>
        </is>
      </c>
      <c r="B984" t="inlineStr">
        <is>
          <t>CVE-2026-2997</t>
        </is>
      </c>
      <c r="C984" t="inlineStr">
        <is>
          <t>Tronclass developed by WisdomGarden has a Insecure Direct Object Reference vulnerability. After obtaining a course ID, authenticated remote attackers to modify a specific parameter to obtain a course invitation code, thereby joining any course.</t>
        </is>
      </c>
      <c r="D984" t="n">
        <v>5.4</v>
      </c>
      <c r="E984" t="inlineStr">
        <is>
          <t>MEDIUM</t>
        </is>
      </c>
      <c r="F984" t="n">
        <v>2</v>
      </c>
      <c r="G984" t="n">
        <v>2</v>
      </c>
      <c r="H984" t="inlineStr">
        <is>
          <t>MEDIUM</t>
        </is>
      </c>
      <c r="I984" t="n">
        <v>9.4</v>
      </c>
      <c r="J984" t="inlineStr">
        <is>
          <t>NO</t>
        </is>
      </c>
      <c r="K984" t="inlineStr">
        <is>
          <t>2026-02-26 00:15</t>
        </is>
      </c>
      <c r="L984" t="inlineStr">
        <is>
          <t>CHECK_VENDOR</t>
        </is>
      </c>
      <c r="M984" t="inlineStr">
        <is>
          <t>See CVE details</t>
        </is>
      </c>
      <c r="N984" t="inlineStr">
        <is>
          <t>P4</t>
        </is>
      </c>
      <c r="O984" t="inlineStr">
        <is>
          <t>CVE - IP enrichment n/a</t>
        </is>
      </c>
      <c r="P984" t="n">
        <v>0.0003</v>
      </c>
      <c r="Q984" t="n">
        <v>0.098</v>
      </c>
      <c r="R984" t="inlineStr">
        <is>
          <t>T1190:Exploit Public-Facing Application</t>
        </is>
      </c>
      <c r="S984" t="n">
        <v>1</v>
      </c>
      <c r="T984" t="inlineStr">
        <is>
          <t>LOW (40%)</t>
        </is>
      </c>
      <c r="U984" t="inlineStr">
        <is>
          <t>UNLIKELY</t>
        </is>
      </c>
      <c r="V984" t="inlineStr">
        <is>
          <t>CHECK_VENDOR</t>
        </is>
      </c>
      <c r="W984" t="inlineStr">
        <is>
          <t>https://nvd.nist.gov/vuln/detail/CVE-2026-2997</t>
        </is>
      </c>
      <c r="X984" t="inlineStr">
        <is>
          <t>NONE</t>
        </is>
      </c>
      <c r="Y984" t="n">
        <v>0</v>
      </c>
      <c r="Z984" t="inlineStr"/>
      <c r="AA984" t="inlineStr">
        <is>
          <t>https://nvd.nist.gov/vuln/detail/CVE-2026-2997</t>
        </is>
      </c>
    </row>
    <row r="985">
      <c r="A985" t="inlineStr">
        <is>
          <t>CVE</t>
        </is>
      </c>
      <c r="B985" t="inlineStr">
        <is>
          <t>CVE-2026-2967</t>
        </is>
      </c>
      <c r="C985" t="inlineStr">
        <is>
          <t>A security vulnerability has been detected in Cesanta Mongoose up to 7.20. This affects the function getpeer of the file /src/net_builtin.c of the component TCP Sequence Number Handler. The manipulation leads to improper verification of source of a communication channel. The attack may be initiated remotely. The attack's complexity is rated as high. The exploitability is reported as difficult. The exploit has been disclosed publicly and may be used. The vendor was contacted early about this disc</t>
        </is>
      </c>
      <c r="D985" t="n">
        <v>3.7</v>
      </c>
      <c r="E985" t="inlineStr">
        <is>
          <t>LOW</t>
        </is>
      </c>
      <c r="F985" t="n">
        <v>2</v>
      </c>
      <c r="G985" t="n">
        <v>1</v>
      </c>
      <c r="H985" t="inlineStr">
        <is>
          <t>LOW</t>
        </is>
      </c>
      <c r="I985" t="n">
        <v>5.7</v>
      </c>
      <c r="J985" t="inlineStr">
        <is>
          <t>NO</t>
        </is>
      </c>
      <c r="K985" t="inlineStr">
        <is>
          <t>2026-02-26 00:15</t>
        </is>
      </c>
      <c r="L985" t="inlineStr">
        <is>
          <t>CHECK_VENDOR</t>
        </is>
      </c>
      <c r="M985" t="inlineStr">
        <is>
          <t>cesanta mongoose *</t>
        </is>
      </c>
      <c r="N985" t="inlineStr">
        <is>
          <t>P4</t>
        </is>
      </c>
      <c r="O985" t="inlineStr">
        <is>
          <t>CVE - IP enrichment n/a</t>
        </is>
      </c>
      <c r="P985" t="n">
        <v>0</v>
      </c>
      <c r="Q985" t="n">
        <v>0</v>
      </c>
      <c r="R985" t="inlineStr">
        <is>
          <t>T1190:Exploit Public-Facing Application</t>
        </is>
      </c>
      <c r="S985" t="n">
        <v>1</v>
      </c>
      <c r="T985" t="inlineStr">
        <is>
          <t>LOW (40%)</t>
        </is>
      </c>
      <c r="U985" t="inlineStr">
        <is>
          <t>UNLIKELY</t>
        </is>
      </c>
      <c r="V985" t="inlineStr">
        <is>
          <t>CHECK_VENDOR</t>
        </is>
      </c>
      <c r="W985" t="inlineStr">
        <is>
          <t>https://nvd.nist.gov/vuln/detail/CVE-2026-2967</t>
        </is>
      </c>
      <c r="X985" t="inlineStr">
        <is>
          <t>NONE</t>
        </is>
      </c>
      <c r="Y985" t="n">
        <v>0</v>
      </c>
      <c r="Z985" t="inlineStr"/>
      <c r="AA985" t="inlineStr">
        <is>
          <t>https://nvd.nist.gov/vuln/detail/CVE-2026-2967</t>
        </is>
      </c>
    </row>
    <row r="986">
      <c r="A986" t="inlineStr">
        <is>
          <t>CVE</t>
        </is>
      </c>
      <c r="B986" t="inlineStr">
        <is>
          <t>CVE-2026-2968</t>
        </is>
      </c>
      <c r="C986" t="inlineStr">
        <is>
          <t>A vulnerability was detected in Cesanta Mongoose up to 7.20. This impacts the function mg_chacha20_poly1305_decrypt of the file /src/tls_chacha20.c of the component Poly1305 Authentication Tag Handler. The manipulation results in improper verification of cryptographic signature. The attack may be launched remotely. This attack is characterized by high complexity. The exploitability is said to be difficult. The exploit is now public and may be used. The vendor was contacted early about this discl</t>
        </is>
      </c>
      <c r="D986" t="n">
        <v>3.7</v>
      </c>
      <c r="E986" t="inlineStr">
        <is>
          <t>LOW</t>
        </is>
      </c>
      <c r="F986" t="n">
        <v>2</v>
      </c>
      <c r="G986" t="n">
        <v>1</v>
      </c>
      <c r="H986" t="inlineStr">
        <is>
          <t>LOW</t>
        </is>
      </c>
      <c r="I986" t="n">
        <v>5.7</v>
      </c>
      <c r="J986" t="inlineStr">
        <is>
          <t>NO</t>
        </is>
      </c>
      <c r="K986" t="inlineStr">
        <is>
          <t>2026-02-26 00:15</t>
        </is>
      </c>
      <c r="L986" t="inlineStr">
        <is>
          <t>CHECK_VENDOR</t>
        </is>
      </c>
      <c r="M986" t="inlineStr">
        <is>
          <t>cesanta mongoose *</t>
        </is>
      </c>
      <c r="N986" t="inlineStr">
        <is>
          <t>P4</t>
        </is>
      </c>
      <c r="O986" t="inlineStr">
        <is>
          <t>CVE - IP enrichment n/a</t>
        </is>
      </c>
      <c r="P986" t="n">
        <v>0</v>
      </c>
      <c r="Q986" t="n">
        <v>0</v>
      </c>
      <c r="R986" t="inlineStr">
        <is>
          <t>T1600:Weaken Encryption</t>
        </is>
      </c>
      <c r="S986" t="n">
        <v>1</v>
      </c>
      <c r="T986" t="inlineStr">
        <is>
          <t>LOW (40%)</t>
        </is>
      </c>
      <c r="U986" t="inlineStr">
        <is>
          <t>UNLIKELY</t>
        </is>
      </c>
      <c r="V986" t="inlineStr">
        <is>
          <t>CHECK_VENDOR</t>
        </is>
      </c>
      <c r="W986" t="inlineStr">
        <is>
          <t>https://nvd.nist.gov/vuln/detail/CVE-2026-2968</t>
        </is>
      </c>
      <c r="X986" t="inlineStr">
        <is>
          <t>NONE</t>
        </is>
      </c>
      <c r="Y986" t="n">
        <v>0</v>
      </c>
      <c r="Z986" t="inlineStr"/>
      <c r="AA986" t="inlineStr">
        <is>
          <t>https://nvd.nist.gov/vuln/detail/CVE-2026-2968</t>
        </is>
      </c>
    </row>
    <row r="987">
      <c r="A987" t="inlineStr">
        <is>
          <t>CVE</t>
        </is>
      </c>
      <c r="B987" t="inlineStr">
        <is>
          <t>CVE-2026-2998</t>
        </is>
      </c>
      <c r="C987" t="inlineStr">
        <is>
          <t>ERP developed by eAI Technologies has a DLL Hijacking vulnerability, allowing authenticated local attackers to place a crafted DLL file in the same directory as the program, thereby executing arbitrary code.</t>
        </is>
      </c>
      <c r="D987" t="n">
        <v>7.8</v>
      </c>
      <c r="E987" t="inlineStr">
        <is>
          <t>HIGH</t>
        </is>
      </c>
      <c r="F987" t="n">
        <v>2</v>
      </c>
      <c r="G987" t="n">
        <v>3</v>
      </c>
      <c r="H987" t="inlineStr">
        <is>
          <t>HIGH</t>
        </is>
      </c>
      <c r="I987" t="n">
        <v>13.8</v>
      </c>
      <c r="J987" t="inlineStr">
        <is>
          <t>NO</t>
        </is>
      </c>
      <c r="K987" t="inlineStr">
        <is>
          <t>2026-02-26 00:15</t>
        </is>
      </c>
      <c r="L987" t="inlineStr">
        <is>
          <t>CHECK_VENDOR</t>
        </is>
      </c>
      <c r="M987" t="inlineStr">
        <is>
          <t>See CVE details</t>
        </is>
      </c>
      <c r="N987" t="inlineStr">
        <is>
          <t>P3</t>
        </is>
      </c>
      <c r="O987" t="inlineStr">
        <is>
          <t>CVE - IP enrichment n/a</t>
        </is>
      </c>
      <c r="P987" t="n">
        <v>0</v>
      </c>
      <c r="Q987" t="n">
        <v>0</v>
      </c>
      <c r="R987" t="inlineStr">
        <is>
          <t>T1203:Exploitation for Client Execution</t>
        </is>
      </c>
      <c r="S987" t="n">
        <v>1</v>
      </c>
      <c r="T987" t="inlineStr">
        <is>
          <t>LOW (40%)</t>
        </is>
      </c>
      <c r="U987" t="inlineStr">
        <is>
          <t>UNLIKELY</t>
        </is>
      </c>
      <c r="V987" t="inlineStr">
        <is>
          <t>CHECK_VENDOR</t>
        </is>
      </c>
      <c r="W987" t="inlineStr">
        <is>
          <t>https://nvd.nist.gov/vuln/detail/CVE-2026-2998</t>
        </is>
      </c>
      <c r="X987" t="inlineStr">
        <is>
          <t>NONE</t>
        </is>
      </c>
      <c r="Y987" t="n">
        <v>0</v>
      </c>
      <c r="Z987" t="inlineStr"/>
      <c r="AA987" t="inlineStr">
        <is>
          <t>https://nvd.nist.gov/vuln/detail/CVE-2026-2998</t>
        </is>
      </c>
    </row>
    <row r="988">
      <c r="A988" t="inlineStr">
        <is>
          <t>CVE</t>
        </is>
      </c>
      <c r="B988" t="inlineStr">
        <is>
          <t>CVE-2026-2969</t>
        </is>
      </c>
      <c r="C988" t="inlineStr">
        <is>
          <t>A flaw has been found in datapizza-labs datapizza-ai 0.0.2. Affected is the function ChatPromptTemplate of the file datapizza-ai-core/datapizza/modules/prompt/prompt.py of the component Jinja2 Template Handler. This manipulation of the argument Prompt causes improper neutralization of special elements used in a template engine. Remote exploitation of the attack is possible. The exploit has been published and may be used. The vendor was contacted early about this disclosure but did not respond in</t>
        </is>
      </c>
      <c r="D988" t="n">
        <v>4.7</v>
      </c>
      <c r="E988" t="inlineStr">
        <is>
          <t>MEDIUM</t>
        </is>
      </c>
      <c r="F988" t="n">
        <v>2</v>
      </c>
      <c r="G988" t="n">
        <v>2</v>
      </c>
      <c r="H988" t="inlineStr">
        <is>
          <t>MEDIUM</t>
        </is>
      </c>
      <c r="I988" t="n">
        <v>8.699999999999999</v>
      </c>
      <c r="J988" t="inlineStr">
        <is>
          <t>NO</t>
        </is>
      </c>
      <c r="K988" t="inlineStr">
        <is>
          <t>2026-02-26 00:15</t>
        </is>
      </c>
      <c r="L988" t="inlineStr">
        <is>
          <t>CHECK_VENDOR</t>
        </is>
      </c>
      <c r="M988" t="inlineStr">
        <is>
          <t>datapizza datapizza_ai 0.0.2</t>
        </is>
      </c>
      <c r="N988" t="inlineStr">
        <is>
          <t>P4</t>
        </is>
      </c>
      <c r="O988" t="inlineStr">
        <is>
          <t>CVE - IP enrichment n/a</t>
        </is>
      </c>
      <c r="P988" t="n">
        <v>0</v>
      </c>
      <c r="Q988" t="n">
        <v>0</v>
      </c>
      <c r="R988" t="inlineStr">
        <is>
          <t>T1190:Exploit Public-Facing Application</t>
        </is>
      </c>
      <c r="S988" t="n">
        <v>1</v>
      </c>
      <c r="T988" t="inlineStr">
        <is>
          <t>LOW (40%)</t>
        </is>
      </c>
      <c r="U988" t="inlineStr">
        <is>
          <t>UNLIKELY</t>
        </is>
      </c>
      <c r="V988" t="inlineStr">
        <is>
          <t>CHECK_VENDOR</t>
        </is>
      </c>
      <c r="W988" t="inlineStr">
        <is>
          <t>https://nvd.nist.gov/vuln/detail/CVE-2026-2969</t>
        </is>
      </c>
      <c r="X988" t="inlineStr">
        <is>
          <t>NONE</t>
        </is>
      </c>
      <c r="Y988" t="n">
        <v>0</v>
      </c>
      <c r="Z988" t="inlineStr"/>
      <c r="AA988" t="inlineStr">
        <is>
          <t>https://nvd.nist.gov/vuln/detail/CVE-2026-2969</t>
        </is>
      </c>
    </row>
    <row r="989">
      <c r="A989" t="inlineStr">
        <is>
          <t>CVE</t>
        </is>
      </c>
      <c r="B989" t="inlineStr">
        <is>
          <t>CVE-2026-2970</t>
        </is>
      </c>
      <c r="C989" t="inlineStr">
        <is>
          <t>A vulnerability has been found in datapizza-labs datapizza-ai 0.0.2. Affected by this vulnerability is the function RedisCache of the file datapizza-ai-cache/redis/datapizza/cache/redis/cache.py. Such manipulation leads to deserialization. The attack requires being on the local network. A high complexity level is associated with this attack. The exploitation appears to be difficult. The exploit has been disclosed to the public and may be used. The vendor was contacted early about this disclosure</t>
        </is>
      </c>
      <c r="D989" t="n">
        <v>4.6</v>
      </c>
      <c r="E989" t="inlineStr">
        <is>
          <t>MEDIUM</t>
        </is>
      </c>
      <c r="F989" t="n">
        <v>2</v>
      </c>
      <c r="G989" t="n">
        <v>2</v>
      </c>
      <c r="H989" t="inlineStr">
        <is>
          <t>MEDIUM</t>
        </is>
      </c>
      <c r="I989" t="n">
        <v>8.6</v>
      </c>
      <c r="J989" t="inlineStr">
        <is>
          <t>NO</t>
        </is>
      </c>
      <c r="K989" t="inlineStr">
        <is>
          <t>2026-02-26 00:15</t>
        </is>
      </c>
      <c r="L989" t="inlineStr">
        <is>
          <t>CHECK_VENDOR</t>
        </is>
      </c>
      <c r="M989" t="inlineStr">
        <is>
          <t>datapizza datapizza-ai 0.0.2</t>
        </is>
      </c>
      <c r="N989" t="inlineStr">
        <is>
          <t>P4</t>
        </is>
      </c>
      <c r="O989" t="inlineStr">
        <is>
          <t>CVE - IP enrichment n/a</t>
        </is>
      </c>
      <c r="P989" t="n">
        <v>0</v>
      </c>
      <c r="Q989" t="n">
        <v>0</v>
      </c>
      <c r="R989" t="inlineStr">
        <is>
          <t>T1059:Command and Scripting Interpreter</t>
        </is>
      </c>
      <c r="S989" t="n">
        <v>1</v>
      </c>
      <c r="T989" t="inlineStr">
        <is>
          <t>LOW (40%)</t>
        </is>
      </c>
      <c r="U989" t="inlineStr">
        <is>
          <t>UNLIKELY</t>
        </is>
      </c>
      <c r="V989" t="inlineStr">
        <is>
          <t>CHECK_VENDOR</t>
        </is>
      </c>
      <c r="W989" t="inlineStr">
        <is>
          <t>https://nvd.nist.gov/vuln/detail/CVE-2026-2970</t>
        </is>
      </c>
      <c r="X989" t="inlineStr">
        <is>
          <t>NONE</t>
        </is>
      </c>
      <c r="Y989" t="n">
        <v>0</v>
      </c>
      <c r="Z989" t="inlineStr"/>
      <c r="AA989" t="inlineStr">
        <is>
          <t>https://nvd.nist.gov/vuln/detail/CVE-2026-2970</t>
        </is>
      </c>
    </row>
    <row r="990">
      <c r="A990" t="inlineStr">
        <is>
          <t>CVE</t>
        </is>
      </c>
      <c r="B990" t="inlineStr">
        <is>
          <t>CVE-2026-2971</t>
        </is>
      </c>
      <c r="C990" t="inlineStr">
        <is>
          <t>A vulnerability was found in a466350665 Smart-SSO up to 2.1.1. Affected by this issue is some unknown functionality of the file smart-sso-server/src/main/resources/templates/login.html of the component Login. Performing a manipulation of the argument redirectUri results in cross site scripting. The attack is possible to be carried out remotely. The exploit has been made public and could be used. The vendor was contacted early about this disclosure but did not respond in any way.</t>
        </is>
      </c>
      <c r="D990" t="n">
        <v>4.3</v>
      </c>
      <c r="E990" t="inlineStr">
        <is>
          <t>MEDIUM</t>
        </is>
      </c>
      <c r="F990" t="n">
        <v>2</v>
      </c>
      <c r="G990" t="n">
        <v>2</v>
      </c>
      <c r="H990" t="inlineStr">
        <is>
          <t>MEDIUM</t>
        </is>
      </c>
      <c r="I990" t="n">
        <v>8.300000000000001</v>
      </c>
      <c r="J990" t="inlineStr">
        <is>
          <t>NO</t>
        </is>
      </c>
      <c r="K990" t="inlineStr">
        <is>
          <t>2026-02-26 00:15</t>
        </is>
      </c>
      <c r="L990" t="inlineStr">
        <is>
          <t>CHECK_VENDOR</t>
        </is>
      </c>
      <c r="M990" t="inlineStr">
        <is>
          <t>a466350665 smart-sso *</t>
        </is>
      </c>
      <c r="N990" t="inlineStr">
        <is>
          <t>P4</t>
        </is>
      </c>
      <c r="O990" t="inlineStr">
        <is>
          <t>CVE - IP enrichment n/a</t>
        </is>
      </c>
      <c r="P990" t="n">
        <v>0.0003</v>
      </c>
      <c r="Q990" t="n">
        <v>0.0857</v>
      </c>
      <c r="R990" t="inlineStr">
        <is>
          <t>T1189:Drive-by Compromise | T1190:Exploit Public-Facing Application</t>
        </is>
      </c>
      <c r="S990" t="n">
        <v>1</v>
      </c>
      <c r="T990" t="inlineStr">
        <is>
          <t>LOW (40%)</t>
        </is>
      </c>
      <c r="U990" t="inlineStr">
        <is>
          <t>UNLIKELY</t>
        </is>
      </c>
      <c r="V990" t="inlineStr">
        <is>
          <t>CHECK_VENDOR</t>
        </is>
      </c>
      <c r="W990" t="inlineStr">
        <is>
          <t>https://nvd.nist.gov/vuln/detail/CVE-2026-2971</t>
        </is>
      </c>
      <c r="X990" t="inlineStr">
        <is>
          <t>NONE</t>
        </is>
      </c>
      <c r="Y990" t="n">
        <v>0</v>
      </c>
      <c r="Z990" t="inlineStr"/>
      <c r="AA990" t="inlineStr">
        <is>
          <t>https://nvd.nist.gov/vuln/detail/CVE-2026-2971</t>
        </is>
      </c>
    </row>
    <row r="991">
      <c r="A991" t="inlineStr">
        <is>
          <t>CVE</t>
        </is>
      </c>
      <c r="B991" t="inlineStr">
        <is>
          <t>CVE-2026-2972</t>
        </is>
      </c>
      <c r="C991" t="inlineStr">
        <is>
          <t>A vulnerability was determined in a466350665 Smart-SSO up to 2.1.1. This affects the function Save of the file smart-sso-server/src/main/java/openjoe/smart/sso/server/controller/admin/UserController.java of the component Role Edit Page. Executing a manipulation can lead to cross site scripting. The attack may be performed from remote. The exploit has been publicly disclosed and may be utilized. The vendor was contacted early about this disclosure but did not respond in any way.</t>
        </is>
      </c>
      <c r="D991" t="n">
        <v>2.4</v>
      </c>
      <c r="E991" t="inlineStr">
        <is>
          <t>LOW</t>
        </is>
      </c>
      <c r="F991" t="n">
        <v>2</v>
      </c>
      <c r="G991" t="n">
        <v>1</v>
      </c>
      <c r="H991" t="inlineStr">
        <is>
          <t>LOW</t>
        </is>
      </c>
      <c r="I991" t="n">
        <v>4.4</v>
      </c>
      <c r="J991" t="inlineStr">
        <is>
          <t>NO</t>
        </is>
      </c>
      <c r="K991" t="inlineStr">
        <is>
          <t>2026-02-26 00:15</t>
        </is>
      </c>
      <c r="L991" t="inlineStr">
        <is>
          <t>CHECK_VENDOR</t>
        </is>
      </c>
      <c r="M991" t="inlineStr">
        <is>
          <t>a466350665 smart-sso *</t>
        </is>
      </c>
      <c r="N991" t="inlineStr">
        <is>
          <t>P4</t>
        </is>
      </c>
      <c r="O991" t="inlineStr">
        <is>
          <t>CVE - IP enrichment n/a</t>
        </is>
      </c>
      <c r="P991" t="n">
        <v>0</v>
      </c>
      <c r="Q991" t="n">
        <v>0</v>
      </c>
      <c r="R991" t="inlineStr">
        <is>
          <t>T1189:Drive-by Compromise</t>
        </is>
      </c>
      <c r="S991" t="n">
        <v>1</v>
      </c>
      <c r="T991" t="inlineStr">
        <is>
          <t>LOW (40%)</t>
        </is>
      </c>
      <c r="U991" t="inlineStr">
        <is>
          <t>UNLIKELY</t>
        </is>
      </c>
      <c r="V991" t="inlineStr">
        <is>
          <t>CHECK_VENDOR</t>
        </is>
      </c>
      <c r="W991" t="inlineStr">
        <is>
          <t>https://nvd.nist.gov/vuln/detail/CVE-2026-2972</t>
        </is>
      </c>
      <c r="X991" t="inlineStr">
        <is>
          <t>NONE</t>
        </is>
      </c>
      <c r="Y991" t="n">
        <v>0</v>
      </c>
      <c r="Z991" t="inlineStr"/>
      <c r="AA991" t="inlineStr">
        <is>
          <t>https://nvd.nist.gov/vuln/detail/CVE-2026-2972</t>
        </is>
      </c>
    </row>
    <row r="992">
      <c r="A992" t="inlineStr">
        <is>
          <t>CVE</t>
        </is>
      </c>
      <c r="B992" t="inlineStr">
        <is>
          <t>CVE-2026-2974</t>
        </is>
      </c>
      <c r="C992" t="inlineStr">
        <is>
          <t>A vulnerability was identified in AliasVault App up to 0.25.3 on Android/iOS. This vulnerability affects unknown code of the file shared_prefs/aliasvault.xml of the component Backup Handler. The manipulation of the argument accessToken/refreshToken/metadata/key_derivation_params/auth_methods leads to exposure of backup file to an unauthorized control sphere. An attack has to be approached locally. The attack is considered to have high complexity. It is stated that the exploitability is difficult</t>
        </is>
      </c>
      <c r="D992" t="n">
        <v>2.5</v>
      </c>
      <c r="E992" t="inlineStr">
        <is>
          <t>LOW</t>
        </is>
      </c>
      <c r="F992" t="n">
        <v>2</v>
      </c>
      <c r="G992" t="n">
        <v>1</v>
      </c>
      <c r="H992" t="inlineStr">
        <is>
          <t>LOW</t>
        </is>
      </c>
      <c r="I992" t="n">
        <v>4.5</v>
      </c>
      <c r="J992" t="inlineStr">
        <is>
          <t>NO</t>
        </is>
      </c>
      <c r="K992" t="inlineStr">
        <is>
          <t>2026-02-26 00:15</t>
        </is>
      </c>
      <c r="L992" t="inlineStr">
        <is>
          <t>CHECK_VENDOR</t>
        </is>
      </c>
      <c r="M992" t="inlineStr">
        <is>
          <t>See CVE details</t>
        </is>
      </c>
      <c r="N992" t="inlineStr">
        <is>
          <t>P4</t>
        </is>
      </c>
      <c r="O992" t="inlineStr">
        <is>
          <t>CVE - IP enrichment n/a</t>
        </is>
      </c>
      <c r="P992" t="n">
        <v>0</v>
      </c>
      <c r="Q992" t="n">
        <v>0</v>
      </c>
      <c r="R992" t="inlineStr">
        <is>
          <t>T1190:Exploit Public-Facing Application</t>
        </is>
      </c>
      <c r="S992" t="n">
        <v>1</v>
      </c>
      <c r="T992" t="inlineStr">
        <is>
          <t>LOW (40%)</t>
        </is>
      </c>
      <c r="U992" t="inlineStr">
        <is>
          <t>UNLIKELY</t>
        </is>
      </c>
      <c r="V992" t="inlineStr">
        <is>
          <t>CHECK_VENDOR</t>
        </is>
      </c>
      <c r="W992" t="inlineStr">
        <is>
          <t>https://nvd.nist.gov/vuln/detail/CVE-2026-2974</t>
        </is>
      </c>
      <c r="X992" t="inlineStr">
        <is>
          <t>NONE</t>
        </is>
      </c>
      <c r="Y992" t="n">
        <v>0</v>
      </c>
      <c r="Z992" t="inlineStr"/>
      <c r="AA992" t="inlineStr">
        <is>
          <t>https://nvd.nist.gov/vuln/detail/CVE-2026-2974</t>
        </is>
      </c>
    </row>
    <row r="993">
      <c r="A993" t="inlineStr">
        <is>
          <t>CVE</t>
        </is>
      </c>
      <c r="B993" t="inlineStr">
        <is>
          <t>CVE-2026-2975</t>
        </is>
      </c>
      <c r="C993" t="inlineStr">
        <is>
          <t>A security flaw has been discovered in FastApiAdmin up to 2.2.0. Affected by this vulnerability is the function reset_api_docs of the file /backend/app/plugin/init_app.py of the component Custom Documentation Endpoint. The manipulation results in information disclosure. The attack may be performed from remote. The exploit has been released to the public and may be used for attacks.</t>
        </is>
      </c>
      <c r="D993" t="n">
        <v>5.3</v>
      </c>
      <c r="E993" t="inlineStr">
        <is>
          <t>MEDIUM</t>
        </is>
      </c>
      <c r="F993" t="n">
        <v>2</v>
      </c>
      <c r="G993" t="n">
        <v>2</v>
      </c>
      <c r="H993" t="inlineStr">
        <is>
          <t>MEDIUM</t>
        </is>
      </c>
      <c r="I993" t="n">
        <v>9.300000000000001</v>
      </c>
      <c r="J993" t="inlineStr">
        <is>
          <t>NO</t>
        </is>
      </c>
      <c r="K993" t="inlineStr">
        <is>
          <t>2026-02-26 00:15</t>
        </is>
      </c>
      <c r="L993" t="inlineStr">
        <is>
          <t>CHECK_VENDOR</t>
        </is>
      </c>
      <c r="M993" t="inlineStr">
        <is>
          <t>fastapiadmin fastapi-admin 2.0 | fastapiadmin fastapi-admin 2.2.0 | fastapiadmin fastapi-admin 2.1</t>
        </is>
      </c>
      <c r="N993" t="inlineStr">
        <is>
          <t>P4</t>
        </is>
      </c>
      <c r="O993" t="inlineStr">
        <is>
          <t>CVE - IP enrichment n/a</t>
        </is>
      </c>
      <c r="P993" t="n">
        <v>0</v>
      </c>
      <c r="Q993" t="n">
        <v>0</v>
      </c>
      <c r="R993" t="inlineStr">
        <is>
          <t>T1213:Data from Information Repositories</t>
        </is>
      </c>
      <c r="S993" t="n">
        <v>1</v>
      </c>
      <c r="T993" t="inlineStr">
        <is>
          <t>LOW (40%)</t>
        </is>
      </c>
      <c r="U993" t="inlineStr">
        <is>
          <t>UNLIKELY</t>
        </is>
      </c>
      <c r="V993" t="inlineStr">
        <is>
          <t>CHECK_VENDOR</t>
        </is>
      </c>
      <c r="W993" t="inlineStr">
        <is>
          <t>https://nvd.nist.gov/vuln/detail/CVE-2026-2975</t>
        </is>
      </c>
      <c r="X993" t="inlineStr">
        <is>
          <t>NONE</t>
        </is>
      </c>
      <c r="Y993" t="n">
        <v>0</v>
      </c>
      <c r="Z993" t="inlineStr"/>
      <c r="AA993" t="inlineStr">
        <is>
          <t>https://nvd.nist.gov/vuln/detail/CVE-2026-2975</t>
        </is>
      </c>
    </row>
    <row r="994">
      <c r="A994" t="inlineStr">
        <is>
          <t>CVE</t>
        </is>
      </c>
      <c r="B994" t="inlineStr">
        <is>
          <t>CVE-2026-2976</t>
        </is>
      </c>
      <c r="C994" t="inlineStr">
        <is>
          <t>A weakness has been identified in FastApiAdmin up to 2.2.0. Affected by this issue is the function download_controller of the file /backend/app/api/v1/module_common/file/controller.py of the component Download Endpoint. This manipulation of the argument file_path causes information disclosure. It is possible to initiate the attack remotely. The exploit has been made available to the public and could be used for attacks.</t>
        </is>
      </c>
      <c r="D994" t="n">
        <v>4.3</v>
      </c>
      <c r="E994" t="inlineStr">
        <is>
          <t>MEDIUM</t>
        </is>
      </c>
      <c r="F994" t="n">
        <v>2</v>
      </c>
      <c r="G994" t="n">
        <v>2</v>
      </c>
      <c r="H994" t="inlineStr">
        <is>
          <t>MEDIUM</t>
        </is>
      </c>
      <c r="I994" t="n">
        <v>8.300000000000001</v>
      </c>
      <c r="J994" t="inlineStr">
        <is>
          <t>NO</t>
        </is>
      </c>
      <c r="K994" t="inlineStr">
        <is>
          <t>2026-02-26 00:15</t>
        </is>
      </c>
      <c r="L994" t="inlineStr">
        <is>
          <t>CHECK_VENDOR</t>
        </is>
      </c>
      <c r="M994" t="inlineStr">
        <is>
          <t>fastapiadmin fastapi-admin 2.0 | fastapiadmin fastapi-admin 2.2.0 | fastapiadmin fastapi-admin 2.1</t>
        </is>
      </c>
      <c r="N994" t="inlineStr">
        <is>
          <t>P4</t>
        </is>
      </c>
      <c r="O994" t="inlineStr">
        <is>
          <t>CVE - IP enrichment n/a</t>
        </is>
      </c>
      <c r="P994" t="n">
        <v>0</v>
      </c>
      <c r="Q994" t="n">
        <v>0</v>
      </c>
      <c r="R994" t="inlineStr">
        <is>
          <t>T1213:Data from Information Repositories | T1190:Exploit Public-Facing Application</t>
        </is>
      </c>
      <c r="S994" t="n">
        <v>1</v>
      </c>
      <c r="T994" t="inlineStr">
        <is>
          <t>LOW (40%)</t>
        </is>
      </c>
      <c r="U994" t="inlineStr">
        <is>
          <t>UNLIKELY</t>
        </is>
      </c>
      <c r="V994" t="inlineStr">
        <is>
          <t>CHECK_VENDOR</t>
        </is>
      </c>
      <c r="W994" t="inlineStr">
        <is>
          <t>https://nvd.nist.gov/vuln/detail/CVE-2026-2976</t>
        </is>
      </c>
      <c r="X994" t="inlineStr">
        <is>
          <t>NONE</t>
        </is>
      </c>
      <c r="Y994" t="n">
        <v>0</v>
      </c>
      <c r="Z994" t="inlineStr"/>
      <c r="AA994" t="inlineStr">
        <is>
          <t>https://nvd.nist.gov/vuln/detail/CVE-2026-2976</t>
        </is>
      </c>
    </row>
    <row r="995">
      <c r="A995" t="inlineStr">
        <is>
          <t>CVE</t>
        </is>
      </c>
      <c r="B995" t="inlineStr">
        <is>
          <t>CVE-2026-1367</t>
        </is>
      </c>
      <c r="C995" t="inlineStr">
        <is>
          <t>Zohocorp ManageEngine ADSelfService Plus versions 6522 and below are vulnerable to authenticated SQL Injection in the search report option.</t>
        </is>
      </c>
      <c r="D995" t="n">
        <v>8.300000000000001</v>
      </c>
      <c r="E995" t="inlineStr">
        <is>
          <t>HIGH</t>
        </is>
      </c>
      <c r="F995" t="n">
        <v>2</v>
      </c>
      <c r="G995" t="n">
        <v>3</v>
      </c>
      <c r="H995" t="inlineStr">
        <is>
          <t>HIGH</t>
        </is>
      </c>
      <c r="I995" t="n">
        <v>14.3</v>
      </c>
      <c r="J995" t="inlineStr">
        <is>
          <t>NO</t>
        </is>
      </c>
      <c r="K995" t="inlineStr">
        <is>
          <t>2026-02-26 00:15</t>
        </is>
      </c>
      <c r="L995" t="inlineStr">
        <is>
          <t>CHECK_VENDOR</t>
        </is>
      </c>
      <c r="M995" t="inlineStr">
        <is>
          <t>See CVE details</t>
        </is>
      </c>
      <c r="N995" t="inlineStr">
        <is>
          <t>P3</t>
        </is>
      </c>
      <c r="O995" t="inlineStr">
        <is>
          <t>CVE - IP enrichment n/a</t>
        </is>
      </c>
      <c r="P995" t="n">
        <v>0</v>
      </c>
      <c r="Q995" t="n">
        <v>0</v>
      </c>
      <c r="R995" t="inlineStr">
        <is>
          <t>T1190:Exploit Public-Facing Application</t>
        </is>
      </c>
      <c r="S995" t="n">
        <v>1</v>
      </c>
      <c r="T995" t="inlineStr">
        <is>
          <t>LOW (40%)</t>
        </is>
      </c>
      <c r="U995" t="inlineStr">
        <is>
          <t>UNLIKELY</t>
        </is>
      </c>
      <c r="V995" t="inlineStr">
        <is>
          <t>CHECK_VENDOR</t>
        </is>
      </c>
      <c r="W995" t="inlineStr">
        <is>
          <t>https://nvd.nist.gov/vuln/detail/CVE-2026-1367</t>
        </is>
      </c>
      <c r="X995" t="inlineStr">
        <is>
          <t>NONE</t>
        </is>
      </c>
      <c r="Y995" t="n">
        <v>0</v>
      </c>
      <c r="Z995" t="inlineStr"/>
      <c r="AA995" t="inlineStr">
        <is>
          <t>https://nvd.nist.gov/vuln/detail/CVE-2026-1367</t>
        </is>
      </c>
    </row>
    <row r="996">
      <c r="A996" t="inlineStr">
        <is>
          <t>CVE</t>
        </is>
      </c>
      <c r="B996" t="inlineStr">
        <is>
          <t>CVE-2026-2977</t>
        </is>
      </c>
      <c r="C996" t="inlineStr">
        <is>
          <t>A security vulnerability has been detected in FastApiAdmin up to 2.2.0. This affects the function upload_controller of the file /backend/app/api/v1/module_common/file/controller.py of the component Scheduled Task API. Such manipulation leads to unrestricted upload. It is possible to launch the attack remotely. The exploit has been disclosed publicly and may be used.</t>
        </is>
      </c>
      <c r="D996" t="n">
        <v>6.3</v>
      </c>
      <c r="E996" t="inlineStr">
        <is>
          <t>MEDIUM</t>
        </is>
      </c>
      <c r="F996" t="n">
        <v>2</v>
      </c>
      <c r="G996" t="n">
        <v>2</v>
      </c>
      <c r="H996" t="inlineStr">
        <is>
          <t>MEDIUM</t>
        </is>
      </c>
      <c r="I996" t="n">
        <v>10.3</v>
      </c>
      <c r="J996" t="inlineStr">
        <is>
          <t>NO</t>
        </is>
      </c>
      <c r="K996" t="inlineStr">
        <is>
          <t>2026-02-26 00:15</t>
        </is>
      </c>
      <c r="L996" t="inlineStr">
        <is>
          <t>CHECK_VENDOR</t>
        </is>
      </c>
      <c r="M996" t="inlineStr">
        <is>
          <t>fastapiadmin fastapi-admin 2.0 | fastapiadmin fastapi-admin 2.2.0 | fastapiadmin fastapi-admin 2.1</t>
        </is>
      </c>
      <c r="N996" t="inlineStr">
        <is>
          <t>P4</t>
        </is>
      </c>
      <c r="O996" t="inlineStr">
        <is>
          <t>CVE - IP enrichment n/a</t>
        </is>
      </c>
      <c r="P996" t="n">
        <v>0</v>
      </c>
      <c r="Q996" t="n">
        <v>0</v>
      </c>
      <c r="R996" t="inlineStr">
        <is>
          <t>T1190:Exploit Public-Facing Application</t>
        </is>
      </c>
      <c r="S996" t="n">
        <v>1</v>
      </c>
      <c r="T996" t="inlineStr">
        <is>
          <t>LOW (40%)</t>
        </is>
      </c>
      <c r="U996" t="inlineStr">
        <is>
          <t>UNLIKELY</t>
        </is>
      </c>
      <c r="V996" t="inlineStr">
        <is>
          <t>CHECK_VENDOR</t>
        </is>
      </c>
      <c r="W996" t="inlineStr">
        <is>
          <t>https://nvd.nist.gov/vuln/detail/CVE-2026-2977</t>
        </is>
      </c>
      <c r="X996" t="inlineStr">
        <is>
          <t>NONE</t>
        </is>
      </c>
      <c r="Y996" t="n">
        <v>0</v>
      </c>
      <c r="Z996" t="inlineStr"/>
      <c r="AA996" t="inlineStr">
        <is>
          <t>https://nvd.nist.gov/vuln/detail/CVE-2026-2977</t>
        </is>
      </c>
    </row>
    <row r="997">
      <c r="A997" t="inlineStr">
        <is>
          <t>CVE</t>
        </is>
      </c>
      <c r="B997" t="inlineStr">
        <is>
          <t>CVE-2026-2978</t>
        </is>
      </c>
      <c r="C997" t="inlineStr">
        <is>
          <t>A vulnerability was detected in FastApiAdmin up to 2.2.0. This vulnerability affects the function upload_file_controller of the file /backend/app/api/v1/module_system/params/controller.py of the component Scheduled Task API. Performing a manipulation results in unrestricted upload. The attack can be initiated remotely. The exploit is now public and may be used.</t>
        </is>
      </c>
      <c r="D997" t="n">
        <v>6.3</v>
      </c>
      <c r="E997" t="inlineStr">
        <is>
          <t>MEDIUM</t>
        </is>
      </c>
      <c r="F997" t="n">
        <v>2</v>
      </c>
      <c r="G997" t="n">
        <v>2</v>
      </c>
      <c r="H997" t="inlineStr">
        <is>
          <t>MEDIUM</t>
        </is>
      </c>
      <c r="I997" t="n">
        <v>10.3</v>
      </c>
      <c r="J997" t="inlineStr">
        <is>
          <t>NO</t>
        </is>
      </c>
      <c r="K997" t="inlineStr">
        <is>
          <t>2026-02-26 00:15</t>
        </is>
      </c>
      <c r="L997" t="inlineStr">
        <is>
          <t>CHECK_VENDOR</t>
        </is>
      </c>
      <c r="M997" t="inlineStr">
        <is>
          <t>fastapiadmin fastapi-admin 2.0 | fastapiadmin fastapi-admin 2.2.0 | fastapiadmin fastapi-admin 2.1</t>
        </is>
      </c>
      <c r="N997" t="inlineStr">
        <is>
          <t>P4</t>
        </is>
      </c>
      <c r="O997" t="inlineStr">
        <is>
          <t>CVE - IP enrichment n/a</t>
        </is>
      </c>
      <c r="P997" t="n">
        <v>0</v>
      </c>
      <c r="Q997" t="n">
        <v>0</v>
      </c>
      <c r="R997" t="inlineStr">
        <is>
          <t>T1190:Exploit Public-Facing Application</t>
        </is>
      </c>
      <c r="S997" t="n">
        <v>1</v>
      </c>
      <c r="T997" t="inlineStr">
        <is>
          <t>LOW (40%)</t>
        </is>
      </c>
      <c r="U997" t="inlineStr">
        <is>
          <t>UNLIKELY</t>
        </is>
      </c>
      <c r="V997" t="inlineStr">
        <is>
          <t>CHECK_VENDOR</t>
        </is>
      </c>
      <c r="W997" t="inlineStr">
        <is>
          <t>https://nvd.nist.gov/vuln/detail/CVE-2026-2978</t>
        </is>
      </c>
      <c r="X997" t="inlineStr">
        <is>
          <t>NONE</t>
        </is>
      </c>
      <c r="Y997" t="n">
        <v>0</v>
      </c>
      <c r="Z997" t="inlineStr"/>
      <c r="AA997" t="inlineStr">
        <is>
          <t>https://nvd.nist.gov/vuln/detail/CVE-2026-2978</t>
        </is>
      </c>
    </row>
    <row r="998">
      <c r="A998" t="inlineStr">
        <is>
          <t>CVE</t>
        </is>
      </c>
      <c r="B998" t="inlineStr">
        <is>
          <t>CVE-2026-23552</t>
        </is>
      </c>
      <c r="C998" t="inlineStr">
        <is>
          <t>Cross-Realm Token Acceptance Bypass in KeycloakSecurityPolicy Apache Camel Keycloak component. 
The Camel-Keycloak KeycloakSecurityPolicy does not validate the iss (issuer) claim of JWT tokens against the configured realm. A token issued by one Keycloak realm is silently accepted by a policy configured for a completely different realm, breaking tenant isolation.
This issue affects Apache Camel: from 4.15.0 before 4.18.0.
Users are recommended to upgrade to version 4.18.0, which fixes the issue</t>
        </is>
      </c>
      <c r="D998" t="n">
        <v>9.1</v>
      </c>
      <c r="E998" t="inlineStr">
        <is>
          <t>CRITICAL</t>
        </is>
      </c>
      <c r="F998" t="n">
        <v>2</v>
      </c>
      <c r="G998" t="n">
        <v>3</v>
      </c>
      <c r="H998" t="inlineStr">
        <is>
          <t>HIGH</t>
        </is>
      </c>
      <c r="I998" t="n">
        <v>15.1</v>
      </c>
      <c r="J998" t="inlineStr">
        <is>
          <t>NO</t>
        </is>
      </c>
      <c r="K998" t="inlineStr">
        <is>
          <t>2026-02-26 00:15</t>
        </is>
      </c>
      <c r="L998" t="inlineStr">
        <is>
          <t>CHECK_VENDOR</t>
        </is>
      </c>
      <c r="M998" t="inlineStr">
        <is>
          <t>See CVE details</t>
        </is>
      </c>
      <c r="N998" t="inlineStr">
        <is>
          <t>P3</t>
        </is>
      </c>
      <c r="O998" t="inlineStr">
        <is>
          <t>CVE - IP enrichment n/a</t>
        </is>
      </c>
      <c r="P998" t="n">
        <v>0</v>
      </c>
      <c r="Q998" t="n">
        <v>0</v>
      </c>
      <c r="R998" t="inlineStr">
        <is>
          <t>T1190:Exploit Public-Facing Application</t>
        </is>
      </c>
      <c r="S998" t="n">
        <v>1</v>
      </c>
      <c r="T998" t="inlineStr">
        <is>
          <t>LOW (40%)</t>
        </is>
      </c>
      <c r="U998" t="inlineStr">
        <is>
          <t>UNLIKELY</t>
        </is>
      </c>
      <c r="V998" t="inlineStr">
        <is>
          <t>CHECK_VENDOR</t>
        </is>
      </c>
      <c r="W998" t="inlineStr">
        <is>
          <t>https://nvd.nist.gov/vuln/detail/CVE-2026-23552</t>
        </is>
      </c>
      <c r="X998" t="inlineStr">
        <is>
          <t>NONE</t>
        </is>
      </c>
      <c r="Y998" t="n">
        <v>0</v>
      </c>
      <c r="Z998" t="inlineStr"/>
      <c r="AA998" t="inlineStr">
        <is>
          <t>https://nvd.nist.gov/vuln/detail/CVE-2026-23552</t>
        </is>
      </c>
    </row>
    <row r="999">
      <c r="A999" t="inlineStr">
        <is>
          <t>CVE</t>
        </is>
      </c>
      <c r="B999" t="inlineStr">
        <is>
          <t>CVE-2026-25747</t>
        </is>
      </c>
      <c r="C999" t="inlineStr">
        <is>
          <t>Deserialization of Untrusted Data vulnerability in Apache Camel LevelDB component.
The Camel-LevelDB DefaultLevelDBSerializer class deserializes data read from the LevelDB aggregation repository using java.io.ObjectInputStream without applying any ObjectInputFilter or class-loading restrictions. An attacker who can write to the LevelDB database files used by a Camel application can inject a crafted serialized Java object that, when deserialized during normal aggregation repository operations, r</t>
        </is>
      </c>
      <c r="D999" t="n">
        <v>5</v>
      </c>
      <c r="E999" t="inlineStr">
        <is>
          <t>MEDIUM</t>
        </is>
      </c>
      <c r="F999" t="n">
        <v>2</v>
      </c>
      <c r="G999" t="n">
        <v>2</v>
      </c>
      <c r="H999" t="inlineStr">
        <is>
          <t>MEDIUM</t>
        </is>
      </c>
      <c r="I999" t="n">
        <v>9</v>
      </c>
      <c r="J999" t="inlineStr">
        <is>
          <t>NO</t>
        </is>
      </c>
      <c r="K999" t="inlineStr">
        <is>
          <t>2026-02-26 00:15</t>
        </is>
      </c>
      <c r="L999" t="inlineStr">
        <is>
          <t>CHECK_VENDOR</t>
        </is>
      </c>
      <c r="M999" t="inlineStr">
        <is>
          <t>See CVE details</t>
        </is>
      </c>
      <c r="N999" t="inlineStr">
        <is>
          <t>P4</t>
        </is>
      </c>
      <c r="O999" t="inlineStr">
        <is>
          <t>CVE - IP enrichment n/a</t>
        </is>
      </c>
      <c r="P999" t="n">
        <v>0</v>
      </c>
      <c r="Q999" t="n">
        <v>0</v>
      </c>
      <c r="R999" t="inlineStr">
        <is>
          <t>T1059:Command and Scripting Interpreter | T1203:Exploitation for Client Execution</t>
        </is>
      </c>
      <c r="S999" t="n">
        <v>1</v>
      </c>
      <c r="T999" t="inlineStr">
        <is>
          <t>LOW (40%)</t>
        </is>
      </c>
      <c r="U999" t="inlineStr">
        <is>
          <t>UNLIKELY</t>
        </is>
      </c>
      <c r="V999" t="inlineStr">
        <is>
          <t>CHECK_VENDOR</t>
        </is>
      </c>
      <c r="W999" t="inlineStr">
        <is>
          <t>https://nvd.nist.gov/vuln/detail/CVE-2026-25747</t>
        </is>
      </c>
      <c r="X999" t="inlineStr">
        <is>
          <t>NONE</t>
        </is>
      </c>
      <c r="Y999" t="n">
        <v>0</v>
      </c>
      <c r="Z999" t="inlineStr"/>
      <c r="AA999" t="inlineStr">
        <is>
          <t>https://nvd.nist.gov/vuln/detail/CVE-2026-25747</t>
        </is>
      </c>
    </row>
    <row r="1000">
      <c r="A1000" t="inlineStr">
        <is>
          <t>CVE</t>
        </is>
      </c>
      <c r="B1000" t="inlineStr">
        <is>
          <t>CVE-2026-26365</t>
        </is>
      </c>
      <c r="C1000" t="inlineStr">
        <is>
          <t>Akamai Ghost on Akamai CDN edge servers before 2026-02-06 mishandles processing of custom hop-by-hop HTTP headers, where an incoming request containing the header "Connection: Transfer-Encoding" could result in a forward request with invalid message framing, depending on the Akamai processing path. This could result in the origin server parsing the request body incorrectly, leading to HTTP request smuggling.</t>
        </is>
      </c>
      <c r="D1000" t="n">
        <v>4</v>
      </c>
      <c r="E1000" t="inlineStr">
        <is>
          <t>MEDIUM</t>
        </is>
      </c>
      <c r="F1000" t="n">
        <v>2</v>
      </c>
      <c r="G1000" t="n">
        <v>2</v>
      </c>
      <c r="H1000" t="inlineStr">
        <is>
          <t>MEDIUM</t>
        </is>
      </c>
      <c r="I1000" t="n">
        <v>8</v>
      </c>
      <c r="J1000" t="inlineStr">
        <is>
          <t>NO</t>
        </is>
      </c>
      <c r="K1000" t="inlineStr">
        <is>
          <t>2026-02-26 00:15</t>
        </is>
      </c>
      <c r="L1000" t="inlineStr">
        <is>
          <t>CHECK_VENDOR</t>
        </is>
      </c>
      <c r="M1000" t="inlineStr">
        <is>
          <t>See CVE details</t>
        </is>
      </c>
      <c r="N1000" t="inlineStr">
        <is>
          <t>P4</t>
        </is>
      </c>
      <c r="O1000" t="inlineStr">
        <is>
          <t>CVE - IP enrichment n/a</t>
        </is>
      </c>
      <c r="P1000" t="n">
        <v>0</v>
      </c>
      <c r="Q1000" t="n">
        <v>0</v>
      </c>
      <c r="R1000" t="inlineStr">
        <is>
          <t>T1190:Exploit Public-Facing Application</t>
        </is>
      </c>
      <c r="S1000" t="n">
        <v>1</v>
      </c>
      <c r="T1000" t="inlineStr">
        <is>
          <t>LOW (40%)</t>
        </is>
      </c>
      <c r="U1000" t="inlineStr">
        <is>
          <t>UNLIKELY</t>
        </is>
      </c>
      <c r="V1000" t="inlineStr">
        <is>
          <t>CHECK_VENDOR</t>
        </is>
      </c>
      <c r="W1000" t="inlineStr">
        <is>
          <t>https://nvd.nist.gov/vuln/detail/CVE-2026-26365</t>
        </is>
      </c>
      <c r="X1000" t="inlineStr">
        <is>
          <t>NONE</t>
        </is>
      </c>
      <c r="Y1000" t="n">
        <v>0</v>
      </c>
      <c r="Z1000" t="inlineStr"/>
      <c r="AA1000" t="inlineStr">
        <is>
          <t>https://nvd.nist.gov/vuln/detail/CVE-2026-26365</t>
        </is>
      </c>
    </row>
    <row r="1001">
      <c r="A1001" t="inlineStr">
        <is>
          <t>CVE</t>
        </is>
      </c>
      <c r="B1001" t="inlineStr">
        <is>
          <t>CVE-2026-2979</t>
        </is>
      </c>
      <c r="C1001" t="inlineStr">
        <is>
          <t>A flaw has been found in FastApiAdmin up to 2.2.0. This issue affects the function user_avatar_upload_controller of the file /backend/app/api/v1/module_system/user/controller.py of the component Scheduled Task API. Executing a manipulation can lead to unrestricted upload. The attack can be launched remotely. The exploit has been published and may be used.</t>
        </is>
      </c>
      <c r="D1001" t="n">
        <v>6.3</v>
      </c>
      <c r="E1001" t="inlineStr">
        <is>
          <t>MEDIUM</t>
        </is>
      </c>
      <c r="F1001" t="n">
        <v>2</v>
      </c>
      <c r="G1001" t="n">
        <v>2</v>
      </c>
      <c r="H1001" t="inlineStr">
        <is>
          <t>MEDIUM</t>
        </is>
      </c>
      <c r="I1001" t="n">
        <v>10.3</v>
      </c>
      <c r="J1001" t="inlineStr">
        <is>
          <t>NO</t>
        </is>
      </c>
      <c r="K1001" t="inlineStr">
        <is>
          <t>2026-02-26 00:15</t>
        </is>
      </c>
      <c r="L1001" t="inlineStr">
        <is>
          <t>CHECK_VENDOR</t>
        </is>
      </c>
      <c r="M1001" t="inlineStr">
        <is>
          <t>fastapiadmin fastapi-admin 2.0 | fastapiadmin fastapi-admin 2.2.0 | fastapiadmin fastapi-admin 2.1</t>
        </is>
      </c>
      <c r="N1001" t="inlineStr">
        <is>
          <t>P4</t>
        </is>
      </c>
      <c r="O1001" t="inlineStr">
        <is>
          <t>CVE - IP enrichment n/a</t>
        </is>
      </c>
      <c r="P1001" t="n">
        <v>0</v>
      </c>
      <c r="Q1001" t="n">
        <v>0</v>
      </c>
      <c r="R1001" t="inlineStr">
        <is>
          <t>T1190:Exploit Public-Facing Application</t>
        </is>
      </c>
      <c r="S1001" t="n">
        <v>1</v>
      </c>
      <c r="T1001" t="inlineStr">
        <is>
          <t>LOW (40%)</t>
        </is>
      </c>
      <c r="U1001" t="inlineStr">
        <is>
          <t>UNLIKELY</t>
        </is>
      </c>
      <c r="V1001" t="inlineStr">
        <is>
          <t>CHECK_VENDOR</t>
        </is>
      </c>
      <c r="W1001" t="inlineStr">
        <is>
          <t>https://nvd.nist.gov/vuln/detail/CVE-2026-2979</t>
        </is>
      </c>
      <c r="X1001" t="inlineStr">
        <is>
          <t>NONE</t>
        </is>
      </c>
      <c r="Y1001" t="n">
        <v>0</v>
      </c>
      <c r="Z1001" t="inlineStr"/>
      <c r="AA1001" t="inlineStr">
        <is>
          <t>https://nvd.nist.gov/vuln/detail/CVE-2026-2979</t>
        </is>
      </c>
    </row>
    <row r="1002">
      <c r="A1002" t="inlineStr">
        <is>
          <t>CVE</t>
        </is>
      </c>
      <c r="B1002" t="inlineStr">
        <is>
          <t>CVE-2026-2980</t>
        </is>
      </c>
      <c r="C1002" t="inlineStr">
        <is>
          <t>A vulnerability has been found in UTT HiPER 810G up to 1.7.7-1711. Impacted is the function strcpy of the file /goform/setSysAdm. The manipulation of the argument passwd1 leads to buffer overflow. The attack may be initiated remotely. The exploit has been disclosed to the public and may be used.</t>
        </is>
      </c>
      <c r="D1002" t="n">
        <v>7.2</v>
      </c>
      <c r="E1002" t="inlineStr">
        <is>
          <t>HIGH</t>
        </is>
      </c>
      <c r="F1002" t="n">
        <v>2</v>
      </c>
      <c r="G1002" t="n">
        <v>3</v>
      </c>
      <c r="H1002" t="inlineStr">
        <is>
          <t>HIGH</t>
        </is>
      </c>
      <c r="I1002" t="n">
        <v>13.2</v>
      </c>
      <c r="J1002" t="inlineStr">
        <is>
          <t>NO</t>
        </is>
      </c>
      <c r="K1002" t="inlineStr">
        <is>
          <t>2026-02-26 00:15</t>
        </is>
      </c>
      <c r="L1002" t="inlineStr">
        <is>
          <t>CHECK_VENDOR</t>
        </is>
      </c>
      <c r="M1002" t="inlineStr">
        <is>
          <t>utt 810g_firmware * | utt 810g 3.0</t>
        </is>
      </c>
      <c r="N1002" t="inlineStr">
        <is>
          <t>P3</t>
        </is>
      </c>
      <c r="O1002" t="inlineStr">
        <is>
          <t>CVE - IP enrichment n/a</t>
        </is>
      </c>
      <c r="P1002" t="n">
        <v>0</v>
      </c>
      <c r="Q1002" t="n">
        <v>0</v>
      </c>
      <c r="R1002" t="inlineStr">
        <is>
          <t>T1203:Exploitation for Client Execution</t>
        </is>
      </c>
      <c r="S1002" t="n">
        <v>1</v>
      </c>
      <c r="T1002" t="inlineStr">
        <is>
          <t>LOW (40%)</t>
        </is>
      </c>
      <c r="U1002" t="inlineStr">
        <is>
          <t>UNLIKELY</t>
        </is>
      </c>
      <c r="V1002" t="inlineStr">
        <is>
          <t>CHECK_VENDOR</t>
        </is>
      </c>
      <c r="W1002" t="inlineStr">
        <is>
          <t>https://nvd.nist.gov/vuln/detail/CVE-2026-2980</t>
        </is>
      </c>
      <c r="X1002" t="inlineStr">
        <is>
          <t>NONE</t>
        </is>
      </c>
      <c r="Y1002" t="n">
        <v>0</v>
      </c>
      <c r="Z1002" t="inlineStr"/>
      <c r="AA1002" t="inlineStr">
        <is>
          <t>https://nvd.nist.gov/vuln/detail/CVE-2026-2980</t>
        </is>
      </c>
    </row>
    <row r="1003">
      <c r="A1003" t="inlineStr">
        <is>
          <t>CVE</t>
        </is>
      </c>
      <c r="B1003" t="inlineStr">
        <is>
          <t>CVE-2026-2981</t>
        </is>
      </c>
      <c r="C1003" t="inlineStr">
        <is>
          <t>A vulnerability was found in UTT HiPER 810G up to 1.7.7-1711. The affected element is the function strcpy of the file /goform/formTaskEdit_ap. The manipulation of the argument txtMin2 results in buffer overflow. The attack may be launched remotely. The exploit has been made public and could be used.</t>
        </is>
      </c>
      <c r="D1003" t="n">
        <v>8.800000000000001</v>
      </c>
      <c r="E1003" t="inlineStr">
        <is>
          <t>HIGH</t>
        </is>
      </c>
      <c r="F1003" t="n">
        <v>2</v>
      </c>
      <c r="G1003" t="n">
        <v>3</v>
      </c>
      <c r="H1003" t="inlineStr">
        <is>
          <t>HIGH</t>
        </is>
      </c>
      <c r="I1003" t="n">
        <v>14.8</v>
      </c>
      <c r="J1003" t="inlineStr">
        <is>
          <t>NO</t>
        </is>
      </c>
      <c r="K1003" t="inlineStr">
        <is>
          <t>2026-02-26 00:15</t>
        </is>
      </c>
      <c r="L1003" t="inlineStr">
        <is>
          <t>CHECK_VENDOR</t>
        </is>
      </c>
      <c r="M1003" t="inlineStr">
        <is>
          <t>utt 810g_firmware * | utt 810g 3.0</t>
        </is>
      </c>
      <c r="N1003" t="inlineStr">
        <is>
          <t>P3</t>
        </is>
      </c>
      <c r="O1003" t="inlineStr">
        <is>
          <t>CVE - IP enrichment n/a</t>
        </is>
      </c>
      <c r="P1003" t="n">
        <v>0</v>
      </c>
      <c r="Q1003" t="n">
        <v>0</v>
      </c>
      <c r="R1003" t="inlineStr">
        <is>
          <t>T1203:Exploitation for Client Execution</t>
        </is>
      </c>
      <c r="S1003" t="n">
        <v>1</v>
      </c>
      <c r="T1003" t="inlineStr">
        <is>
          <t>LOW (40%)</t>
        </is>
      </c>
      <c r="U1003" t="inlineStr">
        <is>
          <t>UNLIKELY</t>
        </is>
      </c>
      <c r="V1003" t="inlineStr">
        <is>
          <t>CHECK_VENDOR</t>
        </is>
      </c>
      <c r="W1003" t="inlineStr">
        <is>
          <t>https://nvd.nist.gov/vuln/detail/CVE-2026-2981</t>
        </is>
      </c>
      <c r="X1003" t="inlineStr">
        <is>
          <t>NONE</t>
        </is>
      </c>
      <c r="Y1003" t="n">
        <v>0</v>
      </c>
      <c r="Z1003" t="inlineStr"/>
      <c r="AA1003" t="inlineStr">
        <is>
          <t>https://nvd.nist.gov/vuln/detail/CVE-2026-2981</t>
        </is>
      </c>
    </row>
    <row r="1004">
      <c r="A1004" t="inlineStr">
        <is>
          <t>CVE</t>
        </is>
      </c>
      <c r="B1004" t="inlineStr">
        <is>
          <t>CVE-2025-41002</t>
        </is>
      </c>
      <c r="C1004" t="inlineStr">
        <is>
          <t>SQL injection vulnerability in Infoticketing. This vulnerability allows
 an unauthenticated attacker to retrieve, create, update, and delete the
 database by sending a POST request using the 'code' parameter in '/components/cart/cartApplyDiscount.php'.</t>
        </is>
      </c>
      <c r="D1004" t="n">
        <v>8.5</v>
      </c>
      <c r="E1004" t="inlineStr">
        <is>
          <t>HIGH</t>
        </is>
      </c>
      <c r="F1004" t="n">
        <v>2</v>
      </c>
      <c r="G1004" t="n">
        <v>3</v>
      </c>
      <c r="H1004" t="inlineStr">
        <is>
          <t>HIGH</t>
        </is>
      </c>
      <c r="I1004" t="n">
        <v>14.5</v>
      </c>
      <c r="J1004" t="inlineStr">
        <is>
          <t>NO</t>
        </is>
      </c>
      <c r="K1004" t="inlineStr">
        <is>
          <t>2026-02-26 00:15</t>
        </is>
      </c>
      <c r="L1004" t="inlineStr">
        <is>
          <t>CHECK_VENDOR</t>
        </is>
      </c>
      <c r="M1004" t="inlineStr">
        <is>
          <t>See CVE details</t>
        </is>
      </c>
      <c r="N1004" t="inlineStr">
        <is>
          <t>P3</t>
        </is>
      </c>
      <c r="O1004" t="inlineStr">
        <is>
          <t>CVE - IP enrichment n/a</t>
        </is>
      </c>
      <c r="P1004" t="n">
        <v>0</v>
      </c>
      <c r="Q1004" t="n">
        <v>0</v>
      </c>
      <c r="R1004" t="inlineStr">
        <is>
          <t>T1190:Exploit Public-Facing Application</t>
        </is>
      </c>
      <c r="S1004" t="n">
        <v>1</v>
      </c>
      <c r="T1004" t="inlineStr">
        <is>
          <t>LOW (40%)</t>
        </is>
      </c>
      <c r="U1004" t="inlineStr">
        <is>
          <t>UNLIKELY</t>
        </is>
      </c>
      <c r="V1004" t="inlineStr">
        <is>
          <t>CHECK_VENDOR</t>
        </is>
      </c>
      <c r="W1004" t="inlineStr">
        <is>
          <t>https://nvd.nist.gov/vuln/detail/CVE-2025-41002</t>
        </is>
      </c>
      <c r="X1004" t="inlineStr">
        <is>
          <t>NONE</t>
        </is>
      </c>
      <c r="Y1004" t="n">
        <v>0</v>
      </c>
      <c r="Z1004" t="inlineStr"/>
      <c r="AA1004" t="inlineStr">
        <is>
          <t>https://nvd.nist.gov/vuln/detail/CVE-2025-41002</t>
        </is>
      </c>
    </row>
    <row r="1005">
      <c r="A1005" t="inlineStr">
        <is>
          <t>CVE</t>
        </is>
      </c>
      <c r="B1005" t="inlineStr">
        <is>
          <t>CVE-2026-2983</t>
        </is>
      </c>
      <c r="C1005" t="inlineStr">
        <is>
          <t>A vulnerability was determined in SourceCodester Student Result Management System 1.0. The impacted element is an unknown function of the file /admin/core/import_users.php of the component Bulk Import. This manipulation of the argument File causes improper access controls. Remote exploitation of the attack is possible. The exploit has been publicly disclosed and may be utilized.</t>
        </is>
      </c>
      <c r="D1005" t="n">
        <v>7.3</v>
      </c>
      <c r="E1005" t="inlineStr">
        <is>
          <t>HIGH</t>
        </is>
      </c>
      <c r="F1005" t="n">
        <v>2</v>
      </c>
      <c r="G1005" t="n">
        <v>3</v>
      </c>
      <c r="H1005" t="inlineStr">
        <is>
          <t>HIGH</t>
        </is>
      </c>
      <c r="I1005" t="n">
        <v>13.3</v>
      </c>
      <c r="J1005" t="inlineStr">
        <is>
          <t>NO</t>
        </is>
      </c>
      <c r="K1005" t="inlineStr">
        <is>
          <t>2026-02-26 00:15</t>
        </is>
      </c>
      <c r="L1005" t="inlineStr">
        <is>
          <t>YES</t>
        </is>
      </c>
      <c r="M1005" t="inlineStr">
        <is>
          <t>munyweki student_result_management_system 1.0</t>
        </is>
      </c>
      <c r="N1005" t="inlineStr">
        <is>
          <t>P3</t>
        </is>
      </c>
      <c r="O1005" t="inlineStr">
        <is>
          <t>CVE - IP enrichment n/a</t>
        </is>
      </c>
      <c r="P1005" t="n">
        <v>0</v>
      </c>
      <c r="Q1005" t="n">
        <v>0</v>
      </c>
      <c r="R1005" t="inlineStr">
        <is>
          <t>T1190:Exploit Public-Facing Application</t>
        </is>
      </c>
      <c r="S1005" t="n">
        <v>1</v>
      </c>
      <c r="T1005" t="inlineStr">
        <is>
          <t>LOW (40%)</t>
        </is>
      </c>
      <c r="U1005" t="inlineStr">
        <is>
          <t>UNLIKELY</t>
        </is>
      </c>
      <c r="V1005" t="inlineStr">
        <is>
          <t>PATCH_AVAILABLE</t>
        </is>
      </c>
      <c r="W1005" t="inlineStr">
        <is>
          <t>https://nvd.nist.gov/vuln/detail/CVE-2026-2983</t>
        </is>
      </c>
      <c r="X1005" t="inlineStr">
        <is>
          <t>NONE</t>
        </is>
      </c>
      <c r="Y1005" t="n">
        <v>0</v>
      </c>
      <c r="Z1005" t="inlineStr"/>
      <c r="AA1005" t="inlineStr">
        <is>
          <t>https://nvd.nist.gov/vuln/detail/CVE-2026-2983</t>
        </is>
      </c>
    </row>
    <row r="1006">
      <c r="A1006" t="inlineStr">
        <is>
          <t>CVE</t>
        </is>
      </c>
      <c r="B1006" t="inlineStr">
        <is>
          <t>CVE-2025-40701</t>
        </is>
      </c>
      <c r="C1006" t="inlineStr">
        <is>
          <t>Reflected Cross-Site Scripting vulnerability in SOTESHOP, version 8.3.4. THis vulnerability allows an attacker execute JavaScript code in the victim's browser when a malicious URL with the 'id' parameter in '/adsTracker/checkAds' is sent to the victim. The vulnerability can be exploited to steal sensitive user information such as session cookies, or to perform actions on their behalf.</t>
        </is>
      </c>
      <c r="D1006" t="n">
        <v>5</v>
      </c>
      <c r="E1006" t="inlineStr">
        <is>
          <t>MEDIUM</t>
        </is>
      </c>
      <c r="F1006" t="n">
        <v>2</v>
      </c>
      <c r="G1006" t="n">
        <v>2</v>
      </c>
      <c r="H1006" t="inlineStr">
        <is>
          <t>MEDIUM</t>
        </is>
      </c>
      <c r="I1006" t="n">
        <v>9</v>
      </c>
      <c r="J1006" t="inlineStr">
        <is>
          <t>NO</t>
        </is>
      </c>
      <c r="K1006" t="inlineStr">
        <is>
          <t>2026-02-26 00:15</t>
        </is>
      </c>
      <c r="L1006" t="inlineStr">
        <is>
          <t>CHECK_VENDOR</t>
        </is>
      </c>
      <c r="M1006" t="inlineStr">
        <is>
          <t>See CVE details</t>
        </is>
      </c>
      <c r="N1006" t="inlineStr">
        <is>
          <t>P4</t>
        </is>
      </c>
      <c r="O1006" t="inlineStr">
        <is>
          <t>CVE - IP enrichment n/a</t>
        </is>
      </c>
      <c r="P1006" t="n">
        <v>0</v>
      </c>
      <c r="Q1006" t="n">
        <v>0</v>
      </c>
      <c r="R1006" t="inlineStr">
        <is>
          <t>T1189:Drive-by Compromise</t>
        </is>
      </c>
      <c r="S1006" t="n">
        <v>1</v>
      </c>
      <c r="T1006" t="inlineStr">
        <is>
          <t>LOW (40%)</t>
        </is>
      </c>
      <c r="U1006" t="inlineStr">
        <is>
          <t>UNLIKELY</t>
        </is>
      </c>
      <c r="V1006" t="inlineStr">
        <is>
          <t>CHECK_VENDOR</t>
        </is>
      </c>
      <c r="W1006" t="inlineStr">
        <is>
          <t>https://nvd.nist.gov/vuln/detail/CVE-2025-40701</t>
        </is>
      </c>
      <c r="X1006" t="inlineStr">
        <is>
          <t>NONE</t>
        </is>
      </c>
      <c r="Y1006" t="n">
        <v>0</v>
      </c>
      <c r="Z1006" t="inlineStr"/>
      <c r="AA1006" t="inlineStr">
        <is>
          <t>https://nvd.nist.gov/vuln/detail/CVE-2025-40701</t>
        </is>
      </c>
    </row>
    <row r="1007">
      <c r="A1007" t="inlineStr">
        <is>
          <t>CVE</t>
        </is>
      </c>
      <c r="B1007" t="inlineStr">
        <is>
          <t>CVE-2025-40986</t>
        </is>
      </c>
      <c r="C1007" t="inlineStr">
        <is>
          <t>Reflected Cross-Site Scripting (XSS) vulnerability in PideTuCita. This vulnerability allows an attacker to execute JavaScript code in the victim's browser by sending him/her a malicious URL using the endpoint 'cookies/indes.php/ '. This vulnerability can be exploited to steal confidential user data, such as session cookies or to perform actions on behalf of the user.</t>
        </is>
      </c>
      <c r="D1007" t="n">
        <v>5</v>
      </c>
      <c r="E1007" t="inlineStr">
        <is>
          <t>MEDIUM</t>
        </is>
      </c>
      <c r="F1007" t="n">
        <v>2</v>
      </c>
      <c r="G1007" t="n">
        <v>2</v>
      </c>
      <c r="H1007" t="inlineStr">
        <is>
          <t>MEDIUM</t>
        </is>
      </c>
      <c r="I1007" t="n">
        <v>9</v>
      </c>
      <c r="J1007" t="inlineStr">
        <is>
          <t>NO</t>
        </is>
      </c>
      <c r="K1007" t="inlineStr">
        <is>
          <t>2026-02-26 00:15</t>
        </is>
      </c>
      <c r="L1007" t="inlineStr">
        <is>
          <t>CHECK_VENDOR</t>
        </is>
      </c>
      <c r="M1007" t="inlineStr">
        <is>
          <t>See CVE details</t>
        </is>
      </c>
      <c r="N1007" t="inlineStr">
        <is>
          <t>P4</t>
        </is>
      </c>
      <c r="O1007" t="inlineStr">
        <is>
          <t>CVE - IP enrichment n/a</t>
        </is>
      </c>
      <c r="P1007" t="n">
        <v>0.0001</v>
      </c>
      <c r="Q1007" t="n">
        <v>0.0302</v>
      </c>
      <c r="R1007" t="inlineStr">
        <is>
          <t>T1189:Drive-by Compromise</t>
        </is>
      </c>
      <c r="S1007" t="n">
        <v>1</v>
      </c>
      <c r="T1007" t="inlineStr">
        <is>
          <t>LOW (40%)</t>
        </is>
      </c>
      <c r="U1007" t="inlineStr">
        <is>
          <t>UNLIKELY</t>
        </is>
      </c>
      <c r="V1007" t="inlineStr">
        <is>
          <t>CHECK_VENDOR</t>
        </is>
      </c>
      <c r="W1007" t="inlineStr">
        <is>
          <t>https://nvd.nist.gov/vuln/detail/CVE-2025-40986</t>
        </is>
      </c>
      <c r="X1007" t="inlineStr">
        <is>
          <t>NONE</t>
        </is>
      </c>
      <c r="Y1007" t="n">
        <v>0</v>
      </c>
      <c r="Z1007" t="inlineStr"/>
      <c r="AA1007" t="inlineStr">
        <is>
          <t>https://nvd.nist.gov/vuln/detail/CVE-2025-40986</t>
        </is>
      </c>
    </row>
    <row r="1008">
      <c r="A1008" t="inlineStr">
        <is>
          <t>CVE</t>
        </is>
      </c>
      <c r="B1008" t="inlineStr">
        <is>
          <t>CVE-2025-59873</t>
        </is>
      </c>
      <c r="C1008" t="inlineStr">
        <is>
          <t>An information exposure vulnerability exists in
Vulnerability in HCL Software ZIE for Web.
The application transmits sensitive session tokens and authentication identifiers within the URL query parameters . An attacker who gains access to any network log or operates a site linked from the application can hijack user sessions
This issue affects ZIE for Web: v16.</t>
        </is>
      </c>
      <c r="D1008" t="n">
        <v>5.9</v>
      </c>
      <c r="E1008" t="inlineStr">
        <is>
          <t>MEDIUM</t>
        </is>
      </c>
      <c r="F1008" t="n">
        <v>2</v>
      </c>
      <c r="G1008" t="n">
        <v>2</v>
      </c>
      <c r="H1008" t="inlineStr">
        <is>
          <t>MEDIUM</t>
        </is>
      </c>
      <c r="I1008" t="n">
        <v>9.9</v>
      </c>
      <c r="J1008" t="inlineStr">
        <is>
          <t>NO</t>
        </is>
      </c>
      <c r="K1008" t="inlineStr">
        <is>
          <t>2026-02-26 00:15</t>
        </is>
      </c>
      <c r="L1008" t="inlineStr">
        <is>
          <t>CHECK_VENDOR</t>
        </is>
      </c>
      <c r="M1008" t="inlineStr">
        <is>
          <t>See CVE details</t>
        </is>
      </c>
      <c r="N1008" t="inlineStr">
        <is>
          <t>P4</t>
        </is>
      </c>
      <c r="O1008" t="inlineStr">
        <is>
          <t>CVE - IP enrichment n/a</t>
        </is>
      </c>
      <c r="P1008" t="n">
        <v>0</v>
      </c>
      <c r="Q1008" t="n">
        <v>0</v>
      </c>
      <c r="R1008" t="inlineStr">
        <is>
          <t>T1190:Exploit Public-Facing Application</t>
        </is>
      </c>
      <c r="S1008" t="n">
        <v>1</v>
      </c>
      <c r="T1008" t="inlineStr">
        <is>
          <t>LOW (40%)</t>
        </is>
      </c>
      <c r="U1008" t="inlineStr">
        <is>
          <t>UNLIKELY</t>
        </is>
      </c>
      <c r="V1008" t="inlineStr">
        <is>
          <t>CHECK_VENDOR</t>
        </is>
      </c>
      <c r="W1008" t="inlineStr">
        <is>
          <t>https://nvd.nist.gov/vuln/detail/CVE-2025-59873</t>
        </is>
      </c>
      <c r="X1008" t="inlineStr">
        <is>
          <t>NONE</t>
        </is>
      </c>
      <c r="Y1008" t="n">
        <v>0</v>
      </c>
      <c r="Z1008" t="inlineStr"/>
      <c r="AA1008" t="inlineStr">
        <is>
          <t>https://nvd.nist.gov/vuln/detail/CVE-2025-59873</t>
        </is>
      </c>
    </row>
    <row r="1009">
      <c r="A1009" t="inlineStr">
        <is>
          <t>CVE</t>
        </is>
      </c>
      <c r="B1009" t="inlineStr">
        <is>
          <t>CVE-2026-2984</t>
        </is>
      </c>
      <c r="C1009" t="inlineStr">
        <is>
          <t>A vulnerability was identified in SourceCodester Student Result Management System 1.0. This affects an unknown function of the file /admin/core/drop_user.php. Such manipulation of the argument ID leads to denial of service. The attack can be executed remotely. The exploit is publicly available and might be used.</t>
        </is>
      </c>
      <c r="D1009" t="n">
        <v>6.5</v>
      </c>
      <c r="E1009" t="inlineStr">
        <is>
          <t>MEDIUM</t>
        </is>
      </c>
      <c r="F1009" t="n">
        <v>2</v>
      </c>
      <c r="G1009" t="n">
        <v>2</v>
      </c>
      <c r="H1009" t="inlineStr">
        <is>
          <t>MEDIUM</t>
        </is>
      </c>
      <c r="I1009" t="n">
        <v>10.5</v>
      </c>
      <c r="J1009" t="inlineStr">
        <is>
          <t>NO</t>
        </is>
      </c>
      <c r="K1009" t="inlineStr">
        <is>
          <t>2026-02-26 00:15</t>
        </is>
      </c>
      <c r="L1009" t="inlineStr">
        <is>
          <t>YES</t>
        </is>
      </c>
      <c r="M1009" t="inlineStr">
        <is>
          <t>munyweki student_result_management_system 1.0</t>
        </is>
      </c>
      <c r="N1009" t="inlineStr">
        <is>
          <t>P4</t>
        </is>
      </c>
      <c r="O1009" t="inlineStr">
        <is>
          <t>CVE - IP enrichment n/a</t>
        </is>
      </c>
      <c r="P1009" t="n">
        <v>0</v>
      </c>
      <c r="Q1009" t="n">
        <v>0</v>
      </c>
      <c r="R1009" t="inlineStr">
        <is>
          <t>T1190:Exploit Public-Facing Application | T1499:Endpoint Denial of Service</t>
        </is>
      </c>
      <c r="S1009" t="n">
        <v>1</v>
      </c>
      <c r="T1009" t="inlineStr">
        <is>
          <t>LOW (40%)</t>
        </is>
      </c>
      <c r="U1009" t="inlineStr">
        <is>
          <t>UNLIKELY</t>
        </is>
      </c>
      <c r="V1009" t="inlineStr">
        <is>
          <t>PATCH_AVAILABLE</t>
        </is>
      </c>
      <c r="W1009" t="inlineStr">
        <is>
          <t>https://nvd.nist.gov/vuln/detail/CVE-2026-2984</t>
        </is>
      </c>
      <c r="X1009" t="inlineStr">
        <is>
          <t>NONE</t>
        </is>
      </c>
      <c r="Y1009" t="n">
        <v>0</v>
      </c>
      <c r="Z1009" t="inlineStr"/>
      <c r="AA1009" t="inlineStr">
        <is>
          <t>https://nvd.nist.gov/vuln/detail/CVE-2026-2984</t>
        </is>
      </c>
    </row>
    <row r="1010">
      <c r="A1010" t="inlineStr">
        <is>
          <t>CVE</t>
        </is>
      </c>
      <c r="B1010" t="inlineStr">
        <is>
          <t>CVE-2026-2985</t>
        </is>
      </c>
      <c r="C1010" t="inlineStr">
        <is>
          <t>A security flaw has been discovered in Tiandy Video Surveillance System 视频监控平台 7.17.0. This impacts the function downloadImage of the file /com/tiandy/easy7/core/bo/CLSBODownLoad.java. Performing a manipulation of the argument urlPath results in server-side request forgery. The attack is possible to be carried out remotely. The exploit has been released to the public and may be used for attacks. The vendor was contacted early about this disclosure but did not respond in any way.</t>
        </is>
      </c>
      <c r="D1010" t="n">
        <v>6.3</v>
      </c>
      <c r="E1010" t="inlineStr">
        <is>
          <t>MEDIUM</t>
        </is>
      </c>
      <c r="F1010" t="n">
        <v>2</v>
      </c>
      <c r="G1010" t="n">
        <v>2</v>
      </c>
      <c r="H1010" t="inlineStr">
        <is>
          <t>MEDIUM</t>
        </is>
      </c>
      <c r="I1010" t="n">
        <v>10.3</v>
      </c>
      <c r="J1010" t="inlineStr">
        <is>
          <t>NO</t>
        </is>
      </c>
      <c r="K1010" t="inlineStr">
        <is>
          <t>2026-02-26 00:15</t>
        </is>
      </c>
      <c r="L1010" t="inlineStr">
        <is>
          <t>CHECK_VENDOR</t>
        </is>
      </c>
      <c r="M1010" t="inlineStr">
        <is>
          <t>See CVE details</t>
        </is>
      </c>
      <c r="N1010" t="inlineStr">
        <is>
          <t>P4</t>
        </is>
      </c>
      <c r="O1010" t="inlineStr">
        <is>
          <t>CVE - IP enrichment n/a</t>
        </is>
      </c>
      <c r="P1010" t="n">
        <v>0.0001</v>
      </c>
      <c r="Q1010" t="n">
        <v>0.0136</v>
      </c>
      <c r="R1010" t="inlineStr">
        <is>
          <t>T1090:Proxy</t>
        </is>
      </c>
      <c r="S1010" t="n">
        <v>1</v>
      </c>
      <c r="T1010" t="inlineStr">
        <is>
          <t>LOW (40%)</t>
        </is>
      </c>
      <c r="U1010" t="inlineStr">
        <is>
          <t>UNLIKELY</t>
        </is>
      </c>
      <c r="V1010" t="inlineStr">
        <is>
          <t>CHECK_VENDOR</t>
        </is>
      </c>
      <c r="W1010" t="inlineStr">
        <is>
          <t>https://nvd.nist.gov/vuln/detail/CVE-2026-2985</t>
        </is>
      </c>
      <c r="X1010" t="inlineStr">
        <is>
          <t>NONE</t>
        </is>
      </c>
      <c r="Y1010" t="n">
        <v>0</v>
      </c>
      <c r="Z1010" t="inlineStr"/>
      <c r="AA1010" t="inlineStr">
        <is>
          <t>https://nvd.nist.gov/vuln/detail/CVE-2026-2985</t>
        </is>
      </c>
    </row>
    <row r="1011">
      <c r="A1011" t="inlineStr">
        <is>
          <t>CVE</t>
        </is>
      </c>
      <c r="B1011" t="inlineStr">
        <is>
          <t>CVE-2025-69700</t>
        </is>
      </c>
      <c r="C1011" t="inlineStr">
        <is>
          <t>Tenda FH1203 V2.0.1.6 contains a stack-based buffer overflow vulnerability in the modify_add_client_prio function, which is reachable via the formSetClientPrio CGI handler.</t>
        </is>
      </c>
      <c r="D1011" t="n">
        <v>7.5</v>
      </c>
      <c r="E1011" t="inlineStr">
        <is>
          <t>HIGH</t>
        </is>
      </c>
      <c r="F1011" t="n">
        <v>2</v>
      </c>
      <c r="G1011" t="n">
        <v>3</v>
      </c>
      <c r="H1011" t="inlineStr">
        <is>
          <t>HIGH</t>
        </is>
      </c>
      <c r="I1011" t="n">
        <v>13.5</v>
      </c>
      <c r="J1011" t="inlineStr">
        <is>
          <t>NO</t>
        </is>
      </c>
      <c r="K1011" t="inlineStr">
        <is>
          <t>2026-02-26 00:15</t>
        </is>
      </c>
      <c r="L1011" t="inlineStr">
        <is>
          <t>CHECK_VENDOR</t>
        </is>
      </c>
      <c r="M1011" t="inlineStr">
        <is>
          <t>tenda fh1203 - | tenda fh1203_firmware 2.0.1.6</t>
        </is>
      </c>
      <c r="N1011" t="inlineStr">
        <is>
          <t>P3</t>
        </is>
      </c>
      <c r="O1011" t="inlineStr">
        <is>
          <t>CVE - IP enrichment n/a</t>
        </is>
      </c>
      <c r="P1011" t="n">
        <v>0</v>
      </c>
      <c r="Q1011" t="n">
        <v>0</v>
      </c>
      <c r="R1011" t="inlineStr">
        <is>
          <t>T1190:Exploit Public-Facing Application | T1203:Exploitation for Client Execution</t>
        </is>
      </c>
      <c r="S1011" t="n">
        <v>1</v>
      </c>
      <c r="T1011" t="inlineStr">
        <is>
          <t>LOW (40%)</t>
        </is>
      </c>
      <c r="U1011" t="inlineStr">
        <is>
          <t>UNLIKELY</t>
        </is>
      </c>
      <c r="V1011" t="inlineStr">
        <is>
          <t>CHECK_VENDOR</t>
        </is>
      </c>
      <c r="W1011" t="inlineStr">
        <is>
          <t>https://nvd.nist.gov/vuln/detail/CVE-2025-69700</t>
        </is>
      </c>
      <c r="X1011" t="inlineStr">
        <is>
          <t>NONE</t>
        </is>
      </c>
      <c r="Y1011" t="n">
        <v>0</v>
      </c>
      <c r="Z1011" t="inlineStr"/>
      <c r="AA1011" t="inlineStr">
        <is>
          <t>https://nvd.nist.gov/vuln/detail/CVE-2025-69700</t>
        </is>
      </c>
    </row>
    <row r="1012">
      <c r="A1012" t="inlineStr">
        <is>
          <t>CVE</t>
        </is>
      </c>
      <c r="B1012" t="inlineStr">
        <is>
          <t>CVE-2026-21420</t>
        </is>
      </c>
      <c r="C1012" t="inlineStr">
        <is>
          <t>Dell Repository Manager (DRM), versions prior to 3.4.8, contains an Uncontrolled Search Path Element vulnerability. A low privileged attacker with local access could potentially exploit this vulnerability, leading to arbitrary code execution and escalation of privileges.</t>
        </is>
      </c>
      <c r="D1012" t="n">
        <v>7.3</v>
      </c>
      <c r="E1012" t="inlineStr">
        <is>
          <t>HIGH</t>
        </is>
      </c>
      <c r="F1012" t="n">
        <v>2</v>
      </c>
      <c r="G1012" t="n">
        <v>3</v>
      </c>
      <c r="H1012" t="inlineStr">
        <is>
          <t>HIGH</t>
        </is>
      </c>
      <c r="I1012" t="n">
        <v>13.3</v>
      </c>
      <c r="J1012" t="inlineStr">
        <is>
          <t>NO</t>
        </is>
      </c>
      <c r="K1012" t="inlineStr">
        <is>
          <t>2026-02-26 00:15</t>
        </is>
      </c>
      <c r="L1012" t="inlineStr">
        <is>
          <t>YES</t>
        </is>
      </c>
      <c r="M1012" t="inlineStr">
        <is>
          <t>dell repository_manager *</t>
        </is>
      </c>
      <c r="N1012" t="inlineStr">
        <is>
          <t>P3</t>
        </is>
      </c>
      <c r="O1012" t="inlineStr">
        <is>
          <t>CVE - IP enrichment n/a</t>
        </is>
      </c>
      <c r="P1012" t="n">
        <v>0</v>
      </c>
      <c r="Q1012" t="n">
        <v>0</v>
      </c>
      <c r="R1012" t="inlineStr">
        <is>
          <t>T1203:Exploitation for Client Execution</t>
        </is>
      </c>
      <c r="S1012" t="n">
        <v>1</v>
      </c>
      <c r="T1012" t="inlineStr">
        <is>
          <t>LOW (40%)</t>
        </is>
      </c>
      <c r="U1012" t="inlineStr">
        <is>
          <t>UNLIKELY</t>
        </is>
      </c>
      <c r="V1012" t="inlineStr">
        <is>
          <t>PATCH_AVAILABLE</t>
        </is>
      </c>
      <c r="W1012" t="inlineStr">
        <is>
          <t>https://nvd.nist.gov/vuln/detail/CVE-2026-21420</t>
        </is>
      </c>
      <c r="X1012" t="inlineStr">
        <is>
          <t>NONE</t>
        </is>
      </c>
      <c r="Y1012" t="n">
        <v>0</v>
      </c>
      <c r="Z1012" t="inlineStr"/>
      <c r="AA1012" t="inlineStr">
        <is>
          <t>https://nvd.nist.gov/vuln/detail/CVE-2026-21420</t>
        </is>
      </c>
    </row>
    <row r="1013">
      <c r="A1013" t="inlineStr">
        <is>
          <t>CVE</t>
        </is>
      </c>
      <c r="B1013" t="inlineStr">
        <is>
          <t>CVE-2025-14905</t>
        </is>
      </c>
      <c r="C1013" t="inlineStr">
        <is>
          <t>A flaw was found in the 389-ds-base server. A heap buffer overflow vulnerability exists in the `schema_attr_enum_callback` function within the `schema.c` file. This occurs because the code incorrectly calculates the buffer size by summing alias string lengths without accounting for additional formatting characters. When a large number of aliases are processed, this oversight can lead to a heap overflow, potentially allowing a remote attacker to cause a Denial of Service (DoS) or achieve Remote C</t>
        </is>
      </c>
      <c r="D1013" t="n">
        <v>7.2</v>
      </c>
      <c r="E1013" t="inlineStr">
        <is>
          <t>HIGH</t>
        </is>
      </c>
      <c r="F1013" t="n">
        <v>2</v>
      </c>
      <c r="G1013" t="n">
        <v>3</v>
      </c>
      <c r="H1013" t="inlineStr">
        <is>
          <t>HIGH</t>
        </is>
      </c>
      <c r="I1013" t="n">
        <v>13.2</v>
      </c>
      <c r="J1013" t="inlineStr">
        <is>
          <t>NO</t>
        </is>
      </c>
      <c r="K1013" t="inlineStr">
        <is>
          <t>2026-02-26 00:15</t>
        </is>
      </c>
      <c r="L1013" t="inlineStr">
        <is>
          <t>CHECK_VENDOR</t>
        </is>
      </c>
      <c r="M1013" t="inlineStr">
        <is>
          <t>See CVE details</t>
        </is>
      </c>
      <c r="N1013" t="inlineStr">
        <is>
          <t>P3</t>
        </is>
      </c>
      <c r="O1013" t="inlineStr">
        <is>
          <t>CVE - IP enrichment n/a</t>
        </is>
      </c>
      <c r="P1013" t="n">
        <v>0</v>
      </c>
      <c r="Q1013" t="n">
        <v>0</v>
      </c>
      <c r="R1013" t="inlineStr">
        <is>
          <t>T1190:Exploit Public-Facing Application | T1210:Exploitation of Remote Services | T1203:Exploitation for Client Execution</t>
        </is>
      </c>
      <c r="S1013" t="n">
        <v>1</v>
      </c>
      <c r="T1013" t="inlineStr">
        <is>
          <t>LOW (40%)</t>
        </is>
      </c>
      <c r="U1013" t="inlineStr">
        <is>
          <t>UNLIKELY</t>
        </is>
      </c>
      <c r="V1013" t="inlineStr">
        <is>
          <t>CHECK_VENDOR</t>
        </is>
      </c>
      <c r="W1013" t="inlineStr">
        <is>
          <t>https://nvd.nist.gov/vuln/detail/CVE-2025-14905</t>
        </is>
      </c>
      <c r="X1013" t="inlineStr">
        <is>
          <t>NONE</t>
        </is>
      </c>
      <c r="Y1013" t="n">
        <v>0</v>
      </c>
      <c r="Z1013" t="inlineStr"/>
      <c r="AA1013" t="inlineStr">
        <is>
          <t>https://nvd.nist.gov/vuln/detail/CVE-2025-14905</t>
        </is>
      </c>
    </row>
    <row r="1014">
      <c r="A1014" t="inlineStr">
        <is>
          <t>CVE</t>
        </is>
      </c>
      <c r="B1014" t="inlineStr">
        <is>
          <t>CVE-2025-70043</t>
        </is>
      </c>
      <c r="C1014" t="inlineStr">
        <is>
          <t>An issue pertaining to CWE-295: Improper Certificate Validation was discovered in Ayms node-To master. The application disables TLS/SSL certificate validation by setting 'rejectUnauthorized': false in TLS socket options</t>
        </is>
      </c>
      <c r="D1014" t="n">
        <v>9.1</v>
      </c>
      <c r="E1014" t="inlineStr">
        <is>
          <t>CRITICAL</t>
        </is>
      </c>
      <c r="F1014" t="n">
        <v>2</v>
      </c>
      <c r="G1014" t="n">
        <v>3</v>
      </c>
      <c r="H1014" t="inlineStr">
        <is>
          <t>HIGH</t>
        </is>
      </c>
      <c r="I1014" t="n">
        <v>15.1</v>
      </c>
      <c r="J1014" t="inlineStr">
        <is>
          <t>NO</t>
        </is>
      </c>
      <c r="K1014" t="inlineStr">
        <is>
          <t>2026-02-26 00:15</t>
        </is>
      </c>
      <c r="L1014" t="inlineStr">
        <is>
          <t>CHECK_VENDOR</t>
        </is>
      </c>
      <c r="M1014" t="inlineStr">
        <is>
          <t>See CVE details</t>
        </is>
      </c>
      <c r="N1014" t="inlineStr">
        <is>
          <t>P3</t>
        </is>
      </c>
      <c r="O1014" t="inlineStr">
        <is>
          <t>CVE - IP enrichment n/a</t>
        </is>
      </c>
      <c r="P1014" t="n">
        <v>0</v>
      </c>
      <c r="Q1014" t="n">
        <v>0</v>
      </c>
      <c r="R1014" t="inlineStr">
        <is>
          <t>T1190:Exploit Public-Facing Application</t>
        </is>
      </c>
      <c r="S1014" t="n">
        <v>1</v>
      </c>
      <c r="T1014" t="inlineStr">
        <is>
          <t>LOW (40%)</t>
        </is>
      </c>
      <c r="U1014" t="inlineStr">
        <is>
          <t>UNLIKELY</t>
        </is>
      </c>
      <c r="V1014" t="inlineStr">
        <is>
          <t>CHECK_VENDOR</t>
        </is>
      </c>
      <c r="W1014" t="inlineStr">
        <is>
          <t>https://nvd.nist.gov/vuln/detail/CVE-2025-70043</t>
        </is>
      </c>
      <c r="X1014" t="inlineStr">
        <is>
          <t>NONE</t>
        </is>
      </c>
      <c r="Y1014" t="n">
        <v>0</v>
      </c>
      <c r="Z1014" t="inlineStr"/>
      <c r="AA1014" t="inlineStr">
        <is>
          <t>https://nvd.nist.gov/vuln/detail/CVE-2025-70043</t>
        </is>
      </c>
    </row>
    <row r="1015">
      <c r="A1015" t="inlineStr">
        <is>
          <t>CVE</t>
        </is>
      </c>
      <c r="B1015" t="inlineStr">
        <is>
          <t>CVE-2025-70044</t>
        </is>
      </c>
      <c r="C1015" t="inlineStr">
        <is>
          <t>An issue pertaining to CWE-295: Improper Certificate Validation was discovered in fofolee uTools-quickcommand 5.0.3.</t>
        </is>
      </c>
      <c r="D1015" t="n">
        <v>6.5</v>
      </c>
      <c r="E1015" t="inlineStr">
        <is>
          <t>MEDIUM</t>
        </is>
      </c>
      <c r="F1015" t="n">
        <v>2</v>
      </c>
      <c r="G1015" t="n">
        <v>2</v>
      </c>
      <c r="H1015" t="inlineStr">
        <is>
          <t>MEDIUM</t>
        </is>
      </c>
      <c r="I1015" t="n">
        <v>10.5</v>
      </c>
      <c r="J1015" t="inlineStr">
        <is>
          <t>NO</t>
        </is>
      </c>
      <c r="K1015" t="inlineStr">
        <is>
          <t>2026-02-26 00:15</t>
        </is>
      </c>
      <c r="L1015" t="inlineStr">
        <is>
          <t>CHECK_VENDOR</t>
        </is>
      </c>
      <c r="M1015" t="inlineStr">
        <is>
          <t>See CVE details</t>
        </is>
      </c>
      <c r="N1015" t="inlineStr">
        <is>
          <t>P4</t>
        </is>
      </c>
      <c r="O1015" t="inlineStr">
        <is>
          <t>CVE - IP enrichment n/a</t>
        </is>
      </c>
      <c r="P1015" t="n">
        <v>0</v>
      </c>
      <c r="Q1015" t="n">
        <v>0</v>
      </c>
      <c r="R1015" t="inlineStr">
        <is>
          <t>T1190:Exploit Public-Facing Application</t>
        </is>
      </c>
      <c r="S1015" t="n">
        <v>1</v>
      </c>
      <c r="T1015" t="inlineStr">
        <is>
          <t>LOW (40%)</t>
        </is>
      </c>
      <c r="U1015" t="inlineStr">
        <is>
          <t>UNLIKELY</t>
        </is>
      </c>
      <c r="V1015" t="inlineStr">
        <is>
          <t>CHECK_VENDOR</t>
        </is>
      </c>
      <c r="W1015" t="inlineStr">
        <is>
          <t>https://nvd.nist.gov/vuln/detail/CVE-2025-70044</t>
        </is>
      </c>
      <c r="X1015" t="inlineStr">
        <is>
          <t>NONE</t>
        </is>
      </c>
      <c r="Y1015" t="n">
        <v>0</v>
      </c>
      <c r="Z1015" t="inlineStr"/>
      <c r="AA1015" t="inlineStr">
        <is>
          <t>https://nvd.nist.gov/vuln/detail/CVE-2025-70044</t>
        </is>
      </c>
    </row>
    <row r="1016">
      <c r="A1016" t="inlineStr">
        <is>
          <t>CVE</t>
        </is>
      </c>
      <c r="B1016" t="inlineStr">
        <is>
          <t>CVE-2025-70045</t>
        </is>
      </c>
      <c r="C1016" t="inlineStr">
        <is>
          <t>An issue pertaining to CWE-295: Improper Certificate Validation was discovered in jxcore jxm master. The application disables TLS/SSL certificate validation by setting 'rejectUnauthorized': false in HTTPS request options when 'jx_obj.IsSecure' is true</t>
        </is>
      </c>
      <c r="D1016" t="n">
        <v>7.4</v>
      </c>
      <c r="E1016" t="inlineStr">
        <is>
          <t>HIGH</t>
        </is>
      </c>
      <c r="F1016" t="n">
        <v>2</v>
      </c>
      <c r="G1016" t="n">
        <v>3</v>
      </c>
      <c r="H1016" t="inlineStr">
        <is>
          <t>HIGH</t>
        </is>
      </c>
      <c r="I1016" t="n">
        <v>13.4</v>
      </c>
      <c r="J1016" t="inlineStr">
        <is>
          <t>NO</t>
        </is>
      </c>
      <c r="K1016" t="inlineStr">
        <is>
          <t>2026-02-26 00:15</t>
        </is>
      </c>
      <c r="L1016" t="inlineStr">
        <is>
          <t>CHECK_VENDOR</t>
        </is>
      </c>
      <c r="M1016" t="inlineStr">
        <is>
          <t>See CVE details</t>
        </is>
      </c>
      <c r="N1016" t="inlineStr">
        <is>
          <t>P3</t>
        </is>
      </c>
      <c r="O1016" t="inlineStr">
        <is>
          <t>CVE - IP enrichment n/a</t>
        </is>
      </c>
      <c r="P1016" t="n">
        <v>0</v>
      </c>
      <c r="Q1016" t="n">
        <v>0</v>
      </c>
      <c r="R1016" t="inlineStr">
        <is>
          <t>T1190:Exploit Public-Facing Application</t>
        </is>
      </c>
      <c r="S1016" t="n">
        <v>1</v>
      </c>
      <c r="T1016" t="inlineStr">
        <is>
          <t>LOW (40%)</t>
        </is>
      </c>
      <c r="U1016" t="inlineStr">
        <is>
          <t>UNLIKELY</t>
        </is>
      </c>
      <c r="V1016" t="inlineStr">
        <is>
          <t>CHECK_VENDOR</t>
        </is>
      </c>
      <c r="W1016" t="inlineStr">
        <is>
          <t>https://nvd.nist.gov/vuln/detail/CVE-2025-70045</t>
        </is>
      </c>
      <c r="X1016" t="inlineStr">
        <is>
          <t>NONE</t>
        </is>
      </c>
      <c r="Y1016" t="n">
        <v>0</v>
      </c>
      <c r="Z1016" t="inlineStr"/>
      <c r="AA1016" t="inlineStr">
        <is>
          <t>https://nvd.nist.gov/vuln/detail/CVE-2025-70045</t>
        </is>
      </c>
    </row>
    <row r="1017">
      <c r="A1017" t="inlineStr">
        <is>
          <t>CVE</t>
        </is>
      </c>
      <c r="B1017" t="inlineStr">
        <is>
          <t>CVE-2025-70058</t>
        </is>
      </c>
      <c r="C1017" t="inlineStr">
        <is>
          <t>An issue pertaining to CWE-295: Improper Certificate Validation was discovered in YMFE yapi v1.12.0. The application disables TLS/SSL certificate validation by setting 'rejectUnauthorized': false in the HTTPS agent configuration for Axios requests</t>
        </is>
      </c>
      <c r="D1017" t="n">
        <v>7.4</v>
      </c>
      <c r="E1017" t="inlineStr">
        <is>
          <t>HIGH</t>
        </is>
      </c>
      <c r="F1017" t="n">
        <v>2</v>
      </c>
      <c r="G1017" t="n">
        <v>3</v>
      </c>
      <c r="H1017" t="inlineStr">
        <is>
          <t>HIGH</t>
        </is>
      </c>
      <c r="I1017" t="n">
        <v>13.4</v>
      </c>
      <c r="J1017" t="inlineStr">
        <is>
          <t>NO</t>
        </is>
      </c>
      <c r="K1017" t="inlineStr">
        <is>
          <t>2026-02-26 00:15</t>
        </is>
      </c>
      <c r="L1017" t="inlineStr">
        <is>
          <t>CHECK_VENDOR</t>
        </is>
      </c>
      <c r="M1017" t="inlineStr">
        <is>
          <t>See CVE details</t>
        </is>
      </c>
      <c r="N1017" t="inlineStr">
        <is>
          <t>P3</t>
        </is>
      </c>
      <c r="O1017" t="inlineStr">
        <is>
          <t>CVE - IP enrichment n/a</t>
        </is>
      </c>
      <c r="P1017" t="n">
        <v>0</v>
      </c>
      <c r="Q1017" t="n">
        <v>0</v>
      </c>
      <c r="R1017" t="inlineStr">
        <is>
          <t>T1190:Exploit Public-Facing Application</t>
        </is>
      </c>
      <c r="S1017" t="n">
        <v>1</v>
      </c>
      <c r="T1017" t="inlineStr">
        <is>
          <t>LOW (40%)</t>
        </is>
      </c>
      <c r="U1017" t="inlineStr">
        <is>
          <t>UNLIKELY</t>
        </is>
      </c>
      <c r="V1017" t="inlineStr">
        <is>
          <t>CHECK_VENDOR</t>
        </is>
      </c>
      <c r="W1017" t="inlineStr">
        <is>
          <t>https://nvd.nist.gov/vuln/detail/CVE-2025-70058</t>
        </is>
      </c>
      <c r="X1017" t="inlineStr">
        <is>
          <t>NONE</t>
        </is>
      </c>
      <c r="Y1017" t="n">
        <v>0</v>
      </c>
      <c r="Z1017" t="inlineStr"/>
      <c r="AA1017" t="inlineStr">
        <is>
          <t>https://nvd.nist.gov/vuln/detail/CVE-2025-70058</t>
        </is>
      </c>
    </row>
    <row r="1018">
      <c r="A1018" t="inlineStr">
        <is>
          <t>CVE</t>
        </is>
      </c>
      <c r="B1018" t="inlineStr">
        <is>
          <t>CVE-2026-2697</t>
        </is>
      </c>
      <c r="C1018" t="inlineStr">
        <is>
          <t>An Indirect Object Reference (IDOR) in Security Center allows an authenticated remote attacker to escalate privileges via the 'owner' parameter.</t>
        </is>
      </c>
      <c r="D1018" t="n">
        <v>6.3</v>
      </c>
      <c r="E1018" t="inlineStr">
        <is>
          <t>MEDIUM</t>
        </is>
      </c>
      <c r="F1018" t="n">
        <v>2</v>
      </c>
      <c r="G1018" t="n">
        <v>2</v>
      </c>
      <c r="H1018" t="inlineStr">
        <is>
          <t>MEDIUM</t>
        </is>
      </c>
      <c r="I1018" t="n">
        <v>10.3</v>
      </c>
      <c r="J1018" t="inlineStr">
        <is>
          <t>NO</t>
        </is>
      </c>
      <c r="K1018" t="inlineStr">
        <is>
          <t>2026-02-26 00:15</t>
        </is>
      </c>
      <c r="L1018" t="inlineStr">
        <is>
          <t>CHECK_VENDOR</t>
        </is>
      </c>
      <c r="M1018" t="inlineStr">
        <is>
          <t>See CVE details</t>
        </is>
      </c>
      <c r="N1018" t="inlineStr">
        <is>
          <t>P4</t>
        </is>
      </c>
      <c r="O1018" t="inlineStr">
        <is>
          <t>CVE - IP enrichment n/a</t>
        </is>
      </c>
      <c r="P1018" t="n">
        <v>0.0009</v>
      </c>
      <c r="Q1018" t="n">
        <v>0.2537</v>
      </c>
      <c r="R1018" t="inlineStr">
        <is>
          <t>T1190:Exploit Public-Facing Application</t>
        </is>
      </c>
      <c r="S1018" t="n">
        <v>1</v>
      </c>
      <c r="T1018" t="inlineStr">
        <is>
          <t>LOW (40%)</t>
        </is>
      </c>
      <c r="U1018" t="inlineStr">
        <is>
          <t>UNLIKELY</t>
        </is>
      </c>
      <c r="V1018" t="inlineStr">
        <is>
          <t>CHECK_VENDOR</t>
        </is>
      </c>
      <c r="W1018" t="inlineStr">
        <is>
          <t>https://nvd.nist.gov/vuln/detail/CVE-2026-2697</t>
        </is>
      </c>
      <c r="X1018" t="inlineStr">
        <is>
          <t>NONE</t>
        </is>
      </c>
      <c r="Y1018" t="n">
        <v>0</v>
      </c>
      <c r="Z1018" t="inlineStr"/>
      <c r="AA1018" t="inlineStr">
        <is>
          <t>https://nvd.nist.gov/vuln/detail/CVE-2026-2697</t>
        </is>
      </c>
    </row>
    <row r="1019">
      <c r="A1019" t="inlineStr">
        <is>
          <t>CVE</t>
        </is>
      </c>
      <c r="B1019" t="inlineStr">
        <is>
          <t>CVE-2026-3015</t>
        </is>
      </c>
      <c r="C1019" t="inlineStr">
        <is>
          <t>A vulnerability was determined in UTT HiPER 810G up to 1.7.7-171114. Impacted is the function strcpy of the file /goform/formPolicyRouteConf. Executing a manipulation of the argument GroupName can lead to buffer overflow. The attack may be launched remotely. The exploit has been publicly disclosed and may be utilized.</t>
        </is>
      </c>
      <c r="D1019" t="n">
        <v>8.800000000000001</v>
      </c>
      <c r="E1019" t="inlineStr">
        <is>
          <t>HIGH</t>
        </is>
      </c>
      <c r="F1019" t="n">
        <v>2</v>
      </c>
      <c r="G1019" t="n">
        <v>3</v>
      </c>
      <c r="H1019" t="inlineStr">
        <is>
          <t>HIGH</t>
        </is>
      </c>
      <c r="I1019" t="n">
        <v>14.8</v>
      </c>
      <c r="J1019" t="inlineStr">
        <is>
          <t>NO</t>
        </is>
      </c>
      <c r="K1019" t="inlineStr">
        <is>
          <t>2026-02-26 00:15</t>
        </is>
      </c>
      <c r="L1019" t="inlineStr">
        <is>
          <t>CHECK_VENDOR</t>
        </is>
      </c>
      <c r="M1019" t="inlineStr">
        <is>
          <t>utt 810g_firmware * | utt 810g 3.0</t>
        </is>
      </c>
      <c r="N1019" t="inlineStr">
        <is>
          <t>P3</t>
        </is>
      </c>
      <c r="O1019" t="inlineStr">
        <is>
          <t>CVE - IP enrichment n/a</t>
        </is>
      </c>
      <c r="P1019" t="n">
        <v>0.0008</v>
      </c>
      <c r="Q1019" t="n">
        <v>0.2438</v>
      </c>
      <c r="R1019" t="inlineStr">
        <is>
          <t>T1203:Exploitation for Client Execution</t>
        </is>
      </c>
      <c r="S1019" t="n">
        <v>1</v>
      </c>
      <c r="T1019" t="inlineStr">
        <is>
          <t>LOW (40%)</t>
        </is>
      </c>
      <c r="U1019" t="inlineStr">
        <is>
          <t>UNLIKELY</t>
        </is>
      </c>
      <c r="V1019" t="inlineStr">
        <is>
          <t>CHECK_VENDOR</t>
        </is>
      </c>
      <c r="W1019" t="inlineStr">
        <is>
          <t>https://nvd.nist.gov/vuln/detail/CVE-2026-3015</t>
        </is>
      </c>
      <c r="X1019" t="inlineStr">
        <is>
          <t>NONE</t>
        </is>
      </c>
      <c r="Y1019" t="n">
        <v>0</v>
      </c>
      <c r="Z1019" t="inlineStr"/>
      <c r="AA1019" t="inlineStr">
        <is>
          <t>https://nvd.nist.gov/vuln/detail/CVE-2026-3015</t>
        </is>
      </c>
    </row>
    <row r="1020">
      <c r="A1020" t="inlineStr">
        <is>
          <t>CVE</t>
        </is>
      </c>
      <c r="B1020" t="inlineStr">
        <is>
          <t>CVE-2026-3016</t>
        </is>
      </c>
      <c r="C1020" t="inlineStr">
        <is>
          <t>A vulnerability was identified in UTT HiPER 810G up to 1.7.7-171114. The affected element is the function strcpy of the file /goform/formP2PLimitConfig. The manipulation of the argument except leads to buffer overflow. Remote exploitation of the attack is possible. The exploit is publicly available and might be used.</t>
        </is>
      </c>
      <c r="D1020" t="n">
        <v>8.800000000000001</v>
      </c>
      <c r="E1020" t="inlineStr">
        <is>
          <t>HIGH</t>
        </is>
      </c>
      <c r="F1020" t="n">
        <v>2</v>
      </c>
      <c r="G1020" t="n">
        <v>3</v>
      </c>
      <c r="H1020" t="inlineStr">
        <is>
          <t>HIGH</t>
        </is>
      </c>
      <c r="I1020" t="n">
        <v>14.8</v>
      </c>
      <c r="J1020" t="inlineStr">
        <is>
          <t>NO</t>
        </is>
      </c>
      <c r="K1020" t="inlineStr">
        <is>
          <t>2026-02-26 00:15</t>
        </is>
      </c>
      <c r="L1020" t="inlineStr">
        <is>
          <t>CHECK_VENDOR</t>
        </is>
      </c>
      <c r="M1020" t="inlineStr">
        <is>
          <t>utt 810g_firmware * | utt 810g 3.0</t>
        </is>
      </c>
      <c r="N1020" t="inlineStr">
        <is>
          <t>P3</t>
        </is>
      </c>
      <c r="O1020" t="inlineStr">
        <is>
          <t>CVE - IP enrichment n/a</t>
        </is>
      </c>
      <c r="P1020" t="n">
        <v>0</v>
      </c>
      <c r="Q1020" t="n">
        <v>0</v>
      </c>
      <c r="R1020" t="inlineStr">
        <is>
          <t>T1203:Exploitation for Client Execution</t>
        </is>
      </c>
      <c r="S1020" t="n">
        <v>1</v>
      </c>
      <c r="T1020" t="inlineStr">
        <is>
          <t>LOW (40%)</t>
        </is>
      </c>
      <c r="U1020" t="inlineStr">
        <is>
          <t>UNLIKELY</t>
        </is>
      </c>
      <c r="V1020" t="inlineStr">
        <is>
          <t>CHECK_VENDOR</t>
        </is>
      </c>
      <c r="W1020" t="inlineStr">
        <is>
          <t>https://nvd.nist.gov/vuln/detail/CVE-2026-3016</t>
        </is>
      </c>
      <c r="X1020" t="inlineStr">
        <is>
          <t>NONE</t>
        </is>
      </c>
      <c r="Y1020" t="n">
        <v>0</v>
      </c>
      <c r="Z1020" t="inlineStr"/>
      <c r="AA1020" t="inlineStr">
        <is>
          <t>https://nvd.nist.gov/vuln/detail/CVE-2026-3016</t>
        </is>
      </c>
    </row>
    <row r="1021">
      <c r="A1021" t="inlineStr">
        <is>
          <t>CVE</t>
        </is>
      </c>
      <c r="B1021" t="inlineStr">
        <is>
          <t>CVE-2026-22567</t>
        </is>
      </c>
      <c r="C1021" t="inlineStr">
        <is>
          <t>Improper validation of user-supplied input in the ZIA Admin UI could allow an authenticated administrator to initiate backend functions through specific input fields in limited scenarios.</t>
        </is>
      </c>
      <c r="D1021" t="n">
        <v>7.6</v>
      </c>
      <c r="E1021" t="inlineStr">
        <is>
          <t>HIGH</t>
        </is>
      </c>
      <c r="F1021" t="n">
        <v>2</v>
      </c>
      <c r="G1021" t="n">
        <v>3</v>
      </c>
      <c r="H1021" t="inlineStr">
        <is>
          <t>HIGH</t>
        </is>
      </c>
      <c r="I1021" t="n">
        <v>13.6</v>
      </c>
      <c r="J1021" t="inlineStr">
        <is>
          <t>NO</t>
        </is>
      </c>
      <c r="K1021" t="inlineStr">
        <is>
          <t>2026-02-26 00:15</t>
        </is>
      </c>
      <c r="L1021" t="inlineStr">
        <is>
          <t>CHECK_VENDOR</t>
        </is>
      </c>
      <c r="M1021" t="inlineStr">
        <is>
          <t>See CVE details</t>
        </is>
      </c>
      <c r="N1021" t="inlineStr">
        <is>
          <t>P3</t>
        </is>
      </c>
      <c r="O1021" t="inlineStr">
        <is>
          <t>CVE - IP enrichment n/a</t>
        </is>
      </c>
      <c r="P1021" t="n">
        <v>0.0004</v>
      </c>
      <c r="Q1021" t="n">
        <v>0.1263</v>
      </c>
      <c r="R1021" t="inlineStr">
        <is>
          <t>T1190:Exploit Public-Facing Application</t>
        </is>
      </c>
      <c r="S1021" t="n">
        <v>1</v>
      </c>
      <c r="T1021" t="inlineStr">
        <is>
          <t>LOW (40%)</t>
        </is>
      </c>
      <c r="U1021" t="inlineStr">
        <is>
          <t>UNLIKELY</t>
        </is>
      </c>
      <c r="V1021" t="inlineStr">
        <is>
          <t>CHECK_VENDOR</t>
        </is>
      </c>
      <c r="W1021" t="inlineStr">
        <is>
          <t>https://nvd.nist.gov/vuln/detail/CVE-2026-22567</t>
        </is>
      </c>
      <c r="X1021" t="inlineStr">
        <is>
          <t>NONE</t>
        </is>
      </c>
      <c r="Y1021" t="n">
        <v>0</v>
      </c>
      <c r="Z1021" t="inlineStr"/>
      <c r="AA1021" t="inlineStr">
        <is>
          <t>https://nvd.nist.gov/vuln/detail/CVE-2026-22567</t>
        </is>
      </c>
    </row>
    <row r="1022">
      <c r="A1022" t="inlineStr">
        <is>
          <t>CVE</t>
        </is>
      </c>
      <c r="B1022" t="inlineStr">
        <is>
          <t>CVE-2026-22568</t>
        </is>
      </c>
      <c r="C1022" t="inlineStr">
        <is>
          <t>Improper neutralization of special elements in user-supplied input within the ZIA Admin UI could allow an authenticated administrator to access or retrieve unauthorized internal information in rare conditions.</t>
        </is>
      </c>
      <c r="D1022" t="n">
        <v>5.5</v>
      </c>
      <c r="E1022" t="inlineStr">
        <is>
          <t>MEDIUM</t>
        </is>
      </c>
      <c r="F1022" t="n">
        <v>2</v>
      </c>
      <c r="G1022" t="n">
        <v>2</v>
      </c>
      <c r="H1022" t="inlineStr">
        <is>
          <t>MEDIUM</t>
        </is>
      </c>
      <c r="I1022" t="n">
        <v>9.5</v>
      </c>
      <c r="J1022" t="inlineStr">
        <is>
          <t>NO</t>
        </is>
      </c>
      <c r="K1022" t="inlineStr">
        <is>
          <t>2026-02-26 00:15</t>
        </is>
      </c>
      <c r="L1022" t="inlineStr">
        <is>
          <t>CHECK_VENDOR</t>
        </is>
      </c>
      <c r="M1022" t="inlineStr">
        <is>
          <t>See CVE details</t>
        </is>
      </c>
      <c r="N1022" t="inlineStr">
        <is>
          <t>P4</t>
        </is>
      </c>
      <c r="O1022" t="inlineStr">
        <is>
          <t>CVE - IP enrichment n/a</t>
        </is>
      </c>
      <c r="P1022" t="n">
        <v>0</v>
      </c>
      <c r="Q1022" t="n">
        <v>0</v>
      </c>
      <c r="R1022" t="inlineStr">
        <is>
          <t>T1190:Exploit Public-Facing Application</t>
        </is>
      </c>
      <c r="S1022" t="n">
        <v>1</v>
      </c>
      <c r="T1022" t="inlineStr">
        <is>
          <t>LOW (40%)</t>
        </is>
      </c>
      <c r="U1022" t="inlineStr">
        <is>
          <t>UNLIKELY</t>
        </is>
      </c>
      <c r="V1022" t="inlineStr">
        <is>
          <t>CHECK_VENDOR</t>
        </is>
      </c>
      <c r="W1022" t="inlineStr">
        <is>
          <t>https://nvd.nist.gov/vuln/detail/CVE-2026-22568</t>
        </is>
      </c>
      <c r="X1022" t="inlineStr">
        <is>
          <t>NONE</t>
        </is>
      </c>
      <c r="Y1022" t="n">
        <v>0</v>
      </c>
      <c r="Z1022" t="inlineStr"/>
      <c r="AA1022" t="inlineStr">
        <is>
          <t>https://nvd.nist.gov/vuln/detail/CVE-2026-22568</t>
        </is>
      </c>
    </row>
    <row r="1023">
      <c r="A1023" t="inlineStr">
        <is>
          <t>CVE</t>
        </is>
      </c>
      <c r="B1023" t="inlineStr">
        <is>
          <t>CVE-2026-27511</t>
        </is>
      </c>
      <c r="C1023" t="inlineStr">
        <is>
          <t>Shenzhen Tenda F3 Wireless Router firmware V12.01.01.55_multi contains a clickjacking vulnerability in the web-based administrative interface. The interface does not set the X-Frame-Options header, allowing attacker-controlled sites to embed administrative pages in an iframe and trick an authenticated administrator into unintended interactions that may result in unauthorized configuration changes.</t>
        </is>
      </c>
      <c r="D1023" t="n">
        <v>4.3</v>
      </c>
      <c r="E1023" t="inlineStr">
        <is>
          <t>MEDIUM</t>
        </is>
      </c>
      <c r="F1023" t="n">
        <v>2</v>
      </c>
      <c r="G1023" t="n">
        <v>2</v>
      </c>
      <c r="H1023" t="inlineStr">
        <is>
          <t>MEDIUM</t>
        </is>
      </c>
      <c r="I1023" t="n">
        <v>8.300000000000001</v>
      </c>
      <c r="J1023" t="inlineStr">
        <is>
          <t>NO</t>
        </is>
      </c>
      <c r="K1023" t="inlineStr">
        <is>
          <t>2026-02-26 00:15</t>
        </is>
      </c>
      <c r="L1023" t="inlineStr">
        <is>
          <t>CHECK_VENDOR</t>
        </is>
      </c>
      <c r="M1023" t="inlineStr">
        <is>
          <t>tenda f3 - | tenda f3_firmware *</t>
        </is>
      </c>
      <c r="N1023" t="inlineStr">
        <is>
          <t>P4</t>
        </is>
      </c>
      <c r="O1023" t="inlineStr">
        <is>
          <t>CVE - IP enrichment n/a</t>
        </is>
      </c>
      <c r="P1023" t="n">
        <v>0.0004</v>
      </c>
      <c r="Q1023" t="n">
        <v>0.1043</v>
      </c>
      <c r="R1023" t="inlineStr">
        <is>
          <t>T1190:Exploit Public-Facing Application</t>
        </is>
      </c>
      <c r="S1023" t="n">
        <v>1</v>
      </c>
      <c r="T1023" t="inlineStr">
        <is>
          <t>LOW (40%)</t>
        </is>
      </c>
      <c r="U1023" t="inlineStr">
        <is>
          <t>UNLIKELY</t>
        </is>
      </c>
      <c r="V1023" t="inlineStr">
        <is>
          <t>CHECK_VENDOR</t>
        </is>
      </c>
      <c r="W1023" t="inlineStr">
        <is>
          <t>https://nvd.nist.gov/vuln/detail/CVE-2026-27511</t>
        </is>
      </c>
      <c r="X1023" t="inlineStr">
        <is>
          <t>NONE</t>
        </is>
      </c>
      <c r="Y1023" t="n">
        <v>0</v>
      </c>
      <c r="Z1023" t="inlineStr"/>
      <c r="AA1023" t="inlineStr">
        <is>
          <t>https://nvd.nist.gov/vuln/detail/CVE-2026-27511</t>
        </is>
      </c>
    </row>
    <row r="1024">
      <c r="A1024" t="inlineStr">
        <is>
          <t>CVE</t>
        </is>
      </c>
      <c r="B1024" t="inlineStr">
        <is>
          <t>CVE-2026-27512</t>
        </is>
      </c>
      <c r="C1024" t="inlineStr">
        <is>
          <t>Shenzhen Tenda F3 Wireless Router firmware V12.01.01.55_multi contains a content-type confusion vulnerability in the administrative interface. Responses omit the X-Content-Type-Options: nosniff header and include attacker-influenced content that can be reflected into the response body. Under affected browser behaviors, MIME sniffing may cause the response to be interpreted as active HTML, enabling script execution in the context of the administrative interface.</t>
        </is>
      </c>
      <c r="D1024" t="n">
        <v>6.1</v>
      </c>
      <c r="E1024" t="inlineStr">
        <is>
          <t>MEDIUM</t>
        </is>
      </c>
      <c r="F1024" t="n">
        <v>2</v>
      </c>
      <c r="G1024" t="n">
        <v>2</v>
      </c>
      <c r="H1024" t="inlineStr">
        <is>
          <t>MEDIUM</t>
        </is>
      </c>
      <c r="I1024" t="n">
        <v>10.1</v>
      </c>
      <c r="J1024" t="inlineStr">
        <is>
          <t>NO</t>
        </is>
      </c>
      <c r="K1024" t="inlineStr">
        <is>
          <t>2026-02-26 00:15</t>
        </is>
      </c>
      <c r="L1024" t="inlineStr">
        <is>
          <t>CHECK_VENDOR</t>
        </is>
      </c>
      <c r="M1024" t="inlineStr">
        <is>
          <t>tenda f3 - | tenda f3_firmware *</t>
        </is>
      </c>
      <c r="N1024" t="inlineStr">
        <is>
          <t>P4</t>
        </is>
      </c>
      <c r="O1024" t="inlineStr">
        <is>
          <t>CVE - IP enrichment n/a</t>
        </is>
      </c>
      <c r="P1024" t="n">
        <v>0.0005</v>
      </c>
      <c r="Q1024" t="n">
        <v>0.1521</v>
      </c>
      <c r="R1024" t="inlineStr">
        <is>
          <t>T1189:Drive-by Compromise</t>
        </is>
      </c>
      <c r="S1024" t="n">
        <v>1</v>
      </c>
      <c r="T1024" t="inlineStr">
        <is>
          <t>LOW (40%)</t>
        </is>
      </c>
      <c r="U1024" t="inlineStr">
        <is>
          <t>UNLIKELY</t>
        </is>
      </c>
      <c r="V1024" t="inlineStr">
        <is>
          <t>CHECK_VENDOR</t>
        </is>
      </c>
      <c r="W1024" t="inlineStr">
        <is>
          <t>https://nvd.nist.gov/vuln/detail/CVE-2026-27512</t>
        </is>
      </c>
      <c r="X1024" t="inlineStr">
        <is>
          <t>NONE</t>
        </is>
      </c>
      <c r="Y1024" t="n">
        <v>0</v>
      </c>
      <c r="Z1024" t="inlineStr"/>
      <c r="AA1024" t="inlineStr">
        <is>
          <t>https://nvd.nist.gov/vuln/detail/CVE-2026-27512</t>
        </is>
      </c>
    </row>
    <row r="1025">
      <c r="A1025" t="inlineStr">
        <is>
          <t>CVE</t>
        </is>
      </c>
      <c r="B1025" t="inlineStr">
        <is>
          <t>CVE-2026-27513</t>
        </is>
      </c>
      <c r="C1025" t="inlineStr">
        <is>
          <t>Shenzhen Tenda F3 Wireless Router firmware V12.01.01.55_multi contains a cross-site request forgery (CSRF) vulnerability in the web-based administrative interface. The interface does not implement anti-CSRF protections, allowing an attacker to induce an authenticated administrator to submit state-changing requests, which can result in unauthorized configuration changes.</t>
        </is>
      </c>
      <c r="D1025" t="n">
        <v>4.3</v>
      </c>
      <c r="E1025" t="inlineStr">
        <is>
          <t>MEDIUM</t>
        </is>
      </c>
      <c r="F1025" t="n">
        <v>2</v>
      </c>
      <c r="G1025" t="n">
        <v>2</v>
      </c>
      <c r="H1025" t="inlineStr">
        <is>
          <t>MEDIUM</t>
        </is>
      </c>
      <c r="I1025" t="n">
        <v>8.300000000000001</v>
      </c>
      <c r="J1025" t="inlineStr">
        <is>
          <t>NO</t>
        </is>
      </c>
      <c r="K1025" t="inlineStr">
        <is>
          <t>2026-02-26 00:15</t>
        </is>
      </c>
      <c r="L1025" t="inlineStr">
        <is>
          <t>CHECK_VENDOR</t>
        </is>
      </c>
      <c r="M1025" t="inlineStr">
        <is>
          <t>tenda f3 - | tenda f3_firmware *</t>
        </is>
      </c>
      <c r="N1025" t="inlineStr">
        <is>
          <t>P4</t>
        </is>
      </c>
      <c r="O1025" t="inlineStr">
        <is>
          <t>CVE - IP enrichment n/a</t>
        </is>
      </c>
      <c r="P1025" t="n">
        <v>0</v>
      </c>
      <c r="Q1025" t="n">
        <v>0</v>
      </c>
      <c r="R1025" t="inlineStr">
        <is>
          <t>T1185:Browser Session Hijacking</t>
        </is>
      </c>
      <c r="S1025" t="n">
        <v>1</v>
      </c>
      <c r="T1025" t="inlineStr">
        <is>
          <t>LOW (40%)</t>
        </is>
      </c>
      <c r="U1025" t="inlineStr">
        <is>
          <t>UNLIKELY</t>
        </is>
      </c>
      <c r="V1025" t="inlineStr">
        <is>
          <t>CHECK_VENDOR</t>
        </is>
      </c>
      <c r="W1025" t="inlineStr">
        <is>
          <t>https://nvd.nist.gov/vuln/detail/CVE-2026-27513</t>
        </is>
      </c>
      <c r="X1025" t="inlineStr">
        <is>
          <t>NONE</t>
        </is>
      </c>
      <c r="Y1025" t="n">
        <v>0</v>
      </c>
      <c r="Z1025" t="inlineStr"/>
      <c r="AA1025" t="inlineStr">
        <is>
          <t>https://nvd.nist.gov/vuln/detail/CVE-2026-27513</t>
        </is>
      </c>
    </row>
    <row r="1026">
      <c r="A1026" t="inlineStr">
        <is>
          <t>CVE</t>
        </is>
      </c>
      <c r="B1026" t="inlineStr">
        <is>
          <t>CVE-2026-27514</t>
        </is>
      </c>
      <c r="C1026" t="inlineStr">
        <is>
          <t>Shenzhen Tenda F3 Wireless Router firmware V12.01.01.55_multi contains a sensitive information exposure vulnerability in the configuration download functionality. The configuration download response includes the router password and administrative password in plaintext. The endpoint also omits appropriate Cache-Control directives, which can allow the response to be stored in client-side caches and recovered by other local users or processes with access to cached browser data.</t>
        </is>
      </c>
      <c r="D1026" t="n">
        <v>6.5</v>
      </c>
      <c r="E1026" t="inlineStr">
        <is>
          <t>MEDIUM</t>
        </is>
      </c>
      <c r="F1026" t="n">
        <v>2</v>
      </c>
      <c r="G1026" t="n">
        <v>2</v>
      </c>
      <c r="H1026" t="inlineStr">
        <is>
          <t>MEDIUM</t>
        </is>
      </c>
      <c r="I1026" t="n">
        <v>10.5</v>
      </c>
      <c r="J1026" t="inlineStr">
        <is>
          <t>NO</t>
        </is>
      </c>
      <c r="K1026" t="inlineStr">
        <is>
          <t>2026-02-26 00:15</t>
        </is>
      </c>
      <c r="L1026" t="inlineStr">
        <is>
          <t>CHECK_VENDOR</t>
        </is>
      </c>
      <c r="M1026" t="inlineStr">
        <is>
          <t>tenda f3 - | tenda f3_firmware *</t>
        </is>
      </c>
      <c r="N1026" t="inlineStr">
        <is>
          <t>P4</t>
        </is>
      </c>
      <c r="O1026" t="inlineStr">
        <is>
          <t>CVE - IP enrichment n/a</t>
        </is>
      </c>
      <c r="P1026" t="n">
        <v>0</v>
      </c>
      <c r="Q1026" t="n">
        <v>0</v>
      </c>
      <c r="R1026" t="inlineStr">
        <is>
          <t>T1190:Exploit Public-Facing Application</t>
        </is>
      </c>
      <c r="S1026" t="n">
        <v>1</v>
      </c>
      <c r="T1026" t="inlineStr">
        <is>
          <t>LOW (40%)</t>
        </is>
      </c>
      <c r="U1026" t="inlineStr">
        <is>
          <t>UNLIKELY</t>
        </is>
      </c>
      <c r="V1026" t="inlineStr">
        <is>
          <t>CHECK_VENDOR</t>
        </is>
      </c>
      <c r="W1026" t="inlineStr">
        <is>
          <t>https://nvd.nist.gov/vuln/detail/CVE-2026-27514</t>
        </is>
      </c>
      <c r="X1026" t="inlineStr">
        <is>
          <t>NONE</t>
        </is>
      </c>
      <c r="Y1026" t="n">
        <v>0</v>
      </c>
      <c r="Z1026" t="inlineStr"/>
      <c r="AA1026" t="inlineStr">
        <is>
          <t>https://nvd.nist.gov/vuln/detail/CVE-2026-27514</t>
        </is>
      </c>
    </row>
    <row r="1027">
      <c r="A1027" t="inlineStr">
        <is>
          <t>CVE</t>
        </is>
      </c>
      <c r="B1027" t="inlineStr">
        <is>
          <t>CVE-2026-2698</t>
        </is>
      </c>
      <c r="C1027" t="inlineStr">
        <is>
          <t>An improper access control vulnerability exists where an authenticated user could access areas outside of their authorized scope.</t>
        </is>
      </c>
      <c r="D1027" t="n">
        <v>6.5</v>
      </c>
      <c r="E1027" t="inlineStr">
        <is>
          <t>MEDIUM</t>
        </is>
      </c>
      <c r="F1027" t="n">
        <v>2</v>
      </c>
      <c r="G1027" t="n">
        <v>2</v>
      </c>
      <c r="H1027" t="inlineStr">
        <is>
          <t>MEDIUM</t>
        </is>
      </c>
      <c r="I1027" t="n">
        <v>10.5</v>
      </c>
      <c r="J1027" t="inlineStr">
        <is>
          <t>NO</t>
        </is>
      </c>
      <c r="K1027" t="inlineStr">
        <is>
          <t>2026-02-26 00:15</t>
        </is>
      </c>
      <c r="L1027" t="inlineStr">
        <is>
          <t>CHECK_VENDOR</t>
        </is>
      </c>
      <c r="M1027" t="inlineStr">
        <is>
          <t>See CVE details</t>
        </is>
      </c>
      <c r="N1027" t="inlineStr">
        <is>
          <t>P4</t>
        </is>
      </c>
      <c r="O1027" t="inlineStr">
        <is>
          <t>CVE - IP enrichment n/a</t>
        </is>
      </c>
      <c r="P1027" t="n">
        <v>0</v>
      </c>
      <c r="Q1027" t="n">
        <v>0</v>
      </c>
      <c r="R1027" t="inlineStr">
        <is>
          <t>T1190:Exploit Public-Facing Application</t>
        </is>
      </c>
      <c r="S1027" t="n">
        <v>1</v>
      </c>
      <c r="T1027" t="inlineStr">
        <is>
          <t>LOW (40%)</t>
        </is>
      </c>
      <c r="U1027" t="inlineStr">
        <is>
          <t>UNLIKELY</t>
        </is>
      </c>
      <c r="V1027" t="inlineStr">
        <is>
          <t>CHECK_VENDOR</t>
        </is>
      </c>
      <c r="W1027" t="inlineStr">
        <is>
          <t>https://nvd.nist.gov/vuln/detail/CVE-2026-2698</t>
        </is>
      </c>
      <c r="X1027" t="inlineStr">
        <is>
          <t>NONE</t>
        </is>
      </c>
      <c r="Y1027" t="n">
        <v>0</v>
      </c>
      <c r="Z1027" t="inlineStr"/>
      <c r="AA1027" t="inlineStr">
        <is>
          <t>https://nvd.nist.gov/vuln/detail/CVE-2026-2698</t>
        </is>
      </c>
    </row>
    <row r="1028">
      <c r="A1028" t="inlineStr">
        <is>
          <t>CVE</t>
        </is>
      </c>
      <c r="B1028" t="inlineStr">
        <is>
          <t>CVE-2026-26464</t>
        </is>
      </c>
      <c r="C1028" t="inlineStr">
        <is>
          <t>Stored Cross-Site Scripting (XSS) was found in the /admin/edit_user.php page of Society Management System Portal V1.0, which allows remote attackers to inject and store arbitrary JavaScript code that is executed in users' browsers. This vulnerability can be exploited via the name parameter in a POST HTTP request, leading to execution of malicious scripts when the affected content is viewed by other users, including administrators.</t>
        </is>
      </c>
      <c r="D1028" t="n">
        <v>6.1</v>
      </c>
      <c r="E1028" t="inlineStr">
        <is>
          <t>MEDIUM</t>
        </is>
      </c>
      <c r="F1028" t="n">
        <v>2</v>
      </c>
      <c r="G1028" t="n">
        <v>2</v>
      </c>
      <c r="H1028" t="inlineStr">
        <is>
          <t>MEDIUM</t>
        </is>
      </c>
      <c r="I1028" t="n">
        <v>10.1</v>
      </c>
      <c r="J1028" t="inlineStr">
        <is>
          <t>NO</t>
        </is>
      </c>
      <c r="K1028" t="inlineStr">
        <is>
          <t>2026-02-26 00:15</t>
        </is>
      </c>
      <c r="L1028" t="inlineStr">
        <is>
          <t>CHECK_VENDOR</t>
        </is>
      </c>
      <c r="M1028" t="inlineStr">
        <is>
          <t>See CVE details</t>
        </is>
      </c>
      <c r="N1028" t="inlineStr">
        <is>
          <t>P4</t>
        </is>
      </c>
      <c r="O1028" t="inlineStr">
        <is>
          <t>CVE - IP enrichment n/a</t>
        </is>
      </c>
      <c r="P1028" t="n">
        <v>0.0005</v>
      </c>
      <c r="Q1028" t="n">
        <v>0.1427</v>
      </c>
      <c r="R1028" t="inlineStr">
        <is>
          <t>T1189:Drive-by Compromise</t>
        </is>
      </c>
      <c r="S1028" t="n">
        <v>1</v>
      </c>
      <c r="T1028" t="inlineStr">
        <is>
          <t>LOW (40%)</t>
        </is>
      </c>
      <c r="U1028" t="inlineStr">
        <is>
          <t>UNLIKELY</t>
        </is>
      </c>
      <c r="V1028" t="inlineStr">
        <is>
          <t>CHECK_VENDOR</t>
        </is>
      </c>
      <c r="W1028" t="inlineStr">
        <is>
          <t>https://nvd.nist.gov/vuln/detail/CVE-2026-26464</t>
        </is>
      </c>
      <c r="X1028" t="inlineStr">
        <is>
          <t>NONE</t>
        </is>
      </c>
      <c r="Y1028" t="n">
        <v>0</v>
      </c>
      <c r="Z1028" t="inlineStr"/>
      <c r="AA1028" t="inlineStr">
        <is>
          <t>https://nvd.nist.gov/vuln/detail/CVE-2026-26464</t>
        </is>
      </c>
    </row>
    <row r="1029">
      <c r="A1029" t="inlineStr">
        <is>
          <t>CVE</t>
        </is>
      </c>
      <c r="B1029" t="inlineStr">
        <is>
          <t>CVE-2025-61143</t>
        </is>
      </c>
      <c r="C1029" t="inlineStr">
        <is>
          <t>libtiff up to v4.7.1 was discovered to contain a NULL pointer dereference via the component libtiff/tif_open.c.</t>
        </is>
      </c>
      <c r="D1029" t="n">
        <v>5.5</v>
      </c>
      <c r="E1029" t="inlineStr">
        <is>
          <t>MEDIUM</t>
        </is>
      </c>
      <c r="F1029" t="n">
        <v>2</v>
      </c>
      <c r="G1029" t="n">
        <v>2</v>
      </c>
      <c r="H1029" t="inlineStr">
        <is>
          <t>MEDIUM</t>
        </is>
      </c>
      <c r="I1029" t="n">
        <v>9.5</v>
      </c>
      <c r="J1029" t="inlineStr">
        <is>
          <t>NO</t>
        </is>
      </c>
      <c r="K1029" t="inlineStr">
        <is>
          <t>2026-02-26 00:15</t>
        </is>
      </c>
      <c r="L1029" t="inlineStr">
        <is>
          <t>CHECK_VENDOR</t>
        </is>
      </c>
      <c r="M1029" t="inlineStr">
        <is>
          <t>libtiff libtiff *</t>
        </is>
      </c>
      <c r="N1029" t="inlineStr">
        <is>
          <t>P4</t>
        </is>
      </c>
      <c r="O1029" t="inlineStr">
        <is>
          <t>CVE - IP enrichment n/a</t>
        </is>
      </c>
      <c r="P1029" t="n">
        <v>0</v>
      </c>
      <c r="Q1029" t="n">
        <v>0</v>
      </c>
      <c r="R1029" t="inlineStr">
        <is>
          <t>T1499:Endpoint Denial of Service</t>
        </is>
      </c>
      <c r="S1029" t="n">
        <v>1</v>
      </c>
      <c r="T1029" t="inlineStr">
        <is>
          <t>LOW (40%)</t>
        </is>
      </c>
      <c r="U1029" t="inlineStr">
        <is>
          <t>UNLIKELY</t>
        </is>
      </c>
      <c r="V1029" t="inlineStr">
        <is>
          <t>CHECK_VENDOR</t>
        </is>
      </c>
      <c r="W1029" t="inlineStr">
        <is>
          <t>https://nvd.nist.gov/vuln/detail/CVE-2025-61143</t>
        </is>
      </c>
      <c r="X1029" t="inlineStr">
        <is>
          <t>NONE</t>
        </is>
      </c>
      <c r="Y1029" t="n">
        <v>0</v>
      </c>
      <c r="Z1029" t="inlineStr"/>
      <c r="AA1029" t="inlineStr">
        <is>
          <t>https://nvd.nist.gov/vuln/detail/CVE-2025-61143</t>
        </is>
      </c>
    </row>
    <row r="1030">
      <c r="A1030" t="inlineStr">
        <is>
          <t>CVE</t>
        </is>
      </c>
      <c r="B1030" t="inlineStr">
        <is>
          <t>CVE-2025-61144</t>
        </is>
      </c>
      <c r="C1030" t="inlineStr">
        <is>
          <t>libtiff up to v4.7.1 was discovered to contain a stack overflow via the readSeparateStripsIntoBuffer function.</t>
        </is>
      </c>
      <c r="D1030" t="n">
        <v>7.3</v>
      </c>
      <c r="E1030" t="inlineStr">
        <is>
          <t>HIGH</t>
        </is>
      </c>
      <c r="F1030" t="n">
        <v>2</v>
      </c>
      <c r="G1030" t="n">
        <v>3</v>
      </c>
      <c r="H1030" t="inlineStr">
        <is>
          <t>HIGH</t>
        </is>
      </c>
      <c r="I1030" t="n">
        <v>13.3</v>
      </c>
      <c r="J1030" t="inlineStr">
        <is>
          <t>NO</t>
        </is>
      </c>
      <c r="K1030" t="inlineStr">
        <is>
          <t>2026-02-26 00:15</t>
        </is>
      </c>
      <c r="L1030" t="inlineStr">
        <is>
          <t>YES</t>
        </is>
      </c>
      <c r="M1030" t="inlineStr">
        <is>
          <t>libtiff libtiff *</t>
        </is>
      </c>
      <c r="N1030" t="inlineStr">
        <is>
          <t>P3</t>
        </is>
      </c>
      <c r="O1030" t="inlineStr">
        <is>
          <t>CVE - IP enrichment n/a</t>
        </is>
      </c>
      <c r="P1030" t="n">
        <v>0</v>
      </c>
      <c r="Q1030" t="n">
        <v>0</v>
      </c>
      <c r="R1030" t="inlineStr">
        <is>
          <t>T1203:Exploitation for Client Execution</t>
        </is>
      </c>
      <c r="S1030" t="n">
        <v>1</v>
      </c>
      <c r="T1030" t="inlineStr">
        <is>
          <t>LOW (40%)</t>
        </is>
      </c>
      <c r="U1030" t="inlineStr">
        <is>
          <t>UNLIKELY</t>
        </is>
      </c>
      <c r="V1030" t="inlineStr">
        <is>
          <t>PATCH_AVAILABLE</t>
        </is>
      </c>
      <c r="W1030" t="inlineStr">
        <is>
          <t>https://nvd.nist.gov/vuln/detail/CVE-2025-61144</t>
        </is>
      </c>
      <c r="X1030" t="inlineStr">
        <is>
          <t>NONE</t>
        </is>
      </c>
      <c r="Y1030" t="n">
        <v>0</v>
      </c>
      <c r="Z1030" t="inlineStr"/>
      <c r="AA1030" t="inlineStr">
        <is>
          <t>https://nvd.nist.gov/vuln/detail/CVE-2025-61144</t>
        </is>
      </c>
    </row>
    <row r="1031">
      <c r="A1031" t="inlineStr">
        <is>
          <t>CVE</t>
        </is>
      </c>
      <c r="B1031" t="inlineStr">
        <is>
          <t>CVE-2025-61145</t>
        </is>
      </c>
      <c r="C1031" t="inlineStr">
        <is>
          <t>libtiff up to v4.7.1 was discovered to contain a double free via the component tools/tiffcrop.c.</t>
        </is>
      </c>
      <c r="D1031" t="n">
        <v>5</v>
      </c>
      <c r="E1031" t="inlineStr">
        <is>
          <t>MEDIUM</t>
        </is>
      </c>
      <c r="F1031" t="n">
        <v>2</v>
      </c>
      <c r="G1031" t="n">
        <v>2</v>
      </c>
      <c r="H1031" t="inlineStr">
        <is>
          <t>MEDIUM</t>
        </is>
      </c>
      <c r="I1031" t="n">
        <v>9</v>
      </c>
      <c r="J1031" t="inlineStr">
        <is>
          <t>NO</t>
        </is>
      </c>
      <c r="K1031" t="inlineStr">
        <is>
          <t>2026-02-26 00:15</t>
        </is>
      </c>
      <c r="L1031" t="inlineStr">
        <is>
          <t>CHECK_VENDOR</t>
        </is>
      </c>
      <c r="M1031" t="inlineStr">
        <is>
          <t>libtiff libtiff *</t>
        </is>
      </c>
      <c r="N1031" t="inlineStr">
        <is>
          <t>P4</t>
        </is>
      </c>
      <c r="O1031" t="inlineStr">
        <is>
          <t>CVE - IP enrichment n/a</t>
        </is>
      </c>
      <c r="P1031" t="n">
        <v>0</v>
      </c>
      <c r="Q1031" t="n">
        <v>0</v>
      </c>
      <c r="R1031" t="inlineStr">
        <is>
          <t>T1190:Exploit Public-Facing Application</t>
        </is>
      </c>
      <c r="S1031" t="n">
        <v>1</v>
      </c>
      <c r="T1031" t="inlineStr">
        <is>
          <t>LOW (40%)</t>
        </is>
      </c>
      <c r="U1031" t="inlineStr">
        <is>
          <t>UNLIKELY</t>
        </is>
      </c>
      <c r="V1031" t="inlineStr">
        <is>
          <t>CHECK_VENDOR</t>
        </is>
      </c>
      <c r="W1031" t="inlineStr">
        <is>
          <t>https://nvd.nist.gov/vuln/detail/CVE-2025-61145</t>
        </is>
      </c>
      <c r="X1031" t="inlineStr">
        <is>
          <t>NONE</t>
        </is>
      </c>
      <c r="Y1031" t="n">
        <v>0</v>
      </c>
      <c r="Z1031" t="inlineStr"/>
      <c r="AA1031" t="inlineStr">
        <is>
          <t>https://nvd.nist.gov/vuln/detail/CVE-2025-61145</t>
        </is>
      </c>
    </row>
    <row r="1032">
      <c r="A1032" t="inlineStr">
        <is>
          <t>CVE</t>
        </is>
      </c>
      <c r="B1032" t="inlineStr">
        <is>
          <t>CVE-2025-61146</t>
        </is>
      </c>
      <c r="C1032" t="inlineStr">
        <is>
          <t>saitoha libsixel until v1.8.7 was discovered to contain a memory leak via the component malloc_stub.c.</t>
        </is>
      </c>
      <c r="D1032" t="n">
        <v>4</v>
      </c>
      <c r="E1032" t="inlineStr">
        <is>
          <t>MEDIUM</t>
        </is>
      </c>
      <c r="F1032" t="n">
        <v>2</v>
      </c>
      <c r="G1032" t="n">
        <v>2</v>
      </c>
      <c r="H1032" t="inlineStr">
        <is>
          <t>MEDIUM</t>
        </is>
      </c>
      <c r="I1032" t="n">
        <v>8</v>
      </c>
      <c r="J1032" t="inlineStr">
        <is>
          <t>NO</t>
        </is>
      </c>
      <c r="K1032" t="inlineStr">
        <is>
          <t>2026-02-26 00:15</t>
        </is>
      </c>
      <c r="L1032" t="inlineStr">
        <is>
          <t>CHECK_VENDOR</t>
        </is>
      </c>
      <c r="M1032" t="inlineStr">
        <is>
          <t>See CVE details</t>
        </is>
      </c>
      <c r="N1032" t="inlineStr">
        <is>
          <t>P4</t>
        </is>
      </c>
      <c r="O1032" t="inlineStr">
        <is>
          <t>CVE - IP enrichment n/a</t>
        </is>
      </c>
      <c r="P1032" t="n">
        <v>0</v>
      </c>
      <c r="Q1032" t="n">
        <v>0</v>
      </c>
      <c r="R1032" t="inlineStr">
        <is>
          <t>T1190:Exploit Public-Facing Application</t>
        </is>
      </c>
      <c r="S1032" t="n">
        <v>1</v>
      </c>
      <c r="T1032" t="inlineStr">
        <is>
          <t>LOW (40%)</t>
        </is>
      </c>
      <c r="U1032" t="inlineStr">
        <is>
          <t>UNLIKELY</t>
        </is>
      </c>
      <c r="V1032" t="inlineStr">
        <is>
          <t>CHECK_VENDOR</t>
        </is>
      </c>
      <c r="W1032" t="inlineStr">
        <is>
          <t>https://nvd.nist.gov/vuln/detail/CVE-2025-61146</t>
        </is>
      </c>
      <c r="X1032" t="inlineStr">
        <is>
          <t>NONE</t>
        </is>
      </c>
      <c r="Y1032" t="n">
        <v>0</v>
      </c>
      <c r="Z1032" t="inlineStr"/>
      <c r="AA1032" t="inlineStr">
        <is>
          <t>https://nvd.nist.gov/vuln/detail/CVE-2025-61146</t>
        </is>
      </c>
    </row>
    <row r="1033">
      <c r="A1033" t="inlineStr">
        <is>
          <t>CVE</t>
        </is>
      </c>
      <c r="B1033" t="inlineStr">
        <is>
          <t>CVE-2025-61147</t>
        </is>
      </c>
      <c r="C1033" t="inlineStr">
        <is>
          <t>strukturag libde265 commit d9fea9d wa discovered to contain a segmentation fault via the component decoder_context::compute_framedrop_table().</t>
        </is>
      </c>
      <c r="D1033" t="n">
        <v>6.2</v>
      </c>
      <c r="E1033" t="inlineStr">
        <is>
          <t>MEDIUM</t>
        </is>
      </c>
      <c r="F1033" t="n">
        <v>2</v>
      </c>
      <c r="G1033" t="n">
        <v>2</v>
      </c>
      <c r="H1033" t="inlineStr">
        <is>
          <t>MEDIUM</t>
        </is>
      </c>
      <c r="I1033" t="n">
        <v>10.2</v>
      </c>
      <c r="J1033" t="inlineStr">
        <is>
          <t>NO</t>
        </is>
      </c>
      <c r="K1033" t="inlineStr">
        <is>
          <t>2026-02-26 00:15</t>
        </is>
      </c>
      <c r="L1033" t="inlineStr">
        <is>
          <t>CHECK_VENDOR</t>
        </is>
      </c>
      <c r="M1033" t="inlineStr">
        <is>
          <t>See CVE details</t>
        </is>
      </c>
      <c r="N1033" t="inlineStr">
        <is>
          <t>P4</t>
        </is>
      </c>
      <c r="O1033" t="inlineStr">
        <is>
          <t>CVE - IP enrichment n/a</t>
        </is>
      </c>
      <c r="P1033" t="n">
        <v>0</v>
      </c>
      <c r="Q1033" t="n">
        <v>0</v>
      </c>
      <c r="R1033" t="inlineStr">
        <is>
          <t>T1203:Exploitation for Client Execution</t>
        </is>
      </c>
      <c r="S1033" t="n">
        <v>1</v>
      </c>
      <c r="T1033" t="inlineStr">
        <is>
          <t>LOW (40%)</t>
        </is>
      </c>
      <c r="U1033" t="inlineStr">
        <is>
          <t>UNLIKELY</t>
        </is>
      </c>
      <c r="V1033" t="inlineStr">
        <is>
          <t>CHECK_VENDOR</t>
        </is>
      </c>
      <c r="W1033" t="inlineStr">
        <is>
          <t>https://nvd.nist.gov/vuln/detail/CVE-2025-61147</t>
        </is>
      </c>
      <c r="X1033" t="inlineStr">
        <is>
          <t>NONE</t>
        </is>
      </c>
      <c r="Y1033" t="n">
        <v>0</v>
      </c>
      <c r="Z1033" t="inlineStr"/>
      <c r="AA1033" t="inlineStr">
        <is>
          <t>https://nvd.nist.gov/vuln/detail/CVE-2025-61147</t>
        </is>
      </c>
    </row>
    <row r="1034">
      <c r="A1034" t="inlineStr">
        <is>
          <t>CVE</t>
        </is>
      </c>
      <c r="B1034" t="inlineStr">
        <is>
          <t>CVE-2025-63945</t>
        </is>
      </c>
      <c r="C1034" t="inlineStr">
        <is>
          <t>A privilege escalation (PE) vulnerability in the Tencent iOA app thru 210.9.28693.621001 on Windows devices enables a local user to execute programs with elevated privileges. However, execution requires that the local user is able to successfully exploit a race condition.</t>
        </is>
      </c>
      <c r="D1034" t="n">
        <v>7.4</v>
      </c>
      <c r="E1034" t="inlineStr">
        <is>
          <t>HIGH</t>
        </is>
      </c>
      <c r="F1034" t="n">
        <v>2</v>
      </c>
      <c r="G1034" t="n">
        <v>3</v>
      </c>
      <c r="H1034" t="inlineStr">
        <is>
          <t>HIGH</t>
        </is>
      </c>
      <c r="I1034" t="n">
        <v>13.4</v>
      </c>
      <c r="J1034" t="inlineStr">
        <is>
          <t>NO</t>
        </is>
      </c>
      <c r="K1034" t="inlineStr">
        <is>
          <t>2026-02-26 00:15</t>
        </is>
      </c>
      <c r="L1034" t="inlineStr">
        <is>
          <t>CHECK_VENDOR</t>
        </is>
      </c>
      <c r="M1034" t="inlineStr">
        <is>
          <t>See CVE details</t>
        </is>
      </c>
      <c r="N1034" t="inlineStr">
        <is>
          <t>P3</t>
        </is>
      </c>
      <c r="O1034" t="inlineStr">
        <is>
          <t>CVE - IP enrichment n/a</t>
        </is>
      </c>
      <c r="P1034" t="n">
        <v>0</v>
      </c>
      <c r="Q1034" t="n">
        <v>0</v>
      </c>
      <c r="R1034" t="inlineStr">
        <is>
          <t>T1068:Exploitation for Privilege Escalation</t>
        </is>
      </c>
      <c r="S1034" t="n">
        <v>1</v>
      </c>
      <c r="T1034" t="inlineStr">
        <is>
          <t>LOW (40%)</t>
        </is>
      </c>
      <c r="U1034" t="inlineStr">
        <is>
          <t>UNLIKELY</t>
        </is>
      </c>
      <c r="V1034" t="inlineStr">
        <is>
          <t>CHECK_VENDOR</t>
        </is>
      </c>
      <c r="W1034" t="inlineStr">
        <is>
          <t>https://nvd.nist.gov/vuln/detail/CVE-2025-63945</t>
        </is>
      </c>
      <c r="X1034" t="inlineStr">
        <is>
          <t>NONE</t>
        </is>
      </c>
      <c r="Y1034" t="n">
        <v>0</v>
      </c>
      <c r="Z1034" t="inlineStr"/>
      <c r="AA1034" t="inlineStr">
        <is>
          <t>https://nvd.nist.gov/vuln/detail/CVE-2025-63945</t>
        </is>
      </c>
    </row>
    <row r="1035">
      <c r="A1035" t="inlineStr">
        <is>
          <t>CVE</t>
        </is>
      </c>
      <c r="B1035" t="inlineStr">
        <is>
          <t>CVE-2025-63946</t>
        </is>
      </c>
      <c r="C1035" t="inlineStr">
        <is>
          <t>A privilege escalation (PE) vulnerability in the Tencent PC Manager app thru 17.10.28554.205 on Windows devices enables a local user to execute programs with elevated privileges. However, execution requires that the local user is able to successfully exploit a race condition.</t>
        </is>
      </c>
      <c r="D1035" t="n">
        <v>7.4</v>
      </c>
      <c r="E1035" t="inlineStr">
        <is>
          <t>HIGH</t>
        </is>
      </c>
      <c r="F1035" t="n">
        <v>2</v>
      </c>
      <c r="G1035" t="n">
        <v>3</v>
      </c>
      <c r="H1035" t="inlineStr">
        <is>
          <t>HIGH</t>
        </is>
      </c>
      <c r="I1035" t="n">
        <v>13.4</v>
      </c>
      <c r="J1035" t="inlineStr">
        <is>
          <t>NO</t>
        </is>
      </c>
      <c r="K1035" t="inlineStr">
        <is>
          <t>2026-02-26 00:15</t>
        </is>
      </c>
      <c r="L1035" t="inlineStr">
        <is>
          <t>CHECK_VENDOR</t>
        </is>
      </c>
      <c r="M1035" t="inlineStr">
        <is>
          <t>See CVE details</t>
        </is>
      </c>
      <c r="N1035" t="inlineStr">
        <is>
          <t>P3</t>
        </is>
      </c>
      <c r="O1035" t="inlineStr">
        <is>
          <t>CVE - IP enrichment n/a</t>
        </is>
      </c>
      <c r="P1035" t="n">
        <v>0.0002</v>
      </c>
      <c r="Q1035" t="n">
        <v>0.0605</v>
      </c>
      <c r="R1035" t="inlineStr">
        <is>
          <t>T1068:Exploitation for Privilege Escalation</t>
        </is>
      </c>
      <c r="S1035" t="n">
        <v>1</v>
      </c>
      <c r="T1035" t="inlineStr">
        <is>
          <t>LOW (40%)</t>
        </is>
      </c>
      <c r="U1035" t="inlineStr">
        <is>
          <t>UNLIKELY</t>
        </is>
      </c>
      <c r="V1035" t="inlineStr">
        <is>
          <t>CHECK_VENDOR</t>
        </is>
      </c>
      <c r="W1035" t="inlineStr">
        <is>
          <t>https://nvd.nist.gov/vuln/detail/CVE-2025-63946</t>
        </is>
      </c>
      <c r="X1035" t="inlineStr">
        <is>
          <t>NONE</t>
        </is>
      </c>
      <c r="Y1035" t="n">
        <v>0</v>
      </c>
      <c r="Z1035" t="inlineStr"/>
      <c r="AA1035" t="inlineStr">
        <is>
          <t>https://nvd.nist.gov/vuln/detail/CVE-2025-63946</t>
        </is>
      </c>
    </row>
    <row r="1036">
      <c r="A1036" t="inlineStr">
        <is>
          <t>CVE</t>
        </is>
      </c>
      <c r="B1036" t="inlineStr">
        <is>
          <t>CVE-2025-67733</t>
        </is>
      </c>
      <c r="C1036" t="inlineStr">
        <is>
          <t>Valkey is a distributed key-value database. Prior to versions 9.0.2, 8.1.6, 8.0.7, and 7.2.12, a malicious user can use scripting commands to inject arbitrary information into the response stream for the given client, potentially corrupting or returning tampered data to other users on the same connection. The error handling code for lua scripts does not properly handle null characters. Versions 9.0.2, 8.1.6, 8.0.7, and 7.2.12 fix the issue.</t>
        </is>
      </c>
      <c r="D1036" t="n">
        <v>8.5</v>
      </c>
      <c r="E1036" t="inlineStr">
        <is>
          <t>HIGH</t>
        </is>
      </c>
      <c r="F1036" t="n">
        <v>2</v>
      </c>
      <c r="G1036" t="n">
        <v>3</v>
      </c>
      <c r="H1036" t="inlineStr">
        <is>
          <t>HIGH</t>
        </is>
      </c>
      <c r="I1036" t="n">
        <v>14.5</v>
      </c>
      <c r="J1036" t="inlineStr">
        <is>
          <t>NO</t>
        </is>
      </c>
      <c r="K1036" t="inlineStr">
        <is>
          <t>2026-02-26 00:15</t>
        </is>
      </c>
      <c r="L1036" t="inlineStr">
        <is>
          <t>YES</t>
        </is>
      </c>
      <c r="M1036" t="inlineStr">
        <is>
          <t>lfprojects valkey *</t>
        </is>
      </c>
      <c r="N1036" t="inlineStr">
        <is>
          <t>P3</t>
        </is>
      </c>
      <c r="O1036" t="inlineStr">
        <is>
          <t>CVE - IP enrichment n/a</t>
        </is>
      </c>
      <c r="P1036" t="n">
        <v>0</v>
      </c>
      <c r="Q1036" t="n">
        <v>0</v>
      </c>
      <c r="R1036" t="inlineStr">
        <is>
          <t>T1190:Exploit Public-Facing Application</t>
        </is>
      </c>
      <c r="S1036" t="n">
        <v>1</v>
      </c>
      <c r="T1036" t="inlineStr">
        <is>
          <t>LOW (40%)</t>
        </is>
      </c>
      <c r="U1036" t="inlineStr">
        <is>
          <t>UNLIKELY</t>
        </is>
      </c>
      <c r="V1036" t="inlineStr">
        <is>
          <t>PATCH_AVAILABLE</t>
        </is>
      </c>
      <c r="W1036" t="inlineStr">
        <is>
          <t>https://nvd.nist.gov/vuln/detail/CVE-2025-67733</t>
        </is>
      </c>
      <c r="X1036" t="inlineStr">
        <is>
          <t>NONE</t>
        </is>
      </c>
      <c r="Y1036" t="n">
        <v>0</v>
      </c>
      <c r="Z1036" t="inlineStr"/>
      <c r="AA1036" t="inlineStr">
        <is>
          <t>https://nvd.nist.gov/vuln/detail/CVE-2025-67733</t>
        </is>
      </c>
    </row>
    <row r="1037">
      <c r="A1037" t="inlineStr">
        <is>
          <t>CVE</t>
        </is>
      </c>
      <c r="B1037" t="inlineStr">
        <is>
          <t>CVE-2025-70329</t>
        </is>
      </c>
      <c r="C1037" t="inlineStr">
        <is>
          <t>TOTOLink X5000R v9.1.0cu_2415_B20250515 contains an OS command injection vulnerability in the setIptvCfg handler of the /usr/sbin/lighttpd executable. The vlanVidLan1 (and other vlanVidLanX) parameters are retrieved via Uci_Get_Str and passed to the CsteSystem function without adequate validation or filtering. This allows an authenticated attacker to execute arbitrary shell commands with root privileges by injecting shell metacharacters into the affected parameters.</t>
        </is>
      </c>
      <c r="D1037" t="n">
        <v>8</v>
      </c>
      <c r="E1037" t="inlineStr">
        <is>
          <t>HIGH</t>
        </is>
      </c>
      <c r="F1037" t="n">
        <v>2</v>
      </c>
      <c r="G1037" t="n">
        <v>3</v>
      </c>
      <c r="H1037" t="inlineStr">
        <is>
          <t>HIGH</t>
        </is>
      </c>
      <c r="I1037" t="n">
        <v>14</v>
      </c>
      <c r="J1037" t="inlineStr">
        <is>
          <t>NO</t>
        </is>
      </c>
      <c r="K1037" t="inlineStr">
        <is>
          <t>2026-02-26 00:15</t>
        </is>
      </c>
      <c r="L1037" t="inlineStr">
        <is>
          <t>CHECK_VENDOR</t>
        </is>
      </c>
      <c r="M1037" t="inlineStr">
        <is>
          <t>totolink x5000r_firmware 9.1.0cu.2415_b20250515 | totolink x5000r -</t>
        </is>
      </c>
      <c r="N1037" t="inlineStr">
        <is>
          <t>P3</t>
        </is>
      </c>
      <c r="O1037" t="inlineStr">
        <is>
          <t>CVE - IP enrichment n/a</t>
        </is>
      </c>
      <c r="P1037" t="n">
        <v>0.0049</v>
      </c>
      <c r="Q1037" t="n">
        <v>0.6492</v>
      </c>
      <c r="R1037" t="inlineStr">
        <is>
          <t>T1059:Command and Scripting Interpreter</t>
        </is>
      </c>
      <c r="S1037" t="n">
        <v>1</v>
      </c>
      <c r="T1037" t="inlineStr">
        <is>
          <t>LOW (40%)</t>
        </is>
      </c>
      <c r="U1037" t="inlineStr">
        <is>
          <t>UNLIKELY</t>
        </is>
      </c>
      <c r="V1037" t="inlineStr">
        <is>
          <t>CHECK_VENDOR</t>
        </is>
      </c>
      <c r="W1037" t="inlineStr">
        <is>
          <t>https://nvd.nist.gov/vuln/detail/CVE-2025-70329</t>
        </is>
      </c>
      <c r="X1037" t="inlineStr">
        <is>
          <t>NONE</t>
        </is>
      </c>
      <c r="Y1037" t="n">
        <v>0</v>
      </c>
      <c r="Z1037" t="inlineStr"/>
      <c r="AA1037" t="inlineStr">
        <is>
          <t>https://nvd.nist.gov/vuln/detail/CVE-2025-70329</t>
        </is>
      </c>
    </row>
    <row r="1038">
      <c r="A1038" t="inlineStr">
        <is>
          <t>CVE</t>
        </is>
      </c>
      <c r="B1038" t="inlineStr">
        <is>
          <t>CVE-2026-21863</t>
        </is>
      </c>
      <c r="C1038" t="inlineStr">
        <is>
          <t>Valkey is a distributed key-value database. Prior to versions 9.0.2, 8.1.6, 8.0.7, and 7.2.12, a malicious actor with access to the Valkey clusterbus port can send an invalid packet that may cause an out bound read, which might result in the system crashing. The Valkey clusterbus packet processing code does not validate that a clusterbus ping extension packet is located within buffer of the clusterbus packet before attempting to read it. Versions 9.0.2, 8.1.6, 8.0.7, and 7.2.12 fix the issue. As</t>
        </is>
      </c>
      <c r="D1038" t="n">
        <v>7.5</v>
      </c>
      <c r="E1038" t="inlineStr">
        <is>
          <t>HIGH</t>
        </is>
      </c>
      <c r="F1038" t="n">
        <v>2</v>
      </c>
      <c r="G1038" t="n">
        <v>3</v>
      </c>
      <c r="H1038" t="inlineStr">
        <is>
          <t>HIGH</t>
        </is>
      </c>
      <c r="I1038" t="n">
        <v>13.5</v>
      </c>
      <c r="J1038" t="inlineStr">
        <is>
          <t>NO</t>
        </is>
      </c>
      <c r="K1038" t="inlineStr">
        <is>
          <t>2026-02-26 00:15</t>
        </is>
      </c>
      <c r="L1038" t="inlineStr">
        <is>
          <t>YES</t>
        </is>
      </c>
      <c r="M1038" t="inlineStr">
        <is>
          <t>lfprojects valkey *</t>
        </is>
      </c>
      <c r="N1038" t="inlineStr">
        <is>
          <t>P3</t>
        </is>
      </c>
      <c r="O1038" t="inlineStr">
        <is>
          <t>CVE - IP enrichment n/a</t>
        </is>
      </c>
      <c r="P1038" t="n">
        <v>0</v>
      </c>
      <c r="Q1038" t="n">
        <v>0</v>
      </c>
      <c r="R1038" t="inlineStr">
        <is>
          <t>T1203:Exploitation for Client Execution</t>
        </is>
      </c>
      <c r="S1038" t="n">
        <v>1</v>
      </c>
      <c r="T1038" t="inlineStr">
        <is>
          <t>LOW (40%)</t>
        </is>
      </c>
      <c r="U1038" t="inlineStr">
        <is>
          <t>UNLIKELY</t>
        </is>
      </c>
      <c r="V1038" t="inlineStr">
        <is>
          <t>PATCH_AVAILABLE</t>
        </is>
      </c>
      <c r="W1038" t="inlineStr">
        <is>
          <t>https://nvd.nist.gov/vuln/detail/CVE-2026-21863</t>
        </is>
      </c>
      <c r="X1038" t="inlineStr">
        <is>
          <t>NONE</t>
        </is>
      </c>
      <c r="Y1038" t="n">
        <v>0</v>
      </c>
      <c r="Z1038" t="inlineStr"/>
      <c r="AA1038" t="inlineStr">
        <is>
          <t>https://nvd.nist.gov/vuln/detail/CVE-2026-21863</t>
        </is>
      </c>
    </row>
    <row r="1039">
      <c r="A1039" t="inlineStr">
        <is>
          <t>CVE</t>
        </is>
      </c>
      <c r="B1039" t="inlineStr">
        <is>
          <t>CVE-2026-27623</t>
        </is>
      </c>
      <c r="C1039" t="inlineStr">
        <is>
          <t>Valkey is a distributed key-value database. Starting in version 9.0.0 and prior to version 9.0.3, a malicious actor with network access to Valkey can cause the system to abort by triggering an assertion. When processing incoming requests, the Valkey system does not properly reset the networking state after processing an empty request. A malicious actor can then send a request that the server incorrectly identifies as breaking server side invariants, which results in the server shutting down. Ver</t>
        </is>
      </c>
      <c r="D1039" t="n">
        <v>7.5</v>
      </c>
      <c r="E1039" t="inlineStr">
        <is>
          <t>HIGH</t>
        </is>
      </c>
      <c r="F1039" t="n">
        <v>2</v>
      </c>
      <c r="G1039" t="n">
        <v>3</v>
      </c>
      <c r="H1039" t="inlineStr">
        <is>
          <t>HIGH</t>
        </is>
      </c>
      <c r="I1039" t="n">
        <v>13.5</v>
      </c>
      <c r="J1039" t="inlineStr">
        <is>
          <t>NO</t>
        </is>
      </c>
      <c r="K1039" t="inlineStr">
        <is>
          <t>2026-02-26 00:15</t>
        </is>
      </c>
      <c r="L1039" t="inlineStr">
        <is>
          <t>YES</t>
        </is>
      </c>
      <c r="M1039" t="inlineStr">
        <is>
          <t>lfprojects valkey *</t>
        </is>
      </c>
      <c r="N1039" t="inlineStr">
        <is>
          <t>P3</t>
        </is>
      </c>
      <c r="O1039" t="inlineStr">
        <is>
          <t>CVE - IP enrichment n/a</t>
        </is>
      </c>
      <c r="P1039" t="n">
        <v>0.0005999999999999999</v>
      </c>
      <c r="Q1039" t="n">
        <v>0.1843</v>
      </c>
      <c r="R1039" t="inlineStr">
        <is>
          <t>T1190:Exploit Public-Facing Application</t>
        </is>
      </c>
      <c r="S1039" t="n">
        <v>1</v>
      </c>
      <c r="T1039" t="inlineStr">
        <is>
          <t>LOW (40%)</t>
        </is>
      </c>
      <c r="U1039" t="inlineStr">
        <is>
          <t>UNLIKELY</t>
        </is>
      </c>
      <c r="V1039" t="inlineStr">
        <is>
          <t>PATCH_AVAILABLE</t>
        </is>
      </c>
      <c r="W1039" t="inlineStr">
        <is>
          <t>https://nvd.nist.gov/vuln/detail/CVE-2026-27623</t>
        </is>
      </c>
      <c r="X1039" t="inlineStr">
        <is>
          <t>NONE</t>
        </is>
      </c>
      <c r="Y1039" t="n">
        <v>0</v>
      </c>
      <c r="Z1039" t="inlineStr"/>
      <c r="AA1039" t="inlineStr">
        <is>
          <t>https://nvd.nist.gov/vuln/detail/CVE-2026-27623</t>
        </is>
      </c>
    </row>
    <row r="1040">
      <c r="A1040" t="inlineStr">
        <is>
          <t>CVE</t>
        </is>
      </c>
      <c r="B1040" t="inlineStr">
        <is>
          <t>CVE-2025-68930</t>
        </is>
      </c>
      <c r="C1040" t="inlineStr">
        <is>
          <t>Versions of the Traccar open-source GPS tracking system up to and including 6.11.1 contain a Cross-Site WebSocket Hijacking (CSWSH) vulnerability in the `/api/socket` endpoint. The application fails to validate the `Origin` header during the WebSocket handshake. This allows a remote attacker to bypass the Same Origin Policy (SOP) and establish a full-duplex WebSocket connection using a legitimate user's credentials (JSESSIONID). As of time of publication, it is unclear whether a fix is available</t>
        </is>
      </c>
      <c r="D1040" t="n">
        <v>7.1</v>
      </c>
      <c r="E1040" t="inlineStr">
        <is>
          <t>HIGH</t>
        </is>
      </c>
      <c r="F1040" t="n">
        <v>2</v>
      </c>
      <c r="G1040" t="n">
        <v>3</v>
      </c>
      <c r="H1040" t="inlineStr">
        <is>
          <t>HIGH</t>
        </is>
      </c>
      <c r="I1040" t="n">
        <v>13.1</v>
      </c>
      <c r="J1040" t="inlineStr">
        <is>
          <t>NO</t>
        </is>
      </c>
      <c r="K1040" t="inlineStr">
        <is>
          <t>2026-02-26 00:15</t>
        </is>
      </c>
      <c r="L1040" t="inlineStr">
        <is>
          <t>CHECK_VENDOR</t>
        </is>
      </c>
      <c r="M1040" t="inlineStr">
        <is>
          <t>See CVE details</t>
        </is>
      </c>
      <c r="N1040" t="inlineStr">
        <is>
          <t>P3</t>
        </is>
      </c>
      <c r="O1040" t="inlineStr">
        <is>
          <t>CVE - IP enrichment n/a</t>
        </is>
      </c>
      <c r="P1040" t="n">
        <v>0</v>
      </c>
      <c r="Q1040" t="n">
        <v>0</v>
      </c>
      <c r="R1040" t="inlineStr">
        <is>
          <t>T1190:Exploit Public-Facing Application | T1552:Unsecured Credentials</t>
        </is>
      </c>
      <c r="S1040" t="n">
        <v>1</v>
      </c>
      <c r="T1040" t="inlineStr">
        <is>
          <t>LOW (40%)</t>
        </is>
      </c>
      <c r="U1040" t="inlineStr">
        <is>
          <t>UNLIKELY</t>
        </is>
      </c>
      <c r="V1040" t="inlineStr">
        <is>
          <t>CHECK_VENDOR</t>
        </is>
      </c>
      <c r="W1040" t="inlineStr">
        <is>
          <t>https://nvd.nist.gov/vuln/detail/CVE-2025-68930</t>
        </is>
      </c>
      <c r="X1040" t="inlineStr">
        <is>
          <t>NONE</t>
        </is>
      </c>
      <c r="Y1040" t="n">
        <v>0</v>
      </c>
      <c r="Z1040" t="inlineStr"/>
      <c r="AA1040" t="inlineStr">
        <is>
          <t>https://nvd.nist.gov/vuln/detail/CVE-2025-68930</t>
        </is>
      </c>
    </row>
    <row r="1041">
      <c r="A1041" t="inlineStr">
        <is>
          <t>CVE</t>
        </is>
      </c>
      <c r="B1041" t="inlineStr">
        <is>
          <t>CVE-2025-70327</t>
        </is>
      </c>
      <c r="C1041" t="inlineStr">
        <is>
          <t>TOTOLINK X5000R v9.1.0cu_2415_B20250515 contains an argument injection vulnerability in the setDiagnosisCfg handler of the /usr/sbin/lighttpd executable. The ip parameter is retrieved via websGetVar and passed to a ping command through CsteSystem without validating if the input starts with a hyphen (-). This allows remote authenticated attackers to inject arbitrary command-line options into the ping utility, potentially leading to a Denial of Service (DoS) by causing excessive resource consumpti</t>
        </is>
      </c>
      <c r="D1041" t="n">
        <v>9.800000000000001</v>
      </c>
      <c r="E1041" t="inlineStr">
        <is>
          <t>CRITICAL</t>
        </is>
      </c>
      <c r="F1041" t="n">
        <v>2</v>
      </c>
      <c r="G1041" t="n">
        <v>3</v>
      </c>
      <c r="H1041" t="inlineStr">
        <is>
          <t>HIGH</t>
        </is>
      </c>
      <c r="I1041" t="n">
        <v>15.8</v>
      </c>
      <c r="J1041" t="inlineStr">
        <is>
          <t>NO</t>
        </is>
      </c>
      <c r="K1041" t="inlineStr">
        <is>
          <t>2026-02-26 00:15</t>
        </is>
      </c>
      <c r="L1041" t="inlineStr">
        <is>
          <t>CHECK_VENDOR</t>
        </is>
      </c>
      <c r="M1041" t="inlineStr">
        <is>
          <t>See CVE details</t>
        </is>
      </c>
      <c r="N1041" t="inlineStr">
        <is>
          <t>P3</t>
        </is>
      </c>
      <c r="O1041" t="inlineStr">
        <is>
          <t>CVE - IP enrichment n/a</t>
        </is>
      </c>
      <c r="P1041" t="n">
        <v>0</v>
      </c>
      <c r="Q1041" t="n">
        <v>0</v>
      </c>
      <c r="R1041" t="inlineStr">
        <is>
          <t>T1190:Exploit Public-Facing Application | T1499:Endpoint Denial of Service</t>
        </is>
      </c>
      <c r="S1041" t="n">
        <v>1</v>
      </c>
      <c r="T1041" t="inlineStr">
        <is>
          <t>LOW (40%)</t>
        </is>
      </c>
      <c r="U1041" t="inlineStr">
        <is>
          <t>UNLIKELY</t>
        </is>
      </c>
      <c r="V1041" t="inlineStr">
        <is>
          <t>CHECK_VENDOR</t>
        </is>
      </c>
      <c r="W1041" t="inlineStr">
        <is>
          <t>https://nvd.nist.gov/vuln/detail/CVE-2025-70327</t>
        </is>
      </c>
      <c r="X1041" t="inlineStr">
        <is>
          <t>NONE</t>
        </is>
      </c>
      <c r="Y1041" t="n">
        <v>0</v>
      </c>
      <c r="Z1041" t="inlineStr"/>
      <c r="AA1041" t="inlineStr">
        <is>
          <t>https://nvd.nist.gov/vuln/detail/CVE-2025-70327</t>
        </is>
      </c>
    </row>
    <row r="1042">
      <c r="A1042" t="inlineStr">
        <is>
          <t>CVE</t>
        </is>
      </c>
      <c r="B1042" t="inlineStr">
        <is>
          <t>CVE-2025-70328</t>
        </is>
      </c>
      <c r="C1042" t="inlineStr">
        <is>
          <t>TOTOLINK X6000R v9.4.0cu.1498_B20250826 contains an OS command injection vulnerability in the NTPSyncWithHost handler of the /usr/sbin/shttpd executable. The host_time parameter is retrieved via sub_40C404 and passed to a date -s shell command through CsteSystem. While the first two tokens of the input are validated, the remainder of the string is not sanitized, allowing authenticated attackers to execute arbitrary shell commands via shell metacharacters.</t>
        </is>
      </c>
      <c r="D1042" t="n">
        <v>8.800000000000001</v>
      </c>
      <c r="E1042" t="inlineStr">
        <is>
          <t>HIGH</t>
        </is>
      </c>
      <c r="F1042" t="n">
        <v>2</v>
      </c>
      <c r="G1042" t="n">
        <v>3</v>
      </c>
      <c r="H1042" t="inlineStr">
        <is>
          <t>HIGH</t>
        </is>
      </c>
      <c r="I1042" t="n">
        <v>14.8</v>
      </c>
      <c r="J1042" t="inlineStr">
        <is>
          <t>NO</t>
        </is>
      </c>
      <c r="K1042" t="inlineStr">
        <is>
          <t>2026-02-26 00:15</t>
        </is>
      </c>
      <c r="L1042" t="inlineStr">
        <is>
          <t>CHECK_VENDOR</t>
        </is>
      </c>
      <c r="M1042" t="inlineStr">
        <is>
          <t>See CVE details</t>
        </is>
      </c>
      <c r="N1042" t="inlineStr">
        <is>
          <t>P3</t>
        </is>
      </c>
      <c r="O1042" t="inlineStr">
        <is>
          <t>CVE - IP enrichment n/a</t>
        </is>
      </c>
      <c r="P1042" t="n">
        <v>0</v>
      </c>
      <c r="Q1042" t="n">
        <v>0</v>
      </c>
      <c r="R1042" t="inlineStr">
        <is>
          <t>T1059:Command and Scripting Interpreter</t>
        </is>
      </c>
      <c r="S1042" t="n">
        <v>1</v>
      </c>
      <c r="T1042" t="inlineStr">
        <is>
          <t>LOW (40%)</t>
        </is>
      </c>
      <c r="U1042" t="inlineStr">
        <is>
          <t>UNLIKELY</t>
        </is>
      </c>
      <c r="V1042" t="inlineStr">
        <is>
          <t>CHECK_VENDOR</t>
        </is>
      </c>
      <c r="W1042" t="inlineStr">
        <is>
          <t>https://nvd.nist.gov/vuln/detail/CVE-2025-70328</t>
        </is>
      </c>
      <c r="X1042" t="inlineStr">
        <is>
          <t>NONE</t>
        </is>
      </c>
      <c r="Y1042" t="n">
        <v>0</v>
      </c>
      <c r="Z1042" t="inlineStr"/>
      <c r="AA1042" t="inlineStr">
        <is>
          <t>https://nvd.nist.gov/vuln/detail/CVE-2025-70328</t>
        </is>
      </c>
    </row>
    <row r="1043">
      <c r="A1043" t="inlineStr">
        <is>
          <t>CVE</t>
        </is>
      </c>
      <c r="B1043" t="inlineStr">
        <is>
          <t>CVE-2025-71056</t>
        </is>
      </c>
      <c r="C1043" t="inlineStr">
        <is>
          <t>Improper session management in GCOM EPON 1GE ONU version C00R371V00B01 allows attackers to execute a session hijacking attack via spoofing the IP address of an authenticated user.</t>
        </is>
      </c>
      <c r="D1043" t="n">
        <v>9.1</v>
      </c>
      <c r="E1043" t="inlineStr">
        <is>
          <t>CRITICAL</t>
        </is>
      </c>
      <c r="F1043" t="n">
        <v>2</v>
      </c>
      <c r="G1043" t="n">
        <v>3</v>
      </c>
      <c r="H1043" t="inlineStr">
        <is>
          <t>HIGH</t>
        </is>
      </c>
      <c r="I1043" t="n">
        <v>15.1</v>
      </c>
      <c r="J1043" t="inlineStr">
        <is>
          <t>NO</t>
        </is>
      </c>
      <c r="K1043" t="inlineStr">
        <is>
          <t>2026-02-26 00:15</t>
        </is>
      </c>
      <c r="L1043" t="inlineStr">
        <is>
          <t>CHECK_VENDOR</t>
        </is>
      </c>
      <c r="M1043" t="inlineStr">
        <is>
          <t>See CVE details</t>
        </is>
      </c>
      <c r="N1043" t="inlineStr">
        <is>
          <t>P3</t>
        </is>
      </c>
      <c r="O1043" t="inlineStr">
        <is>
          <t>CVE - IP enrichment n/a</t>
        </is>
      </c>
      <c r="P1043" t="n">
        <v>0</v>
      </c>
      <c r="Q1043" t="n">
        <v>0</v>
      </c>
      <c r="R1043" t="inlineStr">
        <is>
          <t>T1190:Exploit Public-Facing Application</t>
        </is>
      </c>
      <c r="S1043" t="n">
        <v>1</v>
      </c>
      <c r="T1043" t="inlineStr">
        <is>
          <t>LOW (40%)</t>
        </is>
      </c>
      <c r="U1043" t="inlineStr">
        <is>
          <t>UNLIKELY</t>
        </is>
      </c>
      <c r="V1043" t="inlineStr">
        <is>
          <t>CHECK_VENDOR</t>
        </is>
      </c>
      <c r="W1043" t="inlineStr">
        <is>
          <t>https://nvd.nist.gov/vuln/detail/CVE-2025-71056</t>
        </is>
      </c>
      <c r="X1043" t="inlineStr">
        <is>
          <t>NONE</t>
        </is>
      </c>
      <c r="Y1043" t="n">
        <v>0</v>
      </c>
      <c r="Z1043" t="inlineStr"/>
      <c r="AA1043" t="inlineStr">
        <is>
          <t>https://nvd.nist.gov/vuln/detail/CVE-2025-71056</t>
        </is>
      </c>
    </row>
    <row r="1044">
      <c r="A1044" t="inlineStr">
        <is>
          <t>CVE</t>
        </is>
      </c>
      <c r="B1044" t="inlineStr">
        <is>
          <t>CVE-2026-23521</t>
        </is>
      </c>
      <c r="C1044" t="inlineStr">
        <is>
          <t>Versions of the Traccar open-source GPS tracking system up to and including 6.11.1 contain an issue in which authenticated users who can create or edit devices can set a device `uniqueId` to an absolute path. When uploading a device image, Traccar uses that `uniqueId` to build the filesystem path without enforcing that the resolved path stays under the media root. This allows writing files outside the media directory. As of time of publication, it is unclear whether a fix is available.</t>
        </is>
      </c>
      <c r="D1044" t="n">
        <v>6.5</v>
      </c>
      <c r="E1044" t="inlineStr">
        <is>
          <t>MEDIUM</t>
        </is>
      </c>
      <c r="F1044" t="n">
        <v>2</v>
      </c>
      <c r="G1044" t="n">
        <v>2</v>
      </c>
      <c r="H1044" t="inlineStr">
        <is>
          <t>MEDIUM</t>
        </is>
      </c>
      <c r="I1044" t="n">
        <v>10.5</v>
      </c>
      <c r="J1044" t="inlineStr">
        <is>
          <t>NO</t>
        </is>
      </c>
      <c r="K1044" t="inlineStr">
        <is>
          <t>2026-02-26 00:15</t>
        </is>
      </c>
      <c r="L1044" t="inlineStr">
        <is>
          <t>CHECK_VENDOR</t>
        </is>
      </c>
      <c r="M1044" t="inlineStr">
        <is>
          <t>See CVE details</t>
        </is>
      </c>
      <c r="N1044" t="inlineStr">
        <is>
          <t>P4</t>
        </is>
      </c>
      <c r="O1044" t="inlineStr">
        <is>
          <t>CVE - IP enrichment n/a</t>
        </is>
      </c>
      <c r="P1044" t="n">
        <v>0.0003</v>
      </c>
      <c r="Q1044" t="n">
        <v>0.0989</v>
      </c>
      <c r="R1044" t="inlineStr">
        <is>
          <t>T1083:File and Directory Discovery | T1190:Exploit Public-Facing Application</t>
        </is>
      </c>
      <c r="S1044" t="n">
        <v>1</v>
      </c>
      <c r="T1044" t="inlineStr">
        <is>
          <t>LOW (40%)</t>
        </is>
      </c>
      <c r="U1044" t="inlineStr">
        <is>
          <t>UNLIKELY</t>
        </is>
      </c>
      <c r="V1044" t="inlineStr">
        <is>
          <t>CHECK_VENDOR</t>
        </is>
      </c>
      <c r="W1044" t="inlineStr">
        <is>
          <t>https://nvd.nist.gov/vuln/detail/CVE-2026-23521</t>
        </is>
      </c>
      <c r="X1044" t="inlineStr">
        <is>
          <t>NONE</t>
        </is>
      </c>
      <c r="Y1044" t="n">
        <v>0</v>
      </c>
      <c r="Z1044" t="inlineStr"/>
      <c r="AA1044" t="inlineStr">
        <is>
          <t>https://nvd.nist.gov/vuln/detail/CVE-2026-23521</t>
        </is>
      </c>
    </row>
    <row r="1045">
      <c r="A1045" t="inlineStr">
        <is>
          <t>CVE</t>
        </is>
      </c>
      <c r="B1045" t="inlineStr">
        <is>
          <t>CVE-2026-23693</t>
        </is>
      </c>
      <c r="C1045" t="inlineStr">
        <is>
          <t>ElementsKit Elementor Addons – Advanced Widgets &amp; Templates Addons for Elementor (elementskit-lite) WordPress plugin versions prior to 3.7.9 expose the REST endpoint /wp-json/elementskit/v1/widget/mailchimp/subscribe without authentication. The endpoint accepts client-supplied Mailchimp API credentials and insufficiently validates certain parameters, including the list parameter, when constructing upstream Mailchimp API requests. An unauthenticated attacker can abuse the endpoint as an open prox</t>
        </is>
      </c>
      <c r="D1045" t="n">
        <v>10</v>
      </c>
      <c r="E1045" t="inlineStr">
        <is>
          <t>CRITICAL</t>
        </is>
      </c>
      <c r="F1045" t="n">
        <v>2</v>
      </c>
      <c r="G1045" t="n">
        <v>3</v>
      </c>
      <c r="H1045" t="inlineStr">
        <is>
          <t>HIGH</t>
        </is>
      </c>
      <c r="I1045" t="n">
        <v>16</v>
      </c>
      <c r="J1045" t="inlineStr">
        <is>
          <t>NO</t>
        </is>
      </c>
      <c r="K1045" t="inlineStr">
        <is>
          <t>2026-02-26 00:15</t>
        </is>
      </c>
      <c r="L1045" t="inlineStr">
        <is>
          <t>CHECK_VENDOR</t>
        </is>
      </c>
      <c r="M1045" t="inlineStr">
        <is>
          <t>See CVE details</t>
        </is>
      </c>
      <c r="N1045" t="inlineStr">
        <is>
          <t>P3</t>
        </is>
      </c>
      <c r="O1045" t="inlineStr">
        <is>
          <t>CVE - IP enrichment n/a</t>
        </is>
      </c>
      <c r="P1045" t="n">
        <v>0.0015</v>
      </c>
      <c r="Q1045" t="n">
        <v>0.3541</v>
      </c>
      <c r="R1045" t="inlineStr">
        <is>
          <t>T1078:Valid Accounts | T1190:Exploit Public-Facing Application | T1552:Unsecured Credentials</t>
        </is>
      </c>
      <c r="S1045" t="n">
        <v>1</v>
      </c>
      <c r="T1045" t="inlineStr">
        <is>
          <t>LOW (40%)</t>
        </is>
      </c>
      <c r="U1045" t="inlineStr">
        <is>
          <t>UNLIKELY</t>
        </is>
      </c>
      <c r="V1045" t="inlineStr">
        <is>
          <t>CHECK_VENDOR</t>
        </is>
      </c>
      <c r="W1045" t="inlineStr">
        <is>
          <t>https://nvd.nist.gov/vuln/detail/CVE-2026-23693</t>
        </is>
      </c>
      <c r="X1045" t="inlineStr">
        <is>
          <t>NONE</t>
        </is>
      </c>
      <c r="Y1045" t="n">
        <v>0</v>
      </c>
      <c r="Z1045" t="inlineStr"/>
      <c r="AA1045" t="inlineStr">
        <is>
          <t>https://nvd.nist.gov/vuln/detail/CVE-2026-23693</t>
        </is>
      </c>
    </row>
    <row r="1046">
      <c r="A1046" t="inlineStr">
        <is>
          <t>CVE</t>
        </is>
      </c>
      <c r="B1046" t="inlineStr">
        <is>
          <t>CVE-2026-23694</t>
        </is>
      </c>
      <c r="C1046" t="inlineStr">
        <is>
          <t>Aruba HiSpeed Cache (aruba-hispeed-cache) WordPress plugin versions prior to 3.0.5 contain a cross-site request forgery (CSRF) vulnerability affecting multiple administrative AJAX actions. The handlers for ahsc_reset_options, ahsc_debug_status, and ahsc_enable_purge perform authentication and capability checks but do not verify a WordPress nonce for state-changing requests. An attacker can induce a logged-in administrator to visit a malicious webpage that submits forged requests to admin-ajax.ph</t>
        </is>
      </c>
      <c r="D1046" t="n">
        <v>5</v>
      </c>
      <c r="E1046" t="inlineStr">
        <is>
          <t>MEDIUM</t>
        </is>
      </c>
      <c r="F1046" t="n">
        <v>2</v>
      </c>
      <c r="G1046" t="n">
        <v>2</v>
      </c>
      <c r="H1046" t="inlineStr">
        <is>
          <t>MEDIUM</t>
        </is>
      </c>
      <c r="I1046" t="n">
        <v>9</v>
      </c>
      <c r="J1046" t="inlineStr">
        <is>
          <t>NO</t>
        </is>
      </c>
      <c r="K1046" t="inlineStr">
        <is>
          <t>2026-02-26 00:15</t>
        </is>
      </c>
      <c r="L1046" t="inlineStr">
        <is>
          <t>CHECK_VENDOR</t>
        </is>
      </c>
      <c r="M1046" t="inlineStr">
        <is>
          <t>See CVE details</t>
        </is>
      </c>
      <c r="N1046" t="inlineStr">
        <is>
          <t>P4</t>
        </is>
      </c>
      <c r="O1046" t="inlineStr">
        <is>
          <t>CVE - IP enrichment n/a</t>
        </is>
      </c>
      <c r="P1046" t="n">
        <v>0</v>
      </c>
      <c r="Q1046" t="n">
        <v>0</v>
      </c>
      <c r="R1046" t="inlineStr">
        <is>
          <t>T1185:Browser Session Hijacking</t>
        </is>
      </c>
      <c r="S1046" t="n">
        <v>1</v>
      </c>
      <c r="T1046" t="inlineStr">
        <is>
          <t>LOW (40%)</t>
        </is>
      </c>
      <c r="U1046" t="inlineStr">
        <is>
          <t>UNLIKELY</t>
        </is>
      </c>
      <c r="V1046" t="inlineStr">
        <is>
          <t>CHECK_VENDOR</t>
        </is>
      </c>
      <c r="W1046" t="inlineStr">
        <is>
          <t>https://nvd.nist.gov/vuln/detail/CVE-2026-23694</t>
        </is>
      </c>
      <c r="X1046" t="inlineStr">
        <is>
          <t>NONE</t>
        </is>
      </c>
      <c r="Y1046" t="n">
        <v>0</v>
      </c>
      <c r="Z1046" t="inlineStr"/>
      <c r="AA1046" t="inlineStr">
        <is>
          <t>https://nvd.nist.gov/vuln/detail/CVE-2026-23694</t>
        </is>
      </c>
    </row>
    <row r="1047">
      <c r="A1047" t="inlineStr">
        <is>
          <t>CVE</t>
        </is>
      </c>
      <c r="B1047" t="inlineStr">
        <is>
          <t>CVE-2026-25648</t>
        </is>
      </c>
      <c r="C1047" t="inlineStr">
        <is>
          <t>Versions of the Traccar open-source GPS tracking system starting with 6.11.1 contain an issue in which authenticated users can execute arbitrary JavaScript in the context of other users' browsers by uploading malicious SVG files as device images. The application accepts SVG file uploads without sanitization and serves them with the `image/svg+xml` Content-Type, allowing embedded JavaScript to execute when victims view the image. As of time of publication, it is unclear whether a fix is available</t>
        </is>
      </c>
      <c r="D1047" t="n">
        <v>8.699999999999999</v>
      </c>
      <c r="E1047" t="inlineStr">
        <is>
          <t>HIGH</t>
        </is>
      </c>
      <c r="F1047" t="n">
        <v>2</v>
      </c>
      <c r="G1047" t="n">
        <v>3</v>
      </c>
      <c r="H1047" t="inlineStr">
        <is>
          <t>HIGH</t>
        </is>
      </c>
      <c r="I1047" t="n">
        <v>14.7</v>
      </c>
      <c r="J1047" t="inlineStr">
        <is>
          <t>NO</t>
        </is>
      </c>
      <c r="K1047" t="inlineStr">
        <is>
          <t>2026-02-26 00:15</t>
        </is>
      </c>
      <c r="L1047" t="inlineStr">
        <is>
          <t>CHECK_VENDOR</t>
        </is>
      </c>
      <c r="M1047" t="inlineStr">
        <is>
          <t>See CVE details</t>
        </is>
      </c>
      <c r="N1047" t="inlineStr">
        <is>
          <t>P3</t>
        </is>
      </c>
      <c r="O1047" t="inlineStr">
        <is>
          <t>CVE - IP enrichment n/a</t>
        </is>
      </c>
      <c r="P1047" t="n">
        <v>0</v>
      </c>
      <c r="Q1047" t="n">
        <v>0</v>
      </c>
      <c r="R1047" t="inlineStr">
        <is>
          <t>T1189:Drive-by Compromise | T1190:Exploit Public-Facing Application</t>
        </is>
      </c>
      <c r="S1047" t="n">
        <v>1</v>
      </c>
      <c r="T1047" t="inlineStr">
        <is>
          <t>LOW (40%)</t>
        </is>
      </c>
      <c r="U1047" t="inlineStr">
        <is>
          <t>UNLIKELY</t>
        </is>
      </c>
      <c r="V1047" t="inlineStr">
        <is>
          <t>CHECK_VENDOR</t>
        </is>
      </c>
      <c r="W1047" t="inlineStr">
        <is>
          <t>https://nvd.nist.gov/vuln/detail/CVE-2026-25648</t>
        </is>
      </c>
      <c r="X1047" t="inlineStr">
        <is>
          <t>NONE</t>
        </is>
      </c>
      <c r="Y1047" t="n">
        <v>0</v>
      </c>
      <c r="Z1047" t="inlineStr"/>
      <c r="AA1047" t="inlineStr">
        <is>
          <t>https://nvd.nist.gov/vuln/detail/CVE-2026-25648</t>
        </is>
      </c>
    </row>
    <row r="1048">
      <c r="A1048" t="inlineStr">
        <is>
          <t>CVE</t>
        </is>
      </c>
      <c r="B1048" t="inlineStr">
        <is>
          <t>CVE-2026-3025</t>
        </is>
      </c>
      <c r="C1048" t="inlineStr">
        <is>
          <t>A flaw has been found in ShuoRen Smart Heating Integrated Management Platform 1.0.0. Affected by this vulnerability is an unknown functionality of the file /MP/Service/Webservice/ExampleNodeService.asmx. Executing a manipulation of the argument File can lead to unrestricted upload. It is possible to launch the attack remotely. The exploit has been published and may be used. The vendor was contacted early about this disclosure but did not respond in any way.</t>
        </is>
      </c>
      <c r="D1048" t="n">
        <v>7.3</v>
      </c>
      <c r="E1048" t="inlineStr">
        <is>
          <t>HIGH</t>
        </is>
      </c>
      <c r="F1048" t="n">
        <v>2</v>
      </c>
      <c r="G1048" t="n">
        <v>3</v>
      </c>
      <c r="H1048" t="inlineStr">
        <is>
          <t>HIGH</t>
        </is>
      </c>
      <c r="I1048" t="n">
        <v>13.3</v>
      </c>
      <c r="J1048" t="inlineStr">
        <is>
          <t>NO</t>
        </is>
      </c>
      <c r="K1048" t="inlineStr">
        <is>
          <t>2026-02-26 00:15</t>
        </is>
      </c>
      <c r="L1048" t="inlineStr">
        <is>
          <t>CHECK_VENDOR</t>
        </is>
      </c>
      <c r="M1048" t="inlineStr">
        <is>
          <t>See CVE details</t>
        </is>
      </c>
      <c r="N1048" t="inlineStr">
        <is>
          <t>P3</t>
        </is>
      </c>
      <c r="O1048" t="inlineStr">
        <is>
          <t>CVE - IP enrichment n/a</t>
        </is>
      </c>
      <c r="P1048" t="n">
        <v>0.0004</v>
      </c>
      <c r="Q1048" t="n">
        <v>0.1038</v>
      </c>
      <c r="R1048" t="inlineStr">
        <is>
          <t>T1190:Exploit Public-Facing Application</t>
        </is>
      </c>
      <c r="S1048" t="n">
        <v>1</v>
      </c>
      <c r="T1048" t="inlineStr">
        <is>
          <t>LOW (40%)</t>
        </is>
      </c>
      <c r="U1048" t="inlineStr">
        <is>
          <t>UNLIKELY</t>
        </is>
      </c>
      <c r="V1048" t="inlineStr">
        <is>
          <t>CHECK_VENDOR</t>
        </is>
      </c>
      <c r="W1048" t="inlineStr">
        <is>
          <t>https://nvd.nist.gov/vuln/detail/CVE-2026-3025</t>
        </is>
      </c>
      <c r="X1048" t="inlineStr">
        <is>
          <t>NONE</t>
        </is>
      </c>
      <c r="Y1048" t="n">
        <v>0</v>
      </c>
      <c r="Z1048" t="inlineStr"/>
      <c r="AA1048" t="inlineStr">
        <is>
          <t>https://nvd.nist.gov/vuln/detail/CVE-2026-3025</t>
        </is>
      </c>
    </row>
    <row r="1049">
      <c r="A1049" t="inlineStr">
        <is>
          <t>CVE</t>
        </is>
      </c>
      <c r="B1049" t="inlineStr">
        <is>
          <t>CVE-2026-3026</t>
        </is>
      </c>
      <c r="C1049" t="inlineStr">
        <is>
          <t>A vulnerability has been found in erzhongxmu JEEWMS 3.7. Affected by this issue is some unknown functionality of the file /plug-in/ueditor/jsp/getRemoteImage.jsp of the component UEditor. The manipulation of the argument upfile leads to server-side request forgery. The attack can be initiated remotely. The exploit has been disclosed to the public and may be used. The vendor was contacted early about this disclosure but did not respond in any way.</t>
        </is>
      </c>
      <c r="D1049" t="n">
        <v>7.3</v>
      </c>
      <c r="E1049" t="inlineStr">
        <is>
          <t>HIGH</t>
        </is>
      </c>
      <c r="F1049" t="n">
        <v>2</v>
      </c>
      <c r="G1049" t="n">
        <v>3</v>
      </c>
      <c r="H1049" t="inlineStr">
        <is>
          <t>HIGH</t>
        </is>
      </c>
      <c r="I1049" t="n">
        <v>13.3</v>
      </c>
      <c r="J1049" t="inlineStr">
        <is>
          <t>NO</t>
        </is>
      </c>
      <c r="K1049" t="inlineStr">
        <is>
          <t>2026-02-26 00:15</t>
        </is>
      </c>
      <c r="L1049" t="inlineStr">
        <is>
          <t>CHECK_VENDOR</t>
        </is>
      </c>
      <c r="M1049" t="inlineStr">
        <is>
          <t>jeewms jeewms *</t>
        </is>
      </c>
      <c r="N1049" t="inlineStr">
        <is>
          <t>P3</t>
        </is>
      </c>
      <c r="O1049" t="inlineStr">
        <is>
          <t>CVE - IP enrichment n/a</t>
        </is>
      </c>
      <c r="P1049" t="n">
        <v>0</v>
      </c>
      <c r="Q1049" t="n">
        <v>0</v>
      </c>
      <c r="R1049" t="inlineStr">
        <is>
          <t>T1090:Proxy</t>
        </is>
      </c>
      <c r="S1049" t="n">
        <v>1</v>
      </c>
      <c r="T1049" t="inlineStr">
        <is>
          <t>LOW (40%)</t>
        </is>
      </c>
      <c r="U1049" t="inlineStr">
        <is>
          <t>UNLIKELY</t>
        </is>
      </c>
      <c r="V1049" t="inlineStr">
        <is>
          <t>CHECK_VENDOR</t>
        </is>
      </c>
      <c r="W1049" t="inlineStr">
        <is>
          <t>https://nvd.nist.gov/vuln/detail/CVE-2026-3026</t>
        </is>
      </c>
      <c r="X1049" t="inlineStr">
        <is>
          <t>NONE</t>
        </is>
      </c>
      <c r="Y1049" t="n">
        <v>0</v>
      </c>
      <c r="Z1049" t="inlineStr"/>
      <c r="AA1049" t="inlineStr">
        <is>
          <t>https://nvd.nist.gov/vuln/detail/CVE-2026-3026</t>
        </is>
      </c>
    </row>
    <row r="1050">
      <c r="A1050" t="inlineStr">
        <is>
          <t>CVE</t>
        </is>
      </c>
      <c r="B1050" t="inlineStr">
        <is>
          <t>CVE-2026-3027</t>
        </is>
      </c>
      <c r="C1050" t="inlineStr">
        <is>
          <t>A vulnerability was found in erzhongxmu JEEWMS up to 3.7. This affects an unknown part of the file src/main/webapp/plug-in/ueditor/jsp/getContent.jsp of the component UEditor. The manipulation of the argument myEditor results in cross site scripting. The attack can be launched remotely. The exploit has been made public and could be used. The vendor was contacted early about this disclosure but did not respond in any way.</t>
        </is>
      </c>
      <c r="D1050" t="n">
        <v>4.3</v>
      </c>
      <c r="E1050" t="inlineStr">
        <is>
          <t>MEDIUM</t>
        </is>
      </c>
      <c r="F1050" t="n">
        <v>2</v>
      </c>
      <c r="G1050" t="n">
        <v>2</v>
      </c>
      <c r="H1050" t="inlineStr">
        <is>
          <t>MEDIUM</t>
        </is>
      </c>
      <c r="I1050" t="n">
        <v>8.300000000000001</v>
      </c>
      <c r="J1050" t="inlineStr">
        <is>
          <t>NO</t>
        </is>
      </c>
      <c r="K1050" t="inlineStr">
        <is>
          <t>2026-02-26 00:15</t>
        </is>
      </c>
      <c r="L1050" t="inlineStr">
        <is>
          <t>CHECK_VENDOR</t>
        </is>
      </c>
      <c r="M1050" t="inlineStr">
        <is>
          <t>jeewms jeewms *</t>
        </is>
      </c>
      <c r="N1050" t="inlineStr">
        <is>
          <t>P4</t>
        </is>
      </c>
      <c r="O1050" t="inlineStr">
        <is>
          <t>CVE - IP enrichment n/a</t>
        </is>
      </c>
      <c r="P1050" t="n">
        <v>0</v>
      </c>
      <c r="Q1050" t="n">
        <v>0</v>
      </c>
      <c r="R1050" t="inlineStr">
        <is>
          <t>T1189:Drive-by Compromise</t>
        </is>
      </c>
      <c r="S1050" t="n">
        <v>1</v>
      </c>
      <c r="T1050" t="inlineStr">
        <is>
          <t>LOW (40%)</t>
        </is>
      </c>
      <c r="U1050" t="inlineStr">
        <is>
          <t>UNLIKELY</t>
        </is>
      </c>
      <c r="V1050" t="inlineStr">
        <is>
          <t>CHECK_VENDOR</t>
        </is>
      </c>
      <c r="W1050" t="inlineStr">
        <is>
          <t>https://nvd.nist.gov/vuln/detail/CVE-2026-3027</t>
        </is>
      </c>
      <c r="X1050" t="inlineStr">
        <is>
          <t>NONE</t>
        </is>
      </c>
      <c r="Y1050" t="n">
        <v>0</v>
      </c>
      <c r="Z1050" t="inlineStr"/>
      <c r="AA1050" t="inlineStr">
        <is>
          <t>https://nvd.nist.gov/vuln/detail/CVE-2026-3027</t>
        </is>
      </c>
    </row>
    <row r="1051">
      <c r="A1051" t="inlineStr">
        <is>
          <t>CVE</t>
        </is>
      </c>
      <c r="B1051" t="inlineStr">
        <is>
          <t>CVE-2026-3075</t>
        </is>
      </c>
      <c r="C1051" t="inlineStr">
        <is>
          <t>Exposure of Sensitive System Information to an Unauthorized Control Sphere vulnerability in Jeff Starr Simple Ajax Chat simple-ajax-chat allows Retrieve Embedded Sensitive Data.This issue affects Simple Ajax Chat: from n/a through &lt;= 20251121.</t>
        </is>
      </c>
      <c r="D1051" t="n">
        <v>5</v>
      </c>
      <c r="E1051" t="inlineStr">
        <is>
          <t>MEDIUM</t>
        </is>
      </c>
      <c r="F1051" t="n">
        <v>2</v>
      </c>
      <c r="G1051" t="n">
        <v>2</v>
      </c>
      <c r="H1051" t="inlineStr">
        <is>
          <t>MEDIUM</t>
        </is>
      </c>
      <c r="I1051" t="n">
        <v>9</v>
      </c>
      <c r="J1051" t="inlineStr">
        <is>
          <t>NO</t>
        </is>
      </c>
      <c r="K1051" t="inlineStr">
        <is>
          <t>2026-02-26 00:15</t>
        </is>
      </c>
      <c r="L1051" t="inlineStr">
        <is>
          <t>CHECK_VENDOR</t>
        </is>
      </c>
      <c r="M1051" t="inlineStr">
        <is>
          <t>See CVE details</t>
        </is>
      </c>
      <c r="N1051" t="inlineStr">
        <is>
          <t>P4</t>
        </is>
      </c>
      <c r="O1051" t="inlineStr">
        <is>
          <t>CVE - IP enrichment n/a</t>
        </is>
      </c>
      <c r="P1051" t="n">
        <v>0</v>
      </c>
      <c r="Q1051" t="n">
        <v>0</v>
      </c>
      <c r="R1051" t="inlineStr">
        <is>
          <t>T1190:Exploit Public-Facing Application</t>
        </is>
      </c>
      <c r="S1051" t="n">
        <v>1</v>
      </c>
      <c r="T1051" t="inlineStr">
        <is>
          <t>LOW (40%)</t>
        </is>
      </c>
      <c r="U1051" t="inlineStr">
        <is>
          <t>UNLIKELY</t>
        </is>
      </c>
      <c r="V1051" t="inlineStr">
        <is>
          <t>CHECK_VENDOR</t>
        </is>
      </c>
      <c r="W1051" t="inlineStr">
        <is>
          <t>https://nvd.nist.gov/vuln/detail/CVE-2026-3075</t>
        </is>
      </c>
      <c r="X1051" t="inlineStr">
        <is>
          <t>NONE</t>
        </is>
      </c>
      <c r="Y1051" t="n">
        <v>0</v>
      </c>
      <c r="Z1051" t="inlineStr"/>
      <c r="AA1051" t="inlineStr">
        <is>
          <t>https://nvd.nist.gov/vuln/detail/CVE-2026-3075</t>
        </is>
      </c>
    </row>
    <row r="1052">
      <c r="A1052" t="inlineStr">
        <is>
          <t>CVE</t>
        </is>
      </c>
      <c r="B1052" t="inlineStr">
        <is>
          <t>CVE-2025-69208</t>
        </is>
      </c>
      <c r="C1052" t="inlineStr">
        <is>
          <t>free5GC UDR is the user data repository (UDR) for free5GC, an an open-source project for 5th generation (5G) mobile core networks. Versions prior to 1.4.1 contain an Improper Error Handling vulnerability with Information Exposure. All deployments of free5GC using the Nnef_PfdManagement service may be affected. The NEF component reliably leaks internal parsing errors (e.g., invalid character 'n' after top-level value) to remote clients. This can aid attackers in fingerprinting server software and</t>
        </is>
      </c>
      <c r="D1052" t="n">
        <v>5.3</v>
      </c>
      <c r="E1052" t="inlineStr">
        <is>
          <t>MEDIUM</t>
        </is>
      </c>
      <c r="F1052" t="n">
        <v>2</v>
      </c>
      <c r="G1052" t="n">
        <v>2</v>
      </c>
      <c r="H1052" t="inlineStr">
        <is>
          <t>MEDIUM</t>
        </is>
      </c>
      <c r="I1052" t="n">
        <v>9.300000000000001</v>
      </c>
      <c r="J1052" t="inlineStr">
        <is>
          <t>NO</t>
        </is>
      </c>
      <c r="K1052" t="inlineStr">
        <is>
          <t>2026-02-26 00:15</t>
        </is>
      </c>
      <c r="L1052" t="inlineStr">
        <is>
          <t>YES</t>
        </is>
      </c>
      <c r="M1052" t="inlineStr">
        <is>
          <t>free5gc udr *</t>
        </is>
      </c>
      <c r="N1052" t="inlineStr">
        <is>
          <t>P4</t>
        </is>
      </c>
      <c r="O1052" t="inlineStr">
        <is>
          <t>CVE - IP enrichment n/a</t>
        </is>
      </c>
      <c r="P1052" t="n">
        <v>0</v>
      </c>
      <c r="Q1052" t="n">
        <v>0</v>
      </c>
      <c r="R1052" t="inlineStr">
        <is>
          <t>T1190:Exploit Public-Facing Application</t>
        </is>
      </c>
      <c r="S1052" t="n">
        <v>1</v>
      </c>
      <c r="T1052" t="inlineStr">
        <is>
          <t>LOW (40%)</t>
        </is>
      </c>
      <c r="U1052" t="inlineStr">
        <is>
          <t>UNLIKELY</t>
        </is>
      </c>
      <c r="V1052" t="inlineStr">
        <is>
          <t>PATCH_AVAILABLE</t>
        </is>
      </c>
      <c r="W1052" t="inlineStr">
        <is>
          <t>https://nvd.nist.gov/vuln/detail/CVE-2025-69208</t>
        </is>
      </c>
      <c r="X1052" t="inlineStr">
        <is>
          <t>NONE</t>
        </is>
      </c>
      <c r="Y1052" t="n">
        <v>0</v>
      </c>
      <c r="Z1052" t="inlineStr"/>
      <c r="AA1052" t="inlineStr">
        <is>
          <t>https://nvd.nist.gov/vuln/detail/CVE-2025-69208</t>
        </is>
      </c>
    </row>
    <row r="1053">
      <c r="A1053" t="inlineStr">
        <is>
          <t>CVE</t>
        </is>
      </c>
      <c r="B1053" t="inlineStr">
        <is>
          <t>CVE-2025-69232</t>
        </is>
      </c>
      <c r="C1053" t="inlineStr">
        <is>
          <t>free5GC is an open-source project for 5th generation (5G) mobile core networks. free5GC go-upf versions up to and including 1.2.6, corresponding to free5gc smf up to and including 1.4.0, have an Improper Input Validation and Protocol Compliance vulnerability leading to Denial of Service. Remote attackers can disrupt core network functionality by sending a malformed PFCP Association Setup Request. The UPF incorrectly accepts it, entering an inconsistent state that causes subsequent legitimate req</t>
        </is>
      </c>
      <c r="D1053" t="n">
        <v>7.5</v>
      </c>
      <c r="E1053" t="inlineStr">
        <is>
          <t>HIGH</t>
        </is>
      </c>
      <c r="F1053" t="n">
        <v>2</v>
      </c>
      <c r="G1053" t="n">
        <v>3</v>
      </c>
      <c r="H1053" t="inlineStr">
        <is>
          <t>HIGH</t>
        </is>
      </c>
      <c r="I1053" t="n">
        <v>13.5</v>
      </c>
      <c r="J1053" t="inlineStr">
        <is>
          <t>NO</t>
        </is>
      </c>
      <c r="K1053" t="inlineStr">
        <is>
          <t>2026-02-26 00:15</t>
        </is>
      </c>
      <c r="L1053" t="inlineStr">
        <is>
          <t>YES</t>
        </is>
      </c>
      <c r="M1053" t="inlineStr">
        <is>
          <t>free5gc smf * | free5gc go-upf *</t>
        </is>
      </c>
      <c r="N1053" t="inlineStr">
        <is>
          <t>P3</t>
        </is>
      </c>
      <c r="O1053" t="inlineStr">
        <is>
          <t>CVE - IP enrichment n/a</t>
        </is>
      </c>
      <c r="P1053" t="n">
        <v>0</v>
      </c>
      <c r="Q1053" t="n">
        <v>0</v>
      </c>
      <c r="R1053" t="inlineStr">
        <is>
          <t>T1190:Exploit Public-Facing Application | T1499:Endpoint Denial of Service</t>
        </is>
      </c>
      <c r="S1053" t="n">
        <v>1</v>
      </c>
      <c r="T1053" t="inlineStr">
        <is>
          <t>LOW (40%)</t>
        </is>
      </c>
      <c r="U1053" t="inlineStr">
        <is>
          <t>UNLIKELY</t>
        </is>
      </c>
      <c r="V1053" t="inlineStr">
        <is>
          <t>PATCH_AVAILABLE</t>
        </is>
      </c>
      <c r="W1053" t="inlineStr">
        <is>
          <t>https://nvd.nist.gov/vuln/detail/CVE-2025-69232</t>
        </is>
      </c>
      <c r="X1053" t="inlineStr">
        <is>
          <t>NONE</t>
        </is>
      </c>
      <c r="Y1053" t="n">
        <v>0</v>
      </c>
      <c r="Z1053" t="inlineStr"/>
      <c r="AA1053" t="inlineStr">
        <is>
          <t>https://nvd.nist.gov/vuln/detail/CVE-2025-69232</t>
        </is>
      </c>
    </row>
    <row r="1054">
      <c r="A1054" t="inlineStr">
        <is>
          <t>CVE</t>
        </is>
      </c>
      <c r="B1054" t="inlineStr">
        <is>
          <t>CVE-2025-69247</t>
        </is>
      </c>
      <c r="C1054" t="inlineStr">
        <is>
          <t>free5GC go-upf is the User Plane Function (UPF) implementation for 5G networks that is part of the free5GC project. Versions prior to 1.2.8 have a Heap-based Buffer Overflow (CWE-122) vulnerability leading to Denial of Service. Remote attackers can crash the UPF network element by sending a specially crafted PFCP Session Modification Request with an invalid SDF Filter length field. This causes a heap buffer overflow, resulting in complete service disruption for all connected UEs and potential ca</t>
        </is>
      </c>
      <c r="D1054" t="n">
        <v>7.5</v>
      </c>
      <c r="E1054" t="inlineStr">
        <is>
          <t>HIGH</t>
        </is>
      </c>
      <c r="F1054" t="n">
        <v>2</v>
      </c>
      <c r="G1054" t="n">
        <v>3</v>
      </c>
      <c r="H1054" t="inlineStr">
        <is>
          <t>HIGH</t>
        </is>
      </c>
      <c r="I1054" t="n">
        <v>13.5</v>
      </c>
      <c r="J1054" t="inlineStr">
        <is>
          <t>NO</t>
        </is>
      </c>
      <c r="K1054" t="inlineStr">
        <is>
          <t>2026-02-26 00:15</t>
        </is>
      </c>
      <c r="L1054" t="inlineStr">
        <is>
          <t>YES</t>
        </is>
      </c>
      <c r="M1054" t="inlineStr">
        <is>
          <t>free5gc go-upf *</t>
        </is>
      </c>
      <c r="N1054" t="inlineStr">
        <is>
          <t>P3</t>
        </is>
      </c>
      <c r="O1054" t="inlineStr">
        <is>
          <t>CVE - IP enrichment n/a</t>
        </is>
      </c>
      <c r="P1054" t="n">
        <v>0</v>
      </c>
      <c r="Q1054" t="n">
        <v>0</v>
      </c>
      <c r="R1054" t="inlineStr">
        <is>
          <t>T1203:Exploitation for Client Execution | T1499:Endpoint Denial of Service</t>
        </is>
      </c>
      <c r="S1054" t="n">
        <v>1</v>
      </c>
      <c r="T1054" t="inlineStr">
        <is>
          <t>LOW (40%)</t>
        </is>
      </c>
      <c r="U1054" t="inlineStr">
        <is>
          <t>UNLIKELY</t>
        </is>
      </c>
      <c r="V1054" t="inlineStr">
        <is>
          <t>PATCH_AVAILABLE</t>
        </is>
      </c>
      <c r="W1054" t="inlineStr">
        <is>
          <t>https://nvd.nist.gov/vuln/detail/CVE-2025-69247</t>
        </is>
      </c>
      <c r="X1054" t="inlineStr">
        <is>
          <t>NONE</t>
        </is>
      </c>
      <c r="Y1054" t="n">
        <v>0</v>
      </c>
      <c r="Z1054" t="inlineStr"/>
      <c r="AA1054" t="inlineStr">
        <is>
          <t>https://nvd.nist.gov/vuln/detail/CVE-2025-69247</t>
        </is>
      </c>
    </row>
    <row r="1055">
      <c r="A1055" t="inlineStr">
        <is>
          <t>CVE</t>
        </is>
      </c>
      <c r="B1055" t="inlineStr">
        <is>
          <t>CVE-2025-69248</t>
        </is>
      </c>
      <c r="C1055" t="inlineStr">
        <is>
          <t>free5GC is an open-source project for 5th generation (5G) mobile core networks. Versions up to and including 1.4.1 of free5GC's AMF service have a Buffer Overflow vulnerability leading to Denial of Service. Remote unauthenticated attackers can crash the AMF service by sending a specially crafted NAS Registration Request with a malformed 5GS Mobile Identity, causing complete denial of service for the 5G core network. All deployments of free5GC using the AMF component may be affected. Pull request</t>
        </is>
      </c>
      <c r="D1055" t="n">
        <v>7.5</v>
      </c>
      <c r="E1055" t="inlineStr">
        <is>
          <t>HIGH</t>
        </is>
      </c>
      <c r="F1055" t="n">
        <v>2</v>
      </c>
      <c r="G1055" t="n">
        <v>3</v>
      </c>
      <c r="H1055" t="inlineStr">
        <is>
          <t>HIGH</t>
        </is>
      </c>
      <c r="I1055" t="n">
        <v>13.5</v>
      </c>
      <c r="J1055" t="inlineStr">
        <is>
          <t>NO</t>
        </is>
      </c>
      <c r="K1055" t="inlineStr">
        <is>
          <t>2026-02-26 00:15</t>
        </is>
      </c>
      <c r="L1055" t="inlineStr">
        <is>
          <t>YES</t>
        </is>
      </c>
      <c r="M1055" t="inlineStr">
        <is>
          <t>free5gc amf *</t>
        </is>
      </c>
      <c r="N1055" t="inlineStr">
        <is>
          <t>P3</t>
        </is>
      </c>
      <c r="O1055" t="inlineStr">
        <is>
          <t>CVE - IP enrichment n/a</t>
        </is>
      </c>
      <c r="P1055" t="n">
        <v>0</v>
      </c>
      <c r="Q1055" t="n">
        <v>0</v>
      </c>
      <c r="R1055" t="inlineStr">
        <is>
          <t>T1190:Exploit Public-Facing Application | T1203:Exploitation for Client Execution | T1499:Endpoint Denial of Service</t>
        </is>
      </c>
      <c r="S1055" t="n">
        <v>1</v>
      </c>
      <c r="T1055" t="inlineStr">
        <is>
          <t>LOW (40%)</t>
        </is>
      </c>
      <c r="U1055" t="inlineStr">
        <is>
          <t>UNLIKELY</t>
        </is>
      </c>
      <c r="V1055" t="inlineStr">
        <is>
          <t>PATCH_AVAILABLE</t>
        </is>
      </c>
      <c r="W1055" t="inlineStr">
        <is>
          <t>https://nvd.nist.gov/vuln/detail/CVE-2025-69248</t>
        </is>
      </c>
      <c r="X1055" t="inlineStr">
        <is>
          <t>NONE</t>
        </is>
      </c>
      <c r="Y1055" t="n">
        <v>0</v>
      </c>
      <c r="Z1055" t="inlineStr"/>
      <c r="AA1055" t="inlineStr">
        <is>
          <t>https://nvd.nist.gov/vuln/detail/CVE-2025-69248</t>
        </is>
      </c>
    </row>
    <row r="1056">
      <c r="A1056" t="inlineStr">
        <is>
          <t>CVE</t>
        </is>
      </c>
      <c r="B1056" t="inlineStr">
        <is>
          <t>CVE-2026-25649</t>
        </is>
      </c>
      <c r="C1056" t="inlineStr">
        <is>
          <t>Versions of the Traccar open-source GPS tracking system up to and including 6.11.1 contain an issue in which authenticated users can steal OAuth 2.0 authorization codes by exploiting an open redirect vulnerability in two OIDC-related endpoints. The `redirect_uri` parameter is not validated against a whitelist, allowing attackers to redirect authorization codes to attacker-controlled URLs, enabling account takeover on any OAuth-integrated application. As of time of publication, it is unclear whet</t>
        </is>
      </c>
      <c r="D1056" t="n">
        <v>7.3</v>
      </c>
      <c r="E1056" t="inlineStr">
        <is>
          <t>HIGH</t>
        </is>
      </c>
      <c r="F1056" t="n">
        <v>2</v>
      </c>
      <c r="G1056" t="n">
        <v>3</v>
      </c>
      <c r="H1056" t="inlineStr">
        <is>
          <t>HIGH</t>
        </is>
      </c>
      <c r="I1056" t="n">
        <v>13.3</v>
      </c>
      <c r="J1056" t="inlineStr">
        <is>
          <t>NO</t>
        </is>
      </c>
      <c r="K1056" t="inlineStr">
        <is>
          <t>2026-02-26 00:15</t>
        </is>
      </c>
      <c r="L1056" t="inlineStr">
        <is>
          <t>CHECK_VENDOR</t>
        </is>
      </c>
      <c r="M1056" t="inlineStr">
        <is>
          <t>See CVE details</t>
        </is>
      </c>
      <c r="N1056" t="inlineStr">
        <is>
          <t>P3</t>
        </is>
      </c>
      <c r="O1056" t="inlineStr">
        <is>
          <t>CVE - IP enrichment n/a</t>
        </is>
      </c>
      <c r="P1056" t="n">
        <v>0</v>
      </c>
      <c r="Q1056" t="n">
        <v>0</v>
      </c>
      <c r="R1056" t="inlineStr">
        <is>
          <t>T1185:Browser Session Hijacking | T1190:Exploit Public-Facing Application | T1189:Drive-by Compromise</t>
        </is>
      </c>
      <c r="S1056" t="n">
        <v>1</v>
      </c>
      <c r="T1056" t="inlineStr">
        <is>
          <t>LOW (40%)</t>
        </is>
      </c>
      <c r="U1056" t="inlineStr">
        <is>
          <t>UNLIKELY</t>
        </is>
      </c>
      <c r="V1056" t="inlineStr">
        <is>
          <t>CHECK_VENDOR</t>
        </is>
      </c>
      <c r="W1056" t="inlineStr">
        <is>
          <t>https://nvd.nist.gov/vuln/detail/CVE-2026-25649</t>
        </is>
      </c>
      <c r="X1056" t="inlineStr">
        <is>
          <t>NONE</t>
        </is>
      </c>
      <c r="Y1056" t="n">
        <v>0</v>
      </c>
      <c r="Z1056" t="inlineStr"/>
      <c r="AA1056" t="inlineStr">
        <is>
          <t>https://nvd.nist.gov/vuln/detail/CVE-2026-25649</t>
        </is>
      </c>
    </row>
    <row r="1057">
      <c r="A1057" t="inlineStr">
        <is>
          <t>CVE</t>
        </is>
      </c>
      <c r="B1057" t="inlineStr">
        <is>
          <t>CVE-2026-25984</t>
        </is>
      </c>
      <c r="C1057" t="inlineStr">
        <is>
          <t>Rejected reason: This CVE was assigned in error.</t>
        </is>
      </c>
      <c r="D1057" t="n">
        <v>5</v>
      </c>
      <c r="E1057" t="inlineStr">
        <is>
          <t>MEDIUM</t>
        </is>
      </c>
      <c r="F1057" t="n">
        <v>2</v>
      </c>
      <c r="G1057" t="n">
        <v>2</v>
      </c>
      <c r="H1057" t="inlineStr">
        <is>
          <t>MEDIUM</t>
        </is>
      </c>
      <c r="I1057" t="n">
        <v>9</v>
      </c>
      <c r="J1057" t="inlineStr">
        <is>
          <t>NO</t>
        </is>
      </c>
      <c r="K1057" t="inlineStr">
        <is>
          <t>2026-02-26 00:15</t>
        </is>
      </c>
      <c r="L1057" t="inlineStr">
        <is>
          <t>CHECK_VENDOR</t>
        </is>
      </c>
      <c r="M1057" t="inlineStr">
        <is>
          <t>See CVE details</t>
        </is>
      </c>
      <c r="N1057" t="inlineStr">
        <is>
          <t>P4</t>
        </is>
      </c>
      <c r="O1057" t="inlineStr">
        <is>
          <t>CVE - IP enrichment n/a</t>
        </is>
      </c>
      <c r="P1057" t="n">
        <v>0</v>
      </c>
      <c r="Q1057" t="n">
        <v>0</v>
      </c>
      <c r="R1057" t="inlineStr">
        <is>
          <t>T1190:Exploit Public-Facing Application</t>
        </is>
      </c>
      <c r="S1057" t="n">
        <v>1</v>
      </c>
      <c r="T1057" t="inlineStr">
        <is>
          <t>LOW (40%)</t>
        </is>
      </c>
      <c r="U1057" t="inlineStr">
        <is>
          <t>UNLIKELY</t>
        </is>
      </c>
      <c r="V1057" t="inlineStr">
        <is>
          <t>CHECK_VENDOR</t>
        </is>
      </c>
      <c r="W1057" t="inlineStr">
        <is>
          <t>https://nvd.nist.gov/vuln/detail/CVE-2026-25984</t>
        </is>
      </c>
      <c r="X1057" t="inlineStr">
        <is>
          <t>NONE</t>
        </is>
      </c>
      <c r="Y1057" t="n">
        <v>0</v>
      </c>
      <c r="Z1057" t="inlineStr"/>
      <c r="AA1057" t="inlineStr">
        <is>
          <t>https://nvd.nist.gov/vuln/detail/CVE-2026-25984</t>
        </is>
      </c>
    </row>
    <row r="1058">
      <c r="A1058" t="inlineStr">
        <is>
          <t>CVE</t>
        </is>
      </c>
      <c r="B1058" t="inlineStr">
        <is>
          <t>CVE-2026-27163</t>
        </is>
      </c>
      <c r="C1058" t="inlineStr">
        <is>
          <t>Rejected reason: This CVE was assigned in error.</t>
        </is>
      </c>
      <c r="D1058" t="n">
        <v>5</v>
      </c>
      <c r="E1058" t="inlineStr">
        <is>
          <t>MEDIUM</t>
        </is>
      </c>
      <c r="F1058" t="n">
        <v>2</v>
      </c>
      <c r="G1058" t="n">
        <v>2</v>
      </c>
      <c r="H1058" t="inlineStr">
        <is>
          <t>MEDIUM</t>
        </is>
      </c>
      <c r="I1058" t="n">
        <v>9</v>
      </c>
      <c r="J1058" t="inlineStr">
        <is>
          <t>NO</t>
        </is>
      </c>
      <c r="K1058" t="inlineStr">
        <is>
          <t>2026-02-26 00:15</t>
        </is>
      </c>
      <c r="L1058" t="inlineStr">
        <is>
          <t>CHECK_VENDOR</t>
        </is>
      </c>
      <c r="M1058" t="inlineStr">
        <is>
          <t>See CVE details</t>
        </is>
      </c>
      <c r="N1058" t="inlineStr">
        <is>
          <t>P4</t>
        </is>
      </c>
      <c r="O1058" t="inlineStr">
        <is>
          <t>CVE - IP enrichment n/a</t>
        </is>
      </c>
      <c r="P1058" t="n">
        <v>0</v>
      </c>
      <c r="Q1058" t="n">
        <v>0</v>
      </c>
      <c r="R1058" t="inlineStr">
        <is>
          <t>T1190:Exploit Public-Facing Application</t>
        </is>
      </c>
      <c r="S1058" t="n">
        <v>1</v>
      </c>
      <c r="T1058" t="inlineStr">
        <is>
          <t>LOW (40%)</t>
        </is>
      </c>
      <c r="U1058" t="inlineStr">
        <is>
          <t>UNLIKELY</t>
        </is>
      </c>
      <c r="V1058" t="inlineStr">
        <is>
          <t>CHECK_VENDOR</t>
        </is>
      </c>
      <c r="W1058" t="inlineStr">
        <is>
          <t>https://nvd.nist.gov/vuln/detail/CVE-2026-27163</t>
        </is>
      </c>
      <c r="X1058" t="inlineStr">
        <is>
          <t>NONE</t>
        </is>
      </c>
      <c r="Y1058" t="n">
        <v>0</v>
      </c>
      <c r="Z1058" t="inlineStr"/>
      <c r="AA1058" t="inlineStr">
        <is>
          <t>https://nvd.nist.gov/vuln/detail/CVE-2026-27163</t>
        </is>
      </c>
    </row>
    <row r="1059">
      <c r="A1059" t="inlineStr">
        <is>
          <t>CVE</t>
        </is>
      </c>
      <c r="B1059" t="inlineStr">
        <is>
          <t>CVE-2026-27741</t>
        </is>
      </c>
      <c r="C1059" t="inlineStr">
        <is>
          <t>Bludit version 3.16.1 contains a cross-site request forgery (CSRF) vulnerability in the /admin/uninstall-plugin/ and /admin/install-theme/ endpoints. The application does not implement anti-CSRF tokens or other request origin validation mechanisms for these administrative actions. An attacker can induce an authenticated administrator to visit a malicious page that silently submits crafted requests, resulting in unauthorized plugin uninstallation or theme installation. This may lead to loss of fu</t>
        </is>
      </c>
      <c r="D1059" t="n">
        <v>4.3</v>
      </c>
      <c r="E1059" t="inlineStr">
        <is>
          <t>MEDIUM</t>
        </is>
      </c>
      <c r="F1059" t="n">
        <v>2</v>
      </c>
      <c r="G1059" t="n">
        <v>2</v>
      </c>
      <c r="H1059" t="inlineStr">
        <is>
          <t>MEDIUM</t>
        </is>
      </c>
      <c r="I1059" t="n">
        <v>8.300000000000001</v>
      </c>
      <c r="J1059" t="inlineStr">
        <is>
          <t>NO</t>
        </is>
      </c>
      <c r="K1059" t="inlineStr">
        <is>
          <t>2026-02-26 00:15</t>
        </is>
      </c>
      <c r="L1059" t="inlineStr">
        <is>
          <t>CHECK_VENDOR</t>
        </is>
      </c>
      <c r="M1059" t="inlineStr">
        <is>
          <t>See CVE details</t>
        </is>
      </c>
      <c r="N1059" t="inlineStr">
        <is>
          <t>P4</t>
        </is>
      </c>
      <c r="O1059" t="inlineStr">
        <is>
          <t>CVE - IP enrichment n/a</t>
        </is>
      </c>
      <c r="P1059" t="n">
        <v>0.0003</v>
      </c>
      <c r="Q1059" t="n">
        <v>0.0779</v>
      </c>
      <c r="R1059" t="inlineStr">
        <is>
          <t>T1185:Browser Session Hijacking</t>
        </is>
      </c>
      <c r="S1059" t="n">
        <v>1</v>
      </c>
      <c r="T1059" t="inlineStr">
        <is>
          <t>LOW (40%)</t>
        </is>
      </c>
      <c r="U1059" t="inlineStr">
        <is>
          <t>UNLIKELY</t>
        </is>
      </c>
      <c r="V1059" t="inlineStr">
        <is>
          <t>CHECK_VENDOR</t>
        </is>
      </c>
      <c r="W1059" t="inlineStr">
        <is>
          <t>https://nvd.nist.gov/vuln/detail/CVE-2026-27741</t>
        </is>
      </c>
      <c r="X1059" t="inlineStr">
        <is>
          <t>NONE</t>
        </is>
      </c>
      <c r="Y1059" t="n">
        <v>0</v>
      </c>
      <c r="Z1059" t="inlineStr"/>
      <c r="AA1059" t="inlineStr">
        <is>
          <t>https://nvd.nist.gov/vuln/detail/CVE-2026-27741</t>
        </is>
      </c>
    </row>
    <row r="1060">
      <c r="A1060" t="inlineStr">
        <is>
          <t>CVE</t>
        </is>
      </c>
      <c r="B1060" t="inlineStr">
        <is>
          <t>CVE-2026-27742</t>
        </is>
      </c>
      <c r="C1060" t="inlineStr">
        <is>
          <t>Bludit version 3.16.2 contains a stored cross-site scripting (XSS) vulnerability in the post content functionality. The application performs client-side sanitation of content input but does not enforce equivalent sanitation on the server side. An authenticated user can inject arbitrary JavaScript into the content field of a post, which is stored and later rendered to other users without proper output encoding. When viewed, the injected script executes in the context of the victim’s browser, allo</t>
        </is>
      </c>
      <c r="D1060" t="n">
        <v>5.4</v>
      </c>
      <c r="E1060" t="inlineStr">
        <is>
          <t>MEDIUM</t>
        </is>
      </c>
      <c r="F1060" t="n">
        <v>2</v>
      </c>
      <c r="G1060" t="n">
        <v>2</v>
      </c>
      <c r="H1060" t="inlineStr">
        <is>
          <t>MEDIUM</t>
        </is>
      </c>
      <c r="I1060" t="n">
        <v>9.4</v>
      </c>
      <c r="J1060" t="inlineStr">
        <is>
          <t>NO</t>
        </is>
      </c>
      <c r="K1060" t="inlineStr">
        <is>
          <t>2026-02-26 00:15</t>
        </is>
      </c>
      <c r="L1060" t="inlineStr">
        <is>
          <t>CHECK_VENDOR</t>
        </is>
      </c>
      <c r="M1060" t="inlineStr">
        <is>
          <t>See CVE details</t>
        </is>
      </c>
      <c r="N1060" t="inlineStr">
        <is>
          <t>P4</t>
        </is>
      </c>
      <c r="O1060" t="inlineStr">
        <is>
          <t>CVE - IP enrichment n/a</t>
        </is>
      </c>
      <c r="P1060" t="n">
        <v>0</v>
      </c>
      <c r="Q1060" t="n">
        <v>0</v>
      </c>
      <c r="R1060" t="inlineStr">
        <is>
          <t>T1189:Drive-by Compromise | T1190:Exploit Public-Facing Application | T1552:Unsecured Credentials</t>
        </is>
      </c>
      <c r="S1060" t="n">
        <v>1</v>
      </c>
      <c r="T1060" t="inlineStr">
        <is>
          <t>LOW (40%)</t>
        </is>
      </c>
      <c r="U1060" t="inlineStr">
        <is>
          <t>UNLIKELY</t>
        </is>
      </c>
      <c r="V1060" t="inlineStr">
        <is>
          <t>CHECK_VENDOR</t>
        </is>
      </c>
      <c r="W1060" t="inlineStr">
        <is>
          <t>https://nvd.nist.gov/vuln/detail/CVE-2026-27742</t>
        </is>
      </c>
      <c r="X1060" t="inlineStr">
        <is>
          <t>NONE</t>
        </is>
      </c>
      <c r="Y1060" t="n">
        <v>0</v>
      </c>
      <c r="Z1060" t="inlineStr"/>
      <c r="AA1060" t="inlineStr">
        <is>
          <t>https://nvd.nist.gov/vuln/detail/CVE-2026-27742</t>
        </is>
      </c>
    </row>
    <row r="1061">
      <c r="A1061" t="inlineStr">
        <is>
          <t>CVE</t>
        </is>
      </c>
      <c r="B1061" t="inlineStr">
        <is>
          <t>CVE-2026-3028</t>
        </is>
      </c>
      <c r="C1061" t="inlineStr">
        <is>
          <t>A vulnerability was determined in erzhongxmu JEEWMS up to 3.7. This vulnerability affects the function doAdd of the file src/main/java/com/jeecg/demo/controller/JeecgListDemoController.java. This manipulation of the argument Name causes cross site scripting. The attack may be initiated remotely. The exploit has been publicly disclosed and may be utilized. The vendor was contacted early about this disclosure but did not respond in any way.</t>
        </is>
      </c>
      <c r="D1061" t="n">
        <v>4.3</v>
      </c>
      <c r="E1061" t="inlineStr">
        <is>
          <t>MEDIUM</t>
        </is>
      </c>
      <c r="F1061" t="n">
        <v>2</v>
      </c>
      <c r="G1061" t="n">
        <v>2</v>
      </c>
      <c r="H1061" t="inlineStr">
        <is>
          <t>MEDIUM</t>
        </is>
      </c>
      <c r="I1061" t="n">
        <v>8.300000000000001</v>
      </c>
      <c r="J1061" t="inlineStr">
        <is>
          <t>NO</t>
        </is>
      </c>
      <c r="K1061" t="inlineStr">
        <is>
          <t>2026-02-26 00:15</t>
        </is>
      </c>
      <c r="L1061" t="inlineStr">
        <is>
          <t>CHECK_VENDOR</t>
        </is>
      </c>
      <c r="M1061" t="inlineStr">
        <is>
          <t>See CVE details</t>
        </is>
      </c>
      <c r="N1061" t="inlineStr">
        <is>
          <t>P4</t>
        </is>
      </c>
      <c r="O1061" t="inlineStr">
        <is>
          <t>CVE - IP enrichment n/a</t>
        </is>
      </c>
      <c r="P1061" t="n">
        <v>0</v>
      </c>
      <c r="Q1061" t="n">
        <v>0</v>
      </c>
      <c r="R1061" t="inlineStr">
        <is>
          <t>T1189:Drive-by Compromise</t>
        </is>
      </c>
      <c r="S1061" t="n">
        <v>1</v>
      </c>
      <c r="T1061" t="inlineStr">
        <is>
          <t>LOW (40%)</t>
        </is>
      </c>
      <c r="U1061" t="inlineStr">
        <is>
          <t>UNLIKELY</t>
        </is>
      </c>
      <c r="V1061" t="inlineStr">
        <is>
          <t>CHECK_VENDOR</t>
        </is>
      </c>
      <c r="W1061" t="inlineStr">
        <is>
          <t>https://nvd.nist.gov/vuln/detail/CVE-2026-3028</t>
        </is>
      </c>
      <c r="X1061" t="inlineStr">
        <is>
          <t>NONE</t>
        </is>
      </c>
      <c r="Y1061" t="n">
        <v>0</v>
      </c>
      <c r="Z1061" t="inlineStr"/>
      <c r="AA1061" t="inlineStr">
        <is>
          <t>https://nvd.nist.gov/vuln/detail/CVE-2026-3028</t>
        </is>
      </c>
    </row>
    <row r="1062">
      <c r="A1062" t="inlineStr">
        <is>
          <t>CVE</t>
        </is>
      </c>
      <c r="B1062" t="inlineStr">
        <is>
          <t>CVE-2026-3040</t>
        </is>
      </c>
      <c r="C1062" t="inlineStr">
        <is>
          <t>A vulnerability was identified in DrayTek Vigor 300B up to 1.5.1.6. This affects the function cgiGetFile of the file /cgi-bin/mainfunction.cgi/uploadlangs of the component Web Management Interface. The manipulation of the argument File leads to os command injection. The attack may be initiated remotely. The exploit is publicly available and might be used. The vendor confirms that "300B is EoL, and this is an authenticated vulnerability. We don't plan to fix it." This vulnerability only affects p</t>
        </is>
      </c>
      <c r="D1062" t="n">
        <v>4.7</v>
      </c>
      <c r="E1062" t="inlineStr">
        <is>
          <t>MEDIUM</t>
        </is>
      </c>
      <c r="F1062" t="n">
        <v>2</v>
      </c>
      <c r="G1062" t="n">
        <v>2</v>
      </c>
      <c r="H1062" t="inlineStr">
        <is>
          <t>MEDIUM</t>
        </is>
      </c>
      <c r="I1062" t="n">
        <v>8.699999999999999</v>
      </c>
      <c r="J1062" t="inlineStr">
        <is>
          <t>NO</t>
        </is>
      </c>
      <c r="K1062" t="inlineStr">
        <is>
          <t>2026-02-26 00:15</t>
        </is>
      </c>
      <c r="L1062" t="inlineStr">
        <is>
          <t>CHECK_VENDOR</t>
        </is>
      </c>
      <c r="M1062" t="inlineStr">
        <is>
          <t>See CVE details</t>
        </is>
      </c>
      <c r="N1062" t="inlineStr">
        <is>
          <t>P4</t>
        </is>
      </c>
      <c r="O1062" t="inlineStr">
        <is>
          <t>CVE - IP enrichment n/a</t>
        </is>
      </c>
      <c r="P1062" t="n">
        <v>0</v>
      </c>
      <c r="Q1062" t="n">
        <v>0</v>
      </c>
      <c r="R1062" t="inlineStr">
        <is>
          <t>T1059:Command and Scripting Interpreter</t>
        </is>
      </c>
      <c r="S1062" t="n">
        <v>1</v>
      </c>
      <c r="T1062" t="inlineStr">
        <is>
          <t>LOW (40%)</t>
        </is>
      </c>
      <c r="U1062" t="inlineStr">
        <is>
          <t>UNLIKELY</t>
        </is>
      </c>
      <c r="V1062" t="inlineStr">
        <is>
          <t>CHECK_VENDOR</t>
        </is>
      </c>
      <c r="W1062" t="inlineStr">
        <is>
          <t>https://nvd.nist.gov/vuln/detail/CVE-2026-3040</t>
        </is>
      </c>
      <c r="X1062" t="inlineStr">
        <is>
          <t>NONE</t>
        </is>
      </c>
      <c r="Y1062" t="n">
        <v>0</v>
      </c>
      <c r="Z1062" t="inlineStr"/>
      <c r="AA1062" t="inlineStr">
        <is>
          <t>https://nvd.nist.gov/vuln/detail/CVE-2026-3040</t>
        </is>
      </c>
    </row>
    <row r="1063">
      <c r="A1063" t="inlineStr">
        <is>
          <t>CVE</t>
        </is>
      </c>
      <c r="B1063" t="inlineStr">
        <is>
          <t>CVE-2026-3041</t>
        </is>
      </c>
      <c r="C1063" t="inlineStr">
        <is>
          <t>A security vulnerability has been detected in xingfuggz BaykeShop up to 1.3.20. Impacted is an unknown function of the file src/baykeshop/contrib/article/templates/baykeshop/sidebar/custom.html of the component Article Sidebar Module. Such manipulation of the argument sidebar.content leads to cross site scripting. The attack can be executed remotely. The exploit has been disclosed publicly and may be used. The project was informed of the problem early through an issue report but has not responde</t>
        </is>
      </c>
      <c r="D1063" t="n">
        <v>2.4</v>
      </c>
      <c r="E1063" t="inlineStr">
        <is>
          <t>LOW</t>
        </is>
      </c>
      <c r="F1063" t="n">
        <v>2</v>
      </c>
      <c r="G1063" t="n">
        <v>1</v>
      </c>
      <c r="H1063" t="inlineStr">
        <is>
          <t>LOW</t>
        </is>
      </c>
      <c r="I1063" t="n">
        <v>4.4</v>
      </c>
      <c r="J1063" t="inlineStr">
        <is>
          <t>NO</t>
        </is>
      </c>
      <c r="K1063" t="inlineStr">
        <is>
          <t>2026-02-26 00:15</t>
        </is>
      </c>
      <c r="L1063" t="inlineStr">
        <is>
          <t>CHECK_VENDOR</t>
        </is>
      </c>
      <c r="M1063" t="inlineStr">
        <is>
          <t>See CVE details</t>
        </is>
      </c>
      <c r="N1063" t="inlineStr">
        <is>
          <t>P4</t>
        </is>
      </c>
      <c r="O1063" t="inlineStr">
        <is>
          <t>CVE - IP enrichment n/a</t>
        </is>
      </c>
      <c r="P1063" t="n">
        <v>0.0001</v>
      </c>
      <c r="Q1063" t="n">
        <v>0.0124</v>
      </c>
      <c r="R1063" t="inlineStr">
        <is>
          <t>T1189:Drive-by Compromise</t>
        </is>
      </c>
      <c r="S1063" t="n">
        <v>1</v>
      </c>
      <c r="T1063" t="inlineStr">
        <is>
          <t>LOW (40%)</t>
        </is>
      </c>
      <c r="U1063" t="inlineStr">
        <is>
          <t>UNLIKELY</t>
        </is>
      </c>
      <c r="V1063" t="inlineStr">
        <is>
          <t>CHECK_VENDOR</t>
        </is>
      </c>
      <c r="W1063" t="inlineStr">
        <is>
          <t>https://nvd.nist.gov/vuln/detail/CVE-2026-3041</t>
        </is>
      </c>
      <c r="X1063" t="inlineStr">
        <is>
          <t>NONE</t>
        </is>
      </c>
      <c r="Y1063" t="n">
        <v>0</v>
      </c>
      <c r="Z1063" t="inlineStr"/>
      <c r="AA1063" t="inlineStr">
        <is>
          <t>https://nvd.nist.gov/vuln/detail/CVE-2026-3041</t>
        </is>
      </c>
    </row>
    <row r="1064">
      <c r="A1064" t="inlineStr">
        <is>
          <t>CVE</t>
        </is>
      </c>
      <c r="B1064" t="inlineStr">
        <is>
          <t>CVE-2026-21665</t>
        </is>
      </c>
      <c r="C1064" t="inlineStr">
        <is>
          <t>The Print Service component of Fiserv Originate Loans Peripherals (formerly Velocity Services) in unsupported version 2021.2.4 (build 4.7.3155.0011) uses deprecated .NET Remoting TCP channels that allow unsafe deserialization of untrusted data. When these services are exposed to an untrusted network in a client-managed deployment, an unauthenticated attacker can achieve remote code execution. Version 2021.2.4 is no longer supported by Fiserv. Customers should upgrade to a currently supported rel</t>
        </is>
      </c>
      <c r="D1064" t="n">
        <v>8.5</v>
      </c>
      <c r="E1064" t="inlineStr">
        <is>
          <t>HIGH</t>
        </is>
      </c>
      <c r="F1064" t="n">
        <v>2</v>
      </c>
      <c r="G1064" t="n">
        <v>3</v>
      </c>
      <c r="H1064" t="inlineStr">
        <is>
          <t>HIGH</t>
        </is>
      </c>
      <c r="I1064" t="n">
        <v>14.5</v>
      </c>
      <c r="J1064" t="inlineStr">
        <is>
          <t>NO</t>
        </is>
      </c>
      <c r="K1064" t="inlineStr">
        <is>
          <t>2026-02-26 00:15</t>
        </is>
      </c>
      <c r="L1064" t="inlineStr">
        <is>
          <t>CHECK_VENDOR</t>
        </is>
      </c>
      <c r="M1064" t="inlineStr">
        <is>
          <t>See CVE details</t>
        </is>
      </c>
      <c r="N1064" t="inlineStr">
        <is>
          <t>P3</t>
        </is>
      </c>
      <c r="O1064" t="inlineStr">
        <is>
          <t>CVE - IP enrichment n/a</t>
        </is>
      </c>
      <c r="P1064" t="n">
        <v>0</v>
      </c>
      <c r="Q1064" t="n">
        <v>0</v>
      </c>
      <c r="R1064" t="inlineStr">
        <is>
          <t>T1059:Command and Scripting Interpreter | T1190:Exploit Public-Facing Application | T1210:Exploitation of Remote Services</t>
        </is>
      </c>
      <c r="S1064" t="n">
        <v>1</v>
      </c>
      <c r="T1064" t="inlineStr">
        <is>
          <t>LOW (40%)</t>
        </is>
      </c>
      <c r="U1064" t="inlineStr">
        <is>
          <t>UNLIKELY</t>
        </is>
      </c>
      <c r="V1064" t="inlineStr">
        <is>
          <t>CHECK_VENDOR</t>
        </is>
      </c>
      <c r="W1064" t="inlineStr">
        <is>
          <t>https://nvd.nist.gov/vuln/detail/CVE-2026-21665</t>
        </is>
      </c>
      <c r="X1064" t="inlineStr">
        <is>
          <t>NONE</t>
        </is>
      </c>
      <c r="Y1064" t="n">
        <v>0</v>
      </c>
      <c r="Z1064" t="inlineStr"/>
      <c r="AA1064" t="inlineStr">
        <is>
          <t>https://nvd.nist.gov/vuln/detail/CVE-2026-21665</t>
        </is>
      </c>
    </row>
    <row r="1065">
      <c r="A1065" t="inlineStr">
        <is>
          <t>CVE</t>
        </is>
      </c>
      <c r="B1065" t="inlineStr">
        <is>
          <t>CVE-2026-3061</t>
        </is>
      </c>
      <c r="C1065" t="inlineStr">
        <is>
          <t>Out of bounds read in Media in Google Chrome prior to 145.0.7632.116 allowed a remote attacker to perform an out of bounds memory read via a crafted HTML page. (Chromium security severity: High)</t>
        </is>
      </c>
      <c r="D1065" t="n">
        <v>9.1</v>
      </c>
      <c r="E1065" t="inlineStr">
        <is>
          <t>CRITICAL</t>
        </is>
      </c>
      <c r="F1065" t="n">
        <v>2</v>
      </c>
      <c r="G1065" t="n">
        <v>3</v>
      </c>
      <c r="H1065" t="inlineStr">
        <is>
          <t>HIGH</t>
        </is>
      </c>
      <c r="I1065" t="n">
        <v>15.1</v>
      </c>
      <c r="J1065" t="inlineStr">
        <is>
          <t>NO</t>
        </is>
      </c>
      <c r="K1065" t="inlineStr">
        <is>
          <t>2026-02-26 00:15</t>
        </is>
      </c>
      <c r="L1065" t="inlineStr">
        <is>
          <t>CHECK_VENDOR</t>
        </is>
      </c>
      <c r="M1065" t="inlineStr">
        <is>
          <t>microsoft windows - | linux linux_kernel - | apple macos -</t>
        </is>
      </c>
      <c r="N1065" t="inlineStr">
        <is>
          <t>P3</t>
        </is>
      </c>
      <c r="O1065" t="inlineStr">
        <is>
          <t>CVE - IP enrichment n/a</t>
        </is>
      </c>
      <c r="P1065" t="n">
        <v>0.0001</v>
      </c>
      <c r="Q1065" t="n">
        <v>0.0171</v>
      </c>
      <c r="R1065" t="inlineStr">
        <is>
          <t>T1203:Exploitation for Client Execution</t>
        </is>
      </c>
      <c r="S1065" t="n">
        <v>1</v>
      </c>
      <c r="T1065" t="inlineStr">
        <is>
          <t>LOW (40%)</t>
        </is>
      </c>
      <c r="U1065" t="inlineStr">
        <is>
          <t>UNLIKELY</t>
        </is>
      </c>
      <c r="V1065" t="inlineStr">
        <is>
          <t>CHECK_VENDOR</t>
        </is>
      </c>
      <c r="W1065" t="inlineStr">
        <is>
          <t>https://nvd.nist.gov/vuln/detail/CVE-2026-3061</t>
        </is>
      </c>
      <c r="X1065" t="inlineStr">
        <is>
          <t>NONE</t>
        </is>
      </c>
      <c r="Y1065" t="n">
        <v>0</v>
      </c>
      <c r="Z1065" t="inlineStr"/>
      <c r="AA1065" t="inlineStr">
        <is>
          <t>https://nvd.nist.gov/vuln/detail/CVE-2026-3061</t>
        </is>
      </c>
    </row>
    <row r="1066">
      <c r="A1066" t="inlineStr">
        <is>
          <t>CVE</t>
        </is>
      </c>
      <c r="B1066" t="inlineStr">
        <is>
          <t>CVE-2026-3062</t>
        </is>
      </c>
      <c r="C1066" t="inlineStr">
        <is>
          <t>Out of bounds read and write in Tint in Google Chrome on Mac prior to 145.0.7632.116 allowed a remote attacker to perform out of bounds memory access via a crafted HTML page. (Chromium security severity: High)</t>
        </is>
      </c>
      <c r="D1066" t="n">
        <v>9.800000000000001</v>
      </c>
      <c r="E1066" t="inlineStr">
        <is>
          <t>CRITICAL</t>
        </is>
      </c>
      <c r="F1066" t="n">
        <v>2</v>
      </c>
      <c r="G1066" t="n">
        <v>3</v>
      </c>
      <c r="H1066" t="inlineStr">
        <is>
          <t>HIGH</t>
        </is>
      </c>
      <c r="I1066" t="n">
        <v>15.8</v>
      </c>
      <c r="J1066" t="inlineStr">
        <is>
          <t>NO</t>
        </is>
      </c>
      <c r="K1066" t="inlineStr">
        <is>
          <t>2026-02-26 00:15</t>
        </is>
      </c>
      <c r="L1066" t="inlineStr">
        <is>
          <t>CHECK_VENDOR</t>
        </is>
      </c>
      <c r="M1066" t="inlineStr">
        <is>
          <t>microsoft windows - | linux linux_kernel - | apple macos -</t>
        </is>
      </c>
      <c r="N1066" t="inlineStr">
        <is>
          <t>P3</t>
        </is>
      </c>
      <c r="O1066" t="inlineStr">
        <is>
          <t>CVE - IP enrichment n/a</t>
        </is>
      </c>
      <c r="P1066" t="n">
        <v>0</v>
      </c>
      <c r="Q1066" t="n">
        <v>0</v>
      </c>
      <c r="R1066" t="inlineStr">
        <is>
          <t>T1203:Exploitation for Client Execution</t>
        </is>
      </c>
      <c r="S1066" t="n">
        <v>1</v>
      </c>
      <c r="T1066" t="inlineStr">
        <is>
          <t>LOW (40%)</t>
        </is>
      </c>
      <c r="U1066" t="inlineStr">
        <is>
          <t>UNLIKELY</t>
        </is>
      </c>
      <c r="V1066" t="inlineStr">
        <is>
          <t>CHECK_VENDOR</t>
        </is>
      </c>
      <c r="W1066" t="inlineStr">
        <is>
          <t>https://nvd.nist.gov/vuln/detail/CVE-2026-3062</t>
        </is>
      </c>
      <c r="X1066" t="inlineStr">
        <is>
          <t>NONE</t>
        </is>
      </c>
      <c r="Y1066" t="n">
        <v>0</v>
      </c>
      <c r="Z1066" t="inlineStr"/>
      <c r="AA1066" t="inlineStr">
        <is>
          <t>https://nvd.nist.gov/vuln/detail/CVE-2026-3062</t>
        </is>
      </c>
    </row>
    <row r="1067">
      <c r="A1067" t="inlineStr">
        <is>
          <t>CVE</t>
        </is>
      </c>
      <c r="B1067" t="inlineStr">
        <is>
          <t>CVE-2026-3063</t>
        </is>
      </c>
      <c r="C1067" t="inlineStr">
        <is>
          <t>Inappropriate implementation in DevTools in Google Chrome prior to 145.0.7632.116 allowed an attacker who convinced a user to install a malicious extension to inject scripts or HTML into a privileged page via DevTools. (Chromium security severity: High)</t>
        </is>
      </c>
      <c r="D1067" t="n">
        <v>5.4</v>
      </c>
      <c r="E1067" t="inlineStr">
        <is>
          <t>MEDIUM</t>
        </is>
      </c>
      <c r="F1067" t="n">
        <v>2</v>
      </c>
      <c r="G1067" t="n">
        <v>2</v>
      </c>
      <c r="H1067" t="inlineStr">
        <is>
          <t>MEDIUM</t>
        </is>
      </c>
      <c r="I1067" t="n">
        <v>9.4</v>
      </c>
      <c r="J1067" t="inlineStr">
        <is>
          <t>NO</t>
        </is>
      </c>
      <c r="K1067" t="inlineStr">
        <is>
          <t>2026-02-26 00:15</t>
        </is>
      </c>
      <c r="L1067" t="inlineStr">
        <is>
          <t>CHECK_VENDOR</t>
        </is>
      </c>
      <c r="M1067" t="inlineStr">
        <is>
          <t>microsoft windows - | linux linux_kernel - | apple macos -</t>
        </is>
      </c>
      <c r="N1067" t="inlineStr">
        <is>
          <t>P4</t>
        </is>
      </c>
      <c r="O1067" t="inlineStr">
        <is>
          <t>CVE - IP enrichment n/a</t>
        </is>
      </c>
      <c r="P1067" t="n">
        <v>0</v>
      </c>
      <c r="Q1067" t="n">
        <v>0</v>
      </c>
      <c r="R1067" t="inlineStr">
        <is>
          <t>T1190:Exploit Public-Facing Application</t>
        </is>
      </c>
      <c r="S1067" t="n">
        <v>1</v>
      </c>
      <c r="T1067" t="inlineStr">
        <is>
          <t>LOW (40%)</t>
        </is>
      </c>
      <c r="U1067" t="inlineStr">
        <is>
          <t>UNLIKELY</t>
        </is>
      </c>
      <c r="V1067" t="inlineStr">
        <is>
          <t>CHECK_VENDOR</t>
        </is>
      </c>
      <c r="W1067" t="inlineStr">
        <is>
          <t>https://nvd.nist.gov/vuln/detail/CVE-2026-3063</t>
        </is>
      </c>
      <c r="X1067" t="inlineStr">
        <is>
          <t>NONE</t>
        </is>
      </c>
      <c r="Y1067" t="n">
        <v>0</v>
      </c>
      <c r="Z1067" t="inlineStr"/>
      <c r="AA1067" t="inlineStr">
        <is>
          <t>https://nvd.nist.gov/vuln/detail/CVE-2026-3063</t>
        </is>
      </c>
    </row>
    <row r="1068">
      <c r="A1068" t="inlineStr">
        <is>
          <t>CVE</t>
        </is>
      </c>
      <c r="B1068" t="inlineStr">
        <is>
          <t>CVE-2024-58041</t>
        </is>
      </c>
      <c r="C1068" t="inlineStr">
        <is>
          <t>Smolder versions through 1.51 for Perl uses insecure rand() function for cryptographic functions.
Smolder 1.51 and earlier for Perl uses the rand() function as the default source of entropy, which is not cryptographically secure, for cryptographic functions.
Specifically Smolder::DB::Developer uses the Data::Random library which specifically states that it is "Useful mostly for test programs". Data::Random uses the rand() function.</t>
        </is>
      </c>
      <c r="D1068" t="n">
        <v>9.1</v>
      </c>
      <c r="E1068" t="inlineStr">
        <is>
          <t>CRITICAL</t>
        </is>
      </c>
      <c r="F1068" t="n">
        <v>2</v>
      </c>
      <c r="G1068" t="n">
        <v>3</v>
      </c>
      <c r="H1068" t="inlineStr">
        <is>
          <t>HIGH</t>
        </is>
      </c>
      <c r="I1068" t="n">
        <v>15.1</v>
      </c>
      <c r="J1068" t="inlineStr">
        <is>
          <t>NO</t>
        </is>
      </c>
      <c r="K1068" t="inlineStr">
        <is>
          <t>2026-02-26 00:15</t>
        </is>
      </c>
      <c r="L1068" t="inlineStr">
        <is>
          <t>CHECK_VENDOR</t>
        </is>
      </c>
      <c r="M1068" t="inlineStr">
        <is>
          <t>See CVE details</t>
        </is>
      </c>
      <c r="N1068" t="inlineStr">
        <is>
          <t>P3</t>
        </is>
      </c>
      <c r="O1068" t="inlineStr">
        <is>
          <t>CVE - IP enrichment n/a</t>
        </is>
      </c>
      <c r="P1068" t="n">
        <v>0</v>
      </c>
      <c r="Q1068" t="n">
        <v>0</v>
      </c>
      <c r="R1068" t="inlineStr">
        <is>
          <t>T1190:Exploit Public-Facing Application | T1600:Weaken Encryption</t>
        </is>
      </c>
      <c r="S1068" t="n">
        <v>1</v>
      </c>
      <c r="T1068" t="inlineStr">
        <is>
          <t>LOW (40%)</t>
        </is>
      </c>
      <c r="U1068" t="inlineStr">
        <is>
          <t>UNLIKELY</t>
        </is>
      </c>
      <c r="V1068" t="inlineStr">
        <is>
          <t>CHECK_VENDOR</t>
        </is>
      </c>
      <c r="W1068" t="inlineStr">
        <is>
          <t>https://nvd.nist.gov/vuln/detail/CVE-2024-58041</t>
        </is>
      </c>
      <c r="X1068" t="inlineStr">
        <is>
          <t>NONE</t>
        </is>
      </c>
      <c r="Y1068" t="n">
        <v>0</v>
      </c>
      <c r="Z1068" t="inlineStr"/>
      <c r="AA1068" t="inlineStr">
        <is>
          <t>https://nvd.nist.gov/vuln/detail/CVE-2024-58041</t>
        </is>
      </c>
    </row>
    <row r="1069">
      <c r="A1069" t="inlineStr">
        <is>
          <t>CVE</t>
        </is>
      </c>
      <c r="B1069" t="inlineStr">
        <is>
          <t>CVE-2025-69250</t>
        </is>
      </c>
      <c r="C1069" t="inlineStr">
        <is>
          <t xml:space="preserve">free5gc UDM provides Unified Data Management (UDM) for free5GC, an open-source project for 5th generation (5G) mobile core networks. In versions up to and including 1.4.1, the service reliably leaks detailed internal error messages (e.g., strconv.ParseInt parsing errors) to remote clients when processing invalid pduSessionId inputs. This exposes implementation details and can be used for service fingerprinting. All deployments of free5GC using the UDM Nudm_UECM DELETE service may be vulnerable. </t>
        </is>
      </c>
      <c r="D1069" t="n">
        <v>7.5</v>
      </c>
      <c r="E1069" t="inlineStr">
        <is>
          <t>HIGH</t>
        </is>
      </c>
      <c r="F1069" t="n">
        <v>2</v>
      </c>
      <c r="G1069" t="n">
        <v>3</v>
      </c>
      <c r="H1069" t="inlineStr">
        <is>
          <t>HIGH</t>
        </is>
      </c>
      <c r="I1069" t="n">
        <v>13.5</v>
      </c>
      <c r="J1069" t="inlineStr">
        <is>
          <t>NO</t>
        </is>
      </c>
      <c r="K1069" t="inlineStr">
        <is>
          <t>2026-02-26 00:15</t>
        </is>
      </c>
      <c r="L1069" t="inlineStr">
        <is>
          <t>YES</t>
        </is>
      </c>
      <c r="M1069" t="inlineStr">
        <is>
          <t>free5gc udm *</t>
        </is>
      </c>
      <c r="N1069" t="inlineStr">
        <is>
          <t>P3</t>
        </is>
      </c>
      <c r="O1069" t="inlineStr">
        <is>
          <t>CVE - IP enrichment n/a</t>
        </is>
      </c>
      <c r="P1069" t="n">
        <v>0</v>
      </c>
      <c r="Q1069" t="n">
        <v>0</v>
      </c>
      <c r="R1069" t="inlineStr">
        <is>
          <t>T1190:Exploit Public-Facing Application</t>
        </is>
      </c>
      <c r="S1069" t="n">
        <v>1</v>
      </c>
      <c r="T1069" t="inlineStr">
        <is>
          <t>LOW (40%)</t>
        </is>
      </c>
      <c r="U1069" t="inlineStr">
        <is>
          <t>UNLIKELY</t>
        </is>
      </c>
      <c r="V1069" t="inlineStr">
        <is>
          <t>PATCH_AVAILABLE</t>
        </is>
      </c>
      <c r="W1069" t="inlineStr">
        <is>
          <t>https://nvd.nist.gov/vuln/detail/CVE-2025-69250</t>
        </is>
      </c>
      <c r="X1069" t="inlineStr">
        <is>
          <t>NONE</t>
        </is>
      </c>
      <c r="Y1069" t="n">
        <v>0</v>
      </c>
      <c r="Z1069" t="inlineStr"/>
      <c r="AA1069" t="inlineStr">
        <is>
          <t>https://nvd.nist.gov/vuln/detail/CVE-2025-69250</t>
        </is>
      </c>
    </row>
    <row r="1070">
      <c r="A1070" t="inlineStr">
        <is>
          <t>CVE</t>
        </is>
      </c>
      <c r="B1070" t="inlineStr">
        <is>
          <t>CVE-2025-69251</t>
        </is>
      </c>
      <c r="C1070" t="inlineStr">
        <is>
          <t>free5gc UDM provides Unified Data Management (UDM) for free5GC, an open-source project for 5th generation (5G) mobile core networks. In versions up to and including 1.4.1, remote attackers can inject control characters (e.g., %00) into the ueId parameter, triggering internal URL parsing errors (net/url: invalid control character). This exposes system implementation details and can aid in service fingerprinting. All deployments of free5GC using the UDM Nudm_UECM service may be affected. free5gc/u</t>
        </is>
      </c>
      <c r="D1070" t="n">
        <v>5.3</v>
      </c>
      <c r="E1070" t="inlineStr">
        <is>
          <t>MEDIUM</t>
        </is>
      </c>
      <c r="F1070" t="n">
        <v>2</v>
      </c>
      <c r="G1070" t="n">
        <v>2</v>
      </c>
      <c r="H1070" t="inlineStr">
        <is>
          <t>MEDIUM</t>
        </is>
      </c>
      <c r="I1070" t="n">
        <v>9.300000000000001</v>
      </c>
      <c r="J1070" t="inlineStr">
        <is>
          <t>NO</t>
        </is>
      </c>
      <c r="K1070" t="inlineStr">
        <is>
          <t>2026-02-26 00:15</t>
        </is>
      </c>
      <c r="L1070" t="inlineStr">
        <is>
          <t>YES</t>
        </is>
      </c>
      <c r="M1070" t="inlineStr">
        <is>
          <t>free5gc udm *</t>
        </is>
      </c>
      <c r="N1070" t="inlineStr">
        <is>
          <t>P4</t>
        </is>
      </c>
      <c r="O1070" t="inlineStr">
        <is>
          <t>CVE - IP enrichment n/a</t>
        </is>
      </c>
      <c r="P1070" t="n">
        <v>0</v>
      </c>
      <c r="Q1070" t="n">
        <v>0</v>
      </c>
      <c r="R1070" t="inlineStr">
        <is>
          <t>T1190:Exploit Public-Facing Application</t>
        </is>
      </c>
      <c r="S1070" t="n">
        <v>1</v>
      </c>
      <c r="T1070" t="inlineStr">
        <is>
          <t>LOW (40%)</t>
        </is>
      </c>
      <c r="U1070" t="inlineStr">
        <is>
          <t>UNLIKELY</t>
        </is>
      </c>
      <c r="V1070" t="inlineStr">
        <is>
          <t>PATCH_AVAILABLE</t>
        </is>
      </c>
      <c r="W1070" t="inlineStr">
        <is>
          <t>https://nvd.nist.gov/vuln/detail/CVE-2025-69251</t>
        </is>
      </c>
      <c r="X1070" t="inlineStr">
        <is>
          <t>NONE</t>
        </is>
      </c>
      <c r="Y1070" t="n">
        <v>0</v>
      </c>
      <c r="Z1070" t="inlineStr"/>
      <c r="AA1070" t="inlineStr">
        <is>
          <t>https://nvd.nist.gov/vuln/detail/CVE-2025-69251</t>
        </is>
      </c>
    </row>
    <row r="1071">
      <c r="A1071" t="inlineStr">
        <is>
          <t>CVE</t>
        </is>
      </c>
      <c r="B1071" t="inlineStr">
        <is>
          <t>CVE-2025-69252</t>
        </is>
      </c>
      <c r="C1071" t="inlineStr">
        <is>
          <t>free5gc UDM provides Unified Data Management (UDM) for free5GC, an open-source project for 5th generation (5G) mobile core networks. Versions up to and including 1.4.1 have a NULL Pointer Dereference vulnerability. Remote unauthenticated attackers can trigger a service panic (Denial of Service) by sending a crafted PUT request with an unexpected ueId, crashing the UDM service. All deployments of free5GC using the UDM component may be affected. free5gc/udm pull request 76 contains a fix for the i</t>
        </is>
      </c>
      <c r="D1071" t="n">
        <v>7.5</v>
      </c>
      <c r="E1071" t="inlineStr">
        <is>
          <t>HIGH</t>
        </is>
      </c>
      <c r="F1071" t="n">
        <v>2</v>
      </c>
      <c r="G1071" t="n">
        <v>3</v>
      </c>
      <c r="H1071" t="inlineStr">
        <is>
          <t>HIGH</t>
        </is>
      </c>
      <c r="I1071" t="n">
        <v>13.5</v>
      </c>
      <c r="J1071" t="inlineStr">
        <is>
          <t>NO</t>
        </is>
      </c>
      <c r="K1071" t="inlineStr">
        <is>
          <t>2026-02-26 00:15</t>
        </is>
      </c>
      <c r="L1071" t="inlineStr">
        <is>
          <t>YES</t>
        </is>
      </c>
      <c r="M1071" t="inlineStr">
        <is>
          <t>free5gc udm *</t>
        </is>
      </c>
      <c r="N1071" t="inlineStr">
        <is>
          <t>P3</t>
        </is>
      </c>
      <c r="O1071" t="inlineStr">
        <is>
          <t>CVE - IP enrichment n/a</t>
        </is>
      </c>
      <c r="P1071" t="n">
        <v>0</v>
      </c>
      <c r="Q1071" t="n">
        <v>0</v>
      </c>
      <c r="R1071" t="inlineStr">
        <is>
          <t>T1499:Endpoint Denial of Service | T1190:Exploit Public-Facing Application</t>
        </is>
      </c>
      <c r="S1071" t="n">
        <v>1</v>
      </c>
      <c r="T1071" t="inlineStr">
        <is>
          <t>LOW (40%)</t>
        </is>
      </c>
      <c r="U1071" t="inlineStr">
        <is>
          <t>UNLIKELY</t>
        </is>
      </c>
      <c r="V1071" t="inlineStr">
        <is>
          <t>PATCH_AVAILABLE</t>
        </is>
      </c>
      <c r="W1071" t="inlineStr">
        <is>
          <t>https://nvd.nist.gov/vuln/detail/CVE-2025-69252</t>
        </is>
      </c>
      <c r="X1071" t="inlineStr">
        <is>
          <t>NONE</t>
        </is>
      </c>
      <c r="Y1071" t="n">
        <v>0</v>
      </c>
      <c r="Z1071" t="inlineStr"/>
      <c r="AA1071" t="inlineStr">
        <is>
          <t>https://nvd.nist.gov/vuln/detail/CVE-2025-69252</t>
        </is>
      </c>
    </row>
    <row r="1072">
      <c r="A1072" t="inlineStr">
        <is>
          <t>CVE</t>
        </is>
      </c>
      <c r="B1072" t="inlineStr">
        <is>
          <t>CVE-2026-3042</t>
        </is>
      </c>
      <c r="C1072" t="inlineStr">
        <is>
          <t>A vulnerability was detected in itsourcecode Event Management System 1.0. The affected element is an unknown function of the file /admin/index.php. Performing a manipulation of the argument ID results in sql injection. The attack is possible to be carried out remotely. The exploit is now public and may be used.</t>
        </is>
      </c>
      <c r="D1072" t="n">
        <v>7.3</v>
      </c>
      <c r="E1072" t="inlineStr">
        <is>
          <t>HIGH</t>
        </is>
      </c>
      <c r="F1072" t="n">
        <v>2</v>
      </c>
      <c r="G1072" t="n">
        <v>3</v>
      </c>
      <c r="H1072" t="inlineStr">
        <is>
          <t>HIGH</t>
        </is>
      </c>
      <c r="I1072" t="n">
        <v>13.3</v>
      </c>
      <c r="J1072" t="inlineStr">
        <is>
          <t>NO</t>
        </is>
      </c>
      <c r="K1072" t="inlineStr">
        <is>
          <t>2026-02-26 00:15</t>
        </is>
      </c>
      <c r="L1072" t="inlineStr">
        <is>
          <t>YES</t>
        </is>
      </c>
      <c r="M1072" t="inlineStr">
        <is>
          <t>admerc event_management_system 1.0</t>
        </is>
      </c>
      <c r="N1072" t="inlineStr">
        <is>
          <t>P3</t>
        </is>
      </c>
      <c r="O1072" t="inlineStr">
        <is>
          <t>CVE - IP enrichment n/a</t>
        </is>
      </c>
      <c r="P1072" t="n">
        <v>0</v>
      </c>
      <c r="Q1072" t="n">
        <v>0</v>
      </c>
      <c r="R1072" t="inlineStr">
        <is>
          <t>T1190:Exploit Public-Facing Application</t>
        </is>
      </c>
      <c r="S1072" t="n">
        <v>1</v>
      </c>
      <c r="T1072" t="inlineStr">
        <is>
          <t>LOW (40%)</t>
        </is>
      </c>
      <c r="U1072" t="inlineStr">
        <is>
          <t>UNLIKELY</t>
        </is>
      </c>
      <c r="V1072" t="inlineStr">
        <is>
          <t>PATCH_AVAILABLE</t>
        </is>
      </c>
      <c r="W1072" t="inlineStr">
        <is>
          <t>https://nvd.nist.gov/vuln/detail/CVE-2026-3042</t>
        </is>
      </c>
      <c r="X1072" t="inlineStr">
        <is>
          <t>NONE</t>
        </is>
      </c>
      <c r="Y1072" t="n">
        <v>0</v>
      </c>
      <c r="Z1072" t="inlineStr"/>
      <c r="AA1072" t="inlineStr">
        <is>
          <t>https://nvd.nist.gov/vuln/detail/CVE-2026-3042</t>
        </is>
      </c>
    </row>
    <row r="1073">
      <c r="A1073" t="inlineStr">
        <is>
          <t>CVE</t>
        </is>
      </c>
      <c r="B1073" t="inlineStr">
        <is>
          <t>CVE-2026-3043</t>
        </is>
      </c>
      <c r="C1073" t="inlineStr">
        <is>
          <t>A flaw has been found in itsourcecode Event Management System 1.0. The impacted element is an unknown function of the file /admin/navbar.php. Executing a manipulation of the argument page can lead to cross site scripting. The attack may be performed from remote. The exploit has been published and may be used.</t>
        </is>
      </c>
      <c r="D1073" t="n">
        <v>4.3</v>
      </c>
      <c r="E1073" t="inlineStr">
        <is>
          <t>MEDIUM</t>
        </is>
      </c>
      <c r="F1073" t="n">
        <v>2</v>
      </c>
      <c r="G1073" t="n">
        <v>2</v>
      </c>
      <c r="H1073" t="inlineStr">
        <is>
          <t>MEDIUM</t>
        </is>
      </c>
      <c r="I1073" t="n">
        <v>8.300000000000001</v>
      </c>
      <c r="J1073" t="inlineStr">
        <is>
          <t>NO</t>
        </is>
      </c>
      <c r="K1073" t="inlineStr">
        <is>
          <t>2026-02-26 00:15</t>
        </is>
      </c>
      <c r="L1073" t="inlineStr">
        <is>
          <t>YES</t>
        </is>
      </c>
      <c r="M1073" t="inlineStr">
        <is>
          <t>admerc event_management_system 1.0</t>
        </is>
      </c>
      <c r="N1073" t="inlineStr">
        <is>
          <t>P4</t>
        </is>
      </c>
      <c r="O1073" t="inlineStr">
        <is>
          <t>CVE - IP enrichment n/a</t>
        </is>
      </c>
      <c r="P1073" t="n">
        <v>0</v>
      </c>
      <c r="Q1073" t="n">
        <v>0</v>
      </c>
      <c r="R1073" t="inlineStr">
        <is>
          <t>T1189:Drive-by Compromise | T1190:Exploit Public-Facing Application</t>
        </is>
      </c>
      <c r="S1073" t="n">
        <v>1</v>
      </c>
      <c r="T1073" t="inlineStr">
        <is>
          <t>LOW (40%)</t>
        </is>
      </c>
      <c r="U1073" t="inlineStr">
        <is>
          <t>UNLIKELY</t>
        </is>
      </c>
      <c r="V1073" t="inlineStr">
        <is>
          <t>PATCH_AVAILABLE</t>
        </is>
      </c>
      <c r="W1073" t="inlineStr">
        <is>
          <t>https://nvd.nist.gov/vuln/detail/CVE-2026-3043</t>
        </is>
      </c>
      <c r="X1073" t="inlineStr">
        <is>
          <t>NONE</t>
        </is>
      </c>
      <c r="Y1073" t="n">
        <v>0</v>
      </c>
      <c r="Z1073" t="inlineStr"/>
      <c r="AA1073" t="inlineStr">
        <is>
          <t>https://nvd.nist.gov/vuln/detail/CVE-2026-3043</t>
        </is>
      </c>
    </row>
    <row r="1074">
      <c r="A1074" t="inlineStr">
        <is>
          <t>CVE</t>
        </is>
      </c>
      <c r="B1074" t="inlineStr">
        <is>
          <t>CVE-2026-3044</t>
        </is>
      </c>
      <c r="C1074" t="inlineStr">
        <is>
          <t>A vulnerability has been found in Tenda AC8 16.03.34.06. This affects the function webCgiGetUploadFile of the file /cgi-bin/UploadCfg of the component Httpd Service. The manipulation of the argument boundary leads to stack-based buffer overflow. It is possible to initiate the attack remotely. The exploit has been disclosed to the public and may be used.</t>
        </is>
      </c>
      <c r="D1074" t="n">
        <v>8.800000000000001</v>
      </c>
      <c r="E1074" t="inlineStr">
        <is>
          <t>HIGH</t>
        </is>
      </c>
      <c r="F1074" t="n">
        <v>2</v>
      </c>
      <c r="G1074" t="n">
        <v>3</v>
      </c>
      <c r="H1074" t="inlineStr">
        <is>
          <t>HIGH</t>
        </is>
      </c>
      <c r="I1074" t="n">
        <v>14.8</v>
      </c>
      <c r="J1074" t="inlineStr">
        <is>
          <t>NO</t>
        </is>
      </c>
      <c r="K1074" t="inlineStr">
        <is>
          <t>2026-02-26 00:15</t>
        </is>
      </c>
      <c r="L1074" t="inlineStr">
        <is>
          <t>CHECK_VENDOR</t>
        </is>
      </c>
      <c r="M1074" t="inlineStr">
        <is>
          <t>tenda ac8_firmware 16.03.34.06 | tenda ac8 -</t>
        </is>
      </c>
      <c r="N1074" t="inlineStr">
        <is>
          <t>P3</t>
        </is>
      </c>
      <c r="O1074" t="inlineStr">
        <is>
          <t>CVE - IP enrichment n/a</t>
        </is>
      </c>
      <c r="P1074" t="n">
        <v>0</v>
      </c>
      <c r="Q1074" t="n">
        <v>0</v>
      </c>
      <c r="R1074" t="inlineStr">
        <is>
          <t>T1203:Exploitation for Client Execution</t>
        </is>
      </c>
      <c r="S1074" t="n">
        <v>1</v>
      </c>
      <c r="T1074" t="inlineStr">
        <is>
          <t>LOW (40%)</t>
        </is>
      </c>
      <c r="U1074" t="inlineStr">
        <is>
          <t>UNLIKELY</t>
        </is>
      </c>
      <c r="V1074" t="inlineStr">
        <is>
          <t>CHECK_VENDOR</t>
        </is>
      </c>
      <c r="W1074" t="inlineStr">
        <is>
          <t>https://nvd.nist.gov/vuln/detail/CVE-2026-3044</t>
        </is>
      </c>
      <c r="X1074" t="inlineStr">
        <is>
          <t>NONE</t>
        </is>
      </c>
      <c r="Y1074" t="n">
        <v>0</v>
      </c>
      <c r="Z1074" t="inlineStr"/>
      <c r="AA1074" t="inlineStr">
        <is>
          <t>https://nvd.nist.gov/vuln/detail/CVE-2026-3044</t>
        </is>
      </c>
    </row>
    <row r="1075">
      <c r="A1075" t="inlineStr">
        <is>
          <t>CVE</t>
        </is>
      </c>
      <c r="B1075" t="inlineStr">
        <is>
          <t>CVE-2025-69253</t>
        </is>
      </c>
      <c r="C1075" t="inlineStr">
        <is>
          <t>free5GC is an open-source project for 5th generation (5G) mobile core networks. Versions up to and including 1.4.1 of the User Data Repository are affected by Improper Error Handling with Information Exposure. The NEF component reliably leaks internal parsing error details (e.g., invalid character 'n' after top-level value) to remote clients, which can aid attackers in service fingerprinting. All deployments of free5GC using the Nnef_PfdManagement service may be vulnerable. free5gc/udr pull requ</t>
        </is>
      </c>
      <c r="D1075" t="n">
        <v>5.3</v>
      </c>
      <c r="E1075" t="inlineStr">
        <is>
          <t>MEDIUM</t>
        </is>
      </c>
      <c r="F1075" t="n">
        <v>2</v>
      </c>
      <c r="G1075" t="n">
        <v>2</v>
      </c>
      <c r="H1075" t="inlineStr">
        <is>
          <t>MEDIUM</t>
        </is>
      </c>
      <c r="I1075" t="n">
        <v>9.300000000000001</v>
      </c>
      <c r="J1075" t="inlineStr">
        <is>
          <t>NO</t>
        </is>
      </c>
      <c r="K1075" t="inlineStr">
        <is>
          <t>2026-02-26 00:15</t>
        </is>
      </c>
      <c r="L1075" t="inlineStr">
        <is>
          <t>YES</t>
        </is>
      </c>
      <c r="M1075" t="inlineStr">
        <is>
          <t>free5gc udr *</t>
        </is>
      </c>
      <c r="N1075" t="inlineStr">
        <is>
          <t>P4</t>
        </is>
      </c>
      <c r="O1075" t="inlineStr">
        <is>
          <t>CVE - IP enrichment n/a</t>
        </is>
      </c>
      <c r="P1075" t="n">
        <v>0</v>
      </c>
      <c r="Q1075" t="n">
        <v>0</v>
      </c>
      <c r="R1075" t="inlineStr">
        <is>
          <t>T1190:Exploit Public-Facing Application</t>
        </is>
      </c>
      <c r="S1075" t="n">
        <v>1</v>
      </c>
      <c r="T1075" t="inlineStr">
        <is>
          <t>LOW (40%)</t>
        </is>
      </c>
      <c r="U1075" t="inlineStr">
        <is>
          <t>UNLIKELY</t>
        </is>
      </c>
      <c r="V1075" t="inlineStr">
        <is>
          <t>PATCH_AVAILABLE</t>
        </is>
      </c>
      <c r="W1075" t="inlineStr">
        <is>
          <t>https://nvd.nist.gov/vuln/detail/CVE-2025-69253</t>
        </is>
      </c>
      <c r="X1075" t="inlineStr">
        <is>
          <t>NONE</t>
        </is>
      </c>
      <c r="Y1075" t="n">
        <v>0</v>
      </c>
      <c r="Z1075" t="inlineStr"/>
      <c r="AA1075" t="inlineStr">
        <is>
          <t>https://nvd.nist.gov/vuln/detail/CVE-2025-69253</t>
        </is>
      </c>
    </row>
    <row r="1076">
      <c r="A1076" t="inlineStr">
        <is>
          <t>CVE</t>
        </is>
      </c>
      <c r="B1076" t="inlineStr">
        <is>
          <t>CVE-2025-9120</t>
        </is>
      </c>
      <c r="C1076" t="inlineStr">
        <is>
          <t>Improper Control of Generation of Code ('Code Injection') vulnerability in OpenText™ Carbonite Safe Server Backup allows Code Injection. 
The vulnerability could be exploited through an open port, potentially allowing unauthorized access.
This issue affects Carbonite Safe Server Backup: through 6.8.3.</t>
        </is>
      </c>
      <c r="D1076" t="n">
        <v>5</v>
      </c>
      <c r="E1076" t="inlineStr">
        <is>
          <t>MEDIUM</t>
        </is>
      </c>
      <c r="F1076" t="n">
        <v>2</v>
      </c>
      <c r="G1076" t="n">
        <v>2</v>
      </c>
      <c r="H1076" t="inlineStr">
        <is>
          <t>MEDIUM</t>
        </is>
      </c>
      <c r="I1076" t="n">
        <v>9</v>
      </c>
      <c r="J1076" t="inlineStr">
        <is>
          <t>NO</t>
        </is>
      </c>
      <c r="K1076" t="inlineStr">
        <is>
          <t>2026-02-26 00:15</t>
        </is>
      </c>
      <c r="L1076" t="inlineStr">
        <is>
          <t>CHECK_VENDOR</t>
        </is>
      </c>
      <c r="M1076" t="inlineStr">
        <is>
          <t>See CVE details</t>
        </is>
      </c>
      <c r="N1076" t="inlineStr">
        <is>
          <t>P4</t>
        </is>
      </c>
      <c r="O1076" t="inlineStr">
        <is>
          <t>CVE - IP enrichment n/a</t>
        </is>
      </c>
      <c r="P1076" t="n">
        <v>0</v>
      </c>
      <c r="Q1076" t="n">
        <v>0</v>
      </c>
      <c r="R1076" t="inlineStr">
        <is>
          <t>T1059:Command and Scripting Interpreter</t>
        </is>
      </c>
      <c r="S1076" t="n">
        <v>1</v>
      </c>
      <c r="T1076" t="inlineStr">
        <is>
          <t>LOW (40%)</t>
        </is>
      </c>
      <c r="U1076" t="inlineStr">
        <is>
          <t>UNLIKELY</t>
        </is>
      </c>
      <c r="V1076" t="inlineStr">
        <is>
          <t>CHECK_VENDOR</t>
        </is>
      </c>
      <c r="W1076" t="inlineStr">
        <is>
          <t>https://nvd.nist.gov/vuln/detail/CVE-2025-9120</t>
        </is>
      </c>
      <c r="X1076" t="inlineStr">
        <is>
          <t>NONE</t>
        </is>
      </c>
      <c r="Y1076" t="n">
        <v>0</v>
      </c>
      <c r="Z1076" t="inlineStr"/>
      <c r="AA1076" t="inlineStr">
        <is>
          <t>https://nvd.nist.gov/vuln/detail/CVE-2025-9120</t>
        </is>
      </c>
    </row>
    <row r="1077">
      <c r="A1077" t="inlineStr">
        <is>
          <t>CVE</t>
        </is>
      </c>
      <c r="B1077" t="inlineStr">
        <is>
          <t>CVE-2026-21864</t>
        </is>
      </c>
      <c r="C1077" t="inlineStr">
        <is>
          <t>Valkey-Bloom is a Rust based Valkey module which brings a Bloom Filter (Module) data type into the Valkey distributed key-value database. Prior to commit a68614b6e3845777d383b3a513cedcc08b3b7ccd, a specially crafted `RESTORE` command can cause Valkey to hit an assertion, causes the server to shutdown. Valkey modules are required to handle errors in RDB parsing by using `VALKEYMODULE_OPTIONS_HANDLE_IO_ERRORS` flag. If this flag is not set, errors encountered during parsing result in a system asse</t>
        </is>
      </c>
      <c r="D1077" t="n">
        <v>6.5</v>
      </c>
      <c r="E1077" t="inlineStr">
        <is>
          <t>MEDIUM</t>
        </is>
      </c>
      <c r="F1077" t="n">
        <v>2</v>
      </c>
      <c r="G1077" t="n">
        <v>2</v>
      </c>
      <c r="H1077" t="inlineStr">
        <is>
          <t>MEDIUM</t>
        </is>
      </c>
      <c r="I1077" t="n">
        <v>10.5</v>
      </c>
      <c r="J1077" t="inlineStr">
        <is>
          <t>NO</t>
        </is>
      </c>
      <c r="K1077" t="inlineStr">
        <is>
          <t>2026-02-26 00:15</t>
        </is>
      </c>
      <c r="L1077" t="inlineStr">
        <is>
          <t>CHECK_VENDOR</t>
        </is>
      </c>
      <c r="M1077" t="inlineStr">
        <is>
          <t>See CVE details</t>
        </is>
      </c>
      <c r="N1077" t="inlineStr">
        <is>
          <t>P4</t>
        </is>
      </c>
      <c r="O1077" t="inlineStr">
        <is>
          <t>CVE - IP enrichment n/a</t>
        </is>
      </c>
      <c r="P1077" t="n">
        <v>0</v>
      </c>
      <c r="Q1077" t="n">
        <v>0</v>
      </c>
      <c r="R1077" t="inlineStr">
        <is>
          <t>T1190:Exploit Public-Facing Application</t>
        </is>
      </c>
      <c r="S1077" t="n">
        <v>1</v>
      </c>
      <c r="T1077" t="inlineStr">
        <is>
          <t>LOW (40%)</t>
        </is>
      </c>
      <c r="U1077" t="inlineStr">
        <is>
          <t>UNLIKELY</t>
        </is>
      </c>
      <c r="V1077" t="inlineStr">
        <is>
          <t>CHECK_VENDOR</t>
        </is>
      </c>
      <c r="W1077" t="inlineStr">
        <is>
          <t>https://nvd.nist.gov/vuln/detail/CVE-2026-21864</t>
        </is>
      </c>
      <c r="X1077" t="inlineStr">
        <is>
          <t>NONE</t>
        </is>
      </c>
      <c r="Y1077" t="n">
        <v>0</v>
      </c>
      <c r="Z1077" t="inlineStr"/>
      <c r="AA1077" t="inlineStr">
        <is>
          <t>https://nvd.nist.gov/vuln/detail/CVE-2026-21864</t>
        </is>
      </c>
    </row>
    <row r="1078">
      <c r="A1078" t="inlineStr">
        <is>
          <t>CVE</t>
        </is>
      </c>
      <c r="B1078" t="inlineStr">
        <is>
          <t>CVE-2026-24481</t>
        </is>
      </c>
      <c r="C1078" t="inlineStr">
        <is>
          <t>ImageMagick is free and open-source software used for editing and manipulating digital images. Prior to versions 7.1.2-15 and 6.9.13-40, a heap information disclosure vulnerability exists in ImageMagick's PSD (Adobe Photoshop) format handler. When processing a maliciously crafted PSD file containing ZIP-compressed layer data that decompresses to less than the expected size, uninitialized heap memory is leaked into the output image. Versions 7.1.2-15 and 6.9.13-40 contain a patch.</t>
        </is>
      </c>
      <c r="D1078" t="n">
        <v>7.5</v>
      </c>
      <c r="E1078" t="inlineStr">
        <is>
          <t>HIGH</t>
        </is>
      </c>
      <c r="F1078" t="n">
        <v>2</v>
      </c>
      <c r="G1078" t="n">
        <v>3</v>
      </c>
      <c r="H1078" t="inlineStr">
        <is>
          <t>HIGH</t>
        </is>
      </c>
      <c r="I1078" t="n">
        <v>13.5</v>
      </c>
      <c r="J1078" t="inlineStr">
        <is>
          <t>NO</t>
        </is>
      </c>
      <c r="K1078" t="inlineStr">
        <is>
          <t>2026-02-26 00:15</t>
        </is>
      </c>
      <c r="L1078" t="inlineStr">
        <is>
          <t>YES</t>
        </is>
      </c>
      <c r="M1078" t="inlineStr">
        <is>
          <t>imagemagick imagemagick *</t>
        </is>
      </c>
      <c r="N1078" t="inlineStr">
        <is>
          <t>P3</t>
        </is>
      </c>
      <c r="O1078" t="inlineStr">
        <is>
          <t>CVE - IP enrichment n/a</t>
        </is>
      </c>
      <c r="P1078" t="n">
        <v>0</v>
      </c>
      <c r="Q1078" t="n">
        <v>0</v>
      </c>
      <c r="R1078" t="inlineStr">
        <is>
          <t>T1203:Exploitation for Client Execution | T1190:Exploit Public-Facing Application | T1213:Data from Information Repositories</t>
        </is>
      </c>
      <c r="S1078" t="n">
        <v>1</v>
      </c>
      <c r="T1078" t="inlineStr">
        <is>
          <t>LOW (40%)</t>
        </is>
      </c>
      <c r="U1078" t="inlineStr">
        <is>
          <t>UNLIKELY</t>
        </is>
      </c>
      <c r="V1078" t="inlineStr">
        <is>
          <t>PATCH_AVAILABLE</t>
        </is>
      </c>
      <c r="W1078" t="inlineStr">
        <is>
          <t>https://nvd.nist.gov/vuln/detail/CVE-2026-24481</t>
        </is>
      </c>
      <c r="X1078" t="inlineStr">
        <is>
          <t>NONE</t>
        </is>
      </c>
      <c r="Y1078" t="n">
        <v>0</v>
      </c>
      <c r="Z1078" t="inlineStr"/>
      <c r="AA1078" t="inlineStr">
        <is>
          <t>https://nvd.nist.gov/vuln/detail/CVE-2026-24481</t>
        </is>
      </c>
    </row>
    <row r="1079">
      <c r="A1079" t="inlineStr">
        <is>
          <t>CVE</t>
        </is>
      </c>
      <c r="B1079" t="inlineStr">
        <is>
          <t>CVE-2026-24484</t>
        </is>
      </c>
      <c r="C1079" t="inlineStr">
        <is>
          <t>ImageMagick is free and open-source software used for editing and manipulating digital images. Prior to versions 7.1.2-15 and 6.9.13-40, Magick fails to check for multi-layer nested mvg conversions to svg, leading to DoS. Versions 7.1.2-15 and 6.9.13-40 contain a patch.</t>
        </is>
      </c>
      <c r="D1079" t="n">
        <v>5.3</v>
      </c>
      <c r="E1079" t="inlineStr">
        <is>
          <t>MEDIUM</t>
        </is>
      </c>
      <c r="F1079" t="n">
        <v>2</v>
      </c>
      <c r="G1079" t="n">
        <v>2</v>
      </c>
      <c r="H1079" t="inlineStr">
        <is>
          <t>MEDIUM</t>
        </is>
      </c>
      <c r="I1079" t="n">
        <v>9.300000000000001</v>
      </c>
      <c r="J1079" t="inlineStr">
        <is>
          <t>NO</t>
        </is>
      </c>
      <c r="K1079" t="inlineStr">
        <is>
          <t>2026-02-26 00:15</t>
        </is>
      </c>
      <c r="L1079" t="inlineStr">
        <is>
          <t>CHECK_VENDOR</t>
        </is>
      </c>
      <c r="M1079" t="inlineStr">
        <is>
          <t>See CVE details</t>
        </is>
      </c>
      <c r="N1079" t="inlineStr">
        <is>
          <t>P4</t>
        </is>
      </c>
      <c r="O1079" t="inlineStr">
        <is>
          <t>CVE - IP enrichment n/a</t>
        </is>
      </c>
      <c r="P1079" t="n">
        <v>0.0004</v>
      </c>
      <c r="Q1079" t="n">
        <v>0.108</v>
      </c>
      <c r="R1079" t="inlineStr">
        <is>
          <t>T1190:Exploit Public-Facing Application</t>
        </is>
      </c>
      <c r="S1079" t="n">
        <v>1</v>
      </c>
      <c r="T1079" t="inlineStr">
        <is>
          <t>LOW (40%)</t>
        </is>
      </c>
      <c r="U1079" t="inlineStr">
        <is>
          <t>UNLIKELY</t>
        </is>
      </c>
      <c r="V1079" t="inlineStr">
        <is>
          <t>CHECK_VENDOR</t>
        </is>
      </c>
      <c r="W1079" t="inlineStr">
        <is>
          <t>https://nvd.nist.gov/vuln/detail/CVE-2026-24484</t>
        </is>
      </c>
      <c r="X1079" t="inlineStr">
        <is>
          <t>NONE</t>
        </is>
      </c>
      <c r="Y1079" t="n">
        <v>0</v>
      </c>
      <c r="Z1079" t="inlineStr"/>
      <c r="AA1079" t="inlineStr">
        <is>
          <t>https://nvd.nist.gov/vuln/detail/CVE-2026-24484</t>
        </is>
      </c>
    </row>
    <row r="1080">
      <c r="A1080" t="inlineStr">
        <is>
          <t>CVE</t>
        </is>
      </c>
      <c r="B1080" t="inlineStr">
        <is>
          <t>CVE-2026-24485</t>
        </is>
      </c>
      <c r="C1080" t="inlineStr">
        <is>
          <t>ImageMagick is free and open-source software used for editing and manipulating digital images. Prior to versions 7.1.2-15 and 6.9.13-40, when a PCD file does not contain a valid Sync marker, the DecodeImage() function becomes trapped in an infinite loop while searching for the Sync marker, causing the program to become unresponsive and continuously consume CPU resources, ultimately leading to system resource exhaustion and denial of service. Versions 7.1.2-15 and 6.9.13-40 contain a patch.</t>
        </is>
      </c>
      <c r="D1080" t="n">
        <v>7.5</v>
      </c>
      <c r="E1080" t="inlineStr">
        <is>
          <t>HIGH</t>
        </is>
      </c>
      <c r="F1080" t="n">
        <v>2</v>
      </c>
      <c r="G1080" t="n">
        <v>3</v>
      </c>
      <c r="H1080" t="inlineStr">
        <is>
          <t>HIGH</t>
        </is>
      </c>
      <c r="I1080" t="n">
        <v>13.5</v>
      </c>
      <c r="J1080" t="inlineStr">
        <is>
          <t>NO</t>
        </is>
      </c>
      <c r="K1080" t="inlineStr">
        <is>
          <t>2026-02-26 00:15</t>
        </is>
      </c>
      <c r="L1080" t="inlineStr">
        <is>
          <t>CHECK_VENDOR</t>
        </is>
      </c>
      <c r="M1080" t="inlineStr">
        <is>
          <t>See CVE details</t>
        </is>
      </c>
      <c r="N1080" t="inlineStr">
        <is>
          <t>P3</t>
        </is>
      </c>
      <c r="O1080" t="inlineStr">
        <is>
          <t>CVE - IP enrichment n/a</t>
        </is>
      </c>
      <c r="P1080" t="n">
        <v>0</v>
      </c>
      <c r="Q1080" t="n">
        <v>0</v>
      </c>
      <c r="R1080" t="inlineStr">
        <is>
          <t>T1190:Exploit Public-Facing Application | T1499:Endpoint Denial of Service</t>
        </is>
      </c>
      <c r="S1080" t="n">
        <v>1</v>
      </c>
      <c r="T1080" t="inlineStr">
        <is>
          <t>LOW (40%)</t>
        </is>
      </c>
      <c r="U1080" t="inlineStr">
        <is>
          <t>UNLIKELY</t>
        </is>
      </c>
      <c r="V1080" t="inlineStr">
        <is>
          <t>CHECK_VENDOR</t>
        </is>
      </c>
      <c r="W1080" t="inlineStr">
        <is>
          <t>https://nvd.nist.gov/vuln/detail/CVE-2026-24485</t>
        </is>
      </c>
      <c r="X1080" t="inlineStr">
        <is>
          <t>NONE</t>
        </is>
      </c>
      <c r="Y1080" t="n">
        <v>0</v>
      </c>
      <c r="Z1080" t="inlineStr"/>
      <c r="AA1080" t="inlineStr">
        <is>
          <t>https://nvd.nist.gov/vuln/detail/CVE-2026-24485</t>
        </is>
      </c>
    </row>
    <row r="1081">
      <c r="A1081" t="inlineStr">
        <is>
          <t>CVE</t>
        </is>
      </c>
      <c r="B1081" t="inlineStr">
        <is>
          <t>CVE-2026-25501</t>
        </is>
      </c>
      <c r="C1081" t="inlineStr">
        <is>
          <t>free5GC SMF provides Session Management Function for free5GC, an open-source project for 5th generation (5G) mobile core networks. In versions up to and including 1.4.1, SMF panics due to nil pointer dereference and the SMF process terminates. This is triggered by a malformed PFCP SessionReportRequest on the SMF PFCP (UDP/8805) interface. No known upstream fix is available, but some workarounds are available. ACL/firewall the PFCP interface so only trusted UPF IPs can reach SMF (reduce spoofing/</t>
        </is>
      </c>
      <c r="D1081" t="n">
        <v>7.5</v>
      </c>
      <c r="E1081" t="inlineStr">
        <is>
          <t>HIGH</t>
        </is>
      </c>
      <c r="F1081" t="n">
        <v>2</v>
      </c>
      <c r="G1081" t="n">
        <v>3</v>
      </c>
      <c r="H1081" t="inlineStr">
        <is>
          <t>HIGH</t>
        </is>
      </c>
      <c r="I1081" t="n">
        <v>13.5</v>
      </c>
      <c r="J1081" t="inlineStr">
        <is>
          <t>NO</t>
        </is>
      </c>
      <c r="K1081" t="inlineStr">
        <is>
          <t>2026-02-26 00:15</t>
        </is>
      </c>
      <c r="L1081" t="inlineStr">
        <is>
          <t>YES</t>
        </is>
      </c>
      <c r="M1081" t="inlineStr">
        <is>
          <t>free5gc smf *</t>
        </is>
      </c>
      <c r="N1081" t="inlineStr">
        <is>
          <t>P3</t>
        </is>
      </c>
      <c r="O1081" t="inlineStr">
        <is>
          <t>CVE - IP enrichment n/a</t>
        </is>
      </c>
      <c r="P1081" t="n">
        <v>0</v>
      </c>
      <c r="Q1081" t="n">
        <v>0</v>
      </c>
      <c r="R1081" t="inlineStr">
        <is>
          <t>T1499:Endpoint Denial of Service | T1190:Exploit Public-Facing Application | T1562:Impair Defenses</t>
        </is>
      </c>
      <c r="S1081" t="n">
        <v>1</v>
      </c>
      <c r="T1081" t="inlineStr">
        <is>
          <t>LOW (40%)</t>
        </is>
      </c>
      <c r="U1081" t="inlineStr">
        <is>
          <t>UNLIKELY</t>
        </is>
      </c>
      <c r="V1081" t="inlineStr">
        <is>
          <t>PATCH_AVAILABLE</t>
        </is>
      </c>
      <c r="W1081" t="inlineStr">
        <is>
          <t>https://nvd.nist.gov/vuln/detail/CVE-2026-25501</t>
        </is>
      </c>
      <c r="X1081" t="inlineStr">
        <is>
          <t>NONE</t>
        </is>
      </c>
      <c r="Y1081" t="n">
        <v>0</v>
      </c>
      <c r="Z1081" t="inlineStr"/>
      <c r="AA1081" t="inlineStr">
        <is>
          <t>https://nvd.nist.gov/vuln/detail/CVE-2026-25501</t>
        </is>
      </c>
    </row>
    <row r="1082">
      <c r="A1082" t="inlineStr">
        <is>
          <t>CVE</t>
        </is>
      </c>
      <c r="B1082" t="inlineStr">
        <is>
          <t>CVE-2026-25545</t>
        </is>
      </c>
      <c r="C1082" t="inlineStr">
        <is>
          <t>Astro is a web framework. Prior to version 9.5.4, Server-Side Rendered pages that return an error with a prerendered custom error page (eg. `404.astro` or `500.astro`) are vulnerable to SSRF. If the `Host:` header is changed to an attacker's server, it will be fetched on `/500.html` and they can redirect this to any internal URL to read the response body through the first request. An attacker who can access the application without `Host:` header validation (eg. through finding the origin IP behi</t>
        </is>
      </c>
      <c r="D1082" t="n">
        <v>8.6</v>
      </c>
      <c r="E1082" t="inlineStr">
        <is>
          <t>HIGH</t>
        </is>
      </c>
      <c r="F1082" t="n">
        <v>2</v>
      </c>
      <c r="G1082" t="n">
        <v>3</v>
      </c>
      <c r="H1082" t="inlineStr">
        <is>
          <t>HIGH</t>
        </is>
      </c>
      <c r="I1082" t="n">
        <v>14.6</v>
      </c>
      <c r="J1082" t="inlineStr">
        <is>
          <t>NO</t>
        </is>
      </c>
      <c r="K1082" t="inlineStr">
        <is>
          <t>2026-02-26 00:15</t>
        </is>
      </c>
      <c r="L1082" t="inlineStr">
        <is>
          <t>YES</t>
        </is>
      </c>
      <c r="M1082" t="inlineStr">
        <is>
          <t>astro \@astrojs\/node *</t>
        </is>
      </c>
      <c r="N1082" t="inlineStr">
        <is>
          <t>P3</t>
        </is>
      </c>
      <c r="O1082" t="inlineStr">
        <is>
          <t>CVE - IP enrichment n/a</t>
        </is>
      </c>
      <c r="P1082" t="n">
        <v>0</v>
      </c>
      <c r="Q1082" t="n">
        <v>0</v>
      </c>
      <c r="R1082" t="inlineStr">
        <is>
          <t>T1090:Proxy</t>
        </is>
      </c>
      <c r="S1082" t="n">
        <v>1</v>
      </c>
      <c r="T1082" t="inlineStr">
        <is>
          <t>LOW (40%)</t>
        </is>
      </c>
      <c r="U1082" t="inlineStr">
        <is>
          <t>UNLIKELY</t>
        </is>
      </c>
      <c r="V1082" t="inlineStr">
        <is>
          <t>PATCH_AVAILABLE</t>
        </is>
      </c>
      <c r="W1082" t="inlineStr">
        <is>
          <t>https://nvd.nist.gov/vuln/detail/CVE-2026-25545</t>
        </is>
      </c>
      <c r="X1082" t="inlineStr">
        <is>
          <t>NONE</t>
        </is>
      </c>
      <c r="Y1082" t="n">
        <v>0</v>
      </c>
      <c r="Z1082" t="inlineStr"/>
      <c r="AA1082" t="inlineStr">
        <is>
          <t>https://nvd.nist.gov/vuln/detail/CVE-2026-25545</t>
        </is>
      </c>
    </row>
    <row r="1083">
      <c r="A1083" t="inlineStr">
        <is>
          <t>CVE</t>
        </is>
      </c>
      <c r="B1083" t="inlineStr">
        <is>
          <t>CVE-2026-25576</t>
        </is>
      </c>
      <c r="C1083" t="inlineStr">
        <is>
          <t>ImageMagick is free and open-source software used for editing and manipulating digital images. Prior to versions 7.1.2-15 and 6.9.13-40, a heap buffer over-read vulnerability exists in multiple raw image format handles. The vulnerability occurs when processing images with -extract dimensions larger than -size dimensions, causing out-of-bounds memory reads from a heap-allocated buffer. Versions 7.1.2-15 and 6.9.13-40 contain a patch.</t>
        </is>
      </c>
      <c r="D1083" t="n">
        <v>5.1</v>
      </c>
      <c r="E1083" t="inlineStr">
        <is>
          <t>MEDIUM</t>
        </is>
      </c>
      <c r="F1083" t="n">
        <v>2</v>
      </c>
      <c r="G1083" t="n">
        <v>2</v>
      </c>
      <c r="H1083" t="inlineStr">
        <is>
          <t>MEDIUM</t>
        </is>
      </c>
      <c r="I1083" t="n">
        <v>9.1</v>
      </c>
      <c r="J1083" t="inlineStr">
        <is>
          <t>NO</t>
        </is>
      </c>
      <c r="K1083" t="inlineStr">
        <is>
          <t>2026-02-26 00:15</t>
        </is>
      </c>
      <c r="L1083" t="inlineStr">
        <is>
          <t>CHECK_VENDOR</t>
        </is>
      </c>
      <c r="M1083" t="inlineStr">
        <is>
          <t>See CVE details</t>
        </is>
      </c>
      <c r="N1083" t="inlineStr">
        <is>
          <t>P4</t>
        </is>
      </c>
      <c r="O1083" t="inlineStr">
        <is>
          <t>CVE - IP enrichment n/a</t>
        </is>
      </c>
      <c r="P1083" t="n">
        <v>0.0001</v>
      </c>
      <c r="Q1083" t="n">
        <v>0.0139</v>
      </c>
      <c r="R1083" t="inlineStr">
        <is>
          <t>T1190:Exploit Public-Facing Application | T1203:Exploitation for Client Execution</t>
        </is>
      </c>
      <c r="S1083" t="n">
        <v>1</v>
      </c>
      <c r="T1083" t="inlineStr">
        <is>
          <t>LOW (40%)</t>
        </is>
      </c>
      <c r="U1083" t="inlineStr">
        <is>
          <t>UNLIKELY</t>
        </is>
      </c>
      <c r="V1083" t="inlineStr">
        <is>
          <t>CHECK_VENDOR</t>
        </is>
      </c>
      <c r="W1083" t="inlineStr">
        <is>
          <t>https://nvd.nist.gov/vuln/detail/CVE-2026-25576</t>
        </is>
      </c>
      <c r="X1083" t="inlineStr">
        <is>
          <t>NONE</t>
        </is>
      </c>
      <c r="Y1083" t="n">
        <v>0</v>
      </c>
      <c r="Z1083" t="inlineStr"/>
      <c r="AA1083" t="inlineStr">
        <is>
          <t>https://nvd.nist.gov/vuln/detail/CVE-2026-25576</t>
        </is>
      </c>
    </row>
    <row r="1084">
      <c r="A1084" t="inlineStr">
        <is>
          <t>CVE</t>
        </is>
      </c>
      <c r="B1084" t="inlineStr">
        <is>
          <t>CVE-2026-25591</t>
        </is>
      </c>
      <c r="C1084" t="inlineStr">
        <is>
          <t xml:space="preserve">New API is a large language mode (LLM) gateway and artificial intelligence (AI) asset management system. Prior to version 0.10.8-alpha.10, a SQL LIKE wildcard injection vulnerability in the `/api/token/search` endpoint allows authenticated users to cause denial of service through resource exhaustion by crafting malicious search patterns. The token search endpoint accepts user-supplied `keyword` and `token` parameters that are directly concatenated into SQL LIKE clauses without escaping wildcard </t>
        </is>
      </c>
      <c r="D1084" t="n">
        <v>8.5</v>
      </c>
      <c r="E1084" t="inlineStr">
        <is>
          <t>HIGH</t>
        </is>
      </c>
      <c r="F1084" t="n">
        <v>2</v>
      </c>
      <c r="G1084" t="n">
        <v>3</v>
      </c>
      <c r="H1084" t="inlineStr">
        <is>
          <t>HIGH</t>
        </is>
      </c>
      <c r="I1084" t="n">
        <v>14.5</v>
      </c>
      <c r="J1084" t="inlineStr">
        <is>
          <t>NO</t>
        </is>
      </c>
      <c r="K1084" t="inlineStr">
        <is>
          <t>2026-02-26 00:15</t>
        </is>
      </c>
      <c r="L1084" t="inlineStr">
        <is>
          <t>CHECK_VENDOR</t>
        </is>
      </c>
      <c r="M1084" t="inlineStr">
        <is>
          <t>See CVE details</t>
        </is>
      </c>
      <c r="N1084" t="inlineStr">
        <is>
          <t>P3</t>
        </is>
      </c>
      <c r="O1084" t="inlineStr">
        <is>
          <t>CVE - IP enrichment n/a</t>
        </is>
      </c>
      <c r="P1084" t="n">
        <v>0</v>
      </c>
      <c r="Q1084" t="n">
        <v>0</v>
      </c>
      <c r="R1084" t="inlineStr">
        <is>
          <t>T1190:Exploit Public-Facing Application | T1499:Endpoint Denial of Service</t>
        </is>
      </c>
      <c r="S1084" t="n">
        <v>1</v>
      </c>
      <c r="T1084" t="inlineStr">
        <is>
          <t>LOW (40%)</t>
        </is>
      </c>
      <c r="U1084" t="inlineStr">
        <is>
          <t>UNLIKELY</t>
        </is>
      </c>
      <c r="V1084" t="inlineStr">
        <is>
          <t>CHECK_VENDOR</t>
        </is>
      </c>
      <c r="W1084" t="inlineStr">
        <is>
          <t>https://nvd.nist.gov/vuln/detail/CVE-2026-25591</t>
        </is>
      </c>
      <c r="X1084" t="inlineStr">
        <is>
          <t>NONE</t>
        </is>
      </c>
      <c r="Y1084" t="n">
        <v>0</v>
      </c>
      <c r="Z1084" t="inlineStr"/>
      <c r="AA1084" t="inlineStr">
        <is>
          <t>https://nvd.nist.gov/vuln/detail/CVE-2026-25591</t>
        </is>
      </c>
    </row>
    <row r="1085">
      <c r="A1085" t="inlineStr">
        <is>
          <t>CVE</t>
        </is>
      </c>
      <c r="B1085" t="inlineStr">
        <is>
          <t>CVE-2026-25637</t>
        </is>
      </c>
      <c r="C1085" t="inlineStr">
        <is>
          <t>ImageMagick is free and open-source software used for editing and manipulating digital images. Prior to version 7.1.2-15, a memory leak in the ASHLAR image writer allows an attacker to exhaust process memory by providing a crafted image that results in small objects that are allocated but never freed. Version 7.1.2-15 contains a patch.</t>
        </is>
      </c>
      <c r="D1085" t="n">
        <v>5.3</v>
      </c>
      <c r="E1085" t="inlineStr">
        <is>
          <t>MEDIUM</t>
        </is>
      </c>
      <c r="F1085" t="n">
        <v>2</v>
      </c>
      <c r="G1085" t="n">
        <v>2</v>
      </c>
      <c r="H1085" t="inlineStr">
        <is>
          <t>MEDIUM</t>
        </is>
      </c>
      <c r="I1085" t="n">
        <v>9.300000000000001</v>
      </c>
      <c r="J1085" t="inlineStr">
        <is>
          <t>NO</t>
        </is>
      </c>
      <c r="K1085" t="inlineStr">
        <is>
          <t>2026-02-26 00:15</t>
        </is>
      </c>
      <c r="L1085" t="inlineStr">
        <is>
          <t>CHECK_VENDOR</t>
        </is>
      </c>
      <c r="M1085" t="inlineStr">
        <is>
          <t>See CVE details</t>
        </is>
      </c>
      <c r="N1085" t="inlineStr">
        <is>
          <t>P4</t>
        </is>
      </c>
      <c r="O1085" t="inlineStr">
        <is>
          <t>CVE - IP enrichment n/a</t>
        </is>
      </c>
      <c r="P1085" t="n">
        <v>0</v>
      </c>
      <c r="Q1085" t="n">
        <v>0</v>
      </c>
      <c r="R1085" t="inlineStr">
        <is>
          <t>T1190:Exploit Public-Facing Application</t>
        </is>
      </c>
      <c r="S1085" t="n">
        <v>1</v>
      </c>
      <c r="T1085" t="inlineStr">
        <is>
          <t>LOW (40%)</t>
        </is>
      </c>
      <c r="U1085" t="inlineStr">
        <is>
          <t>UNLIKELY</t>
        </is>
      </c>
      <c r="V1085" t="inlineStr">
        <is>
          <t>CHECK_VENDOR</t>
        </is>
      </c>
      <c r="W1085" t="inlineStr">
        <is>
          <t>https://nvd.nist.gov/vuln/detail/CVE-2026-25637</t>
        </is>
      </c>
      <c r="X1085" t="inlineStr">
        <is>
          <t>NONE</t>
        </is>
      </c>
      <c r="Y1085" t="n">
        <v>0</v>
      </c>
      <c r="Z1085" t="inlineStr"/>
      <c r="AA1085" t="inlineStr">
        <is>
          <t>https://nvd.nist.gov/vuln/detail/CVE-2026-25637</t>
        </is>
      </c>
    </row>
    <row r="1086">
      <c r="A1086" t="inlineStr">
        <is>
          <t>CVE</t>
        </is>
      </c>
      <c r="B1086" t="inlineStr">
        <is>
          <t>CVE-2026-25638</t>
        </is>
      </c>
      <c r="C1086" t="inlineStr">
        <is>
          <t>ImageMagick is free and open-source software used for editing and manipulating digital images. Prior to versions 7.1.2-15 and 6.9.13-40, memory leak exists in `coders/msl.c`. In the `WriteMSLImage` function of the `msl.c` file, resources are allocated. But the function returns early without releasing these allocated resources. Versions 7.1.2-15 and 6.9.13-40 contain a patch.</t>
        </is>
      </c>
      <c r="D1086" t="n">
        <v>5.3</v>
      </c>
      <c r="E1086" t="inlineStr">
        <is>
          <t>MEDIUM</t>
        </is>
      </c>
      <c r="F1086" t="n">
        <v>2</v>
      </c>
      <c r="G1086" t="n">
        <v>2</v>
      </c>
      <c r="H1086" t="inlineStr">
        <is>
          <t>MEDIUM</t>
        </is>
      </c>
      <c r="I1086" t="n">
        <v>9.300000000000001</v>
      </c>
      <c r="J1086" t="inlineStr">
        <is>
          <t>NO</t>
        </is>
      </c>
      <c r="K1086" t="inlineStr">
        <is>
          <t>2026-02-26 00:15</t>
        </is>
      </c>
      <c r="L1086" t="inlineStr">
        <is>
          <t>YES</t>
        </is>
      </c>
      <c r="M1086" t="inlineStr">
        <is>
          <t>imagemagick imagemagick *</t>
        </is>
      </c>
      <c r="N1086" t="inlineStr">
        <is>
          <t>P4</t>
        </is>
      </c>
      <c r="O1086" t="inlineStr">
        <is>
          <t>CVE - IP enrichment n/a</t>
        </is>
      </c>
      <c r="P1086" t="n">
        <v>0</v>
      </c>
      <c r="Q1086" t="n">
        <v>0</v>
      </c>
      <c r="R1086" t="inlineStr">
        <is>
          <t>T1190:Exploit Public-Facing Application</t>
        </is>
      </c>
      <c r="S1086" t="n">
        <v>1</v>
      </c>
      <c r="T1086" t="inlineStr">
        <is>
          <t>LOW (40%)</t>
        </is>
      </c>
      <c r="U1086" t="inlineStr">
        <is>
          <t>UNLIKELY</t>
        </is>
      </c>
      <c r="V1086" t="inlineStr">
        <is>
          <t>PATCH_AVAILABLE</t>
        </is>
      </c>
      <c r="W1086" t="inlineStr">
        <is>
          <t>https://nvd.nist.gov/vuln/detail/CVE-2026-25638</t>
        </is>
      </c>
      <c r="X1086" t="inlineStr">
        <is>
          <t>NONE</t>
        </is>
      </c>
      <c r="Y1086" t="n">
        <v>0</v>
      </c>
      <c r="Z1086" t="inlineStr"/>
      <c r="AA1086" t="inlineStr">
        <is>
          <t>https://nvd.nist.gov/vuln/detail/CVE-2026-25638</t>
        </is>
      </c>
    </row>
    <row r="1087">
      <c r="A1087" t="inlineStr">
        <is>
          <t>CVE</t>
        </is>
      </c>
      <c r="B1087" t="inlineStr">
        <is>
          <t>CVE-2026-25794</t>
        </is>
      </c>
      <c r="C1087" t="inlineStr">
        <is>
          <t>ImageMagick is free and open-source software used for editing and manipulating digital images. `WriteUHDRImage` in `coders/uhdr.c` uses `int` arithmetic to compute the pixel buffer size. Prior to version 7.1.2-15, when image dimensions are large, the multiplication overflows 32-bit `int`, causing an undersized heap allocation followed by an out-of-bounds write. This can crash the process or potentially lead to an out of bounds heap write. Version 7.1.2-15 contains a patch.</t>
        </is>
      </c>
      <c r="D1087" t="n">
        <v>8.199999999999999</v>
      </c>
      <c r="E1087" t="inlineStr">
        <is>
          <t>HIGH</t>
        </is>
      </c>
      <c r="F1087" t="n">
        <v>2</v>
      </c>
      <c r="G1087" t="n">
        <v>3</v>
      </c>
      <c r="H1087" t="inlineStr">
        <is>
          <t>HIGH</t>
        </is>
      </c>
      <c r="I1087" t="n">
        <v>14.2</v>
      </c>
      <c r="J1087" t="inlineStr">
        <is>
          <t>NO</t>
        </is>
      </c>
      <c r="K1087" t="inlineStr">
        <is>
          <t>2026-02-26 00:15</t>
        </is>
      </c>
      <c r="L1087" t="inlineStr">
        <is>
          <t>YES</t>
        </is>
      </c>
      <c r="M1087" t="inlineStr">
        <is>
          <t>imagemagick imagemagick *</t>
        </is>
      </c>
      <c r="N1087" t="inlineStr">
        <is>
          <t>P3</t>
        </is>
      </c>
      <c r="O1087" t="inlineStr">
        <is>
          <t>CVE - IP enrichment n/a</t>
        </is>
      </c>
      <c r="P1087" t="n">
        <v>0.0004</v>
      </c>
      <c r="Q1087" t="n">
        <v>0.1208</v>
      </c>
      <c r="R1087" t="inlineStr">
        <is>
          <t>T1190:Exploit Public-Facing Application | T1203:Exploitation for Client Execution</t>
        </is>
      </c>
      <c r="S1087" t="n">
        <v>1</v>
      </c>
      <c r="T1087" t="inlineStr">
        <is>
          <t>LOW (40%)</t>
        </is>
      </c>
      <c r="U1087" t="inlineStr">
        <is>
          <t>UNLIKELY</t>
        </is>
      </c>
      <c r="V1087" t="inlineStr">
        <is>
          <t>PATCH_AVAILABLE</t>
        </is>
      </c>
      <c r="W1087" t="inlineStr">
        <is>
          <t>https://nvd.nist.gov/vuln/detail/CVE-2026-25794</t>
        </is>
      </c>
      <c r="X1087" t="inlineStr">
        <is>
          <t>NONE</t>
        </is>
      </c>
      <c r="Y1087" t="n">
        <v>0</v>
      </c>
      <c r="Z1087" t="inlineStr"/>
      <c r="AA1087" t="inlineStr">
        <is>
          <t>https://nvd.nist.gov/vuln/detail/CVE-2026-25794</t>
        </is>
      </c>
    </row>
    <row r="1088">
      <c r="A1088" t="inlineStr">
        <is>
          <t>CVE</t>
        </is>
      </c>
      <c r="B1088" t="inlineStr">
        <is>
          <t>CVE-2026-25795</t>
        </is>
      </c>
      <c r="C1088" t="inlineStr">
        <is>
          <t>ImageMagick is free and open-source software used for editing and manipulating digital images. Prior to versions 7.1.2-15 and 6.9.13-40, in `ReadSFWImage()` (`coders/sfw.c`), when temporary file creation fails, `read_info` is destroyed before its `filename` member is accessed, causing a NULL pointer dereference and crash. Versions 7.1.2-15 and 6.9.13-40 contain a patch.</t>
        </is>
      </c>
      <c r="D1088" t="n">
        <v>5.3</v>
      </c>
      <c r="E1088" t="inlineStr">
        <is>
          <t>MEDIUM</t>
        </is>
      </c>
      <c r="F1088" t="n">
        <v>2</v>
      </c>
      <c r="G1088" t="n">
        <v>2</v>
      </c>
      <c r="H1088" t="inlineStr">
        <is>
          <t>MEDIUM</t>
        </is>
      </c>
      <c r="I1088" t="n">
        <v>9.300000000000001</v>
      </c>
      <c r="J1088" t="inlineStr">
        <is>
          <t>NO</t>
        </is>
      </c>
      <c r="K1088" t="inlineStr">
        <is>
          <t>2026-02-26 00:15</t>
        </is>
      </c>
      <c r="L1088" t="inlineStr">
        <is>
          <t>YES</t>
        </is>
      </c>
      <c r="M1088" t="inlineStr">
        <is>
          <t>imagemagick imagemagick *</t>
        </is>
      </c>
      <c r="N1088" t="inlineStr">
        <is>
          <t>P4</t>
        </is>
      </c>
      <c r="O1088" t="inlineStr">
        <is>
          <t>CVE - IP enrichment n/a</t>
        </is>
      </c>
      <c r="P1088" t="n">
        <v>0</v>
      </c>
      <c r="Q1088" t="n">
        <v>0</v>
      </c>
      <c r="R1088" t="inlineStr">
        <is>
          <t>T1499:Endpoint Denial of Service | T1190:Exploit Public-Facing Application</t>
        </is>
      </c>
      <c r="S1088" t="n">
        <v>1</v>
      </c>
      <c r="T1088" t="inlineStr">
        <is>
          <t>LOW (40%)</t>
        </is>
      </c>
      <c r="U1088" t="inlineStr">
        <is>
          <t>UNLIKELY</t>
        </is>
      </c>
      <c r="V1088" t="inlineStr">
        <is>
          <t>PATCH_AVAILABLE</t>
        </is>
      </c>
      <c r="W1088" t="inlineStr">
        <is>
          <t>https://nvd.nist.gov/vuln/detail/CVE-2026-25795</t>
        </is>
      </c>
      <c r="X1088" t="inlineStr">
        <is>
          <t>NONE</t>
        </is>
      </c>
      <c r="Y1088" t="n">
        <v>0</v>
      </c>
      <c r="Z1088" t="inlineStr"/>
      <c r="AA1088" t="inlineStr">
        <is>
          <t>https://nvd.nist.gov/vuln/detail/CVE-2026-25795</t>
        </is>
      </c>
    </row>
    <row r="1089">
      <c r="A1089" t="inlineStr">
        <is>
          <t>CVE</t>
        </is>
      </c>
      <c r="B1089" t="inlineStr">
        <is>
          <t>CVE-2026-25796</t>
        </is>
      </c>
      <c r="C1089" t="inlineStr">
        <is>
          <t>ImageMagick is free and open-source software used for editing and manipulating digital images. Prior to versions 7.1.2-15 and 6.9.13-40, in `ReadSTEGANOImage()` (`coders/stegano.c`), the `watermark` Image object is not freed on three early-return paths, resulting in a definite memory leak (~13.5KB+ per invocation) that can be exploited for denial of service. Versions 7.1.2-15 and 6.9.13-40 contain a patch.</t>
        </is>
      </c>
      <c r="D1089" t="n">
        <v>5.3</v>
      </c>
      <c r="E1089" t="inlineStr">
        <is>
          <t>MEDIUM</t>
        </is>
      </c>
      <c r="F1089" t="n">
        <v>2</v>
      </c>
      <c r="G1089" t="n">
        <v>2</v>
      </c>
      <c r="H1089" t="inlineStr">
        <is>
          <t>MEDIUM</t>
        </is>
      </c>
      <c r="I1089" t="n">
        <v>9.300000000000001</v>
      </c>
      <c r="J1089" t="inlineStr">
        <is>
          <t>NO</t>
        </is>
      </c>
      <c r="K1089" t="inlineStr">
        <is>
          <t>2026-02-26 00:15</t>
        </is>
      </c>
      <c r="L1089" t="inlineStr">
        <is>
          <t>YES</t>
        </is>
      </c>
      <c r="M1089" t="inlineStr">
        <is>
          <t>imagemagick imagemagick *</t>
        </is>
      </c>
      <c r="N1089" t="inlineStr">
        <is>
          <t>P4</t>
        </is>
      </c>
      <c r="O1089" t="inlineStr">
        <is>
          <t>CVE - IP enrichment n/a</t>
        </is>
      </c>
      <c r="P1089" t="n">
        <v>0.0004</v>
      </c>
      <c r="Q1089" t="n">
        <v>0.1269</v>
      </c>
      <c r="R1089" t="inlineStr">
        <is>
          <t>T1190:Exploit Public-Facing Application | T1499:Endpoint Denial of Service</t>
        </is>
      </c>
      <c r="S1089" t="n">
        <v>1</v>
      </c>
      <c r="T1089" t="inlineStr">
        <is>
          <t>LOW (40%)</t>
        </is>
      </c>
      <c r="U1089" t="inlineStr">
        <is>
          <t>UNLIKELY</t>
        </is>
      </c>
      <c r="V1089" t="inlineStr">
        <is>
          <t>PATCH_AVAILABLE</t>
        </is>
      </c>
      <c r="W1089" t="inlineStr">
        <is>
          <t>https://nvd.nist.gov/vuln/detail/CVE-2026-25796</t>
        </is>
      </c>
      <c r="X1089" t="inlineStr">
        <is>
          <t>NONE</t>
        </is>
      </c>
      <c r="Y1089" t="n">
        <v>0</v>
      </c>
      <c r="Z1089" t="inlineStr"/>
      <c r="AA1089" t="inlineStr">
        <is>
          <t>https://nvd.nist.gov/vuln/detail/CVE-2026-25796</t>
        </is>
      </c>
    </row>
    <row r="1090">
      <c r="A1090" t="inlineStr">
        <is>
          <t>CVE</t>
        </is>
      </c>
      <c r="B1090" t="inlineStr">
        <is>
          <t>CVE-2026-25797</t>
        </is>
      </c>
      <c r="C1090" t="inlineStr">
        <is>
          <t>ImageMagick is free and open-source software used for editing and manipulating digital images. Prior to versions 7.1.2-15 and 6.9.13-40, the ps coders, responsible for writing PostScript files, fails to sanitize the input before writing it into the PostScript header.  An attacker can provide a malicous file and inject arbitrary PostScript code. When the resulting file is processed by a printer or a viewer (like Ghostscript), the injected code is interpreted and executed. The html encoder does no</t>
        </is>
      </c>
      <c r="D1090" t="n">
        <v>5.7</v>
      </c>
      <c r="E1090" t="inlineStr">
        <is>
          <t>MEDIUM</t>
        </is>
      </c>
      <c r="F1090" t="n">
        <v>2</v>
      </c>
      <c r="G1090" t="n">
        <v>2</v>
      </c>
      <c r="H1090" t="inlineStr">
        <is>
          <t>MEDIUM</t>
        </is>
      </c>
      <c r="I1090" t="n">
        <v>9.699999999999999</v>
      </c>
      <c r="J1090" t="inlineStr">
        <is>
          <t>NO</t>
        </is>
      </c>
      <c r="K1090" t="inlineStr">
        <is>
          <t>2026-02-26 00:15</t>
        </is>
      </c>
      <c r="L1090" t="inlineStr">
        <is>
          <t>CHECK_VENDOR</t>
        </is>
      </c>
      <c r="M1090" t="inlineStr">
        <is>
          <t>imagemagick imagemagick *</t>
        </is>
      </c>
      <c r="N1090" t="inlineStr">
        <is>
          <t>P4</t>
        </is>
      </c>
      <c r="O1090" t="inlineStr">
        <is>
          <t>CVE - IP enrichment n/a</t>
        </is>
      </c>
      <c r="P1090" t="n">
        <v>0</v>
      </c>
      <c r="Q1090" t="n">
        <v>0</v>
      </c>
      <c r="R1090" t="inlineStr">
        <is>
          <t>T1059:Command and Scripting Interpreter | T1190:Exploit Public-Facing Application</t>
        </is>
      </c>
      <c r="S1090" t="n">
        <v>1</v>
      </c>
      <c r="T1090" t="inlineStr">
        <is>
          <t>LOW (40%)</t>
        </is>
      </c>
      <c r="U1090" t="inlineStr">
        <is>
          <t>UNLIKELY</t>
        </is>
      </c>
      <c r="V1090" t="inlineStr">
        <is>
          <t>CHECK_VENDOR</t>
        </is>
      </c>
      <c r="W1090" t="inlineStr">
        <is>
          <t>https://nvd.nist.gov/vuln/detail/CVE-2026-25797</t>
        </is>
      </c>
      <c r="X1090" t="inlineStr">
        <is>
          <t>NONE</t>
        </is>
      </c>
      <c r="Y1090" t="n">
        <v>0</v>
      </c>
      <c r="Z1090" t="inlineStr"/>
      <c r="AA1090" t="inlineStr">
        <is>
          <t>https://nvd.nist.gov/vuln/detail/CVE-2026-25797</t>
        </is>
      </c>
    </row>
    <row r="1091">
      <c r="A1091" t="inlineStr">
        <is>
          <t>CVE</t>
        </is>
      </c>
      <c r="B1091" t="inlineStr">
        <is>
          <t>CVE-2026-25798</t>
        </is>
      </c>
      <c r="C1091" t="inlineStr">
        <is>
          <t>ImageMagick is free and open-source software used for editing and manipulating digital images. Prior to versions 7.1.2-15 and 6.9.13-40, a NULL pointer dereference in ClonePixelCacheRepository allows a remote attacker to crash any application linked against ImageMagick by supplying a crafted image file, resulting in denial of service. Versions 7.1.2-15 and 6.9.13-40 contain a patch.</t>
        </is>
      </c>
      <c r="D1091" t="n">
        <v>5.3</v>
      </c>
      <c r="E1091" t="inlineStr">
        <is>
          <t>MEDIUM</t>
        </is>
      </c>
      <c r="F1091" t="n">
        <v>2</v>
      </c>
      <c r="G1091" t="n">
        <v>2</v>
      </c>
      <c r="H1091" t="inlineStr">
        <is>
          <t>MEDIUM</t>
        </is>
      </c>
      <c r="I1091" t="n">
        <v>9.300000000000001</v>
      </c>
      <c r="J1091" t="inlineStr">
        <is>
          <t>NO</t>
        </is>
      </c>
      <c r="K1091" t="inlineStr">
        <is>
          <t>2026-02-26 00:15</t>
        </is>
      </c>
      <c r="L1091" t="inlineStr">
        <is>
          <t>YES</t>
        </is>
      </c>
      <c r="M1091" t="inlineStr">
        <is>
          <t>imagemagick imagemagick *</t>
        </is>
      </c>
      <c r="N1091" t="inlineStr">
        <is>
          <t>P4</t>
        </is>
      </c>
      <c r="O1091" t="inlineStr">
        <is>
          <t>CVE - IP enrichment n/a</t>
        </is>
      </c>
      <c r="P1091" t="n">
        <v>0.0011</v>
      </c>
      <c r="Q1091" t="n">
        <v>0.2877</v>
      </c>
      <c r="R1091" t="inlineStr">
        <is>
          <t>T1499:Endpoint Denial of Service | T1190:Exploit Public-Facing Application</t>
        </is>
      </c>
      <c r="S1091" t="n">
        <v>1</v>
      </c>
      <c r="T1091" t="inlineStr">
        <is>
          <t>LOW (40%)</t>
        </is>
      </c>
      <c r="U1091" t="inlineStr">
        <is>
          <t>UNLIKELY</t>
        </is>
      </c>
      <c r="V1091" t="inlineStr">
        <is>
          <t>PATCH_AVAILABLE</t>
        </is>
      </c>
      <c r="W1091" t="inlineStr">
        <is>
          <t>https://nvd.nist.gov/vuln/detail/CVE-2026-25798</t>
        </is>
      </c>
      <c r="X1091" t="inlineStr">
        <is>
          <t>NONE</t>
        </is>
      </c>
      <c r="Y1091" t="n">
        <v>0</v>
      </c>
      <c r="Z1091" t="inlineStr"/>
      <c r="AA1091" t="inlineStr">
        <is>
          <t>https://nvd.nist.gov/vuln/detail/CVE-2026-25798</t>
        </is>
      </c>
    </row>
    <row r="1092">
      <c r="A1092" t="inlineStr">
        <is>
          <t>CVE</t>
        </is>
      </c>
      <c r="B1092" t="inlineStr">
        <is>
          <t>CVE-2026-25799</t>
        </is>
      </c>
      <c r="C1092" t="inlineStr">
        <is>
          <t>ImageMagick is free and open-source software used for editing and manipulating digital images. Prior to versions 7.1.2-15 and 6.9.13-40, a logic error in YUV sampling factor validation allows an invalid sampling factor to bypass checks and trigger a division-by-zero during image loading, resulting in a reliable denial-of-service. Versions 7.1.2-15 and 6.9.13-40 contain a patch.</t>
        </is>
      </c>
      <c r="D1092" t="n">
        <v>5.3</v>
      </c>
      <c r="E1092" t="inlineStr">
        <is>
          <t>MEDIUM</t>
        </is>
      </c>
      <c r="F1092" t="n">
        <v>2</v>
      </c>
      <c r="G1092" t="n">
        <v>2</v>
      </c>
      <c r="H1092" t="inlineStr">
        <is>
          <t>MEDIUM</t>
        </is>
      </c>
      <c r="I1092" t="n">
        <v>9.300000000000001</v>
      </c>
      <c r="J1092" t="inlineStr">
        <is>
          <t>NO</t>
        </is>
      </c>
      <c r="K1092" t="inlineStr">
        <is>
          <t>2026-02-26 00:15</t>
        </is>
      </c>
      <c r="L1092" t="inlineStr">
        <is>
          <t>YES</t>
        </is>
      </c>
      <c r="M1092" t="inlineStr">
        <is>
          <t>imagemagick imagemagick *</t>
        </is>
      </c>
      <c r="N1092" t="inlineStr">
        <is>
          <t>P4</t>
        </is>
      </c>
      <c r="O1092" t="inlineStr">
        <is>
          <t>CVE - IP enrichment n/a</t>
        </is>
      </c>
      <c r="P1092" t="n">
        <v>0</v>
      </c>
      <c r="Q1092" t="n">
        <v>0</v>
      </c>
      <c r="R1092" t="inlineStr">
        <is>
          <t>T1190:Exploit Public-Facing Application</t>
        </is>
      </c>
      <c r="S1092" t="n">
        <v>1</v>
      </c>
      <c r="T1092" t="inlineStr">
        <is>
          <t>LOW (40%)</t>
        </is>
      </c>
      <c r="U1092" t="inlineStr">
        <is>
          <t>UNLIKELY</t>
        </is>
      </c>
      <c r="V1092" t="inlineStr">
        <is>
          <t>PATCH_AVAILABLE</t>
        </is>
      </c>
      <c r="W1092" t="inlineStr">
        <is>
          <t>https://nvd.nist.gov/vuln/detail/CVE-2026-25799</t>
        </is>
      </c>
      <c r="X1092" t="inlineStr">
        <is>
          <t>NONE</t>
        </is>
      </c>
      <c r="Y1092" t="n">
        <v>0</v>
      </c>
      <c r="Z1092" t="inlineStr"/>
      <c r="AA1092" t="inlineStr">
        <is>
          <t>https://nvd.nist.gov/vuln/detail/CVE-2026-25799</t>
        </is>
      </c>
    </row>
    <row r="1093">
      <c r="A1093" t="inlineStr">
        <is>
          <t>CVE</t>
        </is>
      </c>
      <c r="B1093" t="inlineStr">
        <is>
          <t>CVE-2026-25802</t>
        </is>
      </c>
      <c r="C1093" t="inlineStr">
        <is>
          <t>New API is a large language mode (LLM) gateway and artificial intelligence (AI) asset management system. Prior to version 0.10.8-alpha.9, a potential unsafe operation occurs in component `MarkdownRenderer.jsx`, allowing for Cross-Site Scripting(XSS) when the model outputs items containing ` ` tag. Version 0.10.8-alpha.9 fixes the issue.</t>
        </is>
      </c>
      <c r="D1093" t="n">
        <v>7.6</v>
      </c>
      <c r="E1093" t="inlineStr">
        <is>
          <t>HIGH</t>
        </is>
      </c>
      <c r="F1093" t="n">
        <v>2</v>
      </c>
      <c r="G1093" t="n">
        <v>3</v>
      </c>
      <c r="H1093" t="inlineStr">
        <is>
          <t>HIGH</t>
        </is>
      </c>
      <c r="I1093" t="n">
        <v>13.6</v>
      </c>
      <c r="J1093" t="inlineStr">
        <is>
          <t>NO</t>
        </is>
      </c>
      <c r="K1093" t="inlineStr">
        <is>
          <t>2026-02-26 00:15</t>
        </is>
      </c>
      <c r="L1093" t="inlineStr">
        <is>
          <t>YES</t>
        </is>
      </c>
      <c r="M1093" t="inlineStr">
        <is>
          <t>newapi new_api 0.10.8 | newapi new_api *</t>
        </is>
      </c>
      <c r="N1093" t="inlineStr">
        <is>
          <t>P3</t>
        </is>
      </c>
      <c r="O1093" t="inlineStr">
        <is>
          <t>CVE - IP enrichment n/a</t>
        </is>
      </c>
      <c r="P1093" t="n">
        <v>0.0003</v>
      </c>
      <c r="Q1093" t="n">
        <v>0.09959999999999999</v>
      </c>
      <c r="R1093" t="inlineStr">
        <is>
          <t>T1189:Drive-by Compromise</t>
        </is>
      </c>
      <c r="S1093" t="n">
        <v>1</v>
      </c>
      <c r="T1093" t="inlineStr">
        <is>
          <t>LOW (40%)</t>
        </is>
      </c>
      <c r="U1093" t="inlineStr">
        <is>
          <t>UNLIKELY</t>
        </is>
      </c>
      <c r="V1093" t="inlineStr">
        <is>
          <t>PATCH_AVAILABLE</t>
        </is>
      </c>
      <c r="W1093" t="inlineStr">
        <is>
          <t>https://nvd.nist.gov/vuln/detail/CVE-2026-25802</t>
        </is>
      </c>
      <c r="X1093" t="inlineStr">
        <is>
          <t>NONE</t>
        </is>
      </c>
      <c r="Y1093" t="n">
        <v>0</v>
      </c>
      <c r="Z1093" t="inlineStr"/>
      <c r="AA1093" t="inlineStr">
        <is>
          <t>https://nvd.nist.gov/vuln/detail/CVE-2026-25802</t>
        </is>
      </c>
    </row>
    <row r="1094">
      <c r="A1094" t="inlineStr">
        <is>
          <t>CVE</t>
        </is>
      </c>
      <c r="B1094" t="inlineStr">
        <is>
          <t>CVE-2026-26024</t>
        </is>
      </c>
      <c r="C1094" t="inlineStr">
        <is>
          <t>free5GC SMF provides Session Management Function for free5GC, an open-source project for 5th generation (5G) mobile core networks. In versions up to and including 1.4.1, SMF panics and terminates when processing a malformed PFCP SessionReportRequest on the PFCP (UDP/8805) interface. ￼No known upstream fix is available, but some workarounds are available. ACL/firewall the PFCP interface so only trusted UPF IPs can reach SMF (reduce spoofing/abuse surface); drop/inspect malformed PFCP SessionRepor</t>
        </is>
      </c>
      <c r="D1094" t="n">
        <v>7.5</v>
      </c>
      <c r="E1094" t="inlineStr">
        <is>
          <t>HIGH</t>
        </is>
      </c>
      <c r="F1094" t="n">
        <v>2</v>
      </c>
      <c r="G1094" t="n">
        <v>3</v>
      </c>
      <c r="H1094" t="inlineStr">
        <is>
          <t>HIGH</t>
        </is>
      </c>
      <c r="I1094" t="n">
        <v>13.5</v>
      </c>
      <c r="J1094" t="inlineStr">
        <is>
          <t>NO</t>
        </is>
      </c>
      <c r="K1094" t="inlineStr">
        <is>
          <t>2026-02-26 00:15</t>
        </is>
      </c>
      <c r="L1094" t="inlineStr">
        <is>
          <t>YES</t>
        </is>
      </c>
      <c r="M1094" t="inlineStr">
        <is>
          <t>free5gc smf *</t>
        </is>
      </c>
      <c r="N1094" t="inlineStr">
        <is>
          <t>P3</t>
        </is>
      </c>
      <c r="O1094" t="inlineStr">
        <is>
          <t>CVE - IP enrichment n/a</t>
        </is>
      </c>
      <c r="P1094" t="n">
        <v>0</v>
      </c>
      <c r="Q1094" t="n">
        <v>0</v>
      </c>
      <c r="R1094" t="inlineStr">
        <is>
          <t>T1499:Endpoint Denial of Service | T1190:Exploit Public-Facing Application | T1562:Impair Defenses</t>
        </is>
      </c>
      <c r="S1094" t="n">
        <v>1</v>
      </c>
      <c r="T1094" t="inlineStr">
        <is>
          <t>LOW (40%)</t>
        </is>
      </c>
      <c r="U1094" t="inlineStr">
        <is>
          <t>UNLIKELY</t>
        </is>
      </c>
      <c r="V1094" t="inlineStr">
        <is>
          <t>PATCH_AVAILABLE</t>
        </is>
      </c>
      <c r="W1094" t="inlineStr">
        <is>
          <t>https://nvd.nist.gov/vuln/detail/CVE-2026-26024</t>
        </is>
      </c>
      <c r="X1094" t="inlineStr">
        <is>
          <t>NONE</t>
        </is>
      </c>
      <c r="Y1094" t="n">
        <v>0</v>
      </c>
      <c r="Z1094" t="inlineStr"/>
      <c r="AA1094" t="inlineStr">
        <is>
          <t>https://nvd.nist.gov/vuln/detail/CVE-2026-26024</t>
        </is>
      </c>
    </row>
    <row r="1095">
      <c r="A1095" t="inlineStr">
        <is>
          <t>CVE</t>
        </is>
      </c>
      <c r="B1095" t="inlineStr">
        <is>
          <t>CVE-2026-26025</t>
        </is>
      </c>
      <c r="C1095" t="inlineStr">
        <is>
          <t>free5GC SMF provides Session Management Function for free5GC, an open-source project for 5th generation (5G) mobile core networks. In versions up to and including 1.4.1, SMF panics and terminates when processing a malformed PFCP SessionReportRequest on the PFCP (UDP/8805) interface. ￼No known upstream fix is available, but some workarounds are available. ACL/firewall the PFCP interface so only trusted UPF IPs can reach SMF (reduce spoofing/abuse surface); drop/inspect malformed PFCP SessionRepor</t>
        </is>
      </c>
      <c r="D1095" t="n">
        <v>7.5</v>
      </c>
      <c r="E1095" t="inlineStr">
        <is>
          <t>HIGH</t>
        </is>
      </c>
      <c r="F1095" t="n">
        <v>2</v>
      </c>
      <c r="G1095" t="n">
        <v>3</v>
      </c>
      <c r="H1095" t="inlineStr">
        <is>
          <t>HIGH</t>
        </is>
      </c>
      <c r="I1095" t="n">
        <v>13.5</v>
      </c>
      <c r="J1095" t="inlineStr">
        <is>
          <t>NO</t>
        </is>
      </c>
      <c r="K1095" t="inlineStr">
        <is>
          <t>2026-02-26 00:15</t>
        </is>
      </c>
      <c r="L1095" t="inlineStr">
        <is>
          <t>YES</t>
        </is>
      </c>
      <c r="M1095" t="inlineStr">
        <is>
          <t>free5gc smf *</t>
        </is>
      </c>
      <c r="N1095" t="inlineStr">
        <is>
          <t>P3</t>
        </is>
      </c>
      <c r="O1095" t="inlineStr">
        <is>
          <t>CVE - IP enrichment n/a</t>
        </is>
      </c>
      <c r="P1095" t="n">
        <v>0</v>
      </c>
      <c r="Q1095" t="n">
        <v>0</v>
      </c>
      <c r="R1095" t="inlineStr">
        <is>
          <t>T1499:Endpoint Denial of Service | T1190:Exploit Public-Facing Application | T1562:Impair Defenses</t>
        </is>
      </c>
      <c r="S1095" t="n">
        <v>1</v>
      </c>
      <c r="T1095" t="inlineStr">
        <is>
          <t>LOW (40%)</t>
        </is>
      </c>
      <c r="U1095" t="inlineStr">
        <is>
          <t>UNLIKELY</t>
        </is>
      </c>
      <c r="V1095" t="inlineStr">
        <is>
          <t>PATCH_AVAILABLE</t>
        </is>
      </c>
      <c r="W1095" t="inlineStr">
        <is>
          <t>https://nvd.nist.gov/vuln/detail/CVE-2026-26025</t>
        </is>
      </c>
      <c r="X1095" t="inlineStr">
        <is>
          <t>NONE</t>
        </is>
      </c>
      <c r="Y1095" t="n">
        <v>0</v>
      </c>
      <c r="Z1095" t="inlineStr"/>
      <c r="AA1095" t="inlineStr">
        <is>
          <t>https://nvd.nist.gov/vuln/detail/CVE-2026-26025</t>
        </is>
      </c>
    </row>
    <row r="1096">
      <c r="A1096" t="inlineStr">
        <is>
          <t>CVE</t>
        </is>
      </c>
      <c r="B1096" t="inlineStr">
        <is>
          <t>CVE-2026-27642</t>
        </is>
      </c>
      <c r="C1096" t="inlineStr">
        <is>
          <t>free5gc UDM provides Unified Data Management (UDM) for free5GC, an open-source project for 5th generation (5G) mobile core networks. In versions up to and including 1.4.1, remote attackers can inject control characters (e.g., %00) into the supi parameter, triggering internal URL parsing errors (net/url: invalid control character). This exposes system-level error details and can be used for service fingerprinting. All deployments of free5GC using the UDM Nudm_UEAU service may be affected. free5gc</t>
        </is>
      </c>
      <c r="D1096" t="n">
        <v>7.5</v>
      </c>
      <c r="E1096" t="inlineStr">
        <is>
          <t>HIGH</t>
        </is>
      </c>
      <c r="F1096" t="n">
        <v>2</v>
      </c>
      <c r="G1096" t="n">
        <v>3</v>
      </c>
      <c r="H1096" t="inlineStr">
        <is>
          <t>HIGH</t>
        </is>
      </c>
      <c r="I1096" t="n">
        <v>13.5</v>
      </c>
      <c r="J1096" t="inlineStr">
        <is>
          <t>NO</t>
        </is>
      </c>
      <c r="K1096" t="inlineStr">
        <is>
          <t>2026-02-26 00:15</t>
        </is>
      </c>
      <c r="L1096" t="inlineStr">
        <is>
          <t>YES</t>
        </is>
      </c>
      <c r="M1096" t="inlineStr">
        <is>
          <t>free5gc udm *</t>
        </is>
      </c>
      <c r="N1096" t="inlineStr">
        <is>
          <t>P3</t>
        </is>
      </c>
      <c r="O1096" t="inlineStr">
        <is>
          <t>CVE - IP enrichment n/a</t>
        </is>
      </c>
      <c r="P1096" t="n">
        <v>0</v>
      </c>
      <c r="Q1096" t="n">
        <v>0</v>
      </c>
      <c r="R1096" t="inlineStr">
        <is>
          <t>T1190:Exploit Public-Facing Application</t>
        </is>
      </c>
      <c r="S1096" t="n">
        <v>1</v>
      </c>
      <c r="T1096" t="inlineStr">
        <is>
          <t>LOW (40%)</t>
        </is>
      </c>
      <c r="U1096" t="inlineStr">
        <is>
          <t>UNLIKELY</t>
        </is>
      </c>
      <c r="V1096" t="inlineStr">
        <is>
          <t>PATCH_AVAILABLE</t>
        </is>
      </c>
      <c r="W1096" t="inlineStr">
        <is>
          <t>https://nvd.nist.gov/vuln/detail/CVE-2026-27642</t>
        </is>
      </c>
      <c r="X1096" t="inlineStr">
        <is>
          <t>NONE</t>
        </is>
      </c>
      <c r="Y1096" t="n">
        <v>0</v>
      </c>
      <c r="Z1096" t="inlineStr"/>
      <c r="AA1096" t="inlineStr">
        <is>
          <t>https://nvd.nist.gov/vuln/detail/CVE-2026-27642</t>
        </is>
      </c>
    </row>
    <row r="1097">
      <c r="A1097" t="inlineStr">
        <is>
          <t>CVE</t>
        </is>
      </c>
      <c r="B1097" t="inlineStr">
        <is>
          <t>CVE-2026-27643</t>
        </is>
      </c>
      <c r="C1097" t="inlineStr">
        <is>
          <t>free5GC UDR is the user data repository (UDR) for free5GC, an an open-source project for 5th generation (5G) mobile core networks. In versions up to and including 1.4.1, the NEF component reliably leaks internal parsing error details (e.g., invalid character 'n' after top-level value) to remote clients, which can aid attackers in service fingerprinting. All deployments of free5GC  using the Nnef_PfdManagement service may be affected. free5gc/udr pull request 56 contains a patch for the issue. Th</t>
        </is>
      </c>
      <c r="D1097" t="n">
        <v>5.3</v>
      </c>
      <c r="E1097" t="inlineStr">
        <is>
          <t>MEDIUM</t>
        </is>
      </c>
      <c r="F1097" t="n">
        <v>2</v>
      </c>
      <c r="G1097" t="n">
        <v>2</v>
      </c>
      <c r="H1097" t="inlineStr">
        <is>
          <t>MEDIUM</t>
        </is>
      </c>
      <c r="I1097" t="n">
        <v>9.300000000000001</v>
      </c>
      <c r="J1097" t="inlineStr">
        <is>
          <t>NO</t>
        </is>
      </c>
      <c r="K1097" t="inlineStr">
        <is>
          <t>2026-02-26 00:15</t>
        </is>
      </c>
      <c r="L1097" t="inlineStr">
        <is>
          <t>YES</t>
        </is>
      </c>
      <c r="M1097" t="inlineStr">
        <is>
          <t>free5gc udr *</t>
        </is>
      </c>
      <c r="N1097" t="inlineStr">
        <is>
          <t>P4</t>
        </is>
      </c>
      <c r="O1097" t="inlineStr">
        <is>
          <t>CVE - IP enrichment n/a</t>
        </is>
      </c>
      <c r="P1097" t="n">
        <v>0</v>
      </c>
      <c r="Q1097" t="n">
        <v>0</v>
      </c>
      <c r="R1097" t="inlineStr">
        <is>
          <t>T1190:Exploit Public-Facing Application</t>
        </is>
      </c>
      <c r="S1097" t="n">
        <v>1</v>
      </c>
      <c r="T1097" t="inlineStr">
        <is>
          <t>LOW (40%)</t>
        </is>
      </c>
      <c r="U1097" t="inlineStr">
        <is>
          <t>UNLIKELY</t>
        </is>
      </c>
      <c r="V1097" t="inlineStr">
        <is>
          <t>PATCH_AVAILABLE</t>
        </is>
      </c>
      <c r="W1097" t="inlineStr">
        <is>
          <t>https://nvd.nist.gov/vuln/detail/CVE-2026-27643</t>
        </is>
      </c>
      <c r="X1097" t="inlineStr">
        <is>
          <t>NONE</t>
        </is>
      </c>
      <c r="Y1097" t="n">
        <v>0</v>
      </c>
      <c r="Z1097" t="inlineStr"/>
      <c r="AA1097" t="inlineStr">
        <is>
          <t>https://nvd.nist.gov/vuln/detail/CVE-2026-27643</t>
        </is>
      </c>
    </row>
    <row r="1098">
      <c r="A1098" t="inlineStr">
        <is>
          <t>CVE</t>
        </is>
      </c>
      <c r="B1098" t="inlineStr">
        <is>
          <t>CVE-2026-27729</t>
        </is>
      </c>
      <c r="C1098" t="inlineStr">
        <is>
          <t>Astro is a web framework. In versions 9.0.0 through 9.5.3, Astro server actions have no default request body size limit, which can lead to memory exhaustion DoS. A single large POST to a valid action endpoint can crash the server process on memory-constrained deployments. On-demand rendered sites built with Astro can define server actions, which automatically parse incoming request bodies (JSON or FormData). The body is buffered entirely into memory with no size limit — a single oversized reques</t>
        </is>
      </c>
      <c r="D1098" t="n">
        <v>5.9</v>
      </c>
      <c r="E1098" t="inlineStr">
        <is>
          <t>MEDIUM</t>
        </is>
      </c>
      <c r="F1098" t="n">
        <v>2</v>
      </c>
      <c r="G1098" t="n">
        <v>2</v>
      </c>
      <c r="H1098" t="inlineStr">
        <is>
          <t>MEDIUM</t>
        </is>
      </c>
      <c r="I1098" t="n">
        <v>9.9</v>
      </c>
      <c r="J1098" t="inlineStr">
        <is>
          <t>NO</t>
        </is>
      </c>
      <c r="K1098" t="inlineStr">
        <is>
          <t>2026-02-26 00:15</t>
        </is>
      </c>
      <c r="L1098" t="inlineStr">
        <is>
          <t>YES</t>
        </is>
      </c>
      <c r="M1098" t="inlineStr">
        <is>
          <t>astro \@astrojs\/node *</t>
        </is>
      </c>
      <c r="N1098" t="inlineStr">
        <is>
          <t>P4</t>
        </is>
      </c>
      <c r="O1098" t="inlineStr">
        <is>
          <t>CVE - IP enrichment n/a</t>
        </is>
      </c>
      <c r="P1098" t="n">
        <v>0</v>
      </c>
      <c r="Q1098" t="n">
        <v>0</v>
      </c>
      <c r="R1098" t="inlineStr">
        <is>
          <t>T1499:Endpoint Denial of Service</t>
        </is>
      </c>
      <c r="S1098" t="n">
        <v>1</v>
      </c>
      <c r="T1098" t="inlineStr">
        <is>
          <t>LOW (40%)</t>
        </is>
      </c>
      <c r="U1098" t="inlineStr">
        <is>
          <t>UNLIKELY</t>
        </is>
      </c>
      <c r="V1098" t="inlineStr">
        <is>
          <t>PATCH_AVAILABLE</t>
        </is>
      </c>
      <c r="W1098" t="inlineStr">
        <is>
          <t>https://nvd.nist.gov/vuln/detail/CVE-2026-27729</t>
        </is>
      </c>
      <c r="X1098" t="inlineStr">
        <is>
          <t>NONE</t>
        </is>
      </c>
      <c r="Y1098" t="n">
        <v>0</v>
      </c>
      <c r="Z1098" t="inlineStr"/>
      <c r="AA1098" t="inlineStr">
        <is>
          <t>https://nvd.nist.gov/vuln/detail/CVE-2026-27729</t>
        </is>
      </c>
    </row>
    <row r="1099">
      <c r="A1099" t="inlineStr">
        <is>
          <t>CVE</t>
        </is>
      </c>
      <c r="B1099" t="inlineStr">
        <is>
          <t>CVE-2026-3046</t>
        </is>
      </c>
      <c r="C1099" t="inlineStr">
        <is>
          <t>A security vulnerability has been detected in itsourcecode E-Logbook with Health Monitoring System for COVID-19 1.0. This vulnerability affects unknown code of the file /check_profile_old.php. The manipulation of the argument profile_id leads to sql injection. Remote exploitation of the attack is possible. The exploit has been disclosed publicly and may be used.</t>
        </is>
      </c>
      <c r="D1099" t="n">
        <v>7.3</v>
      </c>
      <c r="E1099" t="inlineStr">
        <is>
          <t>HIGH</t>
        </is>
      </c>
      <c r="F1099" t="n">
        <v>2</v>
      </c>
      <c r="G1099" t="n">
        <v>3</v>
      </c>
      <c r="H1099" t="inlineStr">
        <is>
          <t>HIGH</t>
        </is>
      </c>
      <c r="I1099" t="n">
        <v>13.3</v>
      </c>
      <c r="J1099" t="inlineStr">
        <is>
          <t>NO</t>
        </is>
      </c>
      <c r="K1099" t="inlineStr">
        <is>
          <t>2026-02-26 00:15</t>
        </is>
      </c>
      <c r="L1099" t="inlineStr">
        <is>
          <t>YES</t>
        </is>
      </c>
      <c r="M1099" t="inlineStr">
        <is>
          <t>emiloi e-logbook_with_health_monitoring_system_for_covid-19 1.0</t>
        </is>
      </c>
      <c r="N1099" t="inlineStr">
        <is>
          <t>P3</t>
        </is>
      </c>
      <c r="O1099" t="inlineStr">
        <is>
          <t>CVE - IP enrichment n/a</t>
        </is>
      </c>
      <c r="P1099" t="n">
        <v>0</v>
      </c>
      <c r="Q1099" t="n">
        <v>0</v>
      </c>
      <c r="R1099" t="inlineStr">
        <is>
          <t>T1190:Exploit Public-Facing Application</t>
        </is>
      </c>
      <c r="S1099" t="n">
        <v>1</v>
      </c>
      <c r="T1099" t="inlineStr">
        <is>
          <t>LOW (40%)</t>
        </is>
      </c>
      <c r="U1099" t="inlineStr">
        <is>
          <t>UNLIKELY</t>
        </is>
      </c>
      <c r="V1099" t="inlineStr">
        <is>
          <t>PATCH_AVAILABLE</t>
        </is>
      </c>
      <c r="W1099" t="inlineStr">
        <is>
          <t>https://nvd.nist.gov/vuln/detail/CVE-2026-3046</t>
        </is>
      </c>
      <c r="X1099" t="inlineStr">
        <is>
          <t>NONE</t>
        </is>
      </c>
      <c r="Y1099" t="n">
        <v>0</v>
      </c>
      <c r="Z1099" t="inlineStr"/>
      <c r="AA1099" t="inlineStr">
        <is>
          <t>https://nvd.nist.gov/vuln/detail/CVE-2026-3046</t>
        </is>
      </c>
    </row>
    <row r="1100">
      <c r="A1100" t="inlineStr">
        <is>
          <t>CVE</t>
        </is>
      </c>
      <c r="B1100" t="inlineStr">
        <is>
          <t>CVE-2026-3049</t>
        </is>
      </c>
      <c r="C1100" t="inlineStr">
        <is>
          <t xml:space="preserve">A vulnerability was detected in horilla-opensource horilla up to 1.0.2. This issue affects the function get of the file horilla_generics/global_search.py of the component Query Parameter Handler. The manipulation of the argument prev_url results in open redirect. The attack can be executed remotely. The exploit is now public and may be used. Upgrading to version 1.0.3 is capable of addressing this issue. The patch is identified as 730b5a44ff060916780c44a4bdbc8ced70a2cd27. The affected component </t>
        </is>
      </c>
      <c r="D1100" t="n">
        <v>4.3</v>
      </c>
      <c r="E1100" t="inlineStr">
        <is>
          <t>MEDIUM</t>
        </is>
      </c>
      <c r="F1100" t="n">
        <v>2</v>
      </c>
      <c r="G1100" t="n">
        <v>2</v>
      </c>
      <c r="H1100" t="inlineStr">
        <is>
          <t>MEDIUM</t>
        </is>
      </c>
      <c r="I1100" t="n">
        <v>8.300000000000001</v>
      </c>
      <c r="J1100" t="inlineStr">
        <is>
          <t>NO</t>
        </is>
      </c>
      <c r="K1100" t="inlineStr">
        <is>
          <t>2026-02-26 00:15</t>
        </is>
      </c>
      <c r="L1100" t="inlineStr">
        <is>
          <t>YES</t>
        </is>
      </c>
      <c r="M1100" t="inlineStr">
        <is>
          <t>horilla horilla *</t>
        </is>
      </c>
      <c r="N1100" t="inlineStr">
        <is>
          <t>P4</t>
        </is>
      </c>
      <c r="O1100" t="inlineStr">
        <is>
          <t>CVE - IP enrichment n/a</t>
        </is>
      </c>
      <c r="P1100" t="n">
        <v>0</v>
      </c>
      <c r="Q1100" t="n">
        <v>0</v>
      </c>
      <c r="R1100" t="inlineStr">
        <is>
          <t>T1189:Drive-by Compromise | T1190:Exploit Public-Facing Application</t>
        </is>
      </c>
      <c r="S1100" t="n">
        <v>1</v>
      </c>
      <c r="T1100" t="inlineStr">
        <is>
          <t>LOW (40%)</t>
        </is>
      </c>
      <c r="U1100" t="inlineStr">
        <is>
          <t>UNLIKELY</t>
        </is>
      </c>
      <c r="V1100" t="inlineStr">
        <is>
          <t>PATCH_AVAILABLE</t>
        </is>
      </c>
      <c r="W1100" t="inlineStr">
        <is>
          <t>https://nvd.nist.gov/vuln/detail/CVE-2026-3049</t>
        </is>
      </c>
      <c r="X1100" t="inlineStr">
        <is>
          <t>NONE</t>
        </is>
      </c>
      <c r="Y1100" t="n">
        <v>0</v>
      </c>
      <c r="Z1100" t="inlineStr"/>
      <c r="AA1100" t="inlineStr">
        <is>
          <t>https://nvd.nist.gov/vuln/detail/CVE-2026-3049</t>
        </is>
      </c>
    </row>
    <row r="1101">
      <c r="A1101" t="inlineStr">
        <is>
          <t>CVE</t>
        </is>
      </c>
      <c r="B1101" t="inlineStr">
        <is>
          <t>CVE-2026-3050</t>
        </is>
      </c>
      <c r="C1101" t="inlineStr">
        <is>
          <t>A flaw has been found in horilla-opensource horilla up to 1.0.2. Impacted is an unknown function of the file static/assets/js/global.js of the component Leads Module. This manipulation of the argument Notes causes cross site scripting. The attack is possible to be carried out remotely. The exploit has been published and may be used. Upgrading to version 1.0.3 is recommended to address this issue. Patch name: fc5c8e55988e89273012491b5f097b762b474546. It is suggested to upgrade the affected compon</t>
        </is>
      </c>
      <c r="D1101" t="n">
        <v>3.5</v>
      </c>
      <c r="E1101" t="inlineStr">
        <is>
          <t>LOW</t>
        </is>
      </c>
      <c r="F1101" t="n">
        <v>2</v>
      </c>
      <c r="G1101" t="n">
        <v>1</v>
      </c>
      <c r="H1101" t="inlineStr">
        <is>
          <t>LOW</t>
        </is>
      </c>
      <c r="I1101" t="n">
        <v>5.5</v>
      </c>
      <c r="J1101" t="inlineStr">
        <is>
          <t>NO</t>
        </is>
      </c>
      <c r="K1101" t="inlineStr">
        <is>
          <t>2026-02-26 00:15</t>
        </is>
      </c>
      <c r="L1101" t="inlineStr">
        <is>
          <t>YES</t>
        </is>
      </c>
      <c r="M1101" t="inlineStr">
        <is>
          <t>horilla horilla *</t>
        </is>
      </c>
      <c r="N1101" t="inlineStr">
        <is>
          <t>P4</t>
        </is>
      </c>
      <c r="O1101" t="inlineStr">
        <is>
          <t>CVE - IP enrichment n/a</t>
        </is>
      </c>
      <c r="P1101" t="n">
        <v>0</v>
      </c>
      <c r="Q1101" t="n">
        <v>0</v>
      </c>
      <c r="R1101" t="inlineStr">
        <is>
          <t>T1189:Drive-by Compromise | T1190:Exploit Public-Facing Application</t>
        </is>
      </c>
      <c r="S1101" t="n">
        <v>1</v>
      </c>
      <c r="T1101" t="inlineStr">
        <is>
          <t>LOW (40%)</t>
        </is>
      </c>
      <c r="U1101" t="inlineStr">
        <is>
          <t>UNLIKELY</t>
        </is>
      </c>
      <c r="V1101" t="inlineStr">
        <is>
          <t>PATCH_AVAILABLE</t>
        </is>
      </c>
      <c r="W1101" t="inlineStr">
        <is>
          <t>https://nvd.nist.gov/vuln/detail/CVE-2026-3050</t>
        </is>
      </c>
      <c r="X1101" t="inlineStr">
        <is>
          <t>NONE</t>
        </is>
      </c>
      <c r="Y1101" t="n">
        <v>0</v>
      </c>
      <c r="Z1101" t="inlineStr"/>
      <c r="AA1101" t="inlineStr">
        <is>
          <t>https://nvd.nist.gov/vuln/detail/CVE-2026-3050</t>
        </is>
      </c>
    </row>
    <row r="1102">
      <c r="A1102" t="inlineStr">
        <is>
          <t>CVE</t>
        </is>
      </c>
      <c r="B1102" t="inlineStr">
        <is>
          <t>CVE-2026-3051</t>
        </is>
      </c>
      <c r="C1102" t="inlineStr">
        <is>
          <t>A vulnerability has been found in DataLinkDC dinky up to 1.2.5. The affected element is the function getProjectDir of the file dinky-admin/src/main/java/org/dinky/utils/GitRepository.java of the component Project Name Handler. Such manipulation of the argument projectName leads to path traversal. The attack may be performed from remote. The exploit has been disclosed to the public and may be used. The vendor was contacted early about this disclosure but did not respond in any way.</t>
        </is>
      </c>
      <c r="D1102" t="n">
        <v>6.3</v>
      </c>
      <c r="E1102" t="inlineStr">
        <is>
          <t>MEDIUM</t>
        </is>
      </c>
      <c r="F1102" t="n">
        <v>2</v>
      </c>
      <c r="G1102" t="n">
        <v>2</v>
      </c>
      <c r="H1102" t="inlineStr">
        <is>
          <t>MEDIUM</t>
        </is>
      </c>
      <c r="I1102" t="n">
        <v>10.3</v>
      </c>
      <c r="J1102" t="inlineStr">
        <is>
          <t>NO</t>
        </is>
      </c>
      <c r="K1102" t="inlineStr">
        <is>
          <t>2026-02-26 00:15</t>
        </is>
      </c>
      <c r="L1102" t="inlineStr">
        <is>
          <t>CHECK_VENDOR</t>
        </is>
      </c>
      <c r="M1102" t="inlineStr">
        <is>
          <t>dinky dinky *</t>
        </is>
      </c>
      <c r="N1102" t="inlineStr">
        <is>
          <t>P4</t>
        </is>
      </c>
      <c r="O1102" t="inlineStr">
        <is>
          <t>CVE - IP enrichment n/a</t>
        </is>
      </c>
      <c r="P1102" t="n">
        <v>0</v>
      </c>
      <c r="Q1102" t="n">
        <v>0</v>
      </c>
      <c r="R1102" t="inlineStr">
        <is>
          <t>T1083:File and Directory Discovery</t>
        </is>
      </c>
      <c r="S1102" t="n">
        <v>1</v>
      </c>
      <c r="T1102" t="inlineStr">
        <is>
          <t>LOW (40%)</t>
        </is>
      </c>
      <c r="U1102" t="inlineStr">
        <is>
          <t>UNLIKELY</t>
        </is>
      </c>
      <c r="V1102" t="inlineStr">
        <is>
          <t>CHECK_VENDOR</t>
        </is>
      </c>
      <c r="W1102" t="inlineStr">
        <is>
          <t>https://nvd.nist.gov/vuln/detail/CVE-2026-3051</t>
        </is>
      </c>
      <c r="X1102" t="inlineStr">
        <is>
          <t>NONE</t>
        </is>
      </c>
      <c r="Y1102" t="n">
        <v>0</v>
      </c>
      <c r="Z1102" t="inlineStr"/>
      <c r="AA1102" t="inlineStr">
        <is>
          <t>https://nvd.nist.gov/vuln/detail/CVE-2026-3051</t>
        </is>
      </c>
    </row>
    <row r="1103">
      <c r="A1103" t="inlineStr">
        <is>
          <t>CVE</t>
        </is>
      </c>
      <c r="B1103" t="inlineStr">
        <is>
          <t>CVE-2025-11845</t>
        </is>
      </c>
      <c r="C1103" t="inlineStr">
        <is>
          <t>A null pointer dereference vulnerability in the certificate downloader CGI program of the Zyxel VMG3625-T50B firmware versions through 5.50(ABPM.9.6)C0 and the Zyxel WX3100-T0 firmware versions through 5.50(ABVL.4.8)C0 could allow an authenticated attacker with administrator privileges to trigger a denial-of-service (DoS) condition by sending a crafted HTTP request.</t>
        </is>
      </c>
      <c r="D1103" t="n">
        <v>4.9</v>
      </c>
      <c r="E1103" t="inlineStr">
        <is>
          <t>MEDIUM</t>
        </is>
      </c>
      <c r="F1103" t="n">
        <v>2</v>
      </c>
      <c r="G1103" t="n">
        <v>2</v>
      </c>
      <c r="H1103" t="inlineStr">
        <is>
          <t>MEDIUM</t>
        </is>
      </c>
      <c r="I1103" t="n">
        <v>8.9</v>
      </c>
      <c r="J1103" t="inlineStr">
        <is>
          <t>NO</t>
        </is>
      </c>
      <c r="K1103" t="inlineStr">
        <is>
          <t>2026-02-26 00:15</t>
        </is>
      </c>
      <c r="L1103" t="inlineStr">
        <is>
          <t>YES</t>
        </is>
      </c>
      <c r="M1103" t="inlineStr">
        <is>
          <t>zyxel nebula_fwa515_firmware * | zyxel vmg4005-b60a_firmware * | zyxel nebula_fwa710_firmware *</t>
        </is>
      </c>
      <c r="N1103" t="inlineStr">
        <is>
          <t>P4</t>
        </is>
      </c>
      <c r="O1103" t="inlineStr">
        <is>
          <t>CVE - IP enrichment n/a</t>
        </is>
      </c>
      <c r="P1103" t="n">
        <v>0.0019</v>
      </c>
      <c r="Q1103" t="n">
        <v>0.4071</v>
      </c>
      <c r="R1103" t="inlineStr">
        <is>
          <t>T1499:Endpoint Denial of Service</t>
        </is>
      </c>
      <c r="S1103" t="n">
        <v>1</v>
      </c>
      <c r="T1103" t="inlineStr">
        <is>
          <t>LOW (40%)</t>
        </is>
      </c>
      <c r="U1103" t="inlineStr">
        <is>
          <t>UNLIKELY</t>
        </is>
      </c>
      <c r="V1103" t="inlineStr">
        <is>
          <t>PATCH_AVAILABLE</t>
        </is>
      </c>
      <c r="W1103" t="inlineStr">
        <is>
          <t>https://nvd.nist.gov/vuln/detail/CVE-2025-11845</t>
        </is>
      </c>
      <c r="X1103" t="inlineStr">
        <is>
          <t>NONE</t>
        </is>
      </c>
      <c r="Y1103" t="n">
        <v>0</v>
      </c>
      <c r="Z1103" t="inlineStr"/>
      <c r="AA1103" t="inlineStr">
        <is>
          <t>https://nvd.nist.gov/vuln/detail/CVE-2025-11845</t>
        </is>
      </c>
    </row>
    <row r="1104">
      <c r="A1104" t="inlineStr">
        <is>
          <t>CVE</t>
        </is>
      </c>
      <c r="B1104" t="inlineStr">
        <is>
          <t>CVE-2025-11846</t>
        </is>
      </c>
      <c r="C1104" t="inlineStr">
        <is>
          <t>A null pointer dereference vulnerability in the account settings CGI program of the Zyxel VMG3625-T50B firmware versions through 5.50(ABPM.9.6)C0 and the Zyxel WX3100-T0 firmware versions through 5.50(ABVL.4.8)C0 could allow an authenticated attacker with administrator privileges to trigger a denial-of-service (DoS) condition by sending a crafted HTTP request.</t>
        </is>
      </c>
      <c r="D1104" t="n">
        <v>4.9</v>
      </c>
      <c r="E1104" t="inlineStr">
        <is>
          <t>MEDIUM</t>
        </is>
      </c>
      <c r="F1104" t="n">
        <v>2</v>
      </c>
      <c r="G1104" t="n">
        <v>2</v>
      </c>
      <c r="H1104" t="inlineStr">
        <is>
          <t>MEDIUM</t>
        </is>
      </c>
      <c r="I1104" t="n">
        <v>8.9</v>
      </c>
      <c r="J1104" t="inlineStr">
        <is>
          <t>NO</t>
        </is>
      </c>
      <c r="K1104" t="inlineStr">
        <is>
          <t>2026-02-26 00:15</t>
        </is>
      </c>
      <c r="L1104" t="inlineStr">
        <is>
          <t>YES</t>
        </is>
      </c>
      <c r="M1104" t="inlineStr">
        <is>
          <t>zyxel nebula_fwa515_firmware * | zyxel vmg4005-b60a_firmware * | zyxel nebula_fwa710_firmware *</t>
        </is>
      </c>
      <c r="N1104" t="inlineStr">
        <is>
          <t>P4</t>
        </is>
      </c>
      <c r="O1104" t="inlineStr">
        <is>
          <t>CVE - IP enrichment n/a</t>
        </is>
      </c>
      <c r="P1104" t="n">
        <v>0</v>
      </c>
      <c r="Q1104" t="n">
        <v>0</v>
      </c>
      <c r="R1104" t="inlineStr">
        <is>
          <t>T1499:Endpoint Denial of Service</t>
        </is>
      </c>
      <c r="S1104" t="n">
        <v>1</v>
      </c>
      <c r="T1104" t="inlineStr">
        <is>
          <t>LOW (40%)</t>
        </is>
      </c>
      <c r="U1104" t="inlineStr">
        <is>
          <t>UNLIKELY</t>
        </is>
      </c>
      <c r="V1104" t="inlineStr">
        <is>
          <t>PATCH_AVAILABLE</t>
        </is>
      </c>
      <c r="W1104" t="inlineStr">
        <is>
          <t>https://nvd.nist.gov/vuln/detail/CVE-2025-11846</t>
        </is>
      </c>
      <c r="X1104" t="inlineStr">
        <is>
          <t>NONE</t>
        </is>
      </c>
      <c r="Y1104" t="n">
        <v>0</v>
      </c>
      <c r="Z1104" t="inlineStr"/>
      <c r="AA1104" t="inlineStr">
        <is>
          <t>https://nvd.nist.gov/vuln/detail/CVE-2025-11846</t>
        </is>
      </c>
    </row>
    <row r="1105">
      <c r="A1105" t="inlineStr">
        <is>
          <t>CVE</t>
        </is>
      </c>
      <c r="B1105" t="inlineStr">
        <is>
          <t>CVE-2026-25897</t>
        </is>
      </c>
      <c r="C1105" t="inlineStr">
        <is>
          <t>ImageMagick is free and open-source software used for editing and manipulating digital images. Prior to versions 7.1.2-15 and 6.9.13-40, an Integer Overflow vulnerability exists in the sun decoder. On 32-bit systems/builds, a carefully crafted image can lead to an out of bounds heap write. Versions 7.1.2-15 and 6.9.13-40 contain a patch.</t>
        </is>
      </c>
      <c r="D1105" t="n">
        <v>6.5</v>
      </c>
      <c r="E1105" t="inlineStr">
        <is>
          <t>MEDIUM</t>
        </is>
      </c>
      <c r="F1105" t="n">
        <v>2</v>
      </c>
      <c r="G1105" t="n">
        <v>2</v>
      </c>
      <c r="H1105" t="inlineStr">
        <is>
          <t>MEDIUM</t>
        </is>
      </c>
      <c r="I1105" t="n">
        <v>10.5</v>
      </c>
      <c r="J1105" t="inlineStr">
        <is>
          <t>NO</t>
        </is>
      </c>
      <c r="K1105" t="inlineStr">
        <is>
          <t>2026-02-26 00:15</t>
        </is>
      </c>
      <c r="L1105" t="inlineStr">
        <is>
          <t>YES</t>
        </is>
      </c>
      <c r="M1105" t="inlineStr">
        <is>
          <t>imagemagick imagemagick *</t>
        </is>
      </c>
      <c r="N1105" t="inlineStr">
        <is>
          <t>P4</t>
        </is>
      </c>
      <c r="O1105" t="inlineStr">
        <is>
          <t>CVE - IP enrichment n/a</t>
        </is>
      </c>
      <c r="P1105" t="n">
        <v>0</v>
      </c>
      <c r="Q1105" t="n">
        <v>0</v>
      </c>
      <c r="R1105" t="inlineStr">
        <is>
          <t>T1190:Exploit Public-Facing Application | T1203:Exploitation for Client Execution</t>
        </is>
      </c>
      <c r="S1105" t="n">
        <v>1</v>
      </c>
      <c r="T1105" t="inlineStr">
        <is>
          <t>LOW (40%)</t>
        </is>
      </c>
      <c r="U1105" t="inlineStr">
        <is>
          <t>UNLIKELY</t>
        </is>
      </c>
      <c r="V1105" t="inlineStr">
        <is>
          <t>PATCH_AVAILABLE</t>
        </is>
      </c>
      <c r="W1105" t="inlineStr">
        <is>
          <t>https://nvd.nist.gov/vuln/detail/CVE-2026-25897</t>
        </is>
      </c>
      <c r="X1105" t="inlineStr">
        <is>
          <t>NONE</t>
        </is>
      </c>
      <c r="Y1105" t="n">
        <v>0</v>
      </c>
      <c r="Z1105" t="inlineStr"/>
      <c r="AA1105" t="inlineStr">
        <is>
          <t>https://nvd.nist.gov/vuln/detail/CVE-2026-25897</t>
        </is>
      </c>
    </row>
    <row r="1106">
      <c r="A1106" t="inlineStr">
        <is>
          <t>CVE</t>
        </is>
      </c>
      <c r="B1106" t="inlineStr">
        <is>
          <t>CVE-2026-25898</t>
        </is>
      </c>
      <c r="C1106" t="inlineStr">
        <is>
          <t xml:space="preserve">ImageMagick is free and open-source software used for editing and manipulating digital images. Prior to versions 7.1.2-15 and 6.9.13-40, the UIL and XPM image encoder do not validate the pixel index value returned by `GetPixelIndex()` before using it as an array subscript. In HDRI builds, `Quantum` is a floating-point type, so pixel index values can be negative. An attacker can craft an image with negative pixel index values to trigger a global buffer overflow read during conversion, leading to </t>
        </is>
      </c>
      <c r="D1106" t="n">
        <v>6.5</v>
      </c>
      <c r="E1106" t="inlineStr">
        <is>
          <t>MEDIUM</t>
        </is>
      </c>
      <c r="F1106" t="n">
        <v>2</v>
      </c>
      <c r="G1106" t="n">
        <v>2</v>
      </c>
      <c r="H1106" t="inlineStr">
        <is>
          <t>MEDIUM</t>
        </is>
      </c>
      <c r="I1106" t="n">
        <v>10.5</v>
      </c>
      <c r="J1106" t="inlineStr">
        <is>
          <t>NO</t>
        </is>
      </c>
      <c r="K1106" t="inlineStr">
        <is>
          <t>2026-02-26 00:15</t>
        </is>
      </c>
      <c r="L1106" t="inlineStr">
        <is>
          <t>CHECK_VENDOR</t>
        </is>
      </c>
      <c r="M1106" t="inlineStr">
        <is>
          <t>imagemagick imagemagick *</t>
        </is>
      </c>
      <c r="N1106" t="inlineStr">
        <is>
          <t>P4</t>
        </is>
      </c>
      <c r="O1106" t="inlineStr">
        <is>
          <t>CVE - IP enrichment n/a</t>
        </is>
      </c>
      <c r="P1106" t="n">
        <v>0</v>
      </c>
      <c r="Q1106" t="n">
        <v>0</v>
      </c>
      <c r="R1106" t="inlineStr">
        <is>
          <t>T1203:Exploitation for Client Execution | T1190:Exploit Public-Facing Application | T1213:Data from Information Repositories</t>
        </is>
      </c>
      <c r="S1106" t="n">
        <v>1</v>
      </c>
      <c r="T1106" t="inlineStr">
        <is>
          <t>LOW (40%)</t>
        </is>
      </c>
      <c r="U1106" t="inlineStr">
        <is>
          <t>UNLIKELY</t>
        </is>
      </c>
      <c r="V1106" t="inlineStr">
        <is>
          <t>CHECK_VENDOR</t>
        </is>
      </c>
      <c r="W1106" t="inlineStr">
        <is>
          <t>https://nvd.nist.gov/vuln/detail/CVE-2026-25898</t>
        </is>
      </c>
      <c r="X1106" t="inlineStr">
        <is>
          <t>NONE</t>
        </is>
      </c>
      <c r="Y1106" t="n">
        <v>0</v>
      </c>
      <c r="Z1106" t="inlineStr"/>
      <c r="AA1106" t="inlineStr">
        <is>
          <t>https://nvd.nist.gov/vuln/detail/CVE-2026-25898</t>
        </is>
      </c>
    </row>
    <row r="1107">
      <c r="A1107" t="inlineStr">
        <is>
          <t>CVE</t>
        </is>
      </c>
      <c r="B1107" t="inlineStr">
        <is>
          <t>CVE-2026-25965</t>
        </is>
      </c>
      <c r="C1107" t="inlineStr">
        <is>
          <t>ImageMagick is free and open-source software used for editing and manipulating digital images. Prior to versions 7.1.2-15 and 6.9.13-40, ImageMagick’s path security policy is enforced on the raw filename string before the filesystem resolves it. As a result, a policy rule such as /etc/* can be bypassed by a path traversal. The OS resolves the traversal and opens the sensitive file, but the policy matcher only sees the unnormalized path and therefore allows the read. This enables local file discl</t>
        </is>
      </c>
      <c r="D1107" t="n">
        <v>8.6</v>
      </c>
      <c r="E1107" t="inlineStr">
        <is>
          <t>HIGH</t>
        </is>
      </c>
      <c r="F1107" t="n">
        <v>2</v>
      </c>
      <c r="G1107" t="n">
        <v>3</v>
      </c>
      <c r="H1107" t="inlineStr">
        <is>
          <t>HIGH</t>
        </is>
      </c>
      <c r="I1107" t="n">
        <v>14.6</v>
      </c>
      <c r="J1107" t="inlineStr">
        <is>
          <t>NO</t>
        </is>
      </c>
      <c r="K1107" t="inlineStr">
        <is>
          <t>2026-02-26 00:15</t>
        </is>
      </c>
      <c r="L1107" t="inlineStr">
        <is>
          <t>CHECK_VENDOR</t>
        </is>
      </c>
      <c r="M1107" t="inlineStr">
        <is>
          <t>imagemagick imagemagick *</t>
        </is>
      </c>
      <c r="N1107" t="inlineStr">
        <is>
          <t>P1</t>
        </is>
      </c>
      <c r="O1107" t="inlineStr">
        <is>
          <t>CVE - IP enrichment n/a</t>
        </is>
      </c>
      <c r="P1107" t="n">
        <v>0.0003</v>
      </c>
      <c r="Q1107" t="n">
        <v>0.0934</v>
      </c>
      <c r="R1107" t="inlineStr">
        <is>
          <t>T1083:File and Directory Discovery | T1190:Exploit Public-Facing Application</t>
        </is>
      </c>
      <c r="S1107" t="n">
        <v>2</v>
      </c>
      <c r="T1107" t="inlineStr">
        <is>
          <t>HIGH (72%)</t>
        </is>
      </c>
      <c r="U1107" t="inlineStr">
        <is>
          <t>HIGH</t>
        </is>
      </c>
      <c r="V1107" t="inlineStr">
        <is>
          <t>CHECK_VENDOR</t>
        </is>
      </c>
      <c r="W1107" t="inlineStr">
        <is>
          <t>https://nvd.nist.gov/vuln/detail/CVE-2026-25965</t>
        </is>
      </c>
      <c r="X1107" t="inlineStr">
        <is>
          <t>http://www.zerodayinitiative.com/advisories/ZDI-26-123/</t>
        </is>
      </c>
      <c r="Y1107" t="n">
        <v>0</v>
      </c>
      <c r="Z1107" t="inlineStr"/>
      <c r="AA1107" t="inlineStr">
        <is>
          <t>https://nvd.nist.gov/vuln/detail/CVE-2026-25965</t>
        </is>
      </c>
    </row>
    <row r="1108">
      <c r="A1108" t="inlineStr">
        <is>
          <t>CVE</t>
        </is>
      </c>
      <c r="B1108" t="inlineStr">
        <is>
          <t>CVE-2026-25966</t>
        </is>
      </c>
      <c r="C1108" t="inlineStr">
        <is>
          <t xml:space="preserve">ImageMagick is free and open-source software used for editing and manipulating digital images. The shipped "secure" security policy includes a rule intended to prevent reading/writing from standard streams. However, ImageMagick also supports fd: pseudo-filenames (e.g., fd:0, fd:1). Prior to versions 7.1.2-15 and 6.9.13-40, this path form is not blocked by the secure policy templates, and therefore bypasses the protection goal of "no stdin/stdout." Versions 7.1.2-15 and 6.9.13-40 contain a patch </t>
        </is>
      </c>
      <c r="D1108" t="n">
        <v>5.9</v>
      </c>
      <c r="E1108" t="inlineStr">
        <is>
          <t>MEDIUM</t>
        </is>
      </c>
      <c r="F1108" t="n">
        <v>2</v>
      </c>
      <c r="G1108" t="n">
        <v>2</v>
      </c>
      <c r="H1108" t="inlineStr">
        <is>
          <t>MEDIUM</t>
        </is>
      </c>
      <c r="I1108" t="n">
        <v>9.9</v>
      </c>
      <c r="J1108" t="inlineStr">
        <is>
          <t>NO</t>
        </is>
      </c>
      <c r="K1108" t="inlineStr">
        <is>
          <t>2026-02-26 00:15</t>
        </is>
      </c>
      <c r="L1108" t="inlineStr">
        <is>
          <t>CHECK_VENDOR</t>
        </is>
      </c>
      <c r="M1108" t="inlineStr">
        <is>
          <t>imagemagick imagemagick *</t>
        </is>
      </c>
      <c r="N1108" t="inlineStr">
        <is>
          <t>P4</t>
        </is>
      </c>
      <c r="O1108" t="inlineStr">
        <is>
          <t>CVE - IP enrichment n/a</t>
        </is>
      </c>
      <c r="P1108" t="n">
        <v>0</v>
      </c>
      <c r="Q1108" t="n">
        <v>0</v>
      </c>
      <c r="R1108" t="inlineStr">
        <is>
          <t>T1190:Exploit Public-Facing Application</t>
        </is>
      </c>
      <c r="S1108" t="n">
        <v>1</v>
      </c>
      <c r="T1108" t="inlineStr">
        <is>
          <t>LOW (40%)</t>
        </is>
      </c>
      <c r="U1108" t="inlineStr">
        <is>
          <t>UNLIKELY</t>
        </is>
      </c>
      <c r="V1108" t="inlineStr">
        <is>
          <t>CHECK_VENDOR</t>
        </is>
      </c>
      <c r="W1108" t="inlineStr">
        <is>
          <t>https://nvd.nist.gov/vuln/detail/CVE-2026-25966</t>
        </is>
      </c>
      <c r="X1108" t="inlineStr">
        <is>
          <t>NONE</t>
        </is>
      </c>
      <c r="Y1108" t="n">
        <v>0</v>
      </c>
      <c r="Z1108" t="inlineStr"/>
      <c r="AA1108" t="inlineStr">
        <is>
          <t>https://nvd.nist.gov/vuln/detail/CVE-2026-25966</t>
        </is>
      </c>
    </row>
    <row r="1109">
      <c r="A1109" t="inlineStr">
        <is>
          <t>CVE</t>
        </is>
      </c>
      <c r="B1109" t="inlineStr">
        <is>
          <t>CVE-2026-25967</t>
        </is>
      </c>
      <c r="C1109" t="inlineStr">
        <is>
          <t>ImageMagick is free and open-source software used for editing and manipulating digital images. Prior to version 7.1.2-15, a stack-based buffer overflow exists in the ImageMagick FTXT image reader. A crafted FTXT file can cause out-of-bounds writes on the stack, leading to a crash. Version 7.1.2-15 contains a patch.</t>
        </is>
      </c>
      <c r="D1109" t="n">
        <v>7.4</v>
      </c>
      <c r="E1109" t="inlineStr">
        <is>
          <t>HIGH</t>
        </is>
      </c>
      <c r="F1109" t="n">
        <v>2</v>
      </c>
      <c r="G1109" t="n">
        <v>3</v>
      </c>
      <c r="H1109" t="inlineStr">
        <is>
          <t>HIGH</t>
        </is>
      </c>
      <c r="I1109" t="n">
        <v>13.4</v>
      </c>
      <c r="J1109" t="inlineStr">
        <is>
          <t>NO</t>
        </is>
      </c>
      <c r="K1109" t="inlineStr">
        <is>
          <t>2026-02-26 00:15</t>
        </is>
      </c>
      <c r="L1109" t="inlineStr">
        <is>
          <t>CHECK_VENDOR</t>
        </is>
      </c>
      <c r="M1109" t="inlineStr">
        <is>
          <t>imagemagick imagemagick *</t>
        </is>
      </c>
      <c r="N1109" t="inlineStr">
        <is>
          <t>P3</t>
        </is>
      </c>
      <c r="O1109" t="inlineStr">
        <is>
          <t>CVE - IP enrichment n/a</t>
        </is>
      </c>
      <c r="P1109" t="n">
        <v>0.0004</v>
      </c>
      <c r="Q1109" t="n">
        <v>0.1201</v>
      </c>
      <c r="R1109" t="inlineStr">
        <is>
          <t>T1190:Exploit Public-Facing Application | T1203:Exploitation for Client Execution</t>
        </is>
      </c>
      <c r="S1109" t="n">
        <v>1</v>
      </c>
      <c r="T1109" t="inlineStr">
        <is>
          <t>LOW (40%)</t>
        </is>
      </c>
      <c r="U1109" t="inlineStr">
        <is>
          <t>UNLIKELY</t>
        </is>
      </c>
      <c r="V1109" t="inlineStr">
        <is>
          <t>CHECK_VENDOR</t>
        </is>
      </c>
      <c r="W1109" t="inlineStr">
        <is>
          <t>https://nvd.nist.gov/vuln/detail/CVE-2026-25967</t>
        </is>
      </c>
      <c r="X1109" t="inlineStr">
        <is>
          <t>NONE</t>
        </is>
      </c>
      <c r="Y1109" t="n">
        <v>0</v>
      </c>
      <c r="Z1109" t="inlineStr"/>
      <c r="AA1109" t="inlineStr">
        <is>
          <t>https://nvd.nist.gov/vuln/detail/CVE-2026-25967</t>
        </is>
      </c>
    </row>
    <row r="1110">
      <c r="A1110" t="inlineStr">
        <is>
          <t>CVE</t>
        </is>
      </c>
      <c r="B1110" t="inlineStr">
        <is>
          <t>CVE-2026-25968</t>
        </is>
      </c>
      <c r="C1110" t="inlineStr">
        <is>
          <t>ImageMagick is free and open-source software used for editing and manipulating digital images. Prior to versions 7.1.2-15 and 6.9.13-40, a stack buffer overflow occurs when processing the an attribute in msl.c. A long value overflows a fixed-size stack buffer, leading to memory corruption. Versions 7.1.2-15 and 6.9.13-40 contain a patch.</t>
        </is>
      </c>
      <c r="D1110" t="n">
        <v>7.4</v>
      </c>
      <c r="E1110" t="inlineStr">
        <is>
          <t>HIGH</t>
        </is>
      </c>
      <c r="F1110" t="n">
        <v>2</v>
      </c>
      <c r="G1110" t="n">
        <v>3</v>
      </c>
      <c r="H1110" t="inlineStr">
        <is>
          <t>HIGH</t>
        </is>
      </c>
      <c r="I1110" t="n">
        <v>13.4</v>
      </c>
      <c r="J1110" t="inlineStr">
        <is>
          <t>NO</t>
        </is>
      </c>
      <c r="K1110" t="inlineStr">
        <is>
          <t>2026-02-26 00:15</t>
        </is>
      </c>
      <c r="L1110" t="inlineStr">
        <is>
          <t>CHECK_VENDOR</t>
        </is>
      </c>
      <c r="M1110" t="inlineStr">
        <is>
          <t>imagemagick imagemagick *</t>
        </is>
      </c>
      <c r="N1110" t="inlineStr">
        <is>
          <t>P3</t>
        </is>
      </c>
      <c r="O1110" t="inlineStr">
        <is>
          <t>CVE - IP enrichment n/a</t>
        </is>
      </c>
      <c r="P1110" t="n">
        <v>0</v>
      </c>
      <c r="Q1110" t="n">
        <v>0</v>
      </c>
      <c r="R1110" t="inlineStr">
        <is>
          <t>T1190:Exploit Public-Facing Application | T1203:Exploitation for Client Execution</t>
        </is>
      </c>
      <c r="S1110" t="n">
        <v>1</v>
      </c>
      <c r="T1110" t="inlineStr">
        <is>
          <t>LOW (40%)</t>
        </is>
      </c>
      <c r="U1110" t="inlineStr">
        <is>
          <t>UNLIKELY</t>
        </is>
      </c>
      <c r="V1110" t="inlineStr">
        <is>
          <t>CHECK_VENDOR</t>
        </is>
      </c>
      <c r="W1110" t="inlineStr">
        <is>
          <t>https://nvd.nist.gov/vuln/detail/CVE-2026-25968</t>
        </is>
      </c>
      <c r="X1110" t="inlineStr">
        <is>
          <t>NONE</t>
        </is>
      </c>
      <c r="Y1110" t="n">
        <v>0</v>
      </c>
      <c r="Z1110" t="inlineStr"/>
      <c r="AA1110" t="inlineStr">
        <is>
          <t>https://nvd.nist.gov/vuln/detail/CVE-2026-25968</t>
        </is>
      </c>
    </row>
    <row r="1111">
      <c r="A1111" t="inlineStr">
        <is>
          <t>CVE</t>
        </is>
      </c>
      <c r="B1111" t="inlineStr">
        <is>
          <t>CVE-2026-25969</t>
        </is>
      </c>
      <c r="C1111" t="inlineStr">
        <is>
          <t>ImageMagick is free and open-source software used for editing and manipulating digital images. Prior to version 7.1.2-15, a memory leak exists in `coders/ashlar.c`. The `WriteASHLARImage` allocates a structure.  However, when an exception is thrown, the allocated memory is not properly released, resulting in a potential memory leak. Version 7.1.2-15 contains a patch.</t>
        </is>
      </c>
      <c r="D1111" t="n">
        <v>5.3</v>
      </c>
      <c r="E1111" t="inlineStr">
        <is>
          <t>MEDIUM</t>
        </is>
      </c>
      <c r="F1111" t="n">
        <v>2</v>
      </c>
      <c r="G1111" t="n">
        <v>2</v>
      </c>
      <c r="H1111" t="inlineStr">
        <is>
          <t>MEDIUM</t>
        </is>
      </c>
      <c r="I1111" t="n">
        <v>9.300000000000001</v>
      </c>
      <c r="J1111" t="inlineStr">
        <is>
          <t>NO</t>
        </is>
      </c>
      <c r="K1111" t="inlineStr">
        <is>
          <t>2026-02-26 00:15</t>
        </is>
      </c>
      <c r="L1111" t="inlineStr">
        <is>
          <t>CHECK_VENDOR</t>
        </is>
      </c>
      <c r="M1111" t="inlineStr">
        <is>
          <t>imagemagick imagemagick *</t>
        </is>
      </c>
      <c r="N1111" t="inlineStr">
        <is>
          <t>P4</t>
        </is>
      </c>
      <c r="O1111" t="inlineStr">
        <is>
          <t>CVE - IP enrichment n/a</t>
        </is>
      </c>
      <c r="P1111" t="n">
        <v>0</v>
      </c>
      <c r="Q1111" t="n">
        <v>0</v>
      </c>
      <c r="R1111" t="inlineStr">
        <is>
          <t>T1190:Exploit Public-Facing Application</t>
        </is>
      </c>
      <c r="S1111" t="n">
        <v>1</v>
      </c>
      <c r="T1111" t="inlineStr">
        <is>
          <t>LOW (40%)</t>
        </is>
      </c>
      <c r="U1111" t="inlineStr">
        <is>
          <t>UNLIKELY</t>
        </is>
      </c>
      <c r="V1111" t="inlineStr">
        <is>
          <t>CHECK_VENDOR</t>
        </is>
      </c>
      <c r="W1111" t="inlineStr">
        <is>
          <t>https://nvd.nist.gov/vuln/detail/CVE-2026-25969</t>
        </is>
      </c>
      <c r="X1111" t="inlineStr">
        <is>
          <t>NONE</t>
        </is>
      </c>
      <c r="Y1111" t="n">
        <v>0</v>
      </c>
      <c r="Z1111" t="inlineStr"/>
      <c r="AA1111" t="inlineStr">
        <is>
          <t>https://nvd.nist.gov/vuln/detail/CVE-2026-25969</t>
        </is>
      </c>
    </row>
    <row r="1112">
      <c r="A1112" t="inlineStr">
        <is>
          <t>CVE</t>
        </is>
      </c>
      <c r="B1112" t="inlineStr">
        <is>
          <t>CVE-2026-25970</t>
        </is>
      </c>
      <c r="C1112" t="inlineStr">
        <is>
          <t>ImageMagick is free and open-source software used for editing and manipulating digital images. Prior to versions 7.1.2-15 and 6.9.13-40, a signed integer overflow vulnerability in ImageMagick's SIXEL decoder allows an attacker to trigger memory corruption and denial of service when processing a maliciously crafted SIXEL image file. The vulnerability occurs during buffer reallocation operations where pointer arithmetic using signed 32-bit integers overflows. Versions 7.1.2-15 and 6.9.13-40 contai</t>
        </is>
      </c>
      <c r="D1112" t="n">
        <v>5.3</v>
      </c>
      <c r="E1112" t="inlineStr">
        <is>
          <t>MEDIUM</t>
        </is>
      </c>
      <c r="F1112" t="n">
        <v>2</v>
      </c>
      <c r="G1112" t="n">
        <v>2</v>
      </c>
      <c r="H1112" t="inlineStr">
        <is>
          <t>MEDIUM</t>
        </is>
      </c>
      <c r="I1112" t="n">
        <v>9.300000000000001</v>
      </c>
      <c r="J1112" t="inlineStr">
        <is>
          <t>NO</t>
        </is>
      </c>
      <c r="K1112" t="inlineStr">
        <is>
          <t>2026-02-26 00:15</t>
        </is>
      </c>
      <c r="L1112" t="inlineStr">
        <is>
          <t>CHECK_VENDOR</t>
        </is>
      </c>
      <c r="M1112" t="inlineStr">
        <is>
          <t>imagemagick imagemagick *</t>
        </is>
      </c>
      <c r="N1112" t="inlineStr">
        <is>
          <t>P4</t>
        </is>
      </c>
      <c r="O1112" t="inlineStr">
        <is>
          <t>CVE - IP enrichment n/a</t>
        </is>
      </c>
      <c r="P1112" t="n">
        <v>0</v>
      </c>
      <c r="Q1112" t="n">
        <v>0</v>
      </c>
      <c r="R1112" t="inlineStr">
        <is>
          <t>T1190:Exploit Public-Facing Application | T1499:Endpoint Denial of Service | T1203:Exploitation for Client Execution</t>
        </is>
      </c>
      <c r="S1112" t="n">
        <v>1</v>
      </c>
      <c r="T1112" t="inlineStr">
        <is>
          <t>LOW (40%)</t>
        </is>
      </c>
      <c r="U1112" t="inlineStr">
        <is>
          <t>UNLIKELY</t>
        </is>
      </c>
      <c r="V1112" t="inlineStr">
        <is>
          <t>CHECK_VENDOR</t>
        </is>
      </c>
      <c r="W1112" t="inlineStr">
        <is>
          <t>https://nvd.nist.gov/vuln/detail/CVE-2026-25970</t>
        </is>
      </c>
      <c r="X1112" t="inlineStr">
        <is>
          <t>NONE</t>
        </is>
      </c>
      <c r="Y1112" t="n">
        <v>0</v>
      </c>
      <c r="Z1112" t="inlineStr"/>
      <c r="AA1112" t="inlineStr">
        <is>
          <t>https://nvd.nist.gov/vuln/detail/CVE-2026-25970</t>
        </is>
      </c>
    </row>
    <row r="1113">
      <c r="A1113" t="inlineStr">
        <is>
          <t>CVE</t>
        </is>
      </c>
      <c r="B1113" t="inlineStr">
        <is>
          <t>CVE-2026-25971</t>
        </is>
      </c>
      <c r="C1113" t="inlineStr">
        <is>
          <t>ImageMagick is free and open-source software used for editing and manipulating digital images. Prior to versions 7.1.2-15 and 6.9.13-40, Magick fails to check for circular references between two MSLs, leading to a stack overflow. Versions 7.1.2-15 and 6.9.13-40 contain a patch.</t>
        </is>
      </c>
      <c r="D1113" t="n">
        <v>6.2</v>
      </c>
      <c r="E1113" t="inlineStr">
        <is>
          <t>MEDIUM</t>
        </is>
      </c>
      <c r="F1113" t="n">
        <v>2</v>
      </c>
      <c r="G1113" t="n">
        <v>2</v>
      </c>
      <c r="H1113" t="inlineStr">
        <is>
          <t>MEDIUM</t>
        </is>
      </c>
      <c r="I1113" t="n">
        <v>10.2</v>
      </c>
      <c r="J1113" t="inlineStr">
        <is>
          <t>NO</t>
        </is>
      </c>
      <c r="K1113" t="inlineStr">
        <is>
          <t>2026-02-26 00:15</t>
        </is>
      </c>
      <c r="L1113" t="inlineStr">
        <is>
          <t>CHECK_VENDOR</t>
        </is>
      </c>
      <c r="M1113" t="inlineStr">
        <is>
          <t>imagemagick imagemagick *</t>
        </is>
      </c>
      <c r="N1113" t="inlineStr">
        <is>
          <t>P4</t>
        </is>
      </c>
      <c r="O1113" t="inlineStr">
        <is>
          <t>CVE - IP enrichment n/a</t>
        </is>
      </c>
      <c r="P1113" t="n">
        <v>0</v>
      </c>
      <c r="Q1113" t="n">
        <v>0</v>
      </c>
      <c r="R1113" t="inlineStr">
        <is>
          <t>T1203:Exploitation for Client Execution | T1190:Exploit Public-Facing Application</t>
        </is>
      </c>
      <c r="S1113" t="n">
        <v>1</v>
      </c>
      <c r="T1113" t="inlineStr">
        <is>
          <t>LOW (40%)</t>
        </is>
      </c>
      <c r="U1113" t="inlineStr">
        <is>
          <t>UNLIKELY</t>
        </is>
      </c>
      <c r="V1113" t="inlineStr">
        <is>
          <t>CHECK_VENDOR</t>
        </is>
      </c>
      <c r="W1113" t="inlineStr">
        <is>
          <t>https://nvd.nist.gov/vuln/detail/CVE-2026-25971</t>
        </is>
      </c>
      <c r="X1113" t="inlineStr">
        <is>
          <t>NONE</t>
        </is>
      </c>
      <c r="Y1113" t="n">
        <v>0</v>
      </c>
      <c r="Z1113" t="inlineStr"/>
      <c r="AA1113" t="inlineStr">
        <is>
          <t>https://nvd.nist.gov/vuln/detail/CVE-2026-25971</t>
        </is>
      </c>
    </row>
    <row r="1114">
      <c r="A1114" t="inlineStr">
        <is>
          <t>CVE</t>
        </is>
      </c>
      <c r="B1114" t="inlineStr">
        <is>
          <t>CVE-2026-25982</t>
        </is>
      </c>
      <c r="C1114" t="inlineStr">
        <is>
          <t>ImageMagick is free and open-source software used for editing and manipulating digital images. Prior to versions 7.1.2-15 and 6.9.13-40, a heap out-of-bounds read vulnerability exists in the `coders/dcm.c` module. When processing DICOM files with a specific configuration, the decoder loop incorrectly reads bytes per iteration. This causes the function to read past the end of the allocated buffer, potentially leading to a Denial of Service (crash) or Information Disclosure (leaking heap memory in</t>
        </is>
      </c>
      <c r="D1114" t="n">
        <v>6.5</v>
      </c>
      <c r="E1114" t="inlineStr">
        <is>
          <t>MEDIUM</t>
        </is>
      </c>
      <c r="F1114" t="n">
        <v>2</v>
      </c>
      <c r="G1114" t="n">
        <v>2</v>
      </c>
      <c r="H1114" t="inlineStr">
        <is>
          <t>MEDIUM</t>
        </is>
      </c>
      <c r="I1114" t="n">
        <v>10.5</v>
      </c>
      <c r="J1114" t="inlineStr">
        <is>
          <t>NO</t>
        </is>
      </c>
      <c r="K1114" t="inlineStr">
        <is>
          <t>2026-02-26 00:15</t>
        </is>
      </c>
      <c r="L1114" t="inlineStr">
        <is>
          <t>CHECK_VENDOR</t>
        </is>
      </c>
      <c r="M1114" t="inlineStr">
        <is>
          <t>imagemagick imagemagick *</t>
        </is>
      </c>
      <c r="N1114" t="inlineStr">
        <is>
          <t>P4</t>
        </is>
      </c>
      <c r="O1114" t="inlineStr">
        <is>
          <t>CVE - IP enrichment n/a</t>
        </is>
      </c>
      <c r="P1114" t="n">
        <v>0</v>
      </c>
      <c r="Q1114" t="n">
        <v>0</v>
      </c>
      <c r="R1114" t="inlineStr">
        <is>
          <t>T1203:Exploitation for Client Execution | T1190:Exploit Public-Facing Application | T1499:Endpoint Denial of Service</t>
        </is>
      </c>
      <c r="S1114" t="n">
        <v>1</v>
      </c>
      <c r="T1114" t="inlineStr">
        <is>
          <t>LOW (40%)</t>
        </is>
      </c>
      <c r="U1114" t="inlineStr">
        <is>
          <t>UNLIKELY</t>
        </is>
      </c>
      <c r="V1114" t="inlineStr">
        <is>
          <t>CHECK_VENDOR</t>
        </is>
      </c>
      <c r="W1114" t="inlineStr">
        <is>
          <t>https://nvd.nist.gov/vuln/detail/CVE-2026-25982</t>
        </is>
      </c>
      <c r="X1114" t="inlineStr">
        <is>
          <t>NONE</t>
        </is>
      </c>
      <c r="Y1114" t="n">
        <v>0</v>
      </c>
      <c r="Z1114" t="inlineStr"/>
      <c r="AA1114" t="inlineStr">
        <is>
          <t>https://nvd.nist.gov/vuln/detail/CVE-2026-25982</t>
        </is>
      </c>
    </row>
    <row r="1115">
      <c r="A1115" t="inlineStr">
        <is>
          <t>CVE</t>
        </is>
      </c>
      <c r="B1115" t="inlineStr">
        <is>
          <t>CVE-2026-25983</t>
        </is>
      </c>
      <c r="C1115" t="inlineStr">
        <is>
          <t>ImageMagick is free and open-source software used for editing and manipulating digital images. Prior to versions 7.1.2-15 and 6.9.13-40, a crafted MSL script triggers a heap-use-after-free. The operation element handler replaces and frees the image while the parser continues reading from it, leading to a UAF in ReadBlobString during further parsing. Versions 7.1.2-15 and 6.9.13-40 contain a patch.</t>
        </is>
      </c>
      <c r="D1115" t="n">
        <v>5.3</v>
      </c>
      <c r="E1115" t="inlineStr">
        <is>
          <t>MEDIUM</t>
        </is>
      </c>
      <c r="F1115" t="n">
        <v>2</v>
      </c>
      <c r="G1115" t="n">
        <v>2</v>
      </c>
      <c r="H1115" t="inlineStr">
        <is>
          <t>MEDIUM</t>
        </is>
      </c>
      <c r="I1115" t="n">
        <v>9.300000000000001</v>
      </c>
      <c r="J1115" t="inlineStr">
        <is>
          <t>NO</t>
        </is>
      </c>
      <c r="K1115" t="inlineStr">
        <is>
          <t>2026-02-26 00:15</t>
        </is>
      </c>
      <c r="L1115" t="inlineStr">
        <is>
          <t>CHECK_VENDOR</t>
        </is>
      </c>
      <c r="M1115" t="inlineStr">
        <is>
          <t>imagemagick imagemagick *</t>
        </is>
      </c>
      <c r="N1115" t="inlineStr">
        <is>
          <t>P4</t>
        </is>
      </c>
      <c r="O1115" t="inlineStr">
        <is>
          <t>CVE - IP enrichment n/a</t>
        </is>
      </c>
      <c r="P1115" t="n">
        <v>0.0004</v>
      </c>
      <c r="Q1115" t="n">
        <v>0.1363</v>
      </c>
      <c r="R1115" t="inlineStr">
        <is>
          <t>T1203:Exploitation for Client Execution | T1190:Exploit Public-Facing Application</t>
        </is>
      </c>
      <c r="S1115" t="n">
        <v>1</v>
      </c>
      <c r="T1115" t="inlineStr">
        <is>
          <t>LOW (40%)</t>
        </is>
      </c>
      <c r="U1115" t="inlineStr">
        <is>
          <t>UNLIKELY</t>
        </is>
      </c>
      <c r="V1115" t="inlineStr">
        <is>
          <t>CHECK_VENDOR</t>
        </is>
      </c>
      <c r="W1115" t="inlineStr">
        <is>
          <t>https://nvd.nist.gov/vuln/detail/CVE-2026-25983</t>
        </is>
      </c>
      <c r="X1115" t="inlineStr">
        <is>
          <t>NONE</t>
        </is>
      </c>
      <c r="Y1115" t="n">
        <v>0</v>
      </c>
      <c r="Z1115" t="inlineStr"/>
      <c r="AA1115" t="inlineStr">
        <is>
          <t>https://nvd.nist.gov/vuln/detail/CVE-2026-25983</t>
        </is>
      </c>
    </row>
    <row r="1116">
      <c r="A1116" t="inlineStr">
        <is>
          <t>CVE</t>
        </is>
      </c>
      <c r="B1116" t="inlineStr">
        <is>
          <t>CVE-2026-25985</t>
        </is>
      </c>
      <c r="C1116" t="inlineStr">
        <is>
          <t>ImageMagick is free and open-source software used for editing and manipulating digital images. Prior to versions 7.1.2-15 and 6.9.13-40, a crafted SVG file containing an malicious element causes ImageMagick to attempt to allocate ~674 GB of memory, leading to an out-of-memory abort. Versions 7.1.2-15 and 6.9.13-40 contain a patch.</t>
        </is>
      </c>
      <c r="D1116" t="n">
        <v>7.5</v>
      </c>
      <c r="E1116" t="inlineStr">
        <is>
          <t>HIGH</t>
        </is>
      </c>
      <c r="F1116" t="n">
        <v>2</v>
      </c>
      <c r="G1116" t="n">
        <v>3</v>
      </c>
      <c r="H1116" t="inlineStr">
        <is>
          <t>HIGH</t>
        </is>
      </c>
      <c r="I1116" t="n">
        <v>13.5</v>
      </c>
      <c r="J1116" t="inlineStr">
        <is>
          <t>NO</t>
        </is>
      </c>
      <c r="K1116" t="inlineStr">
        <is>
          <t>2026-02-26 00:15</t>
        </is>
      </c>
      <c r="L1116" t="inlineStr">
        <is>
          <t>CHECK_VENDOR</t>
        </is>
      </c>
      <c r="M1116" t="inlineStr">
        <is>
          <t>imagemagick imagemagick *</t>
        </is>
      </c>
      <c r="N1116" t="inlineStr">
        <is>
          <t>P3</t>
        </is>
      </c>
      <c r="O1116" t="inlineStr">
        <is>
          <t>CVE - IP enrichment n/a</t>
        </is>
      </c>
      <c r="P1116" t="n">
        <v>0</v>
      </c>
      <c r="Q1116" t="n">
        <v>0</v>
      </c>
      <c r="R1116" t="inlineStr">
        <is>
          <t>T1190:Exploit Public-Facing Application</t>
        </is>
      </c>
      <c r="S1116" t="n">
        <v>1</v>
      </c>
      <c r="T1116" t="inlineStr">
        <is>
          <t>LOW (40%)</t>
        </is>
      </c>
      <c r="U1116" t="inlineStr">
        <is>
          <t>UNLIKELY</t>
        </is>
      </c>
      <c r="V1116" t="inlineStr">
        <is>
          <t>CHECK_VENDOR</t>
        </is>
      </c>
      <c r="W1116" t="inlineStr">
        <is>
          <t>https://nvd.nist.gov/vuln/detail/CVE-2026-25985</t>
        </is>
      </c>
      <c r="X1116" t="inlineStr">
        <is>
          <t>NONE</t>
        </is>
      </c>
      <c r="Y1116" t="n">
        <v>0</v>
      </c>
      <c r="Z1116" t="inlineStr"/>
      <c r="AA1116" t="inlineStr">
        <is>
          <t>https://nvd.nist.gov/vuln/detail/CVE-2026-25985</t>
        </is>
      </c>
    </row>
    <row r="1117">
      <c r="A1117" t="inlineStr">
        <is>
          <t>CVE</t>
        </is>
      </c>
      <c r="B1117" t="inlineStr">
        <is>
          <t>CVE-2026-25986</t>
        </is>
      </c>
      <c r="C1117" t="inlineStr">
        <is>
          <t>ImageMagick is free and open-source software used for editing and manipulating digital images. Prior to versions 7.1.2-15 and 6.9.13-40, a heap buffer overflow write vulnerability exists in ReadYUVImage() (coders/yuv.c) when processing malicious YUV 4:2:2 (NoInterlace) images. The pixel-pair loop writes one pixel beyond the allocated row buffer. Versions 7.1.2-15 and 6.9.13-40 contain a patch.</t>
        </is>
      </c>
      <c r="D1117" t="n">
        <v>5.3</v>
      </c>
      <c r="E1117" t="inlineStr">
        <is>
          <t>MEDIUM</t>
        </is>
      </c>
      <c r="F1117" t="n">
        <v>2</v>
      </c>
      <c r="G1117" t="n">
        <v>2</v>
      </c>
      <c r="H1117" t="inlineStr">
        <is>
          <t>MEDIUM</t>
        </is>
      </c>
      <c r="I1117" t="n">
        <v>9.300000000000001</v>
      </c>
      <c r="J1117" t="inlineStr">
        <is>
          <t>NO</t>
        </is>
      </c>
      <c r="K1117" t="inlineStr">
        <is>
          <t>2026-02-26 00:15</t>
        </is>
      </c>
      <c r="L1117" t="inlineStr">
        <is>
          <t>CHECK_VENDOR</t>
        </is>
      </c>
      <c r="M1117" t="inlineStr">
        <is>
          <t>imagemagick imagemagick *</t>
        </is>
      </c>
      <c r="N1117" t="inlineStr">
        <is>
          <t>P4</t>
        </is>
      </c>
      <c r="O1117" t="inlineStr">
        <is>
          <t>CVE - IP enrichment n/a</t>
        </is>
      </c>
      <c r="P1117" t="n">
        <v>0</v>
      </c>
      <c r="Q1117" t="n">
        <v>0</v>
      </c>
      <c r="R1117" t="inlineStr">
        <is>
          <t>T1203:Exploitation for Client Execution | T1190:Exploit Public-Facing Application</t>
        </is>
      </c>
      <c r="S1117" t="n">
        <v>1</v>
      </c>
      <c r="T1117" t="inlineStr">
        <is>
          <t>LOW (40%)</t>
        </is>
      </c>
      <c r="U1117" t="inlineStr">
        <is>
          <t>UNLIKELY</t>
        </is>
      </c>
      <c r="V1117" t="inlineStr">
        <is>
          <t>CHECK_VENDOR</t>
        </is>
      </c>
      <c r="W1117" t="inlineStr">
        <is>
          <t>https://nvd.nist.gov/vuln/detail/CVE-2026-25986</t>
        </is>
      </c>
      <c r="X1117" t="inlineStr">
        <is>
          <t>NONE</t>
        </is>
      </c>
      <c r="Y1117" t="n">
        <v>0</v>
      </c>
      <c r="Z1117" t="inlineStr"/>
      <c r="AA1117" t="inlineStr">
        <is>
          <t>https://nvd.nist.gov/vuln/detail/CVE-2026-25986</t>
        </is>
      </c>
    </row>
    <row r="1118">
      <c r="A1118" t="inlineStr">
        <is>
          <t>CVE</t>
        </is>
      </c>
      <c r="B1118" t="inlineStr">
        <is>
          <t>CVE-2026-25987</t>
        </is>
      </c>
      <c r="C1118" t="inlineStr">
        <is>
          <t>ImageMagick is free and open-source software used for editing and manipulating digital images. Prior to versions 7.1.2-15 and 6.9.13-40, a heap buffer over-read vulnerability exists in the MAP image decoder when processing crafted MAP files, potentially leading to crashes or unintended memory disclosure during image decoding. Versions 7.1.2-15 and 6.9.13-40 contain a patch.</t>
        </is>
      </c>
      <c r="D1118" t="n">
        <v>5.3</v>
      </c>
      <c r="E1118" t="inlineStr">
        <is>
          <t>MEDIUM</t>
        </is>
      </c>
      <c r="F1118" t="n">
        <v>2</v>
      </c>
      <c r="G1118" t="n">
        <v>2</v>
      </c>
      <c r="H1118" t="inlineStr">
        <is>
          <t>MEDIUM</t>
        </is>
      </c>
      <c r="I1118" t="n">
        <v>9.300000000000001</v>
      </c>
      <c r="J1118" t="inlineStr">
        <is>
          <t>NO</t>
        </is>
      </c>
      <c r="K1118" t="inlineStr">
        <is>
          <t>2026-02-26 00:15</t>
        </is>
      </c>
      <c r="L1118" t="inlineStr">
        <is>
          <t>CHECK_VENDOR</t>
        </is>
      </c>
      <c r="M1118" t="inlineStr">
        <is>
          <t>imagemagick imagemagick *</t>
        </is>
      </c>
      <c r="N1118" t="inlineStr">
        <is>
          <t>P4</t>
        </is>
      </c>
      <c r="O1118" t="inlineStr">
        <is>
          <t>CVE - IP enrichment n/a</t>
        </is>
      </c>
      <c r="P1118" t="n">
        <v>0</v>
      </c>
      <c r="Q1118" t="n">
        <v>0</v>
      </c>
      <c r="R1118" t="inlineStr">
        <is>
          <t>T1203:Exploitation for Client Execution | T1190:Exploit Public-Facing Application</t>
        </is>
      </c>
      <c r="S1118" t="n">
        <v>1</v>
      </c>
      <c r="T1118" t="inlineStr">
        <is>
          <t>LOW (40%)</t>
        </is>
      </c>
      <c r="U1118" t="inlineStr">
        <is>
          <t>UNLIKELY</t>
        </is>
      </c>
      <c r="V1118" t="inlineStr">
        <is>
          <t>CHECK_VENDOR</t>
        </is>
      </c>
      <c r="W1118" t="inlineStr">
        <is>
          <t>https://nvd.nist.gov/vuln/detail/CVE-2026-25987</t>
        </is>
      </c>
      <c r="X1118" t="inlineStr">
        <is>
          <t>NONE</t>
        </is>
      </c>
      <c r="Y1118" t="n">
        <v>0</v>
      </c>
      <c r="Z1118" t="inlineStr"/>
      <c r="AA1118" t="inlineStr">
        <is>
          <t>https://nvd.nist.gov/vuln/detail/CVE-2026-25987</t>
        </is>
      </c>
    </row>
    <row r="1119">
      <c r="A1119" t="inlineStr">
        <is>
          <t>CVE</t>
        </is>
      </c>
      <c r="B1119" t="inlineStr">
        <is>
          <t>CVE-2026-25988</t>
        </is>
      </c>
      <c r="C1119" t="inlineStr">
        <is>
          <t>ImageMagick is free and open-source software used for editing and manipulating digital images. Prior to versions 7.1.2-15 and 6.9.13-40, sometimes msl.c fails to update the stack index, so an image is stored in the wrong slot and never freed on error, causing leaks. Versions 7.1.2-15 and 6.9.13-40 contain a patch.</t>
        </is>
      </c>
      <c r="D1119" t="n">
        <v>5.3</v>
      </c>
      <c r="E1119" t="inlineStr">
        <is>
          <t>MEDIUM</t>
        </is>
      </c>
      <c r="F1119" t="n">
        <v>2</v>
      </c>
      <c r="G1119" t="n">
        <v>2</v>
      </c>
      <c r="H1119" t="inlineStr">
        <is>
          <t>MEDIUM</t>
        </is>
      </c>
      <c r="I1119" t="n">
        <v>9.300000000000001</v>
      </c>
      <c r="J1119" t="inlineStr">
        <is>
          <t>NO</t>
        </is>
      </c>
      <c r="K1119" t="inlineStr">
        <is>
          <t>2026-02-26 00:15</t>
        </is>
      </c>
      <c r="L1119" t="inlineStr">
        <is>
          <t>CHECK_VENDOR</t>
        </is>
      </c>
      <c r="M1119" t="inlineStr">
        <is>
          <t>imagemagick imagemagick *</t>
        </is>
      </c>
      <c r="N1119" t="inlineStr">
        <is>
          <t>P4</t>
        </is>
      </c>
      <c r="O1119" t="inlineStr">
        <is>
          <t>CVE - IP enrichment n/a</t>
        </is>
      </c>
      <c r="P1119" t="n">
        <v>0</v>
      </c>
      <c r="Q1119" t="n">
        <v>0</v>
      </c>
      <c r="R1119" t="inlineStr">
        <is>
          <t>T1190:Exploit Public-Facing Application</t>
        </is>
      </c>
      <c r="S1119" t="n">
        <v>1</v>
      </c>
      <c r="T1119" t="inlineStr">
        <is>
          <t>LOW (40%)</t>
        </is>
      </c>
      <c r="U1119" t="inlineStr">
        <is>
          <t>UNLIKELY</t>
        </is>
      </c>
      <c r="V1119" t="inlineStr">
        <is>
          <t>CHECK_VENDOR</t>
        </is>
      </c>
      <c r="W1119" t="inlineStr">
        <is>
          <t>https://nvd.nist.gov/vuln/detail/CVE-2026-25988</t>
        </is>
      </c>
      <c r="X1119" t="inlineStr">
        <is>
          <t>NONE</t>
        </is>
      </c>
      <c r="Y1119" t="n">
        <v>0</v>
      </c>
      <c r="Z1119" t="inlineStr"/>
      <c r="AA1119" t="inlineStr">
        <is>
          <t>https://nvd.nist.gov/vuln/detail/CVE-2026-25988</t>
        </is>
      </c>
    </row>
    <row r="1120">
      <c r="A1120" t="inlineStr">
        <is>
          <t>CVE</t>
        </is>
      </c>
      <c r="B1120" t="inlineStr">
        <is>
          <t>CVE-2026-3052</t>
        </is>
      </c>
      <c r="C1120" t="inlineStr">
        <is>
          <t>A vulnerability was found in DataLinkDC dinky up to 1.2.5. The impacted element is the function proxyUba of the file dinky-admin/src/main/java/org/dinky/controller/FlinkProxyController.java of the component Flink Proxy Controller. Performing a manipulation results in server-side request forgery. It is possible to initiate the attack remotely. The exploit has been made public and could be used. The vendor was contacted early about this disclosure but did not respond in any way.</t>
        </is>
      </c>
      <c r="D1120" t="n">
        <v>6.3</v>
      </c>
      <c r="E1120" t="inlineStr">
        <is>
          <t>MEDIUM</t>
        </is>
      </c>
      <c r="F1120" t="n">
        <v>2</v>
      </c>
      <c r="G1120" t="n">
        <v>2</v>
      </c>
      <c r="H1120" t="inlineStr">
        <is>
          <t>MEDIUM</t>
        </is>
      </c>
      <c r="I1120" t="n">
        <v>10.3</v>
      </c>
      <c r="J1120" t="inlineStr">
        <is>
          <t>NO</t>
        </is>
      </c>
      <c r="K1120" t="inlineStr">
        <is>
          <t>2026-02-26 00:15</t>
        </is>
      </c>
      <c r="L1120" t="inlineStr">
        <is>
          <t>CHECK_VENDOR</t>
        </is>
      </c>
      <c r="M1120" t="inlineStr">
        <is>
          <t>dinky dinky *</t>
        </is>
      </c>
      <c r="N1120" t="inlineStr">
        <is>
          <t>P4</t>
        </is>
      </c>
      <c r="O1120" t="inlineStr">
        <is>
          <t>CVE - IP enrichment n/a</t>
        </is>
      </c>
      <c r="P1120" t="n">
        <v>0</v>
      </c>
      <c r="Q1120" t="n">
        <v>0</v>
      </c>
      <c r="R1120" t="inlineStr">
        <is>
          <t>T1090:Proxy</t>
        </is>
      </c>
      <c r="S1120" t="n">
        <v>1</v>
      </c>
      <c r="T1120" t="inlineStr">
        <is>
          <t>LOW (40%)</t>
        </is>
      </c>
      <c r="U1120" t="inlineStr">
        <is>
          <t>UNLIKELY</t>
        </is>
      </c>
      <c r="V1120" t="inlineStr">
        <is>
          <t>CHECK_VENDOR</t>
        </is>
      </c>
      <c r="W1120" t="inlineStr">
        <is>
          <t>https://nvd.nist.gov/vuln/detail/CVE-2026-3052</t>
        </is>
      </c>
      <c r="X1120" t="inlineStr">
        <is>
          <t>NONE</t>
        </is>
      </c>
      <c r="Y1120" t="n">
        <v>0</v>
      </c>
      <c r="Z1120" t="inlineStr"/>
      <c r="AA1120" t="inlineStr">
        <is>
          <t>https://nvd.nist.gov/vuln/detail/CVE-2026-3052</t>
        </is>
      </c>
    </row>
    <row r="1121">
      <c r="A1121" t="inlineStr">
        <is>
          <t>CVE</t>
        </is>
      </c>
      <c r="B1121" t="inlineStr">
        <is>
          <t>CVE-2026-3053</t>
        </is>
      </c>
      <c r="C1121" t="inlineStr">
        <is>
          <t>A vulnerability was determined in DataLinkDC dinky up to 1.2.5. This affects the function addInterceptors of the file dinky-admin/src/main/java/org/dinky/configure/AppConfig.java of the component OpenAPI Endpoint. Executing a manipulation can lead to missing authentication. It is possible to launch the attack remotely. The exploit has been publicly disclosed and may be utilized. The vendor was contacted early about this disclosure but did not respond in any way.</t>
        </is>
      </c>
      <c r="D1121" t="n">
        <v>7.3</v>
      </c>
      <c r="E1121" t="inlineStr">
        <is>
          <t>HIGH</t>
        </is>
      </c>
      <c r="F1121" t="n">
        <v>2</v>
      </c>
      <c r="G1121" t="n">
        <v>3</v>
      </c>
      <c r="H1121" t="inlineStr">
        <is>
          <t>HIGH</t>
        </is>
      </c>
      <c r="I1121" t="n">
        <v>13.3</v>
      </c>
      <c r="J1121" t="inlineStr">
        <is>
          <t>NO</t>
        </is>
      </c>
      <c r="K1121" t="inlineStr">
        <is>
          <t>2026-02-26 00:15</t>
        </is>
      </c>
      <c r="L1121" t="inlineStr">
        <is>
          <t>CHECK_VENDOR</t>
        </is>
      </c>
      <c r="M1121" t="inlineStr">
        <is>
          <t>dinky dinky *</t>
        </is>
      </c>
      <c r="N1121" t="inlineStr">
        <is>
          <t>P3</t>
        </is>
      </c>
      <c r="O1121" t="inlineStr">
        <is>
          <t>CVE - IP enrichment n/a</t>
        </is>
      </c>
      <c r="P1121" t="n">
        <v>0</v>
      </c>
      <c r="Q1121" t="n">
        <v>0</v>
      </c>
      <c r="R1121" t="inlineStr">
        <is>
          <t>T1078:Valid Accounts | T1110:Brute Force | T1190:Exploit Public-Facing Application</t>
        </is>
      </c>
      <c r="S1121" t="n">
        <v>1</v>
      </c>
      <c r="T1121" t="inlineStr">
        <is>
          <t>LOW (40%)</t>
        </is>
      </c>
      <c r="U1121" t="inlineStr">
        <is>
          <t>UNLIKELY</t>
        </is>
      </c>
      <c r="V1121" t="inlineStr">
        <is>
          <t>CHECK_VENDOR</t>
        </is>
      </c>
      <c r="W1121" t="inlineStr">
        <is>
          <t>https://nvd.nist.gov/vuln/detail/CVE-2026-3053</t>
        </is>
      </c>
      <c r="X1121" t="inlineStr">
        <is>
          <t>NONE</t>
        </is>
      </c>
      <c r="Y1121" t="n">
        <v>0</v>
      </c>
      <c r="Z1121" t="inlineStr"/>
      <c r="AA1121" t="inlineStr">
        <is>
          <t>https://nvd.nist.gov/vuln/detail/CVE-2026-3053</t>
        </is>
      </c>
    </row>
    <row r="1122">
      <c r="A1122" t="inlineStr">
        <is>
          <t>CVE</t>
        </is>
      </c>
      <c r="B1122" t="inlineStr">
        <is>
          <t>CVE-2025-11847</t>
        </is>
      </c>
      <c r="C1122" t="inlineStr">
        <is>
          <t>A null pointer dereference vulnerability in the IP settings CGI program of the Zyxel VMG3625-T50B firmware versions through 5.50(ABPM.9.6)C0 and the Zyxel WX3100-T0 firmware versions through 5.50(ABVL.4.8)C0 could allow an authenticated attacker with administrator privileges to trigger a denial-of-service (DoS) condition by sending a crafted HTTP request.</t>
        </is>
      </c>
      <c r="D1122" t="n">
        <v>4.9</v>
      </c>
      <c r="E1122" t="inlineStr">
        <is>
          <t>MEDIUM</t>
        </is>
      </c>
      <c r="F1122" t="n">
        <v>2</v>
      </c>
      <c r="G1122" t="n">
        <v>2</v>
      </c>
      <c r="H1122" t="inlineStr">
        <is>
          <t>MEDIUM</t>
        </is>
      </c>
      <c r="I1122" t="n">
        <v>8.9</v>
      </c>
      <c r="J1122" t="inlineStr">
        <is>
          <t>NO</t>
        </is>
      </c>
      <c r="K1122" t="inlineStr">
        <is>
          <t>2026-02-26 00:15</t>
        </is>
      </c>
      <c r="L1122" t="inlineStr">
        <is>
          <t>YES</t>
        </is>
      </c>
      <c r="M1122" t="inlineStr">
        <is>
          <t>zyxel nebula_fwa515_firmware * | zyxel vmg4005-b60a_firmware * | zyxel nebula_fwa710_firmware *</t>
        </is>
      </c>
      <c r="N1122" t="inlineStr">
        <is>
          <t>P4</t>
        </is>
      </c>
      <c r="O1122" t="inlineStr">
        <is>
          <t>CVE - IP enrichment n/a</t>
        </is>
      </c>
      <c r="P1122" t="n">
        <v>0</v>
      </c>
      <c r="Q1122" t="n">
        <v>0</v>
      </c>
      <c r="R1122" t="inlineStr">
        <is>
          <t>T1499:Endpoint Denial of Service</t>
        </is>
      </c>
      <c r="S1122" t="n">
        <v>1</v>
      </c>
      <c r="T1122" t="inlineStr">
        <is>
          <t>LOW (40%)</t>
        </is>
      </c>
      <c r="U1122" t="inlineStr">
        <is>
          <t>UNLIKELY</t>
        </is>
      </c>
      <c r="V1122" t="inlineStr">
        <is>
          <t>PATCH_AVAILABLE</t>
        </is>
      </c>
      <c r="W1122" t="inlineStr">
        <is>
          <t>https://nvd.nist.gov/vuln/detail/CVE-2025-11847</t>
        </is>
      </c>
      <c r="X1122" t="inlineStr">
        <is>
          <t>NONE</t>
        </is>
      </c>
      <c r="Y1122" t="n">
        <v>0</v>
      </c>
      <c r="Z1122" t="inlineStr"/>
      <c r="AA1122" t="inlineStr">
        <is>
          <t>https://nvd.nist.gov/vuln/detail/CVE-2025-11847</t>
        </is>
      </c>
    </row>
    <row r="1123">
      <c r="A1123" t="inlineStr">
        <is>
          <t>CVE</t>
        </is>
      </c>
      <c r="B1123" t="inlineStr">
        <is>
          <t>CVE-2025-11848</t>
        </is>
      </c>
      <c r="C1123" t="inlineStr">
        <is>
          <t>A null pointer dereference vulnerability in the Wake-on-LAN CGI program of the Zyxel VMG3625-T50B firmware version through 5.50(ABPM.9.6)C0 and the Zyxel WX3100-T0 firmware versions through 5.50(ABVL.4.8)C0 could allow an authenticated attacker with administrator privileges to trigger a denial-of-service (DoS) condition by sending a crafted HTTP request.</t>
        </is>
      </c>
      <c r="D1123" t="n">
        <v>4.9</v>
      </c>
      <c r="E1123" t="inlineStr">
        <is>
          <t>MEDIUM</t>
        </is>
      </c>
      <c r="F1123" t="n">
        <v>2</v>
      </c>
      <c r="G1123" t="n">
        <v>2</v>
      </c>
      <c r="H1123" t="inlineStr">
        <is>
          <t>MEDIUM</t>
        </is>
      </c>
      <c r="I1123" t="n">
        <v>8.9</v>
      </c>
      <c r="J1123" t="inlineStr">
        <is>
          <t>NO</t>
        </is>
      </c>
      <c r="K1123" t="inlineStr">
        <is>
          <t>2026-02-26 00:15</t>
        </is>
      </c>
      <c r="L1123" t="inlineStr">
        <is>
          <t>YES</t>
        </is>
      </c>
      <c r="M1123" t="inlineStr">
        <is>
          <t>zyxel vmg4005-b60a_firmware * | zyxel pm7500-00 - | zyxel ex7501-b0 -</t>
        </is>
      </c>
      <c r="N1123" t="inlineStr">
        <is>
          <t>P4</t>
        </is>
      </c>
      <c r="O1123" t="inlineStr">
        <is>
          <t>CVE - IP enrichment n/a</t>
        </is>
      </c>
      <c r="P1123" t="n">
        <v>0.0018</v>
      </c>
      <c r="Q1123" t="n">
        <v>0.3897</v>
      </c>
      <c r="R1123" t="inlineStr">
        <is>
          <t>T1499:Endpoint Denial of Service</t>
        </is>
      </c>
      <c r="S1123" t="n">
        <v>1</v>
      </c>
      <c r="T1123" t="inlineStr">
        <is>
          <t>LOW (40%)</t>
        </is>
      </c>
      <c r="U1123" t="inlineStr">
        <is>
          <t>UNLIKELY</t>
        </is>
      </c>
      <c r="V1123" t="inlineStr">
        <is>
          <t>PATCH_AVAILABLE</t>
        </is>
      </c>
      <c r="W1123" t="inlineStr">
        <is>
          <t>https://nvd.nist.gov/vuln/detail/CVE-2025-11848</t>
        </is>
      </c>
      <c r="X1123" t="inlineStr">
        <is>
          <t>NONE</t>
        </is>
      </c>
      <c r="Y1123" t="n">
        <v>0</v>
      </c>
      <c r="Z1123" t="inlineStr"/>
      <c r="AA1123" t="inlineStr">
        <is>
          <t>https://nvd.nist.gov/vuln/detail/CVE-2025-11848</t>
        </is>
      </c>
    </row>
    <row r="1124">
      <c r="A1124" t="inlineStr">
        <is>
          <t>CVE</t>
        </is>
      </c>
      <c r="B1124" t="inlineStr">
        <is>
          <t>CVE-2025-13942</t>
        </is>
      </c>
      <c r="C1124" t="inlineStr">
        <is>
          <t>A command injection vulnerability in the UPnP function of the Zyxel EX3510-B0 firmware versions through 5.17(ABUP.15.1)C0 could allow a remote attacker to execute operating system (OS) commands on an affected device by sending specially crafted UPnP SOAP requests.</t>
        </is>
      </c>
      <c r="D1124" t="n">
        <v>9.800000000000001</v>
      </c>
      <c r="E1124" t="inlineStr">
        <is>
          <t>CRITICAL</t>
        </is>
      </c>
      <c r="F1124" t="n">
        <v>2</v>
      </c>
      <c r="G1124" t="n">
        <v>3</v>
      </c>
      <c r="H1124" t="inlineStr">
        <is>
          <t>HIGH</t>
        </is>
      </c>
      <c r="I1124" t="n">
        <v>15.8</v>
      </c>
      <c r="J1124" t="inlineStr">
        <is>
          <t>NO</t>
        </is>
      </c>
      <c r="K1124" t="inlineStr">
        <is>
          <t>2026-02-26 00:15</t>
        </is>
      </c>
      <c r="L1124" t="inlineStr">
        <is>
          <t>YES</t>
        </is>
      </c>
      <c r="M1124" t="inlineStr">
        <is>
          <t>zyxel ex5510-b0 - | zyxel dx4510-b1_firmware * | zyxel dx4510-b0 -</t>
        </is>
      </c>
      <c r="N1124" t="inlineStr">
        <is>
          <t>P3</t>
        </is>
      </c>
      <c r="O1124" t="inlineStr">
        <is>
          <t>CVE - IP enrichment n/a</t>
        </is>
      </c>
      <c r="P1124" t="n">
        <v>0</v>
      </c>
      <c r="Q1124" t="n">
        <v>0</v>
      </c>
      <c r="R1124" t="inlineStr">
        <is>
          <t>T1059:Command and Scripting Interpreter</t>
        </is>
      </c>
      <c r="S1124" t="n">
        <v>1</v>
      </c>
      <c r="T1124" t="inlineStr">
        <is>
          <t>LOW (40%)</t>
        </is>
      </c>
      <c r="U1124" t="inlineStr">
        <is>
          <t>UNLIKELY</t>
        </is>
      </c>
      <c r="V1124" t="inlineStr">
        <is>
          <t>PATCH_AVAILABLE</t>
        </is>
      </c>
      <c r="W1124" t="inlineStr">
        <is>
          <t>https://nvd.nist.gov/vuln/detail/CVE-2025-13942</t>
        </is>
      </c>
      <c r="X1124" t="inlineStr">
        <is>
          <t>NONE</t>
        </is>
      </c>
      <c r="Y1124" t="n">
        <v>0</v>
      </c>
      <c r="Z1124" t="inlineStr">
        <is>
          <t>[SecurityAffairs] Critical Zyxel router flaw exposed devices to remote attacks</t>
        </is>
      </c>
      <c r="AA1124" t="inlineStr">
        <is>
          <t>https://nvd.nist.gov/vuln/detail/CVE-2025-13942</t>
        </is>
      </c>
    </row>
    <row r="1125">
      <c r="A1125" t="inlineStr">
        <is>
          <t>CVE</t>
        </is>
      </c>
      <c r="B1125" t="inlineStr">
        <is>
          <t>CVE-2025-13943</t>
        </is>
      </c>
      <c r="C1125" t="inlineStr">
        <is>
          <t>A post-authentication command injection vulnerability in the log file download function of the Zyxel EX3301-T0 firmware versions through 5.50(ABVY.7)C0 could allow an authenticated attacker to execute operating system (OS) commands on an affected device.</t>
        </is>
      </c>
      <c r="D1125" t="n">
        <v>8.800000000000001</v>
      </c>
      <c r="E1125" t="inlineStr">
        <is>
          <t>HIGH</t>
        </is>
      </c>
      <c r="F1125" t="n">
        <v>2</v>
      </c>
      <c r="G1125" t="n">
        <v>3</v>
      </c>
      <c r="H1125" t="inlineStr">
        <is>
          <t>HIGH</t>
        </is>
      </c>
      <c r="I1125" t="n">
        <v>14.8</v>
      </c>
      <c r="J1125" t="inlineStr">
        <is>
          <t>NO</t>
        </is>
      </c>
      <c r="K1125" t="inlineStr">
        <is>
          <t>2026-02-26 00:15</t>
        </is>
      </c>
      <c r="L1125" t="inlineStr">
        <is>
          <t>YES</t>
        </is>
      </c>
      <c r="M1125" t="inlineStr">
        <is>
          <t>zyxel vmg4005-b60a_firmware * | zyxel pm7500-00 - | zyxel ex7501-b0 -</t>
        </is>
      </c>
      <c r="N1125" t="inlineStr">
        <is>
          <t>P3</t>
        </is>
      </c>
      <c r="O1125" t="inlineStr">
        <is>
          <t>CVE - IP enrichment n/a</t>
        </is>
      </c>
      <c r="P1125" t="n">
        <v>0</v>
      </c>
      <c r="Q1125" t="n">
        <v>0</v>
      </c>
      <c r="R1125" t="inlineStr">
        <is>
          <t>T1059:Command and Scripting Interpreter</t>
        </is>
      </c>
      <c r="S1125" t="n">
        <v>1</v>
      </c>
      <c r="T1125" t="inlineStr">
        <is>
          <t>LOW (40%)</t>
        </is>
      </c>
      <c r="U1125" t="inlineStr">
        <is>
          <t>UNLIKELY</t>
        </is>
      </c>
      <c r="V1125" t="inlineStr">
        <is>
          <t>PATCH_AVAILABLE</t>
        </is>
      </c>
      <c r="W1125" t="inlineStr">
        <is>
          <t>https://nvd.nist.gov/vuln/detail/CVE-2025-13943</t>
        </is>
      </c>
      <c r="X1125" t="inlineStr">
        <is>
          <t>NONE</t>
        </is>
      </c>
      <c r="Y1125" t="n">
        <v>0</v>
      </c>
      <c r="Z1125" t="inlineStr"/>
      <c r="AA1125" t="inlineStr">
        <is>
          <t>https://nvd.nist.gov/vuln/detail/CVE-2025-13943</t>
        </is>
      </c>
    </row>
    <row r="1126">
      <c r="A1126" t="inlineStr">
        <is>
          <t>CVE</t>
        </is>
      </c>
      <c r="B1126" t="inlineStr">
        <is>
          <t>CVE-2026-1459</t>
        </is>
      </c>
      <c r="C1126" t="inlineStr">
        <is>
          <t>A post-authentication command injection vulnerability in the TR-369 certificate download CGI program of the Zyxel VMG3625-T50B firmware versions through 5.50(ABPM.9.7)C0 could allow an authenticated attacker with administrator privileges to execute operating system (OS) commands on an affected device.</t>
        </is>
      </c>
      <c r="D1126" t="n">
        <v>7.2</v>
      </c>
      <c r="E1126" t="inlineStr">
        <is>
          <t>HIGH</t>
        </is>
      </c>
      <c r="F1126" t="n">
        <v>2</v>
      </c>
      <c r="G1126" t="n">
        <v>3</v>
      </c>
      <c r="H1126" t="inlineStr">
        <is>
          <t>HIGH</t>
        </is>
      </c>
      <c r="I1126" t="n">
        <v>13.2</v>
      </c>
      <c r="J1126" t="inlineStr">
        <is>
          <t>NO</t>
        </is>
      </c>
      <c r="K1126" t="inlineStr">
        <is>
          <t>2026-02-26 00:15</t>
        </is>
      </c>
      <c r="L1126" t="inlineStr">
        <is>
          <t>YES</t>
        </is>
      </c>
      <c r="M1126" t="inlineStr">
        <is>
          <t>zyxel vmg3625-t50b - | zyxel emg5523-t50b_firmware * | zyxel emg3525-t50b -</t>
        </is>
      </c>
      <c r="N1126" t="inlineStr">
        <is>
          <t>P3</t>
        </is>
      </c>
      <c r="O1126" t="inlineStr">
        <is>
          <t>CVE - IP enrichment n/a</t>
        </is>
      </c>
      <c r="P1126" t="n">
        <v>0</v>
      </c>
      <c r="Q1126" t="n">
        <v>0</v>
      </c>
      <c r="R1126" t="inlineStr">
        <is>
          <t>T1059:Command and Scripting Interpreter</t>
        </is>
      </c>
      <c r="S1126" t="n">
        <v>1</v>
      </c>
      <c r="T1126" t="inlineStr">
        <is>
          <t>LOW (40%)</t>
        </is>
      </c>
      <c r="U1126" t="inlineStr">
        <is>
          <t>UNLIKELY</t>
        </is>
      </c>
      <c r="V1126" t="inlineStr">
        <is>
          <t>PATCH_AVAILABLE</t>
        </is>
      </c>
      <c r="W1126" t="inlineStr">
        <is>
          <t>https://nvd.nist.gov/vuln/detail/CVE-2026-1459</t>
        </is>
      </c>
      <c r="X1126" t="inlineStr">
        <is>
          <t>NONE</t>
        </is>
      </c>
      <c r="Y1126" t="n">
        <v>0</v>
      </c>
      <c r="Z1126" t="inlineStr"/>
      <c r="AA1126" t="inlineStr">
        <is>
          <t>https://nvd.nist.gov/vuln/detail/CVE-2026-1459</t>
        </is>
      </c>
    </row>
    <row r="1127">
      <c r="A1127" t="inlineStr">
        <is>
          <t>CVE</t>
        </is>
      </c>
      <c r="B1127" t="inlineStr">
        <is>
          <t>CVE-2026-25989</t>
        </is>
      </c>
      <c r="C1127" t="inlineStr">
        <is>
          <t>ImageMagick is free and open-source software used for editing and manipulating digital images. Prior to versions 7.1.2-15 and 6.9.13-40, a crafted SVG file can cause a denial of service. An off-by-one boundary check (`&gt;` instead of `&gt;=`) that allows bypass the guard and reach an undefined `(size_t)` cast. Versions 7.1.2-15 and 6.9.13-40 contain a patch.</t>
        </is>
      </c>
      <c r="D1127" t="n">
        <v>7.5</v>
      </c>
      <c r="E1127" t="inlineStr">
        <is>
          <t>HIGH</t>
        </is>
      </c>
      <c r="F1127" t="n">
        <v>2</v>
      </c>
      <c r="G1127" t="n">
        <v>3</v>
      </c>
      <c r="H1127" t="inlineStr">
        <is>
          <t>HIGH</t>
        </is>
      </c>
      <c r="I1127" t="n">
        <v>13.5</v>
      </c>
      <c r="J1127" t="inlineStr">
        <is>
          <t>NO</t>
        </is>
      </c>
      <c r="K1127" t="inlineStr">
        <is>
          <t>2026-02-26 00:15</t>
        </is>
      </c>
      <c r="L1127" t="inlineStr">
        <is>
          <t>YES</t>
        </is>
      </c>
      <c r="M1127" t="inlineStr">
        <is>
          <t>imagemagick imagemagick *</t>
        </is>
      </c>
      <c r="N1127" t="inlineStr">
        <is>
          <t>P3</t>
        </is>
      </c>
      <c r="O1127" t="inlineStr">
        <is>
          <t>CVE - IP enrichment n/a</t>
        </is>
      </c>
      <c r="P1127" t="n">
        <v>0</v>
      </c>
      <c r="Q1127" t="n">
        <v>0</v>
      </c>
      <c r="R1127" t="inlineStr">
        <is>
          <t>T1190:Exploit Public-Facing Application | T1499:Endpoint Denial of Service</t>
        </is>
      </c>
      <c r="S1127" t="n">
        <v>1</v>
      </c>
      <c r="T1127" t="inlineStr">
        <is>
          <t>LOW (40%)</t>
        </is>
      </c>
      <c r="U1127" t="inlineStr">
        <is>
          <t>UNLIKELY</t>
        </is>
      </c>
      <c r="V1127" t="inlineStr">
        <is>
          <t>PATCH_AVAILABLE</t>
        </is>
      </c>
      <c r="W1127" t="inlineStr">
        <is>
          <t>https://nvd.nist.gov/vuln/detail/CVE-2026-25989</t>
        </is>
      </c>
      <c r="X1127" t="inlineStr">
        <is>
          <t>NONE</t>
        </is>
      </c>
      <c r="Y1127" t="n">
        <v>0</v>
      </c>
      <c r="Z1127" t="inlineStr"/>
      <c r="AA1127" t="inlineStr">
        <is>
          <t>https://nvd.nist.gov/vuln/detail/CVE-2026-25989</t>
        </is>
      </c>
    </row>
    <row r="1128">
      <c r="A1128" t="inlineStr">
        <is>
          <t>CVE</t>
        </is>
      </c>
      <c r="B1128" t="inlineStr">
        <is>
          <t>CVE-2026-26066</t>
        </is>
      </c>
      <c r="C1128" t="inlineStr">
        <is>
          <t>ImageMagick is free and open-source software used for editing and manipulating digital images. Prior to versions 7.1.2-15 and 6.9.13-40, a crafted profile contain invalid IPTC data may cause an infinite loop when writing it with `IPTCTEXT`. Versions 7.1.2-15 and 6.9.13-40 contain a patch.</t>
        </is>
      </c>
      <c r="D1128" t="n">
        <v>6.2</v>
      </c>
      <c r="E1128" t="inlineStr">
        <is>
          <t>MEDIUM</t>
        </is>
      </c>
      <c r="F1128" t="n">
        <v>2</v>
      </c>
      <c r="G1128" t="n">
        <v>2</v>
      </c>
      <c r="H1128" t="inlineStr">
        <is>
          <t>MEDIUM</t>
        </is>
      </c>
      <c r="I1128" t="n">
        <v>10.2</v>
      </c>
      <c r="J1128" t="inlineStr">
        <is>
          <t>NO</t>
        </is>
      </c>
      <c r="K1128" t="inlineStr">
        <is>
          <t>2026-02-26 00:15</t>
        </is>
      </c>
      <c r="L1128" t="inlineStr">
        <is>
          <t>CHECK_VENDOR</t>
        </is>
      </c>
      <c r="M1128" t="inlineStr">
        <is>
          <t>imagemagick imagemagick *</t>
        </is>
      </c>
      <c r="N1128" t="inlineStr">
        <is>
          <t>P4</t>
        </is>
      </c>
      <c r="O1128" t="inlineStr">
        <is>
          <t>CVE - IP enrichment n/a</t>
        </is>
      </c>
      <c r="P1128" t="n">
        <v>0</v>
      </c>
      <c r="Q1128" t="n">
        <v>0</v>
      </c>
      <c r="R1128" t="inlineStr">
        <is>
          <t>T1190:Exploit Public-Facing Application</t>
        </is>
      </c>
      <c r="S1128" t="n">
        <v>1</v>
      </c>
      <c r="T1128" t="inlineStr">
        <is>
          <t>LOW (40%)</t>
        </is>
      </c>
      <c r="U1128" t="inlineStr">
        <is>
          <t>UNLIKELY</t>
        </is>
      </c>
      <c r="V1128" t="inlineStr">
        <is>
          <t>CHECK_VENDOR</t>
        </is>
      </c>
      <c r="W1128" t="inlineStr">
        <is>
          <t>https://nvd.nist.gov/vuln/detail/CVE-2026-26066</t>
        </is>
      </c>
      <c r="X1128" t="inlineStr">
        <is>
          <t>NONE</t>
        </is>
      </c>
      <c r="Y1128" t="n">
        <v>0</v>
      </c>
      <c r="Z1128" t="inlineStr"/>
      <c r="AA1128" t="inlineStr">
        <is>
          <t>https://nvd.nist.gov/vuln/detail/CVE-2026-26066</t>
        </is>
      </c>
    </row>
    <row r="1129">
      <c r="A1129" t="inlineStr">
        <is>
          <t>CVE</t>
        </is>
      </c>
      <c r="B1129" t="inlineStr">
        <is>
          <t>CVE-2026-26198</t>
        </is>
      </c>
      <c r="C1129" t="inlineStr">
        <is>
          <t>Ormar is a async mini ORM for Python. In versions 0.9.9 through 0.22.0, when performing aggregate queries, Ormar ORM constructs SQL expressions by passing user-supplied column names directly into `sqlalchemy.text()` without any validation or sanitization. The `min()` and `max()` methods in the `QuerySet` class accept arbitrary string input as the column parameter. While `sum()` and `avg()` are partially protected by an `is_numeric` type check that rejects non-existent fields, `min()` and `max()`</t>
        </is>
      </c>
      <c r="D1129" t="n">
        <v>9.800000000000001</v>
      </c>
      <c r="E1129" t="inlineStr">
        <is>
          <t>CRITICAL</t>
        </is>
      </c>
      <c r="F1129" t="n">
        <v>2</v>
      </c>
      <c r="G1129" t="n">
        <v>3</v>
      </c>
      <c r="H1129" t="inlineStr">
        <is>
          <t>HIGH</t>
        </is>
      </c>
      <c r="I1129" t="n">
        <v>15.8</v>
      </c>
      <c r="J1129" t="inlineStr">
        <is>
          <t>NO</t>
        </is>
      </c>
      <c r="K1129" t="inlineStr">
        <is>
          <t>2026-02-26 00:15</t>
        </is>
      </c>
      <c r="L1129" t="inlineStr">
        <is>
          <t>YES</t>
        </is>
      </c>
      <c r="M1129" t="inlineStr">
        <is>
          <t>collerek ormar *</t>
        </is>
      </c>
      <c r="N1129" t="inlineStr">
        <is>
          <t>P3</t>
        </is>
      </c>
      <c r="O1129" t="inlineStr">
        <is>
          <t>CVE - IP enrichment n/a</t>
        </is>
      </c>
      <c r="P1129" t="n">
        <v>0</v>
      </c>
      <c r="Q1129" t="n">
        <v>0</v>
      </c>
      <c r="R1129" t="inlineStr">
        <is>
          <t>T1190:Exploit Public-Facing Application</t>
        </is>
      </c>
      <c r="S1129" t="n">
        <v>1</v>
      </c>
      <c r="T1129" t="inlineStr">
        <is>
          <t>LOW (40%)</t>
        </is>
      </c>
      <c r="U1129" t="inlineStr">
        <is>
          <t>UNLIKELY</t>
        </is>
      </c>
      <c r="V1129" t="inlineStr">
        <is>
          <t>PATCH_AVAILABLE</t>
        </is>
      </c>
      <c r="W1129" t="inlineStr">
        <is>
          <t>https://nvd.nist.gov/vuln/detail/CVE-2026-26198</t>
        </is>
      </c>
      <c r="X1129" t="inlineStr">
        <is>
          <t>NONE</t>
        </is>
      </c>
      <c r="Y1129" t="n">
        <v>0</v>
      </c>
      <c r="Z1129" t="inlineStr"/>
      <c r="AA1129" t="inlineStr">
        <is>
          <t>https://nvd.nist.gov/vuln/detail/CVE-2026-26198</t>
        </is>
      </c>
    </row>
    <row r="1130">
      <c r="A1130" t="inlineStr">
        <is>
          <t>CVE</t>
        </is>
      </c>
      <c r="B1130" t="inlineStr">
        <is>
          <t>CVE-2026-26283</t>
        </is>
      </c>
      <c r="C1130" t="inlineStr">
        <is>
          <t>ImageMagick is free and open-source software used for editing and manipulating digital images. Prior to versions 7.1.2-15 and 6.9.13-40, a `continue` statement in the JPEG extent binary search loop in the jpeg encoder causes an infinite loop when writing persistently fails. An attacker can trigger a 100% CPU consumption and process hang (Denial of Service) with a crafted image. Versions 7.1.2-15 and 6.9.13-40 contain a patch.</t>
        </is>
      </c>
      <c r="D1130" t="n">
        <v>6.2</v>
      </c>
      <c r="E1130" t="inlineStr">
        <is>
          <t>MEDIUM</t>
        </is>
      </c>
      <c r="F1130" t="n">
        <v>2</v>
      </c>
      <c r="G1130" t="n">
        <v>2</v>
      </c>
      <c r="H1130" t="inlineStr">
        <is>
          <t>MEDIUM</t>
        </is>
      </c>
      <c r="I1130" t="n">
        <v>10.2</v>
      </c>
      <c r="J1130" t="inlineStr">
        <is>
          <t>NO</t>
        </is>
      </c>
      <c r="K1130" t="inlineStr">
        <is>
          <t>2026-02-26 00:15</t>
        </is>
      </c>
      <c r="L1130" t="inlineStr">
        <is>
          <t>YES</t>
        </is>
      </c>
      <c r="M1130" t="inlineStr">
        <is>
          <t>imagemagick imagemagick *</t>
        </is>
      </c>
      <c r="N1130" t="inlineStr">
        <is>
          <t>P4</t>
        </is>
      </c>
      <c r="O1130" t="inlineStr">
        <is>
          <t>CVE - IP enrichment n/a</t>
        </is>
      </c>
      <c r="P1130" t="n">
        <v>0</v>
      </c>
      <c r="Q1130" t="n">
        <v>0</v>
      </c>
      <c r="R1130" t="inlineStr">
        <is>
          <t>T1190:Exploit Public-Facing Application | T1499:Endpoint Denial of Service</t>
        </is>
      </c>
      <c r="S1130" t="n">
        <v>1</v>
      </c>
      <c r="T1130" t="inlineStr">
        <is>
          <t>LOW (40%)</t>
        </is>
      </c>
      <c r="U1130" t="inlineStr">
        <is>
          <t>UNLIKELY</t>
        </is>
      </c>
      <c r="V1130" t="inlineStr">
        <is>
          <t>PATCH_AVAILABLE</t>
        </is>
      </c>
      <c r="W1130" t="inlineStr">
        <is>
          <t>https://nvd.nist.gov/vuln/detail/CVE-2026-26283</t>
        </is>
      </c>
      <c r="X1130" t="inlineStr">
        <is>
          <t>NONE</t>
        </is>
      </c>
      <c r="Y1130" t="n">
        <v>0</v>
      </c>
      <c r="Z1130" t="inlineStr"/>
      <c r="AA1130" t="inlineStr">
        <is>
          <t>https://nvd.nist.gov/vuln/detail/CVE-2026-26283</t>
        </is>
      </c>
    </row>
    <row r="1131">
      <c r="A1131" t="inlineStr">
        <is>
          <t>CVE</t>
        </is>
      </c>
      <c r="B1131" t="inlineStr">
        <is>
          <t>CVE-2026-26284</t>
        </is>
      </c>
      <c r="C1131" t="inlineStr">
        <is>
          <t>ImageMagick is free and open-source software used for editing and manipulating digital images. Prior to versions 7.1.2-15 and 6.9.13-40, ImageMagick lacks proper boundary checking when processing Huffman-coded data from PCD (Photo CD) files. The decoder contains an function that has an incorrect initialization that could cause an out of bounds read. Versions 7.1.2-15 and 6.9.13-40 contain a patch.</t>
        </is>
      </c>
      <c r="D1131" t="n">
        <v>6.5</v>
      </c>
      <c r="E1131" t="inlineStr">
        <is>
          <t>MEDIUM</t>
        </is>
      </c>
      <c r="F1131" t="n">
        <v>2</v>
      </c>
      <c r="G1131" t="n">
        <v>2</v>
      </c>
      <c r="H1131" t="inlineStr">
        <is>
          <t>MEDIUM</t>
        </is>
      </c>
      <c r="I1131" t="n">
        <v>10.5</v>
      </c>
      <c r="J1131" t="inlineStr">
        <is>
          <t>NO</t>
        </is>
      </c>
      <c r="K1131" t="inlineStr">
        <is>
          <t>2026-02-26 00:15</t>
        </is>
      </c>
      <c r="L1131" t="inlineStr">
        <is>
          <t>YES</t>
        </is>
      </c>
      <c r="M1131" t="inlineStr">
        <is>
          <t>imagemagick imagemagick *</t>
        </is>
      </c>
      <c r="N1131" t="inlineStr">
        <is>
          <t>P4</t>
        </is>
      </c>
      <c r="O1131" t="inlineStr">
        <is>
          <t>CVE - IP enrichment n/a</t>
        </is>
      </c>
      <c r="P1131" t="n">
        <v>0.0004</v>
      </c>
      <c r="Q1131" t="n">
        <v>0.1313</v>
      </c>
      <c r="R1131" t="inlineStr">
        <is>
          <t>T1203:Exploitation for Client Execution | T1190:Exploit Public-Facing Application</t>
        </is>
      </c>
      <c r="S1131" t="n">
        <v>1</v>
      </c>
      <c r="T1131" t="inlineStr">
        <is>
          <t>LOW (40%)</t>
        </is>
      </c>
      <c r="U1131" t="inlineStr">
        <is>
          <t>UNLIKELY</t>
        </is>
      </c>
      <c r="V1131" t="inlineStr">
        <is>
          <t>PATCH_AVAILABLE</t>
        </is>
      </c>
      <c r="W1131" t="inlineStr">
        <is>
          <t>https://nvd.nist.gov/vuln/detail/CVE-2026-26284</t>
        </is>
      </c>
      <c r="X1131" t="inlineStr">
        <is>
          <t>NONE</t>
        </is>
      </c>
      <c r="Y1131" t="n">
        <v>0</v>
      </c>
      <c r="Z1131" t="inlineStr"/>
      <c r="AA1131" t="inlineStr">
        <is>
          <t>https://nvd.nist.gov/vuln/detail/CVE-2026-26284</t>
        </is>
      </c>
    </row>
    <row r="1132">
      <c r="A1132" t="inlineStr">
        <is>
          <t>CVE</t>
        </is>
      </c>
      <c r="B1132" t="inlineStr">
        <is>
          <t>CVE-2026-26331</t>
        </is>
      </c>
      <c r="C1132" t="inlineStr">
        <is>
          <t>yt-dlp is a command-line audio/video downloader. Starting in version 2023.06.21 and prior to version 2026.02.21, when yt-dlp's `--netrc-cmd` command-line option (or `netrc_cmd` Python API parameter) is used, an attacker could achieve arbitrary command injection on the user's system with a maliciously crafted URL. yt-dlp maintainers assume the impact of this vulnerability to be high for anyone who uses `--netrc-cmd` in their command/configuration or `netrc_cmd` in their Python scripts. Even thoug</t>
        </is>
      </c>
      <c r="D1132" t="n">
        <v>8.800000000000001</v>
      </c>
      <c r="E1132" t="inlineStr">
        <is>
          <t>HIGH</t>
        </is>
      </c>
      <c r="F1132" t="n">
        <v>2</v>
      </c>
      <c r="G1132" t="n">
        <v>3</v>
      </c>
      <c r="H1132" t="inlineStr">
        <is>
          <t>HIGH</t>
        </is>
      </c>
      <c r="I1132" t="n">
        <v>14.8</v>
      </c>
      <c r="J1132" t="inlineStr">
        <is>
          <t>NO</t>
        </is>
      </c>
      <c r="K1132" t="inlineStr">
        <is>
          <t>2026-02-26 00:15</t>
        </is>
      </c>
      <c r="L1132" t="inlineStr">
        <is>
          <t>YES</t>
        </is>
      </c>
      <c r="M1132" t="inlineStr">
        <is>
          <t>yt-dlp_project yt-dlp *</t>
        </is>
      </c>
      <c r="N1132" t="inlineStr">
        <is>
          <t>P3</t>
        </is>
      </c>
      <c r="O1132" t="inlineStr">
        <is>
          <t>CVE - IP enrichment n/a</t>
        </is>
      </c>
      <c r="P1132" t="n">
        <v>0</v>
      </c>
      <c r="Q1132" t="n">
        <v>0</v>
      </c>
      <c r="R1132" t="inlineStr">
        <is>
          <t>T1059:Command and Scripting Interpreter</t>
        </is>
      </c>
      <c r="S1132" t="n">
        <v>1</v>
      </c>
      <c r="T1132" t="inlineStr">
        <is>
          <t>LOW (40%)</t>
        </is>
      </c>
      <c r="U1132" t="inlineStr">
        <is>
          <t>UNLIKELY</t>
        </is>
      </c>
      <c r="V1132" t="inlineStr">
        <is>
          <t>PATCH_AVAILABLE</t>
        </is>
      </c>
      <c r="W1132" t="inlineStr">
        <is>
          <t>https://nvd.nist.gov/vuln/detail/CVE-2026-26331</t>
        </is>
      </c>
      <c r="X1132" t="inlineStr">
        <is>
          <t>NONE</t>
        </is>
      </c>
      <c r="Y1132" t="n">
        <v>0</v>
      </c>
      <c r="Z1132" t="inlineStr"/>
      <c r="AA1132" t="inlineStr">
        <is>
          <t>https://nvd.nist.gov/vuln/detail/CVE-2026-26331</t>
        </is>
      </c>
    </row>
    <row r="1133">
      <c r="A1133" t="inlineStr">
        <is>
          <t>CVE</t>
        </is>
      </c>
      <c r="B1133" t="inlineStr">
        <is>
          <t>CVE-2026-26981</t>
        </is>
      </c>
      <c r="C1133" t="inlineStr">
        <is>
          <t>OpenEXR provides the specification and reference implementation of the EXR file format, an image storage format for the motion picture industry. In versions 3.3.0 through 3.3.6 and 3.4.0 through 3.4.4, a heap-buffer-overflow (OOB read) occurs in the `istream_nonparallel_read` function in `ImfContextInit.cpp` when parsing a malformed EXR file through a memory-mapped `IStream`. A signed integer subtraction produces a negative value that is implicitly converted to `size_t`, resulting in a massive l</t>
        </is>
      </c>
      <c r="D1133" t="n">
        <v>6.5</v>
      </c>
      <c r="E1133" t="inlineStr">
        <is>
          <t>MEDIUM</t>
        </is>
      </c>
      <c r="F1133" t="n">
        <v>2</v>
      </c>
      <c r="G1133" t="n">
        <v>2</v>
      </c>
      <c r="H1133" t="inlineStr">
        <is>
          <t>MEDIUM</t>
        </is>
      </c>
      <c r="I1133" t="n">
        <v>10.5</v>
      </c>
      <c r="J1133" t="inlineStr">
        <is>
          <t>NO</t>
        </is>
      </c>
      <c r="K1133" t="inlineStr">
        <is>
          <t>2026-02-26 00:15</t>
        </is>
      </c>
      <c r="L1133" t="inlineStr">
        <is>
          <t>YES</t>
        </is>
      </c>
      <c r="M1133" t="inlineStr">
        <is>
          <t>openexr openexr *</t>
        </is>
      </c>
      <c r="N1133" t="inlineStr">
        <is>
          <t>P4</t>
        </is>
      </c>
      <c r="O1133" t="inlineStr">
        <is>
          <t>CVE - IP enrichment n/a</t>
        </is>
      </c>
      <c r="P1133" t="n">
        <v>0</v>
      </c>
      <c r="Q1133" t="n">
        <v>0</v>
      </c>
      <c r="R1133" t="inlineStr">
        <is>
          <t>T1190:Exploit Public-Facing Application</t>
        </is>
      </c>
      <c r="S1133" t="n">
        <v>1</v>
      </c>
      <c r="T1133" t="inlineStr">
        <is>
          <t>LOW (40%)</t>
        </is>
      </c>
      <c r="U1133" t="inlineStr">
        <is>
          <t>UNLIKELY</t>
        </is>
      </c>
      <c r="V1133" t="inlineStr">
        <is>
          <t>PATCH_AVAILABLE</t>
        </is>
      </c>
      <c r="W1133" t="inlineStr">
        <is>
          <t>https://nvd.nist.gov/vuln/detail/CVE-2026-26981</t>
        </is>
      </c>
      <c r="X1133" t="inlineStr">
        <is>
          <t>NONE</t>
        </is>
      </c>
      <c r="Y1133" t="n">
        <v>0</v>
      </c>
      <c r="Z1133" t="inlineStr"/>
      <c r="AA1133" t="inlineStr">
        <is>
          <t>https://nvd.nist.gov/vuln/detail/CVE-2026-26981</t>
        </is>
      </c>
    </row>
    <row r="1134">
      <c r="A1134" t="inlineStr">
        <is>
          <t>CVE</t>
        </is>
      </c>
      <c r="B1134" t="inlineStr">
        <is>
          <t>CVE-2026-26983</t>
        </is>
      </c>
      <c r="C1134" t="inlineStr">
        <is>
          <t>ImageMagick is free and open-source software used for editing and manipulating digital images. Prior to versions 7.1.2-15 and 6.9.13-40, the MSL interpreter crashes when processing a invalid ` ` element that causes it to use an image after it has been freed. Versions 7.1.2-15 and 6.9.13-40 contain a patch.</t>
        </is>
      </c>
      <c r="D1134" t="n">
        <v>5.3</v>
      </c>
      <c r="E1134" t="inlineStr">
        <is>
          <t>MEDIUM</t>
        </is>
      </c>
      <c r="F1134" t="n">
        <v>2</v>
      </c>
      <c r="G1134" t="n">
        <v>2</v>
      </c>
      <c r="H1134" t="inlineStr">
        <is>
          <t>MEDIUM</t>
        </is>
      </c>
      <c r="I1134" t="n">
        <v>9.300000000000001</v>
      </c>
      <c r="J1134" t="inlineStr">
        <is>
          <t>NO</t>
        </is>
      </c>
      <c r="K1134" t="inlineStr">
        <is>
          <t>2026-02-26 00:15</t>
        </is>
      </c>
      <c r="L1134" t="inlineStr">
        <is>
          <t>YES</t>
        </is>
      </c>
      <c r="M1134" t="inlineStr">
        <is>
          <t>imagemagick imagemagick *</t>
        </is>
      </c>
      <c r="N1134" t="inlineStr">
        <is>
          <t>P4</t>
        </is>
      </c>
      <c r="O1134" t="inlineStr">
        <is>
          <t>CVE - IP enrichment n/a</t>
        </is>
      </c>
      <c r="P1134" t="n">
        <v>0</v>
      </c>
      <c r="Q1134" t="n">
        <v>0</v>
      </c>
      <c r="R1134" t="inlineStr">
        <is>
          <t>T1499:Endpoint Denial of Service | T1203:Exploitation for Client Execution | T1190:Exploit Public-Facing Application</t>
        </is>
      </c>
      <c r="S1134" t="n">
        <v>1</v>
      </c>
      <c r="T1134" t="inlineStr">
        <is>
          <t>LOW (40%)</t>
        </is>
      </c>
      <c r="U1134" t="inlineStr">
        <is>
          <t>UNLIKELY</t>
        </is>
      </c>
      <c r="V1134" t="inlineStr">
        <is>
          <t>PATCH_AVAILABLE</t>
        </is>
      </c>
      <c r="W1134" t="inlineStr">
        <is>
          <t>https://nvd.nist.gov/vuln/detail/CVE-2026-26983</t>
        </is>
      </c>
      <c r="X1134" t="inlineStr">
        <is>
          <t>NONE</t>
        </is>
      </c>
      <c r="Y1134" t="n">
        <v>0</v>
      </c>
      <c r="Z1134" t="inlineStr"/>
      <c r="AA1134" t="inlineStr">
        <is>
          <t>https://nvd.nist.gov/vuln/detail/CVE-2026-26983</t>
        </is>
      </c>
    </row>
    <row r="1135">
      <c r="A1135" t="inlineStr">
        <is>
          <t>CVE</t>
        </is>
      </c>
      <c r="B1135" t="inlineStr">
        <is>
          <t>CVE-2026-27126</t>
        </is>
      </c>
      <c r="C1135" t="inlineStr">
        <is>
          <t>Craft is a content management system (CMS). In versions 4.5.0-RC1 through 4.16.18 and 5.0.0-RC1 through 5.8.22, a stored Cross-site Scripting (XSS) vulnerability exists in the `editableTable.twig` component when using the `html` column type. The application fails to sanitize the input, allowing an attacker to execute arbitrary JavaScript when another user views a page with the malicious table field. In order to exploit the vulnerability, an attacker must have an administrator account, and `allow</t>
        </is>
      </c>
      <c r="D1135" t="n">
        <v>5</v>
      </c>
      <c r="E1135" t="inlineStr">
        <is>
          <t>MEDIUM</t>
        </is>
      </c>
      <c r="F1135" t="n">
        <v>2</v>
      </c>
      <c r="G1135" t="n">
        <v>2</v>
      </c>
      <c r="H1135" t="inlineStr">
        <is>
          <t>MEDIUM</t>
        </is>
      </c>
      <c r="I1135" t="n">
        <v>9</v>
      </c>
      <c r="J1135" t="inlineStr">
        <is>
          <t>NO</t>
        </is>
      </c>
      <c r="K1135" t="inlineStr">
        <is>
          <t>2026-02-26 00:15</t>
        </is>
      </c>
      <c r="L1135" t="inlineStr">
        <is>
          <t>CHECK_VENDOR</t>
        </is>
      </c>
      <c r="M1135" t="inlineStr">
        <is>
          <t>See CVE details</t>
        </is>
      </c>
      <c r="N1135" t="inlineStr">
        <is>
          <t>P4</t>
        </is>
      </c>
      <c r="O1135" t="inlineStr">
        <is>
          <t>CVE - IP enrichment n/a</t>
        </is>
      </c>
      <c r="P1135" t="n">
        <v>0</v>
      </c>
      <c r="Q1135" t="n">
        <v>0</v>
      </c>
      <c r="R1135" t="inlineStr">
        <is>
          <t>T1189:Drive-by Compromise</t>
        </is>
      </c>
      <c r="S1135" t="n">
        <v>1</v>
      </c>
      <c r="T1135" t="inlineStr">
        <is>
          <t>LOW (40%)</t>
        </is>
      </c>
      <c r="U1135" t="inlineStr">
        <is>
          <t>UNLIKELY</t>
        </is>
      </c>
      <c r="V1135" t="inlineStr">
        <is>
          <t>CHECK_VENDOR</t>
        </is>
      </c>
      <c r="W1135" t="inlineStr">
        <is>
          <t>https://nvd.nist.gov/vuln/detail/CVE-2026-27126</t>
        </is>
      </c>
      <c r="X1135" t="inlineStr">
        <is>
          <t>NONE</t>
        </is>
      </c>
      <c r="Y1135" t="n">
        <v>0</v>
      </c>
      <c r="Z1135" t="inlineStr"/>
      <c r="AA1135" t="inlineStr">
        <is>
          <t>https://nvd.nist.gov/vuln/detail/CVE-2026-27126</t>
        </is>
      </c>
    </row>
    <row r="1136">
      <c r="A1136" t="inlineStr">
        <is>
          <t>CVE</t>
        </is>
      </c>
      <c r="B1136" t="inlineStr">
        <is>
          <t>CVE-2026-27127</t>
        </is>
      </c>
      <c r="C1136" t="inlineStr">
        <is>
          <t xml:space="preserve">Craft is a content management system (CMS). In versions 4.5.0-RC1 through 4.16.18 and 5.0.0-RC1 through 5.8.22, the SSRF validation in Craft CMS’s GraphQL Asset mutation performs DNS resolution separately from the HTTP request. This Time-of-Check-Time-of-Use (TOCTOU) vulnerability enables DNS rebinding attacks, where an attacker’s DNS server returns different IP addresses for validation compared to the actual request. This is a bypass of the security fix for CVE-2025-68437 that allows access to </t>
        </is>
      </c>
      <c r="D1136" t="n">
        <v>6.3</v>
      </c>
      <c r="E1136" t="inlineStr">
        <is>
          <t>MEDIUM</t>
        </is>
      </c>
      <c r="F1136" t="n">
        <v>2</v>
      </c>
      <c r="G1136" t="n">
        <v>2</v>
      </c>
      <c r="H1136" t="inlineStr">
        <is>
          <t>MEDIUM</t>
        </is>
      </c>
      <c r="I1136" t="n">
        <v>10.3</v>
      </c>
      <c r="J1136" t="inlineStr">
        <is>
          <t>NO</t>
        </is>
      </c>
      <c r="K1136" t="inlineStr">
        <is>
          <t>2026-02-26 00:15</t>
        </is>
      </c>
      <c r="L1136" t="inlineStr">
        <is>
          <t>YES</t>
        </is>
      </c>
      <c r="M1136" t="inlineStr">
        <is>
          <t>craftcms craft_cms * | craftcms craft_cms 3.5.0</t>
        </is>
      </c>
      <c r="N1136" t="inlineStr">
        <is>
          <t>P4</t>
        </is>
      </c>
      <c r="O1136" t="inlineStr">
        <is>
          <t>CVE - IP enrichment n/a</t>
        </is>
      </c>
      <c r="P1136" t="n">
        <v>0</v>
      </c>
      <c r="Q1136" t="n">
        <v>0</v>
      </c>
      <c r="R1136" t="inlineStr">
        <is>
          <t>T1090:Proxy</t>
        </is>
      </c>
      <c r="S1136" t="n">
        <v>1</v>
      </c>
      <c r="T1136" t="inlineStr">
        <is>
          <t>LOW (40%)</t>
        </is>
      </c>
      <c r="U1136" t="inlineStr">
        <is>
          <t>UNLIKELY</t>
        </is>
      </c>
      <c r="V1136" t="inlineStr">
        <is>
          <t>PATCH_AVAILABLE</t>
        </is>
      </c>
      <c r="W1136" t="inlineStr">
        <is>
          <t>https://nvd.nist.gov/vuln/detail/CVE-2026-27127</t>
        </is>
      </c>
      <c r="X1136" t="inlineStr">
        <is>
          <t>NONE</t>
        </is>
      </c>
      <c r="Y1136" t="n">
        <v>0</v>
      </c>
      <c r="Z1136" t="inlineStr"/>
      <c r="AA1136" t="inlineStr">
        <is>
          <t>https://nvd.nist.gov/vuln/detail/CVE-2026-27127</t>
        </is>
      </c>
    </row>
    <row r="1137">
      <c r="A1137" t="inlineStr">
        <is>
          <t>CVE</t>
        </is>
      </c>
      <c r="B1137" t="inlineStr">
        <is>
          <t>CVE-2026-27128</t>
        </is>
      </c>
      <c r="C1137" t="inlineStr">
        <is>
          <t>Craft is a content management system (CMS). In versions 4.5.0-RC1 through 4.16.18 and 5.0.0-RC1 through 5.8.22, a Time-of-Check-Time-of-Use (TOCTOU) race condition exists in Craft CMS’s token validation service for tokens that explicitly set a limited usage. The `getTokenRoute()` method reads a token’s usage count, checks if it’s within limits, then updates the database in separate non-atomic operations. By sending concurrent requests, an attacker can use a single-use impersonation token multipl</t>
        </is>
      </c>
      <c r="D1137" t="n">
        <v>5</v>
      </c>
      <c r="E1137" t="inlineStr">
        <is>
          <t>MEDIUM</t>
        </is>
      </c>
      <c r="F1137" t="n">
        <v>2</v>
      </c>
      <c r="G1137" t="n">
        <v>2</v>
      </c>
      <c r="H1137" t="inlineStr">
        <is>
          <t>MEDIUM</t>
        </is>
      </c>
      <c r="I1137" t="n">
        <v>9</v>
      </c>
      <c r="J1137" t="inlineStr">
        <is>
          <t>NO</t>
        </is>
      </c>
      <c r="K1137" t="inlineStr">
        <is>
          <t>2026-02-26 00:15</t>
        </is>
      </c>
      <c r="L1137" t="inlineStr">
        <is>
          <t>CHECK_VENDOR</t>
        </is>
      </c>
      <c r="M1137" t="inlineStr">
        <is>
          <t>See CVE details</t>
        </is>
      </c>
      <c r="N1137" t="inlineStr">
        <is>
          <t>P4</t>
        </is>
      </c>
      <c r="O1137" t="inlineStr">
        <is>
          <t>CVE - IP enrichment n/a</t>
        </is>
      </c>
      <c r="P1137" t="n">
        <v>0</v>
      </c>
      <c r="Q1137" t="n">
        <v>0</v>
      </c>
      <c r="R1137" t="inlineStr">
        <is>
          <t>T1068:Exploitation for Privilege Escalation</t>
        </is>
      </c>
      <c r="S1137" t="n">
        <v>1</v>
      </c>
      <c r="T1137" t="inlineStr">
        <is>
          <t>LOW (40%)</t>
        </is>
      </c>
      <c r="U1137" t="inlineStr">
        <is>
          <t>UNLIKELY</t>
        </is>
      </c>
      <c r="V1137" t="inlineStr">
        <is>
          <t>CHECK_VENDOR</t>
        </is>
      </c>
      <c r="W1137" t="inlineStr">
        <is>
          <t>https://nvd.nist.gov/vuln/detail/CVE-2026-27128</t>
        </is>
      </c>
      <c r="X1137" t="inlineStr">
        <is>
          <t>NONE</t>
        </is>
      </c>
      <c r="Y1137" t="n">
        <v>0</v>
      </c>
      <c r="Z1137" t="inlineStr"/>
      <c r="AA1137" t="inlineStr">
        <is>
          <t>https://nvd.nist.gov/vuln/detail/CVE-2026-27128</t>
        </is>
      </c>
    </row>
    <row r="1138">
      <c r="A1138" t="inlineStr">
        <is>
          <t>CVE</t>
        </is>
      </c>
      <c r="B1138" t="inlineStr">
        <is>
          <t>CVE-2026-27129</t>
        </is>
      </c>
      <c r="C1138" t="inlineStr">
        <is>
          <t>Craft is a content management system (CMS). In versions 4.5.0-RC1 through 4.16.18 and 5.0.0-RC1 through 5.8.22, the SSRF validation in Craft CMS’s GraphQL Asset mutation uses `gethostbyname()`, which only resolves IPv4 addresses. When a hostname has only AAAA (IPv6) records, the function returns the hostname string itself, causing the blocklist comparison to always fail and completely bypassing SSRF protection. This is a bypass of the security fix for CVE-2025-68437. Exploitation requires GraphQ</t>
        </is>
      </c>
      <c r="D1138" t="n">
        <v>5</v>
      </c>
      <c r="E1138" t="inlineStr">
        <is>
          <t>MEDIUM</t>
        </is>
      </c>
      <c r="F1138" t="n">
        <v>2</v>
      </c>
      <c r="G1138" t="n">
        <v>2</v>
      </c>
      <c r="H1138" t="inlineStr">
        <is>
          <t>MEDIUM</t>
        </is>
      </c>
      <c r="I1138" t="n">
        <v>9</v>
      </c>
      <c r="J1138" t="inlineStr">
        <is>
          <t>NO</t>
        </is>
      </c>
      <c r="K1138" t="inlineStr">
        <is>
          <t>2026-02-26 00:15</t>
        </is>
      </c>
      <c r="L1138" t="inlineStr">
        <is>
          <t>CHECK_VENDOR</t>
        </is>
      </c>
      <c r="M1138" t="inlineStr">
        <is>
          <t>See CVE details</t>
        </is>
      </c>
      <c r="N1138" t="inlineStr">
        <is>
          <t>P4</t>
        </is>
      </c>
      <c r="O1138" t="inlineStr">
        <is>
          <t>CVE - IP enrichment n/a</t>
        </is>
      </c>
      <c r="P1138" t="n">
        <v>0.0003</v>
      </c>
      <c r="Q1138" t="n">
        <v>0.0833</v>
      </c>
      <c r="R1138" t="inlineStr">
        <is>
          <t>T1090:Proxy</t>
        </is>
      </c>
      <c r="S1138" t="n">
        <v>1</v>
      </c>
      <c r="T1138" t="inlineStr">
        <is>
          <t>LOW (40%)</t>
        </is>
      </c>
      <c r="U1138" t="inlineStr">
        <is>
          <t>UNLIKELY</t>
        </is>
      </c>
      <c r="V1138" t="inlineStr">
        <is>
          <t>CHECK_VENDOR</t>
        </is>
      </c>
      <c r="W1138" t="inlineStr">
        <is>
          <t>https://nvd.nist.gov/vuln/detail/CVE-2026-27129</t>
        </is>
      </c>
      <c r="X1138" t="inlineStr">
        <is>
          <t>NONE</t>
        </is>
      </c>
      <c r="Y1138" t="n">
        <v>0</v>
      </c>
      <c r="Z1138" t="inlineStr"/>
      <c r="AA1138" t="inlineStr">
        <is>
          <t>https://nvd.nist.gov/vuln/detail/CVE-2026-27129</t>
        </is>
      </c>
    </row>
    <row r="1139">
      <c r="A1139" t="inlineStr">
        <is>
          <t>CVE</t>
        </is>
      </c>
      <c r="B1139" t="inlineStr">
        <is>
          <t>CVE-2026-3054</t>
        </is>
      </c>
      <c r="C1139" t="inlineStr">
        <is>
          <t>A vulnerability was identified in Alinto SOGo 5.12.3/5.12.4. This impacts an unknown function. The manipulation of the argument hint leads to cross site scripting. The attack can be initiated remotely. The exploit is publicly available and might be used. The vendor was contacted early about this disclosure but did not respond in any way.</t>
        </is>
      </c>
      <c r="D1139" t="n">
        <v>4.3</v>
      </c>
      <c r="E1139" t="inlineStr">
        <is>
          <t>MEDIUM</t>
        </is>
      </c>
      <c r="F1139" t="n">
        <v>2</v>
      </c>
      <c r="G1139" t="n">
        <v>2</v>
      </c>
      <c r="H1139" t="inlineStr">
        <is>
          <t>MEDIUM</t>
        </is>
      </c>
      <c r="I1139" t="n">
        <v>8.300000000000001</v>
      </c>
      <c r="J1139" t="inlineStr">
        <is>
          <t>NO</t>
        </is>
      </c>
      <c r="K1139" t="inlineStr">
        <is>
          <t>2026-02-26 00:15</t>
        </is>
      </c>
      <c r="L1139" t="inlineStr">
        <is>
          <t>CHECK_VENDOR</t>
        </is>
      </c>
      <c r="M1139" t="inlineStr">
        <is>
          <t>See CVE details</t>
        </is>
      </c>
      <c r="N1139" t="inlineStr">
        <is>
          <t>P4</t>
        </is>
      </c>
      <c r="O1139" t="inlineStr">
        <is>
          <t>CVE - IP enrichment n/a</t>
        </is>
      </c>
      <c r="P1139" t="n">
        <v>0</v>
      </c>
      <c r="Q1139" t="n">
        <v>0</v>
      </c>
      <c r="R1139" t="inlineStr">
        <is>
          <t>T1189:Drive-by Compromise</t>
        </is>
      </c>
      <c r="S1139" t="n">
        <v>1</v>
      </c>
      <c r="T1139" t="inlineStr">
        <is>
          <t>LOW (40%)</t>
        </is>
      </c>
      <c r="U1139" t="inlineStr">
        <is>
          <t>UNLIKELY</t>
        </is>
      </c>
      <c r="V1139" t="inlineStr">
        <is>
          <t>CHECK_VENDOR</t>
        </is>
      </c>
      <c r="W1139" t="inlineStr">
        <is>
          <t>https://nvd.nist.gov/vuln/detail/CVE-2026-3054</t>
        </is>
      </c>
      <c r="X1139" t="inlineStr">
        <is>
          <t>NONE</t>
        </is>
      </c>
      <c r="Y1139" t="n">
        <v>0</v>
      </c>
      <c r="Z1139" t="inlineStr"/>
      <c r="AA1139" t="inlineStr">
        <is>
          <t>https://nvd.nist.gov/vuln/detail/CVE-2026-3054</t>
        </is>
      </c>
    </row>
    <row r="1140">
      <c r="A1140" t="inlineStr">
        <is>
          <t>CVE</t>
        </is>
      </c>
      <c r="B1140" t="inlineStr">
        <is>
          <t>CVE-2026-3057</t>
        </is>
      </c>
      <c r="C1140" t="inlineStr">
        <is>
          <t>A security flaw has been discovered in a54552239 pearProjectApi up to 2.8.10. Affected is the function dateTotalForProject of the file application/common/Model/Task.php of the component Backend Interface. The manipulation of the argument projectCode results in sql injection. The attack can be launched remotely. The exploit has been released to the public and may be used for attacks. The vendor was contacted early about this disclosure but did not respond in any way.</t>
        </is>
      </c>
      <c r="D1140" t="n">
        <v>6.3</v>
      </c>
      <c r="E1140" t="inlineStr">
        <is>
          <t>MEDIUM</t>
        </is>
      </c>
      <c r="F1140" t="n">
        <v>2</v>
      </c>
      <c r="G1140" t="n">
        <v>2</v>
      </c>
      <c r="H1140" t="inlineStr">
        <is>
          <t>MEDIUM</t>
        </is>
      </c>
      <c r="I1140" t="n">
        <v>10.3</v>
      </c>
      <c r="J1140" t="inlineStr">
        <is>
          <t>NO</t>
        </is>
      </c>
      <c r="K1140" t="inlineStr">
        <is>
          <t>2026-02-26 00:15</t>
        </is>
      </c>
      <c r="L1140" t="inlineStr">
        <is>
          <t>CHECK_VENDOR</t>
        </is>
      </c>
      <c r="M1140" t="inlineStr">
        <is>
          <t>See CVE details</t>
        </is>
      </c>
      <c r="N1140" t="inlineStr">
        <is>
          <t>P4</t>
        </is>
      </c>
      <c r="O1140" t="inlineStr">
        <is>
          <t>CVE - IP enrichment n/a</t>
        </is>
      </c>
      <c r="P1140" t="n">
        <v>0</v>
      </c>
      <c r="Q1140" t="n">
        <v>0</v>
      </c>
      <c r="R1140" t="inlineStr">
        <is>
          <t>T1190:Exploit Public-Facing Application</t>
        </is>
      </c>
      <c r="S1140" t="n">
        <v>1</v>
      </c>
      <c r="T1140" t="inlineStr">
        <is>
          <t>LOW (40%)</t>
        </is>
      </c>
      <c r="U1140" t="inlineStr">
        <is>
          <t>UNLIKELY</t>
        </is>
      </c>
      <c r="V1140" t="inlineStr">
        <is>
          <t>CHECK_VENDOR</t>
        </is>
      </c>
      <c r="W1140" t="inlineStr">
        <is>
          <t>https://nvd.nist.gov/vuln/detail/CVE-2026-3057</t>
        </is>
      </c>
      <c r="X1140" t="inlineStr">
        <is>
          <t>NONE</t>
        </is>
      </c>
      <c r="Y1140" t="n">
        <v>0</v>
      </c>
      <c r="Z1140" t="inlineStr"/>
      <c r="AA1140" t="inlineStr">
        <is>
          <t>https://nvd.nist.gov/vuln/detail/CVE-2026-3057</t>
        </is>
      </c>
    </row>
    <row r="1141">
      <c r="A1141" t="inlineStr">
        <is>
          <t>CVE</t>
        </is>
      </c>
      <c r="B1141" t="inlineStr">
        <is>
          <t>CVE-2026-3064</t>
        </is>
      </c>
      <c r="C1141" t="inlineStr">
        <is>
          <t>A security vulnerability has been detected in HummerRisk up to 1.5.0. Affected by this issue is some unknown functionality of the file ResourceCreateService.java of the component Cloud Task Scheduler. Such manipulation of the argument regionId leads to command injection. The attack may be launched remotely. The exploit has been disclosed publicly and may be used. The vendor was contacted early about this disclosure but did not respond in any way.</t>
        </is>
      </c>
      <c r="D1141" t="n">
        <v>6.3</v>
      </c>
      <c r="E1141" t="inlineStr">
        <is>
          <t>MEDIUM</t>
        </is>
      </c>
      <c r="F1141" t="n">
        <v>2</v>
      </c>
      <c r="G1141" t="n">
        <v>2</v>
      </c>
      <c r="H1141" t="inlineStr">
        <is>
          <t>MEDIUM</t>
        </is>
      </c>
      <c r="I1141" t="n">
        <v>10.3</v>
      </c>
      <c r="J1141" t="inlineStr">
        <is>
          <t>NO</t>
        </is>
      </c>
      <c r="K1141" t="inlineStr">
        <is>
          <t>2026-02-26 00:15</t>
        </is>
      </c>
      <c r="L1141" t="inlineStr">
        <is>
          <t>YES</t>
        </is>
      </c>
      <c r="M1141" t="inlineStr">
        <is>
          <t>hummerrisk hummerrisk *</t>
        </is>
      </c>
      <c r="N1141" t="inlineStr">
        <is>
          <t>P4</t>
        </is>
      </c>
      <c r="O1141" t="inlineStr">
        <is>
          <t>CVE - IP enrichment n/a</t>
        </is>
      </c>
      <c r="P1141" t="n">
        <v>0.0031</v>
      </c>
      <c r="Q1141" t="n">
        <v>0.5339</v>
      </c>
      <c r="R1141" t="inlineStr">
        <is>
          <t>T1059:Command and Scripting Interpreter | T1190:Exploit Public-Facing Application</t>
        </is>
      </c>
      <c r="S1141" t="n">
        <v>1</v>
      </c>
      <c r="T1141" t="inlineStr">
        <is>
          <t>LOW (40%)</t>
        </is>
      </c>
      <c r="U1141" t="inlineStr">
        <is>
          <t>UNLIKELY</t>
        </is>
      </c>
      <c r="V1141" t="inlineStr">
        <is>
          <t>PATCH_AVAILABLE</t>
        </is>
      </c>
      <c r="W1141" t="inlineStr">
        <is>
          <t>https://nvd.nist.gov/vuln/detail/CVE-2026-3064</t>
        </is>
      </c>
      <c r="X1141" t="inlineStr">
        <is>
          <t>NONE</t>
        </is>
      </c>
      <c r="Y1141" t="n">
        <v>0</v>
      </c>
      <c r="Z1141" t="inlineStr"/>
      <c r="AA1141" t="inlineStr">
        <is>
          <t>https://nvd.nist.gov/vuln/detail/CVE-2026-3064</t>
        </is>
      </c>
    </row>
    <row r="1142">
      <c r="A1142" t="inlineStr">
        <is>
          <t>CVE</t>
        </is>
      </c>
      <c r="B1142" t="inlineStr">
        <is>
          <t>CVE-2026-3065</t>
        </is>
      </c>
      <c r="C1142" t="inlineStr">
        <is>
          <t>A vulnerability was detected in HummerRisk up to 1.5.0. This affects the function CommandUtils.commonExecCmdWithResult of the file CloudTaskService.java of the component Cloud Task Dry-run. Performing a manipulation of the argument fileName results in command injection. Remote exploitation of the attack is possible. The exploit is now public and may be used. The vendor was contacted early about this disclosure but did not respond in any way.</t>
        </is>
      </c>
      <c r="D1142" t="n">
        <v>6.3</v>
      </c>
      <c r="E1142" t="inlineStr">
        <is>
          <t>MEDIUM</t>
        </is>
      </c>
      <c r="F1142" t="n">
        <v>2</v>
      </c>
      <c r="G1142" t="n">
        <v>2</v>
      </c>
      <c r="H1142" t="inlineStr">
        <is>
          <t>MEDIUM</t>
        </is>
      </c>
      <c r="I1142" t="n">
        <v>10.3</v>
      </c>
      <c r="J1142" t="inlineStr">
        <is>
          <t>NO</t>
        </is>
      </c>
      <c r="K1142" t="inlineStr">
        <is>
          <t>2026-02-26 00:15</t>
        </is>
      </c>
      <c r="L1142" t="inlineStr">
        <is>
          <t>YES</t>
        </is>
      </c>
      <c r="M1142" t="inlineStr">
        <is>
          <t>hummerrisk hummerrisk *</t>
        </is>
      </c>
      <c r="N1142" t="inlineStr">
        <is>
          <t>P4</t>
        </is>
      </c>
      <c r="O1142" t="inlineStr">
        <is>
          <t>CVE - IP enrichment n/a</t>
        </is>
      </c>
      <c r="P1142" t="n">
        <v>0</v>
      </c>
      <c r="Q1142" t="n">
        <v>0</v>
      </c>
      <c r="R1142" t="inlineStr">
        <is>
          <t>T1059:Command and Scripting Interpreter</t>
        </is>
      </c>
      <c r="S1142" t="n">
        <v>1</v>
      </c>
      <c r="T1142" t="inlineStr">
        <is>
          <t>LOW (40%)</t>
        </is>
      </c>
      <c r="U1142" t="inlineStr">
        <is>
          <t>UNLIKELY</t>
        </is>
      </c>
      <c r="V1142" t="inlineStr">
        <is>
          <t>PATCH_AVAILABLE</t>
        </is>
      </c>
      <c r="W1142" t="inlineStr">
        <is>
          <t>https://nvd.nist.gov/vuln/detail/CVE-2026-3065</t>
        </is>
      </c>
      <c r="X1142" t="inlineStr">
        <is>
          <t>NONE</t>
        </is>
      </c>
      <c r="Y1142" t="n">
        <v>0</v>
      </c>
      <c r="Z1142" t="inlineStr"/>
      <c r="AA1142" t="inlineStr">
        <is>
          <t>https://nvd.nist.gov/vuln/detail/CVE-2026-3065</t>
        </is>
      </c>
    </row>
    <row r="1143">
      <c r="A1143" t="inlineStr">
        <is>
          <t>CVE</t>
        </is>
      </c>
      <c r="B1143" t="inlineStr">
        <is>
          <t>CVE-2026-3091</t>
        </is>
      </c>
      <c r="C1143" t="inlineStr">
        <is>
          <t>An uncontrolled search path element vulnerability in Synology Presto Client before 2.1.3-0672 allows local users to read or write arbitrary files during installation by placing a malicious DLL in advance in the same directory as the installer.</t>
        </is>
      </c>
      <c r="D1143" t="n">
        <v>6.7</v>
      </c>
      <c r="E1143" t="inlineStr">
        <is>
          <t>MEDIUM</t>
        </is>
      </c>
      <c r="F1143" t="n">
        <v>2</v>
      </c>
      <c r="G1143" t="n">
        <v>2</v>
      </c>
      <c r="H1143" t="inlineStr">
        <is>
          <t>MEDIUM</t>
        </is>
      </c>
      <c r="I1143" t="n">
        <v>10.7</v>
      </c>
      <c r="J1143" t="inlineStr">
        <is>
          <t>NO</t>
        </is>
      </c>
      <c r="K1143" t="inlineStr">
        <is>
          <t>2026-02-26 00:15</t>
        </is>
      </c>
      <c r="L1143" t="inlineStr">
        <is>
          <t>CHECK_VENDOR</t>
        </is>
      </c>
      <c r="M1143" t="inlineStr">
        <is>
          <t>See CVE details</t>
        </is>
      </c>
      <c r="N1143" t="inlineStr">
        <is>
          <t>P4</t>
        </is>
      </c>
      <c r="O1143" t="inlineStr">
        <is>
          <t>CVE - IP enrichment n/a</t>
        </is>
      </c>
      <c r="P1143" t="n">
        <v>0</v>
      </c>
      <c r="Q1143" t="n">
        <v>0</v>
      </c>
      <c r="R1143" t="inlineStr">
        <is>
          <t>T1190:Exploit Public-Facing Application</t>
        </is>
      </c>
      <c r="S1143" t="n">
        <v>1</v>
      </c>
      <c r="T1143" t="inlineStr">
        <is>
          <t>LOW (40%)</t>
        </is>
      </c>
      <c r="U1143" t="inlineStr">
        <is>
          <t>UNLIKELY</t>
        </is>
      </c>
      <c r="V1143" t="inlineStr">
        <is>
          <t>CHECK_VENDOR</t>
        </is>
      </c>
      <c r="W1143" t="inlineStr">
        <is>
          <t>https://nvd.nist.gov/vuln/detail/CVE-2026-3091</t>
        </is>
      </c>
      <c r="X1143" t="inlineStr">
        <is>
          <t>NONE</t>
        </is>
      </c>
      <c r="Y1143" t="n">
        <v>0</v>
      </c>
      <c r="Z1143" t="inlineStr"/>
      <c r="AA1143" t="inlineStr">
        <is>
          <t>https://nvd.nist.gov/vuln/detail/CVE-2026-3091</t>
        </is>
      </c>
    </row>
    <row r="1144">
      <c r="A1144" t="inlineStr">
        <is>
          <t>CVE</t>
        </is>
      </c>
      <c r="B1144" t="inlineStr">
        <is>
          <t>CVE-2026-27461</t>
        </is>
      </c>
      <c r="C1144" t="inlineStr">
        <is>
          <t xml:space="preserve">Pimcore is an Open Source Data &amp; Experience Management Platform. In versions up to and including 11.5.14.1 and 12.3.2, the filter query parameter in the dependency listing endpoints is JSON-decoded and the value field is concatenated directly into RLIKE clauses without sanitization or parameterized queries. Exploiting this issue requires admin authentication. An attacker with admin panel access can extract the full database including password hashes of other admin users. Version 12.3.3 contains </t>
        </is>
      </c>
      <c r="D1144" t="n">
        <v>4.9</v>
      </c>
      <c r="E1144" t="inlineStr">
        <is>
          <t>MEDIUM</t>
        </is>
      </c>
      <c r="F1144" t="n">
        <v>2</v>
      </c>
      <c r="G1144" t="n">
        <v>2</v>
      </c>
      <c r="H1144" t="inlineStr">
        <is>
          <t>MEDIUM</t>
        </is>
      </c>
      <c r="I1144" t="n">
        <v>8.9</v>
      </c>
      <c r="J1144" t="inlineStr">
        <is>
          <t>NO</t>
        </is>
      </c>
      <c r="K1144" t="inlineStr">
        <is>
          <t>2026-02-26 00:15</t>
        </is>
      </c>
      <c r="L1144" t="inlineStr">
        <is>
          <t>YES</t>
        </is>
      </c>
      <c r="M1144" t="inlineStr">
        <is>
          <t>pimcore pimcore *</t>
        </is>
      </c>
      <c r="N1144" t="inlineStr">
        <is>
          <t>P4</t>
        </is>
      </c>
      <c r="O1144" t="inlineStr">
        <is>
          <t>CVE - IP enrichment n/a</t>
        </is>
      </c>
      <c r="P1144" t="n">
        <v>0.0002</v>
      </c>
      <c r="Q1144" t="n">
        <v>0.0551</v>
      </c>
      <c r="R1144" t="inlineStr">
        <is>
          <t>T1190:Exploit Public-Facing Application</t>
        </is>
      </c>
      <c r="S1144" t="n">
        <v>1</v>
      </c>
      <c r="T1144" t="inlineStr">
        <is>
          <t>LOW (40%)</t>
        </is>
      </c>
      <c r="U1144" t="inlineStr">
        <is>
          <t>UNLIKELY</t>
        </is>
      </c>
      <c r="V1144" t="inlineStr">
        <is>
          <t>PATCH_AVAILABLE</t>
        </is>
      </c>
      <c r="W1144" t="inlineStr">
        <is>
          <t>https://nvd.nist.gov/vuln/detail/CVE-2026-27461</t>
        </is>
      </c>
      <c r="X1144" t="inlineStr">
        <is>
          <t>NONE</t>
        </is>
      </c>
      <c r="Y1144" t="n">
        <v>0</v>
      </c>
      <c r="Z1144" t="inlineStr"/>
      <c r="AA1144" t="inlineStr">
        <is>
          <t>https://nvd.nist.gov/vuln/detail/CVE-2026-27461</t>
        </is>
      </c>
    </row>
    <row r="1145">
      <c r="A1145" t="inlineStr">
        <is>
          <t>CVE</t>
        </is>
      </c>
      <c r="B1145" t="inlineStr">
        <is>
          <t>CVE-2026-3066</t>
        </is>
      </c>
      <c r="C1145" t="inlineStr">
        <is>
          <t>A flaw has been found in HummerRisk up to 1.5.0. This vulnerability affects the function fixedCommand of the file hummer-common/hummer-common-core/src/main/java/com/hummer/common/core/utils/PlatformUtils.java of the component Cloud Compliance Scanning. Executing a manipulation can lead to command injection. The attack can be executed remotely. The exploit has been published and may be used. The vendor was contacted early about this disclosure but did not respond in any way.</t>
        </is>
      </c>
      <c r="D1145" t="n">
        <v>6.3</v>
      </c>
      <c r="E1145" t="inlineStr">
        <is>
          <t>MEDIUM</t>
        </is>
      </c>
      <c r="F1145" t="n">
        <v>2</v>
      </c>
      <c r="G1145" t="n">
        <v>2</v>
      </c>
      <c r="H1145" t="inlineStr">
        <is>
          <t>MEDIUM</t>
        </is>
      </c>
      <c r="I1145" t="n">
        <v>10.3</v>
      </c>
      <c r="J1145" t="inlineStr">
        <is>
          <t>NO</t>
        </is>
      </c>
      <c r="K1145" t="inlineStr">
        <is>
          <t>2026-02-26 00:15</t>
        </is>
      </c>
      <c r="L1145" t="inlineStr">
        <is>
          <t>YES</t>
        </is>
      </c>
      <c r="M1145" t="inlineStr">
        <is>
          <t>hummerrisk hummerrisk *</t>
        </is>
      </c>
      <c r="N1145" t="inlineStr">
        <is>
          <t>P4</t>
        </is>
      </c>
      <c r="O1145" t="inlineStr">
        <is>
          <t>CVE - IP enrichment n/a</t>
        </is>
      </c>
      <c r="P1145" t="n">
        <v>0</v>
      </c>
      <c r="Q1145" t="n">
        <v>0</v>
      </c>
      <c r="R1145" t="inlineStr">
        <is>
          <t>T1059:Command and Scripting Interpreter</t>
        </is>
      </c>
      <c r="S1145" t="n">
        <v>1</v>
      </c>
      <c r="T1145" t="inlineStr">
        <is>
          <t>LOW (40%)</t>
        </is>
      </c>
      <c r="U1145" t="inlineStr">
        <is>
          <t>UNLIKELY</t>
        </is>
      </c>
      <c r="V1145" t="inlineStr">
        <is>
          <t>PATCH_AVAILABLE</t>
        </is>
      </c>
      <c r="W1145" t="inlineStr">
        <is>
          <t>https://nvd.nist.gov/vuln/detail/CVE-2026-3066</t>
        </is>
      </c>
      <c r="X1145" t="inlineStr">
        <is>
          <t>NONE</t>
        </is>
      </c>
      <c r="Y1145" t="n">
        <v>0</v>
      </c>
      <c r="Z1145" t="inlineStr"/>
      <c r="AA1145" t="inlineStr">
        <is>
          <t>https://nvd.nist.gov/vuln/detail/CVE-2026-3066</t>
        </is>
      </c>
    </row>
    <row r="1146">
      <c r="A1146" t="inlineStr">
        <is>
          <t>CVE</t>
        </is>
      </c>
      <c r="B1146" t="inlineStr">
        <is>
          <t>CVE-2026-3067</t>
        </is>
      </c>
      <c r="C1146" t="inlineStr">
        <is>
          <t>A vulnerability has been found in HummerRisk up to 1.5.0. This issue affects the function extractTarGZ/extractZip of the file hummer-common/hummer-common-core/src/main/java/com/hummer/common/core/utils/CommandUtils.java of the component Archive Extraction. The manipulation leads to path traversal. The attack is possible to be carried out remotely. The exploit has been disclosed to the public and may be used. The vendor was contacted early about this disclosure but did not respond in any way.</t>
        </is>
      </c>
      <c r="D1146" t="n">
        <v>6.3</v>
      </c>
      <c r="E1146" t="inlineStr">
        <is>
          <t>MEDIUM</t>
        </is>
      </c>
      <c r="F1146" t="n">
        <v>2</v>
      </c>
      <c r="G1146" t="n">
        <v>2</v>
      </c>
      <c r="H1146" t="inlineStr">
        <is>
          <t>MEDIUM</t>
        </is>
      </c>
      <c r="I1146" t="n">
        <v>10.3</v>
      </c>
      <c r="J1146" t="inlineStr">
        <is>
          <t>NO</t>
        </is>
      </c>
      <c r="K1146" t="inlineStr">
        <is>
          <t>2026-02-26 00:15</t>
        </is>
      </c>
      <c r="L1146" t="inlineStr">
        <is>
          <t>CHECK_VENDOR</t>
        </is>
      </c>
      <c r="M1146" t="inlineStr">
        <is>
          <t>hummerrisk hummerrisk *</t>
        </is>
      </c>
      <c r="N1146" t="inlineStr">
        <is>
          <t>P4</t>
        </is>
      </c>
      <c r="O1146" t="inlineStr">
        <is>
          <t>CVE - IP enrichment n/a</t>
        </is>
      </c>
      <c r="P1146" t="n">
        <v>0</v>
      </c>
      <c r="Q1146" t="n">
        <v>0</v>
      </c>
      <c r="R1146" t="inlineStr">
        <is>
          <t>T1083:File and Directory Discovery</t>
        </is>
      </c>
      <c r="S1146" t="n">
        <v>1</v>
      </c>
      <c r="T1146" t="inlineStr">
        <is>
          <t>LOW (40%)</t>
        </is>
      </c>
      <c r="U1146" t="inlineStr">
        <is>
          <t>UNLIKELY</t>
        </is>
      </c>
      <c r="V1146" t="inlineStr">
        <is>
          <t>CHECK_VENDOR</t>
        </is>
      </c>
      <c r="W1146" t="inlineStr">
        <is>
          <t>https://nvd.nist.gov/vuln/detail/CVE-2026-3067</t>
        </is>
      </c>
      <c r="X1146" t="inlineStr">
        <is>
          <t>NONE</t>
        </is>
      </c>
      <c r="Y1146" t="n">
        <v>0</v>
      </c>
      <c r="Z1146" t="inlineStr"/>
      <c r="AA1146" t="inlineStr">
        <is>
          <t>https://nvd.nist.gov/vuln/detail/CVE-2026-3067</t>
        </is>
      </c>
    </row>
    <row r="1147">
      <c r="A1147" t="inlineStr">
        <is>
          <t>CVE</t>
        </is>
      </c>
      <c r="B1147" t="inlineStr">
        <is>
          <t>CVE-2026-3068</t>
        </is>
      </c>
      <c r="C1147" t="inlineStr">
        <is>
          <t>A weakness has been identified in itsourcecode Document Management System 1.0. This impacts an unknown function of the file /deluser.php. Executing a manipulation of the argument user2del can lead to sql injection. The attack can be launched remotely. The exploit has been made available to the public and could be used for attacks.</t>
        </is>
      </c>
      <c r="D1147" t="n">
        <v>7.3</v>
      </c>
      <c r="E1147" t="inlineStr">
        <is>
          <t>HIGH</t>
        </is>
      </c>
      <c r="F1147" t="n">
        <v>2</v>
      </c>
      <c r="G1147" t="n">
        <v>3</v>
      </c>
      <c r="H1147" t="inlineStr">
        <is>
          <t>HIGH</t>
        </is>
      </c>
      <c r="I1147" t="n">
        <v>13.3</v>
      </c>
      <c r="J1147" t="inlineStr">
        <is>
          <t>NO</t>
        </is>
      </c>
      <c r="K1147" t="inlineStr">
        <is>
          <t>2026-02-26 00:15</t>
        </is>
      </c>
      <c r="L1147" t="inlineStr">
        <is>
          <t>YES</t>
        </is>
      </c>
      <c r="M1147" t="inlineStr">
        <is>
          <t>admerc document_management_system 1.0</t>
        </is>
      </c>
      <c r="N1147" t="inlineStr">
        <is>
          <t>P3</t>
        </is>
      </c>
      <c r="O1147" t="inlineStr">
        <is>
          <t>CVE - IP enrichment n/a</t>
        </is>
      </c>
      <c r="P1147" t="n">
        <v>0</v>
      </c>
      <c r="Q1147" t="n">
        <v>0</v>
      </c>
      <c r="R1147" t="inlineStr">
        <is>
          <t>T1190:Exploit Public-Facing Application</t>
        </is>
      </c>
      <c r="S1147" t="n">
        <v>1</v>
      </c>
      <c r="T1147" t="inlineStr">
        <is>
          <t>LOW (40%)</t>
        </is>
      </c>
      <c r="U1147" t="inlineStr">
        <is>
          <t>UNLIKELY</t>
        </is>
      </c>
      <c r="V1147" t="inlineStr">
        <is>
          <t>PATCH_AVAILABLE</t>
        </is>
      </c>
      <c r="W1147" t="inlineStr">
        <is>
          <t>https://nvd.nist.gov/vuln/detail/CVE-2026-3068</t>
        </is>
      </c>
      <c r="X1147" t="inlineStr">
        <is>
          <t>NONE</t>
        </is>
      </c>
      <c r="Y1147" t="n">
        <v>0</v>
      </c>
      <c r="Z1147" t="inlineStr"/>
      <c r="AA1147" t="inlineStr">
        <is>
          <t>https://nvd.nist.gov/vuln/detail/CVE-2026-3068</t>
        </is>
      </c>
    </row>
    <row r="1148">
      <c r="A1148" t="inlineStr">
        <is>
          <t>CVE</t>
        </is>
      </c>
      <c r="B1148" t="inlineStr">
        <is>
          <t>CVE-2026-3069</t>
        </is>
      </c>
      <c r="C1148" t="inlineStr">
        <is>
          <t>A security vulnerability has been detected in itsourcecode Document Management System 1.0. Affected is an unknown function of the file /edtlbls.php. The manipulation of the argument field1 leads to sql injection. The attack may be initiated remotely. The exploit has been disclosed publicly and may be used.</t>
        </is>
      </c>
      <c r="D1148" t="n">
        <v>7.3</v>
      </c>
      <c r="E1148" t="inlineStr">
        <is>
          <t>HIGH</t>
        </is>
      </c>
      <c r="F1148" t="n">
        <v>2</v>
      </c>
      <c r="G1148" t="n">
        <v>3</v>
      </c>
      <c r="H1148" t="inlineStr">
        <is>
          <t>HIGH</t>
        </is>
      </c>
      <c r="I1148" t="n">
        <v>13.3</v>
      </c>
      <c r="J1148" t="inlineStr">
        <is>
          <t>NO</t>
        </is>
      </c>
      <c r="K1148" t="inlineStr">
        <is>
          <t>2026-02-26 00:15</t>
        </is>
      </c>
      <c r="L1148" t="inlineStr">
        <is>
          <t>YES</t>
        </is>
      </c>
      <c r="M1148" t="inlineStr">
        <is>
          <t>admerc document_management_system 1.0</t>
        </is>
      </c>
      <c r="N1148" t="inlineStr">
        <is>
          <t>P3</t>
        </is>
      </c>
      <c r="O1148" t="inlineStr">
        <is>
          <t>CVE - IP enrichment n/a</t>
        </is>
      </c>
      <c r="P1148" t="n">
        <v>0</v>
      </c>
      <c r="Q1148" t="n">
        <v>0</v>
      </c>
      <c r="R1148" t="inlineStr">
        <is>
          <t>T1190:Exploit Public-Facing Application</t>
        </is>
      </c>
      <c r="S1148" t="n">
        <v>1</v>
      </c>
      <c r="T1148" t="inlineStr">
        <is>
          <t>LOW (40%)</t>
        </is>
      </c>
      <c r="U1148" t="inlineStr">
        <is>
          <t>UNLIKELY</t>
        </is>
      </c>
      <c r="V1148" t="inlineStr">
        <is>
          <t>PATCH_AVAILABLE</t>
        </is>
      </c>
      <c r="W1148" t="inlineStr">
        <is>
          <t>https://nvd.nist.gov/vuln/detail/CVE-2026-3069</t>
        </is>
      </c>
      <c r="X1148" t="inlineStr">
        <is>
          <t>NONE</t>
        </is>
      </c>
      <c r="Y1148" t="n">
        <v>0</v>
      </c>
      <c r="Z1148" t="inlineStr"/>
      <c r="AA1148" t="inlineStr">
        <is>
          <t>https://nvd.nist.gov/vuln/detail/CVE-2026-3069</t>
        </is>
      </c>
    </row>
    <row r="1149">
      <c r="A1149" t="inlineStr">
        <is>
          <t>CVE</t>
        </is>
      </c>
      <c r="B1149" t="inlineStr">
        <is>
          <t>CVE-2026-3070</t>
        </is>
      </c>
      <c r="C1149" t="inlineStr">
        <is>
          <t>A vulnerability was detected in SourceCodester Modern Image Gallery App 1.0. Affected by this vulnerability is an unknown functionality of the file upload.php. The manipulation of the argument filename results in cross site scripting. The attack may be launched remotely. The exploit is now public and may be used.</t>
        </is>
      </c>
      <c r="D1149" t="n">
        <v>4.3</v>
      </c>
      <c r="E1149" t="inlineStr">
        <is>
          <t>MEDIUM</t>
        </is>
      </c>
      <c r="F1149" t="n">
        <v>2</v>
      </c>
      <c r="G1149" t="n">
        <v>2</v>
      </c>
      <c r="H1149" t="inlineStr">
        <is>
          <t>MEDIUM</t>
        </is>
      </c>
      <c r="I1149" t="n">
        <v>8.300000000000001</v>
      </c>
      <c r="J1149" t="inlineStr">
        <is>
          <t>NO</t>
        </is>
      </c>
      <c r="K1149" t="inlineStr">
        <is>
          <t>2026-02-26 00:15</t>
        </is>
      </c>
      <c r="L1149" t="inlineStr">
        <is>
          <t>YES</t>
        </is>
      </c>
      <c r="M1149" t="inlineStr">
        <is>
          <t>remyandrade modern_image_gallery_app 1.0</t>
        </is>
      </c>
      <c r="N1149" t="inlineStr">
        <is>
          <t>P4</t>
        </is>
      </c>
      <c r="O1149" t="inlineStr">
        <is>
          <t>CVE - IP enrichment n/a</t>
        </is>
      </c>
      <c r="P1149" t="n">
        <v>0</v>
      </c>
      <c r="Q1149" t="n">
        <v>0</v>
      </c>
      <c r="R1149" t="inlineStr">
        <is>
          <t>T1189:Drive-by Compromise | T1190:Exploit Public-Facing Application</t>
        </is>
      </c>
      <c r="S1149" t="n">
        <v>1</v>
      </c>
      <c r="T1149" t="inlineStr">
        <is>
          <t>LOW (40%)</t>
        </is>
      </c>
      <c r="U1149" t="inlineStr">
        <is>
          <t>UNLIKELY</t>
        </is>
      </c>
      <c r="V1149" t="inlineStr">
        <is>
          <t>PATCH_AVAILABLE</t>
        </is>
      </c>
      <c r="W1149" t="inlineStr">
        <is>
          <t>https://nvd.nist.gov/vuln/detail/CVE-2026-3070</t>
        </is>
      </c>
      <c r="X1149" t="inlineStr">
        <is>
          <t>NONE</t>
        </is>
      </c>
      <c r="Y1149" t="n">
        <v>0</v>
      </c>
      <c r="Z1149" t="inlineStr"/>
      <c r="AA1149" t="inlineStr">
        <is>
          <t>https://nvd.nist.gov/vuln/detail/CVE-2026-3070</t>
        </is>
      </c>
    </row>
    <row r="1150">
      <c r="A1150" t="inlineStr">
        <is>
          <t>CVE</t>
        </is>
      </c>
      <c r="B1150" t="inlineStr">
        <is>
          <t>CVE-2025-15386</t>
        </is>
      </c>
      <c r="C1150" t="inlineStr">
        <is>
          <t>The Responsive Lightbox &amp; Gallery WordPress plugin before 2.6.1 is vulnerable to an Unauthenticated Stored-XSS attack due to flawed regex replacement rules that can be abused by posting a comment with a malicious link when lightbox for comments are enabled and then approved.</t>
        </is>
      </c>
      <c r="D1150" t="n">
        <v>8.800000000000001</v>
      </c>
      <c r="E1150" t="inlineStr">
        <is>
          <t>HIGH</t>
        </is>
      </c>
      <c r="F1150" t="n">
        <v>2</v>
      </c>
      <c r="G1150" t="n">
        <v>3</v>
      </c>
      <c r="H1150" t="inlineStr">
        <is>
          <t>HIGH</t>
        </is>
      </c>
      <c r="I1150" t="n">
        <v>14.8</v>
      </c>
      <c r="J1150" t="inlineStr">
        <is>
          <t>NO</t>
        </is>
      </c>
      <c r="K1150" t="inlineStr">
        <is>
          <t>2026-02-26 00:15</t>
        </is>
      </c>
      <c r="L1150" t="inlineStr">
        <is>
          <t>CHECK_VENDOR</t>
        </is>
      </c>
      <c r="M1150" t="inlineStr">
        <is>
          <t>See CVE details</t>
        </is>
      </c>
      <c r="N1150" t="inlineStr">
        <is>
          <t>P3</t>
        </is>
      </c>
      <c r="O1150" t="inlineStr">
        <is>
          <t>CVE - IP enrichment n/a</t>
        </is>
      </c>
      <c r="P1150" t="n">
        <v>0</v>
      </c>
      <c r="Q1150" t="n">
        <v>0</v>
      </c>
      <c r="R1150" t="inlineStr">
        <is>
          <t>T1189:Drive-by Compromise</t>
        </is>
      </c>
      <c r="S1150" t="n">
        <v>1</v>
      </c>
      <c r="T1150" t="inlineStr">
        <is>
          <t>LOW (40%)</t>
        </is>
      </c>
      <c r="U1150" t="inlineStr">
        <is>
          <t>UNLIKELY</t>
        </is>
      </c>
      <c r="V1150" t="inlineStr">
        <is>
          <t>CHECK_VENDOR</t>
        </is>
      </c>
      <c r="W1150" t="inlineStr">
        <is>
          <t>https://nvd.nist.gov/vuln/detail/CVE-2025-15386</t>
        </is>
      </c>
      <c r="X1150" t="inlineStr">
        <is>
          <t>NONE</t>
        </is>
      </c>
      <c r="Y1150" t="n">
        <v>0</v>
      </c>
      <c r="Z1150" t="inlineStr"/>
      <c r="AA1150" t="inlineStr">
        <is>
          <t>https://nvd.nist.gov/vuln/detail/CVE-2025-15386</t>
        </is>
      </c>
    </row>
    <row r="1151">
      <c r="A1151" t="inlineStr">
        <is>
          <t>CVE</t>
        </is>
      </c>
      <c r="B1151" t="inlineStr">
        <is>
          <t>CVE-2025-15589</t>
        </is>
      </c>
      <c r="C1151" t="inlineStr">
        <is>
          <t>A vulnerability was determined in MuYuCMS 2.7. Affected is the function delete_dir_file of the file application/admin/controller/Template.php of the component Template Management Page. This manipulation of the argument temn/tp causes path traversal. It is possible to initiate the attack remotely. The exploit has been publicly disclosed and may be utilized. The vendor was contacted early about this disclosure but did not respond in any way.</t>
        </is>
      </c>
      <c r="D1151" t="n">
        <v>3.8</v>
      </c>
      <c r="E1151" t="inlineStr">
        <is>
          <t>LOW</t>
        </is>
      </c>
      <c r="F1151" t="n">
        <v>2</v>
      </c>
      <c r="G1151" t="n">
        <v>1</v>
      </c>
      <c r="H1151" t="inlineStr">
        <is>
          <t>LOW</t>
        </is>
      </c>
      <c r="I1151" t="n">
        <v>5.8</v>
      </c>
      <c r="J1151" t="inlineStr">
        <is>
          <t>NO</t>
        </is>
      </c>
      <c r="K1151" t="inlineStr">
        <is>
          <t>2026-02-26 00:15</t>
        </is>
      </c>
      <c r="L1151" t="inlineStr">
        <is>
          <t>CHECK_VENDOR</t>
        </is>
      </c>
      <c r="M1151" t="inlineStr">
        <is>
          <t>See CVE details</t>
        </is>
      </c>
      <c r="N1151" t="inlineStr">
        <is>
          <t>P4</t>
        </is>
      </c>
      <c r="O1151" t="inlineStr">
        <is>
          <t>CVE - IP enrichment n/a</t>
        </is>
      </c>
      <c r="P1151" t="n">
        <v>0.0009</v>
      </c>
      <c r="Q1151" t="n">
        <v>0.2487</v>
      </c>
      <c r="R1151" t="inlineStr">
        <is>
          <t>T1083:File and Directory Discovery</t>
        </is>
      </c>
      <c r="S1151" t="n">
        <v>1</v>
      </c>
      <c r="T1151" t="inlineStr">
        <is>
          <t>LOW (40%)</t>
        </is>
      </c>
      <c r="U1151" t="inlineStr">
        <is>
          <t>UNLIKELY</t>
        </is>
      </c>
      <c r="V1151" t="inlineStr">
        <is>
          <t>CHECK_VENDOR</t>
        </is>
      </c>
      <c r="W1151" t="inlineStr">
        <is>
          <t>https://nvd.nist.gov/vuln/detail/CVE-2025-15589</t>
        </is>
      </c>
      <c r="X1151" t="inlineStr">
        <is>
          <t>NONE</t>
        </is>
      </c>
      <c r="Y1151" t="n">
        <v>0</v>
      </c>
      <c r="Z1151" t="inlineStr"/>
      <c r="AA1151" t="inlineStr">
        <is>
          <t>https://nvd.nist.gov/vuln/detail/CVE-2025-15589</t>
        </is>
      </c>
    </row>
    <row r="1152">
      <c r="A1152" t="inlineStr">
        <is>
          <t>CVE</t>
        </is>
      </c>
      <c r="B1152" t="inlineStr">
        <is>
          <t>CVE-2026-24314</t>
        </is>
      </c>
      <c r="C1152" t="inlineStr">
        <is>
          <t>Under certain conditions SAP S/4HANA (Manage Payment Media) allows an authenticated attacker to access information which would otherwise be restricted. This could cause low impact on confidentiality of the application while integrity and availability are not impacted.</t>
        </is>
      </c>
      <c r="D1152" t="n">
        <v>4.3</v>
      </c>
      <c r="E1152" t="inlineStr">
        <is>
          <t>MEDIUM</t>
        </is>
      </c>
      <c r="F1152" t="n">
        <v>2</v>
      </c>
      <c r="G1152" t="n">
        <v>2</v>
      </c>
      <c r="H1152" t="inlineStr">
        <is>
          <t>MEDIUM</t>
        </is>
      </c>
      <c r="I1152" t="n">
        <v>8.300000000000001</v>
      </c>
      <c r="J1152" t="inlineStr">
        <is>
          <t>NO</t>
        </is>
      </c>
      <c r="K1152" t="inlineStr">
        <is>
          <t>2026-02-26 00:15</t>
        </is>
      </c>
      <c r="L1152" t="inlineStr">
        <is>
          <t>CHECK_VENDOR</t>
        </is>
      </c>
      <c r="M1152" t="inlineStr">
        <is>
          <t>See CVE details</t>
        </is>
      </c>
      <c r="N1152" t="inlineStr">
        <is>
          <t>P4</t>
        </is>
      </c>
      <c r="O1152" t="inlineStr">
        <is>
          <t>CVE - IP enrichment n/a</t>
        </is>
      </c>
      <c r="P1152" t="n">
        <v>0.0003</v>
      </c>
      <c r="Q1152" t="n">
        <v>0.0741</v>
      </c>
      <c r="R1152" t="inlineStr">
        <is>
          <t>T1190:Exploit Public-Facing Application</t>
        </is>
      </c>
      <c r="S1152" t="n">
        <v>1</v>
      </c>
      <c r="T1152" t="inlineStr">
        <is>
          <t>LOW (40%)</t>
        </is>
      </c>
      <c r="U1152" t="inlineStr">
        <is>
          <t>UNLIKELY</t>
        </is>
      </c>
      <c r="V1152" t="inlineStr">
        <is>
          <t>CHECK_VENDOR</t>
        </is>
      </c>
      <c r="W1152" t="inlineStr">
        <is>
          <t>https://nvd.nist.gov/vuln/detail/CVE-2026-24314</t>
        </is>
      </c>
      <c r="X1152" t="inlineStr">
        <is>
          <t>NONE</t>
        </is>
      </c>
      <c r="Y1152" t="n">
        <v>0</v>
      </c>
      <c r="Z1152" t="inlineStr"/>
      <c r="AA1152" t="inlineStr">
        <is>
          <t>https://nvd.nist.gov/vuln/detail/CVE-2026-24314</t>
        </is>
      </c>
    </row>
    <row r="1153">
      <c r="A1153" t="inlineStr">
        <is>
          <t>CVE</t>
        </is>
      </c>
      <c r="B1153" t="inlineStr">
        <is>
          <t>CVE-2025-40538</t>
        </is>
      </c>
      <c r="C1153" t="inlineStr">
        <is>
          <t>A broken access control vulnerability exists in Serv-U which when exploited, gives a malicious actor the ability to create a system admin user and execute arbitrary code as a privileged account via domain admin or group admin privileges.
This issue requires administrative privileges to abuse. On Windows deployments, the risk is scored as a medium because services frequently run under less-privileged service accounts by default.</t>
        </is>
      </c>
      <c r="D1153" t="n">
        <v>9.1</v>
      </c>
      <c r="E1153" t="inlineStr">
        <is>
          <t>CRITICAL</t>
        </is>
      </c>
      <c r="F1153" t="n">
        <v>2</v>
      </c>
      <c r="G1153" t="n">
        <v>3</v>
      </c>
      <c r="H1153" t="inlineStr">
        <is>
          <t>HIGH</t>
        </is>
      </c>
      <c r="I1153" t="n">
        <v>15.1</v>
      </c>
      <c r="J1153" t="inlineStr">
        <is>
          <t>NO</t>
        </is>
      </c>
      <c r="K1153" t="inlineStr">
        <is>
          <t>2026-02-26 00:15</t>
        </is>
      </c>
      <c r="L1153" t="inlineStr">
        <is>
          <t>YES</t>
        </is>
      </c>
      <c r="M1153" t="inlineStr">
        <is>
          <t>solarwinds serv-u *</t>
        </is>
      </c>
      <c r="N1153" t="inlineStr">
        <is>
          <t>P3</t>
        </is>
      </c>
      <c r="O1153" t="inlineStr">
        <is>
          <t>CVE - IP enrichment n/a</t>
        </is>
      </c>
      <c r="P1153" t="n">
        <v>0</v>
      </c>
      <c r="Q1153" t="n">
        <v>0</v>
      </c>
      <c r="R1153" t="inlineStr">
        <is>
          <t>T1203:Exploitation for Client Execution</t>
        </is>
      </c>
      <c r="S1153" t="n">
        <v>1</v>
      </c>
      <c r="T1153" t="inlineStr">
        <is>
          <t>LOW (40%)</t>
        </is>
      </c>
      <c r="U1153" t="inlineStr">
        <is>
          <t>UNLIKELY</t>
        </is>
      </c>
      <c r="V1153" t="inlineStr">
        <is>
          <t>PATCH_AVAILABLE</t>
        </is>
      </c>
      <c r="W1153" t="inlineStr">
        <is>
          <t>https://nvd.nist.gov/vuln/detail/CVE-2025-40538</t>
        </is>
      </c>
      <c r="X1153" t="inlineStr">
        <is>
          <t>NONE</t>
        </is>
      </c>
      <c r="Y1153" t="n">
        <v>0</v>
      </c>
      <c r="Z1153" t="inlineStr">
        <is>
          <t>[TheHackerNews] SolarWinds Patches 4 Critical Serv-U 15.5 Flaws Allowing Root Code Exe</t>
        </is>
      </c>
      <c r="AA1153" t="inlineStr">
        <is>
          <t>https://nvd.nist.gov/vuln/detail/CVE-2025-40538</t>
        </is>
      </c>
    </row>
    <row r="1154">
      <c r="A1154" t="inlineStr">
        <is>
          <t>CVE</t>
        </is>
      </c>
      <c r="B1154" t="inlineStr">
        <is>
          <t>CVE-2025-40539</t>
        </is>
      </c>
      <c r="C1154" t="inlineStr">
        <is>
          <t>A type confusion vulnerability exists in Serv-U which when exploited, gives a malicious actor the ability to execute arbitrary native code as privileged account.
This issue requires administrative privileges to abuse. On Windows deployments, the risk is scored as a medium because services frequently run under less-privileged service accounts by default.</t>
        </is>
      </c>
      <c r="D1154" t="n">
        <v>9.1</v>
      </c>
      <c r="E1154" t="inlineStr">
        <is>
          <t>CRITICAL</t>
        </is>
      </c>
      <c r="F1154" t="n">
        <v>2</v>
      </c>
      <c r="G1154" t="n">
        <v>3</v>
      </c>
      <c r="H1154" t="inlineStr">
        <is>
          <t>HIGH</t>
        </is>
      </c>
      <c r="I1154" t="n">
        <v>15.1</v>
      </c>
      <c r="J1154" t="inlineStr">
        <is>
          <t>NO</t>
        </is>
      </c>
      <c r="K1154" t="inlineStr">
        <is>
          <t>2026-02-26 00:15</t>
        </is>
      </c>
      <c r="L1154" t="inlineStr">
        <is>
          <t>YES</t>
        </is>
      </c>
      <c r="M1154" t="inlineStr">
        <is>
          <t>solarwinds serv-u *</t>
        </is>
      </c>
      <c r="N1154" t="inlineStr">
        <is>
          <t>P3</t>
        </is>
      </c>
      <c r="O1154" t="inlineStr">
        <is>
          <t>CVE - IP enrichment n/a</t>
        </is>
      </c>
      <c r="P1154" t="n">
        <v>0</v>
      </c>
      <c r="Q1154" t="n">
        <v>0</v>
      </c>
      <c r="R1154" t="inlineStr">
        <is>
          <t>T1190:Exploit Public-Facing Application</t>
        </is>
      </c>
      <c r="S1154" t="n">
        <v>1</v>
      </c>
      <c r="T1154" t="inlineStr">
        <is>
          <t>LOW (40%)</t>
        </is>
      </c>
      <c r="U1154" t="inlineStr">
        <is>
          <t>UNLIKELY</t>
        </is>
      </c>
      <c r="V1154" t="inlineStr">
        <is>
          <t>PATCH_AVAILABLE</t>
        </is>
      </c>
      <c r="W1154" t="inlineStr">
        <is>
          <t>https://nvd.nist.gov/vuln/detail/CVE-2025-40539</t>
        </is>
      </c>
      <c r="X1154" t="inlineStr">
        <is>
          <t>NONE</t>
        </is>
      </c>
      <c r="Y1154" t="n">
        <v>0</v>
      </c>
      <c r="Z1154" t="inlineStr"/>
      <c r="AA1154" t="inlineStr">
        <is>
          <t>https://nvd.nist.gov/vuln/detail/CVE-2025-40539</t>
        </is>
      </c>
    </row>
    <row r="1155">
      <c r="A1155" t="inlineStr">
        <is>
          <t>CVE</t>
        </is>
      </c>
      <c r="B1155" t="inlineStr">
        <is>
          <t>CVE-2025-40540</t>
        </is>
      </c>
      <c r="C1155" t="inlineStr">
        <is>
          <t>A type confusion vulnerability exists in Serv-U which when exploited, gives a malicious actor the ability to execute arbitrary native code as privileged account.
This issue requires administrative privileges to abuse. On Windows deployments, the risk is scored as a medium because services frequently run under less-privileged service accounts by default.</t>
        </is>
      </c>
      <c r="D1155" t="n">
        <v>9.1</v>
      </c>
      <c r="E1155" t="inlineStr">
        <is>
          <t>CRITICAL</t>
        </is>
      </c>
      <c r="F1155" t="n">
        <v>2</v>
      </c>
      <c r="G1155" t="n">
        <v>3</v>
      </c>
      <c r="H1155" t="inlineStr">
        <is>
          <t>HIGH</t>
        </is>
      </c>
      <c r="I1155" t="n">
        <v>15.1</v>
      </c>
      <c r="J1155" t="inlineStr">
        <is>
          <t>NO</t>
        </is>
      </c>
      <c r="K1155" t="inlineStr">
        <is>
          <t>2026-02-26 00:15</t>
        </is>
      </c>
      <c r="L1155" t="inlineStr">
        <is>
          <t>YES</t>
        </is>
      </c>
      <c r="M1155" t="inlineStr">
        <is>
          <t>solarwinds serv-u *</t>
        </is>
      </c>
      <c r="N1155" t="inlineStr">
        <is>
          <t>P3</t>
        </is>
      </c>
      <c r="O1155" t="inlineStr">
        <is>
          <t>CVE - IP enrichment n/a</t>
        </is>
      </c>
      <c r="P1155" t="n">
        <v>0</v>
      </c>
      <c r="Q1155" t="n">
        <v>0</v>
      </c>
      <c r="R1155" t="inlineStr">
        <is>
          <t>T1190:Exploit Public-Facing Application</t>
        </is>
      </c>
      <c r="S1155" t="n">
        <v>1</v>
      </c>
      <c r="T1155" t="inlineStr">
        <is>
          <t>LOW (40%)</t>
        </is>
      </c>
      <c r="U1155" t="inlineStr">
        <is>
          <t>UNLIKELY</t>
        </is>
      </c>
      <c r="V1155" t="inlineStr">
        <is>
          <t>PATCH_AVAILABLE</t>
        </is>
      </c>
      <c r="W1155" t="inlineStr">
        <is>
          <t>https://nvd.nist.gov/vuln/detail/CVE-2025-40540</t>
        </is>
      </c>
      <c r="X1155" t="inlineStr">
        <is>
          <t>NONE</t>
        </is>
      </c>
      <c r="Y1155" t="n">
        <v>0</v>
      </c>
      <c r="Z1155" t="inlineStr"/>
      <c r="AA1155" t="inlineStr">
        <is>
          <t>https://nvd.nist.gov/vuln/detail/CVE-2025-40540</t>
        </is>
      </c>
    </row>
    <row r="1156">
      <c r="A1156" t="inlineStr">
        <is>
          <t>CVE</t>
        </is>
      </c>
      <c r="B1156" t="inlineStr">
        <is>
          <t>CVE-2025-40541</t>
        </is>
      </c>
      <c r="C1156" t="inlineStr">
        <is>
          <t>An Insecure Direct Object Reference (IDOR) vulnerability exists in Serv-U, which when exploited, gives a malicious actor the ability to execute native code as a privileged account.
This issue requires administrative privileges to abuse. On Windows deployments, the risk is scored as a medium because services frequently run under less-privileged service accounts by default.</t>
        </is>
      </c>
      <c r="D1156" t="n">
        <v>9.1</v>
      </c>
      <c r="E1156" t="inlineStr">
        <is>
          <t>CRITICAL</t>
        </is>
      </c>
      <c r="F1156" t="n">
        <v>2</v>
      </c>
      <c r="G1156" t="n">
        <v>3</v>
      </c>
      <c r="H1156" t="inlineStr">
        <is>
          <t>HIGH</t>
        </is>
      </c>
      <c r="I1156" t="n">
        <v>15.1</v>
      </c>
      <c r="J1156" t="inlineStr">
        <is>
          <t>NO</t>
        </is>
      </c>
      <c r="K1156" t="inlineStr">
        <is>
          <t>2026-02-26 00:15</t>
        </is>
      </c>
      <c r="L1156" t="inlineStr">
        <is>
          <t>YES</t>
        </is>
      </c>
      <c r="M1156" t="inlineStr">
        <is>
          <t>solarwinds serv-u *</t>
        </is>
      </c>
      <c r="N1156" t="inlineStr">
        <is>
          <t>P3</t>
        </is>
      </c>
      <c r="O1156" t="inlineStr">
        <is>
          <t>CVE - IP enrichment n/a</t>
        </is>
      </c>
      <c r="P1156" t="n">
        <v>0</v>
      </c>
      <c r="Q1156" t="n">
        <v>0</v>
      </c>
      <c r="R1156" t="inlineStr">
        <is>
          <t>T1190:Exploit Public-Facing Application</t>
        </is>
      </c>
      <c r="S1156" t="n">
        <v>1</v>
      </c>
      <c r="T1156" t="inlineStr">
        <is>
          <t>LOW (40%)</t>
        </is>
      </c>
      <c r="U1156" t="inlineStr">
        <is>
          <t>UNLIKELY</t>
        </is>
      </c>
      <c r="V1156" t="inlineStr">
        <is>
          <t>PATCH_AVAILABLE</t>
        </is>
      </c>
      <c r="W1156" t="inlineStr">
        <is>
          <t>https://nvd.nist.gov/vuln/detail/CVE-2025-40541</t>
        </is>
      </c>
      <c r="X1156" t="inlineStr">
        <is>
          <t>NONE</t>
        </is>
      </c>
      <c r="Y1156" t="n">
        <v>0</v>
      </c>
      <c r="Z1156" t="inlineStr"/>
      <c r="AA1156" t="inlineStr">
        <is>
          <t>https://nvd.nist.gov/vuln/detail/CVE-2025-40541</t>
        </is>
      </c>
    </row>
    <row r="1157">
      <c r="A1157" t="inlineStr">
        <is>
          <t>CVE</t>
        </is>
      </c>
      <c r="B1157" t="inlineStr">
        <is>
          <t>CVE-2026-1229</t>
        </is>
      </c>
      <c r="C1157" t="inlineStr">
        <is>
          <t>The CombinedMult function in the CIRCL ecc/p384 package (secp384r1 curve) produces an incorrect value for specific inputs. The issue is fixed by using complete addition formulas.
ECDH and ECDSA signing relying on this curve are not affected.
The bug was fixed in  v1.6.3 https://github.com/cloudflare/circl/releases/tag/v1.6.3 .</t>
        </is>
      </c>
      <c r="D1157" t="n">
        <v>5</v>
      </c>
      <c r="E1157" t="inlineStr">
        <is>
          <t>MEDIUM</t>
        </is>
      </c>
      <c r="F1157" t="n">
        <v>2</v>
      </c>
      <c r="G1157" t="n">
        <v>2</v>
      </c>
      <c r="H1157" t="inlineStr">
        <is>
          <t>MEDIUM</t>
        </is>
      </c>
      <c r="I1157" t="n">
        <v>9</v>
      </c>
      <c r="J1157" t="inlineStr">
        <is>
          <t>NO</t>
        </is>
      </c>
      <c r="K1157" t="inlineStr">
        <is>
          <t>2026-02-26 00:15</t>
        </is>
      </c>
      <c r="L1157" t="inlineStr">
        <is>
          <t>CHECK_VENDOR</t>
        </is>
      </c>
      <c r="M1157" t="inlineStr">
        <is>
          <t>See CVE details</t>
        </is>
      </c>
      <c r="N1157" t="inlineStr">
        <is>
          <t>P4</t>
        </is>
      </c>
      <c r="O1157" t="inlineStr">
        <is>
          <t>CVE - IP enrichment n/a</t>
        </is>
      </c>
      <c r="P1157" t="n">
        <v>0</v>
      </c>
      <c r="Q1157" t="n">
        <v>0</v>
      </c>
      <c r="R1157" t="inlineStr">
        <is>
          <t>T1190:Exploit Public-Facing Application</t>
        </is>
      </c>
      <c r="S1157" t="n">
        <v>1</v>
      </c>
      <c r="T1157" t="inlineStr">
        <is>
          <t>LOW (40%)</t>
        </is>
      </c>
      <c r="U1157" t="inlineStr">
        <is>
          <t>UNLIKELY</t>
        </is>
      </c>
      <c r="V1157" t="inlineStr">
        <is>
          <t>CHECK_VENDOR</t>
        </is>
      </c>
      <c r="W1157" t="inlineStr">
        <is>
          <t>https://nvd.nist.gov/vuln/detail/CVE-2026-1229</t>
        </is>
      </c>
      <c r="X1157" t="inlineStr">
        <is>
          <t>NONE</t>
        </is>
      </c>
      <c r="Y1157" t="n">
        <v>0</v>
      </c>
      <c r="Z1157" t="inlineStr"/>
      <c r="AA1157" t="inlineStr">
        <is>
          <t>https://nvd.nist.gov/vuln/detail/CVE-2026-1229</t>
        </is>
      </c>
    </row>
    <row r="1158">
      <c r="A1158" t="inlineStr">
        <is>
          <t>CVE</t>
        </is>
      </c>
      <c r="B1158" t="inlineStr">
        <is>
          <t>CVE-2024-1524</t>
        </is>
      </c>
      <c r="C1158" t="inlineStr">
        <is>
          <t xml:space="preserve">When the "Silent Just-In-Time Provisioning" feature is enabled for a federated identity provider (IDP)  there is a risk that a local user store user's information may be replaced during the account provisioning process in cases where federated users share the same username as local users. 
 There will be no impact on your deployment if any of the preconditions mentioned below are not met. Only when all the preconditions mentioned below are fulfilled could a malicious actor associate a targeted </t>
        </is>
      </c>
      <c r="D1158" t="n">
        <v>7.7</v>
      </c>
      <c r="E1158" t="inlineStr">
        <is>
          <t>HIGH</t>
        </is>
      </c>
      <c r="F1158" t="n">
        <v>2</v>
      </c>
      <c r="G1158" t="n">
        <v>3</v>
      </c>
      <c r="H1158" t="inlineStr">
        <is>
          <t>HIGH</t>
        </is>
      </c>
      <c r="I1158" t="n">
        <v>13.7</v>
      </c>
      <c r="J1158" t="inlineStr">
        <is>
          <t>NO</t>
        </is>
      </c>
      <c r="K1158" t="inlineStr">
        <is>
          <t>2026-02-26 00:15</t>
        </is>
      </c>
      <c r="L1158" t="inlineStr">
        <is>
          <t>CHECK_VENDOR</t>
        </is>
      </c>
      <c r="M1158" t="inlineStr">
        <is>
          <t>See CVE details</t>
        </is>
      </c>
      <c r="N1158" t="inlineStr">
        <is>
          <t>P3</t>
        </is>
      </c>
      <c r="O1158" t="inlineStr">
        <is>
          <t>CVE - IP enrichment n/a</t>
        </is>
      </c>
      <c r="P1158" t="n">
        <v>0.0005</v>
      </c>
      <c r="Q1158" t="n">
        <v>0.1519</v>
      </c>
      <c r="R1158" t="inlineStr">
        <is>
          <t>T1190:Exploit Public-Facing Application</t>
        </is>
      </c>
      <c r="S1158" t="n">
        <v>1</v>
      </c>
      <c r="T1158" t="inlineStr">
        <is>
          <t>LOW (40%)</t>
        </is>
      </c>
      <c r="U1158" t="inlineStr">
        <is>
          <t>UNLIKELY</t>
        </is>
      </c>
      <c r="V1158" t="inlineStr">
        <is>
          <t>CHECK_VENDOR</t>
        </is>
      </c>
      <c r="W1158" t="inlineStr">
        <is>
          <t>https://nvd.nist.gov/vuln/detail/CVE-2024-1524</t>
        </is>
      </c>
      <c r="X1158" t="inlineStr">
        <is>
          <t>NONE</t>
        </is>
      </c>
      <c r="Y1158" t="n">
        <v>0</v>
      </c>
      <c r="Z1158" t="inlineStr"/>
      <c r="AA1158" t="inlineStr">
        <is>
          <t>https://nvd.nist.gov/vuln/detail/CVE-2024-1524</t>
        </is>
      </c>
    </row>
    <row r="1159">
      <c r="A1159" t="inlineStr">
        <is>
          <t>CVE</t>
        </is>
      </c>
      <c r="B1159" t="inlineStr">
        <is>
          <t>CVE-2025-11165</t>
        </is>
      </c>
      <c r="C1159" t="inlineStr">
        <is>
          <t>A sandbox escape vulnerability exists in dotCMS’s Velocity scripting engine (VTools) that allows authenticated users with scripting privileges to bypass class and package restrictions enforced by SecureUberspectorImpl.
By dynamically modifying the Velocity engine’s runtime configuration and reinitializing its Uberspect, a malicious actor can remove the introspector.restrict.classes and introspector.restrict.packages protections.
Once these restrictions are cleared, the attacker can access arbi</t>
        </is>
      </c>
      <c r="D1159" t="n">
        <v>8.5</v>
      </c>
      <c r="E1159" t="inlineStr">
        <is>
          <t>HIGH</t>
        </is>
      </c>
      <c r="F1159" t="n">
        <v>2</v>
      </c>
      <c r="G1159" t="n">
        <v>3</v>
      </c>
      <c r="H1159" t="inlineStr">
        <is>
          <t>HIGH</t>
        </is>
      </c>
      <c r="I1159" t="n">
        <v>14.5</v>
      </c>
      <c r="J1159" t="inlineStr">
        <is>
          <t>NO</t>
        </is>
      </c>
      <c r="K1159" t="inlineStr">
        <is>
          <t>2026-02-26 00:15</t>
        </is>
      </c>
      <c r="L1159" t="inlineStr">
        <is>
          <t>CHECK_VENDOR</t>
        </is>
      </c>
      <c r="M1159" t="inlineStr">
        <is>
          <t>See CVE details</t>
        </is>
      </c>
      <c r="N1159" t="inlineStr">
        <is>
          <t>P3</t>
        </is>
      </c>
      <c r="O1159" t="inlineStr">
        <is>
          <t>CVE - IP enrichment n/a</t>
        </is>
      </c>
      <c r="P1159" t="n">
        <v>0</v>
      </c>
      <c r="Q1159" t="n">
        <v>0</v>
      </c>
      <c r="R1159" t="inlineStr">
        <is>
          <t>T1190:Exploit Public-Facing Application</t>
        </is>
      </c>
      <c r="S1159" t="n">
        <v>1</v>
      </c>
      <c r="T1159" t="inlineStr">
        <is>
          <t>LOW (40%)</t>
        </is>
      </c>
      <c r="U1159" t="inlineStr">
        <is>
          <t>UNLIKELY</t>
        </is>
      </c>
      <c r="V1159" t="inlineStr">
        <is>
          <t>CHECK_VENDOR</t>
        </is>
      </c>
      <c r="W1159" t="inlineStr">
        <is>
          <t>https://nvd.nist.gov/vuln/detail/CVE-2025-11165</t>
        </is>
      </c>
      <c r="X1159" t="inlineStr">
        <is>
          <t>NONE</t>
        </is>
      </c>
      <c r="Y1159" t="n">
        <v>0</v>
      </c>
      <c r="Z1159" t="inlineStr"/>
      <c r="AA1159" t="inlineStr">
        <is>
          <t>https://nvd.nist.gov/vuln/detail/CVE-2025-11165</t>
        </is>
      </c>
    </row>
    <row r="1160">
      <c r="A1160" t="inlineStr">
        <is>
          <t>CVE</t>
        </is>
      </c>
      <c r="B1160" t="inlineStr">
        <is>
          <t>CVE-2024-56373</t>
        </is>
      </c>
      <c r="C1160" t="inlineStr">
        <is>
          <t xml:space="preserve">DAG Author (who already has quite a lot of permissions) could manipulate database of Airflow 2 in the way to execute arbitrary code in the web-server context, which they should normally not be able to do, leading to potentially remote code execution in the context of web-server (server-side) as a result of a user viewing historical task information.
The functionality responsible for that (log template history) has been disabled by default in 2.11.1 and users should upgrade to Airflow 3 if they </t>
        </is>
      </c>
      <c r="D1160" t="n">
        <v>8.4</v>
      </c>
      <c r="E1160" t="inlineStr">
        <is>
          <t>HIGH</t>
        </is>
      </c>
      <c r="F1160" t="n">
        <v>2</v>
      </c>
      <c r="G1160" t="n">
        <v>3</v>
      </c>
      <c r="H1160" t="inlineStr">
        <is>
          <t>HIGH</t>
        </is>
      </c>
      <c r="I1160" t="n">
        <v>14.4</v>
      </c>
      <c r="J1160" t="inlineStr">
        <is>
          <t>NO</t>
        </is>
      </c>
      <c r="K1160" t="inlineStr">
        <is>
          <t>2026-02-26 00:15</t>
        </is>
      </c>
      <c r="L1160" t="inlineStr">
        <is>
          <t>YES</t>
        </is>
      </c>
      <c r="M1160" t="inlineStr">
        <is>
          <t>apache airflow *</t>
        </is>
      </c>
      <c r="N1160" t="inlineStr">
        <is>
          <t>P1</t>
        </is>
      </c>
      <c r="O1160" t="inlineStr">
        <is>
          <t>CVE - IP enrichment n/a</t>
        </is>
      </c>
      <c r="P1160" t="n">
        <v>0</v>
      </c>
      <c r="Q1160" t="n">
        <v>0</v>
      </c>
      <c r="R1160" t="inlineStr">
        <is>
          <t>T1059:Command and Scripting Interpreter | T1190:Exploit Public-Facing Application | T1210:Exploitation of Remote Services</t>
        </is>
      </c>
      <c r="S1160" t="n">
        <v>2</v>
      </c>
      <c r="T1160" t="inlineStr">
        <is>
          <t>HIGH (72%)</t>
        </is>
      </c>
      <c r="U1160" t="inlineStr">
        <is>
          <t>HIGH</t>
        </is>
      </c>
      <c r="V1160" t="inlineStr">
        <is>
          <t>PATCH_AVAILABLE</t>
        </is>
      </c>
      <c r="W1160" t="inlineStr">
        <is>
          <t>https://nvd.nist.gov/vuln/detail/CVE-2024-56373</t>
        </is>
      </c>
      <c r="X1160" t="inlineStr">
        <is>
          <t>http://www.zerodayinitiative.com/advisories/ZDI-26-123/</t>
        </is>
      </c>
      <c r="Y1160" t="n">
        <v>0</v>
      </c>
      <c r="Z1160" t="inlineStr"/>
      <c r="AA1160" t="inlineStr">
        <is>
          <t>https://nvd.nist.gov/vuln/detail/CVE-2024-56373</t>
        </is>
      </c>
    </row>
    <row r="1161">
      <c r="A1161" t="inlineStr">
        <is>
          <t>CVE</t>
        </is>
      </c>
      <c r="B1161" t="inlineStr">
        <is>
          <t>CVE-2025-27555</t>
        </is>
      </c>
      <c r="C1161" t="inlineStr">
        <is>
          <t>Airflow versions before 2.11.1 have a vulnerability that allows authenticated users with audit log access to see sensitive values in audit logs which they should not see. When sensitive connection parameters were set via airflow CLI, values of those variables appeared in the audit log and were stored unencrypted in the Airflow database. While this risk is limited to users with audit log access, it is recommended to upgrade to Airflow 2.11.1 or a later version, which addresses this issue. Users w</t>
        </is>
      </c>
      <c r="D1161" t="n">
        <v>6.5</v>
      </c>
      <c r="E1161" t="inlineStr">
        <is>
          <t>MEDIUM</t>
        </is>
      </c>
      <c r="F1161" t="n">
        <v>2</v>
      </c>
      <c r="G1161" t="n">
        <v>2</v>
      </c>
      <c r="H1161" t="inlineStr">
        <is>
          <t>MEDIUM</t>
        </is>
      </c>
      <c r="I1161" t="n">
        <v>10.5</v>
      </c>
      <c r="J1161" t="inlineStr">
        <is>
          <t>NO</t>
        </is>
      </c>
      <c r="K1161" t="inlineStr">
        <is>
          <t>2026-02-26 00:15</t>
        </is>
      </c>
      <c r="L1161" t="inlineStr">
        <is>
          <t>YES</t>
        </is>
      </c>
      <c r="M1161" t="inlineStr">
        <is>
          <t>apache airflow *</t>
        </is>
      </c>
      <c r="N1161" t="inlineStr">
        <is>
          <t>P1</t>
        </is>
      </c>
      <c r="O1161" t="inlineStr">
        <is>
          <t>CVE - IP enrichment n/a</t>
        </is>
      </c>
      <c r="P1161" t="n">
        <v>0.0003</v>
      </c>
      <c r="Q1161" t="n">
        <v>0.0968</v>
      </c>
      <c r="R1161" t="inlineStr">
        <is>
          <t>T1190:Exploit Public-Facing Application</t>
        </is>
      </c>
      <c r="S1161" t="n">
        <v>2</v>
      </c>
      <c r="T1161" t="inlineStr">
        <is>
          <t>HIGH (72%)</t>
        </is>
      </c>
      <c r="U1161" t="inlineStr">
        <is>
          <t>HIGH</t>
        </is>
      </c>
      <c r="V1161" t="inlineStr">
        <is>
          <t>PATCH_AVAILABLE</t>
        </is>
      </c>
      <c r="W1161" t="inlineStr">
        <is>
          <t>https://nvd.nist.gov/vuln/detail/CVE-2025-27555</t>
        </is>
      </c>
      <c r="X1161" t="inlineStr">
        <is>
          <t>http://www.zerodayinitiative.com/advisories/ZDI-26-123/</t>
        </is>
      </c>
      <c r="Y1161" t="n">
        <v>0</v>
      </c>
      <c r="Z1161" t="inlineStr"/>
      <c r="AA1161" t="inlineStr">
        <is>
          <t>https://nvd.nist.gov/vuln/detail/CVE-2025-27555</t>
        </is>
      </c>
    </row>
    <row r="1162">
      <c r="A1162" t="inlineStr">
        <is>
          <t>CVE</t>
        </is>
      </c>
      <c r="B1162" t="inlineStr">
        <is>
          <t>CVE-2026-2664</t>
        </is>
      </c>
      <c r="C1162" t="inlineStr">
        <is>
          <t>An out of bounds read vulnerability in the grpcfuse kernel module present in the Linux VM in Docker Desktop for Windows, Linux and macOS up to version 4.61.0 could allow a local attacker to cause an unspecified impact by writing to /proc/docker entries. The issue has been fixed in Docker Desktop 4.62.0 .</t>
        </is>
      </c>
      <c r="D1162" t="n">
        <v>5</v>
      </c>
      <c r="E1162" t="inlineStr">
        <is>
          <t>MEDIUM</t>
        </is>
      </c>
      <c r="F1162" t="n">
        <v>2</v>
      </c>
      <c r="G1162" t="n">
        <v>2</v>
      </c>
      <c r="H1162" t="inlineStr">
        <is>
          <t>MEDIUM</t>
        </is>
      </c>
      <c r="I1162" t="n">
        <v>9</v>
      </c>
      <c r="J1162" t="inlineStr">
        <is>
          <t>NO</t>
        </is>
      </c>
      <c r="K1162" t="inlineStr">
        <is>
          <t>2026-02-26 00:15</t>
        </is>
      </c>
      <c r="L1162" t="inlineStr">
        <is>
          <t>CHECK_VENDOR</t>
        </is>
      </c>
      <c r="M1162" t="inlineStr">
        <is>
          <t>See CVE details</t>
        </is>
      </c>
      <c r="N1162" t="inlineStr">
        <is>
          <t>P1</t>
        </is>
      </c>
      <c r="O1162" t="inlineStr">
        <is>
          <t>CVE - IP enrichment n/a</t>
        </is>
      </c>
      <c r="P1162" t="n">
        <v>0</v>
      </c>
      <c r="Q1162" t="n">
        <v>0</v>
      </c>
      <c r="R1162" t="inlineStr">
        <is>
          <t>T1203:Exploitation for Client Execution</t>
        </is>
      </c>
      <c r="S1162" t="n">
        <v>2</v>
      </c>
      <c r="T1162" t="inlineStr">
        <is>
          <t>HIGH (72%)</t>
        </is>
      </c>
      <c r="U1162" t="inlineStr">
        <is>
          <t>HIGH</t>
        </is>
      </c>
      <c r="V1162" t="inlineStr">
        <is>
          <t>CHECK_VENDOR</t>
        </is>
      </c>
      <c r="W1162" t="inlineStr">
        <is>
          <t>https://nvd.nist.gov/vuln/detail/CVE-2026-2664</t>
        </is>
      </c>
      <c r="X1162" t="inlineStr">
        <is>
          <t>http://www.zerodayinitiative.com/advisories/ZDI-26-125/</t>
        </is>
      </c>
      <c r="Y1162" t="n">
        <v>0</v>
      </c>
      <c r="Z1162" t="inlineStr"/>
      <c r="AA1162" t="inlineStr">
        <is>
          <t>https://nvd.nist.gov/vuln/detail/CVE-2026-2664</t>
        </is>
      </c>
    </row>
    <row r="1163">
      <c r="A1163" t="inlineStr">
        <is>
          <t>CVE</t>
        </is>
      </c>
      <c r="B1163" t="inlineStr">
        <is>
          <t>CVE-2025-14577</t>
        </is>
      </c>
      <c r="C1163" t="inlineStr">
        <is>
          <t>Slican NCP/IPL/IPM/IPU devices are vulnerable to PHP Function Injection. An unauthenticated remote attacker is able to execute arbitrary PHP commands by sending specially crafted requests to /webcti/session_ajax.php endpoint.
This issue was fixed in version 1.24.0190 (Slican NCP) and 6.61.0010 (Slican IPL/IPM/IPU).</t>
        </is>
      </c>
      <c r="D1163" t="n">
        <v>8.5</v>
      </c>
      <c r="E1163" t="inlineStr">
        <is>
          <t>HIGH</t>
        </is>
      </c>
      <c r="F1163" t="n">
        <v>2</v>
      </c>
      <c r="G1163" t="n">
        <v>3</v>
      </c>
      <c r="H1163" t="inlineStr">
        <is>
          <t>HIGH</t>
        </is>
      </c>
      <c r="I1163" t="n">
        <v>14.5</v>
      </c>
      <c r="J1163" t="inlineStr">
        <is>
          <t>NO</t>
        </is>
      </c>
      <c r="K1163" t="inlineStr">
        <is>
          <t>2026-02-26 00:15</t>
        </is>
      </c>
      <c r="L1163" t="inlineStr">
        <is>
          <t>CHECK_VENDOR</t>
        </is>
      </c>
      <c r="M1163" t="inlineStr">
        <is>
          <t>See CVE details</t>
        </is>
      </c>
      <c r="N1163" t="inlineStr">
        <is>
          <t>P3</t>
        </is>
      </c>
      <c r="O1163" t="inlineStr">
        <is>
          <t>CVE - IP enrichment n/a</t>
        </is>
      </c>
      <c r="P1163" t="n">
        <v>0</v>
      </c>
      <c r="Q1163" t="n">
        <v>0</v>
      </c>
      <c r="R1163" t="inlineStr">
        <is>
          <t>T1078:Valid Accounts</t>
        </is>
      </c>
      <c r="S1163" t="n">
        <v>1</v>
      </c>
      <c r="T1163" t="inlineStr">
        <is>
          <t>LOW (40%)</t>
        </is>
      </c>
      <c r="U1163" t="inlineStr">
        <is>
          <t>UNLIKELY</t>
        </is>
      </c>
      <c r="V1163" t="inlineStr">
        <is>
          <t>CHECK_VENDOR</t>
        </is>
      </c>
      <c r="W1163" t="inlineStr">
        <is>
          <t>https://nvd.nist.gov/vuln/detail/CVE-2025-14577</t>
        </is>
      </c>
      <c r="X1163" t="inlineStr">
        <is>
          <t>NONE</t>
        </is>
      </c>
      <c r="Y1163" t="n">
        <v>0</v>
      </c>
      <c r="Z1163" t="inlineStr"/>
      <c r="AA1163" t="inlineStr">
        <is>
          <t>https://nvd.nist.gov/vuln/detail/CVE-2025-14577</t>
        </is>
      </c>
    </row>
    <row r="1164">
      <c r="A1164" t="inlineStr">
        <is>
          <t>CVE</t>
        </is>
      </c>
      <c r="B1164" t="inlineStr">
        <is>
          <t>CVE-2026-1772</t>
        </is>
      </c>
      <c r="C1164" t="inlineStr">
        <is>
          <t>RTU500 web interface: An unprivileged user can read user management information. The information cannot be accessed via the RTU500 web user interface but requires further tools like browser development utilities to access them without required privileges.</t>
        </is>
      </c>
      <c r="D1164" t="n">
        <v>5</v>
      </c>
      <c r="E1164" t="inlineStr">
        <is>
          <t>MEDIUM</t>
        </is>
      </c>
      <c r="F1164" t="n">
        <v>2</v>
      </c>
      <c r="G1164" t="n">
        <v>2</v>
      </c>
      <c r="H1164" t="inlineStr">
        <is>
          <t>MEDIUM</t>
        </is>
      </c>
      <c r="I1164" t="n">
        <v>9</v>
      </c>
      <c r="J1164" t="inlineStr">
        <is>
          <t>NO</t>
        </is>
      </c>
      <c r="K1164" t="inlineStr">
        <is>
          <t>2026-02-26 00:15</t>
        </is>
      </c>
      <c r="L1164" t="inlineStr">
        <is>
          <t>CHECK_VENDOR</t>
        </is>
      </c>
      <c r="M1164" t="inlineStr">
        <is>
          <t>See CVE details</t>
        </is>
      </c>
      <c r="N1164" t="inlineStr">
        <is>
          <t>P4</t>
        </is>
      </c>
      <c r="O1164" t="inlineStr">
        <is>
          <t>CVE - IP enrichment n/a</t>
        </is>
      </c>
      <c r="P1164" t="n">
        <v>0</v>
      </c>
      <c r="Q1164" t="n">
        <v>0</v>
      </c>
      <c r="R1164" t="inlineStr">
        <is>
          <t>T1190:Exploit Public-Facing Application</t>
        </is>
      </c>
      <c r="S1164" t="n">
        <v>1</v>
      </c>
      <c r="T1164" t="inlineStr">
        <is>
          <t>LOW (40%)</t>
        </is>
      </c>
      <c r="U1164" t="inlineStr">
        <is>
          <t>UNLIKELY</t>
        </is>
      </c>
      <c r="V1164" t="inlineStr">
        <is>
          <t>CHECK_VENDOR</t>
        </is>
      </c>
      <c r="W1164" t="inlineStr">
        <is>
          <t>https://nvd.nist.gov/vuln/detail/CVE-2026-1772</t>
        </is>
      </c>
      <c r="X1164" t="inlineStr">
        <is>
          <t>NONE</t>
        </is>
      </c>
      <c r="Y1164" t="n">
        <v>0</v>
      </c>
      <c r="Z1164" t="inlineStr"/>
      <c r="AA1164" t="inlineStr">
        <is>
          <t>https://nvd.nist.gov/vuln/detail/CVE-2026-1772</t>
        </is>
      </c>
    </row>
    <row r="1165">
      <c r="A1165" t="inlineStr">
        <is>
          <t>CVE</t>
        </is>
      </c>
      <c r="B1165" t="inlineStr">
        <is>
          <t>CVE-2026-1773</t>
        </is>
      </c>
      <c r="C1165" t="inlineStr">
        <is>
          <t>IEC 60870-5-104: Potential Denial of Service impact on reception of invalid U-format frame. Product is only affected if IEC 60870-5-104 bi-directional functionality is configured. Enabling secure communication following IEC 62351-3 does not remediate the vulnerability but mitigates the risk of exploitation.</t>
        </is>
      </c>
      <c r="D1165" t="n">
        <v>5</v>
      </c>
      <c r="E1165" t="inlineStr">
        <is>
          <t>MEDIUM</t>
        </is>
      </c>
      <c r="F1165" t="n">
        <v>2</v>
      </c>
      <c r="G1165" t="n">
        <v>2</v>
      </c>
      <c r="H1165" t="inlineStr">
        <is>
          <t>MEDIUM</t>
        </is>
      </c>
      <c r="I1165" t="n">
        <v>9</v>
      </c>
      <c r="J1165" t="inlineStr">
        <is>
          <t>NO</t>
        </is>
      </c>
      <c r="K1165" t="inlineStr">
        <is>
          <t>2026-02-26 00:15</t>
        </is>
      </c>
      <c r="L1165" t="inlineStr">
        <is>
          <t>CHECK_VENDOR</t>
        </is>
      </c>
      <c r="M1165" t="inlineStr">
        <is>
          <t>See CVE details</t>
        </is>
      </c>
      <c r="N1165" t="inlineStr">
        <is>
          <t>P4</t>
        </is>
      </c>
      <c r="O1165" t="inlineStr">
        <is>
          <t>CVE - IP enrichment n/a</t>
        </is>
      </c>
      <c r="P1165" t="n">
        <v>0</v>
      </c>
      <c r="Q1165" t="n">
        <v>0</v>
      </c>
      <c r="R1165" t="inlineStr">
        <is>
          <t>T1499:Endpoint Denial of Service</t>
        </is>
      </c>
      <c r="S1165" t="n">
        <v>1</v>
      </c>
      <c r="T1165" t="inlineStr">
        <is>
          <t>LOW (40%)</t>
        </is>
      </c>
      <c r="U1165" t="inlineStr">
        <is>
          <t>UNLIKELY</t>
        </is>
      </c>
      <c r="V1165" t="inlineStr">
        <is>
          <t>CHECK_VENDOR</t>
        </is>
      </c>
      <c r="W1165" t="inlineStr">
        <is>
          <t>https://nvd.nist.gov/vuln/detail/CVE-2026-1773</t>
        </is>
      </c>
      <c r="X1165" t="inlineStr">
        <is>
          <t>NONE</t>
        </is>
      </c>
      <c r="Y1165" t="n">
        <v>0</v>
      </c>
      <c r="Z1165" t="inlineStr"/>
      <c r="AA1165" t="inlineStr">
        <is>
          <t>https://nvd.nist.gov/vuln/detail/CVE-2026-1773</t>
        </is>
      </c>
    </row>
    <row r="1166">
      <c r="A1166" t="inlineStr">
        <is>
          <t>CVE</t>
        </is>
      </c>
      <c r="B1166" t="inlineStr">
        <is>
          <t>CVE-2026-23969</t>
        </is>
      </c>
      <c r="C1166" t="inlineStr">
        <is>
          <t>Apache Superset utilizes a configurable dictionary, DISALLOWED_SQL_FUNCTIONS, to restrict the execution of potentially sensitive SQL functions within SQL Lab and charts. While this feature included restrictions for engines like PostgreSQL, a vulnerability was reported where the default list for the ClickHouse engine was incomplete.
This issue affects Apache Superset: before 4.1.2.
Users are recommended to upgrade to version 4.1.2, which fixes the issue.</t>
        </is>
      </c>
      <c r="D1166" t="n">
        <v>5</v>
      </c>
      <c r="E1166" t="inlineStr">
        <is>
          <t>MEDIUM</t>
        </is>
      </c>
      <c r="F1166" t="n">
        <v>2</v>
      </c>
      <c r="G1166" t="n">
        <v>2</v>
      </c>
      <c r="H1166" t="inlineStr">
        <is>
          <t>MEDIUM</t>
        </is>
      </c>
      <c r="I1166" t="n">
        <v>9</v>
      </c>
      <c r="J1166" t="inlineStr">
        <is>
          <t>NO</t>
        </is>
      </c>
      <c r="K1166" t="inlineStr">
        <is>
          <t>2026-02-26 00:15</t>
        </is>
      </c>
      <c r="L1166" t="inlineStr">
        <is>
          <t>CHECK_VENDOR</t>
        </is>
      </c>
      <c r="M1166" t="inlineStr">
        <is>
          <t>See CVE details</t>
        </is>
      </c>
      <c r="N1166" t="inlineStr">
        <is>
          <t>P4</t>
        </is>
      </c>
      <c r="O1166" t="inlineStr">
        <is>
          <t>CVE - IP enrichment n/a</t>
        </is>
      </c>
      <c r="P1166" t="n">
        <v>0.0007</v>
      </c>
      <c r="Q1166" t="n">
        <v>0.2118</v>
      </c>
      <c r="R1166" t="inlineStr">
        <is>
          <t>T1190:Exploit Public-Facing Application</t>
        </is>
      </c>
      <c r="S1166" t="n">
        <v>1</v>
      </c>
      <c r="T1166" t="inlineStr">
        <is>
          <t>LOW (40%)</t>
        </is>
      </c>
      <c r="U1166" t="inlineStr">
        <is>
          <t>UNLIKELY</t>
        </is>
      </c>
      <c r="V1166" t="inlineStr">
        <is>
          <t>CHECK_VENDOR</t>
        </is>
      </c>
      <c r="W1166" t="inlineStr">
        <is>
          <t>https://nvd.nist.gov/vuln/detail/CVE-2026-23969</t>
        </is>
      </c>
      <c r="X1166" t="inlineStr">
        <is>
          <t>NONE</t>
        </is>
      </c>
      <c r="Y1166" t="n">
        <v>0</v>
      </c>
      <c r="Z1166" t="inlineStr"/>
      <c r="AA1166" t="inlineStr">
        <is>
          <t>https://nvd.nist.gov/vuln/detail/CVE-2026-23969</t>
        </is>
      </c>
    </row>
    <row r="1167">
      <c r="A1167" t="inlineStr">
        <is>
          <t>CVE</t>
        </is>
      </c>
      <c r="B1167" t="inlineStr">
        <is>
          <t>CVE-2026-23980</t>
        </is>
      </c>
      <c r="C1167" t="inlineStr">
        <is>
          <t>Improper Neutralization of Special Elements used in a SQL Command ('SQL Injection') vulnerability in Apache Superset allows an authenticated user with read access to conduct error-based SQL injection via the sqlExpression or where parameters.
This issue affects Apache Superset: before 6.0.0.
Users are recommended to upgrade to version 6.0.0, which fixes the issue.</t>
        </is>
      </c>
      <c r="D1167" t="n">
        <v>6.5</v>
      </c>
      <c r="E1167" t="inlineStr">
        <is>
          <t>MEDIUM</t>
        </is>
      </c>
      <c r="F1167" t="n">
        <v>2</v>
      </c>
      <c r="G1167" t="n">
        <v>2</v>
      </c>
      <c r="H1167" t="inlineStr">
        <is>
          <t>MEDIUM</t>
        </is>
      </c>
      <c r="I1167" t="n">
        <v>10.5</v>
      </c>
      <c r="J1167" t="inlineStr">
        <is>
          <t>NO</t>
        </is>
      </c>
      <c r="K1167" t="inlineStr">
        <is>
          <t>2026-02-26 00:15</t>
        </is>
      </c>
      <c r="L1167" t="inlineStr">
        <is>
          <t>YES</t>
        </is>
      </c>
      <c r="M1167" t="inlineStr">
        <is>
          <t>apache superset *</t>
        </is>
      </c>
      <c r="N1167" t="inlineStr">
        <is>
          <t>P4</t>
        </is>
      </c>
      <c r="O1167" t="inlineStr">
        <is>
          <t>CVE - IP enrichment n/a</t>
        </is>
      </c>
      <c r="P1167" t="n">
        <v>0</v>
      </c>
      <c r="Q1167" t="n">
        <v>0</v>
      </c>
      <c r="R1167" t="inlineStr">
        <is>
          <t>T1190:Exploit Public-Facing Application</t>
        </is>
      </c>
      <c r="S1167" t="n">
        <v>1</v>
      </c>
      <c r="T1167" t="inlineStr">
        <is>
          <t>LOW (40%)</t>
        </is>
      </c>
      <c r="U1167" t="inlineStr">
        <is>
          <t>UNLIKELY</t>
        </is>
      </c>
      <c r="V1167" t="inlineStr">
        <is>
          <t>PATCH_AVAILABLE</t>
        </is>
      </c>
      <c r="W1167" t="inlineStr">
        <is>
          <t>https://nvd.nist.gov/vuln/detail/CVE-2026-23980</t>
        </is>
      </c>
      <c r="X1167" t="inlineStr">
        <is>
          <t>NONE</t>
        </is>
      </c>
      <c r="Y1167" t="n">
        <v>0</v>
      </c>
      <c r="Z1167" t="inlineStr"/>
      <c r="AA1167" t="inlineStr">
        <is>
          <t>https://nvd.nist.gov/vuln/detail/CVE-2026-23980</t>
        </is>
      </c>
    </row>
    <row r="1168">
      <c r="A1168" t="inlineStr">
        <is>
          <t>CVE</t>
        </is>
      </c>
      <c r="B1168" t="inlineStr">
        <is>
          <t>CVE-2026-23982</t>
        </is>
      </c>
      <c r="C1168" t="inlineStr">
        <is>
          <t>An Improper Authorization vulnerability exists in Apache Superset that allows a low-privileged user to bypass data access controls. When creating a dataset, Superset enforces permission checks to prevent users from querying unauthorized data. However, an authenticated attacker with permissions to write datasets and read charts can bypass these checks by overwriting the SQL query of an existing dataset.
This issue affects Apache Superset: before 6.0.0.
Users are recommended to upgrade to versio</t>
        </is>
      </c>
      <c r="D1168" t="n">
        <v>6.5</v>
      </c>
      <c r="E1168" t="inlineStr">
        <is>
          <t>MEDIUM</t>
        </is>
      </c>
      <c r="F1168" t="n">
        <v>2</v>
      </c>
      <c r="G1168" t="n">
        <v>2</v>
      </c>
      <c r="H1168" t="inlineStr">
        <is>
          <t>MEDIUM</t>
        </is>
      </c>
      <c r="I1168" t="n">
        <v>10.5</v>
      </c>
      <c r="J1168" t="inlineStr">
        <is>
          <t>NO</t>
        </is>
      </c>
      <c r="K1168" t="inlineStr">
        <is>
          <t>2026-02-26 00:15</t>
        </is>
      </c>
      <c r="L1168" t="inlineStr">
        <is>
          <t>YES</t>
        </is>
      </c>
      <c r="M1168" t="inlineStr">
        <is>
          <t>apache superset *</t>
        </is>
      </c>
      <c r="N1168" t="inlineStr">
        <is>
          <t>P4</t>
        </is>
      </c>
      <c r="O1168" t="inlineStr">
        <is>
          <t>CVE - IP enrichment n/a</t>
        </is>
      </c>
      <c r="P1168" t="n">
        <v>0.0003</v>
      </c>
      <c r="Q1168" t="n">
        <v>0.0887</v>
      </c>
      <c r="R1168" t="inlineStr">
        <is>
          <t>T1190:Exploit Public-Facing Application</t>
        </is>
      </c>
      <c r="S1168" t="n">
        <v>1</v>
      </c>
      <c r="T1168" t="inlineStr">
        <is>
          <t>LOW (40%)</t>
        </is>
      </c>
      <c r="U1168" t="inlineStr">
        <is>
          <t>UNLIKELY</t>
        </is>
      </c>
      <c r="V1168" t="inlineStr">
        <is>
          <t>PATCH_AVAILABLE</t>
        </is>
      </c>
      <c r="W1168" t="inlineStr">
        <is>
          <t>https://nvd.nist.gov/vuln/detail/CVE-2026-23982</t>
        </is>
      </c>
      <c r="X1168" t="inlineStr">
        <is>
          <t>NONE</t>
        </is>
      </c>
      <c r="Y1168" t="n">
        <v>0</v>
      </c>
      <c r="Z1168" t="inlineStr"/>
      <c r="AA1168" t="inlineStr">
        <is>
          <t>https://nvd.nist.gov/vuln/detail/CVE-2026-23982</t>
        </is>
      </c>
    </row>
    <row r="1169">
      <c r="A1169" t="inlineStr">
        <is>
          <t>CVE</t>
        </is>
      </c>
      <c r="B1169" t="inlineStr">
        <is>
          <t>CVE-2026-23983</t>
        </is>
      </c>
      <c r="C1169" t="inlineStr">
        <is>
          <t>A Sensitive Data Exposure vulnerability exists in Apache Superset allowing authenticated users to retrieve sensitive user information. The Tag endpoint (disabled by default) allows users to retrieve a list of objects associated with a specific tag.
When these associated objects include Users, the API response improperly serializes and returns sensitive fields, including password hashes (pbkdf2), email addresses, and login statistics. This vulnerability allows authenticated users with low privile</t>
        </is>
      </c>
      <c r="D1169" t="n">
        <v>6.5</v>
      </c>
      <c r="E1169" t="inlineStr">
        <is>
          <t>MEDIUM</t>
        </is>
      </c>
      <c r="F1169" t="n">
        <v>2</v>
      </c>
      <c r="G1169" t="n">
        <v>2</v>
      </c>
      <c r="H1169" t="inlineStr">
        <is>
          <t>MEDIUM</t>
        </is>
      </c>
      <c r="I1169" t="n">
        <v>10.5</v>
      </c>
      <c r="J1169" t="inlineStr">
        <is>
          <t>NO</t>
        </is>
      </c>
      <c r="K1169" t="inlineStr">
        <is>
          <t>2026-02-26 00:15</t>
        </is>
      </c>
      <c r="L1169" t="inlineStr">
        <is>
          <t>YES</t>
        </is>
      </c>
      <c r="M1169" t="inlineStr">
        <is>
          <t>apache superset *</t>
        </is>
      </c>
      <c r="N1169" t="inlineStr">
        <is>
          <t>P4</t>
        </is>
      </c>
      <c r="O1169" t="inlineStr">
        <is>
          <t>CVE - IP enrichment n/a</t>
        </is>
      </c>
      <c r="P1169" t="n">
        <v>0.0005999999999999999</v>
      </c>
      <c r="Q1169" t="n">
        <v>0.1915</v>
      </c>
      <c r="R1169" t="inlineStr">
        <is>
          <t>T1213:Data from Information Repositories</t>
        </is>
      </c>
      <c r="S1169" t="n">
        <v>1</v>
      </c>
      <c r="T1169" t="inlineStr">
        <is>
          <t>LOW (40%)</t>
        </is>
      </c>
      <c r="U1169" t="inlineStr">
        <is>
          <t>UNLIKELY</t>
        </is>
      </c>
      <c r="V1169" t="inlineStr">
        <is>
          <t>PATCH_AVAILABLE</t>
        </is>
      </c>
      <c r="W1169" t="inlineStr">
        <is>
          <t>https://nvd.nist.gov/vuln/detail/CVE-2026-23983</t>
        </is>
      </c>
      <c r="X1169" t="inlineStr">
        <is>
          <t>NONE</t>
        </is>
      </c>
      <c r="Y1169" t="n">
        <v>0</v>
      </c>
      <c r="Z1169" t="inlineStr"/>
      <c r="AA1169" t="inlineStr">
        <is>
          <t>https://nvd.nist.gov/vuln/detail/CVE-2026-23983</t>
        </is>
      </c>
    </row>
    <row r="1170">
      <c r="A1170" t="inlineStr">
        <is>
          <t>CVE</t>
        </is>
      </c>
      <c r="B1170" t="inlineStr">
        <is>
          <t>CVE-2026-23984</t>
        </is>
      </c>
      <c r="C1170" t="inlineStr">
        <is>
          <t>An Improper Input Validation vulnerability exists in Apache Superset that allows an authenticated user with SQLLab access to bypass the read-only verification check when using a PostgreSQL database connection.
While the system effectively blocks standard Data Manipulation Language (DML) statements (e.g., INSERT, UPDATE, DELETE) on read-only connections, it fails to detect them in specially crafted SQL statements.
This issue affects Apache Superset: before 6.0.0.
Users are recommended to upgrad</t>
        </is>
      </c>
      <c r="D1170" t="n">
        <v>5</v>
      </c>
      <c r="E1170" t="inlineStr">
        <is>
          <t>MEDIUM</t>
        </is>
      </c>
      <c r="F1170" t="n">
        <v>2</v>
      </c>
      <c r="G1170" t="n">
        <v>2</v>
      </c>
      <c r="H1170" t="inlineStr">
        <is>
          <t>MEDIUM</t>
        </is>
      </c>
      <c r="I1170" t="n">
        <v>9</v>
      </c>
      <c r="J1170" t="inlineStr">
        <is>
          <t>NO</t>
        </is>
      </c>
      <c r="K1170" t="inlineStr">
        <is>
          <t>2026-02-26 00:15</t>
        </is>
      </c>
      <c r="L1170" t="inlineStr">
        <is>
          <t>CHECK_VENDOR</t>
        </is>
      </c>
      <c r="M1170" t="inlineStr">
        <is>
          <t>See CVE details</t>
        </is>
      </c>
      <c r="N1170" t="inlineStr">
        <is>
          <t>P4</t>
        </is>
      </c>
      <c r="O1170" t="inlineStr">
        <is>
          <t>CVE - IP enrichment n/a</t>
        </is>
      </c>
      <c r="P1170" t="n">
        <v>0</v>
      </c>
      <c r="Q1170" t="n">
        <v>0</v>
      </c>
      <c r="R1170" t="inlineStr">
        <is>
          <t>T1190:Exploit Public-Facing Application</t>
        </is>
      </c>
      <c r="S1170" t="n">
        <v>1</v>
      </c>
      <c r="T1170" t="inlineStr">
        <is>
          <t>LOW (40%)</t>
        </is>
      </c>
      <c r="U1170" t="inlineStr">
        <is>
          <t>UNLIKELY</t>
        </is>
      </c>
      <c r="V1170" t="inlineStr">
        <is>
          <t>CHECK_VENDOR</t>
        </is>
      </c>
      <c r="W1170" t="inlineStr">
        <is>
          <t>https://nvd.nist.gov/vuln/detail/CVE-2026-23984</t>
        </is>
      </c>
      <c r="X1170" t="inlineStr">
        <is>
          <t>NONE</t>
        </is>
      </c>
      <c r="Y1170" t="n">
        <v>0</v>
      </c>
      <c r="Z1170" t="inlineStr"/>
      <c r="AA1170" t="inlineStr">
        <is>
          <t>https://nvd.nist.gov/vuln/detail/CVE-2026-23984</t>
        </is>
      </c>
    </row>
    <row r="1171">
      <c r="A1171" t="inlineStr">
        <is>
          <t>CVE</t>
        </is>
      </c>
      <c r="B1171" t="inlineStr">
        <is>
          <t>CVE-2026-2459</t>
        </is>
      </c>
      <c r="C1171" t="inlineStr">
        <is>
          <t>A vulnerability exists in REB500 for an authenticated user with Installer role to access and alter the contents of directories that the role is not authorized to do so.</t>
        </is>
      </c>
      <c r="D1171" t="n">
        <v>5</v>
      </c>
      <c r="E1171" t="inlineStr">
        <is>
          <t>MEDIUM</t>
        </is>
      </c>
      <c r="F1171" t="n">
        <v>2</v>
      </c>
      <c r="G1171" t="n">
        <v>2</v>
      </c>
      <c r="H1171" t="inlineStr">
        <is>
          <t>MEDIUM</t>
        </is>
      </c>
      <c r="I1171" t="n">
        <v>9</v>
      </c>
      <c r="J1171" t="inlineStr">
        <is>
          <t>NO</t>
        </is>
      </c>
      <c r="K1171" t="inlineStr">
        <is>
          <t>2026-02-26 00:15</t>
        </is>
      </c>
      <c r="L1171" t="inlineStr">
        <is>
          <t>CHECK_VENDOR</t>
        </is>
      </c>
      <c r="M1171" t="inlineStr">
        <is>
          <t>See CVE details</t>
        </is>
      </c>
      <c r="N1171" t="inlineStr">
        <is>
          <t>P4</t>
        </is>
      </c>
      <c r="O1171" t="inlineStr">
        <is>
          <t>CVE - IP enrichment n/a</t>
        </is>
      </c>
      <c r="P1171" t="n">
        <v>0</v>
      </c>
      <c r="Q1171" t="n">
        <v>0</v>
      </c>
      <c r="R1171" t="inlineStr">
        <is>
          <t>T1190:Exploit Public-Facing Application</t>
        </is>
      </c>
      <c r="S1171" t="n">
        <v>1</v>
      </c>
      <c r="T1171" t="inlineStr">
        <is>
          <t>LOW (40%)</t>
        </is>
      </c>
      <c r="U1171" t="inlineStr">
        <is>
          <t>UNLIKELY</t>
        </is>
      </c>
      <c r="V1171" t="inlineStr">
        <is>
          <t>CHECK_VENDOR</t>
        </is>
      </c>
      <c r="W1171" t="inlineStr">
        <is>
          <t>https://nvd.nist.gov/vuln/detail/CVE-2026-2459</t>
        </is>
      </c>
      <c r="X1171" t="inlineStr">
        <is>
          <t>NONE</t>
        </is>
      </c>
      <c r="Y1171" t="n">
        <v>0</v>
      </c>
      <c r="Z1171" t="inlineStr"/>
      <c r="AA1171" t="inlineStr">
        <is>
          <t>https://nvd.nist.gov/vuln/detail/CVE-2026-2459</t>
        </is>
      </c>
    </row>
    <row r="1172">
      <c r="A1172" t="inlineStr">
        <is>
          <t>CVE</t>
        </is>
      </c>
      <c r="B1172" t="inlineStr">
        <is>
          <t>CVE-2026-2460</t>
        </is>
      </c>
      <c r="C1172" t="inlineStr">
        <is>
          <t>A vulnerability exists in REB500 for an authenticated user with low-level privileges to access and alter the content of directories by using the DAC protocol that the user is not authorized to do so.</t>
        </is>
      </c>
      <c r="D1172" t="n">
        <v>5</v>
      </c>
      <c r="E1172" t="inlineStr">
        <is>
          <t>MEDIUM</t>
        </is>
      </c>
      <c r="F1172" t="n">
        <v>2</v>
      </c>
      <c r="G1172" t="n">
        <v>2</v>
      </c>
      <c r="H1172" t="inlineStr">
        <is>
          <t>MEDIUM</t>
        </is>
      </c>
      <c r="I1172" t="n">
        <v>9</v>
      </c>
      <c r="J1172" t="inlineStr">
        <is>
          <t>NO</t>
        </is>
      </c>
      <c r="K1172" t="inlineStr">
        <is>
          <t>2026-02-26 00:15</t>
        </is>
      </c>
      <c r="L1172" t="inlineStr">
        <is>
          <t>CHECK_VENDOR</t>
        </is>
      </c>
      <c r="M1172" t="inlineStr">
        <is>
          <t>See CVE details</t>
        </is>
      </c>
      <c r="N1172" t="inlineStr">
        <is>
          <t>P4</t>
        </is>
      </c>
      <c r="O1172" t="inlineStr">
        <is>
          <t>CVE - IP enrichment n/a</t>
        </is>
      </c>
      <c r="P1172" t="n">
        <v>0</v>
      </c>
      <c r="Q1172" t="n">
        <v>0</v>
      </c>
      <c r="R1172" t="inlineStr">
        <is>
          <t>T1190:Exploit Public-Facing Application</t>
        </is>
      </c>
      <c r="S1172" t="n">
        <v>1</v>
      </c>
      <c r="T1172" t="inlineStr">
        <is>
          <t>LOW (40%)</t>
        </is>
      </c>
      <c r="U1172" t="inlineStr">
        <is>
          <t>UNLIKELY</t>
        </is>
      </c>
      <c r="V1172" t="inlineStr">
        <is>
          <t>CHECK_VENDOR</t>
        </is>
      </c>
      <c r="W1172" t="inlineStr">
        <is>
          <t>https://nvd.nist.gov/vuln/detail/CVE-2026-2460</t>
        </is>
      </c>
      <c r="X1172" t="inlineStr">
        <is>
          <t>NONE</t>
        </is>
      </c>
      <c r="Y1172" t="n">
        <v>0</v>
      </c>
      <c r="Z1172" t="inlineStr"/>
      <c r="AA1172" t="inlineStr">
        <is>
          <t>https://nvd.nist.gov/vuln/detail/CVE-2026-2460</t>
        </is>
      </c>
    </row>
    <row r="1173">
      <c r="A1173" t="inlineStr">
        <is>
          <t>CVE</t>
        </is>
      </c>
      <c r="B1173" t="inlineStr">
        <is>
          <t>CVE-2026-2634</t>
        </is>
      </c>
      <c r="C1173" t="inlineStr">
        <is>
          <t>Malicious scripts could cause desynchronization between the address bar and web content before a response is received in Firefox iOS, allowing attacker-controlled pages to be presented under spoofed domains. This vulnerability affects Firefox for iOS &lt; 147.4.</t>
        </is>
      </c>
      <c r="D1173" t="n">
        <v>9.800000000000001</v>
      </c>
      <c r="E1173" t="inlineStr">
        <is>
          <t>CRITICAL</t>
        </is>
      </c>
      <c r="F1173" t="n">
        <v>2</v>
      </c>
      <c r="G1173" t="n">
        <v>3</v>
      </c>
      <c r="H1173" t="inlineStr">
        <is>
          <t>HIGH</t>
        </is>
      </c>
      <c r="I1173" t="n">
        <v>15.8</v>
      </c>
      <c r="J1173" t="inlineStr">
        <is>
          <t>NO</t>
        </is>
      </c>
      <c r="K1173" t="inlineStr">
        <is>
          <t>2026-02-26 00:15</t>
        </is>
      </c>
      <c r="L1173" t="inlineStr">
        <is>
          <t>YES</t>
        </is>
      </c>
      <c r="M1173" t="inlineStr">
        <is>
          <t>mozilla firefox *</t>
        </is>
      </c>
      <c r="N1173" t="inlineStr">
        <is>
          <t>P3</t>
        </is>
      </c>
      <c r="O1173" t="inlineStr">
        <is>
          <t>CVE - IP enrichment n/a</t>
        </is>
      </c>
      <c r="P1173" t="n">
        <v>0</v>
      </c>
      <c r="Q1173" t="n">
        <v>0</v>
      </c>
      <c r="R1173" t="inlineStr">
        <is>
          <t>T1190:Exploit Public-Facing Application</t>
        </is>
      </c>
      <c r="S1173" t="n">
        <v>1</v>
      </c>
      <c r="T1173" t="inlineStr">
        <is>
          <t>LOW (40%)</t>
        </is>
      </c>
      <c r="U1173" t="inlineStr">
        <is>
          <t>UNLIKELY</t>
        </is>
      </c>
      <c r="V1173" t="inlineStr">
        <is>
          <t>PATCH_AVAILABLE</t>
        </is>
      </c>
      <c r="W1173" t="inlineStr">
        <is>
          <t>https://nvd.nist.gov/vuln/detail/CVE-2026-2634</t>
        </is>
      </c>
      <c r="X1173" t="inlineStr">
        <is>
          <t>NONE</t>
        </is>
      </c>
      <c r="Y1173" t="n">
        <v>0</v>
      </c>
      <c r="Z1173" t="inlineStr"/>
      <c r="AA1173" t="inlineStr">
        <is>
          <t>https://nvd.nist.gov/vuln/detail/CVE-2026-2634</t>
        </is>
      </c>
    </row>
    <row r="1174">
      <c r="A1174" t="inlineStr">
        <is>
          <t>CVE</t>
        </is>
      </c>
      <c r="B1174" t="inlineStr">
        <is>
          <t>CVE-2026-2757</t>
        </is>
      </c>
      <c r="C1174" t="inlineStr">
        <is>
          <t>Incorrect boundary conditions in the WebRTC: Audio/Video component. This vulnerability affects Firefox &lt; 148, Firefox ESR &lt; 115.33, Firefox ESR &lt; 140.8, Thunderbird &lt; 148, and Thunderbird &lt; 140.8.</t>
        </is>
      </c>
      <c r="D1174" t="n">
        <v>9.800000000000001</v>
      </c>
      <c r="E1174" t="inlineStr">
        <is>
          <t>CRITICAL</t>
        </is>
      </c>
      <c r="F1174" t="n">
        <v>2</v>
      </c>
      <c r="G1174" t="n">
        <v>3</v>
      </c>
      <c r="H1174" t="inlineStr">
        <is>
          <t>HIGH</t>
        </is>
      </c>
      <c r="I1174" t="n">
        <v>15.8</v>
      </c>
      <c r="J1174" t="inlineStr">
        <is>
          <t>NO</t>
        </is>
      </c>
      <c r="K1174" t="inlineStr">
        <is>
          <t>2026-02-26 00:15</t>
        </is>
      </c>
      <c r="L1174" t="inlineStr">
        <is>
          <t>YES</t>
        </is>
      </c>
      <c r="M1174" t="inlineStr">
        <is>
          <t>mozilla firefox *</t>
        </is>
      </c>
      <c r="N1174" t="inlineStr">
        <is>
          <t>P3</t>
        </is>
      </c>
      <c r="O1174" t="inlineStr">
        <is>
          <t>CVE - IP enrichment n/a</t>
        </is>
      </c>
      <c r="P1174" t="n">
        <v>0</v>
      </c>
      <c r="Q1174" t="n">
        <v>0</v>
      </c>
      <c r="R1174" t="inlineStr">
        <is>
          <t>T1190:Exploit Public-Facing Application</t>
        </is>
      </c>
      <c r="S1174" t="n">
        <v>1</v>
      </c>
      <c r="T1174" t="inlineStr">
        <is>
          <t>LOW (40%)</t>
        </is>
      </c>
      <c r="U1174" t="inlineStr">
        <is>
          <t>UNLIKELY</t>
        </is>
      </c>
      <c r="V1174" t="inlineStr">
        <is>
          <t>PATCH_AVAILABLE</t>
        </is>
      </c>
      <c r="W1174" t="inlineStr">
        <is>
          <t>https://nvd.nist.gov/vuln/detail/CVE-2026-2757</t>
        </is>
      </c>
      <c r="X1174" t="inlineStr">
        <is>
          <t>NONE</t>
        </is>
      </c>
      <c r="Y1174" t="n">
        <v>0</v>
      </c>
      <c r="Z1174" t="inlineStr"/>
      <c r="AA1174" t="inlineStr">
        <is>
          <t>https://nvd.nist.gov/vuln/detail/CVE-2026-2757</t>
        </is>
      </c>
    </row>
    <row r="1175">
      <c r="A1175" t="inlineStr">
        <is>
          <t>CVE</t>
        </is>
      </c>
      <c r="B1175" t="inlineStr">
        <is>
          <t>CVE-2026-2758</t>
        </is>
      </c>
      <c r="C1175" t="inlineStr">
        <is>
          <t>Use-after-free in the JavaScript: GC component. This vulnerability affects Firefox &lt; 148, Firefox ESR &lt; 115.33, Firefox ESR &lt; 140.8, Thunderbird &lt; 148, and Thunderbird &lt; 140.8.</t>
        </is>
      </c>
      <c r="D1175" t="n">
        <v>9.800000000000001</v>
      </c>
      <c r="E1175" t="inlineStr">
        <is>
          <t>CRITICAL</t>
        </is>
      </c>
      <c r="F1175" t="n">
        <v>2</v>
      </c>
      <c r="G1175" t="n">
        <v>3</v>
      </c>
      <c r="H1175" t="inlineStr">
        <is>
          <t>HIGH</t>
        </is>
      </c>
      <c r="I1175" t="n">
        <v>15.8</v>
      </c>
      <c r="J1175" t="inlineStr">
        <is>
          <t>NO</t>
        </is>
      </c>
      <c r="K1175" t="inlineStr">
        <is>
          <t>2026-02-26 00:15</t>
        </is>
      </c>
      <c r="L1175" t="inlineStr">
        <is>
          <t>YES</t>
        </is>
      </c>
      <c r="M1175" t="inlineStr">
        <is>
          <t>mozilla firefox *</t>
        </is>
      </c>
      <c r="N1175" t="inlineStr">
        <is>
          <t>P3</t>
        </is>
      </c>
      <c r="O1175" t="inlineStr">
        <is>
          <t>CVE - IP enrichment n/a</t>
        </is>
      </c>
      <c r="P1175" t="n">
        <v>0</v>
      </c>
      <c r="Q1175" t="n">
        <v>0</v>
      </c>
      <c r="R1175" t="inlineStr">
        <is>
          <t>T1203:Exploitation for Client Execution</t>
        </is>
      </c>
      <c r="S1175" t="n">
        <v>1</v>
      </c>
      <c r="T1175" t="inlineStr">
        <is>
          <t>LOW (40%)</t>
        </is>
      </c>
      <c r="U1175" t="inlineStr">
        <is>
          <t>UNLIKELY</t>
        </is>
      </c>
      <c r="V1175" t="inlineStr">
        <is>
          <t>PATCH_AVAILABLE</t>
        </is>
      </c>
      <c r="W1175" t="inlineStr">
        <is>
          <t>https://nvd.nist.gov/vuln/detail/CVE-2026-2758</t>
        </is>
      </c>
      <c r="X1175" t="inlineStr">
        <is>
          <t>NONE</t>
        </is>
      </c>
      <c r="Y1175" t="n">
        <v>0</v>
      </c>
      <c r="Z1175" t="inlineStr"/>
      <c r="AA1175" t="inlineStr">
        <is>
          <t>https://nvd.nist.gov/vuln/detail/CVE-2026-2758</t>
        </is>
      </c>
    </row>
    <row r="1176">
      <c r="A1176" t="inlineStr">
        <is>
          <t>CVE</t>
        </is>
      </c>
      <c r="B1176" t="inlineStr">
        <is>
          <t>CVE-2026-2759</t>
        </is>
      </c>
      <c r="C1176" t="inlineStr">
        <is>
          <t>Incorrect boundary conditions in the Graphics: ImageLib component. This vulnerability affects Firefox &lt; 148, Firefox ESR &lt; 115.33, Firefox ESR &lt; 140.8, Thunderbird &lt; 148, and Thunderbird &lt; 140.8.</t>
        </is>
      </c>
      <c r="D1176" t="n">
        <v>9.800000000000001</v>
      </c>
      <c r="E1176" t="inlineStr">
        <is>
          <t>CRITICAL</t>
        </is>
      </c>
      <c r="F1176" t="n">
        <v>2</v>
      </c>
      <c r="G1176" t="n">
        <v>3</v>
      </c>
      <c r="H1176" t="inlineStr">
        <is>
          <t>HIGH</t>
        </is>
      </c>
      <c r="I1176" t="n">
        <v>15.8</v>
      </c>
      <c r="J1176" t="inlineStr">
        <is>
          <t>NO</t>
        </is>
      </c>
      <c r="K1176" t="inlineStr">
        <is>
          <t>2026-02-26 00:15</t>
        </is>
      </c>
      <c r="L1176" t="inlineStr">
        <is>
          <t>YES</t>
        </is>
      </c>
      <c r="M1176" t="inlineStr">
        <is>
          <t>mozilla firefox *</t>
        </is>
      </c>
      <c r="N1176" t="inlineStr">
        <is>
          <t>P3</t>
        </is>
      </c>
      <c r="O1176" t="inlineStr">
        <is>
          <t>CVE - IP enrichment n/a</t>
        </is>
      </c>
      <c r="P1176" t="n">
        <v>0</v>
      </c>
      <c r="Q1176" t="n">
        <v>0</v>
      </c>
      <c r="R1176" t="inlineStr">
        <is>
          <t>T1190:Exploit Public-Facing Application</t>
        </is>
      </c>
      <c r="S1176" t="n">
        <v>1</v>
      </c>
      <c r="T1176" t="inlineStr">
        <is>
          <t>LOW (40%)</t>
        </is>
      </c>
      <c r="U1176" t="inlineStr">
        <is>
          <t>UNLIKELY</t>
        </is>
      </c>
      <c r="V1176" t="inlineStr">
        <is>
          <t>PATCH_AVAILABLE</t>
        </is>
      </c>
      <c r="W1176" t="inlineStr">
        <is>
          <t>https://nvd.nist.gov/vuln/detail/CVE-2026-2759</t>
        </is>
      </c>
      <c r="X1176" t="inlineStr">
        <is>
          <t>NONE</t>
        </is>
      </c>
      <c r="Y1176" t="n">
        <v>0</v>
      </c>
      <c r="Z1176" t="inlineStr"/>
      <c r="AA1176" t="inlineStr">
        <is>
          <t>https://nvd.nist.gov/vuln/detail/CVE-2026-2759</t>
        </is>
      </c>
    </row>
    <row r="1177">
      <c r="A1177" t="inlineStr">
        <is>
          <t>CVE</t>
        </is>
      </c>
      <c r="B1177" t="inlineStr">
        <is>
          <t>CVE-2026-2760</t>
        </is>
      </c>
      <c r="C1177" t="inlineStr">
        <is>
          <t>Sandbox escape due to incorrect boundary conditions in the Graphics: WebRender component. This vulnerability affects Firefox &lt; 148, Firefox ESR &lt; 115.33, Firefox ESR &lt; 140.8, Thunderbird &lt; 148, and Thunderbird &lt; 140.8.</t>
        </is>
      </c>
      <c r="D1177" t="n">
        <v>10</v>
      </c>
      <c r="E1177" t="inlineStr">
        <is>
          <t>CRITICAL</t>
        </is>
      </c>
      <c r="F1177" t="n">
        <v>2</v>
      </c>
      <c r="G1177" t="n">
        <v>3</v>
      </c>
      <c r="H1177" t="inlineStr">
        <is>
          <t>HIGH</t>
        </is>
      </c>
      <c r="I1177" t="n">
        <v>16</v>
      </c>
      <c r="J1177" t="inlineStr">
        <is>
          <t>NO</t>
        </is>
      </c>
      <c r="K1177" t="inlineStr">
        <is>
          <t>2026-02-26 00:15</t>
        </is>
      </c>
      <c r="L1177" t="inlineStr">
        <is>
          <t>YES</t>
        </is>
      </c>
      <c r="M1177" t="inlineStr">
        <is>
          <t>mozilla firefox *</t>
        </is>
      </c>
      <c r="N1177" t="inlineStr">
        <is>
          <t>P3</t>
        </is>
      </c>
      <c r="O1177" t="inlineStr">
        <is>
          <t>CVE - IP enrichment n/a</t>
        </is>
      </c>
      <c r="P1177" t="n">
        <v>0</v>
      </c>
      <c r="Q1177" t="n">
        <v>0</v>
      </c>
      <c r="R1177" t="inlineStr">
        <is>
          <t>T1190:Exploit Public-Facing Application</t>
        </is>
      </c>
      <c r="S1177" t="n">
        <v>1</v>
      </c>
      <c r="T1177" t="inlineStr">
        <is>
          <t>LOW (40%)</t>
        </is>
      </c>
      <c r="U1177" t="inlineStr">
        <is>
          <t>UNLIKELY</t>
        </is>
      </c>
      <c r="V1177" t="inlineStr">
        <is>
          <t>PATCH_AVAILABLE</t>
        </is>
      </c>
      <c r="W1177" t="inlineStr">
        <is>
          <t>https://nvd.nist.gov/vuln/detail/CVE-2026-2760</t>
        </is>
      </c>
      <c r="X1177" t="inlineStr">
        <is>
          <t>NONE</t>
        </is>
      </c>
      <c r="Y1177" t="n">
        <v>0</v>
      </c>
      <c r="Z1177" t="inlineStr"/>
      <c r="AA1177" t="inlineStr">
        <is>
          <t>https://nvd.nist.gov/vuln/detail/CVE-2026-2760</t>
        </is>
      </c>
    </row>
    <row r="1178">
      <c r="A1178" t="inlineStr">
        <is>
          <t>CVE</t>
        </is>
      </c>
      <c r="B1178" t="inlineStr">
        <is>
          <t>CVE-2026-2761</t>
        </is>
      </c>
      <c r="C1178" t="inlineStr">
        <is>
          <t>Sandbox escape in the Graphics: WebRender component. This vulnerability affects Firefox &lt; 148, Firefox ESR &lt; 115.33, Firefox ESR &lt; 140.8, Thunderbird &lt; 148, and Thunderbird &lt; 140.8.</t>
        </is>
      </c>
      <c r="D1178" t="n">
        <v>10</v>
      </c>
      <c r="E1178" t="inlineStr">
        <is>
          <t>CRITICAL</t>
        </is>
      </c>
      <c r="F1178" t="n">
        <v>2</v>
      </c>
      <c r="G1178" t="n">
        <v>3</v>
      </c>
      <c r="H1178" t="inlineStr">
        <is>
          <t>HIGH</t>
        </is>
      </c>
      <c r="I1178" t="n">
        <v>16</v>
      </c>
      <c r="J1178" t="inlineStr">
        <is>
          <t>NO</t>
        </is>
      </c>
      <c r="K1178" t="inlineStr">
        <is>
          <t>2026-02-26 00:15</t>
        </is>
      </c>
      <c r="L1178" t="inlineStr">
        <is>
          <t>YES</t>
        </is>
      </c>
      <c r="M1178" t="inlineStr">
        <is>
          <t>mozilla firefox *</t>
        </is>
      </c>
      <c r="N1178" t="inlineStr">
        <is>
          <t>P3</t>
        </is>
      </c>
      <c r="O1178" t="inlineStr">
        <is>
          <t>CVE - IP enrichment n/a</t>
        </is>
      </c>
      <c r="P1178" t="n">
        <v>0</v>
      </c>
      <c r="Q1178" t="n">
        <v>0</v>
      </c>
      <c r="R1178" t="inlineStr">
        <is>
          <t>T1190:Exploit Public-Facing Application</t>
        </is>
      </c>
      <c r="S1178" t="n">
        <v>1</v>
      </c>
      <c r="T1178" t="inlineStr">
        <is>
          <t>LOW (40%)</t>
        </is>
      </c>
      <c r="U1178" t="inlineStr">
        <is>
          <t>UNLIKELY</t>
        </is>
      </c>
      <c r="V1178" t="inlineStr">
        <is>
          <t>PATCH_AVAILABLE</t>
        </is>
      </c>
      <c r="W1178" t="inlineStr">
        <is>
          <t>https://nvd.nist.gov/vuln/detail/CVE-2026-2761</t>
        </is>
      </c>
      <c r="X1178" t="inlineStr">
        <is>
          <t>NONE</t>
        </is>
      </c>
      <c r="Y1178" t="n">
        <v>0</v>
      </c>
      <c r="Z1178" t="inlineStr"/>
      <c r="AA1178" t="inlineStr">
        <is>
          <t>https://nvd.nist.gov/vuln/detail/CVE-2026-2761</t>
        </is>
      </c>
    </row>
    <row r="1179">
      <c r="A1179" t="inlineStr">
        <is>
          <t>CVE</t>
        </is>
      </c>
      <c r="B1179" t="inlineStr">
        <is>
          <t>CVE-2026-2762</t>
        </is>
      </c>
      <c r="C1179" t="inlineStr">
        <is>
          <t>Integer overflow in the JavaScript: Standard Library component. This vulnerability affects Firefox &lt; 148, Firefox ESR &lt; 140.8, Thunderbird &lt; 148, and Thunderbird &lt; 140.8.</t>
        </is>
      </c>
      <c r="D1179" t="n">
        <v>9.800000000000001</v>
      </c>
      <c r="E1179" t="inlineStr">
        <is>
          <t>CRITICAL</t>
        </is>
      </c>
      <c r="F1179" t="n">
        <v>2</v>
      </c>
      <c r="G1179" t="n">
        <v>3</v>
      </c>
      <c r="H1179" t="inlineStr">
        <is>
          <t>HIGH</t>
        </is>
      </c>
      <c r="I1179" t="n">
        <v>15.8</v>
      </c>
      <c r="J1179" t="inlineStr">
        <is>
          <t>NO</t>
        </is>
      </c>
      <c r="K1179" t="inlineStr">
        <is>
          <t>2026-02-26 00:15</t>
        </is>
      </c>
      <c r="L1179" t="inlineStr">
        <is>
          <t>YES</t>
        </is>
      </c>
      <c r="M1179" t="inlineStr">
        <is>
          <t>mozilla firefox * | mozilla thunderbird *</t>
        </is>
      </c>
      <c r="N1179" t="inlineStr">
        <is>
          <t>P3</t>
        </is>
      </c>
      <c r="O1179" t="inlineStr">
        <is>
          <t>CVE - IP enrichment n/a</t>
        </is>
      </c>
      <c r="P1179" t="n">
        <v>0.0002</v>
      </c>
      <c r="Q1179" t="n">
        <v>0.0426</v>
      </c>
      <c r="R1179" t="inlineStr">
        <is>
          <t>T1190:Exploit Public-Facing Application | T1203:Exploitation for Client Execution</t>
        </is>
      </c>
      <c r="S1179" t="n">
        <v>1</v>
      </c>
      <c r="T1179" t="inlineStr">
        <is>
          <t>LOW (40%)</t>
        </is>
      </c>
      <c r="U1179" t="inlineStr">
        <is>
          <t>UNLIKELY</t>
        </is>
      </c>
      <c r="V1179" t="inlineStr">
        <is>
          <t>PATCH_AVAILABLE</t>
        </is>
      </c>
      <c r="W1179" t="inlineStr">
        <is>
          <t>https://nvd.nist.gov/vuln/detail/CVE-2026-2762</t>
        </is>
      </c>
      <c r="X1179" t="inlineStr">
        <is>
          <t>NONE</t>
        </is>
      </c>
      <c r="Y1179" t="n">
        <v>0</v>
      </c>
      <c r="Z1179" t="inlineStr"/>
      <c r="AA1179" t="inlineStr">
        <is>
          <t>https://nvd.nist.gov/vuln/detail/CVE-2026-2762</t>
        </is>
      </c>
    </row>
    <row r="1180">
      <c r="A1180" t="inlineStr">
        <is>
          <t>CVE</t>
        </is>
      </c>
      <c r="B1180" t="inlineStr">
        <is>
          <t>CVE-2026-2763</t>
        </is>
      </c>
      <c r="C1180" t="inlineStr">
        <is>
          <t>Use-after-free in the JavaScript Engine component. This vulnerability affects Firefox &lt; 148, Firefox ESR &lt; 115.33, Firefox ESR &lt; 140.8, Thunderbird &lt; 148, and Thunderbird &lt; 140.8.</t>
        </is>
      </c>
      <c r="D1180" t="n">
        <v>9.800000000000001</v>
      </c>
      <c r="E1180" t="inlineStr">
        <is>
          <t>CRITICAL</t>
        </is>
      </c>
      <c r="F1180" t="n">
        <v>2</v>
      </c>
      <c r="G1180" t="n">
        <v>3</v>
      </c>
      <c r="H1180" t="inlineStr">
        <is>
          <t>HIGH</t>
        </is>
      </c>
      <c r="I1180" t="n">
        <v>15.8</v>
      </c>
      <c r="J1180" t="inlineStr">
        <is>
          <t>NO</t>
        </is>
      </c>
      <c r="K1180" t="inlineStr">
        <is>
          <t>2026-02-26 00:15</t>
        </is>
      </c>
      <c r="L1180" t="inlineStr">
        <is>
          <t>YES</t>
        </is>
      </c>
      <c r="M1180" t="inlineStr">
        <is>
          <t>mozilla firefox *</t>
        </is>
      </c>
      <c r="N1180" t="inlineStr">
        <is>
          <t>P3</t>
        </is>
      </c>
      <c r="O1180" t="inlineStr">
        <is>
          <t>CVE - IP enrichment n/a</t>
        </is>
      </c>
      <c r="P1180" t="n">
        <v>0.0002</v>
      </c>
      <c r="Q1180" t="n">
        <v>0.0643</v>
      </c>
      <c r="R1180" t="inlineStr">
        <is>
          <t>T1203:Exploitation for Client Execution</t>
        </is>
      </c>
      <c r="S1180" t="n">
        <v>1</v>
      </c>
      <c r="T1180" t="inlineStr">
        <is>
          <t>LOW (40%)</t>
        </is>
      </c>
      <c r="U1180" t="inlineStr">
        <is>
          <t>UNLIKELY</t>
        </is>
      </c>
      <c r="V1180" t="inlineStr">
        <is>
          <t>PATCH_AVAILABLE</t>
        </is>
      </c>
      <c r="W1180" t="inlineStr">
        <is>
          <t>https://nvd.nist.gov/vuln/detail/CVE-2026-2763</t>
        </is>
      </c>
      <c r="X1180" t="inlineStr">
        <is>
          <t>NONE</t>
        </is>
      </c>
      <c r="Y1180" t="n">
        <v>0</v>
      </c>
      <c r="Z1180" t="inlineStr"/>
      <c r="AA1180" t="inlineStr">
        <is>
          <t>https://nvd.nist.gov/vuln/detail/CVE-2026-2763</t>
        </is>
      </c>
    </row>
    <row r="1181">
      <c r="A1181" t="inlineStr">
        <is>
          <t>CVE</t>
        </is>
      </c>
      <c r="B1181" t="inlineStr">
        <is>
          <t>CVE-2026-2764</t>
        </is>
      </c>
      <c r="C1181" t="inlineStr">
        <is>
          <t>JIT miscompilation, use-after-free in the JavaScript Engine: JIT component. This vulnerability affects Firefox &lt; 148, Firefox ESR &lt; 115.33, Firefox ESR &lt; 140.8, Thunderbird &lt; 148, and Thunderbird &lt; 140.8.</t>
        </is>
      </c>
      <c r="D1181" t="n">
        <v>9.800000000000001</v>
      </c>
      <c r="E1181" t="inlineStr">
        <is>
          <t>CRITICAL</t>
        </is>
      </c>
      <c r="F1181" t="n">
        <v>2</v>
      </c>
      <c r="G1181" t="n">
        <v>3</v>
      </c>
      <c r="H1181" t="inlineStr">
        <is>
          <t>HIGH</t>
        </is>
      </c>
      <c r="I1181" t="n">
        <v>15.8</v>
      </c>
      <c r="J1181" t="inlineStr">
        <is>
          <t>NO</t>
        </is>
      </c>
      <c r="K1181" t="inlineStr">
        <is>
          <t>2026-02-26 00:15</t>
        </is>
      </c>
      <c r="L1181" t="inlineStr">
        <is>
          <t>YES</t>
        </is>
      </c>
      <c r="M1181" t="inlineStr">
        <is>
          <t>mozilla firefox *</t>
        </is>
      </c>
      <c r="N1181" t="inlineStr">
        <is>
          <t>P3</t>
        </is>
      </c>
      <c r="O1181" t="inlineStr">
        <is>
          <t>CVE - IP enrichment n/a</t>
        </is>
      </c>
      <c r="P1181" t="n">
        <v>0.0002</v>
      </c>
      <c r="Q1181" t="n">
        <v>0.0643</v>
      </c>
      <c r="R1181" t="inlineStr">
        <is>
          <t>T1203:Exploitation for Client Execution</t>
        </is>
      </c>
      <c r="S1181" t="n">
        <v>1</v>
      </c>
      <c r="T1181" t="inlineStr">
        <is>
          <t>LOW (40%)</t>
        </is>
      </c>
      <c r="U1181" t="inlineStr">
        <is>
          <t>UNLIKELY</t>
        </is>
      </c>
      <c r="V1181" t="inlineStr">
        <is>
          <t>PATCH_AVAILABLE</t>
        </is>
      </c>
      <c r="W1181" t="inlineStr">
        <is>
          <t>https://nvd.nist.gov/vuln/detail/CVE-2026-2764</t>
        </is>
      </c>
      <c r="X1181" t="inlineStr">
        <is>
          <t>NONE</t>
        </is>
      </c>
      <c r="Y1181" t="n">
        <v>0</v>
      </c>
      <c r="Z1181" t="inlineStr"/>
      <c r="AA1181" t="inlineStr">
        <is>
          <t>https://nvd.nist.gov/vuln/detail/CVE-2026-2764</t>
        </is>
      </c>
    </row>
    <row r="1182">
      <c r="A1182" t="inlineStr">
        <is>
          <t>CVE</t>
        </is>
      </c>
      <c r="B1182" t="inlineStr">
        <is>
          <t>CVE-2026-2765</t>
        </is>
      </c>
      <c r="C1182" t="inlineStr">
        <is>
          <t>Use-after-free in the JavaScript Engine component. This vulnerability affects Firefox &lt; 148, Firefox ESR &lt; 140.8, Thunderbird &lt; 148, and Thunderbird &lt; 140.8.</t>
        </is>
      </c>
      <c r="D1182" t="n">
        <v>9.800000000000001</v>
      </c>
      <c r="E1182" t="inlineStr">
        <is>
          <t>CRITICAL</t>
        </is>
      </c>
      <c r="F1182" t="n">
        <v>2</v>
      </c>
      <c r="G1182" t="n">
        <v>3</v>
      </c>
      <c r="H1182" t="inlineStr">
        <is>
          <t>HIGH</t>
        </is>
      </c>
      <c r="I1182" t="n">
        <v>15.8</v>
      </c>
      <c r="J1182" t="inlineStr">
        <is>
          <t>NO</t>
        </is>
      </c>
      <c r="K1182" t="inlineStr">
        <is>
          <t>2026-02-26 00:15</t>
        </is>
      </c>
      <c r="L1182" t="inlineStr">
        <is>
          <t>YES</t>
        </is>
      </c>
      <c r="M1182" t="inlineStr">
        <is>
          <t>mozilla firefox * | mozilla thunderbird *</t>
        </is>
      </c>
      <c r="N1182" t="inlineStr">
        <is>
          <t>P3</t>
        </is>
      </c>
      <c r="O1182" t="inlineStr">
        <is>
          <t>CVE - IP enrichment n/a</t>
        </is>
      </c>
      <c r="P1182" t="n">
        <v>0.0002</v>
      </c>
      <c r="Q1182" t="n">
        <v>0.0426</v>
      </c>
      <c r="R1182" t="inlineStr">
        <is>
          <t>T1203:Exploitation for Client Execution</t>
        </is>
      </c>
      <c r="S1182" t="n">
        <v>1</v>
      </c>
      <c r="T1182" t="inlineStr">
        <is>
          <t>LOW (40%)</t>
        </is>
      </c>
      <c r="U1182" t="inlineStr">
        <is>
          <t>UNLIKELY</t>
        </is>
      </c>
      <c r="V1182" t="inlineStr">
        <is>
          <t>PATCH_AVAILABLE</t>
        </is>
      </c>
      <c r="W1182" t="inlineStr">
        <is>
          <t>https://nvd.nist.gov/vuln/detail/CVE-2026-2765</t>
        </is>
      </c>
      <c r="X1182" t="inlineStr">
        <is>
          <t>NONE</t>
        </is>
      </c>
      <c r="Y1182" t="n">
        <v>0</v>
      </c>
      <c r="Z1182" t="inlineStr"/>
      <c r="AA1182" t="inlineStr">
        <is>
          <t>https://nvd.nist.gov/vuln/detail/CVE-2026-2765</t>
        </is>
      </c>
    </row>
    <row r="1183">
      <c r="A1183" t="inlineStr">
        <is>
          <t>CVE</t>
        </is>
      </c>
      <c r="B1183" t="inlineStr">
        <is>
          <t>CVE-2026-2766</t>
        </is>
      </c>
      <c r="C1183" t="inlineStr">
        <is>
          <t>Use-after-free in the JavaScript Engine: JIT component. This vulnerability affects Firefox &lt; 148, Firefox ESR &lt; 140.8, Thunderbird &lt; 148, and Thunderbird &lt; 140.8.</t>
        </is>
      </c>
      <c r="D1183" t="n">
        <v>9.800000000000001</v>
      </c>
      <c r="E1183" t="inlineStr">
        <is>
          <t>CRITICAL</t>
        </is>
      </c>
      <c r="F1183" t="n">
        <v>2</v>
      </c>
      <c r="G1183" t="n">
        <v>3</v>
      </c>
      <c r="H1183" t="inlineStr">
        <is>
          <t>HIGH</t>
        </is>
      </c>
      <c r="I1183" t="n">
        <v>15.8</v>
      </c>
      <c r="J1183" t="inlineStr">
        <is>
          <t>NO</t>
        </is>
      </c>
      <c r="K1183" t="inlineStr">
        <is>
          <t>2026-02-26 00:15</t>
        </is>
      </c>
      <c r="L1183" t="inlineStr">
        <is>
          <t>YES</t>
        </is>
      </c>
      <c r="M1183" t="inlineStr">
        <is>
          <t>mozilla firefox * | mozilla thunderbird *</t>
        </is>
      </c>
      <c r="N1183" t="inlineStr">
        <is>
          <t>P3</t>
        </is>
      </c>
      <c r="O1183" t="inlineStr">
        <is>
          <t>CVE - IP enrichment n/a</t>
        </is>
      </c>
      <c r="P1183" t="n">
        <v>0</v>
      </c>
      <c r="Q1183" t="n">
        <v>0</v>
      </c>
      <c r="R1183" t="inlineStr">
        <is>
          <t>T1203:Exploitation for Client Execution</t>
        </is>
      </c>
      <c r="S1183" t="n">
        <v>1</v>
      </c>
      <c r="T1183" t="inlineStr">
        <is>
          <t>LOW (40%)</t>
        </is>
      </c>
      <c r="U1183" t="inlineStr">
        <is>
          <t>UNLIKELY</t>
        </is>
      </c>
      <c r="V1183" t="inlineStr">
        <is>
          <t>PATCH_AVAILABLE</t>
        </is>
      </c>
      <c r="W1183" t="inlineStr">
        <is>
          <t>https://nvd.nist.gov/vuln/detail/CVE-2026-2766</t>
        </is>
      </c>
      <c r="X1183" t="inlineStr">
        <is>
          <t>NONE</t>
        </is>
      </c>
      <c r="Y1183" t="n">
        <v>0</v>
      </c>
      <c r="Z1183" t="inlineStr"/>
      <c r="AA1183" t="inlineStr">
        <is>
          <t>https://nvd.nist.gov/vuln/detail/CVE-2026-2766</t>
        </is>
      </c>
    </row>
    <row r="1184">
      <c r="A1184" t="inlineStr">
        <is>
          <t>CVE</t>
        </is>
      </c>
      <c r="B1184" t="inlineStr">
        <is>
          <t>CVE-2026-2767</t>
        </is>
      </c>
      <c r="C1184" t="inlineStr">
        <is>
          <t>Use-after-free in the JavaScript: WebAssembly component. This vulnerability affects Firefox &lt; 148, Firefox ESR &lt; 140.8, Thunderbird &lt; 148, and Thunderbird &lt; 140.8.</t>
        </is>
      </c>
      <c r="D1184" t="n">
        <v>9.800000000000001</v>
      </c>
      <c r="E1184" t="inlineStr">
        <is>
          <t>CRITICAL</t>
        </is>
      </c>
      <c r="F1184" t="n">
        <v>2</v>
      </c>
      <c r="G1184" t="n">
        <v>3</v>
      </c>
      <c r="H1184" t="inlineStr">
        <is>
          <t>HIGH</t>
        </is>
      </c>
      <c r="I1184" t="n">
        <v>15.8</v>
      </c>
      <c r="J1184" t="inlineStr">
        <is>
          <t>NO</t>
        </is>
      </c>
      <c r="K1184" t="inlineStr">
        <is>
          <t>2026-02-26 00:15</t>
        </is>
      </c>
      <c r="L1184" t="inlineStr">
        <is>
          <t>YES</t>
        </is>
      </c>
      <c r="M1184" t="inlineStr">
        <is>
          <t>mozilla firefox * | mozilla thunderbird *</t>
        </is>
      </c>
      <c r="N1184" t="inlineStr">
        <is>
          <t>P3</t>
        </is>
      </c>
      <c r="O1184" t="inlineStr">
        <is>
          <t>CVE - IP enrichment n/a</t>
        </is>
      </c>
      <c r="P1184" t="n">
        <v>0</v>
      </c>
      <c r="Q1184" t="n">
        <v>0</v>
      </c>
      <c r="R1184" t="inlineStr">
        <is>
          <t>T1203:Exploitation for Client Execution</t>
        </is>
      </c>
      <c r="S1184" t="n">
        <v>1</v>
      </c>
      <c r="T1184" t="inlineStr">
        <is>
          <t>LOW (40%)</t>
        </is>
      </c>
      <c r="U1184" t="inlineStr">
        <is>
          <t>UNLIKELY</t>
        </is>
      </c>
      <c r="V1184" t="inlineStr">
        <is>
          <t>PATCH_AVAILABLE</t>
        </is>
      </c>
      <c r="W1184" t="inlineStr">
        <is>
          <t>https://nvd.nist.gov/vuln/detail/CVE-2026-2767</t>
        </is>
      </c>
      <c r="X1184" t="inlineStr">
        <is>
          <t>NONE</t>
        </is>
      </c>
      <c r="Y1184" t="n">
        <v>0</v>
      </c>
      <c r="Z1184" t="inlineStr"/>
      <c r="AA1184" t="inlineStr">
        <is>
          <t>https://nvd.nist.gov/vuln/detail/CVE-2026-2767</t>
        </is>
      </c>
    </row>
    <row r="1185">
      <c r="A1185" t="inlineStr">
        <is>
          <t>CVE</t>
        </is>
      </c>
      <c r="B1185" t="inlineStr">
        <is>
          <t>CVE-2026-2768</t>
        </is>
      </c>
      <c r="C1185" t="inlineStr">
        <is>
          <t>Sandbox escape in the Storage: IndexedDB component. This vulnerability affects Firefox &lt; 148, Firefox ESR &lt; 140.8, Thunderbird &lt; 148, and Thunderbird &lt; 140.8.</t>
        </is>
      </c>
      <c r="D1185" t="n">
        <v>10</v>
      </c>
      <c r="E1185" t="inlineStr">
        <is>
          <t>CRITICAL</t>
        </is>
      </c>
      <c r="F1185" t="n">
        <v>2</v>
      </c>
      <c r="G1185" t="n">
        <v>3</v>
      </c>
      <c r="H1185" t="inlineStr">
        <is>
          <t>HIGH</t>
        </is>
      </c>
      <c r="I1185" t="n">
        <v>16</v>
      </c>
      <c r="J1185" t="inlineStr">
        <is>
          <t>NO</t>
        </is>
      </c>
      <c r="K1185" t="inlineStr">
        <is>
          <t>2026-02-26 00:15</t>
        </is>
      </c>
      <c r="L1185" t="inlineStr">
        <is>
          <t>YES</t>
        </is>
      </c>
      <c r="M1185" t="inlineStr">
        <is>
          <t>mozilla firefox * | mozilla thunderbird *</t>
        </is>
      </c>
      <c r="N1185" t="inlineStr">
        <is>
          <t>P3</t>
        </is>
      </c>
      <c r="O1185" t="inlineStr">
        <is>
          <t>CVE - IP enrichment n/a</t>
        </is>
      </c>
      <c r="P1185" t="n">
        <v>0</v>
      </c>
      <c r="Q1185" t="n">
        <v>0</v>
      </c>
      <c r="R1185" t="inlineStr">
        <is>
          <t>T1190:Exploit Public-Facing Application</t>
        </is>
      </c>
      <c r="S1185" t="n">
        <v>1</v>
      </c>
      <c r="T1185" t="inlineStr">
        <is>
          <t>LOW (40%)</t>
        </is>
      </c>
      <c r="U1185" t="inlineStr">
        <is>
          <t>UNLIKELY</t>
        </is>
      </c>
      <c r="V1185" t="inlineStr">
        <is>
          <t>PATCH_AVAILABLE</t>
        </is>
      </c>
      <c r="W1185" t="inlineStr">
        <is>
          <t>https://nvd.nist.gov/vuln/detail/CVE-2026-2768</t>
        </is>
      </c>
      <c r="X1185" t="inlineStr">
        <is>
          <t>NONE</t>
        </is>
      </c>
      <c r="Y1185" t="n">
        <v>0</v>
      </c>
      <c r="Z1185" t="inlineStr"/>
      <c r="AA1185" t="inlineStr">
        <is>
          <t>https://nvd.nist.gov/vuln/detail/CVE-2026-2768</t>
        </is>
      </c>
    </row>
    <row r="1186">
      <c r="A1186" t="inlineStr">
        <is>
          <t>CVE</t>
        </is>
      </c>
      <c r="B1186" t="inlineStr">
        <is>
          <t>CVE-2026-2769</t>
        </is>
      </c>
      <c r="C1186" t="inlineStr">
        <is>
          <t>Use-after-free in the Storage: IndexedDB component. This vulnerability affects Firefox &lt; 148, Firefox ESR &lt; 115.33, Firefox ESR &lt; 140.8, Thunderbird &lt; 148, and Thunderbird &lt; 140.8.</t>
        </is>
      </c>
      <c r="D1186" t="n">
        <v>8.800000000000001</v>
      </c>
      <c r="E1186" t="inlineStr">
        <is>
          <t>HIGH</t>
        </is>
      </c>
      <c r="F1186" t="n">
        <v>2</v>
      </c>
      <c r="G1186" t="n">
        <v>3</v>
      </c>
      <c r="H1186" t="inlineStr">
        <is>
          <t>HIGH</t>
        </is>
      </c>
      <c r="I1186" t="n">
        <v>14.8</v>
      </c>
      <c r="J1186" t="inlineStr">
        <is>
          <t>NO</t>
        </is>
      </c>
      <c r="K1186" t="inlineStr">
        <is>
          <t>2026-02-26 00:15</t>
        </is>
      </c>
      <c r="L1186" t="inlineStr">
        <is>
          <t>YES</t>
        </is>
      </c>
      <c r="M1186" t="inlineStr">
        <is>
          <t>mozilla firefox *</t>
        </is>
      </c>
      <c r="N1186" t="inlineStr">
        <is>
          <t>P3</t>
        </is>
      </c>
      <c r="O1186" t="inlineStr">
        <is>
          <t>CVE - IP enrichment n/a</t>
        </is>
      </c>
      <c r="P1186" t="n">
        <v>0.0005</v>
      </c>
      <c r="Q1186" t="n">
        <v>0.1443</v>
      </c>
      <c r="R1186" t="inlineStr">
        <is>
          <t>T1203:Exploitation for Client Execution</t>
        </is>
      </c>
      <c r="S1186" t="n">
        <v>1</v>
      </c>
      <c r="T1186" t="inlineStr">
        <is>
          <t>LOW (40%)</t>
        </is>
      </c>
      <c r="U1186" t="inlineStr">
        <is>
          <t>UNLIKELY</t>
        </is>
      </c>
      <c r="V1186" t="inlineStr">
        <is>
          <t>PATCH_AVAILABLE</t>
        </is>
      </c>
      <c r="W1186" t="inlineStr">
        <is>
          <t>https://nvd.nist.gov/vuln/detail/CVE-2026-2769</t>
        </is>
      </c>
      <c r="X1186" t="inlineStr">
        <is>
          <t>NONE</t>
        </is>
      </c>
      <c r="Y1186" t="n">
        <v>0</v>
      </c>
      <c r="Z1186" t="inlineStr"/>
      <c r="AA1186" t="inlineStr">
        <is>
          <t>https://nvd.nist.gov/vuln/detail/CVE-2026-2769</t>
        </is>
      </c>
    </row>
    <row r="1187">
      <c r="A1187" t="inlineStr">
        <is>
          <t>CVE</t>
        </is>
      </c>
      <c r="B1187" t="inlineStr">
        <is>
          <t>CVE-2026-2770</t>
        </is>
      </c>
      <c r="C1187" t="inlineStr">
        <is>
          <t>Use-after-free in the DOM: Bindings (WebIDL) component. This vulnerability affects Firefox &lt; 148, Firefox ESR &lt; 115.33, Firefox ESR &lt; 140.8, Thunderbird &lt; 148, and Thunderbird &lt; 140.8.</t>
        </is>
      </c>
      <c r="D1187" t="n">
        <v>9.800000000000001</v>
      </c>
      <c r="E1187" t="inlineStr">
        <is>
          <t>CRITICAL</t>
        </is>
      </c>
      <c r="F1187" t="n">
        <v>2</v>
      </c>
      <c r="G1187" t="n">
        <v>3</v>
      </c>
      <c r="H1187" t="inlineStr">
        <is>
          <t>HIGH</t>
        </is>
      </c>
      <c r="I1187" t="n">
        <v>15.8</v>
      </c>
      <c r="J1187" t="inlineStr">
        <is>
          <t>NO</t>
        </is>
      </c>
      <c r="K1187" t="inlineStr">
        <is>
          <t>2026-02-26 00:15</t>
        </is>
      </c>
      <c r="L1187" t="inlineStr">
        <is>
          <t>YES</t>
        </is>
      </c>
      <c r="M1187" t="inlineStr">
        <is>
          <t>mozilla firefox *</t>
        </is>
      </c>
      <c r="N1187" t="inlineStr">
        <is>
          <t>P3</t>
        </is>
      </c>
      <c r="O1187" t="inlineStr">
        <is>
          <t>CVE - IP enrichment n/a</t>
        </is>
      </c>
      <c r="P1187" t="n">
        <v>0</v>
      </c>
      <c r="Q1187" t="n">
        <v>0</v>
      </c>
      <c r="R1187" t="inlineStr">
        <is>
          <t>T1203:Exploitation for Client Execution</t>
        </is>
      </c>
      <c r="S1187" t="n">
        <v>1</v>
      </c>
      <c r="T1187" t="inlineStr">
        <is>
          <t>LOW (40%)</t>
        </is>
      </c>
      <c r="U1187" t="inlineStr">
        <is>
          <t>UNLIKELY</t>
        </is>
      </c>
      <c r="V1187" t="inlineStr">
        <is>
          <t>PATCH_AVAILABLE</t>
        </is>
      </c>
      <c r="W1187" t="inlineStr">
        <is>
          <t>https://nvd.nist.gov/vuln/detail/CVE-2026-2770</t>
        </is>
      </c>
      <c r="X1187" t="inlineStr">
        <is>
          <t>NONE</t>
        </is>
      </c>
      <c r="Y1187" t="n">
        <v>0</v>
      </c>
      <c r="Z1187" t="inlineStr"/>
      <c r="AA1187" t="inlineStr">
        <is>
          <t>https://nvd.nist.gov/vuln/detail/CVE-2026-2770</t>
        </is>
      </c>
    </row>
    <row r="1188">
      <c r="A1188" t="inlineStr">
        <is>
          <t>CVE</t>
        </is>
      </c>
      <c r="B1188" t="inlineStr">
        <is>
          <t>CVE-2026-2771</t>
        </is>
      </c>
      <c r="C1188" t="inlineStr">
        <is>
          <t>Undefined behavior in the DOM: Core &amp; HTML component. This vulnerability affects Firefox &lt; 148, Firefox ESR &lt; 115.33, Firefox ESR &lt; 140.8, Thunderbird &lt; 148, and Thunderbird &lt; 140.8.</t>
        </is>
      </c>
      <c r="D1188" t="n">
        <v>9.800000000000001</v>
      </c>
      <c r="E1188" t="inlineStr">
        <is>
          <t>CRITICAL</t>
        </is>
      </c>
      <c r="F1188" t="n">
        <v>2</v>
      </c>
      <c r="G1188" t="n">
        <v>3</v>
      </c>
      <c r="H1188" t="inlineStr">
        <is>
          <t>HIGH</t>
        </is>
      </c>
      <c r="I1188" t="n">
        <v>15.8</v>
      </c>
      <c r="J1188" t="inlineStr">
        <is>
          <t>NO</t>
        </is>
      </c>
      <c r="K1188" t="inlineStr">
        <is>
          <t>2026-02-26 00:15</t>
        </is>
      </c>
      <c r="L1188" t="inlineStr">
        <is>
          <t>YES</t>
        </is>
      </c>
      <c r="M1188" t="inlineStr">
        <is>
          <t>mozilla firefox *</t>
        </is>
      </c>
      <c r="N1188" t="inlineStr">
        <is>
          <t>P3</t>
        </is>
      </c>
      <c r="O1188" t="inlineStr">
        <is>
          <t>CVE - IP enrichment n/a</t>
        </is>
      </c>
      <c r="P1188" t="n">
        <v>0</v>
      </c>
      <c r="Q1188" t="n">
        <v>0</v>
      </c>
      <c r="R1188" t="inlineStr">
        <is>
          <t>T1190:Exploit Public-Facing Application</t>
        </is>
      </c>
      <c r="S1188" t="n">
        <v>1</v>
      </c>
      <c r="T1188" t="inlineStr">
        <is>
          <t>LOW (40%)</t>
        </is>
      </c>
      <c r="U1188" t="inlineStr">
        <is>
          <t>UNLIKELY</t>
        </is>
      </c>
      <c r="V1188" t="inlineStr">
        <is>
          <t>PATCH_AVAILABLE</t>
        </is>
      </c>
      <c r="W1188" t="inlineStr">
        <is>
          <t>https://nvd.nist.gov/vuln/detail/CVE-2026-2771</t>
        </is>
      </c>
      <c r="X1188" t="inlineStr">
        <is>
          <t>NONE</t>
        </is>
      </c>
      <c r="Y1188" t="n">
        <v>0</v>
      </c>
      <c r="Z1188" t="inlineStr"/>
      <c r="AA1188" t="inlineStr">
        <is>
          <t>https://nvd.nist.gov/vuln/detail/CVE-2026-2771</t>
        </is>
      </c>
    </row>
    <row r="1189">
      <c r="A1189" t="inlineStr">
        <is>
          <t>CVE</t>
        </is>
      </c>
      <c r="B1189" t="inlineStr">
        <is>
          <t>CVE-2026-2772</t>
        </is>
      </c>
      <c r="C1189" t="inlineStr">
        <is>
          <t>Use-after-free in the Audio/Video: Playback component. This vulnerability affects Firefox &lt; 148, Firefox ESR &lt; 115.33, Firefox ESR &lt; 140.8, Thunderbird &lt; 148, and Thunderbird &lt; 140.8.</t>
        </is>
      </c>
      <c r="D1189" t="n">
        <v>9.800000000000001</v>
      </c>
      <c r="E1189" t="inlineStr">
        <is>
          <t>CRITICAL</t>
        </is>
      </c>
      <c r="F1189" t="n">
        <v>2</v>
      </c>
      <c r="G1189" t="n">
        <v>3</v>
      </c>
      <c r="H1189" t="inlineStr">
        <is>
          <t>HIGH</t>
        </is>
      </c>
      <c r="I1189" t="n">
        <v>15.8</v>
      </c>
      <c r="J1189" t="inlineStr">
        <is>
          <t>NO</t>
        </is>
      </c>
      <c r="K1189" t="inlineStr">
        <is>
          <t>2026-02-26 00:15</t>
        </is>
      </c>
      <c r="L1189" t="inlineStr">
        <is>
          <t>YES</t>
        </is>
      </c>
      <c r="M1189" t="inlineStr">
        <is>
          <t>mozilla firefox *</t>
        </is>
      </c>
      <c r="N1189" t="inlineStr">
        <is>
          <t>P3</t>
        </is>
      </c>
      <c r="O1189" t="inlineStr">
        <is>
          <t>CVE - IP enrichment n/a</t>
        </is>
      </c>
      <c r="P1189" t="n">
        <v>0.0002</v>
      </c>
      <c r="Q1189" t="n">
        <v>0.0643</v>
      </c>
      <c r="R1189" t="inlineStr">
        <is>
          <t>T1203:Exploitation for Client Execution</t>
        </is>
      </c>
      <c r="S1189" t="n">
        <v>1</v>
      </c>
      <c r="T1189" t="inlineStr">
        <is>
          <t>LOW (40%)</t>
        </is>
      </c>
      <c r="U1189" t="inlineStr">
        <is>
          <t>UNLIKELY</t>
        </is>
      </c>
      <c r="V1189" t="inlineStr">
        <is>
          <t>PATCH_AVAILABLE</t>
        </is>
      </c>
      <c r="W1189" t="inlineStr">
        <is>
          <t>https://nvd.nist.gov/vuln/detail/CVE-2026-2772</t>
        </is>
      </c>
      <c r="X1189" t="inlineStr">
        <is>
          <t>NONE</t>
        </is>
      </c>
      <c r="Y1189" t="n">
        <v>0</v>
      </c>
      <c r="Z1189" t="inlineStr"/>
      <c r="AA1189" t="inlineStr">
        <is>
          <t>https://nvd.nist.gov/vuln/detail/CVE-2026-2772</t>
        </is>
      </c>
    </row>
    <row r="1190">
      <c r="A1190" t="inlineStr">
        <is>
          <t>CVE</t>
        </is>
      </c>
      <c r="B1190" t="inlineStr">
        <is>
          <t>CVE-2026-2773</t>
        </is>
      </c>
      <c r="C1190" t="inlineStr">
        <is>
          <t>Incorrect boundary conditions in the Web Audio component. This vulnerability affects Firefox &lt; 148, Firefox ESR &lt; 115.33, Firefox ESR &lt; 140.8, Thunderbird &lt; 148, and Thunderbird &lt; 140.8.</t>
        </is>
      </c>
      <c r="D1190" t="n">
        <v>9.800000000000001</v>
      </c>
      <c r="E1190" t="inlineStr">
        <is>
          <t>CRITICAL</t>
        </is>
      </c>
      <c r="F1190" t="n">
        <v>2</v>
      </c>
      <c r="G1190" t="n">
        <v>3</v>
      </c>
      <c r="H1190" t="inlineStr">
        <is>
          <t>HIGH</t>
        </is>
      </c>
      <c r="I1190" t="n">
        <v>15.8</v>
      </c>
      <c r="J1190" t="inlineStr">
        <is>
          <t>NO</t>
        </is>
      </c>
      <c r="K1190" t="inlineStr">
        <is>
          <t>2026-02-26 00:15</t>
        </is>
      </c>
      <c r="L1190" t="inlineStr">
        <is>
          <t>YES</t>
        </is>
      </c>
      <c r="M1190" t="inlineStr">
        <is>
          <t>mozilla firefox *</t>
        </is>
      </c>
      <c r="N1190" t="inlineStr">
        <is>
          <t>P3</t>
        </is>
      </c>
      <c r="O1190" t="inlineStr">
        <is>
          <t>CVE - IP enrichment n/a</t>
        </is>
      </c>
      <c r="P1190" t="n">
        <v>0</v>
      </c>
      <c r="Q1190" t="n">
        <v>0</v>
      </c>
      <c r="R1190" t="inlineStr">
        <is>
          <t>T1190:Exploit Public-Facing Application</t>
        </is>
      </c>
      <c r="S1190" t="n">
        <v>1</v>
      </c>
      <c r="T1190" t="inlineStr">
        <is>
          <t>LOW (40%)</t>
        </is>
      </c>
      <c r="U1190" t="inlineStr">
        <is>
          <t>UNLIKELY</t>
        </is>
      </c>
      <c r="V1190" t="inlineStr">
        <is>
          <t>PATCH_AVAILABLE</t>
        </is>
      </c>
      <c r="W1190" t="inlineStr">
        <is>
          <t>https://nvd.nist.gov/vuln/detail/CVE-2026-2773</t>
        </is>
      </c>
      <c r="X1190" t="inlineStr">
        <is>
          <t>NONE</t>
        </is>
      </c>
      <c r="Y1190" t="n">
        <v>0</v>
      </c>
      <c r="Z1190" t="inlineStr"/>
      <c r="AA1190" t="inlineStr">
        <is>
          <t>https://nvd.nist.gov/vuln/detail/CVE-2026-2773</t>
        </is>
      </c>
    </row>
    <row r="1191">
      <c r="A1191" t="inlineStr">
        <is>
          <t>CVE</t>
        </is>
      </c>
      <c r="B1191" t="inlineStr">
        <is>
          <t>CVE-2026-2774</t>
        </is>
      </c>
      <c r="C1191" t="inlineStr">
        <is>
          <t>Integer overflow in the Audio/Video component. This vulnerability affects Firefox &lt; 148, Firefox ESR &lt; 115.33, Firefox ESR &lt; 140.8, Thunderbird &lt; 148, and Thunderbird &lt; 140.8.</t>
        </is>
      </c>
      <c r="D1191" t="n">
        <v>9.800000000000001</v>
      </c>
      <c r="E1191" t="inlineStr">
        <is>
          <t>CRITICAL</t>
        </is>
      </c>
      <c r="F1191" t="n">
        <v>2</v>
      </c>
      <c r="G1191" t="n">
        <v>3</v>
      </c>
      <c r="H1191" t="inlineStr">
        <is>
          <t>HIGH</t>
        </is>
      </c>
      <c r="I1191" t="n">
        <v>15.8</v>
      </c>
      <c r="J1191" t="inlineStr">
        <is>
          <t>NO</t>
        </is>
      </c>
      <c r="K1191" t="inlineStr">
        <is>
          <t>2026-02-26 00:15</t>
        </is>
      </c>
      <c r="L1191" t="inlineStr">
        <is>
          <t>YES</t>
        </is>
      </c>
      <c r="M1191" t="inlineStr">
        <is>
          <t>mozilla firefox *</t>
        </is>
      </c>
      <c r="N1191" t="inlineStr">
        <is>
          <t>P3</t>
        </is>
      </c>
      <c r="O1191" t="inlineStr">
        <is>
          <t>CVE - IP enrichment n/a</t>
        </is>
      </c>
      <c r="P1191" t="n">
        <v>0</v>
      </c>
      <c r="Q1191" t="n">
        <v>0</v>
      </c>
      <c r="R1191" t="inlineStr">
        <is>
          <t>T1190:Exploit Public-Facing Application | T1203:Exploitation for Client Execution</t>
        </is>
      </c>
      <c r="S1191" t="n">
        <v>1</v>
      </c>
      <c r="T1191" t="inlineStr">
        <is>
          <t>LOW (40%)</t>
        </is>
      </c>
      <c r="U1191" t="inlineStr">
        <is>
          <t>UNLIKELY</t>
        </is>
      </c>
      <c r="V1191" t="inlineStr">
        <is>
          <t>PATCH_AVAILABLE</t>
        </is>
      </c>
      <c r="W1191" t="inlineStr">
        <is>
          <t>https://nvd.nist.gov/vuln/detail/CVE-2026-2774</t>
        </is>
      </c>
      <c r="X1191" t="inlineStr">
        <is>
          <t>NONE</t>
        </is>
      </c>
      <c r="Y1191" t="n">
        <v>0</v>
      </c>
      <c r="Z1191" t="inlineStr"/>
      <c r="AA1191" t="inlineStr">
        <is>
          <t>https://nvd.nist.gov/vuln/detail/CVE-2026-2774</t>
        </is>
      </c>
    </row>
    <row r="1192">
      <c r="A1192" t="inlineStr">
        <is>
          <t>CVE</t>
        </is>
      </c>
      <c r="B1192" t="inlineStr">
        <is>
          <t>CVE-2026-2775</t>
        </is>
      </c>
      <c r="C1192" t="inlineStr">
        <is>
          <t>Mitigation bypass in the DOM: HTML Parser component. This vulnerability affects Firefox &lt; 148, Firefox ESR &lt; 115.33, Firefox ESR &lt; 140.8, Thunderbird &lt; 148, and Thunderbird &lt; 140.8.</t>
        </is>
      </c>
      <c r="D1192" t="n">
        <v>9.800000000000001</v>
      </c>
      <c r="E1192" t="inlineStr">
        <is>
          <t>CRITICAL</t>
        </is>
      </c>
      <c r="F1192" t="n">
        <v>2</v>
      </c>
      <c r="G1192" t="n">
        <v>3</v>
      </c>
      <c r="H1192" t="inlineStr">
        <is>
          <t>HIGH</t>
        </is>
      </c>
      <c r="I1192" t="n">
        <v>15.8</v>
      </c>
      <c r="J1192" t="inlineStr">
        <is>
          <t>NO</t>
        </is>
      </c>
      <c r="K1192" t="inlineStr">
        <is>
          <t>2026-02-26 00:15</t>
        </is>
      </c>
      <c r="L1192" t="inlineStr">
        <is>
          <t>YES</t>
        </is>
      </c>
      <c r="M1192" t="inlineStr">
        <is>
          <t>mozilla firefox *</t>
        </is>
      </c>
      <c r="N1192" t="inlineStr">
        <is>
          <t>P3</t>
        </is>
      </c>
      <c r="O1192" t="inlineStr">
        <is>
          <t>CVE - IP enrichment n/a</t>
        </is>
      </c>
      <c r="P1192" t="n">
        <v>0.0002</v>
      </c>
      <c r="Q1192" t="n">
        <v>0.0643</v>
      </c>
      <c r="R1192" t="inlineStr">
        <is>
          <t>T1190:Exploit Public-Facing Application</t>
        </is>
      </c>
      <c r="S1192" t="n">
        <v>1</v>
      </c>
      <c r="T1192" t="inlineStr">
        <is>
          <t>LOW (40%)</t>
        </is>
      </c>
      <c r="U1192" t="inlineStr">
        <is>
          <t>UNLIKELY</t>
        </is>
      </c>
      <c r="V1192" t="inlineStr">
        <is>
          <t>PATCH_AVAILABLE</t>
        </is>
      </c>
      <c r="W1192" t="inlineStr">
        <is>
          <t>https://nvd.nist.gov/vuln/detail/CVE-2026-2775</t>
        </is>
      </c>
      <c r="X1192" t="inlineStr">
        <is>
          <t>NONE</t>
        </is>
      </c>
      <c r="Y1192" t="n">
        <v>0</v>
      </c>
      <c r="Z1192" t="inlineStr"/>
      <c r="AA1192" t="inlineStr">
        <is>
          <t>https://nvd.nist.gov/vuln/detail/CVE-2026-2775</t>
        </is>
      </c>
    </row>
    <row r="1193">
      <c r="A1193" t="inlineStr">
        <is>
          <t>CVE</t>
        </is>
      </c>
      <c r="B1193" t="inlineStr">
        <is>
          <t>CVE-2026-2776</t>
        </is>
      </c>
      <c r="C1193" t="inlineStr">
        <is>
          <t>Sandbox escape due to incorrect boundary conditions in the Telemetry component in External Software. This vulnerability affects Firefox &lt; 148, Firefox ESR &lt; 115.33, Firefox ESR &lt; 140.8, Thunderbird &lt; 148, and Thunderbird &lt; 140.8.</t>
        </is>
      </c>
      <c r="D1193" t="n">
        <v>10</v>
      </c>
      <c r="E1193" t="inlineStr">
        <is>
          <t>CRITICAL</t>
        </is>
      </c>
      <c r="F1193" t="n">
        <v>2</v>
      </c>
      <c r="G1193" t="n">
        <v>3</v>
      </c>
      <c r="H1193" t="inlineStr">
        <is>
          <t>HIGH</t>
        </is>
      </c>
      <c r="I1193" t="n">
        <v>16</v>
      </c>
      <c r="J1193" t="inlineStr">
        <is>
          <t>NO</t>
        </is>
      </c>
      <c r="K1193" t="inlineStr">
        <is>
          <t>2026-02-26 00:15</t>
        </is>
      </c>
      <c r="L1193" t="inlineStr">
        <is>
          <t>YES</t>
        </is>
      </c>
      <c r="M1193" t="inlineStr">
        <is>
          <t>mozilla firefox *</t>
        </is>
      </c>
      <c r="N1193" t="inlineStr">
        <is>
          <t>P3</t>
        </is>
      </c>
      <c r="O1193" t="inlineStr">
        <is>
          <t>CVE - IP enrichment n/a</t>
        </is>
      </c>
      <c r="P1193" t="n">
        <v>0</v>
      </c>
      <c r="Q1193" t="n">
        <v>0</v>
      </c>
      <c r="R1193" t="inlineStr">
        <is>
          <t>T1190:Exploit Public-Facing Application</t>
        </is>
      </c>
      <c r="S1193" t="n">
        <v>1</v>
      </c>
      <c r="T1193" t="inlineStr">
        <is>
          <t>LOW (40%)</t>
        </is>
      </c>
      <c r="U1193" t="inlineStr">
        <is>
          <t>UNLIKELY</t>
        </is>
      </c>
      <c r="V1193" t="inlineStr">
        <is>
          <t>PATCH_AVAILABLE</t>
        </is>
      </c>
      <c r="W1193" t="inlineStr">
        <is>
          <t>https://nvd.nist.gov/vuln/detail/CVE-2026-2776</t>
        </is>
      </c>
      <c r="X1193" t="inlineStr">
        <is>
          <t>NONE</t>
        </is>
      </c>
      <c r="Y1193" t="n">
        <v>0</v>
      </c>
      <c r="Z1193" t="inlineStr"/>
      <c r="AA1193" t="inlineStr">
        <is>
          <t>https://nvd.nist.gov/vuln/detail/CVE-2026-2776</t>
        </is>
      </c>
    </row>
    <row r="1194">
      <c r="A1194" t="inlineStr">
        <is>
          <t>CVE</t>
        </is>
      </c>
      <c r="B1194" t="inlineStr">
        <is>
          <t>CVE-2026-2777</t>
        </is>
      </c>
      <c r="C1194" t="inlineStr">
        <is>
          <t>Privilege escalation in the Messaging System component. This vulnerability affects Firefox &lt; 148, Firefox ESR &lt; 115.33, Firefox ESR &lt; 140.8, Thunderbird &lt; 148, and Thunderbird &lt; 140.8.</t>
        </is>
      </c>
      <c r="D1194" t="n">
        <v>9.800000000000001</v>
      </c>
      <c r="E1194" t="inlineStr">
        <is>
          <t>CRITICAL</t>
        </is>
      </c>
      <c r="F1194" t="n">
        <v>2</v>
      </c>
      <c r="G1194" t="n">
        <v>3</v>
      </c>
      <c r="H1194" t="inlineStr">
        <is>
          <t>HIGH</t>
        </is>
      </c>
      <c r="I1194" t="n">
        <v>15.8</v>
      </c>
      <c r="J1194" t="inlineStr">
        <is>
          <t>NO</t>
        </is>
      </c>
      <c r="K1194" t="inlineStr">
        <is>
          <t>2026-02-26 00:15</t>
        </is>
      </c>
      <c r="L1194" t="inlineStr">
        <is>
          <t>YES</t>
        </is>
      </c>
      <c r="M1194" t="inlineStr">
        <is>
          <t>mozilla firefox *</t>
        </is>
      </c>
      <c r="N1194" t="inlineStr">
        <is>
          <t>P3</t>
        </is>
      </c>
      <c r="O1194" t="inlineStr">
        <is>
          <t>CVE - IP enrichment n/a</t>
        </is>
      </c>
      <c r="P1194" t="n">
        <v>0</v>
      </c>
      <c r="Q1194" t="n">
        <v>0</v>
      </c>
      <c r="R1194" t="inlineStr">
        <is>
          <t>T1068:Exploitation for Privilege Escalation</t>
        </is>
      </c>
      <c r="S1194" t="n">
        <v>1</v>
      </c>
      <c r="T1194" t="inlineStr">
        <is>
          <t>LOW (40%)</t>
        </is>
      </c>
      <c r="U1194" t="inlineStr">
        <is>
          <t>UNLIKELY</t>
        </is>
      </c>
      <c r="V1194" t="inlineStr">
        <is>
          <t>PATCH_AVAILABLE</t>
        </is>
      </c>
      <c r="W1194" t="inlineStr">
        <is>
          <t>https://nvd.nist.gov/vuln/detail/CVE-2026-2777</t>
        </is>
      </c>
      <c r="X1194" t="inlineStr">
        <is>
          <t>NONE</t>
        </is>
      </c>
      <c r="Y1194" t="n">
        <v>0</v>
      </c>
      <c r="Z1194" t="inlineStr"/>
      <c r="AA1194" t="inlineStr">
        <is>
          <t>https://nvd.nist.gov/vuln/detail/CVE-2026-2777</t>
        </is>
      </c>
    </row>
    <row r="1195">
      <c r="A1195" t="inlineStr">
        <is>
          <t>CVE</t>
        </is>
      </c>
      <c r="B1195" t="inlineStr">
        <is>
          <t>CVE-2026-2778</t>
        </is>
      </c>
      <c r="C1195" t="inlineStr">
        <is>
          <t>Sandbox escape due to incorrect boundary conditions in the DOM: Core &amp; HTML component. This vulnerability affects Firefox &lt; 148, Firefox ESR &lt; 115.33, Firefox ESR &lt; 140.8, Thunderbird &lt; 148, and Thunderbird &lt; 140.8.</t>
        </is>
      </c>
      <c r="D1195" t="n">
        <v>10</v>
      </c>
      <c r="E1195" t="inlineStr">
        <is>
          <t>CRITICAL</t>
        </is>
      </c>
      <c r="F1195" t="n">
        <v>2</v>
      </c>
      <c r="G1195" t="n">
        <v>3</v>
      </c>
      <c r="H1195" t="inlineStr">
        <is>
          <t>HIGH</t>
        </is>
      </c>
      <c r="I1195" t="n">
        <v>16</v>
      </c>
      <c r="J1195" t="inlineStr">
        <is>
          <t>NO</t>
        </is>
      </c>
      <c r="K1195" t="inlineStr">
        <is>
          <t>2026-02-26 00:15</t>
        </is>
      </c>
      <c r="L1195" t="inlineStr">
        <is>
          <t>YES</t>
        </is>
      </c>
      <c r="M1195" t="inlineStr">
        <is>
          <t>mozilla firefox *</t>
        </is>
      </c>
      <c r="N1195" t="inlineStr">
        <is>
          <t>P3</t>
        </is>
      </c>
      <c r="O1195" t="inlineStr">
        <is>
          <t>CVE - IP enrichment n/a</t>
        </is>
      </c>
      <c r="P1195" t="n">
        <v>0.0002</v>
      </c>
      <c r="Q1195" t="n">
        <v>0.0643</v>
      </c>
      <c r="R1195" t="inlineStr">
        <is>
          <t>T1190:Exploit Public-Facing Application</t>
        </is>
      </c>
      <c r="S1195" t="n">
        <v>1</v>
      </c>
      <c r="T1195" t="inlineStr">
        <is>
          <t>LOW (40%)</t>
        </is>
      </c>
      <c r="U1195" t="inlineStr">
        <is>
          <t>UNLIKELY</t>
        </is>
      </c>
      <c r="V1195" t="inlineStr">
        <is>
          <t>PATCH_AVAILABLE</t>
        </is>
      </c>
      <c r="W1195" t="inlineStr">
        <is>
          <t>https://nvd.nist.gov/vuln/detail/CVE-2026-2778</t>
        </is>
      </c>
      <c r="X1195" t="inlineStr">
        <is>
          <t>NONE</t>
        </is>
      </c>
      <c r="Y1195" t="n">
        <v>0</v>
      </c>
      <c r="Z1195" t="inlineStr"/>
      <c r="AA1195" t="inlineStr">
        <is>
          <t>https://nvd.nist.gov/vuln/detail/CVE-2026-2778</t>
        </is>
      </c>
    </row>
    <row r="1196">
      <c r="A1196" t="inlineStr">
        <is>
          <t>CVE</t>
        </is>
      </c>
      <c r="B1196" t="inlineStr">
        <is>
          <t>CVE-2026-2779</t>
        </is>
      </c>
      <c r="C1196" t="inlineStr">
        <is>
          <t>Incorrect boundary conditions in the Networking: JAR component. This vulnerability affects Firefox &lt; 148, Firefox ESR &lt; 140.8, Thunderbird &lt; 148, and Thunderbird &lt; 140.8.</t>
        </is>
      </c>
      <c r="D1196" t="n">
        <v>9.800000000000001</v>
      </c>
      <c r="E1196" t="inlineStr">
        <is>
          <t>CRITICAL</t>
        </is>
      </c>
      <c r="F1196" t="n">
        <v>2</v>
      </c>
      <c r="G1196" t="n">
        <v>3</v>
      </c>
      <c r="H1196" t="inlineStr">
        <is>
          <t>HIGH</t>
        </is>
      </c>
      <c r="I1196" t="n">
        <v>15.8</v>
      </c>
      <c r="J1196" t="inlineStr">
        <is>
          <t>NO</t>
        </is>
      </c>
      <c r="K1196" t="inlineStr">
        <is>
          <t>2026-02-26 00:15</t>
        </is>
      </c>
      <c r="L1196" t="inlineStr">
        <is>
          <t>YES</t>
        </is>
      </c>
      <c r="M1196" t="inlineStr">
        <is>
          <t>mozilla firefox * | mozilla thunderbird *</t>
        </is>
      </c>
      <c r="N1196" t="inlineStr">
        <is>
          <t>P3</t>
        </is>
      </c>
      <c r="O1196" t="inlineStr">
        <is>
          <t>CVE - IP enrichment n/a</t>
        </is>
      </c>
      <c r="P1196" t="n">
        <v>0</v>
      </c>
      <c r="Q1196" t="n">
        <v>0</v>
      </c>
      <c r="R1196" t="inlineStr">
        <is>
          <t>T1190:Exploit Public-Facing Application</t>
        </is>
      </c>
      <c r="S1196" t="n">
        <v>1</v>
      </c>
      <c r="T1196" t="inlineStr">
        <is>
          <t>LOW (40%)</t>
        </is>
      </c>
      <c r="U1196" t="inlineStr">
        <is>
          <t>UNLIKELY</t>
        </is>
      </c>
      <c r="V1196" t="inlineStr">
        <is>
          <t>PATCH_AVAILABLE</t>
        </is>
      </c>
      <c r="W1196" t="inlineStr">
        <is>
          <t>https://nvd.nist.gov/vuln/detail/CVE-2026-2779</t>
        </is>
      </c>
      <c r="X1196" t="inlineStr">
        <is>
          <t>NONE</t>
        </is>
      </c>
      <c r="Y1196" t="n">
        <v>0</v>
      </c>
      <c r="Z1196" t="inlineStr"/>
      <c r="AA1196" t="inlineStr">
        <is>
          <t>https://nvd.nist.gov/vuln/detail/CVE-2026-2779</t>
        </is>
      </c>
    </row>
    <row r="1197">
      <c r="A1197" t="inlineStr">
        <is>
          <t>CVE</t>
        </is>
      </c>
      <c r="B1197" t="inlineStr">
        <is>
          <t>CVE-2026-2780</t>
        </is>
      </c>
      <c r="C1197" t="inlineStr">
        <is>
          <t>Privilege escalation in the Netmonitor component. This vulnerability affects Firefox &lt; 148, Firefox ESR &lt; 140.8, Thunderbird &lt; 148, and Thunderbird &lt; 140.8.</t>
        </is>
      </c>
      <c r="D1197" t="n">
        <v>9.800000000000001</v>
      </c>
      <c r="E1197" t="inlineStr">
        <is>
          <t>CRITICAL</t>
        </is>
      </c>
      <c r="F1197" t="n">
        <v>2</v>
      </c>
      <c r="G1197" t="n">
        <v>3</v>
      </c>
      <c r="H1197" t="inlineStr">
        <is>
          <t>HIGH</t>
        </is>
      </c>
      <c r="I1197" t="n">
        <v>15.8</v>
      </c>
      <c r="J1197" t="inlineStr">
        <is>
          <t>NO</t>
        </is>
      </c>
      <c r="K1197" t="inlineStr">
        <is>
          <t>2026-02-26 00:15</t>
        </is>
      </c>
      <c r="L1197" t="inlineStr">
        <is>
          <t>YES</t>
        </is>
      </c>
      <c r="M1197" t="inlineStr">
        <is>
          <t>mozilla firefox * | mozilla thunderbird *</t>
        </is>
      </c>
      <c r="N1197" t="inlineStr">
        <is>
          <t>P3</t>
        </is>
      </c>
      <c r="O1197" t="inlineStr">
        <is>
          <t>CVE - IP enrichment n/a</t>
        </is>
      </c>
      <c r="P1197" t="n">
        <v>0</v>
      </c>
      <c r="Q1197" t="n">
        <v>0</v>
      </c>
      <c r="R1197" t="inlineStr">
        <is>
          <t>T1068:Exploitation for Privilege Escalation</t>
        </is>
      </c>
      <c r="S1197" t="n">
        <v>1</v>
      </c>
      <c r="T1197" t="inlineStr">
        <is>
          <t>LOW (40%)</t>
        </is>
      </c>
      <c r="U1197" t="inlineStr">
        <is>
          <t>UNLIKELY</t>
        </is>
      </c>
      <c r="V1197" t="inlineStr">
        <is>
          <t>PATCH_AVAILABLE</t>
        </is>
      </c>
      <c r="W1197" t="inlineStr">
        <is>
          <t>https://nvd.nist.gov/vuln/detail/CVE-2026-2780</t>
        </is>
      </c>
      <c r="X1197" t="inlineStr">
        <is>
          <t>NONE</t>
        </is>
      </c>
      <c r="Y1197" t="n">
        <v>0</v>
      </c>
      <c r="Z1197" t="inlineStr"/>
      <c r="AA1197" t="inlineStr">
        <is>
          <t>https://nvd.nist.gov/vuln/detail/CVE-2026-2780</t>
        </is>
      </c>
    </row>
    <row r="1198">
      <c r="A1198" t="inlineStr">
        <is>
          <t>CVE</t>
        </is>
      </c>
      <c r="B1198" t="inlineStr">
        <is>
          <t>CVE-2026-2781</t>
        </is>
      </c>
      <c r="C1198" t="inlineStr">
        <is>
          <t>Integer overflow in the Libraries component in NSS. This vulnerability affects Firefox &lt; 148, Firefox ESR &lt; 140.8, Thunderbird &lt; 148, and Thunderbird &lt; 140.8.</t>
        </is>
      </c>
      <c r="D1198" t="n">
        <v>9.800000000000001</v>
      </c>
      <c r="E1198" t="inlineStr">
        <is>
          <t>CRITICAL</t>
        </is>
      </c>
      <c r="F1198" t="n">
        <v>2</v>
      </c>
      <c r="G1198" t="n">
        <v>3</v>
      </c>
      <c r="H1198" t="inlineStr">
        <is>
          <t>HIGH</t>
        </is>
      </c>
      <c r="I1198" t="n">
        <v>15.8</v>
      </c>
      <c r="J1198" t="inlineStr">
        <is>
          <t>NO</t>
        </is>
      </c>
      <c r="K1198" t="inlineStr">
        <is>
          <t>2026-02-26 00:15</t>
        </is>
      </c>
      <c r="L1198" t="inlineStr">
        <is>
          <t>YES</t>
        </is>
      </c>
      <c r="M1198" t="inlineStr">
        <is>
          <t>mozilla firefox * | mozilla thunderbird *</t>
        </is>
      </c>
      <c r="N1198" t="inlineStr">
        <is>
          <t>P3</t>
        </is>
      </c>
      <c r="O1198" t="inlineStr">
        <is>
          <t>CVE - IP enrichment n/a</t>
        </is>
      </c>
      <c r="P1198" t="n">
        <v>0</v>
      </c>
      <c r="Q1198" t="n">
        <v>0</v>
      </c>
      <c r="R1198" t="inlineStr">
        <is>
          <t>T1190:Exploit Public-Facing Application | T1203:Exploitation for Client Execution</t>
        </is>
      </c>
      <c r="S1198" t="n">
        <v>1</v>
      </c>
      <c r="T1198" t="inlineStr">
        <is>
          <t>LOW (40%)</t>
        </is>
      </c>
      <c r="U1198" t="inlineStr">
        <is>
          <t>UNLIKELY</t>
        </is>
      </c>
      <c r="V1198" t="inlineStr">
        <is>
          <t>PATCH_AVAILABLE</t>
        </is>
      </c>
      <c r="W1198" t="inlineStr">
        <is>
          <t>https://nvd.nist.gov/vuln/detail/CVE-2026-2781</t>
        </is>
      </c>
      <c r="X1198" t="inlineStr">
        <is>
          <t>NONE</t>
        </is>
      </c>
      <c r="Y1198" t="n">
        <v>0</v>
      </c>
      <c r="Z1198" t="inlineStr"/>
      <c r="AA1198" t="inlineStr">
        <is>
          <t>https://nvd.nist.gov/vuln/detail/CVE-2026-2781</t>
        </is>
      </c>
    </row>
    <row r="1199">
      <c r="A1199" t="inlineStr">
        <is>
          <t>CVE</t>
        </is>
      </c>
      <c r="B1199" t="inlineStr">
        <is>
          <t>CVE-2026-2782</t>
        </is>
      </c>
      <c r="C1199" t="inlineStr">
        <is>
          <t>Privilege escalation in the Netmonitor component. This vulnerability affects Firefox &lt; 148, Firefox ESR &lt; 140.8, Thunderbird &lt; 148, and Thunderbird &lt; 140.8.</t>
        </is>
      </c>
      <c r="D1199" t="n">
        <v>9.800000000000001</v>
      </c>
      <c r="E1199" t="inlineStr">
        <is>
          <t>CRITICAL</t>
        </is>
      </c>
      <c r="F1199" t="n">
        <v>2</v>
      </c>
      <c r="G1199" t="n">
        <v>3</v>
      </c>
      <c r="H1199" t="inlineStr">
        <is>
          <t>HIGH</t>
        </is>
      </c>
      <c r="I1199" t="n">
        <v>15.8</v>
      </c>
      <c r="J1199" t="inlineStr">
        <is>
          <t>NO</t>
        </is>
      </c>
      <c r="K1199" t="inlineStr">
        <is>
          <t>2026-02-26 00:15</t>
        </is>
      </c>
      <c r="L1199" t="inlineStr">
        <is>
          <t>YES</t>
        </is>
      </c>
      <c r="M1199" t="inlineStr">
        <is>
          <t>mozilla firefox * | mozilla thunderbird *</t>
        </is>
      </c>
      <c r="N1199" t="inlineStr">
        <is>
          <t>P3</t>
        </is>
      </c>
      <c r="O1199" t="inlineStr">
        <is>
          <t>CVE - IP enrichment n/a</t>
        </is>
      </c>
      <c r="P1199" t="n">
        <v>0.0002</v>
      </c>
      <c r="Q1199" t="n">
        <v>0.0426</v>
      </c>
      <c r="R1199" t="inlineStr">
        <is>
          <t>T1068:Exploitation for Privilege Escalation</t>
        </is>
      </c>
      <c r="S1199" t="n">
        <v>1</v>
      </c>
      <c r="T1199" t="inlineStr">
        <is>
          <t>LOW (40%)</t>
        </is>
      </c>
      <c r="U1199" t="inlineStr">
        <is>
          <t>UNLIKELY</t>
        </is>
      </c>
      <c r="V1199" t="inlineStr">
        <is>
          <t>PATCH_AVAILABLE</t>
        </is>
      </c>
      <c r="W1199" t="inlineStr">
        <is>
          <t>https://nvd.nist.gov/vuln/detail/CVE-2026-2782</t>
        </is>
      </c>
      <c r="X1199" t="inlineStr">
        <is>
          <t>NONE</t>
        </is>
      </c>
      <c r="Y1199" t="n">
        <v>0</v>
      </c>
      <c r="Z1199" t="inlineStr"/>
      <c r="AA1199" t="inlineStr">
        <is>
          <t>https://nvd.nist.gov/vuln/detail/CVE-2026-2782</t>
        </is>
      </c>
    </row>
    <row r="1200">
      <c r="A1200" t="inlineStr">
        <is>
          <t>CVE</t>
        </is>
      </c>
      <c r="B1200" t="inlineStr">
        <is>
          <t>CVE-2026-2783</t>
        </is>
      </c>
      <c r="C1200" t="inlineStr">
        <is>
          <t>Information disclosure due to JIT miscompilation in the JavaScript Engine: JIT component. This vulnerability affects Firefox &lt; 148, Firefox ESR &lt; 140.8, Thunderbird &lt; 148, and Thunderbird &lt; 140.8.</t>
        </is>
      </c>
      <c r="D1200" t="n">
        <v>7.5</v>
      </c>
      <c r="E1200" t="inlineStr">
        <is>
          <t>HIGH</t>
        </is>
      </c>
      <c r="F1200" t="n">
        <v>2</v>
      </c>
      <c r="G1200" t="n">
        <v>3</v>
      </c>
      <c r="H1200" t="inlineStr">
        <is>
          <t>HIGH</t>
        </is>
      </c>
      <c r="I1200" t="n">
        <v>13.5</v>
      </c>
      <c r="J1200" t="inlineStr">
        <is>
          <t>NO</t>
        </is>
      </c>
      <c r="K1200" t="inlineStr">
        <is>
          <t>2026-02-26 00:15</t>
        </is>
      </c>
      <c r="L1200" t="inlineStr">
        <is>
          <t>YES</t>
        </is>
      </c>
      <c r="M1200" t="inlineStr">
        <is>
          <t>mozilla firefox * | mozilla thunderbird *</t>
        </is>
      </c>
      <c r="N1200" t="inlineStr">
        <is>
          <t>P3</t>
        </is>
      </c>
      <c r="O1200" t="inlineStr">
        <is>
          <t>CVE - IP enrichment n/a</t>
        </is>
      </c>
      <c r="P1200" t="n">
        <v>0</v>
      </c>
      <c r="Q1200" t="n">
        <v>0</v>
      </c>
      <c r="R1200" t="inlineStr">
        <is>
          <t>T1213:Data from Information Repositories</t>
        </is>
      </c>
      <c r="S1200" t="n">
        <v>1</v>
      </c>
      <c r="T1200" t="inlineStr">
        <is>
          <t>LOW (40%)</t>
        </is>
      </c>
      <c r="U1200" t="inlineStr">
        <is>
          <t>UNLIKELY</t>
        </is>
      </c>
      <c r="V1200" t="inlineStr">
        <is>
          <t>PATCH_AVAILABLE</t>
        </is>
      </c>
      <c r="W1200" t="inlineStr">
        <is>
          <t>https://nvd.nist.gov/vuln/detail/CVE-2026-2783</t>
        </is>
      </c>
      <c r="X1200" t="inlineStr">
        <is>
          <t>NONE</t>
        </is>
      </c>
      <c r="Y1200" t="n">
        <v>0</v>
      </c>
      <c r="Z1200" t="inlineStr"/>
      <c r="AA1200" t="inlineStr">
        <is>
          <t>https://nvd.nist.gov/vuln/detail/CVE-2026-2783</t>
        </is>
      </c>
    </row>
    <row r="1201">
      <c r="A1201" t="inlineStr">
        <is>
          <t>CVE</t>
        </is>
      </c>
      <c r="B1201" t="inlineStr">
        <is>
          <t>CVE-2026-2784</t>
        </is>
      </c>
      <c r="C1201" t="inlineStr">
        <is>
          <t>Mitigation bypass in the DOM: Security component. This vulnerability affects Firefox &lt; 148, Firefox ESR &lt; 140.8, Thunderbird &lt; 148, and Thunderbird &lt; 140.8.</t>
        </is>
      </c>
      <c r="D1201" t="n">
        <v>9.800000000000001</v>
      </c>
      <c r="E1201" t="inlineStr">
        <is>
          <t>CRITICAL</t>
        </is>
      </c>
      <c r="F1201" t="n">
        <v>2</v>
      </c>
      <c r="G1201" t="n">
        <v>3</v>
      </c>
      <c r="H1201" t="inlineStr">
        <is>
          <t>HIGH</t>
        </is>
      </c>
      <c r="I1201" t="n">
        <v>15.8</v>
      </c>
      <c r="J1201" t="inlineStr">
        <is>
          <t>NO</t>
        </is>
      </c>
      <c r="K1201" t="inlineStr">
        <is>
          <t>2026-02-26 00:15</t>
        </is>
      </c>
      <c r="L1201" t="inlineStr">
        <is>
          <t>YES</t>
        </is>
      </c>
      <c r="M1201" t="inlineStr">
        <is>
          <t>mozilla firefox * | mozilla thunderbird *</t>
        </is>
      </c>
      <c r="N1201" t="inlineStr">
        <is>
          <t>P3</t>
        </is>
      </c>
      <c r="O1201" t="inlineStr">
        <is>
          <t>CVE - IP enrichment n/a</t>
        </is>
      </c>
      <c r="P1201" t="n">
        <v>0</v>
      </c>
      <c r="Q1201" t="n">
        <v>0</v>
      </c>
      <c r="R1201" t="inlineStr">
        <is>
          <t>T1190:Exploit Public-Facing Application</t>
        </is>
      </c>
      <c r="S1201" t="n">
        <v>2</v>
      </c>
      <c r="T1201" t="inlineStr">
        <is>
          <t>MEDIUM (52%)</t>
        </is>
      </c>
      <c r="U1201" t="inlineStr">
        <is>
          <t>UNLIKELY</t>
        </is>
      </c>
      <c r="V1201" t="inlineStr">
        <is>
          <t>PATCH_AVAILABLE</t>
        </is>
      </c>
      <c r="W1201" t="inlineStr">
        <is>
          <t>https://nvd.nist.gov/vuln/detail/CVE-2026-2784</t>
        </is>
      </c>
      <c r="X1201" t="inlineStr">
        <is>
          <t>NONE</t>
        </is>
      </c>
      <c r="Y1201" t="n">
        <v>0</v>
      </c>
      <c r="Z1201" t="inlineStr"/>
      <c r="AA1201" t="inlineStr">
        <is>
          <t>https://nvd.nist.gov/vuln/detail/CVE-2026-2784</t>
        </is>
      </c>
    </row>
    <row r="1202">
      <c r="A1202" t="inlineStr">
        <is>
          <t>CVE</t>
        </is>
      </c>
      <c r="B1202" t="inlineStr">
        <is>
          <t>CVE-2026-2785</t>
        </is>
      </c>
      <c r="C1202" t="inlineStr">
        <is>
          <t>Invalid pointer in the JavaScript Engine component. This vulnerability affects Firefox &lt; 148, Firefox ESR &lt; 140.8, Thunderbird &lt; 148, and Thunderbird &lt; 140.8.</t>
        </is>
      </c>
      <c r="D1202" t="n">
        <v>9.800000000000001</v>
      </c>
      <c r="E1202" t="inlineStr">
        <is>
          <t>CRITICAL</t>
        </is>
      </c>
      <c r="F1202" t="n">
        <v>2</v>
      </c>
      <c r="G1202" t="n">
        <v>3</v>
      </c>
      <c r="H1202" t="inlineStr">
        <is>
          <t>HIGH</t>
        </is>
      </c>
      <c r="I1202" t="n">
        <v>15.8</v>
      </c>
      <c r="J1202" t="inlineStr">
        <is>
          <t>NO</t>
        </is>
      </c>
      <c r="K1202" t="inlineStr">
        <is>
          <t>2026-02-26 00:15</t>
        </is>
      </c>
      <c r="L1202" t="inlineStr">
        <is>
          <t>YES</t>
        </is>
      </c>
      <c r="M1202" t="inlineStr">
        <is>
          <t>mozilla firefox * | mozilla thunderbird *</t>
        </is>
      </c>
      <c r="N1202" t="inlineStr">
        <is>
          <t>P3</t>
        </is>
      </c>
      <c r="O1202" t="inlineStr">
        <is>
          <t>CVE - IP enrichment n/a</t>
        </is>
      </c>
      <c r="P1202" t="n">
        <v>0</v>
      </c>
      <c r="Q1202" t="n">
        <v>0</v>
      </c>
      <c r="R1202" t="inlineStr">
        <is>
          <t>T1203:Exploitation for Client Execution</t>
        </is>
      </c>
      <c r="S1202" t="n">
        <v>2</v>
      </c>
      <c r="T1202" t="inlineStr">
        <is>
          <t>MEDIUM (52%)</t>
        </is>
      </c>
      <c r="U1202" t="inlineStr">
        <is>
          <t>UNLIKELY</t>
        </is>
      </c>
      <c r="V1202" t="inlineStr">
        <is>
          <t>PATCH_AVAILABLE</t>
        </is>
      </c>
      <c r="W1202" t="inlineStr">
        <is>
          <t>https://nvd.nist.gov/vuln/detail/CVE-2026-2785</t>
        </is>
      </c>
      <c r="X1202" t="inlineStr">
        <is>
          <t>NONE</t>
        </is>
      </c>
      <c r="Y1202" t="n">
        <v>0</v>
      </c>
      <c r="Z1202" t="inlineStr"/>
      <c r="AA1202" t="inlineStr">
        <is>
          <t>https://nvd.nist.gov/vuln/detail/CVE-2026-2785</t>
        </is>
      </c>
    </row>
    <row r="1203">
      <c r="A1203" t="inlineStr">
        <is>
          <t>CVE</t>
        </is>
      </c>
      <c r="B1203" t="inlineStr">
        <is>
          <t>CVE-2026-2786</t>
        </is>
      </c>
      <c r="C1203" t="inlineStr">
        <is>
          <t>Use-after-free in the JavaScript Engine component. This vulnerability affects Firefox &lt; 148, Firefox ESR &lt; 140.8, Thunderbird &lt; 148, and Thunderbird &lt; 140.8.</t>
        </is>
      </c>
      <c r="D1203" t="n">
        <v>9.800000000000001</v>
      </c>
      <c r="E1203" t="inlineStr">
        <is>
          <t>CRITICAL</t>
        </is>
      </c>
      <c r="F1203" t="n">
        <v>2</v>
      </c>
      <c r="G1203" t="n">
        <v>3</v>
      </c>
      <c r="H1203" t="inlineStr">
        <is>
          <t>HIGH</t>
        </is>
      </c>
      <c r="I1203" t="n">
        <v>15.8</v>
      </c>
      <c r="J1203" t="inlineStr">
        <is>
          <t>NO</t>
        </is>
      </c>
      <c r="K1203" t="inlineStr">
        <is>
          <t>2026-02-26 00:15</t>
        </is>
      </c>
      <c r="L1203" t="inlineStr">
        <is>
          <t>YES</t>
        </is>
      </c>
      <c r="M1203" t="inlineStr">
        <is>
          <t>mozilla firefox * | mozilla thunderbird *</t>
        </is>
      </c>
      <c r="N1203" t="inlineStr">
        <is>
          <t>P3</t>
        </is>
      </c>
      <c r="O1203" t="inlineStr">
        <is>
          <t>CVE - IP enrichment n/a</t>
        </is>
      </c>
      <c r="P1203" t="n">
        <v>0</v>
      </c>
      <c r="Q1203" t="n">
        <v>0</v>
      </c>
      <c r="R1203" t="inlineStr">
        <is>
          <t>T1203:Exploitation for Client Execution</t>
        </is>
      </c>
      <c r="S1203" t="n">
        <v>2</v>
      </c>
      <c r="T1203" t="inlineStr">
        <is>
          <t>MEDIUM (52%)</t>
        </is>
      </c>
      <c r="U1203" t="inlineStr">
        <is>
          <t>UNLIKELY</t>
        </is>
      </c>
      <c r="V1203" t="inlineStr">
        <is>
          <t>PATCH_AVAILABLE</t>
        </is>
      </c>
      <c r="W1203" t="inlineStr">
        <is>
          <t>https://nvd.nist.gov/vuln/detail/CVE-2026-2786</t>
        </is>
      </c>
      <c r="X1203" t="inlineStr">
        <is>
          <t>NONE</t>
        </is>
      </c>
      <c r="Y1203" t="n">
        <v>0</v>
      </c>
      <c r="Z1203" t="inlineStr"/>
      <c r="AA1203" t="inlineStr">
        <is>
          <t>https://nvd.nist.gov/vuln/detail/CVE-2026-2786</t>
        </is>
      </c>
    </row>
    <row r="1204">
      <c r="A1204" t="inlineStr">
        <is>
          <t>CVE</t>
        </is>
      </c>
      <c r="B1204" t="inlineStr">
        <is>
          <t>CVE-2026-2787</t>
        </is>
      </c>
      <c r="C1204" t="inlineStr">
        <is>
          <t>Use-after-free in the DOM: Window and Location component. This vulnerability affects Firefox &lt; 148, Firefox ESR &lt; 115.33, Firefox ESR &lt; 140.8, Thunderbird &lt; 148, and Thunderbird &lt; 140.8.</t>
        </is>
      </c>
      <c r="D1204" t="n">
        <v>9.800000000000001</v>
      </c>
      <c r="E1204" t="inlineStr">
        <is>
          <t>CRITICAL</t>
        </is>
      </c>
      <c r="F1204" t="n">
        <v>2</v>
      </c>
      <c r="G1204" t="n">
        <v>3</v>
      </c>
      <c r="H1204" t="inlineStr">
        <is>
          <t>HIGH</t>
        </is>
      </c>
      <c r="I1204" t="n">
        <v>15.8</v>
      </c>
      <c r="J1204" t="inlineStr">
        <is>
          <t>NO</t>
        </is>
      </c>
      <c r="K1204" t="inlineStr">
        <is>
          <t>2026-02-26 00:15</t>
        </is>
      </c>
      <c r="L1204" t="inlineStr">
        <is>
          <t>YES</t>
        </is>
      </c>
      <c r="M1204" t="inlineStr">
        <is>
          <t>mozilla firefox *</t>
        </is>
      </c>
      <c r="N1204" t="inlineStr">
        <is>
          <t>P3</t>
        </is>
      </c>
      <c r="O1204" t="inlineStr">
        <is>
          <t>CVE - IP enrichment n/a</t>
        </is>
      </c>
      <c r="P1204" t="n">
        <v>0</v>
      </c>
      <c r="Q1204" t="n">
        <v>0</v>
      </c>
      <c r="R1204" t="inlineStr">
        <is>
          <t>T1203:Exploitation for Client Execution</t>
        </is>
      </c>
      <c r="S1204" t="n">
        <v>2</v>
      </c>
      <c r="T1204" t="inlineStr">
        <is>
          <t>MEDIUM (52%)</t>
        </is>
      </c>
      <c r="U1204" t="inlineStr">
        <is>
          <t>UNLIKELY</t>
        </is>
      </c>
      <c r="V1204" t="inlineStr">
        <is>
          <t>PATCH_AVAILABLE</t>
        </is>
      </c>
      <c r="W1204" t="inlineStr">
        <is>
          <t>https://nvd.nist.gov/vuln/detail/CVE-2026-2787</t>
        </is>
      </c>
      <c r="X1204" t="inlineStr">
        <is>
          <t>NONE</t>
        </is>
      </c>
      <c r="Y1204" t="n">
        <v>0</v>
      </c>
      <c r="Z1204" t="inlineStr"/>
      <c r="AA1204" t="inlineStr">
        <is>
          <t>https://nvd.nist.gov/vuln/detail/CVE-2026-2787</t>
        </is>
      </c>
    </row>
    <row r="1205">
      <c r="A1205" t="inlineStr">
        <is>
          <t>CVE</t>
        </is>
      </c>
      <c r="B1205" t="inlineStr">
        <is>
          <t>CVE-2026-2788</t>
        </is>
      </c>
      <c r="C1205" t="inlineStr">
        <is>
          <t>Incorrect boundary conditions in the Audio/Video: GMP component. This vulnerability affects Firefox &lt; 148, Firefox ESR &lt; 115.33, Firefox ESR &lt; 140.8, Thunderbird &lt; 148, and Thunderbird &lt; 140.8.</t>
        </is>
      </c>
      <c r="D1205" t="n">
        <v>9.800000000000001</v>
      </c>
      <c r="E1205" t="inlineStr">
        <is>
          <t>CRITICAL</t>
        </is>
      </c>
      <c r="F1205" t="n">
        <v>2</v>
      </c>
      <c r="G1205" t="n">
        <v>3</v>
      </c>
      <c r="H1205" t="inlineStr">
        <is>
          <t>HIGH</t>
        </is>
      </c>
      <c r="I1205" t="n">
        <v>15.8</v>
      </c>
      <c r="J1205" t="inlineStr">
        <is>
          <t>NO</t>
        </is>
      </c>
      <c r="K1205" t="inlineStr">
        <is>
          <t>2026-02-26 00:15</t>
        </is>
      </c>
      <c r="L1205" t="inlineStr">
        <is>
          <t>YES</t>
        </is>
      </c>
      <c r="M1205" t="inlineStr">
        <is>
          <t>mozilla firefox *</t>
        </is>
      </c>
      <c r="N1205" t="inlineStr">
        <is>
          <t>P3</t>
        </is>
      </c>
      <c r="O1205" t="inlineStr">
        <is>
          <t>CVE - IP enrichment n/a</t>
        </is>
      </c>
      <c r="P1205" t="n">
        <v>0</v>
      </c>
      <c r="Q1205" t="n">
        <v>0</v>
      </c>
      <c r="R1205" t="inlineStr">
        <is>
          <t>T1190:Exploit Public-Facing Application</t>
        </is>
      </c>
      <c r="S1205" t="n">
        <v>2</v>
      </c>
      <c r="T1205" t="inlineStr">
        <is>
          <t>MEDIUM (52%)</t>
        </is>
      </c>
      <c r="U1205" t="inlineStr">
        <is>
          <t>UNLIKELY</t>
        </is>
      </c>
      <c r="V1205" t="inlineStr">
        <is>
          <t>PATCH_AVAILABLE</t>
        </is>
      </c>
      <c r="W1205" t="inlineStr">
        <is>
          <t>https://nvd.nist.gov/vuln/detail/CVE-2026-2788</t>
        </is>
      </c>
      <c r="X1205" t="inlineStr">
        <is>
          <t>NONE</t>
        </is>
      </c>
      <c r="Y1205" t="n">
        <v>0</v>
      </c>
      <c r="Z1205" t="inlineStr"/>
      <c r="AA1205" t="inlineStr">
        <is>
          <t>https://nvd.nist.gov/vuln/detail/CVE-2026-2788</t>
        </is>
      </c>
    </row>
    <row r="1206">
      <c r="A1206" t="inlineStr">
        <is>
          <t>CVE</t>
        </is>
      </c>
      <c r="B1206" t="inlineStr">
        <is>
          <t>CVE-2026-2789</t>
        </is>
      </c>
      <c r="C1206" t="inlineStr">
        <is>
          <t>Use-after-free in the Graphics: ImageLib component. This vulnerability affects Firefox &lt; 148, Firefox ESR &lt; 115.33, Firefox ESR &lt; 140.8, Thunderbird &lt; 148, and Thunderbird &lt; 140.8.</t>
        </is>
      </c>
      <c r="D1206" t="n">
        <v>9.800000000000001</v>
      </c>
      <c r="E1206" t="inlineStr">
        <is>
          <t>CRITICAL</t>
        </is>
      </c>
      <c r="F1206" t="n">
        <v>2</v>
      </c>
      <c r="G1206" t="n">
        <v>3</v>
      </c>
      <c r="H1206" t="inlineStr">
        <is>
          <t>HIGH</t>
        </is>
      </c>
      <c r="I1206" t="n">
        <v>15.8</v>
      </c>
      <c r="J1206" t="inlineStr">
        <is>
          <t>NO</t>
        </is>
      </c>
      <c r="K1206" t="inlineStr">
        <is>
          <t>2026-02-26 00:15</t>
        </is>
      </c>
      <c r="L1206" t="inlineStr">
        <is>
          <t>YES</t>
        </is>
      </c>
      <c r="M1206" t="inlineStr">
        <is>
          <t>mozilla firefox *</t>
        </is>
      </c>
      <c r="N1206" t="inlineStr">
        <is>
          <t>P3</t>
        </is>
      </c>
      <c r="O1206" t="inlineStr">
        <is>
          <t>CVE - IP enrichment n/a</t>
        </is>
      </c>
      <c r="P1206" t="n">
        <v>0</v>
      </c>
      <c r="Q1206" t="n">
        <v>0</v>
      </c>
      <c r="R1206" t="inlineStr">
        <is>
          <t>T1203:Exploitation for Client Execution</t>
        </is>
      </c>
      <c r="S1206" t="n">
        <v>2</v>
      </c>
      <c r="T1206" t="inlineStr">
        <is>
          <t>MEDIUM (52%)</t>
        </is>
      </c>
      <c r="U1206" t="inlineStr">
        <is>
          <t>UNLIKELY</t>
        </is>
      </c>
      <c r="V1206" t="inlineStr">
        <is>
          <t>PATCH_AVAILABLE</t>
        </is>
      </c>
      <c r="W1206" t="inlineStr">
        <is>
          <t>https://nvd.nist.gov/vuln/detail/CVE-2026-2789</t>
        </is>
      </c>
      <c r="X1206" t="inlineStr">
        <is>
          <t>NONE</t>
        </is>
      </c>
      <c r="Y1206" t="n">
        <v>0</v>
      </c>
      <c r="Z1206" t="inlineStr"/>
      <c r="AA1206" t="inlineStr">
        <is>
          <t>https://nvd.nist.gov/vuln/detail/CVE-2026-2789</t>
        </is>
      </c>
    </row>
    <row r="1207">
      <c r="A1207" t="inlineStr">
        <is>
          <t>CVE</t>
        </is>
      </c>
      <c r="B1207" t="inlineStr">
        <is>
          <t>CVE-2026-2790</t>
        </is>
      </c>
      <c r="C1207" t="inlineStr">
        <is>
          <t>Same-origin policy bypass in the Networking: JAR component. This vulnerability affects Firefox &lt; 148, Firefox ESR &lt; 140.8, Thunderbird &lt; 148, and Thunderbird &lt; 140.8.</t>
        </is>
      </c>
      <c r="D1207" t="n">
        <v>9.800000000000001</v>
      </c>
      <c r="E1207" t="inlineStr">
        <is>
          <t>CRITICAL</t>
        </is>
      </c>
      <c r="F1207" t="n">
        <v>2</v>
      </c>
      <c r="G1207" t="n">
        <v>3</v>
      </c>
      <c r="H1207" t="inlineStr">
        <is>
          <t>HIGH</t>
        </is>
      </c>
      <c r="I1207" t="n">
        <v>15.8</v>
      </c>
      <c r="J1207" t="inlineStr">
        <is>
          <t>NO</t>
        </is>
      </c>
      <c r="K1207" t="inlineStr">
        <is>
          <t>2026-02-26 00:15</t>
        </is>
      </c>
      <c r="L1207" t="inlineStr">
        <is>
          <t>YES</t>
        </is>
      </c>
      <c r="M1207" t="inlineStr">
        <is>
          <t>mozilla firefox * | mozilla thunderbird *</t>
        </is>
      </c>
      <c r="N1207" t="inlineStr">
        <is>
          <t>P3</t>
        </is>
      </c>
      <c r="O1207" t="inlineStr">
        <is>
          <t>CVE - IP enrichment n/a</t>
        </is>
      </c>
      <c r="P1207" t="n">
        <v>0.0002</v>
      </c>
      <c r="Q1207" t="n">
        <v>0.0426</v>
      </c>
      <c r="R1207" t="inlineStr">
        <is>
          <t>T1190:Exploit Public-Facing Application</t>
        </is>
      </c>
      <c r="S1207" t="n">
        <v>2</v>
      </c>
      <c r="T1207" t="inlineStr">
        <is>
          <t>MEDIUM (52%)</t>
        </is>
      </c>
      <c r="U1207" t="inlineStr">
        <is>
          <t>UNLIKELY</t>
        </is>
      </c>
      <c r="V1207" t="inlineStr">
        <is>
          <t>PATCH_AVAILABLE</t>
        </is>
      </c>
      <c r="W1207" t="inlineStr">
        <is>
          <t>https://nvd.nist.gov/vuln/detail/CVE-2026-2790</t>
        </is>
      </c>
      <c r="X1207" t="inlineStr">
        <is>
          <t>NONE</t>
        </is>
      </c>
      <c r="Y1207" t="n">
        <v>0</v>
      </c>
      <c r="Z1207" t="inlineStr"/>
      <c r="AA1207" t="inlineStr">
        <is>
          <t>https://nvd.nist.gov/vuln/detail/CVE-2026-2790</t>
        </is>
      </c>
    </row>
    <row r="1208">
      <c r="A1208" t="inlineStr">
        <is>
          <t>CVE</t>
        </is>
      </c>
      <c r="B1208" t="inlineStr">
        <is>
          <t>CVE-2026-2791</t>
        </is>
      </c>
      <c r="C1208" t="inlineStr">
        <is>
          <t>Mitigation bypass in the Networking: Cache component. This vulnerability affects Firefox &lt; 148, Firefox ESR &lt; 140.8, Thunderbird &lt; 148, and Thunderbird &lt; 140.8.</t>
        </is>
      </c>
      <c r="D1208" t="n">
        <v>9.800000000000001</v>
      </c>
      <c r="E1208" t="inlineStr">
        <is>
          <t>CRITICAL</t>
        </is>
      </c>
      <c r="F1208" t="n">
        <v>2</v>
      </c>
      <c r="G1208" t="n">
        <v>3</v>
      </c>
      <c r="H1208" t="inlineStr">
        <is>
          <t>HIGH</t>
        </is>
      </c>
      <c r="I1208" t="n">
        <v>15.8</v>
      </c>
      <c r="J1208" t="inlineStr">
        <is>
          <t>NO</t>
        </is>
      </c>
      <c r="K1208" t="inlineStr">
        <is>
          <t>2026-02-26 00:15</t>
        </is>
      </c>
      <c r="L1208" t="inlineStr">
        <is>
          <t>YES</t>
        </is>
      </c>
      <c r="M1208" t="inlineStr">
        <is>
          <t>mozilla firefox * | mozilla thunderbird *</t>
        </is>
      </c>
      <c r="N1208" t="inlineStr">
        <is>
          <t>P3</t>
        </is>
      </c>
      <c r="O1208" t="inlineStr">
        <is>
          <t>CVE - IP enrichment n/a</t>
        </is>
      </c>
      <c r="P1208" t="n">
        <v>0</v>
      </c>
      <c r="Q1208" t="n">
        <v>0</v>
      </c>
      <c r="R1208" t="inlineStr">
        <is>
          <t>T1190:Exploit Public-Facing Application</t>
        </is>
      </c>
      <c r="S1208" t="n">
        <v>2</v>
      </c>
      <c r="T1208" t="inlineStr">
        <is>
          <t>MEDIUM (52%)</t>
        </is>
      </c>
      <c r="U1208" t="inlineStr">
        <is>
          <t>UNLIKELY</t>
        </is>
      </c>
      <c r="V1208" t="inlineStr">
        <is>
          <t>PATCH_AVAILABLE</t>
        </is>
      </c>
      <c r="W1208" t="inlineStr">
        <is>
          <t>https://nvd.nist.gov/vuln/detail/CVE-2026-2791</t>
        </is>
      </c>
      <c r="X1208" t="inlineStr">
        <is>
          <t>NONE</t>
        </is>
      </c>
      <c r="Y1208" t="n">
        <v>0</v>
      </c>
      <c r="Z1208" t="inlineStr"/>
      <c r="AA1208" t="inlineStr">
        <is>
          <t>https://nvd.nist.gov/vuln/detail/CVE-2026-2791</t>
        </is>
      </c>
    </row>
    <row r="1209">
      <c r="A1209" t="inlineStr">
        <is>
          <t>CVE</t>
        </is>
      </c>
      <c r="B1209" t="inlineStr">
        <is>
          <t>CVE-2026-2792</t>
        </is>
      </c>
      <c r="C1209" t="inlineStr">
        <is>
          <t>Memory safety bugs present in Firefox ESR 140.7, Thunderbird ESR 140.7, Firefox 147 and Thunderbird 147. Some of these bugs showed evidence of memory corruption and we presume that with enough effort some of these could have been exploited to run arbitrary code. This vulnerability affects Firefox &lt; 148, Firefox ESR &lt; 140.8, Thunderbird &lt; 148, and Thunderbird &lt; 140.8.</t>
        </is>
      </c>
      <c r="D1209" t="n">
        <v>9.800000000000001</v>
      </c>
      <c r="E1209" t="inlineStr">
        <is>
          <t>CRITICAL</t>
        </is>
      </c>
      <c r="F1209" t="n">
        <v>2</v>
      </c>
      <c r="G1209" t="n">
        <v>3</v>
      </c>
      <c r="H1209" t="inlineStr">
        <is>
          <t>HIGH</t>
        </is>
      </c>
      <c r="I1209" t="n">
        <v>15.8</v>
      </c>
      <c r="J1209" t="inlineStr">
        <is>
          <t>NO</t>
        </is>
      </c>
      <c r="K1209" t="inlineStr">
        <is>
          <t>2026-02-26 00:15</t>
        </is>
      </c>
      <c r="L1209" t="inlineStr">
        <is>
          <t>YES</t>
        </is>
      </c>
      <c r="M1209" t="inlineStr">
        <is>
          <t>mozilla firefox * | mozilla thunderbird *</t>
        </is>
      </c>
      <c r="N1209" t="inlineStr">
        <is>
          <t>P3</t>
        </is>
      </c>
      <c r="O1209" t="inlineStr">
        <is>
          <t>CVE - IP enrichment n/a</t>
        </is>
      </c>
      <c r="P1209" t="n">
        <v>0.0002</v>
      </c>
      <c r="Q1209" t="n">
        <v>0.0426</v>
      </c>
      <c r="R1209" t="inlineStr">
        <is>
          <t>T1203:Exploitation for Client Execution</t>
        </is>
      </c>
      <c r="S1209" t="n">
        <v>2</v>
      </c>
      <c r="T1209" t="inlineStr">
        <is>
          <t>MEDIUM (52%)</t>
        </is>
      </c>
      <c r="U1209" t="inlineStr">
        <is>
          <t>UNLIKELY</t>
        </is>
      </c>
      <c r="V1209" t="inlineStr">
        <is>
          <t>PATCH_AVAILABLE</t>
        </is>
      </c>
      <c r="W1209" t="inlineStr">
        <is>
          <t>https://nvd.nist.gov/vuln/detail/CVE-2026-2792</t>
        </is>
      </c>
      <c r="X1209" t="inlineStr">
        <is>
          <t>NONE</t>
        </is>
      </c>
      <c r="Y1209" t="n">
        <v>0</v>
      </c>
      <c r="Z1209" t="inlineStr"/>
      <c r="AA1209" t="inlineStr">
        <is>
          <t>https://nvd.nist.gov/vuln/detail/CVE-2026-2792</t>
        </is>
      </c>
    </row>
    <row r="1210">
      <c r="A1210" t="inlineStr">
        <is>
          <t>CVE</t>
        </is>
      </c>
      <c r="B1210" t="inlineStr">
        <is>
          <t>CVE-2026-2793</t>
        </is>
      </c>
      <c r="C1210" t="inlineStr">
        <is>
          <t>Memory safety bugs present in Firefox ESR 115.32, Firefox ESR 140.7, Thunderbird ESR 140.7, Firefox 147 and Thunderbird 147. Some of these bugs showed evidence of memory corruption and we presume that with enough effort some of these could have been exploited to run arbitrary code. This vulnerability affects Firefox &lt; 148, Firefox ESR &lt; 115.33, Firefox ESR &lt; 140.8, Thunderbird &lt; 148, and Thunderbird &lt; 140.8.</t>
        </is>
      </c>
      <c r="D1210" t="n">
        <v>9.800000000000001</v>
      </c>
      <c r="E1210" t="inlineStr">
        <is>
          <t>CRITICAL</t>
        </is>
      </c>
      <c r="F1210" t="n">
        <v>2</v>
      </c>
      <c r="G1210" t="n">
        <v>3</v>
      </c>
      <c r="H1210" t="inlineStr">
        <is>
          <t>HIGH</t>
        </is>
      </c>
      <c r="I1210" t="n">
        <v>15.8</v>
      </c>
      <c r="J1210" t="inlineStr">
        <is>
          <t>NO</t>
        </is>
      </c>
      <c r="K1210" t="inlineStr">
        <is>
          <t>2026-02-26 00:15</t>
        </is>
      </c>
      <c r="L1210" t="inlineStr">
        <is>
          <t>YES</t>
        </is>
      </c>
      <c r="M1210" t="inlineStr">
        <is>
          <t>mozilla firefox *</t>
        </is>
      </c>
      <c r="N1210" t="inlineStr">
        <is>
          <t>P3</t>
        </is>
      </c>
      <c r="O1210" t="inlineStr">
        <is>
          <t>CVE - IP enrichment n/a</t>
        </is>
      </c>
      <c r="P1210" t="n">
        <v>0.0002</v>
      </c>
      <c r="Q1210" t="n">
        <v>0.0643</v>
      </c>
      <c r="R1210" t="inlineStr">
        <is>
          <t>T1203:Exploitation for Client Execution</t>
        </is>
      </c>
      <c r="S1210" t="n">
        <v>2</v>
      </c>
      <c r="T1210" t="inlineStr">
        <is>
          <t>MEDIUM (52%)</t>
        </is>
      </c>
      <c r="U1210" t="inlineStr">
        <is>
          <t>UNLIKELY</t>
        </is>
      </c>
      <c r="V1210" t="inlineStr">
        <is>
          <t>PATCH_AVAILABLE</t>
        </is>
      </c>
      <c r="W1210" t="inlineStr">
        <is>
          <t>https://nvd.nist.gov/vuln/detail/CVE-2026-2793</t>
        </is>
      </c>
      <c r="X1210" t="inlineStr">
        <is>
          <t>NONE</t>
        </is>
      </c>
      <c r="Y1210" t="n">
        <v>0</v>
      </c>
      <c r="Z1210" t="inlineStr"/>
      <c r="AA1210" t="inlineStr">
        <is>
          <t>https://nvd.nist.gov/vuln/detail/CVE-2026-2793</t>
        </is>
      </c>
    </row>
    <row r="1211">
      <c r="A1211" t="inlineStr">
        <is>
          <t>CVE</t>
        </is>
      </c>
      <c r="B1211" t="inlineStr">
        <is>
          <t>CVE-2026-2794</t>
        </is>
      </c>
      <c r="C1211" t="inlineStr">
        <is>
          <t>Information disclosure due to uninitialized memory in Firefox and Firefox Focus for Android. This vulnerability affects Firefox &lt; 148.</t>
        </is>
      </c>
      <c r="D1211" t="n">
        <v>7.5</v>
      </c>
      <c r="E1211" t="inlineStr">
        <is>
          <t>HIGH</t>
        </is>
      </c>
      <c r="F1211" t="n">
        <v>2</v>
      </c>
      <c r="G1211" t="n">
        <v>3</v>
      </c>
      <c r="H1211" t="inlineStr">
        <is>
          <t>HIGH</t>
        </is>
      </c>
      <c r="I1211" t="n">
        <v>13.5</v>
      </c>
      <c r="J1211" t="inlineStr">
        <is>
          <t>NO</t>
        </is>
      </c>
      <c r="K1211" t="inlineStr">
        <is>
          <t>2026-02-26 00:15</t>
        </is>
      </c>
      <c r="L1211" t="inlineStr">
        <is>
          <t>YES</t>
        </is>
      </c>
      <c r="M1211" t="inlineStr">
        <is>
          <t>mozilla firefox *</t>
        </is>
      </c>
      <c r="N1211" t="inlineStr">
        <is>
          <t>P3</t>
        </is>
      </c>
      <c r="O1211" t="inlineStr">
        <is>
          <t>CVE - IP enrichment n/a</t>
        </is>
      </c>
      <c r="P1211" t="n">
        <v>0</v>
      </c>
      <c r="Q1211" t="n">
        <v>0</v>
      </c>
      <c r="R1211" t="inlineStr">
        <is>
          <t>T1213:Data from Information Repositories</t>
        </is>
      </c>
      <c r="S1211" t="n">
        <v>2</v>
      </c>
      <c r="T1211" t="inlineStr">
        <is>
          <t>MEDIUM (52%)</t>
        </is>
      </c>
      <c r="U1211" t="inlineStr">
        <is>
          <t>UNLIKELY</t>
        </is>
      </c>
      <c r="V1211" t="inlineStr">
        <is>
          <t>PATCH_AVAILABLE</t>
        </is>
      </c>
      <c r="W1211" t="inlineStr">
        <is>
          <t>https://nvd.nist.gov/vuln/detail/CVE-2026-2794</t>
        </is>
      </c>
      <c r="X1211" t="inlineStr">
        <is>
          <t>NONE</t>
        </is>
      </c>
      <c r="Y1211" t="n">
        <v>0</v>
      </c>
      <c r="Z1211" t="inlineStr"/>
      <c r="AA1211" t="inlineStr">
        <is>
          <t>https://nvd.nist.gov/vuln/detail/CVE-2026-2794</t>
        </is>
      </c>
    </row>
    <row r="1212">
      <c r="A1212" t="inlineStr">
        <is>
          <t>CVE</t>
        </is>
      </c>
      <c r="B1212" t="inlineStr">
        <is>
          <t>CVE-2026-2795</t>
        </is>
      </c>
      <c r="C1212" t="inlineStr">
        <is>
          <t>Use-after-free in the JavaScript: GC component. This vulnerability affects Firefox &lt; 148 and Thunderbird &lt; 148.</t>
        </is>
      </c>
      <c r="D1212" t="n">
        <v>9.800000000000001</v>
      </c>
      <c r="E1212" t="inlineStr">
        <is>
          <t>CRITICAL</t>
        </is>
      </c>
      <c r="F1212" t="n">
        <v>2</v>
      </c>
      <c r="G1212" t="n">
        <v>3</v>
      </c>
      <c r="H1212" t="inlineStr">
        <is>
          <t>HIGH</t>
        </is>
      </c>
      <c r="I1212" t="n">
        <v>15.8</v>
      </c>
      <c r="J1212" t="inlineStr">
        <is>
          <t>NO</t>
        </is>
      </c>
      <c r="K1212" t="inlineStr">
        <is>
          <t>2026-02-26 00:15</t>
        </is>
      </c>
      <c r="L1212" t="inlineStr">
        <is>
          <t>YES</t>
        </is>
      </c>
      <c r="M1212" t="inlineStr">
        <is>
          <t>mozilla firefox * | mozilla thunderbird *</t>
        </is>
      </c>
      <c r="N1212" t="inlineStr">
        <is>
          <t>P3</t>
        </is>
      </c>
      <c r="O1212" t="inlineStr">
        <is>
          <t>CVE - IP enrichment n/a</t>
        </is>
      </c>
      <c r="P1212" t="n">
        <v>0</v>
      </c>
      <c r="Q1212" t="n">
        <v>0</v>
      </c>
      <c r="R1212" t="inlineStr">
        <is>
          <t>T1203:Exploitation for Client Execution</t>
        </is>
      </c>
      <c r="S1212" t="n">
        <v>2</v>
      </c>
      <c r="T1212" t="inlineStr">
        <is>
          <t>MEDIUM (52%)</t>
        </is>
      </c>
      <c r="U1212" t="inlineStr">
        <is>
          <t>UNLIKELY</t>
        </is>
      </c>
      <c r="V1212" t="inlineStr">
        <is>
          <t>PATCH_AVAILABLE</t>
        </is>
      </c>
      <c r="W1212" t="inlineStr">
        <is>
          <t>https://nvd.nist.gov/vuln/detail/CVE-2026-2795</t>
        </is>
      </c>
      <c r="X1212" t="inlineStr">
        <is>
          <t>NONE</t>
        </is>
      </c>
      <c r="Y1212" t="n">
        <v>0</v>
      </c>
      <c r="Z1212" t="inlineStr"/>
      <c r="AA1212" t="inlineStr">
        <is>
          <t>https://nvd.nist.gov/vuln/detail/CVE-2026-2795</t>
        </is>
      </c>
    </row>
    <row r="1213">
      <c r="A1213" t="inlineStr">
        <is>
          <t>CVE</t>
        </is>
      </c>
      <c r="B1213" t="inlineStr">
        <is>
          <t>CVE-2026-2796</t>
        </is>
      </c>
      <c r="C1213" t="inlineStr">
        <is>
          <t>JIT miscompilation in the JavaScript: WebAssembly component. This vulnerability affects Firefox &lt; 148 and Thunderbird &lt; 148.</t>
        </is>
      </c>
      <c r="D1213" t="n">
        <v>9.800000000000001</v>
      </c>
      <c r="E1213" t="inlineStr">
        <is>
          <t>CRITICAL</t>
        </is>
      </c>
      <c r="F1213" t="n">
        <v>2</v>
      </c>
      <c r="G1213" t="n">
        <v>3</v>
      </c>
      <c r="H1213" t="inlineStr">
        <is>
          <t>HIGH</t>
        </is>
      </c>
      <c r="I1213" t="n">
        <v>15.8</v>
      </c>
      <c r="J1213" t="inlineStr">
        <is>
          <t>NO</t>
        </is>
      </c>
      <c r="K1213" t="inlineStr">
        <is>
          <t>2026-02-26 00:15</t>
        </is>
      </c>
      <c r="L1213" t="inlineStr">
        <is>
          <t>YES</t>
        </is>
      </c>
      <c r="M1213" t="inlineStr">
        <is>
          <t>mozilla firefox * | mozilla thunderbird *</t>
        </is>
      </c>
      <c r="N1213" t="inlineStr">
        <is>
          <t>P3</t>
        </is>
      </c>
      <c r="O1213" t="inlineStr">
        <is>
          <t>CVE - IP enrichment n/a</t>
        </is>
      </c>
      <c r="P1213" t="n">
        <v>0</v>
      </c>
      <c r="Q1213" t="n">
        <v>0</v>
      </c>
      <c r="R1213" t="inlineStr">
        <is>
          <t>T1190:Exploit Public-Facing Application</t>
        </is>
      </c>
      <c r="S1213" t="n">
        <v>1</v>
      </c>
      <c r="T1213" t="inlineStr">
        <is>
          <t>LOW (40%)</t>
        </is>
      </c>
      <c r="U1213" t="inlineStr">
        <is>
          <t>UNLIKELY</t>
        </is>
      </c>
      <c r="V1213" t="inlineStr">
        <is>
          <t>PATCH_AVAILABLE</t>
        </is>
      </c>
      <c r="W1213" t="inlineStr">
        <is>
          <t>https://nvd.nist.gov/vuln/detail/CVE-2026-2796</t>
        </is>
      </c>
      <c r="X1213" t="inlineStr">
        <is>
          <t>NONE</t>
        </is>
      </c>
      <c r="Y1213" t="n">
        <v>0</v>
      </c>
      <c r="Z1213" t="inlineStr"/>
      <c r="AA1213" t="inlineStr">
        <is>
          <t>https://nvd.nist.gov/vuln/detail/CVE-2026-2796</t>
        </is>
      </c>
    </row>
    <row r="1214">
      <c r="A1214" t="inlineStr">
        <is>
          <t>CVE</t>
        </is>
      </c>
      <c r="B1214" t="inlineStr">
        <is>
          <t>CVE-2026-2797</t>
        </is>
      </c>
      <c r="C1214" t="inlineStr">
        <is>
          <t>Use-after-free in the JavaScript: GC component. This vulnerability affects Firefox &lt; 148 and Thunderbird &lt; 148.</t>
        </is>
      </c>
      <c r="D1214" t="n">
        <v>9.800000000000001</v>
      </c>
      <c r="E1214" t="inlineStr">
        <is>
          <t>CRITICAL</t>
        </is>
      </c>
      <c r="F1214" t="n">
        <v>2</v>
      </c>
      <c r="G1214" t="n">
        <v>3</v>
      </c>
      <c r="H1214" t="inlineStr">
        <is>
          <t>HIGH</t>
        </is>
      </c>
      <c r="I1214" t="n">
        <v>15.8</v>
      </c>
      <c r="J1214" t="inlineStr">
        <is>
          <t>NO</t>
        </is>
      </c>
      <c r="K1214" t="inlineStr">
        <is>
          <t>2026-02-26 00:15</t>
        </is>
      </c>
      <c r="L1214" t="inlineStr">
        <is>
          <t>YES</t>
        </is>
      </c>
      <c r="M1214" t="inlineStr">
        <is>
          <t>mozilla firefox * | mozilla thunderbird *</t>
        </is>
      </c>
      <c r="N1214" t="inlineStr">
        <is>
          <t>P3</t>
        </is>
      </c>
      <c r="O1214" t="inlineStr">
        <is>
          <t>CVE - IP enrichment n/a</t>
        </is>
      </c>
      <c r="P1214" t="n">
        <v>0</v>
      </c>
      <c r="Q1214" t="n">
        <v>0</v>
      </c>
      <c r="R1214" t="inlineStr">
        <is>
          <t>T1203:Exploitation for Client Execution</t>
        </is>
      </c>
      <c r="S1214" t="n">
        <v>1</v>
      </c>
      <c r="T1214" t="inlineStr">
        <is>
          <t>LOW (40%)</t>
        </is>
      </c>
      <c r="U1214" t="inlineStr">
        <is>
          <t>UNLIKELY</t>
        </is>
      </c>
      <c r="V1214" t="inlineStr">
        <is>
          <t>PATCH_AVAILABLE</t>
        </is>
      </c>
      <c r="W1214" t="inlineStr">
        <is>
          <t>https://nvd.nist.gov/vuln/detail/CVE-2026-2797</t>
        </is>
      </c>
      <c r="X1214" t="inlineStr">
        <is>
          <t>NONE</t>
        </is>
      </c>
      <c r="Y1214" t="n">
        <v>0</v>
      </c>
      <c r="Z1214" t="inlineStr"/>
      <c r="AA1214" t="inlineStr">
        <is>
          <t>https://nvd.nist.gov/vuln/detail/CVE-2026-2797</t>
        </is>
      </c>
    </row>
    <row r="1215">
      <c r="A1215" t="inlineStr">
        <is>
          <t>CVE</t>
        </is>
      </c>
      <c r="B1215" t="inlineStr">
        <is>
          <t>CVE-2026-2798</t>
        </is>
      </c>
      <c r="C1215" t="inlineStr">
        <is>
          <t>Use-after-free in the DOM: Core &amp; HTML component. This vulnerability affects Firefox &lt; 148 and Thunderbird &lt; 148.</t>
        </is>
      </c>
      <c r="D1215" t="n">
        <v>8.800000000000001</v>
      </c>
      <c r="E1215" t="inlineStr">
        <is>
          <t>HIGH</t>
        </is>
      </c>
      <c r="F1215" t="n">
        <v>2</v>
      </c>
      <c r="G1215" t="n">
        <v>3</v>
      </c>
      <c r="H1215" t="inlineStr">
        <is>
          <t>HIGH</t>
        </is>
      </c>
      <c r="I1215" t="n">
        <v>14.8</v>
      </c>
      <c r="J1215" t="inlineStr">
        <is>
          <t>NO</t>
        </is>
      </c>
      <c r="K1215" t="inlineStr">
        <is>
          <t>2026-02-26 00:15</t>
        </is>
      </c>
      <c r="L1215" t="inlineStr">
        <is>
          <t>YES</t>
        </is>
      </c>
      <c r="M1215" t="inlineStr">
        <is>
          <t>mozilla firefox * | mozilla thunderbird *</t>
        </is>
      </c>
      <c r="N1215" t="inlineStr">
        <is>
          <t>P3</t>
        </is>
      </c>
      <c r="O1215" t="inlineStr">
        <is>
          <t>CVE - IP enrichment n/a</t>
        </is>
      </c>
      <c r="P1215" t="n">
        <v>0</v>
      </c>
      <c r="Q1215" t="n">
        <v>0</v>
      </c>
      <c r="R1215" t="inlineStr">
        <is>
          <t>T1203:Exploitation for Client Execution</t>
        </is>
      </c>
      <c r="S1215" t="n">
        <v>1</v>
      </c>
      <c r="T1215" t="inlineStr">
        <is>
          <t>LOW (40%)</t>
        </is>
      </c>
      <c r="U1215" t="inlineStr">
        <is>
          <t>UNLIKELY</t>
        </is>
      </c>
      <c r="V1215" t="inlineStr">
        <is>
          <t>PATCH_AVAILABLE</t>
        </is>
      </c>
      <c r="W1215" t="inlineStr">
        <is>
          <t>https://nvd.nist.gov/vuln/detail/CVE-2026-2798</t>
        </is>
      </c>
      <c r="X1215" t="inlineStr">
        <is>
          <t>NONE</t>
        </is>
      </c>
      <c r="Y1215" t="n">
        <v>0</v>
      </c>
      <c r="Z1215" t="inlineStr"/>
      <c r="AA1215" t="inlineStr">
        <is>
          <t>https://nvd.nist.gov/vuln/detail/CVE-2026-2798</t>
        </is>
      </c>
    </row>
    <row r="1216">
      <c r="A1216" t="inlineStr">
        <is>
          <t>CVE</t>
        </is>
      </c>
      <c r="B1216" t="inlineStr">
        <is>
          <t>CVE-2026-2799</t>
        </is>
      </c>
      <c r="C1216" t="inlineStr">
        <is>
          <t>Use-after-free in the DOM: Core &amp; HTML component. This vulnerability affects Firefox &lt; 148 and Thunderbird &lt; 148.</t>
        </is>
      </c>
      <c r="D1216" t="n">
        <v>9.800000000000001</v>
      </c>
      <c r="E1216" t="inlineStr">
        <is>
          <t>CRITICAL</t>
        </is>
      </c>
      <c r="F1216" t="n">
        <v>2</v>
      </c>
      <c r="G1216" t="n">
        <v>3</v>
      </c>
      <c r="H1216" t="inlineStr">
        <is>
          <t>HIGH</t>
        </is>
      </c>
      <c r="I1216" t="n">
        <v>15.8</v>
      </c>
      <c r="J1216" t="inlineStr">
        <is>
          <t>NO</t>
        </is>
      </c>
      <c r="K1216" t="inlineStr">
        <is>
          <t>2026-02-26 00:15</t>
        </is>
      </c>
      <c r="L1216" t="inlineStr">
        <is>
          <t>YES</t>
        </is>
      </c>
      <c r="M1216" t="inlineStr">
        <is>
          <t>mozilla firefox * | mozilla thunderbird *</t>
        </is>
      </c>
      <c r="N1216" t="inlineStr">
        <is>
          <t>P3</t>
        </is>
      </c>
      <c r="O1216" t="inlineStr">
        <is>
          <t>CVE - IP enrichment n/a</t>
        </is>
      </c>
      <c r="P1216" t="n">
        <v>0</v>
      </c>
      <c r="Q1216" t="n">
        <v>0</v>
      </c>
      <c r="R1216" t="inlineStr">
        <is>
          <t>T1203:Exploitation for Client Execution</t>
        </is>
      </c>
      <c r="S1216" t="n">
        <v>1</v>
      </c>
      <c r="T1216" t="inlineStr">
        <is>
          <t>LOW (40%)</t>
        </is>
      </c>
      <c r="U1216" t="inlineStr">
        <is>
          <t>UNLIKELY</t>
        </is>
      </c>
      <c r="V1216" t="inlineStr">
        <is>
          <t>PATCH_AVAILABLE</t>
        </is>
      </c>
      <c r="W1216" t="inlineStr">
        <is>
          <t>https://nvd.nist.gov/vuln/detail/CVE-2026-2799</t>
        </is>
      </c>
      <c r="X1216" t="inlineStr">
        <is>
          <t>NONE</t>
        </is>
      </c>
      <c r="Y1216" t="n">
        <v>0</v>
      </c>
      <c r="Z1216" t="inlineStr"/>
      <c r="AA1216" t="inlineStr">
        <is>
          <t>https://nvd.nist.gov/vuln/detail/CVE-2026-2799</t>
        </is>
      </c>
    </row>
    <row r="1217">
      <c r="A1217" t="inlineStr">
        <is>
          <t>CVE</t>
        </is>
      </c>
      <c r="B1217" t="inlineStr">
        <is>
          <t>CVE-2026-2800</t>
        </is>
      </c>
      <c r="C1217" t="inlineStr">
        <is>
          <t>Spoofing issue in the WebAuthn component in Firefox for Android. This vulnerability affects Firefox &lt; 148 and Thunderbird &lt; 148.</t>
        </is>
      </c>
      <c r="D1217" t="n">
        <v>9.800000000000001</v>
      </c>
      <c r="E1217" t="inlineStr">
        <is>
          <t>CRITICAL</t>
        </is>
      </c>
      <c r="F1217" t="n">
        <v>2</v>
      </c>
      <c r="G1217" t="n">
        <v>3</v>
      </c>
      <c r="H1217" t="inlineStr">
        <is>
          <t>HIGH</t>
        </is>
      </c>
      <c r="I1217" t="n">
        <v>15.8</v>
      </c>
      <c r="J1217" t="inlineStr">
        <is>
          <t>NO</t>
        </is>
      </c>
      <c r="K1217" t="inlineStr">
        <is>
          <t>2026-02-26 00:15</t>
        </is>
      </c>
      <c r="L1217" t="inlineStr">
        <is>
          <t>YES</t>
        </is>
      </c>
      <c r="M1217" t="inlineStr">
        <is>
          <t>mozilla firefox * | mozilla thunderbird *</t>
        </is>
      </c>
      <c r="N1217" t="inlineStr">
        <is>
          <t>P3</t>
        </is>
      </c>
      <c r="O1217" t="inlineStr">
        <is>
          <t>CVE - IP enrichment n/a</t>
        </is>
      </c>
      <c r="P1217" t="n">
        <v>0</v>
      </c>
      <c r="Q1217" t="n">
        <v>0</v>
      </c>
      <c r="R1217" t="inlineStr">
        <is>
          <t>T1190:Exploit Public-Facing Application</t>
        </is>
      </c>
      <c r="S1217" t="n">
        <v>1</v>
      </c>
      <c r="T1217" t="inlineStr">
        <is>
          <t>LOW (40%)</t>
        </is>
      </c>
      <c r="U1217" t="inlineStr">
        <is>
          <t>UNLIKELY</t>
        </is>
      </c>
      <c r="V1217" t="inlineStr">
        <is>
          <t>PATCH_AVAILABLE</t>
        </is>
      </c>
      <c r="W1217" t="inlineStr">
        <is>
          <t>https://nvd.nist.gov/vuln/detail/CVE-2026-2800</t>
        </is>
      </c>
      <c r="X1217" t="inlineStr">
        <is>
          <t>NONE</t>
        </is>
      </c>
      <c r="Y1217" t="n">
        <v>0</v>
      </c>
      <c r="Z1217" t="inlineStr"/>
      <c r="AA1217" t="inlineStr">
        <is>
          <t>https://nvd.nist.gov/vuln/detail/CVE-2026-2800</t>
        </is>
      </c>
    </row>
    <row r="1218">
      <c r="A1218" t="inlineStr">
        <is>
          <t>CVE</t>
        </is>
      </c>
      <c r="B1218" t="inlineStr">
        <is>
          <t>CVE-2026-2801</t>
        </is>
      </c>
      <c r="C1218" t="inlineStr">
        <is>
          <t>Incorrect boundary conditions in the JavaScript: WebAssembly component. This vulnerability affects Firefox &lt; 148 and Thunderbird &lt; 148.</t>
        </is>
      </c>
      <c r="D1218" t="n">
        <v>7.5</v>
      </c>
      <c r="E1218" t="inlineStr">
        <is>
          <t>HIGH</t>
        </is>
      </c>
      <c r="F1218" t="n">
        <v>2</v>
      </c>
      <c r="G1218" t="n">
        <v>3</v>
      </c>
      <c r="H1218" t="inlineStr">
        <is>
          <t>HIGH</t>
        </is>
      </c>
      <c r="I1218" t="n">
        <v>13.5</v>
      </c>
      <c r="J1218" t="inlineStr">
        <is>
          <t>NO</t>
        </is>
      </c>
      <c r="K1218" t="inlineStr">
        <is>
          <t>2026-02-26 00:15</t>
        </is>
      </c>
      <c r="L1218" t="inlineStr">
        <is>
          <t>YES</t>
        </is>
      </c>
      <c r="M1218" t="inlineStr">
        <is>
          <t>mozilla firefox * | mozilla thunderbird *</t>
        </is>
      </c>
      <c r="N1218" t="inlineStr">
        <is>
          <t>P3</t>
        </is>
      </c>
      <c r="O1218" t="inlineStr">
        <is>
          <t>CVE - IP enrichment n/a</t>
        </is>
      </c>
      <c r="P1218" t="n">
        <v>0.0002</v>
      </c>
      <c r="Q1218" t="n">
        <v>0.0365</v>
      </c>
      <c r="R1218" t="inlineStr">
        <is>
          <t>T1190:Exploit Public-Facing Application</t>
        </is>
      </c>
      <c r="S1218" t="n">
        <v>1</v>
      </c>
      <c r="T1218" t="inlineStr">
        <is>
          <t>LOW (40%)</t>
        </is>
      </c>
      <c r="U1218" t="inlineStr">
        <is>
          <t>UNLIKELY</t>
        </is>
      </c>
      <c r="V1218" t="inlineStr">
        <is>
          <t>PATCH_AVAILABLE</t>
        </is>
      </c>
      <c r="W1218" t="inlineStr">
        <is>
          <t>https://nvd.nist.gov/vuln/detail/CVE-2026-2801</t>
        </is>
      </c>
      <c r="X1218" t="inlineStr">
        <is>
          <t>NONE</t>
        </is>
      </c>
      <c r="Y1218" t="n">
        <v>0</v>
      </c>
      <c r="Z1218" t="inlineStr"/>
      <c r="AA1218" t="inlineStr">
        <is>
          <t>https://nvd.nist.gov/vuln/detail/CVE-2026-2801</t>
        </is>
      </c>
    </row>
    <row r="1219">
      <c r="A1219" t="inlineStr">
        <is>
          <t>CVE</t>
        </is>
      </c>
      <c r="B1219" t="inlineStr">
        <is>
          <t>CVE-2026-2802</t>
        </is>
      </c>
      <c r="C1219" t="inlineStr">
        <is>
          <t>Race condition in the JavaScript: GC component. This vulnerability affects Firefox &lt; 148 and Thunderbird &lt; 148.</t>
        </is>
      </c>
      <c r="D1219" t="n">
        <v>4.2</v>
      </c>
      <c r="E1219" t="inlineStr">
        <is>
          <t>MEDIUM</t>
        </is>
      </c>
      <c r="F1219" t="n">
        <v>2</v>
      </c>
      <c r="G1219" t="n">
        <v>2</v>
      </c>
      <c r="H1219" t="inlineStr">
        <is>
          <t>MEDIUM</t>
        </is>
      </c>
      <c r="I1219" t="n">
        <v>8.199999999999999</v>
      </c>
      <c r="J1219" t="inlineStr">
        <is>
          <t>NO</t>
        </is>
      </c>
      <c r="K1219" t="inlineStr">
        <is>
          <t>2026-02-26 00:15</t>
        </is>
      </c>
      <c r="L1219" t="inlineStr">
        <is>
          <t>YES</t>
        </is>
      </c>
      <c r="M1219" t="inlineStr">
        <is>
          <t>mozilla firefox * | mozilla thunderbird *</t>
        </is>
      </c>
      <c r="N1219" t="inlineStr">
        <is>
          <t>P4</t>
        </is>
      </c>
      <c r="O1219" t="inlineStr">
        <is>
          <t>CVE - IP enrichment n/a</t>
        </is>
      </c>
      <c r="P1219" t="n">
        <v>0</v>
      </c>
      <c r="Q1219" t="n">
        <v>0</v>
      </c>
      <c r="R1219" t="inlineStr">
        <is>
          <t>T1068:Exploitation for Privilege Escalation</t>
        </is>
      </c>
      <c r="S1219" t="n">
        <v>1</v>
      </c>
      <c r="T1219" t="inlineStr">
        <is>
          <t>LOW (40%)</t>
        </is>
      </c>
      <c r="U1219" t="inlineStr">
        <is>
          <t>UNLIKELY</t>
        </is>
      </c>
      <c r="V1219" t="inlineStr">
        <is>
          <t>PATCH_AVAILABLE</t>
        </is>
      </c>
      <c r="W1219" t="inlineStr">
        <is>
          <t>https://nvd.nist.gov/vuln/detail/CVE-2026-2802</t>
        </is>
      </c>
      <c r="X1219" t="inlineStr">
        <is>
          <t>NONE</t>
        </is>
      </c>
      <c r="Y1219" t="n">
        <v>0</v>
      </c>
      <c r="Z1219" t="inlineStr"/>
      <c r="AA1219" t="inlineStr">
        <is>
          <t>https://nvd.nist.gov/vuln/detail/CVE-2026-2802</t>
        </is>
      </c>
    </row>
    <row r="1220">
      <c r="A1220" t="inlineStr">
        <is>
          <t>CVE</t>
        </is>
      </c>
      <c r="B1220" t="inlineStr">
        <is>
          <t>CVE-2026-2803</t>
        </is>
      </c>
      <c r="C1220" t="inlineStr">
        <is>
          <t>Information disclosure, mitigation bypass in the Settings UI component. This vulnerability affects Firefox &lt; 148 and Thunderbird &lt; 148.</t>
        </is>
      </c>
      <c r="D1220" t="n">
        <v>7.5</v>
      </c>
      <c r="E1220" t="inlineStr">
        <is>
          <t>HIGH</t>
        </is>
      </c>
      <c r="F1220" t="n">
        <v>2</v>
      </c>
      <c r="G1220" t="n">
        <v>3</v>
      </c>
      <c r="H1220" t="inlineStr">
        <is>
          <t>HIGH</t>
        </is>
      </c>
      <c r="I1220" t="n">
        <v>13.5</v>
      </c>
      <c r="J1220" t="inlineStr">
        <is>
          <t>NO</t>
        </is>
      </c>
      <c r="K1220" t="inlineStr">
        <is>
          <t>2026-02-26 00:15</t>
        </is>
      </c>
      <c r="L1220" t="inlineStr">
        <is>
          <t>YES</t>
        </is>
      </c>
      <c r="M1220" t="inlineStr">
        <is>
          <t>mozilla firefox * | mozilla thunderbird *</t>
        </is>
      </c>
      <c r="N1220" t="inlineStr">
        <is>
          <t>P3</t>
        </is>
      </c>
      <c r="O1220" t="inlineStr">
        <is>
          <t>CVE - IP enrichment n/a</t>
        </is>
      </c>
      <c r="P1220" t="n">
        <v>0.0002</v>
      </c>
      <c r="Q1220" t="n">
        <v>0.0365</v>
      </c>
      <c r="R1220" t="inlineStr">
        <is>
          <t>T1213:Data from Information Repositories</t>
        </is>
      </c>
      <c r="S1220" t="n">
        <v>1</v>
      </c>
      <c r="T1220" t="inlineStr">
        <is>
          <t>LOW (40%)</t>
        </is>
      </c>
      <c r="U1220" t="inlineStr">
        <is>
          <t>UNLIKELY</t>
        </is>
      </c>
      <c r="V1220" t="inlineStr">
        <is>
          <t>PATCH_AVAILABLE</t>
        </is>
      </c>
      <c r="W1220" t="inlineStr">
        <is>
          <t>https://nvd.nist.gov/vuln/detail/CVE-2026-2803</t>
        </is>
      </c>
      <c r="X1220" t="inlineStr">
        <is>
          <t>NONE</t>
        </is>
      </c>
      <c r="Y1220" t="n">
        <v>0</v>
      </c>
      <c r="Z1220" t="inlineStr"/>
      <c r="AA1220" t="inlineStr">
        <is>
          <t>https://nvd.nist.gov/vuln/detail/CVE-2026-2803</t>
        </is>
      </c>
    </row>
    <row r="1221">
      <c r="A1221" t="inlineStr">
        <is>
          <t>CVE</t>
        </is>
      </c>
      <c r="B1221" t="inlineStr">
        <is>
          <t>CVE-2026-2804</t>
        </is>
      </c>
      <c r="C1221" t="inlineStr">
        <is>
          <t>Use-after-free in the JavaScript: WebAssembly component. This vulnerability affects Firefox &lt; 148 and Thunderbird &lt; 148.</t>
        </is>
      </c>
      <c r="D1221" t="n">
        <v>5.4</v>
      </c>
      <c r="E1221" t="inlineStr">
        <is>
          <t>MEDIUM</t>
        </is>
      </c>
      <c r="F1221" t="n">
        <v>2</v>
      </c>
      <c r="G1221" t="n">
        <v>2</v>
      </c>
      <c r="H1221" t="inlineStr">
        <is>
          <t>MEDIUM</t>
        </is>
      </c>
      <c r="I1221" t="n">
        <v>9.4</v>
      </c>
      <c r="J1221" t="inlineStr">
        <is>
          <t>NO</t>
        </is>
      </c>
      <c r="K1221" t="inlineStr">
        <is>
          <t>2026-02-26 00:15</t>
        </is>
      </c>
      <c r="L1221" t="inlineStr">
        <is>
          <t>YES</t>
        </is>
      </c>
      <c r="M1221" t="inlineStr">
        <is>
          <t>mozilla firefox * | mozilla thunderbird *</t>
        </is>
      </c>
      <c r="N1221" t="inlineStr">
        <is>
          <t>P4</t>
        </is>
      </c>
      <c r="O1221" t="inlineStr">
        <is>
          <t>CVE - IP enrichment n/a</t>
        </is>
      </c>
      <c r="P1221" t="n">
        <v>0</v>
      </c>
      <c r="Q1221" t="n">
        <v>0</v>
      </c>
      <c r="R1221" t="inlineStr">
        <is>
          <t>T1203:Exploitation for Client Execution</t>
        </is>
      </c>
      <c r="S1221" t="n">
        <v>1</v>
      </c>
      <c r="T1221" t="inlineStr">
        <is>
          <t>LOW (40%)</t>
        </is>
      </c>
      <c r="U1221" t="inlineStr">
        <is>
          <t>UNLIKELY</t>
        </is>
      </c>
      <c r="V1221" t="inlineStr">
        <is>
          <t>PATCH_AVAILABLE</t>
        </is>
      </c>
      <c r="W1221" t="inlineStr">
        <is>
          <t>https://nvd.nist.gov/vuln/detail/CVE-2026-2804</t>
        </is>
      </c>
      <c r="X1221" t="inlineStr">
        <is>
          <t>NONE</t>
        </is>
      </c>
      <c r="Y1221" t="n">
        <v>0</v>
      </c>
      <c r="Z1221" t="inlineStr"/>
      <c r="AA1221" t="inlineStr">
        <is>
          <t>https://nvd.nist.gov/vuln/detail/CVE-2026-2804</t>
        </is>
      </c>
    </row>
    <row r="1222">
      <c r="A1222" t="inlineStr">
        <is>
          <t>CVE</t>
        </is>
      </c>
      <c r="B1222" t="inlineStr">
        <is>
          <t>CVE-2026-2805</t>
        </is>
      </c>
      <c r="C1222" t="inlineStr">
        <is>
          <t>Invalid pointer in the DOM: Core &amp; HTML component. This vulnerability affects Firefox &lt; 148 and Thunderbird &lt; 148.</t>
        </is>
      </c>
      <c r="D1222" t="n">
        <v>9.800000000000001</v>
      </c>
      <c r="E1222" t="inlineStr">
        <is>
          <t>CRITICAL</t>
        </is>
      </c>
      <c r="F1222" t="n">
        <v>2</v>
      </c>
      <c r="G1222" t="n">
        <v>3</v>
      </c>
      <c r="H1222" t="inlineStr">
        <is>
          <t>HIGH</t>
        </is>
      </c>
      <c r="I1222" t="n">
        <v>15.8</v>
      </c>
      <c r="J1222" t="inlineStr">
        <is>
          <t>NO</t>
        </is>
      </c>
      <c r="K1222" t="inlineStr">
        <is>
          <t>2026-02-26 00:15</t>
        </is>
      </c>
      <c r="L1222" t="inlineStr">
        <is>
          <t>YES</t>
        </is>
      </c>
      <c r="M1222" t="inlineStr">
        <is>
          <t>mozilla firefox * | mozilla thunderbird *</t>
        </is>
      </c>
      <c r="N1222" t="inlineStr">
        <is>
          <t>P3</t>
        </is>
      </c>
      <c r="O1222" t="inlineStr">
        <is>
          <t>CVE - IP enrichment n/a</t>
        </is>
      </c>
      <c r="P1222" t="n">
        <v>0.0002</v>
      </c>
      <c r="Q1222" t="n">
        <v>0.0365</v>
      </c>
      <c r="R1222" t="inlineStr">
        <is>
          <t>T1190:Exploit Public-Facing Application</t>
        </is>
      </c>
      <c r="S1222" t="n">
        <v>1</v>
      </c>
      <c r="T1222" t="inlineStr">
        <is>
          <t>LOW (40%)</t>
        </is>
      </c>
      <c r="U1222" t="inlineStr">
        <is>
          <t>UNLIKELY</t>
        </is>
      </c>
      <c r="V1222" t="inlineStr">
        <is>
          <t>PATCH_AVAILABLE</t>
        </is>
      </c>
      <c r="W1222" t="inlineStr">
        <is>
          <t>https://nvd.nist.gov/vuln/detail/CVE-2026-2805</t>
        </is>
      </c>
      <c r="X1222" t="inlineStr">
        <is>
          <t>NONE</t>
        </is>
      </c>
      <c r="Y1222" t="n">
        <v>0</v>
      </c>
      <c r="Z1222" t="inlineStr"/>
      <c r="AA1222" t="inlineStr">
        <is>
          <t>https://nvd.nist.gov/vuln/detail/CVE-2026-2805</t>
        </is>
      </c>
    </row>
    <row r="1223">
      <c r="A1223" t="inlineStr">
        <is>
          <t>CVE</t>
        </is>
      </c>
      <c r="B1223" t="inlineStr">
        <is>
          <t>CVE-2026-2806</t>
        </is>
      </c>
      <c r="C1223" t="inlineStr">
        <is>
          <t>Uninitialized memory in the Graphics: Text component. This vulnerability affects Firefox &lt; 148 and Thunderbird &lt; 148.</t>
        </is>
      </c>
      <c r="D1223" t="n">
        <v>9.1</v>
      </c>
      <c r="E1223" t="inlineStr">
        <is>
          <t>CRITICAL</t>
        </is>
      </c>
      <c r="F1223" t="n">
        <v>2</v>
      </c>
      <c r="G1223" t="n">
        <v>3</v>
      </c>
      <c r="H1223" t="inlineStr">
        <is>
          <t>HIGH</t>
        </is>
      </c>
      <c r="I1223" t="n">
        <v>15.1</v>
      </c>
      <c r="J1223" t="inlineStr">
        <is>
          <t>NO</t>
        </is>
      </c>
      <c r="K1223" t="inlineStr">
        <is>
          <t>2026-02-26 00:15</t>
        </is>
      </c>
      <c r="L1223" t="inlineStr">
        <is>
          <t>YES</t>
        </is>
      </c>
      <c r="M1223" t="inlineStr">
        <is>
          <t>mozilla firefox * | mozilla thunderbird *</t>
        </is>
      </c>
      <c r="N1223" t="inlineStr">
        <is>
          <t>P3</t>
        </is>
      </c>
      <c r="O1223" t="inlineStr">
        <is>
          <t>CVE - IP enrichment n/a</t>
        </is>
      </c>
      <c r="P1223" t="n">
        <v>0.0002</v>
      </c>
      <c r="Q1223" t="n">
        <v>0.0365</v>
      </c>
      <c r="R1223" t="inlineStr">
        <is>
          <t>T1190:Exploit Public-Facing Application</t>
        </is>
      </c>
      <c r="S1223" t="n">
        <v>1</v>
      </c>
      <c r="T1223" t="inlineStr">
        <is>
          <t>LOW (40%)</t>
        </is>
      </c>
      <c r="U1223" t="inlineStr">
        <is>
          <t>UNLIKELY</t>
        </is>
      </c>
      <c r="V1223" t="inlineStr">
        <is>
          <t>PATCH_AVAILABLE</t>
        </is>
      </c>
      <c r="W1223" t="inlineStr">
        <is>
          <t>https://nvd.nist.gov/vuln/detail/CVE-2026-2806</t>
        </is>
      </c>
      <c r="X1223" t="inlineStr">
        <is>
          <t>NONE</t>
        </is>
      </c>
      <c r="Y1223" t="n">
        <v>0</v>
      </c>
      <c r="Z1223" t="inlineStr"/>
      <c r="AA1223" t="inlineStr">
        <is>
          <t>https://nvd.nist.gov/vuln/detail/CVE-2026-2806</t>
        </is>
      </c>
    </row>
    <row r="1224">
      <c r="A1224" t="inlineStr">
        <is>
          <t>CVE</t>
        </is>
      </c>
      <c r="B1224" t="inlineStr">
        <is>
          <t>CVE-2026-2807</t>
        </is>
      </c>
      <c r="C1224" t="inlineStr">
        <is>
          <t>Memory safety bugs present in Firefox 147 and Thunderbird 147. Some of these bugs showed evidence of memory corruption and we presume that with enough effort some of these could have been exploited to run arbitrary code. This vulnerability affects Firefox &lt; 148 and Thunderbird &lt; 148.</t>
        </is>
      </c>
      <c r="D1224" t="n">
        <v>9.800000000000001</v>
      </c>
      <c r="E1224" t="inlineStr">
        <is>
          <t>CRITICAL</t>
        </is>
      </c>
      <c r="F1224" t="n">
        <v>2</v>
      </c>
      <c r="G1224" t="n">
        <v>3</v>
      </c>
      <c r="H1224" t="inlineStr">
        <is>
          <t>HIGH</t>
        </is>
      </c>
      <c r="I1224" t="n">
        <v>15.8</v>
      </c>
      <c r="J1224" t="inlineStr">
        <is>
          <t>NO</t>
        </is>
      </c>
      <c r="K1224" t="inlineStr">
        <is>
          <t>2026-02-26 00:15</t>
        </is>
      </c>
      <c r="L1224" t="inlineStr">
        <is>
          <t>YES</t>
        </is>
      </c>
      <c r="M1224" t="inlineStr">
        <is>
          <t>mozilla firefox * | mozilla thunderbird *</t>
        </is>
      </c>
      <c r="N1224" t="inlineStr">
        <is>
          <t>P3</t>
        </is>
      </c>
      <c r="O1224" t="inlineStr">
        <is>
          <t>CVE - IP enrichment n/a</t>
        </is>
      </c>
      <c r="P1224" t="n">
        <v>0.0002</v>
      </c>
      <c r="Q1224" t="n">
        <v>0.0365</v>
      </c>
      <c r="R1224" t="inlineStr">
        <is>
          <t>T1203:Exploitation for Client Execution</t>
        </is>
      </c>
      <c r="S1224" t="n">
        <v>1</v>
      </c>
      <c r="T1224" t="inlineStr">
        <is>
          <t>LOW (40%)</t>
        </is>
      </c>
      <c r="U1224" t="inlineStr">
        <is>
          <t>UNLIKELY</t>
        </is>
      </c>
      <c r="V1224" t="inlineStr">
        <is>
          <t>PATCH_AVAILABLE</t>
        </is>
      </c>
      <c r="W1224" t="inlineStr">
        <is>
          <t>https://nvd.nist.gov/vuln/detail/CVE-2026-2807</t>
        </is>
      </c>
      <c r="X1224" t="inlineStr">
        <is>
          <t>NONE</t>
        </is>
      </c>
      <c r="Y1224" t="n">
        <v>0</v>
      </c>
      <c r="Z1224" t="inlineStr"/>
      <c r="AA1224" t="inlineStr">
        <is>
          <t>https://nvd.nist.gov/vuln/detail/CVE-2026-2807</t>
        </is>
      </c>
    </row>
    <row r="1225">
      <c r="A1225" t="inlineStr">
        <is>
          <t>CVE</t>
        </is>
      </c>
      <c r="B1225" t="inlineStr">
        <is>
          <t>CVE-2025-10010</t>
        </is>
      </c>
      <c r="C1225" t="inlineStr">
        <is>
          <t>The CPSD CryptoPro Secure Disk application boots a small Linux operating system to perform user authentication before using BitLocker to decrypt the Windows partition. The system is located on a separate unencrypted partition which can be reached by anyone with access to the hard disk.
Multiple checks are performed to validate the integrity of the Linux operating system and the CryptoPro Secure Disk application files. When files are changed an error is shown on system start. One of the checks i</t>
        </is>
      </c>
      <c r="D1225" t="n">
        <v>6.8</v>
      </c>
      <c r="E1225" t="inlineStr">
        <is>
          <t>MEDIUM</t>
        </is>
      </c>
      <c r="F1225" t="n">
        <v>2</v>
      </c>
      <c r="G1225" t="n">
        <v>2</v>
      </c>
      <c r="H1225" t="inlineStr">
        <is>
          <t>MEDIUM</t>
        </is>
      </c>
      <c r="I1225" t="n">
        <v>10.8</v>
      </c>
      <c r="J1225" t="inlineStr">
        <is>
          <t>NO</t>
        </is>
      </c>
      <c r="K1225" t="inlineStr">
        <is>
          <t>2026-02-26 00:15</t>
        </is>
      </c>
      <c r="L1225" t="inlineStr">
        <is>
          <t>CHECK_VENDOR</t>
        </is>
      </c>
      <c r="M1225" t="inlineStr">
        <is>
          <t>See CVE details</t>
        </is>
      </c>
      <c r="N1225" t="inlineStr">
        <is>
          <t>P4</t>
        </is>
      </c>
      <c r="O1225" t="inlineStr">
        <is>
          <t>CVE - IP enrichment n/a</t>
        </is>
      </c>
      <c r="P1225" t="n">
        <v>0</v>
      </c>
      <c r="Q1225" t="n">
        <v>0</v>
      </c>
      <c r="R1225" t="inlineStr">
        <is>
          <t>T1543:Create or Modify System Process | T1203:Exploitation for Client Execution</t>
        </is>
      </c>
      <c r="S1225" t="n">
        <v>1</v>
      </c>
      <c r="T1225" t="inlineStr">
        <is>
          <t>LOW (40%)</t>
        </is>
      </c>
      <c r="U1225" t="inlineStr">
        <is>
          <t>UNLIKELY</t>
        </is>
      </c>
      <c r="V1225" t="inlineStr">
        <is>
          <t>CHECK_VENDOR</t>
        </is>
      </c>
      <c r="W1225" t="inlineStr">
        <is>
          <t>https://nvd.nist.gov/vuln/detail/CVE-2025-10010</t>
        </is>
      </c>
      <c r="X1225" t="inlineStr">
        <is>
          <t>NONE</t>
        </is>
      </c>
      <c r="Y1225" t="n">
        <v>0</v>
      </c>
      <c r="Z1225" t="inlineStr"/>
      <c r="AA1225" t="inlineStr">
        <is>
          <t>https://nvd.nist.gov/vuln/detail/CVE-2025-10010</t>
        </is>
      </c>
    </row>
    <row r="1226">
      <c r="A1226" t="inlineStr">
        <is>
          <t>CVE</t>
        </is>
      </c>
      <c r="B1226" t="inlineStr">
        <is>
          <t>CVE-2025-67445</t>
        </is>
      </c>
      <c r="C1226" t="inlineStr">
        <is>
          <t>TOTOLINK X5000R V9.1.0cu.2415_B20250515 contains a denial-of-service vulnerability in /cgi-bin/cstecgi.cgi. The CGI reads the CONTENT_LENGTH environment variable and allocates memory using malloc (CONTENT_LENGTH + 1) without sufficient bounds checking. When lighttpd s request size limit is not enforced, a crafted large POST request can cause memory exhaustion or a segmentation fault, leading to a crash of the management CGI and loss of availability of the web interface.</t>
        </is>
      </c>
      <c r="D1226" t="n">
        <v>7.5</v>
      </c>
      <c r="E1226" t="inlineStr">
        <is>
          <t>HIGH</t>
        </is>
      </c>
      <c r="F1226" t="n">
        <v>2</v>
      </c>
      <c r="G1226" t="n">
        <v>3</v>
      </c>
      <c r="H1226" t="inlineStr">
        <is>
          <t>HIGH</t>
        </is>
      </c>
      <c r="I1226" t="n">
        <v>13.5</v>
      </c>
      <c r="J1226" t="inlineStr">
        <is>
          <t>NO</t>
        </is>
      </c>
      <c r="K1226" t="inlineStr">
        <is>
          <t>2026-02-26 00:15</t>
        </is>
      </c>
      <c r="L1226" t="inlineStr">
        <is>
          <t>CHECK_VENDOR</t>
        </is>
      </c>
      <c r="M1226" t="inlineStr">
        <is>
          <t>totolink x5000r_firmware 9.1.0cu.2415_b20250515 | totolink x5000r -</t>
        </is>
      </c>
      <c r="N1226" t="inlineStr">
        <is>
          <t>P3</t>
        </is>
      </c>
      <c r="O1226" t="inlineStr">
        <is>
          <t>CVE - IP enrichment n/a</t>
        </is>
      </c>
      <c r="P1226" t="n">
        <v>0</v>
      </c>
      <c r="Q1226" t="n">
        <v>0</v>
      </c>
      <c r="R1226" t="inlineStr">
        <is>
          <t>T1190:Exploit Public-Facing Application</t>
        </is>
      </c>
      <c r="S1226" t="n">
        <v>1</v>
      </c>
      <c r="T1226" t="inlineStr">
        <is>
          <t>LOW (40%)</t>
        </is>
      </c>
      <c r="U1226" t="inlineStr">
        <is>
          <t>UNLIKELY</t>
        </is>
      </c>
      <c r="V1226" t="inlineStr">
        <is>
          <t>CHECK_VENDOR</t>
        </is>
      </c>
      <c r="W1226" t="inlineStr">
        <is>
          <t>https://nvd.nist.gov/vuln/detail/CVE-2025-67445</t>
        </is>
      </c>
      <c r="X1226" t="inlineStr">
        <is>
          <t>NONE</t>
        </is>
      </c>
      <c r="Y1226" t="n">
        <v>0</v>
      </c>
      <c r="Z1226" t="inlineStr"/>
      <c r="AA1226" t="inlineStr">
        <is>
          <t>https://nvd.nist.gov/vuln/detail/CVE-2025-67445</t>
        </is>
      </c>
    </row>
    <row r="1227">
      <c r="A1227" t="inlineStr">
        <is>
          <t>CVE</t>
        </is>
      </c>
      <c r="B1227" t="inlineStr">
        <is>
          <t>CVE-2026-0399</t>
        </is>
      </c>
      <c r="C1227" t="inlineStr">
        <is>
          <t>Multiple post-authentication stack-based buffer overflow vulnerabilities in the SonicOS management interface due to improper bounds checking in a API endpoint.</t>
        </is>
      </c>
      <c r="D1227" t="n">
        <v>4.9</v>
      </c>
      <c r="E1227" t="inlineStr">
        <is>
          <t>MEDIUM</t>
        </is>
      </c>
      <c r="F1227" t="n">
        <v>2</v>
      </c>
      <c r="G1227" t="n">
        <v>2</v>
      </c>
      <c r="H1227" t="inlineStr">
        <is>
          <t>MEDIUM</t>
        </is>
      </c>
      <c r="I1227" t="n">
        <v>8.9</v>
      </c>
      <c r="J1227" t="inlineStr">
        <is>
          <t>NO</t>
        </is>
      </c>
      <c r="K1227" t="inlineStr">
        <is>
          <t>2026-02-26 00:15</t>
        </is>
      </c>
      <c r="L1227" t="inlineStr">
        <is>
          <t>CHECK_VENDOR</t>
        </is>
      </c>
      <c r="M1227" t="inlineStr">
        <is>
          <t>See CVE details</t>
        </is>
      </c>
      <c r="N1227" t="inlineStr">
        <is>
          <t>P4</t>
        </is>
      </c>
      <c r="O1227" t="inlineStr">
        <is>
          <t>CVE - IP enrichment n/a</t>
        </is>
      </c>
      <c r="P1227" t="n">
        <v>0</v>
      </c>
      <c r="Q1227" t="n">
        <v>0</v>
      </c>
      <c r="R1227" t="inlineStr">
        <is>
          <t>T1190:Exploit Public-Facing Application | T1203:Exploitation for Client Execution</t>
        </is>
      </c>
      <c r="S1227" t="n">
        <v>1</v>
      </c>
      <c r="T1227" t="inlineStr">
        <is>
          <t>LOW (40%)</t>
        </is>
      </c>
      <c r="U1227" t="inlineStr">
        <is>
          <t>UNLIKELY</t>
        </is>
      </c>
      <c r="V1227" t="inlineStr">
        <is>
          <t>CHECK_VENDOR</t>
        </is>
      </c>
      <c r="W1227" t="inlineStr">
        <is>
          <t>https://nvd.nist.gov/vuln/detail/CVE-2026-0399</t>
        </is>
      </c>
      <c r="X1227" t="inlineStr">
        <is>
          <t>NONE</t>
        </is>
      </c>
      <c r="Y1227" t="n">
        <v>0</v>
      </c>
      <c r="Z1227" t="inlineStr"/>
      <c r="AA1227" t="inlineStr">
        <is>
          <t>https://nvd.nist.gov/vuln/detail/CVE-2026-0399</t>
        </is>
      </c>
    </row>
    <row r="1228">
      <c r="A1228" t="inlineStr">
        <is>
          <t>CVE</t>
        </is>
      </c>
      <c r="B1228" t="inlineStr">
        <is>
          <t>CVE-2026-0400</t>
        </is>
      </c>
      <c r="C1228" t="inlineStr">
        <is>
          <t>A post-authentication Format String vulnerability in SonicOS allows a remote attacker to crash a firewall.</t>
        </is>
      </c>
      <c r="D1228" t="n">
        <v>4.9</v>
      </c>
      <c r="E1228" t="inlineStr">
        <is>
          <t>MEDIUM</t>
        </is>
      </c>
      <c r="F1228" t="n">
        <v>2</v>
      </c>
      <c r="G1228" t="n">
        <v>2</v>
      </c>
      <c r="H1228" t="inlineStr">
        <is>
          <t>MEDIUM</t>
        </is>
      </c>
      <c r="I1228" t="n">
        <v>8.9</v>
      </c>
      <c r="J1228" t="inlineStr">
        <is>
          <t>NO</t>
        </is>
      </c>
      <c r="K1228" t="inlineStr">
        <is>
          <t>2026-02-26 00:15</t>
        </is>
      </c>
      <c r="L1228" t="inlineStr">
        <is>
          <t>CHECK_VENDOR</t>
        </is>
      </c>
      <c r="M1228" t="inlineStr">
        <is>
          <t>See CVE details</t>
        </is>
      </c>
      <c r="N1228" t="inlineStr">
        <is>
          <t>P4</t>
        </is>
      </c>
      <c r="O1228" t="inlineStr">
        <is>
          <t>CVE - IP enrichment n/a</t>
        </is>
      </c>
      <c r="P1228" t="n">
        <v>0</v>
      </c>
      <c r="Q1228" t="n">
        <v>0</v>
      </c>
      <c r="R1228" t="inlineStr">
        <is>
          <t>T1562:Impair Defenses</t>
        </is>
      </c>
      <c r="S1228" t="n">
        <v>1</v>
      </c>
      <c r="T1228" t="inlineStr">
        <is>
          <t>LOW (40%)</t>
        </is>
      </c>
      <c r="U1228" t="inlineStr">
        <is>
          <t>UNLIKELY</t>
        </is>
      </c>
      <c r="V1228" t="inlineStr">
        <is>
          <t>CHECK_VENDOR</t>
        </is>
      </c>
      <c r="W1228" t="inlineStr">
        <is>
          <t>https://nvd.nist.gov/vuln/detail/CVE-2026-0400</t>
        </is>
      </c>
      <c r="X1228" t="inlineStr">
        <is>
          <t>NONE</t>
        </is>
      </c>
      <c r="Y1228" t="n">
        <v>0</v>
      </c>
      <c r="Z1228" t="inlineStr"/>
      <c r="AA1228" t="inlineStr">
        <is>
          <t>https://nvd.nist.gov/vuln/detail/CVE-2026-0400</t>
        </is>
      </c>
    </row>
    <row r="1229">
      <c r="A1229" t="inlineStr">
        <is>
          <t>CVE</t>
        </is>
      </c>
      <c r="B1229" t="inlineStr">
        <is>
          <t>CVE-2026-0401</t>
        </is>
      </c>
      <c r="C1229" t="inlineStr">
        <is>
          <t>A post-authentication NULL Pointer Dereference vulnerability in SonicOS allows a remote attacker to crash a firewall.</t>
        </is>
      </c>
      <c r="D1229" t="n">
        <v>4.9</v>
      </c>
      <c r="E1229" t="inlineStr">
        <is>
          <t>MEDIUM</t>
        </is>
      </c>
      <c r="F1229" t="n">
        <v>2</v>
      </c>
      <c r="G1229" t="n">
        <v>2</v>
      </c>
      <c r="H1229" t="inlineStr">
        <is>
          <t>MEDIUM</t>
        </is>
      </c>
      <c r="I1229" t="n">
        <v>8.9</v>
      </c>
      <c r="J1229" t="inlineStr">
        <is>
          <t>NO</t>
        </is>
      </c>
      <c r="K1229" t="inlineStr">
        <is>
          <t>2026-02-26 00:15</t>
        </is>
      </c>
      <c r="L1229" t="inlineStr">
        <is>
          <t>CHECK_VENDOR</t>
        </is>
      </c>
      <c r="M1229" t="inlineStr">
        <is>
          <t>See CVE details</t>
        </is>
      </c>
      <c r="N1229" t="inlineStr">
        <is>
          <t>P4</t>
        </is>
      </c>
      <c r="O1229" t="inlineStr">
        <is>
          <t>CVE - IP enrichment n/a</t>
        </is>
      </c>
      <c r="P1229" t="n">
        <v>0</v>
      </c>
      <c r="Q1229" t="n">
        <v>0</v>
      </c>
      <c r="R1229" t="inlineStr">
        <is>
          <t>T1499:Endpoint Denial of Service | T1562:Impair Defenses</t>
        </is>
      </c>
      <c r="S1229" t="n">
        <v>1</v>
      </c>
      <c r="T1229" t="inlineStr">
        <is>
          <t>LOW (40%)</t>
        </is>
      </c>
      <c r="U1229" t="inlineStr">
        <is>
          <t>UNLIKELY</t>
        </is>
      </c>
      <c r="V1229" t="inlineStr">
        <is>
          <t>CHECK_VENDOR</t>
        </is>
      </c>
      <c r="W1229" t="inlineStr">
        <is>
          <t>https://nvd.nist.gov/vuln/detail/CVE-2026-0401</t>
        </is>
      </c>
      <c r="X1229" t="inlineStr">
        <is>
          <t>NONE</t>
        </is>
      </c>
      <c r="Y1229" t="n">
        <v>0</v>
      </c>
      <c r="Z1229" t="inlineStr"/>
      <c r="AA1229" t="inlineStr">
        <is>
          <t>https://nvd.nist.gov/vuln/detail/CVE-2026-0401</t>
        </is>
      </c>
    </row>
    <row r="1230">
      <c r="A1230" t="inlineStr">
        <is>
          <t>CVE</t>
        </is>
      </c>
      <c r="B1230" t="inlineStr">
        <is>
          <t>CVE-2026-0402</t>
        </is>
      </c>
      <c r="C1230" t="inlineStr">
        <is>
          <t>A post-authentication Out-of-bounds Read vulnerability in SonicOS allows a remote attacker to crash a firewall.</t>
        </is>
      </c>
      <c r="D1230" t="n">
        <v>4.9</v>
      </c>
      <c r="E1230" t="inlineStr">
        <is>
          <t>MEDIUM</t>
        </is>
      </c>
      <c r="F1230" t="n">
        <v>2</v>
      </c>
      <c r="G1230" t="n">
        <v>2</v>
      </c>
      <c r="H1230" t="inlineStr">
        <is>
          <t>MEDIUM</t>
        </is>
      </c>
      <c r="I1230" t="n">
        <v>8.9</v>
      </c>
      <c r="J1230" t="inlineStr">
        <is>
          <t>NO</t>
        </is>
      </c>
      <c r="K1230" t="inlineStr">
        <is>
          <t>2026-02-26 00:15</t>
        </is>
      </c>
      <c r="L1230" t="inlineStr">
        <is>
          <t>CHECK_VENDOR</t>
        </is>
      </c>
      <c r="M1230" t="inlineStr">
        <is>
          <t>See CVE details</t>
        </is>
      </c>
      <c r="N1230" t="inlineStr">
        <is>
          <t>P4</t>
        </is>
      </c>
      <c r="O1230" t="inlineStr">
        <is>
          <t>CVE - IP enrichment n/a</t>
        </is>
      </c>
      <c r="P1230" t="n">
        <v>0.0016</v>
      </c>
      <c r="Q1230" t="n">
        <v>0.3655</v>
      </c>
      <c r="R1230" t="inlineStr">
        <is>
          <t>T1203:Exploitation for Client Execution | T1562:Impair Defenses</t>
        </is>
      </c>
      <c r="S1230" t="n">
        <v>1</v>
      </c>
      <c r="T1230" t="inlineStr">
        <is>
          <t>LOW (40%)</t>
        </is>
      </c>
      <c r="U1230" t="inlineStr">
        <is>
          <t>UNLIKELY</t>
        </is>
      </c>
      <c r="V1230" t="inlineStr">
        <is>
          <t>CHECK_VENDOR</t>
        </is>
      </c>
      <c r="W1230" t="inlineStr">
        <is>
          <t>https://nvd.nist.gov/vuln/detail/CVE-2026-0402</t>
        </is>
      </c>
      <c r="X1230" t="inlineStr">
        <is>
          <t>NONE</t>
        </is>
      </c>
      <c r="Y1230" t="n">
        <v>0</v>
      </c>
      <c r="Z1230" t="inlineStr"/>
      <c r="AA1230" t="inlineStr">
        <is>
          <t>https://nvd.nist.gov/vuln/detail/CVE-2026-0402</t>
        </is>
      </c>
    </row>
    <row r="1231">
      <c r="A1231" t="inlineStr">
        <is>
          <t>CVE</t>
        </is>
      </c>
      <c r="B1231" t="inlineStr">
        <is>
          <t>CVE-2026-27208</t>
        </is>
      </c>
      <c r="C1231" t="inlineStr">
        <is>
          <t>bleon-ethical/api-gateway-deploy provides API gateway deployment. Version 1.0.0 is vulnerable to an attack chain involving OS Command Injection and Privilege Escalation. This allows an attacker to execute arbitrary commands with root privileges within the container, potentially leading to a container escape and unauthorized infrastructure modifications. This is fixed in version 1.0.1 by implementing strict input sanitization and secure delimiters in entrypoint.sh, enforcing a non-root user (appu</t>
        </is>
      </c>
      <c r="D1231" t="n">
        <v>9.199999999999999</v>
      </c>
      <c r="E1231" t="inlineStr">
        <is>
          <t>CRITICAL</t>
        </is>
      </c>
      <c r="F1231" t="n">
        <v>2</v>
      </c>
      <c r="G1231" t="n">
        <v>3</v>
      </c>
      <c r="H1231" t="inlineStr">
        <is>
          <t>HIGH</t>
        </is>
      </c>
      <c r="I1231" t="n">
        <v>15.2</v>
      </c>
      <c r="J1231" t="inlineStr">
        <is>
          <t>NO</t>
        </is>
      </c>
      <c r="K1231" t="inlineStr">
        <is>
          <t>2026-02-26 00:15</t>
        </is>
      </c>
      <c r="L1231" t="inlineStr">
        <is>
          <t>CHECK_VENDOR</t>
        </is>
      </c>
      <c r="M1231" t="inlineStr">
        <is>
          <t>See CVE details</t>
        </is>
      </c>
      <c r="N1231" t="inlineStr">
        <is>
          <t>P3</t>
        </is>
      </c>
      <c r="O1231" t="inlineStr">
        <is>
          <t>CVE - IP enrichment n/a</t>
        </is>
      </c>
      <c r="P1231" t="n">
        <v>0.001</v>
      </c>
      <c r="Q1231" t="n">
        <v>0.2691</v>
      </c>
      <c r="R1231" t="inlineStr">
        <is>
          <t>T1059:Command and Scripting Interpreter | T1068:Exploitation for Privilege Escalation</t>
        </is>
      </c>
      <c r="S1231" t="n">
        <v>1</v>
      </c>
      <c r="T1231" t="inlineStr">
        <is>
          <t>LOW (40%)</t>
        </is>
      </c>
      <c r="U1231" t="inlineStr">
        <is>
          <t>UNLIKELY</t>
        </is>
      </c>
      <c r="V1231" t="inlineStr">
        <is>
          <t>CHECK_VENDOR</t>
        </is>
      </c>
      <c r="W1231" t="inlineStr">
        <is>
          <t>https://nvd.nist.gov/vuln/detail/CVE-2026-27208</t>
        </is>
      </c>
      <c r="X1231" t="inlineStr">
        <is>
          <t>NONE</t>
        </is>
      </c>
      <c r="Y1231" t="n">
        <v>0</v>
      </c>
      <c r="Z1231" t="inlineStr"/>
      <c r="AA1231" t="inlineStr">
        <is>
          <t>https://nvd.nist.gov/vuln/detail/CVE-2026-27208</t>
        </is>
      </c>
    </row>
    <row r="1232">
      <c r="A1232" t="inlineStr">
        <is>
          <t>CVE</t>
        </is>
      </c>
      <c r="B1232" t="inlineStr">
        <is>
          <t>CVE-2026-27483</t>
        </is>
      </c>
      <c r="C1232" t="inlineStr">
        <is>
          <t>MindsDB is a platform for building artificial intelligence from enterprise data. Prior to version 25.9.1.1, there is a path traversal vulnerability in Mindsdb's /api/files interface, which an authenticated attacker can exploit to achieve remote command execution. The vulnerability exists in the "Upload File" module, which corresponds to the API endpoint /api/files. Since the multipart file upload does not perform security checks on the uploaded file path, an attacker can perform path traversal b</t>
        </is>
      </c>
      <c r="D1232" t="n">
        <v>8.800000000000001</v>
      </c>
      <c r="E1232" t="inlineStr">
        <is>
          <t>HIGH</t>
        </is>
      </c>
      <c r="F1232" t="n">
        <v>2</v>
      </c>
      <c r="G1232" t="n">
        <v>3</v>
      </c>
      <c r="H1232" t="inlineStr">
        <is>
          <t>HIGH</t>
        </is>
      </c>
      <c r="I1232" t="n">
        <v>14.8</v>
      </c>
      <c r="J1232" t="inlineStr">
        <is>
          <t>NO</t>
        </is>
      </c>
      <c r="K1232" t="inlineStr">
        <is>
          <t>2026-02-26 00:15</t>
        </is>
      </c>
      <c r="L1232" t="inlineStr">
        <is>
          <t>CHECK_VENDOR</t>
        </is>
      </c>
      <c r="M1232" t="inlineStr">
        <is>
          <t>See CVE details</t>
        </is>
      </c>
      <c r="N1232" t="inlineStr">
        <is>
          <t>P3</t>
        </is>
      </c>
      <c r="O1232" t="inlineStr">
        <is>
          <t>CVE - IP enrichment n/a</t>
        </is>
      </c>
      <c r="P1232" t="n">
        <v>0</v>
      </c>
      <c r="Q1232" t="n">
        <v>0</v>
      </c>
      <c r="R1232" t="inlineStr">
        <is>
          <t>T1083:File and Directory Discovery</t>
        </is>
      </c>
      <c r="S1232" t="n">
        <v>1</v>
      </c>
      <c r="T1232" t="inlineStr">
        <is>
          <t>LOW (40%)</t>
        </is>
      </c>
      <c r="U1232" t="inlineStr">
        <is>
          <t>UNLIKELY</t>
        </is>
      </c>
      <c r="V1232" t="inlineStr">
        <is>
          <t>CHECK_VENDOR</t>
        </is>
      </c>
      <c r="W1232" t="inlineStr">
        <is>
          <t>https://nvd.nist.gov/vuln/detail/CVE-2026-27483</t>
        </is>
      </c>
      <c r="X1232" t="inlineStr">
        <is>
          <t>NONE</t>
        </is>
      </c>
      <c r="Y1232" t="n">
        <v>0</v>
      </c>
      <c r="Z1232" t="inlineStr"/>
      <c r="AA1232" t="inlineStr">
        <is>
          <t>https://nvd.nist.gov/vuln/detail/CVE-2026-27483</t>
        </is>
      </c>
    </row>
    <row r="1233">
      <c r="A1233" t="inlineStr">
        <is>
          <t>CVE</t>
        </is>
      </c>
      <c r="B1233" t="inlineStr">
        <is>
          <t>CVE-2026-27567</t>
        </is>
      </c>
      <c r="C1233" t="inlineStr">
        <is>
          <t>Payload is a free and open source headless content management system. Prior to 3.75.0, a Server-Side Request Forgery (SSRF) vulnerability exists in Payload's external file upload functionality. When processing external URLs for file uploads, insufficient validation of HTTP redirects could allow an authenticated attacker to access internal network resources. The Payload environment must have at least one collection with `upload` enabled and a user who has `create` access to that upload-enabled co</t>
        </is>
      </c>
      <c r="D1233" t="n">
        <v>6.5</v>
      </c>
      <c r="E1233" t="inlineStr">
        <is>
          <t>MEDIUM</t>
        </is>
      </c>
      <c r="F1233" t="n">
        <v>2</v>
      </c>
      <c r="G1233" t="n">
        <v>2</v>
      </c>
      <c r="H1233" t="inlineStr">
        <is>
          <t>MEDIUM</t>
        </is>
      </c>
      <c r="I1233" t="n">
        <v>10.5</v>
      </c>
      <c r="J1233" t="inlineStr">
        <is>
          <t>NO</t>
        </is>
      </c>
      <c r="K1233" t="inlineStr">
        <is>
          <t>2026-02-26 00:15</t>
        </is>
      </c>
      <c r="L1233" t="inlineStr">
        <is>
          <t>CHECK_VENDOR</t>
        </is>
      </c>
      <c r="M1233" t="inlineStr">
        <is>
          <t>See CVE details</t>
        </is>
      </c>
      <c r="N1233" t="inlineStr">
        <is>
          <t>P4</t>
        </is>
      </c>
      <c r="O1233" t="inlineStr">
        <is>
          <t>CVE - IP enrichment n/a</t>
        </is>
      </c>
      <c r="P1233" t="n">
        <v>0</v>
      </c>
      <c r="Q1233" t="n">
        <v>0</v>
      </c>
      <c r="R1233" t="inlineStr">
        <is>
          <t>T1090:Proxy | T1190:Exploit Public-Facing Application</t>
        </is>
      </c>
      <c r="S1233" t="n">
        <v>1</v>
      </c>
      <c r="T1233" t="inlineStr">
        <is>
          <t>LOW (40%)</t>
        </is>
      </c>
      <c r="U1233" t="inlineStr">
        <is>
          <t>UNLIKELY</t>
        </is>
      </c>
      <c r="V1233" t="inlineStr">
        <is>
          <t>CHECK_VENDOR</t>
        </is>
      </c>
      <c r="W1233" t="inlineStr">
        <is>
          <t>https://nvd.nist.gov/vuln/detail/CVE-2026-27567</t>
        </is>
      </c>
      <c r="X1233" t="inlineStr">
        <is>
          <t>NONE</t>
        </is>
      </c>
      <c r="Y1233" t="n">
        <v>0</v>
      </c>
      <c r="Z1233" t="inlineStr"/>
      <c r="AA1233" t="inlineStr">
        <is>
          <t>https://nvd.nist.gov/vuln/detail/CVE-2026-27567</t>
        </is>
      </c>
    </row>
    <row r="1234">
      <c r="A1234" t="inlineStr">
        <is>
          <t>CVE</t>
        </is>
      </c>
      <c r="B1234" t="inlineStr">
        <is>
          <t>CVE-2026-27568</t>
        </is>
      </c>
      <c r="C1234" t="inlineStr">
        <is>
          <t>WWBN AVideo is an open source video platform. Prior to version 21.0, AVideo allows Markdown in video comments and uses Parsedown (v1.7.4) without Safe Mode enabled. Markdown links are not sufficiently sanitized, allowing `javascript:` URIs to be rendered as clickable links. An authenticated low-privilege attacker can post a malicious comment that injects persistent JavaScript. When another user clicks the link, the attacker can perform actions such as session hijacking, privilege escalation (inc</t>
        </is>
      </c>
      <c r="D1234" t="n">
        <v>8.5</v>
      </c>
      <c r="E1234" t="inlineStr">
        <is>
          <t>HIGH</t>
        </is>
      </c>
      <c r="F1234" t="n">
        <v>2</v>
      </c>
      <c r="G1234" t="n">
        <v>3</v>
      </c>
      <c r="H1234" t="inlineStr">
        <is>
          <t>HIGH</t>
        </is>
      </c>
      <c r="I1234" t="n">
        <v>14.5</v>
      </c>
      <c r="J1234" t="inlineStr">
        <is>
          <t>NO</t>
        </is>
      </c>
      <c r="K1234" t="inlineStr">
        <is>
          <t>2026-02-26 00:15</t>
        </is>
      </c>
      <c r="L1234" t="inlineStr">
        <is>
          <t>CHECK_VENDOR</t>
        </is>
      </c>
      <c r="M1234" t="inlineStr">
        <is>
          <t>See CVE details</t>
        </is>
      </c>
      <c r="N1234" t="inlineStr">
        <is>
          <t>P3</t>
        </is>
      </c>
      <c r="O1234" t="inlineStr">
        <is>
          <t>CVE - IP enrichment n/a</t>
        </is>
      </c>
      <c r="P1234" t="n">
        <v>0</v>
      </c>
      <c r="Q1234" t="n">
        <v>0</v>
      </c>
      <c r="R1234" t="inlineStr">
        <is>
          <t>T1189:Drive-by Compromise | T1190:Exploit Public-Facing Application | T1068:Exploitation for Privilege Escalation</t>
        </is>
      </c>
      <c r="S1234" t="n">
        <v>1</v>
      </c>
      <c r="T1234" t="inlineStr">
        <is>
          <t>LOW (40%)</t>
        </is>
      </c>
      <c r="U1234" t="inlineStr">
        <is>
          <t>UNLIKELY</t>
        </is>
      </c>
      <c r="V1234" t="inlineStr">
        <is>
          <t>CHECK_VENDOR</t>
        </is>
      </c>
      <c r="W1234" t="inlineStr">
        <is>
          <t>https://nvd.nist.gov/vuln/detail/CVE-2026-27568</t>
        </is>
      </c>
      <c r="X1234" t="inlineStr">
        <is>
          <t>NONE</t>
        </is>
      </c>
      <c r="Y1234" t="n">
        <v>0</v>
      </c>
      <c r="Z1234" t="inlineStr"/>
      <c r="AA1234" t="inlineStr">
        <is>
          <t>https://nvd.nist.gov/vuln/detail/CVE-2026-27568</t>
        </is>
      </c>
    </row>
    <row r="1235">
      <c r="A1235" t="inlineStr">
        <is>
          <t>CVE</t>
        </is>
      </c>
      <c r="B1235" t="inlineStr">
        <is>
          <t>CVE-2026-27584</t>
        </is>
      </c>
      <c r="C1235" t="inlineStr">
        <is>
          <t>Actual is a local-first personal finance tool. Prior to version 26.2.1, missing authentication middleware in the ActualBudget server component allows any unauthenticated user to query the SimpleFIN and Pluggy.ai integration endpoints and read sensitive bank account balance and transaction information. This vulnerability allows an unauthenticated attacker to read the bank account balance and transaction history of ActualBudget users. This vulnerability impacts all ActualBudget Server users with t</t>
        </is>
      </c>
      <c r="D1235" t="n">
        <v>8.5</v>
      </c>
      <c r="E1235" t="inlineStr">
        <is>
          <t>HIGH</t>
        </is>
      </c>
      <c r="F1235" t="n">
        <v>2</v>
      </c>
      <c r="G1235" t="n">
        <v>3</v>
      </c>
      <c r="H1235" t="inlineStr">
        <is>
          <t>HIGH</t>
        </is>
      </c>
      <c r="I1235" t="n">
        <v>14.5</v>
      </c>
      <c r="J1235" t="inlineStr">
        <is>
          <t>NO</t>
        </is>
      </c>
      <c r="K1235" t="inlineStr">
        <is>
          <t>2026-02-26 00:15</t>
        </is>
      </c>
      <c r="L1235" t="inlineStr">
        <is>
          <t>CHECK_VENDOR</t>
        </is>
      </c>
      <c r="M1235" t="inlineStr">
        <is>
          <t>See CVE details</t>
        </is>
      </c>
      <c r="N1235" t="inlineStr">
        <is>
          <t>P3</t>
        </is>
      </c>
      <c r="O1235" t="inlineStr">
        <is>
          <t>CVE - IP enrichment n/a</t>
        </is>
      </c>
      <c r="P1235" t="n">
        <v>0</v>
      </c>
      <c r="Q1235" t="n">
        <v>0</v>
      </c>
      <c r="R1235" t="inlineStr">
        <is>
          <t>T1078:Valid Accounts</t>
        </is>
      </c>
      <c r="S1235" t="n">
        <v>1</v>
      </c>
      <c r="T1235" t="inlineStr">
        <is>
          <t>LOW (40%)</t>
        </is>
      </c>
      <c r="U1235" t="inlineStr">
        <is>
          <t>UNLIKELY</t>
        </is>
      </c>
      <c r="V1235" t="inlineStr">
        <is>
          <t>CHECK_VENDOR</t>
        </is>
      </c>
      <c r="W1235" t="inlineStr">
        <is>
          <t>https://nvd.nist.gov/vuln/detail/CVE-2026-27584</t>
        </is>
      </c>
      <c r="X1235" t="inlineStr">
        <is>
          <t>NONE</t>
        </is>
      </c>
      <c r="Y1235" t="n">
        <v>0</v>
      </c>
      <c r="Z1235" t="inlineStr"/>
      <c r="AA1235" t="inlineStr">
        <is>
          <t>https://nvd.nist.gov/vuln/detail/CVE-2026-27584</t>
        </is>
      </c>
    </row>
    <row r="1236">
      <c r="A1236" t="inlineStr">
        <is>
          <t>CVE</t>
        </is>
      </c>
      <c r="B1236" t="inlineStr">
        <is>
          <t>CVE-2026-27732</t>
        </is>
      </c>
      <c r="C1236" t="inlineStr">
        <is>
          <t>WWBN AVideo is an open source video platform. Prior to version 22.0, the `aVideoEncoder.json.php` API endpoint accepts a `downloadURL` parameter and fetches the referenced resource server-side without proper validation or an allow-list. This allows authenticated users to trigger server-side requests to arbitrary URLs (including internal network endpoints). An authenticated attacker can leverage SSRF to interact with internal services and retrieve sensitive data (e.g., internal APIs, metadata ser</t>
        </is>
      </c>
      <c r="D1236" t="n">
        <v>8.1</v>
      </c>
      <c r="E1236" t="inlineStr">
        <is>
          <t>HIGH</t>
        </is>
      </c>
      <c r="F1236" t="n">
        <v>2</v>
      </c>
      <c r="G1236" t="n">
        <v>3</v>
      </c>
      <c r="H1236" t="inlineStr">
        <is>
          <t>HIGH</t>
        </is>
      </c>
      <c r="I1236" t="n">
        <v>14.1</v>
      </c>
      <c r="J1236" t="inlineStr">
        <is>
          <t>NO</t>
        </is>
      </c>
      <c r="K1236" t="inlineStr">
        <is>
          <t>2026-02-26 00:15</t>
        </is>
      </c>
      <c r="L1236" t="inlineStr">
        <is>
          <t>YES</t>
        </is>
      </c>
      <c r="M1236" t="inlineStr">
        <is>
          <t>wwbn avideo *</t>
        </is>
      </c>
      <c r="N1236" t="inlineStr">
        <is>
          <t>P3</t>
        </is>
      </c>
      <c r="O1236" t="inlineStr">
        <is>
          <t>CVE - IP enrichment n/a</t>
        </is>
      </c>
      <c r="P1236" t="n">
        <v>0</v>
      </c>
      <c r="Q1236" t="n">
        <v>0</v>
      </c>
      <c r="R1236" t="inlineStr">
        <is>
          <t>T1090:Proxy | T1190:Exploit Public-Facing Application</t>
        </is>
      </c>
      <c r="S1236" t="n">
        <v>1</v>
      </c>
      <c r="T1236" t="inlineStr">
        <is>
          <t>LOW (40%)</t>
        </is>
      </c>
      <c r="U1236" t="inlineStr">
        <is>
          <t>UNLIKELY</t>
        </is>
      </c>
      <c r="V1236" t="inlineStr">
        <is>
          <t>PATCH_AVAILABLE</t>
        </is>
      </c>
      <c r="W1236" t="inlineStr">
        <is>
          <t>https://nvd.nist.gov/vuln/detail/CVE-2026-27732</t>
        </is>
      </c>
      <c r="X1236" t="inlineStr">
        <is>
          <t>NONE</t>
        </is>
      </c>
      <c r="Y1236" t="n">
        <v>0</v>
      </c>
      <c r="Z1236" t="inlineStr"/>
      <c r="AA1236" t="inlineStr">
        <is>
          <t>https://nvd.nist.gov/vuln/detail/CVE-2026-27732</t>
        </is>
      </c>
    </row>
    <row r="1237">
      <c r="A1237" t="inlineStr">
        <is>
          <t>CVE</t>
        </is>
      </c>
      <c r="B1237" t="inlineStr">
        <is>
          <t>CVE-2026-3101</t>
        </is>
      </c>
      <c r="C1237" t="inlineStr">
        <is>
          <t>A vulnerability was found in Intelbras TIP 635G 1.12.3.5. This vulnerability affects unknown code of the component Ping Handler. The manipulation results in os command injection. The attack can be executed remotely. The exploit has been made public and could be used. The vendor was contacted early about this disclosure but did not respond in any way.</t>
        </is>
      </c>
      <c r="D1237" t="n">
        <v>6.3</v>
      </c>
      <c r="E1237" t="inlineStr">
        <is>
          <t>MEDIUM</t>
        </is>
      </c>
      <c r="F1237" t="n">
        <v>2</v>
      </c>
      <c r="G1237" t="n">
        <v>2</v>
      </c>
      <c r="H1237" t="inlineStr">
        <is>
          <t>MEDIUM</t>
        </is>
      </c>
      <c r="I1237" t="n">
        <v>10.3</v>
      </c>
      <c r="J1237" t="inlineStr">
        <is>
          <t>NO</t>
        </is>
      </c>
      <c r="K1237" t="inlineStr">
        <is>
          <t>2026-02-26 00:15</t>
        </is>
      </c>
      <c r="L1237" t="inlineStr">
        <is>
          <t>CHECK_VENDOR</t>
        </is>
      </c>
      <c r="M1237" t="inlineStr">
        <is>
          <t>See CVE details</t>
        </is>
      </c>
      <c r="N1237" t="inlineStr">
        <is>
          <t>P4</t>
        </is>
      </c>
      <c r="O1237" t="inlineStr">
        <is>
          <t>CVE - IP enrichment n/a</t>
        </is>
      </c>
      <c r="P1237" t="n">
        <v>0</v>
      </c>
      <c r="Q1237" t="n">
        <v>0</v>
      </c>
      <c r="R1237" t="inlineStr">
        <is>
          <t>T1059:Command and Scripting Interpreter</t>
        </is>
      </c>
      <c r="S1237" t="n">
        <v>1</v>
      </c>
      <c r="T1237" t="inlineStr">
        <is>
          <t>LOW (40%)</t>
        </is>
      </c>
      <c r="U1237" t="inlineStr">
        <is>
          <t>UNLIKELY</t>
        </is>
      </c>
      <c r="V1237" t="inlineStr">
        <is>
          <t>CHECK_VENDOR</t>
        </is>
      </c>
      <c r="W1237" t="inlineStr">
        <is>
          <t>https://nvd.nist.gov/vuln/detail/CVE-2026-3101</t>
        </is>
      </c>
      <c r="X1237" t="inlineStr">
        <is>
          <t>NONE</t>
        </is>
      </c>
      <c r="Y1237" t="n">
        <v>0</v>
      </c>
      <c r="Z1237" t="inlineStr"/>
      <c r="AA1237" t="inlineStr">
        <is>
          <t>https://nvd.nist.gov/vuln/detail/CVE-2026-3101</t>
        </is>
      </c>
    </row>
    <row r="1238">
      <c r="A1238" t="inlineStr">
        <is>
          <t>CVE</t>
        </is>
      </c>
      <c r="B1238" t="inlineStr">
        <is>
          <t>CVE-2026-3102</t>
        </is>
      </c>
      <c r="C1238" t="inlineStr">
        <is>
          <t>A vulnerability was determined in exiftool up to 13.49 on macOS. This issue affects the function SetMacOSTags of the file lib/Image/ExifTool/MacOS.pm of the component PNG File Parser. This manipulation of the argument DateTimeOriginal causes os command injection. The attack is possible to be carried out remotely. The exploit has been publicly disclosed and may be utilized. Upgrading to version 13.50 is capable of addressing this issue. Patch name: e9609a9bcc0d32bd252a709a562fb822d6dd86f7. Upgrad</t>
        </is>
      </c>
      <c r="D1238" t="n">
        <v>6.3</v>
      </c>
      <c r="E1238" t="inlineStr">
        <is>
          <t>MEDIUM</t>
        </is>
      </c>
      <c r="F1238" t="n">
        <v>2</v>
      </c>
      <c r="G1238" t="n">
        <v>2</v>
      </c>
      <c r="H1238" t="inlineStr">
        <is>
          <t>MEDIUM</t>
        </is>
      </c>
      <c r="I1238" t="n">
        <v>10.3</v>
      </c>
      <c r="J1238" t="inlineStr">
        <is>
          <t>NO</t>
        </is>
      </c>
      <c r="K1238" t="inlineStr">
        <is>
          <t>2026-02-26 00:15</t>
        </is>
      </c>
      <c r="L1238" t="inlineStr">
        <is>
          <t>CHECK_VENDOR</t>
        </is>
      </c>
      <c r="M1238" t="inlineStr">
        <is>
          <t>See CVE details</t>
        </is>
      </c>
      <c r="N1238" t="inlineStr">
        <is>
          <t>P4</t>
        </is>
      </c>
      <c r="O1238" t="inlineStr">
        <is>
          <t>CVE - IP enrichment n/a</t>
        </is>
      </c>
      <c r="P1238" t="n">
        <v>0</v>
      </c>
      <c r="Q1238" t="n">
        <v>0</v>
      </c>
      <c r="R1238" t="inlineStr">
        <is>
          <t>T1059:Command and Scripting Interpreter</t>
        </is>
      </c>
      <c r="S1238" t="n">
        <v>1</v>
      </c>
      <c r="T1238" t="inlineStr">
        <is>
          <t>LOW (40%)</t>
        </is>
      </c>
      <c r="U1238" t="inlineStr">
        <is>
          <t>UNLIKELY</t>
        </is>
      </c>
      <c r="V1238" t="inlineStr">
        <is>
          <t>CHECK_VENDOR</t>
        </is>
      </c>
      <c r="W1238" t="inlineStr">
        <is>
          <t>https://nvd.nist.gov/vuln/detail/CVE-2026-3102</t>
        </is>
      </c>
      <c r="X1238" t="inlineStr">
        <is>
          <t>NONE</t>
        </is>
      </c>
      <c r="Y1238" t="n">
        <v>0</v>
      </c>
      <c r="Z1238" t="inlineStr"/>
      <c r="AA1238" t="inlineStr">
        <is>
          <t>https://nvd.nist.gov/vuln/detail/CVE-2026-3102</t>
        </is>
      </c>
    </row>
    <row r="1239">
      <c r="A1239" t="inlineStr">
        <is>
          <t>CVE</t>
        </is>
      </c>
      <c r="B1239" t="inlineStr">
        <is>
          <t>CVE-2025-47904</t>
        </is>
      </c>
      <c r="C1239" t="inlineStr">
        <is>
          <t>Download of Code Without Integrity Check vulnerability in Microchip Time Provider 4100 allows Malicious Manual Software Update.This issue affects Time Provider 4100: before 2.5.</t>
        </is>
      </c>
      <c r="D1239" t="n">
        <v>5</v>
      </c>
      <c r="E1239" t="inlineStr">
        <is>
          <t>MEDIUM</t>
        </is>
      </c>
      <c r="F1239" t="n">
        <v>2</v>
      </c>
      <c r="G1239" t="n">
        <v>2</v>
      </c>
      <c r="H1239" t="inlineStr">
        <is>
          <t>MEDIUM</t>
        </is>
      </c>
      <c r="I1239" t="n">
        <v>9</v>
      </c>
      <c r="J1239" t="inlineStr">
        <is>
          <t>NO</t>
        </is>
      </c>
      <c r="K1239" t="inlineStr">
        <is>
          <t>2026-02-26 00:15</t>
        </is>
      </c>
      <c r="L1239" t="inlineStr">
        <is>
          <t>CHECK_VENDOR</t>
        </is>
      </c>
      <c r="M1239" t="inlineStr">
        <is>
          <t>See CVE details</t>
        </is>
      </c>
      <c r="N1239" t="inlineStr">
        <is>
          <t>P4</t>
        </is>
      </c>
      <c r="O1239" t="inlineStr">
        <is>
          <t>CVE - IP enrichment n/a</t>
        </is>
      </c>
      <c r="P1239" t="n">
        <v>0</v>
      </c>
      <c r="Q1239" t="n">
        <v>0</v>
      </c>
      <c r="R1239" t="inlineStr">
        <is>
          <t>T1190:Exploit Public-Facing Application</t>
        </is>
      </c>
      <c r="S1239" t="n">
        <v>1</v>
      </c>
      <c r="T1239" t="inlineStr">
        <is>
          <t>LOW (40%)</t>
        </is>
      </c>
      <c r="U1239" t="inlineStr">
        <is>
          <t>UNLIKELY</t>
        </is>
      </c>
      <c r="V1239" t="inlineStr">
        <is>
          <t>CHECK_VENDOR</t>
        </is>
      </c>
      <c r="W1239" t="inlineStr">
        <is>
          <t>https://nvd.nist.gov/vuln/detail/CVE-2025-47904</t>
        </is>
      </c>
      <c r="X1239" t="inlineStr">
        <is>
          <t>NONE</t>
        </is>
      </c>
      <c r="Y1239" t="n">
        <v>0</v>
      </c>
      <c r="Z1239" t="inlineStr"/>
      <c r="AA1239" t="inlineStr">
        <is>
          <t>https://nvd.nist.gov/vuln/detail/CVE-2025-47904</t>
        </is>
      </c>
    </row>
    <row r="1240">
      <c r="A1240" t="inlineStr">
        <is>
          <t>CVE</t>
        </is>
      </c>
      <c r="B1240" t="inlineStr">
        <is>
          <t>CVE-2025-63409</t>
        </is>
      </c>
      <c r="C1240" t="inlineStr">
        <is>
          <t>Privilege escalation and improper access control in GCOM EPON 1GE C00R371V00B01 allows remote authenticated users to modify administrator only settings and extract administrator credentials.</t>
        </is>
      </c>
      <c r="D1240" t="n">
        <v>8.800000000000001</v>
      </c>
      <c r="E1240" t="inlineStr">
        <is>
          <t>HIGH</t>
        </is>
      </c>
      <c r="F1240" t="n">
        <v>2</v>
      </c>
      <c r="G1240" t="n">
        <v>3</v>
      </c>
      <c r="H1240" t="inlineStr">
        <is>
          <t>HIGH</t>
        </is>
      </c>
      <c r="I1240" t="n">
        <v>14.8</v>
      </c>
      <c r="J1240" t="inlineStr">
        <is>
          <t>NO</t>
        </is>
      </c>
      <c r="K1240" t="inlineStr">
        <is>
          <t>2026-02-26 00:15</t>
        </is>
      </c>
      <c r="L1240" t="inlineStr">
        <is>
          <t>CHECK_VENDOR</t>
        </is>
      </c>
      <c r="M1240" t="inlineStr">
        <is>
          <t>See CVE details</t>
        </is>
      </c>
      <c r="N1240" t="inlineStr">
        <is>
          <t>P3</t>
        </is>
      </c>
      <c r="O1240" t="inlineStr">
        <is>
          <t>CVE - IP enrichment n/a</t>
        </is>
      </c>
      <c r="P1240" t="n">
        <v>0.0005</v>
      </c>
      <c r="Q1240" t="n">
        <v>0.1664</v>
      </c>
      <c r="R1240" t="inlineStr">
        <is>
          <t>T1068:Exploitation for Privilege Escalation | T1552:Unsecured Credentials</t>
        </is>
      </c>
      <c r="S1240" t="n">
        <v>1</v>
      </c>
      <c r="T1240" t="inlineStr">
        <is>
          <t>LOW (40%)</t>
        </is>
      </c>
      <c r="U1240" t="inlineStr">
        <is>
          <t>UNLIKELY</t>
        </is>
      </c>
      <c r="V1240" t="inlineStr">
        <is>
          <t>CHECK_VENDOR</t>
        </is>
      </c>
      <c r="W1240" t="inlineStr">
        <is>
          <t>https://nvd.nist.gov/vuln/detail/CVE-2025-63409</t>
        </is>
      </c>
      <c r="X1240" t="inlineStr">
        <is>
          <t>NONE</t>
        </is>
      </c>
      <c r="Y1240" t="n">
        <v>0</v>
      </c>
      <c r="Z1240" t="inlineStr"/>
      <c r="AA1240" t="inlineStr">
        <is>
          <t>https://nvd.nist.gov/vuln/detail/CVE-2025-63409</t>
        </is>
      </c>
    </row>
    <row r="1241">
      <c r="A1241" t="inlineStr">
        <is>
          <t>CVE</t>
        </is>
      </c>
      <c r="B1241" t="inlineStr">
        <is>
          <t>CVE-2025-69985</t>
        </is>
      </c>
      <c r="C1241" t="inlineStr">
        <is>
          <t>FUXA 1.2.8 and prior contains an Authentication Bypass vulnerability leading to Remote Code Execution (RCE). The vulnerability exists in the server/api/jwt-helper.js middleware, which improperly trusts the HTTP "Referer" header to validate internal requests. A remote unauthenticated attacker can bypass JWT authentication by spoofing the Referer header to match the server's host. Successful exploitation allows the attacker to access the protected /api/runscript endpoint and execute arbitrary Node</t>
        </is>
      </c>
      <c r="D1241" t="n">
        <v>9.800000000000001</v>
      </c>
      <c r="E1241" t="inlineStr">
        <is>
          <t>CRITICAL</t>
        </is>
      </c>
      <c r="F1241" t="n">
        <v>2</v>
      </c>
      <c r="G1241" t="n">
        <v>3</v>
      </c>
      <c r="H1241" t="inlineStr">
        <is>
          <t>HIGH</t>
        </is>
      </c>
      <c r="I1241" t="n">
        <v>15.8</v>
      </c>
      <c r="J1241" t="inlineStr">
        <is>
          <t>NO</t>
        </is>
      </c>
      <c r="K1241" t="inlineStr">
        <is>
          <t>2026-02-26 00:15</t>
        </is>
      </c>
      <c r="L1241" t="inlineStr">
        <is>
          <t>CHECK_VENDOR</t>
        </is>
      </c>
      <c r="M1241" t="inlineStr">
        <is>
          <t>See CVE details</t>
        </is>
      </c>
      <c r="N1241" t="inlineStr">
        <is>
          <t>P3</t>
        </is>
      </c>
      <c r="O1241" t="inlineStr">
        <is>
          <t>CVE - IP enrichment n/a</t>
        </is>
      </c>
      <c r="P1241" t="n">
        <v>0</v>
      </c>
      <c r="Q1241" t="n">
        <v>0</v>
      </c>
      <c r="R1241" t="inlineStr">
        <is>
          <t>T1190:Exploit Public-Facing Application | T1210:Exploitation of Remote Services | T1078:Valid Accounts</t>
        </is>
      </c>
      <c r="S1241" t="n">
        <v>1</v>
      </c>
      <c r="T1241" t="inlineStr">
        <is>
          <t>LOW (40%)</t>
        </is>
      </c>
      <c r="U1241" t="inlineStr">
        <is>
          <t>UNLIKELY</t>
        </is>
      </c>
      <c r="V1241" t="inlineStr">
        <is>
          <t>CHECK_VENDOR</t>
        </is>
      </c>
      <c r="W1241" t="inlineStr">
        <is>
          <t>https://nvd.nist.gov/vuln/detail/CVE-2025-69985</t>
        </is>
      </c>
      <c r="X1241" t="inlineStr">
        <is>
          <t>NONE</t>
        </is>
      </c>
      <c r="Y1241" t="n">
        <v>0</v>
      </c>
      <c r="Z1241" t="inlineStr"/>
      <c r="AA1241" t="inlineStr">
        <is>
          <t>https://nvd.nist.gov/vuln/detail/CVE-2025-69985</t>
        </is>
      </c>
    </row>
    <row r="1242">
      <c r="A1242" t="inlineStr">
        <is>
          <t>CVE</t>
        </is>
      </c>
      <c r="B1242" t="inlineStr">
        <is>
          <t>CVE-2026-23678</t>
        </is>
      </c>
      <c r="C1242" t="inlineStr">
        <is>
          <t>Binardat 10G08-0800GSM network switch firmware version V300SP10260209 and prior contain a command injection vulnerability in the traceroute diagnostic function of the affected device web management interface. By injecting the %1a character into the hostname parameter, an authenticated attacker with access to the web interface can execute arbitrary CLI commands on the device.</t>
        </is>
      </c>
      <c r="D1242" t="n">
        <v>8.800000000000001</v>
      </c>
      <c r="E1242" t="inlineStr">
        <is>
          <t>HIGH</t>
        </is>
      </c>
      <c r="F1242" t="n">
        <v>2</v>
      </c>
      <c r="G1242" t="n">
        <v>3</v>
      </c>
      <c r="H1242" t="inlineStr">
        <is>
          <t>HIGH</t>
        </is>
      </c>
      <c r="I1242" t="n">
        <v>14.8</v>
      </c>
      <c r="J1242" t="inlineStr">
        <is>
          <t>NO</t>
        </is>
      </c>
      <c r="K1242" t="inlineStr">
        <is>
          <t>2026-02-26 00:15</t>
        </is>
      </c>
      <c r="L1242" t="inlineStr">
        <is>
          <t>CHECK_VENDOR</t>
        </is>
      </c>
      <c r="M1242" t="inlineStr">
        <is>
          <t>binardat 10g08-0800gsm - | binardat 10g08-0800gsm_firmware *</t>
        </is>
      </c>
      <c r="N1242" t="inlineStr">
        <is>
          <t>P3</t>
        </is>
      </c>
      <c r="O1242" t="inlineStr">
        <is>
          <t>CVE - IP enrichment n/a</t>
        </is>
      </c>
      <c r="P1242" t="n">
        <v>0</v>
      </c>
      <c r="Q1242" t="n">
        <v>0</v>
      </c>
      <c r="R1242" t="inlineStr">
        <is>
          <t>T1059:Command and Scripting Interpreter</t>
        </is>
      </c>
      <c r="S1242" t="n">
        <v>1</v>
      </c>
      <c r="T1242" t="inlineStr">
        <is>
          <t>LOW (40%)</t>
        </is>
      </c>
      <c r="U1242" t="inlineStr">
        <is>
          <t>UNLIKELY</t>
        </is>
      </c>
      <c r="V1242" t="inlineStr">
        <is>
          <t>CHECK_VENDOR</t>
        </is>
      </c>
      <c r="W1242" t="inlineStr">
        <is>
          <t>https://nvd.nist.gov/vuln/detail/CVE-2026-23678</t>
        </is>
      </c>
      <c r="X1242" t="inlineStr">
        <is>
          <t>NONE</t>
        </is>
      </c>
      <c r="Y1242" t="n">
        <v>0</v>
      </c>
      <c r="Z1242" t="inlineStr"/>
      <c r="AA1242" t="inlineStr">
        <is>
          <t>https://nvd.nist.gov/vuln/detail/CVE-2026-23678</t>
        </is>
      </c>
    </row>
    <row r="1243">
      <c r="A1243" t="inlineStr">
        <is>
          <t>CVE</t>
        </is>
      </c>
      <c r="B1243" t="inlineStr">
        <is>
          <t>CVE-2026-27507</t>
        </is>
      </c>
      <c r="C1243" t="inlineStr">
        <is>
          <t>Binardat 10G08-0800GSM network switch firmware version V300SP10260209 and prior contain hard-coded administrative credentials that cannot be changed by users. Knowledge of these credentials allows full administrative access to the device.</t>
        </is>
      </c>
      <c r="D1243" t="n">
        <v>9.800000000000001</v>
      </c>
      <c r="E1243" t="inlineStr">
        <is>
          <t>CRITICAL</t>
        </is>
      </c>
      <c r="F1243" t="n">
        <v>2</v>
      </c>
      <c r="G1243" t="n">
        <v>3</v>
      </c>
      <c r="H1243" t="inlineStr">
        <is>
          <t>HIGH</t>
        </is>
      </c>
      <c r="I1243" t="n">
        <v>15.8</v>
      </c>
      <c r="J1243" t="inlineStr">
        <is>
          <t>NO</t>
        </is>
      </c>
      <c r="K1243" t="inlineStr">
        <is>
          <t>2026-02-26 00:15</t>
        </is>
      </c>
      <c r="L1243" t="inlineStr">
        <is>
          <t>CHECK_VENDOR</t>
        </is>
      </c>
      <c r="M1243" t="inlineStr">
        <is>
          <t>binardat 10g08-0800gsm - | binardat 10g08-0800gsm_firmware *</t>
        </is>
      </c>
      <c r="N1243" t="inlineStr">
        <is>
          <t>P3</t>
        </is>
      </c>
      <c r="O1243" t="inlineStr">
        <is>
          <t>CVE - IP enrichment n/a</t>
        </is>
      </c>
      <c r="P1243" t="n">
        <v>0</v>
      </c>
      <c r="Q1243" t="n">
        <v>0</v>
      </c>
      <c r="R1243" t="inlineStr">
        <is>
          <t>T1552:Unsecured Credentials</t>
        </is>
      </c>
      <c r="S1243" t="n">
        <v>1</v>
      </c>
      <c r="T1243" t="inlineStr">
        <is>
          <t>LOW (40%)</t>
        </is>
      </c>
      <c r="U1243" t="inlineStr">
        <is>
          <t>UNLIKELY</t>
        </is>
      </c>
      <c r="V1243" t="inlineStr">
        <is>
          <t>CHECK_VENDOR</t>
        </is>
      </c>
      <c r="W1243" t="inlineStr">
        <is>
          <t>https://nvd.nist.gov/vuln/detail/CVE-2026-27507</t>
        </is>
      </c>
      <c r="X1243" t="inlineStr">
        <is>
          <t>NONE</t>
        </is>
      </c>
      <c r="Y1243" t="n">
        <v>0</v>
      </c>
      <c r="Z1243" t="inlineStr"/>
      <c r="AA1243" t="inlineStr">
        <is>
          <t>https://nvd.nist.gov/vuln/detail/CVE-2026-27507</t>
        </is>
      </c>
    </row>
    <row r="1244">
      <c r="A1244" t="inlineStr">
        <is>
          <t>CVE</t>
        </is>
      </c>
      <c r="B1244" t="inlineStr">
        <is>
          <t>CVE-2026-27515</t>
        </is>
      </c>
      <c r="C1244" t="inlineStr">
        <is>
          <t>Binardat 10G08-0800GSM network switch firmware versions prior to V300SP10260209 generate predictable numeric session identifiers in the web management interface. An attacker can guess valid session IDs and hijack authenticated sessions.</t>
        </is>
      </c>
      <c r="D1244" t="n">
        <v>9.1</v>
      </c>
      <c r="E1244" t="inlineStr">
        <is>
          <t>CRITICAL</t>
        </is>
      </c>
      <c r="F1244" t="n">
        <v>2</v>
      </c>
      <c r="G1244" t="n">
        <v>3</v>
      </c>
      <c r="H1244" t="inlineStr">
        <is>
          <t>HIGH</t>
        </is>
      </c>
      <c r="I1244" t="n">
        <v>15.1</v>
      </c>
      <c r="J1244" t="inlineStr">
        <is>
          <t>NO</t>
        </is>
      </c>
      <c r="K1244" t="inlineStr">
        <is>
          <t>2026-02-26 00:15</t>
        </is>
      </c>
      <c r="L1244" t="inlineStr">
        <is>
          <t>CHECK_VENDOR</t>
        </is>
      </c>
      <c r="M1244" t="inlineStr">
        <is>
          <t>binardat 10g08-0800gsm - | binardat 10g08-0800gsm_firmware *</t>
        </is>
      </c>
      <c r="N1244" t="inlineStr">
        <is>
          <t>P3</t>
        </is>
      </c>
      <c r="O1244" t="inlineStr">
        <is>
          <t>CVE - IP enrichment n/a</t>
        </is>
      </c>
      <c r="P1244" t="n">
        <v>0.0003</v>
      </c>
      <c r="Q1244" t="n">
        <v>0.08649999999999999</v>
      </c>
      <c r="R1244" t="inlineStr">
        <is>
          <t>T1600:Weaken Encryption</t>
        </is>
      </c>
      <c r="S1244" t="n">
        <v>1</v>
      </c>
      <c r="T1244" t="inlineStr">
        <is>
          <t>LOW (40%)</t>
        </is>
      </c>
      <c r="U1244" t="inlineStr">
        <is>
          <t>UNLIKELY</t>
        </is>
      </c>
      <c r="V1244" t="inlineStr">
        <is>
          <t>CHECK_VENDOR</t>
        </is>
      </c>
      <c r="W1244" t="inlineStr">
        <is>
          <t>https://nvd.nist.gov/vuln/detail/CVE-2026-27515</t>
        </is>
      </c>
      <c r="X1244" t="inlineStr">
        <is>
          <t>NONE</t>
        </is>
      </c>
      <c r="Y1244" t="n">
        <v>0</v>
      </c>
      <c r="Z1244" t="inlineStr"/>
      <c r="AA1244" t="inlineStr">
        <is>
          <t>https://nvd.nist.gov/vuln/detail/CVE-2026-27515</t>
        </is>
      </c>
    </row>
    <row r="1245">
      <c r="A1245" t="inlineStr">
        <is>
          <t>CVE</t>
        </is>
      </c>
      <c r="B1245" t="inlineStr">
        <is>
          <t>CVE-2026-27516</t>
        </is>
      </c>
      <c r="C1245" t="inlineStr">
        <is>
          <t>Binardat 10G08-0800GSM network switch firmware version V300SP10260209 and prior expose user passwords in plaintext within the administrative interface and HTTP responses, allowing recovery of valid credentials.</t>
        </is>
      </c>
      <c r="D1245" t="n">
        <v>8.1</v>
      </c>
      <c r="E1245" t="inlineStr">
        <is>
          <t>HIGH</t>
        </is>
      </c>
      <c r="F1245" t="n">
        <v>2</v>
      </c>
      <c r="G1245" t="n">
        <v>3</v>
      </c>
      <c r="H1245" t="inlineStr">
        <is>
          <t>HIGH</t>
        </is>
      </c>
      <c r="I1245" t="n">
        <v>14.1</v>
      </c>
      <c r="J1245" t="inlineStr">
        <is>
          <t>NO</t>
        </is>
      </c>
      <c r="K1245" t="inlineStr">
        <is>
          <t>2026-02-26 00:15</t>
        </is>
      </c>
      <c r="L1245" t="inlineStr">
        <is>
          <t>CHECK_VENDOR</t>
        </is>
      </c>
      <c r="M1245" t="inlineStr">
        <is>
          <t>binardat 10g08-0800gsm - | binardat 10g08-0800gsm_firmware *</t>
        </is>
      </c>
      <c r="N1245" t="inlineStr">
        <is>
          <t>P3</t>
        </is>
      </c>
      <c r="O1245" t="inlineStr">
        <is>
          <t>CVE - IP enrichment n/a</t>
        </is>
      </c>
      <c r="P1245" t="n">
        <v>0</v>
      </c>
      <c r="Q1245" t="n">
        <v>0</v>
      </c>
      <c r="R1245" t="inlineStr">
        <is>
          <t>T1552:Unsecured Credentials</t>
        </is>
      </c>
      <c r="S1245" t="n">
        <v>1</v>
      </c>
      <c r="T1245" t="inlineStr">
        <is>
          <t>LOW (40%)</t>
        </is>
      </c>
      <c r="U1245" t="inlineStr">
        <is>
          <t>UNLIKELY</t>
        </is>
      </c>
      <c r="V1245" t="inlineStr">
        <is>
          <t>CHECK_VENDOR</t>
        </is>
      </c>
      <c r="W1245" t="inlineStr">
        <is>
          <t>https://nvd.nist.gov/vuln/detail/CVE-2026-27516</t>
        </is>
      </c>
      <c r="X1245" t="inlineStr">
        <is>
          <t>NONE</t>
        </is>
      </c>
      <c r="Y1245" t="n">
        <v>0</v>
      </c>
      <c r="Z1245" t="inlineStr"/>
      <c r="AA1245" t="inlineStr">
        <is>
          <t>https://nvd.nist.gov/vuln/detail/CVE-2026-27516</t>
        </is>
      </c>
    </row>
    <row r="1246">
      <c r="A1246" t="inlineStr">
        <is>
          <t>CVE</t>
        </is>
      </c>
      <c r="B1246" t="inlineStr">
        <is>
          <t>CVE-2026-27517</t>
        </is>
      </c>
      <c r="C1246" t="inlineStr">
        <is>
          <t>Binardat 10G08-0800GSM network switch firmware version V300SP10260209 and prior reflect unsanitized user input in the web interface, allowing an attacker to inject and execute arbitrary JavaScript in the context of an authenticated user.</t>
        </is>
      </c>
      <c r="D1246" t="n">
        <v>5.4</v>
      </c>
      <c r="E1246" t="inlineStr">
        <is>
          <t>MEDIUM</t>
        </is>
      </c>
      <c r="F1246" t="n">
        <v>2</v>
      </c>
      <c r="G1246" t="n">
        <v>2</v>
      </c>
      <c r="H1246" t="inlineStr">
        <is>
          <t>MEDIUM</t>
        </is>
      </c>
      <c r="I1246" t="n">
        <v>9.4</v>
      </c>
      <c r="J1246" t="inlineStr">
        <is>
          <t>NO</t>
        </is>
      </c>
      <c r="K1246" t="inlineStr">
        <is>
          <t>2026-02-26 00:15</t>
        </is>
      </c>
      <c r="L1246" t="inlineStr">
        <is>
          <t>CHECK_VENDOR</t>
        </is>
      </c>
      <c r="M1246" t="inlineStr">
        <is>
          <t>binardat 10g08-0800gsm - | binardat 10g08-0800gsm_firmware *</t>
        </is>
      </c>
      <c r="N1246" t="inlineStr">
        <is>
          <t>P4</t>
        </is>
      </c>
      <c r="O1246" t="inlineStr">
        <is>
          <t>CVE - IP enrichment n/a</t>
        </is>
      </c>
      <c r="P1246" t="n">
        <v>0</v>
      </c>
      <c r="Q1246" t="n">
        <v>0</v>
      </c>
      <c r="R1246" t="inlineStr">
        <is>
          <t>T1189:Drive-by Compromise</t>
        </is>
      </c>
      <c r="S1246" t="n">
        <v>1</v>
      </c>
      <c r="T1246" t="inlineStr">
        <is>
          <t>LOW (40%)</t>
        </is>
      </c>
      <c r="U1246" t="inlineStr">
        <is>
          <t>UNLIKELY</t>
        </is>
      </c>
      <c r="V1246" t="inlineStr">
        <is>
          <t>CHECK_VENDOR</t>
        </is>
      </c>
      <c r="W1246" t="inlineStr">
        <is>
          <t>https://nvd.nist.gov/vuln/detail/CVE-2026-27517</t>
        </is>
      </c>
      <c r="X1246" t="inlineStr">
        <is>
          <t>NONE</t>
        </is>
      </c>
      <c r="Y1246" t="n">
        <v>0</v>
      </c>
      <c r="Z1246" t="inlineStr"/>
      <c r="AA1246" t="inlineStr">
        <is>
          <t>https://nvd.nist.gov/vuln/detail/CVE-2026-27517</t>
        </is>
      </c>
    </row>
    <row r="1247">
      <c r="A1247" t="inlineStr">
        <is>
          <t>CVE</t>
        </is>
      </c>
      <c r="B1247" t="inlineStr">
        <is>
          <t>CVE-2026-27518</t>
        </is>
      </c>
      <c r="C1247" t="inlineStr">
        <is>
          <t>Binardat 10G08-0800GSM network switch firmware version V300SP10260209 and prior lack CSRF protections for state-changing actions in the administrative interface. An attacker can trick an authenticated administrator into performing unauthorized configuration changes.</t>
        </is>
      </c>
      <c r="D1247" t="n">
        <v>4.3</v>
      </c>
      <c r="E1247" t="inlineStr">
        <is>
          <t>MEDIUM</t>
        </is>
      </c>
      <c r="F1247" t="n">
        <v>2</v>
      </c>
      <c r="G1247" t="n">
        <v>2</v>
      </c>
      <c r="H1247" t="inlineStr">
        <is>
          <t>MEDIUM</t>
        </is>
      </c>
      <c r="I1247" t="n">
        <v>8.300000000000001</v>
      </c>
      <c r="J1247" t="inlineStr">
        <is>
          <t>NO</t>
        </is>
      </c>
      <c r="K1247" t="inlineStr">
        <is>
          <t>2026-02-26 00:15</t>
        </is>
      </c>
      <c r="L1247" t="inlineStr">
        <is>
          <t>CHECK_VENDOR</t>
        </is>
      </c>
      <c r="M1247" t="inlineStr">
        <is>
          <t>binardat 10g08-0800gsm - | binardat 10g08-0800gsm_firmware *</t>
        </is>
      </c>
      <c r="N1247" t="inlineStr">
        <is>
          <t>P4</t>
        </is>
      </c>
      <c r="O1247" t="inlineStr">
        <is>
          <t>CVE - IP enrichment n/a</t>
        </is>
      </c>
      <c r="P1247" t="n">
        <v>0.0001</v>
      </c>
      <c r="Q1247" t="n">
        <v>0.026</v>
      </c>
      <c r="R1247" t="inlineStr">
        <is>
          <t>T1185:Browser Session Hijacking</t>
        </is>
      </c>
      <c r="S1247" t="n">
        <v>1</v>
      </c>
      <c r="T1247" t="inlineStr">
        <is>
          <t>LOW (40%)</t>
        </is>
      </c>
      <c r="U1247" t="inlineStr">
        <is>
          <t>UNLIKELY</t>
        </is>
      </c>
      <c r="V1247" t="inlineStr">
        <is>
          <t>CHECK_VENDOR</t>
        </is>
      </c>
      <c r="W1247" t="inlineStr">
        <is>
          <t>https://nvd.nist.gov/vuln/detail/CVE-2026-27518</t>
        </is>
      </c>
      <c r="X1247" t="inlineStr">
        <is>
          <t>NONE</t>
        </is>
      </c>
      <c r="Y1247" t="n">
        <v>0</v>
      </c>
      <c r="Z1247" t="inlineStr"/>
      <c r="AA1247" t="inlineStr">
        <is>
          <t>https://nvd.nist.gov/vuln/detail/CVE-2026-27518</t>
        </is>
      </c>
    </row>
    <row r="1248">
      <c r="A1248" t="inlineStr">
        <is>
          <t>CVE</t>
        </is>
      </c>
      <c r="B1248" t="inlineStr">
        <is>
          <t>CVE-2026-27519</t>
        </is>
      </c>
      <c r="C1248" t="inlineStr">
        <is>
          <t>Binardat 10G08-0800GSM network switch firmware version V300SP10260209 and prior use RC4 with a hard-coded key embedded in client-side JavaScript. Because the key is static and exposed, an attacker can decrypt protected values and defeat confidentiality protections.</t>
        </is>
      </c>
      <c r="D1248" t="n">
        <v>7.5</v>
      </c>
      <c r="E1248" t="inlineStr">
        <is>
          <t>HIGH</t>
        </is>
      </c>
      <c r="F1248" t="n">
        <v>2</v>
      </c>
      <c r="G1248" t="n">
        <v>3</v>
      </c>
      <c r="H1248" t="inlineStr">
        <is>
          <t>HIGH</t>
        </is>
      </c>
      <c r="I1248" t="n">
        <v>13.5</v>
      </c>
      <c r="J1248" t="inlineStr">
        <is>
          <t>NO</t>
        </is>
      </c>
      <c r="K1248" t="inlineStr">
        <is>
          <t>2026-02-26 00:15</t>
        </is>
      </c>
      <c r="L1248" t="inlineStr">
        <is>
          <t>CHECK_VENDOR</t>
        </is>
      </c>
      <c r="M1248" t="inlineStr">
        <is>
          <t>binardat 10g08-0800gsm - | binardat 10g08-0800gsm_firmware *</t>
        </is>
      </c>
      <c r="N1248" t="inlineStr">
        <is>
          <t>P3</t>
        </is>
      </c>
      <c r="O1248" t="inlineStr">
        <is>
          <t>CVE - IP enrichment n/a</t>
        </is>
      </c>
      <c r="P1248" t="n">
        <v>0</v>
      </c>
      <c r="Q1248" t="n">
        <v>0</v>
      </c>
      <c r="R1248" t="inlineStr">
        <is>
          <t>T1190:Exploit Public-Facing Application</t>
        </is>
      </c>
      <c r="S1248" t="n">
        <v>1</v>
      </c>
      <c r="T1248" t="inlineStr">
        <is>
          <t>LOW (40%)</t>
        </is>
      </c>
      <c r="U1248" t="inlineStr">
        <is>
          <t>UNLIKELY</t>
        </is>
      </c>
      <c r="V1248" t="inlineStr">
        <is>
          <t>CHECK_VENDOR</t>
        </is>
      </c>
      <c r="W1248" t="inlineStr">
        <is>
          <t>https://nvd.nist.gov/vuln/detail/CVE-2026-27519</t>
        </is>
      </c>
      <c r="X1248" t="inlineStr">
        <is>
          <t>NONE</t>
        </is>
      </c>
      <c r="Y1248" t="n">
        <v>0</v>
      </c>
      <c r="Z1248" t="inlineStr"/>
      <c r="AA1248" t="inlineStr">
        <is>
          <t>https://nvd.nist.gov/vuln/detail/CVE-2026-27519</t>
        </is>
      </c>
    </row>
    <row r="1249">
      <c r="A1249" t="inlineStr">
        <is>
          <t>CVE</t>
        </is>
      </c>
      <c r="B1249" t="inlineStr">
        <is>
          <t>CVE-2026-27520</t>
        </is>
      </c>
      <c r="C1249" t="inlineStr">
        <is>
          <t>Binardat 10G08-0800GSM network switch firmware versions prior to V300SP10260209 store a user password in a client-side cookie as a Base64-encoded value accessible via the web interface. Because Base64 is reversible and provides no confidentiality, an attacker who can access the cookie value can recover the plaintext password.</t>
        </is>
      </c>
      <c r="D1249" t="n">
        <v>7.5</v>
      </c>
      <c r="E1249" t="inlineStr">
        <is>
          <t>HIGH</t>
        </is>
      </c>
      <c r="F1249" t="n">
        <v>2</v>
      </c>
      <c r="G1249" t="n">
        <v>3</v>
      </c>
      <c r="H1249" t="inlineStr">
        <is>
          <t>HIGH</t>
        </is>
      </c>
      <c r="I1249" t="n">
        <v>13.5</v>
      </c>
      <c r="J1249" t="inlineStr">
        <is>
          <t>NO</t>
        </is>
      </c>
      <c r="K1249" t="inlineStr">
        <is>
          <t>2026-02-26 00:15</t>
        </is>
      </c>
      <c r="L1249" t="inlineStr">
        <is>
          <t>CHECK_VENDOR</t>
        </is>
      </c>
      <c r="M1249" t="inlineStr">
        <is>
          <t>binardat 10g08-0800gsm - | binardat 10g08-0800gsm_firmware *</t>
        </is>
      </c>
      <c r="N1249" t="inlineStr">
        <is>
          <t>P3</t>
        </is>
      </c>
      <c r="O1249" t="inlineStr">
        <is>
          <t>CVE - IP enrichment n/a</t>
        </is>
      </c>
      <c r="P1249" t="n">
        <v>0</v>
      </c>
      <c r="Q1249" t="n">
        <v>0</v>
      </c>
      <c r="R1249" t="inlineStr">
        <is>
          <t>T1190:Exploit Public-Facing Application</t>
        </is>
      </c>
      <c r="S1249" t="n">
        <v>1</v>
      </c>
      <c r="T1249" t="inlineStr">
        <is>
          <t>LOW (40%)</t>
        </is>
      </c>
      <c r="U1249" t="inlineStr">
        <is>
          <t>UNLIKELY</t>
        </is>
      </c>
      <c r="V1249" t="inlineStr">
        <is>
          <t>CHECK_VENDOR</t>
        </is>
      </c>
      <c r="W1249" t="inlineStr">
        <is>
          <t>https://nvd.nist.gov/vuln/detail/CVE-2026-27520</t>
        </is>
      </c>
      <c r="X1249" t="inlineStr">
        <is>
          <t>NONE</t>
        </is>
      </c>
      <c r="Y1249" t="n">
        <v>0</v>
      </c>
      <c r="Z1249" t="inlineStr"/>
      <c r="AA1249" t="inlineStr">
        <is>
          <t>https://nvd.nist.gov/vuln/detail/CVE-2026-27520</t>
        </is>
      </c>
    </row>
    <row r="1250">
      <c r="A1250" t="inlineStr">
        <is>
          <t>CVE</t>
        </is>
      </c>
      <c r="B1250" t="inlineStr">
        <is>
          <t>CVE-2026-27521</t>
        </is>
      </c>
      <c r="C1250" t="inlineStr">
        <is>
          <t>Binardat 10G08-0800GSM network switch firmware version V300SP10260209 and prior do not implement rate limiting or account lockout on failed login attempts, enabling brute-force attacks against user credentials.</t>
        </is>
      </c>
      <c r="D1250" t="n">
        <v>6.5</v>
      </c>
      <c r="E1250" t="inlineStr">
        <is>
          <t>MEDIUM</t>
        </is>
      </c>
      <c r="F1250" t="n">
        <v>2</v>
      </c>
      <c r="G1250" t="n">
        <v>2</v>
      </c>
      <c r="H1250" t="inlineStr">
        <is>
          <t>MEDIUM</t>
        </is>
      </c>
      <c r="I1250" t="n">
        <v>10.5</v>
      </c>
      <c r="J1250" t="inlineStr">
        <is>
          <t>NO</t>
        </is>
      </c>
      <c r="K1250" t="inlineStr">
        <is>
          <t>2026-02-26 00:15</t>
        </is>
      </c>
      <c r="L1250" t="inlineStr">
        <is>
          <t>CHECK_VENDOR</t>
        </is>
      </c>
      <c r="M1250" t="inlineStr">
        <is>
          <t>binardat 10g08-0800gsm - | binardat 10g08-0800gsm_firmware *</t>
        </is>
      </c>
      <c r="N1250" t="inlineStr">
        <is>
          <t>P4</t>
        </is>
      </c>
      <c r="O1250" t="inlineStr">
        <is>
          <t>CVE - IP enrichment n/a</t>
        </is>
      </c>
      <c r="P1250" t="n">
        <v>0</v>
      </c>
      <c r="Q1250" t="n">
        <v>0</v>
      </c>
      <c r="R1250" t="inlineStr">
        <is>
          <t>T1190:Exploit Public-Facing Application | T1552:Unsecured Credentials</t>
        </is>
      </c>
      <c r="S1250" t="n">
        <v>1</v>
      </c>
      <c r="T1250" t="inlineStr">
        <is>
          <t>LOW (40%)</t>
        </is>
      </c>
      <c r="U1250" t="inlineStr">
        <is>
          <t>UNLIKELY</t>
        </is>
      </c>
      <c r="V1250" t="inlineStr">
        <is>
          <t>CHECK_VENDOR</t>
        </is>
      </c>
      <c r="W1250" t="inlineStr">
        <is>
          <t>https://nvd.nist.gov/vuln/detail/CVE-2026-27521</t>
        </is>
      </c>
      <c r="X1250" t="inlineStr">
        <is>
          <t>NONE</t>
        </is>
      </c>
      <c r="Y1250" t="n">
        <v>0</v>
      </c>
      <c r="Z1250" t="inlineStr"/>
      <c r="AA1250" t="inlineStr">
        <is>
          <t>https://nvd.nist.gov/vuln/detail/CVE-2026-27521</t>
        </is>
      </c>
    </row>
    <row r="1251">
      <c r="A1251" t="inlineStr">
        <is>
          <t>CVE</t>
        </is>
      </c>
      <c r="B1251" t="inlineStr">
        <is>
          <t>CVE-2024-48928</t>
        </is>
      </c>
      <c r="C1251" t="inlineStr">
        <is>
          <t xml:space="preserve">Piwigo is an open source photo gallery application for the web. In versions on the 14.x branch, when installing, the secret_key configuration parameter is set to MD5(RAND()) in MySQL. However, RAND() only has 30 bits of randomness, making it feasible to brute-force the secret key. The CSRF token is constructed partially from the secret key, and this can be used to check if the brute force succeeded. Trying all possible values takes approximately one hour. The impact of this is limited. The auto </t>
        </is>
      </c>
      <c r="D1251" t="n">
        <v>7.5</v>
      </c>
      <c r="E1251" t="inlineStr">
        <is>
          <t>HIGH</t>
        </is>
      </c>
      <c r="F1251" t="n">
        <v>2</v>
      </c>
      <c r="G1251" t="n">
        <v>3</v>
      </c>
      <c r="H1251" t="inlineStr">
        <is>
          <t>HIGH</t>
        </is>
      </c>
      <c r="I1251" t="n">
        <v>13.5</v>
      </c>
      <c r="J1251" t="inlineStr">
        <is>
          <t>NO</t>
        </is>
      </c>
      <c r="K1251" t="inlineStr">
        <is>
          <t>2026-02-26 00:15</t>
        </is>
      </c>
      <c r="L1251" t="inlineStr">
        <is>
          <t>YES</t>
        </is>
      </c>
      <c r="M1251" t="inlineStr">
        <is>
          <t>piwigo piwigo *</t>
        </is>
      </c>
      <c r="N1251" t="inlineStr">
        <is>
          <t>P1</t>
        </is>
      </c>
      <c r="O1251" t="inlineStr">
        <is>
          <t>CVE - IP enrichment n/a</t>
        </is>
      </c>
      <c r="P1251" t="n">
        <v>0</v>
      </c>
      <c r="Q1251" t="n">
        <v>0</v>
      </c>
      <c r="R1251" t="inlineStr">
        <is>
          <t>T1600:Weaken Encryption | T1190:Exploit Public-Facing Application | T1110:Brute Force</t>
        </is>
      </c>
      <c r="S1251" t="n">
        <v>2</v>
      </c>
      <c r="T1251" t="inlineStr">
        <is>
          <t>HIGH (72%)</t>
        </is>
      </c>
      <c r="U1251" t="inlineStr">
        <is>
          <t>HIGH</t>
        </is>
      </c>
      <c r="V1251" t="inlineStr">
        <is>
          <t>PATCH_AVAILABLE</t>
        </is>
      </c>
      <c r="W1251" t="inlineStr">
        <is>
          <t>https://nvd.nist.gov/vuln/detail/CVE-2024-48928</t>
        </is>
      </c>
      <c r="X1251" t="inlineStr">
        <is>
          <t>http://www.zerodayinitiative.com/advisories/ZDI-26-123/</t>
        </is>
      </c>
      <c r="Y1251" t="n">
        <v>0</v>
      </c>
      <c r="Z1251" t="inlineStr"/>
      <c r="AA1251" t="inlineStr">
        <is>
          <t>https://nvd.nist.gov/vuln/detail/CVE-2024-48928</t>
        </is>
      </c>
    </row>
    <row r="1252">
      <c r="A1252" t="inlineStr">
        <is>
          <t>CVE</t>
        </is>
      </c>
      <c r="B1252" t="inlineStr">
        <is>
          <t>CVE-2025-13776</t>
        </is>
      </c>
      <c r="C1252" t="inlineStr">
        <is>
          <t>Multiple Finka programs use hard-coded Firebird database credentials (shared across all instances of this software). A malicious attacker in local network who knows default credentials is able to read and edit database content.
This vulnerability has been fixed in version: Finka-FK 18.5, Finka-KPR 16.6, Finka-Płace 13.4, Finka-Faktura 18.3, Finka-Magazyn 8.3, Finka-STW 12.3</t>
        </is>
      </c>
      <c r="D1252" t="n">
        <v>5</v>
      </c>
      <c r="E1252" t="inlineStr">
        <is>
          <t>MEDIUM</t>
        </is>
      </c>
      <c r="F1252" t="n">
        <v>2</v>
      </c>
      <c r="G1252" t="n">
        <v>2</v>
      </c>
      <c r="H1252" t="inlineStr">
        <is>
          <t>MEDIUM</t>
        </is>
      </c>
      <c r="I1252" t="n">
        <v>9</v>
      </c>
      <c r="J1252" t="inlineStr">
        <is>
          <t>NO</t>
        </is>
      </c>
      <c r="K1252" t="inlineStr">
        <is>
          <t>2026-02-26 00:15</t>
        </is>
      </c>
      <c r="L1252" t="inlineStr">
        <is>
          <t>CHECK_VENDOR</t>
        </is>
      </c>
      <c r="M1252" t="inlineStr">
        <is>
          <t>See CVE details</t>
        </is>
      </c>
      <c r="N1252" t="inlineStr">
        <is>
          <t>P4</t>
        </is>
      </c>
      <c r="O1252" t="inlineStr">
        <is>
          <t>CVE - IP enrichment n/a</t>
        </is>
      </c>
      <c r="P1252" t="n">
        <v>0</v>
      </c>
      <c r="Q1252" t="n">
        <v>0</v>
      </c>
      <c r="R1252" t="inlineStr">
        <is>
          <t>T1552:Unsecured Credentials</t>
        </is>
      </c>
      <c r="S1252" t="n">
        <v>1</v>
      </c>
      <c r="T1252" t="inlineStr">
        <is>
          <t>LOW (40%)</t>
        </is>
      </c>
      <c r="U1252" t="inlineStr">
        <is>
          <t>UNLIKELY</t>
        </is>
      </c>
      <c r="V1252" t="inlineStr">
        <is>
          <t>CHECK_VENDOR</t>
        </is>
      </c>
      <c r="W1252" t="inlineStr">
        <is>
          <t>https://nvd.nist.gov/vuln/detail/CVE-2025-13776</t>
        </is>
      </c>
      <c r="X1252" t="inlineStr">
        <is>
          <t>NONE</t>
        </is>
      </c>
      <c r="Y1252" t="n">
        <v>0</v>
      </c>
      <c r="Z1252" t="inlineStr"/>
      <c r="AA1252" t="inlineStr">
        <is>
          <t>https://nvd.nist.gov/vuln/detail/CVE-2025-13776</t>
        </is>
      </c>
    </row>
    <row r="1253">
      <c r="A1253" t="inlineStr">
        <is>
          <t>CVE</t>
        </is>
      </c>
      <c r="B1253" t="inlineStr">
        <is>
          <t>CVE-2026-27571</t>
        </is>
      </c>
      <c r="C1253" t="inlineStr">
        <is>
          <t>NATS-Server is a High-Performance server for NATS.io, a cloud and edge native messaging system. The WebSockets handling of NATS messages handles compressed messages via the WebSockets negotiated compression. Prior to versions 2.11.2 and 2.12.3, the implementation bound the memory size of a NATS message but did not independently bound the memory consumption of the memory stream when constructing a NATS message which might then fail validation for size reasons. An attacker can use a compression bo</t>
        </is>
      </c>
      <c r="D1253" t="n">
        <v>5.9</v>
      </c>
      <c r="E1253" t="inlineStr">
        <is>
          <t>MEDIUM</t>
        </is>
      </c>
      <c r="F1253" t="n">
        <v>2</v>
      </c>
      <c r="G1253" t="n">
        <v>2</v>
      </c>
      <c r="H1253" t="inlineStr">
        <is>
          <t>MEDIUM</t>
        </is>
      </c>
      <c r="I1253" t="n">
        <v>9.9</v>
      </c>
      <c r="J1253" t="inlineStr">
        <is>
          <t>NO</t>
        </is>
      </c>
      <c r="K1253" t="inlineStr">
        <is>
          <t>2026-02-26 00:15</t>
        </is>
      </c>
      <c r="L1253" t="inlineStr">
        <is>
          <t>CHECK_VENDOR</t>
        </is>
      </c>
      <c r="M1253" t="inlineStr">
        <is>
          <t>See CVE details</t>
        </is>
      </c>
      <c r="N1253" t="inlineStr">
        <is>
          <t>P3</t>
        </is>
      </c>
      <c r="O1253" t="inlineStr">
        <is>
          <t>CVE - IP enrichment n/a</t>
        </is>
      </c>
      <c r="P1253" t="n">
        <v>0</v>
      </c>
      <c r="Q1253" t="n">
        <v>0</v>
      </c>
      <c r="R1253" t="inlineStr">
        <is>
          <t>T1552:Unsecured Credentials</t>
        </is>
      </c>
      <c r="S1253" t="n">
        <v>2</v>
      </c>
      <c r="T1253" t="inlineStr">
        <is>
          <t>MEDIUM (52%)</t>
        </is>
      </c>
      <c r="U1253" t="inlineStr">
        <is>
          <t>UNLIKELY</t>
        </is>
      </c>
      <c r="V1253" t="inlineStr">
        <is>
          <t>CHECK_VENDOR</t>
        </is>
      </c>
      <c r="W1253" t="inlineStr">
        <is>
          <t>https://nvd.nist.gov/vuln/detail/CVE-2026-27571</t>
        </is>
      </c>
      <c r="X1253" t="inlineStr">
        <is>
          <t>NONE</t>
        </is>
      </c>
      <c r="Y1253" t="n">
        <v>0</v>
      </c>
      <c r="Z1253" t="inlineStr"/>
      <c r="AA1253" t="inlineStr">
        <is>
          <t>https://nvd.nist.gov/vuln/detail/CVE-2026-27571</t>
        </is>
      </c>
    </row>
    <row r="1254">
      <c r="A1254" t="inlineStr">
        <is>
          <t>CVE</t>
        </is>
      </c>
      <c r="B1254" t="inlineStr">
        <is>
          <t>CVE-2026-27585</t>
        </is>
      </c>
      <c r="C1254" t="inlineStr">
        <is>
          <t>Caddy is an extensible server platform that uses TLS by default. Prior to version 2.11.1, the path sanitization routine in file matcher doesn't sanitize backslashes which can lead to bypassing path related security protections. It affects users with specific Caddy and environment configurations. Version 2.11.1 fixes the issue.</t>
        </is>
      </c>
      <c r="D1254" t="n">
        <v>6.5</v>
      </c>
      <c r="E1254" t="inlineStr">
        <is>
          <t>MEDIUM</t>
        </is>
      </c>
      <c r="F1254" t="n">
        <v>2</v>
      </c>
      <c r="G1254" t="n">
        <v>2</v>
      </c>
      <c r="H1254" t="inlineStr">
        <is>
          <t>MEDIUM</t>
        </is>
      </c>
      <c r="I1254" t="n">
        <v>10.5</v>
      </c>
      <c r="J1254" t="inlineStr">
        <is>
          <t>NO</t>
        </is>
      </c>
      <c r="K1254" t="inlineStr">
        <is>
          <t>2026-02-26 00:15</t>
        </is>
      </c>
      <c r="L1254" t="inlineStr">
        <is>
          <t>YES</t>
        </is>
      </c>
      <c r="M1254" t="inlineStr">
        <is>
          <t>caddyserver caddy *</t>
        </is>
      </c>
      <c r="N1254" t="inlineStr">
        <is>
          <t>P4</t>
        </is>
      </c>
      <c r="O1254" t="inlineStr">
        <is>
          <t>CVE - IP enrichment n/a</t>
        </is>
      </c>
      <c r="P1254" t="n">
        <v>0</v>
      </c>
      <c r="Q1254" t="n">
        <v>0</v>
      </c>
      <c r="R1254" t="inlineStr">
        <is>
          <t>T1190:Exploit Public-Facing Application</t>
        </is>
      </c>
      <c r="S1254" t="n">
        <v>1</v>
      </c>
      <c r="T1254" t="inlineStr">
        <is>
          <t>LOW (40%)</t>
        </is>
      </c>
      <c r="U1254" t="inlineStr">
        <is>
          <t>UNLIKELY</t>
        </is>
      </c>
      <c r="V1254" t="inlineStr">
        <is>
          <t>PATCH_AVAILABLE</t>
        </is>
      </c>
      <c r="W1254" t="inlineStr">
        <is>
          <t>https://nvd.nist.gov/vuln/detail/CVE-2026-27585</t>
        </is>
      </c>
      <c r="X1254" t="inlineStr">
        <is>
          <t>NONE</t>
        </is>
      </c>
      <c r="Y1254" t="n">
        <v>0</v>
      </c>
      <c r="Z1254" t="inlineStr"/>
      <c r="AA1254" t="inlineStr">
        <is>
          <t>https://nvd.nist.gov/vuln/detail/CVE-2026-27585</t>
        </is>
      </c>
    </row>
    <row r="1255">
      <c r="A1255" t="inlineStr">
        <is>
          <t>CVE</t>
        </is>
      </c>
      <c r="B1255" t="inlineStr">
        <is>
          <t>CVE-2026-27586</t>
        </is>
      </c>
      <c r="C1255" t="inlineStr">
        <is>
          <t>Caddy is an extensible server platform that uses TLS by default. Prior to version 2.11.1, two swallowed errors in `ClientAuthentication.provision()` cause mTLS client certificate authentication to silently fail open when a CA certificate file is missing, unreadable, or malformed. The server starts without error but accepts any client certificate signed by any system-trusted CA, completely bypassing the intended private CA trust boundary. Any deployment using `trusted_ca_cert_file` or `trusted_ca</t>
        </is>
      </c>
      <c r="D1255" t="n">
        <v>9.1</v>
      </c>
      <c r="E1255" t="inlineStr">
        <is>
          <t>CRITICAL</t>
        </is>
      </c>
      <c r="F1255" t="n">
        <v>2</v>
      </c>
      <c r="G1255" t="n">
        <v>3</v>
      </c>
      <c r="H1255" t="inlineStr">
        <is>
          <t>HIGH</t>
        </is>
      </c>
      <c r="I1255" t="n">
        <v>15.1</v>
      </c>
      <c r="J1255" t="inlineStr">
        <is>
          <t>NO</t>
        </is>
      </c>
      <c r="K1255" t="inlineStr">
        <is>
          <t>2026-02-26 00:15</t>
        </is>
      </c>
      <c r="L1255" t="inlineStr">
        <is>
          <t>YES</t>
        </is>
      </c>
      <c r="M1255" t="inlineStr">
        <is>
          <t>caddyserver caddy *</t>
        </is>
      </c>
      <c r="N1255" t="inlineStr">
        <is>
          <t>P3</t>
        </is>
      </c>
      <c r="O1255" t="inlineStr">
        <is>
          <t>CVE - IP enrichment n/a</t>
        </is>
      </c>
      <c r="P1255" t="n">
        <v>0</v>
      </c>
      <c r="Q1255" t="n">
        <v>0</v>
      </c>
      <c r="R1255" t="inlineStr">
        <is>
          <t>T1190:Exploit Public-Facing Application</t>
        </is>
      </c>
      <c r="S1255" t="n">
        <v>1</v>
      </c>
      <c r="T1255" t="inlineStr">
        <is>
          <t>LOW (40%)</t>
        </is>
      </c>
      <c r="U1255" t="inlineStr">
        <is>
          <t>UNLIKELY</t>
        </is>
      </c>
      <c r="V1255" t="inlineStr">
        <is>
          <t>PATCH_AVAILABLE</t>
        </is>
      </c>
      <c r="W1255" t="inlineStr">
        <is>
          <t>https://nvd.nist.gov/vuln/detail/CVE-2026-27586</t>
        </is>
      </c>
      <c r="X1255" t="inlineStr">
        <is>
          <t>NONE</t>
        </is>
      </c>
      <c r="Y1255" t="n">
        <v>0</v>
      </c>
      <c r="Z1255" t="inlineStr"/>
      <c r="AA1255" t="inlineStr">
        <is>
          <t>https://nvd.nist.gov/vuln/detail/CVE-2026-27586</t>
        </is>
      </c>
    </row>
    <row r="1256">
      <c r="A1256" t="inlineStr">
        <is>
          <t>CVE</t>
        </is>
      </c>
      <c r="B1256" t="inlineStr">
        <is>
          <t>CVE-2026-27587</t>
        </is>
      </c>
      <c r="C1256" t="inlineStr">
        <is>
          <t>Caddy is an extensible server platform that uses TLS by default. Prior to version 2.11.1, Caddy's HTTP `path` request matcher is intended to be case-insensitive, but when the match pattern contains percent-escape sequences (`%xx`) it compares against the request's escaped path without lowercasing. An attacker can bypass path-based routing and any access controls attached to that route by changing the casing of the request path. Version 2.11.1 contains a fix for the issue.</t>
        </is>
      </c>
      <c r="D1256" t="n">
        <v>9.1</v>
      </c>
      <c r="E1256" t="inlineStr">
        <is>
          <t>CRITICAL</t>
        </is>
      </c>
      <c r="F1256" t="n">
        <v>2</v>
      </c>
      <c r="G1256" t="n">
        <v>3</v>
      </c>
      <c r="H1256" t="inlineStr">
        <is>
          <t>HIGH</t>
        </is>
      </c>
      <c r="I1256" t="n">
        <v>15.1</v>
      </c>
      <c r="J1256" t="inlineStr">
        <is>
          <t>NO</t>
        </is>
      </c>
      <c r="K1256" t="inlineStr">
        <is>
          <t>2026-02-26 00:15</t>
        </is>
      </c>
      <c r="L1256" t="inlineStr">
        <is>
          <t>YES</t>
        </is>
      </c>
      <c r="M1256" t="inlineStr">
        <is>
          <t>caddyserver caddy *</t>
        </is>
      </c>
      <c r="N1256" t="inlineStr">
        <is>
          <t>P3</t>
        </is>
      </c>
      <c r="O1256" t="inlineStr">
        <is>
          <t>CVE - IP enrichment n/a</t>
        </is>
      </c>
      <c r="P1256" t="n">
        <v>0</v>
      </c>
      <c r="Q1256" t="n">
        <v>0</v>
      </c>
      <c r="R1256" t="inlineStr">
        <is>
          <t>T1190:Exploit Public-Facing Application</t>
        </is>
      </c>
      <c r="S1256" t="n">
        <v>1</v>
      </c>
      <c r="T1256" t="inlineStr">
        <is>
          <t>LOW (40%)</t>
        </is>
      </c>
      <c r="U1256" t="inlineStr">
        <is>
          <t>UNLIKELY</t>
        </is>
      </c>
      <c r="V1256" t="inlineStr">
        <is>
          <t>PATCH_AVAILABLE</t>
        </is>
      </c>
      <c r="W1256" t="inlineStr">
        <is>
          <t>https://nvd.nist.gov/vuln/detail/CVE-2026-27587</t>
        </is>
      </c>
      <c r="X1256" t="inlineStr">
        <is>
          <t>NONE</t>
        </is>
      </c>
      <c r="Y1256" t="n">
        <v>0</v>
      </c>
      <c r="Z1256" t="inlineStr"/>
      <c r="AA1256" t="inlineStr">
        <is>
          <t>https://nvd.nist.gov/vuln/detail/CVE-2026-27587</t>
        </is>
      </c>
    </row>
    <row r="1257">
      <c r="A1257" t="inlineStr">
        <is>
          <t>CVE</t>
        </is>
      </c>
      <c r="B1257" t="inlineStr">
        <is>
          <t>CVE-2026-27588</t>
        </is>
      </c>
      <c r="C1257" t="inlineStr">
        <is>
          <t>Caddy is an extensible server platform that uses TLS by default. Prior to version 2.11.1, Caddy's HTTP `host` request matcher is documented as case-insensitive, but when configured with a large host list (&gt;100 entries) it becomes case-sensitive due to an optimized matching path. An attacker can bypass host-based routing and any access controls attached to that route by changing the casing of the `Host` header. Version 2.11.1 contains a fix for the issue.</t>
        </is>
      </c>
      <c r="D1257" t="n">
        <v>9.1</v>
      </c>
      <c r="E1257" t="inlineStr">
        <is>
          <t>CRITICAL</t>
        </is>
      </c>
      <c r="F1257" t="n">
        <v>2</v>
      </c>
      <c r="G1257" t="n">
        <v>3</v>
      </c>
      <c r="H1257" t="inlineStr">
        <is>
          <t>HIGH</t>
        </is>
      </c>
      <c r="I1257" t="n">
        <v>15.1</v>
      </c>
      <c r="J1257" t="inlineStr">
        <is>
          <t>NO</t>
        </is>
      </c>
      <c r="K1257" t="inlineStr">
        <is>
          <t>2026-02-26 00:15</t>
        </is>
      </c>
      <c r="L1257" t="inlineStr">
        <is>
          <t>YES</t>
        </is>
      </c>
      <c r="M1257" t="inlineStr">
        <is>
          <t>caddyserver caddy *</t>
        </is>
      </c>
      <c r="N1257" t="inlineStr">
        <is>
          <t>P3</t>
        </is>
      </c>
      <c r="O1257" t="inlineStr">
        <is>
          <t>CVE - IP enrichment n/a</t>
        </is>
      </c>
      <c r="P1257" t="n">
        <v>0</v>
      </c>
      <c r="Q1257" t="n">
        <v>0</v>
      </c>
      <c r="R1257" t="inlineStr">
        <is>
          <t>T1190:Exploit Public-Facing Application</t>
        </is>
      </c>
      <c r="S1257" t="n">
        <v>1</v>
      </c>
      <c r="T1257" t="inlineStr">
        <is>
          <t>LOW (40%)</t>
        </is>
      </c>
      <c r="U1257" t="inlineStr">
        <is>
          <t>UNLIKELY</t>
        </is>
      </c>
      <c r="V1257" t="inlineStr">
        <is>
          <t>PATCH_AVAILABLE</t>
        </is>
      </c>
      <c r="W1257" t="inlineStr">
        <is>
          <t>https://nvd.nist.gov/vuln/detail/CVE-2026-27588</t>
        </is>
      </c>
      <c r="X1257" t="inlineStr">
        <is>
          <t>NONE</t>
        </is>
      </c>
      <c r="Y1257" t="n">
        <v>0</v>
      </c>
      <c r="Z1257" t="inlineStr"/>
      <c r="AA1257" t="inlineStr">
        <is>
          <t>https://nvd.nist.gov/vuln/detail/CVE-2026-27588</t>
        </is>
      </c>
    </row>
    <row r="1258">
      <c r="A1258" t="inlineStr">
        <is>
          <t>CVE</t>
        </is>
      </c>
      <c r="B1258" t="inlineStr">
        <is>
          <t>CVE-2026-27589</t>
        </is>
      </c>
      <c r="C1258" t="inlineStr">
        <is>
          <t>Caddy is an extensible server platform that uses TLS by default. Prior to version 2.11.1, the local caddy admin API (default listen `127.0.0.1:2019`) exposes a state-changing `POST /load` endpoint that replaces the entire running configuration. When origin enforcement is not enabled (`enforce_origin` not configured), the admin endpoint accepts cross-origin requests (e.g., from attacker-controlled web content in a victim browser) and applies an attacker-supplied JSON config. This can change the a</t>
        </is>
      </c>
      <c r="D1258" t="n">
        <v>6.5</v>
      </c>
      <c r="E1258" t="inlineStr">
        <is>
          <t>MEDIUM</t>
        </is>
      </c>
      <c r="F1258" t="n">
        <v>2</v>
      </c>
      <c r="G1258" t="n">
        <v>2</v>
      </c>
      <c r="H1258" t="inlineStr">
        <is>
          <t>MEDIUM</t>
        </is>
      </c>
      <c r="I1258" t="n">
        <v>10.5</v>
      </c>
      <c r="J1258" t="inlineStr">
        <is>
          <t>NO</t>
        </is>
      </c>
      <c r="K1258" t="inlineStr">
        <is>
          <t>2026-02-26 00:15</t>
        </is>
      </c>
      <c r="L1258" t="inlineStr">
        <is>
          <t>YES</t>
        </is>
      </c>
      <c r="M1258" t="inlineStr">
        <is>
          <t>caddyserver caddy *</t>
        </is>
      </c>
      <c r="N1258" t="inlineStr">
        <is>
          <t>P4</t>
        </is>
      </c>
      <c r="O1258" t="inlineStr">
        <is>
          <t>CVE - IP enrichment n/a</t>
        </is>
      </c>
      <c r="P1258" t="n">
        <v>0</v>
      </c>
      <c r="Q1258" t="n">
        <v>0</v>
      </c>
      <c r="R1258" t="inlineStr">
        <is>
          <t>T1185:Browser Session Hijacking | T1190:Exploit Public-Facing Application</t>
        </is>
      </c>
      <c r="S1258" t="n">
        <v>1</v>
      </c>
      <c r="T1258" t="inlineStr">
        <is>
          <t>LOW (40%)</t>
        </is>
      </c>
      <c r="U1258" t="inlineStr">
        <is>
          <t>UNLIKELY</t>
        </is>
      </c>
      <c r="V1258" t="inlineStr">
        <is>
          <t>PATCH_AVAILABLE</t>
        </is>
      </c>
      <c r="W1258" t="inlineStr">
        <is>
          <t>https://nvd.nist.gov/vuln/detail/CVE-2026-27589</t>
        </is>
      </c>
      <c r="X1258" t="inlineStr">
        <is>
          <t>NONE</t>
        </is>
      </c>
      <c r="Y1258" t="n">
        <v>0</v>
      </c>
      <c r="Z1258" t="inlineStr"/>
      <c r="AA1258" t="inlineStr">
        <is>
          <t>https://nvd.nist.gov/vuln/detail/CVE-2026-27589</t>
        </is>
      </c>
    </row>
    <row r="1259">
      <c r="A1259" t="inlineStr">
        <is>
          <t>CVE</t>
        </is>
      </c>
      <c r="B1259" t="inlineStr">
        <is>
          <t>CVE-2026-27590</t>
        </is>
      </c>
      <c r="C1259" t="inlineStr">
        <is>
          <t>Caddy is an extensible server platform that uses TLS by default. Prior to version 2.11.1, Caddy's FastCGI path splitting logic computes the split index on a lowercased copy of the request path and then uses that byte index to slice the original path. This is unsafe for Unicode because `strings.ToLower()` can change UTF-8 byte length for some characters. As a result, Caddy can derive an incorrect `SCRIPT_NAME`/`SCRIPT_FILENAME` and `PATH_INFO`, potentially causing a request that contains `.php` t</t>
        </is>
      </c>
      <c r="D1259" t="n">
        <v>9.800000000000001</v>
      </c>
      <c r="E1259" t="inlineStr">
        <is>
          <t>CRITICAL</t>
        </is>
      </c>
      <c r="F1259" t="n">
        <v>2</v>
      </c>
      <c r="G1259" t="n">
        <v>3</v>
      </c>
      <c r="H1259" t="inlineStr">
        <is>
          <t>HIGH</t>
        </is>
      </c>
      <c r="I1259" t="n">
        <v>15.8</v>
      </c>
      <c r="J1259" t="inlineStr">
        <is>
          <t>NO</t>
        </is>
      </c>
      <c r="K1259" t="inlineStr">
        <is>
          <t>2026-02-26 00:15</t>
        </is>
      </c>
      <c r="L1259" t="inlineStr">
        <is>
          <t>YES</t>
        </is>
      </c>
      <c r="M1259" t="inlineStr">
        <is>
          <t>caddyserver caddy *</t>
        </is>
      </c>
      <c r="N1259" t="inlineStr">
        <is>
          <t>P3</t>
        </is>
      </c>
      <c r="O1259" t="inlineStr">
        <is>
          <t>CVE - IP enrichment n/a</t>
        </is>
      </c>
      <c r="P1259" t="n">
        <v>0</v>
      </c>
      <c r="Q1259" t="n">
        <v>0</v>
      </c>
      <c r="R1259" t="inlineStr">
        <is>
          <t>T1190:Exploit Public-Facing Application</t>
        </is>
      </c>
      <c r="S1259" t="n">
        <v>1</v>
      </c>
      <c r="T1259" t="inlineStr">
        <is>
          <t>LOW (40%)</t>
        </is>
      </c>
      <c r="U1259" t="inlineStr">
        <is>
          <t>UNLIKELY</t>
        </is>
      </c>
      <c r="V1259" t="inlineStr">
        <is>
          <t>PATCH_AVAILABLE</t>
        </is>
      </c>
      <c r="W1259" t="inlineStr">
        <is>
          <t>https://nvd.nist.gov/vuln/detail/CVE-2026-27590</t>
        </is>
      </c>
      <c r="X1259" t="inlineStr">
        <is>
          <t>NONE</t>
        </is>
      </c>
      <c r="Y1259" t="n">
        <v>0</v>
      </c>
      <c r="Z1259" t="inlineStr"/>
      <c r="AA1259" t="inlineStr">
        <is>
          <t>https://nvd.nist.gov/vuln/detail/CVE-2026-27590</t>
        </is>
      </c>
    </row>
    <row r="1260">
      <c r="A1260" t="inlineStr">
        <is>
          <t>CVE</t>
        </is>
      </c>
      <c r="B1260" t="inlineStr">
        <is>
          <t>CVE-2025-14963</t>
        </is>
      </c>
      <c r="C1260" t="inlineStr">
        <is>
          <t>A vulnerability identified in the Trellix HX Agent driver file  fekern.sys allowed a threat actor with local user access the ability to gain elevated system privileges.  Utilization of a Bring Your Own Vulnerable Driver (BYOVD) was leveraged to gain access to the critical Windows process memory lsass.exe (Local Security Authority Subsystem Service).  The fekern.sys; a driver file associated with Trellix HX Agent (used in all existing HX Agent versions).    The vulnerable driver installed in a pr</t>
        </is>
      </c>
      <c r="D1260" t="n">
        <v>5</v>
      </c>
      <c r="E1260" t="inlineStr">
        <is>
          <t>MEDIUM</t>
        </is>
      </c>
      <c r="F1260" t="n">
        <v>2</v>
      </c>
      <c r="G1260" t="n">
        <v>2</v>
      </c>
      <c r="H1260" t="inlineStr">
        <is>
          <t>MEDIUM</t>
        </is>
      </c>
      <c r="I1260" t="n">
        <v>9</v>
      </c>
      <c r="J1260" t="inlineStr">
        <is>
          <t>NO</t>
        </is>
      </c>
      <c r="K1260" t="inlineStr">
        <is>
          <t>2026-02-26 00:15</t>
        </is>
      </c>
      <c r="L1260" t="inlineStr">
        <is>
          <t>CHECK_VENDOR</t>
        </is>
      </c>
      <c r="M1260" t="inlineStr">
        <is>
          <t>See CVE details</t>
        </is>
      </c>
      <c r="N1260" t="inlineStr">
        <is>
          <t>P4</t>
        </is>
      </c>
      <c r="O1260" t="inlineStr">
        <is>
          <t>CVE - IP enrichment n/a</t>
        </is>
      </c>
      <c r="P1260" t="n">
        <v>0</v>
      </c>
      <c r="Q1260" t="n">
        <v>0</v>
      </c>
      <c r="R1260" t="inlineStr">
        <is>
          <t>T1190:Exploit Public-Facing Application</t>
        </is>
      </c>
      <c r="S1260" t="n">
        <v>1</v>
      </c>
      <c r="T1260" t="inlineStr">
        <is>
          <t>LOW (40%)</t>
        </is>
      </c>
      <c r="U1260" t="inlineStr">
        <is>
          <t>UNLIKELY</t>
        </is>
      </c>
      <c r="V1260" t="inlineStr">
        <is>
          <t>CHECK_VENDOR</t>
        </is>
      </c>
      <c r="W1260" t="inlineStr">
        <is>
          <t>https://nvd.nist.gov/vuln/detail/CVE-2025-14963</t>
        </is>
      </c>
      <c r="X1260" t="inlineStr">
        <is>
          <t>NONE</t>
        </is>
      </c>
      <c r="Y1260" t="n">
        <v>0</v>
      </c>
      <c r="Z1260" t="inlineStr"/>
      <c r="AA1260" t="inlineStr">
        <is>
          <t>https://nvd.nist.gov/vuln/detail/CVE-2025-14963</t>
        </is>
      </c>
    </row>
    <row r="1261">
      <c r="A1261" t="inlineStr">
        <is>
          <t>CVE</t>
        </is>
      </c>
      <c r="B1261" t="inlineStr">
        <is>
          <t>CVE-2025-62512</t>
        </is>
      </c>
      <c r="C1261" t="inlineStr">
        <is>
          <t>Piwigo is an open source photo gallery application for the web. In version 15.5.0 and likely earlier 15.x releases, the password reset functionality in Piwigo allows an unauthenticated attacker to determine whether a given username or email address exists in the system. The endpoint at password.php?action=lost returns distinct messages for valid vs. invalid accounts, enabling user enumeration. As of time of publication, no known patches are available.</t>
        </is>
      </c>
      <c r="D1261" t="n">
        <v>5.3</v>
      </c>
      <c r="E1261" t="inlineStr">
        <is>
          <t>MEDIUM</t>
        </is>
      </c>
      <c r="F1261" t="n">
        <v>2</v>
      </c>
      <c r="G1261" t="n">
        <v>2</v>
      </c>
      <c r="H1261" t="inlineStr">
        <is>
          <t>MEDIUM</t>
        </is>
      </c>
      <c r="I1261" t="n">
        <v>9.300000000000001</v>
      </c>
      <c r="J1261" t="inlineStr">
        <is>
          <t>NO</t>
        </is>
      </c>
      <c r="K1261" t="inlineStr">
        <is>
          <t>2026-02-26 00:15</t>
        </is>
      </c>
      <c r="L1261" t="inlineStr">
        <is>
          <t>YES</t>
        </is>
      </c>
      <c r="M1261" t="inlineStr">
        <is>
          <t>piwigo piwigo *</t>
        </is>
      </c>
      <c r="N1261" t="inlineStr">
        <is>
          <t>P4</t>
        </is>
      </c>
      <c r="O1261" t="inlineStr">
        <is>
          <t>CVE - IP enrichment n/a</t>
        </is>
      </c>
      <c r="P1261" t="n">
        <v>0.0007</v>
      </c>
      <c r="Q1261" t="n">
        <v>0.223</v>
      </c>
      <c r="R1261" t="inlineStr">
        <is>
          <t>T1190:Exploit Public-Facing Application</t>
        </is>
      </c>
      <c r="S1261" t="n">
        <v>1</v>
      </c>
      <c r="T1261" t="inlineStr">
        <is>
          <t>LOW (40%)</t>
        </is>
      </c>
      <c r="U1261" t="inlineStr">
        <is>
          <t>UNLIKELY</t>
        </is>
      </c>
      <c r="V1261" t="inlineStr">
        <is>
          <t>PATCH_AVAILABLE</t>
        </is>
      </c>
      <c r="W1261" t="inlineStr">
        <is>
          <t>https://nvd.nist.gov/vuln/detail/CVE-2025-62512</t>
        </is>
      </c>
      <c r="X1261" t="inlineStr">
        <is>
          <t>NONE</t>
        </is>
      </c>
      <c r="Y1261" t="n">
        <v>0</v>
      </c>
      <c r="Z1261" t="inlineStr"/>
      <c r="AA1261" t="inlineStr">
        <is>
          <t>https://nvd.nist.gov/vuln/detail/CVE-2025-62512</t>
        </is>
      </c>
    </row>
    <row r="1262">
      <c r="A1262" t="inlineStr">
        <is>
          <t>CVE</t>
        </is>
      </c>
      <c r="B1262" t="inlineStr">
        <is>
          <t>CVE-2026-25603</t>
        </is>
      </c>
      <c r="C1262" t="inlineStr">
        <is>
          <t>Improper Limitation of a Pathname to a Restricted Directory ('Path Traversal') vulnerability in Linksys MR9600, Linksys MX4200 allows that contents of a USB drive partition can be mounted in an arbitrary location of the file system. This may result in the execution of shell scripts in the context of a root user.This issue affects MR9600: 1.0.4.205530; MX4200: 1.0.13.210200.</t>
        </is>
      </c>
      <c r="D1262" t="n">
        <v>6.6</v>
      </c>
      <c r="E1262" t="inlineStr">
        <is>
          <t>MEDIUM</t>
        </is>
      </c>
      <c r="F1262" t="n">
        <v>2</v>
      </c>
      <c r="G1262" t="n">
        <v>2</v>
      </c>
      <c r="H1262" t="inlineStr">
        <is>
          <t>MEDIUM</t>
        </is>
      </c>
      <c r="I1262" t="n">
        <v>10.6</v>
      </c>
      <c r="J1262" t="inlineStr">
        <is>
          <t>NO</t>
        </is>
      </c>
      <c r="K1262" t="inlineStr">
        <is>
          <t>2026-02-26 00:15</t>
        </is>
      </c>
      <c r="L1262" t="inlineStr">
        <is>
          <t>CHECK_VENDOR</t>
        </is>
      </c>
      <c r="M1262" t="inlineStr">
        <is>
          <t>See CVE details</t>
        </is>
      </c>
      <c r="N1262" t="inlineStr">
        <is>
          <t>P4</t>
        </is>
      </c>
      <c r="O1262" t="inlineStr">
        <is>
          <t>CVE - IP enrichment n/a</t>
        </is>
      </c>
      <c r="P1262" t="n">
        <v>0</v>
      </c>
      <c r="Q1262" t="n">
        <v>0</v>
      </c>
      <c r="R1262" t="inlineStr">
        <is>
          <t>T1083:File and Directory Discovery</t>
        </is>
      </c>
      <c r="S1262" t="n">
        <v>1</v>
      </c>
      <c r="T1262" t="inlineStr">
        <is>
          <t>LOW (40%)</t>
        </is>
      </c>
      <c r="U1262" t="inlineStr">
        <is>
          <t>UNLIKELY</t>
        </is>
      </c>
      <c r="V1262" t="inlineStr">
        <is>
          <t>CHECK_VENDOR</t>
        </is>
      </c>
      <c r="W1262" t="inlineStr">
        <is>
          <t>https://nvd.nist.gov/vuln/detail/CVE-2026-25603</t>
        </is>
      </c>
      <c r="X1262" t="inlineStr">
        <is>
          <t>NONE</t>
        </is>
      </c>
      <c r="Y1262" t="n">
        <v>0</v>
      </c>
      <c r="Z1262" t="inlineStr"/>
      <c r="AA1262" t="inlineStr">
        <is>
          <t>https://nvd.nist.gov/vuln/detail/CVE-2026-25603</t>
        </is>
      </c>
    </row>
    <row r="1263">
      <c r="A1263" t="inlineStr">
        <is>
          <t>CVE</t>
        </is>
      </c>
      <c r="B1263" t="inlineStr">
        <is>
          <t>CVE-2026-26222</t>
        </is>
      </c>
      <c r="C1263" t="inlineStr">
        <is>
          <t>Altec DocLink (now maintained by Beyond Limits Inc.) version 4.0.336.0 exposes insecure .NET Remoting endpoints over TCP and HTTP/SOAP via Altec.RDCHostService.exe using the ObjectURI "doclinkServer.soap". The service does not require authentication and is vulnerable to unsafe object unmarshalling, allowing remote attackers to read arbitrary files from the underlying system by specifying local file paths. Additionally, attackers can coerce SMB authentication via UNC paths and write arbitrary fil</t>
        </is>
      </c>
      <c r="D1263" t="n">
        <v>8.5</v>
      </c>
      <c r="E1263" t="inlineStr">
        <is>
          <t>HIGH</t>
        </is>
      </c>
      <c r="F1263" t="n">
        <v>2</v>
      </c>
      <c r="G1263" t="n">
        <v>3</v>
      </c>
      <c r="H1263" t="inlineStr">
        <is>
          <t>HIGH</t>
        </is>
      </c>
      <c r="I1263" t="n">
        <v>14.5</v>
      </c>
      <c r="J1263" t="inlineStr">
        <is>
          <t>NO</t>
        </is>
      </c>
      <c r="K1263" t="inlineStr">
        <is>
          <t>2026-02-26 00:15</t>
        </is>
      </c>
      <c r="L1263" t="inlineStr">
        <is>
          <t>CHECK_VENDOR</t>
        </is>
      </c>
      <c r="M1263" t="inlineStr">
        <is>
          <t>See CVE details</t>
        </is>
      </c>
      <c r="N1263" t="inlineStr">
        <is>
          <t>P3</t>
        </is>
      </c>
      <c r="O1263" t="inlineStr">
        <is>
          <t>CVE - IP enrichment n/a</t>
        </is>
      </c>
      <c r="P1263" t="n">
        <v>0</v>
      </c>
      <c r="Q1263" t="n">
        <v>0</v>
      </c>
      <c r="R1263" t="inlineStr">
        <is>
          <t>T1059:Command and Scripting Interpreter | T1190:Exploit Public-Facing Application | T1210:Exploitation of Remote Services</t>
        </is>
      </c>
      <c r="S1263" t="n">
        <v>1</v>
      </c>
      <c r="T1263" t="inlineStr">
        <is>
          <t>LOW (40%)</t>
        </is>
      </c>
      <c r="U1263" t="inlineStr">
        <is>
          <t>UNLIKELY</t>
        </is>
      </c>
      <c r="V1263" t="inlineStr">
        <is>
          <t>CHECK_VENDOR</t>
        </is>
      </c>
      <c r="W1263" t="inlineStr">
        <is>
          <t>https://nvd.nist.gov/vuln/detail/CVE-2026-26222</t>
        </is>
      </c>
      <c r="X1263" t="inlineStr">
        <is>
          <t>NONE</t>
        </is>
      </c>
      <c r="Y1263" t="n">
        <v>0</v>
      </c>
      <c r="Z1263" t="inlineStr"/>
      <c r="AA1263" t="inlineStr">
        <is>
          <t>https://nvd.nist.gov/vuln/detail/CVE-2026-26222</t>
        </is>
      </c>
    </row>
    <row r="1264">
      <c r="A1264" t="inlineStr">
        <is>
          <t>CVE</t>
        </is>
      </c>
      <c r="B1264" t="inlineStr">
        <is>
          <t>CVE-2026-27156</t>
        </is>
      </c>
      <c r="C1264" t="inlineStr">
        <is>
          <t>NiceGUI is a Python-based UI framework. Prior to version 3.8.0, several NiceGUI APIs that execute methods on client-side elements (`Element.run_method()`, `AgGrid.run_grid_method()`, `EChart.run_chart_method()`, and others) use an `eval()` fallback in the JavaScript-side `runMethod()` function. When user-controlled input is passed as the method name, an attacker can inject arbitrary JavaScript that executes in the victim's browser. Additionally, `Element.run_method()` and `Element.get_computed_p</t>
        </is>
      </c>
      <c r="D1264" t="n">
        <v>6.1</v>
      </c>
      <c r="E1264" t="inlineStr">
        <is>
          <t>MEDIUM</t>
        </is>
      </c>
      <c r="F1264" t="n">
        <v>2</v>
      </c>
      <c r="G1264" t="n">
        <v>2</v>
      </c>
      <c r="H1264" t="inlineStr">
        <is>
          <t>MEDIUM</t>
        </is>
      </c>
      <c r="I1264" t="n">
        <v>10.1</v>
      </c>
      <c r="J1264" t="inlineStr">
        <is>
          <t>NO</t>
        </is>
      </c>
      <c r="K1264" t="inlineStr">
        <is>
          <t>2026-02-26 00:15</t>
        </is>
      </c>
      <c r="L1264" t="inlineStr">
        <is>
          <t>CHECK_VENDOR</t>
        </is>
      </c>
      <c r="M1264" t="inlineStr">
        <is>
          <t>See CVE details</t>
        </is>
      </c>
      <c r="N1264" t="inlineStr">
        <is>
          <t>P4</t>
        </is>
      </c>
      <c r="O1264" t="inlineStr">
        <is>
          <t>CVE - IP enrichment n/a</t>
        </is>
      </c>
      <c r="P1264" t="n">
        <v>0</v>
      </c>
      <c r="Q1264" t="n">
        <v>0</v>
      </c>
      <c r="R1264" t="inlineStr">
        <is>
          <t>T1189:Drive-by Compromise</t>
        </is>
      </c>
      <c r="S1264" t="n">
        <v>1</v>
      </c>
      <c r="T1264" t="inlineStr">
        <is>
          <t>LOW (40%)</t>
        </is>
      </c>
      <c r="U1264" t="inlineStr">
        <is>
          <t>UNLIKELY</t>
        </is>
      </c>
      <c r="V1264" t="inlineStr">
        <is>
          <t>CHECK_VENDOR</t>
        </is>
      </c>
      <c r="W1264" t="inlineStr">
        <is>
          <t>https://nvd.nist.gov/vuln/detail/CVE-2026-27156</t>
        </is>
      </c>
      <c r="X1264" t="inlineStr">
        <is>
          <t>NONE</t>
        </is>
      </c>
      <c r="Y1264" t="n">
        <v>0</v>
      </c>
      <c r="Z1264" t="inlineStr"/>
      <c r="AA1264" t="inlineStr">
        <is>
          <t>https://nvd.nist.gov/vuln/detail/CVE-2026-27156</t>
        </is>
      </c>
    </row>
    <row r="1265">
      <c r="A1265" t="inlineStr">
        <is>
          <t>CVE</t>
        </is>
      </c>
      <c r="B1265" t="inlineStr">
        <is>
          <t>CVE-2026-27468</t>
        </is>
      </c>
      <c r="C1265" t="inlineStr">
        <is>
          <t>Mastodon is a free, open-source social network server based on ActivityPub. FASP registration requires manual approval by an administrator. In versions 4.4.0 through 4.4.13 and 4.5.0 through 4.5.6, actions performed by a FASP to subscribe to account/content lifecycle events or to backfill content did not check properly whether the FASP was actually approved. This only affects Mastodon servers that have opted in to testing the experimental FASP feature by setting the environment variable `EXPERIM</t>
        </is>
      </c>
      <c r="D1265" t="n">
        <v>8.5</v>
      </c>
      <c r="E1265" t="inlineStr">
        <is>
          <t>HIGH</t>
        </is>
      </c>
      <c r="F1265" t="n">
        <v>2</v>
      </c>
      <c r="G1265" t="n">
        <v>3</v>
      </c>
      <c r="H1265" t="inlineStr">
        <is>
          <t>HIGH</t>
        </is>
      </c>
      <c r="I1265" t="n">
        <v>14.5</v>
      </c>
      <c r="J1265" t="inlineStr">
        <is>
          <t>NO</t>
        </is>
      </c>
      <c r="K1265" t="inlineStr">
        <is>
          <t>2026-02-26 00:15</t>
        </is>
      </c>
      <c r="L1265" t="inlineStr">
        <is>
          <t>CHECK_VENDOR</t>
        </is>
      </c>
      <c r="M1265" t="inlineStr">
        <is>
          <t>See CVE details</t>
        </is>
      </c>
      <c r="N1265" t="inlineStr">
        <is>
          <t>P3</t>
        </is>
      </c>
      <c r="O1265" t="inlineStr">
        <is>
          <t>CVE - IP enrichment n/a</t>
        </is>
      </c>
      <c r="P1265" t="n">
        <v>0.0004</v>
      </c>
      <c r="Q1265" t="n">
        <v>0.1232</v>
      </c>
      <c r="R1265" t="inlineStr">
        <is>
          <t>T1190:Exploit Public-Facing Application</t>
        </is>
      </c>
      <c r="S1265" t="n">
        <v>1</v>
      </c>
      <c r="T1265" t="inlineStr">
        <is>
          <t>LOW (40%)</t>
        </is>
      </c>
      <c r="U1265" t="inlineStr">
        <is>
          <t>UNLIKELY</t>
        </is>
      </c>
      <c r="V1265" t="inlineStr">
        <is>
          <t>CHECK_VENDOR</t>
        </is>
      </c>
      <c r="W1265" t="inlineStr">
        <is>
          <t>https://nvd.nist.gov/vuln/detail/CVE-2026-27468</t>
        </is>
      </c>
      <c r="X1265" t="inlineStr">
        <is>
          <t>NONE</t>
        </is>
      </c>
      <c r="Y1265" t="n">
        <v>0</v>
      </c>
      <c r="Z1265" t="inlineStr"/>
      <c r="AA1265" t="inlineStr">
        <is>
          <t>https://nvd.nist.gov/vuln/detail/CVE-2026-27468</t>
        </is>
      </c>
    </row>
    <row r="1266">
      <c r="A1266" t="inlineStr">
        <is>
          <t>CVE</t>
        </is>
      </c>
      <c r="B1266" t="inlineStr">
        <is>
          <t>CVE-2025-1787</t>
        </is>
      </c>
      <c r="C1266" t="inlineStr">
        <is>
          <t>Local admin could to leak information from the Genetec Update Service configuration web page. An authenticated, admin privileged, Windows user could exploit this vulnerability to gain elevated privileges in the Genetec Update Service. Could be combined with CVE-2025-1789 to achieve low privilege escalation.</t>
        </is>
      </c>
      <c r="D1266" t="n">
        <v>5</v>
      </c>
      <c r="E1266" t="inlineStr">
        <is>
          <t>MEDIUM</t>
        </is>
      </c>
      <c r="F1266" t="n">
        <v>2</v>
      </c>
      <c r="G1266" t="n">
        <v>2</v>
      </c>
      <c r="H1266" t="inlineStr">
        <is>
          <t>MEDIUM</t>
        </is>
      </c>
      <c r="I1266" t="n">
        <v>9</v>
      </c>
      <c r="J1266" t="inlineStr">
        <is>
          <t>NO</t>
        </is>
      </c>
      <c r="K1266" t="inlineStr">
        <is>
          <t>2026-02-26 00:15</t>
        </is>
      </c>
      <c r="L1266" t="inlineStr">
        <is>
          <t>CHECK_VENDOR</t>
        </is>
      </c>
      <c r="M1266" t="inlineStr">
        <is>
          <t>See CVE details</t>
        </is>
      </c>
      <c r="N1266" t="inlineStr">
        <is>
          <t>P4</t>
        </is>
      </c>
      <c r="O1266" t="inlineStr">
        <is>
          <t>CVE - IP enrichment n/a</t>
        </is>
      </c>
      <c r="P1266" t="n">
        <v>0</v>
      </c>
      <c r="Q1266" t="n">
        <v>0</v>
      </c>
      <c r="R1266" t="inlineStr">
        <is>
          <t>T1068:Exploitation for Privilege Escalation</t>
        </is>
      </c>
      <c r="S1266" t="n">
        <v>1</v>
      </c>
      <c r="T1266" t="inlineStr">
        <is>
          <t>LOW (40%)</t>
        </is>
      </c>
      <c r="U1266" t="inlineStr">
        <is>
          <t>UNLIKELY</t>
        </is>
      </c>
      <c r="V1266" t="inlineStr">
        <is>
          <t>CHECK_VENDOR</t>
        </is>
      </c>
      <c r="W1266" t="inlineStr">
        <is>
          <t>https://nvd.nist.gov/vuln/detail/CVE-2025-1787</t>
        </is>
      </c>
      <c r="X1266" t="inlineStr">
        <is>
          <t>NONE</t>
        </is>
      </c>
      <c r="Y1266" t="n">
        <v>0</v>
      </c>
      <c r="Z1266" t="inlineStr"/>
      <c r="AA1266" t="inlineStr">
        <is>
          <t>https://nvd.nist.gov/vuln/detail/CVE-2025-1787</t>
        </is>
      </c>
    </row>
    <row r="1267">
      <c r="A1267" t="inlineStr">
        <is>
          <t>CVE</t>
        </is>
      </c>
      <c r="B1267" t="inlineStr">
        <is>
          <t>CVE-2025-1789</t>
        </is>
      </c>
      <c r="C1267" t="inlineStr">
        <is>
          <t>Local privilege escalation in Genetec Update Service. An authenticated, low-privileged, Windows user could exploit this vulnerability to gain elevated privileges on the affected system.</t>
        </is>
      </c>
      <c r="D1267" t="n">
        <v>5</v>
      </c>
      <c r="E1267" t="inlineStr">
        <is>
          <t>MEDIUM</t>
        </is>
      </c>
      <c r="F1267" t="n">
        <v>2</v>
      </c>
      <c r="G1267" t="n">
        <v>2</v>
      </c>
      <c r="H1267" t="inlineStr">
        <is>
          <t>MEDIUM</t>
        </is>
      </c>
      <c r="I1267" t="n">
        <v>9</v>
      </c>
      <c r="J1267" t="inlineStr">
        <is>
          <t>NO</t>
        </is>
      </c>
      <c r="K1267" t="inlineStr">
        <is>
          <t>2026-02-26 00:15</t>
        </is>
      </c>
      <c r="L1267" t="inlineStr">
        <is>
          <t>CHECK_VENDOR</t>
        </is>
      </c>
      <c r="M1267" t="inlineStr">
        <is>
          <t>See CVE details</t>
        </is>
      </c>
      <c r="N1267" t="inlineStr">
        <is>
          <t>P4</t>
        </is>
      </c>
      <c r="O1267" t="inlineStr">
        <is>
          <t>CVE - IP enrichment n/a</t>
        </is>
      </c>
      <c r="P1267" t="n">
        <v>0.0001</v>
      </c>
      <c r="Q1267" t="n">
        <v>0.0202</v>
      </c>
      <c r="R1267" t="inlineStr">
        <is>
          <t>T1222:File and Directory Permissions Modification | T1068:Exploitation for Privilege Escalation</t>
        </is>
      </c>
      <c r="S1267" t="n">
        <v>1</v>
      </c>
      <c r="T1267" t="inlineStr">
        <is>
          <t>LOW (40%)</t>
        </is>
      </c>
      <c r="U1267" t="inlineStr">
        <is>
          <t>UNLIKELY</t>
        </is>
      </c>
      <c r="V1267" t="inlineStr">
        <is>
          <t>CHECK_VENDOR</t>
        </is>
      </c>
      <c r="W1267" t="inlineStr">
        <is>
          <t>https://nvd.nist.gov/vuln/detail/CVE-2025-1789</t>
        </is>
      </c>
      <c r="X1267" t="inlineStr">
        <is>
          <t>NONE</t>
        </is>
      </c>
      <c r="Y1267" t="n">
        <v>0</v>
      </c>
      <c r="Z1267" t="inlineStr"/>
      <c r="AA1267" t="inlineStr">
        <is>
          <t>https://nvd.nist.gov/vuln/detail/CVE-2025-1789</t>
        </is>
      </c>
    </row>
    <row r="1268">
      <c r="A1268" t="inlineStr">
        <is>
          <t>CVE</t>
        </is>
      </c>
      <c r="B1268" t="inlineStr">
        <is>
          <t>CVE-2025-33179</t>
        </is>
      </c>
      <c r="C1268" t="inlineStr">
        <is>
          <t>NVIDIA Cumulus Linux and NVOS products contain a vulnerability in the NVUE interface, where a low-privileged user could run an unauthorized command. A successful exploit of this vulnerability might lead to escalation of privileges.</t>
        </is>
      </c>
      <c r="D1268" t="n">
        <v>8</v>
      </c>
      <c r="E1268" t="inlineStr">
        <is>
          <t>HIGH</t>
        </is>
      </c>
      <c r="F1268" t="n">
        <v>2</v>
      </c>
      <c r="G1268" t="n">
        <v>3</v>
      </c>
      <c r="H1268" t="inlineStr">
        <is>
          <t>HIGH</t>
        </is>
      </c>
      <c r="I1268" t="n">
        <v>14</v>
      </c>
      <c r="J1268" t="inlineStr">
        <is>
          <t>NO</t>
        </is>
      </c>
      <c r="K1268" t="inlineStr">
        <is>
          <t>2026-02-26 00:15</t>
        </is>
      </c>
      <c r="L1268" t="inlineStr">
        <is>
          <t>CHECK_VENDOR</t>
        </is>
      </c>
      <c r="M1268" t="inlineStr">
        <is>
          <t>See CVE details</t>
        </is>
      </c>
      <c r="N1268" t="inlineStr">
        <is>
          <t>P3</t>
        </is>
      </c>
      <c r="O1268" t="inlineStr">
        <is>
          <t>CVE - IP enrichment n/a</t>
        </is>
      </c>
      <c r="P1268" t="n">
        <v>0</v>
      </c>
      <c r="Q1268" t="n">
        <v>0</v>
      </c>
      <c r="R1268" t="inlineStr">
        <is>
          <t>T1190:Exploit Public-Facing Application</t>
        </is>
      </c>
      <c r="S1268" t="n">
        <v>1</v>
      </c>
      <c r="T1268" t="inlineStr">
        <is>
          <t>LOW (40%)</t>
        </is>
      </c>
      <c r="U1268" t="inlineStr">
        <is>
          <t>UNLIKELY</t>
        </is>
      </c>
      <c r="V1268" t="inlineStr">
        <is>
          <t>CHECK_VENDOR</t>
        </is>
      </c>
      <c r="W1268" t="inlineStr">
        <is>
          <t>https://nvd.nist.gov/vuln/detail/CVE-2025-33179</t>
        </is>
      </c>
      <c r="X1268" t="inlineStr">
        <is>
          <t>NONE</t>
        </is>
      </c>
      <c r="Y1268" t="n">
        <v>0</v>
      </c>
      <c r="Z1268" t="inlineStr"/>
      <c r="AA1268" t="inlineStr">
        <is>
          <t>https://nvd.nist.gov/vuln/detail/CVE-2025-33179</t>
        </is>
      </c>
    </row>
    <row r="1269">
      <c r="A1269" t="inlineStr">
        <is>
          <t>CVE</t>
        </is>
      </c>
      <c r="B1269" t="inlineStr">
        <is>
          <t>CVE-2025-33180</t>
        </is>
      </c>
      <c r="C1269" t="inlineStr">
        <is>
          <t>NVIDIA Cumulus Linux and NVOS products contain a vulnerability in the NVUE interface, where a low-privileged user could inject a command. A successful exploit of this vulnerability might lead to escalation of privileges.</t>
        </is>
      </c>
      <c r="D1269" t="n">
        <v>8</v>
      </c>
      <c r="E1269" t="inlineStr">
        <is>
          <t>HIGH</t>
        </is>
      </c>
      <c r="F1269" t="n">
        <v>2</v>
      </c>
      <c r="G1269" t="n">
        <v>3</v>
      </c>
      <c r="H1269" t="inlineStr">
        <is>
          <t>HIGH</t>
        </is>
      </c>
      <c r="I1269" t="n">
        <v>14</v>
      </c>
      <c r="J1269" t="inlineStr">
        <is>
          <t>NO</t>
        </is>
      </c>
      <c r="K1269" t="inlineStr">
        <is>
          <t>2026-02-26 00:15</t>
        </is>
      </c>
      <c r="L1269" t="inlineStr">
        <is>
          <t>CHECK_VENDOR</t>
        </is>
      </c>
      <c r="M1269" t="inlineStr">
        <is>
          <t>See CVE details</t>
        </is>
      </c>
      <c r="N1269" t="inlineStr">
        <is>
          <t>P3</t>
        </is>
      </c>
      <c r="O1269" t="inlineStr">
        <is>
          <t>CVE - IP enrichment n/a</t>
        </is>
      </c>
      <c r="P1269" t="n">
        <v>0</v>
      </c>
      <c r="Q1269" t="n">
        <v>0</v>
      </c>
      <c r="R1269" t="inlineStr">
        <is>
          <t>T1059:Command and Scripting Interpreter</t>
        </is>
      </c>
      <c r="S1269" t="n">
        <v>1</v>
      </c>
      <c r="T1269" t="inlineStr">
        <is>
          <t>LOW (40%)</t>
        </is>
      </c>
      <c r="U1269" t="inlineStr">
        <is>
          <t>UNLIKELY</t>
        </is>
      </c>
      <c r="V1269" t="inlineStr">
        <is>
          <t>CHECK_VENDOR</t>
        </is>
      </c>
      <c r="W1269" t="inlineStr">
        <is>
          <t>https://nvd.nist.gov/vuln/detail/CVE-2025-33180</t>
        </is>
      </c>
      <c r="X1269" t="inlineStr">
        <is>
          <t>NONE</t>
        </is>
      </c>
      <c r="Y1269" t="n">
        <v>0</v>
      </c>
      <c r="Z1269" t="inlineStr"/>
      <c r="AA1269" t="inlineStr">
        <is>
          <t>https://nvd.nist.gov/vuln/detail/CVE-2025-33180</t>
        </is>
      </c>
    </row>
    <row r="1270">
      <c r="A1270" t="inlineStr">
        <is>
          <t>CVE</t>
        </is>
      </c>
      <c r="B1270" t="inlineStr">
        <is>
          <t>CVE-2025-33181</t>
        </is>
      </c>
      <c r="C1270" t="inlineStr">
        <is>
          <t>NVIDIA Cumulus Linux and NVOS products contain a vulnerability in the NVUE interface, where a low-privileged user could inject a command. A successful exploit of this vulnerability might lead to escalation of privileges.</t>
        </is>
      </c>
      <c r="D1270" t="n">
        <v>7.3</v>
      </c>
      <c r="E1270" t="inlineStr">
        <is>
          <t>HIGH</t>
        </is>
      </c>
      <c r="F1270" t="n">
        <v>2</v>
      </c>
      <c r="G1270" t="n">
        <v>3</v>
      </c>
      <c r="H1270" t="inlineStr">
        <is>
          <t>HIGH</t>
        </is>
      </c>
      <c r="I1270" t="n">
        <v>13.3</v>
      </c>
      <c r="J1270" t="inlineStr">
        <is>
          <t>NO</t>
        </is>
      </c>
      <c r="K1270" t="inlineStr">
        <is>
          <t>2026-02-26 00:15</t>
        </is>
      </c>
      <c r="L1270" t="inlineStr">
        <is>
          <t>CHECK_VENDOR</t>
        </is>
      </c>
      <c r="M1270" t="inlineStr">
        <is>
          <t>See CVE details</t>
        </is>
      </c>
      <c r="N1270" t="inlineStr">
        <is>
          <t>P3</t>
        </is>
      </c>
      <c r="O1270" t="inlineStr">
        <is>
          <t>CVE - IP enrichment n/a</t>
        </is>
      </c>
      <c r="P1270" t="n">
        <v>0</v>
      </c>
      <c r="Q1270" t="n">
        <v>0</v>
      </c>
      <c r="R1270" t="inlineStr">
        <is>
          <t>T1059:Command and Scripting Interpreter</t>
        </is>
      </c>
      <c r="S1270" t="n">
        <v>1</v>
      </c>
      <c r="T1270" t="inlineStr">
        <is>
          <t>LOW (40%)</t>
        </is>
      </c>
      <c r="U1270" t="inlineStr">
        <is>
          <t>UNLIKELY</t>
        </is>
      </c>
      <c r="V1270" t="inlineStr">
        <is>
          <t>CHECK_VENDOR</t>
        </is>
      </c>
      <c r="W1270" t="inlineStr">
        <is>
          <t>https://nvd.nist.gov/vuln/detail/CVE-2025-33181</t>
        </is>
      </c>
      <c r="X1270" t="inlineStr">
        <is>
          <t>NONE</t>
        </is>
      </c>
      <c r="Y1270" t="n">
        <v>0</v>
      </c>
      <c r="Z1270" t="inlineStr"/>
      <c r="AA1270" t="inlineStr">
        <is>
          <t>https://nvd.nist.gov/vuln/detail/CVE-2025-33181</t>
        </is>
      </c>
    </row>
    <row r="1271">
      <c r="A1271" t="inlineStr">
        <is>
          <t>CVE</t>
        </is>
      </c>
      <c r="B1271" t="inlineStr">
        <is>
          <t>CVE-2026-1768</t>
        </is>
      </c>
      <c r="C1271" t="inlineStr">
        <is>
          <t>A permission cache poisoning vulnerability in Devolutions Server allows authenticated users to bypass permissions to access entries.This issue affects Devolutions Server: before 2025.3.15.</t>
        </is>
      </c>
      <c r="D1271" t="n">
        <v>4.3</v>
      </c>
      <c r="E1271" t="inlineStr">
        <is>
          <t>MEDIUM</t>
        </is>
      </c>
      <c r="F1271" t="n">
        <v>2</v>
      </c>
      <c r="G1271" t="n">
        <v>2</v>
      </c>
      <c r="H1271" t="inlineStr">
        <is>
          <t>MEDIUM</t>
        </is>
      </c>
      <c r="I1271" t="n">
        <v>8.300000000000001</v>
      </c>
      <c r="J1271" t="inlineStr">
        <is>
          <t>NO</t>
        </is>
      </c>
      <c r="K1271" t="inlineStr">
        <is>
          <t>2026-02-26 00:15</t>
        </is>
      </c>
      <c r="L1271" t="inlineStr">
        <is>
          <t>YES</t>
        </is>
      </c>
      <c r="M1271" t="inlineStr">
        <is>
          <t>devolutions devolutions_server *</t>
        </is>
      </c>
      <c r="N1271" t="inlineStr">
        <is>
          <t>P4</t>
        </is>
      </c>
      <c r="O1271" t="inlineStr">
        <is>
          <t>CVE - IP enrichment n/a</t>
        </is>
      </c>
      <c r="P1271" t="n">
        <v>0</v>
      </c>
      <c r="Q1271" t="n">
        <v>0</v>
      </c>
      <c r="R1271" t="inlineStr">
        <is>
          <t>T1190:Exploit Public-Facing Application</t>
        </is>
      </c>
      <c r="S1271" t="n">
        <v>1</v>
      </c>
      <c r="T1271" t="inlineStr">
        <is>
          <t>LOW (40%)</t>
        </is>
      </c>
      <c r="U1271" t="inlineStr">
        <is>
          <t>UNLIKELY</t>
        </is>
      </c>
      <c r="V1271" t="inlineStr">
        <is>
          <t>PATCH_AVAILABLE</t>
        </is>
      </c>
      <c r="W1271" t="inlineStr">
        <is>
          <t>https://nvd.nist.gov/vuln/detail/CVE-2026-1768</t>
        </is>
      </c>
      <c r="X1271" t="inlineStr">
        <is>
          <t>NONE</t>
        </is>
      </c>
      <c r="Y1271" t="n">
        <v>0</v>
      </c>
      <c r="Z1271" t="inlineStr"/>
      <c r="AA1271" t="inlineStr">
        <is>
          <t>https://nvd.nist.gov/vuln/detail/CVE-2026-1768</t>
        </is>
      </c>
    </row>
    <row r="1272">
      <c r="A1272" t="inlineStr">
        <is>
          <t>CVE</t>
        </is>
      </c>
      <c r="B1272" t="inlineStr">
        <is>
          <t>CVE-2026-22765</t>
        </is>
      </c>
      <c r="C1272" t="inlineStr">
        <is>
          <t>Dell Wyse Management Suite, versions prior to WMS 5.5, contain a Missing Authorization vulnerability. A low privileged attacker with remote access could potentially exploit this vulnerability, leading to Elevation of Privileges.</t>
        </is>
      </c>
      <c r="D1272" t="n">
        <v>8.800000000000001</v>
      </c>
      <c r="E1272" t="inlineStr">
        <is>
          <t>HIGH</t>
        </is>
      </c>
      <c r="F1272" t="n">
        <v>2</v>
      </c>
      <c r="G1272" t="n">
        <v>3</v>
      </c>
      <c r="H1272" t="inlineStr">
        <is>
          <t>HIGH</t>
        </is>
      </c>
      <c r="I1272" t="n">
        <v>14.8</v>
      </c>
      <c r="J1272" t="inlineStr">
        <is>
          <t>NO</t>
        </is>
      </c>
      <c r="K1272" t="inlineStr">
        <is>
          <t>2026-02-26 00:15</t>
        </is>
      </c>
      <c r="L1272" t="inlineStr">
        <is>
          <t>YES</t>
        </is>
      </c>
      <c r="M1272" t="inlineStr">
        <is>
          <t>dell wyse_management_suite *</t>
        </is>
      </c>
      <c r="N1272" t="inlineStr">
        <is>
          <t>P3</t>
        </is>
      </c>
      <c r="O1272" t="inlineStr">
        <is>
          <t>CVE - IP enrichment n/a</t>
        </is>
      </c>
      <c r="P1272" t="n">
        <v>0</v>
      </c>
      <c r="Q1272" t="n">
        <v>0</v>
      </c>
      <c r="R1272" t="inlineStr">
        <is>
          <t>T1190:Exploit Public-Facing Application</t>
        </is>
      </c>
      <c r="S1272" t="n">
        <v>1</v>
      </c>
      <c r="T1272" t="inlineStr">
        <is>
          <t>LOW (40%)</t>
        </is>
      </c>
      <c r="U1272" t="inlineStr">
        <is>
          <t>UNLIKELY</t>
        </is>
      </c>
      <c r="V1272" t="inlineStr">
        <is>
          <t>PATCH_AVAILABLE</t>
        </is>
      </c>
      <c r="W1272" t="inlineStr">
        <is>
          <t>https://nvd.nist.gov/vuln/detail/CVE-2026-22765</t>
        </is>
      </c>
      <c r="X1272" t="inlineStr">
        <is>
          <t>NONE</t>
        </is>
      </c>
      <c r="Y1272" t="n">
        <v>0</v>
      </c>
      <c r="Z1272" t="inlineStr"/>
      <c r="AA1272" t="inlineStr">
        <is>
          <t>https://nvd.nist.gov/vuln/detail/CVE-2026-22765</t>
        </is>
      </c>
    </row>
    <row r="1273">
      <c r="A1273" t="inlineStr">
        <is>
          <t>CVE</t>
        </is>
      </c>
      <c r="B1273" t="inlineStr">
        <is>
          <t>CVE-2026-22766</t>
        </is>
      </c>
      <c r="C1273" t="inlineStr">
        <is>
          <t>Dell Wyse Management Suite, versions prior to WMS 5.5, contain an Unrestricted Upload of File with Dangerous Type vulnerability. A high privileged attacker with remote access could potentially exploit this vulnerability, leading to Remote execution.</t>
        </is>
      </c>
      <c r="D1273" t="n">
        <v>7.2</v>
      </c>
      <c r="E1273" t="inlineStr">
        <is>
          <t>HIGH</t>
        </is>
      </c>
      <c r="F1273" t="n">
        <v>2</v>
      </c>
      <c r="G1273" t="n">
        <v>3</v>
      </c>
      <c r="H1273" t="inlineStr">
        <is>
          <t>HIGH</t>
        </is>
      </c>
      <c r="I1273" t="n">
        <v>13.2</v>
      </c>
      <c r="J1273" t="inlineStr">
        <is>
          <t>NO</t>
        </is>
      </c>
      <c r="K1273" t="inlineStr">
        <is>
          <t>2026-02-26 00:15</t>
        </is>
      </c>
      <c r="L1273" t="inlineStr">
        <is>
          <t>YES</t>
        </is>
      </c>
      <c r="M1273" t="inlineStr">
        <is>
          <t>dell wyse_management_suite *</t>
        </is>
      </c>
      <c r="N1273" t="inlineStr">
        <is>
          <t>P3</t>
        </is>
      </c>
      <c r="O1273" t="inlineStr">
        <is>
          <t>CVE - IP enrichment n/a</t>
        </is>
      </c>
      <c r="P1273" t="n">
        <v>0</v>
      </c>
      <c r="Q1273" t="n">
        <v>0</v>
      </c>
      <c r="R1273" t="inlineStr">
        <is>
          <t>T1190:Exploit Public-Facing Application</t>
        </is>
      </c>
      <c r="S1273" t="n">
        <v>1</v>
      </c>
      <c r="T1273" t="inlineStr">
        <is>
          <t>LOW (40%)</t>
        </is>
      </c>
      <c r="U1273" t="inlineStr">
        <is>
          <t>UNLIKELY</t>
        </is>
      </c>
      <c r="V1273" t="inlineStr">
        <is>
          <t>PATCH_AVAILABLE</t>
        </is>
      </c>
      <c r="W1273" t="inlineStr">
        <is>
          <t>https://nvd.nist.gov/vuln/detail/CVE-2026-22766</t>
        </is>
      </c>
      <c r="X1273" t="inlineStr">
        <is>
          <t>NONE</t>
        </is>
      </c>
      <c r="Y1273" t="n">
        <v>0</v>
      </c>
      <c r="Z1273" t="inlineStr"/>
      <c r="AA1273" t="inlineStr">
        <is>
          <t>https://nvd.nist.gov/vuln/detail/CVE-2026-22766</t>
        </is>
      </c>
    </row>
    <row r="1274">
      <c r="A1274" t="inlineStr">
        <is>
          <t>CVE</t>
        </is>
      </c>
      <c r="B1274" t="inlineStr">
        <is>
          <t>CVE-2026-23858</t>
        </is>
      </c>
      <c r="C1274" t="inlineStr">
        <is>
          <t>Dell Wyse Management Suite, versions prior to WMS 5.5, contain an Improper Neutralization of Input During Web Page Generation ('Cross-site Scripting') vulnerability. A low privileged attacker with remote access could potentially exploit this vulnerability, leading to Script Injection.</t>
        </is>
      </c>
      <c r="D1274" t="n">
        <v>5.4</v>
      </c>
      <c r="E1274" t="inlineStr">
        <is>
          <t>MEDIUM</t>
        </is>
      </c>
      <c r="F1274" t="n">
        <v>2</v>
      </c>
      <c r="G1274" t="n">
        <v>2</v>
      </c>
      <c r="H1274" t="inlineStr">
        <is>
          <t>MEDIUM</t>
        </is>
      </c>
      <c r="I1274" t="n">
        <v>9.4</v>
      </c>
      <c r="J1274" t="inlineStr">
        <is>
          <t>NO</t>
        </is>
      </c>
      <c r="K1274" t="inlineStr">
        <is>
          <t>2026-02-26 00:15</t>
        </is>
      </c>
      <c r="L1274" t="inlineStr">
        <is>
          <t>YES</t>
        </is>
      </c>
      <c r="M1274" t="inlineStr">
        <is>
          <t>dell wyse_management_suite *</t>
        </is>
      </c>
      <c r="N1274" t="inlineStr">
        <is>
          <t>P4</t>
        </is>
      </c>
      <c r="O1274" t="inlineStr">
        <is>
          <t>CVE - IP enrichment n/a</t>
        </is>
      </c>
      <c r="P1274" t="n">
        <v>0</v>
      </c>
      <c r="Q1274" t="n">
        <v>0</v>
      </c>
      <c r="R1274" t="inlineStr">
        <is>
          <t>T1189:Drive-by Compromise</t>
        </is>
      </c>
      <c r="S1274" t="n">
        <v>1</v>
      </c>
      <c r="T1274" t="inlineStr">
        <is>
          <t>LOW (40%)</t>
        </is>
      </c>
      <c r="U1274" t="inlineStr">
        <is>
          <t>UNLIKELY</t>
        </is>
      </c>
      <c r="V1274" t="inlineStr">
        <is>
          <t>PATCH_AVAILABLE</t>
        </is>
      </c>
      <c r="W1274" t="inlineStr">
        <is>
          <t>https://nvd.nist.gov/vuln/detail/CVE-2026-23858</t>
        </is>
      </c>
      <c r="X1274" t="inlineStr">
        <is>
          <t>NONE</t>
        </is>
      </c>
      <c r="Y1274" t="n">
        <v>0</v>
      </c>
      <c r="Z1274" t="inlineStr"/>
      <c r="AA1274" t="inlineStr">
        <is>
          <t>https://nvd.nist.gov/vuln/detail/CVE-2026-23858</t>
        </is>
      </c>
    </row>
    <row r="1275">
      <c r="A1275" t="inlineStr">
        <is>
          <t>CVE</t>
        </is>
      </c>
      <c r="B1275" t="inlineStr">
        <is>
          <t>CVE-2026-23859</t>
        </is>
      </c>
      <c r="C1275" t="inlineStr">
        <is>
          <t>Dell Wyse Management Suite, versions prior to WMS 5.5, contain a Client-Side Enforcement of Server-Side Security vulnerability. A high privileged attacker with remote access could potentially exploit this vulnerability to Protection mechanism bypass.</t>
        </is>
      </c>
      <c r="D1275" t="n">
        <v>2.7</v>
      </c>
      <c r="E1275" t="inlineStr">
        <is>
          <t>LOW</t>
        </is>
      </c>
      <c r="F1275" t="n">
        <v>2</v>
      </c>
      <c r="G1275" t="n">
        <v>1</v>
      </c>
      <c r="H1275" t="inlineStr">
        <is>
          <t>LOW</t>
        </is>
      </c>
      <c r="I1275" t="n">
        <v>4.7</v>
      </c>
      <c r="J1275" t="inlineStr">
        <is>
          <t>NO</t>
        </is>
      </c>
      <c r="K1275" t="inlineStr">
        <is>
          <t>2026-02-26 00:15</t>
        </is>
      </c>
      <c r="L1275" t="inlineStr">
        <is>
          <t>YES</t>
        </is>
      </c>
      <c r="M1275" t="inlineStr">
        <is>
          <t>dell wyse_management_suite *</t>
        </is>
      </c>
      <c r="N1275" t="inlineStr">
        <is>
          <t>P4</t>
        </is>
      </c>
      <c r="O1275" t="inlineStr">
        <is>
          <t>CVE - IP enrichment n/a</t>
        </is>
      </c>
      <c r="P1275" t="n">
        <v>0</v>
      </c>
      <c r="Q1275" t="n">
        <v>0</v>
      </c>
      <c r="R1275" t="inlineStr">
        <is>
          <t>T1190:Exploit Public-Facing Application</t>
        </is>
      </c>
      <c r="S1275" t="n">
        <v>1</v>
      </c>
      <c r="T1275" t="inlineStr">
        <is>
          <t>LOW (40%)</t>
        </is>
      </c>
      <c r="U1275" t="inlineStr">
        <is>
          <t>UNLIKELY</t>
        </is>
      </c>
      <c r="V1275" t="inlineStr">
        <is>
          <t>PATCH_AVAILABLE</t>
        </is>
      </c>
      <c r="W1275" t="inlineStr">
        <is>
          <t>https://nvd.nist.gov/vuln/detail/CVE-2026-23859</t>
        </is>
      </c>
      <c r="X1275" t="inlineStr">
        <is>
          <t>NONE</t>
        </is>
      </c>
      <c r="Y1275" t="n">
        <v>0</v>
      </c>
      <c r="Z1275" t="inlineStr"/>
      <c r="AA1275" t="inlineStr">
        <is>
          <t>https://nvd.nist.gov/vuln/detail/CVE-2026-23859</t>
        </is>
      </c>
    </row>
    <row r="1276">
      <c r="A1276" t="inlineStr">
        <is>
          <t>CVE</t>
        </is>
      </c>
      <c r="B1276" t="inlineStr">
        <is>
          <t>CVE-2026-24241</t>
        </is>
      </c>
      <c r="C1276" t="inlineStr">
        <is>
          <t>NVIDIA Delegated Licensing Service for all appliance platforms contains a vulnerability where an attacker could exploit an improper authentication issue. A successful exploit of this vulnerability might lead to information disclosure.</t>
        </is>
      </c>
      <c r="D1276" t="n">
        <v>4.3</v>
      </c>
      <c r="E1276" t="inlineStr">
        <is>
          <t>MEDIUM</t>
        </is>
      </c>
      <c r="F1276" t="n">
        <v>2</v>
      </c>
      <c r="G1276" t="n">
        <v>2</v>
      </c>
      <c r="H1276" t="inlineStr">
        <is>
          <t>MEDIUM</t>
        </is>
      </c>
      <c r="I1276" t="n">
        <v>8.300000000000001</v>
      </c>
      <c r="J1276" t="inlineStr">
        <is>
          <t>NO</t>
        </is>
      </c>
      <c r="K1276" t="inlineStr">
        <is>
          <t>2026-02-26 00:15</t>
        </is>
      </c>
      <c r="L1276" t="inlineStr">
        <is>
          <t>CHECK_VENDOR</t>
        </is>
      </c>
      <c r="M1276" t="inlineStr">
        <is>
          <t>See CVE details</t>
        </is>
      </c>
      <c r="N1276" t="inlineStr">
        <is>
          <t>P4</t>
        </is>
      </c>
      <c r="O1276" t="inlineStr">
        <is>
          <t>CVE - IP enrichment n/a</t>
        </is>
      </c>
      <c r="P1276" t="n">
        <v>0</v>
      </c>
      <c r="Q1276" t="n">
        <v>0</v>
      </c>
      <c r="R1276" t="inlineStr">
        <is>
          <t>T1078:Valid Accounts | T1110:Brute Force | T1213:Data from Information Repositories</t>
        </is>
      </c>
      <c r="S1276" t="n">
        <v>1</v>
      </c>
      <c r="T1276" t="inlineStr">
        <is>
          <t>LOW (40%)</t>
        </is>
      </c>
      <c r="U1276" t="inlineStr">
        <is>
          <t>UNLIKELY</t>
        </is>
      </c>
      <c r="V1276" t="inlineStr">
        <is>
          <t>CHECK_VENDOR</t>
        </is>
      </c>
      <c r="W1276" t="inlineStr">
        <is>
          <t>https://nvd.nist.gov/vuln/detail/CVE-2026-24241</t>
        </is>
      </c>
      <c r="X1276" t="inlineStr">
        <is>
          <t>NONE</t>
        </is>
      </c>
      <c r="Y1276" t="n">
        <v>0</v>
      </c>
      <c r="Z1276" t="inlineStr"/>
      <c r="AA1276" t="inlineStr">
        <is>
          <t>https://nvd.nist.gov/vuln/detail/CVE-2026-24241</t>
        </is>
      </c>
    </row>
    <row r="1277">
      <c r="A1277" t="inlineStr">
        <is>
          <t>CVE</t>
        </is>
      </c>
      <c r="B1277" t="inlineStr">
        <is>
          <t>CVE-2026-26340</t>
        </is>
      </c>
      <c r="C1277" t="inlineStr">
        <is>
          <t>Tattile Smart+, Vega, and Basic device families firmware versions 1.181.5 and prior expose RTSP streams without requiring authentication. A remote attacker can connect to the RTSP service and access live video/audio streams without valid credentials, resulting in unauthorized disclosure of surveillance data.</t>
        </is>
      </c>
      <c r="D1277" t="n">
        <v>5</v>
      </c>
      <c r="E1277" t="inlineStr">
        <is>
          <t>MEDIUM</t>
        </is>
      </c>
      <c r="F1277" t="n">
        <v>2</v>
      </c>
      <c r="G1277" t="n">
        <v>2</v>
      </c>
      <c r="H1277" t="inlineStr">
        <is>
          <t>MEDIUM</t>
        </is>
      </c>
      <c r="I1277" t="n">
        <v>9</v>
      </c>
      <c r="J1277" t="inlineStr">
        <is>
          <t>NO</t>
        </is>
      </c>
      <c r="K1277" t="inlineStr">
        <is>
          <t>2026-02-26 00:15</t>
        </is>
      </c>
      <c r="L1277" t="inlineStr">
        <is>
          <t>CHECK_VENDOR</t>
        </is>
      </c>
      <c r="M1277" t="inlineStr">
        <is>
          <t>See CVE details</t>
        </is>
      </c>
      <c r="N1277" t="inlineStr">
        <is>
          <t>P4</t>
        </is>
      </c>
      <c r="O1277" t="inlineStr">
        <is>
          <t>CVE - IP enrichment n/a</t>
        </is>
      </c>
      <c r="P1277" t="n">
        <v>0</v>
      </c>
      <c r="Q1277" t="n">
        <v>0</v>
      </c>
      <c r="R1277" t="inlineStr">
        <is>
          <t>T1078:Valid Accounts | T1552:Unsecured Credentials</t>
        </is>
      </c>
      <c r="S1277" t="n">
        <v>1</v>
      </c>
      <c r="T1277" t="inlineStr">
        <is>
          <t>LOW (40%)</t>
        </is>
      </c>
      <c r="U1277" t="inlineStr">
        <is>
          <t>UNLIKELY</t>
        </is>
      </c>
      <c r="V1277" t="inlineStr">
        <is>
          <t>CHECK_VENDOR</t>
        </is>
      </c>
      <c r="W1277" t="inlineStr">
        <is>
          <t>https://nvd.nist.gov/vuln/detail/CVE-2026-26340</t>
        </is>
      </c>
      <c r="X1277" t="inlineStr">
        <is>
          <t>NONE</t>
        </is>
      </c>
      <c r="Y1277" t="n">
        <v>0</v>
      </c>
      <c r="Z1277" t="inlineStr"/>
      <c r="AA1277" t="inlineStr">
        <is>
          <t>https://nvd.nist.gov/vuln/detail/CVE-2026-26340</t>
        </is>
      </c>
    </row>
    <row r="1278">
      <c r="A1278" t="inlineStr">
        <is>
          <t>CVE</t>
        </is>
      </c>
      <c r="B1278" t="inlineStr">
        <is>
          <t>CVE-2026-26341</t>
        </is>
      </c>
      <c r="C1278" t="inlineStr">
        <is>
          <t>Tattile Smart+, Vega, and Basic device families firmware versions 1.181.5 and prior ship with default credentials that are not forced to be changed during installation or commissioning. An attacker who can reach the management interface can authenticate using the default credentials and gain administrative access, enabling unauthorized access to device configuration and data.</t>
        </is>
      </c>
      <c r="D1278" t="n">
        <v>8.5</v>
      </c>
      <c r="E1278" t="inlineStr">
        <is>
          <t>HIGH</t>
        </is>
      </c>
      <c r="F1278" t="n">
        <v>2</v>
      </c>
      <c r="G1278" t="n">
        <v>3</v>
      </c>
      <c r="H1278" t="inlineStr">
        <is>
          <t>HIGH</t>
        </is>
      </c>
      <c r="I1278" t="n">
        <v>14.5</v>
      </c>
      <c r="J1278" t="inlineStr">
        <is>
          <t>NO</t>
        </is>
      </c>
      <c r="K1278" t="inlineStr">
        <is>
          <t>2026-02-26 00:15</t>
        </is>
      </c>
      <c r="L1278" t="inlineStr">
        <is>
          <t>CHECK_VENDOR</t>
        </is>
      </c>
      <c r="M1278" t="inlineStr">
        <is>
          <t>See CVE details</t>
        </is>
      </c>
      <c r="N1278" t="inlineStr">
        <is>
          <t>P3</t>
        </is>
      </c>
      <c r="O1278" t="inlineStr">
        <is>
          <t>CVE - IP enrichment n/a</t>
        </is>
      </c>
      <c r="P1278" t="n">
        <v>0</v>
      </c>
      <c r="Q1278" t="n">
        <v>0</v>
      </c>
      <c r="R1278" t="inlineStr">
        <is>
          <t>T1190:Exploit Public-Facing Application | T1552:Unsecured Credentials</t>
        </is>
      </c>
      <c r="S1278" t="n">
        <v>1</v>
      </c>
      <c r="T1278" t="inlineStr">
        <is>
          <t>LOW (40%)</t>
        </is>
      </c>
      <c r="U1278" t="inlineStr">
        <is>
          <t>UNLIKELY</t>
        </is>
      </c>
      <c r="V1278" t="inlineStr">
        <is>
          <t>CHECK_VENDOR</t>
        </is>
      </c>
      <c r="W1278" t="inlineStr">
        <is>
          <t>https://nvd.nist.gov/vuln/detail/CVE-2026-26341</t>
        </is>
      </c>
      <c r="X1278" t="inlineStr">
        <is>
          <t>NONE</t>
        </is>
      </c>
      <c r="Y1278" t="n">
        <v>0</v>
      </c>
      <c r="Z1278" t="inlineStr"/>
      <c r="AA1278" t="inlineStr">
        <is>
          <t>https://nvd.nist.gov/vuln/detail/CVE-2026-26341</t>
        </is>
      </c>
    </row>
    <row r="1279">
      <c r="A1279" t="inlineStr">
        <is>
          <t>CVE</t>
        </is>
      </c>
      <c r="B1279" t="inlineStr">
        <is>
          <t>CVE-2026-26342</t>
        </is>
      </c>
      <c r="C1279" t="inlineStr">
        <is>
          <t>Tattile Smart+, Vega, and Basic device families firmware versions 1.181.5 and prior implement an authentication token (X-User-Token) with insufficient expiration. An attacker who obtains a valid token (for example via interception, log exposure, or token reuse on a shared system) can continue to authenticate to the management interface until the token is revoked, enabling unauthorized access to device functions and data.</t>
        </is>
      </c>
      <c r="D1279" t="n">
        <v>8.5</v>
      </c>
      <c r="E1279" t="inlineStr">
        <is>
          <t>HIGH</t>
        </is>
      </c>
      <c r="F1279" t="n">
        <v>2</v>
      </c>
      <c r="G1279" t="n">
        <v>3</v>
      </c>
      <c r="H1279" t="inlineStr">
        <is>
          <t>HIGH</t>
        </is>
      </c>
      <c r="I1279" t="n">
        <v>14.5</v>
      </c>
      <c r="J1279" t="inlineStr">
        <is>
          <t>NO</t>
        </is>
      </c>
      <c r="K1279" t="inlineStr">
        <is>
          <t>2026-02-26 00:15</t>
        </is>
      </c>
      <c r="L1279" t="inlineStr">
        <is>
          <t>CHECK_VENDOR</t>
        </is>
      </c>
      <c r="M1279" t="inlineStr">
        <is>
          <t>See CVE details</t>
        </is>
      </c>
      <c r="N1279" t="inlineStr">
        <is>
          <t>P3</t>
        </is>
      </c>
      <c r="O1279" t="inlineStr">
        <is>
          <t>CVE - IP enrichment n/a</t>
        </is>
      </c>
      <c r="P1279" t="n">
        <v>0.001</v>
      </c>
      <c r="Q1279" t="n">
        <v>0.2767</v>
      </c>
      <c r="R1279" t="inlineStr">
        <is>
          <t>T1190:Exploit Public-Facing Application</t>
        </is>
      </c>
      <c r="S1279" t="n">
        <v>1</v>
      </c>
      <c r="T1279" t="inlineStr">
        <is>
          <t>LOW (40%)</t>
        </is>
      </c>
      <c r="U1279" t="inlineStr">
        <is>
          <t>UNLIKELY</t>
        </is>
      </c>
      <c r="V1279" t="inlineStr">
        <is>
          <t>CHECK_VENDOR</t>
        </is>
      </c>
      <c r="W1279" t="inlineStr">
        <is>
          <t>https://nvd.nist.gov/vuln/detail/CVE-2026-26342</t>
        </is>
      </c>
      <c r="X1279" t="inlineStr">
        <is>
          <t>NONE</t>
        </is>
      </c>
      <c r="Y1279" t="n">
        <v>0</v>
      </c>
      <c r="Z1279" t="inlineStr"/>
      <c r="AA1279" t="inlineStr">
        <is>
          <t>https://nvd.nist.gov/vuln/detail/CVE-2026-26342</t>
        </is>
      </c>
    </row>
    <row r="1280">
      <c r="A1280" t="inlineStr">
        <is>
          <t>CVE</t>
        </is>
      </c>
      <c r="B1280" t="inlineStr">
        <is>
          <t>CVE-2026-27477</t>
        </is>
      </c>
      <c r="C1280" t="inlineStr">
        <is>
          <t xml:space="preserve">Mastodon is a free, open-source social network server based on ActivityPub. FASP registration requires manual approval by an administrator. In versions 4.4.0 through 4.4.13 and 4.5.0 through 4.5.6, an unauthenticated attacker can register a FASP with an attacker-chosen `base_url` that includes or resolves to a local / internal address, leading to the Mastodon server making requests to that address. This only affects Mastodon servers that have opted in to testing the experimental FASP feature by </t>
        </is>
      </c>
      <c r="D1280" t="n">
        <v>8.5</v>
      </c>
      <c r="E1280" t="inlineStr">
        <is>
          <t>HIGH</t>
        </is>
      </c>
      <c r="F1280" t="n">
        <v>2</v>
      </c>
      <c r="G1280" t="n">
        <v>3</v>
      </c>
      <c r="H1280" t="inlineStr">
        <is>
          <t>HIGH</t>
        </is>
      </c>
      <c r="I1280" t="n">
        <v>14.5</v>
      </c>
      <c r="J1280" t="inlineStr">
        <is>
          <t>NO</t>
        </is>
      </c>
      <c r="K1280" t="inlineStr">
        <is>
          <t>2026-02-26 00:15</t>
        </is>
      </c>
      <c r="L1280" t="inlineStr">
        <is>
          <t>CHECK_VENDOR</t>
        </is>
      </c>
      <c r="M1280" t="inlineStr">
        <is>
          <t>See CVE details</t>
        </is>
      </c>
      <c r="N1280" t="inlineStr">
        <is>
          <t>P1</t>
        </is>
      </c>
      <c r="O1280" t="inlineStr">
        <is>
          <t>CVE - IP enrichment n/a</t>
        </is>
      </c>
      <c r="P1280" t="n">
        <v>0</v>
      </c>
      <c r="Q1280" t="n">
        <v>0</v>
      </c>
      <c r="R1280" t="inlineStr">
        <is>
          <t>T1090:Proxy | T1190:Exploit Public-Facing Application</t>
        </is>
      </c>
      <c r="S1280" t="n">
        <v>2</v>
      </c>
      <c r="T1280" t="inlineStr">
        <is>
          <t>HIGH (72%)</t>
        </is>
      </c>
      <c r="U1280" t="inlineStr">
        <is>
          <t>HIGH</t>
        </is>
      </c>
      <c r="V1280" t="inlineStr">
        <is>
          <t>CHECK_VENDOR</t>
        </is>
      </c>
      <c r="W1280" t="inlineStr">
        <is>
          <t>https://nvd.nist.gov/vuln/detail/CVE-2026-27477</t>
        </is>
      </c>
      <c r="X1280" t="inlineStr">
        <is>
          <t>http://www.zerodayinitiative.com/advisories/ZDI-26-123/</t>
        </is>
      </c>
      <c r="Y1280" t="n">
        <v>0</v>
      </c>
      <c r="Z1280" t="inlineStr"/>
      <c r="AA1280" t="inlineStr">
        <is>
          <t>https://nvd.nist.gov/vuln/detail/CVE-2026-27477</t>
        </is>
      </c>
    </row>
    <row r="1281">
      <c r="A1281" t="inlineStr">
        <is>
          <t>CVE</t>
        </is>
      </c>
      <c r="B1281" t="inlineStr">
        <is>
          <t>CVE-2026-3105</t>
        </is>
      </c>
      <c r="C1281" t="inlineStr">
        <is>
          <t>SummaryThis advisory addresses a SQL injection vulnerability in the API endpoint used for retrieving contact activities. A vulnerability exists in the query construction for the Contact Activity timeline where the parameter responsible for determining the sort direction was not strictly validated against an allowlist, potentially allowing authenticated users to inject arbitrary SQL commands via the API.
MitigationPlease update to 4.4.19, 5.2.10, 6.0.8, 7.0.1 or later.
WorkaroundsNone.
Referen</t>
        </is>
      </c>
      <c r="D1281" t="n">
        <v>7.6</v>
      </c>
      <c r="E1281" t="inlineStr">
        <is>
          <t>HIGH</t>
        </is>
      </c>
      <c r="F1281" t="n">
        <v>2</v>
      </c>
      <c r="G1281" t="n">
        <v>3</v>
      </c>
      <c r="H1281" t="inlineStr">
        <is>
          <t>HIGH</t>
        </is>
      </c>
      <c r="I1281" t="n">
        <v>13.6</v>
      </c>
      <c r="J1281" t="inlineStr">
        <is>
          <t>NO</t>
        </is>
      </c>
      <c r="K1281" t="inlineStr">
        <is>
          <t>2026-02-26 00:15</t>
        </is>
      </c>
      <c r="L1281" t="inlineStr">
        <is>
          <t>CHECK_VENDOR</t>
        </is>
      </c>
      <c r="M1281" t="inlineStr">
        <is>
          <t>See CVE details</t>
        </is>
      </c>
      <c r="N1281" t="inlineStr">
        <is>
          <t>P1</t>
        </is>
      </c>
      <c r="O1281" t="inlineStr">
        <is>
          <t>CVE - IP enrichment n/a</t>
        </is>
      </c>
      <c r="P1281" t="n">
        <v>0.0003</v>
      </c>
      <c r="Q1281" t="n">
        <v>0.08260000000000001</v>
      </c>
      <c r="R1281" t="inlineStr">
        <is>
          <t>T1190:Exploit Public-Facing Application</t>
        </is>
      </c>
      <c r="S1281" t="n">
        <v>2</v>
      </c>
      <c r="T1281" t="inlineStr">
        <is>
          <t>HIGH (72%)</t>
        </is>
      </c>
      <c r="U1281" t="inlineStr">
        <is>
          <t>HIGH</t>
        </is>
      </c>
      <c r="V1281" t="inlineStr">
        <is>
          <t>CHECK_VENDOR</t>
        </is>
      </c>
      <c r="W1281" t="inlineStr">
        <is>
          <t>https://nvd.nist.gov/vuln/detail/CVE-2026-3105</t>
        </is>
      </c>
      <c r="X1281" t="inlineStr">
        <is>
          <t>http://www.zerodayinitiative.com/advisories/ZDI-26-123/</t>
        </is>
      </c>
      <c r="Y1281" t="n">
        <v>0</v>
      </c>
      <c r="Z1281" t="inlineStr"/>
      <c r="AA1281" t="inlineStr">
        <is>
          <t>https://nvd.nist.gov/vuln/detail/CVE-2026-3105</t>
        </is>
      </c>
    </row>
    <row r="1282">
      <c r="A1282" t="inlineStr">
        <is>
          <t>CVE</t>
        </is>
      </c>
      <c r="B1282" t="inlineStr">
        <is>
          <t>CVE-2026-3131</t>
        </is>
      </c>
      <c r="C1282" t="inlineStr">
        <is>
          <t>Improper
 access control in multiple DVLS REST API endpoints in Devolutions 
Server 2025.3.14.0 and earlier allows an authenticated user with view-only permission to access sensitive connection data.</t>
        </is>
      </c>
      <c r="D1282" t="n">
        <v>6.5</v>
      </c>
      <c r="E1282" t="inlineStr">
        <is>
          <t>MEDIUM</t>
        </is>
      </c>
      <c r="F1282" t="n">
        <v>2</v>
      </c>
      <c r="G1282" t="n">
        <v>2</v>
      </c>
      <c r="H1282" t="inlineStr">
        <is>
          <t>MEDIUM</t>
        </is>
      </c>
      <c r="I1282" t="n">
        <v>10.5</v>
      </c>
      <c r="J1282" t="inlineStr">
        <is>
          <t>NO</t>
        </is>
      </c>
      <c r="K1282" t="inlineStr">
        <is>
          <t>2026-02-26 00:15</t>
        </is>
      </c>
      <c r="L1282" t="inlineStr">
        <is>
          <t>YES</t>
        </is>
      </c>
      <c r="M1282" t="inlineStr">
        <is>
          <t>devolutions devolutions_server *</t>
        </is>
      </c>
      <c r="N1282" t="inlineStr">
        <is>
          <t>P4</t>
        </is>
      </c>
      <c r="O1282" t="inlineStr">
        <is>
          <t>CVE - IP enrichment n/a</t>
        </is>
      </c>
      <c r="P1282" t="n">
        <v>0</v>
      </c>
      <c r="Q1282" t="n">
        <v>0</v>
      </c>
      <c r="R1282" t="inlineStr">
        <is>
          <t>T1213:Data from Information Repositories</t>
        </is>
      </c>
      <c r="S1282" t="n">
        <v>1</v>
      </c>
      <c r="T1282" t="inlineStr">
        <is>
          <t>LOW (40%)</t>
        </is>
      </c>
      <c r="U1282" t="inlineStr">
        <is>
          <t>UNLIKELY</t>
        </is>
      </c>
      <c r="V1282" t="inlineStr">
        <is>
          <t>PATCH_AVAILABLE</t>
        </is>
      </c>
      <c r="W1282" t="inlineStr">
        <is>
          <t>https://nvd.nist.gov/vuln/detail/CVE-2026-3131</t>
        </is>
      </c>
      <c r="X1282" t="inlineStr">
        <is>
          <t>NONE</t>
        </is>
      </c>
      <c r="Y1282" t="n">
        <v>0</v>
      </c>
      <c r="Z1282" t="inlineStr"/>
      <c r="AA1282" t="inlineStr">
        <is>
          <t>https://nvd.nist.gov/vuln/detail/CVE-2026-3131</t>
        </is>
      </c>
    </row>
    <row r="1283">
      <c r="A1283" t="inlineStr">
        <is>
          <t>CVE</t>
        </is>
      </c>
      <c r="B1283" t="inlineStr">
        <is>
          <t>CVE-2025-46320</t>
        </is>
      </c>
      <c r="C1283" t="inlineStr">
        <is>
          <t>A cross-site scripting (XSS) vulnerability in a FileMaker WebDirect custom homepage could lead to unauthorized access and remote code execution. This vulnerability has been fully addressed in FileMaker Server 22.0.4 and FileMaker Server 21.1.7.</t>
        </is>
      </c>
      <c r="D1283" t="n">
        <v>6.1</v>
      </c>
      <c r="E1283" t="inlineStr">
        <is>
          <t>MEDIUM</t>
        </is>
      </c>
      <c r="F1283" t="n">
        <v>2</v>
      </c>
      <c r="G1283" t="n">
        <v>2</v>
      </c>
      <c r="H1283" t="inlineStr">
        <is>
          <t>MEDIUM</t>
        </is>
      </c>
      <c r="I1283" t="n">
        <v>10.1</v>
      </c>
      <c r="J1283" t="inlineStr">
        <is>
          <t>NO</t>
        </is>
      </c>
      <c r="K1283" t="inlineStr">
        <is>
          <t>2026-02-26 00:15</t>
        </is>
      </c>
      <c r="L1283" t="inlineStr">
        <is>
          <t>YES</t>
        </is>
      </c>
      <c r="M1283" t="inlineStr">
        <is>
          <t>claris filemaker_server *</t>
        </is>
      </c>
      <c r="N1283" t="inlineStr">
        <is>
          <t>P4</t>
        </is>
      </c>
      <c r="O1283" t="inlineStr">
        <is>
          <t>CVE - IP enrichment n/a</t>
        </is>
      </c>
      <c r="P1283" t="n">
        <v>0</v>
      </c>
      <c r="Q1283" t="n">
        <v>0</v>
      </c>
      <c r="R1283" t="inlineStr">
        <is>
          <t>T1189:Drive-by Compromise | T1190:Exploit Public-Facing Application | T1210:Exploitation of Remote Services</t>
        </is>
      </c>
      <c r="S1283" t="n">
        <v>1</v>
      </c>
      <c r="T1283" t="inlineStr">
        <is>
          <t>LOW (40%)</t>
        </is>
      </c>
      <c r="U1283" t="inlineStr">
        <is>
          <t>UNLIKELY</t>
        </is>
      </c>
      <c r="V1283" t="inlineStr">
        <is>
          <t>PATCH_AVAILABLE</t>
        </is>
      </c>
      <c r="W1283" t="inlineStr">
        <is>
          <t>https://nvd.nist.gov/vuln/detail/CVE-2025-46320</t>
        </is>
      </c>
      <c r="X1283" t="inlineStr">
        <is>
          <t>NONE</t>
        </is>
      </c>
      <c r="Y1283" t="n">
        <v>0</v>
      </c>
      <c r="Z1283" t="inlineStr"/>
      <c r="AA1283" t="inlineStr">
        <is>
          <t>https://nvd.nist.gov/vuln/detail/CVE-2025-46320</t>
        </is>
      </c>
    </row>
    <row r="1284">
      <c r="A1284" t="inlineStr">
        <is>
          <t>CVE</t>
        </is>
      </c>
      <c r="B1284" t="inlineStr">
        <is>
          <t>CVE-2026-21410</t>
        </is>
      </c>
      <c r="C1284" t="inlineStr">
        <is>
          <t>InSAT MasterSCADA BUK-TS is susceptible to SQL Injection through its main web interface. Malicious users that use the vulnerable endpoint are potentially able to cause remote code execution.</t>
        </is>
      </c>
      <c r="D1284" t="n">
        <v>9.800000000000001</v>
      </c>
      <c r="E1284" t="inlineStr">
        <is>
          <t>CRITICAL</t>
        </is>
      </c>
      <c r="F1284" t="n">
        <v>2</v>
      </c>
      <c r="G1284" t="n">
        <v>3</v>
      </c>
      <c r="H1284" t="inlineStr">
        <is>
          <t>HIGH</t>
        </is>
      </c>
      <c r="I1284" t="n">
        <v>15.8</v>
      </c>
      <c r="J1284" t="inlineStr">
        <is>
          <t>NO</t>
        </is>
      </c>
      <c r="K1284" t="inlineStr">
        <is>
          <t>2026-02-26 00:15</t>
        </is>
      </c>
      <c r="L1284" t="inlineStr">
        <is>
          <t>CHECK_VENDOR</t>
        </is>
      </c>
      <c r="M1284" t="inlineStr">
        <is>
          <t>See CVE details</t>
        </is>
      </c>
      <c r="N1284" t="inlineStr">
        <is>
          <t>P3</t>
        </is>
      </c>
      <c r="O1284" t="inlineStr">
        <is>
          <t>CVE - IP enrichment n/a</t>
        </is>
      </c>
      <c r="P1284" t="n">
        <v>0</v>
      </c>
      <c r="Q1284" t="n">
        <v>0</v>
      </c>
      <c r="R1284" t="inlineStr">
        <is>
          <t>T1190:Exploit Public-Facing Application | T1210:Exploitation of Remote Services</t>
        </is>
      </c>
      <c r="S1284" t="n">
        <v>1</v>
      </c>
      <c r="T1284" t="inlineStr">
        <is>
          <t>LOW (40%)</t>
        </is>
      </c>
      <c r="U1284" t="inlineStr">
        <is>
          <t>UNLIKELY</t>
        </is>
      </c>
      <c r="V1284" t="inlineStr">
        <is>
          <t>CHECK_VENDOR</t>
        </is>
      </c>
      <c r="W1284" t="inlineStr">
        <is>
          <t>https://nvd.nist.gov/vuln/detail/CVE-2026-21410</t>
        </is>
      </c>
      <c r="X1284" t="inlineStr">
        <is>
          <t>NONE</t>
        </is>
      </c>
      <c r="Y1284" t="n">
        <v>0</v>
      </c>
      <c r="Z1284" t="inlineStr"/>
      <c r="AA1284" t="inlineStr">
        <is>
          <t>https://nvd.nist.gov/vuln/detail/CVE-2026-21410</t>
        </is>
      </c>
    </row>
    <row r="1285">
      <c r="A1285" t="inlineStr">
        <is>
          <t>CVE</t>
        </is>
      </c>
      <c r="B1285" t="inlineStr">
        <is>
          <t>CVE-2026-22553</t>
        </is>
      </c>
      <c r="C1285" t="inlineStr">
        <is>
          <t>All versions of InSAT MasterSCADA BUK-TS are susceptible to OS command injection through a field in its MMadmServ web interface. Malicious users that use the vulnerable endpoint are potentially able to cause remote code execution.</t>
        </is>
      </c>
      <c r="D1285" t="n">
        <v>9.800000000000001</v>
      </c>
      <c r="E1285" t="inlineStr">
        <is>
          <t>CRITICAL</t>
        </is>
      </c>
      <c r="F1285" t="n">
        <v>2</v>
      </c>
      <c r="G1285" t="n">
        <v>3</v>
      </c>
      <c r="H1285" t="inlineStr">
        <is>
          <t>HIGH</t>
        </is>
      </c>
      <c r="I1285" t="n">
        <v>15.8</v>
      </c>
      <c r="J1285" t="inlineStr">
        <is>
          <t>NO</t>
        </is>
      </c>
      <c r="K1285" t="inlineStr">
        <is>
          <t>2026-02-26 00:15</t>
        </is>
      </c>
      <c r="L1285" t="inlineStr">
        <is>
          <t>CHECK_VENDOR</t>
        </is>
      </c>
      <c r="M1285" t="inlineStr">
        <is>
          <t>See CVE details</t>
        </is>
      </c>
      <c r="N1285" t="inlineStr">
        <is>
          <t>P3</t>
        </is>
      </c>
      <c r="O1285" t="inlineStr">
        <is>
          <t>CVE - IP enrichment n/a</t>
        </is>
      </c>
      <c r="P1285" t="n">
        <v>0</v>
      </c>
      <c r="Q1285" t="n">
        <v>0</v>
      </c>
      <c r="R1285" t="inlineStr">
        <is>
          <t>T1059:Command and Scripting Interpreter | T1190:Exploit Public-Facing Application | T1210:Exploitation of Remote Services</t>
        </is>
      </c>
      <c r="S1285" t="n">
        <v>1</v>
      </c>
      <c r="T1285" t="inlineStr">
        <is>
          <t>LOW (40%)</t>
        </is>
      </c>
      <c r="U1285" t="inlineStr">
        <is>
          <t>UNLIKELY</t>
        </is>
      </c>
      <c r="V1285" t="inlineStr">
        <is>
          <t>CHECK_VENDOR</t>
        </is>
      </c>
      <c r="W1285" t="inlineStr">
        <is>
          <t>https://nvd.nist.gov/vuln/detail/CVE-2026-22553</t>
        </is>
      </c>
      <c r="X1285" t="inlineStr">
        <is>
          <t>NONE</t>
        </is>
      </c>
      <c r="Y1285" t="n">
        <v>0</v>
      </c>
      <c r="Z1285" t="inlineStr"/>
      <c r="AA1285" t="inlineStr">
        <is>
          <t>https://nvd.nist.gov/vuln/detail/CVE-2026-22553</t>
        </is>
      </c>
    </row>
    <row r="1286">
      <c r="A1286" t="inlineStr">
        <is>
          <t>CVE</t>
        </is>
      </c>
      <c r="B1286" t="inlineStr">
        <is>
          <t>CVE-2026-24443</t>
        </is>
      </c>
      <c r="C1286" t="inlineStr">
        <is>
          <t xml:space="preserve">EventSentry versions prior to 6.0.1.20 contain an unverified password change vulnerability in the account management functionality of the Web Reports interface. The password change mechanism does not require validation of the current password before allowing a new password to be set. An attacker who gains temporary access to an authenticated user session can change the account password without knowledge of the original credentials. This enables persistent account takeover and, if administrative </t>
        </is>
      </c>
      <c r="D1286" t="n">
        <v>5</v>
      </c>
      <c r="E1286" t="inlineStr">
        <is>
          <t>MEDIUM</t>
        </is>
      </c>
      <c r="F1286" t="n">
        <v>2</v>
      </c>
      <c r="G1286" t="n">
        <v>2</v>
      </c>
      <c r="H1286" t="inlineStr">
        <is>
          <t>MEDIUM</t>
        </is>
      </c>
      <c r="I1286" t="n">
        <v>9</v>
      </c>
      <c r="J1286" t="inlineStr">
        <is>
          <t>NO</t>
        </is>
      </c>
      <c r="K1286" t="inlineStr">
        <is>
          <t>2026-02-26 00:15</t>
        </is>
      </c>
      <c r="L1286" t="inlineStr">
        <is>
          <t>CHECK_VENDOR</t>
        </is>
      </c>
      <c r="M1286" t="inlineStr">
        <is>
          <t>See CVE details</t>
        </is>
      </c>
      <c r="N1286" t="inlineStr">
        <is>
          <t>P4</t>
        </is>
      </c>
      <c r="O1286" t="inlineStr">
        <is>
          <t>CVE - IP enrichment n/a</t>
        </is>
      </c>
      <c r="P1286" t="n">
        <v>0</v>
      </c>
      <c r="Q1286" t="n">
        <v>0</v>
      </c>
      <c r="R1286" t="inlineStr">
        <is>
          <t>T1068:Exploitation for Privilege Escalation | T1552:Unsecured Credentials</t>
        </is>
      </c>
      <c r="S1286" t="n">
        <v>1</v>
      </c>
      <c r="T1286" t="inlineStr">
        <is>
          <t>LOW (40%)</t>
        </is>
      </c>
      <c r="U1286" t="inlineStr">
        <is>
          <t>UNLIKELY</t>
        </is>
      </c>
      <c r="V1286" t="inlineStr">
        <is>
          <t>CHECK_VENDOR</t>
        </is>
      </c>
      <c r="W1286" t="inlineStr">
        <is>
          <t>https://nvd.nist.gov/vuln/detail/CVE-2026-24443</t>
        </is>
      </c>
      <c r="X1286" t="inlineStr">
        <is>
          <t>NONE</t>
        </is>
      </c>
      <c r="Y1286" t="n">
        <v>0</v>
      </c>
      <c r="Z1286" t="inlineStr"/>
      <c r="AA1286" t="inlineStr">
        <is>
          <t>https://nvd.nist.gov/vuln/detail/CVE-2026-24443</t>
        </is>
      </c>
    </row>
    <row r="1287">
      <c r="A1287" t="inlineStr">
        <is>
          <t>CVE</t>
        </is>
      </c>
      <c r="B1287" t="inlineStr">
        <is>
          <t>CVE-2026-25882</t>
        </is>
      </c>
      <c r="C1287" t="inlineStr">
        <is>
          <t>Fiber is an Express inspired web framework written in Go. A denial of service vulnerability exists in Fiber v2 and v3 that allows remote attackers to crash the application by sending requests to routes with more than 30 parameters. The vulnerability results from missing validation during route registration combined with an unbounded array write during request matching. Version 2.52.12 patches the issue in the v2 branch and 3.1.0 patches the issue in the v3 branch.</t>
        </is>
      </c>
      <c r="D1287" t="n">
        <v>5</v>
      </c>
      <c r="E1287" t="inlineStr">
        <is>
          <t>MEDIUM</t>
        </is>
      </c>
      <c r="F1287" t="n">
        <v>2</v>
      </c>
      <c r="G1287" t="n">
        <v>2</v>
      </c>
      <c r="H1287" t="inlineStr">
        <is>
          <t>MEDIUM</t>
        </is>
      </c>
      <c r="I1287" t="n">
        <v>9</v>
      </c>
      <c r="J1287" t="inlineStr">
        <is>
          <t>NO</t>
        </is>
      </c>
      <c r="K1287" t="inlineStr">
        <is>
          <t>2026-02-26 00:15</t>
        </is>
      </c>
      <c r="L1287" t="inlineStr">
        <is>
          <t>CHECK_VENDOR</t>
        </is>
      </c>
      <c r="M1287" t="inlineStr">
        <is>
          <t>See CVE details</t>
        </is>
      </c>
      <c r="N1287" t="inlineStr">
        <is>
          <t>P4</t>
        </is>
      </c>
      <c r="O1287" t="inlineStr">
        <is>
          <t>CVE - IP enrichment n/a</t>
        </is>
      </c>
      <c r="P1287" t="n">
        <v>0</v>
      </c>
      <c r="Q1287" t="n">
        <v>0</v>
      </c>
      <c r="R1287" t="inlineStr">
        <is>
          <t>T1499:Endpoint Denial of Service</t>
        </is>
      </c>
      <c r="S1287" t="n">
        <v>1</v>
      </c>
      <c r="T1287" t="inlineStr">
        <is>
          <t>LOW (40%)</t>
        </is>
      </c>
      <c r="U1287" t="inlineStr">
        <is>
          <t>UNLIKELY</t>
        </is>
      </c>
      <c r="V1287" t="inlineStr">
        <is>
          <t>CHECK_VENDOR</t>
        </is>
      </c>
      <c r="W1287" t="inlineStr">
        <is>
          <t>https://nvd.nist.gov/vuln/detail/CVE-2026-25882</t>
        </is>
      </c>
      <c r="X1287" t="inlineStr">
        <is>
          <t>NONE</t>
        </is>
      </c>
      <c r="Y1287" t="n">
        <v>0</v>
      </c>
      <c r="Z1287" t="inlineStr"/>
      <c r="AA1287" t="inlineStr">
        <is>
          <t>https://nvd.nist.gov/vuln/detail/CVE-2026-25882</t>
        </is>
      </c>
    </row>
    <row r="1288">
      <c r="A1288" t="inlineStr">
        <is>
          <t>CVE</t>
        </is>
      </c>
      <c r="B1288" t="inlineStr">
        <is>
          <t>CVE-2026-25891</t>
        </is>
      </c>
      <c r="C1288" t="inlineStr">
        <is>
          <t>Fiber is an Express inspired web framework written in Go. A Path Traversal (CWE-22) vulnerability in Fiber allows a remote attacker to bypass the static middleware sanitizer and read arbitrary files on the server file system on Windows. This affects Fiber v3 through version 3.0.0. This has been patched in Fiber v3 version 3.1.0.</t>
        </is>
      </c>
      <c r="D1288" t="n">
        <v>5</v>
      </c>
      <c r="E1288" t="inlineStr">
        <is>
          <t>MEDIUM</t>
        </is>
      </c>
      <c r="F1288" t="n">
        <v>2</v>
      </c>
      <c r="G1288" t="n">
        <v>2</v>
      </c>
      <c r="H1288" t="inlineStr">
        <is>
          <t>MEDIUM</t>
        </is>
      </c>
      <c r="I1288" t="n">
        <v>9</v>
      </c>
      <c r="J1288" t="inlineStr">
        <is>
          <t>NO</t>
        </is>
      </c>
      <c r="K1288" t="inlineStr">
        <is>
          <t>2026-02-26 00:15</t>
        </is>
      </c>
      <c r="L1288" t="inlineStr">
        <is>
          <t>CHECK_VENDOR</t>
        </is>
      </c>
      <c r="M1288" t="inlineStr">
        <is>
          <t>See CVE details</t>
        </is>
      </c>
      <c r="N1288" t="inlineStr">
        <is>
          <t>P4</t>
        </is>
      </c>
      <c r="O1288" t="inlineStr">
        <is>
          <t>CVE - IP enrichment n/a</t>
        </is>
      </c>
      <c r="P1288" t="n">
        <v>0</v>
      </c>
      <c r="Q1288" t="n">
        <v>0</v>
      </c>
      <c r="R1288" t="inlineStr">
        <is>
          <t>T1083:File and Directory Discovery</t>
        </is>
      </c>
      <c r="S1288" t="n">
        <v>1</v>
      </c>
      <c r="T1288" t="inlineStr">
        <is>
          <t>LOW (40%)</t>
        </is>
      </c>
      <c r="U1288" t="inlineStr">
        <is>
          <t>UNLIKELY</t>
        </is>
      </c>
      <c r="V1288" t="inlineStr">
        <is>
          <t>CHECK_VENDOR</t>
        </is>
      </c>
      <c r="W1288" t="inlineStr">
        <is>
          <t>https://nvd.nist.gov/vuln/detail/CVE-2026-25891</t>
        </is>
      </c>
      <c r="X1288" t="inlineStr">
        <is>
          <t>NONE</t>
        </is>
      </c>
      <c r="Y1288" t="n">
        <v>0</v>
      </c>
      <c r="Z1288" t="inlineStr"/>
      <c r="AA1288" t="inlineStr">
        <is>
          <t>https://nvd.nist.gov/vuln/detail/CVE-2026-25891</t>
        </is>
      </c>
    </row>
    <row r="1289">
      <c r="A1289" t="inlineStr">
        <is>
          <t>CVE</t>
        </is>
      </c>
      <c r="B1289" t="inlineStr">
        <is>
          <t>CVE-2026-25899</t>
        </is>
      </c>
      <c r="C1289" t="inlineStr">
        <is>
          <t>Fiber is an Express inspired web framework written in Go. In versions on the v3 branch prior to 3.1.0, the use of the `fiber_flash` cookie can force an unbounded allocation on any server. A crafted 10-character cookie value triggers an attempt to allocate up to 85GB of memory via unvalidated msgpack deserialization. No authentication is required. Every GoFiber v3 endpoint is affected regardless of whether the application uses flash messages. Version 3.1.0 fixes the issue.</t>
        </is>
      </c>
      <c r="D1289" t="n">
        <v>7.5</v>
      </c>
      <c r="E1289" t="inlineStr">
        <is>
          <t>HIGH</t>
        </is>
      </c>
      <c r="F1289" t="n">
        <v>2</v>
      </c>
      <c r="G1289" t="n">
        <v>3</v>
      </c>
      <c r="H1289" t="inlineStr">
        <is>
          <t>HIGH</t>
        </is>
      </c>
      <c r="I1289" t="n">
        <v>13.5</v>
      </c>
      <c r="J1289" t="inlineStr">
        <is>
          <t>NO</t>
        </is>
      </c>
      <c r="K1289" t="inlineStr">
        <is>
          <t>2026-02-26 00:15</t>
        </is>
      </c>
      <c r="L1289" t="inlineStr">
        <is>
          <t>YES</t>
        </is>
      </c>
      <c r="M1289" t="inlineStr">
        <is>
          <t>gofiber fiber *</t>
        </is>
      </c>
      <c r="N1289" t="inlineStr">
        <is>
          <t>P3</t>
        </is>
      </c>
      <c r="O1289" t="inlineStr">
        <is>
          <t>CVE - IP enrichment n/a</t>
        </is>
      </c>
      <c r="P1289" t="n">
        <v>0</v>
      </c>
      <c r="Q1289" t="n">
        <v>0</v>
      </c>
      <c r="R1289" t="inlineStr">
        <is>
          <t>T1190:Exploit Public-Facing Application | T1059:Command and Scripting Interpreter</t>
        </is>
      </c>
      <c r="S1289" t="n">
        <v>1</v>
      </c>
      <c r="T1289" t="inlineStr">
        <is>
          <t>LOW (40%)</t>
        </is>
      </c>
      <c r="U1289" t="inlineStr">
        <is>
          <t>UNLIKELY</t>
        </is>
      </c>
      <c r="V1289" t="inlineStr">
        <is>
          <t>PATCH_AVAILABLE</t>
        </is>
      </c>
      <c r="W1289" t="inlineStr">
        <is>
          <t>https://nvd.nist.gov/vuln/detail/CVE-2026-25899</t>
        </is>
      </c>
      <c r="X1289" t="inlineStr">
        <is>
          <t>NONE</t>
        </is>
      </c>
      <c r="Y1289" t="n">
        <v>0</v>
      </c>
      <c r="Z1289" t="inlineStr"/>
      <c r="AA1289" t="inlineStr">
        <is>
          <t>https://nvd.nist.gov/vuln/detail/CVE-2026-25899</t>
        </is>
      </c>
    </row>
    <row r="1290">
      <c r="A1290" t="inlineStr">
        <is>
          <t>CVE</t>
        </is>
      </c>
      <c r="B1290" t="inlineStr">
        <is>
          <t>CVE-2026-27117</t>
        </is>
      </c>
      <c r="C1290" t="inlineStr">
        <is>
          <t>bit7z is a cross-platform C++ static library that allows the compression/extraction of archive files. Prior to version 4.0.11, a path traversal vulnerability ("Zip Slip") exists in bit7z's archive extraction functionality. The library does not adequately validate file paths contained in archive entries, allowing files to be written outside the intended extraction directory through three distinct mechanisms: relative path traversal, absolute path traversal, and symbolic link traversal. An attacke</t>
        </is>
      </c>
      <c r="D1290" t="n">
        <v>5.5</v>
      </c>
      <c r="E1290" t="inlineStr">
        <is>
          <t>MEDIUM</t>
        </is>
      </c>
      <c r="F1290" t="n">
        <v>2</v>
      </c>
      <c r="G1290" t="n">
        <v>2</v>
      </c>
      <c r="H1290" t="inlineStr">
        <is>
          <t>MEDIUM</t>
        </is>
      </c>
      <c r="I1290" t="n">
        <v>9.5</v>
      </c>
      <c r="J1290" t="inlineStr">
        <is>
          <t>NO</t>
        </is>
      </c>
      <c r="K1290" t="inlineStr">
        <is>
          <t>2026-02-26 00:15</t>
        </is>
      </c>
      <c r="L1290" t="inlineStr">
        <is>
          <t>YES</t>
        </is>
      </c>
      <c r="M1290" t="inlineStr">
        <is>
          <t>rikyoz bit7z *</t>
        </is>
      </c>
      <c r="N1290" t="inlineStr">
        <is>
          <t>P4</t>
        </is>
      </c>
      <c r="O1290" t="inlineStr">
        <is>
          <t>CVE - IP enrichment n/a</t>
        </is>
      </c>
      <c r="P1290" t="n">
        <v>0</v>
      </c>
      <c r="Q1290" t="n">
        <v>0</v>
      </c>
      <c r="R1290" t="inlineStr">
        <is>
          <t>T1083:File and Directory Discovery</t>
        </is>
      </c>
      <c r="S1290" t="n">
        <v>1</v>
      </c>
      <c r="T1290" t="inlineStr">
        <is>
          <t>LOW (40%)</t>
        </is>
      </c>
      <c r="U1290" t="inlineStr">
        <is>
          <t>UNLIKELY</t>
        </is>
      </c>
      <c r="V1290" t="inlineStr">
        <is>
          <t>PATCH_AVAILABLE</t>
        </is>
      </c>
      <c r="W1290" t="inlineStr">
        <is>
          <t>https://nvd.nist.gov/vuln/detail/CVE-2026-27117</t>
        </is>
      </c>
      <c r="X1290" t="inlineStr">
        <is>
          <t>NONE</t>
        </is>
      </c>
      <c r="Y1290" t="n">
        <v>0</v>
      </c>
      <c r="Z1290" t="inlineStr"/>
      <c r="AA1290" t="inlineStr">
        <is>
          <t>https://nvd.nist.gov/vuln/detail/CVE-2026-27117</t>
        </is>
      </c>
    </row>
    <row r="1291">
      <c r="A1291" t="inlineStr">
        <is>
          <t>CVE</t>
        </is>
      </c>
      <c r="B1291" t="inlineStr">
        <is>
          <t>CVE-2026-27195</t>
        </is>
      </c>
      <c r="C1291" t="inlineStr">
        <is>
          <t xml:space="preserve">Wasmtime is a runtime for WebAssembly. Starting with Wasmtime 39.0.0, the `component-model-async` feature became the default, which brought with it a new implementation of `[Typed]Func::call_async` which made it capable of calling async-typed guest export functions.  However, that implementation had a bug leading to a panic under certain circumstances: First, the host embedding calls `[Typed]Func::call_async` on a function exported by a component, polling the returned `Future` once. Second, the </t>
        </is>
      </c>
      <c r="D1291" t="n">
        <v>7.5</v>
      </c>
      <c r="E1291" t="inlineStr">
        <is>
          <t>HIGH</t>
        </is>
      </c>
      <c r="F1291" t="n">
        <v>2</v>
      </c>
      <c r="G1291" t="n">
        <v>3</v>
      </c>
      <c r="H1291" t="inlineStr">
        <is>
          <t>HIGH</t>
        </is>
      </c>
      <c r="I1291" t="n">
        <v>13.5</v>
      </c>
      <c r="J1291" t="inlineStr">
        <is>
          <t>NO</t>
        </is>
      </c>
      <c r="K1291" t="inlineStr">
        <is>
          <t>2026-02-26 00:15</t>
        </is>
      </c>
      <c r="L1291" t="inlineStr">
        <is>
          <t>YES</t>
        </is>
      </c>
      <c r="M1291" t="inlineStr">
        <is>
          <t>bytecodealliance wasmtime *</t>
        </is>
      </c>
      <c r="N1291" t="inlineStr">
        <is>
          <t>P3</t>
        </is>
      </c>
      <c r="O1291" t="inlineStr">
        <is>
          <t>CVE - IP enrichment n/a</t>
        </is>
      </c>
      <c r="P1291" t="n">
        <v>0</v>
      </c>
      <c r="Q1291" t="n">
        <v>0</v>
      </c>
      <c r="R1291" t="inlineStr">
        <is>
          <t>T1190:Exploit Public-Facing Application</t>
        </is>
      </c>
      <c r="S1291" t="n">
        <v>2</v>
      </c>
      <c r="T1291" t="inlineStr">
        <is>
          <t>MEDIUM (52%)</t>
        </is>
      </c>
      <c r="U1291" t="inlineStr">
        <is>
          <t>UNLIKELY</t>
        </is>
      </c>
      <c r="V1291" t="inlineStr">
        <is>
          <t>PATCH_AVAILABLE</t>
        </is>
      </c>
      <c r="W1291" t="inlineStr">
        <is>
          <t>https://nvd.nist.gov/vuln/detail/CVE-2026-27195</t>
        </is>
      </c>
      <c r="X1291" t="inlineStr">
        <is>
          <t>NONE</t>
        </is>
      </c>
      <c r="Y1291" t="n">
        <v>0</v>
      </c>
      <c r="Z1291" t="inlineStr"/>
      <c r="AA1291" t="inlineStr">
        <is>
          <t>https://nvd.nist.gov/vuln/detail/CVE-2026-27195</t>
        </is>
      </c>
    </row>
    <row r="1292">
      <c r="A1292" t="inlineStr">
        <is>
          <t>CVE</t>
        </is>
      </c>
      <c r="B1292" t="inlineStr">
        <is>
          <t>CVE-2026-27204</t>
        </is>
      </c>
      <c r="C1292" t="inlineStr">
        <is>
          <t>Wasmtime is a runtime for WebAssembly. Prior to versions 24.0.6, 36.0.6, 4.0.04, 41.0.4, and 42.0.0, Wasmtime's implementation of WASI host interfaces are susceptible to guest-controlled resource exhaustion on the host. Wasmtime did not appropriately place limits on resource allocations requested by the guests. This serves as a Denial of Service vector. Wasmtime 24.0.6, 36.0.6, 40.0.4, 41.0.4, and 42.0.0 have all been released with the fix for this issue. These versions do not prevent this issue</t>
        </is>
      </c>
      <c r="D1292" t="n">
        <v>6.5</v>
      </c>
      <c r="E1292" t="inlineStr">
        <is>
          <t>MEDIUM</t>
        </is>
      </c>
      <c r="F1292" t="n">
        <v>2</v>
      </c>
      <c r="G1292" t="n">
        <v>2</v>
      </c>
      <c r="H1292" t="inlineStr">
        <is>
          <t>MEDIUM</t>
        </is>
      </c>
      <c r="I1292" t="n">
        <v>10.5</v>
      </c>
      <c r="J1292" t="inlineStr">
        <is>
          <t>NO</t>
        </is>
      </c>
      <c r="K1292" t="inlineStr">
        <is>
          <t>2026-02-26 00:15</t>
        </is>
      </c>
      <c r="L1292" t="inlineStr">
        <is>
          <t>CHECK_VENDOR</t>
        </is>
      </c>
      <c r="M1292" t="inlineStr">
        <is>
          <t>bytecodealliance wasmtime *</t>
        </is>
      </c>
      <c r="N1292" t="inlineStr">
        <is>
          <t>P3</t>
        </is>
      </c>
      <c r="O1292" t="inlineStr">
        <is>
          <t>CVE - IP enrichment n/a</t>
        </is>
      </c>
      <c r="P1292" t="n">
        <v>0</v>
      </c>
      <c r="Q1292" t="n">
        <v>0</v>
      </c>
      <c r="R1292" t="inlineStr">
        <is>
          <t>T1190:Exploit Public-Facing Application | T1499:Endpoint Denial of Service</t>
        </is>
      </c>
      <c r="S1292" t="n">
        <v>2</v>
      </c>
      <c r="T1292" t="inlineStr">
        <is>
          <t>MEDIUM (52%)</t>
        </is>
      </c>
      <c r="U1292" t="inlineStr">
        <is>
          <t>UNLIKELY</t>
        </is>
      </c>
      <c r="V1292" t="inlineStr">
        <is>
          <t>CHECK_VENDOR</t>
        </is>
      </c>
      <c r="W1292" t="inlineStr">
        <is>
          <t>https://nvd.nist.gov/vuln/detail/CVE-2026-27204</t>
        </is>
      </c>
      <c r="X1292" t="inlineStr">
        <is>
          <t>NONE</t>
        </is>
      </c>
      <c r="Y1292" t="n">
        <v>0</v>
      </c>
      <c r="Z1292" t="inlineStr"/>
      <c r="AA1292" t="inlineStr">
        <is>
          <t>https://nvd.nist.gov/vuln/detail/CVE-2026-27204</t>
        </is>
      </c>
    </row>
    <row r="1293">
      <c r="A1293" t="inlineStr">
        <is>
          <t>CVE</t>
        </is>
      </c>
      <c r="B1293" t="inlineStr">
        <is>
          <t>CVE-2026-27572</t>
        </is>
      </c>
      <c r="C1293" t="inlineStr">
        <is>
          <t>Wasmtime is a runtime for WebAssembly. Prior to versions 24.0.6, 36.0.6, 4.0.04, 41.0.4, and 42.0.0, Wasmtime's implementation of the `wasi:http/types.fields` resource is susceptible to panics when too many fields are added to the set of headers. Wasmtime's implementation in the `wasmtime-wasi-http` crate is backed by a data structure which panics when it reaches excessive capacity and this condition was not handled gracefully in Wasmtime. Panicking in a WASI implementation is a Denial of Servic</t>
        </is>
      </c>
      <c r="D1293" t="n">
        <v>7.5</v>
      </c>
      <c r="E1293" t="inlineStr">
        <is>
          <t>HIGH</t>
        </is>
      </c>
      <c r="F1293" t="n">
        <v>2</v>
      </c>
      <c r="G1293" t="n">
        <v>3</v>
      </c>
      <c r="H1293" t="inlineStr">
        <is>
          <t>HIGH</t>
        </is>
      </c>
      <c r="I1293" t="n">
        <v>13.5</v>
      </c>
      <c r="J1293" t="inlineStr">
        <is>
          <t>NO</t>
        </is>
      </c>
      <c r="K1293" t="inlineStr">
        <is>
          <t>2026-02-26 00:15</t>
        </is>
      </c>
      <c r="L1293" t="inlineStr">
        <is>
          <t>YES</t>
        </is>
      </c>
      <c r="M1293" t="inlineStr">
        <is>
          <t>bytecodealliance wasmtime *</t>
        </is>
      </c>
      <c r="N1293" t="inlineStr">
        <is>
          <t>P3</t>
        </is>
      </c>
      <c r="O1293" t="inlineStr">
        <is>
          <t>CVE - IP enrichment n/a</t>
        </is>
      </c>
      <c r="P1293" t="n">
        <v>0</v>
      </c>
      <c r="Q1293" t="n">
        <v>0</v>
      </c>
      <c r="R1293" t="inlineStr">
        <is>
          <t>T1190:Exploit Public-Facing Application | T1499:Endpoint Denial of Service</t>
        </is>
      </c>
      <c r="S1293" t="n">
        <v>2</v>
      </c>
      <c r="T1293" t="inlineStr">
        <is>
          <t>MEDIUM (52%)</t>
        </is>
      </c>
      <c r="U1293" t="inlineStr">
        <is>
          <t>UNLIKELY</t>
        </is>
      </c>
      <c r="V1293" t="inlineStr">
        <is>
          <t>PATCH_AVAILABLE</t>
        </is>
      </c>
      <c r="W1293" t="inlineStr">
        <is>
          <t>https://nvd.nist.gov/vuln/detail/CVE-2026-27572</t>
        </is>
      </c>
      <c r="X1293" t="inlineStr">
        <is>
          <t>NONE</t>
        </is>
      </c>
      <c r="Y1293" t="n">
        <v>0</v>
      </c>
      <c r="Z1293" t="inlineStr"/>
      <c r="AA1293" t="inlineStr">
        <is>
          <t>https://nvd.nist.gov/vuln/detail/CVE-2026-27572</t>
        </is>
      </c>
    </row>
    <row r="1294">
      <c r="A1294" t="inlineStr">
        <is>
          <t>CVE</t>
        </is>
      </c>
      <c r="B1294" t="inlineStr">
        <is>
          <t>CVE-2026-27593</t>
        </is>
      </c>
      <c r="C1294" t="inlineStr">
        <is>
          <t>Statmatic is a Laravel and Git powered content management system (CMS). Prior to versions 6.3.3 and 5.73.10, an attacker may leverage a vulnerability in the password reset feature to capture a user's token and reset the password on their behalf. The attacker must know the email address of a valid account on the site, and the actual user must blindly click the link in their email even though they didn't request the reset. This has been fixed in 6.3.3 and 5.73.10.</t>
        </is>
      </c>
      <c r="D1294" t="n">
        <v>9.300000000000001</v>
      </c>
      <c r="E1294" t="inlineStr">
        <is>
          <t>CRITICAL</t>
        </is>
      </c>
      <c r="F1294" t="n">
        <v>2</v>
      </c>
      <c r="G1294" t="n">
        <v>3</v>
      </c>
      <c r="H1294" t="inlineStr">
        <is>
          <t>HIGH</t>
        </is>
      </c>
      <c r="I1294" t="n">
        <v>15.3</v>
      </c>
      <c r="J1294" t="inlineStr">
        <is>
          <t>NO</t>
        </is>
      </c>
      <c r="K1294" t="inlineStr">
        <is>
          <t>2026-02-26 00:15</t>
        </is>
      </c>
      <c r="L1294" t="inlineStr">
        <is>
          <t>YES</t>
        </is>
      </c>
      <c r="M1294" t="inlineStr">
        <is>
          <t>statamic statamic *</t>
        </is>
      </c>
      <c r="N1294" t="inlineStr">
        <is>
          <t>P3</t>
        </is>
      </c>
      <c r="O1294" t="inlineStr">
        <is>
          <t>CVE - IP enrichment n/a</t>
        </is>
      </c>
      <c r="P1294" t="n">
        <v>0</v>
      </c>
      <c r="Q1294" t="n">
        <v>0</v>
      </c>
      <c r="R1294" t="inlineStr">
        <is>
          <t>T1190:Exploit Public-Facing Application</t>
        </is>
      </c>
      <c r="S1294" t="n">
        <v>1</v>
      </c>
      <c r="T1294" t="inlineStr">
        <is>
          <t>LOW (40%)</t>
        </is>
      </c>
      <c r="U1294" t="inlineStr">
        <is>
          <t>UNLIKELY</t>
        </is>
      </c>
      <c r="V1294" t="inlineStr">
        <is>
          <t>PATCH_AVAILABLE</t>
        </is>
      </c>
      <c r="W1294" t="inlineStr">
        <is>
          <t>https://nvd.nist.gov/vuln/detail/CVE-2026-27593</t>
        </is>
      </c>
      <c r="X1294" t="inlineStr">
        <is>
          <t>NONE</t>
        </is>
      </c>
      <c r="Y1294" t="n">
        <v>0</v>
      </c>
      <c r="Z1294" t="inlineStr"/>
      <c r="AA1294" t="inlineStr">
        <is>
          <t>https://nvd.nist.gov/vuln/detail/CVE-2026-27593</t>
        </is>
      </c>
    </row>
    <row r="1295">
      <c r="A1295" t="inlineStr">
        <is>
          <t>CVE</t>
        </is>
      </c>
      <c r="B1295" t="inlineStr">
        <is>
          <t>CVE-2026-26351</t>
        </is>
      </c>
      <c r="C1295" t="inlineStr">
        <is>
          <t>GetSimpleCMS Community Edition (CE) version 3.3.16 contains a stored cross-site scripting (XSS) vulnerability in the Theme to Components functionality within components.php. User-supplied input provided to the "slug" field of a component is stored without proper output encoding. While other fields are sanitized using safe_slash_html(), the slug parameter is written to XML and later rendered in the administrative interface without sanitation, resulting in persistent execution of arbitrary JavaScr</t>
        </is>
      </c>
      <c r="D1295" t="n">
        <v>5</v>
      </c>
      <c r="E1295" t="inlineStr">
        <is>
          <t>MEDIUM</t>
        </is>
      </c>
      <c r="F1295" t="n">
        <v>2</v>
      </c>
      <c r="G1295" t="n">
        <v>2</v>
      </c>
      <c r="H1295" t="inlineStr">
        <is>
          <t>MEDIUM</t>
        </is>
      </c>
      <c r="I1295" t="n">
        <v>9</v>
      </c>
      <c r="J1295" t="inlineStr">
        <is>
          <t>NO</t>
        </is>
      </c>
      <c r="K1295" t="inlineStr">
        <is>
          <t>2026-02-26 00:15</t>
        </is>
      </c>
      <c r="L1295" t="inlineStr">
        <is>
          <t>CHECK_VENDOR</t>
        </is>
      </c>
      <c r="M1295" t="inlineStr">
        <is>
          <t>See CVE details</t>
        </is>
      </c>
      <c r="N1295" t="inlineStr">
        <is>
          <t>P4</t>
        </is>
      </c>
      <c r="O1295" t="inlineStr">
        <is>
          <t>CVE - IP enrichment n/a</t>
        </is>
      </c>
      <c r="P1295" t="n">
        <v>0</v>
      </c>
      <c r="Q1295" t="n">
        <v>0</v>
      </c>
      <c r="R1295" t="inlineStr">
        <is>
          <t>T1189:Drive-by Compromise</t>
        </is>
      </c>
      <c r="S1295" t="n">
        <v>1</v>
      </c>
      <c r="T1295" t="inlineStr">
        <is>
          <t>LOW (40%)</t>
        </is>
      </c>
      <c r="U1295" t="inlineStr">
        <is>
          <t>UNLIKELY</t>
        </is>
      </c>
      <c r="V1295" t="inlineStr">
        <is>
          <t>CHECK_VENDOR</t>
        </is>
      </c>
      <c r="W1295" t="inlineStr">
        <is>
          <t>https://nvd.nist.gov/vuln/detail/CVE-2026-26351</t>
        </is>
      </c>
      <c r="X1295" t="inlineStr">
        <is>
          <t>NONE</t>
        </is>
      </c>
      <c r="Y1295" t="n">
        <v>0</v>
      </c>
      <c r="Z1295" t="inlineStr"/>
      <c r="AA1295" t="inlineStr">
        <is>
          <t>https://nvd.nist.gov/vuln/detail/CVE-2026-26351</t>
        </is>
      </c>
    </row>
    <row r="1296">
      <c r="A1296" t="inlineStr">
        <is>
          <t>CVE</t>
        </is>
      </c>
      <c r="B1296" t="inlineStr">
        <is>
          <t>CVE-2026-3133</t>
        </is>
      </c>
      <c r="C1296" t="inlineStr">
        <is>
          <t>A vulnerability has been found in itsourcecode Document Management System 1.0. This issue affects some unknown processing of the file /loging.php of the component Login. The manipulation of the argument Username leads to sql injection. Remote exploitation of the attack is possible. The exploit has been disclosed to the public and may be used.</t>
        </is>
      </c>
      <c r="D1296" t="n">
        <v>7.3</v>
      </c>
      <c r="E1296" t="inlineStr">
        <is>
          <t>HIGH</t>
        </is>
      </c>
      <c r="F1296" t="n">
        <v>2</v>
      </c>
      <c r="G1296" t="n">
        <v>3</v>
      </c>
      <c r="H1296" t="inlineStr">
        <is>
          <t>HIGH</t>
        </is>
      </c>
      <c r="I1296" t="n">
        <v>13.3</v>
      </c>
      <c r="J1296" t="inlineStr">
        <is>
          <t>NO</t>
        </is>
      </c>
      <c r="K1296" t="inlineStr">
        <is>
          <t>2026-02-26 00:15</t>
        </is>
      </c>
      <c r="L1296" t="inlineStr">
        <is>
          <t>YES</t>
        </is>
      </c>
      <c r="M1296" t="inlineStr">
        <is>
          <t>admerc document_management_system 1.0</t>
        </is>
      </c>
      <c r="N1296" t="inlineStr">
        <is>
          <t>P3</t>
        </is>
      </c>
      <c r="O1296" t="inlineStr">
        <is>
          <t>CVE - IP enrichment n/a</t>
        </is>
      </c>
      <c r="P1296" t="n">
        <v>0</v>
      </c>
      <c r="Q1296" t="n">
        <v>0</v>
      </c>
      <c r="R1296" t="inlineStr">
        <is>
          <t>T1190:Exploit Public-Facing Application</t>
        </is>
      </c>
      <c r="S1296" t="n">
        <v>1</v>
      </c>
      <c r="T1296" t="inlineStr">
        <is>
          <t>LOW (40%)</t>
        </is>
      </c>
      <c r="U1296" t="inlineStr">
        <is>
          <t>UNLIKELY</t>
        </is>
      </c>
      <c r="V1296" t="inlineStr">
        <is>
          <t>PATCH_AVAILABLE</t>
        </is>
      </c>
      <c r="W1296" t="inlineStr">
        <is>
          <t>https://nvd.nist.gov/vuln/detail/CVE-2026-3133</t>
        </is>
      </c>
      <c r="X1296" t="inlineStr">
        <is>
          <t>NONE</t>
        </is>
      </c>
      <c r="Y1296" t="n">
        <v>0</v>
      </c>
      <c r="Z1296" t="inlineStr"/>
      <c r="AA1296" t="inlineStr">
        <is>
          <t>https://nvd.nist.gov/vuln/detail/CVE-2026-3133</t>
        </is>
      </c>
    </row>
    <row r="1297">
      <c r="A1297" t="inlineStr">
        <is>
          <t>CVE</t>
        </is>
      </c>
      <c r="B1297" t="inlineStr">
        <is>
          <t>CVE-2026-3134</t>
        </is>
      </c>
      <c r="C1297" t="inlineStr">
        <is>
          <t>A security flaw has been discovered in itsourcecode News Portal Project 1.0. The affected element is an unknown function of the file /newsportal/admin/edit-category.php. The manipulation of the argument Category results in sql injection. The attack may be performed from remote. The exploit has been released to the public and may be used for attacks.</t>
        </is>
      </c>
      <c r="D1297" t="n">
        <v>7.3</v>
      </c>
      <c r="E1297" t="inlineStr">
        <is>
          <t>HIGH</t>
        </is>
      </c>
      <c r="F1297" t="n">
        <v>2</v>
      </c>
      <c r="G1297" t="n">
        <v>3</v>
      </c>
      <c r="H1297" t="inlineStr">
        <is>
          <t>HIGH</t>
        </is>
      </c>
      <c r="I1297" t="n">
        <v>13.3</v>
      </c>
      <c r="J1297" t="inlineStr">
        <is>
          <t>NO</t>
        </is>
      </c>
      <c r="K1297" t="inlineStr">
        <is>
          <t>2026-02-26 00:15</t>
        </is>
      </c>
      <c r="L1297" t="inlineStr">
        <is>
          <t>YES</t>
        </is>
      </c>
      <c r="M1297" t="inlineStr">
        <is>
          <t>clive_21 news_portal_project 1.0</t>
        </is>
      </c>
      <c r="N1297" t="inlineStr">
        <is>
          <t>P3</t>
        </is>
      </c>
      <c r="O1297" t="inlineStr">
        <is>
          <t>CVE - IP enrichment n/a</t>
        </is>
      </c>
      <c r="P1297" t="n">
        <v>0</v>
      </c>
      <c r="Q1297" t="n">
        <v>0</v>
      </c>
      <c r="R1297" t="inlineStr">
        <is>
          <t>T1190:Exploit Public-Facing Application</t>
        </is>
      </c>
      <c r="S1297" t="n">
        <v>1</v>
      </c>
      <c r="T1297" t="inlineStr">
        <is>
          <t>LOW (40%)</t>
        </is>
      </c>
      <c r="U1297" t="inlineStr">
        <is>
          <t>UNLIKELY</t>
        </is>
      </c>
      <c r="V1297" t="inlineStr">
        <is>
          <t>PATCH_AVAILABLE</t>
        </is>
      </c>
      <c r="W1297" t="inlineStr">
        <is>
          <t>https://nvd.nist.gov/vuln/detail/CVE-2026-3134</t>
        </is>
      </c>
      <c r="X1297" t="inlineStr">
        <is>
          <t>NONE</t>
        </is>
      </c>
      <c r="Y1297" t="n">
        <v>0</v>
      </c>
      <c r="Z1297" t="inlineStr"/>
      <c r="AA1297" t="inlineStr">
        <is>
          <t>https://nvd.nist.gov/vuln/detail/CVE-2026-3134</t>
        </is>
      </c>
    </row>
    <row r="1298">
      <c r="A1298" t="inlineStr">
        <is>
          <t>CVE</t>
        </is>
      </c>
      <c r="B1298" t="inlineStr">
        <is>
          <t>CVE-2025-67491</t>
        </is>
      </c>
      <c r="C1298" t="inlineStr">
        <is>
          <t xml:space="preserve">OpenEMR is a free and open source electronic health records and medical practice management application. Versions 5.0.0.5 through 7.0.3.4 have a stored cross-site scripting vulnerability in the ub04 helper of the billing interface. The variable `$data` is passed in a click event handler enclosed in single quotes without proper sanitization. Thus, despite `json_encode` a malicious user can still inject a payload such as ` ac' &gt; ` to trigger the bug. This vulnerability allows low privileged users </t>
        </is>
      </c>
      <c r="D1298" t="n">
        <v>5.4</v>
      </c>
      <c r="E1298" t="inlineStr">
        <is>
          <t>MEDIUM</t>
        </is>
      </c>
      <c r="F1298" t="n">
        <v>2</v>
      </c>
      <c r="G1298" t="n">
        <v>2</v>
      </c>
      <c r="H1298" t="inlineStr">
        <is>
          <t>MEDIUM</t>
        </is>
      </c>
      <c r="I1298" t="n">
        <v>9.4</v>
      </c>
      <c r="J1298" t="inlineStr">
        <is>
          <t>NO</t>
        </is>
      </c>
      <c r="K1298" t="inlineStr">
        <is>
          <t>2026-02-26 00:15</t>
        </is>
      </c>
      <c r="L1298" t="inlineStr">
        <is>
          <t>YES</t>
        </is>
      </c>
      <c r="M1298" t="inlineStr">
        <is>
          <t>open-emr openemr *</t>
        </is>
      </c>
      <c r="N1298" t="inlineStr">
        <is>
          <t>P4</t>
        </is>
      </c>
      <c r="O1298" t="inlineStr">
        <is>
          <t>CVE - IP enrichment n/a</t>
        </is>
      </c>
      <c r="P1298" t="n">
        <v>0</v>
      </c>
      <c r="Q1298" t="n">
        <v>0</v>
      </c>
      <c r="R1298" t="inlineStr">
        <is>
          <t>T1189:Drive-by Compromise | T1190:Exploit Public-Facing Application</t>
        </is>
      </c>
      <c r="S1298" t="n">
        <v>1</v>
      </c>
      <c r="T1298" t="inlineStr">
        <is>
          <t>LOW (40%)</t>
        </is>
      </c>
      <c r="U1298" t="inlineStr">
        <is>
          <t>UNLIKELY</t>
        </is>
      </c>
      <c r="V1298" t="inlineStr">
        <is>
          <t>PATCH_AVAILABLE</t>
        </is>
      </c>
      <c r="W1298" t="inlineStr">
        <is>
          <t>https://nvd.nist.gov/vuln/detail/CVE-2025-67491</t>
        </is>
      </c>
      <c r="X1298" t="inlineStr">
        <is>
          <t>NONE</t>
        </is>
      </c>
      <c r="Y1298" t="n">
        <v>0</v>
      </c>
      <c r="Z1298" t="inlineStr"/>
      <c r="AA1298" t="inlineStr">
        <is>
          <t>https://nvd.nist.gov/vuln/detail/CVE-2025-67491</t>
        </is>
      </c>
    </row>
    <row r="1299">
      <c r="A1299" t="inlineStr">
        <is>
          <t>CVE</t>
        </is>
      </c>
      <c r="B1299" t="inlineStr">
        <is>
          <t>CVE-2026-27598</t>
        </is>
      </c>
      <c r="C1299" t="inlineStr">
        <is>
          <t>Dagu is a workflow engine with a built-in Web user interface. In versions up to and including 1.16.7, the `CreateNewDAG` API endpoint (`POST /api/v1/dags`) does not validate the DAG name before passing it to the file store. An authenticated user with DAG write permissions can write arbitrary YAML files anywhere on the filesystem (limited by the process permissions). Since dagu executes DAG files as shell commands, writing a malicious DAG to the DAGs directory of another instance or overwriting c</t>
        </is>
      </c>
      <c r="D1299" t="n">
        <v>6.5</v>
      </c>
      <c r="E1299" t="inlineStr">
        <is>
          <t>MEDIUM</t>
        </is>
      </c>
      <c r="F1299" t="n">
        <v>2</v>
      </c>
      <c r="G1299" t="n">
        <v>2</v>
      </c>
      <c r="H1299" t="inlineStr">
        <is>
          <t>MEDIUM</t>
        </is>
      </c>
      <c r="I1299" t="n">
        <v>10.5</v>
      </c>
      <c r="J1299" t="inlineStr">
        <is>
          <t>NO</t>
        </is>
      </c>
      <c r="K1299" t="inlineStr">
        <is>
          <t>2026-02-26 00:15</t>
        </is>
      </c>
      <c r="L1299" t="inlineStr">
        <is>
          <t>YES</t>
        </is>
      </c>
      <c r="M1299" t="inlineStr">
        <is>
          <t>dagu dagu *</t>
        </is>
      </c>
      <c r="N1299" t="inlineStr">
        <is>
          <t>P4</t>
        </is>
      </c>
      <c r="O1299" t="inlineStr">
        <is>
          <t>CVE - IP enrichment n/a</t>
        </is>
      </c>
      <c r="P1299" t="n">
        <v>0</v>
      </c>
      <c r="Q1299" t="n">
        <v>0</v>
      </c>
      <c r="R1299" t="inlineStr">
        <is>
          <t>T1083:File and Directory Discovery | T1190:Exploit Public-Facing Application | T1210:Exploitation of Remote Services</t>
        </is>
      </c>
      <c r="S1299" t="n">
        <v>1</v>
      </c>
      <c r="T1299" t="inlineStr">
        <is>
          <t>LOW (40%)</t>
        </is>
      </c>
      <c r="U1299" t="inlineStr">
        <is>
          <t>UNLIKELY</t>
        </is>
      </c>
      <c r="V1299" t="inlineStr">
        <is>
          <t>PATCH_AVAILABLE</t>
        </is>
      </c>
      <c r="W1299" t="inlineStr">
        <is>
          <t>https://nvd.nist.gov/vuln/detail/CVE-2026-27598</t>
        </is>
      </c>
      <c r="X1299" t="inlineStr">
        <is>
          <t>NONE</t>
        </is>
      </c>
      <c r="Y1299" t="n">
        <v>0</v>
      </c>
      <c r="Z1299" t="inlineStr"/>
      <c r="AA1299" t="inlineStr">
        <is>
          <t>https://nvd.nist.gov/vuln/detail/CVE-2026-27598</t>
        </is>
      </c>
    </row>
    <row r="1300">
      <c r="A1300" t="inlineStr">
        <is>
          <t>CVE</t>
        </is>
      </c>
      <c r="B1300" t="inlineStr">
        <is>
          <t>CVE-2026-3135</t>
        </is>
      </c>
      <c r="C1300" t="inlineStr">
        <is>
          <t>A weakness has been identified in itsourcecode News Portal Project 1.0. The impacted element is an unknown function of the file /admin/add-category.php. This manipulation of the argument Category causes sql injection. It is possible to initiate the attack remotely. The exploit has been made available to the public and could be used for attacks.</t>
        </is>
      </c>
      <c r="D1300" t="n">
        <v>7.3</v>
      </c>
      <c r="E1300" t="inlineStr">
        <is>
          <t>HIGH</t>
        </is>
      </c>
      <c r="F1300" t="n">
        <v>2</v>
      </c>
      <c r="G1300" t="n">
        <v>3</v>
      </c>
      <c r="H1300" t="inlineStr">
        <is>
          <t>HIGH</t>
        </is>
      </c>
      <c r="I1300" t="n">
        <v>13.3</v>
      </c>
      <c r="J1300" t="inlineStr">
        <is>
          <t>NO</t>
        </is>
      </c>
      <c r="K1300" t="inlineStr">
        <is>
          <t>2026-02-26 00:15</t>
        </is>
      </c>
      <c r="L1300" t="inlineStr">
        <is>
          <t>YES</t>
        </is>
      </c>
      <c r="M1300" t="inlineStr">
        <is>
          <t>clive_21 news_portal_project 1.0</t>
        </is>
      </c>
      <c r="N1300" t="inlineStr">
        <is>
          <t>P3</t>
        </is>
      </c>
      <c r="O1300" t="inlineStr">
        <is>
          <t>CVE - IP enrichment n/a</t>
        </is>
      </c>
      <c r="P1300" t="n">
        <v>0</v>
      </c>
      <c r="Q1300" t="n">
        <v>0</v>
      </c>
      <c r="R1300" t="inlineStr">
        <is>
          <t>T1190:Exploit Public-Facing Application</t>
        </is>
      </c>
      <c r="S1300" t="n">
        <v>1</v>
      </c>
      <c r="T1300" t="inlineStr">
        <is>
          <t>LOW (40%)</t>
        </is>
      </c>
      <c r="U1300" t="inlineStr">
        <is>
          <t>UNLIKELY</t>
        </is>
      </c>
      <c r="V1300" t="inlineStr">
        <is>
          <t>PATCH_AVAILABLE</t>
        </is>
      </c>
      <c r="W1300" t="inlineStr">
        <is>
          <t>https://nvd.nist.gov/vuln/detail/CVE-2026-3135</t>
        </is>
      </c>
      <c r="X1300" t="inlineStr">
        <is>
          <t>NONE</t>
        </is>
      </c>
      <c r="Y1300" t="n">
        <v>0</v>
      </c>
      <c r="Z1300" t="inlineStr"/>
      <c r="AA1300" t="inlineStr">
        <is>
          <t>https://nvd.nist.gov/vuln/detail/CVE-2026-3135</t>
        </is>
      </c>
    </row>
    <row r="1301">
      <c r="A1301" t="inlineStr">
        <is>
          <t>CVE</t>
        </is>
      </c>
      <c r="B1301" t="inlineStr">
        <is>
          <t>CVE-2026-3137</t>
        </is>
      </c>
      <c r="C1301" t="inlineStr">
        <is>
          <t>A security vulnerability has been detected in CodeAstro Food Ordering System 1.0. This affects an unknown function of the file food_ordering.exe. Such manipulation leads to stack-based buffer overflow. The attack can only be performed from a local environment. The exploit has been disclosed publicly and may be used.</t>
        </is>
      </c>
      <c r="D1301" t="n">
        <v>5.3</v>
      </c>
      <c r="E1301" t="inlineStr">
        <is>
          <t>MEDIUM</t>
        </is>
      </c>
      <c r="F1301" t="n">
        <v>2</v>
      </c>
      <c r="G1301" t="n">
        <v>2</v>
      </c>
      <c r="H1301" t="inlineStr">
        <is>
          <t>MEDIUM</t>
        </is>
      </c>
      <c r="I1301" t="n">
        <v>9.300000000000001</v>
      </c>
      <c r="J1301" t="inlineStr">
        <is>
          <t>NO</t>
        </is>
      </c>
      <c r="K1301" t="inlineStr">
        <is>
          <t>2026-02-26 00:15</t>
        </is>
      </c>
      <c r="L1301" t="inlineStr">
        <is>
          <t>CHECK_VENDOR</t>
        </is>
      </c>
      <c r="M1301" t="inlineStr">
        <is>
          <t>codeastro food_ordering_system 1.0</t>
        </is>
      </c>
      <c r="N1301" t="inlineStr">
        <is>
          <t>P4</t>
        </is>
      </c>
      <c r="O1301" t="inlineStr">
        <is>
          <t>CVE - IP enrichment n/a</t>
        </is>
      </c>
      <c r="P1301" t="n">
        <v>0</v>
      </c>
      <c r="Q1301" t="n">
        <v>0</v>
      </c>
      <c r="R1301" t="inlineStr">
        <is>
          <t>T1203:Exploitation for Client Execution</t>
        </is>
      </c>
      <c r="S1301" t="n">
        <v>1</v>
      </c>
      <c r="T1301" t="inlineStr">
        <is>
          <t>LOW (40%)</t>
        </is>
      </c>
      <c r="U1301" t="inlineStr">
        <is>
          <t>UNLIKELY</t>
        </is>
      </c>
      <c r="V1301" t="inlineStr">
        <is>
          <t>CHECK_VENDOR</t>
        </is>
      </c>
      <c r="W1301" t="inlineStr">
        <is>
          <t>https://nvd.nist.gov/vuln/detail/CVE-2026-3137</t>
        </is>
      </c>
      <c r="X1301" t="inlineStr">
        <is>
          <t>NONE</t>
        </is>
      </c>
      <c r="Y1301" t="n">
        <v>0</v>
      </c>
      <c r="Z1301" t="inlineStr"/>
      <c r="AA1301" t="inlineStr">
        <is>
          <t>https://nvd.nist.gov/vuln/detail/CVE-2026-3137</t>
        </is>
      </c>
    </row>
    <row r="1302">
      <c r="A1302" t="inlineStr">
        <is>
          <t>CVE</t>
        </is>
      </c>
      <c r="B1302" t="inlineStr">
        <is>
          <t>CVE-2025-67752</t>
        </is>
      </c>
      <c r="C1302" t="inlineStr">
        <is>
          <t>OpenEMR is a free and open source electronic health records and medical practice management application. Prior to version 7.0.4, OpenEMR's HTTP client wrapper (`oeHttp`/`oeHttpRequest`) disables SSL/TLS certificate verification by default (`verify: false`), making all external HTTPS connections vulnerable to man-in-the-middle (MITM) attacks. This affects communication with government healthcare APIs and user-configurable external services, potentially exposing Protected Health Information (PHI).</t>
        </is>
      </c>
      <c r="D1302" t="n">
        <v>8.1</v>
      </c>
      <c r="E1302" t="inlineStr">
        <is>
          <t>HIGH</t>
        </is>
      </c>
      <c r="F1302" t="n">
        <v>2</v>
      </c>
      <c r="G1302" t="n">
        <v>3</v>
      </c>
      <c r="H1302" t="inlineStr">
        <is>
          <t>HIGH</t>
        </is>
      </c>
      <c r="I1302" t="n">
        <v>14.1</v>
      </c>
      <c r="J1302" t="inlineStr">
        <is>
          <t>NO</t>
        </is>
      </c>
      <c r="K1302" t="inlineStr">
        <is>
          <t>2026-02-26 00:15</t>
        </is>
      </c>
      <c r="L1302" t="inlineStr">
        <is>
          <t>YES</t>
        </is>
      </c>
      <c r="M1302" t="inlineStr">
        <is>
          <t>open-emr openemr *</t>
        </is>
      </c>
      <c r="N1302" t="inlineStr">
        <is>
          <t>P3</t>
        </is>
      </c>
      <c r="O1302" t="inlineStr">
        <is>
          <t>CVE - IP enrichment n/a</t>
        </is>
      </c>
      <c r="P1302" t="n">
        <v>0</v>
      </c>
      <c r="Q1302" t="n">
        <v>0</v>
      </c>
      <c r="R1302" t="inlineStr">
        <is>
          <t>T1190:Exploit Public-Facing Application | T1557:Adversary-in-the-Middle</t>
        </is>
      </c>
      <c r="S1302" t="n">
        <v>1</v>
      </c>
      <c r="T1302" t="inlineStr">
        <is>
          <t>LOW (40%)</t>
        </is>
      </c>
      <c r="U1302" t="inlineStr">
        <is>
          <t>UNLIKELY</t>
        </is>
      </c>
      <c r="V1302" t="inlineStr">
        <is>
          <t>PATCH_AVAILABLE</t>
        </is>
      </c>
      <c r="W1302" t="inlineStr">
        <is>
          <t>https://nvd.nist.gov/vuln/detail/CVE-2025-67752</t>
        </is>
      </c>
      <c r="X1302" t="inlineStr">
        <is>
          <t>NONE</t>
        </is>
      </c>
      <c r="Y1302" t="n">
        <v>0</v>
      </c>
      <c r="Z1302" t="inlineStr"/>
      <c r="AA1302" t="inlineStr">
        <is>
          <t>https://nvd.nist.gov/vuln/detail/CVE-2025-67752</t>
        </is>
      </c>
    </row>
    <row r="1303">
      <c r="A1303" t="inlineStr">
        <is>
          <t>CVE</t>
        </is>
      </c>
      <c r="B1303" t="inlineStr">
        <is>
          <t>CVE-2025-68277</t>
        </is>
      </c>
      <c r="C1303" t="inlineStr">
        <is>
          <t>OpenEMR is a free and open source electronic health records and medical practice management application. Prior to version 7.0.4, when a link is sent via Secure Messaging, clicking the link opens the website within the OpenEMR/Portal site. This behavior could be exploited for phishing. Version 7.0.4 patches the issue.</t>
        </is>
      </c>
      <c r="D1303" t="n">
        <v>5</v>
      </c>
      <c r="E1303" t="inlineStr">
        <is>
          <t>MEDIUM</t>
        </is>
      </c>
      <c r="F1303" t="n">
        <v>2</v>
      </c>
      <c r="G1303" t="n">
        <v>2</v>
      </c>
      <c r="H1303" t="inlineStr">
        <is>
          <t>MEDIUM</t>
        </is>
      </c>
      <c r="I1303" t="n">
        <v>9</v>
      </c>
      <c r="J1303" t="inlineStr">
        <is>
          <t>NO</t>
        </is>
      </c>
      <c r="K1303" t="inlineStr">
        <is>
          <t>2026-02-26 00:15</t>
        </is>
      </c>
      <c r="L1303" t="inlineStr">
        <is>
          <t>YES</t>
        </is>
      </c>
      <c r="M1303" t="inlineStr">
        <is>
          <t>open-emr openemr *</t>
        </is>
      </c>
      <c r="N1303" t="inlineStr">
        <is>
          <t>P4</t>
        </is>
      </c>
      <c r="O1303" t="inlineStr">
        <is>
          <t>CVE - IP enrichment n/a</t>
        </is>
      </c>
      <c r="P1303" t="n">
        <v>0</v>
      </c>
      <c r="Q1303" t="n">
        <v>0</v>
      </c>
      <c r="R1303" t="inlineStr">
        <is>
          <t>T1190:Exploit Public-Facing Application | T1566:Phishing</t>
        </is>
      </c>
      <c r="S1303" t="n">
        <v>1</v>
      </c>
      <c r="T1303" t="inlineStr">
        <is>
          <t>LOW (40%)</t>
        </is>
      </c>
      <c r="U1303" t="inlineStr">
        <is>
          <t>UNLIKELY</t>
        </is>
      </c>
      <c r="V1303" t="inlineStr">
        <is>
          <t>PATCH_AVAILABLE</t>
        </is>
      </c>
      <c r="W1303" t="inlineStr">
        <is>
          <t>https://nvd.nist.gov/vuln/detail/CVE-2025-68277</t>
        </is>
      </c>
      <c r="X1303" t="inlineStr">
        <is>
          <t>NONE</t>
        </is>
      </c>
      <c r="Y1303" t="n">
        <v>0</v>
      </c>
      <c r="Z1303" t="inlineStr"/>
      <c r="AA1303" t="inlineStr">
        <is>
          <t>https://nvd.nist.gov/vuln/detail/CVE-2025-68277</t>
        </is>
      </c>
    </row>
    <row r="1304">
      <c r="A1304" t="inlineStr">
        <is>
          <t>CVE</t>
        </is>
      </c>
      <c r="B1304" t="inlineStr">
        <is>
          <t>CVE-2025-69231</t>
        </is>
      </c>
      <c r="C1304" t="inlineStr">
        <is>
          <t>OpenEMR is a free and open source electronic health records and medical practice management application. Prior to version 8.0.0, a stored cross-site scripting vulnerability in the GAD-7 anxiety assessment form allows authenticated users with clinician privileges to inject malicious JavaScript that executes when other users view the form. This enables session hijacking, account takeover, and privilege escalation from clinician to administrator. Version 8.0.0 fixes the issue.</t>
        </is>
      </c>
      <c r="D1304" t="n">
        <v>8.699999999999999</v>
      </c>
      <c r="E1304" t="inlineStr">
        <is>
          <t>HIGH</t>
        </is>
      </c>
      <c r="F1304" t="n">
        <v>2</v>
      </c>
      <c r="G1304" t="n">
        <v>3</v>
      </c>
      <c r="H1304" t="inlineStr">
        <is>
          <t>HIGH</t>
        </is>
      </c>
      <c r="I1304" t="n">
        <v>14.7</v>
      </c>
      <c r="J1304" t="inlineStr">
        <is>
          <t>NO</t>
        </is>
      </c>
      <c r="K1304" t="inlineStr">
        <is>
          <t>2026-02-26 00:15</t>
        </is>
      </c>
      <c r="L1304" t="inlineStr">
        <is>
          <t>YES</t>
        </is>
      </c>
      <c r="M1304" t="inlineStr">
        <is>
          <t>open-emr openemr *</t>
        </is>
      </c>
      <c r="N1304" t="inlineStr">
        <is>
          <t>P3</t>
        </is>
      </c>
      <c r="O1304" t="inlineStr">
        <is>
          <t>CVE - IP enrichment n/a</t>
        </is>
      </c>
      <c r="P1304" t="n">
        <v>0</v>
      </c>
      <c r="Q1304" t="n">
        <v>0</v>
      </c>
      <c r="R1304" t="inlineStr">
        <is>
          <t>T1189:Drive-by Compromise | T1190:Exploit Public-Facing Application | T1068:Exploitation for Privilege Escalation</t>
        </is>
      </c>
      <c r="S1304" t="n">
        <v>1</v>
      </c>
      <c r="T1304" t="inlineStr">
        <is>
          <t>LOW (40%)</t>
        </is>
      </c>
      <c r="U1304" t="inlineStr">
        <is>
          <t>UNLIKELY</t>
        </is>
      </c>
      <c r="V1304" t="inlineStr">
        <is>
          <t>PATCH_AVAILABLE</t>
        </is>
      </c>
      <c r="W1304" t="inlineStr">
        <is>
          <t>https://nvd.nist.gov/vuln/detail/CVE-2025-69231</t>
        </is>
      </c>
      <c r="X1304" t="inlineStr">
        <is>
          <t>NONE</t>
        </is>
      </c>
      <c r="Y1304" t="n">
        <v>0</v>
      </c>
      <c r="Z1304" t="inlineStr"/>
      <c r="AA1304" t="inlineStr">
        <is>
          <t>https://nvd.nist.gov/vuln/detail/CVE-2025-69231</t>
        </is>
      </c>
    </row>
    <row r="1305">
      <c r="A1305" t="inlineStr">
        <is>
          <t>CVE</t>
        </is>
      </c>
      <c r="B1305" t="inlineStr">
        <is>
          <t>CVE-2026-21443</t>
        </is>
      </c>
      <c r="C1305" t="inlineStr">
        <is>
          <t>OpenEMR is a free and open source electronic health records and medical practice management application. Prior to version 8.0.0, the `xl()` translation function returns unescaped strings. While wrapper functions exist for escaping in different contexts (`xlt()` for HTML, `xla()` for attributes, `xlj()` for JavaScript), there are places in the codebase where `xl()` output is used directly without escaping. If an attacker could insert malicious content into the translation database, these unescape</t>
        </is>
      </c>
      <c r="D1305" t="n">
        <v>8.5</v>
      </c>
      <c r="E1305" t="inlineStr">
        <is>
          <t>HIGH</t>
        </is>
      </c>
      <c r="F1305" t="n">
        <v>2</v>
      </c>
      <c r="G1305" t="n">
        <v>3</v>
      </c>
      <c r="H1305" t="inlineStr">
        <is>
          <t>HIGH</t>
        </is>
      </c>
      <c r="I1305" t="n">
        <v>14.5</v>
      </c>
      <c r="J1305" t="inlineStr">
        <is>
          <t>NO</t>
        </is>
      </c>
      <c r="K1305" t="inlineStr">
        <is>
          <t>2026-02-26 00:15</t>
        </is>
      </c>
      <c r="L1305" t="inlineStr">
        <is>
          <t>CHECK_VENDOR</t>
        </is>
      </c>
      <c r="M1305" t="inlineStr">
        <is>
          <t>See CVE details</t>
        </is>
      </c>
      <c r="N1305" t="inlineStr">
        <is>
          <t>P3</t>
        </is>
      </c>
      <c r="O1305" t="inlineStr">
        <is>
          <t>CVE - IP enrichment n/a</t>
        </is>
      </c>
      <c r="P1305" t="n">
        <v>0.0004</v>
      </c>
      <c r="Q1305" t="n">
        <v>0.1262</v>
      </c>
      <c r="R1305" t="inlineStr">
        <is>
          <t>T1190:Exploit Public-Facing Application | T1189:Drive-by Compromise</t>
        </is>
      </c>
      <c r="S1305" t="n">
        <v>1</v>
      </c>
      <c r="T1305" t="inlineStr">
        <is>
          <t>LOW (40%)</t>
        </is>
      </c>
      <c r="U1305" t="inlineStr">
        <is>
          <t>UNLIKELY</t>
        </is>
      </c>
      <c r="V1305" t="inlineStr">
        <is>
          <t>CHECK_VENDOR</t>
        </is>
      </c>
      <c r="W1305" t="inlineStr">
        <is>
          <t>https://nvd.nist.gov/vuln/detail/CVE-2026-21443</t>
        </is>
      </c>
      <c r="X1305" t="inlineStr">
        <is>
          <t>NONE</t>
        </is>
      </c>
      <c r="Y1305" t="n">
        <v>0</v>
      </c>
      <c r="Z1305" t="inlineStr"/>
      <c r="AA1305" t="inlineStr">
        <is>
          <t>https://nvd.nist.gov/vuln/detail/CVE-2026-21443</t>
        </is>
      </c>
    </row>
    <row r="1306">
      <c r="A1306" t="inlineStr">
        <is>
          <t>CVE</t>
        </is>
      </c>
      <c r="B1306" t="inlineStr">
        <is>
          <t>CVE-2026-24847</t>
        </is>
      </c>
      <c r="C1306" t="inlineStr">
        <is>
          <t>OpenEMR is a free and open source electronic health records and medical practice management application. Prior to version 8.0.0, the Eye Exam form module allows any authenticated user to be redirected to an arbitrary external URL. This can be exploited for phishing attacks against healthcare providers using OpenEMR. Version 8.0.0 fixes the issue.</t>
        </is>
      </c>
      <c r="D1306" t="n">
        <v>6.1</v>
      </c>
      <c r="E1306" t="inlineStr">
        <is>
          <t>MEDIUM</t>
        </is>
      </c>
      <c r="F1306" t="n">
        <v>2</v>
      </c>
      <c r="G1306" t="n">
        <v>2</v>
      </c>
      <c r="H1306" t="inlineStr">
        <is>
          <t>MEDIUM</t>
        </is>
      </c>
      <c r="I1306" t="n">
        <v>10.1</v>
      </c>
      <c r="J1306" t="inlineStr">
        <is>
          <t>NO</t>
        </is>
      </c>
      <c r="K1306" t="inlineStr">
        <is>
          <t>2026-02-26 00:15</t>
        </is>
      </c>
      <c r="L1306" t="inlineStr">
        <is>
          <t>CHECK_VENDOR</t>
        </is>
      </c>
      <c r="M1306" t="inlineStr">
        <is>
          <t>See CVE details</t>
        </is>
      </c>
      <c r="N1306" t="inlineStr">
        <is>
          <t>P4</t>
        </is>
      </c>
      <c r="O1306" t="inlineStr">
        <is>
          <t>CVE - IP enrichment n/a</t>
        </is>
      </c>
      <c r="P1306" t="n">
        <v>0.0003</v>
      </c>
      <c r="Q1306" t="n">
        <v>0.0723</v>
      </c>
      <c r="R1306" t="inlineStr">
        <is>
          <t>T1189:Drive-by Compromise | T1190:Exploit Public-Facing Application | T1566:Phishing</t>
        </is>
      </c>
      <c r="S1306" t="n">
        <v>1</v>
      </c>
      <c r="T1306" t="inlineStr">
        <is>
          <t>LOW (40%)</t>
        </is>
      </c>
      <c r="U1306" t="inlineStr">
        <is>
          <t>UNLIKELY</t>
        </is>
      </c>
      <c r="V1306" t="inlineStr">
        <is>
          <t>CHECK_VENDOR</t>
        </is>
      </c>
      <c r="W1306" t="inlineStr">
        <is>
          <t>https://nvd.nist.gov/vuln/detail/CVE-2026-24847</t>
        </is>
      </c>
      <c r="X1306" t="inlineStr">
        <is>
          <t>NONE</t>
        </is>
      </c>
      <c r="Y1306" t="n">
        <v>0</v>
      </c>
      <c r="Z1306" t="inlineStr"/>
      <c r="AA1306" t="inlineStr">
        <is>
          <t>https://nvd.nist.gov/vuln/detail/CVE-2026-24847</t>
        </is>
      </c>
    </row>
    <row r="1307">
      <c r="A1307" t="inlineStr">
        <is>
          <t>CVE</t>
        </is>
      </c>
      <c r="B1307" t="inlineStr">
        <is>
          <t>CVE-2026-24849</t>
        </is>
      </c>
      <c r="C1307" t="inlineStr">
        <is>
          <t>OpenEMR is a free and open source electronic health records and medical practice management application. Prior to version 7.0.4, the `disposeDocument()` method in `EtherFaxActions.php` allows authenticated users to read arbitrary files from the server filesystem. Any authenticated user (regardless of privilege level) can exploit this vulnerability to read sensitive files. Version 7.0.4 patches the issue.</t>
        </is>
      </c>
      <c r="D1307" t="n">
        <v>9.9</v>
      </c>
      <c r="E1307" t="inlineStr">
        <is>
          <t>CRITICAL</t>
        </is>
      </c>
      <c r="F1307" t="n">
        <v>2</v>
      </c>
      <c r="G1307" t="n">
        <v>3</v>
      </c>
      <c r="H1307" t="inlineStr">
        <is>
          <t>HIGH</t>
        </is>
      </c>
      <c r="I1307" t="n">
        <v>15.9</v>
      </c>
      <c r="J1307" t="inlineStr">
        <is>
          <t>NO</t>
        </is>
      </c>
      <c r="K1307" t="inlineStr">
        <is>
          <t>2026-02-26 00:15</t>
        </is>
      </c>
      <c r="L1307" t="inlineStr">
        <is>
          <t>YES</t>
        </is>
      </c>
      <c r="M1307" t="inlineStr">
        <is>
          <t>open-emr openemr *</t>
        </is>
      </c>
      <c r="N1307" t="inlineStr">
        <is>
          <t>P3</t>
        </is>
      </c>
      <c r="O1307" t="inlineStr">
        <is>
          <t>CVE - IP enrichment n/a</t>
        </is>
      </c>
      <c r="P1307" t="n">
        <v>0</v>
      </c>
      <c r="Q1307" t="n">
        <v>0</v>
      </c>
      <c r="R1307" t="inlineStr">
        <is>
          <t>T1083:File and Directory Discovery | T1190:Exploit Public-Facing Application</t>
        </is>
      </c>
      <c r="S1307" t="n">
        <v>1</v>
      </c>
      <c r="T1307" t="inlineStr">
        <is>
          <t>LOW (40%)</t>
        </is>
      </c>
      <c r="U1307" t="inlineStr">
        <is>
          <t>UNLIKELY</t>
        </is>
      </c>
      <c r="V1307" t="inlineStr">
        <is>
          <t>PATCH_AVAILABLE</t>
        </is>
      </c>
      <c r="W1307" t="inlineStr">
        <is>
          <t>https://nvd.nist.gov/vuln/detail/CVE-2026-24849</t>
        </is>
      </c>
      <c r="X1307" t="inlineStr">
        <is>
          <t>NONE</t>
        </is>
      </c>
      <c r="Y1307" t="n">
        <v>0</v>
      </c>
      <c r="Z1307" t="inlineStr"/>
      <c r="AA1307" t="inlineStr">
        <is>
          <t>https://nvd.nist.gov/vuln/detail/CVE-2026-24849</t>
        </is>
      </c>
    </row>
    <row r="1308">
      <c r="A1308" t="inlineStr">
        <is>
          <t>CVE</t>
        </is>
      </c>
      <c r="B1308" t="inlineStr">
        <is>
          <t>CVE-2026-24896</t>
        </is>
      </c>
      <c r="C1308" t="inlineStr">
        <is>
          <t xml:space="preserve">OpenEMR is a free and open source electronic health records and medical practice management application. Prior to version 8.0.0, a Broken Access Control vulnerability exists in OpenEMR’s edih_main.php endpoint, which allows any authenticated user—including low-privilege roles like Receptionist—to access EDI log files by manipulating the log_select parameter in a GET request. The back-end fails to enforce role-based access control (RBAC), allowing sensitive system logs to be accessed outside the </t>
        </is>
      </c>
      <c r="D1308" t="n">
        <v>6.5</v>
      </c>
      <c r="E1308" t="inlineStr">
        <is>
          <t>MEDIUM</t>
        </is>
      </c>
      <c r="F1308" t="n">
        <v>2</v>
      </c>
      <c r="G1308" t="n">
        <v>2</v>
      </c>
      <c r="H1308" t="inlineStr">
        <is>
          <t>MEDIUM</t>
        </is>
      </c>
      <c r="I1308" t="n">
        <v>10.5</v>
      </c>
      <c r="J1308" t="inlineStr">
        <is>
          <t>NO</t>
        </is>
      </c>
      <c r="K1308" t="inlineStr">
        <is>
          <t>2026-02-26 00:15</t>
        </is>
      </c>
      <c r="L1308" t="inlineStr">
        <is>
          <t>YES</t>
        </is>
      </c>
      <c r="M1308" t="inlineStr">
        <is>
          <t>open-emr openemr *</t>
        </is>
      </c>
      <c r="N1308" t="inlineStr">
        <is>
          <t>P4</t>
        </is>
      </c>
      <c r="O1308" t="inlineStr">
        <is>
          <t>CVE - IP enrichment n/a</t>
        </is>
      </c>
      <c r="P1308" t="n">
        <v>0</v>
      </c>
      <c r="Q1308" t="n">
        <v>0</v>
      </c>
      <c r="R1308" t="inlineStr">
        <is>
          <t>T1190:Exploit Public-Facing Application</t>
        </is>
      </c>
      <c r="S1308" t="n">
        <v>1</v>
      </c>
      <c r="T1308" t="inlineStr">
        <is>
          <t>LOW (40%)</t>
        </is>
      </c>
      <c r="U1308" t="inlineStr">
        <is>
          <t>UNLIKELY</t>
        </is>
      </c>
      <c r="V1308" t="inlineStr">
        <is>
          <t>PATCH_AVAILABLE</t>
        </is>
      </c>
      <c r="W1308" t="inlineStr">
        <is>
          <t>https://nvd.nist.gov/vuln/detail/CVE-2026-24896</t>
        </is>
      </c>
      <c r="X1308" t="inlineStr">
        <is>
          <t>NONE</t>
        </is>
      </c>
      <c r="Y1308" t="n">
        <v>0</v>
      </c>
      <c r="Z1308" t="inlineStr"/>
      <c r="AA1308" t="inlineStr">
        <is>
          <t>https://nvd.nist.gov/vuln/detail/CVE-2026-24896</t>
        </is>
      </c>
    </row>
    <row r="1309">
      <c r="A1309" t="inlineStr">
        <is>
          <t>CVE</t>
        </is>
      </c>
      <c r="B1309" t="inlineStr">
        <is>
          <t>CVE-2026-25124</t>
        </is>
      </c>
      <c r="C1309" t="inlineStr">
        <is>
          <t>OpenEMR is a free and open source electronic health records and medical practice management application. Prior to version 8.0.0, the OpenEMR application is vulnerable to an access control flaw that allows low-privileged users, such as receptionists, to export the entire message list containing sensitive patient and user data. The vulnerability lies in the message_list.php report export functionality, where there is no permission check before executing sensitive database queries. The only control</t>
        </is>
      </c>
      <c r="D1309" t="n">
        <v>6.5</v>
      </c>
      <c r="E1309" t="inlineStr">
        <is>
          <t>MEDIUM</t>
        </is>
      </c>
      <c r="F1309" t="n">
        <v>2</v>
      </c>
      <c r="G1309" t="n">
        <v>2</v>
      </c>
      <c r="H1309" t="inlineStr">
        <is>
          <t>MEDIUM</t>
        </is>
      </c>
      <c r="I1309" t="n">
        <v>10.5</v>
      </c>
      <c r="J1309" t="inlineStr">
        <is>
          <t>NO</t>
        </is>
      </c>
      <c r="K1309" t="inlineStr">
        <is>
          <t>2026-02-26 00:15</t>
        </is>
      </c>
      <c r="L1309" t="inlineStr">
        <is>
          <t>YES</t>
        </is>
      </c>
      <c r="M1309" t="inlineStr">
        <is>
          <t>open-emr openemr *</t>
        </is>
      </c>
      <c r="N1309" t="inlineStr">
        <is>
          <t>P4</t>
        </is>
      </c>
      <c r="O1309" t="inlineStr">
        <is>
          <t>CVE - IP enrichment n/a</t>
        </is>
      </c>
      <c r="P1309" t="n">
        <v>0</v>
      </c>
      <c r="Q1309" t="n">
        <v>0</v>
      </c>
      <c r="R1309" t="inlineStr">
        <is>
          <t>T1190:Exploit Public-Facing Application</t>
        </is>
      </c>
      <c r="S1309" t="n">
        <v>1</v>
      </c>
      <c r="T1309" t="inlineStr">
        <is>
          <t>LOW (40%)</t>
        </is>
      </c>
      <c r="U1309" t="inlineStr">
        <is>
          <t>UNLIKELY</t>
        </is>
      </c>
      <c r="V1309" t="inlineStr">
        <is>
          <t>PATCH_AVAILABLE</t>
        </is>
      </c>
      <c r="W1309" t="inlineStr">
        <is>
          <t>https://nvd.nist.gov/vuln/detail/CVE-2026-25124</t>
        </is>
      </c>
      <c r="X1309" t="inlineStr">
        <is>
          <t>NONE</t>
        </is>
      </c>
      <c r="Y1309" t="n">
        <v>0</v>
      </c>
      <c r="Z1309" t="inlineStr"/>
      <c r="AA1309" t="inlineStr">
        <is>
          <t>https://nvd.nist.gov/vuln/detail/CVE-2026-25124</t>
        </is>
      </c>
    </row>
    <row r="1310">
      <c r="A1310" t="inlineStr">
        <is>
          <t>CVE</t>
        </is>
      </c>
      <c r="B1310" t="inlineStr">
        <is>
          <t>CVE-2026-25127</t>
        </is>
      </c>
      <c r="C1310" t="inlineStr">
        <is>
          <t>OpenEMR is a free and open source electronic health records and medical practice management application. Prior to version 8.0.0, the server does not properly validate user permission. Unauthorized users can view the information of authorized users. Version 8.0.0 fixes the issue.</t>
        </is>
      </c>
      <c r="D1310" t="n">
        <v>6.5</v>
      </c>
      <c r="E1310" t="inlineStr">
        <is>
          <t>MEDIUM</t>
        </is>
      </c>
      <c r="F1310" t="n">
        <v>2</v>
      </c>
      <c r="G1310" t="n">
        <v>2</v>
      </c>
      <c r="H1310" t="inlineStr">
        <is>
          <t>MEDIUM</t>
        </is>
      </c>
      <c r="I1310" t="n">
        <v>10.5</v>
      </c>
      <c r="J1310" t="inlineStr">
        <is>
          <t>NO</t>
        </is>
      </c>
      <c r="K1310" t="inlineStr">
        <is>
          <t>2026-02-26 00:15</t>
        </is>
      </c>
      <c r="L1310" t="inlineStr">
        <is>
          <t>YES</t>
        </is>
      </c>
      <c r="M1310" t="inlineStr">
        <is>
          <t>open-emr openemr *</t>
        </is>
      </c>
      <c r="N1310" t="inlineStr">
        <is>
          <t>P4</t>
        </is>
      </c>
      <c r="O1310" t="inlineStr">
        <is>
          <t>CVE - IP enrichment n/a</t>
        </is>
      </c>
      <c r="P1310" t="n">
        <v>0</v>
      </c>
      <c r="Q1310" t="n">
        <v>0</v>
      </c>
      <c r="R1310" t="inlineStr">
        <is>
          <t>T1190:Exploit Public-Facing Application</t>
        </is>
      </c>
      <c r="S1310" t="n">
        <v>1</v>
      </c>
      <c r="T1310" t="inlineStr">
        <is>
          <t>LOW (40%)</t>
        </is>
      </c>
      <c r="U1310" t="inlineStr">
        <is>
          <t>UNLIKELY</t>
        </is>
      </c>
      <c r="V1310" t="inlineStr">
        <is>
          <t>PATCH_AVAILABLE</t>
        </is>
      </c>
      <c r="W1310" t="inlineStr">
        <is>
          <t>https://nvd.nist.gov/vuln/detail/CVE-2026-25127</t>
        </is>
      </c>
      <c r="X1310" t="inlineStr">
        <is>
          <t>NONE</t>
        </is>
      </c>
      <c r="Y1310" t="n">
        <v>0</v>
      </c>
      <c r="Z1310" t="inlineStr"/>
      <c r="AA1310" t="inlineStr">
        <is>
          <t>https://nvd.nist.gov/vuln/detail/CVE-2026-25127</t>
        </is>
      </c>
    </row>
    <row r="1311">
      <c r="A1311" t="inlineStr">
        <is>
          <t>CVE</t>
        </is>
      </c>
      <c r="B1311" t="inlineStr">
        <is>
          <t>CVE-2026-25131</t>
        </is>
      </c>
      <c r="C1311" t="inlineStr">
        <is>
          <t>OpenEMR is a free and open source electronic health records and medical practice management application. Prior to version 8.0.0, a Broken Access Control vulnerability exists in the OpenEMR order types management system, allowing low-privilege users (such as Receptionist) to add and modify procedure types without proper authorization. This vulnerability is present in the /openemr/interface/orders/types_edit.php endpoint. Version 8.0.0 contains a patch.</t>
        </is>
      </c>
      <c r="D1311" t="n">
        <v>8.800000000000001</v>
      </c>
      <c r="E1311" t="inlineStr">
        <is>
          <t>HIGH</t>
        </is>
      </c>
      <c r="F1311" t="n">
        <v>2</v>
      </c>
      <c r="G1311" t="n">
        <v>3</v>
      </c>
      <c r="H1311" t="inlineStr">
        <is>
          <t>HIGH</t>
        </is>
      </c>
      <c r="I1311" t="n">
        <v>14.8</v>
      </c>
      <c r="J1311" t="inlineStr">
        <is>
          <t>NO</t>
        </is>
      </c>
      <c r="K1311" t="inlineStr">
        <is>
          <t>2026-02-26 00:15</t>
        </is>
      </c>
      <c r="L1311" t="inlineStr">
        <is>
          <t>YES</t>
        </is>
      </c>
      <c r="M1311" t="inlineStr">
        <is>
          <t>open-emr openemr *</t>
        </is>
      </c>
      <c r="N1311" t="inlineStr">
        <is>
          <t>P3</t>
        </is>
      </c>
      <c r="O1311" t="inlineStr">
        <is>
          <t>CVE - IP enrichment n/a</t>
        </is>
      </c>
      <c r="P1311" t="n">
        <v>0.0004</v>
      </c>
      <c r="Q1311" t="n">
        <v>0.1162</v>
      </c>
      <c r="R1311" t="inlineStr">
        <is>
          <t>T1190:Exploit Public-Facing Application</t>
        </is>
      </c>
      <c r="S1311" t="n">
        <v>1</v>
      </c>
      <c r="T1311" t="inlineStr">
        <is>
          <t>LOW (40%)</t>
        </is>
      </c>
      <c r="U1311" t="inlineStr">
        <is>
          <t>UNLIKELY</t>
        </is>
      </c>
      <c r="V1311" t="inlineStr">
        <is>
          <t>PATCH_AVAILABLE</t>
        </is>
      </c>
      <c r="W1311" t="inlineStr">
        <is>
          <t>https://nvd.nist.gov/vuln/detail/CVE-2026-25131</t>
        </is>
      </c>
      <c r="X1311" t="inlineStr">
        <is>
          <t>NONE</t>
        </is>
      </c>
      <c r="Y1311" t="n">
        <v>0</v>
      </c>
      <c r="Z1311" t="inlineStr"/>
      <c r="AA1311" t="inlineStr">
        <is>
          <t>https://nvd.nist.gov/vuln/detail/CVE-2026-25131</t>
        </is>
      </c>
    </row>
    <row r="1312">
      <c r="A1312" t="inlineStr">
        <is>
          <t>CVE</t>
        </is>
      </c>
      <c r="B1312" t="inlineStr">
        <is>
          <t>CVE-2026-2914</t>
        </is>
      </c>
      <c r="C1312" t="inlineStr">
        <is>
          <t>CyberArk Endpoint Privilege Manager Agent versions 25.10.0 and lower allow potential unauthorized privilege elevation leveraging CyberArk elevation dialogs</t>
        </is>
      </c>
      <c r="D1312" t="n">
        <v>5</v>
      </c>
      <c r="E1312" t="inlineStr">
        <is>
          <t>MEDIUM</t>
        </is>
      </c>
      <c r="F1312" t="n">
        <v>2</v>
      </c>
      <c r="G1312" t="n">
        <v>2</v>
      </c>
      <c r="H1312" t="inlineStr">
        <is>
          <t>MEDIUM</t>
        </is>
      </c>
      <c r="I1312" t="n">
        <v>9</v>
      </c>
      <c r="J1312" t="inlineStr">
        <is>
          <t>NO</t>
        </is>
      </c>
      <c r="K1312" t="inlineStr">
        <is>
          <t>2026-02-26 00:15</t>
        </is>
      </c>
      <c r="L1312" t="inlineStr">
        <is>
          <t>CHECK_VENDOR</t>
        </is>
      </c>
      <c r="M1312" t="inlineStr">
        <is>
          <t>See CVE details</t>
        </is>
      </c>
      <c r="N1312" t="inlineStr">
        <is>
          <t>P4</t>
        </is>
      </c>
      <c r="O1312" t="inlineStr">
        <is>
          <t>CVE - IP enrichment n/a</t>
        </is>
      </c>
      <c r="P1312" t="n">
        <v>0</v>
      </c>
      <c r="Q1312" t="n">
        <v>0</v>
      </c>
      <c r="R1312" t="inlineStr">
        <is>
          <t>T1190:Exploit Public-Facing Application</t>
        </is>
      </c>
      <c r="S1312" t="n">
        <v>1</v>
      </c>
      <c r="T1312" t="inlineStr">
        <is>
          <t>LOW (40%)</t>
        </is>
      </c>
      <c r="U1312" t="inlineStr">
        <is>
          <t>UNLIKELY</t>
        </is>
      </c>
      <c r="V1312" t="inlineStr">
        <is>
          <t>CHECK_VENDOR</t>
        </is>
      </c>
      <c r="W1312" t="inlineStr">
        <is>
          <t>https://nvd.nist.gov/vuln/detail/CVE-2026-2914</t>
        </is>
      </c>
      <c r="X1312" t="inlineStr">
        <is>
          <t>NONE</t>
        </is>
      </c>
      <c r="Y1312" t="n">
        <v>0</v>
      </c>
      <c r="Z1312" t="inlineStr"/>
      <c r="AA1312" t="inlineStr">
        <is>
          <t>https://nvd.nist.gov/vuln/detail/CVE-2026-2914</t>
        </is>
      </c>
    </row>
    <row r="1313">
      <c r="A1313" t="inlineStr">
        <is>
          <t>CVE</t>
        </is>
      </c>
      <c r="B1313" t="inlineStr">
        <is>
          <t>CVE-2025-5781</t>
        </is>
      </c>
      <c r="C1313" t="inlineStr">
        <is>
          <t>Information Exposure Vulnerability in Hitachi Ops Center API Configuration Manager, Hitachi Configuration Manager, Hitachi Device Manager allows Session Hijacking.This issue affects Hitachi Ops Center API Configuration Manager: from 10.0.0-00 before 11.0.5-00; Hitachi Configuration Manager: from 8.5.1-00 before 11.0.5-00; Hitachi Device Manager: from 8.4.1-00 before 8.6.5-00.</t>
        </is>
      </c>
      <c r="D1313" t="n">
        <v>5.2</v>
      </c>
      <c r="E1313" t="inlineStr">
        <is>
          <t>MEDIUM</t>
        </is>
      </c>
      <c r="F1313" t="n">
        <v>2</v>
      </c>
      <c r="G1313" t="n">
        <v>2</v>
      </c>
      <c r="H1313" t="inlineStr">
        <is>
          <t>MEDIUM</t>
        </is>
      </c>
      <c r="I1313" t="n">
        <v>9.199999999999999</v>
      </c>
      <c r="J1313" t="inlineStr">
        <is>
          <t>NO</t>
        </is>
      </c>
      <c r="K1313" t="inlineStr">
        <is>
          <t>2026-02-26 00:15</t>
        </is>
      </c>
      <c r="L1313" t="inlineStr">
        <is>
          <t>CHECK_VENDOR</t>
        </is>
      </c>
      <c r="M1313" t="inlineStr">
        <is>
          <t>See CVE details</t>
        </is>
      </c>
      <c r="N1313" t="inlineStr">
        <is>
          <t>P4</t>
        </is>
      </c>
      <c r="O1313" t="inlineStr">
        <is>
          <t>CVE - IP enrichment n/a</t>
        </is>
      </c>
      <c r="P1313" t="n">
        <v>0</v>
      </c>
      <c r="Q1313" t="n">
        <v>0</v>
      </c>
      <c r="R1313" t="inlineStr">
        <is>
          <t>T1190:Exploit Public-Facing Application</t>
        </is>
      </c>
      <c r="S1313" t="n">
        <v>1</v>
      </c>
      <c r="T1313" t="inlineStr">
        <is>
          <t>LOW (40%)</t>
        </is>
      </c>
      <c r="U1313" t="inlineStr">
        <is>
          <t>UNLIKELY</t>
        </is>
      </c>
      <c r="V1313" t="inlineStr">
        <is>
          <t>CHECK_VENDOR</t>
        </is>
      </c>
      <c r="W1313" t="inlineStr">
        <is>
          <t>https://nvd.nist.gov/vuln/detail/CVE-2025-5781</t>
        </is>
      </c>
      <c r="X1313" t="inlineStr">
        <is>
          <t>NONE</t>
        </is>
      </c>
      <c r="Y1313" t="n">
        <v>0</v>
      </c>
      <c r="Z1313" t="inlineStr"/>
      <c r="AA1313" t="inlineStr">
        <is>
          <t>https://nvd.nist.gov/vuln/detail/CVE-2025-5781</t>
        </is>
      </c>
    </row>
    <row r="1314">
      <c r="A1314" t="inlineStr">
        <is>
          <t>CVE</t>
        </is>
      </c>
      <c r="B1314" t="inlineStr">
        <is>
          <t>CVE-2026-25135</t>
        </is>
      </c>
      <c r="C1314" t="inlineStr">
        <is>
          <t>OpenEMR is a free and open source electronic health records and medical practice management application. Versions prior to 8.0.0 have an information disclosure vulnerability that leaks the entire contact information for all users, organizations, and patients in the system to anyone who has the system/(Group,Patient,*).$export operation and system/Location.read capabilities.  This vulnerability will impact OpenEMR versions since 2023. This disclosure will only occur in extremely high trust enviro</t>
        </is>
      </c>
      <c r="D1314" t="n">
        <v>4.5</v>
      </c>
      <c r="E1314" t="inlineStr">
        <is>
          <t>MEDIUM</t>
        </is>
      </c>
      <c r="F1314" t="n">
        <v>2</v>
      </c>
      <c r="G1314" t="n">
        <v>2</v>
      </c>
      <c r="H1314" t="inlineStr">
        <is>
          <t>MEDIUM</t>
        </is>
      </c>
      <c r="I1314" t="n">
        <v>8.5</v>
      </c>
      <c r="J1314" t="inlineStr">
        <is>
          <t>NO</t>
        </is>
      </c>
      <c r="K1314" t="inlineStr">
        <is>
          <t>2026-02-26 00:15</t>
        </is>
      </c>
      <c r="L1314" t="inlineStr">
        <is>
          <t>YES</t>
        </is>
      </c>
      <c r="M1314" t="inlineStr">
        <is>
          <t>open-emr openemr *</t>
        </is>
      </c>
      <c r="N1314" t="inlineStr">
        <is>
          <t>P4</t>
        </is>
      </c>
      <c r="O1314" t="inlineStr">
        <is>
          <t>CVE - IP enrichment n/a</t>
        </is>
      </c>
      <c r="P1314" t="n">
        <v>0</v>
      </c>
      <c r="Q1314" t="n">
        <v>0</v>
      </c>
      <c r="R1314" t="inlineStr">
        <is>
          <t>T1213:Data from Information Repositories | T1190:Exploit Public-Facing Application</t>
        </is>
      </c>
      <c r="S1314" t="n">
        <v>1</v>
      </c>
      <c r="T1314" t="inlineStr">
        <is>
          <t>LOW (40%)</t>
        </is>
      </c>
      <c r="U1314" t="inlineStr">
        <is>
          <t>UNLIKELY</t>
        </is>
      </c>
      <c r="V1314" t="inlineStr">
        <is>
          <t>PATCH_AVAILABLE</t>
        </is>
      </c>
      <c r="W1314" t="inlineStr">
        <is>
          <t>https://nvd.nist.gov/vuln/detail/CVE-2026-25135</t>
        </is>
      </c>
      <c r="X1314" t="inlineStr">
        <is>
          <t>NONE</t>
        </is>
      </c>
      <c r="Y1314" t="n">
        <v>0</v>
      </c>
      <c r="Z1314" t="inlineStr"/>
      <c r="AA1314" t="inlineStr">
        <is>
          <t>https://nvd.nist.gov/vuln/detail/CVE-2026-25135</t>
        </is>
      </c>
    </row>
    <row r="1315">
      <c r="A1315" t="inlineStr">
        <is>
          <t>CVE</t>
        </is>
      </c>
      <c r="B1315" t="inlineStr">
        <is>
          <t>CVE-2026-27595</t>
        </is>
      </c>
      <c r="C1315" t="inlineStr">
        <is>
          <t>Parse Dashboard is a standalone dashboard for managing Parse Server apps. In versions 7.3.0-alpha.42 through 9.0.0-alpha.7, the AI Agent API endpoint (POST `/apps/:appId/agent`) has multiple security vulnerabilities that, when chained, allow unauthenticated remote attackers to perform arbitrary read and write operations against any connected Parse Server database using the master key. The agent feature is opt-in; dashboards without an agent config are not affected. The fix in version 9.0.0-alpha</t>
        </is>
      </c>
      <c r="D1315" t="n">
        <v>8.5</v>
      </c>
      <c r="E1315" t="inlineStr">
        <is>
          <t>HIGH</t>
        </is>
      </c>
      <c r="F1315" t="n">
        <v>2</v>
      </c>
      <c r="G1315" t="n">
        <v>3</v>
      </c>
      <c r="H1315" t="inlineStr">
        <is>
          <t>HIGH</t>
        </is>
      </c>
      <c r="I1315" t="n">
        <v>14.5</v>
      </c>
      <c r="J1315" t="inlineStr">
        <is>
          <t>NO</t>
        </is>
      </c>
      <c r="K1315" t="inlineStr">
        <is>
          <t>2026-02-26 00:15</t>
        </is>
      </c>
      <c r="L1315" t="inlineStr">
        <is>
          <t>CHECK_VENDOR</t>
        </is>
      </c>
      <c r="M1315" t="inlineStr">
        <is>
          <t>See CVE details</t>
        </is>
      </c>
      <c r="N1315" t="inlineStr">
        <is>
          <t>P3</t>
        </is>
      </c>
      <c r="O1315" t="inlineStr">
        <is>
          <t>CVE - IP enrichment n/a</t>
        </is>
      </c>
      <c r="P1315" t="n">
        <v>0.0008</v>
      </c>
      <c r="Q1315" t="n">
        <v>0.2459</v>
      </c>
      <c r="R1315" t="inlineStr">
        <is>
          <t>T1078:Valid Accounts</t>
        </is>
      </c>
      <c r="S1315" t="n">
        <v>1</v>
      </c>
      <c r="T1315" t="inlineStr">
        <is>
          <t>LOW (40%)</t>
        </is>
      </c>
      <c r="U1315" t="inlineStr">
        <is>
          <t>UNLIKELY</t>
        </is>
      </c>
      <c r="V1315" t="inlineStr">
        <is>
          <t>CHECK_VENDOR</t>
        </is>
      </c>
      <c r="W1315" t="inlineStr">
        <is>
          <t>https://nvd.nist.gov/vuln/detail/CVE-2026-27595</t>
        </is>
      </c>
      <c r="X1315" t="inlineStr">
        <is>
          <t>NONE</t>
        </is>
      </c>
      <c r="Y1315" t="n">
        <v>0</v>
      </c>
      <c r="Z1315" t="inlineStr"/>
      <c r="AA1315" t="inlineStr">
        <is>
          <t>https://nvd.nist.gov/vuln/detail/CVE-2026-27595</t>
        </is>
      </c>
    </row>
    <row r="1316">
      <c r="A1316" t="inlineStr">
        <is>
          <t>CVE</t>
        </is>
      </c>
      <c r="B1316" t="inlineStr">
        <is>
          <t>CVE-2026-27606</t>
        </is>
      </c>
      <c r="C1316" t="inlineStr">
        <is>
          <t>Rollup is a module bundler for JavaScript. Versions prior to 2.80.0, 3.30.0, and 4.59.0 of the Rollup module bundler (specifically v4.x and present in current source) is vulnerable to an Arbitrary File Write via Path Traversal. Insecure file name sanitization in the core engine allows an attacker to control output filenames (e.g., via CLI named inputs, manual chunk aliases, or malicious plugins) and use traversal sequences (`../`) to overwrite files anywhere on the host filesystem that the build</t>
        </is>
      </c>
      <c r="D1316" t="n">
        <v>9.800000000000001</v>
      </c>
      <c r="E1316" t="inlineStr">
        <is>
          <t>CRITICAL</t>
        </is>
      </c>
      <c r="F1316" t="n">
        <v>2</v>
      </c>
      <c r="G1316" t="n">
        <v>3</v>
      </c>
      <c r="H1316" t="inlineStr">
        <is>
          <t>HIGH</t>
        </is>
      </c>
      <c r="I1316" t="n">
        <v>15.8</v>
      </c>
      <c r="J1316" t="inlineStr">
        <is>
          <t>NO</t>
        </is>
      </c>
      <c r="K1316" t="inlineStr">
        <is>
          <t>2026-02-26 00:15</t>
        </is>
      </c>
      <c r="L1316" t="inlineStr">
        <is>
          <t>YES</t>
        </is>
      </c>
      <c r="M1316" t="inlineStr">
        <is>
          <t>rollupjs rollup *</t>
        </is>
      </c>
      <c r="N1316" t="inlineStr">
        <is>
          <t>P3</t>
        </is>
      </c>
      <c r="O1316" t="inlineStr">
        <is>
          <t>CVE - IP enrichment n/a</t>
        </is>
      </c>
      <c r="P1316" t="n">
        <v>0</v>
      </c>
      <c r="Q1316" t="n">
        <v>0</v>
      </c>
      <c r="R1316" t="inlineStr">
        <is>
          <t>T1083:File and Directory Discovery | T1190:Exploit Public-Facing Application | T1210:Exploitation of Remote Services</t>
        </is>
      </c>
      <c r="S1316" t="n">
        <v>1</v>
      </c>
      <c r="T1316" t="inlineStr">
        <is>
          <t>LOW (40%)</t>
        </is>
      </c>
      <c r="U1316" t="inlineStr">
        <is>
          <t>UNLIKELY</t>
        </is>
      </c>
      <c r="V1316" t="inlineStr">
        <is>
          <t>PATCH_AVAILABLE</t>
        </is>
      </c>
      <c r="W1316" t="inlineStr">
        <is>
          <t>https://nvd.nist.gov/vuln/detail/CVE-2026-27606</t>
        </is>
      </c>
      <c r="X1316" t="inlineStr">
        <is>
          <t>NONE</t>
        </is>
      </c>
      <c r="Y1316" t="n">
        <v>0</v>
      </c>
      <c r="Z1316" t="inlineStr"/>
      <c r="AA1316" t="inlineStr">
        <is>
          <t>https://nvd.nist.gov/vuln/detail/CVE-2026-27606</t>
        </is>
      </c>
    </row>
    <row r="1317">
      <c r="A1317" t="inlineStr">
        <is>
          <t>CVE</t>
        </is>
      </c>
      <c r="B1317" t="inlineStr">
        <is>
          <t>CVE-2026-27607</t>
        </is>
      </c>
      <c r="C1317" t="inlineStr">
        <is>
          <t>RustFS is a distributed object storage system built in Rust. In versions 1.0.0-alpha.56 through 1.0.0-alpha.82, RustFS does not validate policy conditions in presigned POST uploads (PostObject), allowing attackers to bypass content-length-range, starts-with, and Content-Type constraints. This enables unauthorized file uploads exceeding size limits, uploads to arbitrary object keys, and content-type spoofing, potentially leading to storage exhaustion, unauthorized data access, and security bypass</t>
        </is>
      </c>
      <c r="D1317" t="n">
        <v>8.1</v>
      </c>
      <c r="E1317" t="inlineStr">
        <is>
          <t>HIGH</t>
        </is>
      </c>
      <c r="F1317" t="n">
        <v>2</v>
      </c>
      <c r="G1317" t="n">
        <v>3</v>
      </c>
      <c r="H1317" t="inlineStr">
        <is>
          <t>HIGH</t>
        </is>
      </c>
      <c r="I1317" t="n">
        <v>14.1</v>
      </c>
      <c r="J1317" t="inlineStr">
        <is>
          <t>NO</t>
        </is>
      </c>
      <c r="K1317" t="inlineStr">
        <is>
          <t>2026-02-26 00:15</t>
        </is>
      </c>
      <c r="L1317" t="inlineStr">
        <is>
          <t>YES</t>
        </is>
      </c>
      <c r="M1317" t="inlineStr">
        <is>
          <t>rustfs rustfs 1.0.0</t>
        </is>
      </c>
      <c r="N1317" t="inlineStr">
        <is>
          <t>P3</t>
        </is>
      </c>
      <c r="O1317" t="inlineStr">
        <is>
          <t>CVE - IP enrichment n/a</t>
        </is>
      </c>
      <c r="P1317" t="n">
        <v>0</v>
      </c>
      <c r="Q1317" t="n">
        <v>0</v>
      </c>
      <c r="R1317" t="inlineStr">
        <is>
          <t>T1190:Exploit Public-Facing Application</t>
        </is>
      </c>
      <c r="S1317" t="n">
        <v>1</v>
      </c>
      <c r="T1317" t="inlineStr">
        <is>
          <t>LOW (40%)</t>
        </is>
      </c>
      <c r="U1317" t="inlineStr">
        <is>
          <t>UNLIKELY</t>
        </is>
      </c>
      <c r="V1317" t="inlineStr">
        <is>
          <t>PATCH_AVAILABLE</t>
        </is>
      </c>
      <c r="W1317" t="inlineStr">
        <is>
          <t>https://nvd.nist.gov/vuln/detail/CVE-2026-27607</t>
        </is>
      </c>
      <c r="X1317" t="inlineStr">
        <is>
          <t>NONE</t>
        </is>
      </c>
      <c r="Y1317" t="n">
        <v>0</v>
      </c>
      <c r="Z1317" t="inlineStr"/>
      <c r="AA1317" t="inlineStr">
        <is>
          <t>https://nvd.nist.gov/vuln/detail/CVE-2026-27607</t>
        </is>
      </c>
    </row>
    <row r="1318">
      <c r="A1318" t="inlineStr">
        <is>
          <t>CVE</t>
        </is>
      </c>
      <c r="B1318" t="inlineStr">
        <is>
          <t>CVE-2026-27608</t>
        </is>
      </c>
      <c r="C1318" t="inlineStr">
        <is>
          <t>Parse Dashboard is a standalone dashboard for managing Parse Server apps. In versions 7.3.0-alpha.42 through 9.0.0-alpha.7, the AI Agent API endpoint (`POST /apps/:appId/agent`) does not enforce authorization. Authenticated users scoped to specific apps can access any other app's agent endpoint by changing the app ID in the URL. Read-only users are given the full master key instead of the read-only master key and can supply write permissions in the request body to perform write and delete operat</t>
        </is>
      </c>
      <c r="D1318" t="n">
        <v>8.5</v>
      </c>
      <c r="E1318" t="inlineStr">
        <is>
          <t>HIGH</t>
        </is>
      </c>
      <c r="F1318" t="n">
        <v>2</v>
      </c>
      <c r="G1318" t="n">
        <v>3</v>
      </c>
      <c r="H1318" t="inlineStr">
        <is>
          <t>HIGH</t>
        </is>
      </c>
      <c r="I1318" t="n">
        <v>14.5</v>
      </c>
      <c r="J1318" t="inlineStr">
        <is>
          <t>NO</t>
        </is>
      </c>
      <c r="K1318" t="inlineStr">
        <is>
          <t>2026-02-26 00:15</t>
        </is>
      </c>
      <c r="L1318" t="inlineStr">
        <is>
          <t>CHECK_VENDOR</t>
        </is>
      </c>
      <c r="M1318" t="inlineStr">
        <is>
          <t>See CVE details</t>
        </is>
      </c>
      <c r="N1318" t="inlineStr">
        <is>
          <t>P3</t>
        </is>
      </c>
      <c r="O1318" t="inlineStr">
        <is>
          <t>CVE - IP enrichment n/a</t>
        </is>
      </c>
      <c r="P1318" t="n">
        <v>0</v>
      </c>
      <c r="Q1318" t="n">
        <v>0</v>
      </c>
      <c r="R1318" t="inlineStr">
        <is>
          <t>T1190:Exploit Public-Facing Application</t>
        </is>
      </c>
      <c r="S1318" t="n">
        <v>1</v>
      </c>
      <c r="T1318" t="inlineStr">
        <is>
          <t>LOW (40%)</t>
        </is>
      </c>
      <c r="U1318" t="inlineStr">
        <is>
          <t>UNLIKELY</t>
        </is>
      </c>
      <c r="V1318" t="inlineStr">
        <is>
          <t>CHECK_VENDOR</t>
        </is>
      </c>
      <c r="W1318" t="inlineStr">
        <is>
          <t>https://nvd.nist.gov/vuln/detail/CVE-2026-27608</t>
        </is>
      </c>
      <c r="X1318" t="inlineStr">
        <is>
          <t>NONE</t>
        </is>
      </c>
      <c r="Y1318" t="n">
        <v>0</v>
      </c>
      <c r="Z1318" t="inlineStr"/>
      <c r="AA1318" t="inlineStr">
        <is>
          <t>https://nvd.nist.gov/vuln/detail/CVE-2026-27608</t>
        </is>
      </c>
    </row>
    <row r="1319">
      <c r="A1319" t="inlineStr">
        <is>
          <t>CVE</t>
        </is>
      </c>
      <c r="B1319" t="inlineStr">
        <is>
          <t>CVE-2026-27609</t>
        </is>
      </c>
      <c r="C1319" t="inlineStr">
        <is>
          <t>Parse Dashboard is a standalone dashboard for managing Parse Server apps. In versions 7.3.0-alpha.42 through 9.0.0-alpha.7, the AI Agent API endpoint (`POST /apps/:appId/agent`) lacks CSRF protection. An attacker can craft a malicious page that, when visited by an authenticated dashboard user, submits requests to the agent endpoint using the victim's session. The fix in version 9.0.0-alpha.8 adds CSRF middleware to the agent endpoint and embeds a CSRF token in the dashboard page. As a workaround</t>
        </is>
      </c>
      <c r="D1319" t="n">
        <v>5</v>
      </c>
      <c r="E1319" t="inlineStr">
        <is>
          <t>MEDIUM</t>
        </is>
      </c>
      <c r="F1319" t="n">
        <v>2</v>
      </c>
      <c r="G1319" t="n">
        <v>2</v>
      </c>
      <c r="H1319" t="inlineStr">
        <is>
          <t>MEDIUM</t>
        </is>
      </c>
      <c r="I1319" t="n">
        <v>9</v>
      </c>
      <c r="J1319" t="inlineStr">
        <is>
          <t>NO</t>
        </is>
      </c>
      <c r="K1319" t="inlineStr">
        <is>
          <t>2026-02-26 00:15</t>
        </is>
      </c>
      <c r="L1319" t="inlineStr">
        <is>
          <t>CHECK_VENDOR</t>
        </is>
      </c>
      <c r="M1319" t="inlineStr">
        <is>
          <t>See CVE details</t>
        </is>
      </c>
      <c r="N1319" t="inlineStr">
        <is>
          <t>P4</t>
        </is>
      </c>
      <c r="O1319" t="inlineStr">
        <is>
          <t>CVE - IP enrichment n/a</t>
        </is>
      </c>
      <c r="P1319" t="n">
        <v>0</v>
      </c>
      <c r="Q1319" t="n">
        <v>0</v>
      </c>
      <c r="R1319" t="inlineStr">
        <is>
          <t>T1185:Browser Session Hijacking</t>
        </is>
      </c>
      <c r="S1319" t="n">
        <v>1</v>
      </c>
      <c r="T1319" t="inlineStr">
        <is>
          <t>LOW (40%)</t>
        </is>
      </c>
      <c r="U1319" t="inlineStr">
        <is>
          <t>UNLIKELY</t>
        </is>
      </c>
      <c r="V1319" t="inlineStr">
        <is>
          <t>CHECK_VENDOR</t>
        </is>
      </c>
      <c r="W1319" t="inlineStr">
        <is>
          <t>https://nvd.nist.gov/vuln/detail/CVE-2026-27609</t>
        </is>
      </c>
      <c r="X1319" t="inlineStr">
        <is>
          <t>NONE</t>
        </is>
      </c>
      <c r="Y1319" t="n">
        <v>0</v>
      </c>
      <c r="Z1319" t="inlineStr"/>
      <c r="AA1319" t="inlineStr">
        <is>
          <t>https://nvd.nist.gov/vuln/detail/CVE-2026-27609</t>
        </is>
      </c>
    </row>
    <row r="1320">
      <c r="A1320" t="inlineStr">
        <is>
          <t>CVE</t>
        </is>
      </c>
      <c r="B1320" t="inlineStr">
        <is>
          <t>CVE-2026-27610</t>
        </is>
      </c>
      <c r="C1320" t="inlineStr">
        <is>
          <t>Parse Dashboard is a standalone dashboard for managing Parse Server apps. In versions 7.3.0-alpha.42 through 9.0.0-alpha.7, the `ConfigKeyCache` uses the same cache key for both master key and read-only master key when resolving function-typed keys. Under specific timing conditions, a read-only user can receive the cached full master key, or a regular user can receive the cached read-only master key. The fix in version 9.0.0-alpha.8 uses distinct cache keys for master key and read-only master ke</t>
        </is>
      </c>
      <c r="D1320" t="n">
        <v>5</v>
      </c>
      <c r="E1320" t="inlineStr">
        <is>
          <t>MEDIUM</t>
        </is>
      </c>
      <c r="F1320" t="n">
        <v>2</v>
      </c>
      <c r="G1320" t="n">
        <v>2</v>
      </c>
      <c r="H1320" t="inlineStr">
        <is>
          <t>MEDIUM</t>
        </is>
      </c>
      <c r="I1320" t="n">
        <v>9</v>
      </c>
      <c r="J1320" t="inlineStr">
        <is>
          <t>NO</t>
        </is>
      </c>
      <c r="K1320" t="inlineStr">
        <is>
          <t>2026-02-26 00:15</t>
        </is>
      </c>
      <c r="L1320" t="inlineStr">
        <is>
          <t>CHECK_VENDOR</t>
        </is>
      </c>
      <c r="M1320" t="inlineStr">
        <is>
          <t>See CVE details</t>
        </is>
      </c>
      <c r="N1320" t="inlineStr">
        <is>
          <t>P4</t>
        </is>
      </c>
      <c r="O1320" t="inlineStr">
        <is>
          <t>CVE - IP enrichment n/a</t>
        </is>
      </c>
      <c r="P1320" t="n">
        <v>0.0008</v>
      </c>
      <c r="Q1320" t="n">
        <v>0.2344</v>
      </c>
      <c r="R1320" t="inlineStr">
        <is>
          <t>T1190:Exploit Public-Facing Application</t>
        </is>
      </c>
      <c r="S1320" t="n">
        <v>1</v>
      </c>
      <c r="T1320" t="inlineStr">
        <is>
          <t>LOW (40%)</t>
        </is>
      </c>
      <c r="U1320" t="inlineStr">
        <is>
          <t>UNLIKELY</t>
        </is>
      </c>
      <c r="V1320" t="inlineStr">
        <is>
          <t>CHECK_VENDOR</t>
        </is>
      </c>
      <c r="W1320" t="inlineStr">
        <is>
          <t>https://nvd.nist.gov/vuln/detail/CVE-2026-27610</t>
        </is>
      </c>
      <c r="X1320" t="inlineStr">
        <is>
          <t>NONE</t>
        </is>
      </c>
      <c r="Y1320" t="n">
        <v>0</v>
      </c>
      <c r="Z1320" t="inlineStr"/>
      <c r="AA1320" t="inlineStr">
        <is>
          <t>https://nvd.nist.gov/vuln/detail/CVE-2026-27610</t>
        </is>
      </c>
    </row>
    <row r="1321">
      <c r="A1321" t="inlineStr">
        <is>
          <t>CVE</t>
        </is>
      </c>
      <c r="B1321" t="inlineStr">
        <is>
          <t>CVE-2026-27611</t>
        </is>
      </c>
      <c r="C1321" t="inlineStr">
        <is>
          <t>FileBrowser Quantum is a free, self-hosted, web-based file manager. Prior to versions 1.1.3-stable and 1.2.6-beta, when users share password-protected files, the recipient can completely bypass the password and still download the file. This happens because the API returns a direct download link in the details of the share, which is accessible to anyone with JUST THE SHARE LINK, even without the password. Versions 1.1.3-stable and 1.2.6-beta fix the issue.</t>
        </is>
      </c>
      <c r="D1321" t="n">
        <v>5</v>
      </c>
      <c r="E1321" t="inlineStr">
        <is>
          <t>MEDIUM</t>
        </is>
      </c>
      <c r="F1321" t="n">
        <v>2</v>
      </c>
      <c r="G1321" t="n">
        <v>2</v>
      </c>
      <c r="H1321" t="inlineStr">
        <is>
          <t>MEDIUM</t>
        </is>
      </c>
      <c r="I1321" t="n">
        <v>9</v>
      </c>
      <c r="J1321" t="inlineStr">
        <is>
          <t>NO</t>
        </is>
      </c>
      <c r="K1321" t="inlineStr">
        <is>
          <t>2026-02-26 00:15</t>
        </is>
      </c>
      <c r="L1321" t="inlineStr">
        <is>
          <t>CHECK_VENDOR</t>
        </is>
      </c>
      <c r="M1321" t="inlineStr">
        <is>
          <t>See CVE details</t>
        </is>
      </c>
      <c r="N1321" t="inlineStr">
        <is>
          <t>P4</t>
        </is>
      </c>
      <c r="O1321" t="inlineStr">
        <is>
          <t>CVE - IP enrichment n/a</t>
        </is>
      </c>
      <c r="P1321" t="n">
        <v>0</v>
      </c>
      <c r="Q1321" t="n">
        <v>0</v>
      </c>
      <c r="R1321" t="inlineStr">
        <is>
          <t>T1213:Data from Information Repositories</t>
        </is>
      </c>
      <c r="S1321" t="n">
        <v>1</v>
      </c>
      <c r="T1321" t="inlineStr">
        <is>
          <t>LOW (40%)</t>
        </is>
      </c>
      <c r="U1321" t="inlineStr">
        <is>
          <t>UNLIKELY</t>
        </is>
      </c>
      <c r="V1321" t="inlineStr">
        <is>
          <t>CHECK_VENDOR</t>
        </is>
      </c>
      <c r="W1321" t="inlineStr">
        <is>
          <t>https://nvd.nist.gov/vuln/detail/CVE-2026-27611</t>
        </is>
      </c>
      <c r="X1321" t="inlineStr">
        <is>
          <t>NONE</t>
        </is>
      </c>
      <c r="Y1321" t="n">
        <v>0</v>
      </c>
      <c r="Z1321" t="inlineStr"/>
      <c r="AA1321" t="inlineStr">
        <is>
          <t>https://nvd.nist.gov/vuln/detail/CVE-2026-27611</t>
        </is>
      </c>
    </row>
    <row r="1322">
      <c r="A1322" t="inlineStr">
        <is>
          <t>CVE</t>
        </is>
      </c>
      <c r="B1322" t="inlineStr">
        <is>
          <t>CVE-2026-27612</t>
        </is>
      </c>
      <c r="C1322" t="inlineStr">
        <is>
          <t>Repostat is a React component to fetch and display GitHub repository info. Prior to version 1.0.1, the `RepoCard` component is vulnerable to Reflected Cross-Site Scripting (XSS). The vulnerability occurs because the component uses React's `dangerouslySetInnerHTML` to render the repository name (`repo` prop) during the loading state without any sanitization. If a developer using this package passes unvalidated user input directly into the `repo` prop (for example, reading it from a URL query para</t>
        </is>
      </c>
      <c r="D1322" t="n">
        <v>6.1</v>
      </c>
      <c r="E1322" t="inlineStr">
        <is>
          <t>MEDIUM</t>
        </is>
      </c>
      <c r="F1322" t="n">
        <v>2</v>
      </c>
      <c r="G1322" t="n">
        <v>2</v>
      </c>
      <c r="H1322" t="inlineStr">
        <is>
          <t>MEDIUM</t>
        </is>
      </c>
      <c r="I1322" t="n">
        <v>10.1</v>
      </c>
      <c r="J1322" t="inlineStr">
        <is>
          <t>NO</t>
        </is>
      </c>
      <c r="K1322" t="inlineStr">
        <is>
          <t>2026-02-26 00:15</t>
        </is>
      </c>
      <c r="L1322" t="inlineStr">
        <is>
          <t>CHECK_VENDOR</t>
        </is>
      </c>
      <c r="M1322" t="inlineStr">
        <is>
          <t>See CVE details</t>
        </is>
      </c>
      <c r="N1322" t="inlineStr">
        <is>
          <t>P4</t>
        </is>
      </c>
      <c r="O1322" t="inlineStr">
        <is>
          <t>CVE - IP enrichment n/a</t>
        </is>
      </c>
      <c r="P1322" t="n">
        <v>0</v>
      </c>
      <c r="Q1322" t="n">
        <v>0</v>
      </c>
      <c r="R1322" t="inlineStr">
        <is>
          <t>T1189:Drive-by Compromise</t>
        </is>
      </c>
      <c r="S1322" t="n">
        <v>1</v>
      </c>
      <c r="T1322" t="inlineStr">
        <is>
          <t>LOW (40%)</t>
        </is>
      </c>
      <c r="U1322" t="inlineStr">
        <is>
          <t>UNLIKELY</t>
        </is>
      </c>
      <c r="V1322" t="inlineStr">
        <is>
          <t>CHECK_VENDOR</t>
        </is>
      </c>
      <c r="W1322" t="inlineStr">
        <is>
          <t>https://nvd.nist.gov/vuln/detail/CVE-2026-27612</t>
        </is>
      </c>
      <c r="X1322" t="inlineStr">
        <is>
          <t>NONE</t>
        </is>
      </c>
      <c r="Y1322" t="n">
        <v>0</v>
      </c>
      <c r="Z1322" t="inlineStr"/>
      <c r="AA1322" t="inlineStr">
        <is>
          <t>https://nvd.nist.gov/vuln/detail/CVE-2026-27612</t>
        </is>
      </c>
    </row>
    <row r="1323">
      <c r="A1323" t="inlineStr">
        <is>
          <t>CVE</t>
        </is>
      </c>
      <c r="B1323" t="inlineStr">
        <is>
          <t>CVE-2026-27614</t>
        </is>
      </c>
      <c r="C1323" t="inlineStr">
        <is>
          <t>Bugsink is a self-hosted error tracking tool. In versions prior to 2.0.13, an unauthenticated attacker who can submit events to a Bugsink project can store arbitrary JavaScript in an event. The payload executes only if a user explicitly views the affected Stacktrace in the web UI. When Pygments returns more lines than it was given (a known upstream quirk that triggers with Ruby heredoc-style input), `_pygmentize_lines()` in `theme/templatetags/issues.py:75-77` falls back to returning the raw inp</t>
        </is>
      </c>
      <c r="D1323" t="n">
        <v>9.300000000000001</v>
      </c>
      <c r="E1323" t="inlineStr">
        <is>
          <t>CRITICAL</t>
        </is>
      </c>
      <c r="F1323" t="n">
        <v>2</v>
      </c>
      <c r="G1323" t="n">
        <v>3</v>
      </c>
      <c r="H1323" t="inlineStr">
        <is>
          <t>HIGH</t>
        </is>
      </c>
      <c r="I1323" t="n">
        <v>15.3</v>
      </c>
      <c r="J1323" t="inlineStr">
        <is>
          <t>NO</t>
        </is>
      </c>
      <c r="K1323" t="inlineStr">
        <is>
          <t>2026-02-26 00:15</t>
        </is>
      </c>
      <c r="L1323" t="inlineStr">
        <is>
          <t>CHECK_VENDOR</t>
        </is>
      </c>
      <c r="M1323" t="inlineStr">
        <is>
          <t>See CVE details</t>
        </is>
      </c>
      <c r="N1323" t="inlineStr">
        <is>
          <t>P3</t>
        </is>
      </c>
      <c r="O1323" t="inlineStr">
        <is>
          <t>CVE - IP enrichment n/a</t>
        </is>
      </c>
      <c r="P1323" t="n">
        <v>0</v>
      </c>
      <c r="Q1323" t="n">
        <v>0</v>
      </c>
      <c r="R1323" t="inlineStr">
        <is>
          <t>T1189:Drive-by Compromise</t>
        </is>
      </c>
      <c r="S1323" t="n">
        <v>1</v>
      </c>
      <c r="T1323" t="inlineStr">
        <is>
          <t>LOW (40%)</t>
        </is>
      </c>
      <c r="U1323" t="inlineStr">
        <is>
          <t>UNLIKELY</t>
        </is>
      </c>
      <c r="V1323" t="inlineStr">
        <is>
          <t>CHECK_VENDOR</t>
        </is>
      </c>
      <c r="W1323" t="inlineStr">
        <is>
          <t>https://nvd.nist.gov/vuln/detail/CVE-2026-27614</t>
        </is>
      </c>
      <c r="X1323" t="inlineStr">
        <is>
          <t>NONE</t>
        </is>
      </c>
      <c r="Y1323" t="n">
        <v>0</v>
      </c>
      <c r="Z1323" t="inlineStr"/>
      <c r="AA1323" t="inlineStr">
        <is>
          <t>https://nvd.nist.gov/vuln/detail/CVE-2026-27614</t>
        </is>
      </c>
    </row>
    <row r="1324">
      <c r="A1324" t="inlineStr">
        <is>
          <t>CVE</t>
        </is>
      </c>
      <c r="B1324" t="inlineStr">
        <is>
          <t>CVE-2026-27615</t>
        </is>
      </c>
      <c r="C1324" t="inlineStr">
        <is>
          <t>ADB Explorer is a fluent UI for ADB on Windows. In versions prior to Beta 0.9.26022, ADB-Explorer allows the `ManualAdbPath` settings variable, which determines the path of the ADB binary to be executed, to be set to a Universal Naming Convention (UNC) path in the application's settings file. This allows an attacker to set the binary's path to point to a remote network resource, hosted on an attacker-controlled network share, thus granting the attacker full control over the binary being executed</t>
        </is>
      </c>
      <c r="D1324" t="n">
        <v>8.5</v>
      </c>
      <c r="E1324" t="inlineStr">
        <is>
          <t>HIGH</t>
        </is>
      </c>
      <c r="F1324" t="n">
        <v>2</v>
      </c>
      <c r="G1324" t="n">
        <v>3</v>
      </c>
      <c r="H1324" t="inlineStr">
        <is>
          <t>HIGH</t>
        </is>
      </c>
      <c r="I1324" t="n">
        <v>14.5</v>
      </c>
      <c r="J1324" t="inlineStr">
        <is>
          <t>NO</t>
        </is>
      </c>
      <c r="K1324" t="inlineStr">
        <is>
          <t>2026-02-26 00:15</t>
        </is>
      </c>
      <c r="L1324" t="inlineStr">
        <is>
          <t>CHECK_VENDOR</t>
        </is>
      </c>
      <c r="M1324" t="inlineStr">
        <is>
          <t>See CVE details</t>
        </is>
      </c>
      <c r="N1324" t="inlineStr">
        <is>
          <t>P3</t>
        </is>
      </c>
      <c r="O1324" t="inlineStr">
        <is>
          <t>CVE - IP enrichment n/a</t>
        </is>
      </c>
      <c r="P1324" t="n">
        <v>0</v>
      </c>
      <c r="Q1324" t="n">
        <v>0</v>
      </c>
      <c r="R1324" t="inlineStr">
        <is>
          <t>T1190:Exploit Public-Facing Application</t>
        </is>
      </c>
      <c r="S1324" t="n">
        <v>1</v>
      </c>
      <c r="T1324" t="inlineStr">
        <is>
          <t>LOW (40%)</t>
        </is>
      </c>
      <c r="U1324" t="inlineStr">
        <is>
          <t>UNLIKELY</t>
        </is>
      </c>
      <c r="V1324" t="inlineStr">
        <is>
          <t>CHECK_VENDOR</t>
        </is>
      </c>
      <c r="W1324" t="inlineStr">
        <is>
          <t>https://nvd.nist.gov/vuln/detail/CVE-2026-27615</t>
        </is>
      </c>
      <c r="X1324" t="inlineStr">
        <is>
          <t>NONE</t>
        </is>
      </c>
      <c r="Y1324" t="n">
        <v>0</v>
      </c>
      <c r="Z1324" t="inlineStr"/>
      <c r="AA1324" t="inlineStr">
        <is>
          <t>https://nvd.nist.gov/vuln/detail/CVE-2026-27615</t>
        </is>
      </c>
    </row>
    <row r="1325">
      <c r="A1325" t="inlineStr">
        <is>
          <t>CVE</t>
        </is>
      </c>
      <c r="B1325" t="inlineStr">
        <is>
          <t>CVE-2026-27621</t>
        </is>
      </c>
      <c r="C1325" t="inlineStr">
        <is>
          <t>TypiCMS is a multilingual content management system based on the Laravel framework. A Stored Cross-Site Scripting (XSS) vulnerability exists in the file upload module of TypiCMS prior to version 16.1.7. The application allows users with file upload permissions to upload SVG files. While there is a MIME type validation, the content of the SVG file is not sanitized. An attacker can upload a specially crafted SVG file containing malicious JavaScript code. When another user (such as an administrator</t>
        </is>
      </c>
      <c r="D1325" t="n">
        <v>5</v>
      </c>
      <c r="E1325" t="inlineStr">
        <is>
          <t>MEDIUM</t>
        </is>
      </c>
      <c r="F1325" t="n">
        <v>2</v>
      </c>
      <c r="G1325" t="n">
        <v>2</v>
      </c>
      <c r="H1325" t="inlineStr">
        <is>
          <t>MEDIUM</t>
        </is>
      </c>
      <c r="I1325" t="n">
        <v>9</v>
      </c>
      <c r="J1325" t="inlineStr">
        <is>
          <t>NO</t>
        </is>
      </c>
      <c r="K1325" t="inlineStr">
        <is>
          <t>2026-02-26 00:15</t>
        </is>
      </c>
      <c r="L1325" t="inlineStr">
        <is>
          <t>CHECK_VENDOR</t>
        </is>
      </c>
      <c r="M1325" t="inlineStr">
        <is>
          <t>See CVE details</t>
        </is>
      </c>
      <c r="N1325" t="inlineStr">
        <is>
          <t>P4</t>
        </is>
      </c>
      <c r="O1325" t="inlineStr">
        <is>
          <t>CVE - IP enrichment n/a</t>
        </is>
      </c>
      <c r="P1325" t="n">
        <v>0</v>
      </c>
      <c r="Q1325" t="n">
        <v>0</v>
      </c>
      <c r="R1325" t="inlineStr">
        <is>
          <t>T1189:Drive-by Compromise</t>
        </is>
      </c>
      <c r="S1325" t="n">
        <v>1</v>
      </c>
      <c r="T1325" t="inlineStr">
        <is>
          <t>LOW (40%)</t>
        </is>
      </c>
      <c r="U1325" t="inlineStr">
        <is>
          <t>UNLIKELY</t>
        </is>
      </c>
      <c r="V1325" t="inlineStr">
        <is>
          <t>CHECK_VENDOR</t>
        </is>
      </c>
      <c r="W1325" t="inlineStr">
        <is>
          <t>https://nvd.nist.gov/vuln/detail/CVE-2026-27621</t>
        </is>
      </c>
      <c r="X1325" t="inlineStr">
        <is>
          <t>NONE</t>
        </is>
      </c>
      <c r="Y1325" t="n">
        <v>0</v>
      </c>
      <c r="Z1325" t="inlineStr"/>
      <c r="AA1325" t="inlineStr">
        <is>
          <t>https://nvd.nist.gov/vuln/detail/CVE-2026-27621</t>
        </is>
      </c>
    </row>
    <row r="1326">
      <c r="A1326" t="inlineStr">
        <is>
          <t>CVE</t>
        </is>
      </c>
      <c r="B1326" t="inlineStr">
        <is>
          <t>CVE-2026-27626</t>
        </is>
      </c>
      <c r="C1326" t="inlineStr">
        <is>
          <t xml:space="preserve">OliveTin gives access to predefined shell commands from a web interface. In versions up to and including 3000.10.0, OliveTin's shell mode safety check (`checkShellArgumentSafety`) blocks several dangerous argument types but not `password`. A user supplying a `password`-typed argument can inject shell metacharacters that execute arbitrary OS commands. A second independent vector allows unauthenticated RCE via webhook-extracted JSON values that skip type safety checks entirely before reaching `sh </t>
        </is>
      </c>
      <c r="D1326" t="n">
        <v>9.9</v>
      </c>
      <c r="E1326" t="inlineStr">
        <is>
          <t>CRITICAL</t>
        </is>
      </c>
      <c r="F1326" t="n">
        <v>2</v>
      </c>
      <c r="G1326" t="n">
        <v>3</v>
      </c>
      <c r="H1326" t="inlineStr">
        <is>
          <t>HIGH</t>
        </is>
      </c>
      <c r="I1326" t="n">
        <v>15.9</v>
      </c>
      <c r="J1326" t="inlineStr">
        <is>
          <t>NO</t>
        </is>
      </c>
      <c r="K1326" t="inlineStr">
        <is>
          <t>2026-02-26 00:15</t>
        </is>
      </c>
      <c r="L1326" t="inlineStr">
        <is>
          <t>CHECK_VENDOR</t>
        </is>
      </c>
      <c r="M1326" t="inlineStr">
        <is>
          <t>See CVE details</t>
        </is>
      </c>
      <c r="N1326" t="inlineStr">
        <is>
          <t>P3</t>
        </is>
      </c>
      <c r="O1326" t="inlineStr">
        <is>
          <t>CVE - IP enrichment n/a</t>
        </is>
      </c>
      <c r="P1326" t="n">
        <v>0</v>
      </c>
      <c r="Q1326" t="n">
        <v>0</v>
      </c>
      <c r="R1326" t="inlineStr">
        <is>
          <t>T1059:Command and Scripting Interpreter | T1190:Exploit Public-Facing Application</t>
        </is>
      </c>
      <c r="S1326" t="n">
        <v>1</v>
      </c>
      <c r="T1326" t="inlineStr">
        <is>
          <t>LOW (40%)</t>
        </is>
      </c>
      <c r="U1326" t="inlineStr">
        <is>
          <t>UNLIKELY</t>
        </is>
      </c>
      <c r="V1326" t="inlineStr">
        <is>
          <t>CHECK_VENDOR</t>
        </is>
      </c>
      <c r="W1326" t="inlineStr">
        <is>
          <t>https://nvd.nist.gov/vuln/detail/CVE-2026-27626</t>
        </is>
      </c>
      <c r="X1326" t="inlineStr">
        <is>
          <t>NONE</t>
        </is>
      </c>
      <c r="Y1326" t="n">
        <v>0</v>
      </c>
      <c r="Z1326" t="inlineStr"/>
      <c r="AA1326" t="inlineStr">
        <is>
          <t>https://nvd.nist.gov/vuln/detail/CVE-2026-27626</t>
        </is>
      </c>
    </row>
    <row r="1327">
      <c r="A1327" t="inlineStr">
        <is>
          <t>CVE</t>
        </is>
      </c>
      <c r="B1327" t="inlineStr">
        <is>
          <t>CVE-2026-27628</t>
        </is>
      </c>
      <c r="C1327" t="inlineStr">
        <is>
          <t>pypdf is a free and open-source pure-python PDF library. Prior to 6.7.2, an attacker who uses this vulnerability can craft a PDF which leads to an infinite loop. This requires reading the file. This has been fixed in pypdf 6.7.2. As a workaround, one may apply the patch manually.</t>
        </is>
      </c>
      <c r="D1327" t="n">
        <v>7.5</v>
      </c>
      <c r="E1327" t="inlineStr">
        <is>
          <t>HIGH</t>
        </is>
      </c>
      <c r="F1327" t="n">
        <v>2</v>
      </c>
      <c r="G1327" t="n">
        <v>3</v>
      </c>
      <c r="H1327" t="inlineStr">
        <is>
          <t>HIGH</t>
        </is>
      </c>
      <c r="I1327" t="n">
        <v>13.5</v>
      </c>
      <c r="J1327" t="inlineStr">
        <is>
          <t>NO</t>
        </is>
      </c>
      <c r="K1327" t="inlineStr">
        <is>
          <t>2026-02-26 00:15</t>
        </is>
      </c>
      <c r="L1327" t="inlineStr">
        <is>
          <t>YES</t>
        </is>
      </c>
      <c r="M1327" t="inlineStr">
        <is>
          <t>pypdf_project pypdf *</t>
        </is>
      </c>
      <c r="N1327" t="inlineStr">
        <is>
          <t>P3</t>
        </is>
      </c>
      <c r="O1327" t="inlineStr">
        <is>
          <t>CVE - IP enrichment n/a</t>
        </is>
      </c>
      <c r="P1327" t="n">
        <v>0</v>
      </c>
      <c r="Q1327" t="n">
        <v>0</v>
      </c>
      <c r="R1327" t="inlineStr">
        <is>
          <t>T1190:Exploit Public-Facing Application</t>
        </is>
      </c>
      <c r="S1327" t="n">
        <v>1</v>
      </c>
      <c r="T1327" t="inlineStr">
        <is>
          <t>LOW (40%)</t>
        </is>
      </c>
      <c r="U1327" t="inlineStr">
        <is>
          <t>UNLIKELY</t>
        </is>
      </c>
      <c r="V1327" t="inlineStr">
        <is>
          <t>PATCH_AVAILABLE</t>
        </is>
      </c>
      <c r="W1327" t="inlineStr">
        <is>
          <t>https://nvd.nist.gov/vuln/detail/CVE-2026-27628</t>
        </is>
      </c>
      <c r="X1327" t="inlineStr">
        <is>
          <t>NONE</t>
        </is>
      </c>
      <c r="Y1327" t="n">
        <v>0</v>
      </c>
      <c r="Z1327" t="inlineStr"/>
      <c r="AA1327" t="inlineStr">
        <is>
          <t>https://nvd.nist.gov/vuln/detail/CVE-2026-27628</t>
        </is>
      </c>
    </row>
    <row r="1328">
      <c r="A1328" t="inlineStr">
        <is>
          <t>CVE</t>
        </is>
      </c>
      <c r="B1328" t="inlineStr">
        <is>
          <t>CVE-2026-27629</t>
        </is>
      </c>
      <c r="C1328" t="inlineStr">
        <is>
          <t>InvenTree is an Open Source Inventory Management System. Prior to version 1.2.3, insecure server-side templates can be hijacked to expose secure information to the client. When generating custom batch codes, the InvenTree server makes use of a customizable jinja2 template, which can be modified by a staff user to exfiltrate sensitive information or perform code execution on the server. This issue requires access by a user with granted staff permissions, followed by a request to generate a custom</t>
        </is>
      </c>
      <c r="D1328" t="n">
        <v>5.9</v>
      </c>
      <c r="E1328" t="inlineStr">
        <is>
          <t>MEDIUM</t>
        </is>
      </c>
      <c r="F1328" t="n">
        <v>2</v>
      </c>
      <c r="G1328" t="n">
        <v>2</v>
      </c>
      <c r="H1328" t="inlineStr">
        <is>
          <t>MEDIUM</t>
        </is>
      </c>
      <c r="I1328" t="n">
        <v>9.9</v>
      </c>
      <c r="J1328" t="inlineStr">
        <is>
          <t>NO</t>
        </is>
      </c>
      <c r="K1328" t="inlineStr">
        <is>
          <t>2026-02-26 00:15</t>
        </is>
      </c>
      <c r="L1328" t="inlineStr">
        <is>
          <t>CHECK_VENDOR</t>
        </is>
      </c>
      <c r="M1328" t="inlineStr">
        <is>
          <t>See CVE details</t>
        </is>
      </c>
      <c r="N1328" t="inlineStr">
        <is>
          <t>P4</t>
        </is>
      </c>
      <c r="O1328" t="inlineStr">
        <is>
          <t>CVE - IP enrichment n/a</t>
        </is>
      </c>
      <c r="P1328" t="n">
        <v>0</v>
      </c>
      <c r="Q1328" t="n">
        <v>0</v>
      </c>
      <c r="R1328" t="inlineStr">
        <is>
          <t>T1190:Exploit Public-Facing Application</t>
        </is>
      </c>
      <c r="S1328" t="n">
        <v>1</v>
      </c>
      <c r="T1328" t="inlineStr">
        <is>
          <t>LOW (40%)</t>
        </is>
      </c>
      <c r="U1328" t="inlineStr">
        <is>
          <t>UNLIKELY</t>
        </is>
      </c>
      <c r="V1328" t="inlineStr">
        <is>
          <t>CHECK_VENDOR</t>
        </is>
      </c>
      <c r="W1328" t="inlineStr">
        <is>
          <t>https://nvd.nist.gov/vuln/detail/CVE-2026-27629</t>
        </is>
      </c>
      <c r="X1328" t="inlineStr">
        <is>
          <t>NONE</t>
        </is>
      </c>
      <c r="Y1328" t="n">
        <v>0</v>
      </c>
      <c r="Z1328" t="inlineStr"/>
      <c r="AA1328" t="inlineStr">
        <is>
          <t>https://nvd.nist.gov/vuln/detail/CVE-2026-27629</t>
        </is>
      </c>
    </row>
    <row r="1329">
      <c r="A1329" t="inlineStr">
        <is>
          <t>CVE</t>
        </is>
      </c>
      <c r="B1329" t="inlineStr">
        <is>
          <t>CVE-2026-27632</t>
        </is>
      </c>
      <c r="C1329" t="inlineStr">
        <is>
          <t xml:space="preserve">Talishar is a fan-made Flesh and Blood project. Prior to commit 6be3871a14c192d1fb8146cdbc76f29f27c1cf48, the Talishar application lacks Cross-Site Request Forgery (CSRF) protections on critical state-changing endpoints, specifically within `SubmitChat.php` and other game interaction handlers. By failing to require unique, unpredictable session tokens, the application allows third-party malicious websites to forge requests on behalf of authenticated users, leading to unauthorized actions within </t>
        </is>
      </c>
      <c r="D1329" t="n">
        <v>2.6</v>
      </c>
      <c r="E1329" t="inlineStr">
        <is>
          <t>LOW</t>
        </is>
      </c>
      <c r="F1329" t="n">
        <v>2</v>
      </c>
      <c r="G1329" t="n">
        <v>1</v>
      </c>
      <c r="H1329" t="inlineStr">
        <is>
          <t>LOW</t>
        </is>
      </c>
      <c r="I1329" t="n">
        <v>4.6</v>
      </c>
      <c r="J1329" t="inlineStr">
        <is>
          <t>NO</t>
        </is>
      </c>
      <c r="K1329" t="inlineStr">
        <is>
          <t>2026-02-26 00:15</t>
        </is>
      </c>
      <c r="L1329" t="inlineStr">
        <is>
          <t>CHECK_VENDOR</t>
        </is>
      </c>
      <c r="M1329" t="inlineStr">
        <is>
          <t>See CVE details</t>
        </is>
      </c>
      <c r="N1329" t="inlineStr">
        <is>
          <t>P4</t>
        </is>
      </c>
      <c r="O1329" t="inlineStr">
        <is>
          <t>CVE - IP enrichment n/a</t>
        </is>
      </c>
      <c r="P1329" t="n">
        <v>0.0001</v>
      </c>
      <c r="Q1329" t="n">
        <v>0.0255</v>
      </c>
      <c r="R1329" t="inlineStr">
        <is>
          <t>T1185:Browser Session Hijacking</t>
        </is>
      </c>
      <c r="S1329" t="n">
        <v>1</v>
      </c>
      <c r="T1329" t="inlineStr">
        <is>
          <t>LOW (40%)</t>
        </is>
      </c>
      <c r="U1329" t="inlineStr">
        <is>
          <t>UNLIKELY</t>
        </is>
      </c>
      <c r="V1329" t="inlineStr">
        <is>
          <t>CHECK_VENDOR</t>
        </is>
      </c>
      <c r="W1329" t="inlineStr">
        <is>
          <t>https://nvd.nist.gov/vuln/detail/CVE-2026-27632</t>
        </is>
      </c>
      <c r="X1329" t="inlineStr">
        <is>
          <t>NONE</t>
        </is>
      </c>
      <c r="Y1329" t="n">
        <v>0</v>
      </c>
      <c r="Z1329" t="inlineStr"/>
      <c r="AA1329" t="inlineStr">
        <is>
          <t>https://nvd.nist.gov/vuln/detail/CVE-2026-27632</t>
        </is>
      </c>
    </row>
    <row r="1330">
      <c r="A1330" t="inlineStr">
        <is>
          <t>CVE</t>
        </is>
      </c>
      <c r="B1330" t="inlineStr">
        <is>
          <t>CVE-2026-27822</t>
        </is>
      </c>
      <c r="C1330" t="inlineStr">
        <is>
          <t>RustFS is a distributed object storage system built in Rust. Prior to version 1.0.0-alpha.83, a Stored Cross-Site Scripting (XSS) vulnerability in the RustFS Console allows an attacker to execute arbitrary JavaScript in the context of the management console. By bypassing the PDF preview logic, an attacker can steal administrator credentials from `localStorage`, leading to full account takeover and system compromise. Version 1.0.0-alpha.83 fixes the issue.</t>
        </is>
      </c>
      <c r="D1330" t="n">
        <v>9</v>
      </c>
      <c r="E1330" t="inlineStr">
        <is>
          <t>CRITICAL</t>
        </is>
      </c>
      <c r="F1330" t="n">
        <v>2</v>
      </c>
      <c r="G1330" t="n">
        <v>3</v>
      </c>
      <c r="H1330" t="inlineStr">
        <is>
          <t>HIGH</t>
        </is>
      </c>
      <c r="I1330" t="n">
        <v>15</v>
      </c>
      <c r="J1330" t="inlineStr">
        <is>
          <t>NO</t>
        </is>
      </c>
      <c r="K1330" t="inlineStr">
        <is>
          <t>2026-02-26 00:15</t>
        </is>
      </c>
      <c r="L1330" t="inlineStr">
        <is>
          <t>YES</t>
        </is>
      </c>
      <c r="M1330" t="inlineStr">
        <is>
          <t>rustfs rustfs 1.0.0</t>
        </is>
      </c>
      <c r="N1330" t="inlineStr">
        <is>
          <t>P3</t>
        </is>
      </c>
      <c r="O1330" t="inlineStr">
        <is>
          <t>CVE - IP enrichment n/a</t>
        </is>
      </c>
      <c r="P1330" t="n">
        <v>0</v>
      </c>
      <c r="Q1330" t="n">
        <v>0</v>
      </c>
      <c r="R1330" t="inlineStr">
        <is>
          <t>T1189:Drive-by Compromise | T1552:Unsecured Credentials</t>
        </is>
      </c>
      <c r="S1330" t="n">
        <v>1</v>
      </c>
      <c r="T1330" t="inlineStr">
        <is>
          <t>LOW (40%)</t>
        </is>
      </c>
      <c r="U1330" t="inlineStr">
        <is>
          <t>UNLIKELY</t>
        </is>
      </c>
      <c r="V1330" t="inlineStr">
        <is>
          <t>PATCH_AVAILABLE</t>
        </is>
      </c>
      <c r="W1330" t="inlineStr">
        <is>
          <t>https://nvd.nist.gov/vuln/detail/CVE-2026-27822</t>
        </is>
      </c>
      <c r="X1330" t="inlineStr">
        <is>
          <t>NONE</t>
        </is>
      </c>
      <c r="Y1330" t="n">
        <v>0</v>
      </c>
      <c r="Z1330" t="inlineStr"/>
      <c r="AA1330" t="inlineStr">
        <is>
          <t>https://nvd.nist.gov/vuln/detail/CVE-2026-27822</t>
        </is>
      </c>
    </row>
    <row r="1331">
      <c r="A1331" t="inlineStr">
        <is>
          <t>CVE</t>
        </is>
      </c>
      <c r="B1331" t="inlineStr">
        <is>
          <t>CVE-2026-3145</t>
        </is>
      </c>
      <c r="C1331" t="inlineStr">
        <is>
          <t>A flaw has been found in libvips up to 8.18.0. The affected element is the function vips_foreign_load_matrix_file_is_a/vips_foreign_load_matrix_header of the file libvips/foreign/matrixload.c. Executing a manipulation can lead to memory corruption. The attack needs to be launched locally. This patch is called d4ce337c76bff1b278d7085c3c4f4725e3aa6ece. A patch should be applied to remediate this issue.</t>
        </is>
      </c>
      <c r="D1331" t="n">
        <v>5.3</v>
      </c>
      <c r="E1331" t="inlineStr">
        <is>
          <t>MEDIUM</t>
        </is>
      </c>
      <c r="F1331" t="n">
        <v>2</v>
      </c>
      <c r="G1331" t="n">
        <v>2</v>
      </c>
      <c r="H1331" t="inlineStr">
        <is>
          <t>MEDIUM</t>
        </is>
      </c>
      <c r="I1331" t="n">
        <v>9.300000000000001</v>
      </c>
      <c r="J1331" t="inlineStr">
        <is>
          <t>NO</t>
        </is>
      </c>
      <c r="K1331" t="inlineStr">
        <is>
          <t>2026-02-26 00:15</t>
        </is>
      </c>
      <c r="L1331" t="inlineStr">
        <is>
          <t>YES</t>
        </is>
      </c>
      <c r="M1331" t="inlineStr">
        <is>
          <t>libvips libvips *</t>
        </is>
      </c>
      <c r="N1331" t="inlineStr">
        <is>
          <t>P4</t>
        </is>
      </c>
      <c r="O1331" t="inlineStr">
        <is>
          <t>CVE - IP enrichment n/a</t>
        </is>
      </c>
      <c r="P1331" t="n">
        <v>0</v>
      </c>
      <c r="Q1331" t="n">
        <v>0</v>
      </c>
      <c r="R1331" t="inlineStr">
        <is>
          <t>T1203:Exploitation for Client Execution</t>
        </is>
      </c>
      <c r="S1331" t="n">
        <v>1</v>
      </c>
      <c r="T1331" t="inlineStr">
        <is>
          <t>LOW (40%)</t>
        </is>
      </c>
      <c r="U1331" t="inlineStr">
        <is>
          <t>UNLIKELY</t>
        </is>
      </c>
      <c r="V1331" t="inlineStr">
        <is>
          <t>PATCH_AVAILABLE</t>
        </is>
      </c>
      <c r="W1331" t="inlineStr">
        <is>
          <t>https://nvd.nist.gov/vuln/detail/CVE-2026-3145</t>
        </is>
      </c>
      <c r="X1331" t="inlineStr">
        <is>
          <t>NONE</t>
        </is>
      </c>
      <c r="Y1331" t="n">
        <v>0</v>
      </c>
      <c r="Z1331" t="inlineStr"/>
      <c r="AA1331" t="inlineStr">
        <is>
          <t>https://nvd.nist.gov/vuln/detail/CVE-2026-3145</t>
        </is>
      </c>
    </row>
    <row r="1332">
      <c r="A1332" t="inlineStr">
        <is>
          <t>CVE</t>
        </is>
      </c>
      <c r="B1332" t="inlineStr">
        <is>
          <t>CVE-2026-3146</t>
        </is>
      </c>
      <c r="C1332" t="inlineStr">
        <is>
          <t>A vulnerability has been found in libvips up to 8.18.0. The impacted element is the function vips_foreign_load_matrix_header of the file libvips/foreign/matrixload.c. The manipulation leads to null pointer dereference. The attack needs to be performed locally. The identifier of the patch is d4ce337c76bff1b278d7085c3c4f4725e3aa6ece. To fix this issue, it is recommended to deploy a patch.</t>
        </is>
      </c>
      <c r="D1332" t="n">
        <v>3.3</v>
      </c>
      <c r="E1332" t="inlineStr">
        <is>
          <t>LOW</t>
        </is>
      </c>
      <c r="F1332" t="n">
        <v>2</v>
      </c>
      <c r="G1332" t="n">
        <v>1</v>
      </c>
      <c r="H1332" t="inlineStr">
        <is>
          <t>LOW</t>
        </is>
      </c>
      <c r="I1332" t="n">
        <v>5.3</v>
      </c>
      <c r="J1332" t="inlineStr">
        <is>
          <t>NO</t>
        </is>
      </c>
      <c r="K1332" t="inlineStr">
        <is>
          <t>2026-02-26 00:15</t>
        </is>
      </c>
      <c r="L1332" t="inlineStr">
        <is>
          <t>YES</t>
        </is>
      </c>
      <c r="M1332" t="inlineStr">
        <is>
          <t>libvips libvips *</t>
        </is>
      </c>
      <c r="N1332" t="inlineStr">
        <is>
          <t>P4</t>
        </is>
      </c>
      <c r="O1332" t="inlineStr">
        <is>
          <t>CVE - IP enrichment n/a</t>
        </is>
      </c>
      <c r="P1332" t="n">
        <v>0</v>
      </c>
      <c r="Q1332" t="n">
        <v>0</v>
      </c>
      <c r="R1332" t="inlineStr">
        <is>
          <t>T1190:Exploit Public-Facing Application</t>
        </is>
      </c>
      <c r="S1332" t="n">
        <v>1</v>
      </c>
      <c r="T1332" t="inlineStr">
        <is>
          <t>LOW (40%)</t>
        </is>
      </c>
      <c r="U1332" t="inlineStr">
        <is>
          <t>UNLIKELY</t>
        </is>
      </c>
      <c r="V1332" t="inlineStr">
        <is>
          <t>PATCH_AVAILABLE</t>
        </is>
      </c>
      <c r="W1332" t="inlineStr">
        <is>
          <t>https://nvd.nist.gov/vuln/detail/CVE-2026-3146</t>
        </is>
      </c>
      <c r="X1332" t="inlineStr">
        <is>
          <t>NONE</t>
        </is>
      </c>
      <c r="Y1332" t="n">
        <v>0</v>
      </c>
      <c r="Z1332" t="inlineStr"/>
      <c r="AA1332" t="inlineStr">
        <is>
          <t>https://nvd.nist.gov/vuln/detail/CVE-2026-3146</t>
        </is>
      </c>
    </row>
    <row r="1333">
      <c r="A1333" t="inlineStr">
        <is>
          <t>CVE</t>
        </is>
      </c>
      <c r="B1333" t="inlineStr">
        <is>
          <t>CVE-2026-27597</t>
        </is>
      </c>
      <c r="C1333" t="inlineStr">
        <is>
          <t>Enclave is a secure JavaScript sandbox designed for safe AI agent code execution. Prior to version 2.11.1, it is possible to escape the security boundraries set by `@enclave-vm/core`, which can be used to achieve remote code execution (RCE). The issue has been fixed in version 2.11.1.</t>
        </is>
      </c>
      <c r="D1333" t="n">
        <v>10</v>
      </c>
      <c r="E1333" t="inlineStr">
        <is>
          <t>CRITICAL</t>
        </is>
      </c>
      <c r="F1333" t="n">
        <v>2</v>
      </c>
      <c r="G1333" t="n">
        <v>3</v>
      </c>
      <c r="H1333" t="inlineStr">
        <is>
          <t>HIGH</t>
        </is>
      </c>
      <c r="I1333" t="n">
        <v>16</v>
      </c>
      <c r="J1333" t="inlineStr">
        <is>
          <t>NO</t>
        </is>
      </c>
      <c r="K1333" t="inlineStr">
        <is>
          <t>2026-02-26 00:15</t>
        </is>
      </c>
      <c r="L1333" t="inlineStr">
        <is>
          <t>CHECK_VENDOR</t>
        </is>
      </c>
      <c r="M1333" t="inlineStr">
        <is>
          <t>See CVE details</t>
        </is>
      </c>
      <c r="N1333" t="inlineStr">
        <is>
          <t>P3</t>
        </is>
      </c>
      <c r="O1333" t="inlineStr">
        <is>
          <t>CVE - IP enrichment n/a</t>
        </is>
      </c>
      <c r="P1333" t="n">
        <v>0.0029</v>
      </c>
      <c r="Q1333" t="n">
        <v>0.5179</v>
      </c>
      <c r="R1333" t="inlineStr">
        <is>
          <t>T1059:Command and Scripting Interpreter | T1190:Exploit Public-Facing Application | T1210:Exploitation of Remote Services</t>
        </is>
      </c>
      <c r="S1333" t="n">
        <v>1</v>
      </c>
      <c r="T1333" t="inlineStr">
        <is>
          <t>LOW (40%)</t>
        </is>
      </c>
      <c r="U1333" t="inlineStr">
        <is>
          <t>UNLIKELY</t>
        </is>
      </c>
      <c r="V1333" t="inlineStr">
        <is>
          <t>CHECK_VENDOR</t>
        </is>
      </c>
      <c r="W1333" t="inlineStr">
        <is>
          <t>https://nvd.nist.gov/vuln/detail/CVE-2026-27597</t>
        </is>
      </c>
      <c r="X1333" t="inlineStr">
        <is>
          <t>NONE</t>
        </is>
      </c>
      <c r="Y1333" t="n">
        <v>0</v>
      </c>
      <c r="Z1333" t="inlineStr"/>
      <c r="AA1333" t="inlineStr">
        <is>
          <t>https://nvd.nist.gov/vuln/detail/CVE-2026-27597</t>
        </is>
      </c>
    </row>
    <row r="1334">
      <c r="A1334" t="inlineStr">
        <is>
          <t>CVE</t>
        </is>
      </c>
      <c r="B1334" t="inlineStr">
        <is>
          <t>CVE-2026-27627</t>
        </is>
      </c>
      <c r="C1334" t="inlineStr">
        <is>
          <t>Karakeep is a elf-hostable bookmark-everything app. In version 0.30.0, when the Reddit metascraper plugin returns `readableContentHtml`, the HTML parsing subprocess uses it directly without running it through DOMPurify. Every other content source in the crawler goes through Readability + DOMPurify, but the Reddit path skips both. Since this content ends up in `dangerouslySetInnerHTML` in the reader view, any malicious HTML in the Reddit response gets executed in the user's browser. Version 0.31.</t>
        </is>
      </c>
      <c r="D1334" t="n">
        <v>8.199999999999999</v>
      </c>
      <c r="E1334" t="inlineStr">
        <is>
          <t>HIGH</t>
        </is>
      </c>
      <c r="F1334" t="n">
        <v>2</v>
      </c>
      <c r="G1334" t="n">
        <v>3</v>
      </c>
      <c r="H1334" t="inlineStr">
        <is>
          <t>HIGH</t>
        </is>
      </c>
      <c r="I1334" t="n">
        <v>14.2</v>
      </c>
      <c r="J1334" t="inlineStr">
        <is>
          <t>NO</t>
        </is>
      </c>
      <c r="K1334" t="inlineStr">
        <is>
          <t>2026-02-26 00:15</t>
        </is>
      </c>
      <c r="L1334" t="inlineStr">
        <is>
          <t>CHECK_VENDOR</t>
        </is>
      </c>
      <c r="M1334" t="inlineStr">
        <is>
          <t>See CVE details</t>
        </is>
      </c>
      <c r="N1334" t="inlineStr">
        <is>
          <t>P3</t>
        </is>
      </c>
      <c r="O1334" t="inlineStr">
        <is>
          <t>CVE - IP enrichment n/a</t>
        </is>
      </c>
      <c r="P1334" t="n">
        <v>0</v>
      </c>
      <c r="Q1334" t="n">
        <v>0</v>
      </c>
      <c r="R1334" t="inlineStr">
        <is>
          <t>T1189:Drive-by Compromise | T1190:Exploit Public-Facing Application</t>
        </is>
      </c>
      <c r="S1334" t="n">
        <v>1</v>
      </c>
      <c r="T1334" t="inlineStr">
        <is>
          <t>LOW (40%)</t>
        </is>
      </c>
      <c r="U1334" t="inlineStr">
        <is>
          <t>UNLIKELY</t>
        </is>
      </c>
      <c r="V1334" t="inlineStr">
        <is>
          <t>CHECK_VENDOR</t>
        </is>
      </c>
      <c r="W1334" t="inlineStr">
        <is>
          <t>https://nvd.nist.gov/vuln/detail/CVE-2026-27627</t>
        </is>
      </c>
      <c r="X1334" t="inlineStr">
        <is>
          <t>NONE</t>
        </is>
      </c>
      <c r="Y1334" t="n">
        <v>0</v>
      </c>
      <c r="Z1334" t="inlineStr"/>
      <c r="AA1334" t="inlineStr">
        <is>
          <t>https://nvd.nist.gov/vuln/detail/CVE-2026-27627</t>
        </is>
      </c>
    </row>
    <row r="1335">
      <c r="A1335" t="inlineStr">
        <is>
          <t>CVE</t>
        </is>
      </c>
      <c r="B1335" t="inlineStr">
        <is>
          <t>CVE-2026-27636</t>
        </is>
      </c>
      <c r="C1335" t="inlineStr">
        <is>
          <t>FreeScout is a free help desk and shared inbox built with PHP's Laravel framework. Prior to version 1.8.206, FreeScout's file upload restriction list in `app/Misc/Helper.php` does not include `.htaccess` or `.user.ini` files. On Apache servers with `AllowOverride All` (a common configuration), an authenticated user can upload a `.htaccess` file to redefine how files are processed, enabling Remote Code Execution. This vulnerability can be exploited on its own or in combination with CVE-2026-27637</t>
        </is>
      </c>
      <c r="D1335" t="n">
        <v>8.800000000000001</v>
      </c>
      <c r="E1335" t="inlineStr">
        <is>
          <t>HIGH</t>
        </is>
      </c>
      <c r="F1335" t="n">
        <v>2</v>
      </c>
      <c r="G1335" t="n">
        <v>3</v>
      </c>
      <c r="H1335" t="inlineStr">
        <is>
          <t>HIGH</t>
        </is>
      </c>
      <c r="I1335" t="n">
        <v>14.8</v>
      </c>
      <c r="J1335" t="inlineStr">
        <is>
          <t>NO</t>
        </is>
      </c>
      <c r="K1335" t="inlineStr">
        <is>
          <t>2026-02-26 00:15</t>
        </is>
      </c>
      <c r="L1335" t="inlineStr">
        <is>
          <t>CHECK_VENDOR</t>
        </is>
      </c>
      <c r="M1335" t="inlineStr">
        <is>
          <t>See CVE details</t>
        </is>
      </c>
      <c r="N1335" t="inlineStr">
        <is>
          <t>P3</t>
        </is>
      </c>
      <c r="O1335" t="inlineStr">
        <is>
          <t>CVE - IP enrichment n/a</t>
        </is>
      </c>
      <c r="P1335" t="n">
        <v>0</v>
      </c>
      <c r="Q1335" t="n">
        <v>0</v>
      </c>
      <c r="R1335" t="inlineStr">
        <is>
          <t>T1190:Exploit Public-Facing Application | T1210:Exploitation of Remote Services</t>
        </is>
      </c>
      <c r="S1335" t="n">
        <v>1</v>
      </c>
      <c r="T1335" t="inlineStr">
        <is>
          <t>LOW (40%)</t>
        </is>
      </c>
      <c r="U1335" t="inlineStr">
        <is>
          <t>UNLIKELY</t>
        </is>
      </c>
      <c r="V1335" t="inlineStr">
        <is>
          <t>CHECK_VENDOR</t>
        </is>
      </c>
      <c r="W1335" t="inlineStr">
        <is>
          <t>https://nvd.nist.gov/vuln/detail/CVE-2026-27636</t>
        </is>
      </c>
      <c r="X1335" t="inlineStr">
        <is>
          <t>NONE</t>
        </is>
      </c>
      <c r="Y1335" t="n">
        <v>0</v>
      </c>
      <c r="Z1335" t="inlineStr"/>
      <c r="AA1335" t="inlineStr">
        <is>
          <t>https://nvd.nist.gov/vuln/detail/CVE-2026-27636</t>
        </is>
      </c>
    </row>
    <row r="1336">
      <c r="A1336" t="inlineStr">
        <is>
          <t>CVE</t>
        </is>
      </c>
      <c r="B1336" t="inlineStr">
        <is>
          <t>CVE-2026-27637</t>
        </is>
      </c>
      <c r="C1336" t="inlineStr">
        <is>
          <t>FreeScout is a free help desk and shared inbox built with PHP's Laravel framework. Prior to version 1.8.206, FreeScout's `TokenAuth` middleware uses a predictable authentication token computed as `MD5(user_id + created_at + APP_KEY)`. This token is static (never expires/rotates), and if an attacker obtains the `APP_KEY` — a well-documented and common exposure vector in Laravel applications — they can compute a valid token for any user, including the administrator, achieving full account takeover</t>
        </is>
      </c>
      <c r="D1336" t="n">
        <v>9.800000000000001</v>
      </c>
      <c r="E1336" t="inlineStr">
        <is>
          <t>CRITICAL</t>
        </is>
      </c>
      <c r="F1336" t="n">
        <v>2</v>
      </c>
      <c r="G1336" t="n">
        <v>3</v>
      </c>
      <c r="H1336" t="inlineStr">
        <is>
          <t>HIGH</t>
        </is>
      </c>
      <c r="I1336" t="n">
        <v>15.8</v>
      </c>
      <c r="J1336" t="inlineStr">
        <is>
          <t>NO</t>
        </is>
      </c>
      <c r="K1336" t="inlineStr">
        <is>
          <t>2026-02-26 00:15</t>
        </is>
      </c>
      <c r="L1336" t="inlineStr">
        <is>
          <t>CHECK_VENDOR</t>
        </is>
      </c>
      <c r="M1336" t="inlineStr">
        <is>
          <t>See CVE details</t>
        </is>
      </c>
      <c r="N1336" t="inlineStr">
        <is>
          <t>P3</t>
        </is>
      </c>
      <c r="O1336" t="inlineStr">
        <is>
          <t>CVE - IP enrichment n/a</t>
        </is>
      </c>
      <c r="P1336" t="n">
        <v>0</v>
      </c>
      <c r="Q1336" t="n">
        <v>0</v>
      </c>
      <c r="R1336" t="inlineStr">
        <is>
          <t>T1600:Weaken Encryption</t>
        </is>
      </c>
      <c r="S1336" t="n">
        <v>1</v>
      </c>
      <c r="T1336" t="inlineStr">
        <is>
          <t>LOW (40%)</t>
        </is>
      </c>
      <c r="U1336" t="inlineStr">
        <is>
          <t>UNLIKELY</t>
        </is>
      </c>
      <c r="V1336" t="inlineStr">
        <is>
          <t>CHECK_VENDOR</t>
        </is>
      </c>
      <c r="W1336" t="inlineStr">
        <is>
          <t>https://nvd.nist.gov/vuln/detail/CVE-2026-27637</t>
        </is>
      </c>
      <c r="X1336" t="inlineStr">
        <is>
          <t>NONE</t>
        </is>
      </c>
      <c r="Y1336" t="n">
        <v>0</v>
      </c>
      <c r="Z1336" t="inlineStr"/>
      <c r="AA1336" t="inlineStr">
        <is>
          <t>https://nvd.nist.gov/vuln/detail/CVE-2026-27637</t>
        </is>
      </c>
    </row>
    <row r="1337">
      <c r="A1337" t="inlineStr">
        <is>
          <t>CVE</t>
        </is>
      </c>
      <c r="B1337" t="inlineStr">
        <is>
          <t>CVE-2026-27639</t>
        </is>
      </c>
      <c r="C1337" t="inlineStr">
        <is>
          <t>Mercator is an open source web application designed to enable mapping of information systems. A stored Cross-Site Scripting (XSS) vulnerability exists in Mercator prior to version 2026.02.22 due to the use of unescaped Blade directives (`{!! !!}`) in display templates. An authenticated user with the User role can inject arbitrary JavaScript payloads into fields such as "contact point" when creating or editing entities. The payload is then executed in the browser of any user who views the affecte</t>
        </is>
      </c>
      <c r="D1337" t="n">
        <v>8.5</v>
      </c>
      <c r="E1337" t="inlineStr">
        <is>
          <t>HIGH</t>
        </is>
      </c>
      <c r="F1337" t="n">
        <v>2</v>
      </c>
      <c r="G1337" t="n">
        <v>3</v>
      </c>
      <c r="H1337" t="inlineStr">
        <is>
          <t>HIGH</t>
        </is>
      </c>
      <c r="I1337" t="n">
        <v>14.5</v>
      </c>
      <c r="J1337" t="inlineStr">
        <is>
          <t>NO</t>
        </is>
      </c>
      <c r="K1337" t="inlineStr">
        <is>
          <t>2026-02-26 00:15</t>
        </is>
      </c>
      <c r="L1337" t="inlineStr">
        <is>
          <t>CHECK_VENDOR</t>
        </is>
      </c>
      <c r="M1337" t="inlineStr">
        <is>
          <t>See CVE details</t>
        </is>
      </c>
      <c r="N1337" t="inlineStr">
        <is>
          <t>P3</t>
        </is>
      </c>
      <c r="O1337" t="inlineStr">
        <is>
          <t>CVE - IP enrichment n/a</t>
        </is>
      </c>
      <c r="P1337" t="n">
        <v>0</v>
      </c>
      <c r="Q1337" t="n">
        <v>0</v>
      </c>
      <c r="R1337" t="inlineStr">
        <is>
          <t>T1189:Drive-by Compromise | T1190:Exploit Public-Facing Application</t>
        </is>
      </c>
      <c r="S1337" t="n">
        <v>1</v>
      </c>
      <c r="T1337" t="inlineStr">
        <is>
          <t>LOW (40%)</t>
        </is>
      </c>
      <c r="U1337" t="inlineStr">
        <is>
          <t>UNLIKELY</t>
        </is>
      </c>
      <c r="V1337" t="inlineStr">
        <is>
          <t>CHECK_VENDOR</t>
        </is>
      </c>
      <c r="W1337" t="inlineStr">
        <is>
          <t>https://nvd.nist.gov/vuln/detail/CVE-2026-27639</t>
        </is>
      </c>
      <c r="X1337" t="inlineStr">
        <is>
          <t>NONE</t>
        </is>
      </c>
      <c r="Y1337" t="n">
        <v>0</v>
      </c>
      <c r="Z1337" t="inlineStr"/>
      <c r="AA1337" t="inlineStr">
        <is>
          <t>https://nvd.nist.gov/vuln/detail/CVE-2026-27639</t>
        </is>
      </c>
    </row>
    <row r="1338">
      <c r="A1338" t="inlineStr">
        <is>
          <t>CVE</t>
        </is>
      </c>
      <c r="B1338" t="inlineStr">
        <is>
          <t>CVE-2026-27640</t>
        </is>
      </c>
      <c r="C1338" t="inlineStr">
        <is>
          <t>tfplan2md is software for converting Terraform plan JSON files into human-readable Markdown reports. Prior to version 1.26.1, a bug in tfplan2md affected several distinct rendering paths: AzApi resource body properties, AzureDevOps variable groups, Scriban template context variables, and hierarchical sensitivity detection. This caused reports to render values that should have been masked as "(sensitive)" instead. This issue is fixed in v1.26.1. No known workarounds are available.</t>
        </is>
      </c>
      <c r="D1338" t="n">
        <v>8.5</v>
      </c>
      <c r="E1338" t="inlineStr">
        <is>
          <t>HIGH</t>
        </is>
      </c>
      <c r="F1338" t="n">
        <v>2</v>
      </c>
      <c r="G1338" t="n">
        <v>3</v>
      </c>
      <c r="H1338" t="inlineStr">
        <is>
          <t>HIGH</t>
        </is>
      </c>
      <c r="I1338" t="n">
        <v>14.5</v>
      </c>
      <c r="J1338" t="inlineStr">
        <is>
          <t>NO</t>
        </is>
      </c>
      <c r="K1338" t="inlineStr">
        <is>
          <t>2026-02-26 00:15</t>
        </is>
      </c>
      <c r="L1338" t="inlineStr">
        <is>
          <t>CHECK_VENDOR</t>
        </is>
      </c>
      <c r="M1338" t="inlineStr">
        <is>
          <t>See CVE details</t>
        </is>
      </c>
      <c r="N1338" t="inlineStr">
        <is>
          <t>P3</t>
        </is>
      </c>
      <c r="O1338" t="inlineStr">
        <is>
          <t>CVE - IP enrichment n/a</t>
        </is>
      </c>
      <c r="P1338" t="n">
        <v>0</v>
      </c>
      <c r="Q1338" t="n">
        <v>0</v>
      </c>
      <c r="R1338" t="inlineStr">
        <is>
          <t>T1190:Exploit Public-Facing Application</t>
        </is>
      </c>
      <c r="S1338" t="n">
        <v>1</v>
      </c>
      <c r="T1338" t="inlineStr">
        <is>
          <t>LOW (40%)</t>
        </is>
      </c>
      <c r="U1338" t="inlineStr">
        <is>
          <t>UNLIKELY</t>
        </is>
      </c>
      <c r="V1338" t="inlineStr">
        <is>
          <t>CHECK_VENDOR</t>
        </is>
      </c>
      <c r="W1338" t="inlineStr">
        <is>
          <t>https://nvd.nist.gov/vuln/detail/CVE-2026-27640</t>
        </is>
      </c>
      <c r="X1338" t="inlineStr">
        <is>
          <t>NONE</t>
        </is>
      </c>
      <c r="Y1338" t="n">
        <v>0</v>
      </c>
      <c r="Z1338" t="inlineStr"/>
      <c r="AA1338" t="inlineStr">
        <is>
          <t>https://nvd.nist.gov/vuln/detail/CVE-2026-27640</t>
        </is>
      </c>
    </row>
    <row r="1339">
      <c r="A1339" t="inlineStr">
        <is>
          <t>CVE</t>
        </is>
      </c>
      <c r="B1339" t="inlineStr">
        <is>
          <t>CVE-2026-27641</t>
        </is>
      </c>
      <c r="C1339" t="inlineStr">
        <is>
          <t>Flask-Reuploaded provides file uploads for Flask. A critical path traversal and extension bypass vulnerability in versions prior to 1.5.0 allows remote attackers to achieve arbitrary file write and remote code execution through Server-Side Template Injection (SSTI). Flask-Reuploaded has been patched in version 1.5.0. Some workarounds are available. Do not pass user input to the `name` parameter, use auto-generated filenames only, and implement strict input validation if `name` must be used.</t>
        </is>
      </c>
      <c r="D1339" t="n">
        <v>9.800000000000001</v>
      </c>
      <c r="E1339" t="inlineStr">
        <is>
          <t>CRITICAL</t>
        </is>
      </c>
      <c r="F1339" t="n">
        <v>2</v>
      </c>
      <c r="G1339" t="n">
        <v>3</v>
      </c>
      <c r="H1339" t="inlineStr">
        <is>
          <t>HIGH</t>
        </is>
      </c>
      <c r="I1339" t="n">
        <v>15.8</v>
      </c>
      <c r="J1339" t="inlineStr">
        <is>
          <t>NO</t>
        </is>
      </c>
      <c r="K1339" t="inlineStr">
        <is>
          <t>2026-02-26 00:15</t>
        </is>
      </c>
      <c r="L1339" t="inlineStr">
        <is>
          <t>CHECK_VENDOR</t>
        </is>
      </c>
      <c r="M1339" t="inlineStr">
        <is>
          <t>See CVE details</t>
        </is>
      </c>
      <c r="N1339" t="inlineStr">
        <is>
          <t>P3</t>
        </is>
      </c>
      <c r="O1339" t="inlineStr">
        <is>
          <t>CVE - IP enrichment n/a</t>
        </is>
      </c>
      <c r="P1339" t="n">
        <v>0</v>
      </c>
      <c r="Q1339" t="n">
        <v>0</v>
      </c>
      <c r="R1339" t="inlineStr">
        <is>
          <t>T1190:Exploit Public-Facing Application | T1210:Exploitation of Remote Services | T1083:File and Directory Discovery</t>
        </is>
      </c>
      <c r="S1339" t="n">
        <v>1</v>
      </c>
      <c r="T1339" t="inlineStr">
        <is>
          <t>LOW (40%)</t>
        </is>
      </c>
      <c r="U1339" t="inlineStr">
        <is>
          <t>UNLIKELY</t>
        </is>
      </c>
      <c r="V1339" t="inlineStr">
        <is>
          <t>CHECK_VENDOR</t>
        </is>
      </c>
      <c r="W1339" t="inlineStr">
        <is>
          <t>https://nvd.nist.gov/vuln/detail/CVE-2026-27641</t>
        </is>
      </c>
      <c r="X1339" t="inlineStr">
        <is>
          <t>NONE</t>
        </is>
      </c>
      <c r="Y1339" t="n">
        <v>0</v>
      </c>
      <c r="Z1339" t="inlineStr"/>
      <c r="AA1339" t="inlineStr">
        <is>
          <t>https://nvd.nist.gov/vuln/detail/CVE-2026-27641</t>
        </is>
      </c>
    </row>
    <row r="1340">
      <c r="A1340" t="inlineStr">
        <is>
          <t>CVE</t>
        </is>
      </c>
      <c r="B1340" t="inlineStr">
        <is>
          <t>CVE-2026-27743</t>
        </is>
      </c>
      <c r="C1340" t="inlineStr">
        <is>
          <t>The SPIP referer_spam plugin versions prior to 1.3.0 contain an unauthenticated SQL injection vulnerability in the referer_spam_ajouter and referer_spam_supprimer action handlers. The handlers read the url parameter from a GET request and interpolate it directly into SQL LIKE clauses without input validation or parameterization. The endpoints do not enforce authorization checks and do not use SPIP action protections such as securiser_action(), allowing remote attackers to execute arbitrary SQL q</t>
        </is>
      </c>
      <c r="D1340" t="n">
        <v>9.800000000000001</v>
      </c>
      <c r="E1340" t="inlineStr">
        <is>
          <t>CRITICAL</t>
        </is>
      </c>
      <c r="F1340" t="n">
        <v>2</v>
      </c>
      <c r="G1340" t="n">
        <v>3</v>
      </c>
      <c r="H1340" t="inlineStr">
        <is>
          <t>HIGH</t>
        </is>
      </c>
      <c r="I1340" t="n">
        <v>15.8</v>
      </c>
      <c r="J1340" t="inlineStr">
        <is>
          <t>NO</t>
        </is>
      </c>
      <c r="K1340" t="inlineStr">
        <is>
          <t>2026-02-26 00:15</t>
        </is>
      </c>
      <c r="L1340" t="inlineStr">
        <is>
          <t>CHECK_VENDOR</t>
        </is>
      </c>
      <c r="M1340" t="inlineStr">
        <is>
          <t>See CVE details</t>
        </is>
      </c>
      <c r="N1340" t="inlineStr">
        <is>
          <t>P3</t>
        </is>
      </c>
      <c r="O1340" t="inlineStr">
        <is>
          <t>CVE - IP enrichment n/a</t>
        </is>
      </c>
      <c r="P1340" t="n">
        <v>0.001</v>
      </c>
      <c r="Q1340" t="n">
        <v>0.2775</v>
      </c>
      <c r="R1340" t="inlineStr">
        <is>
          <t>T1190:Exploit Public-Facing Application</t>
        </is>
      </c>
      <c r="S1340" t="n">
        <v>1</v>
      </c>
      <c r="T1340" t="inlineStr">
        <is>
          <t>LOW (40%)</t>
        </is>
      </c>
      <c r="U1340" t="inlineStr">
        <is>
          <t>UNLIKELY</t>
        </is>
      </c>
      <c r="V1340" t="inlineStr">
        <is>
          <t>CHECK_VENDOR</t>
        </is>
      </c>
      <c r="W1340" t="inlineStr">
        <is>
          <t>https://nvd.nist.gov/vuln/detail/CVE-2026-27743</t>
        </is>
      </c>
      <c r="X1340" t="inlineStr">
        <is>
          <t>NONE</t>
        </is>
      </c>
      <c r="Y1340" t="n">
        <v>0</v>
      </c>
      <c r="Z1340" t="inlineStr"/>
      <c r="AA1340" t="inlineStr">
        <is>
          <t>https://nvd.nist.gov/vuln/detail/CVE-2026-27743</t>
        </is>
      </c>
    </row>
    <row r="1341">
      <c r="A1341" t="inlineStr">
        <is>
          <t>CVE</t>
        </is>
      </c>
      <c r="B1341" t="inlineStr">
        <is>
          <t>CVE-2026-27744</t>
        </is>
      </c>
      <c r="C1341" t="inlineStr">
        <is>
          <t xml:space="preserve">The SPIP tickets plugin versions prior to 4.3.3 contain an unauthenticated remote code execution vulnerability in the forum preview handling for public ticket pages. The plugin appends untrusted request parameters into HTML that is later rendered by a template using unfiltered environment rendering (#ENV**), which disables SPIP output filtering. As a result, an unauthenticated attacker can inject crafted content that is evaluated through SPIP's template processing chain, leading to execution of </t>
        </is>
      </c>
      <c r="D1341" t="n">
        <v>9.800000000000001</v>
      </c>
      <c r="E1341" t="inlineStr">
        <is>
          <t>CRITICAL</t>
        </is>
      </c>
      <c r="F1341" t="n">
        <v>2</v>
      </c>
      <c r="G1341" t="n">
        <v>3</v>
      </c>
      <c r="H1341" t="inlineStr">
        <is>
          <t>HIGH</t>
        </is>
      </c>
      <c r="I1341" t="n">
        <v>15.8</v>
      </c>
      <c r="J1341" t="inlineStr">
        <is>
          <t>NO</t>
        </is>
      </c>
      <c r="K1341" t="inlineStr">
        <is>
          <t>2026-02-26 00:15</t>
        </is>
      </c>
      <c r="L1341" t="inlineStr">
        <is>
          <t>CHECK_VENDOR</t>
        </is>
      </c>
      <c r="M1341" t="inlineStr">
        <is>
          <t>See CVE details</t>
        </is>
      </c>
      <c r="N1341" t="inlineStr">
        <is>
          <t>P3</t>
        </is>
      </c>
      <c r="O1341" t="inlineStr">
        <is>
          <t>CVE - IP enrichment n/a</t>
        </is>
      </c>
      <c r="P1341" t="n">
        <v>0.0032</v>
      </c>
      <c r="Q1341" t="n">
        <v>0.5495</v>
      </c>
      <c r="R1341" t="inlineStr">
        <is>
          <t>T1059:Command and Scripting Interpreter | T1190:Exploit Public-Facing Application | T1210:Exploitation of Remote Services</t>
        </is>
      </c>
      <c r="S1341" t="n">
        <v>1</v>
      </c>
      <c r="T1341" t="inlineStr">
        <is>
          <t>LOW (40%)</t>
        </is>
      </c>
      <c r="U1341" t="inlineStr">
        <is>
          <t>UNLIKELY</t>
        </is>
      </c>
      <c r="V1341" t="inlineStr">
        <is>
          <t>CHECK_VENDOR</t>
        </is>
      </c>
      <c r="W1341" t="inlineStr">
        <is>
          <t>https://nvd.nist.gov/vuln/detail/CVE-2026-27744</t>
        </is>
      </c>
      <c r="X1341" t="inlineStr">
        <is>
          <t>NONE</t>
        </is>
      </c>
      <c r="Y1341" t="n">
        <v>0</v>
      </c>
      <c r="Z1341" t="inlineStr"/>
      <c r="AA1341" t="inlineStr">
        <is>
          <t>https://nvd.nist.gov/vuln/detail/CVE-2026-27744</t>
        </is>
      </c>
    </row>
    <row r="1342">
      <c r="A1342" t="inlineStr">
        <is>
          <t>CVE</t>
        </is>
      </c>
      <c r="B1342" t="inlineStr">
        <is>
          <t>CVE-2026-27745</t>
        </is>
      </c>
      <c r="C1342" t="inlineStr">
        <is>
          <t>The SPIP interface_traduction_objets plugin versions prior to 2.2.2 contain an authenticated remote code execution vulnerability in the translation interface workflow. The plugin incorporates untrusted request data into a hidden form field that is rendered without SPIP output filtering. Because fields prefixed with an underscore bypass protection mechanisms and the hidden content is rendered with filtering disabled, an authenticated attacker with editor-level privileges can inject crafted conten</t>
        </is>
      </c>
      <c r="D1342" t="n">
        <v>8.800000000000001</v>
      </c>
      <c r="E1342" t="inlineStr">
        <is>
          <t>HIGH</t>
        </is>
      </c>
      <c r="F1342" t="n">
        <v>2</v>
      </c>
      <c r="G1342" t="n">
        <v>3</v>
      </c>
      <c r="H1342" t="inlineStr">
        <is>
          <t>HIGH</t>
        </is>
      </c>
      <c r="I1342" t="n">
        <v>14.8</v>
      </c>
      <c r="J1342" t="inlineStr">
        <is>
          <t>NO</t>
        </is>
      </c>
      <c r="K1342" t="inlineStr">
        <is>
          <t>2026-02-26 00:15</t>
        </is>
      </c>
      <c r="L1342" t="inlineStr">
        <is>
          <t>CHECK_VENDOR</t>
        </is>
      </c>
      <c r="M1342" t="inlineStr">
        <is>
          <t>See CVE details</t>
        </is>
      </c>
      <c r="N1342" t="inlineStr">
        <is>
          <t>P3</t>
        </is>
      </c>
      <c r="O1342" t="inlineStr">
        <is>
          <t>CVE - IP enrichment n/a</t>
        </is>
      </c>
      <c r="P1342" t="n">
        <v>0</v>
      </c>
      <c r="Q1342" t="n">
        <v>0</v>
      </c>
      <c r="R1342" t="inlineStr">
        <is>
          <t>T1059:Command and Scripting Interpreter | T1190:Exploit Public-Facing Application | T1210:Exploitation of Remote Services</t>
        </is>
      </c>
      <c r="S1342" t="n">
        <v>1</v>
      </c>
      <c r="T1342" t="inlineStr">
        <is>
          <t>LOW (40%)</t>
        </is>
      </c>
      <c r="U1342" t="inlineStr">
        <is>
          <t>UNLIKELY</t>
        </is>
      </c>
      <c r="V1342" t="inlineStr">
        <is>
          <t>CHECK_VENDOR</t>
        </is>
      </c>
      <c r="W1342" t="inlineStr">
        <is>
          <t>https://nvd.nist.gov/vuln/detail/CVE-2026-27745</t>
        </is>
      </c>
      <c r="X1342" t="inlineStr">
        <is>
          <t>NONE</t>
        </is>
      </c>
      <c r="Y1342" t="n">
        <v>0</v>
      </c>
      <c r="Z1342" t="inlineStr"/>
      <c r="AA1342" t="inlineStr">
        <is>
          <t>https://nvd.nist.gov/vuln/detail/CVE-2026-27745</t>
        </is>
      </c>
    </row>
    <row r="1343">
      <c r="A1343" t="inlineStr">
        <is>
          <t>CVE</t>
        </is>
      </c>
      <c r="B1343" t="inlineStr">
        <is>
          <t>CVE-2026-27746</t>
        </is>
      </c>
      <c r="C1343" t="inlineStr">
        <is>
          <t>The SPIP jeux plugin versions prior to 4.1.1 contain a reflected cross-site scripting (XSS) vulnerability in the pre_propre pipeline. The plugin incorporates untrusted request parameters into HTML output without proper output encoding, allowing attackers to inject arbitrary script content into pages that render a jeux block. When a victim is induced to visit a crafted URL, the injected content is reflected into the response and executed in the victim's browser context.</t>
        </is>
      </c>
      <c r="D1343" t="n">
        <v>6.1</v>
      </c>
      <c r="E1343" t="inlineStr">
        <is>
          <t>MEDIUM</t>
        </is>
      </c>
      <c r="F1343" t="n">
        <v>2</v>
      </c>
      <c r="G1343" t="n">
        <v>2</v>
      </c>
      <c r="H1343" t="inlineStr">
        <is>
          <t>MEDIUM</t>
        </is>
      </c>
      <c r="I1343" t="n">
        <v>10.1</v>
      </c>
      <c r="J1343" t="inlineStr">
        <is>
          <t>NO</t>
        </is>
      </c>
      <c r="K1343" t="inlineStr">
        <is>
          <t>2026-02-26 00:15</t>
        </is>
      </c>
      <c r="L1343" t="inlineStr">
        <is>
          <t>CHECK_VENDOR</t>
        </is>
      </c>
      <c r="M1343" t="inlineStr">
        <is>
          <t>See CVE details</t>
        </is>
      </c>
      <c r="N1343" t="inlineStr">
        <is>
          <t>P4</t>
        </is>
      </c>
      <c r="O1343" t="inlineStr">
        <is>
          <t>CVE - IP enrichment n/a</t>
        </is>
      </c>
      <c r="P1343" t="n">
        <v>0</v>
      </c>
      <c r="Q1343" t="n">
        <v>0</v>
      </c>
      <c r="R1343" t="inlineStr">
        <is>
          <t>T1189:Drive-by Compromise</t>
        </is>
      </c>
      <c r="S1343" t="n">
        <v>1</v>
      </c>
      <c r="T1343" t="inlineStr">
        <is>
          <t>LOW (40%)</t>
        </is>
      </c>
      <c r="U1343" t="inlineStr">
        <is>
          <t>UNLIKELY</t>
        </is>
      </c>
      <c r="V1343" t="inlineStr">
        <is>
          <t>CHECK_VENDOR</t>
        </is>
      </c>
      <c r="W1343" t="inlineStr">
        <is>
          <t>https://nvd.nist.gov/vuln/detail/CVE-2026-27746</t>
        </is>
      </c>
      <c r="X1343" t="inlineStr">
        <is>
          <t>NONE</t>
        </is>
      </c>
      <c r="Y1343" t="n">
        <v>0</v>
      </c>
      <c r="Z1343" t="inlineStr"/>
      <c r="AA1343" t="inlineStr">
        <is>
          <t>https://nvd.nist.gov/vuln/detail/CVE-2026-27746</t>
        </is>
      </c>
    </row>
    <row r="1344">
      <c r="A1344" t="inlineStr">
        <is>
          <t>CVE</t>
        </is>
      </c>
      <c r="B1344" t="inlineStr">
        <is>
          <t>CVE-2026-27747</t>
        </is>
      </c>
      <c r="C1344" t="inlineStr">
        <is>
          <t>The SPIP interface_traduction_objets plugin versions prior to 2.2.2 contain an authenticated SQL injection vulnerability in interface_traduction_objets_pipelines.php. When handling translation requests, the plugin reads the id_parent parameter from user-supplied input and concatenates it directly into a SQL WHERE clause in a call to sql_getfetsel() without input validation or parameterization. An authenticated attacker with editor-level privileges can inject crafted SQL expressions into the id_p</t>
        </is>
      </c>
      <c r="D1344" t="n">
        <v>6.5</v>
      </c>
      <c r="E1344" t="inlineStr">
        <is>
          <t>MEDIUM</t>
        </is>
      </c>
      <c r="F1344" t="n">
        <v>2</v>
      </c>
      <c r="G1344" t="n">
        <v>2</v>
      </c>
      <c r="H1344" t="inlineStr">
        <is>
          <t>MEDIUM</t>
        </is>
      </c>
      <c r="I1344" t="n">
        <v>10.5</v>
      </c>
      <c r="J1344" t="inlineStr">
        <is>
          <t>NO</t>
        </is>
      </c>
      <c r="K1344" t="inlineStr">
        <is>
          <t>2026-02-26 00:15</t>
        </is>
      </c>
      <c r="L1344" t="inlineStr">
        <is>
          <t>CHECK_VENDOR</t>
        </is>
      </c>
      <c r="M1344" t="inlineStr">
        <is>
          <t>See CVE details</t>
        </is>
      </c>
      <c r="N1344" t="inlineStr">
        <is>
          <t>P4</t>
        </is>
      </c>
      <c r="O1344" t="inlineStr">
        <is>
          <t>CVE - IP enrichment n/a</t>
        </is>
      </c>
      <c r="P1344" t="n">
        <v>0</v>
      </c>
      <c r="Q1344" t="n">
        <v>0</v>
      </c>
      <c r="R1344" t="inlineStr">
        <is>
          <t>T1190:Exploit Public-Facing Application | T1499:Endpoint Denial of Service</t>
        </is>
      </c>
      <c r="S1344" t="n">
        <v>1</v>
      </c>
      <c r="T1344" t="inlineStr">
        <is>
          <t>LOW (40%)</t>
        </is>
      </c>
      <c r="U1344" t="inlineStr">
        <is>
          <t>UNLIKELY</t>
        </is>
      </c>
      <c r="V1344" t="inlineStr">
        <is>
          <t>CHECK_VENDOR</t>
        </is>
      </c>
      <c r="W1344" t="inlineStr">
        <is>
          <t>https://nvd.nist.gov/vuln/detail/CVE-2026-27747</t>
        </is>
      </c>
      <c r="X1344" t="inlineStr">
        <is>
          <t>NONE</t>
        </is>
      </c>
      <c r="Y1344" t="n">
        <v>0</v>
      </c>
      <c r="Z1344" t="inlineStr"/>
      <c r="AA1344" t="inlineStr">
        <is>
          <t>https://nvd.nist.gov/vuln/detail/CVE-2026-27747</t>
        </is>
      </c>
    </row>
    <row r="1345">
      <c r="A1345" t="inlineStr">
        <is>
          <t>CVE</t>
        </is>
      </c>
      <c r="B1345" t="inlineStr">
        <is>
          <t>CVE-2026-3147</t>
        </is>
      </c>
      <c r="C1345" t="inlineStr">
        <is>
          <t>A vulnerability was found in libvips up to 8.18.0. This affects the function vips_foreign_load_csv_build of the file libvips/foreign/csvload.c. The manipulation results in heap-based buffer overflow. The attack requires a local approach. The exploit has been made public and could be used. The patch is identified as b3ab458a25e0e261cbd1788474bbc763f7435780. It is advisable to implement a patch to correct this issue.</t>
        </is>
      </c>
      <c r="D1345" t="n">
        <v>5.3</v>
      </c>
      <c r="E1345" t="inlineStr">
        <is>
          <t>MEDIUM</t>
        </is>
      </c>
      <c r="F1345" t="n">
        <v>2</v>
      </c>
      <c r="G1345" t="n">
        <v>2</v>
      </c>
      <c r="H1345" t="inlineStr">
        <is>
          <t>MEDIUM</t>
        </is>
      </c>
      <c r="I1345" t="n">
        <v>9.300000000000001</v>
      </c>
      <c r="J1345" t="inlineStr">
        <is>
          <t>NO</t>
        </is>
      </c>
      <c r="K1345" t="inlineStr">
        <is>
          <t>2026-02-26 00:15</t>
        </is>
      </c>
      <c r="L1345" t="inlineStr">
        <is>
          <t>YES</t>
        </is>
      </c>
      <c r="M1345" t="inlineStr">
        <is>
          <t>libvips libvips *</t>
        </is>
      </c>
      <c r="N1345" t="inlineStr">
        <is>
          <t>P4</t>
        </is>
      </c>
      <c r="O1345" t="inlineStr">
        <is>
          <t>CVE - IP enrichment n/a</t>
        </is>
      </c>
      <c r="P1345" t="n">
        <v>0</v>
      </c>
      <c r="Q1345" t="n">
        <v>0</v>
      </c>
      <c r="R1345" t="inlineStr">
        <is>
          <t>T1203:Exploitation for Client Execution</t>
        </is>
      </c>
      <c r="S1345" t="n">
        <v>1</v>
      </c>
      <c r="T1345" t="inlineStr">
        <is>
          <t>LOW (40%)</t>
        </is>
      </c>
      <c r="U1345" t="inlineStr">
        <is>
          <t>UNLIKELY</t>
        </is>
      </c>
      <c r="V1345" t="inlineStr">
        <is>
          <t>PATCH_AVAILABLE</t>
        </is>
      </c>
      <c r="W1345" t="inlineStr">
        <is>
          <t>https://nvd.nist.gov/vuln/detail/CVE-2026-3147</t>
        </is>
      </c>
      <c r="X1345" t="inlineStr">
        <is>
          <t>NONE</t>
        </is>
      </c>
      <c r="Y1345" t="n">
        <v>0</v>
      </c>
      <c r="Z1345" t="inlineStr"/>
      <c r="AA1345" t="inlineStr">
        <is>
          <t>https://nvd.nist.gov/vuln/detail/CVE-2026-3147</t>
        </is>
      </c>
    </row>
    <row r="1346">
      <c r="A1346" t="inlineStr">
        <is>
          <t>CVE</t>
        </is>
      </c>
      <c r="B1346" t="inlineStr">
        <is>
          <t>CVE-2025-0976</t>
        </is>
      </c>
      <c r="C1346" t="inlineStr">
        <is>
          <t>Information Exposure Vulnerability in Hitachi Ops Center API Configuration Manager, Hitachi Configuration Manager.This issue affects Hitachi Ops Center API Configuration Manager: from 10.0.0-00 before 11.0.4-00; Hitachi Configuration Manager: from 8.6.1-00 before 11.0.5-00.</t>
        </is>
      </c>
      <c r="D1346" t="n">
        <v>4.7</v>
      </c>
      <c r="E1346" t="inlineStr">
        <is>
          <t>MEDIUM</t>
        </is>
      </c>
      <c r="F1346" t="n">
        <v>2</v>
      </c>
      <c r="G1346" t="n">
        <v>2</v>
      </c>
      <c r="H1346" t="inlineStr">
        <is>
          <t>MEDIUM</t>
        </is>
      </c>
      <c r="I1346" t="n">
        <v>8.699999999999999</v>
      </c>
      <c r="J1346" t="inlineStr">
        <is>
          <t>NO</t>
        </is>
      </c>
      <c r="K1346" t="inlineStr">
        <is>
          <t>2026-02-26 00:15</t>
        </is>
      </c>
      <c r="L1346" t="inlineStr">
        <is>
          <t>CHECK_VENDOR</t>
        </is>
      </c>
      <c r="M1346" t="inlineStr">
        <is>
          <t>See CVE details</t>
        </is>
      </c>
      <c r="N1346" t="inlineStr">
        <is>
          <t>P4</t>
        </is>
      </c>
      <c r="O1346" t="inlineStr">
        <is>
          <t>CVE - IP enrichment n/a</t>
        </is>
      </c>
      <c r="P1346" t="n">
        <v>0.0001</v>
      </c>
      <c r="Q1346" t="n">
        <v>0.0178</v>
      </c>
      <c r="R1346" t="inlineStr">
        <is>
          <t>T1190:Exploit Public-Facing Application</t>
        </is>
      </c>
      <c r="S1346" t="n">
        <v>1</v>
      </c>
      <c r="T1346" t="inlineStr">
        <is>
          <t>LOW (40%)</t>
        </is>
      </c>
      <c r="U1346" t="inlineStr">
        <is>
          <t>UNLIKELY</t>
        </is>
      </c>
      <c r="V1346" t="inlineStr">
        <is>
          <t>CHECK_VENDOR</t>
        </is>
      </c>
      <c r="W1346" t="inlineStr">
        <is>
          <t>https://nvd.nist.gov/vuln/detail/CVE-2025-0976</t>
        </is>
      </c>
      <c r="X1346" t="inlineStr">
        <is>
          <t>NONE</t>
        </is>
      </c>
      <c r="Y1346" t="n">
        <v>0</v>
      </c>
      <c r="Z1346" t="inlineStr"/>
      <c r="AA1346" t="inlineStr">
        <is>
          <t>https://nvd.nist.gov/vuln/detail/CVE-2025-0976</t>
        </is>
      </c>
    </row>
    <row r="1347">
      <c r="A1347" t="inlineStr">
        <is>
          <t>CVE</t>
        </is>
      </c>
      <c r="B1347" t="inlineStr">
        <is>
          <t>CVE-2026-27624</t>
        </is>
      </c>
      <c r="C1347" t="inlineStr">
        <is>
          <t>Coturn is a free open source implementation of TURN and STUN Server. Coturn is commonly configured to block loopback and internal ranges using "denied-peer-ip" and/or default loopback restrictions. CVE-2020-26262 addressed bypasses involving "0.0.0.0", "[::1]" and "[::]", but IPv4-mapped IPv6 is not covered. When sending a "CreatePermission" or "ChannelBind" request with the "XOR-PEER-ADDRESS" value of "::ffff:127.0.0.1", a successful response is received, even though "127.0.0.0/8" is blocked vi</t>
        </is>
      </c>
      <c r="D1347" t="n">
        <v>7.2</v>
      </c>
      <c r="E1347" t="inlineStr">
        <is>
          <t>HIGH</t>
        </is>
      </c>
      <c r="F1347" t="n">
        <v>2</v>
      </c>
      <c r="G1347" t="n">
        <v>3</v>
      </c>
      <c r="H1347" t="inlineStr">
        <is>
          <t>HIGH</t>
        </is>
      </c>
      <c r="I1347" t="n">
        <v>13.2</v>
      </c>
      <c r="J1347" t="inlineStr">
        <is>
          <t>NO</t>
        </is>
      </c>
      <c r="K1347" t="inlineStr">
        <is>
          <t>2026-02-26 00:15</t>
        </is>
      </c>
      <c r="L1347" t="inlineStr">
        <is>
          <t>CHECK_VENDOR</t>
        </is>
      </c>
      <c r="M1347" t="inlineStr">
        <is>
          <t>See CVE details</t>
        </is>
      </c>
      <c r="N1347" t="inlineStr">
        <is>
          <t>P3</t>
        </is>
      </c>
      <c r="O1347" t="inlineStr">
        <is>
          <t>CVE - IP enrichment n/a</t>
        </is>
      </c>
      <c r="P1347" t="n">
        <v>0.0003</v>
      </c>
      <c r="Q1347" t="n">
        <v>0.07149999999999999</v>
      </c>
      <c r="R1347" t="inlineStr">
        <is>
          <t>T1190:Exploit Public-Facing Application</t>
        </is>
      </c>
      <c r="S1347" t="n">
        <v>1</v>
      </c>
      <c r="T1347" t="inlineStr">
        <is>
          <t>LOW (40%)</t>
        </is>
      </c>
      <c r="U1347" t="inlineStr">
        <is>
          <t>UNLIKELY</t>
        </is>
      </c>
      <c r="V1347" t="inlineStr">
        <is>
          <t>CHECK_VENDOR</t>
        </is>
      </c>
      <c r="W1347" t="inlineStr">
        <is>
          <t>https://nvd.nist.gov/vuln/detail/CVE-2026-27624</t>
        </is>
      </c>
      <c r="X1347" t="inlineStr">
        <is>
          <t>NONE</t>
        </is>
      </c>
      <c r="Y1347" t="n">
        <v>0</v>
      </c>
      <c r="Z1347" t="inlineStr"/>
      <c r="AA1347" t="inlineStr">
        <is>
          <t>https://nvd.nist.gov/vuln/detail/CVE-2026-27624</t>
        </is>
      </c>
    </row>
    <row r="1348">
      <c r="A1348" t="inlineStr">
        <is>
          <t>CVE</t>
        </is>
      </c>
      <c r="B1348" t="inlineStr">
        <is>
          <t>CVE-2026-27645</t>
        </is>
      </c>
      <c r="C1348" t="inlineStr">
        <is>
          <t>changedetection.io is a free open source web page change detection tool. In versions prior to 0.54.1, the RSS single-watch endpoint reflects the UUID path parameter directly in the HTTP response body without HTML escaping. Since Flask returns text/html by default for plain string responses, the browser parses and executes injected JavaScript. Version 0.54.1 contains a fix for the issue.</t>
        </is>
      </c>
      <c r="D1348" t="n">
        <v>6.1</v>
      </c>
      <c r="E1348" t="inlineStr">
        <is>
          <t>MEDIUM</t>
        </is>
      </c>
      <c r="F1348" t="n">
        <v>2</v>
      </c>
      <c r="G1348" t="n">
        <v>2</v>
      </c>
      <c r="H1348" t="inlineStr">
        <is>
          <t>MEDIUM</t>
        </is>
      </c>
      <c r="I1348" t="n">
        <v>10.1</v>
      </c>
      <c r="J1348" t="inlineStr">
        <is>
          <t>NO</t>
        </is>
      </c>
      <c r="K1348" t="inlineStr">
        <is>
          <t>2026-02-26 00:15</t>
        </is>
      </c>
      <c r="L1348" t="inlineStr">
        <is>
          <t>YES</t>
        </is>
      </c>
      <c r="M1348" t="inlineStr">
        <is>
          <t>webtechnologies changedetection *</t>
        </is>
      </c>
      <c r="N1348" t="inlineStr">
        <is>
          <t>P4</t>
        </is>
      </c>
      <c r="O1348" t="inlineStr">
        <is>
          <t>CVE - IP enrichment n/a</t>
        </is>
      </c>
      <c r="P1348" t="n">
        <v>0.0003</v>
      </c>
      <c r="Q1348" t="n">
        <v>0.0803</v>
      </c>
      <c r="R1348" t="inlineStr">
        <is>
          <t>T1189:Drive-by Compromise | T1190:Exploit Public-Facing Application</t>
        </is>
      </c>
      <c r="S1348" t="n">
        <v>1</v>
      </c>
      <c r="T1348" t="inlineStr">
        <is>
          <t>LOW (40%)</t>
        </is>
      </c>
      <c r="U1348" t="inlineStr">
        <is>
          <t>UNLIKELY</t>
        </is>
      </c>
      <c r="V1348" t="inlineStr">
        <is>
          <t>PATCH_AVAILABLE</t>
        </is>
      </c>
      <c r="W1348" t="inlineStr">
        <is>
          <t>https://nvd.nist.gov/vuln/detail/CVE-2026-27645</t>
        </is>
      </c>
      <c r="X1348" t="inlineStr">
        <is>
          <t>NONE</t>
        </is>
      </c>
      <c r="Y1348" t="n">
        <v>0</v>
      </c>
      <c r="Z1348" t="inlineStr"/>
      <c r="AA1348" t="inlineStr">
        <is>
          <t>https://nvd.nist.gov/vuln/detail/CVE-2026-27645</t>
        </is>
      </c>
    </row>
    <row r="1349">
      <c r="A1349" t="inlineStr">
        <is>
          <t>CVE</t>
        </is>
      </c>
      <c r="B1349" t="inlineStr">
        <is>
          <t>CVE-2026-27696</t>
        </is>
      </c>
      <c r="C1349" t="inlineStr">
        <is>
          <t xml:space="preserve">changedetection.io is a free open source web page change detection tool. In versions prior to 0.54.1, changedetection.io is vulnerable to Server-Side Request Forgery (SSRF) because the URL validation function `is_safe_valid_url()` does not validate the resolved IP address of watch URLs against private, loopback, or link-local address ranges. An authenticated user (or any user when no password is configured, which is the default) can add a watch for internal network URLs. The application fetches </t>
        </is>
      </c>
      <c r="D1349" t="n">
        <v>8.6</v>
      </c>
      <c r="E1349" t="inlineStr">
        <is>
          <t>HIGH</t>
        </is>
      </c>
      <c r="F1349" t="n">
        <v>2</v>
      </c>
      <c r="G1349" t="n">
        <v>3</v>
      </c>
      <c r="H1349" t="inlineStr">
        <is>
          <t>HIGH</t>
        </is>
      </c>
      <c r="I1349" t="n">
        <v>14.6</v>
      </c>
      <c r="J1349" t="inlineStr">
        <is>
          <t>NO</t>
        </is>
      </c>
      <c r="K1349" t="inlineStr">
        <is>
          <t>2026-02-26 00:15</t>
        </is>
      </c>
      <c r="L1349" t="inlineStr">
        <is>
          <t>CHECK_VENDOR</t>
        </is>
      </c>
      <c r="M1349" t="inlineStr">
        <is>
          <t>See CVE details</t>
        </is>
      </c>
      <c r="N1349" t="inlineStr">
        <is>
          <t>P3</t>
        </is>
      </c>
      <c r="O1349" t="inlineStr">
        <is>
          <t>CVE - IP enrichment n/a</t>
        </is>
      </c>
      <c r="P1349" t="n">
        <v>0</v>
      </c>
      <c r="Q1349" t="n">
        <v>0</v>
      </c>
      <c r="R1349" t="inlineStr">
        <is>
          <t>T1090:Proxy | T1190:Exploit Public-Facing Application | T1041:Exfiltration Over C2 Channel</t>
        </is>
      </c>
      <c r="S1349" t="n">
        <v>1</v>
      </c>
      <c r="T1349" t="inlineStr">
        <is>
          <t>LOW (40%)</t>
        </is>
      </c>
      <c r="U1349" t="inlineStr">
        <is>
          <t>UNLIKELY</t>
        </is>
      </c>
      <c r="V1349" t="inlineStr">
        <is>
          <t>CHECK_VENDOR</t>
        </is>
      </c>
      <c r="W1349" t="inlineStr">
        <is>
          <t>https://nvd.nist.gov/vuln/detail/CVE-2026-27696</t>
        </is>
      </c>
      <c r="X1349" t="inlineStr">
        <is>
          <t>NONE</t>
        </is>
      </c>
      <c r="Y1349" t="n">
        <v>0</v>
      </c>
      <c r="Z1349" t="inlineStr"/>
      <c r="AA1349" t="inlineStr">
        <is>
          <t>https://nvd.nist.gov/vuln/detail/CVE-2026-27696</t>
        </is>
      </c>
    </row>
    <row r="1350">
      <c r="A1350" t="inlineStr">
        <is>
          <t>CVE</t>
        </is>
      </c>
      <c r="B1350" t="inlineStr">
        <is>
          <t>CVE-2026-3148</t>
        </is>
      </c>
      <c r="C1350" t="inlineStr">
        <is>
          <t>A vulnerability was determined in SourceCodester Simple and Nice Shopping Cart Script 1.0. This impacts an unknown function of the file /signup.php. This manipulation of the argument Username causes sql injection. The attack may be initiated remotely. The exploit has been publicly disclosed and may be utilized.</t>
        </is>
      </c>
      <c r="D1350" t="n">
        <v>7.3</v>
      </c>
      <c r="E1350" t="inlineStr">
        <is>
          <t>HIGH</t>
        </is>
      </c>
      <c r="F1350" t="n">
        <v>2</v>
      </c>
      <c r="G1350" t="n">
        <v>3</v>
      </c>
      <c r="H1350" t="inlineStr">
        <is>
          <t>HIGH</t>
        </is>
      </c>
      <c r="I1350" t="n">
        <v>13.3</v>
      </c>
      <c r="J1350" t="inlineStr">
        <is>
          <t>NO</t>
        </is>
      </c>
      <c r="K1350" t="inlineStr">
        <is>
          <t>2026-02-26 00:15</t>
        </is>
      </c>
      <c r="L1350" t="inlineStr">
        <is>
          <t>CHECK_VENDOR</t>
        </is>
      </c>
      <c r="M1350" t="inlineStr">
        <is>
          <t>haben-cs9 simple_and_nice_shopping_cart_script 1.0</t>
        </is>
      </c>
      <c r="N1350" t="inlineStr">
        <is>
          <t>P3</t>
        </is>
      </c>
      <c r="O1350" t="inlineStr">
        <is>
          <t>CVE - IP enrichment n/a</t>
        </is>
      </c>
      <c r="P1350" t="n">
        <v>0</v>
      </c>
      <c r="Q1350" t="n">
        <v>0</v>
      </c>
      <c r="R1350" t="inlineStr">
        <is>
          <t>T1190:Exploit Public-Facing Application</t>
        </is>
      </c>
      <c r="S1350" t="n">
        <v>1</v>
      </c>
      <c r="T1350" t="inlineStr">
        <is>
          <t>LOW (40%)</t>
        </is>
      </c>
      <c r="U1350" t="inlineStr">
        <is>
          <t>UNLIKELY</t>
        </is>
      </c>
      <c r="V1350" t="inlineStr">
        <is>
          <t>CHECK_VENDOR</t>
        </is>
      </c>
      <c r="W1350" t="inlineStr">
        <is>
          <t>https://nvd.nist.gov/vuln/detail/CVE-2026-3148</t>
        </is>
      </c>
      <c r="X1350" t="inlineStr">
        <is>
          <t>NONE</t>
        </is>
      </c>
      <c r="Y1350" t="n">
        <v>0</v>
      </c>
      <c r="Z1350" t="inlineStr"/>
      <c r="AA1350" t="inlineStr">
        <is>
          <t>https://nvd.nist.gov/vuln/detail/CVE-2026-3148</t>
        </is>
      </c>
    </row>
    <row r="1351">
      <c r="A1351" t="inlineStr">
        <is>
          <t>CVE</t>
        </is>
      </c>
      <c r="B1351" t="inlineStr">
        <is>
          <t>CVE-2026-3149</t>
        </is>
      </c>
      <c r="C1351" t="inlineStr">
        <is>
          <t>A weakness has been identified in itsourcecode College Management System 1.0. Affected by this issue is some unknown functionality of the file /admin/asign-single-student-subjects.php. Executing a manipulation of the argument course_code can lead to sql injection. The attack can be executed remotely. The exploit has been made available to the public and could be used for attacks.</t>
        </is>
      </c>
      <c r="D1351" t="n">
        <v>6.3</v>
      </c>
      <c r="E1351" t="inlineStr">
        <is>
          <t>MEDIUM</t>
        </is>
      </c>
      <c r="F1351" t="n">
        <v>2</v>
      </c>
      <c r="G1351" t="n">
        <v>2</v>
      </c>
      <c r="H1351" t="inlineStr">
        <is>
          <t>MEDIUM</t>
        </is>
      </c>
      <c r="I1351" t="n">
        <v>10.3</v>
      </c>
      <c r="J1351" t="inlineStr">
        <is>
          <t>NO</t>
        </is>
      </c>
      <c r="K1351" t="inlineStr">
        <is>
          <t>2026-02-26 00:15</t>
        </is>
      </c>
      <c r="L1351" t="inlineStr">
        <is>
          <t>YES</t>
        </is>
      </c>
      <c r="M1351" t="inlineStr">
        <is>
          <t>angeljudesuarez college_management_system 1.0</t>
        </is>
      </c>
      <c r="N1351" t="inlineStr">
        <is>
          <t>P4</t>
        </is>
      </c>
      <c r="O1351" t="inlineStr">
        <is>
          <t>CVE - IP enrichment n/a</t>
        </is>
      </c>
      <c r="P1351" t="n">
        <v>0</v>
      </c>
      <c r="Q1351" t="n">
        <v>0</v>
      </c>
      <c r="R1351" t="inlineStr">
        <is>
          <t>T1190:Exploit Public-Facing Application</t>
        </is>
      </c>
      <c r="S1351" t="n">
        <v>1</v>
      </c>
      <c r="T1351" t="inlineStr">
        <is>
          <t>LOW (40%)</t>
        </is>
      </c>
      <c r="U1351" t="inlineStr">
        <is>
          <t>UNLIKELY</t>
        </is>
      </c>
      <c r="V1351" t="inlineStr">
        <is>
          <t>PATCH_AVAILABLE</t>
        </is>
      </c>
      <c r="W1351" t="inlineStr">
        <is>
          <t>https://nvd.nist.gov/vuln/detail/CVE-2026-3149</t>
        </is>
      </c>
      <c r="X1351" t="inlineStr">
        <is>
          <t>NONE</t>
        </is>
      </c>
      <c r="Y1351" t="n">
        <v>0</v>
      </c>
      <c r="Z1351" t="inlineStr"/>
      <c r="AA1351" t="inlineStr">
        <is>
          <t>https://nvd.nist.gov/vuln/detail/CVE-2026-3149</t>
        </is>
      </c>
    </row>
    <row r="1352">
      <c r="A1352" t="inlineStr">
        <is>
          <t>CVE</t>
        </is>
      </c>
      <c r="B1352" t="inlineStr">
        <is>
          <t>CVE-2026-3150</t>
        </is>
      </c>
      <c r="C1352" t="inlineStr">
        <is>
          <t>A security vulnerability has been detected in itsourcecode College Management System 1.0. This affects an unknown part of the file /admin/display-teacher.php. The manipulation of the argument teacher_id leads to sql injection. The attack is possible to be carried out remotely. The exploit has been disclosed publicly and may be used.</t>
        </is>
      </c>
      <c r="D1352" t="n">
        <v>6.3</v>
      </c>
      <c r="E1352" t="inlineStr">
        <is>
          <t>MEDIUM</t>
        </is>
      </c>
      <c r="F1352" t="n">
        <v>2</v>
      </c>
      <c r="G1352" t="n">
        <v>2</v>
      </c>
      <c r="H1352" t="inlineStr">
        <is>
          <t>MEDIUM</t>
        </is>
      </c>
      <c r="I1352" t="n">
        <v>10.3</v>
      </c>
      <c r="J1352" t="inlineStr">
        <is>
          <t>NO</t>
        </is>
      </c>
      <c r="K1352" t="inlineStr">
        <is>
          <t>2026-02-26 00:15</t>
        </is>
      </c>
      <c r="L1352" t="inlineStr">
        <is>
          <t>YES</t>
        </is>
      </c>
      <c r="M1352" t="inlineStr">
        <is>
          <t>angeljudesuarez college_management_system 1.0</t>
        </is>
      </c>
      <c r="N1352" t="inlineStr">
        <is>
          <t>P4</t>
        </is>
      </c>
      <c r="O1352" t="inlineStr">
        <is>
          <t>CVE - IP enrichment n/a</t>
        </is>
      </c>
      <c r="P1352" t="n">
        <v>0.0003</v>
      </c>
      <c r="Q1352" t="n">
        <v>0.07729999999999999</v>
      </c>
      <c r="R1352" t="inlineStr">
        <is>
          <t>T1190:Exploit Public-Facing Application</t>
        </is>
      </c>
      <c r="S1352" t="n">
        <v>1</v>
      </c>
      <c r="T1352" t="inlineStr">
        <is>
          <t>LOW (40%)</t>
        </is>
      </c>
      <c r="U1352" t="inlineStr">
        <is>
          <t>UNLIKELY</t>
        </is>
      </c>
      <c r="V1352" t="inlineStr">
        <is>
          <t>PATCH_AVAILABLE</t>
        </is>
      </c>
      <c r="W1352" t="inlineStr">
        <is>
          <t>https://nvd.nist.gov/vuln/detail/CVE-2026-3150</t>
        </is>
      </c>
      <c r="X1352" t="inlineStr">
        <is>
          <t>NONE</t>
        </is>
      </c>
      <c r="Y1352" t="n">
        <v>0</v>
      </c>
      <c r="Z1352" t="inlineStr"/>
      <c r="AA1352" t="inlineStr">
        <is>
          <t>https://nvd.nist.gov/vuln/detail/CVE-2026-3150</t>
        </is>
      </c>
    </row>
    <row r="1353">
      <c r="A1353" t="inlineStr">
        <is>
          <t>CVE</t>
        </is>
      </c>
      <c r="B1353" t="inlineStr">
        <is>
          <t>CVE-2026-25785</t>
        </is>
      </c>
      <c r="C1353" t="inlineStr">
        <is>
          <t>Path traversal vulnerability exists in Lanscope Endpoint Manager (On-Premises) Sub-Manager Server Ver.9.4.7.3 and earlier, which may allow an attacker to tamper with arbitrary files and execute arbitrary code on the affected system.</t>
        </is>
      </c>
      <c r="D1353" t="n">
        <v>9.800000000000001</v>
      </c>
      <c r="E1353" t="inlineStr">
        <is>
          <t>CRITICAL</t>
        </is>
      </c>
      <c r="F1353" t="n">
        <v>2</v>
      </c>
      <c r="G1353" t="n">
        <v>3</v>
      </c>
      <c r="H1353" t="inlineStr">
        <is>
          <t>HIGH</t>
        </is>
      </c>
      <c r="I1353" t="n">
        <v>15.8</v>
      </c>
      <c r="J1353" t="inlineStr">
        <is>
          <t>NO</t>
        </is>
      </c>
      <c r="K1353" t="inlineStr">
        <is>
          <t>2026-02-26 00:15</t>
        </is>
      </c>
      <c r="L1353" t="inlineStr">
        <is>
          <t>CHECK_VENDOR</t>
        </is>
      </c>
      <c r="M1353" t="inlineStr">
        <is>
          <t>See CVE details</t>
        </is>
      </c>
      <c r="N1353" t="inlineStr">
        <is>
          <t>P3</t>
        </is>
      </c>
      <c r="O1353" t="inlineStr">
        <is>
          <t>CVE - IP enrichment n/a</t>
        </is>
      </c>
      <c r="P1353" t="n">
        <v>0.0008</v>
      </c>
      <c r="Q1353" t="n">
        <v>0.2419</v>
      </c>
      <c r="R1353" t="inlineStr">
        <is>
          <t>T1083:File and Directory Discovery | T1203:Exploitation for Client Execution</t>
        </is>
      </c>
      <c r="S1353" t="n">
        <v>1</v>
      </c>
      <c r="T1353" t="inlineStr">
        <is>
          <t>LOW (40%)</t>
        </is>
      </c>
      <c r="U1353" t="inlineStr">
        <is>
          <t>UNLIKELY</t>
        </is>
      </c>
      <c r="V1353" t="inlineStr">
        <is>
          <t>CHECK_VENDOR</t>
        </is>
      </c>
      <c r="W1353" t="inlineStr">
        <is>
          <t>https://nvd.nist.gov/vuln/detail/CVE-2026-25785</t>
        </is>
      </c>
      <c r="X1353" t="inlineStr">
        <is>
          <t>NONE</t>
        </is>
      </c>
      <c r="Y1353" t="n">
        <v>0</v>
      </c>
      <c r="Z1353" t="inlineStr"/>
      <c r="AA1353" t="inlineStr">
        <is>
          <t>https://nvd.nist.gov/vuln/detail/CVE-2026-25785</t>
        </is>
      </c>
    </row>
    <row r="1354">
      <c r="A1354" t="inlineStr">
        <is>
          <t>CVE</t>
        </is>
      </c>
      <c r="B1354" t="inlineStr">
        <is>
          <t>CVE-2026-3100</t>
        </is>
      </c>
      <c r="C1354" t="inlineStr">
        <is>
          <t>The FTP Backup on the ADM will not properly strictly enforce TLS certificate verification while connecting to an FTP server using FTPES/FTPS. An improper validated TLS/SSL certificates allows a remote attacker can intercept network traffic to perform a Man-in-the-Middle (MitM) attack, which may intercept, modify, or obtain sensitive information such as authentication credentials and backup data.
Affected products and versions include: from ADM 4.1.0 through ADM 4.3.3.ROF1 as well as from ADM 5.0</t>
        </is>
      </c>
      <c r="D1354" t="n">
        <v>8.5</v>
      </c>
      <c r="E1354" t="inlineStr">
        <is>
          <t>HIGH</t>
        </is>
      </c>
      <c r="F1354" t="n">
        <v>2</v>
      </c>
      <c r="G1354" t="n">
        <v>3</v>
      </c>
      <c r="H1354" t="inlineStr">
        <is>
          <t>HIGH</t>
        </is>
      </c>
      <c r="I1354" t="n">
        <v>14.5</v>
      </c>
      <c r="J1354" t="inlineStr">
        <is>
          <t>NO</t>
        </is>
      </c>
      <c r="K1354" t="inlineStr">
        <is>
          <t>2026-02-26 00:15</t>
        </is>
      </c>
      <c r="L1354" t="inlineStr">
        <is>
          <t>CHECK_VENDOR</t>
        </is>
      </c>
      <c r="M1354" t="inlineStr">
        <is>
          <t>See CVE details</t>
        </is>
      </c>
      <c r="N1354" t="inlineStr">
        <is>
          <t>P3</t>
        </is>
      </c>
      <c r="O1354" t="inlineStr">
        <is>
          <t>CVE - IP enrichment n/a</t>
        </is>
      </c>
      <c r="P1354" t="n">
        <v>0</v>
      </c>
      <c r="Q1354" t="n">
        <v>0</v>
      </c>
      <c r="R1354" t="inlineStr">
        <is>
          <t>T1190:Exploit Public-Facing Application | T1552:Unsecured Credentials | T1557:Adversary-in-the-Middle</t>
        </is>
      </c>
      <c r="S1354" t="n">
        <v>1</v>
      </c>
      <c r="T1354" t="inlineStr">
        <is>
          <t>LOW (40%)</t>
        </is>
      </c>
      <c r="U1354" t="inlineStr">
        <is>
          <t>UNLIKELY</t>
        </is>
      </c>
      <c r="V1354" t="inlineStr">
        <is>
          <t>CHECK_VENDOR</t>
        </is>
      </c>
      <c r="W1354" t="inlineStr">
        <is>
          <t>https://nvd.nist.gov/vuln/detail/CVE-2026-3100</t>
        </is>
      </c>
      <c r="X1354" t="inlineStr">
        <is>
          <t>NONE</t>
        </is>
      </c>
      <c r="Y1354" t="n">
        <v>0</v>
      </c>
      <c r="Z1354" t="inlineStr"/>
      <c r="AA1354" t="inlineStr">
        <is>
          <t>https://nvd.nist.gov/vuln/detail/CVE-2026-3100</t>
        </is>
      </c>
    </row>
    <row r="1355">
      <c r="A1355" t="inlineStr">
        <is>
          <t>CVE</t>
        </is>
      </c>
      <c r="B1355" t="inlineStr">
        <is>
          <t>CVE-2026-3151</t>
        </is>
      </c>
      <c r="C1355" t="inlineStr">
        <is>
          <t>A vulnerability was detected in itsourcecode College Management System 1.0. This vulnerability affects unknown code of the file /login/login.php. The manipulation of the argument email results in sql injection. The attack may be performed from remote. The exploit is now public and may be used.</t>
        </is>
      </c>
      <c r="D1355" t="n">
        <v>7.3</v>
      </c>
      <c r="E1355" t="inlineStr">
        <is>
          <t>HIGH</t>
        </is>
      </c>
      <c r="F1355" t="n">
        <v>2</v>
      </c>
      <c r="G1355" t="n">
        <v>3</v>
      </c>
      <c r="H1355" t="inlineStr">
        <is>
          <t>HIGH</t>
        </is>
      </c>
      <c r="I1355" t="n">
        <v>13.3</v>
      </c>
      <c r="J1355" t="inlineStr">
        <is>
          <t>NO</t>
        </is>
      </c>
      <c r="K1355" t="inlineStr">
        <is>
          <t>2026-02-26 00:15</t>
        </is>
      </c>
      <c r="L1355" t="inlineStr">
        <is>
          <t>CHECK_VENDOR</t>
        </is>
      </c>
      <c r="M1355" t="inlineStr">
        <is>
          <t>angeljudesuarez college_management_system 1.0</t>
        </is>
      </c>
      <c r="N1355" t="inlineStr">
        <is>
          <t>P3</t>
        </is>
      </c>
      <c r="O1355" t="inlineStr">
        <is>
          <t>CVE - IP enrichment n/a</t>
        </is>
      </c>
      <c r="P1355" t="n">
        <v>0</v>
      </c>
      <c r="Q1355" t="n">
        <v>0</v>
      </c>
      <c r="R1355" t="inlineStr">
        <is>
          <t>T1190:Exploit Public-Facing Application</t>
        </is>
      </c>
      <c r="S1355" t="n">
        <v>1</v>
      </c>
      <c r="T1355" t="inlineStr">
        <is>
          <t>LOW (40%)</t>
        </is>
      </c>
      <c r="U1355" t="inlineStr">
        <is>
          <t>UNLIKELY</t>
        </is>
      </c>
      <c r="V1355" t="inlineStr">
        <is>
          <t>CHECK_VENDOR</t>
        </is>
      </c>
      <c r="W1355" t="inlineStr">
        <is>
          <t>https://nvd.nist.gov/vuln/detail/CVE-2026-3151</t>
        </is>
      </c>
      <c r="X1355" t="inlineStr">
        <is>
          <t>NONE</t>
        </is>
      </c>
      <c r="Y1355" t="n">
        <v>0</v>
      </c>
      <c r="Z1355" t="inlineStr"/>
      <c r="AA1355" t="inlineStr">
        <is>
          <t>https://nvd.nist.gov/vuln/detail/CVE-2026-3151</t>
        </is>
      </c>
    </row>
    <row r="1356">
      <c r="A1356" t="inlineStr">
        <is>
          <t>CVE</t>
        </is>
      </c>
      <c r="B1356" t="inlineStr">
        <is>
          <t>CVE-2026-3152</t>
        </is>
      </c>
      <c r="C1356" t="inlineStr">
        <is>
          <t>A flaw has been found in itsourcecode College Management System 1.0. This issue affects some unknown processing of the file /admin/teacher-salary.php. This manipulation of the argument teacher_id causes sql injection. It is possible to initiate the attack remotely. The exploit has been published and may be used.</t>
        </is>
      </c>
      <c r="D1356" t="n">
        <v>7.3</v>
      </c>
      <c r="E1356" t="inlineStr">
        <is>
          <t>HIGH</t>
        </is>
      </c>
      <c r="F1356" t="n">
        <v>2</v>
      </c>
      <c r="G1356" t="n">
        <v>3</v>
      </c>
      <c r="H1356" t="inlineStr">
        <is>
          <t>HIGH</t>
        </is>
      </c>
      <c r="I1356" t="n">
        <v>13.3</v>
      </c>
      <c r="J1356" t="inlineStr">
        <is>
          <t>NO</t>
        </is>
      </c>
      <c r="K1356" t="inlineStr">
        <is>
          <t>2026-02-26 00:15</t>
        </is>
      </c>
      <c r="L1356" t="inlineStr">
        <is>
          <t>CHECK_VENDOR</t>
        </is>
      </c>
      <c r="M1356" t="inlineStr">
        <is>
          <t>angeljudesuarez college_management_system 1.0</t>
        </is>
      </c>
      <c r="N1356" t="inlineStr">
        <is>
          <t>P3</t>
        </is>
      </c>
      <c r="O1356" t="inlineStr">
        <is>
          <t>CVE - IP enrichment n/a</t>
        </is>
      </c>
      <c r="P1356" t="n">
        <v>0.0003</v>
      </c>
      <c r="Q1356" t="n">
        <v>0.0842</v>
      </c>
      <c r="R1356" t="inlineStr">
        <is>
          <t>T1190:Exploit Public-Facing Application</t>
        </is>
      </c>
      <c r="S1356" t="n">
        <v>1</v>
      </c>
      <c r="T1356" t="inlineStr">
        <is>
          <t>LOW (40%)</t>
        </is>
      </c>
      <c r="U1356" t="inlineStr">
        <is>
          <t>UNLIKELY</t>
        </is>
      </c>
      <c r="V1356" t="inlineStr">
        <is>
          <t>CHECK_VENDOR</t>
        </is>
      </c>
      <c r="W1356" t="inlineStr">
        <is>
          <t>https://nvd.nist.gov/vuln/detail/CVE-2026-3152</t>
        </is>
      </c>
      <c r="X1356" t="inlineStr">
        <is>
          <t>NONE</t>
        </is>
      </c>
      <c r="Y1356" t="n">
        <v>0</v>
      </c>
      <c r="Z1356" t="inlineStr"/>
      <c r="AA1356" t="inlineStr">
        <is>
          <t>https://nvd.nist.gov/vuln/detail/CVE-2026-3152</t>
        </is>
      </c>
    </row>
    <row r="1357">
      <c r="A1357" t="inlineStr">
        <is>
          <t>CVE</t>
        </is>
      </c>
      <c r="B1357" t="inlineStr">
        <is>
          <t>CVE-2026-3153</t>
        </is>
      </c>
      <c r="C1357" t="inlineStr">
        <is>
          <t>A vulnerability has been found in itsourcecode Document Management System 1.0. Impacted is an unknown function of the file /register.php. Such manipulation of the argument Username leads to sql injection. It is possible to launch the attack remotely. The exploit has been disclosed to the public and may be used.</t>
        </is>
      </c>
      <c r="D1357" t="n">
        <v>7.3</v>
      </c>
      <c r="E1357" t="inlineStr">
        <is>
          <t>HIGH</t>
        </is>
      </c>
      <c r="F1357" t="n">
        <v>2</v>
      </c>
      <c r="G1357" t="n">
        <v>3</v>
      </c>
      <c r="H1357" t="inlineStr">
        <is>
          <t>HIGH</t>
        </is>
      </c>
      <c r="I1357" t="n">
        <v>13.3</v>
      </c>
      <c r="J1357" t="inlineStr">
        <is>
          <t>NO</t>
        </is>
      </c>
      <c r="K1357" t="inlineStr">
        <is>
          <t>2026-02-26 00:15</t>
        </is>
      </c>
      <c r="L1357" t="inlineStr">
        <is>
          <t>CHECK_VENDOR</t>
        </is>
      </c>
      <c r="M1357" t="inlineStr">
        <is>
          <t>admerc document_management_system 1.0</t>
        </is>
      </c>
      <c r="N1357" t="inlineStr">
        <is>
          <t>P3</t>
        </is>
      </c>
      <c r="O1357" t="inlineStr">
        <is>
          <t>CVE - IP enrichment n/a</t>
        </is>
      </c>
      <c r="P1357" t="n">
        <v>0</v>
      </c>
      <c r="Q1357" t="n">
        <v>0</v>
      </c>
      <c r="R1357" t="inlineStr">
        <is>
          <t>T1190:Exploit Public-Facing Application</t>
        </is>
      </c>
      <c r="S1357" t="n">
        <v>1</v>
      </c>
      <c r="T1357" t="inlineStr">
        <is>
          <t>LOW (40%)</t>
        </is>
      </c>
      <c r="U1357" t="inlineStr">
        <is>
          <t>UNLIKELY</t>
        </is>
      </c>
      <c r="V1357" t="inlineStr">
        <is>
          <t>CHECK_VENDOR</t>
        </is>
      </c>
      <c r="W1357" t="inlineStr">
        <is>
          <t>https://nvd.nist.gov/vuln/detail/CVE-2026-3153</t>
        </is>
      </c>
      <c r="X1357" t="inlineStr">
        <is>
          <t>NONE</t>
        </is>
      </c>
      <c r="Y1357" t="n">
        <v>0</v>
      </c>
      <c r="Z1357" t="inlineStr"/>
      <c r="AA1357" t="inlineStr">
        <is>
          <t>https://nvd.nist.gov/vuln/detail/CVE-2026-3153</t>
        </is>
      </c>
    </row>
    <row r="1358">
      <c r="A1358" t="inlineStr">
        <is>
          <t>CVE</t>
        </is>
      </c>
      <c r="B1358" t="inlineStr">
        <is>
          <t>CVE-2026-3163</t>
        </is>
      </c>
      <c r="C1358" t="inlineStr">
        <is>
          <t>A vulnerability has been found in SourceCodester Website Link Extractor 1.0. This vulnerability affects the function file_get_contents of the component URL Handler. The manipulation leads to server-side request forgery. It is possible to initiate the attack remotely. The exploit has been disclosed to the public and may be used.</t>
        </is>
      </c>
      <c r="D1358" t="n">
        <v>6.3</v>
      </c>
      <c r="E1358" t="inlineStr">
        <is>
          <t>MEDIUM</t>
        </is>
      </c>
      <c r="F1358" t="n">
        <v>2</v>
      </c>
      <c r="G1358" t="n">
        <v>2</v>
      </c>
      <c r="H1358" t="inlineStr">
        <is>
          <t>MEDIUM</t>
        </is>
      </c>
      <c r="I1358" t="n">
        <v>10.3</v>
      </c>
      <c r="J1358" t="inlineStr">
        <is>
          <t>NO</t>
        </is>
      </c>
      <c r="K1358" t="inlineStr">
        <is>
          <t>2026-02-26 00:15</t>
        </is>
      </c>
      <c r="L1358" t="inlineStr">
        <is>
          <t>CHECK_VENDOR</t>
        </is>
      </c>
      <c r="M1358" t="inlineStr">
        <is>
          <t>remyandrade website_link_extractor 1.0</t>
        </is>
      </c>
      <c r="N1358" t="inlineStr">
        <is>
          <t>P4</t>
        </is>
      </c>
      <c r="O1358" t="inlineStr">
        <is>
          <t>CVE - IP enrichment n/a</t>
        </is>
      </c>
      <c r="P1358" t="n">
        <v>0</v>
      </c>
      <c r="Q1358" t="n">
        <v>0</v>
      </c>
      <c r="R1358" t="inlineStr">
        <is>
          <t>T1090:Proxy | T1190:Exploit Public-Facing Application</t>
        </is>
      </c>
      <c r="S1358" t="n">
        <v>1</v>
      </c>
      <c r="T1358" t="inlineStr">
        <is>
          <t>LOW (40%)</t>
        </is>
      </c>
      <c r="U1358" t="inlineStr">
        <is>
          <t>UNLIKELY</t>
        </is>
      </c>
      <c r="V1358" t="inlineStr">
        <is>
          <t>CHECK_VENDOR</t>
        </is>
      </c>
      <c r="W1358" t="inlineStr">
        <is>
          <t>https://nvd.nist.gov/vuln/detail/CVE-2026-3163</t>
        </is>
      </c>
      <c r="X1358" t="inlineStr">
        <is>
          <t>NONE</t>
        </is>
      </c>
      <c r="Y1358" t="n">
        <v>0</v>
      </c>
      <c r="Z1358" t="inlineStr"/>
      <c r="AA1358" t="inlineStr">
        <is>
          <t>https://nvd.nist.gov/vuln/detail/CVE-2026-3163</t>
        </is>
      </c>
    </row>
    <row r="1359">
      <c r="A1359" t="inlineStr">
        <is>
          <t>CVE</t>
        </is>
      </c>
      <c r="B1359" t="inlineStr">
        <is>
          <t>CVE-2026-3164</t>
        </is>
      </c>
      <c r="C1359" t="inlineStr">
        <is>
          <t>A vulnerability was found in itsourcecode News Portal Project 1.0. This issue affects some unknown processing of the file /admin/contactus.php. The manipulation of the argument pagetitle results in sql injection. It is possible to launch the attack remotely. The exploit has been made public and could be used.</t>
        </is>
      </c>
      <c r="D1359" t="n">
        <v>7.3</v>
      </c>
      <c r="E1359" t="inlineStr">
        <is>
          <t>HIGH</t>
        </is>
      </c>
      <c r="F1359" t="n">
        <v>2</v>
      </c>
      <c r="G1359" t="n">
        <v>3</v>
      </c>
      <c r="H1359" t="inlineStr">
        <is>
          <t>HIGH</t>
        </is>
      </c>
      <c r="I1359" t="n">
        <v>13.3</v>
      </c>
      <c r="J1359" t="inlineStr">
        <is>
          <t>NO</t>
        </is>
      </c>
      <c r="K1359" t="inlineStr">
        <is>
          <t>2026-02-26 00:15</t>
        </is>
      </c>
      <c r="L1359" t="inlineStr">
        <is>
          <t>CHECK_VENDOR</t>
        </is>
      </c>
      <c r="M1359" t="inlineStr">
        <is>
          <t>clive_21 news_portal_project 1.0</t>
        </is>
      </c>
      <c r="N1359" t="inlineStr">
        <is>
          <t>P3</t>
        </is>
      </c>
      <c r="O1359" t="inlineStr">
        <is>
          <t>CVE - IP enrichment n/a</t>
        </is>
      </c>
      <c r="P1359" t="n">
        <v>0</v>
      </c>
      <c r="Q1359" t="n">
        <v>0</v>
      </c>
      <c r="R1359" t="inlineStr">
        <is>
          <t>T1190:Exploit Public-Facing Application</t>
        </is>
      </c>
      <c r="S1359" t="n">
        <v>1</v>
      </c>
      <c r="T1359" t="inlineStr">
        <is>
          <t>LOW (40%)</t>
        </is>
      </c>
      <c r="U1359" t="inlineStr">
        <is>
          <t>UNLIKELY</t>
        </is>
      </c>
      <c r="V1359" t="inlineStr">
        <is>
          <t>CHECK_VENDOR</t>
        </is>
      </c>
      <c r="W1359" t="inlineStr">
        <is>
          <t>https://nvd.nist.gov/vuln/detail/CVE-2026-3164</t>
        </is>
      </c>
      <c r="X1359" t="inlineStr">
        <is>
          <t>NONE</t>
        </is>
      </c>
      <c r="Y1359" t="n">
        <v>0</v>
      </c>
      <c r="Z1359" t="inlineStr"/>
      <c r="AA1359" t="inlineStr">
        <is>
          <t>https://nvd.nist.gov/vuln/detail/CVE-2026-3164</t>
        </is>
      </c>
    </row>
    <row r="1360">
      <c r="A1360" t="inlineStr">
        <is>
          <t>CVE</t>
        </is>
      </c>
      <c r="B1360" t="inlineStr">
        <is>
          <t>CVE-2026-3165</t>
        </is>
      </c>
      <c r="C1360" t="inlineStr">
        <is>
          <t>A vulnerability was determined in Tenda F453 1.0.0.3. Impacted is the function fromSetWifiGusetBasic of the file /goform/AdvSetWrlsafeset of the component httpd. This manipulation of the argument mit_ssid causes buffer overflow. The attack can be initiated remotely. The exploit has been publicly disclosed and may be utilized.</t>
        </is>
      </c>
      <c r="D1360" t="n">
        <v>8.800000000000001</v>
      </c>
      <c r="E1360" t="inlineStr">
        <is>
          <t>HIGH</t>
        </is>
      </c>
      <c r="F1360" t="n">
        <v>2</v>
      </c>
      <c r="G1360" t="n">
        <v>3</v>
      </c>
      <c r="H1360" t="inlineStr">
        <is>
          <t>HIGH</t>
        </is>
      </c>
      <c r="I1360" t="n">
        <v>14.8</v>
      </c>
      <c r="J1360" t="inlineStr">
        <is>
          <t>NO</t>
        </is>
      </c>
      <c r="K1360" t="inlineStr">
        <is>
          <t>2026-02-26 00:15</t>
        </is>
      </c>
      <c r="L1360" t="inlineStr">
        <is>
          <t>CHECK_VENDOR</t>
        </is>
      </c>
      <c r="M1360" t="inlineStr">
        <is>
          <t>tenda f453 - | tenda f453_firmware 1.0.0.3</t>
        </is>
      </c>
      <c r="N1360" t="inlineStr">
        <is>
          <t>P3</t>
        </is>
      </c>
      <c r="O1360" t="inlineStr">
        <is>
          <t>CVE - IP enrichment n/a</t>
        </is>
      </c>
      <c r="P1360" t="n">
        <v>0</v>
      </c>
      <c r="Q1360" t="n">
        <v>0</v>
      </c>
      <c r="R1360" t="inlineStr">
        <is>
          <t>T1203:Exploitation for Client Execution</t>
        </is>
      </c>
      <c r="S1360" t="n">
        <v>1</v>
      </c>
      <c r="T1360" t="inlineStr">
        <is>
          <t>LOW (40%)</t>
        </is>
      </c>
      <c r="U1360" t="inlineStr">
        <is>
          <t>UNLIKELY</t>
        </is>
      </c>
      <c r="V1360" t="inlineStr">
        <is>
          <t>CHECK_VENDOR</t>
        </is>
      </c>
      <c r="W1360" t="inlineStr">
        <is>
          <t>https://nvd.nist.gov/vuln/detail/CVE-2026-3165</t>
        </is>
      </c>
      <c r="X1360" t="inlineStr">
        <is>
          <t>NONE</t>
        </is>
      </c>
      <c r="Y1360" t="n">
        <v>0</v>
      </c>
      <c r="Z1360" t="inlineStr"/>
      <c r="AA1360" t="inlineStr">
        <is>
          <t>https://nvd.nist.gov/vuln/detail/CVE-2026-3165</t>
        </is>
      </c>
    </row>
    <row r="1361">
      <c r="A1361" t="inlineStr">
        <is>
          <t>CVE</t>
        </is>
      </c>
      <c r="B1361" t="inlineStr">
        <is>
          <t>CVE-2026-3179</t>
        </is>
      </c>
      <c r="C1361" t="inlineStr">
        <is>
          <t>The FTP Backup on the ADM does not properly sanitize filenames received from the FTP server when parsing directory listings. A malicious server or MITM attacker can craft filenames containing path traversal sequences, causing the client to write files outside the intended backup directory. A path traversal vulnerability may allow an attacker to overwrite arbitrary files on the system and potentially achieve privilege escalation or remote code execution.
Affected products and versions include: fr</t>
        </is>
      </c>
      <c r="D1361" t="n">
        <v>8.5</v>
      </c>
      <c r="E1361" t="inlineStr">
        <is>
          <t>HIGH</t>
        </is>
      </c>
      <c r="F1361" t="n">
        <v>2</v>
      </c>
      <c r="G1361" t="n">
        <v>3</v>
      </c>
      <c r="H1361" t="inlineStr">
        <is>
          <t>HIGH</t>
        </is>
      </c>
      <c r="I1361" t="n">
        <v>14.5</v>
      </c>
      <c r="J1361" t="inlineStr">
        <is>
          <t>NO</t>
        </is>
      </c>
      <c r="K1361" t="inlineStr">
        <is>
          <t>2026-02-26 00:15</t>
        </is>
      </c>
      <c r="L1361" t="inlineStr">
        <is>
          <t>CHECK_VENDOR</t>
        </is>
      </c>
      <c r="M1361" t="inlineStr">
        <is>
          <t>See CVE details</t>
        </is>
      </c>
      <c r="N1361" t="inlineStr">
        <is>
          <t>P3</t>
        </is>
      </c>
      <c r="O1361" t="inlineStr">
        <is>
          <t>CVE - IP enrichment n/a</t>
        </is>
      </c>
      <c r="P1361" t="n">
        <v>0</v>
      </c>
      <c r="Q1361" t="n">
        <v>0</v>
      </c>
      <c r="R1361" t="inlineStr">
        <is>
          <t>T1083:File and Directory Discovery | T1190:Exploit Public-Facing Application | T1210:Exploitation of Remote Services</t>
        </is>
      </c>
      <c r="S1361" t="n">
        <v>1</v>
      </c>
      <c r="T1361" t="inlineStr">
        <is>
          <t>LOW (40%)</t>
        </is>
      </c>
      <c r="U1361" t="inlineStr">
        <is>
          <t>UNLIKELY</t>
        </is>
      </c>
      <c r="V1361" t="inlineStr">
        <is>
          <t>CHECK_VENDOR</t>
        </is>
      </c>
      <c r="W1361" t="inlineStr">
        <is>
          <t>https://nvd.nist.gov/vuln/detail/CVE-2026-3179</t>
        </is>
      </c>
      <c r="X1361" t="inlineStr">
        <is>
          <t>NONE</t>
        </is>
      </c>
      <c r="Y1361" t="n">
        <v>0</v>
      </c>
      <c r="Z1361" t="inlineStr"/>
      <c r="AA1361" t="inlineStr">
        <is>
          <t>https://nvd.nist.gov/vuln/detail/CVE-2026-3179</t>
        </is>
      </c>
    </row>
    <row r="1362">
      <c r="A1362" t="inlineStr">
        <is>
          <t>CVE</t>
        </is>
      </c>
      <c r="B1362" t="inlineStr">
        <is>
          <t>CVE-2026-1614</t>
        </is>
      </c>
      <c r="C1362" t="inlineStr">
        <is>
          <t>The Rise Blocks – A Complete Gutenberg Page Builder plugin for WordPress is vulnerable to Stored Cross-Site Scripting via the ‘logoTag’ Site Identity block attribute in all versions up to, and including, 3.7 due to insufficient input sanitization and output escaping. This makes it possible for authenticated attackers, with Contributor-level access and above, to inject arbitrary web scripts in pages that will execute whenever a user accesses an injected page.</t>
        </is>
      </c>
      <c r="D1362" t="n">
        <v>6.4</v>
      </c>
      <c r="E1362" t="inlineStr">
        <is>
          <t>MEDIUM</t>
        </is>
      </c>
      <c r="F1362" t="n">
        <v>2</v>
      </c>
      <c r="G1362" t="n">
        <v>2</v>
      </c>
      <c r="H1362" t="inlineStr">
        <is>
          <t>MEDIUM</t>
        </is>
      </c>
      <c r="I1362" t="n">
        <v>10.4</v>
      </c>
      <c r="J1362" t="inlineStr">
        <is>
          <t>NO</t>
        </is>
      </c>
      <c r="K1362" t="inlineStr">
        <is>
          <t>2026-02-26 00:15</t>
        </is>
      </c>
      <c r="L1362" t="inlineStr">
        <is>
          <t>CHECK_VENDOR</t>
        </is>
      </c>
      <c r="M1362" t="inlineStr">
        <is>
          <t>See CVE details</t>
        </is>
      </c>
      <c r="N1362" t="inlineStr">
        <is>
          <t>P4</t>
        </is>
      </c>
      <c r="O1362" t="inlineStr">
        <is>
          <t>CVE - IP enrichment n/a</t>
        </is>
      </c>
      <c r="P1362" t="n">
        <v>0</v>
      </c>
      <c r="Q1362" t="n">
        <v>0</v>
      </c>
      <c r="R1362" t="inlineStr">
        <is>
          <t>T1189:Drive-by Compromise</t>
        </is>
      </c>
      <c r="S1362" t="n">
        <v>1</v>
      </c>
      <c r="T1362" t="inlineStr">
        <is>
          <t>LOW (40%)</t>
        </is>
      </c>
      <c r="U1362" t="inlineStr">
        <is>
          <t>UNLIKELY</t>
        </is>
      </c>
      <c r="V1362" t="inlineStr">
        <is>
          <t>CHECK_VENDOR</t>
        </is>
      </c>
      <c r="W1362" t="inlineStr">
        <is>
          <t>https://nvd.nist.gov/vuln/detail/CVE-2026-1614</t>
        </is>
      </c>
      <c r="X1362" t="inlineStr">
        <is>
          <t>NONE</t>
        </is>
      </c>
      <c r="Y1362" t="n">
        <v>0</v>
      </c>
      <c r="Z1362" t="inlineStr"/>
      <c r="AA1362" t="inlineStr">
        <is>
          <t>https://nvd.nist.gov/vuln/detail/CVE-2026-1614</t>
        </is>
      </c>
    </row>
    <row r="1363">
      <c r="A1363" t="inlineStr">
        <is>
          <t>CVE</t>
        </is>
      </c>
      <c r="B1363" t="inlineStr">
        <is>
          <t>CVE-2026-3166</t>
        </is>
      </c>
      <c r="C1363" t="inlineStr">
        <is>
          <t>A vulnerability was identified in Tenda F453 1.0.0.3. The affected element is the function fromRouteStatic of the file /goform/RouteStatic of the component httpd. Such manipulation of the argument page leads to buffer overflow. The attack can be launched remotely. The exploit is publicly available and might be used.</t>
        </is>
      </c>
      <c r="D1363" t="n">
        <v>8.800000000000001</v>
      </c>
      <c r="E1363" t="inlineStr">
        <is>
          <t>HIGH</t>
        </is>
      </c>
      <c r="F1363" t="n">
        <v>2</v>
      </c>
      <c r="G1363" t="n">
        <v>3</v>
      </c>
      <c r="H1363" t="inlineStr">
        <is>
          <t>HIGH</t>
        </is>
      </c>
      <c r="I1363" t="n">
        <v>14.8</v>
      </c>
      <c r="J1363" t="inlineStr">
        <is>
          <t>NO</t>
        </is>
      </c>
      <c r="K1363" t="inlineStr">
        <is>
          <t>2026-02-26 00:15</t>
        </is>
      </c>
      <c r="L1363" t="inlineStr">
        <is>
          <t>CHECK_VENDOR</t>
        </is>
      </c>
      <c r="M1363" t="inlineStr">
        <is>
          <t>tenda f453 - | tenda f453_firmware 1.0.0.3</t>
        </is>
      </c>
      <c r="N1363" t="inlineStr">
        <is>
          <t>P3</t>
        </is>
      </c>
      <c r="O1363" t="inlineStr">
        <is>
          <t>CVE - IP enrichment n/a</t>
        </is>
      </c>
      <c r="P1363" t="n">
        <v>0.0005</v>
      </c>
      <c r="Q1363" t="n">
        <v>0.1429</v>
      </c>
      <c r="R1363" t="inlineStr">
        <is>
          <t>T1203:Exploitation for Client Execution</t>
        </is>
      </c>
      <c r="S1363" t="n">
        <v>1</v>
      </c>
      <c r="T1363" t="inlineStr">
        <is>
          <t>LOW (40%)</t>
        </is>
      </c>
      <c r="U1363" t="inlineStr">
        <is>
          <t>UNLIKELY</t>
        </is>
      </c>
      <c r="V1363" t="inlineStr">
        <is>
          <t>CHECK_VENDOR</t>
        </is>
      </c>
      <c r="W1363" t="inlineStr">
        <is>
          <t>https://nvd.nist.gov/vuln/detail/CVE-2026-3166</t>
        </is>
      </c>
      <c r="X1363" t="inlineStr">
        <is>
          <t>NONE</t>
        </is>
      </c>
      <c r="Y1363" t="n">
        <v>0</v>
      </c>
      <c r="Z1363" t="inlineStr"/>
      <c r="AA1363" t="inlineStr">
        <is>
          <t>https://nvd.nist.gov/vuln/detail/CVE-2026-3166</t>
        </is>
      </c>
    </row>
    <row r="1364">
      <c r="A1364" t="inlineStr">
        <is>
          <t>CVE</t>
        </is>
      </c>
      <c r="B1364" t="inlineStr">
        <is>
          <t>CVE-2026-3167</t>
        </is>
      </c>
      <c r="C1364" t="inlineStr">
        <is>
          <t>A security flaw has been discovered in Tenda F453 1.0.0.3. The impacted element is the function formWebTypeLibrary of the file /goform/webtypelibrary of the component httpd. Performing a manipulation of the argument webSiteId results in buffer overflow. The attack may be initiated remotely. The exploit has been released to the public and may be used for attacks.</t>
        </is>
      </c>
      <c r="D1364" t="n">
        <v>8.800000000000001</v>
      </c>
      <c r="E1364" t="inlineStr">
        <is>
          <t>HIGH</t>
        </is>
      </c>
      <c r="F1364" t="n">
        <v>2</v>
      </c>
      <c r="G1364" t="n">
        <v>3</v>
      </c>
      <c r="H1364" t="inlineStr">
        <is>
          <t>HIGH</t>
        </is>
      </c>
      <c r="I1364" t="n">
        <v>14.8</v>
      </c>
      <c r="J1364" t="inlineStr">
        <is>
          <t>NO</t>
        </is>
      </c>
      <c r="K1364" t="inlineStr">
        <is>
          <t>2026-02-26 00:15</t>
        </is>
      </c>
      <c r="L1364" t="inlineStr">
        <is>
          <t>CHECK_VENDOR</t>
        </is>
      </c>
      <c r="M1364" t="inlineStr">
        <is>
          <t>tenda f453 - | tenda f453_firmware 1.0.0.3</t>
        </is>
      </c>
      <c r="N1364" t="inlineStr">
        <is>
          <t>P3</t>
        </is>
      </c>
      <c r="O1364" t="inlineStr">
        <is>
          <t>CVE - IP enrichment n/a</t>
        </is>
      </c>
      <c r="P1364" t="n">
        <v>0</v>
      </c>
      <c r="Q1364" t="n">
        <v>0</v>
      </c>
      <c r="R1364" t="inlineStr">
        <is>
          <t>T1203:Exploitation for Client Execution</t>
        </is>
      </c>
      <c r="S1364" t="n">
        <v>1</v>
      </c>
      <c r="T1364" t="inlineStr">
        <is>
          <t>LOW (40%)</t>
        </is>
      </c>
      <c r="U1364" t="inlineStr">
        <is>
          <t>UNLIKELY</t>
        </is>
      </c>
      <c r="V1364" t="inlineStr">
        <is>
          <t>CHECK_VENDOR</t>
        </is>
      </c>
      <c r="W1364" t="inlineStr">
        <is>
          <t>https://nvd.nist.gov/vuln/detail/CVE-2026-3167</t>
        </is>
      </c>
      <c r="X1364" t="inlineStr">
        <is>
          <t>NONE</t>
        </is>
      </c>
      <c r="Y1364" t="n">
        <v>0</v>
      </c>
      <c r="Z1364" t="inlineStr"/>
      <c r="AA1364" t="inlineStr">
        <is>
          <t>https://nvd.nist.gov/vuln/detail/CVE-2026-3167</t>
        </is>
      </c>
    </row>
    <row r="1365">
      <c r="A1365" t="inlineStr">
        <is>
          <t>CVE</t>
        </is>
      </c>
      <c r="B1365" t="inlineStr">
        <is>
          <t>CVE-2026-3168</t>
        </is>
      </c>
      <c r="C1365" t="inlineStr">
        <is>
          <t>A weakness has been identified in Tenda F453 1.0.0.3. This affects the function fromNatStaticSetting of the file /goform/NatStaticSetting of the component httpd. Executing a manipulation of the argument page can lead to buffer overflow. The attack may be launched remotely. The exploit has been made available to the public and could be used for attacks.</t>
        </is>
      </c>
      <c r="D1365" t="n">
        <v>8.800000000000001</v>
      </c>
      <c r="E1365" t="inlineStr">
        <is>
          <t>HIGH</t>
        </is>
      </c>
      <c r="F1365" t="n">
        <v>2</v>
      </c>
      <c r="G1365" t="n">
        <v>3</v>
      </c>
      <c r="H1365" t="inlineStr">
        <is>
          <t>HIGH</t>
        </is>
      </c>
      <c r="I1365" t="n">
        <v>14.8</v>
      </c>
      <c r="J1365" t="inlineStr">
        <is>
          <t>NO</t>
        </is>
      </c>
      <c r="K1365" t="inlineStr">
        <is>
          <t>2026-02-26 00:15</t>
        </is>
      </c>
      <c r="L1365" t="inlineStr">
        <is>
          <t>CHECK_VENDOR</t>
        </is>
      </c>
      <c r="M1365" t="inlineStr">
        <is>
          <t>tenda f453 - | tenda f453_firmware 1.0.0.3</t>
        </is>
      </c>
      <c r="N1365" t="inlineStr">
        <is>
          <t>P3</t>
        </is>
      </c>
      <c r="O1365" t="inlineStr">
        <is>
          <t>CVE - IP enrichment n/a</t>
        </is>
      </c>
      <c r="P1365" t="n">
        <v>0</v>
      </c>
      <c r="Q1365" t="n">
        <v>0</v>
      </c>
      <c r="R1365" t="inlineStr">
        <is>
          <t>T1203:Exploitation for Client Execution</t>
        </is>
      </c>
      <c r="S1365" t="n">
        <v>1</v>
      </c>
      <c r="T1365" t="inlineStr">
        <is>
          <t>LOW (40%)</t>
        </is>
      </c>
      <c r="U1365" t="inlineStr">
        <is>
          <t>UNLIKELY</t>
        </is>
      </c>
      <c r="V1365" t="inlineStr">
        <is>
          <t>CHECK_VENDOR</t>
        </is>
      </c>
      <c r="W1365" t="inlineStr">
        <is>
          <t>https://nvd.nist.gov/vuln/detail/CVE-2026-3168</t>
        </is>
      </c>
      <c r="X1365" t="inlineStr">
        <is>
          <t>NONE</t>
        </is>
      </c>
      <c r="Y1365" t="n">
        <v>0</v>
      </c>
      <c r="Z1365" t="inlineStr"/>
      <c r="AA1365" t="inlineStr">
        <is>
          <t>https://nvd.nist.gov/vuln/detail/CVE-2026-3168</t>
        </is>
      </c>
    </row>
    <row r="1366">
      <c r="A1366" t="inlineStr">
        <is>
          <t>CVE</t>
        </is>
      </c>
      <c r="B1366" t="inlineStr">
        <is>
          <t>CVE-2025-11563</t>
        </is>
      </c>
      <c r="C1366" t="inlineStr">
        <is>
          <t>URLs containing percent-encoded slashes (`/` or `\`) can trick wcurl into
saving the output file outside of the current directory without the user
explicitly asking for it.
This flaw only affects the wcurl command line tool.</t>
        </is>
      </c>
      <c r="D1366" t="n">
        <v>4.6</v>
      </c>
      <c r="E1366" t="inlineStr">
        <is>
          <t>MEDIUM</t>
        </is>
      </c>
      <c r="F1366" t="n">
        <v>2</v>
      </c>
      <c r="G1366" t="n">
        <v>2</v>
      </c>
      <c r="H1366" t="inlineStr">
        <is>
          <t>MEDIUM</t>
        </is>
      </c>
      <c r="I1366" t="n">
        <v>8.6</v>
      </c>
      <c r="J1366" t="inlineStr">
        <is>
          <t>NO</t>
        </is>
      </c>
      <c r="K1366" t="inlineStr">
        <is>
          <t>2026-02-26 00:15</t>
        </is>
      </c>
      <c r="L1366" t="inlineStr">
        <is>
          <t>CHECK_VENDOR</t>
        </is>
      </c>
      <c r="M1366" t="inlineStr">
        <is>
          <t>See CVE details</t>
        </is>
      </c>
      <c r="N1366" t="inlineStr">
        <is>
          <t>P4</t>
        </is>
      </c>
      <c r="O1366" t="inlineStr">
        <is>
          <t>CVE - IP enrichment n/a</t>
        </is>
      </c>
      <c r="P1366" t="n">
        <v>0</v>
      </c>
      <c r="Q1366" t="n">
        <v>0</v>
      </c>
      <c r="R1366" t="inlineStr">
        <is>
          <t>T1190:Exploit Public-Facing Application</t>
        </is>
      </c>
      <c r="S1366" t="n">
        <v>1</v>
      </c>
      <c r="T1366" t="inlineStr">
        <is>
          <t>LOW (40%)</t>
        </is>
      </c>
      <c r="U1366" t="inlineStr">
        <is>
          <t>UNLIKELY</t>
        </is>
      </c>
      <c r="V1366" t="inlineStr">
        <is>
          <t>CHECK_VENDOR</t>
        </is>
      </c>
      <c r="W1366" t="inlineStr">
        <is>
          <t>https://nvd.nist.gov/vuln/detail/CVE-2025-11563</t>
        </is>
      </c>
      <c r="X1366" t="inlineStr">
        <is>
          <t>NONE</t>
        </is>
      </c>
      <c r="Y1366" t="n">
        <v>0</v>
      </c>
      <c r="Z1366" t="inlineStr"/>
      <c r="AA1366" t="inlineStr">
        <is>
          <t>https://nvd.nist.gov/vuln/detail/CVE-2025-11563</t>
        </is>
      </c>
    </row>
    <row r="1367">
      <c r="A1367" t="inlineStr">
        <is>
          <t>CVE</t>
        </is>
      </c>
      <c r="B1367" t="inlineStr">
        <is>
          <t>CVE-2026-3169</t>
        </is>
      </c>
      <c r="C1367" t="inlineStr">
        <is>
          <t>A security vulnerability has been detected in Tenda F453 1.0.0.3. This impacts the function fromSafeEmailFilter of the file /goform/SafeEmailFilter of the component httpd. The manipulation of the argument page leads to buffer overflow. Remote exploitation of the attack is possible. The exploit has been disclosed publicly and may be used.</t>
        </is>
      </c>
      <c r="D1367" t="n">
        <v>8.800000000000001</v>
      </c>
      <c r="E1367" t="inlineStr">
        <is>
          <t>HIGH</t>
        </is>
      </c>
      <c r="F1367" t="n">
        <v>2</v>
      </c>
      <c r="G1367" t="n">
        <v>3</v>
      </c>
      <c r="H1367" t="inlineStr">
        <is>
          <t>HIGH</t>
        </is>
      </c>
      <c r="I1367" t="n">
        <v>14.8</v>
      </c>
      <c r="J1367" t="inlineStr">
        <is>
          <t>NO</t>
        </is>
      </c>
      <c r="K1367" t="inlineStr">
        <is>
          <t>2026-02-26 00:15</t>
        </is>
      </c>
      <c r="L1367" t="inlineStr">
        <is>
          <t>CHECK_VENDOR</t>
        </is>
      </c>
      <c r="M1367" t="inlineStr">
        <is>
          <t>tenda f453 - | tenda f453_firmware 1.0.0.3</t>
        </is>
      </c>
      <c r="N1367" t="inlineStr">
        <is>
          <t>P3</t>
        </is>
      </c>
      <c r="O1367" t="inlineStr">
        <is>
          <t>CVE - IP enrichment n/a</t>
        </is>
      </c>
      <c r="P1367" t="n">
        <v>0</v>
      </c>
      <c r="Q1367" t="n">
        <v>0</v>
      </c>
      <c r="R1367" t="inlineStr">
        <is>
          <t>T1203:Exploitation for Client Execution</t>
        </is>
      </c>
      <c r="S1367" t="n">
        <v>1</v>
      </c>
      <c r="T1367" t="inlineStr">
        <is>
          <t>LOW (40%)</t>
        </is>
      </c>
      <c r="U1367" t="inlineStr">
        <is>
          <t>UNLIKELY</t>
        </is>
      </c>
      <c r="V1367" t="inlineStr">
        <is>
          <t>CHECK_VENDOR</t>
        </is>
      </c>
      <c r="W1367" t="inlineStr">
        <is>
          <t>https://nvd.nist.gov/vuln/detail/CVE-2026-3169</t>
        </is>
      </c>
      <c r="X1367" t="inlineStr">
        <is>
          <t>NONE</t>
        </is>
      </c>
      <c r="Y1367" t="n">
        <v>0</v>
      </c>
      <c r="Z1367" t="inlineStr"/>
      <c r="AA1367" t="inlineStr">
        <is>
          <t>https://nvd.nist.gov/vuln/detail/CVE-2026-3169</t>
        </is>
      </c>
    </row>
    <row r="1368">
      <c r="A1368" t="inlineStr">
        <is>
          <t>CVE</t>
        </is>
      </c>
      <c r="B1368" t="inlineStr">
        <is>
          <t>CVE-2026-3170</t>
        </is>
      </c>
      <c r="C1368" t="inlineStr">
        <is>
          <t>A vulnerability was detected in SourceCodester/Patrick Mvuma Patients Waiting Area Queue Management System 1.0. Affected is an unknown function of the file /patient-search.php. The manipulation of the argument First Name/Last Name results in cross site scripting. The attack can be executed remotely. The exploit is now public and may be used.</t>
        </is>
      </c>
      <c r="D1368" t="n">
        <v>2.4</v>
      </c>
      <c r="E1368" t="inlineStr">
        <is>
          <t>LOW</t>
        </is>
      </c>
      <c r="F1368" t="n">
        <v>2</v>
      </c>
      <c r="G1368" t="n">
        <v>1</v>
      </c>
      <c r="H1368" t="inlineStr">
        <is>
          <t>LOW</t>
        </is>
      </c>
      <c r="I1368" t="n">
        <v>4.4</v>
      </c>
      <c r="J1368" t="inlineStr">
        <is>
          <t>NO</t>
        </is>
      </c>
      <c r="K1368" t="inlineStr">
        <is>
          <t>2026-02-26 00:15</t>
        </is>
      </c>
      <c r="L1368" t="inlineStr">
        <is>
          <t>CHECK_VENDOR</t>
        </is>
      </c>
      <c r="M1368" t="inlineStr">
        <is>
          <t>pamzey patients_waiting_area_queue_management_system 1.0</t>
        </is>
      </c>
      <c r="N1368" t="inlineStr">
        <is>
          <t>P4</t>
        </is>
      </c>
      <c r="O1368" t="inlineStr">
        <is>
          <t>CVE - IP enrichment n/a</t>
        </is>
      </c>
      <c r="P1368" t="n">
        <v>0</v>
      </c>
      <c r="Q1368" t="n">
        <v>0</v>
      </c>
      <c r="R1368" t="inlineStr">
        <is>
          <t>T1189:Drive-by Compromise | T1190:Exploit Public-Facing Application</t>
        </is>
      </c>
      <c r="S1368" t="n">
        <v>1</v>
      </c>
      <c r="T1368" t="inlineStr">
        <is>
          <t>LOW (40%)</t>
        </is>
      </c>
      <c r="U1368" t="inlineStr">
        <is>
          <t>UNLIKELY</t>
        </is>
      </c>
      <c r="V1368" t="inlineStr">
        <is>
          <t>CHECK_VENDOR</t>
        </is>
      </c>
      <c r="W1368" t="inlineStr">
        <is>
          <t>https://nvd.nist.gov/vuln/detail/CVE-2026-3170</t>
        </is>
      </c>
      <c r="X1368" t="inlineStr">
        <is>
          <t>NONE</t>
        </is>
      </c>
      <c r="Y1368" t="n">
        <v>0</v>
      </c>
      <c r="Z1368" t="inlineStr"/>
      <c r="AA1368" t="inlineStr">
        <is>
          <t>https://nvd.nist.gov/vuln/detail/CVE-2026-3170</t>
        </is>
      </c>
    </row>
    <row r="1369">
      <c r="A1369" t="inlineStr">
        <is>
          <t>CVE</t>
        </is>
      </c>
      <c r="B1369" t="inlineStr">
        <is>
          <t>CVE-2026-1916</t>
        </is>
      </c>
      <c r="C1369" t="inlineStr">
        <is>
          <t xml:space="preserve">The WPGSI: Spreadsheet Integration plugin for WordPress is vulnerable to unauthorized modification and loss of data due to missing capability checks and an insecure authentication mechanism on the `wpgsi_callBackFuncAccept` and `wpgsi_callBackFuncUpdate` REST API functions in all versions up to, and including, 3.8.3. Both REST endpoints use `permission_callback =&gt; '__return_true'`, allowing unauthenticated access. The plugin's custom token-based validation relies on a Base64-encoded JSON object </t>
        </is>
      </c>
      <c r="D1369" t="n">
        <v>7.5</v>
      </c>
      <c r="E1369" t="inlineStr">
        <is>
          <t>HIGH</t>
        </is>
      </c>
      <c r="F1369" t="n">
        <v>2</v>
      </c>
      <c r="G1369" t="n">
        <v>3</v>
      </c>
      <c r="H1369" t="inlineStr">
        <is>
          <t>HIGH</t>
        </is>
      </c>
      <c r="I1369" t="n">
        <v>13.5</v>
      </c>
      <c r="J1369" t="inlineStr">
        <is>
          <t>NO</t>
        </is>
      </c>
      <c r="K1369" t="inlineStr">
        <is>
          <t>2026-02-26 00:15</t>
        </is>
      </c>
      <c r="L1369" t="inlineStr">
        <is>
          <t>CHECK_VENDOR</t>
        </is>
      </c>
      <c r="M1369" t="inlineStr">
        <is>
          <t>See CVE details</t>
        </is>
      </c>
      <c r="N1369" t="inlineStr">
        <is>
          <t>P3</t>
        </is>
      </c>
      <c r="O1369" t="inlineStr">
        <is>
          <t>CVE - IP enrichment n/a</t>
        </is>
      </c>
      <c r="P1369" t="n">
        <v>0</v>
      </c>
      <c r="Q1369" t="n">
        <v>0</v>
      </c>
      <c r="R1369" t="inlineStr">
        <is>
          <t>T1600:Weaken Encryption</t>
        </is>
      </c>
      <c r="S1369" t="n">
        <v>1</v>
      </c>
      <c r="T1369" t="inlineStr">
        <is>
          <t>LOW (40%)</t>
        </is>
      </c>
      <c r="U1369" t="inlineStr">
        <is>
          <t>UNLIKELY</t>
        </is>
      </c>
      <c r="V1369" t="inlineStr">
        <is>
          <t>CHECK_VENDOR</t>
        </is>
      </c>
      <c r="W1369" t="inlineStr">
        <is>
          <t>https://nvd.nist.gov/vuln/detail/CVE-2026-1916</t>
        </is>
      </c>
      <c r="X1369" t="inlineStr">
        <is>
          <t>NONE</t>
        </is>
      </c>
      <c r="Y1369" t="n">
        <v>0</v>
      </c>
      <c r="Z1369" t="inlineStr"/>
      <c r="AA1369" t="inlineStr">
        <is>
          <t>https://nvd.nist.gov/vuln/detail/CVE-2026-1916</t>
        </is>
      </c>
    </row>
    <row r="1370">
      <c r="A1370" t="inlineStr">
        <is>
          <t>CVE</t>
        </is>
      </c>
      <c r="B1370" t="inlineStr">
        <is>
          <t>CVE-2026-1929</t>
        </is>
      </c>
      <c r="C1370" t="inlineStr">
        <is>
          <t>The Advanced Woo Labels plugin for WordPress is vulnerable to Remote Code Execution in all versions up to, and including, 2.37. This is due to the use of `call_user_func_array()` with user-controlled callback and parameters in the `get_select_option_values()` AJAX handler without an allowlist of permitted callbacks or a capability check. This makes it possible for authenticated attackers, with Contributor-level access and above, to execute arbitrary PHP functions and operating system commands on</t>
        </is>
      </c>
      <c r="D1370" t="n">
        <v>8.800000000000001</v>
      </c>
      <c r="E1370" t="inlineStr">
        <is>
          <t>HIGH</t>
        </is>
      </c>
      <c r="F1370" t="n">
        <v>2</v>
      </c>
      <c r="G1370" t="n">
        <v>3</v>
      </c>
      <c r="H1370" t="inlineStr">
        <is>
          <t>HIGH</t>
        </is>
      </c>
      <c r="I1370" t="n">
        <v>14.8</v>
      </c>
      <c r="J1370" t="inlineStr">
        <is>
          <t>NO</t>
        </is>
      </c>
      <c r="K1370" t="inlineStr">
        <is>
          <t>2026-02-26 00:15</t>
        </is>
      </c>
      <c r="L1370" t="inlineStr">
        <is>
          <t>CHECK_VENDOR</t>
        </is>
      </c>
      <c r="M1370" t="inlineStr">
        <is>
          <t>See CVE details</t>
        </is>
      </c>
      <c r="N1370" t="inlineStr">
        <is>
          <t>P3</t>
        </is>
      </c>
      <c r="O1370" t="inlineStr">
        <is>
          <t>CVE - IP enrichment n/a</t>
        </is>
      </c>
      <c r="P1370" t="n">
        <v>0</v>
      </c>
      <c r="Q1370" t="n">
        <v>0</v>
      </c>
      <c r="R1370" t="inlineStr">
        <is>
          <t>T1059:Command and Scripting Interpreter | T1190:Exploit Public-Facing Application | T1210:Exploitation of Remote Services</t>
        </is>
      </c>
      <c r="S1370" t="n">
        <v>1</v>
      </c>
      <c r="T1370" t="inlineStr">
        <is>
          <t>LOW (40%)</t>
        </is>
      </c>
      <c r="U1370" t="inlineStr">
        <is>
          <t>UNLIKELY</t>
        </is>
      </c>
      <c r="V1370" t="inlineStr">
        <is>
          <t>CHECK_VENDOR</t>
        </is>
      </c>
      <c r="W1370" t="inlineStr">
        <is>
          <t>https://nvd.nist.gov/vuln/detail/CVE-2026-1929</t>
        </is>
      </c>
      <c r="X1370" t="inlineStr">
        <is>
          <t>NONE</t>
        </is>
      </c>
      <c r="Y1370" t="n">
        <v>0</v>
      </c>
      <c r="Z1370" t="inlineStr"/>
      <c r="AA1370" t="inlineStr">
        <is>
          <t>https://nvd.nist.gov/vuln/detail/CVE-2026-1929</t>
        </is>
      </c>
    </row>
    <row r="1371">
      <c r="A1371" t="inlineStr">
        <is>
          <t>CVE</t>
        </is>
      </c>
      <c r="B1371" t="inlineStr">
        <is>
          <t>CVE-2026-2416</t>
        </is>
      </c>
      <c r="C1371" t="inlineStr">
        <is>
          <t>The Geo Mashup plugin for WordPress is vulnerable to SQL Injection via the 'sort' parameter in all versions up to, and including, 1.13.17. This is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1371" t="n">
        <v>7.5</v>
      </c>
      <c r="E1371" t="inlineStr">
        <is>
          <t>HIGH</t>
        </is>
      </c>
      <c r="F1371" t="n">
        <v>2</v>
      </c>
      <c r="G1371" t="n">
        <v>3</v>
      </c>
      <c r="H1371" t="inlineStr">
        <is>
          <t>HIGH</t>
        </is>
      </c>
      <c r="I1371" t="n">
        <v>13.5</v>
      </c>
      <c r="J1371" t="inlineStr">
        <is>
          <t>NO</t>
        </is>
      </c>
      <c r="K1371" t="inlineStr">
        <is>
          <t>2026-02-26 00:15</t>
        </is>
      </c>
      <c r="L1371" t="inlineStr">
        <is>
          <t>CHECK_VENDOR</t>
        </is>
      </c>
      <c r="M1371" t="inlineStr">
        <is>
          <t>See CVE details</t>
        </is>
      </c>
      <c r="N1371" t="inlineStr">
        <is>
          <t>P3</t>
        </is>
      </c>
      <c r="O1371" t="inlineStr">
        <is>
          <t>CVE - IP enrichment n/a</t>
        </is>
      </c>
      <c r="P1371" t="n">
        <v>0</v>
      </c>
      <c r="Q1371" t="n">
        <v>0</v>
      </c>
      <c r="R1371" t="inlineStr">
        <is>
          <t>T1190:Exploit Public-Facing Application</t>
        </is>
      </c>
      <c r="S1371" t="n">
        <v>1</v>
      </c>
      <c r="T1371" t="inlineStr">
        <is>
          <t>LOW (40%)</t>
        </is>
      </c>
      <c r="U1371" t="inlineStr">
        <is>
          <t>UNLIKELY</t>
        </is>
      </c>
      <c r="V1371" t="inlineStr">
        <is>
          <t>CHECK_VENDOR</t>
        </is>
      </c>
      <c r="W1371" t="inlineStr">
        <is>
          <t>https://nvd.nist.gov/vuln/detail/CVE-2026-2416</t>
        </is>
      </c>
      <c r="X1371" t="inlineStr">
        <is>
          <t>NONE</t>
        </is>
      </c>
      <c r="Y1371" t="n">
        <v>0</v>
      </c>
      <c r="Z1371" t="inlineStr"/>
      <c r="AA1371" t="inlineStr">
        <is>
          <t>https://nvd.nist.gov/vuln/detail/CVE-2026-2416</t>
        </is>
      </c>
    </row>
    <row r="1372">
      <c r="A1372" t="inlineStr">
        <is>
          <t>CVE</t>
        </is>
      </c>
      <c r="B1372" t="inlineStr">
        <is>
          <t>CVE-2026-2479</t>
        </is>
      </c>
      <c r="C1372" t="inlineStr">
        <is>
          <t>The Responsive Lightbox &amp; Gallery plugin for WordPress is vulnerable to Server-Side Request Forgery in all versions up to, and including, 2.7.1. This is due to the use of `strpos()` for substring-based hostname validation instead of strict host comparison in the `ajax_upload_image()` function. This makes it possible for authenticated attackers, with Author-level access and above, to make web requests to arbitrary locations originating from the web application, which can be used to query and modi</t>
        </is>
      </c>
      <c r="D1372" t="n">
        <v>5</v>
      </c>
      <c r="E1372" t="inlineStr">
        <is>
          <t>MEDIUM</t>
        </is>
      </c>
      <c r="F1372" t="n">
        <v>2</v>
      </c>
      <c r="G1372" t="n">
        <v>2</v>
      </c>
      <c r="H1372" t="inlineStr">
        <is>
          <t>MEDIUM</t>
        </is>
      </c>
      <c r="I1372" t="n">
        <v>9</v>
      </c>
      <c r="J1372" t="inlineStr">
        <is>
          <t>NO</t>
        </is>
      </c>
      <c r="K1372" t="inlineStr">
        <is>
          <t>2026-02-26 00:15</t>
        </is>
      </c>
      <c r="L1372" t="inlineStr">
        <is>
          <t>CHECK_VENDOR</t>
        </is>
      </c>
      <c r="M1372" t="inlineStr">
        <is>
          <t>See CVE details</t>
        </is>
      </c>
      <c r="N1372" t="inlineStr">
        <is>
          <t>P4</t>
        </is>
      </c>
      <c r="O1372" t="inlineStr">
        <is>
          <t>CVE - IP enrichment n/a</t>
        </is>
      </c>
      <c r="P1372" t="n">
        <v>0</v>
      </c>
      <c r="Q1372" t="n">
        <v>0</v>
      </c>
      <c r="R1372" t="inlineStr">
        <is>
          <t>T1090:Proxy</t>
        </is>
      </c>
      <c r="S1372" t="n">
        <v>1</v>
      </c>
      <c r="T1372" t="inlineStr">
        <is>
          <t>LOW (40%)</t>
        </is>
      </c>
      <c r="U1372" t="inlineStr">
        <is>
          <t>UNLIKELY</t>
        </is>
      </c>
      <c r="V1372" t="inlineStr">
        <is>
          <t>CHECK_VENDOR</t>
        </is>
      </c>
      <c r="W1372" t="inlineStr">
        <is>
          <t>https://nvd.nist.gov/vuln/detail/CVE-2026-2479</t>
        </is>
      </c>
      <c r="X1372" t="inlineStr">
        <is>
          <t>NONE</t>
        </is>
      </c>
      <c r="Y1372" t="n">
        <v>0</v>
      </c>
      <c r="Z1372" t="inlineStr"/>
      <c r="AA1372" t="inlineStr">
        <is>
          <t>https://nvd.nist.gov/vuln/detail/CVE-2026-2479</t>
        </is>
      </c>
    </row>
    <row r="1373">
      <c r="A1373" t="inlineStr">
        <is>
          <t>CVE</t>
        </is>
      </c>
      <c r="B1373" t="inlineStr">
        <is>
          <t>CVE-2026-3171</t>
        </is>
      </c>
      <c r="C1373" t="inlineStr">
        <is>
          <t>A flaw has been found in SourceCodester/Patrick Mvuma Patients Waiting Area Queue Management System 1.0. Affected by this vulnerability is an unknown functionality of the file /queue.php. This manipulation of the argument firstname/lastname causes cross site scripting. The attack is possible to be carried out remotely. The exploit has been published and may be used.</t>
        </is>
      </c>
      <c r="D1373" t="n">
        <v>3.5</v>
      </c>
      <c r="E1373" t="inlineStr">
        <is>
          <t>LOW</t>
        </is>
      </c>
      <c r="F1373" t="n">
        <v>2</v>
      </c>
      <c r="G1373" t="n">
        <v>1</v>
      </c>
      <c r="H1373" t="inlineStr">
        <is>
          <t>LOW</t>
        </is>
      </c>
      <c r="I1373" t="n">
        <v>5.5</v>
      </c>
      <c r="J1373" t="inlineStr">
        <is>
          <t>NO</t>
        </is>
      </c>
      <c r="K1373" t="inlineStr">
        <is>
          <t>2026-02-26 00:15</t>
        </is>
      </c>
      <c r="L1373" t="inlineStr">
        <is>
          <t>CHECK_VENDOR</t>
        </is>
      </c>
      <c r="M1373" t="inlineStr">
        <is>
          <t>pamzey patients_waiting_area_queue_management_system 1.0</t>
        </is>
      </c>
      <c r="N1373" t="inlineStr">
        <is>
          <t>P4</t>
        </is>
      </c>
      <c r="O1373" t="inlineStr">
        <is>
          <t>CVE - IP enrichment n/a</t>
        </is>
      </c>
      <c r="P1373" t="n">
        <v>0.0003</v>
      </c>
      <c r="Q1373" t="n">
        <v>0.079</v>
      </c>
      <c r="R1373" t="inlineStr">
        <is>
          <t>T1189:Drive-by Compromise | T1190:Exploit Public-Facing Application</t>
        </is>
      </c>
      <c r="S1373" t="n">
        <v>1</v>
      </c>
      <c r="T1373" t="inlineStr">
        <is>
          <t>LOW (40%)</t>
        </is>
      </c>
      <c r="U1373" t="inlineStr">
        <is>
          <t>UNLIKELY</t>
        </is>
      </c>
      <c r="V1373" t="inlineStr">
        <is>
          <t>CHECK_VENDOR</t>
        </is>
      </c>
      <c r="W1373" t="inlineStr">
        <is>
          <t>https://nvd.nist.gov/vuln/detail/CVE-2026-3171</t>
        </is>
      </c>
      <c r="X1373" t="inlineStr">
        <is>
          <t>NONE</t>
        </is>
      </c>
      <c r="Y1373" t="n">
        <v>0</v>
      </c>
      <c r="Z1373" t="inlineStr"/>
      <c r="AA1373" t="inlineStr">
        <is>
          <t>https://nvd.nist.gov/vuln/detail/CVE-2026-3171</t>
        </is>
      </c>
    </row>
    <row r="1374">
      <c r="A1374" t="inlineStr">
        <is>
          <t>CVE</t>
        </is>
      </c>
      <c r="B1374" t="inlineStr">
        <is>
          <t>CVE-2025-14742</t>
        </is>
      </c>
      <c r="C1374" t="inlineStr">
        <is>
          <t>The WP Recipe Maker plugin for WordPress is vulnerable to unauthorized access of data due to a missing capability check on the 'ajax_search_recipes' and 'ajax_get_recipe' functions in all versions up to, and including, 10.2.3. This makes it possible for authenticated attackers, with Subscriber-level access and above, to retrieve sensitive recipe information including draft, pending, and private recipes that they shouldn't be able to access.</t>
        </is>
      </c>
      <c r="D1374" t="n">
        <v>4.3</v>
      </c>
      <c r="E1374" t="inlineStr">
        <is>
          <t>MEDIUM</t>
        </is>
      </c>
      <c r="F1374" t="n">
        <v>2</v>
      </c>
      <c r="G1374" t="n">
        <v>2</v>
      </c>
      <c r="H1374" t="inlineStr">
        <is>
          <t>MEDIUM</t>
        </is>
      </c>
      <c r="I1374" t="n">
        <v>8.300000000000001</v>
      </c>
      <c r="J1374" t="inlineStr">
        <is>
          <t>NO</t>
        </is>
      </c>
      <c r="K1374" t="inlineStr">
        <is>
          <t>2026-02-26 00:15</t>
        </is>
      </c>
      <c r="L1374" t="inlineStr">
        <is>
          <t>CHECK_VENDOR</t>
        </is>
      </c>
      <c r="M1374" t="inlineStr">
        <is>
          <t>See CVE details</t>
        </is>
      </c>
      <c r="N1374" t="inlineStr">
        <is>
          <t>P4</t>
        </is>
      </c>
      <c r="O1374" t="inlineStr">
        <is>
          <t>CVE - IP enrichment n/a</t>
        </is>
      </c>
      <c r="P1374" t="n">
        <v>0.0003</v>
      </c>
      <c r="Q1374" t="n">
        <v>0.0886</v>
      </c>
      <c r="R1374" t="inlineStr">
        <is>
          <t>T1190:Exploit Public-Facing Application</t>
        </is>
      </c>
      <c r="S1374" t="n">
        <v>1</v>
      </c>
      <c r="T1374" t="inlineStr">
        <is>
          <t>LOW (40%)</t>
        </is>
      </c>
      <c r="U1374" t="inlineStr">
        <is>
          <t>UNLIKELY</t>
        </is>
      </c>
      <c r="V1374" t="inlineStr">
        <is>
          <t>CHECK_VENDOR</t>
        </is>
      </c>
      <c r="W1374" t="inlineStr">
        <is>
          <t>https://nvd.nist.gov/vuln/detail/CVE-2025-14742</t>
        </is>
      </c>
      <c r="X1374" t="inlineStr">
        <is>
          <t>NONE</t>
        </is>
      </c>
      <c r="Y1374" t="n">
        <v>0</v>
      </c>
      <c r="Z1374" t="inlineStr"/>
      <c r="AA1374" t="inlineStr">
        <is>
          <t>https://nvd.nist.gov/vuln/detail/CVE-2025-14742</t>
        </is>
      </c>
    </row>
    <row r="1375">
      <c r="A1375" t="inlineStr">
        <is>
          <t>CVE</t>
        </is>
      </c>
      <c r="B1375" t="inlineStr">
        <is>
          <t>CVE-2026-2301</t>
        </is>
      </c>
      <c r="C1375" t="inlineStr">
        <is>
          <t>The Post Duplicator plugin for WordPress is vulnerable to unauthorized arbitrary protected post meta insertion in all versions up to, and including, 3.0.8. This is due to the `duplicate_post()` function in `includes/api.php` using `$wpdb-&gt;insert()` directly to the `wp_postmeta` table instead of WordPress's standard `add_post_meta()` function, which would call `is_protected_meta()` to prevent lower-privileged users from setting protected meta keys (those starting with `_`). This makes it possible</t>
        </is>
      </c>
      <c r="D1375" t="n">
        <v>4.3</v>
      </c>
      <c r="E1375" t="inlineStr">
        <is>
          <t>MEDIUM</t>
        </is>
      </c>
      <c r="F1375" t="n">
        <v>2</v>
      </c>
      <c r="G1375" t="n">
        <v>2</v>
      </c>
      <c r="H1375" t="inlineStr">
        <is>
          <t>MEDIUM</t>
        </is>
      </c>
      <c r="I1375" t="n">
        <v>8.300000000000001</v>
      </c>
      <c r="J1375" t="inlineStr">
        <is>
          <t>NO</t>
        </is>
      </c>
      <c r="K1375" t="inlineStr">
        <is>
          <t>2026-02-26 00:15</t>
        </is>
      </c>
      <c r="L1375" t="inlineStr">
        <is>
          <t>CHECK_VENDOR</t>
        </is>
      </c>
      <c r="M1375" t="inlineStr">
        <is>
          <t>See CVE details</t>
        </is>
      </c>
      <c r="N1375" t="inlineStr">
        <is>
          <t>P4</t>
        </is>
      </c>
      <c r="O1375" t="inlineStr">
        <is>
          <t>CVE - IP enrichment n/a</t>
        </is>
      </c>
      <c r="P1375" t="n">
        <v>0</v>
      </c>
      <c r="Q1375" t="n">
        <v>0</v>
      </c>
      <c r="R1375" t="inlineStr">
        <is>
          <t>T1190:Exploit Public-Facing Application</t>
        </is>
      </c>
      <c r="S1375" t="n">
        <v>1</v>
      </c>
      <c r="T1375" t="inlineStr">
        <is>
          <t>LOW (40%)</t>
        </is>
      </c>
      <c r="U1375" t="inlineStr">
        <is>
          <t>UNLIKELY</t>
        </is>
      </c>
      <c r="V1375" t="inlineStr">
        <is>
          <t>CHECK_VENDOR</t>
        </is>
      </c>
      <c r="W1375" t="inlineStr">
        <is>
          <t>https://nvd.nist.gov/vuln/detail/CVE-2026-2301</t>
        </is>
      </c>
      <c r="X1375" t="inlineStr">
        <is>
          <t>NONE</t>
        </is>
      </c>
      <c r="Y1375" t="n">
        <v>0</v>
      </c>
      <c r="Z1375" t="inlineStr"/>
      <c r="AA1375" t="inlineStr">
        <is>
          <t>https://nvd.nist.gov/vuln/detail/CVE-2026-2301</t>
        </is>
      </c>
    </row>
    <row r="1376">
      <c r="A1376" t="inlineStr">
        <is>
          <t>CVE</t>
        </is>
      </c>
      <c r="B1376" t="inlineStr">
        <is>
          <t>CVE-2026-2367</t>
        </is>
      </c>
      <c r="C1376" t="inlineStr">
        <is>
          <t>The Secure Copy Content Protection and Content Locking plugin for WordPress is vulnerable to Stored Cross-Site Scripting via the plugin's 'ays_block' shortcode in all versions up to, and including, 5.0.1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376" t="n">
        <v>6.4</v>
      </c>
      <c r="E1376" t="inlineStr">
        <is>
          <t>MEDIUM</t>
        </is>
      </c>
      <c r="F1376" t="n">
        <v>2</v>
      </c>
      <c r="G1376" t="n">
        <v>2</v>
      </c>
      <c r="H1376" t="inlineStr">
        <is>
          <t>MEDIUM</t>
        </is>
      </c>
      <c r="I1376" t="n">
        <v>10.4</v>
      </c>
      <c r="J1376" t="inlineStr">
        <is>
          <t>NO</t>
        </is>
      </c>
      <c r="K1376" t="inlineStr">
        <is>
          <t>2026-02-26 00:15</t>
        </is>
      </c>
      <c r="L1376" t="inlineStr">
        <is>
          <t>CHECK_VENDOR</t>
        </is>
      </c>
      <c r="M1376" t="inlineStr">
        <is>
          <t>See CVE details</t>
        </is>
      </c>
      <c r="N1376" t="inlineStr">
        <is>
          <t>P4</t>
        </is>
      </c>
      <c r="O1376" t="inlineStr">
        <is>
          <t>CVE - IP enrichment n/a</t>
        </is>
      </c>
      <c r="P1376" t="n">
        <v>0</v>
      </c>
      <c r="Q1376" t="n">
        <v>0</v>
      </c>
      <c r="R1376" t="inlineStr">
        <is>
          <t>T1189:Drive-by Compromise</t>
        </is>
      </c>
      <c r="S1376" t="n">
        <v>1</v>
      </c>
      <c r="T1376" t="inlineStr">
        <is>
          <t>LOW (40%)</t>
        </is>
      </c>
      <c r="U1376" t="inlineStr">
        <is>
          <t>UNLIKELY</t>
        </is>
      </c>
      <c r="V1376" t="inlineStr">
        <is>
          <t>CHECK_VENDOR</t>
        </is>
      </c>
      <c r="W1376" t="inlineStr">
        <is>
          <t>https://nvd.nist.gov/vuln/detail/CVE-2026-2367</t>
        </is>
      </c>
      <c r="X1376" t="inlineStr">
        <is>
          <t>NONE</t>
        </is>
      </c>
      <c r="Y1376" t="n">
        <v>0</v>
      </c>
      <c r="Z1376" t="inlineStr"/>
      <c r="AA1376" t="inlineStr">
        <is>
          <t>https://nvd.nist.gov/vuln/detail/CVE-2026-2367</t>
        </is>
      </c>
    </row>
    <row r="1377">
      <c r="A1377" t="inlineStr">
        <is>
          <t>CVE</t>
        </is>
      </c>
      <c r="B1377" t="inlineStr">
        <is>
          <t>CVE-2026-2410</t>
        </is>
      </c>
      <c r="C1377" t="inlineStr">
        <is>
          <t>The Disable Admin Notices – Hide Dashboard Notifications plugin for WordPress is vulnerable to Cross-Site Request Forgery in all versions up to, and including, 1.4.2. This is due to missing nonce validation in the `showPageContent()` function. This makes it possible for unauthenticated attackers to add arbitrary URLs to the blocked redirects list via a forged request granted they can trick a site administrator into performing an action such as clicking on a link.</t>
        </is>
      </c>
      <c r="D1377" t="n">
        <v>4.3</v>
      </c>
      <c r="E1377" t="inlineStr">
        <is>
          <t>MEDIUM</t>
        </is>
      </c>
      <c r="F1377" t="n">
        <v>2</v>
      </c>
      <c r="G1377" t="n">
        <v>2</v>
      </c>
      <c r="H1377" t="inlineStr">
        <is>
          <t>MEDIUM</t>
        </is>
      </c>
      <c r="I1377" t="n">
        <v>8.300000000000001</v>
      </c>
      <c r="J1377" t="inlineStr">
        <is>
          <t>NO</t>
        </is>
      </c>
      <c r="K1377" t="inlineStr">
        <is>
          <t>2026-02-26 00:15</t>
        </is>
      </c>
      <c r="L1377" t="inlineStr">
        <is>
          <t>CHECK_VENDOR</t>
        </is>
      </c>
      <c r="M1377" t="inlineStr">
        <is>
          <t>See CVE details</t>
        </is>
      </c>
      <c r="N1377" t="inlineStr">
        <is>
          <t>P4</t>
        </is>
      </c>
      <c r="O1377" t="inlineStr">
        <is>
          <t>CVE - IP enrichment n/a</t>
        </is>
      </c>
      <c r="P1377" t="n">
        <v>0</v>
      </c>
      <c r="Q1377" t="n">
        <v>0</v>
      </c>
      <c r="R1377" t="inlineStr">
        <is>
          <t>T1185:Browser Session Hijacking</t>
        </is>
      </c>
      <c r="S1377" t="n">
        <v>1</v>
      </c>
      <c r="T1377" t="inlineStr">
        <is>
          <t>LOW (40%)</t>
        </is>
      </c>
      <c r="U1377" t="inlineStr">
        <is>
          <t>UNLIKELY</t>
        </is>
      </c>
      <c r="V1377" t="inlineStr">
        <is>
          <t>CHECK_VENDOR</t>
        </is>
      </c>
      <c r="W1377" t="inlineStr">
        <is>
          <t>https://nvd.nist.gov/vuln/detail/CVE-2026-2410</t>
        </is>
      </c>
      <c r="X1377" t="inlineStr">
        <is>
          <t>NONE</t>
        </is>
      </c>
      <c r="Y1377" t="n">
        <v>0</v>
      </c>
      <c r="Z1377" t="inlineStr"/>
      <c r="AA1377" t="inlineStr">
        <is>
          <t>https://nvd.nist.gov/vuln/detail/CVE-2026-2410</t>
        </is>
      </c>
    </row>
    <row r="1378">
      <c r="A1378" t="inlineStr">
        <is>
          <t>CVE</t>
        </is>
      </c>
      <c r="B1378" t="inlineStr">
        <is>
          <t>CVE-2025-62878</t>
        </is>
      </c>
      <c r="C1378" t="inlineStr">
        <is>
          <t>A malicious user can manipulate the parameters.pathPattern to create PersistentVolumes in arbitrary locations on the host node, potentially overwriting sensitive files or gaining access to unintended directories.</t>
        </is>
      </c>
      <c r="D1378" t="n">
        <v>9.9</v>
      </c>
      <c r="E1378" t="inlineStr">
        <is>
          <t>CRITICAL</t>
        </is>
      </c>
      <c r="F1378" t="n">
        <v>2</v>
      </c>
      <c r="G1378" t="n">
        <v>3</v>
      </c>
      <c r="H1378" t="inlineStr">
        <is>
          <t>HIGH</t>
        </is>
      </c>
      <c r="I1378" t="n">
        <v>15.9</v>
      </c>
      <c r="J1378" t="inlineStr">
        <is>
          <t>NO</t>
        </is>
      </c>
      <c r="K1378" t="inlineStr">
        <is>
          <t>2026-02-26 00:15</t>
        </is>
      </c>
      <c r="L1378" t="inlineStr">
        <is>
          <t>CHECK_VENDOR</t>
        </is>
      </c>
      <c r="M1378" t="inlineStr">
        <is>
          <t>See CVE details</t>
        </is>
      </c>
      <c r="N1378" t="inlineStr">
        <is>
          <t>P3</t>
        </is>
      </c>
      <c r="O1378" t="inlineStr">
        <is>
          <t>CVE - IP enrichment n/a</t>
        </is>
      </c>
      <c r="P1378" t="n">
        <v>0</v>
      </c>
      <c r="Q1378" t="n">
        <v>0</v>
      </c>
      <c r="R1378" t="inlineStr">
        <is>
          <t>T1190:Exploit Public-Facing Application</t>
        </is>
      </c>
      <c r="S1378" t="n">
        <v>1</v>
      </c>
      <c r="T1378" t="inlineStr">
        <is>
          <t>LOW (40%)</t>
        </is>
      </c>
      <c r="U1378" t="inlineStr">
        <is>
          <t>UNLIKELY</t>
        </is>
      </c>
      <c r="V1378" t="inlineStr">
        <is>
          <t>CHECK_VENDOR</t>
        </is>
      </c>
      <c r="W1378" t="inlineStr">
        <is>
          <t>https://nvd.nist.gov/vuln/detail/CVE-2025-62878</t>
        </is>
      </c>
      <c r="X1378" t="inlineStr">
        <is>
          <t>NONE</t>
        </is>
      </c>
      <c r="Y1378" t="n">
        <v>0</v>
      </c>
      <c r="Z1378" t="inlineStr"/>
      <c r="AA1378" t="inlineStr">
        <is>
          <t>https://nvd.nist.gov/vuln/detail/CVE-2025-62878</t>
        </is>
      </c>
    </row>
    <row r="1379">
      <c r="A1379" t="inlineStr">
        <is>
          <t>CVE</t>
        </is>
      </c>
      <c r="B1379" t="inlineStr">
        <is>
          <t>CVE-2025-67601</t>
        </is>
      </c>
      <c r="C1379" t="inlineStr">
        <is>
          <t>A vulnerability has been identified within Rancher Manager, where using self-signed CA certificates and passing the -skip-verify flag to the Rancher CLI login command without also passing the –cacert flag results in the CLI attempting to fetch CA certificates stored in Rancher’s setting cacerts.</t>
        </is>
      </c>
      <c r="D1379" t="n">
        <v>8.300000000000001</v>
      </c>
      <c r="E1379" t="inlineStr">
        <is>
          <t>HIGH</t>
        </is>
      </c>
      <c r="F1379" t="n">
        <v>2</v>
      </c>
      <c r="G1379" t="n">
        <v>3</v>
      </c>
      <c r="H1379" t="inlineStr">
        <is>
          <t>HIGH</t>
        </is>
      </c>
      <c r="I1379" t="n">
        <v>14.3</v>
      </c>
      <c r="J1379" t="inlineStr">
        <is>
          <t>NO</t>
        </is>
      </c>
      <c r="K1379" t="inlineStr">
        <is>
          <t>2026-02-26 00:15</t>
        </is>
      </c>
      <c r="L1379" t="inlineStr">
        <is>
          <t>CHECK_VENDOR</t>
        </is>
      </c>
      <c r="M1379" t="inlineStr">
        <is>
          <t>See CVE details</t>
        </is>
      </c>
      <c r="N1379" t="inlineStr">
        <is>
          <t>P3</t>
        </is>
      </c>
      <c r="O1379" t="inlineStr">
        <is>
          <t>CVE - IP enrichment n/a</t>
        </is>
      </c>
      <c r="P1379" t="n">
        <v>0</v>
      </c>
      <c r="Q1379" t="n">
        <v>0</v>
      </c>
      <c r="R1379" t="inlineStr">
        <is>
          <t>T1190:Exploit Public-Facing Application</t>
        </is>
      </c>
      <c r="S1379" t="n">
        <v>1</v>
      </c>
      <c r="T1379" t="inlineStr">
        <is>
          <t>LOW (40%)</t>
        </is>
      </c>
      <c r="U1379" t="inlineStr">
        <is>
          <t>UNLIKELY</t>
        </is>
      </c>
      <c r="V1379" t="inlineStr">
        <is>
          <t>CHECK_VENDOR</t>
        </is>
      </c>
      <c r="W1379" t="inlineStr">
        <is>
          <t>https://nvd.nist.gov/vuln/detail/CVE-2025-67601</t>
        </is>
      </c>
      <c r="X1379" t="inlineStr">
        <is>
          <t>NONE</t>
        </is>
      </c>
      <c r="Y1379" t="n">
        <v>0</v>
      </c>
      <c r="Z1379" t="inlineStr"/>
      <c r="AA1379" t="inlineStr">
        <is>
          <t>https://nvd.nist.gov/vuln/detail/CVE-2025-67601</t>
        </is>
      </c>
    </row>
    <row r="1380">
      <c r="A1380" t="inlineStr">
        <is>
          <t>CVE</t>
        </is>
      </c>
      <c r="B1380" t="inlineStr">
        <is>
          <t>CVE-2025-67860</t>
        </is>
      </c>
      <c r="C1380" t="inlineStr">
        <is>
          <t>A vulnerability has been identified in the NeuVector scanner where the scanner process accepts registry and controller credentials as command-line arguments, potentially exposing sensitive credentials to local users.</t>
        </is>
      </c>
      <c r="D1380" t="n">
        <v>3.8</v>
      </c>
      <c r="E1380" t="inlineStr">
        <is>
          <t>LOW</t>
        </is>
      </c>
      <c r="F1380" t="n">
        <v>2</v>
      </c>
      <c r="G1380" t="n">
        <v>1</v>
      </c>
      <c r="H1380" t="inlineStr">
        <is>
          <t>LOW</t>
        </is>
      </c>
      <c r="I1380" t="n">
        <v>5.8</v>
      </c>
      <c r="J1380" t="inlineStr">
        <is>
          <t>NO</t>
        </is>
      </c>
      <c r="K1380" t="inlineStr">
        <is>
          <t>2026-02-26 00:15</t>
        </is>
      </c>
      <c r="L1380" t="inlineStr">
        <is>
          <t>CHECK_VENDOR</t>
        </is>
      </c>
      <c r="M1380" t="inlineStr">
        <is>
          <t>See CVE details</t>
        </is>
      </c>
      <c r="N1380" t="inlineStr">
        <is>
          <t>P4</t>
        </is>
      </c>
      <c r="O1380" t="inlineStr">
        <is>
          <t>CVE - IP enrichment n/a</t>
        </is>
      </c>
      <c r="P1380" t="n">
        <v>0</v>
      </c>
      <c r="Q1380" t="n">
        <v>0</v>
      </c>
      <c r="R1380" t="inlineStr">
        <is>
          <t>T1552:Unsecured Credentials</t>
        </is>
      </c>
      <c r="S1380" t="n">
        <v>1</v>
      </c>
      <c r="T1380" t="inlineStr">
        <is>
          <t>LOW (40%)</t>
        </is>
      </c>
      <c r="U1380" t="inlineStr">
        <is>
          <t>UNLIKELY</t>
        </is>
      </c>
      <c r="V1380" t="inlineStr">
        <is>
          <t>CHECK_VENDOR</t>
        </is>
      </c>
      <c r="W1380" t="inlineStr">
        <is>
          <t>https://nvd.nist.gov/vuln/detail/CVE-2025-67860</t>
        </is>
      </c>
      <c r="X1380" t="inlineStr">
        <is>
          <t>NONE</t>
        </is>
      </c>
      <c r="Y1380" t="n">
        <v>0</v>
      </c>
      <c r="Z1380" t="inlineStr"/>
      <c r="AA1380" t="inlineStr">
        <is>
          <t>https://nvd.nist.gov/vuln/detail/CVE-2025-67860</t>
        </is>
      </c>
    </row>
    <row r="1381">
      <c r="A1381" t="inlineStr">
        <is>
          <t>CVE</t>
        </is>
      </c>
      <c r="B1381" t="inlineStr">
        <is>
          <t>CVE-2026-26103</t>
        </is>
      </c>
      <c r="C1381" t="inlineStr">
        <is>
          <t>A flaw was found in the udisks storage management daemon that exposes a privileged D-Bus API for restoring LUKS encryption headers without proper authorization checks. The issue allows a local unprivileged user to instruct the root-owned udisks daemon to overwrite encryption metadata on block devices. This can permanently invalidate encryption keys and render encrypted volumes inaccessible. Successful exploitation results in a denial-of-service condition through irreversible data loss.</t>
        </is>
      </c>
      <c r="D1381" t="n">
        <v>7.1</v>
      </c>
      <c r="E1381" t="inlineStr">
        <is>
          <t>HIGH</t>
        </is>
      </c>
      <c r="F1381" t="n">
        <v>2</v>
      </c>
      <c r="G1381" t="n">
        <v>3</v>
      </c>
      <c r="H1381" t="inlineStr">
        <is>
          <t>HIGH</t>
        </is>
      </c>
      <c r="I1381" t="n">
        <v>13.1</v>
      </c>
      <c r="J1381" t="inlineStr">
        <is>
          <t>NO</t>
        </is>
      </c>
      <c r="K1381" t="inlineStr">
        <is>
          <t>2026-02-26 00:15</t>
        </is>
      </c>
      <c r="L1381" t="inlineStr">
        <is>
          <t>CHECK_VENDOR</t>
        </is>
      </c>
      <c r="M1381" t="inlineStr">
        <is>
          <t>See CVE details</t>
        </is>
      </c>
      <c r="N1381" t="inlineStr">
        <is>
          <t>P3</t>
        </is>
      </c>
      <c r="O1381" t="inlineStr">
        <is>
          <t>CVE - IP enrichment n/a</t>
        </is>
      </c>
      <c r="P1381" t="n">
        <v>0.0001</v>
      </c>
      <c r="Q1381" t="n">
        <v>0.0057</v>
      </c>
      <c r="R1381" t="inlineStr">
        <is>
          <t>T1190:Exploit Public-Facing Application</t>
        </is>
      </c>
      <c r="S1381" t="n">
        <v>2</v>
      </c>
      <c r="T1381" t="inlineStr">
        <is>
          <t>MEDIUM (52%)</t>
        </is>
      </c>
      <c r="U1381" t="inlineStr">
        <is>
          <t>UNLIKELY</t>
        </is>
      </c>
      <c r="V1381" t="inlineStr">
        <is>
          <t>CHECK_VENDOR</t>
        </is>
      </c>
      <c r="W1381" t="inlineStr">
        <is>
          <t>https://nvd.nist.gov/vuln/detail/CVE-2026-26103</t>
        </is>
      </c>
      <c r="X1381" t="inlineStr">
        <is>
          <t>NONE</t>
        </is>
      </c>
      <c r="Y1381" t="n">
        <v>0</v>
      </c>
      <c r="Z1381" t="inlineStr"/>
      <c r="AA1381" t="inlineStr">
        <is>
          <t>https://nvd.nist.gov/vuln/detail/CVE-2026-26103</t>
        </is>
      </c>
    </row>
    <row r="1382">
      <c r="A1382" t="inlineStr">
        <is>
          <t>CVE</t>
        </is>
      </c>
      <c r="B1382" t="inlineStr">
        <is>
          <t>CVE-2026-26104</t>
        </is>
      </c>
      <c r="C1382" t="inlineStr">
        <is>
          <t>A flaw was found in the udisks storage management daemon that allows unprivileged users to back up LUKS encryption headers without authorization. The issue occurs because a privileged D-Bus method responsible for exporting encryption metadata does not perform a policy check. As a result, sensitive cryptographic metadata can be read and written to attacker-controlled locations. This weakens the confidentiality guarantees of encrypted storage volumes.</t>
        </is>
      </c>
      <c r="D1382" t="n">
        <v>5.5</v>
      </c>
      <c r="E1382" t="inlineStr">
        <is>
          <t>MEDIUM</t>
        </is>
      </c>
      <c r="F1382" t="n">
        <v>2</v>
      </c>
      <c r="G1382" t="n">
        <v>2</v>
      </c>
      <c r="H1382" t="inlineStr">
        <is>
          <t>MEDIUM</t>
        </is>
      </c>
      <c r="I1382" t="n">
        <v>9.5</v>
      </c>
      <c r="J1382" t="inlineStr">
        <is>
          <t>NO</t>
        </is>
      </c>
      <c r="K1382" t="inlineStr">
        <is>
          <t>2026-02-26 00:15</t>
        </is>
      </c>
      <c r="L1382" t="inlineStr">
        <is>
          <t>CHECK_VENDOR</t>
        </is>
      </c>
      <c r="M1382" t="inlineStr">
        <is>
          <t>See CVE details</t>
        </is>
      </c>
      <c r="N1382" t="inlineStr">
        <is>
          <t>P3</t>
        </is>
      </c>
      <c r="O1382" t="inlineStr">
        <is>
          <t>CVE - IP enrichment n/a</t>
        </is>
      </c>
      <c r="P1382" t="n">
        <v>0</v>
      </c>
      <c r="Q1382" t="n">
        <v>0</v>
      </c>
      <c r="R1382" t="inlineStr">
        <is>
          <t>T1600:Weaken Encryption</t>
        </is>
      </c>
      <c r="S1382" t="n">
        <v>2</v>
      </c>
      <c r="T1382" t="inlineStr">
        <is>
          <t>MEDIUM (52%)</t>
        </is>
      </c>
      <c r="U1382" t="inlineStr">
        <is>
          <t>UNLIKELY</t>
        </is>
      </c>
      <c r="V1382" t="inlineStr">
        <is>
          <t>CHECK_VENDOR</t>
        </is>
      </c>
      <c r="W1382" t="inlineStr">
        <is>
          <t>https://nvd.nist.gov/vuln/detail/CVE-2026-26104</t>
        </is>
      </c>
      <c r="X1382" t="inlineStr">
        <is>
          <t>NONE</t>
        </is>
      </c>
      <c r="Y1382" t="n">
        <v>0</v>
      </c>
      <c r="Z1382" t="inlineStr"/>
      <c r="AA1382" t="inlineStr">
        <is>
          <t>https://nvd.nist.gov/vuln/detail/CVE-2026-26104</t>
        </is>
      </c>
    </row>
    <row r="1383">
      <c r="A1383" t="inlineStr">
        <is>
          <t>CVE</t>
        </is>
      </c>
      <c r="B1383" t="inlineStr">
        <is>
          <t>CVE-2026-25701</t>
        </is>
      </c>
      <c r="C1383" t="inlineStr">
        <is>
          <t>An Insecure Temporary File vulnerability in openSUSE sdbootutil allows local users to pre-create a directory to achieve various effects like:
  *  gain access to possible private information found in /var/lib/pcrlock.d
  *  manipulate the data backed up in /tmp/pcrlock.d.bak, therefore violating the integrity of the data should it be restored.
  *   overwrite protected system files with data from /var/lib/pcrlock.d by placing symlinks to existing files in the directory tree in /tmp/pcrlock.d.bak</t>
        </is>
      </c>
      <c r="D1383" t="n">
        <v>5</v>
      </c>
      <c r="E1383" t="inlineStr">
        <is>
          <t>MEDIUM</t>
        </is>
      </c>
      <c r="F1383" t="n">
        <v>2</v>
      </c>
      <c r="G1383" t="n">
        <v>2</v>
      </c>
      <c r="H1383" t="inlineStr">
        <is>
          <t>MEDIUM</t>
        </is>
      </c>
      <c r="I1383" t="n">
        <v>9</v>
      </c>
      <c r="J1383" t="inlineStr">
        <is>
          <t>NO</t>
        </is>
      </c>
      <c r="K1383" t="inlineStr">
        <is>
          <t>2026-02-26 00:15</t>
        </is>
      </c>
      <c r="L1383" t="inlineStr">
        <is>
          <t>CHECK_VENDOR</t>
        </is>
      </c>
      <c r="M1383" t="inlineStr">
        <is>
          <t>See CVE details</t>
        </is>
      </c>
      <c r="N1383" t="inlineStr">
        <is>
          <t>P4</t>
        </is>
      </c>
      <c r="O1383" t="inlineStr">
        <is>
          <t>CVE - IP enrichment n/a</t>
        </is>
      </c>
      <c r="P1383" t="n">
        <v>0</v>
      </c>
      <c r="Q1383" t="n">
        <v>0</v>
      </c>
      <c r="R1383" t="inlineStr">
        <is>
          <t>T1190:Exploit Public-Facing Application</t>
        </is>
      </c>
      <c r="S1383" t="n">
        <v>1</v>
      </c>
      <c r="T1383" t="inlineStr">
        <is>
          <t>LOW (40%)</t>
        </is>
      </c>
      <c r="U1383" t="inlineStr">
        <is>
          <t>UNLIKELY</t>
        </is>
      </c>
      <c r="V1383" t="inlineStr">
        <is>
          <t>CHECK_VENDOR</t>
        </is>
      </c>
      <c r="W1383" t="inlineStr">
        <is>
          <t>https://nvd.nist.gov/vuln/detail/CVE-2026-25701</t>
        </is>
      </c>
      <c r="X1383" t="inlineStr">
        <is>
          <t>NONE</t>
        </is>
      </c>
      <c r="Y1383" t="n">
        <v>0</v>
      </c>
      <c r="Z1383" t="inlineStr"/>
      <c r="AA1383" t="inlineStr">
        <is>
          <t>https://nvd.nist.gov/vuln/detail/CVE-2026-25701</t>
        </is>
      </c>
    </row>
    <row r="1384">
      <c r="A1384" t="inlineStr">
        <is>
          <t>CVE</t>
        </is>
      </c>
      <c r="B1384" t="inlineStr">
        <is>
          <t>CVE-2026-3118</t>
        </is>
      </c>
      <c r="C1384" t="inlineStr">
        <is>
          <t>A security flaw was identified in the Orchestrator Plugin of Red Hat Developer Hub (Backstage). The issue occurs due to insufficient input validation in GraphQL query handling. An authenticated user can inject specially crafted input into API requests, which disrupts backend query processing. This results in the entire Backstage application crashing and restarting, leading to a platform-wide Denial of Service (DoS). As a result, legitimate users temporarily lose access to the platform.</t>
        </is>
      </c>
      <c r="D1384" t="n">
        <v>6.5</v>
      </c>
      <c r="E1384" t="inlineStr">
        <is>
          <t>MEDIUM</t>
        </is>
      </c>
      <c r="F1384" t="n">
        <v>2</v>
      </c>
      <c r="G1384" t="n">
        <v>2</v>
      </c>
      <c r="H1384" t="inlineStr">
        <is>
          <t>MEDIUM</t>
        </is>
      </c>
      <c r="I1384" t="n">
        <v>10.5</v>
      </c>
      <c r="J1384" t="inlineStr">
        <is>
          <t>NO</t>
        </is>
      </c>
      <c r="K1384" t="inlineStr">
        <is>
          <t>2026-02-26 00:15</t>
        </is>
      </c>
      <c r="L1384" t="inlineStr">
        <is>
          <t>CHECK_VENDOR</t>
        </is>
      </c>
      <c r="M1384" t="inlineStr">
        <is>
          <t>See CVE details</t>
        </is>
      </c>
      <c r="N1384" t="inlineStr">
        <is>
          <t>P4</t>
        </is>
      </c>
      <c r="O1384" t="inlineStr">
        <is>
          <t>CVE - IP enrichment n/a</t>
        </is>
      </c>
      <c r="P1384" t="n">
        <v>0</v>
      </c>
      <c r="Q1384" t="n">
        <v>0</v>
      </c>
      <c r="R1384" t="inlineStr">
        <is>
          <t>T1190:Exploit Public-Facing Application | T1499:Endpoint Denial of Service</t>
        </is>
      </c>
      <c r="S1384" t="n">
        <v>1</v>
      </c>
      <c r="T1384" t="inlineStr">
        <is>
          <t>LOW (40%)</t>
        </is>
      </c>
      <c r="U1384" t="inlineStr">
        <is>
          <t>UNLIKELY</t>
        </is>
      </c>
      <c r="V1384" t="inlineStr">
        <is>
          <t>CHECK_VENDOR</t>
        </is>
      </c>
      <c r="W1384" t="inlineStr">
        <is>
          <t>https://nvd.nist.gov/vuln/detail/CVE-2026-3118</t>
        </is>
      </c>
      <c r="X1384" t="inlineStr">
        <is>
          <t>NONE</t>
        </is>
      </c>
      <c r="Y1384" t="n">
        <v>0</v>
      </c>
      <c r="Z1384" t="inlineStr"/>
      <c r="AA1384" t="inlineStr">
        <is>
          <t>https://nvd.nist.gov/vuln/detail/CVE-2026-3118</t>
        </is>
      </c>
    </row>
    <row r="1385">
      <c r="A1385" t="inlineStr">
        <is>
          <t>CVE</t>
        </is>
      </c>
      <c r="B1385" t="inlineStr">
        <is>
          <t>CVE-2026-0704</t>
        </is>
      </c>
      <c r="C1385" t="inlineStr">
        <is>
          <t>In affected version of Octopus Deploy it was possible to remove files and/or contents of files on the host using an API endpoint. The field lacked validation which could potentially result in ways to circumvent expected workflows.</t>
        </is>
      </c>
      <c r="D1385" t="n">
        <v>5</v>
      </c>
      <c r="E1385" t="inlineStr">
        <is>
          <t>MEDIUM</t>
        </is>
      </c>
      <c r="F1385" t="n">
        <v>2</v>
      </c>
      <c r="G1385" t="n">
        <v>2</v>
      </c>
      <c r="H1385" t="inlineStr">
        <is>
          <t>MEDIUM</t>
        </is>
      </c>
      <c r="I1385" t="n">
        <v>9</v>
      </c>
      <c r="J1385" t="inlineStr">
        <is>
          <t>NO</t>
        </is>
      </c>
      <c r="K1385" t="inlineStr">
        <is>
          <t>2026-02-26 00:15</t>
        </is>
      </c>
      <c r="L1385" t="inlineStr">
        <is>
          <t>CHECK_VENDOR</t>
        </is>
      </c>
      <c r="M1385" t="inlineStr">
        <is>
          <t>See CVE details</t>
        </is>
      </c>
      <c r="N1385" t="inlineStr">
        <is>
          <t>P4</t>
        </is>
      </c>
      <c r="O1385" t="inlineStr">
        <is>
          <t>CVE - IP enrichment n/a</t>
        </is>
      </c>
      <c r="P1385" t="n">
        <v>0</v>
      </c>
      <c r="Q1385" t="n">
        <v>0</v>
      </c>
      <c r="R1385" t="inlineStr">
        <is>
          <t>T1190:Exploit Public-Facing Application</t>
        </is>
      </c>
      <c r="S1385" t="n">
        <v>1</v>
      </c>
      <c r="T1385" t="inlineStr">
        <is>
          <t>LOW (40%)</t>
        </is>
      </c>
      <c r="U1385" t="inlineStr">
        <is>
          <t>UNLIKELY</t>
        </is>
      </c>
      <c r="V1385" t="inlineStr">
        <is>
          <t>CHECK_VENDOR</t>
        </is>
      </c>
      <c r="W1385" t="inlineStr">
        <is>
          <t>https://nvd.nist.gov/vuln/detail/CVE-2026-0704</t>
        </is>
      </c>
      <c r="X1385" t="inlineStr">
        <is>
          <t>NONE</t>
        </is>
      </c>
      <c r="Y1385" t="n">
        <v>0</v>
      </c>
      <c r="Z1385" t="inlineStr"/>
      <c r="AA1385" t="inlineStr">
        <is>
          <t>https://nvd.nist.gov/vuln/detail/CVE-2026-0704</t>
        </is>
      </c>
    </row>
    <row r="1386">
      <c r="A1386" t="inlineStr">
        <is>
          <t>CVE</t>
        </is>
      </c>
      <c r="B1386" t="inlineStr">
        <is>
          <t>CVE-2026-21725</t>
        </is>
      </c>
      <c r="C1386" t="inlineStr">
        <is>
          <t>A time-of-create-to-time-of-use (TOCTOU) vulnerability lets recently deleted-then-recreated data sources be re-deleted without permission to do so.
This requires several very stringent conditions to be met:
- The attacker must have admin access to the specific datasource prior to its first deletion.
- Upon deletion, all steps within the attack must happen within the next 30 seconds and on the same pod of Grafana.
- The attacker must delete the datasource, then someone must recreate it.
- The n</t>
        </is>
      </c>
      <c r="D1386" t="n">
        <v>2.6</v>
      </c>
      <c r="E1386" t="inlineStr">
        <is>
          <t>LOW</t>
        </is>
      </c>
      <c r="F1386" t="n">
        <v>2</v>
      </c>
      <c r="G1386" t="n">
        <v>1</v>
      </c>
      <c r="H1386" t="inlineStr">
        <is>
          <t>LOW</t>
        </is>
      </c>
      <c r="I1386" t="n">
        <v>4.6</v>
      </c>
      <c r="J1386" t="inlineStr">
        <is>
          <t>NO</t>
        </is>
      </c>
      <c r="K1386" t="inlineStr">
        <is>
          <t>2026-02-26 00:15</t>
        </is>
      </c>
      <c r="L1386" t="inlineStr">
        <is>
          <t>CHECK_VENDOR</t>
        </is>
      </c>
      <c r="M1386" t="inlineStr">
        <is>
          <t>See CVE details</t>
        </is>
      </c>
      <c r="N1386" t="inlineStr">
        <is>
          <t>P4</t>
        </is>
      </c>
      <c r="O1386" t="inlineStr">
        <is>
          <t>CVE - IP enrichment n/a</t>
        </is>
      </c>
      <c r="P1386" t="n">
        <v>0</v>
      </c>
      <c r="Q1386" t="n">
        <v>0</v>
      </c>
      <c r="R1386" t="inlineStr">
        <is>
          <t>T1190:Exploit Public-Facing Application</t>
        </is>
      </c>
      <c r="S1386" t="n">
        <v>1</v>
      </c>
      <c r="T1386" t="inlineStr">
        <is>
          <t>LOW (40%)</t>
        </is>
      </c>
      <c r="U1386" t="inlineStr">
        <is>
          <t>UNLIKELY</t>
        </is>
      </c>
      <c r="V1386" t="inlineStr">
        <is>
          <t>CHECK_VENDOR</t>
        </is>
      </c>
      <c r="W1386" t="inlineStr">
        <is>
          <t>https://nvd.nist.gov/vuln/detail/CVE-2026-21725</t>
        </is>
      </c>
      <c r="X1386" t="inlineStr">
        <is>
          <t>NONE</t>
        </is>
      </c>
      <c r="Y1386" t="n">
        <v>0</v>
      </c>
      <c r="Z1386" t="inlineStr"/>
      <c r="AA1386" t="inlineStr">
        <is>
          <t>https://nvd.nist.gov/vuln/detail/CVE-2026-21725</t>
        </is>
      </c>
    </row>
    <row r="1387">
      <c r="A1387" t="inlineStr">
        <is>
          <t>CVE</t>
        </is>
      </c>
      <c r="B1387" t="inlineStr">
        <is>
          <t>CVE-2026-2624</t>
        </is>
      </c>
      <c r="C1387" t="inlineStr">
        <is>
          <t>Missing Authentication for Critical Function vulnerability in ePati Cyber ​​Security Technologies Inc. Antikor Next Generation Firewall (NGFW) allows Authentication Bypass.This issue affects Antikor Next Generation Firewall (NGFW): from v.2.0.1298 before v.2.0.1301.</t>
        </is>
      </c>
      <c r="D1387" t="n">
        <v>9.800000000000001</v>
      </c>
      <c r="E1387" t="inlineStr">
        <is>
          <t>CRITICAL</t>
        </is>
      </c>
      <c r="F1387" t="n">
        <v>2</v>
      </c>
      <c r="G1387" t="n">
        <v>3</v>
      </c>
      <c r="H1387" t="inlineStr">
        <is>
          <t>HIGH</t>
        </is>
      </c>
      <c r="I1387" t="n">
        <v>15.8</v>
      </c>
      <c r="J1387" t="inlineStr">
        <is>
          <t>NO</t>
        </is>
      </c>
      <c r="K1387" t="inlineStr">
        <is>
          <t>2026-02-26 00:15</t>
        </is>
      </c>
      <c r="L1387" t="inlineStr">
        <is>
          <t>CHECK_VENDOR</t>
        </is>
      </c>
      <c r="M1387" t="inlineStr">
        <is>
          <t>See CVE details</t>
        </is>
      </c>
      <c r="N1387" t="inlineStr">
        <is>
          <t>P3</t>
        </is>
      </c>
      <c r="O1387" t="inlineStr">
        <is>
          <t>CVE - IP enrichment n/a</t>
        </is>
      </c>
      <c r="P1387" t="n">
        <v>0</v>
      </c>
      <c r="Q1387" t="n">
        <v>0</v>
      </c>
      <c r="R1387" t="inlineStr">
        <is>
          <t>T1078:Valid Accounts | T1562:Impair Defenses</t>
        </is>
      </c>
      <c r="S1387" t="n">
        <v>1</v>
      </c>
      <c r="T1387" t="inlineStr">
        <is>
          <t>LOW (40%)</t>
        </is>
      </c>
      <c r="U1387" t="inlineStr">
        <is>
          <t>UNLIKELY</t>
        </is>
      </c>
      <c r="V1387" t="inlineStr">
        <is>
          <t>CHECK_VENDOR</t>
        </is>
      </c>
      <c r="W1387" t="inlineStr">
        <is>
          <t>https://nvd.nist.gov/vuln/detail/CVE-2026-2624</t>
        </is>
      </c>
      <c r="X1387" t="inlineStr">
        <is>
          <t>NONE</t>
        </is>
      </c>
      <c r="Y1387" t="n">
        <v>0</v>
      </c>
      <c r="Z1387" t="inlineStr"/>
      <c r="AA1387" t="inlineStr">
        <is>
          <t>https://nvd.nist.gov/vuln/detail/CVE-2026-2624</t>
        </is>
      </c>
    </row>
    <row r="1388">
      <c r="A1388" t="inlineStr">
        <is>
          <t>CVE</t>
        </is>
      </c>
      <c r="B1388" t="inlineStr">
        <is>
          <t>CVE-2026-28193</t>
        </is>
      </c>
      <c r="C1388" t="inlineStr">
        <is>
          <t>In JetBrains YouTrack before 2025.3.121962 apps were able to send requests to the app permissions endpoint</t>
        </is>
      </c>
      <c r="D1388" t="n">
        <v>8.800000000000001</v>
      </c>
      <c r="E1388" t="inlineStr">
        <is>
          <t>HIGH</t>
        </is>
      </c>
      <c r="F1388" t="n">
        <v>2</v>
      </c>
      <c r="G1388" t="n">
        <v>3</v>
      </c>
      <c r="H1388" t="inlineStr">
        <is>
          <t>HIGH</t>
        </is>
      </c>
      <c r="I1388" t="n">
        <v>14.8</v>
      </c>
      <c r="J1388" t="inlineStr">
        <is>
          <t>NO</t>
        </is>
      </c>
      <c r="K1388" t="inlineStr">
        <is>
          <t>2026-02-26 00:15</t>
        </is>
      </c>
      <c r="L1388" t="inlineStr">
        <is>
          <t>CHECK_VENDOR</t>
        </is>
      </c>
      <c r="M1388" t="inlineStr">
        <is>
          <t>See CVE details</t>
        </is>
      </c>
      <c r="N1388" t="inlineStr">
        <is>
          <t>P3</t>
        </is>
      </c>
      <c r="O1388" t="inlineStr">
        <is>
          <t>CVE - IP enrichment n/a</t>
        </is>
      </c>
      <c r="P1388" t="n">
        <v>0</v>
      </c>
      <c r="Q1388" t="n">
        <v>0</v>
      </c>
      <c r="R1388" t="inlineStr">
        <is>
          <t>T1190:Exploit Public-Facing Application</t>
        </is>
      </c>
      <c r="S1388" t="n">
        <v>1</v>
      </c>
      <c r="T1388" t="inlineStr">
        <is>
          <t>LOW (40%)</t>
        </is>
      </c>
      <c r="U1388" t="inlineStr">
        <is>
          <t>UNLIKELY</t>
        </is>
      </c>
      <c r="V1388" t="inlineStr">
        <is>
          <t>CHECK_VENDOR</t>
        </is>
      </c>
      <c r="W1388" t="inlineStr">
        <is>
          <t>https://nvd.nist.gov/vuln/detail/CVE-2026-28193</t>
        </is>
      </c>
      <c r="X1388" t="inlineStr">
        <is>
          <t>NONE</t>
        </is>
      </c>
      <c r="Y1388" t="n">
        <v>0</v>
      </c>
      <c r="Z1388" t="inlineStr"/>
      <c r="AA1388" t="inlineStr">
        <is>
          <t>https://nvd.nist.gov/vuln/detail/CVE-2026-28193</t>
        </is>
      </c>
    </row>
    <row r="1389">
      <c r="A1389" t="inlineStr">
        <is>
          <t>CVE</t>
        </is>
      </c>
      <c r="B1389" t="inlineStr">
        <is>
          <t>CVE-2026-28194</t>
        </is>
      </c>
      <c r="C1389" t="inlineStr">
        <is>
          <t>In JetBrains TeamCity before 2025.11.3 open redirect was possible in the React project creation flow</t>
        </is>
      </c>
      <c r="D1389" t="n">
        <v>4.3</v>
      </c>
      <c r="E1389" t="inlineStr">
        <is>
          <t>MEDIUM</t>
        </is>
      </c>
      <c r="F1389" t="n">
        <v>2</v>
      </c>
      <c r="G1389" t="n">
        <v>2</v>
      </c>
      <c r="H1389" t="inlineStr">
        <is>
          <t>MEDIUM</t>
        </is>
      </c>
      <c r="I1389" t="n">
        <v>8.300000000000001</v>
      </c>
      <c r="J1389" t="inlineStr">
        <is>
          <t>NO</t>
        </is>
      </c>
      <c r="K1389" t="inlineStr">
        <is>
          <t>2026-02-26 00:15</t>
        </is>
      </c>
      <c r="L1389" t="inlineStr">
        <is>
          <t>YES</t>
        </is>
      </c>
      <c r="M1389" t="inlineStr">
        <is>
          <t>jetbrains teamcity *</t>
        </is>
      </c>
      <c r="N1389" t="inlineStr">
        <is>
          <t>P4</t>
        </is>
      </c>
      <c r="O1389" t="inlineStr">
        <is>
          <t>CVE - IP enrichment n/a</t>
        </is>
      </c>
      <c r="P1389" t="n">
        <v>0</v>
      </c>
      <c r="Q1389" t="n">
        <v>0</v>
      </c>
      <c r="R1389" t="inlineStr">
        <is>
          <t>T1189:Drive-by Compromise</t>
        </is>
      </c>
      <c r="S1389" t="n">
        <v>1</v>
      </c>
      <c r="T1389" t="inlineStr">
        <is>
          <t>LOW (40%)</t>
        </is>
      </c>
      <c r="U1389" t="inlineStr">
        <is>
          <t>UNLIKELY</t>
        </is>
      </c>
      <c r="V1389" t="inlineStr">
        <is>
          <t>PATCH_AVAILABLE</t>
        </is>
      </c>
      <c r="W1389" t="inlineStr">
        <is>
          <t>https://nvd.nist.gov/vuln/detail/CVE-2026-28194</t>
        </is>
      </c>
      <c r="X1389" t="inlineStr">
        <is>
          <t>NONE</t>
        </is>
      </c>
      <c r="Y1389" t="n">
        <v>0</v>
      </c>
      <c r="Z1389" t="inlineStr"/>
      <c r="AA1389" t="inlineStr">
        <is>
          <t>https://nvd.nist.gov/vuln/detail/CVE-2026-28194</t>
        </is>
      </c>
    </row>
    <row r="1390">
      <c r="A1390" t="inlineStr">
        <is>
          <t>CVE</t>
        </is>
      </c>
      <c r="B1390" t="inlineStr">
        <is>
          <t>CVE-2026-28195</t>
        </is>
      </c>
      <c r="C1390" t="inlineStr">
        <is>
          <t>In JetBrains TeamCity before 2025.11.3 missing authorization allowed project developers to add parameters to build configurations</t>
        </is>
      </c>
      <c r="D1390" t="n">
        <v>4.3</v>
      </c>
      <c r="E1390" t="inlineStr">
        <is>
          <t>MEDIUM</t>
        </is>
      </c>
      <c r="F1390" t="n">
        <v>2</v>
      </c>
      <c r="G1390" t="n">
        <v>2</v>
      </c>
      <c r="H1390" t="inlineStr">
        <is>
          <t>MEDIUM</t>
        </is>
      </c>
      <c r="I1390" t="n">
        <v>8.300000000000001</v>
      </c>
      <c r="J1390" t="inlineStr">
        <is>
          <t>NO</t>
        </is>
      </c>
      <c r="K1390" t="inlineStr">
        <is>
          <t>2026-02-26 00:15</t>
        </is>
      </c>
      <c r="L1390" t="inlineStr">
        <is>
          <t>YES</t>
        </is>
      </c>
      <c r="M1390" t="inlineStr">
        <is>
          <t>jetbrains teamcity *</t>
        </is>
      </c>
      <c r="N1390" t="inlineStr">
        <is>
          <t>P4</t>
        </is>
      </c>
      <c r="O1390" t="inlineStr">
        <is>
          <t>CVE - IP enrichment n/a</t>
        </is>
      </c>
      <c r="P1390" t="n">
        <v>0</v>
      </c>
      <c r="Q1390" t="n">
        <v>0</v>
      </c>
      <c r="R1390" t="inlineStr">
        <is>
          <t>T1190:Exploit Public-Facing Application</t>
        </is>
      </c>
      <c r="S1390" t="n">
        <v>1</v>
      </c>
      <c r="T1390" t="inlineStr">
        <is>
          <t>LOW (40%)</t>
        </is>
      </c>
      <c r="U1390" t="inlineStr">
        <is>
          <t>UNLIKELY</t>
        </is>
      </c>
      <c r="V1390" t="inlineStr">
        <is>
          <t>PATCH_AVAILABLE</t>
        </is>
      </c>
      <c r="W1390" t="inlineStr">
        <is>
          <t>https://nvd.nist.gov/vuln/detail/CVE-2026-28195</t>
        </is>
      </c>
      <c r="X1390" t="inlineStr">
        <is>
          <t>NONE</t>
        </is>
      </c>
      <c r="Y1390" t="n">
        <v>0</v>
      </c>
      <c r="Z1390" t="inlineStr"/>
      <c r="AA1390" t="inlineStr">
        <is>
          <t>https://nvd.nist.gov/vuln/detail/CVE-2026-28195</t>
        </is>
      </c>
    </row>
    <row r="1391">
      <c r="A1391" t="inlineStr">
        <is>
          <t>CVE</t>
        </is>
      </c>
      <c r="B1391" t="inlineStr">
        <is>
          <t>CVE-2026-28196</t>
        </is>
      </c>
      <c r="C1391" t="inlineStr">
        <is>
          <t>In JetBrains TeamCity before 2025.11.3 disabling versioned settings left a credentials config on disk</t>
        </is>
      </c>
      <c r="D1391" t="n">
        <v>2.3</v>
      </c>
      <c r="E1391" t="inlineStr">
        <is>
          <t>LOW</t>
        </is>
      </c>
      <c r="F1391" t="n">
        <v>2</v>
      </c>
      <c r="G1391" t="n">
        <v>1</v>
      </c>
      <c r="H1391" t="inlineStr">
        <is>
          <t>LOW</t>
        </is>
      </c>
      <c r="I1391" t="n">
        <v>4.3</v>
      </c>
      <c r="J1391" t="inlineStr">
        <is>
          <t>NO</t>
        </is>
      </c>
      <c r="K1391" t="inlineStr">
        <is>
          <t>2026-02-26 00:15</t>
        </is>
      </c>
      <c r="L1391" t="inlineStr">
        <is>
          <t>YES</t>
        </is>
      </c>
      <c r="M1391" t="inlineStr">
        <is>
          <t>jetbrains teamcity *</t>
        </is>
      </c>
      <c r="N1391" t="inlineStr">
        <is>
          <t>P4</t>
        </is>
      </c>
      <c r="O1391" t="inlineStr">
        <is>
          <t>CVE - IP enrichment n/a</t>
        </is>
      </c>
      <c r="P1391" t="n">
        <v>0</v>
      </c>
      <c r="Q1391" t="n">
        <v>0</v>
      </c>
      <c r="R1391" t="inlineStr">
        <is>
          <t>T1552:Unsecured Credentials</t>
        </is>
      </c>
      <c r="S1391" t="n">
        <v>1</v>
      </c>
      <c r="T1391" t="inlineStr">
        <is>
          <t>LOW (40%)</t>
        </is>
      </c>
      <c r="U1391" t="inlineStr">
        <is>
          <t>UNLIKELY</t>
        </is>
      </c>
      <c r="V1391" t="inlineStr">
        <is>
          <t>PATCH_AVAILABLE</t>
        </is>
      </c>
      <c r="W1391" t="inlineStr">
        <is>
          <t>https://nvd.nist.gov/vuln/detail/CVE-2026-28196</t>
        </is>
      </c>
      <c r="X1391" t="inlineStr">
        <is>
          <t>NONE</t>
        </is>
      </c>
      <c r="Y1391" t="n">
        <v>0</v>
      </c>
      <c r="Z1391" t="inlineStr"/>
      <c r="AA1391" t="inlineStr">
        <is>
          <t>https://nvd.nist.gov/vuln/detail/CVE-2026-28196</t>
        </is>
      </c>
    </row>
    <row r="1392">
      <c r="A1392" t="inlineStr">
        <is>
          <t>CVE</t>
        </is>
      </c>
      <c r="B1392" t="inlineStr">
        <is>
          <t>CVE-2026-3185</t>
        </is>
      </c>
      <c r="C1392" t="inlineStr">
        <is>
          <t>A vulnerability was found in feiyuchuixue sz-boot-parent up to 1.3.2-beta. Affected is an unknown function of the file /api/admin/sys-message/ of the component API Endpoint. The manipulation of the argument messageId results in authorization bypass. The attack can be launched remotely. The exploit has been made public and could be used. Upgrading to version 1.3.3-beta is able to address this issue. The patch is identified as aefaabfd7527188bfba3c8c9eee17c316d094802. The affected component should</t>
        </is>
      </c>
      <c r="D1392" t="n">
        <v>5.3</v>
      </c>
      <c r="E1392" t="inlineStr">
        <is>
          <t>MEDIUM</t>
        </is>
      </c>
      <c r="F1392" t="n">
        <v>2</v>
      </c>
      <c r="G1392" t="n">
        <v>2</v>
      </c>
      <c r="H1392" t="inlineStr">
        <is>
          <t>MEDIUM</t>
        </is>
      </c>
      <c r="I1392" t="n">
        <v>9.300000000000001</v>
      </c>
      <c r="J1392" t="inlineStr">
        <is>
          <t>NO</t>
        </is>
      </c>
      <c r="K1392" t="inlineStr">
        <is>
          <t>2026-02-26 00:15</t>
        </is>
      </c>
      <c r="L1392" t="inlineStr">
        <is>
          <t>CHECK_VENDOR</t>
        </is>
      </c>
      <c r="M1392" t="inlineStr">
        <is>
          <t>See CVE details</t>
        </is>
      </c>
      <c r="N1392" t="inlineStr">
        <is>
          <t>P4</t>
        </is>
      </c>
      <c r="O1392" t="inlineStr">
        <is>
          <t>CVE - IP enrichment n/a</t>
        </is>
      </c>
      <c r="P1392" t="n">
        <v>0</v>
      </c>
      <c r="Q1392" t="n">
        <v>0</v>
      </c>
      <c r="R1392" t="inlineStr">
        <is>
          <t>T1190:Exploit Public-Facing Application</t>
        </is>
      </c>
      <c r="S1392" t="n">
        <v>1</v>
      </c>
      <c r="T1392" t="inlineStr">
        <is>
          <t>LOW (40%)</t>
        </is>
      </c>
      <c r="U1392" t="inlineStr">
        <is>
          <t>UNLIKELY</t>
        </is>
      </c>
      <c r="V1392" t="inlineStr">
        <is>
          <t>CHECK_VENDOR</t>
        </is>
      </c>
      <c r="W1392" t="inlineStr">
        <is>
          <t>https://nvd.nist.gov/vuln/detail/CVE-2026-3185</t>
        </is>
      </c>
      <c r="X1392" t="inlineStr">
        <is>
          <t>NONE</t>
        </is>
      </c>
      <c r="Y1392" t="n">
        <v>0</v>
      </c>
      <c r="Z1392" t="inlineStr"/>
      <c r="AA1392" t="inlineStr">
        <is>
          <t>https://nvd.nist.gov/vuln/detail/CVE-2026-3185</t>
        </is>
      </c>
    </row>
    <row r="1393">
      <c r="A1393" t="inlineStr">
        <is>
          <t>CVE</t>
        </is>
      </c>
      <c r="B1393" t="inlineStr">
        <is>
          <t>CVE-2026-3186</t>
        </is>
      </c>
      <c r="C1393" t="inlineStr">
        <is>
          <t>A vulnerability was determined in feiyuchuixue sz-boot-parent up to 1.3.2-beta. Affected by this vulnerability is an unknown functionality of the file /api/admin/sys-user/reset/password/ of the component Password Reset Handler. This manipulation of the argument userId causes use of default password. The attack may be initiated remotely. The exploit has been publicly disclosed and may be utilized. Upgrading to version 1.3.3-beta addresses this issue. Patch name: aefaabfd7527188bfba3c8c9eee17c316d</t>
        </is>
      </c>
      <c r="D1393" t="n">
        <v>6.3</v>
      </c>
      <c r="E1393" t="inlineStr">
        <is>
          <t>MEDIUM</t>
        </is>
      </c>
      <c r="F1393" t="n">
        <v>2</v>
      </c>
      <c r="G1393" t="n">
        <v>2</v>
      </c>
      <c r="H1393" t="inlineStr">
        <is>
          <t>MEDIUM</t>
        </is>
      </c>
      <c r="I1393" t="n">
        <v>10.3</v>
      </c>
      <c r="J1393" t="inlineStr">
        <is>
          <t>NO</t>
        </is>
      </c>
      <c r="K1393" t="inlineStr">
        <is>
          <t>2026-02-26 00:15</t>
        </is>
      </c>
      <c r="L1393" t="inlineStr">
        <is>
          <t>CHECK_VENDOR</t>
        </is>
      </c>
      <c r="M1393" t="inlineStr">
        <is>
          <t>See CVE details</t>
        </is>
      </c>
      <c r="N1393" t="inlineStr">
        <is>
          <t>P4</t>
        </is>
      </c>
      <c r="O1393" t="inlineStr">
        <is>
          <t>CVE - IP enrichment n/a</t>
        </is>
      </c>
      <c r="P1393" t="n">
        <v>0</v>
      </c>
      <c r="Q1393" t="n">
        <v>0</v>
      </c>
      <c r="R1393" t="inlineStr">
        <is>
          <t>T1190:Exploit Public-Facing Application</t>
        </is>
      </c>
      <c r="S1393" t="n">
        <v>1</v>
      </c>
      <c r="T1393" t="inlineStr">
        <is>
          <t>LOW (40%)</t>
        </is>
      </c>
      <c r="U1393" t="inlineStr">
        <is>
          <t>UNLIKELY</t>
        </is>
      </c>
      <c r="V1393" t="inlineStr">
        <is>
          <t>CHECK_VENDOR</t>
        </is>
      </c>
      <c r="W1393" t="inlineStr">
        <is>
          <t>https://nvd.nist.gov/vuln/detail/CVE-2026-3186</t>
        </is>
      </c>
      <c r="X1393" t="inlineStr">
        <is>
          <t>NONE</t>
        </is>
      </c>
      <c r="Y1393" t="n">
        <v>0</v>
      </c>
      <c r="Z1393" t="inlineStr"/>
      <c r="AA1393" t="inlineStr">
        <is>
          <t>https://nvd.nist.gov/vuln/detail/CVE-2026-3186</t>
        </is>
      </c>
    </row>
    <row r="1394">
      <c r="A1394" t="inlineStr">
        <is>
          <t>CVE</t>
        </is>
      </c>
      <c r="B1394" t="inlineStr">
        <is>
          <t>CVE-2026-27691</t>
        </is>
      </c>
      <c r="C1394" t="inlineStr">
        <is>
          <t>iccDEV provides a set of libraries and tools for working with ICC color management profiles. In versions up to and including 2.3.1.4, signed integer overflow in iccFromCube.cpp during multiplication triggers undefined behavior, potentially causing crashes or incorrect ICC profile generation when processing crafted/large cube inputs. Commit 43ae18dd69fc70190d3632a18a3af2f3da1e052a fixes the issue. No known workarounds are available.</t>
        </is>
      </c>
      <c r="D1394" t="n">
        <v>6.2</v>
      </c>
      <c r="E1394" t="inlineStr">
        <is>
          <t>MEDIUM</t>
        </is>
      </c>
      <c r="F1394" t="n">
        <v>2</v>
      </c>
      <c r="G1394" t="n">
        <v>2</v>
      </c>
      <c r="H1394" t="inlineStr">
        <is>
          <t>MEDIUM</t>
        </is>
      </c>
      <c r="I1394" t="n">
        <v>10.2</v>
      </c>
      <c r="J1394" t="inlineStr">
        <is>
          <t>NO</t>
        </is>
      </c>
      <c r="K1394" t="inlineStr">
        <is>
          <t>2026-02-26 00:15</t>
        </is>
      </c>
      <c r="L1394" t="inlineStr">
        <is>
          <t>CHECK_VENDOR</t>
        </is>
      </c>
      <c r="M1394" t="inlineStr">
        <is>
          <t>See CVE details</t>
        </is>
      </c>
      <c r="N1394" t="inlineStr">
        <is>
          <t>P4</t>
        </is>
      </c>
      <c r="O1394" t="inlineStr">
        <is>
          <t>CVE - IP enrichment n/a</t>
        </is>
      </c>
      <c r="P1394" t="n">
        <v>0</v>
      </c>
      <c r="Q1394" t="n">
        <v>0</v>
      </c>
      <c r="R1394" t="inlineStr">
        <is>
          <t>T1190:Exploit Public-Facing Application | T1203:Exploitation for Client Execution</t>
        </is>
      </c>
      <c r="S1394" t="n">
        <v>1</v>
      </c>
      <c r="T1394" t="inlineStr">
        <is>
          <t>LOW (40%)</t>
        </is>
      </c>
      <c r="U1394" t="inlineStr">
        <is>
          <t>UNLIKELY</t>
        </is>
      </c>
      <c r="V1394" t="inlineStr">
        <is>
          <t>CHECK_VENDOR</t>
        </is>
      </c>
      <c r="W1394" t="inlineStr">
        <is>
          <t>https://nvd.nist.gov/vuln/detail/CVE-2026-27691</t>
        </is>
      </c>
      <c r="X1394" t="inlineStr">
        <is>
          <t>NONE</t>
        </is>
      </c>
      <c r="Y1394" t="n">
        <v>0</v>
      </c>
      <c r="Z1394" t="inlineStr"/>
      <c r="AA1394" t="inlineStr">
        <is>
          <t>https://nvd.nist.gov/vuln/detail/CVE-2026-27691</t>
        </is>
      </c>
    </row>
    <row r="1395">
      <c r="A1395" t="inlineStr">
        <is>
          <t>CVE</t>
        </is>
      </c>
      <c r="B1395" t="inlineStr">
        <is>
          <t>CVE-2026-27692</t>
        </is>
      </c>
      <c r="C1395" t="inlineStr">
        <is>
          <t>iccDEV provides a set of libraries and tools for working with ICC color management profiles. In versions up to and including 2.3.1.4, heap-buffer-overflow read occurs during CIccTagTextDescription::Release() when strlen() reads past a heap buffer while parsing ICC profile XML text description tags, causing a crash. Commit 29d088840b962a7cdd35993dfabc2cb35a049847 fixes the issue. No known workarounds are available.</t>
        </is>
      </c>
      <c r="D1395" t="n">
        <v>7.1</v>
      </c>
      <c r="E1395" t="inlineStr">
        <is>
          <t>HIGH</t>
        </is>
      </c>
      <c r="F1395" t="n">
        <v>2</v>
      </c>
      <c r="G1395" t="n">
        <v>3</v>
      </c>
      <c r="H1395" t="inlineStr">
        <is>
          <t>HIGH</t>
        </is>
      </c>
      <c r="I1395" t="n">
        <v>13.1</v>
      </c>
      <c r="J1395" t="inlineStr">
        <is>
          <t>NO</t>
        </is>
      </c>
      <c r="K1395" t="inlineStr">
        <is>
          <t>2026-02-26 00:15</t>
        </is>
      </c>
      <c r="L1395" t="inlineStr">
        <is>
          <t>CHECK_VENDOR</t>
        </is>
      </c>
      <c r="M1395" t="inlineStr">
        <is>
          <t>See CVE details</t>
        </is>
      </c>
      <c r="N1395" t="inlineStr">
        <is>
          <t>P3</t>
        </is>
      </c>
      <c r="O1395" t="inlineStr">
        <is>
          <t>CVE - IP enrichment n/a</t>
        </is>
      </c>
      <c r="P1395" t="n">
        <v>0</v>
      </c>
      <c r="Q1395" t="n">
        <v>0</v>
      </c>
      <c r="R1395" t="inlineStr">
        <is>
          <t>T1203:Exploitation for Client Execution</t>
        </is>
      </c>
      <c r="S1395" t="n">
        <v>1</v>
      </c>
      <c r="T1395" t="inlineStr">
        <is>
          <t>LOW (40%)</t>
        </is>
      </c>
      <c r="U1395" t="inlineStr">
        <is>
          <t>UNLIKELY</t>
        </is>
      </c>
      <c r="V1395" t="inlineStr">
        <is>
          <t>CHECK_VENDOR</t>
        </is>
      </c>
      <c r="W1395" t="inlineStr">
        <is>
          <t>https://nvd.nist.gov/vuln/detail/CVE-2026-27692</t>
        </is>
      </c>
      <c r="X1395" t="inlineStr">
        <is>
          <t>NONE</t>
        </is>
      </c>
      <c r="Y1395" t="n">
        <v>0</v>
      </c>
      <c r="Z1395" t="inlineStr"/>
      <c r="AA1395" t="inlineStr">
        <is>
          <t>https://nvd.nist.gov/vuln/detail/CVE-2026-27692</t>
        </is>
      </c>
    </row>
    <row r="1396">
      <c r="A1396" t="inlineStr">
        <is>
          <t>CVE</t>
        </is>
      </c>
      <c r="B1396" t="inlineStr">
        <is>
          <t>CVE-2026-27695</t>
        </is>
      </c>
      <c r="C1396" t="inlineStr">
        <is>
          <t>zae-limiter is a rate limiting library using the token bucket algorithm. Prior to version 0.10.1, all rate limit buckets for a single entity share the same DynamoDB partition key (`namespace/ENTITY#{id}`). A high-traffic entity can exceed DynamoDB's per-partition throughput limits (~1,000 WCU/sec), causing throttling that degrades service for that entity — and potentially co-located entities in the same partition. Version 0.10.1 fixes the issue.</t>
        </is>
      </c>
      <c r="D1396" t="n">
        <v>4.3</v>
      </c>
      <c r="E1396" t="inlineStr">
        <is>
          <t>MEDIUM</t>
        </is>
      </c>
      <c r="F1396" t="n">
        <v>2</v>
      </c>
      <c r="G1396" t="n">
        <v>2</v>
      </c>
      <c r="H1396" t="inlineStr">
        <is>
          <t>MEDIUM</t>
        </is>
      </c>
      <c r="I1396" t="n">
        <v>8.300000000000001</v>
      </c>
      <c r="J1396" t="inlineStr">
        <is>
          <t>NO</t>
        </is>
      </c>
      <c r="K1396" t="inlineStr">
        <is>
          <t>2026-02-26 00:15</t>
        </is>
      </c>
      <c r="L1396" t="inlineStr">
        <is>
          <t>CHECK_VENDOR</t>
        </is>
      </c>
      <c r="M1396" t="inlineStr">
        <is>
          <t>See CVE details</t>
        </is>
      </c>
      <c r="N1396" t="inlineStr">
        <is>
          <t>P4</t>
        </is>
      </c>
      <c r="O1396" t="inlineStr">
        <is>
          <t>CVE - IP enrichment n/a</t>
        </is>
      </c>
      <c r="P1396" t="n">
        <v>0</v>
      </c>
      <c r="Q1396" t="n">
        <v>0</v>
      </c>
      <c r="R1396" t="inlineStr">
        <is>
          <t>T1190:Exploit Public-Facing Application</t>
        </is>
      </c>
      <c r="S1396" t="n">
        <v>1</v>
      </c>
      <c r="T1396" t="inlineStr">
        <is>
          <t>LOW (40%)</t>
        </is>
      </c>
      <c r="U1396" t="inlineStr">
        <is>
          <t>UNLIKELY</t>
        </is>
      </c>
      <c r="V1396" t="inlineStr">
        <is>
          <t>CHECK_VENDOR</t>
        </is>
      </c>
      <c r="W1396" t="inlineStr">
        <is>
          <t>https://nvd.nist.gov/vuln/detail/CVE-2026-27695</t>
        </is>
      </c>
      <c r="X1396" t="inlineStr">
        <is>
          <t>NONE</t>
        </is>
      </c>
      <c r="Y1396" t="n">
        <v>0</v>
      </c>
      <c r="Z1396" t="inlineStr"/>
      <c r="AA1396" t="inlineStr">
        <is>
          <t>https://nvd.nist.gov/vuln/detail/CVE-2026-27695</t>
        </is>
      </c>
    </row>
    <row r="1397">
      <c r="A1397" t="inlineStr">
        <is>
          <t>CVE</t>
        </is>
      </c>
      <c r="B1397" t="inlineStr">
        <is>
          <t>CVE-2026-27699</t>
        </is>
      </c>
      <c r="C1397" t="inlineStr">
        <is>
          <t>The `basic-ftp` FTP client library for Node.js contains a path traversal vulnerability (CWE-22) in versions prior to 5.2.0 in the `downloadToDir()` method. A malicious FTP server can send directory listings with filenames containing path traversal sequences (`../`) that cause files to be written outside the intended download directory. Version 5.2.0 patches the issue.</t>
        </is>
      </c>
      <c r="D1397" t="n">
        <v>9.1</v>
      </c>
      <c r="E1397" t="inlineStr">
        <is>
          <t>CRITICAL</t>
        </is>
      </c>
      <c r="F1397" t="n">
        <v>2</v>
      </c>
      <c r="G1397" t="n">
        <v>3</v>
      </c>
      <c r="H1397" t="inlineStr">
        <is>
          <t>HIGH</t>
        </is>
      </c>
      <c r="I1397" t="n">
        <v>15.1</v>
      </c>
      <c r="J1397" t="inlineStr">
        <is>
          <t>NO</t>
        </is>
      </c>
      <c r="K1397" t="inlineStr">
        <is>
          <t>2026-02-26 00:15</t>
        </is>
      </c>
      <c r="L1397" t="inlineStr">
        <is>
          <t>CHECK_VENDOR</t>
        </is>
      </c>
      <c r="M1397" t="inlineStr">
        <is>
          <t>See CVE details</t>
        </is>
      </c>
      <c r="N1397" t="inlineStr">
        <is>
          <t>P3</t>
        </is>
      </c>
      <c r="O1397" t="inlineStr">
        <is>
          <t>CVE - IP enrichment n/a</t>
        </is>
      </c>
      <c r="P1397" t="n">
        <v>0</v>
      </c>
      <c r="Q1397" t="n">
        <v>0</v>
      </c>
      <c r="R1397" t="inlineStr">
        <is>
          <t>T1083:File and Directory Discovery</t>
        </is>
      </c>
      <c r="S1397" t="n">
        <v>1</v>
      </c>
      <c r="T1397" t="inlineStr">
        <is>
          <t>LOW (40%)</t>
        </is>
      </c>
      <c r="U1397" t="inlineStr">
        <is>
          <t>UNLIKELY</t>
        </is>
      </c>
      <c r="V1397" t="inlineStr">
        <is>
          <t>CHECK_VENDOR</t>
        </is>
      </c>
      <c r="W1397" t="inlineStr">
        <is>
          <t>https://nvd.nist.gov/vuln/detail/CVE-2026-27699</t>
        </is>
      </c>
      <c r="X1397" t="inlineStr">
        <is>
          <t>NONE</t>
        </is>
      </c>
      <c r="Y1397" t="n">
        <v>0</v>
      </c>
      <c r="Z1397" t="inlineStr"/>
      <c r="AA1397" t="inlineStr">
        <is>
          <t>https://nvd.nist.gov/vuln/detail/CVE-2026-27699</t>
        </is>
      </c>
    </row>
    <row r="1398">
      <c r="A1398" t="inlineStr">
        <is>
          <t>CVE</t>
        </is>
      </c>
      <c r="B1398" t="inlineStr">
        <is>
          <t>CVE-2026-2878</t>
        </is>
      </c>
      <c r="C1398" t="inlineStr">
        <is>
          <t>In Progress® Telerik® UI for AJAX, versions prior to 2026.1.225, an insufficient entropy vulnerability exists in RadAsyncUpload, where a predictable temporary identifier, based on timestamp and filename, can enable collisions and file content tampering.</t>
        </is>
      </c>
      <c r="D1398" t="n">
        <v>5.3</v>
      </c>
      <c r="E1398" t="inlineStr">
        <is>
          <t>MEDIUM</t>
        </is>
      </c>
      <c r="F1398" t="n">
        <v>2</v>
      </c>
      <c r="G1398" t="n">
        <v>2</v>
      </c>
      <c r="H1398" t="inlineStr">
        <is>
          <t>MEDIUM</t>
        </is>
      </c>
      <c r="I1398" t="n">
        <v>9.300000000000001</v>
      </c>
      <c r="J1398" t="inlineStr">
        <is>
          <t>NO</t>
        </is>
      </c>
      <c r="K1398" t="inlineStr">
        <is>
          <t>2026-02-26 00:15</t>
        </is>
      </c>
      <c r="L1398" t="inlineStr">
        <is>
          <t>CHECK_VENDOR</t>
        </is>
      </c>
      <c r="M1398" t="inlineStr">
        <is>
          <t>See CVE details</t>
        </is>
      </c>
      <c r="N1398" t="inlineStr">
        <is>
          <t>P4</t>
        </is>
      </c>
      <c r="O1398" t="inlineStr">
        <is>
          <t>CVE - IP enrichment n/a</t>
        </is>
      </c>
      <c r="P1398" t="n">
        <v>0</v>
      </c>
      <c r="Q1398" t="n">
        <v>0</v>
      </c>
      <c r="R1398" t="inlineStr">
        <is>
          <t>T1190:Exploit Public-Facing Application</t>
        </is>
      </c>
      <c r="S1398" t="n">
        <v>1</v>
      </c>
      <c r="T1398" t="inlineStr">
        <is>
          <t>LOW (40%)</t>
        </is>
      </c>
      <c r="U1398" t="inlineStr">
        <is>
          <t>UNLIKELY</t>
        </is>
      </c>
      <c r="V1398" t="inlineStr">
        <is>
          <t>CHECK_VENDOR</t>
        </is>
      </c>
      <c r="W1398" t="inlineStr">
        <is>
          <t>https://nvd.nist.gov/vuln/detail/CVE-2026-2878</t>
        </is>
      </c>
      <c r="X1398" t="inlineStr">
        <is>
          <t>NONE</t>
        </is>
      </c>
      <c r="Y1398" t="n">
        <v>0</v>
      </c>
      <c r="Z1398" t="inlineStr"/>
      <c r="AA1398" t="inlineStr">
        <is>
          <t>https://nvd.nist.gov/vuln/detail/CVE-2026-2878</t>
        </is>
      </c>
    </row>
    <row r="1399">
      <c r="A1399" t="inlineStr">
        <is>
          <t>CVE</t>
        </is>
      </c>
      <c r="B1399" t="inlineStr">
        <is>
          <t>CVE-2026-3187</t>
        </is>
      </c>
      <c r="C1399" t="inlineStr">
        <is>
          <t xml:space="preserve">A vulnerability was identified in feiyuchuixue sz-boot-parent up to 1.3.2-beta. Affected by this issue is some unknown functionality of the file /api/admin/sys-file/upload of the component API Endpoint. Such manipulation leads to unrestricted upload. The attack may be launched remotely. The exploit is publicly available and might be used. Upgrading to version 1.3.3-beta can resolve this issue. The name of the patch is aefaabfd7527188bfba3c8c9eee17c316d094802. Upgrading the affected component is </t>
        </is>
      </c>
      <c r="D1399" t="n">
        <v>6.3</v>
      </c>
      <c r="E1399" t="inlineStr">
        <is>
          <t>MEDIUM</t>
        </is>
      </c>
      <c r="F1399" t="n">
        <v>2</v>
      </c>
      <c r="G1399" t="n">
        <v>2</v>
      </c>
      <c r="H1399" t="inlineStr">
        <is>
          <t>MEDIUM</t>
        </is>
      </c>
      <c r="I1399" t="n">
        <v>10.3</v>
      </c>
      <c r="J1399" t="inlineStr">
        <is>
          <t>NO</t>
        </is>
      </c>
      <c r="K1399" t="inlineStr">
        <is>
          <t>2026-02-26 00:15</t>
        </is>
      </c>
      <c r="L1399" t="inlineStr">
        <is>
          <t>CHECK_VENDOR</t>
        </is>
      </c>
      <c r="M1399" t="inlineStr">
        <is>
          <t>See CVE details</t>
        </is>
      </c>
      <c r="N1399" t="inlineStr">
        <is>
          <t>P4</t>
        </is>
      </c>
      <c r="O1399" t="inlineStr">
        <is>
          <t>CVE - IP enrichment n/a</t>
        </is>
      </c>
      <c r="P1399" t="n">
        <v>0</v>
      </c>
      <c r="Q1399" t="n">
        <v>0</v>
      </c>
      <c r="R1399" t="inlineStr">
        <is>
          <t>T1190:Exploit Public-Facing Application</t>
        </is>
      </c>
      <c r="S1399" t="n">
        <v>1</v>
      </c>
      <c r="T1399" t="inlineStr">
        <is>
          <t>LOW (40%)</t>
        </is>
      </c>
      <c r="U1399" t="inlineStr">
        <is>
          <t>UNLIKELY</t>
        </is>
      </c>
      <c r="V1399" t="inlineStr">
        <is>
          <t>CHECK_VENDOR</t>
        </is>
      </c>
      <c r="W1399" t="inlineStr">
        <is>
          <t>https://nvd.nist.gov/vuln/detail/CVE-2026-3187</t>
        </is>
      </c>
      <c r="X1399" t="inlineStr">
        <is>
          <t>NONE</t>
        </is>
      </c>
      <c r="Y1399" t="n">
        <v>0</v>
      </c>
      <c r="Z1399" t="inlineStr"/>
      <c r="AA1399" t="inlineStr">
        <is>
          <t>https://nvd.nist.gov/vuln/detail/CVE-2026-3187</t>
        </is>
      </c>
    </row>
    <row r="1400">
      <c r="A1400" t="inlineStr">
        <is>
          <t>CVE</t>
        </is>
      </c>
      <c r="B1400" t="inlineStr">
        <is>
          <t>CVE-2026-3197</t>
        </is>
      </c>
      <c r="C1400" t="inlineStr">
        <is>
          <t>Rejected reason: ** REJECT ** DO NOT USE THIS CANDIDATE NUMBER. Reason: This candidate was issued in error. Notes: All references and descriptions in this candidate have been removed to prevent accidental usage.</t>
        </is>
      </c>
      <c r="D1400" t="n">
        <v>5</v>
      </c>
      <c r="E1400" t="inlineStr">
        <is>
          <t>MEDIUM</t>
        </is>
      </c>
      <c r="F1400" t="n">
        <v>2</v>
      </c>
      <c r="G1400" t="n">
        <v>2</v>
      </c>
      <c r="H1400" t="inlineStr">
        <is>
          <t>MEDIUM</t>
        </is>
      </c>
      <c r="I1400" t="n">
        <v>9</v>
      </c>
      <c r="J1400" t="inlineStr">
        <is>
          <t>NO</t>
        </is>
      </c>
      <c r="K1400" t="inlineStr">
        <is>
          <t>2026-02-26 00:15</t>
        </is>
      </c>
      <c r="L1400" t="inlineStr">
        <is>
          <t>CHECK_VENDOR</t>
        </is>
      </c>
      <c r="M1400" t="inlineStr">
        <is>
          <t>See CVE details</t>
        </is>
      </c>
      <c r="N1400" t="inlineStr">
        <is>
          <t>P4</t>
        </is>
      </c>
      <c r="O1400" t="inlineStr">
        <is>
          <t>CVE - IP enrichment n/a</t>
        </is>
      </c>
      <c r="P1400" t="n">
        <v>0</v>
      </c>
      <c r="Q1400" t="n">
        <v>0</v>
      </c>
      <c r="R1400" t="inlineStr">
        <is>
          <t>T1190:Exploit Public-Facing Application</t>
        </is>
      </c>
      <c r="S1400" t="n">
        <v>1</v>
      </c>
      <c r="T1400" t="inlineStr">
        <is>
          <t>LOW (40%)</t>
        </is>
      </c>
      <c r="U1400" t="inlineStr">
        <is>
          <t>UNLIKELY</t>
        </is>
      </c>
      <c r="V1400" t="inlineStr">
        <is>
          <t>CHECK_VENDOR</t>
        </is>
      </c>
      <c r="W1400" t="inlineStr">
        <is>
          <t>https://nvd.nist.gov/vuln/detail/CVE-2026-3197</t>
        </is>
      </c>
      <c r="X1400" t="inlineStr">
        <is>
          <t>NONE</t>
        </is>
      </c>
      <c r="Y1400" t="n">
        <v>0</v>
      </c>
      <c r="Z1400" t="inlineStr"/>
      <c r="AA1400" t="inlineStr">
        <is>
          <t>https://nvd.nist.gov/vuln/detail/CVE-2026-3197</t>
        </is>
      </c>
    </row>
    <row r="1401">
      <c r="A1401" t="inlineStr">
        <is>
          <t>CVE</t>
        </is>
      </c>
      <c r="B1401" t="inlineStr">
        <is>
          <t>CVE-2026-3201</t>
        </is>
      </c>
      <c r="C1401" t="inlineStr">
        <is>
          <t>USB HID protocol dissector memory exhaustion in Wireshark 4.6.0 to 4.6.3 and 4.4.0 to 4.4.13 allows denial of service</t>
        </is>
      </c>
      <c r="D1401" t="n">
        <v>4.7</v>
      </c>
      <c r="E1401" t="inlineStr">
        <is>
          <t>MEDIUM</t>
        </is>
      </c>
      <c r="F1401" t="n">
        <v>2</v>
      </c>
      <c r="G1401" t="n">
        <v>2</v>
      </c>
      <c r="H1401" t="inlineStr">
        <is>
          <t>MEDIUM</t>
        </is>
      </c>
      <c r="I1401" t="n">
        <v>8.699999999999999</v>
      </c>
      <c r="J1401" t="inlineStr">
        <is>
          <t>NO</t>
        </is>
      </c>
      <c r="K1401" t="inlineStr">
        <is>
          <t>2026-02-26 00:15</t>
        </is>
      </c>
      <c r="L1401" t="inlineStr">
        <is>
          <t>CHECK_VENDOR</t>
        </is>
      </c>
      <c r="M1401" t="inlineStr">
        <is>
          <t>See CVE details</t>
        </is>
      </c>
      <c r="N1401" t="inlineStr">
        <is>
          <t>P4</t>
        </is>
      </c>
      <c r="O1401" t="inlineStr">
        <is>
          <t>CVE - IP enrichment n/a</t>
        </is>
      </c>
      <c r="P1401" t="n">
        <v>0</v>
      </c>
      <c r="Q1401" t="n">
        <v>0</v>
      </c>
      <c r="R1401" t="inlineStr">
        <is>
          <t>T1499:Endpoint Denial of Service</t>
        </is>
      </c>
      <c r="S1401" t="n">
        <v>1</v>
      </c>
      <c r="T1401" t="inlineStr">
        <is>
          <t>LOW (40%)</t>
        </is>
      </c>
      <c r="U1401" t="inlineStr">
        <is>
          <t>UNLIKELY</t>
        </is>
      </c>
      <c r="V1401" t="inlineStr">
        <is>
          <t>CHECK_VENDOR</t>
        </is>
      </c>
      <c r="W1401" t="inlineStr">
        <is>
          <t>https://nvd.nist.gov/vuln/detail/CVE-2026-3201</t>
        </is>
      </c>
      <c r="X1401" t="inlineStr">
        <is>
          <t>NONE</t>
        </is>
      </c>
      <c r="Y1401" t="n">
        <v>0</v>
      </c>
      <c r="Z1401" t="inlineStr"/>
      <c r="AA1401" t="inlineStr">
        <is>
          <t>https://nvd.nist.gov/vuln/detail/CVE-2026-3201</t>
        </is>
      </c>
    </row>
    <row r="1402">
      <c r="A1402" t="inlineStr">
        <is>
          <t>CVE</t>
        </is>
      </c>
      <c r="B1402" t="inlineStr">
        <is>
          <t>CVE-2026-3202</t>
        </is>
      </c>
      <c r="C1402" t="inlineStr">
        <is>
          <t>NTS-KE protocol dissector crash in Wireshark 4.6.0 to 4.6.3 allows denial of service</t>
        </is>
      </c>
      <c r="D1402" t="n">
        <v>4.7</v>
      </c>
      <c r="E1402" t="inlineStr">
        <is>
          <t>MEDIUM</t>
        </is>
      </c>
      <c r="F1402" t="n">
        <v>2</v>
      </c>
      <c r="G1402" t="n">
        <v>2</v>
      </c>
      <c r="H1402" t="inlineStr">
        <is>
          <t>MEDIUM</t>
        </is>
      </c>
      <c r="I1402" t="n">
        <v>8.699999999999999</v>
      </c>
      <c r="J1402" t="inlineStr">
        <is>
          <t>NO</t>
        </is>
      </c>
      <c r="K1402" t="inlineStr">
        <is>
          <t>2026-02-26 00:15</t>
        </is>
      </c>
      <c r="L1402" t="inlineStr">
        <is>
          <t>CHECK_VENDOR</t>
        </is>
      </c>
      <c r="M1402" t="inlineStr">
        <is>
          <t>See CVE details</t>
        </is>
      </c>
      <c r="N1402" t="inlineStr">
        <is>
          <t>P4</t>
        </is>
      </c>
      <c r="O1402" t="inlineStr">
        <is>
          <t>CVE - IP enrichment n/a</t>
        </is>
      </c>
      <c r="P1402" t="n">
        <v>0</v>
      </c>
      <c r="Q1402" t="n">
        <v>0</v>
      </c>
      <c r="R1402" t="inlineStr">
        <is>
          <t>T1499:Endpoint Denial of Service</t>
        </is>
      </c>
      <c r="S1402" t="n">
        <v>1</v>
      </c>
      <c r="T1402" t="inlineStr">
        <is>
          <t>LOW (40%)</t>
        </is>
      </c>
      <c r="U1402" t="inlineStr">
        <is>
          <t>UNLIKELY</t>
        </is>
      </c>
      <c r="V1402" t="inlineStr">
        <is>
          <t>CHECK_VENDOR</t>
        </is>
      </c>
      <c r="W1402" t="inlineStr">
        <is>
          <t>https://nvd.nist.gov/vuln/detail/CVE-2026-3202</t>
        </is>
      </c>
      <c r="X1402" t="inlineStr">
        <is>
          <t>NONE</t>
        </is>
      </c>
      <c r="Y1402" t="n">
        <v>0</v>
      </c>
      <c r="Z1402" t="inlineStr"/>
      <c r="AA1402" t="inlineStr">
        <is>
          <t>https://nvd.nist.gov/vuln/detail/CVE-2026-3202</t>
        </is>
      </c>
    </row>
    <row r="1403">
      <c r="A1403" t="inlineStr">
        <is>
          <t>CVE</t>
        </is>
      </c>
      <c r="B1403" t="inlineStr">
        <is>
          <t>CVE-2026-3203</t>
        </is>
      </c>
      <c r="C1403" t="inlineStr">
        <is>
          <t>RF4CE Profile protocol dissector crash in Wireshark 4.6.0 to 4.6.3 and 4.4.0 to 4.4.13 allows denial of service</t>
        </is>
      </c>
      <c r="D1403" t="n">
        <v>5.5</v>
      </c>
      <c r="E1403" t="inlineStr">
        <is>
          <t>MEDIUM</t>
        </is>
      </c>
      <c r="F1403" t="n">
        <v>2</v>
      </c>
      <c r="G1403" t="n">
        <v>2</v>
      </c>
      <c r="H1403" t="inlineStr">
        <is>
          <t>MEDIUM</t>
        </is>
      </c>
      <c r="I1403" t="n">
        <v>9.5</v>
      </c>
      <c r="J1403" t="inlineStr">
        <is>
          <t>NO</t>
        </is>
      </c>
      <c r="K1403" t="inlineStr">
        <is>
          <t>2026-02-26 00:15</t>
        </is>
      </c>
      <c r="L1403" t="inlineStr">
        <is>
          <t>CHECK_VENDOR</t>
        </is>
      </c>
      <c r="M1403" t="inlineStr">
        <is>
          <t>See CVE details</t>
        </is>
      </c>
      <c r="N1403" t="inlineStr">
        <is>
          <t>P4</t>
        </is>
      </c>
      <c r="O1403" t="inlineStr">
        <is>
          <t>CVE - IP enrichment n/a</t>
        </is>
      </c>
      <c r="P1403" t="n">
        <v>0</v>
      </c>
      <c r="Q1403" t="n">
        <v>0</v>
      </c>
      <c r="R1403" t="inlineStr">
        <is>
          <t>T1499:Endpoint Denial of Service</t>
        </is>
      </c>
      <c r="S1403" t="n">
        <v>1</v>
      </c>
      <c r="T1403" t="inlineStr">
        <is>
          <t>LOW (40%)</t>
        </is>
      </c>
      <c r="U1403" t="inlineStr">
        <is>
          <t>UNLIKELY</t>
        </is>
      </c>
      <c r="V1403" t="inlineStr">
        <is>
          <t>CHECK_VENDOR</t>
        </is>
      </c>
      <c r="W1403" t="inlineStr">
        <is>
          <t>https://nvd.nist.gov/vuln/detail/CVE-2026-3203</t>
        </is>
      </c>
      <c r="X1403" t="inlineStr">
        <is>
          <t>NONE</t>
        </is>
      </c>
      <c r="Y1403" t="n">
        <v>0</v>
      </c>
      <c r="Z1403" t="inlineStr"/>
      <c r="AA1403" t="inlineStr">
        <is>
          <t>https://nvd.nist.gov/vuln/detail/CVE-2026-3203</t>
        </is>
      </c>
    </row>
    <row r="1404">
      <c r="A1404" t="inlineStr">
        <is>
          <t>CVE</t>
        </is>
      </c>
      <c r="B1404" t="inlineStr">
        <is>
          <t>CVE-2025-1242</t>
        </is>
      </c>
      <c r="C1404" t="inlineStr">
        <is>
          <t>The administrative credentials can be extracted through application API responses, mobile application reverse engineering, and device firmware reverse engineering. The exposure may result in an attacker gaining  full administrative access to the Gardyn IoT Hub exposing connected devices to malicious control.</t>
        </is>
      </c>
      <c r="D1404" t="n">
        <v>9.1</v>
      </c>
      <c r="E1404" t="inlineStr">
        <is>
          <t>CRITICAL</t>
        </is>
      </c>
      <c r="F1404" t="n">
        <v>2</v>
      </c>
      <c r="G1404" t="n">
        <v>3</v>
      </c>
      <c r="H1404" t="inlineStr">
        <is>
          <t>HIGH</t>
        </is>
      </c>
      <c r="I1404" t="n">
        <v>15.1</v>
      </c>
      <c r="J1404" t="inlineStr">
        <is>
          <t>NO</t>
        </is>
      </c>
      <c r="K1404" t="inlineStr">
        <is>
          <t>2026-02-26 00:15</t>
        </is>
      </c>
      <c r="L1404" t="inlineStr">
        <is>
          <t>CHECK_VENDOR</t>
        </is>
      </c>
      <c r="M1404" t="inlineStr">
        <is>
          <t>See CVE details</t>
        </is>
      </c>
      <c r="N1404" t="inlineStr">
        <is>
          <t>P3</t>
        </is>
      </c>
      <c r="O1404" t="inlineStr">
        <is>
          <t>CVE - IP enrichment n/a</t>
        </is>
      </c>
      <c r="P1404" t="n">
        <v>0</v>
      </c>
      <c r="Q1404" t="n">
        <v>0</v>
      </c>
      <c r="R1404" t="inlineStr">
        <is>
          <t>T1552:Unsecured Credentials</t>
        </is>
      </c>
      <c r="S1404" t="n">
        <v>1</v>
      </c>
      <c r="T1404" t="inlineStr">
        <is>
          <t>LOW (40%)</t>
        </is>
      </c>
      <c r="U1404" t="inlineStr">
        <is>
          <t>UNLIKELY</t>
        </is>
      </c>
      <c r="V1404" t="inlineStr">
        <is>
          <t>CHECK_VENDOR</t>
        </is>
      </c>
      <c r="W1404" t="inlineStr">
        <is>
          <t>https://nvd.nist.gov/vuln/detail/CVE-2025-1242</t>
        </is>
      </c>
      <c r="X1404" t="inlineStr">
        <is>
          <t>NONE</t>
        </is>
      </c>
      <c r="Y1404" t="n">
        <v>0</v>
      </c>
      <c r="Z1404" t="inlineStr"/>
      <c r="AA1404" t="inlineStr">
        <is>
          <t>https://nvd.nist.gov/vuln/detail/CVE-2025-1242</t>
        </is>
      </c>
    </row>
    <row r="1405">
      <c r="A1405" t="inlineStr">
        <is>
          <t>CVE</t>
        </is>
      </c>
      <c r="B1405" t="inlineStr">
        <is>
          <t>CVE-2025-50180</t>
        </is>
      </c>
      <c r="C1405" t="inlineStr">
        <is>
          <t>esm.sh is a no-build content delivery network (CDN) for web development. In version 136, esm.sh is vulnerable to a full-response SSRF, allowing an attacker to retrieve information from internal websites through the vulnerability. Version 137 fixes the vulnerability.</t>
        </is>
      </c>
      <c r="D1405" t="n">
        <v>5</v>
      </c>
      <c r="E1405" t="inlineStr">
        <is>
          <t>MEDIUM</t>
        </is>
      </c>
      <c r="F1405" t="n">
        <v>2</v>
      </c>
      <c r="G1405" t="n">
        <v>2</v>
      </c>
      <c r="H1405" t="inlineStr">
        <is>
          <t>MEDIUM</t>
        </is>
      </c>
      <c r="I1405" t="n">
        <v>9</v>
      </c>
      <c r="J1405" t="inlineStr">
        <is>
          <t>NO</t>
        </is>
      </c>
      <c r="K1405" t="inlineStr">
        <is>
          <t>2026-02-26 00:15</t>
        </is>
      </c>
      <c r="L1405" t="inlineStr">
        <is>
          <t>CHECK_VENDOR</t>
        </is>
      </c>
      <c r="M1405" t="inlineStr">
        <is>
          <t>See CVE details</t>
        </is>
      </c>
      <c r="N1405" t="inlineStr">
        <is>
          <t>P4</t>
        </is>
      </c>
      <c r="O1405" t="inlineStr">
        <is>
          <t>CVE - IP enrichment n/a</t>
        </is>
      </c>
      <c r="P1405" t="n">
        <v>0</v>
      </c>
      <c r="Q1405" t="n">
        <v>0</v>
      </c>
      <c r="R1405" t="inlineStr">
        <is>
          <t>T1090:Proxy</t>
        </is>
      </c>
      <c r="S1405" t="n">
        <v>1</v>
      </c>
      <c r="T1405" t="inlineStr">
        <is>
          <t>LOW (40%)</t>
        </is>
      </c>
      <c r="U1405" t="inlineStr">
        <is>
          <t>UNLIKELY</t>
        </is>
      </c>
      <c r="V1405" t="inlineStr">
        <is>
          <t>CHECK_VENDOR</t>
        </is>
      </c>
      <c r="W1405" t="inlineStr">
        <is>
          <t>https://nvd.nist.gov/vuln/detail/CVE-2025-50180</t>
        </is>
      </c>
      <c r="X1405" t="inlineStr">
        <is>
          <t>NONE</t>
        </is>
      </c>
      <c r="Y1405" t="n">
        <v>0</v>
      </c>
      <c r="Z1405" t="inlineStr"/>
      <c r="AA1405" t="inlineStr">
        <is>
          <t>https://nvd.nist.gov/vuln/detail/CVE-2025-50180</t>
        </is>
      </c>
    </row>
    <row r="1406">
      <c r="A1406" t="inlineStr">
        <is>
          <t>CVE</t>
        </is>
      </c>
      <c r="B1406" t="inlineStr">
        <is>
          <t>CVE-2025-69771</t>
        </is>
      </c>
      <c r="C1406" t="inlineStr">
        <is>
          <t>An arbitrary file upload vulnerability in the subtitle loading function of asbplayer v1.13.0 allows attackers to execute arbitrary code via uploading a crafted subtitle file.</t>
        </is>
      </c>
      <c r="D1406" t="n">
        <v>5</v>
      </c>
      <c r="E1406" t="inlineStr">
        <is>
          <t>MEDIUM</t>
        </is>
      </c>
      <c r="F1406" t="n">
        <v>2</v>
      </c>
      <c r="G1406" t="n">
        <v>2</v>
      </c>
      <c r="H1406" t="inlineStr">
        <is>
          <t>MEDIUM</t>
        </is>
      </c>
      <c r="I1406" t="n">
        <v>9</v>
      </c>
      <c r="J1406" t="inlineStr">
        <is>
          <t>NO</t>
        </is>
      </c>
      <c r="K1406" t="inlineStr">
        <is>
          <t>2026-02-26 00:15</t>
        </is>
      </c>
      <c r="L1406" t="inlineStr">
        <is>
          <t>CHECK_VENDOR</t>
        </is>
      </c>
      <c r="M1406" t="inlineStr">
        <is>
          <t>See CVE details</t>
        </is>
      </c>
      <c r="N1406" t="inlineStr">
        <is>
          <t>P4</t>
        </is>
      </c>
      <c r="O1406" t="inlineStr">
        <is>
          <t>CVE - IP enrichment n/a</t>
        </is>
      </c>
      <c r="P1406" t="n">
        <v>0</v>
      </c>
      <c r="Q1406" t="n">
        <v>0</v>
      </c>
      <c r="R1406" t="inlineStr">
        <is>
          <t>T1203:Exploitation for Client Execution</t>
        </is>
      </c>
      <c r="S1406" t="n">
        <v>1</v>
      </c>
      <c r="T1406" t="inlineStr">
        <is>
          <t>LOW (40%)</t>
        </is>
      </c>
      <c r="U1406" t="inlineStr">
        <is>
          <t>UNLIKELY</t>
        </is>
      </c>
      <c r="V1406" t="inlineStr">
        <is>
          <t>CHECK_VENDOR</t>
        </is>
      </c>
      <c r="W1406" t="inlineStr">
        <is>
          <t>https://nvd.nist.gov/vuln/detail/CVE-2025-69771</t>
        </is>
      </c>
      <c r="X1406" t="inlineStr">
        <is>
          <t>NONE</t>
        </is>
      </c>
      <c r="Y1406" t="n">
        <v>0</v>
      </c>
      <c r="Z1406" t="inlineStr"/>
      <c r="AA1406" t="inlineStr">
        <is>
          <t>https://nvd.nist.gov/vuln/detail/CVE-2025-69771</t>
        </is>
      </c>
    </row>
    <row r="1407">
      <c r="A1407" t="inlineStr">
        <is>
          <t>CVE</t>
        </is>
      </c>
      <c r="B1407" t="inlineStr">
        <is>
          <t>CVE-2026-22866</t>
        </is>
      </c>
      <c r="C1407" t="inlineStr">
        <is>
          <t>Ethereum Name Service (ENS) is a distributed, open, and extensible naming system based on the Ethereum blockchain. In versions 1.6.2 and prior, the `RSASHA256Algorithm` and `RSASHA1Algorithm` contracts fail to validate PKCS#1 v1.5 padding structure when verifying RSA signatures. The contracts only check if the last 32 (or 20) bytes of the decrypted signature match the expected hash. This enables Bleichenbacher's 2006 signature forgery attack against DNS zones using RSA keys with low public expon</t>
        </is>
      </c>
      <c r="D1407" t="n">
        <v>5</v>
      </c>
      <c r="E1407" t="inlineStr">
        <is>
          <t>MEDIUM</t>
        </is>
      </c>
      <c r="F1407" t="n">
        <v>2</v>
      </c>
      <c r="G1407" t="n">
        <v>2</v>
      </c>
      <c r="H1407" t="inlineStr">
        <is>
          <t>MEDIUM</t>
        </is>
      </c>
      <c r="I1407" t="n">
        <v>9</v>
      </c>
      <c r="J1407" t="inlineStr">
        <is>
          <t>NO</t>
        </is>
      </c>
      <c r="K1407" t="inlineStr">
        <is>
          <t>2026-02-26 00:15</t>
        </is>
      </c>
      <c r="L1407" t="inlineStr">
        <is>
          <t>CHECK_VENDOR</t>
        </is>
      </c>
      <c r="M1407" t="inlineStr">
        <is>
          <t>See CVE details</t>
        </is>
      </c>
      <c r="N1407" t="inlineStr">
        <is>
          <t>P4</t>
        </is>
      </c>
      <c r="O1407" t="inlineStr">
        <is>
          <t>CVE - IP enrichment n/a</t>
        </is>
      </c>
      <c r="P1407" t="n">
        <v>0</v>
      </c>
      <c r="Q1407" t="n">
        <v>0</v>
      </c>
      <c r="R1407" t="inlineStr">
        <is>
          <t>T1190:Exploit Public-Facing Application</t>
        </is>
      </c>
      <c r="S1407" t="n">
        <v>1</v>
      </c>
      <c r="T1407" t="inlineStr">
        <is>
          <t>LOW (40%)</t>
        </is>
      </c>
      <c r="U1407" t="inlineStr">
        <is>
          <t>UNLIKELY</t>
        </is>
      </c>
      <c r="V1407" t="inlineStr">
        <is>
          <t>CHECK_VENDOR</t>
        </is>
      </c>
      <c r="W1407" t="inlineStr">
        <is>
          <t>https://nvd.nist.gov/vuln/detail/CVE-2026-22866</t>
        </is>
      </c>
      <c r="X1407" t="inlineStr">
        <is>
          <t>NONE</t>
        </is>
      </c>
      <c r="Y1407" t="n">
        <v>0</v>
      </c>
      <c r="Z1407" t="inlineStr"/>
      <c r="AA1407" t="inlineStr">
        <is>
          <t>https://nvd.nist.gov/vuln/detail/CVE-2026-22866</t>
        </is>
      </c>
    </row>
    <row r="1408">
      <c r="A1408" t="inlineStr">
        <is>
          <t>CVE</t>
        </is>
      </c>
      <c r="B1408" t="inlineStr">
        <is>
          <t>CVE-2026-27700</t>
        </is>
      </c>
      <c r="C1408" t="inlineStr">
        <is>
          <t>Hono is a Web application framework that provides support for any JavaScript runtime. In versions 4.12.0 and 4.12.1, when using the AWS Lambda adapter (`hono/aws-lambda`) behind an Application Load Balancer (ALB), the `getConnInfo()` function incorrectly selected the first value from the `X-Forwarded-For` header. Because AWS ALB appends the real client IP address to the end of the `X-Forwarded-For` header, the first value can be attacker-controlled. This could allow IP-based access control mecha</t>
        </is>
      </c>
      <c r="D1408" t="n">
        <v>8.199999999999999</v>
      </c>
      <c r="E1408" t="inlineStr">
        <is>
          <t>HIGH</t>
        </is>
      </c>
      <c r="F1408" t="n">
        <v>2</v>
      </c>
      <c r="G1408" t="n">
        <v>3</v>
      </c>
      <c r="H1408" t="inlineStr">
        <is>
          <t>HIGH</t>
        </is>
      </c>
      <c r="I1408" t="n">
        <v>14.2</v>
      </c>
      <c r="J1408" t="inlineStr">
        <is>
          <t>NO</t>
        </is>
      </c>
      <c r="K1408" t="inlineStr">
        <is>
          <t>2026-02-26 00:15</t>
        </is>
      </c>
      <c r="L1408" t="inlineStr">
        <is>
          <t>CHECK_VENDOR</t>
        </is>
      </c>
      <c r="M1408" t="inlineStr">
        <is>
          <t>See CVE details</t>
        </is>
      </c>
      <c r="N1408" t="inlineStr">
        <is>
          <t>P3</t>
        </is>
      </c>
      <c r="O1408" t="inlineStr">
        <is>
          <t>CVE - IP enrichment n/a</t>
        </is>
      </c>
      <c r="P1408" t="n">
        <v>0</v>
      </c>
      <c r="Q1408" t="n">
        <v>0</v>
      </c>
      <c r="R1408" t="inlineStr">
        <is>
          <t>T1190:Exploit Public-Facing Application</t>
        </is>
      </c>
      <c r="S1408" t="n">
        <v>1</v>
      </c>
      <c r="T1408" t="inlineStr">
        <is>
          <t>LOW (40%)</t>
        </is>
      </c>
      <c r="U1408" t="inlineStr">
        <is>
          <t>UNLIKELY</t>
        </is>
      </c>
      <c r="V1408" t="inlineStr">
        <is>
          <t>CHECK_VENDOR</t>
        </is>
      </c>
      <c r="W1408" t="inlineStr">
        <is>
          <t>https://nvd.nist.gov/vuln/detail/CVE-2026-27700</t>
        </is>
      </c>
      <c r="X1408" t="inlineStr">
        <is>
          <t>NONE</t>
        </is>
      </c>
      <c r="Y1408" t="n">
        <v>0</v>
      </c>
      <c r="Z1408" t="inlineStr"/>
      <c r="AA1408" t="inlineStr">
        <is>
          <t>https://nvd.nist.gov/vuln/detail/CVE-2026-27700</t>
        </is>
      </c>
    </row>
    <row r="1409">
      <c r="A1409" t="inlineStr">
        <is>
          <t>CVE</t>
        </is>
      </c>
      <c r="B1409" t="inlineStr">
        <is>
          <t>CVE-2026-27701</t>
        </is>
      </c>
      <c r="C1409" t="inlineStr">
        <is>
          <t>LiveCode is an open-source, client-side code playground. Prior to commit e151c64c2bd80d2d53ac1333f1df9429fe6a1a11, LiveCode's `i18n-update-pull` GitHub Actions workflow is vulnerable to JavaScript injection. The title of the Pull Request associated with the triggering issue comment is interpolated directly into a `actions/github-script` JavaScript block using a GitHub Actions template expression. An attacker who opens a PR with a crafted title can inject arbitrary JavaScript that executes with t</t>
        </is>
      </c>
      <c r="D1409" t="n">
        <v>8.5</v>
      </c>
      <c r="E1409" t="inlineStr">
        <is>
          <t>HIGH</t>
        </is>
      </c>
      <c r="F1409" t="n">
        <v>2</v>
      </c>
      <c r="G1409" t="n">
        <v>3</v>
      </c>
      <c r="H1409" t="inlineStr">
        <is>
          <t>HIGH</t>
        </is>
      </c>
      <c r="I1409" t="n">
        <v>14.5</v>
      </c>
      <c r="J1409" t="inlineStr">
        <is>
          <t>NO</t>
        </is>
      </c>
      <c r="K1409" t="inlineStr">
        <is>
          <t>2026-02-26 00:15</t>
        </is>
      </c>
      <c r="L1409" t="inlineStr">
        <is>
          <t>CHECK_VENDOR</t>
        </is>
      </c>
      <c r="M1409" t="inlineStr">
        <is>
          <t>See CVE details</t>
        </is>
      </c>
      <c r="N1409" t="inlineStr">
        <is>
          <t>P3</t>
        </is>
      </c>
      <c r="O1409" t="inlineStr">
        <is>
          <t>CVE - IP enrichment n/a</t>
        </is>
      </c>
      <c r="P1409" t="n">
        <v>0</v>
      </c>
      <c r="Q1409" t="n">
        <v>0</v>
      </c>
      <c r="R1409" t="inlineStr">
        <is>
          <t>T1059:Command and Scripting Interpreter | T1190:Exploit Public-Facing Application</t>
        </is>
      </c>
      <c r="S1409" t="n">
        <v>1</v>
      </c>
      <c r="T1409" t="inlineStr">
        <is>
          <t>LOW (40%)</t>
        </is>
      </c>
      <c r="U1409" t="inlineStr">
        <is>
          <t>UNLIKELY</t>
        </is>
      </c>
      <c r="V1409" t="inlineStr">
        <is>
          <t>CHECK_VENDOR</t>
        </is>
      </c>
      <c r="W1409" t="inlineStr">
        <is>
          <t>https://nvd.nist.gov/vuln/detail/CVE-2026-27701</t>
        </is>
      </c>
      <c r="X1409" t="inlineStr">
        <is>
          <t>NONE</t>
        </is>
      </c>
      <c r="Y1409" t="n">
        <v>0</v>
      </c>
      <c r="Z1409" t="inlineStr"/>
      <c r="AA1409" t="inlineStr">
        <is>
          <t>https://nvd.nist.gov/vuln/detail/CVE-2026-27701</t>
        </is>
      </c>
    </row>
    <row r="1410">
      <c r="A1410" t="inlineStr">
        <is>
          <t>CVE</t>
        </is>
      </c>
      <c r="B1410" t="inlineStr">
        <is>
          <t>CVE-2026-27702</t>
        </is>
      </c>
      <c r="C1410" t="inlineStr">
        <is>
          <t>Budibase is a low code platform for creating internal tools, workflows, and admin panels. Prior to version 3.30.4, an unsafe `eval()` vulnerability in Budibase's view filtering implementation allows any authenticated user (including free tier accounts) to execute arbitrary JavaScript code on the server. This vulnerability ONLY affects Budibase Cloud (SaaS) - self-hosted deployments use native CouchDB views and are not vulnerable. The vulnerability exists in `packages/server/src/db/inMemoryView.t</t>
        </is>
      </c>
      <c r="D1410" t="n">
        <v>9.9</v>
      </c>
      <c r="E1410" t="inlineStr">
        <is>
          <t>CRITICAL</t>
        </is>
      </c>
      <c r="F1410" t="n">
        <v>2</v>
      </c>
      <c r="G1410" t="n">
        <v>3</v>
      </c>
      <c r="H1410" t="inlineStr">
        <is>
          <t>HIGH</t>
        </is>
      </c>
      <c r="I1410" t="n">
        <v>15.9</v>
      </c>
      <c r="J1410" t="inlineStr">
        <is>
          <t>NO</t>
        </is>
      </c>
      <c r="K1410" t="inlineStr">
        <is>
          <t>2026-02-26 00:15</t>
        </is>
      </c>
      <c r="L1410" t="inlineStr">
        <is>
          <t>CHECK_VENDOR</t>
        </is>
      </c>
      <c r="M1410" t="inlineStr">
        <is>
          <t>See CVE details</t>
        </is>
      </c>
      <c r="N1410" t="inlineStr">
        <is>
          <t>P3</t>
        </is>
      </c>
      <c r="O1410" t="inlineStr">
        <is>
          <t>CVE - IP enrichment n/a</t>
        </is>
      </c>
      <c r="P1410" t="n">
        <v>0</v>
      </c>
      <c r="Q1410" t="n">
        <v>0</v>
      </c>
      <c r="R1410" t="inlineStr">
        <is>
          <t>T1552:Unsecured Credentials</t>
        </is>
      </c>
      <c r="S1410" t="n">
        <v>1</v>
      </c>
      <c r="T1410" t="inlineStr">
        <is>
          <t>LOW (40%)</t>
        </is>
      </c>
      <c r="U1410" t="inlineStr">
        <is>
          <t>UNLIKELY</t>
        </is>
      </c>
      <c r="V1410" t="inlineStr">
        <is>
          <t>CHECK_VENDOR</t>
        </is>
      </c>
      <c r="W1410" t="inlineStr">
        <is>
          <t>https://nvd.nist.gov/vuln/detail/CVE-2026-27702</t>
        </is>
      </c>
      <c r="X1410" t="inlineStr">
        <is>
          <t>NONE</t>
        </is>
      </c>
      <c r="Y1410" t="n">
        <v>0</v>
      </c>
      <c r="Z1410" t="inlineStr"/>
      <c r="AA1410" t="inlineStr">
        <is>
          <t>https://nvd.nist.gov/vuln/detail/CVE-2026-27702</t>
        </is>
      </c>
    </row>
    <row r="1411">
      <c r="A1411" t="inlineStr">
        <is>
          <t>CVE</t>
        </is>
      </c>
      <c r="B1411" t="inlineStr">
        <is>
          <t>CVE-2026-27704</t>
        </is>
      </c>
      <c r="C1411" t="inlineStr">
        <is>
          <t>The Dart and Flutter SDKs provide software development kits for the Dart programming language. In versions of the Dart SDK prior to 3.11.0 and the Flutter SDK prior to version 3.41.0, when the pub client (`dart pub` and `flutter pub`) extracts a package in the pub cache, a malicious package archive can have files extracted outside the destination directory in the `PUB_CACHE`.  A fix has been landed in commit 26c6985c742593d081f8b58450f463a584a4203a. By normalizing the file path before writing fi</t>
        </is>
      </c>
      <c r="D1411" t="n">
        <v>5</v>
      </c>
      <c r="E1411" t="inlineStr">
        <is>
          <t>MEDIUM</t>
        </is>
      </c>
      <c r="F1411" t="n">
        <v>2</v>
      </c>
      <c r="G1411" t="n">
        <v>2</v>
      </c>
      <c r="H1411" t="inlineStr">
        <is>
          <t>MEDIUM</t>
        </is>
      </c>
      <c r="I1411" t="n">
        <v>9</v>
      </c>
      <c r="J1411" t="inlineStr">
        <is>
          <t>NO</t>
        </is>
      </c>
      <c r="K1411" t="inlineStr">
        <is>
          <t>2026-02-26 00:15</t>
        </is>
      </c>
      <c r="L1411" t="inlineStr">
        <is>
          <t>CHECK_VENDOR</t>
        </is>
      </c>
      <c r="M1411" t="inlineStr">
        <is>
          <t>See CVE details</t>
        </is>
      </c>
      <c r="N1411" t="inlineStr">
        <is>
          <t>P4</t>
        </is>
      </c>
      <c r="O1411" t="inlineStr">
        <is>
          <t>CVE - IP enrichment n/a</t>
        </is>
      </c>
      <c r="P1411" t="n">
        <v>0</v>
      </c>
      <c r="Q1411" t="n">
        <v>0</v>
      </c>
      <c r="R1411" t="inlineStr">
        <is>
          <t>T1083:File and Directory Discovery</t>
        </is>
      </c>
      <c r="S1411" t="n">
        <v>1</v>
      </c>
      <c r="T1411" t="inlineStr">
        <is>
          <t>LOW (40%)</t>
        </is>
      </c>
      <c r="U1411" t="inlineStr">
        <is>
          <t>UNLIKELY</t>
        </is>
      </c>
      <c r="V1411" t="inlineStr">
        <is>
          <t>CHECK_VENDOR</t>
        </is>
      </c>
      <c r="W1411" t="inlineStr">
        <is>
          <t>https://nvd.nist.gov/vuln/detail/CVE-2026-27704</t>
        </is>
      </c>
      <c r="X1411" t="inlineStr">
        <is>
          <t>NONE</t>
        </is>
      </c>
      <c r="Y1411" t="n">
        <v>0</v>
      </c>
      <c r="Z1411" t="inlineStr"/>
      <c r="AA1411" t="inlineStr">
        <is>
          <t>https://nvd.nist.gov/vuln/detail/CVE-2026-27704</t>
        </is>
      </c>
    </row>
    <row r="1412">
      <c r="A1412" t="inlineStr">
        <is>
          <t>CVE</t>
        </is>
      </c>
      <c r="B1412" t="inlineStr">
        <is>
          <t>CVE-2026-27730</t>
        </is>
      </c>
      <c r="C1412" t="inlineStr">
        <is>
          <t>esm.sh is a no-build content delivery network (CDN) for web development. Versions up to and including 137 have an SSRF vulnerability (CWE-918) in esm.sh’s `/http(s)` fetch route. The service tries to block localhost/internal targets, but the validation is based on hostname string checks and can be bypassed using DNS alias domains. This allows an external requester to make the esm.sh server fetch internal localhost services. As of time of publication, no known patched versions exist.</t>
        </is>
      </c>
      <c r="D1412" t="n">
        <v>8.6</v>
      </c>
      <c r="E1412" t="inlineStr">
        <is>
          <t>HIGH</t>
        </is>
      </c>
      <c r="F1412" t="n">
        <v>2</v>
      </c>
      <c r="G1412" t="n">
        <v>3</v>
      </c>
      <c r="H1412" t="inlineStr">
        <is>
          <t>HIGH</t>
        </is>
      </c>
      <c r="I1412" t="n">
        <v>14.6</v>
      </c>
      <c r="J1412" t="inlineStr">
        <is>
          <t>NO</t>
        </is>
      </c>
      <c r="K1412" t="inlineStr">
        <is>
          <t>2026-02-26 00:15</t>
        </is>
      </c>
      <c r="L1412" t="inlineStr">
        <is>
          <t>CHECK_VENDOR</t>
        </is>
      </c>
      <c r="M1412" t="inlineStr">
        <is>
          <t>See CVE details</t>
        </is>
      </c>
      <c r="N1412" t="inlineStr">
        <is>
          <t>P3</t>
        </is>
      </c>
      <c r="O1412" t="inlineStr">
        <is>
          <t>CVE - IP enrichment n/a</t>
        </is>
      </c>
      <c r="P1412" t="n">
        <v>0</v>
      </c>
      <c r="Q1412" t="n">
        <v>0</v>
      </c>
      <c r="R1412" t="inlineStr">
        <is>
          <t>T1090:Proxy</t>
        </is>
      </c>
      <c r="S1412" t="n">
        <v>1</v>
      </c>
      <c r="T1412" t="inlineStr">
        <is>
          <t>LOW (40%)</t>
        </is>
      </c>
      <c r="U1412" t="inlineStr">
        <is>
          <t>UNLIKELY</t>
        </is>
      </c>
      <c r="V1412" t="inlineStr">
        <is>
          <t>CHECK_VENDOR</t>
        </is>
      </c>
      <c r="W1412" t="inlineStr">
        <is>
          <t>https://nvd.nist.gov/vuln/detail/CVE-2026-27730</t>
        </is>
      </c>
      <c r="X1412" t="inlineStr">
        <is>
          <t>NONE</t>
        </is>
      </c>
      <c r="Y1412" t="n">
        <v>0</v>
      </c>
      <c r="Z1412" t="inlineStr"/>
      <c r="AA1412" t="inlineStr">
        <is>
          <t>https://nvd.nist.gov/vuln/detail/CVE-2026-27730</t>
        </is>
      </c>
    </row>
    <row r="1413">
      <c r="A1413" t="inlineStr">
        <is>
          <t>CVE</t>
        </is>
      </c>
      <c r="B1413" t="inlineStr">
        <is>
          <t>CVE-2026-27846</t>
        </is>
      </c>
      <c r="C1413" t="inlineStr">
        <is>
          <t>Due to missing authentication, a user with physical access to the device can misuse the mesh functionality for adding a new mesh device to the network 
to gain access to sensitive information, including the password for admin access to the web interface and the Wi-Fi passwords.This issue affects MR9600: 1.0.4.205530; MX4200: 1.0.13.210200.</t>
        </is>
      </c>
      <c r="D1413" t="n">
        <v>6.2</v>
      </c>
      <c r="E1413" t="inlineStr">
        <is>
          <t>MEDIUM</t>
        </is>
      </c>
      <c r="F1413" t="n">
        <v>2</v>
      </c>
      <c r="G1413" t="n">
        <v>2</v>
      </c>
      <c r="H1413" t="inlineStr">
        <is>
          <t>MEDIUM</t>
        </is>
      </c>
      <c r="I1413" t="n">
        <v>10.2</v>
      </c>
      <c r="J1413" t="inlineStr">
        <is>
          <t>NO</t>
        </is>
      </c>
      <c r="K1413" t="inlineStr">
        <is>
          <t>2026-02-26 00:15</t>
        </is>
      </c>
      <c r="L1413" t="inlineStr">
        <is>
          <t>CHECK_VENDOR</t>
        </is>
      </c>
      <c r="M1413" t="inlineStr">
        <is>
          <t>See CVE details</t>
        </is>
      </c>
      <c r="N1413" t="inlineStr">
        <is>
          <t>P4</t>
        </is>
      </c>
      <c r="O1413" t="inlineStr">
        <is>
          <t>CVE - IP enrichment n/a</t>
        </is>
      </c>
      <c r="P1413" t="n">
        <v>0</v>
      </c>
      <c r="Q1413" t="n">
        <v>0</v>
      </c>
      <c r="R1413" t="inlineStr">
        <is>
          <t>T1078:Valid Accounts</t>
        </is>
      </c>
      <c r="S1413" t="n">
        <v>1</v>
      </c>
      <c r="T1413" t="inlineStr">
        <is>
          <t>LOW (40%)</t>
        </is>
      </c>
      <c r="U1413" t="inlineStr">
        <is>
          <t>UNLIKELY</t>
        </is>
      </c>
      <c r="V1413" t="inlineStr">
        <is>
          <t>CHECK_VENDOR</t>
        </is>
      </c>
      <c r="W1413" t="inlineStr">
        <is>
          <t>https://nvd.nist.gov/vuln/detail/CVE-2026-27846</t>
        </is>
      </c>
      <c r="X1413" t="inlineStr">
        <is>
          <t>NONE</t>
        </is>
      </c>
      <c r="Y1413" t="n">
        <v>0</v>
      </c>
      <c r="Z1413" t="inlineStr"/>
      <c r="AA1413" t="inlineStr">
        <is>
          <t>https://nvd.nist.gov/vuln/detail/CVE-2026-27846</t>
        </is>
      </c>
    </row>
    <row r="1414">
      <c r="A1414" t="inlineStr">
        <is>
          <t>CVE</t>
        </is>
      </c>
      <c r="B1414" t="inlineStr">
        <is>
          <t>CVE-2026-27847</t>
        </is>
      </c>
      <c r="C1414" t="inlineStr">
        <is>
          <t>Due to improper neutralization of special elements, SQL statements can be injected via the handshake of a TLS-SRP connection. This can be used to inject known credentials into the database that can be utilized to successfully complete the handshake and use the protected service.
This issue affects MR9600: 1.0.4.205530; MX4200: 1.0.13.210200.</t>
        </is>
      </c>
      <c r="D1414" t="n">
        <v>5</v>
      </c>
      <c r="E1414" t="inlineStr">
        <is>
          <t>MEDIUM</t>
        </is>
      </c>
      <c r="F1414" t="n">
        <v>2</v>
      </c>
      <c r="G1414" t="n">
        <v>2</v>
      </c>
      <c r="H1414" t="inlineStr">
        <is>
          <t>MEDIUM</t>
        </is>
      </c>
      <c r="I1414" t="n">
        <v>9</v>
      </c>
      <c r="J1414" t="inlineStr">
        <is>
          <t>NO</t>
        </is>
      </c>
      <c r="K1414" t="inlineStr">
        <is>
          <t>2026-02-26 00:15</t>
        </is>
      </c>
      <c r="L1414" t="inlineStr">
        <is>
          <t>CHECK_VENDOR</t>
        </is>
      </c>
      <c r="M1414" t="inlineStr">
        <is>
          <t>See CVE details</t>
        </is>
      </c>
      <c r="N1414" t="inlineStr">
        <is>
          <t>P4</t>
        </is>
      </c>
      <c r="O1414" t="inlineStr">
        <is>
          <t>CVE - IP enrichment n/a</t>
        </is>
      </c>
      <c r="P1414" t="n">
        <v>0</v>
      </c>
      <c r="Q1414" t="n">
        <v>0</v>
      </c>
      <c r="R1414" t="inlineStr">
        <is>
          <t>T1190:Exploit Public-Facing Application | T1552:Unsecured Credentials</t>
        </is>
      </c>
      <c r="S1414" t="n">
        <v>1</v>
      </c>
      <c r="T1414" t="inlineStr">
        <is>
          <t>LOW (40%)</t>
        </is>
      </c>
      <c r="U1414" t="inlineStr">
        <is>
          <t>UNLIKELY</t>
        </is>
      </c>
      <c r="V1414" t="inlineStr">
        <is>
          <t>CHECK_VENDOR</t>
        </is>
      </c>
      <c r="W1414" t="inlineStr">
        <is>
          <t>https://nvd.nist.gov/vuln/detail/CVE-2026-27847</t>
        </is>
      </c>
      <c r="X1414" t="inlineStr">
        <is>
          <t>NONE</t>
        </is>
      </c>
      <c r="Y1414" t="n">
        <v>0</v>
      </c>
      <c r="Z1414" t="inlineStr"/>
      <c r="AA1414" t="inlineStr">
        <is>
          <t>https://nvd.nist.gov/vuln/detail/CVE-2026-27847</t>
        </is>
      </c>
    </row>
    <row r="1415">
      <c r="A1415" t="inlineStr">
        <is>
          <t>CVE</t>
        </is>
      </c>
      <c r="B1415" t="inlineStr">
        <is>
          <t>CVE-2026-27848</t>
        </is>
      </c>
      <c r="C1415" t="inlineStr">
        <is>
          <t>Due to missing neutralization of special elements, OS commands can be injected via the handshake of a TLS-SRP connection, which are ultimately run as the root user.
This issue affects MR9600: 1.0.4.205530; MX4200: 1.0.13.210200.</t>
        </is>
      </c>
      <c r="D1415" t="n">
        <v>5</v>
      </c>
      <c r="E1415" t="inlineStr">
        <is>
          <t>MEDIUM</t>
        </is>
      </c>
      <c r="F1415" t="n">
        <v>2</v>
      </c>
      <c r="G1415" t="n">
        <v>2</v>
      </c>
      <c r="H1415" t="inlineStr">
        <is>
          <t>MEDIUM</t>
        </is>
      </c>
      <c r="I1415" t="n">
        <v>9</v>
      </c>
      <c r="J1415" t="inlineStr">
        <is>
          <t>NO</t>
        </is>
      </c>
      <c r="K1415" t="inlineStr">
        <is>
          <t>2026-02-26 00:15</t>
        </is>
      </c>
      <c r="L1415" t="inlineStr">
        <is>
          <t>CHECK_VENDOR</t>
        </is>
      </c>
      <c r="M1415" t="inlineStr">
        <is>
          <t>See CVE details</t>
        </is>
      </c>
      <c r="N1415" t="inlineStr">
        <is>
          <t>P4</t>
        </is>
      </c>
      <c r="O1415" t="inlineStr">
        <is>
          <t>CVE - IP enrichment n/a</t>
        </is>
      </c>
      <c r="P1415" t="n">
        <v>0</v>
      </c>
      <c r="Q1415" t="n">
        <v>0</v>
      </c>
      <c r="R1415" t="inlineStr">
        <is>
          <t>T1059:Command and Scripting Interpreter</t>
        </is>
      </c>
      <c r="S1415" t="n">
        <v>1</v>
      </c>
      <c r="T1415" t="inlineStr">
        <is>
          <t>LOW (40%)</t>
        </is>
      </c>
      <c r="U1415" t="inlineStr">
        <is>
          <t>UNLIKELY</t>
        </is>
      </c>
      <c r="V1415" t="inlineStr">
        <is>
          <t>CHECK_VENDOR</t>
        </is>
      </c>
      <c r="W1415" t="inlineStr">
        <is>
          <t>https://nvd.nist.gov/vuln/detail/CVE-2026-27848</t>
        </is>
      </c>
      <c r="X1415" t="inlineStr">
        <is>
          <t>NONE</t>
        </is>
      </c>
      <c r="Y1415" t="n">
        <v>0</v>
      </c>
      <c r="Z1415" t="inlineStr"/>
      <c r="AA1415" t="inlineStr">
        <is>
          <t>https://nvd.nist.gov/vuln/detail/CVE-2026-27848</t>
        </is>
      </c>
    </row>
    <row r="1416">
      <c r="A1416" t="inlineStr">
        <is>
          <t>CVE</t>
        </is>
      </c>
      <c r="B1416" t="inlineStr">
        <is>
          <t>CVE-2026-3188</t>
        </is>
      </c>
      <c r="C1416" t="inlineStr">
        <is>
          <t>A security flaw has been discovered in feiyuchuixue sz-boot-parent up to 1.3.2-beta. This affects an unknown part of the file /api/admin/common/download/templates of the component API. Performing a manipulation of the argument templateName results in path traversal. Remote exploitation of the attack is possible. The exploit has been released to the public and may be used for attacks. Upgrading to version 1.3.3-beta is able to mitigate this issue. The patch is named aefaabfd7527188bfba3c8c9eee17c</t>
        </is>
      </c>
      <c r="D1416" t="n">
        <v>4.3</v>
      </c>
      <c r="E1416" t="inlineStr">
        <is>
          <t>MEDIUM</t>
        </is>
      </c>
      <c r="F1416" t="n">
        <v>2</v>
      </c>
      <c r="G1416" t="n">
        <v>2</v>
      </c>
      <c r="H1416" t="inlineStr">
        <is>
          <t>MEDIUM</t>
        </is>
      </c>
      <c r="I1416" t="n">
        <v>8.300000000000001</v>
      </c>
      <c r="J1416" t="inlineStr">
        <is>
          <t>NO</t>
        </is>
      </c>
      <c r="K1416" t="inlineStr">
        <is>
          <t>2026-02-26 00:15</t>
        </is>
      </c>
      <c r="L1416" t="inlineStr">
        <is>
          <t>CHECK_VENDOR</t>
        </is>
      </c>
      <c r="M1416" t="inlineStr">
        <is>
          <t>See CVE details</t>
        </is>
      </c>
      <c r="N1416" t="inlineStr">
        <is>
          <t>P4</t>
        </is>
      </c>
      <c r="O1416" t="inlineStr">
        <is>
          <t>CVE - IP enrichment n/a</t>
        </is>
      </c>
      <c r="P1416" t="n">
        <v>0</v>
      </c>
      <c r="Q1416" t="n">
        <v>0</v>
      </c>
      <c r="R1416" t="inlineStr">
        <is>
          <t>T1083:File and Directory Discovery</t>
        </is>
      </c>
      <c r="S1416" t="n">
        <v>1</v>
      </c>
      <c r="T1416" t="inlineStr">
        <is>
          <t>LOW (40%)</t>
        </is>
      </c>
      <c r="U1416" t="inlineStr">
        <is>
          <t>UNLIKELY</t>
        </is>
      </c>
      <c r="V1416" t="inlineStr">
        <is>
          <t>CHECK_VENDOR</t>
        </is>
      </c>
      <c r="W1416" t="inlineStr">
        <is>
          <t>https://nvd.nist.gov/vuln/detail/CVE-2026-3188</t>
        </is>
      </c>
      <c r="X1416" t="inlineStr">
        <is>
          <t>NONE</t>
        </is>
      </c>
      <c r="Y1416" t="n">
        <v>0</v>
      </c>
      <c r="Z1416" t="inlineStr"/>
      <c r="AA1416" t="inlineStr">
        <is>
          <t>https://nvd.nist.gov/vuln/detail/CVE-2026-3188</t>
        </is>
      </c>
    </row>
    <row r="1417">
      <c r="A1417" t="inlineStr">
        <is>
          <t>CVE</t>
        </is>
      </c>
      <c r="B1417" t="inlineStr">
        <is>
          <t>CVE-2026-3206</t>
        </is>
      </c>
      <c r="C1417" t="inlineStr">
        <is>
          <t>Improper Resource Shutdown or Release vulnerability in KrakenD, SLU KrakenD-CE (CircuitBreaker modules), KrakenD, SLU KrakenD-EE (CircuitBreaker modules). This issue affects KrakenD-CE: before 2.13.1; KrakenD-EE: before 2.12.5.</t>
        </is>
      </c>
      <c r="D1417" t="n">
        <v>8.5</v>
      </c>
      <c r="E1417" t="inlineStr">
        <is>
          <t>HIGH</t>
        </is>
      </c>
      <c r="F1417" t="n">
        <v>2</v>
      </c>
      <c r="G1417" t="n">
        <v>3</v>
      </c>
      <c r="H1417" t="inlineStr">
        <is>
          <t>HIGH</t>
        </is>
      </c>
      <c r="I1417" t="n">
        <v>14.5</v>
      </c>
      <c r="J1417" t="inlineStr">
        <is>
          <t>NO</t>
        </is>
      </c>
      <c r="K1417" t="inlineStr">
        <is>
          <t>2026-02-26 00:15</t>
        </is>
      </c>
      <c r="L1417" t="inlineStr">
        <is>
          <t>CHECK_VENDOR</t>
        </is>
      </c>
      <c r="M1417" t="inlineStr">
        <is>
          <t>See CVE details</t>
        </is>
      </c>
      <c r="N1417" t="inlineStr">
        <is>
          <t>P3</t>
        </is>
      </c>
      <c r="O1417" t="inlineStr">
        <is>
          <t>CVE - IP enrichment n/a</t>
        </is>
      </c>
      <c r="P1417" t="n">
        <v>0</v>
      </c>
      <c r="Q1417" t="n">
        <v>0</v>
      </c>
      <c r="R1417" t="inlineStr">
        <is>
          <t>T1190:Exploit Public-Facing Application</t>
        </is>
      </c>
      <c r="S1417" t="n">
        <v>1</v>
      </c>
      <c r="T1417" t="inlineStr">
        <is>
          <t>LOW (40%)</t>
        </is>
      </c>
      <c r="U1417" t="inlineStr">
        <is>
          <t>UNLIKELY</t>
        </is>
      </c>
      <c r="V1417" t="inlineStr">
        <is>
          <t>CHECK_VENDOR</t>
        </is>
      </c>
      <c r="W1417" t="inlineStr">
        <is>
          <t>https://nvd.nist.gov/vuln/detail/CVE-2026-3206</t>
        </is>
      </c>
      <c r="X1417" t="inlineStr">
        <is>
          <t>NONE</t>
        </is>
      </c>
      <c r="Y1417" t="n">
        <v>0</v>
      </c>
      <c r="Z1417" t="inlineStr"/>
      <c r="AA1417" t="inlineStr">
        <is>
          <t>https://nvd.nist.gov/vuln/detail/CVE-2026-3206</t>
        </is>
      </c>
    </row>
    <row r="1418">
      <c r="A1418" t="inlineStr">
        <is>
          <t>CVE</t>
        </is>
      </c>
      <c r="B1418" t="inlineStr">
        <is>
          <t>CVE-2026-20010</t>
        </is>
      </c>
      <c r="C1418" t="inlineStr">
        <is>
          <t xml:space="preserve">A vulnerability in the Link Layer Discovery Protocol (LLDP) feature of Cisco NX-OS Software could allow an unauthenticated, adjacent attacker to cause the LLDP process to restart, which could cause an affected device to reload unexpectedly.
This vulnerability is due to improper handling of specific fields in an LLDP frame. An attacker could exploit this vulnerability by sending a crafted LLDP packet to an interface of an affected device. A successful exploit could allow the attacker to cause </t>
        </is>
      </c>
      <c r="D1418" t="n">
        <v>7.4</v>
      </c>
      <c r="E1418" t="inlineStr">
        <is>
          <t>HIGH</t>
        </is>
      </c>
      <c r="F1418" t="n">
        <v>2</v>
      </c>
      <c r="G1418" t="n">
        <v>3</v>
      </c>
      <c r="H1418" t="inlineStr">
        <is>
          <t>HIGH</t>
        </is>
      </c>
      <c r="I1418" t="n">
        <v>13.4</v>
      </c>
      <c r="J1418" t="inlineStr">
        <is>
          <t>NO</t>
        </is>
      </c>
      <c r="K1418" t="inlineStr">
        <is>
          <t>2026-02-26 00:15</t>
        </is>
      </c>
      <c r="L1418" t="inlineStr">
        <is>
          <t>CHECK_VENDOR</t>
        </is>
      </c>
      <c r="M1418" t="inlineStr">
        <is>
          <t>See CVE details</t>
        </is>
      </c>
      <c r="N1418" t="inlineStr">
        <is>
          <t>P3</t>
        </is>
      </c>
      <c r="O1418" t="inlineStr">
        <is>
          <t>CVE - IP enrichment n/a</t>
        </is>
      </c>
      <c r="P1418" t="n">
        <v>0</v>
      </c>
      <c r="Q1418" t="n">
        <v>0</v>
      </c>
      <c r="R1418" t="inlineStr">
        <is>
          <t>T1499:Endpoint Denial of Service</t>
        </is>
      </c>
      <c r="S1418" t="n">
        <v>1</v>
      </c>
      <c r="T1418" t="inlineStr">
        <is>
          <t>LOW (40%)</t>
        </is>
      </c>
      <c r="U1418" t="inlineStr">
        <is>
          <t>UNLIKELY</t>
        </is>
      </c>
      <c r="V1418" t="inlineStr">
        <is>
          <t>CHECK_VENDOR</t>
        </is>
      </c>
      <c r="W1418" t="inlineStr">
        <is>
          <t>https://nvd.nist.gov/vuln/detail/CVE-2026-20010</t>
        </is>
      </c>
      <c r="X1418" t="inlineStr">
        <is>
          <t>NONE</t>
        </is>
      </c>
      <c r="Y1418" t="n">
        <v>0</v>
      </c>
      <c r="Z1418" t="inlineStr"/>
      <c r="AA1418" t="inlineStr">
        <is>
          <t>https://nvd.nist.gov/vuln/detail/CVE-2026-20010</t>
        </is>
      </c>
    </row>
    <row r="1419">
      <c r="A1419" t="inlineStr">
        <is>
          <t>CVE</t>
        </is>
      </c>
      <c r="B1419" t="inlineStr">
        <is>
          <t>CVE-2026-20033</t>
        </is>
      </c>
      <c r="C1419" t="inlineStr">
        <is>
          <t xml:space="preserve">A vulnerability in Cisco Nexus 9000 Series Fabric Switches in ACI mode could allow an unauthenticated, adjacent attacker to cause a denial of service (DoS) condition on an affected device.
This vulnerability is due to insufficient validation when processing specific Ethernet frames. An attacker could exploit this vulnerability by sending a crafted Ethernet frame to the&amp;nbsp;management interface of an affected device. A successful exploit could allow the attacker to cause the device to reload </t>
        </is>
      </c>
      <c r="D1419" t="n">
        <v>7.4</v>
      </c>
      <c r="E1419" t="inlineStr">
        <is>
          <t>HIGH</t>
        </is>
      </c>
      <c r="F1419" t="n">
        <v>2</v>
      </c>
      <c r="G1419" t="n">
        <v>3</v>
      </c>
      <c r="H1419" t="inlineStr">
        <is>
          <t>HIGH</t>
        </is>
      </c>
      <c r="I1419" t="n">
        <v>13.4</v>
      </c>
      <c r="J1419" t="inlineStr">
        <is>
          <t>NO</t>
        </is>
      </c>
      <c r="K1419" t="inlineStr">
        <is>
          <t>2026-02-26 00:15</t>
        </is>
      </c>
      <c r="L1419" t="inlineStr">
        <is>
          <t>CHECK_VENDOR</t>
        </is>
      </c>
      <c r="M1419" t="inlineStr">
        <is>
          <t>See CVE details</t>
        </is>
      </c>
      <c r="N1419" t="inlineStr">
        <is>
          <t>P3</t>
        </is>
      </c>
      <c r="O1419" t="inlineStr">
        <is>
          <t>CVE - IP enrichment n/a</t>
        </is>
      </c>
      <c r="P1419" t="n">
        <v>0</v>
      </c>
      <c r="Q1419" t="n">
        <v>0</v>
      </c>
      <c r="R1419" t="inlineStr">
        <is>
          <t>T1499:Endpoint Denial of Service</t>
        </is>
      </c>
      <c r="S1419" t="n">
        <v>1</v>
      </c>
      <c r="T1419" t="inlineStr">
        <is>
          <t>LOW (40%)</t>
        </is>
      </c>
      <c r="U1419" t="inlineStr">
        <is>
          <t>UNLIKELY</t>
        </is>
      </c>
      <c r="V1419" t="inlineStr">
        <is>
          <t>CHECK_VENDOR</t>
        </is>
      </c>
      <c r="W1419" t="inlineStr">
        <is>
          <t>https://nvd.nist.gov/vuln/detail/CVE-2026-20033</t>
        </is>
      </c>
      <c r="X1419" t="inlineStr">
        <is>
          <t>NONE</t>
        </is>
      </c>
      <c r="Y1419" t="n">
        <v>0</v>
      </c>
      <c r="Z1419" t="inlineStr"/>
      <c r="AA1419" t="inlineStr">
        <is>
          <t>https://nvd.nist.gov/vuln/detail/CVE-2026-20033</t>
        </is>
      </c>
    </row>
    <row r="1420">
      <c r="A1420" t="inlineStr">
        <is>
          <t>CVE</t>
        </is>
      </c>
      <c r="B1420" t="inlineStr">
        <is>
          <t>CVE-2026-20036</t>
        </is>
      </c>
      <c r="C1420" t="inlineStr">
        <is>
          <t xml:space="preserve">A vulnerability in the CLI and web-based management interface of Cisco UCS Manager Software could allow an authenticated, remote attacker with valid administrative privileges to execute arbitrary commands on the underlying operating system of an affected device.&amp;nbsp;
&amp;nbsp;
This vulnerability is due to insufficient input validation of command arguments that are supplied by the user. An attacker could exploit this vulnerability by authenticating to a device and submitting crafted input to the </t>
        </is>
      </c>
      <c r="D1420" t="n">
        <v>6.5</v>
      </c>
      <c r="E1420" t="inlineStr">
        <is>
          <t>MEDIUM</t>
        </is>
      </c>
      <c r="F1420" t="n">
        <v>2</v>
      </c>
      <c r="G1420" t="n">
        <v>2</v>
      </c>
      <c r="H1420" t="inlineStr">
        <is>
          <t>MEDIUM</t>
        </is>
      </c>
      <c r="I1420" t="n">
        <v>10.5</v>
      </c>
      <c r="J1420" t="inlineStr">
        <is>
          <t>NO</t>
        </is>
      </c>
      <c r="K1420" t="inlineStr">
        <is>
          <t>2026-02-26 00:15</t>
        </is>
      </c>
      <c r="L1420" t="inlineStr">
        <is>
          <t>CHECK_VENDOR</t>
        </is>
      </c>
      <c r="M1420" t="inlineStr">
        <is>
          <t>See CVE details</t>
        </is>
      </c>
      <c r="N1420" t="inlineStr">
        <is>
          <t>P4</t>
        </is>
      </c>
      <c r="O1420" t="inlineStr">
        <is>
          <t>CVE - IP enrichment n/a</t>
        </is>
      </c>
      <c r="P1420" t="n">
        <v>0</v>
      </c>
      <c r="Q1420" t="n">
        <v>0</v>
      </c>
      <c r="R1420" t="inlineStr">
        <is>
          <t>T1059:Command and Scripting Interpreter</t>
        </is>
      </c>
      <c r="S1420" t="n">
        <v>1</v>
      </c>
      <c r="T1420" t="inlineStr">
        <is>
          <t>LOW (40%)</t>
        </is>
      </c>
      <c r="U1420" t="inlineStr">
        <is>
          <t>UNLIKELY</t>
        </is>
      </c>
      <c r="V1420" t="inlineStr">
        <is>
          <t>CHECK_VENDOR</t>
        </is>
      </c>
      <c r="W1420" t="inlineStr">
        <is>
          <t>https://nvd.nist.gov/vuln/detail/CVE-2026-20036</t>
        </is>
      </c>
      <c r="X1420" t="inlineStr">
        <is>
          <t>NONE</t>
        </is>
      </c>
      <c r="Y1420" t="n">
        <v>0</v>
      </c>
      <c r="Z1420" t="inlineStr"/>
      <c r="AA1420" t="inlineStr">
        <is>
          <t>https://nvd.nist.gov/vuln/detail/CVE-2026-20036</t>
        </is>
      </c>
    </row>
    <row r="1421">
      <c r="A1421" t="inlineStr">
        <is>
          <t>CVE</t>
        </is>
      </c>
      <c r="B1421" t="inlineStr">
        <is>
          <t>CVE-2026-20037</t>
        </is>
      </c>
      <c r="C1421" t="inlineStr">
        <is>
          <t>A vulnerability in the NX-OS CLI privilege levels of Cisco UCS Manager Software could allow an authenticated, local attacker with read-only privileges to modify files and perform unauthorized actions on an affected system.
&amp;nbsp;
This vulnerability exists because unnecessary privileges are given to the user. An attacker could exploit this vulnerability by authenticating to a device as a read-only user and connecting to the NX-OS CLI. A successful exploit could allow the attacker to create or o</t>
        </is>
      </c>
      <c r="D1421" t="n">
        <v>4.4</v>
      </c>
      <c r="E1421" t="inlineStr">
        <is>
          <t>MEDIUM</t>
        </is>
      </c>
      <c r="F1421" t="n">
        <v>2</v>
      </c>
      <c r="G1421" t="n">
        <v>2</v>
      </c>
      <c r="H1421" t="inlineStr">
        <is>
          <t>MEDIUM</t>
        </is>
      </c>
      <c r="I1421" t="n">
        <v>8.4</v>
      </c>
      <c r="J1421" t="inlineStr">
        <is>
          <t>NO</t>
        </is>
      </c>
      <c r="K1421" t="inlineStr">
        <is>
          <t>2026-02-26 00:15</t>
        </is>
      </c>
      <c r="L1421" t="inlineStr">
        <is>
          <t>CHECK_VENDOR</t>
        </is>
      </c>
      <c r="M1421" t="inlineStr">
        <is>
          <t>See CVE details</t>
        </is>
      </c>
      <c r="N1421" t="inlineStr">
        <is>
          <t>P4</t>
        </is>
      </c>
      <c r="O1421" t="inlineStr">
        <is>
          <t>CVE - IP enrichment n/a</t>
        </is>
      </c>
      <c r="P1421" t="n">
        <v>0</v>
      </c>
      <c r="Q1421" t="n">
        <v>0</v>
      </c>
      <c r="R1421" t="inlineStr">
        <is>
          <t>T1190:Exploit Public-Facing Application</t>
        </is>
      </c>
      <c r="S1421" t="n">
        <v>1</v>
      </c>
      <c r="T1421" t="inlineStr">
        <is>
          <t>LOW (40%)</t>
        </is>
      </c>
      <c r="U1421" t="inlineStr">
        <is>
          <t>UNLIKELY</t>
        </is>
      </c>
      <c r="V1421" t="inlineStr">
        <is>
          <t>CHECK_VENDOR</t>
        </is>
      </c>
      <c r="W1421" t="inlineStr">
        <is>
          <t>https://nvd.nist.gov/vuln/detail/CVE-2026-20037</t>
        </is>
      </c>
      <c r="X1421" t="inlineStr">
        <is>
          <t>NONE</t>
        </is>
      </c>
      <c r="Y1421" t="n">
        <v>0</v>
      </c>
      <c r="Z1421" t="inlineStr"/>
      <c r="AA1421" t="inlineStr">
        <is>
          <t>https://nvd.nist.gov/vuln/detail/CVE-2026-20037</t>
        </is>
      </c>
    </row>
    <row r="1422">
      <c r="A1422" t="inlineStr">
        <is>
          <t>CVE</t>
        </is>
      </c>
      <c r="B1422" t="inlineStr">
        <is>
          <t>CVE-2026-20048</t>
        </is>
      </c>
      <c r="C1422" t="inlineStr">
        <is>
          <t>A vulnerability in the Simple Network Management Protocol (SNMP) subsystem of Cisco Nexus 9000 Series Fabric Switches in ACI mode could allow an authenticated, remote attacker to cause a denial of service (DoS) condition on an affected device.
This vulnerability is due to improper processing when parsing SNMP requests. An attacker could exploit this vulnerability by continuously sending SNMP queries&amp;nbsp;to a specific MIB of an affected device. A successful exploit could allow the attacker to</t>
        </is>
      </c>
      <c r="D1422" t="n">
        <v>7.7</v>
      </c>
      <c r="E1422" t="inlineStr">
        <is>
          <t>HIGH</t>
        </is>
      </c>
      <c r="F1422" t="n">
        <v>2</v>
      </c>
      <c r="G1422" t="n">
        <v>3</v>
      </c>
      <c r="H1422" t="inlineStr">
        <is>
          <t>HIGH</t>
        </is>
      </c>
      <c r="I1422" t="n">
        <v>13.7</v>
      </c>
      <c r="J1422" t="inlineStr">
        <is>
          <t>NO</t>
        </is>
      </c>
      <c r="K1422" t="inlineStr">
        <is>
          <t>2026-02-26 00:15</t>
        </is>
      </c>
      <c r="L1422" t="inlineStr">
        <is>
          <t>CHECK_VENDOR</t>
        </is>
      </c>
      <c r="M1422" t="inlineStr">
        <is>
          <t>See CVE details</t>
        </is>
      </c>
      <c r="N1422" t="inlineStr">
        <is>
          <t>P3</t>
        </is>
      </c>
      <c r="O1422" t="inlineStr">
        <is>
          <t>CVE - IP enrichment n/a</t>
        </is>
      </c>
      <c r="P1422" t="n">
        <v>0</v>
      </c>
      <c r="Q1422" t="n">
        <v>0</v>
      </c>
      <c r="R1422" t="inlineStr">
        <is>
          <t>T1552:Unsecured Credentials | T1499:Endpoint Denial of Service</t>
        </is>
      </c>
      <c r="S1422" t="n">
        <v>1</v>
      </c>
      <c r="T1422" t="inlineStr">
        <is>
          <t>LOW (40%)</t>
        </is>
      </c>
      <c r="U1422" t="inlineStr">
        <is>
          <t>UNLIKELY</t>
        </is>
      </c>
      <c r="V1422" t="inlineStr">
        <is>
          <t>CHECK_VENDOR</t>
        </is>
      </c>
      <c r="W1422" t="inlineStr">
        <is>
          <t>https://nvd.nist.gov/vuln/detail/CVE-2026-20048</t>
        </is>
      </c>
      <c r="X1422" t="inlineStr">
        <is>
          <t>NONE</t>
        </is>
      </c>
      <c r="Y1422" t="n">
        <v>0</v>
      </c>
      <c r="Z1422" t="inlineStr"/>
      <c r="AA1422" t="inlineStr">
        <is>
          <t>https://nvd.nist.gov/vuln/detail/CVE-2026-20048</t>
        </is>
      </c>
    </row>
    <row r="1423">
      <c r="A1423" t="inlineStr">
        <is>
          <t>CVE</t>
        </is>
      </c>
      <c r="B1423" t="inlineStr">
        <is>
          <t>CVE-2026-20051</t>
        </is>
      </c>
      <c r="C1423" t="inlineStr">
        <is>
          <t>A vulnerability with the Ethernet VPN (EVPN) Layer 2 ingress packet processing of Cisco Nexus 3600 Platform Switches and Cisco Nexus 9500-R Series Switching Platforms could allow an unauthenticated, adjacent attacker to trigger a Layer 2 traffic loop.
This vulnerability is due to a logic error when processing a crafted Layer 2 ingress frame. An attacker could exploit this vulnerability by sending a stream of crafted Ethernet frames through the targeted device. A successful exploit could allow</t>
        </is>
      </c>
      <c r="D1423" t="n">
        <v>7.4</v>
      </c>
      <c r="E1423" t="inlineStr">
        <is>
          <t>HIGH</t>
        </is>
      </c>
      <c r="F1423" t="n">
        <v>2</v>
      </c>
      <c r="G1423" t="n">
        <v>3</v>
      </c>
      <c r="H1423" t="inlineStr">
        <is>
          <t>HIGH</t>
        </is>
      </c>
      <c r="I1423" t="n">
        <v>13.4</v>
      </c>
      <c r="J1423" t="inlineStr">
        <is>
          <t>NO</t>
        </is>
      </c>
      <c r="K1423" t="inlineStr">
        <is>
          <t>2026-02-26 00:15</t>
        </is>
      </c>
      <c r="L1423" t="inlineStr">
        <is>
          <t>CHECK_VENDOR</t>
        </is>
      </c>
      <c r="M1423" t="inlineStr">
        <is>
          <t>See CVE details</t>
        </is>
      </c>
      <c r="N1423" t="inlineStr">
        <is>
          <t>P3</t>
        </is>
      </c>
      <c r="O1423" t="inlineStr">
        <is>
          <t>CVE - IP enrichment n/a</t>
        </is>
      </c>
      <c r="P1423" t="n">
        <v>0</v>
      </c>
      <c r="Q1423" t="n">
        <v>0</v>
      </c>
      <c r="R1423" t="inlineStr">
        <is>
          <t>T1499:Endpoint Denial of Service | T1133:External Remote Services</t>
        </is>
      </c>
      <c r="S1423" t="n">
        <v>1</v>
      </c>
      <c r="T1423" t="inlineStr">
        <is>
          <t>LOW (40%)</t>
        </is>
      </c>
      <c r="U1423" t="inlineStr">
        <is>
          <t>UNLIKELY</t>
        </is>
      </c>
      <c r="V1423" t="inlineStr">
        <is>
          <t>CHECK_VENDOR</t>
        </is>
      </c>
      <c r="W1423" t="inlineStr">
        <is>
          <t>https://nvd.nist.gov/vuln/detail/CVE-2026-20051</t>
        </is>
      </c>
      <c r="X1423" t="inlineStr">
        <is>
          <t>NONE</t>
        </is>
      </c>
      <c r="Y1423" t="n">
        <v>0</v>
      </c>
      <c r="Z1423" t="inlineStr"/>
      <c r="AA1423" t="inlineStr">
        <is>
          <t>https://nvd.nist.gov/vuln/detail/CVE-2026-20051</t>
        </is>
      </c>
    </row>
    <row r="1424">
      <c r="A1424" t="inlineStr">
        <is>
          <t>CVE</t>
        </is>
      </c>
      <c r="B1424" t="inlineStr">
        <is>
          <t>CVE-2026-20091</t>
        </is>
      </c>
      <c r="C1424" t="inlineStr">
        <is>
          <t>A vulnerability in the web-based management interface of Cisco FXOS Software and Cisco UCS Manager Software could allow an authenticated, remote attacker to conduct a stored cross-site scripting (XSS) attack against a user of the interface.
This vulnerability is due to insufficient validation of user-supplied input by the web-based management interface of an affected system. An attacker could exploit this vulnerability by injecting malicious data into specific pages of the interface. A succes</t>
        </is>
      </c>
      <c r="D1424" t="n">
        <v>4.8</v>
      </c>
      <c r="E1424" t="inlineStr">
        <is>
          <t>MEDIUM</t>
        </is>
      </c>
      <c r="F1424" t="n">
        <v>2</v>
      </c>
      <c r="G1424" t="n">
        <v>2</v>
      </c>
      <c r="H1424" t="inlineStr">
        <is>
          <t>MEDIUM</t>
        </is>
      </c>
      <c r="I1424" t="n">
        <v>8.800000000000001</v>
      </c>
      <c r="J1424" t="inlineStr">
        <is>
          <t>NO</t>
        </is>
      </c>
      <c r="K1424" t="inlineStr">
        <is>
          <t>2026-02-26 00:15</t>
        </is>
      </c>
      <c r="L1424" t="inlineStr">
        <is>
          <t>CHECK_VENDOR</t>
        </is>
      </c>
      <c r="M1424" t="inlineStr">
        <is>
          <t>See CVE details</t>
        </is>
      </c>
      <c r="N1424" t="inlineStr">
        <is>
          <t>P4</t>
        </is>
      </c>
      <c r="O1424" t="inlineStr">
        <is>
          <t>CVE - IP enrichment n/a</t>
        </is>
      </c>
      <c r="P1424" t="n">
        <v>0</v>
      </c>
      <c r="Q1424" t="n">
        <v>0</v>
      </c>
      <c r="R1424" t="inlineStr">
        <is>
          <t>T1189:Drive-by Compromise | T1552:Unsecured Credentials</t>
        </is>
      </c>
      <c r="S1424" t="n">
        <v>1</v>
      </c>
      <c r="T1424" t="inlineStr">
        <is>
          <t>LOW (40%)</t>
        </is>
      </c>
      <c r="U1424" t="inlineStr">
        <is>
          <t>UNLIKELY</t>
        </is>
      </c>
      <c r="V1424" t="inlineStr">
        <is>
          <t>CHECK_VENDOR</t>
        </is>
      </c>
      <c r="W1424" t="inlineStr">
        <is>
          <t>https://nvd.nist.gov/vuln/detail/CVE-2026-20091</t>
        </is>
      </c>
      <c r="X1424" t="inlineStr">
        <is>
          <t>NONE</t>
        </is>
      </c>
      <c r="Y1424" t="n">
        <v>0</v>
      </c>
      <c r="Z1424" t="inlineStr"/>
      <c r="AA1424" t="inlineStr">
        <is>
          <t>https://nvd.nist.gov/vuln/detail/CVE-2026-20091</t>
        </is>
      </c>
    </row>
    <row r="1425">
      <c r="A1425" t="inlineStr">
        <is>
          <t>CVE</t>
        </is>
      </c>
      <c r="B1425" t="inlineStr">
        <is>
          <t>CVE-2026-20099</t>
        </is>
      </c>
      <c r="C1425" t="inlineStr">
        <is>
          <t xml:space="preserve">A vulnerability in the web-based management interface of Cisco FXOS Software and Cisco&amp;nbsp;UCS Manager Software could allow an authenticated, local attacker with administrative privileges to perform command injection attacks on an affected system and elevate privileges to&amp;nbsp;root.&amp;nbsp;
This vulnerability is due to insufficient input validation of command arguments supplied by the user. An attacker could exploit this vulnerability by authenticating to a device and submitting crafted input </t>
        </is>
      </c>
      <c r="D1425" t="n">
        <v>6.7</v>
      </c>
      <c r="E1425" t="inlineStr">
        <is>
          <t>MEDIUM</t>
        </is>
      </c>
      <c r="F1425" t="n">
        <v>2</v>
      </c>
      <c r="G1425" t="n">
        <v>2</v>
      </c>
      <c r="H1425" t="inlineStr">
        <is>
          <t>MEDIUM</t>
        </is>
      </c>
      <c r="I1425" t="n">
        <v>10.7</v>
      </c>
      <c r="J1425" t="inlineStr">
        <is>
          <t>NO</t>
        </is>
      </c>
      <c r="K1425" t="inlineStr">
        <is>
          <t>2026-02-26 00:15</t>
        </is>
      </c>
      <c r="L1425" t="inlineStr">
        <is>
          <t>CHECK_VENDOR</t>
        </is>
      </c>
      <c r="M1425" t="inlineStr">
        <is>
          <t>See CVE details</t>
        </is>
      </c>
      <c r="N1425" t="inlineStr">
        <is>
          <t>P4</t>
        </is>
      </c>
      <c r="O1425" t="inlineStr">
        <is>
          <t>CVE - IP enrichment n/a</t>
        </is>
      </c>
      <c r="P1425" t="n">
        <v>0</v>
      </c>
      <c r="Q1425" t="n">
        <v>0</v>
      </c>
      <c r="R1425" t="inlineStr">
        <is>
          <t>T1059:Command and Scripting Interpreter</t>
        </is>
      </c>
      <c r="S1425" t="n">
        <v>1</v>
      </c>
      <c r="T1425" t="inlineStr">
        <is>
          <t>LOW (40%)</t>
        </is>
      </c>
      <c r="U1425" t="inlineStr">
        <is>
          <t>UNLIKELY</t>
        </is>
      </c>
      <c r="V1425" t="inlineStr">
        <is>
          <t>CHECK_VENDOR</t>
        </is>
      </c>
      <c r="W1425" t="inlineStr">
        <is>
          <t>https://nvd.nist.gov/vuln/detail/CVE-2026-20099</t>
        </is>
      </c>
      <c r="X1425" t="inlineStr">
        <is>
          <t>NONE</t>
        </is>
      </c>
      <c r="Y1425" t="n">
        <v>0</v>
      </c>
      <c r="Z1425" t="inlineStr"/>
      <c r="AA1425" t="inlineStr">
        <is>
          <t>https://nvd.nist.gov/vuln/detail/CVE-2026-20099</t>
        </is>
      </c>
    </row>
    <row r="1426">
      <c r="A1426" t="inlineStr">
        <is>
          <t>CVE</t>
        </is>
      </c>
      <c r="B1426" t="inlineStr">
        <is>
          <t>CVE-2026-20107</t>
        </is>
      </c>
      <c r="C1426" t="inlineStr">
        <is>
          <t>A vulnerability in the Object Model CLI component of Cisco Application Policy Infrastructure Controller (APIC) could allow an authenticated, local attacker to cause an affected device to reload unexpectedly, resulting in a denial of service (DoS) condition. To exploit this vulnerability, the attacker must have valid user credentials and any role that includes CLI access.
This vulnerability is due to insufficient input validation. An attacker could exploit this vulnerability by issuing crafted</t>
        </is>
      </c>
      <c r="D1426" t="n">
        <v>5.5</v>
      </c>
      <c r="E1426" t="inlineStr">
        <is>
          <t>MEDIUM</t>
        </is>
      </c>
      <c r="F1426" t="n">
        <v>2</v>
      </c>
      <c r="G1426" t="n">
        <v>2</v>
      </c>
      <c r="H1426" t="inlineStr">
        <is>
          <t>MEDIUM</t>
        </is>
      </c>
      <c r="I1426" t="n">
        <v>9.5</v>
      </c>
      <c r="J1426" t="inlineStr">
        <is>
          <t>NO</t>
        </is>
      </c>
      <c r="K1426" t="inlineStr">
        <is>
          <t>2026-02-26 00:15</t>
        </is>
      </c>
      <c r="L1426" t="inlineStr">
        <is>
          <t>CHECK_VENDOR</t>
        </is>
      </c>
      <c r="M1426" t="inlineStr">
        <is>
          <t>See CVE details</t>
        </is>
      </c>
      <c r="N1426" t="inlineStr">
        <is>
          <t>P4</t>
        </is>
      </c>
      <c r="O1426" t="inlineStr">
        <is>
          <t>CVE - IP enrichment n/a</t>
        </is>
      </c>
      <c r="P1426" t="n">
        <v>0</v>
      </c>
      <c r="Q1426" t="n">
        <v>0</v>
      </c>
      <c r="R1426" t="inlineStr">
        <is>
          <t>T1552:Unsecured Credentials | T1499:Endpoint Denial of Service</t>
        </is>
      </c>
      <c r="S1426" t="n">
        <v>1</v>
      </c>
      <c r="T1426" t="inlineStr">
        <is>
          <t>LOW (40%)</t>
        </is>
      </c>
      <c r="U1426" t="inlineStr">
        <is>
          <t>UNLIKELY</t>
        </is>
      </c>
      <c r="V1426" t="inlineStr">
        <is>
          <t>CHECK_VENDOR</t>
        </is>
      </c>
      <c r="W1426" t="inlineStr">
        <is>
          <t>https://nvd.nist.gov/vuln/detail/CVE-2026-20107</t>
        </is>
      </c>
      <c r="X1426" t="inlineStr">
        <is>
          <t>NONE</t>
        </is>
      </c>
      <c r="Y1426" t="n">
        <v>0</v>
      </c>
      <c r="Z1426" t="inlineStr"/>
      <c r="AA1426" t="inlineStr">
        <is>
          <t>https://nvd.nist.gov/vuln/detail/CVE-2026-20107</t>
        </is>
      </c>
    </row>
    <row r="1427">
      <c r="A1427" t="inlineStr">
        <is>
          <t>CVE</t>
        </is>
      </c>
      <c r="B1427" t="inlineStr">
        <is>
          <t>CVE-2026-20122</t>
        </is>
      </c>
      <c r="C1427" t="inlineStr">
        <is>
          <t>A vulnerability in the API of Cisco Catalyst SD-WAN Manager could allow an authenticated, remote attacker to overwrite arbitrary files on the local file system. To exploit this vulnerability, the attacker must have valid read-only credentials with API access on the affected system.
This vulnerability is due to improper file handling on the API interface of an affected system. An attacker could exploit this vulnerability by uploading a malicious file on the local file system. A successful expl</t>
        </is>
      </c>
      <c r="D1427" t="n">
        <v>5.4</v>
      </c>
      <c r="E1427" t="inlineStr">
        <is>
          <t>MEDIUM</t>
        </is>
      </c>
      <c r="F1427" t="n">
        <v>2</v>
      </c>
      <c r="G1427" t="n">
        <v>2</v>
      </c>
      <c r="H1427" t="inlineStr">
        <is>
          <t>MEDIUM</t>
        </is>
      </c>
      <c r="I1427" t="n">
        <v>9.4</v>
      </c>
      <c r="J1427" t="inlineStr">
        <is>
          <t>NO</t>
        </is>
      </c>
      <c r="K1427" t="inlineStr">
        <is>
          <t>2026-02-26 00:15</t>
        </is>
      </c>
      <c r="L1427" t="inlineStr">
        <is>
          <t>CHECK_VENDOR</t>
        </is>
      </c>
      <c r="M1427" t="inlineStr">
        <is>
          <t>See CVE details</t>
        </is>
      </c>
      <c r="N1427" t="inlineStr">
        <is>
          <t>P4</t>
        </is>
      </c>
      <c r="O1427" t="inlineStr">
        <is>
          <t>CVE - IP enrichment n/a</t>
        </is>
      </c>
      <c r="P1427" t="n">
        <v>0</v>
      </c>
      <c r="Q1427" t="n">
        <v>0</v>
      </c>
      <c r="R1427" t="inlineStr">
        <is>
          <t>T1552:Unsecured Credentials</t>
        </is>
      </c>
      <c r="S1427" t="n">
        <v>1</v>
      </c>
      <c r="T1427" t="inlineStr">
        <is>
          <t>LOW (40%)</t>
        </is>
      </c>
      <c r="U1427" t="inlineStr">
        <is>
          <t>UNLIKELY</t>
        </is>
      </c>
      <c r="V1427" t="inlineStr">
        <is>
          <t>CHECK_VENDOR</t>
        </is>
      </c>
      <c r="W1427" t="inlineStr">
        <is>
          <t>https://nvd.nist.gov/vuln/detail/CVE-2026-20122</t>
        </is>
      </c>
      <c r="X1427" t="inlineStr">
        <is>
          <t>NONE</t>
        </is>
      </c>
      <c r="Y1427" t="n">
        <v>0</v>
      </c>
      <c r="Z1427" t="inlineStr"/>
      <c r="AA1427" t="inlineStr">
        <is>
          <t>https://nvd.nist.gov/vuln/detail/CVE-2026-20122</t>
        </is>
      </c>
    </row>
    <row r="1428">
      <c r="A1428" t="inlineStr">
        <is>
          <t>CVE</t>
        </is>
      </c>
      <c r="B1428" t="inlineStr">
        <is>
          <t>CVE-2026-20126</t>
        </is>
      </c>
      <c r="C1428" t="inlineStr">
        <is>
          <t>A vulnerability in Cisco Catalyst SD-WAN Manager could allow an authenticated, local attacker with low privileges to gain root privileges on the underlying operating system.
This vulnerability is due to an insufficient user authentication mechanism in the REST API. An attacker could exploit this vulnerability by sending a request to the REST API of the affected system. A successful exploit could allow the attacker to&amp;nbsp;gain root privileges on the underlying operating system.</t>
        </is>
      </c>
      <c r="D1428" t="n">
        <v>8.800000000000001</v>
      </c>
      <c r="E1428" t="inlineStr">
        <is>
          <t>HIGH</t>
        </is>
      </c>
      <c r="F1428" t="n">
        <v>2</v>
      </c>
      <c r="G1428" t="n">
        <v>3</v>
      </c>
      <c r="H1428" t="inlineStr">
        <is>
          <t>HIGH</t>
        </is>
      </c>
      <c r="I1428" t="n">
        <v>14.8</v>
      </c>
      <c r="J1428" t="inlineStr">
        <is>
          <t>NO</t>
        </is>
      </c>
      <c r="K1428" t="inlineStr">
        <is>
          <t>2026-02-26 00:15</t>
        </is>
      </c>
      <c r="L1428" t="inlineStr">
        <is>
          <t>CHECK_VENDOR</t>
        </is>
      </c>
      <c r="M1428" t="inlineStr">
        <is>
          <t>See CVE details</t>
        </is>
      </c>
      <c r="N1428" t="inlineStr">
        <is>
          <t>P3</t>
        </is>
      </c>
      <c r="O1428" t="inlineStr">
        <is>
          <t>CVE - IP enrichment n/a</t>
        </is>
      </c>
      <c r="P1428" t="n">
        <v>0</v>
      </c>
      <c r="Q1428" t="n">
        <v>0</v>
      </c>
      <c r="R1428" t="inlineStr">
        <is>
          <t>T1190:Exploit Public-Facing Application</t>
        </is>
      </c>
      <c r="S1428" t="n">
        <v>1</v>
      </c>
      <c r="T1428" t="inlineStr">
        <is>
          <t>LOW (40%)</t>
        </is>
      </c>
      <c r="U1428" t="inlineStr">
        <is>
          <t>UNLIKELY</t>
        </is>
      </c>
      <c r="V1428" t="inlineStr">
        <is>
          <t>CHECK_VENDOR</t>
        </is>
      </c>
      <c r="W1428" t="inlineStr">
        <is>
          <t>https://nvd.nist.gov/vuln/detail/CVE-2026-20126</t>
        </is>
      </c>
      <c r="X1428" t="inlineStr">
        <is>
          <t>NONE</t>
        </is>
      </c>
      <c r="Y1428" t="n">
        <v>0</v>
      </c>
      <c r="Z1428" t="inlineStr"/>
      <c r="AA1428" t="inlineStr">
        <is>
          <t>https://nvd.nist.gov/vuln/detail/CVE-2026-20126</t>
        </is>
      </c>
    </row>
    <row r="1429">
      <c r="A1429" t="inlineStr">
        <is>
          <t>CVE</t>
        </is>
      </c>
      <c r="B1429" t="inlineStr">
        <is>
          <t>CVE-2026-20127</t>
        </is>
      </c>
      <c r="C1429" t="inlineStr">
        <is>
          <t xml:space="preserve">A vulnerability in the peering authentication in Cisco Catalyst SD-WAN Controller, formerly SD-WAN vSmart, and Cisco Catalyst SD-WAN Manager, formerly SD-WAN vManage, could allow an unauthenticated, remote attacker to bypass authentication and obtain administrative privileges on an affected system.
This vulnerability exists because the peering authentication mechanism in an affected system is not working properly. An attacker could exploit this vulnerability by sending crafted requests to an </t>
        </is>
      </c>
      <c r="D1429" t="n">
        <v>10</v>
      </c>
      <c r="E1429" t="inlineStr">
        <is>
          <t>CRITICAL</t>
        </is>
      </c>
      <c r="F1429" t="n">
        <v>3</v>
      </c>
      <c r="G1429" t="n">
        <v>3</v>
      </c>
      <c r="H1429" t="inlineStr">
        <is>
          <t>CRITICAL</t>
        </is>
      </c>
      <c r="I1429" t="n">
        <v>19</v>
      </c>
      <c r="J1429" t="inlineStr">
        <is>
          <t>YES</t>
        </is>
      </c>
      <c r="K1429" t="inlineStr">
        <is>
          <t>2026-02-26 00:15</t>
        </is>
      </c>
      <c r="L1429" t="inlineStr">
        <is>
          <t>CHECK_VENDOR</t>
        </is>
      </c>
      <c r="M1429" t="inlineStr">
        <is>
          <t>See CVE details</t>
        </is>
      </c>
      <c r="N1429" t="inlineStr">
        <is>
          <t>P1</t>
        </is>
      </c>
      <c r="O1429" t="inlineStr">
        <is>
          <t>CVE - IP enrichment n/a</t>
        </is>
      </c>
      <c r="P1429" t="n">
        <v>0</v>
      </c>
      <c r="Q1429" t="n">
        <v>0</v>
      </c>
      <c r="R1429" t="inlineStr">
        <is>
          <t>T1078:Valid Accounts | T1110:Brute Force</t>
        </is>
      </c>
      <c r="S1429" t="n">
        <v>2</v>
      </c>
      <c r="T1429" t="inlineStr">
        <is>
          <t>HIGH (72%)</t>
        </is>
      </c>
      <c r="U1429" t="inlineStr">
        <is>
          <t>CONFIRMED</t>
        </is>
      </c>
      <c r="V1429" t="inlineStr">
        <is>
          <t>CHECK_VENDOR</t>
        </is>
      </c>
      <c r="W1429" t="inlineStr">
        <is>
          <t>https://nvd.nist.gov/vuln/detail/CVE-2026-20127</t>
        </is>
      </c>
      <c r="X1429" t="inlineStr">
        <is>
          <t>NONE</t>
        </is>
      </c>
      <c r="Y1429" t="n">
        <v>0</v>
      </c>
      <c r="Z1429" t="inlineStr">
        <is>
          <t>[BleepingComputer] Critical Cisco SD-WAN bug exploited in zero-day attacks since 2023</t>
        </is>
      </c>
      <c r="AA1429" t="inlineStr">
        <is>
          <t>https://nvd.nist.gov/vuln/detail/CVE-2026-20127</t>
        </is>
      </c>
    </row>
    <row r="1430">
      <c r="A1430" t="inlineStr">
        <is>
          <t>CVE</t>
        </is>
      </c>
      <c r="B1430" t="inlineStr">
        <is>
          <t>CVE-2026-20128</t>
        </is>
      </c>
      <c r="C1430" t="inlineStr">
        <is>
          <t>A vulnerability in the Data Collection Agent (DCA) feature of Cisco Catalyst SD-WAN Manager could allow an authenticated, local attacker to gain DCA user privileges on an affected system. To exploit this vulnerability, the attacker must have valid&amp;nbsp;vmanage credentials on the affected system.
This vulnerability is due to the presence of a credential file for the DCA user on an affected system. An attacker could exploit this vulnerability by accessing the filesystem as a low-privileged user</t>
        </is>
      </c>
      <c r="D1430" t="n">
        <v>7.5</v>
      </c>
      <c r="E1430" t="inlineStr">
        <is>
          <t>HIGH</t>
        </is>
      </c>
      <c r="F1430" t="n">
        <v>2</v>
      </c>
      <c r="G1430" t="n">
        <v>3</v>
      </c>
      <c r="H1430" t="inlineStr">
        <is>
          <t>HIGH</t>
        </is>
      </c>
      <c r="I1430" t="n">
        <v>13.5</v>
      </c>
      <c r="J1430" t="inlineStr">
        <is>
          <t>NO</t>
        </is>
      </c>
      <c r="K1430" t="inlineStr">
        <is>
          <t>2026-02-26 00:15</t>
        </is>
      </c>
      <c r="L1430" t="inlineStr">
        <is>
          <t>CHECK_VENDOR</t>
        </is>
      </c>
      <c r="M1430" t="inlineStr">
        <is>
          <t>See CVE details</t>
        </is>
      </c>
      <c r="N1430" t="inlineStr">
        <is>
          <t>P3</t>
        </is>
      </c>
      <c r="O1430" t="inlineStr">
        <is>
          <t>CVE - IP enrichment n/a</t>
        </is>
      </c>
      <c r="P1430" t="n">
        <v>0</v>
      </c>
      <c r="Q1430" t="n">
        <v>0</v>
      </c>
      <c r="R1430" t="inlineStr">
        <is>
          <t>T1552:Unsecured Credentials</t>
        </is>
      </c>
      <c r="S1430" t="n">
        <v>1</v>
      </c>
      <c r="T1430" t="inlineStr">
        <is>
          <t>LOW (40%)</t>
        </is>
      </c>
      <c r="U1430" t="inlineStr">
        <is>
          <t>UNLIKELY</t>
        </is>
      </c>
      <c r="V1430" t="inlineStr">
        <is>
          <t>CHECK_VENDOR</t>
        </is>
      </c>
      <c r="W1430" t="inlineStr">
        <is>
          <t>https://nvd.nist.gov/vuln/detail/CVE-2026-20128</t>
        </is>
      </c>
      <c r="X1430" t="inlineStr">
        <is>
          <t>NONE</t>
        </is>
      </c>
      <c r="Y1430" t="n">
        <v>0</v>
      </c>
      <c r="Z1430" t="inlineStr"/>
      <c r="AA1430" t="inlineStr">
        <is>
          <t>https://nvd.nist.gov/vuln/detail/CVE-2026-20128</t>
        </is>
      </c>
    </row>
    <row r="1431">
      <c r="A1431" t="inlineStr">
        <is>
          <t>CVE</t>
        </is>
      </c>
      <c r="B1431" t="inlineStr">
        <is>
          <t>CVE-2026-20129</t>
        </is>
      </c>
      <c r="C1431" t="inlineStr">
        <is>
          <t>A vulnerability in the API user authentication of Cisco Catalyst SD-WAN Manager could allow an unauthenticated, remote attacker to gain access to an affected system as a user who has the&amp;nbsp;netadmin role.
The vulnerability is due to improper authentication for requests that are sent to the API. An attacker could exploit this vulnerability by sending a crafted request to the API of an affected system. A successful exploit could allow the attacker to execute commands with the privileges of th</t>
        </is>
      </c>
      <c r="D1431" t="n">
        <v>9.800000000000001</v>
      </c>
      <c r="E1431" t="inlineStr">
        <is>
          <t>CRITICAL</t>
        </is>
      </c>
      <c r="F1431" t="n">
        <v>2</v>
      </c>
      <c r="G1431" t="n">
        <v>3</v>
      </c>
      <c r="H1431" t="inlineStr">
        <is>
          <t>HIGH</t>
        </is>
      </c>
      <c r="I1431" t="n">
        <v>15.8</v>
      </c>
      <c r="J1431" t="inlineStr">
        <is>
          <t>NO</t>
        </is>
      </c>
      <c r="K1431" t="inlineStr">
        <is>
          <t>2026-02-26 00:15</t>
        </is>
      </c>
      <c r="L1431" t="inlineStr">
        <is>
          <t>CHECK_VENDOR</t>
        </is>
      </c>
      <c r="M1431" t="inlineStr">
        <is>
          <t>See CVE details</t>
        </is>
      </c>
      <c r="N1431" t="inlineStr">
        <is>
          <t>P3</t>
        </is>
      </c>
      <c r="O1431" t="inlineStr">
        <is>
          <t>CVE - IP enrichment n/a</t>
        </is>
      </c>
      <c r="P1431" t="n">
        <v>0</v>
      </c>
      <c r="Q1431" t="n">
        <v>0</v>
      </c>
      <c r="R1431" t="inlineStr">
        <is>
          <t>T1078:Valid Accounts | T1110:Brute Force</t>
        </is>
      </c>
      <c r="S1431" t="n">
        <v>1</v>
      </c>
      <c r="T1431" t="inlineStr">
        <is>
          <t>LOW (40%)</t>
        </is>
      </c>
      <c r="U1431" t="inlineStr">
        <is>
          <t>UNLIKELY</t>
        </is>
      </c>
      <c r="V1431" t="inlineStr">
        <is>
          <t>CHECK_VENDOR</t>
        </is>
      </c>
      <c r="W1431" t="inlineStr">
        <is>
          <t>https://nvd.nist.gov/vuln/detail/CVE-2026-20129</t>
        </is>
      </c>
      <c r="X1431" t="inlineStr">
        <is>
          <t>NONE</t>
        </is>
      </c>
      <c r="Y1431" t="n">
        <v>0</v>
      </c>
      <c r="Z1431" t="inlineStr"/>
      <c r="AA1431" t="inlineStr">
        <is>
          <t>https://nvd.nist.gov/vuln/detail/CVE-2026-20129</t>
        </is>
      </c>
    </row>
    <row r="1432">
      <c r="A1432" t="inlineStr">
        <is>
          <t>CVE</t>
        </is>
      </c>
      <c r="B1432" t="inlineStr">
        <is>
          <t>CVE-2026-20133</t>
        </is>
      </c>
      <c r="C1432" t="inlineStr">
        <is>
          <t>A vulnerability in Cisco Catalyst SD-WAN Manager could allow an unauthenticated, remote attacker to view sensitive information on an affected system.
This vulnerability is due to insufficient file system access restrictions. An attacker could exploit this vulnerability by accessing the API of an affected system. A successful exploit could allow the attacker to read sensitive information on the underlying operating system.</t>
        </is>
      </c>
      <c r="D1432" t="n">
        <v>6.5</v>
      </c>
      <c r="E1432" t="inlineStr">
        <is>
          <t>MEDIUM</t>
        </is>
      </c>
      <c r="F1432" t="n">
        <v>2</v>
      </c>
      <c r="G1432" t="n">
        <v>2</v>
      </c>
      <c r="H1432" t="inlineStr">
        <is>
          <t>MEDIUM</t>
        </is>
      </c>
      <c r="I1432" t="n">
        <v>10.5</v>
      </c>
      <c r="J1432" t="inlineStr">
        <is>
          <t>NO</t>
        </is>
      </c>
      <c r="K1432" t="inlineStr">
        <is>
          <t>2026-02-26 00:15</t>
        </is>
      </c>
      <c r="L1432" t="inlineStr">
        <is>
          <t>CHECK_VENDOR</t>
        </is>
      </c>
      <c r="M1432" t="inlineStr">
        <is>
          <t>See CVE details</t>
        </is>
      </c>
      <c r="N1432" t="inlineStr">
        <is>
          <t>P4</t>
        </is>
      </c>
      <c r="O1432" t="inlineStr">
        <is>
          <t>CVE - IP enrichment n/a</t>
        </is>
      </c>
      <c r="P1432" t="n">
        <v>0</v>
      </c>
      <c r="Q1432" t="n">
        <v>0</v>
      </c>
      <c r="R1432" t="inlineStr">
        <is>
          <t>T1213:Data from Information Repositories</t>
        </is>
      </c>
      <c r="S1432" t="n">
        <v>1</v>
      </c>
      <c r="T1432" t="inlineStr">
        <is>
          <t>LOW (40%)</t>
        </is>
      </c>
      <c r="U1432" t="inlineStr">
        <is>
          <t>UNLIKELY</t>
        </is>
      </c>
      <c r="V1432" t="inlineStr">
        <is>
          <t>CHECK_VENDOR</t>
        </is>
      </c>
      <c r="W1432" t="inlineStr">
        <is>
          <t>https://nvd.nist.gov/vuln/detail/CVE-2026-20133</t>
        </is>
      </c>
      <c r="X1432" t="inlineStr">
        <is>
          <t>NONE</t>
        </is>
      </c>
      <c r="Y1432" t="n">
        <v>0</v>
      </c>
      <c r="Z1432" t="inlineStr"/>
      <c r="AA1432" t="inlineStr">
        <is>
          <t>https://nvd.nist.gov/vuln/detail/CVE-2026-20133</t>
        </is>
      </c>
    </row>
    <row r="1433">
      <c r="A1433" t="inlineStr">
        <is>
          <t>CVE</t>
        </is>
      </c>
      <c r="B1433" t="inlineStr">
        <is>
          <t>CVE-2026-26717</t>
        </is>
      </c>
      <c r="C1433" t="inlineStr">
        <is>
          <t>An issue in OpenFUN Richie (LMS) in src/richie/apps/courses/api.py. The application used the non-constant time == operator for HMAC signature verification in the sync_course_run_from_request function. This allows remote attackers to forge valid signatures and bypass authentication by measuring response time discrepancies</t>
        </is>
      </c>
      <c r="D1433" t="n">
        <v>5</v>
      </c>
      <c r="E1433" t="inlineStr">
        <is>
          <t>MEDIUM</t>
        </is>
      </c>
      <c r="F1433" t="n">
        <v>2</v>
      </c>
      <c r="G1433" t="n">
        <v>2</v>
      </c>
      <c r="H1433" t="inlineStr">
        <is>
          <t>MEDIUM</t>
        </is>
      </c>
      <c r="I1433" t="n">
        <v>9</v>
      </c>
      <c r="J1433" t="inlineStr">
        <is>
          <t>NO</t>
        </is>
      </c>
      <c r="K1433" t="inlineStr">
        <is>
          <t>2026-02-26 00:15</t>
        </is>
      </c>
      <c r="L1433" t="inlineStr">
        <is>
          <t>CHECK_VENDOR</t>
        </is>
      </c>
      <c r="M1433" t="inlineStr">
        <is>
          <t>See CVE details</t>
        </is>
      </c>
      <c r="N1433" t="inlineStr">
        <is>
          <t>P4</t>
        </is>
      </c>
      <c r="O1433" t="inlineStr">
        <is>
          <t>CVE - IP enrichment n/a</t>
        </is>
      </c>
      <c r="P1433" t="n">
        <v>0</v>
      </c>
      <c r="Q1433" t="n">
        <v>0</v>
      </c>
      <c r="R1433" t="inlineStr">
        <is>
          <t>T1190:Exploit Public-Facing Application</t>
        </is>
      </c>
      <c r="S1433" t="n">
        <v>1</v>
      </c>
      <c r="T1433" t="inlineStr">
        <is>
          <t>LOW (40%)</t>
        </is>
      </c>
      <c r="U1433" t="inlineStr">
        <is>
          <t>UNLIKELY</t>
        </is>
      </c>
      <c r="V1433" t="inlineStr">
        <is>
          <t>CHECK_VENDOR</t>
        </is>
      </c>
      <c r="W1433" t="inlineStr">
        <is>
          <t>https://nvd.nist.gov/vuln/detail/CVE-2026-26717</t>
        </is>
      </c>
      <c r="X1433" t="inlineStr">
        <is>
          <t>NONE</t>
        </is>
      </c>
      <c r="Y1433" t="n">
        <v>0</v>
      </c>
      <c r="Z1433" t="inlineStr"/>
      <c r="AA1433" t="inlineStr">
        <is>
          <t>https://nvd.nist.gov/vuln/detail/CVE-2026-26717</t>
        </is>
      </c>
    </row>
    <row r="1434">
      <c r="A1434" t="inlineStr">
        <is>
          <t>CVE</t>
        </is>
      </c>
      <c r="B1434" t="inlineStr">
        <is>
          <t>CVE-2026-27705</t>
        </is>
      </c>
      <c r="C1434" t="inlineStr">
        <is>
          <t>Plane is an an open-source project management tool. Prior to version 1.2.2, the `ProjectAssetEndpoint.patch()` method in `apps/api/plane/app/views/asset/v2.py` (lines 579–593) performs a global asset lookup using only the asset ID (`pk`) via `FileAsset.objects.get(id=pk)`, without verifying that the asset belongs to the workspace and project specified in the URL path. This allows any authenticated user (including those with the GUEST role) to modify the `attributes` and `is_uploaded` status of a</t>
        </is>
      </c>
      <c r="D1434" t="n">
        <v>8.5</v>
      </c>
      <c r="E1434" t="inlineStr">
        <is>
          <t>HIGH</t>
        </is>
      </c>
      <c r="F1434" t="n">
        <v>2</v>
      </c>
      <c r="G1434" t="n">
        <v>3</v>
      </c>
      <c r="H1434" t="inlineStr">
        <is>
          <t>HIGH</t>
        </is>
      </c>
      <c r="I1434" t="n">
        <v>14.5</v>
      </c>
      <c r="J1434" t="inlineStr">
        <is>
          <t>NO</t>
        </is>
      </c>
      <c r="K1434" t="inlineStr">
        <is>
          <t>2026-02-26 00:15</t>
        </is>
      </c>
      <c r="L1434" t="inlineStr">
        <is>
          <t>CHECK_VENDOR</t>
        </is>
      </c>
      <c r="M1434" t="inlineStr">
        <is>
          <t>See CVE details</t>
        </is>
      </c>
      <c r="N1434" t="inlineStr">
        <is>
          <t>P3</t>
        </is>
      </c>
      <c r="O1434" t="inlineStr">
        <is>
          <t>CVE - IP enrichment n/a</t>
        </is>
      </c>
      <c r="P1434" t="n">
        <v>0</v>
      </c>
      <c r="Q1434" t="n">
        <v>0</v>
      </c>
      <c r="R1434" t="inlineStr">
        <is>
          <t>T1190:Exploit Public-Facing Application</t>
        </is>
      </c>
      <c r="S1434" t="n">
        <v>1</v>
      </c>
      <c r="T1434" t="inlineStr">
        <is>
          <t>LOW (40%)</t>
        </is>
      </c>
      <c r="U1434" t="inlineStr">
        <is>
          <t>UNLIKELY</t>
        </is>
      </c>
      <c r="V1434" t="inlineStr">
        <is>
          <t>CHECK_VENDOR</t>
        </is>
      </c>
      <c r="W1434" t="inlineStr">
        <is>
          <t>https://nvd.nist.gov/vuln/detail/CVE-2026-27705</t>
        </is>
      </c>
      <c r="X1434" t="inlineStr">
        <is>
          <t>NONE</t>
        </is>
      </c>
      <c r="Y1434" t="n">
        <v>0</v>
      </c>
      <c r="Z1434" t="inlineStr"/>
      <c r="AA1434" t="inlineStr">
        <is>
          <t>https://nvd.nist.gov/vuln/detail/CVE-2026-27705</t>
        </is>
      </c>
    </row>
    <row r="1435">
      <c r="A1435" t="inlineStr">
        <is>
          <t>CVE</t>
        </is>
      </c>
      <c r="B1435" t="inlineStr">
        <is>
          <t>CVE-2026-27706</t>
        </is>
      </c>
      <c r="C1435" t="inlineStr">
        <is>
          <t>Plane is an an open-source project management tool. Prior to version 1.2.2, a Full Read Server-Side Request Forgery (SSRF) vulnerability has been identified in the "Add Link" feature. This flaw allows an authenticated attacker with general user privileges to send arbitrary GET requests to the internal network and exfiltrate the full response body. By exploiting this vulnerability, an attacker can steal sensitive data from internal services and cloud metadata endpoints. Version 1.2.2 fixes the is</t>
        </is>
      </c>
      <c r="D1435" t="n">
        <v>7.7</v>
      </c>
      <c r="E1435" t="inlineStr">
        <is>
          <t>HIGH</t>
        </is>
      </c>
      <c r="F1435" t="n">
        <v>2</v>
      </c>
      <c r="G1435" t="n">
        <v>3</v>
      </c>
      <c r="H1435" t="inlineStr">
        <is>
          <t>HIGH</t>
        </is>
      </c>
      <c r="I1435" t="n">
        <v>13.7</v>
      </c>
      <c r="J1435" t="inlineStr">
        <is>
          <t>NO</t>
        </is>
      </c>
      <c r="K1435" t="inlineStr">
        <is>
          <t>2026-02-26 00:15</t>
        </is>
      </c>
      <c r="L1435" t="inlineStr">
        <is>
          <t>CHECK_VENDOR</t>
        </is>
      </c>
      <c r="M1435" t="inlineStr">
        <is>
          <t>See CVE details</t>
        </is>
      </c>
      <c r="N1435" t="inlineStr">
        <is>
          <t>P3</t>
        </is>
      </c>
      <c r="O1435" t="inlineStr">
        <is>
          <t>CVE - IP enrichment n/a</t>
        </is>
      </c>
      <c r="P1435" t="n">
        <v>0</v>
      </c>
      <c r="Q1435" t="n">
        <v>0</v>
      </c>
      <c r="R1435" t="inlineStr">
        <is>
          <t>T1090:Proxy | T1190:Exploit Public-Facing Application</t>
        </is>
      </c>
      <c r="S1435" t="n">
        <v>1</v>
      </c>
      <c r="T1435" t="inlineStr">
        <is>
          <t>LOW (40%)</t>
        </is>
      </c>
      <c r="U1435" t="inlineStr">
        <is>
          <t>UNLIKELY</t>
        </is>
      </c>
      <c r="V1435" t="inlineStr">
        <is>
          <t>CHECK_VENDOR</t>
        </is>
      </c>
      <c r="W1435" t="inlineStr">
        <is>
          <t>https://nvd.nist.gov/vuln/detail/CVE-2026-27706</t>
        </is>
      </c>
      <c r="X1435" t="inlineStr">
        <is>
          <t>NONE</t>
        </is>
      </c>
      <c r="Y1435" t="n">
        <v>0</v>
      </c>
      <c r="Z1435" t="inlineStr"/>
      <c r="AA1435" t="inlineStr">
        <is>
          <t>https://nvd.nist.gov/vuln/detail/CVE-2026-27706</t>
        </is>
      </c>
    </row>
    <row r="1436">
      <c r="A1436" t="inlineStr">
        <is>
          <t>CVE</t>
        </is>
      </c>
      <c r="B1436" t="inlineStr">
        <is>
          <t>CVE-2026-27727</t>
        </is>
      </c>
      <c r="C1436" t="inlineStr">
        <is>
          <t>mchange-commons-java, a library that provides Java utilities, includes code that mirrors early implementations of JNDI functionality, including support for remote `factoryClassLocation` values, by which code can be downloaded and invoked within a running application. If an attacker can provoke an application to read a maliciously crafted `jaxax.naming.Reference` or serialized object, they can provoke the download and execution of malicious code. Implementations of this functionality within the J</t>
        </is>
      </c>
      <c r="D1436" t="n">
        <v>5</v>
      </c>
      <c r="E1436" t="inlineStr">
        <is>
          <t>MEDIUM</t>
        </is>
      </c>
      <c r="F1436" t="n">
        <v>2</v>
      </c>
      <c r="G1436" t="n">
        <v>2</v>
      </c>
      <c r="H1436" t="inlineStr">
        <is>
          <t>MEDIUM</t>
        </is>
      </c>
      <c r="I1436" t="n">
        <v>9</v>
      </c>
      <c r="J1436" t="inlineStr">
        <is>
          <t>NO</t>
        </is>
      </c>
      <c r="K1436" t="inlineStr">
        <is>
          <t>2026-02-26 00:15</t>
        </is>
      </c>
      <c r="L1436" t="inlineStr">
        <is>
          <t>CHECK_VENDOR</t>
        </is>
      </c>
      <c r="M1436" t="inlineStr">
        <is>
          <t>See CVE details</t>
        </is>
      </c>
      <c r="N1436" t="inlineStr">
        <is>
          <t>P4</t>
        </is>
      </c>
      <c r="O1436" t="inlineStr">
        <is>
          <t>CVE - IP enrichment n/a</t>
        </is>
      </c>
      <c r="P1436" t="n">
        <v>0</v>
      </c>
      <c r="Q1436" t="n">
        <v>0</v>
      </c>
      <c r="R1436" t="inlineStr">
        <is>
          <t>T1190:Exploit Public-Facing Application</t>
        </is>
      </c>
      <c r="S1436" t="n">
        <v>1</v>
      </c>
      <c r="T1436" t="inlineStr">
        <is>
          <t>LOW (40%)</t>
        </is>
      </c>
      <c r="U1436" t="inlineStr">
        <is>
          <t>UNLIKELY</t>
        </is>
      </c>
      <c r="V1436" t="inlineStr">
        <is>
          <t>CHECK_VENDOR</t>
        </is>
      </c>
      <c r="W1436" t="inlineStr">
        <is>
          <t>https://nvd.nist.gov/vuln/detail/CVE-2026-27727</t>
        </is>
      </c>
      <c r="X1436" t="inlineStr">
        <is>
          <t>NONE</t>
        </is>
      </c>
      <c r="Y1436" t="n">
        <v>0</v>
      </c>
      <c r="Z1436" t="inlineStr"/>
      <c r="AA1436" t="inlineStr">
        <is>
          <t>https://nvd.nist.gov/vuln/detail/CVE-2026-27727</t>
        </is>
      </c>
    </row>
    <row r="1437">
      <c r="A1437" t="inlineStr">
        <is>
          <t>CVE</t>
        </is>
      </c>
      <c r="B1437" t="inlineStr">
        <is>
          <t>CVE-2026-27728</t>
        </is>
      </c>
      <c r="C1437" t="inlineStr">
        <is>
          <t>OneUptime is a solution for monitoring and managing online services. Prior to version 10.0.7, an OS command injection vulnerability in `NetworkPathMonitor.performTraceroute()` allows any authenticated project user to execute arbitrary operating system commands on the Probe server by injecting shell metacharacters into a monitor's destination field. Version 10.0.7 fixes the vulnerability.</t>
        </is>
      </c>
      <c r="D1437" t="n">
        <v>9.9</v>
      </c>
      <c r="E1437" t="inlineStr">
        <is>
          <t>CRITICAL</t>
        </is>
      </c>
      <c r="F1437" t="n">
        <v>2</v>
      </c>
      <c r="G1437" t="n">
        <v>3</v>
      </c>
      <c r="H1437" t="inlineStr">
        <is>
          <t>HIGH</t>
        </is>
      </c>
      <c r="I1437" t="n">
        <v>15.9</v>
      </c>
      <c r="J1437" t="inlineStr">
        <is>
          <t>NO</t>
        </is>
      </c>
      <c r="K1437" t="inlineStr">
        <is>
          <t>2026-02-26 00:15</t>
        </is>
      </c>
      <c r="L1437" t="inlineStr">
        <is>
          <t>CHECK_VENDOR</t>
        </is>
      </c>
      <c r="M1437" t="inlineStr">
        <is>
          <t>See CVE details</t>
        </is>
      </c>
      <c r="N1437" t="inlineStr">
        <is>
          <t>P3</t>
        </is>
      </c>
      <c r="O1437" t="inlineStr">
        <is>
          <t>CVE - IP enrichment n/a</t>
        </is>
      </c>
      <c r="P1437" t="n">
        <v>0</v>
      </c>
      <c r="Q1437" t="n">
        <v>0</v>
      </c>
      <c r="R1437" t="inlineStr">
        <is>
          <t>T1059:Command and Scripting Interpreter</t>
        </is>
      </c>
      <c r="S1437" t="n">
        <v>1</v>
      </c>
      <c r="T1437" t="inlineStr">
        <is>
          <t>LOW (40%)</t>
        </is>
      </c>
      <c r="U1437" t="inlineStr">
        <is>
          <t>UNLIKELY</t>
        </is>
      </c>
      <c r="V1437" t="inlineStr">
        <is>
          <t>CHECK_VENDOR</t>
        </is>
      </c>
      <c r="W1437" t="inlineStr">
        <is>
          <t>https://nvd.nist.gov/vuln/detail/CVE-2026-27728</t>
        </is>
      </c>
      <c r="X1437" t="inlineStr">
        <is>
          <t>NONE</t>
        </is>
      </c>
      <c r="Y1437" t="n">
        <v>0</v>
      </c>
      <c r="Z1437" t="inlineStr"/>
      <c r="AA1437" t="inlineStr">
        <is>
          <t>https://nvd.nist.gov/vuln/detail/CVE-2026-27728</t>
        </is>
      </c>
    </row>
    <row r="1438">
      <c r="A1438" t="inlineStr">
        <is>
          <t>CVE</t>
        </is>
      </c>
      <c r="B1438" t="inlineStr">
        <is>
          <t>CVE-2026-27736</t>
        </is>
      </c>
      <c r="C1438" t="inlineStr">
        <is>
          <t>BigBlueButton is an open-source virtual classroom. In versions on the 3.x branch prior to 3.0.20, the string received with errorRedirectUrl lacks validation, using it directly in the respondWithRedirect function leads to an Open Redirect vulnerability. BigBlueButton 3.0.20 patches the issue. No known workarounds are available.</t>
        </is>
      </c>
      <c r="D1438" t="n">
        <v>6.1</v>
      </c>
      <c r="E1438" t="inlineStr">
        <is>
          <t>MEDIUM</t>
        </is>
      </c>
      <c r="F1438" t="n">
        <v>2</v>
      </c>
      <c r="G1438" t="n">
        <v>2</v>
      </c>
      <c r="H1438" t="inlineStr">
        <is>
          <t>MEDIUM</t>
        </is>
      </c>
      <c r="I1438" t="n">
        <v>10.1</v>
      </c>
      <c r="J1438" t="inlineStr">
        <is>
          <t>NO</t>
        </is>
      </c>
      <c r="K1438" t="inlineStr">
        <is>
          <t>2026-02-26 00:15</t>
        </is>
      </c>
      <c r="L1438" t="inlineStr">
        <is>
          <t>CHECK_VENDOR</t>
        </is>
      </c>
      <c r="M1438" t="inlineStr">
        <is>
          <t>See CVE details</t>
        </is>
      </c>
      <c r="N1438" t="inlineStr">
        <is>
          <t>P4</t>
        </is>
      </c>
      <c r="O1438" t="inlineStr">
        <is>
          <t>CVE - IP enrichment n/a</t>
        </is>
      </c>
      <c r="P1438" t="n">
        <v>0</v>
      </c>
      <c r="Q1438" t="n">
        <v>0</v>
      </c>
      <c r="R1438" t="inlineStr">
        <is>
          <t>T1189:Drive-by Compromise | T1190:Exploit Public-Facing Application</t>
        </is>
      </c>
      <c r="S1438" t="n">
        <v>1</v>
      </c>
      <c r="T1438" t="inlineStr">
        <is>
          <t>LOW (40%)</t>
        </is>
      </c>
      <c r="U1438" t="inlineStr">
        <is>
          <t>UNLIKELY</t>
        </is>
      </c>
      <c r="V1438" t="inlineStr">
        <is>
          <t>CHECK_VENDOR</t>
        </is>
      </c>
      <c r="W1438" t="inlineStr">
        <is>
          <t>https://nvd.nist.gov/vuln/detail/CVE-2026-27736</t>
        </is>
      </c>
      <c r="X1438" t="inlineStr">
        <is>
          <t>NONE</t>
        </is>
      </c>
      <c r="Y1438" t="n">
        <v>0</v>
      </c>
      <c r="Z1438" t="inlineStr"/>
      <c r="AA1438" t="inlineStr">
        <is>
          <t>https://nvd.nist.gov/vuln/detail/CVE-2026-27736</t>
        </is>
      </c>
    </row>
    <row r="1439">
      <c r="A1439" t="inlineStr">
        <is>
          <t>CVE</t>
        </is>
      </c>
      <c r="B1439" t="inlineStr">
        <is>
          <t>CVE-2026-27738</t>
        </is>
      </c>
      <c r="C1439" t="inlineStr">
        <is>
          <t>The Angular SSR is a server-rise rendering tool for Angular applications. An Open Redirect vulnerability exists in the internal URL processing logic in versions on the 19.x branch prior to 19.2.21, the 20.x branch prior to 20.3.17, and the 21.x branch prior to 21.1.5 and 21.2.0-rc.1. The logic normalizes URL segments by stripping leading slashes; however, it only removes a single leading slash. When an Angular SSR application is deployed behind a proxy that passes the `X-Forwarded-Prefix` header</t>
        </is>
      </c>
      <c r="D1439" t="n">
        <v>5</v>
      </c>
      <c r="E1439" t="inlineStr">
        <is>
          <t>MEDIUM</t>
        </is>
      </c>
      <c r="F1439" t="n">
        <v>2</v>
      </c>
      <c r="G1439" t="n">
        <v>2</v>
      </c>
      <c r="H1439" t="inlineStr">
        <is>
          <t>MEDIUM</t>
        </is>
      </c>
      <c r="I1439" t="n">
        <v>9</v>
      </c>
      <c r="J1439" t="inlineStr">
        <is>
          <t>NO</t>
        </is>
      </c>
      <c r="K1439" t="inlineStr">
        <is>
          <t>2026-02-26 00:15</t>
        </is>
      </c>
      <c r="L1439" t="inlineStr">
        <is>
          <t>CHECK_VENDOR</t>
        </is>
      </c>
      <c r="M1439" t="inlineStr">
        <is>
          <t>See CVE details</t>
        </is>
      </c>
      <c r="N1439" t="inlineStr">
        <is>
          <t>P4</t>
        </is>
      </c>
      <c r="O1439" t="inlineStr">
        <is>
          <t>CVE - IP enrichment n/a</t>
        </is>
      </c>
      <c r="P1439" t="n">
        <v>0</v>
      </c>
      <c r="Q1439" t="n">
        <v>0</v>
      </c>
      <c r="R1439" t="inlineStr">
        <is>
          <t>T1189:Drive-by Compromise | T1566:Phishing</t>
        </is>
      </c>
      <c r="S1439" t="n">
        <v>1</v>
      </c>
      <c r="T1439" t="inlineStr">
        <is>
          <t>LOW (40%)</t>
        </is>
      </c>
      <c r="U1439" t="inlineStr">
        <is>
          <t>UNLIKELY</t>
        </is>
      </c>
      <c r="V1439" t="inlineStr">
        <is>
          <t>CHECK_VENDOR</t>
        </is>
      </c>
      <c r="W1439" t="inlineStr">
        <is>
          <t>https://nvd.nist.gov/vuln/detail/CVE-2026-27738</t>
        </is>
      </c>
      <c r="X1439" t="inlineStr">
        <is>
          <t>NONE</t>
        </is>
      </c>
      <c r="Y1439" t="n">
        <v>0</v>
      </c>
      <c r="Z1439" t="inlineStr"/>
      <c r="AA1439" t="inlineStr">
        <is>
          <t>https://nvd.nist.gov/vuln/detail/CVE-2026-27738</t>
        </is>
      </c>
    </row>
    <row r="1440">
      <c r="A1440" t="inlineStr">
        <is>
          <t>CVE</t>
        </is>
      </c>
      <c r="B1440" t="inlineStr">
        <is>
          <t>CVE-2026-27849</t>
        </is>
      </c>
      <c r="C1440" t="inlineStr">
        <is>
          <t>Due to missing neutralization of special elements, OS commands can be injected via the update functionality of a TLS-SRP connection, which is normally used for configuring devices inside the mesh network.
This issue affects MR9600: 1.0.4.205530; MX4200: 1.0.13.210200.</t>
        </is>
      </c>
      <c r="D1440" t="n">
        <v>5</v>
      </c>
      <c r="E1440" t="inlineStr">
        <is>
          <t>MEDIUM</t>
        </is>
      </c>
      <c r="F1440" t="n">
        <v>2</v>
      </c>
      <c r="G1440" t="n">
        <v>2</v>
      </c>
      <c r="H1440" t="inlineStr">
        <is>
          <t>MEDIUM</t>
        </is>
      </c>
      <c r="I1440" t="n">
        <v>9</v>
      </c>
      <c r="J1440" t="inlineStr">
        <is>
          <t>NO</t>
        </is>
      </c>
      <c r="K1440" t="inlineStr">
        <is>
          <t>2026-02-26 00:15</t>
        </is>
      </c>
      <c r="L1440" t="inlineStr">
        <is>
          <t>CHECK_VENDOR</t>
        </is>
      </c>
      <c r="M1440" t="inlineStr">
        <is>
          <t>See CVE details</t>
        </is>
      </c>
      <c r="N1440" t="inlineStr">
        <is>
          <t>P4</t>
        </is>
      </c>
      <c r="O1440" t="inlineStr">
        <is>
          <t>CVE - IP enrichment n/a</t>
        </is>
      </c>
      <c r="P1440" t="n">
        <v>0</v>
      </c>
      <c r="Q1440" t="n">
        <v>0</v>
      </c>
      <c r="R1440" t="inlineStr">
        <is>
          <t>T1059:Command and Scripting Interpreter</t>
        </is>
      </c>
      <c r="S1440" t="n">
        <v>1</v>
      </c>
      <c r="T1440" t="inlineStr">
        <is>
          <t>LOW (40%)</t>
        </is>
      </c>
      <c r="U1440" t="inlineStr">
        <is>
          <t>UNLIKELY</t>
        </is>
      </c>
      <c r="V1440" t="inlineStr">
        <is>
          <t>CHECK_VENDOR</t>
        </is>
      </c>
      <c r="W1440" t="inlineStr">
        <is>
          <t>https://nvd.nist.gov/vuln/detail/CVE-2026-27849</t>
        </is>
      </c>
      <c r="X1440" t="inlineStr">
        <is>
          <t>NONE</t>
        </is>
      </c>
      <c r="Y1440" t="n">
        <v>0</v>
      </c>
      <c r="Z1440" t="inlineStr"/>
      <c r="AA1440" t="inlineStr">
        <is>
          <t>https://nvd.nist.gov/vuln/detail/CVE-2026-27849</t>
        </is>
      </c>
    </row>
    <row r="1441">
      <c r="A1441" t="inlineStr">
        <is>
          <t>CVE</t>
        </is>
      </c>
      <c r="B1441" t="inlineStr">
        <is>
          <t>CVE-2026-3189</t>
        </is>
      </c>
      <c r="C1441" t="inlineStr">
        <is>
          <t>A weakness has been identified in feiyuchuixue sz-boot-parent up to 1.3.2-beta. This vulnerability affects unknown code of the file /api/admin/common/files/download. Executing a manipulation of the argument url can lead to server-side request forgery. The attack can be executed remotely. Attacks of this nature are highly complex. It is stated that the exploitability is difficult. Upgrading to version 1.3.3-beta is able to resolve this issue. This patch is called aefaabfd7527188bfba3c8c9eee17c316</t>
        </is>
      </c>
      <c r="D1441" t="n">
        <v>3.1</v>
      </c>
      <c r="E1441" t="inlineStr">
        <is>
          <t>LOW</t>
        </is>
      </c>
      <c r="F1441" t="n">
        <v>2</v>
      </c>
      <c r="G1441" t="n">
        <v>1</v>
      </c>
      <c r="H1441" t="inlineStr">
        <is>
          <t>LOW</t>
        </is>
      </c>
      <c r="I1441" t="n">
        <v>5.1</v>
      </c>
      <c r="J1441" t="inlineStr">
        <is>
          <t>NO</t>
        </is>
      </c>
      <c r="K1441" t="inlineStr">
        <is>
          <t>2026-02-26 00:15</t>
        </is>
      </c>
      <c r="L1441" t="inlineStr">
        <is>
          <t>CHECK_VENDOR</t>
        </is>
      </c>
      <c r="M1441" t="inlineStr">
        <is>
          <t>See CVE details</t>
        </is>
      </c>
      <c r="N1441" t="inlineStr">
        <is>
          <t>P4</t>
        </is>
      </c>
      <c r="O1441" t="inlineStr">
        <is>
          <t>CVE - IP enrichment n/a</t>
        </is>
      </c>
      <c r="P1441" t="n">
        <v>0</v>
      </c>
      <c r="Q1441" t="n">
        <v>0</v>
      </c>
      <c r="R1441" t="inlineStr">
        <is>
          <t>T1090:Proxy</t>
        </is>
      </c>
      <c r="S1441" t="n">
        <v>1</v>
      </c>
      <c r="T1441" t="inlineStr">
        <is>
          <t>LOW (40%)</t>
        </is>
      </c>
      <c r="U1441" t="inlineStr">
        <is>
          <t>UNLIKELY</t>
        </is>
      </c>
      <c r="V1441" t="inlineStr">
        <is>
          <t>CHECK_VENDOR</t>
        </is>
      </c>
      <c r="W1441" t="inlineStr">
        <is>
          <t>https://nvd.nist.gov/vuln/detail/CVE-2026-3189</t>
        </is>
      </c>
      <c r="X1441" t="inlineStr">
        <is>
          <t>NONE</t>
        </is>
      </c>
      <c r="Y1441" t="n">
        <v>0</v>
      </c>
      <c r="Z1441" t="inlineStr"/>
      <c r="AA1441" t="inlineStr">
        <is>
          <t>https://nvd.nist.gov/vuln/detail/CVE-2026-3189</t>
        </is>
      </c>
    </row>
    <row r="1442">
      <c r="A1442" t="inlineStr">
        <is>
          <t>CVE</t>
        </is>
      </c>
      <c r="B1442" t="inlineStr">
        <is>
          <t>CVE-2026-3192</t>
        </is>
      </c>
      <c r="C1442" t="inlineStr">
        <is>
          <t xml:space="preserve">A security vulnerability has been detected in Chia Blockchain 2.1.0. This issue affects the function _authenticate of the file rpc_server_base.py of the component RPC Credential Handler. The manipulation leads to improper authentication. The attack is possible to be carried out remotely. The attack is considered to have high complexity. The exploitability is assessed as difficult. The exploit has been disclosed publicly and may be used. The vendor was informed early via email. A separate report </t>
        </is>
      </c>
      <c r="D1442" t="n">
        <v>5.6</v>
      </c>
      <c r="E1442" t="inlineStr">
        <is>
          <t>MEDIUM</t>
        </is>
      </c>
      <c r="F1442" t="n">
        <v>2</v>
      </c>
      <c r="G1442" t="n">
        <v>2</v>
      </c>
      <c r="H1442" t="inlineStr">
        <is>
          <t>MEDIUM</t>
        </is>
      </c>
      <c r="I1442" t="n">
        <v>9.6</v>
      </c>
      <c r="J1442" t="inlineStr">
        <is>
          <t>NO</t>
        </is>
      </c>
      <c r="K1442" t="inlineStr">
        <is>
          <t>2026-02-26 00:15</t>
        </is>
      </c>
      <c r="L1442" t="inlineStr">
        <is>
          <t>CHECK_VENDOR</t>
        </is>
      </c>
      <c r="M1442" t="inlineStr">
        <is>
          <t>See CVE details</t>
        </is>
      </c>
      <c r="N1442" t="inlineStr">
        <is>
          <t>P4</t>
        </is>
      </c>
      <c r="O1442" t="inlineStr">
        <is>
          <t>CVE - IP enrichment n/a</t>
        </is>
      </c>
      <c r="P1442" t="n">
        <v>0</v>
      </c>
      <c r="Q1442" t="n">
        <v>0</v>
      </c>
      <c r="R1442" t="inlineStr">
        <is>
          <t>T1078:Valid Accounts | T1110:Brute Force | T1552:Unsecured Credentials</t>
        </is>
      </c>
      <c r="S1442" t="n">
        <v>1</v>
      </c>
      <c r="T1442" t="inlineStr">
        <is>
          <t>LOW (40%)</t>
        </is>
      </c>
      <c r="U1442" t="inlineStr">
        <is>
          <t>UNLIKELY</t>
        </is>
      </c>
      <c r="V1442" t="inlineStr">
        <is>
          <t>CHECK_VENDOR</t>
        </is>
      </c>
      <c r="W1442" t="inlineStr">
        <is>
          <t>https://nvd.nist.gov/vuln/detail/CVE-2026-3192</t>
        </is>
      </c>
      <c r="X1442" t="inlineStr">
        <is>
          <t>NONE</t>
        </is>
      </c>
      <c r="Y1442" t="n">
        <v>0</v>
      </c>
      <c r="Z1442" t="inlineStr"/>
      <c r="AA1442" t="inlineStr">
        <is>
          <t>https://nvd.nist.gov/vuln/detail/CVE-2026-3192</t>
        </is>
      </c>
    </row>
    <row r="1443">
      <c r="A1443" t="inlineStr">
        <is>
          <t>CVE</t>
        </is>
      </c>
      <c r="B1443" t="inlineStr">
        <is>
          <t>CVE-2026-3193</t>
        </is>
      </c>
      <c r="C1443" t="inlineStr">
        <is>
          <t xml:space="preserve">A vulnerability was detected in Chia Blockchain 2.1.0. Impacted is an unknown function of the file /send_transaction. The manipulation results in cross-site request forgery. The attack may be performed from remote. The attack requires a high level of complexity. The exploitability is considered difficult. The exploit is now public and may be used. The vendor was informed early via email. A separate report via bugbounty was rejected with the reason "This is by design. The user is responsible for </t>
        </is>
      </c>
      <c r="D1443" t="n">
        <v>3.1</v>
      </c>
      <c r="E1443" t="inlineStr">
        <is>
          <t>LOW</t>
        </is>
      </c>
      <c r="F1443" t="n">
        <v>2</v>
      </c>
      <c r="G1443" t="n">
        <v>1</v>
      </c>
      <c r="H1443" t="inlineStr">
        <is>
          <t>LOW</t>
        </is>
      </c>
      <c r="I1443" t="n">
        <v>5.1</v>
      </c>
      <c r="J1443" t="inlineStr">
        <is>
          <t>NO</t>
        </is>
      </c>
      <c r="K1443" t="inlineStr">
        <is>
          <t>2026-02-26 00:15</t>
        </is>
      </c>
      <c r="L1443" t="inlineStr">
        <is>
          <t>CHECK_VENDOR</t>
        </is>
      </c>
      <c r="M1443" t="inlineStr">
        <is>
          <t>See CVE details</t>
        </is>
      </c>
      <c r="N1443" t="inlineStr">
        <is>
          <t>P4</t>
        </is>
      </c>
      <c r="O1443" t="inlineStr">
        <is>
          <t>CVE - IP enrichment n/a</t>
        </is>
      </c>
      <c r="P1443" t="n">
        <v>0</v>
      </c>
      <c r="Q1443" t="n">
        <v>0</v>
      </c>
      <c r="R1443" t="inlineStr">
        <is>
          <t>T1185:Browser Session Hijacking</t>
        </is>
      </c>
      <c r="S1443" t="n">
        <v>1</v>
      </c>
      <c r="T1443" t="inlineStr">
        <is>
          <t>LOW (40%)</t>
        </is>
      </c>
      <c r="U1443" t="inlineStr">
        <is>
          <t>UNLIKELY</t>
        </is>
      </c>
      <c r="V1443" t="inlineStr">
        <is>
          <t>CHECK_VENDOR</t>
        </is>
      </c>
      <c r="W1443" t="inlineStr">
        <is>
          <t>https://nvd.nist.gov/vuln/detail/CVE-2026-3193</t>
        </is>
      </c>
      <c r="X1443" t="inlineStr">
        <is>
          <t>NONE</t>
        </is>
      </c>
      <c r="Y1443" t="n">
        <v>0</v>
      </c>
      <c r="Z1443" t="inlineStr"/>
      <c r="AA1443" t="inlineStr">
        <is>
          <t>https://nvd.nist.gov/vuln/detail/CVE-2026-3193</t>
        </is>
      </c>
    </row>
    <row r="1444">
      <c r="A1444" t="inlineStr">
        <is>
          <t>CVE</t>
        </is>
      </c>
      <c r="B1444" t="inlineStr">
        <is>
          <t>CVE-2026-21902</t>
        </is>
      </c>
      <c r="C1444" t="inlineStr">
        <is>
          <t>An Incorrect Permission Assignment for Critical Resource vulnerability in the On-Box Anomaly detection framework of Juniper Networks Junos OS Evolved on PTX Series allows an unauthenticated, network-based attacker to execute code as root.
The On-Box Anomaly detection framework should only be reachable by other internal processes over the internal routing instance, but not over an externally exposed port. With the ability to access and manipulate the service to execute code as root a remote atta</t>
        </is>
      </c>
      <c r="D1444" t="n">
        <v>9.800000000000001</v>
      </c>
      <c r="E1444" t="inlineStr">
        <is>
          <t>CRITICAL</t>
        </is>
      </c>
      <c r="F1444" t="n">
        <v>2</v>
      </c>
      <c r="G1444" t="n">
        <v>3</v>
      </c>
      <c r="H1444" t="inlineStr">
        <is>
          <t>HIGH</t>
        </is>
      </c>
      <c r="I1444" t="n">
        <v>15.8</v>
      </c>
      <c r="J1444" t="inlineStr">
        <is>
          <t>NO</t>
        </is>
      </c>
      <c r="K1444" t="inlineStr">
        <is>
          <t>2026-02-26 00:15</t>
        </is>
      </c>
      <c r="L1444" t="inlineStr">
        <is>
          <t>CHECK_VENDOR</t>
        </is>
      </c>
      <c r="M1444" t="inlineStr">
        <is>
          <t>See CVE details</t>
        </is>
      </c>
      <c r="N1444" t="inlineStr">
        <is>
          <t>P3</t>
        </is>
      </c>
      <c r="O1444" t="inlineStr">
        <is>
          <t>CVE - IP enrichment n/a</t>
        </is>
      </c>
      <c r="P1444" t="n">
        <v>0</v>
      </c>
      <c r="Q1444" t="n">
        <v>0</v>
      </c>
      <c r="R1444" t="inlineStr">
        <is>
          <t>T1190:Exploit Public-Facing Application</t>
        </is>
      </c>
      <c r="S1444" t="n">
        <v>1</v>
      </c>
      <c r="T1444" t="inlineStr">
        <is>
          <t>LOW (40%)</t>
        </is>
      </c>
      <c r="U1444" t="inlineStr">
        <is>
          <t>UNLIKELY</t>
        </is>
      </c>
      <c r="V1444" t="inlineStr">
        <is>
          <t>CHECK_VENDOR</t>
        </is>
      </c>
      <c r="W1444" t="inlineStr">
        <is>
          <t>https://nvd.nist.gov/vuln/detail/CVE-2026-21902</t>
        </is>
      </c>
      <c r="X1444" t="inlineStr">
        <is>
          <t>NONE</t>
        </is>
      </c>
      <c r="Y1444" t="n">
        <v>0</v>
      </c>
      <c r="Z1444" t="inlineStr"/>
      <c r="AA1444" t="inlineStr">
        <is>
          <t>https://nvd.nist.gov/vuln/detail/CVE-2026-21902</t>
        </is>
      </c>
    </row>
    <row r="1445">
      <c r="A1445" t="inlineStr">
        <is>
          <t>CVE</t>
        </is>
      </c>
      <c r="B1445" t="inlineStr">
        <is>
          <t>CVE-2026-25554</t>
        </is>
      </c>
      <c r="C1445" t="inlineStr">
        <is>
          <t xml:space="preserve">OpenSIPS versions 3.1 before 3.6.4 containing the auth_jwt module (prior to commit 3822d33) contain a SQL injection vulnerability in the jwt_db_authorize() function in modules/auth_jwt/authorize.c when db_mode is enabled and a SQL database backend is used. The function extracts the tag claim from a JWT without prior signature verification and incorporates the unescaped value directly into a SQL query. An attacker can supply a crafted JWT with a malicious tag claim to manipulate the query result </t>
        </is>
      </c>
      <c r="D1445" t="n">
        <v>5</v>
      </c>
      <c r="E1445" t="inlineStr">
        <is>
          <t>MEDIUM</t>
        </is>
      </c>
      <c r="F1445" t="n">
        <v>2</v>
      </c>
      <c r="G1445" t="n">
        <v>2</v>
      </c>
      <c r="H1445" t="inlineStr">
        <is>
          <t>MEDIUM</t>
        </is>
      </c>
      <c r="I1445" t="n">
        <v>9</v>
      </c>
      <c r="J1445" t="inlineStr">
        <is>
          <t>NO</t>
        </is>
      </c>
      <c r="K1445" t="inlineStr">
        <is>
          <t>2026-02-26 00:15</t>
        </is>
      </c>
      <c r="L1445" t="inlineStr">
        <is>
          <t>CHECK_VENDOR</t>
        </is>
      </c>
      <c r="M1445" t="inlineStr">
        <is>
          <t>See CVE details</t>
        </is>
      </c>
      <c r="N1445" t="inlineStr">
        <is>
          <t>P4</t>
        </is>
      </c>
      <c r="O1445" t="inlineStr">
        <is>
          <t>CVE - IP enrichment n/a</t>
        </is>
      </c>
      <c r="P1445" t="n">
        <v>0</v>
      </c>
      <c r="Q1445" t="n">
        <v>0</v>
      </c>
      <c r="R1445" t="inlineStr">
        <is>
          <t>T1190:Exploit Public-Facing Application</t>
        </is>
      </c>
      <c r="S1445" t="n">
        <v>1</v>
      </c>
      <c r="T1445" t="inlineStr">
        <is>
          <t>LOW (40%)</t>
        </is>
      </c>
      <c r="U1445" t="inlineStr">
        <is>
          <t>UNLIKELY</t>
        </is>
      </c>
      <c r="V1445" t="inlineStr">
        <is>
          <t>CHECK_VENDOR</t>
        </is>
      </c>
      <c r="W1445" t="inlineStr">
        <is>
          <t>https://nvd.nist.gov/vuln/detail/CVE-2026-25554</t>
        </is>
      </c>
      <c r="X1445" t="inlineStr">
        <is>
          <t>NONE</t>
        </is>
      </c>
      <c r="Y1445" t="n">
        <v>0</v>
      </c>
      <c r="Z1445" t="inlineStr"/>
      <c r="AA1445" t="inlineStr">
        <is>
          <t>https://nvd.nist.gov/vuln/detail/CVE-2026-25554</t>
        </is>
      </c>
    </row>
    <row r="1446">
      <c r="A1446" t="inlineStr">
        <is>
          <t>CVE</t>
        </is>
      </c>
      <c r="B1446" t="inlineStr">
        <is>
          <t>CVE-2026-27739</t>
        </is>
      </c>
      <c r="C1446" t="inlineStr">
        <is>
          <t>The Angular SSR is a server-rise rendering tool for Angular applications. Versions prior to 21.2.0-rc.1, 21.1.5, 20.3.17, and 19.2.21 have a Server-Side Request Forgery (SSRF) vulnerability in the Angular SSR request handling pipeline. The vulnerability exists because Angular’s internal URL reconstruction logic directly trusts and consumes user-controlled HTTP headers specifically the Host and `X-Forwarded-*` family to determine the application's base origin without any validation of the destina</t>
        </is>
      </c>
      <c r="D1446" t="n">
        <v>8.5</v>
      </c>
      <c r="E1446" t="inlineStr">
        <is>
          <t>HIGH</t>
        </is>
      </c>
      <c r="F1446" t="n">
        <v>2</v>
      </c>
      <c r="G1446" t="n">
        <v>3</v>
      </c>
      <c r="H1446" t="inlineStr">
        <is>
          <t>HIGH</t>
        </is>
      </c>
      <c r="I1446" t="n">
        <v>14.5</v>
      </c>
      <c r="J1446" t="inlineStr">
        <is>
          <t>NO</t>
        </is>
      </c>
      <c r="K1446" t="inlineStr">
        <is>
          <t>2026-02-26 00:15</t>
        </is>
      </c>
      <c r="L1446" t="inlineStr">
        <is>
          <t>CHECK_VENDOR</t>
        </is>
      </c>
      <c r="M1446" t="inlineStr">
        <is>
          <t>See CVE details</t>
        </is>
      </c>
      <c r="N1446" t="inlineStr">
        <is>
          <t>P3</t>
        </is>
      </c>
      <c r="O1446" t="inlineStr">
        <is>
          <t>CVE - IP enrichment n/a</t>
        </is>
      </c>
      <c r="P1446" t="n">
        <v>0</v>
      </c>
      <c r="Q1446" t="n">
        <v>0</v>
      </c>
      <c r="R1446" t="inlineStr">
        <is>
          <t>T1090:Proxy | T1190:Exploit Public-Facing Application | T1552:Unsecured Credentials</t>
        </is>
      </c>
      <c r="S1446" t="n">
        <v>1</v>
      </c>
      <c r="T1446" t="inlineStr">
        <is>
          <t>LOW (40%)</t>
        </is>
      </c>
      <c r="U1446" t="inlineStr">
        <is>
          <t>UNLIKELY</t>
        </is>
      </c>
      <c r="V1446" t="inlineStr">
        <is>
          <t>CHECK_VENDOR</t>
        </is>
      </c>
      <c r="W1446" t="inlineStr">
        <is>
          <t>https://nvd.nist.gov/vuln/detail/CVE-2026-27739</t>
        </is>
      </c>
      <c r="X1446" t="inlineStr">
        <is>
          <t>NONE</t>
        </is>
      </c>
      <c r="Y1446" t="n">
        <v>0</v>
      </c>
      <c r="Z1446" t="inlineStr"/>
      <c r="AA1446" t="inlineStr">
        <is>
          <t>https://nvd.nist.gov/vuln/detail/CVE-2026-27739</t>
        </is>
      </c>
    </row>
    <row r="1447">
      <c r="A1447" t="inlineStr">
        <is>
          <t>CVE</t>
        </is>
      </c>
      <c r="B1447" t="inlineStr">
        <is>
          <t>CVE-2026-27794</t>
        </is>
      </c>
      <c r="C1447" t="inlineStr">
        <is>
          <t>LangGraph Checkpoint defines the base interface for LangGraph checkpointers. Prior to version 4.0.0, a Remote Code Execution vulnerability exists in LangGraph's caching layer when applications enable cache backends that inherit from `BaseCache` and opt nodes into caching via `CachePolicy`. Prior to `langgraph-checkpoint` 4.0.0, `BaseCache` defaults to `JsonPlusSerializer(pickle_fallback=True)`. When msgpack serialization fails, cached values can be deserialized via `pickle.loads(...)`. Caching i</t>
        </is>
      </c>
      <c r="D1447" t="n">
        <v>6.6</v>
      </c>
      <c r="E1447" t="inlineStr">
        <is>
          <t>MEDIUM</t>
        </is>
      </c>
      <c r="F1447" t="n">
        <v>2</v>
      </c>
      <c r="G1447" t="n">
        <v>2</v>
      </c>
      <c r="H1447" t="inlineStr">
        <is>
          <t>MEDIUM</t>
        </is>
      </c>
      <c r="I1447" t="n">
        <v>10.6</v>
      </c>
      <c r="J1447" t="inlineStr">
        <is>
          <t>NO</t>
        </is>
      </c>
      <c r="K1447" t="inlineStr">
        <is>
          <t>2026-02-26 00:15</t>
        </is>
      </c>
      <c r="L1447" t="inlineStr">
        <is>
          <t>CHECK_VENDOR</t>
        </is>
      </c>
      <c r="M1447" t="inlineStr">
        <is>
          <t>See CVE details</t>
        </is>
      </c>
      <c r="N1447" t="inlineStr">
        <is>
          <t>P4</t>
        </is>
      </c>
      <c r="O1447" t="inlineStr">
        <is>
          <t>CVE - IP enrichment n/a</t>
        </is>
      </c>
      <c r="P1447" t="n">
        <v>0</v>
      </c>
      <c r="Q1447" t="n">
        <v>0</v>
      </c>
      <c r="R1447" t="inlineStr">
        <is>
          <t>T1059:Command and Scripting Interpreter | T1190:Exploit Public-Facing Application | T1210:Exploitation of Remote Services</t>
        </is>
      </c>
      <c r="S1447" t="n">
        <v>1</v>
      </c>
      <c r="T1447" t="inlineStr">
        <is>
          <t>LOW (40%)</t>
        </is>
      </c>
      <c r="U1447" t="inlineStr">
        <is>
          <t>UNLIKELY</t>
        </is>
      </c>
      <c r="V1447" t="inlineStr">
        <is>
          <t>CHECK_VENDOR</t>
        </is>
      </c>
      <c r="W1447" t="inlineStr">
        <is>
          <t>https://nvd.nist.gov/vuln/detail/CVE-2026-27794</t>
        </is>
      </c>
      <c r="X1447" t="inlineStr">
        <is>
          <t>NONE</t>
        </is>
      </c>
      <c r="Y1447" t="n">
        <v>0</v>
      </c>
      <c r="Z1447" t="inlineStr"/>
      <c r="AA1447" t="inlineStr">
        <is>
          <t>https://nvd.nist.gov/vuln/detail/CVE-2026-27794</t>
        </is>
      </c>
    </row>
    <row r="1448">
      <c r="A1448" t="inlineStr">
        <is>
          <t>CVE</t>
        </is>
      </c>
      <c r="B1448" t="inlineStr">
        <is>
          <t>CVE-2026-27795</t>
        </is>
      </c>
      <c r="C1448" t="inlineStr">
        <is>
          <t>LangChain is a framework for building LLM-powered applications. Prior to version 1.1.8, a redirect-based Server-Side Request Forgery (SSRF) bypass exists in `RecursiveUrlLoader` in `@langchain/community`. The loader validates the initial URL but allows the underlying fetch to follow redirects automatically, which permits a transition from a safe public URL to an internal or metadata endpoint without revalidation. This is a bypass of the SSRF protections introduced in 1.1.14 (CVE-2026-26019). Use</t>
        </is>
      </c>
      <c r="D1448" t="n">
        <v>4.1</v>
      </c>
      <c r="E1448" t="inlineStr">
        <is>
          <t>MEDIUM</t>
        </is>
      </c>
      <c r="F1448" t="n">
        <v>2</v>
      </c>
      <c r="G1448" t="n">
        <v>2</v>
      </c>
      <c r="H1448" t="inlineStr">
        <is>
          <t>MEDIUM</t>
        </is>
      </c>
      <c r="I1448" t="n">
        <v>8.1</v>
      </c>
      <c r="J1448" t="inlineStr">
        <is>
          <t>NO</t>
        </is>
      </c>
      <c r="K1448" t="inlineStr">
        <is>
          <t>2026-02-26 00:15</t>
        </is>
      </c>
      <c r="L1448" t="inlineStr">
        <is>
          <t>CHECK_VENDOR</t>
        </is>
      </c>
      <c r="M1448" t="inlineStr">
        <is>
          <t>See CVE details</t>
        </is>
      </c>
      <c r="N1448" t="inlineStr">
        <is>
          <t>P4</t>
        </is>
      </c>
      <c r="O1448" t="inlineStr">
        <is>
          <t>CVE - IP enrichment n/a</t>
        </is>
      </c>
      <c r="P1448" t="n">
        <v>0</v>
      </c>
      <c r="Q1448" t="n">
        <v>0</v>
      </c>
      <c r="R1448" t="inlineStr">
        <is>
          <t>T1090:Proxy</t>
        </is>
      </c>
      <c r="S1448" t="n">
        <v>1</v>
      </c>
      <c r="T1448" t="inlineStr">
        <is>
          <t>LOW (40%)</t>
        </is>
      </c>
      <c r="U1448" t="inlineStr">
        <is>
          <t>UNLIKELY</t>
        </is>
      </c>
      <c r="V1448" t="inlineStr">
        <is>
          <t>CHECK_VENDOR</t>
        </is>
      </c>
      <c r="W1448" t="inlineStr">
        <is>
          <t>https://nvd.nist.gov/vuln/detail/CVE-2026-27795</t>
        </is>
      </c>
      <c r="X1448" t="inlineStr">
        <is>
          <t>NONE</t>
        </is>
      </c>
      <c r="Y1448" t="n">
        <v>0</v>
      </c>
      <c r="Z1448" t="inlineStr"/>
      <c r="AA1448" t="inlineStr">
        <is>
          <t>https://nvd.nist.gov/vuln/detail/CVE-2026-27795</t>
        </is>
      </c>
    </row>
    <row r="1449">
      <c r="A1449" t="inlineStr">
        <is>
          <t>CVE</t>
        </is>
      </c>
      <c r="B1449" t="inlineStr">
        <is>
          <t>CVE-2026-27850</t>
        </is>
      </c>
      <c r="C1449" t="inlineStr">
        <is>
          <t>Due to an improperly configured firewall rule, the router will accept any connection on the WAN port with the source port 5222, exposing all services which are normally only accessible through the local network.
This issue affects MR9600: 1.0.4.205530; MX4200: 1.0.13.210200.</t>
        </is>
      </c>
      <c r="D1449" t="n">
        <v>7.5</v>
      </c>
      <c r="E1449" t="inlineStr">
        <is>
          <t>HIGH</t>
        </is>
      </c>
      <c r="F1449" t="n">
        <v>2</v>
      </c>
      <c r="G1449" t="n">
        <v>3</v>
      </c>
      <c r="H1449" t="inlineStr">
        <is>
          <t>HIGH</t>
        </is>
      </c>
      <c r="I1449" t="n">
        <v>13.5</v>
      </c>
      <c r="J1449" t="inlineStr">
        <is>
          <t>NO</t>
        </is>
      </c>
      <c r="K1449" t="inlineStr">
        <is>
          <t>2026-02-26 00:15</t>
        </is>
      </c>
      <c r="L1449" t="inlineStr">
        <is>
          <t>CHECK_VENDOR</t>
        </is>
      </c>
      <c r="M1449" t="inlineStr">
        <is>
          <t>See CVE details</t>
        </is>
      </c>
      <c r="N1449" t="inlineStr">
        <is>
          <t>P3</t>
        </is>
      </c>
      <c r="O1449" t="inlineStr">
        <is>
          <t>CVE - IP enrichment n/a</t>
        </is>
      </c>
      <c r="P1449" t="n">
        <v>0</v>
      </c>
      <c r="Q1449" t="n">
        <v>0</v>
      </c>
      <c r="R1449" t="inlineStr">
        <is>
          <t>T1190:Exploit Public-Facing Application | T1562:Impair Defenses</t>
        </is>
      </c>
      <c r="S1449" t="n">
        <v>1</v>
      </c>
      <c r="T1449" t="inlineStr">
        <is>
          <t>LOW (40%)</t>
        </is>
      </c>
      <c r="U1449" t="inlineStr">
        <is>
          <t>UNLIKELY</t>
        </is>
      </c>
      <c r="V1449" t="inlineStr">
        <is>
          <t>CHECK_VENDOR</t>
        </is>
      </c>
      <c r="W1449" t="inlineStr">
        <is>
          <t>https://nvd.nist.gov/vuln/detail/CVE-2026-27850</t>
        </is>
      </c>
      <c r="X1449" t="inlineStr">
        <is>
          <t>NONE</t>
        </is>
      </c>
      <c r="Y1449" t="n">
        <v>0</v>
      </c>
      <c r="Z1449" t="inlineStr"/>
      <c r="AA1449" t="inlineStr">
        <is>
          <t>https://nvd.nist.gov/vuln/detail/CVE-2026-27850</t>
        </is>
      </c>
    </row>
    <row r="1450">
      <c r="A1450" t="inlineStr">
        <is>
          <t>CVE</t>
        </is>
      </c>
      <c r="B1450" t="inlineStr">
        <is>
          <t>CVE-2026-3194</t>
        </is>
      </c>
      <c r="C1450" t="inlineStr">
        <is>
          <t>A flaw has been found in Chia Blockchain 2.1.0. The affected element is the function send_transaction/get_private_key of the component RPC Server Master Passphrase Handler. This manipulation causes missing authentication. The attack can only be executed locally. The attack's complexity is rated as high. The exploitability is described as difficult. The exploit has been published and may be used. The vendor was informed early via email. A separate report via bugbounty was rejected with the reason</t>
        </is>
      </c>
      <c r="D1450" t="n">
        <v>4.5</v>
      </c>
      <c r="E1450" t="inlineStr">
        <is>
          <t>MEDIUM</t>
        </is>
      </c>
      <c r="F1450" t="n">
        <v>2</v>
      </c>
      <c r="G1450" t="n">
        <v>2</v>
      </c>
      <c r="H1450" t="inlineStr">
        <is>
          <t>MEDIUM</t>
        </is>
      </c>
      <c r="I1450" t="n">
        <v>8.5</v>
      </c>
      <c r="J1450" t="inlineStr">
        <is>
          <t>NO</t>
        </is>
      </c>
      <c r="K1450" t="inlineStr">
        <is>
          <t>2026-02-26 00:15</t>
        </is>
      </c>
      <c r="L1450" t="inlineStr">
        <is>
          <t>CHECK_VENDOR</t>
        </is>
      </c>
      <c r="M1450" t="inlineStr">
        <is>
          <t>See CVE details</t>
        </is>
      </c>
      <c r="N1450" t="inlineStr">
        <is>
          <t>P4</t>
        </is>
      </c>
      <c r="O1450" t="inlineStr">
        <is>
          <t>CVE - IP enrichment n/a</t>
        </is>
      </c>
      <c r="P1450" t="n">
        <v>0</v>
      </c>
      <c r="Q1450" t="n">
        <v>0</v>
      </c>
      <c r="R1450" t="inlineStr">
        <is>
          <t>T1078:Valid Accounts | T1110:Brute Force</t>
        </is>
      </c>
      <c r="S1450" t="n">
        <v>1</v>
      </c>
      <c r="T1450" t="inlineStr">
        <is>
          <t>LOW (40%)</t>
        </is>
      </c>
      <c r="U1450" t="inlineStr">
        <is>
          <t>UNLIKELY</t>
        </is>
      </c>
      <c r="V1450" t="inlineStr">
        <is>
          <t>CHECK_VENDOR</t>
        </is>
      </c>
      <c r="W1450" t="inlineStr">
        <is>
          <t>https://nvd.nist.gov/vuln/detail/CVE-2026-3194</t>
        </is>
      </c>
      <c r="X1450" t="inlineStr">
        <is>
          <t>NONE</t>
        </is>
      </c>
      <c r="Y1450" t="n">
        <v>0</v>
      </c>
      <c r="Z1450" t="inlineStr"/>
      <c r="AA1450" t="inlineStr">
        <is>
          <t>https://nvd.nist.gov/vuln/detail/CVE-2026-3194</t>
        </is>
      </c>
    </row>
    <row r="1451">
      <c r="A1451" t="inlineStr">
        <is>
          <t>CVE</t>
        </is>
      </c>
      <c r="B1451" t="inlineStr">
        <is>
          <t>CVE-2026-23627</t>
        </is>
      </c>
      <c r="C1451" t="inlineStr">
        <is>
          <t>OpenEMR is a free and open source electronic health records and medical practice management application. Prior to version 8.0.0, an SQL injection vulnerability in the Immunization module allows any authenticated user to execute arbitrary SQL queries, leading to complete database compromise, PHI exfiltration, credential theft, and potential remote code execution. The vulnerability exists because user-supplied `patient_id` values are directly concatenated into SQL WHERE clauses without parameteriz</t>
        </is>
      </c>
      <c r="D1451" t="n">
        <v>8.5</v>
      </c>
      <c r="E1451" t="inlineStr">
        <is>
          <t>HIGH</t>
        </is>
      </c>
      <c r="F1451" t="n">
        <v>2</v>
      </c>
      <c r="G1451" t="n">
        <v>3</v>
      </c>
      <c r="H1451" t="inlineStr">
        <is>
          <t>HIGH</t>
        </is>
      </c>
      <c r="I1451" t="n">
        <v>14.5</v>
      </c>
      <c r="J1451" t="inlineStr">
        <is>
          <t>NO</t>
        </is>
      </c>
      <c r="K1451" t="inlineStr">
        <is>
          <t>2026-02-26 00:15</t>
        </is>
      </c>
      <c r="L1451" t="inlineStr">
        <is>
          <t>CHECK_VENDOR</t>
        </is>
      </c>
      <c r="M1451" t="inlineStr">
        <is>
          <t>See CVE details</t>
        </is>
      </c>
      <c r="N1451" t="inlineStr">
        <is>
          <t>P3</t>
        </is>
      </c>
      <c r="O1451" t="inlineStr">
        <is>
          <t>CVE - IP enrichment n/a</t>
        </is>
      </c>
      <c r="P1451" t="n">
        <v>0</v>
      </c>
      <c r="Q1451" t="n">
        <v>0</v>
      </c>
      <c r="R1451" t="inlineStr">
        <is>
          <t>T1190:Exploit Public-Facing Application | T1210:Exploitation of Remote Services | T1552:Unsecured Credentials</t>
        </is>
      </c>
      <c r="S1451" t="n">
        <v>1</v>
      </c>
      <c r="T1451" t="inlineStr">
        <is>
          <t>LOW (40%)</t>
        </is>
      </c>
      <c r="U1451" t="inlineStr">
        <is>
          <t>UNLIKELY</t>
        </is>
      </c>
      <c r="V1451" t="inlineStr">
        <is>
          <t>CHECK_VENDOR</t>
        </is>
      </c>
      <c r="W1451" t="inlineStr">
        <is>
          <t>https://nvd.nist.gov/vuln/detail/CVE-2026-23627</t>
        </is>
      </c>
      <c r="X1451" t="inlineStr">
        <is>
          <t>NONE</t>
        </is>
      </c>
      <c r="Y1451" t="n">
        <v>0</v>
      </c>
      <c r="Z1451" t="inlineStr"/>
      <c r="AA1451" t="inlineStr">
        <is>
          <t>https://nvd.nist.gov/vuln/detail/CVE-2026-23627</t>
        </is>
      </c>
    </row>
    <row r="1452">
      <c r="A1452" t="inlineStr">
        <is>
          <t>CVE</t>
        </is>
      </c>
      <c r="B1452" t="inlineStr">
        <is>
          <t>CVE-2026-24005</t>
        </is>
      </c>
      <c r="C1452" t="inlineStr">
        <is>
          <t xml:space="preserve">Kruise provides automated management of large-scale applications on Kubernetes. Prior to versions 1.8.3 and 1.7.5, PodProbeMarker allows defining custom probes with TCPSocket or HTTPGet handlers. The webhook validation does not restrict the Host field in these probe configurations. Since kruise-daemon runs with hostNetwork=true, it executes probes from the node network namespace. An attacker with PodProbeMarker creation permission can specify arbitrary Host values to trigger SSRF from the node, </t>
        </is>
      </c>
      <c r="D1452" t="n">
        <v>0</v>
      </c>
      <c r="E1452" t="inlineStr">
        <is>
          <t>NONE</t>
        </is>
      </c>
      <c r="F1452" t="n">
        <v>2</v>
      </c>
      <c r="G1452" t="n">
        <v>1</v>
      </c>
      <c r="H1452" t="inlineStr">
        <is>
          <t>LOW</t>
        </is>
      </c>
      <c r="I1452" t="n">
        <v>2</v>
      </c>
      <c r="J1452" t="inlineStr">
        <is>
          <t>NO</t>
        </is>
      </c>
      <c r="K1452" t="inlineStr">
        <is>
          <t>2026-02-26 00:15</t>
        </is>
      </c>
      <c r="L1452" t="inlineStr">
        <is>
          <t>CHECK_VENDOR</t>
        </is>
      </c>
      <c r="M1452" t="inlineStr">
        <is>
          <t>See CVE details</t>
        </is>
      </c>
      <c r="N1452" t="inlineStr">
        <is>
          <t>P4</t>
        </is>
      </c>
      <c r="O1452" t="inlineStr">
        <is>
          <t>CVE - IP enrichment n/a</t>
        </is>
      </c>
      <c r="P1452" t="n">
        <v>0</v>
      </c>
      <c r="Q1452" t="n">
        <v>0</v>
      </c>
      <c r="R1452" t="inlineStr">
        <is>
          <t>T1090:Proxy</t>
        </is>
      </c>
      <c r="S1452" t="n">
        <v>1</v>
      </c>
      <c r="T1452" t="inlineStr">
        <is>
          <t>LOW (40%)</t>
        </is>
      </c>
      <c r="U1452" t="inlineStr">
        <is>
          <t>UNLIKELY</t>
        </is>
      </c>
      <c r="V1452" t="inlineStr">
        <is>
          <t>CHECK_VENDOR</t>
        </is>
      </c>
      <c r="W1452" t="inlineStr">
        <is>
          <t>https://nvd.nist.gov/vuln/detail/CVE-2026-24005</t>
        </is>
      </c>
      <c r="X1452" t="inlineStr">
        <is>
          <t>NONE</t>
        </is>
      </c>
      <c r="Y1452" t="n">
        <v>0</v>
      </c>
      <c r="Z1452" t="inlineStr"/>
      <c r="AA1452" t="inlineStr">
        <is>
          <t>https://nvd.nist.gov/vuln/detail/CVE-2026-24005</t>
        </is>
      </c>
    </row>
    <row r="1453">
      <c r="A1453" t="inlineStr">
        <is>
          <t>CVE</t>
        </is>
      </c>
      <c r="B1453" t="inlineStr">
        <is>
          <t>CVE-2026-24487</t>
        </is>
      </c>
      <c r="C1453" t="inlineStr">
        <is>
          <t>OpenEMR is a free and open source electronic health records and medical practice management application. Prior to version 8.0.0, an authorization bypass vulnerability in the FHIR CareTeam resource endpoint allows patient-scoped FHIR tokens to access care team data for all patients instead of being restricted to only the authenticated patient's data. This could potentially lead to unauthorized disclosure of Protected Health Information (PHI), including patient-provider relationships and care team</t>
        </is>
      </c>
      <c r="D1453" t="n">
        <v>8.5</v>
      </c>
      <c r="E1453" t="inlineStr">
        <is>
          <t>HIGH</t>
        </is>
      </c>
      <c r="F1453" t="n">
        <v>2</v>
      </c>
      <c r="G1453" t="n">
        <v>3</v>
      </c>
      <c r="H1453" t="inlineStr">
        <is>
          <t>HIGH</t>
        </is>
      </c>
      <c r="I1453" t="n">
        <v>14.5</v>
      </c>
      <c r="J1453" t="inlineStr">
        <is>
          <t>NO</t>
        </is>
      </c>
      <c r="K1453" t="inlineStr">
        <is>
          <t>2026-02-26 00:15</t>
        </is>
      </c>
      <c r="L1453" t="inlineStr">
        <is>
          <t>CHECK_VENDOR</t>
        </is>
      </c>
      <c r="M1453" t="inlineStr">
        <is>
          <t>See CVE details</t>
        </is>
      </c>
      <c r="N1453" t="inlineStr">
        <is>
          <t>P3</t>
        </is>
      </c>
      <c r="O1453" t="inlineStr">
        <is>
          <t>CVE - IP enrichment n/a</t>
        </is>
      </c>
      <c r="P1453" t="n">
        <v>0</v>
      </c>
      <c r="Q1453" t="n">
        <v>0</v>
      </c>
      <c r="R1453" t="inlineStr">
        <is>
          <t>T1213:Data from Information Repositories | T1190:Exploit Public-Facing Application</t>
        </is>
      </c>
      <c r="S1453" t="n">
        <v>1</v>
      </c>
      <c r="T1453" t="inlineStr">
        <is>
          <t>LOW (40%)</t>
        </is>
      </c>
      <c r="U1453" t="inlineStr">
        <is>
          <t>UNLIKELY</t>
        </is>
      </c>
      <c r="V1453" t="inlineStr">
        <is>
          <t>CHECK_VENDOR</t>
        </is>
      </c>
      <c r="W1453" t="inlineStr">
        <is>
          <t>https://nvd.nist.gov/vuln/detail/CVE-2026-24487</t>
        </is>
      </c>
      <c r="X1453" t="inlineStr">
        <is>
          <t>NONE</t>
        </is>
      </c>
      <c r="Y1453" t="n">
        <v>0</v>
      </c>
      <c r="Z1453" t="inlineStr"/>
      <c r="AA1453" t="inlineStr">
        <is>
          <t>https://nvd.nist.gov/vuln/detail/CVE-2026-24487</t>
        </is>
      </c>
    </row>
    <row r="1454">
      <c r="A1454" t="inlineStr">
        <is>
          <t>CVE</t>
        </is>
      </c>
      <c r="B1454" t="inlineStr">
        <is>
          <t>CVE-2026-24890</t>
        </is>
      </c>
      <c r="C1454" t="inlineStr">
        <is>
          <t>OpenEMR is a free and open source electronic health records and medical practice management application. Prior to version 8.0.0, an authorization bypass vulnerability in the patient portal signature endpoint allows authenticated portal users to upload and overwrite provider signatures by setting `type=admin-signature` and specifying any provider user ID. This could potentially lead to signature forgery on medical documents, legal compliance violations, and fraud. The issue occurs when portal use</t>
        </is>
      </c>
      <c r="D1454" t="n">
        <v>8.1</v>
      </c>
      <c r="E1454" t="inlineStr">
        <is>
          <t>HIGH</t>
        </is>
      </c>
      <c r="F1454" t="n">
        <v>2</v>
      </c>
      <c r="G1454" t="n">
        <v>3</v>
      </c>
      <c r="H1454" t="inlineStr">
        <is>
          <t>HIGH</t>
        </is>
      </c>
      <c r="I1454" t="n">
        <v>14.1</v>
      </c>
      <c r="J1454" t="inlineStr">
        <is>
          <t>NO</t>
        </is>
      </c>
      <c r="K1454" t="inlineStr">
        <is>
          <t>2026-02-26 00:15</t>
        </is>
      </c>
      <c r="L1454" t="inlineStr">
        <is>
          <t>CHECK_VENDOR</t>
        </is>
      </c>
      <c r="M1454" t="inlineStr">
        <is>
          <t>See CVE details</t>
        </is>
      </c>
      <c r="N1454" t="inlineStr">
        <is>
          <t>P3</t>
        </is>
      </c>
      <c r="O1454" t="inlineStr">
        <is>
          <t>CVE - IP enrichment n/a</t>
        </is>
      </c>
      <c r="P1454" t="n">
        <v>0</v>
      </c>
      <c r="Q1454" t="n">
        <v>0</v>
      </c>
      <c r="R1454" t="inlineStr">
        <is>
          <t>T1190:Exploit Public-Facing Application</t>
        </is>
      </c>
      <c r="S1454" t="n">
        <v>1</v>
      </c>
      <c r="T1454" t="inlineStr">
        <is>
          <t>LOW (40%)</t>
        </is>
      </c>
      <c r="U1454" t="inlineStr">
        <is>
          <t>UNLIKELY</t>
        </is>
      </c>
      <c r="V1454" t="inlineStr">
        <is>
          <t>CHECK_VENDOR</t>
        </is>
      </c>
      <c r="W1454" t="inlineStr">
        <is>
          <t>https://nvd.nist.gov/vuln/detail/CVE-2026-24890</t>
        </is>
      </c>
      <c r="X1454" t="inlineStr">
        <is>
          <t>NONE</t>
        </is>
      </c>
      <c r="Y1454" t="n">
        <v>0</v>
      </c>
      <c r="Z1454" t="inlineStr"/>
      <c r="AA1454" t="inlineStr">
        <is>
          <t>https://nvd.nist.gov/vuln/detail/CVE-2026-24890</t>
        </is>
      </c>
    </row>
    <row r="1455">
      <c r="A1455" t="inlineStr">
        <is>
          <t>CVE</t>
        </is>
      </c>
      <c r="B1455" t="inlineStr">
        <is>
          <t>CVE-2026-24908</t>
        </is>
      </c>
      <c r="C1455" t="inlineStr">
        <is>
          <t>OpenEMR is a free and open source electronic health records and medical practice management application. Prior to version 8.0.0, an SQL injection vulnerability in the Patient REST API endpoint allows authenticated users with API access to execute arbitrary SQL queries through the `_sort` parameter. This could potentially lead to database access, PHI (Protected Health Information) exposure, and credential compromise. The issue occurs when user-supplied sort field names are used in ORDER BY clause</t>
        </is>
      </c>
      <c r="D1455" t="n">
        <v>9.9</v>
      </c>
      <c r="E1455" t="inlineStr">
        <is>
          <t>CRITICAL</t>
        </is>
      </c>
      <c r="F1455" t="n">
        <v>2</v>
      </c>
      <c r="G1455" t="n">
        <v>3</v>
      </c>
      <c r="H1455" t="inlineStr">
        <is>
          <t>HIGH</t>
        </is>
      </c>
      <c r="I1455" t="n">
        <v>15.9</v>
      </c>
      <c r="J1455" t="inlineStr">
        <is>
          <t>NO</t>
        </is>
      </c>
      <c r="K1455" t="inlineStr">
        <is>
          <t>2026-02-26 00:15</t>
        </is>
      </c>
      <c r="L1455" t="inlineStr">
        <is>
          <t>CHECK_VENDOR</t>
        </is>
      </c>
      <c r="M1455" t="inlineStr">
        <is>
          <t>See CVE details</t>
        </is>
      </c>
      <c r="N1455" t="inlineStr">
        <is>
          <t>P3</t>
        </is>
      </c>
      <c r="O1455" t="inlineStr">
        <is>
          <t>CVE - IP enrichment n/a</t>
        </is>
      </c>
      <c r="P1455" t="n">
        <v>0</v>
      </c>
      <c r="Q1455" t="n">
        <v>0</v>
      </c>
      <c r="R1455" t="inlineStr">
        <is>
          <t>T1190:Exploit Public-Facing Application | T1552:Unsecured Credentials</t>
        </is>
      </c>
      <c r="S1455" t="n">
        <v>1</v>
      </c>
      <c r="T1455" t="inlineStr">
        <is>
          <t>LOW (40%)</t>
        </is>
      </c>
      <c r="U1455" t="inlineStr">
        <is>
          <t>UNLIKELY</t>
        </is>
      </c>
      <c r="V1455" t="inlineStr">
        <is>
          <t>CHECK_VENDOR</t>
        </is>
      </c>
      <c r="W1455" t="inlineStr">
        <is>
          <t>https://nvd.nist.gov/vuln/detail/CVE-2026-24908</t>
        </is>
      </c>
      <c r="X1455" t="inlineStr">
        <is>
          <t>NONE</t>
        </is>
      </c>
      <c r="Y1455" t="n">
        <v>0</v>
      </c>
      <c r="Z1455" t="inlineStr"/>
      <c r="AA1455" t="inlineStr">
        <is>
          <t>https://nvd.nist.gov/vuln/detail/CVE-2026-24908</t>
        </is>
      </c>
    </row>
    <row r="1456">
      <c r="A1456" t="inlineStr">
        <is>
          <t>CVE</t>
        </is>
      </c>
      <c r="B1456" t="inlineStr">
        <is>
          <t>CVE-2026-25164</t>
        </is>
      </c>
      <c r="C1456" t="inlineStr">
        <is>
          <t>OpenEMR is a free and open source electronic health records and medical practice management application. Prior to version 8.0.0, the REST API route table in `apis/routes/_rest_routes_standard.inc.php` does not call `RestConfig::request_authorization_check()` for the document and insurance routes. Other patient routes in the same file (e.g. encounters, patients/med) call it with the appropriate ACL. As a result, any valid API bearer token can access or modify every patient's documents and insuran</t>
        </is>
      </c>
      <c r="D1456" t="n">
        <v>8.1</v>
      </c>
      <c r="E1456" t="inlineStr">
        <is>
          <t>HIGH</t>
        </is>
      </c>
      <c r="F1456" t="n">
        <v>2</v>
      </c>
      <c r="G1456" t="n">
        <v>3</v>
      </c>
      <c r="H1456" t="inlineStr">
        <is>
          <t>HIGH</t>
        </is>
      </c>
      <c r="I1456" t="n">
        <v>14.1</v>
      </c>
      <c r="J1456" t="inlineStr">
        <is>
          <t>NO</t>
        </is>
      </c>
      <c r="K1456" t="inlineStr">
        <is>
          <t>2026-02-26 00:15</t>
        </is>
      </c>
      <c r="L1456" t="inlineStr">
        <is>
          <t>CHECK_VENDOR</t>
        </is>
      </c>
      <c r="M1456" t="inlineStr">
        <is>
          <t>See CVE details</t>
        </is>
      </c>
      <c r="N1456" t="inlineStr">
        <is>
          <t>P3</t>
        </is>
      </c>
      <c r="O1456" t="inlineStr">
        <is>
          <t>CVE - IP enrichment n/a</t>
        </is>
      </c>
      <c r="P1456" t="n">
        <v>0</v>
      </c>
      <c r="Q1456" t="n">
        <v>0</v>
      </c>
      <c r="R1456" t="inlineStr">
        <is>
          <t>T1190:Exploit Public-Facing Application</t>
        </is>
      </c>
      <c r="S1456" t="n">
        <v>1</v>
      </c>
      <c r="T1456" t="inlineStr">
        <is>
          <t>LOW (40%)</t>
        </is>
      </c>
      <c r="U1456" t="inlineStr">
        <is>
          <t>UNLIKELY</t>
        </is>
      </c>
      <c r="V1456" t="inlineStr">
        <is>
          <t>CHECK_VENDOR</t>
        </is>
      </c>
      <c r="W1456" t="inlineStr">
        <is>
          <t>https://nvd.nist.gov/vuln/detail/CVE-2026-25164</t>
        </is>
      </c>
      <c r="X1456" t="inlineStr">
        <is>
          <t>NONE</t>
        </is>
      </c>
      <c r="Y1456" t="n">
        <v>0</v>
      </c>
      <c r="Z1456" t="inlineStr"/>
      <c r="AA1456" t="inlineStr">
        <is>
          <t>https://nvd.nist.gov/vuln/detail/CVE-2026-25164</t>
        </is>
      </c>
    </row>
    <row r="1457">
      <c r="A1457" t="inlineStr">
        <is>
          <t>CVE</t>
        </is>
      </c>
      <c r="B1457" t="inlineStr">
        <is>
          <t>CVE-2026-25220</t>
        </is>
      </c>
      <c r="C1457" t="inlineStr">
        <is>
          <t xml:space="preserve">OpenEMR is a free and open source electronic health records and medical practice management application. Prior to version 8.0.0, the Message Center accepts the URL parameter `show_all=yes` and passes it to `getPnotesByUser()`, which returns all internal messages (all users’ notes). The backend does not verify that the requesting user is an administrator before honoring `show_all=yes`. The "Show All" link is also visible to non-admin users. As a result, any authenticated user can view the entire </t>
        </is>
      </c>
      <c r="D1457" t="n">
        <v>8.5</v>
      </c>
      <c r="E1457" t="inlineStr">
        <is>
          <t>HIGH</t>
        </is>
      </c>
      <c r="F1457" t="n">
        <v>2</v>
      </c>
      <c r="G1457" t="n">
        <v>3</v>
      </c>
      <c r="H1457" t="inlineStr">
        <is>
          <t>HIGH</t>
        </is>
      </c>
      <c r="I1457" t="n">
        <v>14.5</v>
      </c>
      <c r="J1457" t="inlineStr">
        <is>
          <t>NO</t>
        </is>
      </c>
      <c r="K1457" t="inlineStr">
        <is>
          <t>2026-02-26 00:15</t>
        </is>
      </c>
      <c r="L1457" t="inlineStr">
        <is>
          <t>CHECK_VENDOR</t>
        </is>
      </c>
      <c r="M1457" t="inlineStr">
        <is>
          <t>See CVE details</t>
        </is>
      </c>
      <c r="N1457" t="inlineStr">
        <is>
          <t>P3</t>
        </is>
      </c>
      <c r="O1457" t="inlineStr">
        <is>
          <t>CVE - IP enrichment n/a</t>
        </is>
      </c>
      <c r="P1457" t="n">
        <v>0</v>
      </c>
      <c r="Q1457" t="n">
        <v>0</v>
      </c>
      <c r="R1457" t="inlineStr">
        <is>
          <t>T1190:Exploit Public-Facing Application</t>
        </is>
      </c>
      <c r="S1457" t="n">
        <v>1</v>
      </c>
      <c r="T1457" t="inlineStr">
        <is>
          <t>LOW (40%)</t>
        </is>
      </c>
      <c r="U1457" t="inlineStr">
        <is>
          <t>UNLIKELY</t>
        </is>
      </c>
      <c r="V1457" t="inlineStr">
        <is>
          <t>CHECK_VENDOR</t>
        </is>
      </c>
      <c r="W1457" t="inlineStr">
        <is>
          <t>https://nvd.nist.gov/vuln/detail/CVE-2026-25220</t>
        </is>
      </c>
      <c r="X1457" t="inlineStr">
        <is>
          <t>NONE</t>
        </is>
      </c>
      <c r="Y1457" t="n">
        <v>0</v>
      </c>
      <c r="Z1457" t="inlineStr"/>
      <c r="AA1457" t="inlineStr">
        <is>
          <t>https://nvd.nist.gov/vuln/detail/CVE-2026-25220</t>
        </is>
      </c>
    </row>
    <row r="1458">
      <c r="A1458" t="inlineStr">
        <is>
          <t>CVE</t>
        </is>
      </c>
      <c r="B1458" t="inlineStr">
        <is>
          <t>CVE-2026-25476</t>
        </is>
      </c>
      <c r="C1458" t="inlineStr">
        <is>
          <t xml:space="preserve">OpenEMR is a free and open source electronic health records and medical practice management application. Prior to version 8.0.0, the session expiration check in `library/auth.inc.php` runs only when `skip_timeout_reset` is not present in the request. When `skip_timeout_reset=1` is sent, the entire block that calls `SessionTracker::isSessionExpired()` and forces logout on timeout is skipped. As a result, any request that includes this parameter (e.g. from auto-refresh pages like the Patient Flow </t>
        </is>
      </c>
      <c r="D1458" t="n">
        <v>7.5</v>
      </c>
      <c r="E1458" t="inlineStr">
        <is>
          <t>HIGH</t>
        </is>
      </c>
      <c r="F1458" t="n">
        <v>2</v>
      </c>
      <c r="G1458" t="n">
        <v>3</v>
      </c>
      <c r="H1458" t="inlineStr">
        <is>
          <t>HIGH</t>
        </is>
      </c>
      <c r="I1458" t="n">
        <v>13.5</v>
      </c>
      <c r="J1458" t="inlineStr">
        <is>
          <t>NO</t>
        </is>
      </c>
      <c r="K1458" t="inlineStr">
        <is>
          <t>2026-02-26 00:15</t>
        </is>
      </c>
      <c r="L1458" t="inlineStr">
        <is>
          <t>CHECK_VENDOR</t>
        </is>
      </c>
      <c r="M1458" t="inlineStr">
        <is>
          <t>See CVE details</t>
        </is>
      </c>
      <c r="N1458" t="inlineStr">
        <is>
          <t>P3</t>
        </is>
      </c>
      <c r="O1458" t="inlineStr">
        <is>
          <t>CVE - IP enrichment n/a</t>
        </is>
      </c>
      <c r="P1458" t="n">
        <v>0</v>
      </c>
      <c r="Q1458" t="n">
        <v>0</v>
      </c>
      <c r="R1458" t="inlineStr">
        <is>
          <t>T1190:Exploit Public-Facing Application</t>
        </is>
      </c>
      <c r="S1458" t="n">
        <v>1</v>
      </c>
      <c r="T1458" t="inlineStr">
        <is>
          <t>LOW (40%)</t>
        </is>
      </c>
      <c r="U1458" t="inlineStr">
        <is>
          <t>UNLIKELY</t>
        </is>
      </c>
      <c r="V1458" t="inlineStr">
        <is>
          <t>CHECK_VENDOR</t>
        </is>
      </c>
      <c r="W1458" t="inlineStr">
        <is>
          <t>https://nvd.nist.gov/vuln/detail/CVE-2026-25476</t>
        </is>
      </c>
      <c r="X1458" t="inlineStr">
        <is>
          <t>NONE</t>
        </is>
      </c>
      <c r="Y1458" t="n">
        <v>0</v>
      </c>
      <c r="Z1458" t="inlineStr"/>
      <c r="AA1458" t="inlineStr">
        <is>
          <t>https://nvd.nist.gov/vuln/detail/CVE-2026-25476</t>
        </is>
      </c>
    </row>
    <row r="1459">
      <c r="A1459" t="inlineStr">
        <is>
          <t>CVE</t>
        </is>
      </c>
      <c r="B1459" t="inlineStr">
        <is>
          <t>CVE-2026-25743</t>
        </is>
      </c>
      <c r="C1459" t="inlineStr">
        <is>
          <t>OpenEMR is a free and open source electronic health records and medical practice management application. Prior to version 8.0.0, users with the "Forms administration" role can fill questionnaires ("forms") in patient encounters. The answers to the forms are displayed on the encounter page and in the visit history for the users with the same role. There exists a stored cross-site scripting (XSS) vulnerability in the function to display the form answers, allowing any authenticated attacker with th</t>
        </is>
      </c>
      <c r="D1459" t="n">
        <v>8.5</v>
      </c>
      <c r="E1459" t="inlineStr">
        <is>
          <t>HIGH</t>
        </is>
      </c>
      <c r="F1459" t="n">
        <v>2</v>
      </c>
      <c r="G1459" t="n">
        <v>3</v>
      </c>
      <c r="H1459" t="inlineStr">
        <is>
          <t>HIGH</t>
        </is>
      </c>
      <c r="I1459" t="n">
        <v>14.5</v>
      </c>
      <c r="J1459" t="inlineStr">
        <is>
          <t>NO</t>
        </is>
      </c>
      <c r="K1459" t="inlineStr">
        <is>
          <t>2026-02-26 00:15</t>
        </is>
      </c>
      <c r="L1459" t="inlineStr">
        <is>
          <t>CHECK_VENDOR</t>
        </is>
      </c>
      <c r="M1459" t="inlineStr">
        <is>
          <t>See CVE details</t>
        </is>
      </c>
      <c r="N1459" t="inlineStr">
        <is>
          <t>P3</t>
        </is>
      </c>
      <c r="O1459" t="inlineStr">
        <is>
          <t>CVE - IP enrichment n/a</t>
        </is>
      </c>
      <c r="P1459" t="n">
        <v>0</v>
      </c>
      <c r="Q1459" t="n">
        <v>0</v>
      </c>
      <c r="R1459" t="inlineStr">
        <is>
          <t>T1189:Drive-by Compromise | T1190:Exploit Public-Facing Application</t>
        </is>
      </c>
      <c r="S1459" t="n">
        <v>1</v>
      </c>
      <c r="T1459" t="inlineStr">
        <is>
          <t>LOW (40%)</t>
        </is>
      </c>
      <c r="U1459" t="inlineStr">
        <is>
          <t>UNLIKELY</t>
        </is>
      </c>
      <c r="V1459" t="inlineStr">
        <is>
          <t>CHECK_VENDOR</t>
        </is>
      </c>
      <c r="W1459" t="inlineStr">
        <is>
          <t>https://nvd.nist.gov/vuln/detail/CVE-2026-25743</t>
        </is>
      </c>
      <c r="X1459" t="inlineStr">
        <is>
          <t>NONE</t>
        </is>
      </c>
      <c r="Y1459" t="n">
        <v>0</v>
      </c>
      <c r="Z1459" t="inlineStr"/>
      <c r="AA1459" t="inlineStr">
        <is>
          <t>https://nvd.nist.gov/vuln/detail/CVE-2026-25743</t>
        </is>
      </c>
    </row>
    <row r="1460">
      <c r="A1460" t="inlineStr">
        <is>
          <t>CVE</t>
        </is>
      </c>
      <c r="B1460" t="inlineStr">
        <is>
          <t>CVE-2026-25746</t>
        </is>
      </c>
      <c r="C1460" t="inlineStr">
        <is>
          <t>OpenEMR is a free and open source electronic health records and medical practice management application. Versions prior to 8.0.0 contain a SQL injection vulnerability in prescription that can be exploited by authenticated attackers. The vulnerability exists due to insufficient input validation in the prescription listing functionality. Version 8.0.0 fixes the vulnerability.</t>
        </is>
      </c>
      <c r="D1460" t="n">
        <v>8.800000000000001</v>
      </c>
      <c r="E1460" t="inlineStr">
        <is>
          <t>HIGH</t>
        </is>
      </c>
      <c r="F1460" t="n">
        <v>2</v>
      </c>
      <c r="G1460" t="n">
        <v>3</v>
      </c>
      <c r="H1460" t="inlineStr">
        <is>
          <t>HIGH</t>
        </is>
      </c>
      <c r="I1460" t="n">
        <v>14.8</v>
      </c>
      <c r="J1460" t="inlineStr">
        <is>
          <t>NO</t>
        </is>
      </c>
      <c r="K1460" t="inlineStr">
        <is>
          <t>2026-02-26 00:15</t>
        </is>
      </c>
      <c r="L1460" t="inlineStr">
        <is>
          <t>CHECK_VENDOR</t>
        </is>
      </c>
      <c r="M1460" t="inlineStr">
        <is>
          <t>See CVE details</t>
        </is>
      </c>
      <c r="N1460" t="inlineStr">
        <is>
          <t>P3</t>
        </is>
      </c>
      <c r="O1460" t="inlineStr">
        <is>
          <t>CVE - IP enrichment n/a</t>
        </is>
      </c>
      <c r="P1460" t="n">
        <v>0</v>
      </c>
      <c r="Q1460" t="n">
        <v>0</v>
      </c>
      <c r="R1460" t="inlineStr">
        <is>
          <t>T1190:Exploit Public-Facing Application</t>
        </is>
      </c>
      <c r="S1460" t="n">
        <v>1</v>
      </c>
      <c r="T1460" t="inlineStr">
        <is>
          <t>LOW (40%)</t>
        </is>
      </c>
      <c r="U1460" t="inlineStr">
        <is>
          <t>UNLIKELY</t>
        </is>
      </c>
      <c r="V1460" t="inlineStr">
        <is>
          <t>CHECK_VENDOR</t>
        </is>
      </c>
      <c r="W1460" t="inlineStr">
        <is>
          <t>https://nvd.nist.gov/vuln/detail/CVE-2026-25746</t>
        </is>
      </c>
      <c r="X1460" t="inlineStr">
        <is>
          <t>NONE</t>
        </is>
      </c>
      <c r="Y1460" t="n">
        <v>0</v>
      </c>
      <c r="Z1460" t="inlineStr"/>
      <c r="AA1460" t="inlineStr">
        <is>
          <t>https://nvd.nist.gov/vuln/detail/CVE-2026-25746</t>
        </is>
      </c>
    </row>
    <row r="1461">
      <c r="A1461" t="inlineStr">
        <is>
          <t>CVE</t>
        </is>
      </c>
      <c r="B1461" t="inlineStr">
        <is>
          <t>CVE-2026-25927</t>
        </is>
      </c>
      <c r="C1461" t="inlineStr">
        <is>
          <t>OpenEMR is a free and open source electronic health records and medical practice management application. Prior to version 8.0.0,  the DICOM viewer state API (e.g. upload or state save/load) accepts a document ID (`doc_id`) without verifying that the document belongs to the current user’s authorized patient or encounter. An authenticated user can read or modify DICOM viewer state (e.g. annotations, view settings) for any document by enumerating document IDs. Version 8.0.0 fixes the issue.</t>
        </is>
      </c>
      <c r="D1461" t="n">
        <v>7.1</v>
      </c>
      <c r="E1461" t="inlineStr">
        <is>
          <t>HIGH</t>
        </is>
      </c>
      <c r="F1461" t="n">
        <v>2</v>
      </c>
      <c r="G1461" t="n">
        <v>3</v>
      </c>
      <c r="H1461" t="inlineStr">
        <is>
          <t>HIGH</t>
        </is>
      </c>
      <c r="I1461" t="n">
        <v>13.1</v>
      </c>
      <c r="J1461" t="inlineStr">
        <is>
          <t>NO</t>
        </is>
      </c>
      <c r="K1461" t="inlineStr">
        <is>
          <t>2026-02-26 00:15</t>
        </is>
      </c>
      <c r="L1461" t="inlineStr">
        <is>
          <t>CHECK_VENDOR</t>
        </is>
      </c>
      <c r="M1461" t="inlineStr">
        <is>
          <t>See CVE details</t>
        </is>
      </c>
      <c r="N1461" t="inlineStr">
        <is>
          <t>P3</t>
        </is>
      </c>
      <c r="O1461" t="inlineStr">
        <is>
          <t>CVE - IP enrichment n/a</t>
        </is>
      </c>
      <c r="P1461" t="n">
        <v>0</v>
      </c>
      <c r="Q1461" t="n">
        <v>0</v>
      </c>
      <c r="R1461" t="inlineStr">
        <is>
          <t>T1190:Exploit Public-Facing Application</t>
        </is>
      </c>
      <c r="S1461" t="n">
        <v>1</v>
      </c>
      <c r="T1461" t="inlineStr">
        <is>
          <t>LOW (40%)</t>
        </is>
      </c>
      <c r="U1461" t="inlineStr">
        <is>
          <t>UNLIKELY</t>
        </is>
      </c>
      <c r="V1461" t="inlineStr">
        <is>
          <t>CHECK_VENDOR</t>
        </is>
      </c>
      <c r="W1461" t="inlineStr">
        <is>
          <t>https://nvd.nist.gov/vuln/detail/CVE-2026-25927</t>
        </is>
      </c>
      <c r="X1461" t="inlineStr">
        <is>
          <t>NONE</t>
        </is>
      </c>
      <c r="Y1461" t="n">
        <v>0</v>
      </c>
      <c r="Z1461" t="inlineStr"/>
      <c r="AA1461" t="inlineStr">
        <is>
          <t>https://nvd.nist.gov/vuln/detail/CVE-2026-25927</t>
        </is>
      </c>
    </row>
    <row r="1462">
      <c r="A1462" t="inlineStr">
        <is>
          <t>CVE</t>
        </is>
      </c>
      <c r="B1462" t="inlineStr">
        <is>
          <t>CVE-2026-25929</t>
        </is>
      </c>
      <c r="C1462" t="inlineStr">
        <is>
          <t>OpenEMR is a free and open source electronic health records and medical practice management application. Prior to version 8.0.0, the document controller’s `patient_picture` context serves the patient’s photo by document ID or patient ID without verifying that the current user is authorized to access that patient. An authenticated user with document ACL can supply another patient’s ID and retrieve their photo. Version 8.0.0 fixes the issue.</t>
        </is>
      </c>
      <c r="D1462" t="n">
        <v>6.5</v>
      </c>
      <c r="E1462" t="inlineStr">
        <is>
          <t>MEDIUM</t>
        </is>
      </c>
      <c r="F1462" t="n">
        <v>2</v>
      </c>
      <c r="G1462" t="n">
        <v>2</v>
      </c>
      <c r="H1462" t="inlineStr">
        <is>
          <t>MEDIUM</t>
        </is>
      </c>
      <c r="I1462" t="n">
        <v>10.5</v>
      </c>
      <c r="J1462" t="inlineStr">
        <is>
          <t>NO</t>
        </is>
      </c>
      <c r="K1462" t="inlineStr">
        <is>
          <t>2026-02-26 00:15</t>
        </is>
      </c>
      <c r="L1462" t="inlineStr">
        <is>
          <t>CHECK_VENDOR</t>
        </is>
      </c>
      <c r="M1462" t="inlineStr">
        <is>
          <t>See CVE details</t>
        </is>
      </c>
      <c r="N1462" t="inlineStr">
        <is>
          <t>P4</t>
        </is>
      </c>
      <c r="O1462" t="inlineStr">
        <is>
          <t>CVE - IP enrichment n/a</t>
        </is>
      </c>
      <c r="P1462" t="n">
        <v>0</v>
      </c>
      <c r="Q1462" t="n">
        <v>0</v>
      </c>
      <c r="R1462" t="inlineStr">
        <is>
          <t>T1190:Exploit Public-Facing Application</t>
        </is>
      </c>
      <c r="S1462" t="n">
        <v>1</v>
      </c>
      <c r="T1462" t="inlineStr">
        <is>
          <t>LOW (40%)</t>
        </is>
      </c>
      <c r="U1462" t="inlineStr">
        <is>
          <t>UNLIKELY</t>
        </is>
      </c>
      <c r="V1462" t="inlineStr">
        <is>
          <t>CHECK_VENDOR</t>
        </is>
      </c>
      <c r="W1462" t="inlineStr">
        <is>
          <t>https://nvd.nist.gov/vuln/detail/CVE-2026-25929</t>
        </is>
      </c>
      <c r="X1462" t="inlineStr">
        <is>
          <t>NONE</t>
        </is>
      </c>
      <c r="Y1462" t="n">
        <v>0</v>
      </c>
      <c r="Z1462" t="inlineStr"/>
      <c r="AA1462" t="inlineStr">
        <is>
          <t>https://nvd.nist.gov/vuln/detail/CVE-2026-25929</t>
        </is>
      </c>
    </row>
    <row r="1463">
      <c r="A1463" t="inlineStr">
        <is>
          <t>CVE</t>
        </is>
      </c>
      <c r="B1463" t="inlineStr">
        <is>
          <t>CVE-2026-25930</t>
        </is>
      </c>
      <c r="C1463" t="inlineStr">
        <is>
          <t>OpenEMR is a free and open source electronic health records and medical practice management application. Prior to version 8.0.0, the Layout-Based Form (LBF) printable view accepts `formid` and `visitid` (or `patientid`) from the request and does not verify that the form belongs to the current user’s authorized patient/encounter. An authenticated user with LBF access can enumerate form IDs and view or print any patient’s encounter forms. Version 8.0.0 fixes the issue.</t>
        </is>
      </c>
      <c r="D1463" t="n">
        <v>6.5</v>
      </c>
      <c r="E1463" t="inlineStr">
        <is>
          <t>MEDIUM</t>
        </is>
      </c>
      <c r="F1463" t="n">
        <v>2</v>
      </c>
      <c r="G1463" t="n">
        <v>2</v>
      </c>
      <c r="H1463" t="inlineStr">
        <is>
          <t>MEDIUM</t>
        </is>
      </c>
      <c r="I1463" t="n">
        <v>10.5</v>
      </c>
      <c r="J1463" t="inlineStr">
        <is>
          <t>NO</t>
        </is>
      </c>
      <c r="K1463" t="inlineStr">
        <is>
          <t>2026-02-26 00:15</t>
        </is>
      </c>
      <c r="L1463" t="inlineStr">
        <is>
          <t>CHECK_VENDOR</t>
        </is>
      </c>
      <c r="M1463" t="inlineStr">
        <is>
          <t>See CVE details</t>
        </is>
      </c>
      <c r="N1463" t="inlineStr">
        <is>
          <t>P4</t>
        </is>
      </c>
      <c r="O1463" t="inlineStr">
        <is>
          <t>CVE - IP enrichment n/a</t>
        </is>
      </c>
      <c r="P1463" t="n">
        <v>0</v>
      </c>
      <c r="Q1463" t="n">
        <v>0</v>
      </c>
      <c r="R1463" t="inlineStr">
        <is>
          <t>T1190:Exploit Public-Facing Application</t>
        </is>
      </c>
      <c r="S1463" t="n">
        <v>1</v>
      </c>
      <c r="T1463" t="inlineStr">
        <is>
          <t>LOW (40%)</t>
        </is>
      </c>
      <c r="U1463" t="inlineStr">
        <is>
          <t>UNLIKELY</t>
        </is>
      </c>
      <c r="V1463" t="inlineStr">
        <is>
          <t>CHECK_VENDOR</t>
        </is>
      </c>
      <c r="W1463" t="inlineStr">
        <is>
          <t>https://nvd.nist.gov/vuln/detail/CVE-2026-25930</t>
        </is>
      </c>
      <c r="X1463" t="inlineStr">
        <is>
          <t>NONE</t>
        </is>
      </c>
      <c r="Y1463" t="n">
        <v>0</v>
      </c>
      <c r="Z1463" t="inlineStr"/>
      <c r="AA1463" t="inlineStr">
        <is>
          <t>https://nvd.nist.gov/vuln/detail/CVE-2026-25930</t>
        </is>
      </c>
    </row>
    <row r="1464">
      <c r="A1464" t="inlineStr">
        <is>
          <t>CVE</t>
        </is>
      </c>
      <c r="B1464" t="inlineStr">
        <is>
          <t>CVE-2026-3221</t>
        </is>
      </c>
      <c r="C1464" t="inlineStr">
        <is>
          <t>Sensitive
 user account information is not encrypted in the database in Devolutions Server 2025.3.14 and earlier, which allows an attacker with 
access to the database to obtain sensitive user 
information via direct database access.</t>
        </is>
      </c>
      <c r="D1464" t="n">
        <v>5</v>
      </c>
      <c r="E1464" t="inlineStr">
        <is>
          <t>MEDIUM</t>
        </is>
      </c>
      <c r="F1464" t="n">
        <v>2</v>
      </c>
      <c r="G1464" t="n">
        <v>2</v>
      </c>
      <c r="H1464" t="inlineStr">
        <is>
          <t>MEDIUM</t>
        </is>
      </c>
      <c r="I1464" t="n">
        <v>9</v>
      </c>
      <c r="J1464" t="inlineStr">
        <is>
          <t>NO</t>
        </is>
      </c>
      <c r="K1464" t="inlineStr">
        <is>
          <t>2026-02-26 00:15</t>
        </is>
      </c>
      <c r="L1464" t="inlineStr">
        <is>
          <t>CHECK_VENDOR</t>
        </is>
      </c>
      <c r="M1464" t="inlineStr">
        <is>
          <t>See CVE details</t>
        </is>
      </c>
      <c r="N1464" t="inlineStr">
        <is>
          <t>P4</t>
        </is>
      </c>
      <c r="O1464" t="inlineStr">
        <is>
          <t>CVE - IP enrichment n/a</t>
        </is>
      </c>
      <c r="P1464" t="n">
        <v>0</v>
      </c>
      <c r="Q1464" t="n">
        <v>0</v>
      </c>
      <c r="R1464" t="inlineStr">
        <is>
          <t>T1190:Exploit Public-Facing Application</t>
        </is>
      </c>
      <c r="S1464" t="n">
        <v>1</v>
      </c>
      <c r="T1464" t="inlineStr">
        <is>
          <t>LOW (40%)</t>
        </is>
      </c>
      <c r="U1464" t="inlineStr">
        <is>
          <t>UNLIKELY</t>
        </is>
      </c>
      <c r="V1464" t="inlineStr">
        <is>
          <t>CHECK_VENDOR</t>
        </is>
      </c>
      <c r="W1464" t="inlineStr">
        <is>
          <t>https://nvd.nist.gov/vuln/detail/CVE-2026-3221</t>
        </is>
      </c>
      <c r="X1464" t="inlineStr">
        <is>
          <t>NONE</t>
        </is>
      </c>
      <c r="Y1464" t="n">
        <v>0</v>
      </c>
      <c r="Z1464" t="inlineStr"/>
      <c r="AA1464" t="inlineStr">
        <is>
          <t>https://nvd.nist.gov/vuln/detail/CVE-2026-3221</t>
        </is>
      </c>
    </row>
    <row r="1465">
      <c r="A1465" t="inlineStr">
        <is>
          <t>CVE</t>
        </is>
      </c>
      <c r="B1465" t="inlineStr">
        <is>
          <t>CVE-2025-14103</t>
        </is>
      </c>
      <c r="C1465" t="inlineStr">
        <is>
          <t>GitLab has remediated an issue in GitLab CE/EE affecting all versions from 17.7 before 18.7.5, 18.8 before 18.8.5, and 18.9 before 18.9.1 that could have allowed an unauthorized user with Developer-role permissions to set pipeline variables for manually triggered jobs under certain conditions.</t>
        </is>
      </c>
      <c r="D1465" t="n">
        <v>4.3</v>
      </c>
      <c r="E1465" t="inlineStr">
        <is>
          <t>MEDIUM</t>
        </is>
      </c>
      <c r="F1465" t="n">
        <v>2</v>
      </c>
      <c r="G1465" t="n">
        <v>2</v>
      </c>
      <c r="H1465" t="inlineStr">
        <is>
          <t>MEDIUM</t>
        </is>
      </c>
      <c r="I1465" t="n">
        <v>8.300000000000001</v>
      </c>
      <c r="J1465" t="inlineStr">
        <is>
          <t>NO</t>
        </is>
      </c>
      <c r="K1465" t="inlineStr">
        <is>
          <t>2026-02-26 00:15</t>
        </is>
      </c>
      <c r="L1465" t="inlineStr">
        <is>
          <t>CHECK_VENDOR</t>
        </is>
      </c>
      <c r="M1465" t="inlineStr">
        <is>
          <t>See CVE details</t>
        </is>
      </c>
      <c r="N1465" t="inlineStr">
        <is>
          <t>P4</t>
        </is>
      </c>
      <c r="O1465" t="inlineStr">
        <is>
          <t>CVE - IP enrichment n/a</t>
        </is>
      </c>
      <c r="P1465" t="n">
        <v>0</v>
      </c>
      <c r="Q1465" t="n">
        <v>0</v>
      </c>
      <c r="R1465" t="inlineStr">
        <is>
          <t>T1190:Exploit Public-Facing Application</t>
        </is>
      </c>
      <c r="S1465" t="n">
        <v>1</v>
      </c>
      <c r="T1465" t="inlineStr">
        <is>
          <t>LOW (40%)</t>
        </is>
      </c>
      <c r="U1465" t="inlineStr">
        <is>
          <t>UNLIKELY</t>
        </is>
      </c>
      <c r="V1465" t="inlineStr">
        <is>
          <t>CHECK_VENDOR</t>
        </is>
      </c>
      <c r="W1465" t="inlineStr">
        <is>
          <t>https://nvd.nist.gov/vuln/detail/CVE-2025-14103</t>
        </is>
      </c>
      <c r="X1465" t="inlineStr">
        <is>
          <t>NONE</t>
        </is>
      </c>
      <c r="Y1465" t="n">
        <v>0</v>
      </c>
      <c r="Z1465" t="inlineStr"/>
      <c r="AA1465" t="inlineStr">
        <is>
          <t>https://nvd.nist.gov/vuln/detail/CVE-2025-14103</t>
        </is>
      </c>
    </row>
    <row r="1466">
      <c r="A1466" t="inlineStr">
        <is>
          <t>CVE</t>
        </is>
      </c>
      <c r="B1466" t="inlineStr">
        <is>
          <t>CVE-2025-3525</t>
        </is>
      </c>
      <c r="C1466" t="inlineStr">
        <is>
          <t>GitLab has remediated an issue in GitLab CE/EE affecting all versions from 9.0 before 18.7.5, 18.8 before 18.8.5, and 18.9 before 18.9.1 that could have, under certain circumstances, allowed an authenticated user with certain access to cause Denial of Service by creating specially crafted CI triggers via the API.</t>
        </is>
      </c>
      <c r="D1466" t="n">
        <v>6.5</v>
      </c>
      <c r="E1466" t="inlineStr">
        <is>
          <t>MEDIUM</t>
        </is>
      </c>
      <c r="F1466" t="n">
        <v>2</v>
      </c>
      <c r="G1466" t="n">
        <v>2</v>
      </c>
      <c r="H1466" t="inlineStr">
        <is>
          <t>MEDIUM</t>
        </is>
      </c>
      <c r="I1466" t="n">
        <v>10.5</v>
      </c>
      <c r="J1466" t="inlineStr">
        <is>
          <t>NO</t>
        </is>
      </c>
      <c r="K1466" t="inlineStr">
        <is>
          <t>2026-02-26 00:15</t>
        </is>
      </c>
      <c r="L1466" t="inlineStr">
        <is>
          <t>CHECK_VENDOR</t>
        </is>
      </c>
      <c r="M1466" t="inlineStr">
        <is>
          <t>See CVE details</t>
        </is>
      </c>
      <c r="N1466" t="inlineStr">
        <is>
          <t>P4</t>
        </is>
      </c>
      <c r="O1466" t="inlineStr">
        <is>
          <t>CVE - IP enrichment n/a</t>
        </is>
      </c>
      <c r="P1466" t="n">
        <v>0</v>
      </c>
      <c r="Q1466" t="n">
        <v>0</v>
      </c>
      <c r="R1466" t="inlineStr">
        <is>
          <t>T1499:Endpoint Denial of Service</t>
        </is>
      </c>
      <c r="S1466" t="n">
        <v>1</v>
      </c>
      <c r="T1466" t="inlineStr">
        <is>
          <t>LOW (40%)</t>
        </is>
      </c>
      <c r="U1466" t="inlineStr">
        <is>
          <t>UNLIKELY</t>
        </is>
      </c>
      <c r="V1466" t="inlineStr">
        <is>
          <t>CHECK_VENDOR</t>
        </is>
      </c>
      <c r="W1466" t="inlineStr">
        <is>
          <t>https://nvd.nist.gov/vuln/detail/CVE-2025-3525</t>
        </is>
      </c>
      <c r="X1466" t="inlineStr">
        <is>
          <t>NONE</t>
        </is>
      </c>
      <c r="Y1466" t="n">
        <v>0</v>
      </c>
      <c r="Z1466" t="inlineStr"/>
      <c r="AA1466" t="inlineStr">
        <is>
          <t>https://nvd.nist.gov/vuln/detail/CVE-2025-3525</t>
        </is>
      </c>
    </row>
    <row r="1467">
      <c r="A1467" t="inlineStr">
        <is>
          <t>CVE</t>
        </is>
      </c>
      <c r="B1467" t="inlineStr">
        <is>
          <t>CVE-2026-22719</t>
        </is>
      </c>
      <c r="C1467" t="inlineStr">
        <is>
          <t xml:space="preserve">VMware Aria Operations contains a command injection vulnerability. A malicious unauthenticated actor may exploit this issue to execute arbitrary commands which may lead to remote code execution in VMware Aria Operations while support-assisted product migration is in progress. 
To remediate CVE-2026-22719, apply the patches listed in the 'Fixed Version' column of the ' Response Matrix https://support.broadcom.com/web/ecx/support-content-notification/-/external/content/SecurityAdvisories/0/36947 </t>
        </is>
      </c>
      <c r="D1467" t="n">
        <v>8.1</v>
      </c>
      <c r="E1467" t="inlineStr">
        <is>
          <t>HIGH</t>
        </is>
      </c>
      <c r="F1467" t="n">
        <v>2</v>
      </c>
      <c r="G1467" t="n">
        <v>3</v>
      </c>
      <c r="H1467" t="inlineStr">
        <is>
          <t>HIGH</t>
        </is>
      </c>
      <c r="I1467" t="n">
        <v>14.1</v>
      </c>
      <c r="J1467" t="inlineStr">
        <is>
          <t>NO</t>
        </is>
      </c>
      <c r="K1467" t="inlineStr">
        <is>
          <t>2026-02-26 00:15</t>
        </is>
      </c>
      <c r="L1467" t="inlineStr">
        <is>
          <t>CHECK_VENDOR</t>
        </is>
      </c>
      <c r="M1467" t="inlineStr">
        <is>
          <t>See CVE details</t>
        </is>
      </c>
      <c r="N1467" t="inlineStr">
        <is>
          <t>P3</t>
        </is>
      </c>
      <c r="O1467" t="inlineStr">
        <is>
          <t>CVE - IP enrichment n/a</t>
        </is>
      </c>
      <c r="P1467" t="n">
        <v>0</v>
      </c>
      <c r="Q1467" t="n">
        <v>0</v>
      </c>
      <c r="R1467" t="inlineStr">
        <is>
          <t>T1190:Exploit Public-Facing Application | T1210:Exploitation of Remote Services | T1059:Command and Scripting Interpreter</t>
        </is>
      </c>
      <c r="S1467" t="n">
        <v>1</v>
      </c>
      <c r="T1467" t="inlineStr">
        <is>
          <t>LOW (40%)</t>
        </is>
      </c>
      <c r="U1467" t="inlineStr">
        <is>
          <t>UNLIKELY</t>
        </is>
      </c>
      <c r="V1467" t="inlineStr">
        <is>
          <t>CHECK_VENDOR</t>
        </is>
      </c>
      <c r="W1467" t="inlineStr">
        <is>
          <t>https://nvd.nist.gov/vuln/detail/CVE-2026-22719</t>
        </is>
      </c>
      <c r="X1467" t="inlineStr">
        <is>
          <t>NONE</t>
        </is>
      </c>
      <c r="Y1467" t="n">
        <v>0</v>
      </c>
      <c r="Z1467" t="inlineStr"/>
      <c r="AA1467" t="inlineStr">
        <is>
          <t>https://nvd.nist.gov/vuln/detail/CVE-2026-22719</t>
        </is>
      </c>
    </row>
    <row r="1468">
      <c r="A1468" t="inlineStr">
        <is>
          <t>CVE</t>
        </is>
      </c>
      <c r="B1468" t="inlineStr">
        <is>
          <t>CVE-2026-22720</t>
        </is>
      </c>
      <c r="C1468" t="inlineStr">
        <is>
          <t>VMware Aria Operations contains a stored cross-site scripting vulnerability. A malicious actor with privileges to create custom benchmarks may be able to inject script to perform administrative actions in VMware Aria Operations. 
To remediate CVE-2026-22720, apply the patches listed in the 'Fixed Version' column of the 'Response Matrix' of  VMSA-2026-0001 https://support.broadcom.com/web/ecx/support-content-notification/-/external/content/SecurityAdvisories/0/36947https:// .</t>
        </is>
      </c>
      <c r="D1468" t="n">
        <v>8</v>
      </c>
      <c r="E1468" t="inlineStr">
        <is>
          <t>HIGH</t>
        </is>
      </c>
      <c r="F1468" t="n">
        <v>2</v>
      </c>
      <c r="G1468" t="n">
        <v>3</v>
      </c>
      <c r="H1468" t="inlineStr">
        <is>
          <t>HIGH</t>
        </is>
      </c>
      <c r="I1468" t="n">
        <v>14</v>
      </c>
      <c r="J1468" t="inlineStr">
        <is>
          <t>NO</t>
        </is>
      </c>
      <c r="K1468" t="inlineStr">
        <is>
          <t>2026-02-26 00:15</t>
        </is>
      </c>
      <c r="L1468" t="inlineStr">
        <is>
          <t>CHECK_VENDOR</t>
        </is>
      </c>
      <c r="M1468" t="inlineStr">
        <is>
          <t>See CVE details</t>
        </is>
      </c>
      <c r="N1468" t="inlineStr">
        <is>
          <t>P3</t>
        </is>
      </c>
      <c r="O1468" t="inlineStr">
        <is>
          <t>CVE - IP enrichment n/a</t>
        </is>
      </c>
      <c r="P1468" t="n">
        <v>0</v>
      </c>
      <c r="Q1468" t="n">
        <v>0</v>
      </c>
      <c r="R1468" t="inlineStr">
        <is>
          <t>T1189:Drive-by Compromise</t>
        </is>
      </c>
      <c r="S1468" t="n">
        <v>1</v>
      </c>
      <c r="T1468" t="inlineStr">
        <is>
          <t>LOW (40%)</t>
        </is>
      </c>
      <c r="U1468" t="inlineStr">
        <is>
          <t>UNLIKELY</t>
        </is>
      </c>
      <c r="V1468" t="inlineStr">
        <is>
          <t>CHECK_VENDOR</t>
        </is>
      </c>
      <c r="W1468" t="inlineStr">
        <is>
          <t>https://nvd.nist.gov/vuln/detail/CVE-2026-22720</t>
        </is>
      </c>
      <c r="X1468" t="inlineStr">
        <is>
          <t>NONE</t>
        </is>
      </c>
      <c r="Y1468" t="n">
        <v>0</v>
      </c>
      <c r="Z1468" t="inlineStr"/>
      <c r="AA1468" t="inlineStr">
        <is>
          <t>https://nvd.nist.gov/vuln/detail/CVE-2026-22720</t>
        </is>
      </c>
    </row>
    <row r="1469">
      <c r="A1469" t="inlineStr">
        <is>
          <t>CVE</t>
        </is>
      </c>
      <c r="B1469" t="inlineStr">
        <is>
          <t>CVE-2026-25136</t>
        </is>
      </c>
      <c r="C1469" t="inlineStr">
        <is>
          <t>Rucio is a software framework that provides functionality to organize, manage, and access large volumes of scientific data using customizable policies. A reflected Cross-site Scripting vulnerability was located in versions prior to 35.8.3, 38.5.4, and 39.3.1 in the rendering of the ExceptionMessage of the WebUI 500 error which could allow attackers to steal login session tokens of users who navigate to a specially crafted URL. Versions 35.8.3, 38.5.4, and 39.3.1 fix the issue.</t>
        </is>
      </c>
      <c r="D1469" t="n">
        <v>8.1</v>
      </c>
      <c r="E1469" t="inlineStr">
        <is>
          <t>HIGH</t>
        </is>
      </c>
      <c r="F1469" t="n">
        <v>2</v>
      </c>
      <c r="G1469" t="n">
        <v>3</v>
      </c>
      <c r="H1469" t="inlineStr">
        <is>
          <t>HIGH</t>
        </is>
      </c>
      <c r="I1469" t="n">
        <v>14.1</v>
      </c>
      <c r="J1469" t="inlineStr">
        <is>
          <t>NO</t>
        </is>
      </c>
      <c r="K1469" t="inlineStr">
        <is>
          <t>2026-02-26 00:15</t>
        </is>
      </c>
      <c r="L1469" t="inlineStr">
        <is>
          <t>CHECK_VENDOR</t>
        </is>
      </c>
      <c r="M1469" t="inlineStr">
        <is>
          <t>See CVE details</t>
        </is>
      </c>
      <c r="N1469" t="inlineStr">
        <is>
          <t>P3</t>
        </is>
      </c>
      <c r="O1469" t="inlineStr">
        <is>
          <t>CVE - IP enrichment n/a</t>
        </is>
      </c>
      <c r="P1469" t="n">
        <v>0</v>
      </c>
      <c r="Q1469" t="n">
        <v>0</v>
      </c>
      <c r="R1469" t="inlineStr">
        <is>
          <t>T1189:Drive-by Compromise</t>
        </is>
      </c>
      <c r="S1469" t="n">
        <v>1</v>
      </c>
      <c r="T1469" t="inlineStr">
        <is>
          <t>LOW (40%)</t>
        </is>
      </c>
      <c r="U1469" t="inlineStr">
        <is>
          <t>UNLIKELY</t>
        </is>
      </c>
      <c r="V1469" t="inlineStr">
        <is>
          <t>CHECK_VENDOR</t>
        </is>
      </c>
      <c r="W1469" t="inlineStr">
        <is>
          <t>https://nvd.nist.gov/vuln/detail/CVE-2026-25136</t>
        </is>
      </c>
      <c r="X1469" t="inlineStr">
        <is>
          <t>NONE</t>
        </is>
      </c>
      <c r="Y1469" t="n">
        <v>0</v>
      </c>
      <c r="Z1469" t="inlineStr"/>
      <c r="AA1469" t="inlineStr">
        <is>
          <t>https://nvd.nist.gov/vuln/detail/CVE-2026-25136</t>
        </is>
      </c>
    </row>
    <row r="1470">
      <c r="A1470" t="inlineStr">
        <is>
          <t>CVE</t>
        </is>
      </c>
      <c r="B1470" t="inlineStr">
        <is>
          <t>CVE-2026-25138</t>
        </is>
      </c>
      <c r="C1470" t="inlineStr">
        <is>
          <t>Rucio is a software framework that provides functionality to organize, manage, and access large volumes of scientific data using customizable policies. Prior to versions 35.8.3, 38.5.4, and 39.3.1, the WebUI login endpoint returns distinct error messages depending on whether a supplied username exists, allowing unauthenticated attackers to enumerate valid usernames. Versions 35.8.3, 38.5.4, and 39.3.1 fix the issue.</t>
        </is>
      </c>
      <c r="D1470" t="n">
        <v>5.3</v>
      </c>
      <c r="E1470" t="inlineStr">
        <is>
          <t>MEDIUM</t>
        </is>
      </c>
      <c r="F1470" t="n">
        <v>2</v>
      </c>
      <c r="G1470" t="n">
        <v>2</v>
      </c>
      <c r="H1470" t="inlineStr">
        <is>
          <t>MEDIUM</t>
        </is>
      </c>
      <c r="I1470" t="n">
        <v>9.300000000000001</v>
      </c>
      <c r="J1470" t="inlineStr">
        <is>
          <t>NO</t>
        </is>
      </c>
      <c r="K1470" t="inlineStr">
        <is>
          <t>2026-02-26 00:15</t>
        </is>
      </c>
      <c r="L1470" t="inlineStr">
        <is>
          <t>CHECK_VENDOR</t>
        </is>
      </c>
      <c r="M1470" t="inlineStr">
        <is>
          <t>See CVE details</t>
        </is>
      </c>
      <c r="N1470" t="inlineStr">
        <is>
          <t>P4</t>
        </is>
      </c>
      <c r="O1470" t="inlineStr">
        <is>
          <t>CVE - IP enrichment n/a</t>
        </is>
      </c>
      <c r="P1470" t="n">
        <v>0</v>
      </c>
      <c r="Q1470" t="n">
        <v>0</v>
      </c>
      <c r="R1470" t="inlineStr">
        <is>
          <t>T1190:Exploit Public-Facing Application</t>
        </is>
      </c>
      <c r="S1470" t="n">
        <v>1</v>
      </c>
      <c r="T1470" t="inlineStr">
        <is>
          <t>LOW (40%)</t>
        </is>
      </c>
      <c r="U1470" t="inlineStr">
        <is>
          <t>UNLIKELY</t>
        </is>
      </c>
      <c r="V1470" t="inlineStr">
        <is>
          <t>CHECK_VENDOR</t>
        </is>
      </c>
      <c r="W1470" t="inlineStr">
        <is>
          <t>https://nvd.nist.gov/vuln/detail/CVE-2026-25138</t>
        </is>
      </c>
      <c r="X1470" t="inlineStr">
        <is>
          <t>NONE</t>
        </is>
      </c>
      <c r="Y1470" t="n">
        <v>0</v>
      </c>
      <c r="Z1470" t="inlineStr"/>
      <c r="AA1470" t="inlineStr">
        <is>
          <t>https://nvd.nist.gov/vuln/detail/CVE-2026-25138</t>
        </is>
      </c>
    </row>
    <row r="1471">
      <c r="A1471" t="inlineStr">
        <is>
          <t>CVE</t>
        </is>
      </c>
      <c r="B1471" t="inlineStr">
        <is>
          <t>CVE-2026-25733</t>
        </is>
      </c>
      <c r="C1471" t="inlineStr">
        <is>
          <t>Rucio is a software framework that provides functionality to organize, manage, and access large volumes of scientific data using customizable policies. Versions prior to 35.8.3, 38.5.4, and 39.3.1 have a stored Cross-Site Scripting (XSS) vulnerability in the Custom Rules function of the WebUI where attacker-controlled input is persisted by the backend and later rendered in the WebUI without proper output encoding. This allows arbitrary JavaScript execution in the context of the WebUI for users w</t>
        </is>
      </c>
      <c r="D1471" t="n">
        <v>7.3</v>
      </c>
      <c r="E1471" t="inlineStr">
        <is>
          <t>HIGH</t>
        </is>
      </c>
      <c r="F1471" t="n">
        <v>2</v>
      </c>
      <c r="G1471" t="n">
        <v>3</v>
      </c>
      <c r="H1471" t="inlineStr">
        <is>
          <t>HIGH</t>
        </is>
      </c>
      <c r="I1471" t="n">
        <v>13.3</v>
      </c>
      <c r="J1471" t="inlineStr">
        <is>
          <t>NO</t>
        </is>
      </c>
      <c r="K1471" t="inlineStr">
        <is>
          <t>2026-02-26 00:15</t>
        </is>
      </c>
      <c r="L1471" t="inlineStr">
        <is>
          <t>CHECK_VENDOR</t>
        </is>
      </c>
      <c r="M1471" t="inlineStr">
        <is>
          <t>See CVE details</t>
        </is>
      </c>
      <c r="N1471" t="inlineStr">
        <is>
          <t>P3</t>
        </is>
      </c>
      <c r="O1471" t="inlineStr">
        <is>
          <t>CVE - IP enrichment n/a</t>
        </is>
      </c>
      <c r="P1471" t="n">
        <v>0</v>
      </c>
      <c r="Q1471" t="n">
        <v>0</v>
      </c>
      <c r="R1471" t="inlineStr">
        <is>
          <t>T1189:Drive-by Compromise</t>
        </is>
      </c>
      <c r="S1471" t="n">
        <v>1</v>
      </c>
      <c r="T1471" t="inlineStr">
        <is>
          <t>LOW (40%)</t>
        </is>
      </c>
      <c r="U1471" t="inlineStr">
        <is>
          <t>UNLIKELY</t>
        </is>
      </c>
      <c r="V1471" t="inlineStr">
        <is>
          <t>CHECK_VENDOR</t>
        </is>
      </c>
      <c r="W1471" t="inlineStr">
        <is>
          <t>https://nvd.nist.gov/vuln/detail/CVE-2026-25733</t>
        </is>
      </c>
      <c r="X1471" t="inlineStr">
        <is>
          <t>NONE</t>
        </is>
      </c>
      <c r="Y1471" t="n">
        <v>0</v>
      </c>
      <c r="Z1471" t="inlineStr"/>
      <c r="AA1471" t="inlineStr">
        <is>
          <t>https://nvd.nist.gov/vuln/detail/CVE-2026-25733</t>
        </is>
      </c>
    </row>
    <row r="1472">
      <c r="A1472" t="inlineStr">
        <is>
          <t>CVE</t>
        </is>
      </c>
      <c r="B1472" t="inlineStr">
        <is>
          <t>CVE-2026-25734</t>
        </is>
      </c>
      <c r="C1472" t="inlineStr">
        <is>
          <t>Rucio is a software framework that provides functionality to organize, manage, and access large volumes of scientific data using customizable policies. Versions prior to 35.8.3, 38.5.4, and 39.3.1 have a stored Cross-Site Scripting (XSS) vulnerability in the RSE metadata of the WebUI where attacker-controlled input is persisted by the backend and later rendered in the WebUI without proper output encoding. This allows arbitrary JavaScript execution in the context of the WebUI for users who view a</t>
        </is>
      </c>
      <c r="D1472" t="n">
        <v>6.1</v>
      </c>
      <c r="E1472" t="inlineStr">
        <is>
          <t>MEDIUM</t>
        </is>
      </c>
      <c r="F1472" t="n">
        <v>2</v>
      </c>
      <c r="G1472" t="n">
        <v>2</v>
      </c>
      <c r="H1472" t="inlineStr">
        <is>
          <t>MEDIUM</t>
        </is>
      </c>
      <c r="I1472" t="n">
        <v>10.1</v>
      </c>
      <c r="J1472" t="inlineStr">
        <is>
          <t>NO</t>
        </is>
      </c>
      <c r="K1472" t="inlineStr">
        <is>
          <t>2026-02-26 00:15</t>
        </is>
      </c>
      <c r="L1472" t="inlineStr">
        <is>
          <t>CHECK_VENDOR</t>
        </is>
      </c>
      <c r="M1472" t="inlineStr">
        <is>
          <t>See CVE details</t>
        </is>
      </c>
      <c r="N1472" t="inlineStr">
        <is>
          <t>P4</t>
        </is>
      </c>
      <c r="O1472" t="inlineStr">
        <is>
          <t>CVE - IP enrichment n/a</t>
        </is>
      </c>
      <c r="P1472" t="n">
        <v>0</v>
      </c>
      <c r="Q1472" t="n">
        <v>0</v>
      </c>
      <c r="R1472" t="inlineStr">
        <is>
          <t>T1189:Drive-by Compromise</t>
        </is>
      </c>
      <c r="S1472" t="n">
        <v>1</v>
      </c>
      <c r="T1472" t="inlineStr">
        <is>
          <t>LOW (40%)</t>
        </is>
      </c>
      <c r="U1472" t="inlineStr">
        <is>
          <t>UNLIKELY</t>
        </is>
      </c>
      <c r="V1472" t="inlineStr">
        <is>
          <t>CHECK_VENDOR</t>
        </is>
      </c>
      <c r="W1472" t="inlineStr">
        <is>
          <t>https://nvd.nist.gov/vuln/detail/CVE-2026-25734</t>
        </is>
      </c>
      <c r="X1472" t="inlineStr">
        <is>
          <t>NONE</t>
        </is>
      </c>
      <c r="Y1472" t="n">
        <v>0</v>
      </c>
      <c r="Z1472" t="inlineStr"/>
      <c r="AA1472" t="inlineStr">
        <is>
          <t>https://nvd.nist.gov/vuln/detail/CVE-2026-25734</t>
        </is>
      </c>
    </row>
    <row r="1473">
      <c r="A1473" t="inlineStr">
        <is>
          <t>CVE</t>
        </is>
      </c>
      <c r="B1473" t="inlineStr">
        <is>
          <t>CVE-2026-25735</t>
        </is>
      </c>
      <c r="C1473" t="inlineStr">
        <is>
          <t xml:space="preserve">Rucio is a software framework that provides functionality to organize, manage, and access large volumes of scientific data using customizable policies. Versions prior to 35.8.3, 38.5.4, and 39.3.1 have a stored Cross-Site Scripting (XSS) vulnerability in the Identity Name of the WebUI where attacker-controlled input is persisted by the backend and later rendered in the WebUI without proper output encoding. This allows arbitrary JavaScript execution in the context of the WebUI for users who view </t>
        </is>
      </c>
      <c r="D1473" t="n">
        <v>6.1</v>
      </c>
      <c r="E1473" t="inlineStr">
        <is>
          <t>MEDIUM</t>
        </is>
      </c>
      <c r="F1473" t="n">
        <v>2</v>
      </c>
      <c r="G1473" t="n">
        <v>2</v>
      </c>
      <c r="H1473" t="inlineStr">
        <is>
          <t>MEDIUM</t>
        </is>
      </c>
      <c r="I1473" t="n">
        <v>10.1</v>
      </c>
      <c r="J1473" t="inlineStr">
        <is>
          <t>NO</t>
        </is>
      </c>
      <c r="K1473" t="inlineStr">
        <is>
          <t>2026-02-26 00:15</t>
        </is>
      </c>
      <c r="L1473" t="inlineStr">
        <is>
          <t>CHECK_VENDOR</t>
        </is>
      </c>
      <c r="M1473" t="inlineStr">
        <is>
          <t>See CVE details</t>
        </is>
      </c>
      <c r="N1473" t="inlineStr">
        <is>
          <t>P4</t>
        </is>
      </c>
      <c r="O1473" t="inlineStr">
        <is>
          <t>CVE - IP enrichment n/a</t>
        </is>
      </c>
      <c r="P1473" t="n">
        <v>0</v>
      </c>
      <c r="Q1473" t="n">
        <v>0</v>
      </c>
      <c r="R1473" t="inlineStr">
        <is>
          <t>T1189:Drive-by Compromise</t>
        </is>
      </c>
      <c r="S1473" t="n">
        <v>1</v>
      </c>
      <c r="T1473" t="inlineStr">
        <is>
          <t>LOW (40%)</t>
        </is>
      </c>
      <c r="U1473" t="inlineStr">
        <is>
          <t>UNLIKELY</t>
        </is>
      </c>
      <c r="V1473" t="inlineStr">
        <is>
          <t>CHECK_VENDOR</t>
        </is>
      </c>
      <c r="W1473" t="inlineStr">
        <is>
          <t>https://nvd.nist.gov/vuln/detail/CVE-2026-25735</t>
        </is>
      </c>
      <c r="X1473" t="inlineStr">
        <is>
          <t>NONE</t>
        </is>
      </c>
      <c r="Y1473" t="n">
        <v>0</v>
      </c>
      <c r="Z1473" t="inlineStr"/>
      <c r="AA1473" t="inlineStr">
        <is>
          <t>https://nvd.nist.gov/vuln/detail/CVE-2026-25735</t>
        </is>
      </c>
    </row>
    <row r="1474">
      <c r="A1474" t="inlineStr">
        <is>
          <t>CVE</t>
        </is>
      </c>
      <c r="B1474" t="inlineStr">
        <is>
          <t>CVE-2026-25736</t>
        </is>
      </c>
      <c r="C1474" t="inlineStr">
        <is>
          <t>Rucio is a software framework that provides functionality to organize, manage, and access large volumes of scientific data using customizable policies. Versions prior to 35.8.3, 38.5.4, and 39.3.1 have a stored Cross-Site Scripting (XSS) vulnerability in the Custom RSE Attribute of the WebUI where attacker-controlled input is persisted by the backend and later rendered in the WebUI without proper output encoding. This allows arbitrary JavaScript execution in the context of the WebUI for users wh</t>
        </is>
      </c>
      <c r="D1474" t="n">
        <v>6.1</v>
      </c>
      <c r="E1474" t="inlineStr">
        <is>
          <t>MEDIUM</t>
        </is>
      </c>
      <c r="F1474" t="n">
        <v>2</v>
      </c>
      <c r="G1474" t="n">
        <v>2</v>
      </c>
      <c r="H1474" t="inlineStr">
        <is>
          <t>MEDIUM</t>
        </is>
      </c>
      <c r="I1474" t="n">
        <v>10.1</v>
      </c>
      <c r="J1474" t="inlineStr">
        <is>
          <t>NO</t>
        </is>
      </c>
      <c r="K1474" t="inlineStr">
        <is>
          <t>2026-02-26 00:15</t>
        </is>
      </c>
      <c r="L1474" t="inlineStr">
        <is>
          <t>CHECK_VENDOR</t>
        </is>
      </c>
      <c r="M1474" t="inlineStr">
        <is>
          <t>See CVE details</t>
        </is>
      </c>
      <c r="N1474" t="inlineStr">
        <is>
          <t>P4</t>
        </is>
      </c>
      <c r="O1474" t="inlineStr">
        <is>
          <t>CVE - IP enrichment n/a</t>
        </is>
      </c>
      <c r="P1474" t="n">
        <v>0</v>
      </c>
      <c r="Q1474" t="n">
        <v>0</v>
      </c>
      <c r="R1474" t="inlineStr">
        <is>
          <t>T1189:Drive-by Compromise</t>
        </is>
      </c>
      <c r="S1474" t="n">
        <v>1</v>
      </c>
      <c r="T1474" t="inlineStr">
        <is>
          <t>LOW (40%)</t>
        </is>
      </c>
      <c r="U1474" t="inlineStr">
        <is>
          <t>UNLIKELY</t>
        </is>
      </c>
      <c r="V1474" t="inlineStr">
        <is>
          <t>CHECK_VENDOR</t>
        </is>
      </c>
      <c r="W1474" t="inlineStr">
        <is>
          <t>https://nvd.nist.gov/vuln/detail/CVE-2026-25736</t>
        </is>
      </c>
      <c r="X1474" t="inlineStr">
        <is>
          <t>NONE</t>
        </is>
      </c>
      <c r="Y1474" t="n">
        <v>0</v>
      </c>
      <c r="Z1474" t="inlineStr"/>
      <c r="AA1474" t="inlineStr">
        <is>
          <t>https://nvd.nist.gov/vuln/detail/CVE-2026-25736</t>
        </is>
      </c>
    </row>
    <row r="1475">
      <c r="A1475" t="inlineStr">
        <is>
          <t>CVE</t>
        </is>
      </c>
      <c r="B1475" t="inlineStr">
        <is>
          <t>CVE-2026-25941</t>
        </is>
      </c>
      <c r="C1475" t="inlineStr">
        <is>
          <t xml:space="preserve">FreeRDP is a free implementation of the Remote Desktop Protocol. Versions on the 2.x branch prior to to 2.11.8 and on the 3.x branch prior to 3.23.0 have an out-of-bounds read vulnerability in the FreeRDP client's RDPGFX channel that allows a malicious RDP server to read uninitialized heap memory by sending a crafted WIRE_TO_SURFACE_2 PDU with a `bitmapDataLength` value larger than the actual data in the packet. This can lead to information disclosure or client crashes when a user connects to a </t>
        </is>
      </c>
      <c r="D1475" t="n">
        <v>4.3</v>
      </c>
      <c r="E1475" t="inlineStr">
        <is>
          <t>MEDIUM</t>
        </is>
      </c>
      <c r="F1475" t="n">
        <v>2</v>
      </c>
      <c r="G1475" t="n">
        <v>2</v>
      </c>
      <c r="H1475" t="inlineStr">
        <is>
          <t>MEDIUM</t>
        </is>
      </c>
      <c r="I1475" t="n">
        <v>8.300000000000001</v>
      </c>
      <c r="J1475" t="inlineStr">
        <is>
          <t>NO</t>
        </is>
      </c>
      <c r="K1475" t="inlineStr">
        <is>
          <t>2026-02-26 00:15</t>
        </is>
      </c>
      <c r="L1475" t="inlineStr">
        <is>
          <t>CHECK_VENDOR</t>
        </is>
      </c>
      <c r="M1475" t="inlineStr">
        <is>
          <t>See CVE details</t>
        </is>
      </c>
      <c r="N1475" t="inlineStr">
        <is>
          <t>P4</t>
        </is>
      </c>
      <c r="O1475" t="inlineStr">
        <is>
          <t>CVE - IP enrichment n/a</t>
        </is>
      </c>
      <c r="P1475" t="n">
        <v>0</v>
      </c>
      <c r="Q1475" t="n">
        <v>0</v>
      </c>
      <c r="R1475" t="inlineStr">
        <is>
          <t>T1203:Exploitation for Client Execution | T1213:Data from Information Repositories</t>
        </is>
      </c>
      <c r="S1475" t="n">
        <v>1</v>
      </c>
      <c r="T1475" t="inlineStr">
        <is>
          <t>LOW (40%)</t>
        </is>
      </c>
      <c r="U1475" t="inlineStr">
        <is>
          <t>UNLIKELY</t>
        </is>
      </c>
      <c r="V1475" t="inlineStr">
        <is>
          <t>CHECK_VENDOR</t>
        </is>
      </c>
      <c r="W1475" t="inlineStr">
        <is>
          <t>https://nvd.nist.gov/vuln/detail/CVE-2026-25941</t>
        </is>
      </c>
      <c r="X1475" t="inlineStr">
        <is>
          <t>NONE</t>
        </is>
      </c>
      <c r="Y1475" t="n">
        <v>0</v>
      </c>
      <c r="Z1475" t="inlineStr"/>
      <c r="AA1475" t="inlineStr">
        <is>
          <t>https://nvd.nist.gov/vuln/detail/CVE-2026-25941</t>
        </is>
      </c>
    </row>
    <row r="1476">
      <c r="A1476" t="inlineStr">
        <is>
          <t>CVE</t>
        </is>
      </c>
      <c r="B1476" t="inlineStr">
        <is>
          <t>CVE-2026-2636</t>
        </is>
      </c>
      <c r="C1476" t="inlineStr">
        <is>
          <t>This vulnerability is caused by a CWE‑159: "Improper Handling of Invalid Use of Special Elements" weakness, which leads to an unrecoverable inconsistency in the CLFS.sys driver. This condition forces a call to the KeBugCheckEx function, allowing an unprivileged user to trigger a system crash. Microsoft silently fixed this vulnerability in the September 2025 cumulative update for Windows 11 2024 LTSC and Windows Server 2025. Windows 25H2 (released in September) was released with the patch. Window</t>
        </is>
      </c>
      <c r="D1476" t="n">
        <v>5.5</v>
      </c>
      <c r="E1476" t="inlineStr">
        <is>
          <t>MEDIUM</t>
        </is>
      </c>
      <c r="F1476" t="n">
        <v>2</v>
      </c>
      <c r="G1476" t="n">
        <v>2</v>
      </c>
      <c r="H1476" t="inlineStr">
        <is>
          <t>MEDIUM</t>
        </is>
      </c>
      <c r="I1476" t="n">
        <v>9.5</v>
      </c>
      <c r="J1476" t="inlineStr">
        <is>
          <t>NO</t>
        </is>
      </c>
      <c r="K1476" t="inlineStr">
        <is>
          <t>2026-02-26 00:15</t>
        </is>
      </c>
      <c r="L1476" t="inlineStr">
        <is>
          <t>CHECK_VENDOR</t>
        </is>
      </c>
      <c r="M1476" t="inlineStr">
        <is>
          <t>See CVE details</t>
        </is>
      </c>
      <c r="N1476" t="inlineStr">
        <is>
          <t>P3</t>
        </is>
      </c>
      <c r="O1476" t="inlineStr">
        <is>
          <t>CVE - IP enrichment n/a</t>
        </is>
      </c>
      <c r="P1476" t="n">
        <v>0</v>
      </c>
      <c r="Q1476" t="n">
        <v>0</v>
      </c>
      <c r="R1476" t="inlineStr">
        <is>
          <t>T1190:Exploit Public-Facing Application</t>
        </is>
      </c>
      <c r="S1476" t="n">
        <v>2</v>
      </c>
      <c r="T1476" t="inlineStr">
        <is>
          <t>MEDIUM (52%)</t>
        </is>
      </c>
      <c r="U1476" t="inlineStr">
        <is>
          <t>UNLIKELY</t>
        </is>
      </c>
      <c r="V1476" t="inlineStr">
        <is>
          <t>CHECK_VENDOR</t>
        </is>
      </c>
      <c r="W1476" t="inlineStr">
        <is>
          <t>https://nvd.nist.gov/vuln/detail/CVE-2026-2636</t>
        </is>
      </c>
      <c r="X1476" t="inlineStr">
        <is>
          <t>NONE</t>
        </is>
      </c>
      <c r="Y1476" t="n">
        <v>0</v>
      </c>
      <c r="Z1476" t="inlineStr"/>
      <c r="AA1476" t="inlineStr">
        <is>
          <t>https://nvd.nist.gov/vuln/detail/CVE-2026-2636</t>
        </is>
      </c>
    </row>
    <row r="1477">
      <c r="A1477" t="inlineStr">
        <is>
          <t>CVE</t>
        </is>
      </c>
      <c r="B1477" t="inlineStr">
        <is>
          <t>CVE-2025-14511</t>
        </is>
      </c>
      <c r="C1477" t="inlineStr">
        <is>
          <t>GitLab has remediated an issue in GitLab CE/EE affecting all versions from 12.2 before 18.7.5, 18.8 before 18.8.5, and 18.9 before 18.9.1 that could have allowed an unauthenticated user to cause denial of service by sending specially crafted files to the container registry event endpoint under certain conditions.</t>
        </is>
      </c>
      <c r="D1477" t="n">
        <v>7.5</v>
      </c>
      <c r="E1477" t="inlineStr">
        <is>
          <t>HIGH</t>
        </is>
      </c>
      <c r="F1477" t="n">
        <v>2</v>
      </c>
      <c r="G1477" t="n">
        <v>3</v>
      </c>
      <c r="H1477" t="inlineStr">
        <is>
          <t>HIGH</t>
        </is>
      </c>
      <c r="I1477" t="n">
        <v>13.5</v>
      </c>
      <c r="J1477" t="inlineStr">
        <is>
          <t>NO</t>
        </is>
      </c>
      <c r="K1477" t="inlineStr">
        <is>
          <t>2026-02-26 00:15</t>
        </is>
      </c>
      <c r="L1477" t="inlineStr">
        <is>
          <t>CHECK_VENDOR</t>
        </is>
      </c>
      <c r="M1477" t="inlineStr">
        <is>
          <t>See CVE details</t>
        </is>
      </c>
      <c r="N1477" t="inlineStr">
        <is>
          <t>P3</t>
        </is>
      </c>
      <c r="O1477" t="inlineStr">
        <is>
          <t>CVE - IP enrichment n/a</t>
        </is>
      </c>
      <c r="P1477" t="n">
        <v>0</v>
      </c>
      <c r="Q1477" t="n">
        <v>0</v>
      </c>
      <c r="R1477" t="inlineStr">
        <is>
          <t>T1499:Endpoint Denial of Service</t>
        </is>
      </c>
      <c r="S1477" t="n">
        <v>1</v>
      </c>
      <c r="T1477" t="inlineStr">
        <is>
          <t>LOW (40%)</t>
        </is>
      </c>
      <c r="U1477" t="inlineStr">
        <is>
          <t>UNLIKELY</t>
        </is>
      </c>
      <c r="V1477" t="inlineStr">
        <is>
          <t>CHECK_VENDOR</t>
        </is>
      </c>
      <c r="W1477" t="inlineStr">
        <is>
          <t>https://nvd.nist.gov/vuln/detail/CVE-2025-14511</t>
        </is>
      </c>
      <c r="X1477" t="inlineStr">
        <is>
          <t>NONE</t>
        </is>
      </c>
      <c r="Y1477" t="n">
        <v>0</v>
      </c>
      <c r="Z1477" t="inlineStr"/>
      <c r="AA1477" t="inlineStr">
        <is>
          <t>https://nvd.nist.gov/vuln/detail/CVE-2025-14511</t>
        </is>
      </c>
    </row>
    <row r="1478">
      <c r="A1478" t="inlineStr">
        <is>
          <t>CVE</t>
        </is>
      </c>
      <c r="B1478" t="inlineStr">
        <is>
          <t>CVE-2026-0542</t>
        </is>
      </c>
      <c r="C1478" t="inlineStr">
        <is>
          <t>ServiceNow has addressed a remote code execution vulnerability that was identified in the ServiceNow AI platform.  This vulnerability could enable an unauthenticated user, in certain circumstances, to execute code within the ServiceNow Sandbox.   
ServiceNow addressed this vulnerability by deploying a security update to hosted instances. Relevant security updates also have been provided to ServiceNow self-hosted customers and partners. Further, the vulnerability is addressed in the listed p</t>
        </is>
      </c>
      <c r="D1478" t="n">
        <v>8.5</v>
      </c>
      <c r="E1478" t="inlineStr">
        <is>
          <t>HIGH</t>
        </is>
      </c>
      <c r="F1478" t="n">
        <v>2</v>
      </c>
      <c r="G1478" t="n">
        <v>3</v>
      </c>
      <c r="H1478" t="inlineStr">
        <is>
          <t>HIGH</t>
        </is>
      </c>
      <c r="I1478" t="n">
        <v>14.5</v>
      </c>
      <c r="J1478" t="inlineStr">
        <is>
          <t>NO</t>
        </is>
      </c>
      <c r="K1478" t="inlineStr">
        <is>
          <t>2026-02-26 00:15</t>
        </is>
      </c>
      <c r="L1478" t="inlineStr">
        <is>
          <t>CHECK_VENDOR</t>
        </is>
      </c>
      <c r="M1478" t="inlineStr">
        <is>
          <t>See CVE details</t>
        </is>
      </c>
      <c r="N1478" t="inlineStr">
        <is>
          <t>P3</t>
        </is>
      </c>
      <c r="O1478" t="inlineStr">
        <is>
          <t>CVE - IP enrichment n/a</t>
        </is>
      </c>
      <c r="P1478" t="n">
        <v>0</v>
      </c>
      <c r="Q1478" t="n">
        <v>0</v>
      </c>
      <c r="R1478" t="inlineStr">
        <is>
          <t>T1190:Exploit Public-Facing Application | T1210:Exploitation of Remote Services</t>
        </is>
      </c>
      <c r="S1478" t="n">
        <v>1</v>
      </c>
      <c r="T1478" t="inlineStr">
        <is>
          <t>LOW (40%)</t>
        </is>
      </c>
      <c r="U1478" t="inlineStr">
        <is>
          <t>UNLIKELY</t>
        </is>
      </c>
      <c r="V1478" t="inlineStr">
        <is>
          <t>CHECK_VENDOR</t>
        </is>
      </c>
      <c r="W1478" t="inlineStr">
        <is>
          <t>https://nvd.nist.gov/vuln/detail/CVE-2026-0542</t>
        </is>
      </c>
      <c r="X1478" t="inlineStr">
        <is>
          <t>NONE</t>
        </is>
      </c>
      <c r="Y1478" t="n">
        <v>0</v>
      </c>
      <c r="Z1478" t="inlineStr"/>
      <c r="AA1478" t="inlineStr">
        <is>
          <t>https://nvd.nist.gov/vuln/detail/CVE-2026-0542</t>
        </is>
      </c>
    </row>
    <row r="1479">
      <c r="A1479" t="inlineStr">
        <is>
          <t>CVE</t>
        </is>
      </c>
      <c r="B1479" t="inlineStr">
        <is>
          <t>CVE-2026-0752</t>
        </is>
      </c>
      <c r="C1479" t="inlineStr">
        <is>
          <t>GitLab has remediated an issue in GitLab CE/EE affecting all versions from 16.2 before 18.7.5, 18.8 before 18.8.5, and 18.9 before 18.9.1 that under certain circumstances, could have allowed an unauthenticated user to inject arbitrary scripts into the Mermaid sandbox UI.</t>
        </is>
      </c>
      <c r="D1479" t="n">
        <v>8</v>
      </c>
      <c r="E1479" t="inlineStr">
        <is>
          <t>HIGH</t>
        </is>
      </c>
      <c r="F1479" t="n">
        <v>2</v>
      </c>
      <c r="G1479" t="n">
        <v>3</v>
      </c>
      <c r="H1479" t="inlineStr">
        <is>
          <t>HIGH</t>
        </is>
      </c>
      <c r="I1479" t="n">
        <v>14</v>
      </c>
      <c r="J1479" t="inlineStr">
        <is>
          <t>NO</t>
        </is>
      </c>
      <c r="K1479" t="inlineStr">
        <is>
          <t>2026-02-26 00:15</t>
        </is>
      </c>
      <c r="L1479" t="inlineStr">
        <is>
          <t>CHECK_VENDOR</t>
        </is>
      </c>
      <c r="M1479" t="inlineStr">
        <is>
          <t>See CVE details</t>
        </is>
      </c>
      <c r="N1479" t="inlineStr">
        <is>
          <t>P3</t>
        </is>
      </c>
      <c r="O1479" t="inlineStr">
        <is>
          <t>CVE - IP enrichment n/a</t>
        </is>
      </c>
      <c r="P1479" t="n">
        <v>0</v>
      </c>
      <c r="Q1479" t="n">
        <v>0</v>
      </c>
      <c r="R1479" t="inlineStr">
        <is>
          <t>T1189:Drive-by Compromise</t>
        </is>
      </c>
      <c r="S1479" t="n">
        <v>1</v>
      </c>
      <c r="T1479" t="inlineStr">
        <is>
          <t>LOW (40%)</t>
        </is>
      </c>
      <c r="U1479" t="inlineStr">
        <is>
          <t>UNLIKELY</t>
        </is>
      </c>
      <c r="V1479" t="inlineStr">
        <is>
          <t>CHECK_VENDOR</t>
        </is>
      </c>
      <c r="W1479" t="inlineStr">
        <is>
          <t>https://nvd.nist.gov/vuln/detail/CVE-2026-0752</t>
        </is>
      </c>
      <c r="X1479" t="inlineStr">
        <is>
          <t>NONE</t>
        </is>
      </c>
      <c r="Y1479" t="n">
        <v>0</v>
      </c>
      <c r="Z1479" t="inlineStr"/>
      <c r="AA1479" t="inlineStr">
        <is>
          <t>https://nvd.nist.gov/vuln/detail/CVE-2026-0752</t>
        </is>
      </c>
    </row>
    <row r="1480">
      <c r="A1480" t="inlineStr">
        <is>
          <t>CVE</t>
        </is>
      </c>
      <c r="B1480" t="inlineStr">
        <is>
          <t>CVE-2026-1388</t>
        </is>
      </c>
      <c r="C1480" t="inlineStr">
        <is>
          <t>GitLab has remediated an issue in GitLab CE/EE affecting all versions from 9.2 before 18.7.5, 18.8 before 18.8.5, and 18.9 before 18.9.1 that could have allowed an unauthenticated user to cause regular expression denial of service by sending specially crafted input to a merge request endpoint under certain conditions.</t>
        </is>
      </c>
      <c r="D1480" t="n">
        <v>7.5</v>
      </c>
      <c r="E1480" t="inlineStr">
        <is>
          <t>HIGH</t>
        </is>
      </c>
      <c r="F1480" t="n">
        <v>2</v>
      </c>
      <c r="G1480" t="n">
        <v>3</v>
      </c>
      <c r="H1480" t="inlineStr">
        <is>
          <t>HIGH</t>
        </is>
      </c>
      <c r="I1480" t="n">
        <v>13.5</v>
      </c>
      <c r="J1480" t="inlineStr">
        <is>
          <t>NO</t>
        </is>
      </c>
      <c r="K1480" t="inlineStr">
        <is>
          <t>2026-02-26 00:15</t>
        </is>
      </c>
      <c r="L1480" t="inlineStr">
        <is>
          <t>CHECK_VENDOR</t>
        </is>
      </c>
      <c r="M1480" t="inlineStr">
        <is>
          <t>See CVE details</t>
        </is>
      </c>
      <c r="N1480" t="inlineStr">
        <is>
          <t>P3</t>
        </is>
      </c>
      <c r="O1480" t="inlineStr">
        <is>
          <t>CVE - IP enrichment n/a</t>
        </is>
      </c>
      <c r="P1480" t="n">
        <v>0</v>
      </c>
      <c r="Q1480" t="n">
        <v>0</v>
      </c>
      <c r="R1480" t="inlineStr">
        <is>
          <t>T1499:Endpoint Denial of Service</t>
        </is>
      </c>
      <c r="S1480" t="n">
        <v>1</v>
      </c>
      <c r="T1480" t="inlineStr">
        <is>
          <t>LOW (40%)</t>
        </is>
      </c>
      <c r="U1480" t="inlineStr">
        <is>
          <t>UNLIKELY</t>
        </is>
      </c>
      <c r="V1480" t="inlineStr">
        <is>
          <t>CHECK_VENDOR</t>
        </is>
      </c>
      <c r="W1480" t="inlineStr">
        <is>
          <t>https://nvd.nist.gov/vuln/detail/CVE-2026-1388</t>
        </is>
      </c>
      <c r="X1480" t="inlineStr">
        <is>
          <t>NONE</t>
        </is>
      </c>
      <c r="Y1480" t="n">
        <v>0</v>
      </c>
      <c r="Z1480" t="inlineStr"/>
      <c r="AA1480" t="inlineStr">
        <is>
          <t>https://nvd.nist.gov/vuln/detail/CVE-2026-1388</t>
        </is>
      </c>
    </row>
    <row r="1481">
      <c r="A1481" t="inlineStr">
        <is>
          <t>CVE</t>
        </is>
      </c>
      <c r="B1481" t="inlineStr">
        <is>
          <t>CVE-2026-1662</t>
        </is>
      </c>
      <c r="C1481" t="inlineStr">
        <is>
          <t>GitLab has remediated an issue in GitLab CE/EE affecting all versions from 14.4 before 18.7.5, 18.8 before 18.8.5, and 18.9 before 18.9.1 that could have allowed an unauthenticated user to cause Denial of Service by sending specially crafted requests to the Jira events endpoint.</t>
        </is>
      </c>
      <c r="D1481" t="n">
        <v>7.5</v>
      </c>
      <c r="E1481" t="inlineStr">
        <is>
          <t>HIGH</t>
        </is>
      </c>
      <c r="F1481" t="n">
        <v>2</v>
      </c>
      <c r="G1481" t="n">
        <v>3</v>
      </c>
      <c r="H1481" t="inlineStr">
        <is>
          <t>HIGH</t>
        </is>
      </c>
      <c r="I1481" t="n">
        <v>13.5</v>
      </c>
      <c r="J1481" t="inlineStr">
        <is>
          <t>NO</t>
        </is>
      </c>
      <c r="K1481" t="inlineStr">
        <is>
          <t>2026-02-26 00:15</t>
        </is>
      </c>
      <c r="L1481" t="inlineStr">
        <is>
          <t>CHECK_VENDOR</t>
        </is>
      </c>
      <c r="M1481" t="inlineStr">
        <is>
          <t>See CVE details</t>
        </is>
      </c>
      <c r="N1481" t="inlineStr">
        <is>
          <t>P3</t>
        </is>
      </c>
      <c r="O1481" t="inlineStr">
        <is>
          <t>CVE - IP enrichment n/a</t>
        </is>
      </c>
      <c r="P1481" t="n">
        <v>0</v>
      </c>
      <c r="Q1481" t="n">
        <v>0</v>
      </c>
      <c r="R1481" t="inlineStr">
        <is>
          <t>T1499:Endpoint Denial of Service</t>
        </is>
      </c>
      <c r="S1481" t="n">
        <v>1</v>
      </c>
      <c r="T1481" t="inlineStr">
        <is>
          <t>LOW (40%)</t>
        </is>
      </c>
      <c r="U1481" t="inlineStr">
        <is>
          <t>UNLIKELY</t>
        </is>
      </c>
      <c r="V1481" t="inlineStr">
        <is>
          <t>CHECK_VENDOR</t>
        </is>
      </c>
      <c r="W1481" t="inlineStr">
        <is>
          <t>https://nvd.nist.gov/vuln/detail/CVE-2026-1662</t>
        </is>
      </c>
      <c r="X1481" t="inlineStr">
        <is>
          <t>NONE</t>
        </is>
      </c>
      <c r="Y1481" t="n">
        <v>0</v>
      </c>
      <c r="Z1481" t="inlineStr"/>
      <c r="AA1481" t="inlineStr">
        <is>
          <t>https://nvd.nist.gov/vuln/detail/CVE-2026-1662</t>
        </is>
      </c>
    </row>
    <row r="1482">
      <c r="A1482" t="inlineStr">
        <is>
          <t>CVE</t>
        </is>
      </c>
      <c r="B1482" t="inlineStr">
        <is>
          <t>CVE-2026-1725</t>
        </is>
      </c>
      <c r="C1482" t="inlineStr">
        <is>
          <t>GitLab has remediated an issue in GitLab CE/EE affecting versions from 18.9 before 18.9.1 that could have under certain conditions, allowed an unauthenticated user to cause denial of service by sending specially crafted requests to a CI jobs API endpoint.</t>
        </is>
      </c>
      <c r="D1482" t="n">
        <v>5.3</v>
      </c>
      <c r="E1482" t="inlineStr">
        <is>
          <t>MEDIUM</t>
        </is>
      </c>
      <c r="F1482" t="n">
        <v>2</v>
      </c>
      <c r="G1482" t="n">
        <v>2</v>
      </c>
      <c r="H1482" t="inlineStr">
        <is>
          <t>MEDIUM</t>
        </is>
      </c>
      <c r="I1482" t="n">
        <v>9.300000000000001</v>
      </c>
      <c r="J1482" t="inlineStr">
        <is>
          <t>NO</t>
        </is>
      </c>
      <c r="K1482" t="inlineStr">
        <is>
          <t>2026-02-26 00:15</t>
        </is>
      </c>
      <c r="L1482" t="inlineStr">
        <is>
          <t>CHECK_VENDOR</t>
        </is>
      </c>
      <c r="M1482" t="inlineStr">
        <is>
          <t>See CVE details</t>
        </is>
      </c>
      <c r="N1482" t="inlineStr">
        <is>
          <t>P4</t>
        </is>
      </c>
      <c r="O1482" t="inlineStr">
        <is>
          <t>CVE - IP enrichment n/a</t>
        </is>
      </c>
      <c r="P1482" t="n">
        <v>0</v>
      </c>
      <c r="Q1482" t="n">
        <v>0</v>
      </c>
      <c r="R1482" t="inlineStr">
        <is>
          <t>T1499:Endpoint Denial of Service</t>
        </is>
      </c>
      <c r="S1482" t="n">
        <v>1</v>
      </c>
      <c r="T1482" t="inlineStr">
        <is>
          <t>LOW (40%)</t>
        </is>
      </c>
      <c r="U1482" t="inlineStr">
        <is>
          <t>UNLIKELY</t>
        </is>
      </c>
      <c r="V1482" t="inlineStr">
        <is>
          <t>CHECK_VENDOR</t>
        </is>
      </c>
      <c r="W1482" t="inlineStr">
        <is>
          <t>https://nvd.nist.gov/vuln/detail/CVE-2026-1725</t>
        </is>
      </c>
      <c r="X1482" t="inlineStr">
        <is>
          <t>NONE</t>
        </is>
      </c>
      <c r="Y1482" t="n">
        <v>0</v>
      </c>
      <c r="Z1482" t="inlineStr"/>
      <c r="AA1482" t="inlineStr">
        <is>
          <t>https://nvd.nist.gov/vuln/detail/CVE-2026-1725</t>
        </is>
      </c>
    </row>
    <row r="1483">
      <c r="A1483" t="inlineStr">
        <is>
          <t>CVE</t>
        </is>
      </c>
      <c r="B1483" t="inlineStr">
        <is>
          <t>CVE-2026-1747</t>
        </is>
      </c>
      <c r="C1483" t="inlineStr">
        <is>
          <t>GitLab has remediated an issue in GitLab EE affecting all versions from 17.11 before 18.7.5, 18.8 before 18.8.5, and 18.9 before 18.9.1 that, under certain conditions, could have allowed Developer-role users with insufficient privileges to make unauthorized modifications to protected Conan packages.</t>
        </is>
      </c>
      <c r="D1483" t="n">
        <v>4.3</v>
      </c>
      <c r="E1483" t="inlineStr">
        <is>
          <t>MEDIUM</t>
        </is>
      </c>
      <c r="F1483" t="n">
        <v>2</v>
      </c>
      <c r="G1483" t="n">
        <v>2</v>
      </c>
      <c r="H1483" t="inlineStr">
        <is>
          <t>MEDIUM</t>
        </is>
      </c>
      <c r="I1483" t="n">
        <v>8.300000000000001</v>
      </c>
      <c r="J1483" t="inlineStr">
        <is>
          <t>NO</t>
        </is>
      </c>
      <c r="K1483" t="inlineStr">
        <is>
          <t>2026-02-26 00:15</t>
        </is>
      </c>
      <c r="L1483" t="inlineStr">
        <is>
          <t>CHECK_VENDOR</t>
        </is>
      </c>
      <c r="M1483" t="inlineStr">
        <is>
          <t>See CVE details</t>
        </is>
      </c>
      <c r="N1483" t="inlineStr">
        <is>
          <t>P4</t>
        </is>
      </c>
      <c r="O1483" t="inlineStr">
        <is>
          <t>CVE - IP enrichment n/a</t>
        </is>
      </c>
      <c r="P1483" t="n">
        <v>0</v>
      </c>
      <c r="Q1483" t="n">
        <v>0</v>
      </c>
      <c r="R1483" t="inlineStr">
        <is>
          <t>T1190:Exploit Public-Facing Application</t>
        </is>
      </c>
      <c r="S1483" t="n">
        <v>1</v>
      </c>
      <c r="T1483" t="inlineStr">
        <is>
          <t>LOW (40%)</t>
        </is>
      </c>
      <c r="U1483" t="inlineStr">
        <is>
          <t>UNLIKELY</t>
        </is>
      </c>
      <c r="V1483" t="inlineStr">
        <is>
          <t>CHECK_VENDOR</t>
        </is>
      </c>
      <c r="W1483" t="inlineStr">
        <is>
          <t>https://nvd.nist.gov/vuln/detail/CVE-2026-1747</t>
        </is>
      </c>
      <c r="X1483" t="inlineStr">
        <is>
          <t>NONE</t>
        </is>
      </c>
      <c r="Y1483" t="n">
        <v>0</v>
      </c>
      <c r="Z1483" t="inlineStr"/>
      <c r="AA1483" t="inlineStr">
        <is>
          <t>https://nvd.nist.gov/vuln/detail/CVE-2026-1747</t>
        </is>
      </c>
    </row>
    <row r="1484">
      <c r="A1484" t="inlineStr">
        <is>
          <t>CVE</t>
        </is>
      </c>
      <c r="B1484" t="inlineStr">
        <is>
          <t>CVE-2026-22721</t>
        </is>
      </c>
      <c r="C1484" t="inlineStr">
        <is>
          <t>VMware Aria Operations contains a privilege escalation vulnerability. A malicious actor with privileges in vCenter to access Aria Operations may leverage this vulnerability to obtain administrative access in VMware Aria Operations. To remediate CVE-2026-22721, apply the patches listed in the 'Fixed Version' column of the 'Response Matrix' found in  VMSA-2026-0001 https://support.broadcom.com/web/ecx/support-content-notification/-/external/content/SecurityAdvisories/0/36947 .</t>
        </is>
      </c>
      <c r="D1484" t="n">
        <v>6.2</v>
      </c>
      <c r="E1484" t="inlineStr">
        <is>
          <t>MEDIUM</t>
        </is>
      </c>
      <c r="F1484" t="n">
        <v>2</v>
      </c>
      <c r="G1484" t="n">
        <v>2</v>
      </c>
      <c r="H1484" t="inlineStr">
        <is>
          <t>MEDIUM</t>
        </is>
      </c>
      <c r="I1484" t="n">
        <v>10.2</v>
      </c>
      <c r="J1484" t="inlineStr">
        <is>
          <t>NO</t>
        </is>
      </c>
      <c r="K1484" t="inlineStr">
        <is>
          <t>2026-02-26 00:15</t>
        </is>
      </c>
      <c r="L1484" t="inlineStr">
        <is>
          <t>CHECK_VENDOR</t>
        </is>
      </c>
      <c r="M1484" t="inlineStr">
        <is>
          <t>See CVE details</t>
        </is>
      </c>
      <c r="N1484" t="inlineStr">
        <is>
          <t>P4</t>
        </is>
      </c>
      <c r="O1484" t="inlineStr">
        <is>
          <t>CVE - IP enrichment n/a</t>
        </is>
      </c>
      <c r="P1484" t="n">
        <v>0</v>
      </c>
      <c r="Q1484" t="n">
        <v>0</v>
      </c>
      <c r="R1484" t="inlineStr">
        <is>
          <t>T1068:Exploitation for Privilege Escalation</t>
        </is>
      </c>
      <c r="S1484" t="n">
        <v>1</v>
      </c>
      <c r="T1484" t="inlineStr">
        <is>
          <t>LOW (40%)</t>
        </is>
      </c>
      <c r="U1484" t="inlineStr">
        <is>
          <t>UNLIKELY</t>
        </is>
      </c>
      <c r="V1484" t="inlineStr">
        <is>
          <t>CHECK_VENDOR</t>
        </is>
      </c>
      <c r="W1484" t="inlineStr">
        <is>
          <t>https://nvd.nist.gov/vuln/detail/CVE-2026-22721</t>
        </is>
      </c>
      <c r="X1484" t="inlineStr">
        <is>
          <t>NONE</t>
        </is>
      </c>
      <c r="Y1484" t="n">
        <v>0</v>
      </c>
      <c r="Z1484" t="inlineStr"/>
      <c r="AA1484" t="inlineStr">
        <is>
          <t>https://nvd.nist.gov/vuln/detail/CVE-2026-22721</t>
        </is>
      </c>
    </row>
    <row r="1485">
      <c r="A1485" t="inlineStr">
        <is>
          <t>CVE</t>
        </is>
      </c>
      <c r="B1485" t="inlineStr">
        <is>
          <t>CVE-2026-25942</t>
        </is>
      </c>
      <c r="C1485" t="inlineStr">
        <is>
          <t>FreeRDP is a free implementation of the Remote Desktop Protocol. Prior to version 3.23.0, `xf_rail_server_execute_result` indexes the global `error_code_names[]` array (7 elements, indices 0–6) with an unchecked `execResult-&gt;execResult` value received from the server, allowing an out-of-bounds read when the server sends an `execResult` value of 7 or greater. Version 3.23.0 fixes the issue.</t>
        </is>
      </c>
      <c r="D1485" t="n">
        <v>5</v>
      </c>
      <c r="E1485" t="inlineStr">
        <is>
          <t>MEDIUM</t>
        </is>
      </c>
      <c r="F1485" t="n">
        <v>2</v>
      </c>
      <c r="G1485" t="n">
        <v>2</v>
      </c>
      <c r="H1485" t="inlineStr">
        <is>
          <t>MEDIUM</t>
        </is>
      </c>
      <c r="I1485" t="n">
        <v>9</v>
      </c>
      <c r="J1485" t="inlineStr">
        <is>
          <t>NO</t>
        </is>
      </c>
      <c r="K1485" t="inlineStr">
        <is>
          <t>2026-02-26 00:15</t>
        </is>
      </c>
      <c r="L1485" t="inlineStr">
        <is>
          <t>CHECK_VENDOR</t>
        </is>
      </c>
      <c r="M1485" t="inlineStr">
        <is>
          <t>See CVE details</t>
        </is>
      </c>
      <c r="N1485" t="inlineStr">
        <is>
          <t>P4</t>
        </is>
      </c>
      <c r="O1485" t="inlineStr">
        <is>
          <t>CVE - IP enrichment n/a</t>
        </is>
      </c>
      <c r="P1485" t="n">
        <v>0</v>
      </c>
      <c r="Q1485" t="n">
        <v>0</v>
      </c>
      <c r="R1485" t="inlineStr">
        <is>
          <t>T1203:Exploitation for Client Execution</t>
        </is>
      </c>
      <c r="S1485" t="n">
        <v>1</v>
      </c>
      <c r="T1485" t="inlineStr">
        <is>
          <t>LOW (40%)</t>
        </is>
      </c>
      <c r="U1485" t="inlineStr">
        <is>
          <t>UNLIKELY</t>
        </is>
      </c>
      <c r="V1485" t="inlineStr">
        <is>
          <t>CHECK_VENDOR</t>
        </is>
      </c>
      <c r="W1485" t="inlineStr">
        <is>
          <t>https://nvd.nist.gov/vuln/detail/CVE-2026-25942</t>
        </is>
      </c>
      <c r="X1485" t="inlineStr">
        <is>
          <t>NONE</t>
        </is>
      </c>
      <c r="Y1485" t="n">
        <v>0</v>
      </c>
      <c r="Z1485" t="inlineStr"/>
      <c r="AA1485" t="inlineStr">
        <is>
          <t>https://nvd.nist.gov/vuln/detail/CVE-2026-25942</t>
        </is>
      </c>
    </row>
    <row r="1486">
      <c r="A1486" t="inlineStr">
        <is>
          <t>CVE</t>
        </is>
      </c>
      <c r="B1486" t="inlineStr">
        <is>
          <t>CVE-2026-25952</t>
        </is>
      </c>
      <c r="C1486" t="inlineStr">
        <is>
          <t>FreeRDP is a free implementation of the Remote Desktop Protocol. Prior to version 3.23.0, `xf_SetWindowMinMaxInfo` dereferences a freed `xfAppWindow` pointer because `xf_rail_get_window` in `xf_rail_server_min_max_info` returns an unprotected pointer from the `railWindows` hash table, and the main thread can concurrently delete the window (via a window delete order) while the RAIL channel thread is still using the pointer. Version 3.23.0 fixes the issue.</t>
        </is>
      </c>
      <c r="D1486" t="n">
        <v>5</v>
      </c>
      <c r="E1486" t="inlineStr">
        <is>
          <t>MEDIUM</t>
        </is>
      </c>
      <c r="F1486" t="n">
        <v>2</v>
      </c>
      <c r="G1486" t="n">
        <v>2</v>
      </c>
      <c r="H1486" t="inlineStr">
        <is>
          <t>MEDIUM</t>
        </is>
      </c>
      <c r="I1486" t="n">
        <v>9</v>
      </c>
      <c r="J1486" t="inlineStr">
        <is>
          <t>NO</t>
        </is>
      </c>
      <c r="K1486" t="inlineStr">
        <is>
          <t>2026-02-26 00:15</t>
        </is>
      </c>
      <c r="L1486" t="inlineStr">
        <is>
          <t>CHECK_VENDOR</t>
        </is>
      </c>
      <c r="M1486" t="inlineStr">
        <is>
          <t>See CVE details</t>
        </is>
      </c>
      <c r="N1486" t="inlineStr">
        <is>
          <t>P4</t>
        </is>
      </c>
      <c r="O1486" t="inlineStr">
        <is>
          <t>CVE - IP enrichment n/a</t>
        </is>
      </c>
      <c r="P1486" t="n">
        <v>0</v>
      </c>
      <c r="Q1486" t="n">
        <v>0</v>
      </c>
      <c r="R1486" t="inlineStr">
        <is>
          <t>T1203:Exploitation for Client Execution</t>
        </is>
      </c>
      <c r="S1486" t="n">
        <v>1</v>
      </c>
      <c r="T1486" t="inlineStr">
        <is>
          <t>LOW (40%)</t>
        </is>
      </c>
      <c r="U1486" t="inlineStr">
        <is>
          <t>UNLIKELY</t>
        </is>
      </c>
      <c r="V1486" t="inlineStr">
        <is>
          <t>CHECK_VENDOR</t>
        </is>
      </c>
      <c r="W1486" t="inlineStr">
        <is>
          <t>https://nvd.nist.gov/vuln/detail/CVE-2026-25952</t>
        </is>
      </c>
      <c r="X1486" t="inlineStr">
        <is>
          <t>NONE</t>
        </is>
      </c>
      <c r="Y1486" t="n">
        <v>0</v>
      </c>
      <c r="Z1486" t="inlineStr"/>
      <c r="AA1486" t="inlineStr">
        <is>
          <t>https://nvd.nist.gov/vuln/detail/CVE-2026-25952</t>
        </is>
      </c>
    </row>
    <row r="1487">
      <c r="A1487" t="inlineStr">
        <is>
          <t>CVE</t>
        </is>
      </c>
      <c r="B1487" t="inlineStr">
        <is>
          <t>CVE-2026-25953</t>
        </is>
      </c>
      <c r="C1487" t="inlineStr">
        <is>
          <t>FreeRDP is a free implementation of the Remote Desktop Protocol. Prior to version 3.23.0, `xf_AppUpdateWindowFromSurface` reads from a freed `xfAppWindow` because the RDPGFX DVC thread obtains a bare pointer via `xf_rail_get_window` without any lifetime protection, while the main thread can concurrently delete the window through a fastpath window-delete order. Version 3.23.0 fixes the issue.</t>
        </is>
      </c>
      <c r="D1487" t="n">
        <v>5</v>
      </c>
      <c r="E1487" t="inlineStr">
        <is>
          <t>MEDIUM</t>
        </is>
      </c>
      <c r="F1487" t="n">
        <v>2</v>
      </c>
      <c r="G1487" t="n">
        <v>2</v>
      </c>
      <c r="H1487" t="inlineStr">
        <is>
          <t>MEDIUM</t>
        </is>
      </c>
      <c r="I1487" t="n">
        <v>9</v>
      </c>
      <c r="J1487" t="inlineStr">
        <is>
          <t>NO</t>
        </is>
      </c>
      <c r="K1487" t="inlineStr">
        <is>
          <t>2026-02-26 00:15</t>
        </is>
      </c>
      <c r="L1487" t="inlineStr">
        <is>
          <t>CHECK_VENDOR</t>
        </is>
      </c>
      <c r="M1487" t="inlineStr">
        <is>
          <t>See CVE details</t>
        </is>
      </c>
      <c r="N1487" t="inlineStr">
        <is>
          <t>P4</t>
        </is>
      </c>
      <c r="O1487" t="inlineStr">
        <is>
          <t>CVE - IP enrichment n/a</t>
        </is>
      </c>
      <c r="P1487" t="n">
        <v>0</v>
      </c>
      <c r="Q1487" t="n">
        <v>0</v>
      </c>
      <c r="R1487" t="inlineStr">
        <is>
          <t>T1203:Exploitation for Client Execution</t>
        </is>
      </c>
      <c r="S1487" t="n">
        <v>1</v>
      </c>
      <c r="T1487" t="inlineStr">
        <is>
          <t>LOW (40%)</t>
        </is>
      </c>
      <c r="U1487" t="inlineStr">
        <is>
          <t>UNLIKELY</t>
        </is>
      </c>
      <c r="V1487" t="inlineStr">
        <is>
          <t>CHECK_VENDOR</t>
        </is>
      </c>
      <c r="W1487" t="inlineStr">
        <is>
          <t>https://nvd.nist.gov/vuln/detail/CVE-2026-25953</t>
        </is>
      </c>
      <c r="X1487" t="inlineStr">
        <is>
          <t>NONE</t>
        </is>
      </c>
      <c r="Y1487" t="n">
        <v>0</v>
      </c>
      <c r="Z1487" t="inlineStr"/>
      <c r="AA1487" t="inlineStr">
        <is>
          <t>https://nvd.nist.gov/vuln/detail/CVE-2026-25953</t>
        </is>
      </c>
    </row>
    <row r="1488">
      <c r="A1488" t="inlineStr">
        <is>
          <t>CVE</t>
        </is>
      </c>
      <c r="B1488" t="inlineStr">
        <is>
          <t>CVE-2026-25954</t>
        </is>
      </c>
      <c r="C1488" t="inlineStr">
        <is>
          <t>FreeRDP is a free implementation of the Remote Desktop Protocol. Prior to version 3.23.0, `xf_rail_server_local_move_size` dereferences a freed `xfAppWindow` pointer because `xf_rail_get_window` returns an unprotected pointer from the `railWindows` hash table, and the main thread can concurrently delete the window (via a window delete order) while the RAIL channel thread is still using the pointer. Version 3.23.0 fixes the issue.</t>
        </is>
      </c>
      <c r="D1488" t="n">
        <v>5</v>
      </c>
      <c r="E1488" t="inlineStr">
        <is>
          <t>MEDIUM</t>
        </is>
      </c>
      <c r="F1488" t="n">
        <v>2</v>
      </c>
      <c r="G1488" t="n">
        <v>2</v>
      </c>
      <c r="H1488" t="inlineStr">
        <is>
          <t>MEDIUM</t>
        </is>
      </c>
      <c r="I1488" t="n">
        <v>9</v>
      </c>
      <c r="J1488" t="inlineStr">
        <is>
          <t>NO</t>
        </is>
      </c>
      <c r="K1488" t="inlineStr">
        <is>
          <t>2026-02-26 00:15</t>
        </is>
      </c>
      <c r="L1488" t="inlineStr">
        <is>
          <t>CHECK_VENDOR</t>
        </is>
      </c>
      <c r="M1488" t="inlineStr">
        <is>
          <t>See CVE details</t>
        </is>
      </c>
      <c r="N1488" t="inlineStr">
        <is>
          <t>P4</t>
        </is>
      </c>
      <c r="O1488" t="inlineStr">
        <is>
          <t>CVE - IP enrichment n/a</t>
        </is>
      </c>
      <c r="P1488" t="n">
        <v>0</v>
      </c>
      <c r="Q1488" t="n">
        <v>0</v>
      </c>
      <c r="R1488" t="inlineStr">
        <is>
          <t>T1203:Exploitation for Client Execution</t>
        </is>
      </c>
      <c r="S1488" t="n">
        <v>1</v>
      </c>
      <c r="T1488" t="inlineStr">
        <is>
          <t>LOW (40%)</t>
        </is>
      </c>
      <c r="U1488" t="inlineStr">
        <is>
          <t>UNLIKELY</t>
        </is>
      </c>
      <c r="V1488" t="inlineStr">
        <is>
          <t>CHECK_VENDOR</t>
        </is>
      </c>
      <c r="W1488" t="inlineStr">
        <is>
          <t>https://nvd.nist.gov/vuln/detail/CVE-2026-25954</t>
        </is>
      </c>
      <c r="X1488" t="inlineStr">
        <is>
          <t>NONE</t>
        </is>
      </c>
      <c r="Y1488" t="n">
        <v>0</v>
      </c>
      <c r="Z1488" t="inlineStr"/>
      <c r="AA1488" t="inlineStr">
        <is>
          <t>https://nvd.nist.gov/vuln/detail/CVE-2026-25954</t>
        </is>
      </c>
    </row>
    <row r="1489">
      <c r="A1489" t="inlineStr">
        <is>
          <t>CVE</t>
        </is>
      </c>
      <c r="B1489" t="inlineStr">
        <is>
          <t>CVE-2026-25955</t>
        </is>
      </c>
      <c r="C1489" t="inlineStr">
        <is>
          <t>FreeRDP is a free implementation of the Remote Desktop Protocol. Prior to version 3.23.0, `xf_AppUpdateWindowFromSurface` reuses a cached `XImage` whose `data` pointer references a freed RDPGFX surface buffer, because `gdi_DeleteSurface` frees `surface-&gt;data` without invalidating the `appWindow-&gt;image` that aliases it. Version 3.23.0 fixes the issue.</t>
        </is>
      </c>
      <c r="D1489" t="n">
        <v>5</v>
      </c>
      <c r="E1489" t="inlineStr">
        <is>
          <t>MEDIUM</t>
        </is>
      </c>
      <c r="F1489" t="n">
        <v>2</v>
      </c>
      <c r="G1489" t="n">
        <v>2</v>
      </c>
      <c r="H1489" t="inlineStr">
        <is>
          <t>MEDIUM</t>
        </is>
      </c>
      <c r="I1489" t="n">
        <v>9</v>
      </c>
      <c r="J1489" t="inlineStr">
        <is>
          <t>NO</t>
        </is>
      </c>
      <c r="K1489" t="inlineStr">
        <is>
          <t>2026-02-26 00:15</t>
        </is>
      </c>
      <c r="L1489" t="inlineStr">
        <is>
          <t>CHECK_VENDOR</t>
        </is>
      </c>
      <c r="M1489" t="inlineStr">
        <is>
          <t>See CVE details</t>
        </is>
      </c>
      <c r="N1489" t="inlineStr">
        <is>
          <t>P4</t>
        </is>
      </c>
      <c r="O1489" t="inlineStr">
        <is>
          <t>CVE - IP enrichment n/a</t>
        </is>
      </c>
      <c r="P1489" t="n">
        <v>0</v>
      </c>
      <c r="Q1489" t="n">
        <v>0</v>
      </c>
      <c r="R1489" t="inlineStr">
        <is>
          <t>T1203:Exploitation for Client Execution</t>
        </is>
      </c>
      <c r="S1489" t="n">
        <v>1</v>
      </c>
      <c r="T1489" t="inlineStr">
        <is>
          <t>LOW (40%)</t>
        </is>
      </c>
      <c r="U1489" t="inlineStr">
        <is>
          <t>UNLIKELY</t>
        </is>
      </c>
      <c r="V1489" t="inlineStr">
        <is>
          <t>CHECK_VENDOR</t>
        </is>
      </c>
      <c r="W1489" t="inlineStr">
        <is>
          <t>https://nvd.nist.gov/vuln/detail/CVE-2026-25955</t>
        </is>
      </c>
      <c r="X1489" t="inlineStr">
        <is>
          <t>NONE</t>
        </is>
      </c>
      <c r="Y1489" t="n">
        <v>0</v>
      </c>
      <c r="Z1489" t="inlineStr"/>
      <c r="AA1489" t="inlineStr">
        <is>
          <t>https://nvd.nist.gov/vuln/detail/CVE-2026-25955</t>
        </is>
      </c>
    </row>
    <row r="1490">
      <c r="A1490" t="inlineStr">
        <is>
          <t>CVE</t>
        </is>
      </c>
      <c r="B1490" t="inlineStr">
        <is>
          <t>CVE-2026-25959</t>
        </is>
      </c>
      <c r="C1490" t="inlineStr">
        <is>
          <t>FreeRDP is a free implementation of the Remote Desktop Protocol. Prior to version 3.23.0, `xf_cliprdr_provide_data_` passes freed `pDstData` to `XChangeProperty` because the cliprdr channel thread calls `xf_cliprdr_server_format_data_response` which converts and uses the clipboard data without holding any lock, while the X11 event thread concurrently calls `xf_cliprdr_clear_cached_data` → `HashTable_Clear` which frees the same data via `xf_cached_data_free`, triggering a heap use after free. Ver</t>
        </is>
      </c>
      <c r="D1490" t="n">
        <v>5</v>
      </c>
      <c r="E1490" t="inlineStr">
        <is>
          <t>MEDIUM</t>
        </is>
      </c>
      <c r="F1490" t="n">
        <v>2</v>
      </c>
      <c r="G1490" t="n">
        <v>2</v>
      </c>
      <c r="H1490" t="inlineStr">
        <is>
          <t>MEDIUM</t>
        </is>
      </c>
      <c r="I1490" t="n">
        <v>9</v>
      </c>
      <c r="J1490" t="inlineStr">
        <is>
          <t>NO</t>
        </is>
      </c>
      <c r="K1490" t="inlineStr">
        <is>
          <t>2026-02-26 00:15</t>
        </is>
      </c>
      <c r="L1490" t="inlineStr">
        <is>
          <t>CHECK_VENDOR</t>
        </is>
      </c>
      <c r="M1490" t="inlineStr">
        <is>
          <t>See CVE details</t>
        </is>
      </c>
      <c r="N1490" t="inlineStr">
        <is>
          <t>P4</t>
        </is>
      </c>
      <c r="O1490" t="inlineStr">
        <is>
          <t>CVE - IP enrichment n/a</t>
        </is>
      </c>
      <c r="P1490" t="n">
        <v>0</v>
      </c>
      <c r="Q1490" t="n">
        <v>0</v>
      </c>
      <c r="R1490" t="inlineStr">
        <is>
          <t>T1203:Exploitation for Client Execution</t>
        </is>
      </c>
      <c r="S1490" t="n">
        <v>1</v>
      </c>
      <c r="T1490" t="inlineStr">
        <is>
          <t>LOW (40%)</t>
        </is>
      </c>
      <c r="U1490" t="inlineStr">
        <is>
          <t>UNLIKELY</t>
        </is>
      </c>
      <c r="V1490" t="inlineStr">
        <is>
          <t>CHECK_VENDOR</t>
        </is>
      </c>
      <c r="W1490" t="inlineStr">
        <is>
          <t>https://nvd.nist.gov/vuln/detail/CVE-2026-25959</t>
        </is>
      </c>
      <c r="X1490" t="inlineStr">
        <is>
          <t>NONE</t>
        </is>
      </c>
      <c r="Y1490" t="n">
        <v>0</v>
      </c>
      <c r="Z1490" t="inlineStr"/>
      <c r="AA1490" t="inlineStr">
        <is>
          <t>https://nvd.nist.gov/vuln/detail/CVE-2026-25959</t>
        </is>
      </c>
    </row>
    <row r="1491">
      <c r="A1491" t="inlineStr">
        <is>
          <t>CVE</t>
        </is>
      </c>
      <c r="B1491" t="inlineStr">
        <is>
          <t>CVE-2026-25997</t>
        </is>
      </c>
      <c r="C1491" t="inlineStr">
        <is>
          <t>FreeRDP is a free implementation of the Remote Desktop Protocol. Prior to version 3.23.0, `xf_clipboard_format_equal` reads freed `lastSentFormats` memory because `xf_clipboard_formats_free` (called from the cliprdr channel thread during auto-reconnect) frees the array while the X11 event thread concurrently iterates it in `xf_clipboard_changed`, triggering a heap use after free. Version 3.23.0 fixes the issue.</t>
        </is>
      </c>
      <c r="D1491" t="n">
        <v>5</v>
      </c>
      <c r="E1491" t="inlineStr">
        <is>
          <t>MEDIUM</t>
        </is>
      </c>
      <c r="F1491" t="n">
        <v>2</v>
      </c>
      <c r="G1491" t="n">
        <v>2</v>
      </c>
      <c r="H1491" t="inlineStr">
        <is>
          <t>MEDIUM</t>
        </is>
      </c>
      <c r="I1491" t="n">
        <v>9</v>
      </c>
      <c r="J1491" t="inlineStr">
        <is>
          <t>NO</t>
        </is>
      </c>
      <c r="K1491" t="inlineStr">
        <is>
          <t>2026-02-26 00:15</t>
        </is>
      </c>
      <c r="L1491" t="inlineStr">
        <is>
          <t>CHECK_VENDOR</t>
        </is>
      </c>
      <c r="M1491" t="inlineStr">
        <is>
          <t>See CVE details</t>
        </is>
      </c>
      <c r="N1491" t="inlineStr">
        <is>
          <t>P4</t>
        </is>
      </c>
      <c r="O1491" t="inlineStr">
        <is>
          <t>CVE - IP enrichment n/a</t>
        </is>
      </c>
      <c r="P1491" t="n">
        <v>0</v>
      </c>
      <c r="Q1491" t="n">
        <v>0</v>
      </c>
      <c r="R1491" t="inlineStr">
        <is>
          <t>T1203:Exploitation for Client Execution</t>
        </is>
      </c>
      <c r="S1491" t="n">
        <v>1</v>
      </c>
      <c r="T1491" t="inlineStr">
        <is>
          <t>LOW (40%)</t>
        </is>
      </c>
      <c r="U1491" t="inlineStr">
        <is>
          <t>UNLIKELY</t>
        </is>
      </c>
      <c r="V1491" t="inlineStr">
        <is>
          <t>CHECK_VENDOR</t>
        </is>
      </c>
      <c r="W1491" t="inlineStr">
        <is>
          <t>https://nvd.nist.gov/vuln/detail/CVE-2026-25997</t>
        </is>
      </c>
      <c r="X1491" t="inlineStr">
        <is>
          <t>NONE</t>
        </is>
      </c>
      <c r="Y1491" t="n">
        <v>0</v>
      </c>
      <c r="Z1491" t="inlineStr"/>
      <c r="AA1491" t="inlineStr">
        <is>
          <t>https://nvd.nist.gov/vuln/detail/CVE-2026-25997</t>
        </is>
      </c>
    </row>
    <row r="1492">
      <c r="A1492" t="inlineStr">
        <is>
          <t>CVE</t>
        </is>
      </c>
      <c r="B1492" t="inlineStr">
        <is>
          <t>CVE-2026-26271</t>
        </is>
      </c>
      <c r="C1492" t="inlineStr">
        <is>
          <t>FreeRDP is a free implementation of the Remote Desktop Protocol. Prior to version 3.23.0, a buffer overread in `freerdp_image_copy_from_icon_data()` (libfreerdp/codec/color.c) can be triggered by crafted RDP Window Icon (TS_ICON_INFO) data. The bug is reachable over the network when a client processes icon data from an RDP server (or from a man-in-the-middle). Version 3.23.0 fixes the issue.</t>
        </is>
      </c>
      <c r="D1492" t="n">
        <v>5</v>
      </c>
      <c r="E1492" t="inlineStr">
        <is>
          <t>MEDIUM</t>
        </is>
      </c>
      <c r="F1492" t="n">
        <v>2</v>
      </c>
      <c r="G1492" t="n">
        <v>2</v>
      </c>
      <c r="H1492" t="inlineStr">
        <is>
          <t>MEDIUM</t>
        </is>
      </c>
      <c r="I1492" t="n">
        <v>9</v>
      </c>
      <c r="J1492" t="inlineStr">
        <is>
          <t>NO</t>
        </is>
      </c>
      <c r="K1492" t="inlineStr">
        <is>
          <t>2026-02-26 00:15</t>
        </is>
      </c>
      <c r="L1492" t="inlineStr">
        <is>
          <t>CHECK_VENDOR</t>
        </is>
      </c>
      <c r="M1492" t="inlineStr">
        <is>
          <t>See CVE details</t>
        </is>
      </c>
      <c r="N1492" t="inlineStr">
        <is>
          <t>P4</t>
        </is>
      </c>
      <c r="O1492" t="inlineStr">
        <is>
          <t>CVE - IP enrichment n/a</t>
        </is>
      </c>
      <c r="P1492" t="n">
        <v>0</v>
      </c>
      <c r="Q1492" t="n">
        <v>0</v>
      </c>
      <c r="R1492" t="inlineStr">
        <is>
          <t>T1557:Adversary-in-the-Middle</t>
        </is>
      </c>
      <c r="S1492" t="n">
        <v>1</v>
      </c>
      <c r="T1492" t="inlineStr">
        <is>
          <t>LOW (40%)</t>
        </is>
      </c>
      <c r="U1492" t="inlineStr">
        <is>
          <t>UNLIKELY</t>
        </is>
      </c>
      <c r="V1492" t="inlineStr">
        <is>
          <t>CHECK_VENDOR</t>
        </is>
      </c>
      <c r="W1492" t="inlineStr">
        <is>
          <t>https://nvd.nist.gov/vuln/detail/CVE-2026-26271</t>
        </is>
      </c>
      <c r="X1492" t="inlineStr">
        <is>
          <t>NONE</t>
        </is>
      </c>
      <c r="Y1492" t="n">
        <v>0</v>
      </c>
      <c r="Z1492" t="inlineStr"/>
      <c r="AA1492" t="inlineStr">
        <is>
          <t>https://nvd.nist.gov/vuln/detail/CVE-2026-26271</t>
        </is>
      </c>
    </row>
    <row r="1493">
      <c r="A1493" t="inlineStr">
        <is>
          <t>CVE</t>
        </is>
      </c>
      <c r="B1493" t="inlineStr">
        <is>
          <t>CVE-2026-26955</t>
        </is>
      </c>
      <c r="C1493" t="inlineStr">
        <is>
          <t>FreeRDP is a free implementation of the Remote Desktop Protocol. Prior to version 3.23.0, a malicious RDP server can trigger a heap buffer overflow in FreeRDP clients using the GDI surface pipeline (e.g., `xfreerdp`) by sending an RDPGFX ClearCodec surface command with an out-of-bounds destination rectangle. The `gdi_SurfaceCommand_ClearCodec()` handler does not call `is_within_surface()` to validate the command rectangle against the destination surface dimensions, allowing attacker-controlled `</t>
        </is>
      </c>
      <c r="D1493" t="n">
        <v>8.800000000000001</v>
      </c>
      <c r="E1493" t="inlineStr">
        <is>
          <t>HIGH</t>
        </is>
      </c>
      <c r="F1493" t="n">
        <v>2</v>
      </c>
      <c r="G1493" t="n">
        <v>3</v>
      </c>
      <c r="H1493" t="inlineStr">
        <is>
          <t>HIGH</t>
        </is>
      </c>
      <c r="I1493" t="n">
        <v>14.8</v>
      </c>
      <c r="J1493" t="inlineStr">
        <is>
          <t>NO</t>
        </is>
      </c>
      <c r="K1493" t="inlineStr">
        <is>
          <t>2026-02-26 00:15</t>
        </is>
      </c>
      <c r="L1493" t="inlineStr">
        <is>
          <t>CHECK_VENDOR</t>
        </is>
      </c>
      <c r="M1493" t="inlineStr">
        <is>
          <t>See CVE details</t>
        </is>
      </c>
      <c r="N1493" t="inlineStr">
        <is>
          <t>P3</t>
        </is>
      </c>
      <c r="O1493" t="inlineStr">
        <is>
          <t>CVE - IP enrichment n/a</t>
        </is>
      </c>
      <c r="P1493" t="n">
        <v>0</v>
      </c>
      <c r="Q1493" t="n">
        <v>0</v>
      </c>
      <c r="R1493" t="inlineStr">
        <is>
          <t>T1203:Exploitation for Client Execution | T1190:Exploit Public-Facing Application</t>
        </is>
      </c>
      <c r="S1493" t="n">
        <v>1</v>
      </c>
      <c r="T1493" t="inlineStr">
        <is>
          <t>LOW (40%)</t>
        </is>
      </c>
      <c r="U1493" t="inlineStr">
        <is>
          <t>UNLIKELY</t>
        </is>
      </c>
      <c r="V1493" t="inlineStr">
        <is>
          <t>CHECK_VENDOR</t>
        </is>
      </c>
      <c r="W1493" t="inlineStr">
        <is>
          <t>https://nvd.nist.gov/vuln/detail/CVE-2026-26955</t>
        </is>
      </c>
      <c r="X1493" t="inlineStr">
        <is>
          <t>NONE</t>
        </is>
      </c>
      <c r="Y1493" t="n">
        <v>0</v>
      </c>
      <c r="Z1493" t="inlineStr"/>
      <c r="AA1493" t="inlineStr">
        <is>
          <t>https://nvd.nist.gov/vuln/detail/CVE-2026-26955</t>
        </is>
      </c>
    </row>
    <row r="1494">
      <c r="A1494" t="inlineStr">
        <is>
          <t>CVE</t>
        </is>
      </c>
      <c r="B1494" t="inlineStr">
        <is>
          <t>CVE-2026-26965</t>
        </is>
      </c>
      <c r="C1494" t="inlineStr">
        <is>
          <t>FreeRDP is a free implementation of the Remote Desktop Protocol. Prior to version 3.23.0, in the RLE planar decode path, `planar_decompress_plane_rle()` writes into `pDstData` at `((nYDst+y) * nDstStep) + (4*nXDst) + nChannel` without verifying that `(nYDst+nSrcHeight)` fits in the destination height or that `(nXDst+nSrcWidth)` fits in the destination stride. When `TempFormat != DstFormat`, `pDstData` becomes `planar-&gt;pTempData` (sized for the desktop), while `nYDst` is only validated against th</t>
        </is>
      </c>
      <c r="D1494" t="n">
        <v>8.800000000000001</v>
      </c>
      <c r="E1494" t="inlineStr">
        <is>
          <t>HIGH</t>
        </is>
      </c>
      <c r="F1494" t="n">
        <v>2</v>
      </c>
      <c r="G1494" t="n">
        <v>3</v>
      </c>
      <c r="H1494" t="inlineStr">
        <is>
          <t>HIGH</t>
        </is>
      </c>
      <c r="I1494" t="n">
        <v>14.8</v>
      </c>
      <c r="J1494" t="inlineStr">
        <is>
          <t>NO</t>
        </is>
      </c>
      <c r="K1494" t="inlineStr">
        <is>
          <t>2026-02-26 00:15</t>
        </is>
      </c>
      <c r="L1494" t="inlineStr">
        <is>
          <t>CHECK_VENDOR</t>
        </is>
      </c>
      <c r="M1494" t="inlineStr">
        <is>
          <t>See CVE details</t>
        </is>
      </c>
      <c r="N1494" t="inlineStr">
        <is>
          <t>P3</t>
        </is>
      </c>
      <c r="O1494" t="inlineStr">
        <is>
          <t>CVE - IP enrichment n/a</t>
        </is>
      </c>
      <c r="P1494" t="n">
        <v>0</v>
      </c>
      <c r="Q1494" t="n">
        <v>0</v>
      </c>
      <c r="R1494" t="inlineStr">
        <is>
          <t>T1203:Exploitation for Client Execution</t>
        </is>
      </c>
      <c r="S1494" t="n">
        <v>1</v>
      </c>
      <c r="T1494" t="inlineStr">
        <is>
          <t>LOW (40%)</t>
        </is>
      </c>
      <c r="U1494" t="inlineStr">
        <is>
          <t>UNLIKELY</t>
        </is>
      </c>
      <c r="V1494" t="inlineStr">
        <is>
          <t>CHECK_VENDOR</t>
        </is>
      </c>
      <c r="W1494" t="inlineStr">
        <is>
          <t>https://nvd.nist.gov/vuln/detail/CVE-2026-26965</t>
        </is>
      </c>
      <c r="X1494" t="inlineStr">
        <is>
          <t>NONE</t>
        </is>
      </c>
      <c r="Y1494" t="n">
        <v>0</v>
      </c>
      <c r="Z1494" t="inlineStr"/>
      <c r="AA1494" t="inlineStr">
        <is>
          <t>https://nvd.nist.gov/vuln/detail/CVE-2026-26965</t>
        </is>
      </c>
    </row>
    <row r="1495">
      <c r="A1495" t="inlineStr">
        <is>
          <t>CVE</t>
        </is>
      </c>
      <c r="B1495" t="inlineStr">
        <is>
          <t>CVE-2026-27015</t>
        </is>
      </c>
      <c r="C1495" t="inlineStr">
        <is>
          <t>FreeRDP is a free implementation of the Remote Desktop Protocol. Prior to version 3.23.0, a missing bounds check in `smartcard_unpack_read_size_align()` (`libfreerdp/utils/smartcard_pack.c:1703`) allows a malicious RDP server to crash the FreeRDP client via a reachable `WINPR_ASSERT` → `abort()`. The crash occurs in upstream builds where `WITH_VERBOSE_WINPR_ASSERT=ON` (default in FreeRDP 3.22.0 / current WinPR CMake defaults). Smartcard redirection must be explicitly enabled by the user (e.g., `</t>
        </is>
      </c>
      <c r="D1495" t="n">
        <v>5</v>
      </c>
      <c r="E1495" t="inlineStr">
        <is>
          <t>MEDIUM</t>
        </is>
      </c>
      <c r="F1495" t="n">
        <v>2</v>
      </c>
      <c r="G1495" t="n">
        <v>2</v>
      </c>
      <c r="H1495" t="inlineStr">
        <is>
          <t>MEDIUM</t>
        </is>
      </c>
      <c r="I1495" t="n">
        <v>9</v>
      </c>
      <c r="J1495" t="inlineStr">
        <is>
          <t>NO</t>
        </is>
      </c>
      <c r="K1495" t="inlineStr">
        <is>
          <t>2026-02-26 00:15</t>
        </is>
      </c>
      <c r="L1495" t="inlineStr">
        <is>
          <t>CHECK_VENDOR</t>
        </is>
      </c>
      <c r="M1495" t="inlineStr">
        <is>
          <t>See CVE details</t>
        </is>
      </c>
      <c r="N1495" t="inlineStr">
        <is>
          <t>P4</t>
        </is>
      </c>
      <c r="O1495" t="inlineStr">
        <is>
          <t>CVE - IP enrichment n/a</t>
        </is>
      </c>
      <c r="P1495" t="n">
        <v>0</v>
      </c>
      <c r="Q1495" t="n">
        <v>0</v>
      </c>
      <c r="R1495" t="inlineStr">
        <is>
          <t>T1190:Exploit Public-Facing Application</t>
        </is>
      </c>
      <c r="S1495" t="n">
        <v>1</v>
      </c>
      <c r="T1495" t="inlineStr">
        <is>
          <t>LOW (40%)</t>
        </is>
      </c>
      <c r="U1495" t="inlineStr">
        <is>
          <t>UNLIKELY</t>
        </is>
      </c>
      <c r="V1495" t="inlineStr">
        <is>
          <t>CHECK_VENDOR</t>
        </is>
      </c>
      <c r="W1495" t="inlineStr">
        <is>
          <t>https://nvd.nist.gov/vuln/detail/CVE-2026-27015</t>
        </is>
      </c>
      <c r="X1495" t="inlineStr">
        <is>
          <t>NONE</t>
        </is>
      </c>
      <c r="Y1495" t="n">
        <v>0</v>
      </c>
      <c r="Z1495" t="inlineStr"/>
      <c r="AA1495" t="inlineStr">
        <is>
          <t>https://nvd.nist.gov/vuln/detail/CVE-2026-27015</t>
        </is>
      </c>
    </row>
    <row r="1496">
      <c r="A1496" t="inlineStr">
        <is>
          <t>CVE</t>
        </is>
      </c>
      <c r="B1496" t="inlineStr">
        <is>
          <t>CVE-2026-2845</t>
        </is>
      </c>
      <c r="C1496" t="inlineStr">
        <is>
          <t>An issue has been discovered in GitLab CE/EE affecting all versions from 11.2 before 18.7.5, 18.8 before 18.8.5, and 18.9 before 18.9.1 that could have allowed an authenticated user to cause denial of service by exploiting a Bitbucket Server import endpoint via repeatedly sending large responses.</t>
        </is>
      </c>
      <c r="D1496" t="n">
        <v>6.5</v>
      </c>
      <c r="E1496" t="inlineStr">
        <is>
          <t>MEDIUM</t>
        </is>
      </c>
      <c r="F1496" t="n">
        <v>2</v>
      </c>
      <c r="G1496" t="n">
        <v>2</v>
      </c>
      <c r="H1496" t="inlineStr">
        <is>
          <t>MEDIUM</t>
        </is>
      </c>
      <c r="I1496" t="n">
        <v>10.5</v>
      </c>
      <c r="J1496" t="inlineStr">
        <is>
          <t>NO</t>
        </is>
      </c>
      <c r="K1496" t="inlineStr">
        <is>
          <t>2026-02-26 00:15</t>
        </is>
      </c>
      <c r="L1496" t="inlineStr">
        <is>
          <t>CHECK_VENDOR</t>
        </is>
      </c>
      <c r="M1496" t="inlineStr">
        <is>
          <t>See CVE details</t>
        </is>
      </c>
      <c r="N1496" t="inlineStr">
        <is>
          <t>P4</t>
        </is>
      </c>
      <c r="O1496" t="inlineStr">
        <is>
          <t>CVE - IP enrichment n/a</t>
        </is>
      </c>
      <c r="P1496" t="n">
        <v>0</v>
      </c>
      <c r="Q1496" t="n">
        <v>0</v>
      </c>
      <c r="R1496" t="inlineStr">
        <is>
          <t>T1499:Endpoint Denial of Service</t>
        </is>
      </c>
      <c r="S1496" t="n">
        <v>1</v>
      </c>
      <c r="T1496" t="inlineStr">
        <is>
          <t>LOW (40%)</t>
        </is>
      </c>
      <c r="U1496" t="inlineStr">
        <is>
          <t>UNLIKELY</t>
        </is>
      </c>
      <c r="V1496" t="inlineStr">
        <is>
          <t>CHECK_VENDOR</t>
        </is>
      </c>
      <c r="W1496" t="inlineStr">
        <is>
          <t>https://nvd.nist.gov/vuln/detail/CVE-2026-2845</t>
        </is>
      </c>
      <c r="X1496" t="inlineStr">
        <is>
          <t>NONE</t>
        </is>
      </c>
      <c r="Y1496" t="n">
        <v>0</v>
      </c>
      <c r="Z1496" t="inlineStr"/>
      <c r="AA1496" t="inlineStr">
        <is>
          <t>https://nvd.nist.gov/vuln/detail/CVE-2026-2845</t>
        </is>
      </c>
    </row>
    <row r="1497">
      <c r="A1497" t="inlineStr">
        <is>
          <t>CVE</t>
        </is>
      </c>
      <c r="B1497" t="inlineStr">
        <is>
          <t>CVE-2026-3172</t>
        </is>
      </c>
      <c r="C1497" t="inlineStr">
        <is>
          <t>Buffer overflow in parallel HNSW index build in pgvector 0.6.0 through 0.8.1 allows a database user to leak sensitive data from other relations or crash the database server.</t>
        </is>
      </c>
      <c r="D1497" t="n">
        <v>8.1</v>
      </c>
      <c r="E1497" t="inlineStr">
        <is>
          <t>HIGH</t>
        </is>
      </c>
      <c r="F1497" t="n">
        <v>2</v>
      </c>
      <c r="G1497" t="n">
        <v>3</v>
      </c>
      <c r="H1497" t="inlineStr">
        <is>
          <t>HIGH</t>
        </is>
      </c>
      <c r="I1497" t="n">
        <v>14.1</v>
      </c>
      <c r="J1497" t="inlineStr">
        <is>
          <t>NO</t>
        </is>
      </c>
      <c r="K1497" t="inlineStr">
        <is>
          <t>2026-02-26 00:15</t>
        </is>
      </c>
      <c r="L1497" t="inlineStr">
        <is>
          <t>CHECK_VENDOR</t>
        </is>
      </c>
      <c r="M1497" t="inlineStr">
        <is>
          <t>See CVE details</t>
        </is>
      </c>
      <c r="N1497" t="inlineStr">
        <is>
          <t>P3</t>
        </is>
      </c>
      <c r="O1497" t="inlineStr">
        <is>
          <t>CVE - IP enrichment n/a</t>
        </is>
      </c>
      <c r="P1497" t="n">
        <v>0</v>
      </c>
      <c r="Q1497" t="n">
        <v>0</v>
      </c>
      <c r="R1497" t="inlineStr">
        <is>
          <t>T1203:Exploitation for Client Execution</t>
        </is>
      </c>
      <c r="S1497" t="n">
        <v>1</v>
      </c>
      <c r="T1497" t="inlineStr">
        <is>
          <t>LOW (40%)</t>
        </is>
      </c>
      <c r="U1497" t="inlineStr">
        <is>
          <t>UNLIKELY</t>
        </is>
      </c>
      <c r="V1497" t="inlineStr">
        <is>
          <t>CHECK_VENDOR</t>
        </is>
      </c>
      <c r="W1497" t="inlineStr">
        <is>
          <t>https://nvd.nist.gov/vuln/detail/CVE-2026-3172</t>
        </is>
      </c>
      <c r="X1497" t="inlineStr">
        <is>
          <t>NONE</t>
        </is>
      </c>
      <c r="Y1497" t="n">
        <v>0</v>
      </c>
      <c r="Z1497" t="inlineStr"/>
      <c r="AA1497" t="inlineStr">
        <is>
          <t>https://nvd.nist.gov/vuln/detail/CVE-2026-3172</t>
        </is>
      </c>
    </row>
    <row r="1498">
      <c r="A1498" t="inlineStr">
        <is>
          <t>CVE</t>
        </is>
      </c>
      <c r="B1498" t="inlineStr">
        <is>
          <t>CVE-2026-3200</t>
        </is>
      </c>
      <c r="C1498" t="inlineStr">
        <is>
          <t>A vulnerability was identified in z-9527 admin 1.0/2.0. The affected element is the function checkName/register/login/getUser/getUsers of the file /server/controller/user.js. The manipulation leads to sql injection. The attack can be initiated remotely. The exploit is publicly available and might be used. The vendor was contacted early about this disclosure but did not respond in any way.</t>
        </is>
      </c>
      <c r="D1498" t="n">
        <v>7.3</v>
      </c>
      <c r="E1498" t="inlineStr">
        <is>
          <t>HIGH</t>
        </is>
      </c>
      <c r="F1498" t="n">
        <v>2</v>
      </c>
      <c r="G1498" t="n">
        <v>3</v>
      </c>
      <c r="H1498" t="inlineStr">
        <is>
          <t>HIGH</t>
        </is>
      </c>
      <c r="I1498" t="n">
        <v>13.3</v>
      </c>
      <c r="J1498" t="inlineStr">
        <is>
          <t>NO</t>
        </is>
      </c>
      <c r="K1498" t="inlineStr">
        <is>
          <t>2026-02-26 00:15</t>
        </is>
      </c>
      <c r="L1498" t="inlineStr">
        <is>
          <t>CHECK_VENDOR</t>
        </is>
      </c>
      <c r="M1498" t="inlineStr">
        <is>
          <t>See CVE details</t>
        </is>
      </c>
      <c r="N1498" t="inlineStr">
        <is>
          <t>P3</t>
        </is>
      </c>
      <c r="O1498" t="inlineStr">
        <is>
          <t>CVE - IP enrichment n/a</t>
        </is>
      </c>
      <c r="P1498" t="n">
        <v>0</v>
      </c>
      <c r="Q1498" t="n">
        <v>0</v>
      </c>
      <c r="R1498" t="inlineStr">
        <is>
          <t>T1190:Exploit Public-Facing Application</t>
        </is>
      </c>
      <c r="S1498" t="n">
        <v>1</v>
      </c>
      <c r="T1498" t="inlineStr">
        <is>
          <t>LOW (40%)</t>
        </is>
      </c>
      <c r="U1498" t="inlineStr">
        <is>
          <t>UNLIKELY</t>
        </is>
      </c>
      <c r="V1498" t="inlineStr">
        <is>
          <t>CHECK_VENDOR</t>
        </is>
      </c>
      <c r="W1498" t="inlineStr">
        <is>
          <t>https://nvd.nist.gov/vuln/detail/CVE-2026-3200</t>
        </is>
      </c>
      <c r="X1498" t="inlineStr">
        <is>
          <t>NONE</t>
        </is>
      </c>
      <c r="Y1498" t="n">
        <v>0</v>
      </c>
      <c r="Z1498" t="inlineStr"/>
      <c r="AA1498" t="inlineStr">
        <is>
          <t>https://nvd.nist.gov/vuln/detail/CVE-2026-3200</t>
        </is>
      </c>
    </row>
    <row r="1499">
      <c r="A1499" t="inlineStr">
        <is>
          <t>EXPLOIT</t>
        </is>
      </c>
      <c r="B1499" t="inlineStr">
        <is>
          <t>264ee764a350</t>
        </is>
      </c>
      <c r="C1499" t="inlineStr">
        <is>
          <t>[webapps] motionEye 0.43.1b4 - RCE</t>
        </is>
      </c>
      <c r="D1499" t="n">
        <v>7.5</v>
      </c>
      <c r="E1499" t="inlineStr">
        <is>
          <t>HIGH</t>
        </is>
      </c>
      <c r="F1499" t="n">
        <v>3</v>
      </c>
      <c r="G1499" t="n">
        <v>3</v>
      </c>
      <c r="H1499" t="inlineStr">
        <is>
          <t>CRITICAL</t>
        </is>
      </c>
      <c r="I1499" t="n">
        <v>16.5</v>
      </c>
      <c r="J1499" t="inlineStr">
        <is>
          <t>NO</t>
        </is>
      </c>
      <c r="K1499" t="inlineStr">
        <is>
          <t>2026-02-11 00:00</t>
        </is>
      </c>
      <c r="L1499" t="inlineStr">
        <is>
          <t>CHECK_VENDOR</t>
        </is>
      </c>
      <c r="M1499" t="inlineStr">
        <is>
          <t>Various</t>
        </is>
      </c>
      <c r="N1499" t="inlineStr">
        <is>
          <t>P1</t>
        </is>
      </c>
      <c r="O1499" t="inlineStr">
        <is>
          <t>Exploit - IP enrichment N/A</t>
        </is>
      </c>
      <c r="P1499" t="n">
        <v>0</v>
      </c>
      <c r="Q1499" t="n">
        <v>0</v>
      </c>
      <c r="R1499" t="inlineStr">
        <is>
          <t>T1203:Exploitation for Client Execution</t>
        </is>
      </c>
      <c r="S1499" t="n">
        <v>1</v>
      </c>
      <c r="T1499" t="inlineStr">
        <is>
          <t>LOW (40%)</t>
        </is>
      </c>
      <c r="U1499" t="inlineStr">
        <is>
          <t>YES</t>
        </is>
      </c>
      <c r="V1499" t="inlineStr">
        <is>
          <t>CHECK_VENDOR</t>
        </is>
      </c>
      <c r="W1499" t="inlineStr">
        <is>
          <t>https://www.exploit-db.com/exploits/52481</t>
        </is>
      </c>
      <c r="X1499" t="inlineStr">
        <is>
          <t>NONE</t>
        </is>
      </c>
      <c r="Y1499" t="n">
        <v>0</v>
      </c>
      <c r="Z1499" t="inlineStr"/>
      <c r="AA1499" t="inlineStr">
        <is>
          <t>https://www.exploit-db.com/exploits/52481</t>
        </is>
      </c>
    </row>
    <row r="1500">
      <c r="A1500" t="inlineStr">
        <is>
          <t>EXPLOIT</t>
        </is>
      </c>
      <c r="B1500" t="inlineStr">
        <is>
          <t>16c218acca5e</t>
        </is>
      </c>
      <c r="C1500" t="inlineStr">
        <is>
          <t>[remote] Windows 10.0.17763.7009 - spoofing vulnerability</t>
        </is>
      </c>
      <c r="D1500" t="n">
        <v>7.5</v>
      </c>
      <c r="E1500" t="inlineStr">
        <is>
          <t>HIGH</t>
        </is>
      </c>
      <c r="F1500" t="n">
        <v>3</v>
      </c>
      <c r="G1500" t="n">
        <v>3</v>
      </c>
      <c r="H1500" t="inlineStr">
        <is>
          <t>CRITICAL</t>
        </is>
      </c>
      <c r="I1500" t="n">
        <v>16.5</v>
      </c>
      <c r="J1500" t="inlineStr">
        <is>
          <t>NO</t>
        </is>
      </c>
      <c r="K1500" t="inlineStr">
        <is>
          <t>2026-02-11 00:00</t>
        </is>
      </c>
      <c r="L1500" t="inlineStr">
        <is>
          <t>CHECK_VENDOR</t>
        </is>
      </c>
      <c r="M1500" t="inlineStr">
        <is>
          <t>Various</t>
        </is>
      </c>
      <c r="N1500" t="inlineStr">
        <is>
          <t>P1</t>
        </is>
      </c>
      <c r="O1500" t="inlineStr">
        <is>
          <t>Exploit - IP enrichment N/A</t>
        </is>
      </c>
      <c r="P1500" t="n">
        <v>0</v>
      </c>
      <c r="Q1500" t="n">
        <v>0</v>
      </c>
      <c r="R1500" t="inlineStr">
        <is>
          <t>T1203:Exploitation for Client Execution</t>
        </is>
      </c>
      <c r="S1500" t="n">
        <v>1</v>
      </c>
      <c r="T1500" t="inlineStr">
        <is>
          <t>LOW (40%)</t>
        </is>
      </c>
      <c r="U1500" t="inlineStr">
        <is>
          <t>YES</t>
        </is>
      </c>
      <c r="V1500" t="inlineStr">
        <is>
          <t>CHECK_VENDOR</t>
        </is>
      </c>
      <c r="W1500" t="inlineStr">
        <is>
          <t>https://www.exploit-db.com/exploits/52480</t>
        </is>
      </c>
      <c r="X1500" t="inlineStr">
        <is>
          <t>NONE</t>
        </is>
      </c>
      <c r="Y1500" t="n">
        <v>0</v>
      </c>
      <c r="Z1500" t="inlineStr"/>
      <c r="AA1500" t="inlineStr">
        <is>
          <t>https://www.exploit-db.com/exploits/52480</t>
        </is>
      </c>
    </row>
    <row r="1501">
      <c r="A1501" t="inlineStr">
        <is>
          <t>EXPLOIT</t>
        </is>
      </c>
      <c r="B1501" t="inlineStr">
        <is>
          <t>08ba2a1cd543</t>
        </is>
      </c>
      <c r="C1501" t="inlineStr">
        <is>
          <t>[local] glibc 2.38 - Buffer Overflow</t>
        </is>
      </c>
      <c r="D1501" t="n">
        <v>7.5</v>
      </c>
      <c r="E1501" t="inlineStr">
        <is>
          <t>HIGH</t>
        </is>
      </c>
      <c r="F1501" t="n">
        <v>3</v>
      </c>
      <c r="G1501" t="n">
        <v>3</v>
      </c>
      <c r="H1501" t="inlineStr">
        <is>
          <t>CRITICAL</t>
        </is>
      </c>
      <c r="I1501" t="n">
        <v>16.5</v>
      </c>
      <c r="J1501" t="inlineStr">
        <is>
          <t>NO</t>
        </is>
      </c>
      <c r="K1501" t="inlineStr">
        <is>
          <t>2026-02-11 00:00</t>
        </is>
      </c>
      <c r="L1501" t="inlineStr">
        <is>
          <t>CHECK_VENDOR</t>
        </is>
      </c>
      <c r="M1501" t="inlineStr">
        <is>
          <t>Various</t>
        </is>
      </c>
      <c r="N1501" t="inlineStr">
        <is>
          <t>P1</t>
        </is>
      </c>
      <c r="O1501" t="inlineStr">
        <is>
          <t>Exploit - IP enrichment N/A</t>
        </is>
      </c>
      <c r="P1501" t="n">
        <v>0</v>
      </c>
      <c r="Q1501" t="n">
        <v>0</v>
      </c>
      <c r="R1501" t="inlineStr">
        <is>
          <t>T1203:Exploitation for Client Execution</t>
        </is>
      </c>
      <c r="S1501" t="n">
        <v>1</v>
      </c>
      <c r="T1501" t="inlineStr">
        <is>
          <t>LOW (40%)</t>
        </is>
      </c>
      <c r="U1501" t="inlineStr">
        <is>
          <t>YES</t>
        </is>
      </c>
      <c r="V1501" t="inlineStr">
        <is>
          <t>CHECK_VENDOR</t>
        </is>
      </c>
      <c r="W1501" t="inlineStr">
        <is>
          <t>https://www.exploit-db.com/exploits/52479</t>
        </is>
      </c>
      <c r="X1501" t="inlineStr">
        <is>
          <t>NONE</t>
        </is>
      </c>
      <c r="Y1501" t="n">
        <v>0</v>
      </c>
      <c r="Z1501" t="inlineStr"/>
      <c r="AA1501" t="inlineStr">
        <is>
          <t>https://www.exploit-db.com/exploits/52479</t>
        </is>
      </c>
    </row>
    <row r="1502">
      <c r="A1502" t="inlineStr">
        <is>
          <t>EXPLOIT</t>
        </is>
      </c>
      <c r="B1502" t="inlineStr">
        <is>
          <t>e684f84451aa</t>
        </is>
      </c>
      <c r="C1502" t="inlineStr">
        <is>
          <t>[remote] windows 10/11 - NTLM Hash Disclosure Spoofing</t>
        </is>
      </c>
      <c r="D1502" t="n">
        <v>7.5</v>
      </c>
      <c r="E1502" t="inlineStr">
        <is>
          <t>HIGH</t>
        </is>
      </c>
      <c r="F1502" t="n">
        <v>3</v>
      </c>
      <c r="G1502" t="n">
        <v>3</v>
      </c>
      <c r="H1502" t="inlineStr">
        <is>
          <t>CRITICAL</t>
        </is>
      </c>
      <c r="I1502" t="n">
        <v>16.5</v>
      </c>
      <c r="J1502" t="inlineStr">
        <is>
          <t>NO</t>
        </is>
      </c>
      <c r="K1502" t="inlineStr">
        <is>
          <t>2026-02-04 00:00</t>
        </is>
      </c>
      <c r="L1502" t="inlineStr">
        <is>
          <t>CHECK_VENDOR</t>
        </is>
      </c>
      <c r="M1502" t="inlineStr">
        <is>
          <t>Various</t>
        </is>
      </c>
      <c r="N1502" t="inlineStr">
        <is>
          <t>P1</t>
        </is>
      </c>
      <c r="O1502" t="inlineStr">
        <is>
          <t>Exploit - IP enrichment N/A</t>
        </is>
      </c>
      <c r="P1502" t="n">
        <v>0</v>
      </c>
      <c r="Q1502" t="n">
        <v>0</v>
      </c>
      <c r="R1502" t="inlineStr">
        <is>
          <t>T1203:Exploitation for Client Execution</t>
        </is>
      </c>
      <c r="S1502" t="n">
        <v>1</v>
      </c>
      <c r="T1502" t="inlineStr">
        <is>
          <t>LOW (40%)</t>
        </is>
      </c>
      <c r="U1502" t="inlineStr">
        <is>
          <t>YES</t>
        </is>
      </c>
      <c r="V1502" t="inlineStr">
        <is>
          <t>CHECK_VENDOR</t>
        </is>
      </c>
      <c r="W1502" t="inlineStr">
        <is>
          <t>https://www.exploit-db.com/exploits/52478</t>
        </is>
      </c>
      <c r="X1502" t="inlineStr">
        <is>
          <t>NONE</t>
        </is>
      </c>
      <c r="Y1502" t="n">
        <v>0</v>
      </c>
      <c r="Z1502" t="inlineStr"/>
      <c r="AA1502" t="inlineStr">
        <is>
          <t>https://www.exploit-db.com/exploits/52478</t>
        </is>
      </c>
    </row>
    <row r="1503">
      <c r="A1503" t="inlineStr">
        <is>
          <t>EXPLOIT</t>
        </is>
      </c>
      <c r="B1503" t="inlineStr">
        <is>
          <t>fdac721057d5</t>
        </is>
      </c>
      <c r="C1503" t="inlineStr">
        <is>
          <t>[remote] Redis 8.0.2 - RCE</t>
        </is>
      </c>
      <c r="D1503" t="n">
        <v>7.5</v>
      </c>
      <c r="E1503" t="inlineStr">
        <is>
          <t>HIGH</t>
        </is>
      </c>
      <c r="F1503" t="n">
        <v>3</v>
      </c>
      <c r="G1503" t="n">
        <v>3</v>
      </c>
      <c r="H1503" t="inlineStr">
        <is>
          <t>CRITICAL</t>
        </is>
      </c>
      <c r="I1503" t="n">
        <v>16.5</v>
      </c>
      <c r="J1503" t="inlineStr">
        <is>
          <t>NO</t>
        </is>
      </c>
      <c r="K1503" t="inlineStr">
        <is>
          <t>2026-02-04 00:00</t>
        </is>
      </c>
      <c r="L1503" t="inlineStr">
        <is>
          <t>CHECK_VENDOR</t>
        </is>
      </c>
      <c r="M1503" t="inlineStr">
        <is>
          <t>Various</t>
        </is>
      </c>
      <c r="N1503" t="inlineStr">
        <is>
          <t>P1</t>
        </is>
      </c>
      <c r="O1503" t="inlineStr">
        <is>
          <t>Exploit - IP enrichment N/A</t>
        </is>
      </c>
      <c r="P1503" t="n">
        <v>0</v>
      </c>
      <c r="Q1503" t="n">
        <v>0</v>
      </c>
      <c r="R1503" t="inlineStr">
        <is>
          <t>T1203:Exploitation for Client Execution</t>
        </is>
      </c>
      <c r="S1503" t="n">
        <v>1</v>
      </c>
      <c r="T1503" t="inlineStr">
        <is>
          <t>LOW (40%)</t>
        </is>
      </c>
      <c r="U1503" t="inlineStr">
        <is>
          <t>YES</t>
        </is>
      </c>
      <c r="V1503" t="inlineStr">
        <is>
          <t>CHECK_VENDOR</t>
        </is>
      </c>
      <c r="W1503" t="inlineStr">
        <is>
          <t>https://www.exploit-db.com/exploits/52477</t>
        </is>
      </c>
      <c r="X1503" t="inlineStr">
        <is>
          <t>NONE</t>
        </is>
      </c>
      <c r="Y1503" t="n">
        <v>0</v>
      </c>
      <c r="Z1503" t="inlineStr"/>
      <c r="AA1503" t="inlineStr">
        <is>
          <t>https://www.exploit-db.com/exploits/52477</t>
        </is>
      </c>
    </row>
    <row r="1504">
      <c r="A1504" t="inlineStr">
        <is>
          <t>EXPLOIT</t>
        </is>
      </c>
      <c r="B1504" t="inlineStr">
        <is>
          <t>b844108c7945</t>
        </is>
      </c>
      <c r="C1504" t="inlineStr">
        <is>
          <t>[webapps] OctoPrint 1.11.2 - File Upload</t>
        </is>
      </c>
      <c r="D1504" t="n">
        <v>7.5</v>
      </c>
      <c r="E1504" t="inlineStr">
        <is>
          <t>HIGH</t>
        </is>
      </c>
      <c r="F1504" t="n">
        <v>3</v>
      </c>
      <c r="G1504" t="n">
        <v>3</v>
      </c>
      <c r="H1504" t="inlineStr">
        <is>
          <t>CRITICAL</t>
        </is>
      </c>
      <c r="I1504" t="n">
        <v>16.5</v>
      </c>
      <c r="J1504" t="inlineStr">
        <is>
          <t>NO</t>
        </is>
      </c>
      <c r="K1504" t="inlineStr">
        <is>
          <t>2026-02-04 00:00</t>
        </is>
      </c>
      <c r="L1504" t="inlineStr">
        <is>
          <t>CHECK_VENDOR</t>
        </is>
      </c>
      <c r="M1504" t="inlineStr">
        <is>
          <t>Various</t>
        </is>
      </c>
      <c r="N1504" t="inlineStr">
        <is>
          <t>P1</t>
        </is>
      </c>
      <c r="O1504" t="inlineStr">
        <is>
          <t>Exploit - IP enrichment N/A</t>
        </is>
      </c>
      <c r="P1504" t="n">
        <v>0</v>
      </c>
      <c r="Q1504" t="n">
        <v>0</v>
      </c>
      <c r="R1504" t="inlineStr">
        <is>
          <t>T1203:Exploitation for Client Execution</t>
        </is>
      </c>
      <c r="S1504" t="n">
        <v>1</v>
      </c>
      <c r="T1504" t="inlineStr">
        <is>
          <t>LOW (40%)</t>
        </is>
      </c>
      <c r="U1504" t="inlineStr">
        <is>
          <t>YES</t>
        </is>
      </c>
      <c r="V1504" t="inlineStr">
        <is>
          <t>CHECK_VENDOR</t>
        </is>
      </c>
      <c r="W1504" t="inlineStr">
        <is>
          <t>https://www.exploit-db.com/exploits/52476</t>
        </is>
      </c>
      <c r="X1504" t="inlineStr">
        <is>
          <t>NONE</t>
        </is>
      </c>
      <c r="Y1504" t="n">
        <v>0</v>
      </c>
      <c r="Z1504" t="inlineStr"/>
      <c r="AA1504" t="inlineStr">
        <is>
          <t>https://www.exploit-db.com/exploits/52476</t>
        </is>
      </c>
    </row>
    <row r="1505">
      <c r="A1505" t="inlineStr">
        <is>
          <t>EXPLOIT</t>
        </is>
      </c>
      <c r="B1505" t="inlineStr">
        <is>
          <t>1453e19b6a2e</t>
        </is>
      </c>
      <c r="C1505" t="inlineStr">
        <is>
          <t>[remote] Ingress-NGINX Admission Controller v1.11.1 - FD Injection to RCE</t>
        </is>
      </c>
      <c r="D1505" t="n">
        <v>7.5</v>
      </c>
      <c r="E1505" t="inlineStr">
        <is>
          <t>HIGH</t>
        </is>
      </c>
      <c r="F1505" t="n">
        <v>3</v>
      </c>
      <c r="G1505" t="n">
        <v>3</v>
      </c>
      <c r="H1505" t="inlineStr">
        <is>
          <t>CRITICAL</t>
        </is>
      </c>
      <c r="I1505" t="n">
        <v>16.5</v>
      </c>
      <c r="J1505" t="inlineStr">
        <is>
          <t>NO</t>
        </is>
      </c>
      <c r="K1505" t="inlineStr">
        <is>
          <t>2026-02-04 00:00</t>
        </is>
      </c>
      <c r="L1505" t="inlineStr">
        <is>
          <t>CHECK_VENDOR</t>
        </is>
      </c>
      <c r="M1505" t="inlineStr">
        <is>
          <t>Various</t>
        </is>
      </c>
      <c r="N1505" t="inlineStr">
        <is>
          <t>P1</t>
        </is>
      </c>
      <c r="O1505" t="inlineStr">
        <is>
          <t>Exploit - IP enrichment N/A</t>
        </is>
      </c>
      <c r="P1505" t="n">
        <v>0</v>
      </c>
      <c r="Q1505" t="n">
        <v>0</v>
      </c>
      <c r="R1505" t="inlineStr">
        <is>
          <t>T1203:Exploitation for Client Execution</t>
        </is>
      </c>
      <c r="S1505" t="n">
        <v>1</v>
      </c>
      <c r="T1505" t="inlineStr">
        <is>
          <t>LOW (40%)</t>
        </is>
      </c>
      <c r="U1505" t="inlineStr">
        <is>
          <t>YES</t>
        </is>
      </c>
      <c r="V1505" t="inlineStr">
        <is>
          <t>CHECK_VENDOR</t>
        </is>
      </c>
      <c r="W1505" t="inlineStr">
        <is>
          <t>https://www.exploit-db.com/exploits/52475</t>
        </is>
      </c>
      <c r="X1505" t="inlineStr">
        <is>
          <t>NONE</t>
        </is>
      </c>
      <c r="Y1505" t="n">
        <v>0</v>
      </c>
      <c r="Z1505" t="inlineStr"/>
      <c r="AA1505" t="inlineStr">
        <is>
          <t>https://www.exploit-db.com/exploits/52475</t>
        </is>
      </c>
    </row>
    <row r="1506">
      <c r="A1506" t="inlineStr">
        <is>
          <t>EXPLOIT</t>
        </is>
      </c>
      <c r="B1506" t="inlineStr">
        <is>
          <t>4430cf019b0f</t>
        </is>
      </c>
      <c r="C1506" t="inlineStr">
        <is>
          <t>[webapps] aiohttp 3.9.1 - directory traversal PoC</t>
        </is>
      </c>
      <c r="D1506" t="n">
        <v>7.5</v>
      </c>
      <c r="E1506" t="inlineStr">
        <is>
          <t>HIGH</t>
        </is>
      </c>
      <c r="F1506" t="n">
        <v>3</v>
      </c>
      <c r="G1506" t="n">
        <v>3</v>
      </c>
      <c r="H1506" t="inlineStr">
        <is>
          <t>CRITICAL</t>
        </is>
      </c>
      <c r="I1506" t="n">
        <v>16.5</v>
      </c>
      <c r="J1506" t="inlineStr">
        <is>
          <t>NO</t>
        </is>
      </c>
      <c r="K1506" t="inlineStr">
        <is>
          <t>2026-02-04 00:00</t>
        </is>
      </c>
      <c r="L1506" t="inlineStr">
        <is>
          <t>CHECK_VENDOR</t>
        </is>
      </c>
      <c r="M1506" t="inlineStr">
        <is>
          <t>Various</t>
        </is>
      </c>
      <c r="N1506" t="inlineStr">
        <is>
          <t>P1</t>
        </is>
      </c>
      <c r="O1506" t="inlineStr">
        <is>
          <t>Exploit - IP enrichment N/A</t>
        </is>
      </c>
      <c r="P1506" t="n">
        <v>0</v>
      </c>
      <c r="Q1506" t="n">
        <v>0</v>
      </c>
      <c r="R1506" t="inlineStr">
        <is>
          <t>T1203:Exploitation for Client Execution</t>
        </is>
      </c>
      <c r="S1506" t="n">
        <v>1</v>
      </c>
      <c r="T1506" t="inlineStr">
        <is>
          <t>LOW (40%)</t>
        </is>
      </c>
      <c r="U1506" t="inlineStr">
        <is>
          <t>YES</t>
        </is>
      </c>
      <c r="V1506" t="inlineStr">
        <is>
          <t>CHECK_VENDOR</t>
        </is>
      </c>
      <c r="W1506" t="inlineStr">
        <is>
          <t>https://www.exploit-db.com/exploits/52474</t>
        </is>
      </c>
      <c r="X1506" t="inlineStr">
        <is>
          <t>NONE</t>
        </is>
      </c>
      <c r="Y1506" t="n">
        <v>0</v>
      </c>
      <c r="Z1506" t="inlineStr"/>
      <c r="AA1506" t="inlineStr">
        <is>
          <t>https://www.exploit-db.com/exploits/52474</t>
        </is>
      </c>
    </row>
    <row r="1507">
      <c r="A1507" t="inlineStr">
        <is>
          <t>EXPLOIT</t>
        </is>
      </c>
      <c r="B1507" t="inlineStr">
        <is>
          <t>6789a52381fc</t>
        </is>
      </c>
      <c r="C1507" t="inlineStr">
        <is>
          <t>[webapps] FortiWeb Fabric Connector 7.6.x - SQL Injection to Remote Code Execution</t>
        </is>
      </c>
      <c r="D1507" t="n">
        <v>7.5</v>
      </c>
      <c r="E1507" t="inlineStr">
        <is>
          <t>HIGH</t>
        </is>
      </c>
      <c r="F1507" t="n">
        <v>3</v>
      </c>
      <c r="G1507" t="n">
        <v>3</v>
      </c>
      <c r="H1507" t="inlineStr">
        <is>
          <t>CRITICAL</t>
        </is>
      </c>
      <c r="I1507" t="n">
        <v>16.5</v>
      </c>
      <c r="J1507" t="inlineStr">
        <is>
          <t>NO</t>
        </is>
      </c>
      <c r="K1507" t="inlineStr">
        <is>
          <t>2026-02-04 00:00</t>
        </is>
      </c>
      <c r="L1507" t="inlineStr">
        <is>
          <t>CHECK_VENDOR</t>
        </is>
      </c>
      <c r="M1507" t="inlineStr">
        <is>
          <t>Various</t>
        </is>
      </c>
      <c r="N1507" t="inlineStr">
        <is>
          <t>P1</t>
        </is>
      </c>
      <c r="O1507" t="inlineStr">
        <is>
          <t>Exploit - IP enrichment N/A</t>
        </is>
      </c>
      <c r="P1507" t="n">
        <v>0</v>
      </c>
      <c r="Q1507" t="n">
        <v>0</v>
      </c>
      <c r="R1507" t="inlineStr">
        <is>
          <t>T1203:Exploitation for Client Execution</t>
        </is>
      </c>
      <c r="S1507" t="n">
        <v>1</v>
      </c>
      <c r="T1507" t="inlineStr">
        <is>
          <t>LOW (40%)</t>
        </is>
      </c>
      <c r="U1507" t="inlineStr">
        <is>
          <t>YES</t>
        </is>
      </c>
      <c r="V1507" t="inlineStr">
        <is>
          <t>CHECK_VENDOR</t>
        </is>
      </c>
      <c r="W1507" t="inlineStr">
        <is>
          <t>https://www.exploit-db.com/exploits/52473</t>
        </is>
      </c>
      <c r="X1507" t="inlineStr">
        <is>
          <t>NONE</t>
        </is>
      </c>
      <c r="Y1507" t="n">
        <v>0</v>
      </c>
      <c r="Z1507" t="inlineStr"/>
      <c r="AA1507" t="inlineStr">
        <is>
          <t>https://www.exploit-db.com/exploits/52473</t>
        </is>
      </c>
    </row>
    <row r="1508">
      <c r="A1508" t="inlineStr">
        <is>
          <t>EXPLOIT</t>
        </is>
      </c>
      <c r="B1508" t="inlineStr">
        <is>
          <t>8aa4096ab8cc</t>
        </is>
      </c>
      <c r="C1508" t="inlineStr">
        <is>
          <t>[local] Docker Desktop 4.44.3 - Unauthenticated  API Exposure</t>
        </is>
      </c>
      <c r="D1508" t="n">
        <v>7.5</v>
      </c>
      <c r="E1508" t="inlineStr">
        <is>
          <t>HIGH</t>
        </is>
      </c>
      <c r="F1508" t="n">
        <v>3</v>
      </c>
      <c r="G1508" t="n">
        <v>3</v>
      </c>
      <c r="H1508" t="inlineStr">
        <is>
          <t>CRITICAL</t>
        </is>
      </c>
      <c r="I1508" t="n">
        <v>16.5</v>
      </c>
      <c r="J1508" t="inlineStr">
        <is>
          <t>NO</t>
        </is>
      </c>
      <c r="K1508" t="inlineStr">
        <is>
          <t>2026-02-04 00:00</t>
        </is>
      </c>
      <c r="L1508" t="inlineStr">
        <is>
          <t>CHECK_VENDOR</t>
        </is>
      </c>
      <c r="M1508" t="inlineStr">
        <is>
          <t>Various</t>
        </is>
      </c>
      <c r="N1508" t="inlineStr">
        <is>
          <t>P1</t>
        </is>
      </c>
      <c r="O1508" t="inlineStr">
        <is>
          <t>Exploit - IP enrichment N/A</t>
        </is>
      </c>
      <c r="P1508" t="n">
        <v>0</v>
      </c>
      <c r="Q1508" t="n">
        <v>0</v>
      </c>
      <c r="R1508" t="inlineStr">
        <is>
          <t>T1203:Exploitation for Client Execution</t>
        </is>
      </c>
      <c r="S1508" t="n">
        <v>1</v>
      </c>
      <c r="T1508" t="inlineStr">
        <is>
          <t>LOW (40%)</t>
        </is>
      </c>
      <c r="U1508" t="inlineStr">
        <is>
          <t>YES</t>
        </is>
      </c>
      <c r="V1508" t="inlineStr">
        <is>
          <t>CHECK_VENDOR</t>
        </is>
      </c>
      <c r="W1508" t="inlineStr">
        <is>
          <t>https://www.exploit-db.com/exploits/52472</t>
        </is>
      </c>
      <c r="X1508" t="inlineStr">
        <is>
          <t>NONE</t>
        </is>
      </c>
      <c r="Y1508" t="n">
        <v>0</v>
      </c>
      <c r="Z1508" t="inlineStr"/>
      <c r="AA1508" t="inlineStr">
        <is>
          <t>https://www.exploit-db.com/exploits/52472</t>
        </is>
      </c>
    </row>
    <row r="1509">
      <c r="A1509" t="inlineStr">
        <is>
          <t>EXPLOIT</t>
        </is>
      </c>
      <c r="B1509" t="inlineStr">
        <is>
          <t>76316903045d</t>
        </is>
      </c>
      <c r="C1509" t="inlineStr">
        <is>
          <t>[webapps] Piranha CMS 12.0 - Stored XSS in Text Block</t>
        </is>
      </c>
      <c r="D1509" t="n">
        <v>7.5</v>
      </c>
      <c r="E1509" t="inlineStr">
        <is>
          <t>HIGH</t>
        </is>
      </c>
      <c r="F1509" t="n">
        <v>3</v>
      </c>
      <c r="G1509" t="n">
        <v>3</v>
      </c>
      <c r="H1509" t="inlineStr">
        <is>
          <t>CRITICAL</t>
        </is>
      </c>
      <c r="I1509" t="n">
        <v>16.5</v>
      </c>
      <c r="J1509" t="inlineStr">
        <is>
          <t>NO</t>
        </is>
      </c>
      <c r="K1509" t="inlineStr">
        <is>
          <t>2026-02-02 00:00</t>
        </is>
      </c>
      <c r="L1509" t="inlineStr">
        <is>
          <t>CHECK_VENDOR</t>
        </is>
      </c>
      <c r="M1509" t="inlineStr">
        <is>
          <t>Various</t>
        </is>
      </c>
      <c r="N1509" t="inlineStr">
        <is>
          <t>P1</t>
        </is>
      </c>
      <c r="O1509" t="inlineStr">
        <is>
          <t>Exploit - IP enrichment N/A</t>
        </is>
      </c>
      <c r="P1509" t="n">
        <v>0</v>
      </c>
      <c r="Q1509" t="n">
        <v>0</v>
      </c>
      <c r="R1509" t="inlineStr">
        <is>
          <t>T1203:Exploitation for Client Execution</t>
        </is>
      </c>
      <c r="S1509" t="n">
        <v>1</v>
      </c>
      <c r="T1509" t="inlineStr">
        <is>
          <t>LOW (40%)</t>
        </is>
      </c>
      <c r="U1509" t="inlineStr">
        <is>
          <t>YES</t>
        </is>
      </c>
      <c r="V1509" t="inlineStr">
        <is>
          <t>CHECK_VENDOR</t>
        </is>
      </c>
      <c r="W1509" t="inlineStr">
        <is>
          <t>https://www.exploit-db.com/exploits/52471</t>
        </is>
      </c>
      <c r="X1509" t="inlineStr">
        <is>
          <t>NONE</t>
        </is>
      </c>
      <c r="Y1509" t="n">
        <v>0</v>
      </c>
      <c r="Z1509" t="inlineStr"/>
      <c r="AA1509" t="inlineStr">
        <is>
          <t>https://www.exploit-db.com/exploits/52471</t>
        </is>
      </c>
    </row>
    <row r="1510">
      <c r="A1510" t="inlineStr">
        <is>
          <t>EXPLOIT</t>
        </is>
      </c>
      <c r="B1510" t="inlineStr">
        <is>
          <t>e89317565977</t>
        </is>
      </c>
      <c r="C1510" t="inlineStr">
        <is>
          <t>[webapps] RPi-Jukebox-RFID 2.8.0 - Stored Cross-Site Scripting (XSS)</t>
        </is>
      </c>
      <c r="D1510" t="n">
        <v>7.5</v>
      </c>
      <c r="E1510" t="inlineStr">
        <is>
          <t>HIGH</t>
        </is>
      </c>
      <c r="F1510" t="n">
        <v>3</v>
      </c>
      <c r="G1510" t="n">
        <v>3</v>
      </c>
      <c r="H1510" t="inlineStr">
        <is>
          <t>CRITICAL</t>
        </is>
      </c>
      <c r="I1510" t="n">
        <v>16.5</v>
      </c>
      <c r="J1510" t="inlineStr">
        <is>
          <t>NO</t>
        </is>
      </c>
      <c r="K1510" t="inlineStr">
        <is>
          <t>2026-02-02 00:00</t>
        </is>
      </c>
      <c r="L1510" t="inlineStr">
        <is>
          <t>CHECK_VENDOR</t>
        </is>
      </c>
      <c r="M1510" t="inlineStr">
        <is>
          <t>Various</t>
        </is>
      </c>
      <c r="N1510" t="inlineStr">
        <is>
          <t>P1</t>
        </is>
      </c>
      <c r="O1510" t="inlineStr">
        <is>
          <t>Exploit - IP enrichment N/A</t>
        </is>
      </c>
      <c r="P1510" t="n">
        <v>0</v>
      </c>
      <c r="Q1510" t="n">
        <v>0</v>
      </c>
      <c r="R1510" t="inlineStr">
        <is>
          <t>T1203:Exploitation for Client Execution</t>
        </is>
      </c>
      <c r="S1510" t="n">
        <v>1</v>
      </c>
      <c r="T1510" t="inlineStr">
        <is>
          <t>LOW (40%)</t>
        </is>
      </c>
      <c r="U1510" t="inlineStr">
        <is>
          <t>YES</t>
        </is>
      </c>
      <c r="V1510" t="inlineStr">
        <is>
          <t>CHECK_VENDOR</t>
        </is>
      </c>
      <c r="W1510" t="inlineStr">
        <is>
          <t>https://www.exploit-db.com/exploits/52470</t>
        </is>
      </c>
      <c r="X1510" t="inlineStr">
        <is>
          <t>NONE</t>
        </is>
      </c>
      <c r="Y1510" t="n">
        <v>0</v>
      </c>
      <c r="Z1510" t="inlineStr"/>
      <c r="AA1510" t="inlineStr">
        <is>
          <t>https://www.exploit-db.com/exploits/52470</t>
        </is>
      </c>
    </row>
    <row r="1511">
      <c r="A1511" t="inlineStr">
        <is>
          <t>EXPLOIT</t>
        </is>
      </c>
      <c r="B1511" t="inlineStr">
        <is>
          <t>1c351f3b56ac</t>
        </is>
      </c>
      <c r="C1511" t="inlineStr">
        <is>
          <t>[hardware] D-Link DIR-825 Rev.B 2.10 - Stack Buffer Overflow (DoS)</t>
        </is>
      </c>
      <c r="D1511" t="n">
        <v>7.5</v>
      </c>
      <c r="E1511" t="inlineStr">
        <is>
          <t>HIGH</t>
        </is>
      </c>
      <c r="F1511" t="n">
        <v>3</v>
      </c>
      <c r="G1511" t="n">
        <v>3</v>
      </c>
      <c r="H1511" t="inlineStr">
        <is>
          <t>CRITICAL</t>
        </is>
      </c>
      <c r="I1511" t="n">
        <v>16.5</v>
      </c>
      <c r="J1511" t="inlineStr">
        <is>
          <t>NO</t>
        </is>
      </c>
      <c r="K1511" t="inlineStr">
        <is>
          <t>2026-02-02 00:00</t>
        </is>
      </c>
      <c r="L1511" t="inlineStr">
        <is>
          <t>CHECK_VENDOR</t>
        </is>
      </c>
      <c r="M1511" t="inlineStr">
        <is>
          <t>Various</t>
        </is>
      </c>
      <c r="N1511" t="inlineStr">
        <is>
          <t>P1</t>
        </is>
      </c>
      <c r="O1511" t="inlineStr">
        <is>
          <t>Exploit - IP enrichment N/A</t>
        </is>
      </c>
      <c r="P1511" t="n">
        <v>0</v>
      </c>
      <c r="Q1511" t="n">
        <v>0</v>
      </c>
      <c r="R1511" t="inlineStr">
        <is>
          <t>T1203:Exploitation for Client Execution</t>
        </is>
      </c>
      <c r="S1511" t="n">
        <v>1</v>
      </c>
      <c r="T1511" t="inlineStr">
        <is>
          <t>LOW (40%)</t>
        </is>
      </c>
      <c r="U1511" t="inlineStr">
        <is>
          <t>YES</t>
        </is>
      </c>
      <c r="V1511" t="inlineStr">
        <is>
          <t>CHECK_VENDOR</t>
        </is>
      </c>
      <c r="W1511" t="inlineStr">
        <is>
          <t>https://www.exploit-db.com/exploits/52469</t>
        </is>
      </c>
      <c r="X1511" t="inlineStr">
        <is>
          <t>NONE</t>
        </is>
      </c>
      <c r="Y1511" t="n">
        <v>0</v>
      </c>
      <c r="Z1511" t="inlineStr"/>
      <c r="AA1511" t="inlineStr">
        <is>
          <t>https://www.exploit-db.com/exploits/52469</t>
        </is>
      </c>
    </row>
    <row r="1512">
      <c r="A1512" t="inlineStr">
        <is>
          <t>GH_ADVISORY</t>
        </is>
      </c>
      <c r="B1512" t="inlineStr">
        <is>
          <t>GHSA-vpcf-gvg4-6qwr</t>
        </is>
      </c>
      <c r="C1512" t="inlineStr">
        <is>
          <t>n8n: Expression Sandbox Escape Leads to RCE</t>
        </is>
      </c>
      <c r="D1512" t="n">
        <v>10</v>
      </c>
      <c r="E1512" t="inlineStr">
        <is>
          <t>CRITICAL</t>
        </is>
      </c>
      <c r="F1512" t="n">
        <v>2</v>
      </c>
      <c r="G1512" t="n">
        <v>2</v>
      </c>
      <c r="H1512" t="inlineStr">
        <is>
          <t>MEDIUM</t>
        </is>
      </c>
      <c r="I1512" t="n">
        <v>14</v>
      </c>
      <c r="J1512" t="inlineStr">
        <is>
          <t>NO</t>
        </is>
      </c>
      <c r="K1512" t="inlineStr">
        <is>
          <t>2026-02-25T22:05:09Z</t>
        </is>
      </c>
      <c r="L1512" t="inlineStr">
        <is>
          <t>CHECK_GITHUB</t>
        </is>
      </c>
      <c r="M1512" t="inlineStr">
        <is>
          <t>n8n, n8n, n8n</t>
        </is>
      </c>
      <c r="N1512" t="inlineStr">
        <is>
          <t>P4</t>
        </is>
      </c>
      <c r="O1512" t="inlineStr">
        <is>
          <t>Advisory - IP enrichment N/A</t>
        </is>
      </c>
      <c r="P1512" t="n">
        <v>0</v>
      </c>
      <c r="Q1512" t="n">
        <v>0</v>
      </c>
      <c r="R1512" t="inlineStr">
        <is>
          <t>T1190:Exploit Public-Facing Application</t>
        </is>
      </c>
      <c r="S1512" t="n">
        <v>1</v>
      </c>
      <c r="T1512" t="inlineStr">
        <is>
          <t>LOW (40%)</t>
        </is>
      </c>
      <c r="U1512" t="inlineStr">
        <is>
          <t>CHECK_GITHUB</t>
        </is>
      </c>
      <c r="V1512" t="inlineStr">
        <is>
          <t>YES</t>
        </is>
      </c>
      <c r="W1512" t="inlineStr">
        <is>
          <t>https://github.com/advisories/GHSA-vpcf-gvg4-6qwr</t>
        </is>
      </c>
      <c r="X1512" t="inlineStr">
        <is>
          <t>NONE</t>
        </is>
      </c>
      <c r="Y1512" t="n">
        <v>0</v>
      </c>
      <c r="Z1512" t="inlineStr"/>
      <c r="AA1512" t="inlineStr">
        <is>
          <t>https://github.com/advisories/GHSA-vpcf-gvg4-6qwr</t>
        </is>
      </c>
    </row>
    <row r="1513">
      <c r="A1513" t="inlineStr">
        <is>
          <t>GH_ADVISORY</t>
        </is>
      </c>
      <c r="B1513" t="inlineStr">
        <is>
          <t>GHSA-3ccg-x393-96v8</t>
        </is>
      </c>
      <c r="C1513" t="inlineStr">
        <is>
          <t>Vijkunja has Weak Password Policy Combined with Persistent Sessions After Password Change</t>
        </is>
      </c>
      <c r="D1513" t="n">
        <v>9.1</v>
      </c>
      <c r="E1513" t="inlineStr">
        <is>
          <t>CRITICAL</t>
        </is>
      </c>
      <c r="F1513" t="n">
        <v>2</v>
      </c>
      <c r="G1513" t="n">
        <v>2</v>
      </c>
      <c r="H1513" t="inlineStr">
        <is>
          <t>MEDIUM</t>
        </is>
      </c>
      <c r="I1513" t="n">
        <v>13.1</v>
      </c>
      <c r="J1513" t="inlineStr">
        <is>
          <t>NO</t>
        </is>
      </c>
      <c r="K1513" t="inlineStr">
        <is>
          <t>2026-02-25T22:02:37Z</t>
        </is>
      </c>
      <c r="L1513" t="inlineStr">
        <is>
          <t>CHECK_GITHUB</t>
        </is>
      </c>
      <c r="M1513" t="inlineStr">
        <is>
          <t>code.vikunja.io/api</t>
        </is>
      </c>
      <c r="N1513" t="inlineStr">
        <is>
          <t>P4</t>
        </is>
      </c>
      <c r="O1513" t="inlineStr">
        <is>
          <t>Advisory - IP enrichment N/A</t>
        </is>
      </c>
      <c r="P1513" t="n">
        <v>0</v>
      </c>
      <c r="Q1513" t="n">
        <v>0</v>
      </c>
      <c r="R1513" t="inlineStr">
        <is>
          <t>T1190:Exploit Public-Facing Application</t>
        </is>
      </c>
      <c r="S1513" t="n">
        <v>1</v>
      </c>
      <c r="T1513" t="inlineStr">
        <is>
          <t>LOW (40%)</t>
        </is>
      </c>
      <c r="U1513" t="inlineStr">
        <is>
          <t>CHECK_GITHUB</t>
        </is>
      </c>
      <c r="V1513" t="inlineStr">
        <is>
          <t>YES</t>
        </is>
      </c>
      <c r="W1513" t="inlineStr">
        <is>
          <t>https://github.com/advisories/GHSA-3ccg-x393-96v8</t>
        </is>
      </c>
      <c r="X1513" t="inlineStr">
        <is>
          <t>NONE</t>
        </is>
      </c>
      <c r="Y1513" t="n">
        <v>0</v>
      </c>
      <c r="Z1513" t="inlineStr"/>
      <c r="AA1513" t="inlineStr">
        <is>
          <t>https://github.com/advisories/GHSA-3ccg-x393-96v8</t>
        </is>
      </c>
    </row>
    <row r="1514">
      <c r="A1514" t="inlineStr">
        <is>
          <t>GH_ADVISORY</t>
        </is>
      </c>
      <c r="B1514" t="inlineStr">
        <is>
          <t>GHSA-4qgr-4h56-8895</t>
        </is>
      </c>
      <c r="C1514" t="inlineStr">
        <is>
          <t>Vikunja has Reflected HTML Injection via filter Parameter in its Projects Module</t>
        </is>
      </c>
      <c r="D1514" t="n">
        <v>6.1</v>
      </c>
      <c r="E1514" t="inlineStr">
        <is>
          <t>MEDIUM</t>
        </is>
      </c>
      <c r="F1514" t="n">
        <v>2</v>
      </c>
      <c r="G1514" t="n">
        <v>2</v>
      </c>
      <c r="H1514" t="inlineStr">
        <is>
          <t>MEDIUM</t>
        </is>
      </c>
      <c r="I1514" t="n">
        <v>10.1</v>
      </c>
      <c r="J1514" t="inlineStr">
        <is>
          <t>NO</t>
        </is>
      </c>
      <c r="K1514" t="inlineStr">
        <is>
          <t>2026-02-25T22:01:25Z</t>
        </is>
      </c>
      <c r="L1514" t="inlineStr">
        <is>
          <t>CHECK_GITHUB</t>
        </is>
      </c>
      <c r="M1514" t="inlineStr">
        <is>
          <t>code.vikunja.io/api</t>
        </is>
      </c>
      <c r="N1514" t="inlineStr">
        <is>
          <t>P4</t>
        </is>
      </c>
      <c r="O1514" t="inlineStr">
        <is>
          <t>Advisory - IP enrichment N/A</t>
        </is>
      </c>
      <c r="P1514" t="n">
        <v>0</v>
      </c>
      <c r="Q1514" t="n">
        <v>0</v>
      </c>
      <c r="R1514" t="inlineStr">
        <is>
          <t>T1190:Exploit Public-Facing Application</t>
        </is>
      </c>
      <c r="S1514" t="n">
        <v>1</v>
      </c>
      <c r="T1514" t="inlineStr">
        <is>
          <t>LOW (40%)</t>
        </is>
      </c>
      <c r="U1514" t="inlineStr">
        <is>
          <t>CHECK_GITHUB</t>
        </is>
      </c>
      <c r="V1514" t="inlineStr">
        <is>
          <t>YES</t>
        </is>
      </c>
      <c r="W1514" t="inlineStr">
        <is>
          <t>https://github.com/advisories/GHSA-4qgr-4h56-8895</t>
        </is>
      </c>
      <c r="X1514" t="inlineStr">
        <is>
          <t>NONE</t>
        </is>
      </c>
      <c r="Y1514" t="n">
        <v>0</v>
      </c>
      <c r="Z1514" t="inlineStr"/>
      <c r="AA1514" t="inlineStr">
        <is>
          <t>https://github.com/advisories/GHSA-4qgr-4h56-8895</t>
        </is>
      </c>
    </row>
    <row r="1515">
      <c r="A1515" t="inlineStr">
        <is>
          <t>GH_ADVISORY</t>
        </is>
      </c>
      <c r="B1515" t="inlineStr">
        <is>
          <t>GHSA-x2mw-7j39-93xq</t>
        </is>
      </c>
      <c r="C1515" t="inlineStr">
        <is>
          <t>n8n has Arbitrary Command Execution via File Write and Git Operations</t>
        </is>
      </c>
      <c r="D1515" t="n">
        <v>8.6</v>
      </c>
      <c r="E1515" t="inlineStr">
        <is>
          <t>CRITICAL</t>
        </is>
      </c>
      <c r="F1515" t="n">
        <v>2</v>
      </c>
      <c r="G1515" t="n">
        <v>2</v>
      </c>
      <c r="H1515" t="inlineStr">
        <is>
          <t>MEDIUM</t>
        </is>
      </c>
      <c r="I1515" t="n">
        <v>12.6</v>
      </c>
      <c r="J1515" t="inlineStr">
        <is>
          <t>NO</t>
        </is>
      </c>
      <c r="K1515" t="inlineStr">
        <is>
          <t>2026-02-25T21:54:19Z</t>
        </is>
      </c>
      <c r="L1515" t="inlineStr">
        <is>
          <t>CHECK_GITHUB</t>
        </is>
      </c>
      <c r="M1515" t="inlineStr">
        <is>
          <t>n8n, n8n</t>
        </is>
      </c>
      <c r="N1515" t="inlineStr">
        <is>
          <t>P4</t>
        </is>
      </c>
      <c r="O1515" t="inlineStr">
        <is>
          <t>Advisory - IP enrichment N/A</t>
        </is>
      </c>
      <c r="P1515" t="n">
        <v>0</v>
      </c>
      <c r="Q1515" t="n">
        <v>0</v>
      </c>
      <c r="R1515" t="inlineStr">
        <is>
          <t>T1190:Exploit Public-Facing Application</t>
        </is>
      </c>
      <c r="S1515" t="n">
        <v>1</v>
      </c>
      <c r="T1515" t="inlineStr">
        <is>
          <t>LOW (40%)</t>
        </is>
      </c>
      <c r="U1515" t="inlineStr">
        <is>
          <t>CHECK_GITHUB</t>
        </is>
      </c>
      <c r="V1515" t="inlineStr">
        <is>
          <t>YES</t>
        </is>
      </c>
      <c r="W1515" t="inlineStr">
        <is>
          <t>https://github.com/advisories/GHSA-x2mw-7j39-93xq</t>
        </is>
      </c>
      <c r="X1515" t="inlineStr">
        <is>
          <t>NONE</t>
        </is>
      </c>
      <c r="Y1515" t="n">
        <v>0</v>
      </c>
      <c r="Z1515" t="inlineStr"/>
      <c r="AA1515" t="inlineStr">
        <is>
          <t>https://github.com/advisories/GHSA-x2mw-7j39-93xq</t>
        </is>
      </c>
    </row>
    <row r="1516">
      <c r="A1516" t="inlineStr">
        <is>
          <t>GH_ADVISORY</t>
        </is>
      </c>
      <c r="B1516" t="inlineStr">
        <is>
          <t>GHSA-wxx7-mcgf-j869</t>
        </is>
      </c>
      <c r="C1516" t="inlineStr">
        <is>
          <t>n8n has Potential Remote Code Execution via Merge Node</t>
        </is>
      </c>
      <c r="D1516" t="n">
        <v>10</v>
      </c>
      <c r="E1516" t="inlineStr">
        <is>
          <t>CRITICAL</t>
        </is>
      </c>
      <c r="F1516" t="n">
        <v>2</v>
      </c>
      <c r="G1516" t="n">
        <v>2</v>
      </c>
      <c r="H1516" t="inlineStr">
        <is>
          <t>MEDIUM</t>
        </is>
      </c>
      <c r="I1516" t="n">
        <v>14</v>
      </c>
      <c r="J1516" t="inlineStr">
        <is>
          <t>NO</t>
        </is>
      </c>
      <c r="K1516" t="inlineStr">
        <is>
          <t>2026-02-25T21:23:30Z</t>
        </is>
      </c>
      <c r="L1516" t="inlineStr">
        <is>
          <t>CHECK_GITHUB</t>
        </is>
      </c>
      <c r="M1516" t="inlineStr">
        <is>
          <t>n8n, n8n, n8n</t>
        </is>
      </c>
      <c r="N1516" t="inlineStr">
        <is>
          <t>P4</t>
        </is>
      </c>
      <c r="O1516" t="inlineStr">
        <is>
          <t>Advisory - IP enrichment N/A</t>
        </is>
      </c>
      <c r="P1516" t="n">
        <v>0</v>
      </c>
      <c r="Q1516" t="n">
        <v>0</v>
      </c>
      <c r="R1516" t="inlineStr">
        <is>
          <t>T1190:Exploit Public-Facing Application</t>
        </is>
      </c>
      <c r="S1516" t="n">
        <v>1</v>
      </c>
      <c r="T1516" t="inlineStr">
        <is>
          <t>LOW (40%)</t>
        </is>
      </c>
      <c r="U1516" t="inlineStr">
        <is>
          <t>CHECK_GITHUB</t>
        </is>
      </c>
      <c r="V1516" t="inlineStr">
        <is>
          <t>YES</t>
        </is>
      </c>
      <c r="W1516" t="inlineStr">
        <is>
          <t>https://github.com/advisories/GHSA-wxx7-mcgf-j869</t>
        </is>
      </c>
      <c r="X1516" t="inlineStr">
        <is>
          <t>NONE</t>
        </is>
      </c>
      <c r="Y1516" t="n">
        <v>0</v>
      </c>
      <c r="Z1516" t="inlineStr"/>
      <c r="AA1516" t="inlineStr">
        <is>
          <t>https://github.com/advisories/GHSA-wxx7-mcgf-j869</t>
        </is>
      </c>
    </row>
    <row r="1517">
      <c r="A1517" t="inlineStr">
        <is>
          <t>GH_ADVISORY</t>
        </is>
      </c>
      <c r="B1517" t="inlineStr">
        <is>
          <t>GHSA-jjpj-p2wh-qf23</t>
        </is>
      </c>
      <c r="C1517" t="inlineStr">
        <is>
          <t>n8n has a Sandbox Escape in its JavaScript Task Runner</t>
        </is>
      </c>
      <c r="D1517" t="n">
        <v>7</v>
      </c>
      <c r="E1517" t="inlineStr">
        <is>
          <t>CRITICAL</t>
        </is>
      </c>
      <c r="F1517" t="n">
        <v>2</v>
      </c>
      <c r="G1517" t="n">
        <v>2</v>
      </c>
      <c r="H1517" t="inlineStr">
        <is>
          <t>MEDIUM</t>
        </is>
      </c>
      <c r="I1517" t="n">
        <v>11</v>
      </c>
      <c r="J1517" t="inlineStr">
        <is>
          <t>NO</t>
        </is>
      </c>
      <c r="K1517" t="inlineStr">
        <is>
          <t>2026-02-25T21:23:15Z</t>
        </is>
      </c>
      <c r="L1517" t="inlineStr">
        <is>
          <t>CHECK_GITHUB</t>
        </is>
      </c>
      <c r="M1517" t="inlineStr">
        <is>
          <t>n8n, n8n, n8n</t>
        </is>
      </c>
      <c r="N1517" t="inlineStr">
        <is>
          <t>P4</t>
        </is>
      </c>
      <c r="O1517" t="inlineStr">
        <is>
          <t>Advisory - IP enrichment N/A</t>
        </is>
      </c>
      <c r="P1517" t="n">
        <v>0</v>
      </c>
      <c r="Q1517" t="n">
        <v>0</v>
      </c>
      <c r="R1517" t="inlineStr">
        <is>
          <t>T1190:Exploit Public-Facing Application</t>
        </is>
      </c>
      <c r="S1517" t="n">
        <v>1</v>
      </c>
      <c r="T1517" t="inlineStr">
        <is>
          <t>LOW (40%)</t>
        </is>
      </c>
      <c r="U1517" t="inlineStr">
        <is>
          <t>CHECK_GITHUB</t>
        </is>
      </c>
      <c r="V1517" t="inlineStr">
        <is>
          <t>YES</t>
        </is>
      </c>
      <c r="W1517" t="inlineStr">
        <is>
          <t>https://github.com/advisories/GHSA-jjpj-p2wh-qf23</t>
        </is>
      </c>
      <c r="X1517" t="inlineStr">
        <is>
          <t>NONE</t>
        </is>
      </c>
      <c r="Y1517" t="n">
        <v>0</v>
      </c>
      <c r="Z1517" t="inlineStr"/>
      <c r="AA1517" t="inlineStr">
        <is>
          <t>https://github.com/advisories/GHSA-jjpj-p2wh-qf23</t>
        </is>
      </c>
    </row>
    <row r="1518">
      <c r="A1518" t="inlineStr">
        <is>
          <t>GH_ADVISORY</t>
        </is>
      </c>
      <c r="B1518" t="inlineStr">
        <is>
          <t>GHSA-mmgg-m5j7-f83h</t>
        </is>
      </c>
      <c r="C1518" t="inlineStr">
        <is>
          <t>n8n has Arbitrary File Read via Python Code Node Sandbox Escape</t>
        </is>
      </c>
      <c r="D1518" t="n">
        <v>10</v>
      </c>
      <c r="E1518" t="inlineStr">
        <is>
          <t>HIGH</t>
        </is>
      </c>
      <c r="F1518" t="n">
        <v>2</v>
      </c>
      <c r="G1518" t="n">
        <v>2</v>
      </c>
      <c r="H1518" t="inlineStr">
        <is>
          <t>MEDIUM</t>
        </is>
      </c>
      <c r="I1518" t="n">
        <v>14</v>
      </c>
      <c r="J1518" t="inlineStr">
        <is>
          <t>NO</t>
        </is>
      </c>
      <c r="K1518" t="inlineStr">
        <is>
          <t>2026-02-25T21:22:39Z</t>
        </is>
      </c>
      <c r="L1518" t="inlineStr">
        <is>
          <t>CHECK_GITHUB</t>
        </is>
      </c>
      <c r="M1518" t="inlineStr">
        <is>
          <t>n8n, n8n, n8n</t>
        </is>
      </c>
      <c r="N1518" t="inlineStr">
        <is>
          <t>P4</t>
        </is>
      </c>
      <c r="O1518" t="inlineStr">
        <is>
          <t>Advisory - IP enrichment N/A</t>
        </is>
      </c>
      <c r="P1518" t="n">
        <v>0</v>
      </c>
      <c r="Q1518" t="n">
        <v>0</v>
      </c>
      <c r="R1518" t="inlineStr">
        <is>
          <t>T1190:Exploit Public-Facing Application</t>
        </is>
      </c>
      <c r="S1518" t="n">
        <v>1</v>
      </c>
      <c r="T1518" t="inlineStr">
        <is>
          <t>LOW (40%)</t>
        </is>
      </c>
      <c r="U1518" t="inlineStr">
        <is>
          <t>CHECK_GITHUB</t>
        </is>
      </c>
      <c r="V1518" t="inlineStr">
        <is>
          <t>YES</t>
        </is>
      </c>
      <c r="W1518" t="inlineStr">
        <is>
          <t>https://github.com/advisories/GHSA-mmgg-m5j7-f83h</t>
        </is>
      </c>
      <c r="X1518" t="inlineStr">
        <is>
          <t>NONE</t>
        </is>
      </c>
      <c r="Y1518" t="n">
        <v>0</v>
      </c>
      <c r="Z1518" t="inlineStr"/>
      <c r="AA1518" t="inlineStr">
        <is>
          <t>https://github.com/advisories/GHSA-mmgg-m5j7-f83h</t>
        </is>
      </c>
    </row>
    <row r="1519">
      <c r="A1519" t="inlineStr">
        <is>
          <t>GH_ADVISORY</t>
        </is>
      </c>
      <c r="B1519" t="inlineStr">
        <is>
          <t>GHSA-75g8-rv7v-32f7</t>
        </is>
      </c>
      <c r="C1519" t="inlineStr">
        <is>
          <t>n8n has Unauthenticated Expression Evaluation via Form Node</t>
        </is>
      </c>
      <c r="D1519" t="n">
        <v>9.1</v>
      </c>
      <c r="E1519" t="inlineStr">
        <is>
          <t>CRITICAL</t>
        </is>
      </c>
      <c r="F1519" t="n">
        <v>2</v>
      </c>
      <c r="G1519" t="n">
        <v>2</v>
      </c>
      <c r="H1519" t="inlineStr">
        <is>
          <t>MEDIUM</t>
        </is>
      </c>
      <c r="I1519" t="n">
        <v>13.1</v>
      </c>
      <c r="J1519" t="inlineStr">
        <is>
          <t>NO</t>
        </is>
      </c>
      <c r="K1519" t="inlineStr">
        <is>
          <t>2026-02-25T21:21:36Z</t>
        </is>
      </c>
      <c r="L1519" t="inlineStr">
        <is>
          <t>CHECK_GITHUB</t>
        </is>
      </c>
      <c r="M1519" t="inlineStr">
        <is>
          <t>n8n, n8n, n8n</t>
        </is>
      </c>
      <c r="N1519" t="inlineStr">
        <is>
          <t>P4</t>
        </is>
      </c>
      <c r="O1519" t="inlineStr">
        <is>
          <t>Advisory - IP enrichment N/A</t>
        </is>
      </c>
      <c r="P1519" t="n">
        <v>0</v>
      </c>
      <c r="Q1519" t="n">
        <v>0</v>
      </c>
      <c r="R1519" t="inlineStr">
        <is>
          <t>T1190:Exploit Public-Facing Application</t>
        </is>
      </c>
      <c r="S1519" t="n">
        <v>1</v>
      </c>
      <c r="T1519" t="inlineStr">
        <is>
          <t>LOW (40%)</t>
        </is>
      </c>
      <c r="U1519" t="inlineStr">
        <is>
          <t>CHECK_GITHUB</t>
        </is>
      </c>
      <c r="V1519" t="inlineStr">
        <is>
          <t>YES</t>
        </is>
      </c>
      <c r="W1519" t="inlineStr">
        <is>
          <t>https://github.com/advisories/GHSA-75g8-rv7v-32f7</t>
        </is>
      </c>
      <c r="X1519" t="inlineStr">
        <is>
          <t>NONE</t>
        </is>
      </c>
      <c r="Y1519" t="n">
        <v>0</v>
      </c>
      <c r="Z1519" t="inlineStr"/>
      <c r="AA1519" t="inlineStr">
        <is>
          <t>https://github.com/advisories/GHSA-75g8-rv7v-32f7</t>
        </is>
      </c>
    </row>
    <row r="1520">
      <c r="A1520" t="inlineStr">
        <is>
          <t>GH_ADVISORY</t>
        </is>
      </c>
      <c r="B1520" t="inlineStr">
        <is>
          <t>GHSA-fq4f-4738-rqxm</t>
        </is>
      </c>
      <c r="C1520" t="inlineStr">
        <is>
          <t>Rucio WebUI has a Stored Cross-site Scripting (XSS) Vulnerability in its Custom RSE Attribute</t>
        </is>
      </c>
      <c r="D1520" t="n">
        <v>6.1</v>
      </c>
      <c r="E1520" t="inlineStr">
        <is>
          <t>MEDIUM</t>
        </is>
      </c>
      <c r="F1520" t="n">
        <v>2</v>
      </c>
      <c r="G1520" t="n">
        <v>2</v>
      </c>
      <c r="H1520" t="inlineStr">
        <is>
          <t>MEDIUM</t>
        </is>
      </c>
      <c r="I1520" t="n">
        <v>10.1</v>
      </c>
      <c r="J1520" t="inlineStr">
        <is>
          <t>NO</t>
        </is>
      </c>
      <c r="K1520" t="inlineStr">
        <is>
          <t>2026-02-25T19:37:27Z</t>
        </is>
      </c>
      <c r="L1520" t="inlineStr">
        <is>
          <t>CHECK_GITHUB</t>
        </is>
      </c>
      <c r="M1520" t="inlineStr">
        <is>
          <t>rucio-webui, rucio-webui, rucio-webui</t>
        </is>
      </c>
      <c r="N1520" t="inlineStr">
        <is>
          <t>P4</t>
        </is>
      </c>
      <c r="O1520" t="inlineStr">
        <is>
          <t>Advisory - IP enrichment N/A</t>
        </is>
      </c>
      <c r="P1520" t="n">
        <v>0</v>
      </c>
      <c r="Q1520" t="n">
        <v>0</v>
      </c>
      <c r="R1520" t="inlineStr">
        <is>
          <t>T1190:Exploit Public-Facing Application</t>
        </is>
      </c>
      <c r="S1520" t="n">
        <v>1</v>
      </c>
      <c r="T1520" t="inlineStr">
        <is>
          <t>LOW (40%)</t>
        </is>
      </c>
      <c r="U1520" t="inlineStr">
        <is>
          <t>CHECK_GITHUB</t>
        </is>
      </c>
      <c r="V1520" t="inlineStr">
        <is>
          <t>YES</t>
        </is>
      </c>
      <c r="W1520" t="inlineStr">
        <is>
          <t>https://github.com/advisories/GHSA-fq4f-4738-rqxm</t>
        </is>
      </c>
      <c r="X1520" t="inlineStr">
        <is>
          <t>NONE</t>
        </is>
      </c>
      <c r="Y1520" t="n">
        <v>0</v>
      </c>
      <c r="Z1520" t="inlineStr"/>
      <c r="AA1520" t="inlineStr">
        <is>
          <t>https://github.com/advisories/GHSA-fq4f-4738-rqxm</t>
        </is>
      </c>
    </row>
    <row r="1521">
      <c r="A1521" t="inlineStr">
        <is>
          <t>GH_ADVISORY</t>
        </is>
      </c>
      <c r="B1521" t="inlineStr">
        <is>
          <t>GHSA-8wpv-6x3f-3rm5</t>
        </is>
      </c>
      <c r="C1521" t="inlineStr">
        <is>
          <t>Rucio WebUI has a Stored Cross-site Scripting (XSS) vulnerability its Identity Name</t>
        </is>
      </c>
      <c r="D1521" t="n">
        <v>6.1</v>
      </c>
      <c r="E1521" t="inlineStr">
        <is>
          <t>MEDIUM</t>
        </is>
      </c>
      <c r="F1521" t="n">
        <v>2</v>
      </c>
      <c r="G1521" t="n">
        <v>2</v>
      </c>
      <c r="H1521" t="inlineStr">
        <is>
          <t>MEDIUM</t>
        </is>
      </c>
      <c r="I1521" t="n">
        <v>10.1</v>
      </c>
      <c r="J1521" t="inlineStr">
        <is>
          <t>NO</t>
        </is>
      </c>
      <c r="K1521" t="inlineStr">
        <is>
          <t>2026-02-25T19:29:37Z</t>
        </is>
      </c>
      <c r="L1521" t="inlineStr">
        <is>
          <t>CHECK_GITHUB</t>
        </is>
      </c>
      <c r="M1521" t="inlineStr">
        <is>
          <t>rucio-webui, rucio-webui, rucio-webui</t>
        </is>
      </c>
      <c r="N1521" t="inlineStr">
        <is>
          <t>P4</t>
        </is>
      </c>
      <c r="O1521" t="inlineStr">
        <is>
          <t>Advisory - IP enrichment N/A</t>
        </is>
      </c>
      <c r="P1521" t="n">
        <v>0</v>
      </c>
      <c r="Q1521" t="n">
        <v>0</v>
      </c>
      <c r="R1521" t="inlineStr">
        <is>
          <t>T1190:Exploit Public-Facing Application</t>
        </is>
      </c>
      <c r="S1521" t="n">
        <v>1</v>
      </c>
      <c r="T1521" t="inlineStr">
        <is>
          <t>LOW (40%)</t>
        </is>
      </c>
      <c r="U1521" t="inlineStr">
        <is>
          <t>CHECK_GITHUB</t>
        </is>
      </c>
      <c r="V1521" t="inlineStr">
        <is>
          <t>YES</t>
        </is>
      </c>
      <c r="W1521" t="inlineStr">
        <is>
          <t>https://github.com/advisories/GHSA-8wpv-6x3f-3rm5</t>
        </is>
      </c>
      <c r="X1521" t="inlineStr">
        <is>
          <t>NONE</t>
        </is>
      </c>
      <c r="Y1521" t="n">
        <v>0</v>
      </c>
      <c r="Z1521" t="inlineStr"/>
      <c r="AA1521" t="inlineStr">
        <is>
          <t>https://github.com/advisories/GHSA-8wpv-6x3f-3rm5</t>
        </is>
      </c>
    </row>
    <row r="1522">
      <c r="A1522" t="inlineStr">
        <is>
          <t>GH_ADVISORY</t>
        </is>
      </c>
      <c r="B1522" t="inlineStr">
        <is>
          <t>GHSA-h9fp-p2p9-873q</t>
        </is>
      </c>
      <c r="C1522" t="inlineStr">
        <is>
          <t xml:space="preserve"> Rucio WebUI has Stored Cross-site Scripting (XSS) in RSE Metadata</t>
        </is>
      </c>
      <c r="D1522" t="n">
        <v>6.1</v>
      </c>
      <c r="E1522" t="inlineStr">
        <is>
          <t>MEDIUM</t>
        </is>
      </c>
      <c r="F1522" t="n">
        <v>2</v>
      </c>
      <c r="G1522" t="n">
        <v>2</v>
      </c>
      <c r="H1522" t="inlineStr">
        <is>
          <t>MEDIUM</t>
        </is>
      </c>
      <c r="I1522" t="n">
        <v>10.1</v>
      </c>
      <c r="J1522" t="inlineStr">
        <is>
          <t>NO</t>
        </is>
      </c>
      <c r="K1522" t="inlineStr">
        <is>
          <t>2026-02-25T19:29:22Z</t>
        </is>
      </c>
      <c r="L1522" t="inlineStr">
        <is>
          <t>CHECK_GITHUB</t>
        </is>
      </c>
      <c r="M1522" t="inlineStr">
        <is>
          <t>rucio-webui, rucio-webui, rucio-webui</t>
        </is>
      </c>
      <c r="N1522" t="inlineStr">
        <is>
          <t>P4</t>
        </is>
      </c>
      <c r="O1522" t="inlineStr">
        <is>
          <t>Advisory - IP enrichment N/A</t>
        </is>
      </c>
      <c r="P1522" t="n">
        <v>0</v>
      </c>
      <c r="Q1522" t="n">
        <v>0</v>
      </c>
      <c r="R1522" t="inlineStr">
        <is>
          <t>T1190:Exploit Public-Facing Application</t>
        </is>
      </c>
      <c r="S1522" t="n">
        <v>1</v>
      </c>
      <c r="T1522" t="inlineStr">
        <is>
          <t>LOW (40%)</t>
        </is>
      </c>
      <c r="U1522" t="inlineStr">
        <is>
          <t>CHECK_GITHUB</t>
        </is>
      </c>
      <c r="V1522" t="inlineStr">
        <is>
          <t>YES</t>
        </is>
      </c>
      <c r="W1522" t="inlineStr">
        <is>
          <t>https://github.com/advisories/GHSA-h9fp-p2p9-873q</t>
        </is>
      </c>
      <c r="X1522" t="inlineStr">
        <is>
          <t>NONE</t>
        </is>
      </c>
      <c r="Y1522" t="n">
        <v>0</v>
      </c>
      <c r="Z1522" t="inlineStr"/>
      <c r="AA1522" t="inlineStr">
        <is>
          <t>https://github.com/advisories/GHSA-h9fp-p2p9-873q</t>
        </is>
      </c>
    </row>
    <row r="1523">
      <c r="A1523" t="inlineStr">
        <is>
          <t>GH_ADVISORY</t>
        </is>
      </c>
      <c r="B1523" t="inlineStr">
        <is>
          <t>GHSA-r5j5-q42h-fc93</t>
        </is>
      </c>
      <c r="C1523" t="inlineStr">
        <is>
          <t>Mautic is Vulnerable to SQL Injection through Contact Activity API Sorting</t>
        </is>
      </c>
      <c r="D1523" t="n">
        <v>7.6</v>
      </c>
      <c r="E1523" t="inlineStr">
        <is>
          <t>HIGH</t>
        </is>
      </c>
      <c r="F1523" t="n">
        <v>2</v>
      </c>
      <c r="G1523" t="n">
        <v>2</v>
      </c>
      <c r="H1523" t="inlineStr">
        <is>
          <t>MEDIUM</t>
        </is>
      </c>
      <c r="I1523" t="n">
        <v>11.6</v>
      </c>
      <c r="J1523" t="inlineStr">
        <is>
          <t>NO</t>
        </is>
      </c>
      <c r="K1523" t="inlineStr">
        <is>
          <t>2026-02-25T19:28:39Z</t>
        </is>
      </c>
      <c r="L1523" t="inlineStr">
        <is>
          <t>CHECK_GITHUB</t>
        </is>
      </c>
      <c r="M1523" t="inlineStr">
        <is>
          <t>mautic/core, mautic/core, mautic/core</t>
        </is>
      </c>
      <c r="N1523" t="inlineStr">
        <is>
          <t>P4</t>
        </is>
      </c>
      <c r="O1523" t="inlineStr">
        <is>
          <t>Advisory - IP enrichment N/A</t>
        </is>
      </c>
      <c r="P1523" t="n">
        <v>0</v>
      </c>
      <c r="Q1523" t="n">
        <v>0</v>
      </c>
      <c r="R1523" t="inlineStr">
        <is>
          <t>T1190:Exploit Public-Facing Application</t>
        </is>
      </c>
      <c r="S1523" t="n">
        <v>1</v>
      </c>
      <c r="T1523" t="inlineStr">
        <is>
          <t>LOW (40%)</t>
        </is>
      </c>
      <c r="U1523" t="inlineStr">
        <is>
          <t>CHECK_GITHUB</t>
        </is>
      </c>
      <c r="V1523" t="inlineStr">
        <is>
          <t>YES</t>
        </is>
      </c>
      <c r="W1523" t="inlineStr">
        <is>
          <t>https://github.com/advisories/GHSA-r5j5-q42h-fc93</t>
        </is>
      </c>
      <c r="X1523" t="inlineStr">
        <is>
          <t>NONE</t>
        </is>
      </c>
      <c r="Y1523" t="n">
        <v>0</v>
      </c>
      <c r="Z1523" t="inlineStr"/>
      <c r="AA1523" t="inlineStr">
        <is>
          <t>https://github.com/advisories/GHSA-r5j5-q42h-fc93</t>
        </is>
      </c>
    </row>
    <row r="1524">
      <c r="A1524" t="inlineStr">
        <is>
          <t>GH_ADVISORY</t>
        </is>
      </c>
      <c r="B1524" t="inlineStr">
        <is>
          <t>GHSA-r99p-5442-q2x2</t>
        </is>
      </c>
      <c r="C1524" t="inlineStr">
        <is>
          <t>ImageMagick has a heap Buffer Over-read  in its DJVU image format handler</t>
        </is>
      </c>
      <c r="D1524" t="n">
        <v>4</v>
      </c>
      <c r="E1524" t="inlineStr">
        <is>
          <t>MEDIUM</t>
        </is>
      </c>
      <c r="F1524" t="n">
        <v>2</v>
      </c>
      <c r="G1524" t="n">
        <v>2</v>
      </c>
      <c r="H1524" t="inlineStr">
        <is>
          <t>MEDIUM</t>
        </is>
      </c>
      <c r="I1524" t="n">
        <v>8</v>
      </c>
      <c r="J1524" t="inlineStr">
        <is>
          <t>NO</t>
        </is>
      </c>
      <c r="K1524" t="inlineStr">
        <is>
          <t>2026-02-25T19:24:24Z</t>
        </is>
      </c>
      <c r="L1524" t="inlineStr">
        <is>
          <t>CHECK_GITHUB</t>
        </is>
      </c>
      <c r="M1524" t="inlineStr">
        <is>
          <t>Magick.NET-Q16-AnyCPU, Magick.NET-Q16-HDRI-AnyCPU, Magick.NET-Q16-HDRI-OpenMP-arm64</t>
        </is>
      </c>
      <c r="N1524" t="inlineStr">
        <is>
          <t>P4</t>
        </is>
      </c>
      <c r="O1524" t="inlineStr">
        <is>
          <t>Advisory - IP enrichment N/A</t>
        </is>
      </c>
      <c r="P1524" t="n">
        <v>0</v>
      </c>
      <c r="Q1524" t="n">
        <v>0</v>
      </c>
      <c r="R1524" t="inlineStr">
        <is>
          <t>T1190:Exploit Public-Facing Application</t>
        </is>
      </c>
      <c r="S1524" t="n">
        <v>1</v>
      </c>
      <c r="T1524" t="inlineStr">
        <is>
          <t>LOW (40%)</t>
        </is>
      </c>
      <c r="U1524" t="inlineStr">
        <is>
          <t>CHECK_GITHUB</t>
        </is>
      </c>
      <c r="V1524" t="inlineStr">
        <is>
          <t>YES</t>
        </is>
      </c>
      <c r="W1524" t="inlineStr">
        <is>
          <t>https://github.com/advisories/GHSA-r99p-5442-q2x2</t>
        </is>
      </c>
      <c r="X1524" t="inlineStr">
        <is>
          <t>NONE</t>
        </is>
      </c>
      <c r="Y1524" t="n">
        <v>0</v>
      </c>
      <c r="Z1524" t="inlineStr"/>
      <c r="AA1524" t="inlineStr">
        <is>
          <t>https://github.com/advisories/GHSA-r99p-5442-q2x2</t>
        </is>
      </c>
    </row>
    <row r="1525">
      <c r="A1525" t="inlineStr">
        <is>
          <t>GH_ADVISORY</t>
        </is>
      </c>
      <c r="B1525" t="inlineStr">
        <is>
          <t>GHSA-qpgx-jfcq-r59f</t>
        </is>
      </c>
      <c r="C1525" t="inlineStr">
        <is>
          <t>ImageMagick: Heap Buffer Over-read in WaveletDenoise when processing small images</t>
        </is>
      </c>
      <c r="D1525" t="n">
        <v>4</v>
      </c>
      <c r="E1525" t="inlineStr">
        <is>
          <t>MEDIUM</t>
        </is>
      </c>
      <c r="F1525" t="n">
        <v>2</v>
      </c>
      <c r="G1525" t="n">
        <v>2</v>
      </c>
      <c r="H1525" t="inlineStr">
        <is>
          <t>MEDIUM</t>
        </is>
      </c>
      <c r="I1525" t="n">
        <v>8</v>
      </c>
      <c r="J1525" t="inlineStr">
        <is>
          <t>NO</t>
        </is>
      </c>
      <c r="K1525" t="inlineStr">
        <is>
          <t>2026-02-25T19:24:05Z</t>
        </is>
      </c>
      <c r="L1525" t="inlineStr">
        <is>
          <t>CHECK_GITHUB</t>
        </is>
      </c>
      <c r="M1525" t="inlineStr">
        <is>
          <t>Magick.NET-Q16-AnyCPU, Magick.NET-Q16-HDRI-AnyCPU, Magick.NET-Q16-HDRI-OpenMP-arm64</t>
        </is>
      </c>
      <c r="N1525" t="inlineStr">
        <is>
          <t>P4</t>
        </is>
      </c>
      <c r="O1525" t="inlineStr">
        <is>
          <t>Advisory - IP enrichment N/A</t>
        </is>
      </c>
      <c r="P1525" t="n">
        <v>0</v>
      </c>
      <c r="Q1525" t="n">
        <v>0</v>
      </c>
      <c r="R1525" t="inlineStr">
        <is>
          <t>T1190:Exploit Public-Facing Application</t>
        </is>
      </c>
      <c r="S1525" t="n">
        <v>1</v>
      </c>
      <c r="T1525" t="inlineStr">
        <is>
          <t>LOW (40%)</t>
        </is>
      </c>
      <c r="U1525" t="inlineStr">
        <is>
          <t>CHECK_GITHUB</t>
        </is>
      </c>
      <c r="V1525" t="inlineStr">
        <is>
          <t>YES</t>
        </is>
      </c>
      <c r="W1525" t="inlineStr">
        <is>
          <t>https://github.com/advisories/GHSA-qpgx-jfcq-r59f</t>
        </is>
      </c>
      <c r="X1525" t="inlineStr">
        <is>
          <t>NONE</t>
        </is>
      </c>
      <c r="Y1525" t="n">
        <v>0</v>
      </c>
      <c r="Z1525" t="inlineStr"/>
      <c r="AA1525" t="inlineStr">
        <is>
          <t>https://github.com/advisories/GHSA-qpgx-jfcq-r59f</t>
        </is>
      </c>
    </row>
    <row r="1526">
      <c r="A1526" t="inlineStr">
        <is>
          <t>GH_ADVISORY</t>
        </is>
      </c>
      <c r="B1526" t="inlineStr">
        <is>
          <t>GHSA-x43w-ph7m-pfjx</t>
        </is>
      </c>
      <c r="C1526" t="inlineStr">
        <is>
          <t>hexchat crate has a Use After Free vulnerability</t>
        </is>
      </c>
      <c r="D1526" t="n">
        <v>7</v>
      </c>
      <c r="E1526" t="inlineStr">
        <is>
          <t>HIGH</t>
        </is>
      </c>
      <c r="F1526" t="n">
        <v>2</v>
      </c>
      <c r="G1526" t="n">
        <v>2</v>
      </c>
      <c r="H1526" t="inlineStr">
        <is>
          <t>MEDIUM</t>
        </is>
      </c>
      <c r="I1526" t="n">
        <v>11</v>
      </c>
      <c r="J1526" t="inlineStr">
        <is>
          <t>NO</t>
        </is>
      </c>
      <c r="K1526" t="inlineStr">
        <is>
          <t>2026-02-25T19:23:47Z</t>
        </is>
      </c>
      <c r="L1526" t="inlineStr">
        <is>
          <t>CHECK_GITHUB</t>
        </is>
      </c>
      <c r="M1526" t="inlineStr">
        <is>
          <t>hexchat</t>
        </is>
      </c>
      <c r="N1526" t="inlineStr">
        <is>
          <t>P4</t>
        </is>
      </c>
      <c r="O1526" t="inlineStr">
        <is>
          <t>Advisory - IP enrichment N/A</t>
        </is>
      </c>
      <c r="P1526" t="n">
        <v>0</v>
      </c>
      <c r="Q1526" t="n">
        <v>0</v>
      </c>
      <c r="R1526" t="inlineStr">
        <is>
          <t>T1190:Exploit Public-Facing Application</t>
        </is>
      </c>
      <c r="S1526" t="n">
        <v>1</v>
      </c>
      <c r="T1526" t="inlineStr">
        <is>
          <t>LOW (40%)</t>
        </is>
      </c>
      <c r="U1526" t="inlineStr">
        <is>
          <t>CHECK_GITHUB</t>
        </is>
      </c>
      <c r="V1526" t="inlineStr">
        <is>
          <t>YES</t>
        </is>
      </c>
      <c r="W1526" t="inlineStr">
        <is>
          <t>https://github.com/advisories/GHSA-x43w-ph7m-pfjx</t>
        </is>
      </c>
      <c r="X1526" t="inlineStr">
        <is>
          <t>NONE</t>
        </is>
      </c>
      <c r="Y1526" t="n">
        <v>0</v>
      </c>
      <c r="Z1526" t="inlineStr"/>
      <c r="AA1526" t="inlineStr">
        <is>
          <t>https://github.com/advisories/GHSA-x43w-ph7m-pfjx</t>
        </is>
      </c>
    </row>
    <row r="1527">
      <c r="A1527" t="inlineStr">
        <is>
          <t>GH_ADVISORY</t>
        </is>
      </c>
      <c r="B1527" t="inlineStr">
        <is>
          <t>GHSA-q9hv-hpm4-hj6x</t>
        </is>
      </c>
      <c r="C1527" t="inlineStr">
        <is>
          <t>CIRCL has an incorrect calculation in secp384r1 CombinedMult</t>
        </is>
      </c>
      <c r="D1527" t="n">
        <v>7</v>
      </c>
      <c r="E1527" t="inlineStr">
        <is>
          <t>LOW</t>
        </is>
      </c>
      <c r="F1527" t="n">
        <v>2</v>
      </c>
      <c r="G1527" t="n">
        <v>2</v>
      </c>
      <c r="H1527" t="inlineStr">
        <is>
          <t>MEDIUM</t>
        </is>
      </c>
      <c r="I1527" t="n">
        <v>11</v>
      </c>
      <c r="J1527" t="inlineStr">
        <is>
          <t>NO</t>
        </is>
      </c>
      <c r="K1527" t="inlineStr">
        <is>
          <t>2026-02-25T19:17:50Z</t>
        </is>
      </c>
      <c r="L1527" t="inlineStr">
        <is>
          <t>CHECK_GITHUB</t>
        </is>
      </c>
      <c r="M1527" t="inlineStr">
        <is>
          <t>github.com/cloudflare/circl</t>
        </is>
      </c>
      <c r="N1527" t="inlineStr">
        <is>
          <t>P4</t>
        </is>
      </c>
      <c r="O1527" t="inlineStr">
        <is>
          <t>Advisory - IP enrichment N/A</t>
        </is>
      </c>
      <c r="P1527" t="n">
        <v>0</v>
      </c>
      <c r="Q1527" t="n">
        <v>0</v>
      </c>
      <c r="R1527" t="inlineStr">
        <is>
          <t>T1190:Exploit Public-Facing Application</t>
        </is>
      </c>
      <c r="S1527" t="n">
        <v>1</v>
      </c>
      <c r="T1527" t="inlineStr">
        <is>
          <t>LOW (40%)</t>
        </is>
      </c>
      <c r="U1527" t="inlineStr">
        <is>
          <t>CHECK_GITHUB</t>
        </is>
      </c>
      <c r="V1527" t="inlineStr">
        <is>
          <t>YES</t>
        </is>
      </c>
      <c r="W1527" t="inlineStr">
        <is>
          <t>https://github.com/advisories/GHSA-q9hv-hpm4-hj6x</t>
        </is>
      </c>
      <c r="X1527" t="inlineStr">
        <is>
          <t>NONE</t>
        </is>
      </c>
      <c r="Y1527" t="n">
        <v>0</v>
      </c>
      <c r="Z1527" t="inlineStr"/>
      <c r="AA1527" t="inlineStr">
        <is>
          <t>https://github.com/advisories/GHSA-q9hv-hpm4-hj6x</t>
        </is>
      </c>
    </row>
    <row r="1528">
      <c r="A1528" t="inlineStr">
        <is>
          <t>GH_ADVISORY</t>
        </is>
      </c>
      <c r="B1528" t="inlineStr">
        <is>
          <t>GHSA-gq5v-qf8q-fp77</t>
        </is>
      </c>
      <c r="C1528" t="inlineStr">
        <is>
          <t>ImageMagick: Heap-based Buffer Overflow in GetPixelIndex due to metadata-cache desynchronization</t>
        </is>
      </c>
      <c r="D1528" t="n">
        <v>3.3</v>
      </c>
      <c r="E1528" t="inlineStr">
        <is>
          <t>LOW</t>
        </is>
      </c>
      <c r="F1528" t="n">
        <v>2</v>
      </c>
      <c r="G1528" t="n">
        <v>2</v>
      </c>
      <c r="H1528" t="inlineStr">
        <is>
          <t>MEDIUM</t>
        </is>
      </c>
      <c r="I1528" t="n">
        <v>7.3</v>
      </c>
      <c r="J1528" t="inlineStr">
        <is>
          <t>NO</t>
        </is>
      </c>
      <c r="K1528" t="inlineStr">
        <is>
          <t>2026-02-25T19:15:56Z</t>
        </is>
      </c>
      <c r="L1528" t="inlineStr">
        <is>
          <t>CHECK_GITHUB</t>
        </is>
      </c>
      <c r="M1528" t="inlineStr">
        <is>
          <t>Magick.NET-Q16-AnyCPU, Magick.NET-Q16-HDRI-AnyCPU, Magick.NET-Q16-HDRI-OpenMP-arm64</t>
        </is>
      </c>
      <c r="N1528" t="inlineStr">
        <is>
          <t>P4</t>
        </is>
      </c>
      <c r="O1528" t="inlineStr">
        <is>
          <t>Advisory - IP enrichment N/A</t>
        </is>
      </c>
      <c r="P1528" t="n">
        <v>0</v>
      </c>
      <c r="Q1528" t="n">
        <v>0</v>
      </c>
      <c r="R1528" t="inlineStr">
        <is>
          <t>T1190:Exploit Public-Facing Application</t>
        </is>
      </c>
      <c r="S1528" t="n">
        <v>1</v>
      </c>
      <c r="T1528" t="inlineStr">
        <is>
          <t>LOW (40%)</t>
        </is>
      </c>
      <c r="U1528" t="inlineStr">
        <is>
          <t>CHECK_GITHUB</t>
        </is>
      </c>
      <c r="V1528" t="inlineStr">
        <is>
          <t>YES</t>
        </is>
      </c>
      <c r="W1528" t="inlineStr">
        <is>
          <t>https://github.com/advisories/GHSA-gq5v-qf8q-fp77</t>
        </is>
      </c>
      <c r="X1528" t="inlineStr">
        <is>
          <t>NONE</t>
        </is>
      </c>
      <c r="Y1528" t="n">
        <v>0</v>
      </c>
      <c r="Z1528" t="inlineStr"/>
      <c r="AA1528" t="inlineStr">
        <is>
          <t>https://github.com/advisories/GHSA-gq5v-qf8q-fp77</t>
        </is>
      </c>
    </row>
    <row r="1529">
      <c r="A1529" t="inlineStr">
        <is>
          <t>GH_ADVISORY</t>
        </is>
      </c>
      <c r="B1529" t="inlineStr">
        <is>
          <t>GHSA-wfx3-6g53-9fgc</t>
        </is>
      </c>
      <c r="C1529" t="inlineStr">
        <is>
          <t xml:space="preserve">ImageMagick: Memory Leak in multiple coders that write raw pixel data </t>
        </is>
      </c>
      <c r="D1529" t="n">
        <v>3.7</v>
      </c>
      <c r="E1529" t="inlineStr">
        <is>
          <t>LOW</t>
        </is>
      </c>
      <c r="F1529" t="n">
        <v>2</v>
      </c>
      <c r="G1529" t="n">
        <v>2</v>
      </c>
      <c r="H1529" t="inlineStr">
        <is>
          <t>MEDIUM</t>
        </is>
      </c>
      <c r="I1529" t="n">
        <v>7.7</v>
      </c>
      <c r="J1529" t="inlineStr">
        <is>
          <t>NO</t>
        </is>
      </c>
      <c r="K1529" t="inlineStr">
        <is>
          <t>2026-02-25T19:13:32Z</t>
        </is>
      </c>
      <c r="L1529" t="inlineStr">
        <is>
          <t>CHECK_GITHUB</t>
        </is>
      </c>
      <c r="M1529" t="inlineStr">
        <is>
          <t>Magick.NET-Q16-AnyCPU, Magick.NET-Q16-HDRI-AnyCPU, Magick.NET-Q16-HDRI-OpenMP-arm64</t>
        </is>
      </c>
      <c r="N1529" t="inlineStr">
        <is>
          <t>P4</t>
        </is>
      </c>
      <c r="O1529" t="inlineStr">
        <is>
          <t>Advisory - IP enrichment N/A</t>
        </is>
      </c>
      <c r="P1529" t="n">
        <v>0</v>
      </c>
      <c r="Q1529" t="n">
        <v>0</v>
      </c>
      <c r="R1529" t="inlineStr">
        <is>
          <t>T1190:Exploit Public-Facing Application</t>
        </is>
      </c>
      <c r="S1529" t="n">
        <v>1</v>
      </c>
      <c r="T1529" t="inlineStr">
        <is>
          <t>LOW (40%)</t>
        </is>
      </c>
      <c r="U1529" t="inlineStr">
        <is>
          <t>CHECK_GITHUB</t>
        </is>
      </c>
      <c r="V1529" t="inlineStr">
        <is>
          <t>YES</t>
        </is>
      </c>
      <c r="W1529" t="inlineStr">
        <is>
          <t>https://github.com/advisories/GHSA-wfx3-6g53-9fgc</t>
        </is>
      </c>
      <c r="X1529" t="inlineStr">
        <is>
          <t>NONE</t>
        </is>
      </c>
      <c r="Y1529" t="n">
        <v>0</v>
      </c>
      <c r="Z1529" t="inlineStr"/>
      <c r="AA1529" t="inlineStr">
        <is>
          <t>https://github.com/advisories/GHSA-wfx3-6g53-9fgc</t>
        </is>
      </c>
    </row>
    <row r="1530">
      <c r="A1530" t="inlineStr">
        <is>
          <t>GH_ADVISORY</t>
        </is>
      </c>
      <c r="B1530" t="inlineStr">
        <is>
          <t>GHSA-3q5f-gmjc-38r8</t>
        </is>
      </c>
      <c r="C1530" t="inlineStr">
        <is>
          <t>ImageMagick: Memory leak in coders/txt.c without freetype</t>
        </is>
      </c>
      <c r="D1530" t="n">
        <v>7</v>
      </c>
      <c r="E1530" t="inlineStr">
        <is>
          <t>LOW</t>
        </is>
      </c>
      <c r="F1530" t="n">
        <v>2</v>
      </c>
      <c r="G1530" t="n">
        <v>2</v>
      </c>
      <c r="H1530" t="inlineStr">
        <is>
          <t>MEDIUM</t>
        </is>
      </c>
      <c r="I1530" t="n">
        <v>11</v>
      </c>
      <c r="J1530" t="inlineStr">
        <is>
          <t>NO</t>
        </is>
      </c>
      <c r="K1530" t="inlineStr">
        <is>
          <t>2026-02-25T19:13:08Z</t>
        </is>
      </c>
      <c r="L1530" t="inlineStr">
        <is>
          <t>CHECK_GITHUB</t>
        </is>
      </c>
      <c r="M1530" t="inlineStr">
        <is>
          <t>Magick.NET-Q16-AnyCPU, Magick.NET-Q16-HDRI-AnyCPU, Magick.NET-Q16-HDRI-OpenMP-arm64</t>
        </is>
      </c>
      <c r="N1530" t="inlineStr">
        <is>
          <t>P4</t>
        </is>
      </c>
      <c r="O1530" t="inlineStr">
        <is>
          <t>Advisory - IP enrichment N/A</t>
        </is>
      </c>
      <c r="P1530" t="n">
        <v>0</v>
      </c>
      <c r="Q1530" t="n">
        <v>0</v>
      </c>
      <c r="R1530" t="inlineStr">
        <is>
          <t>T1190:Exploit Public-Facing Application</t>
        </is>
      </c>
      <c r="S1530" t="n">
        <v>1</v>
      </c>
      <c r="T1530" t="inlineStr">
        <is>
          <t>LOW (40%)</t>
        </is>
      </c>
      <c r="U1530" t="inlineStr">
        <is>
          <t>CHECK_GITHUB</t>
        </is>
      </c>
      <c r="V1530" t="inlineStr">
        <is>
          <t>YES</t>
        </is>
      </c>
      <c r="W1530" t="inlineStr">
        <is>
          <t>https://github.com/advisories/GHSA-3q5f-gmjc-38r8</t>
        </is>
      </c>
      <c r="X1530" t="inlineStr">
        <is>
          <t>NONE</t>
        </is>
      </c>
      <c r="Y1530" t="n">
        <v>0</v>
      </c>
      <c r="Z1530" t="inlineStr"/>
      <c r="AA1530" t="inlineStr">
        <is>
          <t>https://github.com/advisories/GHSA-3q5f-gmjc-38r8</t>
        </is>
      </c>
    </row>
    <row r="1531">
      <c r="A1531" t="inlineStr">
        <is>
          <t>GH_ADVISORY</t>
        </is>
      </c>
      <c r="B1531" t="inlineStr">
        <is>
          <t>GHSA-xpg8-7m6m-jf56</t>
        </is>
      </c>
      <c r="C1531" t="inlineStr">
        <is>
          <t>ImageMagick: SVG-to-MVG Command Injection via coders/svg.c</t>
        </is>
      </c>
      <c r="D1531" t="n">
        <v>7</v>
      </c>
      <c r="E1531" t="inlineStr">
        <is>
          <t>LOW</t>
        </is>
      </c>
      <c r="F1531" t="n">
        <v>2</v>
      </c>
      <c r="G1531" t="n">
        <v>2</v>
      </c>
      <c r="H1531" t="inlineStr">
        <is>
          <t>MEDIUM</t>
        </is>
      </c>
      <c r="I1531" t="n">
        <v>11</v>
      </c>
      <c r="J1531" t="inlineStr">
        <is>
          <t>NO</t>
        </is>
      </c>
      <c r="K1531" t="inlineStr">
        <is>
          <t>2026-02-25T19:12:48Z</t>
        </is>
      </c>
      <c r="L1531" t="inlineStr">
        <is>
          <t>CHECK_GITHUB</t>
        </is>
      </c>
      <c r="M1531" t="inlineStr">
        <is>
          <t>Magick.NET-Q16-AnyCPU, Magick.NET-Q16-HDRI-AnyCPU, Magick.NET-Q16-HDRI-OpenMP-arm64</t>
        </is>
      </c>
      <c r="N1531" t="inlineStr">
        <is>
          <t>P4</t>
        </is>
      </c>
      <c r="O1531" t="inlineStr">
        <is>
          <t>Advisory - IP enrichment N/A</t>
        </is>
      </c>
      <c r="P1531" t="n">
        <v>0</v>
      </c>
      <c r="Q1531" t="n">
        <v>0</v>
      </c>
      <c r="R1531" t="inlineStr">
        <is>
          <t>T1190:Exploit Public-Facing Application</t>
        </is>
      </c>
      <c r="S1531" t="n">
        <v>1</v>
      </c>
      <c r="T1531" t="inlineStr">
        <is>
          <t>LOW (40%)</t>
        </is>
      </c>
      <c r="U1531" t="inlineStr">
        <is>
          <t>CHECK_GITHUB</t>
        </is>
      </c>
      <c r="V1531" t="inlineStr">
        <is>
          <t>YES</t>
        </is>
      </c>
      <c r="W1531" t="inlineStr">
        <is>
          <t>https://github.com/advisories/GHSA-xpg8-7m6m-jf56</t>
        </is>
      </c>
      <c r="X1531" t="inlineStr">
        <is>
          <t>NONE</t>
        </is>
      </c>
      <c r="Y1531" t="n">
        <v>0</v>
      </c>
      <c r="Z1531" t="inlineStr"/>
      <c r="AA1531" t="inlineStr">
        <is>
          <t>https://github.com/advisories/GHSA-xpg8-7m6m-jf56</t>
        </is>
      </c>
    </row>
    <row r="1532">
      <c r="A1532" t="inlineStr">
        <is>
          <t>MAL_URL</t>
        </is>
      </c>
      <c r="B1532" t="inlineStr">
        <is>
          <t>3785716</t>
        </is>
      </c>
      <c r="C1532" t="inlineStr">
        <is>
          <t>Malware Host [online]: https://github.com/flowwysh/Swift-Executor/raw/refs/heads/main/Swift.exe | Threat: malware_download | Tags: BRAT,exe</t>
        </is>
      </c>
      <c r="D1532" t="n">
        <v>7.5</v>
      </c>
      <c r="E1532" t="inlineStr">
        <is>
          <t>HIGH</t>
        </is>
      </c>
      <c r="F1532" t="n">
        <v>3</v>
      </c>
      <c r="G1532" t="n">
        <v>2</v>
      </c>
      <c r="H1532" t="inlineStr">
        <is>
          <t>HIGH</t>
        </is>
      </c>
      <c r="I1532" t="n">
        <v>13.5</v>
      </c>
      <c r="J1532" t="inlineStr">
        <is>
          <t>NO</t>
        </is>
      </c>
      <c r="K1532" t="inlineStr">
        <is>
          <t>2026-02-25 22:07:09</t>
        </is>
      </c>
      <c r="L1532" t="inlineStr">
        <is>
          <t>Block URL</t>
        </is>
      </c>
      <c r="M1532" t="inlineStr">
        <is>
          <t>Network/Web Proxy</t>
        </is>
      </c>
      <c r="N1532" t="inlineStr">
        <is>
          <t>P3</t>
        </is>
      </c>
      <c r="O1532" t="inlineStr">
        <is>
          <t>URL IOC - check host IP separately</t>
        </is>
      </c>
      <c r="P1532" t="n">
        <v>0</v>
      </c>
      <c r="Q1532" t="n">
        <v>0</v>
      </c>
      <c r="R1532" t="inlineStr">
        <is>
          <t>T1189:Drive-by Compromise | T1566:Phishing</t>
        </is>
      </c>
      <c r="S1532" t="n">
        <v>1</v>
      </c>
      <c r="T1532" t="inlineStr">
        <is>
          <t>LOW (40%)</t>
        </is>
      </c>
      <c r="U1532" t="inlineStr">
        <is>
          <t>YES</t>
        </is>
      </c>
      <c r="V1532" t="inlineStr">
        <is>
          <t>Block URL</t>
        </is>
      </c>
      <c r="W1532" t="inlineStr">
        <is>
          <t>https://urlhaus.abuse.ch/url/3785716/</t>
        </is>
      </c>
      <c r="X1532" t="inlineStr">
        <is>
          <t>NONE</t>
        </is>
      </c>
      <c r="Y1532" t="n">
        <v>0</v>
      </c>
      <c r="Z1532" t="inlineStr"/>
      <c r="AA1532" t="inlineStr">
        <is>
          <t>https://urlhaus.abuse.ch/url/3785716/</t>
        </is>
      </c>
    </row>
    <row r="1533">
      <c r="A1533" t="inlineStr">
        <is>
          <t>MAL_URL</t>
        </is>
      </c>
      <c r="B1533" t="inlineStr">
        <is>
          <t>3785715</t>
        </is>
      </c>
      <c r="C1533" t="inlineStr">
        <is>
          <t>Malware Host [offline]: https://13nq2ksp.lunarbridge.digital/?=check&amp;&amp;actmn=eAgRfIrSvsPSjmzE | Threat: malware_download | Tags: ClearFake</t>
        </is>
      </c>
      <c r="D1533" t="n">
        <v>7.5</v>
      </c>
      <c r="E1533" t="inlineStr">
        <is>
          <t>HIGH</t>
        </is>
      </c>
      <c r="F1533" t="n">
        <v>3</v>
      </c>
      <c r="G1533" t="n">
        <v>2</v>
      </c>
      <c r="H1533" t="inlineStr">
        <is>
          <t>HIGH</t>
        </is>
      </c>
      <c r="I1533" t="n">
        <v>13.5</v>
      </c>
      <c r="J1533" t="inlineStr">
        <is>
          <t>NO</t>
        </is>
      </c>
      <c r="K1533" t="inlineStr">
        <is>
          <t>2026-02-25 22:06:05</t>
        </is>
      </c>
      <c r="L1533" t="inlineStr">
        <is>
          <t>Block URL</t>
        </is>
      </c>
      <c r="M1533" t="inlineStr">
        <is>
          <t>Network/Web Proxy</t>
        </is>
      </c>
      <c r="N1533" t="inlineStr">
        <is>
          <t>P3</t>
        </is>
      </c>
      <c r="O1533" t="inlineStr">
        <is>
          <t>URL IOC - check host IP separately</t>
        </is>
      </c>
      <c r="P1533" t="n">
        <v>0</v>
      </c>
      <c r="Q1533" t="n">
        <v>0</v>
      </c>
      <c r="R1533" t="inlineStr">
        <is>
          <t>T1189:Drive-by Compromise | T1566:Phishing</t>
        </is>
      </c>
      <c r="S1533" t="n">
        <v>1</v>
      </c>
      <c r="T1533" t="inlineStr">
        <is>
          <t>LOW (40%)</t>
        </is>
      </c>
      <c r="U1533" t="inlineStr">
        <is>
          <t>YES</t>
        </is>
      </c>
      <c r="V1533" t="inlineStr">
        <is>
          <t>Block URL</t>
        </is>
      </c>
      <c r="W1533" t="inlineStr">
        <is>
          <t>https://urlhaus.abuse.ch/url/3785715/</t>
        </is>
      </c>
      <c r="X1533" t="inlineStr">
        <is>
          <t>NONE</t>
        </is>
      </c>
      <c r="Y1533" t="n">
        <v>0</v>
      </c>
      <c r="Z1533" t="inlineStr"/>
      <c r="AA1533" t="inlineStr">
        <is>
          <t>https://urlhaus.abuse.ch/url/3785715/</t>
        </is>
      </c>
    </row>
    <row r="1534">
      <c r="A1534" t="inlineStr">
        <is>
          <t>MAL_URL</t>
        </is>
      </c>
      <c r="B1534" t="inlineStr">
        <is>
          <t>3785714</t>
        </is>
      </c>
      <c r="C1534" t="inlineStr">
        <is>
          <t>Malware Host [online]: https://github.com/bebasmaingta5-rgb/Load/releases/download/lol/loader.zip | Threat: malware_download | Tags: zip</t>
        </is>
      </c>
      <c r="D1534" t="n">
        <v>7.5</v>
      </c>
      <c r="E1534" t="inlineStr">
        <is>
          <t>HIGH</t>
        </is>
      </c>
      <c r="F1534" t="n">
        <v>3</v>
      </c>
      <c r="G1534" t="n">
        <v>2</v>
      </c>
      <c r="H1534" t="inlineStr">
        <is>
          <t>HIGH</t>
        </is>
      </c>
      <c r="I1534" t="n">
        <v>13.5</v>
      </c>
      <c r="J1534" t="inlineStr">
        <is>
          <t>NO</t>
        </is>
      </c>
      <c r="K1534" t="inlineStr">
        <is>
          <t>2026-02-25 22:02:14</t>
        </is>
      </c>
      <c r="L1534" t="inlineStr">
        <is>
          <t>Block URL</t>
        </is>
      </c>
      <c r="M1534" t="inlineStr">
        <is>
          <t>Network/Web Proxy</t>
        </is>
      </c>
      <c r="N1534" t="inlineStr">
        <is>
          <t>P3</t>
        </is>
      </c>
      <c r="O1534" t="inlineStr">
        <is>
          <t>URL IOC - check host IP separately</t>
        </is>
      </c>
      <c r="P1534" t="n">
        <v>0</v>
      </c>
      <c r="Q1534" t="n">
        <v>0</v>
      </c>
      <c r="R1534" t="inlineStr">
        <is>
          <t>T1189:Drive-by Compromise | T1566:Phishing</t>
        </is>
      </c>
      <c r="S1534" t="n">
        <v>1</v>
      </c>
      <c r="T1534" t="inlineStr">
        <is>
          <t>LOW (40%)</t>
        </is>
      </c>
      <c r="U1534" t="inlineStr">
        <is>
          <t>YES</t>
        </is>
      </c>
      <c r="V1534" t="inlineStr">
        <is>
          <t>Block URL</t>
        </is>
      </c>
      <c r="W1534" t="inlineStr">
        <is>
          <t>https://urlhaus.abuse.ch/url/3785714/</t>
        </is>
      </c>
      <c r="X1534" t="inlineStr">
        <is>
          <t>NONE</t>
        </is>
      </c>
      <c r="Y1534" t="n">
        <v>0</v>
      </c>
      <c r="Z1534" t="inlineStr"/>
      <c r="AA1534" t="inlineStr">
        <is>
          <t>https://urlhaus.abuse.ch/url/3785714/</t>
        </is>
      </c>
    </row>
    <row r="1535">
      <c r="A1535" t="inlineStr">
        <is>
          <t>MAL_URL</t>
        </is>
      </c>
      <c r="B1535" t="inlineStr">
        <is>
          <t>3785713</t>
        </is>
      </c>
      <c r="C1535" t="inlineStr">
        <is>
          <t>Malware Host [online]: http://130.12.180.43/files/7782139129/uGBzsmr.exe | Threat: malware_download | Tags: dropped-by-amadey,fbf543</t>
        </is>
      </c>
      <c r="D1535" t="n">
        <v>7.5</v>
      </c>
      <c r="E1535" t="inlineStr">
        <is>
          <t>HIGH</t>
        </is>
      </c>
      <c r="F1535" t="n">
        <v>3</v>
      </c>
      <c r="G1535" t="n">
        <v>2</v>
      </c>
      <c r="H1535" t="inlineStr">
        <is>
          <t>HIGH</t>
        </is>
      </c>
      <c r="I1535" t="n">
        <v>13.5</v>
      </c>
      <c r="J1535" t="inlineStr">
        <is>
          <t>NO</t>
        </is>
      </c>
      <c r="K1535" t="inlineStr">
        <is>
          <t>2026-02-25 22:01:06</t>
        </is>
      </c>
      <c r="L1535" t="inlineStr">
        <is>
          <t>Block URL</t>
        </is>
      </c>
      <c r="M1535" t="inlineStr">
        <is>
          <t>Network/Web Proxy</t>
        </is>
      </c>
      <c r="N1535" t="inlineStr">
        <is>
          <t>P3</t>
        </is>
      </c>
      <c r="O1535" t="inlineStr">
        <is>
          <t>URL IOC - check host IP separately</t>
        </is>
      </c>
      <c r="P1535" t="n">
        <v>0</v>
      </c>
      <c r="Q1535" t="n">
        <v>0</v>
      </c>
      <c r="R1535" t="inlineStr">
        <is>
          <t>T1189:Drive-by Compromise | T1566:Phishing</t>
        </is>
      </c>
      <c r="S1535" t="n">
        <v>1</v>
      </c>
      <c r="T1535" t="inlineStr">
        <is>
          <t>LOW (40%)</t>
        </is>
      </c>
      <c r="U1535" t="inlineStr">
        <is>
          <t>YES</t>
        </is>
      </c>
      <c r="V1535" t="inlineStr">
        <is>
          <t>Block URL</t>
        </is>
      </c>
      <c r="W1535" t="inlineStr">
        <is>
          <t>https://urlhaus.abuse.ch/url/3785713/</t>
        </is>
      </c>
      <c r="X1535" t="inlineStr">
        <is>
          <t>NONE</t>
        </is>
      </c>
      <c r="Y1535" t="n">
        <v>0</v>
      </c>
      <c r="Z1535" t="inlineStr"/>
      <c r="AA1535" t="inlineStr">
        <is>
          <t>https://urlhaus.abuse.ch/url/3785713/</t>
        </is>
      </c>
    </row>
    <row r="1536">
      <c r="A1536" t="inlineStr">
        <is>
          <t>MAL_URL</t>
        </is>
      </c>
      <c r="B1536" t="inlineStr">
        <is>
          <t>3785712</t>
        </is>
      </c>
      <c r="C1536" t="inlineStr">
        <is>
          <t>Malware Host [online]: https://github.com/utwb0/app/raw/refs/heads/main/Application.zip | Threat: malware_download | Tags: SmartLoader,zip</t>
        </is>
      </c>
      <c r="D1536" t="n">
        <v>7.5</v>
      </c>
      <c r="E1536" t="inlineStr">
        <is>
          <t>HIGH</t>
        </is>
      </c>
      <c r="F1536" t="n">
        <v>3</v>
      </c>
      <c r="G1536" t="n">
        <v>2</v>
      </c>
      <c r="H1536" t="inlineStr">
        <is>
          <t>HIGH</t>
        </is>
      </c>
      <c r="I1536" t="n">
        <v>13.5</v>
      </c>
      <c r="J1536" t="inlineStr">
        <is>
          <t>NO</t>
        </is>
      </c>
      <c r="K1536" t="inlineStr">
        <is>
          <t>2026-02-25 22:00:12</t>
        </is>
      </c>
      <c r="L1536" t="inlineStr">
        <is>
          <t>Block URL</t>
        </is>
      </c>
      <c r="M1536" t="inlineStr">
        <is>
          <t>Network/Web Proxy</t>
        </is>
      </c>
      <c r="N1536" t="inlineStr">
        <is>
          <t>P3</t>
        </is>
      </c>
      <c r="O1536" t="inlineStr">
        <is>
          <t>URL IOC - check host IP separately</t>
        </is>
      </c>
      <c r="P1536" t="n">
        <v>0</v>
      </c>
      <c r="Q1536" t="n">
        <v>0</v>
      </c>
      <c r="R1536" t="inlineStr">
        <is>
          <t>T1189:Drive-by Compromise | T1566:Phishing</t>
        </is>
      </c>
      <c r="S1536" t="n">
        <v>1</v>
      </c>
      <c r="T1536" t="inlineStr">
        <is>
          <t>LOW (40%)</t>
        </is>
      </c>
      <c r="U1536" t="inlineStr">
        <is>
          <t>YES</t>
        </is>
      </c>
      <c r="V1536" t="inlineStr">
        <is>
          <t>Block URL</t>
        </is>
      </c>
      <c r="W1536" t="inlineStr">
        <is>
          <t>https://urlhaus.abuse.ch/url/3785712/</t>
        </is>
      </c>
      <c r="X1536" t="inlineStr">
        <is>
          <t>NONE</t>
        </is>
      </c>
      <c r="Y1536" t="n">
        <v>0</v>
      </c>
      <c r="Z1536" t="inlineStr"/>
      <c r="AA1536" t="inlineStr">
        <is>
          <t>https://urlhaus.abuse.ch/url/3785712/</t>
        </is>
      </c>
    </row>
    <row r="1537">
      <c r="A1537" t="inlineStr">
        <is>
          <t>MAL_URL</t>
        </is>
      </c>
      <c r="B1537" t="inlineStr">
        <is>
          <t>3785711</t>
        </is>
      </c>
      <c r="C1537" t="inlineStr">
        <is>
          <t>Malware Host [online]: https://github.com/kgssss7342/Launcher/raw/refs/heads/main/Application.zip | Threat: malware_download | Tags: SmartLoader,zip</t>
        </is>
      </c>
      <c r="D1537" t="n">
        <v>7.5</v>
      </c>
      <c r="E1537" t="inlineStr">
        <is>
          <t>HIGH</t>
        </is>
      </c>
      <c r="F1537" t="n">
        <v>3</v>
      </c>
      <c r="G1537" t="n">
        <v>2</v>
      </c>
      <c r="H1537" t="inlineStr">
        <is>
          <t>HIGH</t>
        </is>
      </c>
      <c r="I1537" t="n">
        <v>13.5</v>
      </c>
      <c r="J1537" t="inlineStr">
        <is>
          <t>NO</t>
        </is>
      </c>
      <c r="K1537" t="inlineStr">
        <is>
          <t>2026-02-25 21:59:08</t>
        </is>
      </c>
      <c r="L1537" t="inlineStr">
        <is>
          <t>Block URL</t>
        </is>
      </c>
      <c r="M1537" t="inlineStr">
        <is>
          <t>Network/Web Proxy</t>
        </is>
      </c>
      <c r="N1537" t="inlineStr">
        <is>
          <t>P3</t>
        </is>
      </c>
      <c r="O1537" t="inlineStr">
        <is>
          <t>URL IOC - check host IP separately</t>
        </is>
      </c>
      <c r="P1537" t="n">
        <v>0</v>
      </c>
      <c r="Q1537" t="n">
        <v>0</v>
      </c>
      <c r="R1537" t="inlineStr">
        <is>
          <t>T1189:Drive-by Compromise | T1566:Phishing</t>
        </is>
      </c>
      <c r="S1537" t="n">
        <v>1</v>
      </c>
      <c r="T1537" t="inlineStr">
        <is>
          <t>LOW (40%)</t>
        </is>
      </c>
      <c r="U1537" t="inlineStr">
        <is>
          <t>YES</t>
        </is>
      </c>
      <c r="V1537" t="inlineStr">
        <is>
          <t>Block URL</t>
        </is>
      </c>
      <c r="W1537" t="inlineStr">
        <is>
          <t>https://urlhaus.abuse.ch/url/3785711/</t>
        </is>
      </c>
      <c r="X1537" t="inlineStr">
        <is>
          <t>NONE</t>
        </is>
      </c>
      <c r="Y1537" t="n">
        <v>0</v>
      </c>
      <c r="Z1537" t="inlineStr"/>
      <c r="AA1537" t="inlineStr">
        <is>
          <t>https://urlhaus.abuse.ch/url/3785711/</t>
        </is>
      </c>
    </row>
    <row r="1538">
      <c r="A1538" t="inlineStr">
        <is>
          <t>MAL_URL</t>
        </is>
      </c>
      <c r="B1538" t="inlineStr">
        <is>
          <t>3785710</t>
        </is>
      </c>
      <c r="C1538" t="inlineStr">
        <is>
          <t>Malware Host [online]: https://raw.githubusercontent.com/zombieworldv3/tools/refs/heads/main/Application.zip | Threat: malware_download | Tags: SmartLoader,zip</t>
        </is>
      </c>
      <c r="D1538" t="n">
        <v>7.5</v>
      </c>
      <c r="E1538" t="inlineStr">
        <is>
          <t>HIGH</t>
        </is>
      </c>
      <c r="F1538" t="n">
        <v>3</v>
      </c>
      <c r="G1538" t="n">
        <v>2</v>
      </c>
      <c r="H1538" t="inlineStr">
        <is>
          <t>HIGH</t>
        </is>
      </c>
      <c r="I1538" t="n">
        <v>13.5</v>
      </c>
      <c r="J1538" t="inlineStr">
        <is>
          <t>NO</t>
        </is>
      </c>
      <c r="K1538" t="inlineStr">
        <is>
          <t>2026-02-25 21:56:06</t>
        </is>
      </c>
      <c r="L1538" t="inlineStr">
        <is>
          <t>Block URL</t>
        </is>
      </c>
      <c r="M1538" t="inlineStr">
        <is>
          <t>Network/Web Proxy</t>
        </is>
      </c>
      <c r="N1538" t="inlineStr">
        <is>
          <t>P3</t>
        </is>
      </c>
      <c r="O1538" t="inlineStr">
        <is>
          <t>URL IOC - check host IP separately</t>
        </is>
      </c>
      <c r="P1538" t="n">
        <v>0</v>
      </c>
      <c r="Q1538" t="n">
        <v>0</v>
      </c>
      <c r="R1538" t="inlineStr">
        <is>
          <t>T1189:Drive-by Compromise | T1566:Phishing</t>
        </is>
      </c>
      <c r="S1538" t="n">
        <v>1</v>
      </c>
      <c r="T1538" t="inlineStr">
        <is>
          <t>LOW (40%)</t>
        </is>
      </c>
      <c r="U1538" t="inlineStr">
        <is>
          <t>YES</t>
        </is>
      </c>
      <c r="V1538" t="inlineStr">
        <is>
          <t>Block URL</t>
        </is>
      </c>
      <c r="W1538" t="inlineStr">
        <is>
          <t>https://urlhaus.abuse.ch/url/3785710/</t>
        </is>
      </c>
      <c r="X1538" t="inlineStr">
        <is>
          <t>NONE</t>
        </is>
      </c>
      <c r="Y1538" t="n">
        <v>0</v>
      </c>
      <c r="Z1538" t="inlineStr"/>
      <c r="AA1538" t="inlineStr">
        <is>
          <t>https://urlhaus.abuse.ch/url/3785710/</t>
        </is>
      </c>
    </row>
    <row r="1539">
      <c r="A1539" t="inlineStr">
        <is>
          <t>MAL_URL</t>
        </is>
      </c>
      <c r="B1539" t="inlineStr">
        <is>
          <t>3785709</t>
        </is>
      </c>
      <c r="C1539" t="inlineStr">
        <is>
          <t>Malware Host [online]: http://182.121.237.248:50400/bin.sh | Threat: malware_download | Tags: 32-bit,elf,mips,Mozi</t>
        </is>
      </c>
      <c r="D1539" t="n">
        <v>7.5</v>
      </c>
      <c r="E1539" t="inlineStr">
        <is>
          <t>HIGH</t>
        </is>
      </c>
      <c r="F1539" t="n">
        <v>3</v>
      </c>
      <c r="G1539" t="n">
        <v>2</v>
      </c>
      <c r="H1539" t="inlineStr">
        <is>
          <t>HIGH</t>
        </is>
      </c>
      <c r="I1539" t="n">
        <v>13.5</v>
      </c>
      <c r="J1539" t="inlineStr">
        <is>
          <t>NO</t>
        </is>
      </c>
      <c r="K1539" t="inlineStr">
        <is>
          <t>2026-02-25 21:54:14</t>
        </is>
      </c>
      <c r="L1539" t="inlineStr">
        <is>
          <t>Block URL</t>
        </is>
      </c>
      <c r="M1539" t="inlineStr">
        <is>
          <t>Network/Web Proxy</t>
        </is>
      </c>
      <c r="N1539" t="inlineStr">
        <is>
          <t>P3</t>
        </is>
      </c>
      <c r="O1539" t="inlineStr">
        <is>
          <t>URL IOC - check host IP separately</t>
        </is>
      </c>
      <c r="P1539" t="n">
        <v>0</v>
      </c>
      <c r="Q1539" t="n">
        <v>0</v>
      </c>
      <c r="R1539" t="inlineStr">
        <is>
          <t>T1189:Drive-by Compromise | T1566:Phishing</t>
        </is>
      </c>
      <c r="S1539" t="n">
        <v>1</v>
      </c>
      <c r="T1539" t="inlineStr">
        <is>
          <t>LOW (40%)</t>
        </is>
      </c>
      <c r="U1539" t="inlineStr">
        <is>
          <t>YES</t>
        </is>
      </c>
      <c r="V1539" t="inlineStr">
        <is>
          <t>Block URL</t>
        </is>
      </c>
      <c r="W1539" t="inlineStr">
        <is>
          <t>https://urlhaus.abuse.ch/url/3785709/</t>
        </is>
      </c>
      <c r="X1539" t="inlineStr">
        <is>
          <t>NONE</t>
        </is>
      </c>
      <c r="Y1539" t="n">
        <v>0</v>
      </c>
      <c r="Z1539" t="inlineStr"/>
      <c r="AA1539" t="inlineStr">
        <is>
          <t>https://urlhaus.abuse.ch/url/3785709/</t>
        </is>
      </c>
    </row>
    <row r="1540">
      <c r="A1540" t="inlineStr">
        <is>
          <t>MAL_URL</t>
        </is>
      </c>
      <c r="B1540" t="inlineStr">
        <is>
          <t>3785708</t>
        </is>
      </c>
      <c r="C1540" t="inlineStr">
        <is>
          <t>Malware Host [online]: http://221.15.191.111:45932/bin.sh | Threat: malware_download | Tags: 32-bit,elf,mips,Mozi</t>
        </is>
      </c>
      <c r="D1540" t="n">
        <v>7.5</v>
      </c>
      <c r="E1540" t="inlineStr">
        <is>
          <t>HIGH</t>
        </is>
      </c>
      <c r="F1540" t="n">
        <v>3</v>
      </c>
      <c r="G1540" t="n">
        <v>2</v>
      </c>
      <c r="H1540" t="inlineStr">
        <is>
          <t>HIGH</t>
        </is>
      </c>
      <c r="I1540" t="n">
        <v>13.5</v>
      </c>
      <c r="J1540" t="inlineStr">
        <is>
          <t>NO</t>
        </is>
      </c>
      <c r="K1540" t="inlineStr">
        <is>
          <t>2026-02-25 21:45:12</t>
        </is>
      </c>
      <c r="L1540" t="inlineStr">
        <is>
          <t>Block URL</t>
        </is>
      </c>
      <c r="M1540" t="inlineStr">
        <is>
          <t>Network/Web Proxy</t>
        </is>
      </c>
      <c r="N1540" t="inlineStr">
        <is>
          <t>P3</t>
        </is>
      </c>
      <c r="O1540" t="inlineStr">
        <is>
          <t>URL IOC - check host IP separately</t>
        </is>
      </c>
      <c r="P1540" t="n">
        <v>0</v>
      </c>
      <c r="Q1540" t="n">
        <v>0</v>
      </c>
      <c r="R1540" t="inlineStr">
        <is>
          <t>T1189:Drive-by Compromise | T1566:Phishing</t>
        </is>
      </c>
      <c r="S1540" t="n">
        <v>1</v>
      </c>
      <c r="T1540" t="inlineStr">
        <is>
          <t>LOW (40%)</t>
        </is>
      </c>
      <c r="U1540" t="inlineStr">
        <is>
          <t>YES</t>
        </is>
      </c>
      <c r="V1540" t="inlineStr">
        <is>
          <t>Block URL</t>
        </is>
      </c>
      <c r="W1540" t="inlineStr">
        <is>
          <t>https://urlhaus.abuse.ch/url/3785708/</t>
        </is>
      </c>
      <c r="X1540" t="inlineStr">
        <is>
          <t>NONE</t>
        </is>
      </c>
      <c r="Y1540" t="n">
        <v>0</v>
      </c>
      <c r="Z1540" t="inlineStr"/>
      <c r="AA1540" t="inlineStr">
        <is>
          <t>https://urlhaus.abuse.ch/url/3785708/</t>
        </is>
      </c>
    </row>
    <row r="1541">
      <c r="A1541" t="inlineStr">
        <is>
          <t>MAL_URL</t>
        </is>
      </c>
      <c r="B1541" t="inlineStr">
        <is>
          <t>3785707</t>
        </is>
      </c>
      <c r="C1541" t="inlineStr">
        <is>
          <t>Malware Host [online]: http://42.238.161.131:35367/i | Threat: malware_download | Tags: 32-bit,elf,mips,Mozi</t>
        </is>
      </c>
      <c r="D1541" t="n">
        <v>7.5</v>
      </c>
      <c r="E1541" t="inlineStr">
        <is>
          <t>HIGH</t>
        </is>
      </c>
      <c r="F1541" t="n">
        <v>3</v>
      </c>
      <c r="G1541" t="n">
        <v>2</v>
      </c>
      <c r="H1541" t="inlineStr">
        <is>
          <t>HIGH</t>
        </is>
      </c>
      <c r="I1541" t="n">
        <v>13.5</v>
      </c>
      <c r="J1541" t="inlineStr">
        <is>
          <t>NO</t>
        </is>
      </c>
      <c r="K1541" t="inlineStr">
        <is>
          <t>2026-02-25 21:44:11</t>
        </is>
      </c>
      <c r="L1541" t="inlineStr">
        <is>
          <t>Block URL</t>
        </is>
      </c>
      <c r="M1541" t="inlineStr">
        <is>
          <t>Network/Web Proxy</t>
        </is>
      </c>
      <c r="N1541" t="inlineStr">
        <is>
          <t>P3</t>
        </is>
      </c>
      <c r="O1541" t="inlineStr">
        <is>
          <t>URL IOC - check host IP separately</t>
        </is>
      </c>
      <c r="P1541" t="n">
        <v>0</v>
      </c>
      <c r="Q1541" t="n">
        <v>0</v>
      </c>
      <c r="R1541" t="inlineStr">
        <is>
          <t>T1189:Drive-by Compromise | T1566:Phishing</t>
        </is>
      </c>
      <c r="S1541" t="n">
        <v>1</v>
      </c>
      <c r="T1541" t="inlineStr">
        <is>
          <t>LOW (40%)</t>
        </is>
      </c>
      <c r="U1541" t="inlineStr">
        <is>
          <t>YES</t>
        </is>
      </c>
      <c r="V1541" t="inlineStr">
        <is>
          <t>Block URL</t>
        </is>
      </c>
      <c r="W1541" t="inlineStr">
        <is>
          <t>https://urlhaus.abuse.ch/url/3785707/</t>
        </is>
      </c>
      <c r="X1541" t="inlineStr">
        <is>
          <t>NONE</t>
        </is>
      </c>
      <c r="Y1541" t="n">
        <v>0</v>
      </c>
      <c r="Z1541" t="inlineStr"/>
      <c r="AA1541" t="inlineStr">
        <is>
          <t>https://urlhaus.abuse.ch/url/3785707/</t>
        </is>
      </c>
    </row>
    <row r="1542">
      <c r="A1542" t="inlineStr">
        <is>
          <t>MAL_URL</t>
        </is>
      </c>
      <c r="B1542" t="inlineStr">
        <is>
          <t>3785706</t>
        </is>
      </c>
      <c r="C1542" t="inlineStr">
        <is>
          <t>Malware Host [online]: https://github.com/szenoky/app/raw/refs/heads/main/Application.zip | Threat: malware_download | Tags: SmartLoader,zip</t>
        </is>
      </c>
      <c r="D1542" t="n">
        <v>7.5</v>
      </c>
      <c r="E1542" t="inlineStr">
        <is>
          <t>HIGH</t>
        </is>
      </c>
      <c r="F1542" t="n">
        <v>3</v>
      </c>
      <c r="G1542" t="n">
        <v>2</v>
      </c>
      <c r="H1542" t="inlineStr">
        <is>
          <t>HIGH</t>
        </is>
      </c>
      <c r="I1542" t="n">
        <v>13.5</v>
      </c>
      <c r="J1542" t="inlineStr">
        <is>
          <t>NO</t>
        </is>
      </c>
      <c r="K1542" t="inlineStr">
        <is>
          <t>2026-02-25 21:35:09</t>
        </is>
      </c>
      <c r="L1542" t="inlineStr">
        <is>
          <t>Block URL</t>
        </is>
      </c>
      <c r="M1542" t="inlineStr">
        <is>
          <t>Network/Web Proxy</t>
        </is>
      </c>
      <c r="N1542" t="inlineStr">
        <is>
          <t>P3</t>
        </is>
      </c>
      <c r="O1542" t="inlineStr">
        <is>
          <t>URL IOC - check host IP separately</t>
        </is>
      </c>
      <c r="P1542" t="n">
        <v>0</v>
      </c>
      <c r="Q1542" t="n">
        <v>0</v>
      </c>
      <c r="R1542" t="inlineStr">
        <is>
          <t>T1189:Drive-by Compromise | T1566:Phishing</t>
        </is>
      </c>
      <c r="S1542" t="n">
        <v>1</v>
      </c>
      <c r="T1542" t="inlineStr">
        <is>
          <t>LOW (40%)</t>
        </is>
      </c>
      <c r="U1542" t="inlineStr">
        <is>
          <t>YES</t>
        </is>
      </c>
      <c r="V1542" t="inlineStr">
        <is>
          <t>Block URL</t>
        </is>
      </c>
      <c r="W1542" t="inlineStr">
        <is>
          <t>https://urlhaus.abuse.ch/url/3785706/</t>
        </is>
      </c>
      <c r="X1542" t="inlineStr">
        <is>
          <t>NONE</t>
        </is>
      </c>
      <c r="Y1542" t="n">
        <v>0</v>
      </c>
      <c r="Z1542" t="inlineStr"/>
      <c r="AA1542" t="inlineStr">
        <is>
          <t>https://urlhaus.abuse.ch/url/3785706/</t>
        </is>
      </c>
    </row>
    <row r="1543">
      <c r="A1543" t="inlineStr">
        <is>
          <t>MAL_URL</t>
        </is>
      </c>
      <c r="B1543" t="inlineStr">
        <is>
          <t>3785705</t>
        </is>
      </c>
      <c r="C1543" t="inlineStr">
        <is>
          <t>Malware Host [online]: http://115.54.165.141:47408/i | Threat: malware_download | Tags: 32-bit,elf,mips,Mozi</t>
        </is>
      </c>
      <c r="D1543" t="n">
        <v>7.5</v>
      </c>
      <c r="E1543" t="inlineStr">
        <is>
          <t>HIGH</t>
        </is>
      </c>
      <c r="F1543" t="n">
        <v>3</v>
      </c>
      <c r="G1543" t="n">
        <v>2</v>
      </c>
      <c r="H1543" t="inlineStr">
        <is>
          <t>HIGH</t>
        </is>
      </c>
      <c r="I1543" t="n">
        <v>13.5</v>
      </c>
      <c r="J1543" t="inlineStr">
        <is>
          <t>NO</t>
        </is>
      </c>
      <c r="K1543" t="inlineStr">
        <is>
          <t>2026-02-25 21:32:19</t>
        </is>
      </c>
      <c r="L1543" t="inlineStr">
        <is>
          <t>Block URL</t>
        </is>
      </c>
      <c r="M1543" t="inlineStr">
        <is>
          <t>Network/Web Proxy</t>
        </is>
      </c>
      <c r="N1543" t="inlineStr">
        <is>
          <t>P3</t>
        </is>
      </c>
      <c r="O1543" t="inlineStr">
        <is>
          <t>URL IOC - check host IP separately</t>
        </is>
      </c>
      <c r="P1543" t="n">
        <v>0</v>
      </c>
      <c r="Q1543" t="n">
        <v>0</v>
      </c>
      <c r="R1543" t="inlineStr">
        <is>
          <t>T1189:Drive-by Compromise | T1566:Phishing</t>
        </is>
      </c>
      <c r="S1543" t="n">
        <v>1</v>
      </c>
      <c r="T1543" t="inlineStr">
        <is>
          <t>LOW (40%)</t>
        </is>
      </c>
      <c r="U1543" t="inlineStr">
        <is>
          <t>YES</t>
        </is>
      </c>
      <c r="V1543" t="inlineStr">
        <is>
          <t>Block URL</t>
        </is>
      </c>
      <c r="W1543" t="inlineStr">
        <is>
          <t>https://urlhaus.abuse.ch/url/3785705/</t>
        </is>
      </c>
      <c r="X1543" t="inlineStr">
        <is>
          <t>NONE</t>
        </is>
      </c>
      <c r="Y1543" t="n">
        <v>0</v>
      </c>
      <c r="Z1543" t="inlineStr"/>
      <c r="AA1543" t="inlineStr">
        <is>
          <t>https://urlhaus.abuse.ch/url/3785705/</t>
        </is>
      </c>
    </row>
    <row r="1544">
      <c r="A1544" t="inlineStr">
        <is>
          <t>MAL_URL</t>
        </is>
      </c>
      <c r="B1544" t="inlineStr">
        <is>
          <t>3785703</t>
        </is>
      </c>
      <c r="C1544" t="inlineStr">
        <is>
          <t>Malware Host [online]: http://42.227.203.228:42179/i | Threat: malware_download | Tags: 32-bit,elf,mips,Mozi</t>
        </is>
      </c>
      <c r="D1544" t="n">
        <v>7.5</v>
      </c>
      <c r="E1544" t="inlineStr">
        <is>
          <t>HIGH</t>
        </is>
      </c>
      <c r="F1544" t="n">
        <v>3</v>
      </c>
      <c r="G1544" t="n">
        <v>2</v>
      </c>
      <c r="H1544" t="inlineStr">
        <is>
          <t>HIGH</t>
        </is>
      </c>
      <c r="I1544" t="n">
        <v>13.5</v>
      </c>
      <c r="J1544" t="inlineStr">
        <is>
          <t>NO</t>
        </is>
      </c>
      <c r="K1544" t="inlineStr">
        <is>
          <t>2026-02-25 21:07:10</t>
        </is>
      </c>
      <c r="L1544" t="inlineStr">
        <is>
          <t>Block URL</t>
        </is>
      </c>
      <c r="M1544" t="inlineStr">
        <is>
          <t>Network/Web Proxy</t>
        </is>
      </c>
      <c r="N1544" t="inlineStr">
        <is>
          <t>P3</t>
        </is>
      </c>
      <c r="O1544" t="inlineStr">
        <is>
          <t>URL IOC - check host IP separately</t>
        </is>
      </c>
      <c r="P1544" t="n">
        <v>0</v>
      </c>
      <c r="Q1544" t="n">
        <v>0</v>
      </c>
      <c r="R1544" t="inlineStr">
        <is>
          <t>T1189:Drive-by Compromise | T1566:Phishing</t>
        </is>
      </c>
      <c r="S1544" t="n">
        <v>1</v>
      </c>
      <c r="T1544" t="inlineStr">
        <is>
          <t>LOW (40%)</t>
        </is>
      </c>
      <c r="U1544" t="inlineStr">
        <is>
          <t>YES</t>
        </is>
      </c>
      <c r="V1544" t="inlineStr">
        <is>
          <t>Block URL</t>
        </is>
      </c>
      <c r="W1544" t="inlineStr">
        <is>
          <t>https://urlhaus.abuse.ch/url/3785703/</t>
        </is>
      </c>
      <c r="X1544" t="inlineStr">
        <is>
          <t>NONE</t>
        </is>
      </c>
      <c r="Y1544" t="n">
        <v>0</v>
      </c>
      <c r="Z1544" t="inlineStr"/>
      <c r="AA1544" t="inlineStr">
        <is>
          <t>https://urlhaus.abuse.ch/url/3785703/</t>
        </is>
      </c>
    </row>
    <row r="1545">
      <c r="A1545" t="inlineStr">
        <is>
          <t>MAL_URL</t>
        </is>
      </c>
      <c r="B1545" t="inlineStr">
        <is>
          <t>3785704</t>
        </is>
      </c>
      <c r="C1545" t="inlineStr">
        <is>
          <t>Malware Host [online]: http://115.54.165.141:47408/bin.sh | Threat: malware_download | Tags: 32-bit,elf,mips,Mozi</t>
        </is>
      </c>
      <c r="D1545" t="n">
        <v>7.5</v>
      </c>
      <c r="E1545" t="inlineStr">
        <is>
          <t>HIGH</t>
        </is>
      </c>
      <c r="F1545" t="n">
        <v>3</v>
      </c>
      <c r="G1545" t="n">
        <v>2</v>
      </c>
      <c r="H1545" t="inlineStr">
        <is>
          <t>HIGH</t>
        </is>
      </c>
      <c r="I1545" t="n">
        <v>13.5</v>
      </c>
      <c r="J1545" t="inlineStr">
        <is>
          <t>NO</t>
        </is>
      </c>
      <c r="K1545" t="inlineStr">
        <is>
          <t>2026-02-25 21:07:10</t>
        </is>
      </c>
      <c r="L1545" t="inlineStr">
        <is>
          <t>Block URL</t>
        </is>
      </c>
      <c r="M1545" t="inlineStr">
        <is>
          <t>Network/Web Proxy</t>
        </is>
      </c>
      <c r="N1545" t="inlineStr">
        <is>
          <t>P3</t>
        </is>
      </c>
      <c r="O1545" t="inlineStr">
        <is>
          <t>URL IOC - check host IP separately</t>
        </is>
      </c>
      <c r="P1545" t="n">
        <v>0</v>
      </c>
      <c r="Q1545" t="n">
        <v>0</v>
      </c>
      <c r="R1545" t="inlineStr">
        <is>
          <t>T1189:Drive-by Compromise | T1566:Phishing</t>
        </is>
      </c>
      <c r="S1545" t="n">
        <v>1</v>
      </c>
      <c r="T1545" t="inlineStr">
        <is>
          <t>LOW (40%)</t>
        </is>
      </c>
      <c r="U1545" t="inlineStr">
        <is>
          <t>YES</t>
        </is>
      </c>
      <c r="V1545" t="inlineStr">
        <is>
          <t>Block URL</t>
        </is>
      </c>
      <c r="W1545" t="inlineStr">
        <is>
          <t>https://urlhaus.abuse.ch/url/3785704/</t>
        </is>
      </c>
      <c r="X1545" t="inlineStr">
        <is>
          <t>NONE</t>
        </is>
      </c>
      <c r="Y1545" t="n">
        <v>0</v>
      </c>
      <c r="Z1545" t="inlineStr"/>
      <c r="AA1545" t="inlineStr">
        <is>
          <t>https://urlhaus.abuse.ch/url/3785704/</t>
        </is>
      </c>
    </row>
    <row r="1546">
      <c r="A1546" t="inlineStr">
        <is>
          <t>MAL_URL</t>
        </is>
      </c>
      <c r="B1546" t="inlineStr">
        <is>
          <t>3785702</t>
        </is>
      </c>
      <c r="C1546" t="inlineStr">
        <is>
          <t>Malware Host [online]: https://github.com/kotobubu/kotobubu.github.io/raw/refs/heads/main/sinapic/kotobubu_github_io_gaud.zip | Threat: malware_download | Tags: SmartLoader,zip</t>
        </is>
      </c>
      <c r="D1546" t="n">
        <v>7.5</v>
      </c>
      <c r="E1546" t="inlineStr">
        <is>
          <t>HIGH</t>
        </is>
      </c>
      <c r="F1546" t="n">
        <v>3</v>
      </c>
      <c r="G1546" t="n">
        <v>2</v>
      </c>
      <c r="H1546" t="inlineStr">
        <is>
          <t>HIGH</t>
        </is>
      </c>
      <c r="I1546" t="n">
        <v>13.5</v>
      </c>
      <c r="J1546" t="inlineStr">
        <is>
          <t>NO</t>
        </is>
      </c>
      <c r="K1546" t="inlineStr">
        <is>
          <t>2026-02-25 21:04:06</t>
        </is>
      </c>
      <c r="L1546" t="inlineStr">
        <is>
          <t>Block URL</t>
        </is>
      </c>
      <c r="M1546" t="inlineStr">
        <is>
          <t>Network/Web Proxy</t>
        </is>
      </c>
      <c r="N1546" t="inlineStr">
        <is>
          <t>P3</t>
        </is>
      </c>
      <c r="O1546" t="inlineStr">
        <is>
          <t>URL IOC - check host IP separately</t>
        </is>
      </c>
      <c r="P1546" t="n">
        <v>0</v>
      </c>
      <c r="Q1546" t="n">
        <v>0</v>
      </c>
      <c r="R1546" t="inlineStr">
        <is>
          <t>T1189:Drive-by Compromise | T1566:Phishing</t>
        </is>
      </c>
      <c r="S1546" t="n">
        <v>1</v>
      </c>
      <c r="T1546" t="inlineStr">
        <is>
          <t>LOW (40%)</t>
        </is>
      </c>
      <c r="U1546" t="inlineStr">
        <is>
          <t>YES</t>
        </is>
      </c>
      <c r="V1546" t="inlineStr">
        <is>
          <t>Block URL</t>
        </is>
      </c>
      <c r="W1546" t="inlineStr">
        <is>
          <t>https://urlhaus.abuse.ch/url/3785702/</t>
        </is>
      </c>
      <c r="X1546" t="inlineStr">
        <is>
          <t>NONE</t>
        </is>
      </c>
      <c r="Y1546" t="n">
        <v>0</v>
      </c>
      <c r="Z1546" t="inlineStr"/>
      <c r="AA1546" t="inlineStr">
        <is>
          <t>https://urlhaus.abuse.ch/url/3785702/</t>
        </is>
      </c>
    </row>
    <row r="1547">
      <c r="A1547" t="inlineStr">
        <is>
          <t>MAL_URL</t>
        </is>
      </c>
      <c r="B1547" t="inlineStr">
        <is>
          <t>3785701</t>
        </is>
      </c>
      <c r="C1547" t="inlineStr">
        <is>
          <t>Malware Host [offline]: https://github.com/kotobubu/roblox-executor/blob/main/tertiarian/roblox_executor_1.4.zip | Threat: malware_download | Tags: SmartLoader,zip</t>
        </is>
      </c>
      <c r="D1547" t="n">
        <v>7.5</v>
      </c>
      <c r="E1547" t="inlineStr">
        <is>
          <t>HIGH</t>
        </is>
      </c>
      <c r="F1547" t="n">
        <v>3</v>
      </c>
      <c r="G1547" t="n">
        <v>2</v>
      </c>
      <c r="H1547" t="inlineStr">
        <is>
          <t>HIGH</t>
        </is>
      </c>
      <c r="I1547" t="n">
        <v>13.5</v>
      </c>
      <c r="J1547" t="inlineStr">
        <is>
          <t>NO</t>
        </is>
      </c>
      <c r="K1547" t="inlineStr">
        <is>
          <t>2026-02-25 21:00:07</t>
        </is>
      </c>
      <c r="L1547" t="inlineStr">
        <is>
          <t>Block URL</t>
        </is>
      </c>
      <c r="M1547" t="inlineStr">
        <is>
          <t>Network/Web Proxy</t>
        </is>
      </c>
      <c r="N1547" t="inlineStr">
        <is>
          <t>P3</t>
        </is>
      </c>
      <c r="O1547" t="inlineStr">
        <is>
          <t>URL IOC - check host IP separately</t>
        </is>
      </c>
      <c r="P1547" t="n">
        <v>0</v>
      </c>
      <c r="Q1547" t="n">
        <v>0</v>
      </c>
      <c r="R1547" t="inlineStr">
        <is>
          <t>T1189:Drive-by Compromise | T1566:Phishing</t>
        </is>
      </c>
      <c r="S1547" t="n">
        <v>1</v>
      </c>
      <c r="T1547" t="inlineStr">
        <is>
          <t>LOW (40%)</t>
        </is>
      </c>
      <c r="U1547" t="inlineStr">
        <is>
          <t>YES</t>
        </is>
      </c>
      <c r="V1547" t="inlineStr">
        <is>
          <t>Block URL</t>
        </is>
      </c>
      <c r="W1547" t="inlineStr">
        <is>
          <t>https://urlhaus.abuse.ch/url/3785701/</t>
        </is>
      </c>
      <c r="X1547" t="inlineStr">
        <is>
          <t>NONE</t>
        </is>
      </c>
      <c r="Y1547" t="n">
        <v>0</v>
      </c>
      <c r="Z1547" t="inlineStr"/>
      <c r="AA1547" t="inlineStr">
        <is>
          <t>https://urlhaus.abuse.ch/url/3785701/</t>
        </is>
      </c>
    </row>
    <row r="1548">
      <c r="A1548" t="inlineStr">
        <is>
          <t>MAL_URL</t>
        </is>
      </c>
      <c r="B1548" t="inlineStr">
        <is>
          <t>3785700</t>
        </is>
      </c>
      <c r="C1548" t="inlineStr">
        <is>
          <t>Malware Host [online]: https://github.com/st1xres/Xeno-Executor/raw/refs/heads/main/Xeno.exe | Threat: malware_download | Tags: BRAT,exe</t>
        </is>
      </c>
      <c r="D1548" t="n">
        <v>7.5</v>
      </c>
      <c r="E1548" t="inlineStr">
        <is>
          <t>HIGH</t>
        </is>
      </c>
      <c r="F1548" t="n">
        <v>3</v>
      </c>
      <c r="G1548" t="n">
        <v>2</v>
      </c>
      <c r="H1548" t="inlineStr">
        <is>
          <t>HIGH</t>
        </is>
      </c>
      <c r="I1548" t="n">
        <v>13.5</v>
      </c>
      <c r="J1548" t="inlineStr">
        <is>
          <t>NO</t>
        </is>
      </c>
      <c r="K1548" t="inlineStr">
        <is>
          <t>2026-02-25 20:58:09</t>
        </is>
      </c>
      <c r="L1548" t="inlineStr">
        <is>
          <t>Block URL</t>
        </is>
      </c>
      <c r="M1548" t="inlineStr">
        <is>
          <t>Network/Web Proxy</t>
        </is>
      </c>
      <c r="N1548" t="inlineStr">
        <is>
          <t>P3</t>
        </is>
      </c>
      <c r="O1548" t="inlineStr">
        <is>
          <t>URL IOC - check host IP separately</t>
        </is>
      </c>
      <c r="P1548" t="n">
        <v>0</v>
      </c>
      <c r="Q1548" t="n">
        <v>0</v>
      </c>
      <c r="R1548" t="inlineStr">
        <is>
          <t>T1189:Drive-by Compromise | T1566:Phishing</t>
        </is>
      </c>
      <c r="S1548" t="n">
        <v>1</v>
      </c>
      <c r="T1548" t="inlineStr">
        <is>
          <t>LOW (40%)</t>
        </is>
      </c>
      <c r="U1548" t="inlineStr">
        <is>
          <t>YES</t>
        </is>
      </c>
      <c r="V1548" t="inlineStr">
        <is>
          <t>Block URL</t>
        </is>
      </c>
      <c r="W1548" t="inlineStr">
        <is>
          <t>https://urlhaus.abuse.ch/url/3785700/</t>
        </is>
      </c>
      <c r="X1548" t="inlineStr">
        <is>
          <t>NONE</t>
        </is>
      </c>
      <c r="Y1548" t="n">
        <v>0</v>
      </c>
      <c r="Z1548" t="inlineStr"/>
      <c r="AA1548" t="inlineStr">
        <is>
          <t>https://urlhaus.abuse.ch/url/3785700/</t>
        </is>
      </c>
    </row>
    <row r="1549">
      <c r="A1549" t="inlineStr">
        <is>
          <t>MAL_URL</t>
        </is>
      </c>
      <c r="B1549" t="inlineStr">
        <is>
          <t>3785699</t>
        </is>
      </c>
      <c r="C1549" t="inlineStr">
        <is>
          <t>Malware Host [online]: http://130.12.182.211:25196/el | Threat: malware_download | Tags: Kaiji,mirai,opendir</t>
        </is>
      </c>
      <c r="D1549" t="n">
        <v>7.5</v>
      </c>
      <c r="E1549" t="inlineStr">
        <is>
          <t>HIGH</t>
        </is>
      </c>
      <c r="F1549" t="n">
        <v>3</v>
      </c>
      <c r="G1549" t="n">
        <v>2</v>
      </c>
      <c r="H1549" t="inlineStr">
        <is>
          <t>HIGH</t>
        </is>
      </c>
      <c r="I1549" t="n">
        <v>13.5</v>
      </c>
      <c r="J1549" t="inlineStr">
        <is>
          <t>NO</t>
        </is>
      </c>
      <c r="K1549" t="inlineStr">
        <is>
          <t>2026-02-25 20:24:20</t>
        </is>
      </c>
      <c r="L1549" t="inlineStr">
        <is>
          <t>Block URL</t>
        </is>
      </c>
      <c r="M1549" t="inlineStr">
        <is>
          <t>Network/Web Proxy</t>
        </is>
      </c>
      <c r="N1549" t="inlineStr">
        <is>
          <t>P3</t>
        </is>
      </c>
      <c r="O1549" t="inlineStr">
        <is>
          <t>URL IOC - check host IP separately</t>
        </is>
      </c>
      <c r="P1549" t="n">
        <v>0</v>
      </c>
      <c r="Q1549" t="n">
        <v>0</v>
      </c>
      <c r="R1549" t="inlineStr">
        <is>
          <t>T1189:Drive-by Compromise | T1566:Phishing</t>
        </is>
      </c>
      <c r="S1549" t="n">
        <v>1</v>
      </c>
      <c r="T1549" t="inlineStr">
        <is>
          <t>LOW (40%)</t>
        </is>
      </c>
      <c r="U1549" t="inlineStr">
        <is>
          <t>YES</t>
        </is>
      </c>
      <c r="V1549" t="inlineStr">
        <is>
          <t>Block URL</t>
        </is>
      </c>
      <c r="W1549" t="inlineStr">
        <is>
          <t>https://urlhaus.abuse.ch/url/3785699/</t>
        </is>
      </c>
      <c r="X1549" t="inlineStr">
        <is>
          <t>NONE</t>
        </is>
      </c>
      <c r="Y1549" t="n">
        <v>0</v>
      </c>
      <c r="Z1549" t="inlineStr"/>
      <c r="AA1549" t="inlineStr">
        <is>
          <t>https://urlhaus.abuse.ch/url/3785699/</t>
        </is>
      </c>
    </row>
    <row r="1550">
      <c r="A1550" t="inlineStr">
        <is>
          <t>MAL_URL</t>
        </is>
      </c>
      <c r="B1550" t="inlineStr">
        <is>
          <t>3785698</t>
        </is>
      </c>
      <c r="C1550" t="inlineStr">
        <is>
          <t>Malware Host [online]: http://118.107.41.238:808/linux_mipsel_softfloat | Threat: malware_download | Tags: Kaiji,mirai,opendir</t>
        </is>
      </c>
      <c r="D1550" t="n">
        <v>7.5</v>
      </c>
      <c r="E1550" t="inlineStr">
        <is>
          <t>HIGH</t>
        </is>
      </c>
      <c r="F1550" t="n">
        <v>3</v>
      </c>
      <c r="G1550" t="n">
        <v>2</v>
      </c>
      <c r="H1550" t="inlineStr">
        <is>
          <t>HIGH</t>
        </is>
      </c>
      <c r="I1550" t="n">
        <v>13.5</v>
      </c>
      <c r="J1550" t="inlineStr">
        <is>
          <t>NO</t>
        </is>
      </c>
      <c r="K1550" t="inlineStr">
        <is>
          <t>2026-02-25 20:24:15</t>
        </is>
      </c>
      <c r="L1550" t="inlineStr">
        <is>
          <t>Block URL</t>
        </is>
      </c>
      <c r="M1550" t="inlineStr">
        <is>
          <t>Network/Web Proxy</t>
        </is>
      </c>
      <c r="N1550" t="inlineStr">
        <is>
          <t>P3</t>
        </is>
      </c>
      <c r="O1550" t="inlineStr">
        <is>
          <t>URL IOC - check host IP separately</t>
        </is>
      </c>
      <c r="P1550" t="n">
        <v>0</v>
      </c>
      <c r="Q1550" t="n">
        <v>0</v>
      </c>
      <c r="R1550" t="inlineStr">
        <is>
          <t>T1189:Drive-by Compromise | T1566:Phishing</t>
        </is>
      </c>
      <c r="S1550" t="n">
        <v>1</v>
      </c>
      <c r="T1550" t="inlineStr">
        <is>
          <t>LOW (40%)</t>
        </is>
      </c>
      <c r="U1550" t="inlineStr">
        <is>
          <t>YES</t>
        </is>
      </c>
      <c r="V1550" t="inlineStr">
        <is>
          <t>Block URL</t>
        </is>
      </c>
      <c r="W1550" t="inlineStr">
        <is>
          <t>https://urlhaus.abuse.ch/url/3785698/</t>
        </is>
      </c>
      <c r="X1550" t="inlineStr">
        <is>
          <t>NONE</t>
        </is>
      </c>
      <c r="Y1550" t="n">
        <v>0</v>
      </c>
      <c r="Z1550" t="inlineStr"/>
      <c r="AA1550" t="inlineStr">
        <is>
          <t>https://urlhaus.abuse.ch/url/3785698/</t>
        </is>
      </c>
    </row>
    <row r="1551">
      <c r="A1551" t="inlineStr">
        <is>
          <t>MAL_URL</t>
        </is>
      </c>
      <c r="B1551" t="inlineStr">
        <is>
          <t>3785690</t>
        </is>
      </c>
      <c r="C1551" t="inlineStr">
        <is>
          <t>Malware Host [online]: http://118.107.41.238:808/linux_mips_softfloat | Threat: malware_download | Tags: Kaiji,mirai,opendir</t>
        </is>
      </c>
      <c r="D1551" t="n">
        <v>7.5</v>
      </c>
      <c r="E1551" t="inlineStr">
        <is>
          <t>HIGH</t>
        </is>
      </c>
      <c r="F1551" t="n">
        <v>3</v>
      </c>
      <c r="G1551" t="n">
        <v>2</v>
      </c>
      <c r="H1551" t="inlineStr">
        <is>
          <t>HIGH</t>
        </is>
      </c>
      <c r="I1551" t="n">
        <v>13.5</v>
      </c>
      <c r="J1551" t="inlineStr">
        <is>
          <t>NO</t>
        </is>
      </c>
      <c r="K1551" t="inlineStr">
        <is>
          <t>2026-02-25 20:24:02</t>
        </is>
      </c>
      <c r="L1551" t="inlineStr">
        <is>
          <t>Block URL</t>
        </is>
      </c>
      <c r="M1551" t="inlineStr">
        <is>
          <t>Network/Web Proxy</t>
        </is>
      </c>
      <c r="N1551" t="inlineStr">
        <is>
          <t>P3</t>
        </is>
      </c>
      <c r="O1551" t="inlineStr">
        <is>
          <t>URL IOC - check host IP separately</t>
        </is>
      </c>
      <c r="P1551" t="n">
        <v>0</v>
      </c>
      <c r="Q1551" t="n">
        <v>0</v>
      </c>
      <c r="R1551" t="inlineStr">
        <is>
          <t>T1189:Drive-by Compromise | T1566:Phishing</t>
        </is>
      </c>
      <c r="S1551" t="n">
        <v>1</v>
      </c>
      <c r="T1551" t="inlineStr">
        <is>
          <t>LOW (40%)</t>
        </is>
      </c>
      <c r="U1551" t="inlineStr">
        <is>
          <t>YES</t>
        </is>
      </c>
      <c r="V1551" t="inlineStr">
        <is>
          <t>Block URL</t>
        </is>
      </c>
      <c r="W1551" t="inlineStr">
        <is>
          <t>https://urlhaus.abuse.ch/url/3785690/</t>
        </is>
      </c>
      <c r="X1551" t="inlineStr">
        <is>
          <t>NONE</t>
        </is>
      </c>
      <c r="Y1551" t="n">
        <v>0</v>
      </c>
      <c r="Z1551" t="inlineStr"/>
      <c r="AA1551" t="inlineStr">
        <is>
          <t>https://urlhaus.abuse.ch/url/3785690/</t>
        </is>
      </c>
    </row>
    <row r="1552">
      <c r="A1552" t="inlineStr">
        <is>
          <t>MAL_URL</t>
        </is>
      </c>
      <c r="B1552" t="inlineStr">
        <is>
          <t>3785691</t>
        </is>
      </c>
      <c r="C1552" t="inlineStr">
        <is>
          <t>Malware Host [online]: http://118.107.41.238:808/linux_mips64el | Threat: malware_download | Tags: Kaiji,mirai,opendir</t>
        </is>
      </c>
      <c r="D1552" t="n">
        <v>7.5</v>
      </c>
      <c r="E1552" t="inlineStr">
        <is>
          <t>HIGH</t>
        </is>
      </c>
      <c r="F1552" t="n">
        <v>3</v>
      </c>
      <c r="G1552" t="n">
        <v>2</v>
      </c>
      <c r="H1552" t="inlineStr">
        <is>
          <t>HIGH</t>
        </is>
      </c>
      <c r="I1552" t="n">
        <v>13.5</v>
      </c>
      <c r="J1552" t="inlineStr">
        <is>
          <t>NO</t>
        </is>
      </c>
      <c r="K1552" t="inlineStr">
        <is>
          <t>2026-02-25 20:24:02</t>
        </is>
      </c>
      <c r="L1552" t="inlineStr">
        <is>
          <t>Block URL</t>
        </is>
      </c>
      <c r="M1552" t="inlineStr">
        <is>
          <t>Network/Web Proxy</t>
        </is>
      </c>
      <c r="N1552" t="inlineStr">
        <is>
          <t>P3</t>
        </is>
      </c>
      <c r="O1552" t="inlineStr">
        <is>
          <t>URL IOC - check host IP separately</t>
        </is>
      </c>
      <c r="P1552" t="n">
        <v>0</v>
      </c>
      <c r="Q1552" t="n">
        <v>0</v>
      </c>
      <c r="R1552" t="inlineStr">
        <is>
          <t>T1189:Drive-by Compromise | T1566:Phishing</t>
        </is>
      </c>
      <c r="S1552" t="n">
        <v>1</v>
      </c>
      <c r="T1552" t="inlineStr">
        <is>
          <t>LOW (40%)</t>
        </is>
      </c>
      <c r="U1552" t="inlineStr">
        <is>
          <t>YES</t>
        </is>
      </c>
      <c r="V1552" t="inlineStr">
        <is>
          <t>Block URL</t>
        </is>
      </c>
      <c r="W1552" t="inlineStr">
        <is>
          <t>https://urlhaus.abuse.ch/url/3785691/</t>
        </is>
      </c>
      <c r="X1552" t="inlineStr">
        <is>
          <t>NONE</t>
        </is>
      </c>
      <c r="Y1552" t="n">
        <v>0</v>
      </c>
      <c r="Z1552" t="inlineStr"/>
      <c r="AA1552" t="inlineStr">
        <is>
          <t>https://urlhaus.abuse.ch/url/3785691/</t>
        </is>
      </c>
    </row>
    <row r="1553">
      <c r="A1553" t="inlineStr">
        <is>
          <t>MAL_URL</t>
        </is>
      </c>
      <c r="B1553" t="inlineStr">
        <is>
          <t>3785692</t>
        </is>
      </c>
      <c r="C1553" t="inlineStr">
        <is>
          <t>Malware Host [online]: http://118.107.41.238:808/linux_mips64_softfloat | Threat: malware_download | Tags: Kaiji,mirai,opendir</t>
        </is>
      </c>
      <c r="D1553" t="n">
        <v>7.5</v>
      </c>
      <c r="E1553" t="inlineStr">
        <is>
          <t>HIGH</t>
        </is>
      </c>
      <c r="F1553" t="n">
        <v>3</v>
      </c>
      <c r="G1553" t="n">
        <v>2</v>
      </c>
      <c r="H1553" t="inlineStr">
        <is>
          <t>HIGH</t>
        </is>
      </c>
      <c r="I1553" t="n">
        <v>13.5</v>
      </c>
      <c r="J1553" t="inlineStr">
        <is>
          <t>NO</t>
        </is>
      </c>
      <c r="K1553" t="inlineStr">
        <is>
          <t>2026-02-25 20:24:02</t>
        </is>
      </c>
      <c r="L1553" t="inlineStr">
        <is>
          <t>Block URL</t>
        </is>
      </c>
      <c r="M1553" t="inlineStr">
        <is>
          <t>Network/Web Proxy</t>
        </is>
      </c>
      <c r="N1553" t="inlineStr">
        <is>
          <t>P3</t>
        </is>
      </c>
      <c r="O1553" t="inlineStr">
        <is>
          <t>URL IOC - check host IP separately</t>
        </is>
      </c>
      <c r="P1553" t="n">
        <v>0</v>
      </c>
      <c r="Q1553" t="n">
        <v>0</v>
      </c>
      <c r="R1553" t="inlineStr">
        <is>
          <t>T1189:Drive-by Compromise | T1566:Phishing</t>
        </is>
      </c>
      <c r="S1553" t="n">
        <v>1</v>
      </c>
      <c r="T1553" t="inlineStr">
        <is>
          <t>LOW (40%)</t>
        </is>
      </c>
      <c r="U1553" t="inlineStr">
        <is>
          <t>YES</t>
        </is>
      </c>
      <c r="V1553" t="inlineStr">
        <is>
          <t>Block URL</t>
        </is>
      </c>
      <c r="W1553" t="inlineStr">
        <is>
          <t>https://urlhaus.abuse.ch/url/3785692/</t>
        </is>
      </c>
      <c r="X1553" t="inlineStr">
        <is>
          <t>NONE</t>
        </is>
      </c>
      <c r="Y1553" t="n">
        <v>0</v>
      </c>
      <c r="Z1553" t="inlineStr"/>
      <c r="AA1553" t="inlineStr">
        <is>
          <t>https://urlhaus.abuse.ch/url/3785692/</t>
        </is>
      </c>
    </row>
    <row r="1554">
      <c r="A1554" t="inlineStr">
        <is>
          <t>MAL_URL</t>
        </is>
      </c>
      <c r="B1554" t="inlineStr">
        <is>
          <t>3785693</t>
        </is>
      </c>
      <c r="C1554" t="inlineStr">
        <is>
          <t>Malware Host [online]: http://118.107.41.238:808/linux_arm5 | Threat: malware_download | Tags: Kaiji,mirai,opendir</t>
        </is>
      </c>
      <c r="D1554" t="n">
        <v>7.5</v>
      </c>
      <c r="E1554" t="inlineStr">
        <is>
          <t>HIGH</t>
        </is>
      </c>
      <c r="F1554" t="n">
        <v>3</v>
      </c>
      <c r="G1554" t="n">
        <v>2</v>
      </c>
      <c r="H1554" t="inlineStr">
        <is>
          <t>HIGH</t>
        </is>
      </c>
      <c r="I1554" t="n">
        <v>13.5</v>
      </c>
      <c r="J1554" t="inlineStr">
        <is>
          <t>NO</t>
        </is>
      </c>
      <c r="K1554" t="inlineStr">
        <is>
          <t>2026-02-25 20:24:02</t>
        </is>
      </c>
      <c r="L1554" t="inlineStr">
        <is>
          <t>Block URL</t>
        </is>
      </c>
      <c r="M1554" t="inlineStr">
        <is>
          <t>Network/Web Proxy</t>
        </is>
      </c>
      <c r="N1554" t="inlineStr">
        <is>
          <t>P3</t>
        </is>
      </c>
      <c r="O1554" t="inlineStr">
        <is>
          <t>URL IOC - check host IP separately</t>
        </is>
      </c>
      <c r="P1554" t="n">
        <v>0</v>
      </c>
      <c r="Q1554" t="n">
        <v>0</v>
      </c>
      <c r="R1554" t="inlineStr">
        <is>
          <t>T1189:Drive-by Compromise | T1566:Phishing</t>
        </is>
      </c>
      <c r="S1554" t="n">
        <v>1</v>
      </c>
      <c r="T1554" t="inlineStr">
        <is>
          <t>LOW (40%)</t>
        </is>
      </c>
      <c r="U1554" t="inlineStr">
        <is>
          <t>YES</t>
        </is>
      </c>
      <c r="V1554" t="inlineStr">
        <is>
          <t>Block URL</t>
        </is>
      </c>
      <c r="W1554" t="inlineStr">
        <is>
          <t>https://urlhaus.abuse.ch/url/3785693/</t>
        </is>
      </c>
      <c r="X1554" t="inlineStr">
        <is>
          <t>NONE</t>
        </is>
      </c>
      <c r="Y1554" t="n">
        <v>0</v>
      </c>
      <c r="Z1554" t="inlineStr"/>
      <c r="AA1554" t="inlineStr">
        <is>
          <t>https://urlhaus.abuse.ch/url/3785693/</t>
        </is>
      </c>
    </row>
    <row r="1555">
      <c r="A1555" t="inlineStr">
        <is>
          <t>MAL_URL</t>
        </is>
      </c>
      <c r="B1555" t="inlineStr">
        <is>
          <t>3785694</t>
        </is>
      </c>
      <c r="C1555" t="inlineStr">
        <is>
          <t>Malware Host [online]: http://118.107.41.238:808/linux_ppc64 | Threat: malware_download | Tags: Kaiji,mirai,opendir</t>
        </is>
      </c>
      <c r="D1555" t="n">
        <v>7.5</v>
      </c>
      <c r="E1555" t="inlineStr">
        <is>
          <t>HIGH</t>
        </is>
      </c>
      <c r="F1555" t="n">
        <v>3</v>
      </c>
      <c r="G1555" t="n">
        <v>2</v>
      </c>
      <c r="H1555" t="inlineStr">
        <is>
          <t>HIGH</t>
        </is>
      </c>
      <c r="I1555" t="n">
        <v>13.5</v>
      </c>
      <c r="J1555" t="inlineStr">
        <is>
          <t>NO</t>
        </is>
      </c>
      <c r="K1555" t="inlineStr">
        <is>
          <t>2026-02-25 20:24:02</t>
        </is>
      </c>
      <c r="L1555" t="inlineStr">
        <is>
          <t>Block URL</t>
        </is>
      </c>
      <c r="M1555" t="inlineStr">
        <is>
          <t>Network/Web Proxy</t>
        </is>
      </c>
      <c r="N1555" t="inlineStr">
        <is>
          <t>P3</t>
        </is>
      </c>
      <c r="O1555" t="inlineStr">
        <is>
          <t>URL IOC - check host IP separately</t>
        </is>
      </c>
      <c r="P1555" t="n">
        <v>0</v>
      </c>
      <c r="Q1555" t="n">
        <v>0</v>
      </c>
      <c r="R1555" t="inlineStr">
        <is>
          <t>T1189:Drive-by Compromise | T1566:Phishing</t>
        </is>
      </c>
      <c r="S1555" t="n">
        <v>1</v>
      </c>
      <c r="T1555" t="inlineStr">
        <is>
          <t>LOW (40%)</t>
        </is>
      </c>
      <c r="U1555" t="inlineStr">
        <is>
          <t>YES</t>
        </is>
      </c>
      <c r="V1555" t="inlineStr">
        <is>
          <t>Block URL</t>
        </is>
      </c>
      <c r="W1555" t="inlineStr">
        <is>
          <t>https://urlhaus.abuse.ch/url/3785694/</t>
        </is>
      </c>
      <c r="X1555" t="inlineStr">
        <is>
          <t>NONE</t>
        </is>
      </c>
      <c r="Y1555" t="n">
        <v>0</v>
      </c>
      <c r="Z1555" t="inlineStr"/>
      <c r="AA1555" t="inlineStr">
        <is>
          <t>https://urlhaus.abuse.ch/url/3785694/</t>
        </is>
      </c>
    </row>
    <row r="1556">
      <c r="A1556" t="inlineStr">
        <is>
          <t>MAL_URL</t>
        </is>
      </c>
      <c r="B1556" t="inlineStr">
        <is>
          <t>3785695</t>
        </is>
      </c>
      <c r="C1556" t="inlineStr">
        <is>
          <t>Malware Host [online]: http://118.107.41.238:808/linux_arm64 | Threat: malware_download | Tags: Kaiji,mirai,opendir</t>
        </is>
      </c>
      <c r="D1556" t="n">
        <v>7.5</v>
      </c>
      <c r="E1556" t="inlineStr">
        <is>
          <t>HIGH</t>
        </is>
      </c>
      <c r="F1556" t="n">
        <v>3</v>
      </c>
      <c r="G1556" t="n">
        <v>2</v>
      </c>
      <c r="H1556" t="inlineStr">
        <is>
          <t>HIGH</t>
        </is>
      </c>
      <c r="I1556" t="n">
        <v>13.5</v>
      </c>
      <c r="J1556" t="inlineStr">
        <is>
          <t>NO</t>
        </is>
      </c>
      <c r="K1556" t="inlineStr">
        <is>
          <t>2026-02-25 20:24:02</t>
        </is>
      </c>
      <c r="L1556" t="inlineStr">
        <is>
          <t>Block URL</t>
        </is>
      </c>
      <c r="M1556" t="inlineStr">
        <is>
          <t>Network/Web Proxy</t>
        </is>
      </c>
      <c r="N1556" t="inlineStr">
        <is>
          <t>P3</t>
        </is>
      </c>
      <c r="O1556" t="inlineStr">
        <is>
          <t>URL IOC - check host IP separately</t>
        </is>
      </c>
      <c r="P1556" t="n">
        <v>0</v>
      </c>
      <c r="Q1556" t="n">
        <v>0</v>
      </c>
      <c r="R1556" t="inlineStr">
        <is>
          <t>T1189:Drive-by Compromise | T1566:Phishing</t>
        </is>
      </c>
      <c r="S1556" t="n">
        <v>1</v>
      </c>
      <c r="T1556" t="inlineStr">
        <is>
          <t>LOW (40%)</t>
        </is>
      </c>
      <c r="U1556" t="inlineStr">
        <is>
          <t>YES</t>
        </is>
      </c>
      <c r="V1556" t="inlineStr">
        <is>
          <t>Block URL</t>
        </is>
      </c>
      <c r="W1556" t="inlineStr">
        <is>
          <t>https://urlhaus.abuse.ch/url/3785695/</t>
        </is>
      </c>
      <c r="X1556" t="inlineStr">
        <is>
          <t>NONE</t>
        </is>
      </c>
      <c r="Y1556" t="n">
        <v>0</v>
      </c>
      <c r="Z1556" t="inlineStr"/>
      <c r="AA1556" t="inlineStr">
        <is>
          <t>https://urlhaus.abuse.ch/url/3785695/</t>
        </is>
      </c>
    </row>
    <row r="1557">
      <c r="A1557" t="inlineStr">
        <is>
          <t>MAL_URL</t>
        </is>
      </c>
      <c r="B1557" t="inlineStr">
        <is>
          <t>3785696</t>
        </is>
      </c>
      <c r="C1557" t="inlineStr">
        <is>
          <t>Malware Host [online]: http://118.107.41.238:808/linux_mips | Threat: malware_download | Tags: Kaiji,mirai,opendir</t>
        </is>
      </c>
      <c r="D1557" t="n">
        <v>7.5</v>
      </c>
      <c r="E1557" t="inlineStr">
        <is>
          <t>HIGH</t>
        </is>
      </c>
      <c r="F1557" t="n">
        <v>3</v>
      </c>
      <c r="G1557" t="n">
        <v>2</v>
      </c>
      <c r="H1557" t="inlineStr">
        <is>
          <t>HIGH</t>
        </is>
      </c>
      <c r="I1557" t="n">
        <v>13.5</v>
      </c>
      <c r="J1557" t="inlineStr">
        <is>
          <t>NO</t>
        </is>
      </c>
      <c r="K1557" t="inlineStr">
        <is>
          <t>2026-02-25 20:24:02</t>
        </is>
      </c>
      <c r="L1557" t="inlineStr">
        <is>
          <t>Block URL</t>
        </is>
      </c>
      <c r="M1557" t="inlineStr">
        <is>
          <t>Network/Web Proxy</t>
        </is>
      </c>
      <c r="N1557" t="inlineStr">
        <is>
          <t>P3</t>
        </is>
      </c>
      <c r="O1557" t="inlineStr">
        <is>
          <t>URL IOC - check host IP separately</t>
        </is>
      </c>
      <c r="P1557" t="n">
        <v>0</v>
      </c>
      <c r="Q1557" t="n">
        <v>0</v>
      </c>
      <c r="R1557" t="inlineStr">
        <is>
          <t>T1189:Drive-by Compromise | T1566:Phishing</t>
        </is>
      </c>
      <c r="S1557" t="n">
        <v>1</v>
      </c>
      <c r="T1557" t="inlineStr">
        <is>
          <t>LOW (40%)</t>
        </is>
      </c>
      <c r="U1557" t="inlineStr">
        <is>
          <t>YES</t>
        </is>
      </c>
      <c r="V1557" t="inlineStr">
        <is>
          <t>Block URL</t>
        </is>
      </c>
      <c r="W1557" t="inlineStr">
        <is>
          <t>https://urlhaus.abuse.ch/url/3785696/</t>
        </is>
      </c>
      <c r="X1557" t="inlineStr">
        <is>
          <t>NONE</t>
        </is>
      </c>
      <c r="Y1557" t="n">
        <v>0</v>
      </c>
      <c r="Z1557" t="inlineStr"/>
      <c r="AA1557" t="inlineStr">
        <is>
          <t>https://urlhaus.abuse.ch/url/3785696/</t>
        </is>
      </c>
    </row>
    <row r="1558">
      <c r="A1558" t="inlineStr">
        <is>
          <t>MAL_URL</t>
        </is>
      </c>
      <c r="B1558" t="inlineStr">
        <is>
          <t>3785697</t>
        </is>
      </c>
      <c r="C1558" t="inlineStr">
        <is>
          <t>Malware Host [online]: http://118.107.41.238:808/linux_arm6 | Threat: malware_download | Tags: Kaiji,mirai,opendir</t>
        </is>
      </c>
      <c r="D1558" t="n">
        <v>7.5</v>
      </c>
      <c r="E1558" t="inlineStr">
        <is>
          <t>HIGH</t>
        </is>
      </c>
      <c r="F1558" t="n">
        <v>3</v>
      </c>
      <c r="G1558" t="n">
        <v>2</v>
      </c>
      <c r="H1558" t="inlineStr">
        <is>
          <t>HIGH</t>
        </is>
      </c>
      <c r="I1558" t="n">
        <v>13.5</v>
      </c>
      <c r="J1558" t="inlineStr">
        <is>
          <t>NO</t>
        </is>
      </c>
      <c r="K1558" t="inlineStr">
        <is>
          <t>2026-02-25 20:24:02</t>
        </is>
      </c>
      <c r="L1558" t="inlineStr">
        <is>
          <t>Block URL</t>
        </is>
      </c>
      <c r="M1558" t="inlineStr">
        <is>
          <t>Network/Web Proxy</t>
        </is>
      </c>
      <c r="N1558" t="inlineStr">
        <is>
          <t>P3</t>
        </is>
      </c>
      <c r="O1558" t="inlineStr">
        <is>
          <t>URL IOC - check host IP separately</t>
        </is>
      </c>
      <c r="P1558" t="n">
        <v>0</v>
      </c>
      <c r="Q1558" t="n">
        <v>0</v>
      </c>
      <c r="R1558" t="inlineStr">
        <is>
          <t>T1189:Drive-by Compromise | T1566:Phishing</t>
        </is>
      </c>
      <c r="S1558" t="n">
        <v>1</v>
      </c>
      <c r="T1558" t="inlineStr">
        <is>
          <t>LOW (40%)</t>
        </is>
      </c>
      <c r="U1558" t="inlineStr">
        <is>
          <t>YES</t>
        </is>
      </c>
      <c r="V1558" t="inlineStr">
        <is>
          <t>Block URL</t>
        </is>
      </c>
      <c r="W1558" t="inlineStr">
        <is>
          <t>https://urlhaus.abuse.ch/url/3785697/</t>
        </is>
      </c>
      <c r="X1558" t="inlineStr">
        <is>
          <t>NONE</t>
        </is>
      </c>
      <c r="Y1558" t="n">
        <v>0</v>
      </c>
      <c r="Z1558" t="inlineStr"/>
      <c r="AA1558" t="inlineStr">
        <is>
          <t>https://urlhaus.abuse.ch/url/3785697/</t>
        </is>
      </c>
    </row>
    <row r="1559">
      <c r="A1559" t="inlineStr">
        <is>
          <t>MAL_URL</t>
        </is>
      </c>
      <c r="B1559" t="inlineStr">
        <is>
          <t>3785689</t>
        </is>
      </c>
      <c r="C1559" t="inlineStr">
        <is>
          <t>Malware Host [online]: http://118.107.41.238:808/linux_arm7 | Threat: malware_download | Tags: Kaiji,mirai,opendir</t>
        </is>
      </c>
      <c r="D1559" t="n">
        <v>7.5</v>
      </c>
      <c r="E1559" t="inlineStr">
        <is>
          <t>HIGH</t>
        </is>
      </c>
      <c r="F1559" t="n">
        <v>3</v>
      </c>
      <c r="G1559" t="n">
        <v>2</v>
      </c>
      <c r="H1559" t="inlineStr">
        <is>
          <t>HIGH</t>
        </is>
      </c>
      <c r="I1559" t="n">
        <v>13.5</v>
      </c>
      <c r="J1559" t="inlineStr">
        <is>
          <t>NO</t>
        </is>
      </c>
      <c r="K1559" t="inlineStr">
        <is>
          <t>2026-02-25 20:24:01</t>
        </is>
      </c>
      <c r="L1559" t="inlineStr">
        <is>
          <t>Block URL</t>
        </is>
      </c>
      <c r="M1559" t="inlineStr">
        <is>
          <t>Network/Web Proxy</t>
        </is>
      </c>
      <c r="N1559" t="inlineStr">
        <is>
          <t>P3</t>
        </is>
      </c>
      <c r="O1559" t="inlineStr">
        <is>
          <t>URL IOC - check host IP separately</t>
        </is>
      </c>
      <c r="P1559" t="n">
        <v>0</v>
      </c>
      <c r="Q1559" t="n">
        <v>0</v>
      </c>
      <c r="R1559" t="inlineStr">
        <is>
          <t>T1189:Drive-by Compromise | T1566:Phishing</t>
        </is>
      </c>
      <c r="S1559" t="n">
        <v>1</v>
      </c>
      <c r="T1559" t="inlineStr">
        <is>
          <t>LOW (40%)</t>
        </is>
      </c>
      <c r="U1559" t="inlineStr">
        <is>
          <t>YES</t>
        </is>
      </c>
      <c r="V1559" t="inlineStr">
        <is>
          <t>Block URL</t>
        </is>
      </c>
      <c r="W1559" t="inlineStr">
        <is>
          <t>https://urlhaus.abuse.ch/url/3785689/</t>
        </is>
      </c>
      <c r="X1559" t="inlineStr">
        <is>
          <t>NONE</t>
        </is>
      </c>
      <c r="Y1559" t="n">
        <v>0</v>
      </c>
      <c r="Z1559" t="inlineStr"/>
      <c r="AA1559" t="inlineStr">
        <is>
          <t>https://urlhaus.abuse.ch/url/3785689/</t>
        </is>
      </c>
    </row>
    <row r="1560">
      <c r="A1560" t="inlineStr">
        <is>
          <t>MAL_URL</t>
        </is>
      </c>
      <c r="B1560" t="inlineStr">
        <is>
          <t>3785688</t>
        </is>
      </c>
      <c r="C1560" t="inlineStr">
        <is>
          <t>Malware Host [online]: http://118.107.41.238:808/linux_mips64 | Threat: malware_download | Tags: Kaiji,mirai,opendir</t>
        </is>
      </c>
      <c r="D1560" t="n">
        <v>7.5</v>
      </c>
      <c r="E1560" t="inlineStr">
        <is>
          <t>HIGH</t>
        </is>
      </c>
      <c r="F1560" t="n">
        <v>3</v>
      </c>
      <c r="G1560" t="n">
        <v>2</v>
      </c>
      <c r="H1560" t="inlineStr">
        <is>
          <t>HIGH</t>
        </is>
      </c>
      <c r="I1560" t="n">
        <v>13.5</v>
      </c>
      <c r="J1560" t="inlineStr">
        <is>
          <t>NO</t>
        </is>
      </c>
      <c r="K1560" t="inlineStr">
        <is>
          <t>2026-02-25 20:23:58</t>
        </is>
      </c>
      <c r="L1560" t="inlineStr">
        <is>
          <t>Block URL</t>
        </is>
      </c>
      <c r="M1560" t="inlineStr">
        <is>
          <t>Network/Web Proxy</t>
        </is>
      </c>
      <c r="N1560" t="inlineStr">
        <is>
          <t>P3</t>
        </is>
      </c>
      <c r="O1560" t="inlineStr">
        <is>
          <t>URL IOC - check host IP separately</t>
        </is>
      </c>
      <c r="P1560" t="n">
        <v>0</v>
      </c>
      <c r="Q1560" t="n">
        <v>0</v>
      </c>
      <c r="R1560" t="inlineStr">
        <is>
          <t>T1189:Drive-by Compromise | T1566:Phishing</t>
        </is>
      </c>
      <c r="S1560" t="n">
        <v>1</v>
      </c>
      <c r="T1560" t="inlineStr">
        <is>
          <t>LOW (40%)</t>
        </is>
      </c>
      <c r="U1560" t="inlineStr">
        <is>
          <t>YES</t>
        </is>
      </c>
      <c r="V1560" t="inlineStr">
        <is>
          <t>Block URL</t>
        </is>
      </c>
      <c r="W1560" t="inlineStr">
        <is>
          <t>https://urlhaus.abuse.ch/url/3785688/</t>
        </is>
      </c>
      <c r="X1560" t="inlineStr">
        <is>
          <t>NONE</t>
        </is>
      </c>
      <c r="Y1560" t="n">
        <v>0</v>
      </c>
      <c r="Z1560" t="inlineStr"/>
      <c r="AA1560" t="inlineStr">
        <is>
          <t>https://urlhaus.abuse.ch/url/3785688/</t>
        </is>
      </c>
    </row>
    <row r="1561">
      <c r="A1561" t="inlineStr">
        <is>
          <t>MAL_URL</t>
        </is>
      </c>
      <c r="B1561" t="inlineStr">
        <is>
          <t>3785687</t>
        </is>
      </c>
      <c r="C1561" t="inlineStr">
        <is>
          <t>Malware Host [online]: http://118.107.41.238:808/linux_amd64 | Threat: malware_download | Tags: Kaiji,mirai,opendir</t>
        </is>
      </c>
      <c r="D1561" t="n">
        <v>7.5</v>
      </c>
      <c r="E1561" t="inlineStr">
        <is>
          <t>HIGH</t>
        </is>
      </c>
      <c r="F1561" t="n">
        <v>3</v>
      </c>
      <c r="G1561" t="n">
        <v>2</v>
      </c>
      <c r="H1561" t="inlineStr">
        <is>
          <t>HIGH</t>
        </is>
      </c>
      <c r="I1561" t="n">
        <v>13.5</v>
      </c>
      <c r="J1561" t="inlineStr">
        <is>
          <t>NO</t>
        </is>
      </c>
      <c r="K1561" t="inlineStr">
        <is>
          <t>2026-02-25 20:23:57</t>
        </is>
      </c>
      <c r="L1561" t="inlineStr">
        <is>
          <t>Block URL</t>
        </is>
      </c>
      <c r="M1561" t="inlineStr">
        <is>
          <t>Network/Web Proxy</t>
        </is>
      </c>
      <c r="N1561" t="inlineStr">
        <is>
          <t>P3</t>
        </is>
      </c>
      <c r="O1561" t="inlineStr">
        <is>
          <t>URL IOC - check host IP separately</t>
        </is>
      </c>
      <c r="P1561" t="n">
        <v>0</v>
      </c>
      <c r="Q1561" t="n">
        <v>0</v>
      </c>
      <c r="R1561" t="inlineStr">
        <is>
          <t>T1189:Drive-by Compromise | T1566:Phishing</t>
        </is>
      </c>
      <c r="S1561" t="n">
        <v>1</v>
      </c>
      <c r="T1561" t="inlineStr">
        <is>
          <t>LOW (40%)</t>
        </is>
      </c>
      <c r="U1561" t="inlineStr">
        <is>
          <t>YES</t>
        </is>
      </c>
      <c r="V1561" t="inlineStr">
        <is>
          <t>Block URL</t>
        </is>
      </c>
      <c r="W1561" t="inlineStr">
        <is>
          <t>https://urlhaus.abuse.ch/url/3785687/</t>
        </is>
      </c>
      <c r="X1561" t="inlineStr">
        <is>
          <t>NONE</t>
        </is>
      </c>
      <c r="Y1561" t="n">
        <v>0</v>
      </c>
      <c r="Z1561" t="inlineStr"/>
      <c r="AA1561" t="inlineStr">
        <is>
          <t>https://urlhaus.abuse.ch/url/3785687/</t>
        </is>
      </c>
    </row>
    <row r="1562">
      <c r="A1562" t="inlineStr">
        <is>
          <t>PHISH</t>
        </is>
      </c>
      <c r="B1562" t="inlineStr"/>
      <c r="C1562" t="inlineStr">
        <is>
          <t>Phishing site targeting: www.roblox.com.ml | URL: https://www.roblox.com.ml/users/5374857739/profile</t>
        </is>
      </c>
      <c r="D1562" t="n">
        <v>6</v>
      </c>
      <c r="E1562" t="inlineStr">
        <is>
          <t>MEDIUM</t>
        </is>
      </c>
      <c r="F1562" t="n">
        <v>3</v>
      </c>
      <c r="G1562" t="n">
        <v>1</v>
      </c>
      <c r="H1562" t="inlineStr">
        <is>
          <t>MEDIUM</t>
        </is>
      </c>
      <c r="I1562" t="n">
        <v>9</v>
      </c>
      <c r="J1562" t="inlineStr">
        <is>
          <t>NO</t>
        </is>
      </c>
      <c r="K1562" t="inlineStr">
        <is>
          <t>2026-02-25T22:13:13+00:00</t>
        </is>
      </c>
      <c r="L1562" t="inlineStr">
        <is>
          <t>Block URL</t>
        </is>
      </c>
      <c r="M1562" t="inlineStr">
        <is>
          <t>Email users / www.roblox.com.ml</t>
        </is>
      </c>
      <c r="N1562" t="inlineStr">
        <is>
          <t>P4</t>
        </is>
      </c>
      <c r="O1562" t="inlineStr">
        <is>
          <t>Phishing URL</t>
        </is>
      </c>
      <c r="P1562" t="n">
        <v>0</v>
      </c>
      <c r="Q1562" t="n">
        <v>0</v>
      </c>
      <c r="R1562" t="inlineStr">
        <is>
          <t>T1566:Phishing | T1566.002:Spearphishing Link</t>
        </is>
      </c>
      <c r="S1562" t="n">
        <v>1</v>
      </c>
      <c r="T1562" t="inlineStr">
        <is>
          <t>LOW (40%)</t>
        </is>
      </c>
      <c r="U1562" t="inlineStr">
        <is>
          <t>NONE</t>
        </is>
      </c>
      <c r="V1562" t="inlineStr">
        <is>
          <t>NONE</t>
        </is>
      </c>
      <c r="W1562" t="inlineStr">
        <is>
          <t>https://www.roblox.com.ml/users/5374857739/profile</t>
        </is>
      </c>
      <c r="X1562" t="inlineStr">
        <is>
          <t>NONE</t>
        </is>
      </c>
      <c r="Y1562" t="n">
        <v>0</v>
      </c>
      <c r="Z1562" t="inlineStr"/>
      <c r="AA1562" t="inlineStr">
        <is>
          <t>https://www.roblox.com.ml/users/5374857739/profile</t>
        </is>
      </c>
    </row>
    <row r="1563">
      <c r="A1563" t="inlineStr">
        <is>
          <t>PHISH</t>
        </is>
      </c>
      <c r="B1563" t="inlineStr"/>
      <c r="C1563" t="inlineStr">
        <is>
          <t>Phishing site targeting: chhayajat.github.io | URL: http://chhayajat.github.io/Netflix-Clone</t>
        </is>
      </c>
      <c r="D1563" t="n">
        <v>6</v>
      </c>
      <c r="E1563" t="inlineStr">
        <is>
          <t>MEDIUM</t>
        </is>
      </c>
      <c r="F1563" t="n">
        <v>3</v>
      </c>
      <c r="G1563" t="n">
        <v>1</v>
      </c>
      <c r="H1563" t="inlineStr">
        <is>
          <t>MEDIUM</t>
        </is>
      </c>
      <c r="I1563" t="n">
        <v>9</v>
      </c>
      <c r="J1563" t="inlineStr">
        <is>
          <t>NO</t>
        </is>
      </c>
      <c r="K1563" t="inlineStr">
        <is>
          <t>2026-02-25T22:13:13+00:00</t>
        </is>
      </c>
      <c r="L1563" t="inlineStr">
        <is>
          <t>Block URL</t>
        </is>
      </c>
      <c r="M1563" t="inlineStr">
        <is>
          <t>Email users / chhayajat.github.io</t>
        </is>
      </c>
      <c r="N1563" t="inlineStr">
        <is>
          <t>P4</t>
        </is>
      </c>
      <c r="O1563" t="inlineStr">
        <is>
          <t>Phishing URL</t>
        </is>
      </c>
      <c r="P1563" t="n">
        <v>0</v>
      </c>
      <c r="Q1563" t="n">
        <v>0</v>
      </c>
      <c r="R1563" t="inlineStr">
        <is>
          <t>T1566:Phishing | T1566.002:Spearphishing Link</t>
        </is>
      </c>
      <c r="S1563" t="n">
        <v>1</v>
      </c>
      <c r="T1563" t="inlineStr">
        <is>
          <t>LOW (40%)</t>
        </is>
      </c>
      <c r="U1563" t="inlineStr">
        <is>
          <t>NONE</t>
        </is>
      </c>
      <c r="V1563" t="inlineStr">
        <is>
          <t>NONE</t>
        </is>
      </c>
      <c r="W1563" t="inlineStr">
        <is>
          <t>http://chhayajat.github.io/Netflix-Clone</t>
        </is>
      </c>
      <c r="X1563" t="inlineStr">
        <is>
          <t>NONE</t>
        </is>
      </c>
      <c r="Y1563" t="n">
        <v>0</v>
      </c>
      <c r="Z1563" t="inlineStr"/>
      <c r="AA1563" t="inlineStr">
        <is>
          <t>http://chhayajat.github.io/Netflix-Clone</t>
        </is>
      </c>
    </row>
    <row r="1564">
      <c r="A1564" t="inlineStr">
        <is>
          <t>PHISH</t>
        </is>
      </c>
      <c r="B1564" t="inlineStr"/>
      <c r="C1564" t="inlineStr">
        <is>
          <t>Phishing site targeting: meetbatra.github.io | URL: http://meetbatra.github.io/netflix-clone</t>
        </is>
      </c>
      <c r="D1564" t="n">
        <v>6</v>
      </c>
      <c r="E1564" t="inlineStr">
        <is>
          <t>MEDIUM</t>
        </is>
      </c>
      <c r="F1564" t="n">
        <v>3</v>
      </c>
      <c r="G1564" t="n">
        <v>1</v>
      </c>
      <c r="H1564" t="inlineStr">
        <is>
          <t>MEDIUM</t>
        </is>
      </c>
      <c r="I1564" t="n">
        <v>9</v>
      </c>
      <c r="J1564" t="inlineStr">
        <is>
          <t>NO</t>
        </is>
      </c>
      <c r="K1564" t="inlineStr">
        <is>
          <t>2026-02-25T22:13:13+00:00</t>
        </is>
      </c>
      <c r="L1564" t="inlineStr">
        <is>
          <t>Block URL</t>
        </is>
      </c>
      <c r="M1564" t="inlineStr">
        <is>
          <t>Email users / meetbatra.github.io</t>
        </is>
      </c>
      <c r="N1564" t="inlineStr">
        <is>
          <t>P4</t>
        </is>
      </c>
      <c r="O1564" t="inlineStr">
        <is>
          <t>Phishing URL</t>
        </is>
      </c>
      <c r="P1564" t="n">
        <v>0</v>
      </c>
      <c r="Q1564" t="n">
        <v>0</v>
      </c>
      <c r="R1564" t="inlineStr">
        <is>
          <t>T1566:Phishing | T1566.002:Spearphishing Link</t>
        </is>
      </c>
      <c r="S1564" t="n">
        <v>1</v>
      </c>
      <c r="T1564" t="inlineStr">
        <is>
          <t>LOW (40%)</t>
        </is>
      </c>
      <c r="U1564" t="inlineStr">
        <is>
          <t>NONE</t>
        </is>
      </c>
      <c r="V1564" t="inlineStr">
        <is>
          <t>NONE</t>
        </is>
      </c>
      <c r="W1564" t="inlineStr">
        <is>
          <t>http://meetbatra.github.io/netflix-clone</t>
        </is>
      </c>
      <c r="X1564" t="inlineStr">
        <is>
          <t>NONE</t>
        </is>
      </c>
      <c r="Y1564" t="n">
        <v>0</v>
      </c>
      <c r="Z1564" t="inlineStr"/>
      <c r="AA1564" t="inlineStr">
        <is>
          <t>http://meetbatra.github.io/netflix-clone</t>
        </is>
      </c>
    </row>
    <row r="1565">
      <c r="A1565" t="inlineStr">
        <is>
          <t>PHISH</t>
        </is>
      </c>
      <c r="B1565" t="inlineStr"/>
      <c r="C1565" t="inlineStr">
        <is>
          <t>Phishing site targeting: ashutoshp-dev.github.io | URL: http://ashutoshp-dev.github.io/NetFlix-Home-UI-Clone</t>
        </is>
      </c>
      <c r="D1565" t="n">
        <v>6</v>
      </c>
      <c r="E1565" t="inlineStr">
        <is>
          <t>MEDIUM</t>
        </is>
      </c>
      <c r="F1565" t="n">
        <v>3</v>
      </c>
      <c r="G1565" t="n">
        <v>1</v>
      </c>
      <c r="H1565" t="inlineStr">
        <is>
          <t>MEDIUM</t>
        </is>
      </c>
      <c r="I1565" t="n">
        <v>9</v>
      </c>
      <c r="J1565" t="inlineStr">
        <is>
          <t>NO</t>
        </is>
      </c>
      <c r="K1565" t="inlineStr">
        <is>
          <t>2026-02-25T22:13:13+00:00</t>
        </is>
      </c>
      <c r="L1565" t="inlineStr">
        <is>
          <t>Block URL</t>
        </is>
      </c>
      <c r="M1565" t="inlineStr">
        <is>
          <t>Email users / ashutoshp-dev.github.io</t>
        </is>
      </c>
      <c r="N1565" t="inlineStr">
        <is>
          <t>P4</t>
        </is>
      </c>
      <c r="O1565" t="inlineStr">
        <is>
          <t>Phishing URL</t>
        </is>
      </c>
      <c r="P1565" t="n">
        <v>0</v>
      </c>
      <c r="Q1565" t="n">
        <v>0</v>
      </c>
      <c r="R1565" t="inlineStr">
        <is>
          <t>T1566:Phishing | T1566.002:Spearphishing Link</t>
        </is>
      </c>
      <c r="S1565" t="n">
        <v>1</v>
      </c>
      <c r="T1565" t="inlineStr">
        <is>
          <t>LOW (40%)</t>
        </is>
      </c>
      <c r="U1565" t="inlineStr">
        <is>
          <t>NONE</t>
        </is>
      </c>
      <c r="V1565" t="inlineStr">
        <is>
          <t>NONE</t>
        </is>
      </c>
      <c r="W1565" t="inlineStr">
        <is>
          <t>http://ashutoshp-dev.github.io/NetFlix-Home-UI-Clone</t>
        </is>
      </c>
      <c r="X1565" t="inlineStr">
        <is>
          <t>NONE</t>
        </is>
      </c>
      <c r="Y1565" t="n">
        <v>0</v>
      </c>
      <c r="Z1565" t="inlineStr"/>
      <c r="AA1565" t="inlineStr">
        <is>
          <t>http://ashutoshp-dev.github.io/NetFlix-Home-UI-Clone</t>
        </is>
      </c>
    </row>
    <row r="1566">
      <c r="A1566" t="inlineStr">
        <is>
          <t>PHISH</t>
        </is>
      </c>
      <c r="B1566" t="inlineStr"/>
      <c r="C1566" t="inlineStr">
        <is>
          <t>Phishing site targeting: lzrstbg6gtre5.af849df.workers.dev | URL: http://lzrstbg6gtre5.af849df.workers.dev/</t>
        </is>
      </c>
      <c r="D1566" t="n">
        <v>6</v>
      </c>
      <c r="E1566" t="inlineStr">
        <is>
          <t>MEDIUM</t>
        </is>
      </c>
      <c r="F1566" t="n">
        <v>3</v>
      </c>
      <c r="G1566" t="n">
        <v>1</v>
      </c>
      <c r="H1566" t="inlineStr">
        <is>
          <t>MEDIUM</t>
        </is>
      </c>
      <c r="I1566" t="n">
        <v>9</v>
      </c>
      <c r="J1566" t="inlineStr">
        <is>
          <t>NO</t>
        </is>
      </c>
      <c r="K1566" t="inlineStr">
        <is>
          <t>2026-02-25T22:13:13+00:00</t>
        </is>
      </c>
      <c r="L1566" t="inlineStr">
        <is>
          <t>Block URL</t>
        </is>
      </c>
      <c r="M1566" t="inlineStr">
        <is>
          <t>Email users / lzrstbg6gtre5.af849df.workers.dev</t>
        </is>
      </c>
      <c r="N1566" t="inlineStr">
        <is>
          <t>P4</t>
        </is>
      </c>
      <c r="O1566" t="inlineStr">
        <is>
          <t>Phishing URL</t>
        </is>
      </c>
      <c r="P1566" t="n">
        <v>0</v>
      </c>
      <c r="Q1566" t="n">
        <v>0</v>
      </c>
      <c r="R1566" t="inlineStr">
        <is>
          <t>T1566:Phishing | T1566.002:Spearphishing Link</t>
        </is>
      </c>
      <c r="S1566" t="n">
        <v>1</v>
      </c>
      <c r="T1566" t="inlineStr">
        <is>
          <t>LOW (40%)</t>
        </is>
      </c>
      <c r="U1566" t="inlineStr">
        <is>
          <t>NONE</t>
        </is>
      </c>
      <c r="V1566" t="inlineStr">
        <is>
          <t>NONE</t>
        </is>
      </c>
      <c r="W1566" t="inlineStr">
        <is>
          <t>http://lzrstbg6gtre5.af849df.workers.dev/</t>
        </is>
      </c>
      <c r="X1566" t="inlineStr">
        <is>
          <t>NONE</t>
        </is>
      </c>
      <c r="Y1566" t="n">
        <v>0</v>
      </c>
      <c r="Z1566" t="inlineStr"/>
      <c r="AA1566" t="inlineStr">
        <is>
          <t>http://lzrstbg6gtre5.af849df.workers.dev/</t>
        </is>
      </c>
    </row>
    <row r="1567">
      <c r="A1567" t="inlineStr">
        <is>
          <t>PHISH</t>
        </is>
      </c>
      <c r="B1567" t="inlineStr"/>
      <c r="C1567" t="inlineStr">
        <is>
          <t>Phishing site targeting: www.e135k.xyz | URL: http://www.e135k.xyz/</t>
        </is>
      </c>
      <c r="D1567" t="n">
        <v>6</v>
      </c>
      <c r="E1567" t="inlineStr">
        <is>
          <t>MEDIUM</t>
        </is>
      </c>
      <c r="F1567" t="n">
        <v>3</v>
      </c>
      <c r="G1567" t="n">
        <v>1</v>
      </c>
      <c r="H1567" t="inlineStr">
        <is>
          <t>MEDIUM</t>
        </is>
      </c>
      <c r="I1567" t="n">
        <v>9</v>
      </c>
      <c r="J1567" t="inlineStr">
        <is>
          <t>NO</t>
        </is>
      </c>
      <c r="K1567" t="inlineStr">
        <is>
          <t>2026-02-25T22:13:13+00:00</t>
        </is>
      </c>
      <c r="L1567" t="inlineStr">
        <is>
          <t>Block URL</t>
        </is>
      </c>
      <c r="M1567" t="inlineStr">
        <is>
          <t>Email users / www.e135k.xyz</t>
        </is>
      </c>
      <c r="N1567" t="inlineStr">
        <is>
          <t>P4</t>
        </is>
      </c>
      <c r="O1567" t="inlineStr">
        <is>
          <t>Phishing URL</t>
        </is>
      </c>
      <c r="P1567" t="n">
        <v>0</v>
      </c>
      <c r="Q1567" t="n">
        <v>0</v>
      </c>
      <c r="R1567" t="inlineStr">
        <is>
          <t>T1566:Phishing | T1566.002:Spearphishing Link</t>
        </is>
      </c>
      <c r="S1567" t="n">
        <v>1</v>
      </c>
      <c r="T1567" t="inlineStr">
        <is>
          <t>LOW (40%)</t>
        </is>
      </c>
      <c r="U1567" t="inlineStr">
        <is>
          <t>NONE</t>
        </is>
      </c>
      <c r="V1567" t="inlineStr">
        <is>
          <t>NONE</t>
        </is>
      </c>
      <c r="W1567" t="inlineStr">
        <is>
          <t>http://www.e135k.xyz/</t>
        </is>
      </c>
      <c r="X1567" t="inlineStr">
        <is>
          <t>NONE</t>
        </is>
      </c>
      <c r="Y1567" t="n">
        <v>0</v>
      </c>
      <c r="Z1567" t="inlineStr"/>
      <c r="AA1567" t="inlineStr">
        <is>
          <t>http://www.e135k.xyz/</t>
        </is>
      </c>
    </row>
    <row r="1568">
      <c r="A1568" t="inlineStr">
        <is>
          <t>PHISH</t>
        </is>
      </c>
      <c r="B1568" t="inlineStr"/>
      <c r="C1568" t="inlineStr">
        <is>
          <t>Phishing site targeting: chaitanybhute.github.io | URL: http://chaitanybhute.github.io/Netflix_Frontend</t>
        </is>
      </c>
      <c r="D1568" t="n">
        <v>6</v>
      </c>
      <c r="E1568" t="inlineStr">
        <is>
          <t>MEDIUM</t>
        </is>
      </c>
      <c r="F1568" t="n">
        <v>3</v>
      </c>
      <c r="G1568" t="n">
        <v>1</v>
      </c>
      <c r="H1568" t="inlineStr">
        <is>
          <t>MEDIUM</t>
        </is>
      </c>
      <c r="I1568" t="n">
        <v>9</v>
      </c>
      <c r="J1568" t="inlineStr">
        <is>
          <t>NO</t>
        </is>
      </c>
      <c r="K1568" t="inlineStr">
        <is>
          <t>2026-02-25T22:13:13+00:00</t>
        </is>
      </c>
      <c r="L1568" t="inlineStr">
        <is>
          <t>Block URL</t>
        </is>
      </c>
      <c r="M1568" t="inlineStr">
        <is>
          <t>Email users / chaitanybhute.github.io</t>
        </is>
      </c>
      <c r="N1568" t="inlineStr">
        <is>
          <t>P4</t>
        </is>
      </c>
      <c r="O1568" t="inlineStr">
        <is>
          <t>Phishing URL</t>
        </is>
      </c>
      <c r="P1568" t="n">
        <v>0</v>
      </c>
      <c r="Q1568" t="n">
        <v>0</v>
      </c>
      <c r="R1568" t="inlineStr">
        <is>
          <t>T1566:Phishing | T1566.002:Spearphishing Link</t>
        </is>
      </c>
      <c r="S1568" t="n">
        <v>1</v>
      </c>
      <c r="T1568" t="inlineStr">
        <is>
          <t>LOW (40%)</t>
        </is>
      </c>
      <c r="U1568" t="inlineStr">
        <is>
          <t>NONE</t>
        </is>
      </c>
      <c r="V1568" t="inlineStr">
        <is>
          <t>NONE</t>
        </is>
      </c>
      <c r="W1568" t="inlineStr">
        <is>
          <t>http://chaitanybhute.github.io/Netflix_Frontend</t>
        </is>
      </c>
      <c r="X1568" t="inlineStr">
        <is>
          <t>NONE</t>
        </is>
      </c>
      <c r="Y1568" t="n">
        <v>0</v>
      </c>
      <c r="Z1568" t="inlineStr"/>
      <c r="AA1568" t="inlineStr">
        <is>
          <t>http://chaitanybhute.github.io/Netflix_Frontend</t>
        </is>
      </c>
    </row>
    <row r="1569">
      <c r="A1569" t="inlineStr">
        <is>
          <t>PHISH</t>
        </is>
      </c>
      <c r="B1569" t="inlineStr"/>
      <c r="C1569" t="inlineStr">
        <is>
          <t>Phishing site targeting: swisspost.photocollect.io | URL: https://swisspost.photocollect.io/auth/login</t>
        </is>
      </c>
      <c r="D1569" t="n">
        <v>6</v>
      </c>
      <c r="E1569" t="inlineStr">
        <is>
          <t>MEDIUM</t>
        </is>
      </c>
      <c r="F1569" t="n">
        <v>3</v>
      </c>
      <c r="G1569" t="n">
        <v>1</v>
      </c>
      <c r="H1569" t="inlineStr">
        <is>
          <t>MEDIUM</t>
        </is>
      </c>
      <c r="I1569" t="n">
        <v>9</v>
      </c>
      <c r="J1569" t="inlineStr">
        <is>
          <t>NO</t>
        </is>
      </c>
      <c r="K1569" t="inlineStr">
        <is>
          <t>2026-02-25T22:13:13+00:00</t>
        </is>
      </c>
      <c r="L1569" t="inlineStr">
        <is>
          <t>Block URL</t>
        </is>
      </c>
      <c r="M1569" t="inlineStr">
        <is>
          <t>Email users / swisspost.photocollect.io</t>
        </is>
      </c>
      <c r="N1569" t="inlineStr">
        <is>
          <t>P4</t>
        </is>
      </c>
      <c r="O1569" t="inlineStr">
        <is>
          <t>Phishing URL</t>
        </is>
      </c>
      <c r="P1569" t="n">
        <v>0</v>
      </c>
      <c r="Q1569" t="n">
        <v>0</v>
      </c>
      <c r="R1569" t="inlineStr">
        <is>
          <t>T1566:Phishing | T1566.002:Spearphishing Link</t>
        </is>
      </c>
      <c r="S1569" t="n">
        <v>1</v>
      </c>
      <c r="T1569" t="inlineStr">
        <is>
          <t>LOW (40%)</t>
        </is>
      </c>
      <c r="U1569" t="inlineStr">
        <is>
          <t>NONE</t>
        </is>
      </c>
      <c r="V1569" t="inlineStr">
        <is>
          <t>NONE</t>
        </is>
      </c>
      <c r="W1569" t="inlineStr">
        <is>
          <t>https://swisspost.photocollect.io/auth/login</t>
        </is>
      </c>
      <c r="X1569" t="inlineStr">
        <is>
          <t>NONE</t>
        </is>
      </c>
      <c r="Y1569" t="n">
        <v>0</v>
      </c>
      <c r="Z1569" t="inlineStr"/>
      <c r="AA1569" t="inlineStr">
        <is>
          <t>https://swisspost.photocollect.io/auth/login</t>
        </is>
      </c>
    </row>
    <row r="1570">
      <c r="A1570" t="inlineStr">
        <is>
          <t>PHISH</t>
        </is>
      </c>
      <c r="B1570" t="inlineStr"/>
      <c r="C1570" t="inlineStr">
        <is>
          <t>Phishing site targeting: swisspost.photocollect.io | URL: https://swisspost.photocollect.io/</t>
        </is>
      </c>
      <c r="D1570" t="n">
        <v>6</v>
      </c>
      <c r="E1570" t="inlineStr">
        <is>
          <t>MEDIUM</t>
        </is>
      </c>
      <c r="F1570" t="n">
        <v>3</v>
      </c>
      <c r="G1570" t="n">
        <v>1</v>
      </c>
      <c r="H1570" t="inlineStr">
        <is>
          <t>MEDIUM</t>
        </is>
      </c>
      <c r="I1570" t="n">
        <v>9</v>
      </c>
      <c r="J1570" t="inlineStr">
        <is>
          <t>NO</t>
        </is>
      </c>
      <c r="K1570" t="inlineStr">
        <is>
          <t>2026-02-25T22:13:13+00:00</t>
        </is>
      </c>
      <c r="L1570" t="inlineStr">
        <is>
          <t>Block URL</t>
        </is>
      </c>
      <c r="M1570" t="inlineStr">
        <is>
          <t>Email users / swisspost.photocollect.io</t>
        </is>
      </c>
      <c r="N1570" t="inlineStr">
        <is>
          <t>P4</t>
        </is>
      </c>
      <c r="O1570" t="inlineStr">
        <is>
          <t>Phishing URL</t>
        </is>
      </c>
      <c r="P1570" t="n">
        <v>0</v>
      </c>
      <c r="Q1570" t="n">
        <v>0</v>
      </c>
      <c r="R1570" t="inlineStr">
        <is>
          <t>T1566:Phishing | T1566.002:Spearphishing Link</t>
        </is>
      </c>
      <c r="S1570" t="n">
        <v>1</v>
      </c>
      <c r="T1570" t="inlineStr">
        <is>
          <t>LOW (40%)</t>
        </is>
      </c>
      <c r="U1570" t="inlineStr">
        <is>
          <t>NONE</t>
        </is>
      </c>
      <c r="V1570" t="inlineStr">
        <is>
          <t>NONE</t>
        </is>
      </c>
      <c r="W1570" t="inlineStr">
        <is>
          <t>https://swisspost.photocollect.io/</t>
        </is>
      </c>
      <c r="X1570" t="inlineStr">
        <is>
          <t>NONE</t>
        </is>
      </c>
      <c r="Y1570" t="n">
        <v>0</v>
      </c>
      <c r="Z1570" t="inlineStr"/>
      <c r="AA1570" t="inlineStr">
        <is>
          <t>https://swisspost.photocollect.io/</t>
        </is>
      </c>
    </row>
    <row r="1571">
      <c r="A1571" t="inlineStr">
        <is>
          <t>PHISH</t>
        </is>
      </c>
      <c r="B1571" t="inlineStr"/>
      <c r="C1571" t="inlineStr">
        <is>
          <t>Phishing site targeting: kucoin_x_logi.godaddysites.com | URL: https://kucoin_x_logi.godaddysites.com/</t>
        </is>
      </c>
      <c r="D1571" t="n">
        <v>6</v>
      </c>
      <c r="E1571" t="inlineStr">
        <is>
          <t>MEDIUM</t>
        </is>
      </c>
      <c r="F1571" t="n">
        <v>3</v>
      </c>
      <c r="G1571" t="n">
        <v>1</v>
      </c>
      <c r="H1571" t="inlineStr">
        <is>
          <t>MEDIUM</t>
        </is>
      </c>
      <c r="I1571" t="n">
        <v>9</v>
      </c>
      <c r="J1571" t="inlineStr">
        <is>
          <t>NO</t>
        </is>
      </c>
      <c r="K1571" t="inlineStr">
        <is>
          <t>2026-02-25T22:13:13+00:00</t>
        </is>
      </c>
      <c r="L1571" t="inlineStr">
        <is>
          <t>Block URL</t>
        </is>
      </c>
      <c r="M1571" t="inlineStr">
        <is>
          <t>Email users / kucoin_x_logi.godaddysites.com</t>
        </is>
      </c>
      <c r="N1571" t="inlineStr">
        <is>
          <t>P4</t>
        </is>
      </c>
      <c r="O1571" t="inlineStr">
        <is>
          <t>Phishing URL</t>
        </is>
      </c>
      <c r="P1571" t="n">
        <v>0</v>
      </c>
      <c r="Q1571" t="n">
        <v>0</v>
      </c>
      <c r="R1571" t="inlineStr">
        <is>
          <t>T1566:Phishing | T1566.002:Spearphishing Link</t>
        </is>
      </c>
      <c r="S1571" t="n">
        <v>1</v>
      </c>
      <c r="T1571" t="inlineStr">
        <is>
          <t>LOW (40%)</t>
        </is>
      </c>
      <c r="U1571" t="inlineStr">
        <is>
          <t>NONE</t>
        </is>
      </c>
      <c r="V1571" t="inlineStr">
        <is>
          <t>NONE</t>
        </is>
      </c>
      <c r="W1571" t="inlineStr">
        <is>
          <t>https://kucoin_x_logi.godaddysites.com/</t>
        </is>
      </c>
      <c r="X1571" t="inlineStr">
        <is>
          <t>NONE</t>
        </is>
      </c>
      <c r="Y1571" t="n">
        <v>0</v>
      </c>
      <c r="Z1571" t="inlineStr"/>
      <c r="AA1571" t="inlineStr">
        <is>
          <t>https://kucoin_x_logi.godaddysites.com/</t>
        </is>
      </c>
    </row>
    <row r="1572">
      <c r="A1572" t="inlineStr">
        <is>
          <t>PHISH</t>
        </is>
      </c>
      <c r="B1572" t="inlineStr"/>
      <c r="C1572" t="inlineStr">
        <is>
          <t>Phishing site targeting: roblox.com.ge | URL: https://roblox.com.ge/users/4587284650/profile</t>
        </is>
      </c>
      <c r="D1572" t="n">
        <v>6</v>
      </c>
      <c r="E1572" t="inlineStr">
        <is>
          <t>MEDIUM</t>
        </is>
      </c>
      <c r="F1572" t="n">
        <v>3</v>
      </c>
      <c r="G1572" t="n">
        <v>1</v>
      </c>
      <c r="H1572" t="inlineStr">
        <is>
          <t>MEDIUM</t>
        </is>
      </c>
      <c r="I1572" t="n">
        <v>9</v>
      </c>
      <c r="J1572" t="inlineStr">
        <is>
          <t>NO</t>
        </is>
      </c>
      <c r="K1572" t="inlineStr">
        <is>
          <t>2026-02-25T22:13:13+00:00</t>
        </is>
      </c>
      <c r="L1572" t="inlineStr">
        <is>
          <t>Block URL</t>
        </is>
      </c>
      <c r="M1572" t="inlineStr">
        <is>
          <t>Email users / roblox.com.ge</t>
        </is>
      </c>
      <c r="N1572" t="inlineStr">
        <is>
          <t>P4</t>
        </is>
      </c>
      <c r="O1572" t="inlineStr">
        <is>
          <t>Phishing URL</t>
        </is>
      </c>
      <c r="P1572" t="n">
        <v>0</v>
      </c>
      <c r="Q1572" t="n">
        <v>0</v>
      </c>
      <c r="R1572" t="inlineStr">
        <is>
          <t>T1566:Phishing | T1566.002:Spearphishing Link</t>
        </is>
      </c>
      <c r="S1572" t="n">
        <v>1</v>
      </c>
      <c r="T1572" t="inlineStr">
        <is>
          <t>LOW (40%)</t>
        </is>
      </c>
      <c r="U1572" t="inlineStr">
        <is>
          <t>NONE</t>
        </is>
      </c>
      <c r="V1572" t="inlineStr">
        <is>
          <t>NONE</t>
        </is>
      </c>
      <c r="W1572" t="inlineStr">
        <is>
          <t>https://roblox.com.ge/users/4587284650/profile</t>
        </is>
      </c>
      <c r="X1572" t="inlineStr">
        <is>
          <t>NONE</t>
        </is>
      </c>
      <c r="Y1572" t="n">
        <v>0</v>
      </c>
      <c r="Z1572" t="inlineStr"/>
      <c r="AA1572" t="inlineStr">
        <is>
          <t>https://roblox.com.ge/users/4587284650/profile</t>
        </is>
      </c>
    </row>
    <row r="1573">
      <c r="A1573" t="inlineStr">
        <is>
          <t>PHISH</t>
        </is>
      </c>
      <c r="B1573" t="inlineStr"/>
      <c r="C1573" t="inlineStr">
        <is>
          <t>Phishing site targeting: www.robiox.com.ua | URL: https://www.robiox.com.ua/communities/9764817946/KHMER</t>
        </is>
      </c>
      <c r="D1573" t="n">
        <v>6</v>
      </c>
      <c r="E1573" t="inlineStr">
        <is>
          <t>MEDIUM</t>
        </is>
      </c>
      <c r="F1573" t="n">
        <v>3</v>
      </c>
      <c r="G1573" t="n">
        <v>1</v>
      </c>
      <c r="H1573" t="inlineStr">
        <is>
          <t>MEDIUM</t>
        </is>
      </c>
      <c r="I1573" t="n">
        <v>9</v>
      </c>
      <c r="J1573" t="inlineStr">
        <is>
          <t>NO</t>
        </is>
      </c>
      <c r="K1573" t="inlineStr">
        <is>
          <t>2026-02-25T22:13:13+00:00</t>
        </is>
      </c>
      <c r="L1573" t="inlineStr">
        <is>
          <t>Block URL</t>
        </is>
      </c>
      <c r="M1573" t="inlineStr">
        <is>
          <t>Email users / www.robiox.com.ua</t>
        </is>
      </c>
      <c r="N1573" t="inlineStr">
        <is>
          <t>P4</t>
        </is>
      </c>
      <c r="O1573" t="inlineStr">
        <is>
          <t>Phishing URL</t>
        </is>
      </c>
      <c r="P1573" t="n">
        <v>0</v>
      </c>
      <c r="Q1573" t="n">
        <v>0</v>
      </c>
      <c r="R1573" t="inlineStr">
        <is>
          <t>T1566:Phishing | T1566.002:Spearphishing Link</t>
        </is>
      </c>
      <c r="S1573" t="n">
        <v>1</v>
      </c>
      <c r="T1573" t="inlineStr">
        <is>
          <t>LOW (40%)</t>
        </is>
      </c>
      <c r="U1573" t="inlineStr">
        <is>
          <t>NONE</t>
        </is>
      </c>
      <c r="V1573" t="inlineStr">
        <is>
          <t>NONE</t>
        </is>
      </c>
      <c r="W1573" t="inlineStr">
        <is>
          <t>https://www.robiox.com.ua/communities/9764817946/KHMER</t>
        </is>
      </c>
      <c r="X1573" t="inlineStr">
        <is>
          <t>NONE</t>
        </is>
      </c>
      <c r="Y1573" t="n">
        <v>0</v>
      </c>
      <c r="Z1573" t="inlineStr"/>
      <c r="AA1573" t="inlineStr">
        <is>
          <t>https://www.robiox.com.ua/communities/9764817946/KHMER</t>
        </is>
      </c>
    </row>
    <row r="1574">
      <c r="A1574" t="inlineStr">
        <is>
          <t>PHISH</t>
        </is>
      </c>
      <c r="B1574" t="inlineStr"/>
      <c r="C1574" t="inlineStr">
        <is>
          <t>Phishing site targeting: afb9f33ad7.nxcli.io | URL: http://afb9f33ad7.nxcli.io/wp-admin/hol/login.php</t>
        </is>
      </c>
      <c r="D1574" t="n">
        <v>6</v>
      </c>
      <c r="E1574" t="inlineStr">
        <is>
          <t>MEDIUM</t>
        </is>
      </c>
      <c r="F1574" t="n">
        <v>3</v>
      </c>
      <c r="G1574" t="n">
        <v>1</v>
      </c>
      <c r="H1574" t="inlineStr">
        <is>
          <t>MEDIUM</t>
        </is>
      </c>
      <c r="I1574" t="n">
        <v>9</v>
      </c>
      <c r="J1574" t="inlineStr">
        <is>
          <t>NO</t>
        </is>
      </c>
      <c r="K1574" t="inlineStr">
        <is>
          <t>2026-02-25T22:13:13+00:00</t>
        </is>
      </c>
      <c r="L1574" t="inlineStr">
        <is>
          <t>Block URL</t>
        </is>
      </c>
      <c r="M1574" t="inlineStr">
        <is>
          <t>Email users / afb9f33ad7.nxcli.io</t>
        </is>
      </c>
      <c r="N1574" t="inlineStr">
        <is>
          <t>P4</t>
        </is>
      </c>
      <c r="O1574" t="inlineStr">
        <is>
          <t>Phishing URL</t>
        </is>
      </c>
      <c r="P1574" t="n">
        <v>0</v>
      </c>
      <c r="Q1574" t="n">
        <v>0</v>
      </c>
      <c r="R1574" t="inlineStr">
        <is>
          <t>T1566:Phishing | T1566.002:Spearphishing Link</t>
        </is>
      </c>
      <c r="S1574" t="n">
        <v>1</v>
      </c>
      <c r="T1574" t="inlineStr">
        <is>
          <t>LOW (40%)</t>
        </is>
      </c>
      <c r="U1574" t="inlineStr">
        <is>
          <t>NONE</t>
        </is>
      </c>
      <c r="V1574" t="inlineStr">
        <is>
          <t>NONE</t>
        </is>
      </c>
      <c r="W1574" t="inlineStr">
        <is>
          <t>http://afb9f33ad7.nxcli.io/wp-admin/hol/login.php</t>
        </is>
      </c>
      <c r="X1574" t="inlineStr">
        <is>
          <t>NONE</t>
        </is>
      </c>
      <c r="Y1574" t="n">
        <v>0</v>
      </c>
      <c r="Z1574" t="inlineStr"/>
      <c r="AA1574" t="inlineStr">
        <is>
          <t>http://afb9f33ad7.nxcli.io/wp-admin/hol/login.php</t>
        </is>
      </c>
    </row>
    <row r="1575">
      <c r="A1575" t="inlineStr">
        <is>
          <t>PHISH</t>
        </is>
      </c>
      <c r="B1575" t="inlineStr"/>
      <c r="C1575" t="inlineStr">
        <is>
          <t>Phishing site targeting: accounts.bmwweb.black | URL: http://accounts.bmwweb.black/en/login</t>
        </is>
      </c>
      <c r="D1575" t="n">
        <v>6</v>
      </c>
      <c r="E1575" t="inlineStr">
        <is>
          <t>MEDIUM</t>
        </is>
      </c>
      <c r="F1575" t="n">
        <v>3</v>
      </c>
      <c r="G1575" t="n">
        <v>1</v>
      </c>
      <c r="H1575" t="inlineStr">
        <is>
          <t>MEDIUM</t>
        </is>
      </c>
      <c r="I1575" t="n">
        <v>9</v>
      </c>
      <c r="J1575" t="inlineStr">
        <is>
          <t>NO</t>
        </is>
      </c>
      <c r="K1575" t="inlineStr">
        <is>
          <t>2026-02-25T22:13:13+00:00</t>
        </is>
      </c>
      <c r="L1575" t="inlineStr">
        <is>
          <t>Block URL</t>
        </is>
      </c>
      <c r="M1575" t="inlineStr">
        <is>
          <t>Email users / accounts.bmwweb.black</t>
        </is>
      </c>
      <c r="N1575" t="inlineStr">
        <is>
          <t>P4</t>
        </is>
      </c>
      <c r="O1575" t="inlineStr">
        <is>
          <t>Phishing URL</t>
        </is>
      </c>
      <c r="P1575" t="n">
        <v>0</v>
      </c>
      <c r="Q1575" t="n">
        <v>0</v>
      </c>
      <c r="R1575" t="inlineStr">
        <is>
          <t>T1566:Phishing | T1566.002:Spearphishing Link</t>
        </is>
      </c>
      <c r="S1575" t="n">
        <v>1</v>
      </c>
      <c r="T1575" t="inlineStr">
        <is>
          <t>LOW (40%)</t>
        </is>
      </c>
      <c r="U1575" t="inlineStr">
        <is>
          <t>NONE</t>
        </is>
      </c>
      <c r="V1575" t="inlineStr">
        <is>
          <t>NONE</t>
        </is>
      </c>
      <c r="W1575" t="inlineStr">
        <is>
          <t>http://accounts.bmwweb.black/en/login</t>
        </is>
      </c>
      <c r="X1575" t="inlineStr">
        <is>
          <t>NONE</t>
        </is>
      </c>
      <c r="Y1575" t="n">
        <v>0</v>
      </c>
      <c r="Z1575" t="inlineStr"/>
      <c r="AA1575" t="inlineStr">
        <is>
          <t>http://accounts.bmwweb.black/en/login</t>
        </is>
      </c>
    </row>
    <row r="1576">
      <c r="A1576" t="inlineStr">
        <is>
          <t>PHISH</t>
        </is>
      </c>
      <c r="B1576" t="inlineStr"/>
      <c r="C1576" t="inlineStr">
        <is>
          <t>Phishing site targeting: rodoviaspedagioonline.sbs | URL: https://rodoviaspedagioonline.sbs/</t>
        </is>
      </c>
      <c r="D1576" t="n">
        <v>6</v>
      </c>
      <c r="E1576" t="inlineStr">
        <is>
          <t>MEDIUM</t>
        </is>
      </c>
      <c r="F1576" t="n">
        <v>3</v>
      </c>
      <c r="G1576" t="n">
        <v>1</v>
      </c>
      <c r="H1576" t="inlineStr">
        <is>
          <t>MEDIUM</t>
        </is>
      </c>
      <c r="I1576" t="n">
        <v>9</v>
      </c>
      <c r="J1576" t="inlineStr">
        <is>
          <t>NO</t>
        </is>
      </c>
      <c r="K1576" t="inlineStr">
        <is>
          <t>2026-02-25T22:13:13+00:00</t>
        </is>
      </c>
      <c r="L1576" t="inlineStr">
        <is>
          <t>Block URL</t>
        </is>
      </c>
      <c r="M1576" t="inlineStr">
        <is>
          <t>Email users / rodoviaspedagioonline.sbs</t>
        </is>
      </c>
      <c r="N1576" t="inlineStr">
        <is>
          <t>P4</t>
        </is>
      </c>
      <c r="O1576" t="inlineStr">
        <is>
          <t>Phishing URL</t>
        </is>
      </c>
      <c r="P1576" t="n">
        <v>0</v>
      </c>
      <c r="Q1576" t="n">
        <v>0</v>
      </c>
      <c r="R1576" t="inlineStr">
        <is>
          <t>T1566:Phishing | T1566.002:Spearphishing Link</t>
        </is>
      </c>
      <c r="S1576" t="n">
        <v>1</v>
      </c>
      <c r="T1576" t="inlineStr">
        <is>
          <t>LOW (40%)</t>
        </is>
      </c>
      <c r="U1576" t="inlineStr">
        <is>
          <t>NONE</t>
        </is>
      </c>
      <c r="V1576" t="inlineStr">
        <is>
          <t>NONE</t>
        </is>
      </c>
      <c r="W1576" t="inlineStr">
        <is>
          <t>https://rodoviaspedagioonline.sbs/</t>
        </is>
      </c>
      <c r="X1576" t="inlineStr">
        <is>
          <t>NONE</t>
        </is>
      </c>
      <c r="Y1576" t="n">
        <v>0</v>
      </c>
      <c r="Z1576" t="inlineStr"/>
      <c r="AA1576" t="inlineStr">
        <is>
          <t>https://rodoviaspedagioonline.sbs/</t>
        </is>
      </c>
    </row>
    <row r="1577">
      <c r="A1577" t="inlineStr">
        <is>
          <t>PHISH</t>
        </is>
      </c>
      <c r="B1577" t="inlineStr"/>
      <c r="C1577" t="inlineStr">
        <is>
          <t>Phishing site targeting: www.pedagiovirtual.com | URL: https://www.pedagiovirtual.com/</t>
        </is>
      </c>
      <c r="D1577" t="n">
        <v>6</v>
      </c>
      <c r="E1577" t="inlineStr">
        <is>
          <t>MEDIUM</t>
        </is>
      </c>
      <c r="F1577" t="n">
        <v>3</v>
      </c>
      <c r="G1577" t="n">
        <v>1</v>
      </c>
      <c r="H1577" t="inlineStr">
        <is>
          <t>MEDIUM</t>
        </is>
      </c>
      <c r="I1577" t="n">
        <v>9</v>
      </c>
      <c r="J1577" t="inlineStr">
        <is>
          <t>NO</t>
        </is>
      </c>
      <c r="K1577" t="inlineStr">
        <is>
          <t>2026-02-25T22:13:13+00:00</t>
        </is>
      </c>
      <c r="L1577" t="inlineStr">
        <is>
          <t>Block URL</t>
        </is>
      </c>
      <c r="M1577" t="inlineStr">
        <is>
          <t>Email users / www.pedagiovirtual.com</t>
        </is>
      </c>
      <c r="N1577" t="inlineStr">
        <is>
          <t>P4</t>
        </is>
      </c>
      <c r="O1577" t="inlineStr">
        <is>
          <t>Phishing URL</t>
        </is>
      </c>
      <c r="P1577" t="n">
        <v>0</v>
      </c>
      <c r="Q1577" t="n">
        <v>0</v>
      </c>
      <c r="R1577" t="inlineStr">
        <is>
          <t>T1566:Phishing | T1566.002:Spearphishing Link</t>
        </is>
      </c>
      <c r="S1577" t="n">
        <v>1</v>
      </c>
      <c r="T1577" t="inlineStr">
        <is>
          <t>LOW (40%)</t>
        </is>
      </c>
      <c r="U1577" t="inlineStr">
        <is>
          <t>NONE</t>
        </is>
      </c>
      <c r="V1577" t="inlineStr">
        <is>
          <t>NONE</t>
        </is>
      </c>
      <c r="W1577" t="inlineStr">
        <is>
          <t>https://www.pedagiovirtual.com/</t>
        </is>
      </c>
      <c r="X1577" t="inlineStr">
        <is>
          <t>NONE</t>
        </is>
      </c>
      <c r="Y1577" t="n">
        <v>0</v>
      </c>
      <c r="Z1577" t="inlineStr"/>
      <c r="AA1577" t="inlineStr">
        <is>
          <t>https://www.pedagiovirtual.com/</t>
        </is>
      </c>
    </row>
    <row r="1578">
      <c r="A1578" t="inlineStr">
        <is>
          <t>PHISH</t>
        </is>
      </c>
      <c r="B1578" t="inlineStr"/>
      <c r="C1578" t="inlineStr">
        <is>
          <t>Phishing site targeting: www.roblox.com.ml | URL: https://www.roblox.com.ml/users/180467424/profile</t>
        </is>
      </c>
      <c r="D1578" t="n">
        <v>6</v>
      </c>
      <c r="E1578" t="inlineStr">
        <is>
          <t>MEDIUM</t>
        </is>
      </c>
      <c r="F1578" t="n">
        <v>3</v>
      </c>
      <c r="G1578" t="n">
        <v>1</v>
      </c>
      <c r="H1578" t="inlineStr">
        <is>
          <t>MEDIUM</t>
        </is>
      </c>
      <c r="I1578" t="n">
        <v>9</v>
      </c>
      <c r="J1578" t="inlineStr">
        <is>
          <t>NO</t>
        </is>
      </c>
      <c r="K1578" t="inlineStr">
        <is>
          <t>2026-02-25T22:13:13+00:00</t>
        </is>
      </c>
      <c r="L1578" t="inlineStr">
        <is>
          <t>Block URL</t>
        </is>
      </c>
      <c r="M1578" t="inlineStr">
        <is>
          <t>Email users / www.roblox.com.ml</t>
        </is>
      </c>
      <c r="N1578" t="inlineStr">
        <is>
          <t>P4</t>
        </is>
      </c>
      <c r="O1578" t="inlineStr">
        <is>
          <t>Phishing URL</t>
        </is>
      </c>
      <c r="P1578" t="n">
        <v>0</v>
      </c>
      <c r="Q1578" t="n">
        <v>0</v>
      </c>
      <c r="R1578" t="inlineStr">
        <is>
          <t>T1566:Phishing | T1566.002:Spearphishing Link</t>
        </is>
      </c>
      <c r="S1578" t="n">
        <v>1</v>
      </c>
      <c r="T1578" t="inlineStr">
        <is>
          <t>LOW (40%)</t>
        </is>
      </c>
      <c r="U1578" t="inlineStr">
        <is>
          <t>NONE</t>
        </is>
      </c>
      <c r="V1578" t="inlineStr">
        <is>
          <t>NONE</t>
        </is>
      </c>
      <c r="W1578" t="inlineStr">
        <is>
          <t>https://www.roblox.com.ml/users/180467424/profile</t>
        </is>
      </c>
      <c r="X1578" t="inlineStr">
        <is>
          <t>NONE</t>
        </is>
      </c>
      <c r="Y1578" t="n">
        <v>0</v>
      </c>
      <c r="Z1578" t="inlineStr"/>
      <c r="AA1578" t="inlineStr">
        <is>
          <t>https://www.roblox.com.ml/users/180467424/profile</t>
        </is>
      </c>
    </row>
    <row r="1579">
      <c r="A1579" t="inlineStr">
        <is>
          <t>PHISH</t>
        </is>
      </c>
      <c r="B1579" t="inlineStr"/>
      <c r="C1579" t="inlineStr">
        <is>
          <t>Phishing site targeting: pedagio-freefllow.site | URL: https://pedagio-freefllow.site/</t>
        </is>
      </c>
      <c r="D1579" t="n">
        <v>6</v>
      </c>
      <c r="E1579" t="inlineStr">
        <is>
          <t>MEDIUM</t>
        </is>
      </c>
      <c r="F1579" t="n">
        <v>3</v>
      </c>
      <c r="G1579" t="n">
        <v>1</v>
      </c>
      <c r="H1579" t="inlineStr">
        <is>
          <t>MEDIUM</t>
        </is>
      </c>
      <c r="I1579" t="n">
        <v>9</v>
      </c>
      <c r="J1579" t="inlineStr">
        <is>
          <t>NO</t>
        </is>
      </c>
      <c r="K1579" t="inlineStr">
        <is>
          <t>2026-02-25T22:13:13+00:00</t>
        </is>
      </c>
      <c r="L1579" t="inlineStr">
        <is>
          <t>Block URL</t>
        </is>
      </c>
      <c r="M1579" t="inlineStr">
        <is>
          <t>Email users / pedagio-freefllow.site</t>
        </is>
      </c>
      <c r="N1579" t="inlineStr">
        <is>
          <t>P4</t>
        </is>
      </c>
      <c r="O1579" t="inlineStr">
        <is>
          <t>Phishing URL</t>
        </is>
      </c>
      <c r="P1579" t="n">
        <v>0</v>
      </c>
      <c r="Q1579" t="n">
        <v>0</v>
      </c>
      <c r="R1579" t="inlineStr">
        <is>
          <t>T1566:Phishing | T1566.002:Spearphishing Link</t>
        </is>
      </c>
      <c r="S1579" t="n">
        <v>1</v>
      </c>
      <c r="T1579" t="inlineStr">
        <is>
          <t>LOW (40%)</t>
        </is>
      </c>
      <c r="U1579" t="inlineStr">
        <is>
          <t>NONE</t>
        </is>
      </c>
      <c r="V1579" t="inlineStr">
        <is>
          <t>NONE</t>
        </is>
      </c>
      <c r="W1579" t="inlineStr">
        <is>
          <t>https://pedagio-freefllow.site/</t>
        </is>
      </c>
      <c r="X1579" t="inlineStr">
        <is>
          <t>NONE</t>
        </is>
      </c>
      <c r="Y1579" t="n">
        <v>0</v>
      </c>
      <c r="Z1579" t="inlineStr"/>
      <c r="AA1579" t="inlineStr">
        <is>
          <t>https://pedagio-freefllow.site/</t>
        </is>
      </c>
    </row>
    <row r="1580">
      <c r="A1580" t="inlineStr">
        <is>
          <t>PHISH</t>
        </is>
      </c>
      <c r="B1580" t="inlineStr"/>
      <c r="C1580" t="inlineStr">
        <is>
          <t>Phishing site targeting: 38cf0019a-5b00b-4f35-84f00-1095e4a28249.es-mad-1.linodeobjects.com | URL: https://38cf0019a-5b00b-4f35-84f00-1095e4a28249.es-mad-1.linodeobjects.com/fa4002131-984f-43e8-90019-d58c358918c00.html?email@example.com</t>
        </is>
      </c>
      <c r="D1580" t="n">
        <v>6</v>
      </c>
      <c r="E1580" t="inlineStr">
        <is>
          <t>MEDIUM</t>
        </is>
      </c>
      <c r="F1580" t="n">
        <v>3</v>
      </c>
      <c r="G1580" t="n">
        <v>1</v>
      </c>
      <c r="H1580" t="inlineStr">
        <is>
          <t>MEDIUM</t>
        </is>
      </c>
      <c r="I1580" t="n">
        <v>9</v>
      </c>
      <c r="J1580" t="inlineStr">
        <is>
          <t>NO</t>
        </is>
      </c>
      <c r="K1580" t="inlineStr">
        <is>
          <t>2026-02-25T22:13:13+00:00</t>
        </is>
      </c>
      <c r="L1580" t="inlineStr">
        <is>
          <t>Block URL</t>
        </is>
      </c>
      <c r="M1580" t="inlineStr">
        <is>
          <t>Email users / 38cf0019a-5b00b-4f35-84f00-1095e4a28249.es-mad-1.linodeobjects.com</t>
        </is>
      </c>
      <c r="N1580" t="inlineStr">
        <is>
          <t>P4</t>
        </is>
      </c>
      <c r="O1580" t="inlineStr">
        <is>
          <t>Phishing URL</t>
        </is>
      </c>
      <c r="P1580" t="n">
        <v>0</v>
      </c>
      <c r="Q1580" t="n">
        <v>0</v>
      </c>
      <c r="R1580" t="inlineStr">
        <is>
          <t>T1566:Phishing | T1566.002:Spearphishing Link</t>
        </is>
      </c>
      <c r="S1580" t="n">
        <v>1</v>
      </c>
      <c r="T1580" t="inlineStr">
        <is>
          <t>LOW (40%)</t>
        </is>
      </c>
      <c r="U1580" t="inlineStr">
        <is>
          <t>NONE</t>
        </is>
      </c>
      <c r="V1580" t="inlineStr">
        <is>
          <t>NONE</t>
        </is>
      </c>
      <c r="W1580" t="inlineStr">
        <is>
          <t>https://38cf0019a-5b00b-4f35-84f00-1095e4a28249.es-mad-1.linodeobjects.com/fa4002131-984f-43e8-90019-d58c358918c00.html?email@example.com</t>
        </is>
      </c>
      <c r="X1580" t="inlineStr">
        <is>
          <t>NONE</t>
        </is>
      </c>
      <c r="Y1580" t="n">
        <v>0</v>
      </c>
      <c r="Z1580" t="inlineStr"/>
      <c r="AA1580" t="inlineStr">
        <is>
          <t>https://38cf0019a-5b00b-4f35-84f00-1095e4a28249.es-mad-1.linodeobjects.com/fa4002131-984f-43e8-90019-d58c358918c00.html?email@example.com</t>
        </is>
      </c>
    </row>
    <row r="1581">
      <c r="A1581" t="inlineStr">
        <is>
          <t>PHISH</t>
        </is>
      </c>
      <c r="B1581" t="inlineStr"/>
      <c r="C1581" t="inlineStr">
        <is>
          <t>Phishing site targeting: roblox.com.ly | URL: https://roblox.com.ly/games/121864768012064/Fish-It?privateServerLinkCode=41402951051112464317465848973194</t>
        </is>
      </c>
      <c r="D1581" t="n">
        <v>6</v>
      </c>
      <c r="E1581" t="inlineStr">
        <is>
          <t>MEDIUM</t>
        </is>
      </c>
      <c r="F1581" t="n">
        <v>3</v>
      </c>
      <c r="G1581" t="n">
        <v>1</v>
      </c>
      <c r="H1581" t="inlineStr">
        <is>
          <t>MEDIUM</t>
        </is>
      </c>
      <c r="I1581" t="n">
        <v>9</v>
      </c>
      <c r="J1581" t="inlineStr">
        <is>
          <t>NO</t>
        </is>
      </c>
      <c r="K1581" t="inlineStr">
        <is>
          <t>2026-02-25T22:13:13+00:00</t>
        </is>
      </c>
      <c r="L1581" t="inlineStr">
        <is>
          <t>Block URL</t>
        </is>
      </c>
      <c r="M1581" t="inlineStr">
        <is>
          <t>Email users / roblox.com.ly</t>
        </is>
      </c>
      <c r="N1581" t="inlineStr">
        <is>
          <t>P4</t>
        </is>
      </c>
      <c r="O1581" t="inlineStr">
        <is>
          <t>Phishing URL</t>
        </is>
      </c>
      <c r="P1581" t="n">
        <v>0</v>
      </c>
      <c r="Q1581" t="n">
        <v>0</v>
      </c>
      <c r="R1581" t="inlineStr">
        <is>
          <t>T1566:Phishing | T1566.002:Spearphishing Link</t>
        </is>
      </c>
      <c r="S1581" t="n">
        <v>1</v>
      </c>
      <c r="T1581" t="inlineStr">
        <is>
          <t>LOW (40%)</t>
        </is>
      </c>
      <c r="U1581" t="inlineStr">
        <is>
          <t>NONE</t>
        </is>
      </c>
      <c r="V1581" t="inlineStr">
        <is>
          <t>NONE</t>
        </is>
      </c>
      <c r="W1581" t="inlineStr">
        <is>
          <t>https://roblox.com.ly/games/121864768012064/Fish-It?privateServerLinkCode=41402951051112464317465848973194</t>
        </is>
      </c>
      <c r="X1581" t="inlineStr">
        <is>
          <t>NONE</t>
        </is>
      </c>
      <c r="Y1581" t="n">
        <v>0</v>
      </c>
      <c r="Z1581" t="inlineStr"/>
      <c r="AA1581" t="inlineStr">
        <is>
          <t>https://roblox.com.ly/games/121864768012064/Fish-It?privateServerLinkCode=41402951051112464317465848973194</t>
        </is>
      </c>
    </row>
    <row r="1582">
      <c r="A1582" t="inlineStr">
        <is>
          <t>PHISH</t>
        </is>
      </c>
      <c r="B1582" t="inlineStr"/>
      <c r="C1582" t="inlineStr">
        <is>
          <t>Phishing site targeting: roblox.com.ge | URL: https://roblox.com.ge/users/3343788587/profile</t>
        </is>
      </c>
      <c r="D1582" t="n">
        <v>6</v>
      </c>
      <c r="E1582" t="inlineStr">
        <is>
          <t>MEDIUM</t>
        </is>
      </c>
      <c r="F1582" t="n">
        <v>3</v>
      </c>
      <c r="G1582" t="n">
        <v>1</v>
      </c>
      <c r="H1582" t="inlineStr">
        <is>
          <t>MEDIUM</t>
        </is>
      </c>
      <c r="I1582" t="n">
        <v>9</v>
      </c>
      <c r="J1582" t="inlineStr">
        <is>
          <t>NO</t>
        </is>
      </c>
      <c r="K1582" t="inlineStr">
        <is>
          <t>2026-02-25T22:13:13+00:00</t>
        </is>
      </c>
      <c r="L1582" t="inlineStr">
        <is>
          <t>Block URL</t>
        </is>
      </c>
      <c r="M1582" t="inlineStr">
        <is>
          <t>Email users / roblox.com.ge</t>
        </is>
      </c>
      <c r="N1582" t="inlineStr">
        <is>
          <t>P4</t>
        </is>
      </c>
      <c r="O1582" t="inlineStr">
        <is>
          <t>Phishing URL</t>
        </is>
      </c>
      <c r="P1582" t="n">
        <v>0</v>
      </c>
      <c r="Q1582" t="n">
        <v>0</v>
      </c>
      <c r="R1582" t="inlineStr">
        <is>
          <t>T1566:Phishing | T1566.002:Spearphishing Link</t>
        </is>
      </c>
      <c r="S1582" t="n">
        <v>1</v>
      </c>
      <c r="T1582" t="inlineStr">
        <is>
          <t>LOW (40%)</t>
        </is>
      </c>
      <c r="U1582" t="inlineStr">
        <is>
          <t>NONE</t>
        </is>
      </c>
      <c r="V1582" t="inlineStr">
        <is>
          <t>NONE</t>
        </is>
      </c>
      <c r="W1582" t="inlineStr">
        <is>
          <t>https://roblox.com.ge/users/3343788587/profile</t>
        </is>
      </c>
      <c r="X1582" t="inlineStr">
        <is>
          <t>NONE</t>
        </is>
      </c>
      <c r="Y1582" t="n">
        <v>0</v>
      </c>
      <c r="Z1582" t="inlineStr"/>
      <c r="AA1582" t="inlineStr">
        <is>
          <t>https://roblox.com.ge/users/3343788587/profile</t>
        </is>
      </c>
    </row>
    <row r="1583">
      <c r="A1583" t="inlineStr">
        <is>
          <t>PHISH</t>
        </is>
      </c>
      <c r="B1583" t="inlineStr"/>
      <c r="C1583" t="inlineStr">
        <is>
          <t>Phishing site targeting: legendgroup-bd.com | URL: http://legendgroup-bd.com/login.plala/jpn/webmai1/index.php</t>
        </is>
      </c>
      <c r="D1583" t="n">
        <v>6</v>
      </c>
      <c r="E1583" t="inlineStr">
        <is>
          <t>MEDIUM</t>
        </is>
      </c>
      <c r="F1583" t="n">
        <v>3</v>
      </c>
      <c r="G1583" t="n">
        <v>1</v>
      </c>
      <c r="H1583" t="inlineStr">
        <is>
          <t>MEDIUM</t>
        </is>
      </c>
      <c r="I1583" t="n">
        <v>9</v>
      </c>
      <c r="J1583" t="inlineStr">
        <is>
          <t>NO</t>
        </is>
      </c>
      <c r="K1583" t="inlineStr">
        <is>
          <t>2026-02-25T22:13:13+00:00</t>
        </is>
      </c>
      <c r="L1583" t="inlineStr">
        <is>
          <t>Block URL</t>
        </is>
      </c>
      <c r="M1583" t="inlineStr">
        <is>
          <t>Email users / legendgroup-bd.com</t>
        </is>
      </c>
      <c r="N1583" t="inlineStr">
        <is>
          <t>P4</t>
        </is>
      </c>
      <c r="O1583" t="inlineStr">
        <is>
          <t>Phishing URL</t>
        </is>
      </c>
      <c r="P1583" t="n">
        <v>0</v>
      </c>
      <c r="Q1583" t="n">
        <v>0</v>
      </c>
      <c r="R1583" t="inlineStr">
        <is>
          <t>T1566:Phishing | T1566.002:Spearphishing Link</t>
        </is>
      </c>
      <c r="S1583" t="n">
        <v>1</v>
      </c>
      <c r="T1583" t="inlineStr">
        <is>
          <t>LOW (40%)</t>
        </is>
      </c>
      <c r="U1583" t="inlineStr">
        <is>
          <t>NONE</t>
        </is>
      </c>
      <c r="V1583" t="inlineStr">
        <is>
          <t>NONE</t>
        </is>
      </c>
      <c r="W1583" t="inlineStr">
        <is>
          <t>http://legendgroup-bd.com/login.plala/jpn/webmai1/index.php</t>
        </is>
      </c>
      <c r="X1583" t="inlineStr">
        <is>
          <t>NONE</t>
        </is>
      </c>
      <c r="Y1583" t="n">
        <v>0</v>
      </c>
      <c r="Z1583" t="inlineStr"/>
      <c r="AA1583" t="inlineStr">
        <is>
          <t>http://legendgroup-bd.com/login.plala/jpn/webmai1/index.php</t>
        </is>
      </c>
    </row>
    <row r="1584">
      <c r="A1584" t="inlineStr">
        <is>
          <t>PHISH</t>
        </is>
      </c>
      <c r="B1584" t="inlineStr"/>
      <c r="C1584" t="inlineStr">
        <is>
          <t>Phishing site targeting: roblox.com.py | URL: https://roblox.com.py/communities/6232784528/</t>
        </is>
      </c>
      <c r="D1584" t="n">
        <v>6</v>
      </c>
      <c r="E1584" t="inlineStr">
        <is>
          <t>MEDIUM</t>
        </is>
      </c>
      <c r="F1584" t="n">
        <v>3</v>
      </c>
      <c r="G1584" t="n">
        <v>1</v>
      </c>
      <c r="H1584" t="inlineStr">
        <is>
          <t>MEDIUM</t>
        </is>
      </c>
      <c r="I1584" t="n">
        <v>9</v>
      </c>
      <c r="J1584" t="inlineStr">
        <is>
          <t>NO</t>
        </is>
      </c>
      <c r="K1584" t="inlineStr">
        <is>
          <t>2026-02-25T22:13:13+00:00</t>
        </is>
      </c>
      <c r="L1584" t="inlineStr">
        <is>
          <t>Block URL</t>
        </is>
      </c>
      <c r="M1584" t="inlineStr">
        <is>
          <t>Email users / roblox.com.py</t>
        </is>
      </c>
      <c r="N1584" t="inlineStr">
        <is>
          <t>P4</t>
        </is>
      </c>
      <c r="O1584" t="inlineStr">
        <is>
          <t>Phishing URL</t>
        </is>
      </c>
      <c r="P1584" t="n">
        <v>0</v>
      </c>
      <c r="Q1584" t="n">
        <v>0</v>
      </c>
      <c r="R1584" t="inlineStr">
        <is>
          <t>T1566:Phishing | T1566.002:Spearphishing Link</t>
        </is>
      </c>
      <c r="S1584" t="n">
        <v>1</v>
      </c>
      <c r="T1584" t="inlineStr">
        <is>
          <t>LOW (40%)</t>
        </is>
      </c>
      <c r="U1584" t="inlineStr">
        <is>
          <t>NONE</t>
        </is>
      </c>
      <c r="V1584" t="inlineStr">
        <is>
          <t>NONE</t>
        </is>
      </c>
      <c r="W1584" t="inlineStr">
        <is>
          <t>https://roblox.com.py/communities/6232784528/</t>
        </is>
      </c>
      <c r="X1584" t="inlineStr">
        <is>
          <t>NONE</t>
        </is>
      </c>
      <c r="Y1584" t="n">
        <v>0</v>
      </c>
      <c r="Z1584" t="inlineStr"/>
      <c r="AA1584" t="inlineStr">
        <is>
          <t>https://roblox.com.py/communities/6232784528/</t>
        </is>
      </c>
    </row>
    <row r="1585">
      <c r="A1585" t="inlineStr">
        <is>
          <t>PHISH</t>
        </is>
      </c>
      <c r="B1585" t="inlineStr"/>
      <c r="C1585" t="inlineStr">
        <is>
          <t>Phishing site targeting: naveen-gudiwada.github.io | URL: https://naveen-gudiwada.github.io/Netflix-Clone</t>
        </is>
      </c>
      <c r="D1585" t="n">
        <v>6</v>
      </c>
      <c r="E1585" t="inlineStr">
        <is>
          <t>MEDIUM</t>
        </is>
      </c>
      <c r="F1585" t="n">
        <v>3</v>
      </c>
      <c r="G1585" t="n">
        <v>1</v>
      </c>
      <c r="H1585" t="inlineStr">
        <is>
          <t>MEDIUM</t>
        </is>
      </c>
      <c r="I1585" t="n">
        <v>9</v>
      </c>
      <c r="J1585" t="inlineStr">
        <is>
          <t>NO</t>
        </is>
      </c>
      <c r="K1585" t="inlineStr">
        <is>
          <t>2026-02-25T22:13:13+00:00</t>
        </is>
      </c>
      <c r="L1585" t="inlineStr">
        <is>
          <t>Block URL</t>
        </is>
      </c>
      <c r="M1585" t="inlineStr">
        <is>
          <t>Email users / naveen-gudiwada.github.io</t>
        </is>
      </c>
      <c r="N1585" t="inlineStr">
        <is>
          <t>P4</t>
        </is>
      </c>
      <c r="O1585" t="inlineStr">
        <is>
          <t>Phishing URL</t>
        </is>
      </c>
      <c r="P1585" t="n">
        <v>0</v>
      </c>
      <c r="Q1585" t="n">
        <v>0</v>
      </c>
      <c r="R1585" t="inlineStr">
        <is>
          <t>T1566:Phishing | T1566.002:Spearphishing Link</t>
        </is>
      </c>
      <c r="S1585" t="n">
        <v>1</v>
      </c>
      <c r="T1585" t="inlineStr">
        <is>
          <t>LOW (40%)</t>
        </is>
      </c>
      <c r="U1585" t="inlineStr">
        <is>
          <t>NONE</t>
        </is>
      </c>
      <c r="V1585" t="inlineStr">
        <is>
          <t>NONE</t>
        </is>
      </c>
      <c r="W1585" t="inlineStr">
        <is>
          <t>https://naveen-gudiwada.github.io/Netflix-Clone</t>
        </is>
      </c>
      <c r="X1585" t="inlineStr">
        <is>
          <t>NONE</t>
        </is>
      </c>
      <c r="Y1585" t="n">
        <v>0</v>
      </c>
      <c r="Z1585" t="inlineStr"/>
      <c r="AA1585" t="inlineStr">
        <is>
          <t>https://naveen-gudiwada.github.io/Netflix-Clone</t>
        </is>
      </c>
    </row>
    <row r="1586">
      <c r="A1586" t="inlineStr">
        <is>
          <t>PHISH</t>
        </is>
      </c>
      <c r="B1586" t="inlineStr"/>
      <c r="C1586" t="inlineStr">
        <is>
          <t>Phishing site targeting: ledgerlivelogn--selct.webflow.io | URL: http://ledgerlivelogn--selct.webflow.io/</t>
        </is>
      </c>
      <c r="D1586" t="n">
        <v>6</v>
      </c>
      <c r="E1586" t="inlineStr">
        <is>
          <t>MEDIUM</t>
        </is>
      </c>
      <c r="F1586" t="n">
        <v>3</v>
      </c>
      <c r="G1586" t="n">
        <v>1</v>
      </c>
      <c r="H1586" t="inlineStr">
        <is>
          <t>MEDIUM</t>
        </is>
      </c>
      <c r="I1586" t="n">
        <v>9</v>
      </c>
      <c r="J1586" t="inlineStr">
        <is>
          <t>NO</t>
        </is>
      </c>
      <c r="K1586" t="inlineStr">
        <is>
          <t>2026-02-25T22:13:13+00:00</t>
        </is>
      </c>
      <c r="L1586" t="inlineStr">
        <is>
          <t>Block URL</t>
        </is>
      </c>
      <c r="M1586" t="inlineStr">
        <is>
          <t>Email users / ledgerlivelogn--selct.webflow.io</t>
        </is>
      </c>
      <c r="N1586" t="inlineStr">
        <is>
          <t>P4</t>
        </is>
      </c>
      <c r="O1586" t="inlineStr">
        <is>
          <t>Phishing URL</t>
        </is>
      </c>
      <c r="P1586" t="n">
        <v>0</v>
      </c>
      <c r="Q1586" t="n">
        <v>0</v>
      </c>
      <c r="R1586" t="inlineStr">
        <is>
          <t>T1566:Phishing | T1566.002:Spearphishing Link</t>
        </is>
      </c>
      <c r="S1586" t="n">
        <v>1</v>
      </c>
      <c r="T1586" t="inlineStr">
        <is>
          <t>LOW (40%)</t>
        </is>
      </c>
      <c r="U1586" t="inlineStr">
        <is>
          <t>NONE</t>
        </is>
      </c>
      <c r="V1586" t="inlineStr">
        <is>
          <t>NONE</t>
        </is>
      </c>
      <c r="W1586" t="inlineStr">
        <is>
          <t>http://ledgerlivelogn--selct.webflow.io/</t>
        </is>
      </c>
      <c r="X1586" t="inlineStr">
        <is>
          <t>NONE</t>
        </is>
      </c>
      <c r="Y1586" t="n">
        <v>0</v>
      </c>
      <c r="Z1586" t="inlineStr"/>
      <c r="AA1586" t="inlineStr">
        <is>
          <t>http://ledgerlivelogn--selct.webflow.io/</t>
        </is>
      </c>
    </row>
    <row r="1587">
      <c r="A1587" t="inlineStr">
        <is>
          <t>PHISH</t>
        </is>
      </c>
      <c r="B1587" t="inlineStr"/>
      <c r="C1587" t="inlineStr">
        <is>
          <t>Phishing site targeting: jain-ishita-45.github.io | URL: http://jain-ishita-45.github.io/netflix_clone</t>
        </is>
      </c>
      <c r="D1587" t="n">
        <v>6</v>
      </c>
      <c r="E1587" t="inlineStr">
        <is>
          <t>MEDIUM</t>
        </is>
      </c>
      <c r="F1587" t="n">
        <v>3</v>
      </c>
      <c r="G1587" t="n">
        <v>1</v>
      </c>
      <c r="H1587" t="inlineStr">
        <is>
          <t>MEDIUM</t>
        </is>
      </c>
      <c r="I1587" t="n">
        <v>9</v>
      </c>
      <c r="J1587" t="inlineStr">
        <is>
          <t>NO</t>
        </is>
      </c>
      <c r="K1587" t="inlineStr">
        <is>
          <t>2026-02-25T22:13:13+00:00</t>
        </is>
      </c>
      <c r="L1587" t="inlineStr">
        <is>
          <t>Block URL</t>
        </is>
      </c>
      <c r="M1587" t="inlineStr">
        <is>
          <t>Email users / jain-ishita-45.github.io</t>
        </is>
      </c>
      <c r="N1587" t="inlineStr">
        <is>
          <t>P4</t>
        </is>
      </c>
      <c r="O1587" t="inlineStr">
        <is>
          <t>Phishing URL</t>
        </is>
      </c>
      <c r="P1587" t="n">
        <v>0</v>
      </c>
      <c r="Q1587" t="n">
        <v>0</v>
      </c>
      <c r="R1587" t="inlineStr">
        <is>
          <t>T1566:Phishing | T1566.002:Spearphishing Link</t>
        </is>
      </c>
      <c r="S1587" t="n">
        <v>1</v>
      </c>
      <c r="T1587" t="inlineStr">
        <is>
          <t>LOW (40%)</t>
        </is>
      </c>
      <c r="U1587" t="inlineStr">
        <is>
          <t>NONE</t>
        </is>
      </c>
      <c r="V1587" t="inlineStr">
        <is>
          <t>NONE</t>
        </is>
      </c>
      <c r="W1587" t="inlineStr">
        <is>
          <t>http://jain-ishita-45.github.io/netflix_clone</t>
        </is>
      </c>
      <c r="X1587" t="inlineStr">
        <is>
          <t>NONE</t>
        </is>
      </c>
      <c r="Y1587" t="n">
        <v>0</v>
      </c>
      <c r="Z1587" t="inlineStr"/>
      <c r="AA1587" t="inlineStr">
        <is>
          <t>http://jain-ishita-45.github.io/netflix_clone</t>
        </is>
      </c>
    </row>
    <row r="1588">
      <c r="A1588" t="inlineStr">
        <is>
          <t>PHISH</t>
        </is>
      </c>
      <c r="B1588" t="inlineStr"/>
      <c r="C1588" t="inlineStr">
        <is>
          <t>Phishing site targeting: roblox.com.py | URL: https://roblox.com.py/users/6708440705/profile</t>
        </is>
      </c>
      <c r="D1588" t="n">
        <v>6</v>
      </c>
      <c r="E1588" t="inlineStr">
        <is>
          <t>MEDIUM</t>
        </is>
      </c>
      <c r="F1588" t="n">
        <v>3</v>
      </c>
      <c r="G1588" t="n">
        <v>1</v>
      </c>
      <c r="H1588" t="inlineStr">
        <is>
          <t>MEDIUM</t>
        </is>
      </c>
      <c r="I1588" t="n">
        <v>9</v>
      </c>
      <c r="J1588" t="inlineStr">
        <is>
          <t>NO</t>
        </is>
      </c>
      <c r="K1588" t="inlineStr">
        <is>
          <t>2026-02-25T22:13:13+00:00</t>
        </is>
      </c>
      <c r="L1588" t="inlineStr">
        <is>
          <t>Block URL</t>
        </is>
      </c>
      <c r="M1588" t="inlineStr">
        <is>
          <t>Email users / roblox.com.py</t>
        </is>
      </c>
      <c r="N1588" t="inlineStr">
        <is>
          <t>P4</t>
        </is>
      </c>
      <c r="O1588" t="inlineStr">
        <is>
          <t>Phishing URL</t>
        </is>
      </c>
      <c r="P1588" t="n">
        <v>0</v>
      </c>
      <c r="Q1588" t="n">
        <v>0</v>
      </c>
      <c r="R1588" t="inlineStr">
        <is>
          <t>T1566:Phishing | T1566.002:Spearphishing Link</t>
        </is>
      </c>
      <c r="S1588" t="n">
        <v>1</v>
      </c>
      <c r="T1588" t="inlineStr">
        <is>
          <t>LOW (40%)</t>
        </is>
      </c>
      <c r="U1588" t="inlineStr">
        <is>
          <t>NONE</t>
        </is>
      </c>
      <c r="V1588" t="inlineStr">
        <is>
          <t>NONE</t>
        </is>
      </c>
      <c r="W1588" t="inlineStr">
        <is>
          <t>https://roblox.com.py/users/6708440705/profile</t>
        </is>
      </c>
      <c r="X1588" t="inlineStr">
        <is>
          <t>NONE</t>
        </is>
      </c>
      <c r="Y1588" t="n">
        <v>0</v>
      </c>
      <c r="Z1588" t="inlineStr"/>
      <c r="AA1588" t="inlineStr">
        <is>
          <t>https://roblox.com.py/users/6708440705/profile</t>
        </is>
      </c>
    </row>
    <row r="1589">
      <c r="A1589" t="inlineStr">
        <is>
          <t>PHISH</t>
        </is>
      </c>
      <c r="B1589" t="inlineStr"/>
      <c r="C1589" t="inlineStr">
        <is>
          <t>Phishing site targeting: roblox.com.py | URL: https://roblox.com.py/users/73434891/profile</t>
        </is>
      </c>
      <c r="D1589" t="n">
        <v>6</v>
      </c>
      <c r="E1589" t="inlineStr">
        <is>
          <t>MEDIUM</t>
        </is>
      </c>
      <c r="F1589" t="n">
        <v>3</v>
      </c>
      <c r="G1589" t="n">
        <v>1</v>
      </c>
      <c r="H1589" t="inlineStr">
        <is>
          <t>MEDIUM</t>
        </is>
      </c>
      <c r="I1589" t="n">
        <v>9</v>
      </c>
      <c r="J1589" t="inlineStr">
        <is>
          <t>NO</t>
        </is>
      </c>
      <c r="K1589" t="inlineStr">
        <is>
          <t>2026-02-25T22:13:13+00:00</t>
        </is>
      </c>
      <c r="L1589" t="inlineStr">
        <is>
          <t>Block URL</t>
        </is>
      </c>
      <c r="M1589" t="inlineStr">
        <is>
          <t>Email users / roblox.com.py</t>
        </is>
      </c>
      <c r="N1589" t="inlineStr">
        <is>
          <t>P4</t>
        </is>
      </c>
      <c r="O1589" t="inlineStr">
        <is>
          <t>Phishing URL</t>
        </is>
      </c>
      <c r="P1589" t="n">
        <v>0</v>
      </c>
      <c r="Q1589" t="n">
        <v>0</v>
      </c>
      <c r="R1589" t="inlineStr">
        <is>
          <t>T1566:Phishing | T1566.002:Spearphishing Link</t>
        </is>
      </c>
      <c r="S1589" t="n">
        <v>1</v>
      </c>
      <c r="T1589" t="inlineStr">
        <is>
          <t>LOW (40%)</t>
        </is>
      </c>
      <c r="U1589" t="inlineStr">
        <is>
          <t>NONE</t>
        </is>
      </c>
      <c r="V1589" t="inlineStr">
        <is>
          <t>NONE</t>
        </is>
      </c>
      <c r="W1589" t="inlineStr">
        <is>
          <t>https://roblox.com.py/users/73434891/profile</t>
        </is>
      </c>
      <c r="X1589" t="inlineStr">
        <is>
          <t>NONE</t>
        </is>
      </c>
      <c r="Y1589" t="n">
        <v>0</v>
      </c>
      <c r="Z1589" t="inlineStr"/>
      <c r="AA1589" t="inlineStr">
        <is>
          <t>https://roblox.com.py/users/73434891/profile</t>
        </is>
      </c>
    </row>
    <row r="1590">
      <c r="A1590" t="inlineStr">
        <is>
          <t>PHISH</t>
        </is>
      </c>
      <c r="B1590" t="inlineStr"/>
      <c r="C1590" t="inlineStr">
        <is>
          <t>Phishing site targeting: roblox.com.py | URL: https://roblox.com.py/users/4460735874/profile</t>
        </is>
      </c>
      <c r="D1590" t="n">
        <v>6</v>
      </c>
      <c r="E1590" t="inlineStr">
        <is>
          <t>MEDIUM</t>
        </is>
      </c>
      <c r="F1590" t="n">
        <v>3</v>
      </c>
      <c r="G1590" t="n">
        <v>1</v>
      </c>
      <c r="H1590" t="inlineStr">
        <is>
          <t>MEDIUM</t>
        </is>
      </c>
      <c r="I1590" t="n">
        <v>9</v>
      </c>
      <c r="J1590" t="inlineStr">
        <is>
          <t>NO</t>
        </is>
      </c>
      <c r="K1590" t="inlineStr">
        <is>
          <t>2026-02-25T22:13:13+00:00</t>
        </is>
      </c>
      <c r="L1590" t="inlineStr">
        <is>
          <t>Block URL</t>
        </is>
      </c>
      <c r="M1590" t="inlineStr">
        <is>
          <t>Email users / roblox.com.py</t>
        </is>
      </c>
      <c r="N1590" t="inlineStr">
        <is>
          <t>P4</t>
        </is>
      </c>
      <c r="O1590" t="inlineStr">
        <is>
          <t>Phishing URL</t>
        </is>
      </c>
      <c r="P1590" t="n">
        <v>0</v>
      </c>
      <c r="Q1590" t="n">
        <v>0</v>
      </c>
      <c r="R1590" t="inlineStr">
        <is>
          <t>T1566:Phishing | T1566.002:Spearphishing Link</t>
        </is>
      </c>
      <c r="S1590" t="n">
        <v>1</v>
      </c>
      <c r="T1590" t="inlineStr">
        <is>
          <t>LOW (40%)</t>
        </is>
      </c>
      <c r="U1590" t="inlineStr">
        <is>
          <t>NONE</t>
        </is>
      </c>
      <c r="V1590" t="inlineStr">
        <is>
          <t>NONE</t>
        </is>
      </c>
      <c r="W1590" t="inlineStr">
        <is>
          <t>https://roblox.com.py/users/4460735874/profile</t>
        </is>
      </c>
      <c r="X1590" t="inlineStr">
        <is>
          <t>NONE</t>
        </is>
      </c>
      <c r="Y1590" t="n">
        <v>0</v>
      </c>
      <c r="Z1590" t="inlineStr"/>
      <c r="AA1590" t="inlineStr">
        <is>
          <t>https://roblox.com.py/users/4460735874/profile</t>
        </is>
      </c>
    </row>
    <row r="1591">
      <c r="A1591" t="inlineStr">
        <is>
          <t>PHISH</t>
        </is>
      </c>
      <c r="B1591" t="inlineStr"/>
      <c r="C1591" t="inlineStr">
        <is>
          <t>Phishing site targeting: www.roblox.com.py | URL: https://www.roblox.com.py/upgrades/robux?ctx=navpopover</t>
        </is>
      </c>
      <c r="D1591" t="n">
        <v>6</v>
      </c>
      <c r="E1591" t="inlineStr">
        <is>
          <t>MEDIUM</t>
        </is>
      </c>
      <c r="F1591" t="n">
        <v>3</v>
      </c>
      <c r="G1591" t="n">
        <v>1</v>
      </c>
      <c r="H1591" t="inlineStr">
        <is>
          <t>MEDIUM</t>
        </is>
      </c>
      <c r="I1591" t="n">
        <v>9</v>
      </c>
      <c r="J1591" t="inlineStr">
        <is>
          <t>NO</t>
        </is>
      </c>
      <c r="K1591" t="inlineStr">
        <is>
          <t>2026-02-25T22:13:13+00:00</t>
        </is>
      </c>
      <c r="L1591" t="inlineStr">
        <is>
          <t>Block URL</t>
        </is>
      </c>
      <c r="M1591" t="inlineStr">
        <is>
          <t>Email users / www.roblox.com.py</t>
        </is>
      </c>
      <c r="N1591" t="inlineStr">
        <is>
          <t>P4</t>
        </is>
      </c>
      <c r="O1591" t="inlineStr">
        <is>
          <t>Phishing URL</t>
        </is>
      </c>
      <c r="P1591" t="n">
        <v>0</v>
      </c>
      <c r="Q1591" t="n">
        <v>0</v>
      </c>
      <c r="R1591" t="inlineStr">
        <is>
          <t>T1566:Phishing | T1566.002:Spearphishing Link</t>
        </is>
      </c>
      <c r="S1591" t="n">
        <v>1</v>
      </c>
      <c r="T1591" t="inlineStr">
        <is>
          <t>LOW (40%)</t>
        </is>
      </c>
      <c r="U1591" t="inlineStr">
        <is>
          <t>NONE</t>
        </is>
      </c>
      <c r="V1591" t="inlineStr">
        <is>
          <t>NONE</t>
        </is>
      </c>
      <c r="W1591" t="inlineStr">
        <is>
          <t>https://www.roblox.com.py/upgrades/robux?ctx=navpopover</t>
        </is>
      </c>
      <c r="X1591" t="inlineStr">
        <is>
          <t>NONE</t>
        </is>
      </c>
      <c r="Y1591" t="n">
        <v>0</v>
      </c>
      <c r="Z1591" t="inlineStr"/>
      <c r="AA1591" t="inlineStr">
        <is>
          <t>https://www.roblox.com.py/upgrades/robux?ctx=navpopover</t>
        </is>
      </c>
    </row>
    <row r="1592">
      <c r="A1592" t="inlineStr">
        <is>
          <t>OTX_PULSE</t>
        </is>
      </c>
      <c r="B1592" t="inlineStr">
        <is>
          <t>699f5536e9f0860107bbaba7</t>
        </is>
      </c>
      <c r="C1592" t="inlineStr">
        <is>
          <t>Unmasking Agent Tesla: A Deep Dive into a Multi-Stage Campaign: This analysis examines a sophisticated multi-stage infection chain utilizing Agent Tesla malware. The attack begins with a phishing email containing a RAR file, which includes an obfuscated JSE file. This initial stage triggers a series of script-based evasions, leading to the download and decryption of a PowerShell script. The malware then employs process hollowing to inject its payload into a legitimate Windows process, evading de</t>
        </is>
      </c>
      <c r="D1592" t="n">
        <v>7</v>
      </c>
      <c r="E1592" t="inlineStr">
        <is>
          <t>HIGH</t>
        </is>
      </c>
      <c r="F1592" t="n">
        <v>3</v>
      </c>
      <c r="G1592" t="n">
        <v>2</v>
      </c>
      <c r="H1592" t="inlineStr">
        <is>
          <t>HIGH</t>
        </is>
      </c>
      <c r="I1592" t="n">
        <v>13</v>
      </c>
      <c r="J1592" t="inlineStr">
        <is>
          <t>NO</t>
        </is>
      </c>
      <c r="K1592" t="inlineStr">
        <is>
          <t>2026-02-25T20:01:58.886000</t>
        </is>
      </c>
      <c r="L1592" t="inlineStr">
        <is>
          <t>SEE_PULSE</t>
        </is>
      </c>
      <c r="M1592" t="inlineStr">
        <is>
          <t>credential harvesting, smtp, data exfiltration, anti-analysis, phishing, process hollowing, in-memory execution, agent tesla, multi-stage attack</t>
        </is>
      </c>
      <c r="N1592" t="inlineStr">
        <is>
          <t>P3</t>
        </is>
      </c>
      <c r="O1592" t="inlineStr">
        <is>
          <t>OTX Pulse - check IP IOCs separately</t>
        </is>
      </c>
      <c r="P1592" t="n">
        <v>0</v>
      </c>
      <c r="Q1592" t="n">
        <v>0</v>
      </c>
      <c r="R1592" t="inlineStr">
        <is>
          <t>See OTX pulse tags</t>
        </is>
      </c>
      <c r="S1592" t="n">
        <v>1</v>
      </c>
      <c r="T1592" t="inlineStr">
        <is>
          <t>LOW (40%)</t>
        </is>
      </c>
      <c r="U1592" t="inlineStr">
        <is>
          <t>NONE</t>
        </is>
      </c>
      <c r="V1592" t="inlineStr">
        <is>
          <t>NONE</t>
        </is>
      </c>
      <c r="W1592" t="inlineStr">
        <is>
          <t>NONE</t>
        </is>
      </c>
      <c r="X1592" t="inlineStr">
        <is>
          <t>NONE</t>
        </is>
      </c>
      <c r="Y1592" t="n">
        <v>0</v>
      </c>
      <c r="Z1592" t="inlineStr"/>
      <c r="AA1592" t="inlineStr">
        <is>
          <t>https://www.fortinet.com/blog/threat-research/unmasking-agent-tesla-deep-dive-into-multi-stage-campaign</t>
        </is>
      </c>
    </row>
    <row r="1593">
      <c r="A1593" t="inlineStr">
        <is>
          <t>OTX_PULSE</t>
        </is>
      </c>
      <c r="B1593" t="inlineStr">
        <is>
          <t>6894566bd94b79b7fbdbade1</t>
        </is>
      </c>
      <c r="C1593" t="inlineStr">
        <is>
          <t>Infrastructure of Interest: Medium Confidence InfoStealer: These indicators of compromise (IOCs) were identified through LevelBlue Labs' proprietary collection and threat hunting processes, leveraging AI-driven heuristics to detect anomalous patterns, behavioral analysis of malicious activity, and cross-referenced intelligence from endpoint telemetry and external sources. The IOCs included in this pulse are associated with infostealer malware, designed to harvest sensitive data such as credentia</t>
        </is>
      </c>
      <c r="D1593" t="n">
        <v>7</v>
      </c>
      <c r="E1593" t="inlineStr">
        <is>
          <t>HIGH</t>
        </is>
      </c>
      <c r="F1593" t="n">
        <v>3</v>
      </c>
      <c r="G1593" t="n">
        <v>2</v>
      </c>
      <c r="H1593" t="inlineStr">
        <is>
          <t>HIGH</t>
        </is>
      </c>
      <c r="I1593" t="n">
        <v>13</v>
      </c>
      <c r="J1593" t="inlineStr">
        <is>
          <t>NO</t>
        </is>
      </c>
      <c r="K1593" t="inlineStr">
        <is>
          <t>2025-08-07T07:31:55.617000</t>
        </is>
      </c>
      <c r="L1593" t="inlineStr">
        <is>
          <t>SEE_PULSE</t>
        </is>
      </c>
      <c r="M1593" t="inlineStr">
        <is>
          <t>Various</t>
        </is>
      </c>
      <c r="N1593" t="inlineStr">
        <is>
          <t>P3</t>
        </is>
      </c>
      <c r="O1593" t="inlineStr">
        <is>
          <t>OTX Pulse - check IP IOCs separately</t>
        </is>
      </c>
      <c r="P1593" t="n">
        <v>0</v>
      </c>
      <c r="Q1593" t="n">
        <v>0</v>
      </c>
      <c r="R1593" t="inlineStr">
        <is>
          <t>See OTX pulse tags</t>
        </is>
      </c>
      <c r="S1593" t="n">
        <v>1</v>
      </c>
      <c r="T1593" t="inlineStr">
        <is>
          <t>LOW (40%)</t>
        </is>
      </c>
      <c r="U1593" t="inlineStr">
        <is>
          <t>NONE</t>
        </is>
      </c>
      <c r="V1593" t="inlineStr">
        <is>
          <t>NONE</t>
        </is>
      </c>
      <c r="W1593" t="inlineStr">
        <is>
          <t>NONE</t>
        </is>
      </c>
      <c r="X1593" t="inlineStr">
        <is>
          <t>NONE</t>
        </is>
      </c>
      <c r="Y1593" t="n">
        <v>0</v>
      </c>
      <c r="Z1593" t="inlineStr"/>
      <c r="AA1593" t="inlineStr">
        <is>
          <t>https://otx.alienvault.com</t>
        </is>
      </c>
    </row>
    <row r="1594">
      <c r="A1594" t="inlineStr">
        <is>
          <t>OTX_PULSE</t>
        </is>
      </c>
      <c r="B1594" t="inlineStr">
        <is>
          <t>689455e11e25236fe810364b</t>
        </is>
      </c>
      <c r="C1594" t="inlineStr">
        <is>
          <t>Infrastructure of Interest: Medium Confidence Command And Control: These indicators of compromise (IOCs) were identified through LevelBlue Labs' proprietary collection and threat hunting processes, leveraging AI-driven heuristics to detect anomalous patterns, behavioral analysis of malicious activity, and cross-referenced intelligence from endpoint telemetry and external sources. The IOCs included in this pulse are associated with command and control (C2) infrastructure, facilitating malware com</t>
        </is>
      </c>
      <c r="D1594" t="n">
        <v>7</v>
      </c>
      <c r="E1594" t="inlineStr">
        <is>
          <t>HIGH</t>
        </is>
      </c>
      <c r="F1594" t="n">
        <v>3</v>
      </c>
      <c r="G1594" t="n">
        <v>2</v>
      </c>
      <c r="H1594" t="inlineStr">
        <is>
          <t>HIGH</t>
        </is>
      </c>
      <c r="I1594" t="n">
        <v>13</v>
      </c>
      <c r="J1594" t="inlineStr">
        <is>
          <t>NO</t>
        </is>
      </c>
      <c r="K1594" t="inlineStr">
        <is>
          <t>2025-08-07T07:29:37.542000</t>
        </is>
      </c>
      <c r="L1594" t="inlineStr">
        <is>
          <t>SEE_PULSE</t>
        </is>
      </c>
      <c r="M1594" t="inlineStr">
        <is>
          <t>Various</t>
        </is>
      </c>
      <c r="N1594" t="inlineStr">
        <is>
          <t>P3</t>
        </is>
      </c>
      <c r="O1594" t="inlineStr">
        <is>
          <t>OTX Pulse - check IP IOCs separately</t>
        </is>
      </c>
      <c r="P1594" t="n">
        <v>0</v>
      </c>
      <c r="Q1594" t="n">
        <v>0</v>
      </c>
      <c r="R1594" t="inlineStr">
        <is>
          <t>See OTX pulse tags</t>
        </is>
      </c>
      <c r="S1594" t="n">
        <v>1</v>
      </c>
      <c r="T1594" t="inlineStr">
        <is>
          <t>LOW (40%)</t>
        </is>
      </c>
      <c r="U1594" t="inlineStr">
        <is>
          <t>NONE</t>
        </is>
      </c>
      <c r="V1594" t="inlineStr">
        <is>
          <t>NONE</t>
        </is>
      </c>
      <c r="W1594" t="inlineStr">
        <is>
          <t>NONE</t>
        </is>
      </c>
      <c r="X1594" t="inlineStr">
        <is>
          <t>NONE</t>
        </is>
      </c>
      <c r="Y1594" t="n">
        <v>0</v>
      </c>
      <c r="Z1594" t="inlineStr"/>
      <c r="AA1594" t="inlineStr">
        <is>
          <t>https://otx.alienvault.com</t>
        </is>
      </c>
    </row>
    <row r="1595">
      <c r="A1595" t="inlineStr">
        <is>
          <t>OTX_PULSE</t>
        </is>
      </c>
      <c r="B1595" t="inlineStr">
        <is>
          <t>689453a1603f3d4b93557f2a</t>
        </is>
      </c>
      <c r="C1595" t="inlineStr">
        <is>
          <t>Infrastructure of Interest: Medium Confidence Phishing: These indicators of compromise (IOCs) were identified through LevelBlue Labs' proprietary collection and threat hunting processes, leveraging AI-driven heuristics to detect anomalous patterns, behavioral analysis of malicious activity, and cross-referenced intelligence from endpoint telemetry and external sources. The IOCs included in this pulse are associated with phishing campaigns, targeting credential theft and fraudulent resource acces</t>
        </is>
      </c>
      <c r="D1595" t="n">
        <v>7</v>
      </c>
      <c r="E1595" t="inlineStr">
        <is>
          <t>HIGH</t>
        </is>
      </c>
      <c r="F1595" t="n">
        <v>3</v>
      </c>
      <c r="G1595" t="n">
        <v>2</v>
      </c>
      <c r="H1595" t="inlineStr">
        <is>
          <t>HIGH</t>
        </is>
      </c>
      <c r="I1595" t="n">
        <v>13</v>
      </c>
      <c r="J1595" t="inlineStr">
        <is>
          <t>NO</t>
        </is>
      </c>
      <c r="K1595" t="inlineStr">
        <is>
          <t>2025-08-07T07:20:01.253000</t>
        </is>
      </c>
      <c r="L1595" t="inlineStr">
        <is>
          <t>SEE_PULSE</t>
        </is>
      </c>
      <c r="M1595" t="inlineStr">
        <is>
          <t>Various</t>
        </is>
      </c>
      <c r="N1595" t="inlineStr">
        <is>
          <t>P3</t>
        </is>
      </c>
      <c r="O1595" t="inlineStr">
        <is>
          <t>OTX Pulse - check IP IOCs separately</t>
        </is>
      </c>
      <c r="P1595" t="n">
        <v>0</v>
      </c>
      <c r="Q1595" t="n">
        <v>0</v>
      </c>
      <c r="R1595" t="inlineStr">
        <is>
          <t>See OTX pulse tags</t>
        </is>
      </c>
      <c r="S1595" t="n">
        <v>1</v>
      </c>
      <c r="T1595" t="inlineStr">
        <is>
          <t>LOW (40%)</t>
        </is>
      </c>
      <c r="U1595" t="inlineStr">
        <is>
          <t>NONE</t>
        </is>
      </c>
      <c r="V1595" t="inlineStr">
        <is>
          <t>NONE</t>
        </is>
      </c>
      <c r="W1595" t="inlineStr">
        <is>
          <t>NONE</t>
        </is>
      </c>
      <c r="X1595" t="inlineStr">
        <is>
          <t>NONE</t>
        </is>
      </c>
      <c r="Y1595" t="n">
        <v>0</v>
      </c>
      <c r="Z1595" t="inlineStr"/>
      <c r="AA1595" t="inlineStr">
        <is>
          <t>https://otx.alienvault.com</t>
        </is>
      </c>
    </row>
    <row r="1596">
      <c r="A1596" t="inlineStr">
        <is>
          <t>OTX_PULSE</t>
        </is>
      </c>
      <c r="B1596" t="inlineStr">
        <is>
          <t>69778aef872cffc134e67ace</t>
        </is>
      </c>
      <c r="C1596" t="inlineStr">
        <is>
          <t>Chrome Extensions: Are you getting more than you bargained for?: This analysis reveals the hidden dangers of certain Chrome extensions available on the Google Chrome Web Store. Despite the store's vetting process, some malicious extensions have slipped through, compromising user security. The study examines four examples of extensions with combined user bases exceeding 100,000, showcasing various security risks. These include undisclosed clipboard access to remote domains, data exfiltration, rem</t>
        </is>
      </c>
      <c r="D1596" t="n">
        <v>7</v>
      </c>
      <c r="E1596" t="inlineStr">
        <is>
          <t>HIGH</t>
        </is>
      </c>
      <c r="F1596" t="n">
        <v>3</v>
      </c>
      <c r="G1596" t="n">
        <v>2</v>
      </c>
      <c r="H1596" t="inlineStr">
        <is>
          <t>HIGH</t>
        </is>
      </c>
      <c r="I1596" t="n">
        <v>13</v>
      </c>
      <c r="J1596" t="inlineStr">
        <is>
          <t>NO</t>
        </is>
      </c>
      <c r="K1596" t="inlineStr">
        <is>
          <t>2026-01-26T15:40:31.078000</t>
        </is>
      </c>
      <c r="L1596" t="inlineStr">
        <is>
          <t>SEE_PULSE</t>
        </is>
      </c>
      <c r="M1596" t="inlineStr">
        <is>
          <t>data exfiltration, malicious extensions, xss vulnerability, security risks, cve-2020-28707, search hijacking, chrome extensions, remote code execution, clipboard access</t>
        </is>
      </c>
      <c r="N1596" t="inlineStr">
        <is>
          <t>P3</t>
        </is>
      </c>
      <c r="O1596" t="inlineStr">
        <is>
          <t>OTX Pulse - check IP IOCs separately</t>
        </is>
      </c>
      <c r="P1596" t="n">
        <v>0</v>
      </c>
      <c r="Q1596" t="n">
        <v>0</v>
      </c>
      <c r="R1596" t="inlineStr">
        <is>
          <t>See OTX pulse tags</t>
        </is>
      </c>
      <c r="S1596" t="n">
        <v>1</v>
      </c>
      <c r="T1596" t="inlineStr">
        <is>
          <t>LOW (40%)</t>
        </is>
      </c>
      <c r="U1596" t="inlineStr">
        <is>
          <t>NONE</t>
        </is>
      </c>
      <c r="V1596" t="inlineStr">
        <is>
          <t>NONE</t>
        </is>
      </c>
      <c r="W1596" t="inlineStr">
        <is>
          <t>NONE</t>
        </is>
      </c>
      <c r="X1596" t="inlineStr">
        <is>
          <t>NONE</t>
        </is>
      </c>
      <c r="Y1596" t="n">
        <v>0</v>
      </c>
      <c r="Z1596" t="inlineStr"/>
      <c r="AA1596" t="inlineStr">
        <is>
          <t>https://www.security.com/threat-intelligence/chrome-extensions-are-you-getting-more-you-bargained</t>
        </is>
      </c>
    </row>
    <row r="1597">
      <c r="A1597" t="inlineStr">
        <is>
          <t>OTX_PULSE</t>
        </is>
      </c>
      <c r="B1597" t="inlineStr">
        <is>
          <t>69777a203745e70e7425106f</t>
        </is>
      </c>
      <c r="C1597" t="inlineStr">
        <is>
          <t xml:space="preserve">Malware MoonPeak Executed via LNK Files: In January 2026, IIJ observed malicious LNK files targeting Korean users to execute the MoonPeak malware, attributed to North Korean threat actors. The infection chain begins with a LNK file that runs an obfuscated PowerShell script, which checks for analysis environments, creates additional scripts, and sets up persistence. The second stage downloads and executes a payload from GitHub, which is actually the MoonPeak malware. MoonPeak is obfuscated using </t>
        </is>
      </c>
      <c r="D1597" t="n">
        <v>7</v>
      </c>
      <c r="E1597" t="inlineStr">
        <is>
          <t>HIGH</t>
        </is>
      </c>
      <c r="F1597" t="n">
        <v>3</v>
      </c>
      <c r="G1597" t="n">
        <v>2</v>
      </c>
      <c r="H1597" t="inlineStr">
        <is>
          <t>HIGH</t>
        </is>
      </c>
      <c r="I1597" t="n">
        <v>13</v>
      </c>
      <c r="J1597" t="inlineStr">
        <is>
          <t>NO</t>
        </is>
      </c>
      <c r="K1597" t="inlineStr">
        <is>
          <t>2026-01-26T14:28:48.027000</t>
        </is>
      </c>
      <c r="L1597" t="inlineStr">
        <is>
          <t>SEE_PULSE</t>
        </is>
      </c>
      <c r="M1597" t="inlineStr">
        <is>
          <t>lots, korea, persistence, github, lnk files, xenorat, powershell, moonpeak, confuserex</t>
        </is>
      </c>
      <c r="N1597" t="inlineStr">
        <is>
          <t>P3</t>
        </is>
      </c>
      <c r="O1597" t="inlineStr">
        <is>
          <t>OTX Pulse - check IP IOCs separately</t>
        </is>
      </c>
      <c r="P1597" t="n">
        <v>0</v>
      </c>
      <c r="Q1597" t="n">
        <v>0</v>
      </c>
      <c r="R1597" t="inlineStr">
        <is>
          <t>See OTX pulse tags</t>
        </is>
      </c>
      <c r="S1597" t="n">
        <v>1</v>
      </c>
      <c r="T1597" t="inlineStr">
        <is>
          <t>LOW (40%)</t>
        </is>
      </c>
      <c r="U1597" t="inlineStr">
        <is>
          <t>NONE</t>
        </is>
      </c>
      <c r="V1597" t="inlineStr">
        <is>
          <t>NONE</t>
        </is>
      </c>
      <c r="W1597" t="inlineStr">
        <is>
          <t>NONE</t>
        </is>
      </c>
      <c r="X1597" t="inlineStr">
        <is>
          <t>NONE</t>
        </is>
      </c>
      <c r="Y1597" t="n">
        <v>0</v>
      </c>
      <c r="Z1597" t="inlineStr"/>
      <c r="AA1597" t="inlineStr">
        <is>
          <t>https://sect.iij.ad.jp/blog/2026/01/dprk-moonpeak-executed-via-malicious-lnk-file</t>
        </is>
      </c>
    </row>
    <row r="1598">
      <c r="A1598" t="inlineStr">
        <is>
          <t>OTX_PULSE</t>
        </is>
      </c>
      <c r="B1598" t="inlineStr">
        <is>
          <t>699ee10d4bfa4e5fcf71399d</t>
        </is>
      </c>
      <c r="C1598" t="inlineStr">
        <is>
          <t>Inside the Fix: Analysis of In-the-Wild Exploit of CVE-2026-21513: This analysis examines CVE-2026-21513, a security bypass vulnerability in Microsoft's MSHTML framework, patched in February 2026. The flaw, actively exploited by Russian state-sponsored actor APT28, affects all Windows versions and has a CVSS score of 8.8. Using PatchDiff-AI, researchers identified the root cause in ieframe.dll's hyperlink navigation handling, allowing arbitrary file execution outside the browser's security conte</t>
        </is>
      </c>
      <c r="D1598" t="n">
        <v>7</v>
      </c>
      <c r="E1598" t="inlineStr">
        <is>
          <t>HIGH</t>
        </is>
      </c>
      <c r="F1598" t="n">
        <v>3</v>
      </c>
      <c r="G1598" t="n">
        <v>2</v>
      </c>
      <c r="H1598" t="inlineStr">
        <is>
          <t>HIGH</t>
        </is>
      </c>
      <c r="I1598" t="n">
        <v>13</v>
      </c>
      <c r="J1598" t="inlineStr">
        <is>
          <t>NO</t>
        </is>
      </c>
      <c r="K1598" t="inlineStr">
        <is>
          <t>2026-02-25T11:46:21.970000</t>
        </is>
      </c>
      <c r="L1598" t="inlineStr">
        <is>
          <t>SEE_PULSE</t>
        </is>
      </c>
      <c r="M1598" t="inlineStr">
        <is>
          <t>exploit, patchdiff-ai, windows, ieframe.dll, cve-2026-21513, shellexecuteexw, mshtml, zero-day</t>
        </is>
      </c>
      <c r="N1598" t="inlineStr">
        <is>
          <t>P3</t>
        </is>
      </c>
      <c r="O1598" t="inlineStr">
        <is>
          <t>OTX Pulse - check IP IOCs separately</t>
        </is>
      </c>
      <c r="P1598" t="n">
        <v>0</v>
      </c>
      <c r="Q1598" t="n">
        <v>0</v>
      </c>
      <c r="R1598" t="inlineStr">
        <is>
          <t>See OTX pulse tags</t>
        </is>
      </c>
      <c r="S1598" t="n">
        <v>1</v>
      </c>
      <c r="T1598" t="inlineStr">
        <is>
          <t>LOW (40%)</t>
        </is>
      </c>
      <c r="U1598" t="inlineStr">
        <is>
          <t>NONE</t>
        </is>
      </c>
      <c r="V1598" t="inlineStr">
        <is>
          <t>NONE</t>
        </is>
      </c>
      <c r="W1598" t="inlineStr">
        <is>
          <t>NONE</t>
        </is>
      </c>
      <c r="X1598" t="inlineStr">
        <is>
          <t>NONE</t>
        </is>
      </c>
      <c r="Y1598" t="n">
        <v>0</v>
      </c>
      <c r="Z1598" t="inlineStr"/>
      <c r="AA1598" t="inlineStr">
        <is>
          <t>https://www.akamai.com/blog/security-research/2026/feb/inside-the-fix-cve-2026-21513-mshtml-exploit-analysis</t>
        </is>
      </c>
    </row>
    <row r="1599">
      <c r="A1599" t="inlineStr">
        <is>
          <t>OTX_PULSE</t>
        </is>
      </c>
      <c r="B1599" t="inlineStr">
        <is>
          <t>689456eba72f618e9d63e8dd</t>
        </is>
      </c>
      <c r="C1599" t="inlineStr">
        <is>
          <t>Infrastructure of Interest: Medium Confidence FastFlux: These indicators of compromise (IOCs) were identified through LevelBlue Labs' proprietary collection and threat hunting processes, leveraging AI-driven heuristics to detect anomalous DNS patterns, behavioral analysis of rapid IP rotation, and cross-referenced intelligence from global sinkhole data and network telemetry. The IOCs included in this pulse are associated with Fastflux networks, characterized by constantly changing IP addresses a</t>
        </is>
      </c>
      <c r="D1599" t="n">
        <v>7</v>
      </c>
      <c r="E1599" t="inlineStr">
        <is>
          <t>HIGH</t>
        </is>
      </c>
      <c r="F1599" t="n">
        <v>3</v>
      </c>
      <c r="G1599" t="n">
        <v>2</v>
      </c>
      <c r="H1599" t="inlineStr">
        <is>
          <t>HIGH</t>
        </is>
      </c>
      <c r="I1599" t="n">
        <v>13</v>
      </c>
      <c r="J1599" t="inlineStr">
        <is>
          <t>NO</t>
        </is>
      </c>
      <c r="K1599" t="inlineStr">
        <is>
          <t>2025-08-07T07:34:03.778000</t>
        </is>
      </c>
      <c r="L1599" t="inlineStr">
        <is>
          <t>SEE_PULSE</t>
        </is>
      </c>
      <c r="M1599" t="inlineStr">
        <is>
          <t>Various</t>
        </is>
      </c>
      <c r="N1599" t="inlineStr">
        <is>
          <t>P3</t>
        </is>
      </c>
      <c r="O1599" t="inlineStr">
        <is>
          <t>OTX Pulse - check IP IOCs separately</t>
        </is>
      </c>
      <c r="P1599" t="n">
        <v>0</v>
      </c>
      <c r="Q1599" t="n">
        <v>0</v>
      </c>
      <c r="R1599" t="inlineStr">
        <is>
          <t>See OTX pulse tags</t>
        </is>
      </c>
      <c r="S1599" t="n">
        <v>1</v>
      </c>
      <c r="T1599" t="inlineStr">
        <is>
          <t>LOW (40%)</t>
        </is>
      </c>
      <c r="U1599" t="inlineStr">
        <is>
          <t>NONE</t>
        </is>
      </c>
      <c r="V1599" t="inlineStr">
        <is>
          <t>NONE</t>
        </is>
      </c>
      <c r="W1599" t="inlineStr">
        <is>
          <t>NONE</t>
        </is>
      </c>
      <c r="X1599" t="inlineStr">
        <is>
          <t>NONE</t>
        </is>
      </c>
      <c r="Y1599" t="n">
        <v>0</v>
      </c>
      <c r="Z1599" t="inlineStr"/>
      <c r="AA1599" t="inlineStr">
        <is>
          <t>https://otx.alienvault.com</t>
        </is>
      </c>
    </row>
    <row r="1600">
      <c r="A1600" t="inlineStr">
        <is>
          <t>OTX_PULSE</t>
        </is>
      </c>
      <c r="B1600" t="inlineStr">
        <is>
          <t>699ede794dd30674f7d583d5</t>
        </is>
      </c>
      <c r="C1600" t="inlineStr">
        <is>
          <t>Mercenary Akula Hits Ukraine-Supporting Financial...: A European financial institution involved in regional development and reconstruction initiatives was targeted by a social engineering attack attributed to the Russia-aligned Mercenary Akula. The attack used a spoofed Ukrainian judicial domain to deliver an email containing a link to a remote access payload. The target was a senior legal and policy advisor involved in procurement. The attack employed a multi-stage extraction process and deploy</t>
        </is>
      </c>
      <c r="D1600" t="n">
        <v>7</v>
      </c>
      <c r="E1600" t="inlineStr">
        <is>
          <t>HIGH</t>
        </is>
      </c>
      <c r="F1600" t="n">
        <v>3</v>
      </c>
      <c r="G1600" t="n">
        <v>2</v>
      </c>
      <c r="H1600" t="inlineStr">
        <is>
          <t>HIGH</t>
        </is>
      </c>
      <c r="I1600" t="n">
        <v>13</v>
      </c>
      <c r="J1600" t="inlineStr">
        <is>
          <t>NO</t>
        </is>
      </c>
      <c r="K1600" t="inlineStr">
        <is>
          <t>2026-02-25T11:35:21.172000</t>
        </is>
      </c>
      <c r="L1600" t="inlineStr">
        <is>
          <t>SEE_PULSE</t>
        </is>
      </c>
      <c r="M1600" t="inlineStr">
        <is>
          <t>remote manipulator system, quasarrat, fire cells group, uac-0050, spearphishing, remote access, cyber espionage, financial theft, remcos, social engineering, davinci group</t>
        </is>
      </c>
      <c r="N1600" t="inlineStr">
        <is>
          <t>P3</t>
        </is>
      </c>
      <c r="O1600" t="inlineStr">
        <is>
          <t>OTX Pulse - check IP IOCs separately</t>
        </is>
      </c>
      <c r="P1600" t="n">
        <v>0</v>
      </c>
      <c r="Q1600" t="n">
        <v>0</v>
      </c>
      <c r="R1600" t="inlineStr">
        <is>
          <t>See OTX pulse tags</t>
        </is>
      </c>
      <c r="S1600" t="n">
        <v>1</v>
      </c>
      <c r="T1600" t="inlineStr">
        <is>
          <t>LOW (40%)</t>
        </is>
      </c>
      <c r="U1600" t="inlineStr">
        <is>
          <t>NONE</t>
        </is>
      </c>
      <c r="V1600" t="inlineStr">
        <is>
          <t>NONE</t>
        </is>
      </c>
      <c r="W1600" t="inlineStr">
        <is>
          <t>NONE</t>
        </is>
      </c>
      <c r="X1600" t="inlineStr">
        <is>
          <t>NONE</t>
        </is>
      </c>
      <c r="Y1600" t="n">
        <v>0</v>
      </c>
      <c r="Z1600" t="inlineStr"/>
      <c r="AA1600" t="inlineStr">
        <is>
          <t>https://www.bluevoyant.com/blog/mercenary-akula-hits-financial-institution</t>
        </is>
      </c>
    </row>
    <row r="1601">
      <c r="A1601" t="inlineStr">
        <is>
          <t>OTX_PULSE</t>
        </is>
      </c>
      <c r="B1601" t="inlineStr">
        <is>
          <t>699edea96aa1a8d035261fc9</t>
        </is>
      </c>
      <c r="C1601" t="inlineStr">
        <is>
          <t>The Latest PlugX Variant Executed by STATICPLUGIN: In January 2026, a new variant of the PlugX malware was observed being used in targeted attacks. Analysis suggests involvement of the UNC6384 APT group, linked to Mustang Panda, targeting government agencies in Southeast Asia. The malware uses a browser updater disguise to download and execute a malicious MSI file, leading to PlugX infection. The STATICPLUGIN downloader uses a revoked code-signing certificate from a Chinese company. The PlugX va</t>
        </is>
      </c>
      <c r="D1601" t="n">
        <v>7</v>
      </c>
      <c r="E1601" t="inlineStr">
        <is>
          <t>HIGH</t>
        </is>
      </c>
      <c r="F1601" t="n">
        <v>3</v>
      </c>
      <c r="G1601" t="n">
        <v>2</v>
      </c>
      <c r="H1601" t="inlineStr">
        <is>
          <t>HIGH</t>
        </is>
      </c>
      <c r="I1601" t="n">
        <v>13</v>
      </c>
      <c r="J1601" t="inlineStr">
        <is>
          <t>NO</t>
        </is>
      </c>
      <c r="K1601" t="inlineStr">
        <is>
          <t>2026-02-25T11:36:09.887000</t>
        </is>
      </c>
      <c r="L1601" t="inlineStr">
        <is>
          <t>SEE_PULSE</t>
        </is>
      </c>
      <c r="M1601" t="inlineStr">
        <is>
          <t>rc4-encryption, apt, targeted-attack, plugx, staticplugin, valleyrat, dll-sideloading, code-signing</t>
        </is>
      </c>
      <c r="N1601" t="inlineStr">
        <is>
          <t>P3</t>
        </is>
      </c>
      <c r="O1601" t="inlineStr">
        <is>
          <t>OTX Pulse - check IP IOCs separately</t>
        </is>
      </c>
      <c r="P1601" t="n">
        <v>0</v>
      </c>
      <c r="Q1601" t="n">
        <v>0</v>
      </c>
      <c r="R1601" t="inlineStr">
        <is>
          <t>See OTX pulse tags</t>
        </is>
      </c>
      <c r="S1601" t="n">
        <v>1</v>
      </c>
      <c r="T1601" t="inlineStr">
        <is>
          <t>LOW (40%)</t>
        </is>
      </c>
      <c r="U1601" t="inlineStr">
        <is>
          <t>NONE</t>
        </is>
      </c>
      <c r="V1601" t="inlineStr">
        <is>
          <t>NONE</t>
        </is>
      </c>
      <c r="W1601" t="inlineStr">
        <is>
          <t>NONE</t>
        </is>
      </c>
      <c r="X1601" t="inlineStr">
        <is>
          <t>NONE</t>
        </is>
      </c>
      <c r="Y1601" t="n">
        <v>0</v>
      </c>
      <c r="Z1601" t="inlineStr"/>
      <c r="AA1601" t="inlineStr">
        <is>
          <t>https://sect.iij.ad.jp/blog/2026/02/plugx-executed-via-staticplugin/</t>
        </is>
      </c>
    </row>
    <row r="1602">
      <c r="A1602" t="inlineStr">
        <is>
          <t>OTX_PULSE</t>
        </is>
      </c>
      <c r="B1602" t="inlineStr">
        <is>
          <t>69772b44fe2e1c30ec984e32</t>
        </is>
      </c>
      <c r="C1602" t="inlineStr">
        <is>
          <t>A $6,000 Russian Malware Toolkit with Chrome Web Store Guarantee: A new malware-as-a-service toolkit called 'Stanley' is being sold on Russian cybercrime forums for $2,000 to $6,000. It provides a turnkey website-spoofing operation disguised as a Chrome extension, with the premium tier promising guaranteed publication on the Chrome Web Store. The toolkit allows full-page website spoofing, element injection, push notifications, and backup domain rotation. It uses victims' IP addresses for trackin</t>
        </is>
      </c>
      <c r="D1602" t="n">
        <v>7</v>
      </c>
      <c r="E1602" t="inlineStr">
        <is>
          <t>HIGH</t>
        </is>
      </c>
      <c r="F1602" t="n">
        <v>3</v>
      </c>
      <c r="G1602" t="n">
        <v>2</v>
      </c>
      <c r="H1602" t="inlineStr">
        <is>
          <t>HIGH</t>
        </is>
      </c>
      <c r="I1602" t="n">
        <v>13</v>
      </c>
      <c r="J1602" t="inlineStr">
        <is>
          <t>NO</t>
        </is>
      </c>
      <c r="K1602" t="inlineStr">
        <is>
          <t>2026-01-26T08:52:20.218000</t>
        </is>
      </c>
      <c r="L1602" t="inlineStr">
        <is>
          <t>SEE_PULSE</t>
        </is>
      </c>
      <c r="M1602" t="inlineStr">
        <is>
          <t>chrome web store, phishing, credential theft, browser extension, malware-as-service, website spoofing, russian cybercrime, stanley</t>
        </is>
      </c>
      <c r="N1602" t="inlineStr">
        <is>
          <t>P3</t>
        </is>
      </c>
      <c r="O1602" t="inlineStr">
        <is>
          <t>OTX Pulse - check IP IOCs separately</t>
        </is>
      </c>
      <c r="P1602" t="n">
        <v>0</v>
      </c>
      <c r="Q1602" t="n">
        <v>0</v>
      </c>
      <c r="R1602" t="inlineStr">
        <is>
          <t>See OTX pulse tags</t>
        </is>
      </c>
      <c r="S1602" t="n">
        <v>1</v>
      </c>
      <c r="T1602" t="inlineStr">
        <is>
          <t>LOW (40%)</t>
        </is>
      </c>
      <c r="U1602" t="inlineStr">
        <is>
          <t>NONE</t>
        </is>
      </c>
      <c r="V1602" t="inlineStr">
        <is>
          <t>NONE</t>
        </is>
      </c>
      <c r="W1602" t="inlineStr">
        <is>
          <t>NONE</t>
        </is>
      </c>
      <c r="X1602" t="inlineStr">
        <is>
          <t>NONE</t>
        </is>
      </c>
      <c r="Y1602" t="n">
        <v>0</v>
      </c>
      <c r="Z1602" t="inlineStr"/>
      <c r="AA1602" t="inlineStr">
        <is>
          <t>https://www.varonis.com/blog/stanley-malware-kit</t>
        </is>
      </c>
    </row>
    <row r="1603">
      <c r="A1603" t="inlineStr">
        <is>
          <t>OTX_PULSE</t>
        </is>
      </c>
      <c r="B1603" t="inlineStr">
        <is>
          <t>699e18510d30e21605243f81</t>
        </is>
      </c>
      <c r="C1603" t="inlineStr">
        <is>
          <t>Developer-targeting campaign using malicious Next.js repositories: A coordinated campaign is targeting developers through malicious repositories disguised as legitimate Next.js projects and technical assessment materials. The attack uses multiple entry points that lead to runtime retrieval and local execution of attacker-controlled JavaScript, transitioning into staged command-and-control. The campaign employs three main execution paths: Visual Studio Code workspace automation, build-time execut</t>
        </is>
      </c>
      <c r="D1603" t="n">
        <v>7</v>
      </c>
      <c r="E1603" t="inlineStr">
        <is>
          <t>HIGH</t>
        </is>
      </c>
      <c r="F1603" t="n">
        <v>3</v>
      </c>
      <c r="G1603" t="n">
        <v>2</v>
      </c>
      <c r="H1603" t="inlineStr">
        <is>
          <t>HIGH</t>
        </is>
      </c>
      <c r="I1603" t="n">
        <v>13</v>
      </c>
      <c r="J1603" t="inlineStr">
        <is>
          <t>NO</t>
        </is>
      </c>
      <c r="K1603" t="inlineStr">
        <is>
          <t>2026-02-24T21:29:53.984000</t>
        </is>
      </c>
      <c r="L1603" t="inlineStr">
        <is>
          <t>SEE_PULSE</t>
        </is>
      </c>
      <c r="M1603" t="inlineStr">
        <is>
          <t>next.js, command-and-control, javascript, remote code execution, node.js, developer-targeting, visual studio code, environment variable exfiltration</t>
        </is>
      </c>
      <c r="N1603" t="inlineStr">
        <is>
          <t>P3</t>
        </is>
      </c>
      <c r="O1603" t="inlineStr">
        <is>
          <t>OTX Pulse - check IP IOCs separately</t>
        </is>
      </c>
      <c r="P1603" t="n">
        <v>0</v>
      </c>
      <c r="Q1603" t="n">
        <v>0</v>
      </c>
      <c r="R1603" t="inlineStr">
        <is>
          <t>See OTX pulse tags</t>
        </is>
      </c>
      <c r="S1603" t="n">
        <v>1</v>
      </c>
      <c r="T1603" t="inlineStr">
        <is>
          <t>LOW (40%)</t>
        </is>
      </c>
      <c r="U1603" t="inlineStr">
        <is>
          <t>NONE</t>
        </is>
      </c>
      <c r="V1603" t="inlineStr">
        <is>
          <t>NONE</t>
        </is>
      </c>
      <c r="W1603" t="inlineStr">
        <is>
          <t>NONE</t>
        </is>
      </c>
      <c r="X1603" t="inlineStr">
        <is>
          <t>NONE</t>
        </is>
      </c>
      <c r="Y1603" t="n">
        <v>0</v>
      </c>
      <c r="Z1603" t="inlineStr"/>
      <c r="AA1603" t="inlineStr">
        <is>
          <t>https://www.microsoft.com/en-us/security/blog/2026/02/24/c2-developer-targeting-campaign/</t>
        </is>
      </c>
    </row>
    <row r="1604">
      <c r="A1604" t="inlineStr">
        <is>
          <t>OTX_PULSE</t>
        </is>
      </c>
      <c r="B1604" t="inlineStr">
        <is>
          <t>699e0c85428adcee039ff420</t>
        </is>
      </c>
      <c r="C1604" t="inlineStr">
        <is>
          <t>Fake Zoom meeting 'update' silently installs surveillance software: A deceptive campaign is using a fake Zoom meeting website to covertly install Teramind, a commercial monitoring tool, on unsuspecting users' Windows machines. The operation begins with a convincing imitation of a Zoom video call, complete with scripted participants and artificial technical issues. An automatic 'Update Available' prompt then initiates the download of a malicious installer without user consent. The installed softw</t>
        </is>
      </c>
      <c r="D1604" t="n">
        <v>7</v>
      </c>
      <c r="E1604" t="inlineStr">
        <is>
          <t>HIGH</t>
        </is>
      </c>
      <c r="F1604" t="n">
        <v>3</v>
      </c>
      <c r="G1604" t="n">
        <v>2</v>
      </c>
      <c r="H1604" t="inlineStr">
        <is>
          <t>HIGH</t>
        </is>
      </c>
      <c r="I1604" t="n">
        <v>13</v>
      </c>
      <c r="J1604" t="inlineStr">
        <is>
          <t>NO</t>
        </is>
      </c>
      <c r="K1604" t="inlineStr">
        <is>
          <t>2026-02-24T20:39:33.261000</t>
        </is>
      </c>
      <c r="L1604" t="inlineStr">
        <is>
          <t>SEE_PULSE</t>
        </is>
      </c>
      <c r="M1604" t="inlineStr">
        <is>
          <t>surveillance software, zoom impersonation, social engineering, teramind, stealth installation, fake update</t>
        </is>
      </c>
      <c r="N1604" t="inlineStr">
        <is>
          <t>P3</t>
        </is>
      </c>
      <c r="O1604" t="inlineStr">
        <is>
          <t>OTX Pulse - check IP IOCs separately</t>
        </is>
      </c>
      <c r="P1604" t="n">
        <v>0</v>
      </c>
      <c r="Q1604" t="n">
        <v>0</v>
      </c>
      <c r="R1604" t="inlineStr">
        <is>
          <t>See OTX pulse tags</t>
        </is>
      </c>
      <c r="S1604" t="n">
        <v>1</v>
      </c>
      <c r="T1604" t="inlineStr">
        <is>
          <t>LOW (40%)</t>
        </is>
      </c>
      <c r="U1604" t="inlineStr">
        <is>
          <t>NONE</t>
        </is>
      </c>
      <c r="V1604" t="inlineStr">
        <is>
          <t>NONE</t>
        </is>
      </c>
      <c r="W1604" t="inlineStr">
        <is>
          <t>NONE</t>
        </is>
      </c>
      <c r="X1604" t="inlineStr">
        <is>
          <t>NONE</t>
        </is>
      </c>
      <c r="Y1604" t="n">
        <v>0</v>
      </c>
      <c r="Z1604" t="inlineStr"/>
      <c r="AA1604" t="inlineStr">
        <is>
          <t>https://securityboulevard.com/2026/02/fake-zoom-meeting-update-silently-installs-surveillance-software/</t>
        </is>
      </c>
    </row>
    <row r="1605">
      <c r="A1605" t="inlineStr">
        <is>
          <t>OTX_PULSE</t>
        </is>
      </c>
      <c r="B1605" t="inlineStr">
        <is>
          <t>699dd914e2e8434b78e71749</t>
        </is>
      </c>
      <c r="C1605" t="inlineStr">
        <is>
          <t>Nefilim Ransomware: Nefilim ransomware emerged in March 2020, evolving from Nemty's code. It targets vulnerabilities in Citrix gateway devices and uses exposed Remote Desktop Protocol for initial access. The malware exfiltrates sensitive data before encryption and threatens to publish it if ransom isn't paid. Nefilim uses tools like PsExec, Mimikatz, and LaZagne for lateral movement and credential theft. It employs AES-128 encryption and drops a ransom note named 'NEFILIM-DECRYPT.txt'. The ranso</t>
        </is>
      </c>
      <c r="D1605" t="n">
        <v>7</v>
      </c>
      <c r="E1605" t="inlineStr">
        <is>
          <t>HIGH</t>
        </is>
      </c>
      <c r="F1605" t="n">
        <v>3</v>
      </c>
      <c r="G1605" t="n">
        <v>2</v>
      </c>
      <c r="H1605" t="inlineStr">
        <is>
          <t>HIGH</t>
        </is>
      </c>
      <c r="I1605" t="n">
        <v>13</v>
      </c>
      <c r="J1605" t="inlineStr">
        <is>
          <t>NO</t>
        </is>
      </c>
      <c r="K1605" t="inlineStr">
        <is>
          <t>2026-02-24T17:00:03.998000</t>
        </is>
      </c>
      <c r="L1605" t="inlineStr">
        <is>
          <t>SEE_PULSE</t>
        </is>
      </c>
      <c r="M1605" t="inlineStr">
        <is>
          <t>credential theft, lateral movement, encryption, aes-128, netwalker, cve-2019-19781, nemty, nefilim, cve-2019-11634, ransomware, citrix, data exfiltration, rdp</t>
        </is>
      </c>
      <c r="N1605" t="inlineStr">
        <is>
          <t>P3</t>
        </is>
      </c>
      <c r="O1605" t="inlineStr">
        <is>
          <t>OTX Pulse - check IP IOCs separately</t>
        </is>
      </c>
      <c r="P1605" t="n">
        <v>0</v>
      </c>
      <c r="Q1605" t="n">
        <v>0</v>
      </c>
      <c r="R1605" t="inlineStr">
        <is>
          <t>See OTX pulse tags</t>
        </is>
      </c>
      <c r="S1605" t="n">
        <v>1</v>
      </c>
      <c r="T1605" t="inlineStr">
        <is>
          <t>LOW (40%)</t>
        </is>
      </c>
      <c r="U1605" t="inlineStr">
        <is>
          <t>NONE</t>
        </is>
      </c>
      <c r="V1605" t="inlineStr">
        <is>
          <t>NONE</t>
        </is>
      </c>
      <c r="W1605" t="inlineStr">
        <is>
          <t>NONE</t>
        </is>
      </c>
      <c r="X1605" t="inlineStr">
        <is>
          <t>NONE</t>
        </is>
      </c>
      <c r="Y1605" t="n">
        <v>0</v>
      </c>
      <c r="Z1605" t="inlineStr"/>
      <c r="AA1605" t="inlineStr">
        <is>
          <t>https://blog.qualys.com/vulnerabilities-threat-research/2021/05/12/nefilim-ransomware</t>
        </is>
      </c>
    </row>
    <row r="1606">
      <c r="A1606" t="inlineStr">
        <is>
          <t>OTX_PULSE</t>
        </is>
      </c>
      <c r="B1606" t="inlineStr">
        <is>
          <t>699dd912a5b53c853ec6c4c4</t>
        </is>
      </c>
      <c r="C1606" t="inlineStr">
        <is>
          <t>Moonrise RAT: A New Low-Detection Threat with High-Cost Consequences: A new Go-based remote access trojan named Moonrise has been discovered, operating without early static detection and establishing active C2 communication before vendor alerts. The RAT supports credential theft, remote command execution, persistence, and user monitoring, enabling full remote control of infected endpoints. Its capabilities include stealing passwords, executing remote commands, uploading files, capturing screens,</t>
        </is>
      </c>
      <c r="D1606" t="n">
        <v>7</v>
      </c>
      <c r="E1606" t="inlineStr">
        <is>
          <t>HIGH</t>
        </is>
      </c>
      <c r="F1606" t="n">
        <v>3</v>
      </c>
      <c r="G1606" t="n">
        <v>2</v>
      </c>
      <c r="H1606" t="inlineStr">
        <is>
          <t>HIGH</t>
        </is>
      </c>
      <c r="I1606" t="n">
        <v>13</v>
      </c>
      <c r="J1606" t="inlineStr">
        <is>
          <t>NO</t>
        </is>
      </c>
      <c r="K1606" t="inlineStr">
        <is>
          <t>2026-02-24T17:00:02.783000</t>
        </is>
      </c>
      <c r="L1606" t="inlineStr">
        <is>
          <t>SEE_PULSE</t>
        </is>
      </c>
      <c r="M1606" t="inlineStr">
        <is>
          <t>credential theft, remote access trojan, moonrise rat, rat, moonrise, go-based, c2 communication, low-detection</t>
        </is>
      </c>
      <c r="N1606" t="inlineStr">
        <is>
          <t>P3</t>
        </is>
      </c>
      <c r="O1606" t="inlineStr">
        <is>
          <t>OTX Pulse - check IP IOCs separately</t>
        </is>
      </c>
      <c r="P1606" t="n">
        <v>0</v>
      </c>
      <c r="Q1606" t="n">
        <v>0</v>
      </c>
      <c r="R1606" t="inlineStr">
        <is>
          <t>See OTX pulse tags</t>
        </is>
      </c>
      <c r="S1606" t="n">
        <v>1</v>
      </c>
      <c r="T1606" t="inlineStr">
        <is>
          <t>LOW (40%)</t>
        </is>
      </c>
      <c r="U1606" t="inlineStr">
        <is>
          <t>NONE</t>
        </is>
      </c>
      <c r="V1606" t="inlineStr">
        <is>
          <t>NONE</t>
        </is>
      </c>
      <c r="W1606" t="inlineStr">
        <is>
          <t>NONE</t>
        </is>
      </c>
      <c r="X1606" t="inlineStr">
        <is>
          <t>NONE</t>
        </is>
      </c>
      <c r="Y1606" t="n">
        <v>0</v>
      </c>
      <c r="Z1606" t="inlineStr"/>
      <c r="AA1606" t="inlineStr">
        <is>
          <t>https://any.run/cybersecurity-blog/moonrise-rat-detected/</t>
        </is>
      </c>
    </row>
    <row r="1607">
      <c r="A1607" t="inlineStr">
        <is>
          <t>OTX_PULSE</t>
        </is>
      </c>
      <c r="B1607" t="inlineStr">
        <is>
          <t>699d9c44cde3077f50063a24</t>
        </is>
      </c>
      <c r="C1607" t="inlineStr">
        <is>
          <t>North Korean Lazarus Group Now Working With Medusa Ransomware: North Korean state-backed attackers are utilizing Medusa ransomware in their ongoing extortion attacks against the U.S. healthcare sector. The Symantec and Carbon Black Threat Hunter Team discovered evidence of North Korean actors employing Medusa in an attack on a Middle Eastern target and an unsuccessful attempt on a U.S. healthcare organization. Medusa, launched in 2023, operates as a ransomware-as-a-service. The Lazarus sub-group</t>
        </is>
      </c>
      <c r="D1607" t="n">
        <v>7</v>
      </c>
      <c r="E1607" t="inlineStr">
        <is>
          <t>HIGH</t>
        </is>
      </c>
      <c r="F1607" t="n">
        <v>3</v>
      </c>
      <c r="G1607" t="n">
        <v>2</v>
      </c>
      <c r="H1607" t="inlineStr">
        <is>
          <t>HIGH</t>
        </is>
      </c>
      <c r="I1607" t="n">
        <v>13</v>
      </c>
      <c r="J1607" t="inlineStr">
        <is>
          <t>NO</t>
        </is>
      </c>
      <c r="K1607" t="inlineStr">
        <is>
          <t>2026-02-24T12:40:36.075000</t>
        </is>
      </c>
      <c r="L1607" t="inlineStr">
        <is>
          <t>SEE_PULSE</t>
        </is>
      </c>
      <c r="M1607" t="inlineStr">
        <is>
          <t>stonefly, blindingcan, rp_proxy, north korea, medusa, chromestealer, ransomware, comebacker, healthcare, mimikatz, extortion, infohook</t>
        </is>
      </c>
      <c r="N1607" t="inlineStr">
        <is>
          <t>P3</t>
        </is>
      </c>
      <c r="O1607" t="inlineStr">
        <is>
          <t>OTX Pulse - check IP IOCs separately</t>
        </is>
      </c>
      <c r="P1607" t="n">
        <v>0</v>
      </c>
      <c r="Q1607" t="n">
        <v>0</v>
      </c>
      <c r="R1607" t="inlineStr">
        <is>
          <t>See OTX pulse tags</t>
        </is>
      </c>
      <c r="S1607" t="n">
        <v>1</v>
      </c>
      <c r="T1607" t="inlineStr">
        <is>
          <t>LOW (40%)</t>
        </is>
      </c>
      <c r="U1607" t="inlineStr">
        <is>
          <t>NONE</t>
        </is>
      </c>
      <c r="V1607" t="inlineStr">
        <is>
          <t>NONE</t>
        </is>
      </c>
      <c r="W1607" t="inlineStr">
        <is>
          <t>NONE</t>
        </is>
      </c>
      <c r="X1607" t="inlineStr">
        <is>
          <t>NONE</t>
        </is>
      </c>
      <c r="Y1607" t="n">
        <v>0</v>
      </c>
      <c r="Z1607" t="inlineStr"/>
      <c r="AA1607" t="inlineStr">
        <is>
          <t>https://www.security.com/blog-post/lazarus-medusa-ransomware</t>
        </is>
      </c>
    </row>
    <row r="1608">
      <c r="A1608" t="inlineStr">
        <is>
          <t>OTX_PULSE</t>
        </is>
      </c>
      <c r="B1608" t="inlineStr">
        <is>
          <t>699d5baa21c5722498f88433</t>
        </is>
      </c>
      <c r="C1608" t="inlineStr">
        <is>
          <t>Four Malicious NuGet Packages Target ASP.NET Developers With JIT Hooking and Credential Exfiltration: A NuGet supply chain attack involving four malicious packages targeting ASP.NET web application developers has been discovered. The campaign deploys a multi-stage payload where NCryptYo acts as a dropper, establishing a local proxy, while companion packages exfiltrate ASP.NET Identity data and accept threat actor-controlled authorization rules, creating backdoors in victim applications. The pack</t>
        </is>
      </c>
      <c r="D1608" t="n">
        <v>7</v>
      </c>
      <c r="E1608" t="inlineStr">
        <is>
          <t>HIGH</t>
        </is>
      </c>
      <c r="F1608" t="n">
        <v>3</v>
      </c>
      <c r="G1608" t="n">
        <v>2</v>
      </c>
      <c r="H1608" t="inlineStr">
        <is>
          <t>HIGH</t>
        </is>
      </c>
      <c r="I1608" t="n">
        <v>13</v>
      </c>
      <c r="J1608" t="inlineStr">
        <is>
          <t>NO</t>
        </is>
      </c>
      <c r="K1608" t="inlineStr">
        <is>
          <t>2026-02-24T08:04:58.411000</t>
        </is>
      </c>
      <c r="L1608" t="inlineStr">
        <is>
          <t>SEE_PULSE</t>
        </is>
      </c>
      <c r="M1608" t="inlineStr">
        <is>
          <t>typosquatting, credential-exfiltration, simplewriter_, ncryptyo, iraoauth2.0, domoauth2_, obfuscation, jit-manipulation, supply-chain-attack, backdoor, nuget, asp.net</t>
        </is>
      </c>
      <c r="N1608" t="inlineStr">
        <is>
          <t>P3</t>
        </is>
      </c>
      <c r="O1608" t="inlineStr">
        <is>
          <t>OTX Pulse - check IP IOCs separately</t>
        </is>
      </c>
      <c r="P1608" t="n">
        <v>0</v>
      </c>
      <c r="Q1608" t="n">
        <v>0</v>
      </c>
      <c r="R1608" t="inlineStr">
        <is>
          <t>See OTX pulse tags</t>
        </is>
      </c>
      <c r="S1608" t="n">
        <v>1</v>
      </c>
      <c r="T1608" t="inlineStr">
        <is>
          <t>LOW (40%)</t>
        </is>
      </c>
      <c r="U1608" t="inlineStr">
        <is>
          <t>NONE</t>
        </is>
      </c>
      <c r="V1608" t="inlineStr">
        <is>
          <t>NONE</t>
        </is>
      </c>
      <c r="W1608" t="inlineStr">
        <is>
          <t>NONE</t>
        </is>
      </c>
      <c r="X1608" t="inlineStr">
        <is>
          <t>NONE</t>
        </is>
      </c>
      <c r="Y1608" t="n">
        <v>0</v>
      </c>
      <c r="Z1608" t="inlineStr"/>
      <c r="AA1608" t="inlineStr">
        <is>
          <t>https://socket.dev/blog/four-malicious-nuget-packages-target-asp-net-developers-with-jit-hooking-and-credential</t>
        </is>
      </c>
    </row>
    <row r="1609">
      <c r="A1609" t="inlineStr">
        <is>
          <t>OTX_PULSE</t>
        </is>
      </c>
      <c r="B1609" t="inlineStr">
        <is>
          <t>699cd6ee7d755d4afd290651</t>
        </is>
      </c>
      <c r="C1609" t="inlineStr">
        <is>
          <t>Malicious OpenClaw Skills Used to Distribute Atomic MacOS Stealer: A new campaign exploits OpenClaw skills to distribute the Atomic MacOS Stealer (AMOS). This evolution in supply chain attacks manipulates AI agentic workflows to install malware. The campaign spans multiple repositories with hundreds of malicious skills uploaded to ClawHub and SkillsMP. The infection chain begins with a seemingly harmless SKILL.md file that installs a prerequisite, leading to the download of a Mach-O universal bi</t>
        </is>
      </c>
      <c r="D1609" t="n">
        <v>7</v>
      </c>
      <c r="E1609" t="inlineStr">
        <is>
          <t>HIGH</t>
        </is>
      </c>
      <c r="F1609" t="n">
        <v>3</v>
      </c>
      <c r="G1609" t="n">
        <v>2</v>
      </c>
      <c r="H1609" t="inlineStr">
        <is>
          <t>HIGH</t>
        </is>
      </c>
      <c r="I1609" t="n">
        <v>13</v>
      </c>
      <c r="J1609" t="inlineStr">
        <is>
          <t>NO</t>
        </is>
      </c>
      <c r="K1609" t="inlineStr">
        <is>
          <t>2026-02-23T22:38:38.076000</t>
        </is>
      </c>
      <c r="L1609" t="inlineStr">
        <is>
          <t>SEE_PULSE</t>
        </is>
      </c>
      <c r="M1609" t="inlineStr">
        <is>
          <t>amos, skillsmp, clawhub, supply chain attack, stealer, ai manipulation, atomic macos stealer (amos), openclaw, macos</t>
        </is>
      </c>
      <c r="N1609" t="inlineStr">
        <is>
          <t>P3</t>
        </is>
      </c>
      <c r="O1609" t="inlineStr">
        <is>
          <t>OTX Pulse - check IP IOCs separately</t>
        </is>
      </c>
      <c r="P1609" t="n">
        <v>0</v>
      </c>
      <c r="Q1609" t="n">
        <v>0</v>
      </c>
      <c r="R1609" t="inlineStr">
        <is>
          <t>See OTX pulse tags</t>
        </is>
      </c>
      <c r="S1609" t="n">
        <v>1</v>
      </c>
      <c r="T1609" t="inlineStr">
        <is>
          <t>LOW (40%)</t>
        </is>
      </c>
      <c r="U1609" t="inlineStr">
        <is>
          <t>NONE</t>
        </is>
      </c>
      <c r="V1609" t="inlineStr">
        <is>
          <t>NONE</t>
        </is>
      </c>
      <c r="W1609" t="inlineStr">
        <is>
          <t>NONE</t>
        </is>
      </c>
      <c r="X1609" t="inlineStr">
        <is>
          <t>NONE</t>
        </is>
      </c>
      <c r="Y1609" t="n">
        <v>0</v>
      </c>
      <c r="Z1609" t="inlineStr"/>
      <c r="AA1609" t="inlineStr">
        <is>
          <t>https://www.trendmicro.com/en_us/research/26/b/openclaw-skills-used-to-distribute-atomic-macos-stealer.html</t>
        </is>
      </c>
    </row>
    <row r="1610">
      <c r="A1610" t="inlineStr">
        <is>
          <t>OTX_PULSE</t>
        </is>
      </c>
      <c r="B1610" t="inlineStr">
        <is>
          <t>6996ee44a7b3d1015da4ed4b</t>
        </is>
      </c>
      <c r="C1610" t="inlineStr">
        <is>
          <t>Uncovering Malicious OAuth Campaigns in Entra ID: This analysis reveals the growing threat of malicious OAuth applications in Microsoft Entra ID, which attackers use for persistence and privilege escalation. The report details how these apps blend in with legitimate integrations, making detection challenging. It describes the creation of OAuth Apps Scout, an automated detection pipeline that identifies emerging malicious OAuth apps. The research uncovered multiple campaigns, including one involv</t>
        </is>
      </c>
      <c r="D1610" t="n">
        <v>7</v>
      </c>
      <c r="E1610" t="inlineStr">
        <is>
          <t>HIGH</t>
        </is>
      </c>
      <c r="F1610" t="n">
        <v>3</v>
      </c>
      <c r="G1610" t="n">
        <v>2</v>
      </c>
      <c r="H1610" t="inlineStr">
        <is>
          <t>HIGH</t>
        </is>
      </c>
      <c r="I1610" t="n">
        <v>13</v>
      </c>
      <c r="J1610" t="inlineStr">
        <is>
          <t>NO</t>
        </is>
      </c>
      <c r="K1610" t="inlineStr">
        <is>
          <t>2026-02-19T11:04:36.008000</t>
        </is>
      </c>
      <c r="L1610" t="inlineStr">
        <is>
          <t>SEE_PULSE</t>
        </is>
      </c>
      <c r="M1610" t="inlineStr">
        <is>
          <t>identity security, application impersonation, cloud security, phishing, oauth, consent abuse, entra id</t>
        </is>
      </c>
      <c r="N1610" t="inlineStr">
        <is>
          <t>P3</t>
        </is>
      </c>
      <c r="O1610" t="inlineStr">
        <is>
          <t>OTX Pulse - check IP IOCs separately</t>
        </is>
      </c>
      <c r="P1610" t="n">
        <v>0</v>
      </c>
      <c r="Q1610" t="n">
        <v>0</v>
      </c>
      <c r="R1610" t="inlineStr">
        <is>
          <t>See OTX pulse tags</t>
        </is>
      </c>
      <c r="S1610" t="n">
        <v>1</v>
      </c>
      <c r="T1610" t="inlineStr">
        <is>
          <t>LOW (40%)</t>
        </is>
      </c>
      <c r="U1610" t="inlineStr">
        <is>
          <t>NONE</t>
        </is>
      </c>
      <c r="V1610" t="inlineStr">
        <is>
          <t>NONE</t>
        </is>
      </c>
      <c r="W1610" t="inlineStr">
        <is>
          <t>NONE</t>
        </is>
      </c>
      <c r="X1610" t="inlineStr">
        <is>
          <t>NONE</t>
        </is>
      </c>
      <c r="Y1610" t="n">
        <v>0</v>
      </c>
      <c r="Z1610" t="inlineStr"/>
      <c r="AA1610" t="inlineStr">
        <is>
          <t>https://www.wiz.io/blog/detecting-malicious-oauth-applications</t>
        </is>
      </c>
    </row>
    <row r="1611">
      <c r="A1611" t="inlineStr">
        <is>
          <t>OTX_PULSE</t>
        </is>
      </c>
      <c r="B1611" t="inlineStr">
        <is>
          <t>699cd6eed9db04bd8dc60dc9</t>
        </is>
      </c>
      <c r="C1611" t="inlineStr">
        <is>
          <t xml:space="preserve">Apache ActiveMQ Exploit Leads to LockBit Ransomware: A threat actor exploited CVE-2023-46604 on an exposed Apache ActiveMQ server, gaining initial access and later returning after being evicted. The attacker used Metasploit for post-exploitation activities, including privilege escalation, credential access, and lateral movement. Upon regaining access, they swiftly deployed LockBit ransomware via RDP using previously extracted credentials. The ransomware binary matched LockBit signatures but was </t>
        </is>
      </c>
      <c r="D1611" t="n">
        <v>7</v>
      </c>
      <c r="E1611" t="inlineStr">
        <is>
          <t>HIGH</t>
        </is>
      </c>
      <c r="F1611" t="n">
        <v>3</v>
      </c>
      <c r="G1611" t="n">
        <v>2</v>
      </c>
      <c r="H1611" t="inlineStr">
        <is>
          <t>HIGH</t>
        </is>
      </c>
      <c r="I1611" t="n">
        <v>13</v>
      </c>
      <c r="J1611" t="inlineStr">
        <is>
          <t>NO</t>
        </is>
      </c>
      <c r="K1611" t="inlineStr">
        <is>
          <t>2026-02-23T22:38:38.675000</t>
        </is>
      </c>
      <c r="L1611" t="inlineStr">
        <is>
          <t>SEE_PULSE</t>
        </is>
      </c>
      <c r="M1611" t="inlineStr">
        <is>
          <t>rdp, lateral movement, credential theft, cve-2023-46604, lockbit, ransomware, metasploit, apache activemq</t>
        </is>
      </c>
      <c r="N1611" t="inlineStr">
        <is>
          <t>P3</t>
        </is>
      </c>
      <c r="O1611" t="inlineStr">
        <is>
          <t>OTX Pulse - check IP IOCs separately</t>
        </is>
      </c>
      <c r="P1611" t="n">
        <v>0</v>
      </c>
      <c r="Q1611" t="n">
        <v>0</v>
      </c>
      <c r="R1611" t="inlineStr">
        <is>
          <t>See OTX pulse tags</t>
        </is>
      </c>
      <c r="S1611" t="n">
        <v>1</v>
      </c>
      <c r="T1611" t="inlineStr">
        <is>
          <t>LOW (40%)</t>
        </is>
      </c>
      <c r="U1611" t="inlineStr">
        <is>
          <t>NONE</t>
        </is>
      </c>
      <c r="V1611" t="inlineStr">
        <is>
          <t>NONE</t>
        </is>
      </c>
      <c r="W1611" t="inlineStr">
        <is>
          <t>NONE</t>
        </is>
      </c>
      <c r="X1611" t="inlineStr">
        <is>
          <t>NONE</t>
        </is>
      </c>
      <c r="Y1611" t="n">
        <v>0</v>
      </c>
      <c r="Z1611" t="inlineStr"/>
      <c r="AA1611" t="inlineStr">
        <is>
          <t>https://thedfirreport.com/2026/02/23/apache-activemq-exploit-leads-to-lockbit-ransomware/</t>
        </is>
      </c>
    </row>
    <row r="1612">
      <c r="A1612" t="inlineStr">
        <is>
          <t>THREATFOX_IOC</t>
        </is>
      </c>
      <c r="B1612" t="inlineStr">
        <is>
          <t>1754879</t>
        </is>
      </c>
      <c r="C1612" t="inlineStr">
        <is>
          <t>ip:port IOC:  | Malware: Mirai | Confidence: 80%</t>
        </is>
      </c>
      <c r="D1612" t="n">
        <v>7.5</v>
      </c>
      <c r="E1612" t="inlineStr">
        <is>
          <t>HIGH</t>
        </is>
      </c>
      <c r="F1612" t="n">
        <v>3</v>
      </c>
      <c r="G1612" t="n">
        <v>2</v>
      </c>
      <c r="H1612" t="inlineStr">
        <is>
          <t>HIGH</t>
        </is>
      </c>
      <c r="I1612" t="n">
        <v>13.5</v>
      </c>
      <c r="J1612" t="inlineStr">
        <is>
          <t>NO</t>
        </is>
      </c>
      <c r="K1612" t="inlineStr">
        <is>
          <t>2026-02-25 22:09:02 UTC</t>
        </is>
      </c>
      <c r="L1612" t="inlineStr">
        <is>
          <t>Block IOC</t>
        </is>
      </c>
      <c r="M1612" t="inlineStr">
        <is>
          <t>botnet_cc</t>
        </is>
      </c>
      <c r="N1612" t="inlineStr">
        <is>
          <t>P3</t>
        </is>
      </c>
      <c r="O1612" t="inlineStr">
        <is>
          <t>Classification: hosting-provider | Context: 🌍 Sweden | Stockholm | 🏢 AWS EC2 (eu-north-1) | ASN: AS16509 Amazon.com, Inc. | 🖥️ Hosting/DC | Name: AWS EC2 (eu-north-1)</t>
        </is>
      </c>
      <c r="P1612" t="n">
        <v>0</v>
      </c>
      <c r="Q1612" t="n">
        <v>0</v>
      </c>
      <c r="R1612" t="inlineStr">
        <is>
          <t>T1071:Application Layer Protocol | T1102:Web Service</t>
        </is>
      </c>
      <c r="S1612" t="n">
        <v>1</v>
      </c>
      <c r="T1612" t="inlineStr">
        <is>
          <t>LOW (40%)</t>
        </is>
      </c>
      <c r="U1612" t="inlineStr">
        <is>
          <t>NONE</t>
        </is>
      </c>
      <c r="V1612" t="inlineStr">
        <is>
          <t>NONE</t>
        </is>
      </c>
      <c r="W1612" t="inlineStr">
        <is>
          <t>NONE</t>
        </is>
      </c>
      <c r="X1612" t="inlineStr">
        <is>
          <t>NONE</t>
        </is>
      </c>
      <c r="Y1612" t="n">
        <v>0</v>
      </c>
      <c r="Z1612" t="inlineStr"/>
      <c r="AA1612" t="inlineStr">
        <is>
          <t>https://threatfox.abuse.ch/ioc/1754879/</t>
        </is>
      </c>
    </row>
    <row r="1613">
      <c r="A1613" t="inlineStr">
        <is>
          <t>THREATFOX_IOC</t>
        </is>
      </c>
      <c r="B1613" t="inlineStr">
        <is>
          <t>1754878</t>
        </is>
      </c>
      <c r="C1613" t="inlineStr">
        <is>
          <t>domain IOC:  | Malware: ClearFake | Confidence: 100%</t>
        </is>
      </c>
      <c r="D1613" t="n">
        <v>7.5</v>
      </c>
      <c r="E1613" t="inlineStr">
        <is>
          <t>HIGH</t>
        </is>
      </c>
      <c r="F1613" t="n">
        <v>3</v>
      </c>
      <c r="G1613" t="n">
        <v>2</v>
      </c>
      <c r="H1613" t="inlineStr">
        <is>
          <t>HIGH</t>
        </is>
      </c>
      <c r="I1613" t="n">
        <v>13.5</v>
      </c>
      <c r="J1613" t="inlineStr">
        <is>
          <t>NO</t>
        </is>
      </c>
      <c r="K1613" t="inlineStr">
        <is>
          <t>2026-02-25 22:05:06 UTC</t>
        </is>
      </c>
      <c r="L1613" t="inlineStr">
        <is>
          <t>Block IOC</t>
        </is>
      </c>
      <c r="M1613" t="inlineStr">
        <is>
          <t>payload_delivery</t>
        </is>
      </c>
      <c r="N1613" t="inlineStr">
        <is>
          <t>P3</t>
        </is>
      </c>
      <c r="O1613" t="inlineStr">
        <is>
          <t>Classification: Not checked | Context: Not enriched | Name: Not indexed</t>
        </is>
      </c>
      <c r="P1613" t="n">
        <v>0</v>
      </c>
      <c r="Q1613" t="n">
        <v>0</v>
      </c>
      <c r="R1613" t="inlineStr">
        <is>
          <t>T1071:Application Layer Protocol | T1102:Web Service</t>
        </is>
      </c>
      <c r="S1613" t="n">
        <v>1</v>
      </c>
      <c r="T1613" t="inlineStr">
        <is>
          <t>LOW (40%)</t>
        </is>
      </c>
      <c r="U1613" t="inlineStr">
        <is>
          <t>NONE</t>
        </is>
      </c>
      <c r="V1613" t="inlineStr">
        <is>
          <t>NONE</t>
        </is>
      </c>
      <c r="W1613" t="inlineStr">
        <is>
          <t>NONE</t>
        </is>
      </c>
      <c r="X1613" t="inlineStr">
        <is>
          <t>NONE</t>
        </is>
      </c>
      <c r="Y1613" t="n">
        <v>0</v>
      </c>
      <c r="Z1613" t="inlineStr"/>
      <c r="AA1613" t="inlineStr">
        <is>
          <t>https://threatfox.abuse.ch/ioc/1754878/</t>
        </is>
      </c>
    </row>
    <row r="1614">
      <c r="A1614" t="inlineStr">
        <is>
          <t>THREATFOX_IOC</t>
        </is>
      </c>
      <c r="B1614" t="inlineStr">
        <is>
          <t>1754877</t>
        </is>
      </c>
      <c r="C1614" t="inlineStr">
        <is>
          <t>domain IOC:  | Malware: ClearFake | Confidence: 100%</t>
        </is>
      </c>
      <c r="D1614" t="n">
        <v>7.5</v>
      </c>
      <c r="E1614" t="inlineStr">
        <is>
          <t>HIGH</t>
        </is>
      </c>
      <c r="F1614" t="n">
        <v>3</v>
      </c>
      <c r="G1614" t="n">
        <v>2</v>
      </c>
      <c r="H1614" t="inlineStr">
        <is>
          <t>HIGH</t>
        </is>
      </c>
      <c r="I1614" t="n">
        <v>13.5</v>
      </c>
      <c r="J1614" t="inlineStr">
        <is>
          <t>NO</t>
        </is>
      </c>
      <c r="K1614" t="inlineStr">
        <is>
          <t>2026-02-25 22:02:28 UTC</t>
        </is>
      </c>
      <c r="L1614" t="inlineStr">
        <is>
          <t>Block IOC</t>
        </is>
      </c>
      <c r="M1614" t="inlineStr">
        <is>
          <t>payload_delivery</t>
        </is>
      </c>
      <c r="N1614" t="inlineStr">
        <is>
          <t>P3</t>
        </is>
      </c>
      <c r="O1614" t="inlineStr">
        <is>
          <t>Classification: Not checked | Context: Not enriched | Name: Not indexed</t>
        </is>
      </c>
      <c r="P1614" t="n">
        <v>0</v>
      </c>
      <c r="Q1614" t="n">
        <v>0</v>
      </c>
      <c r="R1614" t="inlineStr">
        <is>
          <t>T1071:Application Layer Protocol | T1102:Web Service</t>
        </is>
      </c>
      <c r="S1614" t="n">
        <v>1</v>
      </c>
      <c r="T1614" t="inlineStr">
        <is>
          <t>LOW (40%)</t>
        </is>
      </c>
      <c r="U1614" t="inlineStr">
        <is>
          <t>NONE</t>
        </is>
      </c>
      <c r="V1614" t="inlineStr">
        <is>
          <t>NONE</t>
        </is>
      </c>
      <c r="W1614" t="inlineStr">
        <is>
          <t>NONE</t>
        </is>
      </c>
      <c r="X1614" t="inlineStr">
        <is>
          <t>NONE</t>
        </is>
      </c>
      <c r="Y1614" t="n">
        <v>0</v>
      </c>
      <c r="Z1614" t="inlineStr"/>
      <c r="AA1614" t="inlineStr">
        <is>
          <t>https://threatfox.abuse.ch/ioc/1754877/</t>
        </is>
      </c>
    </row>
    <row r="1615">
      <c r="A1615" t="inlineStr">
        <is>
          <t>THREATFOX_IOC</t>
        </is>
      </c>
      <c r="B1615" t="inlineStr">
        <is>
          <t>1754876</t>
        </is>
      </c>
      <c r="C1615" t="inlineStr">
        <is>
          <t>domain IOC:  | Malware: Remcos | Confidence: 100%</t>
        </is>
      </c>
      <c r="D1615" t="n">
        <v>7.5</v>
      </c>
      <c r="E1615" t="inlineStr">
        <is>
          <t>HIGH</t>
        </is>
      </c>
      <c r="F1615" t="n">
        <v>3</v>
      </c>
      <c r="G1615" t="n">
        <v>2</v>
      </c>
      <c r="H1615" t="inlineStr">
        <is>
          <t>HIGH</t>
        </is>
      </c>
      <c r="I1615" t="n">
        <v>13.5</v>
      </c>
      <c r="J1615" t="inlineStr">
        <is>
          <t>NO</t>
        </is>
      </c>
      <c r="K1615" t="inlineStr">
        <is>
          <t>2026-02-25 20:56:38 UTC</t>
        </is>
      </c>
      <c r="L1615" t="inlineStr">
        <is>
          <t>Block IOC</t>
        </is>
      </c>
      <c r="M1615" t="inlineStr">
        <is>
          <t>botnet_cc</t>
        </is>
      </c>
      <c r="N1615" t="inlineStr">
        <is>
          <t>P3</t>
        </is>
      </c>
      <c r="O1615" t="inlineStr">
        <is>
          <t>Classification: Not checked | Context: Not enriched | Name: Not indexed</t>
        </is>
      </c>
      <c r="P1615" t="n">
        <v>0</v>
      </c>
      <c r="Q1615" t="n">
        <v>0</v>
      </c>
      <c r="R1615" t="inlineStr">
        <is>
          <t>T1071:Application Layer Protocol | T1102:Web Service</t>
        </is>
      </c>
      <c r="S1615" t="n">
        <v>1</v>
      </c>
      <c r="T1615" t="inlineStr">
        <is>
          <t>LOW (40%)</t>
        </is>
      </c>
      <c r="U1615" t="inlineStr">
        <is>
          <t>NONE</t>
        </is>
      </c>
      <c r="V1615" t="inlineStr">
        <is>
          <t>NONE</t>
        </is>
      </c>
      <c r="W1615" t="inlineStr">
        <is>
          <t>NONE</t>
        </is>
      </c>
      <c r="X1615" t="inlineStr">
        <is>
          <t>NONE</t>
        </is>
      </c>
      <c r="Y1615" t="n">
        <v>0</v>
      </c>
      <c r="Z1615" t="inlineStr"/>
      <c r="AA1615" t="inlineStr">
        <is>
          <t>https://threatfox.abuse.ch/ioc/1754876/</t>
        </is>
      </c>
    </row>
    <row r="1616">
      <c r="A1616" t="inlineStr">
        <is>
          <t>THREATFOX_IOC</t>
        </is>
      </c>
      <c r="B1616" t="inlineStr">
        <is>
          <t>1754875</t>
        </is>
      </c>
      <c r="C1616" t="inlineStr">
        <is>
          <t>ip:port IOC:  | Malware: Mirai | Confidence: 100%</t>
        </is>
      </c>
      <c r="D1616" t="n">
        <v>7.5</v>
      </c>
      <c r="E1616" t="inlineStr">
        <is>
          <t>HIGH</t>
        </is>
      </c>
      <c r="F1616" t="n">
        <v>3</v>
      </c>
      <c r="G1616" t="n">
        <v>2</v>
      </c>
      <c r="H1616" t="inlineStr">
        <is>
          <t>HIGH</t>
        </is>
      </c>
      <c r="I1616" t="n">
        <v>13.5</v>
      </c>
      <c r="J1616" t="inlineStr">
        <is>
          <t>NO</t>
        </is>
      </c>
      <c r="K1616" t="inlineStr">
        <is>
          <t>2026-02-25 20:52:39 UTC</t>
        </is>
      </c>
      <c r="L1616" t="inlineStr">
        <is>
          <t>Block IOC</t>
        </is>
      </c>
      <c r="M1616" t="inlineStr">
        <is>
          <t>botnet_cc</t>
        </is>
      </c>
      <c r="N1616" t="inlineStr">
        <is>
          <t>P3</t>
        </is>
      </c>
      <c r="O1616" t="inlineStr">
        <is>
          <t>Classification: hosting-provider | Context: 🌍 Sweden | Stockholm | 🏢 AWS EC2 (eu-north-1) | ASN: AS16509 Amazon.com, Inc. | 🖥️ Hosting/DC | Name: AWS EC2 (eu-north-1)</t>
        </is>
      </c>
      <c r="P1616" t="n">
        <v>0</v>
      </c>
      <c r="Q1616" t="n">
        <v>0</v>
      </c>
      <c r="R1616" t="inlineStr">
        <is>
          <t>T1071:Application Layer Protocol | T1102:Web Service</t>
        </is>
      </c>
      <c r="S1616" t="n">
        <v>1</v>
      </c>
      <c r="T1616" t="inlineStr">
        <is>
          <t>LOW (40%)</t>
        </is>
      </c>
      <c r="U1616" t="inlineStr">
        <is>
          <t>NONE</t>
        </is>
      </c>
      <c r="V1616" t="inlineStr">
        <is>
          <t>NONE</t>
        </is>
      </c>
      <c r="W1616" t="inlineStr">
        <is>
          <t>NONE</t>
        </is>
      </c>
      <c r="X1616" t="inlineStr">
        <is>
          <t>NONE</t>
        </is>
      </c>
      <c r="Y1616" t="n">
        <v>0</v>
      </c>
      <c r="Z1616" t="inlineStr"/>
      <c r="AA1616" t="inlineStr">
        <is>
          <t>https://threatfox.abuse.ch/ioc/1754875/</t>
        </is>
      </c>
    </row>
    <row r="1617">
      <c r="A1617" t="inlineStr">
        <is>
          <t>THREATFOX_IOC</t>
        </is>
      </c>
      <c r="B1617" t="inlineStr">
        <is>
          <t>1754874</t>
        </is>
      </c>
      <c r="C1617" t="inlineStr">
        <is>
          <t>ip:port IOC:  | Malware: AdaptixC2 | Confidence: 100%</t>
        </is>
      </c>
      <c r="D1617" t="n">
        <v>7.5</v>
      </c>
      <c r="E1617" t="inlineStr">
        <is>
          <t>HIGH</t>
        </is>
      </c>
      <c r="F1617" t="n">
        <v>3</v>
      </c>
      <c r="G1617" t="n">
        <v>2</v>
      </c>
      <c r="H1617" t="inlineStr">
        <is>
          <t>HIGH</t>
        </is>
      </c>
      <c r="I1617" t="n">
        <v>13.5</v>
      </c>
      <c r="J1617" t="inlineStr">
        <is>
          <t>NO</t>
        </is>
      </c>
      <c r="K1617" t="inlineStr">
        <is>
          <t>2026-02-25 20:50:02 UTC</t>
        </is>
      </c>
      <c r="L1617" t="inlineStr">
        <is>
          <t>Block IOC</t>
        </is>
      </c>
      <c r="M1617" t="inlineStr">
        <is>
          <t>botnet_cc</t>
        </is>
      </c>
      <c r="N1617" t="inlineStr">
        <is>
          <t>P3</t>
        </is>
      </c>
      <c r="O1617" t="inlineStr">
        <is>
          <t>Classification: hosting-provider | Context: 🌍 Sweden | Stockholm | 🏢 AWS EC2 (eu-north-1) | ASN: AS16509 Amazon.com, Inc. | 🖥️ Hosting/DC | Name: AWS EC2 (eu-north-1)</t>
        </is>
      </c>
      <c r="P1617" t="n">
        <v>0</v>
      </c>
      <c r="Q1617" t="n">
        <v>0</v>
      </c>
      <c r="R1617" t="inlineStr">
        <is>
          <t>T1071:Application Layer Protocol | T1102:Web Service</t>
        </is>
      </c>
      <c r="S1617" t="n">
        <v>1</v>
      </c>
      <c r="T1617" t="inlineStr">
        <is>
          <t>LOW (40%)</t>
        </is>
      </c>
      <c r="U1617" t="inlineStr">
        <is>
          <t>NONE</t>
        </is>
      </c>
      <c r="V1617" t="inlineStr">
        <is>
          <t>NONE</t>
        </is>
      </c>
      <c r="W1617" t="inlineStr">
        <is>
          <t>NONE</t>
        </is>
      </c>
      <c r="X1617" t="inlineStr">
        <is>
          <t>NONE</t>
        </is>
      </c>
      <c r="Y1617" t="n">
        <v>0</v>
      </c>
      <c r="Z1617" t="inlineStr"/>
      <c r="AA1617" t="inlineStr">
        <is>
          <t>https://threatfox.abuse.ch/ioc/1754874/</t>
        </is>
      </c>
    </row>
    <row r="1618">
      <c r="A1618" t="inlineStr">
        <is>
          <t>THREATFOX_IOC</t>
        </is>
      </c>
      <c r="B1618" t="inlineStr">
        <is>
          <t>1754873</t>
        </is>
      </c>
      <c r="C1618" t="inlineStr">
        <is>
          <t>ip:port IOC:  | Malware: AdaptixC2 | Confidence: 100%</t>
        </is>
      </c>
      <c r="D1618" t="n">
        <v>7.5</v>
      </c>
      <c r="E1618" t="inlineStr">
        <is>
          <t>HIGH</t>
        </is>
      </c>
      <c r="F1618" t="n">
        <v>3</v>
      </c>
      <c r="G1618" t="n">
        <v>2</v>
      </c>
      <c r="H1618" t="inlineStr">
        <is>
          <t>HIGH</t>
        </is>
      </c>
      <c r="I1618" t="n">
        <v>13.5</v>
      </c>
      <c r="J1618" t="inlineStr">
        <is>
          <t>NO</t>
        </is>
      </c>
      <c r="K1618" t="inlineStr">
        <is>
          <t>2026-02-25 20:46:15 UTC</t>
        </is>
      </c>
      <c r="L1618" t="inlineStr">
        <is>
          <t>Block IOC</t>
        </is>
      </c>
      <c r="M1618" t="inlineStr">
        <is>
          <t>botnet_cc</t>
        </is>
      </c>
      <c r="N1618" t="inlineStr">
        <is>
          <t>P3</t>
        </is>
      </c>
      <c r="O1618" t="inlineStr">
        <is>
          <t>Classification: hosting-provider | Context: 🌍 Sweden | Stockholm | 🏢 AWS EC2 (eu-north-1) | ASN: AS16509 Amazon.com, Inc. | 🖥️ Hosting/DC | Name: AWS EC2 (eu-north-1)</t>
        </is>
      </c>
      <c r="P1618" t="n">
        <v>0</v>
      </c>
      <c r="Q1618" t="n">
        <v>0</v>
      </c>
      <c r="R1618" t="inlineStr">
        <is>
          <t>T1071:Application Layer Protocol | T1102:Web Service</t>
        </is>
      </c>
      <c r="S1618" t="n">
        <v>1</v>
      </c>
      <c r="T1618" t="inlineStr">
        <is>
          <t>LOW (40%)</t>
        </is>
      </c>
      <c r="U1618" t="inlineStr">
        <is>
          <t>NONE</t>
        </is>
      </c>
      <c r="V1618" t="inlineStr">
        <is>
          <t>NONE</t>
        </is>
      </c>
      <c r="W1618" t="inlineStr">
        <is>
          <t>NONE</t>
        </is>
      </c>
      <c r="X1618" t="inlineStr">
        <is>
          <t>NONE</t>
        </is>
      </c>
      <c r="Y1618" t="n">
        <v>0</v>
      </c>
      <c r="Z1618" t="inlineStr"/>
      <c r="AA1618" t="inlineStr">
        <is>
          <t>https://threatfox.abuse.ch/ioc/1754873/</t>
        </is>
      </c>
    </row>
    <row r="1619">
      <c r="A1619" t="inlineStr">
        <is>
          <t>THREATFOX_IOC</t>
        </is>
      </c>
      <c r="B1619" t="inlineStr">
        <is>
          <t>1754872</t>
        </is>
      </c>
      <c r="C1619" t="inlineStr">
        <is>
          <t>domain IOC:  | Malware: AdaptixC2 | Confidence: 100%</t>
        </is>
      </c>
      <c r="D1619" t="n">
        <v>7.5</v>
      </c>
      <c r="E1619" t="inlineStr">
        <is>
          <t>HIGH</t>
        </is>
      </c>
      <c r="F1619" t="n">
        <v>3</v>
      </c>
      <c r="G1619" t="n">
        <v>2</v>
      </c>
      <c r="H1619" t="inlineStr">
        <is>
          <t>HIGH</t>
        </is>
      </c>
      <c r="I1619" t="n">
        <v>13.5</v>
      </c>
      <c r="J1619" t="inlineStr">
        <is>
          <t>NO</t>
        </is>
      </c>
      <c r="K1619" t="inlineStr">
        <is>
          <t>2026-02-25 20:45:06 UTC</t>
        </is>
      </c>
      <c r="L1619" t="inlineStr">
        <is>
          <t>Block IOC</t>
        </is>
      </c>
      <c r="M1619" t="inlineStr">
        <is>
          <t>botnet_cc</t>
        </is>
      </c>
      <c r="N1619" t="inlineStr">
        <is>
          <t>P3</t>
        </is>
      </c>
      <c r="O1619" t="inlineStr">
        <is>
          <t>Classification: Not checked | Context: Not enriched | Name: Not indexed</t>
        </is>
      </c>
      <c r="P1619" t="n">
        <v>0</v>
      </c>
      <c r="Q1619" t="n">
        <v>0</v>
      </c>
      <c r="R1619" t="inlineStr">
        <is>
          <t>T1071:Application Layer Protocol | T1102:Web Service</t>
        </is>
      </c>
      <c r="S1619" t="n">
        <v>1</v>
      </c>
      <c r="T1619" t="inlineStr">
        <is>
          <t>LOW (40%)</t>
        </is>
      </c>
      <c r="U1619" t="inlineStr">
        <is>
          <t>NONE</t>
        </is>
      </c>
      <c r="V1619" t="inlineStr">
        <is>
          <t>NONE</t>
        </is>
      </c>
      <c r="W1619" t="inlineStr">
        <is>
          <t>NONE</t>
        </is>
      </c>
      <c r="X1619" t="inlineStr">
        <is>
          <t>NONE</t>
        </is>
      </c>
      <c r="Y1619" t="n">
        <v>0</v>
      </c>
      <c r="Z1619" t="inlineStr"/>
      <c r="AA1619" t="inlineStr">
        <is>
          <t>https://threatfox.abuse.ch/ioc/1754872/</t>
        </is>
      </c>
    </row>
    <row r="1620">
      <c r="A1620" t="inlineStr">
        <is>
          <t>THREATFOX_IOC</t>
        </is>
      </c>
      <c r="B1620" t="inlineStr">
        <is>
          <t>1754871</t>
        </is>
      </c>
      <c r="C1620" t="inlineStr">
        <is>
          <t>ip:port IOC:  | Malware: Kaiji | Confidence: 100%</t>
        </is>
      </c>
      <c r="D1620" t="n">
        <v>7.5</v>
      </c>
      <c r="E1620" t="inlineStr">
        <is>
          <t>HIGH</t>
        </is>
      </c>
      <c r="F1620" t="n">
        <v>3</v>
      </c>
      <c r="G1620" t="n">
        <v>2</v>
      </c>
      <c r="H1620" t="inlineStr">
        <is>
          <t>HIGH</t>
        </is>
      </c>
      <c r="I1620" t="n">
        <v>13.5</v>
      </c>
      <c r="J1620" t="inlineStr">
        <is>
          <t>NO</t>
        </is>
      </c>
      <c r="K1620" t="inlineStr">
        <is>
          <t>2026-02-25 20:41:12 UTC</t>
        </is>
      </c>
      <c r="L1620" t="inlineStr">
        <is>
          <t>Block IOC</t>
        </is>
      </c>
      <c r="M1620" t="inlineStr">
        <is>
          <t>botnet_cc</t>
        </is>
      </c>
      <c r="N1620" t="inlineStr">
        <is>
          <t>P3</t>
        </is>
      </c>
      <c r="O1620" t="inlineStr">
        <is>
          <t>Classification: hosting-provider | Context: 🌍 Sweden | Stockholm | 🏢 AWS EC2 (eu-north-1) | ASN: AS16509 Amazon.com, Inc. | 🖥️ Hosting/DC | Name: AWS EC2 (eu-north-1)</t>
        </is>
      </c>
      <c r="P1620" t="n">
        <v>0</v>
      </c>
      <c r="Q1620" t="n">
        <v>0</v>
      </c>
      <c r="R1620" t="inlineStr">
        <is>
          <t>T1071:Application Layer Protocol | T1102:Web Service</t>
        </is>
      </c>
      <c r="S1620" t="n">
        <v>1</v>
      </c>
      <c r="T1620" t="inlineStr">
        <is>
          <t>LOW (40%)</t>
        </is>
      </c>
      <c r="U1620" t="inlineStr">
        <is>
          <t>NONE</t>
        </is>
      </c>
      <c r="V1620" t="inlineStr">
        <is>
          <t>NONE</t>
        </is>
      </c>
      <c r="W1620" t="inlineStr">
        <is>
          <t>NONE</t>
        </is>
      </c>
      <c r="X1620" t="inlineStr">
        <is>
          <t>NONE</t>
        </is>
      </c>
      <c r="Y1620" t="n">
        <v>0</v>
      </c>
      <c r="Z1620" t="inlineStr"/>
      <c r="AA1620" t="inlineStr">
        <is>
          <t>https://threatfox.abuse.ch/ioc/1754871/</t>
        </is>
      </c>
    </row>
    <row r="1621">
      <c r="A1621" t="inlineStr">
        <is>
          <t>THREATFOX_IOC</t>
        </is>
      </c>
      <c r="B1621" t="inlineStr">
        <is>
          <t>1754870</t>
        </is>
      </c>
      <c r="C1621" t="inlineStr">
        <is>
          <t>domain IOC:  | Malware: AdaptixC2 | Confidence: 100%</t>
        </is>
      </c>
      <c r="D1621" t="n">
        <v>7.5</v>
      </c>
      <c r="E1621" t="inlineStr">
        <is>
          <t>HIGH</t>
        </is>
      </c>
      <c r="F1621" t="n">
        <v>3</v>
      </c>
      <c r="G1621" t="n">
        <v>2</v>
      </c>
      <c r="H1621" t="inlineStr">
        <is>
          <t>HIGH</t>
        </is>
      </c>
      <c r="I1621" t="n">
        <v>13.5</v>
      </c>
      <c r="J1621" t="inlineStr">
        <is>
          <t>NO</t>
        </is>
      </c>
      <c r="K1621" t="inlineStr">
        <is>
          <t>2026-02-25 20:40:43 UTC</t>
        </is>
      </c>
      <c r="L1621" t="inlineStr">
        <is>
          <t>Block IOC</t>
        </is>
      </c>
      <c r="M1621" t="inlineStr">
        <is>
          <t>botnet_cc</t>
        </is>
      </c>
      <c r="N1621" t="inlineStr">
        <is>
          <t>P3</t>
        </is>
      </c>
      <c r="O1621" t="inlineStr">
        <is>
          <t>Classification: Not checked | Context: Not enriched | Name: Not indexed</t>
        </is>
      </c>
      <c r="P1621" t="n">
        <v>0</v>
      </c>
      <c r="Q1621" t="n">
        <v>0</v>
      </c>
      <c r="R1621" t="inlineStr">
        <is>
          <t>T1071:Application Layer Protocol | T1102:Web Service</t>
        </is>
      </c>
      <c r="S1621" t="n">
        <v>1</v>
      </c>
      <c r="T1621" t="inlineStr">
        <is>
          <t>LOW (40%)</t>
        </is>
      </c>
      <c r="U1621" t="inlineStr">
        <is>
          <t>NONE</t>
        </is>
      </c>
      <c r="V1621" t="inlineStr">
        <is>
          <t>NONE</t>
        </is>
      </c>
      <c r="W1621" t="inlineStr">
        <is>
          <t>NONE</t>
        </is>
      </c>
      <c r="X1621" t="inlineStr">
        <is>
          <t>NONE</t>
        </is>
      </c>
      <c r="Y1621" t="n">
        <v>0</v>
      </c>
      <c r="Z1621" t="inlineStr"/>
      <c r="AA1621" t="inlineStr">
        <is>
          <t>https://threatfox.abuse.ch/ioc/1754870/</t>
        </is>
      </c>
    </row>
    <row r="1622">
      <c r="A1622" t="inlineStr">
        <is>
          <t>THREATFOX_IOC</t>
        </is>
      </c>
      <c r="B1622" t="inlineStr">
        <is>
          <t>1754869</t>
        </is>
      </c>
      <c r="C1622" t="inlineStr">
        <is>
          <t>ip:port IOC:  | Malware: AdaptixC2 | Confidence: 100%</t>
        </is>
      </c>
      <c r="D1622" t="n">
        <v>7.5</v>
      </c>
      <c r="E1622" t="inlineStr">
        <is>
          <t>HIGH</t>
        </is>
      </c>
      <c r="F1622" t="n">
        <v>3</v>
      </c>
      <c r="G1622" t="n">
        <v>2</v>
      </c>
      <c r="H1622" t="inlineStr">
        <is>
          <t>HIGH</t>
        </is>
      </c>
      <c r="I1622" t="n">
        <v>13.5</v>
      </c>
      <c r="J1622" t="inlineStr">
        <is>
          <t>NO</t>
        </is>
      </c>
      <c r="K1622" t="inlineStr">
        <is>
          <t>2026-02-25 20:37:51 UTC</t>
        </is>
      </c>
      <c r="L1622" t="inlineStr">
        <is>
          <t>Block IOC</t>
        </is>
      </c>
      <c r="M1622" t="inlineStr">
        <is>
          <t>botnet_cc</t>
        </is>
      </c>
      <c r="N1622" t="inlineStr">
        <is>
          <t>P3</t>
        </is>
      </c>
      <c r="O1622" t="inlineStr">
        <is>
          <t>Classification: hosting-provider | Context: 🌍 Sweden | Stockholm | 🏢 AWS EC2 (eu-north-1) | ASN: AS16509 Amazon.com, Inc. | 🖥️ Hosting/DC | Name: AWS EC2 (eu-north-1)</t>
        </is>
      </c>
      <c r="P1622" t="n">
        <v>0</v>
      </c>
      <c r="Q1622" t="n">
        <v>0</v>
      </c>
      <c r="R1622" t="inlineStr">
        <is>
          <t>T1071:Application Layer Protocol | T1102:Web Service</t>
        </is>
      </c>
      <c r="S1622" t="n">
        <v>1</v>
      </c>
      <c r="T1622" t="inlineStr">
        <is>
          <t>LOW (40%)</t>
        </is>
      </c>
      <c r="U1622" t="inlineStr">
        <is>
          <t>NONE</t>
        </is>
      </c>
      <c r="V1622" t="inlineStr">
        <is>
          <t>NONE</t>
        </is>
      </c>
      <c r="W1622" t="inlineStr">
        <is>
          <t>NONE</t>
        </is>
      </c>
      <c r="X1622" t="inlineStr">
        <is>
          <t>NONE</t>
        </is>
      </c>
      <c r="Y1622" t="n">
        <v>0</v>
      </c>
      <c r="Z1622" t="inlineStr"/>
      <c r="AA1622" t="inlineStr">
        <is>
          <t>https://threatfox.abuse.ch/ioc/1754869/</t>
        </is>
      </c>
    </row>
    <row r="1623">
      <c r="A1623" t="inlineStr">
        <is>
          <t>THREATFOX_IOC</t>
        </is>
      </c>
      <c r="B1623" t="inlineStr">
        <is>
          <t>1754868</t>
        </is>
      </c>
      <c r="C1623" t="inlineStr">
        <is>
          <t>url IOC:  | Malware: Unknown malware | Confidence: 90%</t>
        </is>
      </c>
      <c r="D1623" t="n">
        <v>7.5</v>
      </c>
      <c r="E1623" t="inlineStr">
        <is>
          <t>HIGH</t>
        </is>
      </c>
      <c r="F1623" t="n">
        <v>3</v>
      </c>
      <c r="G1623" t="n">
        <v>2</v>
      </c>
      <c r="H1623" t="inlineStr">
        <is>
          <t>HIGH</t>
        </is>
      </c>
      <c r="I1623" t="n">
        <v>13.5</v>
      </c>
      <c r="J1623" t="inlineStr">
        <is>
          <t>NO</t>
        </is>
      </c>
      <c r="K1623" t="inlineStr">
        <is>
          <t>2026-02-25 20:31:04 UTC</t>
        </is>
      </c>
      <c r="L1623" t="inlineStr">
        <is>
          <t>Block IOC</t>
        </is>
      </c>
      <c r="M1623" t="inlineStr">
        <is>
          <t>payload_delivery</t>
        </is>
      </c>
      <c r="N1623" t="inlineStr">
        <is>
          <t>P3</t>
        </is>
      </c>
      <c r="O1623" t="inlineStr">
        <is>
          <t>Classification: Not checked | Context: Not enriched | Name: Not indexed</t>
        </is>
      </c>
      <c r="P1623" t="n">
        <v>0</v>
      </c>
      <c r="Q1623" t="n">
        <v>0</v>
      </c>
      <c r="R1623" t="inlineStr">
        <is>
          <t>T1071:Application Layer Protocol | T1102:Web Service</t>
        </is>
      </c>
      <c r="S1623" t="n">
        <v>1</v>
      </c>
      <c r="T1623" t="inlineStr">
        <is>
          <t>LOW (40%)</t>
        </is>
      </c>
      <c r="U1623" t="inlineStr">
        <is>
          <t>NONE</t>
        </is>
      </c>
      <c r="V1623" t="inlineStr">
        <is>
          <t>NONE</t>
        </is>
      </c>
      <c r="W1623" t="inlineStr">
        <is>
          <t>NONE</t>
        </is>
      </c>
      <c r="X1623" t="inlineStr">
        <is>
          <t>NONE</t>
        </is>
      </c>
      <c r="Y1623" t="n">
        <v>0</v>
      </c>
      <c r="Z1623" t="inlineStr"/>
      <c r="AA1623" t="inlineStr">
        <is>
          <t>https://threatfox.abuse.ch/ioc/1754868/</t>
        </is>
      </c>
    </row>
    <row r="1624">
      <c r="A1624" t="inlineStr">
        <is>
          <t>THREATFOX_IOC</t>
        </is>
      </c>
      <c r="B1624" t="inlineStr">
        <is>
          <t>1754865</t>
        </is>
      </c>
      <c r="C1624" t="inlineStr">
        <is>
          <t>ip:port IOC:  | Malware: KongTuke | Confidence: 75%</t>
        </is>
      </c>
      <c r="D1624" t="n">
        <v>7.5</v>
      </c>
      <c r="E1624" t="inlineStr">
        <is>
          <t>HIGH</t>
        </is>
      </c>
      <c r="F1624" t="n">
        <v>3</v>
      </c>
      <c r="G1624" t="n">
        <v>2</v>
      </c>
      <c r="H1624" t="inlineStr">
        <is>
          <t>HIGH</t>
        </is>
      </c>
      <c r="I1624" t="n">
        <v>13.5</v>
      </c>
      <c r="J1624" t="inlineStr">
        <is>
          <t>NO</t>
        </is>
      </c>
      <c r="K1624" t="inlineStr">
        <is>
          <t>2026-02-25 20:18:36 UTC</t>
        </is>
      </c>
      <c r="L1624" t="inlineStr">
        <is>
          <t>Block IOC</t>
        </is>
      </c>
      <c r="M1624" t="inlineStr">
        <is>
          <t>botnet_cc</t>
        </is>
      </c>
      <c r="N1624" t="inlineStr">
        <is>
          <t>P3</t>
        </is>
      </c>
      <c r="O1624" t="inlineStr">
        <is>
          <t>Classification: hosting-provider | Context: 🌍 Sweden | Stockholm | 🏢 AWS EC2 (eu-north-1) | ASN: AS16509 Amazon.com, Inc. | 🖥️ Hosting/DC | Name: AWS EC2 (eu-north-1)</t>
        </is>
      </c>
      <c r="P1624" t="n">
        <v>0</v>
      </c>
      <c r="Q1624" t="n">
        <v>0</v>
      </c>
      <c r="R1624" t="inlineStr">
        <is>
          <t>T1071:Application Layer Protocol | T1102:Web Service</t>
        </is>
      </c>
      <c r="S1624" t="n">
        <v>1</v>
      </c>
      <c r="T1624" t="inlineStr">
        <is>
          <t>LOW (40%)</t>
        </is>
      </c>
      <c r="U1624" t="inlineStr">
        <is>
          <t>NONE</t>
        </is>
      </c>
      <c r="V1624" t="inlineStr">
        <is>
          <t>NONE</t>
        </is>
      </c>
      <c r="W1624" t="inlineStr">
        <is>
          <t>NONE</t>
        </is>
      </c>
      <c r="X1624" t="inlineStr">
        <is>
          <t>NONE</t>
        </is>
      </c>
      <c r="Y1624" t="n">
        <v>0</v>
      </c>
      <c r="Z1624" t="inlineStr"/>
      <c r="AA1624" t="inlineStr">
        <is>
          <t>https://threatfox.abuse.ch/ioc/1754865/</t>
        </is>
      </c>
    </row>
    <row r="1625">
      <c r="A1625" t="inlineStr">
        <is>
          <t>THREATFOX_IOC</t>
        </is>
      </c>
      <c r="B1625" t="inlineStr">
        <is>
          <t>1754866</t>
        </is>
      </c>
      <c r="C1625" t="inlineStr">
        <is>
          <t>ip:port IOC:  | Malware: KongTuke | Confidence: 75%</t>
        </is>
      </c>
      <c r="D1625" t="n">
        <v>7.5</v>
      </c>
      <c r="E1625" t="inlineStr">
        <is>
          <t>HIGH</t>
        </is>
      </c>
      <c r="F1625" t="n">
        <v>3</v>
      </c>
      <c r="G1625" t="n">
        <v>2</v>
      </c>
      <c r="H1625" t="inlineStr">
        <is>
          <t>HIGH</t>
        </is>
      </c>
      <c r="I1625" t="n">
        <v>13.5</v>
      </c>
      <c r="J1625" t="inlineStr">
        <is>
          <t>NO</t>
        </is>
      </c>
      <c r="K1625" t="inlineStr">
        <is>
          <t>2026-02-25 20:18:36 UTC</t>
        </is>
      </c>
      <c r="L1625" t="inlineStr">
        <is>
          <t>Block IOC</t>
        </is>
      </c>
      <c r="M1625" t="inlineStr">
        <is>
          <t>botnet_cc</t>
        </is>
      </c>
      <c r="N1625" t="inlineStr">
        <is>
          <t>P3</t>
        </is>
      </c>
      <c r="O1625" t="inlineStr">
        <is>
          <t>Classification: hosting-provider | Context: 🌍 Sweden | Stockholm | 🏢 AWS EC2 (eu-north-1) | ASN: AS16509 Amazon.com, Inc. | 🖥️ Hosting/DC | Name: AWS EC2 (eu-north-1)</t>
        </is>
      </c>
      <c r="P1625" t="n">
        <v>0</v>
      </c>
      <c r="Q1625" t="n">
        <v>0</v>
      </c>
      <c r="R1625" t="inlineStr">
        <is>
          <t>T1071:Application Layer Protocol | T1102:Web Service</t>
        </is>
      </c>
      <c r="S1625" t="n">
        <v>1</v>
      </c>
      <c r="T1625" t="inlineStr">
        <is>
          <t>LOW (40%)</t>
        </is>
      </c>
      <c r="U1625" t="inlineStr">
        <is>
          <t>NONE</t>
        </is>
      </c>
      <c r="V1625" t="inlineStr">
        <is>
          <t>NONE</t>
        </is>
      </c>
      <c r="W1625" t="inlineStr">
        <is>
          <t>NONE</t>
        </is>
      </c>
      <c r="X1625" t="inlineStr">
        <is>
          <t>NONE</t>
        </is>
      </c>
      <c r="Y1625" t="n">
        <v>0</v>
      </c>
      <c r="Z1625" t="inlineStr"/>
      <c r="AA1625" t="inlineStr">
        <is>
          <t>https://threatfox.abuse.ch/ioc/1754866/</t>
        </is>
      </c>
    </row>
    <row r="1626">
      <c r="A1626" t="inlineStr">
        <is>
          <t>THREATFOX_IOC</t>
        </is>
      </c>
      <c r="B1626" t="inlineStr">
        <is>
          <t>1754867</t>
        </is>
      </c>
      <c r="C1626" t="inlineStr">
        <is>
          <t>ip:port IOC:  | Malware: KongTuke | Confidence: 75%</t>
        </is>
      </c>
      <c r="D1626" t="n">
        <v>7.5</v>
      </c>
      <c r="E1626" t="inlineStr">
        <is>
          <t>HIGH</t>
        </is>
      </c>
      <c r="F1626" t="n">
        <v>3</v>
      </c>
      <c r="G1626" t="n">
        <v>2</v>
      </c>
      <c r="H1626" t="inlineStr">
        <is>
          <t>HIGH</t>
        </is>
      </c>
      <c r="I1626" t="n">
        <v>13.5</v>
      </c>
      <c r="J1626" t="inlineStr">
        <is>
          <t>NO</t>
        </is>
      </c>
      <c r="K1626" t="inlineStr">
        <is>
          <t>2026-02-25 20:18:36 UTC</t>
        </is>
      </c>
      <c r="L1626" t="inlineStr">
        <is>
          <t>Block IOC</t>
        </is>
      </c>
      <c r="M1626" t="inlineStr">
        <is>
          <t>botnet_cc</t>
        </is>
      </c>
      <c r="N1626" t="inlineStr">
        <is>
          <t>P3</t>
        </is>
      </c>
      <c r="O1626" t="inlineStr">
        <is>
          <t>Classification: hosting-provider | Context: 🌍 Sweden | Stockholm | 🏢 AWS EC2 (eu-north-1) | ASN: AS16509 Amazon.com, Inc. | 🖥️ Hosting/DC | Name: AWS EC2 (eu-north-1)</t>
        </is>
      </c>
      <c r="P1626" t="n">
        <v>0</v>
      </c>
      <c r="Q1626" t="n">
        <v>0</v>
      </c>
      <c r="R1626" t="inlineStr">
        <is>
          <t>T1071:Application Layer Protocol | T1102:Web Service</t>
        </is>
      </c>
      <c r="S1626" t="n">
        <v>1</v>
      </c>
      <c r="T1626" t="inlineStr">
        <is>
          <t>LOW (40%)</t>
        </is>
      </c>
      <c r="U1626" t="inlineStr">
        <is>
          <t>NONE</t>
        </is>
      </c>
      <c r="V1626" t="inlineStr">
        <is>
          <t>NONE</t>
        </is>
      </c>
      <c r="W1626" t="inlineStr">
        <is>
          <t>NONE</t>
        </is>
      </c>
      <c r="X1626" t="inlineStr">
        <is>
          <t>NONE</t>
        </is>
      </c>
      <c r="Y1626" t="n">
        <v>0</v>
      </c>
      <c r="Z1626" t="inlineStr"/>
      <c r="AA1626" t="inlineStr">
        <is>
          <t>https://threatfox.abuse.ch/ioc/1754867/</t>
        </is>
      </c>
    </row>
    <row r="1627">
      <c r="A1627" t="inlineStr">
        <is>
          <t>THREATFOX_IOC</t>
        </is>
      </c>
      <c r="B1627" t="inlineStr">
        <is>
          <t>1754864</t>
        </is>
      </c>
      <c r="C1627" t="inlineStr">
        <is>
          <t>domain IOC:  | Malware: Remcos | Confidence: 100%</t>
        </is>
      </c>
      <c r="D1627" t="n">
        <v>7.5</v>
      </c>
      <c r="E1627" t="inlineStr">
        <is>
          <t>HIGH</t>
        </is>
      </c>
      <c r="F1627" t="n">
        <v>3</v>
      </c>
      <c r="G1627" t="n">
        <v>2</v>
      </c>
      <c r="H1627" t="inlineStr">
        <is>
          <t>HIGH</t>
        </is>
      </c>
      <c r="I1627" t="n">
        <v>13.5</v>
      </c>
      <c r="J1627" t="inlineStr">
        <is>
          <t>NO</t>
        </is>
      </c>
      <c r="K1627" t="inlineStr">
        <is>
          <t>2026-02-25 20:16:39 UTC</t>
        </is>
      </c>
      <c r="L1627" t="inlineStr">
        <is>
          <t>Block IOC</t>
        </is>
      </c>
      <c r="M1627" t="inlineStr">
        <is>
          <t>botnet_cc</t>
        </is>
      </c>
      <c r="N1627" t="inlineStr">
        <is>
          <t>P3</t>
        </is>
      </c>
      <c r="O1627" t="inlineStr">
        <is>
          <t>Classification: Not checked | Context: Not enriched | Name: Not indexed</t>
        </is>
      </c>
      <c r="P1627" t="n">
        <v>0</v>
      </c>
      <c r="Q1627" t="n">
        <v>0</v>
      </c>
      <c r="R1627" t="inlineStr">
        <is>
          <t>T1071:Application Layer Protocol | T1102:Web Service</t>
        </is>
      </c>
      <c r="S1627" t="n">
        <v>1</v>
      </c>
      <c r="T1627" t="inlineStr">
        <is>
          <t>LOW (40%)</t>
        </is>
      </c>
      <c r="U1627" t="inlineStr">
        <is>
          <t>NONE</t>
        </is>
      </c>
      <c r="V1627" t="inlineStr">
        <is>
          <t>NONE</t>
        </is>
      </c>
      <c r="W1627" t="inlineStr">
        <is>
          <t>NONE</t>
        </is>
      </c>
      <c r="X1627" t="inlineStr">
        <is>
          <t>NONE</t>
        </is>
      </c>
      <c r="Y1627" t="n">
        <v>0</v>
      </c>
      <c r="Z1627" t="inlineStr"/>
      <c r="AA1627" t="inlineStr">
        <is>
          <t>https://threatfox.abuse.ch/ioc/1754864/</t>
        </is>
      </c>
    </row>
    <row r="1628">
      <c r="A1628" t="inlineStr">
        <is>
          <t>THREATFOX_IOC</t>
        </is>
      </c>
      <c r="B1628" t="inlineStr">
        <is>
          <t>1754863</t>
        </is>
      </c>
      <c r="C1628" t="inlineStr">
        <is>
          <t>domain IOC:  | Malware: KongTuke | Confidence: 75%</t>
        </is>
      </c>
      <c r="D1628" t="n">
        <v>7.5</v>
      </c>
      <c r="E1628" t="inlineStr">
        <is>
          <t>HIGH</t>
        </is>
      </c>
      <c r="F1628" t="n">
        <v>3</v>
      </c>
      <c r="G1628" t="n">
        <v>2</v>
      </c>
      <c r="H1628" t="inlineStr">
        <is>
          <t>HIGH</t>
        </is>
      </c>
      <c r="I1628" t="n">
        <v>13.5</v>
      </c>
      <c r="J1628" t="inlineStr">
        <is>
          <t>NO</t>
        </is>
      </c>
      <c r="K1628" t="inlineStr">
        <is>
          <t>2026-02-25 20:14:12 UTC</t>
        </is>
      </c>
      <c r="L1628" t="inlineStr">
        <is>
          <t>Block IOC</t>
        </is>
      </c>
      <c r="M1628" t="inlineStr">
        <is>
          <t>botnet_cc</t>
        </is>
      </c>
      <c r="N1628" t="inlineStr">
        <is>
          <t>P3</t>
        </is>
      </c>
      <c r="O1628" t="inlineStr">
        <is>
          <t>Classification: Not checked | Context: Not enriched | Name: Not indexed</t>
        </is>
      </c>
      <c r="P1628" t="n">
        <v>0</v>
      </c>
      <c r="Q1628" t="n">
        <v>0</v>
      </c>
      <c r="R1628" t="inlineStr">
        <is>
          <t>T1071:Application Layer Protocol | T1102:Web Service</t>
        </is>
      </c>
      <c r="S1628" t="n">
        <v>1</v>
      </c>
      <c r="T1628" t="inlineStr">
        <is>
          <t>LOW (40%)</t>
        </is>
      </c>
      <c r="U1628" t="inlineStr">
        <is>
          <t>NONE</t>
        </is>
      </c>
      <c r="V1628" t="inlineStr">
        <is>
          <t>NONE</t>
        </is>
      </c>
      <c r="W1628" t="inlineStr">
        <is>
          <t>NONE</t>
        </is>
      </c>
      <c r="X1628" t="inlineStr">
        <is>
          <t>NONE</t>
        </is>
      </c>
      <c r="Y1628" t="n">
        <v>0</v>
      </c>
      <c r="Z1628" t="inlineStr"/>
      <c r="AA1628" t="inlineStr">
        <is>
          <t>https://threatfox.abuse.ch/ioc/1754863/</t>
        </is>
      </c>
    </row>
    <row r="1629">
      <c r="A1629" t="inlineStr">
        <is>
          <t>THREATFOX_IOC</t>
        </is>
      </c>
      <c r="B1629" t="inlineStr">
        <is>
          <t>1754857</t>
        </is>
      </c>
      <c r="C1629" t="inlineStr">
        <is>
          <t>domain IOC:  | Malware: KongTuke | Confidence: 75%</t>
        </is>
      </c>
      <c r="D1629" t="n">
        <v>7.5</v>
      </c>
      <c r="E1629" t="inlineStr">
        <is>
          <t>HIGH</t>
        </is>
      </c>
      <c r="F1629" t="n">
        <v>3</v>
      </c>
      <c r="G1629" t="n">
        <v>2</v>
      </c>
      <c r="H1629" t="inlineStr">
        <is>
          <t>HIGH</t>
        </is>
      </c>
      <c r="I1629" t="n">
        <v>13.5</v>
      </c>
      <c r="J1629" t="inlineStr">
        <is>
          <t>NO</t>
        </is>
      </c>
      <c r="K1629" t="inlineStr">
        <is>
          <t>2026-02-25 20:14:11 UTC</t>
        </is>
      </c>
      <c r="L1629" t="inlineStr">
        <is>
          <t>Block IOC</t>
        </is>
      </c>
      <c r="M1629" t="inlineStr">
        <is>
          <t>botnet_cc</t>
        </is>
      </c>
      <c r="N1629" t="inlineStr">
        <is>
          <t>P3</t>
        </is>
      </c>
      <c r="O1629" t="inlineStr">
        <is>
          <t>Classification: Not checked | Context: Not enriched | Name: Not indexed</t>
        </is>
      </c>
      <c r="P1629" t="n">
        <v>0</v>
      </c>
      <c r="Q1629" t="n">
        <v>0</v>
      </c>
      <c r="R1629" t="inlineStr">
        <is>
          <t>T1071:Application Layer Protocol | T1102:Web Service</t>
        </is>
      </c>
      <c r="S1629" t="n">
        <v>1</v>
      </c>
      <c r="T1629" t="inlineStr">
        <is>
          <t>LOW (40%)</t>
        </is>
      </c>
      <c r="U1629" t="inlineStr">
        <is>
          <t>NONE</t>
        </is>
      </c>
      <c r="V1629" t="inlineStr">
        <is>
          <t>NONE</t>
        </is>
      </c>
      <c r="W1629" t="inlineStr">
        <is>
          <t>NONE</t>
        </is>
      </c>
      <c r="X1629" t="inlineStr">
        <is>
          <t>NONE</t>
        </is>
      </c>
      <c r="Y1629" t="n">
        <v>0</v>
      </c>
      <c r="Z1629" t="inlineStr"/>
      <c r="AA1629" t="inlineStr">
        <is>
          <t>https://threatfox.abuse.ch/ioc/1754857/</t>
        </is>
      </c>
    </row>
    <row r="1630">
      <c r="A1630" t="inlineStr">
        <is>
          <t>THREATFOX_IOC</t>
        </is>
      </c>
      <c r="B1630" t="inlineStr">
        <is>
          <t>1754858</t>
        </is>
      </c>
      <c r="C1630" t="inlineStr">
        <is>
          <t>domain IOC:  | Malware: KongTuke | Confidence: 75%</t>
        </is>
      </c>
      <c r="D1630" t="n">
        <v>7.5</v>
      </c>
      <c r="E1630" t="inlineStr">
        <is>
          <t>HIGH</t>
        </is>
      </c>
      <c r="F1630" t="n">
        <v>3</v>
      </c>
      <c r="G1630" t="n">
        <v>2</v>
      </c>
      <c r="H1630" t="inlineStr">
        <is>
          <t>HIGH</t>
        </is>
      </c>
      <c r="I1630" t="n">
        <v>13.5</v>
      </c>
      <c r="J1630" t="inlineStr">
        <is>
          <t>NO</t>
        </is>
      </c>
      <c r="K1630" t="inlineStr">
        <is>
          <t>2026-02-25 20:14:11 UTC</t>
        </is>
      </c>
      <c r="L1630" t="inlineStr">
        <is>
          <t>Block IOC</t>
        </is>
      </c>
      <c r="M1630" t="inlineStr">
        <is>
          <t>botnet_cc</t>
        </is>
      </c>
      <c r="N1630" t="inlineStr">
        <is>
          <t>P3</t>
        </is>
      </c>
      <c r="O1630" t="inlineStr">
        <is>
          <t>Classification: Not checked | Context: Not enriched | Name: Not indexed</t>
        </is>
      </c>
      <c r="P1630" t="n">
        <v>0</v>
      </c>
      <c r="Q1630" t="n">
        <v>0</v>
      </c>
      <c r="R1630" t="inlineStr">
        <is>
          <t>T1071:Application Layer Protocol | T1102:Web Service</t>
        </is>
      </c>
      <c r="S1630" t="n">
        <v>1</v>
      </c>
      <c r="T1630" t="inlineStr">
        <is>
          <t>LOW (40%)</t>
        </is>
      </c>
      <c r="U1630" t="inlineStr">
        <is>
          <t>NONE</t>
        </is>
      </c>
      <c r="V1630" t="inlineStr">
        <is>
          <t>NONE</t>
        </is>
      </c>
      <c r="W1630" t="inlineStr">
        <is>
          <t>NONE</t>
        </is>
      </c>
      <c r="X1630" t="inlineStr">
        <is>
          <t>NONE</t>
        </is>
      </c>
      <c r="Y1630" t="n">
        <v>0</v>
      </c>
      <c r="Z1630" t="inlineStr"/>
      <c r="AA1630" t="inlineStr">
        <is>
          <t>https://threatfox.abuse.ch/ioc/1754858/</t>
        </is>
      </c>
    </row>
    <row r="1631">
      <c r="A1631" t="inlineStr">
        <is>
          <t>THREATFOX_IOC</t>
        </is>
      </c>
      <c r="B1631" t="inlineStr">
        <is>
          <t>1754859</t>
        </is>
      </c>
      <c r="C1631" t="inlineStr">
        <is>
          <t>domain IOC:  | Malware: KongTuke | Confidence: 75%</t>
        </is>
      </c>
      <c r="D1631" t="n">
        <v>7.5</v>
      </c>
      <c r="E1631" t="inlineStr">
        <is>
          <t>HIGH</t>
        </is>
      </c>
      <c r="F1631" t="n">
        <v>3</v>
      </c>
      <c r="G1631" t="n">
        <v>2</v>
      </c>
      <c r="H1631" t="inlineStr">
        <is>
          <t>HIGH</t>
        </is>
      </c>
      <c r="I1631" t="n">
        <v>13.5</v>
      </c>
      <c r="J1631" t="inlineStr">
        <is>
          <t>NO</t>
        </is>
      </c>
      <c r="K1631" t="inlineStr">
        <is>
          <t>2026-02-25 20:14:11 UTC</t>
        </is>
      </c>
      <c r="L1631" t="inlineStr">
        <is>
          <t>Block IOC</t>
        </is>
      </c>
      <c r="M1631" t="inlineStr">
        <is>
          <t>botnet_cc</t>
        </is>
      </c>
      <c r="N1631" t="inlineStr">
        <is>
          <t>P3</t>
        </is>
      </c>
      <c r="O1631" t="inlineStr">
        <is>
          <t>Classification: Not checked | Context: Not enriched | Name: Not indexed</t>
        </is>
      </c>
      <c r="P1631" t="n">
        <v>0</v>
      </c>
      <c r="Q1631" t="n">
        <v>0</v>
      </c>
      <c r="R1631" t="inlineStr">
        <is>
          <t>T1071:Application Layer Protocol | T1102:Web Service</t>
        </is>
      </c>
      <c r="S1631" t="n">
        <v>1</v>
      </c>
      <c r="T1631" t="inlineStr">
        <is>
          <t>LOW (40%)</t>
        </is>
      </c>
      <c r="U1631" t="inlineStr">
        <is>
          <t>NONE</t>
        </is>
      </c>
      <c r="V1631" t="inlineStr">
        <is>
          <t>NONE</t>
        </is>
      </c>
      <c r="W1631" t="inlineStr">
        <is>
          <t>NONE</t>
        </is>
      </c>
      <c r="X1631" t="inlineStr">
        <is>
          <t>NONE</t>
        </is>
      </c>
      <c r="Y1631" t="n">
        <v>0</v>
      </c>
      <c r="Z1631" t="inlineStr"/>
      <c r="AA1631" t="inlineStr">
        <is>
          <t>https://threatfox.abuse.ch/ioc/1754859/</t>
        </is>
      </c>
    </row>
    <row r="1632">
      <c r="A1632" t="inlineStr">
        <is>
          <t>THREATFOX_IOC</t>
        </is>
      </c>
      <c r="B1632" t="inlineStr">
        <is>
          <t>1754860</t>
        </is>
      </c>
      <c r="C1632" t="inlineStr">
        <is>
          <t>domain IOC:  | Malware: KongTuke | Confidence: 75%</t>
        </is>
      </c>
      <c r="D1632" t="n">
        <v>7.5</v>
      </c>
      <c r="E1632" t="inlineStr">
        <is>
          <t>HIGH</t>
        </is>
      </c>
      <c r="F1632" t="n">
        <v>3</v>
      </c>
      <c r="G1632" t="n">
        <v>2</v>
      </c>
      <c r="H1632" t="inlineStr">
        <is>
          <t>HIGH</t>
        </is>
      </c>
      <c r="I1632" t="n">
        <v>13.5</v>
      </c>
      <c r="J1632" t="inlineStr">
        <is>
          <t>NO</t>
        </is>
      </c>
      <c r="K1632" t="inlineStr">
        <is>
          <t>2026-02-25 20:14:11 UTC</t>
        </is>
      </c>
      <c r="L1632" t="inlineStr">
        <is>
          <t>Block IOC</t>
        </is>
      </c>
      <c r="M1632" t="inlineStr">
        <is>
          <t>botnet_cc</t>
        </is>
      </c>
      <c r="N1632" t="inlineStr">
        <is>
          <t>P3</t>
        </is>
      </c>
      <c r="O1632" t="inlineStr">
        <is>
          <t>Classification: skipped | Context: Skipped (20/run IOC cap) | Name: N/A</t>
        </is>
      </c>
      <c r="P1632" t="n">
        <v>0</v>
      </c>
      <c r="Q1632" t="n">
        <v>0</v>
      </c>
      <c r="R1632" t="inlineStr">
        <is>
          <t>T1071:Application Layer Protocol | T1102:Web Service</t>
        </is>
      </c>
      <c r="S1632" t="n">
        <v>1</v>
      </c>
      <c r="T1632" t="inlineStr">
        <is>
          <t>LOW (40%)</t>
        </is>
      </c>
      <c r="U1632" t="inlineStr">
        <is>
          <t>NONE</t>
        </is>
      </c>
      <c r="V1632" t="inlineStr">
        <is>
          <t>NONE</t>
        </is>
      </c>
      <c r="W1632" t="inlineStr">
        <is>
          <t>NONE</t>
        </is>
      </c>
      <c r="X1632" t="inlineStr">
        <is>
          <t>NONE</t>
        </is>
      </c>
      <c r="Y1632" t="n">
        <v>0</v>
      </c>
      <c r="Z1632" t="inlineStr"/>
      <c r="AA1632" t="inlineStr">
        <is>
          <t>https://threatfox.abuse.ch/ioc/1754860/</t>
        </is>
      </c>
    </row>
    <row r="1633">
      <c r="A1633" t="inlineStr">
        <is>
          <t>THREATFOX_IOC</t>
        </is>
      </c>
      <c r="B1633" t="inlineStr">
        <is>
          <t>1754861</t>
        </is>
      </c>
      <c r="C1633" t="inlineStr">
        <is>
          <t>domain IOC:  | Malware: KongTuke | Confidence: 75%</t>
        </is>
      </c>
      <c r="D1633" t="n">
        <v>7.5</v>
      </c>
      <c r="E1633" t="inlineStr">
        <is>
          <t>HIGH</t>
        </is>
      </c>
      <c r="F1633" t="n">
        <v>3</v>
      </c>
      <c r="G1633" t="n">
        <v>2</v>
      </c>
      <c r="H1633" t="inlineStr">
        <is>
          <t>HIGH</t>
        </is>
      </c>
      <c r="I1633" t="n">
        <v>13.5</v>
      </c>
      <c r="J1633" t="inlineStr">
        <is>
          <t>NO</t>
        </is>
      </c>
      <c r="K1633" t="inlineStr">
        <is>
          <t>2026-02-25 20:14:11 UTC</t>
        </is>
      </c>
      <c r="L1633" t="inlineStr">
        <is>
          <t>Block IOC</t>
        </is>
      </c>
      <c r="M1633" t="inlineStr">
        <is>
          <t>botnet_cc</t>
        </is>
      </c>
      <c r="N1633" t="inlineStr">
        <is>
          <t>P3</t>
        </is>
      </c>
      <c r="O1633" t="inlineStr">
        <is>
          <t>Classification: skipped | Context: Skipped (20/run IOC cap) | Name: N/A</t>
        </is>
      </c>
      <c r="P1633" t="n">
        <v>0</v>
      </c>
      <c r="Q1633" t="n">
        <v>0</v>
      </c>
      <c r="R1633" t="inlineStr">
        <is>
          <t>T1071:Application Layer Protocol | T1102:Web Service</t>
        </is>
      </c>
      <c r="S1633" t="n">
        <v>1</v>
      </c>
      <c r="T1633" t="inlineStr">
        <is>
          <t>LOW (40%)</t>
        </is>
      </c>
      <c r="U1633" t="inlineStr">
        <is>
          <t>NONE</t>
        </is>
      </c>
      <c r="V1633" t="inlineStr">
        <is>
          <t>NONE</t>
        </is>
      </c>
      <c r="W1633" t="inlineStr">
        <is>
          <t>NONE</t>
        </is>
      </c>
      <c r="X1633" t="inlineStr">
        <is>
          <t>NONE</t>
        </is>
      </c>
      <c r="Y1633" t="n">
        <v>0</v>
      </c>
      <c r="Z1633" t="inlineStr"/>
      <c r="AA1633" t="inlineStr">
        <is>
          <t>https://threatfox.abuse.ch/ioc/1754861/</t>
        </is>
      </c>
    </row>
    <row r="1634">
      <c r="A1634" t="inlineStr">
        <is>
          <t>THREATFOX_IOC</t>
        </is>
      </c>
      <c r="B1634" t="inlineStr">
        <is>
          <t>1754862</t>
        </is>
      </c>
      <c r="C1634" t="inlineStr">
        <is>
          <t>domain IOC:  | Malware: KongTuke | Confidence: 75%</t>
        </is>
      </c>
      <c r="D1634" t="n">
        <v>7.5</v>
      </c>
      <c r="E1634" t="inlineStr">
        <is>
          <t>HIGH</t>
        </is>
      </c>
      <c r="F1634" t="n">
        <v>3</v>
      </c>
      <c r="G1634" t="n">
        <v>2</v>
      </c>
      <c r="H1634" t="inlineStr">
        <is>
          <t>HIGH</t>
        </is>
      </c>
      <c r="I1634" t="n">
        <v>13.5</v>
      </c>
      <c r="J1634" t="inlineStr">
        <is>
          <t>NO</t>
        </is>
      </c>
      <c r="K1634" t="inlineStr">
        <is>
          <t>2026-02-25 20:14:11 UTC</t>
        </is>
      </c>
      <c r="L1634" t="inlineStr">
        <is>
          <t>Block IOC</t>
        </is>
      </c>
      <c r="M1634" t="inlineStr">
        <is>
          <t>botnet_cc</t>
        </is>
      </c>
      <c r="N1634" t="inlineStr">
        <is>
          <t>P3</t>
        </is>
      </c>
      <c r="O1634" t="inlineStr">
        <is>
          <t>Classification: skipped | Context: Skipped (20/run IOC cap) | Name: N/A</t>
        </is>
      </c>
      <c r="P1634" t="n">
        <v>0</v>
      </c>
      <c r="Q1634" t="n">
        <v>0</v>
      </c>
      <c r="R1634" t="inlineStr">
        <is>
          <t>T1071:Application Layer Protocol | T1102:Web Service</t>
        </is>
      </c>
      <c r="S1634" t="n">
        <v>1</v>
      </c>
      <c r="T1634" t="inlineStr">
        <is>
          <t>LOW (40%)</t>
        </is>
      </c>
      <c r="U1634" t="inlineStr">
        <is>
          <t>NONE</t>
        </is>
      </c>
      <c r="V1634" t="inlineStr">
        <is>
          <t>NONE</t>
        </is>
      </c>
      <c r="W1634" t="inlineStr">
        <is>
          <t>NONE</t>
        </is>
      </c>
      <c r="X1634" t="inlineStr">
        <is>
          <t>NONE</t>
        </is>
      </c>
      <c r="Y1634" t="n">
        <v>0</v>
      </c>
      <c r="Z1634" t="inlineStr"/>
      <c r="AA1634" t="inlineStr">
        <is>
          <t>https://threatfox.abuse.ch/ioc/1754862/</t>
        </is>
      </c>
    </row>
    <row r="1635">
      <c r="A1635" t="inlineStr">
        <is>
          <t>THREATFOX_IOC</t>
        </is>
      </c>
      <c r="B1635" t="inlineStr">
        <is>
          <t>1754854</t>
        </is>
      </c>
      <c r="C1635" t="inlineStr">
        <is>
          <t>domain IOC:  | Malware: Unknown malware | Confidence: 100%</t>
        </is>
      </c>
      <c r="D1635" t="n">
        <v>7.5</v>
      </c>
      <c r="E1635" t="inlineStr">
        <is>
          <t>HIGH</t>
        </is>
      </c>
      <c r="F1635" t="n">
        <v>3</v>
      </c>
      <c r="G1635" t="n">
        <v>2</v>
      </c>
      <c r="H1635" t="inlineStr">
        <is>
          <t>HIGH</t>
        </is>
      </c>
      <c r="I1635" t="n">
        <v>13.5</v>
      </c>
      <c r="J1635" t="inlineStr">
        <is>
          <t>NO</t>
        </is>
      </c>
      <c r="K1635" t="inlineStr">
        <is>
          <t>2026-02-25 20:06:55 UTC</t>
        </is>
      </c>
      <c r="L1635" t="inlineStr">
        <is>
          <t>Block IOC</t>
        </is>
      </c>
      <c r="M1635" t="inlineStr">
        <is>
          <t>botnet_cc</t>
        </is>
      </c>
      <c r="N1635" t="inlineStr">
        <is>
          <t>P3</t>
        </is>
      </c>
      <c r="O1635" t="inlineStr">
        <is>
          <t>Classification: skipped | Context: Skipped (20/run IOC cap) | Name: N/A</t>
        </is>
      </c>
      <c r="P1635" t="n">
        <v>0</v>
      </c>
      <c r="Q1635" t="n">
        <v>0</v>
      </c>
      <c r="R1635" t="inlineStr">
        <is>
          <t>T1071:Application Layer Protocol | T1102:Web Service</t>
        </is>
      </c>
      <c r="S1635" t="n">
        <v>1</v>
      </c>
      <c r="T1635" t="inlineStr">
        <is>
          <t>LOW (40%)</t>
        </is>
      </c>
      <c r="U1635" t="inlineStr">
        <is>
          <t>NONE</t>
        </is>
      </c>
      <c r="V1635" t="inlineStr">
        <is>
          <t>NONE</t>
        </is>
      </c>
      <c r="W1635" t="inlineStr">
        <is>
          <t>NONE</t>
        </is>
      </c>
      <c r="X1635" t="inlineStr">
        <is>
          <t>NONE</t>
        </is>
      </c>
      <c r="Y1635" t="n">
        <v>0</v>
      </c>
      <c r="Z1635" t="inlineStr"/>
      <c r="AA1635" t="inlineStr">
        <is>
          <t>https://threatfox.abuse.ch/ioc/1754854/</t>
        </is>
      </c>
    </row>
    <row r="1636">
      <c r="A1636" t="inlineStr">
        <is>
          <t>THREATFOX_IOC</t>
        </is>
      </c>
      <c r="B1636" t="inlineStr">
        <is>
          <t>1754855</t>
        </is>
      </c>
      <c r="C1636" t="inlineStr">
        <is>
          <t>domain IOC:  | Malware: Unknown malware | Confidence: 100%</t>
        </is>
      </c>
      <c r="D1636" t="n">
        <v>7.5</v>
      </c>
      <c r="E1636" t="inlineStr">
        <is>
          <t>HIGH</t>
        </is>
      </c>
      <c r="F1636" t="n">
        <v>3</v>
      </c>
      <c r="G1636" t="n">
        <v>2</v>
      </c>
      <c r="H1636" t="inlineStr">
        <is>
          <t>HIGH</t>
        </is>
      </c>
      <c r="I1636" t="n">
        <v>13.5</v>
      </c>
      <c r="J1636" t="inlineStr">
        <is>
          <t>NO</t>
        </is>
      </c>
      <c r="K1636" t="inlineStr">
        <is>
          <t>2026-02-25 20:06:55 UTC</t>
        </is>
      </c>
      <c r="L1636" t="inlineStr">
        <is>
          <t>Block IOC</t>
        </is>
      </c>
      <c r="M1636" t="inlineStr">
        <is>
          <t>botnet_cc</t>
        </is>
      </c>
      <c r="N1636" t="inlineStr">
        <is>
          <t>P3</t>
        </is>
      </c>
      <c r="O1636" t="inlineStr">
        <is>
          <t>Classification: skipped | Context: Skipped (20/run IOC cap) | Name: N/A</t>
        </is>
      </c>
      <c r="P1636" t="n">
        <v>0</v>
      </c>
      <c r="Q1636" t="n">
        <v>0</v>
      </c>
      <c r="R1636" t="inlineStr">
        <is>
          <t>T1071:Application Layer Protocol | T1102:Web Service</t>
        </is>
      </c>
      <c r="S1636" t="n">
        <v>1</v>
      </c>
      <c r="T1636" t="inlineStr">
        <is>
          <t>LOW (40%)</t>
        </is>
      </c>
      <c r="U1636" t="inlineStr">
        <is>
          <t>NONE</t>
        </is>
      </c>
      <c r="V1636" t="inlineStr">
        <is>
          <t>NONE</t>
        </is>
      </c>
      <c r="W1636" t="inlineStr">
        <is>
          <t>NONE</t>
        </is>
      </c>
      <c r="X1636" t="inlineStr">
        <is>
          <t>NONE</t>
        </is>
      </c>
      <c r="Y1636" t="n">
        <v>0</v>
      </c>
      <c r="Z1636" t="inlineStr"/>
      <c r="AA1636" t="inlineStr">
        <is>
          <t>https://threatfox.abuse.ch/ioc/1754855/</t>
        </is>
      </c>
    </row>
    <row r="1637">
      <c r="A1637" t="inlineStr">
        <is>
          <t>THREATFOX_IOC</t>
        </is>
      </c>
      <c r="B1637" t="inlineStr">
        <is>
          <t>1754856</t>
        </is>
      </c>
      <c r="C1637" t="inlineStr">
        <is>
          <t>domain IOC:  | Malware: Unknown malware | Confidence: 100%</t>
        </is>
      </c>
      <c r="D1637" t="n">
        <v>7.5</v>
      </c>
      <c r="E1637" t="inlineStr">
        <is>
          <t>HIGH</t>
        </is>
      </c>
      <c r="F1637" t="n">
        <v>3</v>
      </c>
      <c r="G1637" t="n">
        <v>2</v>
      </c>
      <c r="H1637" t="inlineStr">
        <is>
          <t>HIGH</t>
        </is>
      </c>
      <c r="I1637" t="n">
        <v>13.5</v>
      </c>
      <c r="J1637" t="inlineStr">
        <is>
          <t>NO</t>
        </is>
      </c>
      <c r="K1637" t="inlineStr">
        <is>
          <t>2026-02-25 20:06:55 UTC</t>
        </is>
      </c>
      <c r="L1637" t="inlineStr">
        <is>
          <t>Block IOC</t>
        </is>
      </c>
      <c r="M1637" t="inlineStr">
        <is>
          <t>botnet_cc</t>
        </is>
      </c>
      <c r="N1637" t="inlineStr">
        <is>
          <t>P3</t>
        </is>
      </c>
      <c r="O1637" t="inlineStr">
        <is>
          <t>Classification: skipped | Context: Skipped (20/run IOC cap) | Name: N/A</t>
        </is>
      </c>
      <c r="P1637" t="n">
        <v>0</v>
      </c>
      <c r="Q1637" t="n">
        <v>0</v>
      </c>
      <c r="R1637" t="inlineStr">
        <is>
          <t>T1071:Application Layer Protocol | T1102:Web Service</t>
        </is>
      </c>
      <c r="S1637" t="n">
        <v>1</v>
      </c>
      <c r="T1637" t="inlineStr">
        <is>
          <t>LOW (40%)</t>
        </is>
      </c>
      <c r="U1637" t="inlineStr">
        <is>
          <t>NONE</t>
        </is>
      </c>
      <c r="V1637" t="inlineStr">
        <is>
          <t>NONE</t>
        </is>
      </c>
      <c r="W1637" t="inlineStr">
        <is>
          <t>NONE</t>
        </is>
      </c>
      <c r="X1637" t="inlineStr">
        <is>
          <t>NONE</t>
        </is>
      </c>
      <c r="Y1637" t="n">
        <v>0</v>
      </c>
      <c r="Z1637" t="inlineStr"/>
      <c r="AA1637" t="inlineStr">
        <is>
          <t>https://threatfox.abuse.ch/ioc/1754856/</t>
        </is>
      </c>
    </row>
    <row r="1638">
      <c r="A1638" t="inlineStr">
        <is>
          <t>THREATFOX_IOC</t>
        </is>
      </c>
      <c r="B1638" t="inlineStr">
        <is>
          <t>1754853</t>
        </is>
      </c>
      <c r="C1638" t="inlineStr">
        <is>
          <t>ip:port IOC:  | Malware: AdaptixC2 | Confidence: 100%</t>
        </is>
      </c>
      <c r="D1638" t="n">
        <v>7.5</v>
      </c>
      <c r="E1638" t="inlineStr">
        <is>
          <t>HIGH</t>
        </is>
      </c>
      <c r="F1638" t="n">
        <v>3</v>
      </c>
      <c r="G1638" t="n">
        <v>2</v>
      </c>
      <c r="H1638" t="inlineStr">
        <is>
          <t>HIGH</t>
        </is>
      </c>
      <c r="I1638" t="n">
        <v>13.5</v>
      </c>
      <c r="J1638" t="inlineStr">
        <is>
          <t>NO</t>
        </is>
      </c>
      <c r="K1638" t="inlineStr">
        <is>
          <t>2026-02-25 20:05:42 UTC</t>
        </is>
      </c>
      <c r="L1638" t="inlineStr">
        <is>
          <t>Block IOC</t>
        </is>
      </c>
      <c r="M1638" t="inlineStr">
        <is>
          <t>botnet_cc</t>
        </is>
      </c>
      <c r="N1638" t="inlineStr">
        <is>
          <t>P3</t>
        </is>
      </c>
      <c r="O1638" t="inlineStr">
        <is>
          <t>Classification: skipped | Context: Skipped (20/run IOC cap) | Name: N/A</t>
        </is>
      </c>
      <c r="P1638" t="n">
        <v>0</v>
      </c>
      <c r="Q1638" t="n">
        <v>0</v>
      </c>
      <c r="R1638" t="inlineStr">
        <is>
          <t>T1071:Application Layer Protocol | T1102:Web Service</t>
        </is>
      </c>
      <c r="S1638" t="n">
        <v>1</v>
      </c>
      <c r="T1638" t="inlineStr">
        <is>
          <t>LOW (40%)</t>
        </is>
      </c>
      <c r="U1638" t="inlineStr">
        <is>
          <t>NONE</t>
        </is>
      </c>
      <c r="V1638" t="inlineStr">
        <is>
          <t>NONE</t>
        </is>
      </c>
      <c r="W1638" t="inlineStr">
        <is>
          <t>NONE</t>
        </is>
      </c>
      <c r="X1638" t="inlineStr">
        <is>
          <t>NONE</t>
        </is>
      </c>
      <c r="Y1638" t="n">
        <v>0</v>
      </c>
      <c r="Z1638" t="inlineStr"/>
      <c r="AA1638" t="inlineStr">
        <is>
          <t>https://threatfox.abuse.ch/ioc/1754853/</t>
        </is>
      </c>
    </row>
    <row r="1639">
      <c r="A1639" t="inlineStr">
        <is>
          <t>THREATFOX_IOC</t>
        </is>
      </c>
      <c r="B1639" t="inlineStr">
        <is>
          <t>1754852</t>
        </is>
      </c>
      <c r="C1639" t="inlineStr">
        <is>
          <t>ip:port IOC:  | Malware: Mirai | Confidence: 100%</t>
        </is>
      </c>
      <c r="D1639" t="n">
        <v>7.5</v>
      </c>
      <c r="E1639" t="inlineStr">
        <is>
          <t>HIGH</t>
        </is>
      </c>
      <c r="F1639" t="n">
        <v>3</v>
      </c>
      <c r="G1639" t="n">
        <v>2</v>
      </c>
      <c r="H1639" t="inlineStr">
        <is>
          <t>HIGH</t>
        </is>
      </c>
      <c r="I1639" t="n">
        <v>13.5</v>
      </c>
      <c r="J1639" t="inlineStr">
        <is>
          <t>NO</t>
        </is>
      </c>
      <c r="K1639" t="inlineStr">
        <is>
          <t>2026-02-25 20:05:25 UTC</t>
        </is>
      </c>
      <c r="L1639" t="inlineStr">
        <is>
          <t>Block IOC</t>
        </is>
      </c>
      <c r="M1639" t="inlineStr">
        <is>
          <t>botnet_cc</t>
        </is>
      </c>
      <c r="N1639" t="inlineStr">
        <is>
          <t>P3</t>
        </is>
      </c>
      <c r="O1639" t="inlineStr">
        <is>
          <t>Classification: skipped | Context: Skipped (20/run IOC cap) | Name: N/A</t>
        </is>
      </c>
      <c r="P1639" t="n">
        <v>0</v>
      </c>
      <c r="Q1639" t="n">
        <v>0</v>
      </c>
      <c r="R1639" t="inlineStr">
        <is>
          <t>T1071:Application Layer Protocol | T1102:Web Service</t>
        </is>
      </c>
      <c r="S1639" t="n">
        <v>1</v>
      </c>
      <c r="T1639" t="inlineStr">
        <is>
          <t>LOW (40%)</t>
        </is>
      </c>
      <c r="U1639" t="inlineStr">
        <is>
          <t>NONE</t>
        </is>
      </c>
      <c r="V1639" t="inlineStr">
        <is>
          <t>NONE</t>
        </is>
      </c>
      <c r="W1639" t="inlineStr">
        <is>
          <t>NONE</t>
        </is>
      </c>
      <c r="X1639" t="inlineStr">
        <is>
          <t>NONE</t>
        </is>
      </c>
      <c r="Y1639" t="n">
        <v>0</v>
      </c>
      <c r="Z1639" t="inlineStr"/>
      <c r="AA1639" t="inlineStr">
        <is>
          <t>https://threatfox.abuse.ch/ioc/1754852/</t>
        </is>
      </c>
    </row>
    <row r="1640">
      <c r="A1640" t="inlineStr">
        <is>
          <t>THREATFOX_IOC</t>
        </is>
      </c>
      <c r="B1640" t="inlineStr">
        <is>
          <t>1754851</t>
        </is>
      </c>
      <c r="C1640" t="inlineStr">
        <is>
          <t>ip:port IOC:  | Malware: NetSupportManager RAT | Confidence: 100%</t>
        </is>
      </c>
      <c r="D1640" t="n">
        <v>7.5</v>
      </c>
      <c r="E1640" t="inlineStr">
        <is>
          <t>HIGH</t>
        </is>
      </c>
      <c r="F1640" t="n">
        <v>3</v>
      </c>
      <c r="G1640" t="n">
        <v>2</v>
      </c>
      <c r="H1640" t="inlineStr">
        <is>
          <t>HIGH</t>
        </is>
      </c>
      <c r="I1640" t="n">
        <v>13.5</v>
      </c>
      <c r="J1640" t="inlineStr">
        <is>
          <t>NO</t>
        </is>
      </c>
      <c r="K1640" t="inlineStr">
        <is>
          <t>2026-02-25 20:05:17 UTC</t>
        </is>
      </c>
      <c r="L1640" t="inlineStr">
        <is>
          <t>Block IOC</t>
        </is>
      </c>
      <c r="M1640" t="inlineStr">
        <is>
          <t>botnet_cc</t>
        </is>
      </c>
      <c r="N1640" t="inlineStr">
        <is>
          <t>P3</t>
        </is>
      </c>
      <c r="O1640" t="inlineStr">
        <is>
          <t>Classification: skipped | Context: Skipped (20/run IOC cap) | Name: N/A</t>
        </is>
      </c>
      <c r="P1640" t="n">
        <v>0</v>
      </c>
      <c r="Q1640" t="n">
        <v>0</v>
      </c>
      <c r="R1640" t="inlineStr">
        <is>
          <t>T1071:Application Layer Protocol | T1102:Web Service</t>
        </is>
      </c>
      <c r="S1640" t="n">
        <v>1</v>
      </c>
      <c r="T1640" t="inlineStr">
        <is>
          <t>LOW (40%)</t>
        </is>
      </c>
      <c r="U1640" t="inlineStr">
        <is>
          <t>NONE</t>
        </is>
      </c>
      <c r="V1640" t="inlineStr">
        <is>
          <t>NONE</t>
        </is>
      </c>
      <c r="W1640" t="inlineStr">
        <is>
          <t>NONE</t>
        </is>
      </c>
      <c r="X1640" t="inlineStr">
        <is>
          <t>NONE</t>
        </is>
      </c>
      <c r="Y1640" t="n">
        <v>0</v>
      </c>
      <c r="Z1640" t="inlineStr"/>
      <c r="AA1640" t="inlineStr">
        <is>
          <t>https://threatfox.abuse.ch/ioc/1754851/</t>
        </is>
      </c>
    </row>
    <row r="1641">
      <c r="A1641" t="inlineStr">
        <is>
          <t>THREATFOX_IOC</t>
        </is>
      </c>
      <c r="B1641" t="inlineStr">
        <is>
          <t>1754850</t>
        </is>
      </c>
      <c r="C1641" t="inlineStr">
        <is>
          <t>ip:port IOC:  | Malware: DCRat | Confidence: 100%</t>
        </is>
      </c>
      <c r="D1641" t="n">
        <v>7.5</v>
      </c>
      <c r="E1641" t="inlineStr">
        <is>
          <t>HIGH</t>
        </is>
      </c>
      <c r="F1641" t="n">
        <v>3</v>
      </c>
      <c r="G1641" t="n">
        <v>2</v>
      </c>
      <c r="H1641" t="inlineStr">
        <is>
          <t>HIGH</t>
        </is>
      </c>
      <c r="I1641" t="n">
        <v>13.5</v>
      </c>
      <c r="J1641" t="inlineStr">
        <is>
          <t>NO</t>
        </is>
      </c>
      <c r="K1641" t="inlineStr">
        <is>
          <t>2026-02-25 20:05:15 UTC</t>
        </is>
      </c>
      <c r="L1641" t="inlineStr">
        <is>
          <t>Block IOC</t>
        </is>
      </c>
      <c r="M1641" t="inlineStr">
        <is>
          <t>botnet_cc</t>
        </is>
      </c>
      <c r="N1641" t="inlineStr">
        <is>
          <t>P3</t>
        </is>
      </c>
      <c r="O1641" t="inlineStr">
        <is>
          <t>Classification: skipped | Context: Skipped (20/run IOC cap) | Name: N/A</t>
        </is>
      </c>
      <c r="P1641" t="n">
        <v>0</v>
      </c>
      <c r="Q1641" t="n">
        <v>0</v>
      </c>
      <c r="R1641" t="inlineStr">
        <is>
          <t>T1071:Application Layer Protocol | T1102:Web Service</t>
        </is>
      </c>
      <c r="S1641" t="n">
        <v>1</v>
      </c>
      <c r="T1641" t="inlineStr">
        <is>
          <t>LOW (40%)</t>
        </is>
      </c>
      <c r="U1641" t="inlineStr">
        <is>
          <t>NONE</t>
        </is>
      </c>
      <c r="V1641" t="inlineStr">
        <is>
          <t>NONE</t>
        </is>
      </c>
      <c r="W1641" t="inlineStr">
        <is>
          <t>NONE</t>
        </is>
      </c>
      <c r="X1641" t="inlineStr">
        <is>
          <t>NONE</t>
        </is>
      </c>
      <c r="Y1641" t="n">
        <v>0</v>
      </c>
      <c r="Z1641" t="inlineStr"/>
      <c r="AA1641" t="inlineStr">
        <is>
          <t>https://threatfox.abuse.ch/ioc/1754850/</t>
        </is>
      </c>
    </row>
    <row r="1642">
      <c r="A1642" t="inlineStr">
        <is>
          <t>THREATMINER</t>
        </is>
      </c>
      <c r="B1642" t="inlineStr">
        <is>
          <t>d41d8cd98f00</t>
        </is>
      </c>
      <c r="C1642" t="inlineStr">
        <is>
          <t xml:space="preserve">Malicious domain:  | IP: 91.224.92.78 | Last seen: </t>
        </is>
      </c>
      <c r="D1642" t="n">
        <v>6.5</v>
      </c>
      <c r="E1642" t="inlineStr">
        <is>
          <t>MEDIUM</t>
        </is>
      </c>
      <c r="F1642" t="n">
        <v>2</v>
      </c>
      <c r="G1642" t="n">
        <v>2</v>
      </c>
      <c r="H1642" t="inlineStr">
        <is>
          <t>MEDIUM</t>
        </is>
      </c>
      <c r="I1642" t="n">
        <v>10.5</v>
      </c>
      <c r="J1642" t="inlineStr">
        <is>
          <t>NO</t>
        </is>
      </c>
      <c r="K1642" t="inlineStr"/>
      <c r="L1642" t="inlineStr">
        <is>
          <t>Block domain</t>
        </is>
      </c>
      <c r="M1642" t="inlineStr">
        <is>
          <t>DNS/Network</t>
        </is>
      </c>
      <c r="N1642" t="inlineStr">
        <is>
          <t>P4</t>
        </is>
      </c>
      <c r="O1642" t="inlineStr">
        <is>
          <t>Domain IOC - check IP separately</t>
        </is>
      </c>
      <c r="P1642" t="n">
        <v>0</v>
      </c>
      <c r="Q1642" t="n">
        <v>0</v>
      </c>
      <c r="R1642" t="inlineStr">
        <is>
          <t>T1071.001:Web Protocols | T1568:Dynamic Resolution</t>
        </is>
      </c>
      <c r="S1642" t="n">
        <v>1</v>
      </c>
      <c r="T1642" t="inlineStr">
        <is>
          <t>LOW (40%)</t>
        </is>
      </c>
      <c r="U1642" t="inlineStr">
        <is>
          <t>NONE</t>
        </is>
      </c>
      <c r="V1642" t="inlineStr">
        <is>
          <t>NONE</t>
        </is>
      </c>
      <c r="W1642" t="inlineStr">
        <is>
          <t>NONE</t>
        </is>
      </c>
      <c r="X1642" t="inlineStr">
        <is>
          <t>NONE</t>
        </is>
      </c>
      <c r="Y1642" t="n">
        <v>0</v>
      </c>
      <c r="Z1642" t="inlineStr"/>
      <c r="AA1642" t="inlineStr">
        <is>
          <t>https://www.threatminer.org/domain.php?q=</t>
        </is>
      </c>
    </row>
    <row r="1643">
      <c r="A1643" t="inlineStr">
        <is>
          <t>THREATMINER</t>
        </is>
      </c>
      <c r="B1643" t="inlineStr">
        <is>
          <t>d41d8cd98f00</t>
        </is>
      </c>
      <c r="C1643" t="inlineStr">
        <is>
          <t xml:space="preserve">Malicious domain:  | IP: 91.224.92.190 | Last seen: </t>
        </is>
      </c>
      <c r="D1643" t="n">
        <v>6.5</v>
      </c>
      <c r="E1643" t="inlineStr">
        <is>
          <t>MEDIUM</t>
        </is>
      </c>
      <c r="F1643" t="n">
        <v>2</v>
      </c>
      <c r="G1643" t="n">
        <v>2</v>
      </c>
      <c r="H1643" t="inlineStr">
        <is>
          <t>MEDIUM</t>
        </is>
      </c>
      <c r="I1643" t="n">
        <v>10.5</v>
      </c>
      <c r="J1643" t="inlineStr">
        <is>
          <t>NO</t>
        </is>
      </c>
      <c r="K1643" t="inlineStr"/>
      <c r="L1643" t="inlineStr">
        <is>
          <t>Block domain</t>
        </is>
      </c>
      <c r="M1643" t="inlineStr">
        <is>
          <t>DNS/Network</t>
        </is>
      </c>
      <c r="N1643" t="inlineStr">
        <is>
          <t>P4</t>
        </is>
      </c>
      <c r="O1643" t="inlineStr">
        <is>
          <t>Domain IOC - check IP separately</t>
        </is>
      </c>
      <c r="P1643" t="n">
        <v>0</v>
      </c>
      <c r="Q1643" t="n">
        <v>0</v>
      </c>
      <c r="R1643" t="inlineStr">
        <is>
          <t>T1071.001:Web Protocols | T1568:Dynamic Resolution</t>
        </is>
      </c>
      <c r="S1643" t="n">
        <v>1</v>
      </c>
      <c r="T1643" t="inlineStr">
        <is>
          <t>LOW (40%)</t>
        </is>
      </c>
      <c r="U1643" t="inlineStr">
        <is>
          <t>NONE</t>
        </is>
      </c>
      <c r="V1643" t="inlineStr">
        <is>
          <t>NONE</t>
        </is>
      </c>
      <c r="W1643" t="inlineStr">
        <is>
          <t>NONE</t>
        </is>
      </c>
      <c r="X1643" t="inlineStr">
        <is>
          <t>NONE</t>
        </is>
      </c>
      <c r="Y1643" t="n">
        <v>0</v>
      </c>
      <c r="Z1643" t="inlineStr"/>
      <c r="AA1643" t="inlineStr">
        <is>
          <t>https://www.threatminer.org/domain.php?q=</t>
        </is>
      </c>
    </row>
    <row r="1644">
      <c r="A1644" t="inlineStr">
        <is>
          <t>THREATMINER</t>
        </is>
      </c>
      <c r="B1644" t="inlineStr">
        <is>
          <t>d41d8cd98f00</t>
        </is>
      </c>
      <c r="C1644" t="inlineStr">
        <is>
          <t xml:space="preserve">Malicious domain:  | IP: 103.218.241.106 | Last seen: </t>
        </is>
      </c>
      <c r="D1644" t="n">
        <v>6.5</v>
      </c>
      <c r="E1644" t="inlineStr">
        <is>
          <t>MEDIUM</t>
        </is>
      </c>
      <c r="F1644" t="n">
        <v>2</v>
      </c>
      <c r="G1644" t="n">
        <v>2</v>
      </c>
      <c r="H1644" t="inlineStr">
        <is>
          <t>MEDIUM</t>
        </is>
      </c>
      <c r="I1644" t="n">
        <v>10.5</v>
      </c>
      <c r="J1644" t="inlineStr">
        <is>
          <t>NO</t>
        </is>
      </c>
      <c r="K1644" t="inlineStr"/>
      <c r="L1644" t="inlineStr">
        <is>
          <t>Block domain</t>
        </is>
      </c>
      <c r="M1644" t="inlineStr">
        <is>
          <t>DNS/Network</t>
        </is>
      </c>
      <c r="N1644" t="inlineStr">
        <is>
          <t>P4</t>
        </is>
      </c>
      <c r="O1644" t="inlineStr">
        <is>
          <t>Domain IOC - check IP separately</t>
        </is>
      </c>
      <c r="P1644" t="n">
        <v>0</v>
      </c>
      <c r="Q1644" t="n">
        <v>0</v>
      </c>
      <c r="R1644" t="inlineStr">
        <is>
          <t>T1071.001:Web Protocols | T1568:Dynamic Resolution</t>
        </is>
      </c>
      <c r="S1644" t="n">
        <v>1</v>
      </c>
      <c r="T1644" t="inlineStr">
        <is>
          <t>LOW (40%)</t>
        </is>
      </c>
      <c r="U1644" t="inlineStr">
        <is>
          <t>NONE</t>
        </is>
      </c>
      <c r="V1644" t="inlineStr">
        <is>
          <t>NONE</t>
        </is>
      </c>
      <c r="W1644" t="inlineStr">
        <is>
          <t>NONE</t>
        </is>
      </c>
      <c r="X1644" t="inlineStr">
        <is>
          <t>NONE</t>
        </is>
      </c>
      <c r="Y1644" t="n">
        <v>0</v>
      </c>
      <c r="Z1644" t="inlineStr"/>
      <c r="AA1644" t="inlineStr">
        <is>
          <t>https://www.threatminer.org/domain.php?q=</t>
        </is>
      </c>
    </row>
    <row r="1645">
      <c r="A1645" t="inlineStr">
        <is>
          <t>THREATMINER</t>
        </is>
      </c>
      <c r="B1645" t="inlineStr">
        <is>
          <t>d41d8cd98f00</t>
        </is>
      </c>
      <c r="C1645" t="inlineStr">
        <is>
          <t xml:space="preserve">Malicious domain:  | IP: 185.91.69.217 | Last seen: </t>
        </is>
      </c>
      <c r="D1645" t="n">
        <v>6.5</v>
      </c>
      <c r="E1645" t="inlineStr">
        <is>
          <t>MEDIUM</t>
        </is>
      </c>
      <c r="F1645" t="n">
        <v>2</v>
      </c>
      <c r="G1645" t="n">
        <v>2</v>
      </c>
      <c r="H1645" t="inlineStr">
        <is>
          <t>MEDIUM</t>
        </is>
      </c>
      <c r="I1645" t="n">
        <v>10.5</v>
      </c>
      <c r="J1645" t="inlineStr">
        <is>
          <t>NO</t>
        </is>
      </c>
      <c r="K1645" t="inlineStr"/>
      <c r="L1645" t="inlineStr">
        <is>
          <t>Block domain</t>
        </is>
      </c>
      <c r="M1645" t="inlineStr">
        <is>
          <t>DNS/Network</t>
        </is>
      </c>
      <c r="N1645" t="inlineStr">
        <is>
          <t>P4</t>
        </is>
      </c>
      <c r="O1645" t="inlineStr">
        <is>
          <t>Domain IOC - check IP separately</t>
        </is>
      </c>
      <c r="P1645" t="n">
        <v>0</v>
      </c>
      <c r="Q1645" t="n">
        <v>0</v>
      </c>
      <c r="R1645" t="inlineStr">
        <is>
          <t>T1071.001:Web Protocols | T1568:Dynamic Resolution</t>
        </is>
      </c>
      <c r="S1645" t="n">
        <v>1</v>
      </c>
      <c r="T1645" t="inlineStr">
        <is>
          <t>LOW (40%)</t>
        </is>
      </c>
      <c r="U1645" t="inlineStr">
        <is>
          <t>NONE</t>
        </is>
      </c>
      <c r="V1645" t="inlineStr">
        <is>
          <t>NONE</t>
        </is>
      </c>
      <c r="W1645" t="inlineStr">
        <is>
          <t>NONE</t>
        </is>
      </c>
      <c r="X1645" t="inlineStr">
        <is>
          <t>NONE</t>
        </is>
      </c>
      <c r="Y1645" t="n">
        <v>0</v>
      </c>
      <c r="Z1645" t="inlineStr"/>
      <c r="AA1645" t="inlineStr">
        <is>
          <t>https://www.threatminer.org/domain.php?q=</t>
        </is>
      </c>
    </row>
    <row r="1646">
      <c r="A1646" t="inlineStr">
        <is>
          <t>THREATMINER</t>
        </is>
      </c>
      <c r="B1646" t="inlineStr">
        <is>
          <t>d41d8cd98f00</t>
        </is>
      </c>
      <c r="C1646" t="inlineStr">
        <is>
          <t xml:space="preserve">Malicious domain:  | IP: 2.57.121.25 | Last seen: </t>
        </is>
      </c>
      <c r="D1646" t="n">
        <v>6.5</v>
      </c>
      <c r="E1646" t="inlineStr">
        <is>
          <t>MEDIUM</t>
        </is>
      </c>
      <c r="F1646" t="n">
        <v>2</v>
      </c>
      <c r="G1646" t="n">
        <v>2</v>
      </c>
      <c r="H1646" t="inlineStr">
        <is>
          <t>MEDIUM</t>
        </is>
      </c>
      <c r="I1646" t="n">
        <v>10.5</v>
      </c>
      <c r="J1646" t="inlineStr">
        <is>
          <t>NO</t>
        </is>
      </c>
      <c r="K1646" t="inlineStr"/>
      <c r="L1646" t="inlineStr">
        <is>
          <t>Block domain</t>
        </is>
      </c>
      <c r="M1646" t="inlineStr">
        <is>
          <t>DNS/Network</t>
        </is>
      </c>
      <c r="N1646" t="inlineStr">
        <is>
          <t>P4</t>
        </is>
      </c>
      <c r="O1646" t="inlineStr">
        <is>
          <t>Domain IOC - check IP separately</t>
        </is>
      </c>
      <c r="P1646" t="n">
        <v>0</v>
      </c>
      <c r="Q1646" t="n">
        <v>0</v>
      </c>
      <c r="R1646" t="inlineStr">
        <is>
          <t>T1071.001:Web Protocols | T1568:Dynamic Resolution</t>
        </is>
      </c>
      <c r="S1646" t="n">
        <v>1</v>
      </c>
      <c r="T1646" t="inlineStr">
        <is>
          <t>LOW (40%)</t>
        </is>
      </c>
      <c r="U1646" t="inlineStr">
        <is>
          <t>NONE</t>
        </is>
      </c>
      <c r="V1646" t="inlineStr">
        <is>
          <t>NONE</t>
        </is>
      </c>
      <c r="W1646" t="inlineStr">
        <is>
          <t>NONE</t>
        </is>
      </c>
      <c r="X1646" t="inlineStr">
        <is>
          <t>NONE</t>
        </is>
      </c>
      <c r="Y1646" t="n">
        <v>0</v>
      </c>
      <c r="Z1646" t="inlineStr"/>
      <c r="AA1646" t="inlineStr">
        <is>
          <t>https://www.threatminer.org/domain.php?q=</t>
        </is>
      </c>
    </row>
    <row r="1647">
      <c r="A1647" t="inlineStr">
        <is>
          <t>THREATMINER</t>
        </is>
      </c>
      <c r="B1647" t="inlineStr">
        <is>
          <t>d41d8cd98f00</t>
        </is>
      </c>
      <c r="C1647" t="inlineStr">
        <is>
          <t xml:space="preserve">Malicious domain:  | IP: 2.57.122.238 | Last seen: </t>
        </is>
      </c>
      <c r="D1647" t="n">
        <v>6.5</v>
      </c>
      <c r="E1647" t="inlineStr">
        <is>
          <t>MEDIUM</t>
        </is>
      </c>
      <c r="F1647" t="n">
        <v>2</v>
      </c>
      <c r="G1647" t="n">
        <v>2</v>
      </c>
      <c r="H1647" t="inlineStr">
        <is>
          <t>MEDIUM</t>
        </is>
      </c>
      <c r="I1647" t="n">
        <v>10.5</v>
      </c>
      <c r="J1647" t="inlineStr">
        <is>
          <t>NO</t>
        </is>
      </c>
      <c r="K1647" t="inlineStr"/>
      <c r="L1647" t="inlineStr">
        <is>
          <t>Block domain</t>
        </is>
      </c>
      <c r="M1647" t="inlineStr">
        <is>
          <t>DNS/Network</t>
        </is>
      </c>
      <c r="N1647" t="inlineStr">
        <is>
          <t>P4</t>
        </is>
      </c>
      <c r="O1647" t="inlineStr">
        <is>
          <t>Domain IOC - check IP separately</t>
        </is>
      </c>
      <c r="P1647" t="n">
        <v>0</v>
      </c>
      <c r="Q1647" t="n">
        <v>0</v>
      </c>
      <c r="R1647" t="inlineStr">
        <is>
          <t>T1071.001:Web Protocols | T1568:Dynamic Resolution</t>
        </is>
      </c>
      <c r="S1647" t="n">
        <v>1</v>
      </c>
      <c r="T1647" t="inlineStr">
        <is>
          <t>LOW (40%)</t>
        </is>
      </c>
      <c r="U1647" t="inlineStr">
        <is>
          <t>NONE</t>
        </is>
      </c>
      <c r="V1647" t="inlineStr">
        <is>
          <t>NONE</t>
        </is>
      </c>
      <c r="W1647" t="inlineStr">
        <is>
          <t>NONE</t>
        </is>
      </c>
      <c r="X1647" t="inlineStr">
        <is>
          <t>NONE</t>
        </is>
      </c>
      <c r="Y1647" t="n">
        <v>0</v>
      </c>
      <c r="Z1647" t="inlineStr"/>
      <c r="AA1647" t="inlineStr">
        <is>
          <t>https://www.threatminer.org/domain.php?q=</t>
        </is>
      </c>
    </row>
    <row r="1648">
      <c r="A1648" t="inlineStr">
        <is>
          <t>THREATMINER</t>
        </is>
      </c>
      <c r="B1648" t="inlineStr">
        <is>
          <t>d41d8cd98f00</t>
        </is>
      </c>
      <c r="C1648" t="inlineStr">
        <is>
          <t xml:space="preserve">Malicious domain:  | IP: 45.148.10.141 | Last seen: </t>
        </is>
      </c>
      <c r="D1648" t="n">
        <v>6.5</v>
      </c>
      <c r="E1648" t="inlineStr">
        <is>
          <t>MEDIUM</t>
        </is>
      </c>
      <c r="F1648" t="n">
        <v>2</v>
      </c>
      <c r="G1648" t="n">
        <v>2</v>
      </c>
      <c r="H1648" t="inlineStr">
        <is>
          <t>MEDIUM</t>
        </is>
      </c>
      <c r="I1648" t="n">
        <v>10.5</v>
      </c>
      <c r="J1648" t="inlineStr">
        <is>
          <t>NO</t>
        </is>
      </c>
      <c r="K1648" t="inlineStr"/>
      <c r="L1648" t="inlineStr">
        <is>
          <t>Block domain</t>
        </is>
      </c>
      <c r="M1648" t="inlineStr">
        <is>
          <t>DNS/Network</t>
        </is>
      </c>
      <c r="N1648" t="inlineStr">
        <is>
          <t>P4</t>
        </is>
      </c>
      <c r="O1648" t="inlineStr">
        <is>
          <t>Domain IOC - check IP separately</t>
        </is>
      </c>
      <c r="P1648" t="n">
        <v>0</v>
      </c>
      <c r="Q1648" t="n">
        <v>0</v>
      </c>
      <c r="R1648" t="inlineStr">
        <is>
          <t>T1071.001:Web Protocols | T1568:Dynamic Resolution</t>
        </is>
      </c>
      <c r="S1648" t="n">
        <v>1</v>
      </c>
      <c r="T1648" t="inlineStr">
        <is>
          <t>LOW (40%)</t>
        </is>
      </c>
      <c r="U1648" t="inlineStr">
        <is>
          <t>NONE</t>
        </is>
      </c>
      <c r="V1648" t="inlineStr">
        <is>
          <t>NONE</t>
        </is>
      </c>
      <c r="W1648" t="inlineStr">
        <is>
          <t>NONE</t>
        </is>
      </c>
      <c r="X1648" t="inlineStr">
        <is>
          <t>NONE</t>
        </is>
      </c>
      <c r="Y1648" t="n">
        <v>0</v>
      </c>
      <c r="Z1648" t="inlineStr"/>
      <c r="AA1648" t="inlineStr">
        <is>
          <t>https://www.threatminer.org/domain.php?q=</t>
        </is>
      </c>
    </row>
    <row r="1649">
      <c r="A1649" t="inlineStr">
        <is>
          <t>THREATMINER</t>
        </is>
      </c>
      <c r="B1649" t="inlineStr">
        <is>
          <t>d41d8cd98f00</t>
        </is>
      </c>
      <c r="C1649" t="inlineStr">
        <is>
          <t xml:space="preserve">Malicious domain:  | IP: 45.148.10.147 | Last seen: </t>
        </is>
      </c>
      <c r="D1649" t="n">
        <v>6.5</v>
      </c>
      <c r="E1649" t="inlineStr">
        <is>
          <t>MEDIUM</t>
        </is>
      </c>
      <c r="F1649" t="n">
        <v>2</v>
      </c>
      <c r="G1649" t="n">
        <v>2</v>
      </c>
      <c r="H1649" t="inlineStr">
        <is>
          <t>MEDIUM</t>
        </is>
      </c>
      <c r="I1649" t="n">
        <v>10.5</v>
      </c>
      <c r="J1649" t="inlineStr">
        <is>
          <t>NO</t>
        </is>
      </c>
      <c r="K1649" t="inlineStr"/>
      <c r="L1649" t="inlineStr">
        <is>
          <t>Block domain</t>
        </is>
      </c>
      <c r="M1649" t="inlineStr">
        <is>
          <t>DNS/Network</t>
        </is>
      </c>
      <c r="N1649" t="inlineStr">
        <is>
          <t>P4</t>
        </is>
      </c>
      <c r="O1649" t="inlineStr">
        <is>
          <t>Domain IOC - check IP separately</t>
        </is>
      </c>
      <c r="P1649" t="n">
        <v>0</v>
      </c>
      <c r="Q1649" t="n">
        <v>0</v>
      </c>
      <c r="R1649" t="inlineStr">
        <is>
          <t>T1071.001:Web Protocols | T1568:Dynamic Resolution</t>
        </is>
      </c>
      <c r="S1649" t="n">
        <v>1</v>
      </c>
      <c r="T1649" t="inlineStr">
        <is>
          <t>LOW (40%)</t>
        </is>
      </c>
      <c r="U1649" t="inlineStr">
        <is>
          <t>NONE</t>
        </is>
      </c>
      <c r="V1649" t="inlineStr">
        <is>
          <t>NONE</t>
        </is>
      </c>
      <c r="W1649" t="inlineStr">
        <is>
          <t>NONE</t>
        </is>
      </c>
      <c r="X1649" t="inlineStr">
        <is>
          <t>NONE</t>
        </is>
      </c>
      <c r="Y1649" t="n">
        <v>0</v>
      </c>
      <c r="Z1649" t="inlineStr"/>
      <c r="AA1649" t="inlineStr">
        <is>
          <t>https://www.threatminer.org/domain.php?q=</t>
        </is>
      </c>
    </row>
    <row r="1650">
      <c r="A1650" t="inlineStr">
        <is>
          <t>THREATMINER</t>
        </is>
      </c>
      <c r="B1650" t="inlineStr">
        <is>
          <t>d41d8cd98f00</t>
        </is>
      </c>
      <c r="C1650" t="inlineStr">
        <is>
          <t xml:space="preserve">Malicious domain:  | IP: 45.148.10.151 | Last seen: </t>
        </is>
      </c>
      <c r="D1650" t="n">
        <v>6.5</v>
      </c>
      <c r="E1650" t="inlineStr">
        <is>
          <t>MEDIUM</t>
        </is>
      </c>
      <c r="F1650" t="n">
        <v>2</v>
      </c>
      <c r="G1650" t="n">
        <v>2</v>
      </c>
      <c r="H1650" t="inlineStr">
        <is>
          <t>MEDIUM</t>
        </is>
      </c>
      <c r="I1650" t="n">
        <v>10.5</v>
      </c>
      <c r="J1650" t="inlineStr">
        <is>
          <t>NO</t>
        </is>
      </c>
      <c r="K1650" t="inlineStr"/>
      <c r="L1650" t="inlineStr">
        <is>
          <t>Block domain</t>
        </is>
      </c>
      <c r="M1650" t="inlineStr">
        <is>
          <t>DNS/Network</t>
        </is>
      </c>
      <c r="N1650" t="inlineStr">
        <is>
          <t>P4</t>
        </is>
      </c>
      <c r="O1650" t="inlineStr">
        <is>
          <t>Domain IOC - check IP separately</t>
        </is>
      </c>
      <c r="P1650" t="n">
        <v>0</v>
      </c>
      <c r="Q1650" t="n">
        <v>0</v>
      </c>
      <c r="R1650" t="inlineStr">
        <is>
          <t>T1071.001:Web Protocols | T1568:Dynamic Resolution</t>
        </is>
      </c>
      <c r="S1650" t="n">
        <v>1</v>
      </c>
      <c r="T1650" t="inlineStr">
        <is>
          <t>LOW (40%)</t>
        </is>
      </c>
      <c r="U1650" t="inlineStr">
        <is>
          <t>NONE</t>
        </is>
      </c>
      <c r="V1650" t="inlineStr">
        <is>
          <t>NONE</t>
        </is>
      </c>
      <c r="W1650" t="inlineStr">
        <is>
          <t>NONE</t>
        </is>
      </c>
      <c r="X1650" t="inlineStr">
        <is>
          <t>NONE</t>
        </is>
      </c>
      <c r="Y1650" t="n">
        <v>0</v>
      </c>
      <c r="Z1650" t="inlineStr"/>
      <c r="AA1650" t="inlineStr">
        <is>
          <t>https://www.threatminer.org/domain.php?q=</t>
        </is>
      </c>
    </row>
    <row r="1651">
      <c r="A1651" t="inlineStr">
        <is>
          <t>THREATMINER</t>
        </is>
      </c>
      <c r="B1651" t="inlineStr">
        <is>
          <t>d41d8cd98f00</t>
        </is>
      </c>
      <c r="C1651" t="inlineStr">
        <is>
          <t xml:space="preserve">Malicious domain:  | IP: 45.148.10.152 | Last seen: </t>
        </is>
      </c>
      <c r="D1651" t="n">
        <v>6.5</v>
      </c>
      <c r="E1651" t="inlineStr">
        <is>
          <t>MEDIUM</t>
        </is>
      </c>
      <c r="F1651" t="n">
        <v>2</v>
      </c>
      <c r="G1651" t="n">
        <v>2</v>
      </c>
      <c r="H1651" t="inlineStr">
        <is>
          <t>MEDIUM</t>
        </is>
      </c>
      <c r="I1651" t="n">
        <v>10.5</v>
      </c>
      <c r="J1651" t="inlineStr">
        <is>
          <t>NO</t>
        </is>
      </c>
      <c r="K1651" t="inlineStr"/>
      <c r="L1651" t="inlineStr">
        <is>
          <t>Block domain</t>
        </is>
      </c>
      <c r="M1651" t="inlineStr">
        <is>
          <t>DNS/Network</t>
        </is>
      </c>
      <c r="N1651" t="inlineStr">
        <is>
          <t>P4</t>
        </is>
      </c>
      <c r="O1651" t="inlineStr">
        <is>
          <t>Domain IOC - check IP separately</t>
        </is>
      </c>
      <c r="P1651" t="n">
        <v>0</v>
      </c>
      <c r="Q1651" t="n">
        <v>0</v>
      </c>
      <c r="R1651" t="inlineStr">
        <is>
          <t>T1071.001:Web Protocols | T1568:Dynamic Resolution</t>
        </is>
      </c>
      <c r="S1651" t="n">
        <v>1</v>
      </c>
      <c r="T1651" t="inlineStr">
        <is>
          <t>LOW (40%)</t>
        </is>
      </c>
      <c r="U1651" t="inlineStr">
        <is>
          <t>NONE</t>
        </is>
      </c>
      <c r="V1651" t="inlineStr">
        <is>
          <t>NONE</t>
        </is>
      </c>
      <c r="W1651" t="inlineStr">
        <is>
          <t>NONE</t>
        </is>
      </c>
      <c r="X1651" t="inlineStr">
        <is>
          <t>NONE</t>
        </is>
      </c>
      <c r="Y1651" t="n">
        <v>0</v>
      </c>
      <c r="Z1651" t="inlineStr"/>
      <c r="AA1651" t="inlineStr">
        <is>
          <t>https://www.threatminer.org/domain.php?q=</t>
        </is>
      </c>
    </row>
    <row r="1652">
      <c r="A1652" t="inlineStr">
        <is>
          <t>THREATMINER</t>
        </is>
      </c>
      <c r="B1652" t="inlineStr">
        <is>
          <t>d41d8cd98f00</t>
        </is>
      </c>
      <c r="C1652" t="inlineStr">
        <is>
          <t xml:space="preserve">Malicious domain:  | IP: 45.148.10.157 | Last seen: </t>
        </is>
      </c>
      <c r="D1652" t="n">
        <v>6.5</v>
      </c>
      <c r="E1652" t="inlineStr">
        <is>
          <t>MEDIUM</t>
        </is>
      </c>
      <c r="F1652" t="n">
        <v>2</v>
      </c>
      <c r="G1652" t="n">
        <v>2</v>
      </c>
      <c r="H1652" t="inlineStr">
        <is>
          <t>MEDIUM</t>
        </is>
      </c>
      <c r="I1652" t="n">
        <v>10.5</v>
      </c>
      <c r="J1652" t="inlineStr">
        <is>
          <t>NO</t>
        </is>
      </c>
      <c r="K1652" t="inlineStr"/>
      <c r="L1652" t="inlineStr">
        <is>
          <t>Block domain</t>
        </is>
      </c>
      <c r="M1652" t="inlineStr">
        <is>
          <t>DNS/Network</t>
        </is>
      </c>
      <c r="N1652" t="inlineStr">
        <is>
          <t>P4</t>
        </is>
      </c>
      <c r="O1652" t="inlineStr">
        <is>
          <t>Domain IOC - check IP separately</t>
        </is>
      </c>
      <c r="P1652" t="n">
        <v>0</v>
      </c>
      <c r="Q1652" t="n">
        <v>0</v>
      </c>
      <c r="R1652" t="inlineStr">
        <is>
          <t>T1071.001:Web Protocols | T1568:Dynamic Resolution</t>
        </is>
      </c>
      <c r="S1652" t="n">
        <v>1</v>
      </c>
      <c r="T1652" t="inlineStr">
        <is>
          <t>LOW (40%)</t>
        </is>
      </c>
      <c r="U1652" t="inlineStr">
        <is>
          <t>NONE</t>
        </is>
      </c>
      <c r="V1652" t="inlineStr">
        <is>
          <t>NONE</t>
        </is>
      </c>
      <c r="W1652" t="inlineStr">
        <is>
          <t>NONE</t>
        </is>
      </c>
      <c r="X1652" t="inlineStr">
        <is>
          <t>NONE</t>
        </is>
      </c>
      <c r="Y1652" t="n">
        <v>0</v>
      </c>
      <c r="Z1652" t="inlineStr"/>
      <c r="AA1652" t="inlineStr">
        <is>
          <t>https://www.threatminer.org/domain.php?q=</t>
        </is>
      </c>
    </row>
    <row r="1653">
      <c r="A1653" t="inlineStr">
        <is>
          <t>THREATMINER</t>
        </is>
      </c>
      <c r="B1653" t="inlineStr">
        <is>
          <t>d41d8cd98f00</t>
        </is>
      </c>
      <c r="C1653" t="inlineStr">
        <is>
          <t xml:space="preserve">Malicious domain:  | IP: 45.249.244.185 | Last seen: </t>
        </is>
      </c>
      <c r="D1653" t="n">
        <v>6.5</v>
      </c>
      <c r="E1653" t="inlineStr">
        <is>
          <t>MEDIUM</t>
        </is>
      </c>
      <c r="F1653" t="n">
        <v>2</v>
      </c>
      <c r="G1653" t="n">
        <v>2</v>
      </c>
      <c r="H1653" t="inlineStr">
        <is>
          <t>MEDIUM</t>
        </is>
      </c>
      <c r="I1653" t="n">
        <v>10.5</v>
      </c>
      <c r="J1653" t="inlineStr">
        <is>
          <t>NO</t>
        </is>
      </c>
      <c r="K1653" t="inlineStr"/>
      <c r="L1653" t="inlineStr">
        <is>
          <t>Block domain</t>
        </is>
      </c>
      <c r="M1653" t="inlineStr">
        <is>
          <t>DNS/Network</t>
        </is>
      </c>
      <c r="N1653" t="inlineStr">
        <is>
          <t>P4</t>
        </is>
      </c>
      <c r="O1653" t="inlineStr">
        <is>
          <t>Domain IOC - check IP separately</t>
        </is>
      </c>
      <c r="P1653" t="n">
        <v>0</v>
      </c>
      <c r="Q1653" t="n">
        <v>0</v>
      </c>
      <c r="R1653" t="inlineStr">
        <is>
          <t>T1071.001:Web Protocols | T1568:Dynamic Resolution</t>
        </is>
      </c>
      <c r="S1653" t="n">
        <v>1</v>
      </c>
      <c r="T1653" t="inlineStr">
        <is>
          <t>LOW (40%)</t>
        </is>
      </c>
      <c r="U1653" t="inlineStr">
        <is>
          <t>NONE</t>
        </is>
      </c>
      <c r="V1653" t="inlineStr">
        <is>
          <t>NONE</t>
        </is>
      </c>
      <c r="W1653" t="inlineStr">
        <is>
          <t>NONE</t>
        </is>
      </c>
      <c r="X1653" t="inlineStr">
        <is>
          <t>NONE</t>
        </is>
      </c>
      <c r="Y1653" t="n">
        <v>0</v>
      </c>
      <c r="Z1653" t="inlineStr"/>
      <c r="AA1653" t="inlineStr">
        <is>
          <t>https://www.threatminer.org/domain.php?q=</t>
        </is>
      </c>
    </row>
    <row r="1654">
      <c r="A1654" t="inlineStr">
        <is>
          <t>THREATMINER</t>
        </is>
      </c>
      <c r="B1654" t="inlineStr">
        <is>
          <t>d41d8cd98f00</t>
        </is>
      </c>
      <c r="C1654" t="inlineStr">
        <is>
          <t xml:space="preserve">Malicious domain:  | IP: 47.252.35.152 | Last seen: </t>
        </is>
      </c>
      <c r="D1654" t="n">
        <v>6.5</v>
      </c>
      <c r="E1654" t="inlineStr">
        <is>
          <t>MEDIUM</t>
        </is>
      </c>
      <c r="F1654" t="n">
        <v>2</v>
      </c>
      <c r="G1654" t="n">
        <v>2</v>
      </c>
      <c r="H1654" t="inlineStr">
        <is>
          <t>MEDIUM</t>
        </is>
      </c>
      <c r="I1654" t="n">
        <v>10.5</v>
      </c>
      <c r="J1654" t="inlineStr">
        <is>
          <t>NO</t>
        </is>
      </c>
      <c r="K1654" t="inlineStr"/>
      <c r="L1654" t="inlineStr">
        <is>
          <t>Block domain</t>
        </is>
      </c>
      <c r="M1654" t="inlineStr">
        <is>
          <t>DNS/Network</t>
        </is>
      </c>
      <c r="N1654" t="inlineStr">
        <is>
          <t>P4</t>
        </is>
      </c>
      <c r="O1654" t="inlineStr">
        <is>
          <t>Domain IOC - check IP separately</t>
        </is>
      </c>
      <c r="P1654" t="n">
        <v>0</v>
      </c>
      <c r="Q1654" t="n">
        <v>0</v>
      </c>
      <c r="R1654" t="inlineStr">
        <is>
          <t>T1071.001:Web Protocols | T1568:Dynamic Resolution</t>
        </is>
      </c>
      <c r="S1654" t="n">
        <v>1</v>
      </c>
      <c r="T1654" t="inlineStr">
        <is>
          <t>LOW (40%)</t>
        </is>
      </c>
      <c r="U1654" t="inlineStr">
        <is>
          <t>NONE</t>
        </is>
      </c>
      <c r="V1654" t="inlineStr">
        <is>
          <t>NONE</t>
        </is>
      </c>
      <c r="W1654" t="inlineStr">
        <is>
          <t>NONE</t>
        </is>
      </c>
      <c r="X1654" t="inlineStr">
        <is>
          <t>NONE</t>
        </is>
      </c>
      <c r="Y1654" t="n">
        <v>0</v>
      </c>
      <c r="Z1654" t="inlineStr"/>
      <c r="AA1654" t="inlineStr">
        <is>
          <t>https://www.threatminer.org/domain.php?q=</t>
        </is>
      </c>
    </row>
    <row r="1655">
      <c r="A1655" t="inlineStr">
        <is>
          <t>THREATMINER</t>
        </is>
      </c>
      <c r="B1655" t="inlineStr">
        <is>
          <t>d41d8cd98f00</t>
        </is>
      </c>
      <c r="C1655" t="inlineStr">
        <is>
          <t xml:space="preserve">Malicious domain:  | IP: 61.245.11.87 | Last seen: </t>
        </is>
      </c>
      <c r="D1655" t="n">
        <v>6.5</v>
      </c>
      <c r="E1655" t="inlineStr">
        <is>
          <t>MEDIUM</t>
        </is>
      </c>
      <c r="F1655" t="n">
        <v>2</v>
      </c>
      <c r="G1655" t="n">
        <v>2</v>
      </c>
      <c r="H1655" t="inlineStr">
        <is>
          <t>MEDIUM</t>
        </is>
      </c>
      <c r="I1655" t="n">
        <v>10.5</v>
      </c>
      <c r="J1655" t="inlineStr">
        <is>
          <t>NO</t>
        </is>
      </c>
      <c r="K1655" t="inlineStr"/>
      <c r="L1655" t="inlineStr">
        <is>
          <t>Block domain</t>
        </is>
      </c>
      <c r="M1655" t="inlineStr">
        <is>
          <t>DNS/Network</t>
        </is>
      </c>
      <c r="N1655" t="inlineStr">
        <is>
          <t>P4</t>
        </is>
      </c>
      <c r="O1655" t="inlineStr">
        <is>
          <t>Domain IOC - check IP separately</t>
        </is>
      </c>
      <c r="P1655" t="n">
        <v>0</v>
      </c>
      <c r="Q1655" t="n">
        <v>0</v>
      </c>
      <c r="R1655" t="inlineStr">
        <is>
          <t>T1071.001:Web Protocols | T1568:Dynamic Resolution</t>
        </is>
      </c>
      <c r="S1655" t="n">
        <v>1</v>
      </c>
      <c r="T1655" t="inlineStr">
        <is>
          <t>LOW (40%)</t>
        </is>
      </c>
      <c r="U1655" t="inlineStr">
        <is>
          <t>NONE</t>
        </is>
      </c>
      <c r="V1655" t="inlineStr">
        <is>
          <t>NONE</t>
        </is>
      </c>
      <c r="W1655" t="inlineStr">
        <is>
          <t>NONE</t>
        </is>
      </c>
      <c r="X1655" t="inlineStr">
        <is>
          <t>NONE</t>
        </is>
      </c>
      <c r="Y1655" t="n">
        <v>0</v>
      </c>
      <c r="Z1655" t="inlineStr"/>
      <c r="AA1655" t="inlineStr">
        <is>
          <t>https://www.threatminer.org/domain.php?q=</t>
        </is>
      </c>
    </row>
    <row r="1656">
      <c r="A1656" t="inlineStr">
        <is>
          <t>THREATMINER</t>
        </is>
      </c>
      <c r="B1656" t="inlineStr">
        <is>
          <t>d41d8cd98f00</t>
        </is>
      </c>
      <c r="C1656" t="inlineStr">
        <is>
          <t xml:space="preserve">Malicious domain:  | IP: 66.132.153.133 | Last seen: </t>
        </is>
      </c>
      <c r="D1656" t="n">
        <v>6.5</v>
      </c>
      <c r="E1656" t="inlineStr">
        <is>
          <t>MEDIUM</t>
        </is>
      </c>
      <c r="F1656" t="n">
        <v>2</v>
      </c>
      <c r="G1656" t="n">
        <v>2</v>
      </c>
      <c r="H1656" t="inlineStr">
        <is>
          <t>MEDIUM</t>
        </is>
      </c>
      <c r="I1656" t="n">
        <v>10.5</v>
      </c>
      <c r="J1656" t="inlineStr">
        <is>
          <t>NO</t>
        </is>
      </c>
      <c r="K1656" t="inlineStr"/>
      <c r="L1656" t="inlineStr">
        <is>
          <t>Block domain</t>
        </is>
      </c>
      <c r="M1656" t="inlineStr">
        <is>
          <t>DNS/Network</t>
        </is>
      </c>
      <c r="N1656" t="inlineStr">
        <is>
          <t>P4</t>
        </is>
      </c>
      <c r="O1656" t="inlineStr">
        <is>
          <t>Domain IOC - check IP separately</t>
        </is>
      </c>
      <c r="P1656" t="n">
        <v>0</v>
      </c>
      <c r="Q1656" t="n">
        <v>0</v>
      </c>
      <c r="R1656" t="inlineStr">
        <is>
          <t>T1071.001:Web Protocols | T1568:Dynamic Resolution</t>
        </is>
      </c>
      <c r="S1656" t="n">
        <v>1</v>
      </c>
      <c r="T1656" t="inlineStr">
        <is>
          <t>LOW (40%)</t>
        </is>
      </c>
      <c r="U1656" t="inlineStr">
        <is>
          <t>NONE</t>
        </is>
      </c>
      <c r="V1656" t="inlineStr">
        <is>
          <t>NONE</t>
        </is>
      </c>
      <c r="W1656" t="inlineStr">
        <is>
          <t>NONE</t>
        </is>
      </c>
      <c r="X1656" t="inlineStr">
        <is>
          <t>NONE</t>
        </is>
      </c>
      <c r="Y1656" t="n">
        <v>0</v>
      </c>
      <c r="Z1656" t="inlineStr"/>
      <c r="AA1656" t="inlineStr">
        <is>
          <t>https://www.threatminer.org/domain.php?q=</t>
        </is>
      </c>
    </row>
    <row r="1657">
      <c r="A1657" t="inlineStr">
        <is>
          <t>THREATMINER</t>
        </is>
      </c>
      <c r="B1657" t="inlineStr">
        <is>
          <t>d41d8cd98f00</t>
        </is>
      </c>
      <c r="C1657" t="inlineStr">
        <is>
          <t xml:space="preserve">Malicious domain:  | IP: 80.94.92.171 | Last seen: </t>
        </is>
      </c>
      <c r="D1657" t="n">
        <v>6.5</v>
      </c>
      <c r="E1657" t="inlineStr">
        <is>
          <t>MEDIUM</t>
        </is>
      </c>
      <c r="F1657" t="n">
        <v>2</v>
      </c>
      <c r="G1657" t="n">
        <v>2</v>
      </c>
      <c r="H1657" t="inlineStr">
        <is>
          <t>MEDIUM</t>
        </is>
      </c>
      <c r="I1657" t="n">
        <v>10.5</v>
      </c>
      <c r="J1657" t="inlineStr">
        <is>
          <t>NO</t>
        </is>
      </c>
      <c r="K1657" t="inlineStr"/>
      <c r="L1657" t="inlineStr">
        <is>
          <t>Block domain</t>
        </is>
      </c>
      <c r="M1657" t="inlineStr">
        <is>
          <t>DNS/Network</t>
        </is>
      </c>
      <c r="N1657" t="inlineStr">
        <is>
          <t>P4</t>
        </is>
      </c>
      <c r="O1657" t="inlineStr">
        <is>
          <t>Domain IOC - check IP separately</t>
        </is>
      </c>
      <c r="P1657" t="n">
        <v>0</v>
      </c>
      <c r="Q1657" t="n">
        <v>0</v>
      </c>
      <c r="R1657" t="inlineStr">
        <is>
          <t>T1071.001:Web Protocols | T1568:Dynamic Resolution</t>
        </is>
      </c>
      <c r="S1657" t="n">
        <v>1</v>
      </c>
      <c r="T1657" t="inlineStr">
        <is>
          <t>LOW (40%)</t>
        </is>
      </c>
      <c r="U1657" t="inlineStr">
        <is>
          <t>NONE</t>
        </is>
      </c>
      <c r="V1657" t="inlineStr">
        <is>
          <t>NONE</t>
        </is>
      </c>
      <c r="W1657" t="inlineStr">
        <is>
          <t>NONE</t>
        </is>
      </c>
      <c r="X1657" t="inlineStr">
        <is>
          <t>NONE</t>
        </is>
      </c>
      <c r="Y1657" t="n">
        <v>0</v>
      </c>
      <c r="Z1657" t="inlineStr"/>
      <c r="AA1657" t="inlineStr">
        <is>
          <t>https://www.threatminer.org/domain.php?q=</t>
        </is>
      </c>
    </row>
    <row r="1658">
      <c r="A1658" t="inlineStr">
        <is>
          <t>THREATMINER</t>
        </is>
      </c>
      <c r="B1658" t="inlineStr">
        <is>
          <t>d41d8cd98f00</t>
        </is>
      </c>
      <c r="C1658" t="inlineStr">
        <is>
          <t xml:space="preserve">Malicious domain:  | IP: 80.94.95.115 | Last seen: </t>
        </is>
      </c>
      <c r="D1658" t="n">
        <v>6.5</v>
      </c>
      <c r="E1658" t="inlineStr">
        <is>
          <t>MEDIUM</t>
        </is>
      </c>
      <c r="F1658" t="n">
        <v>2</v>
      </c>
      <c r="G1658" t="n">
        <v>2</v>
      </c>
      <c r="H1658" t="inlineStr">
        <is>
          <t>MEDIUM</t>
        </is>
      </c>
      <c r="I1658" t="n">
        <v>10.5</v>
      </c>
      <c r="J1658" t="inlineStr">
        <is>
          <t>NO</t>
        </is>
      </c>
      <c r="K1658" t="inlineStr"/>
      <c r="L1658" t="inlineStr">
        <is>
          <t>Block domain</t>
        </is>
      </c>
      <c r="M1658" t="inlineStr">
        <is>
          <t>DNS/Network</t>
        </is>
      </c>
      <c r="N1658" t="inlineStr">
        <is>
          <t>P4</t>
        </is>
      </c>
      <c r="O1658" t="inlineStr">
        <is>
          <t>Domain IOC - check IP separately</t>
        </is>
      </c>
      <c r="P1658" t="n">
        <v>0</v>
      </c>
      <c r="Q1658" t="n">
        <v>0</v>
      </c>
      <c r="R1658" t="inlineStr">
        <is>
          <t>T1071.001:Web Protocols | T1568:Dynamic Resolution</t>
        </is>
      </c>
      <c r="S1658" t="n">
        <v>1</v>
      </c>
      <c r="T1658" t="inlineStr">
        <is>
          <t>LOW (40%)</t>
        </is>
      </c>
      <c r="U1658" t="inlineStr">
        <is>
          <t>NONE</t>
        </is>
      </c>
      <c r="V1658" t="inlineStr">
        <is>
          <t>NONE</t>
        </is>
      </c>
      <c r="W1658" t="inlineStr">
        <is>
          <t>NONE</t>
        </is>
      </c>
      <c r="X1658" t="inlineStr">
        <is>
          <t>NONE</t>
        </is>
      </c>
      <c r="Y1658" t="n">
        <v>0</v>
      </c>
      <c r="Z1658" t="inlineStr"/>
      <c r="AA1658" t="inlineStr">
        <is>
          <t>https://www.threatminer.org/domain.php?q=</t>
        </is>
      </c>
    </row>
    <row r="1659">
      <c r="A1659" t="inlineStr">
        <is>
          <t>THREATMINER</t>
        </is>
      </c>
      <c r="B1659" t="inlineStr">
        <is>
          <t>d41d8cd98f00</t>
        </is>
      </c>
      <c r="C1659" t="inlineStr">
        <is>
          <t xml:space="preserve">Malicious domain:  | IP: 80.94.95.116 | Last seen: </t>
        </is>
      </c>
      <c r="D1659" t="n">
        <v>6.5</v>
      </c>
      <c r="E1659" t="inlineStr">
        <is>
          <t>MEDIUM</t>
        </is>
      </c>
      <c r="F1659" t="n">
        <v>2</v>
      </c>
      <c r="G1659" t="n">
        <v>2</v>
      </c>
      <c r="H1659" t="inlineStr">
        <is>
          <t>MEDIUM</t>
        </is>
      </c>
      <c r="I1659" t="n">
        <v>10.5</v>
      </c>
      <c r="J1659" t="inlineStr">
        <is>
          <t>NO</t>
        </is>
      </c>
      <c r="K1659" t="inlineStr"/>
      <c r="L1659" t="inlineStr">
        <is>
          <t>Block domain</t>
        </is>
      </c>
      <c r="M1659" t="inlineStr">
        <is>
          <t>DNS/Network</t>
        </is>
      </c>
      <c r="N1659" t="inlineStr">
        <is>
          <t>P4</t>
        </is>
      </c>
      <c r="O1659" t="inlineStr">
        <is>
          <t>Domain IOC - check IP separately</t>
        </is>
      </c>
      <c r="P1659" t="n">
        <v>0</v>
      </c>
      <c r="Q1659" t="n">
        <v>0</v>
      </c>
      <c r="R1659" t="inlineStr">
        <is>
          <t>T1071.001:Web Protocols | T1568:Dynamic Resolution</t>
        </is>
      </c>
      <c r="S1659" t="n">
        <v>1</v>
      </c>
      <c r="T1659" t="inlineStr">
        <is>
          <t>LOW (40%)</t>
        </is>
      </c>
      <c r="U1659" t="inlineStr">
        <is>
          <t>NONE</t>
        </is>
      </c>
      <c r="V1659" t="inlineStr">
        <is>
          <t>NONE</t>
        </is>
      </c>
      <c r="W1659" t="inlineStr">
        <is>
          <t>NONE</t>
        </is>
      </c>
      <c r="X1659" t="inlineStr">
        <is>
          <t>NONE</t>
        </is>
      </c>
      <c r="Y1659" t="n">
        <v>0</v>
      </c>
      <c r="Z1659" t="inlineStr"/>
      <c r="AA1659" t="inlineStr">
        <is>
          <t>https://www.threatminer.org/domain.php?q=</t>
        </is>
      </c>
    </row>
    <row r="1660">
      <c r="A1660" t="inlineStr">
        <is>
          <t>THREATMINER</t>
        </is>
      </c>
      <c r="B1660" t="inlineStr">
        <is>
          <t>d41d8cd98f00</t>
        </is>
      </c>
      <c r="C1660" t="inlineStr">
        <is>
          <t xml:space="preserve">Malicious domain:  | IP: 91.224.92.54 | Last seen: </t>
        </is>
      </c>
      <c r="D1660" t="n">
        <v>6.5</v>
      </c>
      <c r="E1660" t="inlineStr">
        <is>
          <t>MEDIUM</t>
        </is>
      </c>
      <c r="F1660" t="n">
        <v>2</v>
      </c>
      <c r="G1660" t="n">
        <v>2</v>
      </c>
      <c r="H1660" t="inlineStr">
        <is>
          <t>MEDIUM</t>
        </is>
      </c>
      <c r="I1660" t="n">
        <v>10.5</v>
      </c>
      <c r="J1660" t="inlineStr">
        <is>
          <t>NO</t>
        </is>
      </c>
      <c r="K1660" t="inlineStr"/>
      <c r="L1660" t="inlineStr">
        <is>
          <t>Block domain</t>
        </is>
      </c>
      <c r="M1660" t="inlineStr">
        <is>
          <t>DNS/Network</t>
        </is>
      </c>
      <c r="N1660" t="inlineStr">
        <is>
          <t>P4</t>
        </is>
      </c>
      <c r="O1660" t="inlineStr">
        <is>
          <t>Domain IOC - check IP separately</t>
        </is>
      </c>
      <c r="P1660" t="n">
        <v>0</v>
      </c>
      <c r="Q1660" t="n">
        <v>0</v>
      </c>
      <c r="R1660" t="inlineStr">
        <is>
          <t>T1071.001:Web Protocols | T1568:Dynamic Resolution</t>
        </is>
      </c>
      <c r="S1660" t="n">
        <v>1</v>
      </c>
      <c r="T1660" t="inlineStr">
        <is>
          <t>LOW (40%)</t>
        </is>
      </c>
      <c r="U1660" t="inlineStr">
        <is>
          <t>NONE</t>
        </is>
      </c>
      <c r="V1660" t="inlineStr">
        <is>
          <t>NONE</t>
        </is>
      </c>
      <c r="W1660" t="inlineStr">
        <is>
          <t>NONE</t>
        </is>
      </c>
      <c r="X1660" t="inlineStr">
        <is>
          <t>NONE</t>
        </is>
      </c>
      <c r="Y1660" t="n">
        <v>0</v>
      </c>
      <c r="Z1660" t="inlineStr"/>
      <c r="AA1660" t="inlineStr">
        <is>
          <t>https://www.threatminer.org/domain.php?q=</t>
        </is>
      </c>
    </row>
    <row r="1661">
      <c r="A1661" t="inlineStr">
        <is>
          <t>THREATMINER</t>
        </is>
      </c>
      <c r="B1661" t="inlineStr">
        <is>
          <t>d41d8cd98f00</t>
        </is>
      </c>
      <c r="C1661" t="inlineStr">
        <is>
          <t xml:space="preserve">Malicious domain:  | IP: 91.224.92.108 | Last seen: </t>
        </is>
      </c>
      <c r="D1661" t="n">
        <v>6.5</v>
      </c>
      <c r="E1661" t="inlineStr">
        <is>
          <t>MEDIUM</t>
        </is>
      </c>
      <c r="F1661" t="n">
        <v>2</v>
      </c>
      <c r="G1661" t="n">
        <v>2</v>
      </c>
      <c r="H1661" t="inlineStr">
        <is>
          <t>MEDIUM</t>
        </is>
      </c>
      <c r="I1661" t="n">
        <v>10.5</v>
      </c>
      <c r="J1661" t="inlineStr">
        <is>
          <t>NO</t>
        </is>
      </c>
      <c r="K1661" t="inlineStr"/>
      <c r="L1661" t="inlineStr">
        <is>
          <t>Block domain</t>
        </is>
      </c>
      <c r="M1661" t="inlineStr">
        <is>
          <t>DNS/Network</t>
        </is>
      </c>
      <c r="N1661" t="inlineStr">
        <is>
          <t>P4</t>
        </is>
      </c>
      <c r="O1661" t="inlineStr">
        <is>
          <t>Domain IOC - check IP separately</t>
        </is>
      </c>
      <c r="P1661" t="n">
        <v>0</v>
      </c>
      <c r="Q1661" t="n">
        <v>0</v>
      </c>
      <c r="R1661" t="inlineStr">
        <is>
          <t>T1071.001:Web Protocols | T1568:Dynamic Resolution</t>
        </is>
      </c>
      <c r="S1661" t="n">
        <v>1</v>
      </c>
      <c r="T1661" t="inlineStr">
        <is>
          <t>LOW (40%)</t>
        </is>
      </c>
      <c r="U1661" t="inlineStr">
        <is>
          <t>NONE</t>
        </is>
      </c>
      <c r="V1661" t="inlineStr">
        <is>
          <t>NONE</t>
        </is>
      </c>
      <c r="W1661" t="inlineStr">
        <is>
          <t>NONE</t>
        </is>
      </c>
      <c r="X1661" t="inlineStr">
        <is>
          <t>NONE</t>
        </is>
      </c>
      <c r="Y1661" t="n">
        <v>0</v>
      </c>
      <c r="Z1661" t="inlineStr"/>
      <c r="AA1661" t="inlineStr">
        <is>
          <t>https://www.threatminer.org/domain.php?q=</t>
        </is>
      </c>
    </row>
    <row r="1662">
      <c r="A1662" t="inlineStr">
        <is>
          <t>THREATMINER</t>
        </is>
      </c>
      <c r="B1662" t="inlineStr">
        <is>
          <t>d41d8cd98f00</t>
        </is>
      </c>
      <c r="C1662" t="inlineStr">
        <is>
          <t xml:space="preserve">Malicious domain:  | IP: 92.118.39.56 | Last seen: </t>
        </is>
      </c>
      <c r="D1662" t="n">
        <v>6.5</v>
      </c>
      <c r="E1662" t="inlineStr">
        <is>
          <t>MEDIUM</t>
        </is>
      </c>
      <c r="F1662" t="n">
        <v>2</v>
      </c>
      <c r="G1662" t="n">
        <v>2</v>
      </c>
      <c r="H1662" t="inlineStr">
        <is>
          <t>MEDIUM</t>
        </is>
      </c>
      <c r="I1662" t="n">
        <v>10.5</v>
      </c>
      <c r="J1662" t="inlineStr">
        <is>
          <t>NO</t>
        </is>
      </c>
      <c r="K1662" t="inlineStr"/>
      <c r="L1662" t="inlineStr">
        <is>
          <t>Block domain</t>
        </is>
      </c>
      <c r="M1662" t="inlineStr">
        <is>
          <t>DNS/Network</t>
        </is>
      </c>
      <c r="N1662" t="inlineStr">
        <is>
          <t>P4</t>
        </is>
      </c>
      <c r="O1662" t="inlineStr">
        <is>
          <t>Domain IOC - check IP separately</t>
        </is>
      </c>
      <c r="P1662" t="n">
        <v>0</v>
      </c>
      <c r="Q1662" t="n">
        <v>0</v>
      </c>
      <c r="R1662" t="inlineStr">
        <is>
          <t>T1071.001:Web Protocols | T1568:Dynamic Resolution</t>
        </is>
      </c>
      <c r="S1662" t="n">
        <v>1</v>
      </c>
      <c r="T1662" t="inlineStr">
        <is>
          <t>LOW (40%)</t>
        </is>
      </c>
      <c r="U1662" t="inlineStr">
        <is>
          <t>NONE</t>
        </is>
      </c>
      <c r="V1662" t="inlineStr">
        <is>
          <t>NONE</t>
        </is>
      </c>
      <c r="W1662" t="inlineStr">
        <is>
          <t>NONE</t>
        </is>
      </c>
      <c r="X1662" t="inlineStr">
        <is>
          <t>NONE</t>
        </is>
      </c>
      <c r="Y1662" t="n">
        <v>0</v>
      </c>
      <c r="Z1662" t="inlineStr"/>
      <c r="AA1662" t="inlineStr">
        <is>
          <t>https://www.threatminer.org/domain.php?q=</t>
        </is>
      </c>
    </row>
    <row r="1663">
      <c r="A1663" t="inlineStr">
        <is>
          <t>THREATMINER</t>
        </is>
      </c>
      <c r="B1663" t="inlineStr">
        <is>
          <t>d41d8cd98f00</t>
        </is>
      </c>
      <c r="C1663" t="inlineStr">
        <is>
          <t xml:space="preserve">Malicious domain:  | IP: 92.118.39.76 | Last seen: </t>
        </is>
      </c>
      <c r="D1663" t="n">
        <v>6.5</v>
      </c>
      <c r="E1663" t="inlineStr">
        <is>
          <t>MEDIUM</t>
        </is>
      </c>
      <c r="F1663" t="n">
        <v>2</v>
      </c>
      <c r="G1663" t="n">
        <v>2</v>
      </c>
      <c r="H1663" t="inlineStr">
        <is>
          <t>MEDIUM</t>
        </is>
      </c>
      <c r="I1663" t="n">
        <v>10.5</v>
      </c>
      <c r="J1663" t="inlineStr">
        <is>
          <t>NO</t>
        </is>
      </c>
      <c r="K1663" t="inlineStr"/>
      <c r="L1663" t="inlineStr">
        <is>
          <t>Block domain</t>
        </is>
      </c>
      <c r="M1663" t="inlineStr">
        <is>
          <t>DNS/Network</t>
        </is>
      </c>
      <c r="N1663" t="inlineStr">
        <is>
          <t>P4</t>
        </is>
      </c>
      <c r="O1663" t="inlineStr">
        <is>
          <t>Domain IOC - check IP separately</t>
        </is>
      </c>
      <c r="P1663" t="n">
        <v>0</v>
      </c>
      <c r="Q1663" t="n">
        <v>0</v>
      </c>
      <c r="R1663" t="inlineStr">
        <is>
          <t>T1071.001:Web Protocols | T1568:Dynamic Resolution</t>
        </is>
      </c>
      <c r="S1663" t="n">
        <v>1</v>
      </c>
      <c r="T1663" t="inlineStr">
        <is>
          <t>LOW (40%)</t>
        </is>
      </c>
      <c r="U1663" t="inlineStr">
        <is>
          <t>NONE</t>
        </is>
      </c>
      <c r="V1663" t="inlineStr">
        <is>
          <t>NONE</t>
        </is>
      </c>
      <c r="W1663" t="inlineStr">
        <is>
          <t>NONE</t>
        </is>
      </c>
      <c r="X1663" t="inlineStr">
        <is>
          <t>NONE</t>
        </is>
      </c>
      <c r="Y1663" t="n">
        <v>0</v>
      </c>
      <c r="Z1663" t="inlineStr"/>
      <c r="AA1663" t="inlineStr">
        <is>
          <t>https://www.threatminer.org/domain.php?q=</t>
        </is>
      </c>
    </row>
    <row r="1664">
      <c r="A1664" t="inlineStr">
        <is>
          <t>THREATMINER</t>
        </is>
      </c>
      <c r="B1664" t="inlineStr">
        <is>
          <t>d41d8cd98f00</t>
        </is>
      </c>
      <c r="C1664" t="inlineStr">
        <is>
          <t xml:space="preserve">Malicious domain:  | IP: 101.36.104.242 | Last seen: </t>
        </is>
      </c>
      <c r="D1664" t="n">
        <v>6.5</v>
      </c>
      <c r="E1664" t="inlineStr">
        <is>
          <t>MEDIUM</t>
        </is>
      </c>
      <c r="F1664" t="n">
        <v>2</v>
      </c>
      <c r="G1664" t="n">
        <v>2</v>
      </c>
      <c r="H1664" t="inlineStr">
        <is>
          <t>MEDIUM</t>
        </is>
      </c>
      <c r="I1664" t="n">
        <v>10.5</v>
      </c>
      <c r="J1664" t="inlineStr">
        <is>
          <t>NO</t>
        </is>
      </c>
      <c r="K1664" t="inlineStr"/>
      <c r="L1664" t="inlineStr">
        <is>
          <t>Block domain</t>
        </is>
      </c>
      <c r="M1664" t="inlineStr">
        <is>
          <t>DNS/Network</t>
        </is>
      </c>
      <c r="N1664" t="inlineStr">
        <is>
          <t>P4</t>
        </is>
      </c>
      <c r="O1664" t="inlineStr">
        <is>
          <t>Domain IOC - check IP separately</t>
        </is>
      </c>
      <c r="P1664" t="n">
        <v>0</v>
      </c>
      <c r="Q1664" t="n">
        <v>0</v>
      </c>
      <c r="R1664" t="inlineStr">
        <is>
          <t>T1071.001:Web Protocols | T1568:Dynamic Resolution</t>
        </is>
      </c>
      <c r="S1664" t="n">
        <v>1</v>
      </c>
      <c r="T1664" t="inlineStr">
        <is>
          <t>LOW (40%)</t>
        </is>
      </c>
      <c r="U1664" t="inlineStr">
        <is>
          <t>NONE</t>
        </is>
      </c>
      <c r="V1664" t="inlineStr">
        <is>
          <t>NONE</t>
        </is>
      </c>
      <c r="W1664" t="inlineStr">
        <is>
          <t>NONE</t>
        </is>
      </c>
      <c r="X1664" t="inlineStr">
        <is>
          <t>NONE</t>
        </is>
      </c>
      <c r="Y1664" t="n">
        <v>0</v>
      </c>
      <c r="Z1664" t="inlineStr"/>
      <c r="AA1664" t="inlineStr">
        <is>
          <t>https://www.threatminer.org/domain.php?q=</t>
        </is>
      </c>
    </row>
    <row r="1665">
      <c r="A1665" t="inlineStr">
        <is>
          <t>THREATMINER</t>
        </is>
      </c>
      <c r="B1665" t="inlineStr">
        <is>
          <t>d41d8cd98f00</t>
        </is>
      </c>
      <c r="C1665" t="inlineStr">
        <is>
          <t xml:space="preserve">Malicious domain:  | IP: 103.40.61.98 | Last seen: </t>
        </is>
      </c>
      <c r="D1665" t="n">
        <v>6.5</v>
      </c>
      <c r="E1665" t="inlineStr">
        <is>
          <t>MEDIUM</t>
        </is>
      </c>
      <c r="F1665" t="n">
        <v>2</v>
      </c>
      <c r="G1665" t="n">
        <v>2</v>
      </c>
      <c r="H1665" t="inlineStr">
        <is>
          <t>MEDIUM</t>
        </is>
      </c>
      <c r="I1665" t="n">
        <v>10.5</v>
      </c>
      <c r="J1665" t="inlineStr">
        <is>
          <t>NO</t>
        </is>
      </c>
      <c r="K1665" t="inlineStr"/>
      <c r="L1665" t="inlineStr">
        <is>
          <t>Block domain</t>
        </is>
      </c>
      <c r="M1665" t="inlineStr">
        <is>
          <t>DNS/Network</t>
        </is>
      </c>
      <c r="N1665" t="inlineStr">
        <is>
          <t>P4</t>
        </is>
      </c>
      <c r="O1665" t="inlineStr">
        <is>
          <t>Domain IOC - check IP separately</t>
        </is>
      </c>
      <c r="P1665" t="n">
        <v>0</v>
      </c>
      <c r="Q1665" t="n">
        <v>0</v>
      </c>
      <c r="R1665" t="inlineStr">
        <is>
          <t>T1071.001:Web Protocols | T1568:Dynamic Resolution</t>
        </is>
      </c>
      <c r="S1665" t="n">
        <v>1</v>
      </c>
      <c r="T1665" t="inlineStr">
        <is>
          <t>LOW (40%)</t>
        </is>
      </c>
      <c r="U1665" t="inlineStr">
        <is>
          <t>NONE</t>
        </is>
      </c>
      <c r="V1665" t="inlineStr">
        <is>
          <t>NONE</t>
        </is>
      </c>
      <c r="W1665" t="inlineStr">
        <is>
          <t>NONE</t>
        </is>
      </c>
      <c r="X1665" t="inlineStr">
        <is>
          <t>NONE</t>
        </is>
      </c>
      <c r="Y1665" t="n">
        <v>0</v>
      </c>
      <c r="Z1665" t="inlineStr"/>
      <c r="AA1665" t="inlineStr">
        <is>
          <t>https://www.threatminer.org/domain.php?q=</t>
        </is>
      </c>
    </row>
    <row r="1666">
      <c r="A1666" t="inlineStr">
        <is>
          <t>THREATMINER</t>
        </is>
      </c>
      <c r="B1666" t="inlineStr">
        <is>
          <t>d41d8cd98f00</t>
        </is>
      </c>
      <c r="C1666" t="inlineStr">
        <is>
          <t xml:space="preserve">Malicious domain:  | IP: 154.81.14.244 | Last seen: </t>
        </is>
      </c>
      <c r="D1666" t="n">
        <v>6.5</v>
      </c>
      <c r="E1666" t="inlineStr">
        <is>
          <t>MEDIUM</t>
        </is>
      </c>
      <c r="F1666" t="n">
        <v>2</v>
      </c>
      <c r="G1666" t="n">
        <v>2</v>
      </c>
      <c r="H1666" t="inlineStr">
        <is>
          <t>MEDIUM</t>
        </is>
      </c>
      <c r="I1666" t="n">
        <v>10.5</v>
      </c>
      <c r="J1666" t="inlineStr">
        <is>
          <t>NO</t>
        </is>
      </c>
      <c r="K1666" t="inlineStr"/>
      <c r="L1666" t="inlineStr">
        <is>
          <t>Block domain</t>
        </is>
      </c>
      <c r="M1666" t="inlineStr">
        <is>
          <t>DNS/Network</t>
        </is>
      </c>
      <c r="N1666" t="inlineStr">
        <is>
          <t>P4</t>
        </is>
      </c>
      <c r="O1666" t="inlineStr">
        <is>
          <t>Domain IOC - check IP separately</t>
        </is>
      </c>
      <c r="P1666" t="n">
        <v>0</v>
      </c>
      <c r="Q1666" t="n">
        <v>0</v>
      </c>
      <c r="R1666" t="inlineStr">
        <is>
          <t>T1071.001:Web Protocols | T1568:Dynamic Resolution</t>
        </is>
      </c>
      <c r="S1666" t="n">
        <v>1</v>
      </c>
      <c r="T1666" t="inlineStr">
        <is>
          <t>LOW (40%)</t>
        </is>
      </c>
      <c r="U1666" t="inlineStr">
        <is>
          <t>NONE</t>
        </is>
      </c>
      <c r="V1666" t="inlineStr">
        <is>
          <t>NONE</t>
        </is>
      </c>
      <c r="W1666" t="inlineStr">
        <is>
          <t>NONE</t>
        </is>
      </c>
      <c r="X1666" t="inlineStr">
        <is>
          <t>NONE</t>
        </is>
      </c>
      <c r="Y1666" t="n">
        <v>0</v>
      </c>
      <c r="Z1666" t="inlineStr"/>
      <c r="AA1666" t="inlineStr">
        <is>
          <t>https://www.threatminer.org/domain.php?q=</t>
        </is>
      </c>
    </row>
    <row r="1667">
      <c r="A1667" t="inlineStr">
        <is>
          <t>THREATMINER</t>
        </is>
      </c>
      <c r="B1667" t="inlineStr">
        <is>
          <t>d41d8cd98f00</t>
        </is>
      </c>
      <c r="C1667" t="inlineStr">
        <is>
          <t xml:space="preserve">Malicious domain:  | IP: 162.142.125.207 | Last seen: </t>
        </is>
      </c>
      <c r="D1667" t="n">
        <v>6.5</v>
      </c>
      <c r="E1667" t="inlineStr">
        <is>
          <t>MEDIUM</t>
        </is>
      </c>
      <c r="F1667" t="n">
        <v>2</v>
      </c>
      <c r="G1667" t="n">
        <v>2</v>
      </c>
      <c r="H1667" t="inlineStr">
        <is>
          <t>MEDIUM</t>
        </is>
      </c>
      <c r="I1667" t="n">
        <v>10.5</v>
      </c>
      <c r="J1667" t="inlineStr">
        <is>
          <t>NO</t>
        </is>
      </c>
      <c r="K1667" t="inlineStr"/>
      <c r="L1667" t="inlineStr">
        <is>
          <t>Block domain</t>
        </is>
      </c>
      <c r="M1667" t="inlineStr">
        <is>
          <t>DNS/Network</t>
        </is>
      </c>
      <c r="N1667" t="inlineStr">
        <is>
          <t>P4</t>
        </is>
      </c>
      <c r="O1667" t="inlineStr">
        <is>
          <t>Domain IOC - check IP separately</t>
        </is>
      </c>
      <c r="P1667" t="n">
        <v>0</v>
      </c>
      <c r="Q1667" t="n">
        <v>0</v>
      </c>
      <c r="R1667" t="inlineStr">
        <is>
          <t>T1071.001:Web Protocols | T1568:Dynamic Resolution</t>
        </is>
      </c>
      <c r="S1667" t="n">
        <v>1</v>
      </c>
      <c r="T1667" t="inlineStr">
        <is>
          <t>LOW (40%)</t>
        </is>
      </c>
      <c r="U1667" t="inlineStr">
        <is>
          <t>NONE</t>
        </is>
      </c>
      <c r="V1667" t="inlineStr">
        <is>
          <t>NONE</t>
        </is>
      </c>
      <c r="W1667" t="inlineStr">
        <is>
          <t>NONE</t>
        </is>
      </c>
      <c r="X1667" t="inlineStr">
        <is>
          <t>NONE</t>
        </is>
      </c>
      <c r="Y1667" t="n">
        <v>0</v>
      </c>
      <c r="Z1667" t="inlineStr"/>
      <c r="AA1667" t="inlineStr">
        <is>
          <t>https://www.threatminer.org/domain.php?q=</t>
        </is>
      </c>
    </row>
    <row r="1668">
      <c r="A1668" t="inlineStr">
        <is>
          <t>THREATMINER</t>
        </is>
      </c>
      <c r="B1668" t="inlineStr">
        <is>
          <t>d41d8cd98f00</t>
        </is>
      </c>
      <c r="C1668" t="inlineStr">
        <is>
          <t xml:space="preserve">Malicious domain:  | IP: 185.156.73.233 | Last seen: </t>
        </is>
      </c>
      <c r="D1668" t="n">
        <v>6.5</v>
      </c>
      <c r="E1668" t="inlineStr">
        <is>
          <t>MEDIUM</t>
        </is>
      </c>
      <c r="F1668" t="n">
        <v>2</v>
      </c>
      <c r="G1668" t="n">
        <v>2</v>
      </c>
      <c r="H1668" t="inlineStr">
        <is>
          <t>MEDIUM</t>
        </is>
      </c>
      <c r="I1668" t="n">
        <v>10.5</v>
      </c>
      <c r="J1668" t="inlineStr">
        <is>
          <t>NO</t>
        </is>
      </c>
      <c r="K1668" t="inlineStr"/>
      <c r="L1668" t="inlineStr">
        <is>
          <t>Block domain</t>
        </is>
      </c>
      <c r="M1668" t="inlineStr">
        <is>
          <t>DNS/Network</t>
        </is>
      </c>
      <c r="N1668" t="inlineStr">
        <is>
          <t>P4</t>
        </is>
      </c>
      <c r="O1668" t="inlineStr">
        <is>
          <t>Domain IOC - check IP separately</t>
        </is>
      </c>
      <c r="P1668" t="n">
        <v>0</v>
      </c>
      <c r="Q1668" t="n">
        <v>0</v>
      </c>
      <c r="R1668" t="inlineStr">
        <is>
          <t>T1071.001:Web Protocols | T1568:Dynamic Resolution</t>
        </is>
      </c>
      <c r="S1668" t="n">
        <v>1</v>
      </c>
      <c r="T1668" t="inlineStr">
        <is>
          <t>LOW (40%)</t>
        </is>
      </c>
      <c r="U1668" t="inlineStr">
        <is>
          <t>NONE</t>
        </is>
      </c>
      <c r="V1668" t="inlineStr">
        <is>
          <t>NONE</t>
        </is>
      </c>
      <c r="W1668" t="inlineStr">
        <is>
          <t>NONE</t>
        </is>
      </c>
      <c r="X1668" t="inlineStr">
        <is>
          <t>NONE</t>
        </is>
      </c>
      <c r="Y1668" t="n">
        <v>0</v>
      </c>
      <c r="Z1668" t="inlineStr"/>
      <c r="AA1668" t="inlineStr">
        <is>
          <t>https://www.threatminer.org/domain.php?q=</t>
        </is>
      </c>
    </row>
    <row r="1669">
      <c r="A1669" t="inlineStr">
        <is>
          <t>THREATMINER</t>
        </is>
      </c>
      <c r="B1669" t="inlineStr">
        <is>
          <t>d41d8cd98f00</t>
        </is>
      </c>
      <c r="C1669" t="inlineStr">
        <is>
          <t xml:space="preserve">Malicious domain:  | IP: 195.178.110.15 | Last seen: </t>
        </is>
      </c>
      <c r="D1669" t="n">
        <v>6.5</v>
      </c>
      <c r="E1669" t="inlineStr">
        <is>
          <t>MEDIUM</t>
        </is>
      </c>
      <c r="F1669" t="n">
        <v>2</v>
      </c>
      <c r="G1669" t="n">
        <v>2</v>
      </c>
      <c r="H1669" t="inlineStr">
        <is>
          <t>MEDIUM</t>
        </is>
      </c>
      <c r="I1669" t="n">
        <v>10.5</v>
      </c>
      <c r="J1669" t="inlineStr">
        <is>
          <t>NO</t>
        </is>
      </c>
      <c r="K1669" t="inlineStr"/>
      <c r="L1669" t="inlineStr">
        <is>
          <t>Block domain</t>
        </is>
      </c>
      <c r="M1669" t="inlineStr">
        <is>
          <t>DNS/Network</t>
        </is>
      </c>
      <c r="N1669" t="inlineStr">
        <is>
          <t>P4</t>
        </is>
      </c>
      <c r="O1669" t="inlineStr">
        <is>
          <t>Domain IOC - check IP separately</t>
        </is>
      </c>
      <c r="P1669" t="n">
        <v>0</v>
      </c>
      <c r="Q1669" t="n">
        <v>0</v>
      </c>
      <c r="R1669" t="inlineStr">
        <is>
          <t>T1071.001:Web Protocols | T1568:Dynamic Resolution</t>
        </is>
      </c>
      <c r="S1669" t="n">
        <v>1</v>
      </c>
      <c r="T1669" t="inlineStr">
        <is>
          <t>LOW (40%)</t>
        </is>
      </c>
      <c r="U1669" t="inlineStr">
        <is>
          <t>NONE</t>
        </is>
      </c>
      <c r="V1669" t="inlineStr">
        <is>
          <t>NONE</t>
        </is>
      </c>
      <c r="W1669" t="inlineStr">
        <is>
          <t>NONE</t>
        </is>
      </c>
      <c r="X1669" t="inlineStr">
        <is>
          <t>NONE</t>
        </is>
      </c>
      <c r="Y1669" t="n">
        <v>0</v>
      </c>
      <c r="Z1669" t="inlineStr"/>
      <c r="AA1669" t="inlineStr">
        <is>
          <t>https://www.threatminer.org/domain.php?q=</t>
        </is>
      </c>
    </row>
    <row r="1670">
      <c r="A1670" t="inlineStr">
        <is>
          <t>THREATMINER</t>
        </is>
      </c>
      <c r="B1670" t="inlineStr">
        <is>
          <t>d41d8cd98f00</t>
        </is>
      </c>
      <c r="C1670" t="inlineStr">
        <is>
          <t xml:space="preserve">Malicious domain:  | IP: 217.154.69.208 | Last seen: </t>
        </is>
      </c>
      <c r="D1670" t="n">
        <v>6.5</v>
      </c>
      <c r="E1670" t="inlineStr">
        <is>
          <t>MEDIUM</t>
        </is>
      </c>
      <c r="F1670" t="n">
        <v>2</v>
      </c>
      <c r="G1670" t="n">
        <v>2</v>
      </c>
      <c r="H1670" t="inlineStr">
        <is>
          <t>MEDIUM</t>
        </is>
      </c>
      <c r="I1670" t="n">
        <v>10.5</v>
      </c>
      <c r="J1670" t="inlineStr">
        <is>
          <t>NO</t>
        </is>
      </c>
      <c r="K1670" t="inlineStr"/>
      <c r="L1670" t="inlineStr">
        <is>
          <t>Block domain</t>
        </is>
      </c>
      <c r="M1670" t="inlineStr">
        <is>
          <t>DNS/Network</t>
        </is>
      </c>
      <c r="N1670" t="inlineStr">
        <is>
          <t>P4</t>
        </is>
      </c>
      <c r="O1670" t="inlineStr">
        <is>
          <t>Domain IOC - check IP separately</t>
        </is>
      </c>
      <c r="P1670" t="n">
        <v>0</v>
      </c>
      <c r="Q1670" t="n">
        <v>0</v>
      </c>
      <c r="R1670" t="inlineStr">
        <is>
          <t>T1071.001:Web Protocols | T1568:Dynamic Resolution</t>
        </is>
      </c>
      <c r="S1670" t="n">
        <v>1</v>
      </c>
      <c r="T1670" t="inlineStr">
        <is>
          <t>LOW (40%)</t>
        </is>
      </c>
      <c r="U1670" t="inlineStr">
        <is>
          <t>NONE</t>
        </is>
      </c>
      <c r="V1670" t="inlineStr">
        <is>
          <t>NONE</t>
        </is>
      </c>
      <c r="W1670" t="inlineStr">
        <is>
          <t>NONE</t>
        </is>
      </c>
      <c r="X1670" t="inlineStr">
        <is>
          <t>NONE</t>
        </is>
      </c>
      <c r="Y1670" t="n">
        <v>0</v>
      </c>
      <c r="Z1670" t="inlineStr"/>
      <c r="AA1670" t="inlineStr">
        <is>
          <t>https://www.threatminer.org/domain.php?q=</t>
        </is>
      </c>
    </row>
    <row r="1671">
      <c r="A1671" t="inlineStr">
        <is>
          <t>THREATMINER</t>
        </is>
      </c>
      <c r="B1671" t="inlineStr">
        <is>
          <t>d41d8cd98f00</t>
        </is>
      </c>
      <c r="C1671" t="inlineStr">
        <is>
          <t xml:space="preserve">Malicious domain:  | IP: 2.57.121.112 | Last seen: </t>
        </is>
      </c>
      <c r="D1671" t="n">
        <v>6.5</v>
      </c>
      <c r="E1671" t="inlineStr">
        <is>
          <t>MEDIUM</t>
        </is>
      </c>
      <c r="F1671" t="n">
        <v>2</v>
      </c>
      <c r="G1671" t="n">
        <v>2</v>
      </c>
      <c r="H1671" t="inlineStr">
        <is>
          <t>MEDIUM</t>
        </is>
      </c>
      <c r="I1671" t="n">
        <v>10.5</v>
      </c>
      <c r="J1671" t="inlineStr">
        <is>
          <t>NO</t>
        </is>
      </c>
      <c r="K1671" t="inlineStr"/>
      <c r="L1671" t="inlineStr">
        <is>
          <t>Block domain</t>
        </is>
      </c>
      <c r="M1671" t="inlineStr">
        <is>
          <t>DNS/Network</t>
        </is>
      </c>
      <c r="N1671" t="inlineStr">
        <is>
          <t>P4</t>
        </is>
      </c>
      <c r="O1671" t="inlineStr">
        <is>
          <t>Domain IOC - check IP separately</t>
        </is>
      </c>
      <c r="P1671" t="n">
        <v>0</v>
      </c>
      <c r="Q1671" t="n">
        <v>0</v>
      </c>
      <c r="R1671" t="inlineStr">
        <is>
          <t>T1071.001:Web Protocols | T1568:Dynamic Resolution</t>
        </is>
      </c>
      <c r="S1671" t="n">
        <v>1</v>
      </c>
      <c r="T1671" t="inlineStr">
        <is>
          <t>LOW (40%)</t>
        </is>
      </c>
      <c r="U1671" t="inlineStr">
        <is>
          <t>NONE</t>
        </is>
      </c>
      <c r="V1671" t="inlineStr">
        <is>
          <t>NONE</t>
        </is>
      </c>
      <c r="W1671" t="inlineStr">
        <is>
          <t>NONE</t>
        </is>
      </c>
      <c r="X1671" t="inlineStr">
        <is>
          <t>NONE</t>
        </is>
      </c>
      <c r="Y1671" t="n">
        <v>0</v>
      </c>
      <c r="Z1671" t="inlineStr"/>
      <c r="AA1671" t="inlineStr">
        <is>
          <t>https://www.threatminer.org/domain.php?q=</t>
        </is>
      </c>
    </row>
    <row r="1672">
      <c r="A1672" t="inlineStr">
        <is>
          <t>SHODAN_VULN</t>
        </is>
      </c>
      <c r="B1672" t="inlineStr">
        <is>
          <t>7270e450f7f1</t>
        </is>
      </c>
      <c r="C1672" t="inlineStr">
        <is>
          <t>InternetDB: 162.243.103.246 | Ports: 22, 80, 443, 8080 | wearoddball.com | CVE: CVE-2014-3470 | Tags: cloud</t>
        </is>
      </c>
      <c r="D1672" t="n">
        <v>7.5</v>
      </c>
      <c r="E1672" t="inlineStr">
        <is>
          <t>HIGH</t>
        </is>
      </c>
      <c r="F1672" t="n">
        <v>2</v>
      </c>
      <c r="G1672" t="n">
        <v>2</v>
      </c>
      <c r="H1672" t="inlineStr">
        <is>
          <t>MEDIUM</t>
        </is>
      </c>
      <c r="I1672" t="n">
        <v>11.5</v>
      </c>
      <c r="J1672" t="inlineStr">
        <is>
          <t>NO</t>
        </is>
      </c>
      <c r="K1672" t="inlineStr">
        <is>
          <t>2026-02-26 00:15</t>
        </is>
      </c>
      <c r="L1672" t="inlineStr">
        <is>
          <t>Apply patch and restrict exposed ports</t>
        </is>
      </c>
      <c r="M1672" t="inlineStr">
        <is>
          <t>wearoddball.com</t>
        </is>
      </c>
      <c r="N1672" t="inlineStr">
        <is>
          <t>P4</t>
        </is>
      </c>
      <c r="O1672" t="inlineStr">
        <is>
          <t>Shodan InternetDB — see ip-api.com context for scanner classification</t>
        </is>
      </c>
      <c r="P1672" t="n">
        <v>0</v>
      </c>
      <c r="Q1672" t="n">
        <v>0</v>
      </c>
      <c r="R1672" t="inlineStr">
        <is>
          <t>T1190:Exploit Public-Facing Application | T1046:Network Service Discovery</t>
        </is>
      </c>
      <c r="S1672" t="n">
        <v>1</v>
      </c>
      <c r="T1672" t="inlineStr">
        <is>
          <t>LOW (40%)</t>
        </is>
      </c>
      <c r="U1672" t="inlineStr">
        <is>
          <t>CHECK_VULNS</t>
        </is>
      </c>
      <c r="V1672" t="inlineStr">
        <is>
          <t>Restrict access</t>
        </is>
      </c>
      <c r="W1672" t="inlineStr">
        <is>
          <t>https://www.shodan.io/host/162.243.103.246</t>
        </is>
      </c>
      <c r="X1672" t="inlineStr">
        <is>
          <t>NONE</t>
        </is>
      </c>
      <c r="Y1672" t="n">
        <v>0</v>
      </c>
      <c r="Z1672" t="inlineStr"/>
      <c r="AA1672" t="inlineStr">
        <is>
          <t>https://www.shodan.io/host/162.243.103.246</t>
        </is>
      </c>
    </row>
    <row r="1673">
      <c r="A1673" t="inlineStr">
        <is>
          <t>SHODAN_VULN</t>
        </is>
      </c>
      <c r="B1673" t="inlineStr">
        <is>
          <t>ff59c7fe2f68</t>
        </is>
      </c>
      <c r="C1673" t="inlineStr">
        <is>
          <t>InternetDB: 162.243.103.246 | Ports: 22, 80, 443, 8080 | wearoddball.com | CVE: CVE-2014-2497 | Tags: cloud</t>
        </is>
      </c>
      <c r="D1673" t="n">
        <v>7.5</v>
      </c>
      <c r="E1673" t="inlineStr">
        <is>
          <t>HIGH</t>
        </is>
      </c>
      <c r="F1673" t="n">
        <v>2</v>
      </c>
      <c r="G1673" t="n">
        <v>2</v>
      </c>
      <c r="H1673" t="inlineStr">
        <is>
          <t>MEDIUM</t>
        </is>
      </c>
      <c r="I1673" t="n">
        <v>11.5</v>
      </c>
      <c r="J1673" t="inlineStr">
        <is>
          <t>NO</t>
        </is>
      </c>
      <c r="K1673" t="inlineStr">
        <is>
          <t>2026-02-26 00:15</t>
        </is>
      </c>
      <c r="L1673" t="inlineStr">
        <is>
          <t>Apply patch and restrict exposed ports</t>
        </is>
      </c>
      <c r="M1673" t="inlineStr">
        <is>
          <t>wearoddball.com</t>
        </is>
      </c>
      <c r="N1673" t="inlineStr">
        <is>
          <t>P4</t>
        </is>
      </c>
      <c r="O1673" t="inlineStr">
        <is>
          <t>Shodan InternetDB — see ip-api.com context for scanner classification</t>
        </is>
      </c>
      <c r="P1673" t="n">
        <v>0</v>
      </c>
      <c r="Q1673" t="n">
        <v>0</v>
      </c>
      <c r="R1673" t="inlineStr">
        <is>
          <t>T1190:Exploit Public-Facing Application | T1046:Network Service Discovery</t>
        </is>
      </c>
      <c r="S1673" t="n">
        <v>1</v>
      </c>
      <c r="T1673" t="inlineStr">
        <is>
          <t>LOW (40%)</t>
        </is>
      </c>
      <c r="U1673" t="inlineStr">
        <is>
          <t>CHECK_VULNS</t>
        </is>
      </c>
      <c r="V1673" t="inlineStr">
        <is>
          <t>Restrict access</t>
        </is>
      </c>
      <c r="W1673" t="inlineStr">
        <is>
          <t>https://www.shodan.io/host/162.243.103.246</t>
        </is>
      </c>
      <c r="X1673" t="inlineStr">
        <is>
          <t>NONE</t>
        </is>
      </c>
      <c r="Y1673" t="n">
        <v>0</v>
      </c>
      <c r="Z1673" t="inlineStr"/>
      <c r="AA1673" t="inlineStr">
        <is>
          <t>https://www.shodan.io/host/162.243.103.246</t>
        </is>
      </c>
    </row>
    <row r="1674">
      <c r="A1674" t="inlineStr">
        <is>
          <t>SHODAN_VULN</t>
        </is>
      </c>
      <c r="B1674" t="inlineStr">
        <is>
          <t>5551873c0fb5</t>
        </is>
      </c>
      <c r="C1674" t="inlineStr">
        <is>
          <t>InternetDB: 162.243.103.246 | Ports: 22, 80, 443, 8080 | wearoddball.com | CVE: CVE-2019-9641 | Tags: cloud</t>
        </is>
      </c>
      <c r="D1674" t="n">
        <v>7.5</v>
      </c>
      <c r="E1674" t="inlineStr">
        <is>
          <t>HIGH</t>
        </is>
      </c>
      <c r="F1674" t="n">
        <v>2</v>
      </c>
      <c r="G1674" t="n">
        <v>2</v>
      </c>
      <c r="H1674" t="inlineStr">
        <is>
          <t>MEDIUM</t>
        </is>
      </c>
      <c r="I1674" t="n">
        <v>11.5</v>
      </c>
      <c r="J1674" t="inlineStr">
        <is>
          <t>NO</t>
        </is>
      </c>
      <c r="K1674" t="inlineStr">
        <is>
          <t>2026-02-26 00:15</t>
        </is>
      </c>
      <c r="L1674" t="inlineStr">
        <is>
          <t>Apply patch and restrict exposed ports</t>
        </is>
      </c>
      <c r="M1674" t="inlineStr">
        <is>
          <t>wearoddball.com</t>
        </is>
      </c>
      <c r="N1674" t="inlineStr">
        <is>
          <t>P4</t>
        </is>
      </c>
      <c r="O1674" t="inlineStr">
        <is>
          <t>Shodan InternetDB — see ip-api.com context for scanner classification</t>
        </is>
      </c>
      <c r="P1674" t="n">
        <v>0</v>
      </c>
      <c r="Q1674" t="n">
        <v>0</v>
      </c>
      <c r="R1674" t="inlineStr">
        <is>
          <t>T1190:Exploit Public-Facing Application | T1046:Network Service Discovery</t>
        </is>
      </c>
      <c r="S1674" t="n">
        <v>1</v>
      </c>
      <c r="T1674" t="inlineStr">
        <is>
          <t>LOW (40%)</t>
        </is>
      </c>
      <c r="U1674" t="inlineStr">
        <is>
          <t>CHECK_VULNS</t>
        </is>
      </c>
      <c r="V1674" t="inlineStr">
        <is>
          <t>Restrict access</t>
        </is>
      </c>
      <c r="W1674" t="inlineStr">
        <is>
          <t>https://www.shodan.io/host/162.243.103.246</t>
        </is>
      </c>
      <c r="X1674" t="inlineStr">
        <is>
          <t>NONE</t>
        </is>
      </c>
      <c r="Y1674" t="n">
        <v>0</v>
      </c>
      <c r="Z1674" t="inlineStr"/>
      <c r="AA1674" t="inlineStr">
        <is>
          <t>https://www.shodan.io/host/162.243.103.246</t>
        </is>
      </c>
    </row>
    <row r="1675">
      <c r="A1675" t="inlineStr">
        <is>
          <t>SHODAN_VULN</t>
        </is>
      </c>
      <c r="B1675" t="inlineStr">
        <is>
          <t>f357a582e404</t>
        </is>
      </c>
      <c r="C1675" t="inlineStr">
        <is>
          <t>InternetDB: 178.62.3.223 | Ports: 22, 25, 53, 80, 443, 587, 993, 995 | box.nautadb.com | Tags: starttls, cloud</t>
        </is>
      </c>
      <c r="D1675" t="n">
        <v>5</v>
      </c>
      <c r="E1675" t="inlineStr">
        <is>
          <t>MEDIUM</t>
        </is>
      </c>
      <c r="F1675" t="n">
        <v>1</v>
      </c>
      <c r="G1675" t="n">
        <v>2</v>
      </c>
      <c r="H1675" t="inlineStr">
        <is>
          <t>LOW</t>
        </is>
      </c>
      <c r="I1675" t="n">
        <v>7</v>
      </c>
      <c r="J1675" t="inlineStr">
        <is>
          <t>NO</t>
        </is>
      </c>
      <c r="K1675" t="inlineStr">
        <is>
          <t>2026-02-26 00:15</t>
        </is>
      </c>
      <c r="L1675" t="inlineStr">
        <is>
          <t>Review and firewall exposed ports</t>
        </is>
      </c>
      <c r="M1675" t="inlineStr">
        <is>
          <t>box.nautadb.com</t>
        </is>
      </c>
      <c r="N1675" t="inlineStr">
        <is>
          <t>P4</t>
        </is>
      </c>
      <c r="O1675" t="inlineStr">
        <is>
          <t>Shodan InternetDB — open ports, no known CVEs indexed</t>
        </is>
      </c>
      <c r="P1675" t="n">
        <v>0</v>
      </c>
      <c r="Q1675" t="n">
        <v>0</v>
      </c>
      <c r="R1675" t="inlineStr">
        <is>
          <t>T1046:Network Service Discovery</t>
        </is>
      </c>
      <c r="S1675" t="n">
        <v>1</v>
      </c>
      <c r="T1675" t="inlineStr">
        <is>
          <t>LOW (40%)</t>
        </is>
      </c>
      <c r="U1675" t="inlineStr">
        <is>
          <t>NONE</t>
        </is>
      </c>
      <c r="V1675" t="inlineStr">
        <is>
          <t>Restrict access</t>
        </is>
      </c>
      <c r="W1675" t="inlineStr">
        <is>
          <t>https://www.shodan.io/host/178.62.3.223</t>
        </is>
      </c>
      <c r="X1675" t="inlineStr">
        <is>
          <t>NONE</t>
        </is>
      </c>
      <c r="Y1675" t="n">
        <v>0</v>
      </c>
      <c r="Z1675" t="inlineStr"/>
      <c r="AA1675" t="inlineStr">
        <is>
          <t>https://www.shodan.io/host/178.62.3.223</t>
        </is>
      </c>
    </row>
    <row r="1676">
      <c r="A1676" t="inlineStr">
        <is>
          <t>SHODAN_VULN</t>
        </is>
      </c>
      <c r="B1676" t="inlineStr">
        <is>
          <t>126704e0a40b</t>
        </is>
      </c>
      <c r="C1676" t="inlineStr">
        <is>
          <t>InternetDB: 34.204.119.63 | Ports: 80, 443 | ec2-34-204-119-63.compute-1.amazonaws.com | Tags: cloud</t>
        </is>
      </c>
      <c r="D1676" t="n">
        <v>5</v>
      </c>
      <c r="E1676" t="inlineStr">
        <is>
          <t>MEDIUM</t>
        </is>
      </c>
      <c r="F1676" t="n">
        <v>1</v>
      </c>
      <c r="G1676" t="n">
        <v>2</v>
      </c>
      <c r="H1676" t="inlineStr">
        <is>
          <t>LOW</t>
        </is>
      </c>
      <c r="I1676" t="n">
        <v>7</v>
      </c>
      <c r="J1676" t="inlineStr">
        <is>
          <t>NO</t>
        </is>
      </c>
      <c r="K1676" t="inlineStr">
        <is>
          <t>2026-02-26 00:15</t>
        </is>
      </c>
      <c r="L1676" t="inlineStr">
        <is>
          <t>Review and firewall exposed ports</t>
        </is>
      </c>
      <c r="M1676" t="inlineStr">
        <is>
          <t>ec2-34-204-119-63.compute-1.amazonaws.com</t>
        </is>
      </c>
      <c r="N1676" t="inlineStr">
        <is>
          <t>P4</t>
        </is>
      </c>
      <c r="O1676" t="inlineStr">
        <is>
          <t>Shodan InternetDB — open ports, no known CVEs indexed</t>
        </is>
      </c>
      <c r="P1676" t="n">
        <v>0</v>
      </c>
      <c r="Q1676" t="n">
        <v>0</v>
      </c>
      <c r="R1676" t="inlineStr">
        <is>
          <t>T1046:Network Service Discovery</t>
        </is>
      </c>
      <c r="S1676" t="n">
        <v>1</v>
      </c>
      <c r="T1676" t="inlineStr">
        <is>
          <t>LOW (40%)</t>
        </is>
      </c>
      <c r="U1676" t="inlineStr">
        <is>
          <t>NONE</t>
        </is>
      </c>
      <c r="V1676" t="inlineStr">
        <is>
          <t>Restrict access</t>
        </is>
      </c>
      <c r="W1676" t="inlineStr">
        <is>
          <t>https://www.shodan.io/host/34.204.119.63</t>
        </is>
      </c>
      <c r="X1676" t="inlineStr">
        <is>
          <t>NONE</t>
        </is>
      </c>
      <c r="Y1676" t="n">
        <v>0</v>
      </c>
      <c r="Z1676" t="inlineStr"/>
      <c r="AA1676" t="inlineStr">
        <is>
          <t>https://www.shodan.io/host/34.204.119.63</t>
        </is>
      </c>
    </row>
    <row r="1677">
      <c r="A1677" t="inlineStr">
        <is>
          <t>ABUSE_IP</t>
        </is>
      </c>
      <c r="B1677" t="inlineStr">
        <is>
          <t>dfd5770bda5f</t>
        </is>
      </c>
      <c r="C1677" t="inlineStr">
        <is>
          <t>Malicious IP: 185.177.72.23 | Country: FR | ISP: Unknown | Confidence: 100% | Sources: ABUSEIPDB</t>
        </is>
      </c>
      <c r="D1677" t="n">
        <v>6.5</v>
      </c>
      <c r="E1677" t="inlineStr">
        <is>
          <t>MEDIUM</t>
        </is>
      </c>
      <c r="F1677" t="n">
        <v>3</v>
      </c>
      <c r="G1677" t="n">
        <v>1</v>
      </c>
      <c r="H1677" t="inlineStr">
        <is>
          <t>MEDIUM</t>
        </is>
      </c>
      <c r="I1677" t="n">
        <v>9.5</v>
      </c>
      <c r="J1677" t="inlineStr">
        <is>
          <t>NO</t>
        </is>
      </c>
      <c r="K1677" t="inlineStr">
        <is>
          <t>2026-02-25T18:17:02+00:00</t>
        </is>
      </c>
      <c r="L1677" t="inlineStr">
        <is>
          <t>Block IP</t>
        </is>
      </c>
      <c r="M1677" t="inlineStr">
        <is>
          <t>Firewall/Network</t>
        </is>
      </c>
      <c r="N1677" t="inlineStr">
        <is>
          <t>P4</t>
        </is>
      </c>
      <c r="O1677" t="inlineStr">
        <is>
          <t>Skipped (20/run cap)</t>
        </is>
      </c>
      <c r="P1677" t="n">
        <v>0</v>
      </c>
      <c r="Q1677" t="n">
        <v>0</v>
      </c>
      <c r="R1677" t="inlineStr">
        <is>
          <t>T1110:Brute Force | T1078:Valid Accounts</t>
        </is>
      </c>
      <c r="S1677" t="n">
        <v>1</v>
      </c>
      <c r="T1677" t="inlineStr">
        <is>
          <t>LOW (40%)</t>
        </is>
      </c>
      <c r="U1677" t="inlineStr">
        <is>
          <t>NONE</t>
        </is>
      </c>
      <c r="V1677" t="inlineStr">
        <is>
          <t>NONE</t>
        </is>
      </c>
      <c r="W1677" t="inlineStr">
        <is>
          <t>NONE</t>
        </is>
      </c>
      <c r="X1677" t="inlineStr">
        <is>
          <t>NONE</t>
        </is>
      </c>
      <c r="Y1677" t="n">
        <v>0</v>
      </c>
      <c r="Z1677" t="inlineStr"/>
      <c r="AA1677" t="inlineStr">
        <is>
          <t>https://www.abuseipdb.com/check/185.177.72.23</t>
        </is>
      </c>
    </row>
    <row r="1678">
      <c r="A1678" t="inlineStr">
        <is>
          <t>ABUSE_IP</t>
        </is>
      </c>
      <c r="B1678" t="inlineStr">
        <is>
          <t>dd854949fc6c</t>
        </is>
      </c>
      <c r="C1678" t="inlineStr">
        <is>
          <t>Malicious IP: 147.45.126.28 | Country: PL | ISP: Unknown | Confidence: 100% | Sources: ABUSEIPDB</t>
        </is>
      </c>
      <c r="D1678" t="n">
        <v>6.5</v>
      </c>
      <c r="E1678" t="inlineStr">
        <is>
          <t>MEDIUM</t>
        </is>
      </c>
      <c r="F1678" t="n">
        <v>3</v>
      </c>
      <c r="G1678" t="n">
        <v>1</v>
      </c>
      <c r="H1678" t="inlineStr">
        <is>
          <t>MEDIUM</t>
        </is>
      </c>
      <c r="I1678" t="n">
        <v>9.5</v>
      </c>
      <c r="J1678" t="inlineStr">
        <is>
          <t>NO</t>
        </is>
      </c>
      <c r="K1678" t="inlineStr">
        <is>
          <t>2026-02-25T18:17:01+00:00</t>
        </is>
      </c>
      <c r="L1678" t="inlineStr">
        <is>
          <t>Block IP</t>
        </is>
      </c>
      <c r="M1678" t="inlineStr">
        <is>
          <t>Firewall/Network</t>
        </is>
      </c>
      <c r="N1678" t="inlineStr">
        <is>
          <t>P4</t>
        </is>
      </c>
      <c r="O1678" t="inlineStr">
        <is>
          <t>🚨 MALICIOUS: Global Connectivity Solutions LLP | 🌍 Finland | Helsinki | 🏢 Global Connectivity Solutions LLP | ASN: AS215540 GLOBAL CONNECTIVITY SOLUTIONS LLP | 🚨 AbuseIPDB: 100% malicious (Data Center/Web Hosting/Transit)</t>
        </is>
      </c>
      <c r="P1678" t="n">
        <v>0</v>
      </c>
      <c r="Q1678" t="n">
        <v>0</v>
      </c>
      <c r="R1678" t="inlineStr">
        <is>
          <t>T1110:Brute Force | T1078:Valid Accounts</t>
        </is>
      </c>
      <c r="S1678" t="n">
        <v>1</v>
      </c>
      <c r="T1678" t="inlineStr">
        <is>
          <t>LOW (40%)</t>
        </is>
      </c>
      <c r="U1678" t="inlineStr">
        <is>
          <t>NONE</t>
        </is>
      </c>
      <c r="V1678" t="inlineStr">
        <is>
          <t>NONE</t>
        </is>
      </c>
      <c r="W1678" t="inlineStr">
        <is>
          <t>NONE</t>
        </is>
      </c>
      <c r="X1678" t="inlineStr">
        <is>
          <t>NONE</t>
        </is>
      </c>
      <c r="Y1678" t="n">
        <v>0</v>
      </c>
      <c r="Z1678" t="inlineStr"/>
      <c r="AA1678" t="inlineStr">
        <is>
          <t>https://www.abuseipdb.com/check/147.45.126.28</t>
        </is>
      </c>
    </row>
    <row r="1679">
      <c r="A1679" t="inlineStr">
        <is>
          <t>ABUSE_IP</t>
        </is>
      </c>
      <c r="B1679" t="inlineStr">
        <is>
          <t>a0b2dfe63d7b</t>
        </is>
      </c>
      <c r="C1679" t="inlineStr">
        <is>
          <t>Malicious IP: 52.186.171.52 | Country: US | ISP: Unknown | Confidence: 100% | Sources: ABUSEIPDB</t>
        </is>
      </c>
      <c r="D1679" t="n">
        <v>6.5</v>
      </c>
      <c r="E1679" t="inlineStr">
        <is>
          <t>MEDIUM</t>
        </is>
      </c>
      <c r="F1679" t="n">
        <v>3</v>
      </c>
      <c r="G1679" t="n">
        <v>1</v>
      </c>
      <c r="H1679" t="inlineStr">
        <is>
          <t>MEDIUM</t>
        </is>
      </c>
      <c r="I1679" t="n">
        <v>9.5</v>
      </c>
      <c r="J1679" t="inlineStr">
        <is>
          <t>NO</t>
        </is>
      </c>
      <c r="K1679" t="inlineStr">
        <is>
          <t>2026-02-25T18:17:01+00:00</t>
        </is>
      </c>
      <c r="L1679" t="inlineStr">
        <is>
          <t>Block IP</t>
        </is>
      </c>
      <c r="M1679" t="inlineStr">
        <is>
          <t>Firewall/Network</t>
        </is>
      </c>
      <c r="N1679" t="inlineStr">
        <is>
          <t>P4</t>
        </is>
      </c>
      <c r="O1679" t="inlineStr">
        <is>
          <t>🚨 MALICIOUS: Microsoft Azure Cloud (eastus) | 🌍 United States | Boydton | 🏢 Microsoft Azure Cloud (eastus) | ASN: AS8075 Microsoft Corporation | 🖥️ Hosting/DC | 🚨 AbuseIPDB: 100% malicious (Data Center/Web Hosting/Transit)</t>
        </is>
      </c>
      <c r="P1679" t="n">
        <v>0</v>
      </c>
      <c r="Q1679" t="n">
        <v>0</v>
      </c>
      <c r="R1679" t="inlineStr">
        <is>
          <t>T1110:Brute Force | T1078:Valid Accounts</t>
        </is>
      </c>
      <c r="S1679" t="n">
        <v>1</v>
      </c>
      <c r="T1679" t="inlineStr">
        <is>
          <t>LOW (40%)</t>
        </is>
      </c>
      <c r="U1679" t="inlineStr">
        <is>
          <t>NONE</t>
        </is>
      </c>
      <c r="V1679" t="inlineStr">
        <is>
          <t>NONE</t>
        </is>
      </c>
      <c r="W1679" t="inlineStr">
        <is>
          <t>NONE</t>
        </is>
      </c>
      <c r="X1679" t="inlineStr">
        <is>
          <t>NONE</t>
        </is>
      </c>
      <c r="Y1679" t="n">
        <v>0</v>
      </c>
      <c r="Z1679" t="inlineStr"/>
      <c r="AA1679" t="inlineStr">
        <is>
          <t>https://www.abuseipdb.com/check/52.186.171.52</t>
        </is>
      </c>
    </row>
    <row r="1680">
      <c r="A1680" t="inlineStr">
        <is>
          <t>ABUSE_IP</t>
        </is>
      </c>
      <c r="B1680" t="inlineStr">
        <is>
          <t>5760f5b453f2</t>
        </is>
      </c>
      <c r="C1680" t="inlineStr">
        <is>
          <t>Malicious IP: 185.12.59.117 | Country: NO | ISP: Unknown | Confidence: 100% | Sources: ABUSEIPDB</t>
        </is>
      </c>
      <c r="D1680" t="n">
        <v>6.5</v>
      </c>
      <c r="E1680" t="inlineStr">
        <is>
          <t>MEDIUM</t>
        </is>
      </c>
      <c r="F1680" t="n">
        <v>3</v>
      </c>
      <c r="G1680" t="n">
        <v>1</v>
      </c>
      <c r="H1680" t="inlineStr">
        <is>
          <t>MEDIUM</t>
        </is>
      </c>
      <c r="I1680" t="n">
        <v>9.5</v>
      </c>
      <c r="J1680" t="inlineStr">
        <is>
          <t>NO</t>
        </is>
      </c>
      <c r="K1680" t="inlineStr">
        <is>
          <t>2026-02-25T18:17:01+00:00</t>
        </is>
      </c>
      <c r="L1680" t="inlineStr">
        <is>
          <t>Block IP</t>
        </is>
      </c>
      <c r="M1680" t="inlineStr">
        <is>
          <t>Firewall/Network</t>
        </is>
      </c>
      <c r="N1680" t="inlineStr">
        <is>
          <t>P4</t>
        </is>
      </c>
      <c r="O1680" t="inlineStr">
        <is>
          <t>Skipped (20/run cap)</t>
        </is>
      </c>
      <c r="P1680" t="n">
        <v>0</v>
      </c>
      <c r="Q1680" t="n">
        <v>0</v>
      </c>
      <c r="R1680" t="inlineStr">
        <is>
          <t>T1110:Brute Force | T1078:Valid Accounts</t>
        </is>
      </c>
      <c r="S1680" t="n">
        <v>1</v>
      </c>
      <c r="T1680" t="inlineStr">
        <is>
          <t>LOW (40%)</t>
        </is>
      </c>
      <c r="U1680" t="inlineStr">
        <is>
          <t>NONE</t>
        </is>
      </c>
      <c r="V1680" t="inlineStr">
        <is>
          <t>NONE</t>
        </is>
      </c>
      <c r="W1680" t="inlineStr">
        <is>
          <t>NONE</t>
        </is>
      </c>
      <c r="X1680" t="inlineStr">
        <is>
          <t>NONE</t>
        </is>
      </c>
      <c r="Y1680" t="n">
        <v>0</v>
      </c>
      <c r="Z1680" t="inlineStr"/>
      <c r="AA1680" t="inlineStr">
        <is>
          <t>https://www.abuseipdb.com/check/185.12.59.117</t>
        </is>
      </c>
    </row>
    <row r="1681">
      <c r="A1681" t="inlineStr">
        <is>
          <t>ABUSE_IP</t>
        </is>
      </c>
      <c r="B1681" t="inlineStr">
        <is>
          <t>6a92a3bd1ef4</t>
        </is>
      </c>
      <c r="C1681" t="inlineStr">
        <is>
          <t>Malicious IP: 34.158.168.101 | Country: NL | ISP: Unknown | Confidence: 100% | Sources: ABUSEIPDB</t>
        </is>
      </c>
      <c r="D1681" t="n">
        <v>6.5</v>
      </c>
      <c r="E1681" t="inlineStr">
        <is>
          <t>MEDIUM</t>
        </is>
      </c>
      <c r="F1681" t="n">
        <v>3</v>
      </c>
      <c r="G1681" t="n">
        <v>1</v>
      </c>
      <c r="H1681" t="inlineStr">
        <is>
          <t>MEDIUM</t>
        </is>
      </c>
      <c r="I1681" t="n">
        <v>9.5</v>
      </c>
      <c r="J1681" t="inlineStr">
        <is>
          <t>NO</t>
        </is>
      </c>
      <c r="K1681" t="inlineStr">
        <is>
          <t>2026-02-25T18:17:01+00:00</t>
        </is>
      </c>
      <c r="L1681" t="inlineStr">
        <is>
          <t>Block IP</t>
        </is>
      </c>
      <c r="M1681" t="inlineStr">
        <is>
          <t>Firewall/Network</t>
        </is>
      </c>
      <c r="N1681" t="inlineStr">
        <is>
          <t>P4</t>
        </is>
      </c>
      <c r="O1681" t="inlineStr">
        <is>
          <t>Skipped (20/run cap)</t>
        </is>
      </c>
      <c r="P1681" t="n">
        <v>0</v>
      </c>
      <c r="Q1681" t="n">
        <v>0</v>
      </c>
      <c r="R1681" t="inlineStr">
        <is>
          <t>T1110:Brute Force | T1078:Valid Accounts</t>
        </is>
      </c>
      <c r="S1681" t="n">
        <v>1</v>
      </c>
      <c r="T1681" t="inlineStr">
        <is>
          <t>LOW (40%)</t>
        </is>
      </c>
      <c r="U1681" t="inlineStr">
        <is>
          <t>NONE</t>
        </is>
      </c>
      <c r="V1681" t="inlineStr">
        <is>
          <t>NONE</t>
        </is>
      </c>
      <c r="W1681" t="inlineStr">
        <is>
          <t>NONE</t>
        </is>
      </c>
      <c r="X1681" t="inlineStr">
        <is>
          <t>NONE</t>
        </is>
      </c>
      <c r="Y1681" t="n">
        <v>0</v>
      </c>
      <c r="Z1681" t="inlineStr"/>
      <c r="AA1681" t="inlineStr">
        <is>
          <t>https://www.abuseipdb.com/check/34.158.168.101</t>
        </is>
      </c>
    </row>
    <row r="1682">
      <c r="A1682" t="inlineStr">
        <is>
          <t>ABUSE_IP</t>
        </is>
      </c>
      <c r="B1682" t="inlineStr">
        <is>
          <t>a81f664284be</t>
        </is>
      </c>
      <c r="C1682" t="inlineStr">
        <is>
          <t>Malicious IP: 205.198.89.246 | Country: JP | ISP: Unknown | Confidence: 100% | Sources: ABUSEIPDB</t>
        </is>
      </c>
      <c r="D1682" t="n">
        <v>6.5</v>
      </c>
      <c r="E1682" t="inlineStr">
        <is>
          <t>MEDIUM</t>
        </is>
      </c>
      <c r="F1682" t="n">
        <v>3</v>
      </c>
      <c r="G1682" t="n">
        <v>1</v>
      </c>
      <c r="H1682" t="inlineStr">
        <is>
          <t>MEDIUM</t>
        </is>
      </c>
      <c r="I1682" t="n">
        <v>9.5</v>
      </c>
      <c r="J1682" t="inlineStr">
        <is>
          <t>NO</t>
        </is>
      </c>
      <c r="K1682" t="inlineStr">
        <is>
          <t>2026-02-25T18:17:01+00:00</t>
        </is>
      </c>
      <c r="L1682" t="inlineStr">
        <is>
          <t>Block IP</t>
        </is>
      </c>
      <c r="M1682" t="inlineStr">
        <is>
          <t>Firewall/Network</t>
        </is>
      </c>
      <c r="N1682" t="inlineStr">
        <is>
          <t>P4</t>
        </is>
      </c>
      <c r="O1682" t="inlineStr">
        <is>
          <t>Skipped (20/run cap)</t>
        </is>
      </c>
      <c r="P1682" t="n">
        <v>0</v>
      </c>
      <c r="Q1682" t="n">
        <v>0</v>
      </c>
      <c r="R1682" t="inlineStr">
        <is>
          <t>T1110:Brute Force | T1078:Valid Accounts</t>
        </is>
      </c>
      <c r="S1682" t="n">
        <v>1</v>
      </c>
      <c r="T1682" t="inlineStr">
        <is>
          <t>LOW (40%)</t>
        </is>
      </c>
      <c r="U1682" t="inlineStr">
        <is>
          <t>NONE</t>
        </is>
      </c>
      <c r="V1682" t="inlineStr">
        <is>
          <t>NONE</t>
        </is>
      </c>
      <c r="W1682" t="inlineStr">
        <is>
          <t>NONE</t>
        </is>
      </c>
      <c r="X1682" t="inlineStr">
        <is>
          <t>NONE</t>
        </is>
      </c>
      <c r="Y1682" t="n">
        <v>0</v>
      </c>
      <c r="Z1682" t="inlineStr"/>
      <c r="AA1682" t="inlineStr">
        <is>
          <t>https://www.abuseipdb.com/check/205.198.89.246</t>
        </is>
      </c>
    </row>
    <row r="1683">
      <c r="A1683" t="inlineStr">
        <is>
          <t>ABUSE_IP</t>
        </is>
      </c>
      <c r="B1683" t="inlineStr">
        <is>
          <t>0db7d87cf57c</t>
        </is>
      </c>
      <c r="C1683" t="inlineStr">
        <is>
          <t>Malicious IP: 114.10.47.96 | Country: ID | ISP: Unknown | Confidence: 100% | Sources: ABUSEIPDB</t>
        </is>
      </c>
      <c r="D1683" t="n">
        <v>6.5</v>
      </c>
      <c r="E1683" t="inlineStr">
        <is>
          <t>MEDIUM</t>
        </is>
      </c>
      <c r="F1683" t="n">
        <v>3</v>
      </c>
      <c r="G1683" t="n">
        <v>1</v>
      </c>
      <c r="H1683" t="inlineStr">
        <is>
          <t>MEDIUM</t>
        </is>
      </c>
      <c r="I1683" t="n">
        <v>9.5</v>
      </c>
      <c r="J1683" t="inlineStr">
        <is>
          <t>NO</t>
        </is>
      </c>
      <c r="K1683" t="inlineStr">
        <is>
          <t>2026-02-25T18:17:00+00:00</t>
        </is>
      </c>
      <c r="L1683" t="inlineStr">
        <is>
          <t>Block IP</t>
        </is>
      </c>
      <c r="M1683" t="inlineStr">
        <is>
          <t>Firewall/Network</t>
        </is>
      </c>
      <c r="N1683" t="inlineStr">
        <is>
          <t>P4</t>
        </is>
      </c>
      <c r="O1683" t="inlineStr">
        <is>
          <t>🚨 MALICIOUS: IOH B2B | 🌍 Indonesia | Surabaya | 🏢 IOH B2B | ASN: AS4761 INDOSAT Internet Network Provider | 🚨 AbuseIPDB: 100% malicious (Mobile ISP)</t>
        </is>
      </c>
      <c r="P1683" t="n">
        <v>0</v>
      </c>
      <c r="Q1683" t="n">
        <v>0</v>
      </c>
      <c r="R1683" t="inlineStr">
        <is>
          <t>T1110:Brute Force | T1078:Valid Accounts</t>
        </is>
      </c>
      <c r="S1683" t="n">
        <v>1</v>
      </c>
      <c r="T1683" t="inlineStr">
        <is>
          <t>LOW (40%)</t>
        </is>
      </c>
      <c r="U1683" t="inlineStr">
        <is>
          <t>NONE</t>
        </is>
      </c>
      <c r="V1683" t="inlineStr">
        <is>
          <t>NONE</t>
        </is>
      </c>
      <c r="W1683" t="inlineStr">
        <is>
          <t>NONE</t>
        </is>
      </c>
      <c r="X1683" t="inlineStr">
        <is>
          <t>NONE</t>
        </is>
      </c>
      <c r="Y1683" t="n">
        <v>0</v>
      </c>
      <c r="Z1683" t="inlineStr"/>
      <c r="AA1683" t="inlineStr">
        <is>
          <t>https://www.abuseipdb.com/check/114.10.47.96</t>
        </is>
      </c>
    </row>
    <row r="1684">
      <c r="A1684" t="inlineStr">
        <is>
          <t>ABUSE_IP</t>
        </is>
      </c>
      <c r="B1684" t="inlineStr">
        <is>
          <t>1b6ce6521615</t>
        </is>
      </c>
      <c r="C1684" t="inlineStr">
        <is>
          <t>Malicious IP: 183.207.186.22 | Country: CN | ISP: Unknown | Confidence: 100% | Sources: ABUSEIPDB</t>
        </is>
      </c>
      <c r="D1684" t="n">
        <v>6.5</v>
      </c>
      <c r="E1684" t="inlineStr">
        <is>
          <t>MEDIUM</t>
        </is>
      </c>
      <c r="F1684" t="n">
        <v>3</v>
      </c>
      <c r="G1684" t="n">
        <v>1</v>
      </c>
      <c r="H1684" t="inlineStr">
        <is>
          <t>MEDIUM</t>
        </is>
      </c>
      <c r="I1684" t="n">
        <v>9.5</v>
      </c>
      <c r="J1684" t="inlineStr">
        <is>
          <t>NO</t>
        </is>
      </c>
      <c r="K1684" t="inlineStr">
        <is>
          <t>2026-02-25T18:17:00+00:00</t>
        </is>
      </c>
      <c r="L1684" t="inlineStr">
        <is>
          <t>Block IP</t>
        </is>
      </c>
      <c r="M1684" t="inlineStr">
        <is>
          <t>Firewall/Network</t>
        </is>
      </c>
      <c r="N1684" t="inlineStr">
        <is>
          <t>P4</t>
        </is>
      </c>
      <c r="O1684" t="inlineStr">
        <is>
          <t>🚨 MALICIOUS: China Mobile Communications Corporation | 🌍 China | Nanjing | 🏢 China Mobile Communications Corporation | ASN: AS56046 China Mobile communications corporation | 🚨 AbuseIPDB: 100% malicious (Fixed Line ISP)</t>
        </is>
      </c>
      <c r="P1684" t="n">
        <v>0</v>
      </c>
      <c r="Q1684" t="n">
        <v>0</v>
      </c>
      <c r="R1684" t="inlineStr">
        <is>
          <t>T1110:Brute Force | T1078:Valid Accounts</t>
        </is>
      </c>
      <c r="S1684" t="n">
        <v>1</v>
      </c>
      <c r="T1684" t="inlineStr">
        <is>
          <t>LOW (40%)</t>
        </is>
      </c>
      <c r="U1684" t="inlineStr">
        <is>
          <t>NONE</t>
        </is>
      </c>
      <c r="V1684" t="inlineStr">
        <is>
          <t>NONE</t>
        </is>
      </c>
      <c r="W1684" t="inlineStr">
        <is>
          <t>NONE</t>
        </is>
      </c>
      <c r="X1684" t="inlineStr">
        <is>
          <t>NONE</t>
        </is>
      </c>
      <c r="Y1684" t="n">
        <v>0</v>
      </c>
      <c r="Z1684" t="inlineStr"/>
      <c r="AA1684" t="inlineStr">
        <is>
          <t>https://www.abuseipdb.com/check/183.207.186.22</t>
        </is>
      </c>
    </row>
    <row r="1685">
      <c r="A1685" t="inlineStr">
        <is>
          <t>ABUSE_IP</t>
        </is>
      </c>
      <c r="B1685" t="inlineStr">
        <is>
          <t>d17f57d23cc8</t>
        </is>
      </c>
      <c r="C1685" t="inlineStr">
        <is>
          <t>Malicious IP: 176.65.148.95 | Country: NL | ISP: Unknown | Confidence: 100% | Sources: ABUSEIPDB</t>
        </is>
      </c>
      <c r="D1685" t="n">
        <v>6.5</v>
      </c>
      <c r="E1685" t="inlineStr">
        <is>
          <t>MEDIUM</t>
        </is>
      </c>
      <c r="F1685" t="n">
        <v>3</v>
      </c>
      <c r="G1685" t="n">
        <v>1</v>
      </c>
      <c r="H1685" t="inlineStr">
        <is>
          <t>MEDIUM</t>
        </is>
      </c>
      <c r="I1685" t="n">
        <v>9.5</v>
      </c>
      <c r="J1685" t="inlineStr">
        <is>
          <t>NO</t>
        </is>
      </c>
      <c r="K1685" t="inlineStr">
        <is>
          <t>2026-02-25T18:17:00+00:00</t>
        </is>
      </c>
      <c r="L1685" t="inlineStr">
        <is>
          <t>Block IP</t>
        </is>
      </c>
      <c r="M1685" t="inlineStr">
        <is>
          <t>Firewall/Network</t>
        </is>
      </c>
      <c r="N1685" t="inlineStr">
        <is>
          <t>P4</t>
        </is>
      </c>
      <c r="O1685" t="inlineStr">
        <is>
          <t>🚨 MALICIOUS: Pfcloud UG | 🌍 Netherlands | Eygelshoven | 🏢 Pfcloud UG | ASN: AS51396 Pfcloud UG | 🚨 AbuseIPDB: 100% malicious (Data Center/Web Hosting/Transit)</t>
        </is>
      </c>
      <c r="P1685" t="n">
        <v>0</v>
      </c>
      <c r="Q1685" t="n">
        <v>0</v>
      </c>
      <c r="R1685" t="inlineStr">
        <is>
          <t>T1110:Brute Force | T1078:Valid Accounts</t>
        </is>
      </c>
      <c r="S1685" t="n">
        <v>1</v>
      </c>
      <c r="T1685" t="inlineStr">
        <is>
          <t>LOW (40%)</t>
        </is>
      </c>
      <c r="U1685" t="inlineStr">
        <is>
          <t>NONE</t>
        </is>
      </c>
      <c r="V1685" t="inlineStr">
        <is>
          <t>NONE</t>
        </is>
      </c>
      <c r="W1685" t="inlineStr">
        <is>
          <t>NONE</t>
        </is>
      </c>
      <c r="X1685" t="inlineStr">
        <is>
          <t>NONE</t>
        </is>
      </c>
      <c r="Y1685" t="n">
        <v>0</v>
      </c>
      <c r="Z1685" t="inlineStr"/>
      <c r="AA1685" t="inlineStr">
        <is>
          <t>https://www.abuseipdb.com/check/176.65.148.95</t>
        </is>
      </c>
    </row>
    <row r="1686">
      <c r="A1686" t="inlineStr">
        <is>
          <t>ABUSE_IP</t>
        </is>
      </c>
      <c r="B1686" t="inlineStr">
        <is>
          <t>e2bc62306578</t>
        </is>
      </c>
      <c r="C1686" t="inlineStr">
        <is>
          <t>Malicious IP: 43.246.139.120 | Country: IN | ISP: Unknown | Confidence: 100% | Sources: ABUSEIPDB</t>
        </is>
      </c>
      <c r="D1686" t="n">
        <v>6.5</v>
      </c>
      <c r="E1686" t="inlineStr">
        <is>
          <t>MEDIUM</t>
        </is>
      </c>
      <c r="F1686" t="n">
        <v>3</v>
      </c>
      <c r="G1686" t="n">
        <v>1</v>
      </c>
      <c r="H1686" t="inlineStr">
        <is>
          <t>MEDIUM</t>
        </is>
      </c>
      <c r="I1686" t="n">
        <v>9.5</v>
      </c>
      <c r="J1686" t="inlineStr">
        <is>
          <t>NO</t>
        </is>
      </c>
      <c r="K1686" t="inlineStr">
        <is>
          <t>2026-02-25T18:17:00+00:00</t>
        </is>
      </c>
      <c r="L1686" t="inlineStr">
        <is>
          <t>Block IP</t>
        </is>
      </c>
      <c r="M1686" t="inlineStr">
        <is>
          <t>Firewall/Network</t>
        </is>
      </c>
      <c r="N1686" t="inlineStr">
        <is>
          <t>P4</t>
        </is>
      </c>
      <c r="O1686" t="inlineStr">
        <is>
          <t>🚨 MALICIOUS: Airdesign Broadcast Media Pvt Ltd | 🌍 India | Coimbatore | 🏢 Airdesign Broadcast Media Pvt Ltd | ASN: AS134326 Airdesign Broadcast Media Pvt Ltd | 🚨 AbuseIPDB: 100% malicious (Fixed Line ISP)</t>
        </is>
      </c>
      <c r="P1686" t="n">
        <v>0</v>
      </c>
      <c r="Q1686" t="n">
        <v>0</v>
      </c>
      <c r="R1686" t="inlineStr">
        <is>
          <t>T1110:Brute Force | T1078:Valid Accounts</t>
        </is>
      </c>
      <c r="S1686" t="n">
        <v>1</v>
      </c>
      <c r="T1686" t="inlineStr">
        <is>
          <t>LOW (40%)</t>
        </is>
      </c>
      <c r="U1686" t="inlineStr">
        <is>
          <t>NONE</t>
        </is>
      </c>
      <c r="V1686" t="inlineStr">
        <is>
          <t>NONE</t>
        </is>
      </c>
      <c r="W1686" t="inlineStr">
        <is>
          <t>NONE</t>
        </is>
      </c>
      <c r="X1686" t="inlineStr">
        <is>
          <t>NONE</t>
        </is>
      </c>
      <c r="Y1686" t="n">
        <v>0</v>
      </c>
      <c r="Z1686" t="inlineStr"/>
      <c r="AA1686" t="inlineStr">
        <is>
          <t>https://www.abuseipdb.com/check/43.246.139.120</t>
        </is>
      </c>
    </row>
    <row r="1687">
      <c r="A1687" t="inlineStr">
        <is>
          <t>ABUSE_IP</t>
        </is>
      </c>
      <c r="B1687" t="inlineStr">
        <is>
          <t>b0a16e0aaeba</t>
        </is>
      </c>
      <c r="C1687" t="inlineStr">
        <is>
          <t>Malicious IP: 185.208.159.129 | Country: CH | ISP: Unknown | Confidence: 100% | Sources: ABUSEIPDB</t>
        </is>
      </c>
      <c r="D1687" t="n">
        <v>6.5</v>
      </c>
      <c r="E1687" t="inlineStr">
        <is>
          <t>MEDIUM</t>
        </is>
      </c>
      <c r="F1687" t="n">
        <v>3</v>
      </c>
      <c r="G1687" t="n">
        <v>1</v>
      </c>
      <c r="H1687" t="inlineStr">
        <is>
          <t>MEDIUM</t>
        </is>
      </c>
      <c r="I1687" t="n">
        <v>9.5</v>
      </c>
      <c r="J1687" t="inlineStr">
        <is>
          <t>NO</t>
        </is>
      </c>
      <c r="K1687" t="inlineStr">
        <is>
          <t>2026-02-25T18:17:00+00:00</t>
        </is>
      </c>
      <c r="L1687" t="inlineStr">
        <is>
          <t>Block IP</t>
        </is>
      </c>
      <c r="M1687" t="inlineStr">
        <is>
          <t>Firewall/Network</t>
        </is>
      </c>
      <c r="N1687" t="inlineStr">
        <is>
          <t>P4</t>
        </is>
      </c>
      <c r="O1687" t="inlineStr">
        <is>
          <t>Skipped (20/run cap)</t>
        </is>
      </c>
      <c r="P1687" t="n">
        <v>0</v>
      </c>
      <c r="Q1687" t="n">
        <v>0</v>
      </c>
      <c r="R1687" t="inlineStr">
        <is>
          <t>T1110:Brute Force | T1078:Valid Accounts</t>
        </is>
      </c>
      <c r="S1687" t="n">
        <v>1</v>
      </c>
      <c r="T1687" t="inlineStr">
        <is>
          <t>LOW (40%)</t>
        </is>
      </c>
      <c r="U1687" t="inlineStr">
        <is>
          <t>NONE</t>
        </is>
      </c>
      <c r="V1687" t="inlineStr">
        <is>
          <t>NONE</t>
        </is>
      </c>
      <c r="W1687" t="inlineStr">
        <is>
          <t>NONE</t>
        </is>
      </c>
      <c r="X1687" t="inlineStr">
        <is>
          <t>NONE</t>
        </is>
      </c>
      <c r="Y1687" t="n">
        <v>0</v>
      </c>
      <c r="Z1687" t="inlineStr"/>
      <c r="AA1687" t="inlineStr">
        <is>
          <t>https://www.abuseipdb.com/check/185.208.159.129</t>
        </is>
      </c>
    </row>
    <row r="1688">
      <c r="A1688" t="inlineStr">
        <is>
          <t>ABUSE_IP</t>
        </is>
      </c>
      <c r="B1688" t="inlineStr">
        <is>
          <t>d685a8e17881</t>
        </is>
      </c>
      <c r="C1688" t="inlineStr">
        <is>
          <t>Malicious IP: 103.97.135.244 | Country: VN | ISP: Unknown | Confidence: 100% | Sources: ABUSEIPDB</t>
        </is>
      </c>
      <c r="D1688" t="n">
        <v>6.5</v>
      </c>
      <c r="E1688" t="inlineStr">
        <is>
          <t>MEDIUM</t>
        </is>
      </c>
      <c r="F1688" t="n">
        <v>3</v>
      </c>
      <c r="G1688" t="n">
        <v>1</v>
      </c>
      <c r="H1688" t="inlineStr">
        <is>
          <t>MEDIUM</t>
        </is>
      </c>
      <c r="I1688" t="n">
        <v>9.5</v>
      </c>
      <c r="J1688" t="inlineStr">
        <is>
          <t>NO</t>
        </is>
      </c>
      <c r="K1688" t="inlineStr">
        <is>
          <t>2026-02-25T18:17:00+00:00</t>
        </is>
      </c>
      <c r="L1688" t="inlineStr">
        <is>
          <t>Block IP</t>
        </is>
      </c>
      <c r="M1688" t="inlineStr">
        <is>
          <t>Firewall/Network</t>
        </is>
      </c>
      <c r="N1688" t="inlineStr">
        <is>
          <t>P4</t>
        </is>
      </c>
      <c r="O1688" t="inlineStr">
        <is>
          <t>Skipped (20/run cap)</t>
        </is>
      </c>
      <c r="P1688" t="n">
        <v>0</v>
      </c>
      <c r="Q1688" t="n">
        <v>0</v>
      </c>
      <c r="R1688" t="inlineStr">
        <is>
          <t>T1110:Brute Force | T1078:Valid Accounts</t>
        </is>
      </c>
      <c r="S1688" t="n">
        <v>1</v>
      </c>
      <c r="T1688" t="inlineStr">
        <is>
          <t>LOW (40%)</t>
        </is>
      </c>
      <c r="U1688" t="inlineStr">
        <is>
          <t>NONE</t>
        </is>
      </c>
      <c r="V1688" t="inlineStr">
        <is>
          <t>NONE</t>
        </is>
      </c>
      <c r="W1688" t="inlineStr">
        <is>
          <t>NONE</t>
        </is>
      </c>
      <c r="X1688" t="inlineStr">
        <is>
          <t>NONE</t>
        </is>
      </c>
      <c r="Y1688" t="n">
        <v>0</v>
      </c>
      <c r="Z1688" t="inlineStr"/>
      <c r="AA1688" t="inlineStr">
        <is>
          <t>https://www.abuseipdb.com/check/103.97.135.244</t>
        </is>
      </c>
    </row>
    <row r="1689">
      <c r="A1689" t="inlineStr">
        <is>
          <t>ABUSE_IP</t>
        </is>
      </c>
      <c r="B1689" t="inlineStr">
        <is>
          <t>723e9092accf</t>
        </is>
      </c>
      <c r="C1689" t="inlineStr">
        <is>
          <t>Malicious IP: 92.118.39.63 | Country: RO | ISP: Unknown | Confidence: 100% | Sources: ABUSEIPDB</t>
        </is>
      </c>
      <c r="D1689" t="n">
        <v>6.5</v>
      </c>
      <c r="E1689" t="inlineStr">
        <is>
          <t>MEDIUM</t>
        </is>
      </c>
      <c r="F1689" t="n">
        <v>3</v>
      </c>
      <c r="G1689" t="n">
        <v>1</v>
      </c>
      <c r="H1689" t="inlineStr">
        <is>
          <t>MEDIUM</t>
        </is>
      </c>
      <c r="I1689" t="n">
        <v>9.5</v>
      </c>
      <c r="J1689" t="inlineStr">
        <is>
          <t>NO</t>
        </is>
      </c>
      <c r="K1689" t="inlineStr">
        <is>
          <t>2026-02-25T18:17:00+00:00</t>
        </is>
      </c>
      <c r="L1689" t="inlineStr">
        <is>
          <t>Block IP</t>
        </is>
      </c>
      <c r="M1689" t="inlineStr">
        <is>
          <t>Firewall/Network</t>
        </is>
      </c>
      <c r="N1689" t="inlineStr">
        <is>
          <t>P4</t>
        </is>
      </c>
      <c r="O1689" t="inlineStr">
        <is>
          <t>Skipped (20/run cap)</t>
        </is>
      </c>
      <c r="P1689" t="n">
        <v>0</v>
      </c>
      <c r="Q1689" t="n">
        <v>0</v>
      </c>
      <c r="R1689" t="inlineStr">
        <is>
          <t>T1110:Brute Force | T1078:Valid Accounts</t>
        </is>
      </c>
      <c r="S1689" t="n">
        <v>1</v>
      </c>
      <c r="T1689" t="inlineStr">
        <is>
          <t>LOW (40%)</t>
        </is>
      </c>
      <c r="U1689" t="inlineStr">
        <is>
          <t>NONE</t>
        </is>
      </c>
      <c r="V1689" t="inlineStr">
        <is>
          <t>NONE</t>
        </is>
      </c>
      <c r="W1689" t="inlineStr">
        <is>
          <t>NONE</t>
        </is>
      </c>
      <c r="X1689" t="inlineStr">
        <is>
          <t>NONE</t>
        </is>
      </c>
      <c r="Y1689" t="n">
        <v>0</v>
      </c>
      <c r="Z1689" t="inlineStr"/>
      <c r="AA1689" t="inlineStr">
        <is>
          <t>https://www.abuseipdb.com/check/92.118.39.63</t>
        </is>
      </c>
    </row>
    <row r="1690">
      <c r="A1690" t="inlineStr">
        <is>
          <t>ABUSE_IP</t>
        </is>
      </c>
      <c r="B1690" t="inlineStr">
        <is>
          <t>755123ad66e5</t>
        </is>
      </c>
      <c r="C1690" t="inlineStr">
        <is>
          <t>Malicious IP: 20.198.0.58 | Country: IN | ISP: Unknown | Confidence: 100% | Sources: ABUSEIPDB</t>
        </is>
      </c>
      <c r="D1690" t="n">
        <v>6.5</v>
      </c>
      <c r="E1690" t="inlineStr">
        <is>
          <t>MEDIUM</t>
        </is>
      </c>
      <c r="F1690" t="n">
        <v>3</v>
      </c>
      <c r="G1690" t="n">
        <v>1</v>
      </c>
      <c r="H1690" t="inlineStr">
        <is>
          <t>MEDIUM</t>
        </is>
      </c>
      <c r="I1690" t="n">
        <v>9.5</v>
      </c>
      <c r="J1690" t="inlineStr">
        <is>
          <t>NO</t>
        </is>
      </c>
      <c r="K1690" t="inlineStr">
        <is>
          <t>2026-02-25T18:16:59+00:00</t>
        </is>
      </c>
      <c r="L1690" t="inlineStr">
        <is>
          <t>Block IP</t>
        </is>
      </c>
      <c r="M1690" t="inlineStr">
        <is>
          <t>Firewall/Network</t>
        </is>
      </c>
      <c r="N1690" t="inlineStr">
        <is>
          <t>P4</t>
        </is>
      </c>
      <c r="O1690" t="inlineStr">
        <is>
          <t>🚨 MALICIOUS: Microsoft Azure Cloud (centralindia) | 🌍 India | Pune | 🏢 Microsoft Azure Cloud (centralindia) | ASN: AS8075 Microsoft Corporation | 🖥️ Hosting/DC | 🚨 AbuseIPDB: 100% malicious (Data Center/Web Hosting/Transit)</t>
        </is>
      </c>
      <c r="P1690" t="n">
        <v>0</v>
      </c>
      <c r="Q1690" t="n">
        <v>0</v>
      </c>
      <c r="R1690" t="inlineStr">
        <is>
          <t>T1110:Brute Force | T1078:Valid Accounts</t>
        </is>
      </c>
      <c r="S1690" t="n">
        <v>1</v>
      </c>
      <c r="T1690" t="inlineStr">
        <is>
          <t>LOW (40%)</t>
        </is>
      </c>
      <c r="U1690" t="inlineStr">
        <is>
          <t>NONE</t>
        </is>
      </c>
      <c r="V1690" t="inlineStr">
        <is>
          <t>NONE</t>
        </is>
      </c>
      <c r="W1690" t="inlineStr">
        <is>
          <t>NONE</t>
        </is>
      </c>
      <c r="X1690" t="inlineStr">
        <is>
          <t>NONE</t>
        </is>
      </c>
      <c r="Y1690" t="n">
        <v>0</v>
      </c>
      <c r="Z1690" t="inlineStr"/>
      <c r="AA1690" t="inlineStr">
        <is>
          <t>https://www.abuseipdb.com/check/20.198.0.58</t>
        </is>
      </c>
    </row>
    <row r="1691">
      <c r="A1691" t="inlineStr">
        <is>
          <t>ABUSE_IP</t>
        </is>
      </c>
      <c r="B1691" t="inlineStr">
        <is>
          <t>4790a7c771b9</t>
        </is>
      </c>
      <c r="C1691" t="inlineStr">
        <is>
          <t>Malicious IP: 195.178.110.187 | Country: NL | ISP: Unknown | Confidence: 100% | Sources: ABUSEIPDB</t>
        </is>
      </c>
      <c r="D1691" t="n">
        <v>6.5</v>
      </c>
      <c r="E1691" t="inlineStr">
        <is>
          <t>MEDIUM</t>
        </is>
      </c>
      <c r="F1691" t="n">
        <v>3</v>
      </c>
      <c r="G1691" t="n">
        <v>1</v>
      </c>
      <c r="H1691" t="inlineStr">
        <is>
          <t>MEDIUM</t>
        </is>
      </c>
      <c r="I1691" t="n">
        <v>9.5</v>
      </c>
      <c r="J1691" t="inlineStr">
        <is>
          <t>NO</t>
        </is>
      </c>
      <c r="K1691" t="inlineStr">
        <is>
          <t>2026-02-25T18:16:59+00:00</t>
        </is>
      </c>
      <c r="L1691" t="inlineStr">
        <is>
          <t>Block IP</t>
        </is>
      </c>
      <c r="M1691" t="inlineStr">
        <is>
          <t>Firewall/Network</t>
        </is>
      </c>
      <c r="N1691" t="inlineStr">
        <is>
          <t>P4</t>
        </is>
      </c>
      <c r="O1691" t="inlineStr">
        <is>
          <t>Skipped (20/run cap)</t>
        </is>
      </c>
      <c r="P1691" t="n">
        <v>0</v>
      </c>
      <c r="Q1691" t="n">
        <v>0</v>
      </c>
      <c r="R1691" t="inlineStr">
        <is>
          <t>T1110:Brute Force | T1078:Valid Accounts</t>
        </is>
      </c>
      <c r="S1691" t="n">
        <v>1</v>
      </c>
      <c r="T1691" t="inlineStr">
        <is>
          <t>LOW (40%)</t>
        </is>
      </c>
      <c r="U1691" t="inlineStr">
        <is>
          <t>NONE</t>
        </is>
      </c>
      <c r="V1691" t="inlineStr">
        <is>
          <t>NONE</t>
        </is>
      </c>
      <c r="W1691" t="inlineStr">
        <is>
          <t>NONE</t>
        </is>
      </c>
      <c r="X1691" t="inlineStr">
        <is>
          <t>NONE</t>
        </is>
      </c>
      <c r="Y1691" t="n">
        <v>0</v>
      </c>
      <c r="Z1691" t="inlineStr"/>
      <c r="AA1691" t="inlineStr">
        <is>
          <t>https://www.abuseipdb.com/check/195.178.110.187</t>
        </is>
      </c>
    </row>
    <row r="1692">
      <c r="A1692" t="inlineStr">
        <is>
          <t>ABUSE_IP</t>
        </is>
      </c>
      <c r="B1692" t="inlineStr">
        <is>
          <t>70fcc4f029e0</t>
        </is>
      </c>
      <c r="C1692" t="inlineStr">
        <is>
          <t>Malicious IP: 101.47.142.111 | Country: SG | ISP: Unknown | Confidence: 100% | Sources: ABUSEIPDB</t>
        </is>
      </c>
      <c r="D1692" t="n">
        <v>6.5</v>
      </c>
      <c r="E1692" t="inlineStr">
        <is>
          <t>MEDIUM</t>
        </is>
      </c>
      <c r="F1692" t="n">
        <v>3</v>
      </c>
      <c r="G1692" t="n">
        <v>1</v>
      </c>
      <c r="H1692" t="inlineStr">
        <is>
          <t>MEDIUM</t>
        </is>
      </c>
      <c r="I1692" t="n">
        <v>9.5</v>
      </c>
      <c r="J1692" t="inlineStr">
        <is>
          <t>NO</t>
        </is>
      </c>
      <c r="K1692" t="inlineStr">
        <is>
          <t>2026-02-25T18:16:59+00:00</t>
        </is>
      </c>
      <c r="L1692" t="inlineStr">
        <is>
          <t>Block IP</t>
        </is>
      </c>
      <c r="M1692" t="inlineStr">
        <is>
          <t>Firewall/Network</t>
        </is>
      </c>
      <c r="N1692" t="inlineStr">
        <is>
          <t>P4</t>
        </is>
      </c>
      <c r="O1692" t="inlineStr">
        <is>
          <t>🚨 MALICIOUS: Shanghai Great Wall Broadband Network Service Co., Ltd. | 🌍 Singapore | Singapore | 🏢 Shanghai Great Wall Broadband Network Service Co., Ltd. | ASN: AS150436 Byteplus Pte. Ltd. | 🚨 AbuseIPDB: 100% malicious (Data Center/Web Hosting/Transit)</t>
        </is>
      </c>
      <c r="P1692" t="n">
        <v>0</v>
      </c>
      <c r="Q1692" t="n">
        <v>0</v>
      </c>
      <c r="R1692" t="inlineStr">
        <is>
          <t>T1110:Brute Force | T1078:Valid Accounts</t>
        </is>
      </c>
      <c r="S1692" t="n">
        <v>1</v>
      </c>
      <c r="T1692" t="inlineStr">
        <is>
          <t>LOW (40%)</t>
        </is>
      </c>
      <c r="U1692" t="inlineStr">
        <is>
          <t>NONE</t>
        </is>
      </c>
      <c r="V1692" t="inlineStr">
        <is>
          <t>NONE</t>
        </is>
      </c>
      <c r="W1692" t="inlineStr">
        <is>
          <t>NONE</t>
        </is>
      </c>
      <c r="X1692" t="inlineStr">
        <is>
          <t>NONE</t>
        </is>
      </c>
      <c r="Y1692" t="n">
        <v>0</v>
      </c>
      <c r="Z1692" t="inlineStr"/>
      <c r="AA1692" t="inlineStr">
        <is>
          <t>https://www.abuseipdb.com/check/101.47.142.111</t>
        </is>
      </c>
    </row>
    <row r="1693">
      <c r="A1693" t="inlineStr">
        <is>
          <t>ABUSE_IP</t>
        </is>
      </c>
      <c r="B1693" t="inlineStr">
        <is>
          <t>b353e00e1b84</t>
        </is>
      </c>
      <c r="C1693" t="inlineStr">
        <is>
          <t>Malicious IP: 51.15.80.4 | Country: NL | ISP: Unknown | Confidence: 100% | Sources: ABUSEIPDB</t>
        </is>
      </c>
      <c r="D1693" t="n">
        <v>6.5</v>
      </c>
      <c r="E1693" t="inlineStr">
        <is>
          <t>MEDIUM</t>
        </is>
      </c>
      <c r="F1693" t="n">
        <v>3</v>
      </c>
      <c r="G1693" t="n">
        <v>1</v>
      </c>
      <c r="H1693" t="inlineStr">
        <is>
          <t>MEDIUM</t>
        </is>
      </c>
      <c r="I1693" t="n">
        <v>9.5</v>
      </c>
      <c r="J1693" t="inlineStr">
        <is>
          <t>NO</t>
        </is>
      </c>
      <c r="K1693" t="inlineStr">
        <is>
          <t>2026-02-25T18:16:59+00:00</t>
        </is>
      </c>
      <c r="L1693" t="inlineStr">
        <is>
          <t>Block IP</t>
        </is>
      </c>
      <c r="M1693" t="inlineStr">
        <is>
          <t>Firewall/Network</t>
        </is>
      </c>
      <c r="N1693" t="inlineStr">
        <is>
          <t>P4</t>
        </is>
      </c>
      <c r="O1693" t="inlineStr">
        <is>
          <t>🚨 MALICIOUS: AS12876 SCALEWAY S.A.S. | 🌍 Netherlands | Haarlem | 🏢  | ASN: AS12876 SCALEWAY S.A.S. | 🖥️ Hosting/DC | 🚨 AbuseIPDB: 100% malicious (Data Center/Web Hosting/Transit)</t>
        </is>
      </c>
      <c r="P1693" t="n">
        <v>0</v>
      </c>
      <c r="Q1693" t="n">
        <v>0</v>
      </c>
      <c r="R1693" t="inlineStr">
        <is>
          <t>T1110:Brute Force | T1078:Valid Accounts</t>
        </is>
      </c>
      <c r="S1693" t="n">
        <v>1</v>
      </c>
      <c r="T1693" t="inlineStr">
        <is>
          <t>LOW (40%)</t>
        </is>
      </c>
      <c r="U1693" t="inlineStr">
        <is>
          <t>NONE</t>
        </is>
      </c>
      <c r="V1693" t="inlineStr">
        <is>
          <t>NONE</t>
        </is>
      </c>
      <c r="W1693" t="inlineStr">
        <is>
          <t>NONE</t>
        </is>
      </c>
      <c r="X1693" t="inlineStr">
        <is>
          <t>NONE</t>
        </is>
      </c>
      <c r="Y1693" t="n">
        <v>0</v>
      </c>
      <c r="Z1693" t="inlineStr"/>
      <c r="AA1693" t="inlineStr">
        <is>
          <t>https://www.abuseipdb.com/check/51.15.80.4</t>
        </is>
      </c>
    </row>
    <row r="1694">
      <c r="A1694" t="inlineStr">
        <is>
          <t>ABUSE_IP</t>
        </is>
      </c>
      <c r="B1694" t="inlineStr">
        <is>
          <t>7e05ed1c15e1</t>
        </is>
      </c>
      <c r="C1694" t="inlineStr">
        <is>
          <t>Malicious IP: 4.193.97.168 | Country: SG | ISP: Unknown | Confidence: 100% | Sources: ABUSEIPDB</t>
        </is>
      </c>
      <c r="D1694" t="n">
        <v>6.5</v>
      </c>
      <c r="E1694" t="inlineStr">
        <is>
          <t>MEDIUM</t>
        </is>
      </c>
      <c r="F1694" t="n">
        <v>3</v>
      </c>
      <c r="G1694" t="n">
        <v>1</v>
      </c>
      <c r="H1694" t="inlineStr">
        <is>
          <t>MEDIUM</t>
        </is>
      </c>
      <c r="I1694" t="n">
        <v>9.5</v>
      </c>
      <c r="J1694" t="inlineStr">
        <is>
          <t>NO</t>
        </is>
      </c>
      <c r="K1694" t="inlineStr">
        <is>
          <t>2026-02-25T18:16:59+00:00</t>
        </is>
      </c>
      <c r="L1694" t="inlineStr">
        <is>
          <t>Block IP</t>
        </is>
      </c>
      <c r="M1694" t="inlineStr">
        <is>
          <t>Firewall/Network</t>
        </is>
      </c>
      <c r="N1694" t="inlineStr">
        <is>
          <t>P4</t>
        </is>
      </c>
      <c r="O1694" t="inlineStr">
        <is>
          <t>🚨 MALICIOUS: Microsoft Azure Cloud (southeastasia) | 🌍 Singapore | Singapore | 🏢 Microsoft Azure Cloud (southeastasia) | ASN: AS8075 Microsoft Corporation | 🖥️ Hosting/DC | 🚨 AbuseIPDB: 100% malicious (Data Center/Web Hosting/Transit)</t>
        </is>
      </c>
      <c r="P1694" t="n">
        <v>0</v>
      </c>
      <c r="Q1694" t="n">
        <v>0</v>
      </c>
      <c r="R1694" t="inlineStr">
        <is>
          <t>T1110:Brute Force | T1078:Valid Accounts</t>
        </is>
      </c>
      <c r="S1694" t="n">
        <v>1</v>
      </c>
      <c r="T1694" t="inlineStr">
        <is>
          <t>LOW (40%)</t>
        </is>
      </c>
      <c r="U1694" t="inlineStr">
        <is>
          <t>NONE</t>
        </is>
      </c>
      <c r="V1694" t="inlineStr">
        <is>
          <t>NONE</t>
        </is>
      </c>
      <c r="W1694" t="inlineStr">
        <is>
          <t>NONE</t>
        </is>
      </c>
      <c r="X1694" t="inlineStr">
        <is>
          <t>NONE</t>
        </is>
      </c>
      <c r="Y1694" t="n">
        <v>0</v>
      </c>
      <c r="Z1694" t="inlineStr"/>
      <c r="AA1694" t="inlineStr">
        <is>
          <t>https://www.abuseipdb.com/check/4.193.97.168</t>
        </is>
      </c>
    </row>
    <row r="1695">
      <c r="A1695" t="inlineStr">
        <is>
          <t>ABUSE_IP</t>
        </is>
      </c>
      <c r="B1695" t="inlineStr">
        <is>
          <t>4041af17ff05</t>
        </is>
      </c>
      <c r="C1695" t="inlineStr">
        <is>
          <t>Malicious IP: 61.0.23.246 | Country: IN | ISP: Unknown | Confidence: 100% | Sources: ABUSEIPDB</t>
        </is>
      </c>
      <c r="D1695" t="n">
        <v>6.5</v>
      </c>
      <c r="E1695" t="inlineStr">
        <is>
          <t>MEDIUM</t>
        </is>
      </c>
      <c r="F1695" t="n">
        <v>3</v>
      </c>
      <c r="G1695" t="n">
        <v>1</v>
      </c>
      <c r="H1695" t="inlineStr">
        <is>
          <t>MEDIUM</t>
        </is>
      </c>
      <c r="I1695" t="n">
        <v>9.5</v>
      </c>
      <c r="J1695" t="inlineStr">
        <is>
          <t>NO</t>
        </is>
      </c>
      <c r="K1695" t="inlineStr">
        <is>
          <t>2026-02-25T18:16:59+00:00</t>
        </is>
      </c>
      <c r="L1695" t="inlineStr">
        <is>
          <t>Block IP</t>
        </is>
      </c>
      <c r="M1695" t="inlineStr">
        <is>
          <t>Firewall/Network</t>
        </is>
      </c>
      <c r="N1695" t="inlineStr">
        <is>
          <t>P4</t>
        </is>
      </c>
      <c r="O1695" t="inlineStr">
        <is>
          <t>Skipped (20/run cap)</t>
        </is>
      </c>
      <c r="P1695" t="n">
        <v>0</v>
      </c>
      <c r="Q1695" t="n">
        <v>0</v>
      </c>
      <c r="R1695" t="inlineStr">
        <is>
          <t>T1110:Brute Force | T1078:Valid Accounts</t>
        </is>
      </c>
      <c r="S1695" t="n">
        <v>1</v>
      </c>
      <c r="T1695" t="inlineStr">
        <is>
          <t>LOW (40%)</t>
        </is>
      </c>
      <c r="U1695" t="inlineStr">
        <is>
          <t>NONE</t>
        </is>
      </c>
      <c r="V1695" t="inlineStr">
        <is>
          <t>NONE</t>
        </is>
      </c>
      <c r="W1695" t="inlineStr">
        <is>
          <t>NONE</t>
        </is>
      </c>
      <c r="X1695" t="inlineStr">
        <is>
          <t>NONE</t>
        </is>
      </c>
      <c r="Y1695" t="n">
        <v>0</v>
      </c>
      <c r="Z1695" t="inlineStr"/>
      <c r="AA1695" t="inlineStr">
        <is>
          <t>https://www.abuseipdb.com/check/61.0.23.246</t>
        </is>
      </c>
    </row>
    <row r="1696">
      <c r="A1696" t="inlineStr">
        <is>
          <t>ABUSE_IP</t>
        </is>
      </c>
      <c r="B1696" t="inlineStr">
        <is>
          <t>165f3ce79aa9</t>
        </is>
      </c>
      <c r="C1696" t="inlineStr">
        <is>
          <t>Malicious IP: 12.156.67.18 | Country: US | ISP: Unknown | Confidence: 100% | Sources: ABUSEIPDB</t>
        </is>
      </c>
      <c r="D1696" t="n">
        <v>6.5</v>
      </c>
      <c r="E1696" t="inlineStr">
        <is>
          <t>MEDIUM</t>
        </is>
      </c>
      <c r="F1696" t="n">
        <v>3</v>
      </c>
      <c r="G1696" t="n">
        <v>1</v>
      </c>
      <c r="H1696" t="inlineStr">
        <is>
          <t>MEDIUM</t>
        </is>
      </c>
      <c r="I1696" t="n">
        <v>9.5</v>
      </c>
      <c r="J1696" t="inlineStr">
        <is>
          <t>NO</t>
        </is>
      </c>
      <c r="K1696" t="inlineStr">
        <is>
          <t>2026-02-25T18:16:59+00:00</t>
        </is>
      </c>
      <c r="L1696" t="inlineStr">
        <is>
          <t>Block IP</t>
        </is>
      </c>
      <c r="M1696" t="inlineStr">
        <is>
          <t>Firewall/Network</t>
        </is>
      </c>
      <c r="N1696" t="inlineStr">
        <is>
          <t>P4</t>
        </is>
      </c>
      <c r="O1696" t="inlineStr">
        <is>
          <t>🚨 MALICIOUS: Sikh Gurdwara-sj | 🌍 United States | Oakland | 🏢 Sikh Gurdwara-sj | ASN: AS7018 AT&amp;T Enterprises, LLC | 🚨 AbuseIPDB: 100% malicious (Fixed Line ISP)</t>
        </is>
      </c>
      <c r="P1696" t="n">
        <v>0</v>
      </c>
      <c r="Q1696" t="n">
        <v>0</v>
      </c>
      <c r="R1696" t="inlineStr">
        <is>
          <t>T1110:Brute Force | T1078:Valid Accounts</t>
        </is>
      </c>
      <c r="S1696" t="n">
        <v>1</v>
      </c>
      <c r="T1696" t="inlineStr">
        <is>
          <t>LOW (40%)</t>
        </is>
      </c>
      <c r="U1696" t="inlineStr">
        <is>
          <t>NONE</t>
        </is>
      </c>
      <c r="V1696" t="inlineStr">
        <is>
          <t>NONE</t>
        </is>
      </c>
      <c r="W1696" t="inlineStr">
        <is>
          <t>NONE</t>
        </is>
      </c>
      <c r="X1696" t="inlineStr">
        <is>
          <t>NONE</t>
        </is>
      </c>
      <c r="Y1696" t="n">
        <v>0</v>
      </c>
      <c r="Z1696" t="inlineStr"/>
      <c r="AA1696" t="inlineStr">
        <is>
          <t>https://www.abuseipdb.com/check/12.156.67.18</t>
        </is>
      </c>
    </row>
    <row r="1697">
      <c r="A1697" t="inlineStr">
        <is>
          <t>ABUSE_IP</t>
        </is>
      </c>
      <c r="B1697" t="inlineStr">
        <is>
          <t>7eee188cd454</t>
        </is>
      </c>
      <c r="C1697" t="inlineStr">
        <is>
          <t>Malicious IP: 117.72.13.23 | Country: CN | ISP: Unknown | Confidence: 100% | Sources: ABUSEIPDB</t>
        </is>
      </c>
      <c r="D1697" t="n">
        <v>6.5</v>
      </c>
      <c r="E1697" t="inlineStr">
        <is>
          <t>MEDIUM</t>
        </is>
      </c>
      <c r="F1697" t="n">
        <v>3</v>
      </c>
      <c r="G1697" t="n">
        <v>1</v>
      </c>
      <c r="H1697" t="inlineStr">
        <is>
          <t>MEDIUM</t>
        </is>
      </c>
      <c r="I1697" t="n">
        <v>9.5</v>
      </c>
      <c r="J1697" t="inlineStr">
        <is>
          <t>NO</t>
        </is>
      </c>
      <c r="K1697" t="inlineStr">
        <is>
          <t>2026-02-25T18:16:59+00:00</t>
        </is>
      </c>
      <c r="L1697" t="inlineStr">
        <is>
          <t>Block IP</t>
        </is>
      </c>
      <c r="M1697" t="inlineStr">
        <is>
          <t>Firewall/Network</t>
        </is>
      </c>
      <c r="N1697" t="inlineStr">
        <is>
          <t>P4</t>
        </is>
      </c>
      <c r="O1697" t="inlineStr">
        <is>
          <t>🚨 MALICIOUS: Beijing Jingdong 360 Degree E-commerce Co., Ltd. | 🌍 China | Chaowai | 🏢 Beijing Jingdong 360 Degree E-commerce Co., Ltd. | ASN: AS141679 China Telecom Beijing Tianjin Hebei Big Data Industry Park Branch | 🚨 AbuseIPDB: 100% malicious (Data Center/Web Hosting/Transit)</t>
        </is>
      </c>
      <c r="P1697" t="n">
        <v>0</v>
      </c>
      <c r="Q1697" t="n">
        <v>0</v>
      </c>
      <c r="R1697" t="inlineStr">
        <is>
          <t>T1110:Brute Force | T1078:Valid Accounts</t>
        </is>
      </c>
      <c r="S1697" t="n">
        <v>1</v>
      </c>
      <c r="T1697" t="inlineStr">
        <is>
          <t>LOW (40%)</t>
        </is>
      </c>
      <c r="U1697" t="inlineStr">
        <is>
          <t>NONE</t>
        </is>
      </c>
      <c r="V1697" t="inlineStr">
        <is>
          <t>NONE</t>
        </is>
      </c>
      <c r="W1697" t="inlineStr">
        <is>
          <t>NONE</t>
        </is>
      </c>
      <c r="X1697" t="inlineStr">
        <is>
          <t>NONE</t>
        </is>
      </c>
      <c r="Y1697" t="n">
        <v>0</v>
      </c>
      <c r="Z1697" t="inlineStr"/>
      <c r="AA1697" t="inlineStr">
        <is>
          <t>https://www.abuseipdb.com/check/117.72.13.23</t>
        </is>
      </c>
    </row>
    <row r="1698">
      <c r="A1698" t="inlineStr">
        <is>
          <t>ABUSE_IP</t>
        </is>
      </c>
      <c r="B1698" t="inlineStr">
        <is>
          <t>43a4ecb0788d</t>
        </is>
      </c>
      <c r="C1698" t="inlineStr">
        <is>
          <t>Malicious IP: 109.228.18.139 | Country: GB | ISP: Unknown | Confidence: 100% | Sources: ABUSEIPDB</t>
        </is>
      </c>
      <c r="D1698" t="n">
        <v>6.5</v>
      </c>
      <c r="E1698" t="inlineStr">
        <is>
          <t>MEDIUM</t>
        </is>
      </c>
      <c r="F1698" t="n">
        <v>3</v>
      </c>
      <c r="G1698" t="n">
        <v>1</v>
      </c>
      <c r="H1698" t="inlineStr">
        <is>
          <t>MEDIUM</t>
        </is>
      </c>
      <c r="I1698" t="n">
        <v>9.5</v>
      </c>
      <c r="J1698" t="inlineStr">
        <is>
          <t>NO</t>
        </is>
      </c>
      <c r="K1698" t="inlineStr">
        <is>
          <t>2026-02-25T18:16:59+00:00</t>
        </is>
      </c>
      <c r="L1698" t="inlineStr">
        <is>
          <t>Block IP</t>
        </is>
      </c>
      <c r="M1698" t="inlineStr">
        <is>
          <t>Firewall/Network</t>
        </is>
      </c>
      <c r="N1698" t="inlineStr">
        <is>
          <t>P4</t>
        </is>
      </c>
      <c r="O1698" t="inlineStr">
        <is>
          <t>🚨 MALICIOUS: IONOS SE | 🌍 United Kingdom | London | 🏢 IONOS SE | ASN: AS8560 IONOS SE | 🖥️ Hosting/DC | 🚨 AbuseIPDB: 100% malicious (Data Center/Web Hosting/Transit)</t>
        </is>
      </c>
      <c r="P1698" t="n">
        <v>0</v>
      </c>
      <c r="Q1698" t="n">
        <v>0</v>
      </c>
      <c r="R1698" t="inlineStr">
        <is>
          <t>T1110:Brute Force | T1078:Valid Accounts</t>
        </is>
      </c>
      <c r="S1698" t="n">
        <v>1</v>
      </c>
      <c r="T1698" t="inlineStr">
        <is>
          <t>LOW (40%)</t>
        </is>
      </c>
      <c r="U1698" t="inlineStr">
        <is>
          <t>NONE</t>
        </is>
      </c>
      <c r="V1698" t="inlineStr">
        <is>
          <t>NONE</t>
        </is>
      </c>
      <c r="W1698" t="inlineStr">
        <is>
          <t>NONE</t>
        </is>
      </c>
      <c r="X1698" t="inlineStr">
        <is>
          <t>NONE</t>
        </is>
      </c>
      <c r="Y1698" t="n">
        <v>0</v>
      </c>
      <c r="Z1698" t="inlineStr"/>
      <c r="AA1698" t="inlineStr">
        <is>
          <t>https://www.abuseipdb.com/check/109.228.18.139</t>
        </is>
      </c>
    </row>
    <row r="1699">
      <c r="A1699" t="inlineStr">
        <is>
          <t>ABUSE_IP</t>
        </is>
      </c>
      <c r="B1699" t="inlineStr">
        <is>
          <t>56362e505e20</t>
        </is>
      </c>
      <c r="C1699" t="inlineStr">
        <is>
          <t>Malicious IP: 112.163.119.199 | Country: KR | ISP: Unknown | Confidence: 100% | Sources: ABUSEIPDB, EMERGING_THREATS</t>
        </is>
      </c>
      <c r="D1699" t="n">
        <v>6.5</v>
      </c>
      <c r="E1699" t="inlineStr">
        <is>
          <t>MEDIUM</t>
        </is>
      </c>
      <c r="F1699" t="n">
        <v>3</v>
      </c>
      <c r="G1699" t="n">
        <v>1</v>
      </c>
      <c r="H1699" t="inlineStr">
        <is>
          <t>MEDIUM</t>
        </is>
      </c>
      <c r="I1699" t="n">
        <v>9.5</v>
      </c>
      <c r="J1699" t="inlineStr">
        <is>
          <t>NO</t>
        </is>
      </c>
      <c r="K1699" t="inlineStr">
        <is>
          <t>2026-02-25T18:16:59+00:00</t>
        </is>
      </c>
      <c r="L1699" t="inlineStr">
        <is>
          <t>Block IP</t>
        </is>
      </c>
      <c r="M1699" t="inlineStr">
        <is>
          <t>Firewall/Network</t>
        </is>
      </c>
      <c r="N1699" t="inlineStr">
        <is>
          <t>P3</t>
        </is>
      </c>
      <c r="O1699" t="inlineStr">
        <is>
          <t>🚨 MALICIOUS: Kornet | 🌍 South Korea | Changwon | 🏢 Kornet | ASN: AS4766 Korea Telecom | 🚨 AbuseIPDB: 100% malicious (Fixed Line ISP)</t>
        </is>
      </c>
      <c r="P1699" t="n">
        <v>0</v>
      </c>
      <c r="Q1699" t="n">
        <v>0</v>
      </c>
      <c r="R1699" t="inlineStr">
        <is>
          <t>T1110:Brute Force | T1078:Valid Accounts</t>
        </is>
      </c>
      <c r="S1699" t="n">
        <v>2</v>
      </c>
      <c r="T1699" t="inlineStr">
        <is>
          <t>MEDIUM (52%)</t>
        </is>
      </c>
      <c r="U1699" t="inlineStr">
        <is>
          <t>NONE</t>
        </is>
      </c>
      <c r="V1699" t="inlineStr">
        <is>
          <t>NONE</t>
        </is>
      </c>
      <c r="W1699" t="inlineStr">
        <is>
          <t>NONE</t>
        </is>
      </c>
      <c r="X1699" t="inlineStr">
        <is>
          <t>NONE</t>
        </is>
      </c>
      <c r="Y1699" t="n">
        <v>0</v>
      </c>
      <c r="Z1699" t="inlineStr"/>
      <c r="AA1699" t="inlineStr">
        <is>
          <t>https://www.abuseipdb.com/check/112.163.119.199</t>
        </is>
      </c>
    </row>
    <row r="1700">
      <c r="A1700" t="inlineStr">
        <is>
          <t>ABUSE_IP</t>
        </is>
      </c>
      <c r="B1700" t="inlineStr">
        <is>
          <t>95d1e828d918</t>
        </is>
      </c>
      <c r="C1700" t="inlineStr">
        <is>
          <t>Malicious IP: 210.16.168.11 | Country: CN | ISP: Unknown | Confidence: 100% | Sources: ABUSEIPDB</t>
        </is>
      </c>
      <c r="D1700" t="n">
        <v>6.5</v>
      </c>
      <c r="E1700" t="inlineStr">
        <is>
          <t>MEDIUM</t>
        </is>
      </c>
      <c r="F1700" t="n">
        <v>3</v>
      </c>
      <c r="G1700" t="n">
        <v>1</v>
      </c>
      <c r="H1700" t="inlineStr">
        <is>
          <t>MEDIUM</t>
        </is>
      </c>
      <c r="I1700" t="n">
        <v>9.5</v>
      </c>
      <c r="J1700" t="inlineStr">
        <is>
          <t>NO</t>
        </is>
      </c>
      <c r="K1700" t="inlineStr">
        <is>
          <t>2026-02-25T18:16:59+00:00</t>
        </is>
      </c>
      <c r="L1700" t="inlineStr">
        <is>
          <t>Block IP</t>
        </is>
      </c>
      <c r="M1700" t="inlineStr">
        <is>
          <t>Firewall/Network</t>
        </is>
      </c>
      <c r="N1700" t="inlineStr">
        <is>
          <t>P4</t>
        </is>
      </c>
      <c r="O1700" t="inlineStr">
        <is>
          <t>🚨 MALICIOUS: Hubei Feixun Network Co., Ltd | 🌍 China | Beijing | 🏢 Hubei Feixun Network Co., Ltd | ASN: AS146817 Hubei Feixun Network Co., Ltd | 🚨 AbuseIPDB: 100% malicious (Data Center/Web Hosting/Transit)</t>
        </is>
      </c>
      <c r="P1700" t="n">
        <v>0</v>
      </c>
      <c r="Q1700" t="n">
        <v>0</v>
      </c>
      <c r="R1700" t="inlineStr">
        <is>
          <t>T1110:Brute Force | T1078:Valid Accounts</t>
        </is>
      </c>
      <c r="S1700" t="n">
        <v>1</v>
      </c>
      <c r="T1700" t="inlineStr">
        <is>
          <t>LOW (40%)</t>
        </is>
      </c>
      <c r="U1700" t="inlineStr">
        <is>
          <t>NONE</t>
        </is>
      </c>
      <c r="V1700" t="inlineStr">
        <is>
          <t>NONE</t>
        </is>
      </c>
      <c r="W1700" t="inlineStr">
        <is>
          <t>NONE</t>
        </is>
      </c>
      <c r="X1700" t="inlineStr">
        <is>
          <t>NONE</t>
        </is>
      </c>
      <c r="Y1700" t="n">
        <v>0</v>
      </c>
      <c r="Z1700" t="inlineStr"/>
      <c r="AA1700" t="inlineStr">
        <is>
          <t>https://www.abuseipdb.com/check/210.16.168.11</t>
        </is>
      </c>
    </row>
    <row r="1701">
      <c r="A1701" t="inlineStr">
        <is>
          <t>ABUSE_IP</t>
        </is>
      </c>
      <c r="B1701" t="inlineStr">
        <is>
          <t>ffe77f3f08d3</t>
        </is>
      </c>
      <c r="C1701" t="inlineStr">
        <is>
          <t>Malicious IP: 162.243.201.163 | Country: US | ISP: Unknown | Confidence: 100% | Sources: ABUSEIPDB</t>
        </is>
      </c>
      <c r="D1701" t="n">
        <v>6.5</v>
      </c>
      <c r="E1701" t="inlineStr">
        <is>
          <t>MEDIUM</t>
        </is>
      </c>
      <c r="F1701" t="n">
        <v>3</v>
      </c>
      <c r="G1701" t="n">
        <v>1</v>
      </c>
      <c r="H1701" t="inlineStr">
        <is>
          <t>MEDIUM</t>
        </is>
      </c>
      <c r="I1701" t="n">
        <v>9.5</v>
      </c>
      <c r="J1701" t="inlineStr">
        <is>
          <t>NO</t>
        </is>
      </c>
      <c r="K1701" t="inlineStr">
        <is>
          <t>2026-02-25T18:16:59+00:00</t>
        </is>
      </c>
      <c r="L1701" t="inlineStr">
        <is>
          <t>Block IP</t>
        </is>
      </c>
      <c r="M1701" t="inlineStr">
        <is>
          <t>Firewall/Network</t>
        </is>
      </c>
      <c r="N1701" t="inlineStr">
        <is>
          <t>P4</t>
        </is>
      </c>
      <c r="O1701" t="inlineStr">
        <is>
          <t>Skipped (20/run cap)</t>
        </is>
      </c>
      <c r="P1701" t="n">
        <v>0</v>
      </c>
      <c r="Q1701" t="n">
        <v>0</v>
      </c>
      <c r="R1701" t="inlineStr">
        <is>
          <t>T1110:Brute Force | T1078:Valid Accounts</t>
        </is>
      </c>
      <c r="S1701" t="n">
        <v>1</v>
      </c>
      <c r="T1701" t="inlineStr">
        <is>
          <t>LOW (40%)</t>
        </is>
      </c>
      <c r="U1701" t="inlineStr">
        <is>
          <t>NONE</t>
        </is>
      </c>
      <c r="V1701" t="inlineStr">
        <is>
          <t>NONE</t>
        </is>
      </c>
      <c r="W1701" t="inlineStr">
        <is>
          <t>NONE</t>
        </is>
      </c>
      <c r="X1701" t="inlineStr">
        <is>
          <t>NONE</t>
        </is>
      </c>
      <c r="Y1701" t="n">
        <v>0</v>
      </c>
      <c r="Z1701" t="inlineStr"/>
      <c r="AA1701" t="inlineStr">
        <is>
          <t>https://www.abuseipdb.com/check/162.243.201.163</t>
        </is>
      </c>
    </row>
    <row r="1702">
      <c r="A1702" t="inlineStr">
        <is>
          <t>FEODO_C2</t>
        </is>
      </c>
      <c r="B1702" t="inlineStr">
        <is>
          <t>dd4f0099a454</t>
        </is>
      </c>
      <c r="C1702" t="inlineStr">
        <is>
          <t>Botnet C2 [Emotet]: 162.243.103.246:8080 | Country: US | Last online: 2026-02-06 | Also in: FEODO</t>
        </is>
      </c>
      <c r="D1702" t="n">
        <v>8</v>
      </c>
      <c r="E1702" t="inlineStr">
        <is>
          <t>HIGH</t>
        </is>
      </c>
      <c r="F1702" t="n">
        <v>3</v>
      </c>
      <c r="G1702" t="n">
        <v>3</v>
      </c>
      <c r="H1702" t="inlineStr">
        <is>
          <t>CRITICAL</t>
        </is>
      </c>
      <c r="I1702" t="n">
        <v>17</v>
      </c>
      <c r="J1702" t="inlineStr">
        <is>
          <t>NO</t>
        </is>
      </c>
      <c r="K1702" t="inlineStr">
        <is>
          <t>2026-02-06</t>
        </is>
      </c>
      <c r="L1702" t="inlineStr">
        <is>
          <t>Block C2 immediately</t>
        </is>
      </c>
      <c r="M1702" t="inlineStr">
        <is>
          <t>Network/Endpoints</t>
        </is>
      </c>
      <c r="N1702" t="inlineStr">
        <is>
          <t>P1</t>
        </is>
      </c>
      <c r="O1702" t="inlineStr">
        <is>
          <t>Skipped (20/run cap)</t>
        </is>
      </c>
      <c r="P1702" t="n">
        <v>0</v>
      </c>
      <c r="Q1702" t="n">
        <v>0</v>
      </c>
      <c r="R1702" t="inlineStr">
        <is>
          <t>T1071:Application Layer Protocol | T1041:Exfiltration Over C2 Channel | T1486:Data Encrypted for Impact</t>
        </is>
      </c>
      <c r="S1702" t="n">
        <v>1</v>
      </c>
      <c r="T1702" t="inlineStr">
        <is>
          <t>HIGH (70%)</t>
        </is>
      </c>
      <c r="U1702" t="inlineStr">
        <is>
          <t>NONE</t>
        </is>
      </c>
      <c r="V1702" t="inlineStr">
        <is>
          <t>NONE</t>
        </is>
      </c>
      <c r="W1702" t="inlineStr">
        <is>
          <t>NONE</t>
        </is>
      </c>
      <c r="X1702" t="inlineStr">
        <is>
          <t>NONE</t>
        </is>
      </c>
      <c r="Y1702" t="n">
        <v>0</v>
      </c>
      <c r="Z1702" t="inlineStr"/>
      <c r="AA1702" t="inlineStr">
        <is>
          <t>https://feodotracker.abuse.ch/</t>
        </is>
      </c>
    </row>
    <row r="1703">
      <c r="A1703" t="inlineStr">
        <is>
          <t>FEODO_C2</t>
        </is>
      </c>
      <c r="B1703" t="inlineStr">
        <is>
          <t>5c72177d8436</t>
        </is>
      </c>
      <c r="C1703" t="inlineStr">
        <is>
          <t>Botnet C2 [QakBot]: 34.204.119.63:443 | Country: US | Last online: 2026-02-25 | Also in: FEODO</t>
        </is>
      </c>
      <c r="D1703" t="n">
        <v>8</v>
      </c>
      <c r="E1703" t="inlineStr">
        <is>
          <t>HIGH</t>
        </is>
      </c>
      <c r="F1703" t="n">
        <v>3</v>
      </c>
      <c r="G1703" t="n">
        <v>3</v>
      </c>
      <c r="H1703" t="inlineStr">
        <is>
          <t>CRITICAL</t>
        </is>
      </c>
      <c r="I1703" t="n">
        <v>17</v>
      </c>
      <c r="J1703" t="inlineStr">
        <is>
          <t>NO</t>
        </is>
      </c>
      <c r="K1703" t="inlineStr">
        <is>
          <t>2026-02-25</t>
        </is>
      </c>
      <c r="L1703" t="inlineStr">
        <is>
          <t>Block C2 immediately</t>
        </is>
      </c>
      <c r="M1703" t="inlineStr">
        <is>
          <t>Network/Endpoints</t>
        </is>
      </c>
      <c r="N1703" t="inlineStr">
        <is>
          <t>P1</t>
        </is>
      </c>
      <c r="O1703" t="inlineStr">
        <is>
          <t>Skipped (20/run cap)</t>
        </is>
      </c>
      <c r="P1703" t="n">
        <v>0</v>
      </c>
      <c r="Q1703" t="n">
        <v>0</v>
      </c>
      <c r="R1703" t="inlineStr">
        <is>
          <t>T1071:Application Layer Protocol | T1041:Exfiltration Over C2 Channel | T1486:Data Encrypted for Impact</t>
        </is>
      </c>
      <c r="S1703" t="n">
        <v>1</v>
      </c>
      <c r="T1703" t="inlineStr">
        <is>
          <t>HIGH (70%)</t>
        </is>
      </c>
      <c r="U1703" t="inlineStr">
        <is>
          <t>NONE</t>
        </is>
      </c>
      <c r="V1703" t="inlineStr">
        <is>
          <t>NONE</t>
        </is>
      </c>
      <c r="W1703" t="inlineStr">
        <is>
          <t>NONE</t>
        </is>
      </c>
      <c r="X1703" t="inlineStr">
        <is>
          <t>NONE</t>
        </is>
      </c>
      <c r="Y1703" t="n">
        <v>0</v>
      </c>
      <c r="Z1703" t="inlineStr"/>
      <c r="AA1703" t="inlineStr">
        <is>
          <t>https://feodotracker.abuse.ch/</t>
        </is>
      </c>
    </row>
    <row r="1704">
      <c r="A1704" t="inlineStr">
        <is>
          <t>FEODO_C2</t>
        </is>
      </c>
      <c r="B1704" t="inlineStr">
        <is>
          <t>3e7bffdfcbae</t>
        </is>
      </c>
      <c r="C1704" t="inlineStr">
        <is>
          <t>Botnet C2 [QakBot]: 178.62.3.223:443 | Country: GB | Last online: 2026-02-18 | Also in: FEODO</t>
        </is>
      </c>
      <c r="D1704" t="n">
        <v>8</v>
      </c>
      <c r="E1704" t="inlineStr">
        <is>
          <t>HIGH</t>
        </is>
      </c>
      <c r="F1704" t="n">
        <v>3</v>
      </c>
      <c r="G1704" t="n">
        <v>3</v>
      </c>
      <c r="H1704" t="inlineStr">
        <is>
          <t>CRITICAL</t>
        </is>
      </c>
      <c r="I1704" t="n">
        <v>17</v>
      </c>
      <c r="J1704" t="inlineStr">
        <is>
          <t>NO</t>
        </is>
      </c>
      <c r="K1704" t="inlineStr">
        <is>
          <t>2026-02-18</t>
        </is>
      </c>
      <c r="L1704" t="inlineStr">
        <is>
          <t>Block C2 immediately</t>
        </is>
      </c>
      <c r="M1704" t="inlineStr">
        <is>
          <t>Network/Endpoints</t>
        </is>
      </c>
      <c r="N1704" t="inlineStr">
        <is>
          <t>P1</t>
        </is>
      </c>
      <c r="O1704" t="inlineStr">
        <is>
          <t>Skipped (20/run cap)</t>
        </is>
      </c>
      <c r="P1704" t="n">
        <v>0</v>
      </c>
      <c r="Q1704" t="n">
        <v>0</v>
      </c>
      <c r="R1704" t="inlineStr">
        <is>
          <t>T1071:Application Layer Protocol | T1041:Exfiltration Over C2 Channel | T1486:Data Encrypted for Impact</t>
        </is>
      </c>
      <c r="S1704" t="n">
        <v>1</v>
      </c>
      <c r="T1704" t="inlineStr">
        <is>
          <t>HIGH (70%)</t>
        </is>
      </c>
      <c r="U1704" t="inlineStr">
        <is>
          <t>NONE</t>
        </is>
      </c>
      <c r="V1704" t="inlineStr">
        <is>
          <t>NONE</t>
        </is>
      </c>
      <c r="W1704" t="inlineStr">
        <is>
          <t>NONE</t>
        </is>
      </c>
      <c r="X1704" t="inlineStr">
        <is>
          <t>NONE</t>
        </is>
      </c>
      <c r="Y1704" t="n">
        <v>0</v>
      </c>
      <c r="Z1704" t="inlineStr"/>
      <c r="AA1704" t="inlineStr">
        <is>
          <t>https://feodotracker.abuse.ch/</t>
        </is>
      </c>
    </row>
    <row r="1705">
      <c r="A1705" t="inlineStr">
        <is>
          <t>FIREHOL_THREAT</t>
        </is>
      </c>
      <c r="B1705" t="inlineStr">
        <is>
          <t>41744fea4be9</t>
        </is>
      </c>
      <c r="C1705" t="inlineStr">
        <is>
          <t>DROP List CIDR: 0.0.0.0/8 | FireHOL L1 threat IP/CIDR | ASN: FireHOL-L1</t>
        </is>
      </c>
      <c r="D1705" t="n">
        <v>6</v>
      </c>
      <c r="E1705" t="inlineStr">
        <is>
          <t>MEDIUM</t>
        </is>
      </c>
      <c r="F1705" t="n">
        <v>2</v>
      </c>
      <c r="G1705" t="n">
        <v>2</v>
      </c>
      <c r="H1705" t="inlineStr">
        <is>
          <t>MEDIUM</t>
        </is>
      </c>
      <c r="I1705" t="n">
        <v>10</v>
      </c>
      <c r="J1705" t="inlineStr">
        <is>
          <t>NO</t>
        </is>
      </c>
      <c r="K1705" t="inlineStr">
        <is>
          <t>2026-02-26 00:15</t>
        </is>
      </c>
      <c r="L1705" t="inlineStr">
        <is>
          <t>Block CIDR</t>
        </is>
      </c>
      <c r="M1705" t="inlineStr">
        <is>
          <t>Firewall/Email</t>
        </is>
      </c>
      <c r="N1705" t="inlineStr">
        <is>
          <t>P4</t>
        </is>
      </c>
      <c r="O1705" t="inlineStr">
        <is>
          <t>Spamhaus - CIDR range</t>
        </is>
      </c>
      <c r="P1705" t="n">
        <v>0</v>
      </c>
      <c r="Q1705" t="n">
        <v>0</v>
      </c>
      <c r="R1705" t="inlineStr">
        <is>
          <t>T1566:Phishing | T1078:Valid Accounts</t>
        </is>
      </c>
      <c r="S1705" t="n">
        <v>1</v>
      </c>
      <c r="T1705" t="inlineStr">
        <is>
          <t>LOW (40%)</t>
        </is>
      </c>
      <c r="U1705" t="inlineStr">
        <is>
          <t>NONE</t>
        </is>
      </c>
      <c r="V1705" t="inlineStr">
        <is>
          <t>NONE</t>
        </is>
      </c>
      <c r="W1705" t="inlineStr">
        <is>
          <t>NONE</t>
        </is>
      </c>
      <c r="X1705" t="inlineStr">
        <is>
          <t>NONE</t>
        </is>
      </c>
      <c r="Y1705" t="n">
        <v>0</v>
      </c>
      <c r="Z1705" t="inlineStr"/>
      <c r="AA1705" t="inlineStr">
        <is>
          <t>https://www.spamhaus.org/drop/</t>
        </is>
      </c>
    </row>
    <row r="1706">
      <c r="A1706" t="inlineStr">
        <is>
          <t>FIREHOL_THREAT</t>
        </is>
      </c>
      <c r="B1706" t="inlineStr">
        <is>
          <t>16557aba7819</t>
        </is>
      </c>
      <c r="C1706" t="inlineStr">
        <is>
          <t>DROP List CIDR: 1.10.16.0/20 | FireHOL L1 threat IP/CIDR | ASN: FireHOL-L1</t>
        </is>
      </c>
      <c r="D1706" t="n">
        <v>6</v>
      </c>
      <c r="E1706" t="inlineStr">
        <is>
          <t>MEDIUM</t>
        </is>
      </c>
      <c r="F1706" t="n">
        <v>2</v>
      </c>
      <c r="G1706" t="n">
        <v>2</v>
      </c>
      <c r="H1706" t="inlineStr">
        <is>
          <t>MEDIUM</t>
        </is>
      </c>
      <c r="I1706" t="n">
        <v>10</v>
      </c>
      <c r="J1706" t="inlineStr">
        <is>
          <t>NO</t>
        </is>
      </c>
      <c r="K1706" t="inlineStr">
        <is>
          <t>2026-02-26 00:15</t>
        </is>
      </c>
      <c r="L1706" t="inlineStr">
        <is>
          <t>Block CIDR</t>
        </is>
      </c>
      <c r="M1706" t="inlineStr">
        <is>
          <t>Firewall/Email</t>
        </is>
      </c>
      <c r="N1706" t="inlineStr">
        <is>
          <t>P4</t>
        </is>
      </c>
      <c r="O1706" t="inlineStr">
        <is>
          <t>Spamhaus - CIDR range</t>
        </is>
      </c>
      <c r="P1706" t="n">
        <v>0</v>
      </c>
      <c r="Q1706" t="n">
        <v>0</v>
      </c>
      <c r="R1706" t="inlineStr">
        <is>
          <t>T1566:Phishing | T1078:Valid Accounts</t>
        </is>
      </c>
      <c r="S1706" t="n">
        <v>1</v>
      </c>
      <c r="T1706" t="inlineStr">
        <is>
          <t>LOW (40%)</t>
        </is>
      </c>
      <c r="U1706" t="inlineStr">
        <is>
          <t>NONE</t>
        </is>
      </c>
      <c r="V1706" t="inlineStr">
        <is>
          <t>NONE</t>
        </is>
      </c>
      <c r="W1706" t="inlineStr">
        <is>
          <t>NONE</t>
        </is>
      </c>
      <c r="X1706" t="inlineStr">
        <is>
          <t>NONE</t>
        </is>
      </c>
      <c r="Y1706" t="n">
        <v>0</v>
      </c>
      <c r="Z1706" t="inlineStr"/>
      <c r="AA1706" t="inlineStr">
        <is>
          <t>https://www.spamhaus.org/drop/</t>
        </is>
      </c>
    </row>
    <row r="1707">
      <c r="A1707" t="inlineStr">
        <is>
          <t>FIREHOL_THREAT</t>
        </is>
      </c>
      <c r="B1707" t="inlineStr">
        <is>
          <t>036d6cf17ed5</t>
        </is>
      </c>
      <c r="C1707" t="inlineStr">
        <is>
          <t>DROP List CIDR: 1.19.0.0/16 | FireHOL L1 threat IP/CIDR | ASN: FireHOL-L1</t>
        </is>
      </c>
      <c r="D1707" t="n">
        <v>6</v>
      </c>
      <c r="E1707" t="inlineStr">
        <is>
          <t>MEDIUM</t>
        </is>
      </c>
      <c r="F1707" t="n">
        <v>2</v>
      </c>
      <c r="G1707" t="n">
        <v>2</v>
      </c>
      <c r="H1707" t="inlineStr">
        <is>
          <t>MEDIUM</t>
        </is>
      </c>
      <c r="I1707" t="n">
        <v>10</v>
      </c>
      <c r="J1707" t="inlineStr">
        <is>
          <t>NO</t>
        </is>
      </c>
      <c r="K1707" t="inlineStr">
        <is>
          <t>2026-02-26 00:15</t>
        </is>
      </c>
      <c r="L1707" t="inlineStr">
        <is>
          <t>Block CIDR</t>
        </is>
      </c>
      <c r="M1707" t="inlineStr">
        <is>
          <t>Firewall/Email</t>
        </is>
      </c>
      <c r="N1707" t="inlineStr">
        <is>
          <t>P4</t>
        </is>
      </c>
      <c r="O1707" t="inlineStr">
        <is>
          <t>Spamhaus - CIDR range</t>
        </is>
      </c>
      <c r="P1707" t="n">
        <v>0</v>
      </c>
      <c r="Q1707" t="n">
        <v>0</v>
      </c>
      <c r="R1707" t="inlineStr">
        <is>
          <t>T1566:Phishing | T1078:Valid Accounts</t>
        </is>
      </c>
      <c r="S1707" t="n">
        <v>1</v>
      </c>
      <c r="T1707" t="inlineStr">
        <is>
          <t>LOW (40%)</t>
        </is>
      </c>
      <c r="U1707" t="inlineStr">
        <is>
          <t>NONE</t>
        </is>
      </c>
      <c r="V1707" t="inlineStr">
        <is>
          <t>NONE</t>
        </is>
      </c>
      <c r="W1707" t="inlineStr">
        <is>
          <t>NONE</t>
        </is>
      </c>
      <c r="X1707" t="inlineStr">
        <is>
          <t>NONE</t>
        </is>
      </c>
      <c r="Y1707" t="n">
        <v>0</v>
      </c>
      <c r="Z1707" t="inlineStr"/>
      <c r="AA1707" t="inlineStr">
        <is>
          <t>https://www.spamhaus.org/drop/</t>
        </is>
      </c>
    </row>
    <row r="1708">
      <c r="A1708" t="inlineStr">
        <is>
          <t>FIREHOL_THREAT</t>
        </is>
      </c>
      <c r="B1708" t="inlineStr">
        <is>
          <t>087f73381bbd</t>
        </is>
      </c>
      <c r="C1708" t="inlineStr">
        <is>
          <t>DROP List CIDR: 1.32.128.0/18 | FireHOL L1 threat IP/CIDR | ASN: FireHOL-L1</t>
        </is>
      </c>
      <c r="D1708" t="n">
        <v>6</v>
      </c>
      <c r="E1708" t="inlineStr">
        <is>
          <t>MEDIUM</t>
        </is>
      </c>
      <c r="F1708" t="n">
        <v>2</v>
      </c>
      <c r="G1708" t="n">
        <v>2</v>
      </c>
      <c r="H1708" t="inlineStr">
        <is>
          <t>MEDIUM</t>
        </is>
      </c>
      <c r="I1708" t="n">
        <v>10</v>
      </c>
      <c r="J1708" t="inlineStr">
        <is>
          <t>NO</t>
        </is>
      </c>
      <c r="K1708" t="inlineStr">
        <is>
          <t>2026-02-26 00:15</t>
        </is>
      </c>
      <c r="L1708" t="inlineStr">
        <is>
          <t>Block CIDR</t>
        </is>
      </c>
      <c r="M1708" t="inlineStr">
        <is>
          <t>Firewall/Email</t>
        </is>
      </c>
      <c r="N1708" t="inlineStr">
        <is>
          <t>P4</t>
        </is>
      </c>
      <c r="O1708" t="inlineStr">
        <is>
          <t>Spamhaus - CIDR range</t>
        </is>
      </c>
      <c r="P1708" t="n">
        <v>0</v>
      </c>
      <c r="Q1708" t="n">
        <v>0</v>
      </c>
      <c r="R1708" t="inlineStr">
        <is>
          <t>T1566:Phishing | T1078:Valid Accounts</t>
        </is>
      </c>
      <c r="S1708" t="n">
        <v>1</v>
      </c>
      <c r="T1708" t="inlineStr">
        <is>
          <t>LOW (40%)</t>
        </is>
      </c>
      <c r="U1708" t="inlineStr">
        <is>
          <t>NONE</t>
        </is>
      </c>
      <c r="V1708" t="inlineStr">
        <is>
          <t>NONE</t>
        </is>
      </c>
      <c r="W1708" t="inlineStr">
        <is>
          <t>NONE</t>
        </is>
      </c>
      <c r="X1708" t="inlineStr">
        <is>
          <t>NONE</t>
        </is>
      </c>
      <c r="Y1708" t="n">
        <v>0</v>
      </c>
      <c r="Z1708" t="inlineStr"/>
      <c r="AA1708" t="inlineStr">
        <is>
          <t>https://www.spamhaus.org/drop/</t>
        </is>
      </c>
    </row>
    <row r="1709">
      <c r="A1709" t="inlineStr">
        <is>
          <t>FIREHOL_THREAT</t>
        </is>
      </c>
      <c r="B1709" t="inlineStr">
        <is>
          <t>452c623d084c</t>
        </is>
      </c>
      <c r="C1709" t="inlineStr">
        <is>
          <t>DROP List CIDR: 2.56.192.0/22 | FireHOL L1 threat IP/CIDR | ASN: FireHOL-L1</t>
        </is>
      </c>
      <c r="D1709" t="n">
        <v>6</v>
      </c>
      <c r="E1709" t="inlineStr">
        <is>
          <t>MEDIUM</t>
        </is>
      </c>
      <c r="F1709" t="n">
        <v>2</v>
      </c>
      <c r="G1709" t="n">
        <v>2</v>
      </c>
      <c r="H1709" t="inlineStr">
        <is>
          <t>MEDIUM</t>
        </is>
      </c>
      <c r="I1709" t="n">
        <v>10</v>
      </c>
      <c r="J1709" t="inlineStr">
        <is>
          <t>NO</t>
        </is>
      </c>
      <c r="K1709" t="inlineStr">
        <is>
          <t>2026-02-26 00:15</t>
        </is>
      </c>
      <c r="L1709" t="inlineStr">
        <is>
          <t>Block CIDR</t>
        </is>
      </c>
      <c r="M1709" t="inlineStr">
        <is>
          <t>Firewall/Email</t>
        </is>
      </c>
      <c r="N1709" t="inlineStr">
        <is>
          <t>P4</t>
        </is>
      </c>
      <c r="O1709" t="inlineStr">
        <is>
          <t>Spamhaus - CIDR range</t>
        </is>
      </c>
      <c r="P1709" t="n">
        <v>0</v>
      </c>
      <c r="Q1709" t="n">
        <v>0</v>
      </c>
      <c r="R1709" t="inlineStr">
        <is>
          <t>T1566:Phishing | T1078:Valid Accounts</t>
        </is>
      </c>
      <c r="S1709" t="n">
        <v>1</v>
      </c>
      <c r="T1709" t="inlineStr">
        <is>
          <t>LOW (40%)</t>
        </is>
      </c>
      <c r="U1709" t="inlineStr">
        <is>
          <t>NONE</t>
        </is>
      </c>
      <c r="V1709" t="inlineStr">
        <is>
          <t>NONE</t>
        </is>
      </c>
      <c r="W1709" t="inlineStr">
        <is>
          <t>NONE</t>
        </is>
      </c>
      <c r="X1709" t="inlineStr">
        <is>
          <t>NONE</t>
        </is>
      </c>
      <c r="Y1709" t="n">
        <v>0</v>
      </c>
      <c r="Z1709" t="inlineStr"/>
      <c r="AA1709" t="inlineStr">
        <is>
          <t>https://www.spamhaus.org/drop/</t>
        </is>
      </c>
    </row>
    <row r="1710">
      <c r="A1710" t="inlineStr">
        <is>
          <t>FIREHOL_THREAT</t>
        </is>
      </c>
      <c r="B1710" t="inlineStr">
        <is>
          <t>7ceaa959d06d</t>
        </is>
      </c>
      <c r="C1710" t="inlineStr">
        <is>
          <t>DROP List CIDR: 2.57.122.0/24 | FireHOL L1 threat IP/CIDR | ASN: FireHOL-L1</t>
        </is>
      </c>
      <c r="D1710" t="n">
        <v>6</v>
      </c>
      <c r="E1710" t="inlineStr">
        <is>
          <t>MEDIUM</t>
        </is>
      </c>
      <c r="F1710" t="n">
        <v>2</v>
      </c>
      <c r="G1710" t="n">
        <v>2</v>
      </c>
      <c r="H1710" t="inlineStr">
        <is>
          <t>MEDIUM</t>
        </is>
      </c>
      <c r="I1710" t="n">
        <v>10</v>
      </c>
      <c r="J1710" t="inlineStr">
        <is>
          <t>NO</t>
        </is>
      </c>
      <c r="K1710" t="inlineStr">
        <is>
          <t>2026-02-26 00:15</t>
        </is>
      </c>
      <c r="L1710" t="inlineStr">
        <is>
          <t>Block CIDR</t>
        </is>
      </c>
      <c r="M1710" t="inlineStr">
        <is>
          <t>Firewall/Email</t>
        </is>
      </c>
      <c r="N1710" t="inlineStr">
        <is>
          <t>P4</t>
        </is>
      </c>
      <c r="O1710" t="inlineStr">
        <is>
          <t>Spamhaus - CIDR range</t>
        </is>
      </c>
      <c r="P1710" t="n">
        <v>0</v>
      </c>
      <c r="Q1710" t="n">
        <v>0</v>
      </c>
      <c r="R1710" t="inlineStr">
        <is>
          <t>T1566:Phishing | T1078:Valid Accounts</t>
        </is>
      </c>
      <c r="S1710" t="n">
        <v>1</v>
      </c>
      <c r="T1710" t="inlineStr">
        <is>
          <t>LOW (40%)</t>
        </is>
      </c>
      <c r="U1710" t="inlineStr">
        <is>
          <t>NONE</t>
        </is>
      </c>
      <c r="V1710" t="inlineStr">
        <is>
          <t>NONE</t>
        </is>
      </c>
      <c r="W1710" t="inlineStr">
        <is>
          <t>NONE</t>
        </is>
      </c>
      <c r="X1710" t="inlineStr">
        <is>
          <t>NONE</t>
        </is>
      </c>
      <c r="Y1710" t="n">
        <v>0</v>
      </c>
      <c r="Z1710" t="inlineStr"/>
      <c r="AA1710" t="inlineStr">
        <is>
          <t>https://www.spamhaus.org/drop/</t>
        </is>
      </c>
    </row>
    <row r="1711">
      <c r="A1711" t="inlineStr">
        <is>
          <t>FIREHOL_THREAT</t>
        </is>
      </c>
      <c r="B1711" t="inlineStr">
        <is>
          <t>b7c5eff6534b</t>
        </is>
      </c>
      <c r="C1711" t="inlineStr">
        <is>
          <t>DROP List CIDR: 2.57.149.0/24 | FireHOL L1 threat IP/CIDR | ASN: FireHOL-L1</t>
        </is>
      </c>
      <c r="D1711" t="n">
        <v>6</v>
      </c>
      <c r="E1711" t="inlineStr">
        <is>
          <t>MEDIUM</t>
        </is>
      </c>
      <c r="F1711" t="n">
        <v>2</v>
      </c>
      <c r="G1711" t="n">
        <v>2</v>
      </c>
      <c r="H1711" t="inlineStr">
        <is>
          <t>MEDIUM</t>
        </is>
      </c>
      <c r="I1711" t="n">
        <v>10</v>
      </c>
      <c r="J1711" t="inlineStr">
        <is>
          <t>NO</t>
        </is>
      </c>
      <c r="K1711" t="inlineStr">
        <is>
          <t>2026-02-26 00:15</t>
        </is>
      </c>
      <c r="L1711" t="inlineStr">
        <is>
          <t>Block CIDR</t>
        </is>
      </c>
      <c r="M1711" t="inlineStr">
        <is>
          <t>Firewall/Email</t>
        </is>
      </c>
      <c r="N1711" t="inlineStr">
        <is>
          <t>P4</t>
        </is>
      </c>
      <c r="O1711" t="inlineStr">
        <is>
          <t>Spamhaus - CIDR range</t>
        </is>
      </c>
      <c r="P1711" t="n">
        <v>0</v>
      </c>
      <c r="Q1711" t="n">
        <v>0</v>
      </c>
      <c r="R1711" t="inlineStr">
        <is>
          <t>T1566:Phishing | T1078:Valid Accounts</t>
        </is>
      </c>
      <c r="S1711" t="n">
        <v>1</v>
      </c>
      <c r="T1711" t="inlineStr">
        <is>
          <t>LOW (40%)</t>
        </is>
      </c>
      <c r="U1711" t="inlineStr">
        <is>
          <t>NONE</t>
        </is>
      </c>
      <c r="V1711" t="inlineStr">
        <is>
          <t>NONE</t>
        </is>
      </c>
      <c r="W1711" t="inlineStr">
        <is>
          <t>NONE</t>
        </is>
      </c>
      <c r="X1711" t="inlineStr">
        <is>
          <t>NONE</t>
        </is>
      </c>
      <c r="Y1711" t="n">
        <v>0</v>
      </c>
      <c r="Z1711" t="inlineStr"/>
      <c r="AA1711" t="inlineStr">
        <is>
          <t>https://www.spamhaus.org/drop/</t>
        </is>
      </c>
    </row>
    <row r="1712">
      <c r="A1712" t="inlineStr">
        <is>
          <t>FIREHOL_THREAT</t>
        </is>
      </c>
      <c r="B1712" t="inlineStr">
        <is>
          <t>211aeb418ce4</t>
        </is>
      </c>
      <c r="C1712" t="inlineStr">
        <is>
          <t>DROP List CIDR: 2.57.232.0/22 | FireHOL L1 threat IP/CIDR | ASN: FireHOL-L1</t>
        </is>
      </c>
      <c r="D1712" t="n">
        <v>6</v>
      </c>
      <c r="E1712" t="inlineStr">
        <is>
          <t>MEDIUM</t>
        </is>
      </c>
      <c r="F1712" t="n">
        <v>2</v>
      </c>
      <c r="G1712" t="n">
        <v>2</v>
      </c>
      <c r="H1712" t="inlineStr">
        <is>
          <t>MEDIUM</t>
        </is>
      </c>
      <c r="I1712" t="n">
        <v>10</v>
      </c>
      <c r="J1712" t="inlineStr">
        <is>
          <t>NO</t>
        </is>
      </c>
      <c r="K1712" t="inlineStr">
        <is>
          <t>2026-02-26 00:15</t>
        </is>
      </c>
      <c r="L1712" t="inlineStr">
        <is>
          <t>Block CIDR</t>
        </is>
      </c>
      <c r="M1712" t="inlineStr">
        <is>
          <t>Firewall/Email</t>
        </is>
      </c>
      <c r="N1712" t="inlineStr">
        <is>
          <t>P4</t>
        </is>
      </c>
      <c r="O1712" t="inlineStr">
        <is>
          <t>Spamhaus - CIDR range</t>
        </is>
      </c>
      <c r="P1712" t="n">
        <v>0</v>
      </c>
      <c r="Q1712" t="n">
        <v>0</v>
      </c>
      <c r="R1712" t="inlineStr">
        <is>
          <t>T1566:Phishing | T1078:Valid Accounts</t>
        </is>
      </c>
      <c r="S1712" t="n">
        <v>1</v>
      </c>
      <c r="T1712" t="inlineStr">
        <is>
          <t>LOW (40%)</t>
        </is>
      </c>
      <c r="U1712" t="inlineStr">
        <is>
          <t>NONE</t>
        </is>
      </c>
      <c r="V1712" t="inlineStr">
        <is>
          <t>NONE</t>
        </is>
      </c>
      <c r="W1712" t="inlineStr">
        <is>
          <t>NONE</t>
        </is>
      </c>
      <c r="X1712" t="inlineStr">
        <is>
          <t>NONE</t>
        </is>
      </c>
      <c r="Y1712" t="n">
        <v>0</v>
      </c>
      <c r="Z1712" t="inlineStr"/>
      <c r="AA1712" t="inlineStr">
        <is>
          <t>https://www.spamhaus.org/drop/</t>
        </is>
      </c>
    </row>
    <row r="1713">
      <c r="A1713" t="inlineStr">
        <is>
          <t>FIREHOL_THREAT</t>
        </is>
      </c>
      <c r="B1713" t="inlineStr">
        <is>
          <t>b25bffd553fe</t>
        </is>
      </c>
      <c r="C1713" t="inlineStr">
        <is>
          <t>DROP List CIDR: 2.58.56.0/24 | FireHOL L1 threat IP/CIDR | ASN: FireHOL-L1</t>
        </is>
      </c>
      <c r="D1713" t="n">
        <v>6</v>
      </c>
      <c r="E1713" t="inlineStr">
        <is>
          <t>MEDIUM</t>
        </is>
      </c>
      <c r="F1713" t="n">
        <v>2</v>
      </c>
      <c r="G1713" t="n">
        <v>2</v>
      </c>
      <c r="H1713" t="inlineStr">
        <is>
          <t>MEDIUM</t>
        </is>
      </c>
      <c r="I1713" t="n">
        <v>10</v>
      </c>
      <c r="J1713" t="inlineStr">
        <is>
          <t>NO</t>
        </is>
      </c>
      <c r="K1713" t="inlineStr">
        <is>
          <t>2026-02-26 00:15</t>
        </is>
      </c>
      <c r="L1713" t="inlineStr">
        <is>
          <t>Block CIDR</t>
        </is>
      </c>
      <c r="M1713" t="inlineStr">
        <is>
          <t>Firewall/Email</t>
        </is>
      </c>
      <c r="N1713" t="inlineStr">
        <is>
          <t>P4</t>
        </is>
      </c>
      <c r="O1713" t="inlineStr">
        <is>
          <t>Spamhaus - CIDR range</t>
        </is>
      </c>
      <c r="P1713" t="n">
        <v>0</v>
      </c>
      <c r="Q1713" t="n">
        <v>0</v>
      </c>
      <c r="R1713" t="inlineStr">
        <is>
          <t>T1566:Phishing | T1078:Valid Accounts</t>
        </is>
      </c>
      <c r="S1713" t="n">
        <v>1</v>
      </c>
      <c r="T1713" t="inlineStr">
        <is>
          <t>LOW (40%)</t>
        </is>
      </c>
      <c r="U1713" t="inlineStr">
        <is>
          <t>NONE</t>
        </is>
      </c>
      <c r="V1713" t="inlineStr">
        <is>
          <t>NONE</t>
        </is>
      </c>
      <c r="W1713" t="inlineStr">
        <is>
          <t>NONE</t>
        </is>
      </c>
      <c r="X1713" t="inlineStr">
        <is>
          <t>NONE</t>
        </is>
      </c>
      <c r="Y1713" t="n">
        <v>0</v>
      </c>
      <c r="Z1713" t="inlineStr"/>
      <c r="AA1713" t="inlineStr">
        <is>
          <t>https://www.spamhaus.org/drop/</t>
        </is>
      </c>
    </row>
    <row r="1714">
      <c r="A1714" t="inlineStr">
        <is>
          <t>FIREHOL_THREAT</t>
        </is>
      </c>
      <c r="B1714" t="inlineStr">
        <is>
          <t>28fb5dc4a3f6</t>
        </is>
      </c>
      <c r="C1714" t="inlineStr">
        <is>
          <t>DROP List CIDR: 2.58.95.0/24 | FireHOL L1 threat IP/CIDR | ASN: FireHOL-L1</t>
        </is>
      </c>
      <c r="D1714" t="n">
        <v>6</v>
      </c>
      <c r="E1714" t="inlineStr">
        <is>
          <t>MEDIUM</t>
        </is>
      </c>
      <c r="F1714" t="n">
        <v>2</v>
      </c>
      <c r="G1714" t="n">
        <v>2</v>
      </c>
      <c r="H1714" t="inlineStr">
        <is>
          <t>MEDIUM</t>
        </is>
      </c>
      <c r="I1714" t="n">
        <v>10</v>
      </c>
      <c r="J1714" t="inlineStr">
        <is>
          <t>NO</t>
        </is>
      </c>
      <c r="K1714" t="inlineStr">
        <is>
          <t>2026-02-26 00:15</t>
        </is>
      </c>
      <c r="L1714" t="inlineStr">
        <is>
          <t>Block CIDR</t>
        </is>
      </c>
      <c r="M1714" t="inlineStr">
        <is>
          <t>Firewall/Email</t>
        </is>
      </c>
      <c r="N1714" t="inlineStr">
        <is>
          <t>P4</t>
        </is>
      </c>
      <c r="O1714" t="inlineStr">
        <is>
          <t>Spamhaus - CIDR range</t>
        </is>
      </c>
      <c r="P1714" t="n">
        <v>0</v>
      </c>
      <c r="Q1714" t="n">
        <v>0</v>
      </c>
      <c r="R1714" t="inlineStr">
        <is>
          <t>T1566:Phishing | T1078:Valid Accounts</t>
        </is>
      </c>
      <c r="S1714" t="n">
        <v>1</v>
      </c>
      <c r="T1714" t="inlineStr">
        <is>
          <t>LOW (40%)</t>
        </is>
      </c>
      <c r="U1714" t="inlineStr">
        <is>
          <t>NONE</t>
        </is>
      </c>
      <c r="V1714" t="inlineStr">
        <is>
          <t>NONE</t>
        </is>
      </c>
      <c r="W1714" t="inlineStr">
        <is>
          <t>NONE</t>
        </is>
      </c>
      <c r="X1714" t="inlineStr">
        <is>
          <t>NONE</t>
        </is>
      </c>
      <c r="Y1714" t="n">
        <v>0</v>
      </c>
      <c r="Z1714" t="inlineStr"/>
      <c r="AA1714" t="inlineStr">
        <is>
          <t>https://www.spamhaus.org/drop/</t>
        </is>
      </c>
    </row>
    <row r="1715">
      <c r="A1715" t="inlineStr">
        <is>
          <t>FIREHOL_THREAT</t>
        </is>
      </c>
      <c r="B1715" t="inlineStr">
        <is>
          <t>dcb2a79dd6f5</t>
        </is>
      </c>
      <c r="C1715" t="inlineStr">
        <is>
          <t>DROP List CIDR: 2.59.152.0/24 | FireHOL L1 threat IP/CIDR | ASN: FireHOL-L1</t>
        </is>
      </c>
      <c r="D1715" t="n">
        <v>6</v>
      </c>
      <c r="E1715" t="inlineStr">
        <is>
          <t>MEDIUM</t>
        </is>
      </c>
      <c r="F1715" t="n">
        <v>2</v>
      </c>
      <c r="G1715" t="n">
        <v>2</v>
      </c>
      <c r="H1715" t="inlineStr">
        <is>
          <t>MEDIUM</t>
        </is>
      </c>
      <c r="I1715" t="n">
        <v>10</v>
      </c>
      <c r="J1715" t="inlineStr">
        <is>
          <t>NO</t>
        </is>
      </c>
      <c r="K1715" t="inlineStr">
        <is>
          <t>2026-02-26 00:15</t>
        </is>
      </c>
      <c r="L1715" t="inlineStr">
        <is>
          <t>Block CIDR</t>
        </is>
      </c>
      <c r="M1715" t="inlineStr">
        <is>
          <t>Firewall/Email</t>
        </is>
      </c>
      <c r="N1715" t="inlineStr">
        <is>
          <t>P4</t>
        </is>
      </c>
      <c r="O1715" t="inlineStr">
        <is>
          <t>Spamhaus - CIDR range</t>
        </is>
      </c>
      <c r="P1715" t="n">
        <v>0</v>
      </c>
      <c r="Q1715" t="n">
        <v>0</v>
      </c>
      <c r="R1715" t="inlineStr">
        <is>
          <t>T1566:Phishing | T1078:Valid Accounts</t>
        </is>
      </c>
      <c r="S1715" t="n">
        <v>1</v>
      </c>
      <c r="T1715" t="inlineStr">
        <is>
          <t>LOW (40%)</t>
        </is>
      </c>
      <c r="U1715" t="inlineStr">
        <is>
          <t>NONE</t>
        </is>
      </c>
      <c r="V1715" t="inlineStr">
        <is>
          <t>NONE</t>
        </is>
      </c>
      <c r="W1715" t="inlineStr">
        <is>
          <t>NONE</t>
        </is>
      </c>
      <c r="X1715" t="inlineStr">
        <is>
          <t>NONE</t>
        </is>
      </c>
      <c r="Y1715" t="n">
        <v>0</v>
      </c>
      <c r="Z1715" t="inlineStr"/>
      <c r="AA1715" t="inlineStr">
        <is>
          <t>https://www.spamhaus.org/drop/</t>
        </is>
      </c>
    </row>
    <row r="1716">
      <c r="A1716" t="inlineStr">
        <is>
          <t>FIREHOL_THREAT</t>
        </is>
      </c>
      <c r="B1716" t="inlineStr">
        <is>
          <t>74eb2ddc71aa</t>
        </is>
      </c>
      <c r="C1716" t="inlineStr">
        <is>
          <t>DROP List CIDR: 5.42.64.0/22 | FireHOL L1 threat IP/CIDR | ASN: FireHOL-L1</t>
        </is>
      </c>
      <c r="D1716" t="n">
        <v>6</v>
      </c>
      <c r="E1716" t="inlineStr">
        <is>
          <t>MEDIUM</t>
        </is>
      </c>
      <c r="F1716" t="n">
        <v>2</v>
      </c>
      <c r="G1716" t="n">
        <v>2</v>
      </c>
      <c r="H1716" t="inlineStr">
        <is>
          <t>MEDIUM</t>
        </is>
      </c>
      <c r="I1716" t="n">
        <v>10</v>
      </c>
      <c r="J1716" t="inlineStr">
        <is>
          <t>NO</t>
        </is>
      </c>
      <c r="K1716" t="inlineStr">
        <is>
          <t>2026-02-26 00:15</t>
        </is>
      </c>
      <c r="L1716" t="inlineStr">
        <is>
          <t>Block CIDR</t>
        </is>
      </c>
      <c r="M1716" t="inlineStr">
        <is>
          <t>Firewall/Email</t>
        </is>
      </c>
      <c r="N1716" t="inlineStr">
        <is>
          <t>P4</t>
        </is>
      </c>
      <c r="O1716" t="inlineStr">
        <is>
          <t>Spamhaus - CIDR range</t>
        </is>
      </c>
      <c r="P1716" t="n">
        <v>0</v>
      </c>
      <c r="Q1716" t="n">
        <v>0</v>
      </c>
      <c r="R1716" t="inlineStr">
        <is>
          <t>T1566:Phishing | T1078:Valid Accounts</t>
        </is>
      </c>
      <c r="S1716" t="n">
        <v>1</v>
      </c>
      <c r="T1716" t="inlineStr">
        <is>
          <t>LOW (40%)</t>
        </is>
      </c>
      <c r="U1716" t="inlineStr">
        <is>
          <t>NONE</t>
        </is>
      </c>
      <c r="V1716" t="inlineStr">
        <is>
          <t>NONE</t>
        </is>
      </c>
      <c r="W1716" t="inlineStr">
        <is>
          <t>NONE</t>
        </is>
      </c>
      <c r="X1716" t="inlineStr">
        <is>
          <t>NONE</t>
        </is>
      </c>
      <c r="Y1716" t="n">
        <v>0</v>
      </c>
      <c r="Z1716" t="inlineStr"/>
      <c r="AA1716" t="inlineStr">
        <is>
          <t>https://www.spamhaus.org/drop/</t>
        </is>
      </c>
    </row>
    <row r="1717">
      <c r="A1717" t="inlineStr">
        <is>
          <t>FIREHOL_THREAT</t>
        </is>
      </c>
      <c r="B1717" t="inlineStr">
        <is>
          <t>73e8123fa2f9</t>
        </is>
      </c>
      <c r="C1717" t="inlineStr">
        <is>
          <t>DROP List CIDR: 5.42.92.0/24 | FireHOL L1 threat IP/CIDR | ASN: FireHOL-L1</t>
        </is>
      </c>
      <c r="D1717" t="n">
        <v>6</v>
      </c>
      <c r="E1717" t="inlineStr">
        <is>
          <t>MEDIUM</t>
        </is>
      </c>
      <c r="F1717" t="n">
        <v>2</v>
      </c>
      <c r="G1717" t="n">
        <v>2</v>
      </c>
      <c r="H1717" t="inlineStr">
        <is>
          <t>MEDIUM</t>
        </is>
      </c>
      <c r="I1717" t="n">
        <v>10</v>
      </c>
      <c r="J1717" t="inlineStr">
        <is>
          <t>NO</t>
        </is>
      </c>
      <c r="K1717" t="inlineStr">
        <is>
          <t>2026-02-26 00:15</t>
        </is>
      </c>
      <c r="L1717" t="inlineStr">
        <is>
          <t>Block CIDR</t>
        </is>
      </c>
      <c r="M1717" t="inlineStr">
        <is>
          <t>Firewall/Email</t>
        </is>
      </c>
      <c r="N1717" t="inlineStr">
        <is>
          <t>P4</t>
        </is>
      </c>
      <c r="O1717" t="inlineStr">
        <is>
          <t>Spamhaus - CIDR range</t>
        </is>
      </c>
      <c r="P1717" t="n">
        <v>0</v>
      </c>
      <c r="Q1717" t="n">
        <v>0</v>
      </c>
      <c r="R1717" t="inlineStr">
        <is>
          <t>T1566:Phishing | T1078:Valid Accounts</t>
        </is>
      </c>
      <c r="S1717" t="n">
        <v>1</v>
      </c>
      <c r="T1717" t="inlineStr">
        <is>
          <t>LOW (40%)</t>
        </is>
      </c>
      <c r="U1717" t="inlineStr">
        <is>
          <t>NONE</t>
        </is>
      </c>
      <c r="V1717" t="inlineStr">
        <is>
          <t>NONE</t>
        </is>
      </c>
      <c r="W1717" t="inlineStr">
        <is>
          <t>NONE</t>
        </is>
      </c>
      <c r="X1717" t="inlineStr">
        <is>
          <t>NONE</t>
        </is>
      </c>
      <c r="Y1717" t="n">
        <v>0</v>
      </c>
      <c r="Z1717" t="inlineStr"/>
      <c r="AA1717" t="inlineStr">
        <is>
          <t>https://www.spamhaus.org/drop/</t>
        </is>
      </c>
    </row>
    <row r="1718">
      <c r="A1718" t="inlineStr">
        <is>
          <t>FIREHOL_THREAT</t>
        </is>
      </c>
      <c r="B1718" t="inlineStr">
        <is>
          <t>5546223b9d75</t>
        </is>
      </c>
      <c r="C1718" t="inlineStr">
        <is>
          <t>DROP List CIDR: 5.42.96.0/24 | FireHOL L1 threat IP/CIDR | ASN: FireHOL-L1</t>
        </is>
      </c>
      <c r="D1718" t="n">
        <v>6</v>
      </c>
      <c r="E1718" t="inlineStr">
        <is>
          <t>MEDIUM</t>
        </is>
      </c>
      <c r="F1718" t="n">
        <v>2</v>
      </c>
      <c r="G1718" t="n">
        <v>2</v>
      </c>
      <c r="H1718" t="inlineStr">
        <is>
          <t>MEDIUM</t>
        </is>
      </c>
      <c r="I1718" t="n">
        <v>10</v>
      </c>
      <c r="J1718" t="inlineStr">
        <is>
          <t>NO</t>
        </is>
      </c>
      <c r="K1718" t="inlineStr">
        <is>
          <t>2026-02-26 00:15</t>
        </is>
      </c>
      <c r="L1718" t="inlineStr">
        <is>
          <t>Block CIDR</t>
        </is>
      </c>
      <c r="M1718" t="inlineStr">
        <is>
          <t>Firewall/Email</t>
        </is>
      </c>
      <c r="N1718" t="inlineStr">
        <is>
          <t>P4</t>
        </is>
      </c>
      <c r="O1718" t="inlineStr">
        <is>
          <t>Spamhaus - CIDR range</t>
        </is>
      </c>
      <c r="P1718" t="n">
        <v>0</v>
      </c>
      <c r="Q1718" t="n">
        <v>0</v>
      </c>
      <c r="R1718" t="inlineStr">
        <is>
          <t>T1566:Phishing | T1078:Valid Accounts</t>
        </is>
      </c>
      <c r="S1718" t="n">
        <v>1</v>
      </c>
      <c r="T1718" t="inlineStr">
        <is>
          <t>LOW (40%)</t>
        </is>
      </c>
      <c r="U1718" t="inlineStr">
        <is>
          <t>NONE</t>
        </is>
      </c>
      <c r="V1718" t="inlineStr">
        <is>
          <t>NONE</t>
        </is>
      </c>
      <c r="W1718" t="inlineStr">
        <is>
          <t>NONE</t>
        </is>
      </c>
      <c r="X1718" t="inlineStr">
        <is>
          <t>NONE</t>
        </is>
      </c>
      <c r="Y1718" t="n">
        <v>0</v>
      </c>
      <c r="Z1718" t="inlineStr"/>
      <c r="AA1718" t="inlineStr">
        <is>
          <t>https://www.spamhaus.org/drop/</t>
        </is>
      </c>
    </row>
    <row r="1719">
      <c r="A1719" t="inlineStr">
        <is>
          <t>FIREHOL_THREAT</t>
        </is>
      </c>
      <c r="B1719" t="inlineStr">
        <is>
          <t>b77d61d1245c</t>
        </is>
      </c>
      <c r="C1719" t="inlineStr">
        <is>
          <t>DROP List CIDR: 5.101.82.0/24 | FireHOL L1 threat IP/CIDR | ASN: FireHOL-L1</t>
        </is>
      </c>
      <c r="D1719" t="n">
        <v>6</v>
      </c>
      <c r="E1719" t="inlineStr">
        <is>
          <t>MEDIUM</t>
        </is>
      </c>
      <c r="F1719" t="n">
        <v>2</v>
      </c>
      <c r="G1719" t="n">
        <v>2</v>
      </c>
      <c r="H1719" t="inlineStr">
        <is>
          <t>MEDIUM</t>
        </is>
      </c>
      <c r="I1719" t="n">
        <v>10</v>
      </c>
      <c r="J1719" t="inlineStr">
        <is>
          <t>NO</t>
        </is>
      </c>
      <c r="K1719" t="inlineStr">
        <is>
          <t>2026-02-26 00:15</t>
        </is>
      </c>
      <c r="L1719" t="inlineStr">
        <is>
          <t>Block CIDR</t>
        </is>
      </c>
      <c r="M1719" t="inlineStr">
        <is>
          <t>Firewall/Email</t>
        </is>
      </c>
      <c r="N1719" t="inlineStr">
        <is>
          <t>P4</t>
        </is>
      </c>
      <c r="O1719" t="inlineStr">
        <is>
          <t>Spamhaus - CIDR range</t>
        </is>
      </c>
      <c r="P1719" t="n">
        <v>0</v>
      </c>
      <c r="Q1719" t="n">
        <v>0</v>
      </c>
      <c r="R1719" t="inlineStr">
        <is>
          <t>T1566:Phishing | T1078:Valid Accounts</t>
        </is>
      </c>
      <c r="S1719" t="n">
        <v>1</v>
      </c>
      <c r="T1719" t="inlineStr">
        <is>
          <t>LOW (40%)</t>
        </is>
      </c>
      <c r="U1719" t="inlineStr">
        <is>
          <t>NONE</t>
        </is>
      </c>
      <c r="V1719" t="inlineStr">
        <is>
          <t>NONE</t>
        </is>
      </c>
      <c r="W1719" t="inlineStr">
        <is>
          <t>NONE</t>
        </is>
      </c>
      <c r="X1719" t="inlineStr">
        <is>
          <t>NONE</t>
        </is>
      </c>
      <c r="Y1719" t="n">
        <v>0</v>
      </c>
      <c r="Z1719" t="inlineStr"/>
      <c r="AA1719" t="inlineStr">
        <is>
          <t>https://www.spamhaus.org/drop/</t>
        </is>
      </c>
    </row>
    <row r="1720">
      <c r="A1720" t="inlineStr">
        <is>
          <t>FIREHOL_THREAT</t>
        </is>
      </c>
      <c r="B1720" t="inlineStr">
        <is>
          <t>ccba24c5f897</t>
        </is>
      </c>
      <c r="C1720" t="inlineStr">
        <is>
          <t>DROP List CIDR: 5.105.62.0/24 | FireHOL L1 threat IP/CIDR | ASN: FireHOL-L1</t>
        </is>
      </c>
      <c r="D1720" t="n">
        <v>6</v>
      </c>
      <c r="E1720" t="inlineStr">
        <is>
          <t>MEDIUM</t>
        </is>
      </c>
      <c r="F1720" t="n">
        <v>2</v>
      </c>
      <c r="G1720" t="n">
        <v>2</v>
      </c>
      <c r="H1720" t="inlineStr">
        <is>
          <t>MEDIUM</t>
        </is>
      </c>
      <c r="I1720" t="n">
        <v>10</v>
      </c>
      <c r="J1720" t="inlineStr">
        <is>
          <t>NO</t>
        </is>
      </c>
      <c r="K1720" t="inlineStr">
        <is>
          <t>2026-02-26 00:15</t>
        </is>
      </c>
      <c r="L1720" t="inlineStr">
        <is>
          <t>Block CIDR</t>
        </is>
      </c>
      <c r="M1720" t="inlineStr">
        <is>
          <t>Firewall/Email</t>
        </is>
      </c>
      <c r="N1720" t="inlineStr">
        <is>
          <t>P4</t>
        </is>
      </c>
      <c r="O1720" t="inlineStr">
        <is>
          <t>Spamhaus - CIDR range</t>
        </is>
      </c>
      <c r="P1720" t="n">
        <v>0</v>
      </c>
      <c r="Q1720" t="n">
        <v>0</v>
      </c>
      <c r="R1720" t="inlineStr">
        <is>
          <t>T1566:Phishing | T1078:Valid Accounts</t>
        </is>
      </c>
      <c r="S1720" t="n">
        <v>1</v>
      </c>
      <c r="T1720" t="inlineStr">
        <is>
          <t>LOW (40%)</t>
        </is>
      </c>
      <c r="U1720" t="inlineStr">
        <is>
          <t>NONE</t>
        </is>
      </c>
      <c r="V1720" t="inlineStr">
        <is>
          <t>NONE</t>
        </is>
      </c>
      <c r="W1720" t="inlineStr">
        <is>
          <t>NONE</t>
        </is>
      </c>
      <c r="X1720" t="inlineStr">
        <is>
          <t>NONE</t>
        </is>
      </c>
      <c r="Y1720" t="n">
        <v>0</v>
      </c>
      <c r="Z1720" t="inlineStr"/>
      <c r="AA1720" t="inlineStr">
        <is>
          <t>https://www.spamhaus.org/drop/</t>
        </is>
      </c>
    </row>
    <row r="1721">
      <c r="A1721" t="inlineStr">
        <is>
          <t>FIREHOL_THREAT</t>
        </is>
      </c>
      <c r="B1721" t="inlineStr">
        <is>
          <t>b7923b1de143</t>
        </is>
      </c>
      <c r="C1721" t="inlineStr">
        <is>
          <t>DROP List CIDR: 5.105.220.0/24 | FireHOL L1 threat IP/CIDR | ASN: FireHOL-L1</t>
        </is>
      </c>
      <c r="D1721" t="n">
        <v>6</v>
      </c>
      <c r="E1721" t="inlineStr">
        <is>
          <t>MEDIUM</t>
        </is>
      </c>
      <c r="F1721" t="n">
        <v>2</v>
      </c>
      <c r="G1721" t="n">
        <v>2</v>
      </c>
      <c r="H1721" t="inlineStr">
        <is>
          <t>MEDIUM</t>
        </is>
      </c>
      <c r="I1721" t="n">
        <v>10</v>
      </c>
      <c r="J1721" t="inlineStr">
        <is>
          <t>NO</t>
        </is>
      </c>
      <c r="K1721" t="inlineStr">
        <is>
          <t>2026-02-26 00:15</t>
        </is>
      </c>
      <c r="L1721" t="inlineStr">
        <is>
          <t>Block CIDR</t>
        </is>
      </c>
      <c r="M1721" t="inlineStr">
        <is>
          <t>Firewall/Email</t>
        </is>
      </c>
      <c r="N1721" t="inlineStr">
        <is>
          <t>P4</t>
        </is>
      </c>
      <c r="O1721" t="inlineStr">
        <is>
          <t>Spamhaus - CIDR range</t>
        </is>
      </c>
      <c r="P1721" t="n">
        <v>0</v>
      </c>
      <c r="Q1721" t="n">
        <v>0</v>
      </c>
      <c r="R1721" t="inlineStr">
        <is>
          <t>T1566:Phishing | T1078:Valid Accounts</t>
        </is>
      </c>
      <c r="S1721" t="n">
        <v>1</v>
      </c>
      <c r="T1721" t="inlineStr">
        <is>
          <t>LOW (40%)</t>
        </is>
      </c>
      <c r="U1721" t="inlineStr">
        <is>
          <t>NONE</t>
        </is>
      </c>
      <c r="V1721" t="inlineStr">
        <is>
          <t>NONE</t>
        </is>
      </c>
      <c r="W1721" t="inlineStr">
        <is>
          <t>NONE</t>
        </is>
      </c>
      <c r="X1721" t="inlineStr">
        <is>
          <t>NONE</t>
        </is>
      </c>
      <c r="Y1721" t="n">
        <v>0</v>
      </c>
      <c r="Z1721" t="inlineStr"/>
      <c r="AA1721" t="inlineStr">
        <is>
          <t>https://www.spamhaus.org/drop/</t>
        </is>
      </c>
    </row>
    <row r="1722">
      <c r="A1722" t="inlineStr">
        <is>
          <t>FIREHOL_THREAT</t>
        </is>
      </c>
      <c r="B1722" t="inlineStr">
        <is>
          <t>5d964bd4d6cf</t>
        </is>
      </c>
      <c r="C1722" t="inlineStr">
        <is>
          <t>DROP List CIDR: 5.133.101.0/24 | FireHOL L1 threat IP/CIDR | ASN: FireHOL-L1</t>
        </is>
      </c>
      <c r="D1722" t="n">
        <v>6</v>
      </c>
      <c r="E1722" t="inlineStr">
        <is>
          <t>MEDIUM</t>
        </is>
      </c>
      <c r="F1722" t="n">
        <v>2</v>
      </c>
      <c r="G1722" t="n">
        <v>2</v>
      </c>
      <c r="H1722" t="inlineStr">
        <is>
          <t>MEDIUM</t>
        </is>
      </c>
      <c r="I1722" t="n">
        <v>10</v>
      </c>
      <c r="J1722" t="inlineStr">
        <is>
          <t>NO</t>
        </is>
      </c>
      <c r="K1722" t="inlineStr">
        <is>
          <t>2026-02-26 00:15</t>
        </is>
      </c>
      <c r="L1722" t="inlineStr">
        <is>
          <t>Block CIDR</t>
        </is>
      </c>
      <c r="M1722" t="inlineStr">
        <is>
          <t>Firewall/Email</t>
        </is>
      </c>
      <c r="N1722" t="inlineStr">
        <is>
          <t>P4</t>
        </is>
      </c>
      <c r="O1722" t="inlineStr">
        <is>
          <t>Spamhaus - CIDR range</t>
        </is>
      </c>
      <c r="P1722" t="n">
        <v>0</v>
      </c>
      <c r="Q1722" t="n">
        <v>0</v>
      </c>
      <c r="R1722" t="inlineStr">
        <is>
          <t>T1566:Phishing | T1078:Valid Accounts</t>
        </is>
      </c>
      <c r="S1722" t="n">
        <v>1</v>
      </c>
      <c r="T1722" t="inlineStr">
        <is>
          <t>LOW (40%)</t>
        </is>
      </c>
      <c r="U1722" t="inlineStr">
        <is>
          <t>NONE</t>
        </is>
      </c>
      <c r="V1722" t="inlineStr">
        <is>
          <t>NONE</t>
        </is>
      </c>
      <c r="W1722" t="inlineStr">
        <is>
          <t>NONE</t>
        </is>
      </c>
      <c r="X1722" t="inlineStr">
        <is>
          <t>NONE</t>
        </is>
      </c>
      <c r="Y1722" t="n">
        <v>0</v>
      </c>
      <c r="Z1722" t="inlineStr"/>
      <c r="AA1722" t="inlineStr">
        <is>
          <t>https://www.spamhaus.org/drop/</t>
        </is>
      </c>
    </row>
    <row r="1723">
      <c r="A1723" t="inlineStr">
        <is>
          <t>FIREHOL_THREAT</t>
        </is>
      </c>
      <c r="B1723" t="inlineStr">
        <is>
          <t>c4fe416e3720</t>
        </is>
      </c>
      <c r="C1723" t="inlineStr">
        <is>
          <t>DROP List CIDR: 5.182.210.0/23 | FireHOL L1 threat IP/CIDR | ASN: FireHOL-L1</t>
        </is>
      </c>
      <c r="D1723" t="n">
        <v>6</v>
      </c>
      <c r="E1723" t="inlineStr">
        <is>
          <t>MEDIUM</t>
        </is>
      </c>
      <c r="F1723" t="n">
        <v>2</v>
      </c>
      <c r="G1723" t="n">
        <v>2</v>
      </c>
      <c r="H1723" t="inlineStr">
        <is>
          <t>MEDIUM</t>
        </is>
      </c>
      <c r="I1723" t="n">
        <v>10</v>
      </c>
      <c r="J1723" t="inlineStr">
        <is>
          <t>NO</t>
        </is>
      </c>
      <c r="K1723" t="inlineStr">
        <is>
          <t>2026-02-26 00:15</t>
        </is>
      </c>
      <c r="L1723" t="inlineStr">
        <is>
          <t>Block CIDR</t>
        </is>
      </c>
      <c r="M1723" t="inlineStr">
        <is>
          <t>Firewall/Email</t>
        </is>
      </c>
      <c r="N1723" t="inlineStr">
        <is>
          <t>P4</t>
        </is>
      </c>
      <c r="O1723" t="inlineStr">
        <is>
          <t>Spamhaus - CIDR range</t>
        </is>
      </c>
      <c r="P1723" t="n">
        <v>0</v>
      </c>
      <c r="Q1723" t="n">
        <v>0</v>
      </c>
      <c r="R1723" t="inlineStr">
        <is>
          <t>T1566:Phishing | T1078:Valid Accounts</t>
        </is>
      </c>
      <c r="S1723" t="n">
        <v>1</v>
      </c>
      <c r="T1723" t="inlineStr">
        <is>
          <t>LOW (40%)</t>
        </is>
      </c>
      <c r="U1723" t="inlineStr">
        <is>
          <t>NONE</t>
        </is>
      </c>
      <c r="V1723" t="inlineStr">
        <is>
          <t>NONE</t>
        </is>
      </c>
      <c r="W1723" t="inlineStr">
        <is>
          <t>NONE</t>
        </is>
      </c>
      <c r="X1723" t="inlineStr">
        <is>
          <t>NONE</t>
        </is>
      </c>
      <c r="Y1723" t="n">
        <v>0</v>
      </c>
      <c r="Z1723" t="inlineStr"/>
      <c r="AA1723" t="inlineStr">
        <is>
          <t>https://www.spamhaus.org/drop/</t>
        </is>
      </c>
    </row>
    <row r="1724">
      <c r="A1724" t="inlineStr">
        <is>
          <t>FIREHOL_THREAT</t>
        </is>
      </c>
      <c r="B1724" t="inlineStr">
        <is>
          <t>abf3929f9458</t>
        </is>
      </c>
      <c r="C1724" t="inlineStr">
        <is>
          <t>DROP List CIDR: 5.183.60.0/22 | FireHOL L1 threat IP/CIDR | ASN: FireHOL-L1</t>
        </is>
      </c>
      <c r="D1724" t="n">
        <v>6</v>
      </c>
      <c r="E1724" t="inlineStr">
        <is>
          <t>MEDIUM</t>
        </is>
      </c>
      <c r="F1724" t="n">
        <v>2</v>
      </c>
      <c r="G1724" t="n">
        <v>2</v>
      </c>
      <c r="H1724" t="inlineStr">
        <is>
          <t>MEDIUM</t>
        </is>
      </c>
      <c r="I1724" t="n">
        <v>10</v>
      </c>
      <c r="J1724" t="inlineStr">
        <is>
          <t>NO</t>
        </is>
      </c>
      <c r="K1724" t="inlineStr">
        <is>
          <t>2026-02-26 00:15</t>
        </is>
      </c>
      <c r="L1724" t="inlineStr">
        <is>
          <t>Block CIDR</t>
        </is>
      </c>
      <c r="M1724" t="inlineStr">
        <is>
          <t>Firewall/Email</t>
        </is>
      </c>
      <c r="N1724" t="inlineStr">
        <is>
          <t>P4</t>
        </is>
      </c>
      <c r="O1724" t="inlineStr">
        <is>
          <t>Spamhaus - CIDR range</t>
        </is>
      </c>
      <c r="P1724" t="n">
        <v>0</v>
      </c>
      <c r="Q1724" t="n">
        <v>0</v>
      </c>
      <c r="R1724" t="inlineStr">
        <is>
          <t>T1566:Phishing | T1078:Valid Accounts</t>
        </is>
      </c>
      <c r="S1724" t="n">
        <v>1</v>
      </c>
      <c r="T1724" t="inlineStr">
        <is>
          <t>LOW (40%)</t>
        </is>
      </c>
      <c r="U1724" t="inlineStr">
        <is>
          <t>NONE</t>
        </is>
      </c>
      <c r="V1724" t="inlineStr">
        <is>
          <t>NONE</t>
        </is>
      </c>
      <c r="W1724" t="inlineStr">
        <is>
          <t>NONE</t>
        </is>
      </c>
      <c r="X1724" t="inlineStr">
        <is>
          <t>NONE</t>
        </is>
      </c>
      <c r="Y1724" t="n">
        <v>0</v>
      </c>
      <c r="Z1724" t="inlineStr"/>
      <c r="AA1724" t="inlineStr">
        <is>
          <t>https://www.spamhaus.org/drop/</t>
        </is>
      </c>
    </row>
    <row r="1725">
      <c r="A1725" t="inlineStr">
        <is>
          <t>FIREHOL_THREAT</t>
        </is>
      </c>
      <c r="B1725" t="inlineStr">
        <is>
          <t>37c61e81282e</t>
        </is>
      </c>
      <c r="C1725" t="inlineStr">
        <is>
          <t>DROP List CIDR: 5.188.11.0/24 | FireHOL L1 threat IP/CIDR | ASN: FireHOL-L1</t>
        </is>
      </c>
      <c r="D1725" t="n">
        <v>6</v>
      </c>
      <c r="E1725" t="inlineStr">
        <is>
          <t>MEDIUM</t>
        </is>
      </c>
      <c r="F1725" t="n">
        <v>2</v>
      </c>
      <c r="G1725" t="n">
        <v>2</v>
      </c>
      <c r="H1725" t="inlineStr">
        <is>
          <t>MEDIUM</t>
        </is>
      </c>
      <c r="I1725" t="n">
        <v>10</v>
      </c>
      <c r="J1725" t="inlineStr">
        <is>
          <t>NO</t>
        </is>
      </c>
      <c r="K1725" t="inlineStr">
        <is>
          <t>2026-02-26 00:15</t>
        </is>
      </c>
      <c r="L1725" t="inlineStr">
        <is>
          <t>Block CIDR</t>
        </is>
      </c>
      <c r="M1725" t="inlineStr">
        <is>
          <t>Firewall/Email</t>
        </is>
      </c>
      <c r="N1725" t="inlineStr">
        <is>
          <t>P4</t>
        </is>
      </c>
      <c r="O1725" t="inlineStr">
        <is>
          <t>Spamhaus - CIDR range</t>
        </is>
      </c>
      <c r="P1725" t="n">
        <v>0</v>
      </c>
      <c r="Q1725" t="n">
        <v>0</v>
      </c>
      <c r="R1725" t="inlineStr">
        <is>
          <t>T1566:Phishing | T1078:Valid Accounts</t>
        </is>
      </c>
      <c r="S1725" t="n">
        <v>1</v>
      </c>
      <c r="T1725" t="inlineStr">
        <is>
          <t>LOW (40%)</t>
        </is>
      </c>
      <c r="U1725" t="inlineStr">
        <is>
          <t>NONE</t>
        </is>
      </c>
      <c r="V1725" t="inlineStr">
        <is>
          <t>NONE</t>
        </is>
      </c>
      <c r="W1725" t="inlineStr">
        <is>
          <t>NONE</t>
        </is>
      </c>
      <c r="X1725" t="inlineStr">
        <is>
          <t>NONE</t>
        </is>
      </c>
      <c r="Y1725" t="n">
        <v>0</v>
      </c>
      <c r="Z1725" t="inlineStr"/>
      <c r="AA1725" t="inlineStr">
        <is>
          <t>https://www.spamhaus.org/drop/</t>
        </is>
      </c>
    </row>
    <row r="1726">
      <c r="A1726" t="inlineStr">
        <is>
          <t>FIREHOL_THREAT</t>
        </is>
      </c>
      <c r="B1726" t="inlineStr">
        <is>
          <t>67385c68666e</t>
        </is>
      </c>
      <c r="C1726" t="inlineStr">
        <is>
          <t>DROP List CIDR: 5.188.236.0/23 | FireHOL L1 threat IP/CIDR | ASN: FireHOL-L1</t>
        </is>
      </c>
      <c r="D1726" t="n">
        <v>6</v>
      </c>
      <c r="E1726" t="inlineStr">
        <is>
          <t>MEDIUM</t>
        </is>
      </c>
      <c r="F1726" t="n">
        <v>2</v>
      </c>
      <c r="G1726" t="n">
        <v>2</v>
      </c>
      <c r="H1726" t="inlineStr">
        <is>
          <t>MEDIUM</t>
        </is>
      </c>
      <c r="I1726" t="n">
        <v>10</v>
      </c>
      <c r="J1726" t="inlineStr">
        <is>
          <t>NO</t>
        </is>
      </c>
      <c r="K1726" t="inlineStr">
        <is>
          <t>2026-02-26 00:15</t>
        </is>
      </c>
      <c r="L1726" t="inlineStr">
        <is>
          <t>Block CIDR</t>
        </is>
      </c>
      <c r="M1726" t="inlineStr">
        <is>
          <t>Firewall/Email</t>
        </is>
      </c>
      <c r="N1726" t="inlineStr">
        <is>
          <t>P4</t>
        </is>
      </c>
      <c r="O1726" t="inlineStr">
        <is>
          <t>Spamhaus - CIDR range</t>
        </is>
      </c>
      <c r="P1726" t="n">
        <v>0</v>
      </c>
      <c r="Q1726" t="n">
        <v>0</v>
      </c>
      <c r="R1726" t="inlineStr">
        <is>
          <t>T1566:Phishing | T1078:Valid Accounts</t>
        </is>
      </c>
      <c r="S1726" t="n">
        <v>1</v>
      </c>
      <c r="T1726" t="inlineStr">
        <is>
          <t>LOW (40%)</t>
        </is>
      </c>
      <c r="U1726" t="inlineStr">
        <is>
          <t>NONE</t>
        </is>
      </c>
      <c r="V1726" t="inlineStr">
        <is>
          <t>NONE</t>
        </is>
      </c>
      <c r="W1726" t="inlineStr">
        <is>
          <t>NONE</t>
        </is>
      </c>
      <c r="X1726" t="inlineStr">
        <is>
          <t>NONE</t>
        </is>
      </c>
      <c r="Y1726" t="n">
        <v>0</v>
      </c>
      <c r="Z1726" t="inlineStr"/>
      <c r="AA1726" t="inlineStr">
        <is>
          <t>https://www.spamhaus.org/drop/</t>
        </is>
      </c>
    </row>
    <row r="1727">
      <c r="A1727" t="inlineStr">
        <is>
          <t>FIREHOL_THREAT</t>
        </is>
      </c>
      <c r="B1727" t="inlineStr">
        <is>
          <t>d4714d0e2eaa</t>
        </is>
      </c>
      <c r="C1727" t="inlineStr">
        <is>
          <t>DROP List CIDR: 10.0.0.0/8 | FireHOL L1 threat IP/CIDR | ASN: FireHOL-L1</t>
        </is>
      </c>
      <c r="D1727" t="n">
        <v>6</v>
      </c>
      <c r="E1727" t="inlineStr">
        <is>
          <t>MEDIUM</t>
        </is>
      </c>
      <c r="F1727" t="n">
        <v>2</v>
      </c>
      <c r="G1727" t="n">
        <v>2</v>
      </c>
      <c r="H1727" t="inlineStr">
        <is>
          <t>MEDIUM</t>
        </is>
      </c>
      <c r="I1727" t="n">
        <v>10</v>
      </c>
      <c r="J1727" t="inlineStr">
        <is>
          <t>NO</t>
        </is>
      </c>
      <c r="K1727" t="inlineStr">
        <is>
          <t>2026-02-26 00:15</t>
        </is>
      </c>
      <c r="L1727" t="inlineStr">
        <is>
          <t>Block CIDR</t>
        </is>
      </c>
      <c r="M1727" t="inlineStr">
        <is>
          <t>Firewall/Email</t>
        </is>
      </c>
      <c r="N1727" t="inlineStr">
        <is>
          <t>P4</t>
        </is>
      </c>
      <c r="O1727" t="inlineStr">
        <is>
          <t>Spamhaus - CIDR range</t>
        </is>
      </c>
      <c r="P1727" t="n">
        <v>0</v>
      </c>
      <c r="Q1727" t="n">
        <v>0</v>
      </c>
      <c r="R1727" t="inlineStr">
        <is>
          <t>T1566:Phishing | T1078:Valid Accounts</t>
        </is>
      </c>
      <c r="S1727" t="n">
        <v>1</v>
      </c>
      <c r="T1727" t="inlineStr">
        <is>
          <t>LOW (40%)</t>
        </is>
      </c>
      <c r="U1727" t="inlineStr">
        <is>
          <t>NONE</t>
        </is>
      </c>
      <c r="V1727" t="inlineStr">
        <is>
          <t>NONE</t>
        </is>
      </c>
      <c r="W1727" t="inlineStr">
        <is>
          <t>NONE</t>
        </is>
      </c>
      <c r="X1727" t="inlineStr">
        <is>
          <t>NONE</t>
        </is>
      </c>
      <c r="Y1727" t="n">
        <v>0</v>
      </c>
      <c r="Z1727" t="inlineStr"/>
      <c r="AA1727" t="inlineStr">
        <is>
          <t>https://www.spamhaus.org/drop/</t>
        </is>
      </c>
    </row>
    <row r="1728">
      <c r="A1728" t="inlineStr">
        <is>
          <t>FIREHOL_THREAT</t>
        </is>
      </c>
      <c r="B1728" t="inlineStr">
        <is>
          <t>19418b89cc5a</t>
        </is>
      </c>
      <c r="C1728" t="inlineStr">
        <is>
          <t>DROP List CIDR: 14.102.240.0/20 | FireHOL L1 threat IP/CIDR | ASN: FireHOL-L1</t>
        </is>
      </c>
      <c r="D1728" t="n">
        <v>6</v>
      </c>
      <c r="E1728" t="inlineStr">
        <is>
          <t>MEDIUM</t>
        </is>
      </c>
      <c r="F1728" t="n">
        <v>2</v>
      </c>
      <c r="G1728" t="n">
        <v>2</v>
      </c>
      <c r="H1728" t="inlineStr">
        <is>
          <t>MEDIUM</t>
        </is>
      </c>
      <c r="I1728" t="n">
        <v>10</v>
      </c>
      <c r="J1728" t="inlineStr">
        <is>
          <t>NO</t>
        </is>
      </c>
      <c r="K1728" t="inlineStr">
        <is>
          <t>2026-02-26 00:15</t>
        </is>
      </c>
      <c r="L1728" t="inlineStr">
        <is>
          <t>Block CIDR</t>
        </is>
      </c>
      <c r="M1728" t="inlineStr">
        <is>
          <t>Firewall/Email</t>
        </is>
      </c>
      <c r="N1728" t="inlineStr">
        <is>
          <t>P4</t>
        </is>
      </c>
      <c r="O1728" t="inlineStr">
        <is>
          <t>Spamhaus - CIDR range</t>
        </is>
      </c>
      <c r="P1728" t="n">
        <v>0</v>
      </c>
      <c r="Q1728" t="n">
        <v>0</v>
      </c>
      <c r="R1728" t="inlineStr">
        <is>
          <t>T1566:Phishing | T1078:Valid Accounts</t>
        </is>
      </c>
      <c r="S1728" t="n">
        <v>1</v>
      </c>
      <c r="T1728" t="inlineStr">
        <is>
          <t>LOW (40%)</t>
        </is>
      </c>
      <c r="U1728" t="inlineStr">
        <is>
          <t>NONE</t>
        </is>
      </c>
      <c r="V1728" t="inlineStr">
        <is>
          <t>NONE</t>
        </is>
      </c>
      <c r="W1728" t="inlineStr">
        <is>
          <t>NONE</t>
        </is>
      </c>
      <c r="X1728" t="inlineStr">
        <is>
          <t>NONE</t>
        </is>
      </c>
      <c r="Y1728" t="n">
        <v>0</v>
      </c>
      <c r="Z1728" t="inlineStr"/>
      <c r="AA1728" t="inlineStr">
        <is>
          <t>https://www.spamhaus.org/drop/</t>
        </is>
      </c>
    </row>
    <row r="1729">
      <c r="A1729" t="inlineStr">
        <is>
          <t>FIREHOL_THREAT</t>
        </is>
      </c>
      <c r="B1729" t="inlineStr">
        <is>
          <t>45af21402405</t>
        </is>
      </c>
      <c r="C1729" t="inlineStr">
        <is>
          <t>DROP List CIDR: 14.128.32.0/20 | FireHOL L1 threat IP/CIDR | ASN: FireHOL-L1</t>
        </is>
      </c>
      <c r="D1729" t="n">
        <v>6</v>
      </c>
      <c r="E1729" t="inlineStr">
        <is>
          <t>MEDIUM</t>
        </is>
      </c>
      <c r="F1729" t="n">
        <v>2</v>
      </c>
      <c r="G1729" t="n">
        <v>2</v>
      </c>
      <c r="H1729" t="inlineStr">
        <is>
          <t>MEDIUM</t>
        </is>
      </c>
      <c r="I1729" t="n">
        <v>10</v>
      </c>
      <c r="J1729" t="inlineStr">
        <is>
          <t>NO</t>
        </is>
      </c>
      <c r="K1729" t="inlineStr">
        <is>
          <t>2026-02-26 00:15</t>
        </is>
      </c>
      <c r="L1729" t="inlineStr">
        <is>
          <t>Block CIDR</t>
        </is>
      </c>
      <c r="M1729" t="inlineStr">
        <is>
          <t>Firewall/Email</t>
        </is>
      </c>
      <c r="N1729" t="inlineStr">
        <is>
          <t>P4</t>
        </is>
      </c>
      <c r="O1729" t="inlineStr">
        <is>
          <t>Spamhaus - CIDR range</t>
        </is>
      </c>
      <c r="P1729" t="n">
        <v>0</v>
      </c>
      <c r="Q1729" t="n">
        <v>0</v>
      </c>
      <c r="R1729" t="inlineStr">
        <is>
          <t>T1566:Phishing | T1078:Valid Accounts</t>
        </is>
      </c>
      <c r="S1729" t="n">
        <v>1</v>
      </c>
      <c r="T1729" t="inlineStr">
        <is>
          <t>LOW (40%)</t>
        </is>
      </c>
      <c r="U1729" t="inlineStr">
        <is>
          <t>NONE</t>
        </is>
      </c>
      <c r="V1729" t="inlineStr">
        <is>
          <t>NONE</t>
        </is>
      </c>
      <c r="W1729" t="inlineStr">
        <is>
          <t>NONE</t>
        </is>
      </c>
      <c r="X1729" t="inlineStr">
        <is>
          <t>NONE</t>
        </is>
      </c>
      <c r="Y1729" t="n">
        <v>0</v>
      </c>
      <c r="Z1729" t="inlineStr"/>
      <c r="AA1729" t="inlineStr">
        <is>
          <t>https://www.spamhaus.org/drop/</t>
        </is>
      </c>
    </row>
    <row r="1730">
      <c r="A1730" t="inlineStr">
        <is>
          <t>FIREHOL_THREAT</t>
        </is>
      </c>
      <c r="B1730" t="inlineStr">
        <is>
          <t>88b39c15dff0</t>
        </is>
      </c>
      <c r="C1730" t="inlineStr">
        <is>
          <t>DROP List CIDR: 1.1.179.83 | FireHOL L2 threat IP/CIDR | ASN: FireHOL-L2</t>
        </is>
      </c>
      <c r="D1730" t="n">
        <v>6</v>
      </c>
      <c r="E1730" t="inlineStr">
        <is>
          <t>MEDIUM</t>
        </is>
      </c>
      <c r="F1730" t="n">
        <v>2</v>
      </c>
      <c r="G1730" t="n">
        <v>2</v>
      </c>
      <c r="H1730" t="inlineStr">
        <is>
          <t>MEDIUM</t>
        </is>
      </c>
      <c r="I1730" t="n">
        <v>10</v>
      </c>
      <c r="J1730" t="inlineStr">
        <is>
          <t>NO</t>
        </is>
      </c>
      <c r="K1730" t="inlineStr">
        <is>
          <t>2026-02-26 00:15</t>
        </is>
      </c>
      <c r="L1730" t="inlineStr">
        <is>
          <t>Block CIDR</t>
        </is>
      </c>
      <c r="M1730" t="inlineStr">
        <is>
          <t>Firewall/Email</t>
        </is>
      </c>
      <c r="N1730" t="inlineStr">
        <is>
          <t>P4</t>
        </is>
      </c>
      <c r="O1730" t="inlineStr">
        <is>
          <t>Spamhaus - CIDR range</t>
        </is>
      </c>
      <c r="P1730" t="n">
        <v>0</v>
      </c>
      <c r="Q1730" t="n">
        <v>0</v>
      </c>
      <c r="R1730" t="inlineStr">
        <is>
          <t>T1566:Phishing | T1078:Valid Accounts</t>
        </is>
      </c>
      <c r="S1730" t="n">
        <v>1</v>
      </c>
      <c r="T1730" t="inlineStr">
        <is>
          <t>LOW (40%)</t>
        </is>
      </c>
      <c r="U1730" t="inlineStr">
        <is>
          <t>NONE</t>
        </is>
      </c>
      <c r="V1730" t="inlineStr">
        <is>
          <t>NONE</t>
        </is>
      </c>
      <c r="W1730" t="inlineStr">
        <is>
          <t>NONE</t>
        </is>
      </c>
      <c r="X1730" t="inlineStr">
        <is>
          <t>NONE</t>
        </is>
      </c>
      <c r="Y1730" t="n">
        <v>0</v>
      </c>
      <c r="Z1730" t="inlineStr"/>
      <c r="AA1730" t="inlineStr">
        <is>
          <t>https://www.spamhaus.org/drop/</t>
        </is>
      </c>
    </row>
    <row r="1731">
      <c r="A1731" t="inlineStr">
        <is>
          <t>FIREHOL_THREAT</t>
        </is>
      </c>
      <c r="B1731" t="inlineStr">
        <is>
          <t>0b0d18fbf54e</t>
        </is>
      </c>
      <c r="C1731" t="inlineStr">
        <is>
          <t>DROP List CIDR: 1.14.12.141 | FireHOL L2 threat IP/CIDR | ASN: FireHOL-L2</t>
        </is>
      </c>
      <c r="D1731" t="n">
        <v>6</v>
      </c>
      <c r="E1731" t="inlineStr">
        <is>
          <t>MEDIUM</t>
        </is>
      </c>
      <c r="F1731" t="n">
        <v>2</v>
      </c>
      <c r="G1731" t="n">
        <v>2</v>
      </c>
      <c r="H1731" t="inlineStr">
        <is>
          <t>MEDIUM</t>
        </is>
      </c>
      <c r="I1731" t="n">
        <v>10</v>
      </c>
      <c r="J1731" t="inlineStr">
        <is>
          <t>NO</t>
        </is>
      </c>
      <c r="K1731" t="inlineStr">
        <is>
          <t>2026-02-26 00:15</t>
        </is>
      </c>
      <c r="L1731" t="inlineStr">
        <is>
          <t>Block CIDR</t>
        </is>
      </c>
      <c r="M1731" t="inlineStr">
        <is>
          <t>Firewall/Email</t>
        </is>
      </c>
      <c r="N1731" t="inlineStr">
        <is>
          <t>P4</t>
        </is>
      </c>
      <c r="O1731" t="inlineStr">
        <is>
          <t>Spamhaus - CIDR range</t>
        </is>
      </c>
      <c r="P1731" t="n">
        <v>0</v>
      </c>
      <c r="Q1731" t="n">
        <v>0</v>
      </c>
      <c r="R1731" t="inlineStr">
        <is>
          <t>T1566:Phishing | T1078:Valid Accounts</t>
        </is>
      </c>
      <c r="S1731" t="n">
        <v>1</v>
      </c>
      <c r="T1731" t="inlineStr">
        <is>
          <t>LOW (40%)</t>
        </is>
      </c>
      <c r="U1731" t="inlineStr">
        <is>
          <t>NONE</t>
        </is>
      </c>
      <c r="V1731" t="inlineStr">
        <is>
          <t>NONE</t>
        </is>
      </c>
      <c r="W1731" t="inlineStr">
        <is>
          <t>NONE</t>
        </is>
      </c>
      <c r="X1731" t="inlineStr">
        <is>
          <t>NONE</t>
        </is>
      </c>
      <c r="Y1731" t="n">
        <v>0</v>
      </c>
      <c r="Z1731" t="inlineStr"/>
      <c r="AA1731" t="inlineStr">
        <is>
          <t>https://www.spamhaus.org/drop/</t>
        </is>
      </c>
    </row>
    <row r="1732">
      <c r="A1732" t="inlineStr">
        <is>
          <t>FIREHOL_THREAT</t>
        </is>
      </c>
      <c r="B1732" t="inlineStr">
        <is>
          <t>1c994f7ff000</t>
        </is>
      </c>
      <c r="C1732" t="inlineStr">
        <is>
          <t>DROP List CIDR: 1.14.254.146 | FireHOL L2 threat IP/CIDR | ASN: FireHOL-L2</t>
        </is>
      </c>
      <c r="D1732" t="n">
        <v>6</v>
      </c>
      <c r="E1732" t="inlineStr">
        <is>
          <t>MEDIUM</t>
        </is>
      </c>
      <c r="F1732" t="n">
        <v>2</v>
      </c>
      <c r="G1732" t="n">
        <v>2</v>
      </c>
      <c r="H1732" t="inlineStr">
        <is>
          <t>MEDIUM</t>
        </is>
      </c>
      <c r="I1732" t="n">
        <v>10</v>
      </c>
      <c r="J1732" t="inlineStr">
        <is>
          <t>NO</t>
        </is>
      </c>
      <c r="K1732" t="inlineStr">
        <is>
          <t>2026-02-26 00:15</t>
        </is>
      </c>
      <c r="L1732" t="inlineStr">
        <is>
          <t>Block CIDR</t>
        </is>
      </c>
      <c r="M1732" t="inlineStr">
        <is>
          <t>Firewall/Email</t>
        </is>
      </c>
      <c r="N1732" t="inlineStr">
        <is>
          <t>P4</t>
        </is>
      </c>
      <c r="O1732" t="inlineStr">
        <is>
          <t>Spamhaus - CIDR range</t>
        </is>
      </c>
      <c r="P1732" t="n">
        <v>0</v>
      </c>
      <c r="Q1732" t="n">
        <v>0</v>
      </c>
      <c r="R1732" t="inlineStr">
        <is>
          <t>T1566:Phishing | T1078:Valid Accounts</t>
        </is>
      </c>
      <c r="S1732" t="n">
        <v>1</v>
      </c>
      <c r="T1732" t="inlineStr">
        <is>
          <t>LOW (40%)</t>
        </is>
      </c>
      <c r="U1732" t="inlineStr">
        <is>
          <t>NONE</t>
        </is>
      </c>
      <c r="V1732" t="inlineStr">
        <is>
          <t>NONE</t>
        </is>
      </c>
      <c r="W1732" t="inlineStr">
        <is>
          <t>NONE</t>
        </is>
      </c>
      <c r="X1732" t="inlineStr">
        <is>
          <t>NONE</t>
        </is>
      </c>
      <c r="Y1732" t="n">
        <v>0</v>
      </c>
      <c r="Z1732" t="inlineStr"/>
      <c r="AA1732" t="inlineStr">
        <is>
          <t>https://www.spamhaus.org/drop/</t>
        </is>
      </c>
    </row>
    <row r="1733">
      <c r="A1733" t="inlineStr">
        <is>
          <t>FIREHOL_THREAT</t>
        </is>
      </c>
      <c r="B1733" t="inlineStr">
        <is>
          <t>310a1440e95a</t>
        </is>
      </c>
      <c r="C1733" t="inlineStr">
        <is>
          <t>DROP List CIDR: 1.15.77.170 | FireHOL L2 threat IP/CIDR | ASN: FireHOL-L2</t>
        </is>
      </c>
      <c r="D1733" t="n">
        <v>6</v>
      </c>
      <c r="E1733" t="inlineStr">
        <is>
          <t>MEDIUM</t>
        </is>
      </c>
      <c r="F1733" t="n">
        <v>2</v>
      </c>
      <c r="G1733" t="n">
        <v>2</v>
      </c>
      <c r="H1733" t="inlineStr">
        <is>
          <t>MEDIUM</t>
        </is>
      </c>
      <c r="I1733" t="n">
        <v>10</v>
      </c>
      <c r="J1733" t="inlineStr">
        <is>
          <t>NO</t>
        </is>
      </c>
      <c r="K1733" t="inlineStr">
        <is>
          <t>2026-02-26 00:15</t>
        </is>
      </c>
      <c r="L1733" t="inlineStr">
        <is>
          <t>Block CIDR</t>
        </is>
      </c>
      <c r="M1733" t="inlineStr">
        <is>
          <t>Firewall/Email</t>
        </is>
      </c>
      <c r="N1733" t="inlineStr">
        <is>
          <t>P4</t>
        </is>
      </c>
      <c r="O1733" t="inlineStr">
        <is>
          <t>Spamhaus - CIDR range</t>
        </is>
      </c>
      <c r="P1733" t="n">
        <v>0</v>
      </c>
      <c r="Q1733" t="n">
        <v>0</v>
      </c>
      <c r="R1733" t="inlineStr">
        <is>
          <t>T1566:Phishing | T1078:Valid Accounts</t>
        </is>
      </c>
      <c r="S1733" t="n">
        <v>1</v>
      </c>
      <c r="T1733" t="inlineStr">
        <is>
          <t>LOW (40%)</t>
        </is>
      </c>
      <c r="U1733" t="inlineStr">
        <is>
          <t>NONE</t>
        </is>
      </c>
      <c r="V1733" t="inlineStr">
        <is>
          <t>NONE</t>
        </is>
      </c>
      <c r="W1733" t="inlineStr">
        <is>
          <t>NONE</t>
        </is>
      </c>
      <c r="X1733" t="inlineStr">
        <is>
          <t>NONE</t>
        </is>
      </c>
      <c r="Y1733" t="n">
        <v>0</v>
      </c>
      <c r="Z1733" t="inlineStr"/>
      <c r="AA1733" t="inlineStr">
        <is>
          <t>https://www.spamhaus.org/drop/</t>
        </is>
      </c>
    </row>
    <row r="1734">
      <c r="A1734" t="inlineStr">
        <is>
          <t>FIREHOL_THREAT</t>
        </is>
      </c>
      <c r="B1734" t="inlineStr">
        <is>
          <t>017abc159f47</t>
        </is>
      </c>
      <c r="C1734" t="inlineStr">
        <is>
          <t>DROP List CIDR: 1.15.116.189 | FireHOL L2 threat IP/CIDR | ASN: FireHOL-L2</t>
        </is>
      </c>
      <c r="D1734" t="n">
        <v>6</v>
      </c>
      <c r="E1734" t="inlineStr">
        <is>
          <t>MEDIUM</t>
        </is>
      </c>
      <c r="F1734" t="n">
        <v>2</v>
      </c>
      <c r="G1734" t="n">
        <v>2</v>
      </c>
      <c r="H1734" t="inlineStr">
        <is>
          <t>MEDIUM</t>
        </is>
      </c>
      <c r="I1734" t="n">
        <v>10</v>
      </c>
      <c r="J1734" t="inlineStr">
        <is>
          <t>NO</t>
        </is>
      </c>
      <c r="K1734" t="inlineStr">
        <is>
          <t>2026-02-26 00:15</t>
        </is>
      </c>
      <c r="L1734" t="inlineStr">
        <is>
          <t>Block CIDR</t>
        </is>
      </c>
      <c r="M1734" t="inlineStr">
        <is>
          <t>Firewall/Email</t>
        </is>
      </c>
      <c r="N1734" t="inlineStr">
        <is>
          <t>P4</t>
        </is>
      </c>
      <c r="O1734" t="inlineStr">
        <is>
          <t>Spamhaus - CIDR range</t>
        </is>
      </c>
      <c r="P1734" t="n">
        <v>0</v>
      </c>
      <c r="Q1734" t="n">
        <v>0</v>
      </c>
      <c r="R1734" t="inlineStr">
        <is>
          <t>T1566:Phishing | T1078:Valid Accounts</t>
        </is>
      </c>
      <c r="S1734" t="n">
        <v>1</v>
      </c>
      <c r="T1734" t="inlineStr">
        <is>
          <t>LOW (40%)</t>
        </is>
      </c>
      <c r="U1734" t="inlineStr">
        <is>
          <t>NONE</t>
        </is>
      </c>
      <c r="V1734" t="inlineStr">
        <is>
          <t>NONE</t>
        </is>
      </c>
      <c r="W1734" t="inlineStr">
        <is>
          <t>NONE</t>
        </is>
      </c>
      <c r="X1734" t="inlineStr">
        <is>
          <t>NONE</t>
        </is>
      </c>
      <c r="Y1734" t="n">
        <v>0</v>
      </c>
      <c r="Z1734" t="inlineStr"/>
      <c r="AA1734" t="inlineStr">
        <is>
          <t>https://www.spamhaus.org/drop/</t>
        </is>
      </c>
    </row>
    <row r="1735">
      <c r="A1735" t="inlineStr">
        <is>
          <t>FIREHOL_THREAT</t>
        </is>
      </c>
      <c r="B1735" t="inlineStr">
        <is>
          <t>b2c07aa1d291</t>
        </is>
      </c>
      <c r="C1735" t="inlineStr">
        <is>
          <t>DROP List CIDR: 1.15.136.28 | FireHOL L2 threat IP/CIDR | ASN: FireHOL-L2</t>
        </is>
      </c>
      <c r="D1735" t="n">
        <v>6</v>
      </c>
      <c r="E1735" t="inlineStr">
        <is>
          <t>MEDIUM</t>
        </is>
      </c>
      <c r="F1735" t="n">
        <v>2</v>
      </c>
      <c r="G1735" t="n">
        <v>2</v>
      </c>
      <c r="H1735" t="inlineStr">
        <is>
          <t>MEDIUM</t>
        </is>
      </c>
      <c r="I1735" t="n">
        <v>10</v>
      </c>
      <c r="J1735" t="inlineStr">
        <is>
          <t>NO</t>
        </is>
      </c>
      <c r="K1735" t="inlineStr">
        <is>
          <t>2026-02-26 00:15</t>
        </is>
      </c>
      <c r="L1735" t="inlineStr">
        <is>
          <t>Block CIDR</t>
        </is>
      </c>
      <c r="M1735" t="inlineStr">
        <is>
          <t>Firewall/Email</t>
        </is>
      </c>
      <c r="N1735" t="inlineStr">
        <is>
          <t>P4</t>
        </is>
      </c>
      <c r="O1735" t="inlineStr">
        <is>
          <t>Spamhaus - CIDR range</t>
        </is>
      </c>
      <c r="P1735" t="n">
        <v>0</v>
      </c>
      <c r="Q1735" t="n">
        <v>0</v>
      </c>
      <c r="R1735" t="inlineStr">
        <is>
          <t>T1566:Phishing | T1078:Valid Accounts</t>
        </is>
      </c>
      <c r="S1735" t="n">
        <v>1</v>
      </c>
      <c r="T1735" t="inlineStr">
        <is>
          <t>LOW (40%)</t>
        </is>
      </c>
      <c r="U1735" t="inlineStr">
        <is>
          <t>NONE</t>
        </is>
      </c>
      <c r="V1735" t="inlineStr">
        <is>
          <t>NONE</t>
        </is>
      </c>
      <c r="W1735" t="inlineStr">
        <is>
          <t>NONE</t>
        </is>
      </c>
      <c r="X1735" t="inlineStr">
        <is>
          <t>NONE</t>
        </is>
      </c>
      <c r="Y1735" t="n">
        <v>0</v>
      </c>
      <c r="Z1735" t="inlineStr"/>
      <c r="AA1735" t="inlineStr">
        <is>
          <t>https://www.spamhaus.org/drop/</t>
        </is>
      </c>
    </row>
    <row r="1736">
      <c r="A1736" t="inlineStr">
        <is>
          <t>FIREHOL_THREAT</t>
        </is>
      </c>
      <c r="B1736" t="inlineStr">
        <is>
          <t>d28316cdbee2</t>
        </is>
      </c>
      <c r="C1736" t="inlineStr">
        <is>
          <t>DROP List CIDR: 1.24.210.27 | FireHOL L2 threat IP/CIDR | ASN: FireHOL-L2</t>
        </is>
      </c>
      <c r="D1736" t="n">
        <v>6</v>
      </c>
      <c r="E1736" t="inlineStr">
        <is>
          <t>MEDIUM</t>
        </is>
      </c>
      <c r="F1736" t="n">
        <v>2</v>
      </c>
      <c r="G1736" t="n">
        <v>2</v>
      </c>
      <c r="H1736" t="inlineStr">
        <is>
          <t>MEDIUM</t>
        </is>
      </c>
      <c r="I1736" t="n">
        <v>10</v>
      </c>
      <c r="J1736" t="inlineStr">
        <is>
          <t>NO</t>
        </is>
      </c>
      <c r="K1736" t="inlineStr">
        <is>
          <t>2026-02-26 00:15</t>
        </is>
      </c>
      <c r="L1736" t="inlineStr">
        <is>
          <t>Block CIDR</t>
        </is>
      </c>
      <c r="M1736" t="inlineStr">
        <is>
          <t>Firewall/Email</t>
        </is>
      </c>
      <c r="N1736" t="inlineStr">
        <is>
          <t>P4</t>
        </is>
      </c>
      <c r="O1736" t="inlineStr">
        <is>
          <t>Spamhaus - CIDR range</t>
        </is>
      </c>
      <c r="P1736" t="n">
        <v>0</v>
      </c>
      <c r="Q1736" t="n">
        <v>0</v>
      </c>
      <c r="R1736" t="inlineStr">
        <is>
          <t>T1566:Phishing | T1078:Valid Accounts</t>
        </is>
      </c>
      <c r="S1736" t="n">
        <v>1</v>
      </c>
      <c r="T1736" t="inlineStr">
        <is>
          <t>LOW (40%)</t>
        </is>
      </c>
      <c r="U1736" t="inlineStr">
        <is>
          <t>NONE</t>
        </is>
      </c>
      <c r="V1736" t="inlineStr">
        <is>
          <t>NONE</t>
        </is>
      </c>
      <c r="W1736" t="inlineStr">
        <is>
          <t>NONE</t>
        </is>
      </c>
      <c r="X1736" t="inlineStr">
        <is>
          <t>NONE</t>
        </is>
      </c>
      <c r="Y1736" t="n">
        <v>0</v>
      </c>
      <c r="Z1736" t="inlineStr"/>
      <c r="AA1736" t="inlineStr">
        <is>
          <t>https://www.spamhaus.org/drop/</t>
        </is>
      </c>
    </row>
    <row r="1737">
      <c r="A1737" t="inlineStr">
        <is>
          <t>FIREHOL_THREAT</t>
        </is>
      </c>
      <c r="B1737" t="inlineStr">
        <is>
          <t>286e31c4d50b</t>
        </is>
      </c>
      <c r="C1737" t="inlineStr">
        <is>
          <t>DROP List CIDR: 1.30.20.98 | FireHOL L2 threat IP/CIDR | ASN: FireHOL-L2</t>
        </is>
      </c>
      <c r="D1737" t="n">
        <v>6</v>
      </c>
      <c r="E1737" t="inlineStr">
        <is>
          <t>MEDIUM</t>
        </is>
      </c>
      <c r="F1737" t="n">
        <v>2</v>
      </c>
      <c r="G1737" t="n">
        <v>2</v>
      </c>
      <c r="H1737" t="inlineStr">
        <is>
          <t>MEDIUM</t>
        </is>
      </c>
      <c r="I1737" t="n">
        <v>10</v>
      </c>
      <c r="J1737" t="inlineStr">
        <is>
          <t>NO</t>
        </is>
      </c>
      <c r="K1737" t="inlineStr">
        <is>
          <t>2026-02-26 00:15</t>
        </is>
      </c>
      <c r="L1737" t="inlineStr">
        <is>
          <t>Block CIDR</t>
        </is>
      </c>
      <c r="M1737" t="inlineStr">
        <is>
          <t>Firewall/Email</t>
        </is>
      </c>
      <c r="N1737" t="inlineStr">
        <is>
          <t>P4</t>
        </is>
      </c>
      <c r="O1737" t="inlineStr">
        <is>
          <t>Spamhaus - CIDR range</t>
        </is>
      </c>
      <c r="P1737" t="n">
        <v>0</v>
      </c>
      <c r="Q1737" t="n">
        <v>0</v>
      </c>
      <c r="R1737" t="inlineStr">
        <is>
          <t>T1566:Phishing | T1078:Valid Accounts</t>
        </is>
      </c>
      <c r="S1737" t="n">
        <v>1</v>
      </c>
      <c r="T1737" t="inlineStr">
        <is>
          <t>LOW (40%)</t>
        </is>
      </c>
      <c r="U1737" t="inlineStr">
        <is>
          <t>NONE</t>
        </is>
      </c>
      <c r="V1737" t="inlineStr">
        <is>
          <t>NONE</t>
        </is>
      </c>
      <c r="W1737" t="inlineStr">
        <is>
          <t>NONE</t>
        </is>
      </c>
      <c r="X1737" t="inlineStr">
        <is>
          <t>NONE</t>
        </is>
      </c>
      <c r="Y1737" t="n">
        <v>0</v>
      </c>
      <c r="Z1737" t="inlineStr"/>
      <c r="AA1737" t="inlineStr">
        <is>
          <t>https://www.spamhaus.org/drop/</t>
        </is>
      </c>
    </row>
    <row r="1738">
      <c r="A1738" t="inlineStr">
        <is>
          <t>FIREHOL_THREAT</t>
        </is>
      </c>
      <c r="B1738" t="inlineStr">
        <is>
          <t>a6c72b943d06</t>
        </is>
      </c>
      <c r="C1738" t="inlineStr">
        <is>
          <t>DROP List CIDR: 1.30.20.238 | FireHOL L2 threat IP/CIDR | ASN: FireHOL-L2</t>
        </is>
      </c>
      <c r="D1738" t="n">
        <v>6</v>
      </c>
      <c r="E1738" t="inlineStr">
        <is>
          <t>MEDIUM</t>
        </is>
      </c>
      <c r="F1738" t="n">
        <v>2</v>
      </c>
      <c r="G1738" t="n">
        <v>2</v>
      </c>
      <c r="H1738" t="inlineStr">
        <is>
          <t>MEDIUM</t>
        </is>
      </c>
      <c r="I1738" t="n">
        <v>10</v>
      </c>
      <c r="J1738" t="inlineStr">
        <is>
          <t>NO</t>
        </is>
      </c>
      <c r="K1738" t="inlineStr">
        <is>
          <t>2026-02-26 00:15</t>
        </is>
      </c>
      <c r="L1738" t="inlineStr">
        <is>
          <t>Block CIDR</t>
        </is>
      </c>
      <c r="M1738" t="inlineStr">
        <is>
          <t>Firewall/Email</t>
        </is>
      </c>
      <c r="N1738" t="inlineStr">
        <is>
          <t>P4</t>
        </is>
      </c>
      <c r="O1738" t="inlineStr">
        <is>
          <t>Spamhaus - CIDR range</t>
        </is>
      </c>
      <c r="P1738" t="n">
        <v>0</v>
      </c>
      <c r="Q1738" t="n">
        <v>0</v>
      </c>
      <c r="R1738" t="inlineStr">
        <is>
          <t>T1566:Phishing | T1078:Valid Accounts</t>
        </is>
      </c>
      <c r="S1738" t="n">
        <v>1</v>
      </c>
      <c r="T1738" t="inlineStr">
        <is>
          <t>LOW (40%)</t>
        </is>
      </c>
      <c r="U1738" t="inlineStr">
        <is>
          <t>NONE</t>
        </is>
      </c>
      <c r="V1738" t="inlineStr">
        <is>
          <t>NONE</t>
        </is>
      </c>
      <c r="W1738" t="inlineStr">
        <is>
          <t>NONE</t>
        </is>
      </c>
      <c r="X1738" t="inlineStr">
        <is>
          <t>NONE</t>
        </is>
      </c>
      <c r="Y1738" t="n">
        <v>0</v>
      </c>
      <c r="Z1738" t="inlineStr"/>
      <c r="AA1738" t="inlineStr">
        <is>
          <t>https://www.spamhaus.org/drop/</t>
        </is>
      </c>
    </row>
    <row r="1739">
      <c r="A1739" t="inlineStr">
        <is>
          <t>FIREHOL_THREAT</t>
        </is>
      </c>
      <c r="B1739" t="inlineStr">
        <is>
          <t>4e6db5098243</t>
        </is>
      </c>
      <c r="C1739" t="inlineStr">
        <is>
          <t>DROP List CIDR: 1.30.199.218 | FireHOL L2 threat IP/CIDR | ASN: FireHOL-L2</t>
        </is>
      </c>
      <c r="D1739" t="n">
        <v>6</v>
      </c>
      <c r="E1739" t="inlineStr">
        <is>
          <t>MEDIUM</t>
        </is>
      </c>
      <c r="F1739" t="n">
        <v>2</v>
      </c>
      <c r="G1739" t="n">
        <v>2</v>
      </c>
      <c r="H1739" t="inlineStr">
        <is>
          <t>MEDIUM</t>
        </is>
      </c>
      <c r="I1739" t="n">
        <v>10</v>
      </c>
      <c r="J1739" t="inlineStr">
        <is>
          <t>NO</t>
        </is>
      </c>
      <c r="K1739" t="inlineStr">
        <is>
          <t>2026-02-26 00:15</t>
        </is>
      </c>
      <c r="L1739" t="inlineStr">
        <is>
          <t>Block CIDR</t>
        </is>
      </c>
      <c r="M1739" t="inlineStr">
        <is>
          <t>Firewall/Email</t>
        </is>
      </c>
      <c r="N1739" t="inlineStr">
        <is>
          <t>P4</t>
        </is>
      </c>
      <c r="O1739" t="inlineStr">
        <is>
          <t>Spamhaus - CIDR range</t>
        </is>
      </c>
      <c r="P1739" t="n">
        <v>0</v>
      </c>
      <c r="Q1739" t="n">
        <v>0</v>
      </c>
      <c r="R1739" t="inlineStr">
        <is>
          <t>T1566:Phishing | T1078:Valid Accounts</t>
        </is>
      </c>
      <c r="S1739" t="n">
        <v>1</v>
      </c>
      <c r="T1739" t="inlineStr">
        <is>
          <t>LOW (40%)</t>
        </is>
      </c>
      <c r="U1739" t="inlineStr">
        <is>
          <t>NONE</t>
        </is>
      </c>
      <c r="V1739" t="inlineStr">
        <is>
          <t>NONE</t>
        </is>
      </c>
      <c r="W1739" t="inlineStr">
        <is>
          <t>NONE</t>
        </is>
      </c>
      <c r="X1739" t="inlineStr">
        <is>
          <t>NONE</t>
        </is>
      </c>
      <c r="Y1739" t="n">
        <v>0</v>
      </c>
      <c r="Z1739" t="inlineStr"/>
      <c r="AA1739" t="inlineStr">
        <is>
          <t>https://www.spamhaus.org/drop/</t>
        </is>
      </c>
    </row>
    <row r="1740">
      <c r="A1740" t="inlineStr">
        <is>
          <t>FIREHOL_THREAT</t>
        </is>
      </c>
      <c r="B1740" t="inlineStr">
        <is>
          <t>12bfaf24ccb6</t>
        </is>
      </c>
      <c r="C1740" t="inlineStr">
        <is>
          <t>DROP List CIDR: 1.31.80.222 | FireHOL L2 threat IP/CIDR | ASN: FireHOL-L2</t>
        </is>
      </c>
      <c r="D1740" t="n">
        <v>6</v>
      </c>
      <c r="E1740" t="inlineStr">
        <is>
          <t>MEDIUM</t>
        </is>
      </c>
      <c r="F1740" t="n">
        <v>2</v>
      </c>
      <c r="G1740" t="n">
        <v>2</v>
      </c>
      <c r="H1740" t="inlineStr">
        <is>
          <t>MEDIUM</t>
        </is>
      </c>
      <c r="I1740" t="n">
        <v>10</v>
      </c>
      <c r="J1740" t="inlineStr">
        <is>
          <t>NO</t>
        </is>
      </c>
      <c r="K1740" t="inlineStr">
        <is>
          <t>2026-02-26 00:15</t>
        </is>
      </c>
      <c r="L1740" t="inlineStr">
        <is>
          <t>Block CIDR</t>
        </is>
      </c>
      <c r="M1740" t="inlineStr">
        <is>
          <t>Firewall/Email</t>
        </is>
      </c>
      <c r="N1740" t="inlineStr">
        <is>
          <t>P4</t>
        </is>
      </c>
      <c r="O1740" t="inlineStr">
        <is>
          <t>Spamhaus - CIDR range</t>
        </is>
      </c>
      <c r="P1740" t="n">
        <v>0</v>
      </c>
      <c r="Q1740" t="n">
        <v>0</v>
      </c>
      <c r="R1740" t="inlineStr">
        <is>
          <t>T1566:Phishing | T1078:Valid Accounts</t>
        </is>
      </c>
      <c r="S1740" t="n">
        <v>1</v>
      </c>
      <c r="T1740" t="inlineStr">
        <is>
          <t>LOW (40%)</t>
        </is>
      </c>
      <c r="U1740" t="inlineStr">
        <is>
          <t>NONE</t>
        </is>
      </c>
      <c r="V1740" t="inlineStr">
        <is>
          <t>NONE</t>
        </is>
      </c>
      <c r="W1740" t="inlineStr">
        <is>
          <t>NONE</t>
        </is>
      </c>
      <c r="X1740" t="inlineStr">
        <is>
          <t>NONE</t>
        </is>
      </c>
      <c r="Y1740" t="n">
        <v>0</v>
      </c>
      <c r="Z1740" t="inlineStr"/>
      <c r="AA1740" t="inlineStr">
        <is>
          <t>https://www.spamhaus.org/drop/</t>
        </is>
      </c>
    </row>
    <row r="1741">
      <c r="A1741" t="inlineStr">
        <is>
          <t>FIREHOL_THREAT</t>
        </is>
      </c>
      <c r="B1741" t="inlineStr">
        <is>
          <t>74a3da35f7f1</t>
        </is>
      </c>
      <c r="C1741" t="inlineStr">
        <is>
          <t>DROP List CIDR: 1.34.219.246 | FireHOL L2 threat IP/CIDR | ASN: FireHOL-L2</t>
        </is>
      </c>
      <c r="D1741" t="n">
        <v>6</v>
      </c>
      <c r="E1741" t="inlineStr">
        <is>
          <t>MEDIUM</t>
        </is>
      </c>
      <c r="F1741" t="n">
        <v>2</v>
      </c>
      <c r="G1741" t="n">
        <v>2</v>
      </c>
      <c r="H1741" t="inlineStr">
        <is>
          <t>MEDIUM</t>
        </is>
      </c>
      <c r="I1741" t="n">
        <v>10</v>
      </c>
      <c r="J1741" t="inlineStr">
        <is>
          <t>NO</t>
        </is>
      </c>
      <c r="K1741" t="inlineStr">
        <is>
          <t>2026-02-26 00:15</t>
        </is>
      </c>
      <c r="L1741" t="inlineStr">
        <is>
          <t>Block CIDR</t>
        </is>
      </c>
      <c r="M1741" t="inlineStr">
        <is>
          <t>Firewall/Email</t>
        </is>
      </c>
      <c r="N1741" t="inlineStr">
        <is>
          <t>P4</t>
        </is>
      </c>
      <c r="O1741" t="inlineStr">
        <is>
          <t>Spamhaus - CIDR range</t>
        </is>
      </c>
      <c r="P1741" t="n">
        <v>0</v>
      </c>
      <c r="Q1741" t="n">
        <v>0</v>
      </c>
      <c r="R1741" t="inlineStr">
        <is>
          <t>T1566:Phishing | T1078:Valid Accounts</t>
        </is>
      </c>
      <c r="S1741" t="n">
        <v>1</v>
      </c>
      <c r="T1741" t="inlineStr">
        <is>
          <t>LOW (40%)</t>
        </is>
      </c>
      <c r="U1741" t="inlineStr">
        <is>
          <t>NONE</t>
        </is>
      </c>
      <c r="V1741" t="inlineStr">
        <is>
          <t>NONE</t>
        </is>
      </c>
      <c r="W1741" t="inlineStr">
        <is>
          <t>NONE</t>
        </is>
      </c>
      <c r="X1741" t="inlineStr">
        <is>
          <t>NONE</t>
        </is>
      </c>
      <c r="Y1741" t="n">
        <v>0</v>
      </c>
      <c r="Z1741" t="inlineStr"/>
      <c r="AA1741" t="inlineStr">
        <is>
          <t>https://www.spamhaus.org/drop/</t>
        </is>
      </c>
    </row>
    <row r="1742">
      <c r="A1742" t="inlineStr">
        <is>
          <t>FIREHOL_THREAT</t>
        </is>
      </c>
      <c r="B1742" t="inlineStr">
        <is>
          <t>8dc6aeadd95a</t>
        </is>
      </c>
      <c r="C1742" t="inlineStr">
        <is>
          <t>DROP List CIDR: 1.55.33.86 | FireHOL L2 threat IP/CIDR | ASN: FireHOL-L2</t>
        </is>
      </c>
      <c r="D1742" t="n">
        <v>6</v>
      </c>
      <c r="E1742" t="inlineStr">
        <is>
          <t>MEDIUM</t>
        </is>
      </c>
      <c r="F1742" t="n">
        <v>2</v>
      </c>
      <c r="G1742" t="n">
        <v>2</v>
      </c>
      <c r="H1742" t="inlineStr">
        <is>
          <t>MEDIUM</t>
        </is>
      </c>
      <c r="I1742" t="n">
        <v>10</v>
      </c>
      <c r="J1742" t="inlineStr">
        <is>
          <t>NO</t>
        </is>
      </c>
      <c r="K1742" t="inlineStr">
        <is>
          <t>2026-02-26 00:15</t>
        </is>
      </c>
      <c r="L1742" t="inlineStr">
        <is>
          <t>Block CIDR</t>
        </is>
      </c>
      <c r="M1742" t="inlineStr">
        <is>
          <t>Firewall/Email</t>
        </is>
      </c>
      <c r="N1742" t="inlineStr">
        <is>
          <t>P4</t>
        </is>
      </c>
      <c r="O1742" t="inlineStr">
        <is>
          <t>Spamhaus - CIDR range</t>
        </is>
      </c>
      <c r="P1742" t="n">
        <v>0</v>
      </c>
      <c r="Q1742" t="n">
        <v>0</v>
      </c>
      <c r="R1742" t="inlineStr">
        <is>
          <t>T1566:Phishing | T1078:Valid Accounts</t>
        </is>
      </c>
      <c r="S1742" t="n">
        <v>1</v>
      </c>
      <c r="T1742" t="inlineStr">
        <is>
          <t>LOW (40%)</t>
        </is>
      </c>
      <c r="U1742" t="inlineStr">
        <is>
          <t>NONE</t>
        </is>
      </c>
      <c r="V1742" t="inlineStr">
        <is>
          <t>NONE</t>
        </is>
      </c>
      <c r="W1742" t="inlineStr">
        <is>
          <t>NONE</t>
        </is>
      </c>
      <c r="X1742" t="inlineStr">
        <is>
          <t>NONE</t>
        </is>
      </c>
      <c r="Y1742" t="n">
        <v>0</v>
      </c>
      <c r="Z1742" t="inlineStr"/>
      <c r="AA1742" t="inlineStr">
        <is>
          <t>https://www.spamhaus.org/drop/</t>
        </is>
      </c>
    </row>
    <row r="1743">
      <c r="A1743" t="inlineStr">
        <is>
          <t>FIREHOL_THREAT</t>
        </is>
      </c>
      <c r="B1743" t="inlineStr">
        <is>
          <t>fba6f4c95a9c</t>
        </is>
      </c>
      <c r="C1743" t="inlineStr">
        <is>
          <t>DROP List CIDR: 1.62.89.39 | FireHOL L2 threat IP/CIDR | ASN: FireHOL-L2</t>
        </is>
      </c>
      <c r="D1743" t="n">
        <v>6</v>
      </c>
      <c r="E1743" t="inlineStr">
        <is>
          <t>MEDIUM</t>
        </is>
      </c>
      <c r="F1743" t="n">
        <v>2</v>
      </c>
      <c r="G1743" t="n">
        <v>2</v>
      </c>
      <c r="H1743" t="inlineStr">
        <is>
          <t>MEDIUM</t>
        </is>
      </c>
      <c r="I1743" t="n">
        <v>10</v>
      </c>
      <c r="J1743" t="inlineStr">
        <is>
          <t>NO</t>
        </is>
      </c>
      <c r="K1743" t="inlineStr">
        <is>
          <t>2026-02-26 00:15</t>
        </is>
      </c>
      <c r="L1743" t="inlineStr">
        <is>
          <t>Block CIDR</t>
        </is>
      </c>
      <c r="M1743" t="inlineStr">
        <is>
          <t>Firewall/Email</t>
        </is>
      </c>
      <c r="N1743" t="inlineStr">
        <is>
          <t>P4</t>
        </is>
      </c>
      <c r="O1743" t="inlineStr">
        <is>
          <t>Spamhaus - CIDR range</t>
        </is>
      </c>
      <c r="P1743" t="n">
        <v>0</v>
      </c>
      <c r="Q1743" t="n">
        <v>0</v>
      </c>
      <c r="R1743" t="inlineStr">
        <is>
          <t>T1566:Phishing | T1078:Valid Accounts</t>
        </is>
      </c>
      <c r="S1743" t="n">
        <v>1</v>
      </c>
      <c r="T1743" t="inlineStr">
        <is>
          <t>LOW (40%)</t>
        </is>
      </c>
      <c r="U1743" t="inlineStr">
        <is>
          <t>NONE</t>
        </is>
      </c>
      <c r="V1743" t="inlineStr">
        <is>
          <t>NONE</t>
        </is>
      </c>
      <c r="W1743" t="inlineStr">
        <is>
          <t>NONE</t>
        </is>
      </c>
      <c r="X1743" t="inlineStr">
        <is>
          <t>NONE</t>
        </is>
      </c>
      <c r="Y1743" t="n">
        <v>0</v>
      </c>
      <c r="Z1743" t="inlineStr"/>
      <c r="AA1743" t="inlineStr">
        <is>
          <t>https://www.spamhaus.org/drop/</t>
        </is>
      </c>
    </row>
    <row r="1744">
      <c r="A1744" t="inlineStr">
        <is>
          <t>FIREHOL_THREAT</t>
        </is>
      </c>
      <c r="B1744" t="inlineStr">
        <is>
          <t>b62e4a29d9bd</t>
        </is>
      </c>
      <c r="C1744" t="inlineStr">
        <is>
          <t>DROP List CIDR: 1.64.160.133 | FireHOL L2 threat IP/CIDR | ASN: FireHOL-L2</t>
        </is>
      </c>
      <c r="D1744" t="n">
        <v>6</v>
      </c>
      <c r="E1744" t="inlineStr">
        <is>
          <t>MEDIUM</t>
        </is>
      </c>
      <c r="F1744" t="n">
        <v>2</v>
      </c>
      <c r="G1744" t="n">
        <v>2</v>
      </c>
      <c r="H1744" t="inlineStr">
        <is>
          <t>MEDIUM</t>
        </is>
      </c>
      <c r="I1744" t="n">
        <v>10</v>
      </c>
      <c r="J1744" t="inlineStr">
        <is>
          <t>NO</t>
        </is>
      </c>
      <c r="K1744" t="inlineStr">
        <is>
          <t>2026-02-26 00:15</t>
        </is>
      </c>
      <c r="L1744" t="inlineStr">
        <is>
          <t>Block CIDR</t>
        </is>
      </c>
      <c r="M1744" t="inlineStr">
        <is>
          <t>Firewall/Email</t>
        </is>
      </c>
      <c r="N1744" t="inlineStr">
        <is>
          <t>P4</t>
        </is>
      </c>
      <c r="O1744" t="inlineStr">
        <is>
          <t>Spamhaus - CIDR range</t>
        </is>
      </c>
      <c r="P1744" t="n">
        <v>0</v>
      </c>
      <c r="Q1744" t="n">
        <v>0</v>
      </c>
      <c r="R1744" t="inlineStr">
        <is>
          <t>T1566:Phishing | T1078:Valid Accounts</t>
        </is>
      </c>
      <c r="S1744" t="n">
        <v>1</v>
      </c>
      <c r="T1744" t="inlineStr">
        <is>
          <t>LOW (40%)</t>
        </is>
      </c>
      <c r="U1744" t="inlineStr">
        <is>
          <t>NONE</t>
        </is>
      </c>
      <c r="V1744" t="inlineStr">
        <is>
          <t>NONE</t>
        </is>
      </c>
      <c r="W1744" t="inlineStr">
        <is>
          <t>NONE</t>
        </is>
      </c>
      <c r="X1744" t="inlineStr">
        <is>
          <t>NONE</t>
        </is>
      </c>
      <c r="Y1744" t="n">
        <v>0</v>
      </c>
      <c r="Z1744" t="inlineStr"/>
      <c r="AA1744" t="inlineStr">
        <is>
          <t>https://www.spamhaus.org/drop/</t>
        </is>
      </c>
    </row>
    <row r="1745">
      <c r="A1745" t="inlineStr">
        <is>
          <t>FIREHOL_THREAT</t>
        </is>
      </c>
      <c r="B1745" t="inlineStr">
        <is>
          <t>008a9291a602</t>
        </is>
      </c>
      <c r="C1745" t="inlineStr">
        <is>
          <t>DROP List CIDR: 1.82.135.154 | FireHOL L2 threat IP/CIDR | ASN: FireHOL-L2</t>
        </is>
      </c>
      <c r="D1745" t="n">
        <v>6</v>
      </c>
      <c r="E1745" t="inlineStr">
        <is>
          <t>MEDIUM</t>
        </is>
      </c>
      <c r="F1745" t="n">
        <v>2</v>
      </c>
      <c r="G1745" t="n">
        <v>2</v>
      </c>
      <c r="H1745" t="inlineStr">
        <is>
          <t>MEDIUM</t>
        </is>
      </c>
      <c r="I1745" t="n">
        <v>10</v>
      </c>
      <c r="J1745" t="inlineStr">
        <is>
          <t>NO</t>
        </is>
      </c>
      <c r="K1745" t="inlineStr">
        <is>
          <t>2026-02-26 00:15</t>
        </is>
      </c>
      <c r="L1745" t="inlineStr">
        <is>
          <t>Block CIDR</t>
        </is>
      </c>
      <c r="M1745" t="inlineStr">
        <is>
          <t>Firewall/Email</t>
        </is>
      </c>
      <c r="N1745" t="inlineStr">
        <is>
          <t>P4</t>
        </is>
      </c>
      <c r="O1745" t="inlineStr">
        <is>
          <t>Spamhaus - CIDR range</t>
        </is>
      </c>
      <c r="P1745" t="n">
        <v>0</v>
      </c>
      <c r="Q1745" t="n">
        <v>0</v>
      </c>
      <c r="R1745" t="inlineStr">
        <is>
          <t>T1566:Phishing | T1078:Valid Accounts</t>
        </is>
      </c>
      <c r="S1745" t="n">
        <v>1</v>
      </c>
      <c r="T1745" t="inlineStr">
        <is>
          <t>LOW (40%)</t>
        </is>
      </c>
      <c r="U1745" t="inlineStr">
        <is>
          <t>NONE</t>
        </is>
      </c>
      <c r="V1745" t="inlineStr">
        <is>
          <t>NONE</t>
        </is>
      </c>
      <c r="W1745" t="inlineStr">
        <is>
          <t>NONE</t>
        </is>
      </c>
      <c r="X1745" t="inlineStr">
        <is>
          <t>NONE</t>
        </is>
      </c>
      <c r="Y1745" t="n">
        <v>0</v>
      </c>
      <c r="Z1745" t="inlineStr"/>
      <c r="AA1745" t="inlineStr">
        <is>
          <t>https://www.spamhaus.org/drop/</t>
        </is>
      </c>
    </row>
    <row r="1746">
      <c r="A1746" t="inlineStr">
        <is>
          <t>FIREHOL_THREAT</t>
        </is>
      </c>
      <c r="B1746" t="inlineStr">
        <is>
          <t>5c4d9dca84ca</t>
        </is>
      </c>
      <c r="C1746" t="inlineStr">
        <is>
          <t>DROP List CIDR: 1.83.169.79 | FireHOL L2 threat IP/CIDR | ASN: FireHOL-L2</t>
        </is>
      </c>
      <c r="D1746" t="n">
        <v>6</v>
      </c>
      <c r="E1746" t="inlineStr">
        <is>
          <t>MEDIUM</t>
        </is>
      </c>
      <c r="F1746" t="n">
        <v>2</v>
      </c>
      <c r="G1746" t="n">
        <v>2</v>
      </c>
      <c r="H1746" t="inlineStr">
        <is>
          <t>MEDIUM</t>
        </is>
      </c>
      <c r="I1746" t="n">
        <v>10</v>
      </c>
      <c r="J1746" t="inlineStr">
        <is>
          <t>NO</t>
        </is>
      </c>
      <c r="K1746" t="inlineStr">
        <is>
          <t>2026-02-26 00:15</t>
        </is>
      </c>
      <c r="L1746" t="inlineStr">
        <is>
          <t>Block CIDR</t>
        </is>
      </c>
      <c r="M1746" t="inlineStr">
        <is>
          <t>Firewall/Email</t>
        </is>
      </c>
      <c r="N1746" t="inlineStr">
        <is>
          <t>P4</t>
        </is>
      </c>
      <c r="O1746" t="inlineStr">
        <is>
          <t>Spamhaus - CIDR range</t>
        </is>
      </c>
      <c r="P1746" t="n">
        <v>0</v>
      </c>
      <c r="Q1746" t="n">
        <v>0</v>
      </c>
      <c r="R1746" t="inlineStr">
        <is>
          <t>T1566:Phishing | T1078:Valid Accounts</t>
        </is>
      </c>
      <c r="S1746" t="n">
        <v>1</v>
      </c>
      <c r="T1746" t="inlineStr">
        <is>
          <t>LOW (40%)</t>
        </is>
      </c>
      <c r="U1746" t="inlineStr">
        <is>
          <t>NONE</t>
        </is>
      </c>
      <c r="V1746" t="inlineStr">
        <is>
          <t>NONE</t>
        </is>
      </c>
      <c r="W1746" t="inlineStr">
        <is>
          <t>NONE</t>
        </is>
      </c>
      <c r="X1746" t="inlineStr">
        <is>
          <t>NONE</t>
        </is>
      </c>
      <c r="Y1746" t="n">
        <v>0</v>
      </c>
      <c r="Z1746" t="inlineStr"/>
      <c r="AA1746" t="inlineStr">
        <is>
          <t>https://www.spamhaus.org/drop/</t>
        </is>
      </c>
    </row>
    <row r="1747">
      <c r="A1747" t="inlineStr">
        <is>
          <t>FIREHOL_THREAT</t>
        </is>
      </c>
      <c r="B1747" t="inlineStr">
        <is>
          <t>cfaf0f274d54</t>
        </is>
      </c>
      <c r="C1747" t="inlineStr">
        <is>
          <t>DROP List CIDR: 1.85.42.195 | FireHOL L2 threat IP/CIDR | ASN: FireHOL-L2</t>
        </is>
      </c>
      <c r="D1747" t="n">
        <v>6</v>
      </c>
      <c r="E1747" t="inlineStr">
        <is>
          <t>MEDIUM</t>
        </is>
      </c>
      <c r="F1747" t="n">
        <v>2</v>
      </c>
      <c r="G1747" t="n">
        <v>2</v>
      </c>
      <c r="H1747" t="inlineStr">
        <is>
          <t>MEDIUM</t>
        </is>
      </c>
      <c r="I1747" t="n">
        <v>10</v>
      </c>
      <c r="J1747" t="inlineStr">
        <is>
          <t>NO</t>
        </is>
      </c>
      <c r="K1747" t="inlineStr">
        <is>
          <t>2026-02-26 00:15</t>
        </is>
      </c>
      <c r="L1747" t="inlineStr">
        <is>
          <t>Block CIDR</t>
        </is>
      </c>
      <c r="M1747" t="inlineStr">
        <is>
          <t>Firewall/Email</t>
        </is>
      </c>
      <c r="N1747" t="inlineStr">
        <is>
          <t>P4</t>
        </is>
      </c>
      <c r="O1747" t="inlineStr">
        <is>
          <t>Spamhaus - CIDR range</t>
        </is>
      </c>
      <c r="P1747" t="n">
        <v>0</v>
      </c>
      <c r="Q1747" t="n">
        <v>0</v>
      </c>
      <c r="R1747" t="inlineStr">
        <is>
          <t>T1566:Phishing | T1078:Valid Accounts</t>
        </is>
      </c>
      <c r="S1747" t="n">
        <v>1</v>
      </c>
      <c r="T1747" t="inlineStr">
        <is>
          <t>LOW (40%)</t>
        </is>
      </c>
      <c r="U1747" t="inlineStr">
        <is>
          <t>NONE</t>
        </is>
      </c>
      <c r="V1747" t="inlineStr">
        <is>
          <t>NONE</t>
        </is>
      </c>
      <c r="W1747" t="inlineStr">
        <is>
          <t>NONE</t>
        </is>
      </c>
      <c r="X1747" t="inlineStr">
        <is>
          <t>NONE</t>
        </is>
      </c>
      <c r="Y1747" t="n">
        <v>0</v>
      </c>
      <c r="Z1747" t="inlineStr"/>
      <c r="AA1747" t="inlineStr">
        <is>
          <t>https://www.spamhaus.org/drop/</t>
        </is>
      </c>
    </row>
    <row r="1748">
      <c r="A1748" t="inlineStr">
        <is>
          <t>FIREHOL_THREAT</t>
        </is>
      </c>
      <c r="B1748" t="inlineStr">
        <is>
          <t>07c6179971a8</t>
        </is>
      </c>
      <c r="C1748" t="inlineStr">
        <is>
          <t>DROP List CIDR: 1.92.79.150 | FireHOL L2 threat IP/CIDR | ASN: FireHOL-L2</t>
        </is>
      </c>
      <c r="D1748" t="n">
        <v>6</v>
      </c>
      <c r="E1748" t="inlineStr">
        <is>
          <t>MEDIUM</t>
        </is>
      </c>
      <c r="F1748" t="n">
        <v>2</v>
      </c>
      <c r="G1748" t="n">
        <v>2</v>
      </c>
      <c r="H1748" t="inlineStr">
        <is>
          <t>MEDIUM</t>
        </is>
      </c>
      <c r="I1748" t="n">
        <v>10</v>
      </c>
      <c r="J1748" t="inlineStr">
        <is>
          <t>NO</t>
        </is>
      </c>
      <c r="K1748" t="inlineStr">
        <is>
          <t>2026-02-26 00:15</t>
        </is>
      </c>
      <c r="L1748" t="inlineStr">
        <is>
          <t>Block CIDR</t>
        </is>
      </c>
      <c r="M1748" t="inlineStr">
        <is>
          <t>Firewall/Email</t>
        </is>
      </c>
      <c r="N1748" t="inlineStr">
        <is>
          <t>P4</t>
        </is>
      </c>
      <c r="O1748" t="inlineStr">
        <is>
          <t>Spamhaus - CIDR range</t>
        </is>
      </c>
      <c r="P1748" t="n">
        <v>0</v>
      </c>
      <c r="Q1748" t="n">
        <v>0</v>
      </c>
      <c r="R1748" t="inlineStr">
        <is>
          <t>T1566:Phishing | T1078:Valid Accounts</t>
        </is>
      </c>
      <c r="S1748" t="n">
        <v>1</v>
      </c>
      <c r="T1748" t="inlineStr">
        <is>
          <t>LOW (40%)</t>
        </is>
      </c>
      <c r="U1748" t="inlineStr">
        <is>
          <t>NONE</t>
        </is>
      </c>
      <c r="V1748" t="inlineStr">
        <is>
          <t>NONE</t>
        </is>
      </c>
      <c r="W1748" t="inlineStr">
        <is>
          <t>NONE</t>
        </is>
      </c>
      <c r="X1748" t="inlineStr">
        <is>
          <t>NONE</t>
        </is>
      </c>
      <c r="Y1748" t="n">
        <v>0</v>
      </c>
      <c r="Z1748" t="inlineStr"/>
      <c r="AA1748" t="inlineStr">
        <is>
          <t>https://www.spamhaus.org/drop/</t>
        </is>
      </c>
    </row>
    <row r="1749">
      <c r="A1749" t="inlineStr">
        <is>
          <t>FIREHOL_THREAT</t>
        </is>
      </c>
      <c r="B1749" t="inlineStr">
        <is>
          <t>e8b551b81fc4</t>
        </is>
      </c>
      <c r="C1749" t="inlineStr">
        <is>
          <t>DROP List CIDR: 1.94.179.216 | FireHOL L2 threat IP/CIDR | ASN: FireHOL-L2</t>
        </is>
      </c>
      <c r="D1749" t="n">
        <v>6</v>
      </c>
      <c r="E1749" t="inlineStr">
        <is>
          <t>MEDIUM</t>
        </is>
      </c>
      <c r="F1749" t="n">
        <v>2</v>
      </c>
      <c r="G1749" t="n">
        <v>2</v>
      </c>
      <c r="H1749" t="inlineStr">
        <is>
          <t>MEDIUM</t>
        </is>
      </c>
      <c r="I1749" t="n">
        <v>10</v>
      </c>
      <c r="J1749" t="inlineStr">
        <is>
          <t>NO</t>
        </is>
      </c>
      <c r="K1749" t="inlineStr">
        <is>
          <t>2026-02-26 00:15</t>
        </is>
      </c>
      <c r="L1749" t="inlineStr">
        <is>
          <t>Block CIDR</t>
        </is>
      </c>
      <c r="M1749" t="inlineStr">
        <is>
          <t>Firewall/Email</t>
        </is>
      </c>
      <c r="N1749" t="inlineStr">
        <is>
          <t>P4</t>
        </is>
      </c>
      <c r="O1749" t="inlineStr">
        <is>
          <t>Spamhaus - CIDR range</t>
        </is>
      </c>
      <c r="P1749" t="n">
        <v>0</v>
      </c>
      <c r="Q1749" t="n">
        <v>0</v>
      </c>
      <c r="R1749" t="inlineStr">
        <is>
          <t>T1566:Phishing | T1078:Valid Accounts</t>
        </is>
      </c>
      <c r="S1749" t="n">
        <v>1</v>
      </c>
      <c r="T1749" t="inlineStr">
        <is>
          <t>LOW (40%)</t>
        </is>
      </c>
      <c r="U1749" t="inlineStr">
        <is>
          <t>NONE</t>
        </is>
      </c>
      <c r="V1749" t="inlineStr">
        <is>
          <t>NONE</t>
        </is>
      </c>
      <c r="W1749" t="inlineStr">
        <is>
          <t>NONE</t>
        </is>
      </c>
      <c r="X1749" t="inlineStr">
        <is>
          <t>NONE</t>
        </is>
      </c>
      <c r="Y1749" t="n">
        <v>0</v>
      </c>
      <c r="Z1749" t="inlineStr"/>
      <c r="AA1749" t="inlineStr">
        <is>
          <t>https://www.spamhaus.org/drop/</t>
        </is>
      </c>
    </row>
    <row r="1750">
      <c r="A1750" t="inlineStr">
        <is>
          <t>FIREHOL_THREAT</t>
        </is>
      </c>
      <c r="B1750" t="inlineStr">
        <is>
          <t>21608329d094</t>
        </is>
      </c>
      <c r="C1750" t="inlineStr">
        <is>
          <t>DROP List CIDR: 1.95.124.235 | FireHOL L2 threat IP/CIDR | ASN: FireHOL-L2</t>
        </is>
      </c>
      <c r="D1750" t="n">
        <v>6</v>
      </c>
      <c r="E1750" t="inlineStr">
        <is>
          <t>MEDIUM</t>
        </is>
      </c>
      <c r="F1750" t="n">
        <v>2</v>
      </c>
      <c r="G1750" t="n">
        <v>2</v>
      </c>
      <c r="H1750" t="inlineStr">
        <is>
          <t>MEDIUM</t>
        </is>
      </c>
      <c r="I1750" t="n">
        <v>10</v>
      </c>
      <c r="J1750" t="inlineStr">
        <is>
          <t>NO</t>
        </is>
      </c>
      <c r="K1750" t="inlineStr">
        <is>
          <t>2026-02-26 00:15</t>
        </is>
      </c>
      <c r="L1750" t="inlineStr">
        <is>
          <t>Block CIDR</t>
        </is>
      </c>
      <c r="M1750" t="inlineStr">
        <is>
          <t>Firewall/Email</t>
        </is>
      </c>
      <c r="N1750" t="inlineStr">
        <is>
          <t>P4</t>
        </is>
      </c>
      <c r="O1750" t="inlineStr">
        <is>
          <t>Spamhaus - CIDR range</t>
        </is>
      </c>
      <c r="P1750" t="n">
        <v>0</v>
      </c>
      <c r="Q1750" t="n">
        <v>0</v>
      </c>
      <c r="R1750" t="inlineStr">
        <is>
          <t>T1566:Phishing | T1078:Valid Accounts</t>
        </is>
      </c>
      <c r="S1750" t="n">
        <v>1</v>
      </c>
      <c r="T1750" t="inlineStr">
        <is>
          <t>LOW (40%)</t>
        </is>
      </c>
      <c r="U1750" t="inlineStr">
        <is>
          <t>NONE</t>
        </is>
      </c>
      <c r="V1750" t="inlineStr">
        <is>
          <t>NONE</t>
        </is>
      </c>
      <c r="W1750" t="inlineStr">
        <is>
          <t>NONE</t>
        </is>
      </c>
      <c r="X1750" t="inlineStr">
        <is>
          <t>NONE</t>
        </is>
      </c>
      <c r="Y1750" t="n">
        <v>0</v>
      </c>
      <c r="Z1750" t="inlineStr"/>
      <c r="AA1750" t="inlineStr">
        <is>
          <t>https://www.spamhaus.org/drop/</t>
        </is>
      </c>
    </row>
    <row r="1751">
      <c r="A1751" t="inlineStr">
        <is>
          <t>FIREHOL_THREAT</t>
        </is>
      </c>
      <c r="B1751" t="inlineStr">
        <is>
          <t>2f0cae4d1445</t>
        </is>
      </c>
      <c r="C1751" t="inlineStr">
        <is>
          <t>DROP List CIDR: 1.165.130.253 | FireHOL L2 threat IP/CIDR | ASN: FireHOL-L2</t>
        </is>
      </c>
      <c r="D1751" t="n">
        <v>6</v>
      </c>
      <c r="E1751" t="inlineStr">
        <is>
          <t>MEDIUM</t>
        </is>
      </c>
      <c r="F1751" t="n">
        <v>2</v>
      </c>
      <c r="G1751" t="n">
        <v>2</v>
      </c>
      <c r="H1751" t="inlineStr">
        <is>
          <t>MEDIUM</t>
        </is>
      </c>
      <c r="I1751" t="n">
        <v>10</v>
      </c>
      <c r="J1751" t="inlineStr">
        <is>
          <t>NO</t>
        </is>
      </c>
      <c r="K1751" t="inlineStr">
        <is>
          <t>2026-02-26 00:15</t>
        </is>
      </c>
      <c r="L1751" t="inlineStr">
        <is>
          <t>Block CIDR</t>
        </is>
      </c>
      <c r="M1751" t="inlineStr">
        <is>
          <t>Firewall/Email</t>
        </is>
      </c>
      <c r="N1751" t="inlineStr">
        <is>
          <t>P4</t>
        </is>
      </c>
      <c r="O1751" t="inlineStr">
        <is>
          <t>Spamhaus - CIDR range</t>
        </is>
      </c>
      <c r="P1751" t="n">
        <v>0</v>
      </c>
      <c r="Q1751" t="n">
        <v>0</v>
      </c>
      <c r="R1751" t="inlineStr">
        <is>
          <t>T1566:Phishing | T1078:Valid Accounts</t>
        </is>
      </c>
      <c r="S1751" t="n">
        <v>1</v>
      </c>
      <c r="T1751" t="inlineStr">
        <is>
          <t>LOW (40%)</t>
        </is>
      </c>
      <c r="U1751" t="inlineStr">
        <is>
          <t>NONE</t>
        </is>
      </c>
      <c r="V1751" t="inlineStr">
        <is>
          <t>NONE</t>
        </is>
      </c>
      <c r="W1751" t="inlineStr">
        <is>
          <t>NONE</t>
        </is>
      </c>
      <c r="X1751" t="inlineStr">
        <is>
          <t>NONE</t>
        </is>
      </c>
      <c r="Y1751" t="n">
        <v>0</v>
      </c>
      <c r="Z1751" t="inlineStr"/>
      <c r="AA1751" t="inlineStr">
        <is>
          <t>https://www.spamhaus.org/drop/</t>
        </is>
      </c>
    </row>
    <row r="1752">
      <c r="A1752" t="inlineStr">
        <is>
          <t>FIREHOL_THREAT</t>
        </is>
      </c>
      <c r="B1752" t="inlineStr">
        <is>
          <t>3ef74e21375a</t>
        </is>
      </c>
      <c r="C1752" t="inlineStr">
        <is>
          <t>DROP List CIDR: 1.168.156.32 | FireHOL L2 threat IP/CIDR | ASN: FireHOL-L2</t>
        </is>
      </c>
      <c r="D1752" t="n">
        <v>6</v>
      </c>
      <c r="E1752" t="inlineStr">
        <is>
          <t>MEDIUM</t>
        </is>
      </c>
      <c r="F1752" t="n">
        <v>2</v>
      </c>
      <c r="G1752" t="n">
        <v>2</v>
      </c>
      <c r="H1752" t="inlineStr">
        <is>
          <t>MEDIUM</t>
        </is>
      </c>
      <c r="I1752" t="n">
        <v>10</v>
      </c>
      <c r="J1752" t="inlineStr">
        <is>
          <t>NO</t>
        </is>
      </c>
      <c r="K1752" t="inlineStr">
        <is>
          <t>2026-02-26 00:15</t>
        </is>
      </c>
      <c r="L1752" t="inlineStr">
        <is>
          <t>Block CIDR</t>
        </is>
      </c>
      <c r="M1752" t="inlineStr">
        <is>
          <t>Firewall/Email</t>
        </is>
      </c>
      <c r="N1752" t="inlineStr">
        <is>
          <t>P4</t>
        </is>
      </c>
      <c r="O1752" t="inlineStr">
        <is>
          <t>Spamhaus - CIDR range</t>
        </is>
      </c>
      <c r="P1752" t="n">
        <v>0</v>
      </c>
      <c r="Q1752" t="n">
        <v>0</v>
      </c>
      <c r="R1752" t="inlineStr">
        <is>
          <t>T1566:Phishing | T1078:Valid Accounts</t>
        </is>
      </c>
      <c r="S1752" t="n">
        <v>1</v>
      </c>
      <c r="T1752" t="inlineStr">
        <is>
          <t>LOW (40%)</t>
        </is>
      </c>
      <c r="U1752" t="inlineStr">
        <is>
          <t>NONE</t>
        </is>
      </c>
      <c r="V1752" t="inlineStr">
        <is>
          <t>NONE</t>
        </is>
      </c>
      <c r="W1752" t="inlineStr">
        <is>
          <t>NONE</t>
        </is>
      </c>
      <c r="X1752" t="inlineStr">
        <is>
          <t>NONE</t>
        </is>
      </c>
      <c r="Y1752" t="n">
        <v>0</v>
      </c>
      <c r="Z1752" t="inlineStr"/>
      <c r="AA1752" t="inlineStr">
        <is>
          <t>https://www.spamhaus.org/drop/</t>
        </is>
      </c>
    </row>
    <row r="1753">
      <c r="A1753" t="inlineStr">
        <is>
          <t>FIREHOL_THREAT</t>
        </is>
      </c>
      <c r="B1753" t="inlineStr">
        <is>
          <t>2fbdd1028b90</t>
        </is>
      </c>
      <c r="C1753" t="inlineStr">
        <is>
          <t>DROP List CIDR: 1.183.3.58 | FireHOL L2 threat IP/CIDR | ASN: FireHOL-L2</t>
        </is>
      </c>
      <c r="D1753" t="n">
        <v>6</v>
      </c>
      <c r="E1753" t="inlineStr">
        <is>
          <t>MEDIUM</t>
        </is>
      </c>
      <c r="F1753" t="n">
        <v>2</v>
      </c>
      <c r="G1753" t="n">
        <v>2</v>
      </c>
      <c r="H1753" t="inlineStr">
        <is>
          <t>MEDIUM</t>
        </is>
      </c>
      <c r="I1753" t="n">
        <v>10</v>
      </c>
      <c r="J1753" t="inlineStr">
        <is>
          <t>NO</t>
        </is>
      </c>
      <c r="K1753" t="inlineStr">
        <is>
          <t>2026-02-26 00:15</t>
        </is>
      </c>
      <c r="L1753" t="inlineStr">
        <is>
          <t>Block CIDR</t>
        </is>
      </c>
      <c r="M1753" t="inlineStr">
        <is>
          <t>Firewall/Email</t>
        </is>
      </c>
      <c r="N1753" t="inlineStr">
        <is>
          <t>P4</t>
        </is>
      </c>
      <c r="O1753" t="inlineStr">
        <is>
          <t>Spamhaus - CIDR range</t>
        </is>
      </c>
      <c r="P1753" t="n">
        <v>0</v>
      </c>
      <c r="Q1753" t="n">
        <v>0</v>
      </c>
      <c r="R1753" t="inlineStr">
        <is>
          <t>T1566:Phishing | T1078:Valid Accounts</t>
        </is>
      </c>
      <c r="S1753" t="n">
        <v>1</v>
      </c>
      <c r="T1753" t="inlineStr">
        <is>
          <t>LOW (40%)</t>
        </is>
      </c>
      <c r="U1753" t="inlineStr">
        <is>
          <t>NONE</t>
        </is>
      </c>
      <c r="V1753" t="inlineStr">
        <is>
          <t>NONE</t>
        </is>
      </c>
      <c r="W1753" t="inlineStr">
        <is>
          <t>NONE</t>
        </is>
      </c>
      <c r="X1753" t="inlineStr">
        <is>
          <t>NONE</t>
        </is>
      </c>
      <c r="Y1753" t="n">
        <v>0</v>
      </c>
      <c r="Z1753" t="inlineStr"/>
      <c r="AA1753" t="inlineStr">
        <is>
          <t>https://www.spamhaus.org/drop/</t>
        </is>
      </c>
    </row>
    <row r="1754">
      <c r="A1754" t="inlineStr">
        <is>
          <t>FIREHOL_THREAT</t>
        </is>
      </c>
      <c r="B1754" t="inlineStr">
        <is>
          <t>9fdfa884d26a</t>
        </is>
      </c>
      <c r="C1754" t="inlineStr">
        <is>
          <t>DROP List CIDR: 1.193.163.2 | FireHOL L2 threat IP/CIDR | ASN: FireHOL-L2</t>
        </is>
      </c>
      <c r="D1754" t="n">
        <v>6</v>
      </c>
      <c r="E1754" t="inlineStr">
        <is>
          <t>MEDIUM</t>
        </is>
      </c>
      <c r="F1754" t="n">
        <v>2</v>
      </c>
      <c r="G1754" t="n">
        <v>2</v>
      </c>
      <c r="H1754" t="inlineStr">
        <is>
          <t>MEDIUM</t>
        </is>
      </c>
      <c r="I1754" t="n">
        <v>10</v>
      </c>
      <c r="J1754" t="inlineStr">
        <is>
          <t>NO</t>
        </is>
      </c>
      <c r="K1754" t="inlineStr">
        <is>
          <t>2026-02-26 00:15</t>
        </is>
      </c>
      <c r="L1754" t="inlineStr">
        <is>
          <t>Block CIDR</t>
        </is>
      </c>
      <c r="M1754" t="inlineStr">
        <is>
          <t>Firewall/Email</t>
        </is>
      </c>
      <c r="N1754" t="inlineStr">
        <is>
          <t>P4</t>
        </is>
      </c>
      <c r="O1754" t="inlineStr">
        <is>
          <t>Spamhaus - CIDR range</t>
        </is>
      </c>
      <c r="P1754" t="n">
        <v>0</v>
      </c>
      <c r="Q1754" t="n">
        <v>0</v>
      </c>
      <c r="R1754" t="inlineStr">
        <is>
          <t>T1566:Phishing | T1078:Valid Accounts</t>
        </is>
      </c>
      <c r="S1754" t="n">
        <v>1</v>
      </c>
      <c r="T1754" t="inlineStr">
        <is>
          <t>LOW (40%)</t>
        </is>
      </c>
      <c r="U1754" t="inlineStr">
        <is>
          <t>NONE</t>
        </is>
      </c>
      <c r="V1754" t="inlineStr">
        <is>
          <t>NONE</t>
        </is>
      </c>
      <c r="W1754" t="inlineStr">
        <is>
          <t>NONE</t>
        </is>
      </c>
      <c r="X1754" t="inlineStr">
        <is>
          <t>NONE</t>
        </is>
      </c>
      <c r="Y1754" t="n">
        <v>0</v>
      </c>
      <c r="Z1754" t="inlineStr"/>
      <c r="AA1754" t="inlineStr">
        <is>
          <t>https://www.spamhaus.org/drop/</t>
        </is>
      </c>
    </row>
    <row r="1755">
      <c r="A1755" t="inlineStr">
        <is>
          <t>UBUNTU_SEC</t>
        </is>
      </c>
      <c r="B1755" t="inlineStr">
        <is>
          <t>USN-8064-1</t>
        </is>
      </c>
      <c r="C1755" t="inlineStr">
        <is>
          <t>USN-8064-1: MongoDB vulnerabilities | Eliot Horowitz discovered that MongoDB may fail to validate some instances of malformed BSON. A remote attacker could possibly use this issue to cause MongoDB to crash, resulting in a denial of servic</t>
        </is>
      </c>
      <c r="D1755" t="n">
        <v>6.5</v>
      </c>
      <c r="E1755" t="inlineStr">
        <is>
          <t>MEDIUM</t>
        </is>
      </c>
      <c r="F1755" t="n">
        <v>2</v>
      </c>
      <c r="G1755" t="n">
        <v>2</v>
      </c>
      <c r="H1755" t="inlineStr">
        <is>
          <t>MEDIUM</t>
        </is>
      </c>
      <c r="I1755" t="n">
        <v>10.5</v>
      </c>
      <c r="J1755" t="inlineStr">
        <is>
          <t>NO</t>
        </is>
      </c>
      <c r="K1755" t="inlineStr">
        <is>
          <t>2026-02-25</t>
        </is>
      </c>
      <c r="L1755" t="inlineStr">
        <is>
          <t>YES</t>
        </is>
      </c>
      <c r="M1755" t="inlineStr">
        <is>
          <t>Ubuntu Linux</t>
        </is>
      </c>
      <c r="N1755" t="inlineStr">
        <is>
          <t>P4</t>
        </is>
      </c>
      <c r="O1755" t="inlineStr">
        <is>
          <t>Ubuntu advisory - no IP context</t>
        </is>
      </c>
      <c r="P1755" t="n">
        <v>0</v>
      </c>
      <c r="Q1755" t="n">
        <v>0</v>
      </c>
      <c r="R1755" t="inlineStr">
        <is>
          <t>T1068:Exploitation for Privilege Escalation</t>
        </is>
      </c>
      <c r="S1755" t="n">
        <v>1</v>
      </c>
      <c r="T1755" t="inlineStr">
        <is>
          <t>LOW (40%)</t>
        </is>
      </c>
      <c r="U1755" t="inlineStr">
        <is>
          <t>CHECK_USN</t>
        </is>
      </c>
      <c r="V1755" t="inlineStr">
        <is>
          <t>YES</t>
        </is>
      </c>
      <c r="W1755" t="inlineStr">
        <is>
          <t>https://ubuntu.com/security/notices/USN-8064-1</t>
        </is>
      </c>
      <c r="X1755" t="inlineStr">
        <is>
          <t>NONE</t>
        </is>
      </c>
      <c r="Y1755" t="n">
        <v>0</v>
      </c>
      <c r="Z1755" t="inlineStr"/>
      <c r="AA1755" t="inlineStr">
        <is>
          <t>https://ubuntu.com/security/notices/USN-8064-1</t>
        </is>
      </c>
    </row>
    <row r="1756">
      <c r="A1756" t="inlineStr">
        <is>
          <t>UBUNTU_SEC</t>
        </is>
      </c>
      <c r="B1756" t="inlineStr">
        <is>
          <t>USN-5376-4</t>
        </is>
      </c>
      <c r="C1756" t="inlineStr">
        <is>
          <t>USN-5376-4: Git regression | USN-5376-1 fixed a vulnerability in Git. It was discovered that the safety checks introduced in the update were not able to be set using the command line, contrary to expectations. This update fixes t</t>
        </is>
      </c>
      <c r="D1756" t="n">
        <v>6.5</v>
      </c>
      <c r="E1756" t="inlineStr">
        <is>
          <t>MEDIUM</t>
        </is>
      </c>
      <c r="F1756" t="n">
        <v>2</v>
      </c>
      <c r="G1756" t="n">
        <v>2</v>
      </c>
      <c r="H1756" t="inlineStr">
        <is>
          <t>MEDIUM</t>
        </is>
      </c>
      <c r="I1756" t="n">
        <v>10.5</v>
      </c>
      <c r="J1756" t="inlineStr">
        <is>
          <t>NO</t>
        </is>
      </c>
      <c r="K1756" t="inlineStr">
        <is>
          <t>2026-02-25</t>
        </is>
      </c>
      <c r="L1756" t="inlineStr">
        <is>
          <t>YES</t>
        </is>
      </c>
      <c r="M1756" t="inlineStr">
        <is>
          <t>Ubuntu Linux</t>
        </is>
      </c>
      <c r="N1756" t="inlineStr">
        <is>
          <t>P4</t>
        </is>
      </c>
      <c r="O1756" t="inlineStr">
        <is>
          <t>Ubuntu advisory - no IP context</t>
        </is>
      </c>
      <c r="P1756" t="n">
        <v>0</v>
      </c>
      <c r="Q1756" t="n">
        <v>0</v>
      </c>
      <c r="R1756" t="inlineStr">
        <is>
          <t>T1068:Exploitation for Privilege Escalation</t>
        </is>
      </c>
      <c r="S1756" t="n">
        <v>1</v>
      </c>
      <c r="T1756" t="inlineStr">
        <is>
          <t>LOW (40%)</t>
        </is>
      </c>
      <c r="U1756" t="inlineStr">
        <is>
          <t>CHECK_USN</t>
        </is>
      </c>
      <c r="V1756" t="inlineStr">
        <is>
          <t>YES</t>
        </is>
      </c>
      <c r="W1756" t="inlineStr">
        <is>
          <t>https://ubuntu.com/security/notices/USN-5376-4</t>
        </is>
      </c>
      <c r="X1756" t="inlineStr">
        <is>
          <t>NONE</t>
        </is>
      </c>
      <c r="Y1756" t="n">
        <v>0</v>
      </c>
      <c r="Z1756" t="inlineStr"/>
      <c r="AA1756" t="inlineStr">
        <is>
          <t>https://ubuntu.com/security/notices/USN-5376-4</t>
        </is>
      </c>
    </row>
    <row r="1757">
      <c r="A1757" t="inlineStr">
        <is>
          <t>UBUNTU_SEC</t>
        </is>
      </c>
      <c r="B1757" t="inlineStr">
        <is>
          <t>USN-8063-1</t>
        </is>
      </c>
      <c r="C1757" t="inlineStr">
        <is>
          <t>USN-8063-1: Protocol Buffers vulnerability | It was discovered that Protocol Buffers incorrectly handled recursion when the Python google.protobuf.json_format.ParseDict() function is being used. An attacker could possibly use this issue to cause</t>
        </is>
      </c>
      <c r="D1757" t="n">
        <v>6.5</v>
      </c>
      <c r="E1757" t="inlineStr">
        <is>
          <t>MEDIUM</t>
        </is>
      </c>
      <c r="F1757" t="n">
        <v>2</v>
      </c>
      <c r="G1757" t="n">
        <v>2</v>
      </c>
      <c r="H1757" t="inlineStr">
        <is>
          <t>MEDIUM</t>
        </is>
      </c>
      <c r="I1757" t="n">
        <v>10.5</v>
      </c>
      <c r="J1757" t="inlineStr">
        <is>
          <t>NO</t>
        </is>
      </c>
      <c r="K1757" t="inlineStr">
        <is>
          <t>2026-02-25</t>
        </is>
      </c>
      <c r="L1757" t="inlineStr">
        <is>
          <t>YES</t>
        </is>
      </c>
      <c r="M1757" t="inlineStr">
        <is>
          <t>Ubuntu Linux</t>
        </is>
      </c>
      <c r="N1757" t="inlineStr">
        <is>
          <t>P4</t>
        </is>
      </c>
      <c r="O1757" t="inlineStr">
        <is>
          <t>Ubuntu advisory - no IP context</t>
        </is>
      </c>
      <c r="P1757" t="n">
        <v>0</v>
      </c>
      <c r="Q1757" t="n">
        <v>0</v>
      </c>
      <c r="R1757" t="inlineStr">
        <is>
          <t>T1068:Exploitation for Privilege Escalation</t>
        </is>
      </c>
      <c r="S1757" t="n">
        <v>1</v>
      </c>
      <c r="T1757" t="inlineStr">
        <is>
          <t>LOW (40%)</t>
        </is>
      </c>
      <c r="U1757" t="inlineStr">
        <is>
          <t>CHECK_USN</t>
        </is>
      </c>
      <c r="V1757" t="inlineStr">
        <is>
          <t>YES</t>
        </is>
      </c>
      <c r="W1757" t="inlineStr">
        <is>
          <t>https://ubuntu.com/security/notices/USN-8063-1</t>
        </is>
      </c>
      <c r="X1757" t="inlineStr">
        <is>
          <t>NONE</t>
        </is>
      </c>
      <c r="Y1757" t="n">
        <v>0</v>
      </c>
      <c r="Z1757" t="inlineStr"/>
      <c r="AA1757" t="inlineStr">
        <is>
          <t>https://ubuntu.com/security/notices/USN-8063-1</t>
        </is>
      </c>
    </row>
    <row r="1758">
      <c r="A1758" t="inlineStr">
        <is>
          <t>UBUNTU_SEC</t>
        </is>
      </c>
      <c r="B1758" t="inlineStr">
        <is>
          <t>USN-8060-4</t>
        </is>
      </c>
      <c r="C1758" t="inlineStr">
        <is>
          <t>USN-8060-4: Linux kernel (FIPS) vulnerabilities | Several security issues were discovered in the Linux kernel. An attacker could possibly use these to compromise the system. This update corrects flaws in the following subsystems: - GPU drivers; - MMC</t>
        </is>
      </c>
      <c r="D1758" t="n">
        <v>6.5</v>
      </c>
      <c r="E1758" t="inlineStr">
        <is>
          <t>MEDIUM</t>
        </is>
      </c>
      <c r="F1758" t="n">
        <v>2</v>
      </c>
      <c r="G1758" t="n">
        <v>2</v>
      </c>
      <c r="H1758" t="inlineStr">
        <is>
          <t>MEDIUM</t>
        </is>
      </c>
      <c r="I1758" t="n">
        <v>10.5</v>
      </c>
      <c r="J1758" t="inlineStr">
        <is>
          <t>NO</t>
        </is>
      </c>
      <c r="K1758" t="inlineStr">
        <is>
          <t>2026-02-25</t>
        </is>
      </c>
      <c r="L1758" t="inlineStr">
        <is>
          <t>YES</t>
        </is>
      </c>
      <c r="M1758" t="inlineStr">
        <is>
          <t>Ubuntu Linux</t>
        </is>
      </c>
      <c r="N1758" t="inlineStr">
        <is>
          <t>P4</t>
        </is>
      </c>
      <c r="O1758" t="inlineStr">
        <is>
          <t>Ubuntu advisory - no IP context</t>
        </is>
      </c>
      <c r="P1758" t="n">
        <v>0</v>
      </c>
      <c r="Q1758" t="n">
        <v>0</v>
      </c>
      <c r="R1758" t="inlineStr">
        <is>
          <t>T1068:Exploitation for Privilege Escalation</t>
        </is>
      </c>
      <c r="S1758" t="n">
        <v>1</v>
      </c>
      <c r="T1758" t="inlineStr">
        <is>
          <t>LOW (40%)</t>
        </is>
      </c>
      <c r="U1758" t="inlineStr">
        <is>
          <t>CHECK_USN</t>
        </is>
      </c>
      <c r="V1758" t="inlineStr">
        <is>
          <t>YES</t>
        </is>
      </c>
      <c r="W1758" t="inlineStr">
        <is>
          <t>https://ubuntu.com/security/notices/USN-8060-4</t>
        </is>
      </c>
      <c r="X1758" t="inlineStr">
        <is>
          <t>NONE</t>
        </is>
      </c>
      <c r="Y1758" t="n">
        <v>0</v>
      </c>
      <c r="Z1758" t="inlineStr"/>
      <c r="AA1758" t="inlineStr">
        <is>
          <t>https://ubuntu.com/security/notices/USN-8060-4</t>
        </is>
      </c>
    </row>
    <row r="1759">
      <c r="A1759" t="inlineStr">
        <is>
          <t>UBUNTU_SEC</t>
        </is>
      </c>
      <c r="B1759" t="inlineStr">
        <is>
          <t>USN-8059-5</t>
        </is>
      </c>
      <c r="C1759" t="inlineStr">
        <is>
          <t>USN-8059-5: Linux kernel (FIPS) vulnerabilities | Several security issues were discovered in the Linux kernel. An attacker could possibly use these to compromise the system. This update corrects flaws in the following subsystems: - SMB network file s</t>
        </is>
      </c>
      <c r="D1759" t="n">
        <v>6.5</v>
      </c>
      <c r="E1759" t="inlineStr">
        <is>
          <t>MEDIUM</t>
        </is>
      </c>
      <c r="F1759" t="n">
        <v>2</v>
      </c>
      <c r="G1759" t="n">
        <v>2</v>
      </c>
      <c r="H1759" t="inlineStr">
        <is>
          <t>MEDIUM</t>
        </is>
      </c>
      <c r="I1759" t="n">
        <v>10.5</v>
      </c>
      <c r="J1759" t="inlineStr">
        <is>
          <t>NO</t>
        </is>
      </c>
      <c r="K1759" t="inlineStr">
        <is>
          <t>2026-02-25</t>
        </is>
      </c>
      <c r="L1759" t="inlineStr">
        <is>
          <t>YES</t>
        </is>
      </c>
      <c r="M1759" t="inlineStr">
        <is>
          <t>Ubuntu Linux</t>
        </is>
      </c>
      <c r="N1759" t="inlineStr">
        <is>
          <t>P4</t>
        </is>
      </c>
      <c r="O1759" t="inlineStr">
        <is>
          <t>Ubuntu advisory - no IP context</t>
        </is>
      </c>
      <c r="P1759" t="n">
        <v>0</v>
      </c>
      <c r="Q1759" t="n">
        <v>0</v>
      </c>
      <c r="R1759" t="inlineStr">
        <is>
          <t>T1068:Exploitation for Privilege Escalation</t>
        </is>
      </c>
      <c r="S1759" t="n">
        <v>1</v>
      </c>
      <c r="T1759" t="inlineStr">
        <is>
          <t>LOW (40%)</t>
        </is>
      </c>
      <c r="U1759" t="inlineStr">
        <is>
          <t>CHECK_USN</t>
        </is>
      </c>
      <c r="V1759" t="inlineStr">
        <is>
          <t>YES</t>
        </is>
      </c>
      <c r="W1759" t="inlineStr">
        <is>
          <t>https://ubuntu.com/security/notices/USN-8059-5</t>
        </is>
      </c>
      <c r="X1759" t="inlineStr">
        <is>
          <t>NONE</t>
        </is>
      </c>
      <c r="Y1759" t="n">
        <v>0</v>
      </c>
      <c r="Z1759" t="inlineStr"/>
      <c r="AA1759" t="inlineStr">
        <is>
          <t>https://ubuntu.com/security/notices/USN-8059-5</t>
        </is>
      </c>
    </row>
    <row r="1760">
      <c r="A1760" t="inlineStr">
        <is>
          <t>UBUNTU_SEC</t>
        </is>
      </c>
      <c r="B1760" t="inlineStr">
        <is>
          <t>USN-8059-4</t>
        </is>
      </c>
      <c r="C1760" t="inlineStr">
        <is>
          <t>USN-8059-4: Linux kernel (Real-time) vulnerabilities | Several security issues were discovered in the Linux kernel. An attacker could possibly use these to compromise the system. This update corrects flaws in the following subsystems: - SMB network file s</t>
        </is>
      </c>
      <c r="D1760" t="n">
        <v>6.5</v>
      </c>
      <c r="E1760" t="inlineStr">
        <is>
          <t>MEDIUM</t>
        </is>
      </c>
      <c r="F1760" t="n">
        <v>2</v>
      </c>
      <c r="G1760" t="n">
        <v>2</v>
      </c>
      <c r="H1760" t="inlineStr">
        <is>
          <t>MEDIUM</t>
        </is>
      </c>
      <c r="I1760" t="n">
        <v>10.5</v>
      </c>
      <c r="J1760" t="inlineStr">
        <is>
          <t>NO</t>
        </is>
      </c>
      <c r="K1760" t="inlineStr">
        <is>
          <t>2026-02-25</t>
        </is>
      </c>
      <c r="L1760" t="inlineStr">
        <is>
          <t>YES</t>
        </is>
      </c>
      <c r="M1760" t="inlineStr">
        <is>
          <t>Ubuntu Linux</t>
        </is>
      </c>
      <c r="N1760" t="inlineStr">
        <is>
          <t>P4</t>
        </is>
      </c>
      <c r="O1760" t="inlineStr">
        <is>
          <t>Ubuntu advisory - no IP context</t>
        </is>
      </c>
      <c r="P1760" t="n">
        <v>0</v>
      </c>
      <c r="Q1760" t="n">
        <v>0</v>
      </c>
      <c r="R1760" t="inlineStr">
        <is>
          <t>T1068:Exploitation for Privilege Escalation</t>
        </is>
      </c>
      <c r="S1760" t="n">
        <v>1</v>
      </c>
      <c r="T1760" t="inlineStr">
        <is>
          <t>LOW (40%)</t>
        </is>
      </c>
      <c r="U1760" t="inlineStr">
        <is>
          <t>CHECK_USN</t>
        </is>
      </c>
      <c r="V1760" t="inlineStr">
        <is>
          <t>YES</t>
        </is>
      </c>
      <c r="W1760" t="inlineStr">
        <is>
          <t>https://ubuntu.com/security/notices/USN-8059-4</t>
        </is>
      </c>
      <c r="X1760" t="inlineStr">
        <is>
          <t>NONE</t>
        </is>
      </c>
      <c r="Y1760" t="n">
        <v>0</v>
      </c>
      <c r="Z1760" t="inlineStr"/>
      <c r="AA1760" t="inlineStr">
        <is>
          <t>https://ubuntu.com/security/notices/USN-8059-4</t>
        </is>
      </c>
    </row>
    <row r="1761">
      <c r="A1761" t="inlineStr">
        <is>
          <t>UBUNTU_SEC</t>
        </is>
      </c>
      <c r="B1761" t="inlineStr">
        <is>
          <t>USN-8059-3</t>
        </is>
      </c>
      <c r="C1761" t="inlineStr">
        <is>
          <t>USN-8059-3: Linux kernel vulnerabilities | Several security issues were discovered in the Linux kernel. An attacker could possibly use these to compromise the system. This update corrects flaws in the following subsystems: - SMB network file s</t>
        </is>
      </c>
      <c r="D1761" t="n">
        <v>6.5</v>
      </c>
      <c r="E1761" t="inlineStr">
        <is>
          <t>MEDIUM</t>
        </is>
      </c>
      <c r="F1761" t="n">
        <v>2</v>
      </c>
      <c r="G1761" t="n">
        <v>2</v>
      </c>
      <c r="H1761" t="inlineStr">
        <is>
          <t>MEDIUM</t>
        </is>
      </c>
      <c r="I1761" t="n">
        <v>10.5</v>
      </c>
      <c r="J1761" t="inlineStr">
        <is>
          <t>NO</t>
        </is>
      </c>
      <c r="K1761" t="inlineStr">
        <is>
          <t>2026-02-25</t>
        </is>
      </c>
      <c r="L1761" t="inlineStr">
        <is>
          <t>YES</t>
        </is>
      </c>
      <c r="M1761" t="inlineStr">
        <is>
          <t>Ubuntu Linux</t>
        </is>
      </c>
      <c r="N1761" t="inlineStr">
        <is>
          <t>P4</t>
        </is>
      </c>
      <c r="O1761" t="inlineStr">
        <is>
          <t>Ubuntu advisory - no IP context</t>
        </is>
      </c>
      <c r="P1761" t="n">
        <v>0</v>
      </c>
      <c r="Q1761" t="n">
        <v>0</v>
      </c>
      <c r="R1761" t="inlineStr">
        <is>
          <t>T1068:Exploitation for Privilege Escalation</t>
        </is>
      </c>
      <c r="S1761" t="n">
        <v>1</v>
      </c>
      <c r="T1761" t="inlineStr">
        <is>
          <t>LOW (40%)</t>
        </is>
      </c>
      <c r="U1761" t="inlineStr">
        <is>
          <t>CHECK_USN</t>
        </is>
      </c>
      <c r="V1761" t="inlineStr">
        <is>
          <t>YES</t>
        </is>
      </c>
      <c r="W1761" t="inlineStr">
        <is>
          <t>https://ubuntu.com/security/notices/USN-8059-3</t>
        </is>
      </c>
      <c r="X1761" t="inlineStr">
        <is>
          <t>NONE</t>
        </is>
      </c>
      <c r="Y1761" t="n">
        <v>0</v>
      </c>
      <c r="Z1761" t="inlineStr"/>
      <c r="AA1761" t="inlineStr">
        <is>
          <t>https://ubuntu.com/security/notices/USN-8059-3</t>
        </is>
      </c>
    </row>
    <row r="1762">
      <c r="A1762" t="inlineStr">
        <is>
          <t>UBUNTU_SEC</t>
        </is>
      </c>
      <c r="B1762" t="inlineStr">
        <is>
          <t>USN-8062-1</t>
        </is>
      </c>
      <c r="C1762" t="inlineStr">
        <is>
          <t>USN-8062-1: curl vulnerabilities | It was discovered that curl incorrectly handled cookies when redirected from secure to insecure connections. An attacker could possibly use this issue to cause a denial of service, or obtain sensitive</t>
        </is>
      </c>
      <c r="D1762" t="n">
        <v>6.5</v>
      </c>
      <c r="E1762" t="inlineStr">
        <is>
          <t>MEDIUM</t>
        </is>
      </c>
      <c r="F1762" t="n">
        <v>2</v>
      </c>
      <c r="G1762" t="n">
        <v>2</v>
      </c>
      <c r="H1762" t="inlineStr">
        <is>
          <t>MEDIUM</t>
        </is>
      </c>
      <c r="I1762" t="n">
        <v>10.5</v>
      </c>
      <c r="J1762" t="inlineStr">
        <is>
          <t>NO</t>
        </is>
      </c>
      <c r="K1762" t="inlineStr">
        <is>
          <t>2026-02-25</t>
        </is>
      </c>
      <c r="L1762" t="inlineStr">
        <is>
          <t>YES</t>
        </is>
      </c>
      <c r="M1762" t="inlineStr">
        <is>
          <t>Ubuntu Linux</t>
        </is>
      </c>
      <c r="N1762" t="inlineStr">
        <is>
          <t>P4</t>
        </is>
      </c>
      <c r="O1762" t="inlineStr">
        <is>
          <t>Ubuntu advisory - no IP context</t>
        </is>
      </c>
      <c r="P1762" t="n">
        <v>0</v>
      </c>
      <c r="Q1762" t="n">
        <v>0</v>
      </c>
      <c r="R1762" t="inlineStr">
        <is>
          <t>T1068:Exploitation for Privilege Escalation</t>
        </is>
      </c>
      <c r="S1762" t="n">
        <v>1</v>
      </c>
      <c r="T1762" t="inlineStr">
        <is>
          <t>LOW (40%)</t>
        </is>
      </c>
      <c r="U1762" t="inlineStr">
        <is>
          <t>CHECK_USN</t>
        </is>
      </c>
      <c r="V1762" t="inlineStr">
        <is>
          <t>YES</t>
        </is>
      </c>
      <c r="W1762" t="inlineStr">
        <is>
          <t>https://ubuntu.com/security/notices/USN-8062-1</t>
        </is>
      </c>
      <c r="X1762" t="inlineStr">
        <is>
          <t>NONE</t>
        </is>
      </c>
      <c r="Y1762" t="n">
        <v>0</v>
      </c>
      <c r="Z1762" t="inlineStr"/>
      <c r="AA1762" t="inlineStr">
        <is>
          <t>https://ubuntu.com/security/notices/USN-8062-1</t>
        </is>
      </c>
    </row>
    <row r="1763">
      <c r="A1763" t="inlineStr">
        <is>
          <t>UBUNTU_SEC</t>
        </is>
      </c>
      <c r="B1763" t="inlineStr">
        <is>
          <t>USN-8045-1</t>
        </is>
      </c>
      <c r="C1763" t="inlineStr">
        <is>
          <t>USN-8045-1: Ceph vulnerabilities | Martin Schobert discovered that Ceph did not properly verify SSL certificates when using Pybind for secure mail connections, which could result in accepting invalid certificates. An attacker could pos</t>
        </is>
      </c>
      <c r="D1763" t="n">
        <v>6.5</v>
      </c>
      <c r="E1763" t="inlineStr">
        <is>
          <t>MEDIUM</t>
        </is>
      </c>
      <c r="F1763" t="n">
        <v>2</v>
      </c>
      <c r="G1763" t="n">
        <v>2</v>
      </c>
      <c r="H1763" t="inlineStr">
        <is>
          <t>MEDIUM</t>
        </is>
      </c>
      <c r="I1763" t="n">
        <v>10.5</v>
      </c>
      <c r="J1763" t="inlineStr">
        <is>
          <t>NO</t>
        </is>
      </c>
      <c r="K1763" t="inlineStr">
        <is>
          <t>2026-02-24</t>
        </is>
      </c>
      <c r="L1763" t="inlineStr">
        <is>
          <t>YES</t>
        </is>
      </c>
      <c r="M1763" t="inlineStr">
        <is>
          <t>Ubuntu Linux</t>
        </is>
      </c>
      <c r="N1763" t="inlineStr">
        <is>
          <t>P4</t>
        </is>
      </c>
      <c r="O1763" t="inlineStr">
        <is>
          <t>Ubuntu advisory - no IP context</t>
        </is>
      </c>
      <c r="P1763" t="n">
        <v>0</v>
      </c>
      <c r="Q1763" t="n">
        <v>0</v>
      </c>
      <c r="R1763" t="inlineStr">
        <is>
          <t>T1068:Exploitation for Privilege Escalation</t>
        </is>
      </c>
      <c r="S1763" t="n">
        <v>1</v>
      </c>
      <c r="T1763" t="inlineStr">
        <is>
          <t>LOW (40%)</t>
        </is>
      </c>
      <c r="U1763" t="inlineStr">
        <is>
          <t>CHECK_USN</t>
        </is>
      </c>
      <c r="V1763" t="inlineStr">
        <is>
          <t>YES</t>
        </is>
      </c>
      <c r="W1763" t="inlineStr">
        <is>
          <t>https://ubuntu.com/security/notices/USN-8045-1</t>
        </is>
      </c>
      <c r="X1763" t="inlineStr">
        <is>
          <t>NONE</t>
        </is>
      </c>
      <c r="Y1763" t="n">
        <v>0</v>
      </c>
      <c r="Z1763" t="inlineStr"/>
      <c r="AA1763" t="inlineStr">
        <is>
          <t>https://ubuntu.com/security/notices/USN-8045-1</t>
        </is>
      </c>
    </row>
    <row r="1764">
      <c r="A1764" t="inlineStr">
        <is>
          <t>UBUNTU_SEC</t>
        </is>
      </c>
      <c r="B1764" t="inlineStr">
        <is>
          <t>USN-8052-2</t>
        </is>
      </c>
      <c r="C1764" t="inlineStr">
        <is>
          <t>USN-8052-2: Linux kernel (Xilinx) vulnerabilities | It was discovered that improper initialization of CPU cache memory could allow a local attacker with hypervisor access to overwrite SEV-SNP guest memory resulting in loss of data integrity. (CVE-2024-</t>
        </is>
      </c>
      <c r="D1764" t="n">
        <v>6.5</v>
      </c>
      <c r="E1764" t="inlineStr">
        <is>
          <t>MEDIUM</t>
        </is>
      </c>
      <c r="F1764" t="n">
        <v>2</v>
      </c>
      <c r="G1764" t="n">
        <v>2</v>
      </c>
      <c r="H1764" t="inlineStr">
        <is>
          <t>MEDIUM</t>
        </is>
      </c>
      <c r="I1764" t="n">
        <v>10.5</v>
      </c>
      <c r="J1764" t="inlineStr">
        <is>
          <t>NO</t>
        </is>
      </c>
      <c r="K1764" t="inlineStr">
        <is>
          <t>2026-02-24</t>
        </is>
      </c>
      <c r="L1764" t="inlineStr">
        <is>
          <t>YES</t>
        </is>
      </c>
      <c r="M1764" t="inlineStr">
        <is>
          <t>Ubuntu Linux</t>
        </is>
      </c>
      <c r="N1764" t="inlineStr">
        <is>
          <t>P4</t>
        </is>
      </c>
      <c r="O1764" t="inlineStr">
        <is>
          <t>Ubuntu advisory - no IP context</t>
        </is>
      </c>
      <c r="P1764" t="n">
        <v>0</v>
      </c>
      <c r="Q1764" t="n">
        <v>0</v>
      </c>
      <c r="R1764" t="inlineStr">
        <is>
          <t>T1068:Exploitation for Privilege Escalation</t>
        </is>
      </c>
      <c r="S1764" t="n">
        <v>1</v>
      </c>
      <c r="T1764" t="inlineStr">
        <is>
          <t>LOW (40%)</t>
        </is>
      </c>
      <c r="U1764" t="inlineStr">
        <is>
          <t>CHECK_USN</t>
        </is>
      </c>
      <c r="V1764" t="inlineStr">
        <is>
          <t>YES</t>
        </is>
      </c>
      <c r="W1764" t="inlineStr">
        <is>
          <t>https://ubuntu.com/security/notices/USN-8052-2</t>
        </is>
      </c>
      <c r="X1764" t="inlineStr">
        <is>
          <t>NONE</t>
        </is>
      </c>
      <c r="Y1764" t="n">
        <v>0</v>
      </c>
      <c r="Z1764" t="inlineStr"/>
      <c r="AA1764" t="inlineStr">
        <is>
          <t>https://ubuntu.com/security/notices/USN-8052-2</t>
        </is>
      </c>
    </row>
    <row r="1765">
      <c r="A1765" t="inlineStr">
        <is>
          <t>TOR_EXIT</t>
        </is>
      </c>
      <c r="B1765" t="inlineStr">
        <is>
          <t>030224e70e4c</t>
        </is>
      </c>
      <c r="C1765" t="inlineStr">
        <is>
          <t>Tor Exit Node: 185.129.61.5 | Traffic from this IP may be anonymized/malicious</t>
        </is>
      </c>
      <c r="D1765" t="n">
        <v>5</v>
      </c>
      <c r="E1765" t="inlineStr">
        <is>
          <t>MEDIUM</t>
        </is>
      </c>
      <c r="F1765" t="n">
        <v>2</v>
      </c>
      <c r="G1765" t="n">
        <v>1</v>
      </c>
      <c r="H1765" t="inlineStr">
        <is>
          <t>LOW</t>
        </is>
      </c>
      <c r="I1765" t="n">
        <v>7</v>
      </c>
      <c r="J1765" t="inlineStr">
        <is>
          <t>NO</t>
        </is>
      </c>
      <c r="K1765" t="inlineStr">
        <is>
          <t>2026-02-26 00:15</t>
        </is>
      </c>
      <c r="L1765" t="inlineStr">
        <is>
          <t>Block or monitor</t>
        </is>
      </c>
      <c r="M1765" t="inlineStr">
        <is>
          <t>Network perimeter</t>
        </is>
      </c>
      <c r="N1765" t="inlineStr">
        <is>
          <t>P4</t>
        </is>
      </c>
      <c r="O1765" t="inlineStr">
        <is>
          <t>Tor exit node - known anonymization service</t>
        </is>
      </c>
      <c r="P1765" t="n">
        <v>0</v>
      </c>
      <c r="Q1765" t="n">
        <v>0</v>
      </c>
      <c r="R1765" t="inlineStr">
        <is>
          <t>T1090.003:Multi-hop Proxy</t>
        </is>
      </c>
      <c r="S1765" t="n">
        <v>1</v>
      </c>
      <c r="T1765" t="inlineStr">
        <is>
          <t>LOW (40%)</t>
        </is>
      </c>
      <c r="U1765" t="inlineStr">
        <is>
          <t>NONE</t>
        </is>
      </c>
      <c r="V1765" t="inlineStr">
        <is>
          <t>NONE</t>
        </is>
      </c>
      <c r="W1765" t="inlineStr">
        <is>
          <t>NONE</t>
        </is>
      </c>
      <c r="X1765" t="inlineStr">
        <is>
          <t>NONE</t>
        </is>
      </c>
      <c r="Y1765" t="n">
        <v>0</v>
      </c>
      <c r="Z1765" t="inlineStr"/>
      <c r="AA1765" t="inlineStr">
        <is>
          <t>https://check.torproject.org/</t>
        </is>
      </c>
    </row>
    <row r="1766">
      <c r="A1766" t="inlineStr">
        <is>
          <t>TOR_EXIT</t>
        </is>
      </c>
      <c r="B1766" t="inlineStr">
        <is>
          <t>5965873462ea</t>
        </is>
      </c>
      <c r="C1766" t="inlineStr">
        <is>
          <t>Tor Exit Node: 194.195.120.132 | Traffic from this IP may be anonymized/malicious</t>
        </is>
      </c>
      <c r="D1766" t="n">
        <v>5</v>
      </c>
      <c r="E1766" t="inlineStr">
        <is>
          <t>MEDIUM</t>
        </is>
      </c>
      <c r="F1766" t="n">
        <v>2</v>
      </c>
      <c r="G1766" t="n">
        <v>1</v>
      </c>
      <c r="H1766" t="inlineStr">
        <is>
          <t>LOW</t>
        </is>
      </c>
      <c r="I1766" t="n">
        <v>7</v>
      </c>
      <c r="J1766" t="inlineStr">
        <is>
          <t>NO</t>
        </is>
      </c>
      <c r="K1766" t="inlineStr">
        <is>
          <t>2026-02-26 00:15</t>
        </is>
      </c>
      <c r="L1766" t="inlineStr">
        <is>
          <t>Block or monitor</t>
        </is>
      </c>
      <c r="M1766" t="inlineStr">
        <is>
          <t>Network perimeter</t>
        </is>
      </c>
      <c r="N1766" t="inlineStr">
        <is>
          <t>P4</t>
        </is>
      </c>
      <c r="O1766" t="inlineStr">
        <is>
          <t>Tor exit node - known anonymization service</t>
        </is>
      </c>
      <c r="P1766" t="n">
        <v>0</v>
      </c>
      <c r="Q1766" t="n">
        <v>0</v>
      </c>
      <c r="R1766" t="inlineStr">
        <is>
          <t>T1090.003:Multi-hop Proxy</t>
        </is>
      </c>
      <c r="S1766" t="n">
        <v>1</v>
      </c>
      <c r="T1766" t="inlineStr">
        <is>
          <t>LOW (40%)</t>
        </is>
      </c>
      <c r="U1766" t="inlineStr">
        <is>
          <t>NONE</t>
        </is>
      </c>
      <c r="V1766" t="inlineStr">
        <is>
          <t>NONE</t>
        </is>
      </c>
      <c r="W1766" t="inlineStr">
        <is>
          <t>NONE</t>
        </is>
      </c>
      <c r="X1766" t="inlineStr">
        <is>
          <t>NONE</t>
        </is>
      </c>
      <c r="Y1766" t="n">
        <v>0</v>
      </c>
      <c r="Z1766" t="inlineStr"/>
      <c r="AA1766" t="inlineStr">
        <is>
          <t>https://check.torproject.org/</t>
        </is>
      </c>
    </row>
    <row r="1767">
      <c r="A1767" t="inlineStr">
        <is>
          <t>TOR_EXIT</t>
        </is>
      </c>
      <c r="B1767" t="inlineStr">
        <is>
          <t>9296bd7c30e8</t>
        </is>
      </c>
      <c r="C1767" t="inlineStr">
        <is>
          <t>Tor Exit Node: 212.95.50.77 | Traffic from this IP may be anonymized/malicious</t>
        </is>
      </c>
      <c r="D1767" t="n">
        <v>5</v>
      </c>
      <c r="E1767" t="inlineStr">
        <is>
          <t>MEDIUM</t>
        </is>
      </c>
      <c r="F1767" t="n">
        <v>2</v>
      </c>
      <c r="G1767" t="n">
        <v>1</v>
      </c>
      <c r="H1767" t="inlineStr">
        <is>
          <t>LOW</t>
        </is>
      </c>
      <c r="I1767" t="n">
        <v>7</v>
      </c>
      <c r="J1767" t="inlineStr">
        <is>
          <t>NO</t>
        </is>
      </c>
      <c r="K1767" t="inlineStr">
        <is>
          <t>2026-02-26 00:15</t>
        </is>
      </c>
      <c r="L1767" t="inlineStr">
        <is>
          <t>Block or monitor</t>
        </is>
      </c>
      <c r="M1767" t="inlineStr">
        <is>
          <t>Network perimeter</t>
        </is>
      </c>
      <c r="N1767" t="inlineStr">
        <is>
          <t>P4</t>
        </is>
      </c>
      <c r="O1767" t="inlineStr">
        <is>
          <t>Tor exit node - known anonymization service</t>
        </is>
      </c>
      <c r="P1767" t="n">
        <v>0</v>
      </c>
      <c r="Q1767" t="n">
        <v>0</v>
      </c>
      <c r="R1767" t="inlineStr">
        <is>
          <t>T1090.003:Multi-hop Proxy</t>
        </is>
      </c>
      <c r="S1767" t="n">
        <v>1</v>
      </c>
      <c r="T1767" t="inlineStr">
        <is>
          <t>LOW (40%)</t>
        </is>
      </c>
      <c r="U1767" t="inlineStr">
        <is>
          <t>NONE</t>
        </is>
      </c>
      <c r="V1767" t="inlineStr">
        <is>
          <t>NONE</t>
        </is>
      </c>
      <c r="W1767" t="inlineStr">
        <is>
          <t>NONE</t>
        </is>
      </c>
      <c r="X1767" t="inlineStr">
        <is>
          <t>NONE</t>
        </is>
      </c>
      <c r="Y1767" t="n">
        <v>0</v>
      </c>
      <c r="Z1767" t="inlineStr"/>
      <c r="AA1767" t="inlineStr">
        <is>
          <t>https://check.torproject.org/</t>
        </is>
      </c>
    </row>
    <row r="1768">
      <c r="A1768" t="inlineStr">
        <is>
          <t>TOR_EXIT</t>
        </is>
      </c>
      <c r="B1768" t="inlineStr">
        <is>
          <t>9424c062fc9a</t>
        </is>
      </c>
      <c r="C1768" t="inlineStr">
        <is>
          <t>Tor Exit Node: 5.255.99.147 | Traffic from this IP may be anonymized/malicious</t>
        </is>
      </c>
      <c r="D1768" t="n">
        <v>5</v>
      </c>
      <c r="E1768" t="inlineStr">
        <is>
          <t>MEDIUM</t>
        </is>
      </c>
      <c r="F1768" t="n">
        <v>2</v>
      </c>
      <c r="G1768" t="n">
        <v>1</v>
      </c>
      <c r="H1768" t="inlineStr">
        <is>
          <t>LOW</t>
        </is>
      </c>
      <c r="I1768" t="n">
        <v>7</v>
      </c>
      <c r="J1768" t="inlineStr">
        <is>
          <t>NO</t>
        </is>
      </c>
      <c r="K1768" t="inlineStr">
        <is>
          <t>2026-02-26 00:15</t>
        </is>
      </c>
      <c r="L1768" t="inlineStr">
        <is>
          <t>Block or monitor</t>
        </is>
      </c>
      <c r="M1768" t="inlineStr">
        <is>
          <t>Network perimeter</t>
        </is>
      </c>
      <c r="N1768" t="inlineStr">
        <is>
          <t>P4</t>
        </is>
      </c>
      <c r="O1768" t="inlineStr">
        <is>
          <t>Tor exit node - known anonymization service</t>
        </is>
      </c>
      <c r="P1768" t="n">
        <v>0</v>
      </c>
      <c r="Q1768" t="n">
        <v>0</v>
      </c>
      <c r="R1768" t="inlineStr">
        <is>
          <t>T1090.003:Multi-hop Proxy</t>
        </is>
      </c>
      <c r="S1768" t="n">
        <v>1</v>
      </c>
      <c r="T1768" t="inlineStr">
        <is>
          <t>LOW (40%)</t>
        </is>
      </c>
      <c r="U1768" t="inlineStr">
        <is>
          <t>NONE</t>
        </is>
      </c>
      <c r="V1768" t="inlineStr">
        <is>
          <t>NONE</t>
        </is>
      </c>
      <c r="W1768" t="inlineStr">
        <is>
          <t>NONE</t>
        </is>
      </c>
      <c r="X1768" t="inlineStr">
        <is>
          <t>NONE</t>
        </is>
      </c>
      <c r="Y1768" t="n">
        <v>0</v>
      </c>
      <c r="Z1768" t="inlineStr"/>
      <c r="AA1768" t="inlineStr">
        <is>
          <t>https://check.torproject.org/</t>
        </is>
      </c>
    </row>
    <row r="1769">
      <c r="A1769" t="inlineStr">
        <is>
          <t>TOR_EXIT</t>
        </is>
      </c>
      <c r="B1769" t="inlineStr">
        <is>
          <t>3dafa8d99cb4</t>
        </is>
      </c>
      <c r="C1769" t="inlineStr">
        <is>
          <t>Tor Exit Node: 185.220.101.148 | Traffic from this IP may be anonymized/malicious</t>
        </is>
      </c>
      <c r="D1769" t="n">
        <v>5</v>
      </c>
      <c r="E1769" t="inlineStr">
        <is>
          <t>MEDIUM</t>
        </is>
      </c>
      <c r="F1769" t="n">
        <v>2</v>
      </c>
      <c r="G1769" t="n">
        <v>1</v>
      </c>
      <c r="H1769" t="inlineStr">
        <is>
          <t>LOW</t>
        </is>
      </c>
      <c r="I1769" t="n">
        <v>7</v>
      </c>
      <c r="J1769" t="inlineStr">
        <is>
          <t>NO</t>
        </is>
      </c>
      <c r="K1769" t="inlineStr">
        <is>
          <t>2026-02-26 00:15</t>
        </is>
      </c>
      <c r="L1769" t="inlineStr">
        <is>
          <t>Block or monitor</t>
        </is>
      </c>
      <c r="M1769" t="inlineStr">
        <is>
          <t>Network perimeter</t>
        </is>
      </c>
      <c r="N1769" t="inlineStr">
        <is>
          <t>P4</t>
        </is>
      </c>
      <c r="O1769" t="inlineStr">
        <is>
          <t>Tor exit node - known anonymization service</t>
        </is>
      </c>
      <c r="P1769" t="n">
        <v>0</v>
      </c>
      <c r="Q1769" t="n">
        <v>0</v>
      </c>
      <c r="R1769" t="inlineStr">
        <is>
          <t>T1090.003:Multi-hop Proxy</t>
        </is>
      </c>
      <c r="S1769" t="n">
        <v>1</v>
      </c>
      <c r="T1769" t="inlineStr">
        <is>
          <t>LOW (40%)</t>
        </is>
      </c>
      <c r="U1769" t="inlineStr">
        <is>
          <t>NONE</t>
        </is>
      </c>
      <c r="V1769" t="inlineStr">
        <is>
          <t>NONE</t>
        </is>
      </c>
      <c r="W1769" t="inlineStr">
        <is>
          <t>NONE</t>
        </is>
      </c>
      <c r="X1769" t="inlineStr">
        <is>
          <t>NONE</t>
        </is>
      </c>
      <c r="Y1769" t="n">
        <v>0</v>
      </c>
      <c r="Z1769" t="inlineStr"/>
      <c r="AA1769" t="inlineStr">
        <is>
          <t>https://check.torproject.org/</t>
        </is>
      </c>
    </row>
    <row r="1770">
      <c r="A1770" t="inlineStr">
        <is>
          <t>TOR_EXIT</t>
        </is>
      </c>
      <c r="B1770" t="inlineStr">
        <is>
          <t>637585e2e724</t>
        </is>
      </c>
      <c r="C1770" t="inlineStr">
        <is>
          <t>Tor Exit Node: 107.189.1.96 | Traffic from this IP may be anonymized/malicious</t>
        </is>
      </c>
      <c r="D1770" t="n">
        <v>5</v>
      </c>
      <c r="E1770" t="inlineStr">
        <is>
          <t>MEDIUM</t>
        </is>
      </c>
      <c r="F1770" t="n">
        <v>2</v>
      </c>
      <c r="G1770" t="n">
        <v>1</v>
      </c>
      <c r="H1770" t="inlineStr">
        <is>
          <t>LOW</t>
        </is>
      </c>
      <c r="I1770" t="n">
        <v>7</v>
      </c>
      <c r="J1770" t="inlineStr">
        <is>
          <t>NO</t>
        </is>
      </c>
      <c r="K1770" t="inlineStr">
        <is>
          <t>2026-02-26 00:15</t>
        </is>
      </c>
      <c r="L1770" t="inlineStr">
        <is>
          <t>Block or monitor</t>
        </is>
      </c>
      <c r="M1770" t="inlineStr">
        <is>
          <t>Network perimeter</t>
        </is>
      </c>
      <c r="N1770" t="inlineStr">
        <is>
          <t>P4</t>
        </is>
      </c>
      <c r="O1770" t="inlineStr">
        <is>
          <t>Tor exit node - known anonymization service</t>
        </is>
      </c>
      <c r="P1770" t="n">
        <v>0</v>
      </c>
      <c r="Q1770" t="n">
        <v>0</v>
      </c>
      <c r="R1770" t="inlineStr">
        <is>
          <t>T1090.003:Multi-hop Proxy</t>
        </is>
      </c>
      <c r="S1770" t="n">
        <v>1</v>
      </c>
      <c r="T1770" t="inlineStr">
        <is>
          <t>LOW (40%)</t>
        </is>
      </c>
      <c r="U1770" t="inlineStr">
        <is>
          <t>NONE</t>
        </is>
      </c>
      <c r="V1770" t="inlineStr">
        <is>
          <t>NONE</t>
        </is>
      </c>
      <c r="W1770" t="inlineStr">
        <is>
          <t>NONE</t>
        </is>
      </c>
      <c r="X1770" t="inlineStr">
        <is>
          <t>NONE</t>
        </is>
      </c>
      <c r="Y1770" t="n">
        <v>0</v>
      </c>
      <c r="Z1770" t="inlineStr"/>
      <c r="AA1770" t="inlineStr">
        <is>
          <t>https://check.torproject.org/</t>
        </is>
      </c>
    </row>
    <row r="1771">
      <c r="A1771" t="inlineStr">
        <is>
          <t>TOR_EXIT</t>
        </is>
      </c>
      <c r="B1771" t="inlineStr">
        <is>
          <t>5bf9359c197e</t>
        </is>
      </c>
      <c r="C1771" t="inlineStr">
        <is>
          <t>Tor Exit Node: 103.196.37.111 | Traffic from this IP may be anonymized/malicious</t>
        </is>
      </c>
      <c r="D1771" t="n">
        <v>5</v>
      </c>
      <c r="E1771" t="inlineStr">
        <is>
          <t>MEDIUM</t>
        </is>
      </c>
      <c r="F1771" t="n">
        <v>2</v>
      </c>
      <c r="G1771" t="n">
        <v>1</v>
      </c>
      <c r="H1771" t="inlineStr">
        <is>
          <t>LOW</t>
        </is>
      </c>
      <c r="I1771" t="n">
        <v>7</v>
      </c>
      <c r="J1771" t="inlineStr">
        <is>
          <t>NO</t>
        </is>
      </c>
      <c r="K1771" t="inlineStr">
        <is>
          <t>2026-02-26 00:15</t>
        </is>
      </c>
      <c r="L1771" t="inlineStr">
        <is>
          <t>Block or monitor</t>
        </is>
      </c>
      <c r="M1771" t="inlineStr">
        <is>
          <t>Network perimeter</t>
        </is>
      </c>
      <c r="N1771" t="inlineStr">
        <is>
          <t>P4</t>
        </is>
      </c>
      <c r="O1771" t="inlineStr">
        <is>
          <t>Tor exit node - known anonymization service</t>
        </is>
      </c>
      <c r="P1771" t="n">
        <v>0</v>
      </c>
      <c r="Q1771" t="n">
        <v>0</v>
      </c>
      <c r="R1771" t="inlineStr">
        <is>
          <t>T1090.003:Multi-hop Proxy</t>
        </is>
      </c>
      <c r="S1771" t="n">
        <v>1</v>
      </c>
      <c r="T1771" t="inlineStr">
        <is>
          <t>LOW (40%)</t>
        </is>
      </c>
      <c r="U1771" t="inlineStr">
        <is>
          <t>NONE</t>
        </is>
      </c>
      <c r="V1771" t="inlineStr">
        <is>
          <t>NONE</t>
        </is>
      </c>
      <c r="W1771" t="inlineStr">
        <is>
          <t>NONE</t>
        </is>
      </c>
      <c r="X1771" t="inlineStr">
        <is>
          <t>NONE</t>
        </is>
      </c>
      <c r="Y1771" t="n">
        <v>0</v>
      </c>
      <c r="Z1771" t="inlineStr"/>
      <c r="AA1771" t="inlineStr">
        <is>
          <t>https://check.torproject.org/</t>
        </is>
      </c>
    </row>
    <row r="1772">
      <c r="A1772" t="inlineStr">
        <is>
          <t>TOR_EXIT</t>
        </is>
      </c>
      <c r="B1772" t="inlineStr">
        <is>
          <t>183e9f2cd945</t>
        </is>
      </c>
      <c r="C1772" t="inlineStr">
        <is>
          <t>Tor Exit Node: 94.228.169.70 | Traffic from this IP may be anonymized/malicious</t>
        </is>
      </c>
      <c r="D1772" t="n">
        <v>5</v>
      </c>
      <c r="E1772" t="inlineStr">
        <is>
          <t>MEDIUM</t>
        </is>
      </c>
      <c r="F1772" t="n">
        <v>2</v>
      </c>
      <c r="G1772" t="n">
        <v>1</v>
      </c>
      <c r="H1772" t="inlineStr">
        <is>
          <t>LOW</t>
        </is>
      </c>
      <c r="I1772" t="n">
        <v>7</v>
      </c>
      <c r="J1772" t="inlineStr">
        <is>
          <t>NO</t>
        </is>
      </c>
      <c r="K1772" t="inlineStr">
        <is>
          <t>2026-02-26 00:15</t>
        </is>
      </c>
      <c r="L1772" t="inlineStr">
        <is>
          <t>Block or monitor</t>
        </is>
      </c>
      <c r="M1772" t="inlineStr">
        <is>
          <t>Network perimeter</t>
        </is>
      </c>
      <c r="N1772" t="inlineStr">
        <is>
          <t>P4</t>
        </is>
      </c>
      <c r="O1772" t="inlineStr">
        <is>
          <t>Tor exit node - known anonymization service</t>
        </is>
      </c>
      <c r="P1772" t="n">
        <v>0</v>
      </c>
      <c r="Q1772" t="n">
        <v>0</v>
      </c>
      <c r="R1772" t="inlineStr">
        <is>
          <t>T1090.003:Multi-hop Proxy</t>
        </is>
      </c>
      <c r="S1772" t="n">
        <v>1</v>
      </c>
      <c r="T1772" t="inlineStr">
        <is>
          <t>LOW (40%)</t>
        </is>
      </c>
      <c r="U1772" t="inlineStr">
        <is>
          <t>NONE</t>
        </is>
      </c>
      <c r="V1772" t="inlineStr">
        <is>
          <t>NONE</t>
        </is>
      </c>
      <c r="W1772" t="inlineStr">
        <is>
          <t>NONE</t>
        </is>
      </c>
      <c r="X1772" t="inlineStr">
        <is>
          <t>NONE</t>
        </is>
      </c>
      <c r="Y1772" t="n">
        <v>0</v>
      </c>
      <c r="Z1772" t="inlineStr"/>
      <c r="AA1772" t="inlineStr">
        <is>
          <t>https://check.torproject.org/</t>
        </is>
      </c>
    </row>
    <row r="1773">
      <c r="A1773" t="inlineStr">
        <is>
          <t>TOR_EXIT</t>
        </is>
      </c>
      <c r="B1773" t="inlineStr">
        <is>
          <t>6786e37bd358</t>
        </is>
      </c>
      <c r="C1773" t="inlineStr">
        <is>
          <t>Tor Exit Node: 93.99.104.18 | Traffic from this IP may be anonymized/malicious</t>
        </is>
      </c>
      <c r="D1773" t="n">
        <v>5</v>
      </c>
      <c r="E1773" t="inlineStr">
        <is>
          <t>MEDIUM</t>
        </is>
      </c>
      <c r="F1773" t="n">
        <v>2</v>
      </c>
      <c r="G1773" t="n">
        <v>1</v>
      </c>
      <c r="H1773" t="inlineStr">
        <is>
          <t>LOW</t>
        </is>
      </c>
      <c r="I1773" t="n">
        <v>7</v>
      </c>
      <c r="J1773" t="inlineStr">
        <is>
          <t>NO</t>
        </is>
      </c>
      <c r="K1773" t="inlineStr">
        <is>
          <t>2026-02-26 00:15</t>
        </is>
      </c>
      <c r="L1773" t="inlineStr">
        <is>
          <t>Block or monitor</t>
        </is>
      </c>
      <c r="M1773" t="inlineStr">
        <is>
          <t>Network perimeter</t>
        </is>
      </c>
      <c r="N1773" t="inlineStr">
        <is>
          <t>P4</t>
        </is>
      </c>
      <c r="O1773" t="inlineStr">
        <is>
          <t>Tor exit node - known anonymization service</t>
        </is>
      </c>
      <c r="P1773" t="n">
        <v>0</v>
      </c>
      <c r="Q1773" t="n">
        <v>0</v>
      </c>
      <c r="R1773" t="inlineStr">
        <is>
          <t>T1090.003:Multi-hop Proxy</t>
        </is>
      </c>
      <c r="S1773" t="n">
        <v>1</v>
      </c>
      <c r="T1773" t="inlineStr">
        <is>
          <t>LOW (40%)</t>
        </is>
      </c>
      <c r="U1773" t="inlineStr">
        <is>
          <t>NONE</t>
        </is>
      </c>
      <c r="V1773" t="inlineStr">
        <is>
          <t>NONE</t>
        </is>
      </c>
      <c r="W1773" t="inlineStr">
        <is>
          <t>NONE</t>
        </is>
      </c>
      <c r="X1773" t="inlineStr">
        <is>
          <t>NONE</t>
        </is>
      </c>
      <c r="Y1773" t="n">
        <v>0</v>
      </c>
      <c r="Z1773" t="inlineStr"/>
      <c r="AA1773" t="inlineStr">
        <is>
          <t>https://check.torproject.org/</t>
        </is>
      </c>
    </row>
    <row r="1774">
      <c r="A1774" t="inlineStr">
        <is>
          <t>TOR_EXIT</t>
        </is>
      </c>
      <c r="B1774" t="inlineStr">
        <is>
          <t>b6866cf9f5ac</t>
        </is>
      </c>
      <c r="C1774" t="inlineStr">
        <is>
          <t>Tor Exit Node: 109.70.100.2 | Traffic from this IP may be anonymized/malicious</t>
        </is>
      </c>
      <c r="D1774" t="n">
        <v>5</v>
      </c>
      <c r="E1774" t="inlineStr">
        <is>
          <t>MEDIUM</t>
        </is>
      </c>
      <c r="F1774" t="n">
        <v>2</v>
      </c>
      <c r="G1774" t="n">
        <v>1</v>
      </c>
      <c r="H1774" t="inlineStr">
        <is>
          <t>LOW</t>
        </is>
      </c>
      <c r="I1774" t="n">
        <v>7</v>
      </c>
      <c r="J1774" t="inlineStr">
        <is>
          <t>NO</t>
        </is>
      </c>
      <c r="K1774" t="inlineStr">
        <is>
          <t>2026-02-26 00:15</t>
        </is>
      </c>
      <c r="L1774" t="inlineStr">
        <is>
          <t>Block or monitor</t>
        </is>
      </c>
      <c r="M1774" t="inlineStr">
        <is>
          <t>Network perimeter</t>
        </is>
      </c>
      <c r="N1774" t="inlineStr">
        <is>
          <t>P4</t>
        </is>
      </c>
      <c r="O1774" t="inlineStr">
        <is>
          <t>Tor exit node - known anonymization service</t>
        </is>
      </c>
      <c r="P1774" t="n">
        <v>0</v>
      </c>
      <c r="Q1774" t="n">
        <v>0</v>
      </c>
      <c r="R1774" t="inlineStr">
        <is>
          <t>T1090.003:Multi-hop Proxy</t>
        </is>
      </c>
      <c r="S1774" t="n">
        <v>1</v>
      </c>
      <c r="T1774" t="inlineStr">
        <is>
          <t>LOW (40%)</t>
        </is>
      </c>
      <c r="U1774" t="inlineStr">
        <is>
          <t>NONE</t>
        </is>
      </c>
      <c r="V1774" t="inlineStr">
        <is>
          <t>NONE</t>
        </is>
      </c>
      <c r="W1774" t="inlineStr">
        <is>
          <t>NONE</t>
        </is>
      </c>
      <c r="X1774" t="inlineStr">
        <is>
          <t>NONE</t>
        </is>
      </c>
      <c r="Y1774" t="n">
        <v>0</v>
      </c>
      <c r="Z1774" t="inlineStr"/>
      <c r="AA1774" t="inlineStr">
        <is>
          <t>https://check.torproject.org/</t>
        </is>
      </c>
    </row>
    <row r="1775">
      <c r="A1775" t="inlineStr">
        <is>
          <t>TOR_EXIT</t>
        </is>
      </c>
      <c r="B1775" t="inlineStr">
        <is>
          <t>b300d0a61618</t>
        </is>
      </c>
      <c r="C1775" t="inlineStr">
        <is>
          <t>Tor Exit Node: 107.189.5.121 | Traffic from this IP may be anonymized/malicious</t>
        </is>
      </c>
      <c r="D1775" t="n">
        <v>5</v>
      </c>
      <c r="E1775" t="inlineStr">
        <is>
          <t>MEDIUM</t>
        </is>
      </c>
      <c r="F1775" t="n">
        <v>2</v>
      </c>
      <c r="G1775" t="n">
        <v>1</v>
      </c>
      <c r="H1775" t="inlineStr">
        <is>
          <t>LOW</t>
        </is>
      </c>
      <c r="I1775" t="n">
        <v>7</v>
      </c>
      <c r="J1775" t="inlineStr">
        <is>
          <t>NO</t>
        </is>
      </c>
      <c r="K1775" t="inlineStr">
        <is>
          <t>2026-02-26 00:15</t>
        </is>
      </c>
      <c r="L1775" t="inlineStr">
        <is>
          <t>Block or monitor</t>
        </is>
      </c>
      <c r="M1775" t="inlineStr">
        <is>
          <t>Network perimeter</t>
        </is>
      </c>
      <c r="N1775" t="inlineStr">
        <is>
          <t>P4</t>
        </is>
      </c>
      <c r="O1775" t="inlineStr">
        <is>
          <t>Tor exit node - known anonymization service</t>
        </is>
      </c>
      <c r="P1775" t="n">
        <v>0</v>
      </c>
      <c r="Q1775" t="n">
        <v>0</v>
      </c>
      <c r="R1775" t="inlineStr">
        <is>
          <t>T1090.003:Multi-hop Proxy</t>
        </is>
      </c>
      <c r="S1775" t="n">
        <v>1</v>
      </c>
      <c r="T1775" t="inlineStr">
        <is>
          <t>LOW (40%)</t>
        </is>
      </c>
      <c r="U1775" t="inlineStr">
        <is>
          <t>NONE</t>
        </is>
      </c>
      <c r="V1775" t="inlineStr">
        <is>
          <t>NONE</t>
        </is>
      </c>
      <c r="W1775" t="inlineStr">
        <is>
          <t>NONE</t>
        </is>
      </c>
      <c r="X1775" t="inlineStr">
        <is>
          <t>NONE</t>
        </is>
      </c>
      <c r="Y1775" t="n">
        <v>0</v>
      </c>
      <c r="Z1775" t="inlineStr"/>
      <c r="AA1775" t="inlineStr">
        <is>
          <t>https://check.torproject.org/</t>
        </is>
      </c>
    </row>
    <row r="1776">
      <c r="A1776" t="inlineStr">
        <is>
          <t>TOR_EXIT</t>
        </is>
      </c>
      <c r="B1776" t="inlineStr">
        <is>
          <t>33f57930a071</t>
        </is>
      </c>
      <c r="C1776" t="inlineStr">
        <is>
          <t>Tor Exit Node: 185.220.101.97 | Traffic from this IP may be anonymized/malicious</t>
        </is>
      </c>
      <c r="D1776" t="n">
        <v>5</v>
      </c>
      <c r="E1776" t="inlineStr">
        <is>
          <t>MEDIUM</t>
        </is>
      </c>
      <c r="F1776" t="n">
        <v>2</v>
      </c>
      <c r="G1776" t="n">
        <v>1</v>
      </c>
      <c r="H1776" t="inlineStr">
        <is>
          <t>LOW</t>
        </is>
      </c>
      <c r="I1776" t="n">
        <v>7</v>
      </c>
      <c r="J1776" t="inlineStr">
        <is>
          <t>NO</t>
        </is>
      </c>
      <c r="K1776" t="inlineStr">
        <is>
          <t>2026-02-26 00:15</t>
        </is>
      </c>
      <c r="L1776" t="inlineStr">
        <is>
          <t>Block or monitor</t>
        </is>
      </c>
      <c r="M1776" t="inlineStr">
        <is>
          <t>Network perimeter</t>
        </is>
      </c>
      <c r="N1776" t="inlineStr">
        <is>
          <t>P4</t>
        </is>
      </c>
      <c r="O1776" t="inlineStr">
        <is>
          <t>Tor exit node - known anonymization service</t>
        </is>
      </c>
      <c r="P1776" t="n">
        <v>0</v>
      </c>
      <c r="Q1776" t="n">
        <v>0</v>
      </c>
      <c r="R1776" t="inlineStr">
        <is>
          <t>T1090.003:Multi-hop Proxy</t>
        </is>
      </c>
      <c r="S1776" t="n">
        <v>1</v>
      </c>
      <c r="T1776" t="inlineStr">
        <is>
          <t>LOW (40%)</t>
        </is>
      </c>
      <c r="U1776" t="inlineStr">
        <is>
          <t>NONE</t>
        </is>
      </c>
      <c r="V1776" t="inlineStr">
        <is>
          <t>NONE</t>
        </is>
      </c>
      <c r="W1776" t="inlineStr">
        <is>
          <t>NONE</t>
        </is>
      </c>
      <c r="X1776" t="inlineStr">
        <is>
          <t>NONE</t>
        </is>
      </c>
      <c r="Y1776" t="n">
        <v>0</v>
      </c>
      <c r="Z1776" t="inlineStr"/>
      <c r="AA1776" t="inlineStr">
        <is>
          <t>https://check.torproject.org/</t>
        </is>
      </c>
    </row>
    <row r="1777">
      <c r="A1777" t="inlineStr">
        <is>
          <t>TOR_EXIT</t>
        </is>
      </c>
      <c r="B1777" t="inlineStr">
        <is>
          <t>0b84642c50f4</t>
        </is>
      </c>
      <c r="C1777" t="inlineStr">
        <is>
          <t>Tor Exit Node: 198.98.50.199 | Traffic from this IP may be anonymized/malicious</t>
        </is>
      </c>
      <c r="D1777" t="n">
        <v>5</v>
      </c>
      <c r="E1777" t="inlineStr">
        <is>
          <t>MEDIUM</t>
        </is>
      </c>
      <c r="F1777" t="n">
        <v>2</v>
      </c>
      <c r="G1777" t="n">
        <v>1</v>
      </c>
      <c r="H1777" t="inlineStr">
        <is>
          <t>LOW</t>
        </is>
      </c>
      <c r="I1777" t="n">
        <v>7</v>
      </c>
      <c r="J1777" t="inlineStr">
        <is>
          <t>NO</t>
        </is>
      </c>
      <c r="K1777" t="inlineStr">
        <is>
          <t>2026-02-26 00:15</t>
        </is>
      </c>
      <c r="L1777" t="inlineStr">
        <is>
          <t>Block or monitor</t>
        </is>
      </c>
      <c r="M1777" t="inlineStr">
        <is>
          <t>Network perimeter</t>
        </is>
      </c>
      <c r="N1777" t="inlineStr">
        <is>
          <t>P4</t>
        </is>
      </c>
      <c r="O1777" t="inlineStr">
        <is>
          <t>Tor exit node - known anonymization service</t>
        </is>
      </c>
      <c r="P1777" t="n">
        <v>0</v>
      </c>
      <c r="Q1777" t="n">
        <v>0</v>
      </c>
      <c r="R1777" t="inlineStr">
        <is>
          <t>T1090.003:Multi-hop Proxy</t>
        </is>
      </c>
      <c r="S1777" t="n">
        <v>1</v>
      </c>
      <c r="T1777" t="inlineStr">
        <is>
          <t>LOW (40%)</t>
        </is>
      </c>
      <c r="U1777" t="inlineStr">
        <is>
          <t>NONE</t>
        </is>
      </c>
      <c r="V1777" t="inlineStr">
        <is>
          <t>NONE</t>
        </is>
      </c>
      <c r="W1777" t="inlineStr">
        <is>
          <t>NONE</t>
        </is>
      </c>
      <c r="X1777" t="inlineStr">
        <is>
          <t>NONE</t>
        </is>
      </c>
      <c r="Y1777" t="n">
        <v>0</v>
      </c>
      <c r="Z1777" t="inlineStr"/>
      <c r="AA1777" t="inlineStr">
        <is>
          <t>https://check.torproject.org/</t>
        </is>
      </c>
    </row>
    <row r="1778">
      <c r="A1778" t="inlineStr">
        <is>
          <t>TOR_EXIT</t>
        </is>
      </c>
      <c r="B1778" t="inlineStr">
        <is>
          <t>71a45d92177a</t>
        </is>
      </c>
      <c r="C1778" t="inlineStr">
        <is>
          <t>Tor Exit Node: 171.25.193.80 | Traffic from this IP may be anonymized/malicious</t>
        </is>
      </c>
      <c r="D1778" t="n">
        <v>5</v>
      </c>
      <c r="E1778" t="inlineStr">
        <is>
          <t>MEDIUM</t>
        </is>
      </c>
      <c r="F1778" t="n">
        <v>2</v>
      </c>
      <c r="G1778" t="n">
        <v>1</v>
      </c>
      <c r="H1778" t="inlineStr">
        <is>
          <t>LOW</t>
        </is>
      </c>
      <c r="I1778" t="n">
        <v>7</v>
      </c>
      <c r="J1778" t="inlineStr">
        <is>
          <t>NO</t>
        </is>
      </c>
      <c r="K1778" t="inlineStr">
        <is>
          <t>2026-02-26 00:15</t>
        </is>
      </c>
      <c r="L1778" t="inlineStr">
        <is>
          <t>Block or monitor</t>
        </is>
      </c>
      <c r="M1778" t="inlineStr">
        <is>
          <t>Network perimeter</t>
        </is>
      </c>
      <c r="N1778" t="inlineStr">
        <is>
          <t>P4</t>
        </is>
      </c>
      <c r="O1778" t="inlineStr">
        <is>
          <t>Tor exit node - known anonymization service</t>
        </is>
      </c>
      <c r="P1778" t="n">
        <v>0</v>
      </c>
      <c r="Q1778" t="n">
        <v>0</v>
      </c>
      <c r="R1778" t="inlineStr">
        <is>
          <t>T1090.003:Multi-hop Proxy</t>
        </is>
      </c>
      <c r="S1778" t="n">
        <v>1</v>
      </c>
      <c r="T1778" t="inlineStr">
        <is>
          <t>LOW (40%)</t>
        </is>
      </c>
      <c r="U1778" t="inlineStr">
        <is>
          <t>NONE</t>
        </is>
      </c>
      <c r="V1778" t="inlineStr">
        <is>
          <t>NONE</t>
        </is>
      </c>
      <c r="W1778" t="inlineStr">
        <is>
          <t>NONE</t>
        </is>
      </c>
      <c r="X1778" t="inlineStr">
        <is>
          <t>NONE</t>
        </is>
      </c>
      <c r="Y1778" t="n">
        <v>0</v>
      </c>
      <c r="Z1778" t="inlineStr"/>
      <c r="AA1778" t="inlineStr">
        <is>
          <t>https://check.torproject.org/</t>
        </is>
      </c>
    </row>
    <row r="1779">
      <c r="A1779" t="inlineStr">
        <is>
          <t>TOR_EXIT</t>
        </is>
      </c>
      <c r="B1779" t="inlineStr">
        <is>
          <t>a92549c0154b</t>
        </is>
      </c>
      <c r="C1779" t="inlineStr">
        <is>
          <t>Tor Exit Node: 109.70.100.65 | Traffic from this IP may be anonymized/malicious</t>
        </is>
      </c>
      <c r="D1779" t="n">
        <v>5</v>
      </c>
      <c r="E1779" t="inlineStr">
        <is>
          <t>MEDIUM</t>
        </is>
      </c>
      <c r="F1779" t="n">
        <v>2</v>
      </c>
      <c r="G1779" t="n">
        <v>1</v>
      </c>
      <c r="H1779" t="inlineStr">
        <is>
          <t>LOW</t>
        </is>
      </c>
      <c r="I1779" t="n">
        <v>7</v>
      </c>
      <c r="J1779" t="inlineStr">
        <is>
          <t>NO</t>
        </is>
      </c>
      <c r="K1779" t="inlineStr">
        <is>
          <t>2026-02-26 00:15</t>
        </is>
      </c>
      <c r="L1779" t="inlineStr">
        <is>
          <t>Block or monitor</t>
        </is>
      </c>
      <c r="M1779" t="inlineStr">
        <is>
          <t>Network perimeter</t>
        </is>
      </c>
      <c r="N1779" t="inlineStr">
        <is>
          <t>P4</t>
        </is>
      </c>
      <c r="O1779" t="inlineStr">
        <is>
          <t>Tor exit node - known anonymization service</t>
        </is>
      </c>
      <c r="P1779" t="n">
        <v>0</v>
      </c>
      <c r="Q1779" t="n">
        <v>0</v>
      </c>
      <c r="R1779" t="inlineStr">
        <is>
          <t>T1090.003:Multi-hop Proxy</t>
        </is>
      </c>
      <c r="S1779" t="n">
        <v>1</v>
      </c>
      <c r="T1779" t="inlineStr">
        <is>
          <t>LOW (40%)</t>
        </is>
      </c>
      <c r="U1779" t="inlineStr">
        <is>
          <t>NONE</t>
        </is>
      </c>
      <c r="V1779" t="inlineStr">
        <is>
          <t>NONE</t>
        </is>
      </c>
      <c r="W1779" t="inlineStr">
        <is>
          <t>NONE</t>
        </is>
      </c>
      <c r="X1779" t="inlineStr">
        <is>
          <t>NONE</t>
        </is>
      </c>
      <c r="Y1779" t="n">
        <v>0</v>
      </c>
      <c r="Z1779" t="inlineStr"/>
      <c r="AA1779" t="inlineStr">
        <is>
          <t>https://check.torproject.org/</t>
        </is>
      </c>
    </row>
    <row r="1780">
      <c r="A1780" t="inlineStr">
        <is>
          <t>TOR_EXIT</t>
        </is>
      </c>
      <c r="B1780" t="inlineStr">
        <is>
          <t>c0e70b28e0cb</t>
        </is>
      </c>
      <c r="C1780" t="inlineStr">
        <is>
          <t>Tor Exit Node: 45.138.16.230 | Traffic from this IP may be anonymized/malicious</t>
        </is>
      </c>
      <c r="D1780" t="n">
        <v>5</v>
      </c>
      <c r="E1780" t="inlineStr">
        <is>
          <t>MEDIUM</t>
        </is>
      </c>
      <c r="F1780" t="n">
        <v>2</v>
      </c>
      <c r="G1780" t="n">
        <v>1</v>
      </c>
      <c r="H1780" t="inlineStr">
        <is>
          <t>LOW</t>
        </is>
      </c>
      <c r="I1780" t="n">
        <v>7</v>
      </c>
      <c r="J1780" t="inlineStr">
        <is>
          <t>NO</t>
        </is>
      </c>
      <c r="K1780" t="inlineStr">
        <is>
          <t>2026-02-26 00:15</t>
        </is>
      </c>
      <c r="L1780" t="inlineStr">
        <is>
          <t>Block or monitor</t>
        </is>
      </c>
      <c r="M1780" t="inlineStr">
        <is>
          <t>Network perimeter</t>
        </is>
      </c>
      <c r="N1780" t="inlineStr">
        <is>
          <t>P4</t>
        </is>
      </c>
      <c r="O1780" t="inlineStr">
        <is>
          <t>Tor exit node - known anonymization service</t>
        </is>
      </c>
      <c r="P1780" t="n">
        <v>0</v>
      </c>
      <c r="Q1780" t="n">
        <v>0</v>
      </c>
      <c r="R1780" t="inlineStr">
        <is>
          <t>T1090.003:Multi-hop Proxy</t>
        </is>
      </c>
      <c r="S1780" t="n">
        <v>1</v>
      </c>
      <c r="T1780" t="inlineStr">
        <is>
          <t>LOW (40%)</t>
        </is>
      </c>
      <c r="U1780" t="inlineStr">
        <is>
          <t>NONE</t>
        </is>
      </c>
      <c r="V1780" t="inlineStr">
        <is>
          <t>NONE</t>
        </is>
      </c>
      <c r="W1780" t="inlineStr">
        <is>
          <t>NONE</t>
        </is>
      </c>
      <c r="X1780" t="inlineStr">
        <is>
          <t>NONE</t>
        </is>
      </c>
      <c r="Y1780" t="n">
        <v>0</v>
      </c>
      <c r="Z1780" t="inlineStr"/>
      <c r="AA1780" t="inlineStr">
        <is>
          <t>https://check.torproject.org/</t>
        </is>
      </c>
    </row>
    <row r="1781">
      <c r="A1781" t="inlineStr">
        <is>
          <t>TOR_EXIT</t>
        </is>
      </c>
      <c r="B1781" t="inlineStr">
        <is>
          <t>535ea850575d</t>
        </is>
      </c>
      <c r="C1781" t="inlineStr">
        <is>
          <t>Tor Exit Node: 85.215.76.62 | Traffic from this IP may be anonymized/malicious</t>
        </is>
      </c>
      <c r="D1781" t="n">
        <v>5</v>
      </c>
      <c r="E1781" t="inlineStr">
        <is>
          <t>MEDIUM</t>
        </is>
      </c>
      <c r="F1781" t="n">
        <v>2</v>
      </c>
      <c r="G1781" t="n">
        <v>1</v>
      </c>
      <c r="H1781" t="inlineStr">
        <is>
          <t>LOW</t>
        </is>
      </c>
      <c r="I1781" t="n">
        <v>7</v>
      </c>
      <c r="J1781" t="inlineStr">
        <is>
          <t>NO</t>
        </is>
      </c>
      <c r="K1781" t="inlineStr">
        <is>
          <t>2026-02-26 00:15</t>
        </is>
      </c>
      <c r="L1781" t="inlineStr">
        <is>
          <t>Block or monitor</t>
        </is>
      </c>
      <c r="M1781" t="inlineStr">
        <is>
          <t>Network perimeter</t>
        </is>
      </c>
      <c r="N1781" t="inlineStr">
        <is>
          <t>P4</t>
        </is>
      </c>
      <c r="O1781" t="inlineStr">
        <is>
          <t>Tor exit node - known anonymization service</t>
        </is>
      </c>
      <c r="P1781" t="n">
        <v>0</v>
      </c>
      <c r="Q1781" t="n">
        <v>0</v>
      </c>
      <c r="R1781" t="inlineStr">
        <is>
          <t>T1090.003:Multi-hop Proxy</t>
        </is>
      </c>
      <c r="S1781" t="n">
        <v>1</v>
      </c>
      <c r="T1781" t="inlineStr">
        <is>
          <t>LOW (40%)</t>
        </is>
      </c>
      <c r="U1781" t="inlineStr">
        <is>
          <t>NONE</t>
        </is>
      </c>
      <c r="V1781" t="inlineStr">
        <is>
          <t>NONE</t>
        </is>
      </c>
      <c r="W1781" t="inlineStr">
        <is>
          <t>NONE</t>
        </is>
      </c>
      <c r="X1781" t="inlineStr">
        <is>
          <t>NONE</t>
        </is>
      </c>
      <c r="Y1781" t="n">
        <v>0</v>
      </c>
      <c r="Z1781" t="inlineStr"/>
      <c r="AA1781" t="inlineStr">
        <is>
          <t>https://check.torproject.org/</t>
        </is>
      </c>
    </row>
    <row r="1782">
      <c r="A1782" t="inlineStr">
        <is>
          <t>TOR_EXIT</t>
        </is>
      </c>
      <c r="B1782" t="inlineStr">
        <is>
          <t>bd41091803cf</t>
        </is>
      </c>
      <c r="C1782" t="inlineStr">
        <is>
          <t>Tor Exit Node: 87.118.116.103 | Traffic from this IP may be anonymized/malicious</t>
        </is>
      </c>
      <c r="D1782" t="n">
        <v>5</v>
      </c>
      <c r="E1782" t="inlineStr">
        <is>
          <t>MEDIUM</t>
        </is>
      </c>
      <c r="F1782" t="n">
        <v>2</v>
      </c>
      <c r="G1782" t="n">
        <v>1</v>
      </c>
      <c r="H1782" t="inlineStr">
        <is>
          <t>LOW</t>
        </is>
      </c>
      <c r="I1782" t="n">
        <v>7</v>
      </c>
      <c r="J1782" t="inlineStr">
        <is>
          <t>NO</t>
        </is>
      </c>
      <c r="K1782" t="inlineStr">
        <is>
          <t>2026-02-26 00:15</t>
        </is>
      </c>
      <c r="L1782" t="inlineStr">
        <is>
          <t>Block or monitor</t>
        </is>
      </c>
      <c r="M1782" t="inlineStr">
        <is>
          <t>Network perimeter</t>
        </is>
      </c>
      <c r="N1782" t="inlineStr">
        <is>
          <t>P4</t>
        </is>
      </c>
      <c r="O1782" t="inlineStr">
        <is>
          <t>Tor exit node - known anonymization service</t>
        </is>
      </c>
      <c r="P1782" t="n">
        <v>0</v>
      </c>
      <c r="Q1782" t="n">
        <v>0</v>
      </c>
      <c r="R1782" t="inlineStr">
        <is>
          <t>T1090.003:Multi-hop Proxy</t>
        </is>
      </c>
      <c r="S1782" t="n">
        <v>1</v>
      </c>
      <c r="T1782" t="inlineStr">
        <is>
          <t>LOW (40%)</t>
        </is>
      </c>
      <c r="U1782" t="inlineStr">
        <is>
          <t>NONE</t>
        </is>
      </c>
      <c r="V1782" t="inlineStr">
        <is>
          <t>NONE</t>
        </is>
      </c>
      <c r="W1782" t="inlineStr">
        <is>
          <t>NONE</t>
        </is>
      </c>
      <c r="X1782" t="inlineStr">
        <is>
          <t>NONE</t>
        </is>
      </c>
      <c r="Y1782" t="n">
        <v>0</v>
      </c>
      <c r="Z1782" t="inlineStr"/>
      <c r="AA1782" t="inlineStr">
        <is>
          <t>https://check.torproject.org/</t>
        </is>
      </c>
    </row>
    <row r="1783">
      <c r="A1783" t="inlineStr">
        <is>
          <t>TOR_EXIT</t>
        </is>
      </c>
      <c r="B1783" t="inlineStr">
        <is>
          <t>9066fcaea3d4</t>
        </is>
      </c>
      <c r="C1783" t="inlineStr">
        <is>
          <t>Tor Exit Node: 185.35.202.222 | Traffic from this IP may be anonymized/malicious</t>
        </is>
      </c>
      <c r="D1783" t="n">
        <v>5</v>
      </c>
      <c r="E1783" t="inlineStr">
        <is>
          <t>MEDIUM</t>
        </is>
      </c>
      <c r="F1783" t="n">
        <v>2</v>
      </c>
      <c r="G1783" t="n">
        <v>1</v>
      </c>
      <c r="H1783" t="inlineStr">
        <is>
          <t>LOW</t>
        </is>
      </c>
      <c r="I1783" t="n">
        <v>7</v>
      </c>
      <c r="J1783" t="inlineStr">
        <is>
          <t>NO</t>
        </is>
      </c>
      <c r="K1783" t="inlineStr">
        <is>
          <t>2026-02-26 00:15</t>
        </is>
      </c>
      <c r="L1783" t="inlineStr">
        <is>
          <t>Block or monitor</t>
        </is>
      </c>
      <c r="M1783" t="inlineStr">
        <is>
          <t>Network perimeter</t>
        </is>
      </c>
      <c r="N1783" t="inlineStr">
        <is>
          <t>P4</t>
        </is>
      </c>
      <c r="O1783" t="inlineStr">
        <is>
          <t>Tor exit node - known anonymization service</t>
        </is>
      </c>
      <c r="P1783" t="n">
        <v>0</v>
      </c>
      <c r="Q1783" t="n">
        <v>0</v>
      </c>
      <c r="R1783" t="inlineStr">
        <is>
          <t>T1090.003:Multi-hop Proxy</t>
        </is>
      </c>
      <c r="S1783" t="n">
        <v>1</v>
      </c>
      <c r="T1783" t="inlineStr">
        <is>
          <t>LOW (40%)</t>
        </is>
      </c>
      <c r="U1783" t="inlineStr">
        <is>
          <t>NONE</t>
        </is>
      </c>
      <c r="V1783" t="inlineStr">
        <is>
          <t>NONE</t>
        </is>
      </c>
      <c r="W1783" t="inlineStr">
        <is>
          <t>NONE</t>
        </is>
      </c>
      <c r="X1783" t="inlineStr">
        <is>
          <t>NONE</t>
        </is>
      </c>
      <c r="Y1783" t="n">
        <v>0</v>
      </c>
      <c r="Z1783" t="inlineStr"/>
      <c r="AA1783" t="inlineStr">
        <is>
          <t>https://check.torproject.org/</t>
        </is>
      </c>
    </row>
    <row r="1784">
      <c r="A1784" t="inlineStr">
        <is>
          <t>TOR_EXIT</t>
        </is>
      </c>
      <c r="B1784" t="inlineStr">
        <is>
          <t>299ae5cfdd9d</t>
        </is>
      </c>
      <c r="C1784" t="inlineStr">
        <is>
          <t>Tor Exit Node: 185.165.171.84 | Traffic from this IP may be anonymized/malicious</t>
        </is>
      </c>
      <c r="D1784" t="n">
        <v>5</v>
      </c>
      <c r="E1784" t="inlineStr">
        <is>
          <t>MEDIUM</t>
        </is>
      </c>
      <c r="F1784" t="n">
        <v>2</v>
      </c>
      <c r="G1784" t="n">
        <v>1</v>
      </c>
      <c r="H1784" t="inlineStr">
        <is>
          <t>LOW</t>
        </is>
      </c>
      <c r="I1784" t="n">
        <v>7</v>
      </c>
      <c r="J1784" t="inlineStr">
        <is>
          <t>NO</t>
        </is>
      </c>
      <c r="K1784" t="inlineStr">
        <is>
          <t>2026-02-26 00:15</t>
        </is>
      </c>
      <c r="L1784" t="inlineStr">
        <is>
          <t>Block or monitor</t>
        </is>
      </c>
      <c r="M1784" t="inlineStr">
        <is>
          <t>Network perimeter</t>
        </is>
      </c>
      <c r="N1784" t="inlineStr">
        <is>
          <t>P4</t>
        </is>
      </c>
      <c r="O1784" t="inlineStr">
        <is>
          <t>Tor exit node - known anonymization service</t>
        </is>
      </c>
      <c r="P1784" t="n">
        <v>0</v>
      </c>
      <c r="Q1784" t="n">
        <v>0</v>
      </c>
      <c r="R1784" t="inlineStr">
        <is>
          <t>T1090.003:Multi-hop Proxy</t>
        </is>
      </c>
      <c r="S1784" t="n">
        <v>1</v>
      </c>
      <c r="T1784" t="inlineStr">
        <is>
          <t>LOW (40%)</t>
        </is>
      </c>
      <c r="U1784" t="inlineStr">
        <is>
          <t>NONE</t>
        </is>
      </c>
      <c r="V1784" t="inlineStr">
        <is>
          <t>NONE</t>
        </is>
      </c>
      <c r="W1784" t="inlineStr">
        <is>
          <t>NONE</t>
        </is>
      </c>
      <c r="X1784" t="inlineStr">
        <is>
          <t>NONE</t>
        </is>
      </c>
      <c r="Y1784" t="n">
        <v>0</v>
      </c>
      <c r="Z1784" t="inlineStr"/>
      <c r="AA1784" t="inlineStr">
        <is>
          <t>https://check.torproject.org/</t>
        </is>
      </c>
    </row>
    <row r="1785">
      <c r="A1785" t="inlineStr">
        <is>
          <t>TOR_EXIT</t>
        </is>
      </c>
      <c r="B1785" t="inlineStr">
        <is>
          <t>267563bdcbf7</t>
        </is>
      </c>
      <c r="C1785" t="inlineStr">
        <is>
          <t>Tor Exit Node: 192.42.116.201 | Traffic from this IP may be anonymized/malicious</t>
        </is>
      </c>
      <c r="D1785" t="n">
        <v>5</v>
      </c>
      <c r="E1785" t="inlineStr">
        <is>
          <t>MEDIUM</t>
        </is>
      </c>
      <c r="F1785" t="n">
        <v>2</v>
      </c>
      <c r="G1785" t="n">
        <v>1</v>
      </c>
      <c r="H1785" t="inlineStr">
        <is>
          <t>LOW</t>
        </is>
      </c>
      <c r="I1785" t="n">
        <v>7</v>
      </c>
      <c r="J1785" t="inlineStr">
        <is>
          <t>NO</t>
        </is>
      </c>
      <c r="K1785" t="inlineStr">
        <is>
          <t>2026-02-26 00:15</t>
        </is>
      </c>
      <c r="L1785" t="inlineStr">
        <is>
          <t>Block or monitor</t>
        </is>
      </c>
      <c r="M1785" t="inlineStr">
        <is>
          <t>Network perimeter</t>
        </is>
      </c>
      <c r="N1785" t="inlineStr">
        <is>
          <t>P4</t>
        </is>
      </c>
      <c r="O1785" t="inlineStr">
        <is>
          <t>Tor exit node - known anonymization service</t>
        </is>
      </c>
      <c r="P1785" t="n">
        <v>0</v>
      </c>
      <c r="Q1785" t="n">
        <v>0</v>
      </c>
      <c r="R1785" t="inlineStr">
        <is>
          <t>T1090.003:Multi-hop Proxy</t>
        </is>
      </c>
      <c r="S1785" t="n">
        <v>1</v>
      </c>
      <c r="T1785" t="inlineStr">
        <is>
          <t>LOW (40%)</t>
        </is>
      </c>
      <c r="U1785" t="inlineStr">
        <is>
          <t>NONE</t>
        </is>
      </c>
      <c r="V1785" t="inlineStr">
        <is>
          <t>NONE</t>
        </is>
      </c>
      <c r="W1785" t="inlineStr">
        <is>
          <t>NONE</t>
        </is>
      </c>
      <c r="X1785" t="inlineStr">
        <is>
          <t>NONE</t>
        </is>
      </c>
      <c r="Y1785" t="n">
        <v>0</v>
      </c>
      <c r="Z1785" t="inlineStr"/>
      <c r="AA1785" t="inlineStr">
        <is>
          <t>https://check.torproject.org/</t>
        </is>
      </c>
    </row>
    <row r="1786">
      <c r="A1786" t="inlineStr">
        <is>
          <t>TOR_EXIT</t>
        </is>
      </c>
      <c r="B1786" t="inlineStr">
        <is>
          <t>e86752926b56</t>
        </is>
      </c>
      <c r="C1786" t="inlineStr">
        <is>
          <t>Tor Exit Node: 93.95.228.205 | Traffic from this IP may be anonymized/malicious</t>
        </is>
      </c>
      <c r="D1786" t="n">
        <v>5</v>
      </c>
      <c r="E1786" t="inlineStr">
        <is>
          <t>MEDIUM</t>
        </is>
      </c>
      <c r="F1786" t="n">
        <v>2</v>
      </c>
      <c r="G1786" t="n">
        <v>1</v>
      </c>
      <c r="H1786" t="inlineStr">
        <is>
          <t>LOW</t>
        </is>
      </c>
      <c r="I1786" t="n">
        <v>7</v>
      </c>
      <c r="J1786" t="inlineStr">
        <is>
          <t>NO</t>
        </is>
      </c>
      <c r="K1786" t="inlineStr">
        <is>
          <t>2026-02-26 00:15</t>
        </is>
      </c>
      <c r="L1786" t="inlineStr">
        <is>
          <t>Block or monitor</t>
        </is>
      </c>
      <c r="M1786" t="inlineStr">
        <is>
          <t>Network perimeter</t>
        </is>
      </c>
      <c r="N1786" t="inlineStr">
        <is>
          <t>P4</t>
        </is>
      </c>
      <c r="O1786" t="inlineStr">
        <is>
          <t>Tor exit node - known anonymization service</t>
        </is>
      </c>
      <c r="P1786" t="n">
        <v>0</v>
      </c>
      <c r="Q1786" t="n">
        <v>0</v>
      </c>
      <c r="R1786" t="inlineStr">
        <is>
          <t>T1090.003:Multi-hop Proxy</t>
        </is>
      </c>
      <c r="S1786" t="n">
        <v>1</v>
      </c>
      <c r="T1786" t="inlineStr">
        <is>
          <t>LOW (40%)</t>
        </is>
      </c>
      <c r="U1786" t="inlineStr">
        <is>
          <t>NONE</t>
        </is>
      </c>
      <c r="V1786" t="inlineStr">
        <is>
          <t>NONE</t>
        </is>
      </c>
      <c r="W1786" t="inlineStr">
        <is>
          <t>NONE</t>
        </is>
      </c>
      <c r="X1786" t="inlineStr">
        <is>
          <t>NONE</t>
        </is>
      </c>
      <c r="Y1786" t="n">
        <v>0</v>
      </c>
      <c r="Z1786" t="inlineStr"/>
      <c r="AA1786" t="inlineStr">
        <is>
          <t>https://check.torproject.org/</t>
        </is>
      </c>
    </row>
    <row r="1787">
      <c r="A1787" t="inlineStr">
        <is>
          <t>TOR_EXIT</t>
        </is>
      </c>
      <c r="B1787" t="inlineStr">
        <is>
          <t>be1fc8bacd6e</t>
        </is>
      </c>
      <c r="C1787" t="inlineStr">
        <is>
          <t>Tor Exit Node: 5.2.67.226 | Traffic from this IP may be anonymized/malicious</t>
        </is>
      </c>
      <c r="D1787" t="n">
        <v>5</v>
      </c>
      <c r="E1787" t="inlineStr">
        <is>
          <t>MEDIUM</t>
        </is>
      </c>
      <c r="F1787" t="n">
        <v>2</v>
      </c>
      <c r="G1787" t="n">
        <v>1</v>
      </c>
      <c r="H1787" t="inlineStr">
        <is>
          <t>LOW</t>
        </is>
      </c>
      <c r="I1787" t="n">
        <v>7</v>
      </c>
      <c r="J1787" t="inlineStr">
        <is>
          <t>NO</t>
        </is>
      </c>
      <c r="K1787" t="inlineStr">
        <is>
          <t>2026-02-26 00:15</t>
        </is>
      </c>
      <c r="L1787" t="inlineStr">
        <is>
          <t>Block or monitor</t>
        </is>
      </c>
      <c r="M1787" t="inlineStr">
        <is>
          <t>Network perimeter</t>
        </is>
      </c>
      <c r="N1787" t="inlineStr">
        <is>
          <t>P4</t>
        </is>
      </c>
      <c r="O1787" t="inlineStr">
        <is>
          <t>Tor exit node - known anonymization service</t>
        </is>
      </c>
      <c r="P1787" t="n">
        <v>0</v>
      </c>
      <c r="Q1787" t="n">
        <v>0</v>
      </c>
      <c r="R1787" t="inlineStr">
        <is>
          <t>T1090.003:Multi-hop Proxy</t>
        </is>
      </c>
      <c r="S1787" t="n">
        <v>1</v>
      </c>
      <c r="T1787" t="inlineStr">
        <is>
          <t>LOW (40%)</t>
        </is>
      </c>
      <c r="U1787" t="inlineStr">
        <is>
          <t>NONE</t>
        </is>
      </c>
      <c r="V1787" t="inlineStr">
        <is>
          <t>NONE</t>
        </is>
      </c>
      <c r="W1787" t="inlineStr">
        <is>
          <t>NONE</t>
        </is>
      </c>
      <c r="X1787" t="inlineStr">
        <is>
          <t>NONE</t>
        </is>
      </c>
      <c r="Y1787" t="n">
        <v>0</v>
      </c>
      <c r="Z1787" t="inlineStr"/>
      <c r="AA1787" t="inlineStr">
        <is>
          <t>https://check.torproject.org/</t>
        </is>
      </c>
    </row>
    <row r="1788">
      <c r="A1788" t="inlineStr">
        <is>
          <t>TOR_EXIT</t>
        </is>
      </c>
      <c r="B1788" t="inlineStr">
        <is>
          <t>445ad503a1ad</t>
        </is>
      </c>
      <c r="C1788" t="inlineStr">
        <is>
          <t>Tor Exit Node: 185.220.101.135 | Traffic from this IP may be anonymized/malicious</t>
        </is>
      </c>
      <c r="D1788" t="n">
        <v>5</v>
      </c>
      <c r="E1788" t="inlineStr">
        <is>
          <t>MEDIUM</t>
        </is>
      </c>
      <c r="F1788" t="n">
        <v>2</v>
      </c>
      <c r="G1788" t="n">
        <v>1</v>
      </c>
      <c r="H1788" t="inlineStr">
        <is>
          <t>LOW</t>
        </is>
      </c>
      <c r="I1788" t="n">
        <v>7</v>
      </c>
      <c r="J1788" t="inlineStr">
        <is>
          <t>NO</t>
        </is>
      </c>
      <c r="K1788" t="inlineStr">
        <is>
          <t>2026-02-26 00:15</t>
        </is>
      </c>
      <c r="L1788" t="inlineStr">
        <is>
          <t>Block or monitor</t>
        </is>
      </c>
      <c r="M1788" t="inlineStr">
        <is>
          <t>Network perimeter</t>
        </is>
      </c>
      <c r="N1788" t="inlineStr">
        <is>
          <t>P4</t>
        </is>
      </c>
      <c r="O1788" t="inlineStr">
        <is>
          <t>Tor exit node - known anonymization service</t>
        </is>
      </c>
      <c r="P1788" t="n">
        <v>0</v>
      </c>
      <c r="Q1788" t="n">
        <v>0</v>
      </c>
      <c r="R1788" t="inlineStr">
        <is>
          <t>T1090.003:Multi-hop Proxy</t>
        </is>
      </c>
      <c r="S1788" t="n">
        <v>1</v>
      </c>
      <c r="T1788" t="inlineStr">
        <is>
          <t>LOW (40%)</t>
        </is>
      </c>
      <c r="U1788" t="inlineStr">
        <is>
          <t>NONE</t>
        </is>
      </c>
      <c r="V1788" t="inlineStr">
        <is>
          <t>NONE</t>
        </is>
      </c>
      <c r="W1788" t="inlineStr">
        <is>
          <t>NONE</t>
        </is>
      </c>
      <c r="X1788" t="inlineStr">
        <is>
          <t>NONE</t>
        </is>
      </c>
      <c r="Y1788" t="n">
        <v>0</v>
      </c>
      <c r="Z1788" t="inlineStr"/>
      <c r="AA1788" t="inlineStr">
        <is>
          <t>https://check.torproject.org/</t>
        </is>
      </c>
    </row>
    <row r="1789">
      <c r="A1789" t="inlineStr">
        <is>
          <t>TOR_EXIT</t>
        </is>
      </c>
      <c r="B1789" t="inlineStr">
        <is>
          <t>fa338c91fd7c</t>
        </is>
      </c>
      <c r="C1789" t="inlineStr">
        <is>
          <t>Tor Exit Node: 5.255.117.56 | Traffic from this IP may be anonymized/malicious</t>
        </is>
      </c>
      <c r="D1789" t="n">
        <v>5</v>
      </c>
      <c r="E1789" t="inlineStr">
        <is>
          <t>MEDIUM</t>
        </is>
      </c>
      <c r="F1789" t="n">
        <v>2</v>
      </c>
      <c r="G1789" t="n">
        <v>1</v>
      </c>
      <c r="H1789" t="inlineStr">
        <is>
          <t>LOW</t>
        </is>
      </c>
      <c r="I1789" t="n">
        <v>7</v>
      </c>
      <c r="J1789" t="inlineStr">
        <is>
          <t>NO</t>
        </is>
      </c>
      <c r="K1789" t="inlineStr">
        <is>
          <t>2026-02-26 00:15</t>
        </is>
      </c>
      <c r="L1789" t="inlineStr">
        <is>
          <t>Block or monitor</t>
        </is>
      </c>
      <c r="M1789" t="inlineStr">
        <is>
          <t>Network perimeter</t>
        </is>
      </c>
      <c r="N1789" t="inlineStr">
        <is>
          <t>P4</t>
        </is>
      </c>
      <c r="O1789" t="inlineStr">
        <is>
          <t>Tor exit node - known anonymization service</t>
        </is>
      </c>
      <c r="P1789" t="n">
        <v>0</v>
      </c>
      <c r="Q1789" t="n">
        <v>0</v>
      </c>
      <c r="R1789" t="inlineStr">
        <is>
          <t>T1090.003:Multi-hop Proxy</t>
        </is>
      </c>
      <c r="S1789" t="n">
        <v>1</v>
      </c>
      <c r="T1789" t="inlineStr">
        <is>
          <t>LOW (40%)</t>
        </is>
      </c>
      <c r="U1789" t="inlineStr">
        <is>
          <t>NONE</t>
        </is>
      </c>
      <c r="V1789" t="inlineStr">
        <is>
          <t>NONE</t>
        </is>
      </c>
      <c r="W1789" t="inlineStr">
        <is>
          <t>NONE</t>
        </is>
      </c>
      <c r="X1789" t="inlineStr">
        <is>
          <t>NONE</t>
        </is>
      </c>
      <c r="Y1789" t="n">
        <v>0</v>
      </c>
      <c r="Z1789" t="inlineStr"/>
      <c r="AA1789" t="inlineStr">
        <is>
          <t>https://check.torproject.org/</t>
        </is>
      </c>
    </row>
    <row r="1790">
      <c r="A1790" t="inlineStr">
        <is>
          <t>TOR_EXIT</t>
        </is>
      </c>
      <c r="B1790" t="inlineStr">
        <is>
          <t>4b8694ab5ceb</t>
        </is>
      </c>
      <c r="C1790" t="inlineStr">
        <is>
          <t>Tor Exit Node: 144.217.80.80 | Traffic from this IP may be anonymized/malicious</t>
        </is>
      </c>
      <c r="D1790" t="n">
        <v>5</v>
      </c>
      <c r="E1790" t="inlineStr">
        <is>
          <t>MEDIUM</t>
        </is>
      </c>
      <c r="F1790" t="n">
        <v>2</v>
      </c>
      <c r="G1790" t="n">
        <v>1</v>
      </c>
      <c r="H1790" t="inlineStr">
        <is>
          <t>LOW</t>
        </is>
      </c>
      <c r="I1790" t="n">
        <v>7</v>
      </c>
      <c r="J1790" t="inlineStr">
        <is>
          <t>NO</t>
        </is>
      </c>
      <c r="K1790" t="inlineStr">
        <is>
          <t>2026-02-26 00:15</t>
        </is>
      </c>
      <c r="L1790" t="inlineStr">
        <is>
          <t>Block or monitor</t>
        </is>
      </c>
      <c r="M1790" t="inlineStr">
        <is>
          <t>Network perimeter</t>
        </is>
      </c>
      <c r="N1790" t="inlineStr">
        <is>
          <t>P4</t>
        </is>
      </c>
      <c r="O1790" t="inlineStr">
        <is>
          <t>Tor exit node - known anonymization service</t>
        </is>
      </c>
      <c r="P1790" t="n">
        <v>0</v>
      </c>
      <c r="Q1790" t="n">
        <v>0</v>
      </c>
      <c r="R1790" t="inlineStr">
        <is>
          <t>T1090.003:Multi-hop Proxy</t>
        </is>
      </c>
      <c r="S1790" t="n">
        <v>1</v>
      </c>
      <c r="T1790" t="inlineStr">
        <is>
          <t>LOW (40%)</t>
        </is>
      </c>
      <c r="U1790" t="inlineStr">
        <is>
          <t>NONE</t>
        </is>
      </c>
      <c r="V1790" t="inlineStr">
        <is>
          <t>NONE</t>
        </is>
      </c>
      <c r="W1790" t="inlineStr">
        <is>
          <t>NONE</t>
        </is>
      </c>
      <c r="X1790" t="inlineStr">
        <is>
          <t>NONE</t>
        </is>
      </c>
      <c r="Y1790" t="n">
        <v>0</v>
      </c>
      <c r="Z1790" t="inlineStr"/>
      <c r="AA1790" t="inlineStr">
        <is>
          <t>https://check.torproject.org/</t>
        </is>
      </c>
    </row>
    <row r="1791">
      <c r="A1791" t="inlineStr">
        <is>
          <t>TOR_EXIT</t>
        </is>
      </c>
      <c r="B1791" t="inlineStr">
        <is>
          <t>d8325e3ec2a4</t>
        </is>
      </c>
      <c r="C1791" t="inlineStr">
        <is>
          <t>Tor Exit Node: 103.251.167.20 | Traffic from this IP may be anonymized/malicious</t>
        </is>
      </c>
      <c r="D1791" t="n">
        <v>5</v>
      </c>
      <c r="E1791" t="inlineStr">
        <is>
          <t>MEDIUM</t>
        </is>
      </c>
      <c r="F1791" t="n">
        <v>2</v>
      </c>
      <c r="G1791" t="n">
        <v>1</v>
      </c>
      <c r="H1791" t="inlineStr">
        <is>
          <t>LOW</t>
        </is>
      </c>
      <c r="I1791" t="n">
        <v>7</v>
      </c>
      <c r="J1791" t="inlineStr">
        <is>
          <t>NO</t>
        </is>
      </c>
      <c r="K1791" t="inlineStr">
        <is>
          <t>2026-02-26 00:15</t>
        </is>
      </c>
      <c r="L1791" t="inlineStr">
        <is>
          <t>Block or monitor</t>
        </is>
      </c>
      <c r="M1791" t="inlineStr">
        <is>
          <t>Network perimeter</t>
        </is>
      </c>
      <c r="N1791" t="inlineStr">
        <is>
          <t>P4</t>
        </is>
      </c>
      <c r="O1791" t="inlineStr">
        <is>
          <t>Tor exit node - known anonymization service</t>
        </is>
      </c>
      <c r="P1791" t="n">
        <v>0</v>
      </c>
      <c r="Q1791" t="n">
        <v>0</v>
      </c>
      <c r="R1791" t="inlineStr">
        <is>
          <t>T1090.003:Multi-hop Proxy</t>
        </is>
      </c>
      <c r="S1791" t="n">
        <v>1</v>
      </c>
      <c r="T1791" t="inlineStr">
        <is>
          <t>LOW (40%)</t>
        </is>
      </c>
      <c r="U1791" t="inlineStr">
        <is>
          <t>NONE</t>
        </is>
      </c>
      <c r="V1791" t="inlineStr">
        <is>
          <t>NONE</t>
        </is>
      </c>
      <c r="W1791" t="inlineStr">
        <is>
          <t>NONE</t>
        </is>
      </c>
      <c r="X1791" t="inlineStr">
        <is>
          <t>NONE</t>
        </is>
      </c>
      <c r="Y1791" t="n">
        <v>0</v>
      </c>
      <c r="Z1791" t="inlineStr"/>
      <c r="AA1791" t="inlineStr">
        <is>
          <t>https://check.torproject.org/</t>
        </is>
      </c>
    </row>
    <row r="1792">
      <c r="A1792" t="inlineStr">
        <is>
          <t>TOR_EXIT</t>
        </is>
      </c>
      <c r="B1792" t="inlineStr">
        <is>
          <t>b66652544656</t>
        </is>
      </c>
      <c r="C1792" t="inlineStr">
        <is>
          <t>Tor Exit Node: 198.98.53.136 | Traffic from this IP may be anonymized/malicious</t>
        </is>
      </c>
      <c r="D1792" t="n">
        <v>5</v>
      </c>
      <c r="E1792" t="inlineStr">
        <is>
          <t>MEDIUM</t>
        </is>
      </c>
      <c r="F1792" t="n">
        <v>2</v>
      </c>
      <c r="G1792" t="n">
        <v>1</v>
      </c>
      <c r="H1792" t="inlineStr">
        <is>
          <t>LOW</t>
        </is>
      </c>
      <c r="I1792" t="n">
        <v>7</v>
      </c>
      <c r="J1792" t="inlineStr">
        <is>
          <t>NO</t>
        </is>
      </c>
      <c r="K1792" t="inlineStr">
        <is>
          <t>2026-02-26 00:15</t>
        </is>
      </c>
      <c r="L1792" t="inlineStr">
        <is>
          <t>Block or monitor</t>
        </is>
      </c>
      <c r="M1792" t="inlineStr">
        <is>
          <t>Network perimeter</t>
        </is>
      </c>
      <c r="N1792" t="inlineStr">
        <is>
          <t>P4</t>
        </is>
      </c>
      <c r="O1792" t="inlineStr">
        <is>
          <t>Tor exit node - known anonymization service</t>
        </is>
      </c>
      <c r="P1792" t="n">
        <v>0</v>
      </c>
      <c r="Q1792" t="n">
        <v>0</v>
      </c>
      <c r="R1792" t="inlineStr">
        <is>
          <t>T1090.003:Multi-hop Proxy</t>
        </is>
      </c>
      <c r="S1792" t="n">
        <v>1</v>
      </c>
      <c r="T1792" t="inlineStr">
        <is>
          <t>LOW (40%)</t>
        </is>
      </c>
      <c r="U1792" t="inlineStr">
        <is>
          <t>NONE</t>
        </is>
      </c>
      <c r="V1792" t="inlineStr">
        <is>
          <t>NONE</t>
        </is>
      </c>
      <c r="W1792" t="inlineStr">
        <is>
          <t>NONE</t>
        </is>
      </c>
      <c r="X1792" t="inlineStr">
        <is>
          <t>NONE</t>
        </is>
      </c>
      <c r="Y1792" t="n">
        <v>0</v>
      </c>
      <c r="Z1792" t="inlineStr"/>
      <c r="AA1792" t="inlineStr">
        <is>
          <t>https://check.torproject.org/</t>
        </is>
      </c>
    </row>
    <row r="1793">
      <c r="A1793" t="inlineStr">
        <is>
          <t>TOR_EXIT</t>
        </is>
      </c>
      <c r="B1793" t="inlineStr">
        <is>
          <t>9b401cbe3a06</t>
        </is>
      </c>
      <c r="C1793" t="inlineStr">
        <is>
          <t>Tor Exit Node: 104.244.73.136 | Traffic from this IP may be anonymized/malicious</t>
        </is>
      </c>
      <c r="D1793" t="n">
        <v>5</v>
      </c>
      <c r="E1793" t="inlineStr">
        <is>
          <t>MEDIUM</t>
        </is>
      </c>
      <c r="F1793" t="n">
        <v>2</v>
      </c>
      <c r="G1793" t="n">
        <v>1</v>
      </c>
      <c r="H1793" t="inlineStr">
        <is>
          <t>LOW</t>
        </is>
      </c>
      <c r="I1793" t="n">
        <v>7</v>
      </c>
      <c r="J1793" t="inlineStr">
        <is>
          <t>NO</t>
        </is>
      </c>
      <c r="K1793" t="inlineStr">
        <is>
          <t>2026-02-26 00:15</t>
        </is>
      </c>
      <c r="L1793" t="inlineStr">
        <is>
          <t>Block or monitor</t>
        </is>
      </c>
      <c r="M1793" t="inlineStr">
        <is>
          <t>Network perimeter</t>
        </is>
      </c>
      <c r="N1793" t="inlineStr">
        <is>
          <t>P4</t>
        </is>
      </c>
      <c r="O1793" t="inlineStr">
        <is>
          <t>Tor exit node - known anonymization service</t>
        </is>
      </c>
      <c r="P1793" t="n">
        <v>0</v>
      </c>
      <c r="Q1793" t="n">
        <v>0</v>
      </c>
      <c r="R1793" t="inlineStr">
        <is>
          <t>T1090.003:Multi-hop Proxy</t>
        </is>
      </c>
      <c r="S1793" t="n">
        <v>1</v>
      </c>
      <c r="T1793" t="inlineStr">
        <is>
          <t>LOW (40%)</t>
        </is>
      </c>
      <c r="U1793" t="inlineStr">
        <is>
          <t>NONE</t>
        </is>
      </c>
      <c r="V1793" t="inlineStr">
        <is>
          <t>NONE</t>
        </is>
      </c>
      <c r="W1793" t="inlineStr">
        <is>
          <t>NONE</t>
        </is>
      </c>
      <c r="X1793" t="inlineStr">
        <is>
          <t>NONE</t>
        </is>
      </c>
      <c r="Y1793" t="n">
        <v>0</v>
      </c>
      <c r="Z1793" t="inlineStr"/>
      <c r="AA1793" t="inlineStr">
        <is>
          <t>https://check.torproject.org/</t>
        </is>
      </c>
    </row>
    <row r="1794">
      <c r="A1794" t="inlineStr">
        <is>
          <t>TOR_EXIT</t>
        </is>
      </c>
      <c r="B1794" t="inlineStr">
        <is>
          <t>3262bc49b597</t>
        </is>
      </c>
      <c r="C1794" t="inlineStr">
        <is>
          <t>Tor Exit Node: 144.172.73.6 | Traffic from this IP may be anonymized/malicious</t>
        </is>
      </c>
      <c r="D1794" t="n">
        <v>5</v>
      </c>
      <c r="E1794" t="inlineStr">
        <is>
          <t>MEDIUM</t>
        </is>
      </c>
      <c r="F1794" t="n">
        <v>2</v>
      </c>
      <c r="G1794" t="n">
        <v>1</v>
      </c>
      <c r="H1794" t="inlineStr">
        <is>
          <t>LOW</t>
        </is>
      </c>
      <c r="I1794" t="n">
        <v>7</v>
      </c>
      <c r="J1794" t="inlineStr">
        <is>
          <t>NO</t>
        </is>
      </c>
      <c r="K1794" t="inlineStr">
        <is>
          <t>2026-02-26 00:15</t>
        </is>
      </c>
      <c r="L1794" t="inlineStr">
        <is>
          <t>Block or monitor</t>
        </is>
      </c>
      <c r="M1794" t="inlineStr">
        <is>
          <t>Network perimeter</t>
        </is>
      </c>
      <c r="N1794" t="inlineStr">
        <is>
          <t>P4</t>
        </is>
      </c>
      <c r="O1794" t="inlineStr">
        <is>
          <t>Tor exit node - known anonymization service</t>
        </is>
      </c>
      <c r="P1794" t="n">
        <v>0</v>
      </c>
      <c r="Q1794" t="n">
        <v>0</v>
      </c>
      <c r="R1794" t="inlineStr">
        <is>
          <t>T1090.003:Multi-hop Proxy</t>
        </is>
      </c>
      <c r="S1794" t="n">
        <v>1</v>
      </c>
      <c r="T1794" t="inlineStr">
        <is>
          <t>LOW (40%)</t>
        </is>
      </c>
      <c r="U1794" t="inlineStr">
        <is>
          <t>NONE</t>
        </is>
      </c>
      <c r="V1794" t="inlineStr">
        <is>
          <t>NONE</t>
        </is>
      </c>
      <c r="W1794" t="inlineStr">
        <is>
          <t>NONE</t>
        </is>
      </c>
      <c r="X1794" t="inlineStr">
        <is>
          <t>NONE</t>
        </is>
      </c>
      <c r="Y1794" t="n">
        <v>0</v>
      </c>
      <c r="Z1794" t="inlineStr"/>
      <c r="AA1794" t="inlineStr">
        <is>
          <t>https://check.torproject.org/</t>
        </is>
      </c>
    </row>
    <row r="1795">
      <c r="A1795" t="inlineStr">
        <is>
          <t>BLOCKLIST_DE</t>
        </is>
      </c>
      <c r="B1795" t="inlineStr">
        <is>
          <t>0b0d18fbf54e</t>
        </is>
      </c>
      <c r="C1795" t="inlineStr">
        <is>
          <t>Blocklist.de: 1.14.12.141 | Attack activity reported | Sources: BLOCKLIST_DE</t>
        </is>
      </c>
      <c r="D1795" t="n">
        <v>6</v>
      </c>
      <c r="E1795" t="inlineStr">
        <is>
          <t>MEDIUM</t>
        </is>
      </c>
      <c r="F1795" t="n">
        <v>2</v>
      </c>
      <c r="G1795" t="n">
        <v>2</v>
      </c>
      <c r="H1795" t="inlineStr">
        <is>
          <t>MEDIUM</t>
        </is>
      </c>
      <c r="I1795" t="n">
        <v>10</v>
      </c>
      <c r="J1795" t="inlineStr">
        <is>
          <t>NO</t>
        </is>
      </c>
      <c r="K1795" t="inlineStr">
        <is>
          <t>2026-02-26 00:15</t>
        </is>
      </c>
      <c r="L1795" t="inlineStr">
        <is>
          <t>Block IP</t>
        </is>
      </c>
      <c r="M1795" t="inlineStr">
        <is>
          <t>Firewall/Network</t>
        </is>
      </c>
      <c r="N1795" t="inlineStr">
        <is>
          <t>P4</t>
        </is>
      </c>
      <c r="O1795" t="inlineStr">
        <is>
          <t>Blocklist IP — ip-api.com context available</t>
        </is>
      </c>
      <c r="P1795" t="n">
        <v>0</v>
      </c>
      <c r="Q1795" t="n">
        <v>0</v>
      </c>
      <c r="R1795" t="inlineStr">
        <is>
          <t>T1110:Brute Force | T1190:Exploit Public-Facing Application</t>
        </is>
      </c>
      <c r="S1795" t="n">
        <v>1</v>
      </c>
      <c r="T1795" t="inlineStr">
        <is>
          <t>LOW (40%)</t>
        </is>
      </c>
      <c r="U1795" t="inlineStr">
        <is>
          <t>NONE</t>
        </is>
      </c>
      <c r="V1795" t="inlineStr">
        <is>
          <t>NONE</t>
        </is>
      </c>
      <c r="W1795" t="inlineStr">
        <is>
          <t>NONE</t>
        </is>
      </c>
      <c r="X1795" t="inlineStr">
        <is>
          <t>NONE</t>
        </is>
      </c>
      <c r="Y1795" t="n">
        <v>0</v>
      </c>
      <c r="Z1795" t="inlineStr"/>
      <c r="AA1795" t="inlineStr">
        <is>
          <t>https://www.blocklist.de/</t>
        </is>
      </c>
    </row>
    <row r="1796">
      <c r="A1796" t="inlineStr">
        <is>
          <t>BLOCKLIST_DE</t>
        </is>
      </c>
      <c r="B1796" t="inlineStr">
        <is>
          <t>1c994f7ff000</t>
        </is>
      </c>
      <c r="C1796" t="inlineStr">
        <is>
          <t>Blocklist.de: 1.14.254.146 | Attack activity reported | Sources: BLOCKLIST_DE</t>
        </is>
      </c>
      <c r="D1796" t="n">
        <v>6</v>
      </c>
      <c r="E1796" t="inlineStr">
        <is>
          <t>MEDIUM</t>
        </is>
      </c>
      <c r="F1796" t="n">
        <v>2</v>
      </c>
      <c r="G1796" t="n">
        <v>2</v>
      </c>
      <c r="H1796" t="inlineStr">
        <is>
          <t>MEDIUM</t>
        </is>
      </c>
      <c r="I1796" t="n">
        <v>10</v>
      </c>
      <c r="J1796" t="inlineStr">
        <is>
          <t>NO</t>
        </is>
      </c>
      <c r="K1796" t="inlineStr">
        <is>
          <t>2026-02-26 00:15</t>
        </is>
      </c>
      <c r="L1796" t="inlineStr">
        <is>
          <t>Block IP</t>
        </is>
      </c>
      <c r="M1796" t="inlineStr">
        <is>
          <t>Firewall/Network</t>
        </is>
      </c>
      <c r="N1796" t="inlineStr">
        <is>
          <t>P4</t>
        </is>
      </c>
      <c r="O1796" t="inlineStr">
        <is>
          <t>Blocklist IP — ip-api.com context available</t>
        </is>
      </c>
      <c r="P1796" t="n">
        <v>0</v>
      </c>
      <c r="Q1796" t="n">
        <v>0</v>
      </c>
      <c r="R1796" t="inlineStr">
        <is>
          <t>T1110:Brute Force | T1190:Exploit Public-Facing Application</t>
        </is>
      </c>
      <c r="S1796" t="n">
        <v>1</v>
      </c>
      <c r="T1796" t="inlineStr">
        <is>
          <t>LOW (40%)</t>
        </is>
      </c>
      <c r="U1796" t="inlineStr">
        <is>
          <t>NONE</t>
        </is>
      </c>
      <c r="V1796" t="inlineStr">
        <is>
          <t>NONE</t>
        </is>
      </c>
      <c r="W1796" t="inlineStr">
        <is>
          <t>NONE</t>
        </is>
      </c>
      <c r="X1796" t="inlineStr">
        <is>
          <t>NONE</t>
        </is>
      </c>
      <c r="Y1796" t="n">
        <v>0</v>
      </c>
      <c r="Z1796" t="inlineStr"/>
      <c r="AA1796" t="inlineStr">
        <is>
          <t>https://www.blocklist.de/</t>
        </is>
      </c>
    </row>
    <row r="1797">
      <c r="A1797" t="inlineStr">
        <is>
          <t>BLOCKLIST_DE</t>
        </is>
      </c>
      <c r="B1797" t="inlineStr">
        <is>
          <t>017abc159f47</t>
        </is>
      </c>
      <c r="C1797" t="inlineStr">
        <is>
          <t>Blocklist.de: 1.15.116.189 | Attack activity reported | Sources: TALOS, BLOCKLIST_DE</t>
        </is>
      </c>
      <c r="D1797" t="n">
        <v>6</v>
      </c>
      <c r="E1797" t="inlineStr">
        <is>
          <t>MEDIUM</t>
        </is>
      </c>
      <c r="F1797" t="n">
        <v>2</v>
      </c>
      <c r="G1797" t="n">
        <v>2</v>
      </c>
      <c r="H1797" t="inlineStr">
        <is>
          <t>MEDIUM</t>
        </is>
      </c>
      <c r="I1797" t="n">
        <v>10</v>
      </c>
      <c r="J1797" t="inlineStr">
        <is>
          <t>NO</t>
        </is>
      </c>
      <c r="K1797" t="inlineStr">
        <is>
          <t>2026-02-26 00:15</t>
        </is>
      </c>
      <c r="L1797" t="inlineStr">
        <is>
          <t>Block IP</t>
        </is>
      </c>
      <c r="M1797" t="inlineStr">
        <is>
          <t>Firewall/Network</t>
        </is>
      </c>
      <c r="N1797" t="inlineStr">
        <is>
          <t>P3</t>
        </is>
      </c>
      <c r="O1797" t="inlineStr">
        <is>
          <t>Blocklist IP — ip-api.com context available</t>
        </is>
      </c>
      <c r="P1797" t="n">
        <v>0</v>
      </c>
      <c r="Q1797" t="n">
        <v>0</v>
      </c>
      <c r="R1797" t="inlineStr">
        <is>
          <t>T1110:Brute Force | T1190:Exploit Public-Facing Application</t>
        </is>
      </c>
      <c r="S1797" t="n">
        <v>2</v>
      </c>
      <c r="T1797" t="inlineStr">
        <is>
          <t>HIGH (72%)</t>
        </is>
      </c>
      <c r="U1797" t="inlineStr">
        <is>
          <t>NONE</t>
        </is>
      </c>
      <c r="V1797" t="inlineStr">
        <is>
          <t>NONE</t>
        </is>
      </c>
      <c r="W1797" t="inlineStr">
        <is>
          <t>NONE</t>
        </is>
      </c>
      <c r="X1797" t="inlineStr">
        <is>
          <t>NONE</t>
        </is>
      </c>
      <c r="Y1797" t="n">
        <v>0</v>
      </c>
      <c r="Z1797" t="inlineStr"/>
      <c r="AA1797" t="inlineStr">
        <is>
          <t>https://www.blocklist.de/</t>
        </is>
      </c>
    </row>
    <row r="1798">
      <c r="A1798" t="inlineStr">
        <is>
          <t>BLOCKLIST_DE</t>
        </is>
      </c>
      <c r="B1798" t="inlineStr">
        <is>
          <t>b2c07aa1d291</t>
        </is>
      </c>
      <c r="C1798" t="inlineStr">
        <is>
          <t>Blocklist.de: 1.15.136.28 | Attack activity reported | Sources: BLOCKLIST_DE</t>
        </is>
      </c>
      <c r="D1798" t="n">
        <v>6</v>
      </c>
      <c r="E1798" t="inlineStr">
        <is>
          <t>MEDIUM</t>
        </is>
      </c>
      <c r="F1798" t="n">
        <v>2</v>
      </c>
      <c r="G1798" t="n">
        <v>2</v>
      </c>
      <c r="H1798" t="inlineStr">
        <is>
          <t>MEDIUM</t>
        </is>
      </c>
      <c r="I1798" t="n">
        <v>10</v>
      </c>
      <c r="J1798" t="inlineStr">
        <is>
          <t>NO</t>
        </is>
      </c>
      <c r="K1798" t="inlineStr">
        <is>
          <t>2026-02-26 00:15</t>
        </is>
      </c>
      <c r="L1798" t="inlineStr">
        <is>
          <t>Block IP</t>
        </is>
      </c>
      <c r="M1798" t="inlineStr">
        <is>
          <t>Firewall/Network</t>
        </is>
      </c>
      <c r="N1798" t="inlineStr">
        <is>
          <t>P4</t>
        </is>
      </c>
      <c r="O1798" t="inlineStr">
        <is>
          <t>Blocklist IP — ip-api.com context available</t>
        </is>
      </c>
      <c r="P1798" t="n">
        <v>0</v>
      </c>
      <c r="Q1798" t="n">
        <v>0</v>
      </c>
      <c r="R1798" t="inlineStr">
        <is>
          <t>T1110:Brute Force | T1190:Exploit Public-Facing Application</t>
        </is>
      </c>
      <c r="S1798" t="n">
        <v>1</v>
      </c>
      <c r="T1798" t="inlineStr">
        <is>
          <t>LOW (40%)</t>
        </is>
      </c>
      <c r="U1798" t="inlineStr">
        <is>
          <t>NONE</t>
        </is>
      </c>
      <c r="V1798" t="inlineStr">
        <is>
          <t>NONE</t>
        </is>
      </c>
      <c r="W1798" t="inlineStr">
        <is>
          <t>NONE</t>
        </is>
      </c>
      <c r="X1798" t="inlineStr">
        <is>
          <t>NONE</t>
        </is>
      </c>
      <c r="Y1798" t="n">
        <v>0</v>
      </c>
      <c r="Z1798" t="inlineStr"/>
      <c r="AA1798" t="inlineStr">
        <is>
          <t>https://www.blocklist.de/</t>
        </is>
      </c>
    </row>
    <row r="1799">
      <c r="A1799" t="inlineStr">
        <is>
          <t>BLOCKLIST_DE</t>
        </is>
      </c>
      <c r="B1799" t="inlineStr">
        <is>
          <t>310a1440e95a</t>
        </is>
      </c>
      <c r="C1799" t="inlineStr">
        <is>
          <t>Blocklist.de: 1.15.77.170 | Attack activity reported | Sources: BLOCKLIST_DE</t>
        </is>
      </c>
      <c r="D1799" t="n">
        <v>6</v>
      </c>
      <c r="E1799" t="inlineStr">
        <is>
          <t>MEDIUM</t>
        </is>
      </c>
      <c r="F1799" t="n">
        <v>2</v>
      </c>
      <c r="G1799" t="n">
        <v>2</v>
      </c>
      <c r="H1799" t="inlineStr">
        <is>
          <t>MEDIUM</t>
        </is>
      </c>
      <c r="I1799" t="n">
        <v>10</v>
      </c>
      <c r="J1799" t="inlineStr">
        <is>
          <t>NO</t>
        </is>
      </c>
      <c r="K1799" t="inlineStr">
        <is>
          <t>2026-02-26 00:15</t>
        </is>
      </c>
      <c r="L1799" t="inlineStr">
        <is>
          <t>Block IP</t>
        </is>
      </c>
      <c r="M1799" t="inlineStr">
        <is>
          <t>Firewall/Network</t>
        </is>
      </c>
      <c r="N1799" t="inlineStr">
        <is>
          <t>P4</t>
        </is>
      </c>
      <c r="O1799" t="inlineStr">
        <is>
          <t>Blocklist IP — ip-api.com context available</t>
        </is>
      </c>
      <c r="P1799" t="n">
        <v>0</v>
      </c>
      <c r="Q1799" t="n">
        <v>0</v>
      </c>
      <c r="R1799" t="inlineStr">
        <is>
          <t>T1110:Brute Force | T1190:Exploit Public-Facing Application</t>
        </is>
      </c>
      <c r="S1799" t="n">
        <v>1</v>
      </c>
      <c r="T1799" t="inlineStr">
        <is>
          <t>LOW (40%)</t>
        </is>
      </c>
      <c r="U1799" t="inlineStr">
        <is>
          <t>NONE</t>
        </is>
      </c>
      <c r="V1799" t="inlineStr">
        <is>
          <t>NONE</t>
        </is>
      </c>
      <c r="W1799" t="inlineStr">
        <is>
          <t>NONE</t>
        </is>
      </c>
      <c r="X1799" t="inlineStr">
        <is>
          <t>NONE</t>
        </is>
      </c>
      <c r="Y1799" t="n">
        <v>0</v>
      </c>
      <c r="Z1799" t="inlineStr"/>
      <c r="AA1799" t="inlineStr">
        <is>
          <t>https://www.blocklist.de/</t>
        </is>
      </c>
    </row>
    <row r="1800">
      <c r="A1800" t="inlineStr">
        <is>
          <t>BLOCKLIST_DE</t>
        </is>
      </c>
      <c r="B1800" t="inlineStr">
        <is>
          <t>3ef74e21375a</t>
        </is>
      </c>
      <c r="C1800" t="inlineStr">
        <is>
          <t>Blocklist.de: 1.168.156.32 | Attack activity reported | Sources: BLOCKLIST_DE</t>
        </is>
      </c>
      <c r="D1800" t="n">
        <v>6</v>
      </c>
      <c r="E1800" t="inlineStr">
        <is>
          <t>MEDIUM</t>
        </is>
      </c>
      <c r="F1800" t="n">
        <v>2</v>
      </c>
      <c r="G1800" t="n">
        <v>2</v>
      </c>
      <c r="H1800" t="inlineStr">
        <is>
          <t>MEDIUM</t>
        </is>
      </c>
      <c r="I1800" t="n">
        <v>10</v>
      </c>
      <c r="J1800" t="inlineStr">
        <is>
          <t>NO</t>
        </is>
      </c>
      <c r="K1800" t="inlineStr">
        <is>
          <t>2026-02-26 00:15</t>
        </is>
      </c>
      <c r="L1800" t="inlineStr">
        <is>
          <t>Block IP</t>
        </is>
      </c>
      <c r="M1800" t="inlineStr">
        <is>
          <t>Firewall/Network</t>
        </is>
      </c>
      <c r="N1800" t="inlineStr">
        <is>
          <t>P4</t>
        </is>
      </c>
      <c r="O1800" t="inlineStr">
        <is>
          <t>Blocklist IP — ip-api.com context available</t>
        </is>
      </c>
      <c r="P1800" t="n">
        <v>0</v>
      </c>
      <c r="Q1800" t="n">
        <v>0</v>
      </c>
      <c r="R1800" t="inlineStr">
        <is>
          <t>T1110:Brute Force | T1190:Exploit Public-Facing Application</t>
        </is>
      </c>
      <c r="S1800" t="n">
        <v>1</v>
      </c>
      <c r="T1800" t="inlineStr">
        <is>
          <t>LOW (40%)</t>
        </is>
      </c>
      <c r="U1800" t="inlineStr">
        <is>
          <t>NONE</t>
        </is>
      </c>
      <c r="V1800" t="inlineStr">
        <is>
          <t>NONE</t>
        </is>
      </c>
      <c r="W1800" t="inlineStr">
        <is>
          <t>NONE</t>
        </is>
      </c>
      <c r="X1800" t="inlineStr">
        <is>
          <t>NONE</t>
        </is>
      </c>
      <c r="Y1800" t="n">
        <v>0</v>
      </c>
      <c r="Z1800" t="inlineStr"/>
      <c r="AA1800" t="inlineStr">
        <is>
          <t>https://www.blocklist.de/</t>
        </is>
      </c>
    </row>
    <row r="1801">
      <c r="A1801" t="inlineStr">
        <is>
          <t>BLOCKLIST_DE</t>
        </is>
      </c>
      <c r="B1801" t="inlineStr">
        <is>
          <t>e0d3994d4cc5</t>
        </is>
      </c>
      <c r="C1801" t="inlineStr">
        <is>
          <t>Blocklist.de: 1.180.62.41 | Attack activity reported | Sources: BLOCKLIST_DE</t>
        </is>
      </c>
      <c r="D1801" t="n">
        <v>6</v>
      </c>
      <c r="E1801" t="inlineStr">
        <is>
          <t>MEDIUM</t>
        </is>
      </c>
      <c r="F1801" t="n">
        <v>2</v>
      </c>
      <c r="G1801" t="n">
        <v>2</v>
      </c>
      <c r="H1801" t="inlineStr">
        <is>
          <t>MEDIUM</t>
        </is>
      </c>
      <c r="I1801" t="n">
        <v>10</v>
      </c>
      <c r="J1801" t="inlineStr">
        <is>
          <t>NO</t>
        </is>
      </c>
      <c r="K1801" t="inlineStr">
        <is>
          <t>2026-02-26 00:15</t>
        </is>
      </c>
      <c r="L1801" t="inlineStr">
        <is>
          <t>Block IP</t>
        </is>
      </c>
      <c r="M1801" t="inlineStr">
        <is>
          <t>Firewall/Network</t>
        </is>
      </c>
      <c r="N1801" t="inlineStr">
        <is>
          <t>P4</t>
        </is>
      </c>
      <c r="O1801" t="inlineStr">
        <is>
          <t>Blocklist IP — ip-api.com context available</t>
        </is>
      </c>
      <c r="P1801" t="n">
        <v>0</v>
      </c>
      <c r="Q1801" t="n">
        <v>0</v>
      </c>
      <c r="R1801" t="inlineStr">
        <is>
          <t>T1110:Brute Force | T1190:Exploit Public-Facing Application</t>
        </is>
      </c>
      <c r="S1801" t="n">
        <v>1</v>
      </c>
      <c r="T1801" t="inlineStr">
        <is>
          <t>LOW (40%)</t>
        </is>
      </c>
      <c r="U1801" t="inlineStr">
        <is>
          <t>NONE</t>
        </is>
      </c>
      <c r="V1801" t="inlineStr">
        <is>
          <t>NONE</t>
        </is>
      </c>
      <c r="W1801" t="inlineStr">
        <is>
          <t>NONE</t>
        </is>
      </c>
      <c r="X1801" t="inlineStr">
        <is>
          <t>NONE</t>
        </is>
      </c>
      <c r="Y1801" t="n">
        <v>0</v>
      </c>
      <c r="Z1801" t="inlineStr"/>
      <c r="AA1801" t="inlineStr">
        <is>
          <t>https://www.blocklist.de/</t>
        </is>
      </c>
    </row>
    <row r="1802">
      <c r="A1802" t="inlineStr">
        <is>
          <t>BLOCKLIST_DE</t>
        </is>
      </c>
      <c r="B1802" t="inlineStr">
        <is>
          <t>9fdfa884d26a</t>
        </is>
      </c>
      <c r="C1802" t="inlineStr">
        <is>
          <t>Blocklist.de: 1.193.163.2 | Attack activity reported | Sources: BLOCKLIST_DE</t>
        </is>
      </c>
      <c r="D1802" t="n">
        <v>6</v>
      </c>
      <c r="E1802" t="inlineStr">
        <is>
          <t>MEDIUM</t>
        </is>
      </c>
      <c r="F1802" t="n">
        <v>2</v>
      </c>
      <c r="G1802" t="n">
        <v>2</v>
      </c>
      <c r="H1802" t="inlineStr">
        <is>
          <t>MEDIUM</t>
        </is>
      </c>
      <c r="I1802" t="n">
        <v>10</v>
      </c>
      <c r="J1802" t="inlineStr">
        <is>
          <t>NO</t>
        </is>
      </c>
      <c r="K1802" t="inlineStr">
        <is>
          <t>2026-02-26 00:15</t>
        </is>
      </c>
      <c r="L1802" t="inlineStr">
        <is>
          <t>Block IP</t>
        </is>
      </c>
      <c r="M1802" t="inlineStr">
        <is>
          <t>Firewall/Network</t>
        </is>
      </c>
      <c r="N1802" t="inlineStr">
        <is>
          <t>P4</t>
        </is>
      </c>
      <c r="O1802" t="inlineStr">
        <is>
          <t>Blocklist IP — ip-api.com context available</t>
        </is>
      </c>
      <c r="P1802" t="n">
        <v>0</v>
      </c>
      <c r="Q1802" t="n">
        <v>0</v>
      </c>
      <c r="R1802" t="inlineStr">
        <is>
          <t>T1110:Brute Force | T1190:Exploit Public-Facing Application</t>
        </is>
      </c>
      <c r="S1802" t="n">
        <v>1</v>
      </c>
      <c r="T1802" t="inlineStr">
        <is>
          <t>LOW (40%)</t>
        </is>
      </c>
      <c r="U1802" t="inlineStr">
        <is>
          <t>NONE</t>
        </is>
      </c>
      <c r="V1802" t="inlineStr">
        <is>
          <t>NONE</t>
        </is>
      </c>
      <c r="W1802" t="inlineStr">
        <is>
          <t>NONE</t>
        </is>
      </c>
      <c r="X1802" t="inlineStr">
        <is>
          <t>NONE</t>
        </is>
      </c>
      <c r="Y1802" t="n">
        <v>0</v>
      </c>
      <c r="Z1802" t="inlineStr"/>
      <c r="AA1802" t="inlineStr">
        <is>
          <t>https://www.blocklist.de/</t>
        </is>
      </c>
    </row>
    <row r="1803">
      <c r="A1803" t="inlineStr">
        <is>
          <t>BLOCKLIST_DE</t>
        </is>
      </c>
      <c r="B1803" t="inlineStr">
        <is>
          <t>13ca9928126d</t>
        </is>
      </c>
      <c r="C1803" t="inlineStr">
        <is>
          <t>Blocklist.de: 1.194.219.159 | Attack activity reported | Sources: BLOCKLIST_DE</t>
        </is>
      </c>
      <c r="D1803" t="n">
        <v>6</v>
      </c>
      <c r="E1803" t="inlineStr">
        <is>
          <t>MEDIUM</t>
        </is>
      </c>
      <c r="F1803" t="n">
        <v>2</v>
      </c>
      <c r="G1803" t="n">
        <v>2</v>
      </c>
      <c r="H1803" t="inlineStr">
        <is>
          <t>MEDIUM</t>
        </is>
      </c>
      <c r="I1803" t="n">
        <v>10</v>
      </c>
      <c r="J1803" t="inlineStr">
        <is>
          <t>NO</t>
        </is>
      </c>
      <c r="K1803" t="inlineStr">
        <is>
          <t>2026-02-26 00:15</t>
        </is>
      </c>
      <c r="L1803" t="inlineStr">
        <is>
          <t>Block IP</t>
        </is>
      </c>
      <c r="M1803" t="inlineStr">
        <is>
          <t>Firewall/Network</t>
        </is>
      </c>
      <c r="N1803" t="inlineStr">
        <is>
          <t>P4</t>
        </is>
      </c>
      <c r="O1803" t="inlineStr">
        <is>
          <t>Blocklist IP — ip-api.com context available</t>
        </is>
      </c>
      <c r="P1803" t="n">
        <v>0</v>
      </c>
      <c r="Q1803" t="n">
        <v>0</v>
      </c>
      <c r="R1803" t="inlineStr">
        <is>
          <t>T1110:Brute Force | T1190:Exploit Public-Facing Application</t>
        </is>
      </c>
      <c r="S1803" t="n">
        <v>1</v>
      </c>
      <c r="T1803" t="inlineStr">
        <is>
          <t>LOW (40%)</t>
        </is>
      </c>
      <c r="U1803" t="inlineStr">
        <is>
          <t>NONE</t>
        </is>
      </c>
      <c r="V1803" t="inlineStr">
        <is>
          <t>NONE</t>
        </is>
      </c>
      <c r="W1803" t="inlineStr">
        <is>
          <t>NONE</t>
        </is>
      </c>
      <c r="X1803" t="inlineStr">
        <is>
          <t>NONE</t>
        </is>
      </c>
      <c r="Y1803" t="n">
        <v>0</v>
      </c>
      <c r="Z1803" t="inlineStr"/>
      <c r="AA1803" t="inlineStr">
        <is>
          <t>https://www.blocklist.de/</t>
        </is>
      </c>
    </row>
    <row r="1804">
      <c r="A1804" t="inlineStr">
        <is>
          <t>BLOCKLIST_DE</t>
        </is>
      </c>
      <c r="B1804" t="inlineStr">
        <is>
          <t>a166dd92f267</t>
        </is>
      </c>
      <c r="C1804" t="inlineStr">
        <is>
          <t>Blocklist.de: 1.204.58.120 | Attack activity reported | Sources: BLOCKLIST_DE</t>
        </is>
      </c>
      <c r="D1804" t="n">
        <v>6</v>
      </c>
      <c r="E1804" t="inlineStr">
        <is>
          <t>MEDIUM</t>
        </is>
      </c>
      <c r="F1804" t="n">
        <v>2</v>
      </c>
      <c r="G1804" t="n">
        <v>2</v>
      </c>
      <c r="H1804" t="inlineStr">
        <is>
          <t>MEDIUM</t>
        </is>
      </c>
      <c r="I1804" t="n">
        <v>10</v>
      </c>
      <c r="J1804" t="inlineStr">
        <is>
          <t>NO</t>
        </is>
      </c>
      <c r="K1804" t="inlineStr">
        <is>
          <t>2026-02-26 00:15</t>
        </is>
      </c>
      <c r="L1804" t="inlineStr">
        <is>
          <t>Block IP</t>
        </is>
      </c>
      <c r="M1804" t="inlineStr">
        <is>
          <t>Firewall/Network</t>
        </is>
      </c>
      <c r="N1804" t="inlineStr">
        <is>
          <t>P4</t>
        </is>
      </c>
      <c r="O1804" t="inlineStr">
        <is>
          <t>Blocklist IP — ip-api.com context available</t>
        </is>
      </c>
      <c r="P1804" t="n">
        <v>0</v>
      </c>
      <c r="Q1804" t="n">
        <v>0</v>
      </c>
      <c r="R1804" t="inlineStr">
        <is>
          <t>T1110:Brute Force | T1190:Exploit Public-Facing Application</t>
        </is>
      </c>
      <c r="S1804" t="n">
        <v>1</v>
      </c>
      <c r="T1804" t="inlineStr">
        <is>
          <t>LOW (40%)</t>
        </is>
      </c>
      <c r="U1804" t="inlineStr">
        <is>
          <t>NONE</t>
        </is>
      </c>
      <c r="V1804" t="inlineStr">
        <is>
          <t>NONE</t>
        </is>
      </c>
      <c r="W1804" t="inlineStr">
        <is>
          <t>NONE</t>
        </is>
      </c>
      <c r="X1804" t="inlineStr">
        <is>
          <t>NONE</t>
        </is>
      </c>
      <c r="Y1804" t="n">
        <v>0</v>
      </c>
      <c r="Z1804" t="inlineStr"/>
      <c r="AA1804" t="inlineStr">
        <is>
          <t>https://www.blocklist.de/</t>
        </is>
      </c>
    </row>
    <row r="1805">
      <c r="A1805" t="inlineStr">
        <is>
          <t>BLOCKLIST_DE</t>
        </is>
      </c>
      <c r="B1805" t="inlineStr">
        <is>
          <t>adaaac596473</t>
        </is>
      </c>
      <c r="C1805" t="inlineStr">
        <is>
          <t>Blocklist.de: 1.212.225.99 | Attack activity reported | Sources: BLOCKLIST_DE</t>
        </is>
      </c>
      <c r="D1805" t="n">
        <v>6</v>
      </c>
      <c r="E1805" t="inlineStr">
        <is>
          <t>MEDIUM</t>
        </is>
      </c>
      <c r="F1805" t="n">
        <v>2</v>
      </c>
      <c r="G1805" t="n">
        <v>2</v>
      </c>
      <c r="H1805" t="inlineStr">
        <is>
          <t>MEDIUM</t>
        </is>
      </c>
      <c r="I1805" t="n">
        <v>10</v>
      </c>
      <c r="J1805" t="inlineStr">
        <is>
          <t>NO</t>
        </is>
      </c>
      <c r="K1805" t="inlineStr">
        <is>
          <t>2026-02-26 00:15</t>
        </is>
      </c>
      <c r="L1805" t="inlineStr">
        <is>
          <t>Block IP</t>
        </is>
      </c>
      <c r="M1805" t="inlineStr">
        <is>
          <t>Firewall/Network</t>
        </is>
      </c>
      <c r="N1805" t="inlineStr">
        <is>
          <t>P4</t>
        </is>
      </c>
      <c r="O1805" t="inlineStr">
        <is>
          <t>Blocklist IP — ip-api.com context available</t>
        </is>
      </c>
      <c r="P1805" t="n">
        <v>0</v>
      </c>
      <c r="Q1805" t="n">
        <v>0</v>
      </c>
      <c r="R1805" t="inlineStr">
        <is>
          <t>T1110:Brute Force | T1190:Exploit Public-Facing Application</t>
        </is>
      </c>
      <c r="S1805" t="n">
        <v>1</v>
      </c>
      <c r="T1805" t="inlineStr">
        <is>
          <t>LOW (40%)</t>
        </is>
      </c>
      <c r="U1805" t="inlineStr">
        <is>
          <t>NONE</t>
        </is>
      </c>
      <c r="V1805" t="inlineStr">
        <is>
          <t>NONE</t>
        </is>
      </c>
      <c r="W1805" t="inlineStr">
        <is>
          <t>NONE</t>
        </is>
      </c>
      <c r="X1805" t="inlineStr">
        <is>
          <t>NONE</t>
        </is>
      </c>
      <c r="Y1805" t="n">
        <v>0</v>
      </c>
      <c r="Z1805" t="inlineStr"/>
      <c r="AA1805" t="inlineStr">
        <is>
          <t>https://www.blocklist.de/</t>
        </is>
      </c>
    </row>
    <row r="1806">
      <c r="A1806" t="inlineStr">
        <is>
          <t>BLOCKLIST_DE</t>
        </is>
      </c>
      <c r="B1806" t="inlineStr">
        <is>
          <t>8662ad84ec1d</t>
        </is>
      </c>
      <c r="C1806" t="inlineStr">
        <is>
          <t>Blocklist.de: 1.214.117.218 | Attack activity reported | Sources: BLOCKLIST_DE</t>
        </is>
      </c>
      <c r="D1806" t="n">
        <v>6</v>
      </c>
      <c r="E1806" t="inlineStr">
        <is>
          <t>MEDIUM</t>
        </is>
      </c>
      <c r="F1806" t="n">
        <v>2</v>
      </c>
      <c r="G1806" t="n">
        <v>2</v>
      </c>
      <c r="H1806" t="inlineStr">
        <is>
          <t>MEDIUM</t>
        </is>
      </c>
      <c r="I1806" t="n">
        <v>10</v>
      </c>
      <c r="J1806" t="inlineStr">
        <is>
          <t>NO</t>
        </is>
      </c>
      <c r="K1806" t="inlineStr">
        <is>
          <t>2026-02-26 00:15</t>
        </is>
      </c>
      <c r="L1806" t="inlineStr">
        <is>
          <t>Block IP</t>
        </is>
      </c>
      <c r="M1806" t="inlineStr">
        <is>
          <t>Firewall/Network</t>
        </is>
      </c>
      <c r="N1806" t="inlineStr">
        <is>
          <t>P4</t>
        </is>
      </c>
      <c r="O1806" t="inlineStr">
        <is>
          <t>Blocklist IP — ip-api.com context available</t>
        </is>
      </c>
      <c r="P1806" t="n">
        <v>0</v>
      </c>
      <c r="Q1806" t="n">
        <v>0</v>
      </c>
      <c r="R1806" t="inlineStr">
        <is>
          <t>T1110:Brute Force | T1190:Exploit Public-Facing Application</t>
        </is>
      </c>
      <c r="S1806" t="n">
        <v>1</v>
      </c>
      <c r="T1806" t="inlineStr">
        <is>
          <t>LOW (40%)</t>
        </is>
      </c>
      <c r="U1806" t="inlineStr">
        <is>
          <t>NONE</t>
        </is>
      </c>
      <c r="V1806" t="inlineStr">
        <is>
          <t>NONE</t>
        </is>
      </c>
      <c r="W1806" t="inlineStr">
        <is>
          <t>NONE</t>
        </is>
      </c>
      <c r="X1806" t="inlineStr">
        <is>
          <t>NONE</t>
        </is>
      </c>
      <c r="Y1806" t="n">
        <v>0</v>
      </c>
      <c r="Z1806" t="inlineStr"/>
      <c r="AA1806" t="inlineStr">
        <is>
          <t>https://www.blocklist.de/</t>
        </is>
      </c>
    </row>
    <row r="1807">
      <c r="A1807" t="inlineStr">
        <is>
          <t>BLOCKLIST_DE</t>
        </is>
      </c>
      <c r="B1807" t="inlineStr">
        <is>
          <t>0d07829f1a7f</t>
        </is>
      </c>
      <c r="C1807" t="inlineStr">
        <is>
          <t>Blocklist.de: 1.214.197.163 | Attack activity reported | Sources: BLOCKLIST_DE</t>
        </is>
      </c>
      <c r="D1807" t="n">
        <v>6</v>
      </c>
      <c r="E1807" t="inlineStr">
        <is>
          <t>MEDIUM</t>
        </is>
      </c>
      <c r="F1807" t="n">
        <v>2</v>
      </c>
      <c r="G1807" t="n">
        <v>2</v>
      </c>
      <c r="H1807" t="inlineStr">
        <is>
          <t>MEDIUM</t>
        </is>
      </c>
      <c r="I1807" t="n">
        <v>10</v>
      </c>
      <c r="J1807" t="inlineStr">
        <is>
          <t>NO</t>
        </is>
      </c>
      <c r="K1807" t="inlineStr">
        <is>
          <t>2026-02-26 00:15</t>
        </is>
      </c>
      <c r="L1807" t="inlineStr">
        <is>
          <t>Block IP</t>
        </is>
      </c>
      <c r="M1807" t="inlineStr">
        <is>
          <t>Firewall/Network</t>
        </is>
      </c>
      <c r="N1807" t="inlineStr">
        <is>
          <t>P4</t>
        </is>
      </c>
      <c r="O1807" t="inlineStr">
        <is>
          <t>Blocklist IP — ip-api.com context available</t>
        </is>
      </c>
      <c r="P1807" t="n">
        <v>0</v>
      </c>
      <c r="Q1807" t="n">
        <v>0</v>
      </c>
      <c r="R1807" t="inlineStr">
        <is>
          <t>T1110:Brute Force | T1190:Exploit Public-Facing Application</t>
        </is>
      </c>
      <c r="S1807" t="n">
        <v>1</v>
      </c>
      <c r="T1807" t="inlineStr">
        <is>
          <t>LOW (40%)</t>
        </is>
      </c>
      <c r="U1807" t="inlineStr">
        <is>
          <t>NONE</t>
        </is>
      </c>
      <c r="V1807" t="inlineStr">
        <is>
          <t>NONE</t>
        </is>
      </c>
      <c r="W1807" t="inlineStr">
        <is>
          <t>NONE</t>
        </is>
      </c>
      <c r="X1807" t="inlineStr">
        <is>
          <t>NONE</t>
        </is>
      </c>
      <c r="Y1807" t="n">
        <v>0</v>
      </c>
      <c r="Z1807" t="inlineStr"/>
      <c r="AA1807" t="inlineStr">
        <is>
          <t>https://www.blocklist.de/</t>
        </is>
      </c>
    </row>
    <row r="1808">
      <c r="A1808" t="inlineStr">
        <is>
          <t>BLOCKLIST_DE</t>
        </is>
      </c>
      <c r="B1808" t="inlineStr">
        <is>
          <t>537208cb5a69</t>
        </is>
      </c>
      <c r="C1808" t="inlineStr">
        <is>
          <t>Blocklist.de: 1.227.228.131 | Attack activity reported | Sources: BLOCKLIST_DE</t>
        </is>
      </c>
      <c r="D1808" t="n">
        <v>6</v>
      </c>
      <c r="E1808" t="inlineStr">
        <is>
          <t>MEDIUM</t>
        </is>
      </c>
      <c r="F1808" t="n">
        <v>2</v>
      </c>
      <c r="G1808" t="n">
        <v>2</v>
      </c>
      <c r="H1808" t="inlineStr">
        <is>
          <t>MEDIUM</t>
        </is>
      </c>
      <c r="I1808" t="n">
        <v>10</v>
      </c>
      <c r="J1808" t="inlineStr">
        <is>
          <t>NO</t>
        </is>
      </c>
      <c r="K1808" t="inlineStr">
        <is>
          <t>2026-02-26 00:15</t>
        </is>
      </c>
      <c r="L1808" t="inlineStr">
        <is>
          <t>Block IP</t>
        </is>
      </c>
      <c r="M1808" t="inlineStr">
        <is>
          <t>Firewall/Network</t>
        </is>
      </c>
      <c r="N1808" t="inlineStr">
        <is>
          <t>P4</t>
        </is>
      </c>
      <c r="O1808" t="inlineStr">
        <is>
          <t>Blocklist IP — ip-api.com context available</t>
        </is>
      </c>
      <c r="P1808" t="n">
        <v>0</v>
      </c>
      <c r="Q1808" t="n">
        <v>0</v>
      </c>
      <c r="R1808" t="inlineStr">
        <is>
          <t>T1110:Brute Force | T1190:Exploit Public-Facing Application</t>
        </is>
      </c>
      <c r="S1808" t="n">
        <v>1</v>
      </c>
      <c r="T1808" t="inlineStr">
        <is>
          <t>LOW (40%)</t>
        </is>
      </c>
      <c r="U1808" t="inlineStr">
        <is>
          <t>NONE</t>
        </is>
      </c>
      <c r="V1808" t="inlineStr">
        <is>
          <t>NONE</t>
        </is>
      </c>
      <c r="W1808" t="inlineStr">
        <is>
          <t>NONE</t>
        </is>
      </c>
      <c r="X1808" t="inlineStr">
        <is>
          <t>NONE</t>
        </is>
      </c>
      <c r="Y1808" t="n">
        <v>0</v>
      </c>
      <c r="Z1808" t="inlineStr"/>
      <c r="AA1808" t="inlineStr">
        <is>
          <t>https://www.blocklist.de/</t>
        </is>
      </c>
    </row>
    <row r="1809">
      <c r="A1809" t="inlineStr">
        <is>
          <t>BLOCKLIST_DE</t>
        </is>
      </c>
      <c r="B1809" t="inlineStr">
        <is>
          <t>0e9f17a8a39c</t>
        </is>
      </c>
      <c r="C1809" t="inlineStr">
        <is>
          <t>Blocklist.de: 1.233.104.29 | Attack activity reported | Sources: BLOCKLIST_DE</t>
        </is>
      </c>
      <c r="D1809" t="n">
        <v>6</v>
      </c>
      <c r="E1809" t="inlineStr">
        <is>
          <t>MEDIUM</t>
        </is>
      </c>
      <c r="F1809" t="n">
        <v>2</v>
      </c>
      <c r="G1809" t="n">
        <v>2</v>
      </c>
      <c r="H1809" t="inlineStr">
        <is>
          <t>MEDIUM</t>
        </is>
      </c>
      <c r="I1809" t="n">
        <v>10</v>
      </c>
      <c r="J1809" t="inlineStr">
        <is>
          <t>NO</t>
        </is>
      </c>
      <c r="K1809" t="inlineStr">
        <is>
          <t>2026-02-26 00:15</t>
        </is>
      </c>
      <c r="L1809" t="inlineStr">
        <is>
          <t>Block IP</t>
        </is>
      </c>
      <c r="M1809" t="inlineStr">
        <is>
          <t>Firewall/Network</t>
        </is>
      </c>
      <c r="N1809" t="inlineStr">
        <is>
          <t>P4</t>
        </is>
      </c>
      <c r="O1809" t="inlineStr">
        <is>
          <t>Blocklist IP — ip-api.com context available</t>
        </is>
      </c>
      <c r="P1809" t="n">
        <v>0</v>
      </c>
      <c r="Q1809" t="n">
        <v>0</v>
      </c>
      <c r="R1809" t="inlineStr">
        <is>
          <t>T1110:Brute Force | T1190:Exploit Public-Facing Application</t>
        </is>
      </c>
      <c r="S1809" t="n">
        <v>1</v>
      </c>
      <c r="T1809" t="inlineStr">
        <is>
          <t>LOW (40%)</t>
        </is>
      </c>
      <c r="U1809" t="inlineStr">
        <is>
          <t>NONE</t>
        </is>
      </c>
      <c r="V1809" t="inlineStr">
        <is>
          <t>NONE</t>
        </is>
      </c>
      <c r="W1809" t="inlineStr">
        <is>
          <t>NONE</t>
        </is>
      </c>
      <c r="X1809" t="inlineStr">
        <is>
          <t>NONE</t>
        </is>
      </c>
      <c r="Y1809" t="n">
        <v>0</v>
      </c>
      <c r="Z1809" t="inlineStr"/>
      <c r="AA1809" t="inlineStr">
        <is>
          <t>https://www.blocklist.de/</t>
        </is>
      </c>
    </row>
    <row r="1810">
      <c r="A1810" t="inlineStr">
        <is>
          <t>BLOCKLIST_DE</t>
        </is>
      </c>
      <c r="B1810" t="inlineStr">
        <is>
          <t>22149440783b</t>
        </is>
      </c>
      <c r="C1810" t="inlineStr">
        <is>
          <t>Blocklist.de: 1.234.23.221 | Attack activity reported | Sources: BLOCKLIST_DE</t>
        </is>
      </c>
      <c r="D1810" t="n">
        <v>6</v>
      </c>
      <c r="E1810" t="inlineStr">
        <is>
          <t>MEDIUM</t>
        </is>
      </c>
      <c r="F1810" t="n">
        <v>2</v>
      </c>
      <c r="G1810" t="n">
        <v>2</v>
      </c>
      <c r="H1810" t="inlineStr">
        <is>
          <t>MEDIUM</t>
        </is>
      </c>
      <c r="I1810" t="n">
        <v>10</v>
      </c>
      <c r="J1810" t="inlineStr">
        <is>
          <t>NO</t>
        </is>
      </c>
      <c r="K1810" t="inlineStr">
        <is>
          <t>2026-02-26 00:15</t>
        </is>
      </c>
      <c r="L1810" t="inlineStr">
        <is>
          <t>Block IP</t>
        </is>
      </c>
      <c r="M1810" t="inlineStr">
        <is>
          <t>Firewall/Network</t>
        </is>
      </c>
      <c r="N1810" t="inlineStr">
        <is>
          <t>P4</t>
        </is>
      </c>
      <c r="O1810" t="inlineStr">
        <is>
          <t>Blocklist IP — ip-api.com context available</t>
        </is>
      </c>
      <c r="P1810" t="n">
        <v>0</v>
      </c>
      <c r="Q1810" t="n">
        <v>0</v>
      </c>
      <c r="R1810" t="inlineStr">
        <is>
          <t>T1110:Brute Force | T1190:Exploit Public-Facing Application</t>
        </is>
      </c>
      <c r="S1810" t="n">
        <v>1</v>
      </c>
      <c r="T1810" t="inlineStr">
        <is>
          <t>LOW (40%)</t>
        </is>
      </c>
      <c r="U1810" t="inlineStr">
        <is>
          <t>NONE</t>
        </is>
      </c>
      <c r="V1810" t="inlineStr">
        <is>
          <t>NONE</t>
        </is>
      </c>
      <c r="W1810" t="inlineStr">
        <is>
          <t>NONE</t>
        </is>
      </c>
      <c r="X1810" t="inlineStr">
        <is>
          <t>NONE</t>
        </is>
      </c>
      <c r="Y1810" t="n">
        <v>0</v>
      </c>
      <c r="Z1810" t="inlineStr"/>
      <c r="AA1810" t="inlineStr">
        <is>
          <t>https://www.blocklist.de/</t>
        </is>
      </c>
    </row>
    <row r="1811">
      <c r="A1811" t="inlineStr">
        <is>
          <t>BLOCKLIST_DE</t>
        </is>
      </c>
      <c r="B1811" t="inlineStr">
        <is>
          <t>8c9b3a8d25de</t>
        </is>
      </c>
      <c r="C1811" t="inlineStr">
        <is>
          <t>Blocklist.de: 1.234.27.159 | Attack activity reported | Sources: BLOCKLIST_DE</t>
        </is>
      </c>
      <c r="D1811" t="n">
        <v>6</v>
      </c>
      <c r="E1811" t="inlineStr">
        <is>
          <t>MEDIUM</t>
        </is>
      </c>
      <c r="F1811" t="n">
        <v>2</v>
      </c>
      <c r="G1811" t="n">
        <v>2</v>
      </c>
      <c r="H1811" t="inlineStr">
        <is>
          <t>MEDIUM</t>
        </is>
      </c>
      <c r="I1811" t="n">
        <v>10</v>
      </c>
      <c r="J1811" t="inlineStr">
        <is>
          <t>NO</t>
        </is>
      </c>
      <c r="K1811" t="inlineStr">
        <is>
          <t>2026-02-26 00:15</t>
        </is>
      </c>
      <c r="L1811" t="inlineStr">
        <is>
          <t>Block IP</t>
        </is>
      </c>
      <c r="M1811" t="inlineStr">
        <is>
          <t>Firewall/Network</t>
        </is>
      </c>
      <c r="N1811" t="inlineStr">
        <is>
          <t>P4</t>
        </is>
      </c>
      <c r="O1811" t="inlineStr">
        <is>
          <t>Blocklist IP — ip-api.com context available</t>
        </is>
      </c>
      <c r="P1811" t="n">
        <v>0</v>
      </c>
      <c r="Q1811" t="n">
        <v>0</v>
      </c>
      <c r="R1811" t="inlineStr">
        <is>
          <t>T1110:Brute Force | T1190:Exploit Public-Facing Application</t>
        </is>
      </c>
      <c r="S1811" t="n">
        <v>1</v>
      </c>
      <c r="T1811" t="inlineStr">
        <is>
          <t>LOW (40%)</t>
        </is>
      </c>
      <c r="U1811" t="inlineStr">
        <is>
          <t>NONE</t>
        </is>
      </c>
      <c r="V1811" t="inlineStr">
        <is>
          <t>NONE</t>
        </is>
      </c>
      <c r="W1811" t="inlineStr">
        <is>
          <t>NONE</t>
        </is>
      </c>
      <c r="X1811" t="inlineStr">
        <is>
          <t>NONE</t>
        </is>
      </c>
      <c r="Y1811" t="n">
        <v>0</v>
      </c>
      <c r="Z1811" t="inlineStr"/>
      <c r="AA1811" t="inlineStr">
        <is>
          <t>https://www.blocklist.de/</t>
        </is>
      </c>
    </row>
    <row r="1812">
      <c r="A1812" t="inlineStr">
        <is>
          <t>BLOCKLIST_DE</t>
        </is>
      </c>
      <c r="B1812" t="inlineStr">
        <is>
          <t>7f8bda0bd561</t>
        </is>
      </c>
      <c r="C1812" t="inlineStr">
        <is>
          <t>Blocklist.de: 1.235.192.130 | Attack activity reported | Sources: BLOCKLIST_DE</t>
        </is>
      </c>
      <c r="D1812" t="n">
        <v>6</v>
      </c>
      <c r="E1812" t="inlineStr">
        <is>
          <t>MEDIUM</t>
        </is>
      </c>
      <c r="F1812" t="n">
        <v>2</v>
      </c>
      <c r="G1812" t="n">
        <v>2</v>
      </c>
      <c r="H1812" t="inlineStr">
        <is>
          <t>MEDIUM</t>
        </is>
      </c>
      <c r="I1812" t="n">
        <v>10</v>
      </c>
      <c r="J1812" t="inlineStr">
        <is>
          <t>NO</t>
        </is>
      </c>
      <c r="K1812" t="inlineStr">
        <is>
          <t>2026-02-26 00:15</t>
        </is>
      </c>
      <c r="L1812" t="inlineStr">
        <is>
          <t>Block IP</t>
        </is>
      </c>
      <c r="M1812" t="inlineStr">
        <is>
          <t>Firewall/Network</t>
        </is>
      </c>
      <c r="N1812" t="inlineStr">
        <is>
          <t>P4</t>
        </is>
      </c>
      <c r="O1812" t="inlineStr">
        <is>
          <t>Blocklist IP — ip-api.com context available</t>
        </is>
      </c>
      <c r="P1812" t="n">
        <v>0</v>
      </c>
      <c r="Q1812" t="n">
        <v>0</v>
      </c>
      <c r="R1812" t="inlineStr">
        <is>
          <t>T1110:Brute Force | T1190:Exploit Public-Facing Application</t>
        </is>
      </c>
      <c r="S1812" t="n">
        <v>1</v>
      </c>
      <c r="T1812" t="inlineStr">
        <is>
          <t>LOW (40%)</t>
        </is>
      </c>
      <c r="U1812" t="inlineStr">
        <is>
          <t>NONE</t>
        </is>
      </c>
      <c r="V1812" t="inlineStr">
        <is>
          <t>NONE</t>
        </is>
      </c>
      <c r="W1812" t="inlineStr">
        <is>
          <t>NONE</t>
        </is>
      </c>
      <c r="X1812" t="inlineStr">
        <is>
          <t>NONE</t>
        </is>
      </c>
      <c r="Y1812" t="n">
        <v>0</v>
      </c>
      <c r="Z1812" t="inlineStr"/>
      <c r="AA1812" t="inlineStr">
        <is>
          <t>https://www.blocklist.de/</t>
        </is>
      </c>
    </row>
    <row r="1813">
      <c r="A1813" t="inlineStr">
        <is>
          <t>BLOCKLIST_DE</t>
        </is>
      </c>
      <c r="B1813" t="inlineStr">
        <is>
          <t>9c698c7f2054</t>
        </is>
      </c>
      <c r="C1813" t="inlineStr">
        <is>
          <t>Blocklist.de: 1.235.192.131 | Attack activity reported | Sources: BLOCKLIST_DE</t>
        </is>
      </c>
      <c r="D1813" t="n">
        <v>6</v>
      </c>
      <c r="E1813" t="inlineStr">
        <is>
          <t>MEDIUM</t>
        </is>
      </c>
      <c r="F1813" t="n">
        <v>2</v>
      </c>
      <c r="G1813" t="n">
        <v>2</v>
      </c>
      <c r="H1813" t="inlineStr">
        <is>
          <t>MEDIUM</t>
        </is>
      </c>
      <c r="I1813" t="n">
        <v>10</v>
      </c>
      <c r="J1813" t="inlineStr">
        <is>
          <t>NO</t>
        </is>
      </c>
      <c r="K1813" t="inlineStr">
        <is>
          <t>2026-02-26 00:15</t>
        </is>
      </c>
      <c r="L1813" t="inlineStr">
        <is>
          <t>Block IP</t>
        </is>
      </c>
      <c r="M1813" t="inlineStr">
        <is>
          <t>Firewall/Network</t>
        </is>
      </c>
      <c r="N1813" t="inlineStr">
        <is>
          <t>P4</t>
        </is>
      </c>
      <c r="O1813" t="inlineStr">
        <is>
          <t>Blocklist IP — ip-api.com context available</t>
        </is>
      </c>
      <c r="P1813" t="n">
        <v>0</v>
      </c>
      <c r="Q1813" t="n">
        <v>0</v>
      </c>
      <c r="R1813" t="inlineStr">
        <is>
          <t>T1110:Brute Force | T1190:Exploit Public-Facing Application</t>
        </is>
      </c>
      <c r="S1813" t="n">
        <v>1</v>
      </c>
      <c r="T1813" t="inlineStr">
        <is>
          <t>LOW (40%)</t>
        </is>
      </c>
      <c r="U1813" t="inlineStr">
        <is>
          <t>NONE</t>
        </is>
      </c>
      <c r="V1813" t="inlineStr">
        <is>
          <t>NONE</t>
        </is>
      </c>
      <c r="W1813" t="inlineStr">
        <is>
          <t>NONE</t>
        </is>
      </c>
      <c r="X1813" t="inlineStr">
        <is>
          <t>NONE</t>
        </is>
      </c>
      <c r="Y1813" t="n">
        <v>0</v>
      </c>
      <c r="Z1813" t="inlineStr"/>
      <c r="AA1813" t="inlineStr">
        <is>
          <t>https://www.blocklist.de/</t>
        </is>
      </c>
    </row>
    <row r="1814">
      <c r="A1814" t="inlineStr">
        <is>
          <t>BLOCKLIST_DE</t>
        </is>
      </c>
      <c r="B1814" t="inlineStr">
        <is>
          <t>55fb149617b5</t>
        </is>
      </c>
      <c r="C1814" t="inlineStr">
        <is>
          <t>Blocklist.de: 1.238.106.229 | Attack activity reported | Sources: BLOCKLIST_DE</t>
        </is>
      </c>
      <c r="D1814" t="n">
        <v>6</v>
      </c>
      <c r="E1814" t="inlineStr">
        <is>
          <t>MEDIUM</t>
        </is>
      </c>
      <c r="F1814" t="n">
        <v>2</v>
      </c>
      <c r="G1814" t="n">
        <v>2</v>
      </c>
      <c r="H1814" t="inlineStr">
        <is>
          <t>MEDIUM</t>
        </is>
      </c>
      <c r="I1814" t="n">
        <v>10</v>
      </c>
      <c r="J1814" t="inlineStr">
        <is>
          <t>NO</t>
        </is>
      </c>
      <c r="K1814" t="inlineStr">
        <is>
          <t>2026-02-26 00:15</t>
        </is>
      </c>
      <c r="L1814" t="inlineStr">
        <is>
          <t>Block IP</t>
        </is>
      </c>
      <c r="M1814" t="inlineStr">
        <is>
          <t>Firewall/Network</t>
        </is>
      </c>
      <c r="N1814" t="inlineStr">
        <is>
          <t>P4</t>
        </is>
      </c>
      <c r="O1814" t="inlineStr">
        <is>
          <t>Blocklist IP — ip-api.com context available</t>
        </is>
      </c>
      <c r="P1814" t="n">
        <v>0</v>
      </c>
      <c r="Q1814" t="n">
        <v>0</v>
      </c>
      <c r="R1814" t="inlineStr">
        <is>
          <t>T1110:Brute Force | T1190:Exploit Public-Facing Application</t>
        </is>
      </c>
      <c r="S1814" t="n">
        <v>1</v>
      </c>
      <c r="T1814" t="inlineStr">
        <is>
          <t>LOW (40%)</t>
        </is>
      </c>
      <c r="U1814" t="inlineStr">
        <is>
          <t>NONE</t>
        </is>
      </c>
      <c r="V1814" t="inlineStr">
        <is>
          <t>NONE</t>
        </is>
      </c>
      <c r="W1814" t="inlineStr">
        <is>
          <t>NONE</t>
        </is>
      </c>
      <c r="X1814" t="inlineStr">
        <is>
          <t>NONE</t>
        </is>
      </c>
      <c r="Y1814" t="n">
        <v>0</v>
      </c>
      <c r="Z1814" t="inlineStr"/>
      <c r="AA1814" t="inlineStr">
        <is>
          <t>https://www.blocklist.de/</t>
        </is>
      </c>
    </row>
    <row r="1815">
      <c r="A1815" t="inlineStr">
        <is>
          <t>BLOCKLIST_DE</t>
        </is>
      </c>
      <c r="B1815" t="inlineStr">
        <is>
          <t>d28316cdbee2</t>
        </is>
      </c>
      <c r="C1815" t="inlineStr">
        <is>
          <t>Blocklist.de: 1.24.210.27 | Attack activity reported | Sources: BLOCKLIST_DE</t>
        </is>
      </c>
      <c r="D1815" t="n">
        <v>6</v>
      </c>
      <c r="E1815" t="inlineStr">
        <is>
          <t>MEDIUM</t>
        </is>
      </c>
      <c r="F1815" t="n">
        <v>2</v>
      </c>
      <c r="G1815" t="n">
        <v>2</v>
      </c>
      <c r="H1815" t="inlineStr">
        <is>
          <t>MEDIUM</t>
        </is>
      </c>
      <c r="I1815" t="n">
        <v>10</v>
      </c>
      <c r="J1815" t="inlineStr">
        <is>
          <t>NO</t>
        </is>
      </c>
      <c r="K1815" t="inlineStr">
        <is>
          <t>2026-02-26 00:15</t>
        </is>
      </c>
      <c r="L1815" t="inlineStr">
        <is>
          <t>Block IP</t>
        </is>
      </c>
      <c r="M1815" t="inlineStr">
        <is>
          <t>Firewall/Network</t>
        </is>
      </c>
      <c r="N1815" t="inlineStr">
        <is>
          <t>P4</t>
        </is>
      </c>
      <c r="O1815" t="inlineStr">
        <is>
          <t>Blocklist IP — ip-api.com context available</t>
        </is>
      </c>
      <c r="P1815" t="n">
        <v>0</v>
      </c>
      <c r="Q1815" t="n">
        <v>0</v>
      </c>
      <c r="R1815" t="inlineStr">
        <is>
          <t>T1110:Brute Force | T1190:Exploit Public-Facing Application</t>
        </is>
      </c>
      <c r="S1815" t="n">
        <v>1</v>
      </c>
      <c r="T1815" t="inlineStr">
        <is>
          <t>LOW (40%)</t>
        </is>
      </c>
      <c r="U1815" t="inlineStr">
        <is>
          <t>NONE</t>
        </is>
      </c>
      <c r="V1815" t="inlineStr">
        <is>
          <t>NONE</t>
        </is>
      </c>
      <c r="W1815" t="inlineStr">
        <is>
          <t>NONE</t>
        </is>
      </c>
      <c r="X1815" t="inlineStr">
        <is>
          <t>NONE</t>
        </is>
      </c>
      <c r="Y1815" t="n">
        <v>0</v>
      </c>
      <c r="Z1815" t="inlineStr"/>
      <c r="AA1815" t="inlineStr">
        <is>
          <t>https://www.blocklist.de/</t>
        </is>
      </c>
    </row>
    <row r="1816">
      <c r="A1816" t="inlineStr">
        <is>
          <t>BLOCKLIST_DE</t>
        </is>
      </c>
      <c r="B1816" t="inlineStr">
        <is>
          <t>92b46c4f478f</t>
        </is>
      </c>
      <c r="C1816" t="inlineStr">
        <is>
          <t>Blocklist.de: 1.241.162.20 | Attack activity reported | Sources: BLOCKLIST_DE</t>
        </is>
      </c>
      <c r="D1816" t="n">
        <v>6</v>
      </c>
      <c r="E1816" t="inlineStr">
        <is>
          <t>MEDIUM</t>
        </is>
      </c>
      <c r="F1816" t="n">
        <v>2</v>
      </c>
      <c r="G1816" t="n">
        <v>2</v>
      </c>
      <c r="H1816" t="inlineStr">
        <is>
          <t>MEDIUM</t>
        </is>
      </c>
      <c r="I1816" t="n">
        <v>10</v>
      </c>
      <c r="J1816" t="inlineStr">
        <is>
          <t>NO</t>
        </is>
      </c>
      <c r="K1816" t="inlineStr">
        <is>
          <t>2026-02-26 00:15</t>
        </is>
      </c>
      <c r="L1816" t="inlineStr">
        <is>
          <t>Block IP</t>
        </is>
      </c>
      <c r="M1816" t="inlineStr">
        <is>
          <t>Firewall/Network</t>
        </is>
      </c>
      <c r="N1816" t="inlineStr">
        <is>
          <t>P4</t>
        </is>
      </c>
      <c r="O1816" t="inlineStr">
        <is>
          <t>Blocklist IP — ip-api.com context available</t>
        </is>
      </c>
      <c r="P1816" t="n">
        <v>0</v>
      </c>
      <c r="Q1816" t="n">
        <v>0</v>
      </c>
      <c r="R1816" t="inlineStr">
        <is>
          <t>T1110:Brute Force | T1190:Exploit Public-Facing Application</t>
        </is>
      </c>
      <c r="S1816" t="n">
        <v>1</v>
      </c>
      <c r="T1816" t="inlineStr">
        <is>
          <t>LOW (40%)</t>
        </is>
      </c>
      <c r="U1816" t="inlineStr">
        <is>
          <t>NONE</t>
        </is>
      </c>
      <c r="V1816" t="inlineStr">
        <is>
          <t>NONE</t>
        </is>
      </c>
      <c r="W1816" t="inlineStr">
        <is>
          <t>NONE</t>
        </is>
      </c>
      <c r="X1816" t="inlineStr">
        <is>
          <t>NONE</t>
        </is>
      </c>
      <c r="Y1816" t="n">
        <v>0</v>
      </c>
      <c r="Z1816" t="inlineStr"/>
      <c r="AA1816" t="inlineStr">
        <is>
          <t>https://www.blocklist.de/</t>
        </is>
      </c>
    </row>
    <row r="1817">
      <c r="A1817" t="inlineStr">
        <is>
          <t>BLOCKLIST_DE</t>
        </is>
      </c>
      <c r="B1817" t="inlineStr">
        <is>
          <t>7b84ff55afa8</t>
        </is>
      </c>
      <c r="C1817" t="inlineStr">
        <is>
          <t>Blocklist.de: 1.241.174.81 | Attack activity reported | Sources: BLOCKLIST_DE</t>
        </is>
      </c>
      <c r="D1817" t="n">
        <v>6</v>
      </c>
      <c r="E1817" t="inlineStr">
        <is>
          <t>MEDIUM</t>
        </is>
      </c>
      <c r="F1817" t="n">
        <v>2</v>
      </c>
      <c r="G1817" t="n">
        <v>2</v>
      </c>
      <c r="H1817" t="inlineStr">
        <is>
          <t>MEDIUM</t>
        </is>
      </c>
      <c r="I1817" t="n">
        <v>10</v>
      </c>
      <c r="J1817" t="inlineStr">
        <is>
          <t>NO</t>
        </is>
      </c>
      <c r="K1817" t="inlineStr">
        <is>
          <t>2026-02-26 00:15</t>
        </is>
      </c>
      <c r="L1817" t="inlineStr">
        <is>
          <t>Block IP</t>
        </is>
      </c>
      <c r="M1817" t="inlineStr">
        <is>
          <t>Firewall/Network</t>
        </is>
      </c>
      <c r="N1817" t="inlineStr">
        <is>
          <t>P4</t>
        </is>
      </c>
      <c r="O1817" t="inlineStr">
        <is>
          <t>Blocklist IP — ip-api.com context available</t>
        </is>
      </c>
      <c r="P1817" t="n">
        <v>0</v>
      </c>
      <c r="Q1817" t="n">
        <v>0</v>
      </c>
      <c r="R1817" t="inlineStr">
        <is>
          <t>T1110:Brute Force | T1190:Exploit Public-Facing Application</t>
        </is>
      </c>
      <c r="S1817" t="n">
        <v>1</v>
      </c>
      <c r="T1817" t="inlineStr">
        <is>
          <t>LOW (40%)</t>
        </is>
      </c>
      <c r="U1817" t="inlineStr">
        <is>
          <t>NONE</t>
        </is>
      </c>
      <c r="V1817" t="inlineStr">
        <is>
          <t>NONE</t>
        </is>
      </c>
      <c r="W1817" t="inlineStr">
        <is>
          <t>NONE</t>
        </is>
      </c>
      <c r="X1817" t="inlineStr">
        <is>
          <t>NONE</t>
        </is>
      </c>
      <c r="Y1817" t="n">
        <v>0</v>
      </c>
      <c r="Z1817" t="inlineStr"/>
      <c r="AA1817" t="inlineStr">
        <is>
          <t>https://www.blocklist.de/</t>
        </is>
      </c>
    </row>
    <row r="1818">
      <c r="A1818" t="inlineStr">
        <is>
          <t>BLOCKLIST_DE</t>
        </is>
      </c>
      <c r="B1818" t="inlineStr">
        <is>
          <t>982ec68d54bb</t>
        </is>
      </c>
      <c r="C1818" t="inlineStr">
        <is>
          <t>Blocklist.de: 1.244.246.221 | Attack activity reported | Sources: BLOCKLIST_DE</t>
        </is>
      </c>
      <c r="D1818" t="n">
        <v>6</v>
      </c>
      <c r="E1818" t="inlineStr">
        <is>
          <t>MEDIUM</t>
        </is>
      </c>
      <c r="F1818" t="n">
        <v>2</v>
      </c>
      <c r="G1818" t="n">
        <v>2</v>
      </c>
      <c r="H1818" t="inlineStr">
        <is>
          <t>MEDIUM</t>
        </is>
      </c>
      <c r="I1818" t="n">
        <v>10</v>
      </c>
      <c r="J1818" t="inlineStr">
        <is>
          <t>NO</t>
        </is>
      </c>
      <c r="K1818" t="inlineStr">
        <is>
          <t>2026-02-26 00:15</t>
        </is>
      </c>
      <c r="L1818" t="inlineStr">
        <is>
          <t>Block IP</t>
        </is>
      </c>
      <c r="M1818" t="inlineStr">
        <is>
          <t>Firewall/Network</t>
        </is>
      </c>
      <c r="N1818" t="inlineStr">
        <is>
          <t>P4</t>
        </is>
      </c>
      <c r="O1818" t="inlineStr">
        <is>
          <t>Blocklist IP — ip-api.com context available</t>
        </is>
      </c>
      <c r="P1818" t="n">
        <v>0</v>
      </c>
      <c r="Q1818" t="n">
        <v>0</v>
      </c>
      <c r="R1818" t="inlineStr">
        <is>
          <t>T1110:Brute Force | T1190:Exploit Public-Facing Application</t>
        </is>
      </c>
      <c r="S1818" t="n">
        <v>1</v>
      </c>
      <c r="T1818" t="inlineStr">
        <is>
          <t>LOW (40%)</t>
        </is>
      </c>
      <c r="U1818" t="inlineStr">
        <is>
          <t>NONE</t>
        </is>
      </c>
      <c r="V1818" t="inlineStr">
        <is>
          <t>NONE</t>
        </is>
      </c>
      <c r="W1818" t="inlineStr">
        <is>
          <t>NONE</t>
        </is>
      </c>
      <c r="X1818" t="inlineStr">
        <is>
          <t>NONE</t>
        </is>
      </c>
      <c r="Y1818" t="n">
        <v>0</v>
      </c>
      <c r="Z1818" t="inlineStr"/>
      <c r="AA1818" t="inlineStr">
        <is>
          <t>https://www.blocklist.de/</t>
        </is>
      </c>
    </row>
    <row r="1819">
      <c r="A1819" t="inlineStr">
        <is>
          <t>BLOCKLIST_DE</t>
        </is>
      </c>
      <c r="B1819" t="inlineStr">
        <is>
          <t>da77d21102b8</t>
        </is>
      </c>
      <c r="C1819" t="inlineStr">
        <is>
          <t>Blocklist.de: 1.245.207.104 | Attack activity reported | Sources: BLOCKLIST_DE</t>
        </is>
      </c>
      <c r="D1819" t="n">
        <v>6</v>
      </c>
      <c r="E1819" t="inlineStr">
        <is>
          <t>MEDIUM</t>
        </is>
      </c>
      <c r="F1819" t="n">
        <v>2</v>
      </c>
      <c r="G1819" t="n">
        <v>2</v>
      </c>
      <c r="H1819" t="inlineStr">
        <is>
          <t>MEDIUM</t>
        </is>
      </c>
      <c r="I1819" t="n">
        <v>10</v>
      </c>
      <c r="J1819" t="inlineStr">
        <is>
          <t>NO</t>
        </is>
      </c>
      <c r="K1819" t="inlineStr">
        <is>
          <t>2026-02-26 00:15</t>
        </is>
      </c>
      <c r="L1819" t="inlineStr">
        <is>
          <t>Block IP</t>
        </is>
      </c>
      <c r="M1819" t="inlineStr">
        <is>
          <t>Firewall/Network</t>
        </is>
      </c>
      <c r="N1819" t="inlineStr">
        <is>
          <t>P4</t>
        </is>
      </c>
      <c r="O1819" t="inlineStr">
        <is>
          <t>Blocklist IP — ip-api.com context available</t>
        </is>
      </c>
      <c r="P1819" t="n">
        <v>0</v>
      </c>
      <c r="Q1819" t="n">
        <v>0</v>
      </c>
      <c r="R1819" t="inlineStr">
        <is>
          <t>T1110:Brute Force | T1190:Exploit Public-Facing Application</t>
        </is>
      </c>
      <c r="S1819" t="n">
        <v>1</v>
      </c>
      <c r="T1819" t="inlineStr">
        <is>
          <t>LOW (40%)</t>
        </is>
      </c>
      <c r="U1819" t="inlineStr">
        <is>
          <t>NONE</t>
        </is>
      </c>
      <c r="V1819" t="inlineStr">
        <is>
          <t>NONE</t>
        </is>
      </c>
      <c r="W1819" t="inlineStr">
        <is>
          <t>NONE</t>
        </is>
      </c>
      <c r="X1819" t="inlineStr">
        <is>
          <t>NONE</t>
        </is>
      </c>
      <c r="Y1819" t="n">
        <v>0</v>
      </c>
      <c r="Z1819" t="inlineStr"/>
      <c r="AA1819" t="inlineStr">
        <is>
          <t>https://www.blocklist.de/</t>
        </is>
      </c>
    </row>
    <row r="1820">
      <c r="A1820" t="inlineStr">
        <is>
          <t>BLOCKLIST_DE</t>
        </is>
      </c>
      <c r="B1820" t="inlineStr">
        <is>
          <t>3a96bb34832f</t>
        </is>
      </c>
      <c r="C1820" t="inlineStr">
        <is>
          <t>Blocklist.de: 1.246.14.175 | Attack activity reported | Sources: BLOCKLIST_DE</t>
        </is>
      </c>
      <c r="D1820" t="n">
        <v>6</v>
      </c>
      <c r="E1820" t="inlineStr">
        <is>
          <t>MEDIUM</t>
        </is>
      </c>
      <c r="F1820" t="n">
        <v>2</v>
      </c>
      <c r="G1820" t="n">
        <v>2</v>
      </c>
      <c r="H1820" t="inlineStr">
        <is>
          <t>MEDIUM</t>
        </is>
      </c>
      <c r="I1820" t="n">
        <v>10</v>
      </c>
      <c r="J1820" t="inlineStr">
        <is>
          <t>NO</t>
        </is>
      </c>
      <c r="K1820" t="inlineStr">
        <is>
          <t>2026-02-26 00:15</t>
        </is>
      </c>
      <c r="L1820" t="inlineStr">
        <is>
          <t>Block IP</t>
        </is>
      </c>
      <c r="M1820" t="inlineStr">
        <is>
          <t>Firewall/Network</t>
        </is>
      </c>
      <c r="N1820" t="inlineStr">
        <is>
          <t>P4</t>
        </is>
      </c>
      <c r="O1820" t="inlineStr">
        <is>
          <t>Blocklist IP — ip-api.com context available</t>
        </is>
      </c>
      <c r="P1820" t="n">
        <v>0</v>
      </c>
      <c r="Q1820" t="n">
        <v>0</v>
      </c>
      <c r="R1820" t="inlineStr">
        <is>
          <t>T1110:Brute Force | T1190:Exploit Public-Facing Application</t>
        </is>
      </c>
      <c r="S1820" t="n">
        <v>1</v>
      </c>
      <c r="T1820" t="inlineStr">
        <is>
          <t>LOW (40%)</t>
        </is>
      </c>
      <c r="U1820" t="inlineStr">
        <is>
          <t>NONE</t>
        </is>
      </c>
      <c r="V1820" t="inlineStr">
        <is>
          <t>NONE</t>
        </is>
      </c>
      <c r="W1820" t="inlineStr">
        <is>
          <t>NONE</t>
        </is>
      </c>
      <c r="X1820" t="inlineStr">
        <is>
          <t>NONE</t>
        </is>
      </c>
      <c r="Y1820" t="n">
        <v>0</v>
      </c>
      <c r="Z1820" t="inlineStr"/>
      <c r="AA1820" t="inlineStr">
        <is>
          <t>https://www.blocklist.de/</t>
        </is>
      </c>
    </row>
    <row r="1821">
      <c r="A1821" t="inlineStr">
        <is>
          <t>BLOCKLIST_DE</t>
        </is>
      </c>
      <c r="B1821" t="inlineStr">
        <is>
          <t>ae41c4e1204a</t>
        </is>
      </c>
      <c r="C1821" t="inlineStr">
        <is>
          <t>Blocklist.de: 1.247.216.26 | Attack activity reported | Sources: BLOCKLIST_DE</t>
        </is>
      </c>
      <c r="D1821" t="n">
        <v>6</v>
      </c>
      <c r="E1821" t="inlineStr">
        <is>
          <t>MEDIUM</t>
        </is>
      </c>
      <c r="F1821" t="n">
        <v>2</v>
      </c>
      <c r="G1821" t="n">
        <v>2</v>
      </c>
      <c r="H1821" t="inlineStr">
        <is>
          <t>MEDIUM</t>
        </is>
      </c>
      <c r="I1821" t="n">
        <v>10</v>
      </c>
      <c r="J1821" t="inlineStr">
        <is>
          <t>NO</t>
        </is>
      </c>
      <c r="K1821" t="inlineStr">
        <is>
          <t>2026-02-26 00:15</t>
        </is>
      </c>
      <c r="L1821" t="inlineStr">
        <is>
          <t>Block IP</t>
        </is>
      </c>
      <c r="M1821" t="inlineStr">
        <is>
          <t>Firewall/Network</t>
        </is>
      </c>
      <c r="N1821" t="inlineStr">
        <is>
          <t>P4</t>
        </is>
      </c>
      <c r="O1821" t="inlineStr">
        <is>
          <t>Blocklist IP — ip-api.com context available</t>
        </is>
      </c>
      <c r="P1821" t="n">
        <v>0</v>
      </c>
      <c r="Q1821" t="n">
        <v>0</v>
      </c>
      <c r="R1821" t="inlineStr">
        <is>
          <t>T1110:Brute Force | T1190:Exploit Public-Facing Application</t>
        </is>
      </c>
      <c r="S1821" t="n">
        <v>1</v>
      </c>
      <c r="T1821" t="inlineStr">
        <is>
          <t>LOW (40%)</t>
        </is>
      </c>
      <c r="U1821" t="inlineStr">
        <is>
          <t>NONE</t>
        </is>
      </c>
      <c r="V1821" t="inlineStr">
        <is>
          <t>NONE</t>
        </is>
      </c>
      <c r="W1821" t="inlineStr">
        <is>
          <t>NONE</t>
        </is>
      </c>
      <c r="X1821" t="inlineStr">
        <is>
          <t>NONE</t>
        </is>
      </c>
      <c r="Y1821" t="n">
        <v>0</v>
      </c>
      <c r="Z1821" t="inlineStr"/>
      <c r="AA1821" t="inlineStr">
        <is>
          <t>https://www.blocklist.de/</t>
        </is>
      </c>
    </row>
    <row r="1822">
      <c r="A1822" t="inlineStr">
        <is>
          <t>BLOCKLIST_DE</t>
        </is>
      </c>
      <c r="B1822" t="inlineStr">
        <is>
          <t>fc947da86e5f</t>
        </is>
      </c>
      <c r="C1822" t="inlineStr">
        <is>
          <t>Blocklist.de: 1.247.245.61 | Attack activity reported | Sources: BLOCKLIST_DE</t>
        </is>
      </c>
      <c r="D1822" t="n">
        <v>6</v>
      </c>
      <c r="E1822" t="inlineStr">
        <is>
          <t>MEDIUM</t>
        </is>
      </c>
      <c r="F1822" t="n">
        <v>2</v>
      </c>
      <c r="G1822" t="n">
        <v>2</v>
      </c>
      <c r="H1822" t="inlineStr">
        <is>
          <t>MEDIUM</t>
        </is>
      </c>
      <c r="I1822" t="n">
        <v>10</v>
      </c>
      <c r="J1822" t="inlineStr">
        <is>
          <t>NO</t>
        </is>
      </c>
      <c r="K1822" t="inlineStr">
        <is>
          <t>2026-02-26 00:15</t>
        </is>
      </c>
      <c r="L1822" t="inlineStr">
        <is>
          <t>Block IP</t>
        </is>
      </c>
      <c r="M1822" t="inlineStr">
        <is>
          <t>Firewall/Network</t>
        </is>
      </c>
      <c r="N1822" t="inlineStr">
        <is>
          <t>P4</t>
        </is>
      </c>
      <c r="O1822" t="inlineStr">
        <is>
          <t>Blocklist IP — ip-api.com context available</t>
        </is>
      </c>
      <c r="P1822" t="n">
        <v>0</v>
      </c>
      <c r="Q1822" t="n">
        <v>0</v>
      </c>
      <c r="R1822" t="inlineStr">
        <is>
          <t>T1110:Brute Force | T1190:Exploit Public-Facing Application</t>
        </is>
      </c>
      <c r="S1822" t="n">
        <v>1</v>
      </c>
      <c r="T1822" t="inlineStr">
        <is>
          <t>LOW (40%)</t>
        </is>
      </c>
      <c r="U1822" t="inlineStr">
        <is>
          <t>NONE</t>
        </is>
      </c>
      <c r="V1822" t="inlineStr">
        <is>
          <t>NONE</t>
        </is>
      </c>
      <c r="W1822" t="inlineStr">
        <is>
          <t>NONE</t>
        </is>
      </c>
      <c r="X1822" t="inlineStr">
        <is>
          <t>NONE</t>
        </is>
      </c>
      <c r="Y1822" t="n">
        <v>0</v>
      </c>
      <c r="Z1822" t="inlineStr"/>
      <c r="AA1822" t="inlineStr">
        <is>
          <t>https://www.blocklist.de/</t>
        </is>
      </c>
    </row>
    <row r="1823">
      <c r="A1823" t="inlineStr">
        <is>
          <t>BLOCKLIST_DE</t>
        </is>
      </c>
      <c r="B1823" t="inlineStr">
        <is>
          <t>f1207548d599</t>
        </is>
      </c>
      <c r="C1823" t="inlineStr">
        <is>
          <t>Blocklist.de: 1.250.67.114 | Attack activity reported | Sources: BLOCKLIST_DE</t>
        </is>
      </c>
      <c r="D1823" t="n">
        <v>6</v>
      </c>
      <c r="E1823" t="inlineStr">
        <is>
          <t>MEDIUM</t>
        </is>
      </c>
      <c r="F1823" t="n">
        <v>2</v>
      </c>
      <c r="G1823" t="n">
        <v>2</v>
      </c>
      <c r="H1823" t="inlineStr">
        <is>
          <t>MEDIUM</t>
        </is>
      </c>
      <c r="I1823" t="n">
        <v>10</v>
      </c>
      <c r="J1823" t="inlineStr">
        <is>
          <t>NO</t>
        </is>
      </c>
      <c r="K1823" t="inlineStr">
        <is>
          <t>2026-02-26 00:15</t>
        </is>
      </c>
      <c r="L1823" t="inlineStr">
        <is>
          <t>Block IP</t>
        </is>
      </c>
      <c r="M1823" t="inlineStr">
        <is>
          <t>Firewall/Network</t>
        </is>
      </c>
      <c r="N1823" t="inlineStr">
        <is>
          <t>P4</t>
        </is>
      </c>
      <c r="O1823" t="inlineStr">
        <is>
          <t>Blocklist IP — ip-api.com context available</t>
        </is>
      </c>
      <c r="P1823" t="n">
        <v>0</v>
      </c>
      <c r="Q1823" t="n">
        <v>0</v>
      </c>
      <c r="R1823" t="inlineStr">
        <is>
          <t>T1110:Brute Force | T1190:Exploit Public-Facing Application</t>
        </is>
      </c>
      <c r="S1823" t="n">
        <v>1</v>
      </c>
      <c r="T1823" t="inlineStr">
        <is>
          <t>LOW (40%)</t>
        </is>
      </c>
      <c r="U1823" t="inlineStr">
        <is>
          <t>NONE</t>
        </is>
      </c>
      <c r="V1823" t="inlineStr">
        <is>
          <t>NONE</t>
        </is>
      </c>
      <c r="W1823" t="inlineStr">
        <is>
          <t>NONE</t>
        </is>
      </c>
      <c r="X1823" t="inlineStr">
        <is>
          <t>NONE</t>
        </is>
      </c>
      <c r="Y1823" t="n">
        <v>0</v>
      </c>
      <c r="Z1823" t="inlineStr"/>
      <c r="AA1823" t="inlineStr">
        <is>
          <t>https://www.blocklist.de/</t>
        </is>
      </c>
    </row>
    <row r="1824">
      <c r="A1824" t="inlineStr">
        <is>
          <t>BLOCKLIST_DE</t>
        </is>
      </c>
      <c r="B1824" t="inlineStr">
        <is>
          <t>f5aac2a1b427</t>
        </is>
      </c>
      <c r="C1824" t="inlineStr">
        <is>
          <t>Blocklist.de: 1.250.67.190 | Attack activity reported | Sources: BLOCKLIST_DE</t>
        </is>
      </c>
      <c r="D1824" t="n">
        <v>6</v>
      </c>
      <c r="E1824" t="inlineStr">
        <is>
          <t>MEDIUM</t>
        </is>
      </c>
      <c r="F1824" t="n">
        <v>2</v>
      </c>
      <c r="G1824" t="n">
        <v>2</v>
      </c>
      <c r="H1824" t="inlineStr">
        <is>
          <t>MEDIUM</t>
        </is>
      </c>
      <c r="I1824" t="n">
        <v>10</v>
      </c>
      <c r="J1824" t="inlineStr">
        <is>
          <t>NO</t>
        </is>
      </c>
      <c r="K1824" t="inlineStr">
        <is>
          <t>2026-02-26 00:15</t>
        </is>
      </c>
      <c r="L1824" t="inlineStr">
        <is>
          <t>Block IP</t>
        </is>
      </c>
      <c r="M1824" t="inlineStr">
        <is>
          <t>Firewall/Network</t>
        </is>
      </c>
      <c r="N1824" t="inlineStr">
        <is>
          <t>P4</t>
        </is>
      </c>
      <c r="O1824" t="inlineStr">
        <is>
          <t>Blocklist IP — ip-api.com context available</t>
        </is>
      </c>
      <c r="P1824" t="n">
        <v>0</v>
      </c>
      <c r="Q1824" t="n">
        <v>0</v>
      </c>
      <c r="R1824" t="inlineStr">
        <is>
          <t>T1110:Brute Force | T1190:Exploit Public-Facing Application</t>
        </is>
      </c>
      <c r="S1824" t="n">
        <v>1</v>
      </c>
      <c r="T1824" t="inlineStr">
        <is>
          <t>LOW (40%)</t>
        </is>
      </c>
      <c r="U1824" t="inlineStr">
        <is>
          <t>NONE</t>
        </is>
      </c>
      <c r="V1824" t="inlineStr">
        <is>
          <t>NONE</t>
        </is>
      </c>
      <c r="W1824" t="inlineStr">
        <is>
          <t>NONE</t>
        </is>
      </c>
      <c r="X1824" t="inlineStr">
        <is>
          <t>NONE</t>
        </is>
      </c>
      <c r="Y1824" t="n">
        <v>0</v>
      </c>
      <c r="Z1824" t="inlineStr"/>
      <c r="AA1824" t="inlineStr">
        <is>
          <t>https://www.blocklist.de/</t>
        </is>
      </c>
    </row>
    <row r="1825">
      <c r="A1825" t="inlineStr">
        <is>
          <t>MSF_MODULE</t>
        </is>
      </c>
      <c r="B1825" t="inlineStr">
        <is>
          <t>CVE-2007-4387</t>
        </is>
      </c>
      <c r="C1825" t="inlineStr">
        <is>
          <t>Metasploit module available: 2Wire Cross-Site Request Forgery Password Reset Vulnerability | Type: auxiliary_admin | CVE-2007-4387</t>
        </is>
      </c>
      <c r="D1825" t="n">
        <v>7.5</v>
      </c>
      <c r="E1825" t="inlineStr">
        <is>
          <t>HIGH</t>
        </is>
      </c>
      <c r="F1825" t="n">
        <v>3</v>
      </c>
      <c r="G1825" t="n">
        <v>3</v>
      </c>
      <c r="H1825" t="inlineStr">
        <is>
          <t>CRITICAL</t>
        </is>
      </c>
      <c r="I1825" t="n">
        <v>16.5</v>
      </c>
      <c r="J1825" t="inlineStr">
        <is>
          <t>NO</t>
        </is>
      </c>
      <c r="K1825" t="inlineStr">
        <is>
          <t>2026-02-26 00:15</t>
        </is>
      </c>
      <c r="L1825" t="inlineStr">
        <is>
          <t>PATCH_IMMEDIATELY</t>
        </is>
      </c>
      <c r="M1825" t="inlineStr">
        <is>
          <t>See CVE details</t>
        </is>
      </c>
      <c r="N1825" t="inlineStr">
        <is>
          <t>P2</t>
        </is>
      </c>
      <c r="O1825" t="inlineStr">
        <is>
          <t>Rapid7 MSF: 2Wire Cross-Site Request Forgery Password Reset Vulnerability | Module type: auxiliary_admin</t>
        </is>
      </c>
      <c r="P1825" t="n">
        <v>0</v>
      </c>
      <c r="Q1825" t="n">
        <v>0</v>
      </c>
      <c r="R1825" t="inlineStr">
        <is>
          <t>T1203:Exploitation for Client Execution | T1190:Exploit Public-Facing Application</t>
        </is>
      </c>
      <c r="S1825" t="n">
        <v>2</v>
      </c>
      <c r="T1825" t="inlineStr">
        <is>
          <t>HIGH (72%)</t>
        </is>
      </c>
      <c r="U1825" t="inlineStr">
        <is>
          <t>WEAPONIZED</t>
        </is>
      </c>
      <c r="V1825" t="inlineStr">
        <is>
          <t>CHECK_VENDOR</t>
        </is>
      </c>
      <c r="W1825" t="inlineStr">
        <is>
          <t>https://www.rapid7.com/db/search/?q=CVE-2007-4387</t>
        </is>
      </c>
      <c r="X1825" t="inlineStr">
        <is>
          <t>NONE</t>
        </is>
      </c>
      <c r="Y1825" t="n">
        <v>0</v>
      </c>
      <c r="Z1825" t="inlineStr"/>
      <c r="AA1825" t="inlineStr">
        <is>
          <t>https://nvd.nist.gov/vuln/detail/CVE-2007-4387</t>
        </is>
      </c>
    </row>
    <row r="1826">
      <c r="A1826" t="inlineStr">
        <is>
          <t>MSF_MODULE</t>
        </is>
      </c>
      <c r="B1826" t="inlineStr">
        <is>
          <t>CVE-2014-6041</t>
        </is>
      </c>
      <c r="C1826" t="inlineStr">
        <is>
          <t>Metasploit module available: Android Browser RCE Through Google Play Store XFO | Type: auxiliary_admin | CVE-2014-6041</t>
        </is>
      </c>
      <c r="D1826" t="n">
        <v>7.5</v>
      </c>
      <c r="E1826" t="inlineStr">
        <is>
          <t>HIGH</t>
        </is>
      </c>
      <c r="F1826" t="n">
        <v>3</v>
      </c>
      <c r="G1826" t="n">
        <v>3</v>
      </c>
      <c r="H1826" t="inlineStr">
        <is>
          <t>CRITICAL</t>
        </is>
      </c>
      <c r="I1826" t="n">
        <v>16.5</v>
      </c>
      <c r="J1826" t="inlineStr">
        <is>
          <t>NO</t>
        </is>
      </c>
      <c r="K1826" t="inlineStr">
        <is>
          <t>2026-02-26 00:15</t>
        </is>
      </c>
      <c r="L1826" t="inlineStr">
        <is>
          <t>PATCH_IMMEDIATELY</t>
        </is>
      </c>
      <c r="M1826" t="inlineStr">
        <is>
          <t>See CVE details</t>
        </is>
      </c>
      <c r="N1826" t="inlineStr">
        <is>
          <t>P2</t>
        </is>
      </c>
      <c r="O1826" t="inlineStr">
        <is>
          <t>Rapid7 MSF: Android Browser RCE Through Google Play Store XFO | Module type: auxiliary_admin</t>
        </is>
      </c>
      <c r="P1826" t="n">
        <v>0</v>
      </c>
      <c r="Q1826" t="n">
        <v>0</v>
      </c>
      <c r="R1826" t="inlineStr">
        <is>
          <t>T1203:Exploitation for Client Execution | T1190:Exploit Public-Facing Application</t>
        </is>
      </c>
      <c r="S1826" t="n">
        <v>2</v>
      </c>
      <c r="T1826" t="inlineStr">
        <is>
          <t>HIGH (72%)</t>
        </is>
      </c>
      <c r="U1826" t="inlineStr">
        <is>
          <t>WEAPONIZED</t>
        </is>
      </c>
      <c r="V1826" t="inlineStr">
        <is>
          <t>CHECK_VENDOR</t>
        </is>
      </c>
      <c r="W1826" t="inlineStr">
        <is>
          <t>https://www.rapid7.com/db/search/?q=CVE-2014-6041</t>
        </is>
      </c>
      <c r="X1826" t="inlineStr">
        <is>
          <t>NONE</t>
        </is>
      </c>
      <c r="Y1826" t="n">
        <v>0</v>
      </c>
      <c r="Z1826" t="inlineStr"/>
      <c r="AA1826" t="inlineStr">
        <is>
          <t>https://nvd.nist.gov/vuln/detail/CVE-2014-6041</t>
        </is>
      </c>
    </row>
    <row r="1827">
      <c r="A1827" t="inlineStr">
        <is>
          <t>MSF_MODULE</t>
        </is>
      </c>
      <c r="B1827" t="inlineStr">
        <is>
          <t>CVE-2005-2611</t>
        </is>
      </c>
      <c r="C1827" t="inlineStr">
        <is>
          <t>Metasploit module available: Veritas Backup Exec Windows Remote File Access | Type: auxiliary_admin | CVE-2005-2611</t>
        </is>
      </c>
      <c r="D1827" t="n">
        <v>7.5</v>
      </c>
      <c r="E1827" t="inlineStr">
        <is>
          <t>HIGH</t>
        </is>
      </c>
      <c r="F1827" t="n">
        <v>3</v>
      </c>
      <c r="G1827" t="n">
        <v>3</v>
      </c>
      <c r="H1827" t="inlineStr">
        <is>
          <t>CRITICAL</t>
        </is>
      </c>
      <c r="I1827" t="n">
        <v>16.5</v>
      </c>
      <c r="J1827" t="inlineStr">
        <is>
          <t>NO</t>
        </is>
      </c>
      <c r="K1827" t="inlineStr">
        <is>
          <t>2026-02-26 00:15</t>
        </is>
      </c>
      <c r="L1827" t="inlineStr">
        <is>
          <t>PATCH_IMMEDIATELY</t>
        </is>
      </c>
      <c r="M1827" t="inlineStr">
        <is>
          <t>See CVE details</t>
        </is>
      </c>
      <c r="N1827" t="inlineStr">
        <is>
          <t>P2</t>
        </is>
      </c>
      <c r="O1827" t="inlineStr">
        <is>
          <t>Rapid7 MSF: Veritas Backup Exec Windows Remote File Access | Module type: auxiliary_admin</t>
        </is>
      </c>
      <c r="P1827" t="n">
        <v>0</v>
      </c>
      <c r="Q1827" t="n">
        <v>0</v>
      </c>
      <c r="R1827" t="inlineStr">
        <is>
          <t>T1203:Exploitation for Client Execution | T1190:Exploit Public-Facing Application</t>
        </is>
      </c>
      <c r="S1827" t="n">
        <v>2</v>
      </c>
      <c r="T1827" t="inlineStr">
        <is>
          <t>HIGH (72%)</t>
        </is>
      </c>
      <c r="U1827" t="inlineStr">
        <is>
          <t>WEAPONIZED</t>
        </is>
      </c>
      <c r="V1827" t="inlineStr">
        <is>
          <t>CHECK_VENDOR</t>
        </is>
      </c>
      <c r="W1827" t="inlineStr">
        <is>
          <t>https://www.rapid7.com/db/search/?q=CVE-2005-2611</t>
        </is>
      </c>
      <c r="X1827" t="inlineStr">
        <is>
          <t>NONE</t>
        </is>
      </c>
      <c r="Y1827" t="n">
        <v>0</v>
      </c>
      <c r="Z1827" t="inlineStr"/>
      <c r="AA1827" t="inlineStr">
        <is>
          <t>https://nvd.nist.gov/vuln/detail/CVE-2005-2611</t>
        </is>
      </c>
    </row>
    <row r="1828">
      <c r="A1828" t="inlineStr">
        <is>
          <t>MSF_MODULE</t>
        </is>
      </c>
      <c r="B1828" t="inlineStr">
        <is>
          <t>CVE-2005-0771</t>
        </is>
      </c>
      <c r="C1828" t="inlineStr">
        <is>
          <t>Metasploit module available: Veritas Backup Exec Server Registry Access | Type: auxiliary_admin | CVE-2005-0771</t>
        </is>
      </c>
      <c r="D1828" t="n">
        <v>7.5</v>
      </c>
      <c r="E1828" t="inlineStr">
        <is>
          <t>HIGH</t>
        </is>
      </c>
      <c r="F1828" t="n">
        <v>3</v>
      </c>
      <c r="G1828" t="n">
        <v>3</v>
      </c>
      <c r="H1828" t="inlineStr">
        <is>
          <t>CRITICAL</t>
        </is>
      </c>
      <c r="I1828" t="n">
        <v>16.5</v>
      </c>
      <c r="J1828" t="inlineStr">
        <is>
          <t>NO</t>
        </is>
      </c>
      <c r="K1828" t="inlineStr">
        <is>
          <t>2026-02-26 00:15</t>
        </is>
      </c>
      <c r="L1828" t="inlineStr">
        <is>
          <t>PATCH_IMMEDIATELY</t>
        </is>
      </c>
      <c r="M1828" t="inlineStr">
        <is>
          <t>See CVE details</t>
        </is>
      </c>
      <c r="N1828" t="inlineStr">
        <is>
          <t>P2</t>
        </is>
      </c>
      <c r="O1828" t="inlineStr">
        <is>
          <t>Rapid7 MSF: Veritas Backup Exec Server Registry Access | Module type: auxiliary_admin</t>
        </is>
      </c>
      <c r="P1828" t="n">
        <v>0</v>
      </c>
      <c r="Q1828" t="n">
        <v>0</v>
      </c>
      <c r="R1828" t="inlineStr">
        <is>
          <t>T1203:Exploitation for Client Execution | T1190:Exploit Public-Facing Application</t>
        </is>
      </c>
      <c r="S1828" t="n">
        <v>2</v>
      </c>
      <c r="T1828" t="inlineStr">
        <is>
          <t>HIGH (72%)</t>
        </is>
      </c>
      <c r="U1828" t="inlineStr">
        <is>
          <t>WEAPONIZED</t>
        </is>
      </c>
      <c r="V1828" t="inlineStr">
        <is>
          <t>CHECK_VENDOR</t>
        </is>
      </c>
      <c r="W1828" t="inlineStr">
        <is>
          <t>https://www.rapid7.com/db/search/?q=CVE-2005-0771</t>
        </is>
      </c>
      <c r="X1828" t="inlineStr">
        <is>
          <t>NONE</t>
        </is>
      </c>
      <c r="Y1828" t="n">
        <v>0</v>
      </c>
      <c r="Z1828" t="inlineStr"/>
      <c r="AA1828" t="inlineStr">
        <is>
          <t>https://nvd.nist.gov/vuln/detail/CVE-2005-0771</t>
        </is>
      </c>
    </row>
    <row r="1829">
      <c r="A1829" t="inlineStr">
        <is>
          <t>MSF_MODULE</t>
        </is>
      </c>
      <c r="B1829" t="inlineStr">
        <is>
          <t>CVE-2004-0795</t>
        </is>
      </c>
      <c r="C1829" t="inlineStr">
        <is>
          <t>Metasploit module available: IBM DB2 db2rcmd.exe Command Execution Vulnerability | Type: auxiliary_admin | CVE-2004-0795</t>
        </is>
      </c>
      <c r="D1829" t="n">
        <v>7.5</v>
      </c>
      <c r="E1829" t="inlineStr">
        <is>
          <t>HIGH</t>
        </is>
      </c>
      <c r="F1829" t="n">
        <v>3</v>
      </c>
      <c r="G1829" t="n">
        <v>3</v>
      </c>
      <c r="H1829" t="inlineStr">
        <is>
          <t>CRITICAL</t>
        </is>
      </c>
      <c r="I1829" t="n">
        <v>16.5</v>
      </c>
      <c r="J1829" t="inlineStr">
        <is>
          <t>NO</t>
        </is>
      </c>
      <c r="K1829" t="inlineStr">
        <is>
          <t>2026-02-26 00:15</t>
        </is>
      </c>
      <c r="L1829" t="inlineStr">
        <is>
          <t>PATCH_IMMEDIATELY</t>
        </is>
      </c>
      <c r="M1829" t="inlineStr">
        <is>
          <t>See CVE details</t>
        </is>
      </c>
      <c r="N1829" t="inlineStr">
        <is>
          <t>P2</t>
        </is>
      </c>
      <c r="O1829" t="inlineStr">
        <is>
          <t>Rapid7 MSF: IBM DB2 db2rcmd.exe Command Execution Vulnerability | Module type: auxiliary_admin</t>
        </is>
      </c>
      <c r="P1829" t="n">
        <v>0</v>
      </c>
      <c r="Q1829" t="n">
        <v>0</v>
      </c>
      <c r="R1829" t="inlineStr">
        <is>
          <t>T1203:Exploitation for Client Execution | T1190:Exploit Public-Facing Application</t>
        </is>
      </c>
      <c r="S1829" t="n">
        <v>2</v>
      </c>
      <c r="T1829" t="inlineStr">
        <is>
          <t>HIGH (72%)</t>
        </is>
      </c>
      <c r="U1829" t="inlineStr">
        <is>
          <t>WEAPONIZED</t>
        </is>
      </c>
      <c r="V1829" t="inlineStr">
        <is>
          <t>CHECK_VENDOR</t>
        </is>
      </c>
      <c r="W1829" t="inlineStr">
        <is>
          <t>https://www.rapid7.com/db/search/?q=CVE-2004-0795</t>
        </is>
      </c>
      <c r="X1829" t="inlineStr">
        <is>
          <t>NONE</t>
        </is>
      </c>
      <c r="Y1829" t="n">
        <v>0</v>
      </c>
      <c r="Z1829" t="inlineStr"/>
      <c r="AA1829" t="inlineStr">
        <is>
          <t>https://nvd.nist.gov/vuln/detail/CVE-2004-0795</t>
        </is>
      </c>
    </row>
    <row r="1830">
      <c r="A1830" t="inlineStr">
        <is>
          <t>MSF_MODULE</t>
        </is>
      </c>
      <c r="B1830" t="inlineStr">
        <is>
          <t>CVE-2020-1472</t>
        </is>
      </c>
      <c r="C1830" t="inlineStr">
        <is>
          <t>Metasploit module available: Netlogon Weak Cryptographic Authentication | Type: auxiliary_admin | CVE-2020-1472</t>
        </is>
      </c>
      <c r="D1830" t="n">
        <v>7.5</v>
      </c>
      <c r="E1830" t="inlineStr">
        <is>
          <t>HIGH</t>
        </is>
      </c>
      <c r="F1830" t="n">
        <v>3</v>
      </c>
      <c r="G1830" t="n">
        <v>3</v>
      </c>
      <c r="H1830" t="inlineStr">
        <is>
          <t>CRITICAL</t>
        </is>
      </c>
      <c r="I1830" t="n">
        <v>16.5</v>
      </c>
      <c r="J1830" t="inlineStr">
        <is>
          <t>YES</t>
        </is>
      </c>
      <c r="K1830" t="inlineStr">
        <is>
          <t>2026-02-26 00:15</t>
        </is>
      </c>
      <c r="L1830" t="inlineStr">
        <is>
          <t>PATCH_IMMEDIATELY</t>
        </is>
      </c>
      <c r="M1830" t="inlineStr">
        <is>
          <t>See CVE details</t>
        </is>
      </c>
      <c r="N1830" t="inlineStr">
        <is>
          <t>P1</t>
        </is>
      </c>
      <c r="O1830" t="inlineStr">
        <is>
          <t>Rapid7 MSF: Netlogon Weak Cryptographic Authentication | Module type: auxiliary_admin</t>
        </is>
      </c>
      <c r="P1830" t="n">
        <v>0</v>
      </c>
      <c r="Q1830" t="n">
        <v>0</v>
      </c>
      <c r="R1830" t="inlineStr">
        <is>
          <t>T1203:Exploitation for Client Execution | T1190:Exploit Public-Facing Application</t>
        </is>
      </c>
      <c r="S1830" t="n">
        <v>2</v>
      </c>
      <c r="T1830" t="inlineStr">
        <is>
          <t>HIGH (72%)</t>
        </is>
      </c>
      <c r="U1830" t="inlineStr">
        <is>
          <t>WEAPONIZED</t>
        </is>
      </c>
      <c r="V1830" t="inlineStr">
        <is>
          <t>CHECK_VENDOR</t>
        </is>
      </c>
      <c r="W1830" t="inlineStr">
        <is>
          <t>https://www.rapid7.com/db/search/?q=CVE-2020-1472</t>
        </is>
      </c>
      <c r="X1830" t="inlineStr">
        <is>
          <t>NONE</t>
        </is>
      </c>
      <c r="Y1830" t="n">
        <v>0</v>
      </c>
      <c r="Z1830" t="inlineStr"/>
      <c r="AA1830" t="inlineStr">
        <is>
          <t>https://nvd.nist.gov/vuln/detail/CVE-2020-1472</t>
        </is>
      </c>
    </row>
    <row r="1831">
      <c r="A1831" t="inlineStr">
        <is>
          <t>MSF_MODULE</t>
        </is>
      </c>
      <c r="B1831" t="inlineStr">
        <is>
          <t>CVE-2022-26923</t>
        </is>
      </c>
      <c r="C1831" t="inlineStr">
        <is>
          <t>Metasploit module available: Active Directory Certificate Services (ADCS) privilege escalation (Certifried) | Type: auxiliary_admin | CVE-2022-26923</t>
        </is>
      </c>
      <c r="D1831" t="n">
        <v>7.5</v>
      </c>
      <c r="E1831" t="inlineStr">
        <is>
          <t>HIGH</t>
        </is>
      </c>
      <c r="F1831" t="n">
        <v>3</v>
      </c>
      <c r="G1831" t="n">
        <v>3</v>
      </c>
      <c r="H1831" t="inlineStr">
        <is>
          <t>CRITICAL</t>
        </is>
      </c>
      <c r="I1831" t="n">
        <v>16.5</v>
      </c>
      <c r="J1831" t="inlineStr">
        <is>
          <t>YES</t>
        </is>
      </c>
      <c r="K1831" t="inlineStr">
        <is>
          <t>2026-02-26 00:15</t>
        </is>
      </c>
      <c r="L1831" t="inlineStr">
        <is>
          <t>PATCH_IMMEDIATELY</t>
        </is>
      </c>
      <c r="M1831" t="inlineStr">
        <is>
          <t>See CVE details</t>
        </is>
      </c>
      <c r="N1831" t="inlineStr">
        <is>
          <t>P1</t>
        </is>
      </c>
      <c r="O1831" t="inlineStr">
        <is>
          <t>Rapid7 MSF: Active Directory Certificate Services (ADCS) privilege escalation (Certifried) | Module type: auxiliary_admin</t>
        </is>
      </c>
      <c r="P1831" t="n">
        <v>0</v>
      </c>
      <c r="Q1831" t="n">
        <v>0</v>
      </c>
      <c r="R1831" t="inlineStr">
        <is>
          <t>T1203:Exploitation for Client Execution | T1190:Exploit Public-Facing Application</t>
        </is>
      </c>
      <c r="S1831" t="n">
        <v>2</v>
      </c>
      <c r="T1831" t="inlineStr">
        <is>
          <t>HIGH (72%)</t>
        </is>
      </c>
      <c r="U1831" t="inlineStr">
        <is>
          <t>WEAPONIZED</t>
        </is>
      </c>
      <c r="V1831" t="inlineStr">
        <is>
          <t>CHECK_VENDOR</t>
        </is>
      </c>
      <c r="W1831" t="inlineStr">
        <is>
          <t>https://www.rapid7.com/db/search/?q=CVE-2022-26923</t>
        </is>
      </c>
      <c r="X1831" t="inlineStr">
        <is>
          <t>NONE</t>
        </is>
      </c>
      <c r="Y1831" t="n">
        <v>0</v>
      </c>
      <c r="Z1831" t="inlineStr"/>
      <c r="AA1831" t="inlineStr">
        <is>
          <t>https://nvd.nist.gov/vuln/detail/CVE-2022-26923</t>
        </is>
      </c>
    </row>
    <row r="1832">
      <c r="A1832" t="inlineStr">
        <is>
          <t>MSF_MODULE</t>
        </is>
      </c>
      <c r="B1832" t="inlineStr">
        <is>
          <t>CVE-2009-4655</t>
        </is>
      </c>
      <c r="C1832" t="inlineStr">
        <is>
          <t>Metasploit module available: Novell eDirectory DHOST Predictable Session Cookie | Type: auxiliary_admin | CVE-2009-4655</t>
        </is>
      </c>
      <c r="D1832" t="n">
        <v>7.5</v>
      </c>
      <c r="E1832" t="inlineStr">
        <is>
          <t>HIGH</t>
        </is>
      </c>
      <c r="F1832" t="n">
        <v>3</v>
      </c>
      <c r="G1832" t="n">
        <v>3</v>
      </c>
      <c r="H1832" t="inlineStr">
        <is>
          <t>CRITICAL</t>
        </is>
      </c>
      <c r="I1832" t="n">
        <v>16.5</v>
      </c>
      <c r="J1832" t="inlineStr">
        <is>
          <t>NO</t>
        </is>
      </c>
      <c r="K1832" t="inlineStr">
        <is>
          <t>2026-02-26 00:15</t>
        </is>
      </c>
      <c r="L1832" t="inlineStr">
        <is>
          <t>PATCH_IMMEDIATELY</t>
        </is>
      </c>
      <c r="M1832" t="inlineStr">
        <is>
          <t>See CVE details</t>
        </is>
      </c>
      <c r="N1832" t="inlineStr">
        <is>
          <t>P2</t>
        </is>
      </c>
      <c r="O1832" t="inlineStr">
        <is>
          <t>Rapid7 MSF: Novell eDirectory DHOST Predictable Session Cookie | Module type: auxiliary_admin</t>
        </is>
      </c>
      <c r="P1832" t="n">
        <v>0</v>
      </c>
      <c r="Q1832" t="n">
        <v>0</v>
      </c>
      <c r="R1832" t="inlineStr">
        <is>
          <t>T1203:Exploitation for Client Execution | T1190:Exploit Public-Facing Application</t>
        </is>
      </c>
      <c r="S1832" t="n">
        <v>2</v>
      </c>
      <c r="T1832" t="inlineStr">
        <is>
          <t>HIGH (72%)</t>
        </is>
      </c>
      <c r="U1832" t="inlineStr">
        <is>
          <t>WEAPONIZED</t>
        </is>
      </c>
      <c r="V1832" t="inlineStr">
        <is>
          <t>CHECK_VENDOR</t>
        </is>
      </c>
      <c r="W1832" t="inlineStr">
        <is>
          <t>https://www.rapid7.com/db/search/?q=CVE-2009-4655</t>
        </is>
      </c>
      <c r="X1832" t="inlineStr">
        <is>
          <t>NONE</t>
        </is>
      </c>
      <c r="Y1832" t="n">
        <v>0</v>
      </c>
      <c r="Z1832" t="inlineStr"/>
      <c r="AA1832" t="inlineStr">
        <is>
          <t>https://nvd.nist.gov/vuln/detail/CVE-2009-4655</t>
        </is>
      </c>
    </row>
    <row r="1833">
      <c r="A1833" t="inlineStr">
        <is>
          <t>MSF_MODULE</t>
        </is>
      </c>
      <c r="B1833" t="inlineStr">
        <is>
          <t>CVE-2008-0926</t>
        </is>
      </c>
      <c r="C1833" t="inlineStr">
        <is>
          <t>Metasploit module available: Novell eDirectory eMBox Unauthenticated File Access | Type: auxiliary_admin | CVE-2008-0926</t>
        </is>
      </c>
      <c r="D1833" t="n">
        <v>7.5</v>
      </c>
      <c r="E1833" t="inlineStr">
        <is>
          <t>HIGH</t>
        </is>
      </c>
      <c r="F1833" t="n">
        <v>3</v>
      </c>
      <c r="G1833" t="n">
        <v>3</v>
      </c>
      <c r="H1833" t="inlineStr">
        <is>
          <t>CRITICAL</t>
        </is>
      </c>
      <c r="I1833" t="n">
        <v>16.5</v>
      </c>
      <c r="J1833" t="inlineStr">
        <is>
          <t>NO</t>
        </is>
      </c>
      <c r="K1833" t="inlineStr">
        <is>
          <t>2026-02-26 00:15</t>
        </is>
      </c>
      <c r="L1833" t="inlineStr">
        <is>
          <t>PATCH_IMMEDIATELY</t>
        </is>
      </c>
      <c r="M1833" t="inlineStr">
        <is>
          <t>See CVE details</t>
        </is>
      </c>
      <c r="N1833" t="inlineStr">
        <is>
          <t>P2</t>
        </is>
      </c>
      <c r="O1833" t="inlineStr">
        <is>
          <t>Rapid7 MSF: Novell eDirectory eMBox Unauthenticated File Access | Module type: auxiliary_admin</t>
        </is>
      </c>
      <c r="P1833" t="n">
        <v>0</v>
      </c>
      <c r="Q1833" t="n">
        <v>0</v>
      </c>
      <c r="R1833" t="inlineStr">
        <is>
          <t>T1203:Exploitation for Client Execution | T1190:Exploit Public-Facing Application</t>
        </is>
      </c>
      <c r="S1833" t="n">
        <v>2</v>
      </c>
      <c r="T1833" t="inlineStr">
        <is>
          <t>HIGH (72%)</t>
        </is>
      </c>
      <c r="U1833" t="inlineStr">
        <is>
          <t>WEAPONIZED</t>
        </is>
      </c>
      <c r="V1833" t="inlineStr">
        <is>
          <t>CHECK_VENDOR</t>
        </is>
      </c>
      <c r="W1833" t="inlineStr">
        <is>
          <t>https://www.rapid7.com/db/search/?q=CVE-2008-0926</t>
        </is>
      </c>
      <c r="X1833" t="inlineStr">
        <is>
          <t>NONE</t>
        </is>
      </c>
      <c r="Y1833" t="n">
        <v>0</v>
      </c>
      <c r="Z1833" t="inlineStr"/>
      <c r="AA1833" t="inlineStr">
        <is>
          <t>https://nvd.nist.gov/vuln/detail/CVE-2008-0926</t>
        </is>
      </c>
    </row>
    <row r="1834">
      <c r="A1834" t="inlineStr">
        <is>
          <t>MSF_MODULE</t>
        </is>
      </c>
      <c r="B1834" t="inlineStr">
        <is>
          <t>CVE-2008-2157</t>
        </is>
      </c>
      <c r="C1834" t="inlineStr">
        <is>
          <t>Metasploit module available: EMC AlphaStor Device Manager Arbitrary Command Execution | Type: auxiliary_admin | CVE-2008-2157</t>
        </is>
      </c>
      <c r="D1834" t="n">
        <v>7.5</v>
      </c>
      <c r="E1834" t="inlineStr">
        <is>
          <t>HIGH</t>
        </is>
      </c>
      <c r="F1834" t="n">
        <v>3</v>
      </c>
      <c r="G1834" t="n">
        <v>3</v>
      </c>
      <c r="H1834" t="inlineStr">
        <is>
          <t>CRITICAL</t>
        </is>
      </c>
      <c r="I1834" t="n">
        <v>16.5</v>
      </c>
      <c r="J1834" t="inlineStr">
        <is>
          <t>NO</t>
        </is>
      </c>
      <c r="K1834" t="inlineStr">
        <is>
          <t>2026-02-26 00:15</t>
        </is>
      </c>
      <c r="L1834" t="inlineStr">
        <is>
          <t>PATCH_IMMEDIATELY</t>
        </is>
      </c>
      <c r="M1834" t="inlineStr">
        <is>
          <t>See CVE details</t>
        </is>
      </c>
      <c r="N1834" t="inlineStr">
        <is>
          <t>P2</t>
        </is>
      </c>
      <c r="O1834" t="inlineStr">
        <is>
          <t>Rapid7 MSF: EMC AlphaStor Device Manager Arbitrary Command Execution | Module type: auxiliary_admin</t>
        </is>
      </c>
      <c r="P1834" t="n">
        <v>0</v>
      </c>
      <c r="Q1834" t="n">
        <v>0</v>
      </c>
      <c r="R1834" t="inlineStr">
        <is>
          <t>T1203:Exploitation for Client Execution | T1190:Exploit Public-Facing Application</t>
        </is>
      </c>
      <c r="S1834" t="n">
        <v>2</v>
      </c>
      <c r="T1834" t="inlineStr">
        <is>
          <t>HIGH (72%)</t>
        </is>
      </c>
      <c r="U1834" t="inlineStr">
        <is>
          <t>WEAPONIZED</t>
        </is>
      </c>
      <c r="V1834" t="inlineStr">
        <is>
          <t>CHECK_VENDOR</t>
        </is>
      </c>
      <c r="W1834" t="inlineStr">
        <is>
          <t>https://www.rapid7.com/db/search/?q=CVE-2008-2157</t>
        </is>
      </c>
      <c r="X1834" t="inlineStr">
        <is>
          <t>NONE</t>
        </is>
      </c>
      <c r="Y1834" t="n">
        <v>0</v>
      </c>
      <c r="Z1834" t="inlineStr"/>
      <c r="AA1834" t="inlineStr">
        <is>
          <t>https://nvd.nist.gov/vuln/detail/CVE-2008-2157</t>
        </is>
      </c>
    </row>
    <row r="1835">
      <c r="A1835" t="inlineStr">
        <is>
          <t>MSF_MODULE</t>
        </is>
      </c>
      <c r="B1835" t="inlineStr">
        <is>
          <t>CVE-2011-0923</t>
        </is>
      </c>
      <c r="C1835" t="inlineStr">
        <is>
          <t>Metasploit module available: HP Data Protector 6.1 EXEC_CMD Command Execution | Type: auxiliary_admin | CVE-2011-0923</t>
        </is>
      </c>
      <c r="D1835" t="n">
        <v>7.5</v>
      </c>
      <c r="E1835" t="inlineStr">
        <is>
          <t>HIGH</t>
        </is>
      </c>
      <c r="F1835" t="n">
        <v>3</v>
      </c>
      <c r="G1835" t="n">
        <v>3</v>
      </c>
      <c r="H1835" t="inlineStr">
        <is>
          <t>CRITICAL</t>
        </is>
      </c>
      <c r="I1835" t="n">
        <v>16.5</v>
      </c>
      <c r="J1835" t="inlineStr">
        <is>
          <t>NO</t>
        </is>
      </c>
      <c r="K1835" t="inlineStr">
        <is>
          <t>2026-02-26 00:15</t>
        </is>
      </c>
      <c r="L1835" t="inlineStr">
        <is>
          <t>PATCH_IMMEDIATELY</t>
        </is>
      </c>
      <c r="M1835" t="inlineStr">
        <is>
          <t>See CVE details</t>
        </is>
      </c>
      <c r="N1835" t="inlineStr">
        <is>
          <t>P2</t>
        </is>
      </c>
      <c r="O1835" t="inlineStr">
        <is>
          <t>Rapid7 MSF: HP Data Protector 6.1 EXEC_CMD Command Execution | Module type: auxiliary_admin</t>
        </is>
      </c>
      <c r="P1835" t="n">
        <v>0</v>
      </c>
      <c r="Q1835" t="n">
        <v>0</v>
      </c>
      <c r="R1835" t="inlineStr">
        <is>
          <t>T1203:Exploitation for Client Execution | T1190:Exploit Public-Facing Application</t>
        </is>
      </c>
      <c r="S1835" t="n">
        <v>2</v>
      </c>
      <c r="T1835" t="inlineStr">
        <is>
          <t>HIGH (72%)</t>
        </is>
      </c>
      <c r="U1835" t="inlineStr">
        <is>
          <t>WEAPONIZED</t>
        </is>
      </c>
      <c r="V1835" t="inlineStr">
        <is>
          <t>CHECK_VENDOR</t>
        </is>
      </c>
      <c r="W1835" t="inlineStr">
        <is>
          <t>https://www.rapid7.com/db/search/?q=CVE-2011-0923</t>
        </is>
      </c>
      <c r="X1835" t="inlineStr">
        <is>
          <t>NONE</t>
        </is>
      </c>
      <c r="Y1835" t="n">
        <v>0</v>
      </c>
      <c r="Z1835" t="inlineStr"/>
      <c r="AA1835" t="inlineStr">
        <is>
          <t>https://nvd.nist.gov/vuln/detail/CVE-2011-0923</t>
        </is>
      </c>
    </row>
    <row r="1836">
      <c r="A1836" t="inlineStr">
        <is>
          <t>MSF_MODULE</t>
        </is>
      </c>
      <c r="B1836" t="inlineStr">
        <is>
          <t>CVE-2017-12542</t>
        </is>
      </c>
      <c r="C1836" t="inlineStr">
        <is>
          <t>Metasploit module available: HP iLO 4 1.00-2.50 Authentication Bypass Administrator Account Creation | Type: auxiliary_admin | CVE-2017-12542</t>
        </is>
      </c>
      <c r="D1836" t="n">
        <v>7.5</v>
      </c>
      <c r="E1836" t="inlineStr">
        <is>
          <t>HIGH</t>
        </is>
      </c>
      <c r="F1836" t="n">
        <v>3</v>
      </c>
      <c r="G1836" t="n">
        <v>3</v>
      </c>
      <c r="H1836" t="inlineStr">
        <is>
          <t>CRITICAL</t>
        </is>
      </c>
      <c r="I1836" t="n">
        <v>16.5</v>
      </c>
      <c r="J1836" t="inlineStr">
        <is>
          <t>NO</t>
        </is>
      </c>
      <c r="K1836" t="inlineStr">
        <is>
          <t>2026-02-26 00:15</t>
        </is>
      </c>
      <c r="L1836" t="inlineStr">
        <is>
          <t>PATCH_IMMEDIATELY</t>
        </is>
      </c>
      <c r="M1836" t="inlineStr">
        <is>
          <t>See CVE details</t>
        </is>
      </c>
      <c r="N1836" t="inlineStr">
        <is>
          <t>P2</t>
        </is>
      </c>
      <c r="O1836" t="inlineStr">
        <is>
          <t>Rapid7 MSF: HP iLO 4 1.00-2.50 Authentication Bypass Administrator Account Creation | Module type: auxiliary_admin</t>
        </is>
      </c>
      <c r="P1836" t="n">
        <v>0</v>
      </c>
      <c r="Q1836" t="n">
        <v>0</v>
      </c>
      <c r="R1836" t="inlineStr">
        <is>
          <t>T1203:Exploitation for Client Execution | T1190:Exploit Public-Facing Application</t>
        </is>
      </c>
      <c r="S1836" t="n">
        <v>2</v>
      </c>
      <c r="T1836" t="inlineStr">
        <is>
          <t>HIGH (72%)</t>
        </is>
      </c>
      <c r="U1836" t="inlineStr">
        <is>
          <t>WEAPONIZED</t>
        </is>
      </c>
      <c r="V1836" t="inlineStr">
        <is>
          <t>CHECK_VENDOR</t>
        </is>
      </c>
      <c r="W1836" t="inlineStr">
        <is>
          <t>https://www.rapid7.com/db/search/?q=CVE-2017-12542</t>
        </is>
      </c>
      <c r="X1836" t="inlineStr">
        <is>
          <t>NONE</t>
        </is>
      </c>
      <c r="Y1836" t="n">
        <v>0</v>
      </c>
      <c r="Z1836" t="inlineStr"/>
      <c r="AA1836" t="inlineStr">
        <is>
          <t>https://nvd.nist.gov/vuln/detail/CVE-2017-12542</t>
        </is>
      </c>
    </row>
    <row r="1837">
      <c r="A1837" t="inlineStr">
        <is>
          <t>MSF_MODULE</t>
        </is>
      </c>
      <c r="B1837" t="inlineStr">
        <is>
          <t>CVE-2013-4824</t>
        </is>
      </c>
      <c r="C1837" t="inlineStr">
        <is>
          <t>Metasploit module available: HP Intelligent Management SOM Account Creation | Type: auxiliary_admin | CVE-2013-4824</t>
        </is>
      </c>
      <c r="D1837" t="n">
        <v>7.5</v>
      </c>
      <c r="E1837" t="inlineStr">
        <is>
          <t>HIGH</t>
        </is>
      </c>
      <c r="F1837" t="n">
        <v>3</v>
      </c>
      <c r="G1837" t="n">
        <v>3</v>
      </c>
      <c r="H1837" t="inlineStr">
        <is>
          <t>CRITICAL</t>
        </is>
      </c>
      <c r="I1837" t="n">
        <v>16.5</v>
      </c>
      <c r="J1837" t="inlineStr">
        <is>
          <t>NO</t>
        </is>
      </c>
      <c r="K1837" t="inlineStr">
        <is>
          <t>2026-02-26 00:15</t>
        </is>
      </c>
      <c r="L1837" t="inlineStr">
        <is>
          <t>PATCH_IMMEDIATELY</t>
        </is>
      </c>
      <c r="M1837" t="inlineStr">
        <is>
          <t>See CVE details</t>
        </is>
      </c>
      <c r="N1837" t="inlineStr">
        <is>
          <t>P2</t>
        </is>
      </c>
      <c r="O1837" t="inlineStr">
        <is>
          <t>Rapid7 MSF: HP Intelligent Management SOM Account Creation | Module type: auxiliary_admin</t>
        </is>
      </c>
      <c r="P1837" t="n">
        <v>0</v>
      </c>
      <c r="Q1837" t="n">
        <v>0</v>
      </c>
      <c r="R1837" t="inlineStr">
        <is>
          <t>T1203:Exploitation for Client Execution | T1190:Exploit Public-Facing Application</t>
        </is>
      </c>
      <c r="S1837" t="n">
        <v>2</v>
      </c>
      <c r="T1837" t="inlineStr">
        <is>
          <t>HIGH (72%)</t>
        </is>
      </c>
      <c r="U1837" t="inlineStr">
        <is>
          <t>WEAPONIZED</t>
        </is>
      </c>
      <c r="V1837" t="inlineStr">
        <is>
          <t>CHECK_VENDOR</t>
        </is>
      </c>
      <c r="W1837" t="inlineStr">
        <is>
          <t>https://www.rapid7.com/db/search/?q=CVE-2013-4824</t>
        </is>
      </c>
      <c r="X1837" t="inlineStr">
        <is>
          <t>NONE</t>
        </is>
      </c>
      <c r="Y1837" t="n">
        <v>0</v>
      </c>
      <c r="Z1837" t="inlineStr"/>
      <c r="AA1837" t="inlineStr">
        <is>
          <t>https://nvd.nist.gov/vuln/detail/CVE-2013-4824</t>
        </is>
      </c>
    </row>
    <row r="1838">
      <c r="A1838" t="inlineStr">
        <is>
          <t>MSF_MODULE</t>
        </is>
      </c>
      <c r="B1838" t="inlineStr">
        <is>
          <t>CVE-2014-9222</t>
        </is>
      </c>
      <c r="C1838" t="inlineStr">
        <is>
          <t>Metasploit module available: Allegro Software RomPager 'Misfortune Cookie' (CVE-2014-9222) Authentication Byp | Type: auxiliary_admin | CVE-2014-9222</t>
        </is>
      </c>
      <c r="D1838" t="n">
        <v>7.5</v>
      </c>
      <c r="E1838" t="inlineStr">
        <is>
          <t>HIGH</t>
        </is>
      </c>
      <c r="F1838" t="n">
        <v>3</v>
      </c>
      <c r="G1838" t="n">
        <v>3</v>
      </c>
      <c r="H1838" t="inlineStr">
        <is>
          <t>CRITICAL</t>
        </is>
      </c>
      <c r="I1838" t="n">
        <v>16.5</v>
      </c>
      <c r="J1838" t="inlineStr">
        <is>
          <t>NO</t>
        </is>
      </c>
      <c r="K1838" t="inlineStr">
        <is>
          <t>2026-02-26 00:15</t>
        </is>
      </c>
      <c r="L1838" t="inlineStr">
        <is>
          <t>PATCH_IMMEDIATELY</t>
        </is>
      </c>
      <c r="M1838" t="inlineStr">
        <is>
          <t>See CVE details</t>
        </is>
      </c>
      <c r="N1838" t="inlineStr">
        <is>
          <t>P2</t>
        </is>
      </c>
      <c r="O1838" t="inlineStr">
        <is>
          <t>Rapid7 MSF: Allegro Software RomPager 'Misfortune Cookie' (CVE-2014-9222) Authentication Byp | Module type: auxiliary_admin</t>
        </is>
      </c>
      <c r="P1838" t="n">
        <v>0</v>
      </c>
      <c r="Q1838" t="n">
        <v>0</v>
      </c>
      <c r="R1838" t="inlineStr">
        <is>
          <t>T1203:Exploitation for Client Execution | T1190:Exploit Public-Facing Application</t>
        </is>
      </c>
      <c r="S1838" t="n">
        <v>2</v>
      </c>
      <c r="T1838" t="inlineStr">
        <is>
          <t>HIGH (72%)</t>
        </is>
      </c>
      <c r="U1838" t="inlineStr">
        <is>
          <t>WEAPONIZED</t>
        </is>
      </c>
      <c r="V1838" t="inlineStr">
        <is>
          <t>CHECK_VENDOR</t>
        </is>
      </c>
      <c r="W1838" t="inlineStr">
        <is>
          <t>https://www.rapid7.com/db/search/?q=CVE-2014-9222</t>
        </is>
      </c>
      <c r="X1838" t="inlineStr">
        <is>
          <t>NONE</t>
        </is>
      </c>
      <c r="Y1838" t="n">
        <v>0</v>
      </c>
      <c r="Z1838" t="inlineStr"/>
      <c r="AA1838" t="inlineStr">
        <is>
          <t>https://nvd.nist.gov/vuln/detail/CVE-2014-9222</t>
        </is>
      </c>
    </row>
    <row r="1839">
      <c r="A1839" t="inlineStr">
        <is>
          <t>MSF_MODULE</t>
        </is>
      </c>
      <c r="B1839" t="inlineStr">
        <is>
          <t>CVE-2015-0964</t>
        </is>
      </c>
      <c r="C1839" t="inlineStr">
        <is>
          <t>Metasploit module available: Arris / Motorola Surfboard SBG6580 Web Interface Takeover | Type: auxiliary_admin | CVE-2015-0964</t>
        </is>
      </c>
      <c r="D1839" t="n">
        <v>7.5</v>
      </c>
      <c r="E1839" t="inlineStr">
        <is>
          <t>HIGH</t>
        </is>
      </c>
      <c r="F1839" t="n">
        <v>3</v>
      </c>
      <c r="G1839" t="n">
        <v>3</v>
      </c>
      <c r="H1839" t="inlineStr">
        <is>
          <t>CRITICAL</t>
        </is>
      </c>
      <c r="I1839" t="n">
        <v>16.5</v>
      </c>
      <c r="J1839" t="inlineStr">
        <is>
          <t>NO</t>
        </is>
      </c>
      <c r="K1839" t="inlineStr">
        <is>
          <t>2026-02-26 00:15</t>
        </is>
      </c>
      <c r="L1839" t="inlineStr">
        <is>
          <t>PATCH_IMMEDIATELY</t>
        </is>
      </c>
      <c r="M1839" t="inlineStr">
        <is>
          <t>See CVE details</t>
        </is>
      </c>
      <c r="N1839" t="inlineStr">
        <is>
          <t>P2</t>
        </is>
      </c>
      <c r="O1839" t="inlineStr">
        <is>
          <t>Rapid7 MSF: Arris / Motorola Surfboard SBG6580 Web Interface Takeover | Module type: auxiliary_admin</t>
        </is>
      </c>
      <c r="P1839" t="n">
        <v>0</v>
      </c>
      <c r="Q1839" t="n">
        <v>0</v>
      </c>
      <c r="R1839" t="inlineStr">
        <is>
          <t>T1203:Exploitation for Client Execution | T1190:Exploit Public-Facing Application</t>
        </is>
      </c>
      <c r="S1839" t="n">
        <v>2</v>
      </c>
      <c r="T1839" t="inlineStr">
        <is>
          <t>HIGH (72%)</t>
        </is>
      </c>
      <c r="U1839" t="inlineStr">
        <is>
          <t>WEAPONIZED</t>
        </is>
      </c>
      <c r="V1839" t="inlineStr">
        <is>
          <t>CHECK_VENDOR</t>
        </is>
      </c>
      <c r="W1839" t="inlineStr">
        <is>
          <t>https://www.rapid7.com/db/search/?q=CVE-2015-0964</t>
        </is>
      </c>
      <c r="X1839" t="inlineStr">
        <is>
          <t>NONE</t>
        </is>
      </c>
      <c r="Y1839" t="n">
        <v>0</v>
      </c>
      <c r="Z1839" t="inlineStr"/>
      <c r="AA1839" t="inlineStr">
        <is>
          <t>https://nvd.nist.gov/vuln/detail/CVE-2015-0964</t>
        </is>
      </c>
    </row>
    <row r="1840">
      <c r="A1840" t="inlineStr">
        <is>
          <t>MSF_MODULE</t>
        </is>
      </c>
      <c r="B1840" t="inlineStr">
        <is>
          <t>CVE-2015-0965</t>
        </is>
      </c>
      <c r="C1840" t="inlineStr">
        <is>
          <t>Metasploit module available: Arris / Motorola Surfboard SBG6580 Web Interface Takeover | Type: auxiliary_admin | CVE-2015-0965</t>
        </is>
      </c>
      <c r="D1840" t="n">
        <v>7.5</v>
      </c>
      <c r="E1840" t="inlineStr">
        <is>
          <t>HIGH</t>
        </is>
      </c>
      <c r="F1840" t="n">
        <v>3</v>
      </c>
      <c r="G1840" t="n">
        <v>3</v>
      </c>
      <c r="H1840" t="inlineStr">
        <is>
          <t>CRITICAL</t>
        </is>
      </c>
      <c r="I1840" t="n">
        <v>16.5</v>
      </c>
      <c r="J1840" t="inlineStr">
        <is>
          <t>NO</t>
        </is>
      </c>
      <c r="K1840" t="inlineStr">
        <is>
          <t>2026-02-26 00:15</t>
        </is>
      </c>
      <c r="L1840" t="inlineStr">
        <is>
          <t>PATCH_IMMEDIATELY</t>
        </is>
      </c>
      <c r="M1840" t="inlineStr">
        <is>
          <t>See CVE details</t>
        </is>
      </c>
      <c r="N1840" t="inlineStr">
        <is>
          <t>P2</t>
        </is>
      </c>
      <c r="O1840" t="inlineStr">
        <is>
          <t>Rapid7 MSF: Arris / Motorola Surfboard SBG6580 Web Interface Takeover | Module type: auxiliary_admin</t>
        </is>
      </c>
      <c r="P1840" t="n">
        <v>0</v>
      </c>
      <c r="Q1840" t="n">
        <v>0</v>
      </c>
      <c r="R1840" t="inlineStr">
        <is>
          <t>T1203:Exploitation for Client Execution | T1190:Exploit Public-Facing Application</t>
        </is>
      </c>
      <c r="S1840" t="n">
        <v>2</v>
      </c>
      <c r="T1840" t="inlineStr">
        <is>
          <t>HIGH (72%)</t>
        </is>
      </c>
      <c r="U1840" t="inlineStr">
        <is>
          <t>WEAPONIZED</t>
        </is>
      </c>
      <c r="V1840" t="inlineStr">
        <is>
          <t>CHECK_VENDOR</t>
        </is>
      </c>
      <c r="W1840" t="inlineStr">
        <is>
          <t>https://www.rapid7.com/db/search/?q=CVE-2015-0965</t>
        </is>
      </c>
      <c r="X1840" t="inlineStr">
        <is>
          <t>NONE</t>
        </is>
      </c>
      <c r="Y1840" t="n">
        <v>0</v>
      </c>
      <c r="Z1840" t="inlineStr"/>
      <c r="AA1840" t="inlineStr">
        <is>
          <t>https://nvd.nist.gov/vuln/detail/CVE-2015-0965</t>
        </is>
      </c>
    </row>
    <row r="1841">
      <c r="A1841" t="inlineStr">
        <is>
          <t>MSF_MODULE</t>
        </is>
      </c>
      <c r="B1841" t="inlineStr">
        <is>
          <t>CVE-2015-0966</t>
        </is>
      </c>
      <c r="C1841" t="inlineStr">
        <is>
          <t>Metasploit module available: Arris / Motorola Surfboard SBG6580 Web Interface Takeover | Type: auxiliary_admin | CVE-2015-0966</t>
        </is>
      </c>
      <c r="D1841" t="n">
        <v>7.5</v>
      </c>
      <c r="E1841" t="inlineStr">
        <is>
          <t>HIGH</t>
        </is>
      </c>
      <c r="F1841" t="n">
        <v>3</v>
      </c>
      <c r="G1841" t="n">
        <v>3</v>
      </c>
      <c r="H1841" t="inlineStr">
        <is>
          <t>CRITICAL</t>
        </is>
      </c>
      <c r="I1841" t="n">
        <v>16.5</v>
      </c>
      <c r="J1841" t="inlineStr">
        <is>
          <t>NO</t>
        </is>
      </c>
      <c r="K1841" t="inlineStr">
        <is>
          <t>2026-02-26 00:15</t>
        </is>
      </c>
      <c r="L1841" t="inlineStr">
        <is>
          <t>PATCH_IMMEDIATELY</t>
        </is>
      </c>
      <c r="M1841" t="inlineStr">
        <is>
          <t>See CVE details</t>
        </is>
      </c>
      <c r="N1841" t="inlineStr">
        <is>
          <t>P2</t>
        </is>
      </c>
      <c r="O1841" t="inlineStr">
        <is>
          <t>Rapid7 MSF: Arris / Motorola Surfboard SBG6580 Web Interface Takeover | Module type: auxiliary_admin</t>
        </is>
      </c>
      <c r="P1841" t="n">
        <v>0</v>
      </c>
      <c r="Q1841" t="n">
        <v>0</v>
      </c>
      <c r="R1841" t="inlineStr">
        <is>
          <t>T1203:Exploitation for Client Execution | T1190:Exploit Public-Facing Application</t>
        </is>
      </c>
      <c r="S1841" t="n">
        <v>2</v>
      </c>
      <c r="T1841" t="inlineStr">
        <is>
          <t>HIGH (72%)</t>
        </is>
      </c>
      <c r="U1841" t="inlineStr">
        <is>
          <t>WEAPONIZED</t>
        </is>
      </c>
      <c r="V1841" t="inlineStr">
        <is>
          <t>CHECK_VENDOR</t>
        </is>
      </c>
      <c r="W1841" t="inlineStr">
        <is>
          <t>https://www.rapid7.com/db/search/?q=CVE-2015-0966</t>
        </is>
      </c>
      <c r="X1841" t="inlineStr">
        <is>
          <t>NONE</t>
        </is>
      </c>
      <c r="Y1841" t="n">
        <v>0</v>
      </c>
      <c r="Z1841" t="inlineStr"/>
      <c r="AA1841" t="inlineStr">
        <is>
          <t>https://nvd.nist.gov/vuln/detail/CVE-2015-0966</t>
        </is>
      </c>
    </row>
    <row r="1842">
      <c r="A1842" t="inlineStr">
        <is>
          <t>MSF_MODULE</t>
        </is>
      </c>
      <c r="B1842" t="inlineStr">
        <is>
          <t>CVE-2023-22515</t>
        </is>
      </c>
      <c r="C1842" t="inlineStr">
        <is>
          <t>Metasploit module available: Atlassian Confluence Data Center and Server Authentication Bypass via Broken Acc | Type: auxiliary_admin | CVE-2023-22515</t>
        </is>
      </c>
      <c r="D1842" t="n">
        <v>7.5</v>
      </c>
      <c r="E1842" t="inlineStr">
        <is>
          <t>HIGH</t>
        </is>
      </c>
      <c r="F1842" t="n">
        <v>3</v>
      </c>
      <c r="G1842" t="n">
        <v>3</v>
      </c>
      <c r="H1842" t="inlineStr">
        <is>
          <t>CRITICAL</t>
        </is>
      </c>
      <c r="I1842" t="n">
        <v>16.5</v>
      </c>
      <c r="J1842" t="inlineStr">
        <is>
          <t>YES</t>
        </is>
      </c>
      <c r="K1842" t="inlineStr">
        <is>
          <t>2026-02-26 00:15</t>
        </is>
      </c>
      <c r="L1842" t="inlineStr">
        <is>
          <t>PATCH_IMMEDIATELY</t>
        </is>
      </c>
      <c r="M1842" t="inlineStr">
        <is>
          <t>See CVE details</t>
        </is>
      </c>
      <c r="N1842" t="inlineStr">
        <is>
          <t>P1</t>
        </is>
      </c>
      <c r="O1842" t="inlineStr">
        <is>
          <t>Rapid7 MSF: Atlassian Confluence Data Center and Server Authentication Bypass via Broken Acc | Module type: auxiliary_admin</t>
        </is>
      </c>
      <c r="P1842" t="n">
        <v>0</v>
      </c>
      <c r="Q1842" t="n">
        <v>0</v>
      </c>
      <c r="R1842" t="inlineStr">
        <is>
          <t>T1203:Exploitation for Client Execution | T1190:Exploit Public-Facing Application</t>
        </is>
      </c>
      <c r="S1842" t="n">
        <v>2</v>
      </c>
      <c r="T1842" t="inlineStr">
        <is>
          <t>HIGH (72%)</t>
        </is>
      </c>
      <c r="U1842" t="inlineStr">
        <is>
          <t>WEAPONIZED</t>
        </is>
      </c>
      <c r="V1842" t="inlineStr">
        <is>
          <t>CHECK_VENDOR</t>
        </is>
      </c>
      <c r="W1842" t="inlineStr">
        <is>
          <t>https://www.rapid7.com/db/search/?q=CVE-2023-22515</t>
        </is>
      </c>
      <c r="X1842" t="inlineStr">
        <is>
          <t>NONE</t>
        </is>
      </c>
      <c r="Y1842" t="n">
        <v>0</v>
      </c>
      <c r="Z1842" t="inlineStr"/>
      <c r="AA1842" t="inlineStr">
        <is>
          <t>https://nvd.nist.gov/vuln/detail/CVE-2023-22515</t>
        </is>
      </c>
    </row>
    <row r="1843">
      <c r="A1843" t="inlineStr">
        <is>
          <t>MSF_MODULE</t>
        </is>
      </c>
      <c r="B1843" t="inlineStr">
        <is>
          <t>CVE-2012-4940</t>
        </is>
      </c>
      <c r="C1843" t="inlineStr">
        <is>
          <t>Metasploit module available: Axigen Arbitrary File Read and Delete | Type: auxiliary_admin | CVE-2012-4940</t>
        </is>
      </c>
      <c r="D1843" t="n">
        <v>7.5</v>
      </c>
      <c r="E1843" t="inlineStr">
        <is>
          <t>HIGH</t>
        </is>
      </c>
      <c r="F1843" t="n">
        <v>3</v>
      </c>
      <c r="G1843" t="n">
        <v>3</v>
      </c>
      <c r="H1843" t="inlineStr">
        <is>
          <t>CRITICAL</t>
        </is>
      </c>
      <c r="I1843" t="n">
        <v>16.5</v>
      </c>
      <c r="J1843" t="inlineStr">
        <is>
          <t>NO</t>
        </is>
      </c>
      <c r="K1843" t="inlineStr">
        <is>
          <t>2026-02-26 00:15</t>
        </is>
      </c>
      <c r="L1843" t="inlineStr">
        <is>
          <t>PATCH_IMMEDIATELY</t>
        </is>
      </c>
      <c r="M1843" t="inlineStr">
        <is>
          <t>See CVE details</t>
        </is>
      </c>
      <c r="N1843" t="inlineStr">
        <is>
          <t>P2</t>
        </is>
      </c>
      <c r="O1843" t="inlineStr">
        <is>
          <t>Rapid7 MSF: Axigen Arbitrary File Read and Delete | Module type: auxiliary_admin</t>
        </is>
      </c>
      <c r="P1843" t="n">
        <v>0</v>
      </c>
      <c r="Q1843" t="n">
        <v>0</v>
      </c>
      <c r="R1843" t="inlineStr">
        <is>
          <t>T1203:Exploitation for Client Execution | T1190:Exploit Public-Facing Application</t>
        </is>
      </c>
      <c r="S1843" t="n">
        <v>2</v>
      </c>
      <c r="T1843" t="inlineStr">
        <is>
          <t>HIGH (72%)</t>
        </is>
      </c>
      <c r="U1843" t="inlineStr">
        <is>
          <t>WEAPONIZED</t>
        </is>
      </c>
      <c r="V1843" t="inlineStr">
        <is>
          <t>CHECK_VENDOR</t>
        </is>
      </c>
      <c r="W1843" t="inlineStr">
        <is>
          <t>https://www.rapid7.com/db/search/?q=CVE-2012-4940</t>
        </is>
      </c>
      <c r="X1843" t="inlineStr">
        <is>
          <t>NONE</t>
        </is>
      </c>
      <c r="Y1843" t="n">
        <v>0</v>
      </c>
      <c r="Z1843" t="inlineStr"/>
      <c r="AA1843" t="inlineStr">
        <is>
          <t>https://nvd.nist.gov/vuln/detail/CVE-2012-4940</t>
        </is>
      </c>
    </row>
    <row r="1844">
      <c r="A1844" t="inlineStr">
        <is>
          <t>MSF_MODULE</t>
        </is>
      </c>
      <c r="B1844" t="inlineStr">
        <is>
          <t>CVE-2013-2050</t>
        </is>
      </c>
      <c r="C1844" t="inlineStr">
        <is>
          <t>Metasploit module available: Red Hat CloudForms Management Engine 5.1 miq_policy/explorer SQL Injection | Type: auxiliary_admin | CVE-2013-2050</t>
        </is>
      </c>
      <c r="D1844" t="n">
        <v>7.5</v>
      </c>
      <c r="E1844" t="inlineStr">
        <is>
          <t>HIGH</t>
        </is>
      </c>
      <c r="F1844" t="n">
        <v>3</v>
      </c>
      <c r="G1844" t="n">
        <v>3</v>
      </c>
      <c r="H1844" t="inlineStr">
        <is>
          <t>CRITICAL</t>
        </is>
      </c>
      <c r="I1844" t="n">
        <v>16.5</v>
      </c>
      <c r="J1844" t="inlineStr">
        <is>
          <t>NO</t>
        </is>
      </c>
      <c r="K1844" t="inlineStr">
        <is>
          <t>2026-02-26 00:15</t>
        </is>
      </c>
      <c r="L1844" t="inlineStr">
        <is>
          <t>PATCH_IMMEDIATELY</t>
        </is>
      </c>
      <c r="M1844" t="inlineStr">
        <is>
          <t>See CVE details</t>
        </is>
      </c>
      <c r="N1844" t="inlineStr">
        <is>
          <t>P2</t>
        </is>
      </c>
      <c r="O1844" t="inlineStr">
        <is>
          <t>Rapid7 MSF: Red Hat CloudForms Management Engine 5.1 miq_policy/explorer SQL Injection | Module type: auxiliary_admin</t>
        </is>
      </c>
      <c r="P1844" t="n">
        <v>0</v>
      </c>
      <c r="Q1844" t="n">
        <v>0</v>
      </c>
      <c r="R1844" t="inlineStr">
        <is>
          <t>T1203:Exploitation for Client Execution | T1190:Exploit Public-Facing Application</t>
        </is>
      </c>
      <c r="S1844" t="n">
        <v>2</v>
      </c>
      <c r="T1844" t="inlineStr">
        <is>
          <t>HIGH (72%)</t>
        </is>
      </c>
      <c r="U1844" t="inlineStr">
        <is>
          <t>WEAPONIZED</t>
        </is>
      </c>
      <c r="V1844" t="inlineStr">
        <is>
          <t>CHECK_VENDOR</t>
        </is>
      </c>
      <c r="W1844" t="inlineStr">
        <is>
          <t>https://www.rapid7.com/db/search/?q=CVE-2013-2050</t>
        </is>
      </c>
      <c r="X1844" t="inlineStr">
        <is>
          <t>NONE</t>
        </is>
      </c>
      <c r="Y1844" t="n">
        <v>0</v>
      </c>
      <c r="Z1844" t="inlineStr"/>
      <c r="AA1844" t="inlineStr">
        <is>
          <t>https://nvd.nist.gov/vuln/detail/CVE-2013-2050</t>
        </is>
      </c>
    </row>
    <row r="1845">
      <c r="A1845" t="inlineStr">
        <is>
          <t>MSF_MODULE</t>
        </is>
      </c>
      <c r="B1845" t="inlineStr">
        <is>
          <t>CVE-2020-16137</t>
        </is>
      </c>
      <c r="C1845" t="inlineStr">
        <is>
          <t>Metasploit module available: Cisco 7937G SSH Privilege Escalation | Type: auxiliary_admin | CVE-2020-16137</t>
        </is>
      </c>
      <c r="D1845" t="n">
        <v>7.5</v>
      </c>
      <c r="E1845" t="inlineStr">
        <is>
          <t>HIGH</t>
        </is>
      </c>
      <c r="F1845" t="n">
        <v>3</v>
      </c>
      <c r="G1845" t="n">
        <v>3</v>
      </c>
      <c r="H1845" t="inlineStr">
        <is>
          <t>CRITICAL</t>
        </is>
      </c>
      <c r="I1845" t="n">
        <v>16.5</v>
      </c>
      <c r="J1845" t="inlineStr">
        <is>
          <t>NO</t>
        </is>
      </c>
      <c r="K1845" t="inlineStr">
        <is>
          <t>2026-02-26 00:15</t>
        </is>
      </c>
      <c r="L1845" t="inlineStr">
        <is>
          <t>PATCH_IMMEDIATELY</t>
        </is>
      </c>
      <c r="M1845" t="inlineStr">
        <is>
          <t>See CVE details</t>
        </is>
      </c>
      <c r="N1845" t="inlineStr">
        <is>
          <t>P2</t>
        </is>
      </c>
      <c r="O1845" t="inlineStr">
        <is>
          <t>Rapid7 MSF: Cisco 7937G SSH Privilege Escalation | Module type: auxiliary_admin</t>
        </is>
      </c>
      <c r="P1845" t="n">
        <v>0</v>
      </c>
      <c r="Q1845" t="n">
        <v>0</v>
      </c>
      <c r="R1845" t="inlineStr">
        <is>
          <t>T1203:Exploitation for Client Execution | T1190:Exploit Public-Facing Application</t>
        </is>
      </c>
      <c r="S1845" t="n">
        <v>2</v>
      </c>
      <c r="T1845" t="inlineStr">
        <is>
          <t>HIGH (72%)</t>
        </is>
      </c>
      <c r="U1845" t="inlineStr">
        <is>
          <t>WEAPONIZED</t>
        </is>
      </c>
      <c r="V1845" t="inlineStr">
        <is>
          <t>CHECK_VENDOR</t>
        </is>
      </c>
      <c r="W1845" t="inlineStr">
        <is>
          <t>https://www.rapid7.com/db/search/?q=CVE-2020-16137</t>
        </is>
      </c>
      <c r="X1845" t="inlineStr">
        <is>
          <t>NONE</t>
        </is>
      </c>
      <c r="Y1845" t="n">
        <v>0</v>
      </c>
      <c r="Z1845" t="inlineStr"/>
      <c r="AA1845" t="inlineStr">
        <is>
          <t>https://nvd.nist.gov/vuln/detail/CVE-2020-16137</t>
        </is>
      </c>
    </row>
    <row r="1846">
      <c r="A1846" t="inlineStr">
        <is>
          <t>MSF_MODULE</t>
        </is>
      </c>
      <c r="B1846" t="inlineStr">
        <is>
          <t>CVE-2023-20198</t>
        </is>
      </c>
      <c r="C1846" t="inlineStr">
        <is>
          <t>Metasploit module available: Cisco IOX XE unauthenticated Command Line Interface (CLI) execution | Type: auxiliary_admin | CVE-2023-20198</t>
        </is>
      </c>
      <c r="D1846" t="n">
        <v>7.5</v>
      </c>
      <c r="E1846" t="inlineStr">
        <is>
          <t>HIGH</t>
        </is>
      </c>
      <c r="F1846" t="n">
        <v>3</v>
      </c>
      <c r="G1846" t="n">
        <v>3</v>
      </c>
      <c r="H1846" t="inlineStr">
        <is>
          <t>CRITICAL</t>
        </is>
      </c>
      <c r="I1846" t="n">
        <v>16.5</v>
      </c>
      <c r="J1846" t="inlineStr">
        <is>
          <t>YES</t>
        </is>
      </c>
      <c r="K1846" t="inlineStr">
        <is>
          <t>2026-02-26 00:15</t>
        </is>
      </c>
      <c r="L1846" t="inlineStr">
        <is>
          <t>PATCH_IMMEDIATELY</t>
        </is>
      </c>
      <c r="M1846" t="inlineStr">
        <is>
          <t>See CVE details</t>
        </is>
      </c>
      <c r="N1846" t="inlineStr">
        <is>
          <t>P1</t>
        </is>
      </c>
      <c r="O1846" t="inlineStr">
        <is>
          <t>Rapid7 MSF: Cisco IOX XE unauthenticated Command Line Interface (CLI) execution | Module type: auxiliary_admin</t>
        </is>
      </c>
      <c r="P1846" t="n">
        <v>0</v>
      </c>
      <c r="Q1846" t="n">
        <v>0</v>
      </c>
      <c r="R1846" t="inlineStr">
        <is>
          <t>T1203:Exploitation for Client Execution | T1190:Exploit Public-Facing Application</t>
        </is>
      </c>
      <c r="S1846" t="n">
        <v>2</v>
      </c>
      <c r="T1846" t="inlineStr">
        <is>
          <t>HIGH (72%)</t>
        </is>
      </c>
      <c r="U1846" t="inlineStr">
        <is>
          <t>WEAPONIZED</t>
        </is>
      </c>
      <c r="V1846" t="inlineStr">
        <is>
          <t>CHECK_VENDOR</t>
        </is>
      </c>
      <c r="W1846" t="inlineStr">
        <is>
          <t>https://www.rapid7.com/db/search/?q=CVE-2023-20198</t>
        </is>
      </c>
      <c r="X1846" t="inlineStr">
        <is>
          <t>NONE</t>
        </is>
      </c>
      <c r="Y1846" t="n">
        <v>0</v>
      </c>
      <c r="Z1846" t="inlineStr"/>
      <c r="AA1846" t="inlineStr">
        <is>
          <t>https://nvd.nist.gov/vuln/detail/CVE-2023-20198</t>
        </is>
      </c>
    </row>
    <row r="1847">
      <c r="A1847" t="inlineStr">
        <is>
          <t>MSF_MODULE</t>
        </is>
      </c>
      <c r="B1847" t="inlineStr">
        <is>
          <t>CVE-2023-20273</t>
        </is>
      </c>
      <c r="C1847" t="inlineStr">
        <is>
          <t>Metasploit module available: Cisco IOX XE unauthenticated OS command execution | Type: auxiliary_admin | CVE-2023-20273</t>
        </is>
      </c>
      <c r="D1847" t="n">
        <v>7.5</v>
      </c>
      <c r="E1847" t="inlineStr">
        <is>
          <t>HIGH</t>
        </is>
      </c>
      <c r="F1847" t="n">
        <v>3</v>
      </c>
      <c r="G1847" t="n">
        <v>3</v>
      </c>
      <c r="H1847" t="inlineStr">
        <is>
          <t>CRITICAL</t>
        </is>
      </c>
      <c r="I1847" t="n">
        <v>16.5</v>
      </c>
      <c r="J1847" t="inlineStr">
        <is>
          <t>YES</t>
        </is>
      </c>
      <c r="K1847" t="inlineStr">
        <is>
          <t>2026-02-26 00:15</t>
        </is>
      </c>
      <c r="L1847" t="inlineStr">
        <is>
          <t>PATCH_IMMEDIATELY</t>
        </is>
      </c>
      <c r="M1847" t="inlineStr">
        <is>
          <t>See CVE details</t>
        </is>
      </c>
      <c r="N1847" t="inlineStr">
        <is>
          <t>P1</t>
        </is>
      </c>
      <c r="O1847" t="inlineStr">
        <is>
          <t>Rapid7 MSF: Cisco IOX XE unauthenticated OS command execution | Module type: auxiliary_admin</t>
        </is>
      </c>
      <c r="P1847" t="n">
        <v>0</v>
      </c>
      <c r="Q1847" t="n">
        <v>0</v>
      </c>
      <c r="R1847" t="inlineStr">
        <is>
          <t>T1203:Exploitation for Client Execution | T1190:Exploit Public-Facing Application</t>
        </is>
      </c>
      <c r="S1847" t="n">
        <v>2</v>
      </c>
      <c r="T1847" t="inlineStr">
        <is>
          <t>HIGH (72%)</t>
        </is>
      </c>
      <c r="U1847" t="inlineStr">
        <is>
          <t>WEAPONIZED</t>
        </is>
      </c>
      <c r="V1847" t="inlineStr">
        <is>
          <t>CHECK_VENDOR</t>
        </is>
      </c>
      <c r="W1847" t="inlineStr">
        <is>
          <t>https://www.rapid7.com/db/search/?q=CVE-2023-20273</t>
        </is>
      </c>
      <c r="X1847" t="inlineStr">
        <is>
          <t>NONE</t>
        </is>
      </c>
      <c r="Y1847" t="n">
        <v>0</v>
      </c>
      <c r="Z1847" t="inlineStr"/>
      <c r="AA1847" t="inlineStr">
        <is>
          <t>https://nvd.nist.gov/vuln/detail/CVE-2023-20273</t>
        </is>
      </c>
    </row>
    <row r="1848">
      <c r="A1848" t="inlineStr">
        <is>
          <t>MSF_MODULE</t>
        </is>
      </c>
      <c r="B1848" t="inlineStr">
        <is>
          <t>CVE-2024-20419</t>
        </is>
      </c>
      <c r="C1848" t="inlineStr">
        <is>
          <t>Metasploit module available: Cisco Smart Software Manager (SSM) On-Prem Account Takeover (CVE-2024-20419) | Type: auxiliary_admin | CVE-2024-20419</t>
        </is>
      </c>
      <c r="D1848" t="n">
        <v>7.5</v>
      </c>
      <c r="E1848" t="inlineStr">
        <is>
          <t>HIGH</t>
        </is>
      </c>
      <c r="F1848" t="n">
        <v>3</v>
      </c>
      <c r="G1848" t="n">
        <v>3</v>
      </c>
      <c r="H1848" t="inlineStr">
        <is>
          <t>CRITICAL</t>
        </is>
      </c>
      <c r="I1848" t="n">
        <v>16.5</v>
      </c>
      <c r="J1848" t="inlineStr">
        <is>
          <t>NO</t>
        </is>
      </c>
      <c r="K1848" t="inlineStr">
        <is>
          <t>2026-02-26 00:15</t>
        </is>
      </c>
      <c r="L1848" t="inlineStr">
        <is>
          <t>PATCH_IMMEDIATELY</t>
        </is>
      </c>
      <c r="M1848" t="inlineStr">
        <is>
          <t>See CVE details</t>
        </is>
      </c>
      <c r="N1848" t="inlineStr">
        <is>
          <t>P2</t>
        </is>
      </c>
      <c r="O1848" t="inlineStr">
        <is>
          <t>Rapid7 MSF: Cisco Smart Software Manager (SSM) On-Prem Account Takeover (CVE-2024-20419) | Module type: auxiliary_admin</t>
        </is>
      </c>
      <c r="P1848" t="n">
        <v>0</v>
      </c>
      <c r="Q1848" t="n">
        <v>0</v>
      </c>
      <c r="R1848" t="inlineStr">
        <is>
          <t>T1203:Exploitation for Client Execution | T1190:Exploit Public-Facing Application</t>
        </is>
      </c>
      <c r="S1848" t="n">
        <v>2</v>
      </c>
      <c r="T1848" t="inlineStr">
        <is>
          <t>HIGH (72%)</t>
        </is>
      </c>
      <c r="U1848" t="inlineStr">
        <is>
          <t>WEAPONIZED</t>
        </is>
      </c>
      <c r="V1848" t="inlineStr">
        <is>
          <t>CHECK_VENDOR</t>
        </is>
      </c>
      <c r="W1848" t="inlineStr">
        <is>
          <t>https://www.rapid7.com/db/search/?q=CVE-2024-20419</t>
        </is>
      </c>
      <c r="X1848" t="inlineStr">
        <is>
          <t>NONE</t>
        </is>
      </c>
      <c r="Y1848" t="n">
        <v>0</v>
      </c>
      <c r="Z1848" t="inlineStr"/>
      <c r="AA1848" t="inlineStr">
        <is>
          <t>https://nvd.nist.gov/vuln/detail/CVE-2024-20419</t>
        </is>
      </c>
    </row>
    <row r="1849">
      <c r="A1849" t="inlineStr">
        <is>
          <t>MSF_MODULE</t>
        </is>
      </c>
      <c r="B1849" t="inlineStr">
        <is>
          <t>CVE-2017-5259</t>
        </is>
      </c>
      <c r="C1849" t="inlineStr">
        <is>
          <t>Metasploit module available: Cambium cnPilot r200/r201 Command Execution as 'root' | Type: auxiliary_admin | CVE-2017-5259</t>
        </is>
      </c>
      <c r="D1849" t="n">
        <v>7.5</v>
      </c>
      <c r="E1849" t="inlineStr">
        <is>
          <t>HIGH</t>
        </is>
      </c>
      <c r="F1849" t="n">
        <v>3</v>
      </c>
      <c r="G1849" t="n">
        <v>3</v>
      </c>
      <c r="H1849" t="inlineStr">
        <is>
          <t>CRITICAL</t>
        </is>
      </c>
      <c r="I1849" t="n">
        <v>16.5</v>
      </c>
      <c r="J1849" t="inlineStr">
        <is>
          <t>NO</t>
        </is>
      </c>
      <c r="K1849" t="inlineStr">
        <is>
          <t>2026-02-26 00:15</t>
        </is>
      </c>
      <c r="L1849" t="inlineStr">
        <is>
          <t>PATCH_IMMEDIATELY</t>
        </is>
      </c>
      <c r="M1849" t="inlineStr">
        <is>
          <t>See CVE details</t>
        </is>
      </c>
      <c r="N1849" t="inlineStr">
        <is>
          <t>P2</t>
        </is>
      </c>
      <c r="O1849" t="inlineStr">
        <is>
          <t>Rapid7 MSF: Cambium cnPilot r200/r201 Command Execution as 'root' | Module type: auxiliary_admin</t>
        </is>
      </c>
      <c r="P1849" t="n">
        <v>0</v>
      </c>
      <c r="Q1849" t="n">
        <v>0</v>
      </c>
      <c r="R1849" t="inlineStr">
        <is>
          <t>T1203:Exploitation for Client Execution | T1190:Exploit Public-Facing Application</t>
        </is>
      </c>
      <c r="S1849" t="n">
        <v>2</v>
      </c>
      <c r="T1849" t="inlineStr">
        <is>
          <t>HIGH (72%)</t>
        </is>
      </c>
      <c r="U1849" t="inlineStr">
        <is>
          <t>WEAPONIZED</t>
        </is>
      </c>
      <c r="V1849" t="inlineStr">
        <is>
          <t>CHECK_VENDOR</t>
        </is>
      </c>
      <c r="W1849" t="inlineStr">
        <is>
          <t>https://www.rapid7.com/db/search/?q=CVE-2017-5259</t>
        </is>
      </c>
      <c r="X1849" t="inlineStr">
        <is>
          <t>NONE</t>
        </is>
      </c>
      <c r="Y1849" t="n">
        <v>0</v>
      </c>
      <c r="Z1849" t="inlineStr"/>
      <c r="AA1849" t="inlineStr">
        <is>
          <t>https://nvd.nist.gov/vuln/detail/CVE-2017-5259</t>
        </is>
      </c>
    </row>
    <row r="1850">
      <c r="A1850" t="inlineStr">
        <is>
          <t>MSF_MODULE</t>
        </is>
      </c>
      <c r="B1850" t="inlineStr">
        <is>
          <t>CVE-2017-5261</t>
        </is>
      </c>
      <c r="C1850" t="inlineStr">
        <is>
          <t>Metasploit module available: Cambium cnPilot r200/r201 File Path Traversal | Type: auxiliary_admin | CVE-2017-5261</t>
        </is>
      </c>
      <c r="D1850" t="n">
        <v>7.5</v>
      </c>
      <c r="E1850" t="inlineStr">
        <is>
          <t>HIGH</t>
        </is>
      </c>
      <c r="F1850" t="n">
        <v>3</v>
      </c>
      <c r="G1850" t="n">
        <v>3</v>
      </c>
      <c r="H1850" t="inlineStr">
        <is>
          <t>CRITICAL</t>
        </is>
      </c>
      <c r="I1850" t="n">
        <v>16.5</v>
      </c>
      <c r="J1850" t="inlineStr">
        <is>
          <t>NO</t>
        </is>
      </c>
      <c r="K1850" t="inlineStr">
        <is>
          <t>2026-02-26 00:15</t>
        </is>
      </c>
      <c r="L1850" t="inlineStr">
        <is>
          <t>PATCH_IMMEDIATELY</t>
        </is>
      </c>
      <c r="M1850" t="inlineStr">
        <is>
          <t>See CVE details</t>
        </is>
      </c>
      <c r="N1850" t="inlineStr">
        <is>
          <t>P2</t>
        </is>
      </c>
      <c r="O1850" t="inlineStr">
        <is>
          <t>Rapid7 MSF: Cambium cnPilot r200/r201 File Path Traversal | Module type: auxiliary_admin</t>
        </is>
      </c>
      <c r="P1850" t="n">
        <v>0</v>
      </c>
      <c r="Q1850" t="n">
        <v>0</v>
      </c>
      <c r="R1850" t="inlineStr">
        <is>
          <t>T1203:Exploitation for Client Execution | T1190:Exploit Public-Facing Application</t>
        </is>
      </c>
      <c r="S1850" t="n">
        <v>2</v>
      </c>
      <c r="T1850" t="inlineStr">
        <is>
          <t>HIGH (72%)</t>
        </is>
      </c>
      <c r="U1850" t="inlineStr">
        <is>
          <t>WEAPONIZED</t>
        </is>
      </c>
      <c r="V1850" t="inlineStr">
        <is>
          <t>CHECK_VENDOR</t>
        </is>
      </c>
      <c r="W1850" t="inlineStr">
        <is>
          <t>https://www.rapid7.com/db/search/?q=CVE-2017-5261</t>
        </is>
      </c>
      <c r="X1850" t="inlineStr">
        <is>
          <t>NONE</t>
        </is>
      </c>
      <c r="Y1850" t="n">
        <v>0</v>
      </c>
      <c r="Z1850" t="inlineStr"/>
      <c r="AA1850" t="inlineStr">
        <is>
          <t>https://nvd.nist.gov/vuln/detail/CVE-2017-5261</t>
        </is>
      </c>
    </row>
    <row r="1851">
      <c r="A1851" t="inlineStr">
        <is>
          <t>MSF_MODULE</t>
        </is>
      </c>
      <c r="B1851" t="inlineStr">
        <is>
          <t>CVE-2009-10005</t>
        </is>
      </c>
      <c r="C1851" t="inlineStr">
        <is>
          <t>Metasploit module available: ContentKeeper Web Appliance mimencode File Access | Type: auxiliary_admin | CVE-2009-10005</t>
        </is>
      </c>
      <c r="D1851" t="n">
        <v>7.5</v>
      </c>
      <c r="E1851" t="inlineStr">
        <is>
          <t>HIGH</t>
        </is>
      </c>
      <c r="F1851" t="n">
        <v>3</v>
      </c>
      <c r="G1851" t="n">
        <v>3</v>
      </c>
      <c r="H1851" t="inlineStr">
        <is>
          <t>CRITICAL</t>
        </is>
      </c>
      <c r="I1851" t="n">
        <v>16.5</v>
      </c>
      <c r="J1851" t="inlineStr">
        <is>
          <t>NO</t>
        </is>
      </c>
      <c r="K1851" t="inlineStr">
        <is>
          <t>2026-02-26 00:15</t>
        </is>
      </c>
      <c r="L1851" t="inlineStr">
        <is>
          <t>PATCH_IMMEDIATELY</t>
        </is>
      </c>
      <c r="M1851" t="inlineStr">
        <is>
          <t>See CVE details</t>
        </is>
      </c>
      <c r="N1851" t="inlineStr">
        <is>
          <t>P2</t>
        </is>
      </c>
      <c r="O1851" t="inlineStr">
        <is>
          <t>Rapid7 MSF: ContentKeeper Web Appliance mimencode File Access | Module type: auxiliary_admin</t>
        </is>
      </c>
      <c r="P1851" t="n">
        <v>0</v>
      </c>
      <c r="Q1851" t="n">
        <v>0</v>
      </c>
      <c r="R1851" t="inlineStr">
        <is>
          <t>T1203:Exploitation for Client Execution | T1190:Exploit Public-Facing Application</t>
        </is>
      </c>
      <c r="S1851" t="n">
        <v>2</v>
      </c>
      <c r="T1851" t="inlineStr">
        <is>
          <t>HIGH (72%)</t>
        </is>
      </c>
      <c r="U1851" t="inlineStr">
        <is>
          <t>WEAPONIZED</t>
        </is>
      </c>
      <c r="V1851" t="inlineStr">
        <is>
          <t>CHECK_VENDOR</t>
        </is>
      </c>
      <c r="W1851" t="inlineStr">
        <is>
          <t>https://www.rapid7.com/db/search/?q=CVE-2009-10005</t>
        </is>
      </c>
      <c r="X1851" t="inlineStr">
        <is>
          <t>NONE</t>
        </is>
      </c>
      <c r="Y1851" t="n">
        <v>0</v>
      </c>
      <c r="Z1851" t="inlineStr"/>
      <c r="AA1851" t="inlineStr">
        <is>
          <t>https://nvd.nist.gov/vuln/detail/CVE-2009-10005</t>
        </is>
      </c>
    </row>
    <row r="1852">
      <c r="A1852" t="inlineStr">
        <is>
          <t>MSF_MODULE</t>
        </is>
      </c>
      <c r="B1852" t="inlineStr">
        <is>
          <t>CVE-2013-10069</t>
        </is>
      </c>
      <c r="C1852" t="inlineStr">
        <is>
          <t>Metasploit module available: D-Link DIR-600 / DIR-300 Unauthenticated Remote Command Execution | Type: auxiliary_admin | CVE-2013-10069</t>
        </is>
      </c>
      <c r="D1852" t="n">
        <v>7.5</v>
      </c>
      <c r="E1852" t="inlineStr">
        <is>
          <t>HIGH</t>
        </is>
      </c>
      <c r="F1852" t="n">
        <v>3</v>
      </c>
      <c r="G1852" t="n">
        <v>3</v>
      </c>
      <c r="H1852" t="inlineStr">
        <is>
          <t>CRITICAL</t>
        </is>
      </c>
      <c r="I1852" t="n">
        <v>16.5</v>
      </c>
      <c r="J1852" t="inlineStr">
        <is>
          <t>NO</t>
        </is>
      </c>
      <c r="K1852" t="inlineStr">
        <is>
          <t>2026-02-26 00:15</t>
        </is>
      </c>
      <c r="L1852" t="inlineStr">
        <is>
          <t>PATCH_IMMEDIATELY</t>
        </is>
      </c>
      <c r="M1852" t="inlineStr">
        <is>
          <t>See CVE details</t>
        </is>
      </c>
      <c r="N1852" t="inlineStr">
        <is>
          <t>P2</t>
        </is>
      </c>
      <c r="O1852" t="inlineStr">
        <is>
          <t>Rapid7 MSF: D-Link DIR-600 / DIR-300 Unauthenticated Remote Command Execution | Module type: auxiliary_admin</t>
        </is>
      </c>
      <c r="P1852" t="n">
        <v>0</v>
      </c>
      <c r="Q1852" t="n">
        <v>0</v>
      </c>
      <c r="R1852" t="inlineStr">
        <is>
          <t>T1203:Exploitation for Client Execution | T1190:Exploit Public-Facing Application</t>
        </is>
      </c>
      <c r="S1852" t="n">
        <v>2</v>
      </c>
      <c r="T1852" t="inlineStr">
        <is>
          <t>HIGH (72%)</t>
        </is>
      </c>
      <c r="U1852" t="inlineStr">
        <is>
          <t>WEAPONIZED</t>
        </is>
      </c>
      <c r="V1852" t="inlineStr">
        <is>
          <t>CHECK_VENDOR</t>
        </is>
      </c>
      <c r="W1852" t="inlineStr">
        <is>
          <t>https://www.rapid7.com/db/search/?q=CVE-2013-10069</t>
        </is>
      </c>
      <c r="X1852" t="inlineStr">
        <is>
          <t>NONE</t>
        </is>
      </c>
      <c r="Y1852" t="n">
        <v>0</v>
      </c>
      <c r="Z1852" t="inlineStr"/>
      <c r="AA1852" t="inlineStr">
        <is>
          <t>https://nvd.nist.gov/vuln/detail/CVE-2013-10069</t>
        </is>
      </c>
    </row>
    <row r="1853">
      <c r="A1853" t="inlineStr">
        <is>
          <t>MSF_MODULE</t>
        </is>
      </c>
      <c r="B1853" t="inlineStr">
        <is>
          <t>CVE-2013-2113</t>
        </is>
      </c>
      <c r="C1853" t="inlineStr">
        <is>
          <t>Metasploit module available: Foreman (Red Hat OpenStack/Satellite) users/create Mass Assignment | Type: auxiliary_admin | CVE-2013-2113</t>
        </is>
      </c>
      <c r="D1853" t="n">
        <v>7.5</v>
      </c>
      <c r="E1853" t="inlineStr">
        <is>
          <t>HIGH</t>
        </is>
      </c>
      <c r="F1853" t="n">
        <v>3</v>
      </c>
      <c r="G1853" t="n">
        <v>3</v>
      </c>
      <c r="H1853" t="inlineStr">
        <is>
          <t>CRITICAL</t>
        </is>
      </c>
      <c r="I1853" t="n">
        <v>16.5</v>
      </c>
      <c r="J1853" t="inlineStr">
        <is>
          <t>NO</t>
        </is>
      </c>
      <c r="K1853" t="inlineStr">
        <is>
          <t>2026-02-26 00:15</t>
        </is>
      </c>
      <c r="L1853" t="inlineStr">
        <is>
          <t>PATCH_IMMEDIATELY</t>
        </is>
      </c>
      <c r="M1853" t="inlineStr">
        <is>
          <t>See CVE details</t>
        </is>
      </c>
      <c r="N1853" t="inlineStr">
        <is>
          <t>P2</t>
        </is>
      </c>
      <c r="O1853" t="inlineStr">
        <is>
          <t>Rapid7 MSF: Foreman (Red Hat OpenStack/Satellite) users/create Mass Assignment | Module type: auxiliary_admin</t>
        </is>
      </c>
      <c r="P1853" t="n">
        <v>0</v>
      </c>
      <c r="Q1853" t="n">
        <v>0</v>
      </c>
      <c r="R1853" t="inlineStr">
        <is>
          <t>T1203:Exploitation for Client Execution | T1190:Exploit Public-Facing Application</t>
        </is>
      </c>
      <c r="S1853" t="n">
        <v>2</v>
      </c>
      <c r="T1853" t="inlineStr">
        <is>
          <t>HIGH (72%)</t>
        </is>
      </c>
      <c r="U1853" t="inlineStr">
        <is>
          <t>WEAPONIZED</t>
        </is>
      </c>
      <c r="V1853" t="inlineStr">
        <is>
          <t>CHECK_VENDOR</t>
        </is>
      </c>
      <c r="W1853" t="inlineStr">
        <is>
          <t>https://www.rapid7.com/db/search/?q=CVE-2013-2113</t>
        </is>
      </c>
      <c r="X1853" t="inlineStr">
        <is>
          <t>NONE</t>
        </is>
      </c>
      <c r="Y1853" t="n">
        <v>0</v>
      </c>
      <c r="Z1853" t="inlineStr"/>
      <c r="AA1853" t="inlineStr">
        <is>
          <t>https://nvd.nist.gov/vuln/detail/CVE-2013-2113</t>
        </is>
      </c>
    </row>
    <row r="1854">
      <c r="A1854" t="inlineStr">
        <is>
          <t>MSF_MODULE</t>
        </is>
      </c>
      <c r="B1854" t="inlineStr">
        <is>
          <t>CVE-2025-64446</t>
        </is>
      </c>
      <c r="C1854" t="inlineStr">
        <is>
          <t>Metasploit module available: Fortinet FortiWeb create new local admin | Type: auxiliary_admin | CVE-2025-64446</t>
        </is>
      </c>
      <c r="D1854" t="n">
        <v>7.5</v>
      </c>
      <c r="E1854" t="inlineStr">
        <is>
          <t>HIGH</t>
        </is>
      </c>
      <c r="F1854" t="n">
        <v>3</v>
      </c>
      <c r="G1854" t="n">
        <v>3</v>
      </c>
      <c r="H1854" t="inlineStr">
        <is>
          <t>CRITICAL</t>
        </is>
      </c>
      <c r="I1854" t="n">
        <v>16.5</v>
      </c>
      <c r="J1854" t="inlineStr">
        <is>
          <t>YES</t>
        </is>
      </c>
      <c r="K1854" t="inlineStr">
        <is>
          <t>2026-02-26 00:15</t>
        </is>
      </c>
      <c r="L1854" t="inlineStr">
        <is>
          <t>PATCH_IMMEDIATELY</t>
        </is>
      </c>
      <c r="M1854" t="inlineStr">
        <is>
          <t>See CVE details</t>
        </is>
      </c>
      <c r="N1854" t="inlineStr">
        <is>
          <t>P1</t>
        </is>
      </c>
      <c r="O1854" t="inlineStr">
        <is>
          <t>Rapid7 MSF: Fortinet FortiWeb create new local admin | Module type: auxiliary_admin</t>
        </is>
      </c>
      <c r="P1854" t="n">
        <v>0</v>
      </c>
      <c r="Q1854" t="n">
        <v>0</v>
      </c>
      <c r="R1854" t="inlineStr">
        <is>
          <t>T1203:Exploitation for Client Execution | T1190:Exploit Public-Facing Application</t>
        </is>
      </c>
      <c r="S1854" t="n">
        <v>2</v>
      </c>
      <c r="T1854" t="inlineStr">
        <is>
          <t>HIGH (72%)</t>
        </is>
      </c>
      <c r="U1854" t="inlineStr">
        <is>
          <t>WEAPONIZED</t>
        </is>
      </c>
      <c r="V1854" t="inlineStr">
        <is>
          <t>CHECK_VENDOR</t>
        </is>
      </c>
      <c r="W1854" t="inlineStr">
        <is>
          <t>https://www.rapid7.com/db/search/?q=CVE-2025-64446</t>
        </is>
      </c>
      <c r="X1854" t="inlineStr">
        <is>
          <t>NONE</t>
        </is>
      </c>
      <c r="Y1854" t="n">
        <v>0</v>
      </c>
      <c r="Z1854" t="inlineStr"/>
      <c r="AA1854" t="inlineStr">
        <is>
          <t>https://nvd.nist.gov/vuln/detail/CVE-2025-64446</t>
        </is>
      </c>
    </row>
    <row r="1855">
      <c r="A1855" t="inlineStr">
        <is>
          <t>MSF_MODULE</t>
        </is>
      </c>
      <c r="B1855" t="inlineStr">
        <is>
          <t>CVE-2024-5276</t>
        </is>
      </c>
      <c r="C1855" t="inlineStr">
        <is>
          <t>Metasploit module available: Fortra FileCatalyst Workflow SQL Injection (CVE-2024-5276) | Type: auxiliary_admin | CVE-2024-5276</t>
        </is>
      </c>
      <c r="D1855" t="n">
        <v>7.5</v>
      </c>
      <c r="E1855" t="inlineStr">
        <is>
          <t>HIGH</t>
        </is>
      </c>
      <c r="F1855" t="n">
        <v>3</v>
      </c>
      <c r="G1855" t="n">
        <v>3</v>
      </c>
      <c r="H1855" t="inlineStr">
        <is>
          <t>CRITICAL</t>
        </is>
      </c>
      <c r="I1855" t="n">
        <v>16.5</v>
      </c>
      <c r="J1855" t="inlineStr">
        <is>
          <t>NO</t>
        </is>
      </c>
      <c r="K1855" t="inlineStr">
        <is>
          <t>2026-02-26 00:15</t>
        </is>
      </c>
      <c r="L1855" t="inlineStr">
        <is>
          <t>PATCH_IMMEDIATELY</t>
        </is>
      </c>
      <c r="M1855" t="inlineStr">
        <is>
          <t>See CVE details</t>
        </is>
      </c>
      <c r="N1855" t="inlineStr">
        <is>
          <t>P2</t>
        </is>
      </c>
      <c r="O1855" t="inlineStr">
        <is>
          <t>Rapid7 MSF: Fortra FileCatalyst Workflow SQL Injection (CVE-2024-5276) | Module type: auxiliary_admin</t>
        </is>
      </c>
      <c r="P1855" t="n">
        <v>0</v>
      </c>
      <c r="Q1855" t="n">
        <v>0</v>
      </c>
      <c r="R1855" t="inlineStr">
        <is>
          <t>T1203:Exploitation for Client Execution | T1190:Exploit Public-Facing Application</t>
        </is>
      </c>
      <c r="S1855" t="n">
        <v>2</v>
      </c>
      <c r="T1855" t="inlineStr">
        <is>
          <t>HIGH (72%)</t>
        </is>
      </c>
      <c r="U1855" t="inlineStr">
        <is>
          <t>WEAPONIZED</t>
        </is>
      </c>
      <c r="V1855" t="inlineStr">
        <is>
          <t>CHECK_VENDOR</t>
        </is>
      </c>
      <c r="W1855" t="inlineStr">
        <is>
          <t>https://www.rapid7.com/db/search/?q=CVE-2024-5276</t>
        </is>
      </c>
      <c r="X1855" t="inlineStr">
        <is>
          <t>NONE</t>
        </is>
      </c>
      <c r="Y1855" t="n">
        <v>0</v>
      </c>
      <c r="Z1855" t="inlineStr"/>
      <c r="AA1855" t="inlineStr">
        <is>
          <t>https://nvd.nist.gov/vuln/detail/CVE-2024-5276</t>
        </is>
      </c>
    </row>
    <row r="1856">
      <c r="A1856" t="inlineStr">
        <is>
          <t>MSF_MODULE</t>
        </is>
      </c>
      <c r="B1856" t="inlineStr">
        <is>
          <t>CVE-2023-7028</t>
        </is>
      </c>
      <c r="C1856" t="inlineStr">
        <is>
          <t>Metasploit module available: GitLab Password Reset Account Takeover | Type: auxiliary_admin | CVE-2023-7028</t>
        </is>
      </c>
      <c r="D1856" t="n">
        <v>7.5</v>
      </c>
      <c r="E1856" t="inlineStr">
        <is>
          <t>HIGH</t>
        </is>
      </c>
      <c r="F1856" t="n">
        <v>3</v>
      </c>
      <c r="G1856" t="n">
        <v>3</v>
      </c>
      <c r="H1856" t="inlineStr">
        <is>
          <t>CRITICAL</t>
        </is>
      </c>
      <c r="I1856" t="n">
        <v>16.5</v>
      </c>
      <c r="J1856" t="inlineStr">
        <is>
          <t>YES</t>
        </is>
      </c>
      <c r="K1856" t="inlineStr">
        <is>
          <t>2026-02-26 00:15</t>
        </is>
      </c>
      <c r="L1856" t="inlineStr">
        <is>
          <t>PATCH_IMMEDIATELY</t>
        </is>
      </c>
      <c r="M1856" t="inlineStr">
        <is>
          <t>See CVE details</t>
        </is>
      </c>
      <c r="N1856" t="inlineStr">
        <is>
          <t>P1</t>
        </is>
      </c>
      <c r="O1856" t="inlineStr">
        <is>
          <t>Rapid7 MSF: GitLab Password Reset Account Takeover | Module type: auxiliary_admin</t>
        </is>
      </c>
      <c r="P1856" t="n">
        <v>0</v>
      </c>
      <c r="Q1856" t="n">
        <v>0</v>
      </c>
      <c r="R1856" t="inlineStr">
        <is>
          <t>T1203:Exploitation for Client Execution | T1190:Exploit Public-Facing Application</t>
        </is>
      </c>
      <c r="S1856" t="n">
        <v>2</v>
      </c>
      <c r="T1856" t="inlineStr">
        <is>
          <t>HIGH (72%)</t>
        </is>
      </c>
      <c r="U1856" t="inlineStr">
        <is>
          <t>WEAPONIZED</t>
        </is>
      </c>
      <c r="V1856" t="inlineStr">
        <is>
          <t>CHECK_VENDOR</t>
        </is>
      </c>
      <c r="W1856" t="inlineStr">
        <is>
          <t>https://www.rapid7.com/db/search/?q=CVE-2023-7028</t>
        </is>
      </c>
      <c r="X1856" t="inlineStr">
        <is>
          <t>NONE</t>
        </is>
      </c>
      <c r="Y1856" t="n">
        <v>0</v>
      </c>
      <c r="Z1856" t="inlineStr"/>
      <c r="AA1856" t="inlineStr">
        <is>
          <t>https://nvd.nist.gov/vuln/detail/CVE-2023-7028</t>
        </is>
      </c>
    </row>
    <row r="1857">
      <c r="A1857" t="inlineStr">
        <is>
          <t>MSF_MODULE</t>
        </is>
      </c>
      <c r="B1857" t="inlineStr">
        <is>
          <t>CVE-2018-5955</t>
        </is>
      </c>
      <c r="C1857" t="inlineStr">
        <is>
          <t>Metasploit module available: GitStack Unauthenticated REST API Requests | Type: auxiliary_admin | CVE-2018-5955</t>
        </is>
      </c>
      <c r="D1857" t="n">
        <v>7.5</v>
      </c>
      <c r="E1857" t="inlineStr">
        <is>
          <t>HIGH</t>
        </is>
      </c>
      <c r="F1857" t="n">
        <v>3</v>
      </c>
      <c r="G1857" t="n">
        <v>3</v>
      </c>
      <c r="H1857" t="inlineStr">
        <is>
          <t>CRITICAL</t>
        </is>
      </c>
      <c r="I1857" t="n">
        <v>16.5</v>
      </c>
      <c r="J1857" t="inlineStr">
        <is>
          <t>NO</t>
        </is>
      </c>
      <c r="K1857" t="inlineStr">
        <is>
          <t>2026-02-26 00:15</t>
        </is>
      </c>
      <c r="L1857" t="inlineStr">
        <is>
          <t>PATCH_IMMEDIATELY</t>
        </is>
      </c>
      <c r="M1857" t="inlineStr">
        <is>
          <t>See CVE details</t>
        </is>
      </c>
      <c r="N1857" t="inlineStr">
        <is>
          <t>P2</t>
        </is>
      </c>
      <c r="O1857" t="inlineStr">
        <is>
          <t>Rapid7 MSF: GitStack Unauthenticated REST API Requests | Module type: auxiliary_admin</t>
        </is>
      </c>
      <c r="P1857" t="n">
        <v>0</v>
      </c>
      <c r="Q1857" t="n">
        <v>0</v>
      </c>
      <c r="R1857" t="inlineStr">
        <is>
          <t>T1203:Exploitation for Client Execution | T1190:Exploit Public-Facing Application</t>
        </is>
      </c>
      <c r="S1857" t="n">
        <v>2</v>
      </c>
      <c r="T1857" t="inlineStr">
        <is>
          <t>HIGH (72%)</t>
        </is>
      </c>
      <c r="U1857" t="inlineStr">
        <is>
          <t>WEAPONIZED</t>
        </is>
      </c>
      <c r="V1857" t="inlineStr">
        <is>
          <t>CHECK_VENDOR</t>
        </is>
      </c>
      <c r="W1857" t="inlineStr">
        <is>
          <t>https://www.rapid7.com/db/search/?q=CVE-2018-5955</t>
        </is>
      </c>
      <c r="X1857" t="inlineStr">
        <is>
          <t>NONE</t>
        </is>
      </c>
      <c r="Y1857" t="n">
        <v>0</v>
      </c>
      <c r="Z1857" t="inlineStr"/>
      <c r="AA1857" t="inlineStr">
        <is>
          <t>https://nvd.nist.gov/vuln/detail/CVE-2018-5955</t>
        </is>
      </c>
    </row>
    <row r="1858">
      <c r="A1858" t="inlineStr">
        <is>
          <t>MSF_MODULE</t>
        </is>
      </c>
      <c r="B1858" t="inlineStr">
        <is>
          <t>CVE-2018-15727</t>
        </is>
      </c>
      <c r="C1858" t="inlineStr">
        <is>
          <t>Metasploit module available: Grafana 2.0 through 5.2.2 authentication bypass for LDAP and OAuth | Type: auxiliary_admin | CVE-2018-15727</t>
        </is>
      </c>
      <c r="D1858" t="n">
        <v>7.5</v>
      </c>
      <c r="E1858" t="inlineStr">
        <is>
          <t>HIGH</t>
        </is>
      </c>
      <c r="F1858" t="n">
        <v>3</v>
      </c>
      <c r="G1858" t="n">
        <v>3</v>
      </c>
      <c r="H1858" t="inlineStr">
        <is>
          <t>CRITICAL</t>
        </is>
      </c>
      <c r="I1858" t="n">
        <v>16.5</v>
      </c>
      <c r="J1858" t="inlineStr">
        <is>
          <t>NO</t>
        </is>
      </c>
      <c r="K1858" t="inlineStr">
        <is>
          <t>2026-02-26 00:15</t>
        </is>
      </c>
      <c r="L1858" t="inlineStr">
        <is>
          <t>PATCH_IMMEDIATELY</t>
        </is>
      </c>
      <c r="M1858" t="inlineStr">
        <is>
          <t>See CVE details</t>
        </is>
      </c>
      <c r="N1858" t="inlineStr">
        <is>
          <t>P2</t>
        </is>
      </c>
      <c r="O1858" t="inlineStr">
        <is>
          <t>Rapid7 MSF: Grafana 2.0 through 5.2.2 authentication bypass for LDAP and OAuth | Module type: auxiliary_admin</t>
        </is>
      </c>
      <c r="P1858" t="n">
        <v>0</v>
      </c>
      <c r="Q1858" t="n">
        <v>0</v>
      </c>
      <c r="R1858" t="inlineStr">
        <is>
          <t>T1203:Exploitation for Client Execution | T1190:Exploit Public-Facing Application</t>
        </is>
      </c>
      <c r="S1858" t="n">
        <v>2</v>
      </c>
      <c r="T1858" t="inlineStr">
        <is>
          <t>HIGH (72%)</t>
        </is>
      </c>
      <c r="U1858" t="inlineStr">
        <is>
          <t>WEAPONIZED</t>
        </is>
      </c>
      <c r="V1858" t="inlineStr">
        <is>
          <t>CHECK_VENDOR</t>
        </is>
      </c>
      <c r="W1858" t="inlineStr">
        <is>
          <t>https://www.rapid7.com/db/search/?q=CVE-2018-15727</t>
        </is>
      </c>
      <c r="X1858" t="inlineStr">
        <is>
          <t>NONE</t>
        </is>
      </c>
      <c r="Y1858" t="n">
        <v>0</v>
      </c>
      <c r="Z1858" t="inlineStr"/>
      <c r="AA1858" t="inlineStr">
        <is>
          <t>https://nvd.nist.gov/vuln/detail/CVE-2018-15727</t>
        </is>
      </c>
    </row>
    <row r="1859">
      <c r="A1859" t="inlineStr">
        <is>
          <t>MSF_MODULE</t>
        </is>
      </c>
      <c r="B1859" t="inlineStr">
        <is>
          <t>CVE-2017-7921</t>
        </is>
      </c>
      <c r="C1859" t="inlineStr">
        <is>
          <t>Metasploit module available: Hikvision IP Camera Unauthenticated Password Change Via Improper Authentication  | Type: auxiliary_admin | CVE-2017-7921</t>
        </is>
      </c>
      <c r="D1859" t="n">
        <v>7.5</v>
      </c>
      <c r="E1859" t="inlineStr">
        <is>
          <t>HIGH</t>
        </is>
      </c>
      <c r="F1859" t="n">
        <v>3</v>
      </c>
      <c r="G1859" t="n">
        <v>3</v>
      </c>
      <c r="H1859" t="inlineStr">
        <is>
          <t>CRITICAL</t>
        </is>
      </c>
      <c r="I1859" t="n">
        <v>16.5</v>
      </c>
      <c r="J1859" t="inlineStr">
        <is>
          <t>NO</t>
        </is>
      </c>
      <c r="K1859" t="inlineStr">
        <is>
          <t>2026-02-26 00:15</t>
        </is>
      </c>
      <c r="L1859" t="inlineStr">
        <is>
          <t>PATCH_IMMEDIATELY</t>
        </is>
      </c>
      <c r="M1859" t="inlineStr">
        <is>
          <t>See CVE details</t>
        </is>
      </c>
      <c r="N1859" t="inlineStr">
        <is>
          <t>P2</t>
        </is>
      </c>
      <c r="O1859" t="inlineStr">
        <is>
          <t>Rapid7 MSF: Hikvision IP Camera Unauthenticated Password Change Via Improper Authentication  | Module type: auxiliary_admin</t>
        </is>
      </c>
      <c r="P1859" t="n">
        <v>0</v>
      </c>
      <c r="Q1859" t="n">
        <v>0</v>
      </c>
      <c r="R1859" t="inlineStr">
        <is>
          <t>T1203:Exploitation for Client Execution | T1190:Exploit Public-Facing Application</t>
        </is>
      </c>
      <c r="S1859" t="n">
        <v>2</v>
      </c>
      <c r="T1859" t="inlineStr">
        <is>
          <t>HIGH (72%)</t>
        </is>
      </c>
      <c r="U1859" t="inlineStr">
        <is>
          <t>WEAPONIZED</t>
        </is>
      </c>
      <c r="V1859" t="inlineStr">
        <is>
          <t>CHECK_VENDOR</t>
        </is>
      </c>
      <c r="W1859" t="inlineStr">
        <is>
          <t>https://www.rapid7.com/db/search/?q=CVE-2017-7921</t>
        </is>
      </c>
      <c r="X1859" t="inlineStr">
        <is>
          <t>NONE</t>
        </is>
      </c>
      <c r="Y1859" t="n">
        <v>0</v>
      </c>
      <c r="Z1859" t="inlineStr"/>
      <c r="AA1859" t="inlineStr">
        <is>
          <t>https://nvd.nist.gov/vuln/detail/CVE-2017-7921</t>
        </is>
      </c>
    </row>
    <row r="1860">
      <c r="A1860" t="inlineStr">
        <is>
          <t>MSF_MODULE</t>
        </is>
      </c>
      <c r="B1860" t="inlineStr">
        <is>
          <t>CVE-2020-4427</t>
        </is>
      </c>
      <c r="C1860" t="inlineStr">
        <is>
          <t>Metasploit module available: IBM Data Risk Manager Arbitrary File Download | Type: auxiliary_admin | CVE-2020-4427</t>
        </is>
      </c>
      <c r="D1860" t="n">
        <v>7.5</v>
      </c>
      <c r="E1860" t="inlineStr">
        <is>
          <t>HIGH</t>
        </is>
      </c>
      <c r="F1860" t="n">
        <v>3</v>
      </c>
      <c r="G1860" t="n">
        <v>3</v>
      </c>
      <c r="H1860" t="inlineStr">
        <is>
          <t>CRITICAL</t>
        </is>
      </c>
      <c r="I1860" t="n">
        <v>16.5</v>
      </c>
      <c r="J1860" t="inlineStr">
        <is>
          <t>YES</t>
        </is>
      </c>
      <c r="K1860" t="inlineStr">
        <is>
          <t>2026-02-26 00:15</t>
        </is>
      </c>
      <c r="L1860" t="inlineStr">
        <is>
          <t>PATCH_IMMEDIATELY</t>
        </is>
      </c>
      <c r="M1860" t="inlineStr">
        <is>
          <t>See CVE details</t>
        </is>
      </c>
      <c r="N1860" t="inlineStr">
        <is>
          <t>P1</t>
        </is>
      </c>
      <c r="O1860" t="inlineStr">
        <is>
          <t>Rapid7 MSF: IBM Data Risk Manager Arbitrary File Download | Module type: auxiliary_admin</t>
        </is>
      </c>
      <c r="P1860" t="n">
        <v>0</v>
      </c>
      <c r="Q1860" t="n">
        <v>0</v>
      </c>
      <c r="R1860" t="inlineStr">
        <is>
          <t>T1203:Exploitation for Client Execution | T1190:Exploit Public-Facing Application</t>
        </is>
      </c>
      <c r="S1860" t="n">
        <v>2</v>
      </c>
      <c r="T1860" t="inlineStr">
        <is>
          <t>HIGH (72%)</t>
        </is>
      </c>
      <c r="U1860" t="inlineStr">
        <is>
          <t>WEAPONIZED</t>
        </is>
      </c>
      <c r="V1860" t="inlineStr">
        <is>
          <t>CHECK_VENDOR</t>
        </is>
      </c>
      <c r="W1860" t="inlineStr">
        <is>
          <t>https://www.rapid7.com/db/search/?q=CVE-2020-4427</t>
        </is>
      </c>
      <c r="X1860" t="inlineStr">
        <is>
          <t>NONE</t>
        </is>
      </c>
      <c r="Y1860" t="n">
        <v>0</v>
      </c>
      <c r="Z1860" t="inlineStr"/>
      <c r="AA1860" t="inlineStr">
        <is>
          <t>https://nvd.nist.gov/vuln/detail/CVE-2020-4427</t>
        </is>
      </c>
    </row>
    <row r="1861">
      <c r="A1861" t="inlineStr">
        <is>
          <t>MSF_MODULE</t>
        </is>
      </c>
      <c r="B1861" t="inlineStr">
        <is>
          <t>CVE-2020-4429</t>
        </is>
      </c>
      <c r="C1861" t="inlineStr">
        <is>
          <t>Metasploit module available: IBM Data Risk Manager Arbitrary File Download | Type: auxiliary_admin | CVE-2020-4429</t>
        </is>
      </c>
      <c r="D1861" t="n">
        <v>7.5</v>
      </c>
      <c r="E1861" t="inlineStr">
        <is>
          <t>HIGH</t>
        </is>
      </c>
      <c r="F1861" t="n">
        <v>3</v>
      </c>
      <c r="G1861" t="n">
        <v>3</v>
      </c>
      <c r="H1861" t="inlineStr">
        <is>
          <t>CRITICAL</t>
        </is>
      </c>
      <c r="I1861" t="n">
        <v>16.5</v>
      </c>
      <c r="J1861" t="inlineStr">
        <is>
          <t>NO</t>
        </is>
      </c>
      <c r="K1861" t="inlineStr">
        <is>
          <t>2026-02-26 00:15</t>
        </is>
      </c>
      <c r="L1861" t="inlineStr">
        <is>
          <t>PATCH_IMMEDIATELY</t>
        </is>
      </c>
      <c r="M1861" t="inlineStr">
        <is>
          <t>See CVE details</t>
        </is>
      </c>
      <c r="N1861" t="inlineStr">
        <is>
          <t>P2</t>
        </is>
      </c>
      <c r="O1861" t="inlineStr">
        <is>
          <t>Rapid7 MSF: IBM Data Risk Manager Arbitrary File Download | Module type: auxiliary_admin</t>
        </is>
      </c>
      <c r="P1861" t="n">
        <v>0</v>
      </c>
      <c r="Q1861" t="n">
        <v>0</v>
      </c>
      <c r="R1861" t="inlineStr">
        <is>
          <t>T1203:Exploitation for Client Execution | T1190:Exploit Public-Facing Application</t>
        </is>
      </c>
      <c r="S1861" t="n">
        <v>2</v>
      </c>
      <c r="T1861" t="inlineStr">
        <is>
          <t>HIGH (72%)</t>
        </is>
      </c>
      <c r="U1861" t="inlineStr">
        <is>
          <t>WEAPONIZED</t>
        </is>
      </c>
      <c r="V1861" t="inlineStr">
        <is>
          <t>CHECK_VENDOR</t>
        </is>
      </c>
      <c r="W1861" t="inlineStr">
        <is>
          <t>https://www.rapid7.com/db/search/?q=CVE-2020-4429</t>
        </is>
      </c>
      <c r="X1861" t="inlineStr">
        <is>
          <t>NONE</t>
        </is>
      </c>
      <c r="Y1861" t="n">
        <v>0</v>
      </c>
      <c r="Z1861" t="inlineStr"/>
      <c r="AA1861" t="inlineStr">
        <is>
          <t>https://nvd.nist.gov/vuln/detail/CVE-2020-4429</t>
        </is>
      </c>
    </row>
    <row r="1862">
      <c r="A1862" t="inlineStr">
        <is>
          <t>MSF_MODULE</t>
        </is>
      </c>
      <c r="B1862" t="inlineStr">
        <is>
          <t>CVE-2023-6329</t>
        </is>
      </c>
      <c r="C1862" t="inlineStr">
        <is>
          <t>Metasploit module available: Control iD iDSecure Authentication Bypass (CVE-2023-6329) | Type: auxiliary_admin | CVE-2023-6329</t>
        </is>
      </c>
      <c r="D1862" t="n">
        <v>7.5</v>
      </c>
      <c r="E1862" t="inlineStr">
        <is>
          <t>HIGH</t>
        </is>
      </c>
      <c r="F1862" t="n">
        <v>3</v>
      </c>
      <c r="G1862" t="n">
        <v>3</v>
      </c>
      <c r="H1862" t="inlineStr">
        <is>
          <t>CRITICAL</t>
        </is>
      </c>
      <c r="I1862" t="n">
        <v>16.5</v>
      </c>
      <c r="J1862" t="inlineStr">
        <is>
          <t>NO</t>
        </is>
      </c>
      <c r="K1862" t="inlineStr">
        <is>
          <t>2026-02-26 00:15</t>
        </is>
      </c>
      <c r="L1862" t="inlineStr">
        <is>
          <t>PATCH_IMMEDIATELY</t>
        </is>
      </c>
      <c r="M1862" t="inlineStr">
        <is>
          <t>See CVE details</t>
        </is>
      </c>
      <c r="N1862" t="inlineStr">
        <is>
          <t>P2</t>
        </is>
      </c>
      <c r="O1862" t="inlineStr">
        <is>
          <t>Rapid7 MSF: Control iD iDSecure Authentication Bypass (CVE-2023-6329) | Module type: auxiliary_admin</t>
        </is>
      </c>
      <c r="P1862" t="n">
        <v>0</v>
      </c>
      <c r="Q1862" t="n">
        <v>0</v>
      </c>
      <c r="R1862" t="inlineStr">
        <is>
          <t>T1203:Exploitation for Client Execution | T1190:Exploit Public-Facing Application</t>
        </is>
      </c>
      <c r="S1862" t="n">
        <v>2</v>
      </c>
      <c r="T1862" t="inlineStr">
        <is>
          <t>HIGH (72%)</t>
        </is>
      </c>
      <c r="U1862" t="inlineStr">
        <is>
          <t>WEAPONIZED</t>
        </is>
      </c>
      <c r="V1862" t="inlineStr">
        <is>
          <t>CHECK_VENDOR</t>
        </is>
      </c>
      <c r="W1862" t="inlineStr">
        <is>
          <t>https://www.rapid7.com/db/search/?q=CVE-2023-6329</t>
        </is>
      </c>
      <c r="X1862" t="inlineStr">
        <is>
          <t>NONE</t>
        </is>
      </c>
      <c r="Y1862" t="n">
        <v>0</v>
      </c>
      <c r="Z1862" t="inlineStr"/>
      <c r="AA1862" t="inlineStr">
        <is>
          <t>https://nvd.nist.gov/vuln/detail/CVE-2023-6329</t>
        </is>
      </c>
    </row>
    <row r="1863">
      <c r="A1863" t="inlineStr">
        <is>
          <t>MSF_MODULE</t>
        </is>
      </c>
      <c r="B1863" t="inlineStr">
        <is>
          <t>CVE-2010-2731</t>
        </is>
      </c>
      <c r="C1863" t="inlineStr">
        <is>
          <t>Metasploit module available: MS10-065 Microsoft IIS 5 NTFS Stream Authentication Bypass | Type: auxiliary_admin | CVE-2010-2731</t>
        </is>
      </c>
      <c r="D1863" t="n">
        <v>7.5</v>
      </c>
      <c r="E1863" t="inlineStr">
        <is>
          <t>HIGH</t>
        </is>
      </c>
      <c r="F1863" t="n">
        <v>3</v>
      </c>
      <c r="G1863" t="n">
        <v>3</v>
      </c>
      <c r="H1863" t="inlineStr">
        <is>
          <t>CRITICAL</t>
        </is>
      </c>
      <c r="I1863" t="n">
        <v>16.5</v>
      </c>
      <c r="J1863" t="inlineStr">
        <is>
          <t>NO</t>
        </is>
      </c>
      <c r="K1863" t="inlineStr">
        <is>
          <t>2026-02-26 00:15</t>
        </is>
      </c>
      <c r="L1863" t="inlineStr">
        <is>
          <t>PATCH_IMMEDIATELY</t>
        </is>
      </c>
      <c r="M1863" t="inlineStr">
        <is>
          <t>See CVE details</t>
        </is>
      </c>
      <c r="N1863" t="inlineStr">
        <is>
          <t>P2</t>
        </is>
      </c>
      <c r="O1863" t="inlineStr">
        <is>
          <t>Rapid7 MSF: MS10-065 Microsoft IIS 5 NTFS Stream Authentication Bypass | Module type: auxiliary_admin</t>
        </is>
      </c>
      <c r="P1863" t="n">
        <v>0</v>
      </c>
      <c r="Q1863" t="n">
        <v>0</v>
      </c>
      <c r="R1863" t="inlineStr">
        <is>
          <t>T1203:Exploitation for Client Execution | T1190:Exploit Public-Facing Application</t>
        </is>
      </c>
      <c r="S1863" t="n">
        <v>2</v>
      </c>
      <c r="T1863" t="inlineStr">
        <is>
          <t>HIGH (72%)</t>
        </is>
      </c>
      <c r="U1863" t="inlineStr">
        <is>
          <t>WEAPONIZED</t>
        </is>
      </c>
      <c r="V1863" t="inlineStr">
        <is>
          <t>CHECK_VENDOR</t>
        </is>
      </c>
      <c r="W1863" t="inlineStr">
        <is>
          <t>https://www.rapid7.com/db/search/?q=CVE-2010-2731</t>
        </is>
      </c>
      <c r="X1863" t="inlineStr">
        <is>
          <t>NONE</t>
        </is>
      </c>
      <c r="Y1863" t="n">
        <v>0</v>
      </c>
      <c r="Z1863" t="inlineStr"/>
      <c r="AA1863" t="inlineStr">
        <is>
          <t>https://nvd.nist.gov/vuln/detail/CVE-2010-2731</t>
        </is>
      </c>
    </row>
    <row r="1864">
      <c r="A1864" t="inlineStr">
        <is>
          <t>MSF_MODULE</t>
        </is>
      </c>
      <c r="B1864" t="inlineStr">
        <is>
          <t>CVE-2007-4915</t>
        </is>
      </c>
      <c r="C1864" t="inlineStr">
        <is>
          <t>Metasploit module available: Intersil (Boa) HTTPd Basic Authentication Password Reset | Type: auxiliary_admin | CVE-2007-4915</t>
        </is>
      </c>
      <c r="D1864" t="n">
        <v>7.5</v>
      </c>
      <c r="E1864" t="inlineStr">
        <is>
          <t>HIGH</t>
        </is>
      </c>
      <c r="F1864" t="n">
        <v>3</v>
      </c>
      <c r="G1864" t="n">
        <v>3</v>
      </c>
      <c r="H1864" t="inlineStr">
        <is>
          <t>CRITICAL</t>
        </is>
      </c>
      <c r="I1864" t="n">
        <v>16.5</v>
      </c>
      <c r="J1864" t="inlineStr">
        <is>
          <t>NO</t>
        </is>
      </c>
      <c r="K1864" t="inlineStr">
        <is>
          <t>2026-02-26 00:15</t>
        </is>
      </c>
      <c r="L1864" t="inlineStr">
        <is>
          <t>PATCH_IMMEDIATELY</t>
        </is>
      </c>
      <c r="M1864" t="inlineStr">
        <is>
          <t>See CVE details</t>
        </is>
      </c>
      <c r="N1864" t="inlineStr">
        <is>
          <t>P2</t>
        </is>
      </c>
      <c r="O1864" t="inlineStr">
        <is>
          <t>Rapid7 MSF: Intersil (Boa) HTTPd Basic Authentication Password Reset | Module type: auxiliary_admin</t>
        </is>
      </c>
      <c r="P1864" t="n">
        <v>0</v>
      </c>
      <c r="Q1864" t="n">
        <v>0</v>
      </c>
      <c r="R1864" t="inlineStr">
        <is>
          <t>T1203:Exploitation for Client Execution | T1190:Exploit Public-Facing Application</t>
        </is>
      </c>
      <c r="S1864" t="n">
        <v>2</v>
      </c>
      <c r="T1864" t="inlineStr">
        <is>
          <t>HIGH (72%)</t>
        </is>
      </c>
      <c r="U1864" t="inlineStr">
        <is>
          <t>WEAPONIZED</t>
        </is>
      </c>
      <c r="V1864" t="inlineStr">
        <is>
          <t>CHECK_VENDOR</t>
        </is>
      </c>
      <c r="W1864" t="inlineStr">
        <is>
          <t>https://www.rapid7.com/db/search/?q=CVE-2007-4915</t>
        </is>
      </c>
      <c r="X1864" t="inlineStr">
        <is>
          <t>NONE</t>
        </is>
      </c>
      <c r="Y1864" t="n">
        <v>0</v>
      </c>
      <c r="Z1864" t="inlineStr"/>
      <c r="AA1864" t="inlineStr">
        <is>
          <t>https://nvd.nist.gov/vuln/detail/CVE-2007-4915</t>
        </is>
      </c>
    </row>
    <row r="1865">
      <c r="A1865" t="inlineStr">
        <is>
          <t>MSF_MODULE</t>
        </is>
      </c>
      <c r="B1865" t="inlineStr">
        <is>
          <t>CVE-2009-2367</t>
        </is>
      </c>
      <c r="C1865" t="inlineStr">
        <is>
          <t>Metasploit module available: Iomega StorCenter Pro NAS Web Authentication Bypass | Type: auxiliary_admin | CVE-2009-2367</t>
        </is>
      </c>
      <c r="D1865" t="n">
        <v>7.5</v>
      </c>
      <c r="E1865" t="inlineStr">
        <is>
          <t>HIGH</t>
        </is>
      </c>
      <c r="F1865" t="n">
        <v>3</v>
      </c>
      <c r="G1865" t="n">
        <v>3</v>
      </c>
      <c r="H1865" t="inlineStr">
        <is>
          <t>CRITICAL</t>
        </is>
      </c>
      <c r="I1865" t="n">
        <v>16.5</v>
      </c>
      <c r="J1865" t="inlineStr">
        <is>
          <t>NO</t>
        </is>
      </c>
      <c r="K1865" t="inlineStr">
        <is>
          <t>2026-02-26 00:15</t>
        </is>
      </c>
      <c r="L1865" t="inlineStr">
        <is>
          <t>PATCH_IMMEDIATELY</t>
        </is>
      </c>
      <c r="M1865" t="inlineStr">
        <is>
          <t>See CVE details</t>
        </is>
      </c>
      <c r="N1865" t="inlineStr">
        <is>
          <t>P2</t>
        </is>
      </c>
      <c r="O1865" t="inlineStr">
        <is>
          <t>Rapid7 MSF: Iomega StorCenter Pro NAS Web Authentication Bypass | Module type: auxiliary_admin</t>
        </is>
      </c>
      <c r="P1865" t="n">
        <v>0</v>
      </c>
      <c r="Q1865" t="n">
        <v>0</v>
      </c>
      <c r="R1865" t="inlineStr">
        <is>
          <t>T1203:Exploitation for Client Execution | T1190:Exploit Public-Facing Application</t>
        </is>
      </c>
      <c r="S1865" t="n">
        <v>2</v>
      </c>
      <c r="T1865" t="inlineStr">
        <is>
          <t>HIGH (72%)</t>
        </is>
      </c>
      <c r="U1865" t="inlineStr">
        <is>
          <t>WEAPONIZED</t>
        </is>
      </c>
      <c r="V1865" t="inlineStr">
        <is>
          <t>CHECK_VENDOR</t>
        </is>
      </c>
      <c r="W1865" t="inlineStr">
        <is>
          <t>https://www.rapid7.com/db/search/?q=CVE-2009-2367</t>
        </is>
      </c>
      <c r="X1865" t="inlineStr">
        <is>
          <t>NONE</t>
        </is>
      </c>
      <c r="Y1865" t="n">
        <v>0</v>
      </c>
      <c r="Z1865" t="inlineStr"/>
      <c r="AA1865" t="inlineStr">
        <is>
          <t>https://nvd.nist.gov/vuln/detail/CVE-2009-2367</t>
        </is>
      </c>
    </row>
    <row r="1866">
      <c r="A1866" t="inlineStr">
        <is>
          <t>MSF_MODULE</t>
        </is>
      </c>
      <c r="B1866" t="inlineStr">
        <is>
          <t>CVE-2024-7593</t>
        </is>
      </c>
      <c r="C1866" t="inlineStr">
        <is>
          <t>Metasploit module available: Ivanti Virtual Traffic Manager Authentication Bypass (CVE-2024-7593) | Type: auxiliary_admin | CVE-2024-7593</t>
        </is>
      </c>
      <c r="D1866" t="n">
        <v>7.5</v>
      </c>
      <c r="E1866" t="inlineStr">
        <is>
          <t>HIGH</t>
        </is>
      </c>
      <c r="F1866" t="n">
        <v>3</v>
      </c>
      <c r="G1866" t="n">
        <v>3</v>
      </c>
      <c r="H1866" t="inlineStr">
        <is>
          <t>CRITICAL</t>
        </is>
      </c>
      <c r="I1866" t="n">
        <v>16.5</v>
      </c>
      <c r="J1866" t="inlineStr">
        <is>
          <t>YES</t>
        </is>
      </c>
      <c r="K1866" t="inlineStr">
        <is>
          <t>2026-02-26 00:15</t>
        </is>
      </c>
      <c r="L1866" t="inlineStr">
        <is>
          <t>PATCH_IMMEDIATELY</t>
        </is>
      </c>
      <c r="M1866" t="inlineStr">
        <is>
          <t>See CVE details</t>
        </is>
      </c>
      <c r="N1866" t="inlineStr">
        <is>
          <t>P1</t>
        </is>
      </c>
      <c r="O1866" t="inlineStr">
        <is>
          <t>Rapid7 MSF: Ivanti Virtual Traffic Manager Authentication Bypass (CVE-2024-7593) | Module type: auxiliary_admin</t>
        </is>
      </c>
      <c r="P1866" t="n">
        <v>0</v>
      </c>
      <c r="Q1866" t="n">
        <v>0</v>
      </c>
      <c r="R1866" t="inlineStr">
        <is>
          <t>T1203:Exploitation for Client Execution | T1190:Exploit Public-Facing Application</t>
        </is>
      </c>
      <c r="S1866" t="n">
        <v>2</v>
      </c>
      <c r="T1866" t="inlineStr">
        <is>
          <t>HIGH (72%)</t>
        </is>
      </c>
      <c r="U1866" t="inlineStr">
        <is>
          <t>WEAPONIZED</t>
        </is>
      </c>
      <c r="V1866" t="inlineStr">
        <is>
          <t>CHECK_VENDOR</t>
        </is>
      </c>
      <c r="W1866" t="inlineStr">
        <is>
          <t>https://www.rapid7.com/db/search/?q=CVE-2024-7593</t>
        </is>
      </c>
      <c r="X1866" t="inlineStr">
        <is>
          <t>NONE</t>
        </is>
      </c>
      <c r="Y1866" t="n">
        <v>0</v>
      </c>
      <c r="Z1866" t="inlineStr"/>
      <c r="AA1866" t="inlineStr">
        <is>
          <t>https://nvd.nist.gov/vuln/detail/CVE-2024-7593</t>
        </is>
      </c>
    </row>
    <row r="1867">
      <c r="A1867" t="inlineStr">
        <is>
          <t>MSF_MODULE</t>
        </is>
      </c>
      <c r="B1867" t="inlineStr">
        <is>
          <t>CVE-2010-0738</t>
        </is>
      </c>
      <c r="C1867" t="inlineStr">
        <is>
          <t>Metasploit module available: JBoss JMX Console Beanshell Deployer WAR Upload and Deployment | Type: auxiliary_admin | CVE-2010-0738</t>
        </is>
      </c>
      <c r="D1867" t="n">
        <v>7.5</v>
      </c>
      <c r="E1867" t="inlineStr">
        <is>
          <t>HIGH</t>
        </is>
      </c>
      <c r="F1867" t="n">
        <v>3</v>
      </c>
      <c r="G1867" t="n">
        <v>3</v>
      </c>
      <c r="H1867" t="inlineStr">
        <is>
          <t>CRITICAL</t>
        </is>
      </c>
      <c r="I1867" t="n">
        <v>16.5</v>
      </c>
      <c r="J1867" t="inlineStr">
        <is>
          <t>YES</t>
        </is>
      </c>
      <c r="K1867" t="inlineStr">
        <is>
          <t>2026-02-26 00:15</t>
        </is>
      </c>
      <c r="L1867" t="inlineStr">
        <is>
          <t>PATCH_IMMEDIATELY</t>
        </is>
      </c>
      <c r="M1867" t="inlineStr">
        <is>
          <t>See CVE details</t>
        </is>
      </c>
      <c r="N1867" t="inlineStr">
        <is>
          <t>P1</t>
        </is>
      </c>
      <c r="O1867" t="inlineStr">
        <is>
          <t>Rapid7 MSF: JBoss JMX Console Beanshell Deployer WAR Upload and Deployment | Module type: auxiliary_admin</t>
        </is>
      </c>
      <c r="P1867" t="n">
        <v>0.9085</v>
      </c>
      <c r="Q1867" t="n">
        <v>0.9962</v>
      </c>
      <c r="R1867" t="inlineStr">
        <is>
          <t>T1203:Exploitation for Client Execution | T1190:Exploit Public-Facing Application</t>
        </is>
      </c>
      <c r="S1867" t="n">
        <v>2</v>
      </c>
      <c r="T1867" t="inlineStr">
        <is>
          <t>HIGH (72%)</t>
        </is>
      </c>
      <c r="U1867" t="inlineStr">
        <is>
          <t>WEAPONIZED</t>
        </is>
      </c>
      <c r="V1867" t="inlineStr">
        <is>
          <t>CHECK_VENDOR</t>
        </is>
      </c>
      <c r="W1867" t="inlineStr">
        <is>
          <t>https://www.rapid7.com/db/search/?q=CVE-2010-0738</t>
        </is>
      </c>
      <c r="X1867" t="inlineStr">
        <is>
          <t>NONE</t>
        </is>
      </c>
      <c r="Y1867" t="n">
        <v>0</v>
      </c>
      <c r="Z1867" t="inlineStr"/>
      <c r="AA1867" t="inlineStr">
        <is>
          <t>https://nvd.nist.gov/vuln/detail/CVE-2010-0738</t>
        </is>
      </c>
    </row>
    <row r="1868">
      <c r="A1868" t="inlineStr">
        <is>
          <t>MSF_MODULE</t>
        </is>
      </c>
      <c r="B1868" t="inlineStr">
        <is>
          <t>CVE-2010-1871</t>
        </is>
      </c>
      <c r="C1868" t="inlineStr">
        <is>
          <t>Metasploit module available: JBoss Seam 2 Remote Command Execution | Type: auxiliary_admin | CVE-2010-1871</t>
        </is>
      </c>
      <c r="D1868" t="n">
        <v>7.5</v>
      </c>
      <c r="E1868" t="inlineStr">
        <is>
          <t>HIGH</t>
        </is>
      </c>
      <c r="F1868" t="n">
        <v>3</v>
      </c>
      <c r="G1868" t="n">
        <v>3</v>
      </c>
      <c r="H1868" t="inlineStr">
        <is>
          <t>CRITICAL</t>
        </is>
      </c>
      <c r="I1868" t="n">
        <v>16.5</v>
      </c>
      <c r="J1868" t="inlineStr">
        <is>
          <t>YES</t>
        </is>
      </c>
      <c r="K1868" t="inlineStr">
        <is>
          <t>2026-02-26 00:15</t>
        </is>
      </c>
      <c r="L1868" t="inlineStr">
        <is>
          <t>PATCH_IMMEDIATELY</t>
        </is>
      </c>
      <c r="M1868" t="inlineStr">
        <is>
          <t>See CVE details</t>
        </is>
      </c>
      <c r="N1868" t="inlineStr">
        <is>
          <t>P1</t>
        </is>
      </c>
      <c r="O1868" t="inlineStr">
        <is>
          <t>Rapid7 MSF: JBoss Seam 2 Remote Command Execution | Module type: auxiliary_admin</t>
        </is>
      </c>
      <c r="P1868" t="n">
        <v>0.9379</v>
      </c>
      <c r="Q1868" t="n">
        <v>0.9985000000000001</v>
      </c>
      <c r="R1868" t="inlineStr">
        <is>
          <t>T1203:Exploitation for Client Execution | T1190:Exploit Public-Facing Application</t>
        </is>
      </c>
      <c r="S1868" t="n">
        <v>2</v>
      </c>
      <c r="T1868" t="inlineStr">
        <is>
          <t>HIGH (72%)</t>
        </is>
      </c>
      <c r="U1868" t="inlineStr">
        <is>
          <t>WEAPONIZED</t>
        </is>
      </c>
      <c r="V1868" t="inlineStr">
        <is>
          <t>CHECK_VENDOR</t>
        </is>
      </c>
      <c r="W1868" t="inlineStr">
        <is>
          <t>https://www.rapid7.com/db/search/?q=CVE-2010-1871</t>
        </is>
      </c>
      <c r="X1868" t="inlineStr">
        <is>
          <t>NONE</t>
        </is>
      </c>
      <c r="Y1868" t="n">
        <v>0</v>
      </c>
      <c r="Z1868" t="inlineStr"/>
      <c r="AA1868" t="inlineStr">
        <is>
          <t>https://nvd.nist.gov/vuln/detail/CVE-2010-1871</t>
        </is>
      </c>
    </row>
    <row r="1869">
      <c r="A1869" t="inlineStr">
        <is>
          <t>MSF_MODULE</t>
        </is>
      </c>
      <c r="B1869" t="inlineStr">
        <is>
          <t>CVE-2016-8869</t>
        </is>
      </c>
      <c r="C1869" t="inlineStr">
        <is>
          <t>Metasploit module available: Joomla Account Creation and Privilege Escalation | Type: auxiliary_admin | CVE-2016-8869</t>
        </is>
      </c>
      <c r="D1869" t="n">
        <v>7.5</v>
      </c>
      <c r="E1869" t="inlineStr">
        <is>
          <t>HIGH</t>
        </is>
      </c>
      <c r="F1869" t="n">
        <v>3</v>
      </c>
      <c r="G1869" t="n">
        <v>3</v>
      </c>
      <c r="H1869" t="inlineStr">
        <is>
          <t>CRITICAL</t>
        </is>
      </c>
      <c r="I1869" t="n">
        <v>16.5</v>
      </c>
      <c r="J1869" t="inlineStr">
        <is>
          <t>NO</t>
        </is>
      </c>
      <c r="K1869" t="inlineStr">
        <is>
          <t>2026-02-26 00:15</t>
        </is>
      </c>
      <c r="L1869" t="inlineStr">
        <is>
          <t>PATCH_IMMEDIATELY</t>
        </is>
      </c>
      <c r="M1869" t="inlineStr">
        <is>
          <t>See CVE details</t>
        </is>
      </c>
      <c r="N1869" t="inlineStr">
        <is>
          <t>P2</t>
        </is>
      </c>
      <c r="O1869" t="inlineStr">
        <is>
          <t>Rapid7 MSF: Joomla Account Creation and Privilege Escalation | Module type: auxiliary_admin</t>
        </is>
      </c>
      <c r="P1869" t="n">
        <v>0</v>
      </c>
      <c r="Q1869" t="n">
        <v>0</v>
      </c>
      <c r="R1869" t="inlineStr">
        <is>
          <t>T1203:Exploitation for Client Execution | T1190:Exploit Public-Facing Application</t>
        </is>
      </c>
      <c r="S1869" t="n">
        <v>2</v>
      </c>
      <c r="T1869" t="inlineStr">
        <is>
          <t>HIGH (72%)</t>
        </is>
      </c>
      <c r="U1869" t="inlineStr">
        <is>
          <t>WEAPONIZED</t>
        </is>
      </c>
      <c r="V1869" t="inlineStr">
        <is>
          <t>CHECK_VENDOR</t>
        </is>
      </c>
      <c r="W1869" t="inlineStr">
        <is>
          <t>https://www.rapid7.com/db/search/?q=CVE-2016-8869</t>
        </is>
      </c>
      <c r="X1869" t="inlineStr">
        <is>
          <t>NONE</t>
        </is>
      </c>
      <c r="Y1869" t="n">
        <v>0</v>
      </c>
      <c r="Z1869" t="inlineStr"/>
      <c r="AA1869" t="inlineStr">
        <is>
          <t>https://nvd.nist.gov/vuln/detail/CVE-2016-8869</t>
        </is>
      </c>
    </row>
    <row r="1870">
      <c r="A1870" t="inlineStr">
        <is>
          <t>MSF_MODULE</t>
        </is>
      </c>
      <c r="B1870" t="inlineStr">
        <is>
          <t>CVE-2016-8870</t>
        </is>
      </c>
      <c r="C1870" t="inlineStr">
        <is>
          <t>Metasploit module available: Joomla Account Creation and Privilege Escalation | Type: auxiliary_admin | CVE-2016-8870</t>
        </is>
      </c>
      <c r="D1870" t="n">
        <v>7.5</v>
      </c>
      <c r="E1870" t="inlineStr">
        <is>
          <t>HIGH</t>
        </is>
      </c>
      <c r="F1870" t="n">
        <v>3</v>
      </c>
      <c r="G1870" t="n">
        <v>3</v>
      </c>
      <c r="H1870" t="inlineStr">
        <is>
          <t>CRITICAL</t>
        </is>
      </c>
      <c r="I1870" t="n">
        <v>16.5</v>
      </c>
      <c r="J1870" t="inlineStr">
        <is>
          <t>NO</t>
        </is>
      </c>
      <c r="K1870" t="inlineStr">
        <is>
          <t>2026-02-26 00:15</t>
        </is>
      </c>
      <c r="L1870" t="inlineStr">
        <is>
          <t>PATCH_IMMEDIATELY</t>
        </is>
      </c>
      <c r="M1870" t="inlineStr">
        <is>
          <t>See CVE details</t>
        </is>
      </c>
      <c r="N1870" t="inlineStr">
        <is>
          <t>P2</t>
        </is>
      </c>
      <c r="O1870" t="inlineStr">
        <is>
          <t>Rapid7 MSF: Joomla Account Creation and Privilege Escalation | Module type: auxiliary_admin</t>
        </is>
      </c>
      <c r="P1870" t="n">
        <v>0</v>
      </c>
      <c r="Q1870" t="n">
        <v>0</v>
      </c>
      <c r="R1870" t="inlineStr">
        <is>
          <t>T1203:Exploitation for Client Execution | T1190:Exploit Public-Facing Application</t>
        </is>
      </c>
      <c r="S1870" t="n">
        <v>2</v>
      </c>
      <c r="T1870" t="inlineStr">
        <is>
          <t>HIGH (72%)</t>
        </is>
      </c>
      <c r="U1870" t="inlineStr">
        <is>
          <t>WEAPONIZED</t>
        </is>
      </c>
      <c r="V1870" t="inlineStr">
        <is>
          <t>CHECK_VENDOR</t>
        </is>
      </c>
      <c r="W1870" t="inlineStr">
        <is>
          <t>https://www.rapid7.com/db/search/?q=CVE-2016-8870</t>
        </is>
      </c>
      <c r="X1870" t="inlineStr">
        <is>
          <t>NONE</t>
        </is>
      </c>
      <c r="Y1870" t="n">
        <v>0</v>
      </c>
      <c r="Z1870" t="inlineStr"/>
      <c r="AA1870" t="inlineStr">
        <is>
          <t>https://nvd.nist.gov/vuln/detail/CVE-2016-8870</t>
        </is>
      </c>
    </row>
    <row r="1871">
      <c r="A1871" t="inlineStr">
        <is>
          <t>MSF_MODULE</t>
        </is>
      </c>
      <c r="B1871" t="inlineStr">
        <is>
          <t>CVE-2015-6922</t>
        </is>
      </c>
      <c r="C1871" t="inlineStr">
        <is>
          <t>Metasploit module available: Kaseya VSA Master Administrator Account Creation | Type: auxiliary_admin | CVE-2015-6922</t>
        </is>
      </c>
      <c r="D1871" t="n">
        <v>7.5</v>
      </c>
      <c r="E1871" t="inlineStr">
        <is>
          <t>HIGH</t>
        </is>
      </c>
      <c r="F1871" t="n">
        <v>3</v>
      </c>
      <c r="G1871" t="n">
        <v>3</v>
      </c>
      <c r="H1871" t="inlineStr">
        <is>
          <t>CRITICAL</t>
        </is>
      </c>
      <c r="I1871" t="n">
        <v>16.5</v>
      </c>
      <c r="J1871" t="inlineStr">
        <is>
          <t>NO</t>
        </is>
      </c>
      <c r="K1871" t="inlineStr">
        <is>
          <t>2026-02-26 00:15</t>
        </is>
      </c>
      <c r="L1871" t="inlineStr">
        <is>
          <t>PATCH_IMMEDIATELY</t>
        </is>
      </c>
      <c r="M1871" t="inlineStr">
        <is>
          <t>See CVE details</t>
        </is>
      </c>
      <c r="N1871" t="inlineStr">
        <is>
          <t>P2</t>
        </is>
      </c>
      <c r="O1871" t="inlineStr">
        <is>
          <t>Rapid7 MSF: Kaseya VSA Master Administrator Account Creation | Module type: auxiliary_admin</t>
        </is>
      </c>
      <c r="P1871" t="n">
        <v>0</v>
      </c>
      <c r="Q1871" t="n">
        <v>0</v>
      </c>
      <c r="R1871" t="inlineStr">
        <is>
          <t>T1203:Exploitation for Client Execution | T1190:Exploit Public-Facing Application</t>
        </is>
      </c>
      <c r="S1871" t="n">
        <v>2</v>
      </c>
      <c r="T1871" t="inlineStr">
        <is>
          <t>HIGH (72%)</t>
        </is>
      </c>
      <c r="U1871" t="inlineStr">
        <is>
          <t>WEAPONIZED</t>
        </is>
      </c>
      <c r="V1871" t="inlineStr">
        <is>
          <t>CHECK_VENDOR</t>
        </is>
      </c>
      <c r="W1871" t="inlineStr">
        <is>
          <t>https://www.rapid7.com/db/search/?q=CVE-2015-6922</t>
        </is>
      </c>
      <c r="X1871" t="inlineStr">
        <is>
          <t>NONE</t>
        </is>
      </c>
      <c r="Y1871" t="n">
        <v>0</v>
      </c>
      <c r="Z1871" t="inlineStr"/>
      <c r="AA1871" t="inlineStr">
        <is>
          <t>https://nvd.nist.gov/vuln/detail/CVE-2015-6922</t>
        </is>
      </c>
    </row>
    <row r="1872">
      <c r="A1872" t="inlineStr">
        <is>
          <t>MSF_MODULE</t>
        </is>
      </c>
      <c r="B1872" t="inlineStr">
        <is>
          <t>CVE-2013-2143</t>
        </is>
      </c>
      <c r="C1872" t="inlineStr">
        <is>
          <t>Metasploit module available: Katello (Red Hat Satellite) users/update_roles Missing Authorization | Type: auxiliary_admin | CVE-2013-2143</t>
        </is>
      </c>
      <c r="D1872" t="n">
        <v>7.5</v>
      </c>
      <c r="E1872" t="inlineStr">
        <is>
          <t>HIGH</t>
        </is>
      </c>
      <c r="F1872" t="n">
        <v>3</v>
      </c>
      <c r="G1872" t="n">
        <v>3</v>
      </c>
      <c r="H1872" t="inlineStr">
        <is>
          <t>CRITICAL</t>
        </is>
      </c>
      <c r="I1872" t="n">
        <v>16.5</v>
      </c>
      <c r="J1872" t="inlineStr">
        <is>
          <t>NO</t>
        </is>
      </c>
      <c r="K1872" t="inlineStr">
        <is>
          <t>2026-02-26 00:15</t>
        </is>
      </c>
      <c r="L1872" t="inlineStr">
        <is>
          <t>PATCH_IMMEDIATELY</t>
        </is>
      </c>
      <c r="M1872" t="inlineStr">
        <is>
          <t>See CVE details</t>
        </is>
      </c>
      <c r="N1872" t="inlineStr">
        <is>
          <t>P2</t>
        </is>
      </c>
      <c r="O1872" t="inlineStr">
        <is>
          <t>Rapid7 MSF: Katello (Red Hat Satellite) users/update_roles Missing Authorization | Module type: auxiliary_admin</t>
        </is>
      </c>
      <c r="P1872" t="n">
        <v>0</v>
      </c>
      <c r="Q1872" t="n">
        <v>0</v>
      </c>
      <c r="R1872" t="inlineStr">
        <is>
          <t>T1203:Exploitation for Client Execution | T1190:Exploit Public-Facing Application</t>
        </is>
      </c>
      <c r="S1872" t="n">
        <v>2</v>
      </c>
      <c r="T1872" t="inlineStr">
        <is>
          <t>HIGH (72%)</t>
        </is>
      </c>
      <c r="U1872" t="inlineStr">
        <is>
          <t>WEAPONIZED</t>
        </is>
      </c>
      <c r="V1872" t="inlineStr">
        <is>
          <t>CHECK_VENDOR</t>
        </is>
      </c>
      <c r="W1872" t="inlineStr">
        <is>
          <t>https://www.rapid7.com/db/search/?q=CVE-2013-2143</t>
        </is>
      </c>
      <c r="X1872" t="inlineStr">
        <is>
          <t>NONE</t>
        </is>
      </c>
      <c r="Y1872" t="n">
        <v>0</v>
      </c>
      <c r="Z1872" t="inlineStr"/>
      <c r="AA1872" t="inlineStr">
        <is>
          <t>https://nvd.nist.gov/vuln/detail/CVE-2013-2143</t>
        </is>
      </c>
    </row>
    <row r="1873">
      <c r="A1873" t="inlineStr">
        <is>
          <t>MSF_MODULE</t>
        </is>
      </c>
      <c r="B1873" t="inlineStr">
        <is>
          <t>CVE-2025-34120</t>
        </is>
      </c>
      <c r="C1873" t="inlineStr">
        <is>
          <t>Metasploit module available: Limesurvey Unauthenticated File Download | Type: auxiliary_admin | CVE-2025-34120</t>
        </is>
      </c>
      <c r="D1873" t="n">
        <v>7.5</v>
      </c>
      <c r="E1873" t="inlineStr">
        <is>
          <t>HIGH</t>
        </is>
      </c>
      <c r="F1873" t="n">
        <v>3</v>
      </c>
      <c r="G1873" t="n">
        <v>3</v>
      </c>
      <c r="H1873" t="inlineStr">
        <is>
          <t>CRITICAL</t>
        </is>
      </c>
      <c r="I1873" t="n">
        <v>16.5</v>
      </c>
      <c r="J1873" t="inlineStr">
        <is>
          <t>NO</t>
        </is>
      </c>
      <c r="K1873" t="inlineStr">
        <is>
          <t>2026-02-26 00:15</t>
        </is>
      </c>
      <c r="L1873" t="inlineStr">
        <is>
          <t>PATCH_IMMEDIATELY</t>
        </is>
      </c>
      <c r="M1873" t="inlineStr">
        <is>
          <t>See CVE details</t>
        </is>
      </c>
      <c r="N1873" t="inlineStr">
        <is>
          <t>P2</t>
        </is>
      </c>
      <c r="O1873" t="inlineStr">
        <is>
          <t>Rapid7 MSF: Limesurvey Unauthenticated File Download | Module type: auxiliary_admin</t>
        </is>
      </c>
      <c r="P1873" t="n">
        <v>0</v>
      </c>
      <c r="Q1873" t="n">
        <v>0</v>
      </c>
      <c r="R1873" t="inlineStr">
        <is>
          <t>T1203:Exploitation for Client Execution | T1190:Exploit Public-Facing Application</t>
        </is>
      </c>
      <c r="S1873" t="n">
        <v>2</v>
      </c>
      <c r="T1873" t="inlineStr">
        <is>
          <t>HIGH (72%)</t>
        </is>
      </c>
      <c r="U1873" t="inlineStr">
        <is>
          <t>WEAPONIZED</t>
        </is>
      </c>
      <c r="V1873" t="inlineStr">
        <is>
          <t>CHECK_VENDOR</t>
        </is>
      </c>
      <c r="W1873" t="inlineStr">
        <is>
          <t>https://www.rapid7.com/db/search/?q=CVE-2025-34120</t>
        </is>
      </c>
      <c r="X1873" t="inlineStr">
        <is>
          <t>NONE</t>
        </is>
      </c>
      <c r="Y1873" t="n">
        <v>0</v>
      </c>
      <c r="Z1873" t="inlineStr"/>
      <c r="AA1873" t="inlineStr">
        <is>
          <t>https://nvd.nist.gov/vuln/detail/CVE-2025-34120</t>
        </is>
      </c>
    </row>
    <row r="1874">
      <c r="A1874" t="inlineStr">
        <is>
          <t>MSF_MODULE</t>
        </is>
      </c>
      <c r="B1874" t="inlineStr">
        <is>
          <t>CVE-2018-3953</t>
        </is>
      </c>
      <c r="C1874" t="inlineStr">
        <is>
          <t>Metasploit module available: Linksys E1500/E2500 Remote Command Execution | Type: auxiliary_admin | CVE-2018-3953</t>
        </is>
      </c>
      <c r="D1874" t="n">
        <v>7.5</v>
      </c>
      <c r="E1874" t="inlineStr">
        <is>
          <t>HIGH</t>
        </is>
      </c>
      <c r="F1874" t="n">
        <v>3</v>
      </c>
      <c r="G1874" t="n">
        <v>3</v>
      </c>
      <c r="H1874" t="inlineStr">
        <is>
          <t>CRITICAL</t>
        </is>
      </c>
      <c r="I1874" t="n">
        <v>16.5</v>
      </c>
      <c r="J1874" t="inlineStr">
        <is>
          <t>NO</t>
        </is>
      </c>
      <c r="K1874" t="inlineStr">
        <is>
          <t>2026-02-26 00:15</t>
        </is>
      </c>
      <c r="L1874" t="inlineStr">
        <is>
          <t>PATCH_IMMEDIATELY</t>
        </is>
      </c>
      <c r="M1874" t="inlineStr">
        <is>
          <t>See CVE details</t>
        </is>
      </c>
      <c r="N1874" t="inlineStr">
        <is>
          <t>P2</t>
        </is>
      </c>
      <c r="O1874" t="inlineStr">
        <is>
          <t>Rapid7 MSF: Linksys E1500/E2500 Remote Command Execution | Module type: auxiliary_admin</t>
        </is>
      </c>
      <c r="P1874" t="n">
        <v>0</v>
      </c>
      <c r="Q1874" t="n">
        <v>0</v>
      </c>
      <c r="R1874" t="inlineStr">
        <is>
          <t>T1203:Exploitation for Client Execution | T1190:Exploit Public-Facing Application</t>
        </is>
      </c>
      <c r="S1874" t="n">
        <v>2</v>
      </c>
      <c r="T1874" t="inlineStr">
        <is>
          <t>HIGH (72%)</t>
        </is>
      </c>
      <c r="U1874" t="inlineStr">
        <is>
          <t>WEAPONIZED</t>
        </is>
      </c>
      <c r="V1874" t="inlineStr">
        <is>
          <t>CHECK_VENDOR</t>
        </is>
      </c>
      <c r="W1874" t="inlineStr">
        <is>
          <t>https://www.rapid7.com/db/search/?q=CVE-2018-3953</t>
        </is>
      </c>
      <c r="X1874" t="inlineStr">
        <is>
          <t>NONE</t>
        </is>
      </c>
      <c r="Y1874" t="n">
        <v>0</v>
      </c>
      <c r="Z1874" t="inlineStr"/>
      <c r="AA1874" t="inlineStr">
        <is>
          <t>https://nvd.nist.gov/vuln/detail/CVE-2018-3953</t>
        </is>
      </c>
    </row>
    <row r="1875">
      <c r="A1875" t="inlineStr">
        <is>
          <t>CENSYS_EXPOSED</t>
        </is>
      </c>
      <c r="B1875" t="inlineStr">
        <is>
          <t>35.183.100.42</t>
        </is>
      </c>
      <c r="C1875" t="inlineStr">
        <is>
          <t>Exposed RDP: 35.183.100.42 | Unknown | Location: Unknown</t>
        </is>
      </c>
      <c r="D1875" t="n">
        <v>6.5</v>
      </c>
      <c r="E1875" t="inlineStr">
        <is>
          <t>MEDIUM</t>
        </is>
      </c>
      <c r="F1875" t="n">
        <v>2</v>
      </c>
      <c r="G1875" t="n">
        <v>2</v>
      </c>
      <c r="H1875" t="inlineStr">
        <is>
          <t>MEDIUM</t>
        </is>
      </c>
      <c r="I1875" t="n">
        <v>10.5</v>
      </c>
      <c r="J1875" t="inlineStr">
        <is>
          <t>NO</t>
        </is>
      </c>
      <c r="K1875" t="inlineStr">
        <is>
          <t>2026-02-26 00:15</t>
        </is>
      </c>
      <c r="L1875" t="inlineStr">
        <is>
          <t>Restrict access</t>
        </is>
      </c>
      <c r="M1875" t="inlineStr">
        <is>
          <t>Unknown</t>
        </is>
      </c>
      <c r="N1875" t="inlineStr">
        <is>
          <t>P4</t>
        </is>
      </c>
      <c r="O1875" t="inlineStr">
        <is>
          <t>See LeakIX for exposed service details</t>
        </is>
      </c>
      <c r="P1875" t="n">
        <v>0</v>
      </c>
      <c r="Q1875" t="n">
        <v>0</v>
      </c>
      <c r="R1875" t="inlineStr">
        <is>
          <t>T1021:Remote Services | T1133:External Remote Services</t>
        </is>
      </c>
      <c r="S1875" t="n">
        <v>1</v>
      </c>
      <c r="T1875" t="inlineStr">
        <is>
          <t>LOW (40%)</t>
        </is>
      </c>
      <c r="U1875" t="inlineStr">
        <is>
          <t>NONE</t>
        </is>
      </c>
      <c r="V1875" t="inlineStr">
        <is>
          <t>NONE</t>
        </is>
      </c>
      <c r="W1875" t="inlineStr">
        <is>
          <t>NONE</t>
        </is>
      </c>
      <c r="X1875" t="inlineStr">
        <is>
          <t>NONE</t>
        </is>
      </c>
      <c r="Y1875" t="n">
        <v>0</v>
      </c>
      <c r="Z1875" t="inlineStr"/>
      <c r="AA1875" t="inlineStr">
        <is>
          <t>https://leakix.net/host/35.183.100.42</t>
        </is>
      </c>
    </row>
    <row r="1876">
      <c r="A1876" t="inlineStr">
        <is>
          <t>CENSYS_EXPOSED</t>
        </is>
      </c>
      <c r="B1876" t="inlineStr">
        <is>
          <t>47.91.29.151</t>
        </is>
      </c>
      <c r="C1876" t="inlineStr">
        <is>
          <t>Exposed RDP: 47.91.29.151 | Unknown | Location: Unknown</t>
        </is>
      </c>
      <c r="D1876" t="n">
        <v>6.5</v>
      </c>
      <c r="E1876" t="inlineStr">
        <is>
          <t>MEDIUM</t>
        </is>
      </c>
      <c r="F1876" t="n">
        <v>2</v>
      </c>
      <c r="G1876" t="n">
        <v>2</v>
      </c>
      <c r="H1876" t="inlineStr">
        <is>
          <t>MEDIUM</t>
        </is>
      </c>
      <c r="I1876" t="n">
        <v>10.5</v>
      </c>
      <c r="J1876" t="inlineStr">
        <is>
          <t>NO</t>
        </is>
      </c>
      <c r="K1876" t="inlineStr">
        <is>
          <t>2026-02-26 00:15</t>
        </is>
      </c>
      <c r="L1876" t="inlineStr">
        <is>
          <t>Restrict access</t>
        </is>
      </c>
      <c r="M1876" t="inlineStr">
        <is>
          <t>Unknown</t>
        </is>
      </c>
      <c r="N1876" t="inlineStr">
        <is>
          <t>P4</t>
        </is>
      </c>
      <c r="O1876" t="inlineStr">
        <is>
          <t>See LeakIX for exposed service details</t>
        </is>
      </c>
      <c r="P1876" t="n">
        <v>0</v>
      </c>
      <c r="Q1876" t="n">
        <v>0</v>
      </c>
      <c r="R1876" t="inlineStr">
        <is>
          <t>T1021:Remote Services | T1133:External Remote Services</t>
        </is>
      </c>
      <c r="S1876" t="n">
        <v>1</v>
      </c>
      <c r="T1876" t="inlineStr">
        <is>
          <t>LOW (40%)</t>
        </is>
      </c>
      <c r="U1876" t="inlineStr">
        <is>
          <t>NONE</t>
        </is>
      </c>
      <c r="V1876" t="inlineStr">
        <is>
          <t>NONE</t>
        </is>
      </c>
      <c r="W1876" t="inlineStr">
        <is>
          <t>NONE</t>
        </is>
      </c>
      <c r="X1876" t="inlineStr">
        <is>
          <t>NONE</t>
        </is>
      </c>
      <c r="Y1876" t="n">
        <v>0</v>
      </c>
      <c r="Z1876" t="inlineStr"/>
      <c r="AA1876" t="inlineStr">
        <is>
          <t>https://leakix.net/host/47.91.29.151</t>
        </is>
      </c>
    </row>
    <row r="1877">
      <c r="A1877" t="inlineStr">
        <is>
          <t>CENSYS_EXPOSED</t>
        </is>
      </c>
      <c r="B1877" t="inlineStr">
        <is>
          <t>151.145.87.110</t>
        </is>
      </c>
      <c r="C1877" t="inlineStr">
        <is>
          <t>Exposed RDP: 151.145.87.110 | Unknown | Location: Unknown</t>
        </is>
      </c>
      <c r="D1877" t="n">
        <v>6.5</v>
      </c>
      <c r="E1877" t="inlineStr">
        <is>
          <t>MEDIUM</t>
        </is>
      </c>
      <c r="F1877" t="n">
        <v>2</v>
      </c>
      <c r="G1877" t="n">
        <v>2</v>
      </c>
      <c r="H1877" t="inlineStr">
        <is>
          <t>MEDIUM</t>
        </is>
      </c>
      <c r="I1877" t="n">
        <v>10.5</v>
      </c>
      <c r="J1877" t="inlineStr">
        <is>
          <t>NO</t>
        </is>
      </c>
      <c r="K1877" t="inlineStr">
        <is>
          <t>2026-02-26 00:15</t>
        </is>
      </c>
      <c r="L1877" t="inlineStr">
        <is>
          <t>Restrict access</t>
        </is>
      </c>
      <c r="M1877" t="inlineStr">
        <is>
          <t>Unknown</t>
        </is>
      </c>
      <c r="N1877" t="inlineStr">
        <is>
          <t>P4</t>
        </is>
      </c>
      <c r="O1877" t="inlineStr">
        <is>
          <t>See LeakIX for exposed service details</t>
        </is>
      </c>
      <c r="P1877" t="n">
        <v>0</v>
      </c>
      <c r="Q1877" t="n">
        <v>0</v>
      </c>
      <c r="R1877" t="inlineStr">
        <is>
          <t>T1021:Remote Services | T1133:External Remote Services</t>
        </is>
      </c>
      <c r="S1877" t="n">
        <v>1</v>
      </c>
      <c r="T1877" t="inlineStr">
        <is>
          <t>LOW (40%)</t>
        </is>
      </c>
      <c r="U1877" t="inlineStr">
        <is>
          <t>NONE</t>
        </is>
      </c>
      <c r="V1877" t="inlineStr">
        <is>
          <t>NONE</t>
        </is>
      </c>
      <c r="W1877" t="inlineStr">
        <is>
          <t>NONE</t>
        </is>
      </c>
      <c r="X1877" t="inlineStr">
        <is>
          <t>NONE</t>
        </is>
      </c>
      <c r="Y1877" t="n">
        <v>0</v>
      </c>
      <c r="Z1877" t="inlineStr"/>
      <c r="AA1877" t="inlineStr">
        <is>
          <t>https://leakix.net/host/151.145.87.110</t>
        </is>
      </c>
    </row>
    <row r="1878">
      <c r="A1878" t="inlineStr">
        <is>
          <t>CENSYS_EXPOSED</t>
        </is>
      </c>
      <c r="B1878" t="inlineStr">
        <is>
          <t>146.190.115.50</t>
        </is>
      </c>
      <c r="C1878" t="inlineStr">
        <is>
          <t>Exposed RDP: 146.190.115.50 | Unknown | Location: Unknown</t>
        </is>
      </c>
      <c r="D1878" t="n">
        <v>6.5</v>
      </c>
      <c r="E1878" t="inlineStr">
        <is>
          <t>MEDIUM</t>
        </is>
      </c>
      <c r="F1878" t="n">
        <v>2</v>
      </c>
      <c r="G1878" t="n">
        <v>2</v>
      </c>
      <c r="H1878" t="inlineStr">
        <is>
          <t>MEDIUM</t>
        </is>
      </c>
      <c r="I1878" t="n">
        <v>10.5</v>
      </c>
      <c r="J1878" t="inlineStr">
        <is>
          <t>NO</t>
        </is>
      </c>
      <c r="K1878" t="inlineStr">
        <is>
          <t>2026-02-26 00:15</t>
        </is>
      </c>
      <c r="L1878" t="inlineStr">
        <is>
          <t>Restrict access</t>
        </is>
      </c>
      <c r="M1878" t="inlineStr">
        <is>
          <t>Unknown</t>
        </is>
      </c>
      <c r="N1878" t="inlineStr">
        <is>
          <t>P4</t>
        </is>
      </c>
      <c r="O1878" t="inlineStr">
        <is>
          <t>See LeakIX for exposed service details</t>
        </is>
      </c>
      <c r="P1878" t="n">
        <v>0</v>
      </c>
      <c r="Q1878" t="n">
        <v>0</v>
      </c>
      <c r="R1878" t="inlineStr">
        <is>
          <t>T1021:Remote Services | T1133:External Remote Services</t>
        </is>
      </c>
      <c r="S1878" t="n">
        <v>1</v>
      </c>
      <c r="T1878" t="inlineStr">
        <is>
          <t>LOW (40%)</t>
        </is>
      </c>
      <c r="U1878" t="inlineStr">
        <is>
          <t>NONE</t>
        </is>
      </c>
      <c r="V1878" t="inlineStr">
        <is>
          <t>NONE</t>
        </is>
      </c>
      <c r="W1878" t="inlineStr">
        <is>
          <t>NONE</t>
        </is>
      </c>
      <c r="X1878" t="inlineStr">
        <is>
          <t>NONE</t>
        </is>
      </c>
      <c r="Y1878" t="n">
        <v>0</v>
      </c>
      <c r="Z1878" t="inlineStr"/>
      <c r="AA1878" t="inlineStr">
        <is>
          <t>https://leakix.net/host/146.190.115.50</t>
        </is>
      </c>
    </row>
    <row r="1879">
      <c r="A1879" t="inlineStr">
        <is>
          <t>CENSYS_EXPOSED</t>
        </is>
      </c>
      <c r="B1879" t="inlineStr">
        <is>
          <t>85.214.104.29</t>
        </is>
      </c>
      <c r="C1879" t="inlineStr">
        <is>
          <t>Exposed RDP: 85.214.104.29 | Unknown | Location: Unknown</t>
        </is>
      </c>
      <c r="D1879" t="n">
        <v>6.5</v>
      </c>
      <c r="E1879" t="inlineStr">
        <is>
          <t>MEDIUM</t>
        </is>
      </c>
      <c r="F1879" t="n">
        <v>2</v>
      </c>
      <c r="G1879" t="n">
        <v>2</v>
      </c>
      <c r="H1879" t="inlineStr">
        <is>
          <t>MEDIUM</t>
        </is>
      </c>
      <c r="I1879" t="n">
        <v>10.5</v>
      </c>
      <c r="J1879" t="inlineStr">
        <is>
          <t>NO</t>
        </is>
      </c>
      <c r="K1879" t="inlineStr">
        <is>
          <t>2026-02-26 00:15</t>
        </is>
      </c>
      <c r="L1879" t="inlineStr">
        <is>
          <t>Restrict access</t>
        </is>
      </c>
      <c r="M1879" t="inlineStr">
        <is>
          <t>Unknown</t>
        </is>
      </c>
      <c r="N1879" t="inlineStr">
        <is>
          <t>P4</t>
        </is>
      </c>
      <c r="O1879" t="inlineStr">
        <is>
          <t>See LeakIX for exposed service details</t>
        </is>
      </c>
      <c r="P1879" t="n">
        <v>0</v>
      </c>
      <c r="Q1879" t="n">
        <v>0</v>
      </c>
      <c r="R1879" t="inlineStr">
        <is>
          <t>T1021:Remote Services | T1133:External Remote Services</t>
        </is>
      </c>
      <c r="S1879" t="n">
        <v>1</v>
      </c>
      <c r="T1879" t="inlineStr">
        <is>
          <t>LOW (40%)</t>
        </is>
      </c>
      <c r="U1879" t="inlineStr">
        <is>
          <t>NONE</t>
        </is>
      </c>
      <c r="V1879" t="inlineStr">
        <is>
          <t>NONE</t>
        </is>
      </c>
      <c r="W1879" t="inlineStr">
        <is>
          <t>NONE</t>
        </is>
      </c>
      <c r="X1879" t="inlineStr">
        <is>
          <t>NONE</t>
        </is>
      </c>
      <c r="Y1879" t="n">
        <v>0</v>
      </c>
      <c r="Z1879" t="inlineStr"/>
      <c r="AA1879" t="inlineStr">
        <is>
          <t>https://leakix.net/host/85.214.104.29</t>
        </is>
      </c>
    </row>
    <row r="1880">
      <c r="A1880" t="inlineStr">
        <is>
          <t>CENSYS_EXPOSED</t>
        </is>
      </c>
      <c r="B1880" t="inlineStr">
        <is>
          <t>5.78.71.11</t>
        </is>
      </c>
      <c r="C1880" t="inlineStr">
        <is>
          <t>Exposed RDP: 5.78.71.11 | Unknown | Location: Unknown</t>
        </is>
      </c>
      <c r="D1880" t="n">
        <v>6.5</v>
      </c>
      <c r="E1880" t="inlineStr">
        <is>
          <t>MEDIUM</t>
        </is>
      </c>
      <c r="F1880" t="n">
        <v>2</v>
      </c>
      <c r="G1880" t="n">
        <v>2</v>
      </c>
      <c r="H1880" t="inlineStr">
        <is>
          <t>MEDIUM</t>
        </is>
      </c>
      <c r="I1880" t="n">
        <v>10.5</v>
      </c>
      <c r="J1880" t="inlineStr">
        <is>
          <t>NO</t>
        </is>
      </c>
      <c r="K1880" t="inlineStr">
        <is>
          <t>2026-02-26 00:15</t>
        </is>
      </c>
      <c r="L1880" t="inlineStr">
        <is>
          <t>Restrict access</t>
        </is>
      </c>
      <c r="M1880" t="inlineStr">
        <is>
          <t>Unknown</t>
        </is>
      </c>
      <c r="N1880" t="inlineStr">
        <is>
          <t>P4</t>
        </is>
      </c>
      <c r="O1880" t="inlineStr">
        <is>
          <t>See LeakIX for exposed service details</t>
        </is>
      </c>
      <c r="P1880" t="n">
        <v>0</v>
      </c>
      <c r="Q1880" t="n">
        <v>0</v>
      </c>
      <c r="R1880" t="inlineStr">
        <is>
          <t>T1021:Remote Services | T1133:External Remote Services</t>
        </is>
      </c>
      <c r="S1880" t="n">
        <v>1</v>
      </c>
      <c r="T1880" t="inlineStr">
        <is>
          <t>LOW (40%)</t>
        </is>
      </c>
      <c r="U1880" t="inlineStr">
        <is>
          <t>NONE</t>
        </is>
      </c>
      <c r="V1880" t="inlineStr">
        <is>
          <t>NONE</t>
        </is>
      </c>
      <c r="W1880" t="inlineStr">
        <is>
          <t>NONE</t>
        </is>
      </c>
      <c r="X1880" t="inlineStr">
        <is>
          <t>NONE</t>
        </is>
      </c>
      <c r="Y1880" t="n">
        <v>0</v>
      </c>
      <c r="Z1880" t="inlineStr"/>
      <c r="AA1880" t="inlineStr">
        <is>
          <t>https://leakix.net/host/5.78.71.11</t>
        </is>
      </c>
    </row>
    <row r="1881">
      <c r="A1881" t="inlineStr">
        <is>
          <t>CENSYS_EXPOSED</t>
        </is>
      </c>
      <c r="B1881" t="inlineStr">
        <is>
          <t>5.78.132.159</t>
        </is>
      </c>
      <c r="C1881" t="inlineStr">
        <is>
          <t>Exposed RDP: 5.78.132.159 | Unknown | Location: Unknown</t>
        </is>
      </c>
      <c r="D1881" t="n">
        <v>6.5</v>
      </c>
      <c r="E1881" t="inlineStr">
        <is>
          <t>MEDIUM</t>
        </is>
      </c>
      <c r="F1881" t="n">
        <v>2</v>
      </c>
      <c r="G1881" t="n">
        <v>2</v>
      </c>
      <c r="H1881" t="inlineStr">
        <is>
          <t>MEDIUM</t>
        </is>
      </c>
      <c r="I1881" t="n">
        <v>10.5</v>
      </c>
      <c r="J1881" t="inlineStr">
        <is>
          <t>NO</t>
        </is>
      </c>
      <c r="K1881" t="inlineStr">
        <is>
          <t>2026-02-26 00:15</t>
        </is>
      </c>
      <c r="L1881" t="inlineStr">
        <is>
          <t>Restrict access</t>
        </is>
      </c>
      <c r="M1881" t="inlineStr">
        <is>
          <t>Unknown</t>
        </is>
      </c>
      <c r="N1881" t="inlineStr">
        <is>
          <t>P4</t>
        </is>
      </c>
      <c r="O1881" t="inlineStr">
        <is>
          <t>See LeakIX for exposed service details</t>
        </is>
      </c>
      <c r="P1881" t="n">
        <v>0</v>
      </c>
      <c r="Q1881" t="n">
        <v>0</v>
      </c>
      <c r="R1881" t="inlineStr">
        <is>
          <t>T1021:Remote Services | T1133:External Remote Services</t>
        </is>
      </c>
      <c r="S1881" t="n">
        <v>1</v>
      </c>
      <c r="T1881" t="inlineStr">
        <is>
          <t>LOW (40%)</t>
        </is>
      </c>
      <c r="U1881" t="inlineStr">
        <is>
          <t>NONE</t>
        </is>
      </c>
      <c r="V1881" t="inlineStr">
        <is>
          <t>NONE</t>
        </is>
      </c>
      <c r="W1881" t="inlineStr">
        <is>
          <t>NONE</t>
        </is>
      </c>
      <c r="X1881" t="inlineStr">
        <is>
          <t>NONE</t>
        </is>
      </c>
      <c r="Y1881" t="n">
        <v>0</v>
      </c>
      <c r="Z1881" t="inlineStr"/>
      <c r="AA1881" t="inlineStr">
        <is>
          <t>https://leakix.net/host/5.78.132.159</t>
        </is>
      </c>
    </row>
    <row r="1882">
      <c r="A1882" t="inlineStr">
        <is>
          <t>CENSYS_EXPOSED</t>
        </is>
      </c>
      <c r="B1882" t="inlineStr">
        <is>
          <t>208.73.204.167</t>
        </is>
      </c>
      <c r="C1882" t="inlineStr">
        <is>
          <t>Exposed RDP: 208.73.204.167 | Unknown | Location: Unknown</t>
        </is>
      </c>
      <c r="D1882" t="n">
        <v>6.5</v>
      </c>
      <c r="E1882" t="inlineStr">
        <is>
          <t>MEDIUM</t>
        </is>
      </c>
      <c r="F1882" t="n">
        <v>2</v>
      </c>
      <c r="G1882" t="n">
        <v>2</v>
      </c>
      <c r="H1882" t="inlineStr">
        <is>
          <t>MEDIUM</t>
        </is>
      </c>
      <c r="I1882" t="n">
        <v>10.5</v>
      </c>
      <c r="J1882" t="inlineStr">
        <is>
          <t>NO</t>
        </is>
      </c>
      <c r="K1882" t="inlineStr">
        <is>
          <t>2026-02-26 00:15</t>
        </is>
      </c>
      <c r="L1882" t="inlineStr">
        <is>
          <t>Restrict access</t>
        </is>
      </c>
      <c r="M1882" t="inlineStr">
        <is>
          <t>Unknown</t>
        </is>
      </c>
      <c r="N1882" t="inlineStr">
        <is>
          <t>P4</t>
        </is>
      </c>
      <c r="O1882" t="inlineStr">
        <is>
          <t>See LeakIX for exposed service details</t>
        </is>
      </c>
      <c r="P1882" t="n">
        <v>0</v>
      </c>
      <c r="Q1882" t="n">
        <v>0</v>
      </c>
      <c r="R1882" t="inlineStr">
        <is>
          <t>T1021:Remote Services | T1133:External Remote Services</t>
        </is>
      </c>
      <c r="S1882" t="n">
        <v>1</v>
      </c>
      <c r="T1882" t="inlineStr">
        <is>
          <t>LOW (40%)</t>
        </is>
      </c>
      <c r="U1882" t="inlineStr">
        <is>
          <t>NONE</t>
        </is>
      </c>
      <c r="V1882" t="inlineStr">
        <is>
          <t>NONE</t>
        </is>
      </c>
      <c r="W1882" t="inlineStr">
        <is>
          <t>NONE</t>
        </is>
      </c>
      <c r="X1882" t="inlineStr">
        <is>
          <t>NONE</t>
        </is>
      </c>
      <c r="Y1882" t="n">
        <v>0</v>
      </c>
      <c r="Z1882" t="inlineStr"/>
      <c r="AA1882" t="inlineStr">
        <is>
          <t>https://leakix.net/host/208.73.204.167</t>
        </is>
      </c>
    </row>
    <row r="1883">
      <c r="A1883" t="inlineStr">
        <is>
          <t>CENSYS_EXPOSED</t>
        </is>
      </c>
      <c r="B1883" t="inlineStr">
        <is>
          <t>87.106.96.112</t>
        </is>
      </c>
      <c r="C1883" t="inlineStr">
        <is>
          <t>Exposed RDP: 87.106.96.112 | Unknown | Location: Unknown</t>
        </is>
      </c>
      <c r="D1883" t="n">
        <v>6.5</v>
      </c>
      <c r="E1883" t="inlineStr">
        <is>
          <t>MEDIUM</t>
        </is>
      </c>
      <c r="F1883" t="n">
        <v>2</v>
      </c>
      <c r="G1883" t="n">
        <v>2</v>
      </c>
      <c r="H1883" t="inlineStr">
        <is>
          <t>MEDIUM</t>
        </is>
      </c>
      <c r="I1883" t="n">
        <v>10.5</v>
      </c>
      <c r="J1883" t="inlineStr">
        <is>
          <t>NO</t>
        </is>
      </c>
      <c r="K1883" t="inlineStr">
        <is>
          <t>2026-02-26 00:15</t>
        </is>
      </c>
      <c r="L1883" t="inlineStr">
        <is>
          <t>Restrict access</t>
        </is>
      </c>
      <c r="M1883" t="inlineStr">
        <is>
          <t>Unknown</t>
        </is>
      </c>
      <c r="N1883" t="inlineStr">
        <is>
          <t>P4</t>
        </is>
      </c>
      <c r="O1883" t="inlineStr">
        <is>
          <t>See LeakIX for exposed service details</t>
        </is>
      </c>
      <c r="P1883" t="n">
        <v>0</v>
      </c>
      <c r="Q1883" t="n">
        <v>0</v>
      </c>
      <c r="R1883" t="inlineStr">
        <is>
          <t>T1021:Remote Services | T1133:External Remote Services</t>
        </is>
      </c>
      <c r="S1883" t="n">
        <v>1</v>
      </c>
      <c r="T1883" t="inlineStr">
        <is>
          <t>LOW (40%)</t>
        </is>
      </c>
      <c r="U1883" t="inlineStr">
        <is>
          <t>NONE</t>
        </is>
      </c>
      <c r="V1883" t="inlineStr">
        <is>
          <t>NONE</t>
        </is>
      </c>
      <c r="W1883" t="inlineStr">
        <is>
          <t>NONE</t>
        </is>
      </c>
      <c r="X1883" t="inlineStr">
        <is>
          <t>NONE</t>
        </is>
      </c>
      <c r="Y1883" t="n">
        <v>0</v>
      </c>
      <c r="Z1883" t="inlineStr"/>
      <c r="AA1883" t="inlineStr">
        <is>
          <t>https://leakix.net/host/87.106.96.112</t>
        </is>
      </c>
    </row>
    <row r="1884">
      <c r="A1884" t="inlineStr">
        <is>
          <t>CENSYS_EXPOSED</t>
        </is>
      </c>
      <c r="B1884" t="inlineStr">
        <is>
          <t>158.101.231.11</t>
        </is>
      </c>
      <c r="C1884" t="inlineStr">
        <is>
          <t>Exposed RDP: 158.101.231.11 | Unknown | Location: Unknown</t>
        </is>
      </c>
      <c r="D1884" t="n">
        <v>6.5</v>
      </c>
      <c r="E1884" t="inlineStr">
        <is>
          <t>MEDIUM</t>
        </is>
      </c>
      <c r="F1884" t="n">
        <v>2</v>
      </c>
      <c r="G1884" t="n">
        <v>2</v>
      </c>
      <c r="H1884" t="inlineStr">
        <is>
          <t>MEDIUM</t>
        </is>
      </c>
      <c r="I1884" t="n">
        <v>10.5</v>
      </c>
      <c r="J1884" t="inlineStr">
        <is>
          <t>NO</t>
        </is>
      </c>
      <c r="K1884" t="inlineStr">
        <is>
          <t>2026-02-26 00:15</t>
        </is>
      </c>
      <c r="L1884" t="inlineStr">
        <is>
          <t>Restrict access</t>
        </is>
      </c>
      <c r="M1884" t="inlineStr">
        <is>
          <t>Unknown</t>
        </is>
      </c>
      <c r="N1884" t="inlineStr">
        <is>
          <t>P4</t>
        </is>
      </c>
      <c r="O1884" t="inlineStr">
        <is>
          <t>See LeakIX for exposed service details</t>
        </is>
      </c>
      <c r="P1884" t="n">
        <v>0</v>
      </c>
      <c r="Q1884" t="n">
        <v>0</v>
      </c>
      <c r="R1884" t="inlineStr">
        <is>
          <t>T1021:Remote Services | T1133:External Remote Services</t>
        </is>
      </c>
      <c r="S1884" t="n">
        <v>1</v>
      </c>
      <c r="T1884" t="inlineStr">
        <is>
          <t>LOW (40%)</t>
        </is>
      </c>
      <c r="U1884" t="inlineStr">
        <is>
          <t>NONE</t>
        </is>
      </c>
      <c r="V1884" t="inlineStr">
        <is>
          <t>NONE</t>
        </is>
      </c>
      <c r="W1884" t="inlineStr">
        <is>
          <t>NONE</t>
        </is>
      </c>
      <c r="X1884" t="inlineStr">
        <is>
          <t>NONE</t>
        </is>
      </c>
      <c r="Y1884" t="n">
        <v>0</v>
      </c>
      <c r="Z1884" t="inlineStr"/>
      <c r="AA1884" t="inlineStr">
        <is>
          <t>https://leakix.net/host/158.101.231.11</t>
        </is>
      </c>
    </row>
    <row r="1885">
      <c r="A1885" t="inlineStr">
        <is>
          <t>CENSYS_EXPOSED</t>
        </is>
      </c>
      <c r="B1885" t="inlineStr">
        <is>
          <t>3.147.67.229</t>
        </is>
      </c>
      <c r="C1885" t="inlineStr">
        <is>
          <t>Exposed RDP: 3.147.67.229 | Unknown | Location: Unknown</t>
        </is>
      </c>
      <c r="D1885" t="n">
        <v>6.5</v>
      </c>
      <c r="E1885" t="inlineStr">
        <is>
          <t>MEDIUM</t>
        </is>
      </c>
      <c r="F1885" t="n">
        <v>2</v>
      </c>
      <c r="G1885" t="n">
        <v>2</v>
      </c>
      <c r="H1885" t="inlineStr">
        <is>
          <t>MEDIUM</t>
        </is>
      </c>
      <c r="I1885" t="n">
        <v>10.5</v>
      </c>
      <c r="J1885" t="inlineStr">
        <is>
          <t>NO</t>
        </is>
      </c>
      <c r="K1885" t="inlineStr">
        <is>
          <t>2026-02-26 00:15</t>
        </is>
      </c>
      <c r="L1885" t="inlineStr">
        <is>
          <t>Restrict access</t>
        </is>
      </c>
      <c r="M1885" t="inlineStr">
        <is>
          <t>Unknown</t>
        </is>
      </c>
      <c r="N1885" t="inlineStr">
        <is>
          <t>P4</t>
        </is>
      </c>
      <c r="O1885" t="inlineStr">
        <is>
          <t>See LeakIX for exposed service details</t>
        </is>
      </c>
      <c r="P1885" t="n">
        <v>0</v>
      </c>
      <c r="Q1885" t="n">
        <v>0</v>
      </c>
      <c r="R1885" t="inlineStr">
        <is>
          <t>T1021:Remote Services | T1133:External Remote Services</t>
        </is>
      </c>
      <c r="S1885" t="n">
        <v>1</v>
      </c>
      <c r="T1885" t="inlineStr">
        <is>
          <t>LOW (40%)</t>
        </is>
      </c>
      <c r="U1885" t="inlineStr">
        <is>
          <t>NONE</t>
        </is>
      </c>
      <c r="V1885" t="inlineStr">
        <is>
          <t>NONE</t>
        </is>
      </c>
      <c r="W1885" t="inlineStr">
        <is>
          <t>NONE</t>
        </is>
      </c>
      <c r="X1885" t="inlineStr">
        <is>
          <t>NONE</t>
        </is>
      </c>
      <c r="Y1885" t="n">
        <v>0</v>
      </c>
      <c r="Z1885" t="inlineStr"/>
      <c r="AA1885" t="inlineStr">
        <is>
          <t>https://leakix.net/host/3.147.67.229</t>
        </is>
      </c>
    </row>
    <row r="1886">
      <c r="A1886" t="inlineStr">
        <is>
          <t>CENSYS_EXPOSED</t>
        </is>
      </c>
      <c r="B1886" t="inlineStr">
        <is>
          <t>139.59.243.113</t>
        </is>
      </c>
      <c r="C1886" t="inlineStr">
        <is>
          <t>Exposed RDP: 139.59.243.113 | Unknown | Location: Unknown</t>
        </is>
      </c>
      <c r="D1886" t="n">
        <v>6.5</v>
      </c>
      <c r="E1886" t="inlineStr">
        <is>
          <t>MEDIUM</t>
        </is>
      </c>
      <c r="F1886" t="n">
        <v>2</v>
      </c>
      <c r="G1886" t="n">
        <v>2</v>
      </c>
      <c r="H1886" t="inlineStr">
        <is>
          <t>MEDIUM</t>
        </is>
      </c>
      <c r="I1886" t="n">
        <v>10.5</v>
      </c>
      <c r="J1886" t="inlineStr">
        <is>
          <t>NO</t>
        </is>
      </c>
      <c r="K1886" t="inlineStr">
        <is>
          <t>2026-02-26 00:15</t>
        </is>
      </c>
      <c r="L1886" t="inlineStr">
        <is>
          <t>Restrict access</t>
        </is>
      </c>
      <c r="M1886" t="inlineStr">
        <is>
          <t>Unknown</t>
        </is>
      </c>
      <c r="N1886" t="inlineStr">
        <is>
          <t>P4</t>
        </is>
      </c>
      <c r="O1886" t="inlineStr">
        <is>
          <t>See LeakIX for exposed service details</t>
        </is>
      </c>
      <c r="P1886" t="n">
        <v>0</v>
      </c>
      <c r="Q1886" t="n">
        <v>0</v>
      </c>
      <c r="R1886" t="inlineStr">
        <is>
          <t>T1021:Remote Services | T1133:External Remote Services</t>
        </is>
      </c>
      <c r="S1886" t="n">
        <v>1</v>
      </c>
      <c r="T1886" t="inlineStr">
        <is>
          <t>LOW (40%)</t>
        </is>
      </c>
      <c r="U1886" t="inlineStr">
        <is>
          <t>NONE</t>
        </is>
      </c>
      <c r="V1886" t="inlineStr">
        <is>
          <t>NONE</t>
        </is>
      </c>
      <c r="W1886" t="inlineStr">
        <is>
          <t>NONE</t>
        </is>
      </c>
      <c r="X1886" t="inlineStr">
        <is>
          <t>NONE</t>
        </is>
      </c>
      <c r="Y1886" t="n">
        <v>0</v>
      </c>
      <c r="Z1886" t="inlineStr"/>
      <c r="AA1886" t="inlineStr">
        <is>
          <t>https://leakix.net/host/139.59.243.113</t>
        </is>
      </c>
    </row>
    <row r="1887">
      <c r="A1887" t="inlineStr">
        <is>
          <t>CENSYS_EXPOSED</t>
        </is>
      </c>
      <c r="B1887" t="inlineStr">
        <is>
          <t>42.96.5.209</t>
        </is>
      </c>
      <c r="C1887" t="inlineStr">
        <is>
          <t>Exposed RDP: 42.96.5.209 | Unknown | Location: Unknown</t>
        </is>
      </c>
      <c r="D1887" t="n">
        <v>6.5</v>
      </c>
      <c r="E1887" t="inlineStr">
        <is>
          <t>MEDIUM</t>
        </is>
      </c>
      <c r="F1887" t="n">
        <v>2</v>
      </c>
      <c r="G1887" t="n">
        <v>2</v>
      </c>
      <c r="H1887" t="inlineStr">
        <is>
          <t>MEDIUM</t>
        </is>
      </c>
      <c r="I1887" t="n">
        <v>10.5</v>
      </c>
      <c r="J1887" t="inlineStr">
        <is>
          <t>NO</t>
        </is>
      </c>
      <c r="K1887" t="inlineStr">
        <is>
          <t>2026-02-26 00:15</t>
        </is>
      </c>
      <c r="L1887" t="inlineStr">
        <is>
          <t>Restrict access</t>
        </is>
      </c>
      <c r="M1887" t="inlineStr">
        <is>
          <t>Unknown</t>
        </is>
      </c>
      <c r="N1887" t="inlineStr">
        <is>
          <t>P4</t>
        </is>
      </c>
      <c r="O1887" t="inlineStr">
        <is>
          <t>See LeakIX for exposed service details</t>
        </is>
      </c>
      <c r="P1887" t="n">
        <v>0</v>
      </c>
      <c r="Q1887" t="n">
        <v>0</v>
      </c>
      <c r="R1887" t="inlineStr">
        <is>
          <t>T1021:Remote Services | T1133:External Remote Services</t>
        </is>
      </c>
      <c r="S1887" t="n">
        <v>1</v>
      </c>
      <c r="T1887" t="inlineStr">
        <is>
          <t>LOW (40%)</t>
        </is>
      </c>
      <c r="U1887" t="inlineStr">
        <is>
          <t>NONE</t>
        </is>
      </c>
      <c r="V1887" t="inlineStr">
        <is>
          <t>NONE</t>
        </is>
      </c>
      <c r="W1887" t="inlineStr">
        <is>
          <t>NONE</t>
        </is>
      </c>
      <c r="X1887" t="inlineStr">
        <is>
          <t>NONE</t>
        </is>
      </c>
      <c r="Y1887" t="n">
        <v>0</v>
      </c>
      <c r="Z1887" t="inlineStr"/>
      <c r="AA1887" t="inlineStr">
        <is>
          <t>https://leakix.net/host/42.96.5.209</t>
        </is>
      </c>
    </row>
    <row r="1888">
      <c r="A1888" t="inlineStr">
        <is>
          <t>CENSYS_EXPOSED</t>
        </is>
      </c>
      <c r="B1888" t="inlineStr">
        <is>
          <t>47.108.159.61</t>
        </is>
      </c>
      <c r="C1888" t="inlineStr">
        <is>
          <t>Exposed RDP: 47.108.159.61 | Unknown | Location: Unknown</t>
        </is>
      </c>
      <c r="D1888" t="n">
        <v>6.5</v>
      </c>
      <c r="E1888" t="inlineStr">
        <is>
          <t>MEDIUM</t>
        </is>
      </c>
      <c r="F1888" t="n">
        <v>2</v>
      </c>
      <c r="G1888" t="n">
        <v>2</v>
      </c>
      <c r="H1888" t="inlineStr">
        <is>
          <t>MEDIUM</t>
        </is>
      </c>
      <c r="I1888" t="n">
        <v>10.5</v>
      </c>
      <c r="J1888" t="inlineStr">
        <is>
          <t>NO</t>
        </is>
      </c>
      <c r="K1888" t="inlineStr">
        <is>
          <t>2026-02-26 00:15</t>
        </is>
      </c>
      <c r="L1888" t="inlineStr">
        <is>
          <t>Restrict access</t>
        </is>
      </c>
      <c r="M1888" t="inlineStr">
        <is>
          <t>Unknown</t>
        </is>
      </c>
      <c r="N1888" t="inlineStr">
        <is>
          <t>P4</t>
        </is>
      </c>
      <c r="O1888" t="inlineStr">
        <is>
          <t>See LeakIX for exposed service details</t>
        </is>
      </c>
      <c r="P1888" t="n">
        <v>0</v>
      </c>
      <c r="Q1888" t="n">
        <v>0</v>
      </c>
      <c r="R1888" t="inlineStr">
        <is>
          <t>T1021:Remote Services | T1133:External Remote Services</t>
        </is>
      </c>
      <c r="S1888" t="n">
        <v>1</v>
      </c>
      <c r="T1888" t="inlineStr">
        <is>
          <t>LOW (40%)</t>
        </is>
      </c>
      <c r="U1888" t="inlineStr">
        <is>
          <t>NONE</t>
        </is>
      </c>
      <c r="V1888" t="inlineStr">
        <is>
          <t>NONE</t>
        </is>
      </c>
      <c r="W1888" t="inlineStr">
        <is>
          <t>NONE</t>
        </is>
      </c>
      <c r="X1888" t="inlineStr">
        <is>
          <t>NONE</t>
        </is>
      </c>
      <c r="Y1888" t="n">
        <v>0</v>
      </c>
      <c r="Z1888" t="inlineStr"/>
      <c r="AA1888" t="inlineStr">
        <is>
          <t>https://leakix.net/host/47.108.159.61</t>
        </is>
      </c>
    </row>
    <row r="1889">
      <c r="A1889" t="inlineStr">
        <is>
          <t>CENSYS_EXPOSED</t>
        </is>
      </c>
      <c r="B1889" t="inlineStr">
        <is>
          <t>113.44.209.27</t>
        </is>
      </c>
      <c r="C1889" t="inlineStr">
        <is>
          <t>Exposed RDP: 113.44.209.27 | Unknown | Location: Unknown</t>
        </is>
      </c>
      <c r="D1889" t="n">
        <v>6.5</v>
      </c>
      <c r="E1889" t="inlineStr">
        <is>
          <t>MEDIUM</t>
        </is>
      </c>
      <c r="F1889" t="n">
        <v>2</v>
      </c>
      <c r="G1889" t="n">
        <v>2</v>
      </c>
      <c r="H1889" t="inlineStr">
        <is>
          <t>MEDIUM</t>
        </is>
      </c>
      <c r="I1889" t="n">
        <v>10.5</v>
      </c>
      <c r="J1889" t="inlineStr">
        <is>
          <t>NO</t>
        </is>
      </c>
      <c r="K1889" t="inlineStr">
        <is>
          <t>2026-02-26 00:15</t>
        </is>
      </c>
      <c r="L1889" t="inlineStr">
        <is>
          <t>Restrict access</t>
        </is>
      </c>
      <c r="M1889" t="inlineStr">
        <is>
          <t>Unknown</t>
        </is>
      </c>
      <c r="N1889" t="inlineStr">
        <is>
          <t>P4</t>
        </is>
      </c>
      <c r="O1889" t="inlineStr">
        <is>
          <t>See LeakIX for exposed service details</t>
        </is>
      </c>
      <c r="P1889" t="n">
        <v>0</v>
      </c>
      <c r="Q1889" t="n">
        <v>0</v>
      </c>
      <c r="R1889" t="inlineStr">
        <is>
          <t>T1021:Remote Services | T1133:External Remote Services</t>
        </is>
      </c>
      <c r="S1889" t="n">
        <v>1</v>
      </c>
      <c r="T1889" t="inlineStr">
        <is>
          <t>LOW (40%)</t>
        </is>
      </c>
      <c r="U1889" t="inlineStr">
        <is>
          <t>NONE</t>
        </is>
      </c>
      <c r="V1889" t="inlineStr">
        <is>
          <t>NONE</t>
        </is>
      </c>
      <c r="W1889" t="inlineStr">
        <is>
          <t>NONE</t>
        </is>
      </c>
      <c r="X1889" t="inlineStr">
        <is>
          <t>NONE</t>
        </is>
      </c>
      <c r="Y1889" t="n">
        <v>0</v>
      </c>
      <c r="Z1889" t="inlineStr"/>
      <c r="AA1889" t="inlineStr">
        <is>
          <t>https://leakix.net/host/113.44.209.27</t>
        </is>
      </c>
    </row>
    <row r="1890">
      <c r="A1890" t="inlineStr">
        <is>
          <t>CENSYS_EXPOSED</t>
        </is>
      </c>
      <c r="B1890" t="inlineStr">
        <is>
          <t>193.95.206.25</t>
        </is>
      </c>
      <c r="C1890" t="inlineStr">
        <is>
          <t>Exposed RDP: 193.95.206.25 | Unknown | Location: Unknown</t>
        </is>
      </c>
      <c r="D1890" t="n">
        <v>6.5</v>
      </c>
      <c r="E1890" t="inlineStr">
        <is>
          <t>MEDIUM</t>
        </is>
      </c>
      <c r="F1890" t="n">
        <v>2</v>
      </c>
      <c r="G1890" t="n">
        <v>2</v>
      </c>
      <c r="H1890" t="inlineStr">
        <is>
          <t>MEDIUM</t>
        </is>
      </c>
      <c r="I1890" t="n">
        <v>10.5</v>
      </c>
      <c r="J1890" t="inlineStr">
        <is>
          <t>NO</t>
        </is>
      </c>
      <c r="K1890" t="inlineStr">
        <is>
          <t>2026-02-26 00:15</t>
        </is>
      </c>
      <c r="L1890" t="inlineStr">
        <is>
          <t>Restrict access</t>
        </is>
      </c>
      <c r="M1890" t="inlineStr">
        <is>
          <t>Unknown</t>
        </is>
      </c>
      <c r="N1890" t="inlineStr">
        <is>
          <t>P4</t>
        </is>
      </c>
      <c r="O1890" t="inlineStr">
        <is>
          <t>See LeakIX for exposed service details</t>
        </is>
      </c>
      <c r="P1890" t="n">
        <v>0</v>
      </c>
      <c r="Q1890" t="n">
        <v>0</v>
      </c>
      <c r="R1890" t="inlineStr">
        <is>
          <t>T1021:Remote Services | T1133:External Remote Services</t>
        </is>
      </c>
      <c r="S1890" t="n">
        <v>1</v>
      </c>
      <c r="T1890" t="inlineStr">
        <is>
          <t>LOW (40%)</t>
        </is>
      </c>
      <c r="U1890" t="inlineStr">
        <is>
          <t>NONE</t>
        </is>
      </c>
      <c r="V1890" t="inlineStr">
        <is>
          <t>NONE</t>
        </is>
      </c>
      <c r="W1890" t="inlineStr">
        <is>
          <t>NONE</t>
        </is>
      </c>
      <c r="X1890" t="inlineStr">
        <is>
          <t>NONE</t>
        </is>
      </c>
      <c r="Y1890" t="n">
        <v>0</v>
      </c>
      <c r="Z1890" t="inlineStr"/>
      <c r="AA1890" t="inlineStr">
        <is>
          <t>https://leakix.net/host/193.95.206.25</t>
        </is>
      </c>
    </row>
    <row r="1891">
      <c r="A1891" t="inlineStr">
        <is>
          <t>CENSYS_EXPOSED</t>
        </is>
      </c>
      <c r="B1891" t="inlineStr">
        <is>
          <t>15.161.80.239</t>
        </is>
      </c>
      <c r="C1891" t="inlineStr">
        <is>
          <t>Exposed RDP: 15.161.80.239 | Unknown | Location: Unknown</t>
        </is>
      </c>
      <c r="D1891" t="n">
        <v>6.5</v>
      </c>
      <c r="E1891" t="inlineStr">
        <is>
          <t>MEDIUM</t>
        </is>
      </c>
      <c r="F1891" t="n">
        <v>2</v>
      </c>
      <c r="G1891" t="n">
        <v>2</v>
      </c>
      <c r="H1891" t="inlineStr">
        <is>
          <t>MEDIUM</t>
        </is>
      </c>
      <c r="I1891" t="n">
        <v>10.5</v>
      </c>
      <c r="J1891" t="inlineStr">
        <is>
          <t>NO</t>
        </is>
      </c>
      <c r="K1891" t="inlineStr">
        <is>
          <t>2026-02-26 00:15</t>
        </is>
      </c>
      <c r="L1891" t="inlineStr">
        <is>
          <t>Restrict access</t>
        </is>
      </c>
      <c r="M1891" t="inlineStr">
        <is>
          <t>Unknown</t>
        </is>
      </c>
      <c r="N1891" t="inlineStr">
        <is>
          <t>P4</t>
        </is>
      </c>
      <c r="O1891" t="inlineStr">
        <is>
          <t>See LeakIX for exposed service details</t>
        </is>
      </c>
      <c r="P1891" t="n">
        <v>0</v>
      </c>
      <c r="Q1891" t="n">
        <v>0</v>
      </c>
      <c r="R1891" t="inlineStr">
        <is>
          <t>T1021:Remote Services | T1133:External Remote Services</t>
        </is>
      </c>
      <c r="S1891" t="n">
        <v>1</v>
      </c>
      <c r="T1891" t="inlineStr">
        <is>
          <t>LOW (40%)</t>
        </is>
      </c>
      <c r="U1891" t="inlineStr">
        <is>
          <t>NONE</t>
        </is>
      </c>
      <c r="V1891" t="inlineStr">
        <is>
          <t>NONE</t>
        </is>
      </c>
      <c r="W1891" t="inlineStr">
        <is>
          <t>NONE</t>
        </is>
      </c>
      <c r="X1891" t="inlineStr">
        <is>
          <t>NONE</t>
        </is>
      </c>
      <c r="Y1891" t="n">
        <v>0</v>
      </c>
      <c r="Z1891" t="inlineStr"/>
      <c r="AA1891" t="inlineStr">
        <is>
          <t>https://leakix.net/host/15.161.80.239</t>
        </is>
      </c>
    </row>
    <row r="1892">
      <c r="A1892" t="inlineStr">
        <is>
          <t>CENSYS_EXPOSED</t>
        </is>
      </c>
      <c r="B1892" t="inlineStr">
        <is>
          <t>80.211.198.26</t>
        </is>
      </c>
      <c r="C1892" t="inlineStr">
        <is>
          <t>Exposed RDP: 80.211.198.26 | Unknown | Location: Unknown</t>
        </is>
      </c>
      <c r="D1892" t="n">
        <v>6.5</v>
      </c>
      <c r="E1892" t="inlineStr">
        <is>
          <t>MEDIUM</t>
        </is>
      </c>
      <c r="F1892" t="n">
        <v>2</v>
      </c>
      <c r="G1892" t="n">
        <v>2</v>
      </c>
      <c r="H1892" t="inlineStr">
        <is>
          <t>MEDIUM</t>
        </is>
      </c>
      <c r="I1892" t="n">
        <v>10.5</v>
      </c>
      <c r="J1892" t="inlineStr">
        <is>
          <t>NO</t>
        </is>
      </c>
      <c r="K1892" t="inlineStr">
        <is>
          <t>2026-02-26 00:15</t>
        </is>
      </c>
      <c r="L1892" t="inlineStr">
        <is>
          <t>Restrict access</t>
        </is>
      </c>
      <c r="M1892" t="inlineStr">
        <is>
          <t>Unknown</t>
        </is>
      </c>
      <c r="N1892" t="inlineStr">
        <is>
          <t>P4</t>
        </is>
      </c>
      <c r="O1892" t="inlineStr">
        <is>
          <t>See LeakIX for exposed service details</t>
        </is>
      </c>
      <c r="P1892" t="n">
        <v>0</v>
      </c>
      <c r="Q1892" t="n">
        <v>0</v>
      </c>
      <c r="R1892" t="inlineStr">
        <is>
          <t>T1021:Remote Services | T1133:External Remote Services</t>
        </is>
      </c>
      <c r="S1892" t="n">
        <v>1</v>
      </c>
      <c r="T1892" t="inlineStr">
        <is>
          <t>LOW (40%)</t>
        </is>
      </c>
      <c r="U1892" t="inlineStr">
        <is>
          <t>NONE</t>
        </is>
      </c>
      <c r="V1892" t="inlineStr">
        <is>
          <t>NONE</t>
        </is>
      </c>
      <c r="W1892" t="inlineStr">
        <is>
          <t>NONE</t>
        </is>
      </c>
      <c r="X1892" t="inlineStr">
        <is>
          <t>NONE</t>
        </is>
      </c>
      <c r="Y1892" t="n">
        <v>0</v>
      </c>
      <c r="Z1892" t="inlineStr"/>
      <c r="AA1892" t="inlineStr">
        <is>
          <t>https://leakix.net/host/80.211.198.26</t>
        </is>
      </c>
    </row>
    <row r="1893">
      <c r="A1893" t="inlineStr">
        <is>
          <t>CENSYS_EXPOSED</t>
        </is>
      </c>
      <c r="B1893" t="inlineStr">
        <is>
          <t>161.97.173.159</t>
        </is>
      </c>
      <c r="C1893" t="inlineStr">
        <is>
          <t>Exposed RDP: 161.97.173.159 | Unknown | Location: Unknown</t>
        </is>
      </c>
      <c r="D1893" t="n">
        <v>6.5</v>
      </c>
      <c r="E1893" t="inlineStr">
        <is>
          <t>MEDIUM</t>
        </is>
      </c>
      <c r="F1893" t="n">
        <v>2</v>
      </c>
      <c r="G1893" t="n">
        <v>2</v>
      </c>
      <c r="H1893" t="inlineStr">
        <is>
          <t>MEDIUM</t>
        </is>
      </c>
      <c r="I1893" t="n">
        <v>10.5</v>
      </c>
      <c r="J1893" t="inlineStr">
        <is>
          <t>NO</t>
        </is>
      </c>
      <c r="K1893" t="inlineStr">
        <is>
          <t>2026-02-26 00:15</t>
        </is>
      </c>
      <c r="L1893" t="inlineStr">
        <is>
          <t>Restrict access</t>
        </is>
      </c>
      <c r="M1893" t="inlineStr">
        <is>
          <t>Unknown</t>
        </is>
      </c>
      <c r="N1893" t="inlineStr">
        <is>
          <t>P4</t>
        </is>
      </c>
      <c r="O1893" t="inlineStr">
        <is>
          <t>See LeakIX for exposed service details</t>
        </is>
      </c>
      <c r="P1893" t="n">
        <v>0</v>
      </c>
      <c r="Q1893" t="n">
        <v>0</v>
      </c>
      <c r="R1893" t="inlineStr">
        <is>
          <t>T1021:Remote Services | T1133:External Remote Services</t>
        </is>
      </c>
      <c r="S1893" t="n">
        <v>1</v>
      </c>
      <c r="T1893" t="inlineStr">
        <is>
          <t>LOW (40%)</t>
        </is>
      </c>
      <c r="U1893" t="inlineStr">
        <is>
          <t>NONE</t>
        </is>
      </c>
      <c r="V1893" t="inlineStr">
        <is>
          <t>NONE</t>
        </is>
      </c>
      <c r="W1893" t="inlineStr">
        <is>
          <t>NONE</t>
        </is>
      </c>
      <c r="X1893" t="inlineStr">
        <is>
          <t>NONE</t>
        </is>
      </c>
      <c r="Y1893" t="n">
        <v>0</v>
      </c>
      <c r="Z1893" t="inlineStr"/>
      <c r="AA1893" t="inlineStr">
        <is>
          <t>https://leakix.net/host/161.97.173.159</t>
        </is>
      </c>
    </row>
    <row r="1894">
      <c r="A1894" t="inlineStr">
        <is>
          <t>CENSYS_EXPOSED</t>
        </is>
      </c>
      <c r="B1894" t="inlineStr">
        <is>
          <t>163.245.209.65</t>
        </is>
      </c>
      <c r="C1894" t="inlineStr">
        <is>
          <t>Exposed RDP: 163.245.209.65 | Unknown | Location: Unknown</t>
        </is>
      </c>
      <c r="D1894" t="n">
        <v>6.5</v>
      </c>
      <c r="E1894" t="inlineStr">
        <is>
          <t>MEDIUM</t>
        </is>
      </c>
      <c r="F1894" t="n">
        <v>2</v>
      </c>
      <c r="G1894" t="n">
        <v>2</v>
      </c>
      <c r="H1894" t="inlineStr">
        <is>
          <t>MEDIUM</t>
        </is>
      </c>
      <c r="I1894" t="n">
        <v>10.5</v>
      </c>
      <c r="J1894" t="inlineStr">
        <is>
          <t>NO</t>
        </is>
      </c>
      <c r="K1894" t="inlineStr">
        <is>
          <t>2026-02-26 00:15</t>
        </is>
      </c>
      <c r="L1894" t="inlineStr">
        <is>
          <t>Restrict access</t>
        </is>
      </c>
      <c r="M1894" t="inlineStr">
        <is>
          <t>Unknown</t>
        </is>
      </c>
      <c r="N1894" t="inlineStr">
        <is>
          <t>P4</t>
        </is>
      </c>
      <c r="O1894" t="inlineStr">
        <is>
          <t>See LeakIX for exposed service details</t>
        </is>
      </c>
      <c r="P1894" t="n">
        <v>0</v>
      </c>
      <c r="Q1894" t="n">
        <v>0</v>
      </c>
      <c r="R1894" t="inlineStr">
        <is>
          <t>T1021:Remote Services | T1133:External Remote Services</t>
        </is>
      </c>
      <c r="S1894" t="n">
        <v>1</v>
      </c>
      <c r="T1894" t="inlineStr">
        <is>
          <t>LOW (40%)</t>
        </is>
      </c>
      <c r="U1894" t="inlineStr">
        <is>
          <t>NONE</t>
        </is>
      </c>
      <c r="V1894" t="inlineStr">
        <is>
          <t>NONE</t>
        </is>
      </c>
      <c r="W1894" t="inlineStr">
        <is>
          <t>NONE</t>
        </is>
      </c>
      <c r="X1894" t="inlineStr">
        <is>
          <t>NONE</t>
        </is>
      </c>
      <c r="Y1894" t="n">
        <v>0</v>
      </c>
      <c r="Z1894" t="inlineStr"/>
      <c r="AA1894" t="inlineStr">
        <is>
          <t>https://leakix.net/host/163.245.209.65</t>
        </is>
      </c>
    </row>
    <row r="1895">
      <c r="A1895" t="inlineStr">
        <is>
          <t>REDHAT_CVE</t>
        </is>
      </c>
      <c r="B1895" t="inlineStr">
        <is>
          <t>CVE-2026-3190</t>
        </is>
      </c>
      <c r="C1895" t="inlineStr">
        <is>
          <t>Red Hat Advisory: 2442572</t>
        </is>
      </c>
      <c r="D1895" t="n">
        <v>5</v>
      </c>
      <c r="E1895" t="inlineStr">
        <is>
          <t>MEDIUM</t>
        </is>
      </c>
      <c r="F1895" t="n">
        <v>2</v>
      </c>
      <c r="G1895" t="n">
        <v>2</v>
      </c>
      <c r="H1895" t="inlineStr">
        <is>
          <t>MEDIUM</t>
        </is>
      </c>
      <c r="I1895" t="n">
        <v>9</v>
      </c>
      <c r="J1895" t="inlineStr">
        <is>
          <t>NO</t>
        </is>
      </c>
      <c r="K1895" t="inlineStr">
        <is>
          <t>2026-02-25T07:07:00Z</t>
        </is>
      </c>
      <c r="L1895" t="inlineStr">
        <is>
          <t>YES</t>
        </is>
      </c>
      <c r="M1895" t="inlineStr">
        <is>
          <t>See Red Hat advisory</t>
        </is>
      </c>
      <c r="N1895" t="inlineStr">
        <is>
          <t>P4</t>
        </is>
      </c>
      <c r="O1895" t="inlineStr">
        <is>
          <t>CVE advisory - no IP context</t>
        </is>
      </c>
      <c r="P1895" t="n">
        <v>0</v>
      </c>
      <c r="Q1895" t="n">
        <v>0</v>
      </c>
      <c r="R1895" t="inlineStr">
        <is>
          <t>T1068:Exploitation for Privilege Escalation</t>
        </is>
      </c>
      <c r="S1895" t="n">
        <v>1</v>
      </c>
      <c r="T1895" t="inlineStr">
        <is>
          <t>LOW (40%)</t>
        </is>
      </c>
      <c r="U1895" t="inlineStr">
        <is>
          <t>CHECK_REDHAT</t>
        </is>
      </c>
      <c r="V1895" t="inlineStr">
        <is>
          <t>YES</t>
        </is>
      </c>
      <c r="W1895" t="inlineStr">
        <is>
          <t>https://access.redhat.com/security/cve/CVE-2026-3190</t>
        </is>
      </c>
      <c r="X1895" t="inlineStr">
        <is>
          <t>NONE</t>
        </is>
      </c>
      <c r="Y1895" t="n">
        <v>0</v>
      </c>
      <c r="Z1895" t="inlineStr"/>
      <c r="AA1895" t="inlineStr">
        <is>
          <t>https://access.redhat.com/security/cve/CVE-2026-3190</t>
        </is>
      </c>
    </row>
    <row r="1896">
      <c r="A1896" t="inlineStr">
        <is>
          <t>REDHAT_CVE</t>
        </is>
      </c>
      <c r="B1896" t="inlineStr">
        <is>
          <t>CVE-2026-3184</t>
        </is>
      </c>
      <c r="C1896" t="inlineStr">
        <is>
          <t>Red Hat Advisory: 2442570</t>
        </is>
      </c>
      <c r="D1896" t="n">
        <v>5</v>
      </c>
      <c r="E1896" t="inlineStr">
        <is>
          <t>MEDIUM</t>
        </is>
      </c>
      <c r="F1896" t="n">
        <v>2</v>
      </c>
      <c r="G1896" t="n">
        <v>2</v>
      </c>
      <c r="H1896" t="inlineStr">
        <is>
          <t>MEDIUM</t>
        </is>
      </c>
      <c r="I1896" t="n">
        <v>9</v>
      </c>
      <c r="J1896" t="inlineStr">
        <is>
          <t>NO</t>
        </is>
      </c>
      <c r="K1896" t="inlineStr">
        <is>
          <t>2026-02-25T04:04:00Z</t>
        </is>
      </c>
      <c r="L1896" t="inlineStr">
        <is>
          <t>YES</t>
        </is>
      </c>
      <c r="M1896" t="inlineStr">
        <is>
          <t>See Red Hat advisory</t>
        </is>
      </c>
      <c r="N1896" t="inlineStr">
        <is>
          <t>P4</t>
        </is>
      </c>
      <c r="O1896" t="inlineStr">
        <is>
          <t>CVE advisory - no IP context</t>
        </is>
      </c>
      <c r="P1896" t="n">
        <v>0</v>
      </c>
      <c r="Q1896" t="n">
        <v>0</v>
      </c>
      <c r="R1896" t="inlineStr">
        <is>
          <t>T1068:Exploitation for Privilege Escalation</t>
        </is>
      </c>
      <c r="S1896" t="n">
        <v>1</v>
      </c>
      <c r="T1896" t="inlineStr">
        <is>
          <t>LOW (40%)</t>
        </is>
      </c>
      <c r="U1896" t="inlineStr">
        <is>
          <t>CHECK_REDHAT</t>
        </is>
      </c>
      <c r="V1896" t="inlineStr">
        <is>
          <t>YES</t>
        </is>
      </c>
      <c r="W1896" t="inlineStr">
        <is>
          <t>https://access.redhat.com/security/cve/CVE-2026-3184</t>
        </is>
      </c>
      <c r="X1896" t="inlineStr">
        <is>
          <t>NONE</t>
        </is>
      </c>
      <c r="Y1896" t="n">
        <v>0</v>
      </c>
      <c r="Z1896" t="inlineStr"/>
      <c r="AA1896" t="inlineStr">
        <is>
          <t>https://access.redhat.com/security/cve/CVE-2026-3184</t>
        </is>
      </c>
    </row>
    <row r="1897">
      <c r="A1897" t="inlineStr">
        <is>
          <t>MSRC_UPDATE</t>
        </is>
      </c>
      <c r="B1897" t="inlineStr">
        <is>
          <t>CVE-2026-0948</t>
        </is>
      </c>
      <c r="C1897" t="inlineStr">
        <is>
          <t>Microsoft Update: Authentication Bypass Using an Alternate Path or Channel vulnerability in Drupal Microsoft Entra ID SSO Login allows Privilege Escalation.This issue affects Microsoft Entra ID SSO Login: from 0.0.0 be</t>
        </is>
      </c>
      <c r="D1897" t="n">
        <v>6.5</v>
      </c>
      <c r="E1897" t="inlineStr">
        <is>
          <t>MEDIUM</t>
        </is>
      </c>
      <c r="F1897" t="n">
        <v>2</v>
      </c>
      <c r="G1897" t="n">
        <v>2</v>
      </c>
      <c r="H1897" t="inlineStr">
        <is>
          <t>MEDIUM</t>
        </is>
      </c>
      <c r="I1897" t="n">
        <v>10.5</v>
      </c>
      <c r="J1897" t="inlineStr">
        <is>
          <t>NO</t>
        </is>
      </c>
      <c r="K1897" t="inlineStr">
        <is>
          <t>2026-02-04T21:15:59.143</t>
        </is>
      </c>
      <c r="L1897" t="inlineStr">
        <is>
          <t>YES</t>
        </is>
      </c>
      <c r="M1897" t="inlineStr">
        <is>
          <t>Microsoft Windows</t>
        </is>
      </c>
      <c r="N1897" t="inlineStr">
        <is>
          <t>P4</t>
        </is>
      </c>
      <c r="O1897" t="inlineStr">
        <is>
          <t>Microsoft CVE - no IP context</t>
        </is>
      </c>
      <c r="P1897" t="n">
        <v>0</v>
      </c>
      <c r="Q1897" t="n">
        <v>0</v>
      </c>
      <c r="R1897" t="inlineStr">
        <is>
          <t>T1203:Exploitation for Client Execution | T1068:Exploitation for Privilege Escalation</t>
        </is>
      </c>
      <c r="S1897" t="n">
        <v>1</v>
      </c>
      <c r="T1897" t="inlineStr">
        <is>
          <t>LOW (40%)</t>
        </is>
      </c>
      <c r="U1897" t="inlineStr">
        <is>
          <t>CHECK_MSRC</t>
        </is>
      </c>
      <c r="V1897" t="inlineStr">
        <is>
          <t>YES</t>
        </is>
      </c>
      <c r="W1897" t="inlineStr">
        <is>
          <t>https://msrc.microsoft.com/update-guide/vulnerability/CVE-2026-0948</t>
        </is>
      </c>
      <c r="X1897" t="inlineStr">
        <is>
          <t>NONE</t>
        </is>
      </c>
      <c r="Y1897" t="n">
        <v>0</v>
      </c>
      <c r="Z1897" t="inlineStr"/>
      <c r="AA1897" t="inlineStr">
        <is>
          <t>https://msrc.microsoft.com/update-guide/vulnerability/CVE-2026-0948</t>
        </is>
      </c>
    </row>
    <row r="1898">
      <c r="A1898" t="inlineStr">
        <is>
          <t>MSRC_UPDATE</t>
        </is>
      </c>
      <c r="B1898" t="inlineStr">
        <is>
          <t>CVE-2026-0391</t>
        </is>
      </c>
      <c r="C1898" t="inlineStr">
        <is>
          <t>Microsoft Update: User interface (ui) misrepresentation of critical information in Microsoft Edge for Android allows an unauthorized attacker to perform spoofing over a network.</t>
        </is>
      </c>
      <c r="D1898" t="n">
        <v>6.5</v>
      </c>
      <c r="E1898" t="inlineStr">
        <is>
          <t>MEDIUM</t>
        </is>
      </c>
      <c r="F1898" t="n">
        <v>2</v>
      </c>
      <c r="G1898" t="n">
        <v>2</v>
      </c>
      <c r="H1898" t="inlineStr">
        <is>
          <t>MEDIUM</t>
        </is>
      </c>
      <c r="I1898" t="n">
        <v>10.5</v>
      </c>
      <c r="J1898" t="inlineStr">
        <is>
          <t>NO</t>
        </is>
      </c>
      <c r="K1898" t="inlineStr">
        <is>
          <t>2026-02-05T23:15:54.093</t>
        </is>
      </c>
      <c r="L1898" t="inlineStr">
        <is>
          <t>YES</t>
        </is>
      </c>
      <c r="M1898" t="inlineStr">
        <is>
          <t>Microsoft Windows</t>
        </is>
      </c>
      <c r="N1898" t="inlineStr">
        <is>
          <t>P4</t>
        </is>
      </c>
      <c r="O1898" t="inlineStr">
        <is>
          <t>Microsoft CVE - no IP context</t>
        </is>
      </c>
      <c r="P1898" t="n">
        <v>0</v>
      </c>
      <c r="Q1898" t="n">
        <v>0</v>
      </c>
      <c r="R1898" t="inlineStr">
        <is>
          <t>T1203:Exploitation for Client Execution | T1068:Exploitation for Privilege Escalation</t>
        </is>
      </c>
      <c r="S1898" t="n">
        <v>1</v>
      </c>
      <c r="T1898" t="inlineStr">
        <is>
          <t>LOW (40%)</t>
        </is>
      </c>
      <c r="U1898" t="inlineStr">
        <is>
          <t>CHECK_MSRC</t>
        </is>
      </c>
      <c r="V1898" t="inlineStr">
        <is>
          <t>YES</t>
        </is>
      </c>
      <c r="W1898" t="inlineStr">
        <is>
          <t>https://msrc.microsoft.com/update-guide/vulnerability/CVE-2026-0391</t>
        </is>
      </c>
      <c r="X1898" t="inlineStr">
        <is>
          <t>NONE</t>
        </is>
      </c>
      <c r="Y1898" t="n">
        <v>0</v>
      </c>
      <c r="Z1898" t="inlineStr"/>
      <c r="AA1898" t="inlineStr">
        <is>
          <t>https://msrc.microsoft.com/update-guide/vulnerability/CVE-2026-0391</t>
        </is>
      </c>
    </row>
    <row r="1899">
      <c r="A1899" t="inlineStr">
        <is>
          <t>MSRC_UPDATE</t>
        </is>
      </c>
      <c r="B1899" t="inlineStr">
        <is>
          <t>CVE-2026-25592</t>
        </is>
      </c>
      <c r="C1899" t="inlineStr">
        <is>
          <t>Microsoft Update: Semantic Kernel is an SDK used to build, orchestrate, and deploy AI agents and multi-agent systems. Prior to 1.71.0, an Arbitrary File Write vulnerability has been identified in Microsoft's Semantic K</t>
        </is>
      </c>
      <c r="D1899" t="n">
        <v>9.9</v>
      </c>
      <c r="E1899" t="inlineStr">
        <is>
          <t>CRITICAL</t>
        </is>
      </c>
      <c r="F1899" t="n">
        <v>2</v>
      </c>
      <c r="G1899" t="n">
        <v>2</v>
      </c>
      <c r="H1899" t="inlineStr">
        <is>
          <t>MEDIUM</t>
        </is>
      </c>
      <c r="I1899" t="n">
        <v>13.9</v>
      </c>
      <c r="J1899" t="inlineStr">
        <is>
          <t>NO</t>
        </is>
      </c>
      <c r="K1899" t="inlineStr">
        <is>
          <t>2026-02-06T21:16:17.647</t>
        </is>
      </c>
      <c r="L1899" t="inlineStr">
        <is>
          <t>YES</t>
        </is>
      </c>
      <c r="M1899" t="inlineStr">
        <is>
          <t>Microsoft Windows</t>
        </is>
      </c>
      <c r="N1899" t="inlineStr">
        <is>
          <t>P4</t>
        </is>
      </c>
      <c r="O1899" t="inlineStr">
        <is>
          <t>Microsoft CVE - no IP context</t>
        </is>
      </c>
      <c r="P1899" t="n">
        <v>0</v>
      </c>
      <c r="Q1899" t="n">
        <v>0</v>
      </c>
      <c r="R1899" t="inlineStr">
        <is>
          <t>T1203:Exploitation for Client Execution | T1068:Exploitation for Privilege Escalation</t>
        </is>
      </c>
      <c r="S1899" t="n">
        <v>1</v>
      </c>
      <c r="T1899" t="inlineStr">
        <is>
          <t>LOW (40%)</t>
        </is>
      </c>
      <c r="U1899" t="inlineStr">
        <is>
          <t>CHECK_MSRC</t>
        </is>
      </c>
      <c r="V1899" t="inlineStr">
        <is>
          <t>YES</t>
        </is>
      </c>
      <c r="W1899" t="inlineStr">
        <is>
          <t>https://msrc.microsoft.com/update-guide/vulnerability/CVE-2026-25592</t>
        </is>
      </c>
      <c r="X1899" t="inlineStr">
        <is>
          <t>NONE</t>
        </is>
      </c>
      <c r="Y1899" t="n">
        <v>0</v>
      </c>
      <c r="Z1899" t="inlineStr"/>
      <c r="AA1899" t="inlineStr">
        <is>
          <t>https://msrc.microsoft.com/update-guide/vulnerability/CVE-2026-25592</t>
        </is>
      </c>
    </row>
    <row r="1900">
      <c r="A1900" t="inlineStr">
        <is>
          <t>MSRC_UPDATE</t>
        </is>
      </c>
      <c r="B1900" t="inlineStr">
        <is>
          <t>CVE-2026-21235</t>
        </is>
      </c>
      <c r="C1900" t="inlineStr">
        <is>
          <t>Microsoft Update: Use after free in Microsoft Graphics Component allows an authorized attacker to elevate privileges locally.</t>
        </is>
      </c>
      <c r="D1900" t="n">
        <v>7.3</v>
      </c>
      <c r="E1900" t="inlineStr">
        <is>
          <t>HIGH</t>
        </is>
      </c>
      <c r="F1900" t="n">
        <v>2</v>
      </c>
      <c r="G1900" t="n">
        <v>2</v>
      </c>
      <c r="H1900" t="inlineStr">
        <is>
          <t>MEDIUM</t>
        </is>
      </c>
      <c r="I1900" t="n">
        <v>11.3</v>
      </c>
      <c r="J1900" t="inlineStr">
        <is>
          <t>NO</t>
        </is>
      </c>
      <c r="K1900" t="inlineStr">
        <is>
          <t>2026-02-10T18:16:24.090</t>
        </is>
      </c>
      <c r="L1900" t="inlineStr">
        <is>
          <t>YES</t>
        </is>
      </c>
      <c r="M1900" t="inlineStr">
        <is>
          <t>Microsoft Windows</t>
        </is>
      </c>
      <c r="N1900" t="inlineStr">
        <is>
          <t>P4</t>
        </is>
      </c>
      <c r="O1900" t="inlineStr">
        <is>
          <t>Microsoft CVE - no IP context</t>
        </is>
      </c>
      <c r="P1900" t="n">
        <v>0</v>
      </c>
      <c r="Q1900" t="n">
        <v>0</v>
      </c>
      <c r="R1900" t="inlineStr">
        <is>
          <t>T1203:Exploitation for Client Execution | T1068:Exploitation for Privilege Escalation</t>
        </is>
      </c>
      <c r="S1900" t="n">
        <v>1</v>
      </c>
      <c r="T1900" t="inlineStr">
        <is>
          <t>LOW (40%)</t>
        </is>
      </c>
      <c r="U1900" t="inlineStr">
        <is>
          <t>CHECK_MSRC</t>
        </is>
      </c>
      <c r="V1900" t="inlineStr">
        <is>
          <t>YES</t>
        </is>
      </c>
      <c r="W1900" t="inlineStr">
        <is>
          <t>https://msrc.microsoft.com/update-guide/vulnerability/CVE-2026-21235</t>
        </is>
      </c>
      <c r="X1900" t="inlineStr">
        <is>
          <t>NONE</t>
        </is>
      </c>
      <c r="Y1900" t="n">
        <v>0</v>
      </c>
      <c r="Z1900" t="inlineStr"/>
      <c r="AA1900" t="inlineStr">
        <is>
          <t>https://msrc.microsoft.com/update-guide/vulnerability/CVE-2026-21235</t>
        </is>
      </c>
    </row>
    <row r="1901">
      <c r="A1901" t="inlineStr">
        <is>
          <t>MSRC_UPDATE</t>
        </is>
      </c>
      <c r="B1901" t="inlineStr">
        <is>
          <t>CVE-2026-21246</t>
        </is>
      </c>
      <c r="C1901" t="inlineStr">
        <is>
          <t>Microsoft Update: Heap-based buffer overflow in Microsoft Graphics Component allows an authorized attacker to elevate privileges locally.</t>
        </is>
      </c>
      <c r="D1901" t="n">
        <v>7.8</v>
      </c>
      <c r="E1901" t="inlineStr">
        <is>
          <t>HIGH</t>
        </is>
      </c>
      <c r="F1901" t="n">
        <v>2</v>
      </c>
      <c r="G1901" t="n">
        <v>2</v>
      </c>
      <c r="H1901" t="inlineStr">
        <is>
          <t>MEDIUM</t>
        </is>
      </c>
      <c r="I1901" t="n">
        <v>11.8</v>
      </c>
      <c r="J1901" t="inlineStr">
        <is>
          <t>NO</t>
        </is>
      </c>
      <c r="K1901" t="inlineStr">
        <is>
          <t>2026-02-10T18:16:26.010</t>
        </is>
      </c>
      <c r="L1901" t="inlineStr">
        <is>
          <t>YES</t>
        </is>
      </c>
      <c r="M1901" t="inlineStr">
        <is>
          <t>Microsoft Windows</t>
        </is>
      </c>
      <c r="N1901" t="inlineStr">
        <is>
          <t>P4</t>
        </is>
      </c>
      <c r="O1901" t="inlineStr">
        <is>
          <t>Microsoft CVE - no IP context</t>
        </is>
      </c>
      <c r="P1901" t="n">
        <v>0</v>
      </c>
      <c r="Q1901" t="n">
        <v>0</v>
      </c>
      <c r="R1901" t="inlineStr">
        <is>
          <t>T1203:Exploitation for Client Execution | T1068:Exploitation for Privilege Escalation</t>
        </is>
      </c>
      <c r="S1901" t="n">
        <v>1</v>
      </c>
      <c r="T1901" t="inlineStr">
        <is>
          <t>LOW (40%)</t>
        </is>
      </c>
      <c r="U1901" t="inlineStr">
        <is>
          <t>CHECK_MSRC</t>
        </is>
      </c>
      <c r="V1901" t="inlineStr">
        <is>
          <t>YES</t>
        </is>
      </c>
      <c r="W1901" t="inlineStr">
        <is>
          <t>https://msrc.microsoft.com/update-guide/vulnerability/CVE-2026-21246</t>
        </is>
      </c>
      <c r="X1901" t="inlineStr">
        <is>
          <t>NONE</t>
        </is>
      </c>
      <c r="Y1901" t="n">
        <v>0</v>
      </c>
      <c r="Z1901" t="inlineStr"/>
      <c r="AA1901" t="inlineStr">
        <is>
          <t>https://msrc.microsoft.com/update-guide/vulnerability/CVE-2026-21246</t>
        </is>
      </c>
    </row>
    <row r="1902">
      <c r="A1902" t="inlineStr">
        <is>
          <t>MSRC_UPDATE</t>
        </is>
      </c>
      <c r="B1902" t="inlineStr">
        <is>
          <t>CVE-2026-21258</t>
        </is>
      </c>
      <c r="C1902" t="inlineStr">
        <is>
          <t>Microsoft Update: Improper input validation in Microsoft Office Excel allows an unauthorized attacker to disclose information locally.</t>
        </is>
      </c>
      <c r="D1902" t="n">
        <v>5.5</v>
      </c>
      <c r="E1902" t="inlineStr">
        <is>
          <t>MEDIUM</t>
        </is>
      </c>
      <c r="F1902" t="n">
        <v>2</v>
      </c>
      <c r="G1902" t="n">
        <v>2</v>
      </c>
      <c r="H1902" t="inlineStr">
        <is>
          <t>MEDIUM</t>
        </is>
      </c>
      <c r="I1902" t="n">
        <v>9.5</v>
      </c>
      <c r="J1902" t="inlineStr">
        <is>
          <t>NO</t>
        </is>
      </c>
      <c r="K1902" t="inlineStr">
        <is>
          <t>2026-02-10T18:16:27.637</t>
        </is>
      </c>
      <c r="L1902" t="inlineStr">
        <is>
          <t>YES</t>
        </is>
      </c>
      <c r="M1902" t="inlineStr">
        <is>
          <t>Microsoft Windows</t>
        </is>
      </c>
      <c r="N1902" t="inlineStr">
        <is>
          <t>P4</t>
        </is>
      </c>
      <c r="O1902" t="inlineStr">
        <is>
          <t>Microsoft CVE - no IP context</t>
        </is>
      </c>
      <c r="P1902" t="n">
        <v>0</v>
      </c>
      <c r="Q1902" t="n">
        <v>0</v>
      </c>
      <c r="R1902" t="inlineStr">
        <is>
          <t>T1203:Exploitation for Client Execution | T1068:Exploitation for Privilege Escalation</t>
        </is>
      </c>
      <c r="S1902" t="n">
        <v>1</v>
      </c>
      <c r="T1902" t="inlineStr">
        <is>
          <t>LOW (40%)</t>
        </is>
      </c>
      <c r="U1902" t="inlineStr">
        <is>
          <t>CHECK_MSRC</t>
        </is>
      </c>
      <c r="V1902" t="inlineStr">
        <is>
          <t>YES</t>
        </is>
      </c>
      <c r="W1902" t="inlineStr">
        <is>
          <t>https://msrc.microsoft.com/update-guide/vulnerability/CVE-2026-21258</t>
        </is>
      </c>
      <c r="X1902" t="inlineStr">
        <is>
          <t>NONE</t>
        </is>
      </c>
      <c r="Y1902" t="n">
        <v>0</v>
      </c>
      <c r="Z1902" t="inlineStr"/>
      <c r="AA1902" t="inlineStr">
        <is>
          <t>https://msrc.microsoft.com/update-guide/vulnerability/CVE-2026-21258</t>
        </is>
      </c>
    </row>
    <row r="1903">
      <c r="A1903" t="inlineStr">
        <is>
          <t>MSRC_UPDATE</t>
        </is>
      </c>
      <c r="B1903" t="inlineStr">
        <is>
          <t>CVE-2026-21259</t>
        </is>
      </c>
      <c r="C1903" t="inlineStr">
        <is>
          <t>Microsoft Update: Heap-based buffer overflow in Microsoft Office Excel allows an unauthorized attacker to elevate privileges locally.</t>
        </is>
      </c>
      <c r="D1903" t="n">
        <v>7.8</v>
      </c>
      <c r="E1903" t="inlineStr">
        <is>
          <t>HIGH</t>
        </is>
      </c>
      <c r="F1903" t="n">
        <v>2</v>
      </c>
      <c r="G1903" t="n">
        <v>2</v>
      </c>
      <c r="H1903" t="inlineStr">
        <is>
          <t>MEDIUM</t>
        </is>
      </c>
      <c r="I1903" t="n">
        <v>11.8</v>
      </c>
      <c r="J1903" t="inlineStr">
        <is>
          <t>NO</t>
        </is>
      </c>
      <c r="K1903" t="inlineStr">
        <is>
          <t>2026-02-10T18:16:27.790</t>
        </is>
      </c>
      <c r="L1903" t="inlineStr">
        <is>
          <t>YES</t>
        </is>
      </c>
      <c r="M1903" t="inlineStr">
        <is>
          <t>Microsoft Windows</t>
        </is>
      </c>
      <c r="N1903" t="inlineStr">
        <is>
          <t>P4</t>
        </is>
      </c>
      <c r="O1903" t="inlineStr">
        <is>
          <t>Microsoft CVE - no IP context</t>
        </is>
      </c>
      <c r="P1903" t="n">
        <v>0</v>
      </c>
      <c r="Q1903" t="n">
        <v>0</v>
      </c>
      <c r="R1903" t="inlineStr">
        <is>
          <t>T1203:Exploitation for Client Execution | T1068:Exploitation for Privilege Escalation</t>
        </is>
      </c>
      <c r="S1903" t="n">
        <v>1</v>
      </c>
      <c r="T1903" t="inlineStr">
        <is>
          <t>LOW (40%)</t>
        </is>
      </c>
      <c r="U1903" t="inlineStr">
        <is>
          <t>CHECK_MSRC</t>
        </is>
      </c>
      <c r="V1903" t="inlineStr">
        <is>
          <t>YES</t>
        </is>
      </c>
      <c r="W1903" t="inlineStr">
        <is>
          <t>https://msrc.microsoft.com/update-guide/vulnerability/CVE-2026-21259</t>
        </is>
      </c>
      <c r="X1903" t="inlineStr">
        <is>
          <t>NONE</t>
        </is>
      </c>
      <c r="Y1903" t="n">
        <v>0</v>
      </c>
      <c r="Z1903" t="inlineStr"/>
      <c r="AA1903" t="inlineStr">
        <is>
          <t>https://msrc.microsoft.com/update-guide/vulnerability/CVE-2026-21259</t>
        </is>
      </c>
    </row>
    <row r="1904">
      <c r="A1904" t="inlineStr">
        <is>
          <t>MSRC_UPDATE</t>
        </is>
      </c>
      <c r="B1904" t="inlineStr">
        <is>
          <t>CVE-2026-21260</t>
        </is>
      </c>
      <c r="C1904" t="inlineStr">
        <is>
          <t>Microsoft Update: Exposure of sensitive information to an unauthorized actor in Microsoft Office Outlook allows an unauthorized attacker to perform spoofing over a network.</t>
        </is>
      </c>
      <c r="D1904" t="n">
        <v>7.5</v>
      </c>
      <c r="E1904" t="inlineStr">
        <is>
          <t>HIGH</t>
        </is>
      </c>
      <c r="F1904" t="n">
        <v>2</v>
      </c>
      <c r="G1904" t="n">
        <v>2</v>
      </c>
      <c r="H1904" t="inlineStr">
        <is>
          <t>MEDIUM</t>
        </is>
      </c>
      <c r="I1904" t="n">
        <v>11.5</v>
      </c>
      <c r="J1904" t="inlineStr">
        <is>
          <t>NO</t>
        </is>
      </c>
      <c r="K1904" t="inlineStr">
        <is>
          <t>2026-02-10T18:16:27.947</t>
        </is>
      </c>
      <c r="L1904" t="inlineStr">
        <is>
          <t>YES</t>
        </is>
      </c>
      <c r="M1904" t="inlineStr">
        <is>
          <t>Microsoft Windows</t>
        </is>
      </c>
      <c r="N1904" t="inlineStr">
        <is>
          <t>P4</t>
        </is>
      </c>
      <c r="O1904" t="inlineStr">
        <is>
          <t>Microsoft CVE - no IP context</t>
        </is>
      </c>
      <c r="P1904" t="n">
        <v>0</v>
      </c>
      <c r="Q1904" t="n">
        <v>0</v>
      </c>
      <c r="R1904" t="inlineStr">
        <is>
          <t>T1203:Exploitation for Client Execution | T1068:Exploitation for Privilege Escalation</t>
        </is>
      </c>
      <c r="S1904" t="n">
        <v>1</v>
      </c>
      <c r="T1904" t="inlineStr">
        <is>
          <t>LOW (40%)</t>
        </is>
      </c>
      <c r="U1904" t="inlineStr">
        <is>
          <t>CHECK_MSRC</t>
        </is>
      </c>
      <c r="V1904" t="inlineStr">
        <is>
          <t>YES</t>
        </is>
      </c>
      <c r="W1904" t="inlineStr">
        <is>
          <t>https://msrc.microsoft.com/update-guide/vulnerability/CVE-2026-21260</t>
        </is>
      </c>
      <c r="X1904" t="inlineStr">
        <is>
          <t>NONE</t>
        </is>
      </c>
      <c r="Y1904" t="n">
        <v>0</v>
      </c>
      <c r="Z1904" t="inlineStr"/>
      <c r="AA1904" t="inlineStr">
        <is>
          <t>https://msrc.microsoft.com/update-guide/vulnerability/CVE-2026-21260</t>
        </is>
      </c>
    </row>
    <row r="1905">
      <c r="A1905" t="inlineStr">
        <is>
          <t>MSRC_UPDATE</t>
        </is>
      </c>
      <c r="B1905" t="inlineStr">
        <is>
          <t>CVE-2026-21261</t>
        </is>
      </c>
      <c r="C1905" t="inlineStr">
        <is>
          <t>Microsoft Update: Out-of-bounds read in Microsoft Office Excel allows an unauthorized attacker to disclose information locally.</t>
        </is>
      </c>
      <c r="D1905" t="n">
        <v>5.5</v>
      </c>
      <c r="E1905" t="inlineStr">
        <is>
          <t>MEDIUM</t>
        </is>
      </c>
      <c r="F1905" t="n">
        <v>2</v>
      </c>
      <c r="G1905" t="n">
        <v>2</v>
      </c>
      <c r="H1905" t="inlineStr">
        <is>
          <t>MEDIUM</t>
        </is>
      </c>
      <c r="I1905" t="n">
        <v>9.5</v>
      </c>
      <c r="J1905" t="inlineStr">
        <is>
          <t>NO</t>
        </is>
      </c>
      <c r="K1905" t="inlineStr">
        <is>
          <t>2026-02-10T18:16:28.107</t>
        </is>
      </c>
      <c r="L1905" t="inlineStr">
        <is>
          <t>YES</t>
        </is>
      </c>
      <c r="M1905" t="inlineStr">
        <is>
          <t>Microsoft Windows</t>
        </is>
      </c>
      <c r="N1905" t="inlineStr">
        <is>
          <t>P4</t>
        </is>
      </c>
      <c r="O1905" t="inlineStr">
        <is>
          <t>Microsoft CVE - no IP context</t>
        </is>
      </c>
      <c r="P1905" t="n">
        <v>0</v>
      </c>
      <c r="Q1905" t="n">
        <v>0</v>
      </c>
      <c r="R1905" t="inlineStr">
        <is>
          <t>T1203:Exploitation for Client Execution | T1068:Exploitation for Privilege Escalation</t>
        </is>
      </c>
      <c r="S1905" t="n">
        <v>1</v>
      </c>
      <c r="T1905" t="inlineStr">
        <is>
          <t>LOW (40%)</t>
        </is>
      </c>
      <c r="U1905" t="inlineStr">
        <is>
          <t>CHECK_MSRC</t>
        </is>
      </c>
      <c r="V1905" t="inlineStr">
        <is>
          <t>YES</t>
        </is>
      </c>
      <c r="W1905" t="inlineStr">
        <is>
          <t>https://msrc.microsoft.com/update-guide/vulnerability/CVE-2026-21261</t>
        </is>
      </c>
      <c r="X1905" t="inlineStr">
        <is>
          <t>NONE</t>
        </is>
      </c>
      <c r="Y1905" t="n">
        <v>0</v>
      </c>
      <c r="Z1905" t="inlineStr"/>
      <c r="AA1905" t="inlineStr">
        <is>
          <t>https://msrc.microsoft.com/update-guide/vulnerability/CVE-2026-21261</t>
        </is>
      </c>
    </row>
    <row r="1906">
      <c r="A1906" t="inlineStr">
        <is>
          <t>MSRC_UPDATE</t>
        </is>
      </c>
      <c r="B1906" t="inlineStr">
        <is>
          <t>CVE-2026-21511</t>
        </is>
      </c>
      <c r="C1906" t="inlineStr">
        <is>
          <t>Microsoft Update: Deserialization of untrusted data in Microsoft Office Outlook allows an unauthorized attacker to perform spoofing over a network.</t>
        </is>
      </c>
      <c r="D1906" t="n">
        <v>7.5</v>
      </c>
      <c r="E1906" t="inlineStr">
        <is>
          <t>HIGH</t>
        </is>
      </c>
      <c r="F1906" t="n">
        <v>2</v>
      </c>
      <c r="G1906" t="n">
        <v>2</v>
      </c>
      <c r="H1906" t="inlineStr">
        <is>
          <t>MEDIUM</t>
        </is>
      </c>
      <c r="I1906" t="n">
        <v>11.5</v>
      </c>
      <c r="J1906" t="inlineStr">
        <is>
          <t>NO</t>
        </is>
      </c>
      <c r="K1906" t="inlineStr">
        <is>
          <t>2026-02-10T18:16:33.337</t>
        </is>
      </c>
      <c r="L1906" t="inlineStr">
        <is>
          <t>YES</t>
        </is>
      </c>
      <c r="M1906" t="inlineStr">
        <is>
          <t>Microsoft Windows</t>
        </is>
      </c>
      <c r="N1906" t="inlineStr">
        <is>
          <t>P4</t>
        </is>
      </c>
      <c r="O1906" t="inlineStr">
        <is>
          <t>Microsoft CVE - no IP context</t>
        </is>
      </c>
      <c r="P1906" t="n">
        <v>0</v>
      </c>
      <c r="Q1906" t="n">
        <v>0</v>
      </c>
      <c r="R1906" t="inlineStr">
        <is>
          <t>T1203:Exploitation for Client Execution | T1068:Exploitation for Privilege Escalation</t>
        </is>
      </c>
      <c r="S1906" t="n">
        <v>1</v>
      </c>
      <c r="T1906" t="inlineStr">
        <is>
          <t>LOW (40%)</t>
        </is>
      </c>
      <c r="U1906" t="inlineStr">
        <is>
          <t>CHECK_MSRC</t>
        </is>
      </c>
      <c r="V1906" t="inlineStr">
        <is>
          <t>YES</t>
        </is>
      </c>
      <c r="W1906" t="inlineStr">
        <is>
          <t>https://msrc.microsoft.com/update-guide/vulnerability/CVE-2026-21511</t>
        </is>
      </c>
      <c r="X1906" t="inlineStr">
        <is>
          <t>NONE</t>
        </is>
      </c>
      <c r="Y1906" t="n">
        <v>0</v>
      </c>
      <c r="Z1906" t="inlineStr"/>
      <c r="AA1906" t="inlineStr">
        <is>
          <t>https://msrc.microsoft.com/update-guide/vulnerability/CVE-2026-21511</t>
        </is>
      </c>
    </row>
    <row r="1907">
      <c r="A1907" t="inlineStr">
        <is>
          <t>MSRC_UPDATE</t>
        </is>
      </c>
      <c r="B1907" t="inlineStr">
        <is>
          <t>CVE-2026-21514</t>
        </is>
      </c>
      <c r="C1907" t="inlineStr">
        <is>
          <t>Microsoft Update: Reliance on untrusted inputs in a security decision in Microsoft Office Word allows an unauthorized attacker to bypass a security feature locally.</t>
        </is>
      </c>
      <c r="D1907" t="n">
        <v>7.8</v>
      </c>
      <c r="E1907" t="inlineStr">
        <is>
          <t>HIGH</t>
        </is>
      </c>
      <c r="F1907" t="n">
        <v>2</v>
      </c>
      <c r="G1907" t="n">
        <v>2</v>
      </c>
      <c r="H1907" t="inlineStr">
        <is>
          <t>MEDIUM</t>
        </is>
      </c>
      <c r="I1907" t="n">
        <v>11.8</v>
      </c>
      <c r="J1907" t="inlineStr">
        <is>
          <t>NO</t>
        </is>
      </c>
      <c r="K1907" t="inlineStr">
        <is>
          <t>2026-02-10T18:16:33.803</t>
        </is>
      </c>
      <c r="L1907" t="inlineStr">
        <is>
          <t>YES</t>
        </is>
      </c>
      <c r="M1907" t="inlineStr">
        <is>
          <t>Microsoft Windows</t>
        </is>
      </c>
      <c r="N1907" t="inlineStr">
        <is>
          <t>P4</t>
        </is>
      </c>
      <c r="O1907" t="inlineStr">
        <is>
          <t>Microsoft CVE - no IP context</t>
        </is>
      </c>
      <c r="P1907" t="n">
        <v>0</v>
      </c>
      <c r="Q1907" t="n">
        <v>0</v>
      </c>
      <c r="R1907" t="inlineStr">
        <is>
          <t>T1203:Exploitation for Client Execution | T1068:Exploitation for Privilege Escalation</t>
        </is>
      </c>
      <c r="S1907" t="n">
        <v>1</v>
      </c>
      <c r="T1907" t="inlineStr">
        <is>
          <t>LOW (40%)</t>
        </is>
      </c>
      <c r="U1907" t="inlineStr">
        <is>
          <t>CHECK_MSRC</t>
        </is>
      </c>
      <c r="V1907" t="inlineStr">
        <is>
          <t>YES</t>
        </is>
      </c>
      <c r="W1907" t="inlineStr">
        <is>
          <t>https://msrc.microsoft.com/update-guide/vulnerability/CVE-2026-21514</t>
        </is>
      </c>
      <c r="X1907" t="inlineStr">
        <is>
          <t>NONE</t>
        </is>
      </c>
      <c r="Y1907" t="n">
        <v>0</v>
      </c>
      <c r="Z1907" t="inlineStr"/>
      <c r="AA1907" t="inlineStr">
        <is>
          <t>https://msrc.microsoft.com/update-guide/vulnerability/CVE-2026-21514</t>
        </is>
      </c>
    </row>
    <row r="1908">
      <c r="A1908" t="inlineStr">
        <is>
          <t>MSRC_UPDATE</t>
        </is>
      </c>
      <c r="B1908" t="inlineStr">
        <is>
          <t>CVE-2026-21527</t>
        </is>
      </c>
      <c r="C1908" t="inlineStr">
        <is>
          <t>Microsoft Update: User interface (ui) misrepresentation of critical information in Microsoft Exchange Server allows an unauthorized attacker to perform spoofing over a network.</t>
        </is>
      </c>
      <c r="D1908" t="n">
        <v>6.5</v>
      </c>
      <c r="E1908" t="inlineStr">
        <is>
          <t>MEDIUM</t>
        </is>
      </c>
      <c r="F1908" t="n">
        <v>2</v>
      </c>
      <c r="G1908" t="n">
        <v>2</v>
      </c>
      <c r="H1908" t="inlineStr">
        <is>
          <t>MEDIUM</t>
        </is>
      </c>
      <c r="I1908" t="n">
        <v>10.5</v>
      </c>
      <c r="J1908" t="inlineStr">
        <is>
          <t>NO</t>
        </is>
      </c>
      <c r="K1908" t="inlineStr">
        <is>
          <t>2026-02-10T18:16:35.093</t>
        </is>
      </c>
      <c r="L1908" t="inlineStr">
        <is>
          <t>YES</t>
        </is>
      </c>
      <c r="M1908" t="inlineStr">
        <is>
          <t>Microsoft Windows</t>
        </is>
      </c>
      <c r="N1908" t="inlineStr">
        <is>
          <t>P4</t>
        </is>
      </c>
      <c r="O1908" t="inlineStr">
        <is>
          <t>Microsoft CVE - no IP context</t>
        </is>
      </c>
      <c r="P1908" t="n">
        <v>0</v>
      </c>
      <c r="Q1908" t="n">
        <v>0</v>
      </c>
      <c r="R1908" t="inlineStr">
        <is>
          <t>T1203:Exploitation for Client Execution | T1068:Exploitation for Privilege Escalation</t>
        </is>
      </c>
      <c r="S1908" t="n">
        <v>1</v>
      </c>
      <c r="T1908" t="inlineStr">
        <is>
          <t>LOW (40%)</t>
        </is>
      </c>
      <c r="U1908" t="inlineStr">
        <is>
          <t>CHECK_MSRC</t>
        </is>
      </c>
      <c r="V1908" t="inlineStr">
        <is>
          <t>YES</t>
        </is>
      </c>
      <c r="W1908" t="inlineStr">
        <is>
          <t>https://msrc.microsoft.com/update-guide/vulnerability/CVE-2026-21527</t>
        </is>
      </c>
      <c r="X1908" t="inlineStr">
        <is>
          <t>NONE</t>
        </is>
      </c>
      <c r="Y1908" t="n">
        <v>0</v>
      </c>
      <c r="Z1908" t="inlineStr"/>
      <c r="AA1908" t="inlineStr">
        <is>
          <t>https://msrc.microsoft.com/update-guide/vulnerability/CVE-2026-21527</t>
        </is>
      </c>
    </row>
    <row r="1909">
      <c r="A1909" t="inlineStr">
        <is>
          <t>MSRC_UPDATE</t>
        </is>
      </c>
      <c r="B1909" t="inlineStr">
        <is>
          <t>CVE-2026-21537</t>
        </is>
      </c>
      <c r="C1909" t="inlineStr">
        <is>
          <t>Microsoft Update: Improper control of generation of code ('code injection') in Microsoft Defender for Linux allows an unauthorized attacker to execute code over an adjacent network.</t>
        </is>
      </c>
      <c r="D1909" t="n">
        <v>8.800000000000001</v>
      </c>
      <c r="E1909" t="inlineStr">
        <is>
          <t>HIGH</t>
        </is>
      </c>
      <c r="F1909" t="n">
        <v>2</v>
      </c>
      <c r="G1909" t="n">
        <v>2</v>
      </c>
      <c r="H1909" t="inlineStr">
        <is>
          <t>MEDIUM</t>
        </is>
      </c>
      <c r="I1909" t="n">
        <v>12.8</v>
      </c>
      <c r="J1909" t="inlineStr">
        <is>
          <t>NO</t>
        </is>
      </c>
      <c r="K1909" t="inlineStr">
        <is>
          <t>2026-02-10T18:16:35.970</t>
        </is>
      </c>
      <c r="L1909" t="inlineStr">
        <is>
          <t>YES</t>
        </is>
      </c>
      <c r="M1909" t="inlineStr">
        <is>
          <t>Microsoft Windows</t>
        </is>
      </c>
      <c r="N1909" t="inlineStr">
        <is>
          <t>P4</t>
        </is>
      </c>
      <c r="O1909" t="inlineStr">
        <is>
          <t>Microsoft CVE - no IP context</t>
        </is>
      </c>
      <c r="P1909" t="n">
        <v>0</v>
      </c>
      <c r="Q1909" t="n">
        <v>0</v>
      </c>
      <c r="R1909" t="inlineStr">
        <is>
          <t>T1203:Exploitation for Client Execution | T1068:Exploitation for Privilege Escalation</t>
        </is>
      </c>
      <c r="S1909" t="n">
        <v>1</v>
      </c>
      <c r="T1909" t="inlineStr">
        <is>
          <t>LOW (40%)</t>
        </is>
      </c>
      <c r="U1909" t="inlineStr">
        <is>
          <t>CHECK_MSRC</t>
        </is>
      </c>
      <c r="V1909" t="inlineStr">
        <is>
          <t>YES</t>
        </is>
      </c>
      <c r="W1909" t="inlineStr">
        <is>
          <t>https://msrc.microsoft.com/update-guide/vulnerability/CVE-2026-21537</t>
        </is>
      </c>
      <c r="X1909" t="inlineStr">
        <is>
          <t>NONE</t>
        </is>
      </c>
      <c r="Y1909" t="n">
        <v>0</v>
      </c>
      <c r="Z1909" t="inlineStr"/>
      <c r="AA1909" t="inlineStr">
        <is>
          <t>https://msrc.microsoft.com/update-guide/vulnerability/CVE-2026-21537</t>
        </is>
      </c>
    </row>
    <row r="1910">
      <c r="A1910" t="inlineStr">
        <is>
          <t>MSRC_UPDATE</t>
        </is>
      </c>
      <c r="B1910" t="inlineStr">
        <is>
          <t>CVE-2026-22048</t>
        </is>
      </c>
      <c r="C1910" t="inlineStr">
        <is>
          <t xml:space="preserve">Microsoft Update: StorageGRID (formerly StorageGRID Webscale) versions prior to 11.9.0.12 and 12.0.0.4 with Single Sign-on enabled and configured to use Microsoft Entra ID (formerly Azure AD) as an IdP are susceptible </t>
        </is>
      </c>
      <c r="D1910" t="n">
        <v>7.1</v>
      </c>
      <c r="E1910" t="inlineStr">
        <is>
          <t>HIGH</t>
        </is>
      </c>
      <c r="F1910" t="n">
        <v>2</v>
      </c>
      <c r="G1910" t="n">
        <v>2</v>
      </c>
      <c r="H1910" t="inlineStr">
        <is>
          <t>MEDIUM</t>
        </is>
      </c>
      <c r="I1910" t="n">
        <v>11.1</v>
      </c>
      <c r="J1910" t="inlineStr">
        <is>
          <t>NO</t>
        </is>
      </c>
      <c r="K1910" t="inlineStr">
        <is>
          <t>2026-02-18T00:16:18.700</t>
        </is>
      </c>
      <c r="L1910" t="inlineStr">
        <is>
          <t>YES</t>
        </is>
      </c>
      <c r="M1910" t="inlineStr">
        <is>
          <t>Microsoft Windows</t>
        </is>
      </c>
      <c r="N1910" t="inlineStr">
        <is>
          <t>P4</t>
        </is>
      </c>
      <c r="O1910" t="inlineStr">
        <is>
          <t>Microsoft CVE - no IP context</t>
        </is>
      </c>
      <c r="P1910" t="n">
        <v>0</v>
      </c>
      <c r="Q1910" t="n">
        <v>0</v>
      </c>
      <c r="R1910" t="inlineStr">
        <is>
          <t>T1203:Exploitation for Client Execution | T1068:Exploitation for Privilege Escalation</t>
        </is>
      </c>
      <c r="S1910" t="n">
        <v>1</v>
      </c>
      <c r="T1910" t="inlineStr">
        <is>
          <t>LOW (40%)</t>
        </is>
      </c>
      <c r="U1910" t="inlineStr">
        <is>
          <t>CHECK_MSRC</t>
        </is>
      </c>
      <c r="V1910" t="inlineStr">
        <is>
          <t>YES</t>
        </is>
      </c>
      <c r="W1910" t="inlineStr">
        <is>
          <t>https://msrc.microsoft.com/update-guide/vulnerability/CVE-2026-22048</t>
        </is>
      </c>
      <c r="X1910" t="inlineStr">
        <is>
          <t>NONE</t>
        </is>
      </c>
      <c r="Y1910" t="n">
        <v>0</v>
      </c>
      <c r="Z1910" t="inlineStr"/>
      <c r="AA1910" t="inlineStr">
        <is>
          <t>https://msrc.microsoft.com/update-guide/vulnerability/CVE-2026-22048</t>
        </is>
      </c>
    </row>
    <row r="1911">
      <c r="A1911" t="inlineStr">
        <is>
          <t>PATCH_TUESDAY</t>
        </is>
      </c>
      <c r="B1911" t="inlineStr">
        <is>
          <t>PT-February-2026</t>
        </is>
      </c>
      <c r="C1911" t="inlineStr">
        <is>
          <t>Patch Tuesday February 2026: Patch Tuesday: February 10, 2026 - Status: Released</t>
        </is>
      </c>
      <c r="D1911" t="n">
        <v>0</v>
      </c>
      <c r="E1911" t="inlineStr">
        <is>
          <t>LOW</t>
        </is>
      </c>
      <c r="F1911" t="n">
        <v>1</v>
      </c>
      <c r="G1911" t="n">
        <v>1</v>
      </c>
      <c r="H1911" t="inlineStr">
        <is>
          <t>LOW</t>
        </is>
      </c>
      <c r="I1911" t="n">
        <v>1</v>
      </c>
      <c r="J1911" t="inlineStr">
        <is>
          <t>NO</t>
        </is>
      </c>
      <c r="K1911" t="inlineStr">
        <is>
          <t>2026-02-10</t>
        </is>
      </c>
      <c r="L1911" t="inlineStr">
        <is>
          <t>Released</t>
        </is>
      </c>
      <c r="M1911" t="inlineStr">
        <is>
          <t>Microsoft Windows / Microsoft 365</t>
        </is>
      </c>
      <c r="N1911" t="inlineStr">
        <is>
          <t>P4</t>
        </is>
      </c>
      <c r="O1911" t="inlineStr">
        <is>
          <t>Informational - no IP context</t>
        </is>
      </c>
      <c r="P1911" t="n">
        <v>0</v>
      </c>
      <c r="Q1911" t="n">
        <v>0</v>
      </c>
      <c r="R1911" t="inlineStr">
        <is>
          <t>Informational</t>
        </is>
      </c>
      <c r="S1911" t="n">
        <v>1</v>
      </c>
      <c r="T1911" t="inlineStr">
        <is>
          <t>LOW (40%)</t>
        </is>
      </c>
      <c r="U1911" t="inlineStr">
        <is>
          <t>NONE</t>
        </is>
      </c>
      <c r="V1911" t="inlineStr">
        <is>
          <t>NONE</t>
        </is>
      </c>
      <c r="W1911" t="inlineStr">
        <is>
          <t>NONE</t>
        </is>
      </c>
      <c r="X1911" t="inlineStr">
        <is>
          <t>NONE</t>
        </is>
      </c>
      <c r="Y1911" t="n">
        <v>0</v>
      </c>
      <c r="Z1911" t="inlineStr"/>
      <c r="AA1911" t="inlineStr">
        <is>
          <t>https://msrc.microsoft.com/update-guide/</t>
        </is>
      </c>
    </row>
    <row r="1912">
      <c r="A1912" t="inlineStr">
        <is>
          <t>TALOS_IP</t>
        </is>
      </c>
      <c r="B1912" t="inlineStr">
        <is>
          <t>2c31de6ea534</t>
        </is>
      </c>
      <c r="C1912" t="inlineStr">
        <is>
          <t>Cisco Talos Blacklisted IP: 1.10.247.213 | Verified malicious | Sources: TALOS</t>
        </is>
      </c>
      <c r="D1912" t="n">
        <v>7</v>
      </c>
      <c r="E1912" t="inlineStr">
        <is>
          <t>HIGH</t>
        </is>
      </c>
      <c r="F1912" t="n">
        <v>3</v>
      </c>
      <c r="G1912" t="n">
        <v>2</v>
      </c>
      <c r="H1912" t="inlineStr">
        <is>
          <t>HIGH</t>
        </is>
      </c>
      <c r="I1912" t="n">
        <v>13</v>
      </c>
      <c r="J1912" t="inlineStr">
        <is>
          <t>NO</t>
        </is>
      </c>
      <c r="K1912" t="inlineStr">
        <is>
          <t>2026-02-26 00:15</t>
        </is>
      </c>
      <c r="L1912" t="inlineStr">
        <is>
          <t>Block IP</t>
        </is>
      </c>
      <c r="M1912" t="inlineStr">
        <is>
          <t>Network perimeter / Email / Web</t>
        </is>
      </c>
      <c r="N1912" t="inlineStr">
        <is>
          <t>P3</t>
        </is>
      </c>
      <c r="O1912" t="inlineStr">
        <is>
          <t>Check ip-api.com + AbuseIPDB for context</t>
        </is>
      </c>
      <c r="P1912" t="n">
        <v>0</v>
      </c>
      <c r="Q1912" t="n">
        <v>0</v>
      </c>
      <c r="R1912" t="inlineStr">
        <is>
          <t>T1110:Brute Force | T1190:Exploit Public-Facing Application | T1566:Phishing</t>
        </is>
      </c>
      <c r="S1912" t="n">
        <v>1</v>
      </c>
      <c r="T1912" t="inlineStr">
        <is>
          <t>MEDIUM (60%)</t>
        </is>
      </c>
      <c r="U1912" t="inlineStr">
        <is>
          <t>NONE</t>
        </is>
      </c>
      <c r="V1912" t="inlineStr">
        <is>
          <t>NONE</t>
        </is>
      </c>
      <c r="W1912" t="inlineStr">
        <is>
          <t>NONE</t>
        </is>
      </c>
      <c r="X1912" t="inlineStr">
        <is>
          <t>NONE</t>
        </is>
      </c>
      <c r="Y1912" t="n">
        <v>0</v>
      </c>
      <c r="Z1912" t="inlineStr"/>
      <c r="AA1912" t="inlineStr">
        <is>
          <t>https://talosintelligence.com/reputation_center/lookup?search=1.10.247.213</t>
        </is>
      </c>
    </row>
    <row r="1913">
      <c r="A1913" t="inlineStr">
        <is>
          <t>TALOS_IP</t>
        </is>
      </c>
      <c r="B1913" t="inlineStr">
        <is>
          <t>2458a0aeb01c</t>
        </is>
      </c>
      <c r="C1913" t="inlineStr">
        <is>
          <t>Cisco Talos Blacklisted IP: 1.11.132.194 | Verified malicious | Sources: TALOS</t>
        </is>
      </c>
      <c r="D1913" t="n">
        <v>7</v>
      </c>
      <c r="E1913" t="inlineStr">
        <is>
          <t>HIGH</t>
        </is>
      </c>
      <c r="F1913" t="n">
        <v>3</v>
      </c>
      <c r="G1913" t="n">
        <v>2</v>
      </c>
      <c r="H1913" t="inlineStr">
        <is>
          <t>HIGH</t>
        </is>
      </c>
      <c r="I1913" t="n">
        <v>13</v>
      </c>
      <c r="J1913" t="inlineStr">
        <is>
          <t>NO</t>
        </is>
      </c>
      <c r="K1913" t="inlineStr">
        <is>
          <t>2026-02-26 00:15</t>
        </is>
      </c>
      <c r="L1913" t="inlineStr">
        <is>
          <t>Block IP</t>
        </is>
      </c>
      <c r="M1913" t="inlineStr">
        <is>
          <t>Network perimeter / Email / Web</t>
        </is>
      </c>
      <c r="N1913" t="inlineStr">
        <is>
          <t>P3</t>
        </is>
      </c>
      <c r="O1913" t="inlineStr">
        <is>
          <t>Check ip-api.com + AbuseIPDB for context</t>
        </is>
      </c>
      <c r="P1913" t="n">
        <v>0</v>
      </c>
      <c r="Q1913" t="n">
        <v>0</v>
      </c>
      <c r="R1913" t="inlineStr">
        <is>
          <t>T1110:Brute Force | T1190:Exploit Public-Facing Application | T1566:Phishing</t>
        </is>
      </c>
      <c r="S1913" t="n">
        <v>1</v>
      </c>
      <c r="T1913" t="inlineStr">
        <is>
          <t>MEDIUM (60%)</t>
        </is>
      </c>
      <c r="U1913" t="inlineStr">
        <is>
          <t>NONE</t>
        </is>
      </c>
      <c r="V1913" t="inlineStr">
        <is>
          <t>NONE</t>
        </is>
      </c>
      <c r="W1913" t="inlineStr">
        <is>
          <t>NONE</t>
        </is>
      </c>
      <c r="X1913" t="inlineStr">
        <is>
          <t>NONE</t>
        </is>
      </c>
      <c r="Y1913" t="n">
        <v>0</v>
      </c>
      <c r="Z1913" t="inlineStr"/>
      <c r="AA1913" t="inlineStr">
        <is>
          <t>https://talosintelligence.com/reputation_center/lookup?search=1.11.132.194</t>
        </is>
      </c>
    </row>
    <row r="1914">
      <c r="A1914" t="inlineStr">
        <is>
          <t>TALOS_IP</t>
        </is>
      </c>
      <c r="B1914" t="inlineStr">
        <is>
          <t>017abc159f47</t>
        </is>
      </c>
      <c r="C1914" t="inlineStr">
        <is>
          <t>Cisco Talos Blacklisted IP: 1.15.116.189 | Verified malicious | Sources: TALOS, BLOCKLIST_DE</t>
        </is>
      </c>
      <c r="D1914" t="n">
        <v>7</v>
      </c>
      <c r="E1914" t="inlineStr">
        <is>
          <t>HIGH</t>
        </is>
      </c>
      <c r="F1914" t="n">
        <v>3</v>
      </c>
      <c r="G1914" t="n">
        <v>2</v>
      </c>
      <c r="H1914" t="inlineStr">
        <is>
          <t>HIGH</t>
        </is>
      </c>
      <c r="I1914" t="n">
        <v>13</v>
      </c>
      <c r="J1914" t="inlineStr">
        <is>
          <t>NO</t>
        </is>
      </c>
      <c r="K1914" t="inlineStr">
        <is>
          <t>2026-02-26 00:15</t>
        </is>
      </c>
      <c r="L1914" t="inlineStr">
        <is>
          <t>Block IP</t>
        </is>
      </c>
      <c r="M1914" t="inlineStr">
        <is>
          <t>Network perimeter / Email / Web</t>
        </is>
      </c>
      <c r="N1914" t="inlineStr">
        <is>
          <t>P3</t>
        </is>
      </c>
      <c r="O1914" t="inlineStr">
        <is>
          <t>Skipped (20/run cap)</t>
        </is>
      </c>
      <c r="P1914" t="n">
        <v>0</v>
      </c>
      <c r="Q1914" t="n">
        <v>0</v>
      </c>
      <c r="R1914" t="inlineStr">
        <is>
          <t>T1110:Brute Force | T1190:Exploit Public-Facing Application | T1566:Phishing</t>
        </is>
      </c>
      <c r="S1914" t="n">
        <v>2</v>
      </c>
      <c r="T1914" t="inlineStr">
        <is>
          <t>HIGH (72%)</t>
        </is>
      </c>
      <c r="U1914" t="inlineStr">
        <is>
          <t>NONE</t>
        </is>
      </c>
      <c r="V1914" t="inlineStr">
        <is>
          <t>NONE</t>
        </is>
      </c>
      <c r="W1914" t="inlineStr">
        <is>
          <t>NONE</t>
        </is>
      </c>
      <c r="X1914" t="inlineStr">
        <is>
          <t>NONE</t>
        </is>
      </c>
      <c r="Y1914" t="n">
        <v>0</v>
      </c>
      <c r="Z1914" t="inlineStr"/>
      <c r="AA1914" t="inlineStr">
        <is>
          <t>https://talosintelligence.com/reputation_center/lookup?search=1.15.116.189</t>
        </is>
      </c>
    </row>
    <row r="1915">
      <c r="A1915" t="inlineStr">
        <is>
          <t>TALOS_IP</t>
        </is>
      </c>
      <c r="B1915" t="inlineStr">
        <is>
          <t>52f5c2f32e8d</t>
        </is>
      </c>
      <c r="C1915" t="inlineStr">
        <is>
          <t>Cisco Talos Blacklisted IP: 1.15.22.112 | Verified malicious | Sources: TALOS</t>
        </is>
      </c>
      <c r="D1915" t="n">
        <v>7</v>
      </c>
      <c r="E1915" t="inlineStr">
        <is>
          <t>HIGH</t>
        </is>
      </c>
      <c r="F1915" t="n">
        <v>3</v>
      </c>
      <c r="G1915" t="n">
        <v>2</v>
      </c>
      <c r="H1915" t="inlineStr">
        <is>
          <t>HIGH</t>
        </is>
      </c>
      <c r="I1915" t="n">
        <v>13</v>
      </c>
      <c r="J1915" t="inlineStr">
        <is>
          <t>NO</t>
        </is>
      </c>
      <c r="K1915" t="inlineStr">
        <is>
          <t>2026-02-26 00:15</t>
        </is>
      </c>
      <c r="L1915" t="inlineStr">
        <is>
          <t>Block IP</t>
        </is>
      </c>
      <c r="M1915" t="inlineStr">
        <is>
          <t>Network perimeter / Email / Web</t>
        </is>
      </c>
      <c r="N1915" t="inlineStr">
        <is>
          <t>P3</t>
        </is>
      </c>
      <c r="O1915" t="inlineStr">
        <is>
          <t>Check ip-api.com + AbuseIPDB for context</t>
        </is>
      </c>
      <c r="P1915" t="n">
        <v>0</v>
      </c>
      <c r="Q1915" t="n">
        <v>0</v>
      </c>
      <c r="R1915" t="inlineStr">
        <is>
          <t>T1110:Brute Force | T1190:Exploit Public-Facing Application | T1566:Phishing</t>
        </is>
      </c>
      <c r="S1915" t="n">
        <v>1</v>
      </c>
      <c r="T1915" t="inlineStr">
        <is>
          <t>MEDIUM (60%)</t>
        </is>
      </c>
      <c r="U1915" t="inlineStr">
        <is>
          <t>NONE</t>
        </is>
      </c>
      <c r="V1915" t="inlineStr">
        <is>
          <t>NONE</t>
        </is>
      </c>
      <c r="W1915" t="inlineStr">
        <is>
          <t>NONE</t>
        </is>
      </c>
      <c r="X1915" t="inlineStr">
        <is>
          <t>NONE</t>
        </is>
      </c>
      <c r="Y1915" t="n">
        <v>0</v>
      </c>
      <c r="Z1915" t="inlineStr"/>
      <c r="AA1915" t="inlineStr">
        <is>
          <t>https://talosintelligence.com/reputation_center/lookup?search=1.15.22.112</t>
        </is>
      </c>
    </row>
    <row r="1916">
      <c r="A1916" t="inlineStr">
        <is>
          <t>TALOS_IP</t>
        </is>
      </c>
      <c r="B1916" t="inlineStr">
        <is>
          <t>77e9c106704e</t>
        </is>
      </c>
      <c r="C1916" t="inlineStr">
        <is>
          <t>Cisco Talos Blacklisted IP: 1.157.81.197 | Verified malicious | Sources: TALOS</t>
        </is>
      </c>
      <c r="D1916" t="n">
        <v>7</v>
      </c>
      <c r="E1916" t="inlineStr">
        <is>
          <t>HIGH</t>
        </is>
      </c>
      <c r="F1916" t="n">
        <v>3</v>
      </c>
      <c r="G1916" t="n">
        <v>2</v>
      </c>
      <c r="H1916" t="inlineStr">
        <is>
          <t>HIGH</t>
        </is>
      </c>
      <c r="I1916" t="n">
        <v>13</v>
      </c>
      <c r="J1916" t="inlineStr">
        <is>
          <t>NO</t>
        </is>
      </c>
      <c r="K1916" t="inlineStr">
        <is>
          <t>2026-02-26 00:15</t>
        </is>
      </c>
      <c r="L1916" t="inlineStr">
        <is>
          <t>Block IP</t>
        </is>
      </c>
      <c r="M1916" t="inlineStr">
        <is>
          <t>Network perimeter / Email / Web</t>
        </is>
      </c>
      <c r="N1916" t="inlineStr">
        <is>
          <t>P3</t>
        </is>
      </c>
      <c r="O1916" t="inlineStr">
        <is>
          <t>Check ip-api.com + AbuseIPDB for context</t>
        </is>
      </c>
      <c r="P1916" t="n">
        <v>0</v>
      </c>
      <c r="Q1916" t="n">
        <v>0</v>
      </c>
      <c r="R1916" t="inlineStr">
        <is>
          <t>T1110:Brute Force | T1190:Exploit Public-Facing Application | T1566:Phishing</t>
        </is>
      </c>
      <c r="S1916" t="n">
        <v>1</v>
      </c>
      <c r="T1916" t="inlineStr">
        <is>
          <t>MEDIUM (60%)</t>
        </is>
      </c>
      <c r="U1916" t="inlineStr">
        <is>
          <t>NONE</t>
        </is>
      </c>
      <c r="V1916" t="inlineStr">
        <is>
          <t>NONE</t>
        </is>
      </c>
      <c r="W1916" t="inlineStr">
        <is>
          <t>NONE</t>
        </is>
      </c>
      <c r="X1916" t="inlineStr">
        <is>
          <t>NONE</t>
        </is>
      </c>
      <c r="Y1916" t="n">
        <v>0</v>
      </c>
      <c r="Z1916" t="inlineStr"/>
      <c r="AA1916" t="inlineStr">
        <is>
          <t>https://talosintelligence.com/reputation_center/lookup?search=1.157.81.197</t>
        </is>
      </c>
    </row>
    <row r="1917">
      <c r="A1917" t="inlineStr">
        <is>
          <t>TALOS_IP</t>
        </is>
      </c>
      <c r="B1917" t="inlineStr">
        <is>
          <t>2fd8b650656f</t>
        </is>
      </c>
      <c r="C1917" t="inlineStr">
        <is>
          <t>Cisco Talos Blacklisted IP: 1.172.205.106 | Verified malicious | Sources: TALOS</t>
        </is>
      </c>
      <c r="D1917" t="n">
        <v>7</v>
      </c>
      <c r="E1917" t="inlineStr">
        <is>
          <t>HIGH</t>
        </is>
      </c>
      <c r="F1917" t="n">
        <v>3</v>
      </c>
      <c r="G1917" t="n">
        <v>2</v>
      </c>
      <c r="H1917" t="inlineStr">
        <is>
          <t>HIGH</t>
        </is>
      </c>
      <c r="I1917" t="n">
        <v>13</v>
      </c>
      <c r="J1917" t="inlineStr">
        <is>
          <t>NO</t>
        </is>
      </c>
      <c r="K1917" t="inlineStr">
        <is>
          <t>2026-02-26 00:15</t>
        </is>
      </c>
      <c r="L1917" t="inlineStr">
        <is>
          <t>Block IP</t>
        </is>
      </c>
      <c r="M1917" t="inlineStr">
        <is>
          <t>Network perimeter / Email / Web</t>
        </is>
      </c>
      <c r="N1917" t="inlineStr">
        <is>
          <t>P3</t>
        </is>
      </c>
      <c r="O1917" t="inlineStr">
        <is>
          <t>Check ip-api.com + AbuseIPDB for context</t>
        </is>
      </c>
      <c r="P1917" t="n">
        <v>0</v>
      </c>
      <c r="Q1917" t="n">
        <v>0</v>
      </c>
      <c r="R1917" t="inlineStr">
        <is>
          <t>T1110:Brute Force | T1190:Exploit Public-Facing Application | T1566:Phishing</t>
        </is>
      </c>
      <c r="S1917" t="n">
        <v>1</v>
      </c>
      <c r="T1917" t="inlineStr">
        <is>
          <t>MEDIUM (60%)</t>
        </is>
      </c>
      <c r="U1917" t="inlineStr">
        <is>
          <t>NONE</t>
        </is>
      </c>
      <c r="V1917" t="inlineStr">
        <is>
          <t>NONE</t>
        </is>
      </c>
      <c r="W1917" t="inlineStr">
        <is>
          <t>NONE</t>
        </is>
      </c>
      <c r="X1917" t="inlineStr">
        <is>
          <t>NONE</t>
        </is>
      </c>
      <c r="Y1917" t="n">
        <v>0</v>
      </c>
      <c r="Z1917" t="inlineStr"/>
      <c r="AA1917" t="inlineStr">
        <is>
          <t>https://talosintelligence.com/reputation_center/lookup?search=1.172.205.106</t>
        </is>
      </c>
    </row>
    <row r="1918">
      <c r="A1918" t="inlineStr">
        <is>
          <t>TALOS_IP</t>
        </is>
      </c>
      <c r="B1918" t="inlineStr">
        <is>
          <t>2dcd29bbf4c9</t>
        </is>
      </c>
      <c r="C1918" t="inlineStr">
        <is>
          <t>Cisco Talos Blacklisted IP: 1.177.162.2 | Verified malicious | Sources: TALOS</t>
        </is>
      </c>
      <c r="D1918" t="n">
        <v>7</v>
      </c>
      <c r="E1918" t="inlineStr">
        <is>
          <t>HIGH</t>
        </is>
      </c>
      <c r="F1918" t="n">
        <v>3</v>
      </c>
      <c r="G1918" t="n">
        <v>2</v>
      </c>
      <c r="H1918" t="inlineStr">
        <is>
          <t>HIGH</t>
        </is>
      </c>
      <c r="I1918" t="n">
        <v>13</v>
      </c>
      <c r="J1918" t="inlineStr">
        <is>
          <t>NO</t>
        </is>
      </c>
      <c r="K1918" t="inlineStr">
        <is>
          <t>2026-02-26 00:15</t>
        </is>
      </c>
      <c r="L1918" t="inlineStr">
        <is>
          <t>Block IP</t>
        </is>
      </c>
      <c r="M1918" t="inlineStr">
        <is>
          <t>Network perimeter / Email / Web</t>
        </is>
      </c>
      <c r="N1918" t="inlineStr">
        <is>
          <t>P3</t>
        </is>
      </c>
      <c r="O1918" t="inlineStr">
        <is>
          <t>Check ip-api.com + AbuseIPDB for context</t>
        </is>
      </c>
      <c r="P1918" t="n">
        <v>0</v>
      </c>
      <c r="Q1918" t="n">
        <v>0</v>
      </c>
      <c r="R1918" t="inlineStr">
        <is>
          <t>T1110:Brute Force | T1190:Exploit Public-Facing Application | T1566:Phishing</t>
        </is>
      </c>
      <c r="S1918" t="n">
        <v>1</v>
      </c>
      <c r="T1918" t="inlineStr">
        <is>
          <t>MEDIUM (60%)</t>
        </is>
      </c>
      <c r="U1918" t="inlineStr">
        <is>
          <t>NONE</t>
        </is>
      </c>
      <c r="V1918" t="inlineStr">
        <is>
          <t>NONE</t>
        </is>
      </c>
      <c r="W1918" t="inlineStr">
        <is>
          <t>NONE</t>
        </is>
      </c>
      <c r="X1918" t="inlineStr">
        <is>
          <t>NONE</t>
        </is>
      </c>
      <c r="Y1918" t="n">
        <v>0</v>
      </c>
      <c r="Z1918" t="inlineStr"/>
      <c r="AA1918" t="inlineStr">
        <is>
          <t>https://talosintelligence.com/reputation_center/lookup?search=1.177.162.2</t>
        </is>
      </c>
    </row>
    <row r="1919">
      <c r="A1919" t="inlineStr">
        <is>
          <t>TALOS_IP</t>
        </is>
      </c>
      <c r="B1919" t="inlineStr">
        <is>
          <t>f8a3d4a117d1</t>
        </is>
      </c>
      <c r="C1919" t="inlineStr">
        <is>
          <t>Cisco Talos Blacklisted IP: 1.188.102.135 | Verified malicious | Sources: TALOS</t>
        </is>
      </c>
      <c r="D1919" t="n">
        <v>7</v>
      </c>
      <c r="E1919" t="inlineStr">
        <is>
          <t>HIGH</t>
        </is>
      </c>
      <c r="F1919" t="n">
        <v>3</v>
      </c>
      <c r="G1919" t="n">
        <v>2</v>
      </c>
      <c r="H1919" t="inlineStr">
        <is>
          <t>HIGH</t>
        </is>
      </c>
      <c r="I1919" t="n">
        <v>13</v>
      </c>
      <c r="J1919" t="inlineStr">
        <is>
          <t>NO</t>
        </is>
      </c>
      <c r="K1919" t="inlineStr">
        <is>
          <t>2026-02-26 00:15</t>
        </is>
      </c>
      <c r="L1919" t="inlineStr">
        <is>
          <t>Block IP</t>
        </is>
      </c>
      <c r="M1919" t="inlineStr">
        <is>
          <t>Network perimeter / Email / Web</t>
        </is>
      </c>
      <c r="N1919" t="inlineStr">
        <is>
          <t>P3</t>
        </is>
      </c>
      <c r="O1919" t="inlineStr">
        <is>
          <t>Check ip-api.com + AbuseIPDB for context</t>
        </is>
      </c>
      <c r="P1919" t="n">
        <v>0</v>
      </c>
      <c r="Q1919" t="n">
        <v>0</v>
      </c>
      <c r="R1919" t="inlineStr">
        <is>
          <t>T1110:Brute Force | T1190:Exploit Public-Facing Application | T1566:Phishing</t>
        </is>
      </c>
      <c r="S1919" t="n">
        <v>1</v>
      </c>
      <c r="T1919" t="inlineStr">
        <is>
          <t>MEDIUM (60%)</t>
        </is>
      </c>
      <c r="U1919" t="inlineStr">
        <is>
          <t>NONE</t>
        </is>
      </c>
      <c r="V1919" t="inlineStr">
        <is>
          <t>NONE</t>
        </is>
      </c>
      <c r="W1919" t="inlineStr">
        <is>
          <t>NONE</t>
        </is>
      </c>
      <c r="X1919" t="inlineStr">
        <is>
          <t>NONE</t>
        </is>
      </c>
      <c r="Y1919" t="n">
        <v>0</v>
      </c>
      <c r="Z1919" t="inlineStr"/>
      <c r="AA1919" t="inlineStr">
        <is>
          <t>https://talosintelligence.com/reputation_center/lookup?search=1.188.102.135</t>
        </is>
      </c>
    </row>
    <row r="1920">
      <c r="A1920" t="inlineStr">
        <is>
          <t>TALOS_IP</t>
        </is>
      </c>
      <c r="B1920" t="inlineStr">
        <is>
          <t>26b1ef02ca90</t>
        </is>
      </c>
      <c r="C1920" t="inlineStr">
        <is>
          <t>Cisco Talos Blacklisted IP: 1.192.129.106 | Verified malicious | Sources: TALOS</t>
        </is>
      </c>
      <c r="D1920" t="n">
        <v>7</v>
      </c>
      <c r="E1920" t="inlineStr">
        <is>
          <t>HIGH</t>
        </is>
      </c>
      <c r="F1920" t="n">
        <v>3</v>
      </c>
      <c r="G1920" t="n">
        <v>2</v>
      </c>
      <c r="H1920" t="inlineStr">
        <is>
          <t>HIGH</t>
        </is>
      </c>
      <c r="I1920" t="n">
        <v>13</v>
      </c>
      <c r="J1920" t="inlineStr">
        <is>
          <t>NO</t>
        </is>
      </c>
      <c r="K1920" t="inlineStr">
        <is>
          <t>2026-02-26 00:15</t>
        </is>
      </c>
      <c r="L1920" t="inlineStr">
        <is>
          <t>Block IP</t>
        </is>
      </c>
      <c r="M1920" t="inlineStr">
        <is>
          <t>Network perimeter / Email / Web</t>
        </is>
      </c>
      <c r="N1920" t="inlineStr">
        <is>
          <t>P3</t>
        </is>
      </c>
      <c r="O1920" t="inlineStr">
        <is>
          <t>Check ip-api.com + AbuseIPDB for context</t>
        </is>
      </c>
      <c r="P1920" t="n">
        <v>0</v>
      </c>
      <c r="Q1920" t="n">
        <v>0</v>
      </c>
      <c r="R1920" t="inlineStr">
        <is>
          <t>T1110:Brute Force | T1190:Exploit Public-Facing Application | T1566:Phishing</t>
        </is>
      </c>
      <c r="S1920" t="n">
        <v>1</v>
      </c>
      <c r="T1920" t="inlineStr">
        <is>
          <t>MEDIUM (60%)</t>
        </is>
      </c>
      <c r="U1920" t="inlineStr">
        <is>
          <t>NONE</t>
        </is>
      </c>
      <c r="V1920" t="inlineStr">
        <is>
          <t>NONE</t>
        </is>
      </c>
      <c r="W1920" t="inlineStr">
        <is>
          <t>NONE</t>
        </is>
      </c>
      <c r="X1920" t="inlineStr">
        <is>
          <t>NONE</t>
        </is>
      </c>
      <c r="Y1920" t="n">
        <v>0</v>
      </c>
      <c r="Z1920" t="inlineStr"/>
      <c r="AA1920" t="inlineStr">
        <is>
          <t>https://talosintelligence.com/reputation_center/lookup?search=1.192.129.106</t>
        </is>
      </c>
    </row>
    <row r="1921">
      <c r="A1921" t="inlineStr">
        <is>
          <t>TALOS_IP</t>
        </is>
      </c>
      <c r="B1921" t="inlineStr">
        <is>
          <t>f67e6f1f894a</t>
        </is>
      </c>
      <c r="C1921" t="inlineStr">
        <is>
          <t>Cisco Talos Blacklisted IP: 1.192.21.22 | Verified malicious | Sources: TALOS</t>
        </is>
      </c>
      <c r="D1921" t="n">
        <v>7</v>
      </c>
      <c r="E1921" t="inlineStr">
        <is>
          <t>HIGH</t>
        </is>
      </c>
      <c r="F1921" t="n">
        <v>3</v>
      </c>
      <c r="G1921" t="n">
        <v>2</v>
      </c>
      <c r="H1921" t="inlineStr">
        <is>
          <t>HIGH</t>
        </is>
      </c>
      <c r="I1921" t="n">
        <v>13</v>
      </c>
      <c r="J1921" t="inlineStr">
        <is>
          <t>NO</t>
        </is>
      </c>
      <c r="K1921" t="inlineStr">
        <is>
          <t>2026-02-26 00:15</t>
        </is>
      </c>
      <c r="L1921" t="inlineStr">
        <is>
          <t>Block IP</t>
        </is>
      </c>
      <c r="M1921" t="inlineStr">
        <is>
          <t>Network perimeter / Email / Web</t>
        </is>
      </c>
      <c r="N1921" t="inlineStr">
        <is>
          <t>P3</t>
        </is>
      </c>
      <c r="O1921" t="inlineStr">
        <is>
          <t>Check ip-api.com + AbuseIPDB for context</t>
        </is>
      </c>
      <c r="P1921" t="n">
        <v>0</v>
      </c>
      <c r="Q1921" t="n">
        <v>0</v>
      </c>
      <c r="R1921" t="inlineStr">
        <is>
          <t>T1110:Brute Force | T1190:Exploit Public-Facing Application | T1566:Phishing</t>
        </is>
      </c>
      <c r="S1921" t="n">
        <v>1</v>
      </c>
      <c r="T1921" t="inlineStr">
        <is>
          <t>MEDIUM (60%)</t>
        </is>
      </c>
      <c r="U1921" t="inlineStr">
        <is>
          <t>NONE</t>
        </is>
      </c>
      <c r="V1921" t="inlineStr">
        <is>
          <t>NONE</t>
        </is>
      </c>
      <c r="W1921" t="inlineStr">
        <is>
          <t>NONE</t>
        </is>
      </c>
      <c r="X1921" t="inlineStr">
        <is>
          <t>NONE</t>
        </is>
      </c>
      <c r="Y1921" t="n">
        <v>0</v>
      </c>
      <c r="Z1921" t="inlineStr"/>
      <c r="AA1921" t="inlineStr">
        <is>
          <t>https://talosintelligence.com/reputation_center/lookup?search=1.192.21.22</t>
        </is>
      </c>
    </row>
    <row r="1922">
      <c r="A1922" t="inlineStr">
        <is>
          <t>TALOS_IP</t>
        </is>
      </c>
      <c r="B1922" t="inlineStr">
        <is>
          <t>29e7c0080b66</t>
        </is>
      </c>
      <c r="C1922" t="inlineStr">
        <is>
          <t>Cisco Talos Blacklisted IP: 1.192.3.139 | Verified malicious | Sources: TALOS</t>
        </is>
      </c>
      <c r="D1922" t="n">
        <v>7</v>
      </c>
      <c r="E1922" t="inlineStr">
        <is>
          <t>HIGH</t>
        </is>
      </c>
      <c r="F1922" t="n">
        <v>3</v>
      </c>
      <c r="G1922" t="n">
        <v>2</v>
      </c>
      <c r="H1922" t="inlineStr">
        <is>
          <t>HIGH</t>
        </is>
      </c>
      <c r="I1922" t="n">
        <v>13</v>
      </c>
      <c r="J1922" t="inlineStr">
        <is>
          <t>NO</t>
        </is>
      </c>
      <c r="K1922" t="inlineStr">
        <is>
          <t>2026-02-26 00:15</t>
        </is>
      </c>
      <c r="L1922" t="inlineStr">
        <is>
          <t>Block IP</t>
        </is>
      </c>
      <c r="M1922" t="inlineStr">
        <is>
          <t>Network perimeter / Email / Web</t>
        </is>
      </c>
      <c r="N1922" t="inlineStr">
        <is>
          <t>P3</t>
        </is>
      </c>
      <c r="O1922" t="inlineStr">
        <is>
          <t>Check ip-api.com + AbuseIPDB for context</t>
        </is>
      </c>
      <c r="P1922" t="n">
        <v>0</v>
      </c>
      <c r="Q1922" t="n">
        <v>0</v>
      </c>
      <c r="R1922" t="inlineStr">
        <is>
          <t>T1110:Brute Force | T1190:Exploit Public-Facing Application | T1566:Phishing</t>
        </is>
      </c>
      <c r="S1922" t="n">
        <v>1</v>
      </c>
      <c r="T1922" t="inlineStr">
        <is>
          <t>MEDIUM (60%)</t>
        </is>
      </c>
      <c r="U1922" t="inlineStr">
        <is>
          <t>NONE</t>
        </is>
      </c>
      <c r="V1922" t="inlineStr">
        <is>
          <t>NONE</t>
        </is>
      </c>
      <c r="W1922" t="inlineStr">
        <is>
          <t>NONE</t>
        </is>
      </c>
      <c r="X1922" t="inlineStr">
        <is>
          <t>NONE</t>
        </is>
      </c>
      <c r="Y1922" t="n">
        <v>0</v>
      </c>
      <c r="Z1922" t="inlineStr"/>
      <c r="AA1922" t="inlineStr">
        <is>
          <t>https://talosintelligence.com/reputation_center/lookup?search=1.192.3.139</t>
        </is>
      </c>
    </row>
    <row r="1923">
      <c r="A1923" t="inlineStr">
        <is>
          <t>TALOS_IP</t>
        </is>
      </c>
      <c r="B1923" t="inlineStr">
        <is>
          <t>ecb88cf966c1</t>
        </is>
      </c>
      <c r="C1923" t="inlineStr">
        <is>
          <t>Cisco Talos Blacklisted IP: 1.193.63.180 | Verified malicious | Sources: TALOS</t>
        </is>
      </c>
      <c r="D1923" t="n">
        <v>7</v>
      </c>
      <c r="E1923" t="inlineStr">
        <is>
          <t>HIGH</t>
        </is>
      </c>
      <c r="F1923" t="n">
        <v>3</v>
      </c>
      <c r="G1923" t="n">
        <v>2</v>
      </c>
      <c r="H1923" t="inlineStr">
        <is>
          <t>HIGH</t>
        </is>
      </c>
      <c r="I1923" t="n">
        <v>13</v>
      </c>
      <c r="J1923" t="inlineStr">
        <is>
          <t>NO</t>
        </is>
      </c>
      <c r="K1923" t="inlineStr">
        <is>
          <t>2026-02-26 00:15</t>
        </is>
      </c>
      <c r="L1923" t="inlineStr">
        <is>
          <t>Block IP</t>
        </is>
      </c>
      <c r="M1923" t="inlineStr">
        <is>
          <t>Network perimeter / Email / Web</t>
        </is>
      </c>
      <c r="N1923" t="inlineStr">
        <is>
          <t>P3</t>
        </is>
      </c>
      <c r="O1923" t="inlineStr">
        <is>
          <t>Check ip-api.com + AbuseIPDB for context</t>
        </is>
      </c>
      <c r="P1923" t="n">
        <v>0</v>
      </c>
      <c r="Q1923" t="n">
        <v>0</v>
      </c>
      <c r="R1923" t="inlineStr">
        <is>
          <t>T1110:Brute Force | T1190:Exploit Public-Facing Application | T1566:Phishing</t>
        </is>
      </c>
      <c r="S1923" t="n">
        <v>1</v>
      </c>
      <c r="T1923" t="inlineStr">
        <is>
          <t>MEDIUM (60%)</t>
        </is>
      </c>
      <c r="U1923" t="inlineStr">
        <is>
          <t>NONE</t>
        </is>
      </c>
      <c r="V1923" t="inlineStr">
        <is>
          <t>NONE</t>
        </is>
      </c>
      <c r="W1923" t="inlineStr">
        <is>
          <t>NONE</t>
        </is>
      </c>
      <c r="X1923" t="inlineStr">
        <is>
          <t>NONE</t>
        </is>
      </c>
      <c r="Y1923" t="n">
        <v>0</v>
      </c>
      <c r="Z1923" t="inlineStr"/>
      <c r="AA1923" t="inlineStr">
        <is>
          <t>https://talosintelligence.com/reputation_center/lookup?search=1.193.63.180</t>
        </is>
      </c>
    </row>
    <row r="1924">
      <c r="A1924" t="inlineStr">
        <is>
          <t>TALOS_IP</t>
        </is>
      </c>
      <c r="B1924" t="inlineStr">
        <is>
          <t>a1f79af10495</t>
        </is>
      </c>
      <c r="C1924" t="inlineStr">
        <is>
          <t>Cisco Talos Blacklisted IP: 1.193.63.9 | Verified malicious | Sources: TALOS</t>
        </is>
      </c>
      <c r="D1924" t="n">
        <v>7</v>
      </c>
      <c r="E1924" t="inlineStr">
        <is>
          <t>HIGH</t>
        </is>
      </c>
      <c r="F1924" t="n">
        <v>3</v>
      </c>
      <c r="G1924" t="n">
        <v>2</v>
      </c>
      <c r="H1924" t="inlineStr">
        <is>
          <t>HIGH</t>
        </is>
      </c>
      <c r="I1924" t="n">
        <v>13</v>
      </c>
      <c r="J1924" t="inlineStr">
        <is>
          <t>NO</t>
        </is>
      </c>
      <c r="K1924" t="inlineStr">
        <is>
          <t>2026-02-26 00:15</t>
        </is>
      </c>
      <c r="L1924" t="inlineStr">
        <is>
          <t>Block IP</t>
        </is>
      </c>
      <c r="M1924" t="inlineStr">
        <is>
          <t>Network perimeter / Email / Web</t>
        </is>
      </c>
      <c r="N1924" t="inlineStr">
        <is>
          <t>P3</t>
        </is>
      </c>
      <c r="O1924" t="inlineStr">
        <is>
          <t>Check ip-api.com + AbuseIPDB for context</t>
        </is>
      </c>
      <c r="P1924" t="n">
        <v>0</v>
      </c>
      <c r="Q1924" t="n">
        <v>0</v>
      </c>
      <c r="R1924" t="inlineStr">
        <is>
          <t>T1110:Brute Force | T1190:Exploit Public-Facing Application | T1566:Phishing</t>
        </is>
      </c>
      <c r="S1924" t="n">
        <v>1</v>
      </c>
      <c r="T1924" t="inlineStr">
        <is>
          <t>MEDIUM (60%)</t>
        </is>
      </c>
      <c r="U1924" t="inlineStr">
        <is>
          <t>NONE</t>
        </is>
      </c>
      <c r="V1924" t="inlineStr">
        <is>
          <t>NONE</t>
        </is>
      </c>
      <c r="W1924" t="inlineStr">
        <is>
          <t>NONE</t>
        </is>
      </c>
      <c r="X1924" t="inlineStr">
        <is>
          <t>NONE</t>
        </is>
      </c>
      <c r="Y1924" t="n">
        <v>0</v>
      </c>
      <c r="Z1924" t="inlineStr"/>
      <c r="AA1924" t="inlineStr">
        <is>
          <t>https://talosintelligence.com/reputation_center/lookup?search=1.193.63.9</t>
        </is>
      </c>
    </row>
    <row r="1925">
      <c r="A1925" t="inlineStr">
        <is>
          <t>TALOS_IP</t>
        </is>
      </c>
      <c r="B1925" t="inlineStr">
        <is>
          <t>af8f50773166</t>
        </is>
      </c>
      <c r="C1925" t="inlineStr">
        <is>
          <t>Cisco Talos Blacklisted IP: 1.197.46.11 | Verified malicious | Sources: TALOS</t>
        </is>
      </c>
      <c r="D1925" t="n">
        <v>7</v>
      </c>
      <c r="E1925" t="inlineStr">
        <is>
          <t>HIGH</t>
        </is>
      </c>
      <c r="F1925" t="n">
        <v>3</v>
      </c>
      <c r="G1925" t="n">
        <v>2</v>
      </c>
      <c r="H1925" t="inlineStr">
        <is>
          <t>HIGH</t>
        </is>
      </c>
      <c r="I1925" t="n">
        <v>13</v>
      </c>
      <c r="J1925" t="inlineStr">
        <is>
          <t>NO</t>
        </is>
      </c>
      <c r="K1925" t="inlineStr">
        <is>
          <t>2026-02-26 00:15</t>
        </is>
      </c>
      <c r="L1925" t="inlineStr">
        <is>
          <t>Block IP</t>
        </is>
      </c>
      <c r="M1925" t="inlineStr">
        <is>
          <t>Network perimeter / Email / Web</t>
        </is>
      </c>
      <c r="N1925" t="inlineStr">
        <is>
          <t>P3</t>
        </is>
      </c>
      <c r="O1925" t="inlineStr">
        <is>
          <t>Check ip-api.com + AbuseIPDB for context</t>
        </is>
      </c>
      <c r="P1925" t="n">
        <v>0</v>
      </c>
      <c r="Q1925" t="n">
        <v>0</v>
      </c>
      <c r="R1925" t="inlineStr">
        <is>
          <t>T1110:Brute Force | T1190:Exploit Public-Facing Application | T1566:Phishing</t>
        </is>
      </c>
      <c r="S1925" t="n">
        <v>1</v>
      </c>
      <c r="T1925" t="inlineStr">
        <is>
          <t>MEDIUM (60%)</t>
        </is>
      </c>
      <c r="U1925" t="inlineStr">
        <is>
          <t>NONE</t>
        </is>
      </c>
      <c r="V1925" t="inlineStr">
        <is>
          <t>NONE</t>
        </is>
      </c>
      <c r="W1925" t="inlineStr">
        <is>
          <t>NONE</t>
        </is>
      </c>
      <c r="X1925" t="inlineStr">
        <is>
          <t>NONE</t>
        </is>
      </c>
      <c r="Y1925" t="n">
        <v>0</v>
      </c>
      <c r="Z1925" t="inlineStr"/>
      <c r="AA1925" t="inlineStr">
        <is>
          <t>https://talosintelligence.com/reputation_center/lookup?search=1.197.46.11</t>
        </is>
      </c>
    </row>
    <row r="1926">
      <c r="A1926" t="inlineStr">
        <is>
          <t>TALOS_IP</t>
        </is>
      </c>
      <c r="B1926" t="inlineStr">
        <is>
          <t>91a367098d84</t>
        </is>
      </c>
      <c r="C1926" t="inlineStr">
        <is>
          <t>Cisco Talos Blacklisted IP: 1.197.59.220 | Verified malicious | Sources: TALOS</t>
        </is>
      </c>
      <c r="D1926" t="n">
        <v>7</v>
      </c>
      <c r="E1926" t="inlineStr">
        <is>
          <t>HIGH</t>
        </is>
      </c>
      <c r="F1926" t="n">
        <v>3</v>
      </c>
      <c r="G1926" t="n">
        <v>2</v>
      </c>
      <c r="H1926" t="inlineStr">
        <is>
          <t>HIGH</t>
        </is>
      </c>
      <c r="I1926" t="n">
        <v>13</v>
      </c>
      <c r="J1926" t="inlineStr">
        <is>
          <t>NO</t>
        </is>
      </c>
      <c r="K1926" t="inlineStr">
        <is>
          <t>2026-02-26 00:15</t>
        </is>
      </c>
      <c r="L1926" t="inlineStr">
        <is>
          <t>Block IP</t>
        </is>
      </c>
      <c r="M1926" t="inlineStr">
        <is>
          <t>Network perimeter / Email / Web</t>
        </is>
      </c>
      <c r="N1926" t="inlineStr">
        <is>
          <t>P3</t>
        </is>
      </c>
      <c r="O1926" t="inlineStr">
        <is>
          <t>Check ip-api.com + AbuseIPDB for context</t>
        </is>
      </c>
      <c r="P1926" t="n">
        <v>0</v>
      </c>
      <c r="Q1926" t="n">
        <v>0</v>
      </c>
      <c r="R1926" t="inlineStr">
        <is>
          <t>T1110:Brute Force | T1190:Exploit Public-Facing Application | T1566:Phishing</t>
        </is>
      </c>
      <c r="S1926" t="n">
        <v>1</v>
      </c>
      <c r="T1926" t="inlineStr">
        <is>
          <t>MEDIUM (60%)</t>
        </is>
      </c>
      <c r="U1926" t="inlineStr">
        <is>
          <t>NONE</t>
        </is>
      </c>
      <c r="V1926" t="inlineStr">
        <is>
          <t>NONE</t>
        </is>
      </c>
      <c r="W1926" t="inlineStr">
        <is>
          <t>NONE</t>
        </is>
      </c>
      <c r="X1926" t="inlineStr">
        <is>
          <t>NONE</t>
        </is>
      </c>
      <c r="Y1926" t="n">
        <v>0</v>
      </c>
      <c r="Z1926" t="inlineStr"/>
      <c r="AA1926" t="inlineStr">
        <is>
          <t>https://talosintelligence.com/reputation_center/lookup?search=1.197.59.220</t>
        </is>
      </c>
    </row>
    <row r="1927">
      <c r="A1927" t="inlineStr">
        <is>
          <t>TALOS_IP</t>
        </is>
      </c>
      <c r="B1927" t="inlineStr">
        <is>
          <t>f9ed7dcf18b1</t>
        </is>
      </c>
      <c r="C1927" t="inlineStr">
        <is>
          <t>Cisco Talos Blacklisted IP: 1.20.93.92 | Verified malicious | Sources: TALOS</t>
        </is>
      </c>
      <c r="D1927" t="n">
        <v>7</v>
      </c>
      <c r="E1927" t="inlineStr">
        <is>
          <t>HIGH</t>
        </is>
      </c>
      <c r="F1927" t="n">
        <v>3</v>
      </c>
      <c r="G1927" t="n">
        <v>2</v>
      </c>
      <c r="H1927" t="inlineStr">
        <is>
          <t>HIGH</t>
        </is>
      </c>
      <c r="I1927" t="n">
        <v>13</v>
      </c>
      <c r="J1927" t="inlineStr">
        <is>
          <t>NO</t>
        </is>
      </c>
      <c r="K1927" t="inlineStr">
        <is>
          <t>2026-02-26 00:15</t>
        </is>
      </c>
      <c r="L1927" t="inlineStr">
        <is>
          <t>Block IP</t>
        </is>
      </c>
      <c r="M1927" t="inlineStr">
        <is>
          <t>Network perimeter / Email / Web</t>
        </is>
      </c>
      <c r="N1927" t="inlineStr">
        <is>
          <t>P3</t>
        </is>
      </c>
      <c r="O1927" t="inlineStr">
        <is>
          <t>Check ip-api.com + AbuseIPDB for context</t>
        </is>
      </c>
      <c r="P1927" t="n">
        <v>0</v>
      </c>
      <c r="Q1927" t="n">
        <v>0</v>
      </c>
      <c r="R1927" t="inlineStr">
        <is>
          <t>T1110:Brute Force | T1190:Exploit Public-Facing Application | T1566:Phishing</t>
        </is>
      </c>
      <c r="S1927" t="n">
        <v>1</v>
      </c>
      <c r="T1927" t="inlineStr">
        <is>
          <t>MEDIUM (60%)</t>
        </is>
      </c>
      <c r="U1927" t="inlineStr">
        <is>
          <t>NONE</t>
        </is>
      </c>
      <c r="V1927" t="inlineStr">
        <is>
          <t>NONE</t>
        </is>
      </c>
      <c r="W1927" t="inlineStr">
        <is>
          <t>NONE</t>
        </is>
      </c>
      <c r="X1927" t="inlineStr">
        <is>
          <t>NONE</t>
        </is>
      </c>
      <c r="Y1927" t="n">
        <v>0</v>
      </c>
      <c r="Z1927" t="inlineStr"/>
      <c r="AA1927" t="inlineStr">
        <is>
          <t>https://talosintelligence.com/reputation_center/lookup?search=1.20.93.92</t>
        </is>
      </c>
    </row>
    <row r="1928">
      <c r="A1928" t="inlineStr">
        <is>
          <t>TALOS_IP</t>
        </is>
      </c>
      <c r="B1928" t="inlineStr">
        <is>
          <t>8d3b91712ecd</t>
        </is>
      </c>
      <c r="C1928" t="inlineStr">
        <is>
          <t>Cisco Talos Blacklisted IP: 1.2.164.108 | Verified malicious | Sources: TALOS</t>
        </is>
      </c>
      <c r="D1928" t="n">
        <v>7</v>
      </c>
      <c r="E1928" t="inlineStr">
        <is>
          <t>HIGH</t>
        </is>
      </c>
      <c r="F1928" t="n">
        <v>3</v>
      </c>
      <c r="G1928" t="n">
        <v>2</v>
      </c>
      <c r="H1928" t="inlineStr">
        <is>
          <t>HIGH</t>
        </is>
      </c>
      <c r="I1928" t="n">
        <v>13</v>
      </c>
      <c r="J1928" t="inlineStr">
        <is>
          <t>NO</t>
        </is>
      </c>
      <c r="K1928" t="inlineStr">
        <is>
          <t>2026-02-26 00:15</t>
        </is>
      </c>
      <c r="L1928" t="inlineStr">
        <is>
          <t>Block IP</t>
        </is>
      </c>
      <c r="M1928" t="inlineStr">
        <is>
          <t>Network perimeter / Email / Web</t>
        </is>
      </c>
      <c r="N1928" t="inlineStr">
        <is>
          <t>P3</t>
        </is>
      </c>
      <c r="O1928" t="inlineStr">
        <is>
          <t>Check ip-api.com + AbuseIPDB for context</t>
        </is>
      </c>
      <c r="P1928" t="n">
        <v>0</v>
      </c>
      <c r="Q1928" t="n">
        <v>0</v>
      </c>
      <c r="R1928" t="inlineStr">
        <is>
          <t>T1110:Brute Force | T1190:Exploit Public-Facing Application | T1566:Phishing</t>
        </is>
      </c>
      <c r="S1928" t="n">
        <v>1</v>
      </c>
      <c r="T1928" t="inlineStr">
        <is>
          <t>MEDIUM (60%)</t>
        </is>
      </c>
      <c r="U1928" t="inlineStr">
        <is>
          <t>NONE</t>
        </is>
      </c>
      <c r="V1928" t="inlineStr">
        <is>
          <t>NONE</t>
        </is>
      </c>
      <c r="W1928" t="inlineStr">
        <is>
          <t>NONE</t>
        </is>
      </c>
      <c r="X1928" t="inlineStr">
        <is>
          <t>NONE</t>
        </is>
      </c>
      <c r="Y1928" t="n">
        <v>0</v>
      </c>
      <c r="Z1928" t="inlineStr"/>
      <c r="AA1928" t="inlineStr">
        <is>
          <t>https://talosintelligence.com/reputation_center/lookup?search=1.2.164.108</t>
        </is>
      </c>
    </row>
    <row r="1929">
      <c r="A1929" t="inlineStr">
        <is>
          <t>TALOS_IP</t>
        </is>
      </c>
      <c r="B1929" t="inlineStr">
        <is>
          <t>e2824185e33a</t>
        </is>
      </c>
      <c r="C1929" t="inlineStr">
        <is>
          <t>Cisco Talos Blacklisted IP: 1.203.97.227 | Verified malicious | Sources: TALOS</t>
        </is>
      </c>
      <c r="D1929" t="n">
        <v>7</v>
      </c>
      <c r="E1929" t="inlineStr">
        <is>
          <t>HIGH</t>
        </is>
      </c>
      <c r="F1929" t="n">
        <v>3</v>
      </c>
      <c r="G1929" t="n">
        <v>2</v>
      </c>
      <c r="H1929" t="inlineStr">
        <is>
          <t>HIGH</t>
        </is>
      </c>
      <c r="I1929" t="n">
        <v>13</v>
      </c>
      <c r="J1929" t="inlineStr">
        <is>
          <t>NO</t>
        </is>
      </c>
      <c r="K1929" t="inlineStr">
        <is>
          <t>2026-02-26 00:15</t>
        </is>
      </c>
      <c r="L1929" t="inlineStr">
        <is>
          <t>Block IP</t>
        </is>
      </c>
      <c r="M1929" t="inlineStr">
        <is>
          <t>Network perimeter / Email / Web</t>
        </is>
      </c>
      <c r="N1929" t="inlineStr">
        <is>
          <t>P3</t>
        </is>
      </c>
      <c r="O1929" t="inlineStr">
        <is>
          <t>Check ip-api.com + AbuseIPDB for context</t>
        </is>
      </c>
      <c r="P1929" t="n">
        <v>0</v>
      </c>
      <c r="Q1929" t="n">
        <v>0</v>
      </c>
      <c r="R1929" t="inlineStr">
        <is>
          <t>T1110:Brute Force | T1190:Exploit Public-Facing Application | T1566:Phishing</t>
        </is>
      </c>
      <c r="S1929" t="n">
        <v>1</v>
      </c>
      <c r="T1929" t="inlineStr">
        <is>
          <t>MEDIUM (60%)</t>
        </is>
      </c>
      <c r="U1929" t="inlineStr">
        <is>
          <t>NONE</t>
        </is>
      </c>
      <c r="V1929" t="inlineStr">
        <is>
          <t>NONE</t>
        </is>
      </c>
      <c r="W1929" t="inlineStr">
        <is>
          <t>NONE</t>
        </is>
      </c>
      <c r="X1929" t="inlineStr">
        <is>
          <t>NONE</t>
        </is>
      </c>
      <c r="Y1929" t="n">
        <v>0</v>
      </c>
      <c r="Z1929" t="inlineStr"/>
      <c r="AA1929" t="inlineStr">
        <is>
          <t>https://talosintelligence.com/reputation_center/lookup?search=1.203.97.227</t>
        </is>
      </c>
    </row>
    <row r="1930">
      <c r="A1930" t="inlineStr">
        <is>
          <t>TALOS_IP</t>
        </is>
      </c>
      <c r="B1930" t="inlineStr">
        <is>
          <t>b8b92207ea43</t>
        </is>
      </c>
      <c r="C1930" t="inlineStr">
        <is>
          <t>Cisco Talos Blacklisted IP: 1.213.196.20 | Verified malicious | Sources: TALOS</t>
        </is>
      </c>
      <c r="D1930" t="n">
        <v>7</v>
      </c>
      <c r="E1930" t="inlineStr">
        <is>
          <t>HIGH</t>
        </is>
      </c>
      <c r="F1930" t="n">
        <v>3</v>
      </c>
      <c r="G1930" t="n">
        <v>2</v>
      </c>
      <c r="H1930" t="inlineStr">
        <is>
          <t>HIGH</t>
        </is>
      </c>
      <c r="I1930" t="n">
        <v>13</v>
      </c>
      <c r="J1930" t="inlineStr">
        <is>
          <t>NO</t>
        </is>
      </c>
      <c r="K1930" t="inlineStr">
        <is>
          <t>2026-02-26 00:15</t>
        </is>
      </c>
      <c r="L1930" t="inlineStr">
        <is>
          <t>Block IP</t>
        </is>
      </c>
      <c r="M1930" t="inlineStr">
        <is>
          <t>Network perimeter / Email / Web</t>
        </is>
      </c>
      <c r="N1930" t="inlineStr">
        <is>
          <t>P3</t>
        </is>
      </c>
      <c r="O1930" t="inlineStr">
        <is>
          <t>Check ip-api.com + AbuseIPDB for context</t>
        </is>
      </c>
      <c r="P1930" t="n">
        <v>0</v>
      </c>
      <c r="Q1930" t="n">
        <v>0</v>
      </c>
      <c r="R1930" t="inlineStr">
        <is>
          <t>T1110:Brute Force | T1190:Exploit Public-Facing Application | T1566:Phishing</t>
        </is>
      </c>
      <c r="S1930" t="n">
        <v>1</v>
      </c>
      <c r="T1930" t="inlineStr">
        <is>
          <t>MEDIUM (60%)</t>
        </is>
      </c>
      <c r="U1930" t="inlineStr">
        <is>
          <t>NONE</t>
        </is>
      </c>
      <c r="V1930" t="inlineStr">
        <is>
          <t>NONE</t>
        </is>
      </c>
      <c r="W1930" t="inlineStr">
        <is>
          <t>NONE</t>
        </is>
      </c>
      <c r="X1930" t="inlineStr">
        <is>
          <t>NONE</t>
        </is>
      </c>
      <c r="Y1930" t="n">
        <v>0</v>
      </c>
      <c r="Z1930" t="inlineStr"/>
      <c r="AA1930" t="inlineStr">
        <is>
          <t>https://talosintelligence.com/reputation_center/lookup?search=1.213.196.20</t>
        </is>
      </c>
    </row>
    <row r="1931">
      <c r="A1931" t="inlineStr">
        <is>
          <t>TALOS_IP</t>
        </is>
      </c>
      <c r="B1931" t="inlineStr">
        <is>
          <t>7e1448079186</t>
        </is>
      </c>
      <c r="C1931" t="inlineStr">
        <is>
          <t>Cisco Talos Blacklisted IP: 1.213.214.233 | Verified malicious | Sources: TALOS</t>
        </is>
      </c>
      <c r="D1931" t="n">
        <v>7</v>
      </c>
      <c r="E1931" t="inlineStr">
        <is>
          <t>HIGH</t>
        </is>
      </c>
      <c r="F1931" t="n">
        <v>3</v>
      </c>
      <c r="G1931" t="n">
        <v>2</v>
      </c>
      <c r="H1931" t="inlineStr">
        <is>
          <t>HIGH</t>
        </is>
      </c>
      <c r="I1931" t="n">
        <v>13</v>
      </c>
      <c r="J1931" t="inlineStr">
        <is>
          <t>NO</t>
        </is>
      </c>
      <c r="K1931" t="inlineStr">
        <is>
          <t>2026-02-26 00:15</t>
        </is>
      </c>
      <c r="L1931" t="inlineStr">
        <is>
          <t>Block IP</t>
        </is>
      </c>
      <c r="M1931" t="inlineStr">
        <is>
          <t>Network perimeter / Email / Web</t>
        </is>
      </c>
      <c r="N1931" t="inlineStr">
        <is>
          <t>P3</t>
        </is>
      </c>
      <c r="O1931" t="inlineStr">
        <is>
          <t>Check ip-api.com + AbuseIPDB for context</t>
        </is>
      </c>
      <c r="P1931" t="n">
        <v>0</v>
      </c>
      <c r="Q1931" t="n">
        <v>0</v>
      </c>
      <c r="R1931" t="inlineStr">
        <is>
          <t>T1110:Brute Force | T1190:Exploit Public-Facing Application | T1566:Phishing</t>
        </is>
      </c>
      <c r="S1931" t="n">
        <v>1</v>
      </c>
      <c r="T1931" t="inlineStr">
        <is>
          <t>MEDIUM (60%)</t>
        </is>
      </c>
      <c r="U1931" t="inlineStr">
        <is>
          <t>NONE</t>
        </is>
      </c>
      <c r="V1931" t="inlineStr">
        <is>
          <t>NONE</t>
        </is>
      </c>
      <c r="W1931" t="inlineStr">
        <is>
          <t>NONE</t>
        </is>
      </c>
      <c r="X1931" t="inlineStr">
        <is>
          <t>NONE</t>
        </is>
      </c>
      <c r="Y1931" t="n">
        <v>0</v>
      </c>
      <c r="Z1931" t="inlineStr"/>
      <c r="AA1931" t="inlineStr">
        <is>
          <t>https://talosintelligence.com/reputation_center/lookup?search=1.213.214.233</t>
        </is>
      </c>
    </row>
    <row r="1932">
      <c r="A1932" t="inlineStr">
        <is>
          <t>TALOS_IP</t>
        </is>
      </c>
      <c r="B1932" t="inlineStr">
        <is>
          <t>a0d989b54343</t>
        </is>
      </c>
      <c r="C1932" t="inlineStr">
        <is>
          <t>Cisco Talos Blacklisted IP: 1.215.138.43 | Verified malicious | Sources: TALOS</t>
        </is>
      </c>
      <c r="D1932" t="n">
        <v>7</v>
      </c>
      <c r="E1932" t="inlineStr">
        <is>
          <t>HIGH</t>
        </is>
      </c>
      <c r="F1932" t="n">
        <v>3</v>
      </c>
      <c r="G1932" t="n">
        <v>2</v>
      </c>
      <c r="H1932" t="inlineStr">
        <is>
          <t>HIGH</t>
        </is>
      </c>
      <c r="I1932" t="n">
        <v>13</v>
      </c>
      <c r="J1932" t="inlineStr">
        <is>
          <t>NO</t>
        </is>
      </c>
      <c r="K1932" t="inlineStr">
        <is>
          <t>2026-02-26 00:15</t>
        </is>
      </c>
      <c r="L1932" t="inlineStr">
        <is>
          <t>Block IP</t>
        </is>
      </c>
      <c r="M1932" t="inlineStr">
        <is>
          <t>Network perimeter / Email / Web</t>
        </is>
      </c>
      <c r="N1932" t="inlineStr">
        <is>
          <t>P3</t>
        </is>
      </c>
      <c r="O1932" t="inlineStr">
        <is>
          <t>Check ip-api.com + AbuseIPDB for context</t>
        </is>
      </c>
      <c r="P1932" t="n">
        <v>0</v>
      </c>
      <c r="Q1932" t="n">
        <v>0</v>
      </c>
      <c r="R1932" t="inlineStr">
        <is>
          <t>T1110:Brute Force | T1190:Exploit Public-Facing Application | T1566:Phishing</t>
        </is>
      </c>
      <c r="S1932" t="n">
        <v>1</v>
      </c>
      <c r="T1932" t="inlineStr">
        <is>
          <t>MEDIUM (60%)</t>
        </is>
      </c>
      <c r="U1932" t="inlineStr">
        <is>
          <t>NONE</t>
        </is>
      </c>
      <c r="V1932" t="inlineStr">
        <is>
          <t>NONE</t>
        </is>
      </c>
      <c r="W1932" t="inlineStr">
        <is>
          <t>NONE</t>
        </is>
      </c>
      <c r="X1932" t="inlineStr">
        <is>
          <t>NONE</t>
        </is>
      </c>
      <c r="Y1932" t="n">
        <v>0</v>
      </c>
      <c r="Z1932" t="inlineStr"/>
      <c r="AA1932" t="inlineStr">
        <is>
          <t>https://talosintelligence.com/reputation_center/lookup?search=1.215.138.43</t>
        </is>
      </c>
    </row>
    <row r="1933">
      <c r="A1933" t="inlineStr">
        <is>
          <t>TALOS_IP</t>
        </is>
      </c>
      <c r="B1933" t="inlineStr">
        <is>
          <t>8300ed1e8614</t>
        </is>
      </c>
      <c r="C1933" t="inlineStr">
        <is>
          <t>Cisco Talos Blacklisted IP: 1.24.16.103 | Verified malicious | Sources: TALOS</t>
        </is>
      </c>
      <c r="D1933" t="n">
        <v>7</v>
      </c>
      <c r="E1933" t="inlineStr">
        <is>
          <t>HIGH</t>
        </is>
      </c>
      <c r="F1933" t="n">
        <v>3</v>
      </c>
      <c r="G1933" t="n">
        <v>2</v>
      </c>
      <c r="H1933" t="inlineStr">
        <is>
          <t>HIGH</t>
        </is>
      </c>
      <c r="I1933" t="n">
        <v>13</v>
      </c>
      <c r="J1933" t="inlineStr">
        <is>
          <t>NO</t>
        </is>
      </c>
      <c r="K1933" t="inlineStr">
        <is>
          <t>2026-02-26 00:15</t>
        </is>
      </c>
      <c r="L1933" t="inlineStr">
        <is>
          <t>Block IP</t>
        </is>
      </c>
      <c r="M1933" t="inlineStr">
        <is>
          <t>Network perimeter / Email / Web</t>
        </is>
      </c>
      <c r="N1933" t="inlineStr">
        <is>
          <t>P3</t>
        </is>
      </c>
      <c r="O1933" t="inlineStr">
        <is>
          <t>Check ip-api.com + AbuseIPDB for context</t>
        </is>
      </c>
      <c r="P1933" t="n">
        <v>0</v>
      </c>
      <c r="Q1933" t="n">
        <v>0</v>
      </c>
      <c r="R1933" t="inlineStr">
        <is>
          <t>T1110:Brute Force | T1190:Exploit Public-Facing Application | T1566:Phishing</t>
        </is>
      </c>
      <c r="S1933" t="n">
        <v>1</v>
      </c>
      <c r="T1933" t="inlineStr">
        <is>
          <t>MEDIUM (60%)</t>
        </is>
      </c>
      <c r="U1933" t="inlineStr">
        <is>
          <t>NONE</t>
        </is>
      </c>
      <c r="V1933" t="inlineStr">
        <is>
          <t>NONE</t>
        </is>
      </c>
      <c r="W1933" t="inlineStr">
        <is>
          <t>NONE</t>
        </is>
      </c>
      <c r="X1933" t="inlineStr">
        <is>
          <t>NONE</t>
        </is>
      </c>
      <c r="Y1933" t="n">
        <v>0</v>
      </c>
      <c r="Z1933" t="inlineStr"/>
      <c r="AA1933" t="inlineStr">
        <is>
          <t>https://talosintelligence.com/reputation_center/lookup?search=1.24.16.103</t>
        </is>
      </c>
    </row>
    <row r="1934">
      <c r="A1934" t="inlineStr">
        <is>
          <t>TALOS_IP</t>
        </is>
      </c>
      <c r="B1934" t="inlineStr">
        <is>
          <t>015abd9a7678</t>
        </is>
      </c>
      <c r="C1934" t="inlineStr">
        <is>
          <t>Cisco Talos Blacklisted IP: 1.24.16.107 | Verified malicious | Sources: TALOS</t>
        </is>
      </c>
      <c r="D1934" t="n">
        <v>7</v>
      </c>
      <c r="E1934" t="inlineStr">
        <is>
          <t>HIGH</t>
        </is>
      </c>
      <c r="F1934" t="n">
        <v>3</v>
      </c>
      <c r="G1934" t="n">
        <v>2</v>
      </c>
      <c r="H1934" t="inlineStr">
        <is>
          <t>HIGH</t>
        </is>
      </c>
      <c r="I1934" t="n">
        <v>13</v>
      </c>
      <c r="J1934" t="inlineStr">
        <is>
          <t>NO</t>
        </is>
      </c>
      <c r="K1934" t="inlineStr">
        <is>
          <t>2026-02-26 00:15</t>
        </is>
      </c>
      <c r="L1934" t="inlineStr">
        <is>
          <t>Block IP</t>
        </is>
      </c>
      <c r="M1934" t="inlineStr">
        <is>
          <t>Network perimeter / Email / Web</t>
        </is>
      </c>
      <c r="N1934" t="inlineStr">
        <is>
          <t>P3</t>
        </is>
      </c>
      <c r="O1934" t="inlineStr">
        <is>
          <t>Check ip-api.com + AbuseIPDB for context</t>
        </is>
      </c>
      <c r="P1934" t="n">
        <v>0</v>
      </c>
      <c r="Q1934" t="n">
        <v>0</v>
      </c>
      <c r="R1934" t="inlineStr">
        <is>
          <t>T1110:Brute Force | T1190:Exploit Public-Facing Application | T1566:Phishing</t>
        </is>
      </c>
      <c r="S1934" t="n">
        <v>1</v>
      </c>
      <c r="T1934" t="inlineStr">
        <is>
          <t>MEDIUM (60%)</t>
        </is>
      </c>
      <c r="U1934" t="inlineStr">
        <is>
          <t>NONE</t>
        </is>
      </c>
      <c r="V1934" t="inlineStr">
        <is>
          <t>NONE</t>
        </is>
      </c>
      <c r="W1934" t="inlineStr">
        <is>
          <t>NONE</t>
        </is>
      </c>
      <c r="X1934" t="inlineStr">
        <is>
          <t>NONE</t>
        </is>
      </c>
      <c r="Y1934" t="n">
        <v>0</v>
      </c>
      <c r="Z1934" t="inlineStr"/>
      <c r="AA1934" t="inlineStr">
        <is>
          <t>https://talosintelligence.com/reputation_center/lookup?search=1.24.16.107</t>
        </is>
      </c>
    </row>
    <row r="1935">
      <c r="A1935" t="inlineStr">
        <is>
          <t>TALOS_IP</t>
        </is>
      </c>
      <c r="B1935" t="inlineStr">
        <is>
          <t>b803d2e10ab5</t>
        </is>
      </c>
      <c r="C1935" t="inlineStr">
        <is>
          <t>Cisco Talos Blacklisted IP: 1.24.16.109 | Verified malicious | Sources: TALOS</t>
        </is>
      </c>
      <c r="D1935" t="n">
        <v>7</v>
      </c>
      <c r="E1935" t="inlineStr">
        <is>
          <t>HIGH</t>
        </is>
      </c>
      <c r="F1935" t="n">
        <v>3</v>
      </c>
      <c r="G1935" t="n">
        <v>2</v>
      </c>
      <c r="H1935" t="inlineStr">
        <is>
          <t>HIGH</t>
        </is>
      </c>
      <c r="I1935" t="n">
        <v>13</v>
      </c>
      <c r="J1935" t="inlineStr">
        <is>
          <t>NO</t>
        </is>
      </c>
      <c r="K1935" t="inlineStr">
        <is>
          <t>2026-02-26 00:15</t>
        </is>
      </c>
      <c r="L1935" t="inlineStr">
        <is>
          <t>Block IP</t>
        </is>
      </c>
      <c r="M1935" t="inlineStr">
        <is>
          <t>Network perimeter / Email / Web</t>
        </is>
      </c>
      <c r="N1935" t="inlineStr">
        <is>
          <t>P3</t>
        </is>
      </c>
      <c r="O1935" t="inlineStr">
        <is>
          <t>Check ip-api.com + AbuseIPDB for context</t>
        </is>
      </c>
      <c r="P1935" t="n">
        <v>0</v>
      </c>
      <c r="Q1935" t="n">
        <v>0</v>
      </c>
      <c r="R1935" t="inlineStr">
        <is>
          <t>T1110:Brute Force | T1190:Exploit Public-Facing Application | T1566:Phishing</t>
        </is>
      </c>
      <c r="S1935" t="n">
        <v>1</v>
      </c>
      <c r="T1935" t="inlineStr">
        <is>
          <t>MEDIUM (60%)</t>
        </is>
      </c>
      <c r="U1935" t="inlineStr">
        <is>
          <t>NONE</t>
        </is>
      </c>
      <c r="V1935" t="inlineStr">
        <is>
          <t>NONE</t>
        </is>
      </c>
      <c r="W1935" t="inlineStr">
        <is>
          <t>NONE</t>
        </is>
      </c>
      <c r="X1935" t="inlineStr">
        <is>
          <t>NONE</t>
        </is>
      </c>
      <c r="Y1935" t="n">
        <v>0</v>
      </c>
      <c r="Z1935" t="inlineStr"/>
      <c r="AA1935" t="inlineStr">
        <is>
          <t>https://talosintelligence.com/reputation_center/lookup?search=1.24.16.109</t>
        </is>
      </c>
    </row>
    <row r="1936">
      <c r="A1936" t="inlineStr">
        <is>
          <t>TALOS_IP</t>
        </is>
      </c>
      <c r="B1936" t="inlineStr">
        <is>
          <t>44a96359c6ae</t>
        </is>
      </c>
      <c r="C1936" t="inlineStr">
        <is>
          <t>Cisco Talos Blacklisted IP: 1.24.16.110 | Verified malicious | Sources: TALOS</t>
        </is>
      </c>
      <c r="D1936" t="n">
        <v>7</v>
      </c>
      <c r="E1936" t="inlineStr">
        <is>
          <t>HIGH</t>
        </is>
      </c>
      <c r="F1936" t="n">
        <v>3</v>
      </c>
      <c r="G1936" t="n">
        <v>2</v>
      </c>
      <c r="H1936" t="inlineStr">
        <is>
          <t>HIGH</t>
        </is>
      </c>
      <c r="I1936" t="n">
        <v>13</v>
      </c>
      <c r="J1936" t="inlineStr">
        <is>
          <t>NO</t>
        </is>
      </c>
      <c r="K1936" t="inlineStr">
        <is>
          <t>2026-02-26 00:15</t>
        </is>
      </c>
      <c r="L1936" t="inlineStr">
        <is>
          <t>Block IP</t>
        </is>
      </c>
      <c r="M1936" t="inlineStr">
        <is>
          <t>Network perimeter / Email / Web</t>
        </is>
      </c>
      <c r="N1936" t="inlineStr">
        <is>
          <t>P3</t>
        </is>
      </c>
      <c r="O1936" t="inlineStr">
        <is>
          <t>Check ip-api.com + AbuseIPDB for context</t>
        </is>
      </c>
      <c r="P1936" t="n">
        <v>0</v>
      </c>
      <c r="Q1936" t="n">
        <v>0</v>
      </c>
      <c r="R1936" t="inlineStr">
        <is>
          <t>T1110:Brute Force | T1190:Exploit Public-Facing Application | T1566:Phishing</t>
        </is>
      </c>
      <c r="S1936" t="n">
        <v>1</v>
      </c>
      <c r="T1936" t="inlineStr">
        <is>
          <t>MEDIUM (60%)</t>
        </is>
      </c>
      <c r="U1936" t="inlineStr">
        <is>
          <t>NONE</t>
        </is>
      </c>
      <c r="V1936" t="inlineStr">
        <is>
          <t>NONE</t>
        </is>
      </c>
      <c r="W1936" t="inlineStr">
        <is>
          <t>NONE</t>
        </is>
      </c>
      <c r="X1936" t="inlineStr">
        <is>
          <t>NONE</t>
        </is>
      </c>
      <c r="Y1936" t="n">
        <v>0</v>
      </c>
      <c r="Z1936" t="inlineStr"/>
      <c r="AA1936" t="inlineStr">
        <is>
          <t>https://talosintelligence.com/reputation_center/lookup?search=1.24.16.110</t>
        </is>
      </c>
    </row>
    <row r="1937">
      <c r="A1937" t="inlineStr">
        <is>
          <t>TALOS_IP</t>
        </is>
      </c>
      <c r="B1937" t="inlineStr">
        <is>
          <t>d543ed6c9a51</t>
        </is>
      </c>
      <c r="C1937" t="inlineStr">
        <is>
          <t>Cisco Talos Blacklisted IP: 1.24.16.114 | Verified malicious | Sources: TALOS</t>
        </is>
      </c>
      <c r="D1937" t="n">
        <v>7</v>
      </c>
      <c r="E1937" t="inlineStr">
        <is>
          <t>HIGH</t>
        </is>
      </c>
      <c r="F1937" t="n">
        <v>3</v>
      </c>
      <c r="G1937" t="n">
        <v>2</v>
      </c>
      <c r="H1937" t="inlineStr">
        <is>
          <t>HIGH</t>
        </is>
      </c>
      <c r="I1937" t="n">
        <v>13</v>
      </c>
      <c r="J1937" t="inlineStr">
        <is>
          <t>NO</t>
        </is>
      </c>
      <c r="K1937" t="inlineStr">
        <is>
          <t>2026-02-26 00:15</t>
        </is>
      </c>
      <c r="L1937" t="inlineStr">
        <is>
          <t>Block IP</t>
        </is>
      </c>
      <c r="M1937" t="inlineStr">
        <is>
          <t>Network perimeter / Email / Web</t>
        </is>
      </c>
      <c r="N1937" t="inlineStr">
        <is>
          <t>P3</t>
        </is>
      </c>
      <c r="O1937" t="inlineStr">
        <is>
          <t>Check ip-api.com + AbuseIPDB for context</t>
        </is>
      </c>
      <c r="P1937" t="n">
        <v>0</v>
      </c>
      <c r="Q1937" t="n">
        <v>0</v>
      </c>
      <c r="R1937" t="inlineStr">
        <is>
          <t>T1110:Brute Force | T1190:Exploit Public-Facing Application | T1566:Phishing</t>
        </is>
      </c>
      <c r="S1937" t="n">
        <v>1</v>
      </c>
      <c r="T1937" t="inlineStr">
        <is>
          <t>MEDIUM (60%)</t>
        </is>
      </c>
      <c r="U1937" t="inlineStr">
        <is>
          <t>NONE</t>
        </is>
      </c>
      <c r="V1937" t="inlineStr">
        <is>
          <t>NONE</t>
        </is>
      </c>
      <c r="W1937" t="inlineStr">
        <is>
          <t>NONE</t>
        </is>
      </c>
      <c r="X1937" t="inlineStr">
        <is>
          <t>NONE</t>
        </is>
      </c>
      <c r="Y1937" t="n">
        <v>0</v>
      </c>
      <c r="Z1937" t="inlineStr"/>
      <c r="AA1937" t="inlineStr">
        <is>
          <t>https://talosintelligence.com/reputation_center/lookup?search=1.24.16.114</t>
        </is>
      </c>
    </row>
    <row r="1938">
      <c r="A1938" t="inlineStr">
        <is>
          <t>TALOS_IP</t>
        </is>
      </c>
      <c r="B1938" t="inlineStr">
        <is>
          <t>3448c1a47254</t>
        </is>
      </c>
      <c r="C1938" t="inlineStr">
        <is>
          <t>Cisco Talos Blacklisted IP: 1.24.16.116 | Verified malicious | Sources: TALOS</t>
        </is>
      </c>
      <c r="D1938" t="n">
        <v>7</v>
      </c>
      <c r="E1938" t="inlineStr">
        <is>
          <t>HIGH</t>
        </is>
      </c>
      <c r="F1938" t="n">
        <v>3</v>
      </c>
      <c r="G1938" t="n">
        <v>2</v>
      </c>
      <c r="H1938" t="inlineStr">
        <is>
          <t>HIGH</t>
        </is>
      </c>
      <c r="I1938" t="n">
        <v>13</v>
      </c>
      <c r="J1938" t="inlineStr">
        <is>
          <t>NO</t>
        </is>
      </c>
      <c r="K1938" t="inlineStr">
        <is>
          <t>2026-02-26 00:15</t>
        </is>
      </c>
      <c r="L1938" t="inlineStr">
        <is>
          <t>Block IP</t>
        </is>
      </c>
      <c r="M1938" t="inlineStr">
        <is>
          <t>Network perimeter / Email / Web</t>
        </is>
      </c>
      <c r="N1938" t="inlineStr">
        <is>
          <t>P3</t>
        </is>
      </c>
      <c r="O1938" t="inlineStr">
        <is>
          <t>Check ip-api.com + AbuseIPDB for context</t>
        </is>
      </c>
      <c r="P1938" t="n">
        <v>0</v>
      </c>
      <c r="Q1938" t="n">
        <v>0</v>
      </c>
      <c r="R1938" t="inlineStr">
        <is>
          <t>T1110:Brute Force | T1190:Exploit Public-Facing Application | T1566:Phishing</t>
        </is>
      </c>
      <c r="S1938" t="n">
        <v>1</v>
      </c>
      <c r="T1938" t="inlineStr">
        <is>
          <t>MEDIUM (60%)</t>
        </is>
      </c>
      <c r="U1938" t="inlineStr">
        <is>
          <t>NONE</t>
        </is>
      </c>
      <c r="V1938" t="inlineStr">
        <is>
          <t>NONE</t>
        </is>
      </c>
      <c r="W1938" t="inlineStr">
        <is>
          <t>NONE</t>
        </is>
      </c>
      <c r="X1938" t="inlineStr">
        <is>
          <t>NONE</t>
        </is>
      </c>
      <c r="Y1938" t="n">
        <v>0</v>
      </c>
      <c r="Z1938" t="inlineStr"/>
      <c r="AA1938" t="inlineStr">
        <is>
          <t>https://talosintelligence.com/reputation_center/lookup?search=1.24.16.116</t>
        </is>
      </c>
    </row>
    <row r="1939">
      <c r="A1939" t="inlineStr">
        <is>
          <t>TALOS_IP</t>
        </is>
      </c>
      <c r="B1939" t="inlineStr">
        <is>
          <t>399883f21afe</t>
        </is>
      </c>
      <c r="C1939" t="inlineStr">
        <is>
          <t>Cisco Talos Blacklisted IP: 1.24.16.117 | Verified malicious | Sources: TALOS</t>
        </is>
      </c>
      <c r="D1939" t="n">
        <v>7</v>
      </c>
      <c r="E1939" t="inlineStr">
        <is>
          <t>HIGH</t>
        </is>
      </c>
      <c r="F1939" t="n">
        <v>3</v>
      </c>
      <c r="G1939" t="n">
        <v>2</v>
      </c>
      <c r="H1939" t="inlineStr">
        <is>
          <t>HIGH</t>
        </is>
      </c>
      <c r="I1939" t="n">
        <v>13</v>
      </c>
      <c r="J1939" t="inlineStr">
        <is>
          <t>NO</t>
        </is>
      </c>
      <c r="K1939" t="inlineStr">
        <is>
          <t>2026-02-26 00:15</t>
        </is>
      </c>
      <c r="L1939" t="inlineStr">
        <is>
          <t>Block IP</t>
        </is>
      </c>
      <c r="M1939" t="inlineStr">
        <is>
          <t>Network perimeter / Email / Web</t>
        </is>
      </c>
      <c r="N1939" t="inlineStr">
        <is>
          <t>P3</t>
        </is>
      </c>
      <c r="O1939" t="inlineStr">
        <is>
          <t>Check ip-api.com + AbuseIPDB for context</t>
        </is>
      </c>
      <c r="P1939" t="n">
        <v>0</v>
      </c>
      <c r="Q1939" t="n">
        <v>0</v>
      </c>
      <c r="R1939" t="inlineStr">
        <is>
          <t>T1110:Brute Force | T1190:Exploit Public-Facing Application | T1566:Phishing</t>
        </is>
      </c>
      <c r="S1939" t="n">
        <v>1</v>
      </c>
      <c r="T1939" t="inlineStr">
        <is>
          <t>MEDIUM (60%)</t>
        </is>
      </c>
      <c r="U1939" t="inlineStr">
        <is>
          <t>NONE</t>
        </is>
      </c>
      <c r="V1939" t="inlineStr">
        <is>
          <t>NONE</t>
        </is>
      </c>
      <c r="W1939" t="inlineStr">
        <is>
          <t>NONE</t>
        </is>
      </c>
      <c r="X1939" t="inlineStr">
        <is>
          <t>NONE</t>
        </is>
      </c>
      <c r="Y1939" t="n">
        <v>0</v>
      </c>
      <c r="Z1939" t="inlineStr"/>
      <c r="AA1939" t="inlineStr">
        <is>
          <t>https://talosintelligence.com/reputation_center/lookup?search=1.24.16.117</t>
        </is>
      </c>
    </row>
    <row r="1940">
      <c r="A1940" t="inlineStr">
        <is>
          <t>TALOS_IP</t>
        </is>
      </c>
      <c r="B1940" t="inlineStr">
        <is>
          <t>afc5eebd3e59</t>
        </is>
      </c>
      <c r="C1940" t="inlineStr">
        <is>
          <t>Cisco Talos Blacklisted IP: 1.24.16.118 | Verified malicious | Sources: TALOS</t>
        </is>
      </c>
      <c r="D1940" t="n">
        <v>7</v>
      </c>
      <c r="E1940" t="inlineStr">
        <is>
          <t>HIGH</t>
        </is>
      </c>
      <c r="F1940" t="n">
        <v>3</v>
      </c>
      <c r="G1940" t="n">
        <v>2</v>
      </c>
      <c r="H1940" t="inlineStr">
        <is>
          <t>HIGH</t>
        </is>
      </c>
      <c r="I1940" t="n">
        <v>13</v>
      </c>
      <c r="J1940" t="inlineStr">
        <is>
          <t>NO</t>
        </is>
      </c>
      <c r="K1940" t="inlineStr">
        <is>
          <t>2026-02-26 00:15</t>
        </is>
      </c>
      <c r="L1940" t="inlineStr">
        <is>
          <t>Block IP</t>
        </is>
      </c>
      <c r="M1940" t="inlineStr">
        <is>
          <t>Network perimeter / Email / Web</t>
        </is>
      </c>
      <c r="N1940" t="inlineStr">
        <is>
          <t>P3</t>
        </is>
      </c>
      <c r="O1940" t="inlineStr">
        <is>
          <t>Check ip-api.com + AbuseIPDB for context</t>
        </is>
      </c>
      <c r="P1940" t="n">
        <v>0</v>
      </c>
      <c r="Q1940" t="n">
        <v>0</v>
      </c>
      <c r="R1940" t="inlineStr">
        <is>
          <t>T1110:Brute Force | T1190:Exploit Public-Facing Application | T1566:Phishing</t>
        </is>
      </c>
      <c r="S1940" t="n">
        <v>1</v>
      </c>
      <c r="T1940" t="inlineStr">
        <is>
          <t>MEDIUM (60%)</t>
        </is>
      </c>
      <c r="U1940" t="inlineStr">
        <is>
          <t>NONE</t>
        </is>
      </c>
      <c r="V1940" t="inlineStr">
        <is>
          <t>NONE</t>
        </is>
      </c>
      <c r="W1940" t="inlineStr">
        <is>
          <t>NONE</t>
        </is>
      </c>
      <c r="X1940" t="inlineStr">
        <is>
          <t>NONE</t>
        </is>
      </c>
      <c r="Y1940" t="n">
        <v>0</v>
      </c>
      <c r="Z1940" t="inlineStr"/>
      <c r="AA1940" t="inlineStr">
        <is>
          <t>https://talosintelligence.com/reputation_center/lookup?search=1.24.16.118</t>
        </is>
      </c>
    </row>
    <row r="1941">
      <c r="A1941" t="inlineStr">
        <is>
          <t>TALOS_IP</t>
        </is>
      </c>
      <c r="B1941" t="inlineStr">
        <is>
          <t>b10436b0accc</t>
        </is>
      </c>
      <c r="C1941" t="inlineStr">
        <is>
          <t>Cisco Talos Blacklisted IP: 1.24.16.121 | Verified malicious | Sources: TALOS</t>
        </is>
      </c>
      <c r="D1941" t="n">
        <v>7</v>
      </c>
      <c r="E1941" t="inlineStr">
        <is>
          <t>HIGH</t>
        </is>
      </c>
      <c r="F1941" t="n">
        <v>3</v>
      </c>
      <c r="G1941" t="n">
        <v>2</v>
      </c>
      <c r="H1941" t="inlineStr">
        <is>
          <t>HIGH</t>
        </is>
      </c>
      <c r="I1941" t="n">
        <v>13</v>
      </c>
      <c r="J1941" t="inlineStr">
        <is>
          <t>NO</t>
        </is>
      </c>
      <c r="K1941" t="inlineStr">
        <is>
          <t>2026-02-26 00:15</t>
        </is>
      </c>
      <c r="L1941" t="inlineStr">
        <is>
          <t>Block IP</t>
        </is>
      </c>
      <c r="M1941" t="inlineStr">
        <is>
          <t>Network perimeter / Email / Web</t>
        </is>
      </c>
      <c r="N1941" t="inlineStr">
        <is>
          <t>P3</t>
        </is>
      </c>
      <c r="O1941" t="inlineStr">
        <is>
          <t>Check ip-api.com + AbuseIPDB for context</t>
        </is>
      </c>
      <c r="P1941" t="n">
        <v>0</v>
      </c>
      <c r="Q1941" t="n">
        <v>0</v>
      </c>
      <c r="R1941" t="inlineStr">
        <is>
          <t>T1110:Brute Force | T1190:Exploit Public-Facing Application | T1566:Phishing</t>
        </is>
      </c>
      <c r="S1941" t="n">
        <v>1</v>
      </c>
      <c r="T1941" t="inlineStr">
        <is>
          <t>MEDIUM (60%)</t>
        </is>
      </c>
      <c r="U1941" t="inlineStr">
        <is>
          <t>NONE</t>
        </is>
      </c>
      <c r="V1941" t="inlineStr">
        <is>
          <t>NONE</t>
        </is>
      </c>
      <c r="W1941" t="inlineStr">
        <is>
          <t>NONE</t>
        </is>
      </c>
      <c r="X1941" t="inlineStr">
        <is>
          <t>NONE</t>
        </is>
      </c>
      <c r="Y1941" t="n">
        <v>0</v>
      </c>
      <c r="Z1941" t="inlineStr"/>
      <c r="AA1941" t="inlineStr">
        <is>
          <t>https://talosintelligence.com/reputation_center/lookup?search=1.24.16.121</t>
        </is>
      </c>
    </row>
    <row r="1942">
      <c r="A1942" t="inlineStr">
        <is>
          <t>TALOS_IP</t>
        </is>
      </c>
      <c r="B1942" t="inlineStr">
        <is>
          <t>962e43692313</t>
        </is>
      </c>
      <c r="C1942" t="inlineStr">
        <is>
          <t>Cisco Talos Blacklisted IP: 1.24.16.124 | Verified malicious | Sources: TALOS</t>
        </is>
      </c>
      <c r="D1942" t="n">
        <v>7</v>
      </c>
      <c r="E1942" t="inlineStr">
        <is>
          <t>HIGH</t>
        </is>
      </c>
      <c r="F1942" t="n">
        <v>3</v>
      </c>
      <c r="G1942" t="n">
        <v>2</v>
      </c>
      <c r="H1942" t="inlineStr">
        <is>
          <t>HIGH</t>
        </is>
      </c>
      <c r="I1942" t="n">
        <v>13</v>
      </c>
      <c r="J1942" t="inlineStr">
        <is>
          <t>NO</t>
        </is>
      </c>
      <c r="K1942" t="inlineStr">
        <is>
          <t>2026-02-26 00:15</t>
        </is>
      </c>
      <c r="L1942" t="inlineStr">
        <is>
          <t>Block IP</t>
        </is>
      </c>
      <c r="M1942" t="inlineStr">
        <is>
          <t>Network perimeter / Email / Web</t>
        </is>
      </c>
      <c r="N1942" t="inlineStr">
        <is>
          <t>P3</t>
        </is>
      </c>
      <c r="O1942" t="inlineStr">
        <is>
          <t>Check ip-api.com + AbuseIPDB for context</t>
        </is>
      </c>
      <c r="P1942" t="n">
        <v>0</v>
      </c>
      <c r="Q1942" t="n">
        <v>0</v>
      </c>
      <c r="R1942" t="inlineStr">
        <is>
          <t>T1110:Brute Force | T1190:Exploit Public-Facing Application | T1566:Phishing</t>
        </is>
      </c>
      <c r="S1942" t="n">
        <v>1</v>
      </c>
      <c r="T1942" t="inlineStr">
        <is>
          <t>MEDIUM (60%)</t>
        </is>
      </c>
      <c r="U1942" t="inlineStr">
        <is>
          <t>NONE</t>
        </is>
      </c>
      <c r="V1942" t="inlineStr">
        <is>
          <t>NONE</t>
        </is>
      </c>
      <c r="W1942" t="inlineStr">
        <is>
          <t>NONE</t>
        </is>
      </c>
      <c r="X1942" t="inlineStr">
        <is>
          <t>NONE</t>
        </is>
      </c>
      <c r="Y1942" t="n">
        <v>0</v>
      </c>
      <c r="Z1942" t="inlineStr"/>
      <c r="AA1942" t="inlineStr">
        <is>
          <t>https://talosintelligence.com/reputation_center/lookup?search=1.24.16.124</t>
        </is>
      </c>
    </row>
    <row r="1943">
      <c r="A1943" t="inlineStr">
        <is>
          <t>TALOS_IP</t>
        </is>
      </c>
      <c r="B1943" t="inlineStr">
        <is>
          <t>01240ae7e801</t>
        </is>
      </c>
      <c r="C1943" t="inlineStr">
        <is>
          <t>Cisco Talos Blacklisted IP: 1.24.16.125 | Verified malicious | Sources: TALOS</t>
        </is>
      </c>
      <c r="D1943" t="n">
        <v>7</v>
      </c>
      <c r="E1943" t="inlineStr">
        <is>
          <t>HIGH</t>
        </is>
      </c>
      <c r="F1943" t="n">
        <v>3</v>
      </c>
      <c r="G1943" t="n">
        <v>2</v>
      </c>
      <c r="H1943" t="inlineStr">
        <is>
          <t>HIGH</t>
        </is>
      </c>
      <c r="I1943" t="n">
        <v>13</v>
      </c>
      <c r="J1943" t="inlineStr">
        <is>
          <t>NO</t>
        </is>
      </c>
      <c r="K1943" t="inlineStr">
        <is>
          <t>2026-02-26 00:15</t>
        </is>
      </c>
      <c r="L1943" t="inlineStr">
        <is>
          <t>Block IP</t>
        </is>
      </c>
      <c r="M1943" t="inlineStr">
        <is>
          <t>Network perimeter / Email / Web</t>
        </is>
      </c>
      <c r="N1943" t="inlineStr">
        <is>
          <t>P3</t>
        </is>
      </c>
      <c r="O1943" t="inlineStr">
        <is>
          <t>Check ip-api.com + AbuseIPDB for context</t>
        </is>
      </c>
      <c r="P1943" t="n">
        <v>0</v>
      </c>
      <c r="Q1943" t="n">
        <v>0</v>
      </c>
      <c r="R1943" t="inlineStr">
        <is>
          <t>T1110:Brute Force | T1190:Exploit Public-Facing Application | T1566:Phishing</t>
        </is>
      </c>
      <c r="S1943" t="n">
        <v>1</v>
      </c>
      <c r="T1943" t="inlineStr">
        <is>
          <t>MEDIUM (60%)</t>
        </is>
      </c>
      <c r="U1943" t="inlineStr">
        <is>
          <t>NONE</t>
        </is>
      </c>
      <c r="V1943" t="inlineStr">
        <is>
          <t>NONE</t>
        </is>
      </c>
      <c r="W1943" t="inlineStr">
        <is>
          <t>NONE</t>
        </is>
      </c>
      <c r="X1943" t="inlineStr">
        <is>
          <t>NONE</t>
        </is>
      </c>
      <c r="Y1943" t="n">
        <v>0</v>
      </c>
      <c r="Z1943" t="inlineStr"/>
      <c r="AA1943" t="inlineStr">
        <is>
          <t>https://talosintelligence.com/reputation_center/lookup?search=1.24.16.125</t>
        </is>
      </c>
    </row>
    <row r="1944">
      <c r="A1944" t="inlineStr">
        <is>
          <t>TALOS_IP</t>
        </is>
      </c>
      <c r="B1944" t="inlineStr">
        <is>
          <t>c48dc9d90351</t>
        </is>
      </c>
      <c r="C1944" t="inlineStr">
        <is>
          <t>Cisco Talos Blacklisted IP: 1.24.16.138 | Verified malicious | Sources: TALOS</t>
        </is>
      </c>
      <c r="D1944" t="n">
        <v>7</v>
      </c>
      <c r="E1944" t="inlineStr">
        <is>
          <t>HIGH</t>
        </is>
      </c>
      <c r="F1944" t="n">
        <v>3</v>
      </c>
      <c r="G1944" t="n">
        <v>2</v>
      </c>
      <c r="H1944" t="inlineStr">
        <is>
          <t>HIGH</t>
        </is>
      </c>
      <c r="I1944" t="n">
        <v>13</v>
      </c>
      <c r="J1944" t="inlineStr">
        <is>
          <t>NO</t>
        </is>
      </c>
      <c r="K1944" t="inlineStr">
        <is>
          <t>2026-02-26 00:15</t>
        </is>
      </c>
      <c r="L1944" t="inlineStr">
        <is>
          <t>Block IP</t>
        </is>
      </c>
      <c r="M1944" t="inlineStr">
        <is>
          <t>Network perimeter / Email / Web</t>
        </is>
      </c>
      <c r="N1944" t="inlineStr">
        <is>
          <t>P3</t>
        </is>
      </c>
      <c r="O1944" t="inlineStr">
        <is>
          <t>Check ip-api.com + AbuseIPDB for context</t>
        </is>
      </c>
      <c r="P1944" t="n">
        <v>0</v>
      </c>
      <c r="Q1944" t="n">
        <v>0</v>
      </c>
      <c r="R1944" t="inlineStr">
        <is>
          <t>T1110:Brute Force | T1190:Exploit Public-Facing Application | T1566:Phishing</t>
        </is>
      </c>
      <c r="S1944" t="n">
        <v>1</v>
      </c>
      <c r="T1944" t="inlineStr">
        <is>
          <t>MEDIUM (60%)</t>
        </is>
      </c>
      <c r="U1944" t="inlineStr">
        <is>
          <t>NONE</t>
        </is>
      </c>
      <c r="V1944" t="inlineStr">
        <is>
          <t>NONE</t>
        </is>
      </c>
      <c r="W1944" t="inlineStr">
        <is>
          <t>NONE</t>
        </is>
      </c>
      <c r="X1944" t="inlineStr">
        <is>
          <t>NONE</t>
        </is>
      </c>
      <c r="Y1944" t="n">
        <v>0</v>
      </c>
      <c r="Z1944" t="inlineStr"/>
      <c r="AA1944" t="inlineStr">
        <is>
          <t>https://talosintelligence.com/reputation_center/lookup?search=1.24.16.138</t>
        </is>
      </c>
    </row>
    <row r="1945">
      <c r="A1945" t="inlineStr">
        <is>
          <t>TALOS_IP</t>
        </is>
      </c>
      <c r="B1945" t="inlineStr">
        <is>
          <t>30dbd1a40fae</t>
        </is>
      </c>
      <c r="C1945" t="inlineStr">
        <is>
          <t>Cisco Talos Blacklisted IP: 1.24.16.141 | Verified malicious | Sources: TALOS</t>
        </is>
      </c>
      <c r="D1945" t="n">
        <v>7</v>
      </c>
      <c r="E1945" t="inlineStr">
        <is>
          <t>HIGH</t>
        </is>
      </c>
      <c r="F1945" t="n">
        <v>3</v>
      </c>
      <c r="G1945" t="n">
        <v>2</v>
      </c>
      <c r="H1945" t="inlineStr">
        <is>
          <t>HIGH</t>
        </is>
      </c>
      <c r="I1945" t="n">
        <v>13</v>
      </c>
      <c r="J1945" t="inlineStr">
        <is>
          <t>NO</t>
        </is>
      </c>
      <c r="K1945" t="inlineStr">
        <is>
          <t>2026-02-26 00:15</t>
        </is>
      </c>
      <c r="L1945" t="inlineStr">
        <is>
          <t>Block IP</t>
        </is>
      </c>
      <c r="M1945" t="inlineStr">
        <is>
          <t>Network perimeter / Email / Web</t>
        </is>
      </c>
      <c r="N1945" t="inlineStr">
        <is>
          <t>P3</t>
        </is>
      </c>
      <c r="O1945" t="inlineStr">
        <is>
          <t>Check ip-api.com + AbuseIPDB for context</t>
        </is>
      </c>
      <c r="P1945" t="n">
        <v>0</v>
      </c>
      <c r="Q1945" t="n">
        <v>0</v>
      </c>
      <c r="R1945" t="inlineStr">
        <is>
          <t>T1110:Brute Force | T1190:Exploit Public-Facing Application | T1566:Phishing</t>
        </is>
      </c>
      <c r="S1945" t="n">
        <v>1</v>
      </c>
      <c r="T1945" t="inlineStr">
        <is>
          <t>MEDIUM (60%)</t>
        </is>
      </c>
      <c r="U1945" t="inlineStr">
        <is>
          <t>NONE</t>
        </is>
      </c>
      <c r="V1945" t="inlineStr">
        <is>
          <t>NONE</t>
        </is>
      </c>
      <c r="W1945" t="inlineStr">
        <is>
          <t>NONE</t>
        </is>
      </c>
      <c r="X1945" t="inlineStr">
        <is>
          <t>NONE</t>
        </is>
      </c>
      <c r="Y1945" t="n">
        <v>0</v>
      </c>
      <c r="Z1945" t="inlineStr"/>
      <c r="AA1945" t="inlineStr">
        <is>
          <t>https://talosintelligence.com/reputation_center/lookup?search=1.24.16.141</t>
        </is>
      </c>
    </row>
    <row r="1946">
      <c r="A1946" t="inlineStr">
        <is>
          <t>TALOS_IP</t>
        </is>
      </c>
      <c r="B1946" t="inlineStr">
        <is>
          <t>2a2a04184afc</t>
        </is>
      </c>
      <c r="C1946" t="inlineStr">
        <is>
          <t>Cisco Talos Blacklisted IP: 1.24.16.142 | Verified malicious | Sources: TALOS</t>
        </is>
      </c>
      <c r="D1946" t="n">
        <v>7</v>
      </c>
      <c r="E1946" t="inlineStr">
        <is>
          <t>HIGH</t>
        </is>
      </c>
      <c r="F1946" t="n">
        <v>3</v>
      </c>
      <c r="G1946" t="n">
        <v>2</v>
      </c>
      <c r="H1946" t="inlineStr">
        <is>
          <t>HIGH</t>
        </is>
      </c>
      <c r="I1946" t="n">
        <v>13</v>
      </c>
      <c r="J1946" t="inlineStr">
        <is>
          <t>NO</t>
        </is>
      </c>
      <c r="K1946" t="inlineStr">
        <is>
          <t>2026-02-26 00:15</t>
        </is>
      </c>
      <c r="L1946" t="inlineStr">
        <is>
          <t>Block IP</t>
        </is>
      </c>
      <c r="M1946" t="inlineStr">
        <is>
          <t>Network perimeter / Email / Web</t>
        </is>
      </c>
      <c r="N1946" t="inlineStr">
        <is>
          <t>P3</t>
        </is>
      </c>
      <c r="O1946" t="inlineStr">
        <is>
          <t>Check ip-api.com + AbuseIPDB for context</t>
        </is>
      </c>
      <c r="P1946" t="n">
        <v>0</v>
      </c>
      <c r="Q1946" t="n">
        <v>0</v>
      </c>
      <c r="R1946" t="inlineStr">
        <is>
          <t>T1110:Brute Force | T1190:Exploit Public-Facing Application | T1566:Phishing</t>
        </is>
      </c>
      <c r="S1946" t="n">
        <v>1</v>
      </c>
      <c r="T1946" t="inlineStr">
        <is>
          <t>MEDIUM (60%)</t>
        </is>
      </c>
      <c r="U1946" t="inlineStr">
        <is>
          <t>NONE</t>
        </is>
      </c>
      <c r="V1946" t="inlineStr">
        <is>
          <t>NONE</t>
        </is>
      </c>
      <c r="W1946" t="inlineStr">
        <is>
          <t>NONE</t>
        </is>
      </c>
      <c r="X1946" t="inlineStr">
        <is>
          <t>NONE</t>
        </is>
      </c>
      <c r="Y1946" t="n">
        <v>0</v>
      </c>
      <c r="Z1946" t="inlineStr"/>
      <c r="AA1946" t="inlineStr">
        <is>
          <t>https://talosintelligence.com/reputation_center/lookup?search=1.24.16.142</t>
        </is>
      </c>
    </row>
    <row r="1947">
      <c r="A1947" t="inlineStr">
        <is>
          <t>TALOS_IP</t>
        </is>
      </c>
      <c r="B1947" t="inlineStr">
        <is>
          <t>8da4d4448563</t>
        </is>
      </c>
      <c r="C1947" t="inlineStr">
        <is>
          <t>Cisco Talos Blacklisted IP: 1.24.16.143 | Verified malicious | Sources: TALOS</t>
        </is>
      </c>
      <c r="D1947" t="n">
        <v>7</v>
      </c>
      <c r="E1947" t="inlineStr">
        <is>
          <t>HIGH</t>
        </is>
      </c>
      <c r="F1947" t="n">
        <v>3</v>
      </c>
      <c r="G1947" t="n">
        <v>2</v>
      </c>
      <c r="H1947" t="inlineStr">
        <is>
          <t>HIGH</t>
        </is>
      </c>
      <c r="I1947" t="n">
        <v>13</v>
      </c>
      <c r="J1947" t="inlineStr">
        <is>
          <t>NO</t>
        </is>
      </c>
      <c r="K1947" t="inlineStr">
        <is>
          <t>2026-02-26 00:15</t>
        </is>
      </c>
      <c r="L1947" t="inlineStr">
        <is>
          <t>Block IP</t>
        </is>
      </c>
      <c r="M1947" t="inlineStr">
        <is>
          <t>Network perimeter / Email / Web</t>
        </is>
      </c>
      <c r="N1947" t="inlineStr">
        <is>
          <t>P3</t>
        </is>
      </c>
      <c r="O1947" t="inlineStr">
        <is>
          <t>Check ip-api.com + AbuseIPDB for context</t>
        </is>
      </c>
      <c r="P1947" t="n">
        <v>0</v>
      </c>
      <c r="Q1947" t="n">
        <v>0</v>
      </c>
      <c r="R1947" t="inlineStr">
        <is>
          <t>T1110:Brute Force | T1190:Exploit Public-Facing Application | T1566:Phishing</t>
        </is>
      </c>
      <c r="S1947" t="n">
        <v>1</v>
      </c>
      <c r="T1947" t="inlineStr">
        <is>
          <t>MEDIUM (60%)</t>
        </is>
      </c>
      <c r="U1947" t="inlineStr">
        <is>
          <t>NONE</t>
        </is>
      </c>
      <c r="V1947" t="inlineStr">
        <is>
          <t>NONE</t>
        </is>
      </c>
      <c r="W1947" t="inlineStr">
        <is>
          <t>NONE</t>
        </is>
      </c>
      <c r="X1947" t="inlineStr">
        <is>
          <t>NONE</t>
        </is>
      </c>
      <c r="Y1947" t="n">
        <v>0</v>
      </c>
      <c r="Z1947" t="inlineStr"/>
      <c r="AA1947" t="inlineStr">
        <is>
          <t>https://talosintelligence.com/reputation_center/lookup?search=1.24.16.143</t>
        </is>
      </c>
    </row>
    <row r="1948">
      <c r="A1948" t="inlineStr">
        <is>
          <t>TALOS_IP</t>
        </is>
      </c>
      <c r="B1948" t="inlineStr">
        <is>
          <t>367105c805fe</t>
        </is>
      </c>
      <c r="C1948" t="inlineStr">
        <is>
          <t>Cisco Talos Blacklisted IP: 1.24.16.144 | Verified malicious | Sources: TALOS</t>
        </is>
      </c>
      <c r="D1948" t="n">
        <v>7</v>
      </c>
      <c r="E1948" t="inlineStr">
        <is>
          <t>HIGH</t>
        </is>
      </c>
      <c r="F1948" t="n">
        <v>3</v>
      </c>
      <c r="G1948" t="n">
        <v>2</v>
      </c>
      <c r="H1948" t="inlineStr">
        <is>
          <t>HIGH</t>
        </is>
      </c>
      <c r="I1948" t="n">
        <v>13</v>
      </c>
      <c r="J1948" t="inlineStr">
        <is>
          <t>NO</t>
        </is>
      </c>
      <c r="K1948" t="inlineStr">
        <is>
          <t>2026-02-26 00:15</t>
        </is>
      </c>
      <c r="L1948" t="inlineStr">
        <is>
          <t>Block IP</t>
        </is>
      </c>
      <c r="M1948" t="inlineStr">
        <is>
          <t>Network perimeter / Email / Web</t>
        </is>
      </c>
      <c r="N1948" t="inlineStr">
        <is>
          <t>P3</t>
        </is>
      </c>
      <c r="O1948" t="inlineStr">
        <is>
          <t>Check ip-api.com + AbuseIPDB for context</t>
        </is>
      </c>
      <c r="P1948" t="n">
        <v>0</v>
      </c>
      <c r="Q1948" t="n">
        <v>0</v>
      </c>
      <c r="R1948" t="inlineStr">
        <is>
          <t>T1110:Brute Force | T1190:Exploit Public-Facing Application | T1566:Phishing</t>
        </is>
      </c>
      <c r="S1948" t="n">
        <v>1</v>
      </c>
      <c r="T1948" t="inlineStr">
        <is>
          <t>MEDIUM (60%)</t>
        </is>
      </c>
      <c r="U1948" t="inlineStr">
        <is>
          <t>NONE</t>
        </is>
      </c>
      <c r="V1948" t="inlineStr">
        <is>
          <t>NONE</t>
        </is>
      </c>
      <c r="W1948" t="inlineStr">
        <is>
          <t>NONE</t>
        </is>
      </c>
      <c r="X1948" t="inlineStr">
        <is>
          <t>NONE</t>
        </is>
      </c>
      <c r="Y1948" t="n">
        <v>0</v>
      </c>
      <c r="Z1948" t="inlineStr"/>
      <c r="AA1948" t="inlineStr">
        <is>
          <t>https://talosintelligence.com/reputation_center/lookup?search=1.24.16.144</t>
        </is>
      </c>
    </row>
    <row r="1949">
      <c r="A1949" t="inlineStr">
        <is>
          <t>TALOS_IP</t>
        </is>
      </c>
      <c r="B1949" t="inlineStr">
        <is>
          <t>e0945f150a44</t>
        </is>
      </c>
      <c r="C1949" t="inlineStr">
        <is>
          <t>Cisco Talos Blacklisted IP: 1.24.16.146 | Verified malicious | Sources: TALOS</t>
        </is>
      </c>
      <c r="D1949" t="n">
        <v>7</v>
      </c>
      <c r="E1949" t="inlineStr">
        <is>
          <t>HIGH</t>
        </is>
      </c>
      <c r="F1949" t="n">
        <v>3</v>
      </c>
      <c r="G1949" t="n">
        <v>2</v>
      </c>
      <c r="H1949" t="inlineStr">
        <is>
          <t>HIGH</t>
        </is>
      </c>
      <c r="I1949" t="n">
        <v>13</v>
      </c>
      <c r="J1949" t="inlineStr">
        <is>
          <t>NO</t>
        </is>
      </c>
      <c r="K1949" t="inlineStr">
        <is>
          <t>2026-02-26 00:15</t>
        </is>
      </c>
      <c r="L1949" t="inlineStr">
        <is>
          <t>Block IP</t>
        </is>
      </c>
      <c r="M1949" t="inlineStr">
        <is>
          <t>Network perimeter / Email / Web</t>
        </is>
      </c>
      <c r="N1949" t="inlineStr">
        <is>
          <t>P3</t>
        </is>
      </c>
      <c r="O1949" t="inlineStr">
        <is>
          <t>Check ip-api.com + AbuseIPDB for context</t>
        </is>
      </c>
      <c r="P1949" t="n">
        <v>0</v>
      </c>
      <c r="Q1949" t="n">
        <v>0</v>
      </c>
      <c r="R1949" t="inlineStr">
        <is>
          <t>T1110:Brute Force | T1190:Exploit Public-Facing Application | T1566:Phishing</t>
        </is>
      </c>
      <c r="S1949" t="n">
        <v>1</v>
      </c>
      <c r="T1949" t="inlineStr">
        <is>
          <t>MEDIUM (60%)</t>
        </is>
      </c>
      <c r="U1949" t="inlineStr">
        <is>
          <t>NONE</t>
        </is>
      </c>
      <c r="V1949" t="inlineStr">
        <is>
          <t>NONE</t>
        </is>
      </c>
      <c r="W1949" t="inlineStr">
        <is>
          <t>NONE</t>
        </is>
      </c>
      <c r="X1949" t="inlineStr">
        <is>
          <t>NONE</t>
        </is>
      </c>
      <c r="Y1949" t="n">
        <v>0</v>
      </c>
      <c r="Z1949" t="inlineStr"/>
      <c r="AA1949" t="inlineStr">
        <is>
          <t>https://talosintelligence.com/reputation_center/lookup?search=1.24.16.146</t>
        </is>
      </c>
    </row>
    <row r="1950">
      <c r="A1950" t="inlineStr">
        <is>
          <t>TALOS_IP</t>
        </is>
      </c>
      <c r="B1950" t="inlineStr">
        <is>
          <t>4dbd3477f324</t>
        </is>
      </c>
      <c r="C1950" t="inlineStr">
        <is>
          <t>Cisco Talos Blacklisted IP: 1.24.16.155 | Verified malicious | Sources: TALOS</t>
        </is>
      </c>
      <c r="D1950" t="n">
        <v>7</v>
      </c>
      <c r="E1950" t="inlineStr">
        <is>
          <t>HIGH</t>
        </is>
      </c>
      <c r="F1950" t="n">
        <v>3</v>
      </c>
      <c r="G1950" t="n">
        <v>2</v>
      </c>
      <c r="H1950" t="inlineStr">
        <is>
          <t>HIGH</t>
        </is>
      </c>
      <c r="I1950" t="n">
        <v>13</v>
      </c>
      <c r="J1950" t="inlineStr">
        <is>
          <t>NO</t>
        </is>
      </c>
      <c r="K1950" t="inlineStr">
        <is>
          <t>2026-02-26 00:15</t>
        </is>
      </c>
      <c r="L1950" t="inlineStr">
        <is>
          <t>Block IP</t>
        </is>
      </c>
      <c r="M1950" t="inlineStr">
        <is>
          <t>Network perimeter / Email / Web</t>
        </is>
      </c>
      <c r="N1950" t="inlineStr">
        <is>
          <t>P3</t>
        </is>
      </c>
      <c r="O1950" t="inlineStr">
        <is>
          <t>Check ip-api.com + AbuseIPDB for context</t>
        </is>
      </c>
      <c r="P1950" t="n">
        <v>0</v>
      </c>
      <c r="Q1950" t="n">
        <v>0</v>
      </c>
      <c r="R1950" t="inlineStr">
        <is>
          <t>T1110:Brute Force | T1190:Exploit Public-Facing Application | T1566:Phishing</t>
        </is>
      </c>
      <c r="S1950" t="n">
        <v>1</v>
      </c>
      <c r="T1950" t="inlineStr">
        <is>
          <t>MEDIUM (60%)</t>
        </is>
      </c>
      <c r="U1950" t="inlineStr">
        <is>
          <t>NONE</t>
        </is>
      </c>
      <c r="V1950" t="inlineStr">
        <is>
          <t>NONE</t>
        </is>
      </c>
      <c r="W1950" t="inlineStr">
        <is>
          <t>NONE</t>
        </is>
      </c>
      <c r="X1950" t="inlineStr">
        <is>
          <t>NONE</t>
        </is>
      </c>
      <c r="Y1950" t="n">
        <v>0</v>
      </c>
      <c r="Z1950" t="inlineStr"/>
      <c r="AA1950" t="inlineStr">
        <is>
          <t>https://talosintelligence.com/reputation_center/lookup?search=1.24.16.155</t>
        </is>
      </c>
    </row>
    <row r="1951">
      <c r="A1951" t="inlineStr">
        <is>
          <t>TALOS_IP</t>
        </is>
      </c>
      <c r="B1951" t="inlineStr">
        <is>
          <t>9ff8dcf6ffa6</t>
        </is>
      </c>
      <c r="C1951" t="inlineStr">
        <is>
          <t>Cisco Talos Blacklisted IP: 1.24.16.156 | Verified malicious | Sources: TALOS</t>
        </is>
      </c>
      <c r="D1951" t="n">
        <v>7</v>
      </c>
      <c r="E1951" t="inlineStr">
        <is>
          <t>HIGH</t>
        </is>
      </c>
      <c r="F1951" t="n">
        <v>3</v>
      </c>
      <c r="G1951" t="n">
        <v>2</v>
      </c>
      <c r="H1951" t="inlineStr">
        <is>
          <t>HIGH</t>
        </is>
      </c>
      <c r="I1951" t="n">
        <v>13</v>
      </c>
      <c r="J1951" t="inlineStr">
        <is>
          <t>NO</t>
        </is>
      </c>
      <c r="K1951" t="inlineStr">
        <is>
          <t>2026-02-26 00:15</t>
        </is>
      </c>
      <c r="L1951" t="inlineStr">
        <is>
          <t>Block IP</t>
        </is>
      </c>
      <c r="M1951" t="inlineStr">
        <is>
          <t>Network perimeter / Email / Web</t>
        </is>
      </c>
      <c r="N1951" t="inlineStr">
        <is>
          <t>P3</t>
        </is>
      </c>
      <c r="O1951" t="inlineStr">
        <is>
          <t>Check ip-api.com + AbuseIPDB for context</t>
        </is>
      </c>
      <c r="P1951" t="n">
        <v>0</v>
      </c>
      <c r="Q1951" t="n">
        <v>0</v>
      </c>
      <c r="R1951" t="inlineStr">
        <is>
          <t>T1110:Brute Force | T1190:Exploit Public-Facing Application | T1566:Phishing</t>
        </is>
      </c>
      <c r="S1951" t="n">
        <v>1</v>
      </c>
      <c r="T1951" t="inlineStr">
        <is>
          <t>MEDIUM (60%)</t>
        </is>
      </c>
      <c r="U1951" t="inlineStr">
        <is>
          <t>NONE</t>
        </is>
      </c>
      <c r="V1951" t="inlineStr">
        <is>
          <t>NONE</t>
        </is>
      </c>
      <c r="W1951" t="inlineStr">
        <is>
          <t>NONE</t>
        </is>
      </c>
      <c r="X1951" t="inlineStr">
        <is>
          <t>NONE</t>
        </is>
      </c>
      <c r="Y1951" t="n">
        <v>0</v>
      </c>
      <c r="Z1951" t="inlineStr"/>
      <c r="AA1951" t="inlineStr">
        <is>
          <t>https://talosintelligence.com/reputation_center/lookup?search=1.24.16.156</t>
        </is>
      </c>
    </row>
    <row r="1952">
      <c r="A1952" t="inlineStr">
        <is>
          <t>TALOS_IP</t>
        </is>
      </c>
      <c r="B1952" t="inlineStr">
        <is>
          <t>a080d8384952</t>
        </is>
      </c>
      <c r="C1952" t="inlineStr">
        <is>
          <t>Cisco Talos Blacklisted IP: 1.24.16.157 | Verified malicious | Sources: TALOS</t>
        </is>
      </c>
      <c r="D1952" t="n">
        <v>7</v>
      </c>
      <c r="E1952" t="inlineStr">
        <is>
          <t>HIGH</t>
        </is>
      </c>
      <c r="F1952" t="n">
        <v>3</v>
      </c>
      <c r="G1952" t="n">
        <v>2</v>
      </c>
      <c r="H1952" t="inlineStr">
        <is>
          <t>HIGH</t>
        </is>
      </c>
      <c r="I1952" t="n">
        <v>13</v>
      </c>
      <c r="J1952" t="inlineStr">
        <is>
          <t>NO</t>
        </is>
      </c>
      <c r="K1952" t="inlineStr">
        <is>
          <t>2026-02-26 00:15</t>
        </is>
      </c>
      <c r="L1952" t="inlineStr">
        <is>
          <t>Block IP</t>
        </is>
      </c>
      <c r="M1952" t="inlineStr">
        <is>
          <t>Network perimeter / Email / Web</t>
        </is>
      </c>
      <c r="N1952" t="inlineStr">
        <is>
          <t>P3</t>
        </is>
      </c>
      <c r="O1952" t="inlineStr">
        <is>
          <t>Check ip-api.com + AbuseIPDB for context</t>
        </is>
      </c>
      <c r="P1952" t="n">
        <v>0</v>
      </c>
      <c r="Q1952" t="n">
        <v>0</v>
      </c>
      <c r="R1952" t="inlineStr">
        <is>
          <t>T1110:Brute Force | T1190:Exploit Public-Facing Application | T1566:Phishing</t>
        </is>
      </c>
      <c r="S1952" t="n">
        <v>1</v>
      </c>
      <c r="T1952" t="inlineStr">
        <is>
          <t>MEDIUM (60%)</t>
        </is>
      </c>
      <c r="U1952" t="inlineStr">
        <is>
          <t>NONE</t>
        </is>
      </c>
      <c r="V1952" t="inlineStr">
        <is>
          <t>NONE</t>
        </is>
      </c>
      <c r="W1952" t="inlineStr">
        <is>
          <t>NONE</t>
        </is>
      </c>
      <c r="X1952" t="inlineStr">
        <is>
          <t>NONE</t>
        </is>
      </c>
      <c r="Y1952" t="n">
        <v>0</v>
      </c>
      <c r="Z1952" t="inlineStr"/>
      <c r="AA1952" t="inlineStr">
        <is>
          <t>https://talosintelligence.com/reputation_center/lookup?search=1.24.16.157</t>
        </is>
      </c>
    </row>
    <row r="1953">
      <c r="A1953" t="inlineStr">
        <is>
          <t>TALOS_IP</t>
        </is>
      </c>
      <c r="B1953" t="inlineStr">
        <is>
          <t>9bde7a56c487</t>
        </is>
      </c>
      <c r="C1953" t="inlineStr">
        <is>
          <t>Cisco Talos Blacklisted IP: 1.24.16.159 | Verified malicious | Sources: TALOS</t>
        </is>
      </c>
      <c r="D1953" t="n">
        <v>7</v>
      </c>
      <c r="E1953" t="inlineStr">
        <is>
          <t>HIGH</t>
        </is>
      </c>
      <c r="F1953" t="n">
        <v>3</v>
      </c>
      <c r="G1953" t="n">
        <v>2</v>
      </c>
      <c r="H1953" t="inlineStr">
        <is>
          <t>HIGH</t>
        </is>
      </c>
      <c r="I1953" t="n">
        <v>13</v>
      </c>
      <c r="J1953" t="inlineStr">
        <is>
          <t>NO</t>
        </is>
      </c>
      <c r="K1953" t="inlineStr">
        <is>
          <t>2026-02-26 00:15</t>
        </is>
      </c>
      <c r="L1953" t="inlineStr">
        <is>
          <t>Block IP</t>
        </is>
      </c>
      <c r="M1953" t="inlineStr">
        <is>
          <t>Network perimeter / Email / Web</t>
        </is>
      </c>
      <c r="N1953" t="inlineStr">
        <is>
          <t>P3</t>
        </is>
      </c>
      <c r="O1953" t="inlineStr">
        <is>
          <t>Check ip-api.com + AbuseIPDB for context</t>
        </is>
      </c>
      <c r="P1953" t="n">
        <v>0</v>
      </c>
      <c r="Q1953" t="n">
        <v>0</v>
      </c>
      <c r="R1953" t="inlineStr">
        <is>
          <t>T1110:Brute Force | T1190:Exploit Public-Facing Application | T1566:Phishing</t>
        </is>
      </c>
      <c r="S1953" t="n">
        <v>1</v>
      </c>
      <c r="T1953" t="inlineStr">
        <is>
          <t>MEDIUM (60%)</t>
        </is>
      </c>
      <c r="U1953" t="inlineStr">
        <is>
          <t>NONE</t>
        </is>
      </c>
      <c r="V1953" t="inlineStr">
        <is>
          <t>NONE</t>
        </is>
      </c>
      <c r="W1953" t="inlineStr">
        <is>
          <t>NONE</t>
        </is>
      </c>
      <c r="X1953" t="inlineStr">
        <is>
          <t>NONE</t>
        </is>
      </c>
      <c r="Y1953" t="n">
        <v>0</v>
      </c>
      <c r="Z1953" t="inlineStr"/>
      <c r="AA1953" t="inlineStr">
        <is>
          <t>https://talosintelligence.com/reputation_center/lookup?search=1.24.16.159</t>
        </is>
      </c>
    </row>
    <row r="1954">
      <c r="A1954" t="inlineStr">
        <is>
          <t>TALOS_IP</t>
        </is>
      </c>
      <c r="B1954" t="inlineStr">
        <is>
          <t>afd5213b6785</t>
        </is>
      </c>
      <c r="C1954" t="inlineStr">
        <is>
          <t>Cisco Talos Blacklisted IP: 1.24.16.162 | Verified malicious | Sources: TALOS</t>
        </is>
      </c>
      <c r="D1954" t="n">
        <v>7</v>
      </c>
      <c r="E1954" t="inlineStr">
        <is>
          <t>HIGH</t>
        </is>
      </c>
      <c r="F1954" t="n">
        <v>3</v>
      </c>
      <c r="G1954" t="n">
        <v>2</v>
      </c>
      <c r="H1954" t="inlineStr">
        <is>
          <t>HIGH</t>
        </is>
      </c>
      <c r="I1954" t="n">
        <v>13</v>
      </c>
      <c r="J1954" t="inlineStr">
        <is>
          <t>NO</t>
        </is>
      </c>
      <c r="K1954" t="inlineStr">
        <is>
          <t>2026-02-26 00:15</t>
        </is>
      </c>
      <c r="L1954" t="inlineStr">
        <is>
          <t>Block IP</t>
        </is>
      </c>
      <c r="M1954" t="inlineStr">
        <is>
          <t>Network perimeter / Email / Web</t>
        </is>
      </c>
      <c r="N1954" t="inlineStr">
        <is>
          <t>P3</t>
        </is>
      </c>
      <c r="O1954" t="inlineStr">
        <is>
          <t>Check ip-api.com + AbuseIPDB for context</t>
        </is>
      </c>
      <c r="P1954" t="n">
        <v>0</v>
      </c>
      <c r="Q1954" t="n">
        <v>0</v>
      </c>
      <c r="R1954" t="inlineStr">
        <is>
          <t>T1110:Brute Force | T1190:Exploit Public-Facing Application | T1566:Phishing</t>
        </is>
      </c>
      <c r="S1954" t="n">
        <v>1</v>
      </c>
      <c r="T1954" t="inlineStr">
        <is>
          <t>MEDIUM (60%)</t>
        </is>
      </c>
      <c r="U1954" t="inlineStr">
        <is>
          <t>NONE</t>
        </is>
      </c>
      <c r="V1954" t="inlineStr">
        <is>
          <t>NONE</t>
        </is>
      </c>
      <c r="W1954" t="inlineStr">
        <is>
          <t>NONE</t>
        </is>
      </c>
      <c r="X1954" t="inlineStr">
        <is>
          <t>NONE</t>
        </is>
      </c>
      <c r="Y1954" t="n">
        <v>0</v>
      </c>
      <c r="Z1954" t="inlineStr"/>
      <c r="AA1954" t="inlineStr">
        <is>
          <t>https://talosintelligence.com/reputation_center/lookup?search=1.24.16.162</t>
        </is>
      </c>
    </row>
    <row r="1955">
      <c r="A1955" t="inlineStr">
        <is>
          <t>TALOS_IP</t>
        </is>
      </c>
      <c r="B1955" t="inlineStr">
        <is>
          <t>5711df958d2c</t>
        </is>
      </c>
      <c r="C1955" t="inlineStr">
        <is>
          <t>Cisco Talos Blacklisted IP: 1.24.16.163 | Verified malicious | Sources: TALOS</t>
        </is>
      </c>
      <c r="D1955" t="n">
        <v>7</v>
      </c>
      <c r="E1955" t="inlineStr">
        <is>
          <t>HIGH</t>
        </is>
      </c>
      <c r="F1955" t="n">
        <v>3</v>
      </c>
      <c r="G1955" t="n">
        <v>2</v>
      </c>
      <c r="H1955" t="inlineStr">
        <is>
          <t>HIGH</t>
        </is>
      </c>
      <c r="I1955" t="n">
        <v>13</v>
      </c>
      <c r="J1955" t="inlineStr">
        <is>
          <t>NO</t>
        </is>
      </c>
      <c r="K1955" t="inlineStr">
        <is>
          <t>2026-02-26 00:15</t>
        </is>
      </c>
      <c r="L1955" t="inlineStr">
        <is>
          <t>Block IP</t>
        </is>
      </c>
      <c r="M1955" t="inlineStr">
        <is>
          <t>Network perimeter / Email / Web</t>
        </is>
      </c>
      <c r="N1955" t="inlineStr">
        <is>
          <t>P3</t>
        </is>
      </c>
      <c r="O1955" t="inlineStr">
        <is>
          <t>Check ip-api.com + AbuseIPDB for context</t>
        </is>
      </c>
      <c r="P1955" t="n">
        <v>0</v>
      </c>
      <c r="Q1955" t="n">
        <v>0</v>
      </c>
      <c r="R1955" t="inlineStr">
        <is>
          <t>T1110:Brute Force | T1190:Exploit Public-Facing Application | T1566:Phishing</t>
        </is>
      </c>
      <c r="S1955" t="n">
        <v>1</v>
      </c>
      <c r="T1955" t="inlineStr">
        <is>
          <t>MEDIUM (60%)</t>
        </is>
      </c>
      <c r="U1955" t="inlineStr">
        <is>
          <t>NONE</t>
        </is>
      </c>
      <c r="V1955" t="inlineStr">
        <is>
          <t>NONE</t>
        </is>
      </c>
      <c r="W1955" t="inlineStr">
        <is>
          <t>NONE</t>
        </is>
      </c>
      <c r="X1955" t="inlineStr">
        <is>
          <t>NONE</t>
        </is>
      </c>
      <c r="Y1955" t="n">
        <v>0</v>
      </c>
      <c r="Z1955" t="inlineStr"/>
      <c r="AA1955" t="inlineStr">
        <is>
          <t>https://talosintelligence.com/reputation_center/lookup?search=1.24.16.163</t>
        </is>
      </c>
    </row>
    <row r="1956">
      <c r="A1956" t="inlineStr">
        <is>
          <t>TALOS_IP</t>
        </is>
      </c>
      <c r="B1956" t="inlineStr">
        <is>
          <t>0e3151df8d7a</t>
        </is>
      </c>
      <c r="C1956" t="inlineStr">
        <is>
          <t>Cisco Talos Blacklisted IP: 1.24.16.167 | Verified malicious | Sources: TALOS</t>
        </is>
      </c>
      <c r="D1956" t="n">
        <v>7</v>
      </c>
      <c r="E1956" t="inlineStr">
        <is>
          <t>HIGH</t>
        </is>
      </c>
      <c r="F1956" t="n">
        <v>3</v>
      </c>
      <c r="G1956" t="n">
        <v>2</v>
      </c>
      <c r="H1956" t="inlineStr">
        <is>
          <t>HIGH</t>
        </is>
      </c>
      <c r="I1956" t="n">
        <v>13</v>
      </c>
      <c r="J1956" t="inlineStr">
        <is>
          <t>NO</t>
        </is>
      </c>
      <c r="K1956" t="inlineStr">
        <is>
          <t>2026-02-26 00:15</t>
        </is>
      </c>
      <c r="L1956" t="inlineStr">
        <is>
          <t>Block IP</t>
        </is>
      </c>
      <c r="M1956" t="inlineStr">
        <is>
          <t>Network perimeter / Email / Web</t>
        </is>
      </c>
      <c r="N1956" t="inlineStr">
        <is>
          <t>P3</t>
        </is>
      </c>
      <c r="O1956" t="inlineStr">
        <is>
          <t>Check ip-api.com + AbuseIPDB for context</t>
        </is>
      </c>
      <c r="P1956" t="n">
        <v>0</v>
      </c>
      <c r="Q1956" t="n">
        <v>0</v>
      </c>
      <c r="R1956" t="inlineStr">
        <is>
          <t>T1110:Brute Force | T1190:Exploit Public-Facing Application | T1566:Phishing</t>
        </is>
      </c>
      <c r="S1956" t="n">
        <v>1</v>
      </c>
      <c r="T1956" t="inlineStr">
        <is>
          <t>MEDIUM (60%)</t>
        </is>
      </c>
      <c r="U1956" t="inlineStr">
        <is>
          <t>NONE</t>
        </is>
      </c>
      <c r="V1956" t="inlineStr">
        <is>
          <t>NONE</t>
        </is>
      </c>
      <c r="W1956" t="inlineStr">
        <is>
          <t>NONE</t>
        </is>
      </c>
      <c r="X1956" t="inlineStr">
        <is>
          <t>NONE</t>
        </is>
      </c>
      <c r="Y1956" t="n">
        <v>0</v>
      </c>
      <c r="Z1956" t="inlineStr"/>
      <c r="AA1956" t="inlineStr">
        <is>
          <t>https://talosintelligence.com/reputation_center/lookup?search=1.24.16.167</t>
        </is>
      </c>
    </row>
    <row r="1957">
      <c r="A1957" t="inlineStr">
        <is>
          <t>TALOS_IP</t>
        </is>
      </c>
      <c r="B1957" t="inlineStr">
        <is>
          <t>70086f3b4106</t>
        </is>
      </c>
      <c r="C1957" t="inlineStr">
        <is>
          <t>Cisco Talos Blacklisted IP: 1.24.16.169 | Verified malicious | Sources: TALOS</t>
        </is>
      </c>
      <c r="D1957" t="n">
        <v>7</v>
      </c>
      <c r="E1957" t="inlineStr">
        <is>
          <t>HIGH</t>
        </is>
      </c>
      <c r="F1957" t="n">
        <v>3</v>
      </c>
      <c r="G1957" t="n">
        <v>2</v>
      </c>
      <c r="H1957" t="inlineStr">
        <is>
          <t>HIGH</t>
        </is>
      </c>
      <c r="I1957" t="n">
        <v>13</v>
      </c>
      <c r="J1957" t="inlineStr">
        <is>
          <t>NO</t>
        </is>
      </c>
      <c r="K1957" t="inlineStr">
        <is>
          <t>2026-02-26 00:15</t>
        </is>
      </c>
      <c r="L1957" t="inlineStr">
        <is>
          <t>Block IP</t>
        </is>
      </c>
      <c r="M1957" t="inlineStr">
        <is>
          <t>Network perimeter / Email / Web</t>
        </is>
      </c>
      <c r="N1957" t="inlineStr">
        <is>
          <t>P3</t>
        </is>
      </c>
      <c r="O1957" t="inlineStr">
        <is>
          <t>Check ip-api.com + AbuseIPDB for context</t>
        </is>
      </c>
      <c r="P1957" t="n">
        <v>0</v>
      </c>
      <c r="Q1957" t="n">
        <v>0</v>
      </c>
      <c r="R1957" t="inlineStr">
        <is>
          <t>T1110:Brute Force | T1190:Exploit Public-Facing Application | T1566:Phishing</t>
        </is>
      </c>
      <c r="S1957" t="n">
        <v>1</v>
      </c>
      <c r="T1957" t="inlineStr">
        <is>
          <t>MEDIUM (60%)</t>
        </is>
      </c>
      <c r="U1957" t="inlineStr">
        <is>
          <t>NONE</t>
        </is>
      </c>
      <c r="V1957" t="inlineStr">
        <is>
          <t>NONE</t>
        </is>
      </c>
      <c r="W1957" t="inlineStr">
        <is>
          <t>NONE</t>
        </is>
      </c>
      <c r="X1957" t="inlineStr">
        <is>
          <t>NONE</t>
        </is>
      </c>
      <c r="Y1957" t="n">
        <v>0</v>
      </c>
      <c r="Z1957" t="inlineStr"/>
      <c r="AA1957" t="inlineStr">
        <is>
          <t>https://talosintelligence.com/reputation_center/lookup?search=1.24.16.169</t>
        </is>
      </c>
    </row>
    <row r="1958">
      <c r="A1958" t="inlineStr">
        <is>
          <t>TALOS_IP</t>
        </is>
      </c>
      <c r="B1958" t="inlineStr">
        <is>
          <t>2343dae07c3d</t>
        </is>
      </c>
      <c r="C1958" t="inlineStr">
        <is>
          <t>Cisco Talos Blacklisted IP: 1.24.16.17 | Verified malicious | Sources: TALOS</t>
        </is>
      </c>
      <c r="D1958" t="n">
        <v>7</v>
      </c>
      <c r="E1958" t="inlineStr">
        <is>
          <t>HIGH</t>
        </is>
      </c>
      <c r="F1958" t="n">
        <v>3</v>
      </c>
      <c r="G1958" t="n">
        <v>2</v>
      </c>
      <c r="H1958" t="inlineStr">
        <is>
          <t>HIGH</t>
        </is>
      </c>
      <c r="I1958" t="n">
        <v>13</v>
      </c>
      <c r="J1958" t="inlineStr">
        <is>
          <t>NO</t>
        </is>
      </c>
      <c r="K1958" t="inlineStr">
        <is>
          <t>2026-02-26 00:15</t>
        </is>
      </c>
      <c r="L1958" t="inlineStr">
        <is>
          <t>Block IP</t>
        </is>
      </c>
      <c r="M1958" t="inlineStr">
        <is>
          <t>Network perimeter / Email / Web</t>
        </is>
      </c>
      <c r="N1958" t="inlineStr">
        <is>
          <t>P3</t>
        </is>
      </c>
      <c r="O1958" t="inlineStr">
        <is>
          <t>Check ip-api.com + AbuseIPDB for context</t>
        </is>
      </c>
      <c r="P1958" t="n">
        <v>0</v>
      </c>
      <c r="Q1958" t="n">
        <v>0</v>
      </c>
      <c r="R1958" t="inlineStr">
        <is>
          <t>T1110:Brute Force | T1190:Exploit Public-Facing Application | T1566:Phishing</t>
        </is>
      </c>
      <c r="S1958" t="n">
        <v>1</v>
      </c>
      <c r="T1958" t="inlineStr">
        <is>
          <t>MEDIUM (60%)</t>
        </is>
      </c>
      <c r="U1958" t="inlineStr">
        <is>
          <t>NONE</t>
        </is>
      </c>
      <c r="V1958" t="inlineStr">
        <is>
          <t>NONE</t>
        </is>
      </c>
      <c r="W1958" t="inlineStr">
        <is>
          <t>NONE</t>
        </is>
      </c>
      <c r="X1958" t="inlineStr">
        <is>
          <t>NONE</t>
        </is>
      </c>
      <c r="Y1958" t="n">
        <v>0</v>
      </c>
      <c r="Z1958" t="inlineStr"/>
      <c r="AA1958" t="inlineStr">
        <is>
          <t>https://talosintelligence.com/reputation_center/lookup?search=1.24.16.17</t>
        </is>
      </c>
    </row>
    <row r="1959">
      <c r="A1959" t="inlineStr">
        <is>
          <t>TALOS_IP</t>
        </is>
      </c>
      <c r="B1959" t="inlineStr">
        <is>
          <t>cfbbfa6538bf</t>
        </is>
      </c>
      <c r="C1959" t="inlineStr">
        <is>
          <t>Cisco Talos Blacklisted IP: 1.24.16.170 | Verified malicious | Sources: TALOS</t>
        </is>
      </c>
      <c r="D1959" t="n">
        <v>7</v>
      </c>
      <c r="E1959" t="inlineStr">
        <is>
          <t>HIGH</t>
        </is>
      </c>
      <c r="F1959" t="n">
        <v>3</v>
      </c>
      <c r="G1959" t="n">
        <v>2</v>
      </c>
      <c r="H1959" t="inlineStr">
        <is>
          <t>HIGH</t>
        </is>
      </c>
      <c r="I1959" t="n">
        <v>13</v>
      </c>
      <c r="J1959" t="inlineStr">
        <is>
          <t>NO</t>
        </is>
      </c>
      <c r="K1959" t="inlineStr">
        <is>
          <t>2026-02-26 00:15</t>
        </is>
      </c>
      <c r="L1959" t="inlineStr">
        <is>
          <t>Block IP</t>
        </is>
      </c>
      <c r="M1959" t="inlineStr">
        <is>
          <t>Network perimeter / Email / Web</t>
        </is>
      </c>
      <c r="N1959" t="inlineStr">
        <is>
          <t>P3</t>
        </is>
      </c>
      <c r="O1959" t="inlineStr">
        <is>
          <t>Check ip-api.com + AbuseIPDB for context</t>
        </is>
      </c>
      <c r="P1959" t="n">
        <v>0</v>
      </c>
      <c r="Q1959" t="n">
        <v>0</v>
      </c>
      <c r="R1959" t="inlineStr">
        <is>
          <t>T1110:Brute Force | T1190:Exploit Public-Facing Application | T1566:Phishing</t>
        </is>
      </c>
      <c r="S1959" t="n">
        <v>1</v>
      </c>
      <c r="T1959" t="inlineStr">
        <is>
          <t>MEDIUM (60%)</t>
        </is>
      </c>
      <c r="U1959" t="inlineStr">
        <is>
          <t>NONE</t>
        </is>
      </c>
      <c r="V1959" t="inlineStr">
        <is>
          <t>NONE</t>
        </is>
      </c>
      <c r="W1959" t="inlineStr">
        <is>
          <t>NONE</t>
        </is>
      </c>
      <c r="X1959" t="inlineStr">
        <is>
          <t>NONE</t>
        </is>
      </c>
      <c r="Y1959" t="n">
        <v>0</v>
      </c>
      <c r="Z1959" t="inlineStr"/>
      <c r="AA1959" t="inlineStr">
        <is>
          <t>https://talosintelligence.com/reputation_center/lookup?search=1.24.16.170</t>
        </is>
      </c>
    </row>
    <row r="1960">
      <c r="A1960" t="inlineStr">
        <is>
          <t>TALOS_IP</t>
        </is>
      </c>
      <c r="B1960" t="inlineStr">
        <is>
          <t>da24ba105918</t>
        </is>
      </c>
      <c r="C1960" t="inlineStr">
        <is>
          <t>Cisco Talos Blacklisted IP: 1.24.16.173 | Verified malicious | Sources: TALOS</t>
        </is>
      </c>
      <c r="D1960" t="n">
        <v>7</v>
      </c>
      <c r="E1960" t="inlineStr">
        <is>
          <t>HIGH</t>
        </is>
      </c>
      <c r="F1960" t="n">
        <v>3</v>
      </c>
      <c r="G1960" t="n">
        <v>2</v>
      </c>
      <c r="H1960" t="inlineStr">
        <is>
          <t>HIGH</t>
        </is>
      </c>
      <c r="I1960" t="n">
        <v>13</v>
      </c>
      <c r="J1960" t="inlineStr">
        <is>
          <t>NO</t>
        </is>
      </c>
      <c r="K1960" t="inlineStr">
        <is>
          <t>2026-02-26 00:15</t>
        </is>
      </c>
      <c r="L1960" t="inlineStr">
        <is>
          <t>Block IP</t>
        </is>
      </c>
      <c r="M1960" t="inlineStr">
        <is>
          <t>Network perimeter / Email / Web</t>
        </is>
      </c>
      <c r="N1960" t="inlineStr">
        <is>
          <t>P3</t>
        </is>
      </c>
      <c r="O1960" t="inlineStr">
        <is>
          <t>Check ip-api.com + AbuseIPDB for context</t>
        </is>
      </c>
      <c r="P1960" t="n">
        <v>0</v>
      </c>
      <c r="Q1960" t="n">
        <v>0</v>
      </c>
      <c r="R1960" t="inlineStr">
        <is>
          <t>T1110:Brute Force | T1190:Exploit Public-Facing Application | T1566:Phishing</t>
        </is>
      </c>
      <c r="S1960" t="n">
        <v>1</v>
      </c>
      <c r="T1960" t="inlineStr">
        <is>
          <t>MEDIUM (60%)</t>
        </is>
      </c>
      <c r="U1960" t="inlineStr">
        <is>
          <t>NONE</t>
        </is>
      </c>
      <c r="V1960" t="inlineStr">
        <is>
          <t>NONE</t>
        </is>
      </c>
      <c r="W1960" t="inlineStr">
        <is>
          <t>NONE</t>
        </is>
      </c>
      <c r="X1960" t="inlineStr">
        <is>
          <t>NONE</t>
        </is>
      </c>
      <c r="Y1960" t="n">
        <v>0</v>
      </c>
      <c r="Z1960" t="inlineStr"/>
      <c r="AA1960" t="inlineStr">
        <is>
          <t>https://talosintelligence.com/reputation_center/lookup?search=1.24.16.173</t>
        </is>
      </c>
    </row>
    <row r="1961">
      <c r="A1961" t="inlineStr">
        <is>
          <t>TALOS_IP</t>
        </is>
      </c>
      <c r="B1961" t="inlineStr">
        <is>
          <t>8f372f2c27e4</t>
        </is>
      </c>
      <c r="C1961" t="inlineStr">
        <is>
          <t>Cisco Talos Blacklisted IP: 1.24.16.175 | Verified malicious | Sources: TALOS</t>
        </is>
      </c>
      <c r="D1961" t="n">
        <v>7</v>
      </c>
      <c r="E1961" t="inlineStr">
        <is>
          <t>HIGH</t>
        </is>
      </c>
      <c r="F1961" t="n">
        <v>3</v>
      </c>
      <c r="G1961" t="n">
        <v>2</v>
      </c>
      <c r="H1961" t="inlineStr">
        <is>
          <t>HIGH</t>
        </is>
      </c>
      <c r="I1961" t="n">
        <v>13</v>
      </c>
      <c r="J1961" t="inlineStr">
        <is>
          <t>NO</t>
        </is>
      </c>
      <c r="K1961" t="inlineStr">
        <is>
          <t>2026-02-26 00:15</t>
        </is>
      </c>
      <c r="L1961" t="inlineStr">
        <is>
          <t>Block IP</t>
        </is>
      </c>
      <c r="M1961" t="inlineStr">
        <is>
          <t>Network perimeter / Email / Web</t>
        </is>
      </c>
      <c r="N1961" t="inlineStr">
        <is>
          <t>P3</t>
        </is>
      </c>
      <c r="O1961" t="inlineStr">
        <is>
          <t>Check ip-api.com + AbuseIPDB for context</t>
        </is>
      </c>
      <c r="P1961" t="n">
        <v>0</v>
      </c>
      <c r="Q1961" t="n">
        <v>0</v>
      </c>
      <c r="R1961" t="inlineStr">
        <is>
          <t>T1110:Brute Force | T1190:Exploit Public-Facing Application | T1566:Phishing</t>
        </is>
      </c>
      <c r="S1961" t="n">
        <v>1</v>
      </c>
      <c r="T1961" t="inlineStr">
        <is>
          <t>MEDIUM (60%)</t>
        </is>
      </c>
      <c r="U1961" t="inlineStr">
        <is>
          <t>NONE</t>
        </is>
      </c>
      <c r="V1961" t="inlineStr">
        <is>
          <t>NONE</t>
        </is>
      </c>
      <c r="W1961" t="inlineStr">
        <is>
          <t>NONE</t>
        </is>
      </c>
      <c r="X1961" t="inlineStr">
        <is>
          <t>NONE</t>
        </is>
      </c>
      <c r="Y1961" t="n">
        <v>0</v>
      </c>
      <c r="Z1961" t="inlineStr"/>
      <c r="AA1961" t="inlineStr">
        <is>
          <t>https://talosintelligence.com/reputation_center/lookup?search=1.24.16.175</t>
        </is>
      </c>
    </row>
    <row r="1962">
      <c r="A1962" t="inlineStr">
        <is>
          <t>TALOS_IP</t>
        </is>
      </c>
      <c r="B1962" t="inlineStr">
        <is>
          <t>5b81ec84d11d</t>
        </is>
      </c>
      <c r="C1962" t="inlineStr">
        <is>
          <t>Cisco Talos Blacklisted IP: 1.24.16.179 | Verified malicious | Sources: TALOS</t>
        </is>
      </c>
      <c r="D1962" t="n">
        <v>7</v>
      </c>
      <c r="E1962" t="inlineStr">
        <is>
          <t>HIGH</t>
        </is>
      </c>
      <c r="F1962" t="n">
        <v>3</v>
      </c>
      <c r="G1962" t="n">
        <v>2</v>
      </c>
      <c r="H1962" t="inlineStr">
        <is>
          <t>HIGH</t>
        </is>
      </c>
      <c r="I1962" t="n">
        <v>13</v>
      </c>
      <c r="J1962" t="inlineStr">
        <is>
          <t>NO</t>
        </is>
      </c>
      <c r="K1962" t="inlineStr">
        <is>
          <t>2026-02-26 00:15</t>
        </is>
      </c>
      <c r="L1962" t="inlineStr">
        <is>
          <t>Block IP</t>
        </is>
      </c>
      <c r="M1962" t="inlineStr">
        <is>
          <t>Network perimeter / Email / Web</t>
        </is>
      </c>
      <c r="N1962" t="inlineStr">
        <is>
          <t>P3</t>
        </is>
      </c>
      <c r="O1962" t="inlineStr">
        <is>
          <t>Check ip-api.com + AbuseIPDB for context</t>
        </is>
      </c>
      <c r="P1962" t="n">
        <v>0</v>
      </c>
      <c r="Q1962" t="n">
        <v>0</v>
      </c>
      <c r="R1962" t="inlineStr">
        <is>
          <t>T1110:Brute Force | T1190:Exploit Public-Facing Application | T1566:Phishing</t>
        </is>
      </c>
      <c r="S1962" t="n">
        <v>1</v>
      </c>
      <c r="T1962" t="inlineStr">
        <is>
          <t>MEDIUM (60%)</t>
        </is>
      </c>
      <c r="U1962" t="inlineStr">
        <is>
          <t>NONE</t>
        </is>
      </c>
      <c r="V1962" t="inlineStr">
        <is>
          <t>NONE</t>
        </is>
      </c>
      <c r="W1962" t="inlineStr">
        <is>
          <t>NONE</t>
        </is>
      </c>
      <c r="X1962" t="inlineStr">
        <is>
          <t>NONE</t>
        </is>
      </c>
      <c r="Y1962" t="n">
        <v>0</v>
      </c>
      <c r="Z1962" t="inlineStr"/>
      <c r="AA1962" t="inlineStr">
        <is>
          <t>https://talosintelligence.com/reputation_center/lookup?search=1.24.16.179</t>
        </is>
      </c>
    </row>
    <row r="1963">
      <c r="A1963" t="inlineStr">
        <is>
          <t>TALOS_IP</t>
        </is>
      </c>
      <c r="B1963" t="inlineStr">
        <is>
          <t>5f61f9d3f17f</t>
        </is>
      </c>
      <c r="C1963" t="inlineStr">
        <is>
          <t>Cisco Talos Blacklisted IP: 1.24.16.180 | Verified malicious | Sources: TALOS</t>
        </is>
      </c>
      <c r="D1963" t="n">
        <v>7</v>
      </c>
      <c r="E1963" t="inlineStr">
        <is>
          <t>HIGH</t>
        </is>
      </c>
      <c r="F1963" t="n">
        <v>3</v>
      </c>
      <c r="G1963" t="n">
        <v>2</v>
      </c>
      <c r="H1963" t="inlineStr">
        <is>
          <t>HIGH</t>
        </is>
      </c>
      <c r="I1963" t="n">
        <v>13</v>
      </c>
      <c r="J1963" t="inlineStr">
        <is>
          <t>NO</t>
        </is>
      </c>
      <c r="K1963" t="inlineStr">
        <is>
          <t>2026-02-26 00:15</t>
        </is>
      </c>
      <c r="L1963" t="inlineStr">
        <is>
          <t>Block IP</t>
        </is>
      </c>
      <c r="M1963" t="inlineStr">
        <is>
          <t>Network perimeter / Email / Web</t>
        </is>
      </c>
      <c r="N1963" t="inlineStr">
        <is>
          <t>P3</t>
        </is>
      </c>
      <c r="O1963" t="inlineStr">
        <is>
          <t>Check ip-api.com + AbuseIPDB for context</t>
        </is>
      </c>
      <c r="P1963" t="n">
        <v>0</v>
      </c>
      <c r="Q1963" t="n">
        <v>0</v>
      </c>
      <c r="R1963" t="inlineStr">
        <is>
          <t>T1110:Brute Force | T1190:Exploit Public-Facing Application | T1566:Phishing</t>
        </is>
      </c>
      <c r="S1963" t="n">
        <v>1</v>
      </c>
      <c r="T1963" t="inlineStr">
        <is>
          <t>MEDIUM (60%)</t>
        </is>
      </c>
      <c r="U1963" t="inlineStr">
        <is>
          <t>NONE</t>
        </is>
      </c>
      <c r="V1963" t="inlineStr">
        <is>
          <t>NONE</t>
        </is>
      </c>
      <c r="W1963" t="inlineStr">
        <is>
          <t>NONE</t>
        </is>
      </c>
      <c r="X1963" t="inlineStr">
        <is>
          <t>NONE</t>
        </is>
      </c>
      <c r="Y1963" t="n">
        <v>0</v>
      </c>
      <c r="Z1963" t="inlineStr"/>
      <c r="AA1963" t="inlineStr">
        <is>
          <t>https://talosintelligence.com/reputation_center/lookup?search=1.24.16.180</t>
        </is>
      </c>
    </row>
    <row r="1964">
      <c r="A1964" t="inlineStr">
        <is>
          <t>TALOS_IP</t>
        </is>
      </c>
      <c r="B1964" t="inlineStr">
        <is>
          <t>df69890b86b8</t>
        </is>
      </c>
      <c r="C1964" t="inlineStr">
        <is>
          <t>Cisco Talos Blacklisted IP: 1.24.16.181 | Verified malicious | Sources: TALOS</t>
        </is>
      </c>
      <c r="D1964" t="n">
        <v>7</v>
      </c>
      <c r="E1964" t="inlineStr">
        <is>
          <t>HIGH</t>
        </is>
      </c>
      <c r="F1964" t="n">
        <v>3</v>
      </c>
      <c r="G1964" t="n">
        <v>2</v>
      </c>
      <c r="H1964" t="inlineStr">
        <is>
          <t>HIGH</t>
        </is>
      </c>
      <c r="I1964" t="n">
        <v>13</v>
      </c>
      <c r="J1964" t="inlineStr">
        <is>
          <t>NO</t>
        </is>
      </c>
      <c r="K1964" t="inlineStr">
        <is>
          <t>2026-02-26 00:15</t>
        </is>
      </c>
      <c r="L1964" t="inlineStr">
        <is>
          <t>Block IP</t>
        </is>
      </c>
      <c r="M1964" t="inlineStr">
        <is>
          <t>Network perimeter / Email / Web</t>
        </is>
      </c>
      <c r="N1964" t="inlineStr">
        <is>
          <t>P3</t>
        </is>
      </c>
      <c r="O1964" t="inlineStr">
        <is>
          <t>Check ip-api.com + AbuseIPDB for context</t>
        </is>
      </c>
      <c r="P1964" t="n">
        <v>0</v>
      </c>
      <c r="Q1964" t="n">
        <v>0</v>
      </c>
      <c r="R1964" t="inlineStr">
        <is>
          <t>T1110:Brute Force | T1190:Exploit Public-Facing Application | T1566:Phishing</t>
        </is>
      </c>
      <c r="S1964" t="n">
        <v>1</v>
      </c>
      <c r="T1964" t="inlineStr">
        <is>
          <t>MEDIUM (60%)</t>
        </is>
      </c>
      <c r="U1964" t="inlineStr">
        <is>
          <t>NONE</t>
        </is>
      </c>
      <c r="V1964" t="inlineStr">
        <is>
          <t>NONE</t>
        </is>
      </c>
      <c r="W1964" t="inlineStr">
        <is>
          <t>NONE</t>
        </is>
      </c>
      <c r="X1964" t="inlineStr">
        <is>
          <t>NONE</t>
        </is>
      </c>
      <c r="Y1964" t="n">
        <v>0</v>
      </c>
      <c r="Z1964" t="inlineStr"/>
      <c r="AA1964" t="inlineStr">
        <is>
          <t>https://talosintelligence.com/reputation_center/lookup?search=1.24.16.181</t>
        </is>
      </c>
    </row>
    <row r="1965">
      <c r="A1965" t="inlineStr">
        <is>
          <t>TALOS_IP</t>
        </is>
      </c>
      <c r="B1965" t="inlineStr">
        <is>
          <t>01c1d2775c7f</t>
        </is>
      </c>
      <c r="C1965" t="inlineStr">
        <is>
          <t>Cisco Talos Blacklisted IP: 1.24.16.182 | Verified malicious | Sources: TALOS</t>
        </is>
      </c>
      <c r="D1965" t="n">
        <v>7</v>
      </c>
      <c r="E1965" t="inlineStr">
        <is>
          <t>HIGH</t>
        </is>
      </c>
      <c r="F1965" t="n">
        <v>3</v>
      </c>
      <c r="G1965" t="n">
        <v>2</v>
      </c>
      <c r="H1965" t="inlineStr">
        <is>
          <t>HIGH</t>
        </is>
      </c>
      <c r="I1965" t="n">
        <v>13</v>
      </c>
      <c r="J1965" t="inlineStr">
        <is>
          <t>NO</t>
        </is>
      </c>
      <c r="K1965" t="inlineStr">
        <is>
          <t>2026-02-26 00:15</t>
        </is>
      </c>
      <c r="L1965" t="inlineStr">
        <is>
          <t>Block IP</t>
        </is>
      </c>
      <c r="M1965" t="inlineStr">
        <is>
          <t>Network perimeter / Email / Web</t>
        </is>
      </c>
      <c r="N1965" t="inlineStr">
        <is>
          <t>P3</t>
        </is>
      </c>
      <c r="O1965" t="inlineStr">
        <is>
          <t>Check ip-api.com + AbuseIPDB for context</t>
        </is>
      </c>
      <c r="P1965" t="n">
        <v>0</v>
      </c>
      <c r="Q1965" t="n">
        <v>0</v>
      </c>
      <c r="R1965" t="inlineStr">
        <is>
          <t>T1110:Brute Force | T1190:Exploit Public-Facing Application | T1566:Phishing</t>
        </is>
      </c>
      <c r="S1965" t="n">
        <v>1</v>
      </c>
      <c r="T1965" t="inlineStr">
        <is>
          <t>MEDIUM (60%)</t>
        </is>
      </c>
      <c r="U1965" t="inlineStr">
        <is>
          <t>NONE</t>
        </is>
      </c>
      <c r="V1965" t="inlineStr">
        <is>
          <t>NONE</t>
        </is>
      </c>
      <c r="W1965" t="inlineStr">
        <is>
          <t>NONE</t>
        </is>
      </c>
      <c r="X1965" t="inlineStr">
        <is>
          <t>NONE</t>
        </is>
      </c>
      <c r="Y1965" t="n">
        <v>0</v>
      </c>
      <c r="Z1965" t="inlineStr"/>
      <c r="AA1965" t="inlineStr">
        <is>
          <t>https://talosintelligence.com/reputation_center/lookup?search=1.24.16.182</t>
        </is>
      </c>
    </row>
    <row r="1966">
      <c r="A1966" t="inlineStr">
        <is>
          <t>TALOS_IP</t>
        </is>
      </c>
      <c r="B1966" t="inlineStr">
        <is>
          <t>16a495dd4783</t>
        </is>
      </c>
      <c r="C1966" t="inlineStr">
        <is>
          <t>Cisco Talos Blacklisted IP: 1.24.16.185 | Verified malicious | Sources: TALOS</t>
        </is>
      </c>
      <c r="D1966" t="n">
        <v>7</v>
      </c>
      <c r="E1966" t="inlineStr">
        <is>
          <t>HIGH</t>
        </is>
      </c>
      <c r="F1966" t="n">
        <v>3</v>
      </c>
      <c r="G1966" t="n">
        <v>2</v>
      </c>
      <c r="H1966" t="inlineStr">
        <is>
          <t>HIGH</t>
        </is>
      </c>
      <c r="I1966" t="n">
        <v>13</v>
      </c>
      <c r="J1966" t="inlineStr">
        <is>
          <t>NO</t>
        </is>
      </c>
      <c r="K1966" t="inlineStr">
        <is>
          <t>2026-02-26 00:15</t>
        </is>
      </c>
      <c r="L1966" t="inlineStr">
        <is>
          <t>Block IP</t>
        </is>
      </c>
      <c r="M1966" t="inlineStr">
        <is>
          <t>Network perimeter / Email / Web</t>
        </is>
      </c>
      <c r="N1966" t="inlineStr">
        <is>
          <t>P3</t>
        </is>
      </c>
      <c r="O1966" t="inlineStr">
        <is>
          <t>Check ip-api.com + AbuseIPDB for context</t>
        </is>
      </c>
      <c r="P1966" t="n">
        <v>0</v>
      </c>
      <c r="Q1966" t="n">
        <v>0</v>
      </c>
      <c r="R1966" t="inlineStr">
        <is>
          <t>T1110:Brute Force | T1190:Exploit Public-Facing Application | T1566:Phishing</t>
        </is>
      </c>
      <c r="S1966" t="n">
        <v>1</v>
      </c>
      <c r="T1966" t="inlineStr">
        <is>
          <t>MEDIUM (60%)</t>
        </is>
      </c>
      <c r="U1966" t="inlineStr">
        <is>
          <t>NONE</t>
        </is>
      </c>
      <c r="V1966" t="inlineStr">
        <is>
          <t>NONE</t>
        </is>
      </c>
      <c r="W1966" t="inlineStr">
        <is>
          <t>NONE</t>
        </is>
      </c>
      <c r="X1966" t="inlineStr">
        <is>
          <t>NONE</t>
        </is>
      </c>
      <c r="Y1966" t="n">
        <v>0</v>
      </c>
      <c r="Z1966" t="inlineStr"/>
      <c r="AA1966" t="inlineStr">
        <is>
          <t>https://talosintelligence.com/reputation_center/lookup?search=1.24.16.185</t>
        </is>
      </c>
    </row>
    <row r="1967">
      <c r="A1967" t="inlineStr">
        <is>
          <t>TALOS_IP</t>
        </is>
      </c>
      <c r="B1967" t="inlineStr">
        <is>
          <t>60b95873f2e3</t>
        </is>
      </c>
      <c r="C1967" t="inlineStr">
        <is>
          <t>Cisco Talos Blacklisted IP: 1.24.16.187 | Verified malicious | Sources: TALOS</t>
        </is>
      </c>
      <c r="D1967" t="n">
        <v>7</v>
      </c>
      <c r="E1967" t="inlineStr">
        <is>
          <t>HIGH</t>
        </is>
      </c>
      <c r="F1967" t="n">
        <v>3</v>
      </c>
      <c r="G1967" t="n">
        <v>2</v>
      </c>
      <c r="H1967" t="inlineStr">
        <is>
          <t>HIGH</t>
        </is>
      </c>
      <c r="I1967" t="n">
        <v>13</v>
      </c>
      <c r="J1967" t="inlineStr">
        <is>
          <t>NO</t>
        </is>
      </c>
      <c r="K1967" t="inlineStr">
        <is>
          <t>2026-02-26 00:15</t>
        </is>
      </c>
      <c r="L1967" t="inlineStr">
        <is>
          <t>Block IP</t>
        </is>
      </c>
      <c r="M1967" t="inlineStr">
        <is>
          <t>Network perimeter / Email / Web</t>
        </is>
      </c>
      <c r="N1967" t="inlineStr">
        <is>
          <t>P3</t>
        </is>
      </c>
      <c r="O1967" t="inlineStr">
        <is>
          <t>Check ip-api.com + AbuseIPDB for context</t>
        </is>
      </c>
      <c r="P1967" t="n">
        <v>0</v>
      </c>
      <c r="Q1967" t="n">
        <v>0</v>
      </c>
      <c r="R1967" t="inlineStr">
        <is>
          <t>T1110:Brute Force | T1190:Exploit Public-Facing Application | T1566:Phishing</t>
        </is>
      </c>
      <c r="S1967" t="n">
        <v>1</v>
      </c>
      <c r="T1967" t="inlineStr">
        <is>
          <t>MEDIUM (60%)</t>
        </is>
      </c>
      <c r="U1967" t="inlineStr">
        <is>
          <t>NONE</t>
        </is>
      </c>
      <c r="V1967" t="inlineStr">
        <is>
          <t>NONE</t>
        </is>
      </c>
      <c r="W1967" t="inlineStr">
        <is>
          <t>NONE</t>
        </is>
      </c>
      <c r="X1967" t="inlineStr">
        <is>
          <t>NONE</t>
        </is>
      </c>
      <c r="Y1967" t="n">
        <v>0</v>
      </c>
      <c r="Z1967" t="inlineStr"/>
      <c r="AA1967" t="inlineStr">
        <is>
          <t>https://talosintelligence.com/reputation_center/lookup?search=1.24.16.187</t>
        </is>
      </c>
    </row>
    <row r="1968">
      <c r="A1968" t="inlineStr">
        <is>
          <t>TALOS_IP</t>
        </is>
      </c>
      <c r="B1968" t="inlineStr">
        <is>
          <t>f7358660f9d7</t>
        </is>
      </c>
      <c r="C1968" t="inlineStr">
        <is>
          <t>Cisco Talos Blacklisted IP: 1.24.16.193 | Verified malicious | Sources: TALOS</t>
        </is>
      </c>
      <c r="D1968" t="n">
        <v>7</v>
      </c>
      <c r="E1968" t="inlineStr">
        <is>
          <t>HIGH</t>
        </is>
      </c>
      <c r="F1968" t="n">
        <v>3</v>
      </c>
      <c r="G1968" t="n">
        <v>2</v>
      </c>
      <c r="H1968" t="inlineStr">
        <is>
          <t>HIGH</t>
        </is>
      </c>
      <c r="I1968" t="n">
        <v>13</v>
      </c>
      <c r="J1968" t="inlineStr">
        <is>
          <t>NO</t>
        </is>
      </c>
      <c r="K1968" t="inlineStr">
        <is>
          <t>2026-02-26 00:15</t>
        </is>
      </c>
      <c r="L1968" t="inlineStr">
        <is>
          <t>Block IP</t>
        </is>
      </c>
      <c r="M1968" t="inlineStr">
        <is>
          <t>Network perimeter / Email / Web</t>
        </is>
      </c>
      <c r="N1968" t="inlineStr">
        <is>
          <t>P3</t>
        </is>
      </c>
      <c r="O1968" t="inlineStr">
        <is>
          <t>Check ip-api.com + AbuseIPDB for context</t>
        </is>
      </c>
      <c r="P1968" t="n">
        <v>0</v>
      </c>
      <c r="Q1968" t="n">
        <v>0</v>
      </c>
      <c r="R1968" t="inlineStr">
        <is>
          <t>T1110:Brute Force | T1190:Exploit Public-Facing Application | T1566:Phishing</t>
        </is>
      </c>
      <c r="S1968" t="n">
        <v>1</v>
      </c>
      <c r="T1968" t="inlineStr">
        <is>
          <t>MEDIUM (60%)</t>
        </is>
      </c>
      <c r="U1968" t="inlineStr">
        <is>
          <t>NONE</t>
        </is>
      </c>
      <c r="V1968" t="inlineStr">
        <is>
          <t>NONE</t>
        </is>
      </c>
      <c r="W1968" t="inlineStr">
        <is>
          <t>NONE</t>
        </is>
      </c>
      <c r="X1968" t="inlineStr">
        <is>
          <t>NONE</t>
        </is>
      </c>
      <c r="Y1968" t="n">
        <v>0</v>
      </c>
      <c r="Z1968" t="inlineStr"/>
      <c r="AA1968" t="inlineStr">
        <is>
          <t>https://talosintelligence.com/reputation_center/lookup?search=1.24.16.193</t>
        </is>
      </c>
    </row>
    <row r="1969">
      <c r="A1969" t="inlineStr">
        <is>
          <t>TALOS_IP</t>
        </is>
      </c>
      <c r="B1969" t="inlineStr">
        <is>
          <t>f38c7afc0425</t>
        </is>
      </c>
      <c r="C1969" t="inlineStr">
        <is>
          <t>Cisco Talos Blacklisted IP: 1.24.16.198 | Verified malicious | Sources: TALOS</t>
        </is>
      </c>
      <c r="D1969" t="n">
        <v>7</v>
      </c>
      <c r="E1969" t="inlineStr">
        <is>
          <t>HIGH</t>
        </is>
      </c>
      <c r="F1969" t="n">
        <v>3</v>
      </c>
      <c r="G1969" t="n">
        <v>2</v>
      </c>
      <c r="H1969" t="inlineStr">
        <is>
          <t>HIGH</t>
        </is>
      </c>
      <c r="I1969" t="n">
        <v>13</v>
      </c>
      <c r="J1969" t="inlineStr">
        <is>
          <t>NO</t>
        </is>
      </c>
      <c r="K1969" t="inlineStr">
        <is>
          <t>2026-02-26 00:15</t>
        </is>
      </c>
      <c r="L1969" t="inlineStr">
        <is>
          <t>Block IP</t>
        </is>
      </c>
      <c r="M1969" t="inlineStr">
        <is>
          <t>Network perimeter / Email / Web</t>
        </is>
      </c>
      <c r="N1969" t="inlineStr">
        <is>
          <t>P3</t>
        </is>
      </c>
      <c r="O1969" t="inlineStr">
        <is>
          <t>Check ip-api.com + AbuseIPDB for context</t>
        </is>
      </c>
      <c r="P1969" t="n">
        <v>0</v>
      </c>
      <c r="Q1969" t="n">
        <v>0</v>
      </c>
      <c r="R1969" t="inlineStr">
        <is>
          <t>T1110:Brute Force | T1190:Exploit Public-Facing Application | T1566:Phishing</t>
        </is>
      </c>
      <c r="S1969" t="n">
        <v>1</v>
      </c>
      <c r="T1969" t="inlineStr">
        <is>
          <t>MEDIUM (60%)</t>
        </is>
      </c>
      <c r="U1969" t="inlineStr">
        <is>
          <t>NONE</t>
        </is>
      </c>
      <c r="V1969" t="inlineStr">
        <is>
          <t>NONE</t>
        </is>
      </c>
      <c r="W1969" t="inlineStr">
        <is>
          <t>NONE</t>
        </is>
      </c>
      <c r="X1969" t="inlineStr">
        <is>
          <t>NONE</t>
        </is>
      </c>
      <c r="Y1969" t="n">
        <v>0</v>
      </c>
      <c r="Z1969" t="inlineStr"/>
      <c r="AA1969" t="inlineStr">
        <is>
          <t>https://talosintelligence.com/reputation_center/lookup?search=1.24.16.198</t>
        </is>
      </c>
    </row>
    <row r="1970">
      <c r="A1970" t="inlineStr">
        <is>
          <t>TALOS_IP</t>
        </is>
      </c>
      <c r="B1970" t="inlineStr">
        <is>
          <t>b9c7d532eb2f</t>
        </is>
      </c>
      <c r="C1970" t="inlineStr">
        <is>
          <t>Cisco Talos Blacklisted IP: 1.24.16.202 | Verified malicious | Sources: TALOS</t>
        </is>
      </c>
      <c r="D1970" t="n">
        <v>7</v>
      </c>
      <c r="E1970" t="inlineStr">
        <is>
          <t>HIGH</t>
        </is>
      </c>
      <c r="F1970" t="n">
        <v>3</v>
      </c>
      <c r="G1970" t="n">
        <v>2</v>
      </c>
      <c r="H1970" t="inlineStr">
        <is>
          <t>HIGH</t>
        </is>
      </c>
      <c r="I1970" t="n">
        <v>13</v>
      </c>
      <c r="J1970" t="inlineStr">
        <is>
          <t>NO</t>
        </is>
      </c>
      <c r="K1970" t="inlineStr">
        <is>
          <t>2026-02-26 00:15</t>
        </is>
      </c>
      <c r="L1970" t="inlineStr">
        <is>
          <t>Block IP</t>
        </is>
      </c>
      <c r="M1970" t="inlineStr">
        <is>
          <t>Network perimeter / Email / Web</t>
        </is>
      </c>
      <c r="N1970" t="inlineStr">
        <is>
          <t>P3</t>
        </is>
      </c>
      <c r="O1970" t="inlineStr">
        <is>
          <t>Check ip-api.com + AbuseIPDB for context</t>
        </is>
      </c>
      <c r="P1970" t="n">
        <v>0</v>
      </c>
      <c r="Q1970" t="n">
        <v>0</v>
      </c>
      <c r="R1970" t="inlineStr">
        <is>
          <t>T1110:Brute Force | T1190:Exploit Public-Facing Application | T1566:Phishing</t>
        </is>
      </c>
      <c r="S1970" t="n">
        <v>1</v>
      </c>
      <c r="T1970" t="inlineStr">
        <is>
          <t>MEDIUM (60%)</t>
        </is>
      </c>
      <c r="U1970" t="inlineStr">
        <is>
          <t>NONE</t>
        </is>
      </c>
      <c r="V1970" t="inlineStr">
        <is>
          <t>NONE</t>
        </is>
      </c>
      <c r="W1970" t="inlineStr">
        <is>
          <t>NONE</t>
        </is>
      </c>
      <c r="X1970" t="inlineStr">
        <is>
          <t>NONE</t>
        </is>
      </c>
      <c r="Y1970" t="n">
        <v>0</v>
      </c>
      <c r="Z1970" t="inlineStr"/>
      <c r="AA1970" t="inlineStr">
        <is>
          <t>https://talosintelligence.com/reputation_center/lookup?search=1.24.16.202</t>
        </is>
      </c>
    </row>
    <row r="1971">
      <c r="A1971" t="inlineStr">
        <is>
          <t>TALOS_IP</t>
        </is>
      </c>
      <c r="B1971" t="inlineStr">
        <is>
          <t>aa4102808368</t>
        </is>
      </c>
      <c r="C1971" t="inlineStr">
        <is>
          <t>Cisco Talos Blacklisted IP: 1.24.16.203 | Verified malicious | Sources: TALOS</t>
        </is>
      </c>
      <c r="D1971" t="n">
        <v>7</v>
      </c>
      <c r="E1971" t="inlineStr">
        <is>
          <t>HIGH</t>
        </is>
      </c>
      <c r="F1971" t="n">
        <v>3</v>
      </c>
      <c r="G1971" t="n">
        <v>2</v>
      </c>
      <c r="H1971" t="inlineStr">
        <is>
          <t>HIGH</t>
        </is>
      </c>
      <c r="I1971" t="n">
        <v>13</v>
      </c>
      <c r="J1971" t="inlineStr">
        <is>
          <t>NO</t>
        </is>
      </c>
      <c r="K1971" t="inlineStr">
        <is>
          <t>2026-02-26 00:15</t>
        </is>
      </c>
      <c r="L1971" t="inlineStr">
        <is>
          <t>Block IP</t>
        </is>
      </c>
      <c r="M1971" t="inlineStr">
        <is>
          <t>Network perimeter / Email / Web</t>
        </is>
      </c>
      <c r="N1971" t="inlineStr">
        <is>
          <t>P3</t>
        </is>
      </c>
      <c r="O1971" t="inlineStr">
        <is>
          <t>Check ip-api.com + AbuseIPDB for context</t>
        </is>
      </c>
      <c r="P1971" t="n">
        <v>0</v>
      </c>
      <c r="Q1971" t="n">
        <v>0</v>
      </c>
      <c r="R1971" t="inlineStr">
        <is>
          <t>T1110:Brute Force | T1190:Exploit Public-Facing Application | T1566:Phishing</t>
        </is>
      </c>
      <c r="S1971" t="n">
        <v>1</v>
      </c>
      <c r="T1971" t="inlineStr">
        <is>
          <t>MEDIUM (60%)</t>
        </is>
      </c>
      <c r="U1971" t="inlineStr">
        <is>
          <t>NONE</t>
        </is>
      </c>
      <c r="V1971" t="inlineStr">
        <is>
          <t>NONE</t>
        </is>
      </c>
      <c r="W1971" t="inlineStr">
        <is>
          <t>NONE</t>
        </is>
      </c>
      <c r="X1971" t="inlineStr">
        <is>
          <t>NONE</t>
        </is>
      </c>
      <c r="Y1971" t="n">
        <v>0</v>
      </c>
      <c r="Z1971" t="inlineStr"/>
      <c r="AA1971" t="inlineStr">
        <is>
          <t>https://talosintelligence.com/reputation_center/lookup?search=1.24.16.203</t>
        </is>
      </c>
    </row>
    <row r="1972">
      <c r="A1972" t="inlineStr">
        <is>
          <t>TALOS_IP</t>
        </is>
      </c>
      <c r="B1972" t="inlineStr">
        <is>
          <t>35a9c287f305</t>
        </is>
      </c>
      <c r="C1972" t="inlineStr">
        <is>
          <t>Cisco Talos Blacklisted IP: 1.24.16.210 | Verified malicious | Sources: TALOS</t>
        </is>
      </c>
      <c r="D1972" t="n">
        <v>7</v>
      </c>
      <c r="E1972" t="inlineStr">
        <is>
          <t>HIGH</t>
        </is>
      </c>
      <c r="F1972" t="n">
        <v>3</v>
      </c>
      <c r="G1972" t="n">
        <v>2</v>
      </c>
      <c r="H1972" t="inlineStr">
        <is>
          <t>HIGH</t>
        </is>
      </c>
      <c r="I1972" t="n">
        <v>13</v>
      </c>
      <c r="J1972" t="inlineStr">
        <is>
          <t>NO</t>
        </is>
      </c>
      <c r="K1972" t="inlineStr">
        <is>
          <t>2026-02-26 00:15</t>
        </is>
      </c>
      <c r="L1972" t="inlineStr">
        <is>
          <t>Block IP</t>
        </is>
      </c>
      <c r="M1972" t="inlineStr">
        <is>
          <t>Network perimeter / Email / Web</t>
        </is>
      </c>
      <c r="N1972" t="inlineStr">
        <is>
          <t>P3</t>
        </is>
      </c>
      <c r="O1972" t="inlineStr">
        <is>
          <t>Check ip-api.com + AbuseIPDB for context</t>
        </is>
      </c>
      <c r="P1972" t="n">
        <v>0</v>
      </c>
      <c r="Q1972" t="n">
        <v>0</v>
      </c>
      <c r="R1972" t="inlineStr">
        <is>
          <t>T1110:Brute Force | T1190:Exploit Public-Facing Application | T1566:Phishing</t>
        </is>
      </c>
      <c r="S1972" t="n">
        <v>1</v>
      </c>
      <c r="T1972" t="inlineStr">
        <is>
          <t>MEDIUM (60%)</t>
        </is>
      </c>
      <c r="U1972" t="inlineStr">
        <is>
          <t>NONE</t>
        </is>
      </c>
      <c r="V1972" t="inlineStr">
        <is>
          <t>NONE</t>
        </is>
      </c>
      <c r="W1972" t="inlineStr">
        <is>
          <t>NONE</t>
        </is>
      </c>
      <c r="X1972" t="inlineStr">
        <is>
          <t>NONE</t>
        </is>
      </c>
      <c r="Y1972" t="n">
        <v>0</v>
      </c>
      <c r="Z1972" t="inlineStr"/>
      <c r="AA1972" t="inlineStr">
        <is>
          <t>https://talosintelligence.com/reputation_center/lookup?search=1.24.16.210</t>
        </is>
      </c>
    </row>
    <row r="1973">
      <c r="A1973" t="inlineStr">
        <is>
          <t>TALOS_IP</t>
        </is>
      </c>
      <c r="B1973" t="inlineStr">
        <is>
          <t>46c0c881078a</t>
        </is>
      </c>
      <c r="C1973" t="inlineStr">
        <is>
          <t>Cisco Talos Blacklisted IP: 1.24.16.211 | Verified malicious | Sources: TALOS</t>
        </is>
      </c>
      <c r="D1973" t="n">
        <v>7</v>
      </c>
      <c r="E1973" t="inlineStr">
        <is>
          <t>HIGH</t>
        </is>
      </c>
      <c r="F1973" t="n">
        <v>3</v>
      </c>
      <c r="G1973" t="n">
        <v>2</v>
      </c>
      <c r="H1973" t="inlineStr">
        <is>
          <t>HIGH</t>
        </is>
      </c>
      <c r="I1973" t="n">
        <v>13</v>
      </c>
      <c r="J1973" t="inlineStr">
        <is>
          <t>NO</t>
        </is>
      </c>
      <c r="K1973" t="inlineStr">
        <is>
          <t>2026-02-26 00:15</t>
        </is>
      </c>
      <c r="L1973" t="inlineStr">
        <is>
          <t>Block IP</t>
        </is>
      </c>
      <c r="M1973" t="inlineStr">
        <is>
          <t>Network perimeter / Email / Web</t>
        </is>
      </c>
      <c r="N1973" t="inlineStr">
        <is>
          <t>P3</t>
        </is>
      </c>
      <c r="O1973" t="inlineStr">
        <is>
          <t>Check ip-api.com + AbuseIPDB for context</t>
        </is>
      </c>
      <c r="P1973" t="n">
        <v>0</v>
      </c>
      <c r="Q1973" t="n">
        <v>0</v>
      </c>
      <c r="R1973" t="inlineStr">
        <is>
          <t>T1110:Brute Force | T1190:Exploit Public-Facing Application | T1566:Phishing</t>
        </is>
      </c>
      <c r="S1973" t="n">
        <v>1</v>
      </c>
      <c r="T1973" t="inlineStr">
        <is>
          <t>MEDIUM (60%)</t>
        </is>
      </c>
      <c r="U1973" t="inlineStr">
        <is>
          <t>NONE</t>
        </is>
      </c>
      <c r="V1973" t="inlineStr">
        <is>
          <t>NONE</t>
        </is>
      </c>
      <c r="W1973" t="inlineStr">
        <is>
          <t>NONE</t>
        </is>
      </c>
      <c r="X1973" t="inlineStr">
        <is>
          <t>NONE</t>
        </is>
      </c>
      <c r="Y1973" t="n">
        <v>0</v>
      </c>
      <c r="Z1973" t="inlineStr"/>
      <c r="AA1973" t="inlineStr">
        <is>
          <t>https://talosintelligence.com/reputation_center/lookup?search=1.24.16.211</t>
        </is>
      </c>
    </row>
    <row r="1974">
      <c r="A1974" t="inlineStr">
        <is>
          <t>TALOS_IP</t>
        </is>
      </c>
      <c r="B1974" t="inlineStr">
        <is>
          <t>95ebea08c652</t>
        </is>
      </c>
      <c r="C1974" t="inlineStr">
        <is>
          <t>Cisco Talos Blacklisted IP: 1.24.16.215 | Verified malicious | Sources: TALOS</t>
        </is>
      </c>
      <c r="D1974" t="n">
        <v>7</v>
      </c>
      <c r="E1974" t="inlineStr">
        <is>
          <t>HIGH</t>
        </is>
      </c>
      <c r="F1974" t="n">
        <v>3</v>
      </c>
      <c r="G1974" t="n">
        <v>2</v>
      </c>
      <c r="H1974" t="inlineStr">
        <is>
          <t>HIGH</t>
        </is>
      </c>
      <c r="I1974" t="n">
        <v>13</v>
      </c>
      <c r="J1974" t="inlineStr">
        <is>
          <t>NO</t>
        </is>
      </c>
      <c r="K1974" t="inlineStr">
        <is>
          <t>2026-02-26 00:15</t>
        </is>
      </c>
      <c r="L1974" t="inlineStr">
        <is>
          <t>Block IP</t>
        </is>
      </c>
      <c r="M1974" t="inlineStr">
        <is>
          <t>Network perimeter / Email / Web</t>
        </is>
      </c>
      <c r="N1974" t="inlineStr">
        <is>
          <t>P3</t>
        </is>
      </c>
      <c r="O1974" t="inlineStr">
        <is>
          <t>Check ip-api.com + AbuseIPDB for context</t>
        </is>
      </c>
      <c r="P1974" t="n">
        <v>0</v>
      </c>
      <c r="Q1974" t="n">
        <v>0</v>
      </c>
      <c r="R1974" t="inlineStr">
        <is>
          <t>T1110:Brute Force | T1190:Exploit Public-Facing Application | T1566:Phishing</t>
        </is>
      </c>
      <c r="S1974" t="n">
        <v>1</v>
      </c>
      <c r="T1974" t="inlineStr">
        <is>
          <t>MEDIUM (60%)</t>
        </is>
      </c>
      <c r="U1974" t="inlineStr">
        <is>
          <t>NONE</t>
        </is>
      </c>
      <c r="V1974" t="inlineStr">
        <is>
          <t>NONE</t>
        </is>
      </c>
      <c r="W1974" t="inlineStr">
        <is>
          <t>NONE</t>
        </is>
      </c>
      <c r="X1974" t="inlineStr">
        <is>
          <t>NONE</t>
        </is>
      </c>
      <c r="Y1974" t="n">
        <v>0</v>
      </c>
      <c r="Z1974" t="inlineStr"/>
      <c r="AA1974" t="inlineStr">
        <is>
          <t>https://talosintelligence.com/reputation_center/lookup?search=1.24.16.215</t>
        </is>
      </c>
    </row>
    <row r="1975">
      <c r="A1975" t="inlineStr">
        <is>
          <t>TALOS_IP</t>
        </is>
      </c>
      <c r="B1975" t="inlineStr">
        <is>
          <t>84bd8e9a7aef</t>
        </is>
      </c>
      <c r="C1975" t="inlineStr">
        <is>
          <t>Cisco Talos Blacklisted IP: 1.24.16.216 | Verified malicious | Sources: TALOS</t>
        </is>
      </c>
      <c r="D1975" t="n">
        <v>7</v>
      </c>
      <c r="E1975" t="inlineStr">
        <is>
          <t>HIGH</t>
        </is>
      </c>
      <c r="F1975" t="n">
        <v>3</v>
      </c>
      <c r="G1975" t="n">
        <v>2</v>
      </c>
      <c r="H1975" t="inlineStr">
        <is>
          <t>HIGH</t>
        </is>
      </c>
      <c r="I1975" t="n">
        <v>13</v>
      </c>
      <c r="J1975" t="inlineStr">
        <is>
          <t>NO</t>
        </is>
      </c>
      <c r="K1975" t="inlineStr">
        <is>
          <t>2026-02-26 00:15</t>
        </is>
      </c>
      <c r="L1975" t="inlineStr">
        <is>
          <t>Block IP</t>
        </is>
      </c>
      <c r="M1975" t="inlineStr">
        <is>
          <t>Network perimeter / Email / Web</t>
        </is>
      </c>
      <c r="N1975" t="inlineStr">
        <is>
          <t>P3</t>
        </is>
      </c>
      <c r="O1975" t="inlineStr">
        <is>
          <t>Check ip-api.com + AbuseIPDB for context</t>
        </is>
      </c>
      <c r="P1975" t="n">
        <v>0</v>
      </c>
      <c r="Q1975" t="n">
        <v>0</v>
      </c>
      <c r="R1975" t="inlineStr">
        <is>
          <t>T1110:Brute Force | T1190:Exploit Public-Facing Application | T1566:Phishing</t>
        </is>
      </c>
      <c r="S1975" t="n">
        <v>1</v>
      </c>
      <c r="T1975" t="inlineStr">
        <is>
          <t>MEDIUM (60%)</t>
        </is>
      </c>
      <c r="U1975" t="inlineStr">
        <is>
          <t>NONE</t>
        </is>
      </c>
      <c r="V1975" t="inlineStr">
        <is>
          <t>NONE</t>
        </is>
      </c>
      <c r="W1975" t="inlineStr">
        <is>
          <t>NONE</t>
        </is>
      </c>
      <c r="X1975" t="inlineStr">
        <is>
          <t>NONE</t>
        </is>
      </c>
      <c r="Y1975" t="n">
        <v>0</v>
      </c>
      <c r="Z1975" t="inlineStr"/>
      <c r="AA1975" t="inlineStr">
        <is>
          <t>https://talosintelligence.com/reputation_center/lookup?search=1.24.16.216</t>
        </is>
      </c>
    </row>
    <row r="1976">
      <c r="A1976" t="inlineStr">
        <is>
          <t>TALOS_IP</t>
        </is>
      </c>
      <c r="B1976" t="inlineStr">
        <is>
          <t>cb5135145440</t>
        </is>
      </c>
      <c r="C1976" t="inlineStr">
        <is>
          <t>Cisco Talos Blacklisted IP: 1.24.16.219 | Verified malicious | Sources: TALOS</t>
        </is>
      </c>
      <c r="D1976" t="n">
        <v>7</v>
      </c>
      <c r="E1976" t="inlineStr">
        <is>
          <t>HIGH</t>
        </is>
      </c>
      <c r="F1976" t="n">
        <v>3</v>
      </c>
      <c r="G1976" t="n">
        <v>2</v>
      </c>
      <c r="H1976" t="inlineStr">
        <is>
          <t>HIGH</t>
        </is>
      </c>
      <c r="I1976" t="n">
        <v>13</v>
      </c>
      <c r="J1976" t="inlineStr">
        <is>
          <t>NO</t>
        </is>
      </c>
      <c r="K1976" t="inlineStr">
        <is>
          <t>2026-02-26 00:15</t>
        </is>
      </c>
      <c r="L1976" t="inlineStr">
        <is>
          <t>Block IP</t>
        </is>
      </c>
      <c r="M1976" t="inlineStr">
        <is>
          <t>Network perimeter / Email / Web</t>
        </is>
      </c>
      <c r="N1976" t="inlineStr">
        <is>
          <t>P3</t>
        </is>
      </c>
      <c r="O1976" t="inlineStr">
        <is>
          <t>Check ip-api.com + AbuseIPDB for context</t>
        </is>
      </c>
      <c r="P1976" t="n">
        <v>0</v>
      </c>
      <c r="Q1976" t="n">
        <v>0</v>
      </c>
      <c r="R1976" t="inlineStr">
        <is>
          <t>T1110:Brute Force | T1190:Exploit Public-Facing Application | T1566:Phishing</t>
        </is>
      </c>
      <c r="S1976" t="n">
        <v>1</v>
      </c>
      <c r="T1976" t="inlineStr">
        <is>
          <t>MEDIUM (60%)</t>
        </is>
      </c>
      <c r="U1976" t="inlineStr">
        <is>
          <t>NONE</t>
        </is>
      </c>
      <c r="V1976" t="inlineStr">
        <is>
          <t>NONE</t>
        </is>
      </c>
      <c r="W1976" t="inlineStr">
        <is>
          <t>NONE</t>
        </is>
      </c>
      <c r="X1976" t="inlineStr">
        <is>
          <t>NONE</t>
        </is>
      </c>
      <c r="Y1976" t="n">
        <v>0</v>
      </c>
      <c r="Z1976" t="inlineStr"/>
      <c r="AA1976" t="inlineStr">
        <is>
          <t>https://talosintelligence.com/reputation_center/lookup?search=1.24.16.219</t>
        </is>
      </c>
    </row>
    <row r="1977">
      <c r="A1977" t="inlineStr">
        <is>
          <t>TALOS_IP</t>
        </is>
      </c>
      <c r="B1977" t="inlineStr">
        <is>
          <t>da9f273355ef</t>
        </is>
      </c>
      <c r="C1977" t="inlineStr">
        <is>
          <t>Cisco Talos Blacklisted IP: 1.24.16.226 | Verified malicious | Sources: TALOS</t>
        </is>
      </c>
      <c r="D1977" t="n">
        <v>7</v>
      </c>
      <c r="E1977" t="inlineStr">
        <is>
          <t>HIGH</t>
        </is>
      </c>
      <c r="F1977" t="n">
        <v>3</v>
      </c>
      <c r="G1977" t="n">
        <v>2</v>
      </c>
      <c r="H1977" t="inlineStr">
        <is>
          <t>HIGH</t>
        </is>
      </c>
      <c r="I1977" t="n">
        <v>13</v>
      </c>
      <c r="J1977" t="inlineStr">
        <is>
          <t>NO</t>
        </is>
      </c>
      <c r="K1977" t="inlineStr">
        <is>
          <t>2026-02-26 00:15</t>
        </is>
      </c>
      <c r="L1977" t="inlineStr">
        <is>
          <t>Block IP</t>
        </is>
      </c>
      <c r="M1977" t="inlineStr">
        <is>
          <t>Network perimeter / Email / Web</t>
        </is>
      </c>
      <c r="N1977" t="inlineStr">
        <is>
          <t>P3</t>
        </is>
      </c>
      <c r="O1977" t="inlineStr">
        <is>
          <t>Check ip-api.com + AbuseIPDB for context</t>
        </is>
      </c>
      <c r="P1977" t="n">
        <v>0</v>
      </c>
      <c r="Q1977" t="n">
        <v>0</v>
      </c>
      <c r="R1977" t="inlineStr">
        <is>
          <t>T1110:Brute Force | T1190:Exploit Public-Facing Application | T1566:Phishing</t>
        </is>
      </c>
      <c r="S1977" t="n">
        <v>1</v>
      </c>
      <c r="T1977" t="inlineStr">
        <is>
          <t>MEDIUM (60%)</t>
        </is>
      </c>
      <c r="U1977" t="inlineStr">
        <is>
          <t>NONE</t>
        </is>
      </c>
      <c r="V1977" t="inlineStr">
        <is>
          <t>NONE</t>
        </is>
      </c>
      <c r="W1977" t="inlineStr">
        <is>
          <t>NONE</t>
        </is>
      </c>
      <c r="X1977" t="inlineStr">
        <is>
          <t>NONE</t>
        </is>
      </c>
      <c r="Y1977" t="n">
        <v>0</v>
      </c>
      <c r="Z1977" t="inlineStr"/>
      <c r="AA1977" t="inlineStr">
        <is>
          <t>https://talosintelligence.com/reputation_center/lookup?search=1.24.16.226</t>
        </is>
      </c>
    </row>
    <row r="1978">
      <c r="A1978" t="inlineStr">
        <is>
          <t>TALOS_IP</t>
        </is>
      </c>
      <c r="B1978" t="inlineStr">
        <is>
          <t>5f66be6fc095</t>
        </is>
      </c>
      <c r="C1978" t="inlineStr">
        <is>
          <t>Cisco Talos Blacklisted IP: 1.24.16.227 | Verified malicious | Sources: TALOS</t>
        </is>
      </c>
      <c r="D1978" t="n">
        <v>7</v>
      </c>
      <c r="E1978" t="inlineStr">
        <is>
          <t>HIGH</t>
        </is>
      </c>
      <c r="F1978" t="n">
        <v>3</v>
      </c>
      <c r="G1978" t="n">
        <v>2</v>
      </c>
      <c r="H1978" t="inlineStr">
        <is>
          <t>HIGH</t>
        </is>
      </c>
      <c r="I1978" t="n">
        <v>13</v>
      </c>
      <c r="J1978" t="inlineStr">
        <is>
          <t>NO</t>
        </is>
      </c>
      <c r="K1978" t="inlineStr">
        <is>
          <t>2026-02-26 00:15</t>
        </is>
      </c>
      <c r="L1978" t="inlineStr">
        <is>
          <t>Block IP</t>
        </is>
      </c>
      <c r="M1978" t="inlineStr">
        <is>
          <t>Network perimeter / Email / Web</t>
        </is>
      </c>
      <c r="N1978" t="inlineStr">
        <is>
          <t>P3</t>
        </is>
      </c>
      <c r="O1978" t="inlineStr">
        <is>
          <t>Check ip-api.com + AbuseIPDB for context</t>
        </is>
      </c>
      <c r="P1978" t="n">
        <v>0</v>
      </c>
      <c r="Q1978" t="n">
        <v>0</v>
      </c>
      <c r="R1978" t="inlineStr">
        <is>
          <t>T1110:Brute Force | T1190:Exploit Public-Facing Application | T1566:Phishing</t>
        </is>
      </c>
      <c r="S1978" t="n">
        <v>1</v>
      </c>
      <c r="T1978" t="inlineStr">
        <is>
          <t>MEDIUM (60%)</t>
        </is>
      </c>
      <c r="U1978" t="inlineStr">
        <is>
          <t>NONE</t>
        </is>
      </c>
      <c r="V1978" t="inlineStr">
        <is>
          <t>NONE</t>
        </is>
      </c>
      <c r="W1978" t="inlineStr">
        <is>
          <t>NONE</t>
        </is>
      </c>
      <c r="X1978" t="inlineStr">
        <is>
          <t>NONE</t>
        </is>
      </c>
      <c r="Y1978" t="n">
        <v>0</v>
      </c>
      <c r="Z1978" t="inlineStr"/>
      <c r="AA1978" t="inlineStr">
        <is>
          <t>https://talosintelligence.com/reputation_center/lookup?search=1.24.16.227</t>
        </is>
      </c>
    </row>
    <row r="1979">
      <c r="A1979" t="inlineStr">
        <is>
          <t>TALOS_IP</t>
        </is>
      </c>
      <c r="B1979" t="inlineStr">
        <is>
          <t>0f90570d60ea</t>
        </is>
      </c>
      <c r="C1979" t="inlineStr">
        <is>
          <t>Cisco Talos Blacklisted IP: 1.24.16.228 | Verified malicious | Sources: TALOS</t>
        </is>
      </c>
      <c r="D1979" t="n">
        <v>7</v>
      </c>
      <c r="E1979" t="inlineStr">
        <is>
          <t>HIGH</t>
        </is>
      </c>
      <c r="F1979" t="n">
        <v>3</v>
      </c>
      <c r="G1979" t="n">
        <v>2</v>
      </c>
      <c r="H1979" t="inlineStr">
        <is>
          <t>HIGH</t>
        </is>
      </c>
      <c r="I1979" t="n">
        <v>13</v>
      </c>
      <c r="J1979" t="inlineStr">
        <is>
          <t>NO</t>
        </is>
      </c>
      <c r="K1979" t="inlineStr">
        <is>
          <t>2026-02-26 00:15</t>
        </is>
      </c>
      <c r="L1979" t="inlineStr">
        <is>
          <t>Block IP</t>
        </is>
      </c>
      <c r="M1979" t="inlineStr">
        <is>
          <t>Network perimeter / Email / Web</t>
        </is>
      </c>
      <c r="N1979" t="inlineStr">
        <is>
          <t>P3</t>
        </is>
      </c>
      <c r="O1979" t="inlineStr">
        <is>
          <t>Check ip-api.com + AbuseIPDB for context</t>
        </is>
      </c>
      <c r="P1979" t="n">
        <v>0</v>
      </c>
      <c r="Q1979" t="n">
        <v>0</v>
      </c>
      <c r="R1979" t="inlineStr">
        <is>
          <t>T1110:Brute Force | T1190:Exploit Public-Facing Application | T1566:Phishing</t>
        </is>
      </c>
      <c r="S1979" t="n">
        <v>1</v>
      </c>
      <c r="T1979" t="inlineStr">
        <is>
          <t>MEDIUM (60%)</t>
        </is>
      </c>
      <c r="U1979" t="inlineStr">
        <is>
          <t>NONE</t>
        </is>
      </c>
      <c r="V1979" t="inlineStr">
        <is>
          <t>NONE</t>
        </is>
      </c>
      <c r="W1979" t="inlineStr">
        <is>
          <t>NONE</t>
        </is>
      </c>
      <c r="X1979" t="inlineStr">
        <is>
          <t>NONE</t>
        </is>
      </c>
      <c r="Y1979" t="n">
        <v>0</v>
      </c>
      <c r="Z1979" t="inlineStr"/>
      <c r="AA1979" t="inlineStr">
        <is>
          <t>https://talosintelligence.com/reputation_center/lookup?search=1.24.16.228</t>
        </is>
      </c>
    </row>
    <row r="1980">
      <c r="A1980" t="inlineStr">
        <is>
          <t>TALOS_IP</t>
        </is>
      </c>
      <c r="B1980" t="inlineStr">
        <is>
          <t>143e0a515cac</t>
        </is>
      </c>
      <c r="C1980" t="inlineStr">
        <is>
          <t>Cisco Talos Blacklisted IP: 1.24.16.229 | Verified malicious | Sources: TALOS</t>
        </is>
      </c>
      <c r="D1980" t="n">
        <v>7</v>
      </c>
      <c r="E1980" t="inlineStr">
        <is>
          <t>HIGH</t>
        </is>
      </c>
      <c r="F1980" t="n">
        <v>3</v>
      </c>
      <c r="G1980" t="n">
        <v>2</v>
      </c>
      <c r="H1980" t="inlineStr">
        <is>
          <t>HIGH</t>
        </is>
      </c>
      <c r="I1980" t="n">
        <v>13</v>
      </c>
      <c r="J1980" t="inlineStr">
        <is>
          <t>NO</t>
        </is>
      </c>
      <c r="K1980" t="inlineStr">
        <is>
          <t>2026-02-26 00:15</t>
        </is>
      </c>
      <c r="L1980" t="inlineStr">
        <is>
          <t>Block IP</t>
        </is>
      </c>
      <c r="M1980" t="inlineStr">
        <is>
          <t>Network perimeter / Email / Web</t>
        </is>
      </c>
      <c r="N1980" t="inlineStr">
        <is>
          <t>P3</t>
        </is>
      </c>
      <c r="O1980" t="inlineStr">
        <is>
          <t>Check ip-api.com + AbuseIPDB for context</t>
        </is>
      </c>
      <c r="P1980" t="n">
        <v>0</v>
      </c>
      <c r="Q1980" t="n">
        <v>0</v>
      </c>
      <c r="R1980" t="inlineStr">
        <is>
          <t>T1110:Brute Force | T1190:Exploit Public-Facing Application | T1566:Phishing</t>
        </is>
      </c>
      <c r="S1980" t="n">
        <v>1</v>
      </c>
      <c r="T1980" t="inlineStr">
        <is>
          <t>MEDIUM (60%)</t>
        </is>
      </c>
      <c r="U1980" t="inlineStr">
        <is>
          <t>NONE</t>
        </is>
      </c>
      <c r="V1980" t="inlineStr">
        <is>
          <t>NONE</t>
        </is>
      </c>
      <c r="W1980" t="inlineStr">
        <is>
          <t>NONE</t>
        </is>
      </c>
      <c r="X1980" t="inlineStr">
        <is>
          <t>NONE</t>
        </is>
      </c>
      <c r="Y1980" t="n">
        <v>0</v>
      </c>
      <c r="Z1980" t="inlineStr"/>
      <c r="AA1980" t="inlineStr">
        <is>
          <t>https://talosintelligence.com/reputation_center/lookup?search=1.24.16.229</t>
        </is>
      </c>
    </row>
    <row r="1981">
      <c r="A1981" t="inlineStr">
        <is>
          <t>TALOS_IP</t>
        </is>
      </c>
      <c r="B1981" t="inlineStr">
        <is>
          <t>59d75bed3139</t>
        </is>
      </c>
      <c r="C1981" t="inlineStr">
        <is>
          <t>Cisco Talos Blacklisted IP: 1.24.16.230 | Verified malicious | Sources: TALOS</t>
        </is>
      </c>
      <c r="D1981" t="n">
        <v>7</v>
      </c>
      <c r="E1981" t="inlineStr">
        <is>
          <t>HIGH</t>
        </is>
      </c>
      <c r="F1981" t="n">
        <v>3</v>
      </c>
      <c r="G1981" t="n">
        <v>2</v>
      </c>
      <c r="H1981" t="inlineStr">
        <is>
          <t>HIGH</t>
        </is>
      </c>
      <c r="I1981" t="n">
        <v>13</v>
      </c>
      <c r="J1981" t="inlineStr">
        <is>
          <t>NO</t>
        </is>
      </c>
      <c r="K1981" t="inlineStr">
        <is>
          <t>2026-02-26 00:15</t>
        </is>
      </c>
      <c r="L1981" t="inlineStr">
        <is>
          <t>Block IP</t>
        </is>
      </c>
      <c r="M1981" t="inlineStr">
        <is>
          <t>Network perimeter / Email / Web</t>
        </is>
      </c>
      <c r="N1981" t="inlineStr">
        <is>
          <t>P3</t>
        </is>
      </c>
      <c r="O1981" t="inlineStr">
        <is>
          <t>Check ip-api.com + AbuseIPDB for context</t>
        </is>
      </c>
      <c r="P1981" t="n">
        <v>0</v>
      </c>
      <c r="Q1981" t="n">
        <v>0</v>
      </c>
      <c r="R1981" t="inlineStr">
        <is>
          <t>T1110:Brute Force | T1190:Exploit Public-Facing Application | T1566:Phishing</t>
        </is>
      </c>
      <c r="S1981" t="n">
        <v>1</v>
      </c>
      <c r="T1981" t="inlineStr">
        <is>
          <t>MEDIUM (60%)</t>
        </is>
      </c>
      <c r="U1981" t="inlineStr">
        <is>
          <t>NONE</t>
        </is>
      </c>
      <c r="V1981" t="inlineStr">
        <is>
          <t>NONE</t>
        </is>
      </c>
      <c r="W1981" t="inlineStr">
        <is>
          <t>NONE</t>
        </is>
      </c>
      <c r="X1981" t="inlineStr">
        <is>
          <t>NONE</t>
        </is>
      </c>
      <c r="Y1981" t="n">
        <v>0</v>
      </c>
      <c r="Z1981" t="inlineStr"/>
      <c r="AA1981" t="inlineStr">
        <is>
          <t>https://talosintelligence.com/reputation_center/lookup?search=1.24.16.230</t>
        </is>
      </c>
    </row>
    <row r="1982">
      <c r="A1982" t="inlineStr">
        <is>
          <t>TALOS_IP</t>
        </is>
      </c>
      <c r="B1982" t="inlineStr">
        <is>
          <t>44e6378597e0</t>
        </is>
      </c>
      <c r="C1982" t="inlineStr">
        <is>
          <t>Cisco Talos Blacklisted IP: 1.24.16.231 | Verified malicious | Sources: TALOS</t>
        </is>
      </c>
      <c r="D1982" t="n">
        <v>7</v>
      </c>
      <c r="E1982" t="inlineStr">
        <is>
          <t>HIGH</t>
        </is>
      </c>
      <c r="F1982" t="n">
        <v>3</v>
      </c>
      <c r="G1982" t="n">
        <v>2</v>
      </c>
      <c r="H1982" t="inlineStr">
        <is>
          <t>HIGH</t>
        </is>
      </c>
      <c r="I1982" t="n">
        <v>13</v>
      </c>
      <c r="J1982" t="inlineStr">
        <is>
          <t>NO</t>
        </is>
      </c>
      <c r="K1982" t="inlineStr">
        <is>
          <t>2026-02-26 00:15</t>
        </is>
      </c>
      <c r="L1982" t="inlineStr">
        <is>
          <t>Block IP</t>
        </is>
      </c>
      <c r="M1982" t="inlineStr">
        <is>
          <t>Network perimeter / Email / Web</t>
        </is>
      </c>
      <c r="N1982" t="inlineStr">
        <is>
          <t>P3</t>
        </is>
      </c>
      <c r="O1982" t="inlineStr">
        <is>
          <t>Check ip-api.com + AbuseIPDB for context</t>
        </is>
      </c>
      <c r="P1982" t="n">
        <v>0</v>
      </c>
      <c r="Q1982" t="n">
        <v>0</v>
      </c>
      <c r="R1982" t="inlineStr">
        <is>
          <t>T1110:Brute Force | T1190:Exploit Public-Facing Application | T1566:Phishing</t>
        </is>
      </c>
      <c r="S1982" t="n">
        <v>1</v>
      </c>
      <c r="T1982" t="inlineStr">
        <is>
          <t>MEDIUM (60%)</t>
        </is>
      </c>
      <c r="U1982" t="inlineStr">
        <is>
          <t>NONE</t>
        </is>
      </c>
      <c r="V1982" t="inlineStr">
        <is>
          <t>NONE</t>
        </is>
      </c>
      <c r="W1982" t="inlineStr">
        <is>
          <t>NONE</t>
        </is>
      </c>
      <c r="X1982" t="inlineStr">
        <is>
          <t>NONE</t>
        </is>
      </c>
      <c r="Y1982" t="n">
        <v>0</v>
      </c>
      <c r="Z1982" t="inlineStr"/>
      <c r="AA1982" t="inlineStr">
        <is>
          <t>https://talosintelligence.com/reputation_center/lookup?search=1.24.16.231</t>
        </is>
      </c>
    </row>
    <row r="1983">
      <c r="A1983" t="inlineStr">
        <is>
          <t>TALOS_IP</t>
        </is>
      </c>
      <c r="B1983" t="inlineStr">
        <is>
          <t>82cd4df5288a</t>
        </is>
      </c>
      <c r="C1983" t="inlineStr">
        <is>
          <t>Cisco Talos Blacklisted IP: 1.24.16.234 | Verified malicious | Sources: TALOS</t>
        </is>
      </c>
      <c r="D1983" t="n">
        <v>7</v>
      </c>
      <c r="E1983" t="inlineStr">
        <is>
          <t>HIGH</t>
        </is>
      </c>
      <c r="F1983" t="n">
        <v>3</v>
      </c>
      <c r="G1983" t="n">
        <v>2</v>
      </c>
      <c r="H1983" t="inlineStr">
        <is>
          <t>HIGH</t>
        </is>
      </c>
      <c r="I1983" t="n">
        <v>13</v>
      </c>
      <c r="J1983" t="inlineStr">
        <is>
          <t>NO</t>
        </is>
      </c>
      <c r="K1983" t="inlineStr">
        <is>
          <t>2026-02-26 00:15</t>
        </is>
      </c>
      <c r="L1983" t="inlineStr">
        <is>
          <t>Block IP</t>
        </is>
      </c>
      <c r="M1983" t="inlineStr">
        <is>
          <t>Network perimeter / Email / Web</t>
        </is>
      </c>
      <c r="N1983" t="inlineStr">
        <is>
          <t>P3</t>
        </is>
      </c>
      <c r="O1983" t="inlineStr">
        <is>
          <t>Check ip-api.com + AbuseIPDB for context</t>
        </is>
      </c>
      <c r="P1983" t="n">
        <v>0</v>
      </c>
      <c r="Q1983" t="n">
        <v>0</v>
      </c>
      <c r="R1983" t="inlineStr">
        <is>
          <t>T1110:Brute Force | T1190:Exploit Public-Facing Application | T1566:Phishing</t>
        </is>
      </c>
      <c r="S1983" t="n">
        <v>1</v>
      </c>
      <c r="T1983" t="inlineStr">
        <is>
          <t>MEDIUM (60%)</t>
        </is>
      </c>
      <c r="U1983" t="inlineStr">
        <is>
          <t>NONE</t>
        </is>
      </c>
      <c r="V1983" t="inlineStr">
        <is>
          <t>NONE</t>
        </is>
      </c>
      <c r="W1983" t="inlineStr">
        <is>
          <t>NONE</t>
        </is>
      </c>
      <c r="X1983" t="inlineStr">
        <is>
          <t>NONE</t>
        </is>
      </c>
      <c r="Y1983" t="n">
        <v>0</v>
      </c>
      <c r="Z1983" t="inlineStr"/>
      <c r="AA1983" t="inlineStr">
        <is>
          <t>https://talosintelligence.com/reputation_center/lookup?search=1.24.16.234</t>
        </is>
      </c>
    </row>
    <row r="1984">
      <c r="A1984" t="inlineStr">
        <is>
          <t>TALOS_IP</t>
        </is>
      </c>
      <c r="B1984" t="inlineStr">
        <is>
          <t>c2a63acc67c0</t>
        </is>
      </c>
      <c r="C1984" t="inlineStr">
        <is>
          <t>Cisco Talos Blacklisted IP: 1.24.16.238 | Verified malicious | Sources: TALOS</t>
        </is>
      </c>
      <c r="D1984" t="n">
        <v>7</v>
      </c>
      <c r="E1984" t="inlineStr">
        <is>
          <t>HIGH</t>
        </is>
      </c>
      <c r="F1984" t="n">
        <v>3</v>
      </c>
      <c r="G1984" t="n">
        <v>2</v>
      </c>
      <c r="H1984" t="inlineStr">
        <is>
          <t>HIGH</t>
        </is>
      </c>
      <c r="I1984" t="n">
        <v>13</v>
      </c>
      <c r="J1984" t="inlineStr">
        <is>
          <t>NO</t>
        </is>
      </c>
      <c r="K1984" t="inlineStr">
        <is>
          <t>2026-02-26 00:15</t>
        </is>
      </c>
      <c r="L1984" t="inlineStr">
        <is>
          <t>Block IP</t>
        </is>
      </c>
      <c r="M1984" t="inlineStr">
        <is>
          <t>Network perimeter / Email / Web</t>
        </is>
      </c>
      <c r="N1984" t="inlineStr">
        <is>
          <t>P3</t>
        </is>
      </c>
      <c r="O1984" t="inlineStr">
        <is>
          <t>Check ip-api.com + AbuseIPDB for context</t>
        </is>
      </c>
      <c r="P1984" t="n">
        <v>0</v>
      </c>
      <c r="Q1984" t="n">
        <v>0</v>
      </c>
      <c r="R1984" t="inlineStr">
        <is>
          <t>T1110:Brute Force | T1190:Exploit Public-Facing Application | T1566:Phishing</t>
        </is>
      </c>
      <c r="S1984" t="n">
        <v>1</v>
      </c>
      <c r="T1984" t="inlineStr">
        <is>
          <t>MEDIUM (60%)</t>
        </is>
      </c>
      <c r="U1984" t="inlineStr">
        <is>
          <t>NONE</t>
        </is>
      </c>
      <c r="V1984" t="inlineStr">
        <is>
          <t>NONE</t>
        </is>
      </c>
      <c r="W1984" t="inlineStr">
        <is>
          <t>NONE</t>
        </is>
      </c>
      <c r="X1984" t="inlineStr">
        <is>
          <t>NONE</t>
        </is>
      </c>
      <c r="Y1984" t="n">
        <v>0</v>
      </c>
      <c r="Z1984" t="inlineStr"/>
      <c r="AA1984" t="inlineStr">
        <is>
          <t>https://talosintelligence.com/reputation_center/lookup?search=1.24.16.238</t>
        </is>
      </c>
    </row>
    <row r="1985">
      <c r="A1985" t="inlineStr">
        <is>
          <t>TALOS_IP</t>
        </is>
      </c>
      <c r="B1985" t="inlineStr">
        <is>
          <t>d2a9a604a368</t>
        </is>
      </c>
      <c r="C1985" t="inlineStr">
        <is>
          <t>Cisco Talos Blacklisted IP: 1.24.16.244 | Verified malicious | Sources: TALOS</t>
        </is>
      </c>
      <c r="D1985" t="n">
        <v>7</v>
      </c>
      <c r="E1985" t="inlineStr">
        <is>
          <t>HIGH</t>
        </is>
      </c>
      <c r="F1985" t="n">
        <v>3</v>
      </c>
      <c r="G1985" t="n">
        <v>2</v>
      </c>
      <c r="H1985" t="inlineStr">
        <is>
          <t>HIGH</t>
        </is>
      </c>
      <c r="I1985" t="n">
        <v>13</v>
      </c>
      <c r="J1985" t="inlineStr">
        <is>
          <t>NO</t>
        </is>
      </c>
      <c r="K1985" t="inlineStr">
        <is>
          <t>2026-02-26 00:15</t>
        </is>
      </c>
      <c r="L1985" t="inlineStr">
        <is>
          <t>Block IP</t>
        </is>
      </c>
      <c r="M1985" t="inlineStr">
        <is>
          <t>Network perimeter / Email / Web</t>
        </is>
      </c>
      <c r="N1985" t="inlineStr">
        <is>
          <t>P3</t>
        </is>
      </c>
      <c r="O1985" t="inlineStr">
        <is>
          <t>Check ip-api.com + AbuseIPDB for context</t>
        </is>
      </c>
      <c r="P1985" t="n">
        <v>0</v>
      </c>
      <c r="Q1985" t="n">
        <v>0</v>
      </c>
      <c r="R1985" t="inlineStr">
        <is>
          <t>T1110:Brute Force | T1190:Exploit Public-Facing Application | T1566:Phishing</t>
        </is>
      </c>
      <c r="S1985" t="n">
        <v>1</v>
      </c>
      <c r="T1985" t="inlineStr">
        <is>
          <t>MEDIUM (60%)</t>
        </is>
      </c>
      <c r="U1985" t="inlineStr">
        <is>
          <t>NONE</t>
        </is>
      </c>
      <c r="V1985" t="inlineStr">
        <is>
          <t>NONE</t>
        </is>
      </c>
      <c r="W1985" t="inlineStr">
        <is>
          <t>NONE</t>
        </is>
      </c>
      <c r="X1985" t="inlineStr">
        <is>
          <t>NONE</t>
        </is>
      </c>
      <c r="Y1985" t="n">
        <v>0</v>
      </c>
      <c r="Z1985" t="inlineStr"/>
      <c r="AA1985" t="inlineStr">
        <is>
          <t>https://talosintelligence.com/reputation_center/lookup?search=1.24.16.244</t>
        </is>
      </c>
    </row>
    <row r="1986">
      <c r="A1986" t="inlineStr">
        <is>
          <t>TALOS_IP</t>
        </is>
      </c>
      <c r="B1986" t="inlineStr">
        <is>
          <t>736146810d07</t>
        </is>
      </c>
      <c r="C1986" t="inlineStr">
        <is>
          <t>Cisco Talos Blacklisted IP: 1.24.16.246 | Verified malicious | Sources: TALOS</t>
        </is>
      </c>
      <c r="D1986" t="n">
        <v>7</v>
      </c>
      <c r="E1986" t="inlineStr">
        <is>
          <t>HIGH</t>
        </is>
      </c>
      <c r="F1986" t="n">
        <v>3</v>
      </c>
      <c r="G1986" t="n">
        <v>2</v>
      </c>
      <c r="H1986" t="inlineStr">
        <is>
          <t>HIGH</t>
        </is>
      </c>
      <c r="I1986" t="n">
        <v>13</v>
      </c>
      <c r="J1986" t="inlineStr">
        <is>
          <t>NO</t>
        </is>
      </c>
      <c r="K1986" t="inlineStr">
        <is>
          <t>2026-02-26 00:15</t>
        </is>
      </c>
      <c r="L1986" t="inlineStr">
        <is>
          <t>Block IP</t>
        </is>
      </c>
      <c r="M1986" t="inlineStr">
        <is>
          <t>Network perimeter / Email / Web</t>
        </is>
      </c>
      <c r="N1986" t="inlineStr">
        <is>
          <t>P3</t>
        </is>
      </c>
      <c r="O1986" t="inlineStr">
        <is>
          <t>Check ip-api.com + AbuseIPDB for context</t>
        </is>
      </c>
      <c r="P1986" t="n">
        <v>0</v>
      </c>
      <c r="Q1986" t="n">
        <v>0</v>
      </c>
      <c r="R1986" t="inlineStr">
        <is>
          <t>T1110:Brute Force | T1190:Exploit Public-Facing Application | T1566:Phishing</t>
        </is>
      </c>
      <c r="S1986" t="n">
        <v>1</v>
      </c>
      <c r="T1986" t="inlineStr">
        <is>
          <t>MEDIUM (60%)</t>
        </is>
      </c>
      <c r="U1986" t="inlineStr">
        <is>
          <t>NONE</t>
        </is>
      </c>
      <c r="V1986" t="inlineStr">
        <is>
          <t>NONE</t>
        </is>
      </c>
      <c r="W1986" t="inlineStr">
        <is>
          <t>NONE</t>
        </is>
      </c>
      <c r="X1986" t="inlineStr">
        <is>
          <t>NONE</t>
        </is>
      </c>
      <c r="Y1986" t="n">
        <v>0</v>
      </c>
      <c r="Z1986" t="inlineStr"/>
      <c r="AA1986" t="inlineStr">
        <is>
          <t>https://talosintelligence.com/reputation_center/lookup?search=1.24.16.246</t>
        </is>
      </c>
    </row>
    <row r="1987">
      <c r="A1987" t="inlineStr">
        <is>
          <t>TALOS_IP</t>
        </is>
      </c>
      <c r="B1987" t="inlineStr">
        <is>
          <t>429075cae2a9</t>
        </is>
      </c>
      <c r="C1987" t="inlineStr">
        <is>
          <t>Cisco Talos Blacklisted IP: 1.24.16.249 | Verified malicious | Sources: TALOS</t>
        </is>
      </c>
      <c r="D1987" t="n">
        <v>7</v>
      </c>
      <c r="E1987" t="inlineStr">
        <is>
          <t>HIGH</t>
        </is>
      </c>
      <c r="F1987" t="n">
        <v>3</v>
      </c>
      <c r="G1987" t="n">
        <v>2</v>
      </c>
      <c r="H1987" t="inlineStr">
        <is>
          <t>HIGH</t>
        </is>
      </c>
      <c r="I1987" t="n">
        <v>13</v>
      </c>
      <c r="J1987" t="inlineStr">
        <is>
          <t>NO</t>
        </is>
      </c>
      <c r="K1987" t="inlineStr">
        <is>
          <t>2026-02-26 00:15</t>
        </is>
      </c>
      <c r="L1987" t="inlineStr">
        <is>
          <t>Block IP</t>
        </is>
      </c>
      <c r="M1987" t="inlineStr">
        <is>
          <t>Network perimeter / Email / Web</t>
        </is>
      </c>
      <c r="N1987" t="inlineStr">
        <is>
          <t>P3</t>
        </is>
      </c>
      <c r="O1987" t="inlineStr">
        <is>
          <t>Check ip-api.com + AbuseIPDB for context</t>
        </is>
      </c>
      <c r="P1987" t="n">
        <v>0</v>
      </c>
      <c r="Q1987" t="n">
        <v>0</v>
      </c>
      <c r="R1987" t="inlineStr">
        <is>
          <t>T1110:Brute Force | T1190:Exploit Public-Facing Application | T1566:Phishing</t>
        </is>
      </c>
      <c r="S1987" t="n">
        <v>1</v>
      </c>
      <c r="T1987" t="inlineStr">
        <is>
          <t>MEDIUM (60%)</t>
        </is>
      </c>
      <c r="U1987" t="inlineStr">
        <is>
          <t>NONE</t>
        </is>
      </c>
      <c r="V1987" t="inlineStr">
        <is>
          <t>NONE</t>
        </is>
      </c>
      <c r="W1987" t="inlineStr">
        <is>
          <t>NONE</t>
        </is>
      </c>
      <c r="X1987" t="inlineStr">
        <is>
          <t>NONE</t>
        </is>
      </c>
      <c r="Y1987" t="n">
        <v>0</v>
      </c>
      <c r="Z1987" t="inlineStr"/>
      <c r="AA1987" t="inlineStr">
        <is>
          <t>https://talosintelligence.com/reputation_center/lookup?search=1.24.16.249</t>
        </is>
      </c>
    </row>
    <row r="1988">
      <c r="A1988" t="inlineStr">
        <is>
          <t>TALOS_IP</t>
        </is>
      </c>
      <c r="B1988" t="inlineStr">
        <is>
          <t>70744d953256</t>
        </is>
      </c>
      <c r="C1988" t="inlineStr">
        <is>
          <t>Cisco Talos Blacklisted IP: 1.24.16.254 | Verified malicious | Sources: TALOS</t>
        </is>
      </c>
      <c r="D1988" t="n">
        <v>7</v>
      </c>
      <c r="E1988" t="inlineStr">
        <is>
          <t>HIGH</t>
        </is>
      </c>
      <c r="F1988" t="n">
        <v>3</v>
      </c>
      <c r="G1988" t="n">
        <v>2</v>
      </c>
      <c r="H1988" t="inlineStr">
        <is>
          <t>HIGH</t>
        </is>
      </c>
      <c r="I1988" t="n">
        <v>13</v>
      </c>
      <c r="J1988" t="inlineStr">
        <is>
          <t>NO</t>
        </is>
      </c>
      <c r="K1988" t="inlineStr">
        <is>
          <t>2026-02-26 00:15</t>
        </is>
      </c>
      <c r="L1988" t="inlineStr">
        <is>
          <t>Block IP</t>
        </is>
      </c>
      <c r="M1988" t="inlineStr">
        <is>
          <t>Network perimeter / Email / Web</t>
        </is>
      </c>
      <c r="N1988" t="inlineStr">
        <is>
          <t>P3</t>
        </is>
      </c>
      <c r="O1988" t="inlineStr">
        <is>
          <t>Check ip-api.com + AbuseIPDB for context</t>
        </is>
      </c>
      <c r="P1988" t="n">
        <v>0</v>
      </c>
      <c r="Q1988" t="n">
        <v>0</v>
      </c>
      <c r="R1988" t="inlineStr">
        <is>
          <t>T1110:Brute Force | T1190:Exploit Public-Facing Application | T1566:Phishing</t>
        </is>
      </c>
      <c r="S1988" t="n">
        <v>1</v>
      </c>
      <c r="T1988" t="inlineStr">
        <is>
          <t>MEDIUM (60%)</t>
        </is>
      </c>
      <c r="U1988" t="inlineStr">
        <is>
          <t>NONE</t>
        </is>
      </c>
      <c r="V1988" t="inlineStr">
        <is>
          <t>NONE</t>
        </is>
      </c>
      <c r="W1988" t="inlineStr">
        <is>
          <t>NONE</t>
        </is>
      </c>
      <c r="X1988" t="inlineStr">
        <is>
          <t>NONE</t>
        </is>
      </c>
      <c r="Y1988" t="n">
        <v>0</v>
      </c>
      <c r="Z1988" t="inlineStr"/>
      <c r="AA1988" t="inlineStr">
        <is>
          <t>https://talosintelligence.com/reputation_center/lookup?search=1.24.16.254</t>
        </is>
      </c>
    </row>
    <row r="1989">
      <c r="A1989" t="inlineStr">
        <is>
          <t>TALOS_IP</t>
        </is>
      </c>
      <c r="B1989" t="inlineStr">
        <is>
          <t>0539073cce49</t>
        </is>
      </c>
      <c r="C1989" t="inlineStr">
        <is>
          <t>Cisco Talos Blacklisted IP: 1.24.16.26 | Verified malicious | Sources: TALOS</t>
        </is>
      </c>
      <c r="D1989" t="n">
        <v>7</v>
      </c>
      <c r="E1989" t="inlineStr">
        <is>
          <t>HIGH</t>
        </is>
      </c>
      <c r="F1989" t="n">
        <v>3</v>
      </c>
      <c r="G1989" t="n">
        <v>2</v>
      </c>
      <c r="H1989" t="inlineStr">
        <is>
          <t>HIGH</t>
        </is>
      </c>
      <c r="I1989" t="n">
        <v>13</v>
      </c>
      <c r="J1989" t="inlineStr">
        <is>
          <t>NO</t>
        </is>
      </c>
      <c r="K1989" t="inlineStr">
        <is>
          <t>2026-02-26 00:15</t>
        </is>
      </c>
      <c r="L1989" t="inlineStr">
        <is>
          <t>Block IP</t>
        </is>
      </c>
      <c r="M1989" t="inlineStr">
        <is>
          <t>Network perimeter / Email / Web</t>
        </is>
      </c>
      <c r="N1989" t="inlineStr">
        <is>
          <t>P3</t>
        </is>
      </c>
      <c r="O1989" t="inlineStr">
        <is>
          <t>Check ip-api.com + AbuseIPDB for context</t>
        </is>
      </c>
      <c r="P1989" t="n">
        <v>0</v>
      </c>
      <c r="Q1989" t="n">
        <v>0</v>
      </c>
      <c r="R1989" t="inlineStr">
        <is>
          <t>T1110:Brute Force | T1190:Exploit Public-Facing Application | T1566:Phishing</t>
        </is>
      </c>
      <c r="S1989" t="n">
        <v>1</v>
      </c>
      <c r="T1989" t="inlineStr">
        <is>
          <t>MEDIUM (60%)</t>
        </is>
      </c>
      <c r="U1989" t="inlineStr">
        <is>
          <t>NONE</t>
        </is>
      </c>
      <c r="V1989" t="inlineStr">
        <is>
          <t>NONE</t>
        </is>
      </c>
      <c r="W1989" t="inlineStr">
        <is>
          <t>NONE</t>
        </is>
      </c>
      <c r="X1989" t="inlineStr">
        <is>
          <t>NONE</t>
        </is>
      </c>
      <c r="Y1989" t="n">
        <v>0</v>
      </c>
      <c r="Z1989" t="inlineStr"/>
      <c r="AA1989" t="inlineStr">
        <is>
          <t>https://talosintelligence.com/reputation_center/lookup?search=1.24.16.26</t>
        </is>
      </c>
    </row>
    <row r="1990">
      <c r="A1990" t="inlineStr">
        <is>
          <t>TALOS_IP</t>
        </is>
      </c>
      <c r="B1990" t="inlineStr">
        <is>
          <t>415b73f6c3a9</t>
        </is>
      </c>
      <c r="C1990" t="inlineStr">
        <is>
          <t>Cisco Talos Blacklisted IP: 1.24.16.27 | Verified malicious | Sources: TALOS</t>
        </is>
      </c>
      <c r="D1990" t="n">
        <v>7</v>
      </c>
      <c r="E1990" t="inlineStr">
        <is>
          <t>HIGH</t>
        </is>
      </c>
      <c r="F1990" t="n">
        <v>3</v>
      </c>
      <c r="G1990" t="n">
        <v>2</v>
      </c>
      <c r="H1990" t="inlineStr">
        <is>
          <t>HIGH</t>
        </is>
      </c>
      <c r="I1990" t="n">
        <v>13</v>
      </c>
      <c r="J1990" t="inlineStr">
        <is>
          <t>NO</t>
        </is>
      </c>
      <c r="K1990" t="inlineStr">
        <is>
          <t>2026-02-26 00:15</t>
        </is>
      </c>
      <c r="L1990" t="inlineStr">
        <is>
          <t>Block IP</t>
        </is>
      </c>
      <c r="M1990" t="inlineStr">
        <is>
          <t>Network perimeter / Email / Web</t>
        </is>
      </c>
      <c r="N1990" t="inlineStr">
        <is>
          <t>P3</t>
        </is>
      </c>
      <c r="O1990" t="inlineStr">
        <is>
          <t>Check ip-api.com + AbuseIPDB for context</t>
        </is>
      </c>
      <c r="P1990" t="n">
        <v>0</v>
      </c>
      <c r="Q1990" t="n">
        <v>0</v>
      </c>
      <c r="R1990" t="inlineStr">
        <is>
          <t>T1110:Brute Force | T1190:Exploit Public-Facing Application | T1566:Phishing</t>
        </is>
      </c>
      <c r="S1990" t="n">
        <v>1</v>
      </c>
      <c r="T1990" t="inlineStr">
        <is>
          <t>MEDIUM (60%)</t>
        </is>
      </c>
      <c r="U1990" t="inlineStr">
        <is>
          <t>NONE</t>
        </is>
      </c>
      <c r="V1990" t="inlineStr">
        <is>
          <t>NONE</t>
        </is>
      </c>
      <c r="W1990" t="inlineStr">
        <is>
          <t>NONE</t>
        </is>
      </c>
      <c r="X1990" t="inlineStr">
        <is>
          <t>NONE</t>
        </is>
      </c>
      <c r="Y1990" t="n">
        <v>0</v>
      </c>
      <c r="Z1990" t="inlineStr"/>
      <c r="AA1990" t="inlineStr">
        <is>
          <t>https://talosintelligence.com/reputation_center/lookup?search=1.24.16.27</t>
        </is>
      </c>
    </row>
    <row r="1991">
      <c r="A1991" t="inlineStr">
        <is>
          <t>TALOS_IP</t>
        </is>
      </c>
      <c r="B1991" t="inlineStr">
        <is>
          <t>e6be7c4cc1bb</t>
        </is>
      </c>
      <c r="C1991" t="inlineStr">
        <is>
          <t>Cisco Talos Blacklisted IP: 1.24.16.35 | Verified malicious | Sources: TALOS</t>
        </is>
      </c>
      <c r="D1991" t="n">
        <v>7</v>
      </c>
      <c r="E1991" t="inlineStr">
        <is>
          <t>HIGH</t>
        </is>
      </c>
      <c r="F1991" t="n">
        <v>3</v>
      </c>
      <c r="G1991" t="n">
        <v>2</v>
      </c>
      <c r="H1991" t="inlineStr">
        <is>
          <t>HIGH</t>
        </is>
      </c>
      <c r="I1991" t="n">
        <v>13</v>
      </c>
      <c r="J1991" t="inlineStr">
        <is>
          <t>NO</t>
        </is>
      </c>
      <c r="K1991" t="inlineStr">
        <is>
          <t>2026-02-26 00:15</t>
        </is>
      </c>
      <c r="L1991" t="inlineStr">
        <is>
          <t>Block IP</t>
        </is>
      </c>
      <c r="M1991" t="inlineStr">
        <is>
          <t>Network perimeter / Email / Web</t>
        </is>
      </c>
      <c r="N1991" t="inlineStr">
        <is>
          <t>P3</t>
        </is>
      </c>
      <c r="O1991" t="inlineStr">
        <is>
          <t>Check ip-api.com + AbuseIPDB for context</t>
        </is>
      </c>
      <c r="P1991" t="n">
        <v>0</v>
      </c>
      <c r="Q1991" t="n">
        <v>0</v>
      </c>
      <c r="R1991" t="inlineStr">
        <is>
          <t>T1110:Brute Force | T1190:Exploit Public-Facing Application | T1566:Phishing</t>
        </is>
      </c>
      <c r="S1991" t="n">
        <v>1</v>
      </c>
      <c r="T1991" t="inlineStr">
        <is>
          <t>MEDIUM (60%)</t>
        </is>
      </c>
      <c r="U1991" t="inlineStr">
        <is>
          <t>NONE</t>
        </is>
      </c>
      <c r="V1991" t="inlineStr">
        <is>
          <t>NONE</t>
        </is>
      </c>
      <c r="W1991" t="inlineStr">
        <is>
          <t>NONE</t>
        </is>
      </c>
      <c r="X1991" t="inlineStr">
        <is>
          <t>NONE</t>
        </is>
      </c>
      <c r="Y1991" t="n">
        <v>0</v>
      </c>
      <c r="Z1991" t="inlineStr"/>
      <c r="AA1991" t="inlineStr">
        <is>
          <t>https://talosintelligence.com/reputation_center/lookup?search=1.24.16.35</t>
        </is>
      </c>
    </row>
    <row r="1992">
      <c r="A1992" t="inlineStr">
        <is>
          <t>TALOS_IP</t>
        </is>
      </c>
      <c r="B1992" t="inlineStr">
        <is>
          <t>a6e1e1a422ed</t>
        </is>
      </c>
      <c r="C1992" t="inlineStr">
        <is>
          <t>Cisco Talos Blacklisted IP: 1.24.16.38 | Verified malicious | Sources: TALOS</t>
        </is>
      </c>
      <c r="D1992" t="n">
        <v>7</v>
      </c>
      <c r="E1992" t="inlineStr">
        <is>
          <t>HIGH</t>
        </is>
      </c>
      <c r="F1992" t="n">
        <v>3</v>
      </c>
      <c r="G1992" t="n">
        <v>2</v>
      </c>
      <c r="H1992" t="inlineStr">
        <is>
          <t>HIGH</t>
        </is>
      </c>
      <c r="I1992" t="n">
        <v>13</v>
      </c>
      <c r="J1992" t="inlineStr">
        <is>
          <t>NO</t>
        </is>
      </c>
      <c r="K1992" t="inlineStr">
        <is>
          <t>2026-02-26 00:15</t>
        </is>
      </c>
      <c r="L1992" t="inlineStr">
        <is>
          <t>Block IP</t>
        </is>
      </c>
      <c r="M1992" t="inlineStr">
        <is>
          <t>Network perimeter / Email / Web</t>
        </is>
      </c>
      <c r="N1992" t="inlineStr">
        <is>
          <t>P3</t>
        </is>
      </c>
      <c r="O1992" t="inlineStr">
        <is>
          <t>Check ip-api.com + AbuseIPDB for context</t>
        </is>
      </c>
      <c r="P1992" t="n">
        <v>0</v>
      </c>
      <c r="Q1992" t="n">
        <v>0</v>
      </c>
      <c r="R1992" t="inlineStr">
        <is>
          <t>T1110:Brute Force | T1190:Exploit Public-Facing Application | T1566:Phishing</t>
        </is>
      </c>
      <c r="S1992" t="n">
        <v>1</v>
      </c>
      <c r="T1992" t="inlineStr">
        <is>
          <t>MEDIUM (60%)</t>
        </is>
      </c>
      <c r="U1992" t="inlineStr">
        <is>
          <t>NONE</t>
        </is>
      </c>
      <c r="V1992" t="inlineStr">
        <is>
          <t>NONE</t>
        </is>
      </c>
      <c r="W1992" t="inlineStr">
        <is>
          <t>NONE</t>
        </is>
      </c>
      <c r="X1992" t="inlineStr">
        <is>
          <t>NONE</t>
        </is>
      </c>
      <c r="Y1992" t="n">
        <v>0</v>
      </c>
      <c r="Z1992" t="inlineStr"/>
      <c r="AA1992" t="inlineStr">
        <is>
          <t>https://talosintelligence.com/reputation_center/lookup?search=1.24.16.38</t>
        </is>
      </c>
    </row>
    <row r="1993">
      <c r="A1993" t="inlineStr">
        <is>
          <t>TALOS_IP</t>
        </is>
      </c>
      <c r="B1993" t="inlineStr">
        <is>
          <t>1fb59ca1ba3a</t>
        </is>
      </c>
      <c r="C1993" t="inlineStr">
        <is>
          <t>Cisco Talos Blacklisted IP: 1.24.16.40 | Verified malicious | Sources: TALOS</t>
        </is>
      </c>
      <c r="D1993" t="n">
        <v>7</v>
      </c>
      <c r="E1993" t="inlineStr">
        <is>
          <t>HIGH</t>
        </is>
      </c>
      <c r="F1993" t="n">
        <v>3</v>
      </c>
      <c r="G1993" t="n">
        <v>2</v>
      </c>
      <c r="H1993" t="inlineStr">
        <is>
          <t>HIGH</t>
        </is>
      </c>
      <c r="I1993" t="n">
        <v>13</v>
      </c>
      <c r="J1993" t="inlineStr">
        <is>
          <t>NO</t>
        </is>
      </c>
      <c r="K1993" t="inlineStr">
        <is>
          <t>2026-02-26 00:15</t>
        </is>
      </c>
      <c r="L1993" t="inlineStr">
        <is>
          <t>Block IP</t>
        </is>
      </c>
      <c r="M1993" t="inlineStr">
        <is>
          <t>Network perimeter / Email / Web</t>
        </is>
      </c>
      <c r="N1993" t="inlineStr">
        <is>
          <t>P3</t>
        </is>
      </c>
      <c r="O1993" t="inlineStr">
        <is>
          <t>Check ip-api.com + AbuseIPDB for context</t>
        </is>
      </c>
      <c r="P1993" t="n">
        <v>0</v>
      </c>
      <c r="Q1993" t="n">
        <v>0</v>
      </c>
      <c r="R1993" t="inlineStr">
        <is>
          <t>T1110:Brute Force | T1190:Exploit Public-Facing Application | T1566:Phishing</t>
        </is>
      </c>
      <c r="S1993" t="n">
        <v>1</v>
      </c>
      <c r="T1993" t="inlineStr">
        <is>
          <t>MEDIUM (60%)</t>
        </is>
      </c>
      <c r="U1993" t="inlineStr">
        <is>
          <t>NONE</t>
        </is>
      </c>
      <c r="V1993" t="inlineStr">
        <is>
          <t>NONE</t>
        </is>
      </c>
      <c r="W1993" t="inlineStr">
        <is>
          <t>NONE</t>
        </is>
      </c>
      <c r="X1993" t="inlineStr">
        <is>
          <t>NONE</t>
        </is>
      </c>
      <c r="Y1993" t="n">
        <v>0</v>
      </c>
      <c r="Z1993" t="inlineStr"/>
      <c r="AA1993" t="inlineStr">
        <is>
          <t>https://talosintelligence.com/reputation_center/lookup?search=1.24.16.40</t>
        </is>
      </c>
    </row>
    <row r="1994">
      <c r="A1994" t="inlineStr">
        <is>
          <t>TALOS_IP</t>
        </is>
      </c>
      <c r="B1994" t="inlineStr">
        <is>
          <t>dd36a1c7a05e</t>
        </is>
      </c>
      <c r="C1994" t="inlineStr">
        <is>
          <t>Cisco Talos Blacklisted IP: 1.24.16.42 | Verified malicious | Sources: TALOS</t>
        </is>
      </c>
      <c r="D1994" t="n">
        <v>7</v>
      </c>
      <c r="E1994" t="inlineStr">
        <is>
          <t>HIGH</t>
        </is>
      </c>
      <c r="F1994" t="n">
        <v>3</v>
      </c>
      <c r="G1994" t="n">
        <v>2</v>
      </c>
      <c r="H1994" t="inlineStr">
        <is>
          <t>HIGH</t>
        </is>
      </c>
      <c r="I1994" t="n">
        <v>13</v>
      </c>
      <c r="J1994" t="inlineStr">
        <is>
          <t>NO</t>
        </is>
      </c>
      <c r="K1994" t="inlineStr">
        <is>
          <t>2026-02-26 00:15</t>
        </is>
      </c>
      <c r="L1994" t="inlineStr">
        <is>
          <t>Block IP</t>
        </is>
      </c>
      <c r="M1994" t="inlineStr">
        <is>
          <t>Network perimeter / Email / Web</t>
        </is>
      </c>
      <c r="N1994" t="inlineStr">
        <is>
          <t>P3</t>
        </is>
      </c>
      <c r="O1994" t="inlineStr">
        <is>
          <t>Check ip-api.com + AbuseIPDB for context</t>
        </is>
      </c>
      <c r="P1994" t="n">
        <v>0</v>
      </c>
      <c r="Q1994" t="n">
        <v>0</v>
      </c>
      <c r="R1994" t="inlineStr">
        <is>
          <t>T1110:Brute Force | T1190:Exploit Public-Facing Application | T1566:Phishing</t>
        </is>
      </c>
      <c r="S1994" t="n">
        <v>1</v>
      </c>
      <c r="T1994" t="inlineStr">
        <is>
          <t>MEDIUM (60%)</t>
        </is>
      </c>
      <c r="U1994" t="inlineStr">
        <is>
          <t>NONE</t>
        </is>
      </c>
      <c r="V1994" t="inlineStr">
        <is>
          <t>NONE</t>
        </is>
      </c>
      <c r="W1994" t="inlineStr">
        <is>
          <t>NONE</t>
        </is>
      </c>
      <c r="X1994" t="inlineStr">
        <is>
          <t>NONE</t>
        </is>
      </c>
      <c r="Y1994" t="n">
        <v>0</v>
      </c>
      <c r="Z1994" t="inlineStr"/>
      <c r="AA1994" t="inlineStr">
        <is>
          <t>https://talosintelligence.com/reputation_center/lookup?search=1.24.16.42</t>
        </is>
      </c>
    </row>
    <row r="1995">
      <c r="A1995" t="inlineStr">
        <is>
          <t>TALOS_IP</t>
        </is>
      </c>
      <c r="B1995" t="inlineStr">
        <is>
          <t>5ed2b43f8e62</t>
        </is>
      </c>
      <c r="C1995" t="inlineStr">
        <is>
          <t>Cisco Talos Blacklisted IP: 1.24.16.45 | Verified malicious | Sources: TALOS</t>
        </is>
      </c>
      <c r="D1995" t="n">
        <v>7</v>
      </c>
      <c r="E1995" t="inlineStr">
        <is>
          <t>HIGH</t>
        </is>
      </c>
      <c r="F1995" t="n">
        <v>3</v>
      </c>
      <c r="G1995" t="n">
        <v>2</v>
      </c>
      <c r="H1995" t="inlineStr">
        <is>
          <t>HIGH</t>
        </is>
      </c>
      <c r="I1995" t="n">
        <v>13</v>
      </c>
      <c r="J1995" t="inlineStr">
        <is>
          <t>NO</t>
        </is>
      </c>
      <c r="K1995" t="inlineStr">
        <is>
          <t>2026-02-26 00:15</t>
        </is>
      </c>
      <c r="L1995" t="inlineStr">
        <is>
          <t>Block IP</t>
        </is>
      </c>
      <c r="M1995" t="inlineStr">
        <is>
          <t>Network perimeter / Email / Web</t>
        </is>
      </c>
      <c r="N1995" t="inlineStr">
        <is>
          <t>P3</t>
        </is>
      </c>
      <c r="O1995" t="inlineStr">
        <is>
          <t>Check ip-api.com + AbuseIPDB for context</t>
        </is>
      </c>
      <c r="P1995" t="n">
        <v>0</v>
      </c>
      <c r="Q1995" t="n">
        <v>0</v>
      </c>
      <c r="R1995" t="inlineStr">
        <is>
          <t>T1110:Brute Force | T1190:Exploit Public-Facing Application | T1566:Phishing</t>
        </is>
      </c>
      <c r="S1995" t="n">
        <v>1</v>
      </c>
      <c r="T1995" t="inlineStr">
        <is>
          <t>MEDIUM (60%)</t>
        </is>
      </c>
      <c r="U1995" t="inlineStr">
        <is>
          <t>NONE</t>
        </is>
      </c>
      <c r="V1995" t="inlineStr">
        <is>
          <t>NONE</t>
        </is>
      </c>
      <c r="W1995" t="inlineStr">
        <is>
          <t>NONE</t>
        </is>
      </c>
      <c r="X1995" t="inlineStr">
        <is>
          <t>NONE</t>
        </is>
      </c>
      <c r="Y1995" t="n">
        <v>0</v>
      </c>
      <c r="Z1995" t="inlineStr"/>
      <c r="AA1995" t="inlineStr">
        <is>
          <t>https://talosintelligence.com/reputation_center/lookup?search=1.24.16.45</t>
        </is>
      </c>
    </row>
    <row r="1996">
      <c r="A1996" t="inlineStr">
        <is>
          <t>TALOS_IP</t>
        </is>
      </c>
      <c r="B1996" t="inlineStr">
        <is>
          <t>47ea4e8f5906</t>
        </is>
      </c>
      <c r="C1996" t="inlineStr">
        <is>
          <t>Cisco Talos Blacklisted IP: 1.24.16.47 | Verified malicious | Sources: TALOS</t>
        </is>
      </c>
      <c r="D1996" t="n">
        <v>7</v>
      </c>
      <c r="E1996" t="inlineStr">
        <is>
          <t>HIGH</t>
        </is>
      </c>
      <c r="F1996" t="n">
        <v>3</v>
      </c>
      <c r="G1996" t="n">
        <v>2</v>
      </c>
      <c r="H1996" t="inlineStr">
        <is>
          <t>HIGH</t>
        </is>
      </c>
      <c r="I1996" t="n">
        <v>13</v>
      </c>
      <c r="J1996" t="inlineStr">
        <is>
          <t>NO</t>
        </is>
      </c>
      <c r="K1996" t="inlineStr">
        <is>
          <t>2026-02-26 00:15</t>
        </is>
      </c>
      <c r="L1996" t="inlineStr">
        <is>
          <t>Block IP</t>
        </is>
      </c>
      <c r="M1996" t="inlineStr">
        <is>
          <t>Network perimeter / Email / Web</t>
        </is>
      </c>
      <c r="N1996" t="inlineStr">
        <is>
          <t>P3</t>
        </is>
      </c>
      <c r="O1996" t="inlineStr">
        <is>
          <t>Check ip-api.com + AbuseIPDB for context</t>
        </is>
      </c>
      <c r="P1996" t="n">
        <v>0</v>
      </c>
      <c r="Q1996" t="n">
        <v>0</v>
      </c>
      <c r="R1996" t="inlineStr">
        <is>
          <t>T1110:Brute Force | T1190:Exploit Public-Facing Application | T1566:Phishing</t>
        </is>
      </c>
      <c r="S1996" t="n">
        <v>1</v>
      </c>
      <c r="T1996" t="inlineStr">
        <is>
          <t>MEDIUM (60%)</t>
        </is>
      </c>
      <c r="U1996" t="inlineStr">
        <is>
          <t>NONE</t>
        </is>
      </c>
      <c r="V1996" t="inlineStr">
        <is>
          <t>NONE</t>
        </is>
      </c>
      <c r="W1996" t="inlineStr">
        <is>
          <t>NONE</t>
        </is>
      </c>
      <c r="X1996" t="inlineStr">
        <is>
          <t>NONE</t>
        </is>
      </c>
      <c r="Y1996" t="n">
        <v>0</v>
      </c>
      <c r="Z1996" t="inlineStr"/>
      <c r="AA1996" t="inlineStr">
        <is>
          <t>https://talosintelligence.com/reputation_center/lookup?search=1.24.16.47</t>
        </is>
      </c>
    </row>
    <row r="1997">
      <c r="A1997" t="inlineStr">
        <is>
          <t>TALOS_IP</t>
        </is>
      </c>
      <c r="B1997" t="inlineStr">
        <is>
          <t>3c597cf3df38</t>
        </is>
      </c>
      <c r="C1997" t="inlineStr">
        <is>
          <t>Cisco Talos Blacklisted IP: 1.24.16.54 | Verified malicious | Sources: TALOS</t>
        </is>
      </c>
      <c r="D1997" t="n">
        <v>7</v>
      </c>
      <c r="E1997" t="inlineStr">
        <is>
          <t>HIGH</t>
        </is>
      </c>
      <c r="F1997" t="n">
        <v>3</v>
      </c>
      <c r="G1997" t="n">
        <v>2</v>
      </c>
      <c r="H1997" t="inlineStr">
        <is>
          <t>HIGH</t>
        </is>
      </c>
      <c r="I1997" t="n">
        <v>13</v>
      </c>
      <c r="J1997" t="inlineStr">
        <is>
          <t>NO</t>
        </is>
      </c>
      <c r="K1997" t="inlineStr">
        <is>
          <t>2026-02-26 00:15</t>
        </is>
      </c>
      <c r="L1997" t="inlineStr">
        <is>
          <t>Block IP</t>
        </is>
      </c>
      <c r="M1997" t="inlineStr">
        <is>
          <t>Network perimeter / Email / Web</t>
        </is>
      </c>
      <c r="N1997" t="inlineStr">
        <is>
          <t>P3</t>
        </is>
      </c>
      <c r="O1997" t="inlineStr">
        <is>
          <t>Check ip-api.com + AbuseIPDB for context</t>
        </is>
      </c>
      <c r="P1997" t="n">
        <v>0</v>
      </c>
      <c r="Q1997" t="n">
        <v>0</v>
      </c>
      <c r="R1997" t="inlineStr">
        <is>
          <t>T1110:Brute Force | T1190:Exploit Public-Facing Application | T1566:Phishing</t>
        </is>
      </c>
      <c r="S1997" t="n">
        <v>1</v>
      </c>
      <c r="T1997" t="inlineStr">
        <is>
          <t>MEDIUM (60%)</t>
        </is>
      </c>
      <c r="U1997" t="inlineStr">
        <is>
          <t>NONE</t>
        </is>
      </c>
      <c r="V1997" t="inlineStr">
        <is>
          <t>NONE</t>
        </is>
      </c>
      <c r="W1997" t="inlineStr">
        <is>
          <t>NONE</t>
        </is>
      </c>
      <c r="X1997" t="inlineStr">
        <is>
          <t>NONE</t>
        </is>
      </c>
      <c r="Y1997" t="n">
        <v>0</v>
      </c>
      <c r="Z1997" t="inlineStr"/>
      <c r="AA1997" t="inlineStr">
        <is>
          <t>https://talosintelligence.com/reputation_center/lookup?search=1.24.16.54</t>
        </is>
      </c>
    </row>
    <row r="1998">
      <c r="A1998" t="inlineStr">
        <is>
          <t>TALOS_IP</t>
        </is>
      </c>
      <c r="B1998" t="inlineStr">
        <is>
          <t>71b182573a6e</t>
        </is>
      </c>
      <c r="C1998" t="inlineStr">
        <is>
          <t>Cisco Talos Blacklisted IP: 1.24.16.55 | Verified malicious | Sources: TALOS</t>
        </is>
      </c>
      <c r="D1998" t="n">
        <v>7</v>
      </c>
      <c r="E1998" t="inlineStr">
        <is>
          <t>HIGH</t>
        </is>
      </c>
      <c r="F1998" t="n">
        <v>3</v>
      </c>
      <c r="G1998" t="n">
        <v>2</v>
      </c>
      <c r="H1998" t="inlineStr">
        <is>
          <t>HIGH</t>
        </is>
      </c>
      <c r="I1998" t="n">
        <v>13</v>
      </c>
      <c r="J1998" t="inlineStr">
        <is>
          <t>NO</t>
        </is>
      </c>
      <c r="K1998" t="inlineStr">
        <is>
          <t>2026-02-26 00:15</t>
        </is>
      </c>
      <c r="L1998" t="inlineStr">
        <is>
          <t>Block IP</t>
        </is>
      </c>
      <c r="M1998" t="inlineStr">
        <is>
          <t>Network perimeter / Email / Web</t>
        </is>
      </c>
      <c r="N1998" t="inlineStr">
        <is>
          <t>P3</t>
        </is>
      </c>
      <c r="O1998" t="inlineStr">
        <is>
          <t>Check ip-api.com + AbuseIPDB for context</t>
        </is>
      </c>
      <c r="P1998" t="n">
        <v>0</v>
      </c>
      <c r="Q1998" t="n">
        <v>0</v>
      </c>
      <c r="R1998" t="inlineStr">
        <is>
          <t>T1110:Brute Force | T1190:Exploit Public-Facing Application | T1566:Phishing</t>
        </is>
      </c>
      <c r="S1998" t="n">
        <v>1</v>
      </c>
      <c r="T1998" t="inlineStr">
        <is>
          <t>MEDIUM (60%)</t>
        </is>
      </c>
      <c r="U1998" t="inlineStr">
        <is>
          <t>NONE</t>
        </is>
      </c>
      <c r="V1998" t="inlineStr">
        <is>
          <t>NONE</t>
        </is>
      </c>
      <c r="W1998" t="inlineStr">
        <is>
          <t>NONE</t>
        </is>
      </c>
      <c r="X1998" t="inlineStr">
        <is>
          <t>NONE</t>
        </is>
      </c>
      <c r="Y1998" t="n">
        <v>0</v>
      </c>
      <c r="Z1998" t="inlineStr"/>
      <c r="AA1998" t="inlineStr">
        <is>
          <t>https://talosintelligence.com/reputation_center/lookup?search=1.24.16.55</t>
        </is>
      </c>
    </row>
    <row r="1999">
      <c r="A1999" t="inlineStr">
        <is>
          <t>TALOS_IP</t>
        </is>
      </c>
      <c r="B1999" t="inlineStr">
        <is>
          <t>f8d37b2e81c8</t>
        </is>
      </c>
      <c r="C1999" t="inlineStr">
        <is>
          <t>Cisco Talos Blacklisted IP: 1.24.16.58 | Verified malicious | Sources: TALOS</t>
        </is>
      </c>
      <c r="D1999" t="n">
        <v>7</v>
      </c>
      <c r="E1999" t="inlineStr">
        <is>
          <t>HIGH</t>
        </is>
      </c>
      <c r="F1999" t="n">
        <v>3</v>
      </c>
      <c r="G1999" t="n">
        <v>2</v>
      </c>
      <c r="H1999" t="inlineStr">
        <is>
          <t>HIGH</t>
        </is>
      </c>
      <c r="I1999" t="n">
        <v>13</v>
      </c>
      <c r="J1999" t="inlineStr">
        <is>
          <t>NO</t>
        </is>
      </c>
      <c r="K1999" t="inlineStr">
        <is>
          <t>2026-02-26 00:15</t>
        </is>
      </c>
      <c r="L1999" t="inlineStr">
        <is>
          <t>Block IP</t>
        </is>
      </c>
      <c r="M1999" t="inlineStr">
        <is>
          <t>Network perimeter / Email / Web</t>
        </is>
      </c>
      <c r="N1999" t="inlineStr">
        <is>
          <t>P3</t>
        </is>
      </c>
      <c r="O1999" t="inlineStr">
        <is>
          <t>Check ip-api.com + AbuseIPDB for context</t>
        </is>
      </c>
      <c r="P1999" t="n">
        <v>0</v>
      </c>
      <c r="Q1999" t="n">
        <v>0</v>
      </c>
      <c r="R1999" t="inlineStr">
        <is>
          <t>T1110:Brute Force | T1190:Exploit Public-Facing Application | T1566:Phishing</t>
        </is>
      </c>
      <c r="S1999" t="n">
        <v>1</v>
      </c>
      <c r="T1999" t="inlineStr">
        <is>
          <t>MEDIUM (60%)</t>
        </is>
      </c>
      <c r="U1999" t="inlineStr">
        <is>
          <t>NONE</t>
        </is>
      </c>
      <c r="V1999" t="inlineStr">
        <is>
          <t>NONE</t>
        </is>
      </c>
      <c r="W1999" t="inlineStr">
        <is>
          <t>NONE</t>
        </is>
      </c>
      <c r="X1999" t="inlineStr">
        <is>
          <t>NONE</t>
        </is>
      </c>
      <c r="Y1999" t="n">
        <v>0</v>
      </c>
      <c r="Z1999" t="inlineStr"/>
      <c r="AA1999" t="inlineStr">
        <is>
          <t>https://talosintelligence.com/reputation_center/lookup?search=1.24.16.58</t>
        </is>
      </c>
    </row>
    <row r="2000">
      <c r="A2000" t="inlineStr">
        <is>
          <t>TALOS_IP</t>
        </is>
      </c>
      <c r="B2000" t="inlineStr">
        <is>
          <t>5bbdb599e6ae</t>
        </is>
      </c>
      <c r="C2000" t="inlineStr">
        <is>
          <t>Cisco Talos Blacklisted IP: 1.24.16.59 | Verified malicious | Sources: TALOS</t>
        </is>
      </c>
      <c r="D2000" t="n">
        <v>7</v>
      </c>
      <c r="E2000" t="inlineStr">
        <is>
          <t>HIGH</t>
        </is>
      </c>
      <c r="F2000" t="n">
        <v>3</v>
      </c>
      <c r="G2000" t="n">
        <v>2</v>
      </c>
      <c r="H2000" t="inlineStr">
        <is>
          <t>HIGH</t>
        </is>
      </c>
      <c r="I2000" t="n">
        <v>13</v>
      </c>
      <c r="J2000" t="inlineStr">
        <is>
          <t>NO</t>
        </is>
      </c>
      <c r="K2000" t="inlineStr">
        <is>
          <t>2026-02-26 00:15</t>
        </is>
      </c>
      <c r="L2000" t="inlineStr">
        <is>
          <t>Block IP</t>
        </is>
      </c>
      <c r="M2000" t="inlineStr">
        <is>
          <t>Network perimeter / Email / Web</t>
        </is>
      </c>
      <c r="N2000" t="inlineStr">
        <is>
          <t>P3</t>
        </is>
      </c>
      <c r="O2000" t="inlineStr">
        <is>
          <t>Check ip-api.com + AbuseIPDB for context</t>
        </is>
      </c>
      <c r="P2000" t="n">
        <v>0</v>
      </c>
      <c r="Q2000" t="n">
        <v>0</v>
      </c>
      <c r="R2000" t="inlineStr">
        <is>
          <t>T1110:Brute Force | T1190:Exploit Public-Facing Application | T1566:Phishing</t>
        </is>
      </c>
      <c r="S2000" t="n">
        <v>1</v>
      </c>
      <c r="T2000" t="inlineStr">
        <is>
          <t>MEDIUM (60%)</t>
        </is>
      </c>
      <c r="U2000" t="inlineStr">
        <is>
          <t>NONE</t>
        </is>
      </c>
      <c r="V2000" t="inlineStr">
        <is>
          <t>NONE</t>
        </is>
      </c>
      <c r="W2000" t="inlineStr">
        <is>
          <t>NONE</t>
        </is>
      </c>
      <c r="X2000" t="inlineStr">
        <is>
          <t>NONE</t>
        </is>
      </c>
      <c r="Y2000" t="n">
        <v>0</v>
      </c>
      <c r="Z2000" t="inlineStr"/>
      <c r="AA2000" t="inlineStr">
        <is>
          <t>https://talosintelligence.com/reputation_center/lookup?search=1.24.16.59</t>
        </is>
      </c>
    </row>
    <row r="2001">
      <c r="A2001" t="inlineStr">
        <is>
          <t>TALOS_IP</t>
        </is>
      </c>
      <c r="B2001" t="inlineStr">
        <is>
          <t>e67a7705152f</t>
        </is>
      </c>
      <c r="C2001" t="inlineStr">
        <is>
          <t>Cisco Talos Blacklisted IP: 1.24.16.61 | Verified malicious | Sources: TALOS</t>
        </is>
      </c>
      <c r="D2001" t="n">
        <v>7</v>
      </c>
      <c r="E2001" t="inlineStr">
        <is>
          <t>HIGH</t>
        </is>
      </c>
      <c r="F2001" t="n">
        <v>3</v>
      </c>
      <c r="G2001" t="n">
        <v>2</v>
      </c>
      <c r="H2001" t="inlineStr">
        <is>
          <t>HIGH</t>
        </is>
      </c>
      <c r="I2001" t="n">
        <v>13</v>
      </c>
      <c r="J2001" t="inlineStr">
        <is>
          <t>NO</t>
        </is>
      </c>
      <c r="K2001" t="inlineStr">
        <is>
          <t>2026-02-26 00:15</t>
        </is>
      </c>
      <c r="L2001" t="inlineStr">
        <is>
          <t>Block IP</t>
        </is>
      </c>
      <c r="M2001" t="inlineStr">
        <is>
          <t>Network perimeter / Email / Web</t>
        </is>
      </c>
      <c r="N2001" t="inlineStr">
        <is>
          <t>P3</t>
        </is>
      </c>
      <c r="O2001" t="inlineStr">
        <is>
          <t>Check ip-api.com + AbuseIPDB for context</t>
        </is>
      </c>
      <c r="P2001" t="n">
        <v>0</v>
      </c>
      <c r="Q2001" t="n">
        <v>0</v>
      </c>
      <c r="R2001" t="inlineStr">
        <is>
          <t>T1110:Brute Force | T1190:Exploit Public-Facing Application | T1566:Phishing</t>
        </is>
      </c>
      <c r="S2001" t="n">
        <v>1</v>
      </c>
      <c r="T2001" t="inlineStr">
        <is>
          <t>MEDIUM (60%)</t>
        </is>
      </c>
      <c r="U2001" t="inlineStr">
        <is>
          <t>NONE</t>
        </is>
      </c>
      <c r="V2001" t="inlineStr">
        <is>
          <t>NONE</t>
        </is>
      </c>
      <c r="W2001" t="inlineStr">
        <is>
          <t>NONE</t>
        </is>
      </c>
      <c r="X2001" t="inlineStr">
        <is>
          <t>NONE</t>
        </is>
      </c>
      <c r="Y2001" t="n">
        <v>0</v>
      </c>
      <c r="Z2001" t="inlineStr"/>
      <c r="AA2001" t="inlineStr">
        <is>
          <t>https://talosintelligence.com/reputation_center/lookup?search=1.24.16.61</t>
        </is>
      </c>
    </row>
    <row r="2002">
      <c r="A2002" t="inlineStr">
        <is>
          <t>TALOS_IP</t>
        </is>
      </c>
      <c r="B2002" t="inlineStr">
        <is>
          <t>5620e8aa7008</t>
        </is>
      </c>
      <c r="C2002" t="inlineStr">
        <is>
          <t>Cisco Talos Blacklisted IP: 1.24.16.63 | Verified malicious | Sources: TALOS</t>
        </is>
      </c>
      <c r="D2002" t="n">
        <v>7</v>
      </c>
      <c r="E2002" t="inlineStr">
        <is>
          <t>HIGH</t>
        </is>
      </c>
      <c r="F2002" t="n">
        <v>3</v>
      </c>
      <c r="G2002" t="n">
        <v>2</v>
      </c>
      <c r="H2002" t="inlineStr">
        <is>
          <t>HIGH</t>
        </is>
      </c>
      <c r="I2002" t="n">
        <v>13</v>
      </c>
      <c r="J2002" t="inlineStr">
        <is>
          <t>NO</t>
        </is>
      </c>
      <c r="K2002" t="inlineStr">
        <is>
          <t>2026-02-26 00:15</t>
        </is>
      </c>
      <c r="L2002" t="inlineStr">
        <is>
          <t>Block IP</t>
        </is>
      </c>
      <c r="M2002" t="inlineStr">
        <is>
          <t>Network perimeter / Email / Web</t>
        </is>
      </c>
      <c r="N2002" t="inlineStr">
        <is>
          <t>P3</t>
        </is>
      </c>
      <c r="O2002" t="inlineStr">
        <is>
          <t>Check ip-api.com + AbuseIPDB for context</t>
        </is>
      </c>
      <c r="P2002" t="n">
        <v>0</v>
      </c>
      <c r="Q2002" t="n">
        <v>0</v>
      </c>
      <c r="R2002" t="inlineStr">
        <is>
          <t>T1110:Brute Force | T1190:Exploit Public-Facing Application | T1566:Phishing</t>
        </is>
      </c>
      <c r="S2002" t="n">
        <v>1</v>
      </c>
      <c r="T2002" t="inlineStr">
        <is>
          <t>MEDIUM (60%)</t>
        </is>
      </c>
      <c r="U2002" t="inlineStr">
        <is>
          <t>NONE</t>
        </is>
      </c>
      <c r="V2002" t="inlineStr">
        <is>
          <t>NONE</t>
        </is>
      </c>
      <c r="W2002" t="inlineStr">
        <is>
          <t>NONE</t>
        </is>
      </c>
      <c r="X2002" t="inlineStr">
        <is>
          <t>NONE</t>
        </is>
      </c>
      <c r="Y2002" t="n">
        <v>0</v>
      </c>
      <c r="Z2002" t="inlineStr"/>
      <c r="AA2002" t="inlineStr">
        <is>
          <t>https://talosintelligence.com/reputation_center/lookup?search=1.24.16.63</t>
        </is>
      </c>
    </row>
    <row r="2003">
      <c r="A2003" t="inlineStr">
        <is>
          <t>TALOS_IP</t>
        </is>
      </c>
      <c r="B2003" t="inlineStr">
        <is>
          <t>0c9b77fa8b75</t>
        </is>
      </c>
      <c r="C2003" t="inlineStr">
        <is>
          <t>Cisco Talos Blacklisted IP: 1.24.16.66 | Verified malicious | Sources: TALOS</t>
        </is>
      </c>
      <c r="D2003" t="n">
        <v>7</v>
      </c>
      <c r="E2003" t="inlineStr">
        <is>
          <t>HIGH</t>
        </is>
      </c>
      <c r="F2003" t="n">
        <v>3</v>
      </c>
      <c r="G2003" t="n">
        <v>2</v>
      </c>
      <c r="H2003" t="inlineStr">
        <is>
          <t>HIGH</t>
        </is>
      </c>
      <c r="I2003" t="n">
        <v>13</v>
      </c>
      <c r="J2003" t="inlineStr">
        <is>
          <t>NO</t>
        </is>
      </c>
      <c r="K2003" t="inlineStr">
        <is>
          <t>2026-02-26 00:15</t>
        </is>
      </c>
      <c r="L2003" t="inlineStr">
        <is>
          <t>Block IP</t>
        </is>
      </c>
      <c r="M2003" t="inlineStr">
        <is>
          <t>Network perimeter / Email / Web</t>
        </is>
      </c>
      <c r="N2003" t="inlineStr">
        <is>
          <t>P3</t>
        </is>
      </c>
      <c r="O2003" t="inlineStr">
        <is>
          <t>Check ip-api.com + AbuseIPDB for context</t>
        </is>
      </c>
      <c r="P2003" t="n">
        <v>0</v>
      </c>
      <c r="Q2003" t="n">
        <v>0</v>
      </c>
      <c r="R2003" t="inlineStr">
        <is>
          <t>T1110:Brute Force | T1190:Exploit Public-Facing Application | T1566:Phishing</t>
        </is>
      </c>
      <c r="S2003" t="n">
        <v>1</v>
      </c>
      <c r="T2003" t="inlineStr">
        <is>
          <t>MEDIUM (60%)</t>
        </is>
      </c>
      <c r="U2003" t="inlineStr">
        <is>
          <t>NONE</t>
        </is>
      </c>
      <c r="V2003" t="inlineStr">
        <is>
          <t>NONE</t>
        </is>
      </c>
      <c r="W2003" t="inlineStr">
        <is>
          <t>NONE</t>
        </is>
      </c>
      <c r="X2003" t="inlineStr">
        <is>
          <t>NONE</t>
        </is>
      </c>
      <c r="Y2003" t="n">
        <v>0</v>
      </c>
      <c r="Z2003" t="inlineStr"/>
      <c r="AA2003" t="inlineStr">
        <is>
          <t>https://talosintelligence.com/reputation_center/lookup?search=1.24.16.66</t>
        </is>
      </c>
    </row>
    <row r="2004">
      <c r="A2004" t="inlineStr">
        <is>
          <t>TALOS_IP</t>
        </is>
      </c>
      <c r="B2004" t="inlineStr">
        <is>
          <t>6a936e986f9e</t>
        </is>
      </c>
      <c r="C2004" t="inlineStr">
        <is>
          <t>Cisco Talos Blacklisted IP: 1.24.16.71 | Verified malicious | Sources: TALOS</t>
        </is>
      </c>
      <c r="D2004" t="n">
        <v>7</v>
      </c>
      <c r="E2004" t="inlineStr">
        <is>
          <t>HIGH</t>
        </is>
      </c>
      <c r="F2004" t="n">
        <v>3</v>
      </c>
      <c r="G2004" t="n">
        <v>2</v>
      </c>
      <c r="H2004" t="inlineStr">
        <is>
          <t>HIGH</t>
        </is>
      </c>
      <c r="I2004" t="n">
        <v>13</v>
      </c>
      <c r="J2004" t="inlineStr">
        <is>
          <t>NO</t>
        </is>
      </c>
      <c r="K2004" t="inlineStr">
        <is>
          <t>2026-02-26 00:15</t>
        </is>
      </c>
      <c r="L2004" t="inlineStr">
        <is>
          <t>Block IP</t>
        </is>
      </c>
      <c r="M2004" t="inlineStr">
        <is>
          <t>Network perimeter / Email / Web</t>
        </is>
      </c>
      <c r="N2004" t="inlineStr">
        <is>
          <t>P3</t>
        </is>
      </c>
      <c r="O2004" t="inlineStr">
        <is>
          <t>Check ip-api.com + AbuseIPDB for context</t>
        </is>
      </c>
      <c r="P2004" t="n">
        <v>0</v>
      </c>
      <c r="Q2004" t="n">
        <v>0</v>
      </c>
      <c r="R2004" t="inlineStr">
        <is>
          <t>T1110:Brute Force | T1190:Exploit Public-Facing Application | T1566:Phishing</t>
        </is>
      </c>
      <c r="S2004" t="n">
        <v>1</v>
      </c>
      <c r="T2004" t="inlineStr">
        <is>
          <t>MEDIUM (60%)</t>
        </is>
      </c>
      <c r="U2004" t="inlineStr">
        <is>
          <t>NONE</t>
        </is>
      </c>
      <c r="V2004" t="inlineStr">
        <is>
          <t>NONE</t>
        </is>
      </c>
      <c r="W2004" t="inlineStr">
        <is>
          <t>NONE</t>
        </is>
      </c>
      <c r="X2004" t="inlineStr">
        <is>
          <t>NONE</t>
        </is>
      </c>
      <c r="Y2004" t="n">
        <v>0</v>
      </c>
      <c r="Z2004" t="inlineStr"/>
      <c r="AA2004" t="inlineStr">
        <is>
          <t>https://talosintelligence.com/reputation_center/lookup?search=1.24.16.71</t>
        </is>
      </c>
    </row>
    <row r="2005">
      <c r="A2005" t="inlineStr">
        <is>
          <t>TALOS_IP</t>
        </is>
      </c>
      <c r="B2005" t="inlineStr">
        <is>
          <t>fb8f913d77ff</t>
        </is>
      </c>
      <c r="C2005" t="inlineStr">
        <is>
          <t>Cisco Talos Blacklisted IP: 1.24.16.75 | Verified malicious | Sources: TALOS</t>
        </is>
      </c>
      <c r="D2005" t="n">
        <v>7</v>
      </c>
      <c r="E2005" t="inlineStr">
        <is>
          <t>HIGH</t>
        </is>
      </c>
      <c r="F2005" t="n">
        <v>3</v>
      </c>
      <c r="G2005" t="n">
        <v>2</v>
      </c>
      <c r="H2005" t="inlineStr">
        <is>
          <t>HIGH</t>
        </is>
      </c>
      <c r="I2005" t="n">
        <v>13</v>
      </c>
      <c r="J2005" t="inlineStr">
        <is>
          <t>NO</t>
        </is>
      </c>
      <c r="K2005" t="inlineStr">
        <is>
          <t>2026-02-26 00:15</t>
        </is>
      </c>
      <c r="L2005" t="inlineStr">
        <is>
          <t>Block IP</t>
        </is>
      </c>
      <c r="M2005" t="inlineStr">
        <is>
          <t>Network perimeter / Email / Web</t>
        </is>
      </c>
      <c r="N2005" t="inlineStr">
        <is>
          <t>P3</t>
        </is>
      </c>
      <c r="O2005" t="inlineStr">
        <is>
          <t>Check ip-api.com + AbuseIPDB for context</t>
        </is>
      </c>
      <c r="P2005" t="n">
        <v>0</v>
      </c>
      <c r="Q2005" t="n">
        <v>0</v>
      </c>
      <c r="R2005" t="inlineStr">
        <is>
          <t>T1110:Brute Force | T1190:Exploit Public-Facing Application | T1566:Phishing</t>
        </is>
      </c>
      <c r="S2005" t="n">
        <v>1</v>
      </c>
      <c r="T2005" t="inlineStr">
        <is>
          <t>MEDIUM (60%)</t>
        </is>
      </c>
      <c r="U2005" t="inlineStr">
        <is>
          <t>NONE</t>
        </is>
      </c>
      <c r="V2005" t="inlineStr">
        <is>
          <t>NONE</t>
        </is>
      </c>
      <c r="W2005" t="inlineStr">
        <is>
          <t>NONE</t>
        </is>
      </c>
      <c r="X2005" t="inlineStr">
        <is>
          <t>NONE</t>
        </is>
      </c>
      <c r="Y2005" t="n">
        <v>0</v>
      </c>
      <c r="Z2005" t="inlineStr"/>
      <c r="AA2005" t="inlineStr">
        <is>
          <t>https://talosintelligence.com/reputation_center/lookup?search=1.24.16.75</t>
        </is>
      </c>
    </row>
    <row r="2006">
      <c r="A2006" t="inlineStr">
        <is>
          <t>TALOS_IP</t>
        </is>
      </c>
      <c r="B2006" t="inlineStr">
        <is>
          <t>a4199695ff2e</t>
        </is>
      </c>
      <c r="C2006" t="inlineStr">
        <is>
          <t>Cisco Talos Blacklisted IP: 1.24.16.77 | Verified malicious | Sources: TALOS</t>
        </is>
      </c>
      <c r="D2006" t="n">
        <v>7</v>
      </c>
      <c r="E2006" t="inlineStr">
        <is>
          <t>HIGH</t>
        </is>
      </c>
      <c r="F2006" t="n">
        <v>3</v>
      </c>
      <c r="G2006" t="n">
        <v>2</v>
      </c>
      <c r="H2006" t="inlineStr">
        <is>
          <t>HIGH</t>
        </is>
      </c>
      <c r="I2006" t="n">
        <v>13</v>
      </c>
      <c r="J2006" t="inlineStr">
        <is>
          <t>NO</t>
        </is>
      </c>
      <c r="K2006" t="inlineStr">
        <is>
          <t>2026-02-26 00:15</t>
        </is>
      </c>
      <c r="L2006" t="inlineStr">
        <is>
          <t>Block IP</t>
        </is>
      </c>
      <c r="M2006" t="inlineStr">
        <is>
          <t>Network perimeter / Email / Web</t>
        </is>
      </c>
      <c r="N2006" t="inlineStr">
        <is>
          <t>P3</t>
        </is>
      </c>
      <c r="O2006" t="inlineStr">
        <is>
          <t>Check ip-api.com + AbuseIPDB for context</t>
        </is>
      </c>
      <c r="P2006" t="n">
        <v>0</v>
      </c>
      <c r="Q2006" t="n">
        <v>0</v>
      </c>
      <c r="R2006" t="inlineStr">
        <is>
          <t>T1110:Brute Force | T1190:Exploit Public-Facing Application | T1566:Phishing</t>
        </is>
      </c>
      <c r="S2006" t="n">
        <v>1</v>
      </c>
      <c r="T2006" t="inlineStr">
        <is>
          <t>MEDIUM (60%)</t>
        </is>
      </c>
      <c r="U2006" t="inlineStr">
        <is>
          <t>NONE</t>
        </is>
      </c>
      <c r="V2006" t="inlineStr">
        <is>
          <t>NONE</t>
        </is>
      </c>
      <c r="W2006" t="inlineStr">
        <is>
          <t>NONE</t>
        </is>
      </c>
      <c r="X2006" t="inlineStr">
        <is>
          <t>NONE</t>
        </is>
      </c>
      <c r="Y2006" t="n">
        <v>0</v>
      </c>
      <c r="Z2006" t="inlineStr"/>
      <c r="AA2006" t="inlineStr">
        <is>
          <t>https://talosintelligence.com/reputation_center/lookup?search=1.24.16.77</t>
        </is>
      </c>
    </row>
    <row r="2007">
      <c r="A2007" t="inlineStr">
        <is>
          <t>TALOS_IP</t>
        </is>
      </c>
      <c r="B2007" t="inlineStr">
        <is>
          <t>789cef1cf16d</t>
        </is>
      </c>
      <c r="C2007" t="inlineStr">
        <is>
          <t>Cisco Talos Blacklisted IP: 1.24.16.8 | Verified malicious | Sources: TALOS</t>
        </is>
      </c>
      <c r="D2007" t="n">
        <v>7</v>
      </c>
      <c r="E2007" t="inlineStr">
        <is>
          <t>HIGH</t>
        </is>
      </c>
      <c r="F2007" t="n">
        <v>3</v>
      </c>
      <c r="G2007" t="n">
        <v>2</v>
      </c>
      <c r="H2007" t="inlineStr">
        <is>
          <t>HIGH</t>
        </is>
      </c>
      <c r="I2007" t="n">
        <v>13</v>
      </c>
      <c r="J2007" t="inlineStr">
        <is>
          <t>NO</t>
        </is>
      </c>
      <c r="K2007" t="inlineStr">
        <is>
          <t>2026-02-26 00:15</t>
        </is>
      </c>
      <c r="L2007" t="inlineStr">
        <is>
          <t>Block IP</t>
        </is>
      </c>
      <c r="M2007" t="inlineStr">
        <is>
          <t>Network perimeter / Email / Web</t>
        </is>
      </c>
      <c r="N2007" t="inlineStr">
        <is>
          <t>P3</t>
        </is>
      </c>
      <c r="O2007" t="inlineStr">
        <is>
          <t>Check ip-api.com + AbuseIPDB for context</t>
        </is>
      </c>
      <c r="P2007" t="n">
        <v>0</v>
      </c>
      <c r="Q2007" t="n">
        <v>0</v>
      </c>
      <c r="R2007" t="inlineStr">
        <is>
          <t>T1110:Brute Force | T1190:Exploit Public-Facing Application | T1566:Phishing</t>
        </is>
      </c>
      <c r="S2007" t="n">
        <v>1</v>
      </c>
      <c r="T2007" t="inlineStr">
        <is>
          <t>MEDIUM (60%)</t>
        </is>
      </c>
      <c r="U2007" t="inlineStr">
        <is>
          <t>NONE</t>
        </is>
      </c>
      <c r="V2007" t="inlineStr">
        <is>
          <t>NONE</t>
        </is>
      </c>
      <c r="W2007" t="inlineStr">
        <is>
          <t>NONE</t>
        </is>
      </c>
      <c r="X2007" t="inlineStr">
        <is>
          <t>NONE</t>
        </is>
      </c>
      <c r="Y2007" t="n">
        <v>0</v>
      </c>
      <c r="Z2007" t="inlineStr"/>
      <c r="AA2007" t="inlineStr">
        <is>
          <t>https://talosintelligence.com/reputation_center/lookup?search=1.24.16.8</t>
        </is>
      </c>
    </row>
    <row r="2008">
      <c r="A2008" t="inlineStr">
        <is>
          <t>TALOS_IP</t>
        </is>
      </c>
      <c r="B2008" t="inlineStr">
        <is>
          <t>20f4b4b695b3</t>
        </is>
      </c>
      <c r="C2008" t="inlineStr">
        <is>
          <t>Cisco Talos Blacklisted IP: 1.24.16.94 | Verified malicious | Sources: TALOS</t>
        </is>
      </c>
      <c r="D2008" t="n">
        <v>7</v>
      </c>
      <c r="E2008" t="inlineStr">
        <is>
          <t>HIGH</t>
        </is>
      </c>
      <c r="F2008" t="n">
        <v>3</v>
      </c>
      <c r="G2008" t="n">
        <v>2</v>
      </c>
      <c r="H2008" t="inlineStr">
        <is>
          <t>HIGH</t>
        </is>
      </c>
      <c r="I2008" t="n">
        <v>13</v>
      </c>
      <c r="J2008" t="inlineStr">
        <is>
          <t>NO</t>
        </is>
      </c>
      <c r="K2008" t="inlineStr">
        <is>
          <t>2026-02-26 00:15</t>
        </is>
      </c>
      <c r="L2008" t="inlineStr">
        <is>
          <t>Block IP</t>
        </is>
      </c>
      <c r="M2008" t="inlineStr">
        <is>
          <t>Network perimeter / Email / Web</t>
        </is>
      </c>
      <c r="N2008" t="inlineStr">
        <is>
          <t>P3</t>
        </is>
      </c>
      <c r="O2008" t="inlineStr">
        <is>
          <t>Check ip-api.com + AbuseIPDB for context</t>
        </is>
      </c>
      <c r="P2008" t="n">
        <v>0</v>
      </c>
      <c r="Q2008" t="n">
        <v>0</v>
      </c>
      <c r="R2008" t="inlineStr">
        <is>
          <t>T1110:Brute Force | T1190:Exploit Public-Facing Application | T1566:Phishing</t>
        </is>
      </c>
      <c r="S2008" t="n">
        <v>1</v>
      </c>
      <c r="T2008" t="inlineStr">
        <is>
          <t>MEDIUM (60%)</t>
        </is>
      </c>
      <c r="U2008" t="inlineStr">
        <is>
          <t>NONE</t>
        </is>
      </c>
      <c r="V2008" t="inlineStr">
        <is>
          <t>NONE</t>
        </is>
      </c>
      <c r="W2008" t="inlineStr">
        <is>
          <t>NONE</t>
        </is>
      </c>
      <c r="X2008" t="inlineStr">
        <is>
          <t>NONE</t>
        </is>
      </c>
      <c r="Y2008" t="n">
        <v>0</v>
      </c>
      <c r="Z2008" t="inlineStr"/>
      <c r="AA2008" t="inlineStr">
        <is>
          <t>https://talosintelligence.com/reputation_center/lookup?search=1.24.16.94</t>
        </is>
      </c>
    </row>
    <row r="2009">
      <c r="A2009" t="inlineStr">
        <is>
          <t>TALOS_IP</t>
        </is>
      </c>
      <c r="B2009" t="inlineStr">
        <is>
          <t>fe3bd451483c</t>
        </is>
      </c>
      <c r="C2009" t="inlineStr">
        <is>
          <t>Cisco Talos Blacklisted IP: 1.24.16.97 | Verified malicious | Sources: TALOS</t>
        </is>
      </c>
      <c r="D2009" t="n">
        <v>7</v>
      </c>
      <c r="E2009" t="inlineStr">
        <is>
          <t>HIGH</t>
        </is>
      </c>
      <c r="F2009" t="n">
        <v>3</v>
      </c>
      <c r="G2009" t="n">
        <v>2</v>
      </c>
      <c r="H2009" t="inlineStr">
        <is>
          <t>HIGH</t>
        </is>
      </c>
      <c r="I2009" t="n">
        <v>13</v>
      </c>
      <c r="J2009" t="inlineStr">
        <is>
          <t>NO</t>
        </is>
      </c>
      <c r="K2009" t="inlineStr">
        <is>
          <t>2026-02-26 00:15</t>
        </is>
      </c>
      <c r="L2009" t="inlineStr">
        <is>
          <t>Block IP</t>
        </is>
      </c>
      <c r="M2009" t="inlineStr">
        <is>
          <t>Network perimeter / Email / Web</t>
        </is>
      </c>
      <c r="N2009" t="inlineStr">
        <is>
          <t>P3</t>
        </is>
      </c>
      <c r="O2009" t="inlineStr">
        <is>
          <t>Check ip-api.com + AbuseIPDB for context</t>
        </is>
      </c>
      <c r="P2009" t="n">
        <v>0</v>
      </c>
      <c r="Q2009" t="n">
        <v>0</v>
      </c>
      <c r="R2009" t="inlineStr">
        <is>
          <t>T1110:Brute Force | T1190:Exploit Public-Facing Application | T1566:Phishing</t>
        </is>
      </c>
      <c r="S2009" t="n">
        <v>1</v>
      </c>
      <c r="T2009" t="inlineStr">
        <is>
          <t>MEDIUM (60%)</t>
        </is>
      </c>
      <c r="U2009" t="inlineStr">
        <is>
          <t>NONE</t>
        </is>
      </c>
      <c r="V2009" t="inlineStr">
        <is>
          <t>NONE</t>
        </is>
      </c>
      <c r="W2009" t="inlineStr">
        <is>
          <t>NONE</t>
        </is>
      </c>
      <c r="X2009" t="inlineStr">
        <is>
          <t>NONE</t>
        </is>
      </c>
      <c r="Y2009" t="n">
        <v>0</v>
      </c>
      <c r="Z2009" t="inlineStr"/>
      <c r="AA2009" t="inlineStr">
        <is>
          <t>https://talosintelligence.com/reputation_center/lookup?search=1.24.16.97</t>
        </is>
      </c>
    </row>
    <row r="2010">
      <c r="A2010" t="inlineStr">
        <is>
          <t>TALOS_IP</t>
        </is>
      </c>
      <c r="B2010" t="inlineStr">
        <is>
          <t>e73baabdb69c</t>
        </is>
      </c>
      <c r="C2010" t="inlineStr">
        <is>
          <t>Cisco Talos Blacklisted IP: 1.24.16.98 | Verified malicious | Sources: TALOS</t>
        </is>
      </c>
      <c r="D2010" t="n">
        <v>7</v>
      </c>
      <c r="E2010" t="inlineStr">
        <is>
          <t>HIGH</t>
        </is>
      </c>
      <c r="F2010" t="n">
        <v>3</v>
      </c>
      <c r="G2010" t="n">
        <v>2</v>
      </c>
      <c r="H2010" t="inlineStr">
        <is>
          <t>HIGH</t>
        </is>
      </c>
      <c r="I2010" t="n">
        <v>13</v>
      </c>
      <c r="J2010" t="inlineStr">
        <is>
          <t>NO</t>
        </is>
      </c>
      <c r="K2010" t="inlineStr">
        <is>
          <t>2026-02-26 00:15</t>
        </is>
      </c>
      <c r="L2010" t="inlineStr">
        <is>
          <t>Block IP</t>
        </is>
      </c>
      <c r="M2010" t="inlineStr">
        <is>
          <t>Network perimeter / Email / Web</t>
        </is>
      </c>
      <c r="N2010" t="inlineStr">
        <is>
          <t>P3</t>
        </is>
      </c>
      <c r="O2010" t="inlineStr">
        <is>
          <t>Check ip-api.com + AbuseIPDB for context</t>
        </is>
      </c>
      <c r="P2010" t="n">
        <v>0</v>
      </c>
      <c r="Q2010" t="n">
        <v>0</v>
      </c>
      <c r="R2010" t="inlineStr">
        <is>
          <t>T1110:Brute Force | T1190:Exploit Public-Facing Application | T1566:Phishing</t>
        </is>
      </c>
      <c r="S2010" t="n">
        <v>1</v>
      </c>
      <c r="T2010" t="inlineStr">
        <is>
          <t>MEDIUM (60%)</t>
        </is>
      </c>
      <c r="U2010" t="inlineStr">
        <is>
          <t>NONE</t>
        </is>
      </c>
      <c r="V2010" t="inlineStr">
        <is>
          <t>NONE</t>
        </is>
      </c>
      <c r="W2010" t="inlineStr">
        <is>
          <t>NONE</t>
        </is>
      </c>
      <c r="X2010" t="inlineStr">
        <is>
          <t>NONE</t>
        </is>
      </c>
      <c r="Y2010" t="n">
        <v>0</v>
      </c>
      <c r="Z2010" t="inlineStr"/>
      <c r="AA2010" t="inlineStr">
        <is>
          <t>https://talosintelligence.com/reputation_center/lookup?search=1.24.16.98</t>
        </is>
      </c>
    </row>
    <row r="2011">
      <c r="A2011" t="inlineStr">
        <is>
          <t>TALOS_IP</t>
        </is>
      </c>
      <c r="B2011" t="inlineStr">
        <is>
          <t>60db860282e2</t>
        </is>
      </c>
      <c r="C2011" t="inlineStr">
        <is>
          <t>Cisco Talos Blacklisted IP: 1.24.16.99 | Verified malicious | Sources: TALOS</t>
        </is>
      </c>
      <c r="D2011" t="n">
        <v>7</v>
      </c>
      <c r="E2011" t="inlineStr">
        <is>
          <t>HIGH</t>
        </is>
      </c>
      <c r="F2011" t="n">
        <v>3</v>
      </c>
      <c r="G2011" t="n">
        <v>2</v>
      </c>
      <c r="H2011" t="inlineStr">
        <is>
          <t>HIGH</t>
        </is>
      </c>
      <c r="I2011" t="n">
        <v>13</v>
      </c>
      <c r="J2011" t="inlineStr">
        <is>
          <t>NO</t>
        </is>
      </c>
      <c r="K2011" t="inlineStr">
        <is>
          <t>2026-02-26 00:15</t>
        </is>
      </c>
      <c r="L2011" t="inlineStr">
        <is>
          <t>Block IP</t>
        </is>
      </c>
      <c r="M2011" t="inlineStr">
        <is>
          <t>Network perimeter / Email / Web</t>
        </is>
      </c>
      <c r="N2011" t="inlineStr">
        <is>
          <t>P3</t>
        </is>
      </c>
      <c r="O2011" t="inlineStr">
        <is>
          <t>Check ip-api.com + AbuseIPDB for context</t>
        </is>
      </c>
      <c r="P2011" t="n">
        <v>0</v>
      </c>
      <c r="Q2011" t="n">
        <v>0</v>
      </c>
      <c r="R2011" t="inlineStr">
        <is>
          <t>T1110:Brute Force | T1190:Exploit Public-Facing Application | T1566:Phishing</t>
        </is>
      </c>
      <c r="S2011" t="n">
        <v>1</v>
      </c>
      <c r="T2011" t="inlineStr">
        <is>
          <t>MEDIUM (60%)</t>
        </is>
      </c>
      <c r="U2011" t="inlineStr">
        <is>
          <t>NONE</t>
        </is>
      </c>
      <c r="V2011" t="inlineStr">
        <is>
          <t>NONE</t>
        </is>
      </c>
      <c r="W2011" t="inlineStr">
        <is>
          <t>NONE</t>
        </is>
      </c>
      <c r="X2011" t="inlineStr">
        <is>
          <t>NONE</t>
        </is>
      </c>
      <c r="Y2011" t="n">
        <v>0</v>
      </c>
      <c r="Z2011" t="inlineStr"/>
      <c r="AA2011" t="inlineStr">
        <is>
          <t>https://talosintelligence.com/reputation_center/lookup?search=1.24.16.99</t>
        </is>
      </c>
    </row>
    <row r="2012">
      <c r="A2012" t="inlineStr">
        <is>
          <t>EMERGING_THREAT_IP</t>
        </is>
      </c>
      <c r="B2012" t="inlineStr">
        <is>
          <t>383c44b46f35</t>
        </is>
      </c>
      <c r="C2012" t="inlineStr">
        <is>
          <t>Emerging Threats Compromised IP: 101.36.104.242 | Sources: EMERGING_THREATS</t>
        </is>
      </c>
      <c r="D2012" t="n">
        <v>6.5</v>
      </c>
      <c r="E2012" t="inlineStr">
        <is>
          <t>HIGH</t>
        </is>
      </c>
      <c r="F2012" t="n">
        <v>3</v>
      </c>
      <c r="G2012" t="n">
        <v>2</v>
      </c>
      <c r="H2012" t="inlineStr">
        <is>
          <t>HIGH</t>
        </is>
      </c>
      <c r="I2012" t="n">
        <v>12.5</v>
      </c>
      <c r="J2012" t="inlineStr">
        <is>
          <t>NO</t>
        </is>
      </c>
      <c r="K2012" t="inlineStr">
        <is>
          <t>2026-02-26 00:15</t>
        </is>
      </c>
      <c r="L2012" t="inlineStr">
        <is>
          <t>Block IP</t>
        </is>
      </c>
      <c r="M2012" t="inlineStr">
        <is>
          <t>Network perimeter</t>
        </is>
      </c>
      <c r="N2012" t="inlineStr">
        <is>
          <t>P3</t>
        </is>
      </c>
      <c r="O2012" t="inlineStr">
        <is>
          <t>Check ip-api.com + AbuseIPDB for context</t>
        </is>
      </c>
      <c r="P2012" t="n">
        <v>0</v>
      </c>
      <c r="Q2012" t="n">
        <v>0</v>
      </c>
      <c r="R2012" t="inlineStr">
        <is>
          <t>T1110:Brute Force | T1190:Exploit Public-Facing Application</t>
        </is>
      </c>
      <c r="S2012" t="n">
        <v>1</v>
      </c>
      <c r="T2012" t="inlineStr">
        <is>
          <t>LOW (40%)</t>
        </is>
      </c>
      <c r="U2012" t="inlineStr">
        <is>
          <t>NONE</t>
        </is>
      </c>
      <c r="V2012" t="inlineStr">
        <is>
          <t>NONE</t>
        </is>
      </c>
      <c r="W2012" t="inlineStr">
        <is>
          <t>NONE</t>
        </is>
      </c>
      <c r="X2012" t="inlineStr">
        <is>
          <t>NONE</t>
        </is>
      </c>
      <c r="Y2012" t="n">
        <v>0</v>
      </c>
      <c r="Z2012" t="inlineStr"/>
      <c r="AA2012" t="inlineStr">
        <is>
          <t>https://rules.emergingthreats.net/</t>
        </is>
      </c>
    </row>
    <row r="2013">
      <c r="A2013" t="inlineStr">
        <is>
          <t>EMERGING_THREAT_IP</t>
        </is>
      </c>
      <c r="B2013" t="inlineStr">
        <is>
          <t>fae96200765a</t>
        </is>
      </c>
      <c r="C2013" t="inlineStr">
        <is>
          <t>Emerging Threats Compromised IP: 101.36.118.177 | Sources: EMERGING_THREATS</t>
        </is>
      </c>
      <c r="D2013" t="n">
        <v>6.5</v>
      </c>
      <c r="E2013" t="inlineStr">
        <is>
          <t>HIGH</t>
        </is>
      </c>
      <c r="F2013" t="n">
        <v>3</v>
      </c>
      <c r="G2013" t="n">
        <v>2</v>
      </c>
      <c r="H2013" t="inlineStr">
        <is>
          <t>HIGH</t>
        </is>
      </c>
      <c r="I2013" t="n">
        <v>12.5</v>
      </c>
      <c r="J2013" t="inlineStr">
        <is>
          <t>NO</t>
        </is>
      </c>
      <c r="K2013" t="inlineStr">
        <is>
          <t>2026-02-26 00:15</t>
        </is>
      </c>
      <c r="L2013" t="inlineStr">
        <is>
          <t>Block IP</t>
        </is>
      </c>
      <c r="M2013" t="inlineStr">
        <is>
          <t>Network perimeter</t>
        </is>
      </c>
      <c r="N2013" t="inlineStr">
        <is>
          <t>P3</t>
        </is>
      </c>
      <c r="O2013" t="inlineStr">
        <is>
          <t>Check ip-api.com + AbuseIPDB for context</t>
        </is>
      </c>
      <c r="P2013" t="n">
        <v>0</v>
      </c>
      <c r="Q2013" t="n">
        <v>0</v>
      </c>
      <c r="R2013" t="inlineStr">
        <is>
          <t>T1110:Brute Force | T1190:Exploit Public-Facing Application</t>
        </is>
      </c>
      <c r="S2013" t="n">
        <v>1</v>
      </c>
      <c r="T2013" t="inlineStr">
        <is>
          <t>LOW (40%)</t>
        </is>
      </c>
      <c r="U2013" t="inlineStr">
        <is>
          <t>NONE</t>
        </is>
      </c>
      <c r="V2013" t="inlineStr">
        <is>
          <t>NONE</t>
        </is>
      </c>
      <c r="W2013" t="inlineStr">
        <is>
          <t>NONE</t>
        </is>
      </c>
      <c r="X2013" t="inlineStr">
        <is>
          <t>NONE</t>
        </is>
      </c>
      <c r="Y2013" t="n">
        <v>0</v>
      </c>
      <c r="Z2013" t="inlineStr"/>
      <c r="AA2013" t="inlineStr">
        <is>
          <t>https://rules.emergingthreats.net/</t>
        </is>
      </c>
    </row>
    <row r="2014">
      <c r="A2014" t="inlineStr">
        <is>
          <t>EMERGING_THREAT_IP</t>
        </is>
      </c>
      <c r="B2014" t="inlineStr">
        <is>
          <t>455b8822a4a2</t>
        </is>
      </c>
      <c r="C2014" t="inlineStr">
        <is>
          <t>Emerging Threats Compromised IP: 101.36.123.102 | Sources: EMERGING_THREATS</t>
        </is>
      </c>
      <c r="D2014" t="n">
        <v>6.5</v>
      </c>
      <c r="E2014" t="inlineStr">
        <is>
          <t>HIGH</t>
        </is>
      </c>
      <c r="F2014" t="n">
        <v>3</v>
      </c>
      <c r="G2014" t="n">
        <v>2</v>
      </c>
      <c r="H2014" t="inlineStr">
        <is>
          <t>HIGH</t>
        </is>
      </c>
      <c r="I2014" t="n">
        <v>12.5</v>
      </c>
      <c r="J2014" t="inlineStr">
        <is>
          <t>NO</t>
        </is>
      </c>
      <c r="K2014" t="inlineStr">
        <is>
          <t>2026-02-26 00:15</t>
        </is>
      </c>
      <c r="L2014" t="inlineStr">
        <is>
          <t>Block IP</t>
        </is>
      </c>
      <c r="M2014" t="inlineStr">
        <is>
          <t>Network perimeter</t>
        </is>
      </c>
      <c r="N2014" t="inlineStr">
        <is>
          <t>P3</t>
        </is>
      </c>
      <c r="O2014" t="inlineStr">
        <is>
          <t>Check ip-api.com + AbuseIPDB for context</t>
        </is>
      </c>
      <c r="P2014" t="n">
        <v>0</v>
      </c>
      <c r="Q2014" t="n">
        <v>0</v>
      </c>
      <c r="R2014" t="inlineStr">
        <is>
          <t>T1110:Brute Force | T1190:Exploit Public-Facing Application</t>
        </is>
      </c>
      <c r="S2014" t="n">
        <v>1</v>
      </c>
      <c r="T2014" t="inlineStr">
        <is>
          <t>LOW (40%)</t>
        </is>
      </c>
      <c r="U2014" t="inlineStr">
        <is>
          <t>NONE</t>
        </is>
      </c>
      <c r="V2014" t="inlineStr">
        <is>
          <t>NONE</t>
        </is>
      </c>
      <c r="W2014" t="inlineStr">
        <is>
          <t>NONE</t>
        </is>
      </c>
      <c r="X2014" t="inlineStr">
        <is>
          <t>NONE</t>
        </is>
      </c>
      <c r="Y2014" t="n">
        <v>0</v>
      </c>
      <c r="Z2014" t="inlineStr"/>
      <c r="AA2014" t="inlineStr">
        <is>
          <t>https://rules.emergingthreats.net/</t>
        </is>
      </c>
    </row>
    <row r="2015">
      <c r="A2015" t="inlineStr">
        <is>
          <t>EMERGING_THREAT_IP</t>
        </is>
      </c>
      <c r="B2015" t="inlineStr">
        <is>
          <t>356717d3fb41</t>
        </is>
      </c>
      <c r="C2015" t="inlineStr">
        <is>
          <t>Emerging Threats Compromised IP: 102.244.97.183 | Sources: EMERGING_THREATS</t>
        </is>
      </c>
      <c r="D2015" t="n">
        <v>6.5</v>
      </c>
      <c r="E2015" t="inlineStr">
        <is>
          <t>HIGH</t>
        </is>
      </c>
      <c r="F2015" t="n">
        <v>3</v>
      </c>
      <c r="G2015" t="n">
        <v>2</v>
      </c>
      <c r="H2015" t="inlineStr">
        <is>
          <t>HIGH</t>
        </is>
      </c>
      <c r="I2015" t="n">
        <v>12.5</v>
      </c>
      <c r="J2015" t="inlineStr">
        <is>
          <t>NO</t>
        </is>
      </c>
      <c r="K2015" t="inlineStr">
        <is>
          <t>2026-02-26 00:15</t>
        </is>
      </c>
      <c r="L2015" t="inlineStr">
        <is>
          <t>Block IP</t>
        </is>
      </c>
      <c r="M2015" t="inlineStr">
        <is>
          <t>Network perimeter</t>
        </is>
      </c>
      <c r="N2015" t="inlineStr">
        <is>
          <t>P3</t>
        </is>
      </c>
      <c r="O2015" t="inlineStr">
        <is>
          <t>Check ip-api.com + AbuseIPDB for context</t>
        </is>
      </c>
      <c r="P2015" t="n">
        <v>0</v>
      </c>
      <c r="Q2015" t="n">
        <v>0</v>
      </c>
      <c r="R2015" t="inlineStr">
        <is>
          <t>T1110:Brute Force | T1190:Exploit Public-Facing Application</t>
        </is>
      </c>
      <c r="S2015" t="n">
        <v>1</v>
      </c>
      <c r="T2015" t="inlineStr">
        <is>
          <t>LOW (40%)</t>
        </is>
      </c>
      <c r="U2015" t="inlineStr">
        <is>
          <t>NONE</t>
        </is>
      </c>
      <c r="V2015" t="inlineStr">
        <is>
          <t>NONE</t>
        </is>
      </c>
      <c r="W2015" t="inlineStr">
        <is>
          <t>NONE</t>
        </is>
      </c>
      <c r="X2015" t="inlineStr">
        <is>
          <t>NONE</t>
        </is>
      </c>
      <c r="Y2015" t="n">
        <v>0</v>
      </c>
      <c r="Z2015" t="inlineStr"/>
      <c r="AA2015" t="inlineStr">
        <is>
          <t>https://rules.emergingthreats.net/</t>
        </is>
      </c>
    </row>
    <row r="2016">
      <c r="A2016" t="inlineStr">
        <is>
          <t>EMERGING_THREAT_IP</t>
        </is>
      </c>
      <c r="B2016" t="inlineStr">
        <is>
          <t>340ffbe1b705</t>
        </is>
      </c>
      <c r="C2016" t="inlineStr">
        <is>
          <t>Emerging Threats Compromised IP: 103.103.21.109 | Sources: EMERGING_THREATS</t>
        </is>
      </c>
      <c r="D2016" t="n">
        <v>6.5</v>
      </c>
      <c r="E2016" t="inlineStr">
        <is>
          <t>HIGH</t>
        </is>
      </c>
      <c r="F2016" t="n">
        <v>3</v>
      </c>
      <c r="G2016" t="n">
        <v>2</v>
      </c>
      <c r="H2016" t="inlineStr">
        <is>
          <t>HIGH</t>
        </is>
      </c>
      <c r="I2016" t="n">
        <v>12.5</v>
      </c>
      <c r="J2016" t="inlineStr">
        <is>
          <t>NO</t>
        </is>
      </c>
      <c r="K2016" t="inlineStr">
        <is>
          <t>2026-02-26 00:15</t>
        </is>
      </c>
      <c r="L2016" t="inlineStr">
        <is>
          <t>Block IP</t>
        </is>
      </c>
      <c r="M2016" t="inlineStr">
        <is>
          <t>Network perimeter</t>
        </is>
      </c>
      <c r="N2016" t="inlineStr">
        <is>
          <t>P3</t>
        </is>
      </c>
      <c r="O2016" t="inlineStr">
        <is>
          <t>Check ip-api.com + AbuseIPDB for context</t>
        </is>
      </c>
      <c r="P2016" t="n">
        <v>0</v>
      </c>
      <c r="Q2016" t="n">
        <v>0</v>
      </c>
      <c r="R2016" t="inlineStr">
        <is>
          <t>T1110:Brute Force | T1190:Exploit Public-Facing Application</t>
        </is>
      </c>
      <c r="S2016" t="n">
        <v>1</v>
      </c>
      <c r="T2016" t="inlineStr">
        <is>
          <t>LOW (40%)</t>
        </is>
      </c>
      <c r="U2016" t="inlineStr">
        <is>
          <t>NONE</t>
        </is>
      </c>
      <c r="V2016" t="inlineStr">
        <is>
          <t>NONE</t>
        </is>
      </c>
      <c r="W2016" t="inlineStr">
        <is>
          <t>NONE</t>
        </is>
      </c>
      <c r="X2016" t="inlineStr">
        <is>
          <t>NONE</t>
        </is>
      </c>
      <c r="Y2016" t="n">
        <v>0</v>
      </c>
      <c r="Z2016" t="inlineStr"/>
      <c r="AA2016" t="inlineStr">
        <is>
          <t>https://rules.emergingthreats.net/</t>
        </is>
      </c>
    </row>
    <row r="2017">
      <c r="A2017" t="inlineStr">
        <is>
          <t>EMERGING_THREAT_IP</t>
        </is>
      </c>
      <c r="B2017" t="inlineStr">
        <is>
          <t>034ed7f153b4</t>
        </is>
      </c>
      <c r="C2017" t="inlineStr">
        <is>
          <t>Emerging Threats Compromised IP: 103.121.91.144 | Sources: EMERGING_THREATS</t>
        </is>
      </c>
      <c r="D2017" t="n">
        <v>6.5</v>
      </c>
      <c r="E2017" t="inlineStr">
        <is>
          <t>HIGH</t>
        </is>
      </c>
      <c r="F2017" t="n">
        <v>3</v>
      </c>
      <c r="G2017" t="n">
        <v>2</v>
      </c>
      <c r="H2017" t="inlineStr">
        <is>
          <t>HIGH</t>
        </is>
      </c>
      <c r="I2017" t="n">
        <v>12.5</v>
      </c>
      <c r="J2017" t="inlineStr">
        <is>
          <t>NO</t>
        </is>
      </c>
      <c r="K2017" t="inlineStr">
        <is>
          <t>2026-02-26 00:15</t>
        </is>
      </c>
      <c r="L2017" t="inlineStr">
        <is>
          <t>Block IP</t>
        </is>
      </c>
      <c r="M2017" t="inlineStr">
        <is>
          <t>Network perimeter</t>
        </is>
      </c>
      <c r="N2017" t="inlineStr">
        <is>
          <t>P3</t>
        </is>
      </c>
      <c r="O2017" t="inlineStr">
        <is>
          <t>Check ip-api.com + AbuseIPDB for context</t>
        </is>
      </c>
      <c r="P2017" t="n">
        <v>0</v>
      </c>
      <c r="Q2017" t="n">
        <v>0</v>
      </c>
      <c r="R2017" t="inlineStr">
        <is>
          <t>T1110:Brute Force | T1190:Exploit Public-Facing Application</t>
        </is>
      </c>
      <c r="S2017" t="n">
        <v>1</v>
      </c>
      <c r="T2017" t="inlineStr">
        <is>
          <t>LOW (40%)</t>
        </is>
      </c>
      <c r="U2017" t="inlineStr">
        <is>
          <t>NONE</t>
        </is>
      </c>
      <c r="V2017" t="inlineStr">
        <is>
          <t>NONE</t>
        </is>
      </c>
      <c r="W2017" t="inlineStr">
        <is>
          <t>NONE</t>
        </is>
      </c>
      <c r="X2017" t="inlineStr">
        <is>
          <t>NONE</t>
        </is>
      </c>
      <c r="Y2017" t="n">
        <v>0</v>
      </c>
      <c r="Z2017" t="inlineStr"/>
      <c r="AA2017" t="inlineStr">
        <is>
          <t>https://rules.emergingthreats.net/</t>
        </is>
      </c>
    </row>
    <row r="2018">
      <c r="A2018" t="inlineStr">
        <is>
          <t>EMERGING_THREAT_IP</t>
        </is>
      </c>
      <c r="B2018" t="inlineStr">
        <is>
          <t>ffec239995ac</t>
        </is>
      </c>
      <c r="C2018" t="inlineStr">
        <is>
          <t>Emerging Threats Compromised IP: 103.148.118.211 | Sources: EMERGING_THREATS</t>
        </is>
      </c>
      <c r="D2018" t="n">
        <v>6.5</v>
      </c>
      <c r="E2018" t="inlineStr">
        <is>
          <t>HIGH</t>
        </is>
      </c>
      <c r="F2018" t="n">
        <v>3</v>
      </c>
      <c r="G2018" t="n">
        <v>2</v>
      </c>
      <c r="H2018" t="inlineStr">
        <is>
          <t>HIGH</t>
        </is>
      </c>
      <c r="I2018" t="n">
        <v>12.5</v>
      </c>
      <c r="J2018" t="inlineStr">
        <is>
          <t>NO</t>
        </is>
      </c>
      <c r="K2018" t="inlineStr">
        <is>
          <t>2026-02-26 00:15</t>
        </is>
      </c>
      <c r="L2018" t="inlineStr">
        <is>
          <t>Block IP</t>
        </is>
      </c>
      <c r="M2018" t="inlineStr">
        <is>
          <t>Network perimeter</t>
        </is>
      </c>
      <c r="N2018" t="inlineStr">
        <is>
          <t>P3</t>
        </is>
      </c>
      <c r="O2018" t="inlineStr">
        <is>
          <t>Check ip-api.com + AbuseIPDB for context</t>
        </is>
      </c>
      <c r="P2018" t="n">
        <v>0</v>
      </c>
      <c r="Q2018" t="n">
        <v>0</v>
      </c>
      <c r="R2018" t="inlineStr">
        <is>
          <t>T1110:Brute Force | T1190:Exploit Public-Facing Application</t>
        </is>
      </c>
      <c r="S2018" t="n">
        <v>1</v>
      </c>
      <c r="T2018" t="inlineStr">
        <is>
          <t>LOW (40%)</t>
        </is>
      </c>
      <c r="U2018" t="inlineStr">
        <is>
          <t>NONE</t>
        </is>
      </c>
      <c r="V2018" t="inlineStr">
        <is>
          <t>NONE</t>
        </is>
      </c>
      <c r="W2018" t="inlineStr">
        <is>
          <t>NONE</t>
        </is>
      </c>
      <c r="X2018" t="inlineStr">
        <is>
          <t>NONE</t>
        </is>
      </c>
      <c r="Y2018" t="n">
        <v>0</v>
      </c>
      <c r="Z2018" t="inlineStr"/>
      <c r="AA2018" t="inlineStr">
        <is>
          <t>https://rules.emergingthreats.net/</t>
        </is>
      </c>
    </row>
    <row r="2019">
      <c r="A2019" t="inlineStr">
        <is>
          <t>EMERGING_THREAT_IP</t>
        </is>
      </c>
      <c r="B2019" t="inlineStr">
        <is>
          <t>fe6b4e19212f</t>
        </is>
      </c>
      <c r="C2019" t="inlineStr">
        <is>
          <t>Emerging Threats Compromised IP: 103.148.195.198 | Sources: EMERGING_THREATS</t>
        </is>
      </c>
      <c r="D2019" t="n">
        <v>6.5</v>
      </c>
      <c r="E2019" t="inlineStr">
        <is>
          <t>HIGH</t>
        </is>
      </c>
      <c r="F2019" t="n">
        <v>3</v>
      </c>
      <c r="G2019" t="n">
        <v>2</v>
      </c>
      <c r="H2019" t="inlineStr">
        <is>
          <t>HIGH</t>
        </is>
      </c>
      <c r="I2019" t="n">
        <v>12.5</v>
      </c>
      <c r="J2019" t="inlineStr">
        <is>
          <t>NO</t>
        </is>
      </c>
      <c r="K2019" t="inlineStr">
        <is>
          <t>2026-02-26 00:15</t>
        </is>
      </c>
      <c r="L2019" t="inlineStr">
        <is>
          <t>Block IP</t>
        </is>
      </c>
      <c r="M2019" t="inlineStr">
        <is>
          <t>Network perimeter</t>
        </is>
      </c>
      <c r="N2019" t="inlineStr">
        <is>
          <t>P3</t>
        </is>
      </c>
      <c r="O2019" t="inlineStr">
        <is>
          <t>Check ip-api.com + AbuseIPDB for context</t>
        </is>
      </c>
      <c r="P2019" t="n">
        <v>0</v>
      </c>
      <c r="Q2019" t="n">
        <v>0</v>
      </c>
      <c r="R2019" t="inlineStr">
        <is>
          <t>T1110:Brute Force | T1190:Exploit Public-Facing Application</t>
        </is>
      </c>
      <c r="S2019" t="n">
        <v>1</v>
      </c>
      <c r="T2019" t="inlineStr">
        <is>
          <t>LOW (40%)</t>
        </is>
      </c>
      <c r="U2019" t="inlineStr">
        <is>
          <t>NONE</t>
        </is>
      </c>
      <c r="V2019" t="inlineStr">
        <is>
          <t>NONE</t>
        </is>
      </c>
      <c r="W2019" t="inlineStr">
        <is>
          <t>NONE</t>
        </is>
      </c>
      <c r="X2019" t="inlineStr">
        <is>
          <t>NONE</t>
        </is>
      </c>
      <c r="Y2019" t="n">
        <v>0</v>
      </c>
      <c r="Z2019" t="inlineStr"/>
      <c r="AA2019" t="inlineStr">
        <is>
          <t>https://rules.emergingthreats.net/</t>
        </is>
      </c>
    </row>
    <row r="2020">
      <c r="A2020" t="inlineStr">
        <is>
          <t>EMERGING_THREAT_IP</t>
        </is>
      </c>
      <c r="B2020" t="inlineStr">
        <is>
          <t>760e3739b969</t>
        </is>
      </c>
      <c r="C2020" t="inlineStr">
        <is>
          <t>Emerging Threats Compromised IP: 103.160.5.123 | Sources: EMERGING_THREATS</t>
        </is>
      </c>
      <c r="D2020" t="n">
        <v>6.5</v>
      </c>
      <c r="E2020" t="inlineStr">
        <is>
          <t>HIGH</t>
        </is>
      </c>
      <c r="F2020" t="n">
        <v>3</v>
      </c>
      <c r="G2020" t="n">
        <v>2</v>
      </c>
      <c r="H2020" t="inlineStr">
        <is>
          <t>HIGH</t>
        </is>
      </c>
      <c r="I2020" t="n">
        <v>12.5</v>
      </c>
      <c r="J2020" t="inlineStr">
        <is>
          <t>NO</t>
        </is>
      </c>
      <c r="K2020" t="inlineStr">
        <is>
          <t>2026-02-26 00:15</t>
        </is>
      </c>
      <c r="L2020" t="inlineStr">
        <is>
          <t>Block IP</t>
        </is>
      </c>
      <c r="M2020" t="inlineStr">
        <is>
          <t>Network perimeter</t>
        </is>
      </c>
      <c r="N2020" t="inlineStr">
        <is>
          <t>P3</t>
        </is>
      </c>
      <c r="O2020" t="inlineStr">
        <is>
          <t>Check ip-api.com + AbuseIPDB for context</t>
        </is>
      </c>
      <c r="P2020" t="n">
        <v>0</v>
      </c>
      <c r="Q2020" t="n">
        <v>0</v>
      </c>
      <c r="R2020" t="inlineStr">
        <is>
          <t>T1110:Brute Force | T1190:Exploit Public-Facing Application</t>
        </is>
      </c>
      <c r="S2020" t="n">
        <v>1</v>
      </c>
      <c r="T2020" t="inlineStr">
        <is>
          <t>LOW (40%)</t>
        </is>
      </c>
      <c r="U2020" t="inlineStr">
        <is>
          <t>NONE</t>
        </is>
      </c>
      <c r="V2020" t="inlineStr">
        <is>
          <t>NONE</t>
        </is>
      </c>
      <c r="W2020" t="inlineStr">
        <is>
          <t>NONE</t>
        </is>
      </c>
      <c r="X2020" t="inlineStr">
        <is>
          <t>NONE</t>
        </is>
      </c>
      <c r="Y2020" t="n">
        <v>0</v>
      </c>
      <c r="Z2020" t="inlineStr"/>
      <c r="AA2020" t="inlineStr">
        <is>
          <t>https://rules.emergingthreats.net/</t>
        </is>
      </c>
    </row>
    <row r="2021">
      <c r="A2021" t="inlineStr">
        <is>
          <t>EMERGING_THREAT_IP</t>
        </is>
      </c>
      <c r="B2021" t="inlineStr">
        <is>
          <t>cdf077fccefb</t>
        </is>
      </c>
      <c r="C2021" t="inlineStr">
        <is>
          <t>Emerging Threats Compromised IP: 103.218.241.106 | Sources: EMERGING_THREATS</t>
        </is>
      </c>
      <c r="D2021" t="n">
        <v>6.5</v>
      </c>
      <c r="E2021" t="inlineStr">
        <is>
          <t>HIGH</t>
        </is>
      </c>
      <c r="F2021" t="n">
        <v>3</v>
      </c>
      <c r="G2021" t="n">
        <v>2</v>
      </c>
      <c r="H2021" t="inlineStr">
        <is>
          <t>HIGH</t>
        </is>
      </c>
      <c r="I2021" t="n">
        <v>12.5</v>
      </c>
      <c r="J2021" t="inlineStr">
        <is>
          <t>NO</t>
        </is>
      </c>
      <c r="K2021" t="inlineStr">
        <is>
          <t>2026-02-26 00:15</t>
        </is>
      </c>
      <c r="L2021" t="inlineStr">
        <is>
          <t>Block IP</t>
        </is>
      </c>
      <c r="M2021" t="inlineStr">
        <is>
          <t>Network perimeter</t>
        </is>
      </c>
      <c r="N2021" t="inlineStr">
        <is>
          <t>P3</t>
        </is>
      </c>
      <c r="O2021" t="inlineStr">
        <is>
          <t>Check ip-api.com + AbuseIPDB for context</t>
        </is>
      </c>
      <c r="P2021" t="n">
        <v>0</v>
      </c>
      <c r="Q2021" t="n">
        <v>0</v>
      </c>
      <c r="R2021" t="inlineStr">
        <is>
          <t>T1110:Brute Force | T1190:Exploit Public-Facing Application</t>
        </is>
      </c>
      <c r="S2021" t="n">
        <v>1</v>
      </c>
      <c r="T2021" t="inlineStr">
        <is>
          <t>LOW (40%)</t>
        </is>
      </c>
      <c r="U2021" t="inlineStr">
        <is>
          <t>NONE</t>
        </is>
      </c>
      <c r="V2021" t="inlineStr">
        <is>
          <t>NONE</t>
        </is>
      </c>
      <c r="W2021" t="inlineStr">
        <is>
          <t>NONE</t>
        </is>
      </c>
      <c r="X2021" t="inlineStr">
        <is>
          <t>NONE</t>
        </is>
      </c>
      <c r="Y2021" t="n">
        <v>0</v>
      </c>
      <c r="Z2021" t="inlineStr"/>
      <c r="AA2021" t="inlineStr">
        <is>
          <t>https://rules.emergingthreats.net/</t>
        </is>
      </c>
    </row>
    <row r="2022">
      <c r="A2022" t="inlineStr">
        <is>
          <t>EMERGING_THREAT_IP</t>
        </is>
      </c>
      <c r="B2022" t="inlineStr">
        <is>
          <t>64210da85eb5</t>
        </is>
      </c>
      <c r="C2022" t="inlineStr">
        <is>
          <t>Emerging Threats Compromised IP: 103.232.121.71 | Sources: EMERGING_THREATS</t>
        </is>
      </c>
      <c r="D2022" t="n">
        <v>6.5</v>
      </c>
      <c r="E2022" t="inlineStr">
        <is>
          <t>HIGH</t>
        </is>
      </c>
      <c r="F2022" t="n">
        <v>3</v>
      </c>
      <c r="G2022" t="n">
        <v>2</v>
      </c>
      <c r="H2022" t="inlineStr">
        <is>
          <t>HIGH</t>
        </is>
      </c>
      <c r="I2022" t="n">
        <v>12.5</v>
      </c>
      <c r="J2022" t="inlineStr">
        <is>
          <t>NO</t>
        </is>
      </c>
      <c r="K2022" t="inlineStr">
        <is>
          <t>2026-02-26 00:15</t>
        </is>
      </c>
      <c r="L2022" t="inlineStr">
        <is>
          <t>Block IP</t>
        </is>
      </c>
      <c r="M2022" t="inlineStr">
        <is>
          <t>Network perimeter</t>
        </is>
      </c>
      <c r="N2022" t="inlineStr">
        <is>
          <t>P3</t>
        </is>
      </c>
      <c r="O2022" t="inlineStr">
        <is>
          <t>Check ip-api.com + AbuseIPDB for context</t>
        </is>
      </c>
      <c r="P2022" t="n">
        <v>0</v>
      </c>
      <c r="Q2022" t="n">
        <v>0</v>
      </c>
      <c r="R2022" t="inlineStr">
        <is>
          <t>T1110:Brute Force | T1190:Exploit Public-Facing Application</t>
        </is>
      </c>
      <c r="S2022" t="n">
        <v>1</v>
      </c>
      <c r="T2022" t="inlineStr">
        <is>
          <t>LOW (40%)</t>
        </is>
      </c>
      <c r="U2022" t="inlineStr">
        <is>
          <t>NONE</t>
        </is>
      </c>
      <c r="V2022" t="inlineStr">
        <is>
          <t>NONE</t>
        </is>
      </c>
      <c r="W2022" t="inlineStr">
        <is>
          <t>NONE</t>
        </is>
      </c>
      <c r="X2022" t="inlineStr">
        <is>
          <t>NONE</t>
        </is>
      </c>
      <c r="Y2022" t="n">
        <v>0</v>
      </c>
      <c r="Z2022" t="inlineStr"/>
      <c r="AA2022" t="inlineStr">
        <is>
          <t>https://rules.emergingthreats.net/</t>
        </is>
      </c>
    </row>
    <row r="2023">
      <c r="A2023" t="inlineStr">
        <is>
          <t>EMERGING_THREAT_IP</t>
        </is>
      </c>
      <c r="B2023" t="inlineStr">
        <is>
          <t>278177fd6008</t>
        </is>
      </c>
      <c r="C2023" t="inlineStr">
        <is>
          <t>Emerging Threats Compromised IP: 103.236.75.87 | Sources: EMERGING_THREATS</t>
        </is>
      </c>
      <c r="D2023" t="n">
        <v>6.5</v>
      </c>
      <c r="E2023" t="inlineStr">
        <is>
          <t>HIGH</t>
        </is>
      </c>
      <c r="F2023" t="n">
        <v>3</v>
      </c>
      <c r="G2023" t="n">
        <v>2</v>
      </c>
      <c r="H2023" t="inlineStr">
        <is>
          <t>HIGH</t>
        </is>
      </c>
      <c r="I2023" t="n">
        <v>12.5</v>
      </c>
      <c r="J2023" t="inlineStr">
        <is>
          <t>NO</t>
        </is>
      </c>
      <c r="K2023" t="inlineStr">
        <is>
          <t>2026-02-26 00:15</t>
        </is>
      </c>
      <c r="L2023" t="inlineStr">
        <is>
          <t>Block IP</t>
        </is>
      </c>
      <c r="M2023" t="inlineStr">
        <is>
          <t>Network perimeter</t>
        </is>
      </c>
      <c r="N2023" t="inlineStr">
        <is>
          <t>P3</t>
        </is>
      </c>
      <c r="O2023" t="inlineStr">
        <is>
          <t>Check ip-api.com + AbuseIPDB for context</t>
        </is>
      </c>
      <c r="P2023" t="n">
        <v>0</v>
      </c>
      <c r="Q2023" t="n">
        <v>0</v>
      </c>
      <c r="R2023" t="inlineStr">
        <is>
          <t>T1110:Brute Force | T1190:Exploit Public-Facing Application</t>
        </is>
      </c>
      <c r="S2023" t="n">
        <v>1</v>
      </c>
      <c r="T2023" t="inlineStr">
        <is>
          <t>LOW (40%)</t>
        </is>
      </c>
      <c r="U2023" t="inlineStr">
        <is>
          <t>NONE</t>
        </is>
      </c>
      <c r="V2023" t="inlineStr">
        <is>
          <t>NONE</t>
        </is>
      </c>
      <c r="W2023" t="inlineStr">
        <is>
          <t>NONE</t>
        </is>
      </c>
      <c r="X2023" t="inlineStr">
        <is>
          <t>NONE</t>
        </is>
      </c>
      <c r="Y2023" t="n">
        <v>0</v>
      </c>
      <c r="Z2023" t="inlineStr"/>
      <c r="AA2023" t="inlineStr">
        <is>
          <t>https://rules.emergingthreats.net/</t>
        </is>
      </c>
    </row>
    <row r="2024">
      <c r="A2024" t="inlineStr">
        <is>
          <t>EMERGING_THREAT_IP</t>
        </is>
      </c>
      <c r="B2024" t="inlineStr">
        <is>
          <t>5c383c76de68</t>
        </is>
      </c>
      <c r="C2024" t="inlineStr">
        <is>
          <t>Emerging Threats Compromised IP: 103.239.252.132 | Sources: EMERGING_THREATS</t>
        </is>
      </c>
      <c r="D2024" t="n">
        <v>6.5</v>
      </c>
      <c r="E2024" t="inlineStr">
        <is>
          <t>HIGH</t>
        </is>
      </c>
      <c r="F2024" t="n">
        <v>3</v>
      </c>
      <c r="G2024" t="n">
        <v>2</v>
      </c>
      <c r="H2024" t="inlineStr">
        <is>
          <t>HIGH</t>
        </is>
      </c>
      <c r="I2024" t="n">
        <v>12.5</v>
      </c>
      <c r="J2024" t="inlineStr">
        <is>
          <t>NO</t>
        </is>
      </c>
      <c r="K2024" t="inlineStr">
        <is>
          <t>2026-02-26 00:15</t>
        </is>
      </c>
      <c r="L2024" t="inlineStr">
        <is>
          <t>Block IP</t>
        </is>
      </c>
      <c r="M2024" t="inlineStr">
        <is>
          <t>Network perimeter</t>
        </is>
      </c>
      <c r="N2024" t="inlineStr">
        <is>
          <t>P3</t>
        </is>
      </c>
      <c r="O2024" t="inlineStr">
        <is>
          <t>Check ip-api.com + AbuseIPDB for context</t>
        </is>
      </c>
      <c r="P2024" t="n">
        <v>0</v>
      </c>
      <c r="Q2024" t="n">
        <v>0</v>
      </c>
      <c r="R2024" t="inlineStr">
        <is>
          <t>T1110:Brute Force | T1190:Exploit Public-Facing Application</t>
        </is>
      </c>
      <c r="S2024" t="n">
        <v>1</v>
      </c>
      <c r="T2024" t="inlineStr">
        <is>
          <t>LOW (40%)</t>
        </is>
      </c>
      <c r="U2024" t="inlineStr">
        <is>
          <t>NONE</t>
        </is>
      </c>
      <c r="V2024" t="inlineStr">
        <is>
          <t>NONE</t>
        </is>
      </c>
      <c r="W2024" t="inlineStr">
        <is>
          <t>NONE</t>
        </is>
      </c>
      <c r="X2024" t="inlineStr">
        <is>
          <t>NONE</t>
        </is>
      </c>
      <c r="Y2024" t="n">
        <v>0</v>
      </c>
      <c r="Z2024" t="inlineStr"/>
      <c r="AA2024" t="inlineStr">
        <is>
          <t>https://rules.emergingthreats.net/</t>
        </is>
      </c>
    </row>
    <row r="2025">
      <c r="A2025" t="inlineStr">
        <is>
          <t>EMERGING_THREAT_IP</t>
        </is>
      </c>
      <c r="B2025" t="inlineStr">
        <is>
          <t>5583c88d0b92</t>
        </is>
      </c>
      <c r="C2025" t="inlineStr">
        <is>
          <t>Emerging Threats Compromised IP: 103.249.200.230 | Sources: EMERGING_THREATS</t>
        </is>
      </c>
      <c r="D2025" t="n">
        <v>6.5</v>
      </c>
      <c r="E2025" t="inlineStr">
        <is>
          <t>HIGH</t>
        </is>
      </c>
      <c r="F2025" t="n">
        <v>3</v>
      </c>
      <c r="G2025" t="n">
        <v>2</v>
      </c>
      <c r="H2025" t="inlineStr">
        <is>
          <t>HIGH</t>
        </is>
      </c>
      <c r="I2025" t="n">
        <v>12.5</v>
      </c>
      <c r="J2025" t="inlineStr">
        <is>
          <t>NO</t>
        </is>
      </c>
      <c r="K2025" t="inlineStr">
        <is>
          <t>2026-02-26 00:15</t>
        </is>
      </c>
      <c r="L2025" t="inlineStr">
        <is>
          <t>Block IP</t>
        </is>
      </c>
      <c r="M2025" t="inlineStr">
        <is>
          <t>Network perimeter</t>
        </is>
      </c>
      <c r="N2025" t="inlineStr">
        <is>
          <t>P3</t>
        </is>
      </c>
      <c r="O2025" t="inlineStr">
        <is>
          <t>Check ip-api.com + AbuseIPDB for context</t>
        </is>
      </c>
      <c r="P2025" t="n">
        <v>0</v>
      </c>
      <c r="Q2025" t="n">
        <v>0</v>
      </c>
      <c r="R2025" t="inlineStr">
        <is>
          <t>T1110:Brute Force | T1190:Exploit Public-Facing Application</t>
        </is>
      </c>
      <c r="S2025" t="n">
        <v>1</v>
      </c>
      <c r="T2025" t="inlineStr">
        <is>
          <t>LOW (40%)</t>
        </is>
      </c>
      <c r="U2025" t="inlineStr">
        <is>
          <t>NONE</t>
        </is>
      </c>
      <c r="V2025" t="inlineStr">
        <is>
          <t>NONE</t>
        </is>
      </c>
      <c r="W2025" t="inlineStr">
        <is>
          <t>NONE</t>
        </is>
      </c>
      <c r="X2025" t="inlineStr">
        <is>
          <t>NONE</t>
        </is>
      </c>
      <c r="Y2025" t="n">
        <v>0</v>
      </c>
      <c r="Z2025" t="inlineStr"/>
      <c r="AA2025" t="inlineStr">
        <is>
          <t>https://rules.emergingthreats.net/</t>
        </is>
      </c>
    </row>
    <row r="2026">
      <c r="A2026" t="inlineStr">
        <is>
          <t>EMERGING_THREAT_IP</t>
        </is>
      </c>
      <c r="B2026" t="inlineStr">
        <is>
          <t>890c9c3b7ae6</t>
        </is>
      </c>
      <c r="C2026" t="inlineStr">
        <is>
          <t>Emerging Threats Compromised IP: 103.252.73.37 | Sources: EMERGING_THREATS</t>
        </is>
      </c>
      <c r="D2026" t="n">
        <v>6.5</v>
      </c>
      <c r="E2026" t="inlineStr">
        <is>
          <t>HIGH</t>
        </is>
      </c>
      <c r="F2026" t="n">
        <v>3</v>
      </c>
      <c r="G2026" t="n">
        <v>2</v>
      </c>
      <c r="H2026" t="inlineStr">
        <is>
          <t>HIGH</t>
        </is>
      </c>
      <c r="I2026" t="n">
        <v>12.5</v>
      </c>
      <c r="J2026" t="inlineStr">
        <is>
          <t>NO</t>
        </is>
      </c>
      <c r="K2026" t="inlineStr">
        <is>
          <t>2026-02-26 00:15</t>
        </is>
      </c>
      <c r="L2026" t="inlineStr">
        <is>
          <t>Block IP</t>
        </is>
      </c>
      <c r="M2026" t="inlineStr">
        <is>
          <t>Network perimeter</t>
        </is>
      </c>
      <c r="N2026" t="inlineStr">
        <is>
          <t>P3</t>
        </is>
      </c>
      <c r="O2026" t="inlineStr">
        <is>
          <t>Check ip-api.com + AbuseIPDB for context</t>
        </is>
      </c>
      <c r="P2026" t="n">
        <v>0</v>
      </c>
      <c r="Q2026" t="n">
        <v>0</v>
      </c>
      <c r="R2026" t="inlineStr">
        <is>
          <t>T1110:Brute Force | T1190:Exploit Public-Facing Application</t>
        </is>
      </c>
      <c r="S2026" t="n">
        <v>1</v>
      </c>
      <c r="T2026" t="inlineStr">
        <is>
          <t>LOW (40%)</t>
        </is>
      </c>
      <c r="U2026" t="inlineStr">
        <is>
          <t>NONE</t>
        </is>
      </c>
      <c r="V2026" t="inlineStr">
        <is>
          <t>NONE</t>
        </is>
      </c>
      <c r="W2026" t="inlineStr">
        <is>
          <t>NONE</t>
        </is>
      </c>
      <c r="X2026" t="inlineStr">
        <is>
          <t>NONE</t>
        </is>
      </c>
      <c r="Y2026" t="n">
        <v>0</v>
      </c>
      <c r="Z2026" t="inlineStr"/>
      <c r="AA2026" t="inlineStr">
        <is>
          <t>https://rules.emergingthreats.net/</t>
        </is>
      </c>
    </row>
    <row r="2027">
      <c r="A2027" t="inlineStr">
        <is>
          <t>EMERGING_THREAT_IP</t>
        </is>
      </c>
      <c r="B2027" t="inlineStr">
        <is>
          <t>e7df42bbb1e6</t>
        </is>
      </c>
      <c r="C2027" t="inlineStr">
        <is>
          <t>Emerging Threats Compromised IP: 103.39.222.143 | Sources: EMERGING_THREATS</t>
        </is>
      </c>
      <c r="D2027" t="n">
        <v>6.5</v>
      </c>
      <c r="E2027" t="inlineStr">
        <is>
          <t>HIGH</t>
        </is>
      </c>
      <c r="F2027" t="n">
        <v>3</v>
      </c>
      <c r="G2027" t="n">
        <v>2</v>
      </c>
      <c r="H2027" t="inlineStr">
        <is>
          <t>HIGH</t>
        </is>
      </c>
      <c r="I2027" t="n">
        <v>12.5</v>
      </c>
      <c r="J2027" t="inlineStr">
        <is>
          <t>NO</t>
        </is>
      </c>
      <c r="K2027" t="inlineStr">
        <is>
          <t>2026-02-26 00:15</t>
        </is>
      </c>
      <c r="L2027" t="inlineStr">
        <is>
          <t>Block IP</t>
        </is>
      </c>
      <c r="M2027" t="inlineStr">
        <is>
          <t>Network perimeter</t>
        </is>
      </c>
      <c r="N2027" t="inlineStr">
        <is>
          <t>P3</t>
        </is>
      </c>
      <c r="O2027" t="inlineStr">
        <is>
          <t>Check ip-api.com + AbuseIPDB for context</t>
        </is>
      </c>
      <c r="P2027" t="n">
        <v>0</v>
      </c>
      <c r="Q2027" t="n">
        <v>0</v>
      </c>
      <c r="R2027" t="inlineStr">
        <is>
          <t>T1110:Brute Force | T1190:Exploit Public-Facing Application</t>
        </is>
      </c>
      <c r="S2027" t="n">
        <v>1</v>
      </c>
      <c r="T2027" t="inlineStr">
        <is>
          <t>LOW (40%)</t>
        </is>
      </c>
      <c r="U2027" t="inlineStr">
        <is>
          <t>NONE</t>
        </is>
      </c>
      <c r="V2027" t="inlineStr">
        <is>
          <t>NONE</t>
        </is>
      </c>
      <c r="W2027" t="inlineStr">
        <is>
          <t>NONE</t>
        </is>
      </c>
      <c r="X2027" t="inlineStr">
        <is>
          <t>NONE</t>
        </is>
      </c>
      <c r="Y2027" t="n">
        <v>0</v>
      </c>
      <c r="Z2027" t="inlineStr"/>
      <c r="AA2027" t="inlineStr">
        <is>
          <t>https://rules.emergingthreats.net/</t>
        </is>
      </c>
    </row>
    <row r="2028">
      <c r="A2028" t="inlineStr">
        <is>
          <t>EMERGING_THREAT_IP</t>
        </is>
      </c>
      <c r="B2028" t="inlineStr">
        <is>
          <t>ae885b936d47</t>
        </is>
      </c>
      <c r="C2028" t="inlineStr">
        <is>
          <t>Emerging Threats Compromised IP: 103.40.61.98 | Sources: EMERGING_THREATS</t>
        </is>
      </c>
      <c r="D2028" t="n">
        <v>6.5</v>
      </c>
      <c r="E2028" t="inlineStr">
        <is>
          <t>HIGH</t>
        </is>
      </c>
      <c r="F2028" t="n">
        <v>3</v>
      </c>
      <c r="G2028" t="n">
        <v>2</v>
      </c>
      <c r="H2028" t="inlineStr">
        <is>
          <t>HIGH</t>
        </is>
      </c>
      <c r="I2028" t="n">
        <v>12.5</v>
      </c>
      <c r="J2028" t="inlineStr">
        <is>
          <t>NO</t>
        </is>
      </c>
      <c r="K2028" t="inlineStr">
        <is>
          <t>2026-02-26 00:15</t>
        </is>
      </c>
      <c r="L2028" t="inlineStr">
        <is>
          <t>Block IP</t>
        </is>
      </c>
      <c r="M2028" t="inlineStr">
        <is>
          <t>Network perimeter</t>
        </is>
      </c>
      <c r="N2028" t="inlineStr">
        <is>
          <t>P3</t>
        </is>
      </c>
      <c r="O2028" t="inlineStr">
        <is>
          <t>Check ip-api.com + AbuseIPDB for context</t>
        </is>
      </c>
      <c r="P2028" t="n">
        <v>0</v>
      </c>
      <c r="Q2028" t="n">
        <v>0</v>
      </c>
      <c r="R2028" t="inlineStr">
        <is>
          <t>T1110:Brute Force | T1190:Exploit Public-Facing Application</t>
        </is>
      </c>
      <c r="S2028" t="n">
        <v>1</v>
      </c>
      <c r="T2028" t="inlineStr">
        <is>
          <t>LOW (40%)</t>
        </is>
      </c>
      <c r="U2028" t="inlineStr">
        <is>
          <t>NONE</t>
        </is>
      </c>
      <c r="V2028" t="inlineStr">
        <is>
          <t>NONE</t>
        </is>
      </c>
      <c r="W2028" t="inlineStr">
        <is>
          <t>NONE</t>
        </is>
      </c>
      <c r="X2028" t="inlineStr">
        <is>
          <t>NONE</t>
        </is>
      </c>
      <c r="Y2028" t="n">
        <v>0</v>
      </c>
      <c r="Z2028" t="inlineStr"/>
      <c r="AA2028" t="inlineStr">
        <is>
          <t>https://rules.emergingthreats.net/</t>
        </is>
      </c>
    </row>
    <row r="2029">
      <c r="A2029" t="inlineStr">
        <is>
          <t>EMERGING_THREAT_IP</t>
        </is>
      </c>
      <c r="B2029" t="inlineStr">
        <is>
          <t>2ba8853e01d2</t>
        </is>
      </c>
      <c r="C2029" t="inlineStr">
        <is>
          <t>Emerging Threats Compromised IP: 103.63.24.38 | Sources: EMERGING_THREATS</t>
        </is>
      </c>
      <c r="D2029" t="n">
        <v>6.5</v>
      </c>
      <c r="E2029" t="inlineStr">
        <is>
          <t>HIGH</t>
        </is>
      </c>
      <c r="F2029" t="n">
        <v>3</v>
      </c>
      <c r="G2029" t="n">
        <v>2</v>
      </c>
      <c r="H2029" t="inlineStr">
        <is>
          <t>HIGH</t>
        </is>
      </c>
      <c r="I2029" t="n">
        <v>12.5</v>
      </c>
      <c r="J2029" t="inlineStr">
        <is>
          <t>NO</t>
        </is>
      </c>
      <c r="K2029" t="inlineStr">
        <is>
          <t>2026-02-26 00:15</t>
        </is>
      </c>
      <c r="L2029" t="inlineStr">
        <is>
          <t>Block IP</t>
        </is>
      </c>
      <c r="M2029" t="inlineStr">
        <is>
          <t>Network perimeter</t>
        </is>
      </c>
      <c r="N2029" t="inlineStr">
        <is>
          <t>P3</t>
        </is>
      </c>
      <c r="O2029" t="inlineStr">
        <is>
          <t>Check ip-api.com + AbuseIPDB for context</t>
        </is>
      </c>
      <c r="P2029" t="n">
        <v>0</v>
      </c>
      <c r="Q2029" t="n">
        <v>0</v>
      </c>
      <c r="R2029" t="inlineStr">
        <is>
          <t>T1110:Brute Force | T1190:Exploit Public-Facing Application</t>
        </is>
      </c>
      <c r="S2029" t="n">
        <v>1</v>
      </c>
      <c r="T2029" t="inlineStr">
        <is>
          <t>LOW (40%)</t>
        </is>
      </c>
      <c r="U2029" t="inlineStr">
        <is>
          <t>NONE</t>
        </is>
      </c>
      <c r="V2029" t="inlineStr">
        <is>
          <t>NONE</t>
        </is>
      </c>
      <c r="W2029" t="inlineStr">
        <is>
          <t>NONE</t>
        </is>
      </c>
      <c r="X2029" t="inlineStr">
        <is>
          <t>NONE</t>
        </is>
      </c>
      <c r="Y2029" t="n">
        <v>0</v>
      </c>
      <c r="Z2029" t="inlineStr"/>
      <c r="AA2029" t="inlineStr">
        <is>
          <t>https://rules.emergingthreats.net/</t>
        </is>
      </c>
    </row>
    <row r="2030">
      <c r="A2030" t="inlineStr">
        <is>
          <t>EMERGING_THREAT_IP</t>
        </is>
      </c>
      <c r="B2030" t="inlineStr">
        <is>
          <t>935a49ba8025</t>
        </is>
      </c>
      <c r="C2030" t="inlineStr">
        <is>
          <t>Emerging Threats Compromised IP: 104.131.20.206 | Sources: EMERGING_THREATS</t>
        </is>
      </c>
      <c r="D2030" t="n">
        <v>6.5</v>
      </c>
      <c r="E2030" t="inlineStr">
        <is>
          <t>HIGH</t>
        </is>
      </c>
      <c r="F2030" t="n">
        <v>3</v>
      </c>
      <c r="G2030" t="n">
        <v>2</v>
      </c>
      <c r="H2030" t="inlineStr">
        <is>
          <t>HIGH</t>
        </is>
      </c>
      <c r="I2030" t="n">
        <v>12.5</v>
      </c>
      <c r="J2030" t="inlineStr">
        <is>
          <t>NO</t>
        </is>
      </c>
      <c r="K2030" t="inlineStr">
        <is>
          <t>2026-02-26 00:15</t>
        </is>
      </c>
      <c r="L2030" t="inlineStr">
        <is>
          <t>Block IP</t>
        </is>
      </c>
      <c r="M2030" t="inlineStr">
        <is>
          <t>Network perimeter</t>
        </is>
      </c>
      <c r="N2030" t="inlineStr">
        <is>
          <t>P3</t>
        </is>
      </c>
      <c r="O2030" t="inlineStr">
        <is>
          <t>Check ip-api.com + AbuseIPDB for context</t>
        </is>
      </c>
      <c r="P2030" t="n">
        <v>0</v>
      </c>
      <c r="Q2030" t="n">
        <v>0</v>
      </c>
      <c r="R2030" t="inlineStr">
        <is>
          <t>T1110:Brute Force | T1190:Exploit Public-Facing Application</t>
        </is>
      </c>
      <c r="S2030" t="n">
        <v>1</v>
      </c>
      <c r="T2030" t="inlineStr">
        <is>
          <t>LOW (40%)</t>
        </is>
      </c>
      <c r="U2030" t="inlineStr">
        <is>
          <t>NONE</t>
        </is>
      </c>
      <c r="V2030" t="inlineStr">
        <is>
          <t>NONE</t>
        </is>
      </c>
      <c r="W2030" t="inlineStr">
        <is>
          <t>NONE</t>
        </is>
      </c>
      <c r="X2030" t="inlineStr">
        <is>
          <t>NONE</t>
        </is>
      </c>
      <c r="Y2030" t="n">
        <v>0</v>
      </c>
      <c r="Z2030" t="inlineStr"/>
      <c r="AA2030" t="inlineStr">
        <is>
          <t>https://rules.emergingthreats.net/</t>
        </is>
      </c>
    </row>
    <row r="2031">
      <c r="A2031" t="inlineStr">
        <is>
          <t>EMERGING_THREAT_IP</t>
        </is>
      </c>
      <c r="B2031" t="inlineStr">
        <is>
          <t>47a83752a21b</t>
        </is>
      </c>
      <c r="C2031" t="inlineStr">
        <is>
          <t>Emerging Threats Compromised IP: 104.131.4.130 | Sources: EMERGING_THREATS</t>
        </is>
      </c>
      <c r="D2031" t="n">
        <v>6.5</v>
      </c>
      <c r="E2031" t="inlineStr">
        <is>
          <t>HIGH</t>
        </is>
      </c>
      <c r="F2031" t="n">
        <v>3</v>
      </c>
      <c r="G2031" t="n">
        <v>2</v>
      </c>
      <c r="H2031" t="inlineStr">
        <is>
          <t>HIGH</t>
        </is>
      </c>
      <c r="I2031" t="n">
        <v>12.5</v>
      </c>
      <c r="J2031" t="inlineStr">
        <is>
          <t>NO</t>
        </is>
      </c>
      <c r="K2031" t="inlineStr">
        <is>
          <t>2026-02-26 00:15</t>
        </is>
      </c>
      <c r="L2031" t="inlineStr">
        <is>
          <t>Block IP</t>
        </is>
      </c>
      <c r="M2031" t="inlineStr">
        <is>
          <t>Network perimeter</t>
        </is>
      </c>
      <c r="N2031" t="inlineStr">
        <is>
          <t>P3</t>
        </is>
      </c>
      <c r="O2031" t="inlineStr">
        <is>
          <t>Check ip-api.com + AbuseIPDB for context</t>
        </is>
      </c>
      <c r="P2031" t="n">
        <v>0</v>
      </c>
      <c r="Q2031" t="n">
        <v>0</v>
      </c>
      <c r="R2031" t="inlineStr">
        <is>
          <t>T1110:Brute Force | T1190:Exploit Public-Facing Application</t>
        </is>
      </c>
      <c r="S2031" t="n">
        <v>1</v>
      </c>
      <c r="T2031" t="inlineStr">
        <is>
          <t>LOW (40%)</t>
        </is>
      </c>
      <c r="U2031" t="inlineStr">
        <is>
          <t>NONE</t>
        </is>
      </c>
      <c r="V2031" t="inlineStr">
        <is>
          <t>NONE</t>
        </is>
      </c>
      <c r="W2031" t="inlineStr">
        <is>
          <t>NONE</t>
        </is>
      </c>
      <c r="X2031" t="inlineStr">
        <is>
          <t>NONE</t>
        </is>
      </c>
      <c r="Y2031" t="n">
        <v>0</v>
      </c>
      <c r="Z2031" t="inlineStr"/>
      <c r="AA2031" t="inlineStr">
        <is>
          <t>https://rules.emergingthreats.net/</t>
        </is>
      </c>
    </row>
    <row r="2032">
      <c r="A2032" t="inlineStr">
        <is>
          <t>EMERGING_THREAT_IP</t>
        </is>
      </c>
      <c r="B2032" t="inlineStr">
        <is>
          <t>4125319882fc</t>
        </is>
      </c>
      <c r="C2032" t="inlineStr">
        <is>
          <t>Emerging Threats Compromised IP: 104.168.4.152 | Sources: EMERGING_THREATS</t>
        </is>
      </c>
      <c r="D2032" t="n">
        <v>6.5</v>
      </c>
      <c r="E2032" t="inlineStr">
        <is>
          <t>HIGH</t>
        </is>
      </c>
      <c r="F2032" t="n">
        <v>3</v>
      </c>
      <c r="G2032" t="n">
        <v>2</v>
      </c>
      <c r="H2032" t="inlineStr">
        <is>
          <t>HIGH</t>
        </is>
      </c>
      <c r="I2032" t="n">
        <v>12.5</v>
      </c>
      <c r="J2032" t="inlineStr">
        <is>
          <t>NO</t>
        </is>
      </c>
      <c r="K2032" t="inlineStr">
        <is>
          <t>2026-02-26 00:15</t>
        </is>
      </c>
      <c r="L2032" t="inlineStr">
        <is>
          <t>Block IP</t>
        </is>
      </c>
      <c r="M2032" t="inlineStr">
        <is>
          <t>Network perimeter</t>
        </is>
      </c>
      <c r="N2032" t="inlineStr">
        <is>
          <t>P3</t>
        </is>
      </c>
      <c r="O2032" t="inlineStr">
        <is>
          <t>Check ip-api.com + AbuseIPDB for context</t>
        </is>
      </c>
      <c r="P2032" t="n">
        <v>0</v>
      </c>
      <c r="Q2032" t="n">
        <v>0</v>
      </c>
      <c r="R2032" t="inlineStr">
        <is>
          <t>T1110:Brute Force | T1190:Exploit Public-Facing Application</t>
        </is>
      </c>
      <c r="S2032" t="n">
        <v>1</v>
      </c>
      <c r="T2032" t="inlineStr">
        <is>
          <t>LOW (40%)</t>
        </is>
      </c>
      <c r="U2032" t="inlineStr">
        <is>
          <t>NONE</t>
        </is>
      </c>
      <c r="V2032" t="inlineStr">
        <is>
          <t>NONE</t>
        </is>
      </c>
      <c r="W2032" t="inlineStr">
        <is>
          <t>NONE</t>
        </is>
      </c>
      <c r="X2032" t="inlineStr">
        <is>
          <t>NONE</t>
        </is>
      </c>
      <c r="Y2032" t="n">
        <v>0</v>
      </c>
      <c r="Z2032" t="inlineStr"/>
      <c r="AA2032" t="inlineStr">
        <is>
          <t>https://rules.emergingthreats.net/</t>
        </is>
      </c>
    </row>
    <row r="2033">
      <c r="A2033" t="inlineStr">
        <is>
          <t>EMERGING_THREAT_IP</t>
        </is>
      </c>
      <c r="B2033" t="inlineStr">
        <is>
          <t>55063dd94c21</t>
        </is>
      </c>
      <c r="C2033" t="inlineStr">
        <is>
          <t>Emerging Threats Compromised IP: 104.236.80.177 | Sources: EMERGING_THREATS</t>
        </is>
      </c>
      <c r="D2033" t="n">
        <v>6.5</v>
      </c>
      <c r="E2033" t="inlineStr">
        <is>
          <t>HIGH</t>
        </is>
      </c>
      <c r="F2033" t="n">
        <v>3</v>
      </c>
      <c r="G2033" t="n">
        <v>2</v>
      </c>
      <c r="H2033" t="inlineStr">
        <is>
          <t>HIGH</t>
        </is>
      </c>
      <c r="I2033" t="n">
        <v>12.5</v>
      </c>
      <c r="J2033" t="inlineStr">
        <is>
          <t>NO</t>
        </is>
      </c>
      <c r="K2033" t="inlineStr">
        <is>
          <t>2026-02-26 00:15</t>
        </is>
      </c>
      <c r="L2033" t="inlineStr">
        <is>
          <t>Block IP</t>
        </is>
      </c>
      <c r="M2033" t="inlineStr">
        <is>
          <t>Network perimeter</t>
        </is>
      </c>
      <c r="N2033" t="inlineStr">
        <is>
          <t>P3</t>
        </is>
      </c>
      <c r="O2033" t="inlineStr">
        <is>
          <t>Check ip-api.com + AbuseIPDB for context</t>
        </is>
      </c>
      <c r="P2033" t="n">
        <v>0</v>
      </c>
      <c r="Q2033" t="n">
        <v>0</v>
      </c>
      <c r="R2033" t="inlineStr">
        <is>
          <t>T1110:Brute Force | T1190:Exploit Public-Facing Application</t>
        </is>
      </c>
      <c r="S2033" t="n">
        <v>1</v>
      </c>
      <c r="T2033" t="inlineStr">
        <is>
          <t>LOW (40%)</t>
        </is>
      </c>
      <c r="U2033" t="inlineStr">
        <is>
          <t>NONE</t>
        </is>
      </c>
      <c r="V2033" t="inlineStr">
        <is>
          <t>NONE</t>
        </is>
      </c>
      <c r="W2033" t="inlineStr">
        <is>
          <t>NONE</t>
        </is>
      </c>
      <c r="X2033" t="inlineStr">
        <is>
          <t>NONE</t>
        </is>
      </c>
      <c r="Y2033" t="n">
        <v>0</v>
      </c>
      <c r="Z2033" t="inlineStr"/>
      <c r="AA2033" t="inlineStr">
        <is>
          <t>https://rules.emergingthreats.net/</t>
        </is>
      </c>
    </row>
    <row r="2034">
      <c r="A2034" t="inlineStr">
        <is>
          <t>EMERGING_THREAT_IP</t>
        </is>
      </c>
      <c r="B2034" t="inlineStr">
        <is>
          <t>50750a0dd5f6</t>
        </is>
      </c>
      <c r="C2034" t="inlineStr">
        <is>
          <t>Emerging Threats Compromised IP: 104.236.84.17 | Sources: EMERGING_THREATS</t>
        </is>
      </c>
      <c r="D2034" t="n">
        <v>6.5</v>
      </c>
      <c r="E2034" t="inlineStr">
        <is>
          <t>HIGH</t>
        </is>
      </c>
      <c r="F2034" t="n">
        <v>3</v>
      </c>
      <c r="G2034" t="n">
        <v>2</v>
      </c>
      <c r="H2034" t="inlineStr">
        <is>
          <t>HIGH</t>
        </is>
      </c>
      <c r="I2034" t="n">
        <v>12.5</v>
      </c>
      <c r="J2034" t="inlineStr">
        <is>
          <t>NO</t>
        </is>
      </c>
      <c r="K2034" t="inlineStr">
        <is>
          <t>2026-02-26 00:15</t>
        </is>
      </c>
      <c r="L2034" t="inlineStr">
        <is>
          <t>Block IP</t>
        </is>
      </c>
      <c r="M2034" t="inlineStr">
        <is>
          <t>Network perimeter</t>
        </is>
      </c>
      <c r="N2034" t="inlineStr">
        <is>
          <t>P3</t>
        </is>
      </c>
      <c r="O2034" t="inlineStr">
        <is>
          <t>Check ip-api.com + AbuseIPDB for context</t>
        </is>
      </c>
      <c r="P2034" t="n">
        <v>0</v>
      </c>
      <c r="Q2034" t="n">
        <v>0</v>
      </c>
      <c r="R2034" t="inlineStr">
        <is>
          <t>T1110:Brute Force | T1190:Exploit Public-Facing Application</t>
        </is>
      </c>
      <c r="S2034" t="n">
        <v>1</v>
      </c>
      <c r="T2034" t="inlineStr">
        <is>
          <t>LOW (40%)</t>
        </is>
      </c>
      <c r="U2034" t="inlineStr">
        <is>
          <t>NONE</t>
        </is>
      </c>
      <c r="V2034" t="inlineStr">
        <is>
          <t>NONE</t>
        </is>
      </c>
      <c r="W2034" t="inlineStr">
        <is>
          <t>NONE</t>
        </is>
      </c>
      <c r="X2034" t="inlineStr">
        <is>
          <t>NONE</t>
        </is>
      </c>
      <c r="Y2034" t="n">
        <v>0</v>
      </c>
      <c r="Z2034" t="inlineStr"/>
      <c r="AA2034" t="inlineStr">
        <is>
          <t>https://rules.emergingthreats.net/</t>
        </is>
      </c>
    </row>
    <row r="2035">
      <c r="A2035" t="inlineStr">
        <is>
          <t>EMERGING_THREAT_IP</t>
        </is>
      </c>
      <c r="B2035" t="inlineStr">
        <is>
          <t>5ea9455342e5</t>
        </is>
      </c>
      <c r="C2035" t="inlineStr">
        <is>
          <t>Emerging Threats Compromised IP: 104.236.95.108 | Sources: EMERGING_THREATS</t>
        </is>
      </c>
      <c r="D2035" t="n">
        <v>6.5</v>
      </c>
      <c r="E2035" t="inlineStr">
        <is>
          <t>HIGH</t>
        </is>
      </c>
      <c r="F2035" t="n">
        <v>3</v>
      </c>
      <c r="G2035" t="n">
        <v>2</v>
      </c>
      <c r="H2035" t="inlineStr">
        <is>
          <t>HIGH</t>
        </is>
      </c>
      <c r="I2035" t="n">
        <v>12.5</v>
      </c>
      <c r="J2035" t="inlineStr">
        <is>
          <t>NO</t>
        </is>
      </c>
      <c r="K2035" t="inlineStr">
        <is>
          <t>2026-02-26 00:15</t>
        </is>
      </c>
      <c r="L2035" t="inlineStr">
        <is>
          <t>Block IP</t>
        </is>
      </c>
      <c r="M2035" t="inlineStr">
        <is>
          <t>Network perimeter</t>
        </is>
      </c>
      <c r="N2035" t="inlineStr">
        <is>
          <t>P3</t>
        </is>
      </c>
      <c r="O2035" t="inlineStr">
        <is>
          <t>Check ip-api.com + AbuseIPDB for context</t>
        </is>
      </c>
      <c r="P2035" t="n">
        <v>0</v>
      </c>
      <c r="Q2035" t="n">
        <v>0</v>
      </c>
      <c r="R2035" t="inlineStr">
        <is>
          <t>T1110:Brute Force | T1190:Exploit Public-Facing Application</t>
        </is>
      </c>
      <c r="S2035" t="n">
        <v>1</v>
      </c>
      <c r="T2035" t="inlineStr">
        <is>
          <t>LOW (40%)</t>
        </is>
      </c>
      <c r="U2035" t="inlineStr">
        <is>
          <t>NONE</t>
        </is>
      </c>
      <c r="V2035" t="inlineStr">
        <is>
          <t>NONE</t>
        </is>
      </c>
      <c r="W2035" t="inlineStr">
        <is>
          <t>NONE</t>
        </is>
      </c>
      <c r="X2035" t="inlineStr">
        <is>
          <t>NONE</t>
        </is>
      </c>
      <c r="Y2035" t="n">
        <v>0</v>
      </c>
      <c r="Z2035" t="inlineStr"/>
      <c r="AA2035" t="inlineStr">
        <is>
          <t>https://rules.emergingthreats.net/</t>
        </is>
      </c>
    </row>
    <row r="2036">
      <c r="A2036" t="inlineStr">
        <is>
          <t>EMERGING_THREAT_IP</t>
        </is>
      </c>
      <c r="B2036" t="inlineStr">
        <is>
          <t>7b158df7da56</t>
        </is>
      </c>
      <c r="C2036" t="inlineStr">
        <is>
          <t>Emerging Threats Compromised IP: 104.248.41.74 | Sources: EMERGING_THREATS</t>
        </is>
      </c>
      <c r="D2036" t="n">
        <v>6.5</v>
      </c>
      <c r="E2036" t="inlineStr">
        <is>
          <t>HIGH</t>
        </is>
      </c>
      <c r="F2036" t="n">
        <v>3</v>
      </c>
      <c r="G2036" t="n">
        <v>2</v>
      </c>
      <c r="H2036" t="inlineStr">
        <is>
          <t>HIGH</t>
        </is>
      </c>
      <c r="I2036" t="n">
        <v>12.5</v>
      </c>
      <c r="J2036" t="inlineStr">
        <is>
          <t>NO</t>
        </is>
      </c>
      <c r="K2036" t="inlineStr">
        <is>
          <t>2026-02-26 00:15</t>
        </is>
      </c>
      <c r="L2036" t="inlineStr">
        <is>
          <t>Block IP</t>
        </is>
      </c>
      <c r="M2036" t="inlineStr">
        <is>
          <t>Network perimeter</t>
        </is>
      </c>
      <c r="N2036" t="inlineStr">
        <is>
          <t>P3</t>
        </is>
      </c>
      <c r="O2036" t="inlineStr">
        <is>
          <t>Check ip-api.com + AbuseIPDB for context</t>
        </is>
      </c>
      <c r="P2036" t="n">
        <v>0</v>
      </c>
      <c r="Q2036" t="n">
        <v>0</v>
      </c>
      <c r="R2036" t="inlineStr">
        <is>
          <t>T1110:Brute Force | T1190:Exploit Public-Facing Application</t>
        </is>
      </c>
      <c r="S2036" t="n">
        <v>1</v>
      </c>
      <c r="T2036" t="inlineStr">
        <is>
          <t>LOW (40%)</t>
        </is>
      </c>
      <c r="U2036" t="inlineStr">
        <is>
          <t>NONE</t>
        </is>
      </c>
      <c r="V2036" t="inlineStr">
        <is>
          <t>NONE</t>
        </is>
      </c>
      <c r="W2036" t="inlineStr">
        <is>
          <t>NONE</t>
        </is>
      </c>
      <c r="X2036" t="inlineStr">
        <is>
          <t>NONE</t>
        </is>
      </c>
      <c r="Y2036" t="n">
        <v>0</v>
      </c>
      <c r="Z2036" t="inlineStr"/>
      <c r="AA2036" t="inlineStr">
        <is>
          <t>https://rules.emergingthreats.net/</t>
        </is>
      </c>
    </row>
    <row r="2037">
      <c r="A2037" t="inlineStr">
        <is>
          <t>EMERGING_THREAT_IP</t>
        </is>
      </c>
      <c r="B2037" t="inlineStr">
        <is>
          <t>0f5bdeffdf57</t>
        </is>
      </c>
      <c r="C2037" t="inlineStr">
        <is>
          <t>Emerging Threats Compromised IP: 104.248.84.27 | Sources: EMERGING_THREATS</t>
        </is>
      </c>
      <c r="D2037" t="n">
        <v>6.5</v>
      </c>
      <c r="E2037" t="inlineStr">
        <is>
          <t>HIGH</t>
        </is>
      </c>
      <c r="F2037" t="n">
        <v>3</v>
      </c>
      <c r="G2037" t="n">
        <v>2</v>
      </c>
      <c r="H2037" t="inlineStr">
        <is>
          <t>HIGH</t>
        </is>
      </c>
      <c r="I2037" t="n">
        <v>12.5</v>
      </c>
      <c r="J2037" t="inlineStr">
        <is>
          <t>NO</t>
        </is>
      </c>
      <c r="K2037" t="inlineStr">
        <is>
          <t>2026-02-26 00:15</t>
        </is>
      </c>
      <c r="L2037" t="inlineStr">
        <is>
          <t>Block IP</t>
        </is>
      </c>
      <c r="M2037" t="inlineStr">
        <is>
          <t>Network perimeter</t>
        </is>
      </c>
      <c r="N2037" t="inlineStr">
        <is>
          <t>P3</t>
        </is>
      </c>
      <c r="O2037" t="inlineStr">
        <is>
          <t>Check ip-api.com + AbuseIPDB for context</t>
        </is>
      </c>
      <c r="P2037" t="n">
        <v>0</v>
      </c>
      <c r="Q2037" t="n">
        <v>0</v>
      </c>
      <c r="R2037" t="inlineStr">
        <is>
          <t>T1110:Brute Force | T1190:Exploit Public-Facing Application</t>
        </is>
      </c>
      <c r="S2037" t="n">
        <v>1</v>
      </c>
      <c r="T2037" t="inlineStr">
        <is>
          <t>LOW (40%)</t>
        </is>
      </c>
      <c r="U2037" t="inlineStr">
        <is>
          <t>NONE</t>
        </is>
      </c>
      <c r="V2037" t="inlineStr">
        <is>
          <t>NONE</t>
        </is>
      </c>
      <c r="W2037" t="inlineStr">
        <is>
          <t>NONE</t>
        </is>
      </c>
      <c r="X2037" t="inlineStr">
        <is>
          <t>NONE</t>
        </is>
      </c>
      <c r="Y2037" t="n">
        <v>0</v>
      </c>
      <c r="Z2037" t="inlineStr"/>
      <c r="AA2037" t="inlineStr">
        <is>
          <t>https://rules.emergingthreats.net/</t>
        </is>
      </c>
    </row>
    <row r="2038">
      <c r="A2038" t="inlineStr">
        <is>
          <t>EMERGING_THREAT_IP</t>
        </is>
      </c>
      <c r="B2038" t="inlineStr">
        <is>
          <t>3f924c0230ce</t>
        </is>
      </c>
      <c r="C2038" t="inlineStr">
        <is>
          <t>Emerging Threats Compromised IP: 106.124.137.21 | Sources: EMERGING_THREATS</t>
        </is>
      </c>
      <c r="D2038" t="n">
        <v>6.5</v>
      </c>
      <c r="E2038" t="inlineStr">
        <is>
          <t>HIGH</t>
        </is>
      </c>
      <c r="F2038" t="n">
        <v>3</v>
      </c>
      <c r="G2038" t="n">
        <v>2</v>
      </c>
      <c r="H2038" t="inlineStr">
        <is>
          <t>HIGH</t>
        </is>
      </c>
      <c r="I2038" t="n">
        <v>12.5</v>
      </c>
      <c r="J2038" t="inlineStr">
        <is>
          <t>NO</t>
        </is>
      </c>
      <c r="K2038" t="inlineStr">
        <is>
          <t>2026-02-26 00:15</t>
        </is>
      </c>
      <c r="L2038" t="inlineStr">
        <is>
          <t>Block IP</t>
        </is>
      </c>
      <c r="M2038" t="inlineStr">
        <is>
          <t>Network perimeter</t>
        </is>
      </c>
      <c r="N2038" t="inlineStr">
        <is>
          <t>P3</t>
        </is>
      </c>
      <c r="O2038" t="inlineStr">
        <is>
          <t>Check ip-api.com + AbuseIPDB for context</t>
        </is>
      </c>
      <c r="P2038" t="n">
        <v>0</v>
      </c>
      <c r="Q2038" t="n">
        <v>0</v>
      </c>
      <c r="R2038" t="inlineStr">
        <is>
          <t>T1110:Brute Force | T1190:Exploit Public-Facing Application</t>
        </is>
      </c>
      <c r="S2038" t="n">
        <v>1</v>
      </c>
      <c r="T2038" t="inlineStr">
        <is>
          <t>LOW (40%)</t>
        </is>
      </c>
      <c r="U2038" t="inlineStr">
        <is>
          <t>NONE</t>
        </is>
      </c>
      <c r="V2038" t="inlineStr">
        <is>
          <t>NONE</t>
        </is>
      </c>
      <c r="W2038" t="inlineStr">
        <is>
          <t>NONE</t>
        </is>
      </c>
      <c r="X2038" t="inlineStr">
        <is>
          <t>NONE</t>
        </is>
      </c>
      <c r="Y2038" t="n">
        <v>0</v>
      </c>
      <c r="Z2038" t="inlineStr"/>
      <c r="AA2038" t="inlineStr">
        <is>
          <t>https://rules.emergingthreats.net/</t>
        </is>
      </c>
    </row>
    <row r="2039">
      <c r="A2039" t="inlineStr">
        <is>
          <t>EMERGING_THREAT_IP</t>
        </is>
      </c>
      <c r="B2039" t="inlineStr">
        <is>
          <t>9129fa0e480d</t>
        </is>
      </c>
      <c r="C2039" t="inlineStr">
        <is>
          <t>Emerging Threats Compromised IP: 106.74.27.94 | Sources: EMERGING_THREATS</t>
        </is>
      </c>
      <c r="D2039" t="n">
        <v>6.5</v>
      </c>
      <c r="E2039" t="inlineStr">
        <is>
          <t>HIGH</t>
        </is>
      </c>
      <c r="F2039" t="n">
        <v>3</v>
      </c>
      <c r="G2039" t="n">
        <v>2</v>
      </c>
      <c r="H2039" t="inlineStr">
        <is>
          <t>HIGH</t>
        </is>
      </c>
      <c r="I2039" t="n">
        <v>12.5</v>
      </c>
      <c r="J2039" t="inlineStr">
        <is>
          <t>NO</t>
        </is>
      </c>
      <c r="K2039" t="inlineStr">
        <is>
          <t>2026-02-26 00:15</t>
        </is>
      </c>
      <c r="L2039" t="inlineStr">
        <is>
          <t>Block IP</t>
        </is>
      </c>
      <c r="M2039" t="inlineStr">
        <is>
          <t>Network perimeter</t>
        </is>
      </c>
      <c r="N2039" t="inlineStr">
        <is>
          <t>P3</t>
        </is>
      </c>
      <c r="O2039" t="inlineStr">
        <is>
          <t>Check ip-api.com + AbuseIPDB for context</t>
        </is>
      </c>
      <c r="P2039" t="n">
        <v>0</v>
      </c>
      <c r="Q2039" t="n">
        <v>0</v>
      </c>
      <c r="R2039" t="inlineStr">
        <is>
          <t>T1110:Brute Force | T1190:Exploit Public-Facing Application</t>
        </is>
      </c>
      <c r="S2039" t="n">
        <v>1</v>
      </c>
      <c r="T2039" t="inlineStr">
        <is>
          <t>LOW (40%)</t>
        </is>
      </c>
      <c r="U2039" t="inlineStr">
        <is>
          <t>NONE</t>
        </is>
      </c>
      <c r="V2039" t="inlineStr">
        <is>
          <t>NONE</t>
        </is>
      </c>
      <c r="W2039" t="inlineStr">
        <is>
          <t>NONE</t>
        </is>
      </c>
      <c r="X2039" t="inlineStr">
        <is>
          <t>NONE</t>
        </is>
      </c>
      <c r="Y2039" t="n">
        <v>0</v>
      </c>
      <c r="Z2039" t="inlineStr"/>
      <c r="AA2039" t="inlineStr">
        <is>
          <t>https://rules.emergingthreats.net/</t>
        </is>
      </c>
    </row>
    <row r="2040">
      <c r="A2040" t="inlineStr">
        <is>
          <t>EMERGING_THREAT_IP</t>
        </is>
      </c>
      <c r="B2040" t="inlineStr">
        <is>
          <t>f70533669fa1</t>
        </is>
      </c>
      <c r="C2040" t="inlineStr">
        <is>
          <t>Emerging Threats Compromised IP: 107.175.114.119 | Sources: EMERGING_THREATS</t>
        </is>
      </c>
      <c r="D2040" t="n">
        <v>6.5</v>
      </c>
      <c r="E2040" t="inlineStr">
        <is>
          <t>HIGH</t>
        </is>
      </c>
      <c r="F2040" t="n">
        <v>3</v>
      </c>
      <c r="G2040" t="n">
        <v>2</v>
      </c>
      <c r="H2040" t="inlineStr">
        <is>
          <t>HIGH</t>
        </is>
      </c>
      <c r="I2040" t="n">
        <v>12.5</v>
      </c>
      <c r="J2040" t="inlineStr">
        <is>
          <t>NO</t>
        </is>
      </c>
      <c r="K2040" t="inlineStr">
        <is>
          <t>2026-02-26 00:15</t>
        </is>
      </c>
      <c r="L2040" t="inlineStr">
        <is>
          <t>Block IP</t>
        </is>
      </c>
      <c r="M2040" t="inlineStr">
        <is>
          <t>Network perimeter</t>
        </is>
      </c>
      <c r="N2040" t="inlineStr">
        <is>
          <t>P3</t>
        </is>
      </c>
      <c r="O2040" t="inlineStr">
        <is>
          <t>Check ip-api.com + AbuseIPDB for context</t>
        </is>
      </c>
      <c r="P2040" t="n">
        <v>0</v>
      </c>
      <c r="Q2040" t="n">
        <v>0</v>
      </c>
      <c r="R2040" t="inlineStr">
        <is>
          <t>T1110:Brute Force | T1190:Exploit Public-Facing Application</t>
        </is>
      </c>
      <c r="S2040" t="n">
        <v>1</v>
      </c>
      <c r="T2040" t="inlineStr">
        <is>
          <t>LOW (40%)</t>
        </is>
      </c>
      <c r="U2040" t="inlineStr">
        <is>
          <t>NONE</t>
        </is>
      </c>
      <c r="V2040" t="inlineStr">
        <is>
          <t>NONE</t>
        </is>
      </c>
      <c r="W2040" t="inlineStr">
        <is>
          <t>NONE</t>
        </is>
      </c>
      <c r="X2040" t="inlineStr">
        <is>
          <t>NONE</t>
        </is>
      </c>
      <c r="Y2040" t="n">
        <v>0</v>
      </c>
      <c r="Z2040" t="inlineStr"/>
      <c r="AA2040" t="inlineStr">
        <is>
          <t>https://rules.emergingthreats.net/</t>
        </is>
      </c>
    </row>
    <row r="2041">
      <c r="A2041" t="inlineStr">
        <is>
          <t>EMERGING_THREAT_IP</t>
        </is>
      </c>
      <c r="B2041" t="inlineStr">
        <is>
          <t>8d4c992d158f</t>
        </is>
      </c>
      <c r="C2041" t="inlineStr">
        <is>
          <t>Emerging Threats Compromised IP: 109.122.196.176 | Sources: EMERGING_THREATS</t>
        </is>
      </c>
      <c r="D2041" t="n">
        <v>6.5</v>
      </c>
      <c r="E2041" t="inlineStr">
        <is>
          <t>HIGH</t>
        </is>
      </c>
      <c r="F2041" t="n">
        <v>3</v>
      </c>
      <c r="G2041" t="n">
        <v>2</v>
      </c>
      <c r="H2041" t="inlineStr">
        <is>
          <t>HIGH</t>
        </is>
      </c>
      <c r="I2041" t="n">
        <v>12.5</v>
      </c>
      <c r="J2041" t="inlineStr">
        <is>
          <t>NO</t>
        </is>
      </c>
      <c r="K2041" t="inlineStr">
        <is>
          <t>2026-02-26 00:15</t>
        </is>
      </c>
      <c r="L2041" t="inlineStr">
        <is>
          <t>Block IP</t>
        </is>
      </c>
      <c r="M2041" t="inlineStr">
        <is>
          <t>Network perimeter</t>
        </is>
      </c>
      <c r="N2041" t="inlineStr">
        <is>
          <t>P3</t>
        </is>
      </c>
      <c r="O2041" t="inlineStr">
        <is>
          <t>Check ip-api.com + AbuseIPDB for context</t>
        </is>
      </c>
      <c r="P2041" t="n">
        <v>0</v>
      </c>
      <c r="Q2041" t="n">
        <v>0</v>
      </c>
      <c r="R2041" t="inlineStr">
        <is>
          <t>T1110:Brute Force | T1190:Exploit Public-Facing Application</t>
        </is>
      </c>
      <c r="S2041" t="n">
        <v>1</v>
      </c>
      <c r="T2041" t="inlineStr">
        <is>
          <t>LOW (40%)</t>
        </is>
      </c>
      <c r="U2041" t="inlineStr">
        <is>
          <t>NONE</t>
        </is>
      </c>
      <c r="V2041" t="inlineStr">
        <is>
          <t>NONE</t>
        </is>
      </c>
      <c r="W2041" t="inlineStr">
        <is>
          <t>NONE</t>
        </is>
      </c>
      <c r="X2041" t="inlineStr">
        <is>
          <t>NONE</t>
        </is>
      </c>
      <c r="Y2041" t="n">
        <v>0</v>
      </c>
      <c r="Z2041" t="inlineStr"/>
      <c r="AA2041" t="inlineStr">
        <is>
          <t>https://rules.emergingthreats.net/</t>
        </is>
      </c>
    </row>
    <row r="2042">
      <c r="A2042" t="inlineStr">
        <is>
          <t>EMERGING_THREAT_IP</t>
        </is>
      </c>
      <c r="B2042" t="inlineStr">
        <is>
          <t>c90196742a73</t>
        </is>
      </c>
      <c r="C2042" t="inlineStr">
        <is>
          <t>Emerging Threats Compromised IP: 109.172.55.64 | Sources: EMERGING_THREATS</t>
        </is>
      </c>
      <c r="D2042" t="n">
        <v>6.5</v>
      </c>
      <c r="E2042" t="inlineStr">
        <is>
          <t>HIGH</t>
        </is>
      </c>
      <c r="F2042" t="n">
        <v>3</v>
      </c>
      <c r="G2042" t="n">
        <v>2</v>
      </c>
      <c r="H2042" t="inlineStr">
        <is>
          <t>HIGH</t>
        </is>
      </c>
      <c r="I2042" t="n">
        <v>12.5</v>
      </c>
      <c r="J2042" t="inlineStr">
        <is>
          <t>NO</t>
        </is>
      </c>
      <c r="K2042" t="inlineStr">
        <is>
          <t>2026-02-26 00:15</t>
        </is>
      </c>
      <c r="L2042" t="inlineStr">
        <is>
          <t>Block IP</t>
        </is>
      </c>
      <c r="M2042" t="inlineStr">
        <is>
          <t>Network perimeter</t>
        </is>
      </c>
      <c r="N2042" t="inlineStr">
        <is>
          <t>P3</t>
        </is>
      </c>
      <c r="O2042" t="inlineStr">
        <is>
          <t>Check ip-api.com + AbuseIPDB for context</t>
        </is>
      </c>
      <c r="P2042" t="n">
        <v>0</v>
      </c>
      <c r="Q2042" t="n">
        <v>0</v>
      </c>
      <c r="R2042" t="inlineStr">
        <is>
          <t>T1110:Brute Force | T1190:Exploit Public-Facing Application</t>
        </is>
      </c>
      <c r="S2042" t="n">
        <v>1</v>
      </c>
      <c r="T2042" t="inlineStr">
        <is>
          <t>LOW (40%)</t>
        </is>
      </c>
      <c r="U2042" t="inlineStr">
        <is>
          <t>NONE</t>
        </is>
      </c>
      <c r="V2042" t="inlineStr">
        <is>
          <t>NONE</t>
        </is>
      </c>
      <c r="W2042" t="inlineStr">
        <is>
          <t>NONE</t>
        </is>
      </c>
      <c r="X2042" t="inlineStr">
        <is>
          <t>NONE</t>
        </is>
      </c>
      <c r="Y2042" t="n">
        <v>0</v>
      </c>
      <c r="Z2042" t="inlineStr"/>
      <c r="AA2042" t="inlineStr">
        <is>
          <t>https://rules.emergingthreats.net/</t>
        </is>
      </c>
    </row>
    <row r="2043">
      <c r="A2043" t="inlineStr">
        <is>
          <t>EMERGING_THREAT_IP</t>
        </is>
      </c>
      <c r="B2043" t="inlineStr">
        <is>
          <t>58a732101248</t>
        </is>
      </c>
      <c r="C2043" t="inlineStr">
        <is>
          <t>Emerging Threats Compromised IP: 111.160.133.62 | Sources: EMERGING_THREATS</t>
        </is>
      </c>
      <c r="D2043" t="n">
        <v>6.5</v>
      </c>
      <c r="E2043" t="inlineStr">
        <is>
          <t>HIGH</t>
        </is>
      </c>
      <c r="F2043" t="n">
        <v>3</v>
      </c>
      <c r="G2043" t="n">
        <v>2</v>
      </c>
      <c r="H2043" t="inlineStr">
        <is>
          <t>HIGH</t>
        </is>
      </c>
      <c r="I2043" t="n">
        <v>12.5</v>
      </c>
      <c r="J2043" t="inlineStr">
        <is>
          <t>NO</t>
        </is>
      </c>
      <c r="K2043" t="inlineStr">
        <is>
          <t>2026-02-26 00:15</t>
        </is>
      </c>
      <c r="L2043" t="inlineStr">
        <is>
          <t>Block IP</t>
        </is>
      </c>
      <c r="M2043" t="inlineStr">
        <is>
          <t>Network perimeter</t>
        </is>
      </c>
      <c r="N2043" t="inlineStr">
        <is>
          <t>P3</t>
        </is>
      </c>
      <c r="O2043" t="inlineStr">
        <is>
          <t>Check ip-api.com + AbuseIPDB for context</t>
        </is>
      </c>
      <c r="P2043" t="n">
        <v>0</v>
      </c>
      <c r="Q2043" t="n">
        <v>0</v>
      </c>
      <c r="R2043" t="inlineStr">
        <is>
          <t>T1110:Brute Force | T1190:Exploit Public-Facing Application</t>
        </is>
      </c>
      <c r="S2043" t="n">
        <v>1</v>
      </c>
      <c r="T2043" t="inlineStr">
        <is>
          <t>LOW (40%)</t>
        </is>
      </c>
      <c r="U2043" t="inlineStr">
        <is>
          <t>NONE</t>
        </is>
      </c>
      <c r="V2043" t="inlineStr">
        <is>
          <t>NONE</t>
        </is>
      </c>
      <c r="W2043" t="inlineStr">
        <is>
          <t>NONE</t>
        </is>
      </c>
      <c r="X2043" t="inlineStr">
        <is>
          <t>NONE</t>
        </is>
      </c>
      <c r="Y2043" t="n">
        <v>0</v>
      </c>
      <c r="Z2043" t="inlineStr"/>
      <c r="AA2043" t="inlineStr">
        <is>
          <t>https://rules.emergingthreats.net/</t>
        </is>
      </c>
    </row>
    <row r="2044">
      <c r="A2044" t="inlineStr">
        <is>
          <t>EMERGING_THREAT_IP</t>
        </is>
      </c>
      <c r="B2044" t="inlineStr">
        <is>
          <t>153710cc82cd</t>
        </is>
      </c>
      <c r="C2044" t="inlineStr">
        <is>
          <t>Emerging Threats Compromised IP: 111.32.36.226 | Sources: EMERGING_THREATS</t>
        </is>
      </c>
      <c r="D2044" t="n">
        <v>6.5</v>
      </c>
      <c r="E2044" t="inlineStr">
        <is>
          <t>HIGH</t>
        </is>
      </c>
      <c r="F2044" t="n">
        <v>3</v>
      </c>
      <c r="G2044" t="n">
        <v>2</v>
      </c>
      <c r="H2044" t="inlineStr">
        <is>
          <t>HIGH</t>
        </is>
      </c>
      <c r="I2044" t="n">
        <v>12.5</v>
      </c>
      <c r="J2044" t="inlineStr">
        <is>
          <t>NO</t>
        </is>
      </c>
      <c r="K2044" t="inlineStr">
        <is>
          <t>2026-02-26 00:15</t>
        </is>
      </c>
      <c r="L2044" t="inlineStr">
        <is>
          <t>Block IP</t>
        </is>
      </c>
      <c r="M2044" t="inlineStr">
        <is>
          <t>Network perimeter</t>
        </is>
      </c>
      <c r="N2044" t="inlineStr">
        <is>
          <t>P3</t>
        </is>
      </c>
      <c r="O2044" t="inlineStr">
        <is>
          <t>Check ip-api.com + AbuseIPDB for context</t>
        </is>
      </c>
      <c r="P2044" t="n">
        <v>0</v>
      </c>
      <c r="Q2044" t="n">
        <v>0</v>
      </c>
      <c r="R2044" t="inlineStr">
        <is>
          <t>T1110:Brute Force | T1190:Exploit Public-Facing Application</t>
        </is>
      </c>
      <c r="S2044" t="n">
        <v>1</v>
      </c>
      <c r="T2044" t="inlineStr">
        <is>
          <t>LOW (40%)</t>
        </is>
      </c>
      <c r="U2044" t="inlineStr">
        <is>
          <t>NONE</t>
        </is>
      </c>
      <c r="V2044" t="inlineStr">
        <is>
          <t>NONE</t>
        </is>
      </c>
      <c r="W2044" t="inlineStr">
        <is>
          <t>NONE</t>
        </is>
      </c>
      <c r="X2044" t="inlineStr">
        <is>
          <t>NONE</t>
        </is>
      </c>
      <c r="Y2044" t="n">
        <v>0</v>
      </c>
      <c r="Z2044" t="inlineStr"/>
      <c r="AA2044" t="inlineStr">
        <is>
          <t>https://rules.emergingthreats.net/</t>
        </is>
      </c>
    </row>
    <row r="2045">
      <c r="A2045" t="inlineStr">
        <is>
          <t>EMERGING_THREAT_IP</t>
        </is>
      </c>
      <c r="B2045" t="inlineStr">
        <is>
          <t>56362e505e20</t>
        </is>
      </c>
      <c r="C2045" t="inlineStr">
        <is>
          <t>Emerging Threats Compromised IP: 112.163.119.199 | Sources: ABUSEIPDB, EMERGING_THREATS</t>
        </is>
      </c>
      <c r="D2045" t="n">
        <v>6.5</v>
      </c>
      <c r="E2045" t="inlineStr">
        <is>
          <t>HIGH</t>
        </is>
      </c>
      <c r="F2045" t="n">
        <v>3</v>
      </c>
      <c r="G2045" t="n">
        <v>2</v>
      </c>
      <c r="H2045" t="inlineStr">
        <is>
          <t>HIGH</t>
        </is>
      </c>
      <c r="I2045" t="n">
        <v>12.5</v>
      </c>
      <c r="J2045" t="inlineStr">
        <is>
          <t>NO</t>
        </is>
      </c>
      <c r="K2045" t="inlineStr">
        <is>
          <t>2026-02-26 00:15</t>
        </is>
      </c>
      <c r="L2045" t="inlineStr">
        <is>
          <t>Block IP</t>
        </is>
      </c>
      <c r="M2045" t="inlineStr">
        <is>
          <t>Network perimeter</t>
        </is>
      </c>
      <c r="N2045" t="inlineStr">
        <is>
          <t>P3</t>
        </is>
      </c>
      <c r="O2045" t="inlineStr">
        <is>
          <t>🚨 MALICIOUS: Kornet | 🌍 South Korea | Changwon | 🏢 Kornet | ASN: AS4766 Korea Telecom | 🚨 AbuseIPDB: 100% malicious (Fixed Line ISP)</t>
        </is>
      </c>
      <c r="P2045" t="n">
        <v>0</v>
      </c>
      <c r="Q2045" t="n">
        <v>0</v>
      </c>
      <c r="R2045" t="inlineStr">
        <is>
          <t>T1110:Brute Force | T1190:Exploit Public-Facing Application</t>
        </is>
      </c>
      <c r="S2045" t="n">
        <v>2</v>
      </c>
      <c r="T2045" t="inlineStr">
        <is>
          <t>MEDIUM (52%)</t>
        </is>
      </c>
      <c r="U2045" t="inlineStr">
        <is>
          <t>NONE</t>
        </is>
      </c>
      <c r="V2045" t="inlineStr">
        <is>
          <t>NONE</t>
        </is>
      </c>
      <c r="W2045" t="inlineStr">
        <is>
          <t>NONE</t>
        </is>
      </c>
      <c r="X2045" t="inlineStr">
        <is>
          <t>NONE</t>
        </is>
      </c>
      <c r="Y2045" t="n">
        <v>0</v>
      </c>
      <c r="Z2045" t="inlineStr"/>
      <c r="AA2045" t="inlineStr">
        <is>
          <t>https://rules.emergingthreats.net/</t>
        </is>
      </c>
    </row>
    <row r="2046">
      <c r="A2046" t="inlineStr">
        <is>
          <t>EMERGING_THREAT_IP</t>
        </is>
      </c>
      <c r="B2046" t="inlineStr">
        <is>
          <t>a5391b0ff482</t>
        </is>
      </c>
      <c r="C2046" t="inlineStr">
        <is>
          <t>Emerging Threats Compromised IP: 112.203.76.195 | Sources: EMERGING_THREATS</t>
        </is>
      </c>
      <c r="D2046" t="n">
        <v>6.5</v>
      </c>
      <c r="E2046" t="inlineStr">
        <is>
          <t>HIGH</t>
        </is>
      </c>
      <c r="F2046" t="n">
        <v>3</v>
      </c>
      <c r="G2046" t="n">
        <v>2</v>
      </c>
      <c r="H2046" t="inlineStr">
        <is>
          <t>HIGH</t>
        </is>
      </c>
      <c r="I2046" t="n">
        <v>12.5</v>
      </c>
      <c r="J2046" t="inlineStr">
        <is>
          <t>NO</t>
        </is>
      </c>
      <c r="K2046" t="inlineStr">
        <is>
          <t>2026-02-26 00:15</t>
        </is>
      </c>
      <c r="L2046" t="inlineStr">
        <is>
          <t>Block IP</t>
        </is>
      </c>
      <c r="M2046" t="inlineStr">
        <is>
          <t>Network perimeter</t>
        </is>
      </c>
      <c r="N2046" t="inlineStr">
        <is>
          <t>P3</t>
        </is>
      </c>
      <c r="O2046" t="inlineStr">
        <is>
          <t>Check ip-api.com + AbuseIPDB for context</t>
        </is>
      </c>
      <c r="P2046" t="n">
        <v>0</v>
      </c>
      <c r="Q2046" t="n">
        <v>0</v>
      </c>
      <c r="R2046" t="inlineStr">
        <is>
          <t>T1110:Brute Force | T1190:Exploit Public-Facing Application</t>
        </is>
      </c>
      <c r="S2046" t="n">
        <v>1</v>
      </c>
      <c r="T2046" t="inlineStr">
        <is>
          <t>LOW (40%)</t>
        </is>
      </c>
      <c r="U2046" t="inlineStr">
        <is>
          <t>NONE</t>
        </is>
      </c>
      <c r="V2046" t="inlineStr">
        <is>
          <t>NONE</t>
        </is>
      </c>
      <c r="W2046" t="inlineStr">
        <is>
          <t>NONE</t>
        </is>
      </c>
      <c r="X2046" t="inlineStr">
        <is>
          <t>NONE</t>
        </is>
      </c>
      <c r="Y2046" t="n">
        <v>0</v>
      </c>
      <c r="Z2046" t="inlineStr"/>
      <c r="AA2046" t="inlineStr">
        <is>
          <t>https://rules.emergingthreats.net/</t>
        </is>
      </c>
    </row>
    <row r="2047">
      <c r="A2047" t="inlineStr">
        <is>
          <t>EMERGING_THREAT_IP</t>
        </is>
      </c>
      <c r="B2047" t="inlineStr">
        <is>
          <t>fb69466d3c6c</t>
        </is>
      </c>
      <c r="C2047" t="inlineStr">
        <is>
          <t>Emerging Threats Compromised IP: 113.240.110.0 | Sources: EMERGING_THREATS</t>
        </is>
      </c>
      <c r="D2047" t="n">
        <v>6.5</v>
      </c>
      <c r="E2047" t="inlineStr">
        <is>
          <t>HIGH</t>
        </is>
      </c>
      <c r="F2047" t="n">
        <v>3</v>
      </c>
      <c r="G2047" t="n">
        <v>2</v>
      </c>
      <c r="H2047" t="inlineStr">
        <is>
          <t>HIGH</t>
        </is>
      </c>
      <c r="I2047" t="n">
        <v>12.5</v>
      </c>
      <c r="J2047" t="inlineStr">
        <is>
          <t>NO</t>
        </is>
      </c>
      <c r="K2047" t="inlineStr">
        <is>
          <t>2026-02-26 00:15</t>
        </is>
      </c>
      <c r="L2047" t="inlineStr">
        <is>
          <t>Block IP</t>
        </is>
      </c>
      <c r="M2047" t="inlineStr">
        <is>
          <t>Network perimeter</t>
        </is>
      </c>
      <c r="N2047" t="inlineStr">
        <is>
          <t>P3</t>
        </is>
      </c>
      <c r="O2047" t="inlineStr">
        <is>
          <t>Check ip-api.com + AbuseIPDB for context</t>
        </is>
      </c>
      <c r="P2047" t="n">
        <v>0</v>
      </c>
      <c r="Q2047" t="n">
        <v>0</v>
      </c>
      <c r="R2047" t="inlineStr">
        <is>
          <t>T1110:Brute Force | T1190:Exploit Public-Facing Application</t>
        </is>
      </c>
      <c r="S2047" t="n">
        <v>1</v>
      </c>
      <c r="T2047" t="inlineStr">
        <is>
          <t>LOW (40%)</t>
        </is>
      </c>
      <c r="U2047" t="inlineStr">
        <is>
          <t>NONE</t>
        </is>
      </c>
      <c r="V2047" t="inlineStr">
        <is>
          <t>NONE</t>
        </is>
      </c>
      <c r="W2047" t="inlineStr">
        <is>
          <t>NONE</t>
        </is>
      </c>
      <c r="X2047" t="inlineStr">
        <is>
          <t>NONE</t>
        </is>
      </c>
      <c r="Y2047" t="n">
        <v>0</v>
      </c>
      <c r="Z2047" t="inlineStr"/>
      <c r="AA2047" t="inlineStr">
        <is>
          <t>https://rules.emergingthreats.net/</t>
        </is>
      </c>
    </row>
    <row r="2048">
      <c r="A2048" t="inlineStr">
        <is>
          <t>EMERGING_THREAT_IP</t>
        </is>
      </c>
      <c r="B2048" t="inlineStr">
        <is>
          <t>2bc8ac825e6b</t>
        </is>
      </c>
      <c r="C2048" t="inlineStr">
        <is>
          <t>Emerging Threats Compromised IP: 114.246.36.108 | Sources: EMERGING_THREATS</t>
        </is>
      </c>
      <c r="D2048" t="n">
        <v>6.5</v>
      </c>
      <c r="E2048" t="inlineStr">
        <is>
          <t>HIGH</t>
        </is>
      </c>
      <c r="F2048" t="n">
        <v>3</v>
      </c>
      <c r="G2048" t="n">
        <v>2</v>
      </c>
      <c r="H2048" t="inlineStr">
        <is>
          <t>HIGH</t>
        </is>
      </c>
      <c r="I2048" t="n">
        <v>12.5</v>
      </c>
      <c r="J2048" t="inlineStr">
        <is>
          <t>NO</t>
        </is>
      </c>
      <c r="K2048" t="inlineStr">
        <is>
          <t>2026-02-26 00:15</t>
        </is>
      </c>
      <c r="L2048" t="inlineStr">
        <is>
          <t>Block IP</t>
        </is>
      </c>
      <c r="M2048" t="inlineStr">
        <is>
          <t>Network perimeter</t>
        </is>
      </c>
      <c r="N2048" t="inlineStr">
        <is>
          <t>P3</t>
        </is>
      </c>
      <c r="O2048" t="inlineStr">
        <is>
          <t>Check ip-api.com + AbuseIPDB for context</t>
        </is>
      </c>
      <c r="P2048" t="n">
        <v>0</v>
      </c>
      <c r="Q2048" t="n">
        <v>0</v>
      </c>
      <c r="R2048" t="inlineStr">
        <is>
          <t>T1110:Brute Force | T1190:Exploit Public-Facing Application</t>
        </is>
      </c>
      <c r="S2048" t="n">
        <v>1</v>
      </c>
      <c r="T2048" t="inlineStr">
        <is>
          <t>LOW (40%)</t>
        </is>
      </c>
      <c r="U2048" t="inlineStr">
        <is>
          <t>NONE</t>
        </is>
      </c>
      <c r="V2048" t="inlineStr">
        <is>
          <t>NONE</t>
        </is>
      </c>
      <c r="W2048" t="inlineStr">
        <is>
          <t>NONE</t>
        </is>
      </c>
      <c r="X2048" t="inlineStr">
        <is>
          <t>NONE</t>
        </is>
      </c>
      <c r="Y2048" t="n">
        <v>0</v>
      </c>
      <c r="Z2048" t="inlineStr"/>
      <c r="AA2048" t="inlineStr">
        <is>
          <t>https://rules.emergingthreats.net/</t>
        </is>
      </c>
    </row>
    <row r="2049">
      <c r="A2049" t="inlineStr">
        <is>
          <t>EMERGING_THREAT_IP</t>
        </is>
      </c>
      <c r="B2049" t="inlineStr">
        <is>
          <t>0d9c0ca40d1b</t>
        </is>
      </c>
      <c r="C2049" t="inlineStr">
        <is>
          <t>Emerging Threats Compromised IP: 115.140.161.61 | Sources: EMERGING_THREATS</t>
        </is>
      </c>
      <c r="D2049" t="n">
        <v>6.5</v>
      </c>
      <c r="E2049" t="inlineStr">
        <is>
          <t>HIGH</t>
        </is>
      </c>
      <c r="F2049" t="n">
        <v>3</v>
      </c>
      <c r="G2049" t="n">
        <v>2</v>
      </c>
      <c r="H2049" t="inlineStr">
        <is>
          <t>HIGH</t>
        </is>
      </c>
      <c r="I2049" t="n">
        <v>12.5</v>
      </c>
      <c r="J2049" t="inlineStr">
        <is>
          <t>NO</t>
        </is>
      </c>
      <c r="K2049" t="inlineStr">
        <is>
          <t>2026-02-26 00:15</t>
        </is>
      </c>
      <c r="L2049" t="inlineStr">
        <is>
          <t>Block IP</t>
        </is>
      </c>
      <c r="M2049" t="inlineStr">
        <is>
          <t>Network perimeter</t>
        </is>
      </c>
      <c r="N2049" t="inlineStr">
        <is>
          <t>P3</t>
        </is>
      </c>
      <c r="O2049" t="inlineStr">
        <is>
          <t>Check ip-api.com + AbuseIPDB for context</t>
        </is>
      </c>
      <c r="P2049" t="n">
        <v>0</v>
      </c>
      <c r="Q2049" t="n">
        <v>0</v>
      </c>
      <c r="R2049" t="inlineStr">
        <is>
          <t>T1110:Brute Force | T1190:Exploit Public-Facing Application</t>
        </is>
      </c>
      <c r="S2049" t="n">
        <v>1</v>
      </c>
      <c r="T2049" t="inlineStr">
        <is>
          <t>LOW (40%)</t>
        </is>
      </c>
      <c r="U2049" t="inlineStr">
        <is>
          <t>NONE</t>
        </is>
      </c>
      <c r="V2049" t="inlineStr">
        <is>
          <t>NONE</t>
        </is>
      </c>
      <c r="W2049" t="inlineStr">
        <is>
          <t>NONE</t>
        </is>
      </c>
      <c r="X2049" t="inlineStr">
        <is>
          <t>NONE</t>
        </is>
      </c>
      <c r="Y2049" t="n">
        <v>0</v>
      </c>
      <c r="Z2049" t="inlineStr"/>
      <c r="AA2049" t="inlineStr">
        <is>
          <t>https://rules.emergingthreats.net/</t>
        </is>
      </c>
    </row>
    <row r="2050">
      <c r="A2050" t="inlineStr">
        <is>
          <t>EMERGING_THREAT_IP</t>
        </is>
      </c>
      <c r="B2050" t="inlineStr">
        <is>
          <t>b193ce1c8118</t>
        </is>
      </c>
      <c r="C2050" t="inlineStr">
        <is>
          <t>Emerging Threats Compromised IP: 115.160.79.71 | Sources: EMERGING_THREATS</t>
        </is>
      </c>
      <c r="D2050" t="n">
        <v>6.5</v>
      </c>
      <c r="E2050" t="inlineStr">
        <is>
          <t>HIGH</t>
        </is>
      </c>
      <c r="F2050" t="n">
        <v>3</v>
      </c>
      <c r="G2050" t="n">
        <v>2</v>
      </c>
      <c r="H2050" t="inlineStr">
        <is>
          <t>HIGH</t>
        </is>
      </c>
      <c r="I2050" t="n">
        <v>12.5</v>
      </c>
      <c r="J2050" t="inlineStr">
        <is>
          <t>NO</t>
        </is>
      </c>
      <c r="K2050" t="inlineStr">
        <is>
          <t>2026-02-26 00:15</t>
        </is>
      </c>
      <c r="L2050" t="inlineStr">
        <is>
          <t>Block IP</t>
        </is>
      </c>
      <c r="M2050" t="inlineStr">
        <is>
          <t>Network perimeter</t>
        </is>
      </c>
      <c r="N2050" t="inlineStr">
        <is>
          <t>P3</t>
        </is>
      </c>
      <c r="O2050" t="inlineStr">
        <is>
          <t>Check ip-api.com + AbuseIPDB for context</t>
        </is>
      </c>
      <c r="P2050" t="n">
        <v>0</v>
      </c>
      <c r="Q2050" t="n">
        <v>0</v>
      </c>
      <c r="R2050" t="inlineStr">
        <is>
          <t>T1110:Brute Force | T1190:Exploit Public-Facing Application</t>
        </is>
      </c>
      <c r="S2050" t="n">
        <v>1</v>
      </c>
      <c r="T2050" t="inlineStr">
        <is>
          <t>LOW (40%)</t>
        </is>
      </c>
      <c r="U2050" t="inlineStr">
        <is>
          <t>NONE</t>
        </is>
      </c>
      <c r="V2050" t="inlineStr">
        <is>
          <t>NONE</t>
        </is>
      </c>
      <c r="W2050" t="inlineStr">
        <is>
          <t>NONE</t>
        </is>
      </c>
      <c r="X2050" t="inlineStr">
        <is>
          <t>NONE</t>
        </is>
      </c>
      <c r="Y2050" t="n">
        <v>0</v>
      </c>
      <c r="Z2050" t="inlineStr"/>
      <c r="AA2050" t="inlineStr">
        <is>
          <t>https://rules.emergingthreats.net/</t>
        </is>
      </c>
    </row>
    <row r="2051">
      <c r="A2051" t="inlineStr">
        <is>
          <t>EMERGING_THREAT_IP</t>
        </is>
      </c>
      <c r="B2051" t="inlineStr">
        <is>
          <t>98108d97a1e0</t>
        </is>
      </c>
      <c r="C2051" t="inlineStr">
        <is>
          <t>Emerging Threats Compromised IP: 115.190.14.206 | Sources: EMERGING_THREATS</t>
        </is>
      </c>
      <c r="D2051" t="n">
        <v>6.5</v>
      </c>
      <c r="E2051" t="inlineStr">
        <is>
          <t>HIGH</t>
        </is>
      </c>
      <c r="F2051" t="n">
        <v>3</v>
      </c>
      <c r="G2051" t="n">
        <v>2</v>
      </c>
      <c r="H2051" t="inlineStr">
        <is>
          <t>HIGH</t>
        </is>
      </c>
      <c r="I2051" t="n">
        <v>12.5</v>
      </c>
      <c r="J2051" t="inlineStr">
        <is>
          <t>NO</t>
        </is>
      </c>
      <c r="K2051" t="inlineStr">
        <is>
          <t>2026-02-26 00:15</t>
        </is>
      </c>
      <c r="L2051" t="inlineStr">
        <is>
          <t>Block IP</t>
        </is>
      </c>
      <c r="M2051" t="inlineStr">
        <is>
          <t>Network perimeter</t>
        </is>
      </c>
      <c r="N2051" t="inlineStr">
        <is>
          <t>P3</t>
        </is>
      </c>
      <c r="O2051" t="inlineStr">
        <is>
          <t>Check ip-api.com + AbuseIPDB for context</t>
        </is>
      </c>
      <c r="P2051" t="n">
        <v>0</v>
      </c>
      <c r="Q2051" t="n">
        <v>0</v>
      </c>
      <c r="R2051" t="inlineStr">
        <is>
          <t>T1110:Brute Force | T1190:Exploit Public-Facing Application</t>
        </is>
      </c>
      <c r="S2051" t="n">
        <v>1</v>
      </c>
      <c r="T2051" t="inlineStr">
        <is>
          <t>LOW (40%)</t>
        </is>
      </c>
      <c r="U2051" t="inlineStr">
        <is>
          <t>NONE</t>
        </is>
      </c>
      <c r="V2051" t="inlineStr">
        <is>
          <t>NONE</t>
        </is>
      </c>
      <c r="W2051" t="inlineStr">
        <is>
          <t>NONE</t>
        </is>
      </c>
      <c r="X2051" t="inlineStr">
        <is>
          <t>NONE</t>
        </is>
      </c>
      <c r="Y2051" t="n">
        <v>0</v>
      </c>
      <c r="Z2051" t="inlineStr"/>
      <c r="AA2051" t="inlineStr">
        <is>
          <t>https://rules.emergingthreats.net/</t>
        </is>
      </c>
    </row>
    <row r="2052">
      <c r="A2052" t="inlineStr">
        <is>
          <t>EMERGING_THREAT_IP</t>
        </is>
      </c>
      <c r="B2052" t="inlineStr">
        <is>
          <t>f6a22beb1877</t>
        </is>
      </c>
      <c r="C2052" t="inlineStr">
        <is>
          <t>Emerging Threats Compromised IP: 115.190.20.70 | Sources: EMERGING_THREATS</t>
        </is>
      </c>
      <c r="D2052" t="n">
        <v>6.5</v>
      </c>
      <c r="E2052" t="inlineStr">
        <is>
          <t>HIGH</t>
        </is>
      </c>
      <c r="F2052" t="n">
        <v>3</v>
      </c>
      <c r="G2052" t="n">
        <v>2</v>
      </c>
      <c r="H2052" t="inlineStr">
        <is>
          <t>HIGH</t>
        </is>
      </c>
      <c r="I2052" t="n">
        <v>12.5</v>
      </c>
      <c r="J2052" t="inlineStr">
        <is>
          <t>NO</t>
        </is>
      </c>
      <c r="K2052" t="inlineStr">
        <is>
          <t>2026-02-26 00:15</t>
        </is>
      </c>
      <c r="L2052" t="inlineStr">
        <is>
          <t>Block IP</t>
        </is>
      </c>
      <c r="M2052" t="inlineStr">
        <is>
          <t>Network perimeter</t>
        </is>
      </c>
      <c r="N2052" t="inlineStr">
        <is>
          <t>P3</t>
        </is>
      </c>
      <c r="O2052" t="inlineStr">
        <is>
          <t>Check ip-api.com + AbuseIPDB for context</t>
        </is>
      </c>
      <c r="P2052" t="n">
        <v>0</v>
      </c>
      <c r="Q2052" t="n">
        <v>0</v>
      </c>
      <c r="R2052" t="inlineStr">
        <is>
          <t>T1110:Brute Force | T1190:Exploit Public-Facing Application</t>
        </is>
      </c>
      <c r="S2052" t="n">
        <v>1</v>
      </c>
      <c r="T2052" t="inlineStr">
        <is>
          <t>LOW (40%)</t>
        </is>
      </c>
      <c r="U2052" t="inlineStr">
        <is>
          <t>NONE</t>
        </is>
      </c>
      <c r="V2052" t="inlineStr">
        <is>
          <t>NONE</t>
        </is>
      </c>
      <c r="W2052" t="inlineStr">
        <is>
          <t>NONE</t>
        </is>
      </c>
      <c r="X2052" t="inlineStr">
        <is>
          <t>NONE</t>
        </is>
      </c>
      <c r="Y2052" t="n">
        <v>0</v>
      </c>
      <c r="Z2052" t="inlineStr"/>
      <c r="AA2052" t="inlineStr">
        <is>
          <t>https://rules.emergingthreats.net/</t>
        </is>
      </c>
    </row>
    <row r="2053">
      <c r="A2053" t="inlineStr">
        <is>
          <t>EMERGING_THREAT_IP</t>
        </is>
      </c>
      <c r="B2053" t="inlineStr">
        <is>
          <t>601857c09b38</t>
        </is>
      </c>
      <c r="C2053" t="inlineStr">
        <is>
          <t>Emerging Threats Compromised IP: 115.190.87.147 | Sources: EMERGING_THREATS</t>
        </is>
      </c>
      <c r="D2053" t="n">
        <v>6.5</v>
      </c>
      <c r="E2053" t="inlineStr">
        <is>
          <t>HIGH</t>
        </is>
      </c>
      <c r="F2053" t="n">
        <v>3</v>
      </c>
      <c r="G2053" t="n">
        <v>2</v>
      </c>
      <c r="H2053" t="inlineStr">
        <is>
          <t>HIGH</t>
        </is>
      </c>
      <c r="I2053" t="n">
        <v>12.5</v>
      </c>
      <c r="J2053" t="inlineStr">
        <is>
          <t>NO</t>
        </is>
      </c>
      <c r="K2053" t="inlineStr">
        <is>
          <t>2026-02-26 00:15</t>
        </is>
      </c>
      <c r="L2053" t="inlineStr">
        <is>
          <t>Block IP</t>
        </is>
      </c>
      <c r="M2053" t="inlineStr">
        <is>
          <t>Network perimeter</t>
        </is>
      </c>
      <c r="N2053" t="inlineStr">
        <is>
          <t>P3</t>
        </is>
      </c>
      <c r="O2053" t="inlineStr">
        <is>
          <t>Check ip-api.com + AbuseIPDB for context</t>
        </is>
      </c>
      <c r="P2053" t="n">
        <v>0</v>
      </c>
      <c r="Q2053" t="n">
        <v>0</v>
      </c>
      <c r="R2053" t="inlineStr">
        <is>
          <t>T1110:Brute Force | T1190:Exploit Public-Facing Application</t>
        </is>
      </c>
      <c r="S2053" t="n">
        <v>1</v>
      </c>
      <c r="T2053" t="inlineStr">
        <is>
          <t>LOW (40%)</t>
        </is>
      </c>
      <c r="U2053" t="inlineStr">
        <is>
          <t>NONE</t>
        </is>
      </c>
      <c r="V2053" t="inlineStr">
        <is>
          <t>NONE</t>
        </is>
      </c>
      <c r="W2053" t="inlineStr">
        <is>
          <t>NONE</t>
        </is>
      </c>
      <c r="X2053" t="inlineStr">
        <is>
          <t>NONE</t>
        </is>
      </c>
      <c r="Y2053" t="n">
        <v>0</v>
      </c>
      <c r="Z2053" t="inlineStr"/>
      <c r="AA2053" t="inlineStr">
        <is>
          <t>https://rules.emergingthreats.net/</t>
        </is>
      </c>
    </row>
    <row r="2054">
      <c r="A2054" t="inlineStr">
        <is>
          <t>EMERGING_THREAT_IP</t>
        </is>
      </c>
      <c r="B2054" t="inlineStr">
        <is>
          <t>a39bf180eb6c</t>
        </is>
      </c>
      <c r="C2054" t="inlineStr">
        <is>
          <t>Emerging Threats Compromised IP: 115.245.162.218 | Sources: EMERGING_THREATS</t>
        </is>
      </c>
      <c r="D2054" t="n">
        <v>6.5</v>
      </c>
      <c r="E2054" t="inlineStr">
        <is>
          <t>HIGH</t>
        </is>
      </c>
      <c r="F2054" t="n">
        <v>3</v>
      </c>
      <c r="G2054" t="n">
        <v>2</v>
      </c>
      <c r="H2054" t="inlineStr">
        <is>
          <t>HIGH</t>
        </is>
      </c>
      <c r="I2054" t="n">
        <v>12.5</v>
      </c>
      <c r="J2054" t="inlineStr">
        <is>
          <t>NO</t>
        </is>
      </c>
      <c r="K2054" t="inlineStr">
        <is>
          <t>2026-02-26 00:15</t>
        </is>
      </c>
      <c r="L2054" t="inlineStr">
        <is>
          <t>Block IP</t>
        </is>
      </c>
      <c r="M2054" t="inlineStr">
        <is>
          <t>Network perimeter</t>
        </is>
      </c>
      <c r="N2054" t="inlineStr">
        <is>
          <t>P3</t>
        </is>
      </c>
      <c r="O2054" t="inlineStr">
        <is>
          <t>Check ip-api.com + AbuseIPDB for context</t>
        </is>
      </c>
      <c r="P2054" t="n">
        <v>0</v>
      </c>
      <c r="Q2054" t="n">
        <v>0</v>
      </c>
      <c r="R2054" t="inlineStr">
        <is>
          <t>T1110:Brute Force | T1190:Exploit Public-Facing Application</t>
        </is>
      </c>
      <c r="S2054" t="n">
        <v>1</v>
      </c>
      <c r="T2054" t="inlineStr">
        <is>
          <t>LOW (40%)</t>
        </is>
      </c>
      <c r="U2054" t="inlineStr">
        <is>
          <t>NONE</t>
        </is>
      </c>
      <c r="V2054" t="inlineStr">
        <is>
          <t>NONE</t>
        </is>
      </c>
      <c r="W2054" t="inlineStr">
        <is>
          <t>NONE</t>
        </is>
      </c>
      <c r="X2054" t="inlineStr">
        <is>
          <t>NONE</t>
        </is>
      </c>
      <c r="Y2054" t="n">
        <v>0</v>
      </c>
      <c r="Z2054" t="inlineStr"/>
      <c r="AA2054" t="inlineStr">
        <is>
          <t>https://rules.emergingthreats.net/</t>
        </is>
      </c>
    </row>
    <row r="2055">
      <c r="A2055" t="inlineStr">
        <is>
          <t>EMERGING_THREAT_IP</t>
        </is>
      </c>
      <c r="B2055" t="inlineStr">
        <is>
          <t>c251342adada</t>
        </is>
      </c>
      <c r="C2055" t="inlineStr">
        <is>
          <t>Emerging Threats Compromised IP: 116.110.13.198 | Sources: EMERGING_THREATS</t>
        </is>
      </c>
      <c r="D2055" t="n">
        <v>6.5</v>
      </c>
      <c r="E2055" t="inlineStr">
        <is>
          <t>HIGH</t>
        </is>
      </c>
      <c r="F2055" t="n">
        <v>3</v>
      </c>
      <c r="G2055" t="n">
        <v>2</v>
      </c>
      <c r="H2055" t="inlineStr">
        <is>
          <t>HIGH</t>
        </is>
      </c>
      <c r="I2055" t="n">
        <v>12.5</v>
      </c>
      <c r="J2055" t="inlineStr">
        <is>
          <t>NO</t>
        </is>
      </c>
      <c r="K2055" t="inlineStr">
        <is>
          <t>2026-02-26 00:15</t>
        </is>
      </c>
      <c r="L2055" t="inlineStr">
        <is>
          <t>Block IP</t>
        </is>
      </c>
      <c r="M2055" t="inlineStr">
        <is>
          <t>Network perimeter</t>
        </is>
      </c>
      <c r="N2055" t="inlineStr">
        <is>
          <t>P3</t>
        </is>
      </c>
      <c r="O2055" t="inlineStr">
        <is>
          <t>Check ip-api.com + AbuseIPDB for context</t>
        </is>
      </c>
      <c r="P2055" t="n">
        <v>0</v>
      </c>
      <c r="Q2055" t="n">
        <v>0</v>
      </c>
      <c r="R2055" t="inlineStr">
        <is>
          <t>T1110:Brute Force | T1190:Exploit Public-Facing Application</t>
        </is>
      </c>
      <c r="S2055" t="n">
        <v>1</v>
      </c>
      <c r="T2055" t="inlineStr">
        <is>
          <t>LOW (40%)</t>
        </is>
      </c>
      <c r="U2055" t="inlineStr">
        <is>
          <t>NONE</t>
        </is>
      </c>
      <c r="V2055" t="inlineStr">
        <is>
          <t>NONE</t>
        </is>
      </c>
      <c r="W2055" t="inlineStr">
        <is>
          <t>NONE</t>
        </is>
      </c>
      <c r="X2055" t="inlineStr">
        <is>
          <t>NONE</t>
        </is>
      </c>
      <c r="Y2055" t="n">
        <v>0</v>
      </c>
      <c r="Z2055" t="inlineStr"/>
      <c r="AA2055" t="inlineStr">
        <is>
          <t>https://rules.emergingthreats.net/</t>
        </is>
      </c>
    </row>
    <row r="2056">
      <c r="A2056" t="inlineStr">
        <is>
          <t>EMERGING_THREAT_IP</t>
        </is>
      </c>
      <c r="B2056" t="inlineStr">
        <is>
          <t>689af0729f7f</t>
        </is>
      </c>
      <c r="C2056" t="inlineStr">
        <is>
          <t>Emerging Threats Compromised IP: 116.110.146.223 | Sources: EMERGING_THREATS</t>
        </is>
      </c>
      <c r="D2056" t="n">
        <v>6.5</v>
      </c>
      <c r="E2056" t="inlineStr">
        <is>
          <t>HIGH</t>
        </is>
      </c>
      <c r="F2056" t="n">
        <v>3</v>
      </c>
      <c r="G2056" t="n">
        <v>2</v>
      </c>
      <c r="H2056" t="inlineStr">
        <is>
          <t>HIGH</t>
        </is>
      </c>
      <c r="I2056" t="n">
        <v>12.5</v>
      </c>
      <c r="J2056" t="inlineStr">
        <is>
          <t>NO</t>
        </is>
      </c>
      <c r="K2056" t="inlineStr">
        <is>
          <t>2026-02-26 00:15</t>
        </is>
      </c>
      <c r="L2056" t="inlineStr">
        <is>
          <t>Block IP</t>
        </is>
      </c>
      <c r="M2056" t="inlineStr">
        <is>
          <t>Network perimeter</t>
        </is>
      </c>
      <c r="N2056" t="inlineStr">
        <is>
          <t>P3</t>
        </is>
      </c>
      <c r="O2056" t="inlineStr">
        <is>
          <t>Check ip-api.com + AbuseIPDB for context</t>
        </is>
      </c>
      <c r="P2056" t="n">
        <v>0</v>
      </c>
      <c r="Q2056" t="n">
        <v>0</v>
      </c>
      <c r="R2056" t="inlineStr">
        <is>
          <t>T1110:Brute Force | T1190:Exploit Public-Facing Application</t>
        </is>
      </c>
      <c r="S2056" t="n">
        <v>1</v>
      </c>
      <c r="T2056" t="inlineStr">
        <is>
          <t>LOW (40%)</t>
        </is>
      </c>
      <c r="U2056" t="inlineStr">
        <is>
          <t>NONE</t>
        </is>
      </c>
      <c r="V2056" t="inlineStr">
        <is>
          <t>NONE</t>
        </is>
      </c>
      <c r="W2056" t="inlineStr">
        <is>
          <t>NONE</t>
        </is>
      </c>
      <c r="X2056" t="inlineStr">
        <is>
          <t>NONE</t>
        </is>
      </c>
      <c r="Y2056" t="n">
        <v>0</v>
      </c>
      <c r="Z2056" t="inlineStr"/>
      <c r="AA2056" t="inlineStr">
        <is>
          <t>https://rules.emergingthreats.net/</t>
        </is>
      </c>
    </row>
    <row r="2057">
      <c r="A2057" t="inlineStr">
        <is>
          <t>EMERGING_THREAT_IP</t>
        </is>
      </c>
      <c r="B2057" t="inlineStr">
        <is>
          <t>b2f16ddb6fcd</t>
        </is>
      </c>
      <c r="C2057" t="inlineStr">
        <is>
          <t>Emerging Threats Compromised IP: 116.110.155.60 | Sources: EMERGING_THREATS</t>
        </is>
      </c>
      <c r="D2057" t="n">
        <v>6.5</v>
      </c>
      <c r="E2057" t="inlineStr">
        <is>
          <t>HIGH</t>
        </is>
      </c>
      <c r="F2057" t="n">
        <v>3</v>
      </c>
      <c r="G2057" t="n">
        <v>2</v>
      </c>
      <c r="H2057" t="inlineStr">
        <is>
          <t>HIGH</t>
        </is>
      </c>
      <c r="I2057" t="n">
        <v>12.5</v>
      </c>
      <c r="J2057" t="inlineStr">
        <is>
          <t>NO</t>
        </is>
      </c>
      <c r="K2057" t="inlineStr">
        <is>
          <t>2026-02-26 00:15</t>
        </is>
      </c>
      <c r="L2057" t="inlineStr">
        <is>
          <t>Block IP</t>
        </is>
      </c>
      <c r="M2057" t="inlineStr">
        <is>
          <t>Network perimeter</t>
        </is>
      </c>
      <c r="N2057" t="inlineStr">
        <is>
          <t>P3</t>
        </is>
      </c>
      <c r="O2057" t="inlineStr">
        <is>
          <t>Check ip-api.com + AbuseIPDB for context</t>
        </is>
      </c>
      <c r="P2057" t="n">
        <v>0</v>
      </c>
      <c r="Q2057" t="n">
        <v>0</v>
      </c>
      <c r="R2057" t="inlineStr">
        <is>
          <t>T1110:Brute Force | T1190:Exploit Public-Facing Application</t>
        </is>
      </c>
      <c r="S2057" t="n">
        <v>1</v>
      </c>
      <c r="T2057" t="inlineStr">
        <is>
          <t>LOW (40%)</t>
        </is>
      </c>
      <c r="U2057" t="inlineStr">
        <is>
          <t>NONE</t>
        </is>
      </c>
      <c r="V2057" t="inlineStr">
        <is>
          <t>NONE</t>
        </is>
      </c>
      <c r="W2057" t="inlineStr">
        <is>
          <t>NONE</t>
        </is>
      </c>
      <c r="X2057" t="inlineStr">
        <is>
          <t>NONE</t>
        </is>
      </c>
      <c r="Y2057" t="n">
        <v>0</v>
      </c>
      <c r="Z2057" t="inlineStr"/>
      <c r="AA2057" t="inlineStr">
        <is>
          <t>https://rules.emergingthreats.net/</t>
        </is>
      </c>
    </row>
    <row r="2058">
      <c r="A2058" t="inlineStr">
        <is>
          <t>EMERGING_THREAT_IP</t>
        </is>
      </c>
      <c r="B2058" t="inlineStr">
        <is>
          <t>e6d676090bbd</t>
        </is>
      </c>
      <c r="C2058" t="inlineStr">
        <is>
          <t>Emerging Threats Compromised IP: 116.110.212.22 | Sources: EMERGING_THREATS</t>
        </is>
      </c>
      <c r="D2058" t="n">
        <v>6.5</v>
      </c>
      <c r="E2058" t="inlineStr">
        <is>
          <t>HIGH</t>
        </is>
      </c>
      <c r="F2058" t="n">
        <v>3</v>
      </c>
      <c r="G2058" t="n">
        <v>2</v>
      </c>
      <c r="H2058" t="inlineStr">
        <is>
          <t>HIGH</t>
        </is>
      </c>
      <c r="I2058" t="n">
        <v>12.5</v>
      </c>
      <c r="J2058" t="inlineStr">
        <is>
          <t>NO</t>
        </is>
      </c>
      <c r="K2058" t="inlineStr">
        <is>
          <t>2026-02-26 00:15</t>
        </is>
      </c>
      <c r="L2058" t="inlineStr">
        <is>
          <t>Block IP</t>
        </is>
      </c>
      <c r="M2058" t="inlineStr">
        <is>
          <t>Network perimeter</t>
        </is>
      </c>
      <c r="N2058" t="inlineStr">
        <is>
          <t>P3</t>
        </is>
      </c>
      <c r="O2058" t="inlineStr">
        <is>
          <t>Check ip-api.com + AbuseIPDB for context</t>
        </is>
      </c>
      <c r="P2058" t="n">
        <v>0</v>
      </c>
      <c r="Q2058" t="n">
        <v>0</v>
      </c>
      <c r="R2058" t="inlineStr">
        <is>
          <t>T1110:Brute Force | T1190:Exploit Public-Facing Application</t>
        </is>
      </c>
      <c r="S2058" t="n">
        <v>1</v>
      </c>
      <c r="T2058" t="inlineStr">
        <is>
          <t>LOW (40%)</t>
        </is>
      </c>
      <c r="U2058" t="inlineStr">
        <is>
          <t>NONE</t>
        </is>
      </c>
      <c r="V2058" t="inlineStr">
        <is>
          <t>NONE</t>
        </is>
      </c>
      <c r="W2058" t="inlineStr">
        <is>
          <t>NONE</t>
        </is>
      </c>
      <c r="X2058" t="inlineStr">
        <is>
          <t>NONE</t>
        </is>
      </c>
      <c r="Y2058" t="n">
        <v>0</v>
      </c>
      <c r="Z2058" t="inlineStr"/>
      <c r="AA2058" t="inlineStr">
        <is>
          <t>https://rules.emergingthreats.net/</t>
        </is>
      </c>
    </row>
    <row r="2059">
      <c r="A2059" t="inlineStr">
        <is>
          <t>EMERGING_THREAT_IP</t>
        </is>
      </c>
      <c r="B2059" t="inlineStr">
        <is>
          <t>fe1a3a1be248</t>
        </is>
      </c>
      <c r="C2059" t="inlineStr">
        <is>
          <t>Emerging Threats Compromised IP: 116.110.213.68 | Sources: EMERGING_THREATS</t>
        </is>
      </c>
      <c r="D2059" t="n">
        <v>6.5</v>
      </c>
      <c r="E2059" t="inlineStr">
        <is>
          <t>HIGH</t>
        </is>
      </c>
      <c r="F2059" t="n">
        <v>3</v>
      </c>
      <c r="G2059" t="n">
        <v>2</v>
      </c>
      <c r="H2059" t="inlineStr">
        <is>
          <t>HIGH</t>
        </is>
      </c>
      <c r="I2059" t="n">
        <v>12.5</v>
      </c>
      <c r="J2059" t="inlineStr">
        <is>
          <t>NO</t>
        </is>
      </c>
      <c r="K2059" t="inlineStr">
        <is>
          <t>2026-02-26 00:15</t>
        </is>
      </c>
      <c r="L2059" t="inlineStr">
        <is>
          <t>Block IP</t>
        </is>
      </c>
      <c r="M2059" t="inlineStr">
        <is>
          <t>Network perimeter</t>
        </is>
      </c>
      <c r="N2059" t="inlineStr">
        <is>
          <t>P3</t>
        </is>
      </c>
      <c r="O2059" t="inlineStr">
        <is>
          <t>Check ip-api.com + AbuseIPDB for context</t>
        </is>
      </c>
      <c r="P2059" t="n">
        <v>0</v>
      </c>
      <c r="Q2059" t="n">
        <v>0</v>
      </c>
      <c r="R2059" t="inlineStr">
        <is>
          <t>T1110:Brute Force | T1190:Exploit Public-Facing Application</t>
        </is>
      </c>
      <c r="S2059" t="n">
        <v>1</v>
      </c>
      <c r="T2059" t="inlineStr">
        <is>
          <t>LOW (40%)</t>
        </is>
      </c>
      <c r="U2059" t="inlineStr">
        <is>
          <t>NONE</t>
        </is>
      </c>
      <c r="V2059" t="inlineStr">
        <is>
          <t>NONE</t>
        </is>
      </c>
      <c r="W2059" t="inlineStr">
        <is>
          <t>NONE</t>
        </is>
      </c>
      <c r="X2059" t="inlineStr">
        <is>
          <t>NONE</t>
        </is>
      </c>
      <c r="Y2059" t="n">
        <v>0</v>
      </c>
      <c r="Z2059" t="inlineStr"/>
      <c r="AA2059" t="inlineStr">
        <is>
          <t>https://rules.emergingthreats.net/</t>
        </is>
      </c>
    </row>
    <row r="2060">
      <c r="A2060" t="inlineStr">
        <is>
          <t>EMERGING_THREAT_IP</t>
        </is>
      </c>
      <c r="B2060" t="inlineStr">
        <is>
          <t>c3a5ec83daeb</t>
        </is>
      </c>
      <c r="C2060" t="inlineStr">
        <is>
          <t>Emerging Threats Compromised IP: 116.110.213.79 | Sources: EMERGING_THREATS</t>
        </is>
      </c>
      <c r="D2060" t="n">
        <v>6.5</v>
      </c>
      <c r="E2060" t="inlineStr">
        <is>
          <t>HIGH</t>
        </is>
      </c>
      <c r="F2060" t="n">
        <v>3</v>
      </c>
      <c r="G2060" t="n">
        <v>2</v>
      </c>
      <c r="H2060" t="inlineStr">
        <is>
          <t>HIGH</t>
        </is>
      </c>
      <c r="I2060" t="n">
        <v>12.5</v>
      </c>
      <c r="J2060" t="inlineStr">
        <is>
          <t>NO</t>
        </is>
      </c>
      <c r="K2060" t="inlineStr">
        <is>
          <t>2026-02-26 00:15</t>
        </is>
      </c>
      <c r="L2060" t="inlineStr">
        <is>
          <t>Block IP</t>
        </is>
      </c>
      <c r="M2060" t="inlineStr">
        <is>
          <t>Network perimeter</t>
        </is>
      </c>
      <c r="N2060" t="inlineStr">
        <is>
          <t>P3</t>
        </is>
      </c>
      <c r="O2060" t="inlineStr">
        <is>
          <t>Check ip-api.com + AbuseIPDB for context</t>
        </is>
      </c>
      <c r="P2060" t="n">
        <v>0</v>
      </c>
      <c r="Q2060" t="n">
        <v>0</v>
      </c>
      <c r="R2060" t="inlineStr">
        <is>
          <t>T1110:Brute Force | T1190:Exploit Public-Facing Application</t>
        </is>
      </c>
      <c r="S2060" t="n">
        <v>1</v>
      </c>
      <c r="T2060" t="inlineStr">
        <is>
          <t>LOW (40%)</t>
        </is>
      </c>
      <c r="U2060" t="inlineStr">
        <is>
          <t>NONE</t>
        </is>
      </c>
      <c r="V2060" t="inlineStr">
        <is>
          <t>NONE</t>
        </is>
      </c>
      <c r="W2060" t="inlineStr">
        <is>
          <t>NONE</t>
        </is>
      </c>
      <c r="X2060" t="inlineStr">
        <is>
          <t>NONE</t>
        </is>
      </c>
      <c r="Y2060" t="n">
        <v>0</v>
      </c>
      <c r="Z2060" t="inlineStr"/>
      <c r="AA2060" t="inlineStr">
        <is>
          <t>https://rules.emergingthreats.net/</t>
        </is>
      </c>
    </row>
    <row r="2061">
      <c r="A2061" t="inlineStr">
        <is>
          <t>EMERGING_THREAT_IP</t>
        </is>
      </c>
      <c r="B2061" t="inlineStr">
        <is>
          <t>b8c1dec11568</t>
        </is>
      </c>
      <c r="C2061" t="inlineStr">
        <is>
          <t>Emerging Threats Compromised IP: 116.110.215.164 | Sources: EMERGING_THREATS</t>
        </is>
      </c>
      <c r="D2061" t="n">
        <v>6.5</v>
      </c>
      <c r="E2061" t="inlineStr">
        <is>
          <t>HIGH</t>
        </is>
      </c>
      <c r="F2061" t="n">
        <v>3</v>
      </c>
      <c r="G2061" t="n">
        <v>2</v>
      </c>
      <c r="H2061" t="inlineStr">
        <is>
          <t>HIGH</t>
        </is>
      </c>
      <c r="I2061" t="n">
        <v>12.5</v>
      </c>
      <c r="J2061" t="inlineStr">
        <is>
          <t>NO</t>
        </is>
      </c>
      <c r="K2061" t="inlineStr">
        <is>
          <t>2026-02-26 00:15</t>
        </is>
      </c>
      <c r="L2061" t="inlineStr">
        <is>
          <t>Block IP</t>
        </is>
      </c>
      <c r="M2061" t="inlineStr">
        <is>
          <t>Network perimeter</t>
        </is>
      </c>
      <c r="N2061" t="inlineStr">
        <is>
          <t>P3</t>
        </is>
      </c>
      <c r="O2061" t="inlineStr">
        <is>
          <t>Check ip-api.com + AbuseIPDB for context</t>
        </is>
      </c>
      <c r="P2061" t="n">
        <v>0</v>
      </c>
      <c r="Q2061" t="n">
        <v>0</v>
      </c>
      <c r="R2061" t="inlineStr">
        <is>
          <t>T1110:Brute Force | T1190:Exploit Public-Facing Application</t>
        </is>
      </c>
      <c r="S2061" t="n">
        <v>1</v>
      </c>
      <c r="T2061" t="inlineStr">
        <is>
          <t>LOW (40%)</t>
        </is>
      </c>
      <c r="U2061" t="inlineStr">
        <is>
          <t>NONE</t>
        </is>
      </c>
      <c r="V2061" t="inlineStr">
        <is>
          <t>NONE</t>
        </is>
      </c>
      <c r="W2061" t="inlineStr">
        <is>
          <t>NONE</t>
        </is>
      </c>
      <c r="X2061" t="inlineStr">
        <is>
          <t>NONE</t>
        </is>
      </c>
      <c r="Y2061" t="n">
        <v>0</v>
      </c>
      <c r="Z2061" t="inlineStr"/>
      <c r="AA2061" t="inlineStr">
        <is>
          <t>https://rules.emergingthreats.net/</t>
        </is>
      </c>
    </row>
    <row r="2062">
      <c r="A2062" t="inlineStr">
        <is>
          <t>VULNCHECK_KEV</t>
        </is>
      </c>
      <c r="B2062" t="inlineStr">
        <is>
          <t>f708391a9e44</t>
        </is>
      </c>
      <c r="C2062" t="inlineStr">
        <is>
          <t>VulnCheck KEV: Fortinet FortiOS through 7.6.6 allows attackers to decrypt LDAP credentials stored in device configuration files, as exploited in the wild from 2025-12-16 through 2026 (by default, the encryption key is the same across all customers' installations). NOTE: the Supplier's position is that the instance | CVEs: CVE-2026-25815</t>
        </is>
      </c>
      <c r="D2062" t="n">
        <v>7</v>
      </c>
      <c r="E2062" t="inlineStr">
        <is>
          <t>HIGH</t>
        </is>
      </c>
      <c r="F2062" t="n">
        <v>3</v>
      </c>
      <c r="G2062" t="n">
        <v>2</v>
      </c>
      <c r="H2062" t="inlineStr">
        <is>
          <t>HIGH</t>
        </is>
      </c>
      <c r="I2062" t="n">
        <v>13</v>
      </c>
      <c r="J2062" t="inlineStr">
        <is>
          <t>YES</t>
        </is>
      </c>
      <c r="K2062" t="inlineStr"/>
      <c r="L2062" t="inlineStr">
        <is>
          <t>URGENT - actively exploited</t>
        </is>
      </c>
      <c r="M2062" t="inlineStr">
        <is>
          <t>CVE-2026-25815</t>
        </is>
      </c>
      <c r="N2062" t="inlineStr">
        <is>
          <t>P1</t>
        </is>
      </c>
      <c r="O2062" t="inlineStr">
        <is>
          <t>KEV entry - check specific CVEs for IP context</t>
        </is>
      </c>
      <c r="P2062" t="n">
        <v>0</v>
      </c>
      <c r="Q2062" t="n">
        <v>0</v>
      </c>
      <c r="R2062" t="inlineStr">
        <is>
          <t>T1190:Exploit Public-Facing Application</t>
        </is>
      </c>
      <c r="S2062" t="n">
        <v>2</v>
      </c>
      <c r="T2062" t="inlineStr">
        <is>
          <t>CONFIRMED (82%)</t>
        </is>
      </c>
      <c r="U2062" t="inlineStr">
        <is>
          <t>YES</t>
        </is>
      </c>
      <c r="V2062" t="inlineStr">
        <is>
          <t>URGENT</t>
        </is>
      </c>
      <c r="W2062" t="inlineStr">
        <is>
          <t>https://vulncheck.com/blog/vuln-check-kev</t>
        </is>
      </c>
      <c r="X2062" t="inlineStr">
        <is>
          <t>NONE</t>
        </is>
      </c>
      <c r="Y2062" t="n">
        <v>0</v>
      </c>
      <c r="Z2062" t="inlineStr"/>
      <c r="AA2062" t="inlineStr">
        <is>
          <t>https://vulncheck.com/blog/vuln-check-kev</t>
        </is>
      </c>
    </row>
    <row r="2063">
      <c r="A2063" t="inlineStr">
        <is>
          <t>VULNCHECK_KEV</t>
        </is>
      </c>
      <c r="B2063" t="inlineStr">
        <is>
          <t>b090c6c9d65f</t>
        </is>
      </c>
      <c r="C2063" t="inlineStr">
        <is>
          <t>VulnCheck KEV: OpenClaw (aka clawdbot or Moltbot) before 2026.1.29 obtains a gatewayUrl value from a query string and automatically makes a WebSocket connection without prompting, sending a token value. | CVEs: CVE-2026-25253</t>
        </is>
      </c>
      <c r="D2063" t="n">
        <v>7</v>
      </c>
      <c r="E2063" t="inlineStr">
        <is>
          <t>HIGH</t>
        </is>
      </c>
      <c r="F2063" t="n">
        <v>3</v>
      </c>
      <c r="G2063" t="n">
        <v>2</v>
      </c>
      <c r="H2063" t="inlineStr">
        <is>
          <t>HIGH</t>
        </is>
      </c>
      <c r="I2063" t="n">
        <v>13</v>
      </c>
      <c r="J2063" t="inlineStr">
        <is>
          <t>YES</t>
        </is>
      </c>
      <c r="K2063" t="inlineStr"/>
      <c r="L2063" t="inlineStr">
        <is>
          <t>URGENT - actively exploited</t>
        </is>
      </c>
      <c r="M2063" t="inlineStr">
        <is>
          <t>CVE-2026-25253</t>
        </is>
      </c>
      <c r="N2063" t="inlineStr">
        <is>
          <t>P1</t>
        </is>
      </c>
      <c r="O2063" t="inlineStr">
        <is>
          <t>KEV entry - check specific CVEs for IP context</t>
        </is>
      </c>
      <c r="P2063" t="n">
        <v>0</v>
      </c>
      <c r="Q2063" t="n">
        <v>0</v>
      </c>
      <c r="R2063" t="inlineStr">
        <is>
          <t>T1190:Exploit Public-Facing Application</t>
        </is>
      </c>
      <c r="S2063" t="n">
        <v>2</v>
      </c>
      <c r="T2063" t="inlineStr">
        <is>
          <t>CONFIRMED (82%)</t>
        </is>
      </c>
      <c r="U2063" t="inlineStr">
        <is>
          <t>YES</t>
        </is>
      </c>
      <c r="V2063" t="inlineStr">
        <is>
          <t>URGENT</t>
        </is>
      </c>
      <c r="W2063" t="inlineStr">
        <is>
          <t>https://vulncheck.com/blog/vuln-check-kev</t>
        </is>
      </c>
      <c r="X2063" t="inlineStr">
        <is>
          <t>NONE</t>
        </is>
      </c>
      <c r="Y2063" t="n">
        <v>0</v>
      </c>
      <c r="Z2063" t="inlineStr"/>
      <c r="AA2063" t="inlineStr">
        <is>
          <t>https://vulncheck.com/blog/vuln-check-kev</t>
        </is>
      </c>
    </row>
    <row r="2064">
      <c r="A2064" t="inlineStr">
        <is>
          <t>VULNCHECK_KEV</t>
        </is>
      </c>
      <c r="B2064" t="inlineStr">
        <is>
          <t>cee91b1f674c</t>
        </is>
      </c>
      <c r="C2064" t="inlineStr">
        <is>
          <t>VulnCheck KEV: Soliton Systems K.K FileZen contains an OS command injection vulnerability when an user logs-in to the affected product and sends a specially crafted HTTP request. | CVEs: CVE-2026-25108</t>
        </is>
      </c>
      <c r="D2064" t="n">
        <v>7</v>
      </c>
      <c r="E2064" t="inlineStr">
        <is>
          <t>HIGH</t>
        </is>
      </c>
      <c r="F2064" t="n">
        <v>3</v>
      </c>
      <c r="G2064" t="n">
        <v>2</v>
      </c>
      <c r="H2064" t="inlineStr">
        <is>
          <t>HIGH</t>
        </is>
      </c>
      <c r="I2064" t="n">
        <v>13</v>
      </c>
      <c r="J2064" t="inlineStr">
        <is>
          <t>YES</t>
        </is>
      </c>
      <c r="K2064" t="inlineStr"/>
      <c r="L2064" t="inlineStr">
        <is>
          <t>URGENT - actively exploited</t>
        </is>
      </c>
      <c r="M2064" t="inlineStr">
        <is>
          <t>CVE-2026-25108</t>
        </is>
      </c>
      <c r="N2064" t="inlineStr">
        <is>
          <t>P1</t>
        </is>
      </c>
      <c r="O2064" t="inlineStr">
        <is>
          <t>KEV entry - check specific CVEs for IP context</t>
        </is>
      </c>
      <c r="P2064" t="n">
        <v>0</v>
      </c>
      <c r="Q2064" t="n">
        <v>0</v>
      </c>
      <c r="R2064" t="inlineStr">
        <is>
          <t>T1190:Exploit Public-Facing Application</t>
        </is>
      </c>
      <c r="S2064" t="n">
        <v>2</v>
      </c>
      <c r="T2064" t="inlineStr">
        <is>
          <t>CONFIRMED (82%)</t>
        </is>
      </c>
      <c r="U2064" t="inlineStr">
        <is>
          <t>YES</t>
        </is>
      </c>
      <c r="V2064" t="inlineStr">
        <is>
          <t>URGENT</t>
        </is>
      </c>
      <c r="W2064" t="inlineStr">
        <is>
          <t>https://vulncheck.com/blog/vuln-check-kev</t>
        </is>
      </c>
      <c r="X2064" t="inlineStr">
        <is>
          <t>NONE</t>
        </is>
      </c>
      <c r="Y2064" t="n">
        <v>0</v>
      </c>
      <c r="Z2064" t="inlineStr"/>
      <c r="AA2064" t="inlineStr">
        <is>
          <t>https://vulncheck.com/blog/vuln-check-kev</t>
        </is>
      </c>
    </row>
    <row r="2065">
      <c r="A2065" t="inlineStr">
        <is>
          <t>VULNCHECK_KEV</t>
        </is>
      </c>
      <c r="B2065" t="inlineStr">
        <is>
          <t>5b14f44ef18f</t>
        </is>
      </c>
      <c r="C2065" t="inlineStr">
        <is>
          <t>VulnCheck KEV: Fortinet FortiAnalyzer, FortiManager, FortiOS, and FortiProxy contain an authentication bypass using an alternate path or channel that could allow an attacker with a FortiCloud account and a registered device to log into other devices registered to other accounts, if FortiCloud SSO authentication is | CVEs: CVE-2026-24858</t>
        </is>
      </c>
      <c r="D2065" t="n">
        <v>7</v>
      </c>
      <c r="E2065" t="inlineStr">
        <is>
          <t>HIGH</t>
        </is>
      </c>
      <c r="F2065" t="n">
        <v>3</v>
      </c>
      <c r="G2065" t="n">
        <v>2</v>
      </c>
      <c r="H2065" t="inlineStr">
        <is>
          <t>HIGH</t>
        </is>
      </c>
      <c r="I2065" t="n">
        <v>13</v>
      </c>
      <c r="J2065" t="inlineStr">
        <is>
          <t>YES</t>
        </is>
      </c>
      <c r="K2065" t="inlineStr"/>
      <c r="L2065" t="inlineStr">
        <is>
          <t>URGENT - actively exploited</t>
        </is>
      </c>
      <c r="M2065" t="inlineStr">
        <is>
          <t>CVE-2026-24858</t>
        </is>
      </c>
      <c r="N2065" t="inlineStr">
        <is>
          <t>P1</t>
        </is>
      </c>
      <c r="O2065" t="inlineStr">
        <is>
          <t>KEV entry - check specific CVEs for IP context</t>
        </is>
      </c>
      <c r="P2065" t="n">
        <v>0</v>
      </c>
      <c r="Q2065" t="n">
        <v>0</v>
      </c>
      <c r="R2065" t="inlineStr">
        <is>
          <t>T1190:Exploit Public-Facing Application</t>
        </is>
      </c>
      <c r="S2065" t="n">
        <v>2</v>
      </c>
      <c r="T2065" t="inlineStr">
        <is>
          <t>CONFIRMED (82%)</t>
        </is>
      </c>
      <c r="U2065" t="inlineStr">
        <is>
          <t>YES</t>
        </is>
      </c>
      <c r="V2065" t="inlineStr">
        <is>
          <t>URGENT</t>
        </is>
      </c>
      <c r="W2065" t="inlineStr">
        <is>
          <t>https://vulncheck.com/blog/vuln-check-kev</t>
        </is>
      </c>
      <c r="X2065" t="inlineStr">
        <is>
          <t>NONE</t>
        </is>
      </c>
      <c r="Y2065" t="n">
        <v>0</v>
      </c>
      <c r="Z2065" t="inlineStr"/>
      <c r="AA2065" t="inlineStr">
        <is>
          <t>https://vulncheck.com/blog/vuln-check-kev</t>
        </is>
      </c>
    </row>
    <row r="2066">
      <c r="A2066" t="inlineStr">
        <is>
          <t>VULNCHECK_KEV</t>
        </is>
      </c>
      <c r="B2066" t="inlineStr">
        <is>
          <t>7216a4375bca</t>
        </is>
      </c>
      <c r="C2066" t="inlineStr">
        <is>
          <t>VulnCheck KEV: SmarterTools SmarterMail contains a missing authentication for critical function vulnerability in the ConnectToHub API method. This could allow the attacker to point the SmarterMail instance to a malicious HTTP server which serves the malicious OS command and could lead to command execution.  | CVEs: CVE-2026-24423</t>
        </is>
      </c>
      <c r="D2066" t="n">
        <v>7</v>
      </c>
      <c r="E2066" t="inlineStr">
        <is>
          <t>HIGH</t>
        </is>
      </c>
      <c r="F2066" t="n">
        <v>3</v>
      </c>
      <c r="G2066" t="n">
        <v>2</v>
      </c>
      <c r="H2066" t="inlineStr">
        <is>
          <t>HIGH</t>
        </is>
      </c>
      <c r="I2066" t="n">
        <v>13</v>
      </c>
      <c r="J2066" t="inlineStr">
        <is>
          <t>YES</t>
        </is>
      </c>
      <c r="K2066" t="inlineStr"/>
      <c r="L2066" t="inlineStr">
        <is>
          <t>URGENT - actively exploited</t>
        </is>
      </c>
      <c r="M2066" t="inlineStr">
        <is>
          <t>CVE-2026-24423</t>
        </is>
      </c>
      <c r="N2066" t="inlineStr">
        <is>
          <t>P1</t>
        </is>
      </c>
      <c r="O2066" t="inlineStr">
        <is>
          <t>KEV entry - check specific CVEs for IP context</t>
        </is>
      </c>
      <c r="P2066" t="n">
        <v>0</v>
      </c>
      <c r="Q2066" t="n">
        <v>0</v>
      </c>
      <c r="R2066" t="inlineStr">
        <is>
          <t>T1190:Exploit Public-Facing Application</t>
        </is>
      </c>
      <c r="S2066" t="n">
        <v>2</v>
      </c>
      <c r="T2066" t="inlineStr">
        <is>
          <t>CONFIRMED (82%)</t>
        </is>
      </c>
      <c r="U2066" t="inlineStr">
        <is>
          <t>YES</t>
        </is>
      </c>
      <c r="V2066" t="inlineStr">
        <is>
          <t>URGENT</t>
        </is>
      </c>
      <c r="W2066" t="inlineStr">
        <is>
          <t>https://vulncheck.com/blog/vuln-check-kev</t>
        </is>
      </c>
      <c r="X2066" t="inlineStr">
        <is>
          <t>NONE</t>
        </is>
      </c>
      <c r="Y2066" t="n">
        <v>0</v>
      </c>
      <c r="Z2066" t="inlineStr"/>
      <c r="AA2066" t="inlineStr">
        <is>
          <t>https://vulncheck.com/blog/vuln-check-kev</t>
        </is>
      </c>
    </row>
    <row r="2067">
      <c r="A2067" t="inlineStr">
        <is>
          <t>VULNCHECK_KEV</t>
        </is>
      </c>
      <c r="B2067" t="inlineStr">
        <is>
          <t>792e86d42368</t>
        </is>
      </c>
      <c r="C2067" t="inlineStr">
        <is>
          <t>VulnCheck KEV: Google Chromium CSS contains a use-after-free vulnerability that could allow a remote attacker to potentially exploit heap corruption via a crafted HTML page. This vulnerability could affect multiple web browsers that utilize Chromium, including, but not limited to, Google Chrome, Microsoft Edge, an | CVEs: CVE-2026-2441</t>
        </is>
      </c>
      <c r="D2067" t="n">
        <v>7</v>
      </c>
      <c r="E2067" t="inlineStr">
        <is>
          <t>HIGH</t>
        </is>
      </c>
      <c r="F2067" t="n">
        <v>3</v>
      </c>
      <c r="G2067" t="n">
        <v>2</v>
      </c>
      <c r="H2067" t="inlineStr">
        <is>
          <t>HIGH</t>
        </is>
      </c>
      <c r="I2067" t="n">
        <v>13</v>
      </c>
      <c r="J2067" t="inlineStr">
        <is>
          <t>YES</t>
        </is>
      </c>
      <c r="K2067" t="inlineStr"/>
      <c r="L2067" t="inlineStr">
        <is>
          <t>URGENT - actively exploited</t>
        </is>
      </c>
      <c r="M2067" t="inlineStr">
        <is>
          <t>CVE-2026-2441</t>
        </is>
      </c>
      <c r="N2067" t="inlineStr">
        <is>
          <t>P1</t>
        </is>
      </c>
      <c r="O2067" t="inlineStr">
        <is>
          <t>KEV entry - check specific CVEs for IP context</t>
        </is>
      </c>
      <c r="P2067" t="n">
        <v>0</v>
      </c>
      <c r="Q2067" t="n">
        <v>0</v>
      </c>
      <c r="R2067" t="inlineStr">
        <is>
          <t>T1190:Exploit Public-Facing Application</t>
        </is>
      </c>
      <c r="S2067" t="n">
        <v>2</v>
      </c>
      <c r="T2067" t="inlineStr">
        <is>
          <t>CONFIRMED (82%)</t>
        </is>
      </c>
      <c r="U2067" t="inlineStr">
        <is>
          <t>YES</t>
        </is>
      </c>
      <c r="V2067" t="inlineStr">
        <is>
          <t>URGENT</t>
        </is>
      </c>
      <c r="W2067" t="inlineStr">
        <is>
          <t>https://vulncheck.com/blog/vuln-check-kev</t>
        </is>
      </c>
      <c r="X2067" t="inlineStr">
        <is>
          <t>NONE</t>
        </is>
      </c>
      <c r="Y2067" t="n">
        <v>0</v>
      </c>
      <c r="Z2067" t="inlineStr"/>
      <c r="AA2067" t="inlineStr">
        <is>
          <t>https://vulncheck.com/blog/vuln-check-kev</t>
        </is>
      </c>
    </row>
    <row r="2068">
      <c r="A2068" t="inlineStr">
        <is>
          <t>VULNCHECK_KEV</t>
        </is>
      </c>
      <c r="B2068" t="inlineStr">
        <is>
          <t>693cd28f6e90</t>
        </is>
      </c>
      <c r="C2068" t="inlineStr">
        <is>
          <t>VulnCheck KEV: GNU InetUtils contains an argument injection vulnerability in telnetd that could allow for remote authentication bypass via a "-f root" value for the USER environment variable. | CVEs: CVE-2026-24061</t>
        </is>
      </c>
      <c r="D2068" t="n">
        <v>7</v>
      </c>
      <c r="E2068" t="inlineStr">
        <is>
          <t>HIGH</t>
        </is>
      </c>
      <c r="F2068" t="n">
        <v>3</v>
      </c>
      <c r="G2068" t="n">
        <v>2</v>
      </c>
      <c r="H2068" t="inlineStr">
        <is>
          <t>HIGH</t>
        </is>
      </c>
      <c r="I2068" t="n">
        <v>13</v>
      </c>
      <c r="J2068" t="inlineStr">
        <is>
          <t>YES</t>
        </is>
      </c>
      <c r="K2068" t="inlineStr"/>
      <c r="L2068" t="inlineStr">
        <is>
          <t>URGENT - actively exploited</t>
        </is>
      </c>
      <c r="M2068" t="inlineStr">
        <is>
          <t>CVE-2026-24061</t>
        </is>
      </c>
      <c r="N2068" t="inlineStr">
        <is>
          <t>P1</t>
        </is>
      </c>
      <c r="O2068" t="inlineStr">
        <is>
          <t>KEV entry - check specific CVEs for IP context</t>
        </is>
      </c>
      <c r="P2068" t="n">
        <v>0</v>
      </c>
      <c r="Q2068" t="n">
        <v>0</v>
      </c>
      <c r="R2068" t="inlineStr">
        <is>
          <t>T1190:Exploit Public-Facing Application</t>
        </is>
      </c>
      <c r="S2068" t="n">
        <v>2</v>
      </c>
      <c r="T2068" t="inlineStr">
        <is>
          <t>CONFIRMED (82%)</t>
        </is>
      </c>
      <c r="U2068" t="inlineStr">
        <is>
          <t>YES</t>
        </is>
      </c>
      <c r="V2068" t="inlineStr">
        <is>
          <t>URGENT</t>
        </is>
      </c>
      <c r="W2068" t="inlineStr">
        <is>
          <t>https://vulncheck.com/blog/vuln-check-kev</t>
        </is>
      </c>
      <c r="X2068" t="inlineStr">
        <is>
          <t>NONE</t>
        </is>
      </c>
      <c r="Y2068" t="n">
        <v>0</v>
      </c>
      <c r="Z2068" t="inlineStr"/>
      <c r="AA2068" t="inlineStr">
        <is>
          <t>https://vulncheck.com/blog/vuln-check-kev</t>
        </is>
      </c>
    </row>
    <row r="2069">
      <c r="A2069" t="inlineStr">
        <is>
          <t>VULNCHECK_KEV</t>
        </is>
      </c>
      <c r="B2069" t="inlineStr">
        <is>
          <t>23d9f45e272e</t>
        </is>
      </c>
      <c r="C2069" t="inlineStr">
        <is>
          <t>VulnCheck KEV: Incorrect Privilege Assignment vulnerability in Modular DS modular-connector allows Privilege Escalation.This issue affects Modular DS: from 2.5.2 before 2.6.0. | CVEs: CVE-2026-23800</t>
        </is>
      </c>
      <c r="D2069" t="n">
        <v>7</v>
      </c>
      <c r="E2069" t="inlineStr">
        <is>
          <t>HIGH</t>
        </is>
      </c>
      <c r="F2069" t="n">
        <v>3</v>
      </c>
      <c r="G2069" t="n">
        <v>2</v>
      </c>
      <c r="H2069" t="inlineStr">
        <is>
          <t>HIGH</t>
        </is>
      </c>
      <c r="I2069" t="n">
        <v>13</v>
      </c>
      <c r="J2069" t="inlineStr">
        <is>
          <t>YES</t>
        </is>
      </c>
      <c r="K2069" t="inlineStr"/>
      <c r="L2069" t="inlineStr">
        <is>
          <t>URGENT - actively exploited</t>
        </is>
      </c>
      <c r="M2069" t="inlineStr">
        <is>
          <t>CVE-2026-23800</t>
        </is>
      </c>
      <c r="N2069" t="inlineStr">
        <is>
          <t>P1</t>
        </is>
      </c>
      <c r="O2069" t="inlineStr">
        <is>
          <t>KEV entry - check specific CVEs for IP context</t>
        </is>
      </c>
      <c r="P2069" t="n">
        <v>0</v>
      </c>
      <c r="Q2069" t="n">
        <v>0</v>
      </c>
      <c r="R2069" t="inlineStr">
        <is>
          <t>T1190:Exploit Public-Facing Application</t>
        </is>
      </c>
      <c r="S2069" t="n">
        <v>2</v>
      </c>
      <c r="T2069" t="inlineStr">
        <is>
          <t>CONFIRMED (82%)</t>
        </is>
      </c>
      <c r="U2069" t="inlineStr">
        <is>
          <t>YES</t>
        </is>
      </c>
      <c r="V2069" t="inlineStr">
        <is>
          <t>URGENT</t>
        </is>
      </c>
      <c r="W2069" t="inlineStr">
        <is>
          <t>https://vulncheck.com/blog/vuln-check-kev</t>
        </is>
      </c>
      <c r="X2069" t="inlineStr">
        <is>
          <t>NONE</t>
        </is>
      </c>
      <c r="Y2069" t="n">
        <v>0</v>
      </c>
      <c r="Z2069" t="inlineStr"/>
      <c r="AA2069" t="inlineStr">
        <is>
          <t>https://vulncheck.com/blog/vuln-check-kev</t>
        </is>
      </c>
    </row>
    <row r="2070">
      <c r="A2070" t="inlineStr">
        <is>
          <t>VULNCHECK_KEV</t>
        </is>
      </c>
      <c r="B2070" t="inlineStr">
        <is>
          <t>5cf1ec21b577</t>
        </is>
      </c>
      <c r="C2070" t="inlineStr">
        <is>
          <t>VulnCheck KEV: SmarterTools SmarterMail contains an authentication bypass using an alternate path or channel vulnerability in the password reset API. The force-reset-password endpoint permits anonymous requests and fails to verify the existing password or a reset token when resetting system administrator accounts. | CVEs: CVE-2026-23760</t>
        </is>
      </c>
      <c r="D2070" t="n">
        <v>7</v>
      </c>
      <c r="E2070" t="inlineStr">
        <is>
          <t>HIGH</t>
        </is>
      </c>
      <c r="F2070" t="n">
        <v>3</v>
      </c>
      <c r="G2070" t="n">
        <v>2</v>
      </c>
      <c r="H2070" t="inlineStr">
        <is>
          <t>HIGH</t>
        </is>
      </c>
      <c r="I2070" t="n">
        <v>13</v>
      </c>
      <c r="J2070" t="inlineStr">
        <is>
          <t>YES</t>
        </is>
      </c>
      <c r="K2070" t="inlineStr"/>
      <c r="L2070" t="inlineStr">
        <is>
          <t>URGENT - actively exploited</t>
        </is>
      </c>
      <c r="M2070" t="inlineStr">
        <is>
          <t>CVE-2026-23760</t>
        </is>
      </c>
      <c r="N2070" t="inlineStr">
        <is>
          <t>P1</t>
        </is>
      </c>
      <c r="O2070" t="inlineStr">
        <is>
          <t>KEV entry - check specific CVEs for IP context</t>
        </is>
      </c>
      <c r="P2070" t="n">
        <v>0</v>
      </c>
      <c r="Q2070" t="n">
        <v>0</v>
      </c>
      <c r="R2070" t="inlineStr">
        <is>
          <t>T1190:Exploit Public-Facing Application</t>
        </is>
      </c>
      <c r="S2070" t="n">
        <v>2</v>
      </c>
      <c r="T2070" t="inlineStr">
        <is>
          <t>CONFIRMED (82%)</t>
        </is>
      </c>
      <c r="U2070" t="inlineStr">
        <is>
          <t>YES</t>
        </is>
      </c>
      <c r="V2070" t="inlineStr">
        <is>
          <t>URGENT</t>
        </is>
      </c>
      <c r="W2070" t="inlineStr">
        <is>
          <t>https://vulncheck.com/blog/vuln-check-kev</t>
        </is>
      </c>
      <c r="X2070" t="inlineStr">
        <is>
          <t>NONE</t>
        </is>
      </c>
      <c r="Y2070" t="n">
        <v>0</v>
      </c>
      <c r="Z2070" t="inlineStr"/>
      <c r="AA2070" t="inlineStr">
        <is>
          <t>https://vulncheck.com/blog/vuln-check-kev</t>
        </is>
      </c>
    </row>
    <row r="2071">
      <c r="A2071" t="inlineStr">
        <is>
          <t>VULNCHECK_KEV</t>
        </is>
      </c>
      <c r="B2071" t="inlineStr">
        <is>
          <t>1f4d494859cc</t>
        </is>
      </c>
      <c r="C2071" t="inlineStr">
        <is>
          <t>VulnCheck KEV: MCPJam inspector is the local-first development platform for MCP servers. Versions 1.4.2 and earlier are vulnerable to remote code execution (RCE) vulnerability, which allows an attacker to send a crafted HTTP request that triggers the installation of an MCP server, leading to RCE. Since MCPJam insp | CVEs: CVE-2026-23744</t>
        </is>
      </c>
      <c r="D2071" t="n">
        <v>7</v>
      </c>
      <c r="E2071" t="inlineStr">
        <is>
          <t>HIGH</t>
        </is>
      </c>
      <c r="F2071" t="n">
        <v>3</v>
      </c>
      <c r="G2071" t="n">
        <v>2</v>
      </c>
      <c r="H2071" t="inlineStr">
        <is>
          <t>HIGH</t>
        </is>
      </c>
      <c r="I2071" t="n">
        <v>13</v>
      </c>
      <c r="J2071" t="inlineStr">
        <is>
          <t>YES</t>
        </is>
      </c>
      <c r="K2071" t="inlineStr"/>
      <c r="L2071" t="inlineStr">
        <is>
          <t>URGENT - actively exploited</t>
        </is>
      </c>
      <c r="M2071" t="inlineStr">
        <is>
          <t>CVE-2026-23744</t>
        </is>
      </c>
      <c r="N2071" t="inlineStr">
        <is>
          <t>P1</t>
        </is>
      </c>
      <c r="O2071" t="inlineStr">
        <is>
          <t>KEV entry - check specific CVEs for IP context</t>
        </is>
      </c>
      <c r="P2071" t="n">
        <v>0</v>
      </c>
      <c r="Q2071" t="n">
        <v>0</v>
      </c>
      <c r="R2071" t="inlineStr">
        <is>
          <t>T1190:Exploit Public-Facing Application</t>
        </is>
      </c>
      <c r="S2071" t="n">
        <v>2</v>
      </c>
      <c r="T2071" t="inlineStr">
        <is>
          <t>CONFIRMED (82%)</t>
        </is>
      </c>
      <c r="U2071" t="inlineStr">
        <is>
          <t>YES</t>
        </is>
      </c>
      <c r="V2071" t="inlineStr">
        <is>
          <t>URGENT</t>
        </is>
      </c>
      <c r="W2071" t="inlineStr">
        <is>
          <t>https://vulncheck.com/blog/vuln-check-kev</t>
        </is>
      </c>
      <c r="X2071" t="inlineStr">
        <is>
          <t>NONE</t>
        </is>
      </c>
      <c r="Y2071" t="n">
        <v>0</v>
      </c>
      <c r="Z2071" t="inlineStr"/>
      <c r="AA2071" t="inlineStr">
        <is>
          <t>https://vulncheck.com/blog/vuln-check-kev</t>
        </is>
      </c>
    </row>
    <row r="2072">
      <c r="A2072" t="inlineStr">
        <is>
          <t>VULNCHECK_KEV</t>
        </is>
      </c>
      <c r="B2072" t="inlineStr">
        <is>
          <t>b49d35435cd1</t>
        </is>
      </c>
      <c r="C2072" t="inlineStr">
        <is>
          <t>VulnCheck KEV: Incorrect Privilege Assignment vulnerability in Modular DS allows Privilege Escalation.This issue affects Modular DS: from n/a through 2.5.1. | CVEs: CVE-2026-23550</t>
        </is>
      </c>
      <c r="D2072" t="n">
        <v>7</v>
      </c>
      <c r="E2072" t="inlineStr">
        <is>
          <t>HIGH</t>
        </is>
      </c>
      <c r="F2072" t="n">
        <v>3</v>
      </c>
      <c r="G2072" t="n">
        <v>2</v>
      </c>
      <c r="H2072" t="inlineStr">
        <is>
          <t>HIGH</t>
        </is>
      </c>
      <c r="I2072" t="n">
        <v>13</v>
      </c>
      <c r="J2072" t="inlineStr">
        <is>
          <t>YES</t>
        </is>
      </c>
      <c r="K2072" t="inlineStr"/>
      <c r="L2072" t="inlineStr">
        <is>
          <t>URGENT - actively exploited</t>
        </is>
      </c>
      <c r="M2072" t="inlineStr">
        <is>
          <t>CVE-2026-23550</t>
        </is>
      </c>
      <c r="N2072" t="inlineStr">
        <is>
          <t>P1</t>
        </is>
      </c>
      <c r="O2072" t="inlineStr">
        <is>
          <t>KEV entry - check specific CVEs for IP context</t>
        </is>
      </c>
      <c r="P2072" t="n">
        <v>0</v>
      </c>
      <c r="Q2072" t="n">
        <v>0</v>
      </c>
      <c r="R2072" t="inlineStr">
        <is>
          <t>T1190:Exploit Public-Facing Application</t>
        </is>
      </c>
      <c r="S2072" t="n">
        <v>2</v>
      </c>
      <c r="T2072" t="inlineStr">
        <is>
          <t>CONFIRMED (82%)</t>
        </is>
      </c>
      <c r="U2072" t="inlineStr">
        <is>
          <t>YES</t>
        </is>
      </c>
      <c r="V2072" t="inlineStr">
        <is>
          <t>URGENT</t>
        </is>
      </c>
      <c r="W2072" t="inlineStr">
        <is>
          <t>https://vulncheck.com/blog/vuln-check-kev</t>
        </is>
      </c>
      <c r="X2072" t="inlineStr">
        <is>
          <t>NONE</t>
        </is>
      </c>
      <c r="Y2072" t="n">
        <v>0</v>
      </c>
      <c r="Z2072" t="inlineStr"/>
      <c r="AA2072" t="inlineStr">
        <is>
          <t>https://vulncheck.com/blog/vuln-check-kev</t>
        </is>
      </c>
    </row>
    <row r="2073">
      <c r="A2073" t="inlineStr">
        <is>
          <t>VULNCHECK_KEV</t>
        </is>
      </c>
      <c r="B2073" t="inlineStr">
        <is>
          <t>cea8b06eb756</t>
        </is>
      </c>
      <c r="C2073" t="inlineStr">
        <is>
          <t>VulnCheck KEV: Dell RecoverPoint for Virtual Machines (RP4VMs) contains an use of hard-coded credentials vulnerability that could allow an unauthenticated remote attacker to gain unauthorized access to the underlying operating system and root-level persistence. | CVEs: CVE-2026-22769</t>
        </is>
      </c>
      <c r="D2073" t="n">
        <v>7</v>
      </c>
      <c r="E2073" t="inlineStr">
        <is>
          <t>HIGH</t>
        </is>
      </c>
      <c r="F2073" t="n">
        <v>3</v>
      </c>
      <c r="G2073" t="n">
        <v>2</v>
      </c>
      <c r="H2073" t="inlineStr">
        <is>
          <t>HIGH</t>
        </is>
      </c>
      <c r="I2073" t="n">
        <v>13</v>
      </c>
      <c r="J2073" t="inlineStr">
        <is>
          <t>YES</t>
        </is>
      </c>
      <c r="K2073" t="inlineStr"/>
      <c r="L2073" t="inlineStr">
        <is>
          <t>URGENT - actively exploited</t>
        </is>
      </c>
      <c r="M2073" t="inlineStr">
        <is>
          <t>CVE-2026-22769</t>
        </is>
      </c>
      <c r="N2073" t="inlineStr">
        <is>
          <t>P1</t>
        </is>
      </c>
      <c r="O2073" t="inlineStr">
        <is>
          <t>KEV entry - check specific CVEs for IP context</t>
        </is>
      </c>
      <c r="P2073" t="n">
        <v>0</v>
      </c>
      <c r="Q2073" t="n">
        <v>0</v>
      </c>
      <c r="R2073" t="inlineStr">
        <is>
          <t>T1190:Exploit Public-Facing Application</t>
        </is>
      </c>
      <c r="S2073" t="n">
        <v>2</v>
      </c>
      <c r="T2073" t="inlineStr">
        <is>
          <t>CONFIRMED (82%)</t>
        </is>
      </c>
      <c r="U2073" t="inlineStr">
        <is>
          <t>YES</t>
        </is>
      </c>
      <c r="V2073" t="inlineStr">
        <is>
          <t>URGENT</t>
        </is>
      </c>
      <c r="W2073" t="inlineStr">
        <is>
          <t>https://vulncheck.com/blog/vuln-check-kev</t>
        </is>
      </c>
      <c r="X2073" t="inlineStr">
        <is>
          <t>NONE</t>
        </is>
      </c>
      <c r="Y2073" t="n">
        <v>0</v>
      </c>
      <c r="Z2073" t="inlineStr"/>
      <c r="AA2073" t="inlineStr">
        <is>
          <t>https://vulncheck.com/blog/vuln-check-kev</t>
        </is>
      </c>
    </row>
    <row r="2074">
      <c r="A2074" t="inlineStr">
        <is>
          <t>VULNCHECK_KEV</t>
        </is>
      </c>
      <c r="B2074" t="inlineStr">
        <is>
          <t>55eecf6fae85</t>
        </is>
      </c>
      <c r="C2074" t="inlineStr">
        <is>
          <t>VulnCheck KEV: Vulnerability in the Oracle HTTP Server, Oracle Weblogic Server Proxy Plug-in product of Oracle Fusion Middleware (component: Weblogic Server Proxy Plug-in for Apache HTTP Server, Weblogic Server Proxy Plug-in for IIS).  Supported versions that are affected are 12.2.1.4.0, 14.1.1.0.0 and  14.1.2.0.0 | CVEs: CVE-2026-21962</t>
        </is>
      </c>
      <c r="D2074" t="n">
        <v>7</v>
      </c>
      <c r="E2074" t="inlineStr">
        <is>
          <t>HIGH</t>
        </is>
      </c>
      <c r="F2074" t="n">
        <v>3</v>
      </c>
      <c r="G2074" t="n">
        <v>2</v>
      </c>
      <c r="H2074" t="inlineStr">
        <is>
          <t>HIGH</t>
        </is>
      </c>
      <c r="I2074" t="n">
        <v>13</v>
      </c>
      <c r="J2074" t="inlineStr">
        <is>
          <t>YES</t>
        </is>
      </c>
      <c r="K2074" t="inlineStr"/>
      <c r="L2074" t="inlineStr">
        <is>
          <t>URGENT - actively exploited</t>
        </is>
      </c>
      <c r="M2074" t="inlineStr">
        <is>
          <t>CVE-2026-21962</t>
        </is>
      </c>
      <c r="N2074" t="inlineStr">
        <is>
          <t>P1</t>
        </is>
      </c>
      <c r="O2074" t="inlineStr">
        <is>
          <t>KEV entry - check specific CVEs for IP context</t>
        </is>
      </c>
      <c r="P2074" t="n">
        <v>0</v>
      </c>
      <c r="Q2074" t="n">
        <v>0</v>
      </c>
      <c r="R2074" t="inlineStr">
        <is>
          <t>T1190:Exploit Public-Facing Application</t>
        </is>
      </c>
      <c r="S2074" t="n">
        <v>2</v>
      </c>
      <c r="T2074" t="inlineStr">
        <is>
          <t>CONFIRMED (82%)</t>
        </is>
      </c>
      <c r="U2074" t="inlineStr">
        <is>
          <t>YES</t>
        </is>
      </c>
      <c r="V2074" t="inlineStr">
        <is>
          <t>URGENT</t>
        </is>
      </c>
      <c r="W2074" t="inlineStr">
        <is>
          <t>https://vulncheck.com/blog/vuln-check-kev</t>
        </is>
      </c>
      <c r="X2074" t="inlineStr">
        <is>
          <t>NONE</t>
        </is>
      </c>
      <c r="Y2074" t="n">
        <v>0</v>
      </c>
      <c r="Z2074" t="inlineStr"/>
      <c r="AA2074" t="inlineStr">
        <is>
          <t>https://vulncheck.com/blog/vuln-check-kev</t>
        </is>
      </c>
    </row>
    <row r="2075">
      <c r="A2075" t="inlineStr">
        <is>
          <t>VULNCHECK_KEV</t>
        </is>
      </c>
      <c r="B2075" t="inlineStr">
        <is>
          <t>eef05c51ff9a</t>
        </is>
      </c>
      <c r="C2075" t="inlineStr">
        <is>
          <t>VulnCheck KEV: Mailpit is an email testing tool and API for developers. Versions 1.28.0 and below have a Server-Side Request Forgery (SSRF) vulnerability in the /proxy endpoint, allowing attackers to make requests to internal network resources. The /proxy endpoint validates http:// and https:// schemes, but it doe | CVEs: CVE-2026-21859</t>
        </is>
      </c>
      <c r="D2075" t="n">
        <v>7</v>
      </c>
      <c r="E2075" t="inlineStr">
        <is>
          <t>HIGH</t>
        </is>
      </c>
      <c r="F2075" t="n">
        <v>3</v>
      </c>
      <c r="G2075" t="n">
        <v>2</v>
      </c>
      <c r="H2075" t="inlineStr">
        <is>
          <t>HIGH</t>
        </is>
      </c>
      <c r="I2075" t="n">
        <v>13</v>
      </c>
      <c r="J2075" t="inlineStr">
        <is>
          <t>YES</t>
        </is>
      </c>
      <c r="K2075" t="inlineStr"/>
      <c r="L2075" t="inlineStr">
        <is>
          <t>URGENT - actively exploited</t>
        </is>
      </c>
      <c r="M2075" t="inlineStr">
        <is>
          <t>CVE-2026-21859</t>
        </is>
      </c>
      <c r="N2075" t="inlineStr">
        <is>
          <t>P1</t>
        </is>
      </c>
      <c r="O2075" t="inlineStr">
        <is>
          <t>KEV entry - check specific CVEs for IP context</t>
        </is>
      </c>
      <c r="P2075" t="n">
        <v>0</v>
      </c>
      <c r="Q2075" t="n">
        <v>0</v>
      </c>
      <c r="R2075" t="inlineStr">
        <is>
          <t>T1190:Exploit Public-Facing Application</t>
        </is>
      </c>
      <c r="S2075" t="n">
        <v>2</v>
      </c>
      <c r="T2075" t="inlineStr">
        <is>
          <t>CONFIRMED (82%)</t>
        </is>
      </c>
      <c r="U2075" t="inlineStr">
        <is>
          <t>YES</t>
        </is>
      </c>
      <c r="V2075" t="inlineStr">
        <is>
          <t>URGENT</t>
        </is>
      </c>
      <c r="W2075" t="inlineStr">
        <is>
          <t>https://vulncheck.com/blog/vuln-check-kev</t>
        </is>
      </c>
      <c r="X2075" t="inlineStr">
        <is>
          <t>NONE</t>
        </is>
      </c>
      <c r="Y2075" t="n">
        <v>0</v>
      </c>
      <c r="Z2075" t="inlineStr"/>
      <c r="AA2075" t="inlineStr">
        <is>
          <t>https://vulncheck.com/blog/vuln-check-kev</t>
        </is>
      </c>
    </row>
    <row r="2076">
      <c r="A2076" t="inlineStr">
        <is>
          <t>VULNCHECK_KEV</t>
        </is>
      </c>
      <c r="B2076" t="inlineStr">
        <is>
          <t>243096ea782b</t>
        </is>
      </c>
      <c r="C2076" t="inlineStr">
        <is>
          <t>VulnCheck KEV: n8n is an open source workflow automation platform. Versions starting with 1.65.0 and below 1.121.0 enable an attacker to access files on the underlying server through execution of certain form-based workflows. A vulnerable workflow could grant access to an unauthenticated remote attacker, resulting | CVEs: CVE-2026-21858</t>
        </is>
      </c>
      <c r="D2076" t="n">
        <v>7</v>
      </c>
      <c r="E2076" t="inlineStr">
        <is>
          <t>HIGH</t>
        </is>
      </c>
      <c r="F2076" t="n">
        <v>3</v>
      </c>
      <c r="G2076" t="n">
        <v>2</v>
      </c>
      <c r="H2076" t="inlineStr">
        <is>
          <t>HIGH</t>
        </is>
      </c>
      <c r="I2076" t="n">
        <v>13</v>
      </c>
      <c r="J2076" t="inlineStr">
        <is>
          <t>YES</t>
        </is>
      </c>
      <c r="K2076" t="inlineStr"/>
      <c r="L2076" t="inlineStr">
        <is>
          <t>URGENT - actively exploited</t>
        </is>
      </c>
      <c r="M2076" t="inlineStr">
        <is>
          <t>CVE-2026-21858</t>
        </is>
      </c>
      <c r="N2076" t="inlineStr">
        <is>
          <t>P1</t>
        </is>
      </c>
      <c r="O2076" t="inlineStr">
        <is>
          <t>KEV entry - check specific CVEs for IP context</t>
        </is>
      </c>
      <c r="P2076" t="n">
        <v>0</v>
      </c>
      <c r="Q2076" t="n">
        <v>0</v>
      </c>
      <c r="R2076" t="inlineStr">
        <is>
          <t>T1190:Exploit Public-Facing Application</t>
        </is>
      </c>
      <c r="S2076" t="n">
        <v>2</v>
      </c>
      <c r="T2076" t="inlineStr">
        <is>
          <t>CONFIRMED (82%)</t>
        </is>
      </c>
      <c r="U2076" t="inlineStr">
        <is>
          <t>YES</t>
        </is>
      </c>
      <c r="V2076" t="inlineStr">
        <is>
          <t>URGENT</t>
        </is>
      </c>
      <c r="W2076" t="inlineStr">
        <is>
          <t>https://vulncheck.com/blog/vuln-check-kev</t>
        </is>
      </c>
      <c r="X2076" t="inlineStr">
        <is>
          <t>NONE</t>
        </is>
      </c>
      <c r="Y2076" t="n">
        <v>0</v>
      </c>
      <c r="Z2076" t="inlineStr"/>
      <c r="AA2076" t="inlineStr">
        <is>
          <t>https://vulncheck.com/blog/vuln-check-kev</t>
        </is>
      </c>
    </row>
    <row r="2077">
      <c r="A2077" t="inlineStr">
        <is>
          <t>VULNCHECK_KEV</t>
        </is>
      </c>
      <c r="B2077" t="inlineStr">
        <is>
          <t>69cfbfe107e1</t>
        </is>
      </c>
      <c r="C2077" t="inlineStr">
        <is>
          <t>VulnCheck KEV: Microsoft Windows Remote Desktop Services contains an improper privilege management vulnerability that could allow an authorized attacker to elevate privileges locally. | CVEs: CVE-2026-21533</t>
        </is>
      </c>
      <c r="D2077" t="n">
        <v>7</v>
      </c>
      <c r="E2077" t="inlineStr">
        <is>
          <t>HIGH</t>
        </is>
      </c>
      <c r="F2077" t="n">
        <v>3</v>
      </c>
      <c r="G2077" t="n">
        <v>2</v>
      </c>
      <c r="H2077" t="inlineStr">
        <is>
          <t>HIGH</t>
        </is>
      </c>
      <c r="I2077" t="n">
        <v>13</v>
      </c>
      <c r="J2077" t="inlineStr">
        <is>
          <t>YES</t>
        </is>
      </c>
      <c r="K2077" t="inlineStr"/>
      <c r="L2077" t="inlineStr">
        <is>
          <t>URGENT - actively exploited</t>
        </is>
      </c>
      <c r="M2077" t="inlineStr">
        <is>
          <t>CVE-2026-21533</t>
        </is>
      </c>
      <c r="N2077" t="inlineStr">
        <is>
          <t>P1</t>
        </is>
      </c>
      <c r="O2077" t="inlineStr">
        <is>
          <t>KEV entry - check specific CVEs for IP context</t>
        </is>
      </c>
      <c r="P2077" t="n">
        <v>0</v>
      </c>
      <c r="Q2077" t="n">
        <v>0</v>
      </c>
      <c r="R2077" t="inlineStr">
        <is>
          <t>T1190:Exploit Public-Facing Application</t>
        </is>
      </c>
      <c r="S2077" t="n">
        <v>2</v>
      </c>
      <c r="T2077" t="inlineStr">
        <is>
          <t>CONFIRMED (82%)</t>
        </is>
      </c>
      <c r="U2077" t="inlineStr">
        <is>
          <t>YES</t>
        </is>
      </c>
      <c r="V2077" t="inlineStr">
        <is>
          <t>URGENT</t>
        </is>
      </c>
      <c r="W2077" t="inlineStr">
        <is>
          <t>https://vulncheck.com/blog/vuln-check-kev</t>
        </is>
      </c>
      <c r="X2077" t="inlineStr">
        <is>
          <t>NONE</t>
        </is>
      </c>
      <c r="Y2077" t="n">
        <v>0</v>
      </c>
      <c r="Z2077" t="inlineStr"/>
      <c r="AA2077" t="inlineStr">
        <is>
          <t>https://vulncheck.com/blog/vuln-check-kev</t>
        </is>
      </c>
    </row>
    <row r="2078">
      <c r="A2078" t="inlineStr">
        <is>
          <t>VULNCHECK_KEV</t>
        </is>
      </c>
      <c r="B2078" t="inlineStr">
        <is>
          <t>0ab1b88545d6</t>
        </is>
      </c>
      <c r="C2078" t="inlineStr">
        <is>
          <t>VulnCheck KEV: Microsoft Windows Remote Access Connection Manager contains a NULL pointer dereference that could allow an unauthorized attacker to deny service locally. | CVEs: CVE-2026-21525</t>
        </is>
      </c>
      <c r="D2078" t="n">
        <v>7</v>
      </c>
      <c r="E2078" t="inlineStr">
        <is>
          <t>HIGH</t>
        </is>
      </c>
      <c r="F2078" t="n">
        <v>3</v>
      </c>
      <c r="G2078" t="n">
        <v>2</v>
      </c>
      <c r="H2078" t="inlineStr">
        <is>
          <t>HIGH</t>
        </is>
      </c>
      <c r="I2078" t="n">
        <v>13</v>
      </c>
      <c r="J2078" t="inlineStr">
        <is>
          <t>YES</t>
        </is>
      </c>
      <c r="K2078" t="inlineStr"/>
      <c r="L2078" t="inlineStr">
        <is>
          <t>URGENT - actively exploited</t>
        </is>
      </c>
      <c r="M2078" t="inlineStr">
        <is>
          <t>CVE-2026-21525</t>
        </is>
      </c>
      <c r="N2078" t="inlineStr">
        <is>
          <t>P1</t>
        </is>
      </c>
      <c r="O2078" t="inlineStr">
        <is>
          <t>KEV entry - check specific CVEs for IP context</t>
        </is>
      </c>
      <c r="P2078" t="n">
        <v>0</v>
      </c>
      <c r="Q2078" t="n">
        <v>0</v>
      </c>
      <c r="R2078" t="inlineStr">
        <is>
          <t>T1190:Exploit Public-Facing Application</t>
        </is>
      </c>
      <c r="S2078" t="n">
        <v>2</v>
      </c>
      <c r="T2078" t="inlineStr">
        <is>
          <t>CONFIRMED (82%)</t>
        </is>
      </c>
      <c r="U2078" t="inlineStr">
        <is>
          <t>YES</t>
        </is>
      </c>
      <c r="V2078" t="inlineStr">
        <is>
          <t>URGENT</t>
        </is>
      </c>
      <c r="W2078" t="inlineStr">
        <is>
          <t>https://vulncheck.com/blog/vuln-check-kev</t>
        </is>
      </c>
      <c r="X2078" t="inlineStr">
        <is>
          <t>NONE</t>
        </is>
      </c>
      <c r="Y2078" t="n">
        <v>0</v>
      </c>
      <c r="Z2078" t="inlineStr"/>
      <c r="AA2078" t="inlineStr">
        <is>
          <t>https://vulncheck.com/blog/vuln-check-kev</t>
        </is>
      </c>
    </row>
    <row r="2079">
      <c r="A2079" t="inlineStr">
        <is>
          <t>VULNCHECK_KEV</t>
        </is>
      </c>
      <c r="B2079" t="inlineStr">
        <is>
          <t>85f634fd5bfa</t>
        </is>
      </c>
      <c r="C2079" t="inlineStr">
        <is>
          <t>VulnCheck KEV: Microsoft Desktop Windows Manager contains a type confusion vulnerability that could allow an authorized attacker to elevate privileges locally. | CVEs: CVE-2026-21519</t>
        </is>
      </c>
      <c r="D2079" t="n">
        <v>7</v>
      </c>
      <c r="E2079" t="inlineStr">
        <is>
          <t>HIGH</t>
        </is>
      </c>
      <c r="F2079" t="n">
        <v>3</v>
      </c>
      <c r="G2079" t="n">
        <v>2</v>
      </c>
      <c r="H2079" t="inlineStr">
        <is>
          <t>HIGH</t>
        </is>
      </c>
      <c r="I2079" t="n">
        <v>13</v>
      </c>
      <c r="J2079" t="inlineStr">
        <is>
          <t>YES</t>
        </is>
      </c>
      <c r="K2079" t="inlineStr"/>
      <c r="L2079" t="inlineStr">
        <is>
          <t>URGENT - actively exploited</t>
        </is>
      </c>
      <c r="M2079" t="inlineStr">
        <is>
          <t>CVE-2026-21519</t>
        </is>
      </c>
      <c r="N2079" t="inlineStr">
        <is>
          <t>P1</t>
        </is>
      </c>
      <c r="O2079" t="inlineStr">
        <is>
          <t>KEV entry - check specific CVEs for IP context</t>
        </is>
      </c>
      <c r="P2079" t="n">
        <v>0</v>
      </c>
      <c r="Q2079" t="n">
        <v>0</v>
      </c>
      <c r="R2079" t="inlineStr">
        <is>
          <t>T1190:Exploit Public-Facing Application</t>
        </is>
      </c>
      <c r="S2079" t="n">
        <v>2</v>
      </c>
      <c r="T2079" t="inlineStr">
        <is>
          <t>CONFIRMED (82%)</t>
        </is>
      </c>
      <c r="U2079" t="inlineStr">
        <is>
          <t>YES</t>
        </is>
      </c>
      <c r="V2079" t="inlineStr">
        <is>
          <t>URGENT</t>
        </is>
      </c>
      <c r="W2079" t="inlineStr">
        <is>
          <t>https://vulncheck.com/blog/vuln-check-kev</t>
        </is>
      </c>
      <c r="X2079" t="inlineStr">
        <is>
          <t>NONE</t>
        </is>
      </c>
      <c r="Y2079" t="n">
        <v>0</v>
      </c>
      <c r="Z2079" t="inlineStr"/>
      <c r="AA2079" t="inlineStr">
        <is>
          <t>https://vulncheck.com/blog/vuln-check-kev</t>
        </is>
      </c>
    </row>
    <row r="2080">
      <c r="A2080" t="inlineStr">
        <is>
          <t>VULNCHECK_KEV</t>
        </is>
      </c>
      <c r="B2080" t="inlineStr">
        <is>
          <t>e6c643c4aed6</t>
        </is>
      </c>
      <c r="C2080" t="inlineStr">
        <is>
          <t>VulnCheck KEV: Microsoft Office Word contains a reliance on untrusted inputs in a security decision vulnerability that could allow an authorized attacker to elevate privileges locally. | CVEs: CVE-2026-21514</t>
        </is>
      </c>
      <c r="D2080" t="n">
        <v>7</v>
      </c>
      <c r="E2080" t="inlineStr">
        <is>
          <t>HIGH</t>
        </is>
      </c>
      <c r="F2080" t="n">
        <v>3</v>
      </c>
      <c r="G2080" t="n">
        <v>2</v>
      </c>
      <c r="H2080" t="inlineStr">
        <is>
          <t>HIGH</t>
        </is>
      </c>
      <c r="I2080" t="n">
        <v>13</v>
      </c>
      <c r="J2080" t="inlineStr">
        <is>
          <t>YES</t>
        </is>
      </c>
      <c r="K2080" t="inlineStr"/>
      <c r="L2080" t="inlineStr">
        <is>
          <t>URGENT - actively exploited</t>
        </is>
      </c>
      <c r="M2080" t="inlineStr">
        <is>
          <t>CVE-2026-21514</t>
        </is>
      </c>
      <c r="N2080" t="inlineStr">
        <is>
          <t>P1</t>
        </is>
      </c>
      <c r="O2080" t="inlineStr">
        <is>
          <t>KEV entry - check specific CVEs for IP context</t>
        </is>
      </c>
      <c r="P2080" t="n">
        <v>0</v>
      </c>
      <c r="Q2080" t="n">
        <v>0</v>
      </c>
      <c r="R2080" t="inlineStr">
        <is>
          <t>T1190:Exploit Public-Facing Application</t>
        </is>
      </c>
      <c r="S2080" t="n">
        <v>2</v>
      </c>
      <c r="T2080" t="inlineStr">
        <is>
          <t>CONFIRMED (82%)</t>
        </is>
      </c>
      <c r="U2080" t="inlineStr">
        <is>
          <t>YES</t>
        </is>
      </c>
      <c r="V2080" t="inlineStr">
        <is>
          <t>URGENT</t>
        </is>
      </c>
      <c r="W2080" t="inlineStr">
        <is>
          <t>https://vulncheck.com/blog/vuln-check-kev</t>
        </is>
      </c>
      <c r="X2080" t="inlineStr">
        <is>
          <t>NONE</t>
        </is>
      </c>
      <c r="Y2080" t="n">
        <v>0</v>
      </c>
      <c r="Z2080" t="inlineStr"/>
      <c r="AA2080" t="inlineStr">
        <is>
          <t>https://vulncheck.com/blog/vuln-check-kev</t>
        </is>
      </c>
    </row>
    <row r="2081">
      <c r="A2081" t="inlineStr">
        <is>
          <t>VULNCHECK_KEV</t>
        </is>
      </c>
      <c r="B2081" t="inlineStr">
        <is>
          <t>5eef0ab51375</t>
        </is>
      </c>
      <c r="C2081" t="inlineStr">
        <is>
          <t>VulnCheck KEV: Microsoft MSHTML Framework contains a protection mechanism failure vulnerability that could allow an unauthorized attacker to bypass a security feature over a network. | CVEs: CVE-2026-21513</t>
        </is>
      </c>
      <c r="D2081" t="n">
        <v>7</v>
      </c>
      <c r="E2081" t="inlineStr">
        <is>
          <t>HIGH</t>
        </is>
      </c>
      <c r="F2081" t="n">
        <v>3</v>
      </c>
      <c r="G2081" t="n">
        <v>2</v>
      </c>
      <c r="H2081" t="inlineStr">
        <is>
          <t>HIGH</t>
        </is>
      </c>
      <c r="I2081" t="n">
        <v>13</v>
      </c>
      <c r="J2081" t="inlineStr">
        <is>
          <t>YES</t>
        </is>
      </c>
      <c r="K2081" t="inlineStr"/>
      <c r="L2081" t="inlineStr">
        <is>
          <t>URGENT - actively exploited</t>
        </is>
      </c>
      <c r="M2081" t="inlineStr">
        <is>
          <t>CVE-2026-21513</t>
        </is>
      </c>
      <c r="N2081" t="inlineStr">
        <is>
          <t>P1</t>
        </is>
      </c>
      <c r="O2081" t="inlineStr">
        <is>
          <t>KEV entry - check specific CVEs for IP context</t>
        </is>
      </c>
      <c r="P2081" t="n">
        <v>0</v>
      </c>
      <c r="Q2081" t="n">
        <v>0</v>
      </c>
      <c r="R2081" t="inlineStr">
        <is>
          <t>T1190:Exploit Public-Facing Application</t>
        </is>
      </c>
      <c r="S2081" t="n">
        <v>2</v>
      </c>
      <c r="T2081" t="inlineStr">
        <is>
          <t>CONFIRMED (82%)</t>
        </is>
      </c>
      <c r="U2081" t="inlineStr">
        <is>
          <t>YES</t>
        </is>
      </c>
      <c r="V2081" t="inlineStr">
        <is>
          <t>URGENT</t>
        </is>
      </c>
      <c r="W2081" t="inlineStr">
        <is>
          <t>https://vulncheck.com/blog/vuln-check-kev</t>
        </is>
      </c>
      <c r="X2081" t="inlineStr">
        <is>
          <t>NONE</t>
        </is>
      </c>
      <c r="Y2081" t="n">
        <v>0</v>
      </c>
      <c r="Z2081" t="inlineStr"/>
      <c r="AA2081" t="inlineStr">
        <is>
          <t>https://vulncheck.com/blog/vuln-check-kev</t>
        </is>
      </c>
    </row>
    <row r="2082">
      <c r="A2082" t="inlineStr">
        <is>
          <t>FIREWALL_ADVISORY</t>
        </is>
      </c>
      <c r="B2082" t="inlineStr">
        <is>
          <t>PAN-ADV</t>
        </is>
      </c>
      <c r="C2082" t="inlineStr">
        <is>
          <t>PAN Advisory: PAN-OS: Memory Corruption Vulnerability in GlobalProtect Clientless VPN During SAML Authentication</t>
        </is>
      </c>
      <c r="D2082" t="n">
        <v>7.5</v>
      </c>
      <c r="E2082" t="inlineStr">
        <is>
          <t>HIGH</t>
        </is>
      </c>
      <c r="F2082" t="n">
        <v>2</v>
      </c>
      <c r="G2082" t="n">
        <v>2</v>
      </c>
      <c r="H2082" t="inlineStr">
        <is>
          <t>MEDIUM</t>
        </is>
      </c>
      <c r="I2082" t="n">
        <v>11.5</v>
      </c>
      <c r="J2082" t="inlineStr">
        <is>
          <t>NO</t>
        </is>
      </c>
      <c r="K2082" t="inlineStr">
        <is>
          <t>2026-02-26 00:15</t>
        </is>
      </c>
      <c r="L2082" t="inlineStr">
        <is>
          <t>YES - Apply vendor patch immediately</t>
        </is>
      </c>
      <c r="M2082" t="inlineStr">
        <is>
          <t>PAN-OS / GlobalProtect / Prisma / Cortex</t>
        </is>
      </c>
      <c r="N2082" t="inlineStr">
        <is>
          <t>P3</t>
        </is>
      </c>
      <c r="O2082" t="inlineStr">
        <is>
          <t>Firewall Advisory - Palo Alto Networks</t>
        </is>
      </c>
      <c r="P2082" t="n">
        <v>0</v>
      </c>
      <c r="Q2082" t="n">
        <v>0</v>
      </c>
      <c r="R2082" t="inlineStr">
        <is>
          <t>T1190:Exploit Public-Facing Application | T1133:External Remote Services</t>
        </is>
      </c>
      <c r="S2082" t="n">
        <v>2</v>
      </c>
      <c r="T2082" t="inlineStr">
        <is>
          <t>MEDIUM (52%)</t>
        </is>
      </c>
      <c r="U2082" t="inlineStr">
        <is>
          <t>CHECK_VENDOR</t>
        </is>
      </c>
      <c r="V2082" t="inlineStr">
        <is>
          <t>YES</t>
        </is>
      </c>
      <c r="W2082" t="inlineStr">
        <is>
          <t>https://security.paloaltonetworks.com/</t>
        </is>
      </c>
      <c r="X2082" t="inlineStr">
        <is>
          <t>NONE</t>
        </is>
      </c>
      <c r="Y2082" t="n">
        <v>0</v>
      </c>
      <c r="Z2082" t="inlineStr"/>
      <c r="AA2082" t="inlineStr">
        <is>
          <t>https://security.paloaltonetworks.com/</t>
        </is>
      </c>
    </row>
    <row r="2083">
      <c r="A2083" t="inlineStr">
        <is>
          <t>FIREWALL_ADVISORY</t>
        </is>
      </c>
      <c r="B2083" t="inlineStr">
        <is>
          <t>PAN-ADV</t>
        </is>
      </c>
      <c r="C2083" t="inlineStr">
        <is>
          <t>PAN Advisory:  PAN-OS: Firewall Denial of Service (DoS) in GlobalProtect Gateway and Portal</t>
        </is>
      </c>
      <c r="D2083" t="n">
        <v>7.5</v>
      </c>
      <c r="E2083" t="inlineStr">
        <is>
          <t>HIGH</t>
        </is>
      </c>
      <c r="F2083" t="n">
        <v>2</v>
      </c>
      <c r="G2083" t="n">
        <v>2</v>
      </c>
      <c r="H2083" t="inlineStr">
        <is>
          <t>MEDIUM</t>
        </is>
      </c>
      <c r="I2083" t="n">
        <v>11.5</v>
      </c>
      <c r="J2083" t="inlineStr">
        <is>
          <t>NO</t>
        </is>
      </c>
      <c r="K2083" t="inlineStr">
        <is>
          <t>2026-02-26 00:15</t>
        </is>
      </c>
      <c r="L2083" t="inlineStr">
        <is>
          <t>YES - Apply vendor patch immediately</t>
        </is>
      </c>
      <c r="M2083" t="inlineStr">
        <is>
          <t>PAN-OS / GlobalProtect / Prisma / Cortex</t>
        </is>
      </c>
      <c r="N2083" t="inlineStr">
        <is>
          <t>P3</t>
        </is>
      </c>
      <c r="O2083" t="inlineStr">
        <is>
          <t>Firewall Advisory - Palo Alto Networks</t>
        </is>
      </c>
      <c r="P2083" t="n">
        <v>0</v>
      </c>
      <c r="Q2083" t="n">
        <v>0</v>
      </c>
      <c r="R2083" t="inlineStr">
        <is>
          <t>T1190:Exploit Public-Facing Application | T1133:External Remote Services</t>
        </is>
      </c>
      <c r="S2083" t="n">
        <v>2</v>
      </c>
      <c r="T2083" t="inlineStr">
        <is>
          <t>MEDIUM (52%)</t>
        </is>
      </c>
      <c r="U2083" t="inlineStr">
        <is>
          <t>CHECK_VENDOR</t>
        </is>
      </c>
      <c r="V2083" t="inlineStr">
        <is>
          <t>YES</t>
        </is>
      </c>
      <c r="W2083" t="inlineStr">
        <is>
          <t>https://security.paloaltonetworks.com/</t>
        </is>
      </c>
      <c r="X2083" t="inlineStr">
        <is>
          <t>NONE</t>
        </is>
      </c>
      <c r="Y2083" t="n">
        <v>0</v>
      </c>
      <c r="Z2083" t="inlineStr"/>
      <c r="AA2083" t="inlineStr">
        <is>
          <t>https://security.paloaltonetworks.com/</t>
        </is>
      </c>
    </row>
    <row r="2084">
      <c r="A2084" t="inlineStr">
        <is>
          <t>FIREWALL_ADVISORY</t>
        </is>
      </c>
      <c r="B2084" t="inlineStr">
        <is>
          <t>PAN-ADV</t>
        </is>
      </c>
      <c r="C2084" t="inlineStr">
        <is>
          <t>PAN Advisory: Chromium: Monthly Vulnerability Update (February 2026)</t>
        </is>
      </c>
      <c r="D2084" t="n">
        <v>7.5</v>
      </c>
      <c r="E2084" t="inlineStr">
        <is>
          <t>HIGH</t>
        </is>
      </c>
      <c r="F2084" t="n">
        <v>2</v>
      </c>
      <c r="G2084" t="n">
        <v>2</v>
      </c>
      <c r="H2084" t="inlineStr">
        <is>
          <t>MEDIUM</t>
        </is>
      </c>
      <c r="I2084" t="n">
        <v>11.5</v>
      </c>
      <c r="J2084" t="inlineStr">
        <is>
          <t>NO</t>
        </is>
      </c>
      <c r="K2084" t="inlineStr">
        <is>
          <t>2026-02-26 00:15</t>
        </is>
      </c>
      <c r="L2084" t="inlineStr">
        <is>
          <t>YES - Apply vendor patch immediately</t>
        </is>
      </c>
      <c r="M2084" t="inlineStr">
        <is>
          <t>PAN-OS / GlobalProtect / Prisma / Cortex</t>
        </is>
      </c>
      <c r="N2084" t="inlineStr">
        <is>
          <t>P3</t>
        </is>
      </c>
      <c r="O2084" t="inlineStr">
        <is>
          <t>Firewall Advisory - Palo Alto Networks</t>
        </is>
      </c>
      <c r="P2084" t="n">
        <v>0</v>
      </c>
      <c r="Q2084" t="n">
        <v>0</v>
      </c>
      <c r="R2084" t="inlineStr">
        <is>
          <t>T1190:Exploit Public-Facing Application | T1133:External Remote Services</t>
        </is>
      </c>
      <c r="S2084" t="n">
        <v>2</v>
      </c>
      <c r="T2084" t="inlineStr">
        <is>
          <t>MEDIUM (52%)</t>
        </is>
      </c>
      <c r="U2084" t="inlineStr">
        <is>
          <t>CHECK_VENDOR</t>
        </is>
      </c>
      <c r="V2084" t="inlineStr">
        <is>
          <t>YES</t>
        </is>
      </c>
      <c r="W2084" t="inlineStr">
        <is>
          <t>https://security.paloaltonetworks.com/</t>
        </is>
      </c>
      <c r="X2084" t="inlineStr">
        <is>
          <t>NONE</t>
        </is>
      </c>
      <c r="Y2084" t="n">
        <v>0</v>
      </c>
      <c r="Z2084" t="inlineStr"/>
      <c r="AA2084" t="inlineStr">
        <is>
          <t>https://security.paloaltonetworks.com/</t>
        </is>
      </c>
    </row>
    <row r="2085">
      <c r="A2085" t="inlineStr">
        <is>
          <t>FIREWALL_ADVISORY</t>
        </is>
      </c>
      <c r="B2085" t="inlineStr">
        <is>
          <t>PAN-ADV</t>
        </is>
      </c>
      <c r="C2085" t="inlineStr">
        <is>
          <t>PAN Advisory: Chromium: Monthly Vulnerability Updates</t>
        </is>
      </c>
      <c r="D2085" t="n">
        <v>7.5</v>
      </c>
      <c r="E2085" t="inlineStr">
        <is>
          <t>HIGH</t>
        </is>
      </c>
      <c r="F2085" t="n">
        <v>2</v>
      </c>
      <c r="G2085" t="n">
        <v>2</v>
      </c>
      <c r="H2085" t="inlineStr">
        <is>
          <t>MEDIUM</t>
        </is>
      </c>
      <c r="I2085" t="n">
        <v>11.5</v>
      </c>
      <c r="J2085" t="inlineStr">
        <is>
          <t>NO</t>
        </is>
      </c>
      <c r="K2085" t="inlineStr">
        <is>
          <t>2026-02-26 00:15</t>
        </is>
      </c>
      <c r="L2085" t="inlineStr">
        <is>
          <t>YES - Apply vendor patch immediately</t>
        </is>
      </c>
      <c r="M2085" t="inlineStr">
        <is>
          <t>PAN-OS / GlobalProtect / Prisma / Cortex</t>
        </is>
      </c>
      <c r="N2085" t="inlineStr">
        <is>
          <t>P3</t>
        </is>
      </c>
      <c r="O2085" t="inlineStr">
        <is>
          <t>Firewall Advisory - Palo Alto Networks</t>
        </is>
      </c>
      <c r="P2085" t="n">
        <v>0</v>
      </c>
      <c r="Q2085" t="n">
        <v>0</v>
      </c>
      <c r="R2085" t="inlineStr">
        <is>
          <t>T1190:Exploit Public-Facing Application | T1133:External Remote Services</t>
        </is>
      </c>
      <c r="S2085" t="n">
        <v>2</v>
      </c>
      <c r="T2085" t="inlineStr">
        <is>
          <t>MEDIUM (52%)</t>
        </is>
      </c>
      <c r="U2085" t="inlineStr">
        <is>
          <t>CHECK_VENDOR</t>
        </is>
      </c>
      <c r="V2085" t="inlineStr">
        <is>
          <t>YES</t>
        </is>
      </c>
      <c r="W2085" t="inlineStr">
        <is>
          <t>https://security.paloaltonetworks.com/</t>
        </is>
      </c>
      <c r="X2085" t="inlineStr">
        <is>
          <t>NONE</t>
        </is>
      </c>
      <c r="Y2085" t="n">
        <v>0</v>
      </c>
      <c r="Z2085" t="inlineStr"/>
      <c r="AA2085" t="inlineStr">
        <is>
          <t>https://security.paloaltonetworks.com/</t>
        </is>
      </c>
    </row>
    <row r="2086">
      <c r="A2086" t="inlineStr">
        <is>
          <t>FIREWALL_ADVISORY</t>
        </is>
      </c>
      <c r="B2086" t="inlineStr">
        <is>
          <t>PAN-ADV</t>
        </is>
      </c>
      <c r="C2086" t="inlineStr">
        <is>
          <t>PAN Advisory: Secdo: Privilege escalation via hardcoded script path</t>
        </is>
      </c>
      <c r="D2086" t="n">
        <v>7.5</v>
      </c>
      <c r="E2086" t="inlineStr">
        <is>
          <t>HIGH</t>
        </is>
      </c>
      <c r="F2086" t="n">
        <v>2</v>
      </c>
      <c r="G2086" t="n">
        <v>2</v>
      </c>
      <c r="H2086" t="inlineStr">
        <is>
          <t>MEDIUM</t>
        </is>
      </c>
      <c r="I2086" t="n">
        <v>11.5</v>
      </c>
      <c r="J2086" t="inlineStr">
        <is>
          <t>NO</t>
        </is>
      </c>
      <c r="K2086" t="inlineStr">
        <is>
          <t>2026-02-26 00:15</t>
        </is>
      </c>
      <c r="L2086" t="inlineStr">
        <is>
          <t>YES - Apply vendor patch immediately</t>
        </is>
      </c>
      <c r="M2086" t="inlineStr">
        <is>
          <t>PAN-OS / GlobalProtect / Prisma / Cortex</t>
        </is>
      </c>
      <c r="N2086" t="inlineStr">
        <is>
          <t>P3</t>
        </is>
      </c>
      <c r="O2086" t="inlineStr">
        <is>
          <t>Firewall Advisory - Palo Alto Networks</t>
        </is>
      </c>
      <c r="P2086" t="n">
        <v>0</v>
      </c>
      <c r="Q2086" t="n">
        <v>0</v>
      </c>
      <c r="R2086" t="inlineStr">
        <is>
          <t>T1190:Exploit Public-Facing Application | T1133:External Remote Services</t>
        </is>
      </c>
      <c r="S2086" t="n">
        <v>2</v>
      </c>
      <c r="T2086" t="inlineStr">
        <is>
          <t>MEDIUM (52%)</t>
        </is>
      </c>
      <c r="U2086" t="inlineStr">
        <is>
          <t>CHECK_VENDOR</t>
        </is>
      </c>
      <c r="V2086" t="inlineStr">
        <is>
          <t>YES</t>
        </is>
      </c>
      <c r="W2086" t="inlineStr">
        <is>
          <t>https://security.paloaltonetworks.com/</t>
        </is>
      </c>
      <c r="X2086" t="inlineStr">
        <is>
          <t>NONE</t>
        </is>
      </c>
      <c r="Y2086" t="n">
        <v>0</v>
      </c>
      <c r="Z2086" t="inlineStr"/>
      <c r="AA2086" t="inlineStr">
        <is>
          <t>https://security.paloaltonetworks.com/</t>
        </is>
      </c>
    </row>
    <row r="2087">
      <c r="A2087" t="inlineStr">
        <is>
          <t>FIREWALL_ADVISORY</t>
        </is>
      </c>
      <c r="B2087" t="inlineStr">
        <is>
          <t>PAN-ADV</t>
        </is>
      </c>
      <c r="C2087" t="inlineStr">
        <is>
          <t xml:space="preserve">PAN Advisory: Secdo: Incorrect Default Permissions </t>
        </is>
      </c>
      <c r="D2087" t="n">
        <v>7.5</v>
      </c>
      <c r="E2087" t="inlineStr">
        <is>
          <t>HIGH</t>
        </is>
      </c>
      <c r="F2087" t="n">
        <v>2</v>
      </c>
      <c r="G2087" t="n">
        <v>2</v>
      </c>
      <c r="H2087" t="inlineStr">
        <is>
          <t>MEDIUM</t>
        </is>
      </c>
      <c r="I2087" t="n">
        <v>11.5</v>
      </c>
      <c r="J2087" t="inlineStr">
        <is>
          <t>NO</t>
        </is>
      </c>
      <c r="K2087" t="inlineStr">
        <is>
          <t>2026-02-26 00:15</t>
        </is>
      </c>
      <c r="L2087" t="inlineStr">
        <is>
          <t>YES - Apply vendor patch immediately</t>
        </is>
      </c>
      <c r="M2087" t="inlineStr">
        <is>
          <t>PAN-OS / GlobalProtect / Prisma / Cortex</t>
        </is>
      </c>
      <c r="N2087" t="inlineStr">
        <is>
          <t>P3</t>
        </is>
      </c>
      <c r="O2087" t="inlineStr">
        <is>
          <t>Firewall Advisory - Palo Alto Networks</t>
        </is>
      </c>
      <c r="P2087" t="n">
        <v>0</v>
      </c>
      <c r="Q2087" t="n">
        <v>0</v>
      </c>
      <c r="R2087" t="inlineStr">
        <is>
          <t>T1190:Exploit Public-Facing Application | T1133:External Remote Services</t>
        </is>
      </c>
      <c r="S2087" t="n">
        <v>2</v>
      </c>
      <c r="T2087" t="inlineStr">
        <is>
          <t>MEDIUM (52%)</t>
        </is>
      </c>
      <c r="U2087" t="inlineStr">
        <is>
          <t>CHECK_VENDOR</t>
        </is>
      </c>
      <c r="V2087" t="inlineStr">
        <is>
          <t>YES</t>
        </is>
      </c>
      <c r="W2087" t="inlineStr">
        <is>
          <t>https://security.paloaltonetworks.com/</t>
        </is>
      </c>
      <c r="X2087" t="inlineStr">
        <is>
          <t>NONE</t>
        </is>
      </c>
      <c r="Y2087" t="n">
        <v>0</v>
      </c>
      <c r="Z2087" t="inlineStr"/>
      <c r="AA2087" t="inlineStr">
        <is>
          <t>https://security.paloaltonetworks.com/</t>
        </is>
      </c>
    </row>
    <row r="2088">
      <c r="A2088" t="inlineStr">
        <is>
          <t>FIREWALL_ADVISORY</t>
        </is>
      </c>
      <c r="B2088" t="inlineStr">
        <is>
          <t>PAN-ADV</t>
        </is>
      </c>
      <c r="C2088" t="inlineStr">
        <is>
          <t>PAN Advisory: PAN-OS OpenConfig Plugin: Command Injection Vulnerability in OpenConfig Plugin</t>
        </is>
      </c>
      <c r="D2088" t="n">
        <v>7.5</v>
      </c>
      <c r="E2088" t="inlineStr">
        <is>
          <t>HIGH</t>
        </is>
      </c>
      <c r="F2088" t="n">
        <v>2</v>
      </c>
      <c r="G2088" t="n">
        <v>2</v>
      </c>
      <c r="H2088" t="inlineStr">
        <is>
          <t>MEDIUM</t>
        </is>
      </c>
      <c r="I2088" t="n">
        <v>11.5</v>
      </c>
      <c r="J2088" t="inlineStr">
        <is>
          <t>NO</t>
        </is>
      </c>
      <c r="K2088" t="inlineStr">
        <is>
          <t>2026-02-26 00:15</t>
        </is>
      </c>
      <c r="L2088" t="inlineStr">
        <is>
          <t>YES - Apply vendor patch immediately</t>
        </is>
      </c>
      <c r="M2088" t="inlineStr">
        <is>
          <t>PAN-OS / GlobalProtect / Prisma / Cortex</t>
        </is>
      </c>
      <c r="N2088" t="inlineStr">
        <is>
          <t>P3</t>
        </is>
      </c>
      <c r="O2088" t="inlineStr">
        <is>
          <t>Firewall Advisory - Palo Alto Networks</t>
        </is>
      </c>
      <c r="P2088" t="n">
        <v>0</v>
      </c>
      <c r="Q2088" t="n">
        <v>0</v>
      </c>
      <c r="R2088" t="inlineStr">
        <is>
          <t>T1190:Exploit Public-Facing Application | T1133:External Remote Services</t>
        </is>
      </c>
      <c r="S2088" t="n">
        <v>2</v>
      </c>
      <c r="T2088" t="inlineStr">
        <is>
          <t>MEDIUM (52%)</t>
        </is>
      </c>
      <c r="U2088" t="inlineStr">
        <is>
          <t>CHECK_VENDOR</t>
        </is>
      </c>
      <c r="V2088" t="inlineStr">
        <is>
          <t>YES</t>
        </is>
      </c>
      <c r="W2088" t="inlineStr">
        <is>
          <t>https://security.paloaltonetworks.com/</t>
        </is>
      </c>
      <c r="X2088" t="inlineStr">
        <is>
          <t>NONE</t>
        </is>
      </c>
      <c r="Y2088" t="n">
        <v>0</v>
      </c>
      <c r="Z2088" t="inlineStr"/>
      <c r="AA2088" t="inlineStr">
        <is>
          <t>https://security.paloaltonetworks.com/</t>
        </is>
      </c>
    </row>
    <row r="2089">
      <c r="A2089" t="inlineStr">
        <is>
          <t>FIREWALL_ADVISORY</t>
        </is>
      </c>
      <c r="B2089" t="inlineStr">
        <is>
          <t>CPAI-2025-12582</t>
        </is>
      </c>
      <c r="C2089" t="inlineStr">
        <is>
          <t>Check Point Advisory: CPAI-2025-12582 | The post CPAI-2025-12582 appeared first on Check Point Software .</t>
        </is>
      </c>
      <c r="D2089" t="n">
        <v>7.5</v>
      </c>
      <c r="E2089" t="inlineStr">
        <is>
          <t>HIGH</t>
        </is>
      </c>
      <c r="F2089" t="n">
        <v>2</v>
      </c>
      <c r="G2089" t="n">
        <v>2</v>
      </c>
      <c r="H2089" t="inlineStr">
        <is>
          <t>MEDIUM</t>
        </is>
      </c>
      <c r="I2089" t="n">
        <v>11.5</v>
      </c>
      <c r="J2089" t="inlineStr">
        <is>
          <t>NO</t>
        </is>
      </c>
      <c r="K2089" t="inlineStr">
        <is>
          <t>2026-02-26 00:15</t>
        </is>
      </c>
      <c r="L2089" t="inlineStr">
        <is>
          <t>YES - Apply vendor patch immediately</t>
        </is>
      </c>
      <c r="M2089" t="inlineStr">
        <is>
          <t>Check Point Gaia OS / CloudGuard / Quantum</t>
        </is>
      </c>
      <c r="N2089" t="inlineStr">
        <is>
          <t>P3</t>
        </is>
      </c>
      <c r="O2089" t="inlineStr">
        <is>
          <t>Firewall Advisory - Check Point</t>
        </is>
      </c>
      <c r="P2089" t="n">
        <v>0</v>
      </c>
      <c r="Q2089" t="n">
        <v>0</v>
      </c>
      <c r="R2089" t="inlineStr">
        <is>
          <t>T1190:Exploit Public-Facing Application | T1133:External Remote Services</t>
        </is>
      </c>
      <c r="S2089" t="n">
        <v>2</v>
      </c>
      <c r="T2089" t="inlineStr">
        <is>
          <t>MEDIUM (52%)</t>
        </is>
      </c>
      <c r="U2089" t="inlineStr">
        <is>
          <t>CHECK_VENDOR</t>
        </is>
      </c>
      <c r="V2089" t="inlineStr">
        <is>
          <t>YES</t>
        </is>
      </c>
      <c r="W2089" t="inlineStr">
        <is>
          <t>/defense/advisories/public/2026/cpai-2025-12582.html</t>
        </is>
      </c>
      <c r="X2089" t="inlineStr">
        <is>
          <t>NONE</t>
        </is>
      </c>
      <c r="Y2089" t="n">
        <v>0</v>
      </c>
      <c r="Z2089" t="inlineStr"/>
      <c r="AA2089" t="inlineStr">
        <is>
          <t>/defense/advisories/public/2026/cpai-2025-12582.html</t>
        </is>
      </c>
    </row>
    <row r="2090">
      <c r="A2090" t="inlineStr">
        <is>
          <t>FIREWALL_ADVISORY</t>
        </is>
      </c>
      <c r="B2090" t="inlineStr">
        <is>
          <t>CPAI-2025-12449</t>
        </is>
      </c>
      <c r="C2090" t="inlineStr">
        <is>
          <t>Check Point Advisory: CPAI-2025-12449 | The post CPAI-2025-12449 appeared first on Check Point Software .</t>
        </is>
      </c>
      <c r="D2090" t="n">
        <v>7.5</v>
      </c>
      <c r="E2090" t="inlineStr">
        <is>
          <t>HIGH</t>
        </is>
      </c>
      <c r="F2090" t="n">
        <v>2</v>
      </c>
      <c r="G2090" t="n">
        <v>2</v>
      </c>
      <c r="H2090" t="inlineStr">
        <is>
          <t>MEDIUM</t>
        </is>
      </c>
      <c r="I2090" t="n">
        <v>11.5</v>
      </c>
      <c r="J2090" t="inlineStr">
        <is>
          <t>NO</t>
        </is>
      </c>
      <c r="K2090" t="inlineStr">
        <is>
          <t>2026-02-26 00:15</t>
        </is>
      </c>
      <c r="L2090" t="inlineStr">
        <is>
          <t>YES - Apply vendor patch immediately</t>
        </is>
      </c>
      <c r="M2090" t="inlineStr">
        <is>
          <t>Check Point Gaia OS / CloudGuard / Quantum</t>
        </is>
      </c>
      <c r="N2090" t="inlineStr">
        <is>
          <t>P3</t>
        </is>
      </c>
      <c r="O2090" t="inlineStr">
        <is>
          <t>Firewall Advisory - Check Point</t>
        </is>
      </c>
      <c r="P2090" t="n">
        <v>0</v>
      </c>
      <c r="Q2090" t="n">
        <v>0</v>
      </c>
      <c r="R2090" t="inlineStr">
        <is>
          <t>T1190:Exploit Public-Facing Application | T1133:External Remote Services</t>
        </is>
      </c>
      <c r="S2090" t="n">
        <v>2</v>
      </c>
      <c r="T2090" t="inlineStr">
        <is>
          <t>MEDIUM (52%)</t>
        </is>
      </c>
      <c r="U2090" t="inlineStr">
        <is>
          <t>CHECK_VENDOR</t>
        </is>
      </c>
      <c r="V2090" t="inlineStr">
        <is>
          <t>YES</t>
        </is>
      </c>
      <c r="W2090" t="inlineStr">
        <is>
          <t>/defense/advisories/public/2026/cpai-2025-12449.html</t>
        </is>
      </c>
      <c r="X2090" t="inlineStr">
        <is>
          <t>NONE</t>
        </is>
      </c>
      <c r="Y2090" t="n">
        <v>0</v>
      </c>
      <c r="Z2090" t="inlineStr"/>
      <c r="AA2090" t="inlineStr">
        <is>
          <t>/defense/advisories/public/2026/cpai-2025-12449.html</t>
        </is>
      </c>
    </row>
    <row r="2091">
      <c r="A2091" t="inlineStr">
        <is>
          <t>FIREWALL_ADVISORY</t>
        </is>
      </c>
      <c r="B2091" t="inlineStr">
        <is>
          <t>CPAI-2025-12453</t>
        </is>
      </c>
      <c r="C2091" t="inlineStr">
        <is>
          <t>Check Point Advisory: CPAI-2025-12453 | The post CPAI-2025-12453 appeared first on Check Point Software .</t>
        </is>
      </c>
      <c r="D2091" t="n">
        <v>7.5</v>
      </c>
      <c r="E2091" t="inlineStr">
        <is>
          <t>HIGH</t>
        </is>
      </c>
      <c r="F2091" t="n">
        <v>2</v>
      </c>
      <c r="G2091" t="n">
        <v>2</v>
      </c>
      <c r="H2091" t="inlineStr">
        <is>
          <t>MEDIUM</t>
        </is>
      </c>
      <c r="I2091" t="n">
        <v>11.5</v>
      </c>
      <c r="J2091" t="inlineStr">
        <is>
          <t>NO</t>
        </is>
      </c>
      <c r="K2091" t="inlineStr">
        <is>
          <t>2026-02-26 00:15</t>
        </is>
      </c>
      <c r="L2091" t="inlineStr">
        <is>
          <t>YES - Apply vendor patch immediately</t>
        </is>
      </c>
      <c r="M2091" t="inlineStr">
        <is>
          <t>Check Point Gaia OS / CloudGuard / Quantum</t>
        </is>
      </c>
      <c r="N2091" t="inlineStr">
        <is>
          <t>P3</t>
        </is>
      </c>
      <c r="O2091" t="inlineStr">
        <is>
          <t>Firewall Advisory - Check Point</t>
        </is>
      </c>
      <c r="P2091" t="n">
        <v>0</v>
      </c>
      <c r="Q2091" t="n">
        <v>0</v>
      </c>
      <c r="R2091" t="inlineStr">
        <is>
          <t>T1190:Exploit Public-Facing Application | T1133:External Remote Services</t>
        </is>
      </c>
      <c r="S2091" t="n">
        <v>2</v>
      </c>
      <c r="T2091" t="inlineStr">
        <is>
          <t>MEDIUM (52%)</t>
        </is>
      </c>
      <c r="U2091" t="inlineStr">
        <is>
          <t>CHECK_VENDOR</t>
        </is>
      </c>
      <c r="V2091" t="inlineStr">
        <is>
          <t>YES</t>
        </is>
      </c>
      <c r="W2091" t="inlineStr">
        <is>
          <t>/defense/advisories/public/2026/cpai-2025-12453.html</t>
        </is>
      </c>
      <c r="X2091" t="inlineStr">
        <is>
          <t>NONE</t>
        </is>
      </c>
      <c r="Y2091" t="n">
        <v>0</v>
      </c>
      <c r="Z2091" t="inlineStr"/>
      <c r="AA2091" t="inlineStr">
        <is>
          <t>/defense/advisories/public/2026/cpai-2025-12453.html</t>
        </is>
      </c>
    </row>
    <row r="2092">
      <c r="A2092" t="inlineStr">
        <is>
          <t>FIREWALL_ADVISORY</t>
        </is>
      </c>
      <c r="B2092" t="inlineStr">
        <is>
          <t>CPAI-2025-12332</t>
        </is>
      </c>
      <c r="C2092" t="inlineStr">
        <is>
          <t>Check Point Advisory: CPAI-2025-12332 | The post CPAI-2025-12332 appeared first on Check Point Software .</t>
        </is>
      </c>
      <c r="D2092" t="n">
        <v>7.5</v>
      </c>
      <c r="E2092" t="inlineStr">
        <is>
          <t>HIGH</t>
        </is>
      </c>
      <c r="F2092" t="n">
        <v>2</v>
      </c>
      <c r="G2092" t="n">
        <v>2</v>
      </c>
      <c r="H2092" t="inlineStr">
        <is>
          <t>MEDIUM</t>
        </is>
      </c>
      <c r="I2092" t="n">
        <v>11.5</v>
      </c>
      <c r="J2092" t="inlineStr">
        <is>
          <t>NO</t>
        </is>
      </c>
      <c r="K2092" t="inlineStr">
        <is>
          <t>2026-02-26 00:15</t>
        </is>
      </c>
      <c r="L2092" t="inlineStr">
        <is>
          <t>YES - Apply vendor patch immediately</t>
        </is>
      </c>
      <c r="M2092" t="inlineStr">
        <is>
          <t>Check Point Gaia OS / CloudGuard / Quantum</t>
        </is>
      </c>
      <c r="N2092" t="inlineStr">
        <is>
          <t>P3</t>
        </is>
      </c>
      <c r="O2092" t="inlineStr">
        <is>
          <t>Firewall Advisory - Check Point</t>
        </is>
      </c>
      <c r="P2092" t="n">
        <v>0</v>
      </c>
      <c r="Q2092" t="n">
        <v>0</v>
      </c>
      <c r="R2092" t="inlineStr">
        <is>
          <t>T1190:Exploit Public-Facing Application | T1133:External Remote Services</t>
        </is>
      </c>
      <c r="S2092" t="n">
        <v>2</v>
      </c>
      <c r="T2092" t="inlineStr">
        <is>
          <t>MEDIUM (52%)</t>
        </is>
      </c>
      <c r="U2092" t="inlineStr">
        <is>
          <t>CHECK_VENDOR</t>
        </is>
      </c>
      <c r="V2092" t="inlineStr">
        <is>
          <t>YES</t>
        </is>
      </c>
      <c r="W2092" t="inlineStr">
        <is>
          <t>/defense/advisories/public/2026/cpai-2025-12332.html</t>
        </is>
      </c>
      <c r="X2092" t="inlineStr">
        <is>
          <t>NONE</t>
        </is>
      </c>
      <c r="Y2092" t="n">
        <v>0</v>
      </c>
      <c r="Z2092" t="inlineStr"/>
      <c r="AA2092" t="inlineStr">
        <is>
          <t>/defense/advisories/public/2026/cpai-2025-12332.html</t>
        </is>
      </c>
    </row>
    <row r="2093">
      <c r="A2093" t="inlineStr">
        <is>
          <t>FIREWALL_ADVISORY</t>
        </is>
      </c>
      <c r="B2093" t="inlineStr">
        <is>
          <t>CPAI-2026-0972</t>
        </is>
      </c>
      <c r="C2093" t="inlineStr">
        <is>
          <t>Check Point Advisory: CPAI-2026-0972 | The post CPAI-2026-0972 appeared first on Check Point Software .</t>
        </is>
      </c>
      <c r="D2093" t="n">
        <v>7.5</v>
      </c>
      <c r="E2093" t="inlineStr">
        <is>
          <t>HIGH</t>
        </is>
      </c>
      <c r="F2093" t="n">
        <v>2</v>
      </c>
      <c r="G2093" t="n">
        <v>2</v>
      </c>
      <c r="H2093" t="inlineStr">
        <is>
          <t>MEDIUM</t>
        </is>
      </c>
      <c r="I2093" t="n">
        <v>11.5</v>
      </c>
      <c r="J2093" t="inlineStr">
        <is>
          <t>NO</t>
        </is>
      </c>
      <c r="K2093" t="inlineStr">
        <is>
          <t>2026-02-26 00:15</t>
        </is>
      </c>
      <c r="L2093" t="inlineStr">
        <is>
          <t>YES - Apply vendor patch immediately</t>
        </is>
      </c>
      <c r="M2093" t="inlineStr">
        <is>
          <t>Check Point Gaia OS / CloudGuard / Quantum</t>
        </is>
      </c>
      <c r="N2093" t="inlineStr">
        <is>
          <t>P3</t>
        </is>
      </c>
      <c r="O2093" t="inlineStr">
        <is>
          <t>Firewall Advisory - Check Point</t>
        </is>
      </c>
      <c r="P2093" t="n">
        <v>0</v>
      </c>
      <c r="Q2093" t="n">
        <v>0</v>
      </c>
      <c r="R2093" t="inlineStr">
        <is>
          <t>T1190:Exploit Public-Facing Application | T1133:External Remote Services</t>
        </is>
      </c>
      <c r="S2093" t="n">
        <v>2</v>
      </c>
      <c r="T2093" t="inlineStr">
        <is>
          <t>MEDIUM (52%)</t>
        </is>
      </c>
      <c r="U2093" t="inlineStr">
        <is>
          <t>CHECK_VENDOR</t>
        </is>
      </c>
      <c r="V2093" t="inlineStr">
        <is>
          <t>YES</t>
        </is>
      </c>
      <c r="W2093" t="inlineStr">
        <is>
          <t>/defense/advisories/public/2026/cpai-2026-0972.html</t>
        </is>
      </c>
      <c r="X2093" t="inlineStr">
        <is>
          <t>NONE</t>
        </is>
      </c>
      <c r="Y2093" t="n">
        <v>0</v>
      </c>
      <c r="Z2093" t="inlineStr"/>
      <c r="AA2093" t="inlineStr">
        <is>
          <t>/defense/advisories/public/2026/cpai-2026-0972.html</t>
        </is>
      </c>
    </row>
    <row r="2094">
      <c r="A2094" t="inlineStr">
        <is>
          <t>FIREWALL_ADVISORY</t>
        </is>
      </c>
      <c r="B2094" t="inlineStr">
        <is>
          <t>CVE-2025-13942</t>
        </is>
      </c>
      <c r="C2094" t="inlineStr">
        <is>
          <t xml:space="preserve">Zyxel Advisory: A command injection vulnerability in the UPnP function of the Zyxel EX3510-B0 firmware versions through 5.17(ABUP.15.1)C0 could allow a remote attacker to execute operating system (OS) commands on an </t>
        </is>
      </c>
      <c r="D2094" t="n">
        <v>9</v>
      </c>
      <c r="E2094" t="inlineStr">
        <is>
          <t>CRITICAL</t>
        </is>
      </c>
      <c r="F2094" t="n">
        <v>3</v>
      </c>
      <c r="G2094" t="n">
        <v>3</v>
      </c>
      <c r="H2094" t="inlineStr">
        <is>
          <t>CRITICAL</t>
        </is>
      </c>
      <c r="I2094" t="n">
        <v>18</v>
      </c>
      <c r="J2094" t="inlineStr">
        <is>
          <t>NO</t>
        </is>
      </c>
      <c r="K2094" t="inlineStr">
        <is>
          <t>2026-02-26 00:15</t>
        </is>
      </c>
      <c r="L2094" t="inlineStr">
        <is>
          <t>YES - Apply vendor patch immediately</t>
        </is>
      </c>
      <c r="M2094" t="inlineStr">
        <is>
          <t>Zyxel Firewall / VPN / NAS / ATP Series</t>
        </is>
      </c>
      <c r="N2094" t="inlineStr">
        <is>
          <t>P1</t>
        </is>
      </c>
      <c r="O2094" t="inlineStr">
        <is>
          <t>Firewall Advisory - Zyxel</t>
        </is>
      </c>
      <c r="P2094" t="n">
        <v>0</v>
      </c>
      <c r="Q2094" t="n">
        <v>0</v>
      </c>
      <c r="R2094" t="inlineStr">
        <is>
          <t>T1190:Exploit Public-Facing Application | T1133:External Remote Services</t>
        </is>
      </c>
      <c r="S2094" t="n">
        <v>2</v>
      </c>
      <c r="T2094" t="inlineStr">
        <is>
          <t>MEDIUM (52%)</t>
        </is>
      </c>
      <c r="U2094" t="inlineStr">
        <is>
          <t>CHECK_VENDOR</t>
        </is>
      </c>
      <c r="V2094" t="inlineStr">
        <is>
          <t>YES</t>
        </is>
      </c>
      <c r="W2094" t="inlineStr">
        <is>
          <t>https://nvd.nist.gov/vuln/detail/CVE-2025-13942</t>
        </is>
      </c>
      <c r="X2094" t="inlineStr">
        <is>
          <t>NONE</t>
        </is>
      </c>
      <c r="Y2094" t="n">
        <v>0</v>
      </c>
      <c r="Z2094" t="inlineStr"/>
      <c r="AA2094" t="inlineStr">
        <is>
          <t>https://nvd.nist.gov/vuln/detail/CVE-2025-13942</t>
        </is>
      </c>
    </row>
    <row r="2095">
      <c r="A2095" t="inlineStr">
        <is>
          <t>FIREWALL_ADVISORY</t>
        </is>
      </c>
      <c r="B2095" t="inlineStr">
        <is>
          <t>WatchG-ADV</t>
        </is>
      </c>
      <c r="C2095" t="inlineStr">
        <is>
          <t>WatchGuard Advisory: WatchGuard Firebox LDAP Injection | WatchGuard Firebox LDAP Injection Advisory ID &lt;div class="field__it</t>
        </is>
      </c>
      <c r="D2095" t="n">
        <v>7.5</v>
      </c>
      <c r="E2095" t="inlineStr">
        <is>
          <t>HIGH</t>
        </is>
      </c>
      <c r="F2095" t="n">
        <v>2</v>
      </c>
      <c r="G2095" t="n">
        <v>2</v>
      </c>
      <c r="H2095" t="inlineStr">
        <is>
          <t>MEDIUM</t>
        </is>
      </c>
      <c r="I2095" t="n">
        <v>11.5</v>
      </c>
      <c r="J2095" t="inlineStr">
        <is>
          <t>NO</t>
        </is>
      </c>
      <c r="K2095" t="inlineStr">
        <is>
          <t>2026-02-26 00:15</t>
        </is>
      </c>
      <c r="L2095" t="inlineStr">
        <is>
          <t>YES - Apply vendor patch immediately</t>
        </is>
      </c>
      <c r="M2095" t="inlineStr">
        <is>
          <t>WatchGuard Firebox / FireboxV / WatchGuard Cloud</t>
        </is>
      </c>
      <c r="N2095" t="inlineStr">
        <is>
          <t>P3</t>
        </is>
      </c>
      <c r="O2095" t="inlineStr">
        <is>
          <t>Firewall Advisory - WatchGuard</t>
        </is>
      </c>
      <c r="P2095" t="n">
        <v>0</v>
      </c>
      <c r="Q2095" t="n">
        <v>0</v>
      </c>
      <c r="R2095" t="inlineStr">
        <is>
          <t>T1190:Exploit Public-Facing Application | T1133:External Remote Services</t>
        </is>
      </c>
      <c r="S2095" t="n">
        <v>2</v>
      </c>
      <c r="T2095" t="inlineStr">
        <is>
          <t>MEDIUM (52%)</t>
        </is>
      </c>
      <c r="U2095" t="inlineStr">
        <is>
          <t>CHECK_VENDOR</t>
        </is>
      </c>
      <c r="V2095" t="inlineStr">
        <is>
          <t>YES</t>
        </is>
      </c>
      <c r="W2095" t="inlineStr">
        <is>
          <t>https://www.watchguard.com/wgrd-psirt/advisory/wgsa-2026-00001</t>
        </is>
      </c>
      <c r="X2095" t="inlineStr">
        <is>
          <t>NONE</t>
        </is>
      </c>
      <c r="Y2095" t="n">
        <v>0</v>
      </c>
      <c r="Z2095" t="inlineStr"/>
      <c r="AA2095" t="inlineStr">
        <is>
          <t>https://www.watchguard.com/wgrd-psirt/advisory/wgsa-2026-00001</t>
        </is>
      </c>
    </row>
    <row r="2096">
      <c r="A2096" t="inlineStr">
        <is>
          <t>FIREWALL_ADVISORY</t>
        </is>
      </c>
      <c r="B2096" t="inlineStr">
        <is>
          <t>WatchG-ADV</t>
        </is>
      </c>
      <c r="C2096" t="inlineStr">
        <is>
          <t>WatchGuard Advisory: NCP IPSec VPN Client MSI Installer Privilege Escallation (NCPVE-2025-0626) | NCP IPSec VPN Client MSI Installer Privilege Escallation (NCPVE-2025-0626) Advisory ID</t>
        </is>
      </c>
      <c r="D2096" t="n">
        <v>7.5</v>
      </c>
      <c r="E2096" t="inlineStr">
        <is>
          <t>HIGH</t>
        </is>
      </c>
      <c r="F2096" t="n">
        <v>2</v>
      </c>
      <c r="G2096" t="n">
        <v>2</v>
      </c>
      <c r="H2096" t="inlineStr">
        <is>
          <t>MEDIUM</t>
        </is>
      </c>
      <c r="I2096" t="n">
        <v>11.5</v>
      </c>
      <c r="J2096" t="inlineStr">
        <is>
          <t>NO</t>
        </is>
      </c>
      <c r="K2096" t="inlineStr">
        <is>
          <t>2026-02-26 00:15</t>
        </is>
      </c>
      <c r="L2096" t="inlineStr">
        <is>
          <t>YES - Apply vendor patch immediately</t>
        </is>
      </c>
      <c r="M2096" t="inlineStr">
        <is>
          <t>WatchGuard Firebox / FireboxV / WatchGuard Cloud</t>
        </is>
      </c>
      <c r="N2096" t="inlineStr">
        <is>
          <t>P3</t>
        </is>
      </c>
      <c r="O2096" t="inlineStr">
        <is>
          <t>Firewall Advisory - WatchGuard</t>
        </is>
      </c>
      <c r="P2096" t="n">
        <v>0</v>
      </c>
      <c r="Q2096" t="n">
        <v>0</v>
      </c>
      <c r="R2096" t="inlineStr">
        <is>
          <t>T1190:Exploit Public-Facing Application | T1133:External Remote Services</t>
        </is>
      </c>
      <c r="S2096" t="n">
        <v>2</v>
      </c>
      <c r="T2096" t="inlineStr">
        <is>
          <t>MEDIUM (52%)</t>
        </is>
      </c>
      <c r="U2096" t="inlineStr">
        <is>
          <t>CHECK_VENDOR</t>
        </is>
      </c>
      <c r="V2096" t="inlineStr">
        <is>
          <t>YES</t>
        </is>
      </c>
      <c r="W2096" t="inlineStr">
        <is>
          <t>https://www.watchguard.com/wgrd-psirt/advisory/wgsa-2026-00002</t>
        </is>
      </c>
      <c r="X2096" t="inlineStr">
        <is>
          <t>NONE</t>
        </is>
      </c>
      <c r="Y2096" t="n">
        <v>0</v>
      </c>
      <c r="Z2096" t="inlineStr"/>
      <c r="AA2096" t="inlineStr">
        <is>
          <t>https://www.watchguard.com/wgrd-psirt/advisory/wgsa-2026-00002</t>
        </is>
      </c>
    </row>
    <row r="2097">
      <c r="A2097" t="inlineStr">
        <is>
          <t>FIREWALL_ADVISORY</t>
        </is>
      </c>
      <c r="B2097" t="inlineStr">
        <is>
          <t>WatchG-ADV</t>
        </is>
      </c>
      <c r="C2097" t="inlineStr">
        <is>
          <t>WatchGuard Advisory: WatchGuard Firebox iked Out of Bounds Write Vulnerability | WatchGuard Firebox iked Out of Bounds Write Vulnerability Advisory ID</t>
        </is>
      </c>
      <c r="D2097" t="n">
        <v>7.5</v>
      </c>
      <c r="E2097" t="inlineStr">
        <is>
          <t>HIGH</t>
        </is>
      </c>
      <c r="F2097" t="n">
        <v>2</v>
      </c>
      <c r="G2097" t="n">
        <v>2</v>
      </c>
      <c r="H2097" t="inlineStr">
        <is>
          <t>MEDIUM</t>
        </is>
      </c>
      <c r="I2097" t="n">
        <v>11.5</v>
      </c>
      <c r="J2097" t="inlineStr">
        <is>
          <t>NO</t>
        </is>
      </c>
      <c r="K2097" t="inlineStr">
        <is>
          <t>2026-02-26 00:15</t>
        </is>
      </c>
      <c r="L2097" t="inlineStr">
        <is>
          <t>YES - Apply vendor patch immediately</t>
        </is>
      </c>
      <c r="M2097" t="inlineStr">
        <is>
          <t>WatchGuard Firebox / FireboxV / WatchGuard Cloud</t>
        </is>
      </c>
      <c r="N2097" t="inlineStr">
        <is>
          <t>P3</t>
        </is>
      </c>
      <c r="O2097" t="inlineStr">
        <is>
          <t>Firewall Advisory - WatchGuard</t>
        </is>
      </c>
      <c r="P2097" t="n">
        <v>0</v>
      </c>
      <c r="Q2097" t="n">
        <v>0</v>
      </c>
      <c r="R2097" t="inlineStr">
        <is>
          <t>T1190:Exploit Public-Facing Application | T1133:External Remote Services</t>
        </is>
      </c>
      <c r="S2097" t="n">
        <v>2</v>
      </c>
      <c r="T2097" t="inlineStr">
        <is>
          <t>MEDIUM (52%)</t>
        </is>
      </c>
      <c r="U2097" t="inlineStr">
        <is>
          <t>CHECK_VENDOR</t>
        </is>
      </c>
      <c r="V2097" t="inlineStr">
        <is>
          <t>YES</t>
        </is>
      </c>
      <c r="W2097" t="inlineStr">
        <is>
          <t>https://www.watchguard.com/wgrd-psirt/advisory/wgsa-2025-00027</t>
        </is>
      </c>
      <c r="X2097" t="inlineStr">
        <is>
          <t>NONE</t>
        </is>
      </c>
      <c r="Y2097" t="n">
        <v>0</v>
      </c>
      <c r="Z2097" t="inlineStr"/>
      <c r="AA2097" t="inlineStr">
        <is>
          <t>https://www.watchguard.com/wgrd-psirt/advisory/wgsa-2025-00027</t>
        </is>
      </c>
    </row>
    <row r="2098">
      <c r="A2098" t="inlineStr">
        <is>
          <t>FIREWALL_ADVISORY</t>
        </is>
      </c>
      <c r="B2098" t="inlineStr">
        <is>
          <t>WatchG-ADV</t>
        </is>
      </c>
      <c r="C2098" t="inlineStr">
        <is>
          <t>WatchGuard Advisory: WatchGuard Firebox Boot Time System Integrity Check Bypass | WatchGuard Firebox Boot Time System Integrity Check Bypass Advisory ID</t>
        </is>
      </c>
      <c r="D2098" t="n">
        <v>7.5</v>
      </c>
      <c r="E2098" t="inlineStr">
        <is>
          <t>HIGH</t>
        </is>
      </c>
      <c r="F2098" t="n">
        <v>2</v>
      </c>
      <c r="G2098" t="n">
        <v>2</v>
      </c>
      <c r="H2098" t="inlineStr">
        <is>
          <t>MEDIUM</t>
        </is>
      </c>
      <c r="I2098" t="n">
        <v>11.5</v>
      </c>
      <c r="J2098" t="inlineStr">
        <is>
          <t>NO</t>
        </is>
      </c>
      <c r="K2098" t="inlineStr">
        <is>
          <t>2026-02-26 00:15</t>
        </is>
      </c>
      <c r="L2098" t="inlineStr">
        <is>
          <t>YES - Apply vendor patch immediately</t>
        </is>
      </c>
      <c r="M2098" t="inlineStr">
        <is>
          <t>WatchGuard Firebox / FireboxV / WatchGuard Cloud</t>
        </is>
      </c>
      <c r="N2098" t="inlineStr">
        <is>
          <t>P3</t>
        </is>
      </c>
      <c r="O2098" t="inlineStr">
        <is>
          <t>Firewall Advisory - WatchGuard</t>
        </is>
      </c>
      <c r="P2098" t="n">
        <v>0</v>
      </c>
      <c r="Q2098" t="n">
        <v>0</v>
      </c>
      <c r="R2098" t="inlineStr">
        <is>
          <t>T1190:Exploit Public-Facing Application | T1133:External Remote Services</t>
        </is>
      </c>
      <c r="S2098" t="n">
        <v>2</v>
      </c>
      <c r="T2098" t="inlineStr">
        <is>
          <t>MEDIUM (52%)</t>
        </is>
      </c>
      <c r="U2098" t="inlineStr">
        <is>
          <t>CHECK_VENDOR</t>
        </is>
      </c>
      <c r="V2098" t="inlineStr">
        <is>
          <t>YES</t>
        </is>
      </c>
      <c r="W2098" t="inlineStr">
        <is>
          <t>https://www.watchguard.com/wgrd-psirt/advisory/wgsa-2025-00026</t>
        </is>
      </c>
      <c r="X2098" t="inlineStr">
        <is>
          <t>NONE</t>
        </is>
      </c>
      <c r="Y2098" t="n">
        <v>0</v>
      </c>
      <c r="Z2098" t="inlineStr"/>
      <c r="AA2098" t="inlineStr">
        <is>
          <t>https://www.watchguard.com/wgrd-psirt/advisory/wgsa-2025-00026</t>
        </is>
      </c>
    </row>
    <row r="2099">
      <c r="A2099" t="inlineStr">
        <is>
          <t>FIREWALL_ADVISORY</t>
        </is>
      </c>
      <c r="B2099" t="inlineStr">
        <is>
          <t>WatchG-ADV</t>
        </is>
      </c>
      <c r="C2099" t="inlineStr">
        <is>
          <t>WatchGuard Advisory: WatchGuard Firebox iked Memory Corruption Vulnerability | WatchGuard Firebox iked Memory Corruption Vulnerability Advisory ID</t>
        </is>
      </c>
      <c r="D2099" t="n">
        <v>7.5</v>
      </c>
      <c r="E2099" t="inlineStr">
        <is>
          <t>HIGH</t>
        </is>
      </c>
      <c r="F2099" t="n">
        <v>2</v>
      </c>
      <c r="G2099" t="n">
        <v>2</v>
      </c>
      <c r="H2099" t="inlineStr">
        <is>
          <t>MEDIUM</t>
        </is>
      </c>
      <c r="I2099" t="n">
        <v>11.5</v>
      </c>
      <c r="J2099" t="inlineStr">
        <is>
          <t>NO</t>
        </is>
      </c>
      <c r="K2099" t="inlineStr">
        <is>
          <t>2026-02-26 00:15</t>
        </is>
      </c>
      <c r="L2099" t="inlineStr">
        <is>
          <t>YES - Apply vendor patch immediately</t>
        </is>
      </c>
      <c r="M2099" t="inlineStr">
        <is>
          <t>WatchGuard Firebox / FireboxV / WatchGuard Cloud</t>
        </is>
      </c>
      <c r="N2099" t="inlineStr">
        <is>
          <t>P3</t>
        </is>
      </c>
      <c r="O2099" t="inlineStr">
        <is>
          <t>Firewall Advisory - WatchGuard</t>
        </is>
      </c>
      <c r="P2099" t="n">
        <v>0</v>
      </c>
      <c r="Q2099" t="n">
        <v>0</v>
      </c>
      <c r="R2099" t="inlineStr">
        <is>
          <t>T1190:Exploit Public-Facing Application | T1133:External Remote Services</t>
        </is>
      </c>
      <c r="S2099" t="n">
        <v>2</v>
      </c>
      <c r="T2099" t="inlineStr">
        <is>
          <t>MEDIUM (52%)</t>
        </is>
      </c>
      <c r="U2099" t="inlineStr">
        <is>
          <t>CHECK_VENDOR</t>
        </is>
      </c>
      <c r="V2099" t="inlineStr">
        <is>
          <t>YES</t>
        </is>
      </c>
      <c r="W2099" t="inlineStr">
        <is>
          <t>https://www.watchguard.com/wgrd-psirt/advisory/wgsa-2025-00018</t>
        </is>
      </c>
      <c r="X2099" t="inlineStr">
        <is>
          <t>NONE</t>
        </is>
      </c>
      <c r="Y2099" t="n">
        <v>0</v>
      </c>
      <c r="Z2099" t="inlineStr"/>
      <c r="AA2099" t="inlineStr">
        <is>
          <t>https://www.watchguard.com/wgrd-psirt/advisory/wgsa-2025-00018</t>
        </is>
      </c>
    </row>
    <row r="2100">
      <c r="A2100" t="inlineStr">
        <is>
          <t>FIREWALL_ADVISORY</t>
        </is>
      </c>
      <c r="B2100" t="inlineStr">
        <is>
          <t>FG-IR</t>
        </is>
      </c>
      <c r="C2100" t="inlineStr">
        <is>
          <t>Fortinet PSIRT: OpenSSL CVE-2025-15467 | CVSSv3 Score: 9.8 CVE-2025-15467Parsing CMS AuthEnvelopedData message with maliciously crafted AEAD parameters can trigger a stack buffer overflow. A stack buffer overflow may lead to a crash, causing</t>
        </is>
      </c>
      <c r="D2100" t="n">
        <v>7.5</v>
      </c>
      <c r="E2100" t="inlineStr">
        <is>
          <t>HIGH</t>
        </is>
      </c>
      <c r="F2100" t="n">
        <v>2</v>
      </c>
      <c r="G2100" t="n">
        <v>2</v>
      </c>
      <c r="H2100" t="inlineStr">
        <is>
          <t>MEDIUM</t>
        </is>
      </c>
      <c r="I2100" t="n">
        <v>11.5</v>
      </c>
      <c r="J2100" t="inlineStr">
        <is>
          <t>NO</t>
        </is>
      </c>
      <c r="K2100" t="inlineStr">
        <is>
          <t>2026-02-26 00:15</t>
        </is>
      </c>
      <c r="L2100" t="inlineStr">
        <is>
          <t>YES - Apply vendor patch immediately</t>
        </is>
      </c>
      <c r="M2100" t="inlineStr">
        <is>
          <t>FortiOS / FortiGate / FortiProxy / FortiManager</t>
        </is>
      </c>
      <c r="N2100" t="inlineStr">
        <is>
          <t>P3</t>
        </is>
      </c>
      <c r="O2100" t="inlineStr">
        <is>
          <t>Firewall Advisory - Fortinet</t>
        </is>
      </c>
      <c r="P2100" t="n">
        <v>0</v>
      </c>
      <c r="Q2100" t="n">
        <v>0</v>
      </c>
      <c r="R2100" t="inlineStr">
        <is>
          <t>T1190:Exploit Public-Facing Application | T1133:External Remote Services</t>
        </is>
      </c>
      <c r="S2100" t="n">
        <v>2</v>
      </c>
      <c r="T2100" t="inlineStr">
        <is>
          <t>MEDIUM (52%)</t>
        </is>
      </c>
      <c r="U2100" t="inlineStr">
        <is>
          <t>CHECK_VENDOR</t>
        </is>
      </c>
      <c r="V2100" t="inlineStr">
        <is>
          <t>YES</t>
        </is>
      </c>
      <c r="W2100" t="inlineStr">
        <is>
          <t>https://fortiguard.fortinet.com/psirt/FG-IR-26-076</t>
        </is>
      </c>
      <c r="X2100" t="inlineStr">
        <is>
          <t>NONE</t>
        </is>
      </c>
      <c r="Y2100" t="n">
        <v>0</v>
      </c>
      <c r="Z2100" t="inlineStr"/>
      <c r="AA2100" t="inlineStr">
        <is>
          <t>https://fortiguard.fortinet.com/psirt/FG-IR-26-076</t>
        </is>
      </c>
    </row>
    <row r="2101">
      <c r="A2101" t="inlineStr">
        <is>
          <t>FIREWALL_ADVISORY</t>
        </is>
      </c>
      <c r="B2101" t="inlineStr">
        <is>
          <t>FG-IR</t>
        </is>
      </c>
      <c r="C2101" t="inlineStr">
        <is>
          <t>Fortinet PSIRT: Heap-based buffer overflow in cw_acd daemon | CVSSv3 Score: 7.4 A heap-based buffer overflow vulnerability [CWE-122] in FortiOS and FortiSwitchManager cw_acd daemon may allow a remote unauthenticated attacker to execute arbitrary code or commands</t>
        </is>
      </c>
      <c r="D2101" t="n">
        <v>7.5</v>
      </c>
      <c r="E2101" t="inlineStr">
        <is>
          <t>HIGH</t>
        </is>
      </c>
      <c r="F2101" t="n">
        <v>2</v>
      </c>
      <c r="G2101" t="n">
        <v>2</v>
      </c>
      <c r="H2101" t="inlineStr">
        <is>
          <t>MEDIUM</t>
        </is>
      </c>
      <c r="I2101" t="n">
        <v>11.5</v>
      </c>
      <c r="J2101" t="inlineStr">
        <is>
          <t>NO</t>
        </is>
      </c>
      <c r="K2101" t="inlineStr">
        <is>
          <t>2026-02-26 00:15</t>
        </is>
      </c>
      <c r="L2101" t="inlineStr">
        <is>
          <t>YES - Apply vendor patch immediately</t>
        </is>
      </c>
      <c r="M2101" t="inlineStr">
        <is>
          <t>FortiOS / FortiGate / FortiProxy / FortiManager</t>
        </is>
      </c>
      <c r="N2101" t="inlineStr">
        <is>
          <t>P3</t>
        </is>
      </c>
      <c r="O2101" t="inlineStr">
        <is>
          <t>Firewall Advisory - Fortinet</t>
        </is>
      </c>
      <c r="P2101" t="n">
        <v>0</v>
      </c>
      <c r="Q2101" t="n">
        <v>0</v>
      </c>
      <c r="R2101" t="inlineStr">
        <is>
          <t>T1190:Exploit Public-Facing Application | T1133:External Remote Services</t>
        </is>
      </c>
      <c r="S2101" t="n">
        <v>2</v>
      </c>
      <c r="T2101" t="inlineStr">
        <is>
          <t>MEDIUM (52%)</t>
        </is>
      </c>
      <c r="U2101" t="inlineStr">
        <is>
          <t>CHECK_VENDOR</t>
        </is>
      </c>
      <c r="V2101" t="inlineStr">
        <is>
          <t>YES</t>
        </is>
      </c>
      <c r="W2101" t="inlineStr">
        <is>
          <t>https://fortiguard.fortinet.com/psirt/FG-IR-25-084</t>
        </is>
      </c>
      <c r="X2101" t="inlineStr">
        <is>
          <t>NONE</t>
        </is>
      </c>
      <c r="Y2101" t="n">
        <v>0</v>
      </c>
      <c r="Z2101" t="inlineStr"/>
      <c r="AA2101" t="inlineStr">
        <is>
          <t>https://fortiguard.fortinet.com/psirt/FG-IR-25-084</t>
        </is>
      </c>
    </row>
    <row r="2102">
      <c r="A2102" t="inlineStr">
        <is>
          <t>FIREWALL_ADVISORY</t>
        </is>
      </c>
      <c r="B2102" t="inlineStr">
        <is>
          <t>FG-IR</t>
        </is>
      </c>
      <c r="C2102" t="inlineStr">
        <is>
          <t xml:space="preserve">Fortinet PSIRT: SQL injection in forward module | </t>
        </is>
      </c>
      <c r="D2102" t="n">
        <v>7.5</v>
      </c>
      <c r="E2102" t="inlineStr">
        <is>
          <t>HIGH</t>
        </is>
      </c>
      <c r="F2102" t="n">
        <v>2</v>
      </c>
      <c r="G2102" t="n">
        <v>2</v>
      </c>
      <c r="H2102" t="inlineStr">
        <is>
          <t>MEDIUM</t>
        </is>
      </c>
      <c r="I2102" t="n">
        <v>11.5</v>
      </c>
      <c r="J2102" t="inlineStr">
        <is>
          <t>NO</t>
        </is>
      </c>
      <c r="K2102" t="inlineStr">
        <is>
          <t>2026-02-26 00:15</t>
        </is>
      </c>
      <c r="L2102" t="inlineStr">
        <is>
          <t>YES - Apply vendor patch immediately</t>
        </is>
      </c>
      <c r="M2102" t="inlineStr">
        <is>
          <t>FortiOS / FortiGate / FortiProxy / FortiManager</t>
        </is>
      </c>
      <c r="N2102" t="inlineStr">
        <is>
          <t>P3</t>
        </is>
      </c>
      <c r="O2102" t="inlineStr">
        <is>
          <t>Firewall Advisory - Fortinet</t>
        </is>
      </c>
      <c r="P2102" t="n">
        <v>0</v>
      </c>
      <c r="Q2102" t="n">
        <v>0</v>
      </c>
      <c r="R2102" t="inlineStr">
        <is>
          <t>T1190:Exploit Public-Facing Application | T1133:External Remote Services</t>
        </is>
      </c>
      <c r="S2102" t="n">
        <v>2</v>
      </c>
      <c r="T2102" t="inlineStr">
        <is>
          <t>MEDIUM (52%)</t>
        </is>
      </c>
      <c r="U2102" t="inlineStr">
        <is>
          <t>CHECK_VENDOR</t>
        </is>
      </c>
      <c r="V2102" t="inlineStr">
        <is>
          <t>YES</t>
        </is>
      </c>
      <c r="W2102" t="inlineStr">
        <is>
          <t>https://fortiguard.fortinet.com/psirt/#5575</t>
        </is>
      </c>
      <c r="X2102" t="inlineStr">
        <is>
          <t>NONE</t>
        </is>
      </c>
      <c r="Y2102" t="n">
        <v>0</v>
      </c>
      <c r="Z2102" t="inlineStr"/>
      <c r="AA2102" t="inlineStr">
        <is>
          <t>https://fortiguard.fortinet.com/psirt/#5575</t>
        </is>
      </c>
    </row>
    <row r="2103">
      <c r="A2103" t="inlineStr">
        <is>
          <t>FIREWALL_ADVISORY</t>
        </is>
      </c>
      <c r="B2103" t="inlineStr">
        <is>
          <t>FG-IR</t>
        </is>
      </c>
      <c r="C2103" t="inlineStr">
        <is>
          <t>Fortinet PSIRT: Arbitrary XML file write in FCConfig | CVSSv3 Score: 6.4 An Improper Link Resolution Before File Access vulnerability [CWE-59] in FortiClient Windows may allow a local low-privilege attacker to perform an arbitrary file write with elevated</t>
        </is>
      </c>
      <c r="D2103" t="n">
        <v>7.5</v>
      </c>
      <c r="E2103" t="inlineStr">
        <is>
          <t>HIGH</t>
        </is>
      </c>
      <c r="F2103" t="n">
        <v>2</v>
      </c>
      <c r="G2103" t="n">
        <v>2</v>
      </c>
      <c r="H2103" t="inlineStr">
        <is>
          <t>MEDIUM</t>
        </is>
      </c>
      <c r="I2103" t="n">
        <v>11.5</v>
      </c>
      <c r="J2103" t="inlineStr">
        <is>
          <t>NO</t>
        </is>
      </c>
      <c r="K2103" t="inlineStr">
        <is>
          <t>2026-02-26 00:15</t>
        </is>
      </c>
      <c r="L2103" t="inlineStr">
        <is>
          <t>YES - Apply vendor patch immediately</t>
        </is>
      </c>
      <c r="M2103" t="inlineStr">
        <is>
          <t>FortiOS / FortiGate / FortiProxy / FortiManager</t>
        </is>
      </c>
      <c r="N2103" t="inlineStr">
        <is>
          <t>P3</t>
        </is>
      </c>
      <c r="O2103" t="inlineStr">
        <is>
          <t>Firewall Advisory - Fortinet</t>
        </is>
      </c>
      <c r="P2103" t="n">
        <v>0</v>
      </c>
      <c r="Q2103" t="n">
        <v>0</v>
      </c>
      <c r="R2103" t="inlineStr">
        <is>
          <t>T1190:Exploit Public-Facing Application | T1133:External Remote Services</t>
        </is>
      </c>
      <c r="S2103" t="n">
        <v>2</v>
      </c>
      <c r="T2103" t="inlineStr">
        <is>
          <t>MEDIUM (52%)</t>
        </is>
      </c>
      <c r="U2103" t="inlineStr">
        <is>
          <t>CHECK_VENDOR</t>
        </is>
      </c>
      <c r="V2103" t="inlineStr">
        <is>
          <t>YES</t>
        </is>
      </c>
      <c r="W2103" t="inlineStr">
        <is>
          <t>https://fortiguard.fortinet.com/psirt/FG-IR-25-661</t>
        </is>
      </c>
      <c r="X2103" t="inlineStr">
        <is>
          <t>NONE</t>
        </is>
      </c>
      <c r="Y2103" t="n">
        <v>0</v>
      </c>
      <c r="Z2103" t="inlineStr"/>
      <c r="AA2103" t="inlineStr">
        <is>
          <t>https://fortiguard.fortinet.com/psirt/FG-IR-25-661</t>
        </is>
      </c>
    </row>
    <row r="2104">
      <c r="A2104" t="inlineStr">
        <is>
          <t>FIREWALL_ADVISORY</t>
        </is>
      </c>
      <c r="B2104" t="inlineStr">
        <is>
          <t>FG-IR</t>
        </is>
      </c>
      <c r="C2104" t="inlineStr">
        <is>
          <t>Fortinet PSIRT: Firewall policy bypass in FSSO Terminal Services Agent | CVSSv3 Score: 3.8 An Improper Verification of Source of a Communication Channel vulnerability [CWE-940] in FortiOS FSSO Terminal Services Agent may allow an authenticated user with knowledge of FSSO p</t>
        </is>
      </c>
      <c r="D2104" t="n">
        <v>7.5</v>
      </c>
      <c r="E2104" t="inlineStr">
        <is>
          <t>HIGH</t>
        </is>
      </c>
      <c r="F2104" t="n">
        <v>2</v>
      </c>
      <c r="G2104" t="n">
        <v>2</v>
      </c>
      <c r="H2104" t="inlineStr">
        <is>
          <t>MEDIUM</t>
        </is>
      </c>
      <c r="I2104" t="n">
        <v>11.5</v>
      </c>
      <c r="J2104" t="inlineStr">
        <is>
          <t>NO</t>
        </is>
      </c>
      <c r="K2104" t="inlineStr">
        <is>
          <t>2026-02-26 00:15</t>
        </is>
      </c>
      <c r="L2104" t="inlineStr">
        <is>
          <t>YES - Apply vendor patch immediately</t>
        </is>
      </c>
      <c r="M2104" t="inlineStr">
        <is>
          <t>FortiOS / FortiGate / FortiProxy / FortiManager</t>
        </is>
      </c>
      <c r="N2104" t="inlineStr">
        <is>
          <t>P3</t>
        </is>
      </c>
      <c r="O2104" t="inlineStr">
        <is>
          <t>Firewall Advisory - Fortinet</t>
        </is>
      </c>
      <c r="P2104" t="n">
        <v>0</v>
      </c>
      <c r="Q2104" t="n">
        <v>0</v>
      </c>
      <c r="R2104" t="inlineStr">
        <is>
          <t>T1190:Exploit Public-Facing Application | T1133:External Remote Services</t>
        </is>
      </c>
      <c r="S2104" t="n">
        <v>2</v>
      </c>
      <c r="T2104" t="inlineStr">
        <is>
          <t>MEDIUM (52%)</t>
        </is>
      </c>
      <c r="U2104" t="inlineStr">
        <is>
          <t>CHECK_VENDOR</t>
        </is>
      </c>
      <c r="V2104" t="inlineStr">
        <is>
          <t>YES</t>
        </is>
      </c>
      <c r="W2104" t="inlineStr">
        <is>
          <t>https://fortiguard.fortinet.com/psirt/FG-IR-25-384</t>
        </is>
      </c>
      <c r="X2104" t="inlineStr">
        <is>
          <t>NONE</t>
        </is>
      </c>
      <c r="Y2104" t="n">
        <v>0</v>
      </c>
      <c r="Z2104" t="inlineStr"/>
      <c r="AA2104" t="inlineStr">
        <is>
          <t>https://fortiguard.fortinet.com/psirt/FG-IR-25-384</t>
        </is>
      </c>
    </row>
    <row r="2105">
      <c r="A2105" t="inlineStr">
        <is>
          <t>FIREWALL_ADVISORY</t>
        </is>
      </c>
      <c r="B2105" t="inlineStr">
        <is>
          <t>Cisco</t>
        </is>
      </c>
      <c r="C2105" t="inlineStr">
        <is>
          <t>Cisco PSIRT: Cisco Catalyst SD-WAN Vulnerabilities | Multiple vulnerabilities in Cisco Catalyst SD-WAN Manager, formerly SD-WAN vManage, could allow an attacker to access an affected system, elevate privileges to root, gain access to sensitive informati</t>
        </is>
      </c>
      <c r="D2105" t="n">
        <v>7.5</v>
      </c>
      <c r="E2105" t="inlineStr">
        <is>
          <t>HIGH</t>
        </is>
      </c>
      <c r="F2105" t="n">
        <v>2</v>
      </c>
      <c r="G2105" t="n">
        <v>2</v>
      </c>
      <c r="H2105" t="inlineStr">
        <is>
          <t>MEDIUM</t>
        </is>
      </c>
      <c r="I2105" t="n">
        <v>11.5</v>
      </c>
      <c r="J2105" t="inlineStr">
        <is>
          <t>NO</t>
        </is>
      </c>
      <c r="K2105" t="inlineStr">
        <is>
          <t>2026-02-26 00:15</t>
        </is>
      </c>
      <c r="L2105" t="inlineStr">
        <is>
          <t>YES - Apply vendor patch immediately</t>
        </is>
      </c>
      <c r="M2105" t="inlineStr">
        <is>
          <t>Cisco ASA / Firepower / IOS / FTD / FMC</t>
        </is>
      </c>
      <c r="N2105" t="inlineStr">
        <is>
          <t>P3</t>
        </is>
      </c>
      <c r="O2105" t="inlineStr">
        <is>
          <t>Firewall Advisory - Cisco</t>
        </is>
      </c>
      <c r="P2105" t="n">
        <v>0</v>
      </c>
      <c r="Q2105" t="n">
        <v>0</v>
      </c>
      <c r="R2105" t="inlineStr">
        <is>
          <t>T1190:Exploit Public-Facing Application | T1133:External Remote Services</t>
        </is>
      </c>
      <c r="S2105" t="n">
        <v>2</v>
      </c>
      <c r="T2105" t="inlineStr">
        <is>
          <t>MEDIUM (52%)</t>
        </is>
      </c>
      <c r="U2105" t="inlineStr">
        <is>
          <t>CHECK_VENDOR</t>
        </is>
      </c>
      <c r="V2105" t="inlineStr">
        <is>
          <t>YES</t>
        </is>
      </c>
      <c r="W2105" t="inlineStr">
        <is>
          <t>https://sec.cloudapps.cisco.com/security/center/content/CiscoSecurityAdvisory/cisco-sa-sdwan-authbp-qwCX8D4v?vs_f=Cisco%20Security%20Advisory%26vs_cat=Security%20Intelligence%26vs_type=RSS%26vs_p=Cisco%20Catalyst%20SD-WAN%20Vulnerabilities%26vs_k=1</t>
        </is>
      </c>
      <c r="X2105" t="inlineStr">
        <is>
          <t>NONE</t>
        </is>
      </c>
      <c r="Y2105" t="n">
        <v>0</v>
      </c>
      <c r="Z2105" t="inlineStr"/>
      <c r="AA2105" t="inlineStr">
        <is>
          <t>https://sec.cloudapps.cisco.com/security/center/content/CiscoSecurityAdvisory/cisco-sa-sdwan-authbp-qwCX8D4v?vs_f=Cisco%20Security%20Advisory%26vs_cat=Security%20Intelligence%26vs_type=RSS%26vs_p=Cisco%20Catalyst%20SD-WAN%20Vulnerabilities%26vs_k=1</t>
        </is>
      </c>
    </row>
    <row r="2106">
      <c r="A2106" t="inlineStr">
        <is>
          <t>FIREWALL_ADVISORY</t>
        </is>
      </c>
      <c r="B2106" t="inlineStr">
        <is>
          <t>Cisco</t>
        </is>
      </c>
      <c r="C2106" t="inlineStr">
        <is>
          <t>Cisco PSIRT: Cisco Catalyst SD-WAN Controller Authentication Bypass Vulnerability | A vulnerability in the peering authentication in Cisco Catalyst SD-WAN Controller, formerly SD-WAN vSmart, and Cisco Catalyst SD-WAN Manager, formerly SD-WAN vManage, could allow an unauthenticated, r</t>
        </is>
      </c>
      <c r="D2106" t="n">
        <v>7.5</v>
      </c>
      <c r="E2106" t="inlineStr">
        <is>
          <t>HIGH</t>
        </is>
      </c>
      <c r="F2106" t="n">
        <v>2</v>
      </c>
      <c r="G2106" t="n">
        <v>2</v>
      </c>
      <c r="H2106" t="inlineStr">
        <is>
          <t>MEDIUM</t>
        </is>
      </c>
      <c r="I2106" t="n">
        <v>11.5</v>
      </c>
      <c r="J2106" t="inlineStr">
        <is>
          <t>NO</t>
        </is>
      </c>
      <c r="K2106" t="inlineStr">
        <is>
          <t>2026-02-26 00:15</t>
        </is>
      </c>
      <c r="L2106" t="inlineStr">
        <is>
          <t>YES - Apply vendor patch immediately</t>
        </is>
      </c>
      <c r="M2106" t="inlineStr">
        <is>
          <t>Cisco ASA / Firepower / IOS / FTD / FMC</t>
        </is>
      </c>
      <c r="N2106" t="inlineStr">
        <is>
          <t>P3</t>
        </is>
      </c>
      <c r="O2106" t="inlineStr">
        <is>
          <t>Firewall Advisory - Cisco</t>
        </is>
      </c>
      <c r="P2106" t="n">
        <v>0</v>
      </c>
      <c r="Q2106" t="n">
        <v>0</v>
      </c>
      <c r="R2106" t="inlineStr">
        <is>
          <t>T1190:Exploit Public-Facing Application | T1133:External Remote Services</t>
        </is>
      </c>
      <c r="S2106" t="n">
        <v>2</v>
      </c>
      <c r="T2106" t="inlineStr">
        <is>
          <t>MEDIUM (52%)</t>
        </is>
      </c>
      <c r="U2106" t="inlineStr">
        <is>
          <t>CHECK_VENDOR</t>
        </is>
      </c>
      <c r="V2106" t="inlineStr">
        <is>
          <t>YES</t>
        </is>
      </c>
      <c r="W2106" t="inlineStr">
        <is>
          <t>https://sec.cloudapps.cisco.com/security/center/content/CiscoSecurityAdvisory/cisco-sa-sdwan-rpa-EHchtZk?vs_f=Cisco%20Security%20Advisory%26vs_cat=Security%20Intelligence%26vs_type=RSS%26vs_p=Cisco%20Catalyst%20SD-WAN%20Controller%20Authentication%20Bypass%20Vulnerability%26vs_k=1</t>
        </is>
      </c>
      <c r="X2106" t="inlineStr">
        <is>
          <t>NONE</t>
        </is>
      </c>
      <c r="Y2106" t="n">
        <v>0</v>
      </c>
      <c r="Z2106" t="inlineStr"/>
      <c r="AA2106" t="inlineStr">
        <is>
          <t>https://sec.cloudapps.cisco.com/security/center/content/CiscoSecurityAdvisory/cisco-sa-sdwan-rpa-EHchtZk?vs_f=Cisco%20Security%20Advisory%26vs_cat=Security%20Intelligence%26vs_type=RSS%26vs_p=Cisco%20Catalyst%20SD-WAN%20Controller%20Authentication%20Bypass%20Vulnerability%26vs_k=1</t>
        </is>
      </c>
    </row>
    <row r="2107">
      <c r="A2107" t="inlineStr">
        <is>
          <t>FIREWALL_ADVISORY</t>
        </is>
      </c>
      <c r="B2107" t="inlineStr">
        <is>
          <t>Cisco</t>
        </is>
      </c>
      <c r="C2107" t="inlineStr">
        <is>
          <t>Cisco PSIRT: Cisco Application Policy Infrastructure Controller Denial of Service Vulnerability | A vulnerability in the Object Model CLI component of Cisco Application Policy Infrastructure Controller (APIC) could allow an authenticated, local attacker to cause an affected device to reload unexpe</t>
        </is>
      </c>
      <c r="D2107" t="n">
        <v>7.5</v>
      </c>
      <c r="E2107" t="inlineStr">
        <is>
          <t>HIGH</t>
        </is>
      </c>
      <c r="F2107" t="n">
        <v>2</v>
      </c>
      <c r="G2107" t="n">
        <v>2</v>
      </c>
      <c r="H2107" t="inlineStr">
        <is>
          <t>MEDIUM</t>
        </is>
      </c>
      <c r="I2107" t="n">
        <v>11.5</v>
      </c>
      <c r="J2107" t="inlineStr">
        <is>
          <t>NO</t>
        </is>
      </c>
      <c r="K2107" t="inlineStr">
        <is>
          <t>2026-02-26 00:15</t>
        </is>
      </c>
      <c r="L2107" t="inlineStr">
        <is>
          <t>YES - Apply vendor patch immediately</t>
        </is>
      </c>
      <c r="M2107" t="inlineStr">
        <is>
          <t>Cisco ASA / Firepower / IOS / FTD / FMC</t>
        </is>
      </c>
      <c r="N2107" t="inlineStr">
        <is>
          <t>P3</t>
        </is>
      </c>
      <c r="O2107" t="inlineStr">
        <is>
          <t>Firewall Advisory - Cisco</t>
        </is>
      </c>
      <c r="P2107" t="n">
        <v>0</v>
      </c>
      <c r="Q2107" t="n">
        <v>0</v>
      </c>
      <c r="R2107" t="inlineStr">
        <is>
          <t>T1190:Exploit Public-Facing Application | T1133:External Remote Services</t>
        </is>
      </c>
      <c r="S2107" t="n">
        <v>2</v>
      </c>
      <c r="T2107" t="inlineStr">
        <is>
          <t>MEDIUM (52%)</t>
        </is>
      </c>
      <c r="U2107" t="inlineStr">
        <is>
          <t>CHECK_VENDOR</t>
        </is>
      </c>
      <c r="V2107" t="inlineStr">
        <is>
          <t>YES</t>
        </is>
      </c>
      <c r="W2107" t="inlineStr">
        <is>
          <t>https://sec.cloudapps.cisco.com/security/center/content/CiscoSecurityAdvisory/cisco-sa-apic-dos-rNus8EFw?vs_f=Cisco%20Security%20Advisory%26vs_cat=Security%20Intelligence%26vs_type=RSS%26vs_p=Cisco%20Application%20Policy%20Infrastructure%20Controller%20Denial%20of%20Service%20Vulnerability%26vs_k=1</t>
        </is>
      </c>
      <c r="X2107" t="inlineStr">
        <is>
          <t>NONE</t>
        </is>
      </c>
      <c r="Y2107" t="n">
        <v>0</v>
      </c>
      <c r="Z2107" t="inlineStr"/>
      <c r="AA2107" t="inlineStr">
        <is>
          <t>https://sec.cloudapps.cisco.com/security/center/content/CiscoSecurityAdvisory/cisco-sa-apic-dos-rNus8EFw?vs_f=Cisco%20Security%20Advisory%26vs_cat=Security%20Intelligence%26vs_type=RSS%26vs_p=Cisco%20Application%20Policy%20Infrastructure%20Controller%20Denial%20of%20Service%20Vulnerability%26vs_k=1</t>
        </is>
      </c>
    </row>
    <row r="2108">
      <c r="A2108" t="inlineStr">
        <is>
          <t>FIREWALL_ADVISORY</t>
        </is>
      </c>
      <c r="B2108" t="inlineStr">
        <is>
          <t>Cisco</t>
        </is>
      </c>
      <c r="C2108" t="inlineStr">
        <is>
          <t>Cisco PSIRT: Cisco SD-WAN Software Privilege Escalation Vulnerabilities | Multiple vulnerabilities in the CLI of Cisco SD-WAN Software could allow an authenticated, local attacker to gain elevated privileges. These vulnerabilities are due to improper access controls on comm</t>
        </is>
      </c>
      <c r="D2108" t="n">
        <v>7.5</v>
      </c>
      <c r="E2108" t="inlineStr">
        <is>
          <t>HIGH</t>
        </is>
      </c>
      <c r="F2108" t="n">
        <v>2</v>
      </c>
      <c r="G2108" t="n">
        <v>2</v>
      </c>
      <c r="H2108" t="inlineStr">
        <is>
          <t>MEDIUM</t>
        </is>
      </c>
      <c r="I2108" t="n">
        <v>11.5</v>
      </c>
      <c r="J2108" t="inlineStr">
        <is>
          <t>NO</t>
        </is>
      </c>
      <c r="K2108" t="inlineStr">
        <is>
          <t>2026-02-26 00:15</t>
        </is>
      </c>
      <c r="L2108" t="inlineStr">
        <is>
          <t>YES - Apply vendor patch immediately</t>
        </is>
      </c>
      <c r="M2108" t="inlineStr">
        <is>
          <t>Cisco ASA / Firepower / IOS / FTD / FMC</t>
        </is>
      </c>
      <c r="N2108" t="inlineStr">
        <is>
          <t>P3</t>
        </is>
      </c>
      <c r="O2108" t="inlineStr">
        <is>
          <t>Firewall Advisory - Cisco</t>
        </is>
      </c>
      <c r="P2108" t="n">
        <v>0</v>
      </c>
      <c r="Q2108" t="n">
        <v>0</v>
      </c>
      <c r="R2108" t="inlineStr">
        <is>
          <t>T1190:Exploit Public-Facing Application | T1133:External Remote Services</t>
        </is>
      </c>
      <c r="S2108" t="n">
        <v>2</v>
      </c>
      <c r="T2108" t="inlineStr">
        <is>
          <t>MEDIUM (52%)</t>
        </is>
      </c>
      <c r="U2108" t="inlineStr">
        <is>
          <t>CHECK_VENDOR</t>
        </is>
      </c>
      <c r="V2108" t="inlineStr">
        <is>
          <t>YES</t>
        </is>
      </c>
      <c r="W2108" t="inlineStr">
        <is>
          <t>https://sec.cloudapps.cisco.com/security/center/content/CiscoSecurityAdvisory/cisco-sa-sd-wan-priv-E6e8tEdF?vs_f=Cisco%20Security%20Advisory%26vs_cat=Security%20Intelligence%26vs_type=RSS%26vs_p=Cisco%20SD-WAN%20Software%20Privilege%20Escalation%20Vulnerabilities%26vs_k=1</t>
        </is>
      </c>
      <c r="X2108" t="inlineStr">
        <is>
          <t>NONE</t>
        </is>
      </c>
      <c r="Y2108" t="n">
        <v>0</v>
      </c>
      <c r="Z2108" t="inlineStr"/>
      <c r="AA2108" t="inlineStr">
        <is>
          <t>https://sec.cloudapps.cisco.com/security/center/content/CiscoSecurityAdvisory/cisco-sa-sd-wan-priv-E6e8tEdF?vs_f=Cisco%20Security%20Advisory%26vs_cat=Security%20Intelligence%26vs_type=RSS%26vs_p=Cisco%20SD-WAN%20Software%20Privilege%20Escalation%20Vulnerabilities%26vs_k=1</t>
        </is>
      </c>
    </row>
    <row r="2109">
      <c r="A2109" t="inlineStr">
        <is>
          <t>FIREWALL_ADVISORY</t>
        </is>
      </c>
      <c r="B2109" t="inlineStr">
        <is>
          <t>Cisco</t>
        </is>
      </c>
      <c r="C2109" t="inlineStr">
        <is>
          <t>Cisco PSIRT: Cisco UCS Manager Software Command Injection Vulnerability | A vulnerability in the CLI and web-based management interface of Cisco UCS Manager Software could allow an authenticated, remote attacker with valid administrative privileges to execute arbitrary comm</t>
        </is>
      </c>
      <c r="D2109" t="n">
        <v>7.5</v>
      </c>
      <c r="E2109" t="inlineStr">
        <is>
          <t>HIGH</t>
        </is>
      </c>
      <c r="F2109" t="n">
        <v>2</v>
      </c>
      <c r="G2109" t="n">
        <v>2</v>
      </c>
      <c r="H2109" t="inlineStr">
        <is>
          <t>MEDIUM</t>
        </is>
      </c>
      <c r="I2109" t="n">
        <v>11.5</v>
      </c>
      <c r="J2109" t="inlineStr">
        <is>
          <t>NO</t>
        </is>
      </c>
      <c r="K2109" t="inlineStr">
        <is>
          <t>2026-02-26 00:15</t>
        </is>
      </c>
      <c r="L2109" t="inlineStr">
        <is>
          <t>YES - Apply vendor patch immediately</t>
        </is>
      </c>
      <c r="M2109" t="inlineStr">
        <is>
          <t>Cisco ASA / Firepower / IOS / FTD / FMC</t>
        </is>
      </c>
      <c r="N2109" t="inlineStr">
        <is>
          <t>P3</t>
        </is>
      </c>
      <c r="O2109" t="inlineStr">
        <is>
          <t>Firewall Advisory - Cisco</t>
        </is>
      </c>
      <c r="P2109" t="n">
        <v>0</v>
      </c>
      <c r="Q2109" t="n">
        <v>0</v>
      </c>
      <c r="R2109" t="inlineStr">
        <is>
          <t>T1190:Exploit Public-Facing Application | T1133:External Remote Services</t>
        </is>
      </c>
      <c r="S2109" t="n">
        <v>2</v>
      </c>
      <c r="T2109" t="inlineStr">
        <is>
          <t>MEDIUM (52%)</t>
        </is>
      </c>
      <c r="U2109" t="inlineStr">
        <is>
          <t>CHECK_VENDOR</t>
        </is>
      </c>
      <c r="V2109" t="inlineStr">
        <is>
          <t>YES</t>
        </is>
      </c>
      <c r="W2109" t="inlineStr">
        <is>
          <t>https://sec.cloudapps.cisco.com/security/center/content/CiscoSecurityAdvisory/cisco-sa-ucsm-cmdinj-GvxLPeSB?vs_f=Cisco%20Security%20Advisory%26vs_cat=Security%20Intelligence%26vs_type=RSS%26vs_p=Cisco%20UCS%20Manager%20Software%20Command%20Injection%20Vulnerability%26vs_k=1</t>
        </is>
      </c>
      <c r="X2109" t="inlineStr">
        <is>
          <t>NONE</t>
        </is>
      </c>
      <c r="Y2109" t="n">
        <v>0</v>
      </c>
      <c r="Z2109" t="inlineStr"/>
      <c r="AA2109" t="inlineStr">
        <is>
          <t>https://sec.cloudapps.cisco.com/security/center/content/CiscoSecurityAdvisory/cisco-sa-ucsm-cmdinj-GvxLPeSB?vs_f=Cisco%20Security%20Advisory%26vs_cat=Security%20Intelligence%26vs_type=RSS%26vs_p=Cisco%20UCS%20Manager%20Software%20Command%20Injection%20Vulnerability%26vs_k=1</t>
        </is>
      </c>
    </row>
    <row r="2110">
      <c r="A2110" t="inlineStr">
        <is>
          <t>FIREWALL_ADVISORY</t>
        </is>
      </c>
      <c r="B2110" t="inlineStr">
        <is>
          <t>CVE-2026-21902</t>
        </is>
      </c>
      <c r="C2110" t="inlineStr">
        <is>
          <t>Juniper Networks Advisory: An Incorrect Permission Assignment for Critical Resource vulnerability in the On-Box Anomaly detection framework of Juniper Networks Junos OS Evolved on PTX Series allows an unauthenticated, network-b</t>
        </is>
      </c>
      <c r="D2110" t="n">
        <v>9</v>
      </c>
      <c r="E2110" t="inlineStr">
        <is>
          <t>CRITICAL</t>
        </is>
      </c>
      <c r="F2110" t="n">
        <v>3</v>
      </c>
      <c r="G2110" t="n">
        <v>3</v>
      </c>
      <c r="H2110" t="inlineStr">
        <is>
          <t>CRITICAL</t>
        </is>
      </c>
      <c r="I2110" t="n">
        <v>18</v>
      </c>
      <c r="J2110" t="inlineStr">
        <is>
          <t>NO</t>
        </is>
      </c>
      <c r="K2110" t="inlineStr">
        <is>
          <t>2026-02-26 00:15</t>
        </is>
      </c>
      <c r="L2110" t="inlineStr">
        <is>
          <t>YES - Apply vendor patch immediately</t>
        </is>
      </c>
      <c r="M2110" t="inlineStr">
        <is>
          <t>Junos OS / SRX / MX / EX Series</t>
        </is>
      </c>
      <c r="N2110" t="inlineStr">
        <is>
          <t>P1</t>
        </is>
      </c>
      <c r="O2110" t="inlineStr">
        <is>
          <t>Firewall Advisory - Juniper Networks</t>
        </is>
      </c>
      <c r="P2110" t="n">
        <v>0</v>
      </c>
      <c r="Q2110" t="n">
        <v>0</v>
      </c>
      <c r="R2110" t="inlineStr">
        <is>
          <t>T1190:Exploit Public-Facing Application | T1133:External Remote Services</t>
        </is>
      </c>
      <c r="S2110" t="n">
        <v>2</v>
      </c>
      <c r="T2110" t="inlineStr">
        <is>
          <t>MEDIUM (52%)</t>
        </is>
      </c>
      <c r="U2110" t="inlineStr">
        <is>
          <t>CHECK_VENDOR</t>
        </is>
      </c>
      <c r="V2110" t="inlineStr">
        <is>
          <t>YES</t>
        </is>
      </c>
      <c r="W2110" t="inlineStr">
        <is>
          <t>https://nvd.nist.gov/vuln/detail/CVE-2026-21902</t>
        </is>
      </c>
      <c r="X2110" t="inlineStr">
        <is>
          <t>NONE</t>
        </is>
      </c>
      <c r="Y2110" t="n">
        <v>0</v>
      </c>
      <c r="Z2110" t="inlineStr"/>
      <c r="AA2110" t="inlineStr">
        <is>
          <t>https://nvd.nist.gov/vuln/detail/CVE-2026-21902</t>
        </is>
      </c>
    </row>
    <row r="2111">
      <c r="A2111" t="inlineStr">
        <is>
          <t>ZDI_ADVISORY</t>
        </is>
      </c>
      <c r="B2111" t="inlineStr">
        <is>
          <t>ZDI-26-132</t>
        </is>
      </c>
      <c r="C2111" t="inlineStr">
        <is>
          <t>ZDI Published 0-Day: ZDI-26-132: Siemens SINEC NMS Uncontrolled Search Path Element Local Privilege Escalation Vulnerability | CVEs: CVE-2026-25656 | Product: See ZDI advisory</t>
        </is>
      </c>
      <c r="D2111" t="n">
        <v>7.5</v>
      </c>
      <c r="E2111" t="inlineStr">
        <is>
          <t>HIGH</t>
        </is>
      </c>
      <c r="F2111" t="n">
        <v>3</v>
      </c>
      <c r="G2111" t="n">
        <v>3</v>
      </c>
      <c r="H2111" t="inlineStr">
        <is>
          <t>CRITICAL</t>
        </is>
      </c>
      <c r="I2111" t="n">
        <v>16.5</v>
      </c>
      <c r="J2111" t="inlineStr">
        <is>
          <t>NO</t>
        </is>
      </c>
      <c r="K2111" t="inlineStr">
        <is>
          <t>2026-02-25 06:00</t>
        </is>
      </c>
      <c r="L2111" t="inlineStr">
        <is>
          <t>CHECK_VENDOR - ZDI published, vendor patch may be pending</t>
        </is>
      </c>
      <c r="M2111" t="inlineStr">
        <is>
          <t>See ZDI advisory</t>
        </is>
      </c>
      <c r="N2111" t="inlineStr">
        <is>
          <t>P1</t>
        </is>
      </c>
      <c r="O2111" t="inlineStr">
        <is>
          <t>ZDI 0-day advisory - no IP context</t>
        </is>
      </c>
      <c r="P2111" t="n">
        <v>0</v>
      </c>
      <c r="Q2111" t="n">
        <v>0</v>
      </c>
      <c r="R2111" t="inlineStr">
        <is>
          <t>T1068:Exploitation for Privilege Escalation</t>
        </is>
      </c>
      <c r="S2111" t="n">
        <v>2</v>
      </c>
      <c r="T2111" t="inlineStr">
        <is>
          <t>CONFIRMED (82%)</t>
        </is>
      </c>
      <c r="U2111" t="inlineStr">
        <is>
          <t>YES</t>
        </is>
      </c>
      <c r="V2111" t="inlineStr">
        <is>
          <t>CHECK_VENDOR</t>
        </is>
      </c>
      <c r="W2111" t="inlineStr">
        <is>
          <t>https://security.snyk.io/vuln/CVE-2026-25656</t>
        </is>
      </c>
      <c r="X2111" t="inlineStr">
        <is>
          <t>http://www.zerodayinitiative.com/advisories/ZDI-26-132/</t>
        </is>
      </c>
      <c r="Y2111" t="n">
        <v>0</v>
      </c>
      <c r="Z2111" t="inlineStr"/>
      <c r="AA2111" t="inlineStr">
        <is>
          <t>http://www.zerodayinitiative.com/advisories/ZDI-26-132/</t>
        </is>
      </c>
    </row>
    <row r="2112">
      <c r="A2112" t="inlineStr">
        <is>
          <t>ZDI_ADVISORY</t>
        </is>
      </c>
      <c r="B2112" t="inlineStr">
        <is>
          <t>ZDI-26-131</t>
        </is>
      </c>
      <c r="C2112" t="inlineStr">
        <is>
          <t>ZDI Published 0-Day: ZDI-26-131: Siemens SINEC NMS Uncontrolled Search Path Element Local Privilege Escalation Vulnerability | CVEs: CVE-2026-25655 | Product: See ZDI advisory</t>
        </is>
      </c>
      <c r="D2112" t="n">
        <v>7.5</v>
      </c>
      <c r="E2112" t="inlineStr">
        <is>
          <t>HIGH</t>
        </is>
      </c>
      <c r="F2112" t="n">
        <v>3</v>
      </c>
      <c r="G2112" t="n">
        <v>3</v>
      </c>
      <c r="H2112" t="inlineStr">
        <is>
          <t>CRITICAL</t>
        </is>
      </c>
      <c r="I2112" t="n">
        <v>16.5</v>
      </c>
      <c r="J2112" t="inlineStr">
        <is>
          <t>NO</t>
        </is>
      </c>
      <c r="K2112" t="inlineStr">
        <is>
          <t>2026-02-25 06:00</t>
        </is>
      </c>
      <c r="L2112" t="inlineStr">
        <is>
          <t>CHECK_VENDOR - ZDI published, vendor patch may be pending</t>
        </is>
      </c>
      <c r="M2112" t="inlineStr">
        <is>
          <t>See ZDI advisory</t>
        </is>
      </c>
      <c r="N2112" t="inlineStr">
        <is>
          <t>P1</t>
        </is>
      </c>
      <c r="O2112" t="inlineStr">
        <is>
          <t>ZDI 0-day advisory - no IP context</t>
        </is>
      </c>
      <c r="P2112" t="n">
        <v>0</v>
      </c>
      <c r="Q2112" t="n">
        <v>0</v>
      </c>
      <c r="R2112" t="inlineStr">
        <is>
          <t>T1068:Exploitation for Privilege Escalation</t>
        </is>
      </c>
      <c r="S2112" t="n">
        <v>2</v>
      </c>
      <c r="T2112" t="inlineStr">
        <is>
          <t>CONFIRMED (82%)</t>
        </is>
      </c>
      <c r="U2112" t="inlineStr">
        <is>
          <t>YES</t>
        </is>
      </c>
      <c r="V2112" t="inlineStr">
        <is>
          <t>CHECK_VENDOR</t>
        </is>
      </c>
      <c r="W2112" t="inlineStr">
        <is>
          <t>https://security.snyk.io/vuln/CVE-2026-25655</t>
        </is>
      </c>
      <c r="X2112" t="inlineStr">
        <is>
          <t>http://www.zerodayinitiative.com/advisories/ZDI-26-131/</t>
        </is>
      </c>
      <c r="Y2112" t="n">
        <v>0</v>
      </c>
      <c r="Z2112" t="inlineStr"/>
      <c r="AA2112" t="inlineStr">
        <is>
          <t>http://www.zerodayinitiative.com/advisories/ZDI-26-131/</t>
        </is>
      </c>
    </row>
    <row r="2113">
      <c r="A2113" t="inlineStr">
        <is>
          <t>ZDI_ADVISORY</t>
        </is>
      </c>
      <c r="B2113" t="inlineStr">
        <is>
          <t>ZDI-26-130</t>
        </is>
      </c>
      <c r="C2113" t="inlineStr">
        <is>
          <t>ZDI Published 0-Day: ZDI-26-130: IceWarp collaboration Directory Traversal Information Disclosure Vulnerability | CVEs: CVE-2026-2493 | Product: See ZDI advisory</t>
        </is>
      </c>
      <c r="D2113" t="n">
        <v>7.5</v>
      </c>
      <c r="E2113" t="inlineStr">
        <is>
          <t>HIGH</t>
        </is>
      </c>
      <c r="F2113" t="n">
        <v>3</v>
      </c>
      <c r="G2113" t="n">
        <v>3</v>
      </c>
      <c r="H2113" t="inlineStr">
        <is>
          <t>CRITICAL</t>
        </is>
      </c>
      <c r="I2113" t="n">
        <v>16.5</v>
      </c>
      <c r="J2113" t="inlineStr">
        <is>
          <t>NO</t>
        </is>
      </c>
      <c r="K2113" t="inlineStr">
        <is>
          <t>2026-02-25 06:00</t>
        </is>
      </c>
      <c r="L2113" t="inlineStr">
        <is>
          <t>CHECK_VENDOR - ZDI published, vendor patch may be pending</t>
        </is>
      </c>
      <c r="M2113" t="inlineStr">
        <is>
          <t>See ZDI advisory</t>
        </is>
      </c>
      <c r="N2113" t="inlineStr">
        <is>
          <t>P1</t>
        </is>
      </c>
      <c r="O2113" t="inlineStr">
        <is>
          <t>ZDI 0-day advisory - no IP context</t>
        </is>
      </c>
      <c r="P2113" t="n">
        <v>0</v>
      </c>
      <c r="Q2113" t="n">
        <v>0</v>
      </c>
      <c r="R2113" t="inlineStr">
        <is>
          <t>T1083:File and Directory Discovery | T1213:Data from Information Repositories</t>
        </is>
      </c>
      <c r="S2113" t="n">
        <v>2</v>
      </c>
      <c r="T2113" t="inlineStr">
        <is>
          <t>CONFIRMED (82%)</t>
        </is>
      </c>
      <c r="U2113" t="inlineStr">
        <is>
          <t>YES</t>
        </is>
      </c>
      <c r="V2113" t="inlineStr">
        <is>
          <t>CHECK_VENDOR</t>
        </is>
      </c>
      <c r="W2113" t="inlineStr">
        <is>
          <t>https://security.snyk.io/vuln/CVE-2026-2493</t>
        </is>
      </c>
      <c r="X2113" t="inlineStr">
        <is>
          <t>http://www.zerodayinitiative.com/advisories/ZDI-26-130/</t>
        </is>
      </c>
      <c r="Y2113" t="n">
        <v>0</v>
      </c>
      <c r="Z2113" t="inlineStr"/>
      <c r="AA2113" t="inlineStr">
        <is>
          <t>http://www.zerodayinitiative.com/advisories/ZDI-26-130/</t>
        </is>
      </c>
    </row>
    <row r="2114">
      <c r="A2114" t="inlineStr">
        <is>
          <t>ZDI_ADVISORY</t>
        </is>
      </c>
      <c r="B2114" t="inlineStr">
        <is>
          <t>ZDI-26-129</t>
        </is>
      </c>
      <c r="C2114" t="inlineStr">
        <is>
          <t>ZDI Published 0-Day: ZDI-26-129: Socomec DIRIS A-40 HTTP API Authentication Bypass Vulnerability | CVEs: CVE-2026-2491 | Product: See ZDI advisory</t>
        </is>
      </c>
      <c r="D2114" t="n">
        <v>7.5</v>
      </c>
      <c r="E2114" t="inlineStr">
        <is>
          <t>HIGH</t>
        </is>
      </c>
      <c r="F2114" t="n">
        <v>3</v>
      </c>
      <c r="G2114" t="n">
        <v>3</v>
      </c>
      <c r="H2114" t="inlineStr">
        <is>
          <t>CRITICAL</t>
        </is>
      </c>
      <c r="I2114" t="n">
        <v>16.5</v>
      </c>
      <c r="J2114" t="inlineStr">
        <is>
          <t>NO</t>
        </is>
      </c>
      <c r="K2114" t="inlineStr">
        <is>
          <t>2026-02-25 06:00</t>
        </is>
      </c>
      <c r="L2114" t="inlineStr">
        <is>
          <t>CHECK_VENDOR - ZDI published, vendor patch may be pending</t>
        </is>
      </c>
      <c r="M2114" t="inlineStr">
        <is>
          <t>See ZDI advisory</t>
        </is>
      </c>
      <c r="N2114" t="inlineStr">
        <is>
          <t>P1</t>
        </is>
      </c>
      <c r="O2114" t="inlineStr">
        <is>
          <t>ZDI 0-day advisory - no IP context</t>
        </is>
      </c>
      <c r="P2114" t="n">
        <v>0</v>
      </c>
      <c r="Q2114" t="n">
        <v>0</v>
      </c>
      <c r="R2114" t="inlineStr">
        <is>
          <t>T1078:Valid Accounts</t>
        </is>
      </c>
      <c r="S2114" t="n">
        <v>2</v>
      </c>
      <c r="T2114" t="inlineStr">
        <is>
          <t>CONFIRMED (82%)</t>
        </is>
      </c>
      <c r="U2114" t="inlineStr">
        <is>
          <t>YES</t>
        </is>
      </c>
      <c r="V2114" t="inlineStr">
        <is>
          <t>CHECK_VENDOR</t>
        </is>
      </c>
      <c r="W2114" t="inlineStr">
        <is>
          <t>https://security.snyk.io/vuln/CVE-2026-2491</t>
        </is>
      </c>
      <c r="X2114" t="inlineStr">
        <is>
          <t>http://www.zerodayinitiative.com/advisories/ZDI-26-129/</t>
        </is>
      </c>
      <c r="Y2114" t="n">
        <v>0</v>
      </c>
      <c r="Z2114" t="inlineStr"/>
      <c r="AA2114" t="inlineStr">
        <is>
          <t>http://www.zerodayinitiative.com/advisories/ZDI-26-129/</t>
        </is>
      </c>
    </row>
    <row r="2115">
      <c r="A2115" t="inlineStr">
        <is>
          <t>ZDI_ADVISORY</t>
        </is>
      </c>
      <c r="B2115" t="inlineStr">
        <is>
          <t>ZDI-26-128</t>
        </is>
      </c>
      <c r="C2115" t="inlineStr">
        <is>
          <t>ZDI Published 0-Day: ZDI-26-128: (Pwn2Own) Ubiquiti Networks AI Pro Uncaught Exception Denial-of-Service Vulnerability | CVEs: CVE-2026-21634 | Product: See ZDI advisory</t>
        </is>
      </c>
      <c r="D2115" t="n">
        <v>7.5</v>
      </c>
      <c r="E2115" t="inlineStr">
        <is>
          <t>HIGH</t>
        </is>
      </c>
      <c r="F2115" t="n">
        <v>3</v>
      </c>
      <c r="G2115" t="n">
        <v>3</v>
      </c>
      <c r="H2115" t="inlineStr">
        <is>
          <t>CRITICAL</t>
        </is>
      </c>
      <c r="I2115" t="n">
        <v>16.5</v>
      </c>
      <c r="J2115" t="inlineStr">
        <is>
          <t>NO</t>
        </is>
      </c>
      <c r="K2115" t="inlineStr">
        <is>
          <t>2026-02-25 06:00</t>
        </is>
      </c>
      <c r="L2115" t="inlineStr">
        <is>
          <t>CHECK_VENDOR - ZDI published, vendor patch may be pending</t>
        </is>
      </c>
      <c r="M2115" t="inlineStr">
        <is>
          <t>See ZDI advisory</t>
        </is>
      </c>
      <c r="N2115" t="inlineStr">
        <is>
          <t>P1</t>
        </is>
      </c>
      <c r="O2115" t="inlineStr">
        <is>
          <t>ZDI 0-day advisory - no IP context</t>
        </is>
      </c>
      <c r="P2115" t="n">
        <v>0</v>
      </c>
      <c r="Q2115" t="n">
        <v>0</v>
      </c>
      <c r="R2115" t="inlineStr">
        <is>
          <t>T1190:Exploit Public-Facing Application</t>
        </is>
      </c>
      <c r="S2115" t="n">
        <v>2</v>
      </c>
      <c r="T2115" t="inlineStr">
        <is>
          <t>CONFIRMED (82%)</t>
        </is>
      </c>
      <c r="U2115" t="inlineStr">
        <is>
          <t>YES</t>
        </is>
      </c>
      <c r="V2115" t="inlineStr">
        <is>
          <t>CHECK_VENDOR</t>
        </is>
      </c>
      <c r="W2115" t="inlineStr">
        <is>
          <t>https://security.snyk.io/vuln/CVE-2026-21634</t>
        </is>
      </c>
      <c r="X2115" t="inlineStr">
        <is>
          <t>http://www.zerodayinitiative.com/advisories/ZDI-26-128/</t>
        </is>
      </c>
      <c r="Y2115" t="n">
        <v>0</v>
      </c>
      <c r="Z2115" t="inlineStr"/>
      <c r="AA2115" t="inlineStr">
        <is>
          <t>http://www.zerodayinitiative.com/advisories/ZDI-26-128/</t>
        </is>
      </c>
    </row>
    <row r="2116">
      <c r="A2116" t="inlineStr">
        <is>
          <t>ZDI_ADVISORY</t>
        </is>
      </c>
      <c r="B2116" t="inlineStr">
        <is>
          <t>ZDI-26-127</t>
        </is>
      </c>
      <c r="C2116" t="inlineStr">
        <is>
          <t>ZDI Published 0-Day: ZDI-26-127: (Pwn2Own) Ubiquiti Networks AI Pro Cleartext Transmission Information Disclosure Vulnerability | CVEs: CVE-2026-21633 | Product: See ZDI advisory</t>
        </is>
      </c>
      <c r="D2116" t="n">
        <v>7.5</v>
      </c>
      <c r="E2116" t="inlineStr">
        <is>
          <t>HIGH</t>
        </is>
      </c>
      <c r="F2116" t="n">
        <v>3</v>
      </c>
      <c r="G2116" t="n">
        <v>3</v>
      </c>
      <c r="H2116" t="inlineStr">
        <is>
          <t>CRITICAL</t>
        </is>
      </c>
      <c r="I2116" t="n">
        <v>16.5</v>
      </c>
      <c r="J2116" t="inlineStr">
        <is>
          <t>NO</t>
        </is>
      </c>
      <c r="K2116" t="inlineStr">
        <is>
          <t>2026-02-25 06:00</t>
        </is>
      </c>
      <c r="L2116" t="inlineStr">
        <is>
          <t>CHECK_VENDOR - ZDI published, vendor patch may be pending</t>
        </is>
      </c>
      <c r="M2116" t="inlineStr">
        <is>
          <t>See ZDI advisory</t>
        </is>
      </c>
      <c r="N2116" t="inlineStr">
        <is>
          <t>P1</t>
        </is>
      </c>
      <c r="O2116" t="inlineStr">
        <is>
          <t>ZDI 0-day advisory - no IP context</t>
        </is>
      </c>
      <c r="P2116" t="n">
        <v>0</v>
      </c>
      <c r="Q2116" t="n">
        <v>0</v>
      </c>
      <c r="R2116" t="inlineStr">
        <is>
          <t>T1213:Data from Information Repositories</t>
        </is>
      </c>
      <c r="S2116" t="n">
        <v>2</v>
      </c>
      <c r="T2116" t="inlineStr">
        <is>
          <t>CONFIRMED (82%)</t>
        </is>
      </c>
      <c r="U2116" t="inlineStr">
        <is>
          <t>YES</t>
        </is>
      </c>
      <c r="V2116" t="inlineStr">
        <is>
          <t>CHECK_VENDOR</t>
        </is>
      </c>
      <c r="W2116" t="inlineStr">
        <is>
          <t>https://security.snyk.io/vuln/CVE-2026-21633</t>
        </is>
      </c>
      <c r="X2116" t="inlineStr">
        <is>
          <t>http://www.zerodayinitiative.com/advisories/ZDI-26-127/</t>
        </is>
      </c>
      <c r="Y2116" t="n">
        <v>0</v>
      </c>
      <c r="Z2116" t="inlineStr"/>
      <c r="AA2116" t="inlineStr">
        <is>
          <t>http://www.zerodayinitiative.com/advisories/ZDI-26-127/</t>
        </is>
      </c>
    </row>
    <row r="2117">
      <c r="A2117" t="inlineStr">
        <is>
          <t>ZDI_ADVISORY</t>
        </is>
      </c>
      <c r="B2117" t="inlineStr">
        <is>
          <t>ZDI-26-126</t>
        </is>
      </c>
      <c r="C2117" t="inlineStr">
        <is>
          <t>ZDI Published 0-Day: ZDI-26-126: (Pwn2Own) Ubiquiti Networks AI Pro Discovery Protocol Missing Encryption Protocol Downgrade Vulnerability | CVEs: CVE-2026-21633 | Product: See ZDI advisory</t>
        </is>
      </c>
      <c r="D2117" t="n">
        <v>7.5</v>
      </c>
      <c r="E2117" t="inlineStr">
        <is>
          <t>HIGH</t>
        </is>
      </c>
      <c r="F2117" t="n">
        <v>3</v>
      </c>
      <c r="G2117" t="n">
        <v>3</v>
      </c>
      <c r="H2117" t="inlineStr">
        <is>
          <t>CRITICAL</t>
        </is>
      </c>
      <c r="I2117" t="n">
        <v>16.5</v>
      </c>
      <c r="J2117" t="inlineStr">
        <is>
          <t>NO</t>
        </is>
      </c>
      <c r="K2117" t="inlineStr">
        <is>
          <t>2026-02-25 06:00</t>
        </is>
      </c>
      <c r="L2117" t="inlineStr">
        <is>
          <t>CHECK_VENDOR - ZDI published, vendor patch may be pending</t>
        </is>
      </c>
      <c r="M2117" t="inlineStr">
        <is>
          <t>See ZDI advisory</t>
        </is>
      </c>
      <c r="N2117" t="inlineStr">
        <is>
          <t>P1</t>
        </is>
      </c>
      <c r="O2117" t="inlineStr">
        <is>
          <t>ZDI 0-day advisory - no IP context</t>
        </is>
      </c>
      <c r="P2117" t="n">
        <v>0</v>
      </c>
      <c r="Q2117" t="n">
        <v>0</v>
      </c>
      <c r="R2117" t="inlineStr">
        <is>
          <t>T1190:Exploit Public-Facing Application</t>
        </is>
      </c>
      <c r="S2117" t="n">
        <v>2</v>
      </c>
      <c r="T2117" t="inlineStr">
        <is>
          <t>CONFIRMED (82%)</t>
        </is>
      </c>
      <c r="U2117" t="inlineStr">
        <is>
          <t>YES</t>
        </is>
      </c>
      <c r="V2117" t="inlineStr">
        <is>
          <t>CHECK_VENDOR</t>
        </is>
      </c>
      <c r="W2117" t="inlineStr">
        <is>
          <t>https://security.snyk.io/vuln/CVE-2026-21633</t>
        </is>
      </c>
      <c r="X2117" t="inlineStr">
        <is>
          <t>http://www.zerodayinitiative.com/advisories/ZDI-26-126/</t>
        </is>
      </c>
      <c r="Y2117" t="n">
        <v>0</v>
      </c>
      <c r="Z2117" t="inlineStr"/>
      <c r="AA2117" t="inlineStr">
        <is>
          <t>http://www.zerodayinitiative.com/advisories/ZDI-26-126/</t>
        </is>
      </c>
    </row>
    <row r="2118">
      <c r="A2118" t="inlineStr">
        <is>
          <t>ZDI_ADVISORY</t>
        </is>
      </c>
      <c r="B2118" t="inlineStr">
        <is>
          <t>ZDI-26-125</t>
        </is>
      </c>
      <c r="C2118" t="inlineStr">
        <is>
          <t>ZDI Published 0-Day: ZDI-26-125: Docker Desktop grpcfuse Kernel Module Out-Of-Bounds Read Information Disclosure Vulnerability | CVEs: CVE-2026-2664 | Product: See ZDI advisory</t>
        </is>
      </c>
      <c r="D2118" t="n">
        <v>7.5</v>
      </c>
      <c r="E2118" t="inlineStr">
        <is>
          <t>HIGH</t>
        </is>
      </c>
      <c r="F2118" t="n">
        <v>3</v>
      </c>
      <c r="G2118" t="n">
        <v>3</v>
      </c>
      <c r="H2118" t="inlineStr">
        <is>
          <t>CRITICAL</t>
        </is>
      </c>
      <c r="I2118" t="n">
        <v>16.5</v>
      </c>
      <c r="J2118" t="inlineStr">
        <is>
          <t>NO</t>
        </is>
      </c>
      <c r="K2118" t="inlineStr">
        <is>
          <t>2026-02-25 06:00</t>
        </is>
      </c>
      <c r="L2118" t="inlineStr">
        <is>
          <t>CHECK_VENDOR - ZDI published, vendor patch may be pending</t>
        </is>
      </c>
      <c r="M2118" t="inlineStr">
        <is>
          <t>See ZDI advisory</t>
        </is>
      </c>
      <c r="N2118" t="inlineStr">
        <is>
          <t>P1</t>
        </is>
      </c>
      <c r="O2118" t="inlineStr">
        <is>
          <t>ZDI 0-day advisory - no IP context</t>
        </is>
      </c>
      <c r="P2118" t="n">
        <v>0</v>
      </c>
      <c r="Q2118" t="n">
        <v>0</v>
      </c>
      <c r="R2118" t="inlineStr">
        <is>
          <t>T1203:Exploitation for Client Execution | T1213:Data from Information Repositories</t>
        </is>
      </c>
      <c r="S2118" t="n">
        <v>2</v>
      </c>
      <c r="T2118" t="inlineStr">
        <is>
          <t>CONFIRMED (82%)</t>
        </is>
      </c>
      <c r="U2118" t="inlineStr">
        <is>
          <t>YES</t>
        </is>
      </c>
      <c r="V2118" t="inlineStr">
        <is>
          <t>CHECK_VENDOR</t>
        </is>
      </c>
      <c r="W2118" t="inlineStr">
        <is>
          <t>https://security.snyk.io/vuln/CVE-2026-2664</t>
        </is>
      </c>
      <c r="X2118" t="inlineStr">
        <is>
          <t>http://www.zerodayinitiative.com/advisories/ZDI-26-125/</t>
        </is>
      </c>
      <c r="Y2118" t="n">
        <v>0</v>
      </c>
      <c r="Z2118" t="inlineStr"/>
      <c r="AA2118" t="inlineStr">
        <is>
          <t>http://www.zerodayinitiative.com/advisories/ZDI-26-125/</t>
        </is>
      </c>
    </row>
    <row r="2119">
      <c r="A2119" t="inlineStr">
        <is>
          <t>ZDI_ADVISORY</t>
        </is>
      </c>
      <c r="B2119" t="inlineStr">
        <is>
          <t>ZDI-26-124</t>
        </is>
      </c>
      <c r="C2119" t="inlineStr">
        <is>
          <t>ZDI Published 0-Day: ZDI-26-124: claude-hovercraft executeClaudeCode Command Injection Remote Code Execution Vulnerability | CVEs: CVE-2025-15060 | Product: See ZDI advisory</t>
        </is>
      </c>
      <c r="D2119" t="n">
        <v>7.5</v>
      </c>
      <c r="E2119" t="inlineStr">
        <is>
          <t>HIGH</t>
        </is>
      </c>
      <c r="F2119" t="n">
        <v>3</v>
      </c>
      <c r="G2119" t="n">
        <v>3</v>
      </c>
      <c r="H2119" t="inlineStr">
        <is>
          <t>CRITICAL</t>
        </is>
      </c>
      <c r="I2119" t="n">
        <v>16.5</v>
      </c>
      <c r="J2119" t="inlineStr">
        <is>
          <t>NO</t>
        </is>
      </c>
      <c r="K2119" t="inlineStr">
        <is>
          <t>2026-02-25 06:00</t>
        </is>
      </c>
      <c r="L2119" t="inlineStr">
        <is>
          <t>CHECK_VENDOR - ZDI published, vendor patch may be pending</t>
        </is>
      </c>
      <c r="M2119" t="inlineStr">
        <is>
          <t>See ZDI advisory</t>
        </is>
      </c>
      <c r="N2119" t="inlineStr">
        <is>
          <t>P1</t>
        </is>
      </c>
      <c r="O2119" t="inlineStr">
        <is>
          <t>ZDI 0-day advisory - no IP context</t>
        </is>
      </c>
      <c r="P2119" t="n">
        <v>0</v>
      </c>
      <c r="Q2119" t="n">
        <v>0</v>
      </c>
      <c r="R2119" t="inlineStr">
        <is>
          <t>T1190:Exploit Public-Facing Application | T1210:Exploitation of Remote Services | T1059:Command and Scripting Interpreter</t>
        </is>
      </c>
      <c r="S2119" t="n">
        <v>2</v>
      </c>
      <c r="T2119" t="inlineStr">
        <is>
          <t>CONFIRMED (82%)</t>
        </is>
      </c>
      <c r="U2119" t="inlineStr">
        <is>
          <t>YES</t>
        </is>
      </c>
      <c r="V2119" t="inlineStr">
        <is>
          <t>CHECK_VENDOR</t>
        </is>
      </c>
      <c r="W2119" t="inlineStr">
        <is>
          <t>https://security.snyk.io/vuln/CVE-2025-15060</t>
        </is>
      </c>
      <c r="X2119" t="inlineStr">
        <is>
          <t>http://www.zerodayinitiative.com/advisories/ZDI-26-124/</t>
        </is>
      </c>
      <c r="Y2119" t="n">
        <v>0</v>
      </c>
      <c r="Z2119" t="inlineStr"/>
      <c r="AA2119" t="inlineStr">
        <is>
          <t>http://www.zerodayinitiative.com/advisories/ZDI-26-124/</t>
        </is>
      </c>
    </row>
    <row r="2120">
      <c r="A2120" t="inlineStr">
        <is>
          <t>ZDI_ADVISORY</t>
        </is>
      </c>
      <c r="B2120" t="inlineStr">
        <is>
          <t>ZDI-26-123</t>
        </is>
      </c>
      <c r="C2120" t="inlineStr">
        <is>
          <t>ZDI Published 0-Day: ZDI-26-123: Docker Desktop MCP Server Cleartext Storage of Sensitive Information Vulnerability | CVEs:  | Product: See ZDI advisory</t>
        </is>
      </c>
      <c r="D2120" t="n">
        <v>7.5</v>
      </c>
      <c r="E2120" t="inlineStr">
        <is>
          <t>HIGH</t>
        </is>
      </c>
      <c r="F2120" t="n">
        <v>3</v>
      </c>
      <c r="G2120" t="n">
        <v>3</v>
      </c>
      <c r="H2120" t="inlineStr">
        <is>
          <t>CRITICAL</t>
        </is>
      </c>
      <c r="I2120" t="n">
        <v>16.5</v>
      </c>
      <c r="J2120" t="inlineStr">
        <is>
          <t>NO</t>
        </is>
      </c>
      <c r="K2120" t="inlineStr">
        <is>
          <t>2026-02-23 06:00</t>
        </is>
      </c>
      <c r="L2120" t="inlineStr">
        <is>
          <t>CHECK_VENDOR - ZDI published, vendor patch may be pending</t>
        </is>
      </c>
      <c r="M2120" t="inlineStr">
        <is>
          <t>See ZDI advisory</t>
        </is>
      </c>
      <c r="N2120" t="inlineStr">
        <is>
          <t>P1</t>
        </is>
      </c>
      <c r="O2120" t="inlineStr">
        <is>
          <t>ZDI 0-day advisory - no IP context</t>
        </is>
      </c>
      <c r="P2120" t="n">
        <v>0</v>
      </c>
      <c r="Q2120" t="n">
        <v>0</v>
      </c>
      <c r="R2120" t="inlineStr">
        <is>
          <t>T1190:Exploit Public-Facing Application</t>
        </is>
      </c>
      <c r="S2120" t="n">
        <v>2</v>
      </c>
      <c r="T2120" t="inlineStr">
        <is>
          <t>CONFIRMED (82%)</t>
        </is>
      </c>
      <c r="U2120" t="inlineStr">
        <is>
          <t>YES</t>
        </is>
      </c>
      <c r="V2120" t="inlineStr">
        <is>
          <t>CHECK_VENDOR</t>
        </is>
      </c>
      <c r="W2120" t="inlineStr">
        <is>
          <t>http://www.zerodayinitiative.com/advisories/ZDI-26-123/</t>
        </is>
      </c>
      <c r="X2120" t="inlineStr">
        <is>
          <t>http://www.zerodayinitiative.com/advisories/ZDI-26-123/</t>
        </is>
      </c>
      <c r="Y2120" t="n">
        <v>0</v>
      </c>
      <c r="Z2120" t="inlineStr"/>
      <c r="AA2120" t="inlineStr">
        <is>
          <t>http://www.zerodayinitiative.com/advisories/ZDI-26-123/</t>
        </is>
      </c>
    </row>
    <row r="2121">
      <c r="A2121" t="inlineStr">
        <is>
          <t>ZDI_ADVISORY</t>
        </is>
      </c>
      <c r="B2121" t="inlineStr">
        <is>
          <t>ZDI-26-122</t>
        </is>
      </c>
      <c r="C2121" t="inlineStr">
        <is>
          <t>ZDI Published 0-Day: ZDI-26-122: PDF-XChange Editor TrackerUpdate Uncontrolled Search Path Element Local Privilege Escalation Vulnerability | CVEs: CVE-2026-2040 | Product: See ZDI advisory</t>
        </is>
      </c>
      <c r="D2121" t="n">
        <v>7.5</v>
      </c>
      <c r="E2121" t="inlineStr">
        <is>
          <t>HIGH</t>
        </is>
      </c>
      <c r="F2121" t="n">
        <v>3</v>
      </c>
      <c r="G2121" t="n">
        <v>3</v>
      </c>
      <c r="H2121" t="inlineStr">
        <is>
          <t>CRITICAL</t>
        </is>
      </c>
      <c r="I2121" t="n">
        <v>16.5</v>
      </c>
      <c r="J2121" t="inlineStr">
        <is>
          <t>NO</t>
        </is>
      </c>
      <c r="K2121" t="inlineStr">
        <is>
          <t>2026-02-19 06:00</t>
        </is>
      </c>
      <c r="L2121" t="inlineStr">
        <is>
          <t>CHECK_VENDOR - ZDI published, vendor patch may be pending</t>
        </is>
      </c>
      <c r="M2121" t="inlineStr">
        <is>
          <t>See ZDI advisory</t>
        </is>
      </c>
      <c r="N2121" t="inlineStr">
        <is>
          <t>P1</t>
        </is>
      </c>
      <c r="O2121" t="inlineStr">
        <is>
          <t>ZDI 0-day advisory - no IP context</t>
        </is>
      </c>
      <c r="P2121" t="n">
        <v>0</v>
      </c>
      <c r="Q2121" t="n">
        <v>0</v>
      </c>
      <c r="R2121" t="inlineStr">
        <is>
          <t>T1068:Exploitation for Privilege Escalation</t>
        </is>
      </c>
      <c r="S2121" t="n">
        <v>2</v>
      </c>
      <c r="T2121" t="inlineStr">
        <is>
          <t>CONFIRMED (82%)</t>
        </is>
      </c>
      <c r="U2121" t="inlineStr">
        <is>
          <t>YES</t>
        </is>
      </c>
      <c r="V2121" t="inlineStr">
        <is>
          <t>CHECK_VENDOR</t>
        </is>
      </c>
      <c r="W2121" t="inlineStr">
        <is>
          <t>https://security.snyk.io/vuln/CVE-2026-2040</t>
        </is>
      </c>
      <c r="X2121" t="inlineStr">
        <is>
          <t>http://www.zerodayinitiative.com/advisories/ZDI-26-122/</t>
        </is>
      </c>
      <c r="Y2121" t="n">
        <v>0</v>
      </c>
      <c r="Z2121" t="inlineStr"/>
      <c r="AA2121" t="inlineStr">
        <is>
          <t>http://www.zerodayinitiative.com/advisories/ZDI-26-122/</t>
        </is>
      </c>
    </row>
    <row r="2122">
      <c r="A2122" t="inlineStr">
        <is>
          <t>ZDI_ADVISORY</t>
        </is>
      </c>
      <c r="B2122" t="inlineStr">
        <is>
          <t>ZDI-26-121</t>
        </is>
      </c>
      <c r="C2122" t="inlineStr">
        <is>
          <t>ZDI Published 0-Day: ZDI-26-121: GIMP XWD File Parsing Out-Of-Bounds Write Remote Code Execution Vulnerability | CVEs: CVE-2026-2048 | Product: See ZDI advisory</t>
        </is>
      </c>
      <c r="D2122" t="n">
        <v>7.5</v>
      </c>
      <c r="E2122" t="inlineStr">
        <is>
          <t>HIGH</t>
        </is>
      </c>
      <c r="F2122" t="n">
        <v>3</v>
      </c>
      <c r="G2122" t="n">
        <v>3</v>
      </c>
      <c r="H2122" t="inlineStr">
        <is>
          <t>CRITICAL</t>
        </is>
      </c>
      <c r="I2122" t="n">
        <v>16.5</v>
      </c>
      <c r="J2122" t="inlineStr">
        <is>
          <t>NO</t>
        </is>
      </c>
      <c r="K2122" t="inlineStr">
        <is>
          <t>2026-02-19 06:00</t>
        </is>
      </c>
      <c r="L2122" t="inlineStr">
        <is>
          <t>CHECK_VENDOR - ZDI published, vendor patch may be pending</t>
        </is>
      </c>
      <c r="M2122" t="inlineStr">
        <is>
          <t>See ZDI advisory</t>
        </is>
      </c>
      <c r="N2122" t="inlineStr">
        <is>
          <t>P1</t>
        </is>
      </c>
      <c r="O2122" t="inlineStr">
        <is>
          <t>ZDI 0-day advisory - no IP context</t>
        </is>
      </c>
      <c r="P2122" t="n">
        <v>0</v>
      </c>
      <c r="Q2122" t="n">
        <v>0</v>
      </c>
      <c r="R2122" t="inlineStr">
        <is>
          <t>T1190:Exploit Public-Facing Application | T1210:Exploitation of Remote Services | T1203:Exploitation for Client Execution</t>
        </is>
      </c>
      <c r="S2122" t="n">
        <v>2</v>
      </c>
      <c r="T2122" t="inlineStr">
        <is>
          <t>CONFIRMED (82%)</t>
        </is>
      </c>
      <c r="U2122" t="inlineStr">
        <is>
          <t>YES</t>
        </is>
      </c>
      <c r="V2122" t="inlineStr">
        <is>
          <t>CHECK_VENDOR</t>
        </is>
      </c>
      <c r="W2122" t="inlineStr">
        <is>
          <t>https://security.snyk.io/vuln/CVE-2026-2048</t>
        </is>
      </c>
      <c r="X2122" t="inlineStr">
        <is>
          <t>http://www.zerodayinitiative.com/advisories/ZDI-26-121/</t>
        </is>
      </c>
      <c r="Y2122" t="n">
        <v>0</v>
      </c>
      <c r="Z2122" t="inlineStr"/>
      <c r="AA2122" t="inlineStr">
        <is>
          <t>http://www.zerodayinitiative.com/advisories/ZDI-26-121/</t>
        </is>
      </c>
    </row>
    <row r="2123">
      <c r="A2123" t="inlineStr">
        <is>
          <t>ZDI_ADVISORY</t>
        </is>
      </c>
      <c r="B2123" t="inlineStr">
        <is>
          <t>ZDI-26-120</t>
        </is>
      </c>
      <c r="C2123" t="inlineStr">
        <is>
          <t>ZDI Published 0-Day: ZDI-26-120: GIMP ICNS File Parsing Heap-based Buffer Overflow Remote Code Execution Vulnerability | CVEs: CVE-2026-2047 | Product: See ZDI advisory</t>
        </is>
      </c>
      <c r="D2123" t="n">
        <v>7.5</v>
      </c>
      <c r="E2123" t="inlineStr">
        <is>
          <t>HIGH</t>
        </is>
      </c>
      <c r="F2123" t="n">
        <v>3</v>
      </c>
      <c r="G2123" t="n">
        <v>3</v>
      </c>
      <c r="H2123" t="inlineStr">
        <is>
          <t>CRITICAL</t>
        </is>
      </c>
      <c r="I2123" t="n">
        <v>16.5</v>
      </c>
      <c r="J2123" t="inlineStr">
        <is>
          <t>NO</t>
        </is>
      </c>
      <c r="K2123" t="inlineStr">
        <is>
          <t>2026-02-19 06:00</t>
        </is>
      </c>
      <c r="L2123" t="inlineStr">
        <is>
          <t>CHECK_VENDOR - ZDI published, vendor patch may be pending</t>
        </is>
      </c>
      <c r="M2123" t="inlineStr">
        <is>
          <t>See ZDI advisory</t>
        </is>
      </c>
      <c r="N2123" t="inlineStr">
        <is>
          <t>P1</t>
        </is>
      </c>
      <c r="O2123" t="inlineStr">
        <is>
          <t>ZDI 0-day advisory - no IP context</t>
        </is>
      </c>
      <c r="P2123" t="n">
        <v>0</v>
      </c>
      <c r="Q2123" t="n">
        <v>0</v>
      </c>
      <c r="R2123" t="inlineStr">
        <is>
          <t>T1190:Exploit Public-Facing Application | T1210:Exploitation of Remote Services | T1203:Exploitation for Client Execution</t>
        </is>
      </c>
      <c r="S2123" t="n">
        <v>2</v>
      </c>
      <c r="T2123" t="inlineStr">
        <is>
          <t>CONFIRMED (82%)</t>
        </is>
      </c>
      <c r="U2123" t="inlineStr">
        <is>
          <t>YES</t>
        </is>
      </c>
      <c r="V2123" t="inlineStr">
        <is>
          <t>CHECK_VENDOR</t>
        </is>
      </c>
      <c r="W2123" t="inlineStr">
        <is>
          <t>https://security.snyk.io/vuln/CVE-2026-2047</t>
        </is>
      </c>
      <c r="X2123" t="inlineStr">
        <is>
          <t>http://www.zerodayinitiative.com/advisories/ZDI-26-120/</t>
        </is>
      </c>
      <c r="Y2123" t="n">
        <v>0</v>
      </c>
      <c r="Z2123" t="inlineStr"/>
      <c r="AA2123" t="inlineStr">
        <is>
          <t>http://www.zerodayinitiative.com/advisories/ZDI-26-120/</t>
        </is>
      </c>
    </row>
    <row r="2124">
      <c r="A2124" t="inlineStr">
        <is>
          <t>ZDI_ADVISORY</t>
        </is>
      </c>
      <c r="B2124" t="inlineStr">
        <is>
          <t>ZDI-26-119</t>
        </is>
      </c>
      <c r="C2124" t="inlineStr">
        <is>
          <t>ZDI Published 0-Day: ZDI-26-119: GIMP XWD File Parsing Out-Of-Bounds Write Remote Code Execution Vulnerability | CVEs: CVE-2026-2045 | Product: See ZDI advisory</t>
        </is>
      </c>
      <c r="D2124" t="n">
        <v>7.5</v>
      </c>
      <c r="E2124" t="inlineStr">
        <is>
          <t>HIGH</t>
        </is>
      </c>
      <c r="F2124" t="n">
        <v>3</v>
      </c>
      <c r="G2124" t="n">
        <v>3</v>
      </c>
      <c r="H2124" t="inlineStr">
        <is>
          <t>CRITICAL</t>
        </is>
      </c>
      <c r="I2124" t="n">
        <v>16.5</v>
      </c>
      <c r="J2124" t="inlineStr">
        <is>
          <t>NO</t>
        </is>
      </c>
      <c r="K2124" t="inlineStr">
        <is>
          <t>2026-02-19 06:00</t>
        </is>
      </c>
      <c r="L2124" t="inlineStr">
        <is>
          <t>CHECK_VENDOR - ZDI published, vendor patch may be pending</t>
        </is>
      </c>
      <c r="M2124" t="inlineStr">
        <is>
          <t>See ZDI advisory</t>
        </is>
      </c>
      <c r="N2124" t="inlineStr">
        <is>
          <t>P1</t>
        </is>
      </c>
      <c r="O2124" t="inlineStr">
        <is>
          <t>ZDI 0-day advisory - no IP context</t>
        </is>
      </c>
      <c r="P2124" t="n">
        <v>0</v>
      </c>
      <c r="Q2124" t="n">
        <v>0</v>
      </c>
      <c r="R2124" t="inlineStr">
        <is>
          <t>T1190:Exploit Public-Facing Application | T1210:Exploitation of Remote Services | T1203:Exploitation for Client Execution</t>
        </is>
      </c>
      <c r="S2124" t="n">
        <v>2</v>
      </c>
      <c r="T2124" t="inlineStr">
        <is>
          <t>CONFIRMED (82%)</t>
        </is>
      </c>
      <c r="U2124" t="inlineStr">
        <is>
          <t>YES</t>
        </is>
      </c>
      <c r="V2124" t="inlineStr">
        <is>
          <t>CHECK_VENDOR</t>
        </is>
      </c>
      <c r="W2124" t="inlineStr">
        <is>
          <t>https://security.snyk.io/vuln/CVE-2026-2045</t>
        </is>
      </c>
      <c r="X2124" t="inlineStr">
        <is>
          <t>http://www.zerodayinitiative.com/advisories/ZDI-26-119/</t>
        </is>
      </c>
      <c r="Y2124" t="n">
        <v>0</v>
      </c>
      <c r="Z2124" t="inlineStr"/>
      <c r="AA2124" t="inlineStr">
        <is>
          <t>http://www.zerodayinitiative.com/advisories/ZDI-26-119/</t>
        </is>
      </c>
    </row>
    <row r="2125">
      <c r="A2125" t="inlineStr">
        <is>
          <t>ZDI_ADVISORY</t>
        </is>
      </c>
      <c r="B2125" t="inlineStr">
        <is>
          <t>ZDI-26-118</t>
        </is>
      </c>
      <c r="C2125" t="inlineStr">
        <is>
          <t>ZDI Published 0-Day: ZDI-26-118: GIMP PGM File Parsing Uninitialized Memory Remote Code Execution Vulnerability | CVEs: CVE-2026-2044 | Product: See ZDI advisory</t>
        </is>
      </c>
      <c r="D2125" t="n">
        <v>7.5</v>
      </c>
      <c r="E2125" t="inlineStr">
        <is>
          <t>HIGH</t>
        </is>
      </c>
      <c r="F2125" t="n">
        <v>3</v>
      </c>
      <c r="G2125" t="n">
        <v>3</v>
      </c>
      <c r="H2125" t="inlineStr">
        <is>
          <t>CRITICAL</t>
        </is>
      </c>
      <c r="I2125" t="n">
        <v>16.5</v>
      </c>
      <c r="J2125" t="inlineStr">
        <is>
          <t>NO</t>
        </is>
      </c>
      <c r="K2125" t="inlineStr">
        <is>
          <t>2026-02-19 06:00</t>
        </is>
      </c>
      <c r="L2125" t="inlineStr">
        <is>
          <t>CHECK_VENDOR - ZDI published, vendor patch may be pending</t>
        </is>
      </c>
      <c r="M2125" t="inlineStr">
        <is>
          <t>See ZDI advisory</t>
        </is>
      </c>
      <c r="N2125" t="inlineStr">
        <is>
          <t>P1</t>
        </is>
      </c>
      <c r="O2125" t="inlineStr">
        <is>
          <t>ZDI 0-day advisory - no IP context</t>
        </is>
      </c>
      <c r="P2125" t="n">
        <v>0</v>
      </c>
      <c r="Q2125" t="n">
        <v>0</v>
      </c>
      <c r="R2125" t="inlineStr">
        <is>
          <t>T1190:Exploit Public-Facing Application | T1210:Exploitation of Remote Services</t>
        </is>
      </c>
      <c r="S2125" t="n">
        <v>2</v>
      </c>
      <c r="T2125" t="inlineStr">
        <is>
          <t>CONFIRMED (82%)</t>
        </is>
      </c>
      <c r="U2125" t="inlineStr">
        <is>
          <t>YES</t>
        </is>
      </c>
      <c r="V2125" t="inlineStr">
        <is>
          <t>CHECK_VENDOR</t>
        </is>
      </c>
      <c r="W2125" t="inlineStr">
        <is>
          <t>https://security.snyk.io/vuln/CVE-2026-2044</t>
        </is>
      </c>
      <c r="X2125" t="inlineStr">
        <is>
          <t>http://www.zerodayinitiative.com/advisories/ZDI-26-118/</t>
        </is>
      </c>
      <c r="Y2125" t="n">
        <v>0</v>
      </c>
      <c r="Z2125" t="inlineStr"/>
      <c r="AA2125" t="inlineStr">
        <is>
          <t>http://www.zerodayinitiative.com/advisories/ZDI-26-118/</t>
        </is>
      </c>
    </row>
    <row r="2126">
      <c r="A2126" t="inlineStr">
        <is>
          <t>ZDI_ADVISORY</t>
        </is>
      </c>
      <c r="B2126" t="inlineStr">
        <is>
          <t>ZDI-26-117</t>
        </is>
      </c>
      <c r="C2126" t="inlineStr">
        <is>
          <t>ZDI Published 0-Day: ZDI-26-117: RustDesk Client for Windows Transfer File Link Following Information Disclosure Vulnerability | CVEs: CVE-2026-2490 | Product: See ZDI advisory</t>
        </is>
      </c>
      <c r="D2126" t="n">
        <v>7.5</v>
      </c>
      <c r="E2126" t="inlineStr">
        <is>
          <t>HIGH</t>
        </is>
      </c>
      <c r="F2126" t="n">
        <v>3</v>
      </c>
      <c r="G2126" t="n">
        <v>3</v>
      </c>
      <c r="H2126" t="inlineStr">
        <is>
          <t>CRITICAL</t>
        </is>
      </c>
      <c r="I2126" t="n">
        <v>16.5</v>
      </c>
      <c r="J2126" t="inlineStr">
        <is>
          <t>NO</t>
        </is>
      </c>
      <c r="K2126" t="inlineStr">
        <is>
          <t>2026-02-19 06:00</t>
        </is>
      </c>
      <c r="L2126" t="inlineStr">
        <is>
          <t>CHECK_VENDOR - ZDI published, vendor patch may be pending</t>
        </is>
      </c>
      <c r="M2126" t="inlineStr">
        <is>
          <t>See ZDI advisory</t>
        </is>
      </c>
      <c r="N2126" t="inlineStr">
        <is>
          <t>P1</t>
        </is>
      </c>
      <c r="O2126" t="inlineStr">
        <is>
          <t>ZDI 0-day advisory - no IP context</t>
        </is>
      </c>
      <c r="P2126" t="n">
        <v>0.0001</v>
      </c>
      <c r="Q2126" t="n">
        <v>0.0291</v>
      </c>
      <c r="R2126" t="inlineStr">
        <is>
          <t>T1213:Data from Information Repositories</t>
        </is>
      </c>
      <c r="S2126" t="n">
        <v>2</v>
      </c>
      <c r="T2126" t="inlineStr">
        <is>
          <t>CONFIRMED (82%)</t>
        </is>
      </c>
      <c r="U2126" t="inlineStr">
        <is>
          <t>YES</t>
        </is>
      </c>
      <c r="V2126" t="inlineStr">
        <is>
          <t>CHECK_VENDOR</t>
        </is>
      </c>
      <c r="W2126" t="inlineStr">
        <is>
          <t>https://security.snyk.io/vuln/CVE-2026-2490</t>
        </is>
      </c>
      <c r="X2126" t="inlineStr">
        <is>
          <t>http://www.zerodayinitiative.com/advisories/ZDI-26-117/</t>
        </is>
      </c>
      <c r="Y2126" t="n">
        <v>0</v>
      </c>
      <c r="Z2126" t="inlineStr"/>
      <c r="AA2126" t="inlineStr">
        <is>
          <t>http://www.zerodayinitiative.com/advisories/ZDI-26-117/</t>
        </is>
      </c>
    </row>
    <row r="2127">
      <c r="A2127" t="inlineStr">
        <is>
          <t>ZDI_ADVISORY</t>
        </is>
      </c>
      <c r="B2127" t="inlineStr">
        <is>
          <t>ZDI-26-116</t>
        </is>
      </c>
      <c r="C2127" t="inlineStr">
        <is>
          <t>ZDI Published 0-Day: ZDI-26-116: TensorFlow HDF5 Library Uncontrolled Search Path Element Local Privilege Escalation Vulnerability | CVEs: CVE-2026-2492 | Product: See ZDI advisory</t>
        </is>
      </c>
      <c r="D2127" t="n">
        <v>7.5</v>
      </c>
      <c r="E2127" t="inlineStr">
        <is>
          <t>HIGH</t>
        </is>
      </c>
      <c r="F2127" t="n">
        <v>3</v>
      </c>
      <c r="G2127" t="n">
        <v>3</v>
      </c>
      <c r="H2127" t="inlineStr">
        <is>
          <t>CRITICAL</t>
        </is>
      </c>
      <c r="I2127" t="n">
        <v>16.5</v>
      </c>
      <c r="J2127" t="inlineStr">
        <is>
          <t>NO</t>
        </is>
      </c>
      <c r="K2127" t="inlineStr">
        <is>
          <t>2026-02-19 06:00</t>
        </is>
      </c>
      <c r="L2127" t="inlineStr">
        <is>
          <t>CHECK_VENDOR - ZDI published, vendor patch may be pending</t>
        </is>
      </c>
      <c r="M2127" t="inlineStr">
        <is>
          <t>See ZDI advisory</t>
        </is>
      </c>
      <c r="N2127" t="inlineStr">
        <is>
          <t>P1</t>
        </is>
      </c>
      <c r="O2127" t="inlineStr">
        <is>
          <t>ZDI 0-day advisory - no IP context</t>
        </is>
      </c>
      <c r="P2127" t="n">
        <v>0.0001</v>
      </c>
      <c r="Q2127" t="n">
        <v>0.0244</v>
      </c>
      <c r="R2127" t="inlineStr">
        <is>
          <t>T1068:Exploitation for Privilege Escalation</t>
        </is>
      </c>
      <c r="S2127" t="n">
        <v>2</v>
      </c>
      <c r="T2127" t="inlineStr">
        <is>
          <t>CONFIRMED (82%)</t>
        </is>
      </c>
      <c r="U2127" t="inlineStr">
        <is>
          <t>YES</t>
        </is>
      </c>
      <c r="V2127" t="inlineStr">
        <is>
          <t>CHECK_VENDOR</t>
        </is>
      </c>
      <c r="W2127" t="inlineStr">
        <is>
          <t>https://security.snyk.io/vuln/CVE-2026-2492</t>
        </is>
      </c>
      <c r="X2127" t="inlineStr">
        <is>
          <t>http://www.zerodayinitiative.com/advisories/ZDI-26-116/</t>
        </is>
      </c>
      <c r="Y2127" t="n">
        <v>0</v>
      </c>
      <c r="Z2127" t="inlineStr"/>
      <c r="AA2127" t="inlineStr">
        <is>
          <t>http://www.zerodayinitiative.com/advisories/ZDI-26-116/</t>
        </is>
      </c>
    </row>
    <row r="2128">
      <c r="A2128" t="inlineStr">
        <is>
          <t>ZDI_ADVISORY</t>
        </is>
      </c>
      <c r="B2128" t="inlineStr">
        <is>
          <t>ZDI-26-115</t>
        </is>
      </c>
      <c r="C2128" t="inlineStr">
        <is>
          <t>ZDI Published 0-Day: ZDI-26-115: Fortinet FortiClient VPN FCConfig Utility Link Following Local Privilege Escalation Vulnerability | CVEs: CVE-2025-62676 | Product: See ZDI advisory</t>
        </is>
      </c>
      <c r="D2128" t="n">
        <v>7.5</v>
      </c>
      <c r="E2128" t="inlineStr">
        <is>
          <t>HIGH</t>
        </is>
      </c>
      <c r="F2128" t="n">
        <v>3</v>
      </c>
      <c r="G2128" t="n">
        <v>3</v>
      </c>
      <c r="H2128" t="inlineStr">
        <is>
          <t>CRITICAL</t>
        </is>
      </c>
      <c r="I2128" t="n">
        <v>16.5</v>
      </c>
      <c r="J2128" t="inlineStr">
        <is>
          <t>NO</t>
        </is>
      </c>
      <c r="K2128" t="inlineStr">
        <is>
          <t>2026-02-19 06:00</t>
        </is>
      </c>
      <c r="L2128" t="inlineStr">
        <is>
          <t>CHECK_VENDOR - ZDI published, vendor patch may be pending</t>
        </is>
      </c>
      <c r="M2128" t="inlineStr">
        <is>
          <t>See ZDI advisory</t>
        </is>
      </c>
      <c r="N2128" t="inlineStr">
        <is>
          <t>P1</t>
        </is>
      </c>
      <c r="O2128" t="inlineStr">
        <is>
          <t>ZDI 0-day advisory - no IP context</t>
        </is>
      </c>
      <c r="P2128" t="n">
        <v>0</v>
      </c>
      <c r="Q2128" t="n">
        <v>0</v>
      </c>
      <c r="R2128" t="inlineStr">
        <is>
          <t>T1068:Exploitation for Privilege Escalation | T1133:External Remote Services</t>
        </is>
      </c>
      <c r="S2128" t="n">
        <v>2</v>
      </c>
      <c r="T2128" t="inlineStr">
        <is>
          <t>CONFIRMED (82%)</t>
        </is>
      </c>
      <c r="U2128" t="inlineStr">
        <is>
          <t>YES</t>
        </is>
      </c>
      <c r="V2128" t="inlineStr">
        <is>
          <t>CHECK_VENDOR</t>
        </is>
      </c>
      <c r="W2128" t="inlineStr">
        <is>
          <t>https://security.snyk.io/vuln/CVE-2025-62676</t>
        </is>
      </c>
      <c r="X2128" t="inlineStr">
        <is>
          <t>http://www.zerodayinitiative.com/advisories/ZDI-26-115/</t>
        </is>
      </c>
      <c r="Y2128" t="n">
        <v>0</v>
      </c>
      <c r="Z2128" t="inlineStr"/>
      <c r="AA2128" t="inlineStr">
        <is>
          <t>http://www.zerodayinitiative.com/advisories/ZDI-26-115/</t>
        </is>
      </c>
    </row>
    <row r="2129">
      <c r="A2129" t="inlineStr">
        <is>
          <t>ZDI_ADVISORY</t>
        </is>
      </c>
      <c r="B2129" t="inlineStr">
        <is>
          <t>ZDI-26-114</t>
        </is>
      </c>
      <c r="C2129" t="inlineStr">
        <is>
          <t>ZDI Published 0-Day: ZDI-26-114: Dassault Systèmes eDrawings Viewer EPRT File Parsing Out-Of-Bounds Write Remote Code Execution Vulnerability | CVEs: CVE-2026-1335 | Product: See ZDI advisory</t>
        </is>
      </c>
      <c r="D2129" t="n">
        <v>7.5</v>
      </c>
      <c r="E2129" t="inlineStr">
        <is>
          <t>HIGH</t>
        </is>
      </c>
      <c r="F2129" t="n">
        <v>3</v>
      </c>
      <c r="G2129" t="n">
        <v>3</v>
      </c>
      <c r="H2129" t="inlineStr">
        <is>
          <t>CRITICAL</t>
        </is>
      </c>
      <c r="I2129" t="n">
        <v>16.5</v>
      </c>
      <c r="J2129" t="inlineStr">
        <is>
          <t>NO</t>
        </is>
      </c>
      <c r="K2129" t="inlineStr">
        <is>
          <t>2026-02-19 06:00</t>
        </is>
      </c>
      <c r="L2129" t="inlineStr">
        <is>
          <t>CHECK_VENDOR - ZDI published, vendor patch may be pending</t>
        </is>
      </c>
      <c r="M2129" t="inlineStr">
        <is>
          <t>See ZDI advisory</t>
        </is>
      </c>
      <c r="N2129" t="inlineStr">
        <is>
          <t>P1</t>
        </is>
      </c>
      <c r="O2129" t="inlineStr">
        <is>
          <t>ZDI 0-day advisory - no IP context</t>
        </is>
      </c>
      <c r="P2129" t="n">
        <v>0</v>
      </c>
      <c r="Q2129" t="n">
        <v>0</v>
      </c>
      <c r="R2129" t="inlineStr">
        <is>
          <t>T1190:Exploit Public-Facing Application | T1210:Exploitation of Remote Services | T1203:Exploitation for Client Execution</t>
        </is>
      </c>
      <c r="S2129" t="n">
        <v>2</v>
      </c>
      <c r="T2129" t="inlineStr">
        <is>
          <t>CONFIRMED (82%)</t>
        </is>
      </c>
      <c r="U2129" t="inlineStr">
        <is>
          <t>YES</t>
        </is>
      </c>
      <c r="V2129" t="inlineStr">
        <is>
          <t>CHECK_VENDOR</t>
        </is>
      </c>
      <c r="W2129" t="inlineStr">
        <is>
          <t>https://security.snyk.io/vuln/CVE-2026-1335</t>
        </is>
      </c>
      <c r="X2129" t="inlineStr">
        <is>
          <t>http://www.zerodayinitiative.com/advisories/ZDI-26-114/</t>
        </is>
      </c>
      <c r="Y2129" t="n">
        <v>0</v>
      </c>
      <c r="Z2129" t="inlineStr"/>
      <c r="AA2129" t="inlineStr">
        <is>
          <t>http://www.zerodayinitiative.com/advisories/ZDI-26-114/</t>
        </is>
      </c>
    </row>
    <row r="2130">
      <c r="A2130" t="inlineStr">
        <is>
          <t>ZDI_ADVISORY</t>
        </is>
      </c>
      <c r="B2130" t="inlineStr">
        <is>
          <t>ZDI-26-113</t>
        </is>
      </c>
      <c r="C2130" t="inlineStr">
        <is>
          <t>ZDI Published 0-Day: ZDI-26-113: Dassault Systèmes eDrawings Viewer EPRT File Parsing Memory Corruption Remote Code Execution Vulnerability | CVEs: CVE-2026-1334 | Product: See ZDI advisory</t>
        </is>
      </c>
      <c r="D2130" t="n">
        <v>7.5</v>
      </c>
      <c r="E2130" t="inlineStr">
        <is>
          <t>HIGH</t>
        </is>
      </c>
      <c r="F2130" t="n">
        <v>3</v>
      </c>
      <c r="G2130" t="n">
        <v>3</v>
      </c>
      <c r="H2130" t="inlineStr">
        <is>
          <t>CRITICAL</t>
        </is>
      </c>
      <c r="I2130" t="n">
        <v>16.5</v>
      </c>
      <c r="J2130" t="inlineStr">
        <is>
          <t>NO</t>
        </is>
      </c>
      <c r="K2130" t="inlineStr">
        <is>
          <t>2026-02-19 06:00</t>
        </is>
      </c>
      <c r="L2130" t="inlineStr">
        <is>
          <t>CHECK_VENDOR - ZDI published, vendor patch may be pending</t>
        </is>
      </c>
      <c r="M2130" t="inlineStr">
        <is>
          <t>See ZDI advisory</t>
        </is>
      </c>
      <c r="N2130" t="inlineStr">
        <is>
          <t>P1</t>
        </is>
      </c>
      <c r="O2130" t="inlineStr">
        <is>
          <t>ZDI 0-day advisory - no IP context</t>
        </is>
      </c>
      <c r="P2130" t="n">
        <v>0</v>
      </c>
      <c r="Q2130" t="n">
        <v>0</v>
      </c>
      <c r="R2130" t="inlineStr">
        <is>
          <t>T1190:Exploit Public-Facing Application | T1210:Exploitation of Remote Services | T1203:Exploitation for Client Execution</t>
        </is>
      </c>
      <c r="S2130" t="n">
        <v>2</v>
      </c>
      <c r="T2130" t="inlineStr">
        <is>
          <t>CONFIRMED (82%)</t>
        </is>
      </c>
      <c r="U2130" t="inlineStr">
        <is>
          <t>YES</t>
        </is>
      </c>
      <c r="V2130" t="inlineStr">
        <is>
          <t>CHECK_VENDOR</t>
        </is>
      </c>
      <c r="W2130" t="inlineStr">
        <is>
          <t>https://security.snyk.io/vuln/CVE-2026-1334</t>
        </is>
      </c>
      <c r="X2130" t="inlineStr">
        <is>
          <t>http://www.zerodayinitiative.com/advisories/ZDI-26-113/</t>
        </is>
      </c>
      <c r="Y2130" t="n">
        <v>0</v>
      </c>
      <c r="Z2130" t="inlineStr"/>
      <c r="AA2130" t="inlineStr">
        <is>
          <t>http://www.zerodayinitiative.com/advisories/ZDI-26-113/</t>
        </is>
      </c>
    </row>
    <row r="2131">
      <c r="A2131" t="inlineStr">
        <is>
          <t>ZDI_ADVISORY</t>
        </is>
      </c>
      <c r="B2131" t="inlineStr">
        <is>
          <t>ZDI-26-112</t>
        </is>
      </c>
      <c r="C2131" t="inlineStr">
        <is>
          <t>ZDI Published 0-Day: ZDI-26-112: Dassault Systèmes eDrawings Viewer EPRT File Parsing Uninitialized Variable Remote Code Execution Vulnerability | CVEs: CVE-2026-1333 | Product: See ZDI advisory</t>
        </is>
      </c>
      <c r="D2131" t="n">
        <v>7.5</v>
      </c>
      <c r="E2131" t="inlineStr">
        <is>
          <t>HIGH</t>
        </is>
      </c>
      <c r="F2131" t="n">
        <v>3</v>
      </c>
      <c r="G2131" t="n">
        <v>3</v>
      </c>
      <c r="H2131" t="inlineStr">
        <is>
          <t>CRITICAL</t>
        </is>
      </c>
      <c r="I2131" t="n">
        <v>16.5</v>
      </c>
      <c r="J2131" t="inlineStr">
        <is>
          <t>NO</t>
        </is>
      </c>
      <c r="K2131" t="inlineStr">
        <is>
          <t>2026-02-19 06:00</t>
        </is>
      </c>
      <c r="L2131" t="inlineStr">
        <is>
          <t>CHECK_VENDOR - ZDI published, vendor patch may be pending</t>
        </is>
      </c>
      <c r="M2131" t="inlineStr">
        <is>
          <t>See ZDI advisory</t>
        </is>
      </c>
      <c r="N2131" t="inlineStr">
        <is>
          <t>P1</t>
        </is>
      </c>
      <c r="O2131" t="inlineStr">
        <is>
          <t>ZDI 0-day advisory - no IP context</t>
        </is>
      </c>
      <c r="P2131" t="n">
        <v>0</v>
      </c>
      <c r="Q2131" t="n">
        <v>0</v>
      </c>
      <c r="R2131" t="inlineStr">
        <is>
          <t>T1190:Exploit Public-Facing Application | T1210:Exploitation of Remote Services</t>
        </is>
      </c>
      <c r="S2131" t="n">
        <v>2</v>
      </c>
      <c r="T2131" t="inlineStr">
        <is>
          <t>CONFIRMED (82%)</t>
        </is>
      </c>
      <c r="U2131" t="inlineStr">
        <is>
          <t>YES</t>
        </is>
      </c>
      <c r="V2131" t="inlineStr">
        <is>
          <t>CHECK_VENDOR</t>
        </is>
      </c>
      <c r="W2131" t="inlineStr">
        <is>
          <t>https://security.snyk.io/vuln/CVE-2026-1333</t>
        </is>
      </c>
      <c r="X2131" t="inlineStr">
        <is>
          <t>http://www.zerodayinitiative.com/advisories/ZDI-26-112/</t>
        </is>
      </c>
      <c r="Y2131" t="n">
        <v>0</v>
      </c>
      <c r="Z2131" t="inlineStr"/>
      <c r="AA2131" t="inlineStr">
        <is>
          <t>http://www.zerodayinitiative.com/advisories/ZDI-26-112/</t>
        </is>
      </c>
    </row>
    <row r="2132">
      <c r="A2132" t="inlineStr">
        <is>
          <t>ZDI_ADVISORY</t>
        </is>
      </c>
      <c r="B2132" t="inlineStr">
        <is>
          <t>ZDI-26-111</t>
        </is>
      </c>
      <c r="C2132" t="inlineStr">
        <is>
          <t>ZDI Published 0-Day: ZDI-26-111: MLflow Use of Default Password Authentication Bypass Vulnerability | CVEs: CVE-2026-2635 | Product: See ZDI advisory</t>
        </is>
      </c>
      <c r="D2132" t="n">
        <v>7.5</v>
      </c>
      <c r="E2132" t="inlineStr">
        <is>
          <t>HIGH</t>
        </is>
      </c>
      <c r="F2132" t="n">
        <v>3</v>
      </c>
      <c r="G2132" t="n">
        <v>3</v>
      </c>
      <c r="H2132" t="inlineStr">
        <is>
          <t>CRITICAL</t>
        </is>
      </c>
      <c r="I2132" t="n">
        <v>16.5</v>
      </c>
      <c r="J2132" t="inlineStr">
        <is>
          <t>NO</t>
        </is>
      </c>
      <c r="K2132" t="inlineStr">
        <is>
          <t>2026-02-19 06:00</t>
        </is>
      </c>
      <c r="L2132" t="inlineStr">
        <is>
          <t>CHECK_VENDOR - ZDI published, vendor patch may be pending</t>
        </is>
      </c>
      <c r="M2132" t="inlineStr">
        <is>
          <t>See ZDI advisory</t>
        </is>
      </c>
      <c r="N2132" t="inlineStr">
        <is>
          <t>P1</t>
        </is>
      </c>
      <c r="O2132" t="inlineStr">
        <is>
          <t>ZDI 0-day advisory - no IP context</t>
        </is>
      </c>
      <c r="P2132" t="n">
        <v>0.0117</v>
      </c>
      <c r="Q2132" t="n">
        <v>0.7835</v>
      </c>
      <c r="R2132" t="inlineStr">
        <is>
          <t>T1078:Valid Accounts</t>
        </is>
      </c>
      <c r="S2132" t="n">
        <v>2</v>
      </c>
      <c r="T2132" t="inlineStr">
        <is>
          <t>CONFIRMED (82%)</t>
        </is>
      </c>
      <c r="U2132" t="inlineStr">
        <is>
          <t>YES</t>
        </is>
      </c>
      <c r="V2132" t="inlineStr">
        <is>
          <t>CHECK_VENDOR</t>
        </is>
      </c>
      <c r="W2132" t="inlineStr">
        <is>
          <t>https://security.snyk.io/vuln/CVE-2026-2635</t>
        </is>
      </c>
      <c r="X2132" t="inlineStr">
        <is>
          <t>http://www.zerodayinitiative.com/advisories/ZDI-26-111/</t>
        </is>
      </c>
      <c r="Y2132" t="n">
        <v>0</v>
      </c>
      <c r="Z2132" t="inlineStr"/>
      <c r="AA2132" t="inlineStr">
        <is>
          <t>http://www.zerodayinitiative.com/advisories/ZDI-26-111/</t>
        </is>
      </c>
    </row>
    <row r="2133">
      <c r="A2133" t="inlineStr">
        <is>
          <t>ZDI_ADVISORY</t>
        </is>
      </c>
      <c r="B2133" t="inlineStr">
        <is>
          <t>ZDI-26-110</t>
        </is>
      </c>
      <c r="C2133" t="inlineStr">
        <is>
          <t>ZDI Published 0-Day: ZDI-26-110: Bosch Rexroth IndraWorks Print Settings File Parsing Deserialization Of Untrusted Data Remote Code Execution Vulnerability | CVEs: CVE-2025-60038, CVE-2025-60037 | Product: See ZDI advisory</t>
        </is>
      </c>
      <c r="D2133" t="n">
        <v>7.5</v>
      </c>
      <c r="E2133" t="inlineStr">
        <is>
          <t>HIGH</t>
        </is>
      </c>
      <c r="F2133" t="n">
        <v>3</v>
      </c>
      <c r="G2133" t="n">
        <v>3</v>
      </c>
      <c r="H2133" t="inlineStr">
        <is>
          <t>CRITICAL</t>
        </is>
      </c>
      <c r="I2133" t="n">
        <v>16.5</v>
      </c>
      <c r="J2133" t="inlineStr">
        <is>
          <t>NO</t>
        </is>
      </c>
      <c r="K2133" t="inlineStr">
        <is>
          <t>2026-02-19 06:00</t>
        </is>
      </c>
      <c r="L2133" t="inlineStr">
        <is>
          <t>CHECK_VENDOR - ZDI published, vendor patch may be pending</t>
        </is>
      </c>
      <c r="M2133" t="inlineStr">
        <is>
          <t>See ZDI advisory</t>
        </is>
      </c>
      <c r="N2133" t="inlineStr">
        <is>
          <t>P1</t>
        </is>
      </c>
      <c r="O2133" t="inlineStr">
        <is>
          <t>ZDI 0-day advisory - no IP context</t>
        </is>
      </c>
      <c r="P2133" t="n">
        <v>0</v>
      </c>
      <c r="Q2133" t="n">
        <v>0</v>
      </c>
      <c r="R2133" t="inlineStr">
        <is>
          <t>T1190:Exploit Public-Facing Application | T1210:Exploitation of Remote Services | T1059:Command and Scripting Interpreter</t>
        </is>
      </c>
      <c r="S2133" t="n">
        <v>2</v>
      </c>
      <c r="T2133" t="inlineStr">
        <is>
          <t>CONFIRMED (82%)</t>
        </is>
      </c>
      <c r="U2133" t="inlineStr">
        <is>
          <t>YES</t>
        </is>
      </c>
      <c r="V2133" t="inlineStr">
        <is>
          <t>CHECK_VENDOR</t>
        </is>
      </c>
      <c r="W2133" t="inlineStr">
        <is>
          <t>https://security.snyk.io/vuln/CVE-2025-60038</t>
        </is>
      </c>
      <c r="X2133" t="inlineStr">
        <is>
          <t>http://www.zerodayinitiative.com/advisories/ZDI-26-110/</t>
        </is>
      </c>
      <c r="Y2133" t="n">
        <v>0</v>
      </c>
      <c r="Z2133" t="inlineStr"/>
      <c r="AA2133" t="inlineStr">
        <is>
          <t>http://www.zerodayinitiative.com/advisories/ZDI-26-110/</t>
        </is>
      </c>
    </row>
    <row r="2134">
      <c r="A2134" t="inlineStr">
        <is>
          <t>ZDI_ADVISORY</t>
        </is>
      </c>
      <c r="B2134" t="inlineStr">
        <is>
          <t>ZDI-26-109</t>
        </is>
      </c>
      <c r="C2134" t="inlineStr">
        <is>
          <t>ZDI Published 0-Day: ZDI-26-109: Bosch Rexroth IndraWorks OPC.TestClient XML File Parsing Deserialization Of Untrusted Data Remote Code Execution Vulnerability | CVEs: CVE-2025-60035 | Product: See ZDI advisory</t>
        </is>
      </c>
      <c r="D2134" t="n">
        <v>7.5</v>
      </c>
      <c r="E2134" t="inlineStr">
        <is>
          <t>HIGH</t>
        </is>
      </c>
      <c r="F2134" t="n">
        <v>3</v>
      </c>
      <c r="G2134" t="n">
        <v>3</v>
      </c>
      <c r="H2134" t="inlineStr">
        <is>
          <t>CRITICAL</t>
        </is>
      </c>
      <c r="I2134" t="n">
        <v>16.5</v>
      </c>
      <c r="J2134" t="inlineStr">
        <is>
          <t>NO</t>
        </is>
      </c>
      <c r="K2134" t="inlineStr">
        <is>
          <t>2026-02-19 06:00</t>
        </is>
      </c>
      <c r="L2134" t="inlineStr">
        <is>
          <t>CHECK_VENDOR - ZDI published, vendor patch may be pending</t>
        </is>
      </c>
      <c r="M2134" t="inlineStr">
        <is>
          <t>See ZDI advisory</t>
        </is>
      </c>
      <c r="N2134" t="inlineStr">
        <is>
          <t>P1</t>
        </is>
      </c>
      <c r="O2134" t="inlineStr">
        <is>
          <t>ZDI 0-day advisory - no IP context</t>
        </is>
      </c>
      <c r="P2134" t="n">
        <v>0</v>
      </c>
      <c r="Q2134" t="n">
        <v>0</v>
      </c>
      <c r="R2134" t="inlineStr">
        <is>
          <t>T1190:Exploit Public-Facing Application | T1210:Exploitation of Remote Services | T1059:Command and Scripting Interpreter</t>
        </is>
      </c>
      <c r="S2134" t="n">
        <v>2</v>
      </c>
      <c r="T2134" t="inlineStr">
        <is>
          <t>CONFIRMED (82%)</t>
        </is>
      </c>
      <c r="U2134" t="inlineStr">
        <is>
          <t>YES</t>
        </is>
      </c>
      <c r="V2134" t="inlineStr">
        <is>
          <t>CHECK_VENDOR</t>
        </is>
      </c>
      <c r="W2134" t="inlineStr">
        <is>
          <t>https://security.snyk.io/vuln/CVE-2025-60035</t>
        </is>
      </c>
      <c r="X2134" t="inlineStr">
        <is>
          <t>http://www.zerodayinitiative.com/advisories/ZDI-26-109/</t>
        </is>
      </c>
      <c r="Y2134" t="n">
        <v>0</v>
      </c>
      <c r="Z2134" t="inlineStr"/>
      <c r="AA2134" t="inlineStr">
        <is>
          <t>http://www.zerodayinitiative.com/advisories/ZDI-26-109/</t>
        </is>
      </c>
    </row>
    <row r="2135">
      <c r="A2135" t="inlineStr">
        <is>
          <t>ZDI_ADVISORY</t>
        </is>
      </c>
      <c r="B2135" t="inlineStr">
        <is>
          <t>ZDI-26-108</t>
        </is>
      </c>
      <c r="C2135" t="inlineStr">
        <is>
          <t>ZDI Published 0-Day: ZDI-26-108: Bosch Rexroth IndraWorks UA.TestClient XML File Parsing Deserialization Of Untrusted Data Remote Code Execution Vulnerability | CVEs: CVE-2025-60036 | Product: See ZDI advisory</t>
        </is>
      </c>
      <c r="D2135" t="n">
        <v>7.5</v>
      </c>
      <c r="E2135" t="inlineStr">
        <is>
          <t>HIGH</t>
        </is>
      </c>
      <c r="F2135" t="n">
        <v>3</v>
      </c>
      <c r="G2135" t="n">
        <v>3</v>
      </c>
      <c r="H2135" t="inlineStr">
        <is>
          <t>CRITICAL</t>
        </is>
      </c>
      <c r="I2135" t="n">
        <v>16.5</v>
      </c>
      <c r="J2135" t="inlineStr">
        <is>
          <t>NO</t>
        </is>
      </c>
      <c r="K2135" t="inlineStr">
        <is>
          <t>2026-02-19 06:00</t>
        </is>
      </c>
      <c r="L2135" t="inlineStr">
        <is>
          <t>CHECK_VENDOR - ZDI published, vendor patch may be pending</t>
        </is>
      </c>
      <c r="M2135" t="inlineStr">
        <is>
          <t>See ZDI advisory</t>
        </is>
      </c>
      <c r="N2135" t="inlineStr">
        <is>
          <t>P1</t>
        </is>
      </c>
      <c r="O2135" t="inlineStr">
        <is>
          <t>ZDI 0-day advisory - no IP context</t>
        </is>
      </c>
      <c r="P2135" t="n">
        <v>0</v>
      </c>
      <c r="Q2135" t="n">
        <v>0</v>
      </c>
      <c r="R2135" t="inlineStr">
        <is>
          <t>T1190:Exploit Public-Facing Application | T1210:Exploitation of Remote Services | T1059:Command and Scripting Interpreter</t>
        </is>
      </c>
      <c r="S2135" t="n">
        <v>2</v>
      </c>
      <c r="T2135" t="inlineStr">
        <is>
          <t>CONFIRMED (82%)</t>
        </is>
      </c>
      <c r="U2135" t="inlineStr">
        <is>
          <t>YES</t>
        </is>
      </c>
      <c r="V2135" t="inlineStr">
        <is>
          <t>CHECK_VENDOR</t>
        </is>
      </c>
      <c r="W2135" t="inlineStr">
        <is>
          <t>https://security.snyk.io/vuln/CVE-2025-60036</t>
        </is>
      </c>
      <c r="X2135" t="inlineStr">
        <is>
          <t>http://www.zerodayinitiative.com/advisories/ZDI-26-108/</t>
        </is>
      </c>
      <c r="Y2135" t="n">
        <v>0</v>
      </c>
      <c r="Z2135" t="inlineStr"/>
      <c r="AA2135" t="inlineStr">
        <is>
          <t>http://www.zerodayinitiative.com/advisories/ZDI-26-108/</t>
        </is>
      </c>
    </row>
    <row r="2136">
      <c r="A2136" t="inlineStr">
        <is>
          <t>ZDI_ADVISORY</t>
        </is>
      </c>
      <c r="B2136" t="inlineStr">
        <is>
          <t>ZDI-26-107</t>
        </is>
      </c>
      <c r="C2136" t="inlineStr">
        <is>
          <t>ZDI Published 0-Day: ZDI-26-107: Autodesk AutoCAD MODEL File Out-Of-Bounds Write Remote Code Execution Vulnerability | CVEs: CVE-2026-0875 | Product: See ZDI advisory</t>
        </is>
      </c>
      <c r="D2136" t="n">
        <v>7.5</v>
      </c>
      <c r="E2136" t="inlineStr">
        <is>
          <t>HIGH</t>
        </is>
      </c>
      <c r="F2136" t="n">
        <v>3</v>
      </c>
      <c r="G2136" t="n">
        <v>3</v>
      </c>
      <c r="H2136" t="inlineStr">
        <is>
          <t>CRITICAL</t>
        </is>
      </c>
      <c r="I2136" t="n">
        <v>16.5</v>
      </c>
      <c r="J2136" t="inlineStr">
        <is>
          <t>NO</t>
        </is>
      </c>
      <c r="K2136" t="inlineStr">
        <is>
          <t>2026-02-18 06:00</t>
        </is>
      </c>
      <c r="L2136" t="inlineStr">
        <is>
          <t>CHECK_VENDOR - ZDI published, vendor patch may be pending</t>
        </is>
      </c>
      <c r="M2136" t="inlineStr">
        <is>
          <t>See ZDI advisory</t>
        </is>
      </c>
      <c r="N2136" t="inlineStr">
        <is>
          <t>P1</t>
        </is>
      </c>
      <c r="O2136" t="inlineStr">
        <is>
          <t>ZDI 0-day advisory - no IP context</t>
        </is>
      </c>
      <c r="P2136" t="n">
        <v>0</v>
      </c>
      <c r="Q2136" t="n">
        <v>0</v>
      </c>
      <c r="R2136" t="inlineStr">
        <is>
          <t>T1190:Exploit Public-Facing Application | T1210:Exploitation of Remote Services | T1203:Exploitation for Client Execution</t>
        </is>
      </c>
      <c r="S2136" t="n">
        <v>2</v>
      </c>
      <c r="T2136" t="inlineStr">
        <is>
          <t>CONFIRMED (82%)</t>
        </is>
      </c>
      <c r="U2136" t="inlineStr">
        <is>
          <t>YES</t>
        </is>
      </c>
      <c r="V2136" t="inlineStr">
        <is>
          <t>CHECK_VENDOR</t>
        </is>
      </c>
      <c r="W2136" t="inlineStr">
        <is>
          <t>https://security.snyk.io/vuln/CVE-2026-0875</t>
        </is>
      </c>
      <c r="X2136" t="inlineStr">
        <is>
          <t>http://www.zerodayinitiative.com/advisories/ZDI-26-107/</t>
        </is>
      </c>
      <c r="Y2136" t="n">
        <v>0</v>
      </c>
      <c r="Z2136" t="inlineStr"/>
      <c r="AA2136" t="inlineStr">
        <is>
          <t>http://www.zerodayinitiative.com/advisories/ZDI-26-107/</t>
        </is>
      </c>
    </row>
    <row r="2137">
      <c r="A2137" t="inlineStr">
        <is>
          <t>ZDI_ADVISORY</t>
        </is>
      </c>
      <c r="B2137" t="inlineStr">
        <is>
          <t>ZDI-26-106</t>
        </is>
      </c>
      <c r="C2137" t="inlineStr">
        <is>
          <t>ZDI Published 0-Day: ZDI-26-106: Autodesk AutoCAD CATPART File Parsing Out-Of-Bounds Write Remote Code Execution Vulnerability | CVEs: CVE-2026-0874 | Product: See ZDI advisory</t>
        </is>
      </c>
      <c r="D2137" t="n">
        <v>7.5</v>
      </c>
      <c r="E2137" t="inlineStr">
        <is>
          <t>HIGH</t>
        </is>
      </c>
      <c r="F2137" t="n">
        <v>3</v>
      </c>
      <c r="G2137" t="n">
        <v>3</v>
      </c>
      <c r="H2137" t="inlineStr">
        <is>
          <t>CRITICAL</t>
        </is>
      </c>
      <c r="I2137" t="n">
        <v>16.5</v>
      </c>
      <c r="J2137" t="inlineStr">
        <is>
          <t>NO</t>
        </is>
      </c>
      <c r="K2137" t="inlineStr">
        <is>
          <t>2026-02-18 06:00</t>
        </is>
      </c>
      <c r="L2137" t="inlineStr">
        <is>
          <t>CHECK_VENDOR - ZDI published, vendor patch may be pending</t>
        </is>
      </c>
      <c r="M2137" t="inlineStr">
        <is>
          <t>See ZDI advisory</t>
        </is>
      </c>
      <c r="N2137" t="inlineStr">
        <is>
          <t>P1</t>
        </is>
      </c>
      <c r="O2137" t="inlineStr">
        <is>
          <t>ZDI 0-day advisory - no IP context</t>
        </is>
      </c>
      <c r="P2137" t="n">
        <v>0</v>
      </c>
      <c r="Q2137" t="n">
        <v>0</v>
      </c>
      <c r="R2137" t="inlineStr">
        <is>
          <t>T1190:Exploit Public-Facing Application | T1210:Exploitation of Remote Services | T1203:Exploitation for Client Execution</t>
        </is>
      </c>
      <c r="S2137" t="n">
        <v>2</v>
      </c>
      <c r="T2137" t="inlineStr">
        <is>
          <t>CONFIRMED (82%)</t>
        </is>
      </c>
      <c r="U2137" t="inlineStr">
        <is>
          <t>YES</t>
        </is>
      </c>
      <c r="V2137" t="inlineStr">
        <is>
          <t>CHECK_VENDOR</t>
        </is>
      </c>
      <c r="W2137" t="inlineStr">
        <is>
          <t>https://security.snyk.io/vuln/CVE-2026-0874</t>
        </is>
      </c>
      <c r="X2137" t="inlineStr">
        <is>
          <t>http://www.zerodayinitiative.com/advisories/ZDI-26-106/</t>
        </is>
      </c>
      <c r="Y2137" t="n">
        <v>0</v>
      </c>
      <c r="Z2137" t="inlineStr"/>
      <c r="AA2137" t="inlineStr">
        <is>
          <t>http://www.zerodayinitiative.com/advisories/ZDI-26-106/</t>
        </is>
      </c>
    </row>
    <row r="2138">
      <c r="A2138" t="inlineStr">
        <is>
          <t>ZDI_ADVISORY</t>
        </is>
      </c>
      <c r="B2138" t="inlineStr">
        <is>
          <t>ZDI-26-105</t>
        </is>
      </c>
      <c r="C2138" t="inlineStr">
        <is>
          <t>ZDI Published 0-Day: ZDI-26-105: MLflow Tracking Server Artifact Handler Directory Traversal Remote Code Execution Vulnerability | CVEs: CVE-2026-2033 | Product: See ZDI advisory</t>
        </is>
      </c>
      <c r="D2138" t="n">
        <v>7.5</v>
      </c>
      <c r="E2138" t="inlineStr">
        <is>
          <t>HIGH</t>
        </is>
      </c>
      <c r="F2138" t="n">
        <v>3</v>
      </c>
      <c r="G2138" t="n">
        <v>3</v>
      </c>
      <c r="H2138" t="inlineStr">
        <is>
          <t>CRITICAL</t>
        </is>
      </c>
      <c r="I2138" t="n">
        <v>16.5</v>
      </c>
      <c r="J2138" t="inlineStr">
        <is>
          <t>NO</t>
        </is>
      </c>
      <c r="K2138" t="inlineStr">
        <is>
          <t>2026-02-13 06:00</t>
        </is>
      </c>
      <c r="L2138" t="inlineStr">
        <is>
          <t>CHECK_VENDOR - ZDI published, vendor patch may be pending</t>
        </is>
      </c>
      <c r="M2138" t="inlineStr">
        <is>
          <t>See ZDI advisory</t>
        </is>
      </c>
      <c r="N2138" t="inlineStr">
        <is>
          <t>P1</t>
        </is>
      </c>
      <c r="O2138" t="inlineStr">
        <is>
          <t>ZDI 0-day advisory - no IP context</t>
        </is>
      </c>
      <c r="P2138" t="n">
        <v>0</v>
      </c>
      <c r="Q2138" t="n">
        <v>0</v>
      </c>
      <c r="R2138" t="inlineStr">
        <is>
          <t>T1190:Exploit Public-Facing Application | T1210:Exploitation of Remote Services | T1083:File and Directory Discovery</t>
        </is>
      </c>
      <c r="S2138" t="n">
        <v>2</v>
      </c>
      <c r="T2138" t="inlineStr">
        <is>
          <t>CONFIRMED (82%)</t>
        </is>
      </c>
      <c r="U2138" t="inlineStr">
        <is>
          <t>YES</t>
        </is>
      </c>
      <c r="V2138" t="inlineStr">
        <is>
          <t>CHECK_VENDOR</t>
        </is>
      </c>
      <c r="W2138" t="inlineStr">
        <is>
          <t>https://security.snyk.io/vuln/CVE-2026-2033</t>
        </is>
      </c>
      <c r="X2138" t="inlineStr">
        <is>
          <t>http://www.zerodayinitiative.com/advisories/ZDI-26-105/</t>
        </is>
      </c>
      <c r="Y2138" t="n">
        <v>0</v>
      </c>
      <c r="Z2138" t="inlineStr"/>
      <c r="AA2138" t="inlineStr">
        <is>
          <t>http://www.zerodayinitiative.com/advisories/ZDI-26-105/</t>
        </is>
      </c>
    </row>
    <row r="2139">
      <c r="A2139" t="inlineStr">
        <is>
          <t>ZDI_ADVISORY</t>
        </is>
      </c>
      <c r="B2139" t="inlineStr">
        <is>
          <t>ZDI-26-104</t>
        </is>
      </c>
      <c r="C2139" t="inlineStr">
        <is>
          <t>ZDI Published 0-Day: ZDI-26-104: Sante DICOM Viewer Pro DCM File Parsing Buffer Overflow Remote Code Execution Vulnerability | CVEs: CVE-2026-2034 | Product: See ZDI advisory</t>
        </is>
      </c>
      <c r="D2139" t="n">
        <v>7.5</v>
      </c>
      <c r="E2139" t="inlineStr">
        <is>
          <t>HIGH</t>
        </is>
      </c>
      <c r="F2139" t="n">
        <v>3</v>
      </c>
      <c r="G2139" t="n">
        <v>3</v>
      </c>
      <c r="H2139" t="inlineStr">
        <is>
          <t>CRITICAL</t>
        </is>
      </c>
      <c r="I2139" t="n">
        <v>16.5</v>
      </c>
      <c r="J2139" t="inlineStr">
        <is>
          <t>NO</t>
        </is>
      </c>
      <c r="K2139" t="inlineStr">
        <is>
          <t>2026-02-13 06:00</t>
        </is>
      </c>
      <c r="L2139" t="inlineStr">
        <is>
          <t>CHECK_VENDOR - ZDI published, vendor patch may be pending</t>
        </is>
      </c>
      <c r="M2139" t="inlineStr">
        <is>
          <t>See ZDI advisory</t>
        </is>
      </c>
      <c r="N2139" t="inlineStr">
        <is>
          <t>P1</t>
        </is>
      </c>
      <c r="O2139" t="inlineStr">
        <is>
          <t>ZDI 0-day advisory - no IP context</t>
        </is>
      </c>
      <c r="P2139" t="n">
        <v>0</v>
      </c>
      <c r="Q2139" t="n">
        <v>0</v>
      </c>
      <c r="R2139" t="inlineStr">
        <is>
          <t>T1190:Exploit Public-Facing Application | T1210:Exploitation of Remote Services | T1203:Exploitation for Client Execution</t>
        </is>
      </c>
      <c r="S2139" t="n">
        <v>2</v>
      </c>
      <c r="T2139" t="inlineStr">
        <is>
          <t>CONFIRMED (82%)</t>
        </is>
      </c>
      <c r="U2139" t="inlineStr">
        <is>
          <t>YES</t>
        </is>
      </c>
      <c r="V2139" t="inlineStr">
        <is>
          <t>CHECK_VENDOR</t>
        </is>
      </c>
      <c r="W2139" t="inlineStr">
        <is>
          <t>https://security.snyk.io/vuln/CVE-2026-2034</t>
        </is>
      </c>
      <c r="X2139" t="inlineStr">
        <is>
          <t>http://www.zerodayinitiative.com/advisories/ZDI-26-104/</t>
        </is>
      </c>
      <c r="Y2139" t="n">
        <v>0</v>
      </c>
      <c r="Z2139" t="inlineStr"/>
      <c r="AA2139" t="inlineStr">
        <is>
          <t>http://www.zerodayinitiative.com/advisories/ZDI-26-104/</t>
        </is>
      </c>
    </row>
    <row r="2140">
      <c r="A2140" t="inlineStr">
        <is>
          <t>ZDI_ADVISORY</t>
        </is>
      </c>
      <c r="B2140" t="inlineStr">
        <is>
          <t>ZDI-26-103</t>
        </is>
      </c>
      <c r="C2140" t="inlineStr">
        <is>
          <t>ZDI Published 0-Day: ZDI-26-103: Oracle VirtualBox VMSVGA Out-Of-Bounds Access Local Privilege Escalation Vulnerability | CVEs: CVE-2026-21956 | Product: See ZDI advisory</t>
        </is>
      </c>
      <c r="D2140" t="n">
        <v>7.5</v>
      </c>
      <c r="E2140" t="inlineStr">
        <is>
          <t>HIGH</t>
        </is>
      </c>
      <c r="F2140" t="n">
        <v>3</v>
      </c>
      <c r="G2140" t="n">
        <v>3</v>
      </c>
      <c r="H2140" t="inlineStr">
        <is>
          <t>CRITICAL</t>
        </is>
      </c>
      <c r="I2140" t="n">
        <v>16.5</v>
      </c>
      <c r="J2140" t="inlineStr">
        <is>
          <t>NO</t>
        </is>
      </c>
      <c r="K2140" t="inlineStr">
        <is>
          <t>2026-02-13 06:00</t>
        </is>
      </c>
      <c r="L2140" t="inlineStr">
        <is>
          <t>CHECK_VENDOR - ZDI published, vendor patch may be pending</t>
        </is>
      </c>
      <c r="M2140" t="inlineStr">
        <is>
          <t>See ZDI advisory</t>
        </is>
      </c>
      <c r="N2140" t="inlineStr">
        <is>
          <t>P1</t>
        </is>
      </c>
      <c r="O2140" t="inlineStr">
        <is>
          <t>ZDI 0-day advisory - no IP context</t>
        </is>
      </c>
      <c r="P2140" t="n">
        <v>0</v>
      </c>
      <c r="Q2140" t="n">
        <v>0</v>
      </c>
      <c r="R2140" t="inlineStr">
        <is>
          <t>T1068:Exploitation for Privilege Escalation | T1203:Exploitation for Client Execution</t>
        </is>
      </c>
      <c r="S2140" t="n">
        <v>2</v>
      </c>
      <c r="T2140" t="inlineStr">
        <is>
          <t>CONFIRMED (82%)</t>
        </is>
      </c>
      <c r="U2140" t="inlineStr">
        <is>
          <t>YES</t>
        </is>
      </c>
      <c r="V2140" t="inlineStr">
        <is>
          <t>CHECK_VENDOR</t>
        </is>
      </c>
      <c r="W2140" t="inlineStr">
        <is>
          <t>https://security.snyk.io/vuln/CVE-2026-21956</t>
        </is>
      </c>
      <c r="X2140" t="inlineStr">
        <is>
          <t>http://www.zerodayinitiative.com/advisories/ZDI-26-103/</t>
        </is>
      </c>
      <c r="Y2140" t="n">
        <v>0</v>
      </c>
      <c r="Z2140" t="inlineStr"/>
      <c r="AA2140" t="inlineStr">
        <is>
          <t>http://www.zerodayinitiative.com/advisories/ZDI-26-103/</t>
        </is>
      </c>
    </row>
    <row r="2141">
      <c r="A2141" t="inlineStr">
        <is>
          <t>SANS_ISC</t>
        </is>
      </c>
      <c r="B2141" t="inlineStr">
        <is>
          <t>41bf1b569770</t>
        </is>
      </c>
      <c r="C2141" t="inlineStr">
        <is>
          <t>SANS ISC: The CLAIR Model: A Synthesized Conceptual Framework for Mapping Critical Infrastructure Interdependencies &amp;#x5b;Guest Diary&amp;#x5d;, (Wed, Feb 25th) | &amp;#xd;</t>
        </is>
      </c>
      <c r="D2141" t="n">
        <v>7</v>
      </c>
      <c r="E2141" t="inlineStr">
        <is>
          <t>HIGH</t>
        </is>
      </c>
      <c r="F2141" t="n">
        <v>3</v>
      </c>
      <c r="G2141" t="n">
        <v>2</v>
      </c>
      <c r="H2141" t="inlineStr">
        <is>
          <t>HIGH</t>
        </is>
      </c>
      <c r="I2141" t="n">
        <v>13</v>
      </c>
      <c r="J2141" t="inlineStr">
        <is>
          <t>NO</t>
        </is>
      </c>
      <c r="K2141" t="inlineStr">
        <is>
          <t>2026-02-25 21:09</t>
        </is>
      </c>
      <c r="L2141" t="inlineStr">
        <is>
          <t>CHECK_VENDOR</t>
        </is>
      </c>
      <c r="M2141" t="inlineStr">
        <is>
          <t>See SANS ISC diary</t>
        </is>
      </c>
      <c r="N2141" t="inlineStr">
        <is>
          <t>P3</t>
        </is>
      </c>
      <c r="O2141" t="inlineStr">
        <is>
          <t>SANS ISC analysis - no direct IP context</t>
        </is>
      </c>
      <c r="P2141" t="n">
        <v>0</v>
      </c>
      <c r="Q2141" t="n">
        <v>0</v>
      </c>
      <c r="R2141" t="inlineStr">
        <is>
          <t>T1190:Exploit Public-Facing Application</t>
        </is>
      </c>
      <c r="S2141" t="n">
        <v>1</v>
      </c>
      <c r="T2141" t="inlineStr">
        <is>
          <t>LOW (40%)</t>
        </is>
      </c>
      <c r="U2141" t="inlineStr">
        <is>
          <t>CHECK_SANS</t>
        </is>
      </c>
      <c r="V2141" t="inlineStr">
        <is>
          <t>CHECK_VENDOR</t>
        </is>
      </c>
      <c r="W2141" t="inlineStr">
        <is>
          <t>https://isc.sans.edu/diary/rss/32748</t>
        </is>
      </c>
      <c r="X2141" t="inlineStr">
        <is>
          <t>NONE</t>
        </is>
      </c>
      <c r="Y2141" t="n">
        <v>0</v>
      </c>
      <c r="Z2141" t="inlineStr">
        <is>
          <t>The CLAIR Model: A Synthesized Conceptual Framework for Mapping Critical Infrastructure Interdependencies &amp;#x5b;Guest Diary&amp;#x5d;, (Wed, Feb 25th)</t>
        </is>
      </c>
      <c r="AA2141" t="inlineStr">
        <is>
          <t>https://isc.sans.edu/diary/rss/32748</t>
        </is>
      </c>
    </row>
    <row r="2142">
      <c r="A2142" t="inlineStr">
        <is>
          <t>SANS_ISC</t>
        </is>
      </c>
      <c r="B2142" t="inlineStr">
        <is>
          <t>5b6584381208</t>
        </is>
      </c>
      <c r="C2142" t="inlineStr">
        <is>
          <t>SANS ISC: Open Redirects: A Forgotten Vulnerability&amp;#x3f;, (Tue, Feb 24th) | In 2010, OWASP added "Unvalidated Redirects and Forwards" to its Top 10 list and merged it into "Sensitive Data Exposure" in 2013 &amp;#x5b;owasp1&amp;#x5d; &amp;#x5b;owasp2&amp;#x5d;. Open redirects are often overlo</t>
        </is>
      </c>
      <c r="D2142" t="n">
        <v>7</v>
      </c>
      <c r="E2142" t="inlineStr">
        <is>
          <t>HIGH</t>
        </is>
      </c>
      <c r="F2142" t="n">
        <v>3</v>
      </c>
      <c r="G2142" t="n">
        <v>2</v>
      </c>
      <c r="H2142" t="inlineStr">
        <is>
          <t>HIGH</t>
        </is>
      </c>
      <c r="I2142" t="n">
        <v>13</v>
      </c>
      <c r="J2142" t="inlineStr">
        <is>
          <t>NO</t>
        </is>
      </c>
      <c r="K2142" t="inlineStr">
        <is>
          <t>2026-02-24 18:04</t>
        </is>
      </c>
      <c r="L2142" t="inlineStr">
        <is>
          <t>CHECK_VENDOR</t>
        </is>
      </c>
      <c r="M2142" t="inlineStr">
        <is>
          <t>See SANS ISC diary</t>
        </is>
      </c>
      <c r="N2142" t="inlineStr">
        <is>
          <t>P3</t>
        </is>
      </c>
      <c r="O2142" t="inlineStr">
        <is>
          <t>SANS ISC analysis - no direct IP context</t>
        </is>
      </c>
      <c r="P2142" t="n">
        <v>0</v>
      </c>
      <c r="Q2142" t="n">
        <v>0</v>
      </c>
      <c r="R2142" t="inlineStr">
        <is>
          <t>T1190:Exploit Public-Facing Application</t>
        </is>
      </c>
      <c r="S2142" t="n">
        <v>1</v>
      </c>
      <c r="T2142" t="inlineStr">
        <is>
          <t>LOW (40%)</t>
        </is>
      </c>
      <c r="U2142" t="inlineStr">
        <is>
          <t>CHECK_SANS</t>
        </is>
      </c>
      <c r="V2142" t="inlineStr">
        <is>
          <t>CHECK_VENDOR</t>
        </is>
      </c>
      <c r="W2142" t="inlineStr">
        <is>
          <t>https://isc.sans.edu/diary/rss/32742</t>
        </is>
      </c>
      <c r="X2142" t="inlineStr">
        <is>
          <t>NONE</t>
        </is>
      </c>
      <c r="Y2142" t="n">
        <v>0</v>
      </c>
      <c r="Z2142" t="inlineStr">
        <is>
          <t>Open Redirects: A Forgotten Vulnerability&amp;#x3f;, (Tue, Feb 24th)</t>
        </is>
      </c>
      <c r="AA2142" t="inlineStr">
        <is>
          <t>https://isc.sans.edu/diary/rss/32742</t>
        </is>
      </c>
    </row>
    <row r="2143">
      <c r="A2143" t="inlineStr">
        <is>
          <t>SANS_ISC</t>
        </is>
      </c>
      <c r="B2143" t="inlineStr">
        <is>
          <t>cf1a85460441</t>
        </is>
      </c>
      <c r="C2143" t="inlineStr">
        <is>
          <t>SANS ISC: Another day, another malicious JPEG, (Mon, Feb 23rd) | In his last two diaries, Xavier discussed recent malware campaigns that download JPEG files with embedded malicious payload&amp;#x5b; 1 , 2 &amp;#x5d;. At that point in time, I&amp;#x27ve not come across the mali</t>
        </is>
      </c>
      <c r="D2143" t="n">
        <v>7</v>
      </c>
      <c r="E2143" t="inlineStr">
        <is>
          <t>HIGH</t>
        </is>
      </c>
      <c r="F2143" t="n">
        <v>3</v>
      </c>
      <c r="G2143" t="n">
        <v>2</v>
      </c>
      <c r="H2143" t="inlineStr">
        <is>
          <t>HIGH</t>
        </is>
      </c>
      <c r="I2143" t="n">
        <v>13</v>
      </c>
      <c r="J2143" t="inlineStr">
        <is>
          <t>NO</t>
        </is>
      </c>
      <c r="K2143" t="inlineStr">
        <is>
          <t>2026-02-23 14:26</t>
        </is>
      </c>
      <c r="L2143" t="inlineStr">
        <is>
          <t>CHECK_VENDOR</t>
        </is>
      </c>
      <c r="M2143" t="inlineStr">
        <is>
          <t>See SANS ISC diary</t>
        </is>
      </c>
      <c r="N2143" t="inlineStr">
        <is>
          <t>P3</t>
        </is>
      </c>
      <c r="O2143" t="inlineStr">
        <is>
          <t>SANS ISC analysis - no direct IP context</t>
        </is>
      </c>
      <c r="P2143" t="n">
        <v>0</v>
      </c>
      <c r="Q2143" t="n">
        <v>0</v>
      </c>
      <c r="R2143" t="inlineStr">
        <is>
          <t>T1190:Exploit Public-Facing Application</t>
        </is>
      </c>
      <c r="S2143" t="n">
        <v>1</v>
      </c>
      <c r="T2143" t="inlineStr">
        <is>
          <t>LOW (40%)</t>
        </is>
      </c>
      <c r="U2143" t="inlineStr">
        <is>
          <t>CHECK_SANS</t>
        </is>
      </c>
      <c r="V2143" t="inlineStr">
        <is>
          <t>CHECK_VENDOR</t>
        </is>
      </c>
      <c r="W2143" t="inlineStr">
        <is>
          <t>https://isc.sans.edu/diary/rss/32738</t>
        </is>
      </c>
      <c r="X2143" t="inlineStr">
        <is>
          <t>NONE</t>
        </is>
      </c>
      <c r="Y2143" t="n">
        <v>0</v>
      </c>
      <c r="Z2143" t="inlineStr">
        <is>
          <t>Another day, another malicious JPEG, (Mon, Feb 23rd)</t>
        </is>
      </c>
      <c r="AA2143" t="inlineStr">
        <is>
          <t>https://isc.sans.edu/diary/rss/32738</t>
        </is>
      </c>
    </row>
    <row r="2144">
      <c r="A2144" t="inlineStr">
        <is>
          <t>SANS_ISC</t>
        </is>
      </c>
      <c r="B2144" t="inlineStr">
        <is>
          <t>0de8e92a57b7</t>
        </is>
      </c>
      <c r="C2144" t="inlineStr">
        <is>
          <t>SANS ISC: Japanese-Language Phishing Emails, (Sat, Feb 21st) | Introduction &amp;#xd;</t>
        </is>
      </c>
      <c r="D2144" t="n">
        <v>7</v>
      </c>
      <c r="E2144" t="inlineStr">
        <is>
          <t>HIGH</t>
        </is>
      </c>
      <c r="F2144" t="n">
        <v>3</v>
      </c>
      <c r="G2144" t="n">
        <v>2</v>
      </c>
      <c r="H2144" t="inlineStr">
        <is>
          <t>HIGH</t>
        </is>
      </c>
      <c r="I2144" t="n">
        <v>13</v>
      </c>
      <c r="J2144" t="inlineStr">
        <is>
          <t>NO</t>
        </is>
      </c>
      <c r="K2144" t="inlineStr">
        <is>
          <t>2026-02-21 06:03</t>
        </is>
      </c>
      <c r="L2144" t="inlineStr">
        <is>
          <t>CHECK_VENDOR</t>
        </is>
      </c>
      <c r="M2144" t="inlineStr">
        <is>
          <t>See SANS ISC diary</t>
        </is>
      </c>
      <c r="N2144" t="inlineStr">
        <is>
          <t>P3</t>
        </is>
      </c>
      <c r="O2144" t="inlineStr">
        <is>
          <t>SANS ISC analysis - no direct IP context</t>
        </is>
      </c>
      <c r="P2144" t="n">
        <v>0</v>
      </c>
      <c r="Q2144" t="n">
        <v>0</v>
      </c>
      <c r="R2144" t="inlineStr">
        <is>
          <t>T1190:Exploit Public-Facing Application</t>
        </is>
      </c>
      <c r="S2144" t="n">
        <v>1</v>
      </c>
      <c r="T2144" t="inlineStr">
        <is>
          <t>LOW (40%)</t>
        </is>
      </c>
      <c r="U2144" t="inlineStr">
        <is>
          <t>CHECK_SANS</t>
        </is>
      </c>
      <c r="V2144" t="inlineStr">
        <is>
          <t>CHECK_VENDOR</t>
        </is>
      </c>
      <c r="W2144" t="inlineStr">
        <is>
          <t>https://isc.sans.edu/diary/rss/32734</t>
        </is>
      </c>
      <c r="X2144" t="inlineStr">
        <is>
          <t>NONE</t>
        </is>
      </c>
      <c r="Y2144" t="n">
        <v>0</v>
      </c>
      <c r="Z2144" t="inlineStr">
        <is>
          <t>Japanese-Language Phishing Emails, (Sat, Feb 21st)</t>
        </is>
      </c>
      <c r="AA2144" t="inlineStr">
        <is>
          <t>https://isc.sans.edu/diary/rss/32734</t>
        </is>
      </c>
    </row>
    <row r="2145">
      <c r="A2145" t="inlineStr">
        <is>
          <t>NEWS_ALERT</t>
        </is>
      </c>
      <c r="B2145" t="inlineStr">
        <is>
          <t>017d0706d2fb</t>
        </is>
      </c>
      <c r="C2145" t="inlineStr">
        <is>
          <t>[BleepingComputer] Fake Next.js job interview tests backdoor developer's devices | Keywords: backdoor | The Microsoft Defender team has discovered a coordinated campaign targeting software developers through malicious repositories posing as legitimate Ne</t>
        </is>
      </c>
      <c r="D2145" t="n">
        <v>5</v>
      </c>
      <c r="E2145" t="inlineStr">
        <is>
          <t>MEDIUM</t>
        </is>
      </c>
      <c r="F2145" t="n">
        <v>2</v>
      </c>
      <c r="G2145" t="n">
        <v>1</v>
      </c>
      <c r="H2145" t="inlineStr">
        <is>
          <t>LOW</t>
        </is>
      </c>
      <c r="I2145" t="n">
        <v>7</v>
      </c>
      <c r="J2145" t="inlineStr">
        <is>
          <t>NO</t>
        </is>
      </c>
      <c r="K2145" t="inlineStr">
        <is>
          <t>2026-02-25 21:47</t>
        </is>
      </c>
      <c r="L2145" t="inlineStr">
        <is>
          <t>Monitor</t>
        </is>
      </c>
      <c r="M2145" t="inlineStr">
        <is>
          <t>Varies - see article</t>
        </is>
      </c>
      <c r="N2145" t="inlineStr">
        <is>
          <t>P4</t>
        </is>
      </c>
      <c r="O2145" t="inlineStr">
        <is>
          <t>News alert - no IP context</t>
        </is>
      </c>
      <c r="P2145" t="n">
        <v>0</v>
      </c>
      <c r="Q2145" t="n">
        <v>0</v>
      </c>
      <c r="R2145" t="inlineStr">
        <is>
          <t>See article for technique context</t>
        </is>
      </c>
      <c r="S2145" t="n">
        <v>1</v>
      </c>
      <c r="T2145" t="inlineStr">
        <is>
          <t>LOW (40%)</t>
        </is>
      </c>
      <c r="U2145" t="inlineStr">
        <is>
          <t>NONE</t>
        </is>
      </c>
      <c r="V2145" t="inlineStr">
        <is>
          <t>NONE</t>
        </is>
      </c>
      <c r="W2145" t="inlineStr">
        <is>
          <t>NONE</t>
        </is>
      </c>
      <c r="X2145" t="inlineStr">
        <is>
          <t>NONE</t>
        </is>
      </c>
      <c r="Y2145" t="n">
        <v>0</v>
      </c>
      <c r="Z2145" t="inlineStr">
        <is>
          <t>Fake Next.js job interview tests backdoor developer's devices</t>
        </is>
      </c>
      <c r="AA2145" t="inlineStr">
        <is>
          <t>https://www.bleepingcomputer.com/news/security/fake-nextjs-job-interview-tests-backdoor-developers-devices/</t>
        </is>
      </c>
    </row>
    <row r="2146">
      <c r="A2146" t="inlineStr">
        <is>
          <t>NEWS_ALERT</t>
        </is>
      </c>
      <c r="B2146" t="inlineStr">
        <is>
          <t>54603b3ae189</t>
        </is>
      </c>
      <c r="C2146" t="inlineStr">
        <is>
          <t>[BleepingComputer] Chinese cyberspies breached dozens of telecom firms, govt agencies | Keywords: threat actor | Google's Threat Intelligence Group (GTIG), Mandiant, and partners disrupted a global espionage campaign attributed to a suspected Chinese threat actor</t>
        </is>
      </c>
      <c r="D2146" t="n">
        <v>5</v>
      </c>
      <c r="E2146" t="inlineStr">
        <is>
          <t>MEDIUM</t>
        </is>
      </c>
      <c r="F2146" t="n">
        <v>2</v>
      </c>
      <c r="G2146" t="n">
        <v>1</v>
      </c>
      <c r="H2146" t="inlineStr">
        <is>
          <t>LOW</t>
        </is>
      </c>
      <c r="I2146" t="n">
        <v>7</v>
      </c>
      <c r="J2146" t="inlineStr">
        <is>
          <t>NO</t>
        </is>
      </c>
      <c r="K2146" t="inlineStr">
        <is>
          <t>2026-02-25 17:00</t>
        </is>
      </c>
      <c r="L2146" t="inlineStr">
        <is>
          <t>Monitor</t>
        </is>
      </c>
      <c r="M2146" t="inlineStr">
        <is>
          <t>Varies - see article</t>
        </is>
      </c>
      <c r="N2146" t="inlineStr">
        <is>
          <t>P4</t>
        </is>
      </c>
      <c r="O2146" t="inlineStr">
        <is>
          <t>News alert - no IP context</t>
        </is>
      </c>
      <c r="P2146" t="n">
        <v>0</v>
      </c>
      <c r="Q2146" t="n">
        <v>0</v>
      </c>
      <c r="R2146" t="inlineStr">
        <is>
          <t>See article for technique context</t>
        </is>
      </c>
      <c r="S2146" t="n">
        <v>1</v>
      </c>
      <c r="T2146" t="inlineStr">
        <is>
          <t>LOW (40%)</t>
        </is>
      </c>
      <c r="U2146" t="inlineStr">
        <is>
          <t>NONE</t>
        </is>
      </c>
      <c r="V2146" t="inlineStr">
        <is>
          <t>NONE</t>
        </is>
      </c>
      <c r="W2146" t="inlineStr">
        <is>
          <t>NONE</t>
        </is>
      </c>
      <c r="X2146" t="inlineStr">
        <is>
          <t>NONE</t>
        </is>
      </c>
      <c r="Y2146" t="n">
        <v>0</v>
      </c>
      <c r="Z2146" t="inlineStr">
        <is>
          <t>Chinese cyberspies breached dozens of telecom firms, govt agencies</t>
        </is>
      </c>
      <c r="AA2146" t="inlineStr">
        <is>
          <t>https://www.bleepingcomputer.com/news/security/chinese-cyberspies-breached-dozens-of-telecom-firms-govt-agencies/</t>
        </is>
      </c>
    </row>
    <row r="2147">
      <c r="A2147" t="inlineStr">
        <is>
          <t>NEWS_ALERT</t>
        </is>
      </c>
      <c r="B2147" t="inlineStr">
        <is>
          <t>4d61a2760d3c</t>
        </is>
      </c>
      <c r="C2147" t="inlineStr">
        <is>
          <t>[BleepingComputer] Marquis sues SonicWall over backup breach that led to ransomware attack | Keywords: breach, ransomware | Marquis Software Solutions has filed a lawsuit against SonicWall, accusing the cybersecurity company of gross negligence and misrepresentation that al</t>
        </is>
      </c>
      <c r="D2147" t="n">
        <v>5</v>
      </c>
      <c r="E2147" t="inlineStr">
        <is>
          <t>MEDIUM</t>
        </is>
      </c>
      <c r="F2147" t="n">
        <v>2</v>
      </c>
      <c r="G2147" t="n">
        <v>1</v>
      </c>
      <c r="H2147" t="inlineStr">
        <is>
          <t>LOW</t>
        </is>
      </c>
      <c r="I2147" t="n">
        <v>7</v>
      </c>
      <c r="J2147" t="inlineStr">
        <is>
          <t>NO</t>
        </is>
      </c>
      <c r="K2147" t="inlineStr">
        <is>
          <t>2026-02-25 15:54</t>
        </is>
      </c>
      <c r="L2147" t="inlineStr">
        <is>
          <t>Monitor</t>
        </is>
      </c>
      <c r="M2147" t="inlineStr">
        <is>
          <t>Varies - see article</t>
        </is>
      </c>
      <c r="N2147" t="inlineStr">
        <is>
          <t>P4</t>
        </is>
      </c>
      <c r="O2147" t="inlineStr">
        <is>
          <t>News alert - no IP context</t>
        </is>
      </c>
      <c r="P2147" t="n">
        <v>0</v>
      </c>
      <c r="Q2147" t="n">
        <v>0</v>
      </c>
      <c r="R2147" t="inlineStr">
        <is>
          <t>See article for technique context</t>
        </is>
      </c>
      <c r="S2147" t="n">
        <v>1</v>
      </c>
      <c r="T2147" t="inlineStr">
        <is>
          <t>LOW (40%)</t>
        </is>
      </c>
      <c r="U2147" t="inlineStr">
        <is>
          <t>NONE</t>
        </is>
      </c>
      <c r="V2147" t="inlineStr">
        <is>
          <t>NONE</t>
        </is>
      </c>
      <c r="W2147" t="inlineStr">
        <is>
          <t>NONE</t>
        </is>
      </c>
      <c r="X2147" t="inlineStr">
        <is>
          <t>NONE</t>
        </is>
      </c>
      <c r="Y2147" t="n">
        <v>0</v>
      </c>
      <c r="Z2147" t="inlineStr">
        <is>
          <t>Marquis sues SonicWall over backup breach that led to ransomware attack</t>
        </is>
      </c>
      <c r="AA2147" t="inlineStr">
        <is>
          <t>https://www.bleepingcomputer.com/news/security/marquis-sues-sonicwall-over-backup-breach-that-led-to-ransomware-attack/</t>
        </is>
      </c>
    </row>
    <row r="2148">
      <c r="A2148" t="inlineStr">
        <is>
          <t>NEWS_ALERT</t>
        </is>
      </c>
      <c r="B2148" t="inlineStr">
        <is>
          <t>44e1c6b8c08c</t>
        </is>
      </c>
      <c r="C2148" t="inlineStr">
        <is>
          <t>[BleepingComputer] The OpenClaw Hype: Analysis of Chatter from Open-Source Deep and Dark Web | Keywords: supply-chain, exploitation | OpenClaw has sparked heavy Telegram and dark web chatter, but Flare's data shows more research hype than mass exploitation. Flare explains how its tel</t>
        </is>
      </c>
      <c r="D2148" t="n">
        <v>5</v>
      </c>
      <c r="E2148" t="inlineStr">
        <is>
          <t>MEDIUM</t>
        </is>
      </c>
      <c r="F2148" t="n">
        <v>2</v>
      </c>
      <c r="G2148" t="n">
        <v>1</v>
      </c>
      <c r="H2148" t="inlineStr">
        <is>
          <t>LOW</t>
        </is>
      </c>
      <c r="I2148" t="n">
        <v>7</v>
      </c>
      <c r="J2148" t="inlineStr">
        <is>
          <t>NO</t>
        </is>
      </c>
      <c r="K2148" t="inlineStr">
        <is>
          <t>2026-02-25 15:01</t>
        </is>
      </c>
      <c r="L2148" t="inlineStr">
        <is>
          <t>Monitor</t>
        </is>
      </c>
      <c r="M2148" t="inlineStr">
        <is>
          <t>Varies - see article</t>
        </is>
      </c>
      <c r="N2148" t="inlineStr">
        <is>
          <t>P4</t>
        </is>
      </c>
      <c r="O2148" t="inlineStr">
        <is>
          <t>News alert - no IP context</t>
        </is>
      </c>
      <c r="P2148" t="n">
        <v>0</v>
      </c>
      <c r="Q2148" t="n">
        <v>0</v>
      </c>
      <c r="R2148" t="inlineStr">
        <is>
          <t>See article for technique context</t>
        </is>
      </c>
      <c r="S2148" t="n">
        <v>1</v>
      </c>
      <c r="T2148" t="inlineStr">
        <is>
          <t>LOW (40%)</t>
        </is>
      </c>
      <c r="U2148" t="inlineStr">
        <is>
          <t>NONE</t>
        </is>
      </c>
      <c r="V2148" t="inlineStr">
        <is>
          <t>NONE</t>
        </is>
      </c>
      <c r="W2148" t="inlineStr">
        <is>
          <t>NONE</t>
        </is>
      </c>
      <c r="X2148" t="inlineStr">
        <is>
          <t>NONE</t>
        </is>
      </c>
      <c r="Y2148" t="n">
        <v>0</v>
      </c>
      <c r="Z2148" t="inlineStr">
        <is>
          <t>The OpenClaw Hype: Analysis of Chatter from Open-Source Deep and Dark Web</t>
        </is>
      </c>
      <c r="AA2148" t="inlineStr">
        <is>
          <t>https://www.bleepingcomputer.com/news/security/the-openclaw-hype-analysis-of-chatter-from-open-source-deep-and-dark-web/</t>
        </is>
      </c>
    </row>
    <row r="2149">
      <c r="A2149" t="inlineStr">
        <is>
          <t>NEWS_ALERT</t>
        </is>
      </c>
      <c r="B2149" t="inlineStr">
        <is>
          <t>3e4cbd226062</t>
        </is>
      </c>
      <c r="C2149" t="inlineStr">
        <is>
          <t>[BleepingComputer] Zyxel warns of critical RCE flaw affecting over a dozen routers | Keywords: rce, critical vulnerability | Taiwan networking provider Zyxel has released security updates to address a critical vulnerability affecting over a dozen router models that can allow</t>
        </is>
      </c>
      <c r="D2149" t="n">
        <v>5</v>
      </c>
      <c r="E2149" t="inlineStr">
        <is>
          <t>MEDIUM</t>
        </is>
      </c>
      <c r="F2149" t="n">
        <v>2</v>
      </c>
      <c r="G2149" t="n">
        <v>1</v>
      </c>
      <c r="H2149" t="inlineStr">
        <is>
          <t>LOW</t>
        </is>
      </c>
      <c r="I2149" t="n">
        <v>7</v>
      </c>
      <c r="J2149" t="inlineStr">
        <is>
          <t>NO</t>
        </is>
      </c>
      <c r="K2149" t="inlineStr">
        <is>
          <t>2026-02-25 12:53</t>
        </is>
      </c>
      <c r="L2149" t="inlineStr">
        <is>
          <t>Monitor</t>
        </is>
      </c>
      <c r="M2149" t="inlineStr">
        <is>
          <t>Varies - see article</t>
        </is>
      </c>
      <c r="N2149" t="inlineStr">
        <is>
          <t>P4</t>
        </is>
      </c>
      <c r="O2149" t="inlineStr">
        <is>
          <t>News alert - no IP context</t>
        </is>
      </c>
      <c r="P2149" t="n">
        <v>0</v>
      </c>
      <c r="Q2149" t="n">
        <v>0</v>
      </c>
      <c r="R2149" t="inlineStr">
        <is>
          <t>See article for technique context</t>
        </is>
      </c>
      <c r="S2149" t="n">
        <v>1</v>
      </c>
      <c r="T2149" t="inlineStr">
        <is>
          <t>LOW (40%)</t>
        </is>
      </c>
      <c r="U2149" t="inlineStr">
        <is>
          <t>NONE</t>
        </is>
      </c>
      <c r="V2149" t="inlineStr">
        <is>
          <t>NONE</t>
        </is>
      </c>
      <c r="W2149" t="inlineStr">
        <is>
          <t>NONE</t>
        </is>
      </c>
      <c r="X2149" t="inlineStr">
        <is>
          <t>NONE</t>
        </is>
      </c>
      <c r="Y2149" t="n">
        <v>0</v>
      </c>
      <c r="Z2149" t="inlineStr">
        <is>
          <t>Zyxel warns of critical RCE flaw affecting over a dozen routers</t>
        </is>
      </c>
      <c r="AA2149" t="inlineStr">
        <is>
          <t>https://www.bleepingcomputer.com/news/security/zyxel-warns-of-critical-rce-flaw-affecting-over-a-dozen-routers/</t>
        </is>
      </c>
    </row>
    <row r="2150">
      <c r="A2150" t="inlineStr">
        <is>
          <t>NEWS_ALERT</t>
        </is>
      </c>
      <c r="B2150" t="inlineStr">
        <is>
          <t>d689526cb18d</t>
        </is>
      </c>
      <c r="C2150" t="inlineStr">
        <is>
          <t>[BleepingComputer] US sanctions Russian broker for buying stolen zero-day exploits | Keywords: exploit, zero-day | The U.S. Treasury Department has sanctioned a Russian exploit broker who bought stolen hacking tools from a former executive of a U.S. defense contrac</t>
        </is>
      </c>
      <c r="D2150" t="n">
        <v>5</v>
      </c>
      <c r="E2150" t="inlineStr">
        <is>
          <t>MEDIUM</t>
        </is>
      </c>
      <c r="F2150" t="n">
        <v>2</v>
      </c>
      <c r="G2150" t="n">
        <v>1</v>
      </c>
      <c r="H2150" t="inlineStr">
        <is>
          <t>LOW</t>
        </is>
      </c>
      <c r="I2150" t="n">
        <v>7</v>
      </c>
      <c r="J2150" t="inlineStr">
        <is>
          <t>NO</t>
        </is>
      </c>
      <c r="K2150" t="inlineStr">
        <is>
          <t>2026-02-25 10:31</t>
        </is>
      </c>
      <c r="L2150" t="inlineStr">
        <is>
          <t>Monitor</t>
        </is>
      </c>
      <c r="M2150" t="inlineStr">
        <is>
          <t>Varies - see article</t>
        </is>
      </c>
      <c r="N2150" t="inlineStr">
        <is>
          <t>P4</t>
        </is>
      </c>
      <c r="O2150" t="inlineStr">
        <is>
          <t>News alert - no IP context</t>
        </is>
      </c>
      <c r="P2150" t="n">
        <v>0</v>
      </c>
      <c r="Q2150" t="n">
        <v>0</v>
      </c>
      <c r="R2150" t="inlineStr">
        <is>
          <t>See article for technique context</t>
        </is>
      </c>
      <c r="S2150" t="n">
        <v>1</v>
      </c>
      <c r="T2150" t="inlineStr">
        <is>
          <t>LOW (40%)</t>
        </is>
      </c>
      <c r="U2150" t="inlineStr">
        <is>
          <t>NONE</t>
        </is>
      </c>
      <c r="V2150" t="inlineStr">
        <is>
          <t>NONE</t>
        </is>
      </c>
      <c r="W2150" t="inlineStr">
        <is>
          <t>NONE</t>
        </is>
      </c>
      <c r="X2150" t="inlineStr">
        <is>
          <t>NONE</t>
        </is>
      </c>
      <c r="Y2150" t="n">
        <v>0</v>
      </c>
      <c r="Z2150" t="inlineStr">
        <is>
          <t>US sanctions Russian broker for buying stolen zero-day exploits</t>
        </is>
      </c>
      <c r="AA2150" t="inlineStr">
        <is>
          <t>https://www.bleepingcomputer.com/news/security/us-sanctions-russian-exploit-broker-for-buying-stolen-zero-days/</t>
        </is>
      </c>
    </row>
    <row r="2151">
      <c r="A2151" t="inlineStr">
        <is>
          <t>NEWS_ALERT</t>
        </is>
      </c>
      <c r="B2151" t="inlineStr">
        <is>
          <t>ecd29b8b35c0</t>
        </is>
      </c>
      <c r="C2151" t="inlineStr">
        <is>
          <t>[BleepingComputer] Ex-L3Harris exec jailed for selling zero-days to Russian exploit broker | Keywords: exploit, zero-day | The former head of Trenchant, a specialized U.S. defense contractor unit, was sentenced Tuesday to more than seven years in federal prison for stealin</t>
        </is>
      </c>
      <c r="D2151" t="n">
        <v>5</v>
      </c>
      <c r="E2151" t="inlineStr">
        <is>
          <t>MEDIUM</t>
        </is>
      </c>
      <c r="F2151" t="n">
        <v>2</v>
      </c>
      <c r="G2151" t="n">
        <v>1</v>
      </c>
      <c r="H2151" t="inlineStr">
        <is>
          <t>LOW</t>
        </is>
      </c>
      <c r="I2151" t="n">
        <v>7</v>
      </c>
      <c r="J2151" t="inlineStr">
        <is>
          <t>NO</t>
        </is>
      </c>
      <c r="K2151" t="inlineStr">
        <is>
          <t>2026-02-25 08:21</t>
        </is>
      </c>
      <c r="L2151" t="inlineStr">
        <is>
          <t>Monitor</t>
        </is>
      </c>
      <c r="M2151" t="inlineStr">
        <is>
          <t>Varies - see article</t>
        </is>
      </c>
      <c r="N2151" t="inlineStr">
        <is>
          <t>P4</t>
        </is>
      </c>
      <c r="O2151" t="inlineStr">
        <is>
          <t>News alert - no IP context</t>
        </is>
      </c>
      <c r="P2151" t="n">
        <v>0</v>
      </c>
      <c r="Q2151" t="n">
        <v>0</v>
      </c>
      <c r="R2151" t="inlineStr">
        <is>
          <t>See article for technique context</t>
        </is>
      </c>
      <c r="S2151" t="n">
        <v>1</v>
      </c>
      <c r="T2151" t="inlineStr">
        <is>
          <t>LOW (40%)</t>
        </is>
      </c>
      <c r="U2151" t="inlineStr">
        <is>
          <t>NONE</t>
        </is>
      </c>
      <c r="V2151" t="inlineStr">
        <is>
          <t>NONE</t>
        </is>
      </c>
      <c r="W2151" t="inlineStr">
        <is>
          <t>NONE</t>
        </is>
      </c>
      <c r="X2151" t="inlineStr">
        <is>
          <t>NONE</t>
        </is>
      </c>
      <c r="Y2151" t="n">
        <v>0</v>
      </c>
      <c r="Z2151" t="inlineStr">
        <is>
          <t>Ex-L3Harris exec jailed for selling zero-days to Russian exploit broker</t>
        </is>
      </c>
      <c r="AA2151" t="inlineStr">
        <is>
          <t>https://www.bleepingcomputer.com/news/security/ex-l3harris-exec-jailed-for-selling-zero-days-to-russian-exploit-broker/</t>
        </is>
      </c>
    </row>
    <row r="2152">
      <c r="A2152" t="inlineStr">
        <is>
          <t>NEWS_ALERT</t>
        </is>
      </c>
      <c r="B2152" t="inlineStr">
        <is>
          <t>cf7b53fc32ca</t>
        </is>
      </c>
      <c r="C2152" t="inlineStr">
        <is>
          <t>[SecurityAffairs] Former U.S. Defense contractor executive sentenced for selling zero-day exploits to Russian broker Operation Zero | Keywords: zero-day | A former employee at U.S. defense contractor L3Harris got over 7 years in prison for selling eight zero-days to a Russian broker. Peter Williams, a 39</t>
        </is>
      </c>
      <c r="D2152" t="n">
        <v>5</v>
      </c>
      <c r="E2152" t="inlineStr">
        <is>
          <t>MEDIUM</t>
        </is>
      </c>
      <c r="F2152" t="n">
        <v>2</v>
      </c>
      <c r="G2152" t="n">
        <v>1</v>
      </c>
      <c r="H2152" t="inlineStr">
        <is>
          <t>LOW</t>
        </is>
      </c>
      <c r="I2152" t="n">
        <v>7</v>
      </c>
      <c r="J2152" t="inlineStr">
        <is>
          <t>NO</t>
        </is>
      </c>
      <c r="K2152" t="inlineStr">
        <is>
          <t>2026-02-25 10:06</t>
        </is>
      </c>
      <c r="L2152" t="inlineStr">
        <is>
          <t>Monitor</t>
        </is>
      </c>
      <c r="M2152" t="inlineStr">
        <is>
          <t>Varies - see article</t>
        </is>
      </c>
      <c r="N2152" t="inlineStr">
        <is>
          <t>P4</t>
        </is>
      </c>
      <c r="O2152" t="inlineStr">
        <is>
          <t>News alert - no IP context</t>
        </is>
      </c>
      <c r="P2152" t="n">
        <v>0</v>
      </c>
      <c r="Q2152" t="n">
        <v>0</v>
      </c>
      <c r="R2152" t="inlineStr">
        <is>
          <t>See article for technique context</t>
        </is>
      </c>
      <c r="S2152" t="n">
        <v>1</v>
      </c>
      <c r="T2152" t="inlineStr">
        <is>
          <t>LOW (40%)</t>
        </is>
      </c>
      <c r="U2152" t="inlineStr">
        <is>
          <t>NONE</t>
        </is>
      </c>
      <c r="V2152" t="inlineStr">
        <is>
          <t>NONE</t>
        </is>
      </c>
      <c r="W2152" t="inlineStr">
        <is>
          <t>NONE</t>
        </is>
      </c>
      <c r="X2152" t="inlineStr">
        <is>
          <t>NONE</t>
        </is>
      </c>
      <c r="Y2152" t="n">
        <v>0</v>
      </c>
      <c r="Z2152" t="inlineStr">
        <is>
          <t>Former U.S. Defense contractor executive sentenced for selling zero-day exploits to Russian broker Operation Zero</t>
        </is>
      </c>
      <c r="AA2152" t="inlineStr">
        <is>
          <t>https://securityaffairs.com/188482/intelligence/former-u-s-defense-contractor-executive-sentenced-for-selling-zero-day-exploits-to-russian-broker-operation-zero.html</t>
        </is>
      </c>
    </row>
    <row r="2153">
      <c r="A2153" t="inlineStr">
        <is>
          <t>NEWS_ALERT</t>
        </is>
      </c>
      <c r="B2153" t="inlineStr">
        <is>
          <t>6a8615a54344</t>
        </is>
      </c>
      <c r="C2153" t="inlineStr">
        <is>
          <t>[SecurityAffairs] Lazarus APT group deployed Medusa Ransomware against Middle East target | Keywords: apt, ransomware, ransomware | North Korea’s Lazarus Group used Medusa ransomware in an attack on an unnamed Middle East organization, researchers report. The North Korea-linked Laz</t>
        </is>
      </c>
      <c r="D2153" t="n">
        <v>5</v>
      </c>
      <c r="E2153" t="inlineStr">
        <is>
          <t>MEDIUM</t>
        </is>
      </c>
      <c r="F2153" t="n">
        <v>2</v>
      </c>
      <c r="G2153" t="n">
        <v>1</v>
      </c>
      <c r="H2153" t="inlineStr">
        <is>
          <t>LOW</t>
        </is>
      </c>
      <c r="I2153" t="n">
        <v>7</v>
      </c>
      <c r="J2153" t="inlineStr">
        <is>
          <t>NO</t>
        </is>
      </c>
      <c r="K2153" t="inlineStr">
        <is>
          <t>2026-02-25 08:18</t>
        </is>
      </c>
      <c r="L2153" t="inlineStr">
        <is>
          <t>Monitor</t>
        </is>
      </c>
      <c r="M2153" t="inlineStr">
        <is>
          <t>Varies - see article</t>
        </is>
      </c>
      <c r="N2153" t="inlineStr">
        <is>
          <t>P4</t>
        </is>
      </c>
      <c r="O2153" t="inlineStr">
        <is>
          <t>News alert - no IP context</t>
        </is>
      </c>
      <c r="P2153" t="n">
        <v>0</v>
      </c>
      <c r="Q2153" t="n">
        <v>0</v>
      </c>
      <c r="R2153" t="inlineStr">
        <is>
          <t>See article for technique context</t>
        </is>
      </c>
      <c r="S2153" t="n">
        <v>1</v>
      </c>
      <c r="T2153" t="inlineStr">
        <is>
          <t>LOW (40%)</t>
        </is>
      </c>
      <c r="U2153" t="inlineStr">
        <is>
          <t>NONE</t>
        </is>
      </c>
      <c r="V2153" t="inlineStr">
        <is>
          <t>NONE</t>
        </is>
      </c>
      <c r="W2153" t="inlineStr">
        <is>
          <t>NONE</t>
        </is>
      </c>
      <c r="X2153" t="inlineStr">
        <is>
          <t>NONE</t>
        </is>
      </c>
      <c r="Y2153" t="n">
        <v>0</v>
      </c>
      <c r="Z2153" t="inlineStr">
        <is>
          <t>Lazarus APT group deployed Medusa Ransomware against Middle East target</t>
        </is>
      </c>
      <c r="AA2153" t="inlineStr">
        <is>
          <t>https://securityaffairs.com/188460/apt/lazarus-apt-group-deployed-medusa-ransomware-against-middle-east-target.html</t>
        </is>
      </c>
    </row>
    <row r="2154">
      <c r="A2154" t="inlineStr">
        <is>
          <t>NEWS_ALERT</t>
        </is>
      </c>
      <c r="B2154" t="inlineStr">
        <is>
          <t>408c54a88659</t>
        </is>
      </c>
      <c r="C2154" t="inlineStr">
        <is>
          <t xml:space="preserve">[SecurityAffairs] SolarWinds patches four critical Serv-U flaws enabling root access | Keywords: remote code | SolarWinds addressed four critical Serv-U vulnerabilities that could let attackers gain root access to unpatched servers. SolarWinds released updates </t>
        </is>
      </c>
      <c r="D2154" t="n">
        <v>5</v>
      </c>
      <c r="E2154" t="inlineStr">
        <is>
          <t>MEDIUM</t>
        </is>
      </c>
      <c r="F2154" t="n">
        <v>2</v>
      </c>
      <c r="G2154" t="n">
        <v>1</v>
      </c>
      <c r="H2154" t="inlineStr">
        <is>
          <t>LOW</t>
        </is>
      </c>
      <c r="I2154" t="n">
        <v>7</v>
      </c>
      <c r="J2154" t="inlineStr">
        <is>
          <t>NO</t>
        </is>
      </c>
      <c r="K2154" t="inlineStr">
        <is>
          <t>2026-02-24 20:07</t>
        </is>
      </c>
      <c r="L2154" t="inlineStr">
        <is>
          <t>Monitor</t>
        </is>
      </c>
      <c r="M2154" t="inlineStr">
        <is>
          <t>Varies - see article</t>
        </is>
      </c>
      <c r="N2154" t="inlineStr">
        <is>
          <t>P4</t>
        </is>
      </c>
      <c r="O2154" t="inlineStr">
        <is>
          <t>News alert - no IP context</t>
        </is>
      </c>
      <c r="P2154" t="n">
        <v>0</v>
      </c>
      <c r="Q2154" t="n">
        <v>0</v>
      </c>
      <c r="R2154" t="inlineStr">
        <is>
          <t>See article for technique context</t>
        </is>
      </c>
      <c r="S2154" t="n">
        <v>1</v>
      </c>
      <c r="T2154" t="inlineStr">
        <is>
          <t>LOW (40%)</t>
        </is>
      </c>
      <c r="U2154" t="inlineStr">
        <is>
          <t>NONE</t>
        </is>
      </c>
      <c r="V2154" t="inlineStr">
        <is>
          <t>NONE</t>
        </is>
      </c>
      <c r="W2154" t="inlineStr">
        <is>
          <t>NONE</t>
        </is>
      </c>
      <c r="X2154" t="inlineStr">
        <is>
          <t>NONE</t>
        </is>
      </c>
      <c r="Y2154" t="n">
        <v>0</v>
      </c>
      <c r="Z2154" t="inlineStr">
        <is>
          <t>SolarWinds patches four critical Serv-U flaws enabling root access</t>
        </is>
      </c>
      <c r="AA2154" t="inlineStr">
        <is>
          <t>https://securityaffairs.com/188454/hacking/solarwinds-patches-four-critical-serv-u-flaws-enabling-root-access.html</t>
        </is>
      </c>
    </row>
    <row r="2155">
      <c r="A2155" t="inlineStr">
        <is>
          <t>NEWS_ALERT</t>
        </is>
      </c>
      <c r="B2155" t="inlineStr">
        <is>
          <t>16400c798c4b</t>
        </is>
      </c>
      <c r="C2155" t="inlineStr">
        <is>
          <t xml:space="preserve">[SecurityAffairs] VMware Aria Operations flaws could enable remote attacks | Keywords: remote code | Broadcom patched multiple VMware Aria Operations flaws, including high-severity issues that could enable remote code execution. Broadcom has released </t>
        </is>
      </c>
      <c r="D2155" t="n">
        <v>5</v>
      </c>
      <c r="E2155" t="inlineStr">
        <is>
          <t>MEDIUM</t>
        </is>
      </c>
      <c r="F2155" t="n">
        <v>2</v>
      </c>
      <c r="G2155" t="n">
        <v>1</v>
      </c>
      <c r="H2155" t="inlineStr">
        <is>
          <t>LOW</t>
        </is>
      </c>
      <c r="I2155" t="n">
        <v>7</v>
      </c>
      <c r="J2155" t="inlineStr">
        <is>
          <t>NO</t>
        </is>
      </c>
      <c r="K2155" t="inlineStr">
        <is>
          <t>2026-02-24 15:02</t>
        </is>
      </c>
      <c r="L2155" t="inlineStr">
        <is>
          <t>Monitor</t>
        </is>
      </c>
      <c r="M2155" t="inlineStr">
        <is>
          <t>Varies - see article</t>
        </is>
      </c>
      <c r="N2155" t="inlineStr">
        <is>
          <t>P4</t>
        </is>
      </c>
      <c r="O2155" t="inlineStr">
        <is>
          <t>News alert - no IP context</t>
        </is>
      </c>
      <c r="P2155" t="n">
        <v>0</v>
      </c>
      <c r="Q2155" t="n">
        <v>0</v>
      </c>
      <c r="R2155" t="inlineStr">
        <is>
          <t>See article for technique context</t>
        </is>
      </c>
      <c r="S2155" t="n">
        <v>1</v>
      </c>
      <c r="T2155" t="inlineStr">
        <is>
          <t>LOW (40%)</t>
        </is>
      </c>
      <c r="U2155" t="inlineStr">
        <is>
          <t>NONE</t>
        </is>
      </c>
      <c r="V2155" t="inlineStr">
        <is>
          <t>NONE</t>
        </is>
      </c>
      <c r="W2155" t="inlineStr">
        <is>
          <t>NONE</t>
        </is>
      </c>
      <c r="X2155" t="inlineStr">
        <is>
          <t>NONE</t>
        </is>
      </c>
      <c r="Y2155" t="n">
        <v>0</v>
      </c>
      <c r="Z2155" t="inlineStr">
        <is>
          <t>VMware Aria Operations flaws could enable remote attacks</t>
        </is>
      </c>
      <c r="AA2155" t="inlineStr">
        <is>
          <t>https://securityaffairs.com/188445/security/vmware-aria-operations-flaws-could-enable-remote-attacks.html</t>
        </is>
      </c>
    </row>
    <row r="2156">
      <c r="A2156" t="inlineStr">
        <is>
          <t>NEWS_ALERT</t>
        </is>
      </c>
      <c r="B2156" t="inlineStr">
        <is>
          <t>0269d1f0785c</t>
        </is>
      </c>
      <c r="C2156" t="inlineStr">
        <is>
          <t xml:space="preserve">[SecurityAffairs] Arkanix Stealer: AI-assisted info-stealer shuts down after brief campaign | Keywords: malware | Arkanix Stealer surfaced in late 2025 as a short-lived info-stealer, likely built as an AI-assisted experiment and quickly abandoned. Arkanix Stealer </t>
        </is>
      </c>
      <c r="D2156" t="n">
        <v>5</v>
      </c>
      <c r="E2156" t="inlineStr">
        <is>
          <t>MEDIUM</t>
        </is>
      </c>
      <c r="F2156" t="n">
        <v>2</v>
      </c>
      <c r="G2156" t="n">
        <v>1</v>
      </c>
      <c r="H2156" t="inlineStr">
        <is>
          <t>LOW</t>
        </is>
      </c>
      <c r="I2156" t="n">
        <v>7</v>
      </c>
      <c r="J2156" t="inlineStr">
        <is>
          <t>NO</t>
        </is>
      </c>
      <c r="K2156" t="inlineStr">
        <is>
          <t>2026-02-24 10:52</t>
        </is>
      </c>
      <c r="L2156" t="inlineStr">
        <is>
          <t>Monitor</t>
        </is>
      </c>
      <c r="M2156" t="inlineStr">
        <is>
          <t>Varies - see article</t>
        </is>
      </c>
      <c r="N2156" t="inlineStr">
        <is>
          <t>P4</t>
        </is>
      </c>
      <c r="O2156" t="inlineStr">
        <is>
          <t>News alert - no IP context</t>
        </is>
      </c>
      <c r="P2156" t="n">
        <v>0</v>
      </c>
      <c r="Q2156" t="n">
        <v>0</v>
      </c>
      <c r="R2156" t="inlineStr">
        <is>
          <t>See article for technique context</t>
        </is>
      </c>
      <c r="S2156" t="n">
        <v>1</v>
      </c>
      <c r="T2156" t="inlineStr">
        <is>
          <t>LOW (40%)</t>
        </is>
      </c>
      <c r="U2156" t="inlineStr">
        <is>
          <t>NONE</t>
        </is>
      </c>
      <c r="V2156" t="inlineStr">
        <is>
          <t>NONE</t>
        </is>
      </c>
      <c r="W2156" t="inlineStr">
        <is>
          <t>NONE</t>
        </is>
      </c>
      <c r="X2156" t="inlineStr">
        <is>
          <t>NONE</t>
        </is>
      </c>
      <c r="Y2156" t="n">
        <v>0</v>
      </c>
      <c r="Z2156" t="inlineStr">
        <is>
          <t>Arkanix Stealer: AI-assisted info-stealer shuts down after brief campaign</t>
        </is>
      </c>
      <c r="AA2156" t="inlineStr">
        <is>
          <t>https://securityaffairs.com/188431/malware/arkanix-stealer-ai-assisted-info-stealer-shuts-down-after-brief-campaign.html</t>
        </is>
      </c>
    </row>
    <row r="2157">
      <c r="A2157" t="inlineStr">
        <is>
          <t>NEWS_ALERT</t>
        </is>
      </c>
      <c r="B2157" t="inlineStr">
        <is>
          <t>6ce955393105</t>
        </is>
      </c>
      <c r="C2157" t="inlineStr">
        <is>
          <t>[SecurityAffairs] Operation MacroMaze: APT28 exploits webhooks for covert data exfiltration | Keywords: malware | Russia-linked APT28 targeted European entities with a webhook-based macro malware campaign called Operation MacroMaze. Russia-linked APT28 (aka UAC-00</t>
        </is>
      </c>
      <c r="D2157" t="n">
        <v>5</v>
      </c>
      <c r="E2157" t="inlineStr">
        <is>
          <t>MEDIUM</t>
        </is>
      </c>
      <c r="F2157" t="n">
        <v>2</v>
      </c>
      <c r="G2157" t="n">
        <v>1</v>
      </c>
      <c r="H2157" t="inlineStr">
        <is>
          <t>LOW</t>
        </is>
      </c>
      <c r="I2157" t="n">
        <v>7</v>
      </c>
      <c r="J2157" t="inlineStr">
        <is>
          <t>NO</t>
        </is>
      </c>
      <c r="K2157" t="inlineStr">
        <is>
          <t>2026-02-24 09:10</t>
        </is>
      </c>
      <c r="L2157" t="inlineStr">
        <is>
          <t>Monitor</t>
        </is>
      </c>
      <c r="M2157" t="inlineStr">
        <is>
          <t>Varies - see article</t>
        </is>
      </c>
      <c r="N2157" t="inlineStr">
        <is>
          <t>P4</t>
        </is>
      </c>
      <c r="O2157" t="inlineStr">
        <is>
          <t>News alert - no IP context</t>
        </is>
      </c>
      <c r="P2157" t="n">
        <v>0</v>
      </c>
      <c r="Q2157" t="n">
        <v>0</v>
      </c>
      <c r="R2157" t="inlineStr">
        <is>
          <t>See article for technique context</t>
        </is>
      </c>
      <c r="S2157" t="n">
        <v>1</v>
      </c>
      <c r="T2157" t="inlineStr">
        <is>
          <t>LOW (40%)</t>
        </is>
      </c>
      <c r="U2157" t="inlineStr">
        <is>
          <t>NONE</t>
        </is>
      </c>
      <c r="V2157" t="inlineStr">
        <is>
          <t>NONE</t>
        </is>
      </c>
      <c r="W2157" t="inlineStr">
        <is>
          <t>NONE</t>
        </is>
      </c>
      <c r="X2157" t="inlineStr">
        <is>
          <t>NONE</t>
        </is>
      </c>
      <c r="Y2157" t="n">
        <v>0</v>
      </c>
      <c r="Z2157" t="inlineStr">
        <is>
          <t>Operation MacroMaze: APT28 exploits webhooks for covert data exfiltration</t>
        </is>
      </c>
      <c r="AA2157" t="inlineStr">
        <is>
          <t>https://securityaffairs.com/188421/apt/operation-macromaze-apt28-exploits-webhooks-for-covert-data-exfiltration.html</t>
        </is>
      </c>
    </row>
    <row r="2158">
      <c r="A2158" t="inlineStr">
        <is>
          <t>NEWS_ALERT</t>
        </is>
      </c>
      <c r="B2158" t="inlineStr">
        <is>
          <t>a740d371f2b8</t>
        </is>
      </c>
      <c r="C2158" t="inlineStr">
        <is>
          <t xml:space="preserve">[TheHackerNews] Claude Code Flaws Allow Remote Code Execution and API Key Exfiltration | Keywords: exploit, remote code, remote code | Cybersecurity researchers have disclosed multiple security vulnerabilities in Anthropic's Claude Code, an artificial intelligence (AI)-powered coding </t>
        </is>
      </c>
      <c r="D2158" t="n">
        <v>5</v>
      </c>
      <c r="E2158" t="inlineStr">
        <is>
          <t>MEDIUM</t>
        </is>
      </c>
      <c r="F2158" t="n">
        <v>2</v>
      </c>
      <c r="G2158" t="n">
        <v>1</v>
      </c>
      <c r="H2158" t="inlineStr">
        <is>
          <t>LOW</t>
        </is>
      </c>
      <c r="I2158" t="n">
        <v>7</v>
      </c>
      <c r="J2158" t="inlineStr">
        <is>
          <t>NO</t>
        </is>
      </c>
      <c r="K2158" t="inlineStr">
        <is>
          <t>2026-02-25 17:00</t>
        </is>
      </c>
      <c r="L2158" t="inlineStr">
        <is>
          <t>Monitor</t>
        </is>
      </c>
      <c r="M2158" t="inlineStr">
        <is>
          <t>Varies - see article</t>
        </is>
      </c>
      <c r="N2158" t="inlineStr">
        <is>
          <t>P4</t>
        </is>
      </c>
      <c r="O2158" t="inlineStr">
        <is>
          <t>News alert - no IP context</t>
        </is>
      </c>
      <c r="P2158" t="n">
        <v>0</v>
      </c>
      <c r="Q2158" t="n">
        <v>0</v>
      </c>
      <c r="R2158" t="inlineStr">
        <is>
          <t>See article for technique context</t>
        </is>
      </c>
      <c r="S2158" t="n">
        <v>1</v>
      </c>
      <c r="T2158" t="inlineStr">
        <is>
          <t>LOW (40%)</t>
        </is>
      </c>
      <c r="U2158" t="inlineStr">
        <is>
          <t>NONE</t>
        </is>
      </c>
      <c r="V2158" t="inlineStr">
        <is>
          <t>NONE</t>
        </is>
      </c>
      <c r="W2158" t="inlineStr">
        <is>
          <t>NONE</t>
        </is>
      </c>
      <c r="X2158" t="inlineStr">
        <is>
          <t>NONE</t>
        </is>
      </c>
      <c r="Y2158" t="n">
        <v>0</v>
      </c>
      <c r="Z2158" t="inlineStr">
        <is>
          <t>Claude Code Flaws Allow Remote Code Execution and API Key Exfiltration</t>
        </is>
      </c>
      <c r="AA2158" t="inlineStr">
        <is>
          <t>https://thehackernews.com/2026/02/claude-code-flaws-allow-remote-code.html</t>
        </is>
      </c>
    </row>
    <row r="2159">
      <c r="A2159" t="inlineStr">
        <is>
          <t>NEWS_ALERT</t>
        </is>
      </c>
      <c r="B2159" t="inlineStr">
        <is>
          <t>9dead3c5f27b</t>
        </is>
      </c>
      <c r="C2159" t="inlineStr">
        <is>
          <t xml:space="preserve">[TheHackerNews] SLH Offers $500–$1,000 Per Call to Recruit Women for IT Help Desk Vishing Attacks | Keywords: phishing | The notorious cybercrime collective known as Scattered LAPSUS$ Hunters (SLH) has been observed offering financial incentives to recruit women to pull </t>
        </is>
      </c>
      <c r="D2159" t="n">
        <v>5</v>
      </c>
      <c r="E2159" t="inlineStr">
        <is>
          <t>MEDIUM</t>
        </is>
      </c>
      <c r="F2159" t="n">
        <v>2</v>
      </c>
      <c r="G2159" t="n">
        <v>1</v>
      </c>
      <c r="H2159" t="inlineStr">
        <is>
          <t>LOW</t>
        </is>
      </c>
      <c r="I2159" t="n">
        <v>7</v>
      </c>
      <c r="J2159" t="inlineStr">
        <is>
          <t>NO</t>
        </is>
      </c>
      <c r="K2159" t="inlineStr">
        <is>
          <t>2026-02-25 15:06</t>
        </is>
      </c>
      <c r="L2159" t="inlineStr">
        <is>
          <t>Monitor</t>
        </is>
      </c>
      <c r="M2159" t="inlineStr">
        <is>
          <t>Varies - see article</t>
        </is>
      </c>
      <c r="N2159" t="inlineStr">
        <is>
          <t>P4</t>
        </is>
      </c>
      <c r="O2159" t="inlineStr">
        <is>
          <t>News alert - no IP context</t>
        </is>
      </c>
      <c r="P2159" t="n">
        <v>0</v>
      </c>
      <c r="Q2159" t="n">
        <v>0</v>
      </c>
      <c r="R2159" t="inlineStr">
        <is>
          <t>See article for technique context</t>
        </is>
      </c>
      <c r="S2159" t="n">
        <v>1</v>
      </c>
      <c r="T2159" t="inlineStr">
        <is>
          <t>LOW (40%)</t>
        </is>
      </c>
      <c r="U2159" t="inlineStr">
        <is>
          <t>NONE</t>
        </is>
      </c>
      <c r="V2159" t="inlineStr">
        <is>
          <t>NONE</t>
        </is>
      </c>
      <c r="W2159" t="inlineStr">
        <is>
          <t>NONE</t>
        </is>
      </c>
      <c r="X2159" t="inlineStr">
        <is>
          <t>NONE</t>
        </is>
      </c>
      <c r="Y2159" t="n">
        <v>0</v>
      </c>
      <c r="Z2159" t="inlineStr">
        <is>
          <t>SLH Offers $500–$1,000 Per Call to Recruit Women for IT Help Desk Vishing Attacks</t>
        </is>
      </c>
      <c r="AA2159" t="inlineStr">
        <is>
          <t>https://thehackernews.com/2026/02/slh-offers-5001000-per-call-to-recruit.html</t>
        </is>
      </c>
    </row>
    <row r="2160">
      <c r="A2160" t="inlineStr">
        <is>
          <t>NEWS_ALERT</t>
        </is>
      </c>
      <c r="B2160" t="inlineStr">
        <is>
          <t>26c7802a3619</t>
        </is>
      </c>
      <c r="C2160" t="inlineStr">
        <is>
          <t>[TheHackerNews] Malicious NuGet Packages Stole ASP.NET Data; npm Package Dropped Malware | Keywords: malware | Cybersecurity researchers have discovered four malicious NuGet packages that are designed to target ASP.NET web application developers to steal sensit</t>
        </is>
      </c>
      <c r="D2160" t="n">
        <v>5</v>
      </c>
      <c r="E2160" t="inlineStr">
        <is>
          <t>MEDIUM</t>
        </is>
      </c>
      <c r="F2160" t="n">
        <v>2</v>
      </c>
      <c r="G2160" t="n">
        <v>1</v>
      </c>
      <c r="H2160" t="inlineStr">
        <is>
          <t>LOW</t>
        </is>
      </c>
      <c r="I2160" t="n">
        <v>7</v>
      </c>
      <c r="J2160" t="inlineStr">
        <is>
          <t>NO</t>
        </is>
      </c>
      <c r="K2160" t="inlineStr">
        <is>
          <t>2026-02-25 12:43</t>
        </is>
      </c>
      <c r="L2160" t="inlineStr">
        <is>
          <t>Monitor</t>
        </is>
      </c>
      <c r="M2160" t="inlineStr">
        <is>
          <t>Varies - see article</t>
        </is>
      </c>
      <c r="N2160" t="inlineStr">
        <is>
          <t>P4</t>
        </is>
      </c>
      <c r="O2160" t="inlineStr">
        <is>
          <t>News alert - no IP context</t>
        </is>
      </c>
      <c r="P2160" t="n">
        <v>0</v>
      </c>
      <c r="Q2160" t="n">
        <v>0</v>
      </c>
      <c r="R2160" t="inlineStr">
        <is>
          <t>See article for technique context</t>
        </is>
      </c>
      <c r="S2160" t="n">
        <v>1</v>
      </c>
      <c r="T2160" t="inlineStr">
        <is>
          <t>LOW (40%)</t>
        </is>
      </c>
      <c r="U2160" t="inlineStr">
        <is>
          <t>NONE</t>
        </is>
      </c>
      <c r="V2160" t="inlineStr">
        <is>
          <t>NONE</t>
        </is>
      </c>
      <c r="W2160" t="inlineStr">
        <is>
          <t>NONE</t>
        </is>
      </c>
      <c r="X2160" t="inlineStr">
        <is>
          <t>NONE</t>
        </is>
      </c>
      <c r="Y2160" t="n">
        <v>0</v>
      </c>
      <c r="Z2160" t="inlineStr">
        <is>
          <t>Malicious NuGet Packages Stole ASP.NET Data; npm Package Dropped Malware</t>
        </is>
      </c>
      <c r="AA2160" t="inlineStr">
        <is>
          <t>https://thehackernews.com/2026/02/malicious-nuget-packages-stole-aspnet.html</t>
        </is>
      </c>
    </row>
    <row r="2161">
      <c r="A2161" t="inlineStr">
        <is>
          <t>NEWS_ALERT</t>
        </is>
      </c>
      <c r="B2161" t="inlineStr">
        <is>
          <t>3fa258abafc4</t>
        </is>
      </c>
      <c r="C2161" t="inlineStr">
        <is>
          <t>[TheHackerNews] Defense Contractor Employee Jailed for Selling 8 Zero-Days to Russian Broker | Keywords: exploit, zero-day | A 39-year-old Australian national who was previously employed at U.S. defense contractor L3Harris has been sentenced to a little over seven years in p</t>
        </is>
      </c>
      <c r="D2161" t="n">
        <v>5</v>
      </c>
      <c r="E2161" t="inlineStr">
        <is>
          <t>MEDIUM</t>
        </is>
      </c>
      <c r="F2161" t="n">
        <v>2</v>
      </c>
      <c r="G2161" t="n">
        <v>1</v>
      </c>
      <c r="H2161" t="inlineStr">
        <is>
          <t>LOW</t>
        </is>
      </c>
      <c r="I2161" t="n">
        <v>7</v>
      </c>
      <c r="J2161" t="inlineStr">
        <is>
          <t>NO</t>
        </is>
      </c>
      <c r="K2161" t="inlineStr">
        <is>
          <t>2026-02-25 08:49</t>
        </is>
      </c>
      <c r="L2161" t="inlineStr">
        <is>
          <t>Monitor</t>
        </is>
      </c>
      <c r="M2161" t="inlineStr">
        <is>
          <t>Varies - see article</t>
        </is>
      </c>
      <c r="N2161" t="inlineStr">
        <is>
          <t>P4</t>
        </is>
      </c>
      <c r="O2161" t="inlineStr">
        <is>
          <t>News alert - no IP context</t>
        </is>
      </c>
      <c r="P2161" t="n">
        <v>0</v>
      </c>
      <c r="Q2161" t="n">
        <v>0</v>
      </c>
      <c r="R2161" t="inlineStr">
        <is>
          <t>See article for technique context</t>
        </is>
      </c>
      <c r="S2161" t="n">
        <v>1</v>
      </c>
      <c r="T2161" t="inlineStr">
        <is>
          <t>LOW (40%)</t>
        </is>
      </c>
      <c r="U2161" t="inlineStr">
        <is>
          <t>NONE</t>
        </is>
      </c>
      <c r="V2161" t="inlineStr">
        <is>
          <t>NONE</t>
        </is>
      </c>
      <c r="W2161" t="inlineStr">
        <is>
          <t>NONE</t>
        </is>
      </c>
      <c r="X2161" t="inlineStr">
        <is>
          <t>NONE</t>
        </is>
      </c>
      <c r="Y2161" t="n">
        <v>0</v>
      </c>
      <c r="Z2161" t="inlineStr">
        <is>
          <t>Defense Contractor Employee Jailed for Selling 8 Zero-Days to Russian Broker</t>
        </is>
      </c>
      <c r="AA2161" t="inlineStr">
        <is>
          <t>https://thehackernews.com/2026/02/defense-contractor-employee-jailed-for.html</t>
        </is>
      </c>
    </row>
    <row r="2162">
      <c r="A2162" t="inlineStr">
        <is>
          <t>NEWS_ALERT</t>
        </is>
      </c>
      <c r="B2162" t="inlineStr">
        <is>
          <t>56c5d18dd182</t>
        </is>
      </c>
      <c r="C2162" t="inlineStr">
        <is>
          <t>[TheHackerNews] RoguePilot Flaw in GitHub Codespaces Enabled Copilot to Leak GITHUB_TOKEN | Keywords: exploited | A vulnerability in GitHub Codespaces could have been exploited by bad actors to seize control of repositories by injecting malicious Copilot instructi</t>
        </is>
      </c>
      <c r="D2162" t="n">
        <v>5</v>
      </c>
      <c r="E2162" t="inlineStr">
        <is>
          <t>MEDIUM</t>
        </is>
      </c>
      <c r="F2162" t="n">
        <v>2</v>
      </c>
      <c r="G2162" t="n">
        <v>1</v>
      </c>
      <c r="H2162" t="inlineStr">
        <is>
          <t>LOW</t>
        </is>
      </c>
      <c r="I2162" t="n">
        <v>7</v>
      </c>
      <c r="J2162" t="inlineStr">
        <is>
          <t>NO</t>
        </is>
      </c>
      <c r="K2162" t="inlineStr">
        <is>
          <t>2026-02-24 18:52</t>
        </is>
      </c>
      <c r="L2162" t="inlineStr">
        <is>
          <t>Monitor</t>
        </is>
      </c>
      <c r="M2162" t="inlineStr">
        <is>
          <t>Varies - see article</t>
        </is>
      </c>
      <c r="N2162" t="inlineStr">
        <is>
          <t>P4</t>
        </is>
      </c>
      <c r="O2162" t="inlineStr">
        <is>
          <t>News alert - no IP context</t>
        </is>
      </c>
      <c r="P2162" t="n">
        <v>0</v>
      </c>
      <c r="Q2162" t="n">
        <v>0</v>
      </c>
      <c r="R2162" t="inlineStr">
        <is>
          <t>See article for technique context</t>
        </is>
      </c>
      <c r="S2162" t="n">
        <v>1</v>
      </c>
      <c r="T2162" t="inlineStr">
        <is>
          <t>LOW (40%)</t>
        </is>
      </c>
      <c r="U2162" t="inlineStr">
        <is>
          <t>NONE</t>
        </is>
      </c>
      <c r="V2162" t="inlineStr">
        <is>
          <t>NONE</t>
        </is>
      </c>
      <c r="W2162" t="inlineStr">
        <is>
          <t>NONE</t>
        </is>
      </c>
      <c r="X2162" t="inlineStr">
        <is>
          <t>NONE</t>
        </is>
      </c>
      <c r="Y2162" t="n">
        <v>0</v>
      </c>
      <c r="Z2162" t="inlineStr">
        <is>
          <t>RoguePilot Flaw in GitHub Codespaces Enabled Copilot to Leak GITHUB_TOKEN</t>
        </is>
      </c>
      <c r="AA2162" t="inlineStr">
        <is>
          <t>https://thehackernews.com/2026/02/roguepilot-flaw-in-github-codespaces.html</t>
        </is>
      </c>
    </row>
    <row r="2163">
      <c r="A2163" t="inlineStr">
        <is>
          <t>NEWS_ALERT</t>
        </is>
      </c>
      <c r="B2163" t="inlineStr">
        <is>
          <t>b4ebc3f34ecc</t>
        </is>
      </c>
      <c r="C2163" t="inlineStr">
        <is>
          <t>[TheHackerNews] UAC-0050 Targets European Financial Institution With Spoofed Domain and RMS Malware | Keywords: malware, threat actor | A Russia-aligned threat actor has been observed targeting a European financial institution as part of a social engineering attack to likely facilitate</t>
        </is>
      </c>
      <c r="D2163" t="n">
        <v>5</v>
      </c>
      <c r="E2163" t="inlineStr">
        <is>
          <t>MEDIUM</t>
        </is>
      </c>
      <c r="F2163" t="n">
        <v>2</v>
      </c>
      <c r="G2163" t="n">
        <v>1</v>
      </c>
      <c r="H2163" t="inlineStr">
        <is>
          <t>LOW</t>
        </is>
      </c>
      <c r="I2163" t="n">
        <v>7</v>
      </c>
      <c r="J2163" t="inlineStr">
        <is>
          <t>NO</t>
        </is>
      </c>
      <c r="K2163" t="inlineStr">
        <is>
          <t>2026-02-24 14:21</t>
        </is>
      </c>
      <c r="L2163" t="inlineStr">
        <is>
          <t>Monitor</t>
        </is>
      </c>
      <c r="M2163" t="inlineStr">
        <is>
          <t>Varies - see article</t>
        </is>
      </c>
      <c r="N2163" t="inlineStr">
        <is>
          <t>P4</t>
        </is>
      </c>
      <c r="O2163" t="inlineStr">
        <is>
          <t>News alert - no IP context</t>
        </is>
      </c>
      <c r="P2163" t="n">
        <v>0</v>
      </c>
      <c r="Q2163" t="n">
        <v>0</v>
      </c>
      <c r="R2163" t="inlineStr">
        <is>
          <t>See article for technique context</t>
        </is>
      </c>
      <c r="S2163" t="n">
        <v>1</v>
      </c>
      <c r="T2163" t="inlineStr">
        <is>
          <t>LOW (40%)</t>
        </is>
      </c>
      <c r="U2163" t="inlineStr">
        <is>
          <t>NONE</t>
        </is>
      </c>
      <c r="V2163" t="inlineStr">
        <is>
          <t>NONE</t>
        </is>
      </c>
      <c r="W2163" t="inlineStr">
        <is>
          <t>NONE</t>
        </is>
      </c>
      <c r="X2163" t="inlineStr">
        <is>
          <t>NONE</t>
        </is>
      </c>
      <c r="Y2163" t="n">
        <v>0</v>
      </c>
      <c r="Z2163" t="inlineStr">
        <is>
          <t>UAC-0050 Targets European Financial Institution With Spoofed Domain and RMS Malware</t>
        </is>
      </c>
      <c r="AA2163" t="inlineStr">
        <is>
          <t>https://thehackernews.com/2026/02/uac-0050-targets-european-financial.html</t>
        </is>
      </c>
    </row>
    <row r="2164">
      <c r="A2164" t="inlineStr">
        <is>
          <t>NEWS_ALERT</t>
        </is>
      </c>
      <c r="B2164" t="inlineStr">
        <is>
          <t>37bd42f3cc8f</t>
        </is>
      </c>
      <c r="C2164" t="inlineStr">
        <is>
          <t>[DarkReading] RAMP Forum Seizure Fractures Ransomware Ecosystem | Keywords: ransomware | Researchers suggest defenders monitor how these malicious groups re-form and leverage the useful threat intel to guide their next moves.</t>
        </is>
      </c>
      <c r="D2164" t="n">
        <v>5</v>
      </c>
      <c r="E2164" t="inlineStr">
        <is>
          <t>MEDIUM</t>
        </is>
      </c>
      <c r="F2164" t="n">
        <v>2</v>
      </c>
      <c r="G2164" t="n">
        <v>1</v>
      </c>
      <c r="H2164" t="inlineStr">
        <is>
          <t>LOW</t>
        </is>
      </c>
      <c r="I2164" t="n">
        <v>7</v>
      </c>
      <c r="J2164" t="inlineStr">
        <is>
          <t>NO</t>
        </is>
      </c>
      <c r="K2164" t="inlineStr">
        <is>
          <t>2026-02-25 21:14</t>
        </is>
      </c>
      <c r="L2164" t="inlineStr">
        <is>
          <t>Monitor</t>
        </is>
      </c>
      <c r="M2164" t="inlineStr">
        <is>
          <t>Varies - see article</t>
        </is>
      </c>
      <c r="N2164" t="inlineStr">
        <is>
          <t>P4</t>
        </is>
      </c>
      <c r="O2164" t="inlineStr">
        <is>
          <t>News alert - no IP context</t>
        </is>
      </c>
      <c r="P2164" t="n">
        <v>0</v>
      </c>
      <c r="Q2164" t="n">
        <v>0</v>
      </c>
      <c r="R2164" t="inlineStr">
        <is>
          <t>See article for technique context</t>
        </is>
      </c>
      <c r="S2164" t="n">
        <v>1</v>
      </c>
      <c r="T2164" t="inlineStr">
        <is>
          <t>LOW (40%)</t>
        </is>
      </c>
      <c r="U2164" t="inlineStr">
        <is>
          <t>NONE</t>
        </is>
      </c>
      <c r="V2164" t="inlineStr">
        <is>
          <t>NONE</t>
        </is>
      </c>
      <c r="W2164" t="inlineStr">
        <is>
          <t>NONE</t>
        </is>
      </c>
      <c r="X2164" t="inlineStr">
        <is>
          <t>NONE</t>
        </is>
      </c>
      <c r="Y2164" t="n">
        <v>0</v>
      </c>
      <c r="Z2164" t="inlineStr">
        <is>
          <t>RAMP Forum Seizure Fractures Ransomware Ecosystem</t>
        </is>
      </c>
      <c r="AA2164" t="inlineStr">
        <is>
          <t>https://www.darkreading.com/threat-intelligence/ramp-forum-seizure-fractures-ransomware-ecosystem</t>
        </is>
      </c>
    </row>
    <row r="2165">
      <c r="A2165" t="inlineStr">
        <is>
          <t>NEWS_ALERT</t>
        </is>
      </c>
      <c r="B2165" t="inlineStr">
        <is>
          <t>e4492680030e</t>
        </is>
      </c>
      <c r="C2165" t="inlineStr">
        <is>
          <t>[DarkReading] Lazarus Group Picks a New Poison: Medusa Ransomware | Keywords: backdoor, ransomware | The North Korean threat group also leveraged Comebacker backdoor, Blindingcan RAT, and info stealer Infohook in its recent attacks.</t>
        </is>
      </c>
      <c r="D2165" t="n">
        <v>5</v>
      </c>
      <c r="E2165" t="inlineStr">
        <is>
          <t>MEDIUM</t>
        </is>
      </c>
      <c r="F2165" t="n">
        <v>2</v>
      </c>
      <c r="G2165" t="n">
        <v>1</v>
      </c>
      <c r="H2165" t="inlineStr">
        <is>
          <t>LOW</t>
        </is>
      </c>
      <c r="I2165" t="n">
        <v>7</v>
      </c>
      <c r="J2165" t="inlineStr">
        <is>
          <t>NO</t>
        </is>
      </c>
      <c r="K2165" t="inlineStr">
        <is>
          <t>2026-02-24 21:18</t>
        </is>
      </c>
      <c r="L2165" t="inlineStr">
        <is>
          <t>Monitor</t>
        </is>
      </c>
      <c r="M2165" t="inlineStr">
        <is>
          <t>Varies - see article</t>
        </is>
      </c>
      <c r="N2165" t="inlineStr">
        <is>
          <t>P4</t>
        </is>
      </c>
      <c r="O2165" t="inlineStr">
        <is>
          <t>News alert - no IP context</t>
        </is>
      </c>
      <c r="P2165" t="n">
        <v>0</v>
      </c>
      <c r="Q2165" t="n">
        <v>0</v>
      </c>
      <c r="R2165" t="inlineStr">
        <is>
          <t>See article for technique context</t>
        </is>
      </c>
      <c r="S2165" t="n">
        <v>1</v>
      </c>
      <c r="T2165" t="inlineStr">
        <is>
          <t>LOW (40%)</t>
        </is>
      </c>
      <c r="U2165" t="inlineStr">
        <is>
          <t>NONE</t>
        </is>
      </c>
      <c r="V2165" t="inlineStr">
        <is>
          <t>NONE</t>
        </is>
      </c>
      <c r="W2165" t="inlineStr">
        <is>
          <t>NONE</t>
        </is>
      </c>
      <c r="X2165" t="inlineStr">
        <is>
          <t>NONE</t>
        </is>
      </c>
      <c r="Y2165" t="n">
        <v>0</v>
      </c>
      <c r="Z2165" t="inlineStr">
        <is>
          <t>Lazarus Group Picks a New Poison: Medusa Ransomware</t>
        </is>
      </c>
      <c r="AA2165" t="inlineStr">
        <is>
          <t>https://www.darkreading.com/cyberattacks-data-breaches/lazarus-group-new-position-medusa-ransomware</t>
        </is>
      </c>
    </row>
    <row r="2166">
      <c r="A2166" t="inlineStr">
        <is>
          <t>NEWS_ALERT</t>
        </is>
      </c>
      <c r="B2166" t="inlineStr">
        <is>
          <t>4b94ac7dc33a</t>
        </is>
      </c>
      <c r="C2166" t="inlineStr">
        <is>
          <t>[DarkReading] Iran's MuddyWater Targets Orgs With Fresh Malware as Tensions Mount | Keywords: malware | The long-active Iranian threat group debuted various attack strains and payloads in attacks against organizations in the Middle East and Africa.</t>
        </is>
      </c>
      <c r="D2166" t="n">
        <v>5</v>
      </c>
      <c r="E2166" t="inlineStr">
        <is>
          <t>MEDIUM</t>
        </is>
      </c>
      <c r="F2166" t="n">
        <v>2</v>
      </c>
      <c r="G2166" t="n">
        <v>1</v>
      </c>
      <c r="H2166" t="inlineStr">
        <is>
          <t>LOW</t>
        </is>
      </c>
      <c r="I2166" t="n">
        <v>7</v>
      </c>
      <c r="J2166" t="inlineStr">
        <is>
          <t>NO</t>
        </is>
      </c>
      <c r="K2166" t="inlineStr">
        <is>
          <t>2026-02-23 20:35</t>
        </is>
      </c>
      <c r="L2166" t="inlineStr">
        <is>
          <t>Monitor</t>
        </is>
      </c>
      <c r="M2166" t="inlineStr">
        <is>
          <t>Varies - see article</t>
        </is>
      </c>
      <c r="N2166" t="inlineStr">
        <is>
          <t>P4</t>
        </is>
      </c>
      <c r="O2166" t="inlineStr">
        <is>
          <t>News alert - no IP context</t>
        </is>
      </c>
      <c r="P2166" t="n">
        <v>0</v>
      </c>
      <c r="Q2166" t="n">
        <v>0</v>
      </c>
      <c r="R2166" t="inlineStr">
        <is>
          <t>See article for technique context</t>
        </is>
      </c>
      <c r="S2166" t="n">
        <v>1</v>
      </c>
      <c r="T2166" t="inlineStr">
        <is>
          <t>LOW (40%)</t>
        </is>
      </c>
      <c r="U2166" t="inlineStr">
        <is>
          <t>NONE</t>
        </is>
      </c>
      <c r="V2166" t="inlineStr">
        <is>
          <t>NONE</t>
        </is>
      </c>
      <c r="W2166" t="inlineStr">
        <is>
          <t>NONE</t>
        </is>
      </c>
      <c r="X2166" t="inlineStr">
        <is>
          <t>NONE</t>
        </is>
      </c>
      <c r="Y2166" t="n">
        <v>0</v>
      </c>
      <c r="Z2166" t="inlineStr">
        <is>
          <t>Iran's MuddyWater Targets Orgs With Fresh Malware as Tensions Mount</t>
        </is>
      </c>
      <c r="AA2166" t="inlineStr">
        <is>
          <t>https://www.darkreading.com/threat-intelligence/iran-muddywater-new-malware-tensions-mount</t>
        </is>
      </c>
    </row>
    <row r="2167">
      <c r="A2167" t="inlineStr">
        <is>
          <t>NEWS_ALERT</t>
        </is>
      </c>
      <c r="B2167" t="inlineStr">
        <is>
          <t>a1f616d28251</t>
        </is>
      </c>
      <c r="C2167" t="inlineStr">
        <is>
          <t>[DarkReading] 600+ FortiGate Devices Hacked by AI-Armed Amateur | Keywords: ransomware | A Russian-speaking hacker used generative AI to compromise the FortiGate firewalls, targeting credentials and backups for possible follow-on ransomwar</t>
        </is>
      </c>
      <c r="D2167" t="n">
        <v>5</v>
      </c>
      <c r="E2167" t="inlineStr">
        <is>
          <t>MEDIUM</t>
        </is>
      </c>
      <c r="F2167" t="n">
        <v>2</v>
      </c>
      <c r="G2167" t="n">
        <v>1</v>
      </c>
      <c r="H2167" t="inlineStr">
        <is>
          <t>LOW</t>
        </is>
      </c>
      <c r="I2167" t="n">
        <v>7</v>
      </c>
      <c r="J2167" t="inlineStr">
        <is>
          <t>NO</t>
        </is>
      </c>
      <c r="K2167" t="inlineStr">
        <is>
          <t>2026-02-23 19:37</t>
        </is>
      </c>
      <c r="L2167" t="inlineStr">
        <is>
          <t>Monitor</t>
        </is>
      </c>
      <c r="M2167" t="inlineStr">
        <is>
          <t>Varies - see article</t>
        </is>
      </c>
      <c r="N2167" t="inlineStr">
        <is>
          <t>P4</t>
        </is>
      </c>
      <c r="O2167" t="inlineStr">
        <is>
          <t>News alert - no IP context</t>
        </is>
      </c>
      <c r="P2167" t="n">
        <v>0</v>
      </c>
      <c r="Q2167" t="n">
        <v>0</v>
      </c>
      <c r="R2167" t="inlineStr">
        <is>
          <t>See article for technique context</t>
        </is>
      </c>
      <c r="S2167" t="n">
        <v>1</v>
      </c>
      <c r="T2167" t="inlineStr">
        <is>
          <t>LOW (40%)</t>
        </is>
      </c>
      <c r="U2167" t="inlineStr">
        <is>
          <t>NONE</t>
        </is>
      </c>
      <c r="V2167" t="inlineStr">
        <is>
          <t>NONE</t>
        </is>
      </c>
      <c r="W2167" t="inlineStr">
        <is>
          <t>NONE</t>
        </is>
      </c>
      <c r="X2167" t="inlineStr">
        <is>
          <t>NONE</t>
        </is>
      </c>
      <c r="Y2167" t="n">
        <v>0</v>
      </c>
      <c r="Z2167" t="inlineStr">
        <is>
          <t>600+ FortiGate Devices Hacked by AI-Armed Amateur</t>
        </is>
      </c>
      <c r="AA2167" t="inlineStr">
        <is>
          <t>https://www.darkreading.com/threat-intelligence/600-fortigate-devices-hacked-ai-amateur</t>
        </is>
      </c>
    </row>
    <row r="2168">
      <c r="A2168" t="inlineStr">
        <is>
          <t>NEWS_ALERT</t>
        </is>
      </c>
      <c r="B2168" t="inlineStr">
        <is>
          <t>1e431b14e86f</t>
        </is>
      </c>
      <c r="C2168" t="inlineStr">
        <is>
          <t>[InfoSecurityMagazine] Multifaceted Phishing Scheme Deceives Bitpanda Customers | Keywords: phishing | Phishing attack mimicking Bitpanda targets users, harvesting credentials and personal information</t>
        </is>
      </c>
      <c r="D2168" t="n">
        <v>5</v>
      </c>
      <c r="E2168" t="inlineStr">
        <is>
          <t>MEDIUM</t>
        </is>
      </c>
      <c r="F2168" t="n">
        <v>2</v>
      </c>
      <c r="G2168" t="n">
        <v>1</v>
      </c>
      <c r="H2168" t="inlineStr">
        <is>
          <t>LOW</t>
        </is>
      </c>
      <c r="I2168" t="n">
        <v>7</v>
      </c>
      <c r="J2168" t="inlineStr">
        <is>
          <t>NO</t>
        </is>
      </c>
      <c r="K2168" t="inlineStr">
        <is>
          <t>2026-02-24 16:05</t>
        </is>
      </c>
      <c r="L2168" t="inlineStr">
        <is>
          <t>Monitor</t>
        </is>
      </c>
      <c r="M2168" t="inlineStr">
        <is>
          <t>Varies - see article</t>
        </is>
      </c>
      <c r="N2168" t="inlineStr">
        <is>
          <t>P4</t>
        </is>
      </c>
      <c r="O2168" t="inlineStr">
        <is>
          <t>News alert - no IP context</t>
        </is>
      </c>
      <c r="P2168" t="n">
        <v>0</v>
      </c>
      <c r="Q2168" t="n">
        <v>0</v>
      </c>
      <c r="R2168" t="inlineStr">
        <is>
          <t>See article for technique context</t>
        </is>
      </c>
      <c r="S2168" t="n">
        <v>1</v>
      </c>
      <c r="T2168" t="inlineStr">
        <is>
          <t>LOW (40%)</t>
        </is>
      </c>
      <c r="U2168" t="inlineStr">
        <is>
          <t>NONE</t>
        </is>
      </c>
      <c r="V2168" t="inlineStr">
        <is>
          <t>NONE</t>
        </is>
      </c>
      <c r="W2168" t="inlineStr">
        <is>
          <t>NONE</t>
        </is>
      </c>
      <c r="X2168" t="inlineStr">
        <is>
          <t>NONE</t>
        </is>
      </c>
      <c r="Y2168" t="n">
        <v>0</v>
      </c>
      <c r="Z2168" t="inlineStr">
        <is>
          <t>Multifaceted Phishing Scheme Deceives Bitpanda Customers</t>
        </is>
      </c>
      <c r="AA2168" t="inlineStr">
        <is>
          <t>https://www.infosecurity-magazine.com/news/bitpanda-mfa-phishing-scheme/</t>
        </is>
      </c>
    </row>
    <row r="2169">
      <c r="A2169" t="inlineStr">
        <is>
          <t>NEWS_ALERT</t>
        </is>
      </c>
      <c r="B2169" t="inlineStr">
        <is>
          <t>a5f3c1df0f58</t>
        </is>
      </c>
      <c r="C2169" t="inlineStr">
        <is>
          <t>[InfoSecurityMagazine] North Korean Lazarus Group Expands Ransomware Activity With Medusa | Keywords: ransomware | Ransomware Medusa linked to North Korean hackers targets US healthcare amid ongoing attacks</t>
        </is>
      </c>
      <c r="D2169" t="n">
        <v>5</v>
      </c>
      <c r="E2169" t="inlineStr">
        <is>
          <t>MEDIUM</t>
        </is>
      </c>
      <c r="F2169" t="n">
        <v>2</v>
      </c>
      <c r="G2169" t="n">
        <v>1</v>
      </c>
      <c r="H2169" t="inlineStr">
        <is>
          <t>LOW</t>
        </is>
      </c>
      <c r="I2169" t="n">
        <v>7</v>
      </c>
      <c r="J2169" t="inlineStr">
        <is>
          <t>NO</t>
        </is>
      </c>
      <c r="K2169" t="inlineStr">
        <is>
          <t>2026-02-24 14:30</t>
        </is>
      </c>
      <c r="L2169" t="inlineStr">
        <is>
          <t>Monitor</t>
        </is>
      </c>
      <c r="M2169" t="inlineStr">
        <is>
          <t>Varies - see article</t>
        </is>
      </c>
      <c r="N2169" t="inlineStr">
        <is>
          <t>P4</t>
        </is>
      </c>
      <c r="O2169" t="inlineStr">
        <is>
          <t>News alert - no IP context</t>
        </is>
      </c>
      <c r="P2169" t="n">
        <v>0</v>
      </c>
      <c r="Q2169" t="n">
        <v>0</v>
      </c>
      <c r="R2169" t="inlineStr">
        <is>
          <t>See article for technique context</t>
        </is>
      </c>
      <c r="S2169" t="n">
        <v>1</v>
      </c>
      <c r="T2169" t="inlineStr">
        <is>
          <t>LOW (40%)</t>
        </is>
      </c>
      <c r="U2169" t="inlineStr">
        <is>
          <t>NONE</t>
        </is>
      </c>
      <c r="V2169" t="inlineStr">
        <is>
          <t>NONE</t>
        </is>
      </c>
      <c r="W2169" t="inlineStr">
        <is>
          <t>NONE</t>
        </is>
      </c>
      <c r="X2169" t="inlineStr">
        <is>
          <t>NONE</t>
        </is>
      </c>
      <c r="Y2169" t="n">
        <v>0</v>
      </c>
      <c r="Z2169" t="inlineStr">
        <is>
          <t>North Korean Lazarus Group Expands Ransomware Activity With Medusa</t>
        </is>
      </c>
      <c r="AA2169" t="inlineStr">
        <is>
          <t>https://www.infosecurity-magazine.com/news/north-korean-lazarus-group-medusa/</t>
        </is>
      </c>
    </row>
    <row r="2170">
      <c r="A2170" t="inlineStr">
        <is>
          <t>NEWS_ALERT</t>
        </is>
      </c>
      <c r="B2170" t="inlineStr">
        <is>
          <t>75935f41b40b</t>
        </is>
      </c>
      <c r="C2170" t="inlineStr">
        <is>
          <t>[InfoSecurityMagazine] Shai-Hulud-Like Worm Targets Developers via npm and AI Tools | Keywords: malware, supply chain | Supply chain worm mimicking Shai-Hulud malware spread via malicious npm packages, targeting AI tools has been identified by security researchers</t>
        </is>
      </c>
      <c r="D2170" t="n">
        <v>5</v>
      </c>
      <c r="E2170" t="inlineStr">
        <is>
          <t>MEDIUM</t>
        </is>
      </c>
      <c r="F2170" t="n">
        <v>2</v>
      </c>
      <c r="G2170" t="n">
        <v>1</v>
      </c>
      <c r="H2170" t="inlineStr">
        <is>
          <t>LOW</t>
        </is>
      </c>
      <c r="I2170" t="n">
        <v>7</v>
      </c>
      <c r="J2170" t="inlineStr">
        <is>
          <t>NO</t>
        </is>
      </c>
      <c r="K2170" t="inlineStr">
        <is>
          <t>2026-02-23 16:00</t>
        </is>
      </c>
      <c r="L2170" t="inlineStr">
        <is>
          <t>Monitor</t>
        </is>
      </c>
      <c r="M2170" t="inlineStr">
        <is>
          <t>Varies - see article</t>
        </is>
      </c>
      <c r="N2170" t="inlineStr">
        <is>
          <t>P4</t>
        </is>
      </c>
      <c r="O2170" t="inlineStr">
        <is>
          <t>News alert - no IP context</t>
        </is>
      </c>
      <c r="P2170" t="n">
        <v>0</v>
      </c>
      <c r="Q2170" t="n">
        <v>0</v>
      </c>
      <c r="R2170" t="inlineStr">
        <is>
          <t>See article for technique context</t>
        </is>
      </c>
      <c r="S2170" t="n">
        <v>1</v>
      </c>
      <c r="T2170" t="inlineStr">
        <is>
          <t>LOW (40%)</t>
        </is>
      </c>
      <c r="U2170" t="inlineStr">
        <is>
          <t>NONE</t>
        </is>
      </c>
      <c r="V2170" t="inlineStr">
        <is>
          <t>NONE</t>
        </is>
      </c>
      <c r="W2170" t="inlineStr">
        <is>
          <t>NONE</t>
        </is>
      </c>
      <c r="X2170" t="inlineStr">
        <is>
          <t>NONE</t>
        </is>
      </c>
      <c r="Y2170" t="n">
        <v>0</v>
      </c>
      <c r="Z2170" t="inlineStr">
        <is>
          <t>Shai-Hulud-Like Worm Targets Developers via npm and AI Tools</t>
        </is>
      </c>
      <c r="AA2170" t="inlineStr">
        <is>
          <t>https://www.infosecurity-magazine.com/news/shai-hulud-like-worm-devs-npm-ai/</t>
        </is>
      </c>
    </row>
    <row r="2171">
      <c r="A2171" t="inlineStr">
        <is>
          <t>NEWS_ALERT</t>
        </is>
      </c>
      <c r="B2171" t="inlineStr">
        <is>
          <t>da4894bed38c</t>
        </is>
      </c>
      <c r="C2171" t="inlineStr">
        <is>
          <t>[InfoSecurityMagazine] Fraud Investigation Reveals Sophisticated Python Malware | Keywords: malware, malware | Sophisticated Python malware uncovered in fraud probe shows obfuscation, disposable infrastructure</t>
        </is>
      </c>
      <c r="D2171" t="n">
        <v>5</v>
      </c>
      <c r="E2171" t="inlineStr">
        <is>
          <t>MEDIUM</t>
        </is>
      </c>
      <c r="F2171" t="n">
        <v>2</v>
      </c>
      <c r="G2171" t="n">
        <v>1</v>
      </c>
      <c r="H2171" t="inlineStr">
        <is>
          <t>LOW</t>
        </is>
      </c>
      <c r="I2171" t="n">
        <v>7</v>
      </c>
      <c r="J2171" t="inlineStr">
        <is>
          <t>NO</t>
        </is>
      </c>
      <c r="K2171" t="inlineStr">
        <is>
          <t>2026-02-23 15:30</t>
        </is>
      </c>
      <c r="L2171" t="inlineStr">
        <is>
          <t>Monitor</t>
        </is>
      </c>
      <c r="M2171" t="inlineStr">
        <is>
          <t>Varies - see article</t>
        </is>
      </c>
      <c r="N2171" t="inlineStr">
        <is>
          <t>P4</t>
        </is>
      </c>
      <c r="O2171" t="inlineStr">
        <is>
          <t>News alert - no IP context</t>
        </is>
      </c>
      <c r="P2171" t="n">
        <v>0</v>
      </c>
      <c r="Q2171" t="n">
        <v>0</v>
      </c>
      <c r="R2171" t="inlineStr">
        <is>
          <t>See article for technique context</t>
        </is>
      </c>
      <c r="S2171" t="n">
        <v>1</v>
      </c>
      <c r="T2171" t="inlineStr">
        <is>
          <t>LOW (40%)</t>
        </is>
      </c>
      <c r="U2171" t="inlineStr">
        <is>
          <t>NONE</t>
        </is>
      </c>
      <c r="V2171" t="inlineStr">
        <is>
          <t>NONE</t>
        </is>
      </c>
      <c r="W2171" t="inlineStr">
        <is>
          <t>NONE</t>
        </is>
      </c>
      <c r="X2171" t="inlineStr">
        <is>
          <t>NONE</t>
        </is>
      </c>
      <c r="Y2171" t="n">
        <v>0</v>
      </c>
      <c r="Z2171" t="inlineStr">
        <is>
          <t>Fraud Investigation Reveals Sophisticated Python Malware</t>
        </is>
      </c>
      <c r="AA2171" t="inlineStr">
        <is>
          <t>https://www.infosecurity-magazine.com/news/fraud-investigation-python-malware/</t>
        </is>
      </c>
    </row>
    <row r="2172">
      <c r="A2172" t="inlineStr">
        <is>
          <t>NEWS_ALERT</t>
        </is>
      </c>
      <c r="B2172" t="inlineStr">
        <is>
          <t>7d5ad9fea583</t>
        </is>
      </c>
      <c r="C2172" t="inlineStr">
        <is>
          <t>[InfoSecurityMagazine] Russian Cyber Threat Actor Uses GenAI to Compromise Fortinet Firewalls | Keywords: threat actor | A low-skilled Russian-speaking attacker has used GenAI tools to help deploy a successful attack workflow targeting FortiGate instances</t>
        </is>
      </c>
      <c r="D2172" t="n">
        <v>5</v>
      </c>
      <c r="E2172" t="inlineStr">
        <is>
          <t>MEDIUM</t>
        </is>
      </c>
      <c r="F2172" t="n">
        <v>2</v>
      </c>
      <c r="G2172" t="n">
        <v>1</v>
      </c>
      <c r="H2172" t="inlineStr">
        <is>
          <t>LOW</t>
        </is>
      </c>
      <c r="I2172" t="n">
        <v>7</v>
      </c>
      <c r="J2172" t="inlineStr">
        <is>
          <t>NO</t>
        </is>
      </c>
      <c r="K2172" t="inlineStr">
        <is>
          <t>2026-02-23 12:30</t>
        </is>
      </c>
      <c r="L2172" t="inlineStr">
        <is>
          <t>Monitor</t>
        </is>
      </c>
      <c r="M2172" t="inlineStr">
        <is>
          <t>Varies - see article</t>
        </is>
      </c>
      <c r="N2172" t="inlineStr">
        <is>
          <t>P4</t>
        </is>
      </c>
      <c r="O2172" t="inlineStr">
        <is>
          <t>News alert - no IP context</t>
        </is>
      </c>
      <c r="P2172" t="n">
        <v>0</v>
      </c>
      <c r="Q2172" t="n">
        <v>0</v>
      </c>
      <c r="R2172" t="inlineStr">
        <is>
          <t>See article for technique context</t>
        </is>
      </c>
      <c r="S2172" t="n">
        <v>1</v>
      </c>
      <c r="T2172" t="inlineStr">
        <is>
          <t>LOW (40%)</t>
        </is>
      </c>
      <c r="U2172" t="inlineStr">
        <is>
          <t>NONE</t>
        </is>
      </c>
      <c r="V2172" t="inlineStr">
        <is>
          <t>NONE</t>
        </is>
      </c>
      <c r="W2172" t="inlineStr">
        <is>
          <t>NONE</t>
        </is>
      </c>
      <c r="X2172" t="inlineStr">
        <is>
          <t>NONE</t>
        </is>
      </c>
      <c r="Y2172" t="n">
        <v>0</v>
      </c>
      <c r="Z2172" t="inlineStr">
        <is>
          <t>Russian Cyber Threat Actor Uses GenAI to Compromise Fortinet Firewalls</t>
        </is>
      </c>
      <c r="AA2172" t="inlineStr">
        <is>
          <t>https://www.infosecurity-magazine.com/news/russian-threat-actor-genai/</t>
        </is>
      </c>
    </row>
    <row r="2173">
      <c r="A2173" t="inlineStr">
        <is>
          <t>NEWS_ALERT</t>
        </is>
      </c>
      <c r="B2173" t="inlineStr">
        <is>
          <t>339188906a52</t>
        </is>
      </c>
      <c r="C2173" t="inlineStr">
        <is>
          <t>[InfoSecurityMagazine] Leading Semiconductor Supplier Advantest Hit by Ransomware Attack | Keywords: ransomware | Advantest, a Japanese specialist in testing computer chips for major semiconductor manufacturers, has deployed incident response protocols following a</t>
        </is>
      </c>
      <c r="D2173" t="n">
        <v>5</v>
      </c>
      <c r="E2173" t="inlineStr">
        <is>
          <t>MEDIUM</t>
        </is>
      </c>
      <c r="F2173" t="n">
        <v>2</v>
      </c>
      <c r="G2173" t="n">
        <v>1</v>
      </c>
      <c r="H2173" t="inlineStr">
        <is>
          <t>LOW</t>
        </is>
      </c>
      <c r="I2173" t="n">
        <v>7</v>
      </c>
      <c r="J2173" t="inlineStr">
        <is>
          <t>NO</t>
        </is>
      </c>
      <c r="K2173" t="inlineStr">
        <is>
          <t>2026-02-23 11:30</t>
        </is>
      </c>
      <c r="L2173" t="inlineStr">
        <is>
          <t>Monitor</t>
        </is>
      </c>
      <c r="M2173" t="inlineStr">
        <is>
          <t>Varies - see article</t>
        </is>
      </c>
      <c r="N2173" t="inlineStr">
        <is>
          <t>P4</t>
        </is>
      </c>
      <c r="O2173" t="inlineStr">
        <is>
          <t>News alert - no IP context</t>
        </is>
      </c>
      <c r="P2173" t="n">
        <v>0</v>
      </c>
      <c r="Q2173" t="n">
        <v>0</v>
      </c>
      <c r="R2173" t="inlineStr">
        <is>
          <t>See article for technique context</t>
        </is>
      </c>
      <c r="S2173" t="n">
        <v>1</v>
      </c>
      <c r="T2173" t="inlineStr">
        <is>
          <t>LOW (40%)</t>
        </is>
      </c>
      <c r="U2173" t="inlineStr">
        <is>
          <t>NONE</t>
        </is>
      </c>
      <c r="V2173" t="inlineStr">
        <is>
          <t>NONE</t>
        </is>
      </c>
      <c r="W2173" t="inlineStr">
        <is>
          <t>NONE</t>
        </is>
      </c>
      <c r="X2173" t="inlineStr">
        <is>
          <t>NONE</t>
        </is>
      </c>
      <c r="Y2173" t="n">
        <v>0</v>
      </c>
      <c r="Z2173" t="inlineStr">
        <is>
          <t>Leading Semiconductor Supplier Advantest Hit by Ransomware Attack</t>
        </is>
      </c>
      <c r="AA2173" t="inlineStr">
        <is>
          <t>https://www.infosecurity-magazine.com/news/advantest-ransomware-attack/</t>
        </is>
      </c>
    </row>
    <row r="2174">
      <c r="A2174" t="inlineStr">
        <is>
          <t>NEWS_ALERT</t>
        </is>
      </c>
      <c r="B2174" t="inlineStr">
        <is>
          <t>bbba403a9ba9</t>
        </is>
      </c>
      <c r="C2174" t="inlineStr">
        <is>
          <t>[InfoSecurityMagazine] University of Mississippi Medical Center Still Offline After Ransomware Attack | Keywords: ransomware, ransomware | University of Mississippi Medical Center is still scrambling to respond to a ransomware attack last Thursday</t>
        </is>
      </c>
      <c r="D2174" t="n">
        <v>5</v>
      </c>
      <c r="E2174" t="inlineStr">
        <is>
          <t>MEDIUM</t>
        </is>
      </c>
      <c r="F2174" t="n">
        <v>2</v>
      </c>
      <c r="G2174" t="n">
        <v>1</v>
      </c>
      <c r="H2174" t="inlineStr">
        <is>
          <t>LOW</t>
        </is>
      </c>
      <c r="I2174" t="n">
        <v>7</v>
      </c>
      <c r="J2174" t="inlineStr">
        <is>
          <t>NO</t>
        </is>
      </c>
      <c r="K2174" t="inlineStr">
        <is>
          <t>2026-02-23 08:30</t>
        </is>
      </c>
      <c r="L2174" t="inlineStr">
        <is>
          <t>Monitor</t>
        </is>
      </c>
      <c r="M2174" t="inlineStr">
        <is>
          <t>Varies - see article</t>
        </is>
      </c>
      <c r="N2174" t="inlineStr">
        <is>
          <t>P4</t>
        </is>
      </c>
      <c r="O2174" t="inlineStr">
        <is>
          <t>News alert - no IP context</t>
        </is>
      </c>
      <c r="P2174" t="n">
        <v>0</v>
      </c>
      <c r="Q2174" t="n">
        <v>0</v>
      </c>
      <c r="R2174" t="inlineStr">
        <is>
          <t>See article for technique context</t>
        </is>
      </c>
      <c r="S2174" t="n">
        <v>1</v>
      </c>
      <c r="T2174" t="inlineStr">
        <is>
          <t>LOW (40%)</t>
        </is>
      </c>
      <c r="U2174" t="inlineStr">
        <is>
          <t>NONE</t>
        </is>
      </c>
      <c r="V2174" t="inlineStr">
        <is>
          <t>NONE</t>
        </is>
      </c>
      <c r="W2174" t="inlineStr">
        <is>
          <t>NONE</t>
        </is>
      </c>
      <c r="X2174" t="inlineStr">
        <is>
          <t>NONE</t>
        </is>
      </c>
      <c r="Y2174" t="n">
        <v>0</v>
      </c>
      <c r="Z2174" t="inlineStr">
        <is>
          <t>University of Mississippi Medical Center Still Offline After Ransomware Attack</t>
        </is>
      </c>
      <c r="AA2174" t="inlineStr">
        <is>
          <t>https://www.infosecurity-magazine.com/news/university-mississippi-medical/</t>
        </is>
      </c>
    </row>
    <row r="2175">
      <c r="A2175" t="inlineStr">
        <is>
          <t>NEWS_ALERT</t>
        </is>
      </c>
      <c r="B2175" t="inlineStr">
        <is>
          <t>cf1a85460441</t>
        </is>
      </c>
      <c r="C2175" t="inlineStr">
        <is>
          <t>[SANS-ISC-RSS] Another day, another malicious JPEG, (Mon, Feb 23rd) | Keywords: malware | In his last two diaries, Xavier discussed recent malware campaigns that download JPEG files with embedded malicious payload&amp;#x5b; 1 , 2 &amp;#x5d;. At tha</t>
        </is>
      </c>
      <c r="D2175" t="n">
        <v>5</v>
      </c>
      <c r="E2175" t="inlineStr">
        <is>
          <t>MEDIUM</t>
        </is>
      </c>
      <c r="F2175" t="n">
        <v>2</v>
      </c>
      <c r="G2175" t="n">
        <v>1</v>
      </c>
      <c r="H2175" t="inlineStr">
        <is>
          <t>LOW</t>
        </is>
      </c>
      <c r="I2175" t="n">
        <v>7</v>
      </c>
      <c r="J2175" t="inlineStr">
        <is>
          <t>NO</t>
        </is>
      </c>
      <c r="K2175" t="inlineStr">
        <is>
          <t>2026-02-23 14:26</t>
        </is>
      </c>
      <c r="L2175" t="inlineStr">
        <is>
          <t>Monitor</t>
        </is>
      </c>
      <c r="M2175" t="inlineStr">
        <is>
          <t>Varies - see article</t>
        </is>
      </c>
      <c r="N2175" t="inlineStr">
        <is>
          <t>P4</t>
        </is>
      </c>
      <c r="O2175" t="inlineStr">
        <is>
          <t>News alert - no IP context</t>
        </is>
      </c>
      <c r="P2175" t="n">
        <v>0</v>
      </c>
      <c r="Q2175" t="n">
        <v>0</v>
      </c>
      <c r="R2175" t="inlineStr">
        <is>
          <t>See article for technique context</t>
        </is>
      </c>
      <c r="S2175" t="n">
        <v>1</v>
      </c>
      <c r="T2175" t="inlineStr">
        <is>
          <t>LOW (40%)</t>
        </is>
      </c>
      <c r="U2175" t="inlineStr">
        <is>
          <t>NONE</t>
        </is>
      </c>
      <c r="V2175" t="inlineStr">
        <is>
          <t>NONE</t>
        </is>
      </c>
      <c r="W2175" t="inlineStr">
        <is>
          <t>NONE</t>
        </is>
      </c>
      <c r="X2175" t="inlineStr">
        <is>
          <t>NONE</t>
        </is>
      </c>
      <c r="Y2175" t="n">
        <v>0</v>
      </c>
      <c r="Z2175" t="inlineStr">
        <is>
          <t>Another day, another malicious JPEG, (Mon, Feb 23rd)</t>
        </is>
      </c>
      <c r="AA2175" t="inlineStr">
        <is>
          <t>https://isc.sans.edu/diary/rss/32738</t>
        </is>
      </c>
    </row>
    <row r="2176">
      <c r="A2176" t="inlineStr">
        <is>
          <t>NEWS_ALERT</t>
        </is>
      </c>
      <c r="B2176" t="inlineStr">
        <is>
          <t>2d65ba1a4920</t>
        </is>
      </c>
      <c r="C2176" t="inlineStr">
        <is>
          <t>[SecurityWeek] The Blast Radius Problem: Stolen Credentials Are Weaponizing Agentic AI | Keywords: exploitation | More than half (56%) of the 400,000 vulnerabilities IBM X-Force tracked in 2025 required no authentication before exploitation. The post The Blast Rad</t>
        </is>
      </c>
      <c r="D2176" t="n">
        <v>5</v>
      </c>
      <c r="E2176" t="inlineStr">
        <is>
          <t>MEDIUM</t>
        </is>
      </c>
      <c r="F2176" t="n">
        <v>2</v>
      </c>
      <c r="G2176" t="n">
        <v>1</v>
      </c>
      <c r="H2176" t="inlineStr">
        <is>
          <t>LOW</t>
        </is>
      </c>
      <c r="I2176" t="n">
        <v>7</v>
      </c>
      <c r="J2176" t="inlineStr">
        <is>
          <t>NO</t>
        </is>
      </c>
      <c r="K2176" t="inlineStr">
        <is>
          <t>2026-02-25 16:16</t>
        </is>
      </c>
      <c r="L2176" t="inlineStr">
        <is>
          <t>Monitor</t>
        </is>
      </c>
      <c r="M2176" t="inlineStr">
        <is>
          <t>Varies - see article</t>
        </is>
      </c>
      <c r="N2176" t="inlineStr">
        <is>
          <t>P4</t>
        </is>
      </c>
      <c r="O2176" t="inlineStr">
        <is>
          <t>News alert - no IP context</t>
        </is>
      </c>
      <c r="P2176" t="n">
        <v>0</v>
      </c>
      <c r="Q2176" t="n">
        <v>0</v>
      </c>
      <c r="R2176" t="inlineStr">
        <is>
          <t>See article for technique context</t>
        </is>
      </c>
      <c r="S2176" t="n">
        <v>1</v>
      </c>
      <c r="T2176" t="inlineStr">
        <is>
          <t>LOW (40%)</t>
        </is>
      </c>
      <c r="U2176" t="inlineStr">
        <is>
          <t>NONE</t>
        </is>
      </c>
      <c r="V2176" t="inlineStr">
        <is>
          <t>NONE</t>
        </is>
      </c>
      <c r="W2176" t="inlineStr">
        <is>
          <t>NONE</t>
        </is>
      </c>
      <c r="X2176" t="inlineStr">
        <is>
          <t>NONE</t>
        </is>
      </c>
      <c r="Y2176" t="n">
        <v>0</v>
      </c>
      <c r="Z2176" t="inlineStr">
        <is>
          <t>The Blast Radius Problem: Stolen Credentials Are Weaponizing Agentic AI</t>
        </is>
      </c>
      <c r="AA2176" t="inlineStr">
        <is>
          <t>https://www.securityweek.com/the-blast-radius-problem-stolen-credentials-are-weaponizing-agentic-ai/</t>
        </is>
      </c>
    </row>
    <row r="2177">
      <c r="A2177" t="inlineStr">
        <is>
          <t>NEWS_ALERT</t>
        </is>
      </c>
      <c r="B2177" t="inlineStr">
        <is>
          <t>3ba41461a14e</t>
        </is>
      </c>
      <c r="C2177" t="inlineStr">
        <is>
          <t>[SecurityWeek] Google Disrupts Chinese Hackers Targeting Telecoms, Governments | Keywords: threat actor | The UNC2814 threat actor has been active since at least 2017, targeting organizations across 42 countries. The post Google Disrupts Chinese Hackers Ta</t>
        </is>
      </c>
      <c r="D2177" t="n">
        <v>5</v>
      </c>
      <c r="E2177" t="inlineStr">
        <is>
          <t>MEDIUM</t>
        </is>
      </c>
      <c r="F2177" t="n">
        <v>2</v>
      </c>
      <c r="G2177" t="n">
        <v>1</v>
      </c>
      <c r="H2177" t="inlineStr">
        <is>
          <t>LOW</t>
        </is>
      </c>
      <c r="I2177" t="n">
        <v>7</v>
      </c>
      <c r="J2177" t="inlineStr">
        <is>
          <t>NO</t>
        </is>
      </c>
      <c r="K2177" t="inlineStr">
        <is>
          <t>2026-02-25 16:01</t>
        </is>
      </c>
      <c r="L2177" t="inlineStr">
        <is>
          <t>Monitor</t>
        </is>
      </c>
      <c r="M2177" t="inlineStr">
        <is>
          <t>Varies - see article</t>
        </is>
      </c>
      <c r="N2177" t="inlineStr">
        <is>
          <t>P4</t>
        </is>
      </c>
      <c r="O2177" t="inlineStr">
        <is>
          <t>News alert - no IP context</t>
        </is>
      </c>
      <c r="P2177" t="n">
        <v>0</v>
      </c>
      <c r="Q2177" t="n">
        <v>0</v>
      </c>
      <c r="R2177" t="inlineStr">
        <is>
          <t>See article for technique context</t>
        </is>
      </c>
      <c r="S2177" t="n">
        <v>1</v>
      </c>
      <c r="T2177" t="inlineStr">
        <is>
          <t>LOW (40%)</t>
        </is>
      </c>
      <c r="U2177" t="inlineStr">
        <is>
          <t>NONE</t>
        </is>
      </c>
      <c r="V2177" t="inlineStr">
        <is>
          <t>NONE</t>
        </is>
      </c>
      <c r="W2177" t="inlineStr">
        <is>
          <t>NONE</t>
        </is>
      </c>
      <c r="X2177" t="inlineStr">
        <is>
          <t>NONE</t>
        </is>
      </c>
      <c r="Y2177" t="n">
        <v>0</v>
      </c>
      <c r="Z2177" t="inlineStr">
        <is>
          <t>Google Disrupts Chinese Hackers Targeting Telecoms, Governments</t>
        </is>
      </c>
      <c r="AA2177" t="inlineStr">
        <is>
          <t>https://www.securityweek.com/google-disrupts-chinese-cyberespionage-campaign-targeting-telecoms-governments/</t>
        </is>
      </c>
    </row>
    <row r="2178">
      <c r="A2178" t="inlineStr">
        <is>
          <t>NEWS_ALERT</t>
        </is>
      </c>
      <c r="B2178" t="inlineStr">
        <is>
          <t>fdcd9e1fba53</t>
        </is>
      </c>
      <c r="C2178" t="inlineStr">
        <is>
          <t>[SecurityWeek] SolarWinds Patches Four Critical Serv-U Vulnerabilities | Keywords: exploited, remote code | The four security defects could be exploited for remote code execution but require administrative privileges. The post SolarWinds Patches Four Critica</t>
        </is>
      </c>
      <c r="D2178" t="n">
        <v>5</v>
      </c>
      <c r="E2178" t="inlineStr">
        <is>
          <t>MEDIUM</t>
        </is>
      </c>
      <c r="F2178" t="n">
        <v>2</v>
      </c>
      <c r="G2178" t="n">
        <v>1</v>
      </c>
      <c r="H2178" t="inlineStr">
        <is>
          <t>LOW</t>
        </is>
      </c>
      <c r="I2178" t="n">
        <v>7</v>
      </c>
      <c r="J2178" t="inlineStr">
        <is>
          <t>NO</t>
        </is>
      </c>
      <c r="K2178" t="inlineStr">
        <is>
          <t>2026-02-25 15:30</t>
        </is>
      </c>
      <c r="L2178" t="inlineStr">
        <is>
          <t>Monitor</t>
        </is>
      </c>
      <c r="M2178" t="inlineStr">
        <is>
          <t>Varies - see article</t>
        </is>
      </c>
      <c r="N2178" t="inlineStr">
        <is>
          <t>P4</t>
        </is>
      </c>
      <c r="O2178" t="inlineStr">
        <is>
          <t>News alert - no IP context</t>
        </is>
      </c>
      <c r="P2178" t="n">
        <v>0</v>
      </c>
      <c r="Q2178" t="n">
        <v>0</v>
      </c>
      <c r="R2178" t="inlineStr">
        <is>
          <t>See article for technique context</t>
        </is>
      </c>
      <c r="S2178" t="n">
        <v>1</v>
      </c>
      <c r="T2178" t="inlineStr">
        <is>
          <t>LOW (40%)</t>
        </is>
      </c>
      <c r="U2178" t="inlineStr">
        <is>
          <t>NONE</t>
        </is>
      </c>
      <c r="V2178" t="inlineStr">
        <is>
          <t>NONE</t>
        </is>
      </c>
      <c r="W2178" t="inlineStr">
        <is>
          <t>NONE</t>
        </is>
      </c>
      <c r="X2178" t="inlineStr">
        <is>
          <t>NONE</t>
        </is>
      </c>
      <c r="Y2178" t="n">
        <v>0</v>
      </c>
      <c r="Z2178" t="inlineStr">
        <is>
          <t>SolarWinds Patches Four Critical Serv-U Vulnerabilities</t>
        </is>
      </c>
      <c r="AA2178" t="inlineStr">
        <is>
          <t>https://www.securityweek.com/solarwinds-patches-four-critical-serv-u-vulnerabilities/</t>
        </is>
      </c>
    </row>
    <row r="2179">
      <c r="A2179" t="inlineStr">
        <is>
          <t>NEWS_ALERT</t>
        </is>
      </c>
      <c r="B2179" t="inlineStr">
        <is>
          <t>0394af7480c0</t>
        </is>
      </c>
      <c r="C2179" t="inlineStr">
        <is>
          <t>[SecurityWeek] Medical Device Maker UFP Technologies Hit by Cyberattack | Keywords: malware, ransomware | UFP Technologies appears to have been targeted in a ransomware attack that involved data theft and file-encrypting malware. The post Medical Device Ma</t>
        </is>
      </c>
      <c r="D2179" t="n">
        <v>5</v>
      </c>
      <c r="E2179" t="inlineStr">
        <is>
          <t>MEDIUM</t>
        </is>
      </c>
      <c r="F2179" t="n">
        <v>2</v>
      </c>
      <c r="G2179" t="n">
        <v>1</v>
      </c>
      <c r="H2179" t="inlineStr">
        <is>
          <t>LOW</t>
        </is>
      </c>
      <c r="I2179" t="n">
        <v>7</v>
      </c>
      <c r="J2179" t="inlineStr">
        <is>
          <t>NO</t>
        </is>
      </c>
      <c r="K2179" t="inlineStr">
        <is>
          <t>2026-02-25 13:40</t>
        </is>
      </c>
      <c r="L2179" t="inlineStr">
        <is>
          <t>Monitor</t>
        </is>
      </c>
      <c r="M2179" t="inlineStr">
        <is>
          <t>Varies - see article</t>
        </is>
      </c>
      <c r="N2179" t="inlineStr">
        <is>
          <t>P4</t>
        </is>
      </c>
      <c r="O2179" t="inlineStr">
        <is>
          <t>News alert - no IP context</t>
        </is>
      </c>
      <c r="P2179" t="n">
        <v>0</v>
      </c>
      <c r="Q2179" t="n">
        <v>0</v>
      </c>
      <c r="R2179" t="inlineStr">
        <is>
          <t>See article for technique context</t>
        </is>
      </c>
      <c r="S2179" t="n">
        <v>1</v>
      </c>
      <c r="T2179" t="inlineStr">
        <is>
          <t>LOW (40%)</t>
        </is>
      </c>
      <c r="U2179" t="inlineStr">
        <is>
          <t>NONE</t>
        </is>
      </c>
      <c r="V2179" t="inlineStr">
        <is>
          <t>NONE</t>
        </is>
      </c>
      <c r="W2179" t="inlineStr">
        <is>
          <t>NONE</t>
        </is>
      </c>
      <c r="X2179" t="inlineStr">
        <is>
          <t>NONE</t>
        </is>
      </c>
      <c r="Y2179" t="n">
        <v>0</v>
      </c>
      <c r="Z2179" t="inlineStr">
        <is>
          <t>Medical Device Maker UFP Technologies Hit by Cyberattack</t>
        </is>
      </c>
      <c r="AA2179" t="inlineStr">
        <is>
          <t>https://www.securityweek.com/medical-device-maker-ufp-technologies-hit-by-cyberattack/</t>
        </is>
      </c>
    </row>
    <row r="2180">
      <c r="A2180" t="inlineStr">
        <is>
          <t>NEWS_ALERT</t>
        </is>
      </c>
      <c r="B2180" t="inlineStr">
        <is>
          <t>aebe5421c60c</t>
        </is>
      </c>
      <c r="C2180" t="inlineStr">
        <is>
          <t>[SecurityWeek] CarGurus Data Breach Impacts Over 12 Million Users | Keywords: breach | Hackers claim to have stolen personally identifiable information and internal corporate data from the automotive firm. The post CarGurus Data Breach I</t>
        </is>
      </c>
      <c r="D2180" t="n">
        <v>5</v>
      </c>
      <c r="E2180" t="inlineStr">
        <is>
          <t>MEDIUM</t>
        </is>
      </c>
      <c r="F2180" t="n">
        <v>2</v>
      </c>
      <c r="G2180" t="n">
        <v>1</v>
      </c>
      <c r="H2180" t="inlineStr">
        <is>
          <t>LOW</t>
        </is>
      </c>
      <c r="I2180" t="n">
        <v>7</v>
      </c>
      <c r="J2180" t="inlineStr">
        <is>
          <t>NO</t>
        </is>
      </c>
      <c r="K2180" t="inlineStr">
        <is>
          <t>2026-02-25 12:30</t>
        </is>
      </c>
      <c r="L2180" t="inlineStr">
        <is>
          <t>Monitor</t>
        </is>
      </c>
      <c r="M2180" t="inlineStr">
        <is>
          <t>Varies - see article</t>
        </is>
      </c>
      <c r="N2180" t="inlineStr">
        <is>
          <t>P4</t>
        </is>
      </c>
      <c r="O2180" t="inlineStr">
        <is>
          <t>News alert - no IP context</t>
        </is>
      </c>
      <c r="P2180" t="n">
        <v>0</v>
      </c>
      <c r="Q2180" t="n">
        <v>0</v>
      </c>
      <c r="R2180" t="inlineStr">
        <is>
          <t>See article for technique context</t>
        </is>
      </c>
      <c r="S2180" t="n">
        <v>1</v>
      </c>
      <c r="T2180" t="inlineStr">
        <is>
          <t>LOW (40%)</t>
        </is>
      </c>
      <c r="U2180" t="inlineStr">
        <is>
          <t>NONE</t>
        </is>
      </c>
      <c r="V2180" t="inlineStr">
        <is>
          <t>NONE</t>
        </is>
      </c>
      <c r="W2180" t="inlineStr">
        <is>
          <t>NONE</t>
        </is>
      </c>
      <c r="X2180" t="inlineStr">
        <is>
          <t>NONE</t>
        </is>
      </c>
      <c r="Y2180" t="n">
        <v>0</v>
      </c>
      <c r="Z2180" t="inlineStr">
        <is>
          <t>CarGurus Data Breach Impacts Over 12 Million Users</t>
        </is>
      </c>
      <c r="AA2180" t="inlineStr">
        <is>
          <t>https://www.securityweek.com/over-12-million-users-impacted-by-cargurus-data-breach/</t>
        </is>
      </c>
    </row>
    <row r="2181">
      <c r="A2181" t="inlineStr">
        <is>
          <t>NEWS_ALERT</t>
        </is>
      </c>
      <c r="B2181" t="inlineStr">
        <is>
          <t>87a5faee8aee</t>
        </is>
      </c>
      <c r="C2181" t="inlineStr">
        <is>
          <t>[SecurityWeek] Wynn Resorts Confirms Data Breach After Hackers Remove It From Leak Site | Keywords: breach | The high-end casino and hotel operator has admitted that employee data was stolen by ShinyHunters. The post Wynn Resorts Confirms Data Breach After Ha</t>
        </is>
      </c>
      <c r="D2181" t="n">
        <v>5</v>
      </c>
      <c r="E2181" t="inlineStr">
        <is>
          <t>MEDIUM</t>
        </is>
      </c>
      <c r="F2181" t="n">
        <v>2</v>
      </c>
      <c r="G2181" t="n">
        <v>1</v>
      </c>
      <c r="H2181" t="inlineStr">
        <is>
          <t>LOW</t>
        </is>
      </c>
      <c r="I2181" t="n">
        <v>7</v>
      </c>
      <c r="J2181" t="inlineStr">
        <is>
          <t>NO</t>
        </is>
      </c>
      <c r="K2181" t="inlineStr">
        <is>
          <t>2026-02-25 11:35</t>
        </is>
      </c>
      <c r="L2181" t="inlineStr">
        <is>
          <t>Monitor</t>
        </is>
      </c>
      <c r="M2181" t="inlineStr">
        <is>
          <t>Varies - see article</t>
        </is>
      </c>
      <c r="N2181" t="inlineStr">
        <is>
          <t>P4</t>
        </is>
      </c>
      <c r="O2181" t="inlineStr">
        <is>
          <t>News alert - no IP context</t>
        </is>
      </c>
      <c r="P2181" t="n">
        <v>0</v>
      </c>
      <c r="Q2181" t="n">
        <v>0</v>
      </c>
      <c r="R2181" t="inlineStr">
        <is>
          <t>See article for technique context</t>
        </is>
      </c>
      <c r="S2181" t="n">
        <v>1</v>
      </c>
      <c r="T2181" t="inlineStr">
        <is>
          <t>LOW (40%)</t>
        </is>
      </c>
      <c r="U2181" t="inlineStr">
        <is>
          <t>NONE</t>
        </is>
      </c>
      <c r="V2181" t="inlineStr">
        <is>
          <t>NONE</t>
        </is>
      </c>
      <c r="W2181" t="inlineStr">
        <is>
          <t>NONE</t>
        </is>
      </c>
      <c r="X2181" t="inlineStr">
        <is>
          <t>NONE</t>
        </is>
      </c>
      <c r="Y2181" t="n">
        <v>0</v>
      </c>
      <c r="Z2181" t="inlineStr">
        <is>
          <t>Wynn Resorts Confirms Data Breach After Hackers Remove It From Leak Site</t>
        </is>
      </c>
      <c r="AA2181" t="inlineStr">
        <is>
          <t>https://www.securityweek.com/wynn-resorts-confirms-data-breach-after-hackers-remove-it-from-leak-site/</t>
        </is>
      </c>
    </row>
    <row r="2182">
      <c r="A2182" t="inlineStr">
        <is>
          <t>NEWS_ALERT</t>
        </is>
      </c>
      <c r="B2182" t="inlineStr">
        <is>
          <t>8fcc1e99c11d</t>
        </is>
      </c>
      <c r="C2182" t="inlineStr">
        <is>
          <t>[HackRead] US Sanctions Russian Exploit Broker Over Stolen US Cyber Tools | Keywords: exploit | The US Treasury targets Sergey Zelenyuk and his firm Operation Zero for the illegal trade of stolen government cyber tools following the sentencing of</t>
        </is>
      </c>
      <c r="D2182" t="n">
        <v>5</v>
      </c>
      <c r="E2182" t="inlineStr">
        <is>
          <t>MEDIUM</t>
        </is>
      </c>
      <c r="F2182" t="n">
        <v>2</v>
      </c>
      <c r="G2182" t="n">
        <v>1</v>
      </c>
      <c r="H2182" t="inlineStr">
        <is>
          <t>LOW</t>
        </is>
      </c>
      <c r="I2182" t="n">
        <v>7</v>
      </c>
      <c r="J2182" t="inlineStr">
        <is>
          <t>NO</t>
        </is>
      </c>
      <c r="K2182" t="inlineStr">
        <is>
          <t>2026-02-25 19:29</t>
        </is>
      </c>
      <c r="L2182" t="inlineStr">
        <is>
          <t>Monitor</t>
        </is>
      </c>
      <c r="M2182" t="inlineStr">
        <is>
          <t>Varies - see article</t>
        </is>
      </c>
      <c r="N2182" t="inlineStr">
        <is>
          <t>P4</t>
        </is>
      </c>
      <c r="O2182" t="inlineStr">
        <is>
          <t>News alert - no IP context</t>
        </is>
      </c>
      <c r="P2182" t="n">
        <v>0</v>
      </c>
      <c r="Q2182" t="n">
        <v>0</v>
      </c>
      <c r="R2182" t="inlineStr">
        <is>
          <t>See article for technique context</t>
        </is>
      </c>
      <c r="S2182" t="n">
        <v>1</v>
      </c>
      <c r="T2182" t="inlineStr">
        <is>
          <t>LOW (40%)</t>
        </is>
      </c>
      <c r="U2182" t="inlineStr">
        <is>
          <t>NONE</t>
        </is>
      </c>
      <c r="V2182" t="inlineStr">
        <is>
          <t>NONE</t>
        </is>
      </c>
      <c r="W2182" t="inlineStr">
        <is>
          <t>NONE</t>
        </is>
      </c>
      <c r="X2182" t="inlineStr">
        <is>
          <t>NONE</t>
        </is>
      </c>
      <c r="Y2182" t="n">
        <v>0</v>
      </c>
      <c r="Z2182" t="inlineStr">
        <is>
          <t>US Sanctions Russian Exploit Broker Over Stolen US Cyber Tools</t>
        </is>
      </c>
      <c r="AA2182" t="inlineStr">
        <is>
          <t>https://hackread.com/us-sanctions-russian-exploit-broker-us-cyber-tools/</t>
        </is>
      </c>
    </row>
    <row r="2183">
      <c r="A2183" t="inlineStr">
        <is>
          <t>NEWS_ALERT</t>
        </is>
      </c>
      <c r="B2183" t="inlineStr">
        <is>
          <t>962061c7e435</t>
        </is>
      </c>
      <c r="C2183" t="inlineStr">
        <is>
          <t>[HackRead] ShinyHunters Claims Odido NL and Ben.nl Breach as Company Confirms Cyberattack | Keywords: breach, breach | ShinyHunters claims 21 million records stolen in Odido NL and Ben.nl data breach as telecom company confirms cyberattack impacting customer contact sy</t>
        </is>
      </c>
      <c r="D2183" t="n">
        <v>5</v>
      </c>
      <c r="E2183" t="inlineStr">
        <is>
          <t>MEDIUM</t>
        </is>
      </c>
      <c r="F2183" t="n">
        <v>2</v>
      </c>
      <c r="G2183" t="n">
        <v>1</v>
      </c>
      <c r="H2183" t="inlineStr">
        <is>
          <t>LOW</t>
        </is>
      </c>
      <c r="I2183" t="n">
        <v>7</v>
      </c>
      <c r="J2183" t="inlineStr">
        <is>
          <t>NO</t>
        </is>
      </c>
      <c r="K2183" t="inlineStr">
        <is>
          <t>2026-02-25 16:40</t>
        </is>
      </c>
      <c r="L2183" t="inlineStr">
        <is>
          <t>Monitor</t>
        </is>
      </c>
      <c r="M2183" t="inlineStr">
        <is>
          <t>Varies - see article</t>
        </is>
      </c>
      <c r="N2183" t="inlineStr">
        <is>
          <t>P4</t>
        </is>
      </c>
      <c r="O2183" t="inlineStr">
        <is>
          <t>News alert - no IP context</t>
        </is>
      </c>
      <c r="P2183" t="n">
        <v>0</v>
      </c>
      <c r="Q2183" t="n">
        <v>0</v>
      </c>
      <c r="R2183" t="inlineStr">
        <is>
          <t>See article for technique context</t>
        </is>
      </c>
      <c r="S2183" t="n">
        <v>1</v>
      </c>
      <c r="T2183" t="inlineStr">
        <is>
          <t>LOW (40%)</t>
        </is>
      </c>
      <c r="U2183" t="inlineStr">
        <is>
          <t>NONE</t>
        </is>
      </c>
      <c r="V2183" t="inlineStr">
        <is>
          <t>NONE</t>
        </is>
      </c>
      <c r="W2183" t="inlineStr">
        <is>
          <t>NONE</t>
        </is>
      </c>
      <c r="X2183" t="inlineStr">
        <is>
          <t>NONE</t>
        </is>
      </c>
      <c r="Y2183" t="n">
        <v>0</v>
      </c>
      <c r="Z2183" t="inlineStr">
        <is>
          <t>ShinyHunters Claims Odido NL and Ben.nl Breach as Company Confirms Cyberattack</t>
        </is>
      </c>
      <c r="AA2183" t="inlineStr">
        <is>
          <t>https://hackread.com/shinyhunters-odido-nl-ben-nl-breach-confirm-cyberattack/</t>
        </is>
      </c>
    </row>
    <row r="2184">
      <c r="A2184" t="inlineStr">
        <is>
          <t>NEWS_ALERT</t>
        </is>
      </c>
      <c r="B2184" t="inlineStr">
        <is>
          <t>3e8ace3fbdb9</t>
        </is>
      </c>
      <c r="C2184" t="inlineStr">
        <is>
          <t>[HackRead] Autonomous Endpoint Management Isn’t Just Efficiency, It’s a Security Imperative | Keywords: breach | Autonomous Endpoint Management cuts exposure time by matching patch speed to attacker breakout timelines, reducing risk, workload delays, and breach c</t>
        </is>
      </c>
      <c r="D2184" t="n">
        <v>5</v>
      </c>
      <c r="E2184" t="inlineStr">
        <is>
          <t>MEDIUM</t>
        </is>
      </c>
      <c r="F2184" t="n">
        <v>2</v>
      </c>
      <c r="G2184" t="n">
        <v>1</v>
      </c>
      <c r="H2184" t="inlineStr">
        <is>
          <t>LOW</t>
        </is>
      </c>
      <c r="I2184" t="n">
        <v>7</v>
      </c>
      <c r="J2184" t="inlineStr">
        <is>
          <t>NO</t>
        </is>
      </c>
      <c r="K2184" t="inlineStr">
        <is>
          <t>2026-02-25 11:57</t>
        </is>
      </c>
      <c r="L2184" t="inlineStr">
        <is>
          <t>Monitor</t>
        </is>
      </c>
      <c r="M2184" t="inlineStr">
        <is>
          <t>Varies - see article</t>
        </is>
      </c>
      <c r="N2184" t="inlineStr">
        <is>
          <t>P4</t>
        </is>
      </c>
      <c r="O2184" t="inlineStr">
        <is>
          <t>News alert - no IP context</t>
        </is>
      </c>
      <c r="P2184" t="n">
        <v>0</v>
      </c>
      <c r="Q2184" t="n">
        <v>0</v>
      </c>
      <c r="R2184" t="inlineStr">
        <is>
          <t>See article for technique context</t>
        </is>
      </c>
      <c r="S2184" t="n">
        <v>1</v>
      </c>
      <c r="T2184" t="inlineStr">
        <is>
          <t>LOW (40%)</t>
        </is>
      </c>
      <c r="U2184" t="inlineStr">
        <is>
          <t>NONE</t>
        </is>
      </c>
      <c r="V2184" t="inlineStr">
        <is>
          <t>NONE</t>
        </is>
      </c>
      <c r="W2184" t="inlineStr">
        <is>
          <t>NONE</t>
        </is>
      </c>
      <c r="X2184" t="inlineStr">
        <is>
          <t>NONE</t>
        </is>
      </c>
      <c r="Y2184" t="n">
        <v>0</v>
      </c>
      <c r="Z2184" t="inlineStr">
        <is>
          <t>Autonomous Endpoint Management Isn’t Just Efficiency, It’s a Security Imperative</t>
        </is>
      </c>
      <c r="AA2184" t="inlineStr">
        <is>
          <t>https://hackread.com/autonomous-endpoint-management-security-imperative/</t>
        </is>
      </c>
    </row>
    <row r="2185">
      <c r="A2185" t="inlineStr">
        <is>
          <t>NEWS_ALERT</t>
        </is>
      </c>
      <c r="B2185" t="inlineStr">
        <is>
          <t>dc8e1410cd88</t>
        </is>
      </c>
      <c r="C2185" t="inlineStr">
        <is>
          <t>[HackRead] $300 a Month Android Malware ‘Oblivion’ Uses Fake Updates to Hijack Phones | Keywords: malware | Cybersecurity researchers at Certo reveal Oblivion, a new Android Trojan targeting major brands like Samsung and Xiaomi. It bypasses security to steal</t>
        </is>
      </c>
      <c r="D2185" t="n">
        <v>5</v>
      </c>
      <c r="E2185" t="inlineStr">
        <is>
          <t>MEDIUM</t>
        </is>
      </c>
      <c r="F2185" t="n">
        <v>2</v>
      </c>
      <c r="G2185" t="n">
        <v>1</v>
      </c>
      <c r="H2185" t="inlineStr">
        <is>
          <t>LOW</t>
        </is>
      </c>
      <c r="I2185" t="n">
        <v>7</v>
      </c>
      <c r="J2185" t="inlineStr">
        <is>
          <t>NO</t>
        </is>
      </c>
      <c r="K2185" t="inlineStr">
        <is>
          <t>2026-02-25 10:34</t>
        </is>
      </c>
      <c r="L2185" t="inlineStr">
        <is>
          <t>Monitor</t>
        </is>
      </c>
      <c r="M2185" t="inlineStr">
        <is>
          <t>Varies - see article</t>
        </is>
      </c>
      <c r="N2185" t="inlineStr">
        <is>
          <t>P4</t>
        </is>
      </c>
      <c r="O2185" t="inlineStr">
        <is>
          <t>News alert - no IP context</t>
        </is>
      </c>
      <c r="P2185" t="n">
        <v>0</v>
      </c>
      <c r="Q2185" t="n">
        <v>0</v>
      </c>
      <c r="R2185" t="inlineStr">
        <is>
          <t>See article for technique context</t>
        </is>
      </c>
      <c r="S2185" t="n">
        <v>1</v>
      </c>
      <c r="T2185" t="inlineStr">
        <is>
          <t>LOW (40%)</t>
        </is>
      </c>
      <c r="U2185" t="inlineStr">
        <is>
          <t>NONE</t>
        </is>
      </c>
      <c r="V2185" t="inlineStr">
        <is>
          <t>NONE</t>
        </is>
      </c>
      <c r="W2185" t="inlineStr">
        <is>
          <t>NONE</t>
        </is>
      </c>
      <c r="X2185" t="inlineStr">
        <is>
          <t>NONE</t>
        </is>
      </c>
      <c r="Y2185" t="n">
        <v>0</v>
      </c>
      <c r="Z2185" t="inlineStr">
        <is>
          <t>$300 a Month Android Malware ‘Oblivion’ Uses Fake Updates to Hijack Phones</t>
        </is>
      </c>
      <c r="AA2185" t="inlineStr">
        <is>
          <t>https://hackread.com/android-malware-oblivion-fake-updates-hijack-phones/</t>
        </is>
      </c>
    </row>
    <row r="2186">
      <c r="A2186" t="inlineStr">
        <is>
          <t>NEWS_ALERT</t>
        </is>
      </c>
      <c r="B2186" t="inlineStr">
        <is>
          <t>de0500f4ba47</t>
        </is>
      </c>
      <c r="C2186" t="inlineStr">
        <is>
          <t>[HackRead] North Korean Lazarus Group Adopts Medusa Ransomware in Global Attacks | Keywords: ransomware, ransomware | Lazarus Group is now using Medusa ransomware in attacks on healthcare and social services, signaling a move toward profit-focused cybercrime.</t>
        </is>
      </c>
      <c r="D2186" t="n">
        <v>5</v>
      </c>
      <c r="E2186" t="inlineStr">
        <is>
          <t>MEDIUM</t>
        </is>
      </c>
      <c r="F2186" t="n">
        <v>2</v>
      </c>
      <c r="G2186" t="n">
        <v>1</v>
      </c>
      <c r="H2186" t="inlineStr">
        <is>
          <t>LOW</t>
        </is>
      </c>
      <c r="I2186" t="n">
        <v>7</v>
      </c>
      <c r="J2186" t="inlineStr">
        <is>
          <t>NO</t>
        </is>
      </c>
      <c r="K2186" t="inlineStr">
        <is>
          <t>2026-02-24 23:40</t>
        </is>
      </c>
      <c r="L2186" t="inlineStr">
        <is>
          <t>Monitor</t>
        </is>
      </c>
      <c r="M2186" t="inlineStr">
        <is>
          <t>Varies - see article</t>
        </is>
      </c>
      <c r="N2186" t="inlineStr">
        <is>
          <t>P4</t>
        </is>
      </c>
      <c r="O2186" t="inlineStr">
        <is>
          <t>News alert - no IP context</t>
        </is>
      </c>
      <c r="P2186" t="n">
        <v>0</v>
      </c>
      <c r="Q2186" t="n">
        <v>0</v>
      </c>
      <c r="R2186" t="inlineStr">
        <is>
          <t>See article for technique context</t>
        </is>
      </c>
      <c r="S2186" t="n">
        <v>1</v>
      </c>
      <c r="T2186" t="inlineStr">
        <is>
          <t>LOW (40%)</t>
        </is>
      </c>
      <c r="U2186" t="inlineStr">
        <is>
          <t>NONE</t>
        </is>
      </c>
      <c r="V2186" t="inlineStr">
        <is>
          <t>NONE</t>
        </is>
      </c>
      <c r="W2186" t="inlineStr">
        <is>
          <t>NONE</t>
        </is>
      </c>
      <c r="X2186" t="inlineStr">
        <is>
          <t>NONE</t>
        </is>
      </c>
      <c r="Y2186" t="n">
        <v>0</v>
      </c>
      <c r="Z2186" t="inlineStr">
        <is>
          <t>North Korean Lazarus Group Adopts Medusa Ransomware in Global Attacks</t>
        </is>
      </c>
      <c r="AA2186" t="inlineStr">
        <is>
          <t>https://hackread.com/north-korean-lazarus-group-medusa-ransomware/</t>
        </is>
      </c>
    </row>
    <row r="2187">
      <c r="A2187" t="inlineStr">
        <is>
          <t>NEWS_ALERT</t>
        </is>
      </c>
      <c r="B2187" t="inlineStr">
        <is>
          <t>5a87df801a4f</t>
        </is>
      </c>
      <c r="C2187" t="inlineStr">
        <is>
          <t>[HackRead] Amazon: Low-Skill Hacker Used AI Tools to Breach FortiGate Devices Globally | Keywords: breach, breach | Amazon says a Russian speaking low-skill hacker used AI tools to breach hundreds of FortiGate devices worldwide, showing how AI can scale cyberattacks</t>
        </is>
      </c>
      <c r="D2187" t="n">
        <v>5</v>
      </c>
      <c r="E2187" t="inlineStr">
        <is>
          <t>MEDIUM</t>
        </is>
      </c>
      <c r="F2187" t="n">
        <v>2</v>
      </c>
      <c r="G2187" t="n">
        <v>1</v>
      </c>
      <c r="H2187" t="inlineStr">
        <is>
          <t>LOW</t>
        </is>
      </c>
      <c r="I2187" t="n">
        <v>7</v>
      </c>
      <c r="J2187" t="inlineStr">
        <is>
          <t>NO</t>
        </is>
      </c>
      <c r="K2187" t="inlineStr">
        <is>
          <t>2026-02-24 15:23</t>
        </is>
      </c>
      <c r="L2187" t="inlineStr">
        <is>
          <t>Monitor</t>
        </is>
      </c>
      <c r="M2187" t="inlineStr">
        <is>
          <t>Varies - see article</t>
        </is>
      </c>
      <c r="N2187" t="inlineStr">
        <is>
          <t>P4</t>
        </is>
      </c>
      <c r="O2187" t="inlineStr">
        <is>
          <t>News alert - no IP context</t>
        </is>
      </c>
      <c r="P2187" t="n">
        <v>0</v>
      </c>
      <c r="Q2187" t="n">
        <v>0</v>
      </c>
      <c r="R2187" t="inlineStr">
        <is>
          <t>See article for technique context</t>
        </is>
      </c>
      <c r="S2187" t="n">
        <v>1</v>
      </c>
      <c r="T2187" t="inlineStr">
        <is>
          <t>LOW (40%)</t>
        </is>
      </c>
      <c r="U2187" t="inlineStr">
        <is>
          <t>NONE</t>
        </is>
      </c>
      <c r="V2187" t="inlineStr">
        <is>
          <t>NONE</t>
        </is>
      </c>
      <c r="W2187" t="inlineStr">
        <is>
          <t>NONE</t>
        </is>
      </c>
      <c r="X2187" t="inlineStr">
        <is>
          <t>NONE</t>
        </is>
      </c>
      <c r="Y2187" t="n">
        <v>0</v>
      </c>
      <c r="Z2187" t="inlineStr">
        <is>
          <t>Amazon: Low-Skill Hacker Used AI Tools to Breach FortiGate Devices Globally</t>
        </is>
      </c>
      <c r="AA2187" t="inlineStr">
        <is>
          <t>https://hackread.com/amazon-hacker-ai-tools-breach-fortigate-devices/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2026-02-25T22:15:38Z</dcterms:created>
  <dcterms:modified xmlns:dcterms="http://purl.org/dc/terms/" xmlns:xsi="http://www.w3.org/2001/XMLSchema-instance" xsi:type="dcterms:W3CDTF">2026-02-25T22:15:50Z</dcterms:modified>
</cp:coreProperties>
</file>